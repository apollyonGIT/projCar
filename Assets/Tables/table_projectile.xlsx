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BFFB6454-E684-4354-8715-76F0AE1866D3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projectile" sheetId="3" r:id="rId1"/>
    <sheet name="-id 配置说明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3" l="1" a="1"/>
  <c r="R20" i="3" s="1"/>
  <c r="O20" i="3" a="1"/>
  <c r="O20" i="3" s="1"/>
  <c r="J20" i="3"/>
  <c r="L20" i="3" s="1"/>
  <c r="O27" i="3" a="1"/>
  <c r="O27" i="3" s="1"/>
  <c r="R34" i="3" a="1"/>
  <c r="R34" i="3" s="1"/>
  <c r="O34" i="3" a="1"/>
  <c r="O34" i="3" s="1"/>
  <c r="J34" i="3"/>
  <c r="AC34" i="3" s="1"/>
  <c r="O32" i="3" a="1"/>
  <c r="O32" i="3" s="1"/>
  <c r="O31" i="3" a="1"/>
  <c r="O31" i="3" s="1"/>
  <c r="O30" i="3" a="1"/>
  <c r="O30" i="3" s="1"/>
  <c r="O29" i="3" a="1"/>
  <c r="O29" i="3" s="1"/>
  <c r="O23" i="3" a="1"/>
  <c r="O23" i="3" s="1"/>
  <c r="O24" i="3" a="1"/>
  <c r="O24" i="3" s="1"/>
  <c r="O25" i="3" a="1"/>
  <c r="O25" i="3" s="1"/>
  <c r="O22" i="3" a="1"/>
  <c r="O22" i="3" s="1"/>
  <c r="O11" i="3" a="1"/>
  <c r="O11" i="3" s="1"/>
  <c r="O12" i="3" a="1"/>
  <c r="O12" i="3" s="1"/>
  <c r="O13" i="3" a="1"/>
  <c r="O13" i="3" s="1"/>
  <c r="O14" i="3" a="1"/>
  <c r="O14" i="3" s="1"/>
  <c r="O15" i="3" a="1"/>
  <c r="O15" i="3" s="1"/>
  <c r="O16" i="3" a="1"/>
  <c r="O16" i="3" s="1"/>
  <c r="O17" i="3" a="1"/>
  <c r="O17" i="3" s="1"/>
  <c r="O18" i="3" a="1"/>
  <c r="O18" i="3" s="1"/>
  <c r="O19" i="3" a="1"/>
  <c r="O19" i="3" s="1"/>
  <c r="O10" i="3" a="1"/>
  <c r="O10" i="3" s="1"/>
  <c r="L34" i="3" l="1"/>
  <c r="R27" i="3" a="1"/>
  <c r="R27" i="3" s="1"/>
  <c r="J27" i="3"/>
  <c r="L27" i="3" s="1"/>
  <c r="R32" i="3" a="1"/>
  <c r="R32" i="3" s="1"/>
  <c r="J32" i="3"/>
  <c r="L32" i="3" s="1"/>
  <c r="R31" i="3" a="1"/>
  <c r="R31" i="3" s="1"/>
  <c r="J31" i="3"/>
  <c r="L31" i="3" s="1"/>
  <c r="R30" i="3" a="1"/>
  <c r="R30" i="3" s="1"/>
  <c r="J30" i="3"/>
  <c r="L30" i="3" s="1"/>
  <c r="R29" i="3" a="1"/>
  <c r="R29" i="3" s="1"/>
  <c r="J29" i="3"/>
  <c r="L29" i="3" s="1"/>
  <c r="R25" i="3" a="1"/>
  <c r="R25" i="3" s="1"/>
  <c r="J25" i="3"/>
  <c r="L25" i="3" s="1"/>
  <c r="Z24" i="3"/>
  <c r="R24" i="3" a="1"/>
  <c r="R24" i="3" s="1"/>
  <c r="J24" i="3"/>
  <c r="L24" i="3" s="1"/>
  <c r="R23" i="3" a="1"/>
  <c r="R23" i="3" s="1"/>
  <c r="J23" i="3"/>
  <c r="L23" i="3" s="1"/>
  <c r="R22" i="3" a="1"/>
  <c r="R22" i="3" s="1"/>
  <c r="J22" i="3"/>
  <c r="L22" i="3" s="1"/>
  <c r="R19" i="3" a="1"/>
  <c r="R19" i="3" s="1"/>
  <c r="J19" i="3"/>
  <c r="AC19" i="3" s="1"/>
  <c r="R18" i="3" a="1"/>
  <c r="R18" i="3" s="1"/>
  <c r="J18" i="3"/>
  <c r="L18" i="3" s="1"/>
  <c r="R17" i="3" a="1"/>
  <c r="R17" i="3" s="1"/>
  <c r="J17" i="3"/>
  <c r="L17" i="3" s="1"/>
  <c r="R16" i="3" a="1"/>
  <c r="R16" i="3" s="1"/>
  <c r="J16" i="3"/>
  <c r="L16" i="3" s="1"/>
  <c r="Z15" i="3"/>
  <c r="R15" i="3" a="1"/>
  <c r="R15" i="3" s="1"/>
  <c r="J15" i="3"/>
  <c r="L15" i="3" s="1"/>
  <c r="R14" i="3" a="1"/>
  <c r="R14" i="3" s="1"/>
  <c r="J14" i="3"/>
  <c r="L14" i="3" s="1"/>
  <c r="R13" i="3" a="1"/>
  <c r="R13" i="3" s="1"/>
  <c r="J13" i="3"/>
  <c r="L13" i="3" s="1"/>
  <c r="R12" i="3" a="1"/>
  <c r="R12" i="3" s="1"/>
  <c r="J12" i="3"/>
  <c r="L12" i="3" s="1"/>
  <c r="R11" i="3" a="1"/>
  <c r="R11" i="3" s="1"/>
  <c r="J11" i="3"/>
  <c r="L11" i="3" s="1"/>
  <c r="R10" i="3" a="1"/>
  <c r="R10" i="3" s="1"/>
  <c r="J10" i="3"/>
  <c r="L10" i="3" s="1"/>
  <c r="AC23" i="3" l="1"/>
  <c r="AC24" i="3"/>
  <c r="L19" i="3"/>
  <c r="AC15" i="3"/>
  <c r="AC13" i="3"/>
  <c r="AC16" i="3"/>
  <c r="R5" i="3" a="1"/>
  <c r="R5" i="3" s="1"/>
  <c r="O5" i="3"/>
  <c r="J5" i="3"/>
  <c r="L5" i="3" s="1"/>
  <c r="R6" i="3" a="1"/>
  <c r="R6" i="3" s="1"/>
  <c r="J6" i="3"/>
  <c r="L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<sst xmlns="http://schemas.openxmlformats.org/spreadsheetml/2006/main" count="309" uniqueCount="169">
  <si>
    <t>projectile_id</t>
  </si>
  <si>
    <t>ammo_type</t>
  </si>
  <si>
    <t>speed_dmg_mod</t>
  </si>
  <si>
    <t>detection_type</t>
  </si>
  <si>
    <t>radius</t>
  </si>
  <si>
    <t>mass</t>
  </si>
  <si>
    <t>k_feedback</t>
  </si>
  <si>
    <t>path</t>
  </si>
  <si>
    <t>propulsion_force</t>
  </si>
  <si>
    <t>propulsion_error</t>
  </si>
  <si>
    <t>exploded_by_lifetime</t>
  </si>
  <si>
    <t>explode_radius</t>
  </si>
  <si>
    <t>explode_dmg</t>
  </si>
  <si>
    <t>explode_ft</t>
  </si>
  <si>
    <t>explode_ignite</t>
  </si>
  <si>
    <t>explode_vfx</t>
  </si>
  <si>
    <t>explode_se</t>
  </si>
  <si>
    <t>inertia_moment</t>
  </si>
  <si>
    <t>rotate_rule</t>
  </si>
  <si>
    <t>hit_ground_rule</t>
  </si>
  <si>
    <t>hit_monster_rule</t>
  </si>
  <si>
    <t>vfx_on_hit_ground</t>
  </si>
  <si>
    <t>se_on_hit_ground</t>
  </si>
  <si>
    <t>vfx_v_threshold</t>
  </si>
  <si>
    <t>uint key</t>
  </si>
  <si>
    <t>string</t>
  </si>
  <si>
    <t>float</t>
  </si>
  <si>
    <t>string[]</t>
  </si>
  <si>
    <t>bool[]</t>
  </si>
  <si>
    <t>int</t>
  </si>
  <si>
    <t>飞射物id</t>
  </si>
  <si>
    <t>备注1</t>
  </si>
  <si>
    <t>备注2</t>
  </si>
  <si>
    <r>
      <rPr>
        <b/>
        <sz val="11"/>
        <color theme="1"/>
        <rFont val="等线"/>
        <family val="3"/>
        <charset val="134"/>
        <scheme val="minor"/>
      </rPr>
      <t>飞射物类型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9"/>
        <color theme="1"/>
        <rFont val="等线"/>
        <family val="3"/>
        <charset val="134"/>
        <scheme val="minor"/>
      </rPr>
      <t>Arrow = 箭矢
Bullet = 弹丸</t>
    </r>
  </si>
  <si>
    <r>
      <rPr>
        <b/>
        <sz val="11"/>
        <color theme="1"/>
        <rFont val="等线"/>
        <family val="3"/>
        <charset val="134"/>
        <scheme val="minor"/>
      </rPr>
      <t xml:space="preserve">速度加成系数
</t>
    </r>
    <r>
      <rPr>
        <i/>
        <sz val="9"/>
        <color theme="1"/>
        <rFont val="等线"/>
        <family val="3"/>
        <charset val="134"/>
        <scheme val="minor"/>
      </rPr>
      <t>1=完全相关
0=完全不相关</t>
    </r>
  </si>
  <si>
    <r>
      <rPr>
        <b/>
        <sz val="11"/>
        <color theme="1"/>
        <rFont val="等线"/>
        <family val="3"/>
        <charset val="134"/>
        <scheme val="minor"/>
      </rPr>
      <t>碰撞检测方式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1"/>
        <color theme="1"/>
        <rFont val="等线"/>
        <family val="3"/>
        <charset val="134"/>
        <scheme val="minor"/>
      </rPr>
      <t>Radius = 半径；
Ray = 射线；</t>
    </r>
  </si>
  <si>
    <r>
      <rPr>
        <b/>
        <sz val="11"/>
        <color theme="1"/>
        <rFont val="等线"/>
        <family val="3"/>
        <charset val="134"/>
        <scheme val="minor"/>
      </rPr>
      <t xml:space="preserve">攻击半径
</t>
    </r>
    <r>
      <rPr>
        <i/>
        <sz val="11"/>
        <color theme="1"/>
        <rFont val="等线"/>
        <family val="3"/>
        <charset val="134"/>
        <scheme val="minor"/>
      </rPr>
      <t>Ray不需要填写攻击半径</t>
    </r>
  </si>
  <si>
    <t>质量</t>
  </si>
  <si>
    <r>
      <rPr>
        <b/>
        <i/>
        <sz val="11"/>
        <color theme="1" tint="0.499984740745262"/>
        <rFont val="等线"/>
        <family val="3"/>
        <charset val="134"/>
        <scheme val="minor"/>
      </rPr>
      <t xml:space="preserve">密度
</t>
    </r>
    <r>
      <rPr>
        <i/>
        <sz val="10"/>
        <color theme="1" tint="0.499984740745262"/>
        <rFont val="等线"/>
        <family val="3"/>
        <charset val="134"/>
        <scheme val="minor"/>
      </rPr>
      <t>相对密度</t>
    </r>
  </si>
  <si>
    <t>球径</t>
  </si>
  <si>
    <r>
      <rPr>
        <b/>
        <i/>
        <sz val="11"/>
        <color theme="1" tint="0.499984740745262"/>
        <rFont val="等线"/>
        <family val="3"/>
        <charset val="134"/>
        <scheme val="minor"/>
      </rPr>
      <t xml:space="preserve">形状乘数
</t>
    </r>
    <r>
      <rPr>
        <i/>
        <sz val="10"/>
        <color theme="1" tint="0.499984740745262"/>
        <rFont val="等线"/>
        <family val="3"/>
        <charset val="134"/>
        <scheme val="minor"/>
      </rPr>
      <t>估算：截面积与标准球形之比</t>
    </r>
  </si>
  <si>
    <t>面积阻力系数</t>
  </si>
  <si>
    <t>命名</t>
  </si>
  <si>
    <t>子弹预制体路径</t>
  </si>
  <si>
    <t>推进：动力</t>
  </si>
  <si>
    <r>
      <rPr>
        <b/>
        <sz val="11"/>
        <color theme="1"/>
        <rFont val="等线"/>
        <family val="3"/>
        <charset val="134"/>
        <scheme val="minor"/>
      </rPr>
      <t xml:space="preserve">推进：最大β
</t>
    </r>
    <r>
      <rPr>
        <i/>
        <sz val="11"/>
        <color theme="1"/>
        <rFont val="等线"/>
        <family val="3"/>
        <charset val="134"/>
        <scheme val="minor"/>
      </rPr>
      <t>最大横向误差β</t>
    </r>
  </si>
  <si>
    <r>
      <rPr>
        <b/>
        <sz val="11"/>
        <color theme="1"/>
        <rFont val="等线"/>
        <family val="3"/>
        <charset val="134"/>
        <scheme val="minor"/>
      </rPr>
      <t xml:space="preserve">爆炸时机
</t>
    </r>
    <r>
      <rPr>
        <i/>
        <sz val="10"/>
        <color theme="1"/>
        <rFont val="等线"/>
        <family val="3"/>
        <charset val="134"/>
        <scheme val="minor"/>
      </rPr>
      <t>1:寿命结束时爆炸
2:触敌触地时爆炸</t>
    </r>
  </si>
  <si>
    <t>计时
爆炸</t>
  </si>
  <si>
    <t>触
地爆炸</t>
  </si>
  <si>
    <t>触敌
爆炸</t>
  </si>
  <si>
    <r>
      <rPr>
        <b/>
        <sz val="11"/>
        <color theme="1"/>
        <rFont val="等线"/>
        <family val="3"/>
        <charset val="134"/>
        <scheme val="minor"/>
      </rPr>
      <t xml:space="preserve">爆炸参数1
</t>
    </r>
    <r>
      <rPr>
        <i/>
        <sz val="11"/>
        <color theme="1"/>
        <rFont val="等线"/>
        <family val="3"/>
        <charset val="134"/>
        <scheme val="minor"/>
      </rPr>
      <t>爆炸半径</t>
    </r>
  </si>
  <si>
    <r>
      <rPr>
        <b/>
        <sz val="11"/>
        <color theme="1"/>
        <rFont val="等线"/>
        <family val="3"/>
        <charset val="134"/>
        <scheme val="minor"/>
      </rPr>
      <t xml:space="preserve">爆炸参数2
</t>
    </r>
    <r>
      <rPr>
        <i/>
        <sz val="11"/>
        <color theme="1"/>
        <rFont val="等线"/>
        <family val="3"/>
        <charset val="134"/>
        <scheme val="minor"/>
      </rPr>
      <t>爆炸伤害</t>
    </r>
  </si>
  <si>
    <r>
      <rPr>
        <b/>
        <sz val="11"/>
        <color theme="1"/>
        <rFont val="等线"/>
        <family val="3"/>
        <charset val="134"/>
        <scheme val="minor"/>
      </rPr>
      <t xml:space="preserve">爆炸参数3
</t>
    </r>
    <r>
      <rPr>
        <i/>
        <sz val="11"/>
        <color theme="1"/>
        <rFont val="等线"/>
        <family val="3"/>
        <charset val="134"/>
        <scheme val="minor"/>
      </rPr>
      <t>爆炸击退</t>
    </r>
  </si>
  <si>
    <r>
      <rPr>
        <b/>
        <sz val="11"/>
        <color theme="1"/>
        <rFont val="等线"/>
        <family val="3"/>
        <charset val="134"/>
        <scheme val="minor"/>
      </rPr>
      <t xml:space="preserve">爆炸参数4
</t>
    </r>
    <r>
      <rPr>
        <i/>
        <sz val="11"/>
        <color theme="1"/>
        <rFont val="等线"/>
        <family val="3"/>
        <charset val="134"/>
        <scheme val="minor"/>
      </rPr>
      <t>爆炸点燃</t>
    </r>
  </si>
  <si>
    <r>
      <rPr>
        <b/>
        <sz val="11"/>
        <color theme="1"/>
        <rFont val="等线"/>
        <family val="3"/>
        <charset val="134"/>
        <scheme val="minor"/>
      </rPr>
      <t xml:space="preserve">爆炸参数5
</t>
    </r>
    <r>
      <rPr>
        <i/>
        <sz val="11"/>
        <color theme="1"/>
        <rFont val="等线"/>
        <family val="3"/>
        <charset val="134"/>
        <scheme val="minor"/>
      </rPr>
      <t>爆炸特效</t>
    </r>
  </si>
  <si>
    <r>
      <rPr>
        <b/>
        <sz val="11"/>
        <color theme="1"/>
        <rFont val="等线"/>
        <family val="3"/>
        <charset val="134"/>
        <scheme val="minor"/>
      </rPr>
      <t xml:space="preserve">爆炸参数6
</t>
    </r>
    <r>
      <rPr>
        <i/>
        <sz val="11"/>
        <color theme="1"/>
        <rFont val="等线"/>
        <family val="3"/>
        <charset val="134"/>
        <scheme val="minor"/>
      </rPr>
      <t>爆炸音效</t>
    </r>
  </si>
  <si>
    <r>
      <rPr>
        <b/>
        <sz val="11"/>
        <color theme="1"/>
        <rFont val="等线"/>
        <family val="3"/>
        <charset val="134"/>
        <scheme val="minor"/>
      </rPr>
      <t>旋转惯量</t>
    </r>
    <r>
      <rPr>
        <i/>
        <sz val="11"/>
        <color theme="1"/>
        <rFont val="等线"/>
        <family val="3"/>
        <charset val="134"/>
        <scheme val="minor"/>
      </rPr>
      <t xml:space="preserve">
0=忽略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i/>
        <sz val="11"/>
        <color theme="1"/>
        <rFont val="等线"/>
        <family val="3"/>
        <charset val="134"/>
        <scheme val="minor"/>
      </rPr>
      <t>仅影响Bullet</t>
    </r>
  </si>
  <si>
    <r>
      <rPr>
        <b/>
        <sz val="11"/>
        <color theme="1"/>
        <rFont val="等线"/>
        <family val="3"/>
        <charset val="134"/>
        <scheme val="minor"/>
      </rPr>
      <t>朝向旋转规则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By_Velocity: 始终指向运动方向
Free: 自由旋转
Ignored: 无需计算旋转</t>
    </r>
  </si>
  <si>
    <t>箭矢</t>
  </si>
  <si>
    <t>大型箭矢，重量 150g每支</t>
  </si>
  <si>
    <t>Arrow</t>
  </si>
  <si>
    <t>Radius</t>
  </si>
  <si>
    <t>arrow</t>
  </si>
  <si>
    <t>By_Velocity</t>
  </si>
  <si>
    <t>Bullet</t>
  </si>
  <si>
    <t>Ray</t>
  </si>
  <si>
    <t>bullet</t>
  </si>
  <si>
    <t>Ignored</t>
  </si>
  <si>
    <t>vfx_smoke_on_hit_ground_small</t>
  </si>
  <si>
    <t>se_ag_bullet_ricochet</t>
  </si>
  <si>
    <t>霰弹</t>
  </si>
  <si>
    <t>喇叭霰弹枪 霰弹</t>
  </si>
  <si>
    <t>shotgun_iron_sand</t>
  </si>
  <si>
    <t>石块</t>
  </si>
  <si>
    <t>投石器 石块</t>
  </si>
  <si>
    <t>rock</t>
  </si>
  <si>
    <t>Free</t>
  </si>
  <si>
    <t>Big_Slow</t>
  </si>
  <si>
    <t>vfx_smoke_on_hit_ground_large</t>
  </si>
  <si>
    <t>se_ag_stone_ricochet</t>
  </si>
  <si>
    <t>volley_gun_bullet</t>
  </si>
  <si>
    <t>火箭弹</t>
  </si>
  <si>
    <t>rocket_bomb</t>
  </si>
  <si>
    <t>se_pixabay_rocket_explode</t>
  </si>
  <si>
    <t>土制火箭弹</t>
  </si>
  <si>
    <t>homemade_rocket_bomb</t>
  </si>
  <si>
    <t>飞针</t>
  </si>
  <si>
    <t>飞针陀螺 飞针</t>
  </si>
  <si>
    <t>needle</t>
  </si>
  <si>
    <t>重力弹</t>
  </si>
  <si>
    <t>气球枪/铅球枪</t>
  </si>
  <si>
    <t>dpj_1201_bullet_bullet</t>
  </si>
  <si>
    <t>Destroy</t>
  </si>
  <si>
    <t>飞矛/标枪</t>
  </si>
  <si>
    <t>洞穴人流浪者</t>
  </si>
  <si>
    <t>投掷的石块</t>
  </si>
  <si>
    <t>洞穴人纵火者</t>
  </si>
  <si>
    <t>燃烧瓶</t>
  </si>
  <si>
    <t>se_ag_molotov_explode</t>
  </si>
  <si>
    <t>洞穴人暴徒</t>
  </si>
  <si>
    <t>点燃的标枪</t>
  </si>
  <si>
    <t>黑洞子弹</t>
  </si>
  <si>
    <t>Special</t>
  </si>
  <si>
    <t>blackhole</t>
  </si>
  <si>
    <t>巨大弩箭</t>
    <phoneticPr fontId="12" type="noConversion"/>
  </si>
  <si>
    <t>giant_colt</t>
    <phoneticPr fontId="12" type="noConversion"/>
  </si>
  <si>
    <t>猎龙弩炮的弩箭</t>
    <phoneticPr fontId="12" type="noConversion"/>
  </si>
  <si>
    <r>
      <rPr>
        <b/>
        <sz val="11"/>
        <color theme="1"/>
        <rFont val="等线"/>
        <family val="3"/>
        <charset val="134"/>
        <scheme val="minor"/>
      </rPr>
      <t>触敌规则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Arrow: 动态计算嵌入或穿透
Huge_Arrow: 动态计算是否穿透
Bullet: 动态计算反弹、消失或穿透
Destroy: 立刻销毁</t>
    </r>
    <phoneticPr fontId="12" type="noConversion"/>
  </si>
  <si>
    <t>Huge_Arrow</t>
    <phoneticPr fontId="12" type="noConversion"/>
  </si>
  <si>
    <t>鲶鱼</t>
    <phoneticPr fontId="12" type="noConversion"/>
  </si>
  <si>
    <t>沼泽怪</t>
    <phoneticPr fontId="12" type="noConversion"/>
  </si>
  <si>
    <t>贝壳乌贼</t>
    <phoneticPr fontId="12" type="noConversion"/>
  </si>
  <si>
    <t>缠绕水藻</t>
    <phoneticPr fontId="12" type="noConversion"/>
  </si>
  <si>
    <t>水弹</t>
    <phoneticPr fontId="12" type="noConversion"/>
  </si>
  <si>
    <t>泥巴</t>
    <phoneticPr fontId="12" type="noConversion"/>
  </si>
  <si>
    <t>墨汁</t>
    <phoneticPr fontId="12" type="noConversion"/>
  </si>
  <si>
    <t>海藻团</t>
    <phoneticPr fontId="12" type="noConversion"/>
  </si>
  <si>
    <t>lake_catfish</t>
    <phoneticPr fontId="12" type="noConversion"/>
  </si>
  <si>
    <t>lake_swamp</t>
    <phoneticPr fontId="12" type="noConversion"/>
  </si>
  <si>
    <t>lake_squid</t>
    <phoneticPr fontId="12" type="noConversion"/>
  </si>
  <si>
    <t>lake_fly_noodle</t>
    <phoneticPr fontId="12" type="noConversion"/>
  </si>
  <si>
    <t>Destroy</t>
    <phoneticPr fontId="12" type="noConversion"/>
  </si>
  <si>
    <r>
      <t xml:space="preserve">命中地面时触发的特效
</t>
    </r>
    <r>
      <rPr>
        <i/>
        <sz val="9"/>
        <color theme="1"/>
        <rFont val="等线"/>
        <family val="3"/>
        <charset val="134"/>
        <scheme val="minor"/>
      </rPr>
      <t>生效：Bullet，BigSlow</t>
    </r>
    <phoneticPr fontId="12" type="noConversion"/>
  </si>
  <si>
    <r>
      <t xml:space="preserve">触发特效
速度阈值
</t>
    </r>
    <r>
      <rPr>
        <i/>
        <sz val="9"/>
        <color theme="1"/>
        <rFont val="等线"/>
        <family val="3"/>
        <charset val="134"/>
        <scheme val="minor"/>
      </rPr>
      <t>生效：Bullet，BigSlow</t>
    </r>
    <phoneticPr fontId="12" type="noConversion"/>
  </si>
  <si>
    <r>
      <t xml:space="preserve">命中地面时
触发的音效
</t>
    </r>
    <r>
      <rPr>
        <i/>
        <sz val="9"/>
        <color theme="1"/>
        <rFont val="等线"/>
        <family val="3"/>
        <charset val="134"/>
        <scheme val="minor"/>
      </rPr>
      <t>生效：Bullet，BigSlow</t>
    </r>
    <phoneticPr fontId="12" type="noConversion"/>
  </si>
  <si>
    <t>刺</t>
    <phoneticPr fontId="12" type="noConversion"/>
  </si>
  <si>
    <t>仙人掌</t>
    <phoneticPr fontId="12" type="noConversion"/>
  </si>
  <si>
    <r>
      <rPr>
        <b/>
        <sz val="11"/>
        <color theme="1"/>
        <rFont val="等线"/>
        <family val="3"/>
        <charset val="134"/>
        <scheme val="minor"/>
      </rPr>
      <t>触地规则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Arrow: 必定嵌入地面
Bullet: 动态计算弹起
Big_Slow: 必定弹起
Destroy: 立刻销毁</t>
    </r>
    <phoneticPr fontId="12" type="noConversion"/>
  </si>
  <si>
    <t>第1位</t>
  </si>
  <si>
    <t>第2位</t>
  </si>
  <si>
    <t>第3位</t>
  </si>
  <si>
    <t>第4位</t>
  </si>
  <si>
    <t>第5位</t>
  </si>
  <si>
    <t>1 = 设备子弹</t>
    <phoneticPr fontId="12" type="noConversion"/>
  </si>
  <si>
    <t>2 = 怪物子弹</t>
    <phoneticPr fontId="12" type="noConversion"/>
  </si>
  <si>
    <t>0 = 远程设备</t>
    <phoneticPr fontId="12" type="noConversion"/>
  </si>
  <si>
    <t>001~999 编号</t>
    <phoneticPr fontId="12" type="noConversion"/>
  </si>
  <si>
    <t>01 = 地宫</t>
    <phoneticPr fontId="12" type="noConversion"/>
  </si>
  <si>
    <t>02 = 天空</t>
  </si>
  <si>
    <t>03 = 密林</t>
  </si>
  <si>
    <t>04 = 树梢</t>
  </si>
  <si>
    <t>05 = 田间</t>
  </si>
  <si>
    <t>06 = 永夜</t>
  </si>
  <si>
    <t>07 = 荒漠</t>
  </si>
  <si>
    <t>08 = 大湖</t>
  </si>
  <si>
    <t>01~99 编号</t>
    <phoneticPr fontId="12" type="noConversion"/>
  </si>
  <si>
    <t>vfx_ammo_explode_10006_rocket_bomb</t>
  </si>
  <si>
    <t>滚木</t>
    <phoneticPr fontId="12" type="noConversion"/>
  </si>
  <si>
    <t>巨大的原木</t>
    <phoneticPr fontId="12" type="noConversion"/>
  </si>
  <si>
    <t>手枪子弹</t>
    <phoneticPr fontId="12" type="noConversion"/>
  </si>
  <si>
    <t>铅弹，重量 50g每发</t>
    <phoneticPr fontId="12" type="noConversion"/>
  </si>
  <si>
    <t>步枪子弹</t>
    <phoneticPr fontId="12" type="noConversion"/>
  </si>
  <si>
    <t>相比手枪子弹更重</t>
    <phoneticPr fontId="12" type="noConversion"/>
  </si>
  <si>
    <t>dungeon_javelin</t>
    <phoneticPr fontId="12" type="noConversion"/>
  </si>
  <si>
    <t>dungeon_stone</t>
    <phoneticPr fontId="12" type="noConversion"/>
  </si>
  <si>
    <t>dungeon_molotov</t>
    <phoneticPr fontId="12" type="noConversion"/>
  </si>
  <si>
    <t>dungeon_fire_javelin</t>
    <phoneticPr fontId="12" type="noConversion"/>
  </si>
  <si>
    <t>洞穴人(标枪)</t>
    <phoneticPr fontId="12" type="noConversion"/>
  </si>
  <si>
    <t>log</t>
    <phoneticPr fontId="12" type="noConversion"/>
  </si>
  <si>
    <t>变种
数量</t>
    <phoneticPr fontId="12" type="noConversion"/>
  </si>
  <si>
    <t>3 = 遗物子弹</t>
    <phoneticPr fontId="12" type="noConversion"/>
  </si>
  <si>
    <t>0001~9999 编号</t>
    <phoneticPr fontId="12" type="noConversion"/>
  </si>
  <si>
    <t>冰雹</t>
    <phoneticPr fontId="12" type="noConversion"/>
  </si>
  <si>
    <t>遗物 - 冰雹</t>
    <phoneticPr fontId="12" type="noConversion"/>
  </si>
  <si>
    <t>hail</t>
    <phoneticPr fontId="12" type="noConversion"/>
  </si>
  <si>
    <t>desert_cactus_needle</t>
    <phoneticPr fontId="12" type="noConversion"/>
  </si>
  <si>
    <t>加特林子弹</t>
    <phoneticPr fontId="12" type="noConversion"/>
  </si>
  <si>
    <t>重机枪子弹</t>
    <phoneticPr fontId="12" type="noConversion"/>
  </si>
  <si>
    <t>gatlin_bullet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</si>
</sst>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 tint="0.499984740745262"/>
      <name val="等线"/>
      <family val="3"/>
      <charset val="134"/>
      <scheme val="minor"/>
    </font>
    <font>
      <i/>
      <sz val="10"/>
      <color theme="1" tint="0.49998474074526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13" fillId="0" borderId="1" xfId="3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4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E2CE6A82-4735-444E-A093-98477CC7BC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A20" sqref="A20"/>
    </sheetView>
  </sheetViews>
  <sheetFormatPr defaultColWidth="9.125" defaultRowHeight="14.25" x14ac:dyDescent="0.2"/>
  <cols>
    <col min="1" max="1" width="12.5" style="4" customWidth="1"/>
    <col min="2" max="2" width="13.625" style="5" customWidth="1"/>
    <col min="3" max="3" width="25" style="5" customWidth="1"/>
    <col min="4" max="4" width="11.375" style="4" customWidth="1"/>
    <col min="5" max="5" width="15.125" style="4" customWidth="1"/>
    <col min="6" max="6" width="15.5" style="4" customWidth="1"/>
    <col min="7" max="7" width="13.375" style="4" customWidth="1"/>
    <col min="8" max="8" width="9.125" style="4" customWidth="1"/>
    <col min="9" max="10" width="9.125" style="5" customWidth="1"/>
    <col min="11" max="11" width="9" style="5" customWidth="1"/>
    <col min="12" max="12" width="13.75" style="4" customWidth="1"/>
    <col min="13" max="13" width="25" style="6" customWidth="1"/>
    <col min="14" max="14" width="5.75" style="6" bestFit="1" customWidth="1"/>
    <col min="15" max="15" width="44.625" style="7" customWidth="1"/>
    <col min="16" max="16" width="15.5" style="4" customWidth="1"/>
    <col min="17" max="17" width="17.5" style="4" customWidth="1"/>
    <col min="18" max="18" width="18.5" style="4" customWidth="1"/>
    <col min="19" max="21" width="4" style="5" customWidth="1"/>
    <col min="22" max="22" width="14.125" style="4" customWidth="1"/>
    <col min="23" max="23" width="13" style="4" customWidth="1"/>
    <col min="24" max="24" width="10" style="4" customWidth="1"/>
    <col min="25" max="25" width="12.375" style="4" customWidth="1"/>
    <col min="26" max="26" width="34.375" style="4" customWidth="1"/>
    <col min="27" max="27" width="25.125" style="4" customWidth="1"/>
    <col min="28" max="28" width="1.75" style="8" customWidth="1"/>
    <col min="29" max="29" width="12.875" style="4" customWidth="1"/>
    <col min="30" max="30" width="23.125" style="4" customWidth="1"/>
    <col min="31" max="31" width="22.5" style="4" customWidth="1"/>
    <col min="32" max="32" width="25.125" style="4" customWidth="1"/>
    <col min="33" max="33" width="29" style="7" customWidth="1"/>
    <col min="34" max="34" width="19.5" style="7" customWidth="1"/>
    <col min="35" max="35" width="14.125" style="4" customWidth="1"/>
    <col min="36" max="16384" width="9.125" style="4"/>
  </cols>
  <sheetData>
    <row r="1" spans="1:35" s="1" customFormat="1" x14ac:dyDescent="0.2">
      <c r="A1" s="1" t="s">
        <v>0</v>
      </c>
      <c r="B1" s="9"/>
      <c r="C1" s="9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9"/>
      <c r="J1" s="9"/>
      <c r="K1" s="9"/>
      <c r="L1" s="1" t="s">
        <v>6</v>
      </c>
      <c r="M1" s="17"/>
      <c r="N1" s="17"/>
      <c r="O1" s="1" t="s">
        <v>7</v>
      </c>
      <c r="P1" s="1" t="s">
        <v>8</v>
      </c>
      <c r="Q1" s="1" t="s">
        <v>9</v>
      </c>
      <c r="R1" s="1" t="s">
        <v>10</v>
      </c>
      <c r="S1" s="9"/>
      <c r="T1" s="9"/>
      <c r="U1" s="9"/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</row>
    <row r="2" spans="1:35" s="2" customFormat="1" x14ac:dyDescent="0.2">
      <c r="A2" s="2" t="s">
        <v>24</v>
      </c>
      <c r="B2" s="9"/>
      <c r="C2" s="9"/>
      <c r="D2" s="2" t="s">
        <v>25</v>
      </c>
      <c r="E2" s="2" t="s">
        <v>26</v>
      </c>
      <c r="F2" s="2" t="s">
        <v>25</v>
      </c>
      <c r="G2" s="2" t="s">
        <v>26</v>
      </c>
      <c r="H2" s="2" t="s">
        <v>26</v>
      </c>
      <c r="I2" s="9"/>
      <c r="J2" s="9"/>
      <c r="K2" s="9"/>
      <c r="L2" s="2" t="s">
        <v>26</v>
      </c>
      <c r="M2" s="17"/>
      <c r="N2" s="17"/>
      <c r="O2" s="2" t="s">
        <v>27</v>
      </c>
      <c r="P2" s="2" t="s">
        <v>26</v>
      </c>
      <c r="Q2" s="2" t="s">
        <v>26</v>
      </c>
      <c r="R2" s="2" t="s">
        <v>28</v>
      </c>
      <c r="S2" s="9"/>
      <c r="T2" s="9"/>
      <c r="U2" s="9"/>
      <c r="V2" s="2" t="s">
        <v>26</v>
      </c>
      <c r="W2" s="2" t="s">
        <v>29</v>
      </c>
      <c r="X2" s="2" t="s">
        <v>26</v>
      </c>
      <c r="Y2" s="2" t="s">
        <v>26</v>
      </c>
      <c r="Z2" s="2" t="s">
        <v>25</v>
      </c>
      <c r="AA2" s="2" t="s">
        <v>25</v>
      </c>
      <c r="AC2" s="2" t="s">
        <v>26</v>
      </c>
      <c r="AD2" s="2" t="s">
        <v>25</v>
      </c>
      <c r="AE2" s="2" t="s">
        <v>25</v>
      </c>
      <c r="AF2" s="2" t="s">
        <v>25</v>
      </c>
      <c r="AG2" s="2" t="s">
        <v>25</v>
      </c>
      <c r="AH2" s="2" t="s">
        <v>25</v>
      </c>
      <c r="AI2" s="2" t="s">
        <v>26</v>
      </c>
    </row>
    <row r="3" spans="1:35" s="3" customFormat="1" ht="65.25" x14ac:dyDescent="0.2">
      <c r="A3" s="10" t="s">
        <v>30</v>
      </c>
      <c r="B3" s="11" t="s">
        <v>31</v>
      </c>
      <c r="C3" s="11" t="s">
        <v>32</v>
      </c>
      <c r="D3" s="12" t="s">
        <v>33</v>
      </c>
      <c r="E3" s="13" t="s">
        <v>34</v>
      </c>
      <c r="F3" s="14" t="s">
        <v>35</v>
      </c>
      <c r="G3" s="13" t="s">
        <v>36</v>
      </c>
      <c r="H3" s="10" t="s">
        <v>37</v>
      </c>
      <c r="I3" s="18" t="s">
        <v>38</v>
      </c>
      <c r="J3" s="19" t="s">
        <v>39</v>
      </c>
      <c r="K3" s="18" t="s">
        <v>40</v>
      </c>
      <c r="L3" s="10" t="s">
        <v>41</v>
      </c>
      <c r="M3" s="20" t="s">
        <v>42</v>
      </c>
      <c r="N3" s="20" t="s">
        <v>159</v>
      </c>
      <c r="O3" s="10" t="s">
        <v>43</v>
      </c>
      <c r="P3" s="10" t="s">
        <v>44</v>
      </c>
      <c r="Q3" s="13" t="s">
        <v>45</v>
      </c>
      <c r="R3" s="13" t="s">
        <v>46</v>
      </c>
      <c r="S3" s="22" t="s">
        <v>47</v>
      </c>
      <c r="T3" s="22" t="s">
        <v>48</v>
      </c>
      <c r="U3" s="22" t="s">
        <v>49</v>
      </c>
      <c r="V3" s="13" t="s">
        <v>50</v>
      </c>
      <c r="W3" s="13" t="s">
        <v>51</v>
      </c>
      <c r="X3" s="13" t="s">
        <v>52</v>
      </c>
      <c r="Y3" s="13" t="s">
        <v>53</v>
      </c>
      <c r="Z3" s="13" t="s">
        <v>54</v>
      </c>
      <c r="AA3" s="13" t="s">
        <v>55</v>
      </c>
      <c r="AB3" s="8"/>
      <c r="AC3" s="13" t="s">
        <v>56</v>
      </c>
      <c r="AD3" s="27" t="s">
        <v>57</v>
      </c>
      <c r="AE3" s="27" t="s">
        <v>127</v>
      </c>
      <c r="AF3" s="27" t="s">
        <v>107</v>
      </c>
      <c r="AG3" s="13" t="s">
        <v>122</v>
      </c>
      <c r="AH3" s="13" t="s">
        <v>124</v>
      </c>
      <c r="AI3" s="13" t="s">
        <v>123</v>
      </c>
    </row>
    <row r="5" spans="1:35" x14ac:dyDescent="0.2">
      <c r="A5" s="4">
        <v>3001</v>
      </c>
      <c r="B5" s="5" t="s">
        <v>101</v>
      </c>
      <c r="D5" s="4" t="s">
        <v>102</v>
      </c>
      <c r="E5" s="4">
        <v>1</v>
      </c>
      <c r="F5" s="4" t="s">
        <v>61</v>
      </c>
      <c r="G5" s="4">
        <v>0.12</v>
      </c>
      <c r="H5" s="4">
        <v>0.15</v>
      </c>
      <c r="I5" s="5">
        <v>1</v>
      </c>
      <c r="J5" s="5">
        <f>0.75*POWER(H5,1/3)/(I5*PI())</f>
        <v>0.12684552307828006</v>
      </c>
      <c r="K5" s="5">
        <v>0.06</v>
      </c>
      <c r="L5" s="4">
        <f t="shared" ref="L5" si="0">ROUND(J5^2*K5*10,7)</f>
        <v>9.6539E-3</v>
      </c>
      <c r="M5" s="6" t="s">
        <v>103</v>
      </c>
      <c r="N5" s="35"/>
      <c r="O5" s="21" t="str">
        <f>_xlfn.LET(_xlpm.id,A5,_xlfn.TEXTJOIN("_",1,IF(LEFT(_xlpm.id)="2","mpj","dpj"),_xlpm.id,LOWER(D5),M5))</f>
        <v>dpj_3001_special_blackhole</v>
      </c>
      <c r="R5" s="4" t="str" cm="1">
        <f t="array" ref="R5">_xlfn.TEXTJOIN(";",1,IF(S5:U5,TRUE,FALSE))</f>
        <v>FALSE;FALSE;FALSE</v>
      </c>
      <c r="V5" s="4">
        <v>2</v>
      </c>
      <c r="W5" s="4">
        <v>0</v>
      </c>
      <c r="X5" s="4">
        <v>10</v>
      </c>
      <c r="Y5" s="4">
        <v>0</v>
      </c>
      <c r="AD5" s="23" t="s">
        <v>67</v>
      </c>
      <c r="AE5" s="23" t="s">
        <v>64</v>
      </c>
      <c r="AF5" s="23" t="s">
        <v>92</v>
      </c>
    </row>
    <row r="6" spans="1:35" x14ac:dyDescent="0.2">
      <c r="A6" s="4">
        <v>1301</v>
      </c>
      <c r="B6" s="5" t="s">
        <v>89</v>
      </c>
      <c r="C6" s="5" t="s">
        <v>90</v>
      </c>
      <c r="D6" s="4" t="s">
        <v>64</v>
      </c>
      <c r="E6" s="4">
        <v>0</v>
      </c>
      <c r="F6" s="4" t="s">
        <v>65</v>
      </c>
      <c r="G6" s="15"/>
      <c r="H6" s="4">
        <v>0.05</v>
      </c>
      <c r="I6" s="5">
        <v>10</v>
      </c>
      <c r="J6" s="5">
        <f>0.75*POWER(H6,1/3)/(I6*PI())</f>
        <v>8.7949773527229106E-3</v>
      </c>
      <c r="K6" s="5">
        <v>1</v>
      </c>
      <c r="L6" s="4">
        <f>ROUND(J6^2*K6*10,7)</f>
        <v>7.7349999999999999E-4</v>
      </c>
      <c r="M6" s="6" t="s">
        <v>66</v>
      </c>
      <c r="N6" s="35"/>
      <c r="O6" s="21" t="s">
        <v>91</v>
      </c>
      <c r="P6" s="15"/>
      <c r="Q6" s="15"/>
      <c r="R6" s="4" t="str" cm="1">
        <f t="array" ref="R6">_xlfn.TEXTJOIN(";",1,IF(S6:U6,TRUE,FALSE))</f>
        <v>FALSE;FALSE;FALSE</v>
      </c>
      <c r="S6" s="25"/>
      <c r="T6" s="25"/>
      <c r="U6" s="25"/>
      <c r="V6" s="15"/>
      <c r="W6" s="15"/>
      <c r="X6" s="15"/>
      <c r="Y6" s="15"/>
      <c r="Z6" s="15"/>
      <c r="AA6" s="15"/>
      <c r="AC6" s="15"/>
      <c r="AD6" s="23" t="s">
        <v>67</v>
      </c>
      <c r="AE6" s="23" t="s">
        <v>64</v>
      </c>
      <c r="AF6" s="23" t="s">
        <v>92</v>
      </c>
      <c r="AG6" s="7" t="s">
        <v>68</v>
      </c>
      <c r="AH6" s="7" t="s">
        <v>69</v>
      </c>
      <c r="AI6" s="4">
        <v>25</v>
      </c>
    </row>
    <row r="8" spans="1:35" s="30" customFormat="1" x14ac:dyDescent="0.2">
      <c r="B8" s="31"/>
      <c r="C8" s="31"/>
      <c r="I8" s="31"/>
      <c r="J8" s="31"/>
      <c r="K8" s="31"/>
      <c r="M8" s="32"/>
      <c r="N8" s="32"/>
      <c r="O8" s="33"/>
      <c r="S8" s="31"/>
      <c r="T8" s="31"/>
      <c r="U8" s="31"/>
      <c r="AG8" s="33"/>
      <c r="AH8" s="33"/>
    </row>
    <row r="10" spans="1:35" x14ac:dyDescent="0.2">
      <c r="A10" s="4">
        <v>10001</v>
      </c>
      <c r="B10" s="5" t="s">
        <v>58</v>
      </c>
      <c r="C10" s="5" t="s">
        <v>59</v>
      </c>
      <c r="D10" s="4" t="s">
        <v>60</v>
      </c>
      <c r="E10" s="4">
        <v>1</v>
      </c>
      <c r="F10" s="4" t="s">
        <v>61</v>
      </c>
      <c r="G10" s="4">
        <v>0.12</v>
      </c>
      <c r="H10" s="4">
        <v>0.15</v>
      </c>
      <c r="I10" s="5">
        <v>1</v>
      </c>
      <c r="J10" s="5">
        <f t="shared" ref="J10:J17" si="1">0.75*POWER(H10,1/3)/(I10*PI())</f>
        <v>0.12684552307828006</v>
      </c>
      <c r="K10" s="5">
        <v>0.06</v>
      </c>
      <c r="L10" s="4">
        <f>ROUND(J10^2*K10*10,7)</f>
        <v>9.6539E-3</v>
      </c>
      <c r="M10" s="6" t="s">
        <v>62</v>
      </c>
      <c r="N10" s="35"/>
      <c r="O10" s="34" t="str" cm="1">
        <f t="array" ref="O10">_xlfn.LET(_xlpm.id,A10,
_xlfn.TEXTJOIN(";",1,_xlfn.MAKEARRAY(MAX(N10,1),1,_xlfn.LAMBDA(_xlpm.x,_xlpm.y,_xlfn.TEXTJOIN("_",1,"pjp",_xlpm.id,M10,IF(N10&gt;0,_xlpm.x-1,"")))))
)</f>
        <v>pjp_10001_arrow</v>
      </c>
      <c r="P10" s="15"/>
      <c r="Q10" s="15"/>
      <c r="R10" s="4" t="str" cm="1">
        <f t="array" ref="R10">_xlfn.TEXTJOIN(";",1,IF(S10:U10,TRUE,FALSE))</f>
        <v>FALSE;FALSE;FALSE</v>
      </c>
      <c r="S10" s="25"/>
      <c r="T10" s="25"/>
      <c r="U10" s="25"/>
      <c r="V10" s="15"/>
      <c r="W10" s="15"/>
      <c r="X10" s="15"/>
      <c r="Y10" s="15"/>
      <c r="Z10" s="15"/>
      <c r="AA10" s="15"/>
      <c r="AC10" s="15"/>
      <c r="AD10" s="23" t="s">
        <v>63</v>
      </c>
      <c r="AE10" s="23" t="s">
        <v>60</v>
      </c>
      <c r="AF10" s="23" t="s">
        <v>60</v>
      </c>
      <c r="AG10" s="15"/>
      <c r="AH10" s="15"/>
      <c r="AI10" s="15"/>
    </row>
    <row r="11" spans="1:35" x14ac:dyDescent="0.2">
      <c r="A11" s="4">
        <v>10002</v>
      </c>
      <c r="B11" s="5" t="s">
        <v>149</v>
      </c>
      <c r="C11" s="5" t="s">
        <v>150</v>
      </c>
      <c r="D11" s="4" t="s">
        <v>64</v>
      </c>
      <c r="E11" s="4">
        <v>1</v>
      </c>
      <c r="F11" s="4" t="s">
        <v>65</v>
      </c>
      <c r="G11" s="15"/>
      <c r="H11" s="4">
        <v>0.05</v>
      </c>
      <c r="I11" s="5">
        <v>10</v>
      </c>
      <c r="J11" s="5">
        <f t="shared" si="1"/>
        <v>8.7949773527229106E-3</v>
      </c>
      <c r="K11" s="5">
        <v>1</v>
      </c>
      <c r="L11" s="4">
        <f t="shared" ref="L11:L17" si="2">ROUND(J11^2*K11*10,7)</f>
        <v>7.7349999999999999E-4</v>
      </c>
      <c r="M11" s="6" t="s">
        <v>66</v>
      </c>
      <c r="N11" s="35"/>
      <c r="O11" s="34" t="str" cm="1">
        <f t="array" ref="O11">_xlfn.LET(_xlpm.id,A11,
_xlfn.TEXTJOIN(";",1,_xlfn.MAKEARRAY(MAX(N11,1),1,_xlfn.LAMBDA(_xlpm.x,_xlpm.y,_xlfn.TEXTJOIN("_",1,"pjp",_xlpm.id,M11,IF(N11&gt;0,_xlpm.x-1,"")))))
)</f>
        <v>pjp_10002_bullet</v>
      </c>
      <c r="P11" s="15"/>
      <c r="Q11" s="15"/>
      <c r="R11" s="4" t="str" cm="1">
        <f t="array" ref="R11">_xlfn.TEXTJOIN(";",1,IF(S11:U11,TRUE,FALSE))</f>
        <v>FALSE;FALSE;FALSE</v>
      </c>
      <c r="S11" s="25"/>
      <c r="T11" s="25"/>
      <c r="U11" s="25"/>
      <c r="V11" s="15"/>
      <c r="W11" s="15"/>
      <c r="X11" s="15"/>
      <c r="Y11" s="15"/>
      <c r="Z11" s="15"/>
      <c r="AA11" s="15"/>
      <c r="AC11" s="15"/>
      <c r="AD11" s="23" t="s">
        <v>67</v>
      </c>
      <c r="AE11" s="23" t="s">
        <v>64</v>
      </c>
      <c r="AF11" s="23" t="s">
        <v>64</v>
      </c>
      <c r="AG11" s="7" t="s">
        <v>68</v>
      </c>
      <c r="AH11" s="7" t="s">
        <v>69</v>
      </c>
      <c r="AI11" s="4">
        <v>25</v>
      </c>
    </row>
    <row r="12" spans="1:35" x14ac:dyDescent="0.2">
      <c r="A12" s="4">
        <v>10003</v>
      </c>
      <c r="B12" s="5" t="s">
        <v>70</v>
      </c>
      <c r="C12" s="5" t="s">
        <v>71</v>
      </c>
      <c r="D12" s="4" t="s">
        <v>64</v>
      </c>
      <c r="E12" s="4">
        <v>1</v>
      </c>
      <c r="F12" s="4" t="s">
        <v>65</v>
      </c>
      <c r="G12" s="15"/>
      <c r="H12" s="4">
        <v>2E-3</v>
      </c>
      <c r="I12" s="5">
        <v>10</v>
      </c>
      <c r="J12" s="5">
        <f t="shared" si="1"/>
        <v>3.007839944944495E-3</v>
      </c>
      <c r="K12" s="5">
        <v>1</v>
      </c>
      <c r="L12" s="4">
        <f t="shared" si="2"/>
        <v>9.0500000000000004E-5</v>
      </c>
      <c r="M12" s="6" t="s">
        <v>72</v>
      </c>
      <c r="N12" s="35"/>
      <c r="O12" s="34" t="str" cm="1">
        <f t="array" ref="O12">_xlfn.LET(_xlpm.id,A12,
_xlfn.TEXTJOIN(";",1,_xlfn.MAKEARRAY(MAX(N12,1),1,_xlfn.LAMBDA(_xlpm.x,_xlpm.y,_xlfn.TEXTJOIN("_",1,"pjp",_xlpm.id,M12,IF(N12&gt;0,_xlpm.x-1,"")))))
)</f>
        <v>pjp_10003_shotgun_iron_sand</v>
      </c>
      <c r="P12" s="15"/>
      <c r="Q12" s="15"/>
      <c r="R12" s="4" t="str" cm="1">
        <f t="array" ref="R12">_xlfn.TEXTJOIN(";",1,IF(S12:U12,TRUE,FALSE))</f>
        <v>FALSE;FALSE;FALSE</v>
      </c>
      <c r="S12" s="25"/>
      <c r="T12" s="25"/>
      <c r="U12" s="25"/>
      <c r="V12" s="15"/>
      <c r="W12" s="15"/>
      <c r="X12" s="15"/>
      <c r="Y12" s="15"/>
      <c r="Z12" s="15"/>
      <c r="AA12" s="15"/>
      <c r="AC12" s="15"/>
      <c r="AD12" s="23" t="s">
        <v>67</v>
      </c>
      <c r="AE12" s="23" t="s">
        <v>64</v>
      </c>
      <c r="AF12" s="23" t="s">
        <v>64</v>
      </c>
      <c r="AG12" s="15"/>
      <c r="AH12" s="15"/>
      <c r="AI12" s="15"/>
    </row>
    <row r="13" spans="1:35" x14ac:dyDescent="0.2">
      <c r="A13" s="4">
        <v>10004</v>
      </c>
      <c r="B13" s="5" t="s">
        <v>73</v>
      </c>
      <c r="C13" s="5" t="s">
        <v>74</v>
      </c>
      <c r="D13" s="4" t="s">
        <v>64</v>
      </c>
      <c r="E13" s="4">
        <v>0.3</v>
      </c>
      <c r="F13" s="4" t="s">
        <v>61</v>
      </c>
      <c r="G13" s="4">
        <v>0.5</v>
      </c>
      <c r="H13" s="4">
        <v>6</v>
      </c>
      <c r="I13" s="5">
        <v>3</v>
      </c>
      <c r="J13" s="5">
        <f t="shared" si="1"/>
        <v>0.14460186227165514</v>
      </c>
      <c r="K13" s="5">
        <v>1</v>
      </c>
      <c r="L13" s="4">
        <f t="shared" si="2"/>
        <v>0.20909700000000001</v>
      </c>
      <c r="M13" s="6" t="s">
        <v>75</v>
      </c>
      <c r="N13" s="35"/>
      <c r="O13" s="34" t="str" cm="1">
        <f t="array" ref="O13">_xlfn.LET(_xlpm.id,A13,
_xlfn.TEXTJOIN(";",1,_xlfn.MAKEARRAY(MAX(N13,1),1,_xlfn.LAMBDA(_xlpm.x,_xlpm.y,_xlfn.TEXTJOIN("_",1,"pjp",_xlpm.id,M13,IF(N13&gt;0,_xlpm.x-1,"")))))
)</f>
        <v>pjp_10004_rock</v>
      </c>
      <c r="P13" s="15"/>
      <c r="Q13" s="15"/>
      <c r="R13" s="4" t="str" cm="1">
        <f t="array" ref="R13">_xlfn.TEXTJOIN(";",1,IF(S13:U13,TRUE,FALSE))</f>
        <v>FALSE;FALSE;FALSE</v>
      </c>
      <c r="S13" s="25"/>
      <c r="T13" s="25"/>
      <c r="U13" s="25"/>
      <c r="V13" s="15"/>
      <c r="W13" s="15"/>
      <c r="X13" s="15"/>
      <c r="Y13" s="15"/>
      <c r="Z13" s="15"/>
      <c r="AA13" s="15"/>
      <c r="AC13" s="4">
        <f>H13*J13^2</f>
        <v>0.12545819143458434</v>
      </c>
      <c r="AD13" s="23" t="s">
        <v>76</v>
      </c>
      <c r="AE13" s="23" t="s">
        <v>77</v>
      </c>
      <c r="AF13" s="23" t="s">
        <v>64</v>
      </c>
      <c r="AG13" s="7" t="s">
        <v>78</v>
      </c>
      <c r="AH13" s="7" t="s">
        <v>79</v>
      </c>
      <c r="AI13" s="4">
        <v>3.6</v>
      </c>
    </row>
    <row r="14" spans="1:35" x14ac:dyDescent="0.2">
      <c r="A14" s="4">
        <v>10005</v>
      </c>
      <c r="B14" s="5" t="s">
        <v>151</v>
      </c>
      <c r="C14" s="5" t="s">
        <v>152</v>
      </c>
      <c r="D14" s="4" t="s">
        <v>64</v>
      </c>
      <c r="E14" s="4">
        <v>1</v>
      </c>
      <c r="F14" s="4" t="s">
        <v>65</v>
      </c>
      <c r="G14" s="15"/>
      <c r="H14" s="4">
        <v>0.02</v>
      </c>
      <c r="I14" s="5">
        <v>10</v>
      </c>
      <c r="J14" s="5">
        <f t="shared" si="1"/>
        <v>6.4801947194520091E-3</v>
      </c>
      <c r="K14" s="5">
        <v>1</v>
      </c>
      <c r="L14" s="4">
        <f t="shared" si="2"/>
        <v>4.1990000000000001E-4</v>
      </c>
      <c r="M14" s="6" t="s">
        <v>80</v>
      </c>
      <c r="N14" s="35"/>
      <c r="O14" s="34" t="str" cm="1">
        <f t="array" ref="O14">_xlfn.LET(_xlpm.id,A14,
_xlfn.TEXTJOIN(";",1,_xlfn.MAKEARRAY(MAX(N14,1),1,_xlfn.LAMBDA(_xlpm.x,_xlpm.y,_xlfn.TEXTJOIN("_",1,"pjp",_xlpm.id,M14,IF(N14&gt;0,_xlpm.x-1,"")))))
)</f>
        <v>pjp_10005_volley_gun_bullet</v>
      </c>
      <c r="P14" s="15"/>
      <c r="Q14" s="15"/>
      <c r="R14" s="4" t="str" cm="1">
        <f t="array" ref="R14">_xlfn.TEXTJOIN(";",1,IF(S14:U14,TRUE,FALSE))</f>
        <v>FALSE;FALSE;FALSE</v>
      </c>
      <c r="S14" s="25"/>
      <c r="T14" s="25"/>
      <c r="U14" s="25"/>
      <c r="V14" s="15"/>
      <c r="W14" s="15"/>
      <c r="X14" s="15"/>
      <c r="Y14" s="15"/>
      <c r="Z14" s="15"/>
      <c r="AA14" s="15"/>
      <c r="AC14" s="15"/>
      <c r="AD14" s="23" t="s">
        <v>63</v>
      </c>
      <c r="AE14" s="23" t="s">
        <v>64</v>
      </c>
      <c r="AF14" s="23" t="s">
        <v>64</v>
      </c>
      <c r="AG14" s="7" t="s">
        <v>68</v>
      </c>
      <c r="AH14" s="7" t="s">
        <v>69</v>
      </c>
      <c r="AI14" s="4">
        <v>40</v>
      </c>
    </row>
    <row r="15" spans="1:35" x14ac:dyDescent="0.2">
      <c r="A15" s="4">
        <v>10006</v>
      </c>
      <c r="B15" s="5" t="s">
        <v>81</v>
      </c>
      <c r="C15" s="5" t="s">
        <v>81</v>
      </c>
      <c r="D15" s="4" t="s">
        <v>60</v>
      </c>
      <c r="E15" s="4">
        <v>0.25</v>
      </c>
      <c r="F15" s="4" t="s">
        <v>61</v>
      </c>
      <c r="G15" s="4">
        <v>0.28000000000000003</v>
      </c>
      <c r="H15" s="4">
        <v>1.2</v>
      </c>
      <c r="I15" s="5">
        <v>1</v>
      </c>
      <c r="J15" s="5">
        <f t="shared" si="1"/>
        <v>0.25369104615656013</v>
      </c>
      <c r="K15" s="5">
        <v>0.06</v>
      </c>
      <c r="L15" s="4">
        <f t="shared" si="2"/>
        <v>3.8615499999999997E-2</v>
      </c>
      <c r="M15" s="6" t="s">
        <v>82</v>
      </c>
      <c r="N15" s="35"/>
      <c r="O15" s="34" t="str" cm="1">
        <f t="array" ref="O15">_xlfn.LET(_xlpm.id,A15,
_xlfn.TEXTJOIN(";",1,_xlfn.MAKEARRAY(MAX(N15,1),1,_xlfn.LAMBDA(_xlpm.x,_xlpm.y,_xlfn.TEXTJOIN("_",1,"pjp",_xlpm.id,M15,IF(N15&gt;0,_xlpm.x-1,"")))))
)</f>
        <v>pjp_10006_rocket_bomb</v>
      </c>
      <c r="P15" s="4">
        <v>32</v>
      </c>
      <c r="Q15" s="4">
        <v>20</v>
      </c>
      <c r="R15" s="4" t="str" cm="1">
        <f t="array" ref="R15">_xlfn.TEXTJOIN(";",1,IF(S15:U15,TRUE,FALSE))</f>
        <v>TRUE;FALSE;FALSE</v>
      </c>
      <c r="S15" s="5">
        <v>1</v>
      </c>
      <c r="T15" s="5">
        <v>0</v>
      </c>
      <c r="U15" s="5">
        <v>0</v>
      </c>
      <c r="V15" s="4">
        <v>4</v>
      </c>
      <c r="W15" s="4">
        <v>30</v>
      </c>
      <c r="X15" s="4">
        <v>10</v>
      </c>
      <c r="Y15" s="4">
        <v>0</v>
      </c>
      <c r="Z15" s="4" t="str">
        <f>_xlfn.TEXTJOIN("_",1,"vfx_ammo_explode",$A15,$M15)</f>
        <v>vfx_ammo_explode_10006_rocket_bomb</v>
      </c>
      <c r="AA15" s="4" t="s">
        <v>83</v>
      </c>
      <c r="AC15" s="4">
        <f>H15*J15^2</f>
        <v>7.7230976280011895E-2</v>
      </c>
      <c r="AD15" s="23" t="s">
        <v>76</v>
      </c>
      <c r="AE15" s="23" t="s">
        <v>77</v>
      </c>
      <c r="AF15" s="23" t="s">
        <v>60</v>
      </c>
      <c r="AG15" s="15"/>
      <c r="AH15" s="15"/>
      <c r="AI15" s="15"/>
    </row>
    <row r="16" spans="1:35" x14ac:dyDescent="0.2">
      <c r="A16" s="4">
        <v>10007</v>
      </c>
      <c r="B16" s="5" t="s">
        <v>84</v>
      </c>
      <c r="C16" s="5" t="s">
        <v>84</v>
      </c>
      <c r="D16" s="4" t="s">
        <v>60</v>
      </c>
      <c r="E16" s="4">
        <v>0.25</v>
      </c>
      <c r="F16" s="4" t="s">
        <v>61</v>
      </c>
      <c r="G16" s="4">
        <v>0.28000000000000003</v>
      </c>
      <c r="H16" s="4">
        <v>1.2</v>
      </c>
      <c r="I16" s="5">
        <v>1</v>
      </c>
      <c r="J16" s="5">
        <f t="shared" si="1"/>
        <v>0.25369104615656013</v>
      </c>
      <c r="K16" s="5">
        <v>0.06</v>
      </c>
      <c r="L16" s="4">
        <f t="shared" si="2"/>
        <v>3.8615499999999997E-2</v>
      </c>
      <c r="M16" s="6" t="s">
        <v>85</v>
      </c>
      <c r="N16" s="35"/>
      <c r="O16" s="34" t="str" cm="1">
        <f t="array" ref="O16">_xlfn.LET(_xlpm.id,A16,
_xlfn.TEXTJOIN(";",1,_xlfn.MAKEARRAY(MAX(N16,1),1,_xlfn.LAMBDA(_xlpm.x,_xlpm.y,_xlfn.TEXTJOIN("_",1,"pjp",_xlpm.id,M16,IF(N16&gt;0,_xlpm.x-1,"")))))
)</f>
        <v>pjp_10007_homemade_rocket_bomb</v>
      </c>
      <c r="P16" s="4">
        <v>17</v>
      </c>
      <c r="Q16" s="4">
        <v>1080</v>
      </c>
      <c r="R16" s="4" t="str" cm="1">
        <f t="array" ref="R16">_xlfn.TEXTJOIN(";",1,IF(S16:U16,TRUE,FALSE))</f>
        <v>TRUE;FALSE;FALSE</v>
      </c>
      <c r="S16" s="5">
        <v>1</v>
      </c>
      <c r="T16" s="5">
        <v>0</v>
      </c>
      <c r="U16" s="5">
        <v>0</v>
      </c>
      <c r="V16" s="4">
        <v>4</v>
      </c>
      <c r="W16" s="4">
        <v>30</v>
      </c>
      <c r="X16" s="4">
        <v>10</v>
      </c>
      <c r="Y16" s="4">
        <v>0</v>
      </c>
      <c r="Z16" s="24" t="s">
        <v>146</v>
      </c>
      <c r="AA16" s="4" t="s">
        <v>83</v>
      </c>
      <c r="AC16" s="4">
        <f>H16*J16^2</f>
        <v>7.7230976280011895E-2</v>
      </c>
      <c r="AD16" s="23" t="s">
        <v>76</v>
      </c>
      <c r="AE16" s="23" t="s">
        <v>77</v>
      </c>
      <c r="AF16" s="23" t="s">
        <v>60</v>
      </c>
      <c r="AG16" s="15"/>
      <c r="AH16" s="15"/>
      <c r="AI16" s="15"/>
    </row>
    <row r="17" spans="1:35" x14ac:dyDescent="0.2">
      <c r="A17" s="4">
        <v>10008</v>
      </c>
      <c r="B17" s="5" t="s">
        <v>86</v>
      </c>
      <c r="C17" s="5" t="s">
        <v>87</v>
      </c>
      <c r="D17" s="4" t="s">
        <v>60</v>
      </c>
      <c r="E17" s="4">
        <v>0.2</v>
      </c>
      <c r="F17" s="4" t="s">
        <v>61</v>
      </c>
      <c r="G17" s="15"/>
      <c r="H17" s="4">
        <v>2E-3</v>
      </c>
      <c r="I17" s="5">
        <v>10</v>
      </c>
      <c r="J17" s="5">
        <f t="shared" si="1"/>
        <v>3.007839944944495E-3</v>
      </c>
      <c r="K17" s="5">
        <v>0.02</v>
      </c>
      <c r="L17" s="4">
        <f t="shared" si="2"/>
        <v>1.7999999999999999E-6</v>
      </c>
      <c r="M17" s="6" t="s">
        <v>88</v>
      </c>
      <c r="N17" s="35"/>
      <c r="O17" s="34" t="str" cm="1">
        <f t="array" ref="O17">_xlfn.LET(_xlpm.id,A17,
_xlfn.TEXTJOIN(";",1,_xlfn.MAKEARRAY(MAX(N17,1),1,_xlfn.LAMBDA(_xlpm.x,_xlpm.y,_xlfn.TEXTJOIN("_",1,"pjp",_xlpm.id,M17,IF(N17&gt;0,_xlpm.x-1,"")))))
)</f>
        <v>pjp_10008_needle</v>
      </c>
      <c r="P17" s="15"/>
      <c r="Q17" s="15"/>
      <c r="R17" s="4" t="str" cm="1">
        <f t="array" ref="R17">_xlfn.TEXTJOIN(";",1,IF(S17:U17,TRUE,FALSE))</f>
        <v>FALSE;FALSE;FALSE</v>
      </c>
      <c r="S17" s="25"/>
      <c r="T17" s="25"/>
      <c r="U17" s="25"/>
      <c r="V17" s="15"/>
      <c r="W17" s="15"/>
      <c r="X17" s="15"/>
      <c r="Y17" s="15"/>
      <c r="Z17" s="15"/>
      <c r="AA17" s="15"/>
      <c r="AC17" s="15"/>
      <c r="AD17" s="23" t="s">
        <v>63</v>
      </c>
      <c r="AE17" s="23" t="s">
        <v>60</v>
      </c>
      <c r="AF17" s="23" t="s">
        <v>60</v>
      </c>
      <c r="AG17" s="15"/>
      <c r="AH17" s="15"/>
      <c r="AI17" s="15"/>
    </row>
    <row r="18" spans="1:35" x14ac:dyDescent="0.2">
      <c r="A18" s="4">
        <v>10009</v>
      </c>
      <c r="B18" s="5" t="s">
        <v>104</v>
      </c>
      <c r="C18" s="5" t="s">
        <v>106</v>
      </c>
      <c r="D18" s="26"/>
      <c r="E18" s="4">
        <v>1</v>
      </c>
      <c r="F18" s="4" t="s">
        <v>61</v>
      </c>
      <c r="G18" s="4">
        <v>0.45</v>
      </c>
      <c r="H18" s="4">
        <v>4</v>
      </c>
      <c r="I18" s="5">
        <v>2</v>
      </c>
      <c r="J18" s="5">
        <f>0.75*POWER(H18,1/3)/(I18*PI())</f>
        <v>0.18948204306751018</v>
      </c>
      <c r="K18" s="5">
        <v>0.06</v>
      </c>
      <c r="L18" s="4">
        <f>ROUND(J18^2*K18*10,7)</f>
        <v>2.1542100000000002E-2</v>
      </c>
      <c r="M18" s="6" t="s">
        <v>105</v>
      </c>
      <c r="N18" s="35"/>
      <c r="O18" s="34" t="str" cm="1">
        <f t="array" ref="O18">_xlfn.LET(_xlpm.id,A18,
_xlfn.TEXTJOIN(";",1,_xlfn.MAKEARRAY(MAX(N18,1),1,_xlfn.LAMBDA(_xlpm.x,_xlpm.y,_xlfn.TEXTJOIN("_",1,"pjp",_xlpm.id,M18,IF(N18&gt;0,_xlpm.x-1,"")))))
)</f>
        <v>pjp_10009_giant_colt</v>
      </c>
      <c r="P18" s="15"/>
      <c r="Q18" s="15"/>
      <c r="R18" s="4" t="str" cm="1">
        <f t="array" ref="R18">_xlfn.TEXTJOIN(";",1,IF(S18:U18,TRUE,FALSE))</f>
        <v>FALSE;FALSE;FALSE</v>
      </c>
      <c r="S18" s="25"/>
      <c r="T18" s="25"/>
      <c r="U18" s="25"/>
      <c r="V18" s="15"/>
      <c r="W18" s="15"/>
      <c r="X18" s="15"/>
      <c r="Y18" s="15"/>
      <c r="Z18" s="15"/>
      <c r="AA18" s="15"/>
      <c r="AC18" s="15"/>
      <c r="AD18" s="23" t="s">
        <v>63</v>
      </c>
      <c r="AE18" s="23" t="s">
        <v>60</v>
      </c>
      <c r="AF18" s="23" t="s">
        <v>108</v>
      </c>
      <c r="AG18" s="7" t="s">
        <v>78</v>
      </c>
      <c r="AH18" s="7" t="s">
        <v>79</v>
      </c>
      <c r="AI18" s="4">
        <v>3.6</v>
      </c>
    </row>
    <row r="19" spans="1:35" x14ac:dyDescent="0.2">
      <c r="A19" s="4">
        <v>10010</v>
      </c>
      <c r="B19" s="5" t="s">
        <v>147</v>
      </c>
      <c r="C19" s="5" t="s">
        <v>148</v>
      </c>
      <c r="D19" s="4" t="s">
        <v>64</v>
      </c>
      <c r="E19" s="4">
        <v>0.11</v>
      </c>
      <c r="F19" s="4" t="s">
        <v>61</v>
      </c>
      <c r="G19" s="4">
        <v>0.3</v>
      </c>
      <c r="H19" s="4">
        <v>100</v>
      </c>
      <c r="I19" s="5">
        <v>3</v>
      </c>
      <c r="J19" s="5">
        <f>0.75*POWER(H19,1/3)/(I19*PI())</f>
        <v>0.3693659033348094</v>
      </c>
      <c r="K19" s="5">
        <v>0.2</v>
      </c>
      <c r="L19" s="4">
        <f>ROUND(J19^2*K19*10,7)</f>
        <v>0.2728623</v>
      </c>
      <c r="M19" s="6" t="s">
        <v>158</v>
      </c>
      <c r="N19" s="6">
        <v>3</v>
      </c>
      <c r="O19" s="34" t="str" cm="1">
        <f t="array" ref="O19">_xlfn.LET(_xlpm.id,A19,
_xlfn.TEXTJOIN(";",1,_xlfn.MAKEARRAY(MAX(N19,1),1,_xlfn.LAMBDA(_xlpm.x,_xlpm.y,_xlfn.TEXTJOIN("_",1,"pjp",_xlpm.id,M19,IF(N19&gt;0,_xlpm.x-1,"")))))
)</f>
        <v>pjp_10010_log_0;pjp_10010_log_1;pjp_10010_log_2</v>
      </c>
      <c r="P19" s="15"/>
      <c r="Q19" s="15"/>
      <c r="R19" s="4" t="str" cm="1">
        <f t="array" ref="R19">_xlfn.TEXTJOIN(";",1,IF(S19:U19,TRUE,FALSE))</f>
        <v>FALSE;FALSE;FALSE</v>
      </c>
      <c r="S19" s="25"/>
      <c r="T19" s="25"/>
      <c r="U19" s="25"/>
      <c r="V19" s="15"/>
      <c r="W19" s="15"/>
      <c r="X19" s="15"/>
      <c r="Y19" s="15"/>
      <c r="Z19" s="15"/>
      <c r="AA19" s="15"/>
      <c r="AC19" s="4">
        <f>H19*J19^2</f>
        <v>13.643117054633978</v>
      </c>
      <c r="AD19" s="23" t="s">
        <v>76</v>
      </c>
      <c r="AE19" s="23" t="s">
        <v>77</v>
      </c>
      <c r="AF19" s="23" t="s">
        <v>64</v>
      </c>
      <c r="AG19" s="7" t="s">
        <v>78</v>
      </c>
      <c r="AH19" s="7" t="s">
        <v>79</v>
      </c>
      <c r="AI19" s="4">
        <v>3.6</v>
      </c>
    </row>
    <row r="20" spans="1:35" x14ac:dyDescent="0.2">
      <c r="A20" s="4">
        <v>10011</v>
      </c>
      <c r="B20" s="5" t="s">
        <v>166</v>
      </c>
      <c r="C20" s="5" t="s">
        <v>167</v>
      </c>
      <c r="D20" s="4" t="s">
        <v>64</v>
      </c>
      <c r="E20" s="4">
        <v>1</v>
      </c>
      <c r="F20" s="4" t="s">
        <v>65</v>
      </c>
      <c r="G20" s="15"/>
      <c r="H20" s="4">
        <v>0.05</v>
      </c>
      <c r="I20" s="5">
        <v>10</v>
      </c>
      <c r="J20" s="5">
        <f t="shared" ref="J20" si="3">0.75*POWER(H20,1/3)/(I20*PI())</f>
        <v>8.7949773527229106E-3</v>
      </c>
      <c r="K20" s="5">
        <v>1</v>
      </c>
      <c r="L20" s="4">
        <f t="shared" ref="L20" si="4">ROUND(J20^2*K20*10,7)</f>
        <v>7.7349999999999999E-4</v>
      </c>
      <c r="M20" s="6" t="s">
        <v>168</v>
      </c>
      <c r="N20" s="35"/>
      <c r="O20" s="34" t="str" cm="1">
        <f t="array" ref="O20">_xlfn.LET(_xlpm.id,A20,
_xlfn.TEXTJOIN(";",1,_xlfn.MAKEARRAY(MAX(N20,1),1,_xlfn.LAMBDA(_xlpm.x,_xlpm.y,_xlfn.TEXTJOIN("_",1,"pjp",_xlpm.id,M20,IF(N20&gt;0,_xlpm.x-1,"")))))
)</f>
        <v>pjp_10011_gatlin_bullet</v>
      </c>
      <c r="P20" s="15"/>
      <c r="Q20" s="15"/>
      <c r="R20" s="4" t="str" cm="1">
        <f t="array" ref="R20">_xlfn.TEXTJOIN(";",1,IF(S20:U20,TRUE,FALSE))</f>
        <v>FALSE;FALSE;FALSE</v>
      </c>
      <c r="S20" s="25"/>
      <c r="T20" s="25"/>
      <c r="U20" s="25"/>
      <c r="V20" s="15"/>
      <c r="W20" s="15"/>
      <c r="X20" s="15"/>
      <c r="Y20" s="15"/>
      <c r="Z20" s="15"/>
      <c r="AA20" s="15"/>
      <c r="AC20" s="15"/>
      <c r="AD20" s="23" t="s">
        <v>63</v>
      </c>
      <c r="AE20" s="23" t="s">
        <v>64</v>
      </c>
      <c r="AF20" s="23" t="s">
        <v>64</v>
      </c>
      <c r="AG20" s="7" t="s">
        <v>68</v>
      </c>
      <c r="AH20" s="7" t="s">
        <v>69</v>
      </c>
      <c r="AI20" s="4">
        <v>40</v>
      </c>
    </row>
    <row r="22" spans="1:35" x14ac:dyDescent="0.2">
      <c r="A22" s="16">
        <v>20101</v>
      </c>
      <c r="B22" s="5" t="s">
        <v>157</v>
      </c>
      <c r="C22" s="5" t="s">
        <v>93</v>
      </c>
      <c r="D22" s="4" t="s">
        <v>60</v>
      </c>
      <c r="E22" s="4">
        <v>0.1</v>
      </c>
      <c r="F22" s="4" t="s">
        <v>61</v>
      </c>
      <c r="G22" s="4">
        <v>0.15</v>
      </c>
      <c r="H22" s="4">
        <v>1</v>
      </c>
      <c r="I22" s="5">
        <v>1</v>
      </c>
      <c r="J22" s="5">
        <f t="shared" ref="J22:J25" si="5">0.75*POWER(H22,1/3)/(I22*PI())</f>
        <v>0.238732414637843</v>
      </c>
      <c r="K22" s="5">
        <v>0.06</v>
      </c>
      <c r="L22" s="4">
        <f>ROUND(J22^2*K22*10,7)</f>
        <v>3.4195900000000001E-2</v>
      </c>
      <c r="M22" s="6" t="s">
        <v>153</v>
      </c>
      <c r="N22" s="35"/>
      <c r="O22" s="34" t="str" cm="1">
        <f t="array" ref="O22">_xlfn.LET(_xlpm.id,A22,
_xlfn.TEXTJOIN(";",1,_xlfn.MAKEARRAY(MAX(N22,1),1,_xlfn.LAMBDA(_xlpm.x,_xlpm.y,_xlfn.TEXTJOIN("_",1,"pjp",_xlpm.id,M22,IF(N22&gt;0,_xlpm.x-1,"")))))
)</f>
        <v>pjp_20101_dungeon_javelin</v>
      </c>
      <c r="P22" s="15"/>
      <c r="Q22" s="15"/>
      <c r="R22" s="4" t="str" cm="1">
        <f t="array" ref="R22">_xlfn.TEXTJOIN(";",1,IF(S22:U22,TRUE,FALSE))</f>
        <v>FALSE;FALSE;FALSE</v>
      </c>
      <c r="V22" s="15"/>
      <c r="W22" s="15"/>
      <c r="X22" s="15"/>
      <c r="Y22" s="15"/>
      <c r="Z22" s="15"/>
      <c r="AA22" s="15"/>
      <c r="AC22" s="15"/>
      <c r="AD22" s="23" t="s">
        <v>63</v>
      </c>
      <c r="AE22" s="23" t="s">
        <v>60</v>
      </c>
      <c r="AF22" s="23" t="s">
        <v>60</v>
      </c>
      <c r="AG22" s="15"/>
      <c r="AH22" s="15"/>
      <c r="AI22" s="15"/>
    </row>
    <row r="23" spans="1:35" x14ac:dyDescent="0.2">
      <c r="A23" s="16">
        <v>20102</v>
      </c>
      <c r="B23" s="5" t="s">
        <v>94</v>
      </c>
      <c r="C23" s="5" t="s">
        <v>95</v>
      </c>
      <c r="D23" s="4" t="s">
        <v>64</v>
      </c>
      <c r="E23" s="4">
        <v>0.1</v>
      </c>
      <c r="F23" s="4" t="s">
        <v>61</v>
      </c>
      <c r="G23" s="4">
        <v>0.15</v>
      </c>
      <c r="H23" s="4">
        <v>0.2</v>
      </c>
      <c r="I23" s="5">
        <v>3</v>
      </c>
      <c r="J23" s="5">
        <f t="shared" si="5"/>
        <v>4.6537187672496129E-2</v>
      </c>
      <c r="K23" s="5">
        <v>1</v>
      </c>
      <c r="L23" s="4">
        <f t="shared" ref="L23:L25" si="6">ROUND(J23^2*K23*10,7)</f>
        <v>2.1657099999999999E-2</v>
      </c>
      <c r="M23" s="6" t="s">
        <v>154</v>
      </c>
      <c r="N23" s="35"/>
      <c r="O23" s="34" t="str" cm="1">
        <f t="array" ref="O23">_xlfn.LET(_xlpm.id,A23,
_xlfn.TEXTJOIN(";",1,_xlfn.MAKEARRAY(MAX(N23,1),1,_xlfn.LAMBDA(_xlpm.x,_xlpm.y,_xlfn.TEXTJOIN("_",1,"pjp",_xlpm.id,M23,IF(N23&gt;0,_xlpm.x-1,"")))))
)</f>
        <v>pjp_20102_dungeon_stone</v>
      </c>
      <c r="P23" s="15"/>
      <c r="Q23" s="15"/>
      <c r="R23" s="4" t="str" cm="1">
        <f t="array" ref="R23">_xlfn.TEXTJOIN(";",1,IF(S23:U23,TRUE,FALSE))</f>
        <v>FALSE;FALSE;FALSE</v>
      </c>
      <c r="V23" s="15"/>
      <c r="W23" s="15"/>
      <c r="X23" s="15"/>
      <c r="Y23" s="15"/>
      <c r="Z23" s="15"/>
      <c r="AA23" s="15"/>
      <c r="AC23" s="4">
        <f>H23*J23^2</f>
        <v>4.3314196729302514E-4</v>
      </c>
      <c r="AD23" s="23" t="s">
        <v>76</v>
      </c>
      <c r="AE23" s="23" t="s">
        <v>77</v>
      </c>
      <c r="AF23" s="23" t="s">
        <v>64</v>
      </c>
      <c r="AG23" s="15"/>
      <c r="AH23" s="15"/>
      <c r="AI23" s="15"/>
    </row>
    <row r="24" spans="1:35" x14ac:dyDescent="0.2">
      <c r="A24" s="16">
        <v>20103</v>
      </c>
      <c r="B24" s="5" t="s">
        <v>96</v>
      </c>
      <c r="C24" s="5" t="s">
        <v>97</v>
      </c>
      <c r="D24" s="4" t="s">
        <v>64</v>
      </c>
      <c r="E24" s="4">
        <v>0.1</v>
      </c>
      <c r="F24" s="4" t="s">
        <v>61</v>
      </c>
      <c r="G24" s="4">
        <v>0.18</v>
      </c>
      <c r="H24" s="4">
        <v>0.2</v>
      </c>
      <c r="I24" s="5">
        <v>1.2</v>
      </c>
      <c r="J24" s="5">
        <f t="shared" si="5"/>
        <v>0.11634296918124032</v>
      </c>
      <c r="K24" s="5">
        <v>0.3</v>
      </c>
      <c r="L24" s="4">
        <f t="shared" si="6"/>
        <v>4.06071E-2</v>
      </c>
      <c r="M24" s="6" t="s">
        <v>155</v>
      </c>
      <c r="N24" s="35"/>
      <c r="O24" s="34" t="str" cm="1">
        <f t="array" ref="O24">_xlfn.LET(_xlpm.id,A24,
_xlfn.TEXTJOIN(";",1,_xlfn.MAKEARRAY(MAX(N24,1),1,_xlfn.LAMBDA(_xlpm.x,_xlpm.y,_xlfn.TEXTJOIN("_",1,"pjp",_xlpm.id,M24,IF(N24&gt;0,_xlpm.x-1,"")))))
)</f>
        <v>pjp_20103_dungeon_molotov</v>
      </c>
      <c r="P24" s="15"/>
      <c r="Q24" s="15"/>
      <c r="R24" s="4" t="str" cm="1">
        <f t="array" ref="R24">_xlfn.TEXTJOIN(";",1,IF(S24:U24,TRUE,FALSE))</f>
        <v>FALSE;TRUE;TRUE</v>
      </c>
      <c r="S24" s="5">
        <v>0</v>
      </c>
      <c r="T24" s="5">
        <v>1</v>
      </c>
      <c r="U24" s="5">
        <v>1</v>
      </c>
      <c r="V24" s="4">
        <v>1.2</v>
      </c>
      <c r="W24" s="4">
        <v>3</v>
      </c>
      <c r="X24" s="4">
        <v>0</v>
      </c>
      <c r="Y24" s="4">
        <v>6.5</v>
      </c>
      <c r="Z24" s="4" t="str">
        <f>_xlfn.TEXTJOIN("_",1,"vfx_ammo_explode",$A24,$M24)</f>
        <v>vfx_ammo_explode_20103_dungeon_molotov</v>
      </c>
      <c r="AA24" s="4" t="s">
        <v>98</v>
      </c>
      <c r="AC24" s="4">
        <f>H24*J24^2</f>
        <v>2.7071372955814071E-3</v>
      </c>
      <c r="AD24" s="23" t="s">
        <v>76</v>
      </c>
      <c r="AE24" s="23" t="s">
        <v>64</v>
      </c>
      <c r="AF24" s="23" t="s">
        <v>64</v>
      </c>
      <c r="AG24" s="15"/>
      <c r="AH24" s="15"/>
      <c r="AI24" s="15"/>
    </row>
    <row r="25" spans="1:35" x14ac:dyDescent="0.2">
      <c r="A25" s="16">
        <v>20104</v>
      </c>
      <c r="B25" s="5" t="s">
        <v>99</v>
      </c>
      <c r="C25" s="5" t="s">
        <v>100</v>
      </c>
      <c r="D25" s="4" t="s">
        <v>60</v>
      </c>
      <c r="E25" s="4">
        <v>0.1</v>
      </c>
      <c r="F25" s="4" t="s">
        <v>61</v>
      </c>
      <c r="G25" s="4">
        <v>0.15</v>
      </c>
      <c r="H25" s="4">
        <v>1</v>
      </c>
      <c r="I25" s="5">
        <v>1</v>
      </c>
      <c r="J25" s="5">
        <f t="shared" si="5"/>
        <v>0.238732414637843</v>
      </c>
      <c r="K25" s="5">
        <v>0.06</v>
      </c>
      <c r="L25" s="4">
        <f t="shared" si="6"/>
        <v>3.4195900000000001E-2</v>
      </c>
      <c r="M25" s="6" t="s">
        <v>156</v>
      </c>
      <c r="N25" s="35"/>
      <c r="O25" s="34" t="str" cm="1">
        <f t="array" ref="O25">_xlfn.LET(_xlpm.id,A25,
_xlfn.TEXTJOIN(";",1,_xlfn.MAKEARRAY(MAX(N25,1),1,_xlfn.LAMBDA(_xlpm.x,_xlpm.y,_xlfn.TEXTJOIN("_",1,"pjp",_xlpm.id,M25,IF(N25&gt;0,_xlpm.x-1,"")))))
)</f>
        <v>pjp_20104_dungeon_fire_javelin</v>
      </c>
      <c r="P25" s="15"/>
      <c r="Q25" s="15"/>
      <c r="R25" s="4" t="str" cm="1">
        <f t="array" ref="R25">_xlfn.TEXTJOIN(";",1,IF(S25:U25,TRUE,FALSE))</f>
        <v>FALSE;FALSE;FALSE</v>
      </c>
      <c r="V25" s="15"/>
      <c r="W25" s="15"/>
      <c r="X25" s="15"/>
      <c r="Y25" s="15"/>
      <c r="Z25" s="15"/>
      <c r="AA25" s="15"/>
      <c r="AC25" s="15"/>
      <c r="AD25" s="23" t="s">
        <v>63</v>
      </c>
      <c r="AE25" s="23" t="s">
        <v>60</v>
      </c>
      <c r="AF25" s="23" t="s">
        <v>60</v>
      </c>
      <c r="AG25" s="15"/>
      <c r="AH25" s="15"/>
      <c r="AI25" s="15"/>
    </row>
    <row r="27" spans="1:35" x14ac:dyDescent="0.2">
      <c r="A27" s="4">
        <v>20701</v>
      </c>
      <c r="B27" s="5" t="s">
        <v>126</v>
      </c>
      <c r="C27" s="5" t="s">
        <v>125</v>
      </c>
      <c r="D27" s="4" t="s">
        <v>64</v>
      </c>
      <c r="E27" s="4">
        <v>0.1</v>
      </c>
      <c r="F27" s="4" t="s">
        <v>61</v>
      </c>
      <c r="G27" s="4">
        <v>0.15</v>
      </c>
      <c r="H27" s="4">
        <v>0.02</v>
      </c>
      <c r="I27" s="5">
        <v>1</v>
      </c>
      <c r="J27" s="5">
        <f>0.75*POWER(H27,1/3)/(I27*PI())</f>
        <v>6.4801947194520093E-2</v>
      </c>
      <c r="K27" s="5">
        <v>0.06</v>
      </c>
      <c r="L27" s="4">
        <f>ROUND(J27^2*K27*10,7)</f>
        <v>2.5195999999999999E-3</v>
      </c>
      <c r="M27" s="6" t="s">
        <v>165</v>
      </c>
      <c r="N27" s="35"/>
      <c r="O27" s="34" t="str" cm="1">
        <f t="array" ref="O27">_xlfn.LET(_xlpm.id,A27,
_xlfn.TEXTJOIN(";",1,_xlfn.MAKEARRAY(MAX(N27,1),1,_xlfn.LAMBDA(_xlpm.x,_xlpm.y,_xlfn.TEXTJOIN("_",1,"pjp",_xlpm.id,M27,IF(N27&gt;0,_xlpm.x-1,"")))))
)</f>
        <v>pjp_20701_desert_cactus_needle</v>
      </c>
      <c r="R27" s="4" t="str" cm="1">
        <f t="array" ref="R27">_xlfn.TEXTJOIN(";",1,IF(S27:U27,TRUE,FALSE))</f>
        <v>FALSE;FALSE;FALSE</v>
      </c>
      <c r="V27" s="15"/>
      <c r="W27" s="15"/>
      <c r="X27" s="15"/>
      <c r="Y27" s="15"/>
      <c r="Z27" s="15"/>
      <c r="AA27" s="15"/>
      <c r="AD27" s="23" t="s">
        <v>63</v>
      </c>
      <c r="AE27" s="23" t="s">
        <v>121</v>
      </c>
      <c r="AF27" s="23" t="s">
        <v>121</v>
      </c>
      <c r="AG27" s="15"/>
      <c r="AH27" s="15"/>
      <c r="AI27" s="15"/>
    </row>
    <row r="29" spans="1:35" x14ac:dyDescent="0.2">
      <c r="A29" s="4">
        <v>20801</v>
      </c>
      <c r="B29" s="5" t="s">
        <v>109</v>
      </c>
      <c r="C29" s="5" t="s">
        <v>113</v>
      </c>
      <c r="D29" s="4" t="s">
        <v>64</v>
      </c>
      <c r="E29" s="4">
        <v>0.1</v>
      </c>
      <c r="F29" s="4" t="s">
        <v>61</v>
      </c>
      <c r="G29" s="4">
        <v>0.15</v>
      </c>
      <c r="H29" s="4">
        <v>0.1</v>
      </c>
      <c r="I29" s="5">
        <v>1</v>
      </c>
      <c r="J29" s="5">
        <f t="shared" ref="J29:J32" si="7">0.75*POWER(H29,1/3)/(I29*PI())</f>
        <v>0.11080977100044283</v>
      </c>
      <c r="K29" s="5">
        <v>1</v>
      </c>
      <c r="L29" s="4">
        <f t="shared" ref="L29:L32" si="8">ROUND(J29^2*K29*10,7)</f>
        <v>0.1227881</v>
      </c>
      <c r="M29" s="6" t="s">
        <v>117</v>
      </c>
      <c r="N29" s="35"/>
      <c r="O29" s="34" t="str" cm="1">
        <f t="array" ref="O29">_xlfn.LET(_xlpm.id,A29,
_xlfn.TEXTJOIN(";",1,_xlfn.MAKEARRAY(MAX(N29,1),1,_xlfn.LAMBDA(_xlpm.x,_xlpm.y,_xlfn.TEXTJOIN("_",1,"pjp",_xlpm.id,M29,IF(N29&gt;0,_xlpm.x-1,"")))))
)</f>
        <v>pjp_20801_lake_catfish</v>
      </c>
      <c r="R29" s="4" t="str" cm="1">
        <f t="array" ref="R29">_xlfn.TEXTJOIN(";",1,IF(S29:U29,TRUE,FALSE))</f>
        <v>FALSE;FALSE;FALSE</v>
      </c>
      <c r="V29" s="15"/>
      <c r="W29" s="15"/>
      <c r="X29" s="15"/>
      <c r="Y29" s="15"/>
      <c r="Z29" s="15"/>
      <c r="AA29" s="15"/>
      <c r="AD29" s="23" t="s">
        <v>63</v>
      </c>
      <c r="AE29" s="23" t="s">
        <v>121</v>
      </c>
      <c r="AF29" s="23" t="s">
        <v>121</v>
      </c>
      <c r="AG29" s="15"/>
      <c r="AH29" s="15"/>
      <c r="AI29" s="15"/>
    </row>
    <row r="30" spans="1:35" x14ac:dyDescent="0.2">
      <c r="A30" s="4">
        <v>20802</v>
      </c>
      <c r="B30" s="5" t="s">
        <v>110</v>
      </c>
      <c r="C30" s="5" t="s">
        <v>114</v>
      </c>
      <c r="D30" s="4" t="s">
        <v>64</v>
      </c>
      <c r="E30" s="4">
        <v>0.1</v>
      </c>
      <c r="F30" s="4" t="s">
        <v>61</v>
      </c>
      <c r="G30" s="4">
        <v>0.15</v>
      </c>
      <c r="H30" s="4">
        <v>0.2</v>
      </c>
      <c r="I30" s="5">
        <v>1</v>
      </c>
      <c r="J30" s="5">
        <f t="shared" si="7"/>
        <v>0.13961156301748837</v>
      </c>
      <c r="K30" s="5">
        <v>1</v>
      </c>
      <c r="L30" s="4">
        <f t="shared" si="8"/>
        <v>0.1949139</v>
      </c>
      <c r="M30" s="6" t="s">
        <v>118</v>
      </c>
      <c r="N30" s="35"/>
      <c r="O30" s="34" t="str" cm="1">
        <f t="array" ref="O30">_xlfn.LET(_xlpm.id,A30,
_xlfn.TEXTJOIN(";",1,_xlfn.MAKEARRAY(MAX(N30,1),1,_xlfn.LAMBDA(_xlpm.x,_xlpm.y,_xlfn.TEXTJOIN("_",1,"pjp",_xlpm.id,M30,IF(N30&gt;0,_xlpm.x-1,"")))))
)</f>
        <v>pjp_20802_lake_swamp</v>
      </c>
      <c r="R30" s="4" t="str" cm="1">
        <f t="array" ref="R30">_xlfn.TEXTJOIN(";",1,IF(S30:U30,TRUE,FALSE))</f>
        <v>FALSE;FALSE;FALSE</v>
      </c>
      <c r="V30" s="15"/>
      <c r="W30" s="15"/>
      <c r="X30" s="15"/>
      <c r="Y30" s="15"/>
      <c r="Z30" s="15"/>
      <c r="AA30" s="15"/>
      <c r="AD30" s="23" t="s">
        <v>63</v>
      </c>
      <c r="AE30" s="23" t="s">
        <v>121</v>
      </c>
      <c r="AF30" s="23" t="s">
        <v>121</v>
      </c>
      <c r="AG30" s="15"/>
      <c r="AH30" s="15"/>
      <c r="AI30" s="15"/>
    </row>
    <row r="31" spans="1:35" x14ac:dyDescent="0.2">
      <c r="A31" s="4">
        <v>20803</v>
      </c>
      <c r="B31" s="5" t="s">
        <v>111</v>
      </c>
      <c r="C31" s="5" t="s">
        <v>115</v>
      </c>
      <c r="D31" s="4" t="s">
        <v>64</v>
      </c>
      <c r="E31" s="4">
        <v>0.1</v>
      </c>
      <c r="F31" s="4" t="s">
        <v>61</v>
      </c>
      <c r="G31" s="4">
        <v>0.15</v>
      </c>
      <c r="H31" s="4">
        <v>0.15</v>
      </c>
      <c r="I31" s="5">
        <v>1</v>
      </c>
      <c r="J31" s="5">
        <f t="shared" si="7"/>
        <v>0.12684552307828006</v>
      </c>
      <c r="K31" s="5">
        <v>1</v>
      </c>
      <c r="L31" s="4">
        <f t="shared" si="8"/>
        <v>0.16089790000000001</v>
      </c>
      <c r="M31" s="6" t="s">
        <v>119</v>
      </c>
      <c r="N31" s="35"/>
      <c r="O31" s="34" t="str" cm="1">
        <f t="array" ref="O31">_xlfn.LET(_xlpm.id,A31,
_xlfn.TEXTJOIN(";",1,_xlfn.MAKEARRAY(MAX(N31,1),1,_xlfn.LAMBDA(_xlpm.x,_xlpm.y,_xlfn.TEXTJOIN("_",1,"pjp",_xlpm.id,M31,IF(N31&gt;0,_xlpm.x-1,"")))))
)</f>
        <v>pjp_20803_lake_squid</v>
      </c>
      <c r="R31" s="4" t="str" cm="1">
        <f t="array" ref="R31">_xlfn.TEXTJOIN(";",1,IF(S31:U31,TRUE,FALSE))</f>
        <v>FALSE;FALSE;FALSE</v>
      </c>
      <c r="V31" s="15"/>
      <c r="W31" s="15"/>
      <c r="X31" s="15"/>
      <c r="Y31" s="15"/>
      <c r="Z31" s="15"/>
      <c r="AA31" s="15"/>
      <c r="AD31" s="23" t="s">
        <v>63</v>
      </c>
      <c r="AE31" s="23" t="s">
        <v>121</v>
      </c>
      <c r="AF31" s="23" t="s">
        <v>121</v>
      </c>
      <c r="AG31" s="15"/>
      <c r="AH31" s="15"/>
      <c r="AI31" s="15"/>
    </row>
    <row r="32" spans="1:35" x14ac:dyDescent="0.2">
      <c r="A32" s="4">
        <v>20804</v>
      </c>
      <c r="B32" s="5" t="s">
        <v>112</v>
      </c>
      <c r="C32" s="5" t="s">
        <v>116</v>
      </c>
      <c r="D32" s="4" t="s">
        <v>60</v>
      </c>
      <c r="E32" s="4">
        <v>0.1</v>
      </c>
      <c r="F32" s="4" t="s">
        <v>61</v>
      </c>
      <c r="G32" s="4">
        <v>0.15</v>
      </c>
      <c r="H32" s="4">
        <v>10</v>
      </c>
      <c r="I32" s="5">
        <v>1</v>
      </c>
      <c r="J32" s="5">
        <f t="shared" si="7"/>
        <v>0.51433339573084447</v>
      </c>
      <c r="K32" s="5">
        <v>1</v>
      </c>
      <c r="L32" s="4">
        <f t="shared" si="8"/>
        <v>2.6453883999999999</v>
      </c>
      <c r="M32" s="6" t="s">
        <v>120</v>
      </c>
      <c r="N32" s="35"/>
      <c r="O32" s="34" t="str" cm="1">
        <f t="array" ref="O32">_xlfn.LET(_xlpm.id,A32,
_xlfn.TEXTJOIN(";",1,_xlfn.MAKEARRAY(MAX(N32,1),1,_xlfn.LAMBDA(_xlpm.x,_xlpm.y,_xlfn.TEXTJOIN("_",1,"pjp",_xlpm.id,M32,IF(N32&gt;0,_xlpm.x-1,"")))))
)</f>
        <v>pjp_20804_lake_fly_noodle</v>
      </c>
      <c r="R32" s="4" t="str" cm="1">
        <f t="array" ref="R32">_xlfn.TEXTJOIN(";",1,IF(S32:U32,TRUE,FALSE))</f>
        <v>FALSE;FALSE;FALSE</v>
      </c>
      <c r="V32" s="15"/>
      <c r="W32" s="15"/>
      <c r="X32" s="15"/>
      <c r="Y32" s="15"/>
      <c r="Z32" s="15"/>
      <c r="AA32" s="15"/>
      <c r="AD32" s="23" t="s">
        <v>63</v>
      </c>
      <c r="AE32" s="23" t="s">
        <v>77</v>
      </c>
      <c r="AF32" s="23" t="s">
        <v>60</v>
      </c>
      <c r="AG32" s="15"/>
      <c r="AH32" s="15"/>
      <c r="AI32" s="15"/>
    </row>
    <row r="34" spans="1:35" x14ac:dyDescent="0.2">
      <c r="A34" s="36">
        <v>30001</v>
      </c>
      <c r="B34" s="37" t="s">
        <v>162</v>
      </c>
      <c r="C34" s="37" t="s">
        <v>163</v>
      </c>
      <c r="D34" s="4" t="s">
        <v>64</v>
      </c>
      <c r="E34" s="4">
        <v>0.1</v>
      </c>
      <c r="F34" s="4" t="s">
        <v>65</v>
      </c>
      <c r="G34" s="15"/>
      <c r="H34" s="4">
        <v>0.25</v>
      </c>
      <c r="I34" s="5">
        <v>1</v>
      </c>
      <c r="J34" s="5">
        <f t="shared" ref="J34" si="9">0.75*POWER(H34,1/3)/(I34*PI())</f>
        <v>0.15039199724722468</v>
      </c>
      <c r="K34" s="5">
        <v>1</v>
      </c>
      <c r="L34" s="4">
        <f t="shared" ref="L34" si="10">ROUND(J34^2*K34*10,7)</f>
        <v>0.2261775</v>
      </c>
      <c r="M34" s="6" t="s">
        <v>164</v>
      </c>
      <c r="N34" s="35"/>
      <c r="O34" s="34" t="str" cm="1">
        <f t="array" ref="O34">_xlfn.LET(_xlpm.id,A34,
_xlfn.TEXTJOIN(";",1,_xlfn.MAKEARRAY(MAX(N34,1),1,_xlfn.LAMBDA(_xlpm.x,_xlpm.y,_xlfn.TEXTJOIN("_",1,"pjp",_xlpm.id,M34,IF(N34&gt;0,_xlpm.x-1,"")))))
)</f>
        <v>pjp_30001_hail</v>
      </c>
      <c r="P34" s="15"/>
      <c r="Q34" s="15"/>
      <c r="R34" s="4" t="str" cm="1">
        <f t="array" ref="R34">_xlfn.TEXTJOIN(";",1,IF(S34:U34,TRUE,FALSE))</f>
        <v>FALSE;FALSE;FALSE</v>
      </c>
      <c r="S34" s="25"/>
      <c r="T34" s="25"/>
      <c r="U34" s="25"/>
      <c r="V34" s="15"/>
      <c r="W34" s="15"/>
      <c r="X34" s="15"/>
      <c r="Y34" s="15"/>
      <c r="Z34" s="15"/>
      <c r="AA34" s="15"/>
      <c r="AC34" s="4">
        <f>H34*J34^2</f>
        <v>5.6544382090023089E-3</v>
      </c>
      <c r="AD34" s="23" t="s">
        <v>76</v>
      </c>
      <c r="AE34" s="23" t="s">
        <v>64</v>
      </c>
      <c r="AF34" s="23" t="s">
        <v>64</v>
      </c>
      <c r="AG34" s="7" t="s">
        <v>68</v>
      </c>
      <c r="AH34" s="15"/>
      <c r="AI34" s="4">
        <v>3.6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8374-D157-423C-95C0-3812269C1D21}">
  <dimension ref="A1:E15"/>
  <sheetViews>
    <sheetView workbookViewId="0">
      <selection activeCell="E17" sqref="E17"/>
    </sheetView>
  </sheetViews>
  <sheetFormatPr defaultColWidth="12.5" defaultRowHeight="14.25" x14ac:dyDescent="0.2"/>
  <cols>
    <col min="1" max="16384" width="12.5" style="29"/>
  </cols>
  <sheetData>
    <row r="1" spans="1:5" s="28" customFormat="1" x14ac:dyDescent="0.2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</row>
    <row r="2" spans="1:5" x14ac:dyDescent="0.2">
      <c r="A2" s="29" t="s">
        <v>133</v>
      </c>
      <c r="B2" s="29" t="s">
        <v>135</v>
      </c>
      <c r="C2" s="38" t="s">
        <v>136</v>
      </c>
      <c r="D2" s="38"/>
      <c r="E2" s="38"/>
    </row>
    <row r="5" spans="1:5" s="28" customFormat="1" x14ac:dyDescent="0.2">
      <c r="A5" s="28" t="s">
        <v>128</v>
      </c>
      <c r="B5" s="28" t="s">
        <v>129</v>
      </c>
      <c r="C5" s="28" t="s">
        <v>130</v>
      </c>
      <c r="D5" s="28" t="s">
        <v>131</v>
      </c>
      <c r="E5" s="28" t="s">
        <v>132</v>
      </c>
    </row>
    <row r="6" spans="1:5" x14ac:dyDescent="0.2">
      <c r="A6" s="29" t="s">
        <v>134</v>
      </c>
      <c r="B6" s="39" t="s">
        <v>137</v>
      </c>
      <c r="C6" s="40"/>
      <c r="D6" s="39" t="s">
        <v>145</v>
      </c>
      <c r="E6" s="40"/>
    </row>
    <row r="7" spans="1:5" x14ac:dyDescent="0.2">
      <c r="B7" s="39" t="s">
        <v>138</v>
      </c>
      <c r="C7" s="40"/>
    </row>
    <row r="8" spans="1:5" x14ac:dyDescent="0.2">
      <c r="B8" s="39" t="s">
        <v>139</v>
      </c>
      <c r="C8" s="40"/>
    </row>
    <row r="9" spans="1:5" x14ac:dyDescent="0.2">
      <c r="B9" s="39" t="s">
        <v>140</v>
      </c>
      <c r="C9" s="40"/>
    </row>
    <row r="10" spans="1:5" x14ac:dyDescent="0.2">
      <c r="B10" s="39" t="s">
        <v>141</v>
      </c>
      <c r="C10" s="40"/>
    </row>
    <row r="11" spans="1:5" x14ac:dyDescent="0.2">
      <c r="B11" s="39" t="s">
        <v>142</v>
      </c>
      <c r="C11" s="40"/>
    </row>
    <row r="12" spans="1:5" x14ac:dyDescent="0.2">
      <c r="B12" s="39" t="s">
        <v>143</v>
      </c>
      <c r="C12" s="40"/>
    </row>
    <row r="13" spans="1:5" x14ac:dyDescent="0.2">
      <c r="B13" s="39" t="s">
        <v>144</v>
      </c>
      <c r="C13" s="40"/>
    </row>
    <row r="15" spans="1:5" x14ac:dyDescent="0.2">
      <c r="A15" s="29" t="s">
        <v>160</v>
      </c>
      <c r="B15" s="39" t="s">
        <v>161</v>
      </c>
      <c r="C15" s="41"/>
      <c r="D15" s="41"/>
      <c r="E15" s="40"/>
    </row>
  </sheetData>
  <mergeCells count="11">
    <mergeCell ref="B15:E15"/>
    <mergeCell ref="B12:C12"/>
    <mergeCell ref="B13:C13"/>
    <mergeCell ref="D6:E6"/>
    <mergeCell ref="B6:C6"/>
    <mergeCell ref="B7:C7"/>
    <mergeCell ref="C2:E2"/>
    <mergeCell ref="B8:C8"/>
    <mergeCell ref="B9:C9"/>
    <mergeCell ref="B10:C10"/>
    <mergeCell ref="B11:C1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projectile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2025-12-30T09:16:25Z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2052-12.1.0.21541</vt:lpwstr>
  </property>
</Properties>
</file>