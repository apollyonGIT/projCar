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441B71AA-1653-4539-9410-E5EA2A38468C}" xr6:coauthVersionLast="47" xr6:coauthVersionMax="47" xr10:uidLastSave="{00000000-0000-0000-0000-000000000000}"/>
  <bookViews>
    <workbookView xWindow="-38520" yWindow="-120" windowWidth="38640" windowHeight="21240" activeTab="2" xr2:uid="{00000000-000D-0000-FFFF-FFFF00000000}"/>
  </bookViews>
  <sheets>
    <sheet name="shop" sheetId="5" r:id="rId1"/>
    <sheet name="shop_ui" sheetId="11" r:id="rId2"/>
    <sheet name="-10.device" sheetId="8" r:id="rId3"/>
    <sheet name="-20.role" sheetId="9" r:id="rId4"/>
    <sheet name="-30.relicDrop" sheetId="12" r:id="rId5"/>
    <sheet name="-40.relicShop" sheetId="10" r:id="rId6"/>
    <sheet name="-ref_Distribution" sheetId="6" r:id="rId7"/>
    <sheet name="-编号辅助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5" i="8" l="1" a="1"/>
  <c r="BM5" i="8" s="1"/>
  <c r="BM4" i="8" a="1"/>
  <c r="BM4" i="8" s="1"/>
  <c r="CF79" i="8" l="1" a="1"/>
  <c r="CF79" i="8" s="1"/>
  <c r="CE79" i="8" a="1"/>
  <c r="CE79" i="8" s="1"/>
  <c r="CD79" i="8" a="1"/>
  <c r="CD79" i="8" s="1"/>
  <c r="CC79" i="8" a="1"/>
  <c r="CC79" i="8" s="1"/>
  <c r="CB79" i="8" a="1"/>
  <c r="CB79" i="8" s="1"/>
  <c r="CA79" i="8" a="1"/>
  <c r="CA79" i="8" s="1"/>
  <c r="BZ79" i="8" a="1"/>
  <c r="BZ79" i="8" s="1"/>
  <c r="BY79" i="8" a="1"/>
  <c r="BY79" i="8" s="1"/>
  <c r="BX79" i="8" a="1"/>
  <c r="BX79" i="8" s="1"/>
  <c r="BW79" i="8" a="1"/>
  <c r="BW79" i="8" s="1"/>
  <c r="BV79" i="8" a="1"/>
  <c r="BV79" i="8" s="1"/>
  <c r="BU79" i="8" a="1"/>
  <c r="BU79" i="8" s="1"/>
  <c r="BT79" i="8" a="1"/>
  <c r="BT79" i="8" s="1"/>
  <c r="BS79" i="8" a="1"/>
  <c r="BS79" i="8" s="1"/>
  <c r="BR79" i="8" a="1"/>
  <c r="BR79" i="8" s="1"/>
  <c r="BQ79" i="8" a="1"/>
  <c r="BQ79" i="8" s="1"/>
  <c r="BP79" i="8" a="1"/>
  <c r="BP79" i="8" s="1"/>
  <c r="BO79" i="8" a="1"/>
  <c r="BO79" i="8" s="1"/>
  <c r="BN79" i="8" a="1"/>
  <c r="BN79" i="8" s="1"/>
  <c r="BM79" i="8" a="1"/>
  <c r="BM79" i="8" s="1"/>
  <c r="BM75" i="8" a="1"/>
  <c r="BM75" i="8" s="1"/>
  <c r="BN75" i="8" a="1"/>
  <c r="BN75" i="8" s="1"/>
  <c r="BO75" i="8" a="1"/>
  <c r="BO75" i="8" s="1"/>
  <c r="BP75" i="8" a="1"/>
  <c r="BP75" i="8" s="1"/>
  <c r="BQ75" i="8" a="1"/>
  <c r="BQ75" i="8" s="1"/>
  <c r="BR75" i="8" a="1"/>
  <c r="BR75" i="8" s="1"/>
  <c r="BS75" i="8" a="1"/>
  <c r="BS75" i="8" s="1"/>
  <c r="BT75" i="8" a="1"/>
  <c r="BT75" i="8" s="1"/>
  <c r="BU75" i="8" a="1"/>
  <c r="BU75" i="8" s="1"/>
  <c r="BV75" i="8" a="1"/>
  <c r="BV75" i="8" s="1"/>
  <c r="BW75" i="8" a="1"/>
  <c r="BW75" i="8" s="1"/>
  <c r="BX75" i="8" a="1"/>
  <c r="BX75" i="8" s="1"/>
  <c r="BY75" i="8" a="1"/>
  <c r="BY75" i="8" s="1"/>
  <c r="BZ75" i="8" a="1"/>
  <c r="BZ75" i="8" s="1"/>
  <c r="CA75" i="8" a="1"/>
  <c r="CA75" i="8" s="1"/>
  <c r="CB75" i="8" a="1"/>
  <c r="CB75" i="8" s="1"/>
  <c r="CC75" i="8" a="1"/>
  <c r="CC75" i="8" s="1"/>
  <c r="CD75" i="8" a="1"/>
  <c r="CD75" i="8" s="1"/>
  <c r="CE75" i="8" a="1"/>
  <c r="CE75" i="8" s="1"/>
  <c r="CF75" i="8" a="1"/>
  <c r="CF75" i="8" s="1"/>
  <c r="CF66" i="8" a="1"/>
  <c r="CF66" i="8" s="1"/>
  <c r="CE66" i="8" a="1"/>
  <c r="CE66" i="8" s="1"/>
  <c r="CD66" i="8" a="1"/>
  <c r="CD66" i="8" s="1"/>
  <c r="CC66" i="8" a="1"/>
  <c r="CC66" i="8" s="1"/>
  <c r="CB66" i="8" a="1"/>
  <c r="CB66" i="8" s="1"/>
  <c r="CA66" i="8" a="1"/>
  <c r="CA66" i="8" s="1"/>
  <c r="BZ66" i="8" a="1"/>
  <c r="BZ66" i="8" s="1"/>
  <c r="BY66" i="8" a="1"/>
  <c r="BY66" i="8" s="1"/>
  <c r="BX66" i="8" a="1"/>
  <c r="BX66" i="8" s="1"/>
  <c r="BW66" i="8" a="1"/>
  <c r="BW66" i="8" s="1"/>
  <c r="BV66" i="8" a="1"/>
  <c r="BV66" i="8" s="1"/>
  <c r="BU66" i="8" a="1"/>
  <c r="BU66" i="8" s="1"/>
  <c r="BT66" i="8" a="1"/>
  <c r="BT66" i="8" s="1"/>
  <c r="BS66" i="8" a="1"/>
  <c r="BS66" i="8" s="1"/>
  <c r="BR66" i="8" a="1"/>
  <c r="BR66" i="8" s="1"/>
  <c r="BQ66" i="8" a="1"/>
  <c r="BQ66" i="8" s="1"/>
  <c r="BP66" i="8" a="1"/>
  <c r="BP66" i="8" s="1"/>
  <c r="BO66" i="8" a="1"/>
  <c r="BO66" i="8" s="1"/>
  <c r="BN66" i="8" a="1"/>
  <c r="BN66" i="8" s="1"/>
  <c r="BM66" i="8" a="1"/>
  <c r="BM66" i="8" s="1"/>
  <c r="CF20" i="8" a="1"/>
  <c r="CF20" i="8" s="1"/>
  <c r="CE20" i="8" a="1"/>
  <c r="CE20" i="8" s="1"/>
  <c r="CD20" i="8" a="1"/>
  <c r="CD20" i="8" s="1"/>
  <c r="CC20" i="8" a="1"/>
  <c r="CC20" i="8" s="1"/>
  <c r="CB20" i="8" a="1"/>
  <c r="CB20" i="8" s="1"/>
  <c r="CA20" i="8" a="1"/>
  <c r="CA20" i="8" s="1"/>
  <c r="BZ20" i="8" a="1"/>
  <c r="BZ20" i="8" s="1"/>
  <c r="BY20" i="8" a="1"/>
  <c r="BY20" i="8" s="1"/>
  <c r="BX20" i="8" a="1"/>
  <c r="BX20" i="8" s="1"/>
  <c r="BW20" i="8" a="1"/>
  <c r="BW20" i="8" s="1"/>
  <c r="BV20" i="8" a="1"/>
  <c r="BV20" i="8" s="1"/>
  <c r="BU20" i="8" a="1"/>
  <c r="BU20" i="8" s="1"/>
  <c r="BT20" i="8" a="1"/>
  <c r="BT20" i="8" s="1"/>
  <c r="BS20" i="8" a="1"/>
  <c r="BS20" i="8" s="1"/>
  <c r="BR20" i="8" a="1"/>
  <c r="BR20" i="8" s="1"/>
  <c r="BQ20" i="8" a="1"/>
  <c r="BQ20" i="8" s="1"/>
  <c r="BP20" i="8" a="1"/>
  <c r="BP20" i="8" s="1"/>
  <c r="BO20" i="8" a="1"/>
  <c r="BO20" i="8" s="1"/>
  <c r="BN20" i="8" a="1"/>
  <c r="BN20" i="8" s="1"/>
  <c r="BM20" i="8" a="1"/>
  <c r="BM20" i="8" s="1"/>
  <c r="CF45" i="8" a="1"/>
  <c r="CF45" i="8" s="1"/>
  <c r="CE45" i="8" a="1"/>
  <c r="CE45" i="8" s="1"/>
  <c r="CD45" i="8" a="1"/>
  <c r="CD45" i="8" s="1"/>
  <c r="CC45" i="8" a="1"/>
  <c r="CC45" i="8" s="1"/>
  <c r="CB45" i="8" a="1"/>
  <c r="CB45" i="8" s="1"/>
  <c r="CA45" i="8" a="1"/>
  <c r="CA45" i="8" s="1"/>
  <c r="BZ45" i="8" a="1"/>
  <c r="BZ45" i="8" s="1"/>
  <c r="BY45" i="8" a="1"/>
  <c r="BY45" i="8" s="1"/>
  <c r="BX45" i="8" a="1"/>
  <c r="BX45" i="8" s="1"/>
  <c r="BW45" i="8" a="1"/>
  <c r="BW45" i="8" s="1"/>
  <c r="BV45" i="8" a="1"/>
  <c r="BV45" i="8" s="1"/>
  <c r="BU45" i="8" a="1"/>
  <c r="BU45" i="8" s="1"/>
  <c r="BT45" i="8" a="1"/>
  <c r="BT45" i="8" s="1"/>
  <c r="BS45" i="8" a="1"/>
  <c r="BS45" i="8" s="1"/>
  <c r="BR45" i="8" a="1"/>
  <c r="BR45" i="8" s="1"/>
  <c r="BQ45" i="8" a="1"/>
  <c r="BQ45" i="8" s="1"/>
  <c r="BP45" i="8" a="1"/>
  <c r="BP45" i="8" s="1"/>
  <c r="BO45" i="8" a="1"/>
  <c r="BO45" i="8" s="1"/>
  <c r="BN45" i="8" a="1"/>
  <c r="BN45" i="8" s="1"/>
  <c r="BM45" i="8" a="1"/>
  <c r="BM45" i="8" s="1"/>
  <c r="C117" i="6"/>
  <c r="G117" i="6" a="1"/>
  <c r="G117" i="6" s="1"/>
  <c r="G119" i="6" a="1"/>
  <c r="CA100" i="8" s="1" a="1"/>
  <c r="CA100" i="8" s="1"/>
  <c r="G118" i="6" a="1"/>
  <c r="CB104" i="8" s="1" a="1"/>
  <c r="CB104" i="8" s="1"/>
  <c r="C121" i="6"/>
  <c r="G121" i="6" s="1" a="1"/>
  <c r="G121" i="6" s="1"/>
  <c r="C120" i="6"/>
  <c r="G120" i="6" s="1" a="1"/>
  <c r="CD101" i="8" s="1" a="1"/>
  <c r="CD101" i="8" s="1"/>
  <c r="C119" i="6"/>
  <c r="C118" i="6"/>
  <c r="D147" i="6"/>
  <c r="G147" i="6" s="1" a="1"/>
  <c r="G147" i="6" s="1"/>
  <c r="D148" i="6"/>
  <c r="G148" i="6" s="1" a="1"/>
  <c r="G148" i="6" s="1"/>
  <c r="D149" i="6"/>
  <c r="G149" i="6" s="1" a="1"/>
  <c r="G149" i="6" s="1"/>
  <c r="D150" i="6"/>
  <c r="G150" i="6" s="1" a="1"/>
  <c r="G150" i="6" s="1"/>
  <c r="D146" i="6"/>
  <c r="G146" i="6" s="1" a="1"/>
  <c r="G146" i="6" s="1"/>
  <c r="G109" i="6" a="1"/>
  <c r="G109" i="6" s="1"/>
  <c r="G108" i="6" a="1"/>
  <c r="G108" i="6" s="1"/>
  <c r="G107" i="6" a="1"/>
  <c r="AJ20" i="9" s="1" a="1"/>
  <c r="AJ20" i="9" s="1"/>
  <c r="G106" i="6" a="1"/>
  <c r="T17" i="9" s="1" a="1"/>
  <c r="T17" i="9" s="1"/>
  <c r="G105" i="6" a="1"/>
  <c r="AE15" i="9" s="1" a="1"/>
  <c r="AE15" i="9" s="1"/>
  <c r="G104" i="6" a="1"/>
  <c r="L12" i="9" s="1" a="1"/>
  <c r="L12" i="9" s="1"/>
  <c r="G103" i="6" a="1"/>
  <c r="BG10" i="9" s="1" a="1"/>
  <c r="BG10" i="9" s="1"/>
  <c r="G102" i="6" a="1"/>
  <c r="G101" i="6" a="1"/>
  <c r="CD23" i="8" l="1" a="1"/>
  <c r="CD23" i="8" s="1"/>
  <c r="BX40" i="8" a="1"/>
  <c r="BX40" i="8" s="1"/>
  <c r="CE55" i="8" a="1"/>
  <c r="CE55" i="8" s="1"/>
  <c r="BS56" i="8" a="1"/>
  <c r="BS56" i="8" s="1"/>
  <c r="BR18" i="8" a="1"/>
  <c r="BR18" i="8" s="1"/>
  <c r="CC107" i="8" a="1"/>
  <c r="CC107" i="8" s="1"/>
  <c r="BP36" i="8" a="1"/>
  <c r="BP36" i="8" s="1"/>
  <c r="CA24" i="8" a="1"/>
  <c r="CA24" i="8" s="1"/>
  <c r="BS73" i="8" a="1"/>
  <c r="BS73" i="8" s="1"/>
  <c r="BT107" i="8" a="1"/>
  <c r="BT107" i="8" s="1"/>
  <c r="BN77" i="8" a="1"/>
  <c r="BN77" i="8" s="1"/>
  <c r="CB107" i="8" a="1"/>
  <c r="CB107" i="8" s="1"/>
  <c r="BU41" i="8" a="1"/>
  <c r="BU41" i="8" s="1"/>
  <c r="CE36" i="8" a="1"/>
  <c r="CE36" i="8" s="1"/>
  <c r="CB41" i="8" a="1"/>
  <c r="CB41" i="8" s="1"/>
  <c r="CB64" i="8" a="1"/>
  <c r="CB64" i="8" s="1"/>
  <c r="BV77" i="8" a="1"/>
  <c r="BV77" i="8" s="1"/>
  <c r="BT98" i="8" a="1"/>
  <c r="BT98" i="8" s="1"/>
  <c r="BO100" i="8" a="1"/>
  <c r="BO100" i="8" s="1"/>
  <c r="BW36" i="8" a="1"/>
  <c r="BW36" i="8" s="1"/>
  <c r="BT41" i="8" a="1"/>
  <c r="BT41" i="8" s="1"/>
  <c r="BX36" i="8" a="1"/>
  <c r="BX36" i="8" s="1"/>
  <c r="BT64" i="8" a="1"/>
  <c r="BT64" i="8" s="1"/>
  <c r="BU64" i="8" a="1"/>
  <c r="BU64" i="8" s="1"/>
  <c r="BO77" i="8" a="1"/>
  <c r="BO77" i="8" s="1"/>
  <c r="CF36" i="8" a="1"/>
  <c r="CF36" i="8" s="1"/>
  <c r="CC41" i="8" a="1"/>
  <c r="CC41" i="8" s="1"/>
  <c r="CA56" i="8" a="1"/>
  <c r="CA56" i="8" s="1"/>
  <c r="BZ18" i="8" a="1"/>
  <c r="BZ18" i="8" s="1"/>
  <c r="CC64" i="8" a="1"/>
  <c r="CC64" i="8" s="1"/>
  <c r="BW77" i="8" a="1"/>
  <c r="BW77" i="8" s="1"/>
  <c r="BU98" i="8" a="1"/>
  <c r="BU98" i="8" s="1"/>
  <c r="BW100" i="8" a="1"/>
  <c r="BW100" i="8" s="1"/>
  <c r="CB24" i="8" a="1"/>
  <c r="CB24" i="8" s="1"/>
  <c r="BR73" i="8" a="1"/>
  <c r="BR73" i="8" s="1"/>
  <c r="BU107" i="8" a="1"/>
  <c r="BU107" i="8" s="1"/>
  <c r="BQ18" i="8" a="1"/>
  <c r="BQ18" i="8" s="1"/>
  <c r="BT56" i="8" a="1"/>
  <c r="BT56" i="8" s="1"/>
  <c r="BY18" i="8" a="1"/>
  <c r="BY18" i="8" s="1"/>
  <c r="CB56" i="8" a="1"/>
  <c r="CB56" i="8" s="1"/>
  <c r="BS24" i="8" a="1"/>
  <c r="BS24" i="8" s="1"/>
  <c r="CA73" i="8" a="1"/>
  <c r="CA73" i="8" s="1"/>
  <c r="CD77" i="8" a="1"/>
  <c r="CD77" i="8" s="1"/>
  <c r="CB98" i="8" a="1"/>
  <c r="CB98" i="8" s="1"/>
  <c r="CE100" i="8" a="1"/>
  <c r="CE100" i="8" s="1"/>
  <c r="BO36" i="8" a="1"/>
  <c r="BO36" i="8" s="1"/>
  <c r="BT24" i="8" a="1"/>
  <c r="BT24" i="8" s="1"/>
  <c r="BZ73" i="8" a="1"/>
  <c r="BZ73" i="8" s="1"/>
  <c r="CE77" i="8" a="1"/>
  <c r="CE77" i="8" s="1"/>
  <c r="CC98" i="8" a="1"/>
  <c r="CC98" i="8" s="1"/>
  <c r="BS25" i="8" a="1"/>
  <c r="BS25" i="8" s="1"/>
  <c r="CB19" i="8" a="1"/>
  <c r="CB19" i="8" s="1"/>
  <c r="BU42" i="8" a="1"/>
  <c r="BU42" i="8" s="1"/>
  <c r="BT78" i="8" a="1"/>
  <c r="BT78" i="8" s="1"/>
  <c r="CB37" i="8" a="1"/>
  <c r="CB37" i="8" s="1"/>
  <c r="BN42" i="8" a="1"/>
  <c r="BN42" i="8" s="1"/>
  <c r="BZ44" i="8" a="1"/>
  <c r="BZ44" i="8" s="1"/>
  <c r="BV19" i="8" a="1"/>
  <c r="BV19" i="8" s="1"/>
  <c r="CC108" i="8" a="1"/>
  <c r="CC108" i="8" s="1"/>
  <c r="BT37" i="8" a="1"/>
  <c r="BT37" i="8" s="1"/>
  <c r="CA25" i="8" a="1"/>
  <c r="CA25" i="8" s="1"/>
  <c r="BN65" i="8" a="1"/>
  <c r="BN65" i="8" s="1"/>
  <c r="CB78" i="8" a="1"/>
  <c r="CB78" i="8" s="1"/>
  <c r="BU37" i="8" a="1"/>
  <c r="BU37" i="8" s="1"/>
  <c r="BV65" i="8" a="1"/>
  <c r="BV65" i="8" s="1"/>
  <c r="BV42" i="8" a="1"/>
  <c r="BV42" i="8" s="1"/>
  <c r="CC42" i="8" a="1"/>
  <c r="CC42" i="8" s="1"/>
  <c r="BT101" i="8" a="1"/>
  <c r="BT101" i="8" s="1"/>
  <c r="BQ44" i="8" a="1"/>
  <c r="BQ44" i="8" s="1"/>
  <c r="CC37" i="8" a="1"/>
  <c r="CC37" i="8" s="1"/>
  <c r="CB74" i="8" a="1"/>
  <c r="CB74" i="8" s="1"/>
  <c r="BU101" i="8" a="1"/>
  <c r="BU101" i="8" s="1"/>
  <c r="CD42" i="8" a="1"/>
  <c r="CD42" i="8" s="1"/>
  <c r="BR44" i="8" a="1"/>
  <c r="BR44" i="8" s="1"/>
  <c r="BU74" i="8" a="1"/>
  <c r="BU74" i="8" s="1"/>
  <c r="CB101" i="8" a="1"/>
  <c r="CB101" i="8" s="1"/>
  <c r="CD65" i="8" a="1"/>
  <c r="CD65" i="8" s="1"/>
  <c r="BY44" i="8" a="1"/>
  <c r="BY44" i="8" s="1"/>
  <c r="BO19" i="8" a="1"/>
  <c r="BO19" i="8" s="1"/>
  <c r="BU108" i="8" a="1"/>
  <c r="BU108" i="8" s="1"/>
  <c r="BP40" i="8" a="1"/>
  <c r="BP40" i="8" s="1"/>
  <c r="BQ40" i="8" a="1"/>
  <c r="BQ40" i="8" s="1"/>
  <c r="BX55" i="8" a="1"/>
  <c r="BX55" i="8" s="1"/>
  <c r="CC23" i="8" a="1"/>
  <c r="CC23" i="8" s="1"/>
  <c r="BS17" i="8" a="1"/>
  <c r="BS17" i="8" s="1"/>
  <c r="CB15" i="8" a="1"/>
  <c r="CB15" i="8" s="1"/>
  <c r="CF55" i="8" a="1"/>
  <c r="CF55" i="8" s="1"/>
  <c r="BN106" i="8" a="1"/>
  <c r="BN106" i="8" s="1"/>
  <c r="BY40" i="8" a="1"/>
  <c r="BY40" i="8" s="1"/>
  <c r="CA15" i="8" a="1"/>
  <c r="CA15" i="8" s="1"/>
  <c r="CB17" i="8" a="1"/>
  <c r="CB17" i="8" s="1"/>
  <c r="BN97" i="8" a="1"/>
  <c r="BN97" i="8" s="1"/>
  <c r="BV97" i="8" a="1"/>
  <c r="BV97" i="8" s="1"/>
  <c r="BS35" i="8" a="1"/>
  <c r="BS35" i="8" s="1"/>
  <c r="CB72" i="8" a="1"/>
  <c r="CB72" i="8" s="1"/>
  <c r="BY15" i="8" a="1"/>
  <c r="BY15" i="8" s="1"/>
  <c r="BT35" i="8" a="1"/>
  <c r="BT35" i="8" s="1"/>
  <c r="BU15" i="8" a="1"/>
  <c r="BU15" i="8" s="1"/>
  <c r="BO55" i="8" a="1"/>
  <c r="BO55" i="8" s="1"/>
  <c r="CA35" i="8" a="1"/>
  <c r="CA35" i="8" s="1"/>
  <c r="BN23" i="8" a="1"/>
  <c r="BN23" i="8" s="1"/>
  <c r="CD97" i="8" a="1"/>
  <c r="CD97" i="8" s="1"/>
  <c r="CA17" i="8" a="1"/>
  <c r="CA17" i="8" s="1"/>
  <c r="CC72" i="8" a="1"/>
  <c r="CC72" i="8" s="1"/>
  <c r="BP55" i="8" a="1"/>
  <c r="BP55" i="8" s="1"/>
  <c r="CB35" i="8" a="1"/>
  <c r="CB35" i="8" s="1"/>
  <c r="BU23" i="8" a="1"/>
  <c r="BU23" i="8" s="1"/>
  <c r="BT17" i="8" a="1"/>
  <c r="BT17" i="8" s="1"/>
  <c r="BT72" i="8" a="1"/>
  <c r="BT72" i="8" s="1"/>
  <c r="CF40" i="8" a="1"/>
  <c r="CF40" i="8" s="1"/>
  <c r="BT15" i="8" a="1"/>
  <c r="BT15" i="8" s="1"/>
  <c r="BW55" i="8" a="1"/>
  <c r="BW55" i="8" s="1"/>
  <c r="BV23" i="8" a="1"/>
  <c r="BV23" i="8" s="1"/>
  <c r="BP14" i="8" a="1"/>
  <c r="BP14" i="8" s="1"/>
  <c r="CC39" i="8" a="1"/>
  <c r="CC39" i="8" s="1"/>
  <c r="BW22" i="8" a="1"/>
  <c r="BW22" i="8" s="1"/>
  <c r="BU71" i="8" a="1"/>
  <c r="BU71" i="8" s="1"/>
  <c r="CF14" i="8" a="1"/>
  <c r="CF14" i="8" s="1"/>
  <c r="CE22" i="8" a="1"/>
  <c r="CE22" i="8" s="1"/>
  <c r="BX14" i="8" a="1"/>
  <c r="BX14" i="8" s="1"/>
  <c r="BM39" i="8" a="1"/>
  <c r="BM39" i="8" s="1"/>
  <c r="BU39" i="8" a="1"/>
  <c r="BU39" i="8" s="1"/>
  <c r="BS54" i="8" a="1"/>
  <c r="BS54" i="8" s="1"/>
  <c r="CA54" i="8" a="1"/>
  <c r="CA54" i="8" s="1"/>
  <c r="CC71" i="8" a="1"/>
  <c r="CC71" i="8" s="1"/>
  <c r="CC14" i="8" a="1"/>
  <c r="CC14" i="8" s="1"/>
  <c r="BU14" i="8" a="1"/>
  <c r="BU14" i="8" s="1"/>
  <c r="BP39" i="8" a="1"/>
  <c r="BP39" i="8" s="1"/>
  <c r="BO22" i="8" a="1"/>
  <c r="BO22" i="8" s="1"/>
  <c r="BM71" i="8" a="1"/>
  <c r="BM71" i="8" s="1"/>
  <c r="BV54" i="8" a="1"/>
  <c r="BV54" i="8" s="1"/>
  <c r="BZ22" i="8" a="1"/>
  <c r="BZ22" i="8" s="1"/>
  <c r="BX71" i="8" a="1"/>
  <c r="BX71" i="8" s="1"/>
  <c r="BY103" i="8" a="1"/>
  <c r="BY103" i="8" s="1"/>
  <c r="CB14" i="8" a="1"/>
  <c r="CB14" i="8" s="1"/>
  <c r="BT14" i="8" a="1"/>
  <c r="BT14" i="8" s="1"/>
  <c r="BQ39" i="8" a="1"/>
  <c r="BQ39" i="8" s="1"/>
  <c r="BY39" i="8" a="1"/>
  <c r="BY39" i="8" s="1"/>
  <c r="BO54" i="8" a="1"/>
  <c r="BO54" i="8" s="1"/>
  <c r="BW54" i="8" a="1"/>
  <c r="BW54" i="8" s="1"/>
  <c r="CE54" i="8" a="1"/>
  <c r="CE54" i="8" s="1"/>
  <c r="BS22" i="8" a="1"/>
  <c r="BS22" i="8" s="1"/>
  <c r="CA22" i="8" a="1"/>
  <c r="CA22" i="8" s="1"/>
  <c r="BQ71" i="8" a="1"/>
  <c r="BQ71" i="8" s="1"/>
  <c r="BY71" i="8" a="1"/>
  <c r="BY71" i="8" s="1"/>
  <c r="BT96" i="8" a="1"/>
  <c r="BT96" i="8" s="1"/>
  <c r="CB96" i="8" a="1"/>
  <c r="CB96" i="8" s="1"/>
  <c r="BR103" i="8" a="1"/>
  <c r="BR103" i="8" s="1"/>
  <c r="BZ103" i="8" a="1"/>
  <c r="BZ103" i="8" s="1"/>
  <c r="BX39" i="8" a="1"/>
  <c r="BX39" i="8" s="1"/>
  <c r="CD54" i="8" a="1"/>
  <c r="CD54" i="8" s="1"/>
  <c r="BP71" i="8" a="1"/>
  <c r="BP71" i="8" s="1"/>
  <c r="CF71" i="8" a="1"/>
  <c r="CF71" i="8" s="1"/>
  <c r="BS96" i="8" a="1"/>
  <c r="BS96" i="8" s="1"/>
  <c r="CA96" i="8" a="1"/>
  <c r="CA96" i="8" s="1"/>
  <c r="BQ103" i="8" a="1"/>
  <c r="BQ103" i="8" s="1"/>
  <c r="CA14" i="8" a="1"/>
  <c r="CA14" i="8" s="1"/>
  <c r="BS14" i="8" a="1"/>
  <c r="BS14" i="8" s="1"/>
  <c r="BR39" i="8" a="1"/>
  <c r="BR39" i="8" s="1"/>
  <c r="BZ39" i="8" a="1"/>
  <c r="BZ39" i="8" s="1"/>
  <c r="BP54" i="8" a="1"/>
  <c r="BP54" i="8" s="1"/>
  <c r="BX54" i="8" a="1"/>
  <c r="BX54" i="8" s="1"/>
  <c r="CF54" i="8" a="1"/>
  <c r="CF54" i="8" s="1"/>
  <c r="BT22" i="8" a="1"/>
  <c r="BT22" i="8" s="1"/>
  <c r="CB22" i="8" a="1"/>
  <c r="CB22" i="8" s="1"/>
  <c r="BR71" i="8" a="1"/>
  <c r="BR71" i="8" s="1"/>
  <c r="BZ71" i="8" a="1"/>
  <c r="BZ71" i="8" s="1"/>
  <c r="BM96" i="8" a="1"/>
  <c r="BM96" i="8" s="1"/>
  <c r="BU96" i="8" a="1"/>
  <c r="BU96" i="8" s="1"/>
  <c r="CC96" i="8" a="1"/>
  <c r="CC96" i="8" s="1"/>
  <c r="BS103" i="8" a="1"/>
  <c r="BS103" i="8" s="1"/>
  <c r="CA103" i="8" a="1"/>
  <c r="CA103" i="8" s="1"/>
  <c r="BZ14" i="8" a="1"/>
  <c r="BZ14" i="8" s="1"/>
  <c r="BR14" i="8" a="1"/>
  <c r="BR14" i="8" s="1"/>
  <c r="BS39" i="8" a="1"/>
  <c r="BS39" i="8" s="1"/>
  <c r="CA39" i="8" a="1"/>
  <c r="CA39" i="8" s="1"/>
  <c r="BQ54" i="8" a="1"/>
  <c r="BQ54" i="8" s="1"/>
  <c r="BY54" i="8" a="1"/>
  <c r="BY54" i="8" s="1"/>
  <c r="BM22" i="8" a="1"/>
  <c r="BM22" i="8" s="1"/>
  <c r="BU22" i="8" a="1"/>
  <c r="BU22" i="8" s="1"/>
  <c r="CC22" i="8" a="1"/>
  <c r="CC22" i="8" s="1"/>
  <c r="BS71" i="8" a="1"/>
  <c r="BS71" i="8" s="1"/>
  <c r="CA71" i="8" a="1"/>
  <c r="CA71" i="8" s="1"/>
  <c r="BN96" i="8" a="1"/>
  <c r="BN96" i="8" s="1"/>
  <c r="BV96" i="8" a="1"/>
  <c r="BV96" i="8" s="1"/>
  <c r="CD96" i="8" a="1"/>
  <c r="CD96" i="8" s="1"/>
  <c r="BT103" i="8" a="1"/>
  <c r="BT103" i="8" s="1"/>
  <c r="CB103" i="8" a="1"/>
  <c r="CB103" i="8" s="1"/>
  <c r="CF39" i="8" a="1"/>
  <c r="CF39" i="8" s="1"/>
  <c r="BN54" i="8" a="1"/>
  <c r="BN54" i="8" s="1"/>
  <c r="BR22" i="8" a="1"/>
  <c r="BR22" i="8" s="1"/>
  <c r="BY14" i="8" a="1"/>
  <c r="BY14" i="8" s="1"/>
  <c r="BQ14" i="8" a="1"/>
  <c r="BQ14" i="8" s="1"/>
  <c r="BT39" i="8" a="1"/>
  <c r="BT39" i="8" s="1"/>
  <c r="CB39" i="8" a="1"/>
  <c r="CB39" i="8" s="1"/>
  <c r="BR54" i="8" a="1"/>
  <c r="BR54" i="8" s="1"/>
  <c r="BZ54" i="8" a="1"/>
  <c r="BZ54" i="8" s="1"/>
  <c r="BN22" i="8" a="1"/>
  <c r="BN22" i="8" s="1"/>
  <c r="BV22" i="8" a="1"/>
  <c r="BV22" i="8" s="1"/>
  <c r="CD22" i="8" a="1"/>
  <c r="CD22" i="8" s="1"/>
  <c r="BT71" i="8" a="1"/>
  <c r="BT71" i="8" s="1"/>
  <c r="CB71" i="8" a="1"/>
  <c r="CB71" i="8" s="1"/>
  <c r="BO96" i="8" a="1"/>
  <c r="BO96" i="8" s="1"/>
  <c r="BW96" i="8" a="1"/>
  <c r="BW96" i="8" s="1"/>
  <c r="CE96" i="8" a="1"/>
  <c r="CE96" i="8" s="1"/>
  <c r="BM103" i="8" a="1"/>
  <c r="BM103" i="8" s="1"/>
  <c r="BU103" i="8" a="1"/>
  <c r="BU103" i="8" s="1"/>
  <c r="CC103" i="8" a="1"/>
  <c r="CC103" i="8" s="1"/>
  <c r="BP96" i="8" a="1"/>
  <c r="BP96" i="8" s="1"/>
  <c r="BV103" i="8" a="1"/>
  <c r="BV103" i="8" s="1"/>
  <c r="BW14" i="8" a="1"/>
  <c r="BW14" i="8" s="1"/>
  <c r="BN39" i="8" a="1"/>
  <c r="BN39" i="8" s="1"/>
  <c r="CD39" i="8" a="1"/>
  <c r="CD39" i="8" s="1"/>
  <c r="BT54" i="8" a="1"/>
  <c r="BT54" i="8" s="1"/>
  <c r="BX22" i="8" a="1"/>
  <c r="BX22" i="8" s="1"/>
  <c r="CF22" i="8" a="1"/>
  <c r="CF22" i="8" s="1"/>
  <c r="BN71" i="8" a="1"/>
  <c r="BN71" i="8" s="1"/>
  <c r="CD71" i="8" a="1"/>
  <c r="CD71" i="8" s="1"/>
  <c r="BQ96" i="8" a="1"/>
  <c r="BQ96" i="8" s="1"/>
  <c r="BY96" i="8" a="1"/>
  <c r="BY96" i="8" s="1"/>
  <c r="BO103" i="8" a="1"/>
  <c r="BO103" i="8" s="1"/>
  <c r="BW103" i="8" a="1"/>
  <c r="BW103" i="8" s="1"/>
  <c r="CE103" i="8" a="1"/>
  <c r="CE103" i="8" s="1"/>
  <c r="BM14" i="8" a="1"/>
  <c r="BM14" i="8" s="1"/>
  <c r="BX96" i="8" a="1"/>
  <c r="BX96" i="8" s="1"/>
  <c r="CF96" i="8" a="1"/>
  <c r="CF96" i="8" s="1"/>
  <c r="BN103" i="8" a="1"/>
  <c r="BN103" i="8" s="1"/>
  <c r="CD103" i="8" a="1"/>
  <c r="CD103" i="8" s="1"/>
  <c r="CE14" i="8" a="1"/>
  <c r="CE14" i="8" s="1"/>
  <c r="BO14" i="8" a="1"/>
  <c r="BO14" i="8" s="1"/>
  <c r="BV39" i="8" a="1"/>
  <c r="BV39" i="8" s="1"/>
  <c r="CB54" i="8" a="1"/>
  <c r="CB54" i="8" s="1"/>
  <c r="BP22" i="8" a="1"/>
  <c r="BP22" i="8" s="1"/>
  <c r="BV71" i="8" a="1"/>
  <c r="BV71" i="8" s="1"/>
  <c r="CD14" i="8" a="1"/>
  <c r="CD14" i="8" s="1"/>
  <c r="BV14" i="8" a="1"/>
  <c r="BV14" i="8" s="1"/>
  <c r="BN14" i="8" a="1"/>
  <c r="BN14" i="8" s="1"/>
  <c r="BO39" i="8" a="1"/>
  <c r="BO39" i="8" s="1"/>
  <c r="BW39" i="8" a="1"/>
  <c r="BW39" i="8" s="1"/>
  <c r="CE39" i="8" a="1"/>
  <c r="CE39" i="8" s="1"/>
  <c r="BM54" i="8" a="1"/>
  <c r="BM54" i="8" s="1"/>
  <c r="BU54" i="8" a="1"/>
  <c r="BU54" i="8" s="1"/>
  <c r="CC54" i="8" a="1"/>
  <c r="CC54" i="8" s="1"/>
  <c r="BQ22" i="8" a="1"/>
  <c r="BQ22" i="8" s="1"/>
  <c r="BY22" i="8" a="1"/>
  <c r="BY22" i="8" s="1"/>
  <c r="BO71" i="8" a="1"/>
  <c r="BO71" i="8" s="1"/>
  <c r="BW71" i="8" a="1"/>
  <c r="BW71" i="8" s="1"/>
  <c r="CE71" i="8" a="1"/>
  <c r="CE71" i="8" s="1"/>
  <c r="BR96" i="8" a="1"/>
  <c r="BR96" i="8" s="1"/>
  <c r="BZ96" i="8" a="1"/>
  <c r="BZ96" i="8" s="1"/>
  <c r="BP103" i="8" a="1"/>
  <c r="BP103" i="8" s="1"/>
  <c r="BX103" i="8" a="1"/>
  <c r="BX103" i="8" s="1"/>
  <c r="CF103" i="8" a="1"/>
  <c r="CF103" i="8" s="1"/>
  <c r="BO97" i="8" a="1"/>
  <c r="BO97" i="8" s="1"/>
  <c r="BW97" i="8" a="1"/>
  <c r="BW97" i="8" s="1"/>
  <c r="CE97" i="8" a="1"/>
  <c r="CE97" i="8" s="1"/>
  <c r="BO106" i="8" a="1"/>
  <c r="BO106" i="8" s="1"/>
  <c r="BW106" i="8" a="1"/>
  <c r="BW106" i="8" s="1"/>
  <c r="CE106" i="8" a="1"/>
  <c r="CE106" i="8" s="1"/>
  <c r="BQ104" i="8" a="1"/>
  <c r="BQ104" i="8" s="1"/>
  <c r="BY104" i="8" a="1"/>
  <c r="BY104" i="8" s="1"/>
  <c r="BU72" i="8" a="1"/>
  <c r="BU72" i="8" s="1"/>
  <c r="BZ15" i="8" a="1"/>
  <c r="BZ15" i="8" s="1"/>
  <c r="BS15" i="8" a="1"/>
  <c r="BS15" i="8" s="1"/>
  <c r="BR40" i="8" a="1"/>
  <c r="BR40" i="8" s="1"/>
  <c r="BZ40" i="8" a="1"/>
  <c r="BZ40" i="8" s="1"/>
  <c r="BQ55" i="8" a="1"/>
  <c r="BQ55" i="8" s="1"/>
  <c r="BY55" i="8" a="1"/>
  <c r="BY55" i="8" s="1"/>
  <c r="BU35" i="8" a="1"/>
  <c r="BU35" i="8" s="1"/>
  <c r="CC35" i="8" a="1"/>
  <c r="CC35" i="8" s="1"/>
  <c r="BO23" i="8" a="1"/>
  <c r="BO23" i="8" s="1"/>
  <c r="BW23" i="8" a="1"/>
  <c r="BW23" i="8" s="1"/>
  <c r="CE23" i="8" a="1"/>
  <c r="CE23" i="8" s="1"/>
  <c r="BU17" i="8" a="1"/>
  <c r="BU17" i="8" s="1"/>
  <c r="CC17" i="8" a="1"/>
  <c r="CC17" i="8" s="1"/>
  <c r="BN72" i="8" a="1"/>
  <c r="BN72" i="8" s="1"/>
  <c r="BV72" i="8" a="1"/>
  <c r="BV72" i="8" s="1"/>
  <c r="CD72" i="8" a="1"/>
  <c r="CD72" i="8" s="1"/>
  <c r="BP97" i="8" a="1"/>
  <c r="BP97" i="8" s="1"/>
  <c r="BX97" i="8" a="1"/>
  <c r="BX97" i="8" s="1"/>
  <c r="CF97" i="8" a="1"/>
  <c r="CF97" i="8" s="1"/>
  <c r="BP106" i="8" a="1"/>
  <c r="BP106" i="8" s="1"/>
  <c r="BX106" i="8" a="1"/>
  <c r="BX106" i="8" s="1"/>
  <c r="CF106" i="8" a="1"/>
  <c r="CF106" i="8" s="1"/>
  <c r="BR104" i="8" a="1"/>
  <c r="BR104" i="8" s="1"/>
  <c r="BZ104" i="8" a="1"/>
  <c r="BZ104" i="8" s="1"/>
  <c r="BS104" i="8" a="1"/>
  <c r="BS104" i="8" s="1"/>
  <c r="CA104" i="8" a="1"/>
  <c r="CA104" i="8" s="1"/>
  <c r="BR15" i="8" a="1"/>
  <c r="BR15" i="8" s="1"/>
  <c r="CA40" i="8" a="1"/>
  <c r="CA40" i="8" s="1"/>
  <c r="BR55" i="8" a="1"/>
  <c r="BR55" i="8" s="1"/>
  <c r="BN35" i="8" a="1"/>
  <c r="BN35" i="8" s="1"/>
  <c r="CD35" i="8" a="1"/>
  <c r="CD35" i="8" s="1"/>
  <c r="BP23" i="8" a="1"/>
  <c r="BP23" i="8" s="1"/>
  <c r="CF23" i="8" a="1"/>
  <c r="CF23" i="8" s="1"/>
  <c r="BX15" i="8" a="1"/>
  <c r="BX15" i="8" s="1"/>
  <c r="BT40" i="8" a="1"/>
  <c r="BT40" i="8" s="1"/>
  <c r="CB40" i="8" a="1"/>
  <c r="CB40" i="8" s="1"/>
  <c r="BS55" i="8" a="1"/>
  <c r="BS55" i="8" s="1"/>
  <c r="CA55" i="8" a="1"/>
  <c r="CA55" i="8" s="1"/>
  <c r="BO35" i="8" a="1"/>
  <c r="BO35" i="8" s="1"/>
  <c r="BW35" i="8" a="1"/>
  <c r="BW35" i="8" s="1"/>
  <c r="CE35" i="8" a="1"/>
  <c r="CE35" i="8" s="1"/>
  <c r="BQ23" i="8" a="1"/>
  <c r="BQ23" i="8" s="1"/>
  <c r="BY23" i="8" a="1"/>
  <c r="BY23" i="8" s="1"/>
  <c r="BO17" i="8" a="1"/>
  <c r="BO17" i="8" s="1"/>
  <c r="BW17" i="8" a="1"/>
  <c r="BW17" i="8" s="1"/>
  <c r="CE17" i="8" a="1"/>
  <c r="CE17" i="8" s="1"/>
  <c r="BP72" i="8" a="1"/>
  <c r="BP72" i="8" s="1"/>
  <c r="BX72" i="8" a="1"/>
  <c r="BX72" i="8" s="1"/>
  <c r="CF72" i="8" a="1"/>
  <c r="CF72" i="8" s="1"/>
  <c r="BR97" i="8" a="1"/>
  <c r="BR97" i="8" s="1"/>
  <c r="BZ97" i="8" a="1"/>
  <c r="BZ97" i="8" s="1"/>
  <c r="BR106" i="8" a="1"/>
  <c r="BR106" i="8" s="1"/>
  <c r="BZ106" i="8" a="1"/>
  <c r="BZ106" i="8" s="1"/>
  <c r="BT104" i="8" a="1"/>
  <c r="BT104" i="8" s="1"/>
  <c r="G118" i="6"/>
  <c r="BM17" i="8" s="1" a="1"/>
  <c r="BM17" i="8" s="1"/>
  <c r="BV3" i="8" a="1"/>
  <c r="BV3" i="8" s="1"/>
  <c r="CA3" i="8" a="1"/>
  <c r="CA3" i="8" s="1"/>
  <c r="CC3" i="8" a="1"/>
  <c r="CC3" i="8" s="1"/>
  <c r="CB3" i="8" a="1"/>
  <c r="CB3" i="8" s="1"/>
  <c r="BT3" i="8" a="1"/>
  <c r="BT3" i="8" s="1"/>
  <c r="BS3" i="8" a="1"/>
  <c r="BS3" i="8" s="1"/>
  <c r="BZ3" i="8" a="1"/>
  <c r="BZ3" i="8" s="1"/>
  <c r="BY3" i="8" a="1"/>
  <c r="BY3" i="8" s="1"/>
  <c r="BQ3" i="8" a="1"/>
  <c r="BQ3" i="8" s="1"/>
  <c r="CF3" i="8" a="1"/>
  <c r="CF3" i="8" s="1"/>
  <c r="BX3" i="8" a="1"/>
  <c r="BX3" i="8" s="1"/>
  <c r="BP3" i="8" a="1"/>
  <c r="BP3" i="8" s="1"/>
  <c r="CE3" i="8" a="1"/>
  <c r="CE3" i="8" s="1"/>
  <c r="BW3" i="8" a="1"/>
  <c r="BW3" i="8" s="1"/>
  <c r="BO3" i="8" a="1"/>
  <c r="BO3" i="8" s="1"/>
  <c r="CD3" i="8" a="1"/>
  <c r="CD3" i="8" s="1"/>
  <c r="BN3" i="8" a="1"/>
  <c r="BN3" i="8" s="1"/>
  <c r="BU3" i="8" a="1"/>
  <c r="BU3" i="8" s="1"/>
  <c r="BR3" i="8" a="1"/>
  <c r="BR3" i="8" s="1"/>
  <c r="CE15" i="8" a="1"/>
  <c r="CE15" i="8" s="1"/>
  <c r="BP15" i="8" a="1"/>
  <c r="BP15" i="8" s="1"/>
  <c r="BU40" i="8" a="1"/>
  <c r="BU40" i="8" s="1"/>
  <c r="CC40" i="8" a="1"/>
  <c r="CC40" i="8" s="1"/>
  <c r="BT55" i="8" a="1"/>
  <c r="BT55" i="8" s="1"/>
  <c r="CB55" i="8" a="1"/>
  <c r="CB55" i="8" s="1"/>
  <c r="BP35" i="8" a="1"/>
  <c r="BP35" i="8" s="1"/>
  <c r="BX35" i="8" a="1"/>
  <c r="BX35" i="8" s="1"/>
  <c r="CF35" i="8" a="1"/>
  <c r="CF35" i="8" s="1"/>
  <c r="BR23" i="8" a="1"/>
  <c r="BR23" i="8" s="1"/>
  <c r="BZ23" i="8" a="1"/>
  <c r="BZ23" i="8" s="1"/>
  <c r="BP17" i="8" a="1"/>
  <c r="BP17" i="8" s="1"/>
  <c r="BX17" i="8" a="1"/>
  <c r="BX17" i="8" s="1"/>
  <c r="CF17" i="8" a="1"/>
  <c r="CF17" i="8" s="1"/>
  <c r="BQ72" i="8" a="1"/>
  <c r="BQ72" i="8" s="1"/>
  <c r="BY72" i="8" a="1"/>
  <c r="BY72" i="8" s="1"/>
  <c r="BS97" i="8" a="1"/>
  <c r="BS97" i="8" s="1"/>
  <c r="CA97" i="8" a="1"/>
  <c r="CA97" i="8" s="1"/>
  <c r="BS106" i="8" a="1"/>
  <c r="BS106" i="8" s="1"/>
  <c r="CA106" i="8" a="1"/>
  <c r="CA106" i="8" s="1"/>
  <c r="BU104" i="8" a="1"/>
  <c r="BU104" i="8" s="1"/>
  <c r="CC104" i="8" a="1"/>
  <c r="CC104" i="8" s="1"/>
  <c r="BN17" i="8" a="1"/>
  <c r="BN17" i="8" s="1"/>
  <c r="CD17" i="8" a="1"/>
  <c r="CD17" i="8" s="1"/>
  <c r="BO72" i="8" a="1"/>
  <c r="BO72" i="8" s="1"/>
  <c r="BY97" i="8" a="1"/>
  <c r="BY97" i="8" s="1"/>
  <c r="BQ106" i="8" a="1"/>
  <c r="BQ106" i="8" s="1"/>
  <c r="CF15" i="8" a="1"/>
  <c r="CF15" i="8" s="1"/>
  <c r="CD15" i="8" a="1"/>
  <c r="CD15" i="8" s="1"/>
  <c r="BO15" i="8" a="1"/>
  <c r="BO15" i="8" s="1"/>
  <c r="BN40" i="8" a="1"/>
  <c r="BN40" i="8" s="1"/>
  <c r="BU55" i="8" a="1"/>
  <c r="BU55" i="8" s="1"/>
  <c r="CC55" i="8" a="1"/>
  <c r="CC55" i="8" s="1"/>
  <c r="BQ35" i="8" a="1"/>
  <c r="BQ35" i="8" s="1"/>
  <c r="BY35" i="8" a="1"/>
  <c r="BY35" i="8" s="1"/>
  <c r="BS23" i="8" a="1"/>
  <c r="BS23" i="8" s="1"/>
  <c r="CA23" i="8" a="1"/>
  <c r="CA23" i="8" s="1"/>
  <c r="BQ17" i="8" a="1"/>
  <c r="BQ17" i="8" s="1"/>
  <c r="BY17" i="8" a="1"/>
  <c r="BY17" i="8" s="1"/>
  <c r="BR72" i="8" a="1"/>
  <c r="BR72" i="8" s="1"/>
  <c r="BZ72" i="8" a="1"/>
  <c r="BZ72" i="8" s="1"/>
  <c r="BT97" i="8" a="1"/>
  <c r="BT97" i="8" s="1"/>
  <c r="CB97" i="8" a="1"/>
  <c r="CB97" i="8" s="1"/>
  <c r="BT106" i="8" a="1"/>
  <c r="BT106" i="8" s="1"/>
  <c r="CB106" i="8" a="1"/>
  <c r="CB106" i="8" s="1"/>
  <c r="BN104" i="8" a="1"/>
  <c r="BN104" i="8" s="1"/>
  <c r="BV104" i="8" a="1"/>
  <c r="BV104" i="8" s="1"/>
  <c r="CD104" i="8" a="1"/>
  <c r="CD104" i="8" s="1"/>
  <c r="BS40" i="8" a="1"/>
  <c r="BS40" i="8" s="1"/>
  <c r="BZ55" i="8" a="1"/>
  <c r="BZ55" i="8" s="1"/>
  <c r="BV35" i="8" a="1"/>
  <c r="BV35" i="8" s="1"/>
  <c r="BX23" i="8" a="1"/>
  <c r="BX23" i="8" s="1"/>
  <c r="BV17" i="8" a="1"/>
  <c r="BV17" i="8" s="1"/>
  <c r="BW72" i="8" a="1"/>
  <c r="BW72" i="8" s="1"/>
  <c r="CE72" i="8" a="1"/>
  <c r="CE72" i="8" s="1"/>
  <c r="BQ97" i="8" a="1"/>
  <c r="BQ97" i="8" s="1"/>
  <c r="BY106" i="8" a="1"/>
  <c r="BY106" i="8" s="1"/>
  <c r="BQ15" i="8" a="1"/>
  <c r="BQ15" i="8" s="1"/>
  <c r="BW15" i="8" a="1"/>
  <c r="BW15" i="8" s="1"/>
  <c r="BV40" i="8" a="1"/>
  <c r="BV40" i="8" s="1"/>
  <c r="CD40" i="8" a="1"/>
  <c r="CD40" i="8" s="1"/>
  <c r="CC15" i="8" a="1"/>
  <c r="CC15" i="8" s="1"/>
  <c r="BV15" i="8" a="1"/>
  <c r="BV15" i="8" s="1"/>
  <c r="BN15" i="8" a="1"/>
  <c r="BN15" i="8" s="1"/>
  <c r="BO40" i="8" a="1"/>
  <c r="BO40" i="8" s="1"/>
  <c r="BW40" i="8" a="1"/>
  <c r="BW40" i="8" s="1"/>
  <c r="CE40" i="8" a="1"/>
  <c r="CE40" i="8" s="1"/>
  <c r="BN55" i="8" a="1"/>
  <c r="BN55" i="8" s="1"/>
  <c r="BV55" i="8" a="1"/>
  <c r="BV55" i="8" s="1"/>
  <c r="CD55" i="8" a="1"/>
  <c r="CD55" i="8" s="1"/>
  <c r="BR35" i="8" a="1"/>
  <c r="BR35" i="8" s="1"/>
  <c r="BZ35" i="8" a="1"/>
  <c r="BZ35" i="8" s="1"/>
  <c r="BT23" i="8" a="1"/>
  <c r="BT23" i="8" s="1"/>
  <c r="CB23" i="8" a="1"/>
  <c r="CB23" i="8" s="1"/>
  <c r="BR17" i="8" a="1"/>
  <c r="BR17" i="8" s="1"/>
  <c r="BZ17" i="8" a="1"/>
  <c r="BZ17" i="8" s="1"/>
  <c r="BS72" i="8" a="1"/>
  <c r="BS72" i="8" s="1"/>
  <c r="CA72" i="8" a="1"/>
  <c r="CA72" i="8" s="1"/>
  <c r="BU97" i="8" a="1"/>
  <c r="BU97" i="8" s="1"/>
  <c r="CC97" i="8" a="1"/>
  <c r="CC97" i="8" s="1"/>
  <c r="BU106" i="8" a="1"/>
  <c r="BU106" i="8" s="1"/>
  <c r="CC106" i="8" a="1"/>
  <c r="CC106" i="8" s="1"/>
  <c r="BO104" i="8" a="1"/>
  <c r="BO104" i="8" s="1"/>
  <c r="BW104" i="8" a="1"/>
  <c r="BW104" i="8" s="1"/>
  <c r="CE104" i="8" a="1"/>
  <c r="CE104" i="8" s="1"/>
  <c r="BV106" i="8" a="1"/>
  <c r="BV106" i="8" s="1"/>
  <c r="CD106" i="8" a="1"/>
  <c r="CD106" i="8" s="1"/>
  <c r="BP104" i="8" a="1"/>
  <c r="BP104" i="8" s="1"/>
  <c r="BX104" i="8" a="1"/>
  <c r="BX104" i="8" s="1"/>
  <c r="CF104" i="8" a="1"/>
  <c r="CF104" i="8" s="1"/>
  <c r="BN100" i="8" a="1"/>
  <c r="BN100" i="8" s="1"/>
  <c r="BV100" i="8" a="1"/>
  <c r="BV100" i="8" s="1"/>
  <c r="CD100" i="8" a="1"/>
  <c r="CD100" i="8" s="1"/>
  <c r="BN41" i="8" a="1"/>
  <c r="BN41" i="8" s="1"/>
  <c r="CD41" i="8" a="1"/>
  <c r="CD41" i="8" s="1"/>
  <c r="BQ36" i="8" a="1"/>
  <c r="BQ36" i="8" s="1"/>
  <c r="CC24" i="8" a="1"/>
  <c r="CC24" i="8" s="1"/>
  <c r="BV64" i="8" a="1"/>
  <c r="BV64" i="8" s="1"/>
  <c r="BP77" i="8" a="1"/>
  <c r="BP77" i="8" s="1"/>
  <c r="BN98" i="8" a="1"/>
  <c r="BN98" i="8" s="1"/>
  <c r="BN107" i="8" a="1"/>
  <c r="BN107" i="8" s="1"/>
  <c r="CD107" i="8" a="1"/>
  <c r="CD107" i="8" s="1"/>
  <c r="CF100" i="8" a="1"/>
  <c r="CF100" i="8" s="1"/>
  <c r="BO41" i="8" a="1"/>
  <c r="BO41" i="8" s="1"/>
  <c r="BW41" i="8" a="1"/>
  <c r="BW41" i="8" s="1"/>
  <c r="CE41" i="8" a="1"/>
  <c r="CE41" i="8" s="1"/>
  <c r="BN56" i="8" a="1"/>
  <c r="BN56" i="8" s="1"/>
  <c r="BV56" i="8" a="1"/>
  <c r="BV56" i="8" s="1"/>
  <c r="CD56" i="8" a="1"/>
  <c r="CD56" i="8" s="1"/>
  <c r="BR36" i="8" a="1"/>
  <c r="BR36" i="8" s="1"/>
  <c r="BZ36" i="8" a="1"/>
  <c r="BZ36" i="8" s="1"/>
  <c r="BN24" i="8" a="1"/>
  <c r="BN24" i="8" s="1"/>
  <c r="BV24" i="8" a="1"/>
  <c r="BV24" i="8" s="1"/>
  <c r="CD24" i="8" a="1"/>
  <c r="CD24" i="8" s="1"/>
  <c r="BT18" i="8" a="1"/>
  <c r="BT18" i="8" s="1"/>
  <c r="CB18" i="8" a="1"/>
  <c r="CB18" i="8" s="1"/>
  <c r="BO64" i="8" a="1"/>
  <c r="BO64" i="8" s="1"/>
  <c r="BW64" i="8" a="1"/>
  <c r="BW64" i="8" s="1"/>
  <c r="CE64" i="8" a="1"/>
  <c r="CE64" i="8" s="1"/>
  <c r="CF73" i="8" a="1"/>
  <c r="CF73" i="8" s="1"/>
  <c r="BX73" i="8" a="1"/>
  <c r="BX73" i="8" s="1"/>
  <c r="BP73" i="8" a="1"/>
  <c r="BP73" i="8" s="1"/>
  <c r="BQ77" i="8" a="1"/>
  <c r="BQ77" i="8" s="1"/>
  <c r="BY77" i="8" a="1"/>
  <c r="BY77" i="8" s="1"/>
  <c r="BO98" i="8" a="1"/>
  <c r="BO98" i="8" s="1"/>
  <c r="BW98" i="8" a="1"/>
  <c r="BW98" i="8" s="1"/>
  <c r="CE98" i="8" a="1"/>
  <c r="CE98" i="8" s="1"/>
  <c r="BO107" i="8" a="1"/>
  <c r="BO107" i="8" s="1"/>
  <c r="BW107" i="8" a="1"/>
  <c r="BW107" i="8" s="1"/>
  <c r="CE107" i="8" a="1"/>
  <c r="CE107" i="8" s="1"/>
  <c r="BQ100" i="8" a="1"/>
  <c r="BQ100" i="8" s="1"/>
  <c r="BY100" i="8" a="1"/>
  <c r="BY100" i="8" s="1"/>
  <c r="BU56" i="8" a="1"/>
  <c r="BU56" i="8" s="1"/>
  <c r="CA18" i="8" a="1"/>
  <c r="CA18" i="8" s="1"/>
  <c r="BN64" i="8" a="1"/>
  <c r="BN64" i="8" s="1"/>
  <c r="BY73" i="8" a="1"/>
  <c r="BY73" i="8" s="1"/>
  <c r="BX77" i="8" a="1"/>
  <c r="BX77" i="8" s="1"/>
  <c r="BV98" i="8" a="1"/>
  <c r="BV98" i="8" s="1"/>
  <c r="BP100" i="8" a="1"/>
  <c r="BP100" i="8" s="1"/>
  <c r="BX100" i="8" a="1"/>
  <c r="BX100" i="8" s="1"/>
  <c r="BP41" i="8" a="1"/>
  <c r="BP41" i="8" s="1"/>
  <c r="BX41" i="8" a="1"/>
  <c r="BX41" i="8" s="1"/>
  <c r="CF41" i="8" a="1"/>
  <c r="CF41" i="8" s="1"/>
  <c r="BO56" i="8" a="1"/>
  <c r="BO56" i="8" s="1"/>
  <c r="BW56" i="8" a="1"/>
  <c r="BW56" i="8" s="1"/>
  <c r="CE56" i="8" a="1"/>
  <c r="CE56" i="8" s="1"/>
  <c r="BS36" i="8" a="1"/>
  <c r="BS36" i="8" s="1"/>
  <c r="CA36" i="8" a="1"/>
  <c r="CA36" i="8" s="1"/>
  <c r="BO24" i="8" a="1"/>
  <c r="BO24" i="8" s="1"/>
  <c r="BW24" i="8" a="1"/>
  <c r="BW24" i="8" s="1"/>
  <c r="CE24" i="8" a="1"/>
  <c r="CE24" i="8" s="1"/>
  <c r="BU18" i="8" a="1"/>
  <c r="BU18" i="8" s="1"/>
  <c r="CC18" i="8" a="1"/>
  <c r="CC18" i="8" s="1"/>
  <c r="BP64" i="8" a="1"/>
  <c r="BP64" i="8" s="1"/>
  <c r="BX64" i="8" a="1"/>
  <c r="BX64" i="8" s="1"/>
  <c r="CF64" i="8" a="1"/>
  <c r="CF64" i="8" s="1"/>
  <c r="CE73" i="8" a="1"/>
  <c r="CE73" i="8" s="1"/>
  <c r="BW73" i="8" a="1"/>
  <c r="BW73" i="8" s="1"/>
  <c r="BO73" i="8" a="1"/>
  <c r="BO73" i="8" s="1"/>
  <c r="BR77" i="8" a="1"/>
  <c r="BR77" i="8" s="1"/>
  <c r="BZ77" i="8" a="1"/>
  <c r="BZ77" i="8" s="1"/>
  <c r="BP98" i="8" a="1"/>
  <c r="BP98" i="8" s="1"/>
  <c r="BX98" i="8" a="1"/>
  <c r="BX98" i="8" s="1"/>
  <c r="CF98" i="8" a="1"/>
  <c r="CF98" i="8" s="1"/>
  <c r="BP107" i="8" a="1"/>
  <c r="BP107" i="8" s="1"/>
  <c r="BX107" i="8" a="1"/>
  <c r="BX107" i="8" s="1"/>
  <c r="CF107" i="8" a="1"/>
  <c r="CF107" i="8" s="1"/>
  <c r="BR100" i="8" a="1"/>
  <c r="BR100" i="8" s="1"/>
  <c r="BZ100" i="8" a="1"/>
  <c r="BZ100" i="8" s="1"/>
  <c r="BV41" i="8" a="1"/>
  <c r="BV41" i="8" s="1"/>
  <c r="CC56" i="8" a="1"/>
  <c r="CC56" i="8" s="1"/>
  <c r="BY36" i="8" a="1"/>
  <c r="BY36" i="8" s="1"/>
  <c r="BU24" i="8" a="1"/>
  <c r="BU24" i="8" s="1"/>
  <c r="CD64" i="8" a="1"/>
  <c r="CD64" i="8" s="1"/>
  <c r="BQ73" i="8" a="1"/>
  <c r="BQ73" i="8" s="1"/>
  <c r="CF77" i="8" a="1"/>
  <c r="CF77" i="8" s="1"/>
  <c r="CD98" i="8" a="1"/>
  <c r="CD98" i="8" s="1"/>
  <c r="BQ41" i="8" a="1"/>
  <c r="BQ41" i="8" s="1"/>
  <c r="BY41" i="8" a="1"/>
  <c r="BY41" i="8" s="1"/>
  <c r="BP56" i="8" a="1"/>
  <c r="BP56" i="8" s="1"/>
  <c r="BX56" i="8" a="1"/>
  <c r="BX56" i="8" s="1"/>
  <c r="CF56" i="8" a="1"/>
  <c r="CF56" i="8" s="1"/>
  <c r="BT36" i="8" a="1"/>
  <c r="BT36" i="8" s="1"/>
  <c r="CB36" i="8" a="1"/>
  <c r="CB36" i="8" s="1"/>
  <c r="BP24" i="8" a="1"/>
  <c r="BP24" i="8" s="1"/>
  <c r="BX24" i="8" a="1"/>
  <c r="BX24" i="8" s="1"/>
  <c r="CF24" i="8" a="1"/>
  <c r="CF24" i="8" s="1"/>
  <c r="BN18" i="8" a="1"/>
  <c r="BN18" i="8" s="1"/>
  <c r="BV18" i="8" a="1"/>
  <c r="BV18" i="8" s="1"/>
  <c r="CD18" i="8" a="1"/>
  <c r="CD18" i="8" s="1"/>
  <c r="BQ64" i="8" a="1"/>
  <c r="BQ64" i="8" s="1"/>
  <c r="BY64" i="8" a="1"/>
  <c r="BY64" i="8" s="1"/>
  <c r="CD73" i="8" a="1"/>
  <c r="CD73" i="8" s="1"/>
  <c r="BV73" i="8" a="1"/>
  <c r="BV73" i="8" s="1"/>
  <c r="BN73" i="8" a="1"/>
  <c r="BN73" i="8" s="1"/>
  <c r="BS77" i="8" a="1"/>
  <c r="BS77" i="8" s="1"/>
  <c r="CA77" i="8" a="1"/>
  <c r="CA77" i="8" s="1"/>
  <c r="BQ98" i="8" a="1"/>
  <c r="BQ98" i="8" s="1"/>
  <c r="BY98" i="8" a="1"/>
  <c r="BY98" i="8" s="1"/>
  <c r="BQ107" i="8" a="1"/>
  <c r="BQ107" i="8" s="1"/>
  <c r="BY107" i="8" a="1"/>
  <c r="BY107" i="8" s="1"/>
  <c r="BS100" i="8" a="1"/>
  <c r="BS100" i="8" s="1"/>
  <c r="G119" i="6"/>
  <c r="BM56" i="8" s="1" a="1"/>
  <c r="BM56" i="8" s="1"/>
  <c r="BZ4" i="8" a="1"/>
  <c r="BZ4" i="8" s="1"/>
  <c r="BS4" i="8" a="1"/>
  <c r="BS4" i="8" s="1"/>
  <c r="BW4" i="8" a="1"/>
  <c r="BW4" i="8" s="1"/>
  <c r="CC4" i="8" a="1"/>
  <c r="CC4" i="8" s="1"/>
  <c r="BO4" i="8" a="1"/>
  <c r="BO4" i="8" s="1"/>
  <c r="CB4" i="8" a="1"/>
  <c r="CB4" i="8" s="1"/>
  <c r="BN4" i="8" a="1"/>
  <c r="BN4" i="8" s="1"/>
  <c r="CF4" i="8" a="1"/>
  <c r="CF4" i="8" s="1"/>
  <c r="BY4" i="8" a="1"/>
  <c r="BY4" i="8" s="1"/>
  <c r="BR4" i="8" a="1"/>
  <c r="BR4" i="8" s="1"/>
  <c r="BV4" i="8" a="1"/>
  <c r="BV4" i="8" s="1"/>
  <c r="BT4" i="8" a="1"/>
  <c r="BT4" i="8" s="1"/>
  <c r="BX4" i="8" a="1"/>
  <c r="BX4" i="8" s="1"/>
  <c r="BQ4" i="8" a="1"/>
  <c r="BQ4" i="8" s="1"/>
  <c r="CD4" i="8" a="1"/>
  <c r="CD4" i="8" s="1"/>
  <c r="BP4" i="8" a="1"/>
  <c r="BP4" i="8" s="1"/>
  <c r="CE4" i="8" a="1"/>
  <c r="CE4" i="8" s="1"/>
  <c r="BU4" i="8" a="1"/>
  <c r="BU4" i="8" s="1"/>
  <c r="CA4" i="8" a="1"/>
  <c r="CA4" i="8" s="1"/>
  <c r="BR41" i="8" a="1"/>
  <c r="BR41" i="8" s="1"/>
  <c r="BZ41" i="8" a="1"/>
  <c r="BZ41" i="8" s="1"/>
  <c r="BQ56" i="8" a="1"/>
  <c r="BQ56" i="8" s="1"/>
  <c r="BY56" i="8" a="1"/>
  <c r="BY56" i="8" s="1"/>
  <c r="BU36" i="8" a="1"/>
  <c r="BU36" i="8" s="1"/>
  <c r="CC36" i="8" a="1"/>
  <c r="CC36" i="8" s="1"/>
  <c r="BQ24" i="8" a="1"/>
  <c r="BQ24" i="8" s="1"/>
  <c r="BY24" i="8" a="1"/>
  <c r="BY24" i="8" s="1"/>
  <c r="BO18" i="8" a="1"/>
  <c r="BO18" i="8" s="1"/>
  <c r="BW18" i="8" a="1"/>
  <c r="BW18" i="8" s="1"/>
  <c r="CE18" i="8" a="1"/>
  <c r="CE18" i="8" s="1"/>
  <c r="BR64" i="8" a="1"/>
  <c r="BR64" i="8" s="1"/>
  <c r="BZ64" i="8" a="1"/>
  <c r="BZ64" i="8" s="1"/>
  <c r="CC73" i="8" a="1"/>
  <c r="CC73" i="8" s="1"/>
  <c r="BU73" i="8" a="1"/>
  <c r="BU73" i="8" s="1"/>
  <c r="BT77" i="8" a="1"/>
  <c r="BT77" i="8" s="1"/>
  <c r="CB77" i="8" a="1"/>
  <c r="CB77" i="8" s="1"/>
  <c r="BR98" i="8" a="1"/>
  <c r="BR98" i="8" s="1"/>
  <c r="BZ98" i="8" a="1"/>
  <c r="BZ98" i="8" s="1"/>
  <c r="BR107" i="8" a="1"/>
  <c r="BR107" i="8" s="1"/>
  <c r="BZ107" i="8" a="1"/>
  <c r="BZ107" i="8" s="1"/>
  <c r="BT100" i="8" a="1"/>
  <c r="BT100" i="8" s="1"/>
  <c r="CB100" i="8" a="1"/>
  <c r="CB100" i="8" s="1"/>
  <c r="BS18" i="8" a="1"/>
  <c r="BS18" i="8" s="1"/>
  <c r="BV107" i="8" a="1"/>
  <c r="BV107" i="8" s="1"/>
  <c r="BS41" i="8" a="1"/>
  <c r="BS41" i="8" s="1"/>
  <c r="CA41" i="8" a="1"/>
  <c r="CA41" i="8" s="1"/>
  <c r="BR56" i="8" a="1"/>
  <c r="BR56" i="8" s="1"/>
  <c r="BZ56" i="8" a="1"/>
  <c r="BZ56" i="8" s="1"/>
  <c r="BN36" i="8" a="1"/>
  <c r="BN36" i="8" s="1"/>
  <c r="BV36" i="8" a="1"/>
  <c r="BV36" i="8" s="1"/>
  <c r="CD36" i="8" a="1"/>
  <c r="CD36" i="8" s="1"/>
  <c r="BR24" i="8" a="1"/>
  <c r="BR24" i="8" s="1"/>
  <c r="BZ24" i="8" a="1"/>
  <c r="BZ24" i="8" s="1"/>
  <c r="BP18" i="8" a="1"/>
  <c r="BP18" i="8" s="1"/>
  <c r="BX18" i="8" a="1"/>
  <c r="BX18" i="8" s="1"/>
  <c r="CF18" i="8" a="1"/>
  <c r="CF18" i="8" s="1"/>
  <c r="BS64" i="8" a="1"/>
  <c r="BS64" i="8" s="1"/>
  <c r="CA64" i="8" a="1"/>
  <c r="CA64" i="8" s="1"/>
  <c r="CB73" i="8" a="1"/>
  <c r="CB73" i="8" s="1"/>
  <c r="BT73" i="8" a="1"/>
  <c r="BT73" i="8" s="1"/>
  <c r="BM77" i="8" a="1"/>
  <c r="BM77" i="8" s="1"/>
  <c r="BU77" i="8" a="1"/>
  <c r="BU77" i="8" s="1"/>
  <c r="CC77" i="8" a="1"/>
  <c r="CC77" i="8" s="1"/>
  <c r="BS98" i="8" a="1"/>
  <c r="BS98" i="8" s="1"/>
  <c r="CA98" i="8" a="1"/>
  <c r="CA98" i="8" s="1"/>
  <c r="BS107" i="8" a="1"/>
  <c r="BS107" i="8" s="1"/>
  <c r="CA107" i="8" a="1"/>
  <c r="CA107" i="8" s="1"/>
  <c r="BU100" i="8" a="1"/>
  <c r="BU100" i="8" s="1"/>
  <c r="CC100" i="8" a="1"/>
  <c r="CC100" i="8" s="1"/>
  <c r="BR25" i="8" a="1"/>
  <c r="BR25" i="8" s="1"/>
  <c r="BZ25" i="8" a="1"/>
  <c r="BZ25" i="8" s="1"/>
  <c r="BN19" i="8" a="1"/>
  <c r="BN19" i="8" s="1"/>
  <c r="BU19" i="8" a="1"/>
  <c r="BU19" i="8" s="1"/>
  <c r="BU65" i="8" a="1"/>
  <c r="BU65" i="8" s="1"/>
  <c r="CC65" i="8" a="1"/>
  <c r="CC65" i="8" s="1"/>
  <c r="CC74" i="8" a="1"/>
  <c r="CC74" i="8" s="1"/>
  <c r="BV74" i="8" a="1"/>
  <c r="BV74" i="8" s="1"/>
  <c r="BN74" i="8" a="1"/>
  <c r="BN74" i="8" s="1"/>
  <c r="BS78" i="8" a="1"/>
  <c r="BS78" i="8" s="1"/>
  <c r="CA78" i="8" a="1"/>
  <c r="CA78" i="8" s="1"/>
  <c r="BT108" i="8" a="1"/>
  <c r="BT108" i="8" s="1"/>
  <c r="CB108" i="8" a="1"/>
  <c r="CB108" i="8" s="1"/>
  <c r="BS101" i="8" a="1"/>
  <c r="BS101" i="8" s="1"/>
  <c r="CA101" i="8" a="1"/>
  <c r="CA101" i="8" s="1"/>
  <c r="CC101" i="8" a="1"/>
  <c r="CC101" i="8" s="1"/>
  <c r="BO42" i="8" a="1"/>
  <c r="BO42" i="8" s="1"/>
  <c r="BN37" i="8" a="1"/>
  <c r="BN37" i="8" s="1"/>
  <c r="BW19" i="8" a="1"/>
  <c r="BW19" i="8" s="1"/>
  <c r="BO65" i="8" a="1"/>
  <c r="BO65" i="8" s="1"/>
  <c r="CC78" i="8" a="1"/>
  <c r="CC78" i="8" s="1"/>
  <c r="BN108" i="8" a="1"/>
  <c r="BN108" i="8" s="1"/>
  <c r="BV108" i="8" a="1"/>
  <c r="BV108" i="8" s="1"/>
  <c r="BP42" i="8" a="1"/>
  <c r="BP42" i="8" s="1"/>
  <c r="BX42" i="8" a="1"/>
  <c r="BX42" i="8" s="1"/>
  <c r="CF42" i="8" a="1"/>
  <c r="CF42" i="8" s="1"/>
  <c r="BT44" i="8" a="1"/>
  <c r="BT44" i="8" s="1"/>
  <c r="CB44" i="8" a="1"/>
  <c r="CB44" i="8" s="1"/>
  <c r="BO37" i="8" a="1"/>
  <c r="BO37" i="8" s="1"/>
  <c r="BW37" i="8" a="1"/>
  <c r="BW37" i="8" s="1"/>
  <c r="CE37" i="8" a="1"/>
  <c r="CE37" i="8" s="1"/>
  <c r="BU25" i="8" a="1"/>
  <c r="BU25" i="8" s="1"/>
  <c r="CC25" i="8" a="1"/>
  <c r="CC25" i="8" s="1"/>
  <c r="BQ19" i="8" a="1"/>
  <c r="BQ19" i="8" s="1"/>
  <c r="BX19" i="8" a="1"/>
  <c r="BX19" i="8" s="1"/>
  <c r="CD19" i="8" a="1"/>
  <c r="CD19" i="8" s="1"/>
  <c r="BP65" i="8" a="1"/>
  <c r="BP65" i="8" s="1"/>
  <c r="BX65" i="8" a="1"/>
  <c r="BX65" i="8" s="1"/>
  <c r="CF65" i="8" a="1"/>
  <c r="CF65" i="8" s="1"/>
  <c r="CA74" i="8" a="1"/>
  <c r="CA74" i="8" s="1"/>
  <c r="BS74" i="8" a="1"/>
  <c r="BS74" i="8" s="1"/>
  <c r="BN78" i="8" a="1"/>
  <c r="BN78" i="8" s="1"/>
  <c r="BV78" i="8" a="1"/>
  <c r="BV78" i="8" s="1"/>
  <c r="CD78" i="8" a="1"/>
  <c r="CD78" i="8" s="1"/>
  <c r="BO108" i="8" a="1"/>
  <c r="BO108" i="8" s="1"/>
  <c r="BW108" i="8" a="1"/>
  <c r="BW108" i="8" s="1"/>
  <c r="CE108" i="8" a="1"/>
  <c r="CE108" i="8" s="1"/>
  <c r="BN101" i="8" a="1"/>
  <c r="BN101" i="8" s="1"/>
  <c r="BV101" i="8" a="1"/>
  <c r="BV101" i="8" s="1"/>
  <c r="G120" i="6"/>
  <c r="BM25" i="8" s="1" a="1"/>
  <c r="BM25" i="8" s="1"/>
  <c r="BW5" i="8" a="1"/>
  <c r="BW5" i="8" s="1"/>
  <c r="BP5" i="8" a="1"/>
  <c r="BP5" i="8" s="1"/>
  <c r="BT5" i="8" a="1"/>
  <c r="BT5" i="8" s="1"/>
  <c r="CC5" i="8" a="1"/>
  <c r="CC5" i="8" s="1"/>
  <c r="BV5" i="8" a="1"/>
  <c r="BV5" i="8" s="1"/>
  <c r="BO5" i="8" a="1"/>
  <c r="BO5" i="8" s="1"/>
  <c r="CB5" i="8" a="1"/>
  <c r="CB5" i="8" s="1"/>
  <c r="BN5" i="8" a="1"/>
  <c r="BN5" i="8" s="1"/>
  <c r="CA5" i="8" a="1"/>
  <c r="CA5" i="8" s="1"/>
  <c r="BU5" i="8" a="1"/>
  <c r="BU5" i="8" s="1"/>
  <c r="BZ5" i="8" a="1"/>
  <c r="BZ5" i="8" s="1"/>
  <c r="CF5" i="8" a="1"/>
  <c r="CF5" i="8" s="1"/>
  <c r="BS5" i="8" a="1"/>
  <c r="BS5" i="8" s="1"/>
  <c r="CE5" i="8" a="1"/>
  <c r="CE5" i="8" s="1"/>
  <c r="BY5" i="8" a="1"/>
  <c r="BY5" i="8" s="1"/>
  <c r="BR5" i="8" a="1"/>
  <c r="BR5" i="8" s="1"/>
  <c r="CD5" i="8" a="1"/>
  <c r="CD5" i="8" s="1"/>
  <c r="BX5" i="8" a="1"/>
  <c r="BX5" i="8" s="1"/>
  <c r="BQ5" i="8" a="1"/>
  <c r="BQ5" i="8" s="1"/>
  <c r="BP37" i="8" a="1"/>
  <c r="BP37" i="8" s="1"/>
  <c r="BX37" i="8" a="1"/>
  <c r="BX37" i="8" s="1"/>
  <c r="CF37" i="8" a="1"/>
  <c r="CF37" i="8" s="1"/>
  <c r="BN25" i="8" a="1"/>
  <c r="BN25" i="8" s="1"/>
  <c r="BV25" i="8" a="1"/>
  <c r="BV25" i="8" s="1"/>
  <c r="CD25" i="8" a="1"/>
  <c r="CD25" i="8" s="1"/>
  <c r="BR19" i="8" a="1"/>
  <c r="BR19" i="8" s="1"/>
  <c r="BY19" i="8" a="1"/>
  <c r="BY19" i="8" s="1"/>
  <c r="CE19" i="8" a="1"/>
  <c r="CE19" i="8" s="1"/>
  <c r="BQ65" i="8" a="1"/>
  <c r="BQ65" i="8" s="1"/>
  <c r="BY65" i="8" a="1"/>
  <c r="BY65" i="8" s="1"/>
  <c r="BZ74" i="8" a="1"/>
  <c r="BZ74" i="8" s="1"/>
  <c r="BR74" i="8" a="1"/>
  <c r="BR74" i="8" s="1"/>
  <c r="BO78" i="8" a="1"/>
  <c r="BO78" i="8" s="1"/>
  <c r="BW78" i="8" a="1"/>
  <c r="BW78" i="8" s="1"/>
  <c r="CE78" i="8" a="1"/>
  <c r="CE78" i="8" s="1"/>
  <c r="BP108" i="8" a="1"/>
  <c r="BP108" i="8" s="1"/>
  <c r="BX108" i="8" a="1"/>
  <c r="BX108" i="8" s="1"/>
  <c r="CF108" i="8" a="1"/>
  <c r="CF108" i="8" s="1"/>
  <c r="BO101" i="8" a="1"/>
  <c r="BO101" i="8" s="1"/>
  <c r="BW101" i="8" a="1"/>
  <c r="BW101" i="8" s="1"/>
  <c r="CE101" i="8" a="1"/>
  <c r="CE101" i="8" s="1"/>
  <c r="CE42" i="8" a="1"/>
  <c r="CE42" i="8" s="1"/>
  <c r="BV37" i="8" a="1"/>
  <c r="BV37" i="8" s="1"/>
  <c r="CB25" i="8" a="1"/>
  <c r="CB25" i="8" s="1"/>
  <c r="BU78" i="8" a="1"/>
  <c r="BU78" i="8" s="1"/>
  <c r="CD108" i="8" a="1"/>
  <c r="CD108" i="8" s="1"/>
  <c r="BQ42" i="8" a="1"/>
  <c r="BQ42" i="8" s="1"/>
  <c r="BY42" i="8" a="1"/>
  <c r="BY42" i="8" s="1"/>
  <c r="BU44" i="8" a="1"/>
  <c r="BU44" i="8" s="1"/>
  <c r="CC44" i="8" a="1"/>
  <c r="CC44" i="8" s="1"/>
  <c r="BR42" i="8" a="1"/>
  <c r="BR42" i="8" s="1"/>
  <c r="BZ42" i="8" a="1"/>
  <c r="BZ42" i="8" s="1"/>
  <c r="BN44" i="8" a="1"/>
  <c r="BN44" i="8" s="1"/>
  <c r="BV44" i="8" a="1"/>
  <c r="BV44" i="8" s="1"/>
  <c r="CD44" i="8" a="1"/>
  <c r="CD44" i="8" s="1"/>
  <c r="BQ37" i="8" a="1"/>
  <c r="BQ37" i="8" s="1"/>
  <c r="BY37" i="8" a="1"/>
  <c r="BY37" i="8" s="1"/>
  <c r="BO25" i="8" a="1"/>
  <c r="BO25" i="8" s="1"/>
  <c r="BW25" i="8" a="1"/>
  <c r="BW25" i="8" s="1"/>
  <c r="CE25" i="8" a="1"/>
  <c r="CE25" i="8" s="1"/>
  <c r="CF19" i="8" a="1"/>
  <c r="CF19" i="8" s="1"/>
  <c r="BR65" i="8" a="1"/>
  <c r="BR65" i="8" s="1"/>
  <c r="BZ65" i="8" a="1"/>
  <c r="BZ65" i="8" s="1"/>
  <c r="CF74" i="8" a="1"/>
  <c r="CF74" i="8" s="1"/>
  <c r="BY74" i="8" a="1"/>
  <c r="BY74" i="8" s="1"/>
  <c r="BQ74" i="8" a="1"/>
  <c r="BQ74" i="8" s="1"/>
  <c r="BP78" i="8" a="1"/>
  <c r="BP78" i="8" s="1"/>
  <c r="BX78" i="8" a="1"/>
  <c r="BX78" i="8" s="1"/>
  <c r="CF78" i="8" a="1"/>
  <c r="CF78" i="8" s="1"/>
  <c r="BQ108" i="8" a="1"/>
  <c r="BQ108" i="8" s="1"/>
  <c r="BY108" i="8" a="1"/>
  <c r="BY108" i="8" s="1"/>
  <c r="BP101" i="8" a="1"/>
  <c r="BP101" i="8" s="1"/>
  <c r="BX101" i="8" a="1"/>
  <c r="BX101" i="8" s="1"/>
  <c r="CF101" i="8" a="1"/>
  <c r="CF101" i="8" s="1"/>
  <c r="BW42" i="8" a="1"/>
  <c r="BW42" i="8" s="1"/>
  <c r="CA44" i="8" a="1"/>
  <c r="CA44" i="8" s="1"/>
  <c r="CD37" i="8" a="1"/>
  <c r="CD37" i="8" s="1"/>
  <c r="BT25" i="8" a="1"/>
  <c r="BT25" i="8" s="1"/>
  <c r="BP19" i="8" a="1"/>
  <c r="BP19" i="8" s="1"/>
  <c r="CC19" i="8" a="1"/>
  <c r="CC19" i="8" s="1"/>
  <c r="BW65" i="8" a="1"/>
  <c r="BW65" i="8" s="1"/>
  <c r="CE65" i="8" a="1"/>
  <c r="CE65" i="8" s="1"/>
  <c r="BT74" i="8" a="1"/>
  <c r="BT74" i="8" s="1"/>
  <c r="BS42" i="8" a="1"/>
  <c r="BS42" i="8" s="1"/>
  <c r="CA42" i="8" a="1"/>
  <c r="CA42" i="8" s="1"/>
  <c r="BO44" i="8" a="1"/>
  <c r="BO44" i="8" s="1"/>
  <c r="BW44" i="8" a="1"/>
  <c r="BW44" i="8" s="1"/>
  <c r="CE44" i="8" a="1"/>
  <c r="CE44" i="8" s="1"/>
  <c r="BR37" i="8" a="1"/>
  <c r="BR37" i="8" s="1"/>
  <c r="BZ37" i="8" a="1"/>
  <c r="BZ37" i="8" s="1"/>
  <c r="BP25" i="8" a="1"/>
  <c r="BP25" i="8" s="1"/>
  <c r="BX25" i="8" a="1"/>
  <c r="BX25" i="8" s="1"/>
  <c r="CF25" i="8" a="1"/>
  <c r="CF25" i="8" s="1"/>
  <c r="BS19" i="8" a="1"/>
  <c r="BS19" i="8" s="1"/>
  <c r="BZ19" i="8" a="1"/>
  <c r="BZ19" i="8" s="1"/>
  <c r="E136" i="8" a="1"/>
  <c r="E136" i="8" s="1"/>
  <c r="BS65" i="8" a="1"/>
  <c r="BS65" i="8" s="1"/>
  <c r="CA65" i="8" a="1"/>
  <c r="CA65" i="8" s="1"/>
  <c r="CE74" i="8" a="1"/>
  <c r="CE74" i="8" s="1"/>
  <c r="BX74" i="8" a="1"/>
  <c r="BX74" i="8" s="1"/>
  <c r="BP74" i="8" a="1"/>
  <c r="BP74" i="8" s="1"/>
  <c r="BQ78" i="8" a="1"/>
  <c r="BQ78" i="8" s="1"/>
  <c r="BY78" i="8" a="1"/>
  <c r="BY78" i="8" s="1"/>
  <c r="BR108" i="8" a="1"/>
  <c r="BR108" i="8" s="1"/>
  <c r="BZ108" i="8" a="1"/>
  <c r="BZ108" i="8" s="1"/>
  <c r="BQ101" i="8" a="1"/>
  <c r="BQ101" i="8" s="1"/>
  <c r="BY101" i="8" a="1"/>
  <c r="BY101" i="8" s="1"/>
  <c r="BS44" i="8" a="1"/>
  <c r="BS44" i="8" s="1"/>
  <c r="BT42" i="8" a="1"/>
  <c r="BT42" i="8" s="1"/>
  <c r="CB42" i="8" a="1"/>
  <c r="CB42" i="8" s="1"/>
  <c r="BP44" i="8" a="1"/>
  <c r="BP44" i="8" s="1"/>
  <c r="BX44" i="8" a="1"/>
  <c r="BX44" i="8" s="1"/>
  <c r="CF44" i="8" a="1"/>
  <c r="CF44" i="8" s="1"/>
  <c r="BS37" i="8" a="1"/>
  <c r="BS37" i="8" s="1"/>
  <c r="CA37" i="8" a="1"/>
  <c r="CA37" i="8" s="1"/>
  <c r="BQ25" i="8" a="1"/>
  <c r="BQ25" i="8" s="1"/>
  <c r="BY25" i="8" a="1"/>
  <c r="BY25" i="8" s="1"/>
  <c r="BT19" i="8" a="1"/>
  <c r="BT19" i="8" s="1"/>
  <c r="CA19" i="8" a="1"/>
  <c r="CA19" i="8" s="1"/>
  <c r="BT65" i="8" a="1"/>
  <c r="BT65" i="8" s="1"/>
  <c r="CB65" i="8" a="1"/>
  <c r="CB65" i="8" s="1"/>
  <c r="CD74" i="8" a="1"/>
  <c r="CD74" i="8" s="1"/>
  <c r="BW74" i="8" a="1"/>
  <c r="BW74" i="8" s="1"/>
  <c r="BO74" i="8" a="1"/>
  <c r="BO74" i="8" s="1"/>
  <c r="BR78" i="8" a="1"/>
  <c r="BR78" i="8" s="1"/>
  <c r="BZ78" i="8" a="1"/>
  <c r="BZ78" i="8" s="1"/>
  <c r="BS108" i="8" a="1"/>
  <c r="BS108" i="8" s="1"/>
  <c r="CA108" i="8" a="1"/>
  <c r="CA108" i="8" s="1"/>
  <c r="BR101" i="8" a="1"/>
  <c r="BR101" i="8" s="1"/>
  <c r="BZ101" i="8" a="1"/>
  <c r="BZ101" i="8" s="1"/>
  <c r="Z21" i="9" a="1"/>
  <c r="Z21" i="9" s="1"/>
  <c r="BS21" i="9" a="1"/>
  <c r="BS21" i="9" s="1"/>
  <c r="AC21" i="9" a="1"/>
  <c r="AC21" i="9" s="1"/>
  <c r="BT20" i="9" a="1"/>
  <c r="BT20" i="9" s="1"/>
  <c r="AS19" i="9" a="1"/>
  <c r="AS19" i="9" s="1"/>
  <c r="AH19" i="9" a="1"/>
  <c r="AH19" i="9" s="1"/>
  <c r="BU21" i="9" a="1"/>
  <c r="BU21" i="9" s="1"/>
  <c r="BI17" i="9" a="1"/>
  <c r="BI17" i="9" s="1"/>
  <c r="AM21" i="9" a="1"/>
  <c r="AM21" i="9" s="1"/>
  <c r="AV21" i="9" a="1"/>
  <c r="AV21" i="9" s="1"/>
  <c r="BV20" i="9" a="1"/>
  <c r="BV20" i="9" s="1"/>
  <c r="S18" i="9" a="1"/>
  <c r="S18" i="9" s="1"/>
  <c r="CC21" i="9" a="1"/>
  <c r="CC21" i="9" s="1"/>
  <c r="AK21" i="9" a="1"/>
  <c r="AK21" i="9" s="1"/>
  <c r="BW19" i="9" a="1"/>
  <c r="BW19" i="9" s="1"/>
  <c r="AW17" i="9" a="1"/>
  <c r="AW17" i="9" s="1"/>
  <c r="BI21" i="9" a="1"/>
  <c r="BI21" i="9" s="1"/>
  <c r="Q21" i="9" a="1"/>
  <c r="Q21" i="9" s="1"/>
  <c r="BT18" i="9" a="1"/>
  <c r="BT18" i="9" s="1"/>
  <c r="BF21" i="9" a="1"/>
  <c r="BF21" i="9" s="1"/>
  <c r="N21" i="9" a="1"/>
  <c r="N21" i="9" s="1"/>
  <c r="BI18" i="9" a="1"/>
  <c r="BI18" i="9" s="1"/>
  <c r="AX21" i="9" a="1"/>
  <c r="AX21" i="9" s="1"/>
  <c r="CD20" i="9" a="1"/>
  <c r="CD20" i="9" s="1"/>
  <c r="AC18" i="9" a="1"/>
  <c r="AC18" i="9" s="1"/>
  <c r="F21" i="9" a="1"/>
  <c r="F21" i="9" s="1"/>
  <c r="BI20" i="9" a="1"/>
  <c r="BI20" i="9" s="1"/>
  <c r="AX20" i="9" a="1"/>
  <c r="AX20" i="9" s="1"/>
  <c r="V20" i="9" a="1"/>
  <c r="V20" i="9" s="1"/>
  <c r="G20" i="9" a="1"/>
  <c r="G20" i="9" s="1"/>
  <c r="BD14" i="9" a="1"/>
  <c r="BD14" i="9" s="1"/>
  <c r="CD21" i="9" a="1"/>
  <c r="CD21" i="9" s="1"/>
  <c r="BT21" i="9" a="1"/>
  <c r="BT21" i="9" s="1"/>
  <c r="BH21" i="9" a="1"/>
  <c r="BH21" i="9" s="1"/>
  <c r="AW21" i="9" a="1"/>
  <c r="AW21" i="9" s="1"/>
  <c r="AL21" i="9" a="1"/>
  <c r="AL21" i="9" s="1"/>
  <c r="AA21" i="9" a="1"/>
  <c r="AA21" i="9" s="1"/>
  <c r="P21" i="9" a="1"/>
  <c r="P21" i="9" s="1"/>
  <c r="E21" i="9" a="1"/>
  <c r="E21" i="9" s="1"/>
  <c r="BU20" i="9" a="1"/>
  <c r="BU20" i="9" s="1"/>
  <c r="BG20" i="9" a="1"/>
  <c r="BG20" i="9" s="1"/>
  <c r="AU20" i="9" a="1"/>
  <c r="AU20" i="9" s="1"/>
  <c r="AI20" i="9" a="1"/>
  <c r="AI20" i="9" s="1"/>
  <c r="T20" i="9" a="1"/>
  <c r="T20" i="9" s="1"/>
  <c r="F20" i="9" a="1"/>
  <c r="F20" i="9" s="1"/>
  <c r="AI19" i="9" a="1"/>
  <c r="AI19" i="9" s="1"/>
  <c r="BS18" i="9" a="1"/>
  <c r="BS18" i="9" s="1"/>
  <c r="AB18" i="9" a="1"/>
  <c r="AB18" i="9" s="1"/>
  <c r="BG17" i="9" a="1"/>
  <c r="BG17" i="9" s="1"/>
  <c r="BJ16" i="9" a="1"/>
  <c r="BJ16" i="9" s="1"/>
  <c r="AW14" i="9" a="1"/>
  <c r="AW14" i="9" s="1"/>
  <c r="BF20" i="9" a="1"/>
  <c r="BF20" i="9" s="1"/>
  <c r="AG20" i="9" a="1"/>
  <c r="AG20" i="9" s="1"/>
  <c r="AJ16" i="9" a="1"/>
  <c r="AJ16" i="9" s="1"/>
  <c r="BR13" i="9" a="1"/>
  <c r="BR13" i="9" s="1"/>
  <c r="AT20" i="9" a="1"/>
  <c r="AT20" i="9" s="1"/>
  <c r="BQ21" i="9" a="1"/>
  <c r="BQ21" i="9" s="1"/>
  <c r="AU21" i="9" a="1"/>
  <c r="AU21" i="9" s="1"/>
  <c r="M21" i="9" a="1"/>
  <c r="M21" i="9" s="1"/>
  <c r="BR20" i="9" a="1"/>
  <c r="BR20" i="9" s="1"/>
  <c r="BE20" i="9" a="1"/>
  <c r="BE20" i="9" s="1"/>
  <c r="AS20" i="9" a="1"/>
  <c r="AS20" i="9" s="1"/>
  <c r="AE20" i="9" a="1"/>
  <c r="AE20" i="9" s="1"/>
  <c r="Q20" i="9" a="1"/>
  <c r="Q20" i="9" s="1"/>
  <c r="BV19" i="9" a="1"/>
  <c r="BV19" i="9" s="1"/>
  <c r="W19" i="9" a="1"/>
  <c r="W19" i="9" s="1"/>
  <c r="BH18" i="9" a="1"/>
  <c r="BH18" i="9" s="1"/>
  <c r="R18" i="9" a="1"/>
  <c r="R18" i="9" s="1"/>
  <c r="AT17" i="9" a="1"/>
  <c r="AT17" i="9" s="1"/>
  <c r="AD16" i="9" a="1"/>
  <c r="AD16" i="9" s="1"/>
  <c r="BG13" i="9" a="1"/>
  <c r="BG13" i="9" s="1"/>
  <c r="AI21" i="9" a="1"/>
  <c r="AI21" i="9" s="1"/>
  <c r="CC20" i="9" a="1"/>
  <c r="CC20" i="9" s="1"/>
  <c r="CA21" i="9" a="1"/>
  <c r="CA21" i="9" s="1"/>
  <c r="BD21" i="9" a="1"/>
  <c r="BD21" i="9" s="1"/>
  <c r="AS21" i="9" a="1"/>
  <c r="AS21" i="9" s="1"/>
  <c r="AH21" i="9" a="1"/>
  <c r="AH21" i="9" s="1"/>
  <c r="V21" i="9" a="1"/>
  <c r="V21" i="9" s="1"/>
  <c r="K21" i="9" a="1"/>
  <c r="K21" i="9" s="1"/>
  <c r="CB20" i="9" a="1"/>
  <c r="CB20" i="9" s="1"/>
  <c r="BP20" i="9" a="1"/>
  <c r="BP20" i="9" s="1"/>
  <c r="BC20" i="9" a="1"/>
  <c r="BC20" i="9" s="1"/>
  <c r="AP20" i="9" a="1"/>
  <c r="AP20" i="9" s="1"/>
  <c r="AB20" i="9" a="1"/>
  <c r="AB20" i="9" s="1"/>
  <c r="O20" i="9" a="1"/>
  <c r="O20" i="9" s="1"/>
  <c r="BO19" i="9" a="1"/>
  <c r="BO19" i="9" s="1"/>
  <c r="M19" i="9" a="1"/>
  <c r="M19" i="9" s="1"/>
  <c r="AY18" i="9" a="1"/>
  <c r="AY18" i="9" s="1"/>
  <c r="G18" i="9" a="1"/>
  <c r="G18" i="9" s="1"/>
  <c r="AE17" i="9" a="1"/>
  <c r="AE17" i="9" s="1"/>
  <c r="E16" i="9" a="1"/>
  <c r="E16" i="9" s="1"/>
  <c r="BG12" i="9" a="1"/>
  <c r="BG12" i="9" s="1"/>
  <c r="BP21" i="9" a="1"/>
  <c r="BP21" i="9" s="1"/>
  <c r="BY21" i="9" a="1"/>
  <c r="BY21" i="9" s="1"/>
  <c r="BN21" i="9" a="1"/>
  <c r="BN21" i="9" s="1"/>
  <c r="BC21" i="9" a="1"/>
  <c r="BC21" i="9" s="1"/>
  <c r="AP21" i="9" a="1"/>
  <c r="AP21" i="9" s="1"/>
  <c r="AG21" i="9" a="1"/>
  <c r="AG21" i="9" s="1"/>
  <c r="U21" i="9" a="1"/>
  <c r="U21" i="9" s="1"/>
  <c r="J21" i="9" a="1"/>
  <c r="J21" i="9" s="1"/>
  <c r="CA20" i="9" a="1"/>
  <c r="CA20" i="9" s="1"/>
  <c r="BO20" i="9" a="1"/>
  <c r="BO20" i="9" s="1"/>
  <c r="BB20" i="9" a="1"/>
  <c r="BB20" i="9" s="1"/>
  <c r="AO20" i="9" a="1"/>
  <c r="AO20" i="9" s="1"/>
  <c r="AA20" i="9" a="1"/>
  <c r="AA20" i="9" s="1"/>
  <c r="N20" i="9" a="1"/>
  <c r="N20" i="9" s="1"/>
  <c r="BN19" i="9" a="1"/>
  <c r="BN19" i="9" s="1"/>
  <c r="L19" i="9" a="1"/>
  <c r="L19" i="9" s="1"/>
  <c r="AX18" i="9" a="1"/>
  <c r="AX18" i="9" s="1"/>
  <c r="E18" i="9" a="1"/>
  <c r="E18" i="9" s="1"/>
  <c r="AC17" i="9" a="1"/>
  <c r="AC17" i="9" s="1"/>
  <c r="BY15" i="9" a="1"/>
  <c r="BY15" i="9" s="1"/>
  <c r="AQ12" i="9" a="1"/>
  <c r="AQ12" i="9" s="1"/>
  <c r="R20" i="9" a="1"/>
  <c r="R20" i="9" s="1"/>
  <c r="CB21" i="9" a="1"/>
  <c r="CB21" i="9" s="1"/>
  <c r="BE21" i="9" a="1"/>
  <c r="BE21" i="9" s="1"/>
  <c r="Y21" i="9" a="1"/>
  <c r="Y21" i="9" s="1"/>
  <c r="BX21" i="9" a="1"/>
  <c r="BX21" i="9" s="1"/>
  <c r="BA21" i="9" a="1"/>
  <c r="BA21" i="9" s="1"/>
  <c r="AO21" i="9" a="1"/>
  <c r="AO21" i="9" s="1"/>
  <c r="AF21" i="9" a="1"/>
  <c r="AF21" i="9" s="1"/>
  <c r="S21" i="9" a="1"/>
  <c r="S21" i="9" s="1"/>
  <c r="I21" i="9" a="1"/>
  <c r="I21" i="9" s="1"/>
  <c r="BM20" i="9" a="1"/>
  <c r="BM20" i="9" s="1"/>
  <c r="BA20" i="9" a="1"/>
  <c r="BA20" i="9" s="1"/>
  <c r="AL20" i="9" a="1"/>
  <c r="AL20" i="9" s="1"/>
  <c r="Z20" i="9" a="1"/>
  <c r="Z20" i="9" s="1"/>
  <c r="K20" i="9" a="1"/>
  <c r="K20" i="9" s="1"/>
  <c r="BD19" i="9" a="1"/>
  <c r="BD19" i="9" s="1"/>
  <c r="CE18" i="9" a="1"/>
  <c r="CE18" i="9" s="1"/>
  <c r="AN18" i="9" a="1"/>
  <c r="AN18" i="9" s="1"/>
  <c r="BV17" i="9" a="1"/>
  <c r="BV17" i="9" s="1"/>
  <c r="L17" i="9" a="1"/>
  <c r="L17" i="9" s="1"/>
  <c r="AW15" i="9" a="1"/>
  <c r="AW15" i="9" s="1"/>
  <c r="L11" i="9" a="1"/>
  <c r="L11" i="9" s="1"/>
  <c r="BM21" i="9" a="1"/>
  <c r="BM21" i="9" s="1"/>
  <c r="BY20" i="9" a="1"/>
  <c r="BY20" i="9" s="1"/>
  <c r="BV21" i="9" a="1"/>
  <c r="BV21" i="9" s="1"/>
  <c r="BK21" i="9" a="1"/>
  <c r="BK21" i="9" s="1"/>
  <c r="AZ21" i="9" a="1"/>
  <c r="AZ21" i="9" s="1"/>
  <c r="AN21" i="9" a="1"/>
  <c r="AN21" i="9" s="1"/>
  <c r="AD21" i="9" a="1"/>
  <c r="AD21" i="9" s="1"/>
  <c r="R21" i="9" a="1"/>
  <c r="R21" i="9" s="1"/>
  <c r="H21" i="9" a="1"/>
  <c r="H21" i="9" s="1"/>
  <c r="BX20" i="9" a="1"/>
  <c r="BX20" i="9" s="1"/>
  <c r="BJ20" i="9" a="1"/>
  <c r="BJ20" i="9" s="1"/>
  <c r="AY20" i="9" a="1"/>
  <c r="AY20" i="9" s="1"/>
  <c r="AK20" i="9" a="1"/>
  <c r="AK20" i="9" s="1"/>
  <c r="Y20" i="9" a="1"/>
  <c r="Y20" i="9" s="1"/>
  <c r="J20" i="9" a="1"/>
  <c r="J20" i="9" s="1"/>
  <c r="BC19" i="9" a="1"/>
  <c r="BC19" i="9" s="1"/>
  <c r="CD18" i="9" a="1"/>
  <c r="CD18" i="9" s="1"/>
  <c r="AM18" i="9" a="1"/>
  <c r="AM18" i="9" s="1"/>
  <c r="BT17" i="9" a="1"/>
  <c r="BT17" i="9" s="1"/>
  <c r="G17" i="9" a="1"/>
  <c r="G17" i="9" s="1"/>
  <c r="M15" i="9" a="1"/>
  <c r="M15" i="9" s="1"/>
  <c r="BP16" i="9" a="1"/>
  <c r="BP16" i="9" s="1"/>
  <c r="F15" i="9" a="1"/>
  <c r="F15" i="9" s="1"/>
  <c r="BZ19" i="9" a="1"/>
  <c r="BZ19" i="9" s="1"/>
  <c r="AV19" i="9" a="1"/>
  <c r="AV19" i="9" s="1"/>
  <c r="AK19" i="9" a="1"/>
  <c r="AK19" i="9" s="1"/>
  <c r="AA19" i="9" a="1"/>
  <c r="AA19" i="9" s="1"/>
  <c r="G107" i="6"/>
  <c r="X20" i="9" s="1" a="1"/>
  <c r="X20" i="9" s="1"/>
  <c r="H20" i="9" a="1"/>
  <c r="H20" i="9" s="1"/>
  <c r="P20" i="9" a="1"/>
  <c r="P20" i="9" s="1"/>
  <c r="AF20" i="9" a="1"/>
  <c r="AF20" i="9" s="1"/>
  <c r="AN20" i="9" a="1"/>
  <c r="AN20" i="9" s="1"/>
  <c r="AV20" i="9" a="1"/>
  <c r="AV20" i="9" s="1"/>
  <c r="BD20" i="9" a="1"/>
  <c r="BD20" i="9" s="1"/>
  <c r="BK20" i="9" a="1"/>
  <c r="BK20" i="9" s="1"/>
  <c r="BS20" i="9" a="1"/>
  <c r="BS20" i="9" s="1"/>
  <c r="E20" i="9" a="1"/>
  <c r="E20" i="9" s="1"/>
  <c r="M20" i="9" a="1"/>
  <c r="M20" i="9" s="1"/>
  <c r="U20" i="9" a="1"/>
  <c r="U20" i="9" s="1"/>
  <c r="AC20" i="9" a="1"/>
  <c r="AC20" i="9" s="1"/>
  <c r="CE21" i="9" a="1"/>
  <c r="CE21" i="9" s="1"/>
  <c r="BW21" i="9" a="1"/>
  <c r="BW21" i="9" s="1"/>
  <c r="BO21" i="9" a="1"/>
  <c r="BO21" i="9" s="1"/>
  <c r="BG21" i="9" a="1"/>
  <c r="BG21" i="9" s="1"/>
  <c r="AY21" i="9" a="1"/>
  <c r="AY21" i="9" s="1"/>
  <c r="AQ21" i="9" a="1"/>
  <c r="AQ21" i="9" s="1"/>
  <c r="AJ21" i="9" a="1"/>
  <c r="AJ21" i="9" s="1"/>
  <c r="AB21" i="9" a="1"/>
  <c r="AB21" i="9" s="1"/>
  <c r="T21" i="9" a="1"/>
  <c r="T21" i="9" s="1"/>
  <c r="L21" i="9" a="1"/>
  <c r="L21" i="9" s="1"/>
  <c r="CE20" i="9" a="1"/>
  <c r="CE20" i="9" s="1"/>
  <c r="BW20" i="9" a="1"/>
  <c r="BW20" i="9" s="1"/>
  <c r="BN20" i="9" a="1"/>
  <c r="BN20" i="9" s="1"/>
  <c r="AW20" i="9" a="1"/>
  <c r="AW20" i="9" s="1"/>
  <c r="AM20" i="9" a="1"/>
  <c r="AM20" i="9" s="1"/>
  <c r="AD20" i="9" a="1"/>
  <c r="AD20" i="9" s="1"/>
  <c r="S20" i="9" a="1"/>
  <c r="S20" i="9" s="1"/>
  <c r="I20" i="9" a="1"/>
  <c r="I20" i="9" s="1"/>
  <c r="BY19" i="9" a="1"/>
  <c r="BY19" i="9" s="1"/>
  <c r="BP19" i="9" a="1"/>
  <c r="BP19" i="9" s="1"/>
  <c r="BF19" i="9" a="1"/>
  <c r="BF19" i="9" s="1"/>
  <c r="AU19" i="9" a="1"/>
  <c r="AU19" i="9" s="1"/>
  <c r="AJ19" i="9" a="1"/>
  <c r="AJ19" i="9" s="1"/>
  <c r="Z19" i="9" a="1"/>
  <c r="Z19" i="9" s="1"/>
  <c r="O19" i="9" a="1"/>
  <c r="O19" i="9" s="1"/>
  <c r="BV18" i="9" a="1"/>
  <c r="BV18" i="9" s="1"/>
  <c r="BK18" i="9" a="1"/>
  <c r="BK18" i="9" s="1"/>
  <c r="AZ18" i="9" a="1"/>
  <c r="AZ18" i="9" s="1"/>
  <c r="AP18" i="9" a="1"/>
  <c r="AP18" i="9" s="1"/>
  <c r="AE18" i="9" a="1"/>
  <c r="AE18" i="9" s="1"/>
  <c r="T18" i="9" a="1"/>
  <c r="T18" i="9" s="1"/>
  <c r="H18" i="9" a="1"/>
  <c r="H18" i="9" s="1"/>
  <c r="BW17" i="9" a="1"/>
  <c r="BW17" i="9" s="1"/>
  <c r="BK17" i="9" a="1"/>
  <c r="BK17" i="9" s="1"/>
  <c r="AY17" i="9" a="1"/>
  <c r="AY17" i="9" s="1"/>
  <c r="AJ17" i="9" a="1"/>
  <c r="AJ17" i="9" s="1"/>
  <c r="M17" i="9" a="1"/>
  <c r="M17" i="9" s="1"/>
  <c r="BR16" i="9" a="1"/>
  <c r="BR16" i="9" s="1"/>
  <c r="AL16" i="9" a="1"/>
  <c r="AL16" i="9" s="1"/>
  <c r="G16" i="9" a="1"/>
  <c r="G16" i="9" s="1"/>
  <c r="AY15" i="9" a="1"/>
  <c r="AY15" i="9" s="1"/>
  <c r="O15" i="9" a="1"/>
  <c r="O15" i="9" s="1"/>
  <c r="BF14" i="9" a="1"/>
  <c r="BF14" i="9" s="1"/>
  <c r="CC13" i="9" a="1"/>
  <c r="CC13" i="9" s="1"/>
  <c r="BV12" i="9" a="1"/>
  <c r="BV12" i="9" s="1"/>
  <c r="AB11" i="9" a="1"/>
  <c r="AB11" i="9" s="1"/>
  <c r="G101" i="6"/>
  <c r="D4" i="9" s="1" a="1"/>
  <c r="D4" i="9" s="1"/>
  <c r="E2" i="9" a="1"/>
  <c r="E2" i="9" s="1"/>
  <c r="M2" i="9" a="1"/>
  <c r="M2" i="9" s="1"/>
  <c r="U2" i="9" a="1"/>
  <c r="U2" i="9" s="1"/>
  <c r="AC2" i="9" a="1"/>
  <c r="AC2" i="9" s="1"/>
  <c r="AK2" i="9" a="1"/>
  <c r="AK2" i="9" s="1"/>
  <c r="AS2" i="9" a="1"/>
  <c r="AS2" i="9" s="1"/>
  <c r="BA2" i="9" a="1"/>
  <c r="BA2" i="9" s="1"/>
  <c r="BI2" i="9" a="1"/>
  <c r="BI2" i="9" s="1"/>
  <c r="BQ2" i="9" a="1"/>
  <c r="BQ2" i="9" s="1"/>
  <c r="BY2" i="9" a="1"/>
  <c r="BY2" i="9" s="1"/>
  <c r="F3" i="9" a="1"/>
  <c r="F3" i="9" s="1"/>
  <c r="N3" i="9" a="1"/>
  <c r="N3" i="9" s="1"/>
  <c r="U3" i="9" a="1"/>
  <c r="U3" i="9" s="1"/>
  <c r="AC3" i="9" a="1"/>
  <c r="AC3" i="9" s="1"/>
  <c r="AK3" i="9" a="1"/>
  <c r="AK3" i="9" s="1"/>
  <c r="AS3" i="9" a="1"/>
  <c r="AS3" i="9" s="1"/>
  <c r="BA3" i="9" a="1"/>
  <c r="BA3" i="9" s="1"/>
  <c r="BI3" i="9" a="1"/>
  <c r="BI3" i="9" s="1"/>
  <c r="BQ3" i="9" a="1"/>
  <c r="BQ3" i="9" s="1"/>
  <c r="BY3" i="9" a="1"/>
  <c r="BY3" i="9" s="1"/>
  <c r="F4" i="9" a="1"/>
  <c r="F4" i="9" s="1"/>
  <c r="N4" i="9" a="1"/>
  <c r="N4" i="9" s="1"/>
  <c r="V4" i="9" a="1"/>
  <c r="V4" i="9" s="1"/>
  <c r="AD4" i="9" a="1"/>
  <c r="AD4" i="9" s="1"/>
  <c r="AL4" i="9" a="1"/>
  <c r="AL4" i="9" s="1"/>
  <c r="AT4" i="9" a="1"/>
  <c r="AT4" i="9" s="1"/>
  <c r="BI4" i="9" a="1"/>
  <c r="BI4" i="9" s="1"/>
  <c r="BQ4" i="9" a="1"/>
  <c r="BQ4" i="9" s="1"/>
  <c r="BY4" i="9" a="1"/>
  <c r="BY4" i="9" s="1"/>
  <c r="F5" i="9" a="1"/>
  <c r="F5" i="9" s="1"/>
  <c r="N5" i="9" a="1"/>
  <c r="N5" i="9" s="1"/>
  <c r="V5" i="9" a="1"/>
  <c r="V5" i="9" s="1"/>
  <c r="AD5" i="9" a="1"/>
  <c r="AD5" i="9" s="1"/>
  <c r="AL5" i="9" a="1"/>
  <c r="AL5" i="9" s="1"/>
  <c r="AT5" i="9" a="1"/>
  <c r="AT5" i="9" s="1"/>
  <c r="BB5" i="9" a="1"/>
  <c r="BB5" i="9" s="1"/>
  <c r="BJ5" i="9" a="1"/>
  <c r="BJ5" i="9" s="1"/>
  <c r="BR5" i="9" a="1"/>
  <c r="BR5" i="9" s="1"/>
  <c r="BZ5" i="9" a="1"/>
  <c r="BZ5" i="9" s="1"/>
  <c r="F2" i="9" a="1"/>
  <c r="F2" i="9" s="1"/>
  <c r="N2" i="9" a="1"/>
  <c r="N2" i="9" s="1"/>
  <c r="V2" i="9" a="1"/>
  <c r="V2" i="9" s="1"/>
  <c r="AD2" i="9" a="1"/>
  <c r="AD2" i="9" s="1"/>
  <c r="AL2" i="9" a="1"/>
  <c r="AL2" i="9" s="1"/>
  <c r="AT2" i="9" a="1"/>
  <c r="AT2" i="9" s="1"/>
  <c r="BB2" i="9" a="1"/>
  <c r="BB2" i="9" s="1"/>
  <c r="BJ2" i="9" a="1"/>
  <c r="BJ2" i="9" s="1"/>
  <c r="BR2" i="9" a="1"/>
  <c r="BR2" i="9" s="1"/>
  <c r="BZ2" i="9" a="1"/>
  <c r="BZ2" i="9" s="1"/>
  <c r="G3" i="9" a="1"/>
  <c r="G3" i="9" s="1"/>
  <c r="O3" i="9" a="1"/>
  <c r="O3" i="9" s="1"/>
  <c r="V3" i="9" a="1"/>
  <c r="V3" i="9" s="1"/>
  <c r="AD3" i="9" a="1"/>
  <c r="AD3" i="9" s="1"/>
  <c r="AL3" i="9" a="1"/>
  <c r="AL3" i="9" s="1"/>
  <c r="AT3" i="9" a="1"/>
  <c r="AT3" i="9" s="1"/>
  <c r="BB3" i="9" a="1"/>
  <c r="BB3" i="9" s="1"/>
  <c r="BJ3" i="9" a="1"/>
  <c r="BJ3" i="9" s="1"/>
  <c r="BR3" i="9" a="1"/>
  <c r="BR3" i="9" s="1"/>
  <c r="BZ3" i="9" a="1"/>
  <c r="BZ3" i="9" s="1"/>
  <c r="G4" i="9" a="1"/>
  <c r="G4" i="9" s="1"/>
  <c r="O4" i="9" a="1"/>
  <c r="O4" i="9" s="1"/>
  <c r="W4" i="9" a="1"/>
  <c r="W4" i="9" s="1"/>
  <c r="AE4" i="9" a="1"/>
  <c r="AE4" i="9" s="1"/>
  <c r="AM4" i="9" a="1"/>
  <c r="AM4" i="9" s="1"/>
  <c r="AU4" i="9" a="1"/>
  <c r="AU4" i="9" s="1"/>
  <c r="BB4" i="9" a="1"/>
  <c r="BB4" i="9" s="1"/>
  <c r="BJ4" i="9" a="1"/>
  <c r="BJ4" i="9" s="1"/>
  <c r="BR4" i="9" a="1"/>
  <c r="BR4" i="9" s="1"/>
  <c r="BZ4" i="9" a="1"/>
  <c r="BZ4" i="9" s="1"/>
  <c r="G5" i="9" a="1"/>
  <c r="G5" i="9" s="1"/>
  <c r="O5" i="9" a="1"/>
  <c r="O5" i="9" s="1"/>
  <c r="W5" i="9" a="1"/>
  <c r="W5" i="9" s="1"/>
  <c r="AE5" i="9" a="1"/>
  <c r="AE5" i="9" s="1"/>
  <c r="AM5" i="9" a="1"/>
  <c r="AM5" i="9" s="1"/>
  <c r="AU5" i="9" a="1"/>
  <c r="AU5" i="9" s="1"/>
  <c r="BC5" i="9" a="1"/>
  <c r="BC5" i="9" s="1"/>
  <c r="BK5" i="9" a="1"/>
  <c r="BK5" i="9" s="1"/>
  <c r="BS5" i="9" a="1"/>
  <c r="BS5" i="9" s="1"/>
  <c r="CA5" i="9" a="1"/>
  <c r="CA5" i="9" s="1"/>
  <c r="G2" i="9" a="1"/>
  <c r="G2" i="9" s="1"/>
  <c r="O2" i="9" a="1"/>
  <c r="O2" i="9" s="1"/>
  <c r="W2" i="9" a="1"/>
  <c r="W2" i="9" s="1"/>
  <c r="AE2" i="9" a="1"/>
  <c r="AE2" i="9" s="1"/>
  <c r="AM2" i="9" a="1"/>
  <c r="AM2" i="9" s="1"/>
  <c r="AU2" i="9" a="1"/>
  <c r="AU2" i="9" s="1"/>
  <c r="BC2" i="9" a="1"/>
  <c r="BC2" i="9" s="1"/>
  <c r="BK2" i="9" a="1"/>
  <c r="BK2" i="9" s="1"/>
  <c r="BS2" i="9" a="1"/>
  <c r="BS2" i="9" s="1"/>
  <c r="CA2" i="9" a="1"/>
  <c r="CA2" i="9" s="1"/>
  <c r="H3" i="9" a="1"/>
  <c r="H3" i="9" s="1"/>
  <c r="P3" i="9" a="1"/>
  <c r="P3" i="9" s="1"/>
  <c r="W3" i="9" a="1"/>
  <c r="W3" i="9" s="1"/>
  <c r="AE3" i="9" a="1"/>
  <c r="AE3" i="9" s="1"/>
  <c r="AM3" i="9" a="1"/>
  <c r="AM3" i="9" s="1"/>
  <c r="AU3" i="9" a="1"/>
  <c r="AU3" i="9" s="1"/>
  <c r="BC3" i="9" a="1"/>
  <c r="BC3" i="9" s="1"/>
  <c r="BK3" i="9" a="1"/>
  <c r="BK3" i="9" s="1"/>
  <c r="BS3" i="9" a="1"/>
  <c r="BS3" i="9" s="1"/>
  <c r="CA3" i="9" a="1"/>
  <c r="CA3" i="9" s="1"/>
  <c r="H4" i="9" a="1"/>
  <c r="H4" i="9" s="1"/>
  <c r="P4" i="9" a="1"/>
  <c r="P4" i="9" s="1"/>
  <c r="AF4" i="9" a="1"/>
  <c r="AF4" i="9" s="1"/>
  <c r="AN4" i="9" a="1"/>
  <c r="AN4" i="9" s="1"/>
  <c r="AV4" i="9" a="1"/>
  <c r="AV4" i="9" s="1"/>
  <c r="BC4" i="9" a="1"/>
  <c r="BC4" i="9" s="1"/>
  <c r="BK4" i="9" a="1"/>
  <c r="BK4" i="9" s="1"/>
  <c r="BS4" i="9" a="1"/>
  <c r="BS4" i="9" s="1"/>
  <c r="CA4" i="9" a="1"/>
  <c r="CA4" i="9" s="1"/>
  <c r="H5" i="9" a="1"/>
  <c r="H5" i="9" s="1"/>
  <c r="P5" i="9" a="1"/>
  <c r="P5" i="9" s="1"/>
  <c r="AF5" i="9" a="1"/>
  <c r="AF5" i="9" s="1"/>
  <c r="AN5" i="9" a="1"/>
  <c r="AN5" i="9" s="1"/>
  <c r="AV5" i="9" a="1"/>
  <c r="AV5" i="9" s="1"/>
  <c r="BD5" i="9" a="1"/>
  <c r="BD5" i="9" s="1"/>
  <c r="BT5" i="9" a="1"/>
  <c r="BT5" i="9" s="1"/>
  <c r="CB5" i="9" a="1"/>
  <c r="CB5" i="9" s="1"/>
  <c r="H2" i="9" a="1"/>
  <c r="H2" i="9" s="1"/>
  <c r="P2" i="9" a="1"/>
  <c r="P2" i="9" s="1"/>
  <c r="AF2" i="9" a="1"/>
  <c r="AF2" i="9" s="1"/>
  <c r="AN2" i="9" a="1"/>
  <c r="AN2" i="9" s="1"/>
  <c r="AV2" i="9" a="1"/>
  <c r="AV2" i="9" s="1"/>
  <c r="BD2" i="9" a="1"/>
  <c r="BD2" i="9" s="1"/>
  <c r="BT2" i="9" a="1"/>
  <c r="BT2" i="9" s="1"/>
  <c r="CB2" i="9" a="1"/>
  <c r="CB2" i="9" s="1"/>
  <c r="I3" i="9" a="1"/>
  <c r="I3" i="9" s="1"/>
  <c r="Q3" i="9" a="1"/>
  <c r="Q3" i="9" s="1"/>
  <c r="AF3" i="9" a="1"/>
  <c r="AF3" i="9" s="1"/>
  <c r="AN3" i="9" a="1"/>
  <c r="AN3" i="9" s="1"/>
  <c r="AV3" i="9" a="1"/>
  <c r="AV3" i="9" s="1"/>
  <c r="BD3" i="9" a="1"/>
  <c r="BD3" i="9" s="1"/>
  <c r="BT3" i="9" a="1"/>
  <c r="BT3" i="9" s="1"/>
  <c r="CB3" i="9" a="1"/>
  <c r="CB3" i="9" s="1"/>
  <c r="I4" i="9" a="1"/>
  <c r="I4" i="9" s="1"/>
  <c r="Q4" i="9" a="1"/>
  <c r="Q4" i="9" s="1"/>
  <c r="Y4" i="9" a="1"/>
  <c r="Y4" i="9" s="1"/>
  <c r="AG4" i="9" a="1"/>
  <c r="AG4" i="9" s="1"/>
  <c r="AO4" i="9" a="1"/>
  <c r="AO4" i="9" s="1"/>
  <c r="AW4" i="9" a="1"/>
  <c r="AW4" i="9" s="1"/>
  <c r="BD4" i="9" a="1"/>
  <c r="BD4" i="9" s="1"/>
  <c r="BT4" i="9" a="1"/>
  <c r="BT4" i="9" s="1"/>
  <c r="CB4" i="9" a="1"/>
  <c r="CB4" i="9" s="1"/>
  <c r="I5" i="9" a="1"/>
  <c r="I5" i="9" s="1"/>
  <c r="Q5" i="9" a="1"/>
  <c r="Q5" i="9" s="1"/>
  <c r="Y5" i="9" a="1"/>
  <c r="Y5" i="9" s="1"/>
  <c r="AG5" i="9" a="1"/>
  <c r="AG5" i="9" s="1"/>
  <c r="AO5" i="9" a="1"/>
  <c r="AO5" i="9" s="1"/>
  <c r="AW5" i="9" a="1"/>
  <c r="AW5" i="9" s="1"/>
  <c r="BE5" i="9" a="1"/>
  <c r="BE5" i="9" s="1"/>
  <c r="BM5" i="9" a="1"/>
  <c r="BM5" i="9" s="1"/>
  <c r="BU5" i="9" a="1"/>
  <c r="BU5" i="9" s="1"/>
  <c r="CC5" i="9" a="1"/>
  <c r="CC5" i="9" s="1"/>
  <c r="I2" i="9" a="1"/>
  <c r="I2" i="9" s="1"/>
  <c r="Q2" i="9" a="1"/>
  <c r="Q2" i="9" s="1"/>
  <c r="Y2" i="9" a="1"/>
  <c r="Y2" i="9" s="1"/>
  <c r="AG2" i="9" a="1"/>
  <c r="AG2" i="9" s="1"/>
  <c r="AO2" i="9" a="1"/>
  <c r="AO2" i="9" s="1"/>
  <c r="AW2" i="9" a="1"/>
  <c r="AW2" i="9" s="1"/>
  <c r="BE2" i="9" a="1"/>
  <c r="BE2" i="9" s="1"/>
  <c r="BM2" i="9" a="1"/>
  <c r="BM2" i="9" s="1"/>
  <c r="BU2" i="9" a="1"/>
  <c r="BU2" i="9" s="1"/>
  <c r="CC2" i="9" a="1"/>
  <c r="CC2" i="9" s="1"/>
  <c r="J3" i="9" a="1"/>
  <c r="J3" i="9" s="1"/>
  <c r="R3" i="9" a="1"/>
  <c r="R3" i="9" s="1"/>
  <c r="Y3" i="9" a="1"/>
  <c r="Y3" i="9" s="1"/>
  <c r="AG3" i="9" a="1"/>
  <c r="AG3" i="9" s="1"/>
  <c r="AO3" i="9" a="1"/>
  <c r="AO3" i="9" s="1"/>
  <c r="AW3" i="9" a="1"/>
  <c r="AW3" i="9" s="1"/>
  <c r="BE3" i="9" a="1"/>
  <c r="BE3" i="9" s="1"/>
  <c r="BM3" i="9" a="1"/>
  <c r="BM3" i="9" s="1"/>
  <c r="BU3" i="9" a="1"/>
  <c r="BU3" i="9" s="1"/>
  <c r="CC3" i="9" a="1"/>
  <c r="CC3" i="9" s="1"/>
  <c r="J4" i="9" a="1"/>
  <c r="J4" i="9" s="1"/>
  <c r="R4" i="9" a="1"/>
  <c r="R4" i="9" s="1"/>
  <c r="Z4" i="9" a="1"/>
  <c r="Z4" i="9" s="1"/>
  <c r="AH4" i="9" a="1"/>
  <c r="AH4" i="9" s="1"/>
  <c r="AP4" i="9" a="1"/>
  <c r="AP4" i="9" s="1"/>
  <c r="AX4" i="9" a="1"/>
  <c r="AX4" i="9" s="1"/>
  <c r="BE4" i="9" a="1"/>
  <c r="BE4" i="9" s="1"/>
  <c r="BM4" i="9" a="1"/>
  <c r="BM4" i="9" s="1"/>
  <c r="BU4" i="9" a="1"/>
  <c r="BU4" i="9" s="1"/>
  <c r="CC4" i="9" a="1"/>
  <c r="CC4" i="9" s="1"/>
  <c r="J5" i="9" a="1"/>
  <c r="J5" i="9" s="1"/>
  <c r="R5" i="9" a="1"/>
  <c r="R5" i="9" s="1"/>
  <c r="Z5" i="9" a="1"/>
  <c r="Z5" i="9" s="1"/>
  <c r="AH5" i="9" a="1"/>
  <c r="AH5" i="9" s="1"/>
  <c r="AP5" i="9" a="1"/>
  <c r="AP5" i="9" s="1"/>
  <c r="AX5" i="9" a="1"/>
  <c r="AX5" i="9" s="1"/>
  <c r="BF5" i="9" a="1"/>
  <c r="BF5" i="9" s="1"/>
  <c r="BN5" i="9" a="1"/>
  <c r="BN5" i="9" s="1"/>
  <c r="BV5" i="9" a="1"/>
  <c r="BV5" i="9" s="1"/>
  <c r="CD5" i="9" a="1"/>
  <c r="CD5" i="9" s="1"/>
  <c r="J2" i="9" a="1"/>
  <c r="J2" i="9" s="1"/>
  <c r="R2" i="9" a="1"/>
  <c r="R2" i="9" s="1"/>
  <c r="Z2" i="9" a="1"/>
  <c r="Z2" i="9" s="1"/>
  <c r="AH2" i="9" a="1"/>
  <c r="AH2" i="9" s="1"/>
  <c r="AP2" i="9" a="1"/>
  <c r="AP2" i="9" s="1"/>
  <c r="AX2" i="9" a="1"/>
  <c r="AX2" i="9" s="1"/>
  <c r="BF2" i="9" a="1"/>
  <c r="BF2" i="9" s="1"/>
  <c r="BN2" i="9" a="1"/>
  <c r="BN2" i="9" s="1"/>
  <c r="BV2" i="9" a="1"/>
  <c r="BV2" i="9" s="1"/>
  <c r="CD2" i="9" a="1"/>
  <c r="CD2" i="9" s="1"/>
  <c r="K3" i="9" a="1"/>
  <c r="K3" i="9" s="1"/>
  <c r="S3" i="9" a="1"/>
  <c r="S3" i="9" s="1"/>
  <c r="Z3" i="9" a="1"/>
  <c r="Z3" i="9" s="1"/>
  <c r="AH3" i="9" a="1"/>
  <c r="AH3" i="9" s="1"/>
  <c r="AP3" i="9" a="1"/>
  <c r="AP3" i="9" s="1"/>
  <c r="AX3" i="9" a="1"/>
  <c r="AX3" i="9" s="1"/>
  <c r="BF3" i="9" a="1"/>
  <c r="BF3" i="9" s="1"/>
  <c r="BN3" i="9" a="1"/>
  <c r="BN3" i="9" s="1"/>
  <c r="BV3" i="9" a="1"/>
  <c r="BV3" i="9" s="1"/>
  <c r="CD3" i="9" a="1"/>
  <c r="CD3" i="9" s="1"/>
  <c r="K4" i="9" a="1"/>
  <c r="K4" i="9" s="1"/>
  <c r="S4" i="9" a="1"/>
  <c r="S4" i="9" s="1"/>
  <c r="AA4" i="9" a="1"/>
  <c r="AA4" i="9" s="1"/>
  <c r="AI4" i="9" a="1"/>
  <c r="AI4" i="9" s="1"/>
  <c r="AQ4" i="9" a="1"/>
  <c r="AQ4" i="9" s="1"/>
  <c r="AY4" i="9" a="1"/>
  <c r="AY4" i="9" s="1"/>
  <c r="BF4" i="9" a="1"/>
  <c r="BF4" i="9" s="1"/>
  <c r="BN4" i="9" a="1"/>
  <c r="BN4" i="9" s="1"/>
  <c r="BV4" i="9" a="1"/>
  <c r="BV4" i="9" s="1"/>
  <c r="CD4" i="9" a="1"/>
  <c r="CD4" i="9" s="1"/>
  <c r="K5" i="9" a="1"/>
  <c r="K5" i="9" s="1"/>
  <c r="S5" i="9" a="1"/>
  <c r="S5" i="9" s="1"/>
  <c r="AA5" i="9" a="1"/>
  <c r="AA5" i="9" s="1"/>
  <c r="AI5" i="9" a="1"/>
  <c r="AI5" i="9" s="1"/>
  <c r="AQ5" i="9" a="1"/>
  <c r="AQ5" i="9" s="1"/>
  <c r="AY5" i="9" a="1"/>
  <c r="AY5" i="9" s="1"/>
  <c r="BG5" i="9" a="1"/>
  <c r="BG5" i="9" s="1"/>
  <c r="BO5" i="9" a="1"/>
  <c r="BO5" i="9" s="1"/>
  <c r="BW5" i="9" a="1"/>
  <c r="BW5" i="9" s="1"/>
  <c r="CE5" i="9" a="1"/>
  <c r="CE5" i="9" s="1"/>
  <c r="L2" i="9" a="1"/>
  <c r="L2" i="9" s="1"/>
  <c r="T2" i="9" a="1"/>
  <c r="T2" i="9" s="1"/>
  <c r="AB2" i="9" a="1"/>
  <c r="AB2" i="9" s="1"/>
  <c r="AJ2" i="9" a="1"/>
  <c r="AJ2" i="9" s="1"/>
  <c r="AZ2" i="9" a="1"/>
  <c r="AZ2" i="9" s="1"/>
  <c r="BH2" i="9" a="1"/>
  <c r="BH2" i="9" s="1"/>
  <c r="BP2" i="9" a="1"/>
  <c r="BP2" i="9" s="1"/>
  <c r="BX2" i="9" a="1"/>
  <c r="BX2" i="9" s="1"/>
  <c r="E3" i="9" a="1"/>
  <c r="E3" i="9" s="1"/>
  <c r="M3" i="9" a="1"/>
  <c r="M3" i="9" s="1"/>
  <c r="AB3" i="9" a="1"/>
  <c r="AB3" i="9" s="1"/>
  <c r="AJ3" i="9" a="1"/>
  <c r="AJ3" i="9" s="1"/>
  <c r="AZ3" i="9" a="1"/>
  <c r="AZ3" i="9" s="1"/>
  <c r="BH3" i="9" a="1"/>
  <c r="BH3" i="9" s="1"/>
  <c r="BP3" i="9" a="1"/>
  <c r="BP3" i="9" s="1"/>
  <c r="BX3" i="9" a="1"/>
  <c r="BX3" i="9" s="1"/>
  <c r="E4" i="9" a="1"/>
  <c r="E4" i="9" s="1"/>
  <c r="M4" i="9" a="1"/>
  <c r="M4" i="9" s="1"/>
  <c r="U4" i="9" a="1"/>
  <c r="U4" i="9" s="1"/>
  <c r="AC4" i="9" a="1"/>
  <c r="AC4" i="9" s="1"/>
  <c r="AK4" i="9" a="1"/>
  <c r="AK4" i="9" s="1"/>
  <c r="AS4" i="9" a="1"/>
  <c r="AS4" i="9" s="1"/>
  <c r="BA4" i="9" a="1"/>
  <c r="BA4" i="9" s="1"/>
  <c r="BH4" i="9" a="1"/>
  <c r="BH4" i="9" s="1"/>
  <c r="BP4" i="9" a="1"/>
  <c r="BP4" i="9" s="1"/>
  <c r="BX4" i="9" a="1"/>
  <c r="BX4" i="9" s="1"/>
  <c r="E5" i="9" a="1"/>
  <c r="E5" i="9" s="1"/>
  <c r="M5" i="9" a="1"/>
  <c r="M5" i="9" s="1"/>
  <c r="U5" i="9" a="1"/>
  <c r="U5" i="9" s="1"/>
  <c r="AC5" i="9" a="1"/>
  <c r="AC5" i="9" s="1"/>
  <c r="AK5" i="9" a="1"/>
  <c r="AK5" i="9" s="1"/>
  <c r="AS5" i="9" a="1"/>
  <c r="AS5" i="9" s="1"/>
  <c r="BA5" i="9" a="1"/>
  <c r="BA5" i="9" s="1"/>
  <c r="BI5" i="9" a="1"/>
  <c r="BI5" i="9" s="1"/>
  <c r="BQ5" i="9" a="1"/>
  <c r="BQ5" i="9" s="1"/>
  <c r="K2" i="9" a="1"/>
  <c r="K2" i="9" s="1"/>
  <c r="BW2" i="9" a="1"/>
  <c r="BW2" i="9" s="1"/>
  <c r="BG3" i="9" a="1"/>
  <c r="BG3" i="9" s="1"/>
  <c r="AB5" i="9" a="1"/>
  <c r="AB5" i="9" s="1"/>
  <c r="S2" i="9" a="1"/>
  <c r="S2" i="9" s="1"/>
  <c r="CE2" i="9" a="1"/>
  <c r="CE2" i="9" s="1"/>
  <c r="BO3" i="9" a="1"/>
  <c r="BO3" i="9" s="1"/>
  <c r="AZ4" i="9" a="1"/>
  <c r="AZ4" i="9" s="1"/>
  <c r="AJ5" i="9" a="1"/>
  <c r="AJ5" i="9" s="1"/>
  <c r="AA2" i="9" a="1"/>
  <c r="AA2" i="9" s="1"/>
  <c r="L3" i="9" a="1"/>
  <c r="L3" i="9" s="1"/>
  <c r="BW3" i="9" a="1"/>
  <c r="BW3" i="9" s="1"/>
  <c r="BG4" i="9" a="1"/>
  <c r="BG4" i="9" s="1"/>
  <c r="AI2" i="9" a="1"/>
  <c r="AI2" i="9" s="1"/>
  <c r="T3" i="9" a="1"/>
  <c r="T3" i="9" s="1"/>
  <c r="CE3" i="9" a="1"/>
  <c r="CE3" i="9" s="1"/>
  <c r="BO4" i="9" a="1"/>
  <c r="BO4" i="9" s="1"/>
  <c r="AZ5" i="9" a="1"/>
  <c r="AZ5" i="9" s="1"/>
  <c r="AQ2" i="9" a="1"/>
  <c r="AQ2" i="9" s="1"/>
  <c r="AA3" i="9" a="1"/>
  <c r="AA3" i="9" s="1"/>
  <c r="L4" i="9" a="1"/>
  <c r="L4" i="9" s="1"/>
  <c r="BW4" i="9" a="1"/>
  <c r="BW4" i="9" s="1"/>
  <c r="BH5" i="9" a="1"/>
  <c r="BH5" i="9" s="1"/>
  <c r="AY2" i="9" a="1"/>
  <c r="AY2" i="9" s="1"/>
  <c r="AI3" i="9" a="1"/>
  <c r="AI3" i="9" s="1"/>
  <c r="T4" i="9" a="1"/>
  <c r="T4" i="9" s="1"/>
  <c r="CE4" i="9" a="1"/>
  <c r="CE4" i="9" s="1"/>
  <c r="BP5" i="9" a="1"/>
  <c r="BP5" i="9" s="1"/>
  <c r="BO2" i="9" a="1"/>
  <c r="BO2" i="9" s="1"/>
  <c r="AY3" i="9" a="1"/>
  <c r="AY3" i="9" s="1"/>
  <c r="AJ4" i="9" a="1"/>
  <c r="AJ4" i="9" s="1"/>
  <c r="T5" i="9" a="1"/>
  <c r="T5" i="9" s="1"/>
  <c r="BY5" i="9" a="1"/>
  <c r="BY5" i="9" s="1"/>
  <c r="BG2" i="9" a="1"/>
  <c r="BG2" i="9" s="1"/>
  <c r="AQ3" i="9" a="1"/>
  <c r="AQ3" i="9" s="1"/>
  <c r="AB4" i="9" a="1"/>
  <c r="AB4" i="9" s="1"/>
  <c r="L5" i="9" a="1"/>
  <c r="L5" i="9" s="1"/>
  <c r="BX5" i="9" a="1"/>
  <c r="BX5" i="9" s="1"/>
  <c r="G102" i="6"/>
  <c r="D6" i="9" s="1" a="1"/>
  <c r="D6" i="9" s="1"/>
  <c r="G6" i="9" a="1"/>
  <c r="G6" i="9" s="1"/>
  <c r="O6" i="9" a="1"/>
  <c r="O6" i="9" s="1"/>
  <c r="W6" i="9" a="1"/>
  <c r="W6" i="9" s="1"/>
  <c r="AE6" i="9" a="1"/>
  <c r="AE6" i="9" s="1"/>
  <c r="AM6" i="9" a="1"/>
  <c r="AM6" i="9" s="1"/>
  <c r="AU6" i="9" a="1"/>
  <c r="AU6" i="9" s="1"/>
  <c r="BC6" i="9" a="1"/>
  <c r="BC6" i="9" s="1"/>
  <c r="BK6" i="9" a="1"/>
  <c r="BK6" i="9" s="1"/>
  <c r="BS6" i="9" a="1"/>
  <c r="BS6" i="9" s="1"/>
  <c r="G7" i="9" a="1"/>
  <c r="G7" i="9" s="1"/>
  <c r="O7" i="9" a="1"/>
  <c r="O7" i="9" s="1"/>
  <c r="W7" i="9" a="1"/>
  <c r="W7" i="9" s="1"/>
  <c r="AE7" i="9" a="1"/>
  <c r="AE7" i="9" s="1"/>
  <c r="AM7" i="9" a="1"/>
  <c r="AM7" i="9" s="1"/>
  <c r="H6" i="9" a="1"/>
  <c r="H6" i="9" s="1"/>
  <c r="P6" i="9" a="1"/>
  <c r="P6" i="9" s="1"/>
  <c r="AF6" i="9" a="1"/>
  <c r="AF6" i="9" s="1"/>
  <c r="AN6" i="9" a="1"/>
  <c r="AN6" i="9" s="1"/>
  <c r="AV6" i="9" a="1"/>
  <c r="AV6" i="9" s="1"/>
  <c r="BD6" i="9" a="1"/>
  <c r="BD6" i="9" s="1"/>
  <c r="BT6" i="9" a="1"/>
  <c r="BT6" i="9" s="1"/>
  <c r="CA6" i="9" a="1"/>
  <c r="CA6" i="9" s="1"/>
  <c r="H7" i="9" a="1"/>
  <c r="H7" i="9" s="1"/>
  <c r="P7" i="9" a="1"/>
  <c r="P7" i="9" s="1"/>
  <c r="AF7" i="9" a="1"/>
  <c r="AF7" i="9" s="1"/>
  <c r="AN7" i="9" a="1"/>
  <c r="AN7" i="9" s="1"/>
  <c r="AV7" i="9" a="1"/>
  <c r="AV7" i="9" s="1"/>
  <c r="BD7" i="9" a="1"/>
  <c r="BD7" i="9" s="1"/>
  <c r="BT7" i="9" a="1"/>
  <c r="BT7" i="9" s="1"/>
  <c r="CB7" i="9" a="1"/>
  <c r="CB7" i="9" s="1"/>
  <c r="I8" i="9" a="1"/>
  <c r="I8" i="9" s="1"/>
  <c r="Q8" i="9" a="1"/>
  <c r="Q8" i="9" s="1"/>
  <c r="Y8" i="9" a="1"/>
  <c r="Y8" i="9" s="1"/>
  <c r="AG8" i="9" a="1"/>
  <c r="AG8" i="9" s="1"/>
  <c r="AN8" i="9" a="1"/>
  <c r="AN8" i="9" s="1"/>
  <c r="AV8" i="9" a="1"/>
  <c r="AV8" i="9" s="1"/>
  <c r="BD8" i="9" a="1"/>
  <c r="BD8" i="9" s="1"/>
  <c r="BK8" i="9" a="1"/>
  <c r="BK8" i="9" s="1"/>
  <c r="BS8" i="9" a="1"/>
  <c r="BS8" i="9" s="1"/>
  <c r="BZ8" i="9" a="1"/>
  <c r="BZ8" i="9" s="1"/>
  <c r="I6" i="9" a="1"/>
  <c r="I6" i="9" s="1"/>
  <c r="Q6" i="9" a="1"/>
  <c r="Q6" i="9" s="1"/>
  <c r="Y6" i="9" a="1"/>
  <c r="Y6" i="9" s="1"/>
  <c r="AG6" i="9" a="1"/>
  <c r="AG6" i="9" s="1"/>
  <c r="AO6" i="9" a="1"/>
  <c r="AO6" i="9" s="1"/>
  <c r="AW6" i="9" a="1"/>
  <c r="AW6" i="9" s="1"/>
  <c r="BE6" i="9" a="1"/>
  <c r="BE6" i="9" s="1"/>
  <c r="BM6" i="9" a="1"/>
  <c r="BM6" i="9" s="1"/>
  <c r="BU6" i="9" a="1"/>
  <c r="BU6" i="9" s="1"/>
  <c r="CB6" i="9" a="1"/>
  <c r="CB6" i="9" s="1"/>
  <c r="I7" i="9" a="1"/>
  <c r="I7" i="9" s="1"/>
  <c r="Q7" i="9" a="1"/>
  <c r="Q7" i="9" s="1"/>
  <c r="Y7" i="9" a="1"/>
  <c r="Y7" i="9" s="1"/>
  <c r="AG7" i="9" a="1"/>
  <c r="AG7" i="9" s="1"/>
  <c r="AO7" i="9" a="1"/>
  <c r="AO7" i="9" s="1"/>
  <c r="AW7" i="9" a="1"/>
  <c r="AW7" i="9" s="1"/>
  <c r="BE7" i="9" a="1"/>
  <c r="BE7" i="9" s="1"/>
  <c r="BM7" i="9" a="1"/>
  <c r="BM7" i="9" s="1"/>
  <c r="BU7" i="9" a="1"/>
  <c r="BU7" i="9" s="1"/>
  <c r="CC7" i="9" a="1"/>
  <c r="CC7" i="9" s="1"/>
  <c r="J8" i="9" a="1"/>
  <c r="J8" i="9" s="1"/>
  <c r="R8" i="9" a="1"/>
  <c r="R8" i="9" s="1"/>
  <c r="Z8" i="9" a="1"/>
  <c r="Z8" i="9" s="1"/>
  <c r="AH8" i="9" a="1"/>
  <c r="AH8" i="9" s="1"/>
  <c r="AO8" i="9" a="1"/>
  <c r="AO8" i="9" s="1"/>
  <c r="AW8" i="9" a="1"/>
  <c r="AW8" i="9" s="1"/>
  <c r="BE8" i="9" a="1"/>
  <c r="BE8" i="9" s="1"/>
  <c r="BT8" i="9" a="1"/>
  <c r="BT8" i="9" s="1"/>
  <c r="CA8" i="9" a="1"/>
  <c r="CA8" i="9" s="1"/>
  <c r="J6" i="9" a="1"/>
  <c r="J6" i="9" s="1"/>
  <c r="R6" i="9" a="1"/>
  <c r="R6" i="9" s="1"/>
  <c r="Z6" i="9" a="1"/>
  <c r="Z6" i="9" s="1"/>
  <c r="AH6" i="9" a="1"/>
  <c r="AH6" i="9" s="1"/>
  <c r="AP6" i="9" a="1"/>
  <c r="AP6" i="9" s="1"/>
  <c r="AX6" i="9" a="1"/>
  <c r="AX6" i="9" s="1"/>
  <c r="BF6" i="9" a="1"/>
  <c r="BF6" i="9" s="1"/>
  <c r="BN6" i="9" a="1"/>
  <c r="BN6" i="9" s="1"/>
  <c r="BV6" i="9" a="1"/>
  <c r="BV6" i="9" s="1"/>
  <c r="CC6" i="9" a="1"/>
  <c r="CC6" i="9" s="1"/>
  <c r="J7" i="9" a="1"/>
  <c r="J7" i="9" s="1"/>
  <c r="R7" i="9" a="1"/>
  <c r="R7" i="9" s="1"/>
  <c r="Z7" i="9" a="1"/>
  <c r="Z7" i="9" s="1"/>
  <c r="AH7" i="9" a="1"/>
  <c r="AH7" i="9" s="1"/>
  <c r="AP7" i="9" a="1"/>
  <c r="AP7" i="9" s="1"/>
  <c r="AX7" i="9" a="1"/>
  <c r="AX7" i="9" s="1"/>
  <c r="BF7" i="9" a="1"/>
  <c r="BF7" i="9" s="1"/>
  <c r="BN7" i="9" a="1"/>
  <c r="BN7" i="9" s="1"/>
  <c r="BV7" i="9" a="1"/>
  <c r="BV7" i="9" s="1"/>
  <c r="CD7" i="9" a="1"/>
  <c r="CD7" i="9" s="1"/>
  <c r="K8" i="9" a="1"/>
  <c r="K8" i="9" s="1"/>
  <c r="S8" i="9" a="1"/>
  <c r="S8" i="9" s="1"/>
  <c r="AA8" i="9" a="1"/>
  <c r="AA8" i="9" s="1"/>
  <c r="AI8" i="9" a="1"/>
  <c r="AI8" i="9" s="1"/>
  <c r="AP8" i="9" a="1"/>
  <c r="AP8" i="9" s="1"/>
  <c r="AX8" i="9" a="1"/>
  <c r="AX8" i="9" s="1"/>
  <c r="BF8" i="9" a="1"/>
  <c r="BF8" i="9" s="1"/>
  <c r="BM8" i="9" a="1"/>
  <c r="BM8" i="9" s="1"/>
  <c r="BU8" i="9" a="1"/>
  <c r="BU8" i="9" s="1"/>
  <c r="CB8" i="9" a="1"/>
  <c r="CB8" i="9" s="1"/>
  <c r="K6" i="9" a="1"/>
  <c r="K6" i="9" s="1"/>
  <c r="S6" i="9" a="1"/>
  <c r="S6" i="9" s="1"/>
  <c r="AA6" i="9" a="1"/>
  <c r="AA6" i="9" s="1"/>
  <c r="AI6" i="9" a="1"/>
  <c r="AI6" i="9" s="1"/>
  <c r="AQ6" i="9" a="1"/>
  <c r="AQ6" i="9" s="1"/>
  <c r="L6" i="9" a="1"/>
  <c r="L6" i="9" s="1"/>
  <c r="T6" i="9" a="1"/>
  <c r="T6" i="9" s="1"/>
  <c r="AB6" i="9" a="1"/>
  <c r="AB6" i="9" s="1"/>
  <c r="AJ6" i="9" a="1"/>
  <c r="AJ6" i="9" s="1"/>
  <c r="AR6" i="9" a="1"/>
  <c r="AR6" i="9" s="1"/>
  <c r="AZ6" i="9" a="1"/>
  <c r="AZ6" i="9" s="1"/>
  <c r="BH6" i="9" a="1"/>
  <c r="BH6" i="9" s="1"/>
  <c r="BP6" i="9" a="1"/>
  <c r="BP6" i="9" s="1"/>
  <c r="BX6" i="9" a="1"/>
  <c r="BX6" i="9" s="1"/>
  <c r="CE6" i="9" a="1"/>
  <c r="CE6" i="9" s="1"/>
  <c r="L7" i="9" a="1"/>
  <c r="L7" i="9" s="1"/>
  <c r="T7" i="9" a="1"/>
  <c r="T7" i="9" s="1"/>
  <c r="AB7" i="9" a="1"/>
  <c r="AB7" i="9" s="1"/>
  <c r="AJ7" i="9" a="1"/>
  <c r="AJ7" i="9" s="1"/>
  <c r="AZ7" i="9" a="1"/>
  <c r="AZ7" i="9" s="1"/>
  <c r="BH7" i="9" a="1"/>
  <c r="BH7" i="9" s="1"/>
  <c r="BP7" i="9" a="1"/>
  <c r="BP7" i="9" s="1"/>
  <c r="BX7" i="9" a="1"/>
  <c r="BX7" i="9" s="1"/>
  <c r="E8" i="9" a="1"/>
  <c r="E8" i="9" s="1"/>
  <c r="M8" i="9" a="1"/>
  <c r="M8" i="9" s="1"/>
  <c r="U8" i="9" a="1"/>
  <c r="U8" i="9" s="1"/>
  <c r="AC8" i="9" a="1"/>
  <c r="AC8" i="9" s="1"/>
  <c r="AK8" i="9" a="1"/>
  <c r="AK8" i="9" s="1"/>
  <c r="E6" i="9" a="1"/>
  <c r="E6" i="9" s="1"/>
  <c r="AK6" i="9" a="1"/>
  <c r="AK6" i="9" s="1"/>
  <c r="BI6" i="9" a="1"/>
  <c r="BI6" i="9" s="1"/>
  <c r="CD6" i="9" a="1"/>
  <c r="CD6" i="9" s="1"/>
  <c r="V7" i="9" a="1"/>
  <c r="V7" i="9" s="1"/>
  <c r="AS7" i="9" a="1"/>
  <c r="AS7" i="9" s="1"/>
  <c r="BI7" i="9" a="1"/>
  <c r="BI7" i="9" s="1"/>
  <c r="BY7" i="9" a="1"/>
  <c r="BY7" i="9" s="1"/>
  <c r="N8" i="9" a="1"/>
  <c r="N8" i="9" s="1"/>
  <c r="AD8" i="9" a="1"/>
  <c r="AD8" i="9" s="1"/>
  <c r="AS8" i="9" a="1"/>
  <c r="AS8" i="9" s="1"/>
  <c r="BG8" i="9" a="1"/>
  <c r="BG8" i="9" s="1"/>
  <c r="BQ8" i="9" a="1"/>
  <c r="BQ8" i="9" s="1"/>
  <c r="CD8" i="9" a="1"/>
  <c r="CD8" i="9" s="1"/>
  <c r="F6" i="9" a="1"/>
  <c r="F6" i="9" s="1"/>
  <c r="AL6" i="9" a="1"/>
  <c r="AL6" i="9" s="1"/>
  <c r="BJ6" i="9" a="1"/>
  <c r="BJ6" i="9" s="1"/>
  <c r="E7" i="9" a="1"/>
  <c r="E7" i="9" s="1"/>
  <c r="AA7" i="9" a="1"/>
  <c r="AA7" i="9" s="1"/>
  <c r="AT7" i="9" a="1"/>
  <c r="AT7" i="9" s="1"/>
  <c r="BJ7" i="9" a="1"/>
  <c r="BJ7" i="9" s="1"/>
  <c r="BZ7" i="9" a="1"/>
  <c r="BZ7" i="9" s="1"/>
  <c r="O8" i="9" a="1"/>
  <c r="O8" i="9" s="1"/>
  <c r="AE8" i="9" a="1"/>
  <c r="AE8" i="9" s="1"/>
  <c r="AT8" i="9" a="1"/>
  <c r="AT8" i="9" s="1"/>
  <c r="BH8" i="9" a="1"/>
  <c r="BH8" i="9" s="1"/>
  <c r="BR8" i="9" a="1"/>
  <c r="BR8" i="9" s="1"/>
  <c r="CE8" i="9" a="1"/>
  <c r="CE8" i="9" s="1"/>
  <c r="M6" i="9" a="1"/>
  <c r="M6" i="9" s="1"/>
  <c r="AS6" i="9" a="1"/>
  <c r="AS6" i="9" s="1"/>
  <c r="BO6" i="9" a="1"/>
  <c r="BO6" i="9" s="1"/>
  <c r="F7" i="9" a="1"/>
  <c r="F7" i="9" s="1"/>
  <c r="AC7" i="9" a="1"/>
  <c r="AC7" i="9" s="1"/>
  <c r="AU7" i="9" a="1"/>
  <c r="AU7" i="9" s="1"/>
  <c r="BK7" i="9" a="1"/>
  <c r="BK7" i="9" s="1"/>
  <c r="CA7" i="9" a="1"/>
  <c r="CA7" i="9" s="1"/>
  <c r="P8" i="9" a="1"/>
  <c r="P8" i="9" s="1"/>
  <c r="AF8" i="9" a="1"/>
  <c r="AF8" i="9" s="1"/>
  <c r="AU8" i="9" a="1"/>
  <c r="AU8" i="9" s="1"/>
  <c r="BV8" i="9" a="1"/>
  <c r="BV8" i="9" s="1"/>
  <c r="N6" i="9" a="1"/>
  <c r="N6" i="9" s="1"/>
  <c r="AT6" i="9" a="1"/>
  <c r="AT6" i="9" s="1"/>
  <c r="BQ6" i="9" a="1"/>
  <c r="BQ6" i="9" s="1"/>
  <c r="K7" i="9" a="1"/>
  <c r="K7" i="9" s="1"/>
  <c r="AD7" i="9" a="1"/>
  <c r="AD7" i="9" s="1"/>
  <c r="AY7" i="9" a="1"/>
  <c r="AY7" i="9" s="1"/>
  <c r="BO7" i="9" a="1"/>
  <c r="BO7" i="9" s="1"/>
  <c r="CE7" i="9" a="1"/>
  <c r="CE7" i="9" s="1"/>
  <c r="T8" i="9" a="1"/>
  <c r="T8" i="9" s="1"/>
  <c r="AJ8" i="9" a="1"/>
  <c r="AJ8" i="9" s="1"/>
  <c r="AY8" i="9" a="1"/>
  <c r="AY8" i="9" s="1"/>
  <c r="BI8" i="9" a="1"/>
  <c r="BI8" i="9" s="1"/>
  <c r="BW8" i="9" a="1"/>
  <c r="BW8" i="9" s="1"/>
  <c r="U6" i="9" a="1"/>
  <c r="U6" i="9" s="1"/>
  <c r="AY6" i="9" a="1"/>
  <c r="AY6" i="9" s="1"/>
  <c r="BR6" i="9" a="1"/>
  <c r="BR6" i="9" s="1"/>
  <c r="M7" i="9" a="1"/>
  <c r="M7" i="9" s="1"/>
  <c r="AI7" i="9" a="1"/>
  <c r="AI7" i="9" s="1"/>
  <c r="BA7" i="9" a="1"/>
  <c r="BA7" i="9" s="1"/>
  <c r="BQ7" i="9" a="1"/>
  <c r="BQ7" i="9" s="1"/>
  <c r="F8" i="9" a="1"/>
  <c r="F8" i="9" s="1"/>
  <c r="V8" i="9" a="1"/>
  <c r="V8" i="9" s="1"/>
  <c r="AZ8" i="9" a="1"/>
  <c r="AZ8" i="9" s="1"/>
  <c r="BJ8" i="9" a="1"/>
  <c r="BJ8" i="9" s="1"/>
  <c r="BX8" i="9" a="1"/>
  <c r="BX8" i="9" s="1"/>
  <c r="V6" i="9" a="1"/>
  <c r="V6" i="9" s="1"/>
  <c r="BA6" i="9" a="1"/>
  <c r="BA6" i="9" s="1"/>
  <c r="BW6" i="9" a="1"/>
  <c r="BW6" i="9" s="1"/>
  <c r="N7" i="9" a="1"/>
  <c r="N7" i="9" s="1"/>
  <c r="AK7" i="9" a="1"/>
  <c r="AK7" i="9" s="1"/>
  <c r="BB7" i="9" a="1"/>
  <c r="BB7" i="9" s="1"/>
  <c r="BR7" i="9" a="1"/>
  <c r="BR7" i="9" s="1"/>
  <c r="G8" i="9" a="1"/>
  <c r="G8" i="9" s="1"/>
  <c r="W8" i="9" a="1"/>
  <c r="W8" i="9" s="1"/>
  <c r="AL8" i="9" a="1"/>
  <c r="AL8" i="9" s="1"/>
  <c r="BA8" i="9" a="1"/>
  <c r="BA8" i="9" s="1"/>
  <c r="AD6" i="9" a="1"/>
  <c r="AD6" i="9" s="1"/>
  <c r="BG6" i="9" a="1"/>
  <c r="BG6" i="9" s="1"/>
  <c r="BZ6" i="9" a="1"/>
  <c r="BZ6" i="9" s="1"/>
  <c r="U7" i="9" a="1"/>
  <c r="U7" i="9" s="1"/>
  <c r="AQ7" i="9" a="1"/>
  <c r="AQ7" i="9" s="1"/>
  <c r="BG7" i="9" a="1"/>
  <c r="BG7" i="9" s="1"/>
  <c r="BW7" i="9" a="1"/>
  <c r="BW7" i="9" s="1"/>
  <c r="L8" i="9" a="1"/>
  <c r="L8" i="9" s="1"/>
  <c r="AB8" i="9" a="1"/>
  <c r="AB8" i="9" s="1"/>
  <c r="AQ8" i="9" a="1"/>
  <c r="AQ8" i="9" s="1"/>
  <c r="BC8" i="9" a="1"/>
  <c r="BC8" i="9" s="1"/>
  <c r="BP8" i="9" a="1"/>
  <c r="BP8" i="9" s="1"/>
  <c r="CC8" i="9" a="1"/>
  <c r="CC8" i="9" s="1"/>
  <c r="S7" i="9" a="1"/>
  <c r="S7" i="9" s="1"/>
  <c r="BN8" i="9" a="1"/>
  <c r="BN8" i="9" s="1"/>
  <c r="AL7" i="9" a="1"/>
  <c r="AL7" i="9" s="1"/>
  <c r="BO8" i="9" a="1"/>
  <c r="BO8" i="9" s="1"/>
  <c r="BC7" i="9" a="1"/>
  <c r="BC7" i="9" s="1"/>
  <c r="BS7" i="9" a="1"/>
  <c r="BS7" i="9" s="1"/>
  <c r="BY8" i="9" a="1"/>
  <c r="BY8" i="9" s="1"/>
  <c r="H8" i="9" a="1"/>
  <c r="H8" i="9" s="1"/>
  <c r="AC6" i="9" a="1"/>
  <c r="AC6" i="9" s="1"/>
  <c r="BY6" i="9" a="1"/>
  <c r="BY6" i="9" s="1"/>
  <c r="BB8" i="9" a="1"/>
  <c r="BB8" i="9" s="1"/>
  <c r="CE19" i="9" a="1"/>
  <c r="CE19" i="9" s="1"/>
  <c r="BU19" i="9" a="1"/>
  <c r="BU19" i="9" s="1"/>
  <c r="BA19" i="9" a="1"/>
  <c r="BA19" i="9" s="1"/>
  <c r="AQ19" i="9" a="1"/>
  <c r="AQ19" i="9" s="1"/>
  <c r="AF19" i="9" a="1"/>
  <c r="AF19" i="9" s="1"/>
  <c r="U19" i="9" a="1"/>
  <c r="U19" i="9" s="1"/>
  <c r="K19" i="9" a="1"/>
  <c r="K19" i="9" s="1"/>
  <c r="CB18" i="9" a="1"/>
  <c r="CB18" i="9" s="1"/>
  <c r="BQ18" i="9" a="1"/>
  <c r="BQ18" i="9" s="1"/>
  <c r="BG18" i="9" a="1"/>
  <c r="BG18" i="9" s="1"/>
  <c r="AV18" i="9" a="1"/>
  <c r="AV18" i="9" s="1"/>
  <c r="AK18" i="9" a="1"/>
  <c r="AK18" i="9" s="1"/>
  <c r="AA18" i="9" a="1"/>
  <c r="AA18" i="9" s="1"/>
  <c r="P18" i="9" a="1"/>
  <c r="P18" i="9" s="1"/>
  <c r="CD17" i="9" a="1"/>
  <c r="CD17" i="9" s="1"/>
  <c r="BS17" i="9" a="1"/>
  <c r="BS17" i="9" s="1"/>
  <c r="BF17" i="9" a="1"/>
  <c r="BF17" i="9" s="1"/>
  <c r="AB17" i="9" a="1"/>
  <c r="AB17" i="9" s="1"/>
  <c r="E17" i="9" a="1"/>
  <c r="E17" i="9" s="1"/>
  <c r="BH16" i="9" a="1"/>
  <c r="BH16" i="9" s="1"/>
  <c r="AB16" i="9" a="1"/>
  <c r="AB16" i="9" s="1"/>
  <c r="BW15" i="9" a="1"/>
  <c r="BW15" i="9" s="1"/>
  <c r="AN15" i="9" a="1"/>
  <c r="AN15" i="9" s="1"/>
  <c r="CE14" i="9" a="1"/>
  <c r="CE14" i="9" s="1"/>
  <c r="AT14" i="9" a="1"/>
  <c r="AT14" i="9" s="1"/>
  <c r="AX13" i="9" a="1"/>
  <c r="AX13" i="9" s="1"/>
  <c r="AA12" i="9" a="1"/>
  <c r="AA12" i="9" s="1"/>
  <c r="Y10" i="9" a="1"/>
  <c r="Y10" i="9" s="1"/>
  <c r="AP15" i="9" a="1"/>
  <c r="AP15" i="9" s="1"/>
  <c r="CD19" i="9" a="1"/>
  <c r="CD19" i="9" s="1"/>
  <c r="BK19" i="9" a="1"/>
  <c r="BK19" i="9" s="1"/>
  <c r="AZ19" i="9" a="1"/>
  <c r="AZ19" i="9" s="1"/>
  <c r="AP19" i="9" a="1"/>
  <c r="AP19" i="9" s="1"/>
  <c r="AE19" i="9" a="1"/>
  <c r="AE19" i="9" s="1"/>
  <c r="T19" i="9" a="1"/>
  <c r="T19" i="9" s="1"/>
  <c r="J19" i="9" a="1"/>
  <c r="J19" i="9" s="1"/>
  <c r="CA18" i="9" a="1"/>
  <c r="CA18" i="9" s="1"/>
  <c r="BP18" i="9" a="1"/>
  <c r="BP18" i="9" s="1"/>
  <c r="BF18" i="9" a="1"/>
  <c r="BF18" i="9" s="1"/>
  <c r="AU18" i="9" a="1"/>
  <c r="AU18" i="9" s="1"/>
  <c r="AJ18" i="9" a="1"/>
  <c r="AJ18" i="9" s="1"/>
  <c r="Z18" i="9" a="1"/>
  <c r="Z18" i="9" s="1"/>
  <c r="O18" i="9" a="1"/>
  <c r="O18" i="9" s="1"/>
  <c r="CC17" i="9" a="1"/>
  <c r="CC17" i="9" s="1"/>
  <c r="BQ17" i="9" a="1"/>
  <c r="BQ17" i="9" s="1"/>
  <c r="BE17" i="9" a="1"/>
  <c r="BE17" i="9" s="1"/>
  <c r="AQ17" i="9" a="1"/>
  <c r="AQ17" i="9" s="1"/>
  <c r="W17" i="9" a="1"/>
  <c r="W17" i="9" s="1"/>
  <c r="CE16" i="9" a="1"/>
  <c r="CE16" i="9" s="1"/>
  <c r="BB16" i="9" a="1"/>
  <c r="BB16" i="9" s="1"/>
  <c r="V16" i="9" a="1"/>
  <c r="V16" i="9" s="1"/>
  <c r="BP15" i="9" a="1"/>
  <c r="BP15" i="9" s="1"/>
  <c r="AH15" i="9" a="1"/>
  <c r="AH15" i="9" s="1"/>
  <c r="BX14" i="9" a="1"/>
  <c r="BX14" i="9" s="1"/>
  <c r="AN14" i="9" a="1"/>
  <c r="AN14" i="9" s="1"/>
  <c r="AM13" i="9" a="1"/>
  <c r="AM13" i="9" s="1"/>
  <c r="G103" i="6"/>
  <c r="BL9" i="9" s="1" a="1"/>
  <c r="BL9" i="9" s="1"/>
  <c r="G9" i="9" a="1"/>
  <c r="G9" i="9" s="1"/>
  <c r="O9" i="9" a="1"/>
  <c r="O9" i="9" s="1"/>
  <c r="W9" i="9" a="1"/>
  <c r="W9" i="9" s="1"/>
  <c r="AD9" i="9" a="1"/>
  <c r="AD9" i="9" s="1"/>
  <c r="AL9" i="9" a="1"/>
  <c r="AL9" i="9" s="1"/>
  <c r="AS9" i="9" a="1"/>
  <c r="AS9" i="9" s="1"/>
  <c r="BA9" i="9" a="1"/>
  <c r="BA9" i="9" s="1"/>
  <c r="BI9" i="9" a="1"/>
  <c r="BI9" i="9" s="1"/>
  <c r="BQ9" i="9" a="1"/>
  <c r="BQ9" i="9" s="1"/>
  <c r="BX9" i="9" a="1"/>
  <c r="BX9" i="9" s="1"/>
  <c r="E10" i="9" a="1"/>
  <c r="E10" i="9" s="1"/>
  <c r="L10" i="9" a="1"/>
  <c r="L10" i="9" s="1"/>
  <c r="T10" i="9" a="1"/>
  <c r="T10" i="9" s="1"/>
  <c r="H9" i="9" a="1"/>
  <c r="H9" i="9" s="1"/>
  <c r="P9" i="9" a="1"/>
  <c r="P9" i="9" s="1"/>
  <c r="I9" i="9" a="1"/>
  <c r="I9" i="9" s="1"/>
  <c r="Q9" i="9" a="1"/>
  <c r="Q9" i="9" s="1"/>
  <c r="Y9" i="9" a="1"/>
  <c r="Y9" i="9" s="1"/>
  <c r="AF9" i="9" a="1"/>
  <c r="AF9" i="9" s="1"/>
  <c r="AM9" i="9" a="1"/>
  <c r="AM9" i="9" s="1"/>
  <c r="AU9" i="9" a="1"/>
  <c r="AU9" i="9" s="1"/>
  <c r="BC9" i="9" a="1"/>
  <c r="BC9" i="9" s="1"/>
  <c r="BK9" i="9" a="1"/>
  <c r="BK9" i="9" s="1"/>
  <c r="BZ9" i="9" a="1"/>
  <c r="BZ9" i="9" s="1"/>
  <c r="F10" i="9" a="1"/>
  <c r="F10" i="9" s="1"/>
  <c r="N10" i="9" a="1"/>
  <c r="N10" i="9" s="1"/>
  <c r="V10" i="9" a="1"/>
  <c r="V10" i="9" s="1"/>
  <c r="AD10" i="9" a="1"/>
  <c r="AD10" i="9" s="1"/>
  <c r="AL10" i="9" a="1"/>
  <c r="AL10" i="9" s="1"/>
  <c r="N9" i="9" a="1"/>
  <c r="N9" i="9" s="1"/>
  <c r="AA9" i="9" a="1"/>
  <c r="AA9" i="9" s="1"/>
  <c r="AJ9" i="9" a="1"/>
  <c r="AJ9" i="9" s="1"/>
  <c r="AT9" i="9" a="1"/>
  <c r="AT9" i="9" s="1"/>
  <c r="BE9" i="9" a="1"/>
  <c r="BE9" i="9" s="1"/>
  <c r="BO9" i="9" a="1"/>
  <c r="BO9" i="9" s="1"/>
  <c r="BY9" i="9" a="1"/>
  <c r="BY9" i="9" s="1"/>
  <c r="H10" i="9" a="1"/>
  <c r="H10" i="9" s="1"/>
  <c r="R10" i="9" a="1"/>
  <c r="R10" i="9" s="1"/>
  <c r="AB10" i="9" a="1"/>
  <c r="AB10" i="9" s="1"/>
  <c r="AK10" i="9" a="1"/>
  <c r="AK10" i="9" s="1"/>
  <c r="AT10" i="9" a="1"/>
  <c r="AT10" i="9" s="1"/>
  <c r="BB10" i="9" a="1"/>
  <c r="BB10" i="9" s="1"/>
  <c r="BJ10" i="9" a="1"/>
  <c r="BJ10" i="9" s="1"/>
  <c r="BR10" i="9" a="1"/>
  <c r="BR10" i="9" s="1"/>
  <c r="BZ10" i="9" a="1"/>
  <c r="BZ10" i="9" s="1"/>
  <c r="G11" i="9" a="1"/>
  <c r="G11" i="9" s="1"/>
  <c r="O11" i="9" a="1"/>
  <c r="O11" i="9" s="1"/>
  <c r="W11" i="9" a="1"/>
  <c r="W11" i="9" s="1"/>
  <c r="AE11" i="9" a="1"/>
  <c r="AE11" i="9" s="1"/>
  <c r="AL11" i="9" a="1"/>
  <c r="AL11" i="9" s="1"/>
  <c r="AT11" i="9" a="1"/>
  <c r="AT11" i="9" s="1"/>
  <c r="BB11" i="9" a="1"/>
  <c r="BB11" i="9" s="1"/>
  <c r="BJ11" i="9" a="1"/>
  <c r="BJ11" i="9" s="1"/>
  <c r="BR11" i="9" a="1"/>
  <c r="BR11" i="9" s="1"/>
  <c r="BZ11" i="9" a="1"/>
  <c r="BZ11" i="9" s="1"/>
  <c r="R9" i="9" a="1"/>
  <c r="R9" i="9" s="1"/>
  <c r="AB9" i="9" a="1"/>
  <c r="AB9" i="9" s="1"/>
  <c r="AK9" i="9" a="1"/>
  <c r="AK9" i="9" s="1"/>
  <c r="AV9" i="9" a="1"/>
  <c r="AV9" i="9" s="1"/>
  <c r="BF9" i="9" a="1"/>
  <c r="BF9" i="9" s="1"/>
  <c r="BP9" i="9" a="1"/>
  <c r="BP9" i="9" s="1"/>
  <c r="CA9" i="9" a="1"/>
  <c r="CA9" i="9" s="1"/>
  <c r="I10" i="9" a="1"/>
  <c r="I10" i="9" s="1"/>
  <c r="S10" i="9" a="1"/>
  <c r="S10" i="9" s="1"/>
  <c r="AC10" i="9" a="1"/>
  <c r="AC10" i="9" s="1"/>
  <c r="AM10" i="9" a="1"/>
  <c r="AM10" i="9" s="1"/>
  <c r="AU10" i="9" a="1"/>
  <c r="AU10" i="9" s="1"/>
  <c r="BC10" i="9" a="1"/>
  <c r="BC10" i="9" s="1"/>
  <c r="BK10" i="9" a="1"/>
  <c r="BK10" i="9" s="1"/>
  <c r="BS10" i="9" a="1"/>
  <c r="BS10" i="9" s="1"/>
  <c r="CA10" i="9" a="1"/>
  <c r="CA10" i="9" s="1"/>
  <c r="H11" i="9" a="1"/>
  <c r="H11" i="9" s="1"/>
  <c r="P11" i="9" a="1"/>
  <c r="P11" i="9" s="1"/>
  <c r="AF11" i="9" a="1"/>
  <c r="AF11" i="9" s="1"/>
  <c r="AM11" i="9" a="1"/>
  <c r="AM11" i="9" s="1"/>
  <c r="AU11" i="9" a="1"/>
  <c r="AU11" i="9" s="1"/>
  <c r="BC11" i="9" a="1"/>
  <c r="BC11" i="9" s="1"/>
  <c r="BK11" i="9" a="1"/>
  <c r="BK11" i="9" s="1"/>
  <c r="BS11" i="9" a="1"/>
  <c r="BS11" i="9" s="1"/>
  <c r="CA11" i="9" a="1"/>
  <c r="CA11" i="9" s="1"/>
  <c r="E9" i="9" a="1"/>
  <c r="E9" i="9" s="1"/>
  <c r="S9" i="9" a="1"/>
  <c r="S9" i="9" s="1"/>
  <c r="AW9" i="9" a="1"/>
  <c r="AW9" i="9" s="1"/>
  <c r="BG9" i="9" a="1"/>
  <c r="BG9" i="9" s="1"/>
  <c r="BR9" i="9" a="1"/>
  <c r="BR9" i="9" s="1"/>
  <c r="CB9" i="9" a="1"/>
  <c r="CB9" i="9" s="1"/>
  <c r="J10" i="9" a="1"/>
  <c r="J10" i="9" s="1"/>
  <c r="U10" i="9" a="1"/>
  <c r="U10" i="9" s="1"/>
  <c r="AE10" i="9" a="1"/>
  <c r="AE10" i="9" s="1"/>
  <c r="AN10" i="9" a="1"/>
  <c r="AN10" i="9" s="1"/>
  <c r="AV10" i="9" a="1"/>
  <c r="AV10" i="9" s="1"/>
  <c r="BD10" i="9" a="1"/>
  <c r="BD10" i="9" s="1"/>
  <c r="BT10" i="9" a="1"/>
  <c r="BT10" i="9" s="1"/>
  <c r="CB10" i="9" a="1"/>
  <c r="CB10" i="9" s="1"/>
  <c r="I11" i="9" a="1"/>
  <c r="I11" i="9" s="1"/>
  <c r="Q11" i="9" a="1"/>
  <c r="Q11" i="9" s="1"/>
  <c r="Y11" i="9" a="1"/>
  <c r="Y11" i="9" s="1"/>
  <c r="AG11" i="9" a="1"/>
  <c r="AG11" i="9" s="1"/>
  <c r="AN11" i="9" a="1"/>
  <c r="AN11" i="9" s="1"/>
  <c r="AV11" i="9" a="1"/>
  <c r="AV11" i="9" s="1"/>
  <c r="BD11" i="9" a="1"/>
  <c r="BD11" i="9" s="1"/>
  <c r="BT11" i="9" a="1"/>
  <c r="BT11" i="9" s="1"/>
  <c r="CB11" i="9" a="1"/>
  <c r="CB11" i="9" s="1"/>
  <c r="F9" i="9" a="1"/>
  <c r="F9" i="9" s="1"/>
  <c r="T9" i="9" a="1"/>
  <c r="T9" i="9" s="1"/>
  <c r="AC9" i="9" a="1"/>
  <c r="AC9" i="9" s="1"/>
  <c r="AN9" i="9" a="1"/>
  <c r="AN9" i="9" s="1"/>
  <c r="AX9" i="9" a="1"/>
  <c r="AX9" i="9" s="1"/>
  <c r="BH9" i="9" a="1"/>
  <c r="BH9" i="9" s="1"/>
  <c r="BS9" i="9" a="1"/>
  <c r="BS9" i="9" s="1"/>
  <c r="CC9" i="9" a="1"/>
  <c r="CC9" i="9" s="1"/>
  <c r="K10" i="9" a="1"/>
  <c r="K10" i="9" s="1"/>
  <c r="W10" i="9" a="1"/>
  <c r="W10" i="9" s="1"/>
  <c r="AF10" i="9" a="1"/>
  <c r="AF10" i="9" s="1"/>
  <c r="AO10" i="9" a="1"/>
  <c r="AO10" i="9" s="1"/>
  <c r="AW10" i="9" a="1"/>
  <c r="AW10" i="9" s="1"/>
  <c r="BE10" i="9" a="1"/>
  <c r="BE10" i="9" s="1"/>
  <c r="BM10" i="9" a="1"/>
  <c r="BM10" i="9" s="1"/>
  <c r="BU10" i="9" a="1"/>
  <c r="BU10" i="9" s="1"/>
  <c r="CC10" i="9" a="1"/>
  <c r="CC10" i="9" s="1"/>
  <c r="J11" i="9" a="1"/>
  <c r="J11" i="9" s="1"/>
  <c r="R11" i="9" a="1"/>
  <c r="R11" i="9" s="1"/>
  <c r="Z11" i="9" a="1"/>
  <c r="Z11" i="9" s="1"/>
  <c r="AH11" i="9" a="1"/>
  <c r="AH11" i="9" s="1"/>
  <c r="AO11" i="9" a="1"/>
  <c r="AO11" i="9" s="1"/>
  <c r="AW11" i="9" a="1"/>
  <c r="AW11" i="9" s="1"/>
  <c r="BE11" i="9" a="1"/>
  <c r="BE11" i="9" s="1"/>
  <c r="BM11" i="9" a="1"/>
  <c r="BM11" i="9" s="1"/>
  <c r="BU11" i="9" a="1"/>
  <c r="BU11" i="9" s="1"/>
  <c r="CC11" i="9" a="1"/>
  <c r="CC11" i="9" s="1"/>
  <c r="J9" i="9" a="1"/>
  <c r="J9" i="9" s="1"/>
  <c r="U9" i="9" a="1"/>
  <c r="U9" i="9" s="1"/>
  <c r="AE9" i="9" a="1"/>
  <c r="AE9" i="9" s="1"/>
  <c r="AO9" i="9" a="1"/>
  <c r="AO9" i="9" s="1"/>
  <c r="AY9" i="9" a="1"/>
  <c r="AY9" i="9" s="1"/>
  <c r="BJ9" i="9" a="1"/>
  <c r="BJ9" i="9" s="1"/>
  <c r="BT9" i="9" a="1"/>
  <c r="BT9" i="9" s="1"/>
  <c r="CD9" i="9" a="1"/>
  <c r="CD9" i="9" s="1"/>
  <c r="M10" i="9" a="1"/>
  <c r="M10" i="9" s="1"/>
  <c r="AG10" i="9" a="1"/>
  <c r="AG10" i="9" s="1"/>
  <c r="AP10" i="9" a="1"/>
  <c r="AP10" i="9" s="1"/>
  <c r="AX10" i="9" a="1"/>
  <c r="AX10" i="9" s="1"/>
  <c r="BF10" i="9" a="1"/>
  <c r="BF10" i="9" s="1"/>
  <c r="BN10" i="9" a="1"/>
  <c r="BN10" i="9" s="1"/>
  <c r="BV10" i="9" a="1"/>
  <c r="BV10" i="9" s="1"/>
  <c r="CD10" i="9" a="1"/>
  <c r="CD10" i="9" s="1"/>
  <c r="K11" i="9" a="1"/>
  <c r="K11" i="9" s="1"/>
  <c r="M9" i="9" a="1"/>
  <c r="M9" i="9" s="1"/>
  <c r="Z9" i="9" a="1"/>
  <c r="Z9" i="9" s="1"/>
  <c r="AI9" i="9" a="1"/>
  <c r="AI9" i="9" s="1"/>
  <c r="BD9" i="9" a="1"/>
  <c r="BD9" i="9" s="1"/>
  <c r="BN9" i="9" a="1"/>
  <c r="BN9" i="9" s="1"/>
  <c r="BW9" i="9" a="1"/>
  <c r="BW9" i="9" s="1"/>
  <c r="G10" i="9" a="1"/>
  <c r="G10" i="9" s="1"/>
  <c r="Q10" i="9" a="1"/>
  <c r="Q10" i="9" s="1"/>
  <c r="AA10" i="9" a="1"/>
  <c r="AA10" i="9" s="1"/>
  <c r="AJ10" i="9" a="1"/>
  <c r="AJ10" i="9" s="1"/>
  <c r="AS10" i="9" a="1"/>
  <c r="AS10" i="9" s="1"/>
  <c r="BA10" i="9" a="1"/>
  <c r="BA10" i="9" s="1"/>
  <c r="BI10" i="9" a="1"/>
  <c r="BI10" i="9" s="1"/>
  <c r="BQ10" i="9" a="1"/>
  <c r="BQ10" i="9" s="1"/>
  <c r="BY10" i="9" a="1"/>
  <c r="BY10" i="9" s="1"/>
  <c r="F11" i="9" a="1"/>
  <c r="F11" i="9" s="1"/>
  <c r="AG9" i="9" a="1"/>
  <c r="AG9" i="9" s="1"/>
  <c r="BU9" i="9" a="1"/>
  <c r="BU9" i="9" s="1"/>
  <c r="AH10" i="9" a="1"/>
  <c r="AH10" i="9" s="1"/>
  <c r="BO10" i="9" a="1"/>
  <c r="BO10" i="9" s="1"/>
  <c r="N11" i="9" a="1"/>
  <c r="N11" i="9" s="1"/>
  <c r="AD11" i="9" a="1"/>
  <c r="AD11" i="9" s="1"/>
  <c r="AS11" i="9" a="1"/>
  <c r="AS11" i="9" s="1"/>
  <c r="BI11" i="9" a="1"/>
  <c r="BI11" i="9" s="1"/>
  <c r="BY11" i="9" a="1"/>
  <c r="BY11" i="9" s="1"/>
  <c r="AH9" i="9" a="1"/>
  <c r="AH9" i="9" s="1"/>
  <c r="BV9" i="9" a="1"/>
  <c r="BV9" i="9" s="1"/>
  <c r="AI10" i="9" a="1"/>
  <c r="AI10" i="9" s="1"/>
  <c r="BP10" i="9" a="1"/>
  <c r="BP10" i="9" s="1"/>
  <c r="S11" i="9" a="1"/>
  <c r="S11" i="9" s="1"/>
  <c r="AI11" i="9" a="1"/>
  <c r="AI11" i="9" s="1"/>
  <c r="AX11" i="9" a="1"/>
  <c r="AX11" i="9" s="1"/>
  <c r="BN11" i="9" a="1"/>
  <c r="BN11" i="9" s="1"/>
  <c r="CD11" i="9" a="1"/>
  <c r="CD11" i="9" s="1"/>
  <c r="AP9" i="9" a="1"/>
  <c r="AP9" i="9" s="1"/>
  <c r="CE9" i="9" a="1"/>
  <c r="CE9" i="9" s="1"/>
  <c r="AQ10" i="9" a="1"/>
  <c r="AQ10" i="9" s="1"/>
  <c r="BW10" i="9" a="1"/>
  <c r="BW10" i="9" s="1"/>
  <c r="T11" i="9" a="1"/>
  <c r="T11" i="9" s="1"/>
  <c r="AY11" i="9" a="1"/>
  <c r="AY11" i="9" s="1"/>
  <c r="BO11" i="9" a="1"/>
  <c r="BO11" i="9" s="1"/>
  <c r="CE11" i="9" a="1"/>
  <c r="CE11" i="9" s="1"/>
  <c r="AQ9" i="9" a="1"/>
  <c r="AQ9" i="9" s="1"/>
  <c r="AR10" i="9" a="1"/>
  <c r="AR10" i="9" s="1"/>
  <c r="BX10" i="9" a="1"/>
  <c r="BX10" i="9" s="1"/>
  <c r="U11" i="9" a="1"/>
  <c r="U11" i="9" s="1"/>
  <c r="AJ11" i="9" a="1"/>
  <c r="AJ11" i="9" s="1"/>
  <c r="AZ11" i="9" a="1"/>
  <c r="AZ11" i="9" s="1"/>
  <c r="BP11" i="9" a="1"/>
  <c r="BP11" i="9" s="1"/>
  <c r="K9" i="9" a="1"/>
  <c r="K9" i="9" s="1"/>
  <c r="AZ9" i="9" a="1"/>
  <c r="AZ9" i="9" s="1"/>
  <c r="O10" i="9" a="1"/>
  <c r="O10" i="9" s="1"/>
  <c r="AY10" i="9" a="1"/>
  <c r="AY10" i="9" s="1"/>
  <c r="CE10" i="9" a="1"/>
  <c r="CE10" i="9" s="1"/>
  <c r="V11" i="9" a="1"/>
  <c r="V11" i="9" s="1"/>
  <c r="AK11" i="9" a="1"/>
  <c r="AK11" i="9" s="1"/>
  <c r="BA11" i="9" a="1"/>
  <c r="BA11" i="9" s="1"/>
  <c r="BQ11" i="9" a="1"/>
  <c r="BQ11" i="9" s="1"/>
  <c r="L9" i="9" a="1"/>
  <c r="L9" i="9" s="1"/>
  <c r="BB9" i="9" a="1"/>
  <c r="BB9" i="9" s="1"/>
  <c r="P10" i="9" a="1"/>
  <c r="P10" i="9" s="1"/>
  <c r="AZ10" i="9" a="1"/>
  <c r="AZ10" i="9" s="1"/>
  <c r="E11" i="9" a="1"/>
  <c r="E11" i="9" s="1"/>
  <c r="AA11" i="9" a="1"/>
  <c r="AA11" i="9" s="1"/>
  <c r="AP11" i="9" a="1"/>
  <c r="AP11" i="9" s="1"/>
  <c r="BF11" i="9" a="1"/>
  <c r="BF11" i="9" s="1"/>
  <c r="BV11" i="9" a="1"/>
  <c r="BV11" i="9" s="1"/>
  <c r="X9" i="9" a="1"/>
  <c r="X9" i="9" s="1"/>
  <c r="BM9" i="9" a="1"/>
  <c r="BM9" i="9" s="1"/>
  <c r="Z10" i="9" a="1"/>
  <c r="Z10" i="9" s="1"/>
  <c r="BH10" i="9" a="1"/>
  <c r="BH10" i="9" s="1"/>
  <c r="M11" i="9" a="1"/>
  <c r="M11" i="9" s="1"/>
  <c r="AC11" i="9" a="1"/>
  <c r="AC11" i="9" s="1"/>
  <c r="BH11" i="9" a="1"/>
  <c r="BH11" i="9" s="1"/>
  <c r="BX11" i="9" a="1"/>
  <c r="BX11" i="9" s="1"/>
  <c r="G104" i="6"/>
  <c r="X12" i="9" s="1" a="1"/>
  <c r="X12" i="9" s="1"/>
  <c r="G12" i="9" a="1"/>
  <c r="G12" i="9" s="1"/>
  <c r="O12" i="9" a="1"/>
  <c r="O12" i="9" s="1"/>
  <c r="V12" i="9" a="1"/>
  <c r="V12" i="9" s="1"/>
  <c r="AD12" i="9" a="1"/>
  <c r="AD12" i="9" s="1"/>
  <c r="AL12" i="9" a="1"/>
  <c r="AL12" i="9" s="1"/>
  <c r="AT12" i="9" a="1"/>
  <c r="AT12" i="9" s="1"/>
  <c r="BB12" i="9" a="1"/>
  <c r="BB12" i="9" s="1"/>
  <c r="BJ12" i="9" a="1"/>
  <c r="BJ12" i="9" s="1"/>
  <c r="BR12" i="9" a="1"/>
  <c r="BR12" i="9" s="1"/>
  <c r="BZ12" i="9" a="1"/>
  <c r="BZ12" i="9" s="1"/>
  <c r="F13" i="9" a="1"/>
  <c r="F13" i="9" s="1"/>
  <c r="N13" i="9" a="1"/>
  <c r="N13" i="9" s="1"/>
  <c r="V13" i="9" a="1"/>
  <c r="V13" i="9" s="1"/>
  <c r="AD13" i="9" a="1"/>
  <c r="AD13" i="9" s="1"/>
  <c r="AL13" i="9" a="1"/>
  <c r="AL13" i="9" s="1"/>
  <c r="AT13" i="9" a="1"/>
  <c r="AT13" i="9" s="1"/>
  <c r="BB13" i="9" a="1"/>
  <c r="BB13" i="9" s="1"/>
  <c r="BI13" i="9" a="1"/>
  <c r="BI13" i="9" s="1"/>
  <c r="BQ13" i="9" a="1"/>
  <c r="BQ13" i="9" s="1"/>
  <c r="BY13" i="9" a="1"/>
  <c r="BY13" i="9" s="1"/>
  <c r="F14" i="9" a="1"/>
  <c r="F14" i="9" s="1"/>
  <c r="N14" i="9" a="1"/>
  <c r="N14" i="9" s="1"/>
  <c r="H12" i="9" a="1"/>
  <c r="H12" i="9" s="1"/>
  <c r="P12" i="9" a="1"/>
  <c r="P12" i="9" s="1"/>
  <c r="W12" i="9" a="1"/>
  <c r="W12" i="9" s="1"/>
  <c r="AE12" i="9" a="1"/>
  <c r="AE12" i="9" s="1"/>
  <c r="AM12" i="9" a="1"/>
  <c r="AM12" i="9" s="1"/>
  <c r="AU12" i="9" a="1"/>
  <c r="AU12" i="9" s="1"/>
  <c r="BC12" i="9" a="1"/>
  <c r="BC12" i="9" s="1"/>
  <c r="BK12" i="9" a="1"/>
  <c r="BK12" i="9" s="1"/>
  <c r="BS12" i="9" a="1"/>
  <c r="BS12" i="9" s="1"/>
  <c r="CA12" i="9" a="1"/>
  <c r="CA12" i="9" s="1"/>
  <c r="G13" i="9" a="1"/>
  <c r="G13" i="9" s="1"/>
  <c r="I12" i="9" a="1"/>
  <c r="I12" i="9" s="1"/>
  <c r="AF12" i="9" a="1"/>
  <c r="AF12" i="9" s="1"/>
  <c r="AN12" i="9" a="1"/>
  <c r="AN12" i="9" s="1"/>
  <c r="AV12" i="9" a="1"/>
  <c r="AV12" i="9" s="1"/>
  <c r="BD12" i="9" a="1"/>
  <c r="BD12" i="9" s="1"/>
  <c r="BT12" i="9" a="1"/>
  <c r="BT12" i="9" s="1"/>
  <c r="CB12" i="9" a="1"/>
  <c r="CB12" i="9" s="1"/>
  <c r="H13" i="9" a="1"/>
  <c r="H13" i="9" s="1"/>
  <c r="P13" i="9" a="1"/>
  <c r="P13" i="9" s="1"/>
  <c r="AF13" i="9" a="1"/>
  <c r="AF13" i="9" s="1"/>
  <c r="AN13" i="9" a="1"/>
  <c r="AN13" i="9" s="1"/>
  <c r="AV13" i="9" a="1"/>
  <c r="AV13" i="9" s="1"/>
  <c r="BD13" i="9" a="1"/>
  <c r="BD13" i="9" s="1"/>
  <c r="BK13" i="9" a="1"/>
  <c r="BK13" i="9" s="1"/>
  <c r="BS13" i="9" a="1"/>
  <c r="BS13" i="9" s="1"/>
  <c r="CA13" i="9" a="1"/>
  <c r="CA13" i="9" s="1"/>
  <c r="H14" i="9" a="1"/>
  <c r="H14" i="9" s="1"/>
  <c r="P14" i="9" a="1"/>
  <c r="P14" i="9" s="1"/>
  <c r="AF14" i="9" a="1"/>
  <c r="AF14" i="9" s="1"/>
  <c r="AM14" i="9" a="1"/>
  <c r="AM14" i="9" s="1"/>
  <c r="AU14" i="9" a="1"/>
  <c r="AU14" i="9" s="1"/>
  <c r="BC14" i="9" a="1"/>
  <c r="BC14" i="9" s="1"/>
  <c r="BK14" i="9" a="1"/>
  <c r="BK14" i="9" s="1"/>
  <c r="BS14" i="9" a="1"/>
  <c r="BS14" i="9" s="1"/>
  <c r="CA14" i="9" a="1"/>
  <c r="CA14" i="9" s="1"/>
  <c r="J12" i="9" a="1"/>
  <c r="J12" i="9" s="1"/>
  <c r="Q12" i="9" a="1"/>
  <c r="Q12" i="9" s="1"/>
  <c r="Y12" i="9" a="1"/>
  <c r="Y12" i="9" s="1"/>
  <c r="AG12" i="9" a="1"/>
  <c r="AG12" i="9" s="1"/>
  <c r="AO12" i="9" a="1"/>
  <c r="AO12" i="9" s="1"/>
  <c r="AW12" i="9" a="1"/>
  <c r="AW12" i="9" s="1"/>
  <c r="BE12" i="9" a="1"/>
  <c r="BE12" i="9" s="1"/>
  <c r="BM12" i="9" a="1"/>
  <c r="BM12" i="9" s="1"/>
  <c r="N12" i="9" a="1"/>
  <c r="N12" i="9" s="1"/>
  <c r="AC12" i="9" a="1"/>
  <c r="AC12" i="9" s="1"/>
  <c r="AS12" i="9" a="1"/>
  <c r="AS12" i="9" s="1"/>
  <c r="BI12" i="9" a="1"/>
  <c r="BI12" i="9" s="1"/>
  <c r="BX12" i="9" a="1"/>
  <c r="BX12" i="9" s="1"/>
  <c r="J13" i="9" a="1"/>
  <c r="J13" i="9" s="1"/>
  <c r="T13" i="9" a="1"/>
  <c r="T13" i="9" s="1"/>
  <c r="AE13" i="9" a="1"/>
  <c r="AE13" i="9" s="1"/>
  <c r="AP13" i="9" a="1"/>
  <c r="AP13" i="9" s="1"/>
  <c r="AZ13" i="9" a="1"/>
  <c r="AZ13" i="9" s="1"/>
  <c r="BJ13" i="9" a="1"/>
  <c r="BJ13" i="9" s="1"/>
  <c r="BU13" i="9" a="1"/>
  <c r="BU13" i="9" s="1"/>
  <c r="CE13" i="9" a="1"/>
  <c r="CE13" i="9" s="1"/>
  <c r="O14" i="9" a="1"/>
  <c r="O14" i="9" s="1"/>
  <c r="Y14" i="9" a="1"/>
  <c r="Y14" i="9" s="1"/>
  <c r="AH14" i="9" a="1"/>
  <c r="AH14" i="9" s="1"/>
  <c r="AP14" i="9" a="1"/>
  <c r="AP14" i="9" s="1"/>
  <c r="AY14" i="9" a="1"/>
  <c r="AY14" i="9" s="1"/>
  <c r="BH14" i="9" a="1"/>
  <c r="BH14" i="9" s="1"/>
  <c r="BQ14" i="9" a="1"/>
  <c r="BQ14" i="9" s="1"/>
  <c r="BZ14" i="9" a="1"/>
  <c r="BZ14" i="9" s="1"/>
  <c r="R12" i="9" a="1"/>
  <c r="R12" i="9" s="1"/>
  <c r="AH12" i="9" a="1"/>
  <c r="AH12" i="9" s="1"/>
  <c r="AX12" i="9" a="1"/>
  <c r="AX12" i="9" s="1"/>
  <c r="BN12" i="9" a="1"/>
  <c r="BN12" i="9" s="1"/>
  <c r="BY12" i="9" a="1"/>
  <c r="BY12" i="9" s="1"/>
  <c r="K13" i="9" a="1"/>
  <c r="K13" i="9" s="1"/>
  <c r="U13" i="9" a="1"/>
  <c r="U13" i="9" s="1"/>
  <c r="AG13" i="9" a="1"/>
  <c r="AG13" i="9" s="1"/>
  <c r="AQ13" i="9" a="1"/>
  <c r="AQ13" i="9" s="1"/>
  <c r="BA13" i="9" a="1"/>
  <c r="BA13" i="9" s="1"/>
  <c r="BV13" i="9" a="1"/>
  <c r="BV13" i="9" s="1"/>
  <c r="E14" i="9" a="1"/>
  <c r="E14" i="9" s="1"/>
  <c r="Q14" i="9" a="1"/>
  <c r="Q14" i="9" s="1"/>
  <c r="Z14" i="9" a="1"/>
  <c r="Z14" i="9" s="1"/>
  <c r="AQ14" i="9" a="1"/>
  <c r="AQ14" i="9" s="1"/>
  <c r="AZ14" i="9" a="1"/>
  <c r="AZ14" i="9" s="1"/>
  <c r="BI14" i="9" a="1"/>
  <c r="BI14" i="9" s="1"/>
  <c r="BR14" i="9" a="1"/>
  <c r="BR14" i="9" s="1"/>
  <c r="CB14" i="9" a="1"/>
  <c r="CB14" i="9" s="1"/>
  <c r="S12" i="9" a="1"/>
  <c r="S12" i="9" s="1"/>
  <c r="AI12" i="9" a="1"/>
  <c r="AI12" i="9" s="1"/>
  <c r="AY12" i="9" a="1"/>
  <c r="AY12" i="9" s="1"/>
  <c r="BO12" i="9" a="1"/>
  <c r="BO12" i="9" s="1"/>
  <c r="CC12" i="9" a="1"/>
  <c r="CC12" i="9" s="1"/>
  <c r="L13" i="9" a="1"/>
  <c r="L13" i="9" s="1"/>
  <c r="W13" i="9" a="1"/>
  <c r="W13" i="9" s="1"/>
  <c r="AH13" i="9" a="1"/>
  <c r="AH13" i="9" s="1"/>
  <c r="BC13" i="9" a="1"/>
  <c r="BC13" i="9" s="1"/>
  <c r="BM13" i="9" a="1"/>
  <c r="BM13" i="9" s="1"/>
  <c r="BW13" i="9" a="1"/>
  <c r="BW13" i="9" s="1"/>
  <c r="G14" i="9" a="1"/>
  <c r="G14" i="9" s="1"/>
  <c r="R14" i="9" a="1"/>
  <c r="R14" i="9" s="1"/>
  <c r="AA14" i="9" a="1"/>
  <c r="AA14" i="9" s="1"/>
  <c r="AI14" i="9" a="1"/>
  <c r="AI14" i="9" s="1"/>
  <c r="BA14" i="9" a="1"/>
  <c r="BA14" i="9" s="1"/>
  <c r="BJ14" i="9" a="1"/>
  <c r="BJ14" i="9" s="1"/>
  <c r="BT14" i="9" a="1"/>
  <c r="BT14" i="9" s="1"/>
  <c r="CC14" i="9" a="1"/>
  <c r="CC14" i="9" s="1"/>
  <c r="E12" i="9" a="1"/>
  <c r="E12" i="9" s="1"/>
  <c r="T12" i="9" a="1"/>
  <c r="T12" i="9" s="1"/>
  <c r="AJ12" i="9" a="1"/>
  <c r="AJ12" i="9" s="1"/>
  <c r="AZ12" i="9" a="1"/>
  <c r="AZ12" i="9" s="1"/>
  <c r="BP12" i="9" a="1"/>
  <c r="BP12" i="9" s="1"/>
  <c r="CD12" i="9" a="1"/>
  <c r="CD12" i="9" s="1"/>
  <c r="M13" i="9" a="1"/>
  <c r="M13" i="9" s="1"/>
  <c r="Y13" i="9" a="1"/>
  <c r="Y13" i="9" s="1"/>
  <c r="AI13" i="9" a="1"/>
  <c r="AI13" i="9" s="1"/>
  <c r="AS13" i="9" a="1"/>
  <c r="AS13" i="9" s="1"/>
  <c r="BE13" i="9" a="1"/>
  <c r="BE13" i="9" s="1"/>
  <c r="BN13" i="9" a="1"/>
  <c r="BN13" i="9" s="1"/>
  <c r="BX13" i="9" a="1"/>
  <c r="BX13" i="9" s="1"/>
  <c r="I14" i="9" a="1"/>
  <c r="I14" i="9" s="1"/>
  <c r="S14" i="9" a="1"/>
  <c r="S14" i="9" s="1"/>
  <c r="AB14" i="9" a="1"/>
  <c r="AB14" i="9" s="1"/>
  <c r="AJ14" i="9" a="1"/>
  <c r="AJ14" i="9" s="1"/>
  <c r="AS14" i="9" a="1"/>
  <c r="AS14" i="9" s="1"/>
  <c r="BB14" i="9" a="1"/>
  <c r="BB14" i="9" s="1"/>
  <c r="BU14" i="9" a="1"/>
  <c r="BU14" i="9" s="1"/>
  <c r="CD14" i="9" a="1"/>
  <c r="CD14" i="9" s="1"/>
  <c r="F12" i="9" a="1"/>
  <c r="F12" i="9" s="1"/>
  <c r="U12" i="9" a="1"/>
  <c r="U12" i="9" s="1"/>
  <c r="AK12" i="9" a="1"/>
  <c r="AK12" i="9" s="1"/>
  <c r="BA12" i="9" a="1"/>
  <c r="BA12" i="9" s="1"/>
  <c r="BQ12" i="9" a="1"/>
  <c r="BQ12" i="9" s="1"/>
  <c r="CE12" i="9" a="1"/>
  <c r="CE12" i="9" s="1"/>
  <c r="O13" i="9" a="1"/>
  <c r="O13" i="9" s="1"/>
  <c r="Z13" i="9" a="1"/>
  <c r="Z13" i="9" s="1"/>
  <c r="AJ13" i="9" a="1"/>
  <c r="AJ13" i="9" s="1"/>
  <c r="AU13" i="9" a="1"/>
  <c r="AU13" i="9" s="1"/>
  <c r="BO13" i="9" a="1"/>
  <c r="BO13" i="9" s="1"/>
  <c r="BZ13" i="9" a="1"/>
  <c r="BZ13" i="9" s="1"/>
  <c r="J14" i="9" a="1"/>
  <c r="J14" i="9" s="1"/>
  <c r="T14" i="9" a="1"/>
  <c r="T14" i="9" s="1"/>
  <c r="AC14" i="9" a="1"/>
  <c r="AC14" i="9" s="1"/>
  <c r="AK14" i="9" a="1"/>
  <c r="AK14" i="9" s="1"/>
  <c r="K12" i="9" a="1"/>
  <c r="K12" i="9" s="1"/>
  <c r="Z12" i="9" a="1"/>
  <c r="Z12" i="9" s="1"/>
  <c r="AP12" i="9" a="1"/>
  <c r="AP12" i="9" s="1"/>
  <c r="BF12" i="9" a="1"/>
  <c r="BF12" i="9" s="1"/>
  <c r="BU12" i="9" a="1"/>
  <c r="BU12" i="9" s="1"/>
  <c r="E13" i="9" a="1"/>
  <c r="E13" i="9" s="1"/>
  <c r="Q13" i="9" a="1"/>
  <c r="Q13" i="9" s="1"/>
  <c r="AA13" i="9" a="1"/>
  <c r="AA13" i="9" s="1"/>
  <c r="AK13" i="9" a="1"/>
  <c r="AK13" i="9" s="1"/>
  <c r="AW13" i="9" a="1"/>
  <c r="AW13" i="9" s="1"/>
  <c r="BF13" i="9" a="1"/>
  <c r="BF13" i="9" s="1"/>
  <c r="BP13" i="9" a="1"/>
  <c r="BP13" i="9" s="1"/>
  <c r="CB13" i="9" a="1"/>
  <c r="CB13" i="9" s="1"/>
  <c r="K14" i="9" a="1"/>
  <c r="K14" i="9" s="1"/>
  <c r="U14" i="9" a="1"/>
  <c r="U14" i="9" s="1"/>
  <c r="AD14" i="9" a="1"/>
  <c r="AD14" i="9" s="1"/>
  <c r="AL14" i="9" a="1"/>
  <c r="AL14" i="9" s="1"/>
  <c r="AV14" i="9" a="1"/>
  <c r="AV14" i="9" s="1"/>
  <c r="BE14" i="9" a="1"/>
  <c r="BE14" i="9" s="1"/>
  <c r="BN14" i="9" a="1"/>
  <c r="BN14" i="9" s="1"/>
  <c r="BW14" i="9" a="1"/>
  <c r="BW14" i="9" s="1"/>
  <c r="M12" i="9" a="1"/>
  <c r="M12" i="9" s="1"/>
  <c r="AB12" i="9" a="1"/>
  <c r="AB12" i="9" s="1"/>
  <c r="BH12" i="9" a="1"/>
  <c r="BH12" i="9" s="1"/>
  <c r="BW12" i="9" a="1"/>
  <c r="BW12" i="9" s="1"/>
  <c r="I13" i="9" a="1"/>
  <c r="I13" i="9" s="1"/>
  <c r="S13" i="9" a="1"/>
  <c r="S13" i="9" s="1"/>
  <c r="AC13" i="9" a="1"/>
  <c r="AC13" i="9" s="1"/>
  <c r="AO13" i="9" a="1"/>
  <c r="AO13" i="9" s="1"/>
  <c r="AY13" i="9" a="1"/>
  <c r="AY13" i="9" s="1"/>
  <c r="BH13" i="9" a="1"/>
  <c r="BH13" i="9" s="1"/>
  <c r="BT13" i="9" a="1"/>
  <c r="BT13" i="9" s="1"/>
  <c r="CD13" i="9" a="1"/>
  <c r="CD13" i="9" s="1"/>
  <c r="M14" i="9" a="1"/>
  <c r="M14" i="9" s="1"/>
  <c r="W14" i="9" a="1"/>
  <c r="W14" i="9" s="1"/>
  <c r="AG14" i="9" a="1"/>
  <c r="AG14" i="9" s="1"/>
  <c r="AO14" i="9" a="1"/>
  <c r="AO14" i="9" s="1"/>
  <c r="AX14" i="9" a="1"/>
  <c r="AX14" i="9" s="1"/>
  <c r="BG14" i="9" a="1"/>
  <c r="BG14" i="9" s="1"/>
  <c r="BP14" i="9" a="1"/>
  <c r="BP14" i="9" s="1"/>
  <c r="BY14" i="9" a="1"/>
  <c r="BY14" i="9" s="1"/>
  <c r="BZ21" i="9" a="1"/>
  <c r="BZ21" i="9" s="1"/>
  <c r="BR21" i="9" a="1"/>
  <c r="BR21" i="9" s="1"/>
  <c r="BJ21" i="9" a="1"/>
  <c r="BJ21" i="9" s="1"/>
  <c r="BB21" i="9" a="1"/>
  <c r="BB21" i="9" s="1"/>
  <c r="AT21" i="9" a="1"/>
  <c r="AT21" i="9" s="1"/>
  <c r="AE21" i="9" a="1"/>
  <c r="AE21" i="9" s="1"/>
  <c r="W21" i="9" a="1"/>
  <c r="W21" i="9" s="1"/>
  <c r="O21" i="9" a="1"/>
  <c r="O21" i="9" s="1"/>
  <c r="G21" i="9" a="1"/>
  <c r="G21" i="9" s="1"/>
  <c r="BZ20" i="9" a="1"/>
  <c r="BZ20" i="9" s="1"/>
  <c r="BQ20" i="9" a="1"/>
  <c r="BQ20" i="9" s="1"/>
  <c r="BH20" i="9" a="1"/>
  <c r="BH20" i="9" s="1"/>
  <c r="AZ20" i="9" a="1"/>
  <c r="AZ20" i="9" s="1"/>
  <c r="AQ20" i="9" a="1"/>
  <c r="AQ20" i="9" s="1"/>
  <c r="AH20" i="9" a="1"/>
  <c r="AH20" i="9" s="1"/>
  <c r="W20" i="9" a="1"/>
  <c r="W20" i="9" s="1"/>
  <c r="L20" i="9" a="1"/>
  <c r="L20" i="9" s="1"/>
  <c r="CC19" i="9" a="1"/>
  <c r="CC19" i="9" s="1"/>
  <c r="BS19" i="9" a="1"/>
  <c r="BS19" i="9" s="1"/>
  <c r="BI19" i="9" a="1"/>
  <c r="BI19" i="9" s="1"/>
  <c r="AY19" i="9" a="1"/>
  <c r="AY19" i="9" s="1"/>
  <c r="AN19" i="9" a="1"/>
  <c r="AN19" i="9" s="1"/>
  <c r="AC19" i="9" a="1"/>
  <c r="AC19" i="9" s="1"/>
  <c r="S19" i="9" a="1"/>
  <c r="S19" i="9" s="1"/>
  <c r="H19" i="9" a="1"/>
  <c r="H19" i="9" s="1"/>
  <c r="BY18" i="9" a="1"/>
  <c r="BY18" i="9" s="1"/>
  <c r="BO18" i="9" a="1"/>
  <c r="BO18" i="9" s="1"/>
  <c r="BD18" i="9" a="1"/>
  <c r="BD18" i="9" s="1"/>
  <c r="AS18" i="9" a="1"/>
  <c r="AS18" i="9" s="1"/>
  <c r="AI18" i="9" a="1"/>
  <c r="AI18" i="9" s="1"/>
  <c r="M18" i="9" a="1"/>
  <c r="M18" i="9" s="1"/>
  <c r="CA17" i="9" a="1"/>
  <c r="CA17" i="9" s="1"/>
  <c r="BO17" i="9" a="1"/>
  <c r="BO17" i="9" s="1"/>
  <c r="BD17" i="9" a="1"/>
  <c r="BD17" i="9" s="1"/>
  <c r="AO17" i="9" a="1"/>
  <c r="AO17" i="9" s="1"/>
  <c r="U17" i="9" a="1"/>
  <c r="U17" i="9" s="1"/>
  <c r="BZ16" i="9" a="1"/>
  <c r="BZ16" i="9" s="1"/>
  <c r="AZ16" i="9" a="1"/>
  <c r="AZ16" i="9" s="1"/>
  <c r="T16" i="9" a="1"/>
  <c r="T16" i="9" s="1"/>
  <c r="BN15" i="9" a="1"/>
  <c r="BN15" i="9" s="1"/>
  <c r="BV14" i="9" a="1"/>
  <c r="BV14" i="9" s="1"/>
  <c r="AE14" i="9" a="1"/>
  <c r="AE14" i="9" s="1"/>
  <c r="AB13" i="9" a="1"/>
  <c r="AB13" i="9" s="1"/>
  <c r="BW11" i="9" a="1"/>
  <c r="BW11" i="9" s="1"/>
  <c r="V9" i="9" a="1"/>
  <c r="V9" i="9" s="1"/>
  <c r="G105" i="6"/>
  <c r="D15" i="9" s="1" a="1"/>
  <c r="D15" i="9" s="1"/>
  <c r="H15" i="9" a="1"/>
  <c r="H15" i="9" s="1"/>
  <c r="P15" i="9" a="1"/>
  <c r="P15" i="9" s="1"/>
  <c r="AF15" i="9" a="1"/>
  <c r="AF15" i="9" s="1"/>
  <c r="AM15" i="9" a="1"/>
  <c r="AM15" i="9" s="1"/>
  <c r="AU15" i="9" a="1"/>
  <c r="AU15" i="9" s="1"/>
  <c r="BC15" i="9" a="1"/>
  <c r="BC15" i="9" s="1"/>
  <c r="BJ15" i="9" a="1"/>
  <c r="BJ15" i="9" s="1"/>
  <c r="BR15" i="9" a="1"/>
  <c r="BR15" i="9" s="1"/>
  <c r="BZ15" i="9" a="1"/>
  <c r="BZ15" i="9" s="1"/>
  <c r="I15" i="9" a="1"/>
  <c r="I15" i="9" s="1"/>
  <c r="R15" i="9" a="1"/>
  <c r="R15" i="9" s="1"/>
  <c r="AA15" i="9" a="1"/>
  <c r="AA15" i="9" s="1"/>
  <c r="BA15" i="9" a="1"/>
  <c r="BA15" i="9" s="1"/>
  <c r="BI15" i="9" a="1"/>
  <c r="BI15" i="9" s="1"/>
  <c r="BS15" i="9" a="1"/>
  <c r="BS15" i="9" s="1"/>
  <c r="CB15" i="9" a="1"/>
  <c r="CB15" i="9" s="1"/>
  <c r="P16" i="9" a="1"/>
  <c r="P16" i="9" s="1"/>
  <c r="AF16" i="9" a="1"/>
  <c r="AF16" i="9" s="1"/>
  <c r="AN16" i="9" a="1"/>
  <c r="AN16" i="9" s="1"/>
  <c r="AV16" i="9" a="1"/>
  <c r="AV16" i="9" s="1"/>
  <c r="BD16" i="9" a="1"/>
  <c r="BD16" i="9" s="1"/>
  <c r="BT16" i="9" a="1"/>
  <c r="BT16" i="9" s="1"/>
  <c r="CB16" i="9" a="1"/>
  <c r="CB16" i="9" s="1"/>
  <c r="J15" i="9" a="1"/>
  <c r="J15" i="9" s="1"/>
  <c r="S15" i="9" a="1"/>
  <c r="S15" i="9" s="1"/>
  <c r="AB15" i="9" a="1"/>
  <c r="AB15" i="9" s="1"/>
  <c r="AJ15" i="9" a="1"/>
  <c r="AJ15" i="9" s="1"/>
  <c r="AS15" i="9" a="1"/>
  <c r="AS15" i="9" s="1"/>
  <c r="BB15" i="9" a="1"/>
  <c r="BB15" i="9" s="1"/>
  <c r="BK15" i="9" a="1"/>
  <c r="BK15" i="9" s="1"/>
  <c r="BT15" i="9" a="1"/>
  <c r="BT15" i="9" s="1"/>
  <c r="CC15" i="9" a="1"/>
  <c r="CC15" i="9" s="1"/>
  <c r="I16" i="9" a="1"/>
  <c r="I16" i="9" s="1"/>
  <c r="Q16" i="9" a="1"/>
  <c r="Q16" i="9" s="1"/>
  <c r="Y16" i="9" a="1"/>
  <c r="Y16" i="9" s="1"/>
  <c r="AG16" i="9" a="1"/>
  <c r="AG16" i="9" s="1"/>
  <c r="AO16" i="9" a="1"/>
  <c r="AO16" i="9" s="1"/>
  <c r="AW16" i="9" a="1"/>
  <c r="AW16" i="9" s="1"/>
  <c r="BE16" i="9" a="1"/>
  <c r="BE16" i="9" s="1"/>
  <c r="BM16" i="9" a="1"/>
  <c r="BM16" i="9" s="1"/>
  <c r="BU16" i="9" a="1"/>
  <c r="BU16" i="9" s="1"/>
  <c r="CC16" i="9" a="1"/>
  <c r="CC16" i="9" s="1"/>
  <c r="K15" i="9" a="1"/>
  <c r="K15" i="9" s="1"/>
  <c r="T15" i="9" a="1"/>
  <c r="T15" i="9" s="1"/>
  <c r="AC15" i="9" a="1"/>
  <c r="AC15" i="9" s="1"/>
  <c r="AK15" i="9" a="1"/>
  <c r="AK15" i="9" s="1"/>
  <c r="AT15" i="9" a="1"/>
  <c r="AT15" i="9" s="1"/>
  <c r="BD15" i="9" a="1"/>
  <c r="BD15" i="9" s="1"/>
  <c r="BU15" i="9" a="1"/>
  <c r="BU15" i="9" s="1"/>
  <c r="CD15" i="9" a="1"/>
  <c r="CD15" i="9" s="1"/>
  <c r="J16" i="9" a="1"/>
  <c r="J16" i="9" s="1"/>
  <c r="R16" i="9" a="1"/>
  <c r="R16" i="9" s="1"/>
  <c r="Z16" i="9" a="1"/>
  <c r="Z16" i="9" s="1"/>
  <c r="AH16" i="9" a="1"/>
  <c r="AH16" i="9" s="1"/>
  <c r="AP16" i="9" a="1"/>
  <c r="AP16" i="9" s="1"/>
  <c r="AX16" i="9" a="1"/>
  <c r="AX16" i="9" s="1"/>
  <c r="BF16" i="9" a="1"/>
  <c r="BF16" i="9" s="1"/>
  <c r="BN16" i="9" a="1"/>
  <c r="BN16" i="9" s="1"/>
  <c r="BV16" i="9" a="1"/>
  <c r="BV16" i="9" s="1"/>
  <c r="CD16" i="9" a="1"/>
  <c r="CD16" i="9" s="1"/>
  <c r="L15" i="9" a="1"/>
  <c r="L15" i="9" s="1"/>
  <c r="U15" i="9" a="1"/>
  <c r="U15" i="9" s="1"/>
  <c r="AD15" i="9" a="1"/>
  <c r="AD15" i="9" s="1"/>
  <c r="AL15" i="9" a="1"/>
  <c r="AL15" i="9" s="1"/>
  <c r="AV15" i="9" a="1"/>
  <c r="AV15" i="9" s="1"/>
  <c r="BM15" i="9" a="1"/>
  <c r="BM15" i="9" s="1"/>
  <c r="BV15" i="9" a="1"/>
  <c r="BV15" i="9" s="1"/>
  <c r="CE15" i="9" a="1"/>
  <c r="CE15" i="9" s="1"/>
  <c r="K16" i="9" a="1"/>
  <c r="K16" i="9" s="1"/>
  <c r="S16" i="9" a="1"/>
  <c r="S16" i="9" s="1"/>
  <c r="AA16" i="9" a="1"/>
  <c r="AA16" i="9" s="1"/>
  <c r="AI16" i="9" a="1"/>
  <c r="AI16" i="9" s="1"/>
  <c r="AQ16" i="9" a="1"/>
  <c r="AQ16" i="9" s="1"/>
  <c r="AY16" i="9" a="1"/>
  <c r="AY16" i="9" s="1"/>
  <c r="BG16" i="9" a="1"/>
  <c r="BG16" i="9" s="1"/>
  <c r="BO16" i="9" a="1"/>
  <c r="BO16" i="9" s="1"/>
  <c r="E15" i="9" a="1"/>
  <c r="E15" i="9" s="1"/>
  <c r="N15" i="9" a="1"/>
  <c r="N15" i="9" s="1"/>
  <c r="W15" i="9" a="1"/>
  <c r="W15" i="9" s="1"/>
  <c r="AG15" i="9" a="1"/>
  <c r="AG15" i="9" s="1"/>
  <c r="AO15" i="9" a="1"/>
  <c r="AO15" i="9" s="1"/>
  <c r="AX15" i="9" a="1"/>
  <c r="AX15" i="9" s="1"/>
  <c r="BF15" i="9" a="1"/>
  <c r="BF15" i="9" s="1"/>
  <c r="BO15" i="9" a="1"/>
  <c r="BO15" i="9" s="1"/>
  <c r="BX15" i="9" a="1"/>
  <c r="BX15" i="9" s="1"/>
  <c r="F16" i="9" a="1"/>
  <c r="F16" i="9" s="1"/>
  <c r="M16" i="9" a="1"/>
  <c r="M16" i="9" s="1"/>
  <c r="U16" i="9" a="1"/>
  <c r="U16" i="9" s="1"/>
  <c r="AC16" i="9" a="1"/>
  <c r="AC16" i="9" s="1"/>
  <c r="AK16" i="9" a="1"/>
  <c r="AK16" i="9" s="1"/>
  <c r="AS16" i="9" a="1"/>
  <c r="AS16" i="9" s="1"/>
  <c r="BA16" i="9" a="1"/>
  <c r="BA16" i="9" s="1"/>
  <c r="BI16" i="9" a="1"/>
  <c r="BI16" i="9" s="1"/>
  <c r="BQ16" i="9" a="1"/>
  <c r="BQ16" i="9" s="1"/>
  <c r="BY16" i="9" a="1"/>
  <c r="BY16" i="9" s="1"/>
  <c r="G15" i="9" a="1"/>
  <c r="G15" i="9" s="1"/>
  <c r="Q15" i="9" a="1"/>
  <c r="Q15" i="9" s="1"/>
  <c r="Z15" i="9" a="1"/>
  <c r="Z15" i="9" s="1"/>
  <c r="AI15" i="9" a="1"/>
  <c r="AI15" i="9" s="1"/>
  <c r="AQ15" i="9" a="1"/>
  <c r="AQ15" i="9" s="1"/>
  <c r="AZ15" i="9" a="1"/>
  <c r="AZ15" i="9" s="1"/>
  <c r="BH15" i="9" a="1"/>
  <c r="BH15" i="9" s="1"/>
  <c r="BQ15" i="9" a="1"/>
  <c r="BQ15" i="9" s="1"/>
  <c r="CA15" i="9" a="1"/>
  <c r="CA15" i="9" s="1"/>
  <c r="H16" i="9" a="1"/>
  <c r="H16" i="9" s="1"/>
  <c r="O16" i="9" a="1"/>
  <c r="O16" i="9" s="1"/>
  <c r="W16" i="9" a="1"/>
  <c r="W16" i="9" s="1"/>
  <c r="AE16" i="9" a="1"/>
  <c r="AE16" i="9" s="1"/>
  <c r="AM16" i="9" a="1"/>
  <c r="AM16" i="9" s="1"/>
  <c r="AU16" i="9" a="1"/>
  <c r="AU16" i="9" s="1"/>
  <c r="BC16" i="9" a="1"/>
  <c r="BC16" i="9" s="1"/>
  <c r="BK16" i="9" a="1"/>
  <c r="BK16" i="9" s="1"/>
  <c r="BS16" i="9" a="1"/>
  <c r="BS16" i="9" s="1"/>
  <c r="CA16" i="9" a="1"/>
  <c r="CA16" i="9" s="1"/>
  <c r="D11" i="9" a="1"/>
  <c r="D11" i="9" s="1"/>
  <c r="CB19" i="9" a="1"/>
  <c r="CB19" i="9" s="1"/>
  <c r="BR19" i="9" a="1"/>
  <c r="BR19" i="9" s="1"/>
  <c r="BH19" i="9" a="1"/>
  <c r="BH19" i="9" s="1"/>
  <c r="AX19" i="9" a="1"/>
  <c r="AX19" i="9" s="1"/>
  <c r="AM19" i="9" a="1"/>
  <c r="AM19" i="9" s="1"/>
  <c r="AB19" i="9" a="1"/>
  <c r="AB19" i="9" s="1"/>
  <c r="R19" i="9" a="1"/>
  <c r="R19" i="9" s="1"/>
  <c r="G19" i="9" a="1"/>
  <c r="G19" i="9" s="1"/>
  <c r="BX18" i="9" a="1"/>
  <c r="BX18" i="9" s="1"/>
  <c r="BN18" i="9" a="1"/>
  <c r="BN18" i="9" s="1"/>
  <c r="BC18" i="9" a="1"/>
  <c r="BC18" i="9" s="1"/>
  <c r="AH18" i="9" a="1"/>
  <c r="AH18" i="9" s="1"/>
  <c r="W18" i="9" a="1"/>
  <c r="W18" i="9" s="1"/>
  <c r="K18" i="9" a="1"/>
  <c r="K18" i="9" s="1"/>
  <c r="BN17" i="9" a="1"/>
  <c r="BN17" i="9" s="1"/>
  <c r="BB17" i="9" a="1"/>
  <c r="BB17" i="9" s="1"/>
  <c r="AL17" i="9" a="1"/>
  <c r="AL17" i="9" s="1"/>
  <c r="BX16" i="9" a="1"/>
  <c r="BX16" i="9" s="1"/>
  <c r="AT16" i="9" a="1"/>
  <c r="AT16" i="9" s="1"/>
  <c r="N16" i="9" a="1"/>
  <c r="N16" i="9" s="1"/>
  <c r="BG15" i="9" a="1"/>
  <c r="BG15" i="9" s="1"/>
  <c r="Y15" i="9" a="1"/>
  <c r="Y15" i="9" s="1"/>
  <c r="BO14" i="9" a="1"/>
  <c r="BO14" i="9" s="1"/>
  <c r="V14" i="9" a="1"/>
  <c r="V14" i="9" s="1"/>
  <c r="R13" i="9" a="1"/>
  <c r="R13" i="9" s="1"/>
  <c r="BG11" i="9" a="1"/>
  <c r="BG11" i="9" s="1"/>
  <c r="AM8" i="9" a="1"/>
  <c r="AM8" i="9" s="1"/>
  <c r="G106" i="6"/>
  <c r="X18" i="9" s="1" a="1"/>
  <c r="X18" i="9" s="1"/>
  <c r="I17" i="9" a="1"/>
  <c r="I17" i="9" s="1"/>
  <c r="Q17" i="9" a="1"/>
  <c r="Q17" i="9" s="1"/>
  <c r="Y17" i="9" a="1"/>
  <c r="Y17" i="9" s="1"/>
  <c r="AG17" i="9" a="1"/>
  <c r="AG17" i="9" s="1"/>
  <c r="AN17" i="9" a="1"/>
  <c r="AN17" i="9" s="1"/>
  <c r="AV17" i="9" a="1"/>
  <c r="AV17" i="9" s="1"/>
  <c r="J17" i="9" a="1"/>
  <c r="J17" i="9" s="1"/>
  <c r="R17" i="9" a="1"/>
  <c r="R17" i="9" s="1"/>
  <c r="Z17" i="9" a="1"/>
  <c r="Z17" i="9" s="1"/>
  <c r="AH17" i="9" a="1"/>
  <c r="AH17" i="9" s="1"/>
  <c r="K17" i="9" a="1"/>
  <c r="K17" i="9" s="1"/>
  <c r="S17" i="9" a="1"/>
  <c r="S17" i="9" s="1"/>
  <c r="AA17" i="9" a="1"/>
  <c r="AA17" i="9" s="1"/>
  <c r="AI17" i="9" a="1"/>
  <c r="AI17" i="9" s="1"/>
  <c r="AP17" i="9" a="1"/>
  <c r="AP17" i="9" s="1"/>
  <c r="AX17" i="9" a="1"/>
  <c r="AX17" i="9" s="1"/>
  <c r="BM17" i="9" a="1"/>
  <c r="BM17" i="9" s="1"/>
  <c r="BU17" i="9" a="1"/>
  <c r="BU17" i="9" s="1"/>
  <c r="CB17" i="9" a="1"/>
  <c r="CB17" i="9" s="1"/>
  <c r="I18" i="9" a="1"/>
  <c r="I18" i="9" s="1"/>
  <c r="Q18" i="9" a="1"/>
  <c r="Q18" i="9" s="1"/>
  <c r="Y18" i="9" a="1"/>
  <c r="Y18" i="9" s="1"/>
  <c r="AG18" i="9" a="1"/>
  <c r="AG18" i="9" s="1"/>
  <c r="AO18" i="9" a="1"/>
  <c r="AO18" i="9" s="1"/>
  <c r="AW18" i="9" a="1"/>
  <c r="AW18" i="9" s="1"/>
  <c r="BE18" i="9" a="1"/>
  <c r="BE18" i="9" s="1"/>
  <c r="BM18" i="9" a="1"/>
  <c r="BM18" i="9" s="1"/>
  <c r="BU18" i="9" a="1"/>
  <c r="BU18" i="9" s="1"/>
  <c r="CC18" i="9" a="1"/>
  <c r="CC18" i="9" s="1"/>
  <c r="I19" i="9" a="1"/>
  <c r="I19" i="9" s="1"/>
  <c r="Q19" i="9" a="1"/>
  <c r="Q19" i="9" s="1"/>
  <c r="Y19" i="9" a="1"/>
  <c r="Y19" i="9" s="1"/>
  <c r="AG19" i="9" a="1"/>
  <c r="AG19" i="9" s="1"/>
  <c r="AO19" i="9" a="1"/>
  <c r="AO19" i="9" s="1"/>
  <c r="AW19" i="9" a="1"/>
  <c r="AW19" i="9" s="1"/>
  <c r="BE19" i="9" a="1"/>
  <c r="BE19" i="9" s="1"/>
  <c r="BM19" i="9" a="1"/>
  <c r="BM19" i="9" s="1"/>
  <c r="BT19" i="9" a="1"/>
  <c r="BT19" i="9" s="1"/>
  <c r="CA19" i="9" a="1"/>
  <c r="CA19" i="9" s="1"/>
  <c r="F17" i="9" a="1"/>
  <c r="F17" i="9" s="1"/>
  <c r="N17" i="9" a="1"/>
  <c r="N17" i="9" s="1"/>
  <c r="V17" i="9" a="1"/>
  <c r="V17" i="9" s="1"/>
  <c r="AD17" i="9" a="1"/>
  <c r="AD17" i="9" s="1"/>
  <c r="AK17" i="9" a="1"/>
  <c r="AK17" i="9" s="1"/>
  <c r="AS17" i="9" a="1"/>
  <c r="AS17" i="9" s="1"/>
  <c r="BA17" i="9" a="1"/>
  <c r="BA17" i="9" s="1"/>
  <c r="BH17" i="9" a="1"/>
  <c r="BH17" i="9" s="1"/>
  <c r="BP17" i="9" a="1"/>
  <c r="BP17" i="9" s="1"/>
  <c r="BX17" i="9" a="1"/>
  <c r="BX17" i="9" s="1"/>
  <c r="CE17" i="9" a="1"/>
  <c r="CE17" i="9" s="1"/>
  <c r="L18" i="9" a="1"/>
  <c r="L18" i="9" s="1"/>
  <c r="H17" i="9" a="1"/>
  <c r="H17" i="9" s="1"/>
  <c r="P17" i="9" a="1"/>
  <c r="P17" i="9" s="1"/>
  <c r="AF17" i="9" a="1"/>
  <c r="AF17" i="9" s="1"/>
  <c r="AM17" i="9" a="1"/>
  <c r="AM17" i="9" s="1"/>
  <c r="AU17" i="9" a="1"/>
  <c r="AU17" i="9" s="1"/>
  <c r="BC17" i="9" a="1"/>
  <c r="BC17" i="9" s="1"/>
  <c r="BJ17" i="9" a="1"/>
  <c r="BJ17" i="9" s="1"/>
  <c r="BR17" i="9" a="1"/>
  <c r="BR17" i="9" s="1"/>
  <c r="BZ17" i="9" a="1"/>
  <c r="BZ17" i="9" s="1"/>
  <c r="F18" i="9" a="1"/>
  <c r="F18" i="9" s="1"/>
  <c r="N18" i="9" a="1"/>
  <c r="N18" i="9" s="1"/>
  <c r="V18" i="9" a="1"/>
  <c r="V18" i="9" s="1"/>
  <c r="AD18" i="9" a="1"/>
  <c r="AD18" i="9" s="1"/>
  <c r="AL18" i="9" a="1"/>
  <c r="AL18" i="9" s="1"/>
  <c r="AT18" i="9" a="1"/>
  <c r="AT18" i="9" s="1"/>
  <c r="BB18" i="9" a="1"/>
  <c r="BB18" i="9" s="1"/>
  <c r="BJ18" i="9" a="1"/>
  <c r="BJ18" i="9" s="1"/>
  <c r="BR18" i="9" a="1"/>
  <c r="BR18" i="9" s="1"/>
  <c r="BZ18" i="9" a="1"/>
  <c r="BZ18" i="9" s="1"/>
  <c r="F19" i="9" a="1"/>
  <c r="F19" i="9" s="1"/>
  <c r="N19" i="9" a="1"/>
  <c r="N19" i="9" s="1"/>
  <c r="V19" i="9" a="1"/>
  <c r="V19" i="9" s="1"/>
  <c r="AD19" i="9" a="1"/>
  <c r="AD19" i="9" s="1"/>
  <c r="AL19" i="9" a="1"/>
  <c r="AL19" i="9" s="1"/>
  <c r="AT19" i="9" a="1"/>
  <c r="AT19" i="9" s="1"/>
  <c r="BB19" i="9" a="1"/>
  <c r="BB19" i="9" s="1"/>
  <c r="BJ19" i="9" a="1"/>
  <c r="BJ19" i="9" s="1"/>
  <c r="BQ19" i="9" a="1"/>
  <c r="BQ19" i="9" s="1"/>
  <c r="BX19" i="9" a="1"/>
  <c r="BX19" i="9" s="1"/>
  <c r="D10" i="9" a="1"/>
  <c r="D10" i="9" s="1"/>
  <c r="BG19" i="9" a="1"/>
  <c r="BG19" i="9" s="1"/>
  <c r="P19" i="9" a="1"/>
  <c r="P19" i="9" s="1"/>
  <c r="E19" i="9" a="1"/>
  <c r="E19" i="9" s="1"/>
  <c r="BW18" i="9" a="1"/>
  <c r="BW18" i="9" s="1"/>
  <c r="BA18" i="9" a="1"/>
  <c r="BA18" i="9" s="1"/>
  <c r="AQ18" i="9" a="1"/>
  <c r="AQ18" i="9" s="1"/>
  <c r="AF18" i="9" a="1"/>
  <c r="AF18" i="9" s="1"/>
  <c r="U18" i="9" a="1"/>
  <c r="U18" i="9" s="1"/>
  <c r="J18" i="9" a="1"/>
  <c r="J18" i="9" s="1"/>
  <c r="BY17" i="9" a="1"/>
  <c r="BY17" i="9" s="1"/>
  <c r="AZ17" i="9" a="1"/>
  <c r="AZ17" i="9" s="1"/>
  <c r="O17" i="9" a="1"/>
  <c r="O17" i="9" s="1"/>
  <c r="BW16" i="9" a="1"/>
  <c r="BW16" i="9" s="1"/>
  <c r="L16" i="9" a="1"/>
  <c r="L16" i="9" s="1"/>
  <c r="BE15" i="9" a="1"/>
  <c r="BE15" i="9" s="1"/>
  <c r="V15" i="9" a="1"/>
  <c r="V15" i="9" s="1"/>
  <c r="BM14" i="9" a="1"/>
  <c r="BM14" i="9" s="1"/>
  <c r="L14" i="9" a="1"/>
  <c r="L14" i="9" s="1"/>
  <c r="AQ11" i="9" a="1"/>
  <c r="AQ11" i="9" s="1"/>
  <c r="BB6" i="9" a="1"/>
  <c r="BB6" i="9" s="1"/>
  <c r="BM106" i="8" l="1" a="1"/>
  <c r="BM106" i="8" s="1"/>
  <c r="BM104" i="8" a="1"/>
  <c r="BM104" i="8" s="1"/>
  <c r="BM40" i="8" a="1"/>
  <c r="BM40" i="8" s="1"/>
  <c r="BM97" i="8" a="1"/>
  <c r="BM97" i="8" s="1"/>
  <c r="BM55" i="8" a="1"/>
  <c r="BM55" i="8" s="1"/>
  <c r="BM100" i="8" a="1"/>
  <c r="BM100" i="8" s="1"/>
  <c r="BM73" i="8" a="1"/>
  <c r="BM73" i="8" s="1"/>
  <c r="BM18" i="8" a="1"/>
  <c r="BM18" i="8" s="1"/>
  <c r="BM24" i="8" a="1"/>
  <c r="BM24" i="8" s="1"/>
  <c r="BM36" i="8" a="1"/>
  <c r="BM36" i="8" s="1"/>
  <c r="E132" i="8" a="1"/>
  <c r="E132" i="8" s="1"/>
  <c r="BM23" i="8" a="1"/>
  <c r="BM23" i="8" s="1"/>
  <c r="BM15" i="8" a="1"/>
  <c r="BM15" i="8" s="1"/>
  <c r="BM35" i="8" a="1"/>
  <c r="BM35" i="8" s="1"/>
  <c r="BM72" i="8" a="1"/>
  <c r="BM72" i="8" s="1"/>
  <c r="BM107" i="8" a="1"/>
  <c r="BM107" i="8" s="1"/>
  <c r="BM98" i="8" a="1"/>
  <c r="BM98" i="8" s="1"/>
  <c r="BM64" i="8" a="1"/>
  <c r="BM64" i="8" s="1"/>
  <c r="BM41" i="8" a="1"/>
  <c r="BM41" i="8" s="1"/>
  <c r="BM78" i="8" a="1"/>
  <c r="BM78" i="8" s="1"/>
  <c r="BM65" i="8" a="1"/>
  <c r="BM65" i="8" s="1"/>
  <c r="BM37" i="8" a="1"/>
  <c r="BM37" i="8" s="1"/>
  <c r="BM74" i="8" a="1"/>
  <c r="BM74" i="8" s="1"/>
  <c r="BM108" i="8" a="1"/>
  <c r="BM108" i="8" s="1"/>
  <c r="BM42" i="8" a="1"/>
  <c r="BM42" i="8" s="1"/>
  <c r="BM19" i="8" a="1"/>
  <c r="BM19" i="8" s="1"/>
  <c r="BM44" i="8" a="1"/>
  <c r="BM44" i="8" s="1"/>
  <c r="BM101" i="8" a="1"/>
  <c r="BM101" i="8" s="1"/>
  <c r="AR9" i="9" a="1"/>
  <c r="AR9" i="9" s="1"/>
  <c r="D2" i="9" a="1"/>
  <c r="D2" i="9" s="1"/>
  <c r="AR4" i="9" a="1"/>
  <c r="AR4" i="9" s="1"/>
  <c r="X10" i="9" a="1"/>
  <c r="X10" i="9" s="1"/>
  <c r="AR3" i="9" a="1"/>
  <c r="AR3" i="9" s="1"/>
  <c r="D3" i="9" a="1"/>
  <c r="D3" i="9" s="1"/>
  <c r="X5" i="9" a="1"/>
  <c r="X5" i="9" s="1"/>
  <c r="AR5" i="9" a="1"/>
  <c r="AR5" i="9" s="1"/>
  <c r="BL11" i="9" a="1"/>
  <c r="BL11" i="9" s="1"/>
  <c r="BL4" i="9" a="1"/>
  <c r="BL4" i="9" s="1"/>
  <c r="BL2" i="9" a="1"/>
  <c r="BL2" i="9" s="1"/>
  <c r="D17" i="9" a="1"/>
  <c r="D17" i="9" s="1"/>
  <c r="X17" i="9" a="1"/>
  <c r="X17" i="9" s="1"/>
  <c r="AR18" i="9" a="1"/>
  <c r="AR18" i="9" s="1"/>
  <c r="BL17" i="9" a="1"/>
  <c r="BL17" i="9" s="1"/>
  <c r="AR16" i="9" a="1"/>
  <c r="AR16" i="9" s="1"/>
  <c r="X16" i="9" a="1"/>
  <c r="X16" i="9" s="1"/>
  <c r="AR8" i="9" a="1"/>
  <c r="AR8" i="9" s="1"/>
  <c r="BL3" i="9" a="1"/>
  <c r="BL3" i="9" s="1"/>
  <c r="X15" i="9" a="1"/>
  <c r="X15" i="9" s="1"/>
  <c r="D8" i="9" a="1"/>
  <c r="D8" i="9" s="1"/>
  <c r="AR7" i="9" a="1"/>
  <c r="AR7" i="9" s="1"/>
  <c r="BL16" i="9" a="1"/>
  <c r="BL16" i="9" s="1"/>
  <c r="BL10" i="9" a="1"/>
  <c r="BL10" i="9" s="1"/>
  <c r="X6" i="9" a="1"/>
  <c r="X6" i="9" s="1"/>
  <c r="X4" i="9" a="1"/>
  <c r="X4" i="9" s="1"/>
  <c r="D5" i="9" a="1"/>
  <c r="D5" i="9" s="1"/>
  <c r="BL5" i="9" a="1"/>
  <c r="BL5" i="9" s="1"/>
  <c r="AR12" i="9" a="1"/>
  <c r="AR12" i="9" s="1"/>
  <c r="BL12" i="9" a="1"/>
  <c r="BL12" i="9" s="1"/>
  <c r="X8" i="9" a="1"/>
  <c r="X8" i="9" s="1"/>
  <c r="AR2" i="9" a="1"/>
  <c r="AR2" i="9" s="1"/>
  <c r="X3" i="9" a="1"/>
  <c r="X3" i="9" s="1"/>
  <c r="AR15" i="9" a="1"/>
  <c r="AR15" i="9" s="1"/>
  <c r="BL8" i="9" a="1"/>
  <c r="BL8" i="9" s="1"/>
  <c r="BL7" i="9" a="1"/>
  <c r="BL7" i="9" s="1"/>
  <c r="BL15" i="9" a="1"/>
  <c r="BL15" i="9" s="1"/>
  <c r="BL14" i="9" a="1"/>
  <c r="BL14" i="9" s="1"/>
  <c r="AR14" i="9" a="1"/>
  <c r="AR14" i="9" s="1"/>
  <c r="AR13" i="9" a="1"/>
  <c r="AR13" i="9" s="1"/>
  <c r="X14" i="9" a="1"/>
  <c r="X14" i="9" s="1"/>
  <c r="AR11" i="9" a="1"/>
  <c r="AR11" i="9" s="1"/>
  <c r="X2" i="9" a="1"/>
  <c r="X2" i="9" s="1"/>
  <c r="D18" i="9" a="1"/>
  <c r="D18" i="9" s="1"/>
  <c r="X13" i="9" a="1"/>
  <c r="X13" i="9" s="1"/>
  <c r="X11" i="9" a="1"/>
  <c r="X11" i="9" s="1"/>
  <c r="X7" i="9" a="1"/>
  <c r="X7" i="9" s="1"/>
  <c r="AR19" i="9" a="1"/>
  <c r="AR19" i="9" s="1"/>
  <c r="X19" i="9" a="1"/>
  <c r="X19" i="9" s="1"/>
  <c r="D7" i="9" a="1"/>
  <c r="D7" i="9" s="1"/>
  <c r="D12" i="9" a="1"/>
  <c r="D12" i="9" s="1"/>
  <c r="D13" i="9" a="1"/>
  <c r="D13" i="9" s="1"/>
  <c r="D14" i="9" a="1"/>
  <c r="D14" i="9" s="1"/>
  <c r="AR17" i="9" a="1"/>
  <c r="AR17" i="9" s="1"/>
  <c r="BL19" i="9" a="1"/>
  <c r="BL19" i="9" s="1"/>
  <c r="BL6" i="9" a="1"/>
  <c r="BL6" i="9" s="1"/>
  <c r="AR21" i="9" a="1"/>
  <c r="AR21" i="9" s="1"/>
  <c r="BL20" i="9" a="1"/>
  <c r="BL20" i="9" s="1"/>
  <c r="AR20" i="9" a="1"/>
  <c r="AR20" i="9" s="1"/>
  <c r="D20" i="9" a="1"/>
  <c r="D20" i="9" s="1"/>
  <c r="X21" i="9" a="1"/>
  <c r="X21" i="9" s="1"/>
  <c r="BL21" i="9" a="1"/>
  <c r="BL21" i="9" s="1"/>
  <c r="D21" i="9" a="1"/>
  <c r="D21" i="9" s="1"/>
  <c r="BL18" i="9" a="1"/>
  <c r="BL18" i="9" s="1"/>
  <c r="D19" i="9" a="1"/>
  <c r="D19" i="9" s="1"/>
  <c r="BL13" i="9" a="1"/>
  <c r="BL13" i="9" s="1"/>
  <c r="D9" i="9" a="1"/>
  <c r="D9" i="9" s="1"/>
  <c r="D16" i="9" a="1"/>
  <c r="D16" i="9" s="1"/>
  <c r="E118" i="8" l="1" a="1"/>
  <c r="E118" i="8" s="1"/>
  <c r="E133" i="8" a="1"/>
  <c r="E133" i="8" s="1"/>
  <c r="E134" i="8" a="1"/>
  <c r="E134" i="8" s="1"/>
  <c r="E120" i="8" a="1"/>
  <c r="E120" i="8" s="1"/>
  <c r="E135" i="8" a="1"/>
  <c r="E135" i="8" s="1"/>
  <c r="E117" i="8" a="1"/>
  <c r="E117" i="8" s="1"/>
  <c r="E121" i="8" a="1"/>
  <c r="E121" i="8" s="1"/>
  <c r="E119" i="8" a="1"/>
  <c r="E119" i="8" s="1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98" i="5"/>
  <c r="E139" i="8" l="1" a="1"/>
  <c r="E139" i="8" s="1"/>
  <c r="D25" i="10" a="1"/>
  <c r="D25" i="10" s="1"/>
  <c r="E25" i="10" a="1"/>
  <c r="E25" i="10" s="1"/>
  <c r="F25" i="10" a="1"/>
  <c r="F25" i="10" s="1"/>
  <c r="G25" i="10" a="1"/>
  <c r="G25" i="10" s="1"/>
  <c r="H25" i="10" a="1"/>
  <c r="H25" i="10" s="1"/>
  <c r="I25" i="10" a="1"/>
  <c r="I25" i="10" s="1"/>
  <c r="J25" i="10" a="1"/>
  <c r="J25" i="10" s="1"/>
  <c r="K25" i="10" a="1"/>
  <c r="K25" i="10" s="1"/>
  <c r="L25" i="10" a="1"/>
  <c r="L25" i="10" s="1"/>
  <c r="M25" i="10" a="1"/>
  <c r="M25" i="10" s="1"/>
  <c r="N25" i="10" a="1"/>
  <c r="N25" i="10" s="1"/>
  <c r="O25" i="10" a="1"/>
  <c r="O25" i="10" s="1"/>
  <c r="P25" i="10" a="1"/>
  <c r="P25" i="10" s="1"/>
  <c r="Q25" i="10" a="1"/>
  <c r="Q25" i="10" s="1"/>
  <c r="R25" i="10" a="1"/>
  <c r="R25" i="10" s="1"/>
  <c r="S25" i="10" a="1"/>
  <c r="S25" i="10" s="1"/>
  <c r="T25" i="10" a="1"/>
  <c r="T25" i="10" s="1"/>
  <c r="U25" i="10" a="1"/>
  <c r="U25" i="10" s="1"/>
  <c r="V25" i="10" a="1"/>
  <c r="V25" i="10" s="1"/>
  <c r="W25" i="10" a="1"/>
  <c r="W25" i="10" s="1"/>
  <c r="X25" i="10" a="1"/>
  <c r="X25" i="10" s="1"/>
  <c r="Y25" i="10" a="1"/>
  <c r="Y25" i="10" s="1"/>
  <c r="Z25" i="10" a="1"/>
  <c r="Z25" i="10" s="1"/>
  <c r="AA25" i="10" a="1"/>
  <c r="AA25" i="10" s="1"/>
  <c r="AB25" i="10" a="1"/>
  <c r="AB25" i="10" s="1"/>
  <c r="AC25" i="10" a="1"/>
  <c r="AC25" i="10" s="1"/>
  <c r="AD25" i="10" a="1"/>
  <c r="AD25" i="10" s="1"/>
  <c r="AE25" i="10" a="1"/>
  <c r="AE25" i="10" s="1"/>
  <c r="AF25" i="10" a="1"/>
  <c r="AF25" i="10" s="1"/>
  <c r="AG25" i="10" a="1"/>
  <c r="AG25" i="10" s="1"/>
  <c r="AH25" i="10" a="1"/>
  <c r="AH25" i="10" s="1"/>
  <c r="AI25" i="10" a="1"/>
  <c r="AI25" i="10" s="1"/>
  <c r="AJ25" i="10" a="1"/>
  <c r="AJ25" i="10" s="1"/>
  <c r="AK25" i="10" a="1"/>
  <c r="AK25" i="10" s="1"/>
  <c r="AL25" i="10" a="1"/>
  <c r="AL25" i="10" s="1"/>
  <c r="AM25" i="10" a="1"/>
  <c r="AM25" i="10" s="1"/>
  <c r="AN25" i="10" a="1"/>
  <c r="AN25" i="10" s="1"/>
  <c r="AO25" i="10" a="1"/>
  <c r="AO25" i="10" s="1"/>
  <c r="AP25" i="10" a="1"/>
  <c r="AP25" i="10" s="1"/>
  <c r="AQ25" i="10" a="1"/>
  <c r="AQ25" i="10" s="1"/>
  <c r="AR25" i="10" a="1"/>
  <c r="AR25" i="10" s="1"/>
  <c r="AS25" i="10" a="1"/>
  <c r="AS25" i="10" s="1"/>
  <c r="AT25" i="10" a="1"/>
  <c r="AT25" i="10" s="1"/>
  <c r="AU25" i="10" a="1"/>
  <c r="AU25" i="10" s="1"/>
  <c r="AV25" i="10" a="1"/>
  <c r="AV25" i="10" s="1"/>
  <c r="AW25" i="10" a="1"/>
  <c r="AW25" i="10" s="1"/>
  <c r="AX25" i="10" a="1"/>
  <c r="AX25" i="10" s="1"/>
  <c r="AY25" i="10" a="1"/>
  <c r="AY25" i="10" s="1"/>
  <c r="AZ25" i="10" a="1"/>
  <c r="AZ25" i="10" s="1"/>
  <c r="BA25" i="10" a="1"/>
  <c r="BA25" i="10" s="1"/>
  <c r="BB25" i="10" a="1"/>
  <c r="BB25" i="10" s="1"/>
  <c r="BC25" i="10" a="1"/>
  <c r="BC25" i="10" s="1"/>
  <c r="BD25" i="10" a="1"/>
  <c r="BD25" i="10" s="1"/>
  <c r="BE25" i="10" a="1"/>
  <c r="BE25" i="10" s="1"/>
  <c r="BF25" i="10" a="1"/>
  <c r="BF25" i="10" s="1"/>
  <c r="BG25" i="10" a="1"/>
  <c r="BG25" i="10" s="1"/>
  <c r="BH25" i="10" a="1"/>
  <c r="BH25" i="10" s="1"/>
  <c r="BI25" i="10" a="1"/>
  <c r="BI25" i="10" s="1"/>
  <c r="BJ25" i="10" a="1"/>
  <c r="BJ25" i="10" s="1"/>
  <c r="BK25" i="10" a="1"/>
  <c r="BK25" i="10" s="1"/>
  <c r="BL25" i="10" a="1"/>
  <c r="BL25" i="10" s="1"/>
  <c r="BM25" i="10" a="1"/>
  <c r="BM25" i="10" s="1"/>
  <c r="BN25" i="10" a="1"/>
  <c r="BN25" i="10" s="1"/>
  <c r="BO25" i="10" a="1"/>
  <c r="BO25" i="10" s="1"/>
  <c r="BP25" i="10" a="1"/>
  <c r="BP25" i="10" s="1"/>
  <c r="BQ25" i="10" a="1"/>
  <c r="BQ25" i="10" s="1"/>
  <c r="BR25" i="10" a="1"/>
  <c r="BR25" i="10" s="1"/>
  <c r="BS25" i="10" a="1"/>
  <c r="BS25" i="10" s="1"/>
  <c r="BT25" i="10" a="1"/>
  <c r="BT25" i="10" s="1"/>
  <c r="BU25" i="10" a="1"/>
  <c r="BU25" i="10" s="1"/>
  <c r="BV25" i="10" a="1"/>
  <c r="BV25" i="10" s="1"/>
  <c r="BW25" i="10" a="1"/>
  <c r="BW25" i="10" s="1"/>
  <c r="BX25" i="10" a="1"/>
  <c r="BX25" i="10" s="1"/>
  <c r="BY25" i="10" a="1"/>
  <c r="BY25" i="10" s="1"/>
  <c r="BZ25" i="10" a="1"/>
  <c r="BZ25" i="10" s="1"/>
  <c r="CA25" i="10" a="1"/>
  <c r="CA25" i="10" s="1"/>
  <c r="CB25" i="10" a="1"/>
  <c r="CB25" i="10" s="1"/>
  <c r="CC25" i="10" a="1"/>
  <c r="CC25" i="10" s="1"/>
  <c r="CD25" i="10" a="1"/>
  <c r="CD25" i="10" s="1"/>
  <c r="CE25" i="10" a="1"/>
  <c r="CE25" i="10" s="1"/>
  <c r="D42" i="10" a="1"/>
  <c r="D42" i="10" s="1"/>
  <c r="E42" i="10" a="1"/>
  <c r="E42" i="10" s="1"/>
  <c r="F42" i="10" a="1"/>
  <c r="F42" i="10" s="1"/>
  <c r="G42" i="10" a="1"/>
  <c r="G42" i="10" s="1"/>
  <c r="H42" i="10" a="1"/>
  <c r="H42" i="10" s="1"/>
  <c r="I42" i="10" a="1"/>
  <c r="I42" i="10" s="1"/>
  <c r="J42" i="10" a="1"/>
  <c r="J42" i="10" s="1"/>
  <c r="K42" i="10" a="1"/>
  <c r="K42" i="10" s="1"/>
  <c r="L42" i="10" a="1"/>
  <c r="L42" i="10" s="1"/>
  <c r="M42" i="10" a="1"/>
  <c r="M42" i="10" s="1"/>
  <c r="N42" i="10" a="1"/>
  <c r="N42" i="10" s="1"/>
  <c r="O42" i="10" a="1"/>
  <c r="O42" i="10" s="1"/>
  <c r="P42" i="10" a="1"/>
  <c r="P42" i="10" s="1"/>
  <c r="Q42" i="10" a="1"/>
  <c r="Q42" i="10" s="1"/>
  <c r="R42" i="10" a="1"/>
  <c r="R42" i="10" s="1"/>
  <c r="S42" i="10" a="1"/>
  <c r="S42" i="10" s="1"/>
  <c r="T42" i="10" a="1"/>
  <c r="T42" i="10" s="1"/>
  <c r="U42" i="10" a="1"/>
  <c r="U42" i="10" s="1"/>
  <c r="V42" i="10" a="1"/>
  <c r="V42" i="10" s="1"/>
  <c r="W42" i="10" a="1"/>
  <c r="W42" i="10" s="1"/>
  <c r="X42" i="10" a="1"/>
  <c r="X42" i="10" s="1"/>
  <c r="Y42" i="10" a="1"/>
  <c r="Y42" i="10" s="1"/>
  <c r="Z42" i="10" a="1"/>
  <c r="Z42" i="10" s="1"/>
  <c r="AA42" i="10" a="1"/>
  <c r="AA42" i="10" s="1"/>
  <c r="AB42" i="10" a="1"/>
  <c r="AB42" i="10" s="1"/>
  <c r="AC42" i="10" a="1"/>
  <c r="AC42" i="10" s="1"/>
  <c r="AD42" i="10" a="1"/>
  <c r="AD42" i="10" s="1"/>
  <c r="AE42" i="10" a="1"/>
  <c r="AE42" i="10" s="1"/>
  <c r="AF42" i="10" a="1"/>
  <c r="AF42" i="10" s="1"/>
  <c r="AG42" i="10" a="1"/>
  <c r="AG42" i="10" s="1"/>
  <c r="AH42" i="10" a="1"/>
  <c r="AH42" i="10" s="1"/>
  <c r="AI42" i="10" a="1"/>
  <c r="AI42" i="10" s="1"/>
  <c r="AJ42" i="10" a="1"/>
  <c r="AJ42" i="10" s="1"/>
  <c r="AK42" i="10" a="1"/>
  <c r="AK42" i="10" s="1"/>
  <c r="AL42" i="10" a="1"/>
  <c r="AL42" i="10" s="1"/>
  <c r="AM42" i="10" a="1"/>
  <c r="AM42" i="10" s="1"/>
  <c r="AN42" i="10" a="1"/>
  <c r="AN42" i="10" s="1"/>
  <c r="AO42" i="10" a="1"/>
  <c r="AO42" i="10" s="1"/>
  <c r="AP42" i="10" a="1"/>
  <c r="AP42" i="10" s="1"/>
  <c r="AQ42" i="10" a="1"/>
  <c r="AQ42" i="10" s="1"/>
  <c r="AR42" i="10" a="1"/>
  <c r="AR42" i="10" s="1"/>
  <c r="AS42" i="10" a="1"/>
  <c r="AS42" i="10" s="1"/>
  <c r="AT42" i="10" a="1"/>
  <c r="AT42" i="10" s="1"/>
  <c r="AU42" i="10" a="1"/>
  <c r="AU42" i="10" s="1"/>
  <c r="AV42" i="10" a="1"/>
  <c r="AV42" i="10" s="1"/>
  <c r="AW42" i="10" a="1"/>
  <c r="AW42" i="10" s="1"/>
  <c r="AX42" i="10" a="1"/>
  <c r="AX42" i="10" s="1"/>
  <c r="AY42" i="10" a="1"/>
  <c r="AY42" i="10" s="1"/>
  <c r="AZ42" i="10" a="1"/>
  <c r="AZ42" i="10" s="1"/>
  <c r="BA42" i="10" a="1"/>
  <c r="BA42" i="10" s="1"/>
  <c r="BB42" i="10" a="1"/>
  <c r="BB42" i="10" s="1"/>
  <c r="BC42" i="10" a="1"/>
  <c r="BC42" i="10" s="1"/>
  <c r="BD42" i="10" a="1"/>
  <c r="BD42" i="10" s="1"/>
  <c r="BE42" i="10" a="1"/>
  <c r="BE42" i="10" s="1"/>
  <c r="BF42" i="10" a="1"/>
  <c r="BF42" i="10" s="1"/>
  <c r="BG42" i="10" a="1"/>
  <c r="BG42" i="10" s="1"/>
  <c r="BH42" i="10" a="1"/>
  <c r="BH42" i="10" s="1"/>
  <c r="BI42" i="10" a="1"/>
  <c r="BI42" i="10" s="1"/>
  <c r="BJ42" i="10" a="1"/>
  <c r="BJ42" i="10" s="1"/>
  <c r="BK42" i="10" a="1"/>
  <c r="BK42" i="10" s="1"/>
  <c r="BL42" i="10" a="1"/>
  <c r="BL42" i="10" s="1"/>
  <c r="BM42" i="10" a="1"/>
  <c r="BM42" i="10" s="1"/>
  <c r="BN42" i="10" a="1"/>
  <c r="BN42" i="10" s="1"/>
  <c r="BO42" i="10" a="1"/>
  <c r="BO42" i="10" s="1"/>
  <c r="BP42" i="10" a="1"/>
  <c r="BP42" i="10" s="1"/>
  <c r="BQ42" i="10" a="1"/>
  <c r="BQ42" i="10" s="1"/>
  <c r="BR42" i="10" a="1"/>
  <c r="BR42" i="10" s="1"/>
  <c r="BS42" i="10" a="1"/>
  <c r="BS42" i="10" s="1"/>
  <c r="BT42" i="10" a="1"/>
  <c r="BT42" i="10" s="1"/>
  <c r="BU42" i="10" a="1"/>
  <c r="BU42" i="10" s="1"/>
  <c r="BV42" i="10" a="1"/>
  <c r="BV42" i="10" s="1"/>
  <c r="BW42" i="10" a="1"/>
  <c r="BW42" i="10" s="1"/>
  <c r="BX42" i="10" a="1"/>
  <c r="BX42" i="10" s="1"/>
  <c r="BY42" i="10" a="1"/>
  <c r="BY42" i="10" s="1"/>
  <c r="BZ42" i="10" a="1"/>
  <c r="BZ42" i="10" s="1"/>
  <c r="CA42" i="10" a="1"/>
  <c r="CA42" i="10" s="1"/>
  <c r="CB42" i="10" a="1"/>
  <c r="CB42" i="10" s="1"/>
  <c r="CC42" i="10" a="1"/>
  <c r="CC42" i="10" s="1"/>
  <c r="CD42" i="10" a="1"/>
  <c r="CD42" i="10" s="1"/>
  <c r="CE42" i="10" a="1"/>
  <c r="CE42" i="10" s="1"/>
  <c r="D61" i="10" a="1"/>
  <c r="D61" i="10" s="1"/>
  <c r="E61" i="10" a="1"/>
  <c r="E61" i="10" s="1"/>
  <c r="F61" i="10" a="1"/>
  <c r="F61" i="10" s="1"/>
  <c r="G61" i="10" a="1"/>
  <c r="G61" i="10" s="1"/>
  <c r="H61" i="10" a="1"/>
  <c r="H61" i="10" s="1"/>
  <c r="I61" i="10" a="1"/>
  <c r="I61" i="10" s="1"/>
  <c r="J61" i="10" a="1"/>
  <c r="J61" i="10" s="1"/>
  <c r="K61" i="10" a="1"/>
  <c r="K61" i="10" s="1"/>
  <c r="L61" i="10" a="1"/>
  <c r="L61" i="10" s="1"/>
  <c r="M61" i="10" a="1"/>
  <c r="M61" i="10" s="1"/>
  <c r="N61" i="10" a="1"/>
  <c r="N61" i="10" s="1"/>
  <c r="O61" i="10" a="1"/>
  <c r="O61" i="10" s="1"/>
  <c r="P61" i="10" a="1"/>
  <c r="P61" i="10" s="1"/>
  <c r="Q61" i="10" a="1"/>
  <c r="Q61" i="10" s="1"/>
  <c r="R61" i="10" a="1"/>
  <c r="R61" i="10" s="1"/>
  <c r="S61" i="10" a="1"/>
  <c r="S61" i="10" s="1"/>
  <c r="T61" i="10" a="1"/>
  <c r="T61" i="10" s="1"/>
  <c r="U61" i="10" a="1"/>
  <c r="U61" i="10" s="1"/>
  <c r="V61" i="10" a="1"/>
  <c r="V61" i="10" s="1"/>
  <c r="W61" i="10" a="1"/>
  <c r="W61" i="10" s="1"/>
  <c r="X61" i="10" a="1"/>
  <c r="X61" i="10" s="1"/>
  <c r="Y61" i="10" a="1"/>
  <c r="Y61" i="10" s="1"/>
  <c r="Z61" i="10" a="1"/>
  <c r="Z61" i="10" s="1"/>
  <c r="AA61" i="10" a="1"/>
  <c r="AA61" i="10" s="1"/>
  <c r="AB61" i="10" a="1"/>
  <c r="AB61" i="10" s="1"/>
  <c r="AC61" i="10" a="1"/>
  <c r="AC61" i="10" s="1"/>
  <c r="AD61" i="10" a="1"/>
  <c r="AD61" i="10" s="1"/>
  <c r="AE61" i="10" a="1"/>
  <c r="AE61" i="10" s="1"/>
  <c r="AF61" i="10" a="1"/>
  <c r="AF61" i="10" s="1"/>
  <c r="AG61" i="10" a="1"/>
  <c r="AG61" i="10" s="1"/>
  <c r="AH61" i="10" a="1"/>
  <c r="AH61" i="10" s="1"/>
  <c r="AI61" i="10" a="1"/>
  <c r="AI61" i="10" s="1"/>
  <c r="AJ61" i="10" a="1"/>
  <c r="AJ61" i="10" s="1"/>
  <c r="AK61" i="10" a="1"/>
  <c r="AK61" i="10" s="1"/>
  <c r="AL61" i="10" a="1"/>
  <c r="AL61" i="10" s="1"/>
  <c r="AM61" i="10" a="1"/>
  <c r="AM61" i="10" s="1"/>
  <c r="AN61" i="10" a="1"/>
  <c r="AN61" i="10" s="1"/>
  <c r="AO61" i="10" a="1"/>
  <c r="AO61" i="10" s="1"/>
  <c r="AP61" i="10" a="1"/>
  <c r="AP61" i="10" s="1"/>
  <c r="AQ61" i="10" a="1"/>
  <c r="AQ61" i="10" s="1"/>
  <c r="AR61" i="10" a="1"/>
  <c r="AR61" i="10" s="1"/>
  <c r="AS61" i="10" a="1"/>
  <c r="AS61" i="10" s="1"/>
  <c r="AT61" i="10" a="1"/>
  <c r="AT61" i="10" s="1"/>
  <c r="AU61" i="10" a="1"/>
  <c r="AU61" i="10" s="1"/>
  <c r="AV61" i="10" a="1"/>
  <c r="AV61" i="10" s="1"/>
  <c r="AW61" i="10" a="1"/>
  <c r="AW61" i="10" s="1"/>
  <c r="AX61" i="10" a="1"/>
  <c r="AX61" i="10" s="1"/>
  <c r="AY61" i="10" a="1"/>
  <c r="AY61" i="10" s="1"/>
  <c r="AZ61" i="10" a="1"/>
  <c r="AZ61" i="10" s="1"/>
  <c r="BA61" i="10" a="1"/>
  <c r="BA61" i="10" s="1"/>
  <c r="BB61" i="10" a="1"/>
  <c r="BB61" i="10" s="1"/>
  <c r="BC61" i="10" a="1"/>
  <c r="BC61" i="10" s="1"/>
  <c r="BD61" i="10" a="1"/>
  <c r="BD61" i="10" s="1"/>
  <c r="BE61" i="10" a="1"/>
  <c r="BE61" i="10" s="1"/>
  <c r="BF61" i="10" a="1"/>
  <c r="BF61" i="10" s="1"/>
  <c r="BG61" i="10" a="1"/>
  <c r="BG61" i="10" s="1"/>
  <c r="BH61" i="10" a="1"/>
  <c r="BH61" i="10" s="1"/>
  <c r="BI61" i="10" a="1"/>
  <c r="BI61" i="10" s="1"/>
  <c r="BJ61" i="10" a="1"/>
  <c r="BJ61" i="10" s="1"/>
  <c r="BK61" i="10" a="1"/>
  <c r="BK61" i="10" s="1"/>
  <c r="BL61" i="10" a="1"/>
  <c r="BL61" i="10" s="1"/>
  <c r="BM61" i="10" a="1"/>
  <c r="BM61" i="10" s="1"/>
  <c r="BN61" i="10" a="1"/>
  <c r="BN61" i="10" s="1"/>
  <c r="BO61" i="10" a="1"/>
  <c r="BO61" i="10" s="1"/>
  <c r="BP61" i="10" a="1"/>
  <c r="BP61" i="10" s="1"/>
  <c r="BQ61" i="10" a="1"/>
  <c r="BQ61" i="10" s="1"/>
  <c r="BR61" i="10" a="1"/>
  <c r="BR61" i="10" s="1"/>
  <c r="BS61" i="10" a="1"/>
  <c r="BS61" i="10" s="1"/>
  <c r="BT61" i="10" a="1"/>
  <c r="BT61" i="10" s="1"/>
  <c r="BU61" i="10" a="1"/>
  <c r="BU61" i="10" s="1"/>
  <c r="BV61" i="10" a="1"/>
  <c r="BV61" i="10" s="1"/>
  <c r="BW61" i="10" a="1"/>
  <c r="BW61" i="10" s="1"/>
  <c r="BX61" i="10" a="1"/>
  <c r="BX61" i="10" s="1"/>
  <c r="BY61" i="10" a="1"/>
  <c r="BY61" i="10" s="1"/>
  <c r="BZ61" i="10" a="1"/>
  <c r="BZ61" i="10" s="1"/>
  <c r="CA61" i="10" a="1"/>
  <c r="CA61" i="10" s="1"/>
  <c r="CB61" i="10" a="1"/>
  <c r="CB61" i="10" s="1"/>
  <c r="CC61" i="10" a="1"/>
  <c r="CC61" i="10" s="1"/>
  <c r="CD61" i="10" a="1"/>
  <c r="CD61" i="10" s="1"/>
  <c r="CE61" i="10" a="1"/>
  <c r="CE61" i="10" s="1"/>
  <c r="D74" i="10" a="1"/>
  <c r="D74" i="10" s="1"/>
  <c r="E74" i="10" a="1"/>
  <c r="E74" i="10" s="1"/>
  <c r="F74" i="10" a="1"/>
  <c r="F74" i="10" s="1"/>
  <c r="G74" i="10" a="1"/>
  <c r="G74" i="10" s="1"/>
  <c r="H74" i="10" a="1"/>
  <c r="H74" i="10" s="1"/>
  <c r="I74" i="10" a="1"/>
  <c r="I74" i="10" s="1"/>
  <c r="J74" i="10" a="1"/>
  <c r="J74" i="10" s="1"/>
  <c r="K74" i="10" a="1"/>
  <c r="K74" i="10" s="1"/>
  <c r="L74" i="10" a="1"/>
  <c r="L74" i="10" s="1"/>
  <c r="M74" i="10" a="1"/>
  <c r="M74" i="10" s="1"/>
  <c r="N74" i="10" a="1"/>
  <c r="N74" i="10" s="1"/>
  <c r="O74" i="10" a="1"/>
  <c r="O74" i="10" s="1"/>
  <c r="P74" i="10" a="1"/>
  <c r="P74" i="10" s="1"/>
  <c r="Q74" i="10" a="1"/>
  <c r="Q74" i="10" s="1"/>
  <c r="R74" i="10" a="1"/>
  <c r="R74" i="10" s="1"/>
  <c r="S74" i="10" a="1"/>
  <c r="S74" i="10" s="1"/>
  <c r="T74" i="10" a="1"/>
  <c r="T74" i="10" s="1"/>
  <c r="U74" i="10" a="1"/>
  <c r="U74" i="10" s="1"/>
  <c r="V74" i="10" a="1"/>
  <c r="V74" i="10" s="1"/>
  <c r="W74" i="10" a="1"/>
  <c r="W74" i="10" s="1"/>
  <c r="X74" i="10" a="1"/>
  <c r="X74" i="10" s="1"/>
  <c r="Y74" i="10" a="1"/>
  <c r="Y74" i="10" s="1"/>
  <c r="Z74" i="10" a="1"/>
  <c r="Z74" i="10" s="1"/>
  <c r="AA74" i="10" a="1"/>
  <c r="AA74" i="10" s="1"/>
  <c r="AB74" i="10" a="1"/>
  <c r="AB74" i="10" s="1"/>
  <c r="AC74" i="10" a="1"/>
  <c r="AC74" i="10" s="1"/>
  <c r="AD74" i="10" a="1"/>
  <c r="AD74" i="10" s="1"/>
  <c r="AE74" i="10" a="1"/>
  <c r="AE74" i="10" s="1"/>
  <c r="AF74" i="10" a="1"/>
  <c r="AF74" i="10" s="1"/>
  <c r="AG74" i="10" a="1"/>
  <c r="AG74" i="10" s="1"/>
  <c r="AH74" i="10" a="1"/>
  <c r="AH74" i="10" s="1"/>
  <c r="AI74" i="10" a="1"/>
  <c r="AI74" i="10" s="1"/>
  <c r="AJ74" i="10" a="1"/>
  <c r="AJ74" i="10" s="1"/>
  <c r="AK74" i="10" a="1"/>
  <c r="AK74" i="10" s="1"/>
  <c r="AL74" i="10" a="1"/>
  <c r="AL74" i="10" s="1"/>
  <c r="AM74" i="10" a="1"/>
  <c r="AM74" i="10" s="1"/>
  <c r="AN74" i="10" a="1"/>
  <c r="AN74" i="10" s="1"/>
  <c r="AO74" i="10" a="1"/>
  <c r="AO74" i="10" s="1"/>
  <c r="AP74" i="10" a="1"/>
  <c r="AP74" i="10" s="1"/>
  <c r="AQ74" i="10" a="1"/>
  <c r="AQ74" i="10" s="1"/>
  <c r="AR74" i="10" a="1"/>
  <c r="AR74" i="10" s="1"/>
  <c r="AS74" i="10" a="1"/>
  <c r="AS74" i="10" s="1"/>
  <c r="AT74" i="10" a="1"/>
  <c r="AT74" i="10" s="1"/>
  <c r="AU74" i="10" a="1"/>
  <c r="AU74" i="10" s="1"/>
  <c r="AV74" i="10" a="1"/>
  <c r="AV74" i="10" s="1"/>
  <c r="AW74" i="10" a="1"/>
  <c r="AW74" i="10" s="1"/>
  <c r="AX74" i="10" a="1"/>
  <c r="AX74" i="10" s="1"/>
  <c r="AY74" i="10" a="1"/>
  <c r="AY74" i="10" s="1"/>
  <c r="AZ74" i="10" a="1"/>
  <c r="AZ74" i="10" s="1"/>
  <c r="BA74" i="10" a="1"/>
  <c r="BA74" i="10" s="1"/>
  <c r="BB74" i="10" a="1"/>
  <c r="BB74" i="10" s="1"/>
  <c r="BC74" i="10" a="1"/>
  <c r="BC74" i="10" s="1"/>
  <c r="BD74" i="10" a="1"/>
  <c r="BD74" i="10" s="1"/>
  <c r="BE74" i="10" a="1"/>
  <c r="BE74" i="10" s="1"/>
  <c r="BF74" i="10" a="1"/>
  <c r="BF74" i="10" s="1"/>
  <c r="BG74" i="10" a="1"/>
  <c r="BG74" i="10" s="1"/>
  <c r="BH74" i="10" a="1"/>
  <c r="BH74" i="10" s="1"/>
  <c r="BI74" i="10" a="1"/>
  <c r="BI74" i="10" s="1"/>
  <c r="BJ74" i="10" a="1"/>
  <c r="BJ74" i="10" s="1"/>
  <c r="BK74" i="10" a="1"/>
  <c r="BK74" i="10" s="1"/>
  <c r="BL74" i="10" a="1"/>
  <c r="BL74" i="10" s="1"/>
  <c r="BM74" i="10" a="1"/>
  <c r="BM74" i="10" s="1"/>
  <c r="BN74" i="10" a="1"/>
  <c r="BN74" i="10" s="1"/>
  <c r="BO74" i="10" a="1"/>
  <c r="BO74" i="10" s="1"/>
  <c r="BP74" i="10" a="1"/>
  <c r="BP74" i="10" s="1"/>
  <c r="BQ74" i="10" a="1"/>
  <c r="BQ74" i="10" s="1"/>
  <c r="BR74" i="10" a="1"/>
  <c r="BR74" i="10" s="1"/>
  <c r="BS74" i="10" a="1"/>
  <c r="BS74" i="10" s="1"/>
  <c r="BT74" i="10" a="1"/>
  <c r="BT74" i="10" s="1"/>
  <c r="BU74" i="10" a="1"/>
  <c r="BU74" i="10" s="1"/>
  <c r="BV74" i="10" a="1"/>
  <c r="BV74" i="10" s="1"/>
  <c r="BW74" i="10" a="1"/>
  <c r="BW74" i="10" s="1"/>
  <c r="BX74" i="10" a="1"/>
  <c r="BX74" i="10" s="1"/>
  <c r="BY74" i="10" a="1"/>
  <c r="BY74" i="10" s="1"/>
  <c r="BZ74" i="10" a="1"/>
  <c r="BZ74" i="10" s="1"/>
  <c r="CA74" i="10" a="1"/>
  <c r="CA74" i="10" s="1"/>
  <c r="CB74" i="10" a="1"/>
  <c r="CB74" i="10" s="1"/>
  <c r="CC74" i="10" a="1"/>
  <c r="CC74" i="10" s="1"/>
  <c r="CD74" i="10" a="1"/>
  <c r="CD74" i="10" s="1"/>
  <c r="CE74" i="10" a="1"/>
  <c r="CE74" i="10" s="1"/>
  <c r="D78" i="10" a="1"/>
  <c r="D78" i="10" s="1"/>
  <c r="E78" i="10" a="1"/>
  <c r="E78" i="10" s="1"/>
  <c r="F78" i="10" a="1"/>
  <c r="F78" i="10" s="1"/>
  <c r="G78" i="10" a="1"/>
  <c r="G78" i="10" s="1"/>
  <c r="H78" i="10" a="1"/>
  <c r="H78" i="10" s="1"/>
  <c r="I78" i="10" a="1"/>
  <c r="I78" i="10" s="1"/>
  <c r="J78" i="10" a="1"/>
  <c r="J78" i="10" s="1"/>
  <c r="K78" i="10" a="1"/>
  <c r="K78" i="10" s="1"/>
  <c r="L78" i="10" a="1"/>
  <c r="L78" i="10" s="1"/>
  <c r="M78" i="10" a="1"/>
  <c r="M78" i="10" s="1"/>
  <c r="N78" i="10" a="1"/>
  <c r="N78" i="10" s="1"/>
  <c r="O78" i="10" a="1"/>
  <c r="O78" i="10" s="1"/>
  <c r="P78" i="10" a="1"/>
  <c r="P78" i="10" s="1"/>
  <c r="Q78" i="10" a="1"/>
  <c r="Q78" i="10" s="1"/>
  <c r="R78" i="10" a="1"/>
  <c r="R78" i="10" s="1"/>
  <c r="S78" i="10" a="1"/>
  <c r="S78" i="10" s="1"/>
  <c r="T78" i="10" a="1"/>
  <c r="T78" i="10" s="1"/>
  <c r="U78" i="10" a="1"/>
  <c r="U78" i="10" s="1"/>
  <c r="V78" i="10" a="1"/>
  <c r="V78" i="10" s="1"/>
  <c r="W78" i="10" a="1"/>
  <c r="W78" i="10" s="1"/>
  <c r="X78" i="10" a="1"/>
  <c r="X78" i="10" s="1"/>
  <c r="Y78" i="10" a="1"/>
  <c r="Y78" i="10" s="1"/>
  <c r="Z78" i="10" a="1"/>
  <c r="Z78" i="10" s="1"/>
  <c r="AA78" i="10" a="1"/>
  <c r="AA78" i="10" s="1"/>
  <c r="AB78" i="10" a="1"/>
  <c r="AB78" i="10" s="1"/>
  <c r="AC78" i="10" a="1"/>
  <c r="AC78" i="10" s="1"/>
  <c r="AD78" i="10" a="1"/>
  <c r="AD78" i="10" s="1"/>
  <c r="AE78" i="10" a="1"/>
  <c r="AE78" i="10" s="1"/>
  <c r="AF78" i="10" a="1"/>
  <c r="AF78" i="10" s="1"/>
  <c r="AG78" i="10" a="1"/>
  <c r="AG78" i="10" s="1"/>
  <c r="AH78" i="10" a="1"/>
  <c r="AH78" i="10" s="1"/>
  <c r="AI78" i="10" a="1"/>
  <c r="AI78" i="10" s="1"/>
  <c r="AJ78" i="10" a="1"/>
  <c r="AJ78" i="10" s="1"/>
  <c r="AK78" i="10" a="1"/>
  <c r="AK78" i="10" s="1"/>
  <c r="AL78" i="10" a="1"/>
  <c r="AL78" i="10" s="1"/>
  <c r="AM78" i="10" a="1"/>
  <c r="AM78" i="10" s="1"/>
  <c r="AN78" i="10" a="1"/>
  <c r="AN78" i="10" s="1"/>
  <c r="AO78" i="10" a="1"/>
  <c r="AO78" i="10" s="1"/>
  <c r="AP78" i="10" a="1"/>
  <c r="AP78" i="10" s="1"/>
  <c r="AQ78" i="10" a="1"/>
  <c r="AQ78" i="10" s="1"/>
  <c r="AR78" i="10" a="1"/>
  <c r="AR78" i="10" s="1"/>
  <c r="AS78" i="10" a="1"/>
  <c r="AS78" i="10" s="1"/>
  <c r="AT78" i="10" a="1"/>
  <c r="AT78" i="10" s="1"/>
  <c r="AU78" i="10" a="1"/>
  <c r="AU78" i="10" s="1"/>
  <c r="AV78" i="10" a="1"/>
  <c r="AV78" i="10" s="1"/>
  <c r="AW78" i="10" a="1"/>
  <c r="AW78" i="10" s="1"/>
  <c r="AX78" i="10" a="1"/>
  <c r="AX78" i="10" s="1"/>
  <c r="AY78" i="10" a="1"/>
  <c r="AY78" i="10" s="1"/>
  <c r="AZ78" i="10" a="1"/>
  <c r="AZ78" i="10" s="1"/>
  <c r="BA78" i="10" a="1"/>
  <c r="BA78" i="10" s="1"/>
  <c r="BB78" i="10" a="1"/>
  <c r="BB78" i="10" s="1"/>
  <c r="BC78" i="10" a="1"/>
  <c r="BC78" i="10" s="1"/>
  <c r="BD78" i="10" a="1"/>
  <c r="BD78" i="10" s="1"/>
  <c r="BE78" i="10" a="1"/>
  <c r="BE78" i="10" s="1"/>
  <c r="BF78" i="10" a="1"/>
  <c r="BF78" i="10" s="1"/>
  <c r="BG78" i="10" a="1"/>
  <c r="BG78" i="10" s="1"/>
  <c r="BH78" i="10" a="1"/>
  <c r="BH78" i="10" s="1"/>
  <c r="BI78" i="10" a="1"/>
  <c r="BI78" i="10" s="1"/>
  <c r="BJ78" i="10" a="1"/>
  <c r="BJ78" i="10" s="1"/>
  <c r="BK78" i="10" a="1"/>
  <c r="BK78" i="10" s="1"/>
  <c r="BL78" i="10" a="1"/>
  <c r="BL78" i="10" s="1"/>
  <c r="BM78" i="10" a="1"/>
  <c r="BM78" i="10" s="1"/>
  <c r="BN78" i="10" a="1"/>
  <c r="BN78" i="10" s="1"/>
  <c r="BO78" i="10" a="1"/>
  <c r="BO78" i="10" s="1"/>
  <c r="BP78" i="10" a="1"/>
  <c r="BP78" i="10" s="1"/>
  <c r="BQ78" i="10" a="1"/>
  <c r="BQ78" i="10" s="1"/>
  <c r="BR78" i="10" a="1"/>
  <c r="BR78" i="10" s="1"/>
  <c r="BS78" i="10" a="1"/>
  <c r="BS78" i="10" s="1"/>
  <c r="BT78" i="10" a="1"/>
  <c r="BT78" i="10" s="1"/>
  <c r="BU78" i="10" a="1"/>
  <c r="BU78" i="10" s="1"/>
  <c r="BV78" i="10" a="1"/>
  <c r="BV78" i="10" s="1"/>
  <c r="BW78" i="10" a="1"/>
  <c r="BW78" i="10" s="1"/>
  <c r="BX78" i="10" a="1"/>
  <c r="BX78" i="10" s="1"/>
  <c r="BY78" i="10" a="1"/>
  <c r="BY78" i="10" s="1"/>
  <c r="BZ78" i="10" a="1"/>
  <c r="BZ78" i="10" s="1"/>
  <c r="CA78" i="10" a="1"/>
  <c r="CA78" i="10" s="1"/>
  <c r="CB78" i="10" a="1"/>
  <c r="CB78" i="10" s="1"/>
  <c r="CC78" i="10" a="1"/>
  <c r="CC78" i="10" s="1"/>
  <c r="CD78" i="10" a="1"/>
  <c r="CD78" i="10" s="1"/>
  <c r="CE78" i="10" a="1"/>
  <c r="CE78" i="10" s="1"/>
  <c r="D86" i="10" a="1"/>
  <c r="D86" i="10" s="1"/>
  <c r="BX58" i="10" a="1"/>
  <c r="BX58" i="10" s="1"/>
  <c r="BB48" i="10" a="1"/>
  <c r="BB48" i="10" s="1"/>
  <c r="AA76" i="10" a="1"/>
  <c r="AA76" i="10" s="1"/>
  <c r="Q81" i="10" a="1"/>
  <c r="Q81" i="10" s="1"/>
  <c r="BV3" i="12" l="1" a="1"/>
  <c r="BV3" i="12" s="1"/>
  <c r="BR21" i="12" a="1"/>
  <c r="BR21" i="12" s="1"/>
  <c r="BS17" i="12" a="1"/>
  <c r="BS17" i="12" s="1"/>
  <c r="BR13" i="12" a="1"/>
  <c r="BR13" i="12" s="1"/>
  <c r="BW2" i="12" a="1"/>
  <c r="BW2" i="12" s="1"/>
  <c r="CC81" i="10" a="1"/>
  <c r="CC81" i="10" s="1"/>
  <c r="CD35" i="12" a="1"/>
  <c r="CD35" i="12" s="1"/>
  <c r="CA22" i="12" a="1"/>
  <c r="CA22" i="12" s="1"/>
  <c r="BZ2" i="12" a="1"/>
  <c r="BZ2" i="12" s="1"/>
  <c r="CB23" i="12" a="1"/>
  <c r="CB23" i="12" s="1"/>
  <c r="BW21" i="12" a="1"/>
  <c r="BW21" i="12" s="1"/>
  <c r="BU17" i="12" a="1"/>
  <c r="BU17" i="12" s="1"/>
  <c r="BT13" i="12" a="1"/>
  <c r="BT13" i="12" s="1"/>
  <c r="BZ4" i="12" a="1"/>
  <c r="BZ4" i="12" s="1"/>
  <c r="BW36" i="12" a="1"/>
  <c r="BW36" i="12" s="1"/>
  <c r="BO30" i="12" a="1"/>
  <c r="BO30" i="12" s="1"/>
  <c r="BQ52" i="12" a="1"/>
  <c r="BQ52" i="12" s="1"/>
  <c r="BZ81" i="12" a="1"/>
  <c r="BZ81" i="12" s="1"/>
  <c r="AW79" i="10" a="1"/>
  <c r="AW79" i="10" s="1"/>
  <c r="BO21" i="12" a="1"/>
  <c r="BO21" i="12" s="1"/>
  <c r="CD15" i="12" a="1"/>
  <c r="CD15" i="12" s="1"/>
  <c r="CC11" i="12" a="1"/>
  <c r="CC11" i="12" s="1"/>
  <c r="BM26" i="12" a="1"/>
  <c r="BM26" i="12" s="1"/>
  <c r="BQ35" i="12" a="1"/>
  <c r="BQ35" i="12" s="1"/>
  <c r="BN28" i="12" a="1"/>
  <c r="BN28" i="12" s="1"/>
  <c r="BU55" i="12" a="1"/>
  <c r="BU55" i="12" s="1"/>
  <c r="CB85" i="10" a="1"/>
  <c r="CB85" i="10" s="1"/>
  <c r="CB75" i="10" a="1"/>
  <c r="CB75" i="10" s="1"/>
  <c r="CC53" i="12" a="1"/>
  <c r="CC53" i="12" s="1"/>
  <c r="BV2" i="12" a="1"/>
  <c r="BV2" i="12" s="1"/>
  <c r="BZ22" i="12" a="1"/>
  <c r="BZ22" i="12" s="1"/>
  <c r="BS15" i="12" a="1"/>
  <c r="BS15" i="12" s="1"/>
  <c r="BX34" i="12" a="1"/>
  <c r="BX34" i="12" s="1"/>
  <c r="P85" i="10" a="1"/>
  <c r="P85" i="10" s="1"/>
  <c r="G75" i="10" a="1"/>
  <c r="G75" i="10" s="1"/>
  <c r="BS2" i="12" a="1"/>
  <c r="BS2" i="12" s="1"/>
  <c r="BX19" i="12" a="1"/>
  <c r="BX19" i="12" s="1"/>
  <c r="CD14" i="12" a="1"/>
  <c r="CD14" i="12" s="1"/>
  <c r="CA10" i="12" a="1"/>
  <c r="CA10" i="12" s="1"/>
  <c r="BS40" i="12" a="1"/>
  <c r="BS40" i="12" s="1"/>
  <c r="BZ32" i="12" a="1"/>
  <c r="BZ32" i="12" s="1"/>
  <c r="BQ44" i="12" a="1"/>
  <c r="BQ44" i="12" s="1"/>
  <c r="CA59" i="12" a="1"/>
  <c r="CA59" i="12" s="1"/>
  <c r="AF84" i="10" a="1"/>
  <c r="AF84" i="10" s="1"/>
  <c r="CD72" i="10" a="1"/>
  <c r="CD72" i="10" s="1"/>
  <c r="BT2" i="12" a="1"/>
  <c r="BT2" i="12" s="1"/>
  <c r="BM21" i="12" a="1"/>
  <c r="BM21" i="12" s="1"/>
  <c r="BR11" i="12" a="1"/>
  <c r="BR11" i="12" s="1"/>
  <c r="BY26" i="12" a="1"/>
  <c r="BY26" i="12" s="1"/>
  <c r="BR27" i="12" a="1"/>
  <c r="BR27" i="12" s="1"/>
  <c r="BX58" i="12" a="1"/>
  <c r="BX58" i="12" s="1"/>
  <c r="CE2" i="12" a="1"/>
  <c r="CE2" i="12" s="1"/>
  <c r="BT22" i="12" a="1"/>
  <c r="BT22" i="12" s="1"/>
  <c r="CD2" i="12" a="1"/>
  <c r="CD2" i="12" s="1"/>
  <c r="BR2" i="12" a="1"/>
  <c r="BR2" i="12" s="1"/>
  <c r="BS22" i="12" a="1"/>
  <c r="BS22" i="12" s="1"/>
  <c r="BM19" i="12" a="1"/>
  <c r="BM19" i="12" s="1"/>
  <c r="BS14" i="12" a="1"/>
  <c r="BS14" i="12" s="1"/>
  <c r="BR10" i="12" a="1"/>
  <c r="BR10" i="12" s="1"/>
  <c r="CA39" i="12" a="1"/>
  <c r="CA39" i="12" s="1"/>
  <c r="BM32" i="12" a="1"/>
  <c r="BM32" i="12" s="1"/>
  <c r="CC45" i="12" a="1"/>
  <c r="CC45" i="12" s="1"/>
  <c r="CB62" i="12" a="1"/>
  <c r="CB62" i="12" s="1"/>
  <c r="BM82" i="10" a="1"/>
  <c r="BM82" i="10" s="1"/>
  <c r="BN66" i="10" a="1"/>
  <c r="BN66" i="10" s="1"/>
  <c r="BU76" i="10" a="1"/>
  <c r="BU76" i="10" s="1"/>
  <c r="BO2" i="12" a="1"/>
  <c r="BO2" i="12" s="1"/>
  <c r="BV18" i="12" a="1"/>
  <c r="BV18" i="12" s="1"/>
  <c r="CA9" i="12" a="1"/>
  <c r="CA9" i="12" s="1"/>
  <c r="BN39" i="12" a="1"/>
  <c r="BN39" i="12" s="1"/>
  <c r="BU47" i="12" a="1"/>
  <c r="BU47" i="12" s="1"/>
  <c r="BP64" i="12" a="1"/>
  <c r="BP64" i="12" s="1"/>
  <c r="AL53" i="10" a="1"/>
  <c r="AL53" i="10" s="1"/>
  <c r="BN23" i="12" a="1"/>
  <c r="BN23" i="12" s="1"/>
  <c r="CD28" i="12" a="1"/>
  <c r="CD28" i="12" s="1"/>
  <c r="CB2" i="12" a="1"/>
  <c r="CB2" i="12" s="1"/>
  <c r="CE21" i="12" a="1"/>
  <c r="CE21" i="12" s="1"/>
  <c r="CD13" i="12" a="1"/>
  <c r="CD13" i="12" s="1"/>
  <c r="BT31" i="12" a="1"/>
  <c r="BT31" i="12" s="1"/>
  <c r="CA2" i="12" a="1"/>
  <c r="CA2" i="12" s="1"/>
  <c r="BN2" i="12" a="1"/>
  <c r="BN2" i="12" s="1"/>
  <c r="BZ21" i="12" a="1"/>
  <c r="BZ21" i="12" s="1"/>
  <c r="CD17" i="12" a="1"/>
  <c r="CD17" i="12" s="1"/>
  <c r="CC13" i="12" a="1"/>
  <c r="CC13" i="12" s="1"/>
  <c r="BQ9" i="12" a="1"/>
  <c r="BQ9" i="12" s="1"/>
  <c r="BU38" i="12" a="1"/>
  <c r="BU38" i="12" s="1"/>
  <c r="CA30" i="12" a="1"/>
  <c r="CA30" i="12" s="1"/>
  <c r="BM49" i="12" a="1"/>
  <c r="BM49" i="12" s="1"/>
  <c r="CD84" i="12" a="1"/>
  <c r="CD84" i="12" s="1"/>
  <c r="D70" i="12" a="1"/>
  <c r="D70" i="12" s="1"/>
  <c r="Y8" i="10" a="1"/>
  <c r="Y8" i="10" s="1"/>
  <c r="AG8" i="10" a="1"/>
  <c r="AG8" i="10" s="1"/>
  <c r="AO8" i="10" a="1"/>
  <c r="AO8" i="10" s="1"/>
  <c r="AW8" i="10" a="1"/>
  <c r="AW8" i="10" s="1"/>
  <c r="BE8" i="10" a="1"/>
  <c r="BE8" i="10" s="1"/>
  <c r="BM8" i="10" a="1"/>
  <c r="BM8" i="10" s="1"/>
  <c r="BU8" i="10" a="1"/>
  <c r="BU8" i="10" s="1"/>
  <c r="CC8" i="10" a="1"/>
  <c r="CC8" i="10" s="1"/>
  <c r="H8" i="10" a="1"/>
  <c r="H8" i="10" s="1"/>
  <c r="W83" i="12" a="1"/>
  <c r="W83" i="12" s="1"/>
  <c r="R83" i="12" a="1"/>
  <c r="R83" i="12" s="1"/>
  <c r="U80" i="12" a="1"/>
  <c r="U80" i="12" s="1"/>
  <c r="N80" i="12" a="1"/>
  <c r="N80" i="12" s="1"/>
  <c r="R77" i="12" a="1"/>
  <c r="R77" i="12" s="1"/>
  <c r="K77" i="12" a="1"/>
  <c r="K77" i="12" s="1"/>
  <c r="D77" i="12" a="1"/>
  <c r="D77" i="12" s="1"/>
  <c r="V71" i="12" a="1"/>
  <c r="V71" i="12" s="1"/>
  <c r="P71" i="12" a="1"/>
  <c r="P71" i="12" s="1"/>
  <c r="J71" i="12" a="1"/>
  <c r="J71" i="12" s="1"/>
  <c r="W70" i="12" a="1"/>
  <c r="W70" i="12" s="1"/>
  <c r="Q70" i="12" a="1"/>
  <c r="Q70" i="12" s="1"/>
  <c r="J70" i="12" a="1"/>
  <c r="J70" i="12" s="1"/>
  <c r="Z8" i="10" a="1"/>
  <c r="Z8" i="10" s="1"/>
  <c r="AH8" i="10" a="1"/>
  <c r="AH8" i="10" s="1"/>
  <c r="AP8" i="10" a="1"/>
  <c r="AP8" i="10" s="1"/>
  <c r="AX8" i="10" a="1"/>
  <c r="AX8" i="10" s="1"/>
  <c r="BF8" i="10" a="1"/>
  <c r="BF8" i="10" s="1"/>
  <c r="BN8" i="10" a="1"/>
  <c r="BN8" i="10" s="1"/>
  <c r="BV8" i="10" a="1"/>
  <c r="BV8" i="10" s="1"/>
  <c r="CD8" i="10" a="1"/>
  <c r="CD8" i="10" s="1"/>
  <c r="I8" i="10" a="1"/>
  <c r="I8" i="10" s="1"/>
  <c r="O8" i="10" a="1"/>
  <c r="O8" i="10" s="1"/>
  <c r="Q83" i="12" a="1"/>
  <c r="Q83" i="12" s="1"/>
  <c r="J83" i="12" a="1"/>
  <c r="J83" i="12" s="1"/>
  <c r="T80" i="12" a="1"/>
  <c r="T80" i="12" s="1"/>
  <c r="M80" i="12" a="1"/>
  <c r="M80" i="12" s="1"/>
  <c r="F80" i="12" a="1"/>
  <c r="F80" i="12" s="1"/>
  <c r="Q77" i="12" a="1"/>
  <c r="Q77" i="12" s="1"/>
  <c r="J77" i="12" a="1"/>
  <c r="J77" i="12" s="1"/>
  <c r="U71" i="12" a="1"/>
  <c r="U71" i="12" s="1"/>
  <c r="O71" i="12" a="1"/>
  <c r="O71" i="12" s="1"/>
  <c r="P70" i="12" a="1"/>
  <c r="P70" i="12" s="1"/>
  <c r="I70" i="12" a="1"/>
  <c r="I70" i="12" s="1"/>
  <c r="W69" i="12" a="1"/>
  <c r="W69" i="12" s="1"/>
  <c r="S8" i="10" a="1"/>
  <c r="S8" i="10" s="1"/>
  <c r="AA8" i="10" a="1"/>
  <c r="AA8" i="10" s="1"/>
  <c r="AI8" i="10" a="1"/>
  <c r="AI8" i="10" s="1"/>
  <c r="AQ8" i="10" a="1"/>
  <c r="AQ8" i="10" s="1"/>
  <c r="AY8" i="10" a="1"/>
  <c r="AY8" i="10" s="1"/>
  <c r="BG8" i="10" a="1"/>
  <c r="BG8" i="10" s="1"/>
  <c r="BO8" i="10" a="1"/>
  <c r="BO8" i="10" s="1"/>
  <c r="BW8" i="10" a="1"/>
  <c r="BW8" i="10" s="1"/>
  <c r="CE8" i="10" a="1"/>
  <c r="CE8" i="10" s="1"/>
  <c r="T8" i="10" a="1"/>
  <c r="T8" i="10" s="1"/>
  <c r="AB8" i="10" a="1"/>
  <c r="AB8" i="10" s="1"/>
  <c r="AJ8" i="10" a="1"/>
  <c r="AJ8" i="10" s="1"/>
  <c r="AZ8" i="10" a="1"/>
  <c r="AZ8" i="10" s="1"/>
  <c r="BH8" i="10" a="1"/>
  <c r="BH8" i="10" s="1"/>
  <c r="BP8" i="10" a="1"/>
  <c r="BP8" i="10" s="1"/>
  <c r="BX8" i="10" a="1"/>
  <c r="BX8" i="10" s="1"/>
  <c r="Q8" i="10" a="1"/>
  <c r="Q8" i="10" s="1"/>
  <c r="U83" i="12" a="1"/>
  <c r="U83" i="12" s="1"/>
  <c r="O83" i="12" a="1"/>
  <c r="O83" i="12" s="1"/>
  <c r="H83" i="12" a="1"/>
  <c r="H83" i="12" s="1"/>
  <c r="R80" i="12" a="1"/>
  <c r="R80" i="12" s="1"/>
  <c r="K80" i="12" a="1"/>
  <c r="K80" i="12" s="1"/>
  <c r="U8" i="10" a="1"/>
  <c r="U8" i="10" s="1"/>
  <c r="AC8" i="10" a="1"/>
  <c r="AC8" i="10" s="1"/>
  <c r="AK8" i="10" a="1"/>
  <c r="AK8" i="10" s="1"/>
  <c r="AS8" i="10" a="1"/>
  <c r="AS8" i="10" s="1"/>
  <c r="BA8" i="10" a="1"/>
  <c r="BA8" i="10" s="1"/>
  <c r="BI8" i="10" a="1"/>
  <c r="BI8" i="10" s="1"/>
  <c r="BQ8" i="10" a="1"/>
  <c r="BQ8" i="10" s="1"/>
  <c r="BY8" i="10" a="1"/>
  <c r="BY8" i="10" s="1"/>
  <c r="E8" i="10" a="1"/>
  <c r="E8" i="10" s="1"/>
  <c r="K8" i="10" a="1"/>
  <c r="K8" i="10" s="1"/>
  <c r="R8" i="10" a="1"/>
  <c r="R8" i="10" s="1"/>
  <c r="AF8" i="10" a="1"/>
  <c r="AF8" i="10" s="1"/>
  <c r="AN8" i="10" a="1"/>
  <c r="AN8" i="10" s="1"/>
  <c r="AV8" i="10" a="1"/>
  <c r="AV8" i="10" s="1"/>
  <c r="BD8" i="10" a="1"/>
  <c r="BD8" i="10" s="1"/>
  <c r="BT8" i="10" a="1"/>
  <c r="BT8" i="10" s="1"/>
  <c r="CB8" i="10" a="1"/>
  <c r="CB8" i="10" s="1"/>
  <c r="G8" i="10" a="1"/>
  <c r="G8" i="10" s="1"/>
  <c r="N8" i="10" a="1"/>
  <c r="N8" i="10" s="1"/>
  <c r="K83" i="12" a="1"/>
  <c r="K83" i="12" s="1"/>
  <c r="V80" i="12" a="1"/>
  <c r="V80" i="12" s="1"/>
  <c r="G80" i="12" a="1"/>
  <c r="G80" i="12" s="1"/>
  <c r="S77" i="12" a="1"/>
  <c r="S77" i="12" s="1"/>
  <c r="L77" i="12" a="1"/>
  <c r="L77" i="12" s="1"/>
  <c r="E77" i="12" a="1"/>
  <c r="E77" i="12" s="1"/>
  <c r="W71" i="12" a="1"/>
  <c r="W71" i="12" s="1"/>
  <c r="K71" i="12" a="1"/>
  <c r="K71" i="12" s="1"/>
  <c r="R70" i="12" a="1"/>
  <c r="R70" i="12" s="1"/>
  <c r="K70" i="12" a="1"/>
  <c r="K70" i="12" s="1"/>
  <c r="R69" i="12" a="1"/>
  <c r="R69" i="12" s="1"/>
  <c r="K69" i="12" a="1"/>
  <c r="K69" i="12" s="1"/>
  <c r="E69" i="12" a="1"/>
  <c r="E69" i="12" s="1"/>
  <c r="M67" i="12" a="1"/>
  <c r="M67" i="12" s="1"/>
  <c r="F67" i="12" a="1"/>
  <c r="F67" i="12" s="1"/>
  <c r="AT8" i="10" a="1"/>
  <c r="AT8" i="10" s="1"/>
  <c r="BZ8" i="10" a="1"/>
  <c r="BZ8" i="10" s="1"/>
  <c r="J8" i="10" a="1"/>
  <c r="J8" i="10" s="1"/>
  <c r="S83" i="12" a="1"/>
  <c r="S83" i="12" s="1"/>
  <c r="E83" i="12" a="1"/>
  <c r="E83" i="12" s="1"/>
  <c r="H80" i="12" a="1"/>
  <c r="H80" i="12" s="1"/>
  <c r="V77" i="12" a="1"/>
  <c r="V77" i="12" s="1"/>
  <c r="I77" i="12" a="1"/>
  <c r="I77" i="12" s="1"/>
  <c r="M71" i="12" a="1"/>
  <c r="M71" i="12" s="1"/>
  <c r="V70" i="12" a="1"/>
  <c r="V70" i="12" s="1"/>
  <c r="M70" i="12" a="1"/>
  <c r="M70" i="12" s="1"/>
  <c r="V69" i="12" a="1"/>
  <c r="V69" i="12" s="1"/>
  <c r="M69" i="12" a="1"/>
  <c r="M69" i="12" s="1"/>
  <c r="R67" i="12" a="1"/>
  <c r="R67" i="12" s="1"/>
  <c r="K67" i="12" a="1"/>
  <c r="K67" i="12" s="1"/>
  <c r="AU8" i="10" a="1"/>
  <c r="AU8" i="10" s="1"/>
  <c r="CA8" i="10" a="1"/>
  <c r="CA8" i="10" s="1"/>
  <c r="L8" i="10" a="1"/>
  <c r="L8" i="10" s="1"/>
  <c r="P83" i="12" a="1"/>
  <c r="P83" i="12" s="1"/>
  <c r="S80" i="12" a="1"/>
  <c r="S80" i="12" s="1"/>
  <c r="E80" i="12" a="1"/>
  <c r="E80" i="12" s="1"/>
  <c r="U77" i="12" a="1"/>
  <c r="U77" i="12" s="1"/>
  <c r="H77" i="12" a="1"/>
  <c r="H77" i="12" s="1"/>
  <c r="T71" i="12" a="1"/>
  <c r="T71" i="12" s="1"/>
  <c r="U70" i="12" a="1"/>
  <c r="U70" i="12" s="1"/>
  <c r="L70" i="12" a="1"/>
  <c r="L70" i="12" s="1"/>
  <c r="U69" i="12" a="1"/>
  <c r="U69" i="12" s="1"/>
  <c r="L69" i="12" a="1"/>
  <c r="L69" i="12" s="1"/>
  <c r="Q67" i="12" a="1"/>
  <c r="Q67" i="12" s="1"/>
  <c r="J67" i="12" a="1"/>
  <c r="J67" i="12" s="1"/>
  <c r="V8" i="10" a="1"/>
  <c r="V8" i="10" s="1"/>
  <c r="BB8" i="10" a="1"/>
  <c r="BB8" i="10" s="1"/>
  <c r="M8" i="10" a="1"/>
  <c r="M8" i="10" s="1"/>
  <c r="N83" i="12" a="1"/>
  <c r="N83" i="12" s="1"/>
  <c r="Q80" i="12" a="1"/>
  <c r="Q80" i="12" s="1"/>
  <c r="T77" i="12" a="1"/>
  <c r="T77" i="12" s="1"/>
  <c r="G77" i="12" a="1"/>
  <c r="G77" i="12" s="1"/>
  <c r="S71" i="12" a="1"/>
  <c r="S71" i="12" s="1"/>
  <c r="L71" i="12" a="1"/>
  <c r="L71" i="12" s="1"/>
  <c r="H70" i="12" a="1"/>
  <c r="H70" i="12" s="1"/>
  <c r="T69" i="12" a="1"/>
  <c r="T69" i="12" s="1"/>
  <c r="J69" i="12" a="1"/>
  <c r="J69" i="12" s="1"/>
  <c r="W67" i="12" a="1"/>
  <c r="W67" i="12" s="1"/>
  <c r="V56" i="12" a="1"/>
  <c r="V56" i="12" s="1"/>
  <c r="P56" i="12" a="1"/>
  <c r="P56" i="12" s="1"/>
  <c r="J56" i="12" a="1"/>
  <c r="J56" i="12" s="1"/>
  <c r="W8" i="10" a="1"/>
  <c r="W8" i="10" s="1"/>
  <c r="BC8" i="10" a="1"/>
  <c r="BC8" i="10" s="1"/>
  <c r="P8" i="10" a="1"/>
  <c r="P8" i="10" s="1"/>
  <c r="M83" i="12" a="1"/>
  <c r="M83" i="12" s="1"/>
  <c r="P80" i="12" a="1"/>
  <c r="P80" i="12" s="1"/>
  <c r="P77" i="12" a="1"/>
  <c r="P77" i="12" s="1"/>
  <c r="I71" i="12" a="1"/>
  <c r="I71" i="12" s="1"/>
  <c r="T70" i="12" a="1"/>
  <c r="T70" i="12" s="1"/>
  <c r="G70" i="12" a="1"/>
  <c r="G70" i="12" s="1"/>
  <c r="S69" i="12" a="1"/>
  <c r="S69" i="12" s="1"/>
  <c r="I69" i="12" a="1"/>
  <c r="I69" i="12" s="1"/>
  <c r="V67" i="12" a="1"/>
  <c r="V67" i="12" s="1"/>
  <c r="P67" i="12" a="1"/>
  <c r="P67" i="12" s="1"/>
  <c r="I67" i="12" a="1"/>
  <c r="I67" i="12" s="1"/>
  <c r="O56" i="12" a="1"/>
  <c r="O56" i="12" s="1"/>
  <c r="I56" i="12" a="1"/>
  <c r="I56" i="12" s="1"/>
  <c r="P54" i="12" a="1"/>
  <c r="P54" i="12" s="1"/>
  <c r="D54" i="12" a="1"/>
  <c r="D54" i="12" s="1"/>
  <c r="AD8" i="10" a="1"/>
  <c r="AD8" i="10" s="1"/>
  <c r="BJ8" i="10" a="1"/>
  <c r="BJ8" i="10" s="1"/>
  <c r="L83" i="12" a="1"/>
  <c r="L83" i="12" s="1"/>
  <c r="O80" i="12" a="1"/>
  <c r="O80" i="12" s="1"/>
  <c r="O77" i="12" a="1"/>
  <c r="O77" i="12" s="1"/>
  <c r="F77" i="12" a="1"/>
  <c r="F77" i="12" s="1"/>
  <c r="R71" i="12" a="1"/>
  <c r="R71" i="12" s="1"/>
  <c r="H71" i="12" a="1"/>
  <c r="H71" i="12" s="1"/>
  <c r="S70" i="12" a="1"/>
  <c r="S70" i="12" s="1"/>
  <c r="Q69" i="12" a="1"/>
  <c r="Q69" i="12" s="1"/>
  <c r="O67" i="12" a="1"/>
  <c r="O67" i="12" s="1"/>
  <c r="H67" i="12" a="1"/>
  <c r="H67" i="12" s="1"/>
  <c r="U56" i="12" a="1"/>
  <c r="U56" i="12" s="1"/>
  <c r="H56" i="12" a="1"/>
  <c r="H56" i="12" s="1"/>
  <c r="V54" i="12" a="1"/>
  <c r="V54" i="12" s="1"/>
  <c r="O54" i="12" a="1"/>
  <c r="O54" i="12" s="1"/>
  <c r="J54" i="12" a="1"/>
  <c r="J54" i="12" s="1"/>
  <c r="AE8" i="10" a="1"/>
  <c r="AE8" i="10" s="1"/>
  <c r="BK8" i="10" a="1"/>
  <c r="BK8" i="10" s="1"/>
  <c r="V83" i="12" a="1"/>
  <c r="V83" i="12" s="1"/>
  <c r="I83" i="12" a="1"/>
  <c r="I83" i="12" s="1"/>
  <c r="L80" i="12" a="1"/>
  <c r="L80" i="12" s="1"/>
  <c r="AL8" i="10" a="1"/>
  <c r="AL8" i="10" s="1"/>
  <c r="BR8" i="10" a="1"/>
  <c r="BR8" i="10" s="1"/>
  <c r="F8" i="10" a="1"/>
  <c r="F8" i="10" s="1"/>
  <c r="G83" i="12" a="1"/>
  <c r="G83" i="12" s="1"/>
  <c r="J80" i="12" a="1"/>
  <c r="J80" i="12" s="1"/>
  <c r="W77" i="12" a="1"/>
  <c r="W77" i="12" s="1"/>
  <c r="N77" i="12" a="1"/>
  <c r="N77" i="12" s="1"/>
  <c r="F71" i="12" a="1"/>
  <c r="F71" i="12" s="1"/>
  <c r="N70" i="12" a="1"/>
  <c r="N70" i="12" s="1"/>
  <c r="E70" i="12" a="1"/>
  <c r="E70" i="12" s="1"/>
  <c r="O69" i="12" a="1"/>
  <c r="O69" i="12" s="1"/>
  <c r="G69" i="12" a="1"/>
  <c r="G69" i="12" s="1"/>
  <c r="AM8" i="10" a="1"/>
  <c r="AM8" i="10" s="1"/>
  <c r="BS8" i="10" a="1"/>
  <c r="BS8" i="10" s="1"/>
  <c r="T83" i="12" a="1"/>
  <c r="T83" i="12" s="1"/>
  <c r="F83" i="12" a="1"/>
  <c r="F83" i="12" s="1"/>
  <c r="W80" i="12" a="1"/>
  <c r="W80" i="12" s="1"/>
  <c r="I80" i="12" a="1"/>
  <c r="I80" i="12" s="1"/>
  <c r="M77" i="12" a="1"/>
  <c r="M77" i="12" s="1"/>
  <c r="N71" i="12" a="1"/>
  <c r="N71" i="12" s="1"/>
  <c r="E71" i="12" a="1"/>
  <c r="E71" i="12" s="1"/>
  <c r="N69" i="12" a="1"/>
  <c r="N69" i="12" s="1"/>
  <c r="F69" i="12" a="1"/>
  <c r="F69" i="12" s="1"/>
  <c r="S67" i="12" a="1"/>
  <c r="S67" i="12" s="1"/>
  <c r="L67" i="12" a="1"/>
  <c r="L67" i="12" s="1"/>
  <c r="E67" i="12" a="1"/>
  <c r="E67" i="12" s="1"/>
  <c r="F70" i="12" a="1"/>
  <c r="F70" i="12" s="1"/>
  <c r="F56" i="12" a="1"/>
  <c r="F56" i="12" s="1"/>
  <c r="U50" i="12" a="1"/>
  <c r="U50" i="12" s="1"/>
  <c r="N50" i="12" a="1"/>
  <c r="N50" i="12" s="1"/>
  <c r="G50" i="12" a="1"/>
  <c r="G50" i="12" s="1"/>
  <c r="U46" i="12" a="1"/>
  <c r="U46" i="12" s="1"/>
  <c r="N46" i="12" a="1"/>
  <c r="N46" i="12" s="1"/>
  <c r="H46" i="12" a="1"/>
  <c r="H46" i="12" s="1"/>
  <c r="U41" i="12" a="1"/>
  <c r="U41" i="12" s="1"/>
  <c r="O41" i="12" a="1"/>
  <c r="O41" i="12" s="1"/>
  <c r="I41" i="12" a="1"/>
  <c r="I41" i="12" s="1"/>
  <c r="T37" i="12" a="1"/>
  <c r="T37" i="12" s="1"/>
  <c r="G37" i="12" a="1"/>
  <c r="G37" i="12" s="1"/>
  <c r="W33" i="12" a="1"/>
  <c r="W33" i="12" s="1"/>
  <c r="P69" i="12" a="1"/>
  <c r="P69" i="12" s="1"/>
  <c r="N67" i="12" a="1"/>
  <c r="N67" i="12" s="1"/>
  <c r="Q56" i="12" a="1"/>
  <c r="Q56" i="12" s="1"/>
  <c r="S54" i="12" a="1"/>
  <c r="S54" i="12" s="1"/>
  <c r="K54" i="12" a="1"/>
  <c r="K54" i="12" s="1"/>
  <c r="T50" i="12" a="1"/>
  <c r="T50" i="12" s="1"/>
  <c r="M50" i="12" a="1"/>
  <c r="M50" i="12" s="1"/>
  <c r="H69" i="12" a="1"/>
  <c r="H69" i="12" s="1"/>
  <c r="G67" i="12" a="1"/>
  <c r="G67" i="12" s="1"/>
  <c r="N56" i="12" a="1"/>
  <c r="N56" i="12" s="1"/>
  <c r="E56" i="12" a="1"/>
  <c r="E56" i="12" s="1"/>
  <c r="R54" i="12" a="1"/>
  <c r="R54" i="12" s="1"/>
  <c r="I54" i="12" a="1"/>
  <c r="I54" i="12" s="1"/>
  <c r="S50" i="12" a="1"/>
  <c r="S50" i="12" s="1"/>
  <c r="F50" i="12" a="1"/>
  <c r="F50" i="12" s="1"/>
  <c r="F46" i="12" a="1"/>
  <c r="F46" i="12" s="1"/>
  <c r="M41" i="12" a="1"/>
  <c r="M41" i="12" s="1"/>
  <c r="G41" i="12" a="1"/>
  <c r="G41" i="12" s="1"/>
  <c r="R37" i="12" a="1"/>
  <c r="R37" i="12" s="1"/>
  <c r="K37" i="12" a="1"/>
  <c r="K37" i="12" s="1"/>
  <c r="F37" i="12" a="1"/>
  <c r="F37" i="12" s="1"/>
  <c r="V33" i="12" a="1"/>
  <c r="V33" i="12" s="1"/>
  <c r="N33" i="12" a="1"/>
  <c r="N33" i="12" s="1"/>
  <c r="M56" i="12" a="1"/>
  <c r="M56" i="12" s="1"/>
  <c r="D56" i="12" a="1"/>
  <c r="D56" i="12" s="1"/>
  <c r="Q54" i="12" a="1"/>
  <c r="Q54" i="12" s="1"/>
  <c r="H54" i="12" a="1"/>
  <c r="H54" i="12" s="1"/>
  <c r="R50" i="12" a="1"/>
  <c r="R50" i="12" s="1"/>
  <c r="L50" i="12" a="1"/>
  <c r="L50" i="12" s="1"/>
  <c r="E50" i="12" a="1"/>
  <c r="E50" i="12" s="1"/>
  <c r="W56" i="12" a="1"/>
  <c r="W56" i="12" s="1"/>
  <c r="L56" i="12" a="1"/>
  <c r="L56" i="12" s="1"/>
  <c r="N54" i="12" a="1"/>
  <c r="N54" i="12" s="1"/>
  <c r="G54" i="12" a="1"/>
  <c r="G54" i="12" s="1"/>
  <c r="Q50" i="12" a="1"/>
  <c r="Q50" i="12" s="1"/>
  <c r="K50" i="12" a="1"/>
  <c r="K50" i="12" s="1"/>
  <c r="R46" i="12" a="1"/>
  <c r="R46" i="12" s="1"/>
  <c r="K46" i="12" a="1"/>
  <c r="K46" i="12" s="1"/>
  <c r="D46" i="12" a="1"/>
  <c r="D46" i="12" s="1"/>
  <c r="L41" i="12" a="1"/>
  <c r="L41" i="12" s="1"/>
  <c r="F41" i="12" a="1"/>
  <c r="F41" i="12" s="1"/>
  <c r="Q71" i="12" a="1"/>
  <c r="Q71" i="12" s="1"/>
  <c r="T56" i="12" a="1"/>
  <c r="T56" i="12" s="1"/>
  <c r="W54" i="12" a="1"/>
  <c r="W54" i="12" s="1"/>
  <c r="W50" i="12" a="1"/>
  <c r="W50" i="12" s="1"/>
  <c r="P50" i="12" a="1"/>
  <c r="P50" i="12" s="1"/>
  <c r="J50" i="12" a="1"/>
  <c r="J50" i="12" s="1"/>
  <c r="W46" i="12" a="1"/>
  <c r="W46" i="12" s="1"/>
  <c r="Q46" i="12" a="1"/>
  <c r="Q46" i="12" s="1"/>
  <c r="R41" i="12" a="1"/>
  <c r="R41" i="12" s="1"/>
  <c r="K41" i="12" a="1"/>
  <c r="K41" i="12" s="1"/>
  <c r="E41" i="12" a="1"/>
  <c r="E41" i="12" s="1"/>
  <c r="O37" i="12" a="1"/>
  <c r="O37" i="12" s="1"/>
  <c r="I37" i="12" a="1"/>
  <c r="I37" i="12" s="1"/>
  <c r="G71" i="12" a="1"/>
  <c r="G71" i="12" s="1"/>
  <c r="U67" i="12" a="1"/>
  <c r="U67" i="12" s="1"/>
  <c r="S56" i="12" a="1"/>
  <c r="S56" i="12" s="1"/>
  <c r="K56" i="12" a="1"/>
  <c r="K56" i="12" s="1"/>
  <c r="U54" i="12" a="1"/>
  <c r="U54" i="12" s="1"/>
  <c r="M54" i="12" a="1"/>
  <c r="M54" i="12" s="1"/>
  <c r="F54" i="12" a="1"/>
  <c r="F54" i="12" s="1"/>
  <c r="I50" i="12" a="1"/>
  <c r="I50" i="12" s="1"/>
  <c r="P46" i="12" a="1"/>
  <c r="P46" i="12" s="1"/>
  <c r="J46" i="12" a="1"/>
  <c r="J46" i="12" s="1"/>
  <c r="W41" i="12" a="1"/>
  <c r="W41" i="12" s="1"/>
  <c r="Q41" i="12" a="1"/>
  <c r="Q41" i="12" s="1"/>
  <c r="D41" i="12" a="1"/>
  <c r="D41" i="12" s="1"/>
  <c r="O70" i="12" a="1"/>
  <c r="O70" i="12" s="1"/>
  <c r="T67" i="12" a="1"/>
  <c r="T67" i="12" s="1"/>
  <c r="R56" i="12" a="1"/>
  <c r="R56" i="12" s="1"/>
  <c r="G56" i="12" a="1"/>
  <c r="G56" i="12" s="1"/>
  <c r="T54" i="12" a="1"/>
  <c r="T54" i="12" s="1"/>
  <c r="L54" i="12" a="1"/>
  <c r="L54" i="12" s="1"/>
  <c r="E54" i="12" a="1"/>
  <c r="E54" i="12" s="1"/>
  <c r="V50" i="12" a="1"/>
  <c r="V50" i="12" s="1"/>
  <c r="O50" i="12" a="1"/>
  <c r="O50" i="12" s="1"/>
  <c r="H50" i="12" a="1"/>
  <c r="H50" i="12" s="1"/>
  <c r="V46" i="12" a="1"/>
  <c r="V46" i="12" s="1"/>
  <c r="O46" i="12" a="1"/>
  <c r="O46" i="12" s="1"/>
  <c r="I46" i="12" a="1"/>
  <c r="I46" i="12" s="1"/>
  <c r="V41" i="12" a="1"/>
  <c r="V41" i="12" s="1"/>
  <c r="P41" i="12" a="1"/>
  <c r="P41" i="12" s="1"/>
  <c r="J41" i="12" a="1"/>
  <c r="J41" i="12" s="1"/>
  <c r="U37" i="12" a="1"/>
  <c r="U37" i="12" s="1"/>
  <c r="M37" i="12" a="1"/>
  <c r="M37" i="12" s="1"/>
  <c r="H37" i="12" a="1"/>
  <c r="H37" i="12" s="1"/>
  <c r="Q33" i="12" a="1"/>
  <c r="Q33" i="12" s="1"/>
  <c r="E33" i="12" a="1"/>
  <c r="E33" i="12" s="1"/>
  <c r="E46" i="12" a="1"/>
  <c r="E46" i="12" s="1"/>
  <c r="Q37" i="12" a="1"/>
  <c r="Q37" i="12" s="1"/>
  <c r="E37" i="12" a="1"/>
  <c r="E37" i="12" s="1"/>
  <c r="P33" i="12" a="1"/>
  <c r="P33" i="12" s="1"/>
  <c r="H33" i="12" a="1"/>
  <c r="H33" i="12" s="1"/>
  <c r="V29" i="12" a="1"/>
  <c r="V29" i="12" s="1"/>
  <c r="N29" i="12" a="1"/>
  <c r="N29" i="12" s="1"/>
  <c r="V24" i="12" a="1"/>
  <c r="V24" i="12" s="1"/>
  <c r="I24" i="12" a="1"/>
  <c r="I24" i="12" s="1"/>
  <c r="S20" i="12" a="1"/>
  <c r="S20" i="12" s="1"/>
  <c r="L20" i="12" a="1"/>
  <c r="L20" i="12" s="1"/>
  <c r="F20" i="12" a="1"/>
  <c r="F20" i="12" s="1"/>
  <c r="V16" i="12" a="1"/>
  <c r="V16" i="12" s="1"/>
  <c r="I16" i="12" a="1"/>
  <c r="I16" i="12" s="1"/>
  <c r="H41" i="12" a="1"/>
  <c r="H41" i="12" s="1"/>
  <c r="P37" i="12" a="1"/>
  <c r="P37" i="12" s="1"/>
  <c r="D37" i="12" a="1"/>
  <c r="D37" i="12" s="1"/>
  <c r="O33" i="12" a="1"/>
  <c r="O33" i="12" s="1"/>
  <c r="G33" i="12" a="1"/>
  <c r="G33" i="12" s="1"/>
  <c r="U29" i="12" a="1"/>
  <c r="U29" i="12" s="1"/>
  <c r="M29" i="12" a="1"/>
  <c r="M29" i="12" s="1"/>
  <c r="H29" i="12" a="1"/>
  <c r="H29" i="12" s="1"/>
  <c r="U24" i="12" a="1"/>
  <c r="U24" i="12" s="1"/>
  <c r="O24" i="12" a="1"/>
  <c r="O24" i="12" s="1"/>
  <c r="H24" i="12" a="1"/>
  <c r="H24" i="12" s="1"/>
  <c r="N37" i="12" a="1"/>
  <c r="N37" i="12" s="1"/>
  <c r="M33" i="12" a="1"/>
  <c r="M33" i="12" s="1"/>
  <c r="T29" i="12" a="1"/>
  <c r="T29" i="12" s="1"/>
  <c r="G29" i="12" a="1"/>
  <c r="G29" i="12" s="1"/>
  <c r="T24" i="12" a="1"/>
  <c r="T24" i="12" s="1"/>
  <c r="N24" i="12" a="1"/>
  <c r="N24" i="12" s="1"/>
  <c r="Q20" i="12" a="1"/>
  <c r="Q20" i="12" s="1"/>
  <c r="K20" i="12" a="1"/>
  <c r="K20" i="12" s="1"/>
  <c r="D20" i="12" a="1"/>
  <c r="D20" i="12" s="1"/>
  <c r="T46" i="12" a="1"/>
  <c r="T46" i="12" s="1"/>
  <c r="L37" i="12" a="1"/>
  <c r="L37" i="12" s="1"/>
  <c r="F33" i="12" a="1"/>
  <c r="F33" i="12" s="1"/>
  <c r="S29" i="12" a="1"/>
  <c r="S29" i="12" s="1"/>
  <c r="S46" i="12" a="1"/>
  <c r="S46" i="12" s="1"/>
  <c r="U33" i="12" a="1"/>
  <c r="U33" i="12" s="1"/>
  <c r="L33" i="12" a="1"/>
  <c r="L33" i="12" s="1"/>
  <c r="D33" i="12" a="1"/>
  <c r="D33" i="12" s="1"/>
  <c r="R29" i="12" a="1"/>
  <c r="R29" i="12" s="1"/>
  <c r="K29" i="12" a="1"/>
  <c r="K29" i="12" s="1"/>
  <c r="E29" i="12" a="1"/>
  <c r="E29" i="12" s="1"/>
  <c r="S24" i="12" a="1"/>
  <c r="S24" i="12" s="1"/>
  <c r="L24" i="12" a="1"/>
  <c r="L24" i="12" s="1"/>
  <c r="F24" i="12" a="1"/>
  <c r="F24" i="12" s="1"/>
  <c r="V20" i="12" a="1"/>
  <c r="V20" i="12" s="1"/>
  <c r="I20" i="12" a="1"/>
  <c r="I20" i="12" s="1"/>
  <c r="S16" i="12" a="1"/>
  <c r="S16" i="12" s="1"/>
  <c r="L16" i="12" a="1"/>
  <c r="L16" i="12" s="1"/>
  <c r="F16" i="12" a="1"/>
  <c r="F16" i="12" s="1"/>
  <c r="V12" i="12" a="1"/>
  <c r="V12" i="12" s="1"/>
  <c r="I12" i="12" a="1"/>
  <c r="I12" i="12" s="1"/>
  <c r="M46" i="12" a="1"/>
  <c r="M46" i="12" s="1"/>
  <c r="T41" i="12" a="1"/>
  <c r="T41" i="12" s="1"/>
  <c r="W37" i="12" a="1"/>
  <c r="W37" i="12" s="1"/>
  <c r="J37" i="12" a="1"/>
  <c r="J37" i="12" s="1"/>
  <c r="T33" i="12" a="1"/>
  <c r="T33" i="12" s="1"/>
  <c r="K33" i="12" a="1"/>
  <c r="K33" i="12" s="1"/>
  <c r="L46" i="12" a="1"/>
  <c r="L46" i="12" s="1"/>
  <c r="S41" i="12" a="1"/>
  <c r="S41" i="12" s="1"/>
  <c r="V37" i="12" a="1"/>
  <c r="V37" i="12" s="1"/>
  <c r="S33" i="12" a="1"/>
  <c r="S33" i="12" s="1"/>
  <c r="J33" i="12" a="1"/>
  <c r="J33" i="12" s="1"/>
  <c r="P29" i="12" a="1"/>
  <c r="P29" i="12" s="1"/>
  <c r="J29" i="12" a="1"/>
  <c r="J29" i="12" s="1"/>
  <c r="Q24" i="12" a="1"/>
  <c r="Q24" i="12" s="1"/>
  <c r="G46" i="12" a="1"/>
  <c r="G46" i="12" s="1"/>
  <c r="N41" i="12" a="1"/>
  <c r="N41" i="12" s="1"/>
  <c r="S37" i="12" a="1"/>
  <c r="S37" i="12" s="1"/>
  <c r="R33" i="12" a="1"/>
  <c r="R33" i="12" s="1"/>
  <c r="I33" i="12" a="1"/>
  <c r="I33" i="12" s="1"/>
  <c r="W29" i="12" a="1"/>
  <c r="W29" i="12" s="1"/>
  <c r="O29" i="12" a="1"/>
  <c r="O29" i="12" s="1"/>
  <c r="I29" i="12" a="1"/>
  <c r="I29" i="12" s="1"/>
  <c r="W24" i="12" a="1"/>
  <c r="W24" i="12" s="1"/>
  <c r="P24" i="12" a="1"/>
  <c r="P24" i="12" s="1"/>
  <c r="J24" i="12" a="1"/>
  <c r="J24" i="12" s="1"/>
  <c r="M20" i="12" a="1"/>
  <c r="M20" i="12" s="1"/>
  <c r="G20" i="12" a="1"/>
  <c r="G20" i="12" s="1"/>
  <c r="W16" i="12" a="1"/>
  <c r="W16" i="12" s="1"/>
  <c r="P16" i="12" a="1"/>
  <c r="P16" i="12" s="1"/>
  <c r="J16" i="12" a="1"/>
  <c r="J16" i="12" s="1"/>
  <c r="M12" i="12" a="1"/>
  <c r="M12" i="12" s="1"/>
  <c r="G12" i="12" a="1"/>
  <c r="G12" i="12" s="1"/>
  <c r="Q29" i="12" a="1"/>
  <c r="Q29" i="12" s="1"/>
  <c r="D24" i="12" a="1"/>
  <c r="D24" i="12" s="1"/>
  <c r="R20" i="12" a="1"/>
  <c r="R20" i="12" s="1"/>
  <c r="E20" i="12" a="1"/>
  <c r="E20" i="12" s="1"/>
  <c r="Q16" i="12" a="1"/>
  <c r="Q16" i="12" s="1"/>
  <c r="G16" i="12" a="1"/>
  <c r="G16" i="12" s="1"/>
  <c r="O12" i="12" a="1"/>
  <c r="O12" i="12" s="1"/>
  <c r="F12" i="12" a="1"/>
  <c r="F12" i="12" s="1"/>
  <c r="V8" i="12" a="1"/>
  <c r="V8" i="12" s="1"/>
  <c r="I8" i="12" a="1"/>
  <c r="I8" i="12" s="1"/>
  <c r="R5" i="12" a="1"/>
  <c r="R5" i="12" s="1"/>
  <c r="E5" i="12" a="1"/>
  <c r="E5" i="12" s="1"/>
  <c r="AK83" i="12" a="1"/>
  <c r="AK83" i="12" s="1"/>
  <c r="AE83" i="12" a="1"/>
  <c r="AE83" i="12" s="1"/>
  <c r="Y83" i="12" a="1"/>
  <c r="Y83" i="12" s="1"/>
  <c r="L29" i="12" a="1"/>
  <c r="L29" i="12" s="1"/>
  <c r="P20" i="12" a="1"/>
  <c r="P20" i="12" s="1"/>
  <c r="O16" i="12" a="1"/>
  <c r="O16" i="12" s="1"/>
  <c r="E16" i="12" a="1"/>
  <c r="E16" i="12" s="1"/>
  <c r="W12" i="12" a="1"/>
  <c r="W12" i="12" s="1"/>
  <c r="N12" i="12" a="1"/>
  <c r="N12" i="12" s="1"/>
  <c r="E12" i="12" a="1"/>
  <c r="E12" i="12" s="1"/>
  <c r="U8" i="12" a="1"/>
  <c r="U8" i="12" s="1"/>
  <c r="O8" i="12" a="1"/>
  <c r="O8" i="12" s="1"/>
  <c r="H8" i="12" a="1"/>
  <c r="H8" i="12" s="1"/>
  <c r="Q5" i="12" a="1"/>
  <c r="Q5" i="12" s="1"/>
  <c r="K5" i="12" a="1"/>
  <c r="K5" i="12" s="1"/>
  <c r="D5" i="12" a="1"/>
  <c r="D5" i="12" s="1"/>
  <c r="AQ83" i="12" a="1"/>
  <c r="AQ83" i="12" s="1"/>
  <c r="AL77" i="12" a="1"/>
  <c r="AL77" i="12" s="1"/>
  <c r="AG77" i="12" a="1"/>
  <c r="AG77" i="12" s="1"/>
  <c r="R24" i="12" a="1"/>
  <c r="R24" i="12" s="1"/>
  <c r="O20" i="12" a="1"/>
  <c r="O20" i="12" s="1"/>
  <c r="N16" i="12" a="1"/>
  <c r="N16" i="12" s="1"/>
  <c r="D16" i="12" a="1"/>
  <c r="D16" i="12" s="1"/>
  <c r="U12" i="12" a="1"/>
  <c r="U12" i="12" s="1"/>
  <c r="L12" i="12" a="1"/>
  <c r="L12" i="12" s="1"/>
  <c r="D12" i="12" a="1"/>
  <c r="D12" i="12" s="1"/>
  <c r="T8" i="12" a="1"/>
  <c r="T8" i="12" s="1"/>
  <c r="N8" i="12" a="1"/>
  <c r="N8" i="12" s="1"/>
  <c r="F29" i="12" a="1"/>
  <c r="F29" i="12" s="1"/>
  <c r="M24" i="12" a="1"/>
  <c r="M24" i="12" s="1"/>
  <c r="N20" i="12" a="1"/>
  <c r="N20" i="12" s="1"/>
  <c r="M16" i="12" a="1"/>
  <c r="M16" i="12" s="1"/>
  <c r="T12" i="12" a="1"/>
  <c r="T12" i="12" s="1"/>
  <c r="M8" i="12" a="1"/>
  <c r="M8" i="12" s="1"/>
  <c r="G8" i="12" a="1"/>
  <c r="G8" i="12" s="1"/>
  <c r="D29" i="12" a="1"/>
  <c r="D29" i="12" s="1"/>
  <c r="U16" i="12" a="1"/>
  <c r="U16" i="12" s="1"/>
  <c r="S12" i="12" a="1"/>
  <c r="S12" i="12" s="1"/>
  <c r="K12" i="12" a="1"/>
  <c r="K12" i="12" s="1"/>
  <c r="S8" i="12" a="1"/>
  <c r="S8" i="12" s="1"/>
  <c r="L8" i="12" a="1"/>
  <c r="L8" i="12" s="1"/>
  <c r="F8" i="12" a="1"/>
  <c r="F8" i="12" s="1"/>
  <c r="K24" i="12" a="1"/>
  <c r="K24" i="12" s="1"/>
  <c r="W20" i="12" a="1"/>
  <c r="W20" i="12" s="1"/>
  <c r="J20" i="12" a="1"/>
  <c r="J20" i="12" s="1"/>
  <c r="E24" i="12" a="1"/>
  <c r="E24" i="12" s="1"/>
  <c r="T20" i="12" a="1"/>
  <c r="T20" i="12" s="1"/>
  <c r="R16" i="12" a="1"/>
  <c r="R16" i="12" s="1"/>
  <c r="P12" i="12" a="1"/>
  <c r="P12" i="12" s="1"/>
  <c r="W8" i="12" a="1"/>
  <c r="W8" i="12" s="1"/>
  <c r="P8" i="12" a="1"/>
  <c r="P8" i="12" s="1"/>
  <c r="J8" i="12" a="1"/>
  <c r="J8" i="12" s="1"/>
  <c r="S5" i="12" a="1"/>
  <c r="S5" i="12" s="1"/>
  <c r="L5" i="12" a="1"/>
  <c r="L5" i="12" s="1"/>
  <c r="F5" i="12" a="1"/>
  <c r="F5" i="12" s="1"/>
  <c r="AL83" i="12" a="1"/>
  <c r="AL83" i="12" s="1"/>
  <c r="AF83" i="12" a="1"/>
  <c r="AF83" i="12" s="1"/>
  <c r="Z83" i="12" a="1"/>
  <c r="Z83" i="12" s="1"/>
  <c r="AN80" i="12" a="1"/>
  <c r="AN80" i="12" s="1"/>
  <c r="AH80" i="12" a="1"/>
  <c r="AH80" i="12" s="1"/>
  <c r="AB80" i="12" a="1"/>
  <c r="AB80" i="12" s="1"/>
  <c r="H16" i="12" a="1"/>
  <c r="H16" i="12" s="1"/>
  <c r="Q12" i="12" a="1"/>
  <c r="Q12" i="12" s="1"/>
  <c r="K8" i="12" a="1"/>
  <c r="K8" i="12" s="1"/>
  <c r="H5" i="12" a="1"/>
  <c r="H5" i="12" s="1"/>
  <c r="J12" i="12" a="1"/>
  <c r="J12" i="12" s="1"/>
  <c r="E8" i="12" a="1"/>
  <c r="E8" i="12" s="1"/>
  <c r="P5" i="12" a="1"/>
  <c r="P5" i="12" s="1"/>
  <c r="AI83" i="12" a="1"/>
  <c r="AI83" i="12" s="1"/>
  <c r="AA83" i="12" a="1"/>
  <c r="AA83" i="12" s="1"/>
  <c r="AM80" i="12" a="1"/>
  <c r="AM80" i="12" s="1"/>
  <c r="AE80" i="12" a="1"/>
  <c r="AE80" i="12" s="1"/>
  <c r="X80" i="12" a="1"/>
  <c r="X80" i="12" s="1"/>
  <c r="AO77" i="12" a="1"/>
  <c r="AO77" i="12" s="1"/>
  <c r="AB77" i="12" a="1"/>
  <c r="AB77" i="12" s="1"/>
  <c r="AG71" i="12" a="1"/>
  <c r="AG71" i="12" s="1"/>
  <c r="AA71" i="12" a="1"/>
  <c r="AA71" i="12" s="1"/>
  <c r="AI70" i="12" a="1"/>
  <c r="AI70" i="12" s="1"/>
  <c r="AC70" i="12" a="1"/>
  <c r="AC70" i="12" s="1"/>
  <c r="AQ69" i="12" a="1"/>
  <c r="AQ69" i="12" s="1"/>
  <c r="AK69" i="12" a="1"/>
  <c r="AK69" i="12" s="1"/>
  <c r="AD69" i="12" a="1"/>
  <c r="AD69" i="12" s="1"/>
  <c r="X69" i="12" a="1"/>
  <c r="X69" i="12" s="1"/>
  <c r="AO67" i="12" a="1"/>
  <c r="AO67" i="12" s="1"/>
  <c r="AJ67" i="12" a="1"/>
  <c r="AJ67" i="12" s="1"/>
  <c r="X67" i="12" a="1"/>
  <c r="X67" i="12" s="1"/>
  <c r="AO56" i="12" a="1"/>
  <c r="AO56" i="12" s="1"/>
  <c r="AC56" i="12" a="1"/>
  <c r="AC56" i="12" s="1"/>
  <c r="X56" i="12" a="1"/>
  <c r="X56" i="12" s="1"/>
  <c r="AI50" i="12" a="1"/>
  <c r="AI50" i="12" s="1"/>
  <c r="AC50" i="12" a="1"/>
  <c r="AC50" i="12" s="1"/>
  <c r="AQ46" i="12" a="1"/>
  <c r="AQ46" i="12" s="1"/>
  <c r="AK46" i="12" a="1"/>
  <c r="AK46" i="12" s="1"/>
  <c r="AF46" i="12" a="1"/>
  <c r="AF46" i="12" s="1"/>
  <c r="Z46" i="12" a="1"/>
  <c r="Z46" i="12" s="1"/>
  <c r="AP41" i="12" a="1"/>
  <c r="AP41" i="12" s="1"/>
  <c r="G24" i="12" a="1"/>
  <c r="G24" i="12" s="1"/>
  <c r="H12" i="12" a="1"/>
  <c r="H12" i="12" s="1"/>
  <c r="D8" i="12" a="1"/>
  <c r="D8" i="12" s="1"/>
  <c r="G5" i="12" a="1"/>
  <c r="G5" i="12" s="1"/>
  <c r="AH83" i="12" a="1"/>
  <c r="AH83" i="12" s="1"/>
  <c r="X83" i="12" a="1"/>
  <c r="X83" i="12" s="1"/>
  <c r="AL80" i="12" a="1"/>
  <c r="AL80" i="12" s="1"/>
  <c r="AD80" i="12" a="1"/>
  <c r="AD80" i="12" s="1"/>
  <c r="AH77" i="12" a="1"/>
  <c r="AH77" i="12" s="1"/>
  <c r="AA77" i="12" a="1"/>
  <c r="AA77" i="12" s="1"/>
  <c r="O5" i="12" a="1"/>
  <c r="O5" i="12" s="1"/>
  <c r="AP83" i="12" a="1"/>
  <c r="AP83" i="12" s="1"/>
  <c r="AK80" i="12" a="1"/>
  <c r="AK80" i="12" s="1"/>
  <c r="AN77" i="12" a="1"/>
  <c r="AN77" i="12" s="1"/>
  <c r="Z77" i="12" a="1"/>
  <c r="Z77" i="12" s="1"/>
  <c r="AQ71" i="12" a="1"/>
  <c r="AQ71" i="12" s="1"/>
  <c r="AK71" i="12" a="1"/>
  <c r="AK71" i="12" s="1"/>
  <c r="AF71" i="12" a="1"/>
  <c r="AF71" i="12" s="1"/>
  <c r="Y71" i="12" a="1"/>
  <c r="Y71" i="12" s="1"/>
  <c r="AN70" i="12" a="1"/>
  <c r="AN70" i="12" s="1"/>
  <c r="AG70" i="12" a="1"/>
  <c r="AG70" i="12" s="1"/>
  <c r="AA70" i="12" a="1"/>
  <c r="AA70" i="12" s="1"/>
  <c r="AO69" i="12" a="1"/>
  <c r="AO69" i="12" s="1"/>
  <c r="AI69" i="12" a="1"/>
  <c r="AI69" i="12" s="1"/>
  <c r="AC69" i="12" a="1"/>
  <c r="AC69" i="12" s="1"/>
  <c r="AM67" i="12" a="1"/>
  <c r="AM67" i="12" s="1"/>
  <c r="AH67" i="12" a="1"/>
  <c r="AH67" i="12" s="1"/>
  <c r="AA67" i="12" a="1"/>
  <c r="AA67" i="12" s="1"/>
  <c r="AN56" i="12" a="1"/>
  <c r="AN56" i="12" s="1"/>
  <c r="AA56" i="12" a="1"/>
  <c r="AA56" i="12" s="1"/>
  <c r="AN50" i="12" a="1"/>
  <c r="AN50" i="12" s="1"/>
  <c r="AG50" i="12" a="1"/>
  <c r="AG50" i="12" s="1"/>
  <c r="AA50" i="12" a="1"/>
  <c r="AA50" i="12" s="1"/>
  <c r="AO46" i="12" a="1"/>
  <c r="AO46" i="12" s="1"/>
  <c r="AJ46" i="12" a="1"/>
  <c r="AJ46" i="12" s="1"/>
  <c r="AD46" i="12" a="1"/>
  <c r="AD46" i="12" s="1"/>
  <c r="Y46" i="12" a="1"/>
  <c r="Y46" i="12" s="1"/>
  <c r="W5" i="12" a="1"/>
  <c r="W5" i="12" s="1"/>
  <c r="N5" i="12" a="1"/>
  <c r="N5" i="12" s="1"/>
  <c r="AO83" i="12" a="1"/>
  <c r="AO83" i="12" s="1"/>
  <c r="AG83" i="12" a="1"/>
  <c r="AG83" i="12" s="1"/>
  <c r="AQ80" i="12" a="1"/>
  <c r="AQ80" i="12" s="1"/>
  <c r="AJ80" i="12" a="1"/>
  <c r="AJ80" i="12" s="1"/>
  <c r="AC80" i="12" a="1"/>
  <c r="AC80" i="12" s="1"/>
  <c r="AM77" i="12" a="1"/>
  <c r="AM77" i="12" s="1"/>
  <c r="AF77" i="12" a="1"/>
  <c r="AF77" i="12" s="1"/>
  <c r="AP71" i="12" a="1"/>
  <c r="AP71" i="12" s="1"/>
  <c r="AE71" i="12" a="1"/>
  <c r="AE71" i="12" s="1"/>
  <c r="AM70" i="12" a="1"/>
  <c r="AM70" i="12" s="1"/>
  <c r="Z70" i="12" a="1"/>
  <c r="Z70" i="12" s="1"/>
  <c r="AN69" i="12" a="1"/>
  <c r="AN69" i="12" s="1"/>
  <c r="AH69" i="12" a="1"/>
  <c r="AH69" i="12" s="1"/>
  <c r="AB69" i="12" a="1"/>
  <c r="AB69" i="12" s="1"/>
  <c r="AG67" i="12" a="1"/>
  <c r="AG67" i="12" s="1"/>
  <c r="AM56" i="12" a="1"/>
  <c r="AM56" i="12" s="1"/>
  <c r="AG56" i="12" a="1"/>
  <c r="AG56" i="12" s="1"/>
  <c r="AP54" i="12" a="1"/>
  <c r="AP54" i="12" s="1"/>
  <c r="AL54" i="12" a="1"/>
  <c r="AL54" i="12" s="1"/>
  <c r="AH54" i="12" a="1"/>
  <c r="AH54" i="12" s="1"/>
  <c r="AD54" i="12" a="1"/>
  <c r="AD54" i="12" s="1"/>
  <c r="Z54" i="12" a="1"/>
  <c r="Z54" i="12" s="1"/>
  <c r="Z50" i="12" a="1"/>
  <c r="Z50" i="12" s="1"/>
  <c r="T16" i="12" a="1"/>
  <c r="T16" i="12" s="1"/>
  <c r="R8" i="12" a="1"/>
  <c r="R8" i="12" s="1"/>
  <c r="V5" i="12" a="1"/>
  <c r="V5" i="12" s="1"/>
  <c r="M5" i="12" a="1"/>
  <c r="M5" i="12" s="1"/>
  <c r="AN83" i="12" a="1"/>
  <c r="AN83" i="12" s="1"/>
  <c r="AD83" i="12" a="1"/>
  <c r="AD83" i="12" s="1"/>
  <c r="AP80" i="12" a="1"/>
  <c r="AP80" i="12" s="1"/>
  <c r="AI80" i="12" a="1"/>
  <c r="AI80" i="12" s="1"/>
  <c r="AA80" i="12" a="1"/>
  <c r="AA80" i="12" s="1"/>
  <c r="AE77" i="12" a="1"/>
  <c r="AE77" i="12" s="1"/>
  <c r="Y77" i="12" a="1"/>
  <c r="Y77" i="12" s="1"/>
  <c r="AJ71" i="12" a="1"/>
  <c r="AJ71" i="12" s="1"/>
  <c r="X71" i="12" a="1"/>
  <c r="X71" i="12" s="1"/>
  <c r="AF70" i="12" a="1"/>
  <c r="AF70" i="12" s="1"/>
  <c r="AM69" i="12" a="1"/>
  <c r="AM69" i="12" s="1"/>
  <c r="AG69" i="12" a="1"/>
  <c r="AG69" i="12" s="1"/>
  <c r="AA69" i="12" a="1"/>
  <c r="AA69" i="12" s="1"/>
  <c r="AL67" i="12" a="1"/>
  <c r="AL67" i="12" s="1"/>
  <c r="AF67" i="12" a="1"/>
  <c r="AF67" i="12" s="1"/>
  <c r="Z67" i="12" a="1"/>
  <c r="Z67" i="12" s="1"/>
  <c r="U20" i="12" a="1"/>
  <c r="U20" i="12" s="1"/>
  <c r="Q8" i="12" a="1"/>
  <c r="Q8" i="12" s="1"/>
  <c r="U5" i="12" a="1"/>
  <c r="U5" i="12" s="1"/>
  <c r="J5" i="12" a="1"/>
  <c r="J5" i="12" s="1"/>
  <c r="AM83" i="12" a="1"/>
  <c r="AM83" i="12" s="1"/>
  <c r="Z80" i="12" a="1"/>
  <c r="Z80" i="12" s="1"/>
  <c r="AQ77" i="12" a="1"/>
  <c r="AQ77" i="12" s="1"/>
  <c r="AK77" i="12" a="1"/>
  <c r="AK77" i="12" s="1"/>
  <c r="AD77" i="12" a="1"/>
  <c r="AD77" i="12" s="1"/>
  <c r="AO71" i="12" a="1"/>
  <c r="AO71" i="12" s="1"/>
  <c r="AI71" i="12" a="1"/>
  <c r="AI71" i="12" s="1"/>
  <c r="AD71" i="12" a="1"/>
  <c r="AD71" i="12" s="1"/>
  <c r="AQ70" i="12" a="1"/>
  <c r="AQ70" i="12" s="1"/>
  <c r="AL70" i="12" a="1"/>
  <c r="AL70" i="12" s="1"/>
  <c r="AE70" i="12" a="1"/>
  <c r="AE70" i="12" s="1"/>
  <c r="Y70" i="12" a="1"/>
  <c r="Y70" i="12" s="1"/>
  <c r="Z69" i="12" a="1"/>
  <c r="Z69" i="12" s="1"/>
  <c r="AQ67" i="12" a="1"/>
  <c r="AQ67" i="12" s="1"/>
  <c r="AE67" i="12" a="1"/>
  <c r="AE67" i="12" s="1"/>
  <c r="H20" i="12" a="1"/>
  <c r="H20" i="12" s="1"/>
  <c r="K16" i="12" a="1"/>
  <c r="K16" i="12" s="1"/>
  <c r="R12" i="12" a="1"/>
  <c r="R12" i="12" s="1"/>
  <c r="T5" i="12" a="1"/>
  <c r="T5" i="12" s="1"/>
  <c r="I5" i="12" a="1"/>
  <c r="I5" i="12" s="1"/>
  <c r="AC83" i="12" a="1"/>
  <c r="AC83" i="12" s="1"/>
  <c r="AO80" i="12" a="1"/>
  <c r="AO80" i="12" s="1"/>
  <c r="AG80" i="12" a="1"/>
  <c r="AG80" i="12" s="1"/>
  <c r="AJ77" i="12" a="1"/>
  <c r="AJ77" i="12" s="1"/>
  <c r="AC77" i="12" a="1"/>
  <c r="AC77" i="12" s="1"/>
  <c r="X77" i="12" a="1"/>
  <c r="X77" i="12" s="1"/>
  <c r="AN71" i="12" a="1"/>
  <c r="AN71" i="12" s="1"/>
  <c r="AH71" i="12" a="1"/>
  <c r="AH71" i="12" s="1"/>
  <c r="AC71" i="12" a="1"/>
  <c r="AC71" i="12" s="1"/>
  <c r="AK70" i="12" a="1"/>
  <c r="AK70" i="12" s="1"/>
  <c r="AD70" i="12" a="1"/>
  <c r="AD70" i="12" s="1"/>
  <c r="AL69" i="12" a="1"/>
  <c r="AL69" i="12" s="1"/>
  <c r="AF69" i="12" a="1"/>
  <c r="AF69" i="12" s="1"/>
  <c r="AK67" i="12" a="1"/>
  <c r="AK67" i="12" s="1"/>
  <c r="AD67" i="12" a="1"/>
  <c r="AD67" i="12" s="1"/>
  <c r="Y67" i="12" a="1"/>
  <c r="Y67" i="12" s="1"/>
  <c r="AP56" i="12" a="1"/>
  <c r="AP56" i="12" s="1"/>
  <c r="AJ56" i="12" a="1"/>
  <c r="AJ56" i="12" s="1"/>
  <c r="AE56" i="12" a="1"/>
  <c r="AE56" i="12" s="1"/>
  <c r="Y56" i="12" a="1"/>
  <c r="Y56" i="12" s="1"/>
  <c r="AP77" i="12" a="1"/>
  <c r="AP77" i="12" s="1"/>
  <c r="Z71" i="12" a="1"/>
  <c r="Z71" i="12" s="1"/>
  <c r="AP69" i="12" a="1"/>
  <c r="AP69" i="12" s="1"/>
  <c r="AI67" i="12" a="1"/>
  <c r="AI67" i="12" s="1"/>
  <c r="AI56" i="12" a="1"/>
  <c r="AI56" i="12" s="1"/>
  <c r="AM54" i="12" a="1"/>
  <c r="AM54" i="12" s="1"/>
  <c r="AK50" i="12" a="1"/>
  <c r="AK50" i="12" s="1"/>
  <c r="Y50" i="12" a="1"/>
  <c r="Y50" i="12" s="1"/>
  <c r="AM46" i="12" a="1"/>
  <c r="AM46" i="12" s="1"/>
  <c r="X46" i="12" a="1"/>
  <c r="X46" i="12" s="1"/>
  <c r="AM41" i="12" a="1"/>
  <c r="AM41" i="12" s="1"/>
  <c r="AF41" i="12" a="1"/>
  <c r="AF41" i="12" s="1"/>
  <c r="X41" i="12" a="1"/>
  <c r="X41" i="12" s="1"/>
  <c r="AA37" i="12" a="1"/>
  <c r="AA37" i="12" s="1"/>
  <c r="AL33" i="12" a="1"/>
  <c r="AL33" i="12" s="1"/>
  <c r="AI77" i="12" a="1"/>
  <c r="AI77" i="12" s="1"/>
  <c r="AP70" i="12" a="1"/>
  <c r="AP70" i="12" s="1"/>
  <c r="AC67" i="12" a="1"/>
  <c r="AC67" i="12" s="1"/>
  <c r="AH56" i="12" a="1"/>
  <c r="AH56" i="12" s="1"/>
  <c r="AF54" i="12" a="1"/>
  <c r="AF54" i="12" s="1"/>
  <c r="AO70" i="12" a="1"/>
  <c r="AO70" i="12" s="1"/>
  <c r="AJ69" i="12" a="1"/>
  <c r="AJ69" i="12" s="1"/>
  <c r="AB67" i="12" a="1"/>
  <c r="AB67" i="12" s="1"/>
  <c r="AQ56" i="12" a="1"/>
  <c r="AQ56" i="12" s="1"/>
  <c r="AK54" i="12" a="1"/>
  <c r="AK54" i="12" s="1"/>
  <c r="AE54" i="12" a="1"/>
  <c r="AE54" i="12" s="1"/>
  <c r="AH50" i="12" a="1"/>
  <c r="AH50" i="12" s="1"/>
  <c r="AC46" i="12" a="1"/>
  <c r="AC46" i="12" s="1"/>
  <c r="AK41" i="12" a="1"/>
  <c r="AK41" i="12" s="1"/>
  <c r="AD41" i="12" a="1"/>
  <c r="AD41" i="12" s="1"/>
  <c r="AL37" i="12" a="1"/>
  <c r="AL37" i="12" s="1"/>
  <c r="AF37" i="12" a="1"/>
  <c r="AF37" i="12" s="1"/>
  <c r="AP33" i="12" a="1"/>
  <c r="AP33" i="12" s="1"/>
  <c r="AJ33" i="12" a="1"/>
  <c r="AJ33" i="12" s="1"/>
  <c r="Y33" i="12" a="1"/>
  <c r="Y33" i="12" s="1"/>
  <c r="AO29" i="12" a="1"/>
  <c r="AO29" i="12" s="1"/>
  <c r="AI29" i="12" a="1"/>
  <c r="AI29" i="12" s="1"/>
  <c r="AD29" i="12" a="1"/>
  <c r="AD29" i="12" s="1"/>
  <c r="X29" i="12" a="1"/>
  <c r="X29" i="12" s="1"/>
  <c r="AQ24" i="12" a="1"/>
  <c r="AQ24" i="12" s="1"/>
  <c r="AA24" i="12" a="1"/>
  <c r="AA24" i="12" s="1"/>
  <c r="AM20" i="12" a="1"/>
  <c r="AM20" i="12" s="1"/>
  <c r="Z20" i="12" a="1"/>
  <c r="Z20" i="12" s="1"/>
  <c r="AM71" i="12" a="1"/>
  <c r="AM71" i="12" s="1"/>
  <c r="AJ70" i="12" a="1"/>
  <c r="AJ70" i="12" s="1"/>
  <c r="AE69" i="12" a="1"/>
  <c r="AE69" i="12" s="1"/>
  <c r="AF56" i="12" a="1"/>
  <c r="AF56" i="12" s="1"/>
  <c r="AQ54" i="12" a="1"/>
  <c r="AQ54" i="12" s="1"/>
  <c r="X54" i="12" a="1"/>
  <c r="X54" i="12" s="1"/>
  <c r="AQ50" i="12" a="1"/>
  <c r="AQ50" i="12" s="1"/>
  <c r="AF50" i="12" a="1"/>
  <c r="AF50" i="12" s="1"/>
  <c r="AJ41" i="12" a="1"/>
  <c r="AJ41" i="12" s="1"/>
  <c r="AC41" i="12" a="1"/>
  <c r="AC41" i="12" s="1"/>
  <c r="AQ37" i="12" a="1"/>
  <c r="AQ37" i="12" s="1"/>
  <c r="AK37" i="12" a="1"/>
  <c r="AK37" i="12" s="1"/>
  <c r="AE37" i="12" a="1"/>
  <c r="AE37" i="12" s="1"/>
  <c r="Y37" i="12" a="1"/>
  <c r="Y37" i="12" s="1"/>
  <c r="AI33" i="12" a="1"/>
  <c r="AI33" i="12" s="1"/>
  <c r="AD33" i="12" a="1"/>
  <c r="AD33" i="12" s="1"/>
  <c r="X33" i="12" a="1"/>
  <c r="X33" i="12" s="1"/>
  <c r="AN29" i="12" a="1"/>
  <c r="AN29" i="12" s="1"/>
  <c r="AH29" i="12" a="1"/>
  <c r="AH29" i="12" s="1"/>
  <c r="AL24" i="12" a="1"/>
  <c r="AL24" i="12" s="1"/>
  <c r="AF24" i="12" a="1"/>
  <c r="AF24" i="12" s="1"/>
  <c r="AJ83" i="12" a="1"/>
  <c r="AJ83" i="12" s="1"/>
  <c r="AF80" i="12" a="1"/>
  <c r="AF80" i="12" s="1"/>
  <c r="AL71" i="12" a="1"/>
  <c r="AL71" i="12" s="1"/>
  <c r="AH70" i="12" a="1"/>
  <c r="AH70" i="12" s="1"/>
  <c r="AD56" i="12" a="1"/>
  <c r="AD56" i="12" s="1"/>
  <c r="AJ54" i="12" a="1"/>
  <c r="AJ54" i="12" s="1"/>
  <c r="AC54" i="12" a="1"/>
  <c r="AC54" i="12" s="1"/>
  <c r="AP50" i="12" a="1"/>
  <c r="AP50" i="12" s="1"/>
  <c r="AE50" i="12" a="1"/>
  <c r="AE50" i="12" s="1"/>
  <c r="AI46" i="12" a="1"/>
  <c r="AI46" i="12" s="1"/>
  <c r="AB46" i="12" a="1"/>
  <c r="AB46" i="12" s="1"/>
  <c r="AB83" i="12" a="1"/>
  <c r="AB83" i="12" s="1"/>
  <c r="Y80" i="12" a="1"/>
  <c r="Y80" i="12" s="1"/>
  <c r="Y69" i="12" a="1"/>
  <c r="Y69" i="12" s="1"/>
  <c r="AP67" i="12" a="1"/>
  <c r="AP67" i="12" s="1"/>
  <c r="AB56" i="12" a="1"/>
  <c r="AB56" i="12" s="1"/>
  <c r="AO54" i="12" a="1"/>
  <c r="AO54" i="12" s="1"/>
  <c r="AI54" i="12" a="1"/>
  <c r="AI54" i="12" s="1"/>
  <c r="AO50" i="12" a="1"/>
  <c r="AO50" i="12" s="1"/>
  <c r="AD50" i="12" a="1"/>
  <c r="AD50" i="12" s="1"/>
  <c r="AP46" i="12" a="1"/>
  <c r="AP46" i="12" s="1"/>
  <c r="AH46" i="12" a="1"/>
  <c r="AH46" i="12" s="1"/>
  <c r="AH41" i="12" a="1"/>
  <c r="AH41" i="12" s="1"/>
  <c r="AA41" i="12" a="1"/>
  <c r="AA41" i="12" s="1"/>
  <c r="AB71" i="12" a="1"/>
  <c r="AB71" i="12" s="1"/>
  <c r="X70" i="12" a="1"/>
  <c r="X70" i="12" s="1"/>
  <c r="AK56" i="12" a="1"/>
  <c r="AK56" i="12" s="1"/>
  <c r="AN54" i="12" a="1"/>
  <c r="AN54" i="12" s="1"/>
  <c r="AG54" i="12" a="1"/>
  <c r="AG54" i="12" s="1"/>
  <c r="AA54" i="12" a="1"/>
  <c r="AA54" i="12" s="1"/>
  <c r="AL50" i="12" a="1"/>
  <c r="AL50" i="12" s="1"/>
  <c r="AB50" i="12" a="1"/>
  <c r="AB50" i="12" s="1"/>
  <c r="AG46" i="12" a="1"/>
  <c r="AG46" i="12" s="1"/>
  <c r="AN41" i="12" a="1"/>
  <c r="AN41" i="12" s="1"/>
  <c r="Y41" i="12" a="1"/>
  <c r="Y41" i="12" s="1"/>
  <c r="AN37" i="12" a="1"/>
  <c r="AN37" i="12" s="1"/>
  <c r="AH37" i="12" a="1"/>
  <c r="AH37" i="12" s="1"/>
  <c r="Z41" i="12" a="1"/>
  <c r="Z41" i="12" s="1"/>
  <c r="AP37" i="12" a="1"/>
  <c r="AP37" i="12" s="1"/>
  <c r="AD37" i="12" a="1"/>
  <c r="AD37" i="12" s="1"/>
  <c r="AO33" i="12" a="1"/>
  <c r="AO33" i="12" s="1"/>
  <c r="AG33" i="12" a="1"/>
  <c r="AG33" i="12" s="1"/>
  <c r="AQ29" i="12" a="1"/>
  <c r="AQ29" i="12" s="1"/>
  <c r="AJ29" i="12" a="1"/>
  <c r="AJ29" i="12" s="1"/>
  <c r="AB29" i="12" a="1"/>
  <c r="AB29" i="12" s="1"/>
  <c r="AB24" i="12" a="1"/>
  <c r="AB24" i="12" s="1"/>
  <c r="AQ20" i="12" a="1"/>
  <c r="AQ20" i="12" s="1"/>
  <c r="AJ20" i="12" a="1"/>
  <c r="AJ20" i="12" s="1"/>
  <c r="AC20" i="12" a="1"/>
  <c r="AC20" i="12" s="1"/>
  <c r="AI16" i="12" a="1"/>
  <c r="AI16" i="12" s="1"/>
  <c r="AC16" i="12" a="1"/>
  <c r="AC16" i="12" s="1"/>
  <c r="AO12" i="12" a="1"/>
  <c r="AO12" i="12" s="1"/>
  <c r="AA12" i="12" a="1"/>
  <c r="AA12" i="12" s="1"/>
  <c r="AO8" i="12" a="1"/>
  <c r="AO8" i="12" s="1"/>
  <c r="AH8" i="12" a="1"/>
  <c r="AH8" i="12" s="1"/>
  <c r="AB8" i="12" a="1"/>
  <c r="AB8" i="12" s="1"/>
  <c r="AE46" i="12" a="1"/>
  <c r="AE46" i="12" s="1"/>
  <c r="AQ41" i="12" a="1"/>
  <c r="AQ41" i="12" s="1"/>
  <c r="AC37" i="12" a="1"/>
  <c r="AC37" i="12" s="1"/>
  <c r="AN33" i="12" a="1"/>
  <c r="AN33" i="12" s="1"/>
  <c r="AF33" i="12" a="1"/>
  <c r="AF33" i="12" s="1"/>
  <c r="AP29" i="12" a="1"/>
  <c r="AP29" i="12" s="1"/>
  <c r="AA29" i="12" a="1"/>
  <c r="AA29" i="12" s="1"/>
  <c r="AO24" i="12" a="1"/>
  <c r="AO24" i="12" s="1"/>
  <c r="AH24" i="12" a="1"/>
  <c r="AH24" i="12" s="1"/>
  <c r="Z24" i="12" a="1"/>
  <c r="Z24" i="12" s="1"/>
  <c r="AI20" i="12" a="1"/>
  <c r="AI20" i="12" s="1"/>
  <c r="AB20" i="12" a="1"/>
  <c r="AB20" i="12" s="1"/>
  <c r="AO16" i="12" a="1"/>
  <c r="AO16" i="12" s="1"/>
  <c r="AH16" i="12" a="1"/>
  <c r="AH16" i="12" s="1"/>
  <c r="AB16" i="12" a="1"/>
  <c r="AB16" i="12" s="1"/>
  <c r="AN12" i="12" a="1"/>
  <c r="AN12" i="12" s="1"/>
  <c r="AH12" i="12" a="1"/>
  <c r="AH12" i="12" s="1"/>
  <c r="Z12" i="12" a="1"/>
  <c r="Z12" i="12" s="1"/>
  <c r="AB54" i="12" a="1"/>
  <c r="AB54" i="12" s="1"/>
  <c r="AA46" i="12" a="1"/>
  <c r="AA46" i="12" s="1"/>
  <c r="AO41" i="12" a="1"/>
  <c r="AO41" i="12" s="1"/>
  <c r="AO37" i="12" a="1"/>
  <c r="AO37" i="12" s="1"/>
  <c r="AB37" i="12" a="1"/>
  <c r="AB37" i="12" s="1"/>
  <c r="AM33" i="12" a="1"/>
  <c r="AM33" i="12" s="1"/>
  <c r="AE33" i="12" a="1"/>
  <c r="AE33" i="12" s="1"/>
  <c r="AG29" i="12" a="1"/>
  <c r="AG29" i="12" s="1"/>
  <c r="Z29" i="12" a="1"/>
  <c r="Z29" i="12" s="1"/>
  <c r="AG24" i="12" a="1"/>
  <c r="AG24" i="12" s="1"/>
  <c r="Y24" i="12" a="1"/>
  <c r="Y24" i="12" s="1"/>
  <c r="AP20" i="12" a="1"/>
  <c r="AP20" i="12" s="1"/>
  <c r="AA20" i="12" a="1"/>
  <c r="AA20" i="12" s="1"/>
  <c r="AN16" i="12" a="1"/>
  <c r="AN16" i="12" s="1"/>
  <c r="AG16" i="12" a="1"/>
  <c r="AG16" i="12" s="1"/>
  <c r="AA16" i="12" a="1"/>
  <c r="AA16" i="12" s="1"/>
  <c r="AM12" i="12" a="1"/>
  <c r="AM12" i="12" s="1"/>
  <c r="AG12" i="12" a="1"/>
  <c r="AG12" i="12" s="1"/>
  <c r="AM8" i="12" a="1"/>
  <c r="AM8" i="12" s="1"/>
  <c r="Z8" i="12" a="1"/>
  <c r="Z8" i="12" s="1"/>
  <c r="AH5" i="12" a="1"/>
  <c r="AH5" i="12" s="1"/>
  <c r="AB5" i="12" a="1"/>
  <c r="AB5" i="12" s="1"/>
  <c r="BB83" i="12" a="1"/>
  <c r="BB83" i="12" s="1"/>
  <c r="AV83" i="12" a="1"/>
  <c r="AV83" i="12" s="1"/>
  <c r="BE80" i="12" a="1"/>
  <c r="BE80" i="12" s="1"/>
  <c r="AW80" i="12" a="1"/>
  <c r="AW80" i="12" s="1"/>
  <c r="BH77" i="12" a="1"/>
  <c r="BH77" i="12" s="1"/>
  <c r="BA77" i="12" a="1"/>
  <c r="BA77" i="12" s="1"/>
  <c r="Y54" i="12" a="1"/>
  <c r="Y54" i="12" s="1"/>
  <c r="AL41" i="12" a="1"/>
  <c r="AL41" i="12" s="1"/>
  <c r="AM37" i="12" a="1"/>
  <c r="AM37" i="12" s="1"/>
  <c r="Z37" i="12" a="1"/>
  <c r="Z37" i="12" s="1"/>
  <c r="AM29" i="12" a="1"/>
  <c r="AM29" i="12" s="1"/>
  <c r="Y29" i="12" a="1"/>
  <c r="Y29" i="12" s="1"/>
  <c r="AN24" i="12" a="1"/>
  <c r="AN24" i="12" s="1"/>
  <c r="AE24" i="12" a="1"/>
  <c r="AE24" i="12" s="1"/>
  <c r="X24" i="12" a="1"/>
  <c r="X24" i="12" s="1"/>
  <c r="AO20" i="12" a="1"/>
  <c r="AO20" i="12" s="1"/>
  <c r="AH20" i="12" a="1"/>
  <c r="AH20" i="12" s="1"/>
  <c r="AM16" i="12" a="1"/>
  <c r="AM16" i="12" s="1"/>
  <c r="Z16" i="12" a="1"/>
  <c r="Z16" i="12" s="1"/>
  <c r="AL12" i="12" a="1"/>
  <c r="AL12" i="12" s="1"/>
  <c r="AF12" i="12" a="1"/>
  <c r="AF12" i="12" s="1"/>
  <c r="Y12" i="12" a="1"/>
  <c r="Y12" i="12" s="1"/>
  <c r="AF8" i="12" a="1"/>
  <c r="AF8" i="12" s="1"/>
  <c r="Y8" i="12" a="1"/>
  <c r="Y8" i="12" s="1"/>
  <c r="AN5" i="12" a="1"/>
  <c r="AN5" i="12" s="1"/>
  <c r="AG5" i="12" a="1"/>
  <c r="AG5" i="12" s="1"/>
  <c r="AA5" i="12" a="1"/>
  <c r="AA5" i="12" s="1"/>
  <c r="BH83" i="12" a="1"/>
  <c r="BH83" i="12" s="1"/>
  <c r="BA83" i="12" a="1"/>
  <c r="BA83" i="12" s="1"/>
  <c r="AU83" i="12" a="1"/>
  <c r="AU83" i="12" s="1"/>
  <c r="BD80" i="12" a="1"/>
  <c r="BD80" i="12" s="1"/>
  <c r="BG77" i="12" a="1"/>
  <c r="BG77" i="12" s="1"/>
  <c r="AZ77" i="12" a="1"/>
  <c r="AZ77" i="12" s="1"/>
  <c r="AS77" i="12" a="1"/>
  <c r="AS77" i="12" s="1"/>
  <c r="BE71" i="12" a="1"/>
  <c r="BE71" i="12" s="1"/>
  <c r="BJ70" i="12" a="1"/>
  <c r="BJ70" i="12" s="1"/>
  <c r="AX70" i="12" a="1"/>
  <c r="AX70" i="12" s="1"/>
  <c r="AR70" i="12" a="1"/>
  <c r="AR70" i="12" s="1"/>
  <c r="BG69" i="12" a="1"/>
  <c r="BG69" i="12" s="1"/>
  <c r="AT69" i="12" a="1"/>
  <c r="AT69" i="12" s="1"/>
  <c r="BJ67" i="12" a="1"/>
  <c r="BJ67" i="12" s="1"/>
  <c r="BD67" i="12" a="1"/>
  <c r="BD67" i="12" s="1"/>
  <c r="AY67" i="12" a="1"/>
  <c r="AY67" i="12" s="1"/>
  <c r="AS67" i="12" a="1"/>
  <c r="AS67" i="12" s="1"/>
  <c r="AB70" i="12" a="1"/>
  <c r="AB70" i="12" s="1"/>
  <c r="AL56" i="12" a="1"/>
  <c r="AL56" i="12" s="1"/>
  <c r="AM50" i="12" a="1"/>
  <c r="AM50" i="12" s="1"/>
  <c r="AI41" i="12" a="1"/>
  <c r="AI41" i="12" s="1"/>
  <c r="AK33" i="12" a="1"/>
  <c r="AK33" i="12" s="1"/>
  <c r="AC33" i="12" a="1"/>
  <c r="AC33" i="12" s="1"/>
  <c r="AF29" i="12" a="1"/>
  <c r="AF29" i="12" s="1"/>
  <c r="AM24" i="12" a="1"/>
  <c r="AM24" i="12" s="1"/>
  <c r="AN20" i="12" a="1"/>
  <c r="AN20" i="12" s="1"/>
  <c r="AG20" i="12" a="1"/>
  <c r="AG20" i="12" s="1"/>
  <c r="Y20" i="12" a="1"/>
  <c r="Y20" i="12" s="1"/>
  <c r="AF16" i="12" a="1"/>
  <c r="AF16" i="12" s="1"/>
  <c r="Y16" i="12" a="1"/>
  <c r="Y16" i="12" s="1"/>
  <c r="AK12" i="12" a="1"/>
  <c r="AK12" i="12" s="1"/>
  <c r="AE12" i="12" a="1"/>
  <c r="AE12" i="12" s="1"/>
  <c r="X12" i="12" a="1"/>
  <c r="X12" i="12" s="1"/>
  <c r="AL8" i="12" a="1"/>
  <c r="AL8" i="12" s="1"/>
  <c r="AE8" i="12" a="1"/>
  <c r="AE8" i="12" s="1"/>
  <c r="X8" i="12" a="1"/>
  <c r="X8" i="12" s="1"/>
  <c r="AM5" i="12" a="1"/>
  <c r="AM5" i="12" s="1"/>
  <c r="Z5" i="12" a="1"/>
  <c r="Z5" i="12" s="1"/>
  <c r="BG83" i="12" a="1"/>
  <c r="BG83" i="12" s="1"/>
  <c r="AT83" i="12" a="1"/>
  <c r="AT83" i="12" s="1"/>
  <c r="BK80" i="12" a="1"/>
  <c r="BK80" i="12" s="1"/>
  <c r="BC80" i="12" a="1"/>
  <c r="BC80" i="12" s="1"/>
  <c r="AV80" i="12" a="1"/>
  <c r="AV80" i="12" s="1"/>
  <c r="BF77" i="12" a="1"/>
  <c r="BF77" i="12" s="1"/>
  <c r="AY77" i="12" a="1"/>
  <c r="AY77" i="12" s="1"/>
  <c r="AR77" i="12" a="1"/>
  <c r="AR77" i="12" s="1"/>
  <c r="Z56" i="12" a="1"/>
  <c r="Z56" i="12" s="1"/>
  <c r="AJ50" i="12" a="1"/>
  <c r="AJ50" i="12" s="1"/>
  <c r="AG41" i="12" a="1"/>
  <c r="AG41" i="12" s="1"/>
  <c r="AJ37" i="12" a="1"/>
  <c r="AJ37" i="12" s="1"/>
  <c r="X37" i="12" a="1"/>
  <c r="X37" i="12" s="1"/>
  <c r="AB33" i="12" a="1"/>
  <c r="AB33" i="12" s="1"/>
  <c r="AL29" i="12" a="1"/>
  <c r="AL29" i="12" s="1"/>
  <c r="AE29" i="12" a="1"/>
  <c r="AE29" i="12" s="1"/>
  <c r="AK24" i="12" a="1"/>
  <c r="AK24" i="12" s="1"/>
  <c r="AD24" i="12" a="1"/>
  <c r="AD24" i="12" s="1"/>
  <c r="AL20" i="12" a="1"/>
  <c r="AL20" i="12" s="1"/>
  <c r="AF20" i="12" a="1"/>
  <c r="AF20" i="12" s="1"/>
  <c r="AL16" i="12" a="1"/>
  <c r="AL16" i="12" s="1"/>
  <c r="AE16" i="12" a="1"/>
  <c r="AE16" i="12" s="1"/>
  <c r="X16" i="12" a="1"/>
  <c r="X16" i="12" s="1"/>
  <c r="AD12" i="12" a="1"/>
  <c r="AD12" i="12" s="1"/>
  <c r="AQ8" i="12" a="1"/>
  <c r="AQ8" i="12" s="1"/>
  <c r="AK8" i="12" a="1"/>
  <c r="AK8" i="12" s="1"/>
  <c r="AD8" i="12" a="1"/>
  <c r="AD8" i="12" s="1"/>
  <c r="AL5" i="12" a="1"/>
  <c r="AL5" i="12" s="1"/>
  <c r="AF5" i="12" a="1"/>
  <c r="AF5" i="12" s="1"/>
  <c r="Y5" i="12" a="1"/>
  <c r="Y5" i="12" s="1"/>
  <c r="BF83" i="12" a="1"/>
  <c r="BF83" i="12" s="1"/>
  <c r="AZ83" i="12" a="1"/>
  <c r="AZ83" i="12" s="1"/>
  <c r="AS83" i="12" a="1"/>
  <c r="AS83" i="12" s="1"/>
  <c r="X50" i="12" a="1"/>
  <c r="X50" i="12" s="1"/>
  <c r="AL46" i="12" a="1"/>
  <c r="AL46" i="12" s="1"/>
  <c r="AB41" i="12" a="1"/>
  <c r="AB41" i="12" s="1"/>
  <c r="AG37" i="12" a="1"/>
  <c r="AG37" i="12" s="1"/>
  <c r="AQ33" i="12" a="1"/>
  <c r="AQ33" i="12" s="1"/>
  <c r="Z33" i="12" a="1"/>
  <c r="Z33" i="12" s="1"/>
  <c r="AC29" i="12" a="1"/>
  <c r="AC29" i="12" s="1"/>
  <c r="AP24" i="12" a="1"/>
  <c r="AP24" i="12" s="1"/>
  <c r="AI24" i="12" a="1"/>
  <c r="AI24" i="12" s="1"/>
  <c r="AC24" i="12" a="1"/>
  <c r="AC24" i="12" s="1"/>
  <c r="AD20" i="12" a="1"/>
  <c r="AD20" i="12" s="1"/>
  <c r="AP16" i="12" a="1"/>
  <c r="AP16" i="12" s="1"/>
  <c r="AJ16" i="12" a="1"/>
  <c r="AJ16" i="12" s="1"/>
  <c r="AP12" i="12" a="1"/>
  <c r="AP12" i="12" s="1"/>
  <c r="AI12" i="12" a="1"/>
  <c r="AI12" i="12" s="1"/>
  <c r="AB12" i="12" a="1"/>
  <c r="AB12" i="12" s="1"/>
  <c r="AI8" i="12" a="1"/>
  <c r="AI8" i="12" s="1"/>
  <c r="AC8" i="12" a="1"/>
  <c r="AC8" i="12" s="1"/>
  <c r="AQ5" i="12" a="1"/>
  <c r="AQ5" i="12" s="1"/>
  <c r="AD5" i="12" a="1"/>
  <c r="AD5" i="12" s="1"/>
  <c r="X5" i="12" a="1"/>
  <c r="X5" i="12" s="1"/>
  <c r="BK83" i="12" a="1"/>
  <c r="BK83" i="12" s="1"/>
  <c r="AX83" i="12" a="1"/>
  <c r="AX83" i="12" s="1"/>
  <c r="AR83" i="12" a="1"/>
  <c r="AR83" i="12" s="1"/>
  <c r="BH80" i="12" a="1"/>
  <c r="BH80" i="12" s="1"/>
  <c r="AZ80" i="12" a="1"/>
  <c r="AZ80" i="12" s="1"/>
  <c r="AS80" i="12" a="1"/>
  <c r="AS80" i="12" s="1"/>
  <c r="BJ77" i="12" a="1"/>
  <c r="BJ77" i="12" s="1"/>
  <c r="BD77" i="12" a="1"/>
  <c r="BD77" i="12" s="1"/>
  <c r="AV77" i="12" a="1"/>
  <c r="AV77" i="12" s="1"/>
  <c r="BA71" i="12" a="1"/>
  <c r="BA71" i="12" s="1"/>
  <c r="AT71" i="12" a="1"/>
  <c r="AT71" i="12" s="1"/>
  <c r="BB70" i="12" a="1"/>
  <c r="BB70" i="12" s="1"/>
  <c r="AV70" i="12" a="1"/>
  <c r="AV70" i="12" s="1"/>
  <c r="AI37" i="12" a="1"/>
  <c r="AI37" i="12" s="1"/>
  <c r="AH33" i="12" a="1"/>
  <c r="AH33" i="12" s="1"/>
  <c r="AE20" i="12" a="1"/>
  <c r="AE20" i="12" s="1"/>
  <c r="AC12" i="12" a="1"/>
  <c r="AC12" i="12" s="1"/>
  <c r="AE5" i="12" a="1"/>
  <c r="AE5" i="12" s="1"/>
  <c r="AW83" i="12" a="1"/>
  <c r="AW83" i="12" s="1"/>
  <c r="AX80" i="12" a="1"/>
  <c r="AX80" i="12" s="1"/>
  <c r="BI77" i="12" a="1"/>
  <c r="BI77" i="12" s="1"/>
  <c r="AT77" i="12" a="1"/>
  <c r="AT77" i="12" s="1"/>
  <c r="BF71" i="12" a="1"/>
  <c r="BF71" i="12" s="1"/>
  <c r="AV71" i="12" a="1"/>
  <c r="AV71" i="12" s="1"/>
  <c r="BF70" i="12" a="1"/>
  <c r="BF70" i="12" s="1"/>
  <c r="AY70" i="12" a="1"/>
  <c r="AY70" i="12" s="1"/>
  <c r="AX69" i="12" a="1"/>
  <c r="AX69" i="12" s="1"/>
  <c r="AW67" i="12" a="1"/>
  <c r="AW67" i="12" s="1"/>
  <c r="BE56" i="12" a="1"/>
  <c r="BE56" i="12" s="1"/>
  <c r="BF54" i="12" a="1"/>
  <c r="BF54" i="12" s="1"/>
  <c r="BA54" i="12" a="1"/>
  <c r="BA54" i="12" s="1"/>
  <c r="AW54" i="12" a="1"/>
  <c r="AW54" i="12" s="1"/>
  <c r="AS54" i="12" a="1"/>
  <c r="AS54" i="12" s="1"/>
  <c r="BI50" i="12" a="1"/>
  <c r="BI50" i="12" s="1"/>
  <c r="AZ50" i="12" a="1"/>
  <c r="AZ50" i="12" s="1"/>
  <c r="BH46" i="12" a="1"/>
  <c r="BH46" i="12" s="1"/>
  <c r="BB46" i="12" a="1"/>
  <c r="BB46" i="12" s="1"/>
  <c r="BG41" i="12" a="1"/>
  <c r="BG41" i="12" s="1"/>
  <c r="AT41" i="12" a="1"/>
  <c r="AT41" i="12" s="1"/>
  <c r="AA33" i="12" a="1"/>
  <c r="AA33" i="12" s="1"/>
  <c r="X20" i="12" a="1"/>
  <c r="X20" i="12" s="1"/>
  <c r="AC5" i="12" a="1"/>
  <c r="AC5" i="12" s="1"/>
  <c r="BJ80" i="12" a="1"/>
  <c r="BJ80" i="12" s="1"/>
  <c r="AU80" i="12" a="1"/>
  <c r="AU80" i="12" s="1"/>
  <c r="BE77" i="12" a="1"/>
  <c r="BE77" i="12" s="1"/>
  <c r="BD71" i="12" a="1"/>
  <c r="BD71" i="12" s="1"/>
  <c r="AU71" i="12" a="1"/>
  <c r="AU71" i="12" s="1"/>
  <c r="BJ69" i="12" a="1"/>
  <c r="BJ69" i="12" s="1"/>
  <c r="BD69" i="12" a="1"/>
  <c r="BD69" i="12" s="1"/>
  <c r="AW69" i="12" a="1"/>
  <c r="AW69" i="12" s="1"/>
  <c r="BI67" i="12" a="1"/>
  <c r="BI67" i="12" s="1"/>
  <c r="BB67" i="12" a="1"/>
  <c r="BB67" i="12" s="1"/>
  <c r="AV67" i="12" a="1"/>
  <c r="AV67" i="12" s="1"/>
  <c r="BD56" i="12" a="1"/>
  <c r="BD56" i="12" s="1"/>
  <c r="AW56" i="12" a="1"/>
  <c r="AW56" i="12" s="1"/>
  <c r="BE54" i="12" a="1"/>
  <c r="BE54" i="12" s="1"/>
  <c r="BD50" i="12" a="1"/>
  <c r="BD50" i="12" s="1"/>
  <c r="AU50" i="12" a="1"/>
  <c r="AU50" i="12" s="1"/>
  <c r="AV46" i="12" a="1"/>
  <c r="AV46" i="12" s="1"/>
  <c r="BF41" i="12" a="1"/>
  <c r="BF41" i="12" s="1"/>
  <c r="AZ41" i="12" a="1"/>
  <c r="AZ41" i="12" s="1"/>
  <c r="BF37" i="12" a="1"/>
  <c r="BF37" i="12" s="1"/>
  <c r="BA37" i="12" a="1"/>
  <c r="BA37" i="12" s="1"/>
  <c r="AE41" i="12" a="1"/>
  <c r="AE41" i="12" s="1"/>
  <c r="AK29" i="12" a="1"/>
  <c r="AK29" i="12" s="1"/>
  <c r="AQ16" i="12" a="1"/>
  <c r="AQ16" i="12" s="1"/>
  <c r="AP8" i="12" a="1"/>
  <c r="AP8" i="12" s="1"/>
  <c r="BJ83" i="12" a="1"/>
  <c r="BJ83" i="12" s="1"/>
  <c r="BI80" i="12" a="1"/>
  <c r="BI80" i="12" s="1"/>
  <c r="AT80" i="12" a="1"/>
  <c r="AT80" i="12" s="1"/>
  <c r="BC71" i="12" a="1"/>
  <c r="BC71" i="12" s="1"/>
  <c r="AS71" i="12" a="1"/>
  <c r="AS71" i="12" s="1"/>
  <c r="BE70" i="12" a="1"/>
  <c r="BE70" i="12" s="1"/>
  <c r="AW70" i="12" a="1"/>
  <c r="AW70" i="12" s="1"/>
  <c r="BC69" i="12" a="1"/>
  <c r="BC69" i="12" s="1"/>
  <c r="AV69" i="12" a="1"/>
  <c r="AV69" i="12" s="1"/>
  <c r="AU67" i="12" a="1"/>
  <c r="AU67" i="12" s="1"/>
  <c r="BK56" i="12" a="1"/>
  <c r="BK56" i="12" s="1"/>
  <c r="BC56" i="12" a="1"/>
  <c r="BC56" i="12" s="1"/>
  <c r="AV56" i="12" a="1"/>
  <c r="AV56" i="12" s="1"/>
  <c r="BD54" i="12" a="1"/>
  <c r="BD54" i="12" s="1"/>
  <c r="AZ54" i="12" a="1"/>
  <c r="AZ54" i="12" s="1"/>
  <c r="AV54" i="12" a="1"/>
  <c r="AV54" i="12" s="1"/>
  <c r="AR54" i="12" a="1"/>
  <c r="AR54" i="12" s="1"/>
  <c r="BH50" i="12" a="1"/>
  <c r="BH50" i="12" s="1"/>
  <c r="AY50" i="12" a="1"/>
  <c r="AY50" i="12" s="1"/>
  <c r="AT50" i="12" a="1"/>
  <c r="AT50" i="12" s="1"/>
  <c r="BG46" i="12" a="1"/>
  <c r="BG46" i="12" s="1"/>
  <c r="BA46" i="12" a="1"/>
  <c r="BA46" i="12" s="1"/>
  <c r="AU46" i="12" a="1"/>
  <c r="AU46" i="12" s="1"/>
  <c r="BK41" i="12" a="1"/>
  <c r="BK41" i="12" s="1"/>
  <c r="AY41" i="12" a="1"/>
  <c r="AY41" i="12" s="1"/>
  <c r="AS41" i="12" a="1"/>
  <c r="AS41" i="12" s="1"/>
  <c r="AU37" i="12" a="1"/>
  <c r="AU37" i="12" s="1"/>
  <c r="AY33" i="12" a="1"/>
  <c r="AY33" i="12" s="1"/>
  <c r="AT33" i="12" a="1"/>
  <c r="AT33" i="12" s="1"/>
  <c r="AK16" i="12" a="1"/>
  <c r="AK16" i="12" s="1"/>
  <c r="AN8" i="12" a="1"/>
  <c r="AN8" i="12" s="1"/>
  <c r="AP5" i="12" a="1"/>
  <c r="AP5" i="12" s="1"/>
  <c r="BI83" i="12" a="1"/>
  <c r="BI83" i="12" s="1"/>
  <c r="BG80" i="12" a="1"/>
  <c r="BG80" i="12" s="1"/>
  <c r="AR80" i="12" a="1"/>
  <c r="AR80" i="12" s="1"/>
  <c r="BC77" i="12" a="1"/>
  <c r="BC77" i="12" s="1"/>
  <c r="BK71" i="12" a="1"/>
  <c r="BK71" i="12" s="1"/>
  <c r="BB71" i="12" a="1"/>
  <c r="BB71" i="12" s="1"/>
  <c r="AR71" i="12" a="1"/>
  <c r="AR71" i="12" s="1"/>
  <c r="BD70" i="12" a="1"/>
  <c r="BD70" i="12" s="1"/>
  <c r="BI69" i="12" a="1"/>
  <c r="BI69" i="12" s="1"/>
  <c r="AU69" i="12" a="1"/>
  <c r="AU69" i="12" s="1"/>
  <c r="BH67" i="12" a="1"/>
  <c r="BH67" i="12" s="1"/>
  <c r="BA67" i="12" a="1"/>
  <c r="BA67" i="12" s="1"/>
  <c r="AT67" i="12" a="1"/>
  <c r="AT67" i="12" s="1"/>
  <c r="BJ56" i="12" a="1"/>
  <c r="BJ56" i="12" s="1"/>
  <c r="BB56" i="12" a="1"/>
  <c r="BB56" i="12" s="1"/>
  <c r="AU56" i="12" a="1"/>
  <c r="AU56" i="12" s="1"/>
  <c r="BK54" i="12" a="1"/>
  <c r="BK54" i="12" s="1"/>
  <c r="BC50" i="12" a="1"/>
  <c r="BC50" i="12" s="1"/>
  <c r="AX50" i="12" a="1"/>
  <c r="AX50" i="12" s="1"/>
  <c r="BF46" i="12" a="1"/>
  <c r="BF46" i="12" s="1"/>
  <c r="AZ46" i="12" a="1"/>
  <c r="AZ46" i="12" s="1"/>
  <c r="AT46" i="12" a="1"/>
  <c r="AT46" i="12" s="1"/>
  <c r="BJ41" i="12" a="1"/>
  <c r="BJ41" i="12" s="1"/>
  <c r="BE41" i="12" a="1"/>
  <c r="BE41" i="12" s="1"/>
  <c r="AX41" i="12" a="1"/>
  <c r="AX41" i="12" s="1"/>
  <c r="AR41" i="12" a="1"/>
  <c r="AR41" i="12" s="1"/>
  <c r="BK37" i="12" a="1"/>
  <c r="BK37" i="12" s="1"/>
  <c r="BE37" i="12" a="1"/>
  <c r="BE37" i="12" s="1"/>
  <c r="AZ37" i="12" a="1"/>
  <c r="AZ37" i="12" s="1"/>
  <c r="AT37" i="12" a="1"/>
  <c r="AT37" i="12" s="1"/>
  <c r="BI33" i="12" a="1"/>
  <c r="BI33" i="12" s="1"/>
  <c r="BD33" i="12" a="1"/>
  <c r="BD33" i="12" s="1"/>
  <c r="AX33" i="12" a="1"/>
  <c r="AX33" i="12" s="1"/>
  <c r="AY29" i="12" a="1"/>
  <c r="AY29" i="12" s="1"/>
  <c r="AS29" i="12" a="1"/>
  <c r="AS29" i="12" s="1"/>
  <c r="BI24" i="12" a="1"/>
  <c r="BI24" i="12" s="1"/>
  <c r="BD24" i="12" a="1"/>
  <c r="BD24" i="12" s="1"/>
  <c r="AR24" i="12" a="1"/>
  <c r="AR24" i="12" s="1"/>
  <c r="BJ20" i="12" a="1"/>
  <c r="BJ20" i="12" s="1"/>
  <c r="AR20" i="12" a="1"/>
  <c r="AR20" i="12" s="1"/>
  <c r="AD16" i="12" a="1"/>
  <c r="AD16" i="12" s="1"/>
  <c r="AJ8" i="12" a="1"/>
  <c r="AJ8" i="12" s="1"/>
  <c r="AO5" i="12" a="1"/>
  <c r="AO5" i="12" s="1"/>
  <c r="BE83" i="12" a="1"/>
  <c r="BE83" i="12" s="1"/>
  <c r="BF80" i="12" a="1"/>
  <c r="BF80" i="12" s="1"/>
  <c r="BB77" i="12" a="1"/>
  <c r="BB77" i="12" s="1"/>
  <c r="BJ71" i="12" a="1"/>
  <c r="BJ71" i="12" s="1"/>
  <c r="AZ71" i="12" a="1"/>
  <c r="AZ71" i="12" s="1"/>
  <c r="BK70" i="12" a="1"/>
  <c r="BK70" i="12" s="1"/>
  <c r="BC70" i="12" a="1"/>
  <c r="BC70" i="12" s="1"/>
  <c r="AU70" i="12" a="1"/>
  <c r="AU70" i="12" s="1"/>
  <c r="BB69" i="12" a="1"/>
  <c r="BB69" i="12" s="1"/>
  <c r="BG67" i="12" a="1"/>
  <c r="BG67" i="12" s="1"/>
  <c r="BI56" i="12" a="1"/>
  <c r="BI56" i="12" s="1"/>
  <c r="BA56" i="12" a="1"/>
  <c r="BA56" i="12" s="1"/>
  <c r="AT56" i="12" a="1"/>
  <c r="AT56" i="12" s="1"/>
  <c r="BJ54" i="12" a="1"/>
  <c r="BJ54" i="12" s="1"/>
  <c r="BC54" i="12" a="1"/>
  <c r="BC54" i="12" s="1"/>
  <c r="AY54" i="12" a="1"/>
  <c r="AY54" i="12" s="1"/>
  <c r="AU54" i="12" a="1"/>
  <c r="AU54" i="12" s="1"/>
  <c r="BG50" i="12" a="1"/>
  <c r="BG50" i="12" s="1"/>
  <c r="BB50" i="12" a="1"/>
  <c r="BB50" i="12" s="1"/>
  <c r="AS50" i="12" a="1"/>
  <c r="AS50" i="12" s="1"/>
  <c r="BK46" i="12" a="1"/>
  <c r="BK46" i="12" s="1"/>
  <c r="BE46" i="12" a="1"/>
  <c r="BE46" i="12" s="1"/>
  <c r="AY46" i="12" a="1"/>
  <c r="AY46" i="12" s="1"/>
  <c r="BD41" i="12" a="1"/>
  <c r="BD41" i="12" s="1"/>
  <c r="BJ37" i="12" a="1"/>
  <c r="BJ37" i="12" s="1"/>
  <c r="AY37" i="12" a="1"/>
  <c r="AY37" i="12" s="1"/>
  <c r="BC33" i="12" a="1"/>
  <c r="BC33" i="12" s="1"/>
  <c r="AS33" i="12" a="1"/>
  <c r="AS33" i="12" s="1"/>
  <c r="AJ24" i="12" a="1"/>
  <c r="AJ24" i="12" s="1"/>
  <c r="AG8" i="12" a="1"/>
  <c r="AG8" i="12" s="1"/>
  <c r="AK5" i="12" a="1"/>
  <c r="AK5" i="12" s="1"/>
  <c r="BD83" i="12" a="1"/>
  <c r="BD83" i="12" s="1"/>
  <c r="BB80" i="12" a="1"/>
  <c r="BB80" i="12" s="1"/>
  <c r="AX77" i="12" a="1"/>
  <c r="AX77" i="12" s="1"/>
  <c r="BI71" i="12" a="1"/>
  <c r="BI71" i="12" s="1"/>
  <c r="AY71" i="12" a="1"/>
  <c r="AY71" i="12" s="1"/>
  <c r="BI70" i="12" a="1"/>
  <c r="BI70" i="12" s="1"/>
  <c r="AT70" i="12" a="1"/>
  <c r="AT70" i="12" s="1"/>
  <c r="BH69" i="12" a="1"/>
  <c r="BH69" i="12" s="1"/>
  <c r="BA69" i="12" a="1"/>
  <c r="BA69" i="12" s="1"/>
  <c r="AS69" i="12" a="1"/>
  <c r="AS69" i="12" s="1"/>
  <c r="BF67" i="12" a="1"/>
  <c r="BF67" i="12" s="1"/>
  <c r="AZ67" i="12" a="1"/>
  <c r="AZ67" i="12" s="1"/>
  <c r="BH56" i="12" a="1"/>
  <c r="BH56" i="12" s="1"/>
  <c r="AZ56" i="12" a="1"/>
  <c r="AZ56" i="12" s="1"/>
  <c r="AS56" i="12" a="1"/>
  <c r="AS56" i="12" s="1"/>
  <c r="BI54" i="12" a="1"/>
  <c r="BI54" i="12" s="1"/>
  <c r="BF50" i="12" a="1"/>
  <c r="BF50" i="12" s="1"/>
  <c r="AW50" i="12" a="1"/>
  <c r="AW50" i="12" s="1"/>
  <c r="BJ46" i="12" a="1"/>
  <c r="BJ46" i="12" s="1"/>
  <c r="AX46" i="12" a="1"/>
  <c r="AX46" i="12" s="1"/>
  <c r="AS46" i="12" a="1"/>
  <c r="AS46" i="12" s="1"/>
  <c r="BI41" i="12" a="1"/>
  <c r="BI41" i="12" s="1"/>
  <c r="BC41" i="12" a="1"/>
  <c r="BC41" i="12" s="1"/>
  <c r="AW41" i="12" a="1"/>
  <c r="AW41" i="12" s="1"/>
  <c r="BI37" i="12" a="1"/>
  <c r="BI37" i="12" s="1"/>
  <c r="BD37" i="12" a="1"/>
  <c r="BD37" i="12" s="1"/>
  <c r="AX37" i="12" a="1"/>
  <c r="AX37" i="12" s="1"/>
  <c r="AS37" i="12" a="1"/>
  <c r="AS37" i="12" s="1"/>
  <c r="AN67" i="12" a="1"/>
  <c r="AN67" i="12" s="1"/>
  <c r="AK20" i="12" a="1"/>
  <c r="AK20" i="12" s="1"/>
  <c r="AJ12" i="12" a="1"/>
  <c r="AJ12" i="12" s="1"/>
  <c r="AA8" i="12" a="1"/>
  <c r="AA8" i="12" s="1"/>
  <c r="AI5" i="12" a="1"/>
  <c r="AI5" i="12" s="1"/>
  <c r="AY83" i="12" a="1"/>
  <c r="AY83" i="12" s="1"/>
  <c r="AY80" i="12" a="1"/>
  <c r="AY80" i="12" s="1"/>
  <c r="AU77" i="12" a="1"/>
  <c r="AU77" i="12" s="1"/>
  <c r="BG71" i="12" a="1"/>
  <c r="BG71" i="12" s="1"/>
  <c r="AW71" i="12" a="1"/>
  <c r="AW71" i="12" s="1"/>
  <c r="BG70" i="12" a="1"/>
  <c r="BG70" i="12" s="1"/>
  <c r="AZ70" i="12" a="1"/>
  <c r="AZ70" i="12" s="1"/>
  <c r="BK69" i="12" a="1"/>
  <c r="BK69" i="12" s="1"/>
  <c r="BE69" i="12" a="1"/>
  <c r="BE69" i="12" s="1"/>
  <c r="AY69" i="12" a="1"/>
  <c r="AY69" i="12" s="1"/>
  <c r="AR69" i="12" a="1"/>
  <c r="AR69" i="12" s="1"/>
  <c r="BC67" i="12" a="1"/>
  <c r="BC67" i="12" s="1"/>
  <c r="AX67" i="12" a="1"/>
  <c r="AX67" i="12" s="1"/>
  <c r="BF56" i="12" a="1"/>
  <c r="BF56" i="12" s="1"/>
  <c r="AX56" i="12" a="1"/>
  <c r="AX56" i="12" s="1"/>
  <c r="BG54" i="12" a="1"/>
  <c r="BG54" i="12" s="1"/>
  <c r="BJ50" i="12" a="1"/>
  <c r="BJ50" i="12" s="1"/>
  <c r="BE50" i="12" a="1"/>
  <c r="BE50" i="12" s="1"/>
  <c r="AV50" i="12" a="1"/>
  <c r="AV50" i="12" s="1"/>
  <c r="BC46" i="12" a="1"/>
  <c r="BC46" i="12" s="1"/>
  <c r="AW46" i="12" a="1"/>
  <c r="AW46" i="12" s="1"/>
  <c r="AR46" i="12" a="1"/>
  <c r="AR46" i="12" s="1"/>
  <c r="AQ12" i="12" a="1"/>
  <c r="AQ12" i="12" s="1"/>
  <c r="BF69" i="12" a="1"/>
  <c r="BF69" i="12" s="1"/>
  <c r="AR67" i="12" a="1"/>
  <c r="AR67" i="12" s="1"/>
  <c r="AX54" i="12" a="1"/>
  <c r="AX54" i="12" s="1"/>
  <c r="BK50" i="12" a="1"/>
  <c r="BK50" i="12" s="1"/>
  <c r="AW37" i="12" a="1"/>
  <c r="AW37" i="12" s="1"/>
  <c r="BK33" i="12" a="1"/>
  <c r="BK33" i="12" s="1"/>
  <c r="AU33" i="12" a="1"/>
  <c r="AU33" i="12" s="1"/>
  <c r="BH29" i="12" a="1"/>
  <c r="BH29" i="12" s="1"/>
  <c r="AU29" i="12" a="1"/>
  <c r="AU29" i="12" s="1"/>
  <c r="BH24" i="12" a="1"/>
  <c r="BH24" i="12" s="1"/>
  <c r="BA24" i="12" a="1"/>
  <c r="BA24" i="12" s="1"/>
  <c r="BD20" i="12" a="1"/>
  <c r="BD20" i="12" s="1"/>
  <c r="AW20" i="12" a="1"/>
  <c r="AW20" i="12" s="1"/>
  <c r="BI16" i="12" a="1"/>
  <c r="BI16" i="12" s="1"/>
  <c r="BD16" i="12" a="1"/>
  <c r="BD16" i="12" s="1"/>
  <c r="BI12" i="12" a="1"/>
  <c r="BI12" i="12" s="1"/>
  <c r="BC12" i="12" a="1"/>
  <c r="BC12" i="12" s="1"/>
  <c r="AV12" i="12" a="1"/>
  <c r="AV12" i="12" s="1"/>
  <c r="BH8" i="12" a="1"/>
  <c r="BH8" i="12" s="1"/>
  <c r="BA8" i="12" a="1"/>
  <c r="BA8" i="12" s="1"/>
  <c r="AV8" i="12" a="1"/>
  <c r="AV8" i="12" s="1"/>
  <c r="BE5" i="12" a="1"/>
  <c r="BE5" i="12" s="1"/>
  <c r="AY5" i="12" a="1"/>
  <c r="AY5" i="12" s="1"/>
  <c r="AS5" i="12" a="1"/>
  <c r="AS5" i="12" s="1"/>
  <c r="CC8" i="12" a="1"/>
  <c r="CC8" i="12" s="1"/>
  <c r="BW8" i="12" a="1"/>
  <c r="BW8" i="12" s="1"/>
  <c r="BX69" i="12" a="1"/>
  <c r="BX69" i="12" s="1"/>
  <c r="BA80" i="12" a="1"/>
  <c r="BA80" i="12" s="1"/>
  <c r="AZ69" i="12" a="1"/>
  <c r="AZ69" i="12" s="1"/>
  <c r="BG56" i="12" a="1"/>
  <c r="BG56" i="12" s="1"/>
  <c r="AT54" i="12" a="1"/>
  <c r="AT54" i="12" s="1"/>
  <c r="BI46" i="12" a="1"/>
  <c r="BI46" i="12" s="1"/>
  <c r="BB41" i="12" a="1"/>
  <c r="BB41" i="12" s="1"/>
  <c r="BJ33" i="12" a="1"/>
  <c r="BJ33" i="12" s="1"/>
  <c r="BA33" i="12" a="1"/>
  <c r="BA33" i="12" s="1"/>
  <c r="AR33" i="12" a="1"/>
  <c r="AR33" i="12" s="1"/>
  <c r="BG29" i="12" a="1"/>
  <c r="BG29" i="12" s="1"/>
  <c r="BA29" i="12" a="1"/>
  <c r="BA29" i="12" s="1"/>
  <c r="AT29" i="12" a="1"/>
  <c r="AT29" i="12" s="1"/>
  <c r="BG24" i="12" a="1"/>
  <c r="BG24" i="12" s="1"/>
  <c r="AZ24" i="12" a="1"/>
  <c r="AZ24" i="12" s="1"/>
  <c r="AU24" i="12" a="1"/>
  <c r="AU24" i="12" s="1"/>
  <c r="BK20" i="12" a="1"/>
  <c r="BK20" i="12" s="1"/>
  <c r="BC20" i="12" a="1"/>
  <c r="BC20" i="12" s="1"/>
  <c r="AV20" i="12" a="1"/>
  <c r="AV20" i="12" s="1"/>
  <c r="BC16" i="12" a="1"/>
  <c r="BC16" i="12" s="1"/>
  <c r="AW16" i="12" a="1"/>
  <c r="AW16" i="12" s="1"/>
  <c r="BH12" i="12" a="1"/>
  <c r="BH12" i="12" s="1"/>
  <c r="BB12" i="12" a="1"/>
  <c r="BB12" i="12" s="1"/>
  <c r="BG8" i="12" a="1"/>
  <c r="BG8" i="12" s="1"/>
  <c r="AZ8" i="12" a="1"/>
  <c r="AZ8" i="12" s="1"/>
  <c r="AU8" i="12" a="1"/>
  <c r="AU8" i="12" s="1"/>
  <c r="BK5" i="12" a="1"/>
  <c r="BK5" i="12" s="1"/>
  <c r="AX5" i="12" a="1"/>
  <c r="AX5" i="12" s="1"/>
  <c r="BV8" i="12" a="1"/>
  <c r="BV8" i="12" s="1"/>
  <c r="BP8" i="12" a="1"/>
  <c r="BP8" i="12" s="1"/>
  <c r="CE69" i="12" a="1"/>
  <c r="CE69" i="12" s="1"/>
  <c r="BW69" i="12" a="1"/>
  <c r="BW69" i="12" s="1"/>
  <c r="BO69" i="12" a="1"/>
  <c r="BO69" i="12" s="1"/>
  <c r="CA69" i="10" a="1"/>
  <c r="CA69" i="10" s="1"/>
  <c r="BS69" i="10" a="1"/>
  <c r="BS69" i="10" s="1"/>
  <c r="BK69" i="10" a="1"/>
  <c r="BK69" i="10" s="1"/>
  <c r="BC69" i="10" a="1"/>
  <c r="BC69" i="10" s="1"/>
  <c r="AU69" i="10" a="1"/>
  <c r="AU69" i="10" s="1"/>
  <c r="AM69" i="10" a="1"/>
  <c r="AM69" i="10" s="1"/>
  <c r="AE69" i="10" a="1"/>
  <c r="AE69" i="10" s="1"/>
  <c r="W69" i="10" a="1"/>
  <c r="W69" i="10" s="1"/>
  <c r="O69" i="10" a="1"/>
  <c r="O69" i="10" s="1"/>
  <c r="G69" i="10" a="1"/>
  <c r="G69" i="10" s="1"/>
  <c r="BF8" i="12" a="1"/>
  <c r="BF8" i="12" s="1"/>
  <c r="BJ5" i="12" a="1"/>
  <c r="BJ5" i="12" s="1"/>
  <c r="BD5" i="12" a="1"/>
  <c r="BD5" i="12" s="1"/>
  <c r="AR5" i="12" a="1"/>
  <c r="AR5" i="12" s="1"/>
  <c r="BU8" i="12" a="1"/>
  <c r="BU8" i="12" s="1"/>
  <c r="BV69" i="12" a="1"/>
  <c r="BV69" i="12" s="1"/>
  <c r="AY56" i="12" a="1"/>
  <c r="AY56" i="12" s="1"/>
  <c r="BA50" i="12" a="1"/>
  <c r="BA50" i="12" s="1"/>
  <c r="BD46" i="12" a="1"/>
  <c r="BD46" i="12" s="1"/>
  <c r="BA41" i="12" a="1"/>
  <c r="BA41" i="12" s="1"/>
  <c r="BH37" i="12" a="1"/>
  <c r="BH37" i="12" s="1"/>
  <c r="AV37" i="12" a="1"/>
  <c r="AV37" i="12" s="1"/>
  <c r="BH33" i="12" a="1"/>
  <c r="BH33" i="12" s="1"/>
  <c r="AZ33" i="12" a="1"/>
  <c r="AZ33" i="12" s="1"/>
  <c r="BF29" i="12" a="1"/>
  <c r="BF29" i="12" s="1"/>
  <c r="AZ29" i="12" a="1"/>
  <c r="AZ29" i="12" s="1"/>
  <c r="BF24" i="12" a="1"/>
  <c r="BF24" i="12" s="1"/>
  <c r="AT24" i="12" a="1"/>
  <c r="AT24" i="12" s="1"/>
  <c r="BI20" i="12" a="1"/>
  <c r="BI20" i="12" s="1"/>
  <c r="BB20" i="12" a="1"/>
  <c r="BB20" i="12" s="1"/>
  <c r="BH16" i="12" a="1"/>
  <c r="BH16" i="12" s="1"/>
  <c r="BB16" i="12" a="1"/>
  <c r="BB16" i="12" s="1"/>
  <c r="BG12" i="12" a="1"/>
  <c r="BG12" i="12" s="1"/>
  <c r="AU12" i="12" a="1"/>
  <c r="AU12" i="12" s="1"/>
  <c r="AT8" i="12" a="1"/>
  <c r="AT8" i="12" s="1"/>
  <c r="AW5" i="12" a="1"/>
  <c r="AW5" i="12" s="1"/>
  <c r="CB8" i="12" a="1"/>
  <c r="CB8" i="12" s="1"/>
  <c r="BO8" i="12" a="1"/>
  <c r="BO8" i="12" s="1"/>
  <c r="CD69" i="12" a="1"/>
  <c r="CD69" i="12" s="1"/>
  <c r="BN69" i="12" a="1"/>
  <c r="BN69" i="12" s="1"/>
  <c r="BK77" i="12" a="1"/>
  <c r="BK77" i="12" s="1"/>
  <c r="BH71" i="12" a="1"/>
  <c r="BH71" i="12" s="1"/>
  <c r="AR56" i="12" a="1"/>
  <c r="AR56" i="12" s="1"/>
  <c r="AV41" i="12" a="1"/>
  <c r="AV41" i="12" s="1"/>
  <c r="AR37" i="12" a="1"/>
  <c r="AR37" i="12" s="1"/>
  <c r="BG33" i="12" a="1"/>
  <c r="BG33" i="12" s="1"/>
  <c r="BE29" i="12" a="1"/>
  <c r="BE29" i="12" s="1"/>
  <c r="AX29" i="12" a="1"/>
  <c r="AX29" i="12" s="1"/>
  <c r="AR29" i="12" a="1"/>
  <c r="AR29" i="12" s="1"/>
  <c r="AY24" i="12" a="1"/>
  <c r="AY24" i="12" s="1"/>
  <c r="AS24" i="12" a="1"/>
  <c r="AS24" i="12" s="1"/>
  <c r="BH20" i="12" a="1"/>
  <c r="BH20" i="12" s="1"/>
  <c r="AU20" i="12" a="1"/>
  <c r="AU20" i="12" s="1"/>
  <c r="BG16" i="12" a="1"/>
  <c r="BG16" i="12" s="1"/>
  <c r="BA16" i="12" a="1"/>
  <c r="BA16" i="12" s="1"/>
  <c r="AV16" i="12" a="1"/>
  <c r="AV16" i="12" s="1"/>
  <c r="BF12" i="12" a="1"/>
  <c r="BF12" i="12" s="1"/>
  <c r="BA12" i="12" a="1"/>
  <c r="BA12" i="12" s="1"/>
  <c r="AT12" i="12" a="1"/>
  <c r="AT12" i="12" s="1"/>
  <c r="AY8" i="12" a="1"/>
  <c r="AY8" i="12" s="1"/>
  <c r="AS8" i="12" a="1"/>
  <c r="AS8" i="12" s="1"/>
  <c r="BI5" i="12" a="1"/>
  <c r="BI5" i="12" s="1"/>
  <c r="BC5" i="12" a="1"/>
  <c r="BC5" i="12" s="1"/>
  <c r="AV5" i="12" a="1"/>
  <c r="AV5" i="12" s="1"/>
  <c r="CA8" i="12" a="1"/>
  <c r="CA8" i="12" s="1"/>
  <c r="BN8" i="12" a="1"/>
  <c r="BN8" i="12" s="1"/>
  <c r="CC69" i="12" a="1"/>
  <c r="CC69" i="12" s="1"/>
  <c r="BU69" i="12" a="1"/>
  <c r="BU69" i="12" s="1"/>
  <c r="BM69" i="12" a="1"/>
  <c r="BM69" i="12" s="1"/>
  <c r="BY69" i="10" a="1"/>
  <c r="BY69" i="10" s="1"/>
  <c r="BQ69" i="10" a="1"/>
  <c r="BQ69" i="10" s="1"/>
  <c r="BI69" i="10" a="1"/>
  <c r="BI69" i="10" s="1"/>
  <c r="BA69" i="10" a="1"/>
  <c r="BA69" i="10" s="1"/>
  <c r="AS69" i="10" a="1"/>
  <c r="AS69" i="10" s="1"/>
  <c r="AK69" i="10" a="1"/>
  <c r="AK69" i="10" s="1"/>
  <c r="AC69" i="10" a="1"/>
  <c r="AC69" i="10" s="1"/>
  <c r="U69" i="10" a="1"/>
  <c r="U69" i="10" s="1"/>
  <c r="M69" i="10" a="1"/>
  <c r="M69" i="10" s="1"/>
  <c r="E69" i="10" a="1"/>
  <c r="E69" i="10" s="1"/>
  <c r="BZ8" i="12" a="1"/>
  <c r="BZ8" i="12" s="1"/>
  <c r="BM8" i="12" a="1"/>
  <c r="BM8" i="12" s="1"/>
  <c r="CB69" i="12" a="1"/>
  <c r="CB69" i="12" s="1"/>
  <c r="BT69" i="12" a="1"/>
  <c r="BT69" i="12" s="1"/>
  <c r="BL69" i="12" a="1"/>
  <c r="BL69" i="12" s="1"/>
  <c r="BX69" i="10" a="1"/>
  <c r="BX69" i="10" s="1"/>
  <c r="BP69" i="10" a="1"/>
  <c r="BP69" i="10" s="1"/>
  <c r="BH69" i="10" a="1"/>
  <c r="BH69" i="10" s="1"/>
  <c r="AZ69" i="10" a="1"/>
  <c r="AZ69" i="10" s="1"/>
  <c r="AR69" i="10" a="1"/>
  <c r="AR69" i="10" s="1"/>
  <c r="AJ69" i="10" a="1"/>
  <c r="AJ69" i="10" s="1"/>
  <c r="AB69" i="10" a="1"/>
  <c r="AB69" i="10" s="1"/>
  <c r="T69" i="10" a="1"/>
  <c r="T69" i="10" s="1"/>
  <c r="L69" i="10" a="1"/>
  <c r="L69" i="10" s="1"/>
  <c r="D69" i="10" a="1"/>
  <c r="D69" i="10" s="1"/>
  <c r="BS8" i="12" a="1"/>
  <c r="BS8" i="12" s="1"/>
  <c r="CE69" i="10" a="1"/>
  <c r="CE69" i="10" s="1"/>
  <c r="BW69" i="10" a="1"/>
  <c r="BW69" i="10" s="1"/>
  <c r="AW77" i="12" a="1"/>
  <c r="AW77" i="12" s="1"/>
  <c r="AX71" i="12" a="1"/>
  <c r="AX71" i="12" s="1"/>
  <c r="AR50" i="12" a="1"/>
  <c r="AR50" i="12" s="1"/>
  <c r="AU41" i="12" a="1"/>
  <c r="AU41" i="12" s="1"/>
  <c r="BG37" i="12" a="1"/>
  <c r="BG37" i="12" s="1"/>
  <c r="BF33" i="12" a="1"/>
  <c r="BF33" i="12" s="1"/>
  <c r="AW33" i="12" a="1"/>
  <c r="AW33" i="12" s="1"/>
  <c r="BD29" i="12" a="1"/>
  <c r="BD29" i="12" s="1"/>
  <c r="BE24" i="12" a="1"/>
  <c r="BE24" i="12" s="1"/>
  <c r="AX24" i="12" a="1"/>
  <c r="AX24" i="12" s="1"/>
  <c r="BG20" i="12" a="1"/>
  <c r="BG20" i="12" s="1"/>
  <c r="BA20" i="12" a="1"/>
  <c r="BA20" i="12" s="1"/>
  <c r="AT20" i="12" a="1"/>
  <c r="AT20" i="12" s="1"/>
  <c r="BF16" i="12" a="1"/>
  <c r="BF16" i="12" s="1"/>
  <c r="AZ16" i="12" a="1"/>
  <c r="AZ16" i="12" s="1"/>
  <c r="AU16" i="12" a="1"/>
  <c r="AU16" i="12" s="1"/>
  <c r="BE12" i="12" a="1"/>
  <c r="BE12" i="12" s="1"/>
  <c r="AZ12" i="12" a="1"/>
  <c r="AZ12" i="12" s="1"/>
  <c r="AS12" i="12" a="1"/>
  <c r="AS12" i="12" s="1"/>
  <c r="BK8" i="12" a="1"/>
  <c r="BK8" i="12" s="1"/>
  <c r="BE8" i="12" a="1"/>
  <c r="BE8" i="12" s="1"/>
  <c r="AX8" i="12" a="1"/>
  <c r="AX8" i="12" s="1"/>
  <c r="AR8" i="12" a="1"/>
  <c r="AR8" i="12" s="1"/>
  <c r="BH5" i="12" a="1"/>
  <c r="BH5" i="12" s="1"/>
  <c r="BB5" i="12" a="1"/>
  <c r="BB5" i="12" s="1"/>
  <c r="BT8" i="12" a="1"/>
  <c r="BT8" i="12" s="1"/>
  <c r="BS69" i="12" a="1"/>
  <c r="BS69" i="12" s="1"/>
  <c r="AJ5" i="12" a="1"/>
  <c r="AJ5" i="12" s="1"/>
  <c r="BC83" i="12" a="1"/>
  <c r="BC83" i="12" s="1"/>
  <c r="BH70" i="12" a="1"/>
  <c r="BH70" i="12" s="1"/>
  <c r="BK67" i="12" a="1"/>
  <c r="BK67" i="12" s="1"/>
  <c r="BK29" i="12" a="1"/>
  <c r="BK29" i="12" s="1"/>
  <c r="AW29" i="12" a="1"/>
  <c r="AW29" i="12" s="1"/>
  <c r="BK24" i="12" a="1"/>
  <c r="BK24" i="12" s="1"/>
  <c r="AW24" i="12" a="1"/>
  <c r="AW24" i="12" s="1"/>
  <c r="BF20" i="12" a="1"/>
  <c r="BF20" i="12" s="1"/>
  <c r="AZ20" i="12" a="1"/>
  <c r="AZ20" i="12" s="1"/>
  <c r="AS20" i="12" a="1"/>
  <c r="AS20" i="12" s="1"/>
  <c r="AT16" i="12" a="1"/>
  <c r="AT16" i="12" s="1"/>
  <c r="AY12" i="12" a="1"/>
  <c r="AY12" i="12" s="1"/>
  <c r="BJ8" i="12" a="1"/>
  <c r="BJ8" i="12" s="1"/>
  <c r="BD8" i="12" a="1"/>
  <c r="BD8" i="12" s="1"/>
  <c r="AU5" i="12" a="1"/>
  <c r="AU5" i="12" s="1"/>
  <c r="BY8" i="12" a="1"/>
  <c r="BY8" i="12" s="1"/>
  <c r="CA69" i="12" a="1"/>
  <c r="CA69" i="12" s="1"/>
  <c r="AN46" i="12" a="1"/>
  <c r="AN46" i="12" s="1"/>
  <c r="AS70" i="12" a="1"/>
  <c r="AS70" i="12" s="1"/>
  <c r="BB54" i="12" a="1"/>
  <c r="BB54" i="12" s="1"/>
  <c r="BH41" i="12" a="1"/>
  <c r="BH41" i="12" s="1"/>
  <c r="BB37" i="12" a="1"/>
  <c r="BB37" i="12" s="1"/>
  <c r="BB33" i="12" a="1"/>
  <c r="BB33" i="12" s="1"/>
  <c r="BI29" i="12" a="1"/>
  <c r="BI29" i="12" s="1"/>
  <c r="BB29" i="12" a="1"/>
  <c r="BB29" i="12" s="1"/>
  <c r="BB24" i="12" a="1"/>
  <c r="BB24" i="12" s="1"/>
  <c r="AV24" i="12" a="1"/>
  <c r="AV24" i="12" s="1"/>
  <c r="AX20" i="12" a="1"/>
  <c r="AX20" i="12" s="1"/>
  <c r="BJ16" i="12" a="1"/>
  <c r="BJ16" i="12" s="1"/>
  <c r="AX16" i="12" a="1"/>
  <c r="AX16" i="12" s="1"/>
  <c r="AR16" i="12" a="1"/>
  <c r="AR16" i="12" s="1"/>
  <c r="BJ12" i="12" a="1"/>
  <c r="BJ12" i="12" s="1"/>
  <c r="AW12" i="12" a="1"/>
  <c r="AW12" i="12" s="1"/>
  <c r="BB8" i="12" a="1"/>
  <c r="BB8" i="12" s="1"/>
  <c r="BF5" i="12" a="1"/>
  <c r="BF5" i="12" s="1"/>
  <c r="AZ5" i="12" a="1"/>
  <c r="AZ5" i="12" s="1"/>
  <c r="CD8" i="12" a="1"/>
  <c r="CD8" i="12" s="1"/>
  <c r="BX8" i="12" a="1"/>
  <c r="BX8" i="12" s="1"/>
  <c r="BQ8" i="12" a="1"/>
  <c r="BQ8" i="12" s="1"/>
  <c r="BH54" i="12" a="1"/>
  <c r="BH54" i="12" s="1"/>
  <c r="BJ24" i="12" a="1"/>
  <c r="BJ24" i="12" s="1"/>
  <c r="BK16" i="12" a="1"/>
  <c r="BK16" i="12" s="1"/>
  <c r="AR12" i="12" a="1"/>
  <c r="AR12" i="12" s="1"/>
  <c r="CE8" i="12" a="1"/>
  <c r="CE8" i="12" s="1"/>
  <c r="CD69" i="10" a="1"/>
  <c r="CD69" i="10" s="1"/>
  <c r="BD69" i="10" a="1"/>
  <c r="BD69" i="10" s="1"/>
  <c r="BC24" i="12" a="1"/>
  <c r="BC24" i="12" s="1"/>
  <c r="BE16" i="12" a="1"/>
  <c r="BE16" i="12" s="1"/>
  <c r="CC69" i="10" a="1"/>
  <c r="CC69" i="10" s="1"/>
  <c r="BN69" i="10" a="1"/>
  <c r="BN69" i="10" s="1"/>
  <c r="BB69" i="10" a="1"/>
  <c r="BB69" i="10" s="1"/>
  <c r="AO69" i="10" a="1"/>
  <c r="AO69" i="10" s="1"/>
  <c r="AA69" i="10" a="1"/>
  <c r="AA69" i="10" s="1"/>
  <c r="P69" i="10" a="1"/>
  <c r="P69" i="10" s="1"/>
  <c r="AN69" i="10" a="1"/>
  <c r="AN69" i="10" s="1"/>
  <c r="Z69" i="10" a="1"/>
  <c r="Z69" i="10" s="1"/>
  <c r="BL69" i="10" a="1"/>
  <c r="BL69" i="10" s="1"/>
  <c r="BJ69" i="10" a="1"/>
  <c r="BJ69" i="10" s="1"/>
  <c r="J69" i="10" a="1"/>
  <c r="J69" i="10" s="1"/>
  <c r="BR69" i="12" a="1"/>
  <c r="BR69" i="12" s="1"/>
  <c r="AV69" i="10" a="1"/>
  <c r="AV69" i="10" s="1"/>
  <c r="AH69" i="10" a="1"/>
  <c r="AH69" i="10" s="1"/>
  <c r="BT69" i="10" a="1"/>
  <c r="BT69" i="10" s="1"/>
  <c r="Q69" i="10" a="1"/>
  <c r="Q69" i="10" s="1"/>
  <c r="AY16" i="12" a="1"/>
  <c r="AY16" i="12" s="1"/>
  <c r="BI8" i="12" a="1"/>
  <c r="BI8" i="12" s="1"/>
  <c r="BR8" i="12" a="1"/>
  <c r="BR8" i="12" s="1"/>
  <c r="CB69" i="10" a="1"/>
  <c r="CB69" i="10" s="1"/>
  <c r="BM69" i="10" a="1"/>
  <c r="BM69" i="10" s="1"/>
  <c r="AY69" i="10" a="1"/>
  <c r="AY69" i="10" s="1"/>
  <c r="N69" i="10" a="1"/>
  <c r="N69" i="10" s="1"/>
  <c r="BE33" i="12" a="1"/>
  <c r="BE33" i="12" s="1"/>
  <c r="BC8" i="12" a="1"/>
  <c r="BC8" i="12" s="1"/>
  <c r="BZ69" i="12" a="1"/>
  <c r="BZ69" i="12" s="1"/>
  <c r="BZ69" i="10" a="1"/>
  <c r="BZ69" i="10" s="1"/>
  <c r="AL69" i="10" a="1"/>
  <c r="AL69" i="10" s="1"/>
  <c r="BV69" i="10" a="1"/>
  <c r="BV69" i="10" s="1"/>
  <c r="AW69" i="10" a="1"/>
  <c r="AW69" i="10" s="1"/>
  <c r="BG69" i="10" a="1"/>
  <c r="BG69" i="10" s="1"/>
  <c r="BD12" i="12" a="1"/>
  <c r="BD12" i="12" s="1"/>
  <c r="AT5" i="12" a="1"/>
  <c r="AT5" i="12" s="1"/>
  <c r="H69" i="10" a="1"/>
  <c r="H69" i="10" s="1"/>
  <c r="BA70" i="12" a="1"/>
  <c r="BA70" i="12" s="1"/>
  <c r="AS16" i="12" a="1"/>
  <c r="AS16" i="12" s="1"/>
  <c r="BL8" i="12" a="1"/>
  <c r="BL8" i="12" s="1"/>
  <c r="AX69" i="10" a="1"/>
  <c r="AX69" i="10" s="1"/>
  <c r="Y69" i="10" a="1"/>
  <c r="Y69" i="10" s="1"/>
  <c r="K69" i="10" a="1"/>
  <c r="K69" i="10" s="1"/>
  <c r="AI69" i="10" a="1"/>
  <c r="AI69" i="10" s="1"/>
  <c r="BA5" i="12" a="1"/>
  <c r="BA5" i="12" s="1"/>
  <c r="I69" i="10" a="1"/>
  <c r="I69" i="10" s="1"/>
  <c r="AV29" i="12" a="1"/>
  <c r="AV29" i="12" s="1"/>
  <c r="BO69" i="10" a="1"/>
  <c r="BO69" i="10" s="1"/>
  <c r="BE67" i="12" a="1"/>
  <c r="BE67" i="12" s="1"/>
  <c r="BC37" i="12" a="1"/>
  <c r="BC37" i="12" s="1"/>
  <c r="AV33" i="12" a="1"/>
  <c r="AV33" i="12" s="1"/>
  <c r="BJ29" i="12" a="1"/>
  <c r="BJ29" i="12" s="1"/>
  <c r="BE20" i="12" a="1"/>
  <c r="BE20" i="12" s="1"/>
  <c r="AW8" i="12" a="1"/>
  <c r="AW8" i="12" s="1"/>
  <c r="BG5" i="12" a="1"/>
  <c r="BG5" i="12" s="1"/>
  <c r="BY69" i="12" a="1"/>
  <c r="BY69" i="12" s="1"/>
  <c r="X69" i="10" a="1"/>
  <c r="X69" i="10" s="1"/>
  <c r="V69" i="10" a="1"/>
  <c r="V69" i="10" s="1"/>
  <c r="BQ69" i="12" a="1"/>
  <c r="BQ69" i="12" s="1"/>
  <c r="AT69" i="10" a="1"/>
  <c r="AT69" i="10" s="1"/>
  <c r="S69" i="10" a="1"/>
  <c r="S69" i="10" s="1"/>
  <c r="AD69" i="10" a="1"/>
  <c r="AD69" i="10" s="1"/>
  <c r="BC29" i="12" a="1"/>
  <c r="BC29" i="12" s="1"/>
  <c r="AY20" i="12" a="1"/>
  <c r="AY20" i="12" s="1"/>
  <c r="BK12" i="12" a="1"/>
  <c r="BK12" i="12" s="1"/>
  <c r="BU69" i="10" a="1"/>
  <c r="BU69" i="10" s="1"/>
  <c r="BF69" i="10" a="1"/>
  <c r="BF69" i="10" s="1"/>
  <c r="AG69" i="10" a="1"/>
  <c r="AG69" i="10" s="1"/>
  <c r="F69" i="10" a="1"/>
  <c r="F69" i="10" s="1"/>
  <c r="AP69" i="10" a="1"/>
  <c r="AP69" i="10" s="1"/>
  <c r="AX12" i="12" a="1"/>
  <c r="AX12" i="12" s="1"/>
  <c r="BP69" i="12" a="1"/>
  <c r="BP69" i="12" s="1"/>
  <c r="BR69" i="10" a="1"/>
  <c r="BR69" i="10" s="1"/>
  <c r="BE69" i="10" a="1"/>
  <c r="BE69" i="10" s="1"/>
  <c r="AQ69" i="10" a="1"/>
  <c r="AQ69" i="10" s="1"/>
  <c r="AF69" i="10" a="1"/>
  <c r="AF69" i="10" s="1"/>
  <c r="R69" i="10" a="1"/>
  <c r="R69" i="10" s="1"/>
  <c r="J5" i="10" a="1"/>
  <c r="J5" i="10" s="1"/>
  <c r="R5" i="10" a="1"/>
  <c r="R5" i="10" s="1"/>
  <c r="Z5" i="10" a="1"/>
  <c r="Z5" i="10" s="1"/>
  <c r="AH5" i="10" a="1"/>
  <c r="AH5" i="10" s="1"/>
  <c r="AP5" i="10" a="1"/>
  <c r="AP5" i="10" s="1"/>
  <c r="AX5" i="10" a="1"/>
  <c r="AX5" i="10" s="1"/>
  <c r="BF5" i="10" a="1"/>
  <c r="BF5" i="10" s="1"/>
  <c r="BN5" i="10" a="1"/>
  <c r="BN5" i="10" s="1"/>
  <c r="BV5" i="10" a="1"/>
  <c r="BV5" i="10" s="1"/>
  <c r="CD5" i="10" a="1"/>
  <c r="CD5" i="10" s="1"/>
  <c r="J12" i="10" a="1"/>
  <c r="J12" i="10" s="1"/>
  <c r="R12" i="10" a="1"/>
  <c r="R12" i="10" s="1"/>
  <c r="Z12" i="10" a="1"/>
  <c r="Z12" i="10" s="1"/>
  <c r="AH12" i="10" a="1"/>
  <c r="AH12" i="10" s="1"/>
  <c r="AP12" i="10" a="1"/>
  <c r="AP12" i="10" s="1"/>
  <c r="AX12" i="10" a="1"/>
  <c r="AX12" i="10" s="1"/>
  <c r="BF12" i="10" a="1"/>
  <c r="BF12" i="10" s="1"/>
  <c r="BN12" i="10" a="1"/>
  <c r="BN12" i="10" s="1"/>
  <c r="BV12" i="10" a="1"/>
  <c r="BV12" i="10" s="1"/>
  <c r="CD12" i="10" a="1"/>
  <c r="CD12" i="10" s="1"/>
  <c r="J16" i="10" a="1"/>
  <c r="J16" i="10" s="1"/>
  <c r="R16" i="10" a="1"/>
  <c r="R16" i="10" s="1"/>
  <c r="Z16" i="10" a="1"/>
  <c r="Z16" i="10" s="1"/>
  <c r="AH16" i="10" a="1"/>
  <c r="AH16" i="10" s="1"/>
  <c r="AP16" i="10" a="1"/>
  <c r="AP16" i="10" s="1"/>
  <c r="AX16" i="10" a="1"/>
  <c r="AX16" i="10" s="1"/>
  <c r="BF16" i="10" a="1"/>
  <c r="BF16" i="10" s="1"/>
  <c r="BN16" i="10" a="1"/>
  <c r="BN16" i="10" s="1"/>
  <c r="BV16" i="10" a="1"/>
  <c r="BV16" i="10" s="1"/>
  <c r="CD16" i="10" a="1"/>
  <c r="CD16" i="10" s="1"/>
  <c r="I20" i="10" a="1"/>
  <c r="I20" i="10" s="1"/>
  <c r="Q20" i="10" a="1"/>
  <c r="Q20" i="10" s="1"/>
  <c r="Y20" i="10" a="1"/>
  <c r="Y20" i="10" s="1"/>
  <c r="AG20" i="10" a="1"/>
  <c r="AG20" i="10" s="1"/>
  <c r="AO20" i="10" a="1"/>
  <c r="AO20" i="10" s="1"/>
  <c r="AW20" i="10" a="1"/>
  <c r="AW20" i="10" s="1"/>
  <c r="BE20" i="10" a="1"/>
  <c r="BE20" i="10" s="1"/>
  <c r="BM20" i="10" a="1"/>
  <c r="BM20" i="10" s="1"/>
  <c r="BU20" i="10" a="1"/>
  <c r="BU20" i="10" s="1"/>
  <c r="CC20" i="10" a="1"/>
  <c r="CC20" i="10" s="1"/>
  <c r="K5" i="10" a="1"/>
  <c r="K5" i="10" s="1"/>
  <c r="S5" i="10" a="1"/>
  <c r="S5" i="10" s="1"/>
  <c r="AA5" i="10" a="1"/>
  <c r="AA5" i="10" s="1"/>
  <c r="AI5" i="10" a="1"/>
  <c r="AI5" i="10" s="1"/>
  <c r="AQ5" i="10" a="1"/>
  <c r="AQ5" i="10" s="1"/>
  <c r="AY5" i="10" a="1"/>
  <c r="AY5" i="10" s="1"/>
  <c r="BG5" i="10" a="1"/>
  <c r="BG5" i="10" s="1"/>
  <c r="BO5" i="10" a="1"/>
  <c r="BO5" i="10" s="1"/>
  <c r="BW5" i="10" a="1"/>
  <c r="BW5" i="10" s="1"/>
  <c r="CE5" i="10" a="1"/>
  <c r="CE5" i="10" s="1"/>
  <c r="K12" i="10" a="1"/>
  <c r="K12" i="10" s="1"/>
  <c r="S12" i="10" a="1"/>
  <c r="S12" i="10" s="1"/>
  <c r="AA12" i="10" a="1"/>
  <c r="AA12" i="10" s="1"/>
  <c r="AI12" i="10" a="1"/>
  <c r="AI12" i="10" s="1"/>
  <c r="AQ12" i="10" a="1"/>
  <c r="AQ12" i="10" s="1"/>
  <c r="AY12" i="10" a="1"/>
  <c r="AY12" i="10" s="1"/>
  <c r="BG12" i="10" a="1"/>
  <c r="BG12" i="10" s="1"/>
  <c r="BO12" i="10" a="1"/>
  <c r="BO12" i="10" s="1"/>
  <c r="BW12" i="10" a="1"/>
  <c r="BW12" i="10" s="1"/>
  <c r="CE12" i="10" a="1"/>
  <c r="CE12" i="10" s="1"/>
  <c r="K16" i="10" a="1"/>
  <c r="K16" i="10" s="1"/>
  <c r="S16" i="10" a="1"/>
  <c r="S16" i="10" s="1"/>
  <c r="AA16" i="10" a="1"/>
  <c r="AA16" i="10" s="1"/>
  <c r="AI16" i="10" a="1"/>
  <c r="AI16" i="10" s="1"/>
  <c r="AQ16" i="10" a="1"/>
  <c r="AQ16" i="10" s="1"/>
  <c r="AY16" i="10" a="1"/>
  <c r="AY16" i="10" s="1"/>
  <c r="BG16" i="10" a="1"/>
  <c r="BG16" i="10" s="1"/>
  <c r="BO16" i="10" a="1"/>
  <c r="BO16" i="10" s="1"/>
  <c r="BW16" i="10" a="1"/>
  <c r="BW16" i="10" s="1"/>
  <c r="CE16" i="10" a="1"/>
  <c r="CE16" i="10" s="1"/>
  <c r="J20" i="10" a="1"/>
  <c r="J20" i="10" s="1"/>
  <c r="R20" i="10" a="1"/>
  <c r="R20" i="10" s="1"/>
  <c r="Z20" i="10" a="1"/>
  <c r="Z20" i="10" s="1"/>
  <c r="AH20" i="10" a="1"/>
  <c r="AH20" i="10" s="1"/>
  <c r="AP20" i="10" a="1"/>
  <c r="AP20" i="10" s="1"/>
  <c r="AX20" i="10" a="1"/>
  <c r="AX20" i="10" s="1"/>
  <c r="BF20" i="10" a="1"/>
  <c r="BF20" i="10" s="1"/>
  <c r="BN20" i="10" a="1"/>
  <c r="BN20" i="10" s="1"/>
  <c r="BV20" i="10" a="1"/>
  <c r="BV20" i="10" s="1"/>
  <c r="CD20" i="10" a="1"/>
  <c r="CD20" i="10" s="1"/>
  <c r="J24" i="10" a="1"/>
  <c r="J24" i="10" s="1"/>
  <c r="R24" i="10" a="1"/>
  <c r="R24" i="10" s="1"/>
  <c r="Z24" i="10" a="1"/>
  <c r="Z24" i="10" s="1"/>
  <c r="AH24" i="10" a="1"/>
  <c r="AH24" i="10" s="1"/>
  <c r="AP24" i="10" a="1"/>
  <c r="AP24" i="10" s="1"/>
  <c r="AX24" i="10" a="1"/>
  <c r="AX24" i="10" s="1"/>
  <c r="D5" i="10" a="1"/>
  <c r="D5" i="10" s="1"/>
  <c r="L5" i="10" a="1"/>
  <c r="L5" i="10" s="1"/>
  <c r="T5" i="10" a="1"/>
  <c r="T5" i="10" s="1"/>
  <c r="AB5" i="10" a="1"/>
  <c r="AB5" i="10" s="1"/>
  <c r="AJ5" i="10" a="1"/>
  <c r="AJ5" i="10" s="1"/>
  <c r="AR5" i="10" a="1"/>
  <c r="AR5" i="10" s="1"/>
  <c r="AZ5" i="10" a="1"/>
  <c r="AZ5" i="10" s="1"/>
  <c r="BH5" i="10" a="1"/>
  <c r="BH5" i="10" s="1"/>
  <c r="BP5" i="10" a="1"/>
  <c r="BP5" i="10" s="1"/>
  <c r="BX5" i="10" a="1"/>
  <c r="BX5" i="10" s="1"/>
  <c r="D12" i="10" a="1"/>
  <c r="D12" i="10" s="1"/>
  <c r="L12" i="10" a="1"/>
  <c r="L12" i="10" s="1"/>
  <c r="T12" i="10" a="1"/>
  <c r="T12" i="10" s="1"/>
  <c r="AB12" i="10" a="1"/>
  <c r="AB12" i="10" s="1"/>
  <c r="AJ12" i="10" a="1"/>
  <c r="AJ12" i="10" s="1"/>
  <c r="AR12" i="10" a="1"/>
  <c r="AR12" i="10" s="1"/>
  <c r="AZ12" i="10" a="1"/>
  <c r="AZ12" i="10" s="1"/>
  <c r="BH12" i="10" a="1"/>
  <c r="BH12" i="10" s="1"/>
  <c r="BP12" i="10" a="1"/>
  <c r="BP12" i="10" s="1"/>
  <c r="BX12" i="10" a="1"/>
  <c r="BX12" i="10" s="1"/>
  <c r="D16" i="10" a="1"/>
  <c r="D16" i="10" s="1"/>
  <c r="L16" i="10" a="1"/>
  <c r="L16" i="10" s="1"/>
  <c r="T16" i="10" a="1"/>
  <c r="T16" i="10" s="1"/>
  <c r="AB16" i="10" a="1"/>
  <c r="AB16" i="10" s="1"/>
  <c r="AJ16" i="10" a="1"/>
  <c r="AJ16" i="10" s="1"/>
  <c r="AR16" i="10" a="1"/>
  <c r="AR16" i="10" s="1"/>
  <c r="AZ16" i="10" a="1"/>
  <c r="AZ16" i="10" s="1"/>
  <c r="BH16" i="10" a="1"/>
  <c r="BH16" i="10" s="1"/>
  <c r="BP16" i="10" a="1"/>
  <c r="BP16" i="10" s="1"/>
  <c r="BX16" i="10" a="1"/>
  <c r="BX16" i="10" s="1"/>
  <c r="K20" i="10" a="1"/>
  <c r="K20" i="10" s="1"/>
  <c r="S20" i="10" a="1"/>
  <c r="S20" i="10" s="1"/>
  <c r="AA20" i="10" a="1"/>
  <c r="AA20" i="10" s="1"/>
  <c r="AI20" i="10" a="1"/>
  <c r="AI20" i="10" s="1"/>
  <c r="E5" i="10" a="1"/>
  <c r="E5" i="10" s="1"/>
  <c r="M5" i="10" a="1"/>
  <c r="M5" i="10" s="1"/>
  <c r="U5" i="10" a="1"/>
  <c r="U5" i="10" s="1"/>
  <c r="AC5" i="10" a="1"/>
  <c r="AC5" i="10" s="1"/>
  <c r="AK5" i="10" a="1"/>
  <c r="AK5" i="10" s="1"/>
  <c r="AS5" i="10" a="1"/>
  <c r="AS5" i="10" s="1"/>
  <c r="BA5" i="10" a="1"/>
  <c r="BA5" i="10" s="1"/>
  <c r="BI5" i="10" a="1"/>
  <c r="BI5" i="10" s="1"/>
  <c r="BQ5" i="10" a="1"/>
  <c r="BQ5" i="10" s="1"/>
  <c r="BY5" i="10" a="1"/>
  <c r="BY5" i="10" s="1"/>
  <c r="E12" i="10" a="1"/>
  <c r="E12" i="10" s="1"/>
  <c r="M12" i="10" a="1"/>
  <c r="M12" i="10" s="1"/>
  <c r="U12" i="10" a="1"/>
  <c r="U12" i="10" s="1"/>
  <c r="AC12" i="10" a="1"/>
  <c r="AC12" i="10" s="1"/>
  <c r="AK12" i="10" a="1"/>
  <c r="AK12" i="10" s="1"/>
  <c r="AS12" i="10" a="1"/>
  <c r="AS12" i="10" s="1"/>
  <c r="BA12" i="10" a="1"/>
  <c r="BA12" i="10" s="1"/>
  <c r="BI12" i="10" a="1"/>
  <c r="BI12" i="10" s="1"/>
  <c r="BQ12" i="10" a="1"/>
  <c r="BQ12" i="10" s="1"/>
  <c r="BY12" i="10" a="1"/>
  <c r="BY12" i="10" s="1"/>
  <c r="E16" i="10" a="1"/>
  <c r="E16" i="10" s="1"/>
  <c r="M16" i="10" a="1"/>
  <c r="M16" i="10" s="1"/>
  <c r="U16" i="10" a="1"/>
  <c r="U16" i="10" s="1"/>
  <c r="AC16" i="10" a="1"/>
  <c r="AC16" i="10" s="1"/>
  <c r="AK16" i="10" a="1"/>
  <c r="AK16" i="10" s="1"/>
  <c r="AS16" i="10" a="1"/>
  <c r="AS16" i="10" s="1"/>
  <c r="BA16" i="10" a="1"/>
  <c r="BA16" i="10" s="1"/>
  <c r="BI16" i="10" a="1"/>
  <c r="BI16" i="10" s="1"/>
  <c r="BQ16" i="10" a="1"/>
  <c r="BQ16" i="10" s="1"/>
  <c r="BY16" i="10" a="1"/>
  <c r="BY16" i="10" s="1"/>
  <c r="D20" i="10" a="1"/>
  <c r="D20" i="10" s="1"/>
  <c r="L20" i="10" a="1"/>
  <c r="L20" i="10" s="1"/>
  <c r="T20" i="10" a="1"/>
  <c r="T20" i="10" s="1"/>
  <c r="AB20" i="10" a="1"/>
  <c r="AB20" i="10" s="1"/>
  <c r="AJ20" i="10" a="1"/>
  <c r="AJ20" i="10" s="1"/>
  <c r="AR20" i="10" a="1"/>
  <c r="AR20" i="10" s="1"/>
  <c r="AZ20" i="10" a="1"/>
  <c r="AZ20" i="10" s="1"/>
  <c r="BH20" i="10" a="1"/>
  <c r="BH20" i="10" s="1"/>
  <c r="BP20" i="10" a="1"/>
  <c r="BP20" i="10" s="1"/>
  <c r="BX20" i="10" a="1"/>
  <c r="BX20" i="10" s="1"/>
  <c r="F5" i="10" a="1"/>
  <c r="F5" i="10" s="1"/>
  <c r="N5" i="10" a="1"/>
  <c r="N5" i="10" s="1"/>
  <c r="V5" i="10" a="1"/>
  <c r="V5" i="10" s="1"/>
  <c r="AD5" i="10" a="1"/>
  <c r="AD5" i="10" s="1"/>
  <c r="AL5" i="10" a="1"/>
  <c r="AL5" i="10" s="1"/>
  <c r="AT5" i="10" a="1"/>
  <c r="AT5" i="10" s="1"/>
  <c r="BB5" i="10" a="1"/>
  <c r="BB5" i="10" s="1"/>
  <c r="BJ5" i="10" a="1"/>
  <c r="BJ5" i="10" s="1"/>
  <c r="BR5" i="10" a="1"/>
  <c r="BR5" i="10" s="1"/>
  <c r="BZ5" i="10" a="1"/>
  <c r="BZ5" i="10" s="1"/>
  <c r="F12" i="10" a="1"/>
  <c r="F12" i="10" s="1"/>
  <c r="N12" i="10" a="1"/>
  <c r="N12" i="10" s="1"/>
  <c r="V12" i="10" a="1"/>
  <c r="V12" i="10" s="1"/>
  <c r="AD12" i="10" a="1"/>
  <c r="AD12" i="10" s="1"/>
  <c r="AL12" i="10" a="1"/>
  <c r="AL12" i="10" s="1"/>
  <c r="AT12" i="10" a="1"/>
  <c r="AT12" i="10" s="1"/>
  <c r="BB12" i="10" a="1"/>
  <c r="BB12" i="10" s="1"/>
  <c r="BJ12" i="10" a="1"/>
  <c r="BJ12" i="10" s="1"/>
  <c r="BR12" i="10" a="1"/>
  <c r="BR12" i="10" s="1"/>
  <c r="BZ12" i="10" a="1"/>
  <c r="BZ12" i="10" s="1"/>
  <c r="F16" i="10" a="1"/>
  <c r="F16" i="10" s="1"/>
  <c r="N16" i="10" a="1"/>
  <c r="N16" i="10" s="1"/>
  <c r="V16" i="10" a="1"/>
  <c r="V16" i="10" s="1"/>
  <c r="AD16" i="10" a="1"/>
  <c r="AD16" i="10" s="1"/>
  <c r="AL16" i="10" a="1"/>
  <c r="AL16" i="10" s="1"/>
  <c r="AT16" i="10" a="1"/>
  <c r="AT16" i="10" s="1"/>
  <c r="BB16" i="10" a="1"/>
  <c r="BB16" i="10" s="1"/>
  <c r="BJ16" i="10" a="1"/>
  <c r="BJ16" i="10" s="1"/>
  <c r="BR16" i="10" a="1"/>
  <c r="BR16" i="10" s="1"/>
  <c r="BZ16" i="10" a="1"/>
  <c r="BZ16" i="10" s="1"/>
  <c r="G5" i="10" a="1"/>
  <c r="G5" i="10" s="1"/>
  <c r="O5" i="10" a="1"/>
  <c r="O5" i="10" s="1"/>
  <c r="W5" i="10" a="1"/>
  <c r="W5" i="10" s="1"/>
  <c r="AE5" i="10" a="1"/>
  <c r="AE5" i="10" s="1"/>
  <c r="AM5" i="10" a="1"/>
  <c r="AM5" i="10" s="1"/>
  <c r="AU5" i="10" a="1"/>
  <c r="AU5" i="10" s="1"/>
  <c r="BC5" i="10" a="1"/>
  <c r="BC5" i="10" s="1"/>
  <c r="BK5" i="10" a="1"/>
  <c r="BK5" i="10" s="1"/>
  <c r="BS5" i="10" a="1"/>
  <c r="BS5" i="10" s="1"/>
  <c r="CA5" i="10" a="1"/>
  <c r="CA5" i="10" s="1"/>
  <c r="G12" i="10" a="1"/>
  <c r="G12" i="10" s="1"/>
  <c r="O12" i="10" a="1"/>
  <c r="O12" i="10" s="1"/>
  <c r="W12" i="10" a="1"/>
  <c r="W12" i="10" s="1"/>
  <c r="AE12" i="10" a="1"/>
  <c r="AE12" i="10" s="1"/>
  <c r="AM12" i="10" a="1"/>
  <c r="AM12" i="10" s="1"/>
  <c r="AU12" i="10" a="1"/>
  <c r="AU12" i="10" s="1"/>
  <c r="BC12" i="10" a="1"/>
  <c r="BC12" i="10" s="1"/>
  <c r="BK12" i="10" a="1"/>
  <c r="BK12" i="10" s="1"/>
  <c r="BS12" i="10" a="1"/>
  <c r="BS12" i="10" s="1"/>
  <c r="CA12" i="10" a="1"/>
  <c r="CA12" i="10" s="1"/>
  <c r="I5" i="10" a="1"/>
  <c r="I5" i="10" s="1"/>
  <c r="Q5" i="10" a="1"/>
  <c r="Q5" i="10" s="1"/>
  <c r="Y5" i="10" a="1"/>
  <c r="Y5" i="10" s="1"/>
  <c r="AG5" i="10" a="1"/>
  <c r="AG5" i="10" s="1"/>
  <c r="AO5" i="10" a="1"/>
  <c r="AO5" i="10" s="1"/>
  <c r="AW5" i="10" a="1"/>
  <c r="AW5" i="10" s="1"/>
  <c r="BE5" i="10" a="1"/>
  <c r="BE5" i="10" s="1"/>
  <c r="BM5" i="10" a="1"/>
  <c r="BM5" i="10" s="1"/>
  <c r="BU5" i="10" a="1"/>
  <c r="BU5" i="10" s="1"/>
  <c r="CC5" i="10" a="1"/>
  <c r="CC5" i="10" s="1"/>
  <c r="I12" i="10" a="1"/>
  <c r="I12" i="10" s="1"/>
  <c r="Q12" i="10" a="1"/>
  <c r="Q12" i="10" s="1"/>
  <c r="Y12" i="10" a="1"/>
  <c r="Y12" i="10" s="1"/>
  <c r="AG12" i="10" a="1"/>
  <c r="AG12" i="10" s="1"/>
  <c r="AO12" i="10" a="1"/>
  <c r="AO12" i="10" s="1"/>
  <c r="AW12" i="10" a="1"/>
  <c r="AW12" i="10" s="1"/>
  <c r="BE12" i="10" a="1"/>
  <c r="BE12" i="10" s="1"/>
  <c r="BM12" i="10" a="1"/>
  <c r="BM12" i="10" s="1"/>
  <c r="BU12" i="10" a="1"/>
  <c r="BU12" i="10" s="1"/>
  <c r="CC12" i="10" a="1"/>
  <c r="CC12" i="10" s="1"/>
  <c r="I16" i="10" a="1"/>
  <c r="I16" i="10" s="1"/>
  <c r="Q16" i="10" a="1"/>
  <c r="Q16" i="10" s="1"/>
  <c r="Y16" i="10" a="1"/>
  <c r="Y16" i="10" s="1"/>
  <c r="AG16" i="10" a="1"/>
  <c r="AG16" i="10" s="1"/>
  <c r="AO16" i="10" a="1"/>
  <c r="AO16" i="10" s="1"/>
  <c r="AW16" i="10" a="1"/>
  <c r="AW16" i="10" s="1"/>
  <c r="BE16" i="10" a="1"/>
  <c r="BE16" i="10" s="1"/>
  <c r="BM16" i="10" a="1"/>
  <c r="BM16" i="10" s="1"/>
  <c r="BU16" i="10" a="1"/>
  <c r="BU16" i="10" s="1"/>
  <c r="CC16" i="10" a="1"/>
  <c r="CC16" i="10" s="1"/>
  <c r="H20" i="10" a="1"/>
  <c r="H20" i="10" s="1"/>
  <c r="P20" i="10" a="1"/>
  <c r="P20" i="10" s="1"/>
  <c r="X20" i="10" a="1"/>
  <c r="X20" i="10" s="1"/>
  <c r="AF20" i="10" a="1"/>
  <c r="AF20" i="10" s="1"/>
  <c r="AN20" i="10" a="1"/>
  <c r="AN20" i="10" s="1"/>
  <c r="AV20" i="10" a="1"/>
  <c r="AV20" i="10" s="1"/>
  <c r="BD20" i="10" a="1"/>
  <c r="BD20" i="10" s="1"/>
  <c r="BL20" i="10" a="1"/>
  <c r="BL20" i="10" s="1"/>
  <c r="BT20" i="10" a="1"/>
  <c r="BT20" i="10" s="1"/>
  <c r="CB20" i="10" a="1"/>
  <c r="CB20" i="10" s="1"/>
  <c r="AF5" i="10" a="1"/>
  <c r="AF5" i="10" s="1"/>
  <c r="AF12" i="10" a="1"/>
  <c r="AF12" i="10" s="1"/>
  <c r="G16" i="10" a="1"/>
  <c r="G16" i="10" s="1"/>
  <c r="AM16" i="10" a="1"/>
  <c r="AM16" i="10" s="1"/>
  <c r="BS16" i="10" a="1"/>
  <c r="BS16" i="10" s="1"/>
  <c r="U20" i="10" a="1"/>
  <c r="U20" i="10" s="1"/>
  <c r="AM20" i="10" a="1"/>
  <c r="AM20" i="10" s="1"/>
  <c r="BC20" i="10" a="1"/>
  <c r="BC20" i="10" s="1"/>
  <c r="BS20" i="10" a="1"/>
  <c r="BS20" i="10" s="1"/>
  <c r="I24" i="10" a="1"/>
  <c r="I24" i="10" s="1"/>
  <c r="S24" i="10" a="1"/>
  <c r="S24" i="10" s="1"/>
  <c r="AB24" i="10" a="1"/>
  <c r="AB24" i="10" s="1"/>
  <c r="AK24" i="10" a="1"/>
  <c r="AK24" i="10" s="1"/>
  <c r="AT24" i="10" a="1"/>
  <c r="AT24" i="10" s="1"/>
  <c r="BC24" i="10" a="1"/>
  <c r="BC24" i="10" s="1"/>
  <c r="BK24" i="10" a="1"/>
  <c r="BK24" i="10" s="1"/>
  <c r="BS24" i="10" a="1"/>
  <c r="BS24" i="10" s="1"/>
  <c r="CA24" i="10" a="1"/>
  <c r="CA24" i="10" s="1"/>
  <c r="G29" i="10" a="1"/>
  <c r="G29" i="10" s="1"/>
  <c r="O29" i="10" a="1"/>
  <c r="O29" i="10" s="1"/>
  <c r="W29" i="10" a="1"/>
  <c r="W29" i="10" s="1"/>
  <c r="AE29" i="10" a="1"/>
  <c r="AE29" i="10" s="1"/>
  <c r="AM29" i="10" a="1"/>
  <c r="AM29" i="10" s="1"/>
  <c r="AU29" i="10" a="1"/>
  <c r="AU29" i="10" s="1"/>
  <c r="BC29" i="10" a="1"/>
  <c r="BC29" i="10" s="1"/>
  <c r="BK29" i="10" a="1"/>
  <c r="BK29" i="10" s="1"/>
  <c r="BS29" i="10" a="1"/>
  <c r="BS29" i="10" s="1"/>
  <c r="CA29" i="10" a="1"/>
  <c r="CA29" i="10" s="1"/>
  <c r="G33" i="10" a="1"/>
  <c r="G33" i="10" s="1"/>
  <c r="O33" i="10" a="1"/>
  <c r="O33" i="10" s="1"/>
  <c r="W33" i="10" a="1"/>
  <c r="W33" i="10" s="1"/>
  <c r="AE33" i="10" a="1"/>
  <c r="AE33" i="10" s="1"/>
  <c r="AM33" i="10" a="1"/>
  <c r="AM33" i="10" s="1"/>
  <c r="AU33" i="10" a="1"/>
  <c r="AU33" i="10" s="1"/>
  <c r="BC33" i="10" a="1"/>
  <c r="BC33" i="10" s="1"/>
  <c r="BK33" i="10" a="1"/>
  <c r="BK33" i="10" s="1"/>
  <c r="BS33" i="10" a="1"/>
  <c r="BS33" i="10" s="1"/>
  <c r="CA33" i="10" a="1"/>
  <c r="CA33" i="10" s="1"/>
  <c r="AN5" i="10" a="1"/>
  <c r="AN5" i="10" s="1"/>
  <c r="AN12" i="10" a="1"/>
  <c r="AN12" i="10" s="1"/>
  <c r="H16" i="10" a="1"/>
  <c r="H16" i="10" s="1"/>
  <c r="AN16" i="10" a="1"/>
  <c r="AN16" i="10" s="1"/>
  <c r="BT16" i="10" a="1"/>
  <c r="BT16" i="10" s="1"/>
  <c r="V20" i="10" a="1"/>
  <c r="V20" i="10" s="1"/>
  <c r="AQ20" i="10" a="1"/>
  <c r="AQ20" i="10" s="1"/>
  <c r="BG20" i="10" a="1"/>
  <c r="BG20" i="10" s="1"/>
  <c r="BW20" i="10" a="1"/>
  <c r="BW20" i="10" s="1"/>
  <c r="K24" i="10" a="1"/>
  <c r="K24" i="10" s="1"/>
  <c r="T24" i="10" a="1"/>
  <c r="T24" i="10" s="1"/>
  <c r="AC24" i="10" a="1"/>
  <c r="AC24" i="10" s="1"/>
  <c r="AL24" i="10" a="1"/>
  <c r="AL24" i="10" s="1"/>
  <c r="AU24" i="10" a="1"/>
  <c r="AU24" i="10" s="1"/>
  <c r="BD24" i="10" a="1"/>
  <c r="BD24" i="10" s="1"/>
  <c r="BL24" i="10" a="1"/>
  <c r="BL24" i="10" s="1"/>
  <c r="BT24" i="10" a="1"/>
  <c r="BT24" i="10" s="1"/>
  <c r="CB24" i="10" a="1"/>
  <c r="CB24" i="10" s="1"/>
  <c r="H29" i="10" a="1"/>
  <c r="H29" i="10" s="1"/>
  <c r="P29" i="10" a="1"/>
  <c r="P29" i="10" s="1"/>
  <c r="X29" i="10" a="1"/>
  <c r="X29" i="10" s="1"/>
  <c r="AF29" i="10" a="1"/>
  <c r="AF29" i="10" s="1"/>
  <c r="AN29" i="10" a="1"/>
  <c r="AN29" i="10" s="1"/>
  <c r="AV29" i="10" a="1"/>
  <c r="AV29" i="10" s="1"/>
  <c r="BD29" i="10" a="1"/>
  <c r="BD29" i="10" s="1"/>
  <c r="BL29" i="10" a="1"/>
  <c r="BL29" i="10" s="1"/>
  <c r="BT29" i="10" a="1"/>
  <c r="BT29" i="10" s="1"/>
  <c r="CB29" i="10" a="1"/>
  <c r="CB29" i="10" s="1"/>
  <c r="H33" i="10" a="1"/>
  <c r="H33" i="10" s="1"/>
  <c r="P33" i="10" a="1"/>
  <c r="P33" i="10" s="1"/>
  <c r="X33" i="10" a="1"/>
  <c r="X33" i="10" s="1"/>
  <c r="AF33" i="10" a="1"/>
  <c r="AF33" i="10" s="1"/>
  <c r="AN33" i="10" a="1"/>
  <c r="AN33" i="10" s="1"/>
  <c r="AV33" i="10" a="1"/>
  <c r="AV33" i="10" s="1"/>
  <c r="BD33" i="10" a="1"/>
  <c r="BD33" i="10" s="1"/>
  <c r="BL33" i="10" a="1"/>
  <c r="BL33" i="10" s="1"/>
  <c r="BT33" i="10" a="1"/>
  <c r="BT33" i="10" s="1"/>
  <c r="CB33" i="10" a="1"/>
  <c r="CB33" i="10" s="1"/>
  <c r="H37" i="10" a="1"/>
  <c r="H37" i="10" s="1"/>
  <c r="P37" i="10" a="1"/>
  <c r="P37" i="10" s="1"/>
  <c r="X37" i="10" a="1"/>
  <c r="X37" i="10" s="1"/>
  <c r="AF37" i="10" a="1"/>
  <c r="AF37" i="10" s="1"/>
  <c r="AN37" i="10" a="1"/>
  <c r="AN37" i="10" s="1"/>
  <c r="AV37" i="10" a="1"/>
  <c r="AV37" i="10" s="1"/>
  <c r="BD37" i="10" a="1"/>
  <c r="BD37" i="10" s="1"/>
  <c r="BL37" i="10" a="1"/>
  <c r="BL37" i="10" s="1"/>
  <c r="BT37" i="10" a="1"/>
  <c r="BT37" i="10" s="1"/>
  <c r="CB37" i="10" a="1"/>
  <c r="CB37" i="10" s="1"/>
  <c r="AV5" i="10" a="1"/>
  <c r="AV5" i="10" s="1"/>
  <c r="AV12" i="10" a="1"/>
  <c r="AV12" i="10" s="1"/>
  <c r="O16" i="10" a="1"/>
  <c r="O16" i="10" s="1"/>
  <c r="AU16" i="10" a="1"/>
  <c r="AU16" i="10" s="1"/>
  <c r="CA16" i="10" a="1"/>
  <c r="CA16" i="10" s="1"/>
  <c r="E20" i="10" a="1"/>
  <c r="E20" i="10" s="1"/>
  <c r="W20" i="10" a="1"/>
  <c r="W20" i="10" s="1"/>
  <c r="AS20" i="10" a="1"/>
  <c r="AS20" i="10" s="1"/>
  <c r="BI20" i="10" a="1"/>
  <c r="BI20" i="10" s="1"/>
  <c r="BY20" i="10" a="1"/>
  <c r="BY20" i="10" s="1"/>
  <c r="L24" i="10" a="1"/>
  <c r="L24" i="10" s="1"/>
  <c r="U24" i="10" a="1"/>
  <c r="U24" i="10" s="1"/>
  <c r="AD24" i="10" a="1"/>
  <c r="AD24" i="10" s="1"/>
  <c r="AM24" i="10" a="1"/>
  <c r="AM24" i="10" s="1"/>
  <c r="AV24" i="10" a="1"/>
  <c r="AV24" i="10" s="1"/>
  <c r="BE24" i="10" a="1"/>
  <c r="BE24" i="10" s="1"/>
  <c r="BM24" i="10" a="1"/>
  <c r="BM24" i="10" s="1"/>
  <c r="BU24" i="10" a="1"/>
  <c r="BU24" i="10" s="1"/>
  <c r="CC24" i="10" a="1"/>
  <c r="CC24" i="10" s="1"/>
  <c r="BD5" i="10" a="1"/>
  <c r="BD5" i="10" s="1"/>
  <c r="BD12" i="10" a="1"/>
  <c r="BD12" i="10" s="1"/>
  <c r="P16" i="10" a="1"/>
  <c r="P16" i="10" s="1"/>
  <c r="AV16" i="10" a="1"/>
  <c r="AV16" i="10" s="1"/>
  <c r="CB16" i="10" a="1"/>
  <c r="CB16" i="10" s="1"/>
  <c r="F20" i="10" a="1"/>
  <c r="F20" i="10" s="1"/>
  <c r="AC20" i="10" a="1"/>
  <c r="AC20" i="10" s="1"/>
  <c r="AT20" i="10" a="1"/>
  <c r="AT20" i="10" s="1"/>
  <c r="BJ20" i="10" a="1"/>
  <c r="BJ20" i="10" s="1"/>
  <c r="BZ20" i="10" a="1"/>
  <c r="BZ20" i="10" s="1"/>
  <c r="D24" i="10" a="1"/>
  <c r="D24" i="10" s="1"/>
  <c r="M24" i="10" a="1"/>
  <c r="M24" i="10" s="1"/>
  <c r="V24" i="10" a="1"/>
  <c r="V24" i="10" s="1"/>
  <c r="AE24" i="10" a="1"/>
  <c r="AE24" i="10" s="1"/>
  <c r="AN24" i="10" a="1"/>
  <c r="AN24" i="10" s="1"/>
  <c r="AW24" i="10" a="1"/>
  <c r="AW24" i="10" s="1"/>
  <c r="BF24" i="10" a="1"/>
  <c r="BF24" i="10" s="1"/>
  <c r="BN24" i="10" a="1"/>
  <c r="BN24" i="10" s="1"/>
  <c r="BV24" i="10" a="1"/>
  <c r="BV24" i="10" s="1"/>
  <c r="CD24" i="10" a="1"/>
  <c r="CD24" i="10" s="1"/>
  <c r="J29" i="10" a="1"/>
  <c r="J29" i="10" s="1"/>
  <c r="R29" i="10" a="1"/>
  <c r="R29" i="10" s="1"/>
  <c r="Z29" i="10" a="1"/>
  <c r="Z29" i="10" s="1"/>
  <c r="AH29" i="10" a="1"/>
  <c r="AH29" i="10" s="1"/>
  <c r="AP29" i="10" a="1"/>
  <c r="AP29" i="10" s="1"/>
  <c r="AX29" i="10" a="1"/>
  <c r="AX29" i="10" s="1"/>
  <c r="BF29" i="10" a="1"/>
  <c r="BF29" i="10" s="1"/>
  <c r="BN29" i="10" a="1"/>
  <c r="BN29" i="10" s="1"/>
  <c r="BV29" i="10" a="1"/>
  <c r="BV29" i="10" s="1"/>
  <c r="CD29" i="10" a="1"/>
  <c r="CD29" i="10" s="1"/>
  <c r="J33" i="10" a="1"/>
  <c r="J33" i="10" s="1"/>
  <c r="R33" i="10" a="1"/>
  <c r="R33" i="10" s="1"/>
  <c r="Z33" i="10" a="1"/>
  <c r="Z33" i="10" s="1"/>
  <c r="AH33" i="10" a="1"/>
  <c r="AH33" i="10" s="1"/>
  <c r="AP33" i="10" a="1"/>
  <c r="AP33" i="10" s="1"/>
  <c r="AX33" i="10" a="1"/>
  <c r="AX33" i="10" s="1"/>
  <c r="BF33" i="10" a="1"/>
  <c r="BF33" i="10" s="1"/>
  <c r="BN33" i="10" a="1"/>
  <c r="BN33" i="10" s="1"/>
  <c r="BL5" i="10" a="1"/>
  <c r="BL5" i="10" s="1"/>
  <c r="BL12" i="10" a="1"/>
  <c r="BL12" i="10" s="1"/>
  <c r="W16" i="10" a="1"/>
  <c r="W16" i="10" s="1"/>
  <c r="BC16" i="10" a="1"/>
  <c r="BC16" i="10" s="1"/>
  <c r="G20" i="10" a="1"/>
  <c r="G20" i="10" s="1"/>
  <c r="AD20" i="10" a="1"/>
  <c r="AD20" i="10" s="1"/>
  <c r="AU20" i="10" a="1"/>
  <c r="AU20" i="10" s="1"/>
  <c r="BK20" i="10" a="1"/>
  <c r="BK20" i="10" s="1"/>
  <c r="CA20" i="10" a="1"/>
  <c r="CA20" i="10" s="1"/>
  <c r="E24" i="10" a="1"/>
  <c r="E24" i="10" s="1"/>
  <c r="N24" i="10" a="1"/>
  <c r="N24" i="10" s="1"/>
  <c r="W24" i="10" a="1"/>
  <c r="W24" i="10" s="1"/>
  <c r="AF24" i="10" a="1"/>
  <c r="AF24" i="10" s="1"/>
  <c r="AO24" i="10" a="1"/>
  <c r="AO24" i="10" s="1"/>
  <c r="AY24" i="10" a="1"/>
  <c r="AY24" i="10" s="1"/>
  <c r="BG24" i="10" a="1"/>
  <c r="BG24" i="10" s="1"/>
  <c r="BO24" i="10" a="1"/>
  <c r="BO24" i="10" s="1"/>
  <c r="BW24" i="10" a="1"/>
  <c r="BW24" i="10" s="1"/>
  <c r="CE24" i="10" a="1"/>
  <c r="CE24" i="10" s="1"/>
  <c r="K29" i="10" a="1"/>
  <c r="K29" i="10" s="1"/>
  <c r="S29" i="10" a="1"/>
  <c r="S29" i="10" s="1"/>
  <c r="AA29" i="10" a="1"/>
  <c r="AA29" i="10" s="1"/>
  <c r="AI29" i="10" a="1"/>
  <c r="AI29" i="10" s="1"/>
  <c r="AQ29" i="10" a="1"/>
  <c r="AQ29" i="10" s="1"/>
  <c r="AY29" i="10" a="1"/>
  <c r="AY29" i="10" s="1"/>
  <c r="BG29" i="10" a="1"/>
  <c r="BG29" i="10" s="1"/>
  <c r="BO29" i="10" a="1"/>
  <c r="BO29" i="10" s="1"/>
  <c r="BW29" i="10" a="1"/>
  <c r="BW29" i="10" s="1"/>
  <c r="CE29" i="10" a="1"/>
  <c r="CE29" i="10" s="1"/>
  <c r="K33" i="10" a="1"/>
  <c r="K33" i="10" s="1"/>
  <c r="S33" i="10" a="1"/>
  <c r="S33" i="10" s="1"/>
  <c r="AA33" i="10" a="1"/>
  <c r="AA33" i="10" s="1"/>
  <c r="AI33" i="10" a="1"/>
  <c r="AI33" i="10" s="1"/>
  <c r="H5" i="10" a="1"/>
  <c r="H5" i="10" s="1"/>
  <c r="BT5" i="10" a="1"/>
  <c r="BT5" i="10" s="1"/>
  <c r="H12" i="10" a="1"/>
  <c r="H12" i="10" s="1"/>
  <c r="BT12" i="10" a="1"/>
  <c r="BT12" i="10" s="1"/>
  <c r="X16" i="10" a="1"/>
  <c r="X16" i="10" s="1"/>
  <c r="BD16" i="10" a="1"/>
  <c r="BD16" i="10" s="1"/>
  <c r="M20" i="10" a="1"/>
  <c r="M20" i="10" s="1"/>
  <c r="AE20" i="10" a="1"/>
  <c r="AE20" i="10" s="1"/>
  <c r="AY20" i="10" a="1"/>
  <c r="AY20" i="10" s="1"/>
  <c r="BO20" i="10" a="1"/>
  <c r="BO20" i="10" s="1"/>
  <c r="CE20" i="10" a="1"/>
  <c r="CE20" i="10" s="1"/>
  <c r="F24" i="10" a="1"/>
  <c r="F24" i="10" s="1"/>
  <c r="O24" i="10" a="1"/>
  <c r="O24" i="10" s="1"/>
  <c r="X24" i="10" a="1"/>
  <c r="X24" i="10" s="1"/>
  <c r="AG24" i="10" a="1"/>
  <c r="AG24" i="10" s="1"/>
  <c r="AQ24" i="10" a="1"/>
  <c r="AQ24" i="10" s="1"/>
  <c r="AZ24" i="10" a="1"/>
  <c r="AZ24" i="10" s="1"/>
  <c r="BH24" i="10" a="1"/>
  <c r="BH24" i="10" s="1"/>
  <c r="BP24" i="10" a="1"/>
  <c r="BP24" i="10" s="1"/>
  <c r="BX24" i="10" a="1"/>
  <c r="BX24" i="10" s="1"/>
  <c r="D29" i="10" a="1"/>
  <c r="D29" i="10" s="1"/>
  <c r="L29" i="10" a="1"/>
  <c r="L29" i="10" s="1"/>
  <c r="T29" i="10" a="1"/>
  <c r="T29" i="10" s="1"/>
  <c r="AB29" i="10" a="1"/>
  <c r="AB29" i="10" s="1"/>
  <c r="AJ29" i="10" a="1"/>
  <c r="AJ29" i="10" s="1"/>
  <c r="AR29" i="10" a="1"/>
  <c r="AR29" i="10" s="1"/>
  <c r="AZ29" i="10" a="1"/>
  <c r="AZ29" i="10" s="1"/>
  <c r="BH29" i="10" a="1"/>
  <c r="BH29" i="10" s="1"/>
  <c r="BP29" i="10" a="1"/>
  <c r="BP29" i="10" s="1"/>
  <c r="BX29" i="10" a="1"/>
  <c r="BX29" i="10" s="1"/>
  <c r="D33" i="10" a="1"/>
  <c r="D33" i="10" s="1"/>
  <c r="L33" i="10" a="1"/>
  <c r="L33" i="10" s="1"/>
  <c r="T33" i="10" a="1"/>
  <c r="T33" i="10" s="1"/>
  <c r="AB33" i="10" a="1"/>
  <c r="AB33" i="10" s="1"/>
  <c r="AJ33" i="10" a="1"/>
  <c r="AJ33" i="10" s="1"/>
  <c r="AR33" i="10" a="1"/>
  <c r="AR33" i="10" s="1"/>
  <c r="AZ33" i="10" a="1"/>
  <c r="AZ33" i="10" s="1"/>
  <c r="BH33" i="10" a="1"/>
  <c r="BH33" i="10" s="1"/>
  <c r="BP33" i="10" a="1"/>
  <c r="BP33" i="10" s="1"/>
  <c r="BX33" i="10" a="1"/>
  <c r="BX33" i="10" s="1"/>
  <c r="D37" i="10" a="1"/>
  <c r="D37" i="10" s="1"/>
  <c r="X5" i="10" a="1"/>
  <c r="X5" i="10" s="1"/>
  <c r="X12" i="10" a="1"/>
  <c r="X12" i="10" s="1"/>
  <c r="AF16" i="10" a="1"/>
  <c r="AF16" i="10" s="1"/>
  <c r="BL16" i="10" a="1"/>
  <c r="BL16" i="10" s="1"/>
  <c r="O20" i="10" a="1"/>
  <c r="O20" i="10" s="1"/>
  <c r="AL20" i="10" a="1"/>
  <c r="AL20" i="10" s="1"/>
  <c r="BB20" i="10" a="1"/>
  <c r="BB20" i="10" s="1"/>
  <c r="BR20" i="10" a="1"/>
  <c r="BR20" i="10" s="1"/>
  <c r="H24" i="10" a="1"/>
  <c r="H24" i="10" s="1"/>
  <c r="Q24" i="10" a="1"/>
  <c r="Q24" i="10" s="1"/>
  <c r="AA24" i="10" a="1"/>
  <c r="AA24" i="10" s="1"/>
  <c r="AJ24" i="10" a="1"/>
  <c r="AJ24" i="10" s="1"/>
  <c r="AS24" i="10" a="1"/>
  <c r="AS24" i="10" s="1"/>
  <c r="BB24" i="10" a="1"/>
  <c r="BB24" i="10" s="1"/>
  <c r="BJ24" i="10" a="1"/>
  <c r="BJ24" i="10" s="1"/>
  <c r="BR24" i="10" a="1"/>
  <c r="BR24" i="10" s="1"/>
  <c r="BZ24" i="10" a="1"/>
  <c r="BZ24" i="10" s="1"/>
  <c r="F29" i="10" a="1"/>
  <c r="F29" i="10" s="1"/>
  <c r="N29" i="10" a="1"/>
  <c r="N29" i="10" s="1"/>
  <c r="V29" i="10" a="1"/>
  <c r="V29" i="10" s="1"/>
  <c r="AD29" i="10" a="1"/>
  <c r="AD29" i="10" s="1"/>
  <c r="AL29" i="10" a="1"/>
  <c r="AL29" i="10" s="1"/>
  <c r="AT29" i="10" a="1"/>
  <c r="AT29" i="10" s="1"/>
  <c r="BB29" i="10" a="1"/>
  <c r="BB29" i="10" s="1"/>
  <c r="BJ29" i="10" a="1"/>
  <c r="BJ29" i="10" s="1"/>
  <c r="BR29" i="10" a="1"/>
  <c r="BR29" i="10" s="1"/>
  <c r="BZ29" i="10" a="1"/>
  <c r="BZ29" i="10" s="1"/>
  <c r="F33" i="10" a="1"/>
  <c r="F33" i="10" s="1"/>
  <c r="N33" i="10" a="1"/>
  <c r="N33" i="10" s="1"/>
  <c r="V33" i="10" a="1"/>
  <c r="V33" i="10" s="1"/>
  <c r="AD33" i="10" a="1"/>
  <c r="AD33" i="10" s="1"/>
  <c r="AL33" i="10" a="1"/>
  <c r="AL33" i="10" s="1"/>
  <c r="AT33" i="10" a="1"/>
  <c r="AT33" i="10" s="1"/>
  <c r="BB33" i="10" a="1"/>
  <c r="BB33" i="10" s="1"/>
  <c r="BJ33" i="10" a="1"/>
  <c r="BJ33" i="10" s="1"/>
  <c r="BR33" i="10" a="1"/>
  <c r="BR33" i="10" s="1"/>
  <c r="BZ33" i="10" a="1"/>
  <c r="BZ33" i="10" s="1"/>
  <c r="F37" i="10" a="1"/>
  <c r="F37" i="10" s="1"/>
  <c r="N37" i="10" a="1"/>
  <c r="N37" i="10" s="1"/>
  <c r="V37" i="10" a="1"/>
  <c r="V37" i="10" s="1"/>
  <c r="AD37" i="10" a="1"/>
  <c r="AD37" i="10" s="1"/>
  <c r="P12" i="10" a="1"/>
  <c r="P12" i="10" s="1"/>
  <c r="BA24" i="10" a="1"/>
  <c r="BA24" i="10" s="1"/>
  <c r="Q29" i="10" a="1"/>
  <c r="Q29" i="10" s="1"/>
  <c r="AW29" i="10" a="1"/>
  <c r="AW29" i="10" s="1"/>
  <c r="CC29" i="10" a="1"/>
  <c r="CC29" i="10" s="1"/>
  <c r="Q33" i="10" a="1"/>
  <c r="Q33" i="10" s="1"/>
  <c r="AS33" i="10" a="1"/>
  <c r="AS33" i="10" s="1"/>
  <c r="BO33" i="10" a="1"/>
  <c r="BO33" i="10" s="1"/>
  <c r="CE33" i="10" a="1"/>
  <c r="CE33" i="10" s="1"/>
  <c r="E37" i="10" a="1"/>
  <c r="E37" i="10" s="1"/>
  <c r="Q37" i="10" a="1"/>
  <c r="Q37" i="10" s="1"/>
  <c r="AA37" i="10" a="1"/>
  <c r="AA37" i="10" s="1"/>
  <c r="AK37" i="10" a="1"/>
  <c r="AK37" i="10" s="1"/>
  <c r="AT37" i="10" a="1"/>
  <c r="AT37" i="10" s="1"/>
  <c r="BC37" i="10" a="1"/>
  <c r="BC37" i="10" s="1"/>
  <c r="BM37" i="10" a="1"/>
  <c r="BM37" i="10" s="1"/>
  <c r="BV37" i="10" a="1"/>
  <c r="BV37" i="10" s="1"/>
  <c r="CE37" i="10" a="1"/>
  <c r="CE37" i="10" s="1"/>
  <c r="H41" i="10" a="1"/>
  <c r="H41" i="10" s="1"/>
  <c r="P41" i="10" a="1"/>
  <c r="P41" i="10" s="1"/>
  <c r="X41" i="10" a="1"/>
  <c r="X41" i="10" s="1"/>
  <c r="AF41" i="10" a="1"/>
  <c r="AF41" i="10" s="1"/>
  <c r="AN41" i="10" a="1"/>
  <c r="AN41" i="10" s="1"/>
  <c r="AV41" i="10" a="1"/>
  <c r="AV41" i="10" s="1"/>
  <c r="BD41" i="10" a="1"/>
  <c r="BD41" i="10" s="1"/>
  <c r="BL41" i="10" a="1"/>
  <c r="BL41" i="10" s="1"/>
  <c r="BT41" i="10" a="1"/>
  <c r="BT41" i="10" s="1"/>
  <c r="CB41" i="10" a="1"/>
  <c r="CB41" i="10" s="1"/>
  <c r="H46" i="10" a="1"/>
  <c r="H46" i="10" s="1"/>
  <c r="P46" i="10" a="1"/>
  <c r="P46" i="10" s="1"/>
  <c r="X46" i="10" a="1"/>
  <c r="X46" i="10" s="1"/>
  <c r="AF46" i="10" a="1"/>
  <c r="AF46" i="10" s="1"/>
  <c r="AN46" i="10" a="1"/>
  <c r="AN46" i="10" s="1"/>
  <c r="AV46" i="10" a="1"/>
  <c r="AV46" i="10" s="1"/>
  <c r="BD46" i="10" a="1"/>
  <c r="BD46" i="10" s="1"/>
  <c r="BL46" i="10" a="1"/>
  <c r="BL46" i="10" s="1"/>
  <c r="BT46" i="10" a="1"/>
  <c r="BT46" i="10" s="1"/>
  <c r="CB46" i="10" a="1"/>
  <c r="CB46" i="10" s="1"/>
  <c r="CB12" i="10" a="1"/>
  <c r="CB12" i="10" s="1"/>
  <c r="N20" i="10" a="1"/>
  <c r="N20" i="10" s="1"/>
  <c r="BI24" i="10" a="1"/>
  <c r="BI24" i="10" s="1"/>
  <c r="U29" i="10" a="1"/>
  <c r="U29" i="10" s="1"/>
  <c r="BA29" i="10" a="1"/>
  <c r="BA29" i="10" s="1"/>
  <c r="U33" i="10" a="1"/>
  <c r="U33" i="10" s="1"/>
  <c r="AW33" i="10" a="1"/>
  <c r="AW33" i="10" s="1"/>
  <c r="BQ33" i="10" a="1"/>
  <c r="BQ33" i="10" s="1"/>
  <c r="G37" i="10" a="1"/>
  <c r="G37" i="10" s="1"/>
  <c r="R37" i="10" a="1"/>
  <c r="R37" i="10" s="1"/>
  <c r="AB37" i="10" a="1"/>
  <c r="AB37" i="10" s="1"/>
  <c r="AL37" i="10" a="1"/>
  <c r="AL37" i="10" s="1"/>
  <c r="AU37" i="10" a="1"/>
  <c r="AU37" i="10" s="1"/>
  <c r="BE37" i="10" a="1"/>
  <c r="BE37" i="10" s="1"/>
  <c r="BN37" i="10" a="1"/>
  <c r="BN37" i="10" s="1"/>
  <c r="BW37" i="10" a="1"/>
  <c r="BW37" i="10" s="1"/>
  <c r="I41" i="10" a="1"/>
  <c r="I41" i="10" s="1"/>
  <c r="Q41" i="10" a="1"/>
  <c r="Q41" i="10" s="1"/>
  <c r="Y41" i="10" a="1"/>
  <c r="Y41" i="10" s="1"/>
  <c r="AG41" i="10" a="1"/>
  <c r="AG41" i="10" s="1"/>
  <c r="AO41" i="10" a="1"/>
  <c r="AO41" i="10" s="1"/>
  <c r="AW41" i="10" a="1"/>
  <c r="AW41" i="10" s="1"/>
  <c r="BE41" i="10" a="1"/>
  <c r="BE41" i="10" s="1"/>
  <c r="BM41" i="10" a="1"/>
  <c r="BM41" i="10" s="1"/>
  <c r="BU41" i="10" a="1"/>
  <c r="BU41" i="10" s="1"/>
  <c r="CC41" i="10" a="1"/>
  <c r="CC41" i="10" s="1"/>
  <c r="I46" i="10" a="1"/>
  <c r="I46" i="10" s="1"/>
  <c r="Q46" i="10" a="1"/>
  <c r="Q46" i="10" s="1"/>
  <c r="Y46" i="10" a="1"/>
  <c r="Y46" i="10" s="1"/>
  <c r="AG46" i="10" a="1"/>
  <c r="AG46" i="10" s="1"/>
  <c r="AO46" i="10" a="1"/>
  <c r="AO46" i="10" s="1"/>
  <c r="AW46" i="10" a="1"/>
  <c r="AW46" i="10" s="1"/>
  <c r="BE46" i="10" a="1"/>
  <c r="BE46" i="10" s="1"/>
  <c r="BM46" i="10" a="1"/>
  <c r="BM46" i="10" s="1"/>
  <c r="BU46" i="10" a="1"/>
  <c r="BU46" i="10" s="1"/>
  <c r="CC46" i="10" a="1"/>
  <c r="CC46" i="10" s="1"/>
  <c r="I50" i="10" a="1"/>
  <c r="I50" i="10" s="1"/>
  <c r="Q50" i="10" a="1"/>
  <c r="Q50" i="10" s="1"/>
  <c r="Y50" i="10" a="1"/>
  <c r="Y50" i="10" s="1"/>
  <c r="AG50" i="10" a="1"/>
  <c r="AG50" i="10" s="1"/>
  <c r="AO50" i="10" a="1"/>
  <c r="AO50" i="10" s="1"/>
  <c r="AW50" i="10" a="1"/>
  <c r="AW50" i="10" s="1"/>
  <c r="BE50" i="10" a="1"/>
  <c r="BE50" i="10" s="1"/>
  <c r="BM50" i="10" a="1"/>
  <c r="BM50" i="10" s="1"/>
  <c r="BU50" i="10" a="1"/>
  <c r="BU50" i="10" s="1"/>
  <c r="CC50" i="10" a="1"/>
  <c r="CC50" i="10" s="1"/>
  <c r="AK20" i="10" a="1"/>
  <c r="AK20" i="10" s="1"/>
  <c r="BQ24" i="10" a="1"/>
  <c r="BQ24" i="10" s="1"/>
  <c r="Y29" i="10" a="1"/>
  <c r="Y29" i="10" s="1"/>
  <c r="BE29" i="10" a="1"/>
  <c r="BE29" i="10" s="1"/>
  <c r="Y33" i="10" a="1"/>
  <c r="Y33" i="10" s="1"/>
  <c r="AY33" i="10" a="1"/>
  <c r="AY33" i="10" s="1"/>
  <c r="BU33" i="10" a="1"/>
  <c r="BU33" i="10" s="1"/>
  <c r="I37" i="10" a="1"/>
  <c r="I37" i="10" s="1"/>
  <c r="S37" i="10" a="1"/>
  <c r="S37" i="10" s="1"/>
  <c r="AC37" i="10" a="1"/>
  <c r="AC37" i="10" s="1"/>
  <c r="AM37" i="10" a="1"/>
  <c r="AM37" i="10" s="1"/>
  <c r="AW37" i="10" a="1"/>
  <c r="AW37" i="10" s="1"/>
  <c r="BF37" i="10" a="1"/>
  <c r="BF37" i="10" s="1"/>
  <c r="BO37" i="10" a="1"/>
  <c r="BO37" i="10" s="1"/>
  <c r="BX37" i="10" a="1"/>
  <c r="BX37" i="10" s="1"/>
  <c r="J41" i="10" a="1"/>
  <c r="J41" i="10" s="1"/>
  <c r="R41" i="10" a="1"/>
  <c r="R41" i="10" s="1"/>
  <c r="Z41" i="10" a="1"/>
  <c r="Z41" i="10" s="1"/>
  <c r="AH41" i="10" a="1"/>
  <c r="AH41" i="10" s="1"/>
  <c r="AP41" i="10" a="1"/>
  <c r="AP41" i="10" s="1"/>
  <c r="AX41" i="10" a="1"/>
  <c r="AX41" i="10" s="1"/>
  <c r="BF41" i="10" a="1"/>
  <c r="BF41" i="10" s="1"/>
  <c r="BN41" i="10" a="1"/>
  <c r="BN41" i="10" s="1"/>
  <c r="BV41" i="10" a="1"/>
  <c r="BV41" i="10" s="1"/>
  <c r="CD41" i="10" a="1"/>
  <c r="CD41" i="10" s="1"/>
  <c r="J46" i="10" a="1"/>
  <c r="J46" i="10" s="1"/>
  <c r="R46" i="10" a="1"/>
  <c r="R46" i="10" s="1"/>
  <c r="Z46" i="10" a="1"/>
  <c r="Z46" i="10" s="1"/>
  <c r="AH46" i="10" a="1"/>
  <c r="AH46" i="10" s="1"/>
  <c r="AP46" i="10" a="1"/>
  <c r="AP46" i="10" s="1"/>
  <c r="AX46" i="10" a="1"/>
  <c r="AX46" i="10" s="1"/>
  <c r="BF46" i="10" a="1"/>
  <c r="BF46" i="10" s="1"/>
  <c r="BN46" i="10" a="1"/>
  <c r="BN46" i="10" s="1"/>
  <c r="BV46" i="10" a="1"/>
  <c r="BV46" i="10" s="1"/>
  <c r="CD46" i="10" a="1"/>
  <c r="CD46" i="10" s="1"/>
  <c r="J50" i="10" a="1"/>
  <c r="J50" i="10" s="1"/>
  <c r="R50" i="10" a="1"/>
  <c r="R50" i="10" s="1"/>
  <c r="Z50" i="10" a="1"/>
  <c r="Z50" i="10" s="1"/>
  <c r="AH50" i="10" a="1"/>
  <c r="AH50" i="10" s="1"/>
  <c r="AP50" i="10" a="1"/>
  <c r="AP50" i="10" s="1"/>
  <c r="AX50" i="10" a="1"/>
  <c r="AX50" i="10" s="1"/>
  <c r="BF50" i="10" a="1"/>
  <c r="BF50" i="10" s="1"/>
  <c r="BN50" i="10" a="1"/>
  <c r="BN50" i="10" s="1"/>
  <c r="BV50" i="10" a="1"/>
  <c r="BV50" i="10" s="1"/>
  <c r="CD50" i="10" a="1"/>
  <c r="CD50" i="10" s="1"/>
  <c r="P5" i="10" a="1"/>
  <c r="P5" i="10" s="1"/>
  <c r="BA20" i="10" a="1"/>
  <c r="BA20" i="10" s="1"/>
  <c r="G24" i="10" a="1"/>
  <c r="G24" i="10" s="1"/>
  <c r="BY24" i="10" a="1"/>
  <c r="BY24" i="10" s="1"/>
  <c r="AC29" i="10" a="1"/>
  <c r="AC29" i="10" s="1"/>
  <c r="BI29" i="10" a="1"/>
  <c r="BI29" i="10" s="1"/>
  <c r="AC33" i="10" a="1"/>
  <c r="AC33" i="10" s="1"/>
  <c r="BA33" i="10" a="1"/>
  <c r="BA33" i="10" s="1"/>
  <c r="BV33" i="10" a="1"/>
  <c r="BV33" i="10" s="1"/>
  <c r="J37" i="10" a="1"/>
  <c r="J37" i="10" s="1"/>
  <c r="T37" i="10" a="1"/>
  <c r="T37" i="10" s="1"/>
  <c r="AE37" i="10" a="1"/>
  <c r="AE37" i="10" s="1"/>
  <c r="AO37" i="10" a="1"/>
  <c r="AO37" i="10" s="1"/>
  <c r="AX37" i="10" a="1"/>
  <c r="AX37" i="10" s="1"/>
  <c r="BG37" i="10" a="1"/>
  <c r="BG37" i="10" s="1"/>
  <c r="BP37" i="10" a="1"/>
  <c r="BP37" i="10" s="1"/>
  <c r="BY37" i="10" a="1"/>
  <c r="BY37" i="10" s="1"/>
  <c r="K41" i="10" a="1"/>
  <c r="K41" i="10" s="1"/>
  <c r="S41" i="10" a="1"/>
  <c r="S41" i="10" s="1"/>
  <c r="AA41" i="10" a="1"/>
  <c r="AA41" i="10" s="1"/>
  <c r="AI41" i="10" a="1"/>
  <c r="AI41" i="10" s="1"/>
  <c r="AQ41" i="10" a="1"/>
  <c r="AQ41" i="10" s="1"/>
  <c r="AY41" i="10" a="1"/>
  <c r="AY41" i="10" s="1"/>
  <c r="BG41" i="10" a="1"/>
  <c r="BG41" i="10" s="1"/>
  <c r="BO41" i="10" a="1"/>
  <c r="BO41" i="10" s="1"/>
  <c r="BW41" i="10" a="1"/>
  <c r="BW41" i="10" s="1"/>
  <c r="CE41" i="10" a="1"/>
  <c r="CE41" i="10" s="1"/>
  <c r="K46" i="10" a="1"/>
  <c r="K46" i="10" s="1"/>
  <c r="S46" i="10" a="1"/>
  <c r="S46" i="10" s="1"/>
  <c r="AA46" i="10" a="1"/>
  <c r="AA46" i="10" s="1"/>
  <c r="AI46" i="10" a="1"/>
  <c r="AI46" i="10" s="1"/>
  <c r="AQ46" i="10" a="1"/>
  <c r="AQ46" i="10" s="1"/>
  <c r="AY46" i="10" a="1"/>
  <c r="AY46" i="10" s="1"/>
  <c r="BG46" i="10" a="1"/>
  <c r="BG46" i="10" s="1"/>
  <c r="BO46" i="10" a="1"/>
  <c r="BO46" i="10" s="1"/>
  <c r="BW46" i="10" a="1"/>
  <c r="BW46" i="10" s="1"/>
  <c r="CE46" i="10" a="1"/>
  <c r="CE46" i="10" s="1"/>
  <c r="K50" i="10" a="1"/>
  <c r="K50" i="10" s="1"/>
  <c r="S50" i="10" a="1"/>
  <c r="S50" i="10" s="1"/>
  <c r="AA50" i="10" a="1"/>
  <c r="AA50" i="10" s="1"/>
  <c r="AI50" i="10" a="1"/>
  <c r="AI50" i="10" s="1"/>
  <c r="AQ50" i="10" a="1"/>
  <c r="AQ50" i="10" s="1"/>
  <c r="AY50" i="10" a="1"/>
  <c r="AY50" i="10" s="1"/>
  <c r="BG50" i="10" a="1"/>
  <c r="BG50" i="10" s="1"/>
  <c r="BO50" i="10" a="1"/>
  <c r="BO50" i="10" s="1"/>
  <c r="BW50" i="10" a="1"/>
  <c r="BW50" i="10" s="1"/>
  <c r="CE50" i="10" a="1"/>
  <c r="CE50" i="10" s="1"/>
  <c r="K54" i="10" a="1"/>
  <c r="K54" i="10" s="1"/>
  <c r="S54" i="10" a="1"/>
  <c r="S54" i="10" s="1"/>
  <c r="AA54" i="10" a="1"/>
  <c r="AA54" i="10" s="1"/>
  <c r="AI54" i="10" a="1"/>
  <c r="AI54" i="10" s="1"/>
  <c r="AQ54" i="10" a="1"/>
  <c r="AQ54" i="10" s="1"/>
  <c r="AY54" i="10" a="1"/>
  <c r="AY54" i="10" s="1"/>
  <c r="BG54" i="10" a="1"/>
  <c r="BG54" i="10" s="1"/>
  <c r="BO54" i="10" a="1"/>
  <c r="BO54" i="10" s="1"/>
  <c r="BW54" i="10" a="1"/>
  <c r="BW54" i="10" s="1"/>
  <c r="CE54" i="10" a="1"/>
  <c r="CE54" i="10" s="1"/>
  <c r="CB5" i="10" a="1"/>
  <c r="CB5" i="10" s="1"/>
  <c r="BQ20" i="10" a="1"/>
  <c r="BQ20" i="10" s="1"/>
  <c r="P24" i="10" a="1"/>
  <c r="P24" i="10" s="1"/>
  <c r="AG29" i="10" a="1"/>
  <c r="AG29" i="10" s="1"/>
  <c r="BM29" i="10" a="1"/>
  <c r="BM29" i="10" s="1"/>
  <c r="AG33" i="10" a="1"/>
  <c r="AG33" i="10" s="1"/>
  <c r="BE33" i="10" a="1"/>
  <c r="BE33" i="10" s="1"/>
  <c r="BW33" i="10" a="1"/>
  <c r="BW33" i="10" s="1"/>
  <c r="K37" i="10" a="1"/>
  <c r="K37" i="10" s="1"/>
  <c r="U37" i="10" a="1"/>
  <c r="U37" i="10" s="1"/>
  <c r="AG37" i="10" a="1"/>
  <c r="AG37" i="10" s="1"/>
  <c r="AP37" i="10" a="1"/>
  <c r="AP37" i="10" s="1"/>
  <c r="AY37" i="10" a="1"/>
  <c r="AY37" i="10" s="1"/>
  <c r="BH37" i="10" a="1"/>
  <c r="BH37" i="10" s="1"/>
  <c r="BQ37" i="10" a="1"/>
  <c r="BQ37" i="10" s="1"/>
  <c r="BZ37" i="10" a="1"/>
  <c r="BZ37" i="10" s="1"/>
  <c r="D41" i="10" a="1"/>
  <c r="D41" i="10" s="1"/>
  <c r="L41" i="10" a="1"/>
  <c r="L41" i="10" s="1"/>
  <c r="T41" i="10" a="1"/>
  <c r="T41" i="10" s="1"/>
  <c r="AB41" i="10" a="1"/>
  <c r="AB41" i="10" s="1"/>
  <c r="AJ41" i="10" a="1"/>
  <c r="AJ41" i="10" s="1"/>
  <c r="AR41" i="10" a="1"/>
  <c r="AR41" i="10" s="1"/>
  <c r="AZ41" i="10" a="1"/>
  <c r="AZ41" i="10" s="1"/>
  <c r="BH41" i="10" a="1"/>
  <c r="BH41" i="10" s="1"/>
  <c r="BP41" i="10" a="1"/>
  <c r="BP41" i="10" s="1"/>
  <c r="BX41" i="10" a="1"/>
  <c r="BX41" i="10" s="1"/>
  <c r="D46" i="10" a="1"/>
  <c r="D46" i="10" s="1"/>
  <c r="L46" i="10" a="1"/>
  <c r="L46" i="10" s="1"/>
  <c r="T46" i="10" a="1"/>
  <c r="T46" i="10" s="1"/>
  <c r="AB46" i="10" a="1"/>
  <c r="AB46" i="10" s="1"/>
  <c r="AJ46" i="10" a="1"/>
  <c r="AJ46" i="10" s="1"/>
  <c r="AR46" i="10" a="1"/>
  <c r="AR46" i="10" s="1"/>
  <c r="AZ46" i="10" a="1"/>
  <c r="AZ46" i="10" s="1"/>
  <c r="BH46" i="10" a="1"/>
  <c r="BH46" i="10" s="1"/>
  <c r="BP46" i="10" a="1"/>
  <c r="BP46" i="10" s="1"/>
  <c r="BX46" i="10" a="1"/>
  <c r="BX46" i="10" s="1"/>
  <c r="D50" i="10" a="1"/>
  <c r="D50" i="10" s="1"/>
  <c r="L50" i="10" a="1"/>
  <c r="L50" i="10" s="1"/>
  <c r="T50" i="10" a="1"/>
  <c r="T50" i="10" s="1"/>
  <c r="AB50" i="10" a="1"/>
  <c r="AB50" i="10" s="1"/>
  <c r="AJ50" i="10" a="1"/>
  <c r="AJ50" i="10" s="1"/>
  <c r="AR50" i="10" a="1"/>
  <c r="AR50" i="10" s="1"/>
  <c r="AZ50" i="10" a="1"/>
  <c r="AZ50" i="10" s="1"/>
  <c r="BH50" i="10" a="1"/>
  <c r="BH50" i="10" s="1"/>
  <c r="BP50" i="10" a="1"/>
  <c r="BP50" i="10" s="1"/>
  <c r="BX50" i="10" a="1"/>
  <c r="BX50" i="10" s="1"/>
  <c r="Y24" i="10" a="1"/>
  <c r="Y24" i="10" s="1"/>
  <c r="E29" i="10" a="1"/>
  <c r="E29" i="10" s="1"/>
  <c r="AK29" i="10" a="1"/>
  <c r="AK29" i="10" s="1"/>
  <c r="BQ29" i="10" a="1"/>
  <c r="BQ29" i="10" s="1"/>
  <c r="E33" i="10" a="1"/>
  <c r="E33" i="10" s="1"/>
  <c r="AK33" i="10" a="1"/>
  <c r="AK33" i="10" s="1"/>
  <c r="BG33" i="10" a="1"/>
  <c r="BG33" i="10" s="1"/>
  <c r="BY33" i="10" a="1"/>
  <c r="BY33" i="10" s="1"/>
  <c r="L37" i="10" a="1"/>
  <c r="L37" i="10" s="1"/>
  <c r="W37" i="10" a="1"/>
  <c r="W37" i="10" s="1"/>
  <c r="AH37" i="10" a="1"/>
  <c r="AH37" i="10" s="1"/>
  <c r="AQ37" i="10" a="1"/>
  <c r="AQ37" i="10" s="1"/>
  <c r="AZ37" i="10" a="1"/>
  <c r="AZ37" i="10" s="1"/>
  <c r="BI37" i="10" a="1"/>
  <c r="BI37" i="10" s="1"/>
  <c r="BR37" i="10" a="1"/>
  <c r="BR37" i="10" s="1"/>
  <c r="CA37" i="10" a="1"/>
  <c r="CA37" i="10" s="1"/>
  <c r="E41" i="10" a="1"/>
  <c r="E41" i="10" s="1"/>
  <c r="M41" i="10" a="1"/>
  <c r="M41" i="10" s="1"/>
  <c r="U41" i="10" a="1"/>
  <c r="U41" i="10" s="1"/>
  <c r="AC41" i="10" a="1"/>
  <c r="AC41" i="10" s="1"/>
  <c r="AK41" i="10" a="1"/>
  <c r="AK41" i="10" s="1"/>
  <c r="AS41" i="10" a="1"/>
  <c r="AS41" i="10" s="1"/>
  <c r="BA41" i="10" a="1"/>
  <c r="BA41" i="10" s="1"/>
  <c r="BI41" i="10" a="1"/>
  <c r="BI41" i="10" s="1"/>
  <c r="BQ41" i="10" a="1"/>
  <c r="BQ41" i="10" s="1"/>
  <c r="BY41" i="10" a="1"/>
  <c r="BY41" i="10" s="1"/>
  <c r="E46" i="10" a="1"/>
  <c r="E46" i="10" s="1"/>
  <c r="M46" i="10" a="1"/>
  <c r="M46" i="10" s="1"/>
  <c r="U46" i="10" a="1"/>
  <c r="U46" i="10" s="1"/>
  <c r="AC46" i="10" a="1"/>
  <c r="AC46" i="10" s="1"/>
  <c r="AK46" i="10" a="1"/>
  <c r="AK46" i="10" s="1"/>
  <c r="AS46" i="10" a="1"/>
  <c r="AS46" i="10" s="1"/>
  <c r="BA46" i="10" a="1"/>
  <c r="BA46" i="10" s="1"/>
  <c r="BI46" i="10" a="1"/>
  <c r="BI46" i="10" s="1"/>
  <c r="BQ46" i="10" a="1"/>
  <c r="BQ46" i="10" s="1"/>
  <c r="BY46" i="10" a="1"/>
  <c r="BY46" i="10" s="1"/>
  <c r="BK16" i="10" a="1"/>
  <c r="BK16" i="10" s="1"/>
  <c r="AR24" i="10" a="1"/>
  <c r="AR24" i="10" s="1"/>
  <c r="M29" i="10" a="1"/>
  <c r="M29" i="10" s="1"/>
  <c r="AS29" i="10" a="1"/>
  <c r="AS29" i="10" s="1"/>
  <c r="BY29" i="10" a="1"/>
  <c r="BY29" i="10" s="1"/>
  <c r="M33" i="10" a="1"/>
  <c r="M33" i="10" s="1"/>
  <c r="AQ33" i="10" a="1"/>
  <c r="AQ33" i="10" s="1"/>
  <c r="BM33" i="10" a="1"/>
  <c r="BM33" i="10" s="1"/>
  <c r="CD33" i="10" a="1"/>
  <c r="CD33" i="10" s="1"/>
  <c r="O37" i="10" a="1"/>
  <c r="O37" i="10" s="1"/>
  <c r="Z37" i="10" a="1"/>
  <c r="Z37" i="10" s="1"/>
  <c r="AJ37" i="10" a="1"/>
  <c r="AJ37" i="10" s="1"/>
  <c r="AS37" i="10" a="1"/>
  <c r="AS37" i="10" s="1"/>
  <c r="BB37" i="10" a="1"/>
  <c r="BB37" i="10" s="1"/>
  <c r="BK37" i="10" a="1"/>
  <c r="BK37" i="10" s="1"/>
  <c r="BU37" i="10" a="1"/>
  <c r="BU37" i="10" s="1"/>
  <c r="CD37" i="10" a="1"/>
  <c r="CD37" i="10" s="1"/>
  <c r="G41" i="10" a="1"/>
  <c r="G41" i="10" s="1"/>
  <c r="O41" i="10" a="1"/>
  <c r="O41" i="10" s="1"/>
  <c r="W41" i="10" a="1"/>
  <c r="W41" i="10" s="1"/>
  <c r="AE41" i="10" a="1"/>
  <c r="AE41" i="10" s="1"/>
  <c r="AM41" i="10" a="1"/>
  <c r="AM41" i="10" s="1"/>
  <c r="AU41" i="10" a="1"/>
  <c r="AU41" i="10" s="1"/>
  <c r="BC41" i="10" a="1"/>
  <c r="BC41" i="10" s="1"/>
  <c r="BK41" i="10" a="1"/>
  <c r="BK41" i="10" s="1"/>
  <c r="BS41" i="10" a="1"/>
  <c r="BS41" i="10" s="1"/>
  <c r="CA41" i="10" a="1"/>
  <c r="CA41" i="10" s="1"/>
  <c r="G46" i="10" a="1"/>
  <c r="G46" i="10" s="1"/>
  <c r="O46" i="10" a="1"/>
  <c r="O46" i="10" s="1"/>
  <c r="W46" i="10" a="1"/>
  <c r="W46" i="10" s="1"/>
  <c r="AE46" i="10" a="1"/>
  <c r="AE46" i="10" s="1"/>
  <c r="AM46" i="10" a="1"/>
  <c r="AM46" i="10" s="1"/>
  <c r="AU46" i="10" a="1"/>
  <c r="AU46" i="10" s="1"/>
  <c r="BC46" i="10" a="1"/>
  <c r="BC46" i="10" s="1"/>
  <c r="BK46" i="10" a="1"/>
  <c r="BK46" i="10" s="1"/>
  <c r="BS46" i="10" a="1"/>
  <c r="BS46" i="10" s="1"/>
  <c r="CA46" i="10" a="1"/>
  <c r="CA46" i="10" s="1"/>
  <c r="G50" i="10" a="1"/>
  <c r="G50" i="10" s="1"/>
  <c r="O50" i="10" a="1"/>
  <c r="O50" i="10" s="1"/>
  <c r="W50" i="10" a="1"/>
  <c r="W50" i="10" s="1"/>
  <c r="AE50" i="10" a="1"/>
  <c r="AE50" i="10" s="1"/>
  <c r="AM50" i="10" a="1"/>
  <c r="AM50" i="10" s="1"/>
  <c r="AU50" i="10" a="1"/>
  <c r="AU50" i="10" s="1"/>
  <c r="BC50" i="10" a="1"/>
  <c r="BC50" i="10" s="1"/>
  <c r="BK50" i="10" a="1"/>
  <c r="BK50" i="10" s="1"/>
  <c r="BS50" i="10" a="1"/>
  <c r="BS50" i="10" s="1"/>
  <c r="CA50" i="10" a="1"/>
  <c r="CA50" i="10" s="1"/>
  <c r="G54" i="10" a="1"/>
  <c r="G54" i="10" s="1"/>
  <c r="O54" i="10" a="1"/>
  <c r="O54" i="10" s="1"/>
  <c r="W54" i="10" a="1"/>
  <c r="W54" i="10" s="1"/>
  <c r="AE54" i="10" a="1"/>
  <c r="AE54" i="10" s="1"/>
  <c r="AM54" i="10" a="1"/>
  <c r="AM54" i="10" s="1"/>
  <c r="AU54" i="10" a="1"/>
  <c r="AU54" i="10" s="1"/>
  <c r="BC54" i="10" a="1"/>
  <c r="BC54" i="10" s="1"/>
  <c r="BK54" i="10" a="1"/>
  <c r="BK54" i="10" s="1"/>
  <c r="BS54" i="10" a="1"/>
  <c r="BS54" i="10" s="1"/>
  <c r="CA54" i="10" a="1"/>
  <c r="CA54" i="10" s="1"/>
  <c r="G56" i="10" a="1"/>
  <c r="G56" i="10" s="1"/>
  <c r="O56" i="10" a="1"/>
  <c r="O56" i="10" s="1"/>
  <c r="BI33" i="10" a="1"/>
  <c r="BI33" i="10" s="1"/>
  <c r="BA37" i="10" a="1"/>
  <c r="BA37" i="10" s="1"/>
  <c r="BJ41" i="10" a="1"/>
  <c r="BJ41" i="10" s="1"/>
  <c r="BJ46" i="10" a="1"/>
  <c r="BJ46" i="10" s="1"/>
  <c r="F50" i="10" a="1"/>
  <c r="F50" i="10" s="1"/>
  <c r="AC50" i="10" a="1"/>
  <c r="AC50" i="10" s="1"/>
  <c r="AV50" i="10" a="1"/>
  <c r="AV50" i="10" s="1"/>
  <c r="BR50" i="10" a="1"/>
  <c r="BR50" i="10" s="1"/>
  <c r="D54" i="10" a="1"/>
  <c r="D54" i="10" s="1"/>
  <c r="N54" i="10" a="1"/>
  <c r="N54" i="10" s="1"/>
  <c r="Y54" i="10" a="1"/>
  <c r="Y54" i="10" s="1"/>
  <c r="AJ54" i="10" a="1"/>
  <c r="AJ54" i="10" s="1"/>
  <c r="AT54" i="10" a="1"/>
  <c r="AT54" i="10" s="1"/>
  <c r="BE54" i="10" a="1"/>
  <c r="BE54" i="10" s="1"/>
  <c r="BP54" i="10" a="1"/>
  <c r="BP54" i="10" s="1"/>
  <c r="BZ54" i="10" a="1"/>
  <c r="BZ54" i="10" s="1"/>
  <c r="D56" i="10" a="1"/>
  <c r="D56" i="10" s="1"/>
  <c r="M56" i="10" a="1"/>
  <c r="M56" i="10" s="1"/>
  <c r="V56" i="10" a="1"/>
  <c r="V56" i="10" s="1"/>
  <c r="AD56" i="10" a="1"/>
  <c r="AD56" i="10" s="1"/>
  <c r="AL56" i="10" a="1"/>
  <c r="AL56" i="10" s="1"/>
  <c r="AT56" i="10" a="1"/>
  <c r="AT56" i="10" s="1"/>
  <c r="BB56" i="10" a="1"/>
  <c r="BB56" i="10" s="1"/>
  <c r="BJ56" i="10" a="1"/>
  <c r="BJ56" i="10" s="1"/>
  <c r="BR56" i="10" a="1"/>
  <c r="BR56" i="10" s="1"/>
  <c r="BZ56" i="10" a="1"/>
  <c r="BZ56" i="10" s="1"/>
  <c r="D67" i="10" a="1"/>
  <c r="D67" i="10" s="1"/>
  <c r="L67" i="10" a="1"/>
  <c r="L67" i="10" s="1"/>
  <c r="T67" i="10" a="1"/>
  <c r="T67" i="10" s="1"/>
  <c r="AA67" i="10" a="1"/>
  <c r="AA67" i="10" s="1"/>
  <c r="AI67" i="10" a="1"/>
  <c r="AI67" i="10" s="1"/>
  <c r="AQ67" i="10" a="1"/>
  <c r="AQ67" i="10" s="1"/>
  <c r="CC33" i="10" a="1"/>
  <c r="CC33" i="10" s="1"/>
  <c r="BJ37" i="10" a="1"/>
  <c r="BJ37" i="10" s="1"/>
  <c r="F41" i="10" a="1"/>
  <c r="F41" i="10" s="1"/>
  <c r="BR41" i="10" a="1"/>
  <c r="BR41" i="10" s="1"/>
  <c r="F46" i="10" a="1"/>
  <c r="F46" i="10" s="1"/>
  <c r="BR46" i="10" a="1"/>
  <c r="BR46" i="10" s="1"/>
  <c r="H50" i="10" a="1"/>
  <c r="H50" i="10" s="1"/>
  <c r="AD50" i="10" a="1"/>
  <c r="AD50" i="10" s="1"/>
  <c r="BA50" i="10" a="1"/>
  <c r="BA50" i="10" s="1"/>
  <c r="BT50" i="10" a="1"/>
  <c r="BT50" i="10" s="1"/>
  <c r="E54" i="10" a="1"/>
  <c r="E54" i="10" s="1"/>
  <c r="P54" i="10" a="1"/>
  <c r="P54" i="10" s="1"/>
  <c r="Z54" i="10" a="1"/>
  <c r="Z54" i="10" s="1"/>
  <c r="AK54" i="10" a="1"/>
  <c r="AK54" i="10" s="1"/>
  <c r="AV54" i="10" a="1"/>
  <c r="AV54" i="10" s="1"/>
  <c r="BF54" i="10" a="1"/>
  <c r="BF54" i="10" s="1"/>
  <c r="BQ54" i="10" a="1"/>
  <c r="BQ54" i="10" s="1"/>
  <c r="CB54" i="10" a="1"/>
  <c r="CB54" i="10" s="1"/>
  <c r="E56" i="10" a="1"/>
  <c r="E56" i="10" s="1"/>
  <c r="N56" i="10" a="1"/>
  <c r="N56" i="10" s="1"/>
  <c r="W56" i="10" a="1"/>
  <c r="W56" i="10" s="1"/>
  <c r="AE56" i="10" a="1"/>
  <c r="AE56" i="10" s="1"/>
  <c r="AM56" i="10" a="1"/>
  <c r="AM56" i="10" s="1"/>
  <c r="AU56" i="10" a="1"/>
  <c r="AU56" i="10" s="1"/>
  <c r="BC56" i="10" a="1"/>
  <c r="BC56" i="10" s="1"/>
  <c r="BK56" i="10" a="1"/>
  <c r="BK56" i="10" s="1"/>
  <c r="BS56" i="10" a="1"/>
  <c r="BS56" i="10" s="1"/>
  <c r="CA56" i="10" a="1"/>
  <c r="CA56" i="10" s="1"/>
  <c r="E67" i="10" a="1"/>
  <c r="E67" i="10" s="1"/>
  <c r="M67" i="10" a="1"/>
  <c r="M67" i="10" s="1"/>
  <c r="U67" i="10" a="1"/>
  <c r="U67" i="10" s="1"/>
  <c r="AB67" i="10" a="1"/>
  <c r="AB67" i="10" s="1"/>
  <c r="AJ67" i="10" a="1"/>
  <c r="AJ67" i="10" s="1"/>
  <c r="AR67" i="10" a="1"/>
  <c r="AR67" i="10" s="1"/>
  <c r="AZ67" i="10" a="1"/>
  <c r="AZ67" i="10" s="1"/>
  <c r="BH67" i="10" a="1"/>
  <c r="BH67" i="10" s="1"/>
  <c r="BP67" i="10" a="1"/>
  <c r="BP67" i="10" s="1"/>
  <c r="BX67" i="10" a="1"/>
  <c r="BX67" i="10" s="1"/>
  <c r="K70" i="10" a="1"/>
  <c r="K70" i="10" s="1"/>
  <c r="S70" i="10" a="1"/>
  <c r="S70" i="10" s="1"/>
  <c r="AA70" i="10" a="1"/>
  <c r="AA70" i="10" s="1"/>
  <c r="AI70" i="10" a="1"/>
  <c r="AI70" i="10" s="1"/>
  <c r="AQ70" i="10" a="1"/>
  <c r="AQ70" i="10" s="1"/>
  <c r="AY70" i="10" a="1"/>
  <c r="AY70" i="10" s="1"/>
  <c r="BG70" i="10" a="1"/>
  <c r="BG70" i="10" s="1"/>
  <c r="AE16" i="10" a="1"/>
  <c r="AE16" i="10" s="1"/>
  <c r="BS37" i="10" a="1"/>
  <c r="BS37" i="10" s="1"/>
  <c r="N41" i="10" a="1"/>
  <c r="N41" i="10" s="1"/>
  <c r="BZ41" i="10" a="1"/>
  <c r="BZ41" i="10" s="1"/>
  <c r="N46" i="10" a="1"/>
  <c r="N46" i="10" s="1"/>
  <c r="BZ46" i="10" a="1"/>
  <c r="BZ46" i="10" s="1"/>
  <c r="M50" i="10" a="1"/>
  <c r="M50" i="10" s="1"/>
  <c r="AF50" i="10" a="1"/>
  <c r="AF50" i="10" s="1"/>
  <c r="BB50" i="10" a="1"/>
  <c r="BB50" i="10" s="1"/>
  <c r="BY50" i="10" a="1"/>
  <c r="BY50" i="10" s="1"/>
  <c r="F54" i="10" a="1"/>
  <c r="F54" i="10" s="1"/>
  <c r="Q54" i="10" a="1"/>
  <c r="Q54" i="10" s="1"/>
  <c r="AB54" i="10" a="1"/>
  <c r="AB54" i="10" s="1"/>
  <c r="AL54" i="10" a="1"/>
  <c r="AL54" i="10" s="1"/>
  <c r="AW54" i="10" a="1"/>
  <c r="AW54" i="10" s="1"/>
  <c r="BH54" i="10" a="1"/>
  <c r="BH54" i="10" s="1"/>
  <c r="BR54" i="10" a="1"/>
  <c r="BR54" i="10" s="1"/>
  <c r="CC54" i="10" a="1"/>
  <c r="CC54" i="10" s="1"/>
  <c r="F56" i="10" a="1"/>
  <c r="F56" i="10" s="1"/>
  <c r="P56" i="10" a="1"/>
  <c r="P56" i="10" s="1"/>
  <c r="X56" i="10" a="1"/>
  <c r="X56" i="10" s="1"/>
  <c r="AF56" i="10" a="1"/>
  <c r="AF56" i="10" s="1"/>
  <c r="AN56" i="10" a="1"/>
  <c r="AN56" i="10" s="1"/>
  <c r="AV56" i="10" a="1"/>
  <c r="AV56" i="10" s="1"/>
  <c r="BD56" i="10" a="1"/>
  <c r="BD56" i="10" s="1"/>
  <c r="BL56" i="10" a="1"/>
  <c r="BL56" i="10" s="1"/>
  <c r="BT56" i="10" a="1"/>
  <c r="BT56" i="10" s="1"/>
  <c r="CB56" i="10" a="1"/>
  <c r="CB56" i="10" s="1"/>
  <c r="F67" i="10" a="1"/>
  <c r="F67" i="10" s="1"/>
  <c r="N67" i="10" a="1"/>
  <c r="N67" i="10" s="1"/>
  <c r="V67" i="10" a="1"/>
  <c r="V67" i="10" s="1"/>
  <c r="AC67" i="10" a="1"/>
  <c r="AC67" i="10" s="1"/>
  <c r="AK67" i="10" a="1"/>
  <c r="AK67" i="10" s="1"/>
  <c r="AS67" i="10" a="1"/>
  <c r="AS67" i="10" s="1"/>
  <c r="BA67" i="10" a="1"/>
  <c r="BA67" i="10" s="1"/>
  <c r="BI67" i="10" a="1"/>
  <c r="BI67" i="10" s="1"/>
  <c r="BQ67" i="10" a="1"/>
  <c r="BQ67" i="10" s="1"/>
  <c r="BY67" i="10" a="1"/>
  <c r="BY67" i="10" s="1"/>
  <c r="D70" i="10" a="1"/>
  <c r="D70" i="10" s="1"/>
  <c r="L70" i="10" a="1"/>
  <c r="L70" i="10" s="1"/>
  <c r="T70" i="10" a="1"/>
  <c r="T70" i="10" s="1"/>
  <c r="AB70" i="10" a="1"/>
  <c r="AB70" i="10" s="1"/>
  <c r="AJ70" i="10" a="1"/>
  <c r="AJ70" i="10" s="1"/>
  <c r="AR70" i="10" a="1"/>
  <c r="AR70" i="10" s="1"/>
  <c r="AZ70" i="10" a="1"/>
  <c r="AZ70" i="10" s="1"/>
  <c r="BH70" i="10" a="1"/>
  <c r="BH70" i="10" s="1"/>
  <c r="BP70" i="10" a="1"/>
  <c r="BP70" i="10" s="1"/>
  <c r="BX70" i="10" a="1"/>
  <c r="BX70" i="10" s="1"/>
  <c r="D71" i="10" a="1"/>
  <c r="D71" i="10" s="1"/>
  <c r="L71" i="10" a="1"/>
  <c r="L71" i="10" s="1"/>
  <c r="T71" i="10" a="1"/>
  <c r="T71" i="10" s="1"/>
  <c r="AB71" i="10" a="1"/>
  <c r="AB71" i="10" s="1"/>
  <c r="AJ71" i="10" a="1"/>
  <c r="AJ71" i="10" s="1"/>
  <c r="AR71" i="10" a="1"/>
  <c r="AR71" i="10" s="1"/>
  <c r="AZ71" i="10" a="1"/>
  <c r="AZ71" i="10" s="1"/>
  <c r="BH71" i="10" a="1"/>
  <c r="BH71" i="10" s="1"/>
  <c r="BP71" i="10" a="1"/>
  <c r="BP71" i="10" s="1"/>
  <c r="BX71" i="10" a="1"/>
  <c r="BX71" i="10" s="1"/>
  <c r="D77" i="10" a="1"/>
  <c r="D77" i="10" s="1"/>
  <c r="L77" i="10" a="1"/>
  <c r="L77" i="10" s="1"/>
  <c r="T77" i="10" a="1"/>
  <c r="T77" i="10" s="1"/>
  <c r="AB77" i="10" a="1"/>
  <c r="AB77" i="10" s="1"/>
  <c r="AJ77" i="10" a="1"/>
  <c r="AJ77" i="10" s="1"/>
  <c r="AR77" i="10" a="1"/>
  <c r="AR77" i="10" s="1"/>
  <c r="AZ77" i="10" a="1"/>
  <c r="AZ77" i="10" s="1"/>
  <c r="CC37" i="10" a="1"/>
  <c r="CC37" i="10" s="1"/>
  <c r="V41" i="10" a="1"/>
  <c r="V41" i="10" s="1"/>
  <c r="V46" i="10" a="1"/>
  <c r="V46" i="10" s="1"/>
  <c r="N50" i="10" a="1"/>
  <c r="N50" i="10" s="1"/>
  <c r="AK50" i="10" a="1"/>
  <c r="AK50" i="10" s="1"/>
  <c r="BD50" i="10" a="1"/>
  <c r="BD50" i="10" s="1"/>
  <c r="BZ50" i="10" a="1"/>
  <c r="BZ50" i="10" s="1"/>
  <c r="H54" i="10" a="1"/>
  <c r="H54" i="10" s="1"/>
  <c r="R54" i="10" a="1"/>
  <c r="R54" i="10" s="1"/>
  <c r="AC54" i="10" a="1"/>
  <c r="AC54" i="10" s="1"/>
  <c r="AN54" i="10" a="1"/>
  <c r="AN54" i="10" s="1"/>
  <c r="AX54" i="10" a="1"/>
  <c r="AX54" i="10" s="1"/>
  <c r="BI54" i="10" a="1"/>
  <c r="BI54" i="10" s="1"/>
  <c r="BT54" i="10" a="1"/>
  <c r="BT54" i="10" s="1"/>
  <c r="CD54" i="10" a="1"/>
  <c r="CD54" i="10" s="1"/>
  <c r="H56" i="10" a="1"/>
  <c r="H56" i="10" s="1"/>
  <c r="Q56" i="10" a="1"/>
  <c r="Q56" i="10" s="1"/>
  <c r="Y56" i="10" a="1"/>
  <c r="Y56" i="10" s="1"/>
  <c r="AG56" i="10" a="1"/>
  <c r="AG56" i="10" s="1"/>
  <c r="AO56" i="10" a="1"/>
  <c r="AO56" i="10" s="1"/>
  <c r="AW56" i="10" a="1"/>
  <c r="AW56" i="10" s="1"/>
  <c r="BE56" i="10" a="1"/>
  <c r="BE56" i="10" s="1"/>
  <c r="BM56" i="10" a="1"/>
  <c r="BM56" i="10" s="1"/>
  <c r="BU56" i="10" a="1"/>
  <c r="BU56" i="10" s="1"/>
  <c r="CC56" i="10" a="1"/>
  <c r="CC56" i="10" s="1"/>
  <c r="G67" i="10" a="1"/>
  <c r="G67" i="10" s="1"/>
  <c r="O67" i="10" a="1"/>
  <c r="O67" i="10" s="1"/>
  <c r="W67" i="10" a="1"/>
  <c r="W67" i="10" s="1"/>
  <c r="AD67" i="10" a="1"/>
  <c r="AD67" i="10" s="1"/>
  <c r="AL67" i="10" a="1"/>
  <c r="AL67" i="10" s="1"/>
  <c r="AT67" i="10" a="1"/>
  <c r="AT67" i="10" s="1"/>
  <c r="BB67" i="10" a="1"/>
  <c r="BB67" i="10" s="1"/>
  <c r="BJ67" i="10" a="1"/>
  <c r="BJ67" i="10" s="1"/>
  <c r="BR67" i="10" a="1"/>
  <c r="BR67" i="10" s="1"/>
  <c r="BZ67" i="10" a="1"/>
  <c r="BZ67" i="10" s="1"/>
  <c r="E70" i="10" a="1"/>
  <c r="E70" i="10" s="1"/>
  <c r="M70" i="10" a="1"/>
  <c r="M70" i="10" s="1"/>
  <c r="U70" i="10" a="1"/>
  <c r="U70" i="10" s="1"/>
  <c r="AC70" i="10" a="1"/>
  <c r="AC70" i="10" s="1"/>
  <c r="AK70" i="10" a="1"/>
  <c r="AK70" i="10" s="1"/>
  <c r="AS70" i="10" a="1"/>
  <c r="AS70" i="10" s="1"/>
  <c r="BA70" i="10" a="1"/>
  <c r="BA70" i="10" s="1"/>
  <c r="BI70" i="10" a="1"/>
  <c r="BI70" i="10" s="1"/>
  <c r="BQ70" i="10" a="1"/>
  <c r="BQ70" i="10" s="1"/>
  <c r="BY70" i="10" a="1"/>
  <c r="BY70" i="10" s="1"/>
  <c r="E71" i="10" a="1"/>
  <c r="E71" i="10" s="1"/>
  <c r="M71" i="10" a="1"/>
  <c r="M71" i="10" s="1"/>
  <c r="U71" i="10" a="1"/>
  <c r="U71" i="10" s="1"/>
  <c r="AC71" i="10" a="1"/>
  <c r="AC71" i="10" s="1"/>
  <c r="I29" i="10" a="1"/>
  <c r="I29" i="10" s="1"/>
  <c r="M37" i="10" a="1"/>
  <c r="M37" i="10" s="1"/>
  <c r="AD41" i="10" a="1"/>
  <c r="AD41" i="10" s="1"/>
  <c r="AD46" i="10" a="1"/>
  <c r="AD46" i="10" s="1"/>
  <c r="P50" i="10" a="1"/>
  <c r="P50" i="10" s="1"/>
  <c r="AL50" i="10" a="1"/>
  <c r="AL50" i="10" s="1"/>
  <c r="BI50" i="10" a="1"/>
  <c r="BI50" i="10" s="1"/>
  <c r="CB50" i="10" a="1"/>
  <c r="CB50" i="10" s="1"/>
  <c r="I54" i="10" a="1"/>
  <c r="I54" i="10" s="1"/>
  <c r="T54" i="10" a="1"/>
  <c r="T54" i="10" s="1"/>
  <c r="AD54" i="10" a="1"/>
  <c r="AD54" i="10" s="1"/>
  <c r="AO54" i="10" a="1"/>
  <c r="AO54" i="10" s="1"/>
  <c r="AZ54" i="10" a="1"/>
  <c r="AZ54" i="10" s="1"/>
  <c r="BJ54" i="10" a="1"/>
  <c r="BJ54" i="10" s="1"/>
  <c r="BU54" i="10" a="1"/>
  <c r="BU54" i="10" s="1"/>
  <c r="I56" i="10" a="1"/>
  <c r="I56" i="10" s="1"/>
  <c r="R56" i="10" a="1"/>
  <c r="R56" i="10" s="1"/>
  <c r="Z56" i="10" a="1"/>
  <c r="Z56" i="10" s="1"/>
  <c r="AH56" i="10" a="1"/>
  <c r="AH56" i="10" s="1"/>
  <c r="AP56" i="10" a="1"/>
  <c r="AP56" i="10" s="1"/>
  <c r="AX56" i="10" a="1"/>
  <c r="AX56" i="10" s="1"/>
  <c r="BF56" i="10" a="1"/>
  <c r="BF56" i="10" s="1"/>
  <c r="BN56" i="10" a="1"/>
  <c r="BN56" i="10" s="1"/>
  <c r="BV56" i="10" a="1"/>
  <c r="BV56" i="10" s="1"/>
  <c r="CD56" i="10" a="1"/>
  <c r="CD56" i="10" s="1"/>
  <c r="H67" i="10" a="1"/>
  <c r="H67" i="10" s="1"/>
  <c r="P67" i="10" a="1"/>
  <c r="P67" i="10" s="1"/>
  <c r="X67" i="10" a="1"/>
  <c r="X67" i="10" s="1"/>
  <c r="AE67" i="10" a="1"/>
  <c r="AE67" i="10" s="1"/>
  <c r="AM67" i="10" a="1"/>
  <c r="AM67" i="10" s="1"/>
  <c r="AU67" i="10" a="1"/>
  <c r="AU67" i="10" s="1"/>
  <c r="BC67" i="10" a="1"/>
  <c r="BC67" i="10" s="1"/>
  <c r="BK67" i="10" a="1"/>
  <c r="BK67" i="10" s="1"/>
  <c r="BS67" i="10" a="1"/>
  <c r="BS67" i="10" s="1"/>
  <c r="CA67" i="10" a="1"/>
  <c r="CA67" i="10" s="1"/>
  <c r="F70" i="10" a="1"/>
  <c r="F70" i="10" s="1"/>
  <c r="N70" i="10" a="1"/>
  <c r="N70" i="10" s="1"/>
  <c r="V70" i="10" a="1"/>
  <c r="V70" i="10" s="1"/>
  <c r="AD70" i="10" a="1"/>
  <c r="AD70" i="10" s="1"/>
  <c r="AL70" i="10" a="1"/>
  <c r="AL70" i="10" s="1"/>
  <c r="AT70" i="10" a="1"/>
  <c r="AT70" i="10" s="1"/>
  <c r="BB70" i="10" a="1"/>
  <c r="BB70" i="10" s="1"/>
  <c r="BJ70" i="10" a="1"/>
  <c r="BJ70" i="10" s="1"/>
  <c r="BR70" i="10" a="1"/>
  <c r="BR70" i="10" s="1"/>
  <c r="BZ70" i="10" a="1"/>
  <c r="BZ70" i="10" s="1"/>
  <c r="F71" i="10" a="1"/>
  <c r="F71" i="10" s="1"/>
  <c r="N71" i="10" a="1"/>
  <c r="N71" i="10" s="1"/>
  <c r="V71" i="10" a="1"/>
  <c r="V71" i="10" s="1"/>
  <c r="AD71" i="10" a="1"/>
  <c r="AD71" i="10" s="1"/>
  <c r="AL71" i="10" a="1"/>
  <c r="AL71" i="10" s="1"/>
  <c r="AT71" i="10" a="1"/>
  <c r="AT71" i="10" s="1"/>
  <c r="BB71" i="10" a="1"/>
  <c r="BB71" i="10" s="1"/>
  <c r="BJ71" i="10" a="1"/>
  <c r="BJ71" i="10" s="1"/>
  <c r="BR71" i="10" a="1"/>
  <c r="BR71" i="10" s="1"/>
  <c r="BZ71" i="10" a="1"/>
  <c r="BZ71" i="10" s="1"/>
  <c r="AO29" i="10" a="1"/>
  <c r="AO29" i="10" s="1"/>
  <c r="Y37" i="10" a="1"/>
  <c r="Y37" i="10" s="1"/>
  <c r="AL41" i="10" a="1"/>
  <c r="AL41" i="10" s="1"/>
  <c r="AL46" i="10" a="1"/>
  <c r="AL46" i="10" s="1"/>
  <c r="U50" i="10" a="1"/>
  <c r="U50" i="10" s="1"/>
  <c r="AN50" i="10" a="1"/>
  <c r="AN50" i="10" s="1"/>
  <c r="BJ50" i="10" a="1"/>
  <c r="BJ50" i="10" s="1"/>
  <c r="J54" i="10" a="1"/>
  <c r="J54" i="10" s="1"/>
  <c r="U54" i="10" a="1"/>
  <c r="U54" i="10" s="1"/>
  <c r="AF54" i="10" a="1"/>
  <c r="AF54" i="10" s="1"/>
  <c r="AP54" i="10" a="1"/>
  <c r="AP54" i="10" s="1"/>
  <c r="BA54" i="10" a="1"/>
  <c r="BA54" i="10" s="1"/>
  <c r="BL54" i="10" a="1"/>
  <c r="BL54" i="10" s="1"/>
  <c r="BV54" i="10" a="1"/>
  <c r="BV54" i="10" s="1"/>
  <c r="J56" i="10" a="1"/>
  <c r="J56" i="10" s="1"/>
  <c r="S56" i="10" a="1"/>
  <c r="S56" i="10" s="1"/>
  <c r="AA56" i="10" a="1"/>
  <c r="AA56" i="10" s="1"/>
  <c r="AI56" i="10" a="1"/>
  <c r="AI56" i="10" s="1"/>
  <c r="AQ56" i="10" a="1"/>
  <c r="AQ56" i="10" s="1"/>
  <c r="AY56" i="10" a="1"/>
  <c r="AY56" i="10" s="1"/>
  <c r="BG56" i="10" a="1"/>
  <c r="BG56" i="10" s="1"/>
  <c r="BO56" i="10" a="1"/>
  <c r="BO56" i="10" s="1"/>
  <c r="BW56" i="10" a="1"/>
  <c r="BW56" i="10" s="1"/>
  <c r="CE56" i="10" a="1"/>
  <c r="CE56" i="10" s="1"/>
  <c r="AI24" i="10" a="1"/>
  <c r="AI24" i="10" s="1"/>
  <c r="AO33" i="10" a="1"/>
  <c r="AO33" i="10" s="1"/>
  <c r="AR37" i="10" a="1"/>
  <c r="AR37" i="10" s="1"/>
  <c r="BB41" i="10" a="1"/>
  <c r="BB41" i="10" s="1"/>
  <c r="BB46" i="10" a="1"/>
  <c r="BB46" i="10" s="1"/>
  <c r="E50" i="10" a="1"/>
  <c r="E50" i="10" s="1"/>
  <c r="X50" i="10" a="1"/>
  <c r="X50" i="10" s="1"/>
  <c r="AT50" i="10" a="1"/>
  <c r="AT50" i="10" s="1"/>
  <c r="BQ50" i="10" a="1"/>
  <c r="BQ50" i="10" s="1"/>
  <c r="M54" i="10" a="1"/>
  <c r="M54" i="10" s="1"/>
  <c r="X54" i="10" a="1"/>
  <c r="X54" i="10" s="1"/>
  <c r="AH54" i="10" a="1"/>
  <c r="AH54" i="10" s="1"/>
  <c r="AS54" i="10" a="1"/>
  <c r="AS54" i="10" s="1"/>
  <c r="BD54" i="10" a="1"/>
  <c r="BD54" i="10" s="1"/>
  <c r="BN54" i="10" a="1"/>
  <c r="BN54" i="10" s="1"/>
  <c r="BY54" i="10" a="1"/>
  <c r="BY54" i="10" s="1"/>
  <c r="L56" i="10" a="1"/>
  <c r="L56" i="10" s="1"/>
  <c r="U56" i="10" a="1"/>
  <c r="U56" i="10" s="1"/>
  <c r="AC56" i="10" a="1"/>
  <c r="AC56" i="10" s="1"/>
  <c r="AK56" i="10" a="1"/>
  <c r="AK56" i="10" s="1"/>
  <c r="AS56" i="10" a="1"/>
  <c r="AS56" i="10" s="1"/>
  <c r="BA56" i="10" a="1"/>
  <c r="BA56" i="10" s="1"/>
  <c r="BI56" i="10" a="1"/>
  <c r="BI56" i="10" s="1"/>
  <c r="BQ56" i="10" a="1"/>
  <c r="BQ56" i="10" s="1"/>
  <c r="BY56" i="10" a="1"/>
  <c r="BY56" i="10" s="1"/>
  <c r="K67" i="10" a="1"/>
  <c r="K67" i="10" s="1"/>
  <c r="S67" i="10" a="1"/>
  <c r="S67" i="10" s="1"/>
  <c r="AH67" i="10" a="1"/>
  <c r="AH67" i="10" s="1"/>
  <c r="AP67" i="10" a="1"/>
  <c r="AP67" i="10" s="1"/>
  <c r="AX67" i="10" a="1"/>
  <c r="AX67" i="10" s="1"/>
  <c r="BF67" i="10" a="1"/>
  <c r="BF67" i="10" s="1"/>
  <c r="BN67" i="10" a="1"/>
  <c r="BN67" i="10" s="1"/>
  <c r="BV67" i="10" a="1"/>
  <c r="BV67" i="10" s="1"/>
  <c r="CD67" i="10" a="1"/>
  <c r="CD67" i="10" s="1"/>
  <c r="I70" i="10" a="1"/>
  <c r="I70" i="10" s="1"/>
  <c r="Q70" i="10" a="1"/>
  <c r="Q70" i="10" s="1"/>
  <c r="Y70" i="10" a="1"/>
  <c r="Y70" i="10" s="1"/>
  <c r="AG70" i="10" a="1"/>
  <c r="AG70" i="10" s="1"/>
  <c r="AO70" i="10" a="1"/>
  <c r="AO70" i="10" s="1"/>
  <c r="AW70" i="10" a="1"/>
  <c r="AW70" i="10" s="1"/>
  <c r="BE70" i="10" a="1"/>
  <c r="BE70" i="10" s="1"/>
  <c r="BM70" i="10" a="1"/>
  <c r="BM70" i="10" s="1"/>
  <c r="BU70" i="10" a="1"/>
  <c r="BU70" i="10" s="1"/>
  <c r="CC70" i="10" a="1"/>
  <c r="CC70" i="10" s="1"/>
  <c r="I71" i="10" a="1"/>
  <c r="I71" i="10" s="1"/>
  <c r="Q71" i="10" a="1"/>
  <c r="Q71" i="10" s="1"/>
  <c r="Y71" i="10" a="1"/>
  <c r="Y71" i="10" s="1"/>
  <c r="AG71" i="10" a="1"/>
  <c r="AG71" i="10" s="1"/>
  <c r="AO71" i="10" a="1"/>
  <c r="AO71" i="10" s="1"/>
  <c r="AW71" i="10" a="1"/>
  <c r="AW71" i="10" s="1"/>
  <c r="BE71" i="10" a="1"/>
  <c r="BE71" i="10" s="1"/>
  <c r="BM71" i="10" a="1"/>
  <c r="BM71" i="10" s="1"/>
  <c r="BU71" i="10" a="1"/>
  <c r="BU71" i="10" s="1"/>
  <c r="CC71" i="10" a="1"/>
  <c r="CC71" i="10" s="1"/>
  <c r="AT46" i="10" a="1"/>
  <c r="AT46" i="10" s="1"/>
  <c r="BM54" i="10" a="1"/>
  <c r="BM54" i="10" s="1"/>
  <c r="BH56" i="10" a="1"/>
  <c r="BH56" i="10" s="1"/>
  <c r="Z67" i="10" a="1"/>
  <c r="Z67" i="10" s="1"/>
  <c r="BD67" i="10" a="1"/>
  <c r="BD67" i="10" s="1"/>
  <c r="BW67" i="10" a="1"/>
  <c r="BW67" i="10" s="1"/>
  <c r="W70" i="10" a="1"/>
  <c r="W70" i="10" s="1"/>
  <c r="AP70" i="10" a="1"/>
  <c r="AP70" i="10" s="1"/>
  <c r="BL70" i="10" a="1"/>
  <c r="BL70" i="10" s="1"/>
  <c r="CB70" i="10" a="1"/>
  <c r="CB70" i="10" s="1"/>
  <c r="P71" i="10" a="1"/>
  <c r="P71" i="10" s="1"/>
  <c r="AF71" i="10" a="1"/>
  <c r="AF71" i="10" s="1"/>
  <c r="AS71" i="10" a="1"/>
  <c r="AS71" i="10" s="1"/>
  <c r="BF71" i="10" a="1"/>
  <c r="BF71" i="10" s="1"/>
  <c r="BS71" i="10" a="1"/>
  <c r="BS71" i="10" s="1"/>
  <c r="CE71" i="10" a="1"/>
  <c r="CE71" i="10" s="1"/>
  <c r="E77" i="10" a="1"/>
  <c r="E77" i="10" s="1"/>
  <c r="N77" i="10" a="1"/>
  <c r="N77" i="10" s="1"/>
  <c r="W77" i="10" a="1"/>
  <c r="W77" i="10" s="1"/>
  <c r="AF77" i="10" a="1"/>
  <c r="AF77" i="10" s="1"/>
  <c r="AO77" i="10" a="1"/>
  <c r="AO77" i="10" s="1"/>
  <c r="AX77" i="10" a="1"/>
  <c r="AX77" i="10" s="1"/>
  <c r="BG77" i="10" a="1"/>
  <c r="BG77" i="10" s="1"/>
  <c r="BO77" i="10" a="1"/>
  <c r="BO77" i="10" s="1"/>
  <c r="BW77" i="10" a="1"/>
  <c r="BW77" i="10" s="1"/>
  <c r="CE77" i="10" a="1"/>
  <c r="CE77" i="10" s="1"/>
  <c r="K80" i="10" a="1"/>
  <c r="K80" i="10" s="1"/>
  <c r="S80" i="10" a="1"/>
  <c r="S80" i="10" s="1"/>
  <c r="AA80" i="10" a="1"/>
  <c r="AA80" i="10" s="1"/>
  <c r="AI80" i="10" a="1"/>
  <c r="AI80" i="10" s="1"/>
  <c r="AQ80" i="10" a="1"/>
  <c r="AQ80" i="10" s="1"/>
  <c r="AY80" i="10" a="1"/>
  <c r="AY80" i="10" s="1"/>
  <c r="BG80" i="10" a="1"/>
  <c r="BG80" i="10" s="1"/>
  <c r="BO80" i="10" a="1"/>
  <c r="BO80" i="10" s="1"/>
  <c r="BW80" i="10" a="1"/>
  <c r="BW80" i="10" s="1"/>
  <c r="CE80" i="10" a="1"/>
  <c r="CE80" i="10" s="1"/>
  <c r="K83" i="10" a="1"/>
  <c r="K83" i="10" s="1"/>
  <c r="S83" i="10" a="1"/>
  <c r="S83" i="10" s="1"/>
  <c r="AA83" i="10" a="1"/>
  <c r="AA83" i="10" s="1"/>
  <c r="AI83" i="10" a="1"/>
  <c r="AI83" i="10" s="1"/>
  <c r="AQ83" i="10" a="1"/>
  <c r="AQ83" i="10" s="1"/>
  <c r="AY83" i="10" a="1"/>
  <c r="AY83" i="10" s="1"/>
  <c r="BG83" i="10" a="1"/>
  <c r="BG83" i="10" s="1"/>
  <c r="BO83" i="10" a="1"/>
  <c r="BO83" i="10" s="1"/>
  <c r="BW83" i="10" a="1"/>
  <c r="BW83" i="10" s="1"/>
  <c r="CE83" i="10" a="1"/>
  <c r="CE83" i="10" s="1"/>
  <c r="BP80" i="12" a="1"/>
  <c r="BP80" i="12" s="1"/>
  <c r="BX80" i="12" a="1"/>
  <c r="BX80" i="12" s="1"/>
  <c r="BL83" i="12" a="1"/>
  <c r="BL83" i="12" s="1"/>
  <c r="BT83" i="12" a="1"/>
  <c r="BT83" i="12" s="1"/>
  <c r="CB83" i="12" a="1"/>
  <c r="CB83" i="12" s="1"/>
  <c r="BO77" i="12" a="1"/>
  <c r="BO77" i="12" s="1"/>
  <c r="BW77" i="12" a="1"/>
  <c r="BW77" i="12" s="1"/>
  <c r="BL67" i="12" a="1"/>
  <c r="BL67" i="12" s="1"/>
  <c r="BT67" i="12" a="1"/>
  <c r="BT67" i="12" s="1"/>
  <c r="CB67" i="12" a="1"/>
  <c r="CB67" i="12" s="1"/>
  <c r="BS70" i="12" a="1"/>
  <c r="BS70" i="12" s="1"/>
  <c r="CA70" i="12" a="1"/>
  <c r="CA70" i="12" s="1"/>
  <c r="BO71" i="12" a="1"/>
  <c r="BO71" i="12" s="1"/>
  <c r="BW71" i="12" a="1"/>
  <c r="BW71" i="12" s="1"/>
  <c r="CE71" i="12" a="1"/>
  <c r="CE71" i="12" s="1"/>
  <c r="CD56" i="12" a="1"/>
  <c r="CD56" i="12" s="1"/>
  <c r="BV56" i="12" a="1"/>
  <c r="BV56" i="12" s="1"/>
  <c r="BO56" i="12" a="1"/>
  <c r="BO56" i="12" s="1"/>
  <c r="CE54" i="12" a="1"/>
  <c r="CE54" i="12" s="1"/>
  <c r="BW54" i="12" a="1"/>
  <c r="BW54" i="12" s="1"/>
  <c r="BO54" i="12" a="1"/>
  <c r="BO54" i="12" s="1"/>
  <c r="CE50" i="12" a="1"/>
  <c r="CE50" i="12" s="1"/>
  <c r="BW50" i="12" a="1"/>
  <c r="BW50" i="12" s="1"/>
  <c r="BO50" i="12" a="1"/>
  <c r="BO50" i="12" s="1"/>
  <c r="CE46" i="12" a="1"/>
  <c r="CE46" i="12" s="1"/>
  <c r="BW46" i="12" a="1"/>
  <c r="BW46" i="12" s="1"/>
  <c r="BO46" i="12" a="1"/>
  <c r="BO46" i="12" s="1"/>
  <c r="BX54" i="10" a="1"/>
  <c r="BX54" i="10" s="1"/>
  <c r="BP56" i="10" a="1"/>
  <c r="BP56" i="10" s="1"/>
  <c r="AF67" i="10" a="1"/>
  <c r="AF67" i="10" s="1"/>
  <c r="BE67" i="10" a="1"/>
  <c r="BE67" i="10" s="1"/>
  <c r="CB67" i="10" a="1"/>
  <c r="CB67" i="10" s="1"/>
  <c r="X70" i="10" a="1"/>
  <c r="X70" i="10" s="1"/>
  <c r="AU70" i="10" a="1"/>
  <c r="AU70" i="10" s="1"/>
  <c r="BN70" i="10" a="1"/>
  <c r="BN70" i="10" s="1"/>
  <c r="CD70" i="10" a="1"/>
  <c r="CD70" i="10" s="1"/>
  <c r="R71" i="10" a="1"/>
  <c r="R71" i="10" s="1"/>
  <c r="AH71" i="10" a="1"/>
  <c r="AH71" i="10" s="1"/>
  <c r="AU71" i="10" a="1"/>
  <c r="AU71" i="10" s="1"/>
  <c r="BG71" i="10" a="1"/>
  <c r="BG71" i="10" s="1"/>
  <c r="BT71" i="10" a="1"/>
  <c r="BT71" i="10" s="1"/>
  <c r="F77" i="10" a="1"/>
  <c r="F77" i="10" s="1"/>
  <c r="O77" i="10" a="1"/>
  <c r="O77" i="10" s="1"/>
  <c r="X77" i="10" a="1"/>
  <c r="X77" i="10" s="1"/>
  <c r="AG77" i="10" a="1"/>
  <c r="AG77" i="10" s="1"/>
  <c r="AP77" i="10" a="1"/>
  <c r="AP77" i="10" s="1"/>
  <c r="AY77" i="10" a="1"/>
  <c r="AY77" i="10" s="1"/>
  <c r="BH77" i="10" a="1"/>
  <c r="BH77" i="10" s="1"/>
  <c r="BP77" i="10" a="1"/>
  <c r="BP77" i="10" s="1"/>
  <c r="BX77" i="10" a="1"/>
  <c r="BX77" i="10" s="1"/>
  <c r="D80" i="10" a="1"/>
  <c r="D80" i="10" s="1"/>
  <c r="L80" i="10" a="1"/>
  <c r="L80" i="10" s="1"/>
  <c r="T80" i="10" a="1"/>
  <c r="T80" i="10" s="1"/>
  <c r="AB80" i="10" a="1"/>
  <c r="AB80" i="10" s="1"/>
  <c r="AJ80" i="10" a="1"/>
  <c r="AJ80" i="10" s="1"/>
  <c r="AR80" i="10" a="1"/>
  <c r="AR80" i="10" s="1"/>
  <c r="AZ80" i="10" a="1"/>
  <c r="AZ80" i="10" s="1"/>
  <c r="BH80" i="10" a="1"/>
  <c r="BH80" i="10" s="1"/>
  <c r="BP80" i="10" a="1"/>
  <c r="BP80" i="10" s="1"/>
  <c r="BX80" i="10" a="1"/>
  <c r="BX80" i="10" s="1"/>
  <c r="D83" i="10" a="1"/>
  <c r="D83" i="10" s="1"/>
  <c r="L83" i="10" a="1"/>
  <c r="L83" i="10" s="1"/>
  <c r="T83" i="10" a="1"/>
  <c r="T83" i="10" s="1"/>
  <c r="AB83" i="10" a="1"/>
  <c r="AB83" i="10" s="1"/>
  <c r="AJ83" i="10" a="1"/>
  <c r="AJ83" i="10" s="1"/>
  <c r="AR83" i="10" a="1"/>
  <c r="AR83" i="10" s="1"/>
  <c r="AZ83" i="10" a="1"/>
  <c r="AZ83" i="10" s="1"/>
  <c r="BH83" i="10" a="1"/>
  <c r="BH83" i="10" s="1"/>
  <c r="BP83" i="10" a="1"/>
  <c r="BP83" i="10" s="1"/>
  <c r="BX83" i="10" a="1"/>
  <c r="BX83" i="10" s="1"/>
  <c r="BQ80" i="12" a="1"/>
  <c r="BQ80" i="12" s="1"/>
  <c r="BY80" i="12" a="1"/>
  <c r="BY80" i="12" s="1"/>
  <c r="BM83" i="12" a="1"/>
  <c r="BM83" i="12" s="1"/>
  <c r="BU83" i="12" a="1"/>
  <c r="BU83" i="12" s="1"/>
  <c r="CC83" i="12" a="1"/>
  <c r="CC83" i="12" s="1"/>
  <c r="BP77" i="12" a="1"/>
  <c r="BP77" i="12" s="1"/>
  <c r="BX77" i="12" a="1"/>
  <c r="BX77" i="12" s="1"/>
  <c r="CE77" i="12" a="1"/>
  <c r="CE77" i="12" s="1"/>
  <c r="BM67" i="12" a="1"/>
  <c r="BM67" i="12" s="1"/>
  <c r="BU67" i="12" a="1"/>
  <c r="BU67" i="12" s="1"/>
  <c r="CC67" i="12" a="1"/>
  <c r="CC67" i="12" s="1"/>
  <c r="BL70" i="12" a="1"/>
  <c r="BL70" i="12" s="1"/>
  <c r="BT70" i="12" a="1"/>
  <c r="BT70" i="12" s="1"/>
  <c r="CB70" i="12" a="1"/>
  <c r="CB70" i="12" s="1"/>
  <c r="BP71" i="12" a="1"/>
  <c r="BP71" i="12" s="1"/>
  <c r="BX71" i="12" a="1"/>
  <c r="BX71" i="12" s="1"/>
  <c r="CC56" i="12" a="1"/>
  <c r="CC56" i="12" s="1"/>
  <c r="BU56" i="12" a="1"/>
  <c r="BU56" i="12" s="1"/>
  <c r="BN56" i="12" a="1"/>
  <c r="BN56" i="12" s="1"/>
  <c r="CD54" i="12" a="1"/>
  <c r="CD54" i="12" s="1"/>
  <c r="BV54" i="12" a="1"/>
  <c r="BV54" i="12" s="1"/>
  <c r="BN54" i="12" a="1"/>
  <c r="BN54" i="12" s="1"/>
  <c r="CD50" i="12" a="1"/>
  <c r="CD50" i="12" s="1"/>
  <c r="BV50" i="12" a="1"/>
  <c r="BV50" i="12" s="1"/>
  <c r="BN50" i="12" a="1"/>
  <c r="BN50" i="12" s="1"/>
  <c r="CD46" i="12" a="1"/>
  <c r="CD46" i="12" s="1"/>
  <c r="BV46" i="12" a="1"/>
  <c r="BV46" i="12" s="1"/>
  <c r="BN46" i="12" a="1"/>
  <c r="BN46" i="12" s="1"/>
  <c r="BU29" i="10" a="1"/>
  <c r="BU29" i="10" s="1"/>
  <c r="K56" i="10" a="1"/>
  <c r="K56" i="10" s="1"/>
  <c r="BX56" i="10" a="1"/>
  <c r="BX56" i="10" s="1"/>
  <c r="AG67" i="10" a="1"/>
  <c r="AG67" i="10" s="1"/>
  <c r="BG67" i="10" a="1"/>
  <c r="BG67" i="10" s="1"/>
  <c r="CC67" i="10" a="1"/>
  <c r="CC67" i="10" s="1"/>
  <c r="G70" i="10" a="1"/>
  <c r="G70" i="10" s="1"/>
  <c r="Z70" i="10" a="1"/>
  <c r="Z70" i="10" s="1"/>
  <c r="AV70" i="10" a="1"/>
  <c r="AV70" i="10" s="1"/>
  <c r="BO70" i="10" a="1"/>
  <c r="BO70" i="10" s="1"/>
  <c r="CE70" i="10" a="1"/>
  <c r="CE70" i="10" s="1"/>
  <c r="S71" i="10" a="1"/>
  <c r="S71" i="10" s="1"/>
  <c r="AI71" i="10" a="1"/>
  <c r="AI71" i="10" s="1"/>
  <c r="AV71" i="10" a="1"/>
  <c r="AV71" i="10" s="1"/>
  <c r="BI71" i="10" a="1"/>
  <c r="BI71" i="10" s="1"/>
  <c r="BV71" i="10" a="1"/>
  <c r="BV71" i="10" s="1"/>
  <c r="G77" i="10" a="1"/>
  <c r="G77" i="10" s="1"/>
  <c r="P77" i="10" a="1"/>
  <c r="P77" i="10" s="1"/>
  <c r="Y77" i="10" a="1"/>
  <c r="Y77" i="10" s="1"/>
  <c r="AH77" i="10" a="1"/>
  <c r="AH77" i="10" s="1"/>
  <c r="AQ77" i="10" a="1"/>
  <c r="AQ77" i="10" s="1"/>
  <c r="BA77" i="10" a="1"/>
  <c r="BA77" i="10" s="1"/>
  <c r="BI77" i="10" a="1"/>
  <c r="BI77" i="10" s="1"/>
  <c r="BQ77" i="10" a="1"/>
  <c r="BQ77" i="10" s="1"/>
  <c r="BY77" i="10" a="1"/>
  <c r="BY77" i="10" s="1"/>
  <c r="E80" i="10" a="1"/>
  <c r="E80" i="10" s="1"/>
  <c r="M80" i="10" a="1"/>
  <c r="M80" i="10" s="1"/>
  <c r="U80" i="10" a="1"/>
  <c r="U80" i="10" s="1"/>
  <c r="AC80" i="10" a="1"/>
  <c r="AC80" i="10" s="1"/>
  <c r="AK80" i="10" a="1"/>
  <c r="AK80" i="10" s="1"/>
  <c r="AS80" i="10" a="1"/>
  <c r="AS80" i="10" s="1"/>
  <c r="BA80" i="10" a="1"/>
  <c r="BA80" i="10" s="1"/>
  <c r="BI80" i="10" a="1"/>
  <c r="BI80" i="10" s="1"/>
  <c r="BQ80" i="10" a="1"/>
  <c r="BQ80" i="10" s="1"/>
  <c r="BY80" i="10" a="1"/>
  <c r="BY80" i="10" s="1"/>
  <c r="E83" i="10" a="1"/>
  <c r="E83" i="10" s="1"/>
  <c r="M83" i="10" a="1"/>
  <c r="M83" i="10" s="1"/>
  <c r="U83" i="10" a="1"/>
  <c r="U83" i="10" s="1"/>
  <c r="AC83" i="10" a="1"/>
  <c r="AC83" i="10" s="1"/>
  <c r="AK83" i="10" a="1"/>
  <c r="AK83" i="10" s="1"/>
  <c r="AS83" i="10" a="1"/>
  <c r="AS83" i="10" s="1"/>
  <c r="BA83" i="10" a="1"/>
  <c r="BA83" i="10" s="1"/>
  <c r="BI83" i="10" a="1"/>
  <c r="BI83" i="10" s="1"/>
  <c r="BQ83" i="10" a="1"/>
  <c r="BQ83" i="10" s="1"/>
  <c r="BY83" i="10" a="1"/>
  <c r="BY83" i="10" s="1"/>
  <c r="BR80" i="12" a="1"/>
  <c r="BR80" i="12" s="1"/>
  <c r="BZ80" i="12" a="1"/>
  <c r="BZ80" i="12" s="1"/>
  <c r="BN83" i="12" a="1"/>
  <c r="BN83" i="12" s="1"/>
  <c r="BV83" i="12" a="1"/>
  <c r="BV83" i="12" s="1"/>
  <c r="CD83" i="12" a="1"/>
  <c r="CD83" i="12" s="1"/>
  <c r="BQ77" i="12" a="1"/>
  <c r="BQ77" i="12" s="1"/>
  <c r="BY77" i="12" a="1"/>
  <c r="BY77" i="12" s="1"/>
  <c r="BN67" i="12" a="1"/>
  <c r="BN67" i="12" s="1"/>
  <c r="BV67" i="12" a="1"/>
  <c r="BV67" i="12" s="1"/>
  <c r="CD67" i="12" a="1"/>
  <c r="CD67" i="12" s="1"/>
  <c r="BM70" i="12" a="1"/>
  <c r="BM70" i="12" s="1"/>
  <c r="BU70" i="12" a="1"/>
  <c r="BU70" i="12" s="1"/>
  <c r="CC70" i="12" a="1"/>
  <c r="CC70" i="12" s="1"/>
  <c r="BQ71" i="12" a="1"/>
  <c r="BQ71" i="12" s="1"/>
  <c r="BY71" i="12" a="1"/>
  <c r="BY71" i="12" s="1"/>
  <c r="CB56" i="12" a="1"/>
  <c r="CB56" i="12" s="1"/>
  <c r="BT56" i="12" a="1"/>
  <c r="BT56" i="12" s="1"/>
  <c r="BM56" i="12" a="1"/>
  <c r="BM56" i="12" s="1"/>
  <c r="CC54" i="12" a="1"/>
  <c r="CC54" i="12" s="1"/>
  <c r="BU54" i="12" a="1"/>
  <c r="BU54" i="12" s="1"/>
  <c r="BM54" i="12" a="1"/>
  <c r="BM54" i="12" s="1"/>
  <c r="CC50" i="12" a="1"/>
  <c r="CC50" i="12" s="1"/>
  <c r="BU50" i="12" a="1"/>
  <c r="BU50" i="12" s="1"/>
  <c r="BM50" i="12" a="1"/>
  <c r="BM50" i="12" s="1"/>
  <c r="CC46" i="12" a="1"/>
  <c r="CC46" i="12" s="1"/>
  <c r="BU46" i="12" a="1"/>
  <c r="BU46" i="12" s="1"/>
  <c r="BM46" i="12" a="1"/>
  <c r="BM46" i="12" s="1"/>
  <c r="BN29" i="12" a="1"/>
  <c r="BN29" i="12" s="1"/>
  <c r="BU29" i="12" a="1"/>
  <c r="BU29" i="12" s="1"/>
  <c r="CC29" i="12" a="1"/>
  <c r="CC29" i="12" s="1"/>
  <c r="BM33" i="12" a="1"/>
  <c r="BM33" i="12" s="1"/>
  <c r="BU33" i="12" a="1"/>
  <c r="BU33" i="12" s="1"/>
  <c r="CC33" i="12" a="1"/>
  <c r="CC33" i="12" s="1"/>
  <c r="BM37" i="12" a="1"/>
  <c r="BM37" i="12" s="1"/>
  <c r="BU37" i="12" a="1"/>
  <c r="BU37" i="12" s="1"/>
  <c r="CC37" i="12" a="1"/>
  <c r="CC37" i="12" s="1"/>
  <c r="BM41" i="12" a="1"/>
  <c r="BM41" i="12" s="1"/>
  <c r="BU41" i="12" a="1"/>
  <c r="BU41" i="12" s="1"/>
  <c r="CC41" i="12" a="1"/>
  <c r="CC41" i="12" s="1"/>
  <c r="BR5" i="12" a="1"/>
  <c r="BR5" i="12" s="1"/>
  <c r="BZ5" i="12" a="1"/>
  <c r="BZ5" i="12" s="1"/>
  <c r="BP12" i="12" a="1"/>
  <c r="BP12" i="12" s="1"/>
  <c r="BX12" i="12" a="1"/>
  <c r="BX12" i="12" s="1"/>
  <c r="CE12" i="12" a="1"/>
  <c r="CE12" i="12" s="1"/>
  <c r="BL16" i="12" a="1"/>
  <c r="BL16" i="12" s="1"/>
  <c r="BT16" i="12" a="1"/>
  <c r="BT16" i="12" s="1"/>
  <c r="CA16" i="12" a="1"/>
  <c r="CA16" i="12" s="1"/>
  <c r="BZ20" i="12" a="1"/>
  <c r="BZ20" i="12" s="1"/>
  <c r="I33" i="10" a="1"/>
  <c r="I33" i="10" s="1"/>
  <c r="AT41" i="10" a="1"/>
  <c r="AT41" i="10" s="1"/>
  <c r="L54" i="10" a="1"/>
  <c r="L54" i="10" s="1"/>
  <c r="T56" i="10" a="1"/>
  <c r="T56" i="10" s="1"/>
  <c r="I67" i="10" a="1"/>
  <c r="I67" i="10" s="1"/>
  <c r="AN67" i="10" a="1"/>
  <c r="AN67" i="10" s="1"/>
  <c r="BL67" i="10" a="1"/>
  <c r="BL67" i="10" s="1"/>
  <c r="CE67" i="10" a="1"/>
  <c r="CE67" i="10" s="1"/>
  <c r="H70" i="10" a="1"/>
  <c r="H70" i="10" s="1"/>
  <c r="AE70" i="10" a="1"/>
  <c r="AE70" i="10" s="1"/>
  <c r="AX70" i="10" a="1"/>
  <c r="AX70" i="10" s="1"/>
  <c r="BS70" i="10" a="1"/>
  <c r="BS70" i="10" s="1"/>
  <c r="G71" i="10" a="1"/>
  <c r="G71" i="10" s="1"/>
  <c r="W71" i="10" a="1"/>
  <c r="W71" i="10" s="1"/>
  <c r="AK71" i="10" a="1"/>
  <c r="AK71" i="10" s="1"/>
  <c r="AX71" i="10" a="1"/>
  <c r="AX71" i="10" s="1"/>
  <c r="BK71" i="10" a="1"/>
  <c r="BK71" i="10" s="1"/>
  <c r="BW71" i="10" a="1"/>
  <c r="BW71" i="10" s="1"/>
  <c r="H77" i="10" a="1"/>
  <c r="H77" i="10" s="1"/>
  <c r="Q77" i="10" a="1"/>
  <c r="Q77" i="10" s="1"/>
  <c r="Z77" i="10" a="1"/>
  <c r="Z77" i="10" s="1"/>
  <c r="AI77" i="10" a="1"/>
  <c r="AI77" i="10" s="1"/>
  <c r="AS77" i="10" a="1"/>
  <c r="AS77" i="10" s="1"/>
  <c r="BB77" i="10" a="1"/>
  <c r="BB77" i="10" s="1"/>
  <c r="BJ77" i="10" a="1"/>
  <c r="BJ77" i="10" s="1"/>
  <c r="BR77" i="10" a="1"/>
  <c r="BR77" i="10" s="1"/>
  <c r="BZ77" i="10" a="1"/>
  <c r="BZ77" i="10" s="1"/>
  <c r="F80" i="10" a="1"/>
  <c r="F80" i="10" s="1"/>
  <c r="N80" i="10" a="1"/>
  <c r="N80" i="10" s="1"/>
  <c r="V80" i="10" a="1"/>
  <c r="V80" i="10" s="1"/>
  <c r="AD80" i="10" a="1"/>
  <c r="AD80" i="10" s="1"/>
  <c r="AL80" i="10" a="1"/>
  <c r="AL80" i="10" s="1"/>
  <c r="AT80" i="10" a="1"/>
  <c r="AT80" i="10" s="1"/>
  <c r="BB80" i="10" a="1"/>
  <c r="BB80" i="10" s="1"/>
  <c r="BJ80" i="10" a="1"/>
  <c r="BJ80" i="10" s="1"/>
  <c r="BR80" i="10" a="1"/>
  <c r="BR80" i="10" s="1"/>
  <c r="BZ80" i="10" a="1"/>
  <c r="BZ80" i="10" s="1"/>
  <c r="F83" i="10" a="1"/>
  <c r="F83" i="10" s="1"/>
  <c r="N83" i="10" a="1"/>
  <c r="N83" i="10" s="1"/>
  <c r="V83" i="10" a="1"/>
  <c r="V83" i="10" s="1"/>
  <c r="AD83" i="10" a="1"/>
  <c r="AD83" i="10" s="1"/>
  <c r="AL83" i="10" a="1"/>
  <c r="AL83" i="10" s="1"/>
  <c r="AT83" i="10" a="1"/>
  <c r="AT83" i="10" s="1"/>
  <c r="BB83" i="10" a="1"/>
  <c r="BB83" i="10" s="1"/>
  <c r="BJ83" i="10" a="1"/>
  <c r="BJ83" i="10" s="1"/>
  <c r="BR83" i="10" a="1"/>
  <c r="BR83" i="10" s="1"/>
  <c r="BZ83" i="10" a="1"/>
  <c r="BZ83" i="10" s="1"/>
  <c r="BS80" i="12" a="1"/>
  <c r="BS80" i="12" s="1"/>
  <c r="CA80" i="12" a="1"/>
  <c r="CA80" i="12" s="1"/>
  <c r="BO83" i="12" a="1"/>
  <c r="BO83" i="12" s="1"/>
  <c r="BW83" i="12" a="1"/>
  <c r="BW83" i="12" s="1"/>
  <c r="CE83" i="12" a="1"/>
  <c r="CE83" i="12" s="1"/>
  <c r="BR77" i="12" a="1"/>
  <c r="BR77" i="12" s="1"/>
  <c r="BZ77" i="12" a="1"/>
  <c r="BZ77" i="12" s="1"/>
  <c r="BO67" i="12" a="1"/>
  <c r="BO67" i="12" s="1"/>
  <c r="BW67" i="12" a="1"/>
  <c r="BW67" i="12" s="1"/>
  <c r="CE67" i="12" a="1"/>
  <c r="CE67" i="12" s="1"/>
  <c r="BN70" i="12" a="1"/>
  <c r="BN70" i="12" s="1"/>
  <c r="BV70" i="12" a="1"/>
  <c r="BV70" i="12" s="1"/>
  <c r="CD70" i="12" a="1"/>
  <c r="CD70" i="12" s="1"/>
  <c r="BR71" i="12" a="1"/>
  <c r="BR71" i="12" s="1"/>
  <c r="BZ71" i="12" a="1"/>
  <c r="BZ71" i="12" s="1"/>
  <c r="CA56" i="12" a="1"/>
  <c r="CA56" i="12" s="1"/>
  <c r="BS56" i="12" a="1"/>
  <c r="BS56" i="12" s="1"/>
  <c r="BL56" i="12" a="1"/>
  <c r="BL56" i="12" s="1"/>
  <c r="CB54" i="12" a="1"/>
  <c r="CB54" i="12" s="1"/>
  <c r="BT54" i="12" a="1"/>
  <c r="BT54" i="12" s="1"/>
  <c r="BL54" i="12" a="1"/>
  <c r="BL54" i="12" s="1"/>
  <c r="CB50" i="12" a="1"/>
  <c r="CB50" i="12" s="1"/>
  <c r="BT50" i="12" a="1"/>
  <c r="BT50" i="12" s="1"/>
  <c r="BL50" i="12" a="1"/>
  <c r="BL50" i="12" s="1"/>
  <c r="CB46" i="12" a="1"/>
  <c r="CB46" i="12" s="1"/>
  <c r="BT46" i="12" a="1"/>
  <c r="BT46" i="12" s="1"/>
  <c r="BL46" i="12" a="1"/>
  <c r="BL46" i="12" s="1"/>
  <c r="V50" i="10" a="1"/>
  <c r="V50" i="10" s="1"/>
  <c r="V54" i="10" a="1"/>
  <c r="V54" i="10" s="1"/>
  <c r="AB56" i="10" a="1"/>
  <c r="AB56" i="10" s="1"/>
  <c r="J67" i="10" a="1"/>
  <c r="J67" i="10" s="1"/>
  <c r="AO67" i="10" a="1"/>
  <c r="AO67" i="10" s="1"/>
  <c r="BM67" i="10" a="1"/>
  <c r="BM67" i="10" s="1"/>
  <c r="J70" i="10" a="1"/>
  <c r="J70" i="10" s="1"/>
  <c r="AF70" i="10" a="1"/>
  <c r="AF70" i="10" s="1"/>
  <c r="BC70" i="10" a="1"/>
  <c r="BC70" i="10" s="1"/>
  <c r="BT70" i="10" a="1"/>
  <c r="BT70" i="10" s="1"/>
  <c r="H71" i="10" a="1"/>
  <c r="H71" i="10" s="1"/>
  <c r="X71" i="10" a="1"/>
  <c r="X71" i="10" s="1"/>
  <c r="AM71" i="10" a="1"/>
  <c r="AM71" i="10" s="1"/>
  <c r="AY71" i="10" a="1"/>
  <c r="AY71" i="10" s="1"/>
  <c r="BL71" i="10" a="1"/>
  <c r="BL71" i="10" s="1"/>
  <c r="BY71" i="10" a="1"/>
  <c r="BY71" i="10" s="1"/>
  <c r="I77" i="10" a="1"/>
  <c r="I77" i="10" s="1"/>
  <c r="R77" i="10" a="1"/>
  <c r="R77" i="10" s="1"/>
  <c r="AA77" i="10" a="1"/>
  <c r="AA77" i="10" s="1"/>
  <c r="AK77" i="10" a="1"/>
  <c r="AK77" i="10" s="1"/>
  <c r="AT77" i="10" a="1"/>
  <c r="AT77" i="10" s="1"/>
  <c r="BC77" i="10" a="1"/>
  <c r="BC77" i="10" s="1"/>
  <c r="BK77" i="10" a="1"/>
  <c r="BK77" i="10" s="1"/>
  <c r="BS77" i="10" a="1"/>
  <c r="BS77" i="10" s="1"/>
  <c r="CA77" i="10" a="1"/>
  <c r="CA77" i="10" s="1"/>
  <c r="G80" i="10" a="1"/>
  <c r="G80" i="10" s="1"/>
  <c r="O80" i="10" a="1"/>
  <c r="O80" i="10" s="1"/>
  <c r="W80" i="10" a="1"/>
  <c r="W80" i="10" s="1"/>
  <c r="AE80" i="10" a="1"/>
  <c r="AE80" i="10" s="1"/>
  <c r="AM80" i="10" a="1"/>
  <c r="AM80" i="10" s="1"/>
  <c r="AU80" i="10" a="1"/>
  <c r="AU80" i="10" s="1"/>
  <c r="BC80" i="10" a="1"/>
  <c r="BC80" i="10" s="1"/>
  <c r="BK80" i="10" a="1"/>
  <c r="BK80" i="10" s="1"/>
  <c r="BS80" i="10" a="1"/>
  <c r="BS80" i="10" s="1"/>
  <c r="CA80" i="10" a="1"/>
  <c r="CA80" i="10" s="1"/>
  <c r="G83" i="10" a="1"/>
  <c r="G83" i="10" s="1"/>
  <c r="O83" i="10" a="1"/>
  <c r="O83" i="10" s="1"/>
  <c r="W83" i="10" a="1"/>
  <c r="W83" i="10" s="1"/>
  <c r="AE83" i="10" a="1"/>
  <c r="AE83" i="10" s="1"/>
  <c r="AM83" i="10" a="1"/>
  <c r="AM83" i="10" s="1"/>
  <c r="AU83" i="10" a="1"/>
  <c r="AU83" i="10" s="1"/>
  <c r="BC83" i="10" a="1"/>
  <c r="BC83" i="10" s="1"/>
  <c r="BK83" i="10" a="1"/>
  <c r="BK83" i="10" s="1"/>
  <c r="BS83" i="10" a="1"/>
  <c r="BS83" i="10" s="1"/>
  <c r="CA83" i="10" a="1"/>
  <c r="CA83" i="10" s="1"/>
  <c r="BL80" i="12" a="1"/>
  <c r="BL80" i="12" s="1"/>
  <c r="BT80" i="12" a="1"/>
  <c r="BT80" i="12" s="1"/>
  <c r="CB80" i="12" a="1"/>
  <c r="CB80" i="12" s="1"/>
  <c r="BP83" i="12" a="1"/>
  <c r="BP83" i="12" s="1"/>
  <c r="BX83" i="12" a="1"/>
  <c r="BX83" i="12" s="1"/>
  <c r="BS77" i="12" a="1"/>
  <c r="BS77" i="12" s="1"/>
  <c r="CA77" i="12" a="1"/>
  <c r="CA77" i="12" s="1"/>
  <c r="BP67" i="12" a="1"/>
  <c r="BP67" i="12" s="1"/>
  <c r="BX67" i="12" a="1"/>
  <c r="BX67" i="12" s="1"/>
  <c r="BO70" i="12" a="1"/>
  <c r="BO70" i="12" s="1"/>
  <c r="BW70" i="12" a="1"/>
  <c r="BW70" i="12" s="1"/>
  <c r="CE70" i="12" a="1"/>
  <c r="CE70" i="12" s="1"/>
  <c r="BS71" i="12" a="1"/>
  <c r="BS71" i="12" s="1"/>
  <c r="CA71" i="12" a="1"/>
  <c r="CA71" i="12" s="1"/>
  <c r="AS50" i="10" a="1"/>
  <c r="AS50" i="10" s="1"/>
  <c r="AG54" i="10" a="1"/>
  <c r="AG54" i="10" s="1"/>
  <c r="AJ56" i="10" a="1"/>
  <c r="AJ56" i="10" s="1"/>
  <c r="Q67" i="10" a="1"/>
  <c r="Q67" i="10" s="1"/>
  <c r="AV67" i="10" a="1"/>
  <c r="AV67" i="10" s="1"/>
  <c r="BO67" i="10" a="1"/>
  <c r="BO67" i="10" s="1"/>
  <c r="O70" i="10" a="1"/>
  <c r="O70" i="10" s="1"/>
  <c r="AH70" i="10" a="1"/>
  <c r="AH70" i="10" s="1"/>
  <c r="BD70" i="10" a="1"/>
  <c r="BD70" i="10" s="1"/>
  <c r="BV70" i="10" a="1"/>
  <c r="BV70" i="10" s="1"/>
  <c r="J71" i="10" a="1"/>
  <c r="J71" i="10" s="1"/>
  <c r="Z71" i="10" a="1"/>
  <c r="Z71" i="10" s="1"/>
  <c r="AN71" i="10" a="1"/>
  <c r="AN71" i="10" s="1"/>
  <c r="BA71" i="10" a="1"/>
  <c r="BA71" i="10" s="1"/>
  <c r="BN71" i="10" a="1"/>
  <c r="BN71" i="10" s="1"/>
  <c r="CA71" i="10" a="1"/>
  <c r="CA71" i="10" s="1"/>
  <c r="J77" i="10" a="1"/>
  <c r="J77" i="10" s="1"/>
  <c r="S77" i="10" a="1"/>
  <c r="S77" i="10" s="1"/>
  <c r="AC77" i="10" a="1"/>
  <c r="AC77" i="10" s="1"/>
  <c r="AL77" i="10" a="1"/>
  <c r="AL77" i="10" s="1"/>
  <c r="AU77" i="10" a="1"/>
  <c r="AU77" i="10" s="1"/>
  <c r="BD77" i="10" a="1"/>
  <c r="BD77" i="10" s="1"/>
  <c r="BL77" i="10" a="1"/>
  <c r="BL77" i="10" s="1"/>
  <c r="BT77" i="10" a="1"/>
  <c r="BT77" i="10" s="1"/>
  <c r="CB77" i="10" a="1"/>
  <c r="CB77" i="10" s="1"/>
  <c r="H80" i="10" a="1"/>
  <c r="H80" i="10" s="1"/>
  <c r="P80" i="10" a="1"/>
  <c r="P80" i="10" s="1"/>
  <c r="X80" i="10" a="1"/>
  <c r="X80" i="10" s="1"/>
  <c r="AF80" i="10" a="1"/>
  <c r="AF80" i="10" s="1"/>
  <c r="AN80" i="10" a="1"/>
  <c r="AN80" i="10" s="1"/>
  <c r="AV80" i="10" a="1"/>
  <c r="AV80" i="10" s="1"/>
  <c r="BD80" i="10" a="1"/>
  <c r="BD80" i="10" s="1"/>
  <c r="BL80" i="10" a="1"/>
  <c r="BL80" i="10" s="1"/>
  <c r="BT80" i="10" a="1"/>
  <c r="BT80" i="10" s="1"/>
  <c r="CB80" i="10" a="1"/>
  <c r="CB80" i="10" s="1"/>
  <c r="H83" i="10" a="1"/>
  <c r="H83" i="10" s="1"/>
  <c r="P83" i="10" a="1"/>
  <c r="P83" i="10" s="1"/>
  <c r="X83" i="10" a="1"/>
  <c r="X83" i="10" s="1"/>
  <c r="AF83" i="10" a="1"/>
  <c r="AF83" i="10" s="1"/>
  <c r="AN83" i="10" a="1"/>
  <c r="AN83" i="10" s="1"/>
  <c r="AV83" i="10" a="1"/>
  <c r="AV83" i="10" s="1"/>
  <c r="BD83" i="10" a="1"/>
  <c r="BD83" i="10" s="1"/>
  <c r="BL83" i="10" a="1"/>
  <c r="BL83" i="10" s="1"/>
  <c r="BT83" i="10" a="1"/>
  <c r="BT83" i="10" s="1"/>
  <c r="CB83" i="10" a="1"/>
  <c r="CB83" i="10" s="1"/>
  <c r="BM80" i="12" a="1"/>
  <c r="BM80" i="12" s="1"/>
  <c r="BU80" i="12" a="1"/>
  <c r="BU80" i="12" s="1"/>
  <c r="CC80" i="12" a="1"/>
  <c r="CC80" i="12" s="1"/>
  <c r="BQ83" i="12" a="1"/>
  <c r="BQ83" i="12" s="1"/>
  <c r="BY83" i="12" a="1"/>
  <c r="BY83" i="12" s="1"/>
  <c r="BL77" i="12" a="1"/>
  <c r="BL77" i="12" s="1"/>
  <c r="BT77" i="12" a="1"/>
  <c r="BT77" i="12" s="1"/>
  <c r="CB77" i="12" a="1"/>
  <c r="CB77" i="12" s="1"/>
  <c r="BQ67" i="12" a="1"/>
  <c r="BQ67" i="12" s="1"/>
  <c r="BY67" i="12" a="1"/>
  <c r="BY67" i="12" s="1"/>
  <c r="BP70" i="12" a="1"/>
  <c r="BP70" i="12" s="1"/>
  <c r="BX70" i="12" a="1"/>
  <c r="BX70" i="12" s="1"/>
  <c r="BL71" i="12" a="1"/>
  <c r="BL71" i="12" s="1"/>
  <c r="BT71" i="12" a="1"/>
  <c r="BT71" i="12" s="1"/>
  <c r="CB71" i="12" a="1"/>
  <c r="CB71" i="12" s="1"/>
  <c r="BY56" i="12" a="1"/>
  <c r="BY56" i="12" s="1"/>
  <c r="BQ56" i="12" a="1"/>
  <c r="BQ56" i="12" s="1"/>
  <c r="BZ54" i="12" a="1"/>
  <c r="BZ54" i="12" s="1"/>
  <c r="BR54" i="12" a="1"/>
  <c r="BR54" i="12" s="1"/>
  <c r="BZ50" i="12" a="1"/>
  <c r="BZ50" i="12" s="1"/>
  <c r="BR50" i="12" a="1"/>
  <c r="BR50" i="12" s="1"/>
  <c r="BZ46" i="12" a="1"/>
  <c r="BZ46" i="12" s="1"/>
  <c r="BR46" i="12" a="1"/>
  <c r="BR46" i="12" s="1"/>
  <c r="BQ29" i="12" a="1"/>
  <c r="BQ29" i="12" s="1"/>
  <c r="BX29" i="12" a="1"/>
  <c r="BX29" i="12" s="1"/>
  <c r="BP33" i="12" a="1"/>
  <c r="BP33" i="12" s="1"/>
  <c r="BX33" i="12" a="1"/>
  <c r="BX33" i="12" s="1"/>
  <c r="BP37" i="12" a="1"/>
  <c r="BP37" i="12" s="1"/>
  <c r="BX37" i="12" a="1"/>
  <c r="BX37" i="12" s="1"/>
  <c r="BP41" i="12" a="1"/>
  <c r="BP41" i="12" s="1"/>
  <c r="BX41" i="12" a="1"/>
  <c r="BX41" i="12" s="1"/>
  <c r="BB54" i="10" a="1"/>
  <c r="BB54" i="10" s="1"/>
  <c r="AZ56" i="10" a="1"/>
  <c r="AZ56" i="10" s="1"/>
  <c r="Y67" i="10" a="1"/>
  <c r="Y67" i="10" s="1"/>
  <c r="AY67" i="10" a="1"/>
  <c r="AY67" i="10" s="1"/>
  <c r="BU67" i="10" a="1"/>
  <c r="BU67" i="10" s="1"/>
  <c r="R70" i="10" a="1"/>
  <c r="R70" i="10" s="1"/>
  <c r="AN70" i="10" a="1"/>
  <c r="AN70" i="10" s="1"/>
  <c r="BK70" i="10" a="1"/>
  <c r="BK70" i="10" s="1"/>
  <c r="CA70" i="10" a="1"/>
  <c r="CA70" i="10" s="1"/>
  <c r="O71" i="10" a="1"/>
  <c r="O71" i="10" s="1"/>
  <c r="AE71" i="10" a="1"/>
  <c r="AE71" i="10" s="1"/>
  <c r="AQ71" i="10" a="1"/>
  <c r="AQ71" i="10" s="1"/>
  <c r="BD71" i="10" a="1"/>
  <c r="BD71" i="10" s="1"/>
  <c r="BQ71" i="10" a="1"/>
  <c r="BQ71" i="10" s="1"/>
  <c r="CD71" i="10" a="1"/>
  <c r="CD71" i="10" s="1"/>
  <c r="M77" i="10" a="1"/>
  <c r="M77" i="10" s="1"/>
  <c r="V77" i="10" a="1"/>
  <c r="V77" i="10" s="1"/>
  <c r="AE77" i="10" a="1"/>
  <c r="AE77" i="10" s="1"/>
  <c r="AN77" i="10" a="1"/>
  <c r="AN77" i="10" s="1"/>
  <c r="AW77" i="10" a="1"/>
  <c r="AW77" i="10" s="1"/>
  <c r="BF77" i="10" a="1"/>
  <c r="BF77" i="10" s="1"/>
  <c r="BN77" i="10" a="1"/>
  <c r="BN77" i="10" s="1"/>
  <c r="BV77" i="10" a="1"/>
  <c r="BV77" i="10" s="1"/>
  <c r="CD77" i="10" a="1"/>
  <c r="CD77" i="10" s="1"/>
  <c r="J80" i="10" a="1"/>
  <c r="J80" i="10" s="1"/>
  <c r="R80" i="10" a="1"/>
  <c r="R80" i="10" s="1"/>
  <c r="Z80" i="10" a="1"/>
  <c r="Z80" i="10" s="1"/>
  <c r="AH80" i="10" a="1"/>
  <c r="AH80" i="10" s="1"/>
  <c r="AP80" i="10" a="1"/>
  <c r="AP80" i="10" s="1"/>
  <c r="AX80" i="10" a="1"/>
  <c r="AX80" i="10" s="1"/>
  <c r="BF80" i="10" a="1"/>
  <c r="BF80" i="10" s="1"/>
  <c r="BN80" i="10" a="1"/>
  <c r="BN80" i="10" s="1"/>
  <c r="BV80" i="10" a="1"/>
  <c r="BV80" i="10" s="1"/>
  <c r="CD80" i="10" a="1"/>
  <c r="CD80" i="10" s="1"/>
  <c r="J83" i="10" a="1"/>
  <c r="J83" i="10" s="1"/>
  <c r="R83" i="10" a="1"/>
  <c r="R83" i="10" s="1"/>
  <c r="Z83" i="10" a="1"/>
  <c r="Z83" i="10" s="1"/>
  <c r="AH83" i="10" a="1"/>
  <c r="AH83" i="10" s="1"/>
  <c r="AP83" i="10" a="1"/>
  <c r="AP83" i="10" s="1"/>
  <c r="AX83" i="10" a="1"/>
  <c r="AX83" i="10" s="1"/>
  <c r="BF83" i="10" a="1"/>
  <c r="BF83" i="10" s="1"/>
  <c r="BN83" i="10" a="1"/>
  <c r="BN83" i="10" s="1"/>
  <c r="BV83" i="10" a="1"/>
  <c r="BV83" i="10" s="1"/>
  <c r="CD83" i="10" a="1"/>
  <c r="CD83" i="10" s="1"/>
  <c r="BO80" i="12" a="1"/>
  <c r="BO80" i="12" s="1"/>
  <c r="BW80" i="12" a="1"/>
  <c r="BW80" i="12" s="1"/>
  <c r="CE80" i="12" a="1"/>
  <c r="CE80" i="12" s="1"/>
  <c r="BS83" i="12" a="1"/>
  <c r="BS83" i="12" s="1"/>
  <c r="CA83" i="12" a="1"/>
  <c r="CA83" i="12" s="1"/>
  <c r="BN77" i="12" a="1"/>
  <c r="BN77" i="12" s="1"/>
  <c r="BV77" i="12" a="1"/>
  <c r="BV77" i="12" s="1"/>
  <c r="CD77" i="12" a="1"/>
  <c r="CD77" i="12" s="1"/>
  <c r="BS67" i="12" a="1"/>
  <c r="BS67" i="12" s="1"/>
  <c r="CA67" i="12" a="1"/>
  <c r="CA67" i="12" s="1"/>
  <c r="BR70" i="12" a="1"/>
  <c r="BR70" i="12" s="1"/>
  <c r="BZ70" i="12" a="1"/>
  <c r="BZ70" i="12" s="1"/>
  <c r="BN71" i="12" a="1"/>
  <c r="BN71" i="12" s="1"/>
  <c r="BV71" i="12" a="1"/>
  <c r="BV71" i="12" s="1"/>
  <c r="CD71" i="12" a="1"/>
  <c r="CD71" i="12" s="1"/>
  <c r="CE56" i="12" a="1"/>
  <c r="CE56" i="12" s="1"/>
  <c r="BW56" i="12" a="1"/>
  <c r="BW56" i="12" s="1"/>
  <c r="BP56" i="12" a="1"/>
  <c r="BP56" i="12" s="1"/>
  <c r="BX54" i="12" a="1"/>
  <c r="BX54" i="12" s="1"/>
  <c r="BP54" i="12" a="1"/>
  <c r="BP54" i="12" s="1"/>
  <c r="BX50" i="12" a="1"/>
  <c r="BX50" i="12" s="1"/>
  <c r="BP50" i="12" a="1"/>
  <c r="BP50" i="12" s="1"/>
  <c r="BX46" i="12" a="1"/>
  <c r="BX46" i="12" s="1"/>
  <c r="BP46" i="12" a="1"/>
  <c r="BP46" i="12" s="1"/>
  <c r="BS29" i="12" a="1"/>
  <c r="BS29" i="12" s="1"/>
  <c r="BZ29" i="12" a="1"/>
  <c r="BZ29" i="12" s="1"/>
  <c r="BR33" i="12" a="1"/>
  <c r="BR33" i="12" s="1"/>
  <c r="BZ33" i="12" a="1"/>
  <c r="BZ33" i="12" s="1"/>
  <c r="BR37" i="12" a="1"/>
  <c r="BR37" i="12" s="1"/>
  <c r="BZ37" i="12" a="1"/>
  <c r="BZ37" i="12" s="1"/>
  <c r="BR41" i="12" a="1"/>
  <c r="BR41" i="12" s="1"/>
  <c r="BZ41" i="12" a="1"/>
  <c r="BZ41" i="12" s="1"/>
  <c r="BO5" i="12" a="1"/>
  <c r="BO5" i="12" s="1"/>
  <c r="BW5" i="12" a="1"/>
  <c r="BW5" i="12" s="1"/>
  <c r="CE5" i="12" a="1"/>
  <c r="CE5" i="12" s="1"/>
  <c r="BM12" i="12" a="1"/>
  <c r="BM12" i="12" s="1"/>
  <c r="BU12" i="12" a="1"/>
  <c r="BU12" i="12" s="1"/>
  <c r="CC12" i="12" a="1"/>
  <c r="CC12" i="12" s="1"/>
  <c r="BQ16" i="12" a="1"/>
  <c r="BQ16" i="12" s="1"/>
  <c r="BY16" i="12" a="1"/>
  <c r="BY16" i="12" s="1"/>
  <c r="BP20" i="12" a="1"/>
  <c r="BP20" i="12" s="1"/>
  <c r="BW20" i="12" a="1"/>
  <c r="BW20" i="12" s="1"/>
  <c r="CE20" i="12" a="1"/>
  <c r="CE20" i="12" s="1"/>
  <c r="BO24" i="12" a="1"/>
  <c r="BO24" i="12" s="1"/>
  <c r="BS12" i="12" a="1"/>
  <c r="BS12" i="12" s="1"/>
  <c r="CB37" i="12" a="1"/>
  <c r="CB37" i="12" s="1"/>
  <c r="BS33" i="12" a="1"/>
  <c r="BS33" i="12" s="1"/>
  <c r="CD24" i="12" a="1"/>
  <c r="CD24" i="12" s="1"/>
  <c r="BR24" i="12" a="1"/>
  <c r="BR24" i="12" s="1"/>
  <c r="BQ23" i="12" a="1"/>
  <c r="BQ23" i="12" s="1"/>
  <c r="BY24" i="12" a="1"/>
  <c r="BY24" i="12" s="1"/>
  <c r="BQ24" i="12" a="1"/>
  <c r="BQ24" i="12" s="1"/>
  <c r="BW23" i="12" a="1"/>
  <c r="BW23" i="12" s="1"/>
  <c r="CC22" i="12" a="1"/>
  <c r="CC22" i="12" s="1"/>
  <c r="BV22" i="12" a="1"/>
  <c r="BV22" i="12" s="1"/>
  <c r="BN22" i="12" a="1"/>
  <c r="BN22" i="12" s="1"/>
  <c r="BY21" i="12" a="1"/>
  <c r="BY21" i="12" s="1"/>
  <c r="BQ21" i="12" a="1"/>
  <c r="BQ21" i="12" s="1"/>
  <c r="CA20" i="12" a="1"/>
  <c r="CA20" i="12" s="1"/>
  <c r="BZ19" i="12" a="1"/>
  <c r="BZ19" i="12" s="1"/>
  <c r="BY18" i="12" a="1"/>
  <c r="BY18" i="12" s="1"/>
  <c r="BX17" i="12" a="1"/>
  <c r="BX17" i="12" s="1"/>
  <c r="BW16" i="12" a="1"/>
  <c r="BW16" i="12" s="1"/>
  <c r="BM16" i="12" a="1"/>
  <c r="BM16" i="12" s="1"/>
  <c r="BV14" i="12" a="1"/>
  <c r="BV14" i="12" s="1"/>
  <c r="BV13" i="12" a="1"/>
  <c r="BV13" i="12" s="1"/>
  <c r="CE11" i="12" a="1"/>
  <c r="CE11" i="12" s="1"/>
  <c r="CD9" i="12" a="1"/>
  <c r="CD9" i="12" s="1"/>
  <c r="BT9" i="12" a="1"/>
  <c r="BT9" i="12" s="1"/>
  <c r="CC5" i="12" a="1"/>
  <c r="CC5" i="12" s="1"/>
  <c r="CB4" i="12" a="1"/>
  <c r="CB4" i="12" s="1"/>
  <c r="BZ3" i="12" a="1"/>
  <c r="BZ3" i="12" s="1"/>
  <c r="BM3" i="12" a="1"/>
  <c r="BM3" i="12" s="1"/>
  <c r="CB41" i="12" a="1"/>
  <c r="CB41" i="12" s="1"/>
  <c r="BO41" i="12" a="1"/>
  <c r="BO41" i="12" s="1"/>
  <c r="BW40" i="12" a="1"/>
  <c r="BW40" i="12" s="1"/>
  <c r="CD39" i="12" a="1"/>
  <c r="CD39" i="12" s="1"/>
  <c r="BQ39" i="12" a="1"/>
  <c r="BQ39" i="12" s="1"/>
  <c r="BS37" i="12" a="1"/>
  <c r="BS37" i="12" s="1"/>
  <c r="BL57" i="12" a="1"/>
  <c r="BL57" i="12" s="1"/>
  <c r="S84" i="12" a="1"/>
  <c r="S84" i="12" s="1"/>
  <c r="N84" i="12" a="1"/>
  <c r="N84" i="12" s="1"/>
  <c r="V81" i="12" a="1"/>
  <c r="V81" i="12" s="1"/>
  <c r="O81" i="12" a="1"/>
  <c r="O81" i="12" s="1"/>
  <c r="H81" i="12" a="1"/>
  <c r="H81" i="12" s="1"/>
  <c r="W73" i="12" a="1"/>
  <c r="W73" i="12" s="1"/>
  <c r="P73" i="12" a="1"/>
  <c r="P73" i="12" s="1"/>
  <c r="I73" i="12" a="1"/>
  <c r="I73" i="12" s="1"/>
  <c r="O72" i="12" a="1"/>
  <c r="O72" i="12" s="1"/>
  <c r="I72" i="12" a="1"/>
  <c r="I72" i="12" s="1"/>
  <c r="Q68" i="12" a="1"/>
  <c r="Q68" i="12" s="1"/>
  <c r="K68" i="12" a="1"/>
  <c r="K68" i="12" s="1"/>
  <c r="M84" i="12" a="1"/>
  <c r="M84" i="12" s="1"/>
  <c r="H84" i="12" a="1"/>
  <c r="H84" i="12" s="1"/>
  <c r="U81" i="12" a="1"/>
  <c r="U81" i="12" s="1"/>
  <c r="N81" i="12" a="1"/>
  <c r="N81" i="12" s="1"/>
  <c r="G81" i="12" a="1"/>
  <c r="G81" i="12" s="1"/>
  <c r="V73" i="12" a="1"/>
  <c r="V73" i="12" s="1"/>
  <c r="O73" i="12" a="1"/>
  <c r="O73" i="12" s="1"/>
  <c r="V72" i="12" a="1"/>
  <c r="V72" i="12" s="1"/>
  <c r="H72" i="12" a="1"/>
  <c r="H72" i="12" s="1"/>
  <c r="Q84" i="12" a="1"/>
  <c r="Q84" i="12" s="1"/>
  <c r="L84" i="12" a="1"/>
  <c r="L84" i="12" s="1"/>
  <c r="S81" i="12" a="1"/>
  <c r="S81" i="12" s="1"/>
  <c r="L81" i="12" a="1"/>
  <c r="L81" i="12" s="1"/>
  <c r="E81" i="12" a="1"/>
  <c r="E81" i="12" s="1"/>
  <c r="T84" i="12" a="1"/>
  <c r="T84" i="12" s="1"/>
  <c r="I84" i="12" a="1"/>
  <c r="I84" i="12" s="1"/>
  <c r="W81" i="12" a="1"/>
  <c r="W81" i="12" s="1"/>
  <c r="P81" i="12" a="1"/>
  <c r="P81" i="12" s="1"/>
  <c r="I81" i="12" a="1"/>
  <c r="I81" i="12" s="1"/>
  <c r="Q73" i="12" a="1"/>
  <c r="Q73" i="12" s="1"/>
  <c r="J73" i="12" a="1"/>
  <c r="J73" i="12" s="1"/>
  <c r="W72" i="12" a="1"/>
  <c r="W72" i="12" s="1"/>
  <c r="P72" i="12" a="1"/>
  <c r="P72" i="12" s="1"/>
  <c r="J72" i="12" a="1"/>
  <c r="J72" i="12" s="1"/>
  <c r="R68" i="12" a="1"/>
  <c r="R68" i="12" s="1"/>
  <c r="L68" i="12" a="1"/>
  <c r="L68" i="12" s="1"/>
  <c r="E68" i="12" a="1"/>
  <c r="E68" i="12" s="1"/>
  <c r="J84" i="12" a="1"/>
  <c r="J84" i="12" s="1"/>
  <c r="Q81" i="12" a="1"/>
  <c r="Q81" i="12" s="1"/>
  <c r="N73" i="12" a="1"/>
  <c r="N73" i="12" s="1"/>
  <c r="E73" i="12" a="1"/>
  <c r="E73" i="12" s="1"/>
  <c r="M72" i="12" a="1"/>
  <c r="M72" i="12" s="1"/>
  <c r="W68" i="12" a="1"/>
  <c r="W68" i="12" s="1"/>
  <c r="F68" i="12" a="1"/>
  <c r="F68" i="12" s="1"/>
  <c r="R66" i="12" a="1"/>
  <c r="R66" i="12" s="1"/>
  <c r="L66" i="12" a="1"/>
  <c r="L66" i="12" s="1"/>
  <c r="G66" i="12" a="1"/>
  <c r="G66" i="12" s="1"/>
  <c r="P65" i="12" a="1"/>
  <c r="P65" i="12" s="1"/>
  <c r="F65" i="12" a="1"/>
  <c r="F65" i="12" s="1"/>
  <c r="R84" i="12" a="1"/>
  <c r="R84" i="12" s="1"/>
  <c r="G84" i="12" a="1"/>
  <c r="G84" i="12" s="1"/>
  <c r="M81" i="12" a="1"/>
  <c r="M81" i="12" s="1"/>
  <c r="M73" i="12" a="1"/>
  <c r="M73" i="12" s="1"/>
  <c r="V68" i="12" a="1"/>
  <c r="V68" i="12" s="1"/>
  <c r="N68" i="12" a="1"/>
  <c r="N68" i="12" s="1"/>
  <c r="W66" i="12" a="1"/>
  <c r="W66" i="12" s="1"/>
  <c r="Q66" i="12" a="1"/>
  <c r="Q66" i="12" s="1"/>
  <c r="F66" i="12" a="1"/>
  <c r="F66" i="12" s="1"/>
  <c r="U65" i="12" a="1"/>
  <c r="U65" i="12" s="1"/>
  <c r="K65" i="12" a="1"/>
  <c r="K65" i="12" s="1"/>
  <c r="F84" i="12" a="1"/>
  <c r="F84" i="12" s="1"/>
  <c r="K81" i="12" a="1"/>
  <c r="K81" i="12" s="1"/>
  <c r="L73" i="12" a="1"/>
  <c r="L73" i="12" s="1"/>
  <c r="U72" i="12" a="1"/>
  <c r="U72" i="12" s="1"/>
  <c r="L72" i="12" a="1"/>
  <c r="L72" i="12" s="1"/>
  <c r="M68" i="12" a="1"/>
  <c r="M68" i="12" s="1"/>
  <c r="P66" i="12" a="1"/>
  <c r="P66" i="12" s="1"/>
  <c r="K66" i="12" a="1"/>
  <c r="K66" i="12" s="1"/>
  <c r="T65" i="12" a="1"/>
  <c r="T65" i="12" s="1"/>
  <c r="O65" i="12" a="1"/>
  <c r="O65" i="12" s="1"/>
  <c r="J65" i="12" a="1"/>
  <c r="J65" i="12" s="1"/>
  <c r="E65" i="12" a="1"/>
  <c r="E65" i="12" s="1"/>
  <c r="U57" i="12" a="1"/>
  <c r="U57" i="12" s="1"/>
  <c r="H57" i="12" a="1"/>
  <c r="H57" i="12" s="1"/>
  <c r="P84" i="12" a="1"/>
  <c r="P84" i="12" s="1"/>
  <c r="E84" i="12" a="1"/>
  <c r="E84" i="12" s="1"/>
  <c r="U73" i="12" a="1"/>
  <c r="U73" i="12" s="1"/>
  <c r="K73" i="12" a="1"/>
  <c r="K73" i="12" s="1"/>
  <c r="T72" i="12" a="1"/>
  <c r="T72" i="12" s="1"/>
  <c r="K72" i="12" a="1"/>
  <c r="K72" i="12" s="1"/>
  <c r="U68" i="12" a="1"/>
  <c r="U68" i="12" s="1"/>
  <c r="V66" i="12" a="1"/>
  <c r="V66" i="12" s="1"/>
  <c r="O66" i="12" a="1"/>
  <c r="O66" i="12" s="1"/>
  <c r="J66" i="12" a="1"/>
  <c r="J66" i="12" s="1"/>
  <c r="E66" i="12" a="1"/>
  <c r="E66" i="12" s="1"/>
  <c r="T57" i="12" a="1"/>
  <c r="T57" i="12" s="1"/>
  <c r="N57" i="12" a="1"/>
  <c r="N57" i="12" s="1"/>
  <c r="G57" i="12" a="1"/>
  <c r="G57" i="12" s="1"/>
  <c r="O84" i="12" a="1"/>
  <c r="O84" i="12" s="1"/>
  <c r="J81" i="12" a="1"/>
  <c r="J81" i="12" s="1"/>
  <c r="T73" i="12" a="1"/>
  <c r="T73" i="12" s="1"/>
  <c r="S72" i="12" a="1"/>
  <c r="S72" i="12" s="1"/>
  <c r="G72" i="12" a="1"/>
  <c r="G72" i="12" s="1"/>
  <c r="T68" i="12" a="1"/>
  <c r="T68" i="12" s="1"/>
  <c r="J68" i="12" a="1"/>
  <c r="J68" i="12" s="1"/>
  <c r="U66" i="12" a="1"/>
  <c r="U66" i="12" s="1"/>
  <c r="S65" i="12" a="1"/>
  <c r="S65" i="12" s="1"/>
  <c r="N65" i="12" a="1"/>
  <c r="N65" i="12" s="1"/>
  <c r="I65" i="12" a="1"/>
  <c r="I65" i="12" s="1"/>
  <c r="S57" i="12" a="1"/>
  <c r="S57" i="12" s="1"/>
  <c r="M57" i="12" a="1"/>
  <c r="M57" i="12" s="1"/>
  <c r="F57" i="12" a="1"/>
  <c r="F57" i="12" s="1"/>
  <c r="W84" i="12" a="1"/>
  <c r="W84" i="12" s="1"/>
  <c r="T81" i="12" a="1"/>
  <c r="T81" i="12" s="1"/>
  <c r="F81" i="12" a="1"/>
  <c r="F81" i="12" s="1"/>
  <c r="V84" i="12" a="1"/>
  <c r="V84" i="12" s="1"/>
  <c r="K84" i="12" a="1"/>
  <c r="K84" i="12" s="1"/>
  <c r="G73" i="12" a="1"/>
  <c r="G73" i="12" s="1"/>
  <c r="Q72" i="12" a="1"/>
  <c r="Q72" i="12" s="1"/>
  <c r="F72" i="12" a="1"/>
  <c r="F72" i="12" s="1"/>
  <c r="P68" i="12" a="1"/>
  <c r="P68" i="12" s="1"/>
  <c r="U84" i="12" a="1"/>
  <c r="U84" i="12" s="1"/>
  <c r="R81" i="12" a="1"/>
  <c r="R81" i="12" s="1"/>
  <c r="R73" i="12" a="1"/>
  <c r="R73" i="12" s="1"/>
  <c r="F73" i="12" a="1"/>
  <c r="F73" i="12" s="1"/>
  <c r="N72" i="12" a="1"/>
  <c r="N72" i="12" s="1"/>
  <c r="E72" i="12" a="1"/>
  <c r="E72" i="12" s="1"/>
  <c r="O68" i="12" a="1"/>
  <c r="O68" i="12" s="1"/>
  <c r="G68" i="12" a="1"/>
  <c r="G68" i="12" s="1"/>
  <c r="S66" i="12" a="1"/>
  <c r="S66" i="12" s="1"/>
  <c r="M66" i="12" a="1"/>
  <c r="M66" i="12" s="1"/>
  <c r="V65" i="12" a="1"/>
  <c r="V65" i="12" s="1"/>
  <c r="Q65" i="12" a="1"/>
  <c r="Q65" i="12" s="1"/>
  <c r="L65" i="12" a="1"/>
  <c r="L65" i="12" s="1"/>
  <c r="G65" i="12" a="1"/>
  <c r="G65" i="12" s="1"/>
  <c r="Q57" i="12" a="1"/>
  <c r="Q57" i="12" s="1"/>
  <c r="K57" i="12" a="1"/>
  <c r="K57" i="12" s="1"/>
  <c r="I66" i="12" a="1"/>
  <c r="I66" i="12" s="1"/>
  <c r="H65" i="12" a="1"/>
  <c r="H65" i="12" s="1"/>
  <c r="R57" i="12" a="1"/>
  <c r="R57" i="12" s="1"/>
  <c r="S73" i="12" a="1"/>
  <c r="S73" i="12" s="1"/>
  <c r="H66" i="12" a="1"/>
  <c r="H66" i="12" s="1"/>
  <c r="E57" i="12" a="1"/>
  <c r="E57" i="12" s="1"/>
  <c r="H73" i="12" a="1"/>
  <c r="H73" i="12" s="1"/>
  <c r="P57" i="12" a="1"/>
  <c r="P57" i="12" s="1"/>
  <c r="R72" i="12" a="1"/>
  <c r="R72" i="12" s="1"/>
  <c r="S68" i="12" a="1"/>
  <c r="S68" i="12" s="1"/>
  <c r="W65" i="12" a="1"/>
  <c r="W65" i="12" s="1"/>
  <c r="O57" i="12" a="1"/>
  <c r="O57" i="12" s="1"/>
  <c r="I68" i="12" a="1"/>
  <c r="I68" i="12" s="1"/>
  <c r="R65" i="12" a="1"/>
  <c r="R65" i="12" s="1"/>
  <c r="L57" i="12" a="1"/>
  <c r="L57" i="12" s="1"/>
  <c r="H68" i="12" a="1"/>
  <c r="H68" i="12" s="1"/>
  <c r="T66" i="12" a="1"/>
  <c r="T66" i="12" s="1"/>
  <c r="N66" i="12" a="1"/>
  <c r="N66" i="12" s="1"/>
  <c r="W57" i="12" a="1"/>
  <c r="W57" i="12" s="1"/>
  <c r="J57" i="12" a="1"/>
  <c r="J57" i="12" s="1"/>
  <c r="M65" i="12" a="1"/>
  <c r="M65" i="12" s="1"/>
  <c r="V57" i="12" a="1"/>
  <c r="V57" i="12" s="1"/>
  <c r="I57" i="12" a="1"/>
  <c r="I57" i="12" s="1"/>
  <c r="AP84" i="12" a="1"/>
  <c r="AP84" i="12" s="1"/>
  <c r="AI84" i="12" a="1"/>
  <c r="AI84" i="12" s="1"/>
  <c r="AD84" i="12" a="1"/>
  <c r="AD84" i="12" s="1"/>
  <c r="AC84" i="12" a="1"/>
  <c r="AC84" i="12" s="1"/>
  <c r="AJ81" i="12" a="1"/>
  <c r="AJ81" i="12" s="1"/>
  <c r="AD81" i="12" a="1"/>
  <c r="AD81" i="12" s="1"/>
  <c r="AJ84" i="12" a="1"/>
  <c r="AJ84" i="12" s="1"/>
  <c r="AE84" i="12" a="1"/>
  <c r="AE84" i="12" s="1"/>
  <c r="AQ81" i="12" a="1"/>
  <c r="AQ81" i="12" s="1"/>
  <c r="AE81" i="12" a="1"/>
  <c r="AE81" i="12" s="1"/>
  <c r="Z81" i="12" a="1"/>
  <c r="Z81" i="12" s="1"/>
  <c r="AH84" i="12" a="1"/>
  <c r="AH84" i="12" s="1"/>
  <c r="AP81" i="12" a="1"/>
  <c r="AP81" i="12" s="1"/>
  <c r="AH81" i="12" a="1"/>
  <c r="AH81" i="12" s="1"/>
  <c r="AB81" i="12" a="1"/>
  <c r="AB81" i="12" s="1"/>
  <c r="AN73" i="12" a="1"/>
  <c r="AN73" i="12" s="1"/>
  <c r="Z73" i="12" a="1"/>
  <c r="Z73" i="12" s="1"/>
  <c r="AO72" i="12" a="1"/>
  <c r="AO72" i="12" s="1"/>
  <c r="AD72" i="12" a="1"/>
  <c r="AD72" i="12" s="1"/>
  <c r="AL68" i="12" a="1"/>
  <c r="AL68" i="12" s="1"/>
  <c r="AG68" i="12" a="1"/>
  <c r="AG68" i="12" s="1"/>
  <c r="AA68" i="12" a="1"/>
  <c r="AA68" i="12" s="1"/>
  <c r="AK66" i="12" a="1"/>
  <c r="AK66" i="12" s="1"/>
  <c r="AM65" i="12" a="1"/>
  <c r="AM65" i="12" s="1"/>
  <c r="AG65" i="12" a="1"/>
  <c r="AG65" i="12" s="1"/>
  <c r="AA65" i="12" a="1"/>
  <c r="AA65" i="12" s="1"/>
  <c r="AM57" i="12" a="1"/>
  <c r="AM57" i="12" s="1"/>
  <c r="AG57" i="12" a="1"/>
  <c r="AG57" i="12" s="1"/>
  <c r="AA57" i="12" a="1"/>
  <c r="AA57" i="12" s="1"/>
  <c r="Y84" i="12" a="1"/>
  <c r="Y84" i="12" s="1"/>
  <c r="AO81" i="12" a="1"/>
  <c r="AO81" i="12" s="1"/>
  <c r="AG81" i="12" a="1"/>
  <c r="AG81" i="12" s="1"/>
  <c r="AA81" i="12" a="1"/>
  <c r="AA81" i="12" s="1"/>
  <c r="AM73" i="12" a="1"/>
  <c r="AM73" i="12" s="1"/>
  <c r="AG73" i="12" a="1"/>
  <c r="AG73" i="12" s="1"/>
  <c r="AN72" i="12" a="1"/>
  <c r="AN72" i="12" s="1"/>
  <c r="AH72" i="12" a="1"/>
  <c r="AH72" i="12" s="1"/>
  <c r="AQ84" i="12" a="1"/>
  <c r="AQ84" i="12" s="1"/>
  <c r="AG84" i="12" a="1"/>
  <c r="AG84" i="12" s="1"/>
  <c r="AN81" i="12" a="1"/>
  <c r="AN81" i="12" s="1"/>
  <c r="Y81" i="12" a="1"/>
  <c r="Y81" i="12" s="1"/>
  <c r="AL73" i="12" a="1"/>
  <c r="AL73" i="12" s="1"/>
  <c r="AF73" i="12" a="1"/>
  <c r="AF73" i="12" s="1"/>
  <c r="Y73" i="12" a="1"/>
  <c r="Y73" i="12" s="1"/>
  <c r="AM72" i="12" a="1"/>
  <c r="AM72" i="12" s="1"/>
  <c r="AB72" i="12" a="1"/>
  <c r="AB72" i="12" s="1"/>
  <c r="AE68" i="12" a="1"/>
  <c r="AE68" i="12" s="1"/>
  <c r="Z68" i="12" a="1"/>
  <c r="Z68" i="12" s="1"/>
  <c r="AP66" i="12" a="1"/>
  <c r="AP66" i="12" s="1"/>
  <c r="AJ66" i="12" a="1"/>
  <c r="AJ66" i="12" s="1"/>
  <c r="AC66" i="12" a="1"/>
  <c r="AC66" i="12" s="1"/>
  <c r="AK65" i="12" a="1"/>
  <c r="AK65" i="12" s="1"/>
  <c r="AF65" i="12" a="1"/>
  <c r="AF65" i="12" s="1"/>
  <c r="Z65" i="12" a="1"/>
  <c r="Z65" i="12" s="1"/>
  <c r="AE57" i="12" a="1"/>
  <c r="AE57" i="12" s="1"/>
  <c r="Y57" i="12" a="1"/>
  <c r="Y57" i="12" s="1"/>
  <c r="AO84" i="12" a="1"/>
  <c r="AO84" i="12" s="1"/>
  <c r="AM81" i="12" a="1"/>
  <c r="AM81" i="12" s="1"/>
  <c r="AF81" i="12" a="1"/>
  <c r="AF81" i="12" s="1"/>
  <c r="AK73" i="12" a="1"/>
  <c r="AK73" i="12" s="1"/>
  <c r="AE73" i="12" a="1"/>
  <c r="AE73" i="12" s="1"/>
  <c r="AL72" i="12" a="1"/>
  <c r="AL72" i="12" s="1"/>
  <c r="AG72" i="12" a="1"/>
  <c r="AG72" i="12" s="1"/>
  <c r="AA72" i="12" a="1"/>
  <c r="AA72" i="12" s="1"/>
  <c r="AP68" i="12" a="1"/>
  <c r="AP68" i="12" s="1"/>
  <c r="AJ68" i="12" a="1"/>
  <c r="AJ68" i="12" s="1"/>
  <c r="AD68" i="12" a="1"/>
  <c r="AD68" i="12" s="1"/>
  <c r="Y68" i="12" a="1"/>
  <c r="Y68" i="12" s="1"/>
  <c r="AO66" i="12" a="1"/>
  <c r="AO66" i="12" s="1"/>
  <c r="AI66" i="12" a="1"/>
  <c r="AI66" i="12" s="1"/>
  <c r="AP65" i="12" a="1"/>
  <c r="AP65" i="12" s="1"/>
  <c r="AJ65" i="12" a="1"/>
  <c r="AJ65" i="12" s="1"/>
  <c r="AE65" i="12" a="1"/>
  <c r="AE65" i="12" s="1"/>
  <c r="AQ57" i="12" a="1"/>
  <c r="AQ57" i="12" s="1"/>
  <c r="AK57" i="12" a="1"/>
  <c r="AK57" i="12" s="1"/>
  <c r="AN84" i="12" a="1"/>
  <c r="AN84" i="12" s="1"/>
  <c r="AF84" i="12" a="1"/>
  <c r="AF84" i="12" s="1"/>
  <c r="AQ73" i="12" a="1"/>
  <c r="AQ73" i="12" s="1"/>
  <c r="AD73" i="12" a="1"/>
  <c r="AD73" i="12" s="1"/>
  <c r="AK72" i="12" a="1"/>
  <c r="AK72" i="12" s="1"/>
  <c r="AO68" i="12" a="1"/>
  <c r="AO68" i="12" s="1"/>
  <c r="AI68" i="12" a="1"/>
  <c r="AI68" i="12" s="1"/>
  <c r="AN66" i="12" a="1"/>
  <c r="AN66" i="12" s="1"/>
  <c r="AH66" i="12" a="1"/>
  <c r="AH66" i="12" s="1"/>
  <c r="AB66" i="12" a="1"/>
  <c r="AB66" i="12" s="1"/>
  <c r="AI65" i="12" a="1"/>
  <c r="AI65" i="12" s="1"/>
  <c r="Y65" i="12" a="1"/>
  <c r="Y65" i="12" s="1"/>
  <c r="AM84" i="12" a="1"/>
  <c r="AM84" i="12" s="1"/>
  <c r="AB84" i="12" a="1"/>
  <c r="AB84" i="12" s="1"/>
  <c r="AL81" i="12" a="1"/>
  <c r="AL81" i="12" s="1"/>
  <c r="AJ73" i="12" a="1"/>
  <c r="AJ73" i="12" s="1"/>
  <c r="AC73" i="12" a="1"/>
  <c r="AC73" i="12" s="1"/>
  <c r="AQ72" i="12" a="1"/>
  <c r="AQ72" i="12" s="1"/>
  <c r="AF72" i="12" a="1"/>
  <c r="AF72" i="12" s="1"/>
  <c r="Z72" i="12" a="1"/>
  <c r="Z72" i="12" s="1"/>
  <c r="AC68" i="12" a="1"/>
  <c r="AC68" i="12" s="1"/>
  <c r="AM66" i="12" a="1"/>
  <c r="AM66" i="12" s="1"/>
  <c r="AG66" i="12" a="1"/>
  <c r="AG66" i="12" s="1"/>
  <c r="AL84" i="12" a="1"/>
  <c r="AL84" i="12" s="1"/>
  <c r="AA84" i="12" a="1"/>
  <c r="AA84" i="12" s="1"/>
  <c r="AK81" i="12" a="1"/>
  <c r="AK81" i="12" s="1"/>
  <c r="AC81" i="12" a="1"/>
  <c r="AC81" i="12" s="1"/>
  <c r="AP73" i="12" a="1"/>
  <c r="AP73" i="12" s="1"/>
  <c r="AI73" i="12" a="1"/>
  <c r="AI73" i="12" s="1"/>
  <c r="AB73" i="12" a="1"/>
  <c r="AB73" i="12" s="1"/>
  <c r="AJ72" i="12" a="1"/>
  <c r="AJ72" i="12" s="1"/>
  <c r="AE72" i="12" a="1"/>
  <c r="AE72" i="12" s="1"/>
  <c r="AN68" i="12" a="1"/>
  <c r="AN68" i="12" s="1"/>
  <c r="AH68" i="12" a="1"/>
  <c r="AH68" i="12" s="1"/>
  <c r="AL66" i="12" a="1"/>
  <c r="AL66" i="12" s="1"/>
  <c r="AF66" i="12" a="1"/>
  <c r="AF66" i="12" s="1"/>
  <c r="Z66" i="12" a="1"/>
  <c r="Z66" i="12" s="1"/>
  <c r="AH65" i="12" a="1"/>
  <c r="AH65" i="12" s="1"/>
  <c r="AC65" i="12" a="1"/>
  <c r="AC65" i="12" s="1"/>
  <c r="AO57" i="12" a="1"/>
  <c r="AO57" i="12" s="1"/>
  <c r="AI57" i="12" a="1"/>
  <c r="AI57" i="12" s="1"/>
  <c r="AC72" i="12" a="1"/>
  <c r="AC72" i="12" s="1"/>
  <c r="AK68" i="12" a="1"/>
  <c r="AK68" i="12" s="1"/>
  <c r="AD66" i="12" a="1"/>
  <c r="AD66" i="12" s="1"/>
  <c r="AN57" i="12" a="1"/>
  <c r="AN57" i="12" s="1"/>
  <c r="AB57" i="12" a="1"/>
  <c r="AB57" i="12" s="1"/>
  <c r="AI81" i="12" a="1"/>
  <c r="AI81" i="12" s="1"/>
  <c r="Y72" i="12" a="1"/>
  <c r="Y72" i="12" s="1"/>
  <c r="AA66" i="12" a="1"/>
  <c r="AA66" i="12" s="1"/>
  <c r="AL57" i="12" a="1"/>
  <c r="AL57" i="12" s="1"/>
  <c r="Z57" i="12" a="1"/>
  <c r="Z57" i="12" s="1"/>
  <c r="AK84" i="12" a="1"/>
  <c r="AK84" i="12" s="1"/>
  <c r="AO73" i="12" a="1"/>
  <c r="AO73" i="12" s="1"/>
  <c r="AF68" i="12" a="1"/>
  <c r="AF68" i="12" s="1"/>
  <c r="Y66" i="12" a="1"/>
  <c r="Y66" i="12" s="1"/>
  <c r="AD65" i="12" a="1"/>
  <c r="AD65" i="12" s="1"/>
  <c r="Z84" i="12" a="1"/>
  <c r="Z84" i="12" s="1"/>
  <c r="AH73" i="12" a="1"/>
  <c r="AH73" i="12" s="1"/>
  <c r="AB68" i="12" a="1"/>
  <c r="AB68" i="12" s="1"/>
  <c r="AQ65" i="12" a="1"/>
  <c r="AQ65" i="12" s="1"/>
  <c r="AB65" i="12" a="1"/>
  <c r="AB65" i="12" s="1"/>
  <c r="AJ57" i="12" a="1"/>
  <c r="AJ57" i="12" s="1"/>
  <c r="AA73" i="12" a="1"/>
  <c r="AA73" i="12" s="1"/>
  <c r="AQ66" i="12" a="1"/>
  <c r="AQ66" i="12" s="1"/>
  <c r="AO65" i="12" a="1"/>
  <c r="AO65" i="12" s="1"/>
  <c r="AH57" i="12" a="1"/>
  <c r="AH57" i="12" s="1"/>
  <c r="AP72" i="12" a="1"/>
  <c r="AP72" i="12" s="1"/>
  <c r="AN65" i="12" a="1"/>
  <c r="AN65" i="12" s="1"/>
  <c r="AF57" i="12" a="1"/>
  <c r="AF57" i="12" s="1"/>
  <c r="AM68" i="12" a="1"/>
  <c r="AM68" i="12" s="1"/>
  <c r="AE66" i="12" a="1"/>
  <c r="AE66" i="12" s="1"/>
  <c r="AP57" i="12" a="1"/>
  <c r="AP57" i="12" s="1"/>
  <c r="AC57" i="12" a="1"/>
  <c r="AC57" i="12" s="1"/>
  <c r="AL65" i="12" a="1"/>
  <c r="AL65" i="12" s="1"/>
  <c r="AI72" i="12" a="1"/>
  <c r="AI72" i="12" s="1"/>
  <c r="BI84" i="12" a="1"/>
  <c r="BI84" i="12" s="1"/>
  <c r="AY84" i="12" a="1"/>
  <c r="AY84" i="12" s="1"/>
  <c r="BE81" i="12" a="1"/>
  <c r="BE81" i="12" s="1"/>
  <c r="AY81" i="12" a="1"/>
  <c r="AY81" i="12" s="1"/>
  <c r="BI73" i="12" a="1"/>
  <c r="BI73" i="12" s="1"/>
  <c r="BB73" i="12" a="1"/>
  <c r="BB73" i="12" s="1"/>
  <c r="AU73" i="12" a="1"/>
  <c r="AU73" i="12" s="1"/>
  <c r="BH72" i="12" a="1"/>
  <c r="BH72" i="12" s="1"/>
  <c r="AD57" i="12" a="1"/>
  <c r="AD57" i="12" s="1"/>
  <c r="BD84" i="12" a="1"/>
  <c r="BD84" i="12" s="1"/>
  <c r="AT84" i="12" a="1"/>
  <c r="AT84" i="12" s="1"/>
  <c r="BK81" i="12" a="1"/>
  <c r="BK81" i="12" s="1"/>
  <c r="AX81" i="12" a="1"/>
  <c r="AX81" i="12" s="1"/>
  <c r="BH73" i="12" a="1"/>
  <c r="BH73" i="12" s="1"/>
  <c r="BA73" i="12" a="1"/>
  <c r="BA73" i="12" s="1"/>
  <c r="AT73" i="12" a="1"/>
  <c r="AT73" i="12" s="1"/>
  <c r="BG72" i="12" a="1"/>
  <c r="BG72" i="12" s="1"/>
  <c r="AZ72" i="12" a="1"/>
  <c r="AZ72" i="12" s="1"/>
  <c r="BI68" i="12" a="1"/>
  <c r="BI68" i="12" s="1"/>
  <c r="BB68" i="12" a="1"/>
  <c r="BB68" i="12" s="1"/>
  <c r="BG66" i="12" a="1"/>
  <c r="BG66" i="12" s="1"/>
  <c r="BA66" i="12" a="1"/>
  <c r="BA66" i="12" s="1"/>
  <c r="AV66" i="12" a="1"/>
  <c r="AV66" i="12" s="1"/>
  <c r="BH84" i="12" a="1"/>
  <c r="BH84" i="12" s="1"/>
  <c r="BC84" i="12" a="1"/>
  <c r="BC84" i="12" s="1"/>
  <c r="AX84" i="12" a="1"/>
  <c r="AX84" i="12" s="1"/>
  <c r="AS84" i="12" a="1"/>
  <c r="AS84" i="12" s="1"/>
  <c r="BJ81" i="12" a="1"/>
  <c r="BJ81" i="12" s="1"/>
  <c r="BD81" i="12" a="1"/>
  <c r="BD81" i="12" s="1"/>
  <c r="BG73" i="12" a="1"/>
  <c r="BG73" i="12" s="1"/>
  <c r="AQ68" i="12" a="1"/>
  <c r="AQ68" i="12" s="1"/>
  <c r="BI81" i="12" a="1"/>
  <c r="BI81" i="12" s="1"/>
  <c r="BK84" i="12" a="1"/>
  <c r="BK84" i="12" s="1"/>
  <c r="BA84" i="12" a="1"/>
  <c r="BA84" i="12" s="1"/>
  <c r="BH81" i="12" a="1"/>
  <c r="BH81" i="12" s="1"/>
  <c r="BA81" i="12" a="1"/>
  <c r="BA81" i="12" s="1"/>
  <c r="AU81" i="12" a="1"/>
  <c r="AU81" i="12" s="1"/>
  <c r="BE73" i="12" a="1"/>
  <c r="BE73" i="12" s="1"/>
  <c r="AX73" i="12" a="1"/>
  <c r="AX73" i="12" s="1"/>
  <c r="BJ72" i="12" a="1"/>
  <c r="BJ72" i="12" s="1"/>
  <c r="BD72" i="12" a="1"/>
  <c r="BD72" i="12" s="1"/>
  <c r="AV72" i="12" a="1"/>
  <c r="AV72" i="12" s="1"/>
  <c r="BG84" i="12" a="1"/>
  <c r="BG84" i="12" s="1"/>
  <c r="AU84" i="12" a="1"/>
  <c r="AU84" i="12" s="1"/>
  <c r="BF81" i="12" a="1"/>
  <c r="BF81" i="12" s="1"/>
  <c r="AS81" i="12" a="1"/>
  <c r="AS81" i="12" s="1"/>
  <c r="BJ73" i="12" a="1"/>
  <c r="BJ73" i="12" s="1"/>
  <c r="AW73" i="12" a="1"/>
  <c r="AW73" i="12" s="1"/>
  <c r="BE72" i="12" a="1"/>
  <c r="BE72" i="12" s="1"/>
  <c r="AU72" i="12" a="1"/>
  <c r="AU72" i="12" s="1"/>
  <c r="BK68" i="12" a="1"/>
  <c r="BK68" i="12" s="1"/>
  <c r="BD68" i="12" a="1"/>
  <c r="BD68" i="12" s="1"/>
  <c r="AW68" i="12" a="1"/>
  <c r="AW68" i="12" s="1"/>
  <c r="BJ66" i="12" a="1"/>
  <c r="BJ66" i="12" s="1"/>
  <c r="BD66" i="12" a="1"/>
  <c r="BD66" i="12" s="1"/>
  <c r="AW66" i="12" a="1"/>
  <c r="AW66" i="12" s="1"/>
  <c r="BJ65" i="12" a="1"/>
  <c r="BJ65" i="12" s="1"/>
  <c r="BD65" i="12" a="1"/>
  <c r="BD65" i="12" s="1"/>
  <c r="BH57" i="12" a="1"/>
  <c r="BH57" i="12" s="1"/>
  <c r="AZ57" i="12" a="1"/>
  <c r="AZ57" i="12" s="1"/>
  <c r="AS57" i="12" a="1"/>
  <c r="AS57" i="12" s="1"/>
  <c r="BF84" i="12" a="1"/>
  <c r="BF84" i="12" s="1"/>
  <c r="BC81" i="12" a="1"/>
  <c r="BC81" i="12" s="1"/>
  <c r="BF73" i="12" a="1"/>
  <c r="BF73" i="12" s="1"/>
  <c r="AV73" i="12" a="1"/>
  <c r="AV73" i="12" s="1"/>
  <c r="AT72" i="12" a="1"/>
  <c r="AT72" i="12" s="1"/>
  <c r="BJ68" i="12" a="1"/>
  <c r="BJ68" i="12" s="1"/>
  <c r="BC68" i="12" a="1"/>
  <c r="BC68" i="12" s="1"/>
  <c r="AV68" i="12" a="1"/>
  <c r="AV68" i="12" s="1"/>
  <c r="BI66" i="12" a="1"/>
  <c r="BI66" i="12" s="1"/>
  <c r="BC66" i="12" a="1"/>
  <c r="BC66" i="12" s="1"/>
  <c r="BC65" i="12" a="1"/>
  <c r="BC65" i="12" s="1"/>
  <c r="AW65" i="12" a="1"/>
  <c r="AW65" i="12" s="1"/>
  <c r="BG57" i="12" a="1"/>
  <c r="BG57" i="12" s="1"/>
  <c r="AY57" i="12" a="1"/>
  <c r="AY57" i="12" s="1"/>
  <c r="BE84" i="12" a="1"/>
  <c r="BE84" i="12" s="1"/>
  <c r="BB81" i="12" a="1"/>
  <c r="BB81" i="12" s="1"/>
  <c r="AS73" i="12" a="1"/>
  <c r="AS73" i="12" s="1"/>
  <c r="BC72" i="12" a="1"/>
  <c r="BC72" i="12" s="1"/>
  <c r="AS72" i="12" a="1"/>
  <c r="AS72" i="12" s="1"/>
  <c r="BA68" i="12" a="1"/>
  <c r="BA68" i="12" s="1"/>
  <c r="AU68" i="12" a="1"/>
  <c r="AU68" i="12" s="1"/>
  <c r="BB66" i="12" a="1"/>
  <c r="BB66" i="12" s="1"/>
  <c r="AU66" i="12" a="1"/>
  <c r="AU66" i="12" s="1"/>
  <c r="BI65" i="12" a="1"/>
  <c r="BI65" i="12" s="1"/>
  <c r="AV65" i="12" a="1"/>
  <c r="AV65" i="12" s="1"/>
  <c r="BF57" i="12" a="1"/>
  <c r="BF57" i="12" s="1"/>
  <c r="BB84" i="12" a="1"/>
  <c r="BB84" i="12" s="1"/>
  <c r="BD73" i="12" a="1"/>
  <c r="BD73" i="12" s="1"/>
  <c r="BB72" i="12" a="1"/>
  <c r="BB72" i="12" s="1"/>
  <c r="BH68" i="12" a="1"/>
  <c r="BH68" i="12" s="1"/>
  <c r="AZ68" i="12" a="1"/>
  <c r="AZ68" i="12" s="1"/>
  <c r="AT68" i="12" a="1"/>
  <c r="AT68" i="12" s="1"/>
  <c r="BH66" i="12" a="1"/>
  <c r="BH66" i="12" s="1"/>
  <c r="AZ66" i="12" a="1"/>
  <c r="AZ66" i="12" s="1"/>
  <c r="AT66" i="12" a="1"/>
  <c r="AT66" i="12" s="1"/>
  <c r="BB65" i="12" a="1"/>
  <c r="BB65" i="12" s="1"/>
  <c r="AU65" i="12" a="1"/>
  <c r="AU65" i="12" s="1"/>
  <c r="BE57" i="12" a="1"/>
  <c r="BE57" i="12" s="1"/>
  <c r="AX57" i="12" a="1"/>
  <c r="AX57" i="12" s="1"/>
  <c r="AZ81" i="12" a="1"/>
  <c r="AZ81" i="12" s="1"/>
  <c r="BC73" i="12" a="1"/>
  <c r="BC73" i="12" s="1"/>
  <c r="BK72" i="12" a="1"/>
  <c r="BK72" i="12" s="1"/>
  <c r="BA72" i="12" a="1"/>
  <c r="BA72" i="12" s="1"/>
  <c r="BG68" i="12" a="1"/>
  <c r="BG68" i="12" s="1"/>
  <c r="AY68" i="12" a="1"/>
  <c r="AY68" i="12" s="1"/>
  <c r="AS68" i="12" a="1"/>
  <c r="AS68" i="12" s="1"/>
  <c r="AY66" i="12" a="1"/>
  <c r="AY66" i="12" s="1"/>
  <c r="AS66" i="12" a="1"/>
  <c r="AS66" i="12" s="1"/>
  <c r="BH65" i="12" a="1"/>
  <c r="BH65" i="12" s="1"/>
  <c r="BA65" i="12" a="1"/>
  <c r="BA65" i="12" s="1"/>
  <c r="AT65" i="12" a="1"/>
  <c r="AT65" i="12" s="1"/>
  <c r="BD57" i="12" a="1"/>
  <c r="BD57" i="12" s="1"/>
  <c r="AW57" i="12" a="1"/>
  <c r="AW57" i="12" s="1"/>
  <c r="AZ84" i="12" a="1"/>
  <c r="AZ84" i="12" s="1"/>
  <c r="AW81" i="12" a="1"/>
  <c r="AW81" i="12" s="1"/>
  <c r="AY72" i="12" a="1"/>
  <c r="AY72" i="12" s="1"/>
  <c r="BF68" i="12" a="1"/>
  <c r="BF68" i="12" s="1"/>
  <c r="BF66" i="12" a="1"/>
  <c r="BF66" i="12" s="1"/>
  <c r="BG65" i="12" a="1"/>
  <c r="BG65" i="12" s="1"/>
  <c r="AZ65" i="12" a="1"/>
  <c r="AZ65" i="12" s="1"/>
  <c r="AS65" i="12" a="1"/>
  <c r="AS65" i="12" s="1"/>
  <c r="BK57" i="12" a="1"/>
  <c r="BK57" i="12" s="1"/>
  <c r="BC57" i="12" a="1"/>
  <c r="BC57" i="12" s="1"/>
  <c r="AV57" i="12" a="1"/>
  <c r="AV57" i="12" s="1"/>
  <c r="BJ84" i="12" a="1"/>
  <c r="BJ84" i="12" s="1"/>
  <c r="AV84" i="12" a="1"/>
  <c r="AV84" i="12" s="1"/>
  <c r="BG81" i="12" a="1"/>
  <c r="BG81" i="12" s="1"/>
  <c r="AT81" i="12" a="1"/>
  <c r="AT81" i="12" s="1"/>
  <c r="BK73" i="12" a="1"/>
  <c r="BK73" i="12" s="1"/>
  <c r="AY73" i="12" a="1"/>
  <c r="AY73" i="12" s="1"/>
  <c r="BF72" i="12" a="1"/>
  <c r="BF72" i="12" s="1"/>
  <c r="AW72" i="12" a="1"/>
  <c r="AW72" i="12" s="1"/>
  <c r="BK66" i="12" a="1"/>
  <c r="BK66" i="12" s="1"/>
  <c r="BE66" i="12" a="1"/>
  <c r="BE66" i="12" s="1"/>
  <c r="BE65" i="12" a="1"/>
  <c r="BE65" i="12" s="1"/>
  <c r="AX65" i="12" a="1"/>
  <c r="AX65" i="12" s="1"/>
  <c r="BI57" i="12" a="1"/>
  <c r="BI57" i="12" s="1"/>
  <c r="BA57" i="12" a="1"/>
  <c r="BA57" i="12" s="1"/>
  <c r="AT57" i="12" a="1"/>
  <c r="AT57" i="12" s="1"/>
  <c r="AV81" i="12" a="1"/>
  <c r="AV81" i="12" s="1"/>
  <c r="AZ73" i="12" a="1"/>
  <c r="AZ73" i="12" s="1"/>
  <c r="AU57" i="12" a="1"/>
  <c r="AU57" i="12" s="1"/>
  <c r="BI72" i="12" a="1"/>
  <c r="BI72" i="12" s="1"/>
  <c r="AX72" i="12" a="1"/>
  <c r="AX72" i="12" s="1"/>
  <c r="AX66" i="12" a="1"/>
  <c r="AX66" i="12" s="1"/>
  <c r="BE68" i="12" a="1"/>
  <c r="BE68" i="12" s="1"/>
  <c r="BK65" i="12" a="1"/>
  <c r="BK65" i="12" s="1"/>
  <c r="AW84" i="12" a="1"/>
  <c r="AW84" i="12" s="1"/>
  <c r="AX68" i="12" a="1"/>
  <c r="AX68" i="12" s="1"/>
  <c r="BF65" i="12" a="1"/>
  <c r="BF65" i="12" s="1"/>
  <c r="AY65" i="12" a="1"/>
  <c r="AY65" i="12" s="1"/>
  <c r="BB57" i="12" a="1"/>
  <c r="BB57" i="12" s="1"/>
  <c r="BJ57" i="12" a="1"/>
  <c r="BJ57" i="12" s="1"/>
  <c r="F57" i="10" a="1"/>
  <c r="F57" i="10" s="1"/>
  <c r="N57" i="10" a="1"/>
  <c r="N57" i="10" s="1"/>
  <c r="V57" i="10" a="1"/>
  <c r="V57" i="10" s="1"/>
  <c r="AD57" i="10" a="1"/>
  <c r="AD57" i="10" s="1"/>
  <c r="AL57" i="10" a="1"/>
  <c r="AL57" i="10" s="1"/>
  <c r="AT57" i="10" a="1"/>
  <c r="AT57" i="10" s="1"/>
  <c r="BB57" i="10" a="1"/>
  <c r="BB57" i="10" s="1"/>
  <c r="BJ57" i="10" a="1"/>
  <c r="BJ57" i="10" s="1"/>
  <c r="BR57" i="10" a="1"/>
  <c r="BR57" i="10" s="1"/>
  <c r="BZ57" i="10" a="1"/>
  <c r="BZ57" i="10" s="1"/>
  <c r="L65" i="10" a="1"/>
  <c r="L65" i="10" s="1"/>
  <c r="T65" i="10" a="1"/>
  <c r="T65" i="10" s="1"/>
  <c r="AB65" i="10" a="1"/>
  <c r="AB65" i="10" s="1"/>
  <c r="AJ65" i="10" a="1"/>
  <c r="AJ65" i="10" s="1"/>
  <c r="AZ65" i="10" a="1"/>
  <c r="AZ65" i="10" s="1"/>
  <c r="BH65" i="10" a="1"/>
  <c r="BH65" i="10" s="1"/>
  <c r="BP65" i="10" a="1"/>
  <c r="BP65" i="10" s="1"/>
  <c r="BX65" i="10" a="1"/>
  <c r="BX65" i="10" s="1"/>
  <c r="L66" i="10" a="1"/>
  <c r="L66" i="10" s="1"/>
  <c r="T66" i="10" a="1"/>
  <c r="T66" i="10" s="1"/>
  <c r="AB66" i="10" a="1"/>
  <c r="AB66" i="10" s="1"/>
  <c r="AJ66" i="10" a="1"/>
  <c r="AJ66" i="10" s="1"/>
  <c r="AZ66" i="10" a="1"/>
  <c r="AZ66" i="10" s="1"/>
  <c r="BH66" i="10" a="1"/>
  <c r="BH66" i="10" s="1"/>
  <c r="BP66" i="10" a="1"/>
  <c r="BP66" i="10" s="1"/>
  <c r="BX66" i="10" a="1"/>
  <c r="BX66" i="10" s="1"/>
  <c r="G57" i="10" a="1"/>
  <c r="G57" i="10" s="1"/>
  <c r="O57" i="10" a="1"/>
  <c r="O57" i="10" s="1"/>
  <c r="W57" i="10" a="1"/>
  <c r="W57" i="10" s="1"/>
  <c r="AE57" i="10" a="1"/>
  <c r="AE57" i="10" s="1"/>
  <c r="AM57" i="10" a="1"/>
  <c r="AM57" i="10" s="1"/>
  <c r="AU57" i="10" a="1"/>
  <c r="AU57" i="10" s="1"/>
  <c r="BC57" i="10" a="1"/>
  <c r="BC57" i="10" s="1"/>
  <c r="BK57" i="10" a="1"/>
  <c r="BK57" i="10" s="1"/>
  <c r="BS57" i="10" a="1"/>
  <c r="BS57" i="10" s="1"/>
  <c r="CA57" i="10" a="1"/>
  <c r="CA57" i="10" s="1"/>
  <c r="E65" i="10" a="1"/>
  <c r="E65" i="10" s="1"/>
  <c r="M65" i="10" a="1"/>
  <c r="M65" i="10" s="1"/>
  <c r="U65" i="10" a="1"/>
  <c r="U65" i="10" s="1"/>
  <c r="AC65" i="10" a="1"/>
  <c r="AC65" i="10" s="1"/>
  <c r="AK65" i="10" a="1"/>
  <c r="AK65" i="10" s="1"/>
  <c r="AS65" i="10" a="1"/>
  <c r="AS65" i="10" s="1"/>
  <c r="BA65" i="10" a="1"/>
  <c r="BA65" i="10" s="1"/>
  <c r="BI65" i="10" a="1"/>
  <c r="BI65" i="10" s="1"/>
  <c r="BQ65" i="10" a="1"/>
  <c r="BQ65" i="10" s="1"/>
  <c r="BY65" i="10" a="1"/>
  <c r="BY65" i="10" s="1"/>
  <c r="E66" i="10" a="1"/>
  <c r="E66" i="10" s="1"/>
  <c r="M66" i="10" a="1"/>
  <c r="M66" i="10" s="1"/>
  <c r="U66" i="10" a="1"/>
  <c r="U66" i="10" s="1"/>
  <c r="AC66" i="10" a="1"/>
  <c r="AC66" i="10" s="1"/>
  <c r="AK66" i="10" a="1"/>
  <c r="AK66" i="10" s="1"/>
  <c r="AS66" i="10" a="1"/>
  <c r="AS66" i="10" s="1"/>
  <c r="BA66" i="10" a="1"/>
  <c r="BA66" i="10" s="1"/>
  <c r="BI66" i="10" a="1"/>
  <c r="BI66" i="10" s="1"/>
  <c r="BQ66" i="10" a="1"/>
  <c r="BQ66" i="10" s="1"/>
  <c r="BY66" i="10" a="1"/>
  <c r="BY66" i="10" s="1"/>
  <c r="L68" i="10" a="1"/>
  <c r="L68" i="10" s="1"/>
  <c r="T68" i="10" a="1"/>
  <c r="T68" i="10" s="1"/>
  <c r="AB68" i="10" a="1"/>
  <c r="AB68" i="10" s="1"/>
  <c r="AJ68" i="10" a="1"/>
  <c r="AJ68" i="10" s="1"/>
  <c r="AZ68" i="10" a="1"/>
  <c r="AZ68" i="10" s="1"/>
  <c r="BH68" i="10" a="1"/>
  <c r="BH68" i="10" s="1"/>
  <c r="BP68" i="10" a="1"/>
  <c r="BP68" i="10" s="1"/>
  <c r="BX68" i="10" a="1"/>
  <c r="BX68" i="10" s="1"/>
  <c r="CE68" i="10" a="1"/>
  <c r="CE68" i="10" s="1"/>
  <c r="H57" i="10" a="1"/>
  <c r="H57" i="10" s="1"/>
  <c r="P57" i="10" a="1"/>
  <c r="P57" i="10" s="1"/>
  <c r="AF57" i="10" a="1"/>
  <c r="AF57" i="10" s="1"/>
  <c r="AN57" i="10" a="1"/>
  <c r="AN57" i="10" s="1"/>
  <c r="AV57" i="10" a="1"/>
  <c r="AV57" i="10" s="1"/>
  <c r="BD57" i="10" a="1"/>
  <c r="BD57" i="10" s="1"/>
  <c r="BT57" i="10" a="1"/>
  <c r="BT57" i="10" s="1"/>
  <c r="CB57" i="10" a="1"/>
  <c r="CB57" i="10" s="1"/>
  <c r="F65" i="10" a="1"/>
  <c r="F65" i="10" s="1"/>
  <c r="N65" i="10" a="1"/>
  <c r="N65" i="10" s="1"/>
  <c r="V65" i="10" a="1"/>
  <c r="V65" i="10" s="1"/>
  <c r="AD65" i="10" a="1"/>
  <c r="AD65" i="10" s="1"/>
  <c r="AL65" i="10" a="1"/>
  <c r="AL65" i="10" s="1"/>
  <c r="AT65" i="10" a="1"/>
  <c r="AT65" i="10" s="1"/>
  <c r="BB65" i="10" a="1"/>
  <c r="BB65" i="10" s="1"/>
  <c r="BJ65" i="10" a="1"/>
  <c r="BJ65" i="10" s="1"/>
  <c r="BR65" i="10" a="1"/>
  <c r="BR65" i="10" s="1"/>
  <c r="BZ65" i="10" a="1"/>
  <c r="BZ65" i="10" s="1"/>
  <c r="F66" i="10" a="1"/>
  <c r="F66" i="10" s="1"/>
  <c r="N66" i="10" a="1"/>
  <c r="N66" i="10" s="1"/>
  <c r="V66" i="10" a="1"/>
  <c r="V66" i="10" s="1"/>
  <c r="AD66" i="10" a="1"/>
  <c r="AD66" i="10" s="1"/>
  <c r="AL66" i="10" a="1"/>
  <c r="AL66" i="10" s="1"/>
  <c r="AT66" i="10" a="1"/>
  <c r="AT66" i="10" s="1"/>
  <c r="BB66" i="10" a="1"/>
  <c r="BB66" i="10" s="1"/>
  <c r="BJ66" i="10" a="1"/>
  <c r="BJ66" i="10" s="1"/>
  <c r="BR66" i="10" a="1"/>
  <c r="BR66" i="10" s="1"/>
  <c r="BZ66" i="10" a="1"/>
  <c r="BZ66" i="10" s="1"/>
  <c r="E68" i="10" a="1"/>
  <c r="E68" i="10" s="1"/>
  <c r="M68" i="10" a="1"/>
  <c r="M68" i="10" s="1"/>
  <c r="U68" i="10" a="1"/>
  <c r="U68" i="10" s="1"/>
  <c r="AC68" i="10" a="1"/>
  <c r="AC68" i="10" s="1"/>
  <c r="AK68" i="10" a="1"/>
  <c r="AK68" i="10" s="1"/>
  <c r="AS68" i="10" a="1"/>
  <c r="AS68" i="10" s="1"/>
  <c r="BA68" i="10" a="1"/>
  <c r="BA68" i="10" s="1"/>
  <c r="BI68" i="10" a="1"/>
  <c r="BI68" i="10" s="1"/>
  <c r="BQ68" i="10" a="1"/>
  <c r="BQ68" i="10" s="1"/>
  <c r="BY68" i="10" a="1"/>
  <c r="BY68" i="10" s="1"/>
  <c r="L72" i="10" a="1"/>
  <c r="L72" i="10" s="1"/>
  <c r="T72" i="10" a="1"/>
  <c r="T72" i="10" s="1"/>
  <c r="AB72" i="10" a="1"/>
  <c r="AB72" i="10" s="1"/>
  <c r="AJ72" i="10" a="1"/>
  <c r="AJ72" i="10" s="1"/>
  <c r="AZ72" i="10" a="1"/>
  <c r="AZ72" i="10" s="1"/>
  <c r="BH72" i="10" a="1"/>
  <c r="BH72" i="10" s="1"/>
  <c r="BP72" i="10" a="1"/>
  <c r="BP72" i="10" s="1"/>
  <c r="BX72" i="10" a="1"/>
  <c r="BX72" i="10" s="1"/>
  <c r="L73" i="10" a="1"/>
  <c r="L73" i="10" s="1"/>
  <c r="T73" i="10" a="1"/>
  <c r="T73" i="10" s="1"/>
  <c r="AB73" i="10" a="1"/>
  <c r="AB73" i="10" s="1"/>
  <c r="AJ73" i="10" a="1"/>
  <c r="AJ73" i="10" s="1"/>
  <c r="AZ73" i="10" a="1"/>
  <c r="AZ73" i="10" s="1"/>
  <c r="BH73" i="10" a="1"/>
  <c r="BH73" i="10" s="1"/>
  <c r="BP73" i="10" a="1"/>
  <c r="BP73" i="10" s="1"/>
  <c r="BX73" i="10" a="1"/>
  <c r="BX73" i="10" s="1"/>
  <c r="I57" i="10" a="1"/>
  <c r="I57" i="10" s="1"/>
  <c r="Q57" i="10" a="1"/>
  <c r="Q57" i="10" s="1"/>
  <c r="Y57" i="10" a="1"/>
  <c r="Y57" i="10" s="1"/>
  <c r="AG57" i="10" a="1"/>
  <c r="AG57" i="10" s="1"/>
  <c r="AO57" i="10" a="1"/>
  <c r="AO57" i="10" s="1"/>
  <c r="AW57" i="10" a="1"/>
  <c r="AW57" i="10" s="1"/>
  <c r="BE57" i="10" a="1"/>
  <c r="BE57" i="10" s="1"/>
  <c r="BM57" i="10" a="1"/>
  <c r="BM57" i="10" s="1"/>
  <c r="BU57" i="10" a="1"/>
  <c r="BU57" i="10" s="1"/>
  <c r="CC57" i="10" a="1"/>
  <c r="CC57" i="10" s="1"/>
  <c r="G65" i="10" a="1"/>
  <c r="G65" i="10" s="1"/>
  <c r="O65" i="10" a="1"/>
  <c r="O65" i="10" s="1"/>
  <c r="W65" i="10" a="1"/>
  <c r="W65" i="10" s="1"/>
  <c r="AE65" i="10" a="1"/>
  <c r="AE65" i="10" s="1"/>
  <c r="AM65" i="10" a="1"/>
  <c r="AM65" i="10" s="1"/>
  <c r="AU65" i="10" a="1"/>
  <c r="AU65" i="10" s="1"/>
  <c r="BC65" i="10" a="1"/>
  <c r="BC65" i="10" s="1"/>
  <c r="BK65" i="10" a="1"/>
  <c r="BK65" i="10" s="1"/>
  <c r="BS65" i="10" a="1"/>
  <c r="BS65" i="10" s="1"/>
  <c r="CA65" i="10" a="1"/>
  <c r="CA65" i="10" s="1"/>
  <c r="G66" i="10" a="1"/>
  <c r="G66" i="10" s="1"/>
  <c r="O66" i="10" a="1"/>
  <c r="O66" i="10" s="1"/>
  <c r="W66" i="10" a="1"/>
  <c r="W66" i="10" s="1"/>
  <c r="AE66" i="10" a="1"/>
  <c r="AE66" i="10" s="1"/>
  <c r="AM66" i="10" a="1"/>
  <c r="AM66" i="10" s="1"/>
  <c r="AU66" i="10" a="1"/>
  <c r="AU66" i="10" s="1"/>
  <c r="BC66" i="10" a="1"/>
  <c r="BC66" i="10" s="1"/>
  <c r="BK66" i="10" a="1"/>
  <c r="BK66" i="10" s="1"/>
  <c r="BS66" i="10" a="1"/>
  <c r="BS66" i="10" s="1"/>
  <c r="CA66" i="10" a="1"/>
  <c r="CA66" i="10" s="1"/>
  <c r="F68" i="10" a="1"/>
  <c r="F68" i="10" s="1"/>
  <c r="N68" i="10" a="1"/>
  <c r="N68" i="10" s="1"/>
  <c r="V68" i="10" a="1"/>
  <c r="V68" i="10" s="1"/>
  <c r="AD68" i="10" a="1"/>
  <c r="AD68" i="10" s="1"/>
  <c r="AL68" i="10" a="1"/>
  <c r="AL68" i="10" s="1"/>
  <c r="AT68" i="10" a="1"/>
  <c r="AT68" i="10" s="1"/>
  <c r="BB68" i="10" a="1"/>
  <c r="BB68" i="10" s="1"/>
  <c r="BJ68" i="10" a="1"/>
  <c r="BJ68" i="10" s="1"/>
  <c r="BR68" i="10" a="1"/>
  <c r="BR68" i="10" s="1"/>
  <c r="BZ68" i="10" a="1"/>
  <c r="BZ68" i="10" s="1"/>
  <c r="J57" i="10" a="1"/>
  <c r="J57" i="10" s="1"/>
  <c r="R57" i="10" a="1"/>
  <c r="R57" i="10" s="1"/>
  <c r="Z57" i="10" a="1"/>
  <c r="Z57" i="10" s="1"/>
  <c r="AH57" i="10" a="1"/>
  <c r="AH57" i="10" s="1"/>
  <c r="AP57" i="10" a="1"/>
  <c r="AP57" i="10" s="1"/>
  <c r="AX57" i="10" a="1"/>
  <c r="AX57" i="10" s="1"/>
  <c r="BF57" i="10" a="1"/>
  <c r="BF57" i="10" s="1"/>
  <c r="BN57" i="10" a="1"/>
  <c r="BN57" i="10" s="1"/>
  <c r="BV57" i="10" a="1"/>
  <c r="BV57" i="10" s="1"/>
  <c r="CD57" i="10" a="1"/>
  <c r="CD57" i="10" s="1"/>
  <c r="H65" i="10" a="1"/>
  <c r="H65" i="10" s="1"/>
  <c r="P65" i="10" a="1"/>
  <c r="P65" i="10" s="1"/>
  <c r="AF65" i="10" a="1"/>
  <c r="AF65" i="10" s="1"/>
  <c r="AN65" i="10" a="1"/>
  <c r="AN65" i="10" s="1"/>
  <c r="AV65" i="10" a="1"/>
  <c r="AV65" i="10" s="1"/>
  <c r="BD65" i="10" a="1"/>
  <c r="BD65" i="10" s="1"/>
  <c r="BT65" i="10" a="1"/>
  <c r="BT65" i="10" s="1"/>
  <c r="CB65" i="10" a="1"/>
  <c r="CB65" i="10" s="1"/>
  <c r="H66" i="10" a="1"/>
  <c r="H66" i="10" s="1"/>
  <c r="P66" i="10" a="1"/>
  <c r="P66" i="10" s="1"/>
  <c r="AF66" i="10" a="1"/>
  <c r="AF66" i="10" s="1"/>
  <c r="AN66" i="10" a="1"/>
  <c r="AN66" i="10" s="1"/>
  <c r="AV66" i="10" a="1"/>
  <c r="AV66" i="10" s="1"/>
  <c r="BD66" i="10" a="1"/>
  <c r="BD66" i="10" s="1"/>
  <c r="BT66" i="10" a="1"/>
  <c r="BT66" i="10" s="1"/>
  <c r="CB66" i="10" a="1"/>
  <c r="CB66" i="10" s="1"/>
  <c r="G68" i="10" a="1"/>
  <c r="G68" i="10" s="1"/>
  <c r="O68" i="10" a="1"/>
  <c r="O68" i="10" s="1"/>
  <c r="W68" i="10" a="1"/>
  <c r="W68" i="10" s="1"/>
  <c r="AE68" i="10" a="1"/>
  <c r="AE68" i="10" s="1"/>
  <c r="AM68" i="10" a="1"/>
  <c r="AM68" i="10" s="1"/>
  <c r="AU68" i="10" a="1"/>
  <c r="AU68" i="10" s="1"/>
  <c r="BC68" i="10" a="1"/>
  <c r="BC68" i="10" s="1"/>
  <c r="BK68" i="10" a="1"/>
  <c r="BK68" i="10" s="1"/>
  <c r="BS68" i="10" a="1"/>
  <c r="BS68" i="10" s="1"/>
  <c r="CA68" i="10" a="1"/>
  <c r="CA68" i="10" s="1"/>
  <c r="F72" i="10" a="1"/>
  <c r="F72" i="10" s="1"/>
  <c r="N72" i="10" a="1"/>
  <c r="N72" i="10" s="1"/>
  <c r="V72" i="10" a="1"/>
  <c r="V72" i="10" s="1"/>
  <c r="AD72" i="10" a="1"/>
  <c r="AD72" i="10" s="1"/>
  <c r="AL72" i="10" a="1"/>
  <c r="AL72" i="10" s="1"/>
  <c r="K57" i="10" a="1"/>
  <c r="K57" i="10" s="1"/>
  <c r="S57" i="10" a="1"/>
  <c r="S57" i="10" s="1"/>
  <c r="AA57" i="10" a="1"/>
  <c r="AA57" i="10" s="1"/>
  <c r="AI57" i="10" a="1"/>
  <c r="AI57" i="10" s="1"/>
  <c r="AQ57" i="10" a="1"/>
  <c r="AQ57" i="10" s="1"/>
  <c r="AY57" i="10" a="1"/>
  <c r="AY57" i="10" s="1"/>
  <c r="BG57" i="10" a="1"/>
  <c r="BG57" i="10" s="1"/>
  <c r="BO57" i="10" a="1"/>
  <c r="BO57" i="10" s="1"/>
  <c r="BW57" i="10" a="1"/>
  <c r="BW57" i="10" s="1"/>
  <c r="CE57" i="10" a="1"/>
  <c r="CE57" i="10" s="1"/>
  <c r="I65" i="10" a="1"/>
  <c r="I65" i="10" s="1"/>
  <c r="Q65" i="10" a="1"/>
  <c r="Q65" i="10" s="1"/>
  <c r="Y65" i="10" a="1"/>
  <c r="Y65" i="10" s="1"/>
  <c r="AG65" i="10" a="1"/>
  <c r="AG65" i="10" s="1"/>
  <c r="AO65" i="10" a="1"/>
  <c r="AO65" i="10" s="1"/>
  <c r="AW65" i="10" a="1"/>
  <c r="AW65" i="10" s="1"/>
  <c r="BE65" i="10" a="1"/>
  <c r="BE65" i="10" s="1"/>
  <c r="E57" i="10" a="1"/>
  <c r="E57" i="10" s="1"/>
  <c r="M57" i="10" a="1"/>
  <c r="M57" i="10" s="1"/>
  <c r="U57" i="10" a="1"/>
  <c r="U57" i="10" s="1"/>
  <c r="AC57" i="10" a="1"/>
  <c r="AC57" i="10" s="1"/>
  <c r="AK57" i="10" a="1"/>
  <c r="AK57" i="10" s="1"/>
  <c r="AS57" i="10" a="1"/>
  <c r="AS57" i="10" s="1"/>
  <c r="BA57" i="10" a="1"/>
  <c r="BA57" i="10" s="1"/>
  <c r="BI57" i="10" a="1"/>
  <c r="BI57" i="10" s="1"/>
  <c r="BQ57" i="10" a="1"/>
  <c r="BQ57" i="10" s="1"/>
  <c r="BY57" i="10" a="1"/>
  <c r="BY57" i="10" s="1"/>
  <c r="K65" i="10" a="1"/>
  <c r="K65" i="10" s="1"/>
  <c r="S65" i="10" a="1"/>
  <c r="S65" i="10" s="1"/>
  <c r="AA65" i="10" a="1"/>
  <c r="AA65" i="10" s="1"/>
  <c r="AI65" i="10" a="1"/>
  <c r="AI65" i="10" s="1"/>
  <c r="AQ65" i="10" a="1"/>
  <c r="AQ65" i="10" s="1"/>
  <c r="AY65" i="10" a="1"/>
  <c r="AY65" i="10" s="1"/>
  <c r="BG65" i="10" a="1"/>
  <c r="BG65" i="10" s="1"/>
  <c r="BO65" i="10" a="1"/>
  <c r="BO65" i="10" s="1"/>
  <c r="BW65" i="10" a="1"/>
  <c r="BW65" i="10" s="1"/>
  <c r="CE65" i="10" a="1"/>
  <c r="CE65" i="10" s="1"/>
  <c r="K66" i="10" a="1"/>
  <c r="K66" i="10" s="1"/>
  <c r="S66" i="10" a="1"/>
  <c r="S66" i="10" s="1"/>
  <c r="AA66" i="10" a="1"/>
  <c r="AA66" i="10" s="1"/>
  <c r="AI66" i="10" a="1"/>
  <c r="AI66" i="10" s="1"/>
  <c r="AQ66" i="10" a="1"/>
  <c r="AQ66" i="10" s="1"/>
  <c r="AY66" i="10" a="1"/>
  <c r="AY66" i="10" s="1"/>
  <c r="BG66" i="10" a="1"/>
  <c r="BG66" i="10" s="1"/>
  <c r="BO66" i="10" a="1"/>
  <c r="BO66" i="10" s="1"/>
  <c r="BW66" i="10" a="1"/>
  <c r="BW66" i="10" s="1"/>
  <c r="CE66" i="10" a="1"/>
  <c r="CE66" i="10" s="1"/>
  <c r="J68" i="10" a="1"/>
  <c r="J68" i="10" s="1"/>
  <c r="R68" i="10" a="1"/>
  <c r="R68" i="10" s="1"/>
  <c r="Z68" i="10" a="1"/>
  <c r="Z68" i="10" s="1"/>
  <c r="AH68" i="10" a="1"/>
  <c r="AH68" i="10" s="1"/>
  <c r="AP68" i="10" a="1"/>
  <c r="AP68" i="10" s="1"/>
  <c r="AX68" i="10" a="1"/>
  <c r="AX68" i="10" s="1"/>
  <c r="BF68" i="10" a="1"/>
  <c r="BF68" i="10" s="1"/>
  <c r="BN68" i="10" a="1"/>
  <c r="BN68" i="10" s="1"/>
  <c r="BV68" i="10" a="1"/>
  <c r="BV68" i="10" s="1"/>
  <c r="CC68" i="10" a="1"/>
  <c r="CC68" i="10" s="1"/>
  <c r="I72" i="10" a="1"/>
  <c r="I72" i="10" s="1"/>
  <c r="Q72" i="10" a="1"/>
  <c r="Q72" i="10" s="1"/>
  <c r="Y72" i="10" a="1"/>
  <c r="Y72" i="10" s="1"/>
  <c r="AG72" i="10" a="1"/>
  <c r="AG72" i="10" s="1"/>
  <c r="AO72" i="10" a="1"/>
  <c r="AO72" i="10" s="1"/>
  <c r="AW72" i="10" a="1"/>
  <c r="AW72" i="10" s="1"/>
  <c r="BE72" i="10" a="1"/>
  <c r="BE72" i="10" s="1"/>
  <c r="BM72" i="10" a="1"/>
  <c r="BM72" i="10" s="1"/>
  <c r="BU72" i="10" a="1"/>
  <c r="BU72" i="10" s="1"/>
  <c r="CC72" i="10" a="1"/>
  <c r="CC72" i="10" s="1"/>
  <c r="I73" i="10" a="1"/>
  <c r="I73" i="10" s="1"/>
  <c r="Q73" i="10" a="1"/>
  <c r="Q73" i="10" s="1"/>
  <c r="Y73" i="10" a="1"/>
  <c r="Y73" i="10" s="1"/>
  <c r="AG73" i="10" a="1"/>
  <c r="AG73" i="10" s="1"/>
  <c r="AO73" i="10" a="1"/>
  <c r="AO73" i="10" s="1"/>
  <c r="AW73" i="10" a="1"/>
  <c r="AW73" i="10" s="1"/>
  <c r="BE73" i="10" a="1"/>
  <c r="BE73" i="10" s="1"/>
  <c r="BM73" i="10" a="1"/>
  <c r="BM73" i="10" s="1"/>
  <c r="BU73" i="10" a="1"/>
  <c r="BU73" i="10" s="1"/>
  <c r="CC73" i="10" a="1"/>
  <c r="CC73" i="10" s="1"/>
  <c r="BF65" i="10" a="1"/>
  <c r="BF65" i="10" s="1"/>
  <c r="J66" i="10" a="1"/>
  <c r="J66" i="10" s="1"/>
  <c r="AP66" i="10" a="1"/>
  <c r="AP66" i="10" s="1"/>
  <c r="BV66" i="10" a="1"/>
  <c r="BV66" i="10" s="1"/>
  <c r="Q68" i="10" a="1"/>
  <c r="Q68" i="10" s="1"/>
  <c r="AN68" i="10" a="1"/>
  <c r="AN68" i="10" s="1"/>
  <c r="BG68" i="10" a="1"/>
  <c r="BG68" i="10" s="1"/>
  <c r="P72" i="10" a="1"/>
  <c r="P72" i="10" s="1"/>
  <c r="AC72" i="10" a="1"/>
  <c r="AC72" i="10" s="1"/>
  <c r="AP72" i="10" a="1"/>
  <c r="AP72" i="10" s="1"/>
  <c r="BA72" i="10" a="1"/>
  <c r="BA72" i="10" s="1"/>
  <c r="BK72" i="10" a="1"/>
  <c r="BK72" i="10" s="1"/>
  <c r="BV72" i="10" a="1"/>
  <c r="BV72" i="10" s="1"/>
  <c r="E73" i="10" a="1"/>
  <c r="E73" i="10" s="1"/>
  <c r="O73" i="10" a="1"/>
  <c r="O73" i="10" s="1"/>
  <c r="Z73" i="10" a="1"/>
  <c r="Z73" i="10" s="1"/>
  <c r="AK73" i="10" a="1"/>
  <c r="AK73" i="10" s="1"/>
  <c r="AU73" i="10" a="1"/>
  <c r="AU73" i="10" s="1"/>
  <c r="BF73" i="10" a="1"/>
  <c r="BF73" i="10" s="1"/>
  <c r="BQ73" i="10" a="1"/>
  <c r="BQ73" i="10" s="1"/>
  <c r="CA73" i="10" a="1"/>
  <c r="CA73" i="10" s="1"/>
  <c r="K81" i="10" a="1"/>
  <c r="K81" i="10" s="1"/>
  <c r="S81" i="10" a="1"/>
  <c r="S81" i="10" s="1"/>
  <c r="AA81" i="10" a="1"/>
  <c r="AA81" i="10" s="1"/>
  <c r="AI81" i="10" a="1"/>
  <c r="AI81" i="10" s="1"/>
  <c r="AQ81" i="10" a="1"/>
  <c r="AQ81" i="10" s="1"/>
  <c r="AY81" i="10" a="1"/>
  <c r="AY81" i="10" s="1"/>
  <c r="BG81" i="10" a="1"/>
  <c r="BG81" i="10" s="1"/>
  <c r="BO81" i="10" a="1"/>
  <c r="BO81" i="10" s="1"/>
  <c r="BW81" i="10" a="1"/>
  <c r="BW81" i="10" s="1"/>
  <c r="CE81" i="10" a="1"/>
  <c r="CE81" i="10" s="1"/>
  <c r="J84" i="10" a="1"/>
  <c r="J84" i="10" s="1"/>
  <c r="R84" i="10" a="1"/>
  <c r="R84" i="10" s="1"/>
  <c r="Z84" i="10" a="1"/>
  <c r="Z84" i="10" s="1"/>
  <c r="AH84" i="10" a="1"/>
  <c r="AH84" i="10" s="1"/>
  <c r="AP84" i="10" a="1"/>
  <c r="AP84" i="10" s="1"/>
  <c r="AX84" i="10" a="1"/>
  <c r="AX84" i="10" s="1"/>
  <c r="BF84" i="10" a="1"/>
  <c r="BF84" i="10" s="1"/>
  <c r="BN84" i="10" a="1"/>
  <c r="BN84" i="10" s="1"/>
  <c r="BV84" i="10" a="1"/>
  <c r="BV84" i="10" s="1"/>
  <c r="CD84" i="10" a="1"/>
  <c r="CD84" i="10" s="1"/>
  <c r="BT81" i="12" a="1"/>
  <c r="BT81" i="12" s="1"/>
  <c r="CB81" i="12" a="1"/>
  <c r="CB81" i="12" s="1"/>
  <c r="BP84" i="12" a="1"/>
  <c r="BP84" i="12" s="1"/>
  <c r="BX84" i="12" a="1"/>
  <c r="BX84" i="12" s="1"/>
  <c r="BM65" i="12" a="1"/>
  <c r="BM65" i="12" s="1"/>
  <c r="BU65" i="12" a="1"/>
  <c r="BU65" i="12" s="1"/>
  <c r="CC65" i="12" a="1"/>
  <c r="CC65" i="12" s="1"/>
  <c r="BP66" i="12" a="1"/>
  <c r="BP66" i="12" s="1"/>
  <c r="BX66" i="12" a="1"/>
  <c r="BX66" i="12" s="1"/>
  <c r="BP68" i="12" a="1"/>
  <c r="BP68" i="12" s="1"/>
  <c r="BW68" i="12" a="1"/>
  <c r="BW68" i="12" s="1"/>
  <c r="CE68" i="12" a="1"/>
  <c r="CE68" i="12" s="1"/>
  <c r="BZ72" i="12" a="1"/>
  <c r="BZ72" i="12" s="1"/>
  <c r="BN73" i="12" a="1"/>
  <c r="BN73" i="12" s="1"/>
  <c r="BV73" i="12" a="1"/>
  <c r="BV73" i="12" s="1"/>
  <c r="CC73" i="12" a="1"/>
  <c r="CC73" i="12" s="1"/>
  <c r="BZ57" i="12" a="1"/>
  <c r="BZ57" i="12" s="1"/>
  <c r="BR57" i="12" a="1"/>
  <c r="BR57" i="12" s="1"/>
  <c r="AZ57" i="10" a="1"/>
  <c r="AZ57" i="10" s="1"/>
  <c r="BM65" i="10" a="1"/>
  <c r="BM65" i="10" s="1"/>
  <c r="Q66" i="10" a="1"/>
  <c r="Q66" i="10" s="1"/>
  <c r="AW66" i="10" a="1"/>
  <c r="AW66" i="10" s="1"/>
  <c r="CC66" i="10" a="1"/>
  <c r="CC66" i="10" s="1"/>
  <c r="S68" i="10" a="1"/>
  <c r="S68" i="10" s="1"/>
  <c r="AO68" i="10" a="1"/>
  <c r="AO68" i="10" s="1"/>
  <c r="CD68" i="10" a="1"/>
  <c r="CD68" i="10" s="1"/>
  <c r="E72" i="10" a="1"/>
  <c r="E72" i="10" s="1"/>
  <c r="R72" i="10" a="1"/>
  <c r="R72" i="10" s="1"/>
  <c r="AE72" i="10" a="1"/>
  <c r="AE72" i="10" s="1"/>
  <c r="AQ72" i="10" a="1"/>
  <c r="AQ72" i="10" s="1"/>
  <c r="BB72" i="10" a="1"/>
  <c r="BB72" i="10" s="1"/>
  <c r="BW72" i="10" a="1"/>
  <c r="BW72" i="10" s="1"/>
  <c r="F73" i="10" a="1"/>
  <c r="F73" i="10" s="1"/>
  <c r="P73" i="10" a="1"/>
  <c r="P73" i="10" s="1"/>
  <c r="AA73" i="10" a="1"/>
  <c r="AA73" i="10" s="1"/>
  <c r="AL73" i="10" a="1"/>
  <c r="AL73" i="10" s="1"/>
  <c r="AV73" i="10" a="1"/>
  <c r="AV73" i="10" s="1"/>
  <c r="BG73" i="10" a="1"/>
  <c r="BG73" i="10" s="1"/>
  <c r="BR73" i="10" a="1"/>
  <c r="BR73" i="10" s="1"/>
  <c r="CB73" i="10" a="1"/>
  <c r="CB73" i="10" s="1"/>
  <c r="L81" i="10" a="1"/>
  <c r="L81" i="10" s="1"/>
  <c r="T81" i="10" a="1"/>
  <c r="T81" i="10" s="1"/>
  <c r="AB81" i="10" a="1"/>
  <c r="AB81" i="10" s="1"/>
  <c r="AJ81" i="10" a="1"/>
  <c r="AJ81" i="10" s="1"/>
  <c r="AZ81" i="10" a="1"/>
  <c r="AZ81" i="10" s="1"/>
  <c r="BH81" i="10" a="1"/>
  <c r="BH81" i="10" s="1"/>
  <c r="BP81" i="10" a="1"/>
  <c r="BP81" i="10" s="1"/>
  <c r="BX81" i="10" a="1"/>
  <c r="BX81" i="10" s="1"/>
  <c r="K84" i="10" a="1"/>
  <c r="K84" i="10" s="1"/>
  <c r="S84" i="10" a="1"/>
  <c r="S84" i="10" s="1"/>
  <c r="AA84" i="10" a="1"/>
  <c r="AA84" i="10" s="1"/>
  <c r="AI84" i="10" a="1"/>
  <c r="AI84" i="10" s="1"/>
  <c r="AQ84" i="10" a="1"/>
  <c r="AQ84" i="10" s="1"/>
  <c r="AY84" i="10" a="1"/>
  <c r="AY84" i="10" s="1"/>
  <c r="BG84" i="10" a="1"/>
  <c r="BG84" i="10" s="1"/>
  <c r="BO84" i="10" a="1"/>
  <c r="BO84" i="10" s="1"/>
  <c r="BW84" i="10" a="1"/>
  <c r="BW84" i="10" s="1"/>
  <c r="CE84" i="10" a="1"/>
  <c r="CE84" i="10" s="1"/>
  <c r="BM81" i="12" a="1"/>
  <c r="BM81" i="12" s="1"/>
  <c r="BU81" i="12" a="1"/>
  <c r="BU81" i="12" s="1"/>
  <c r="CC81" i="12" a="1"/>
  <c r="CC81" i="12" s="1"/>
  <c r="BQ84" i="12" a="1"/>
  <c r="BQ84" i="12" s="1"/>
  <c r="BY84" i="12" a="1"/>
  <c r="BY84" i="12" s="1"/>
  <c r="BN65" i="12" a="1"/>
  <c r="BN65" i="12" s="1"/>
  <c r="BV65" i="12" a="1"/>
  <c r="BV65" i="12" s="1"/>
  <c r="CD65" i="12" a="1"/>
  <c r="CD65" i="12" s="1"/>
  <c r="BQ66" i="12" a="1"/>
  <c r="BQ66" i="12" s="1"/>
  <c r="BY66" i="12" a="1"/>
  <c r="BY66" i="12" s="1"/>
  <c r="BQ68" i="12" a="1"/>
  <c r="BQ68" i="12" s="1"/>
  <c r="BX68" i="12" a="1"/>
  <c r="BX68" i="12" s="1"/>
  <c r="BS72" i="12" a="1"/>
  <c r="BS72" i="12" s="1"/>
  <c r="CA72" i="12" a="1"/>
  <c r="CA72" i="12" s="1"/>
  <c r="BO73" i="12" a="1"/>
  <c r="BO73" i="12" s="1"/>
  <c r="CD73" i="12" a="1"/>
  <c r="CD73" i="12" s="1"/>
  <c r="BY57" i="12" a="1"/>
  <c r="BY57" i="12" s="1"/>
  <c r="BQ57" i="12" a="1"/>
  <c r="BQ57" i="12" s="1"/>
  <c r="BH57" i="10" a="1"/>
  <c r="BH57" i="10" s="1"/>
  <c r="J65" i="10" a="1"/>
  <c r="J65" i="10" s="1"/>
  <c r="BN65" i="10" a="1"/>
  <c r="BN65" i="10" s="1"/>
  <c r="R66" i="10" a="1"/>
  <c r="R66" i="10" s="1"/>
  <c r="AX66" i="10" a="1"/>
  <c r="AX66" i="10" s="1"/>
  <c r="CD66" i="10" a="1"/>
  <c r="CD66" i="10" s="1"/>
  <c r="AQ68" i="10" a="1"/>
  <c r="AQ68" i="10" s="1"/>
  <c r="BM68" i="10" a="1"/>
  <c r="BM68" i="10" s="1"/>
  <c r="G72" i="10" a="1"/>
  <c r="G72" i="10" s="1"/>
  <c r="S72" i="10" a="1"/>
  <c r="S72" i="10" s="1"/>
  <c r="AF72" i="10" a="1"/>
  <c r="AF72" i="10" s="1"/>
  <c r="AS72" i="10" a="1"/>
  <c r="AS72" i="10" s="1"/>
  <c r="BC72" i="10" a="1"/>
  <c r="BC72" i="10" s="1"/>
  <c r="BN72" i="10" a="1"/>
  <c r="BN72" i="10" s="1"/>
  <c r="BY72" i="10" a="1"/>
  <c r="BY72" i="10" s="1"/>
  <c r="G73" i="10" a="1"/>
  <c r="G73" i="10" s="1"/>
  <c r="R73" i="10" a="1"/>
  <c r="R73" i="10" s="1"/>
  <c r="AC73" i="10" a="1"/>
  <c r="AC73" i="10" s="1"/>
  <c r="AM73" i="10" a="1"/>
  <c r="AM73" i="10" s="1"/>
  <c r="AX73" i="10" a="1"/>
  <c r="AX73" i="10" s="1"/>
  <c r="BI73" i="10" a="1"/>
  <c r="BI73" i="10" s="1"/>
  <c r="BS73" i="10" a="1"/>
  <c r="BS73" i="10" s="1"/>
  <c r="CD73" i="10" a="1"/>
  <c r="CD73" i="10" s="1"/>
  <c r="E81" i="10" a="1"/>
  <c r="E81" i="10" s="1"/>
  <c r="M81" i="10" a="1"/>
  <c r="M81" i="10" s="1"/>
  <c r="U81" i="10" a="1"/>
  <c r="U81" i="10" s="1"/>
  <c r="AC81" i="10" a="1"/>
  <c r="AC81" i="10" s="1"/>
  <c r="AK81" i="10" a="1"/>
  <c r="AK81" i="10" s="1"/>
  <c r="AS81" i="10" a="1"/>
  <c r="AS81" i="10" s="1"/>
  <c r="BA81" i="10" a="1"/>
  <c r="BA81" i="10" s="1"/>
  <c r="BI81" i="10" a="1"/>
  <c r="BI81" i="10" s="1"/>
  <c r="BQ81" i="10" a="1"/>
  <c r="BQ81" i="10" s="1"/>
  <c r="BY81" i="10" a="1"/>
  <c r="BY81" i="10" s="1"/>
  <c r="E84" i="10" a="1"/>
  <c r="E84" i="10" s="1"/>
  <c r="L84" i="10" a="1"/>
  <c r="L84" i="10" s="1"/>
  <c r="T84" i="10" a="1"/>
  <c r="T84" i="10" s="1"/>
  <c r="AB84" i="10" a="1"/>
  <c r="AB84" i="10" s="1"/>
  <c r="AJ84" i="10" a="1"/>
  <c r="AJ84" i="10" s="1"/>
  <c r="AZ84" i="10" a="1"/>
  <c r="AZ84" i="10" s="1"/>
  <c r="BH84" i="10" a="1"/>
  <c r="BH84" i="10" s="1"/>
  <c r="BP84" i="10" a="1"/>
  <c r="BP84" i="10" s="1"/>
  <c r="BX84" i="10" a="1"/>
  <c r="BX84" i="10" s="1"/>
  <c r="BN81" i="12" a="1"/>
  <c r="BN81" i="12" s="1"/>
  <c r="BV81" i="12" a="1"/>
  <c r="BV81" i="12" s="1"/>
  <c r="CD81" i="12" a="1"/>
  <c r="CD81" i="12" s="1"/>
  <c r="BR84" i="12" a="1"/>
  <c r="BR84" i="12" s="1"/>
  <c r="BZ84" i="12" a="1"/>
  <c r="BZ84" i="12" s="1"/>
  <c r="BO65" i="12" a="1"/>
  <c r="BO65" i="12" s="1"/>
  <c r="BW65" i="12" a="1"/>
  <c r="BW65" i="12" s="1"/>
  <c r="CE65" i="12" a="1"/>
  <c r="CE65" i="12" s="1"/>
  <c r="BR66" i="12" a="1"/>
  <c r="BR66" i="12" s="1"/>
  <c r="BZ66" i="12" a="1"/>
  <c r="BZ66" i="12" s="1"/>
  <c r="BR68" i="12" a="1"/>
  <c r="BR68" i="12" s="1"/>
  <c r="BY68" i="12" a="1"/>
  <c r="BY68" i="12" s="1"/>
  <c r="BM72" i="12" a="1"/>
  <c r="BM72" i="12" s="1"/>
  <c r="BT72" i="12" a="1"/>
  <c r="BT72" i="12" s="1"/>
  <c r="CB72" i="12" a="1"/>
  <c r="CB72" i="12" s="1"/>
  <c r="BP73" i="12" a="1"/>
  <c r="BP73" i="12" s="1"/>
  <c r="BW73" i="12" a="1"/>
  <c r="BW73" i="12" s="1"/>
  <c r="CE73" i="12" a="1"/>
  <c r="CE73" i="12" s="1"/>
  <c r="BX57" i="12" a="1"/>
  <c r="BX57" i="12" s="1"/>
  <c r="BP57" i="12" a="1"/>
  <c r="BP57" i="12" s="1"/>
  <c r="BP57" i="10" a="1"/>
  <c r="BP57" i="10" s="1"/>
  <c r="R65" i="10" a="1"/>
  <c r="R65" i="10" s="1"/>
  <c r="BU65" i="10" a="1"/>
  <c r="BU65" i="10" s="1"/>
  <c r="Y66" i="10" a="1"/>
  <c r="Y66" i="10" s="1"/>
  <c r="BE66" i="10" a="1"/>
  <c r="BE66" i="10" s="1"/>
  <c r="Y68" i="10" a="1"/>
  <c r="Y68" i="10" s="1"/>
  <c r="AV68" i="10" a="1"/>
  <c r="AV68" i="10" s="1"/>
  <c r="BO68" i="10" a="1"/>
  <c r="BO68" i="10" s="1"/>
  <c r="H72" i="10" a="1"/>
  <c r="H72" i="10" s="1"/>
  <c r="U72" i="10" a="1"/>
  <c r="U72" i="10" s="1"/>
  <c r="AH72" i="10" a="1"/>
  <c r="AH72" i="10" s="1"/>
  <c r="AT72" i="10" a="1"/>
  <c r="AT72" i="10" s="1"/>
  <c r="BD72" i="10" a="1"/>
  <c r="BD72" i="10" s="1"/>
  <c r="BO72" i="10" a="1"/>
  <c r="BO72" i="10" s="1"/>
  <c r="BZ72" i="10" a="1"/>
  <c r="BZ72" i="10" s="1"/>
  <c r="H73" i="10" a="1"/>
  <c r="H73" i="10" s="1"/>
  <c r="S73" i="10" a="1"/>
  <c r="S73" i="10" s="1"/>
  <c r="AD73" i="10" a="1"/>
  <c r="AD73" i="10" s="1"/>
  <c r="AN73" i="10" a="1"/>
  <c r="AN73" i="10" s="1"/>
  <c r="AY73" i="10" a="1"/>
  <c r="AY73" i="10" s="1"/>
  <c r="BJ73" i="10" a="1"/>
  <c r="BJ73" i="10" s="1"/>
  <c r="BT73" i="10" a="1"/>
  <c r="BT73" i="10" s="1"/>
  <c r="CE73" i="10" a="1"/>
  <c r="CE73" i="10" s="1"/>
  <c r="F81" i="10" a="1"/>
  <c r="F81" i="10" s="1"/>
  <c r="N81" i="10" a="1"/>
  <c r="N81" i="10" s="1"/>
  <c r="V81" i="10" a="1"/>
  <c r="V81" i="10" s="1"/>
  <c r="AD81" i="10" a="1"/>
  <c r="AD81" i="10" s="1"/>
  <c r="AL81" i="10" a="1"/>
  <c r="AL81" i="10" s="1"/>
  <c r="AT81" i="10" a="1"/>
  <c r="AT81" i="10" s="1"/>
  <c r="BB81" i="10" a="1"/>
  <c r="BB81" i="10" s="1"/>
  <c r="BJ81" i="10" a="1"/>
  <c r="BJ81" i="10" s="1"/>
  <c r="BR81" i="10" a="1"/>
  <c r="BR81" i="10" s="1"/>
  <c r="BZ81" i="10" a="1"/>
  <c r="BZ81" i="10" s="1"/>
  <c r="F84" i="10" a="1"/>
  <c r="F84" i="10" s="1"/>
  <c r="M84" i="10" a="1"/>
  <c r="M84" i="10" s="1"/>
  <c r="U84" i="10" a="1"/>
  <c r="U84" i="10" s="1"/>
  <c r="AC84" i="10" a="1"/>
  <c r="AC84" i="10" s="1"/>
  <c r="AK84" i="10" a="1"/>
  <c r="AK84" i="10" s="1"/>
  <c r="AS84" i="10" a="1"/>
  <c r="AS84" i="10" s="1"/>
  <c r="BA84" i="10" a="1"/>
  <c r="BA84" i="10" s="1"/>
  <c r="BI84" i="10" a="1"/>
  <c r="BI84" i="10" s="1"/>
  <c r="BQ84" i="10" a="1"/>
  <c r="BQ84" i="10" s="1"/>
  <c r="BY84" i="10" a="1"/>
  <c r="BY84" i="10" s="1"/>
  <c r="BO81" i="12" a="1"/>
  <c r="BO81" i="12" s="1"/>
  <c r="BW81" i="12" a="1"/>
  <c r="BW81" i="12" s="1"/>
  <c r="CE81" i="12" a="1"/>
  <c r="CE81" i="12" s="1"/>
  <c r="BS84" i="12" a="1"/>
  <c r="BS84" i="12" s="1"/>
  <c r="CA84" i="12" a="1"/>
  <c r="CA84" i="12" s="1"/>
  <c r="BP65" i="12" a="1"/>
  <c r="BP65" i="12" s="1"/>
  <c r="BX65" i="12" a="1"/>
  <c r="BX65" i="12" s="1"/>
  <c r="BS66" i="12" a="1"/>
  <c r="BS66" i="12" s="1"/>
  <c r="CA66" i="12" a="1"/>
  <c r="CA66" i="12" s="1"/>
  <c r="BS68" i="12" a="1"/>
  <c r="BS68" i="12" s="1"/>
  <c r="BZ68" i="12" a="1"/>
  <c r="BZ68" i="12" s="1"/>
  <c r="BN72" i="12" a="1"/>
  <c r="BN72" i="12" s="1"/>
  <c r="BU72" i="12" a="1"/>
  <c r="BU72" i="12" s="1"/>
  <c r="CC72" i="12" a="1"/>
  <c r="CC72" i="12" s="1"/>
  <c r="BQ73" i="12" a="1"/>
  <c r="BQ73" i="12" s="1"/>
  <c r="BX73" i="12" a="1"/>
  <c r="BX73" i="12" s="1"/>
  <c r="CE57" i="12" a="1"/>
  <c r="CE57" i="12" s="1"/>
  <c r="BW57" i="12" a="1"/>
  <c r="BW57" i="12" s="1"/>
  <c r="BO57" i="12" a="1"/>
  <c r="BO57" i="12" s="1"/>
  <c r="L57" i="10" a="1"/>
  <c r="L57" i="10" s="1"/>
  <c r="BX57" i="10" a="1"/>
  <c r="BX57" i="10" s="1"/>
  <c r="Z65" i="10" a="1"/>
  <c r="Z65" i="10" s="1"/>
  <c r="BV65" i="10" a="1"/>
  <c r="BV65" i="10" s="1"/>
  <c r="Z66" i="10" a="1"/>
  <c r="Z66" i="10" s="1"/>
  <c r="BF66" i="10" a="1"/>
  <c r="BF66" i="10" s="1"/>
  <c r="H68" i="10" a="1"/>
  <c r="H68" i="10" s="1"/>
  <c r="AA68" i="10" a="1"/>
  <c r="AA68" i="10" s="1"/>
  <c r="AW68" i="10" a="1"/>
  <c r="AW68" i="10" s="1"/>
  <c r="BT68" i="10" a="1"/>
  <c r="BT68" i="10" s="1"/>
  <c r="J72" i="10" a="1"/>
  <c r="J72" i="10" s="1"/>
  <c r="W72" i="10" a="1"/>
  <c r="W72" i="10" s="1"/>
  <c r="AI72" i="10" a="1"/>
  <c r="AI72" i="10" s="1"/>
  <c r="AU72" i="10" a="1"/>
  <c r="AU72" i="10" s="1"/>
  <c r="BF72" i="10" a="1"/>
  <c r="BF72" i="10" s="1"/>
  <c r="BQ72" i="10" a="1"/>
  <c r="BQ72" i="10" s="1"/>
  <c r="CA72" i="10" a="1"/>
  <c r="CA72" i="10" s="1"/>
  <c r="J73" i="10" a="1"/>
  <c r="J73" i="10" s="1"/>
  <c r="U73" i="10" a="1"/>
  <c r="U73" i="10" s="1"/>
  <c r="AE73" i="10" a="1"/>
  <c r="AE73" i="10" s="1"/>
  <c r="AP73" i="10" a="1"/>
  <c r="AP73" i="10" s="1"/>
  <c r="BA73" i="10" a="1"/>
  <c r="BA73" i="10" s="1"/>
  <c r="BK73" i="10" a="1"/>
  <c r="BK73" i="10" s="1"/>
  <c r="BV73" i="10" a="1"/>
  <c r="BV73" i="10" s="1"/>
  <c r="G81" i="10" a="1"/>
  <c r="G81" i="10" s="1"/>
  <c r="O81" i="10" a="1"/>
  <c r="O81" i="10" s="1"/>
  <c r="W81" i="10" a="1"/>
  <c r="W81" i="10" s="1"/>
  <c r="AE81" i="10" a="1"/>
  <c r="AE81" i="10" s="1"/>
  <c r="AM81" i="10" a="1"/>
  <c r="AM81" i="10" s="1"/>
  <c r="AU81" i="10" a="1"/>
  <c r="AU81" i="10" s="1"/>
  <c r="BC81" i="10" a="1"/>
  <c r="BC81" i="10" s="1"/>
  <c r="BK81" i="10" a="1"/>
  <c r="BK81" i="10" s="1"/>
  <c r="BS81" i="10" a="1"/>
  <c r="BS81" i="10" s="1"/>
  <c r="CA81" i="10" a="1"/>
  <c r="CA81" i="10" s="1"/>
  <c r="G84" i="10" a="1"/>
  <c r="G84" i="10" s="1"/>
  <c r="N84" i="10" a="1"/>
  <c r="N84" i="10" s="1"/>
  <c r="V84" i="10" a="1"/>
  <c r="V84" i="10" s="1"/>
  <c r="AD84" i="10" a="1"/>
  <c r="AD84" i="10" s="1"/>
  <c r="AL84" i="10" a="1"/>
  <c r="AL84" i="10" s="1"/>
  <c r="AT84" i="10" a="1"/>
  <c r="AT84" i="10" s="1"/>
  <c r="BB84" i="10" a="1"/>
  <c r="BB84" i="10" s="1"/>
  <c r="BJ84" i="10" a="1"/>
  <c r="BJ84" i="10" s="1"/>
  <c r="BR84" i="10" a="1"/>
  <c r="BR84" i="10" s="1"/>
  <c r="BZ84" i="10" a="1"/>
  <c r="BZ84" i="10" s="1"/>
  <c r="BP81" i="12" a="1"/>
  <c r="BP81" i="12" s="1"/>
  <c r="BX81" i="12" a="1"/>
  <c r="BX81" i="12" s="1"/>
  <c r="BT84" i="12" a="1"/>
  <c r="BT84" i="12" s="1"/>
  <c r="CB84" i="12" a="1"/>
  <c r="CB84" i="12" s="1"/>
  <c r="BQ65" i="12" a="1"/>
  <c r="BQ65" i="12" s="1"/>
  <c r="BY65" i="12" a="1"/>
  <c r="BY65" i="12" s="1"/>
  <c r="BM66" i="12" a="1"/>
  <c r="BM66" i="12" s="1"/>
  <c r="BT66" i="12" a="1"/>
  <c r="BT66" i="12" s="1"/>
  <c r="CB66" i="12" a="1"/>
  <c r="CB66" i="12" s="1"/>
  <c r="BT68" i="12" a="1"/>
  <c r="BT68" i="12" s="1"/>
  <c r="CA68" i="12" a="1"/>
  <c r="CA68" i="12" s="1"/>
  <c r="BO72" i="12" a="1"/>
  <c r="BO72" i="12" s="1"/>
  <c r="BV72" i="12" a="1"/>
  <c r="BV72" i="12" s="1"/>
  <c r="CD72" i="12" a="1"/>
  <c r="CD72" i="12" s="1"/>
  <c r="BR73" i="12" a="1"/>
  <c r="BR73" i="12" s="1"/>
  <c r="BY73" i="12" a="1"/>
  <c r="BY73" i="12" s="1"/>
  <c r="T57" i="10" a="1"/>
  <c r="T57" i="10" s="1"/>
  <c r="AH65" i="10" a="1"/>
  <c r="AH65" i="10" s="1"/>
  <c r="CC65" i="10" a="1"/>
  <c r="CC65" i="10" s="1"/>
  <c r="AG66" i="10" a="1"/>
  <c r="AG66" i="10" s="1"/>
  <c r="BM66" i="10" a="1"/>
  <c r="BM66" i="10" s="1"/>
  <c r="I68" i="10" a="1"/>
  <c r="I68" i="10" s="1"/>
  <c r="AF68" i="10" a="1"/>
  <c r="AF68" i="10" s="1"/>
  <c r="AY68" i="10" a="1"/>
  <c r="AY68" i="10" s="1"/>
  <c r="BU68" i="10" a="1"/>
  <c r="BU68" i="10" s="1"/>
  <c r="K72" i="10" a="1"/>
  <c r="K72" i="10" s="1"/>
  <c r="AK72" i="10" a="1"/>
  <c r="AK72" i="10" s="1"/>
  <c r="AV72" i="10" a="1"/>
  <c r="AV72" i="10" s="1"/>
  <c r="BG72" i="10" a="1"/>
  <c r="BG72" i="10" s="1"/>
  <c r="BR72" i="10" a="1"/>
  <c r="BR72" i="10" s="1"/>
  <c r="CB72" i="10" a="1"/>
  <c r="CB72" i="10" s="1"/>
  <c r="K73" i="10" a="1"/>
  <c r="K73" i="10" s="1"/>
  <c r="V73" i="10" a="1"/>
  <c r="V73" i="10" s="1"/>
  <c r="AF73" i="10" a="1"/>
  <c r="AF73" i="10" s="1"/>
  <c r="AQ73" i="10" a="1"/>
  <c r="AQ73" i="10" s="1"/>
  <c r="BB73" i="10" a="1"/>
  <c r="BB73" i="10" s="1"/>
  <c r="BW73" i="10" a="1"/>
  <c r="BW73" i="10" s="1"/>
  <c r="H81" i="10" a="1"/>
  <c r="H81" i="10" s="1"/>
  <c r="P81" i="10" a="1"/>
  <c r="P81" i="10" s="1"/>
  <c r="AF81" i="10" a="1"/>
  <c r="AF81" i="10" s="1"/>
  <c r="AN81" i="10" a="1"/>
  <c r="AN81" i="10" s="1"/>
  <c r="AV81" i="10" a="1"/>
  <c r="AV81" i="10" s="1"/>
  <c r="BD81" i="10" a="1"/>
  <c r="BD81" i="10" s="1"/>
  <c r="BT81" i="10" a="1"/>
  <c r="BT81" i="10" s="1"/>
  <c r="CB81" i="10" a="1"/>
  <c r="CB81" i="10" s="1"/>
  <c r="H84" i="10" a="1"/>
  <c r="H84" i="10" s="1"/>
  <c r="O84" i="10" a="1"/>
  <c r="O84" i="10" s="1"/>
  <c r="W84" i="10" a="1"/>
  <c r="W84" i="10" s="1"/>
  <c r="AE84" i="10" a="1"/>
  <c r="AE84" i="10" s="1"/>
  <c r="AM84" i="10" a="1"/>
  <c r="AM84" i="10" s="1"/>
  <c r="AU84" i="10" a="1"/>
  <c r="AU84" i="10" s="1"/>
  <c r="BC84" i="10" a="1"/>
  <c r="BC84" i="10" s="1"/>
  <c r="BK84" i="10" a="1"/>
  <c r="BK84" i="10" s="1"/>
  <c r="BS84" i="10" a="1"/>
  <c r="BS84" i="10" s="1"/>
  <c r="CA84" i="10" a="1"/>
  <c r="CA84" i="10" s="1"/>
  <c r="BQ81" i="12" a="1"/>
  <c r="BQ81" i="12" s="1"/>
  <c r="BY81" i="12" a="1"/>
  <c r="BY81" i="12" s="1"/>
  <c r="BM84" i="12" a="1"/>
  <c r="BM84" i="12" s="1"/>
  <c r="BU84" i="12" a="1"/>
  <c r="BU84" i="12" s="1"/>
  <c r="CC84" i="12" a="1"/>
  <c r="CC84" i="12" s="1"/>
  <c r="BR65" i="12" a="1"/>
  <c r="BR65" i="12" s="1"/>
  <c r="BZ65" i="12" a="1"/>
  <c r="BZ65" i="12" s="1"/>
  <c r="BN66" i="12" a="1"/>
  <c r="BN66" i="12" s="1"/>
  <c r="BU66" i="12" a="1"/>
  <c r="BU66" i="12" s="1"/>
  <c r="CC66" i="12" a="1"/>
  <c r="CC66" i="12" s="1"/>
  <c r="BM68" i="12" a="1"/>
  <c r="BM68" i="12" s="1"/>
  <c r="BU68" i="12" a="1"/>
  <c r="BU68" i="12" s="1"/>
  <c r="CB68" i="12" a="1"/>
  <c r="CB68" i="12" s="1"/>
  <c r="BP72" i="12" a="1"/>
  <c r="BP72" i="12" s="1"/>
  <c r="BW72" i="12" a="1"/>
  <c r="BW72" i="12" s="1"/>
  <c r="CE72" i="12" a="1"/>
  <c r="CE72" i="12" s="1"/>
  <c r="BS73" i="12" a="1"/>
  <c r="BS73" i="12" s="1"/>
  <c r="BZ73" i="12" a="1"/>
  <c r="BZ73" i="12" s="1"/>
  <c r="CC57" i="12" a="1"/>
  <c r="CC57" i="12" s="1"/>
  <c r="BU57" i="12" a="1"/>
  <c r="BU57" i="12" s="1"/>
  <c r="BM57" i="12" a="1"/>
  <c r="BM57" i="12" s="1"/>
  <c r="AJ57" i="10" a="1"/>
  <c r="AJ57" i="10" s="1"/>
  <c r="AX65" i="10" a="1"/>
  <c r="AX65" i="10" s="1"/>
  <c r="I66" i="10" a="1"/>
  <c r="I66" i="10" s="1"/>
  <c r="AO66" i="10" a="1"/>
  <c r="AO66" i="10" s="1"/>
  <c r="BU66" i="10" a="1"/>
  <c r="BU66" i="10" s="1"/>
  <c r="P68" i="10" a="1"/>
  <c r="P68" i="10" s="1"/>
  <c r="AI68" i="10" a="1"/>
  <c r="AI68" i="10" s="1"/>
  <c r="BE68" i="10" a="1"/>
  <c r="BE68" i="10" s="1"/>
  <c r="CB68" i="10" a="1"/>
  <c r="CB68" i="10" s="1"/>
  <c r="O72" i="10" a="1"/>
  <c r="O72" i="10" s="1"/>
  <c r="AA72" i="10" a="1"/>
  <c r="AA72" i="10" s="1"/>
  <c r="AN72" i="10" a="1"/>
  <c r="AN72" i="10" s="1"/>
  <c r="AY72" i="10" a="1"/>
  <c r="AY72" i="10" s="1"/>
  <c r="BJ72" i="10" a="1"/>
  <c r="BJ72" i="10" s="1"/>
  <c r="BT72" i="10" a="1"/>
  <c r="BT72" i="10" s="1"/>
  <c r="CE72" i="10" a="1"/>
  <c r="CE72" i="10" s="1"/>
  <c r="N73" i="10" a="1"/>
  <c r="N73" i="10" s="1"/>
  <c r="AI73" i="10" a="1"/>
  <c r="AI73" i="10" s="1"/>
  <c r="AT73" i="10" a="1"/>
  <c r="AT73" i="10" s="1"/>
  <c r="BD73" i="10" a="1"/>
  <c r="BD73" i="10" s="1"/>
  <c r="BO73" i="10" a="1"/>
  <c r="BO73" i="10" s="1"/>
  <c r="BZ73" i="10" a="1"/>
  <c r="BZ73" i="10" s="1"/>
  <c r="J81" i="10" a="1"/>
  <c r="J81" i="10" s="1"/>
  <c r="R81" i="10" a="1"/>
  <c r="R81" i="10" s="1"/>
  <c r="Z81" i="10" a="1"/>
  <c r="Z81" i="10" s="1"/>
  <c r="AH81" i="10" a="1"/>
  <c r="AH81" i="10" s="1"/>
  <c r="AP81" i="10" a="1"/>
  <c r="AP81" i="10" s="1"/>
  <c r="AX81" i="10" a="1"/>
  <c r="AX81" i="10" s="1"/>
  <c r="BF81" i="10" a="1"/>
  <c r="BF81" i="10" s="1"/>
  <c r="BN81" i="10" a="1"/>
  <c r="BN81" i="10" s="1"/>
  <c r="BV81" i="10" a="1"/>
  <c r="BV81" i="10" s="1"/>
  <c r="CD81" i="10" a="1"/>
  <c r="CD81" i="10" s="1"/>
  <c r="Q84" i="10" a="1"/>
  <c r="Q84" i="10" s="1"/>
  <c r="Y84" i="10" a="1"/>
  <c r="Y84" i="10" s="1"/>
  <c r="AG84" i="10" a="1"/>
  <c r="AG84" i="10" s="1"/>
  <c r="AO84" i="10" a="1"/>
  <c r="AO84" i="10" s="1"/>
  <c r="AW84" i="10" a="1"/>
  <c r="AW84" i="10" s="1"/>
  <c r="BE84" i="10" a="1"/>
  <c r="BE84" i="10" s="1"/>
  <c r="BM84" i="10" a="1"/>
  <c r="BM84" i="10" s="1"/>
  <c r="BU84" i="10" a="1"/>
  <c r="BU84" i="10" s="1"/>
  <c r="CC84" i="10" a="1"/>
  <c r="CC84" i="10" s="1"/>
  <c r="BS81" i="12" a="1"/>
  <c r="BS81" i="12" s="1"/>
  <c r="CA81" i="12" a="1"/>
  <c r="CA81" i="12" s="1"/>
  <c r="BO84" i="12" a="1"/>
  <c r="BO84" i="12" s="1"/>
  <c r="BW84" i="12" a="1"/>
  <c r="BW84" i="12" s="1"/>
  <c r="CE84" i="12" a="1"/>
  <c r="CE84" i="12" s="1"/>
  <c r="BT65" i="12" a="1"/>
  <c r="BT65" i="12" s="1"/>
  <c r="CB65" i="12" a="1"/>
  <c r="CB65" i="12" s="1"/>
  <c r="BO66" i="12" a="1"/>
  <c r="BO66" i="12" s="1"/>
  <c r="BW66" i="12" a="1"/>
  <c r="BW66" i="12" s="1"/>
  <c r="CE66" i="12" a="1"/>
  <c r="CE66" i="12" s="1"/>
  <c r="BO68" i="12" a="1"/>
  <c r="BO68" i="12" s="1"/>
  <c r="CD68" i="12" a="1"/>
  <c r="CD68" i="12" s="1"/>
  <c r="BR72" i="12" a="1"/>
  <c r="BR72" i="12" s="1"/>
  <c r="BY72" i="12" a="1"/>
  <c r="BY72" i="12" s="1"/>
  <c r="BM73" i="12" a="1"/>
  <c r="BM73" i="12" s="1"/>
  <c r="BU73" i="12" a="1"/>
  <c r="BU73" i="12" s="1"/>
  <c r="CB73" i="12" a="1"/>
  <c r="CB73" i="12" s="1"/>
  <c r="CA57" i="12" a="1"/>
  <c r="CA57" i="12" s="1"/>
  <c r="BS57" i="12" a="1"/>
  <c r="BS57" i="12" s="1"/>
  <c r="CC2" i="12" a="1"/>
  <c r="CC2" i="12" s="1"/>
  <c r="BU2" i="12" a="1"/>
  <c r="BU2" i="12" s="1"/>
  <c r="BM2" i="12" a="1"/>
  <c r="BM2" i="12" s="1"/>
  <c r="BX24" i="12" a="1"/>
  <c r="BX24" i="12" s="1"/>
  <c r="BP24" i="12" a="1"/>
  <c r="BP24" i="12" s="1"/>
  <c r="CC23" i="12" a="1"/>
  <c r="CC23" i="12" s="1"/>
  <c r="BV23" i="12" a="1"/>
  <c r="BV23" i="12" s="1"/>
  <c r="BO23" i="12" a="1"/>
  <c r="BO23" i="12" s="1"/>
  <c r="CB22" i="12" a="1"/>
  <c r="CB22" i="12" s="1"/>
  <c r="BU22" i="12" a="1"/>
  <c r="BU22" i="12" s="1"/>
  <c r="BM22" i="12" a="1"/>
  <c r="BM22" i="12" s="1"/>
  <c r="BX21" i="12" a="1"/>
  <c r="BX21" i="12" s="1"/>
  <c r="BP21" i="12" a="1"/>
  <c r="BP21" i="12" s="1"/>
  <c r="BY20" i="12" a="1"/>
  <c r="BY20" i="12" s="1"/>
  <c r="BO20" i="12" a="1"/>
  <c r="BO20" i="12" s="1"/>
  <c r="BY19" i="12" a="1"/>
  <c r="BY19" i="12" s="1"/>
  <c r="BN19" i="12" a="1"/>
  <c r="BN19" i="12" s="1"/>
  <c r="BW18" i="12" a="1"/>
  <c r="BW18" i="12" s="1"/>
  <c r="BM18" i="12" a="1"/>
  <c r="BM18" i="12" s="1"/>
  <c r="BV17" i="12" a="1"/>
  <c r="BV17" i="12" s="1"/>
  <c r="CE16" i="12" a="1"/>
  <c r="CE16" i="12" s="1"/>
  <c r="BV16" i="12" a="1"/>
  <c r="BV16" i="12" s="1"/>
  <c r="CE15" i="12" a="1"/>
  <c r="CE15" i="12" s="1"/>
  <c r="BT15" i="12" a="1"/>
  <c r="BT15" i="12" s="1"/>
  <c r="CE14" i="12" a="1"/>
  <c r="CE14" i="12" s="1"/>
  <c r="BT14" i="12" a="1"/>
  <c r="BT14" i="12" s="1"/>
  <c r="BU13" i="12" a="1"/>
  <c r="BU13" i="12" s="1"/>
  <c r="BT12" i="12" a="1"/>
  <c r="BT12" i="12" s="1"/>
  <c r="CD11" i="12" a="1"/>
  <c r="CD11" i="12" s="1"/>
  <c r="BS11" i="12" a="1"/>
  <c r="BS11" i="12" s="1"/>
  <c r="CB10" i="12" a="1"/>
  <c r="CB10" i="12" s="1"/>
  <c r="BS10" i="12" a="1"/>
  <c r="BS10" i="12" s="1"/>
  <c r="CB9" i="12" a="1"/>
  <c r="CB9" i="12" s="1"/>
  <c r="BR9" i="12" a="1"/>
  <c r="BR9" i="12" s="1"/>
  <c r="CB5" i="12" a="1"/>
  <c r="CB5" i="12" s="1"/>
  <c r="BQ5" i="12" a="1"/>
  <c r="BQ5" i="12" s="1"/>
  <c r="BP4" i="12" a="1"/>
  <c r="BP4" i="12" s="1"/>
  <c r="BX3" i="12" a="1"/>
  <c r="BX3" i="12" s="1"/>
  <c r="BX26" i="12" a="1"/>
  <c r="BX26" i="12" s="1"/>
  <c r="CA41" i="12" a="1"/>
  <c r="CA41" i="12" s="1"/>
  <c r="BN41" i="12" a="1"/>
  <c r="BN41" i="12" s="1"/>
  <c r="BU40" i="12" a="1"/>
  <c r="BU40" i="12" s="1"/>
  <c r="CB39" i="12" a="1"/>
  <c r="CB39" i="12" s="1"/>
  <c r="BO39" i="12" a="1"/>
  <c r="BO39" i="12" s="1"/>
  <c r="BW38" i="12" a="1"/>
  <c r="BW38" i="12" s="1"/>
  <c r="CD37" i="12" a="1"/>
  <c r="CD37" i="12" s="1"/>
  <c r="BQ37" i="12" a="1"/>
  <c r="BQ37" i="12" s="1"/>
  <c r="BX36" i="12" a="1"/>
  <c r="BX36" i="12" s="1"/>
  <c r="CE35" i="12" a="1"/>
  <c r="CE35" i="12" s="1"/>
  <c r="BS35" i="12" a="1"/>
  <c r="BS35" i="12" s="1"/>
  <c r="BZ34" i="12" a="1"/>
  <c r="BZ34" i="12" s="1"/>
  <c r="BM34" i="12" a="1"/>
  <c r="BM34" i="12" s="1"/>
  <c r="BT33" i="12" a="1"/>
  <c r="BT33" i="12" s="1"/>
  <c r="CA32" i="12" a="1"/>
  <c r="CA32" i="12" s="1"/>
  <c r="BO32" i="12" a="1"/>
  <c r="BO32" i="12" s="1"/>
  <c r="BV31" i="12" a="1"/>
  <c r="BV31" i="12" s="1"/>
  <c r="CC30" i="12" a="1"/>
  <c r="CC30" i="12" s="1"/>
  <c r="BP30" i="12" a="1"/>
  <c r="BP30" i="12" s="1"/>
  <c r="BW29" i="12" a="1"/>
  <c r="BW29" i="12" s="1"/>
  <c r="BL29" i="12" a="1"/>
  <c r="BL29" i="12" s="1"/>
  <c r="BP28" i="12" a="1"/>
  <c r="BP28" i="12" s="1"/>
  <c r="BT27" i="12" a="1"/>
  <c r="BT27" i="12" s="1"/>
  <c r="CE43" i="12" a="1"/>
  <c r="CE43" i="12" s="1"/>
  <c r="BW45" i="12" a="1"/>
  <c r="BW45" i="12" s="1"/>
  <c r="BO47" i="12" a="1"/>
  <c r="BO47" i="12" s="1"/>
  <c r="CA48" i="12" a="1"/>
  <c r="CA48" i="12" s="1"/>
  <c r="BS50" i="12" a="1"/>
  <c r="BS50" i="12" s="1"/>
  <c r="CE51" i="12" a="1"/>
  <c r="CE51" i="12" s="1"/>
  <c r="BW53" i="12" a="1"/>
  <c r="BW53" i="12" s="1"/>
  <c r="BO55" i="12" a="1"/>
  <c r="BO55" i="12" s="1"/>
  <c r="BZ56" i="12" a="1"/>
  <c r="BZ56" i="12" s="1"/>
  <c r="BR58" i="12" a="1"/>
  <c r="BR58" i="12" s="1"/>
  <c r="BM60" i="12" a="1"/>
  <c r="BM60" i="12" s="1"/>
  <c r="BV62" i="12" a="1"/>
  <c r="BV62" i="12" s="1"/>
  <c r="CC71" i="12" a="1"/>
  <c r="CC71" i="12" s="1"/>
  <c r="BZ67" i="12" a="1"/>
  <c r="BZ67" i="12" s="1"/>
  <c r="BW64" i="12" a="1"/>
  <c r="BW64" i="12" s="1"/>
  <c r="BU77" i="12" a="1"/>
  <c r="BU77" i="12" s="1"/>
  <c r="BR85" i="12" a="1"/>
  <c r="BR85" i="12" s="1"/>
  <c r="BN82" i="12" a="1"/>
  <c r="BN82" i="12" s="1"/>
  <c r="BT2" i="10" a="1"/>
  <c r="BT2" i="10" s="1"/>
  <c r="I2" i="10" a="1"/>
  <c r="I2" i="10" s="1"/>
  <c r="AN84" i="10" a="1"/>
  <c r="AN84" i="10" s="1"/>
  <c r="BE83" i="10" a="1"/>
  <c r="BE83" i="10" s="1"/>
  <c r="BU82" i="10" a="1"/>
  <c r="BU82" i="10" s="1"/>
  <c r="I82" i="10" a="1"/>
  <c r="I82" i="10" s="1"/>
  <c r="Y81" i="10" a="1"/>
  <c r="Y81" i="10" s="1"/>
  <c r="AO80" i="10" a="1"/>
  <c r="AO80" i="10" s="1"/>
  <c r="BE79" i="10" a="1"/>
  <c r="BE79" i="10" s="1"/>
  <c r="BU77" i="10" a="1"/>
  <c r="BU77" i="10" s="1"/>
  <c r="CD76" i="10" a="1"/>
  <c r="CD76" i="10" s="1"/>
  <c r="I76" i="10" a="1"/>
  <c r="I76" i="10" s="1"/>
  <c r="P75" i="10" a="1"/>
  <c r="P75" i="10" s="1"/>
  <c r="M73" i="10" a="1"/>
  <c r="M73" i="10" s="1"/>
  <c r="CB71" i="10" a="1"/>
  <c r="CB71" i="10" s="1"/>
  <c r="AM70" i="10" a="1"/>
  <c r="AM70" i="10" s="1"/>
  <c r="R67" i="10" a="1"/>
  <c r="R67" i="10" s="1"/>
  <c r="AB62" i="10" a="1"/>
  <c r="AB62" i="10" s="1"/>
  <c r="AR54" i="10" a="1"/>
  <c r="AR54" i="10" s="1"/>
  <c r="BP5" i="12" a="1"/>
  <c r="BP5" i="12" s="1"/>
  <c r="BL41" i="12" a="1"/>
  <c r="BL41" i="12" s="1"/>
  <c r="CE33" i="12" a="1"/>
  <c r="CE33" i="12" s="1"/>
  <c r="BV24" i="12" a="1"/>
  <c r="BV24" i="12" s="1"/>
  <c r="BV20" i="12" a="1"/>
  <c r="BV20" i="12" s="1"/>
  <c r="BU18" i="12" a="1"/>
  <c r="BU18" i="12" s="1"/>
  <c r="BS16" i="12" a="1"/>
  <c r="BS16" i="12" s="1"/>
  <c r="BR15" i="12" a="1"/>
  <c r="BR15" i="12" s="1"/>
  <c r="BQ14" i="12" a="1"/>
  <c r="BQ14" i="12" s="1"/>
  <c r="CB12" i="12" a="1"/>
  <c r="CB12" i="12" s="1"/>
  <c r="BR12" i="12" a="1"/>
  <c r="BR12" i="12" s="1"/>
  <c r="CA11" i="12" a="1"/>
  <c r="CA11" i="12" s="1"/>
  <c r="BP11" i="12" a="1"/>
  <c r="BP11" i="12" s="1"/>
  <c r="BP10" i="12" a="1"/>
  <c r="BP10" i="12" s="1"/>
  <c r="BZ9" i="12" a="1"/>
  <c r="BZ9" i="12" s="1"/>
  <c r="BP9" i="12" a="1"/>
  <c r="BP9" i="12" s="1"/>
  <c r="BY5" i="12" a="1"/>
  <c r="BY5" i="12" s="1"/>
  <c r="BN5" i="12" a="1"/>
  <c r="BN5" i="12" s="1"/>
  <c r="BY4" i="12" a="1"/>
  <c r="BY4" i="12" s="1"/>
  <c r="BN4" i="12" a="1"/>
  <c r="BN4" i="12" s="1"/>
  <c r="BU3" i="12" a="1"/>
  <c r="BU3" i="12" s="1"/>
  <c r="BO26" i="12" a="1"/>
  <c r="BO26" i="12" s="1"/>
  <c r="CA26" i="12" a="1"/>
  <c r="CA26" i="12" s="1"/>
  <c r="BW41" i="12" a="1"/>
  <c r="BW41" i="12" s="1"/>
  <c r="CE40" i="12" a="1"/>
  <c r="CE40" i="12" s="1"/>
  <c r="BR40" i="12" a="1"/>
  <c r="BR40" i="12" s="1"/>
  <c r="BY39" i="12" a="1"/>
  <c r="BY39" i="12" s="1"/>
  <c r="BS38" i="12" a="1"/>
  <c r="BS38" i="12" s="1"/>
  <c r="CA37" i="12" a="1"/>
  <c r="CA37" i="12" s="1"/>
  <c r="BN37" i="12" a="1"/>
  <c r="BN37" i="12" s="1"/>
  <c r="BU36" i="12" a="1"/>
  <c r="BU36" i="12" s="1"/>
  <c r="CB35" i="12" a="1"/>
  <c r="CB35" i="12" s="1"/>
  <c r="BO35" i="12" a="1"/>
  <c r="BO35" i="12" s="1"/>
  <c r="BW34" i="12" a="1"/>
  <c r="BW34" i="12" s="1"/>
  <c r="CD33" i="12" a="1"/>
  <c r="CD33" i="12" s="1"/>
  <c r="BQ33" i="12" a="1"/>
  <c r="BQ33" i="12" s="1"/>
  <c r="BX32" i="12" a="1"/>
  <c r="BX32" i="12" s="1"/>
  <c r="CE31" i="12" a="1"/>
  <c r="CE31" i="12" s="1"/>
  <c r="BS31" i="12" a="1"/>
  <c r="BS31" i="12" s="1"/>
  <c r="BZ30" i="12" a="1"/>
  <c r="BZ30" i="12" s="1"/>
  <c r="BM30" i="12" a="1"/>
  <c r="BM30" i="12" s="1"/>
  <c r="CB28" i="12" a="1"/>
  <c r="CB28" i="12" s="1"/>
  <c r="BP27" i="12" a="1"/>
  <c r="BP27" i="12" s="1"/>
  <c r="BS44" i="12" a="1"/>
  <c r="BS44" i="12" s="1"/>
  <c r="CE45" i="12" a="1"/>
  <c r="CE45" i="12" s="1"/>
  <c r="BW47" i="12" a="1"/>
  <c r="BW47" i="12" s="1"/>
  <c r="BO49" i="12" a="1"/>
  <c r="BO49" i="12" s="1"/>
  <c r="CA50" i="12" a="1"/>
  <c r="CA50" i="12" s="1"/>
  <c r="BS52" i="12" a="1"/>
  <c r="BS52" i="12" s="1"/>
  <c r="CE53" i="12" a="1"/>
  <c r="CE53" i="12" s="1"/>
  <c r="BW55" i="12" a="1"/>
  <c r="BW55" i="12" s="1"/>
  <c r="BN57" i="12" a="1"/>
  <c r="BN57" i="12" s="1"/>
  <c r="BZ58" i="12" a="1"/>
  <c r="BZ58" i="12" s="1"/>
  <c r="BY59" i="12" a="1"/>
  <c r="BY59" i="12" s="1"/>
  <c r="CD62" i="12" a="1"/>
  <c r="CD62" i="12" s="1"/>
  <c r="BM71" i="12" a="1"/>
  <c r="BM71" i="12" s="1"/>
  <c r="CD66" i="12" a="1"/>
  <c r="CD66" i="12" s="1"/>
  <c r="CB63" i="12" a="1"/>
  <c r="CB63" i="12" s="1"/>
  <c r="BY76" i="12" a="1"/>
  <c r="BY76" i="12" s="1"/>
  <c r="BV84" i="12" a="1"/>
  <c r="BV84" i="12" s="1"/>
  <c r="BR81" i="12" a="1"/>
  <c r="BR81" i="12" s="1"/>
  <c r="BD2" i="10" a="1"/>
  <c r="BD2" i="10" s="1"/>
  <c r="BT85" i="10" a="1"/>
  <c r="BT85" i="10" s="1"/>
  <c r="H85" i="10" a="1"/>
  <c r="H85" i="10" s="1"/>
  <c r="AO83" i="10" a="1"/>
  <c r="AO83" i="10" s="1"/>
  <c r="BE82" i="10" a="1"/>
  <c r="BE82" i="10" s="1"/>
  <c r="BU81" i="10" a="1"/>
  <c r="BU81" i="10" s="1"/>
  <c r="I81" i="10" a="1"/>
  <c r="I81" i="10" s="1"/>
  <c r="Y80" i="10" a="1"/>
  <c r="Y80" i="10" s="1"/>
  <c r="AO79" i="10" a="1"/>
  <c r="AO79" i="10" s="1"/>
  <c r="BE77" i="10" a="1"/>
  <c r="BE77" i="10" s="1"/>
  <c r="BS75" i="10" a="1"/>
  <c r="BS75" i="10" s="1"/>
  <c r="BY73" i="10" a="1"/>
  <c r="BY73" i="10" s="1"/>
  <c r="BS72" i="10" a="1"/>
  <c r="BS72" i="10" s="1"/>
  <c r="BC71" i="10" a="1"/>
  <c r="BC71" i="10" s="1"/>
  <c r="BW68" i="10" a="1"/>
  <c r="BW68" i="10" s="1"/>
  <c r="AH66" i="10" a="1"/>
  <c r="AH66" i="10" s="1"/>
  <c r="BH59" i="10" a="1"/>
  <c r="BH59" i="10" s="1"/>
  <c r="P52" i="10" a="1"/>
  <c r="P52" i="10" s="1"/>
  <c r="CE24" i="12" a="1"/>
  <c r="CE24" i="12" s="1"/>
  <c r="BU71" i="12" a="1"/>
  <c r="BU71" i="12" s="1"/>
  <c r="BO71" i="10" a="1"/>
  <c r="BO71" i="10" s="1"/>
  <c r="BN24" i="12" a="1"/>
  <c r="BN24" i="12" s="1"/>
  <c r="BV19" i="12" a="1"/>
  <c r="BV19" i="12" s="1"/>
  <c r="CB15" i="12" a="1"/>
  <c r="CB15" i="12" s="1"/>
  <c r="BU24" i="12" a="1"/>
  <c r="BU24" i="12" s="1"/>
  <c r="BM24" i="12" a="1"/>
  <c r="BM24" i="12" s="1"/>
  <c r="BT23" i="12" a="1"/>
  <c r="BT23" i="12" s="1"/>
  <c r="BY22" i="12" a="1"/>
  <c r="BY22" i="12" s="1"/>
  <c r="BR22" i="12" a="1"/>
  <c r="BR22" i="12" s="1"/>
  <c r="CD21" i="12" a="1"/>
  <c r="CD21" i="12" s="1"/>
  <c r="BU21" i="12" a="1"/>
  <c r="BU21" i="12" s="1"/>
  <c r="BU20" i="12" a="1"/>
  <c r="BU20" i="12" s="1"/>
  <c r="BL20" i="12" a="1"/>
  <c r="BL20" i="12" s="1"/>
  <c r="BU19" i="12" a="1"/>
  <c r="BU19" i="12" s="1"/>
  <c r="CD18" i="12" a="1"/>
  <c r="CD18" i="12" s="1"/>
  <c r="BT18" i="12" a="1"/>
  <c r="BT18" i="12" s="1"/>
  <c r="CC17" i="12" a="1"/>
  <c r="CC17" i="12" s="1"/>
  <c r="BR17" i="12" a="1"/>
  <c r="BR17" i="12" s="1"/>
  <c r="CB16" i="12" a="1"/>
  <c r="CB16" i="12" s="1"/>
  <c r="BR16" i="12" a="1"/>
  <c r="BR16" i="12" s="1"/>
  <c r="CA15" i="12" a="1"/>
  <c r="CA15" i="12" s="1"/>
  <c r="BQ15" i="12" a="1"/>
  <c r="BQ15" i="12" s="1"/>
  <c r="CA14" i="12" a="1"/>
  <c r="CA14" i="12" s="1"/>
  <c r="BP14" i="12" a="1"/>
  <c r="BP14" i="12" s="1"/>
  <c r="CB13" i="12" a="1"/>
  <c r="CB13" i="12" s="1"/>
  <c r="BQ13" i="12" a="1"/>
  <c r="BQ13" i="12" s="1"/>
  <c r="CA12" i="12" a="1"/>
  <c r="CA12" i="12" s="1"/>
  <c r="BQ12" i="12" a="1"/>
  <c r="BQ12" i="12" s="1"/>
  <c r="BZ11" i="12" a="1"/>
  <c r="BZ11" i="12" s="1"/>
  <c r="BO11" i="12" a="1"/>
  <c r="BO11" i="12" s="1"/>
  <c r="BZ10" i="12" a="1"/>
  <c r="BZ10" i="12" s="1"/>
  <c r="BO10" i="12" a="1"/>
  <c r="BO10" i="12" s="1"/>
  <c r="BY9" i="12" a="1"/>
  <c r="BY9" i="12" s="1"/>
  <c r="BO9" i="12" a="1"/>
  <c r="BO9" i="12" s="1"/>
  <c r="BX5" i="12" a="1"/>
  <c r="BX5" i="12" s="1"/>
  <c r="BM5" i="12" a="1"/>
  <c r="BM5" i="12" s="1"/>
  <c r="BX4" i="12" a="1"/>
  <c r="BX4" i="12" s="1"/>
  <c r="BS3" i="12" a="1"/>
  <c r="BS3" i="12" s="1"/>
  <c r="CB26" i="12" a="1"/>
  <c r="CB26" i="12" s="1"/>
  <c r="BV41" i="12" a="1"/>
  <c r="BV41" i="12" s="1"/>
  <c r="CC40" i="12" a="1"/>
  <c r="CC40" i="12" s="1"/>
  <c r="BP40" i="12" a="1"/>
  <c r="BP40" i="12" s="1"/>
  <c r="BW39" i="12" a="1"/>
  <c r="BW39" i="12" s="1"/>
  <c r="CE38" i="12" a="1"/>
  <c r="CE38" i="12" s="1"/>
  <c r="BR38" i="12" a="1"/>
  <c r="BR38" i="12" s="1"/>
  <c r="BY37" i="12" a="1"/>
  <c r="BY37" i="12" s="1"/>
  <c r="BL37" i="12" a="1"/>
  <c r="BL37" i="12" s="1"/>
  <c r="BS36" i="12" a="1"/>
  <c r="BS36" i="12" s="1"/>
  <c r="CA35" i="12" a="1"/>
  <c r="CA35" i="12" s="1"/>
  <c r="BN35" i="12" a="1"/>
  <c r="BN35" i="12" s="1"/>
  <c r="BU34" i="12" a="1"/>
  <c r="BU34" i="12" s="1"/>
  <c r="CB33" i="12" a="1"/>
  <c r="CB33" i="12" s="1"/>
  <c r="BO33" i="12" a="1"/>
  <c r="BO33" i="12" s="1"/>
  <c r="BW32" i="12" a="1"/>
  <c r="BW32" i="12" s="1"/>
  <c r="CD31" i="12" a="1"/>
  <c r="CD31" i="12" s="1"/>
  <c r="BQ31" i="12" a="1"/>
  <c r="BQ31" i="12" s="1"/>
  <c r="BX30" i="12" a="1"/>
  <c r="BX30" i="12" s="1"/>
  <c r="CE29" i="12" a="1"/>
  <c r="CE29" i="12" s="1"/>
  <c r="BT29" i="12" a="1"/>
  <c r="BT29" i="12" s="1"/>
  <c r="BY28" i="12" a="1"/>
  <c r="BY28" i="12" s="1"/>
  <c r="CC27" i="12" a="1"/>
  <c r="CC27" i="12" s="1"/>
  <c r="BM43" i="12" a="1"/>
  <c r="BM43" i="12" s="1"/>
  <c r="BY44" i="12" a="1"/>
  <c r="BY44" i="12" s="1"/>
  <c r="BQ46" i="12" a="1"/>
  <c r="BQ46" i="12" s="1"/>
  <c r="CC47" i="12" a="1"/>
  <c r="CC47" i="12" s="1"/>
  <c r="BU49" i="12" a="1"/>
  <c r="BU49" i="12" s="1"/>
  <c r="BM51" i="12" a="1"/>
  <c r="BM51" i="12" s="1"/>
  <c r="BY52" i="12" a="1"/>
  <c r="BY52" i="12" s="1"/>
  <c r="BQ54" i="12" a="1"/>
  <c r="BQ54" i="12" s="1"/>
  <c r="CC55" i="12" a="1"/>
  <c r="CC55" i="12" s="1"/>
  <c r="BT57" i="12" a="1"/>
  <c r="BT57" i="12" s="1"/>
  <c r="CE60" i="12" a="1"/>
  <c r="CE60" i="12" s="1"/>
  <c r="BS59" i="12" a="1"/>
  <c r="BS59" i="12" s="1"/>
  <c r="CA73" i="12" a="1"/>
  <c r="CA73" i="12" s="1"/>
  <c r="BY70" i="12" a="1"/>
  <c r="BY70" i="12" s="1"/>
  <c r="BV66" i="12" a="1"/>
  <c r="BV66" i="12" s="1"/>
  <c r="BT63" i="12" a="1"/>
  <c r="BT63" i="12" s="1"/>
  <c r="BQ76" i="12" a="1"/>
  <c r="BQ76" i="12" s="1"/>
  <c r="BN84" i="12" a="1"/>
  <c r="BN84" i="12" s="1"/>
  <c r="CD80" i="12" a="1"/>
  <c r="CD80" i="12" s="1"/>
  <c r="AV2" i="10" a="1"/>
  <c r="AV2" i="10" s="1"/>
  <c r="CB84" i="10" a="1"/>
  <c r="CB84" i="10" s="1"/>
  <c r="P84" i="10" a="1"/>
  <c r="P84" i="10" s="1"/>
  <c r="AG83" i="10" a="1"/>
  <c r="AG83" i="10" s="1"/>
  <c r="AW82" i="10" a="1"/>
  <c r="AW82" i="10" s="1"/>
  <c r="BM81" i="10" a="1"/>
  <c r="BM81" i="10" s="1"/>
  <c r="CC80" i="10" a="1"/>
  <c r="CC80" i="10" s="1"/>
  <c r="Q80" i="10" a="1"/>
  <c r="Q80" i="10" s="1"/>
  <c r="AG79" i="10" a="1"/>
  <c r="AG79" i="10" s="1"/>
  <c r="AV77" i="10" a="1"/>
  <c r="AV77" i="10" s="1"/>
  <c r="BC76" i="10" a="1"/>
  <c r="BC76" i="10" s="1"/>
  <c r="BJ75" i="10" a="1"/>
  <c r="BJ75" i="10" s="1"/>
  <c r="BN73" i="10" a="1"/>
  <c r="BN73" i="10" s="1"/>
  <c r="BI72" i="10" a="1"/>
  <c r="BI72" i="10" s="1"/>
  <c r="AP71" i="10" a="1"/>
  <c r="AP71" i="10" s="1"/>
  <c r="BD68" i="10" a="1"/>
  <c r="BD68" i="10" s="1"/>
  <c r="CD65" i="10" a="1"/>
  <c r="CD65" i="10" s="1"/>
  <c r="BL50" i="10" a="1"/>
  <c r="BL50" i="10" s="1"/>
  <c r="BX20" i="12" a="1"/>
  <c r="BX20" i="12" s="1"/>
  <c r="CD16" i="12" a="1"/>
  <c r="CD16" i="12" s="1"/>
  <c r="BY41" i="12" a="1"/>
  <c r="BY41" i="12" s="1"/>
  <c r="BY50" i="12" a="1"/>
  <c r="BY50" i="12" s="1"/>
  <c r="BR67" i="12" a="1"/>
  <c r="BR67" i="12" s="1"/>
  <c r="AW83" i="10" a="1"/>
  <c r="AW83" i="10" s="1"/>
  <c r="CA23" i="12" a="1"/>
  <c r="CA23" i="12" s="1"/>
  <c r="BM23" i="12" a="1"/>
  <c r="BM23" i="12" s="1"/>
  <c r="BM20" i="12" a="1"/>
  <c r="BM20" i="12" s="1"/>
  <c r="CE18" i="12" a="1"/>
  <c r="CE18" i="12" s="1"/>
  <c r="CC16" i="12" a="1"/>
  <c r="CC16" i="12" s="1"/>
  <c r="CB14" i="12" a="1"/>
  <c r="CB14" i="12" s="1"/>
  <c r="CC24" i="12" a="1"/>
  <c r="CC24" i="12" s="1"/>
  <c r="S62" i="12" a="1"/>
  <c r="S62" i="12" s="1"/>
  <c r="G58" i="12" a="1"/>
  <c r="G58" i="12" s="1"/>
  <c r="V62" i="12" a="1"/>
  <c r="V62" i="12" s="1"/>
  <c r="Q62" i="12" a="1"/>
  <c r="Q62" i="12" s="1"/>
  <c r="J62" i="12" a="1"/>
  <c r="J62" i="12" s="1"/>
  <c r="R58" i="12" a="1"/>
  <c r="R58" i="12" s="1"/>
  <c r="M58" i="12" a="1"/>
  <c r="M58" i="12" s="1"/>
  <c r="P62" i="12" a="1"/>
  <c r="P62" i="12" s="1"/>
  <c r="I62" i="12" a="1"/>
  <c r="I62" i="12" s="1"/>
  <c r="W58" i="12" a="1"/>
  <c r="W58" i="12" s="1"/>
  <c r="L58" i="12" a="1"/>
  <c r="L58" i="12" s="1"/>
  <c r="F58" i="12" a="1"/>
  <c r="F58" i="12" s="1"/>
  <c r="M62" i="12" a="1"/>
  <c r="M62" i="12" s="1"/>
  <c r="G62" i="12" a="1"/>
  <c r="G62" i="12" s="1"/>
  <c r="U58" i="12" a="1"/>
  <c r="U58" i="12" s="1"/>
  <c r="O62" i="12" a="1"/>
  <c r="O62" i="12" s="1"/>
  <c r="K58" i="12" a="1"/>
  <c r="K58" i="12" s="1"/>
  <c r="T51" i="12" a="1"/>
  <c r="T51" i="12" s="1"/>
  <c r="N51" i="12" a="1"/>
  <c r="N51" i="12" s="1"/>
  <c r="L47" i="12" a="1"/>
  <c r="L47" i="12" s="1"/>
  <c r="S43" i="12" a="1"/>
  <c r="S43" i="12" s="1"/>
  <c r="N43" i="12" a="1"/>
  <c r="N43" i="12" s="1"/>
  <c r="G43" i="12" a="1"/>
  <c r="G43" i="12" s="1"/>
  <c r="S38" i="12" a="1"/>
  <c r="S38" i="12" s="1"/>
  <c r="L38" i="12" a="1"/>
  <c r="L38" i="12" s="1"/>
  <c r="F38" i="12" a="1"/>
  <c r="F38" i="12" s="1"/>
  <c r="V34" i="12" a="1"/>
  <c r="V34" i="12" s="1"/>
  <c r="P34" i="12" a="1"/>
  <c r="P34" i="12" s="1"/>
  <c r="N62" i="12" a="1"/>
  <c r="N62" i="12" s="1"/>
  <c r="V58" i="12" a="1"/>
  <c r="V58" i="12" s="1"/>
  <c r="J58" i="12" a="1"/>
  <c r="J58" i="12" s="1"/>
  <c r="S51" i="12" a="1"/>
  <c r="S51" i="12" s="1"/>
  <c r="M51" i="12" a="1"/>
  <c r="M51" i="12" s="1"/>
  <c r="F51" i="12" a="1"/>
  <c r="F51" i="12" s="1"/>
  <c r="L62" i="12" a="1"/>
  <c r="L62" i="12" s="1"/>
  <c r="T58" i="12" a="1"/>
  <c r="T58" i="12" s="1"/>
  <c r="I58" i="12" a="1"/>
  <c r="I58" i="12" s="1"/>
  <c r="L51" i="12" a="1"/>
  <c r="L51" i="12" s="1"/>
  <c r="E51" i="12" a="1"/>
  <c r="E51" i="12" s="1"/>
  <c r="Q47" i="12" a="1"/>
  <c r="Q47" i="12" s="1"/>
  <c r="K47" i="12" a="1"/>
  <c r="K47" i="12" s="1"/>
  <c r="E47" i="12" a="1"/>
  <c r="E47" i="12" s="1"/>
  <c r="W43" i="12" a="1"/>
  <c r="W43" i="12" s="1"/>
  <c r="R43" i="12" a="1"/>
  <c r="R43" i="12" s="1"/>
  <c r="L43" i="12" a="1"/>
  <c r="L43" i="12" s="1"/>
  <c r="F43" i="12" a="1"/>
  <c r="F43" i="12" s="1"/>
  <c r="W38" i="12" a="1"/>
  <c r="W38" i="12" s="1"/>
  <c r="R38" i="12" a="1"/>
  <c r="R38" i="12" s="1"/>
  <c r="J38" i="12" a="1"/>
  <c r="J38" i="12" s="1"/>
  <c r="N34" i="12" a="1"/>
  <c r="N34" i="12" s="1"/>
  <c r="G34" i="12" a="1"/>
  <c r="G34" i="12" s="1"/>
  <c r="K62" i="12" a="1"/>
  <c r="K62" i="12" s="1"/>
  <c r="S58" i="12" a="1"/>
  <c r="S58" i="12" s="1"/>
  <c r="H58" i="12" a="1"/>
  <c r="H58" i="12" s="1"/>
  <c r="R51" i="12" a="1"/>
  <c r="R51" i="12" s="1"/>
  <c r="K51" i="12" a="1"/>
  <c r="K51" i="12" s="1"/>
  <c r="W62" i="12" a="1"/>
  <c r="W62" i="12" s="1"/>
  <c r="H62" i="12" a="1"/>
  <c r="H62" i="12" s="1"/>
  <c r="Q58" i="12" a="1"/>
  <c r="Q58" i="12" s="1"/>
  <c r="E58" i="12" a="1"/>
  <c r="E58" i="12" s="1"/>
  <c r="W51" i="12" a="1"/>
  <c r="W51" i="12" s="1"/>
  <c r="Q51" i="12" a="1"/>
  <c r="Q51" i="12" s="1"/>
  <c r="J51" i="12" a="1"/>
  <c r="J51" i="12" s="1"/>
  <c r="U47" i="12" a="1"/>
  <c r="U47" i="12" s="1"/>
  <c r="I47" i="12" a="1"/>
  <c r="I47" i="12" s="1"/>
  <c r="V43" i="12" a="1"/>
  <c r="V43" i="12" s="1"/>
  <c r="J43" i="12" a="1"/>
  <c r="J43" i="12" s="1"/>
  <c r="U62" i="12" a="1"/>
  <c r="U62" i="12" s="1"/>
  <c r="P58" i="12" a="1"/>
  <c r="P58" i="12" s="1"/>
  <c r="V51" i="12" a="1"/>
  <c r="V51" i="12" s="1"/>
  <c r="P51" i="12" a="1"/>
  <c r="P51" i="12" s="1"/>
  <c r="I51" i="12" a="1"/>
  <c r="I51" i="12" s="1"/>
  <c r="O47" i="12" a="1"/>
  <c r="O47" i="12" s="1"/>
  <c r="U43" i="12" a="1"/>
  <c r="U43" i="12" s="1"/>
  <c r="P43" i="12" a="1"/>
  <c r="P43" i="12" s="1"/>
  <c r="I43" i="12" a="1"/>
  <c r="I43" i="12" s="1"/>
  <c r="U38" i="12" a="1"/>
  <c r="U38" i="12" s="1"/>
  <c r="O38" i="12" a="1"/>
  <c r="O38" i="12" s="1"/>
  <c r="H38" i="12" a="1"/>
  <c r="H38" i="12" s="1"/>
  <c r="T62" i="12" a="1"/>
  <c r="T62" i="12" s="1"/>
  <c r="F62" i="12" a="1"/>
  <c r="F62" i="12" s="1"/>
  <c r="O58" i="12" a="1"/>
  <c r="O58" i="12" s="1"/>
  <c r="U51" i="12" a="1"/>
  <c r="U51" i="12" s="1"/>
  <c r="H51" i="12" a="1"/>
  <c r="H51" i="12" s="1"/>
  <c r="T47" i="12" a="1"/>
  <c r="T47" i="12" s="1"/>
  <c r="N47" i="12" a="1"/>
  <c r="N47" i="12" s="1"/>
  <c r="H47" i="12" a="1"/>
  <c r="H47" i="12" s="1"/>
  <c r="R62" i="12" a="1"/>
  <c r="R62" i="12" s="1"/>
  <c r="E62" i="12" a="1"/>
  <c r="E62" i="12" s="1"/>
  <c r="N58" i="12" a="1"/>
  <c r="N58" i="12" s="1"/>
  <c r="O51" i="12" a="1"/>
  <c r="O51" i="12" s="1"/>
  <c r="G51" i="12" a="1"/>
  <c r="G51" i="12" s="1"/>
  <c r="S47" i="12" a="1"/>
  <c r="S47" i="12" s="1"/>
  <c r="M47" i="12" a="1"/>
  <c r="M47" i="12" s="1"/>
  <c r="G47" i="12" a="1"/>
  <c r="G47" i="12" s="1"/>
  <c r="T43" i="12" a="1"/>
  <c r="T43" i="12" s="1"/>
  <c r="O43" i="12" a="1"/>
  <c r="O43" i="12" s="1"/>
  <c r="H43" i="12" a="1"/>
  <c r="H43" i="12" s="1"/>
  <c r="T38" i="12" a="1"/>
  <c r="T38" i="12" s="1"/>
  <c r="M38" i="12" a="1"/>
  <c r="M38" i="12" s="1"/>
  <c r="Q34" i="12" a="1"/>
  <c r="Q34" i="12" s="1"/>
  <c r="I34" i="12" a="1"/>
  <c r="I34" i="12" s="1"/>
  <c r="J47" i="12" a="1"/>
  <c r="J47" i="12" s="1"/>
  <c r="Q43" i="12" a="1"/>
  <c r="Q43" i="12" s="1"/>
  <c r="I38" i="12" a="1"/>
  <c r="I38" i="12" s="1"/>
  <c r="R34" i="12" a="1"/>
  <c r="R34" i="12" s="1"/>
  <c r="F34" i="12" a="1"/>
  <c r="F34" i="12" s="1"/>
  <c r="U30" i="12" a="1"/>
  <c r="U30" i="12" s="1"/>
  <c r="O30" i="12" a="1"/>
  <c r="O30" i="12" s="1"/>
  <c r="H30" i="12" a="1"/>
  <c r="H30" i="12" s="1"/>
  <c r="U26" i="12" a="1"/>
  <c r="U26" i="12" s="1"/>
  <c r="O26" i="12" a="1"/>
  <c r="O26" i="12" s="1"/>
  <c r="H26" i="12" a="1"/>
  <c r="H26" i="12" s="1"/>
  <c r="R21" i="12" a="1"/>
  <c r="R21" i="12" s="1"/>
  <c r="E21" i="12" a="1"/>
  <c r="E21" i="12" s="1"/>
  <c r="U17" i="12" a="1"/>
  <c r="U17" i="12" s="1"/>
  <c r="O17" i="12" a="1"/>
  <c r="O17" i="12" s="1"/>
  <c r="H17" i="12" a="1"/>
  <c r="H17" i="12" s="1"/>
  <c r="F47" i="12" a="1"/>
  <c r="F47" i="12" s="1"/>
  <c r="M43" i="12" a="1"/>
  <c r="M43" i="12" s="1"/>
  <c r="V38" i="12" a="1"/>
  <c r="V38" i="12" s="1"/>
  <c r="O34" i="12" a="1"/>
  <c r="O34" i="12" s="1"/>
  <c r="E34" i="12" a="1"/>
  <c r="E34" i="12" s="1"/>
  <c r="N30" i="12" a="1"/>
  <c r="N30" i="12" s="1"/>
  <c r="G30" i="12" a="1"/>
  <c r="G30" i="12" s="1"/>
  <c r="T26" i="12" a="1"/>
  <c r="T26" i="12" s="1"/>
  <c r="N26" i="12" a="1"/>
  <c r="N26" i="12" s="1"/>
  <c r="Q21" i="12" a="1"/>
  <c r="Q21" i="12" s="1"/>
  <c r="K21" i="12" a="1"/>
  <c r="K21" i="12" s="1"/>
  <c r="K43" i="12" a="1"/>
  <c r="K43" i="12" s="1"/>
  <c r="G38" i="12" a="1"/>
  <c r="G38" i="12" s="1"/>
  <c r="M34" i="12" a="1"/>
  <c r="M34" i="12" s="1"/>
  <c r="T30" i="12" a="1"/>
  <c r="T30" i="12" s="1"/>
  <c r="M30" i="12" a="1"/>
  <c r="M30" i="12" s="1"/>
  <c r="M26" i="12" a="1"/>
  <c r="M26" i="12" s="1"/>
  <c r="G26" i="12" a="1"/>
  <c r="G26" i="12" s="1"/>
  <c r="W21" i="12" a="1"/>
  <c r="W21" i="12" s="1"/>
  <c r="P21" i="12" a="1"/>
  <c r="P21" i="12" s="1"/>
  <c r="J21" i="12" a="1"/>
  <c r="J21" i="12" s="1"/>
  <c r="W47" i="12" a="1"/>
  <c r="W47" i="12" s="1"/>
  <c r="E38" i="12" a="1"/>
  <c r="E38" i="12" s="1"/>
  <c r="W34" i="12" a="1"/>
  <c r="W34" i="12" s="1"/>
  <c r="L34" i="12" a="1"/>
  <c r="L34" i="12" s="1"/>
  <c r="S30" i="12" a="1"/>
  <c r="S30" i="12" s="1"/>
  <c r="L30" i="12" a="1"/>
  <c r="L30" i="12" s="1"/>
  <c r="F30" i="12" a="1"/>
  <c r="F30" i="12" s="1"/>
  <c r="V47" i="12" a="1"/>
  <c r="V47" i="12" s="1"/>
  <c r="E43" i="12" a="1"/>
  <c r="E43" i="12" s="1"/>
  <c r="Q38" i="12" a="1"/>
  <c r="Q38" i="12" s="1"/>
  <c r="U34" i="12" a="1"/>
  <c r="U34" i="12" s="1"/>
  <c r="K34" i="12" a="1"/>
  <c r="K34" i="12" s="1"/>
  <c r="K30" i="12" a="1"/>
  <c r="K30" i="12" s="1"/>
  <c r="E30" i="12" a="1"/>
  <c r="E30" i="12" s="1"/>
  <c r="R26" i="12" a="1"/>
  <c r="R26" i="12" s="1"/>
  <c r="E26" i="12" a="1"/>
  <c r="E26" i="12" s="1"/>
  <c r="U21" i="12" a="1"/>
  <c r="U21" i="12" s="1"/>
  <c r="O21" i="12" a="1"/>
  <c r="O21" i="12" s="1"/>
  <c r="H21" i="12" a="1"/>
  <c r="H21" i="12" s="1"/>
  <c r="R17" i="12" a="1"/>
  <c r="R17" i="12" s="1"/>
  <c r="E17" i="12" a="1"/>
  <c r="E17" i="12" s="1"/>
  <c r="U13" i="12" a="1"/>
  <c r="U13" i="12" s="1"/>
  <c r="O13" i="12" a="1"/>
  <c r="O13" i="12" s="1"/>
  <c r="H13" i="12" a="1"/>
  <c r="H13" i="12" s="1"/>
  <c r="R47" i="12" a="1"/>
  <c r="R47" i="12" s="1"/>
  <c r="P38" i="12" a="1"/>
  <c r="P38" i="12" s="1"/>
  <c r="T34" i="12" a="1"/>
  <c r="T34" i="12" s="1"/>
  <c r="J34" i="12" a="1"/>
  <c r="J34" i="12" s="1"/>
  <c r="W30" i="12" a="1"/>
  <c r="W30" i="12" s="1"/>
  <c r="R30" i="12" a="1"/>
  <c r="R30" i="12" s="1"/>
  <c r="J30" i="12" a="1"/>
  <c r="J30" i="12" s="1"/>
  <c r="P47" i="12" a="1"/>
  <c r="P47" i="12" s="1"/>
  <c r="N38" i="12" a="1"/>
  <c r="N38" i="12" s="1"/>
  <c r="S34" i="12" a="1"/>
  <c r="S34" i="12" s="1"/>
  <c r="H34" i="12" a="1"/>
  <c r="H34" i="12" s="1"/>
  <c r="Q30" i="12" a="1"/>
  <c r="Q30" i="12" s="1"/>
  <c r="I30" i="12" a="1"/>
  <c r="I30" i="12" s="1"/>
  <c r="W26" i="12" a="1"/>
  <c r="W26" i="12" s="1"/>
  <c r="P26" i="12" a="1"/>
  <c r="P26" i="12" s="1"/>
  <c r="J26" i="12" a="1"/>
  <c r="J26" i="12" s="1"/>
  <c r="K38" i="12" a="1"/>
  <c r="K38" i="12" s="1"/>
  <c r="V30" i="12" a="1"/>
  <c r="V30" i="12" s="1"/>
  <c r="P30" i="12" a="1"/>
  <c r="P30" i="12" s="1"/>
  <c r="V26" i="12" a="1"/>
  <c r="V26" i="12" s="1"/>
  <c r="I26" i="12" a="1"/>
  <c r="I26" i="12" s="1"/>
  <c r="S21" i="12" a="1"/>
  <c r="S21" i="12" s="1"/>
  <c r="L21" i="12" a="1"/>
  <c r="L21" i="12" s="1"/>
  <c r="F21" i="12" a="1"/>
  <c r="F21" i="12" s="1"/>
  <c r="V17" i="12" a="1"/>
  <c r="V17" i="12" s="1"/>
  <c r="I17" i="12" a="1"/>
  <c r="I17" i="12" s="1"/>
  <c r="S13" i="12" a="1"/>
  <c r="S13" i="12" s="1"/>
  <c r="L13" i="12" a="1"/>
  <c r="L13" i="12" s="1"/>
  <c r="F13" i="12" a="1"/>
  <c r="F13" i="12" s="1"/>
  <c r="M21" i="12" a="1"/>
  <c r="M21" i="12" s="1"/>
  <c r="Q17" i="12" a="1"/>
  <c r="Q17" i="12" s="1"/>
  <c r="G17" i="12" a="1"/>
  <c r="G17" i="12" s="1"/>
  <c r="T13" i="12" a="1"/>
  <c r="T13" i="12" s="1"/>
  <c r="U9" i="12" a="1"/>
  <c r="U9" i="12" s="1"/>
  <c r="O9" i="12" a="1"/>
  <c r="O9" i="12" s="1"/>
  <c r="H9" i="12" a="1"/>
  <c r="H9" i="12" s="1"/>
  <c r="T2" i="12" a="1"/>
  <c r="T2" i="12" s="1"/>
  <c r="N2" i="12" a="1"/>
  <c r="N2" i="12" s="1"/>
  <c r="I21" i="12" a="1"/>
  <c r="I21" i="12" s="1"/>
  <c r="P17" i="12" a="1"/>
  <c r="P17" i="12" s="1"/>
  <c r="F17" i="12" a="1"/>
  <c r="F17" i="12" s="1"/>
  <c r="K13" i="12" a="1"/>
  <c r="K13" i="12" s="1"/>
  <c r="T9" i="12" a="1"/>
  <c r="T9" i="12" s="1"/>
  <c r="N9" i="12" a="1"/>
  <c r="N9" i="12" s="1"/>
  <c r="M2" i="12" a="1"/>
  <c r="M2" i="12" s="1"/>
  <c r="G2" i="12" a="1"/>
  <c r="G2" i="12" s="1"/>
  <c r="N17" i="12" a="1"/>
  <c r="N17" i="12" s="1"/>
  <c r="R13" i="12" a="1"/>
  <c r="R13" i="12" s="1"/>
  <c r="J13" i="12" a="1"/>
  <c r="J13" i="12" s="1"/>
  <c r="M9" i="12" a="1"/>
  <c r="M9" i="12" s="1"/>
  <c r="G9" i="12" a="1"/>
  <c r="G9" i="12" s="1"/>
  <c r="S26" i="12" a="1"/>
  <c r="S26" i="12" s="1"/>
  <c r="V21" i="12" a="1"/>
  <c r="V21" i="12" s="1"/>
  <c r="G21" i="12" a="1"/>
  <c r="G21" i="12" s="1"/>
  <c r="M17" i="12" a="1"/>
  <c r="M17" i="12" s="1"/>
  <c r="Q13" i="12" a="1"/>
  <c r="Q13" i="12" s="1"/>
  <c r="I13" i="12" a="1"/>
  <c r="I13" i="12" s="1"/>
  <c r="S9" i="12" a="1"/>
  <c r="S9" i="12" s="1"/>
  <c r="L9" i="12" a="1"/>
  <c r="L9" i="12" s="1"/>
  <c r="F9" i="12" a="1"/>
  <c r="F9" i="12" s="1"/>
  <c r="Q26" i="12" a="1"/>
  <c r="Q26" i="12" s="1"/>
  <c r="T21" i="12" a="1"/>
  <c r="T21" i="12" s="1"/>
  <c r="W17" i="12" a="1"/>
  <c r="W17" i="12" s="1"/>
  <c r="L17" i="12" a="1"/>
  <c r="L17" i="12" s="1"/>
  <c r="P13" i="12" a="1"/>
  <c r="P13" i="12" s="1"/>
  <c r="R9" i="12" a="1"/>
  <c r="R9" i="12" s="1"/>
  <c r="E9" i="12" a="1"/>
  <c r="E9" i="12" s="1"/>
  <c r="L26" i="12" a="1"/>
  <c r="L26" i="12" s="1"/>
  <c r="T17" i="12" a="1"/>
  <c r="T17" i="12" s="1"/>
  <c r="K17" i="12" a="1"/>
  <c r="K17" i="12" s="1"/>
  <c r="F26" i="12" a="1"/>
  <c r="F26" i="12" s="1"/>
  <c r="N21" i="12" a="1"/>
  <c r="N21" i="12" s="1"/>
  <c r="S17" i="12" a="1"/>
  <c r="S17" i="12" s="1"/>
  <c r="V13" i="12" a="1"/>
  <c r="V13" i="12" s="1"/>
  <c r="M13" i="12" a="1"/>
  <c r="M13" i="12" s="1"/>
  <c r="V9" i="12" a="1"/>
  <c r="V9" i="12" s="1"/>
  <c r="I9" i="12" a="1"/>
  <c r="I9" i="12" s="1"/>
  <c r="U2" i="12" a="1"/>
  <c r="U2" i="12" s="1"/>
  <c r="O2" i="12" a="1"/>
  <c r="O2" i="12" s="1"/>
  <c r="H2" i="12" a="1"/>
  <c r="H2" i="12" s="1"/>
  <c r="P9" i="12" a="1"/>
  <c r="P9" i="12" s="1"/>
  <c r="Q2" i="12" a="1"/>
  <c r="Q2" i="12" s="1"/>
  <c r="K26" i="12" a="1"/>
  <c r="K26" i="12" s="1"/>
  <c r="K9" i="12" a="1"/>
  <c r="K9" i="12" s="1"/>
  <c r="P2" i="12" a="1"/>
  <c r="P2" i="12" s="1"/>
  <c r="E2" i="12" a="1"/>
  <c r="E2" i="12" s="1"/>
  <c r="AO62" i="12" a="1"/>
  <c r="AO62" i="12" s="1"/>
  <c r="AJ62" i="12" a="1"/>
  <c r="AJ62" i="12" s="1"/>
  <c r="AK58" i="12" a="1"/>
  <c r="AK58" i="12" s="1"/>
  <c r="AE58" i="12" a="1"/>
  <c r="AE58" i="12" s="1"/>
  <c r="Y58" i="12" a="1"/>
  <c r="Y58" i="12" s="1"/>
  <c r="AA51" i="12" a="1"/>
  <c r="AA51" i="12" s="1"/>
  <c r="AO47" i="12" a="1"/>
  <c r="AO47" i="12" s="1"/>
  <c r="AC47" i="12" a="1"/>
  <c r="AC47" i="12" s="1"/>
  <c r="AM43" i="12" a="1"/>
  <c r="AM43" i="12" s="1"/>
  <c r="AB43" i="12" a="1"/>
  <c r="AB43" i="12" s="1"/>
  <c r="W13" i="12" a="1"/>
  <c r="W13" i="12" s="1"/>
  <c r="J9" i="12" a="1"/>
  <c r="J9" i="12" s="1"/>
  <c r="L2" i="12" a="1"/>
  <c r="L2" i="12" s="1"/>
  <c r="AM62" i="12" a="1"/>
  <c r="AM62" i="12" s="1"/>
  <c r="AH62" i="12" a="1"/>
  <c r="AH62" i="12" s="1"/>
  <c r="AI58" i="12" a="1"/>
  <c r="AI58" i="12" s="1"/>
  <c r="AC58" i="12" a="1"/>
  <c r="AC58" i="12" s="1"/>
  <c r="AP51" i="12" a="1"/>
  <c r="AP51" i="12" s="1"/>
  <c r="AJ51" i="12" a="1"/>
  <c r="AJ51" i="12" s="1"/>
  <c r="AE51" i="12" a="1"/>
  <c r="AE51" i="12" s="1"/>
  <c r="Y51" i="12" a="1"/>
  <c r="Y51" i="12" s="1"/>
  <c r="AN47" i="12" a="1"/>
  <c r="AN47" i="12" s="1"/>
  <c r="AI47" i="12" a="1"/>
  <c r="AI47" i="12" s="1"/>
  <c r="AB47" i="12" a="1"/>
  <c r="AB47" i="12" s="1"/>
  <c r="J17" i="12" a="1"/>
  <c r="J17" i="12" s="1"/>
  <c r="N13" i="12" a="1"/>
  <c r="N13" i="12" s="1"/>
  <c r="W2" i="12" a="1"/>
  <c r="W2" i="12" s="1"/>
  <c r="AG62" i="12" a="1"/>
  <c r="AG62" i="12" s="1"/>
  <c r="AB62" i="12" a="1"/>
  <c r="AB62" i="12" s="1"/>
  <c r="AO58" i="12" a="1"/>
  <c r="AO58" i="12" s="1"/>
  <c r="AB58" i="12" a="1"/>
  <c r="AB58" i="12" s="1"/>
  <c r="AD51" i="12" a="1"/>
  <c r="AD51" i="12" s="1"/>
  <c r="G13" i="12" a="1"/>
  <c r="G13" i="12" s="1"/>
  <c r="V2" i="12" a="1"/>
  <c r="V2" i="12" s="1"/>
  <c r="K2" i="12" a="1"/>
  <c r="K2" i="12" s="1"/>
  <c r="AL62" i="12" a="1"/>
  <c r="AL62" i="12" s="1"/>
  <c r="AF62" i="12" a="1"/>
  <c r="AF62" i="12" s="1"/>
  <c r="AA62" i="12" a="1"/>
  <c r="AA62" i="12" s="1"/>
  <c r="E13" i="12" a="1"/>
  <c r="E13" i="12" s="1"/>
  <c r="W9" i="12" a="1"/>
  <c r="W9" i="12" s="1"/>
  <c r="S2" i="12" a="1"/>
  <c r="S2" i="12" s="1"/>
  <c r="J2" i="12" a="1"/>
  <c r="J2" i="12" s="1"/>
  <c r="Q9" i="12" a="1"/>
  <c r="Q9" i="12" s="1"/>
  <c r="R2" i="12" a="1"/>
  <c r="R2" i="12" s="1"/>
  <c r="I2" i="12" a="1"/>
  <c r="I2" i="12" s="1"/>
  <c r="AQ62" i="12" a="1"/>
  <c r="AQ62" i="12" s="1"/>
  <c r="AK62" i="12" a="1"/>
  <c r="AK62" i="12" s="1"/>
  <c r="Y62" i="12" a="1"/>
  <c r="Y62" i="12" s="1"/>
  <c r="AM58" i="12" a="1"/>
  <c r="AM58" i="12" s="1"/>
  <c r="AG58" i="12" a="1"/>
  <c r="AG58" i="12" s="1"/>
  <c r="Z58" i="12" a="1"/>
  <c r="Z58" i="12" s="1"/>
  <c r="AE62" i="12" a="1"/>
  <c r="AE62" i="12" s="1"/>
  <c r="AQ58" i="12" a="1"/>
  <c r="AQ58" i="12" s="1"/>
  <c r="AF58" i="12" a="1"/>
  <c r="AF58" i="12" s="1"/>
  <c r="AH51" i="12" a="1"/>
  <c r="AH51" i="12" s="1"/>
  <c r="Z51" i="12" a="1"/>
  <c r="Z51" i="12" s="1"/>
  <c r="AK47" i="12" a="1"/>
  <c r="AK47" i="12" s="1"/>
  <c r="AA47" i="12" a="1"/>
  <c r="AA47" i="12" s="1"/>
  <c r="AL43" i="12" a="1"/>
  <c r="AL43" i="12" s="1"/>
  <c r="Y43" i="12" a="1"/>
  <c r="Y43" i="12" s="1"/>
  <c r="AP38" i="12" a="1"/>
  <c r="AP38" i="12" s="1"/>
  <c r="AD38" i="12" a="1"/>
  <c r="AD38" i="12" s="1"/>
  <c r="AO34" i="12" a="1"/>
  <c r="AO34" i="12" s="1"/>
  <c r="AD62" i="12" a="1"/>
  <c r="AD62" i="12" s="1"/>
  <c r="AP58" i="12" a="1"/>
  <c r="AP58" i="12" s="1"/>
  <c r="AD58" i="12" a="1"/>
  <c r="AD58" i="12" s="1"/>
  <c r="AC62" i="12" a="1"/>
  <c r="AC62" i="12" s="1"/>
  <c r="AA58" i="12" a="1"/>
  <c r="AA58" i="12" s="1"/>
  <c r="AO51" i="12" a="1"/>
  <c r="AO51" i="12" s="1"/>
  <c r="AG51" i="12" a="1"/>
  <c r="AG51" i="12" s="1"/>
  <c r="AP47" i="12" a="1"/>
  <c r="AP47" i="12" s="1"/>
  <c r="AH47" i="12" a="1"/>
  <c r="AH47" i="12" s="1"/>
  <c r="AK43" i="12" a="1"/>
  <c r="AK43" i="12" s="1"/>
  <c r="AE43" i="12" a="1"/>
  <c r="AE43" i="12" s="1"/>
  <c r="AN38" i="12" a="1"/>
  <c r="AN38" i="12" s="1"/>
  <c r="AC38" i="12" a="1"/>
  <c r="AC38" i="12" s="1"/>
  <c r="AM34" i="12" a="1"/>
  <c r="AM34" i="12" s="1"/>
  <c r="AB34" i="12" a="1"/>
  <c r="AB34" i="12" s="1"/>
  <c r="AL30" i="12" a="1"/>
  <c r="AL30" i="12" s="1"/>
  <c r="AF30" i="12" a="1"/>
  <c r="AF30" i="12" s="1"/>
  <c r="AQ26" i="12" a="1"/>
  <c r="AQ26" i="12" s="1"/>
  <c r="AL26" i="12" a="1"/>
  <c r="AL26" i="12" s="1"/>
  <c r="AA26" i="12" a="1"/>
  <c r="AA26" i="12" s="1"/>
  <c r="AF21" i="12" a="1"/>
  <c r="AF21" i="12" s="1"/>
  <c r="AP62" i="12" a="1"/>
  <c r="AP62" i="12" s="1"/>
  <c r="Z62" i="12" a="1"/>
  <c r="Z62" i="12" s="1"/>
  <c r="AN58" i="12" a="1"/>
  <c r="AN58" i="12" s="1"/>
  <c r="AN51" i="12" a="1"/>
  <c r="AN51" i="12" s="1"/>
  <c r="AF51" i="12" a="1"/>
  <c r="AF51" i="12" s="1"/>
  <c r="AG47" i="12" a="1"/>
  <c r="AG47" i="12" s="1"/>
  <c r="Y47" i="12" a="1"/>
  <c r="Y47" i="12" s="1"/>
  <c r="AQ43" i="12" a="1"/>
  <c r="AQ43" i="12" s="1"/>
  <c r="AJ43" i="12" a="1"/>
  <c r="AJ43" i="12" s="1"/>
  <c r="AD43" i="12" a="1"/>
  <c r="AD43" i="12" s="1"/>
  <c r="AI38" i="12" a="1"/>
  <c r="AI38" i="12" s="1"/>
  <c r="AL34" i="12" a="1"/>
  <c r="AL34" i="12" s="1"/>
  <c r="AG34" i="12" a="1"/>
  <c r="AG34" i="12" s="1"/>
  <c r="AA34" i="12" a="1"/>
  <c r="AA34" i="12" s="1"/>
  <c r="AQ30" i="12" a="1"/>
  <c r="AQ30" i="12" s="1"/>
  <c r="AE30" i="12" a="1"/>
  <c r="AE30" i="12" s="1"/>
  <c r="Z30" i="12" a="1"/>
  <c r="Z30" i="12" s="1"/>
  <c r="AP26" i="12" a="1"/>
  <c r="AP26" i="12" s="1"/>
  <c r="AF26" i="12" a="1"/>
  <c r="AF26" i="12" s="1"/>
  <c r="AK21" i="12" a="1"/>
  <c r="AK21" i="12" s="1"/>
  <c r="AN62" i="12" a="1"/>
  <c r="AN62" i="12" s="1"/>
  <c r="AL58" i="12" a="1"/>
  <c r="AL58" i="12" s="1"/>
  <c r="AM51" i="12" a="1"/>
  <c r="AM51" i="12" s="1"/>
  <c r="AF47" i="12" a="1"/>
  <c r="AF47" i="12" s="1"/>
  <c r="AJ58" i="12" a="1"/>
  <c r="AJ58" i="12" s="1"/>
  <c r="AL51" i="12" a="1"/>
  <c r="AL51" i="12" s="1"/>
  <c r="AC51" i="12" a="1"/>
  <c r="AC51" i="12" s="1"/>
  <c r="AM47" i="12" a="1"/>
  <c r="AM47" i="12" s="1"/>
  <c r="AE47" i="12" a="1"/>
  <c r="AE47" i="12" s="1"/>
  <c r="AI43" i="12" a="1"/>
  <c r="AI43" i="12" s="1"/>
  <c r="F2" i="12" a="1"/>
  <c r="F2" i="12" s="1"/>
  <c r="AI62" i="12" a="1"/>
  <c r="AI62" i="12" s="1"/>
  <c r="AI51" i="12" a="1"/>
  <c r="AI51" i="12" s="1"/>
  <c r="AB51" i="12" a="1"/>
  <c r="AB51" i="12" s="1"/>
  <c r="AN43" i="12" a="1"/>
  <c r="AN43" i="12" s="1"/>
  <c r="AG43" i="12" a="1"/>
  <c r="AG43" i="12" s="1"/>
  <c r="Z43" i="12" a="1"/>
  <c r="Z43" i="12" s="1"/>
  <c r="AQ38" i="12" a="1"/>
  <c r="AQ38" i="12" s="1"/>
  <c r="AK38" i="12" a="1"/>
  <c r="AK38" i="12" s="1"/>
  <c r="AE38" i="12" a="1"/>
  <c r="AE38" i="12" s="1"/>
  <c r="Z38" i="12" a="1"/>
  <c r="Z38" i="12" s="1"/>
  <c r="AK51" i="12" a="1"/>
  <c r="AK51" i="12" s="1"/>
  <c r="AP43" i="12" a="1"/>
  <c r="AP43" i="12" s="1"/>
  <c r="AH38" i="12" a="1"/>
  <c r="AH38" i="12" s="1"/>
  <c r="AN34" i="12" a="1"/>
  <c r="AN34" i="12" s="1"/>
  <c r="AM30" i="12" a="1"/>
  <c r="AM30" i="12" s="1"/>
  <c r="AD30" i="12" a="1"/>
  <c r="AD30" i="12" s="1"/>
  <c r="AO26" i="12" a="1"/>
  <c r="AO26" i="12" s="1"/>
  <c r="AB26" i="12" a="1"/>
  <c r="AB26" i="12" s="1"/>
  <c r="AL21" i="12" a="1"/>
  <c r="AL21" i="12" s="1"/>
  <c r="AD21" i="12" a="1"/>
  <c r="AD21" i="12" s="1"/>
  <c r="AP17" i="12" a="1"/>
  <c r="AP17" i="12" s="1"/>
  <c r="AI17" i="12" a="1"/>
  <c r="AI17" i="12" s="1"/>
  <c r="AC17" i="12" a="1"/>
  <c r="AC17" i="12" s="1"/>
  <c r="AO13" i="12" a="1"/>
  <c r="AO13" i="12" s="1"/>
  <c r="AB13" i="12" a="1"/>
  <c r="AB13" i="12" s="1"/>
  <c r="AO9" i="12" a="1"/>
  <c r="AO9" i="12" s="1"/>
  <c r="AG9" i="12" a="1"/>
  <c r="AG9" i="12" s="1"/>
  <c r="AB9" i="12" a="1"/>
  <c r="AB9" i="12" s="1"/>
  <c r="AH58" i="12" a="1"/>
  <c r="AH58" i="12" s="1"/>
  <c r="AQ47" i="12" a="1"/>
  <c r="AQ47" i="12" s="1"/>
  <c r="AO43" i="12" a="1"/>
  <c r="AO43" i="12" s="1"/>
  <c r="AG38" i="12" a="1"/>
  <c r="AG38" i="12" s="1"/>
  <c r="AD34" i="12" a="1"/>
  <c r="AD34" i="12" s="1"/>
  <c r="AK30" i="12" a="1"/>
  <c r="AK30" i="12" s="1"/>
  <c r="AH26" i="12" a="1"/>
  <c r="AH26" i="12" s="1"/>
  <c r="Z26" i="12" a="1"/>
  <c r="Z26" i="12" s="1"/>
  <c r="AC21" i="12" a="1"/>
  <c r="AC21" i="12" s="1"/>
  <c r="AH17" i="12" a="1"/>
  <c r="AH17" i="12" s="1"/>
  <c r="AB17" i="12" a="1"/>
  <c r="AB17" i="12" s="1"/>
  <c r="AN13" i="12" a="1"/>
  <c r="AN13" i="12" s="1"/>
  <c r="AH13" i="12" a="1"/>
  <c r="AH13" i="12" s="1"/>
  <c r="AA13" i="12" a="1"/>
  <c r="AA13" i="12" s="1"/>
  <c r="AN9" i="12" a="1"/>
  <c r="AN9" i="12" s="1"/>
  <c r="AA9" i="12" a="1"/>
  <c r="AA9" i="12" s="1"/>
  <c r="AL47" i="12" a="1"/>
  <c r="AL47" i="12" s="1"/>
  <c r="AF38" i="12" a="1"/>
  <c r="AF38" i="12" s="1"/>
  <c r="AK34" i="12" a="1"/>
  <c r="AK34" i="12" s="1"/>
  <c r="AC34" i="12" a="1"/>
  <c r="AC34" i="12" s="1"/>
  <c r="AJ30" i="12" a="1"/>
  <c r="AJ30" i="12" s="1"/>
  <c r="AC30" i="12" a="1"/>
  <c r="AC30" i="12" s="1"/>
  <c r="AN26" i="12" a="1"/>
  <c r="AN26" i="12" s="1"/>
  <c r="AG26" i="12" a="1"/>
  <c r="AG26" i="12" s="1"/>
  <c r="AJ21" i="12" a="1"/>
  <c r="AJ21" i="12" s="1"/>
  <c r="AO17" i="12" a="1"/>
  <c r="AO17" i="12" s="1"/>
  <c r="AG17" i="12" a="1"/>
  <c r="AG17" i="12" s="1"/>
  <c r="AA17" i="12" a="1"/>
  <c r="AA17" i="12" s="1"/>
  <c r="AM13" i="12" a="1"/>
  <c r="AM13" i="12" s="1"/>
  <c r="AG13" i="12" a="1"/>
  <c r="AG13" i="12" s="1"/>
  <c r="Z13" i="12" a="1"/>
  <c r="Z13" i="12" s="1"/>
  <c r="AM9" i="12" a="1"/>
  <c r="AM9" i="12" s="1"/>
  <c r="AF9" i="12" a="1"/>
  <c r="AF9" i="12" s="1"/>
  <c r="Z9" i="12" a="1"/>
  <c r="Z9" i="12" s="1"/>
  <c r="AQ2" i="12" a="1"/>
  <c r="AQ2" i="12" s="1"/>
  <c r="AD2" i="12" a="1"/>
  <c r="AD2" i="12" s="1"/>
  <c r="AJ47" i="12" a="1"/>
  <c r="AJ47" i="12" s="1"/>
  <c r="AO38" i="12" a="1"/>
  <c r="AO38" i="12" s="1"/>
  <c r="AJ34" i="12" a="1"/>
  <c r="AJ34" i="12" s="1"/>
  <c r="AI30" i="12" a="1"/>
  <c r="AI30" i="12" s="1"/>
  <c r="AB30" i="12" a="1"/>
  <c r="AB30" i="12" s="1"/>
  <c r="AM26" i="12" a="1"/>
  <c r="AM26" i="12" s="1"/>
  <c r="AE26" i="12" a="1"/>
  <c r="AE26" i="12" s="1"/>
  <c r="Y26" i="12" a="1"/>
  <c r="Y26" i="12" s="1"/>
  <c r="AQ21" i="12" a="1"/>
  <c r="AQ21" i="12" s="1"/>
  <c r="AI21" i="12" a="1"/>
  <c r="AI21" i="12" s="1"/>
  <c r="AB21" i="12" a="1"/>
  <c r="AB21" i="12" s="1"/>
  <c r="AN17" i="12" a="1"/>
  <c r="AN17" i="12" s="1"/>
  <c r="Z17" i="12" a="1"/>
  <c r="Z17" i="12" s="1"/>
  <c r="AL13" i="12" a="1"/>
  <c r="AL13" i="12" s="1"/>
  <c r="AF13" i="12" a="1"/>
  <c r="AF13" i="12" s="1"/>
  <c r="AL9" i="12" a="1"/>
  <c r="AL9" i="12" s="1"/>
  <c r="AE9" i="12" a="1"/>
  <c r="AE9" i="12" s="1"/>
  <c r="Y9" i="12" a="1"/>
  <c r="Y9" i="12" s="1"/>
  <c r="AP2" i="12" a="1"/>
  <c r="AP2" i="12" s="1"/>
  <c r="AJ2" i="12" a="1"/>
  <c r="AJ2" i="12" s="1"/>
  <c r="AC2" i="12" a="1"/>
  <c r="AC2" i="12" s="1"/>
  <c r="AD47" i="12" a="1"/>
  <c r="AD47" i="12" s="1"/>
  <c r="AH43" i="12" a="1"/>
  <c r="AH43" i="12" s="1"/>
  <c r="AM38" i="12" a="1"/>
  <c r="AM38" i="12" s="1"/>
  <c r="AB38" i="12" a="1"/>
  <c r="AB38" i="12" s="1"/>
  <c r="AI34" i="12" a="1"/>
  <c r="AI34" i="12" s="1"/>
  <c r="Z34" i="12" a="1"/>
  <c r="Z34" i="12" s="1"/>
  <c r="AP30" i="12" a="1"/>
  <c r="AP30" i="12" s="1"/>
  <c r="AA30" i="12" a="1"/>
  <c r="AA30" i="12" s="1"/>
  <c r="AD26" i="12" a="1"/>
  <c r="AD26" i="12" s="1"/>
  <c r="AP21" i="12" a="1"/>
  <c r="AP21" i="12" s="1"/>
  <c r="AA21" i="12" a="1"/>
  <c r="AA21" i="12" s="1"/>
  <c r="AM17" i="12" a="1"/>
  <c r="AM17" i="12" s="1"/>
  <c r="AF17" i="12" a="1"/>
  <c r="AF17" i="12" s="1"/>
  <c r="Y17" i="12" a="1"/>
  <c r="Y17" i="12" s="1"/>
  <c r="AE13" i="12" a="1"/>
  <c r="AE13" i="12" s="1"/>
  <c r="Y13" i="12" a="1"/>
  <c r="Y13" i="12" s="1"/>
  <c r="AK9" i="12" a="1"/>
  <c r="AK9" i="12" s="1"/>
  <c r="AO2" i="12" a="1"/>
  <c r="AO2" i="12" s="1"/>
  <c r="AI2" i="12" a="1"/>
  <c r="AI2" i="12" s="1"/>
  <c r="Z47" i="12" a="1"/>
  <c r="Z47" i="12" s="1"/>
  <c r="AF43" i="12" a="1"/>
  <c r="AF43" i="12" s="1"/>
  <c r="AL38" i="12" a="1"/>
  <c r="AL38" i="12" s="1"/>
  <c r="AQ34" i="12" a="1"/>
  <c r="AQ34" i="12" s="1"/>
  <c r="AH34" i="12" a="1"/>
  <c r="AH34" i="12" s="1"/>
  <c r="AH30" i="12" a="1"/>
  <c r="AH30" i="12" s="1"/>
  <c r="AK26" i="12" a="1"/>
  <c r="AK26" i="12" s="1"/>
  <c r="AO21" i="12" a="1"/>
  <c r="AO21" i="12" s="1"/>
  <c r="AH21" i="12" a="1"/>
  <c r="AH21" i="12" s="1"/>
  <c r="Z21" i="12" a="1"/>
  <c r="Z21" i="12" s="1"/>
  <c r="AL17" i="12" a="1"/>
  <c r="AL17" i="12" s="1"/>
  <c r="AE17" i="12" a="1"/>
  <c r="AE17" i="12" s="1"/>
  <c r="AK13" i="12" a="1"/>
  <c r="AK13" i="12" s="1"/>
  <c r="AD13" i="12" a="1"/>
  <c r="AD13" i="12" s="1"/>
  <c r="AQ9" i="12" a="1"/>
  <c r="AQ9" i="12" s="1"/>
  <c r="AJ9" i="12" a="1"/>
  <c r="AJ9" i="12" s="1"/>
  <c r="AD9" i="12" a="1"/>
  <c r="AD9" i="12" s="1"/>
  <c r="AH2" i="12" a="1"/>
  <c r="AH2" i="12" s="1"/>
  <c r="AB2" i="12" a="1"/>
  <c r="AB2" i="12" s="1"/>
  <c r="AQ51" i="12" a="1"/>
  <c r="AQ51" i="12" s="1"/>
  <c r="AA43" i="12" a="1"/>
  <c r="AA43" i="12" s="1"/>
  <c r="AJ38" i="12" a="1"/>
  <c r="AJ38" i="12" s="1"/>
  <c r="Y38" i="12" a="1"/>
  <c r="Y38" i="12" s="1"/>
  <c r="AE34" i="12" a="1"/>
  <c r="AE34" i="12" s="1"/>
  <c r="AN30" i="12" a="1"/>
  <c r="AN30" i="12" s="1"/>
  <c r="AI26" i="12" a="1"/>
  <c r="AI26" i="12" s="1"/>
  <c r="AM21" i="12" a="1"/>
  <c r="AM21" i="12" s="1"/>
  <c r="AE21" i="12" a="1"/>
  <c r="AE21" i="12" s="1"/>
  <c r="AQ17" i="12" a="1"/>
  <c r="AQ17" i="12" s="1"/>
  <c r="AJ17" i="12" a="1"/>
  <c r="AJ17" i="12" s="1"/>
  <c r="AD17" i="12" a="1"/>
  <c r="AD17" i="12" s="1"/>
  <c r="AP13" i="12" a="1"/>
  <c r="AP13" i="12" s="1"/>
  <c r="AI13" i="12" a="1"/>
  <c r="AI13" i="12" s="1"/>
  <c r="AH9" i="12" a="1"/>
  <c r="AH9" i="12" s="1"/>
  <c r="AC9" i="12" a="1"/>
  <c r="AC9" i="12" s="1"/>
  <c r="AM2" i="12" a="1"/>
  <c r="AM2" i="12" s="1"/>
  <c r="Z2" i="12" a="1"/>
  <c r="Z2" i="12" s="1"/>
  <c r="AG30" i="12" a="1"/>
  <c r="AG30" i="12" s="1"/>
  <c r="AK17" i="12" a="1"/>
  <c r="AK17" i="12" s="1"/>
  <c r="AI9" i="12" a="1"/>
  <c r="AI9" i="12" s="1"/>
  <c r="AN2" i="12" a="1"/>
  <c r="AN2" i="12" s="1"/>
  <c r="BF62" i="12" a="1"/>
  <c r="BF62" i="12" s="1"/>
  <c r="AX62" i="12" a="1"/>
  <c r="AX62" i="12" s="1"/>
  <c r="BD58" i="12" a="1"/>
  <c r="BD58" i="12" s="1"/>
  <c r="AV58" i="12" a="1"/>
  <c r="AV58" i="12" s="1"/>
  <c r="BI51" i="12" a="1"/>
  <c r="BI51" i="12" s="1"/>
  <c r="BD51" i="12" a="1"/>
  <c r="BD51" i="12" s="1"/>
  <c r="AY51" i="12" a="1"/>
  <c r="AY51" i="12" s="1"/>
  <c r="AT51" i="12" a="1"/>
  <c r="AT51" i="12" s="1"/>
  <c r="BH47" i="12" a="1"/>
  <c r="BH47" i="12" s="1"/>
  <c r="BC47" i="12" a="1"/>
  <c r="BC47" i="12" s="1"/>
  <c r="AX47" i="12" a="1"/>
  <c r="AX47" i="12" s="1"/>
  <c r="AS47" i="12" a="1"/>
  <c r="AS47" i="12" s="1"/>
  <c r="BC43" i="12" a="1"/>
  <c r="BC43" i="12" s="1"/>
  <c r="AC43" i="12" a="1"/>
  <c r="AC43" i="12" s="1"/>
  <c r="Y30" i="12" a="1"/>
  <c r="Y30" i="12" s="1"/>
  <c r="AL2" i="12" a="1"/>
  <c r="AL2" i="12" s="1"/>
  <c r="BE62" i="12" a="1"/>
  <c r="BE62" i="12" s="1"/>
  <c r="AW62" i="12" a="1"/>
  <c r="AW62" i="12" s="1"/>
  <c r="BK58" i="12" a="1"/>
  <c r="BK58" i="12" s="1"/>
  <c r="BC58" i="12" a="1"/>
  <c r="BC58" i="12" s="1"/>
  <c r="AU58" i="12" a="1"/>
  <c r="AU58" i="12" s="1"/>
  <c r="AX51" i="12" a="1"/>
  <c r="AX51" i="12" s="1"/>
  <c r="BB47" i="12" a="1"/>
  <c r="BB47" i="12" s="1"/>
  <c r="BH43" i="12" a="1"/>
  <c r="BH43" i="12" s="1"/>
  <c r="BB43" i="12" a="1"/>
  <c r="BB43" i="12" s="1"/>
  <c r="AW43" i="12" a="1"/>
  <c r="AW43" i="12" s="1"/>
  <c r="BI38" i="12" a="1"/>
  <c r="BI38" i="12" s="1"/>
  <c r="BD38" i="12" a="1"/>
  <c r="BD38" i="12" s="1"/>
  <c r="AW38" i="12" a="1"/>
  <c r="AW38" i="12" s="1"/>
  <c r="AJ26" i="12" a="1"/>
  <c r="AJ26" i="12" s="1"/>
  <c r="AK2" i="12" a="1"/>
  <c r="AK2" i="12" s="1"/>
  <c r="BD62" i="12" a="1"/>
  <c r="BD62" i="12" s="1"/>
  <c r="AV62" i="12" a="1"/>
  <c r="AV62" i="12" s="1"/>
  <c r="BJ58" i="12" a="1"/>
  <c r="BJ58" i="12" s="1"/>
  <c r="BB58" i="12" a="1"/>
  <c r="BB58" i="12" s="1"/>
  <c r="AT58" i="12" a="1"/>
  <c r="AT58" i="12" s="1"/>
  <c r="BH51" i="12" a="1"/>
  <c r="BH51" i="12" s="1"/>
  <c r="BC51" i="12" a="1"/>
  <c r="BC51" i="12" s="1"/>
  <c r="AS51" i="12" a="1"/>
  <c r="AS51" i="12" s="1"/>
  <c r="BG47" i="12" a="1"/>
  <c r="BG47" i="12" s="1"/>
  <c r="AW47" i="12" a="1"/>
  <c r="AW47" i="12" s="1"/>
  <c r="BG43" i="12" a="1"/>
  <c r="BG43" i="12" s="1"/>
  <c r="BA43" i="12" a="1"/>
  <c r="BA43" i="12" s="1"/>
  <c r="BC38" i="12" a="1"/>
  <c r="BC38" i="12" s="1"/>
  <c r="BG34" i="12" a="1"/>
  <c r="BG34" i="12" s="1"/>
  <c r="AV34" i="12" a="1"/>
  <c r="AV34" i="12" s="1"/>
  <c r="BI30" i="12" a="1"/>
  <c r="BI30" i="12" s="1"/>
  <c r="BC30" i="12" a="1"/>
  <c r="BC30" i="12" s="1"/>
  <c r="AW30" i="12" a="1"/>
  <c r="AW30" i="12" s="1"/>
  <c r="AC26" i="12" a="1"/>
  <c r="AC26" i="12" s="1"/>
  <c r="AQ13" i="12" a="1"/>
  <c r="AQ13" i="12" s="1"/>
  <c r="AG2" i="12" a="1"/>
  <c r="AG2" i="12" s="1"/>
  <c r="BK62" i="12" a="1"/>
  <c r="BK62" i="12" s="1"/>
  <c r="BC62" i="12" a="1"/>
  <c r="BC62" i="12" s="1"/>
  <c r="AU62" i="12" a="1"/>
  <c r="AU62" i="12" s="1"/>
  <c r="BI58" i="12" a="1"/>
  <c r="BI58" i="12" s="1"/>
  <c r="BA58" i="12" a="1"/>
  <c r="BA58" i="12" s="1"/>
  <c r="AS58" i="12" a="1"/>
  <c r="AS58" i="12" s="1"/>
  <c r="BB51" i="12" a="1"/>
  <c r="BB51" i="12" s="1"/>
  <c r="AW51" i="12" a="1"/>
  <c r="AW51" i="12" s="1"/>
  <c r="BK47" i="12" a="1"/>
  <c r="BK47" i="12" s="1"/>
  <c r="BF47" i="12" a="1"/>
  <c r="BF47" i="12" s="1"/>
  <c r="BA47" i="12" a="1"/>
  <c r="BA47" i="12" s="1"/>
  <c r="AV47" i="12" a="1"/>
  <c r="AV47" i="12" s="1"/>
  <c r="BF43" i="12" a="1"/>
  <c r="BF43" i="12" s="1"/>
  <c r="AV43" i="12" a="1"/>
  <c r="AV43" i="12" s="1"/>
  <c r="BH38" i="12" a="1"/>
  <c r="BH38" i="12" s="1"/>
  <c r="BB38" i="12" a="1"/>
  <c r="BB38" i="12" s="1"/>
  <c r="AV38" i="12" a="1"/>
  <c r="AV38" i="12" s="1"/>
  <c r="BF34" i="12" a="1"/>
  <c r="BF34" i="12" s="1"/>
  <c r="BA34" i="12" a="1"/>
  <c r="BA34" i="12" s="1"/>
  <c r="AU34" i="12" a="1"/>
  <c r="AU34" i="12" s="1"/>
  <c r="BH30" i="12" a="1"/>
  <c r="BH30" i="12" s="1"/>
  <c r="BB30" i="12" a="1"/>
  <c r="BB30" i="12" s="1"/>
  <c r="AV30" i="12" a="1"/>
  <c r="AV30" i="12" s="1"/>
  <c r="AU26" i="12" a="1"/>
  <c r="AU26" i="12" s="1"/>
  <c r="BH21" i="12" a="1"/>
  <c r="BH21" i="12" s="1"/>
  <c r="AU21" i="12" a="1"/>
  <c r="AU21" i="12" s="1"/>
  <c r="AN21" i="12" a="1"/>
  <c r="AN21" i="12" s="1"/>
  <c r="AJ13" i="12" a="1"/>
  <c r="AJ13" i="12" s="1"/>
  <c r="AF2" i="12" a="1"/>
  <c r="AF2" i="12" s="1"/>
  <c r="BJ62" i="12" a="1"/>
  <c r="BJ62" i="12" s="1"/>
  <c r="BB62" i="12" a="1"/>
  <c r="BB62" i="12" s="1"/>
  <c r="AT62" i="12" a="1"/>
  <c r="AT62" i="12" s="1"/>
  <c r="BH58" i="12" a="1"/>
  <c r="BH58" i="12" s="1"/>
  <c r="AZ58" i="12" a="1"/>
  <c r="AZ58" i="12" s="1"/>
  <c r="BK51" i="12" a="1"/>
  <c r="BK51" i="12" s="1"/>
  <c r="BG51" i="12" a="1"/>
  <c r="BG51" i="12" s="1"/>
  <c r="BA51" i="12" a="1"/>
  <c r="BA51" i="12" s="1"/>
  <c r="BJ47" i="12" a="1"/>
  <c r="BJ47" i="12" s="1"/>
  <c r="BE47" i="12" a="1"/>
  <c r="BE47" i="12" s="1"/>
  <c r="BK43" i="12" a="1"/>
  <c r="BK43" i="12" s="1"/>
  <c r="AZ43" i="12" a="1"/>
  <c r="AZ43" i="12" s="1"/>
  <c r="AU43" i="12" a="1"/>
  <c r="AU43" i="12" s="1"/>
  <c r="AT34" i="12" a="1"/>
  <c r="AT34" i="12" s="1"/>
  <c r="AP34" i="12" a="1"/>
  <c r="AP34" i="12" s="1"/>
  <c r="AG21" i="12" a="1"/>
  <c r="AG21" i="12" s="1"/>
  <c r="AC13" i="12" a="1"/>
  <c r="AC13" i="12" s="1"/>
  <c r="AE2" i="12" a="1"/>
  <c r="AE2" i="12" s="1"/>
  <c r="BI62" i="12" a="1"/>
  <c r="BI62" i="12" s="1"/>
  <c r="BA62" i="12" a="1"/>
  <c r="BA62" i="12" s="1"/>
  <c r="AS62" i="12" a="1"/>
  <c r="AS62" i="12" s="1"/>
  <c r="BG58" i="12" a="1"/>
  <c r="BG58" i="12" s="1"/>
  <c r="AY58" i="12" a="1"/>
  <c r="AY58" i="12" s="1"/>
  <c r="BF51" i="12" a="1"/>
  <c r="BF51" i="12" s="1"/>
  <c r="AV51" i="12" a="1"/>
  <c r="AV51" i="12" s="1"/>
  <c r="AZ47" i="12" a="1"/>
  <c r="AZ47" i="12" s="1"/>
  <c r="AU47" i="12" a="1"/>
  <c r="AU47" i="12" s="1"/>
  <c r="BJ43" i="12" a="1"/>
  <c r="BJ43" i="12" s="1"/>
  <c r="BE43" i="12" a="1"/>
  <c r="BE43" i="12" s="1"/>
  <c r="AT43" i="12" a="1"/>
  <c r="AT43" i="12" s="1"/>
  <c r="BG38" i="12" a="1"/>
  <c r="BG38" i="12" s="1"/>
  <c r="BA38" i="12" a="1"/>
  <c r="BA38" i="12" s="1"/>
  <c r="AU38" i="12" a="1"/>
  <c r="AU38" i="12" s="1"/>
  <c r="AA38" i="12" a="1"/>
  <c r="AA38" i="12" s="1"/>
  <c r="Y34" i="12" a="1"/>
  <c r="Y34" i="12" s="1"/>
  <c r="AO30" i="12" a="1"/>
  <c r="AO30" i="12" s="1"/>
  <c r="AP9" i="12" a="1"/>
  <c r="AP9" i="12" s="1"/>
  <c r="Y2" i="12" a="1"/>
  <c r="Y2" i="12" s="1"/>
  <c r="BG62" i="12" a="1"/>
  <c r="BG62" i="12" s="1"/>
  <c r="AY62" i="12" a="1"/>
  <c r="AY62" i="12" s="1"/>
  <c r="BE58" i="12" a="1"/>
  <c r="BE58" i="12" s="1"/>
  <c r="AW58" i="12" a="1"/>
  <c r="AW58" i="12" s="1"/>
  <c r="AU51" i="12" a="1"/>
  <c r="AU51" i="12" s="1"/>
  <c r="AY47" i="12" a="1"/>
  <c r="AY47" i="12" s="1"/>
  <c r="AT47" i="12" a="1"/>
  <c r="AT47" i="12" s="1"/>
  <c r="BI43" i="12" a="1"/>
  <c r="BI43" i="12" s="1"/>
  <c r="BJ38" i="12" a="1"/>
  <c r="BJ38" i="12" s="1"/>
  <c r="AZ34" i="12" a="1"/>
  <c r="AZ34" i="12" s="1"/>
  <c r="BJ30" i="12" a="1"/>
  <c r="BJ30" i="12" s="1"/>
  <c r="AT30" i="12" a="1"/>
  <c r="AT30" i="12" s="1"/>
  <c r="BA26" i="12" a="1"/>
  <c r="BA26" i="12" s="1"/>
  <c r="AT26" i="12" a="1"/>
  <c r="AT26" i="12" s="1"/>
  <c r="BE21" i="12" a="1"/>
  <c r="BE21" i="12" s="1"/>
  <c r="AX21" i="12" a="1"/>
  <c r="AX21" i="12" s="1"/>
  <c r="AU17" i="12" a="1"/>
  <c r="AU17" i="12" s="1"/>
  <c r="AU13" i="12" a="1"/>
  <c r="AU13" i="12" s="1"/>
  <c r="BG9" i="12" a="1"/>
  <c r="BG9" i="12" s="1"/>
  <c r="AZ9" i="12" a="1"/>
  <c r="AZ9" i="12" s="1"/>
  <c r="AT9" i="12" a="1"/>
  <c r="AT9" i="12" s="1"/>
  <c r="BB2" i="12" a="1"/>
  <c r="BB2" i="12" s="1"/>
  <c r="AV2" i="12" a="1"/>
  <c r="AV2" i="12" s="1"/>
  <c r="AF34" i="12" a="1"/>
  <c r="AF34" i="12" s="1"/>
  <c r="AA2" i="12" a="1"/>
  <c r="AA2" i="12" s="1"/>
  <c r="BD43" i="12" a="1"/>
  <c r="BD43" i="12" s="1"/>
  <c r="BF38" i="12" a="1"/>
  <c r="BF38" i="12" s="1"/>
  <c r="AS38" i="12" a="1"/>
  <c r="AS38" i="12" s="1"/>
  <c r="BI34" i="12" a="1"/>
  <c r="BI34" i="12" s="1"/>
  <c r="BA30" i="12" a="1"/>
  <c r="BA30" i="12" s="1"/>
  <c r="BH26" i="12" a="1"/>
  <c r="BH26" i="12" s="1"/>
  <c r="AZ26" i="12" a="1"/>
  <c r="AZ26" i="12" s="1"/>
  <c r="BK21" i="12" a="1"/>
  <c r="BK21" i="12" s="1"/>
  <c r="BD21" i="12" a="1"/>
  <c r="BD21" i="12" s="1"/>
  <c r="AW21" i="12" a="1"/>
  <c r="AW21" i="12" s="1"/>
  <c r="BG17" i="12" a="1"/>
  <c r="BG17" i="12" s="1"/>
  <c r="AZ17" i="12" a="1"/>
  <c r="AZ17" i="12" s="1"/>
  <c r="AT17" i="12" a="1"/>
  <c r="AT17" i="12" s="1"/>
  <c r="BG13" i="12" a="1"/>
  <c r="BG13" i="12" s="1"/>
  <c r="BA13" i="12" a="1"/>
  <c r="BA13" i="12" s="1"/>
  <c r="AT13" i="12" a="1"/>
  <c r="AT13" i="12" s="1"/>
  <c r="BF9" i="12" a="1"/>
  <c r="BF9" i="12" s="1"/>
  <c r="AS9" i="12" a="1"/>
  <c r="AS9" i="12" s="1"/>
  <c r="BH2" i="12" a="1"/>
  <c r="BH2" i="12" s="1"/>
  <c r="BA2" i="12" a="1"/>
  <c r="BA2" i="12" s="1"/>
  <c r="AU2" i="12" a="1"/>
  <c r="AU2" i="12" s="1"/>
  <c r="BK9" i="12" a="1"/>
  <c r="BK9" i="12" s="1"/>
  <c r="BG2" i="12" a="1"/>
  <c r="BG2" i="12" s="1"/>
  <c r="AT2" i="12" a="1"/>
  <c r="AT2" i="12" s="1"/>
  <c r="BH34" i="12" a="1"/>
  <c r="BH34" i="12" s="1"/>
  <c r="AY34" i="12" a="1"/>
  <c r="AY34" i="12" s="1"/>
  <c r="AS30" i="12" a="1"/>
  <c r="AS30" i="12" s="1"/>
  <c r="BG26" i="12" a="1"/>
  <c r="BG26" i="12" s="1"/>
  <c r="AS26" i="12" a="1"/>
  <c r="AS26" i="12" s="1"/>
  <c r="BJ21" i="12" a="1"/>
  <c r="BJ21" i="12" s="1"/>
  <c r="BC21" i="12" a="1"/>
  <c r="BC21" i="12" s="1"/>
  <c r="AV21" i="12" a="1"/>
  <c r="AV21" i="12" s="1"/>
  <c r="BK17" i="12" a="1"/>
  <c r="BK17" i="12" s="1"/>
  <c r="BF17" i="12" a="1"/>
  <c r="BF17" i="12" s="1"/>
  <c r="BF13" i="12" a="1"/>
  <c r="BF13" i="12" s="1"/>
  <c r="AZ13" i="12" a="1"/>
  <c r="AZ13" i="12" s="1"/>
  <c r="BE9" i="12" a="1"/>
  <c r="BE9" i="12" s="1"/>
  <c r="AY9" i="12" a="1"/>
  <c r="AY9" i="12" s="1"/>
  <c r="AY43" i="12" a="1"/>
  <c r="AY43" i="12" s="1"/>
  <c r="BE38" i="12" a="1"/>
  <c r="BE38" i="12" s="1"/>
  <c r="BE34" i="12" a="1"/>
  <c r="BE34" i="12" s="1"/>
  <c r="AX34" i="12" a="1"/>
  <c r="AX34" i="12" s="1"/>
  <c r="BG30" i="12" a="1"/>
  <c r="BG30" i="12" s="1"/>
  <c r="AZ30" i="12" a="1"/>
  <c r="AZ30" i="12" s="1"/>
  <c r="BF26" i="12" a="1"/>
  <c r="BF26" i="12" s="1"/>
  <c r="AY26" i="12" a="1"/>
  <c r="AY26" i="12" s="1"/>
  <c r="BB21" i="12" a="1"/>
  <c r="BB21" i="12" s="1"/>
  <c r="AT21" i="12" a="1"/>
  <c r="AT21" i="12" s="1"/>
  <c r="BJ17" i="12" a="1"/>
  <c r="BJ17" i="12" s="1"/>
  <c r="BE17" i="12" a="1"/>
  <c r="BE17" i="12" s="1"/>
  <c r="AY17" i="12" a="1"/>
  <c r="AY17" i="12" s="1"/>
  <c r="AS17" i="12" a="1"/>
  <c r="AS17" i="12" s="1"/>
  <c r="BE13" i="12" a="1"/>
  <c r="BE13" i="12" s="1"/>
  <c r="AY13" i="12" a="1"/>
  <c r="AY13" i="12" s="1"/>
  <c r="AS13" i="12" a="1"/>
  <c r="AS13" i="12" s="1"/>
  <c r="BJ9" i="12" a="1"/>
  <c r="BJ9" i="12" s="1"/>
  <c r="BD9" i="12" a="1"/>
  <c r="BD9" i="12" s="1"/>
  <c r="AX9" i="12" a="1"/>
  <c r="AX9" i="12" s="1"/>
  <c r="BF2" i="12" a="1"/>
  <c r="BF2" i="12" s="1"/>
  <c r="AZ2" i="12" a="1"/>
  <c r="AZ2" i="12" s="1"/>
  <c r="AS2" i="12" a="1"/>
  <c r="AS2" i="12" s="1"/>
  <c r="BH62" i="12" a="1"/>
  <c r="BH62" i="12" s="1"/>
  <c r="BF58" i="12" a="1"/>
  <c r="BF58" i="12" s="1"/>
  <c r="BJ51" i="12" a="1"/>
  <c r="BJ51" i="12" s="1"/>
  <c r="AX43" i="12" a="1"/>
  <c r="AX43" i="12" s="1"/>
  <c r="AZ38" i="12" a="1"/>
  <c r="AZ38" i="12" s="1"/>
  <c r="BD34" i="12" a="1"/>
  <c r="BD34" i="12" s="1"/>
  <c r="AW34" i="12" a="1"/>
  <c r="AW34" i="12" s="1"/>
  <c r="BF30" i="12" a="1"/>
  <c r="BF30" i="12" s="1"/>
  <c r="AY30" i="12" a="1"/>
  <c r="AY30" i="12" s="1"/>
  <c r="BK26" i="12" a="1"/>
  <c r="BK26" i="12" s="1"/>
  <c r="BE26" i="12" a="1"/>
  <c r="BE26" i="12" s="1"/>
  <c r="AX26" i="12" a="1"/>
  <c r="AX26" i="12" s="1"/>
  <c r="BI21" i="12" a="1"/>
  <c r="BI21" i="12" s="1"/>
  <c r="BA21" i="12" a="1"/>
  <c r="BA21" i="12" s="1"/>
  <c r="BD17" i="12" a="1"/>
  <c r="BD17" i="12" s="1"/>
  <c r="AX17" i="12" a="1"/>
  <c r="AX17" i="12" s="1"/>
  <c r="BK13" i="12" a="1"/>
  <c r="BK13" i="12" s="1"/>
  <c r="AX13" i="12" a="1"/>
  <c r="AX13" i="12" s="1"/>
  <c r="BC9" i="12" a="1"/>
  <c r="BC9" i="12" s="1"/>
  <c r="BE2" i="12" a="1"/>
  <c r="BE2" i="12" s="1"/>
  <c r="AY2" i="12" a="1"/>
  <c r="AY2" i="12" s="1"/>
  <c r="Y21" i="12" a="1"/>
  <c r="Y21" i="12" s="1"/>
  <c r="AZ62" i="12" a="1"/>
  <c r="AZ62" i="12" s="1"/>
  <c r="AX58" i="12" a="1"/>
  <c r="AX58" i="12" s="1"/>
  <c r="BE51" i="12" a="1"/>
  <c r="BE51" i="12" s="1"/>
  <c r="BI47" i="12" a="1"/>
  <c r="BI47" i="12" s="1"/>
  <c r="AS43" i="12" a="1"/>
  <c r="AS43" i="12" s="1"/>
  <c r="AY38" i="12" a="1"/>
  <c r="AY38" i="12" s="1"/>
  <c r="AS34" i="12" a="1"/>
  <c r="AS34" i="12" s="1"/>
  <c r="BE30" i="12" a="1"/>
  <c r="BE30" i="12" s="1"/>
  <c r="AX30" i="12" a="1"/>
  <c r="AX30" i="12" s="1"/>
  <c r="BJ26" i="12" a="1"/>
  <c r="BJ26" i="12" s="1"/>
  <c r="BD26" i="12" a="1"/>
  <c r="BD26" i="12" s="1"/>
  <c r="AS21" i="12" a="1"/>
  <c r="AS21" i="12" s="1"/>
  <c r="BI17" i="12" a="1"/>
  <c r="BI17" i="12" s="1"/>
  <c r="BC17" i="12" a="1"/>
  <c r="BC17" i="12" s="1"/>
  <c r="BJ13" i="12" a="1"/>
  <c r="BJ13" i="12" s="1"/>
  <c r="BD13" i="12" a="1"/>
  <c r="BD13" i="12" s="1"/>
  <c r="AW13" i="12" a="1"/>
  <c r="AW13" i="12" s="1"/>
  <c r="BI9" i="12" a="1"/>
  <c r="BI9" i="12" s="1"/>
  <c r="BB9" i="12" a="1"/>
  <c r="BB9" i="12" s="1"/>
  <c r="AW9" i="12" a="1"/>
  <c r="AW9" i="12" s="1"/>
  <c r="BK2" i="12" a="1"/>
  <c r="BK2" i="12" s="1"/>
  <c r="AX2" i="12" a="1"/>
  <c r="AX2" i="12" s="1"/>
  <c r="BK38" i="12" a="1"/>
  <c r="BK38" i="12" s="1"/>
  <c r="AT38" i="12" a="1"/>
  <c r="AT38" i="12" s="1"/>
  <c r="BJ34" i="12" a="1"/>
  <c r="BJ34" i="12" s="1"/>
  <c r="BB34" i="12" a="1"/>
  <c r="BB34" i="12" s="1"/>
  <c r="BK30" i="12" a="1"/>
  <c r="BK30" i="12" s="1"/>
  <c r="BD30" i="12" a="1"/>
  <c r="BD30" i="12" s="1"/>
  <c r="AU30" i="12" a="1"/>
  <c r="AU30" i="12" s="1"/>
  <c r="BI26" i="12" a="1"/>
  <c r="BI26" i="12" s="1"/>
  <c r="BB26" i="12" a="1"/>
  <c r="BB26" i="12" s="1"/>
  <c r="AV26" i="12" a="1"/>
  <c r="AV26" i="12" s="1"/>
  <c r="BF21" i="12" a="1"/>
  <c r="BF21" i="12" s="1"/>
  <c r="AY21" i="12" a="1"/>
  <c r="AY21" i="12" s="1"/>
  <c r="BH17" i="12" a="1"/>
  <c r="BH17" i="12" s="1"/>
  <c r="BA17" i="12" a="1"/>
  <c r="BA17" i="12" s="1"/>
  <c r="AV17" i="12" a="1"/>
  <c r="AV17" i="12" s="1"/>
  <c r="BH13" i="12" a="1"/>
  <c r="BH13" i="12" s="1"/>
  <c r="BB13" i="12" a="1"/>
  <c r="BB13" i="12" s="1"/>
  <c r="BH9" i="12" a="1"/>
  <c r="BH9" i="12" s="1"/>
  <c r="AU9" i="12" a="1"/>
  <c r="AU9" i="12" s="1"/>
  <c r="BI2" i="12" a="1"/>
  <c r="BI2" i="12" s="1"/>
  <c r="BC2" i="12" a="1"/>
  <c r="BC2" i="12" s="1"/>
  <c r="BK34" i="12" a="1"/>
  <c r="BK34" i="12" s="1"/>
  <c r="BA9" i="12" a="1"/>
  <c r="BA9" i="12" s="1"/>
  <c r="BC34" i="12" a="1"/>
  <c r="BC34" i="12" s="1"/>
  <c r="BG21" i="12" a="1"/>
  <c r="BG21" i="12" s="1"/>
  <c r="AV9" i="12" a="1"/>
  <c r="AV9" i="12" s="1"/>
  <c r="AX38" i="12" a="1"/>
  <c r="AX38" i="12" s="1"/>
  <c r="BC13" i="12" a="1"/>
  <c r="BC13" i="12" s="1"/>
  <c r="BC26" i="12" a="1"/>
  <c r="BC26" i="12" s="1"/>
  <c r="AZ51" i="12" a="1"/>
  <c r="AZ51" i="12" s="1"/>
  <c r="AZ21" i="12" a="1"/>
  <c r="AZ21" i="12" s="1"/>
  <c r="BI13" i="12" a="1"/>
  <c r="BI13" i="12" s="1"/>
  <c r="BJ2" i="12" a="1"/>
  <c r="BJ2" i="12" s="1"/>
  <c r="BB17" i="12" a="1"/>
  <c r="BB17" i="12" s="1"/>
  <c r="BD47" i="12" a="1"/>
  <c r="BD47" i="12" s="1"/>
  <c r="AV13" i="12" a="1"/>
  <c r="AV13" i="12" s="1"/>
  <c r="BD2" i="12" a="1"/>
  <c r="BD2" i="12" s="1"/>
  <c r="AW26" i="12" a="1"/>
  <c r="AW26" i="12" s="1"/>
  <c r="AW17" i="12" a="1"/>
  <c r="AW17" i="12" s="1"/>
  <c r="AW2" i="12" a="1"/>
  <c r="AW2" i="12" s="1"/>
  <c r="J9" i="10" a="1"/>
  <c r="J9" i="10" s="1"/>
  <c r="R9" i="10" a="1"/>
  <c r="R9" i="10" s="1"/>
  <c r="Z9" i="10" a="1"/>
  <c r="Z9" i="10" s="1"/>
  <c r="AH9" i="10" a="1"/>
  <c r="AH9" i="10" s="1"/>
  <c r="AP9" i="10" a="1"/>
  <c r="AP9" i="10" s="1"/>
  <c r="AX9" i="10" a="1"/>
  <c r="AX9" i="10" s="1"/>
  <c r="BF9" i="10" a="1"/>
  <c r="BF9" i="10" s="1"/>
  <c r="BN9" i="10" a="1"/>
  <c r="BN9" i="10" s="1"/>
  <c r="BV9" i="10" a="1"/>
  <c r="BV9" i="10" s="1"/>
  <c r="CD9" i="10" a="1"/>
  <c r="CD9" i="10" s="1"/>
  <c r="J13" i="10" a="1"/>
  <c r="J13" i="10" s="1"/>
  <c r="R13" i="10" a="1"/>
  <c r="R13" i="10" s="1"/>
  <c r="Z13" i="10" a="1"/>
  <c r="Z13" i="10" s="1"/>
  <c r="AH13" i="10" a="1"/>
  <c r="AH13" i="10" s="1"/>
  <c r="AP13" i="10" a="1"/>
  <c r="AP13" i="10" s="1"/>
  <c r="AX13" i="10" a="1"/>
  <c r="AX13" i="10" s="1"/>
  <c r="BF13" i="10" a="1"/>
  <c r="BF13" i="10" s="1"/>
  <c r="BN13" i="10" a="1"/>
  <c r="BN13" i="10" s="1"/>
  <c r="BV13" i="10" a="1"/>
  <c r="BV13" i="10" s="1"/>
  <c r="CD13" i="10" a="1"/>
  <c r="CD13" i="10" s="1"/>
  <c r="J17" i="10" a="1"/>
  <c r="J17" i="10" s="1"/>
  <c r="R17" i="10" a="1"/>
  <c r="R17" i="10" s="1"/>
  <c r="Z17" i="10" a="1"/>
  <c r="Z17" i="10" s="1"/>
  <c r="AH17" i="10" a="1"/>
  <c r="AH17" i="10" s="1"/>
  <c r="AP17" i="10" a="1"/>
  <c r="AP17" i="10" s="1"/>
  <c r="AX17" i="10" a="1"/>
  <c r="AX17" i="10" s="1"/>
  <c r="BF17" i="10" a="1"/>
  <c r="BF17" i="10" s="1"/>
  <c r="BN17" i="10" a="1"/>
  <c r="BN17" i="10" s="1"/>
  <c r="BV17" i="10" a="1"/>
  <c r="BV17" i="10" s="1"/>
  <c r="CD17" i="10" a="1"/>
  <c r="CD17" i="10" s="1"/>
  <c r="I21" i="10" a="1"/>
  <c r="I21" i="10" s="1"/>
  <c r="Q21" i="10" a="1"/>
  <c r="Q21" i="10" s="1"/>
  <c r="K9" i="10" a="1"/>
  <c r="K9" i="10" s="1"/>
  <c r="S9" i="10" a="1"/>
  <c r="S9" i="10" s="1"/>
  <c r="AA9" i="10" a="1"/>
  <c r="AA9" i="10" s="1"/>
  <c r="AI9" i="10" a="1"/>
  <c r="AI9" i="10" s="1"/>
  <c r="AQ9" i="10" a="1"/>
  <c r="AQ9" i="10" s="1"/>
  <c r="AY9" i="10" a="1"/>
  <c r="AY9" i="10" s="1"/>
  <c r="BG9" i="10" a="1"/>
  <c r="BG9" i="10" s="1"/>
  <c r="BO9" i="10" a="1"/>
  <c r="BO9" i="10" s="1"/>
  <c r="BW9" i="10" a="1"/>
  <c r="BW9" i="10" s="1"/>
  <c r="CE9" i="10" a="1"/>
  <c r="CE9" i="10" s="1"/>
  <c r="K13" i="10" a="1"/>
  <c r="K13" i="10" s="1"/>
  <c r="S13" i="10" a="1"/>
  <c r="S13" i="10" s="1"/>
  <c r="AA13" i="10" a="1"/>
  <c r="AA13" i="10" s="1"/>
  <c r="AI13" i="10" a="1"/>
  <c r="AI13" i="10" s="1"/>
  <c r="AQ13" i="10" a="1"/>
  <c r="AQ13" i="10" s="1"/>
  <c r="AY13" i="10" a="1"/>
  <c r="AY13" i="10" s="1"/>
  <c r="BG13" i="10" a="1"/>
  <c r="BG13" i="10" s="1"/>
  <c r="BO13" i="10" a="1"/>
  <c r="BO13" i="10" s="1"/>
  <c r="BW13" i="10" a="1"/>
  <c r="BW13" i="10" s="1"/>
  <c r="CE13" i="10" a="1"/>
  <c r="CE13" i="10" s="1"/>
  <c r="K17" i="10" a="1"/>
  <c r="K17" i="10" s="1"/>
  <c r="S17" i="10" a="1"/>
  <c r="S17" i="10" s="1"/>
  <c r="AA17" i="10" a="1"/>
  <c r="AA17" i="10" s="1"/>
  <c r="AI17" i="10" a="1"/>
  <c r="AI17" i="10" s="1"/>
  <c r="AQ17" i="10" a="1"/>
  <c r="AQ17" i="10" s="1"/>
  <c r="AY17" i="10" a="1"/>
  <c r="AY17" i="10" s="1"/>
  <c r="BG17" i="10" a="1"/>
  <c r="BG17" i="10" s="1"/>
  <c r="BO17" i="10" a="1"/>
  <c r="BO17" i="10" s="1"/>
  <c r="BW17" i="10" a="1"/>
  <c r="BW17" i="10" s="1"/>
  <c r="CE17" i="10" a="1"/>
  <c r="CE17" i="10" s="1"/>
  <c r="J21" i="10" a="1"/>
  <c r="J21" i="10" s="1"/>
  <c r="R21" i="10" a="1"/>
  <c r="R21" i="10" s="1"/>
  <c r="Z21" i="10" a="1"/>
  <c r="Z21" i="10" s="1"/>
  <c r="AH21" i="10" a="1"/>
  <c r="AH21" i="10" s="1"/>
  <c r="AP21" i="10" a="1"/>
  <c r="AP21" i="10" s="1"/>
  <c r="AX21" i="10" a="1"/>
  <c r="AX21" i="10" s="1"/>
  <c r="BF21" i="10" a="1"/>
  <c r="BF21" i="10" s="1"/>
  <c r="BN21" i="10" a="1"/>
  <c r="BN21" i="10" s="1"/>
  <c r="BV21" i="10" a="1"/>
  <c r="BV21" i="10" s="1"/>
  <c r="CD21" i="10" a="1"/>
  <c r="CD21" i="10" s="1"/>
  <c r="L9" i="10" a="1"/>
  <c r="L9" i="10" s="1"/>
  <c r="T9" i="10" a="1"/>
  <c r="T9" i="10" s="1"/>
  <c r="AB9" i="10" a="1"/>
  <c r="AB9" i="10" s="1"/>
  <c r="AJ9" i="10" a="1"/>
  <c r="AJ9" i="10" s="1"/>
  <c r="AZ9" i="10" a="1"/>
  <c r="AZ9" i="10" s="1"/>
  <c r="BH9" i="10" a="1"/>
  <c r="BH9" i="10" s="1"/>
  <c r="BP9" i="10" a="1"/>
  <c r="BP9" i="10" s="1"/>
  <c r="BX9" i="10" a="1"/>
  <c r="BX9" i="10" s="1"/>
  <c r="L13" i="10" a="1"/>
  <c r="L13" i="10" s="1"/>
  <c r="T13" i="10" a="1"/>
  <c r="T13" i="10" s="1"/>
  <c r="AB13" i="10" a="1"/>
  <c r="AB13" i="10" s="1"/>
  <c r="AJ13" i="10" a="1"/>
  <c r="AJ13" i="10" s="1"/>
  <c r="AZ13" i="10" a="1"/>
  <c r="AZ13" i="10" s="1"/>
  <c r="BH13" i="10" a="1"/>
  <c r="BH13" i="10" s="1"/>
  <c r="BP13" i="10" a="1"/>
  <c r="BP13" i="10" s="1"/>
  <c r="BX13" i="10" a="1"/>
  <c r="BX13" i="10" s="1"/>
  <c r="L17" i="10" a="1"/>
  <c r="L17" i="10" s="1"/>
  <c r="T17" i="10" a="1"/>
  <c r="T17" i="10" s="1"/>
  <c r="AB17" i="10" a="1"/>
  <c r="AB17" i="10" s="1"/>
  <c r="AJ17" i="10" a="1"/>
  <c r="AJ17" i="10" s="1"/>
  <c r="AZ17" i="10" a="1"/>
  <c r="AZ17" i="10" s="1"/>
  <c r="BH17" i="10" a="1"/>
  <c r="BH17" i="10" s="1"/>
  <c r="BP17" i="10" a="1"/>
  <c r="BP17" i="10" s="1"/>
  <c r="BX17" i="10" a="1"/>
  <c r="BX17" i="10" s="1"/>
  <c r="E9" i="10" a="1"/>
  <c r="E9" i="10" s="1"/>
  <c r="M9" i="10" a="1"/>
  <c r="M9" i="10" s="1"/>
  <c r="U9" i="10" a="1"/>
  <c r="U9" i="10" s="1"/>
  <c r="AC9" i="10" a="1"/>
  <c r="AC9" i="10" s="1"/>
  <c r="AK9" i="10" a="1"/>
  <c r="AK9" i="10" s="1"/>
  <c r="AS9" i="10" a="1"/>
  <c r="AS9" i="10" s="1"/>
  <c r="BA9" i="10" a="1"/>
  <c r="BA9" i="10" s="1"/>
  <c r="BI9" i="10" a="1"/>
  <c r="BI9" i="10" s="1"/>
  <c r="BQ9" i="10" a="1"/>
  <c r="BQ9" i="10" s="1"/>
  <c r="BY9" i="10" a="1"/>
  <c r="BY9" i="10" s="1"/>
  <c r="E13" i="10" a="1"/>
  <c r="E13" i="10" s="1"/>
  <c r="M13" i="10" a="1"/>
  <c r="M13" i="10" s="1"/>
  <c r="U13" i="10" a="1"/>
  <c r="U13" i="10" s="1"/>
  <c r="AC13" i="10" a="1"/>
  <c r="AC13" i="10" s="1"/>
  <c r="AK13" i="10" a="1"/>
  <c r="AK13" i="10" s="1"/>
  <c r="AS13" i="10" a="1"/>
  <c r="AS13" i="10" s="1"/>
  <c r="BA13" i="10" a="1"/>
  <c r="BA13" i="10" s="1"/>
  <c r="BI13" i="10" a="1"/>
  <c r="BI13" i="10" s="1"/>
  <c r="BQ13" i="10" a="1"/>
  <c r="BQ13" i="10" s="1"/>
  <c r="BY13" i="10" a="1"/>
  <c r="BY13" i="10" s="1"/>
  <c r="E17" i="10" a="1"/>
  <c r="E17" i="10" s="1"/>
  <c r="M17" i="10" a="1"/>
  <c r="M17" i="10" s="1"/>
  <c r="U17" i="10" a="1"/>
  <c r="U17" i="10" s="1"/>
  <c r="AC17" i="10" a="1"/>
  <c r="AC17" i="10" s="1"/>
  <c r="AK17" i="10" a="1"/>
  <c r="AK17" i="10" s="1"/>
  <c r="AS17" i="10" a="1"/>
  <c r="AS17" i="10" s="1"/>
  <c r="BA17" i="10" a="1"/>
  <c r="BA17" i="10" s="1"/>
  <c r="BI17" i="10" a="1"/>
  <c r="BI17" i="10" s="1"/>
  <c r="BQ17" i="10" a="1"/>
  <c r="BQ17" i="10" s="1"/>
  <c r="BY17" i="10" a="1"/>
  <c r="BY17" i="10" s="1"/>
  <c r="L21" i="10" a="1"/>
  <c r="L21" i="10" s="1"/>
  <c r="T21" i="10" a="1"/>
  <c r="T21" i="10" s="1"/>
  <c r="AB21" i="10" a="1"/>
  <c r="AB21" i="10" s="1"/>
  <c r="AJ21" i="10" a="1"/>
  <c r="AJ21" i="10" s="1"/>
  <c r="AZ21" i="10" a="1"/>
  <c r="AZ21" i="10" s="1"/>
  <c r="BH21" i="10" a="1"/>
  <c r="BH21" i="10" s="1"/>
  <c r="BP21" i="10" a="1"/>
  <c r="BP21" i="10" s="1"/>
  <c r="BX21" i="10" a="1"/>
  <c r="BX21" i="10" s="1"/>
  <c r="F9" i="10" a="1"/>
  <c r="F9" i="10" s="1"/>
  <c r="N9" i="10" a="1"/>
  <c r="N9" i="10" s="1"/>
  <c r="V9" i="10" a="1"/>
  <c r="V9" i="10" s="1"/>
  <c r="AD9" i="10" a="1"/>
  <c r="AD9" i="10" s="1"/>
  <c r="AL9" i="10" a="1"/>
  <c r="AL9" i="10" s="1"/>
  <c r="AT9" i="10" a="1"/>
  <c r="AT9" i="10" s="1"/>
  <c r="BB9" i="10" a="1"/>
  <c r="BB9" i="10" s="1"/>
  <c r="BJ9" i="10" a="1"/>
  <c r="BJ9" i="10" s="1"/>
  <c r="BR9" i="10" a="1"/>
  <c r="BR9" i="10" s="1"/>
  <c r="BZ9" i="10" a="1"/>
  <c r="BZ9" i="10" s="1"/>
  <c r="F13" i="10" a="1"/>
  <c r="F13" i="10" s="1"/>
  <c r="N13" i="10" a="1"/>
  <c r="N13" i="10" s="1"/>
  <c r="V13" i="10" a="1"/>
  <c r="V13" i="10" s="1"/>
  <c r="AD13" i="10" a="1"/>
  <c r="AD13" i="10" s="1"/>
  <c r="AL13" i="10" a="1"/>
  <c r="AL13" i="10" s="1"/>
  <c r="AT13" i="10" a="1"/>
  <c r="AT13" i="10" s="1"/>
  <c r="BB13" i="10" a="1"/>
  <c r="BB13" i="10" s="1"/>
  <c r="BJ13" i="10" a="1"/>
  <c r="BJ13" i="10" s="1"/>
  <c r="BR13" i="10" a="1"/>
  <c r="BR13" i="10" s="1"/>
  <c r="BZ13" i="10" a="1"/>
  <c r="BZ13" i="10" s="1"/>
  <c r="F17" i="10" a="1"/>
  <c r="F17" i="10" s="1"/>
  <c r="N17" i="10" a="1"/>
  <c r="N17" i="10" s="1"/>
  <c r="V17" i="10" a="1"/>
  <c r="V17" i="10" s="1"/>
  <c r="AD17" i="10" a="1"/>
  <c r="AD17" i="10" s="1"/>
  <c r="AL17" i="10" a="1"/>
  <c r="AL17" i="10" s="1"/>
  <c r="AT17" i="10" a="1"/>
  <c r="AT17" i="10" s="1"/>
  <c r="BB17" i="10" a="1"/>
  <c r="BB17" i="10" s="1"/>
  <c r="BJ17" i="10" a="1"/>
  <c r="BJ17" i="10" s="1"/>
  <c r="BR17" i="10" a="1"/>
  <c r="BR17" i="10" s="1"/>
  <c r="BZ17" i="10" a="1"/>
  <c r="BZ17" i="10" s="1"/>
  <c r="G9" i="10" a="1"/>
  <c r="G9" i="10" s="1"/>
  <c r="O9" i="10" a="1"/>
  <c r="O9" i="10" s="1"/>
  <c r="W9" i="10" a="1"/>
  <c r="W9" i="10" s="1"/>
  <c r="AE9" i="10" a="1"/>
  <c r="AE9" i="10" s="1"/>
  <c r="AM9" i="10" a="1"/>
  <c r="AM9" i="10" s="1"/>
  <c r="AU9" i="10" a="1"/>
  <c r="AU9" i="10" s="1"/>
  <c r="BC9" i="10" a="1"/>
  <c r="BC9" i="10" s="1"/>
  <c r="BK9" i="10" a="1"/>
  <c r="BK9" i="10" s="1"/>
  <c r="BS9" i="10" a="1"/>
  <c r="BS9" i="10" s="1"/>
  <c r="CA9" i="10" a="1"/>
  <c r="CA9" i="10" s="1"/>
  <c r="G13" i="10" a="1"/>
  <c r="G13" i="10" s="1"/>
  <c r="O13" i="10" a="1"/>
  <c r="O13" i="10" s="1"/>
  <c r="W13" i="10" a="1"/>
  <c r="W13" i="10" s="1"/>
  <c r="AE13" i="10" a="1"/>
  <c r="AE13" i="10" s="1"/>
  <c r="AM13" i="10" a="1"/>
  <c r="AM13" i="10" s="1"/>
  <c r="AU13" i="10" a="1"/>
  <c r="AU13" i="10" s="1"/>
  <c r="BC13" i="10" a="1"/>
  <c r="BC13" i="10" s="1"/>
  <c r="BK13" i="10" a="1"/>
  <c r="BK13" i="10" s="1"/>
  <c r="BS13" i="10" a="1"/>
  <c r="BS13" i="10" s="1"/>
  <c r="CA13" i="10" a="1"/>
  <c r="CA13" i="10" s="1"/>
  <c r="I9" i="10" a="1"/>
  <c r="I9" i="10" s="1"/>
  <c r="Q9" i="10" a="1"/>
  <c r="Q9" i="10" s="1"/>
  <c r="Y9" i="10" a="1"/>
  <c r="Y9" i="10" s="1"/>
  <c r="AG9" i="10" a="1"/>
  <c r="AG9" i="10" s="1"/>
  <c r="AO9" i="10" a="1"/>
  <c r="AO9" i="10" s="1"/>
  <c r="AW9" i="10" a="1"/>
  <c r="AW9" i="10" s="1"/>
  <c r="BE9" i="10" a="1"/>
  <c r="BE9" i="10" s="1"/>
  <c r="BM9" i="10" a="1"/>
  <c r="BM9" i="10" s="1"/>
  <c r="BU9" i="10" a="1"/>
  <c r="BU9" i="10" s="1"/>
  <c r="CC9" i="10" a="1"/>
  <c r="CC9" i="10" s="1"/>
  <c r="I13" i="10" a="1"/>
  <c r="I13" i="10" s="1"/>
  <c r="Q13" i="10" a="1"/>
  <c r="Q13" i="10" s="1"/>
  <c r="Y13" i="10" a="1"/>
  <c r="Y13" i="10" s="1"/>
  <c r="AG13" i="10" a="1"/>
  <c r="AG13" i="10" s="1"/>
  <c r="AO13" i="10" a="1"/>
  <c r="AO13" i="10" s="1"/>
  <c r="AW13" i="10" a="1"/>
  <c r="AW13" i="10" s="1"/>
  <c r="BE13" i="10" a="1"/>
  <c r="BE13" i="10" s="1"/>
  <c r="BM13" i="10" a="1"/>
  <c r="BM13" i="10" s="1"/>
  <c r="BU13" i="10" a="1"/>
  <c r="BU13" i="10" s="1"/>
  <c r="CC13" i="10" a="1"/>
  <c r="CC13" i="10" s="1"/>
  <c r="I17" i="10" a="1"/>
  <c r="I17" i="10" s="1"/>
  <c r="Q17" i="10" a="1"/>
  <c r="Q17" i="10" s="1"/>
  <c r="Y17" i="10" a="1"/>
  <c r="Y17" i="10" s="1"/>
  <c r="AG17" i="10" a="1"/>
  <c r="AG17" i="10" s="1"/>
  <c r="AO17" i="10" a="1"/>
  <c r="AO17" i="10" s="1"/>
  <c r="AW17" i="10" a="1"/>
  <c r="AW17" i="10" s="1"/>
  <c r="BE17" i="10" a="1"/>
  <c r="BE17" i="10" s="1"/>
  <c r="BM17" i="10" a="1"/>
  <c r="BM17" i="10" s="1"/>
  <c r="BU17" i="10" a="1"/>
  <c r="BU17" i="10" s="1"/>
  <c r="CC17" i="10" a="1"/>
  <c r="CC17" i="10" s="1"/>
  <c r="H21" i="10" a="1"/>
  <c r="H21" i="10" s="1"/>
  <c r="P21" i="10" a="1"/>
  <c r="P21" i="10" s="1"/>
  <c r="AF21" i="10" a="1"/>
  <c r="AF21" i="10" s="1"/>
  <c r="AN21" i="10" a="1"/>
  <c r="AN21" i="10" s="1"/>
  <c r="AV21" i="10" a="1"/>
  <c r="AV21" i="10" s="1"/>
  <c r="BD21" i="10" a="1"/>
  <c r="BD21" i="10" s="1"/>
  <c r="BT21" i="10" a="1"/>
  <c r="BT21" i="10" s="1"/>
  <c r="CB21" i="10" a="1"/>
  <c r="CB21" i="10" s="1"/>
  <c r="P9" i="10" a="1"/>
  <c r="P9" i="10" s="1"/>
  <c r="CB9" i="10" a="1"/>
  <c r="CB9" i="10" s="1"/>
  <c r="P13" i="10" a="1"/>
  <c r="P13" i="10" s="1"/>
  <c r="CB13" i="10" a="1"/>
  <c r="CB13" i="10" s="1"/>
  <c r="W17" i="10" a="1"/>
  <c r="W17" i="10" s="1"/>
  <c r="BC17" i="10" a="1"/>
  <c r="BC17" i="10" s="1"/>
  <c r="G21" i="10" a="1"/>
  <c r="G21" i="10" s="1"/>
  <c r="W21" i="10" a="1"/>
  <c r="W21" i="10" s="1"/>
  <c r="AK21" i="10" a="1"/>
  <c r="AK21" i="10" s="1"/>
  <c r="AW21" i="10" a="1"/>
  <c r="AW21" i="10" s="1"/>
  <c r="BJ21" i="10" a="1"/>
  <c r="BJ21" i="10" s="1"/>
  <c r="BW21" i="10" a="1"/>
  <c r="BW21" i="10" s="1"/>
  <c r="G26" i="10" a="1"/>
  <c r="G26" i="10" s="1"/>
  <c r="O26" i="10" a="1"/>
  <c r="O26" i="10" s="1"/>
  <c r="W26" i="10" a="1"/>
  <c r="W26" i="10" s="1"/>
  <c r="AE26" i="10" a="1"/>
  <c r="AE26" i="10" s="1"/>
  <c r="AM26" i="10" a="1"/>
  <c r="AM26" i="10" s="1"/>
  <c r="AU26" i="10" a="1"/>
  <c r="AU26" i="10" s="1"/>
  <c r="BC26" i="10" a="1"/>
  <c r="BC26" i="10" s="1"/>
  <c r="BK26" i="10" a="1"/>
  <c r="BK26" i="10" s="1"/>
  <c r="BS26" i="10" a="1"/>
  <c r="BS26" i="10" s="1"/>
  <c r="CA26" i="10" a="1"/>
  <c r="CA26" i="10" s="1"/>
  <c r="G30" i="10" a="1"/>
  <c r="G30" i="10" s="1"/>
  <c r="O30" i="10" a="1"/>
  <c r="O30" i="10" s="1"/>
  <c r="W30" i="10" a="1"/>
  <c r="W30" i="10" s="1"/>
  <c r="AE30" i="10" a="1"/>
  <c r="AE30" i="10" s="1"/>
  <c r="AM30" i="10" a="1"/>
  <c r="AM30" i="10" s="1"/>
  <c r="AU30" i="10" a="1"/>
  <c r="AU30" i="10" s="1"/>
  <c r="BC30" i="10" a="1"/>
  <c r="BC30" i="10" s="1"/>
  <c r="BK30" i="10" a="1"/>
  <c r="BK30" i="10" s="1"/>
  <c r="BS30" i="10" a="1"/>
  <c r="BS30" i="10" s="1"/>
  <c r="CA30" i="10" a="1"/>
  <c r="CA30" i="10" s="1"/>
  <c r="G34" i="10" a="1"/>
  <c r="G34" i="10" s="1"/>
  <c r="O34" i="10" a="1"/>
  <c r="O34" i="10" s="1"/>
  <c r="W34" i="10" a="1"/>
  <c r="W34" i="10" s="1"/>
  <c r="AE34" i="10" a="1"/>
  <c r="AE34" i="10" s="1"/>
  <c r="AM34" i="10" a="1"/>
  <c r="AM34" i="10" s="1"/>
  <c r="AU34" i="10" a="1"/>
  <c r="AU34" i="10" s="1"/>
  <c r="BC34" i="10" a="1"/>
  <c r="BC34" i="10" s="1"/>
  <c r="BD17" i="10" a="1"/>
  <c r="BD17" i="10" s="1"/>
  <c r="K21" i="10" a="1"/>
  <c r="K21" i="10" s="1"/>
  <c r="Y21" i="10" a="1"/>
  <c r="Y21" i="10" s="1"/>
  <c r="AL21" i="10" a="1"/>
  <c r="AL21" i="10" s="1"/>
  <c r="AY21" i="10" a="1"/>
  <c r="AY21" i="10" s="1"/>
  <c r="BK21" i="10" a="1"/>
  <c r="BK21" i="10" s="1"/>
  <c r="BY21" i="10" a="1"/>
  <c r="BY21" i="10" s="1"/>
  <c r="H26" i="10" a="1"/>
  <c r="H26" i="10" s="1"/>
  <c r="P26" i="10" a="1"/>
  <c r="P26" i="10" s="1"/>
  <c r="AF26" i="10" a="1"/>
  <c r="AF26" i="10" s="1"/>
  <c r="AN26" i="10" a="1"/>
  <c r="AN26" i="10" s="1"/>
  <c r="AV26" i="10" a="1"/>
  <c r="AV26" i="10" s="1"/>
  <c r="BD26" i="10" a="1"/>
  <c r="BD26" i="10" s="1"/>
  <c r="BT26" i="10" a="1"/>
  <c r="BT26" i="10" s="1"/>
  <c r="CB26" i="10" a="1"/>
  <c r="CB26" i="10" s="1"/>
  <c r="H30" i="10" a="1"/>
  <c r="H30" i="10" s="1"/>
  <c r="P30" i="10" a="1"/>
  <c r="P30" i="10" s="1"/>
  <c r="AF30" i="10" a="1"/>
  <c r="AF30" i="10" s="1"/>
  <c r="AN30" i="10" a="1"/>
  <c r="AN30" i="10" s="1"/>
  <c r="AV30" i="10" a="1"/>
  <c r="AV30" i="10" s="1"/>
  <c r="BD30" i="10" a="1"/>
  <c r="BD30" i="10" s="1"/>
  <c r="BT30" i="10" a="1"/>
  <c r="BT30" i="10" s="1"/>
  <c r="CB30" i="10" a="1"/>
  <c r="CB30" i="10" s="1"/>
  <c r="H34" i="10" a="1"/>
  <c r="H34" i="10" s="1"/>
  <c r="P34" i="10" a="1"/>
  <c r="P34" i="10" s="1"/>
  <c r="AF34" i="10" a="1"/>
  <c r="AF34" i="10" s="1"/>
  <c r="AN34" i="10" a="1"/>
  <c r="AN34" i="10" s="1"/>
  <c r="AV34" i="10" a="1"/>
  <c r="AV34" i="10" s="1"/>
  <c r="BD34" i="10" a="1"/>
  <c r="BD34" i="10" s="1"/>
  <c r="BT34" i="10" a="1"/>
  <c r="BT34" i="10" s="1"/>
  <c r="CB34" i="10" a="1"/>
  <c r="CB34" i="10" s="1"/>
  <c r="H38" i="10" a="1"/>
  <c r="H38" i="10" s="1"/>
  <c r="P38" i="10" a="1"/>
  <c r="P38" i="10" s="1"/>
  <c r="AF38" i="10" a="1"/>
  <c r="AF38" i="10" s="1"/>
  <c r="AN38" i="10" a="1"/>
  <c r="AN38" i="10" s="1"/>
  <c r="AF9" i="10" a="1"/>
  <c r="AF9" i="10" s="1"/>
  <c r="AF13" i="10" a="1"/>
  <c r="AF13" i="10" s="1"/>
  <c r="AE17" i="10" a="1"/>
  <c r="AE17" i="10" s="1"/>
  <c r="BK17" i="10" a="1"/>
  <c r="BK17" i="10" s="1"/>
  <c r="M21" i="10" a="1"/>
  <c r="M21" i="10" s="1"/>
  <c r="AA21" i="10" a="1"/>
  <c r="AA21" i="10" s="1"/>
  <c r="AM21" i="10" a="1"/>
  <c r="AM21" i="10" s="1"/>
  <c r="BA21" i="10" a="1"/>
  <c r="BA21" i="10" s="1"/>
  <c r="BM21" i="10" a="1"/>
  <c r="BM21" i="10" s="1"/>
  <c r="BZ21" i="10" a="1"/>
  <c r="BZ21" i="10" s="1"/>
  <c r="I26" i="10" a="1"/>
  <c r="I26" i="10" s="1"/>
  <c r="Q26" i="10" a="1"/>
  <c r="Q26" i="10" s="1"/>
  <c r="Y26" i="10" a="1"/>
  <c r="Y26" i="10" s="1"/>
  <c r="AG26" i="10" a="1"/>
  <c r="AG26" i="10" s="1"/>
  <c r="AO26" i="10" a="1"/>
  <c r="AO26" i="10" s="1"/>
  <c r="AW26" i="10" a="1"/>
  <c r="AW26" i="10" s="1"/>
  <c r="BE26" i="10" a="1"/>
  <c r="BE26" i="10" s="1"/>
  <c r="BM26" i="10" a="1"/>
  <c r="BM26" i="10" s="1"/>
  <c r="BU26" i="10" a="1"/>
  <c r="BU26" i="10" s="1"/>
  <c r="CC26" i="10" a="1"/>
  <c r="CC26" i="10" s="1"/>
  <c r="AN9" i="10" a="1"/>
  <c r="AN9" i="10" s="1"/>
  <c r="AN13" i="10" a="1"/>
  <c r="AN13" i="10" s="1"/>
  <c r="AF17" i="10" a="1"/>
  <c r="AF17" i="10" s="1"/>
  <c r="N21" i="10" a="1"/>
  <c r="N21" i="10" s="1"/>
  <c r="AC21" i="10" a="1"/>
  <c r="AC21" i="10" s="1"/>
  <c r="AO21" i="10" a="1"/>
  <c r="AO21" i="10" s="1"/>
  <c r="BB21" i="10" a="1"/>
  <c r="BB21" i="10" s="1"/>
  <c r="BO21" i="10" a="1"/>
  <c r="BO21" i="10" s="1"/>
  <c r="CA21" i="10" a="1"/>
  <c r="CA21" i="10" s="1"/>
  <c r="J26" i="10" a="1"/>
  <c r="J26" i="10" s="1"/>
  <c r="R26" i="10" a="1"/>
  <c r="R26" i="10" s="1"/>
  <c r="Z26" i="10" a="1"/>
  <c r="Z26" i="10" s="1"/>
  <c r="AH26" i="10" a="1"/>
  <c r="AH26" i="10" s="1"/>
  <c r="AP26" i="10" a="1"/>
  <c r="AP26" i="10" s="1"/>
  <c r="AX26" i="10" a="1"/>
  <c r="AX26" i="10" s="1"/>
  <c r="BF26" i="10" a="1"/>
  <c r="BF26" i="10" s="1"/>
  <c r="BN26" i="10" a="1"/>
  <c r="BN26" i="10" s="1"/>
  <c r="BV26" i="10" a="1"/>
  <c r="BV26" i="10" s="1"/>
  <c r="CD26" i="10" a="1"/>
  <c r="CD26" i="10" s="1"/>
  <c r="J30" i="10" a="1"/>
  <c r="J30" i="10" s="1"/>
  <c r="R30" i="10" a="1"/>
  <c r="R30" i="10" s="1"/>
  <c r="Z30" i="10" a="1"/>
  <c r="Z30" i="10" s="1"/>
  <c r="AH30" i="10" a="1"/>
  <c r="AH30" i="10" s="1"/>
  <c r="AP30" i="10" a="1"/>
  <c r="AP30" i="10" s="1"/>
  <c r="AX30" i="10" a="1"/>
  <c r="AX30" i="10" s="1"/>
  <c r="BF30" i="10" a="1"/>
  <c r="BF30" i="10" s="1"/>
  <c r="BN30" i="10" a="1"/>
  <c r="BN30" i="10" s="1"/>
  <c r="BV30" i="10" a="1"/>
  <c r="BV30" i="10" s="1"/>
  <c r="CD30" i="10" a="1"/>
  <c r="CD30" i="10" s="1"/>
  <c r="AV9" i="10" a="1"/>
  <c r="AV9" i="10" s="1"/>
  <c r="AV13" i="10" a="1"/>
  <c r="AV13" i="10" s="1"/>
  <c r="G17" i="10" a="1"/>
  <c r="G17" i="10" s="1"/>
  <c r="AM17" i="10" a="1"/>
  <c r="AM17" i="10" s="1"/>
  <c r="BS17" i="10" a="1"/>
  <c r="BS17" i="10" s="1"/>
  <c r="O21" i="10" a="1"/>
  <c r="O21" i="10" s="1"/>
  <c r="AD21" i="10" a="1"/>
  <c r="AD21" i="10" s="1"/>
  <c r="AQ21" i="10" a="1"/>
  <c r="AQ21" i="10" s="1"/>
  <c r="BC21" i="10" a="1"/>
  <c r="BC21" i="10" s="1"/>
  <c r="BQ21" i="10" a="1"/>
  <c r="BQ21" i="10" s="1"/>
  <c r="CC21" i="10" a="1"/>
  <c r="CC21" i="10" s="1"/>
  <c r="K26" i="10" a="1"/>
  <c r="K26" i="10" s="1"/>
  <c r="S26" i="10" a="1"/>
  <c r="S26" i="10" s="1"/>
  <c r="AA26" i="10" a="1"/>
  <c r="AA26" i="10" s="1"/>
  <c r="AI26" i="10" a="1"/>
  <c r="AI26" i="10" s="1"/>
  <c r="AQ26" i="10" a="1"/>
  <c r="AQ26" i="10" s="1"/>
  <c r="AY26" i="10" a="1"/>
  <c r="AY26" i="10" s="1"/>
  <c r="BG26" i="10" a="1"/>
  <c r="BG26" i="10" s="1"/>
  <c r="BO26" i="10" a="1"/>
  <c r="BO26" i="10" s="1"/>
  <c r="BW26" i="10" a="1"/>
  <c r="BW26" i="10" s="1"/>
  <c r="CE26" i="10" a="1"/>
  <c r="CE26" i="10" s="1"/>
  <c r="K30" i="10" a="1"/>
  <c r="K30" i="10" s="1"/>
  <c r="S30" i="10" a="1"/>
  <c r="S30" i="10" s="1"/>
  <c r="AA30" i="10" a="1"/>
  <c r="AA30" i="10" s="1"/>
  <c r="AI30" i="10" a="1"/>
  <c r="AI30" i="10" s="1"/>
  <c r="AQ30" i="10" a="1"/>
  <c r="AQ30" i="10" s="1"/>
  <c r="AY30" i="10" a="1"/>
  <c r="AY30" i="10" s="1"/>
  <c r="BG30" i="10" a="1"/>
  <c r="BG30" i="10" s="1"/>
  <c r="BO30" i="10" a="1"/>
  <c r="BO30" i="10" s="1"/>
  <c r="BW30" i="10" a="1"/>
  <c r="BW30" i="10" s="1"/>
  <c r="CE30" i="10" a="1"/>
  <c r="CE30" i="10" s="1"/>
  <c r="BD9" i="10" a="1"/>
  <c r="BD9" i="10" s="1"/>
  <c r="BD13" i="10" a="1"/>
  <c r="BD13" i="10" s="1"/>
  <c r="H17" i="10" a="1"/>
  <c r="H17" i="10" s="1"/>
  <c r="AN17" i="10" a="1"/>
  <c r="AN17" i="10" s="1"/>
  <c r="BT17" i="10" a="1"/>
  <c r="BT17" i="10" s="1"/>
  <c r="S21" i="10" a="1"/>
  <c r="S21" i="10" s="1"/>
  <c r="AE21" i="10" a="1"/>
  <c r="AE21" i="10" s="1"/>
  <c r="AS21" i="10" a="1"/>
  <c r="AS21" i="10" s="1"/>
  <c r="BE21" i="10" a="1"/>
  <c r="BE21" i="10" s="1"/>
  <c r="BR21" i="10" a="1"/>
  <c r="BR21" i="10" s="1"/>
  <c r="CE21" i="10" a="1"/>
  <c r="CE21" i="10" s="1"/>
  <c r="L26" i="10" a="1"/>
  <c r="L26" i="10" s="1"/>
  <c r="T26" i="10" a="1"/>
  <c r="T26" i="10" s="1"/>
  <c r="AB26" i="10" a="1"/>
  <c r="AB26" i="10" s="1"/>
  <c r="AJ26" i="10" a="1"/>
  <c r="AJ26" i="10" s="1"/>
  <c r="AZ26" i="10" a="1"/>
  <c r="AZ26" i="10" s="1"/>
  <c r="BH26" i="10" a="1"/>
  <c r="BH26" i="10" s="1"/>
  <c r="BP26" i="10" a="1"/>
  <c r="BP26" i="10" s="1"/>
  <c r="BX26" i="10" a="1"/>
  <c r="BX26" i="10" s="1"/>
  <c r="L30" i="10" a="1"/>
  <c r="L30" i="10" s="1"/>
  <c r="T30" i="10" a="1"/>
  <c r="T30" i="10" s="1"/>
  <c r="AB30" i="10" a="1"/>
  <c r="AB30" i="10" s="1"/>
  <c r="AJ30" i="10" a="1"/>
  <c r="AJ30" i="10" s="1"/>
  <c r="AZ30" i="10" a="1"/>
  <c r="AZ30" i="10" s="1"/>
  <c r="BH30" i="10" a="1"/>
  <c r="BH30" i="10" s="1"/>
  <c r="BP30" i="10" a="1"/>
  <c r="BP30" i="10" s="1"/>
  <c r="BX30" i="10" a="1"/>
  <c r="BX30" i="10" s="1"/>
  <c r="L34" i="10" a="1"/>
  <c r="L34" i="10" s="1"/>
  <c r="T34" i="10" a="1"/>
  <c r="T34" i="10" s="1"/>
  <c r="AB34" i="10" a="1"/>
  <c r="AB34" i="10" s="1"/>
  <c r="AJ34" i="10" a="1"/>
  <c r="AJ34" i="10" s="1"/>
  <c r="AZ34" i="10" a="1"/>
  <c r="AZ34" i="10" s="1"/>
  <c r="BH34" i="10" a="1"/>
  <c r="BH34" i="10" s="1"/>
  <c r="BP34" i="10" a="1"/>
  <c r="BP34" i="10" s="1"/>
  <c r="BX34" i="10" a="1"/>
  <c r="BX34" i="10" s="1"/>
  <c r="H9" i="10" a="1"/>
  <c r="H9" i="10" s="1"/>
  <c r="BT9" i="10" a="1"/>
  <c r="BT9" i="10" s="1"/>
  <c r="H13" i="10" a="1"/>
  <c r="H13" i="10" s="1"/>
  <c r="BT13" i="10" a="1"/>
  <c r="BT13" i="10" s="1"/>
  <c r="P17" i="10" a="1"/>
  <c r="P17" i="10" s="1"/>
  <c r="AV17" i="10" a="1"/>
  <c r="AV17" i="10" s="1"/>
  <c r="CB17" i="10" a="1"/>
  <c r="CB17" i="10" s="1"/>
  <c r="F21" i="10" a="1"/>
  <c r="F21" i="10" s="1"/>
  <c r="V21" i="10" a="1"/>
  <c r="V21" i="10" s="1"/>
  <c r="AI21" i="10" a="1"/>
  <c r="AI21" i="10" s="1"/>
  <c r="AU21" i="10" a="1"/>
  <c r="AU21" i="10" s="1"/>
  <c r="BI21" i="10" a="1"/>
  <c r="BI21" i="10" s="1"/>
  <c r="BU21" i="10" a="1"/>
  <c r="BU21" i="10" s="1"/>
  <c r="F26" i="10" a="1"/>
  <c r="F26" i="10" s="1"/>
  <c r="N26" i="10" a="1"/>
  <c r="N26" i="10" s="1"/>
  <c r="V26" i="10" a="1"/>
  <c r="V26" i="10" s="1"/>
  <c r="AD26" i="10" a="1"/>
  <c r="AD26" i="10" s="1"/>
  <c r="AL26" i="10" a="1"/>
  <c r="AL26" i="10" s="1"/>
  <c r="AT26" i="10" a="1"/>
  <c r="AT26" i="10" s="1"/>
  <c r="BB26" i="10" a="1"/>
  <c r="BB26" i="10" s="1"/>
  <c r="BJ26" i="10" a="1"/>
  <c r="BJ26" i="10" s="1"/>
  <c r="BR26" i="10" a="1"/>
  <c r="BR26" i="10" s="1"/>
  <c r="BZ26" i="10" a="1"/>
  <c r="BZ26" i="10" s="1"/>
  <c r="F30" i="10" a="1"/>
  <c r="F30" i="10" s="1"/>
  <c r="N30" i="10" a="1"/>
  <c r="N30" i="10" s="1"/>
  <c r="V30" i="10" a="1"/>
  <c r="V30" i="10" s="1"/>
  <c r="AD30" i="10" a="1"/>
  <c r="AD30" i="10" s="1"/>
  <c r="AL30" i="10" a="1"/>
  <c r="AL30" i="10" s="1"/>
  <c r="AT30" i="10" a="1"/>
  <c r="AT30" i="10" s="1"/>
  <c r="BB30" i="10" a="1"/>
  <c r="BB30" i="10" s="1"/>
  <c r="BJ30" i="10" a="1"/>
  <c r="BJ30" i="10" s="1"/>
  <c r="BR30" i="10" a="1"/>
  <c r="BR30" i="10" s="1"/>
  <c r="BZ30" i="10" a="1"/>
  <c r="BZ30" i="10" s="1"/>
  <c r="F34" i="10" a="1"/>
  <c r="F34" i="10" s="1"/>
  <c r="N34" i="10" a="1"/>
  <c r="N34" i="10" s="1"/>
  <c r="V34" i="10" a="1"/>
  <c r="V34" i="10" s="1"/>
  <c r="AD34" i="10" a="1"/>
  <c r="AD34" i="10" s="1"/>
  <c r="AL34" i="10" a="1"/>
  <c r="AL34" i="10" s="1"/>
  <c r="AT34" i="10" a="1"/>
  <c r="AT34" i="10" s="1"/>
  <c r="BB34" i="10" a="1"/>
  <c r="BB34" i="10" s="1"/>
  <c r="BJ34" i="10" a="1"/>
  <c r="BJ34" i="10" s="1"/>
  <c r="BR34" i="10" a="1"/>
  <c r="BR34" i="10" s="1"/>
  <c r="BZ34" i="10" a="1"/>
  <c r="BZ34" i="10" s="1"/>
  <c r="O17" i="10" a="1"/>
  <c r="O17" i="10" s="1"/>
  <c r="AT21" i="10" a="1"/>
  <c r="AT21" i="10" s="1"/>
  <c r="AK26" i="10" a="1"/>
  <c r="AK26" i="10" s="1"/>
  <c r="AG30" i="10" a="1"/>
  <c r="AG30" i="10" s="1"/>
  <c r="BM30" i="10" a="1"/>
  <c r="BM30" i="10" s="1"/>
  <c r="S34" i="10" a="1"/>
  <c r="S34" i="10" s="1"/>
  <c r="AI34" i="10" a="1"/>
  <c r="AI34" i="10" s="1"/>
  <c r="AY34" i="10" a="1"/>
  <c r="AY34" i="10" s="1"/>
  <c r="BN34" i="10" a="1"/>
  <c r="BN34" i="10" s="1"/>
  <c r="CA34" i="10" a="1"/>
  <c r="CA34" i="10" s="1"/>
  <c r="L38" i="10" a="1"/>
  <c r="L38" i="10" s="1"/>
  <c r="U38" i="10" a="1"/>
  <c r="U38" i="10" s="1"/>
  <c r="AD38" i="10" a="1"/>
  <c r="AD38" i="10" s="1"/>
  <c r="AM38" i="10" a="1"/>
  <c r="AM38" i="10" s="1"/>
  <c r="AV38" i="10" a="1"/>
  <c r="AV38" i="10" s="1"/>
  <c r="BD38" i="10" a="1"/>
  <c r="BD38" i="10" s="1"/>
  <c r="BT38" i="10" a="1"/>
  <c r="BT38" i="10" s="1"/>
  <c r="CB38" i="10" a="1"/>
  <c r="CB38" i="10" s="1"/>
  <c r="H43" i="10" a="1"/>
  <c r="H43" i="10" s="1"/>
  <c r="P43" i="10" a="1"/>
  <c r="P43" i="10" s="1"/>
  <c r="AF43" i="10" a="1"/>
  <c r="AF43" i="10" s="1"/>
  <c r="AN43" i="10" a="1"/>
  <c r="AN43" i="10" s="1"/>
  <c r="AV43" i="10" a="1"/>
  <c r="AV43" i="10" s="1"/>
  <c r="BD43" i="10" a="1"/>
  <c r="BD43" i="10" s="1"/>
  <c r="BT43" i="10" a="1"/>
  <c r="BT43" i="10" s="1"/>
  <c r="CB43" i="10" a="1"/>
  <c r="CB43" i="10" s="1"/>
  <c r="AU17" i="10" a="1"/>
  <c r="AU17" i="10" s="1"/>
  <c r="BG21" i="10" a="1"/>
  <c r="BG21" i="10" s="1"/>
  <c r="AS26" i="10" a="1"/>
  <c r="AS26" i="10" s="1"/>
  <c r="E30" i="10" a="1"/>
  <c r="E30" i="10" s="1"/>
  <c r="AK30" i="10" a="1"/>
  <c r="AK30" i="10" s="1"/>
  <c r="BQ30" i="10" a="1"/>
  <c r="BQ30" i="10" s="1"/>
  <c r="E34" i="10" a="1"/>
  <c r="E34" i="10" s="1"/>
  <c r="U34" i="10" a="1"/>
  <c r="U34" i="10" s="1"/>
  <c r="AK34" i="10" a="1"/>
  <c r="AK34" i="10" s="1"/>
  <c r="BA34" i="10" a="1"/>
  <c r="BA34" i="10" s="1"/>
  <c r="BO34" i="10" a="1"/>
  <c r="BO34" i="10" s="1"/>
  <c r="CC34" i="10" a="1"/>
  <c r="CC34" i="10" s="1"/>
  <c r="M38" i="10" a="1"/>
  <c r="M38" i="10" s="1"/>
  <c r="V38" i="10" a="1"/>
  <c r="V38" i="10" s="1"/>
  <c r="AE38" i="10" a="1"/>
  <c r="AE38" i="10" s="1"/>
  <c r="AO38" i="10" a="1"/>
  <c r="AO38" i="10" s="1"/>
  <c r="AW38" i="10" a="1"/>
  <c r="AW38" i="10" s="1"/>
  <c r="BE38" i="10" a="1"/>
  <c r="BE38" i="10" s="1"/>
  <c r="BM38" i="10" a="1"/>
  <c r="BM38" i="10" s="1"/>
  <c r="BU38" i="10" a="1"/>
  <c r="BU38" i="10" s="1"/>
  <c r="CC38" i="10" a="1"/>
  <c r="CC38" i="10" s="1"/>
  <c r="I43" i="10" a="1"/>
  <c r="I43" i="10" s="1"/>
  <c r="Q43" i="10" a="1"/>
  <c r="Q43" i="10" s="1"/>
  <c r="Y43" i="10" a="1"/>
  <c r="Y43" i="10" s="1"/>
  <c r="AG43" i="10" a="1"/>
  <c r="AG43" i="10" s="1"/>
  <c r="AO43" i="10" a="1"/>
  <c r="AO43" i="10" s="1"/>
  <c r="AW43" i="10" a="1"/>
  <c r="AW43" i="10" s="1"/>
  <c r="BE43" i="10" a="1"/>
  <c r="BE43" i="10" s="1"/>
  <c r="BM43" i="10" a="1"/>
  <c r="BM43" i="10" s="1"/>
  <c r="BU43" i="10" a="1"/>
  <c r="BU43" i="10" s="1"/>
  <c r="CC43" i="10" a="1"/>
  <c r="CC43" i="10" s="1"/>
  <c r="I47" i="10" a="1"/>
  <c r="I47" i="10" s="1"/>
  <c r="Q47" i="10" a="1"/>
  <c r="Q47" i="10" s="1"/>
  <c r="Y47" i="10" a="1"/>
  <c r="Y47" i="10" s="1"/>
  <c r="AG47" i="10" a="1"/>
  <c r="AG47" i="10" s="1"/>
  <c r="AO47" i="10" a="1"/>
  <c r="AO47" i="10" s="1"/>
  <c r="AW47" i="10" a="1"/>
  <c r="AW47" i="10" s="1"/>
  <c r="BE47" i="10" a="1"/>
  <c r="BE47" i="10" s="1"/>
  <c r="BM47" i="10" a="1"/>
  <c r="BM47" i="10" s="1"/>
  <c r="BU47" i="10" a="1"/>
  <c r="BU47" i="10" s="1"/>
  <c r="CC47" i="10" a="1"/>
  <c r="CC47" i="10" s="1"/>
  <c r="I51" i="10" a="1"/>
  <c r="I51" i="10" s="1"/>
  <c r="CA17" i="10" a="1"/>
  <c r="CA17" i="10" s="1"/>
  <c r="BS21" i="10" a="1"/>
  <c r="BS21" i="10" s="1"/>
  <c r="BA26" i="10" a="1"/>
  <c r="BA26" i="10" s="1"/>
  <c r="I30" i="10" a="1"/>
  <c r="I30" i="10" s="1"/>
  <c r="AO30" i="10" a="1"/>
  <c r="AO30" i="10" s="1"/>
  <c r="BU30" i="10" a="1"/>
  <c r="BU30" i="10" s="1"/>
  <c r="I34" i="10" a="1"/>
  <c r="I34" i="10" s="1"/>
  <c r="Y34" i="10" a="1"/>
  <c r="Y34" i="10" s="1"/>
  <c r="AO34" i="10" a="1"/>
  <c r="AO34" i="10" s="1"/>
  <c r="BE34" i="10" a="1"/>
  <c r="BE34" i="10" s="1"/>
  <c r="BQ34" i="10" a="1"/>
  <c r="BQ34" i="10" s="1"/>
  <c r="CD34" i="10" a="1"/>
  <c r="CD34" i="10" s="1"/>
  <c r="E38" i="10" a="1"/>
  <c r="E38" i="10" s="1"/>
  <c r="N38" i="10" a="1"/>
  <c r="N38" i="10" s="1"/>
  <c r="W38" i="10" a="1"/>
  <c r="W38" i="10" s="1"/>
  <c r="AG38" i="10" a="1"/>
  <c r="AG38" i="10" s="1"/>
  <c r="AP38" i="10" a="1"/>
  <c r="AP38" i="10" s="1"/>
  <c r="AX38" i="10" a="1"/>
  <c r="AX38" i="10" s="1"/>
  <c r="BF38" i="10" a="1"/>
  <c r="BF38" i="10" s="1"/>
  <c r="BN38" i="10" a="1"/>
  <c r="BN38" i="10" s="1"/>
  <c r="BV38" i="10" a="1"/>
  <c r="BV38" i="10" s="1"/>
  <c r="CD38" i="10" a="1"/>
  <c r="CD38" i="10" s="1"/>
  <c r="J43" i="10" a="1"/>
  <c r="J43" i="10" s="1"/>
  <c r="R43" i="10" a="1"/>
  <c r="R43" i="10" s="1"/>
  <c r="Z43" i="10" a="1"/>
  <c r="Z43" i="10" s="1"/>
  <c r="AH43" i="10" a="1"/>
  <c r="AH43" i="10" s="1"/>
  <c r="AP43" i="10" a="1"/>
  <c r="AP43" i="10" s="1"/>
  <c r="AX43" i="10" a="1"/>
  <c r="AX43" i="10" s="1"/>
  <c r="BF43" i="10" a="1"/>
  <c r="BF43" i="10" s="1"/>
  <c r="BN43" i="10" a="1"/>
  <c r="BN43" i="10" s="1"/>
  <c r="BV43" i="10" a="1"/>
  <c r="BV43" i="10" s="1"/>
  <c r="CD43" i="10" a="1"/>
  <c r="CD43" i="10" s="1"/>
  <c r="J47" i="10" a="1"/>
  <c r="J47" i="10" s="1"/>
  <c r="R47" i="10" a="1"/>
  <c r="R47" i="10" s="1"/>
  <c r="Z47" i="10" a="1"/>
  <c r="Z47" i="10" s="1"/>
  <c r="AH47" i="10" a="1"/>
  <c r="AH47" i="10" s="1"/>
  <c r="AP47" i="10" a="1"/>
  <c r="AP47" i="10" s="1"/>
  <c r="AX47" i="10" a="1"/>
  <c r="AX47" i="10" s="1"/>
  <c r="BF47" i="10" a="1"/>
  <c r="BF47" i="10" s="1"/>
  <c r="BN47" i="10" a="1"/>
  <c r="BN47" i="10" s="1"/>
  <c r="BV47" i="10" a="1"/>
  <c r="BV47" i="10" s="1"/>
  <c r="CD47" i="10" a="1"/>
  <c r="CD47" i="10" s="1"/>
  <c r="J51" i="10" a="1"/>
  <c r="J51" i="10" s="1"/>
  <c r="R51" i="10" a="1"/>
  <c r="R51" i="10" s="1"/>
  <c r="Z51" i="10" a="1"/>
  <c r="Z51" i="10" s="1"/>
  <c r="AH51" i="10" a="1"/>
  <c r="AH51" i="10" s="1"/>
  <c r="AP51" i="10" a="1"/>
  <c r="AP51" i="10" s="1"/>
  <c r="AX51" i="10" a="1"/>
  <c r="AX51" i="10" s="1"/>
  <c r="BF51" i="10" a="1"/>
  <c r="BF51" i="10" s="1"/>
  <c r="BN51" i="10" a="1"/>
  <c r="BN51" i="10" s="1"/>
  <c r="BV51" i="10" a="1"/>
  <c r="BV51" i="10" s="1"/>
  <c r="CD51" i="10" a="1"/>
  <c r="CD51" i="10" s="1"/>
  <c r="BI26" i="10" a="1"/>
  <c r="BI26" i="10" s="1"/>
  <c r="M30" i="10" a="1"/>
  <c r="M30" i="10" s="1"/>
  <c r="AS30" i="10" a="1"/>
  <c r="AS30" i="10" s="1"/>
  <c r="BY30" i="10" a="1"/>
  <c r="BY30" i="10" s="1"/>
  <c r="J34" i="10" a="1"/>
  <c r="J34" i="10" s="1"/>
  <c r="Z34" i="10" a="1"/>
  <c r="Z34" i="10" s="1"/>
  <c r="AP34" i="10" a="1"/>
  <c r="AP34" i="10" s="1"/>
  <c r="BF34" i="10" a="1"/>
  <c r="BF34" i="10" s="1"/>
  <c r="BS34" i="10" a="1"/>
  <c r="BS34" i="10" s="1"/>
  <c r="CE34" i="10" a="1"/>
  <c r="CE34" i="10" s="1"/>
  <c r="F38" i="10" a="1"/>
  <c r="F38" i="10" s="1"/>
  <c r="O38" i="10" a="1"/>
  <c r="O38" i="10" s="1"/>
  <c r="Y38" i="10" a="1"/>
  <c r="Y38" i="10" s="1"/>
  <c r="AH38" i="10" a="1"/>
  <c r="AH38" i="10" s="1"/>
  <c r="AQ38" i="10" a="1"/>
  <c r="AQ38" i="10" s="1"/>
  <c r="AY38" i="10" a="1"/>
  <c r="AY38" i="10" s="1"/>
  <c r="BG38" i="10" a="1"/>
  <c r="BG38" i="10" s="1"/>
  <c r="BO38" i="10" a="1"/>
  <c r="BO38" i="10" s="1"/>
  <c r="BW38" i="10" a="1"/>
  <c r="BW38" i="10" s="1"/>
  <c r="CE38" i="10" a="1"/>
  <c r="CE38" i="10" s="1"/>
  <c r="K43" i="10" a="1"/>
  <c r="K43" i="10" s="1"/>
  <c r="S43" i="10" a="1"/>
  <c r="S43" i="10" s="1"/>
  <c r="AA43" i="10" a="1"/>
  <c r="AA43" i="10" s="1"/>
  <c r="AI43" i="10" a="1"/>
  <c r="AI43" i="10" s="1"/>
  <c r="AQ43" i="10" a="1"/>
  <c r="AQ43" i="10" s="1"/>
  <c r="AY43" i="10" a="1"/>
  <c r="AY43" i="10" s="1"/>
  <c r="BG43" i="10" a="1"/>
  <c r="BG43" i="10" s="1"/>
  <c r="BO43" i="10" a="1"/>
  <c r="BO43" i="10" s="1"/>
  <c r="BW43" i="10" a="1"/>
  <c r="BW43" i="10" s="1"/>
  <c r="CE43" i="10" a="1"/>
  <c r="CE43" i="10" s="1"/>
  <c r="K47" i="10" a="1"/>
  <c r="K47" i="10" s="1"/>
  <c r="S47" i="10" a="1"/>
  <c r="S47" i="10" s="1"/>
  <c r="AA47" i="10" a="1"/>
  <c r="AA47" i="10" s="1"/>
  <c r="AI47" i="10" a="1"/>
  <c r="AI47" i="10" s="1"/>
  <c r="AQ47" i="10" a="1"/>
  <c r="AQ47" i="10" s="1"/>
  <c r="AY47" i="10" a="1"/>
  <c r="AY47" i="10" s="1"/>
  <c r="BG47" i="10" a="1"/>
  <c r="BG47" i="10" s="1"/>
  <c r="BO47" i="10" a="1"/>
  <c r="BO47" i="10" s="1"/>
  <c r="BW47" i="10" a="1"/>
  <c r="BW47" i="10" s="1"/>
  <c r="CE47" i="10" a="1"/>
  <c r="CE47" i="10" s="1"/>
  <c r="K51" i="10" a="1"/>
  <c r="K51" i="10" s="1"/>
  <c r="S51" i="10" a="1"/>
  <c r="S51" i="10" s="1"/>
  <c r="AA51" i="10" a="1"/>
  <c r="AA51" i="10" s="1"/>
  <c r="AI51" i="10" a="1"/>
  <c r="AI51" i="10" s="1"/>
  <c r="AQ51" i="10" a="1"/>
  <c r="AQ51" i="10" s="1"/>
  <c r="AY51" i="10" a="1"/>
  <c r="AY51" i="10" s="1"/>
  <c r="BG51" i="10" a="1"/>
  <c r="BG51" i="10" s="1"/>
  <c r="BO51" i="10" a="1"/>
  <c r="BO51" i="10" s="1"/>
  <c r="BW51" i="10" a="1"/>
  <c r="BW51" i="10" s="1"/>
  <c r="CE51" i="10" a="1"/>
  <c r="CE51" i="10" s="1"/>
  <c r="E26" i="10" a="1"/>
  <c r="E26" i="10" s="1"/>
  <c r="BQ26" i="10" a="1"/>
  <c r="BQ26" i="10" s="1"/>
  <c r="Q30" i="10" a="1"/>
  <c r="Q30" i="10" s="1"/>
  <c r="AW30" i="10" a="1"/>
  <c r="AW30" i="10" s="1"/>
  <c r="CC30" i="10" a="1"/>
  <c r="CC30" i="10" s="1"/>
  <c r="K34" i="10" a="1"/>
  <c r="K34" i="10" s="1"/>
  <c r="AA34" i="10" a="1"/>
  <c r="AA34" i="10" s="1"/>
  <c r="AQ34" i="10" a="1"/>
  <c r="AQ34" i="10" s="1"/>
  <c r="BG34" i="10" a="1"/>
  <c r="BG34" i="10" s="1"/>
  <c r="BU34" i="10" a="1"/>
  <c r="BU34" i="10" s="1"/>
  <c r="G38" i="10" a="1"/>
  <c r="G38" i="10" s="1"/>
  <c r="Q38" i="10" a="1"/>
  <c r="Q38" i="10" s="1"/>
  <c r="Z38" i="10" a="1"/>
  <c r="Z38" i="10" s="1"/>
  <c r="AI38" i="10" a="1"/>
  <c r="AI38" i="10" s="1"/>
  <c r="AZ38" i="10" a="1"/>
  <c r="AZ38" i="10" s="1"/>
  <c r="BH38" i="10" a="1"/>
  <c r="BH38" i="10" s="1"/>
  <c r="BP38" i="10" a="1"/>
  <c r="BP38" i="10" s="1"/>
  <c r="BX38" i="10" a="1"/>
  <c r="BX38" i="10" s="1"/>
  <c r="L43" i="10" a="1"/>
  <c r="L43" i="10" s="1"/>
  <c r="T43" i="10" a="1"/>
  <c r="T43" i="10" s="1"/>
  <c r="AB43" i="10" a="1"/>
  <c r="AB43" i="10" s="1"/>
  <c r="AJ43" i="10" a="1"/>
  <c r="AJ43" i="10" s="1"/>
  <c r="AZ43" i="10" a="1"/>
  <c r="AZ43" i="10" s="1"/>
  <c r="BH43" i="10" a="1"/>
  <c r="BH43" i="10" s="1"/>
  <c r="BP43" i="10" a="1"/>
  <c r="BP43" i="10" s="1"/>
  <c r="BX43" i="10" a="1"/>
  <c r="BX43" i="10" s="1"/>
  <c r="L47" i="10" a="1"/>
  <c r="L47" i="10" s="1"/>
  <c r="T47" i="10" a="1"/>
  <c r="T47" i="10" s="1"/>
  <c r="AB47" i="10" a="1"/>
  <c r="AB47" i="10" s="1"/>
  <c r="AJ47" i="10" a="1"/>
  <c r="AJ47" i="10" s="1"/>
  <c r="AZ47" i="10" a="1"/>
  <c r="AZ47" i="10" s="1"/>
  <c r="BH47" i="10" a="1"/>
  <c r="BH47" i="10" s="1"/>
  <c r="BP47" i="10" a="1"/>
  <c r="BP47" i="10" s="1"/>
  <c r="BX47" i="10" a="1"/>
  <c r="BX47" i="10" s="1"/>
  <c r="E21" i="10" a="1"/>
  <c r="E21" i="10" s="1"/>
  <c r="M26" i="10" a="1"/>
  <c r="M26" i="10" s="1"/>
  <c r="BY26" i="10" a="1"/>
  <c r="BY26" i="10" s="1"/>
  <c r="U30" i="10" a="1"/>
  <c r="U30" i="10" s="1"/>
  <c r="BA30" i="10" a="1"/>
  <c r="BA30" i="10" s="1"/>
  <c r="M34" i="10" a="1"/>
  <c r="M34" i="10" s="1"/>
  <c r="AC34" i="10" a="1"/>
  <c r="AC34" i="10" s="1"/>
  <c r="AS34" i="10" a="1"/>
  <c r="AS34" i="10" s="1"/>
  <c r="BI34" i="10" a="1"/>
  <c r="BI34" i="10" s="1"/>
  <c r="BV34" i="10" a="1"/>
  <c r="BV34" i="10" s="1"/>
  <c r="I38" i="10" a="1"/>
  <c r="I38" i="10" s="1"/>
  <c r="R38" i="10" a="1"/>
  <c r="R38" i="10" s="1"/>
  <c r="AA38" i="10" a="1"/>
  <c r="AA38" i="10" s="1"/>
  <c r="AJ38" i="10" a="1"/>
  <c r="AJ38" i="10" s="1"/>
  <c r="AS38" i="10" a="1"/>
  <c r="AS38" i="10" s="1"/>
  <c r="BA38" i="10" a="1"/>
  <c r="BA38" i="10" s="1"/>
  <c r="BI38" i="10" a="1"/>
  <c r="BI38" i="10" s="1"/>
  <c r="BQ38" i="10" a="1"/>
  <c r="BQ38" i="10" s="1"/>
  <c r="BY38" i="10" a="1"/>
  <c r="BY38" i="10" s="1"/>
  <c r="E43" i="10" a="1"/>
  <c r="E43" i="10" s="1"/>
  <c r="M43" i="10" a="1"/>
  <c r="M43" i="10" s="1"/>
  <c r="U43" i="10" a="1"/>
  <c r="U43" i="10" s="1"/>
  <c r="AC43" i="10" a="1"/>
  <c r="AC43" i="10" s="1"/>
  <c r="AK43" i="10" a="1"/>
  <c r="AK43" i="10" s="1"/>
  <c r="AS43" i="10" a="1"/>
  <c r="AS43" i="10" s="1"/>
  <c r="BA43" i="10" a="1"/>
  <c r="BA43" i="10" s="1"/>
  <c r="BI43" i="10" a="1"/>
  <c r="BI43" i="10" s="1"/>
  <c r="BQ43" i="10" a="1"/>
  <c r="BQ43" i="10" s="1"/>
  <c r="BY43" i="10" a="1"/>
  <c r="BY43" i="10" s="1"/>
  <c r="E47" i="10" a="1"/>
  <c r="E47" i="10" s="1"/>
  <c r="M47" i="10" a="1"/>
  <c r="M47" i="10" s="1"/>
  <c r="U47" i="10" a="1"/>
  <c r="U47" i="10" s="1"/>
  <c r="AC47" i="10" a="1"/>
  <c r="AC47" i="10" s="1"/>
  <c r="AK47" i="10" a="1"/>
  <c r="AK47" i="10" s="1"/>
  <c r="AS47" i="10" a="1"/>
  <c r="AS47" i="10" s="1"/>
  <c r="AG21" i="10" a="1"/>
  <c r="AG21" i="10" s="1"/>
  <c r="AC26" i="10" a="1"/>
  <c r="AC26" i="10" s="1"/>
  <c r="AC30" i="10" a="1"/>
  <c r="AC30" i="10" s="1"/>
  <c r="BI30" i="10" a="1"/>
  <c r="BI30" i="10" s="1"/>
  <c r="R34" i="10" a="1"/>
  <c r="R34" i="10" s="1"/>
  <c r="AH34" i="10" a="1"/>
  <c r="AH34" i="10" s="1"/>
  <c r="AX34" i="10" a="1"/>
  <c r="AX34" i="10" s="1"/>
  <c r="BM34" i="10" a="1"/>
  <c r="BM34" i="10" s="1"/>
  <c r="BY34" i="10" a="1"/>
  <c r="BY34" i="10" s="1"/>
  <c r="K38" i="10" a="1"/>
  <c r="K38" i="10" s="1"/>
  <c r="T38" i="10" a="1"/>
  <c r="T38" i="10" s="1"/>
  <c r="AC38" i="10" a="1"/>
  <c r="AC38" i="10" s="1"/>
  <c r="AL38" i="10" a="1"/>
  <c r="AL38" i="10" s="1"/>
  <c r="AU38" i="10" a="1"/>
  <c r="AU38" i="10" s="1"/>
  <c r="BC38" i="10" a="1"/>
  <c r="BC38" i="10" s="1"/>
  <c r="BK38" i="10" a="1"/>
  <c r="BK38" i="10" s="1"/>
  <c r="BS38" i="10" a="1"/>
  <c r="BS38" i="10" s="1"/>
  <c r="CA38" i="10" a="1"/>
  <c r="CA38" i="10" s="1"/>
  <c r="G43" i="10" a="1"/>
  <c r="G43" i="10" s="1"/>
  <c r="O43" i="10" a="1"/>
  <c r="O43" i="10" s="1"/>
  <c r="W43" i="10" a="1"/>
  <c r="W43" i="10" s="1"/>
  <c r="AE43" i="10" a="1"/>
  <c r="AE43" i="10" s="1"/>
  <c r="AM43" i="10" a="1"/>
  <c r="AM43" i="10" s="1"/>
  <c r="AU43" i="10" a="1"/>
  <c r="AU43" i="10" s="1"/>
  <c r="BC43" i="10" a="1"/>
  <c r="BC43" i="10" s="1"/>
  <c r="BK43" i="10" a="1"/>
  <c r="BK43" i="10" s="1"/>
  <c r="BS43" i="10" a="1"/>
  <c r="BS43" i="10" s="1"/>
  <c r="CA43" i="10" a="1"/>
  <c r="CA43" i="10" s="1"/>
  <c r="G47" i="10" a="1"/>
  <c r="G47" i="10" s="1"/>
  <c r="O47" i="10" a="1"/>
  <c r="O47" i="10" s="1"/>
  <c r="W47" i="10" a="1"/>
  <c r="W47" i="10" s="1"/>
  <c r="AE47" i="10" a="1"/>
  <c r="AE47" i="10" s="1"/>
  <c r="AM47" i="10" a="1"/>
  <c r="AM47" i="10" s="1"/>
  <c r="AU47" i="10" a="1"/>
  <c r="AU47" i="10" s="1"/>
  <c r="BC47" i="10" a="1"/>
  <c r="BC47" i="10" s="1"/>
  <c r="BK47" i="10" a="1"/>
  <c r="BK47" i="10" s="1"/>
  <c r="BS47" i="10" a="1"/>
  <c r="BS47" i="10" s="1"/>
  <c r="CA47" i="10" a="1"/>
  <c r="CA47" i="10" s="1"/>
  <c r="G51" i="10" a="1"/>
  <c r="G51" i="10" s="1"/>
  <c r="O51" i="10" a="1"/>
  <c r="O51" i="10" s="1"/>
  <c r="W51" i="10" a="1"/>
  <c r="W51" i="10" s="1"/>
  <c r="AE51" i="10" a="1"/>
  <c r="AE51" i="10" s="1"/>
  <c r="AM51" i="10" a="1"/>
  <c r="AM51" i="10" s="1"/>
  <c r="AU51" i="10" a="1"/>
  <c r="AU51" i="10" s="1"/>
  <c r="BC51" i="10" a="1"/>
  <c r="BC51" i="10" s="1"/>
  <c r="BK51" i="10" a="1"/>
  <c r="BK51" i="10" s="1"/>
  <c r="BS51" i="10" a="1"/>
  <c r="BS51" i="10" s="1"/>
  <c r="CA51" i="10" a="1"/>
  <c r="CA51" i="10" s="1"/>
  <c r="U26" i="10" a="1"/>
  <c r="U26" i="10" s="1"/>
  <c r="BE30" i="10" a="1"/>
  <c r="BE30" i="10" s="1"/>
  <c r="AT38" i="10" a="1"/>
  <c r="AT38" i="10" s="1"/>
  <c r="AT43" i="10" a="1"/>
  <c r="AT43" i="10" s="1"/>
  <c r="BB47" i="10" a="1"/>
  <c r="BB47" i="10" s="1"/>
  <c r="BY47" i="10" a="1"/>
  <c r="BY47" i="10" s="1"/>
  <c r="H51" i="10" a="1"/>
  <c r="H51" i="10" s="1"/>
  <c r="V51" i="10" a="1"/>
  <c r="V51" i="10" s="1"/>
  <c r="AJ51" i="10" a="1"/>
  <c r="AJ51" i="10" s="1"/>
  <c r="AV51" i="10" a="1"/>
  <c r="AV51" i="10" s="1"/>
  <c r="BI51" i="10" a="1"/>
  <c r="BI51" i="10" s="1"/>
  <c r="BU51" i="10" a="1"/>
  <c r="BU51" i="10" s="1"/>
  <c r="F58" i="10" a="1"/>
  <c r="F58" i="10" s="1"/>
  <c r="N58" i="10" a="1"/>
  <c r="N58" i="10" s="1"/>
  <c r="V58" i="10" a="1"/>
  <c r="V58" i="10" s="1"/>
  <c r="AD58" i="10" a="1"/>
  <c r="AD58" i="10" s="1"/>
  <c r="AL58" i="10" a="1"/>
  <c r="AL58" i="10" s="1"/>
  <c r="AT58" i="10" a="1"/>
  <c r="AT58" i="10" s="1"/>
  <c r="BB58" i="10" a="1"/>
  <c r="BB58" i="10" s="1"/>
  <c r="BJ58" i="10" a="1"/>
  <c r="BJ58" i="10" s="1"/>
  <c r="BR58" i="10" a="1"/>
  <c r="BR58" i="10" s="1"/>
  <c r="BZ58" i="10" a="1"/>
  <c r="BZ58" i="10" s="1"/>
  <c r="F62" i="10" a="1"/>
  <c r="F62" i="10" s="1"/>
  <c r="N62" i="10" a="1"/>
  <c r="N62" i="10" s="1"/>
  <c r="V62" i="10" a="1"/>
  <c r="V62" i="10" s="1"/>
  <c r="AD62" i="10" a="1"/>
  <c r="AD62" i="10" s="1"/>
  <c r="AL62" i="10" a="1"/>
  <c r="AL62" i="10" s="1"/>
  <c r="AT62" i="10" a="1"/>
  <c r="AT62" i="10" s="1"/>
  <c r="BB62" i="10" a="1"/>
  <c r="BB62" i="10" s="1"/>
  <c r="BJ62" i="10" a="1"/>
  <c r="BJ62" i="10" s="1"/>
  <c r="BR62" i="10" a="1"/>
  <c r="BR62" i="10" s="1"/>
  <c r="BZ62" i="10" a="1"/>
  <c r="BZ62" i="10" s="1"/>
  <c r="BB38" i="10" a="1"/>
  <c r="BB38" i="10" s="1"/>
  <c r="BB43" i="10" a="1"/>
  <c r="BB43" i="10" s="1"/>
  <c r="AD47" i="10" a="1"/>
  <c r="AD47" i="10" s="1"/>
  <c r="BD47" i="10" a="1"/>
  <c r="BD47" i="10" s="1"/>
  <c r="BZ47" i="10" a="1"/>
  <c r="BZ47" i="10" s="1"/>
  <c r="L51" i="10" a="1"/>
  <c r="L51" i="10" s="1"/>
  <c r="AK51" i="10" a="1"/>
  <c r="AK51" i="10" s="1"/>
  <c r="AW51" i="10" a="1"/>
  <c r="AW51" i="10" s="1"/>
  <c r="BJ51" i="10" a="1"/>
  <c r="BJ51" i="10" s="1"/>
  <c r="BX51" i="10" a="1"/>
  <c r="BX51" i="10" s="1"/>
  <c r="G58" i="10" a="1"/>
  <c r="G58" i="10" s="1"/>
  <c r="O58" i="10" a="1"/>
  <c r="O58" i="10" s="1"/>
  <c r="W58" i="10" a="1"/>
  <c r="W58" i="10" s="1"/>
  <c r="AE58" i="10" a="1"/>
  <c r="AE58" i="10" s="1"/>
  <c r="AM58" i="10" a="1"/>
  <c r="AM58" i="10" s="1"/>
  <c r="AU58" i="10" a="1"/>
  <c r="AU58" i="10" s="1"/>
  <c r="BC58" i="10" a="1"/>
  <c r="BC58" i="10" s="1"/>
  <c r="BK58" i="10" a="1"/>
  <c r="BK58" i="10" s="1"/>
  <c r="BS58" i="10" a="1"/>
  <c r="BS58" i="10" s="1"/>
  <c r="CA58" i="10" a="1"/>
  <c r="CA58" i="10" s="1"/>
  <c r="G62" i="10" a="1"/>
  <c r="G62" i="10" s="1"/>
  <c r="O62" i="10" a="1"/>
  <c r="O62" i="10" s="1"/>
  <c r="W62" i="10" a="1"/>
  <c r="W62" i="10" s="1"/>
  <c r="AE62" i="10" a="1"/>
  <c r="AE62" i="10" s="1"/>
  <c r="AM62" i="10" a="1"/>
  <c r="AM62" i="10" s="1"/>
  <c r="AU62" i="10" a="1"/>
  <c r="AU62" i="10" s="1"/>
  <c r="BC62" i="10" a="1"/>
  <c r="BC62" i="10" s="1"/>
  <c r="BK62" i="10" a="1"/>
  <c r="BK62" i="10" s="1"/>
  <c r="BS62" i="10" a="1"/>
  <c r="BS62" i="10" s="1"/>
  <c r="CA62" i="10" a="1"/>
  <c r="CA62" i="10" s="1"/>
  <c r="Q34" i="10" a="1"/>
  <c r="Q34" i="10" s="1"/>
  <c r="BJ38" i="10" a="1"/>
  <c r="BJ38" i="10" s="1"/>
  <c r="BJ43" i="10" a="1"/>
  <c r="BJ43" i="10" s="1"/>
  <c r="AF47" i="10" a="1"/>
  <c r="AF47" i="10" s="1"/>
  <c r="BI47" i="10" a="1"/>
  <c r="BI47" i="10" s="1"/>
  <c r="CB47" i="10" a="1"/>
  <c r="CB47" i="10" s="1"/>
  <c r="M51" i="10" a="1"/>
  <c r="M51" i="10" s="1"/>
  <c r="Y51" i="10" a="1"/>
  <c r="Y51" i="10" s="1"/>
  <c r="AL51" i="10" a="1"/>
  <c r="AL51" i="10" s="1"/>
  <c r="AZ51" i="10" a="1"/>
  <c r="AZ51" i="10" s="1"/>
  <c r="BY51" i="10" a="1"/>
  <c r="BY51" i="10" s="1"/>
  <c r="H58" i="10" a="1"/>
  <c r="H58" i="10" s="1"/>
  <c r="P58" i="10" a="1"/>
  <c r="P58" i="10" s="1"/>
  <c r="AF58" i="10" a="1"/>
  <c r="AF58" i="10" s="1"/>
  <c r="AN58" i="10" a="1"/>
  <c r="AN58" i="10" s="1"/>
  <c r="AV58" i="10" a="1"/>
  <c r="AV58" i="10" s="1"/>
  <c r="BD58" i="10" a="1"/>
  <c r="BD58" i="10" s="1"/>
  <c r="BT58" i="10" a="1"/>
  <c r="BT58" i="10" s="1"/>
  <c r="CB58" i="10" a="1"/>
  <c r="CB58" i="10" s="1"/>
  <c r="H62" i="10" a="1"/>
  <c r="H62" i="10" s="1"/>
  <c r="P62" i="10" a="1"/>
  <c r="P62" i="10" s="1"/>
  <c r="AF62" i="10" a="1"/>
  <c r="AF62" i="10" s="1"/>
  <c r="AN62" i="10" a="1"/>
  <c r="AN62" i="10" s="1"/>
  <c r="AV62" i="10" a="1"/>
  <c r="AV62" i="10" s="1"/>
  <c r="BD62" i="10" a="1"/>
  <c r="BD62" i="10" s="1"/>
  <c r="BT62" i="10" a="1"/>
  <c r="BT62" i="10" s="1"/>
  <c r="CB62" i="10" a="1"/>
  <c r="CB62" i="10" s="1"/>
  <c r="AG34" i="10" a="1"/>
  <c r="AG34" i="10" s="1"/>
  <c r="BR38" i="10" a="1"/>
  <c r="BR38" i="10" s="1"/>
  <c r="F43" i="10" a="1"/>
  <c r="F43" i="10" s="1"/>
  <c r="BR43" i="10" a="1"/>
  <c r="BR43" i="10" s="1"/>
  <c r="F47" i="10" a="1"/>
  <c r="F47" i="10" s="1"/>
  <c r="AL47" i="10" a="1"/>
  <c r="AL47" i="10" s="1"/>
  <c r="BJ47" i="10" a="1"/>
  <c r="BJ47" i="10" s="1"/>
  <c r="N51" i="10" a="1"/>
  <c r="N51" i="10" s="1"/>
  <c r="AB51" i="10" a="1"/>
  <c r="AB51" i="10" s="1"/>
  <c r="AN51" i="10" a="1"/>
  <c r="AN51" i="10" s="1"/>
  <c r="BA51" i="10" a="1"/>
  <c r="BA51" i="10" s="1"/>
  <c r="BM51" i="10" a="1"/>
  <c r="BM51" i="10" s="1"/>
  <c r="BZ51" i="10" a="1"/>
  <c r="BZ51" i="10" s="1"/>
  <c r="I58" i="10" a="1"/>
  <c r="I58" i="10" s="1"/>
  <c r="Q58" i="10" a="1"/>
  <c r="Q58" i="10" s="1"/>
  <c r="Y58" i="10" a="1"/>
  <c r="Y58" i="10" s="1"/>
  <c r="AG58" i="10" a="1"/>
  <c r="AG58" i="10" s="1"/>
  <c r="AO58" i="10" a="1"/>
  <c r="AO58" i="10" s="1"/>
  <c r="AW58" i="10" a="1"/>
  <c r="AW58" i="10" s="1"/>
  <c r="BE58" i="10" a="1"/>
  <c r="BE58" i="10" s="1"/>
  <c r="BM58" i="10" a="1"/>
  <c r="BM58" i="10" s="1"/>
  <c r="BU58" i="10" a="1"/>
  <c r="BU58" i="10" s="1"/>
  <c r="CC58" i="10" a="1"/>
  <c r="CC58" i="10" s="1"/>
  <c r="I62" i="10" a="1"/>
  <c r="I62" i="10" s="1"/>
  <c r="Q62" i="10" a="1"/>
  <c r="Q62" i="10" s="1"/>
  <c r="Y62" i="10" a="1"/>
  <c r="Y62" i="10" s="1"/>
  <c r="AG62" i="10" a="1"/>
  <c r="AG62" i="10" s="1"/>
  <c r="AO62" i="10" a="1"/>
  <c r="AO62" i="10" s="1"/>
  <c r="AW62" i="10" a="1"/>
  <c r="AW62" i="10" s="1"/>
  <c r="BE62" i="10" a="1"/>
  <c r="BE62" i="10" s="1"/>
  <c r="BM62" i="10" a="1"/>
  <c r="BM62" i="10" s="1"/>
  <c r="BU62" i="10" a="1"/>
  <c r="BU62" i="10" s="1"/>
  <c r="U21" i="10" a="1"/>
  <c r="U21" i="10" s="1"/>
  <c r="AW34" i="10" a="1"/>
  <c r="AW34" i="10" s="1"/>
  <c r="J38" i="10" a="1"/>
  <c r="J38" i="10" s="1"/>
  <c r="BZ38" i="10" a="1"/>
  <c r="BZ38" i="10" s="1"/>
  <c r="N43" i="10" a="1"/>
  <c r="N43" i="10" s="1"/>
  <c r="BZ43" i="10" a="1"/>
  <c r="BZ43" i="10" s="1"/>
  <c r="H47" i="10" a="1"/>
  <c r="H47" i="10" s="1"/>
  <c r="AN47" i="10" a="1"/>
  <c r="AN47" i="10" s="1"/>
  <c r="P51" i="10" a="1"/>
  <c r="P51" i="10" s="1"/>
  <c r="AC51" i="10" a="1"/>
  <c r="AC51" i="10" s="1"/>
  <c r="AO51" i="10" a="1"/>
  <c r="AO51" i="10" s="1"/>
  <c r="BB51" i="10" a="1"/>
  <c r="BB51" i="10" s="1"/>
  <c r="BP51" i="10" a="1"/>
  <c r="BP51" i="10" s="1"/>
  <c r="CB51" i="10" a="1"/>
  <c r="CB51" i="10" s="1"/>
  <c r="J58" i="10" a="1"/>
  <c r="J58" i="10" s="1"/>
  <c r="R58" i="10" a="1"/>
  <c r="R58" i="10" s="1"/>
  <c r="Z58" i="10" a="1"/>
  <c r="Z58" i="10" s="1"/>
  <c r="AH58" i="10" a="1"/>
  <c r="AH58" i="10" s="1"/>
  <c r="AP58" i="10" a="1"/>
  <c r="AP58" i="10" s="1"/>
  <c r="AX58" i="10" a="1"/>
  <c r="AX58" i="10" s="1"/>
  <c r="BF58" i="10" a="1"/>
  <c r="BF58" i="10" s="1"/>
  <c r="BN58" i="10" a="1"/>
  <c r="BN58" i="10" s="1"/>
  <c r="BV58" i="10" a="1"/>
  <c r="BV58" i="10" s="1"/>
  <c r="CD58" i="10" a="1"/>
  <c r="CD58" i="10" s="1"/>
  <c r="J62" i="10" a="1"/>
  <c r="J62" i="10" s="1"/>
  <c r="R62" i="10" a="1"/>
  <c r="R62" i="10" s="1"/>
  <c r="Z62" i="10" a="1"/>
  <c r="Z62" i="10" s="1"/>
  <c r="AH62" i="10" a="1"/>
  <c r="AH62" i="10" s="1"/>
  <c r="AP62" i="10" a="1"/>
  <c r="AP62" i="10" s="1"/>
  <c r="AX62" i="10" a="1"/>
  <c r="AX62" i="10" s="1"/>
  <c r="BF62" i="10" a="1"/>
  <c r="BF62" i="10" s="1"/>
  <c r="BN62" i="10" a="1"/>
  <c r="BN62" i="10" s="1"/>
  <c r="BV62" i="10" a="1"/>
  <c r="BV62" i="10" s="1"/>
  <c r="CC62" i="10" a="1"/>
  <c r="CC62" i="10" s="1"/>
  <c r="BK34" i="10" a="1"/>
  <c r="BK34" i="10" s="1"/>
  <c r="S38" i="10" a="1"/>
  <c r="S38" i="10" s="1"/>
  <c r="V43" i="10" a="1"/>
  <c r="V43" i="10" s="1"/>
  <c r="N47" i="10" a="1"/>
  <c r="N47" i="10" s="1"/>
  <c r="AT47" i="10" a="1"/>
  <c r="AT47" i="10" s="1"/>
  <c r="BQ47" i="10" a="1"/>
  <c r="BQ47" i="10" s="1"/>
  <c r="Q51" i="10" a="1"/>
  <c r="Q51" i="10" s="1"/>
  <c r="AD51" i="10" a="1"/>
  <c r="AD51" i="10" s="1"/>
  <c r="BD51" i="10" a="1"/>
  <c r="BD51" i="10" s="1"/>
  <c r="BQ51" i="10" a="1"/>
  <c r="BQ51" i="10" s="1"/>
  <c r="CC51" i="10" a="1"/>
  <c r="CC51" i="10" s="1"/>
  <c r="K58" i="10" a="1"/>
  <c r="K58" i="10" s="1"/>
  <c r="S58" i="10" a="1"/>
  <c r="S58" i="10" s="1"/>
  <c r="AA58" i="10" a="1"/>
  <c r="AA58" i="10" s="1"/>
  <c r="AI58" i="10" a="1"/>
  <c r="AI58" i="10" s="1"/>
  <c r="AQ58" i="10" a="1"/>
  <c r="AQ58" i="10" s="1"/>
  <c r="AY58" i="10" a="1"/>
  <c r="AY58" i="10" s="1"/>
  <c r="BG58" i="10" a="1"/>
  <c r="BG58" i="10" s="1"/>
  <c r="BO58" i="10" a="1"/>
  <c r="BO58" i="10" s="1"/>
  <c r="BW58" i="10" a="1"/>
  <c r="BW58" i="10" s="1"/>
  <c r="CE58" i="10" a="1"/>
  <c r="CE58" i="10" s="1"/>
  <c r="K62" i="10" a="1"/>
  <c r="K62" i="10" s="1"/>
  <c r="S62" i="10" a="1"/>
  <c r="S62" i="10" s="1"/>
  <c r="AA62" i="10" a="1"/>
  <c r="AA62" i="10" s="1"/>
  <c r="AI62" i="10" a="1"/>
  <c r="AI62" i="10" s="1"/>
  <c r="AQ62" i="10" a="1"/>
  <c r="AQ62" i="10" s="1"/>
  <c r="AY62" i="10" a="1"/>
  <c r="AY62" i="10" s="1"/>
  <c r="BG62" i="10" a="1"/>
  <c r="BG62" i="10" s="1"/>
  <c r="BO62" i="10" a="1"/>
  <c r="BO62" i="10" s="1"/>
  <c r="BW62" i="10" a="1"/>
  <c r="BW62" i="10" s="1"/>
  <c r="CD62" i="10" a="1"/>
  <c r="CD62" i="10" s="1"/>
  <c r="Y30" i="10" a="1"/>
  <c r="Y30" i="10" s="1"/>
  <c r="AK38" i="10" a="1"/>
  <c r="AK38" i="10" s="1"/>
  <c r="AL43" i="10" a="1"/>
  <c r="AL43" i="10" s="1"/>
  <c r="V47" i="10" a="1"/>
  <c r="V47" i="10" s="1"/>
  <c r="BA47" i="10" a="1"/>
  <c r="BA47" i="10" s="1"/>
  <c r="BT47" i="10" a="1"/>
  <c r="BT47" i="10" s="1"/>
  <c r="F51" i="10" a="1"/>
  <c r="F51" i="10" s="1"/>
  <c r="U51" i="10" a="1"/>
  <c r="U51" i="10" s="1"/>
  <c r="AG51" i="10" a="1"/>
  <c r="AG51" i="10" s="1"/>
  <c r="AT51" i="10" a="1"/>
  <c r="AT51" i="10" s="1"/>
  <c r="BH51" i="10" a="1"/>
  <c r="BH51" i="10" s="1"/>
  <c r="BT51" i="10" a="1"/>
  <c r="BT51" i="10" s="1"/>
  <c r="E58" i="10" a="1"/>
  <c r="E58" i="10" s="1"/>
  <c r="M58" i="10" a="1"/>
  <c r="M58" i="10" s="1"/>
  <c r="U58" i="10" a="1"/>
  <c r="U58" i="10" s="1"/>
  <c r="AC58" i="10" a="1"/>
  <c r="AC58" i="10" s="1"/>
  <c r="AK58" i="10" a="1"/>
  <c r="AK58" i="10" s="1"/>
  <c r="AS58" i="10" a="1"/>
  <c r="AS58" i="10" s="1"/>
  <c r="BA58" i="10" a="1"/>
  <c r="BA58" i="10" s="1"/>
  <c r="BI58" i="10" a="1"/>
  <c r="BI58" i="10" s="1"/>
  <c r="BQ58" i="10" a="1"/>
  <c r="BQ58" i="10" s="1"/>
  <c r="BY58" i="10" a="1"/>
  <c r="BY58" i="10" s="1"/>
  <c r="E62" i="10" a="1"/>
  <c r="E62" i="10" s="1"/>
  <c r="M62" i="10" a="1"/>
  <c r="M62" i="10" s="1"/>
  <c r="U62" i="10" a="1"/>
  <c r="U62" i="10" s="1"/>
  <c r="AC62" i="10" a="1"/>
  <c r="AC62" i="10" s="1"/>
  <c r="AK62" i="10" a="1"/>
  <c r="AK62" i="10" s="1"/>
  <c r="AS62" i="10" a="1"/>
  <c r="AS62" i="10" s="1"/>
  <c r="BA62" i="10" a="1"/>
  <c r="BA62" i="10" s="1"/>
  <c r="BI62" i="10" a="1"/>
  <c r="BI62" i="10" s="1"/>
  <c r="BQ62" i="10" a="1"/>
  <c r="BQ62" i="10" s="1"/>
  <c r="BY62" i="10" a="1"/>
  <c r="BY62" i="10" s="1"/>
  <c r="T51" i="10" a="1"/>
  <c r="T51" i="10" s="1"/>
  <c r="AB58" i="10" a="1"/>
  <c r="AB58" i="10" s="1"/>
  <c r="K2" i="10" a="1"/>
  <c r="K2" i="10" s="1"/>
  <c r="R2" i="10" a="1"/>
  <c r="R2" i="10" s="1"/>
  <c r="Z2" i="10" a="1"/>
  <c r="Z2" i="10" s="1"/>
  <c r="AH2" i="10" a="1"/>
  <c r="AH2" i="10" s="1"/>
  <c r="AP2" i="10" a="1"/>
  <c r="AP2" i="10" s="1"/>
  <c r="AX2" i="10" a="1"/>
  <c r="AX2" i="10" s="1"/>
  <c r="BF2" i="10" a="1"/>
  <c r="BF2" i="10" s="1"/>
  <c r="BN2" i="10" a="1"/>
  <c r="BN2" i="10" s="1"/>
  <c r="BV2" i="10" a="1"/>
  <c r="BV2" i="10" s="1"/>
  <c r="CD2" i="10" a="1"/>
  <c r="CD2" i="10" s="1"/>
  <c r="BZ62" i="12" a="1"/>
  <c r="BZ62" i="12" s="1"/>
  <c r="BR62" i="12" a="1"/>
  <c r="BR62" i="12" s="1"/>
  <c r="CD58" i="12" a="1"/>
  <c r="CD58" i="12" s="1"/>
  <c r="BV58" i="12" a="1"/>
  <c r="BV58" i="12" s="1"/>
  <c r="BN58" i="12" a="1"/>
  <c r="BN58" i="12" s="1"/>
  <c r="CA51" i="12" a="1"/>
  <c r="CA51" i="12" s="1"/>
  <c r="BS51" i="12" a="1"/>
  <c r="BS51" i="12" s="1"/>
  <c r="CA47" i="12" a="1"/>
  <c r="CA47" i="12" s="1"/>
  <c r="BS47" i="12" a="1"/>
  <c r="BS47" i="12" s="1"/>
  <c r="CA43" i="12" a="1"/>
  <c r="CA43" i="12" s="1"/>
  <c r="BS43" i="12" a="1"/>
  <c r="BS43" i="12" s="1"/>
  <c r="P47" i="10" a="1"/>
  <c r="P47" i="10" s="1"/>
  <c r="AF51" i="10" a="1"/>
  <c r="AF51" i="10" s="1"/>
  <c r="AJ58" i="10" a="1"/>
  <c r="AJ58" i="10" s="1"/>
  <c r="AZ62" i="10" a="1"/>
  <c r="AZ62" i="10" s="1"/>
  <c r="L2" i="10" a="1"/>
  <c r="L2" i="10" s="1"/>
  <c r="S2" i="10" a="1"/>
  <c r="S2" i="10" s="1"/>
  <c r="AA2" i="10" a="1"/>
  <c r="AA2" i="10" s="1"/>
  <c r="AI2" i="10" a="1"/>
  <c r="AI2" i="10" s="1"/>
  <c r="AQ2" i="10" a="1"/>
  <c r="AQ2" i="10" s="1"/>
  <c r="AY2" i="10" a="1"/>
  <c r="AY2" i="10" s="1"/>
  <c r="BG2" i="10" a="1"/>
  <c r="BG2" i="10" s="1"/>
  <c r="BO2" i="10" a="1"/>
  <c r="BO2" i="10" s="1"/>
  <c r="BW2" i="10" a="1"/>
  <c r="BW2" i="10" s="1"/>
  <c r="CE2" i="10" a="1"/>
  <c r="CE2" i="10" s="1"/>
  <c r="BY62" i="12" a="1"/>
  <c r="BY62" i="12" s="1"/>
  <c r="BQ62" i="12" a="1"/>
  <c r="BQ62" i="12" s="1"/>
  <c r="CC58" i="12" a="1"/>
  <c r="CC58" i="12" s="1"/>
  <c r="BU58" i="12" a="1"/>
  <c r="BU58" i="12" s="1"/>
  <c r="BM58" i="12" a="1"/>
  <c r="BM58" i="12" s="1"/>
  <c r="BZ51" i="12" a="1"/>
  <c r="BZ51" i="12" s="1"/>
  <c r="BR51" i="12" a="1"/>
  <c r="BR51" i="12" s="1"/>
  <c r="BZ47" i="12" a="1"/>
  <c r="BZ47" i="12" s="1"/>
  <c r="BR47" i="12" a="1"/>
  <c r="BR47" i="12" s="1"/>
  <c r="BZ43" i="12" a="1"/>
  <c r="BZ43" i="12" s="1"/>
  <c r="BR43" i="12" a="1"/>
  <c r="BR43" i="12" s="1"/>
  <c r="AV47" i="10" a="1"/>
  <c r="AV47" i="10" s="1"/>
  <c r="AS51" i="10" a="1"/>
  <c r="AS51" i="10" s="1"/>
  <c r="BH62" i="10" a="1"/>
  <c r="BH62" i="10" s="1"/>
  <c r="E2" i="10" a="1"/>
  <c r="E2" i="10" s="1"/>
  <c r="M2" i="10" a="1"/>
  <c r="M2" i="10" s="1"/>
  <c r="T2" i="10" a="1"/>
  <c r="T2" i="10" s="1"/>
  <c r="AB2" i="10" a="1"/>
  <c r="AB2" i="10" s="1"/>
  <c r="AJ2" i="10" a="1"/>
  <c r="AJ2" i="10" s="1"/>
  <c r="AZ2" i="10" a="1"/>
  <c r="AZ2" i="10" s="1"/>
  <c r="BH2" i="10" a="1"/>
  <c r="BH2" i="10" s="1"/>
  <c r="BP2" i="10" a="1"/>
  <c r="BP2" i="10" s="1"/>
  <c r="BX2" i="10" a="1"/>
  <c r="BX2" i="10" s="1"/>
  <c r="BX62" i="12" a="1"/>
  <c r="BX62" i="12" s="1"/>
  <c r="BP62" i="12" a="1"/>
  <c r="BP62" i="12" s="1"/>
  <c r="CB58" i="12" a="1"/>
  <c r="CB58" i="12" s="1"/>
  <c r="BT58" i="12" a="1"/>
  <c r="BT58" i="12" s="1"/>
  <c r="BY51" i="12" a="1"/>
  <c r="BY51" i="12" s="1"/>
  <c r="BQ51" i="12" a="1"/>
  <c r="BQ51" i="12" s="1"/>
  <c r="BY47" i="12" a="1"/>
  <c r="BY47" i="12" s="1"/>
  <c r="BQ47" i="12" a="1"/>
  <c r="BQ47" i="12" s="1"/>
  <c r="BY43" i="12" a="1"/>
  <c r="BY43" i="12" s="1"/>
  <c r="BQ43" i="12" a="1"/>
  <c r="BQ43" i="12" s="1"/>
  <c r="BQ30" i="12" a="1"/>
  <c r="BQ30" i="12" s="1"/>
  <c r="BY30" i="12" a="1"/>
  <c r="BY30" i="12" s="1"/>
  <c r="BQ34" i="12" a="1"/>
  <c r="BQ34" i="12" s="1"/>
  <c r="BY34" i="12" a="1"/>
  <c r="BY34" i="12" s="1"/>
  <c r="BQ38" i="12" a="1"/>
  <c r="BQ38" i="12" s="1"/>
  <c r="BY38" i="12" a="1"/>
  <c r="BY38" i="12" s="1"/>
  <c r="BZ26" i="12" a="1"/>
  <c r="BZ26" i="12" s="1"/>
  <c r="BR26" i="12" a="1"/>
  <c r="BR26" i="12" s="1"/>
  <c r="BN9" i="12" a="1"/>
  <c r="BN9" i="12" s="1"/>
  <c r="BV9" i="12" a="1"/>
  <c r="BV9" i="12" s="1"/>
  <c r="CC9" i="12" a="1"/>
  <c r="CC9" i="12" s="1"/>
  <c r="BS13" i="12" a="1"/>
  <c r="BS13" i="12" s="1"/>
  <c r="CA13" i="12" a="1"/>
  <c r="CA13" i="12" s="1"/>
  <c r="BO17" i="12" a="1"/>
  <c r="BO17" i="12" s="1"/>
  <c r="BW17" i="12" a="1"/>
  <c r="BW17" i="12" s="1"/>
  <c r="CE17" i="12" a="1"/>
  <c r="CE17" i="12" s="1"/>
  <c r="BN21" i="12" a="1"/>
  <c r="BN21" i="12" s="1"/>
  <c r="BV21" i="12" a="1"/>
  <c r="BV21" i="12" s="1"/>
  <c r="CC21" i="12" a="1"/>
  <c r="CC21" i="12" s="1"/>
  <c r="BR47" i="10" a="1"/>
  <c r="BR47" i="10" s="1"/>
  <c r="BE51" i="10" a="1"/>
  <c r="BE51" i="10" s="1"/>
  <c r="AZ58" i="10" a="1"/>
  <c r="AZ58" i="10" s="1"/>
  <c r="BP62" i="10" a="1"/>
  <c r="BP62" i="10" s="1"/>
  <c r="F2" i="10" a="1"/>
  <c r="F2" i="10" s="1"/>
  <c r="N2" i="10" a="1"/>
  <c r="N2" i="10" s="1"/>
  <c r="U2" i="10" a="1"/>
  <c r="U2" i="10" s="1"/>
  <c r="AC2" i="10" a="1"/>
  <c r="AC2" i="10" s="1"/>
  <c r="AK2" i="10" a="1"/>
  <c r="AK2" i="10" s="1"/>
  <c r="AS2" i="10" a="1"/>
  <c r="AS2" i="10" s="1"/>
  <c r="BA2" i="10" a="1"/>
  <c r="BA2" i="10" s="1"/>
  <c r="BI2" i="10" a="1"/>
  <c r="BI2" i="10" s="1"/>
  <c r="BQ2" i="10" a="1"/>
  <c r="BQ2" i="10" s="1"/>
  <c r="BY2" i="10" a="1"/>
  <c r="BY2" i="10" s="1"/>
  <c r="CE62" i="12" a="1"/>
  <c r="CE62" i="12" s="1"/>
  <c r="BW62" i="12" a="1"/>
  <c r="BW62" i="12" s="1"/>
  <c r="BO62" i="12" a="1"/>
  <c r="BO62" i="12" s="1"/>
  <c r="CA58" i="12" a="1"/>
  <c r="CA58" i="12" s="1"/>
  <c r="BS58" i="12" a="1"/>
  <c r="BS58" i="12" s="1"/>
  <c r="BX51" i="12" a="1"/>
  <c r="BX51" i="12" s="1"/>
  <c r="BP51" i="12" a="1"/>
  <c r="BP51" i="12" s="1"/>
  <c r="BX47" i="12" a="1"/>
  <c r="BX47" i="12" s="1"/>
  <c r="BP47" i="12" a="1"/>
  <c r="BP47" i="12" s="1"/>
  <c r="BX43" i="12" a="1"/>
  <c r="BX43" i="12" s="1"/>
  <c r="BP43" i="12" a="1"/>
  <c r="BP43" i="12" s="1"/>
  <c r="BW34" i="10" a="1"/>
  <c r="BW34" i="10" s="1"/>
  <c r="AD43" i="10" a="1"/>
  <c r="AD43" i="10" s="1"/>
  <c r="BR51" i="10" a="1"/>
  <c r="BR51" i="10" s="1"/>
  <c r="BH58" i="10" a="1"/>
  <c r="BH58" i="10" s="1"/>
  <c r="L62" i="10" a="1"/>
  <c r="L62" i="10" s="1"/>
  <c r="BX62" i="10" a="1"/>
  <c r="BX62" i="10" s="1"/>
  <c r="G2" i="10" a="1"/>
  <c r="G2" i="10" s="1"/>
  <c r="O2" i="10" a="1"/>
  <c r="O2" i="10" s="1"/>
  <c r="V2" i="10" a="1"/>
  <c r="V2" i="10" s="1"/>
  <c r="AD2" i="10" a="1"/>
  <c r="AD2" i="10" s="1"/>
  <c r="AL2" i="10" a="1"/>
  <c r="AL2" i="10" s="1"/>
  <c r="AT2" i="10" a="1"/>
  <c r="AT2" i="10" s="1"/>
  <c r="BB2" i="10" a="1"/>
  <c r="BB2" i="10" s="1"/>
  <c r="BJ2" i="10" a="1"/>
  <c r="BJ2" i="10" s="1"/>
  <c r="BR2" i="10" a="1"/>
  <c r="BR2" i="10" s="1"/>
  <c r="BZ2" i="10" a="1"/>
  <c r="BZ2" i="10" s="1"/>
  <c r="BP58" i="10" a="1"/>
  <c r="BP58" i="10" s="1"/>
  <c r="T62" i="10" a="1"/>
  <c r="T62" i="10" s="1"/>
  <c r="CE62" i="10" a="1"/>
  <c r="CE62" i="10" s="1"/>
  <c r="H2" i="10" a="1"/>
  <c r="H2" i="10" s="1"/>
  <c r="W2" i="10" a="1"/>
  <c r="W2" i="10" s="1"/>
  <c r="AE2" i="10" a="1"/>
  <c r="AE2" i="10" s="1"/>
  <c r="AM2" i="10" a="1"/>
  <c r="AM2" i="10" s="1"/>
  <c r="AU2" i="10" a="1"/>
  <c r="AU2" i="10" s="1"/>
  <c r="BC2" i="10" a="1"/>
  <c r="BC2" i="10" s="1"/>
  <c r="BK2" i="10" a="1"/>
  <c r="BK2" i="10" s="1"/>
  <c r="BS2" i="10" a="1"/>
  <c r="BS2" i="10" s="1"/>
  <c r="CA2" i="10" a="1"/>
  <c r="CA2" i="10" s="1"/>
  <c r="CC62" i="12" a="1"/>
  <c r="CC62" i="12" s="1"/>
  <c r="BU62" i="12" a="1"/>
  <c r="BU62" i="12" s="1"/>
  <c r="BM62" i="12" a="1"/>
  <c r="BM62" i="12" s="1"/>
  <c r="BY58" i="12" a="1"/>
  <c r="BY58" i="12" s="1"/>
  <c r="BQ58" i="12" a="1"/>
  <c r="BQ58" i="12" s="1"/>
  <c r="CD51" i="12" a="1"/>
  <c r="CD51" i="12" s="1"/>
  <c r="BV51" i="12" a="1"/>
  <c r="BV51" i="12" s="1"/>
  <c r="BN51" i="12" a="1"/>
  <c r="BN51" i="12" s="1"/>
  <c r="CD47" i="12" a="1"/>
  <c r="CD47" i="12" s="1"/>
  <c r="BV47" i="12" a="1"/>
  <c r="BV47" i="12" s="1"/>
  <c r="BN47" i="12" a="1"/>
  <c r="BN47" i="12" s="1"/>
  <c r="CD43" i="12" a="1"/>
  <c r="CD43" i="12" s="1"/>
  <c r="BV43" i="12" a="1"/>
  <c r="BV43" i="12" s="1"/>
  <c r="BN43" i="12" a="1"/>
  <c r="BN43" i="12" s="1"/>
  <c r="BT30" i="12" a="1"/>
  <c r="BT30" i="12" s="1"/>
  <c r="CB30" i="12" a="1"/>
  <c r="CB30" i="12" s="1"/>
  <c r="BT34" i="12" a="1"/>
  <c r="BT34" i="12" s="1"/>
  <c r="CB34" i="12" a="1"/>
  <c r="CB34" i="12" s="1"/>
  <c r="BT38" i="12" a="1"/>
  <c r="BT38" i="12" s="1"/>
  <c r="CB38" i="12" a="1"/>
  <c r="CB38" i="12" s="1"/>
  <c r="CE26" i="12" a="1"/>
  <c r="CE26" i="12" s="1"/>
  <c r="BW26" i="12" a="1"/>
  <c r="BW26" i="12" s="1"/>
  <c r="BP26" i="12" a="1"/>
  <c r="BP26" i="12" s="1"/>
  <c r="AB38" i="10" a="1"/>
  <c r="AB38" i="10" s="1"/>
  <c r="E51" i="10" a="1"/>
  <c r="E51" i="10" s="1"/>
  <c r="T58" i="10" a="1"/>
  <c r="T58" i="10" s="1"/>
  <c r="AJ62" i="10" a="1"/>
  <c r="AJ62" i="10" s="1"/>
  <c r="J2" i="10" a="1"/>
  <c r="J2" i="10" s="1"/>
  <c r="Q2" i="10" a="1"/>
  <c r="Q2" i="10" s="1"/>
  <c r="Y2" i="10" a="1"/>
  <c r="Y2" i="10" s="1"/>
  <c r="AG2" i="10" a="1"/>
  <c r="AG2" i="10" s="1"/>
  <c r="AO2" i="10" a="1"/>
  <c r="AO2" i="10" s="1"/>
  <c r="AW2" i="10" a="1"/>
  <c r="AW2" i="10" s="1"/>
  <c r="BE2" i="10" a="1"/>
  <c r="BE2" i="10" s="1"/>
  <c r="BM2" i="10" a="1"/>
  <c r="BM2" i="10" s="1"/>
  <c r="BU2" i="10" a="1"/>
  <c r="BU2" i="10" s="1"/>
  <c r="CC2" i="10" a="1"/>
  <c r="CC2" i="10" s="1"/>
  <c r="CA62" i="12" a="1"/>
  <c r="CA62" i="12" s="1"/>
  <c r="BS62" i="12" a="1"/>
  <c r="BS62" i="12" s="1"/>
  <c r="CE58" i="12" a="1"/>
  <c r="CE58" i="12" s="1"/>
  <c r="BW58" i="12" a="1"/>
  <c r="BW58" i="12" s="1"/>
  <c r="BO58" i="12" a="1"/>
  <c r="BO58" i="12" s="1"/>
  <c r="CB51" i="12" a="1"/>
  <c r="CB51" i="12" s="1"/>
  <c r="BT51" i="12" a="1"/>
  <c r="BT51" i="12" s="1"/>
  <c r="CB47" i="12" a="1"/>
  <c r="CB47" i="12" s="1"/>
  <c r="BT47" i="12" a="1"/>
  <c r="BT47" i="12" s="1"/>
  <c r="CB43" i="12" a="1"/>
  <c r="CB43" i="12" s="1"/>
  <c r="BT43" i="12" a="1"/>
  <c r="BT43" i="12" s="1"/>
  <c r="BN30" i="12" a="1"/>
  <c r="BN30" i="12" s="1"/>
  <c r="BV30" i="12" a="1"/>
  <c r="BV30" i="12" s="1"/>
  <c r="CD30" i="12" a="1"/>
  <c r="CD30" i="12" s="1"/>
  <c r="BN34" i="12" a="1"/>
  <c r="BN34" i="12" s="1"/>
  <c r="BV34" i="12" a="1"/>
  <c r="BV34" i="12" s="1"/>
  <c r="CD34" i="12" a="1"/>
  <c r="CD34" i="12" s="1"/>
  <c r="BN38" i="12" a="1"/>
  <c r="BN38" i="12" s="1"/>
  <c r="BV38" i="12" a="1"/>
  <c r="BV38" i="12" s="1"/>
  <c r="CD38" i="12" a="1"/>
  <c r="CD38" i="12" s="1"/>
  <c r="CC26" i="12" a="1"/>
  <c r="CC26" i="12" s="1"/>
  <c r="BU26" i="12" a="1"/>
  <c r="BU26" i="12" s="1"/>
  <c r="BN26" i="12" a="1"/>
  <c r="BN26" i="12" s="1"/>
  <c r="BS9" i="12" a="1"/>
  <c r="BS9" i="12" s="1"/>
  <c r="BP13" i="12" a="1"/>
  <c r="BP13" i="12" s="1"/>
  <c r="BX13" i="12" a="1"/>
  <c r="BX13" i="12" s="1"/>
  <c r="CE13" i="12" a="1"/>
  <c r="CE13" i="12" s="1"/>
  <c r="BT17" i="12" a="1"/>
  <c r="BT17" i="12" s="1"/>
  <c r="CB17" i="12" a="1"/>
  <c r="CB17" i="12" s="1"/>
  <c r="BY2" i="12" a="1"/>
  <c r="BY2" i="12" s="1"/>
  <c r="BQ2" i="12" a="1"/>
  <c r="BQ2" i="12" s="1"/>
  <c r="CB24" i="12" a="1"/>
  <c r="CB24" i="12" s="1"/>
  <c r="BT24" i="12" a="1"/>
  <c r="BT24" i="12" s="1"/>
  <c r="BL24" i="12" a="1"/>
  <c r="BL24" i="12" s="1"/>
  <c r="BZ23" i="12" a="1"/>
  <c r="BZ23" i="12" s="1"/>
  <c r="BS23" i="12" a="1"/>
  <c r="BS23" i="12" s="1"/>
  <c r="BX22" i="12" a="1"/>
  <c r="BX22" i="12" s="1"/>
  <c r="BQ22" i="12" a="1"/>
  <c r="BQ22" i="12" s="1"/>
  <c r="CB21" i="12" a="1"/>
  <c r="CB21" i="12" s="1"/>
  <c r="BT21" i="12" a="1"/>
  <c r="BT21" i="12" s="1"/>
  <c r="CD20" i="12" a="1"/>
  <c r="CD20" i="12" s="1"/>
  <c r="BT20" i="12" a="1"/>
  <c r="BT20" i="12" s="1"/>
  <c r="CD19" i="12" a="1"/>
  <c r="CD19" i="12" s="1"/>
  <c r="BS19" i="12" a="1"/>
  <c r="BS19" i="12" s="1"/>
  <c r="CC18" i="12" a="1"/>
  <c r="CC18" i="12" s="1"/>
  <c r="BR18" i="12" a="1"/>
  <c r="BR18" i="12" s="1"/>
  <c r="CA17" i="12" a="1"/>
  <c r="CA17" i="12" s="1"/>
  <c r="BQ17" i="12" a="1"/>
  <c r="BQ17" i="12" s="1"/>
  <c r="BP16" i="12" a="1"/>
  <c r="BP16" i="12" s="1"/>
  <c r="BZ15" i="12" a="1"/>
  <c r="BZ15" i="12" s="1"/>
  <c r="BO15" i="12" a="1"/>
  <c r="BO15" i="12" s="1"/>
  <c r="BY14" i="12" a="1"/>
  <c r="BY14" i="12" s="1"/>
  <c r="BO14" i="12" a="1"/>
  <c r="BO14" i="12" s="1"/>
  <c r="BZ13" i="12" a="1"/>
  <c r="BZ13" i="12" s="1"/>
  <c r="BO13" i="12" a="1"/>
  <c r="BO13" i="12" s="1"/>
  <c r="BZ12" i="12" a="1"/>
  <c r="BZ12" i="12" s="1"/>
  <c r="BO12" i="12" a="1"/>
  <c r="BO12" i="12" s="1"/>
  <c r="BX11" i="12" a="1"/>
  <c r="BX11" i="12" s="1"/>
  <c r="BN11" i="12" a="1"/>
  <c r="BN11" i="12" s="1"/>
  <c r="BX10" i="12" a="1"/>
  <c r="BX10" i="12" s="1"/>
  <c r="BM10" i="12" a="1"/>
  <c r="BM10" i="12" s="1"/>
  <c r="BX9" i="12" a="1"/>
  <c r="BX9" i="12" s="1"/>
  <c r="BM9" i="12" a="1"/>
  <c r="BM9" i="12" s="1"/>
  <c r="BV5" i="12" a="1"/>
  <c r="BV5" i="12" s="1"/>
  <c r="BL5" i="12" a="1"/>
  <c r="BL5" i="12" s="1"/>
  <c r="BV4" i="12" a="1"/>
  <c r="BV4" i="12" s="1"/>
  <c r="CD3" i="12" a="1"/>
  <c r="CD3" i="12" s="1"/>
  <c r="BR3" i="12" a="1"/>
  <c r="BR3" i="12" s="1"/>
  <c r="BQ26" i="12" a="1"/>
  <c r="BQ26" i="12" s="1"/>
  <c r="CD26" i="12" a="1"/>
  <c r="CD26" i="12" s="1"/>
  <c r="BT41" i="12" a="1"/>
  <c r="BT41" i="12" s="1"/>
  <c r="CA40" i="12" a="1"/>
  <c r="CA40" i="12" s="1"/>
  <c r="BO40" i="12" a="1"/>
  <c r="BO40" i="12" s="1"/>
  <c r="BV39" i="12" a="1"/>
  <c r="BV39" i="12" s="1"/>
  <c r="CC38" i="12" a="1"/>
  <c r="CC38" i="12" s="1"/>
  <c r="BP38" i="12" a="1"/>
  <c r="BP38" i="12" s="1"/>
  <c r="BW37" i="12" a="1"/>
  <c r="BW37" i="12" s="1"/>
  <c r="CE36" i="12" a="1"/>
  <c r="CE36" i="12" s="1"/>
  <c r="BR36" i="12" a="1"/>
  <c r="BR36" i="12" s="1"/>
  <c r="BY35" i="12" a="1"/>
  <c r="BY35" i="12" s="1"/>
  <c r="BS34" i="12" a="1"/>
  <c r="BS34" i="12" s="1"/>
  <c r="CA33" i="12" a="1"/>
  <c r="CA33" i="12" s="1"/>
  <c r="BN33" i="12" a="1"/>
  <c r="BN33" i="12" s="1"/>
  <c r="BU32" i="12" a="1"/>
  <c r="BU32" i="12" s="1"/>
  <c r="CB31" i="12" a="1"/>
  <c r="CB31" i="12" s="1"/>
  <c r="BO31" i="12" a="1"/>
  <c r="BO31" i="12" s="1"/>
  <c r="BW30" i="12" a="1"/>
  <c r="BW30" i="12" s="1"/>
  <c r="CD29" i="12" a="1"/>
  <c r="CD29" i="12" s="1"/>
  <c r="BR29" i="12" a="1"/>
  <c r="BR29" i="12" s="1"/>
  <c r="BX28" i="12" a="1"/>
  <c r="BX28" i="12" s="1"/>
  <c r="CB27" i="12" a="1"/>
  <c r="CB27" i="12" s="1"/>
  <c r="BO43" i="12" a="1"/>
  <c r="BO43" i="12" s="1"/>
  <c r="CA44" i="12" a="1"/>
  <c r="CA44" i="12" s="1"/>
  <c r="BS46" i="12" a="1"/>
  <c r="BS46" i="12" s="1"/>
  <c r="CE47" i="12" a="1"/>
  <c r="CE47" i="12" s="1"/>
  <c r="BW49" i="12" a="1"/>
  <c r="BW49" i="12" s="1"/>
  <c r="BO51" i="12" a="1"/>
  <c r="BO51" i="12" s="1"/>
  <c r="CA52" i="12" a="1"/>
  <c r="CA52" i="12" s="1"/>
  <c r="BS54" i="12" a="1"/>
  <c r="BS54" i="12" s="1"/>
  <c r="CE55" i="12" a="1"/>
  <c r="CE55" i="12" s="1"/>
  <c r="BV57" i="12" a="1"/>
  <c r="BV57" i="12" s="1"/>
  <c r="CC60" i="12" a="1"/>
  <c r="CC60" i="12" s="1"/>
  <c r="BQ59" i="12" a="1"/>
  <c r="BQ59" i="12" s="1"/>
  <c r="BT73" i="12" a="1"/>
  <c r="BT73" i="12" s="1"/>
  <c r="BQ70" i="12" a="1"/>
  <c r="BQ70" i="12" s="1"/>
  <c r="BN79" i="12" a="1"/>
  <c r="BN79" i="12" s="1"/>
  <c r="BZ83" i="12" a="1"/>
  <c r="BZ83" i="12" s="1"/>
  <c r="BV80" i="12" a="1"/>
  <c r="BV80" i="12" s="1"/>
  <c r="AN2" i="10" a="1"/>
  <c r="AN2" i="10" s="1"/>
  <c r="BD85" i="10" a="1"/>
  <c r="BD85" i="10" s="1"/>
  <c r="BT84" i="10" a="1"/>
  <c r="BT84" i="10" s="1"/>
  <c r="I84" i="10" a="1"/>
  <c r="I84" i="10" s="1"/>
  <c r="Y83" i="10" a="1"/>
  <c r="Y83" i="10" s="1"/>
  <c r="AO82" i="10" a="1"/>
  <c r="AO82" i="10" s="1"/>
  <c r="BE81" i="10" a="1"/>
  <c r="BE81" i="10" s="1"/>
  <c r="BU80" i="10" a="1"/>
  <c r="BU80" i="10" s="1"/>
  <c r="I80" i="10" a="1"/>
  <c r="I80" i="10" s="1"/>
  <c r="Y79" i="10" a="1"/>
  <c r="Y79" i="10" s="1"/>
  <c r="AM77" i="10" a="1"/>
  <c r="AM77" i="10" s="1"/>
  <c r="AT76" i="10" a="1"/>
  <c r="AT76" i="10" s="1"/>
  <c r="BA75" i="10" a="1"/>
  <c r="BA75" i="10" s="1"/>
  <c r="BC73" i="10" a="1"/>
  <c r="BC73" i="10" s="1"/>
  <c r="AX72" i="10" a="1"/>
  <c r="AX72" i="10" s="1"/>
  <c r="AA71" i="10" a="1"/>
  <c r="AA71" i="10" s="1"/>
  <c r="AG68" i="10" a="1"/>
  <c r="AG68" i="10" s="1"/>
  <c r="AP65" i="10" a="1"/>
  <c r="AP65" i="10" s="1"/>
  <c r="L58" i="10" a="1"/>
  <c r="L58" i="10" s="1"/>
  <c r="BW24" i="12" a="1"/>
  <c r="BW24" i="12" s="1"/>
  <c r="AG80" i="10" a="1"/>
  <c r="AG80" i="10" s="1"/>
  <c r="P70" i="10" a="1"/>
  <c r="P70" i="10" s="1"/>
  <c r="AR6" i="10" a="1"/>
  <c r="AR6" i="10" s="1"/>
  <c r="T6" i="10" a="1"/>
  <c r="T6" i="10" s="1"/>
  <c r="AA6" i="10" a="1"/>
  <c r="AA6" i="10" s="1"/>
  <c r="AI6" i="10" a="1"/>
  <c r="AI6" i="10" s="1"/>
  <c r="AQ6" i="10" a="1"/>
  <c r="AQ6" i="10" s="1"/>
  <c r="AY6" i="10" a="1"/>
  <c r="AY6" i="10" s="1"/>
  <c r="BG6" i="10" a="1"/>
  <c r="BG6" i="10" s="1"/>
  <c r="BO6" i="10" a="1"/>
  <c r="BO6" i="10" s="1"/>
  <c r="BW6" i="10" a="1"/>
  <c r="BW6" i="10" s="1"/>
  <c r="CE6" i="10" a="1"/>
  <c r="CE6" i="10" s="1"/>
  <c r="H6" i="10" a="1"/>
  <c r="H6" i="10" s="1"/>
  <c r="N6" i="10" a="1"/>
  <c r="N6" i="10" s="1"/>
  <c r="W75" i="12" a="1"/>
  <c r="W75" i="12" s="1"/>
  <c r="Q75" i="12" a="1"/>
  <c r="Q75" i="12" s="1"/>
  <c r="J75" i="12" a="1"/>
  <c r="J75" i="12" s="1"/>
  <c r="AB6" i="10" a="1"/>
  <c r="AB6" i="10" s="1"/>
  <c r="AJ6" i="10" a="1"/>
  <c r="AJ6" i="10" s="1"/>
  <c r="AZ6" i="10" a="1"/>
  <c r="AZ6" i="10" s="1"/>
  <c r="BH6" i="10" a="1"/>
  <c r="BH6" i="10" s="1"/>
  <c r="BP6" i="10" a="1"/>
  <c r="BP6" i="10" s="1"/>
  <c r="BX6" i="10" a="1"/>
  <c r="BX6" i="10" s="1"/>
  <c r="I6" i="10" a="1"/>
  <c r="I6" i="10" s="1"/>
  <c r="P75" i="12" a="1"/>
  <c r="P75" i="12" s="1"/>
  <c r="I75" i="12" a="1"/>
  <c r="I75" i="12" s="1"/>
  <c r="U6" i="10" a="1"/>
  <c r="U6" i="10" s="1"/>
  <c r="AC6" i="10" a="1"/>
  <c r="AC6" i="10" s="1"/>
  <c r="AK6" i="10" a="1"/>
  <c r="AK6" i="10" s="1"/>
  <c r="AS6" i="10" a="1"/>
  <c r="AS6" i="10" s="1"/>
  <c r="BA6" i="10" a="1"/>
  <c r="BA6" i="10" s="1"/>
  <c r="BI6" i="10" a="1"/>
  <c r="BI6" i="10" s="1"/>
  <c r="BQ6" i="10" a="1"/>
  <c r="BQ6" i="10" s="1"/>
  <c r="BY6" i="10" a="1"/>
  <c r="BY6" i="10" s="1"/>
  <c r="J6" i="10" a="1"/>
  <c r="J6" i="10" s="1"/>
  <c r="O6" i="10" a="1"/>
  <c r="O6" i="10" s="1"/>
  <c r="V6" i="10" a="1"/>
  <c r="V6" i="10" s="1"/>
  <c r="AD6" i="10" a="1"/>
  <c r="AD6" i="10" s="1"/>
  <c r="AL6" i="10" a="1"/>
  <c r="AL6" i="10" s="1"/>
  <c r="AT6" i="10" a="1"/>
  <c r="AT6" i="10" s="1"/>
  <c r="BB6" i="10" a="1"/>
  <c r="BB6" i="10" s="1"/>
  <c r="BJ6" i="10" a="1"/>
  <c r="BJ6" i="10" s="1"/>
  <c r="BR6" i="10" a="1"/>
  <c r="BR6" i="10" s="1"/>
  <c r="BZ6" i="10" a="1"/>
  <c r="BZ6" i="10" s="1"/>
  <c r="E6" i="10" a="1"/>
  <c r="E6" i="10" s="1"/>
  <c r="W6" i="10" a="1"/>
  <c r="W6" i="10" s="1"/>
  <c r="AE6" i="10" a="1"/>
  <c r="AE6" i="10" s="1"/>
  <c r="AM6" i="10" a="1"/>
  <c r="AM6" i="10" s="1"/>
  <c r="AU6" i="10" a="1"/>
  <c r="AU6" i="10" s="1"/>
  <c r="BC6" i="10" a="1"/>
  <c r="BC6" i="10" s="1"/>
  <c r="BK6" i="10" a="1"/>
  <c r="BK6" i="10" s="1"/>
  <c r="BS6" i="10" a="1"/>
  <c r="BS6" i="10" s="1"/>
  <c r="CA6" i="10" a="1"/>
  <c r="CA6" i="10" s="1"/>
  <c r="F6" i="10" a="1"/>
  <c r="F6" i="10" s="1"/>
  <c r="K6" i="10" a="1"/>
  <c r="K6" i="10" s="1"/>
  <c r="P6" i="10" a="1"/>
  <c r="P6" i="10" s="1"/>
  <c r="AF6" i="10" a="1"/>
  <c r="AF6" i="10" s="1"/>
  <c r="AN6" i="10" a="1"/>
  <c r="AN6" i="10" s="1"/>
  <c r="AV6" i="10" a="1"/>
  <c r="AV6" i="10" s="1"/>
  <c r="BD6" i="10" a="1"/>
  <c r="BD6" i="10" s="1"/>
  <c r="S6" i="10" a="1"/>
  <c r="S6" i="10" s="1"/>
  <c r="Z6" i="10" a="1"/>
  <c r="Z6" i="10" s="1"/>
  <c r="AH6" i="10" a="1"/>
  <c r="AH6" i="10" s="1"/>
  <c r="AP6" i="10" a="1"/>
  <c r="AP6" i="10" s="1"/>
  <c r="AX6" i="10" a="1"/>
  <c r="AX6" i="10" s="1"/>
  <c r="BF6" i="10" a="1"/>
  <c r="BF6" i="10" s="1"/>
  <c r="BN6" i="10" a="1"/>
  <c r="BN6" i="10" s="1"/>
  <c r="BV6" i="10" a="1"/>
  <c r="BV6" i="10" s="1"/>
  <c r="CD6" i="10" a="1"/>
  <c r="CD6" i="10" s="1"/>
  <c r="M6" i="10" a="1"/>
  <c r="M6" i="10" s="1"/>
  <c r="R75" i="12" a="1"/>
  <c r="R75" i="12" s="1"/>
  <c r="K75" i="12" a="1"/>
  <c r="K75" i="12" s="1"/>
  <c r="AG6" i="10" a="1"/>
  <c r="AG6" i="10" s="1"/>
  <c r="CB6" i="10" a="1"/>
  <c r="CB6" i="10" s="1"/>
  <c r="P63" i="12" a="1"/>
  <c r="P63" i="12" s="1"/>
  <c r="AO6" i="10" a="1"/>
  <c r="AO6" i="10" s="1"/>
  <c r="CC6" i="10" a="1"/>
  <c r="CC6" i="10" s="1"/>
  <c r="O75" i="12" a="1"/>
  <c r="O75" i="12" s="1"/>
  <c r="F75" i="12" a="1"/>
  <c r="F75" i="12" s="1"/>
  <c r="U63" i="12" a="1"/>
  <c r="U63" i="12" s="1"/>
  <c r="AW6" i="10" a="1"/>
  <c r="AW6" i="10" s="1"/>
  <c r="E75" i="12" a="1"/>
  <c r="E75" i="12" s="1"/>
  <c r="T63" i="12" a="1"/>
  <c r="T63" i="12" s="1"/>
  <c r="O63" i="12" a="1"/>
  <c r="O63" i="12" s="1"/>
  <c r="I63" i="12" a="1"/>
  <c r="I63" i="12" s="1"/>
  <c r="Q59" i="12" a="1"/>
  <c r="Q59" i="12" s="1"/>
  <c r="K59" i="12" a="1"/>
  <c r="K59" i="12" s="1"/>
  <c r="E59" i="12" a="1"/>
  <c r="E59" i="12" s="1"/>
  <c r="BE6" i="10" a="1"/>
  <c r="BE6" i="10" s="1"/>
  <c r="G6" i="10" a="1"/>
  <c r="G6" i="10" s="1"/>
  <c r="N75" i="12" a="1"/>
  <c r="N75" i="12" s="1"/>
  <c r="N63" i="12" a="1"/>
  <c r="N63" i="12" s="1"/>
  <c r="H63" i="12" a="1"/>
  <c r="H63" i="12" s="1"/>
  <c r="W59" i="12" a="1"/>
  <c r="W59" i="12" s="1"/>
  <c r="P59" i="12" a="1"/>
  <c r="P59" i="12" s="1"/>
  <c r="J59" i="12" a="1"/>
  <c r="J59" i="12" s="1"/>
  <c r="O52" i="12" a="1"/>
  <c r="O52" i="12" s="1"/>
  <c r="V75" i="12" a="1"/>
  <c r="V75" i="12" s="1"/>
  <c r="M75" i="12" a="1"/>
  <c r="M75" i="12" s="1"/>
  <c r="S63" i="12" a="1"/>
  <c r="S63" i="12" s="1"/>
  <c r="G63" i="12" a="1"/>
  <c r="G63" i="12" s="1"/>
  <c r="V59" i="12" a="1"/>
  <c r="V59" i="12" s="1"/>
  <c r="S52" i="12" a="1"/>
  <c r="S52" i="12" s="1"/>
  <c r="BM6" i="10" a="1"/>
  <c r="BM6" i="10" s="1"/>
  <c r="L6" i="10" a="1"/>
  <c r="L6" i="10" s="1"/>
  <c r="BT6" i="10" a="1"/>
  <c r="BT6" i="10" s="1"/>
  <c r="Q6" i="10" a="1"/>
  <c r="Q6" i="10" s="1"/>
  <c r="T75" i="12" a="1"/>
  <c r="T75" i="12" s="1"/>
  <c r="H75" i="12" a="1"/>
  <c r="H75" i="12" s="1"/>
  <c r="Y6" i="10" a="1"/>
  <c r="Y6" i="10" s="1"/>
  <c r="BU6" i="10" a="1"/>
  <c r="BU6" i="10" s="1"/>
  <c r="R6" i="10" a="1"/>
  <c r="R6" i="10" s="1"/>
  <c r="S75" i="12" a="1"/>
  <c r="S75" i="12" s="1"/>
  <c r="G75" i="12" a="1"/>
  <c r="G75" i="12" s="1"/>
  <c r="V63" i="12" a="1"/>
  <c r="V63" i="12" s="1"/>
  <c r="Q63" i="12" a="1"/>
  <c r="Q63" i="12" s="1"/>
  <c r="K63" i="12" a="1"/>
  <c r="K63" i="12" s="1"/>
  <c r="E63" i="12" a="1"/>
  <c r="E63" i="12" s="1"/>
  <c r="S59" i="12" a="1"/>
  <c r="S59" i="12" s="1"/>
  <c r="M59" i="12" a="1"/>
  <c r="M59" i="12" s="1"/>
  <c r="G59" i="12" a="1"/>
  <c r="G59" i="12" s="1"/>
  <c r="L75" i="12" a="1"/>
  <c r="L75" i="12" s="1"/>
  <c r="L63" i="12" a="1"/>
  <c r="L63" i="12" s="1"/>
  <c r="O59" i="12" a="1"/>
  <c r="O59" i="12" s="1"/>
  <c r="M52" i="12" a="1"/>
  <c r="M52" i="12" s="1"/>
  <c r="F52" i="12" a="1"/>
  <c r="F52" i="12" s="1"/>
  <c r="V48" i="12" a="1"/>
  <c r="V48" i="12" s="1"/>
  <c r="P48" i="12" a="1"/>
  <c r="P48" i="12" s="1"/>
  <c r="J48" i="12" a="1"/>
  <c r="J48" i="12" s="1"/>
  <c r="W44" i="12" a="1"/>
  <c r="W44" i="12" s="1"/>
  <c r="Q44" i="12" a="1"/>
  <c r="Q44" i="12" s="1"/>
  <c r="K44" i="12" a="1"/>
  <c r="K44" i="12" s="1"/>
  <c r="R39" i="12" a="1"/>
  <c r="R39" i="12" s="1"/>
  <c r="L39" i="12" a="1"/>
  <c r="L39" i="12" s="1"/>
  <c r="O35" i="12" a="1"/>
  <c r="O35" i="12" s="1"/>
  <c r="H35" i="12" a="1"/>
  <c r="H35" i="12" s="1"/>
  <c r="J63" i="12" a="1"/>
  <c r="J63" i="12" s="1"/>
  <c r="N59" i="12" a="1"/>
  <c r="N59" i="12" s="1"/>
  <c r="R52" i="12" a="1"/>
  <c r="R52" i="12" s="1"/>
  <c r="L52" i="12" a="1"/>
  <c r="L52" i="12" s="1"/>
  <c r="E52" i="12" a="1"/>
  <c r="E52" i="12" s="1"/>
  <c r="U48" i="12" a="1"/>
  <c r="U48" i="12" s="1"/>
  <c r="O48" i="12" a="1"/>
  <c r="O48" i="12" s="1"/>
  <c r="W63" i="12" a="1"/>
  <c r="W63" i="12" s="1"/>
  <c r="L59" i="12" a="1"/>
  <c r="L59" i="12" s="1"/>
  <c r="Q52" i="12" a="1"/>
  <c r="Q52" i="12" s="1"/>
  <c r="K52" i="12" a="1"/>
  <c r="K52" i="12" s="1"/>
  <c r="H48" i="12" a="1"/>
  <c r="H48" i="12" s="1"/>
  <c r="U44" i="12" a="1"/>
  <c r="U44" i="12" s="1"/>
  <c r="P44" i="12" a="1"/>
  <c r="P44" i="12" s="1"/>
  <c r="I44" i="12" a="1"/>
  <c r="I44" i="12" s="1"/>
  <c r="V39" i="12" a="1"/>
  <c r="V39" i="12" s="1"/>
  <c r="J39" i="12" a="1"/>
  <c r="J39" i="12" s="1"/>
  <c r="S35" i="12" a="1"/>
  <c r="S35" i="12" s="1"/>
  <c r="N35" i="12" a="1"/>
  <c r="N35" i="12" s="1"/>
  <c r="F35" i="12" a="1"/>
  <c r="F35" i="12" s="1"/>
  <c r="F63" i="12" a="1"/>
  <c r="F63" i="12" s="1"/>
  <c r="J52" i="12" a="1"/>
  <c r="J52" i="12" s="1"/>
  <c r="R63" i="12" a="1"/>
  <c r="R63" i="12" s="1"/>
  <c r="U59" i="12" a="1"/>
  <c r="U59" i="12" s="1"/>
  <c r="I59" i="12" a="1"/>
  <c r="I59" i="12" s="1"/>
  <c r="W52" i="12" a="1"/>
  <c r="W52" i="12" s="1"/>
  <c r="P52" i="12" a="1"/>
  <c r="P52" i="12" s="1"/>
  <c r="I52" i="12" a="1"/>
  <c r="I52" i="12" s="1"/>
  <c r="S48" i="12" a="1"/>
  <c r="S48" i="12" s="1"/>
  <c r="M48" i="12" a="1"/>
  <c r="M48" i="12" s="1"/>
  <c r="G48" i="12" a="1"/>
  <c r="G48" i="12" s="1"/>
  <c r="T44" i="12" a="1"/>
  <c r="T44" i="12" s="1"/>
  <c r="N44" i="12" a="1"/>
  <c r="N44" i="12" s="1"/>
  <c r="T59" i="12" a="1"/>
  <c r="T59" i="12" s="1"/>
  <c r="H59" i="12" a="1"/>
  <c r="H59" i="12" s="1"/>
  <c r="V52" i="12" a="1"/>
  <c r="V52" i="12" s="1"/>
  <c r="H52" i="12" a="1"/>
  <c r="H52" i="12" s="1"/>
  <c r="L48" i="12" a="1"/>
  <c r="L48" i="12" s="1"/>
  <c r="F48" i="12" a="1"/>
  <c r="F48" i="12" s="1"/>
  <c r="S44" i="12" a="1"/>
  <c r="S44" i="12" s="1"/>
  <c r="M44" i="12" a="1"/>
  <c r="M44" i="12" s="1"/>
  <c r="G44" i="12" a="1"/>
  <c r="G44" i="12" s="1"/>
  <c r="T39" i="12" a="1"/>
  <c r="T39" i="12" s="1"/>
  <c r="G39" i="12" a="1"/>
  <c r="G39" i="12" s="1"/>
  <c r="W35" i="12" a="1"/>
  <c r="W35" i="12" s="1"/>
  <c r="Q35" i="12" a="1"/>
  <c r="Q35" i="12" s="1"/>
  <c r="K35" i="12" a="1"/>
  <c r="K35" i="12" s="1"/>
  <c r="U52" i="12" a="1"/>
  <c r="U52" i="12" s="1"/>
  <c r="R48" i="12" a="1"/>
  <c r="R48" i="12" s="1"/>
  <c r="E48" i="12" a="1"/>
  <c r="E48" i="12" s="1"/>
  <c r="L44" i="12" a="1"/>
  <c r="L44" i="12" s="1"/>
  <c r="F44" i="12" a="1"/>
  <c r="F44" i="12" s="1"/>
  <c r="S39" i="12" a="1"/>
  <c r="S39" i="12" s="1"/>
  <c r="U75" i="12" a="1"/>
  <c r="U75" i="12" s="1"/>
  <c r="M63" i="12" a="1"/>
  <c r="M63" i="12" s="1"/>
  <c r="R59" i="12" a="1"/>
  <c r="R59" i="12" s="1"/>
  <c r="F59" i="12" a="1"/>
  <c r="F59" i="12" s="1"/>
  <c r="T52" i="12" a="1"/>
  <c r="T52" i="12" s="1"/>
  <c r="N52" i="12" a="1"/>
  <c r="N52" i="12" s="1"/>
  <c r="G52" i="12" a="1"/>
  <c r="G52" i="12" s="1"/>
  <c r="W48" i="12" a="1"/>
  <c r="W48" i="12" s="1"/>
  <c r="Q48" i="12" a="1"/>
  <c r="Q48" i="12" s="1"/>
  <c r="K48" i="12" a="1"/>
  <c r="K48" i="12" s="1"/>
  <c r="R44" i="12" a="1"/>
  <c r="R44" i="12" s="1"/>
  <c r="E44" i="12" a="1"/>
  <c r="E44" i="12" s="1"/>
  <c r="M39" i="12" a="1"/>
  <c r="M39" i="12" s="1"/>
  <c r="E39" i="12" a="1"/>
  <c r="E39" i="12" s="1"/>
  <c r="U35" i="12" a="1"/>
  <c r="U35" i="12" s="1"/>
  <c r="P35" i="12" a="1"/>
  <c r="P35" i="12" s="1"/>
  <c r="I35" i="12" a="1"/>
  <c r="I35" i="12" s="1"/>
  <c r="N48" i="12" a="1"/>
  <c r="N48" i="12" s="1"/>
  <c r="P39" i="12" a="1"/>
  <c r="P39" i="12" s="1"/>
  <c r="E35" i="12" a="1"/>
  <c r="E35" i="12" s="1"/>
  <c r="T31" i="12" a="1"/>
  <c r="T31" i="12" s="1"/>
  <c r="G31" i="12" a="1"/>
  <c r="G31" i="12" s="1"/>
  <c r="T27" i="12" a="1"/>
  <c r="T27" i="12" s="1"/>
  <c r="N27" i="12" a="1"/>
  <c r="N27" i="12" s="1"/>
  <c r="Q22" i="12" a="1"/>
  <c r="Q22" i="12" s="1"/>
  <c r="K22" i="12" a="1"/>
  <c r="K22" i="12" s="1"/>
  <c r="T18" i="12" a="1"/>
  <c r="T18" i="12" s="1"/>
  <c r="N18" i="12" a="1"/>
  <c r="N18" i="12" s="1"/>
  <c r="I48" i="12" a="1"/>
  <c r="I48" i="12" s="1"/>
  <c r="O39" i="12" a="1"/>
  <c r="O39" i="12" s="1"/>
  <c r="R35" i="12" a="1"/>
  <c r="R35" i="12" s="1"/>
  <c r="S31" i="12" a="1"/>
  <c r="S31" i="12" s="1"/>
  <c r="N31" i="12" a="1"/>
  <c r="N31" i="12" s="1"/>
  <c r="F31" i="12" a="1"/>
  <c r="F31" i="12" s="1"/>
  <c r="M27" i="12" a="1"/>
  <c r="M27" i="12" s="1"/>
  <c r="G27" i="12" a="1"/>
  <c r="G27" i="12" s="1"/>
  <c r="W22" i="12" a="1"/>
  <c r="W22" i="12" s="1"/>
  <c r="P22" i="12" a="1"/>
  <c r="P22" i="12" s="1"/>
  <c r="J22" i="12" a="1"/>
  <c r="J22" i="12" s="1"/>
  <c r="O44" i="12" a="1"/>
  <c r="O44" i="12" s="1"/>
  <c r="N39" i="12" a="1"/>
  <c r="N39" i="12" s="1"/>
  <c r="M31" i="12" a="1"/>
  <c r="M31" i="12" s="1"/>
  <c r="E31" i="12" a="1"/>
  <c r="E31" i="12" s="1"/>
  <c r="S27" i="12" a="1"/>
  <c r="S27" i="12" s="1"/>
  <c r="L27" i="12" a="1"/>
  <c r="L27" i="12" s="1"/>
  <c r="F27" i="12" a="1"/>
  <c r="F27" i="12" s="1"/>
  <c r="V22" i="12" a="1"/>
  <c r="V22" i="12" s="1"/>
  <c r="I22" i="12" a="1"/>
  <c r="I22" i="12" s="1"/>
  <c r="S18" i="12" a="1"/>
  <c r="S18" i="12" s="1"/>
  <c r="L18" i="12" a="1"/>
  <c r="L18" i="12" s="1"/>
  <c r="J44" i="12" a="1"/>
  <c r="J44" i="12" s="1"/>
  <c r="K39" i="12" a="1"/>
  <c r="K39" i="12" s="1"/>
  <c r="R31" i="12" a="1"/>
  <c r="R31" i="12" s="1"/>
  <c r="L31" i="12" a="1"/>
  <c r="L31" i="12" s="1"/>
  <c r="H44" i="12" a="1"/>
  <c r="H44" i="12" s="1"/>
  <c r="W39" i="12" a="1"/>
  <c r="W39" i="12" s="1"/>
  <c r="I39" i="12" a="1"/>
  <c r="I39" i="12" s="1"/>
  <c r="M35" i="12" a="1"/>
  <c r="M35" i="12" s="1"/>
  <c r="W31" i="12" a="1"/>
  <c r="W31" i="12" s="1"/>
  <c r="Q31" i="12" a="1"/>
  <c r="Q31" i="12" s="1"/>
  <c r="K31" i="12" a="1"/>
  <c r="K31" i="12" s="1"/>
  <c r="Q27" i="12" a="1"/>
  <c r="Q27" i="12" s="1"/>
  <c r="K27" i="12" a="1"/>
  <c r="K27" i="12" s="1"/>
  <c r="T22" i="12" a="1"/>
  <c r="T22" i="12" s="1"/>
  <c r="N22" i="12" a="1"/>
  <c r="N22" i="12" s="1"/>
  <c r="Q18" i="12" a="1"/>
  <c r="Q18" i="12" s="1"/>
  <c r="K18" i="12" a="1"/>
  <c r="K18" i="12" s="1"/>
  <c r="T14" i="12" a="1"/>
  <c r="T14" i="12" s="1"/>
  <c r="N14" i="12" a="1"/>
  <c r="N14" i="12" s="1"/>
  <c r="U39" i="12" a="1"/>
  <c r="U39" i="12" s="1"/>
  <c r="H39" i="12" a="1"/>
  <c r="H39" i="12" s="1"/>
  <c r="L35" i="12" a="1"/>
  <c r="L35" i="12" s="1"/>
  <c r="V31" i="12" a="1"/>
  <c r="V31" i="12" s="1"/>
  <c r="J31" i="12" a="1"/>
  <c r="J31" i="12" s="1"/>
  <c r="F39" i="12" a="1"/>
  <c r="F39" i="12" s="1"/>
  <c r="V35" i="12" a="1"/>
  <c r="V35" i="12" s="1"/>
  <c r="J35" i="12" a="1"/>
  <c r="J35" i="12" s="1"/>
  <c r="U31" i="12" a="1"/>
  <c r="U31" i="12" s="1"/>
  <c r="P31" i="12" a="1"/>
  <c r="P31" i="12" s="1"/>
  <c r="I31" i="12" a="1"/>
  <c r="I31" i="12" s="1"/>
  <c r="V27" i="12" a="1"/>
  <c r="V27" i="12" s="1"/>
  <c r="I27" i="12" a="1"/>
  <c r="I27" i="12" s="1"/>
  <c r="T48" i="12" a="1"/>
  <c r="T48" i="12" s="1"/>
  <c r="V44" i="12" a="1"/>
  <c r="V44" i="12" s="1"/>
  <c r="Q39" i="12" a="1"/>
  <c r="Q39" i="12" s="1"/>
  <c r="T35" i="12" a="1"/>
  <c r="T35" i="12" s="1"/>
  <c r="G35" i="12" a="1"/>
  <c r="G35" i="12" s="1"/>
  <c r="O31" i="12" a="1"/>
  <c r="O31" i="12" s="1"/>
  <c r="H31" i="12" a="1"/>
  <c r="H31" i="12" s="1"/>
  <c r="U27" i="12" a="1"/>
  <c r="U27" i="12" s="1"/>
  <c r="O27" i="12" a="1"/>
  <c r="O27" i="12" s="1"/>
  <c r="H27" i="12" a="1"/>
  <c r="H27" i="12" s="1"/>
  <c r="R22" i="12" a="1"/>
  <c r="R22" i="12" s="1"/>
  <c r="E22" i="12" a="1"/>
  <c r="E22" i="12" s="1"/>
  <c r="U18" i="12" a="1"/>
  <c r="U18" i="12" s="1"/>
  <c r="O18" i="12" a="1"/>
  <c r="O18" i="12" s="1"/>
  <c r="H18" i="12" a="1"/>
  <c r="H18" i="12" s="1"/>
  <c r="R14" i="12" a="1"/>
  <c r="R14" i="12" s="1"/>
  <c r="E14" i="12" a="1"/>
  <c r="E14" i="12" s="1"/>
  <c r="U10" i="12" a="1"/>
  <c r="U10" i="12" s="1"/>
  <c r="J27" i="12" a="1"/>
  <c r="J27" i="12" s="1"/>
  <c r="H22" i="12" a="1"/>
  <c r="H22" i="12" s="1"/>
  <c r="G18" i="12" a="1"/>
  <c r="G18" i="12" s="1"/>
  <c r="Q14" i="12" a="1"/>
  <c r="Q14" i="12" s="1"/>
  <c r="I14" i="12" a="1"/>
  <c r="I14" i="12" s="1"/>
  <c r="T10" i="12" a="1"/>
  <c r="T10" i="12" s="1"/>
  <c r="N10" i="12" a="1"/>
  <c r="N10" i="12" s="1"/>
  <c r="Q6" i="12" a="1"/>
  <c r="Q6" i="12" s="1"/>
  <c r="K6" i="12" a="1"/>
  <c r="K6" i="12" s="1"/>
  <c r="M3" i="12" a="1"/>
  <c r="M3" i="12" s="1"/>
  <c r="G3" i="12" a="1"/>
  <c r="G3" i="12" s="1"/>
  <c r="E27" i="12" a="1"/>
  <c r="E27" i="12" s="1"/>
  <c r="G22" i="12" a="1"/>
  <c r="G22" i="12" s="1"/>
  <c r="R18" i="12" a="1"/>
  <c r="R18" i="12" s="1"/>
  <c r="F18" i="12" a="1"/>
  <c r="F18" i="12" s="1"/>
  <c r="P14" i="12" a="1"/>
  <c r="P14" i="12" s="1"/>
  <c r="H14" i="12" a="1"/>
  <c r="H14" i="12" s="1"/>
  <c r="M10" i="12" a="1"/>
  <c r="M10" i="12" s="1"/>
  <c r="G10" i="12" a="1"/>
  <c r="G10" i="12" s="1"/>
  <c r="W6" i="12" a="1"/>
  <c r="W6" i="12" s="1"/>
  <c r="P6" i="12" a="1"/>
  <c r="P6" i="12" s="1"/>
  <c r="J6" i="12" a="1"/>
  <c r="J6" i="12" s="1"/>
  <c r="S3" i="12" a="1"/>
  <c r="S3" i="12" s="1"/>
  <c r="L3" i="12" a="1"/>
  <c r="L3" i="12" s="1"/>
  <c r="F3" i="12" a="1"/>
  <c r="F3" i="12" s="1"/>
  <c r="U22" i="12" a="1"/>
  <c r="U22" i="12" s="1"/>
  <c r="F22" i="12" a="1"/>
  <c r="F22" i="12" s="1"/>
  <c r="P18" i="12" a="1"/>
  <c r="P18" i="12" s="1"/>
  <c r="E18" i="12" a="1"/>
  <c r="E18" i="12" s="1"/>
  <c r="G14" i="12" a="1"/>
  <c r="G14" i="12" s="1"/>
  <c r="S10" i="12" a="1"/>
  <c r="S10" i="12" s="1"/>
  <c r="L10" i="12" a="1"/>
  <c r="L10" i="12" s="1"/>
  <c r="F10" i="12" a="1"/>
  <c r="F10" i="12" s="1"/>
  <c r="W14" i="12" a="1"/>
  <c r="W14" i="12" s="1"/>
  <c r="O14" i="12" a="1"/>
  <c r="O14" i="12" s="1"/>
  <c r="F14" i="12" a="1"/>
  <c r="F14" i="12" s="1"/>
  <c r="R10" i="12" a="1"/>
  <c r="R10" i="12" s="1"/>
  <c r="E10" i="12" a="1"/>
  <c r="E10" i="12" s="1"/>
  <c r="W27" i="12" a="1"/>
  <c r="W27" i="12" s="1"/>
  <c r="S22" i="12" a="1"/>
  <c r="S22" i="12" s="1"/>
  <c r="M18" i="12" a="1"/>
  <c r="M18" i="12" s="1"/>
  <c r="V14" i="12" a="1"/>
  <c r="V14" i="12" s="1"/>
  <c r="M14" i="12" a="1"/>
  <c r="M14" i="12" s="1"/>
  <c r="Q10" i="12" a="1"/>
  <c r="Q10" i="12" s="1"/>
  <c r="K10" i="12" a="1"/>
  <c r="K10" i="12" s="1"/>
  <c r="R27" i="12" a="1"/>
  <c r="R27" i="12" s="1"/>
  <c r="O22" i="12" a="1"/>
  <c r="O22" i="12" s="1"/>
  <c r="L22" i="12" a="1"/>
  <c r="L22" i="12" s="1"/>
  <c r="V18" i="12" a="1"/>
  <c r="V18" i="12" s="1"/>
  <c r="I18" i="12" a="1"/>
  <c r="I18" i="12" s="1"/>
  <c r="S14" i="12" a="1"/>
  <c r="S14" i="12" s="1"/>
  <c r="J14" i="12" a="1"/>
  <c r="J14" i="12" s="1"/>
  <c r="V10" i="12" a="1"/>
  <c r="V10" i="12" s="1"/>
  <c r="O10" i="12" a="1"/>
  <c r="O10" i="12" s="1"/>
  <c r="H10" i="12" a="1"/>
  <c r="H10" i="12" s="1"/>
  <c r="R6" i="12" a="1"/>
  <c r="R6" i="12" s="1"/>
  <c r="E6" i="12" a="1"/>
  <c r="E6" i="12" s="1"/>
  <c r="T3" i="12" a="1"/>
  <c r="T3" i="12" s="1"/>
  <c r="N3" i="12" a="1"/>
  <c r="N3" i="12" s="1"/>
  <c r="P27" i="12" a="1"/>
  <c r="P27" i="12" s="1"/>
  <c r="K14" i="12" a="1"/>
  <c r="K14" i="12" s="1"/>
  <c r="W10" i="12" a="1"/>
  <c r="W10" i="12" s="1"/>
  <c r="H6" i="12" a="1"/>
  <c r="H6" i="12" s="1"/>
  <c r="Q3" i="12" a="1"/>
  <c r="Q3" i="12" s="1"/>
  <c r="H3" i="12" a="1"/>
  <c r="H3" i="12" s="1"/>
  <c r="W18" i="12" a="1"/>
  <c r="W18" i="12" s="1"/>
  <c r="P10" i="12" a="1"/>
  <c r="P10" i="12" s="1"/>
  <c r="S6" i="12" a="1"/>
  <c r="S6" i="12" s="1"/>
  <c r="P3" i="12" a="1"/>
  <c r="P3" i="12" s="1"/>
  <c r="E3" i="12" a="1"/>
  <c r="E3" i="12" s="1"/>
  <c r="AP75" i="12" a="1"/>
  <c r="AP75" i="12" s="1"/>
  <c r="AE75" i="12" a="1"/>
  <c r="AE75" i="12" s="1"/>
  <c r="AM63" i="12" a="1"/>
  <c r="AM63" i="12" s="1"/>
  <c r="AG63" i="12" a="1"/>
  <c r="AG63" i="12" s="1"/>
  <c r="AH59" i="12" a="1"/>
  <c r="AH59" i="12" s="1"/>
  <c r="AH52" i="12" a="1"/>
  <c r="AH52" i="12" s="1"/>
  <c r="AC52" i="12" a="1"/>
  <c r="AC52" i="12" s="1"/>
  <c r="AM48" i="12" a="1"/>
  <c r="AM48" i="12" s="1"/>
  <c r="AG48" i="12" a="1"/>
  <c r="AG48" i="12" s="1"/>
  <c r="AB48" i="12" a="1"/>
  <c r="AB48" i="12" s="1"/>
  <c r="AQ44" i="12" a="1"/>
  <c r="AQ44" i="12" s="1"/>
  <c r="AJ44" i="12" a="1"/>
  <c r="AJ44" i="12" s="1"/>
  <c r="AO39" i="12" a="1"/>
  <c r="AO39" i="12" s="1"/>
  <c r="J18" i="12" a="1"/>
  <c r="J18" i="12" s="1"/>
  <c r="G6" i="12" a="1"/>
  <c r="G6" i="12" s="1"/>
  <c r="AJ75" i="12" a="1"/>
  <c r="AJ75" i="12" s="1"/>
  <c r="AD75" i="12" a="1"/>
  <c r="AD75" i="12" s="1"/>
  <c r="Y75" i="12" a="1"/>
  <c r="Y75" i="12" s="1"/>
  <c r="J10" i="12" a="1"/>
  <c r="J10" i="12" s="1"/>
  <c r="O6" i="12" a="1"/>
  <c r="O6" i="12" s="1"/>
  <c r="F6" i="12" a="1"/>
  <c r="F6" i="12" s="1"/>
  <c r="O3" i="12" a="1"/>
  <c r="O3" i="12" s="1"/>
  <c r="AO75" i="12" a="1"/>
  <c r="AO75" i="12" s="1"/>
  <c r="AI75" i="12" a="1"/>
  <c r="AI75" i="12" s="1"/>
  <c r="AC75" i="12" a="1"/>
  <c r="AC75" i="12" s="1"/>
  <c r="AK63" i="12" a="1"/>
  <c r="AK63" i="12" s="1"/>
  <c r="AF63" i="12" a="1"/>
  <c r="AF63" i="12" s="1"/>
  <c r="AF59" i="12" a="1"/>
  <c r="AF59" i="12" s="1"/>
  <c r="AA59" i="12" a="1"/>
  <c r="AA59" i="12" s="1"/>
  <c r="AL52" i="12" a="1"/>
  <c r="AL52" i="12" s="1"/>
  <c r="AG52" i="12" a="1"/>
  <c r="AG52" i="12" s="1"/>
  <c r="AA52" i="12" a="1"/>
  <c r="AA52" i="12" s="1"/>
  <c r="AQ48" i="12" a="1"/>
  <c r="AQ48" i="12" s="1"/>
  <c r="Z48" i="12" a="1"/>
  <c r="Z48" i="12" s="1"/>
  <c r="AI44" i="12" a="1"/>
  <c r="AI44" i="12" s="1"/>
  <c r="AD44" i="12" a="1"/>
  <c r="AD44" i="12" s="1"/>
  <c r="M22" i="12" a="1"/>
  <c r="M22" i="12" s="1"/>
  <c r="I10" i="12" a="1"/>
  <c r="I10" i="12" s="1"/>
  <c r="N6" i="12" a="1"/>
  <c r="N6" i="12" s="1"/>
  <c r="W3" i="12" a="1"/>
  <c r="W3" i="12" s="1"/>
  <c r="AN75" i="12" a="1"/>
  <c r="AN75" i="12" s="1"/>
  <c r="AP63" i="12" a="1"/>
  <c r="AP63" i="12" s="1"/>
  <c r="AJ63" i="12" a="1"/>
  <c r="AJ63" i="12" s="1"/>
  <c r="AE63" i="12" a="1"/>
  <c r="AE63" i="12" s="1"/>
  <c r="Y63" i="12" a="1"/>
  <c r="Y63" i="12" s="1"/>
  <c r="AQ59" i="12" a="1"/>
  <c r="AQ59" i="12" s="1"/>
  <c r="AK59" i="12" a="1"/>
  <c r="AK59" i="12" s="1"/>
  <c r="AE59" i="12" a="1"/>
  <c r="AE59" i="12" s="1"/>
  <c r="Z59" i="12" a="1"/>
  <c r="Z59" i="12" s="1"/>
  <c r="AP52" i="12" a="1"/>
  <c r="AP52" i="12" s="1"/>
  <c r="AF52" i="12" a="1"/>
  <c r="AF52" i="12" s="1"/>
  <c r="Z52" i="12" a="1"/>
  <c r="Z52" i="12" s="1"/>
  <c r="U14" i="12" a="1"/>
  <c r="U14" i="12" s="1"/>
  <c r="V6" i="12" a="1"/>
  <c r="V6" i="12" s="1"/>
  <c r="M6" i="12" a="1"/>
  <c r="M6" i="12" s="1"/>
  <c r="V3" i="12" a="1"/>
  <c r="V3" i="12" s="1"/>
  <c r="K3" i="12" a="1"/>
  <c r="K3" i="12" s="1"/>
  <c r="AM75" i="12" a="1"/>
  <c r="AM75" i="12" s="1"/>
  <c r="AH75" i="12" a="1"/>
  <c r="AH75" i="12" s="1"/>
  <c r="AB75" i="12" a="1"/>
  <c r="AB75" i="12" s="1"/>
  <c r="AI63" i="12" a="1"/>
  <c r="AI63" i="12" s="1"/>
  <c r="AD63" i="12" a="1"/>
  <c r="AD63" i="12" s="1"/>
  <c r="U6" i="12" a="1"/>
  <c r="U6" i="12" s="1"/>
  <c r="L6" i="12" a="1"/>
  <c r="L6" i="12" s="1"/>
  <c r="U3" i="12" a="1"/>
  <c r="U3" i="12" s="1"/>
  <c r="J3" i="12" a="1"/>
  <c r="J3" i="12" s="1"/>
  <c r="AL75" i="12" a="1"/>
  <c r="AL75" i="12" s="1"/>
  <c r="AG75" i="12" a="1"/>
  <c r="AG75" i="12" s="1"/>
  <c r="AA75" i="12" a="1"/>
  <c r="AA75" i="12" s="1"/>
  <c r="L14" i="12" a="1"/>
  <c r="L14" i="12" s="1"/>
  <c r="T6" i="12" a="1"/>
  <c r="T6" i="12" s="1"/>
  <c r="I6" i="12" a="1"/>
  <c r="I6" i="12" s="1"/>
  <c r="R3" i="12" a="1"/>
  <c r="R3" i="12" s="1"/>
  <c r="I3" i="12" a="1"/>
  <c r="I3" i="12" s="1"/>
  <c r="AH63" i="12" a="1"/>
  <c r="AH63" i="12" s="1"/>
  <c r="AB63" i="12" a="1"/>
  <c r="AB63" i="12" s="1"/>
  <c r="AN59" i="12" a="1"/>
  <c r="AN59" i="12" s="1"/>
  <c r="AI59" i="12" a="1"/>
  <c r="AI59" i="12" s="1"/>
  <c r="AF75" i="12" a="1"/>
  <c r="AF75" i="12" s="1"/>
  <c r="AQ63" i="12" a="1"/>
  <c r="AQ63" i="12" s="1"/>
  <c r="AA63" i="12" a="1"/>
  <c r="AA63" i="12" s="1"/>
  <c r="AE48" i="12" a="1"/>
  <c r="AE48" i="12" s="1"/>
  <c r="AO44" i="12" a="1"/>
  <c r="AO44" i="12" s="1"/>
  <c r="AG44" i="12" a="1"/>
  <c r="AG44" i="12" s="1"/>
  <c r="Y44" i="12" a="1"/>
  <c r="Y44" i="12" s="1"/>
  <c r="AM39" i="12" a="1"/>
  <c r="AM39" i="12" s="1"/>
  <c r="AB39" i="12" a="1"/>
  <c r="AB39" i="12" s="1"/>
  <c r="AL35" i="12" a="1"/>
  <c r="AL35" i="12" s="1"/>
  <c r="Z35" i="12" a="1"/>
  <c r="Z35" i="12" s="1"/>
  <c r="Z75" i="12" a="1"/>
  <c r="Z75" i="12" s="1"/>
  <c r="AO63" i="12" a="1"/>
  <c r="AO63" i="12" s="1"/>
  <c r="Z63" i="12" a="1"/>
  <c r="Z63" i="12" s="1"/>
  <c r="AG59" i="12" a="1"/>
  <c r="AG59" i="12" s="1"/>
  <c r="AN63" i="12" a="1"/>
  <c r="AN63" i="12" s="1"/>
  <c r="AP59" i="12" a="1"/>
  <c r="AP59" i="12" s="1"/>
  <c r="AM52" i="12" a="1"/>
  <c r="AM52" i="12" s="1"/>
  <c r="AD52" i="12" a="1"/>
  <c r="AD52" i="12" s="1"/>
  <c r="AK48" i="12" a="1"/>
  <c r="AK48" i="12" s="1"/>
  <c r="AM44" i="12" a="1"/>
  <c r="AM44" i="12" s="1"/>
  <c r="AF44" i="12" a="1"/>
  <c r="AF44" i="12" s="1"/>
  <c r="Z39" i="12" a="1"/>
  <c r="Z39" i="12" s="1"/>
  <c r="AQ35" i="12" a="1"/>
  <c r="AQ35" i="12" s="1"/>
  <c r="AJ35" i="12" a="1"/>
  <c r="AJ35" i="12" s="1"/>
  <c r="AJ31" i="12" a="1"/>
  <c r="AJ31" i="12" s="1"/>
  <c r="AD31" i="12" a="1"/>
  <c r="AD31" i="12" s="1"/>
  <c r="AO27" i="12" a="1"/>
  <c r="AO27" i="12" s="1"/>
  <c r="AI27" i="12" a="1"/>
  <c r="AI27" i="12" s="1"/>
  <c r="AQ22" i="12" a="1"/>
  <c r="AQ22" i="12" s="1"/>
  <c r="AK22" i="12" a="1"/>
  <c r="AK22" i="12" s="1"/>
  <c r="AD22" i="12" a="1"/>
  <c r="AD22" i="12" s="1"/>
  <c r="Y22" i="12" a="1"/>
  <c r="Y22" i="12" s="1"/>
  <c r="AL63" i="12" a="1"/>
  <c r="AL63" i="12" s="1"/>
  <c r="AO59" i="12" a="1"/>
  <c r="AO59" i="12" s="1"/>
  <c r="AD59" i="12" a="1"/>
  <c r="AD59" i="12" s="1"/>
  <c r="AK52" i="12" a="1"/>
  <c r="AK52" i="12" s="1"/>
  <c r="AJ48" i="12" a="1"/>
  <c r="AJ48" i="12" s="1"/>
  <c r="AC48" i="12" a="1"/>
  <c r="AC48" i="12" s="1"/>
  <c r="AL44" i="12" a="1"/>
  <c r="AL44" i="12" s="1"/>
  <c r="AE44" i="12" a="1"/>
  <c r="AE44" i="12" s="1"/>
  <c r="AQ39" i="12" a="1"/>
  <c r="AQ39" i="12" s="1"/>
  <c r="AK39" i="12" a="1"/>
  <c r="AK39" i="12" s="1"/>
  <c r="AE39" i="12" a="1"/>
  <c r="AE39" i="12" s="1"/>
  <c r="Y39" i="12" a="1"/>
  <c r="Y39" i="12" s="1"/>
  <c r="AP35" i="12" a="1"/>
  <c r="AP35" i="12" s="1"/>
  <c r="AE35" i="12" a="1"/>
  <c r="AE35" i="12" s="1"/>
  <c r="AO31" i="12" a="1"/>
  <c r="AO31" i="12" s="1"/>
  <c r="AI31" i="12" a="1"/>
  <c r="AI31" i="12" s="1"/>
  <c r="AC31" i="12" a="1"/>
  <c r="AC31" i="12" s="1"/>
  <c r="AH27" i="12" a="1"/>
  <c r="AH27" i="12" s="1"/>
  <c r="AC27" i="12" a="1"/>
  <c r="AC27" i="12" s="1"/>
  <c r="AP22" i="12" a="1"/>
  <c r="AP22" i="12" s="1"/>
  <c r="AJ22" i="12" a="1"/>
  <c r="AJ22" i="12" s="1"/>
  <c r="AC22" i="12" a="1"/>
  <c r="AC22" i="12" s="1"/>
  <c r="AM59" i="12" a="1"/>
  <c r="AM59" i="12" s="1"/>
  <c r="AC59" i="12" a="1"/>
  <c r="AC59" i="12" s="1"/>
  <c r="AJ52" i="12" a="1"/>
  <c r="AJ52" i="12" s="1"/>
  <c r="AB52" i="12" a="1"/>
  <c r="AB52" i="12" s="1"/>
  <c r="AP48" i="12" a="1"/>
  <c r="AP48" i="12" s="1"/>
  <c r="AI48" i="12" a="1"/>
  <c r="AI48" i="12" s="1"/>
  <c r="AL59" i="12" a="1"/>
  <c r="AL59" i="12" s="1"/>
  <c r="AB59" i="12" a="1"/>
  <c r="AB59" i="12" s="1"/>
  <c r="AQ52" i="12" a="1"/>
  <c r="AQ52" i="12" s="1"/>
  <c r="AO48" i="12" a="1"/>
  <c r="AO48" i="12" s="1"/>
  <c r="AH48" i="12" a="1"/>
  <c r="AH48" i="12" s="1"/>
  <c r="AA48" i="12" a="1"/>
  <c r="AA48" i="12" s="1"/>
  <c r="AB44" i="12" a="1"/>
  <c r="AB44" i="12" s="1"/>
  <c r="AK75" i="12" a="1"/>
  <c r="AK75" i="12" s="1"/>
  <c r="AC63" i="12" a="1"/>
  <c r="AC63" i="12" s="1"/>
  <c r="AJ59" i="12" a="1"/>
  <c r="AJ59" i="12" s="1"/>
  <c r="Y59" i="12" a="1"/>
  <c r="Y59" i="12" s="1"/>
  <c r="AO52" i="12" a="1"/>
  <c r="AO52" i="12" s="1"/>
  <c r="AN48" i="12" a="1"/>
  <c r="AN48" i="12" s="1"/>
  <c r="AF48" i="12" a="1"/>
  <c r="AF48" i="12" s="1"/>
  <c r="AP44" i="12" a="1"/>
  <c r="AP44" i="12" s="1"/>
  <c r="Z44" i="12" a="1"/>
  <c r="Z44" i="12" s="1"/>
  <c r="AN39" i="12" a="1"/>
  <c r="AN39" i="12" s="1"/>
  <c r="AG39" i="12" a="1"/>
  <c r="AG39" i="12" s="1"/>
  <c r="Y48" i="12" a="1"/>
  <c r="Y48" i="12" s="1"/>
  <c r="AJ39" i="12" a="1"/>
  <c r="AJ39" i="12" s="1"/>
  <c r="AM35" i="12" a="1"/>
  <c r="AM35" i="12" s="1"/>
  <c r="AC35" i="12" a="1"/>
  <c r="AC35" i="12" s="1"/>
  <c r="AP31" i="12" a="1"/>
  <c r="AP31" i="12" s="1"/>
  <c r="Z31" i="12" a="1"/>
  <c r="Z31" i="12" s="1"/>
  <c r="AL27" i="12" a="1"/>
  <c r="AL27" i="12" s="1"/>
  <c r="AD27" i="12" a="1"/>
  <c r="AD27" i="12" s="1"/>
  <c r="AP18" i="12" a="1"/>
  <c r="AP18" i="12" s="1"/>
  <c r="AI18" i="12" a="1"/>
  <c r="AI18" i="12" s="1"/>
  <c r="AC18" i="12" a="1"/>
  <c r="AC18" i="12" s="1"/>
  <c r="AO14" i="12" a="1"/>
  <c r="AO14" i="12" s="1"/>
  <c r="AI14" i="12" a="1"/>
  <c r="AI14" i="12" s="1"/>
  <c r="AB14" i="12" a="1"/>
  <c r="AB14" i="12" s="1"/>
  <c r="AO10" i="12" a="1"/>
  <c r="AO10" i="12" s="1"/>
  <c r="AA10" i="12" a="1"/>
  <c r="AA10" i="12" s="1"/>
  <c r="AQ75" i="12" a="1"/>
  <c r="AQ75" i="12" s="1"/>
  <c r="AN44" i="12" a="1"/>
  <c r="AN44" i="12" s="1"/>
  <c r="AI39" i="12" a="1"/>
  <c r="AI39" i="12" s="1"/>
  <c r="AK35" i="12" a="1"/>
  <c r="AK35" i="12" s="1"/>
  <c r="AB35" i="12" a="1"/>
  <c r="AB35" i="12" s="1"/>
  <c r="AN31" i="12" a="1"/>
  <c r="AN31" i="12" s="1"/>
  <c r="AG31" i="12" a="1"/>
  <c r="AG31" i="12" s="1"/>
  <c r="AK27" i="12" a="1"/>
  <c r="AK27" i="12" s="1"/>
  <c r="AB27" i="12" a="1"/>
  <c r="AB27" i="12" s="1"/>
  <c r="AO22" i="12" a="1"/>
  <c r="AO22" i="12" s="1"/>
  <c r="AH22" i="12" a="1"/>
  <c r="AH22" i="12" s="1"/>
  <c r="Z22" i="12" a="1"/>
  <c r="Z22" i="12" s="1"/>
  <c r="AH18" i="12" a="1"/>
  <c r="AH18" i="12" s="1"/>
  <c r="AB18" i="12" a="1"/>
  <c r="AB18" i="12" s="1"/>
  <c r="AH14" i="12" a="1"/>
  <c r="AH14" i="12" s="1"/>
  <c r="AA14" i="12" a="1"/>
  <c r="AA14" i="12" s="1"/>
  <c r="AN10" i="12" a="1"/>
  <c r="AN10" i="12" s="1"/>
  <c r="AG10" i="12" a="1"/>
  <c r="AG10" i="12" s="1"/>
  <c r="Z10" i="12" a="1"/>
  <c r="Z10" i="12" s="1"/>
  <c r="AK44" i="12" a="1"/>
  <c r="AK44" i="12" s="1"/>
  <c r="AH39" i="12" a="1"/>
  <c r="AH39" i="12" s="1"/>
  <c r="AI35" i="12" a="1"/>
  <c r="AI35" i="12" s="1"/>
  <c r="AA35" i="12" a="1"/>
  <c r="AA35" i="12" s="1"/>
  <c r="AM31" i="12" a="1"/>
  <c r="AM31" i="12" s="1"/>
  <c r="AF31" i="12" a="1"/>
  <c r="AF31" i="12" s="1"/>
  <c r="Y31" i="12" a="1"/>
  <c r="Y31" i="12" s="1"/>
  <c r="AQ27" i="12" a="1"/>
  <c r="AQ27" i="12" s="1"/>
  <c r="AJ27" i="12" a="1"/>
  <c r="AJ27" i="12" s="1"/>
  <c r="AA27" i="12" a="1"/>
  <c r="AA27" i="12" s="1"/>
  <c r="AG22" i="12" a="1"/>
  <c r="AG22" i="12" s="1"/>
  <c r="AO18" i="12" a="1"/>
  <c r="AO18" i="12" s="1"/>
  <c r="AA18" i="12" a="1"/>
  <c r="AA18" i="12" s="1"/>
  <c r="AN14" i="12" a="1"/>
  <c r="AN14" i="12" s="1"/>
  <c r="AG14" i="12" a="1"/>
  <c r="AG14" i="12" s="1"/>
  <c r="AM10" i="12" a="1"/>
  <c r="AM10" i="12" s="1"/>
  <c r="AF10" i="12" a="1"/>
  <c r="AF10" i="12" s="1"/>
  <c r="Y10" i="12" a="1"/>
  <c r="Y10" i="12" s="1"/>
  <c r="AN6" i="12" a="1"/>
  <c r="AN6" i="12" s="1"/>
  <c r="AG6" i="12" a="1"/>
  <c r="AG6" i="12" s="1"/>
  <c r="AA6" i="12" a="1"/>
  <c r="AA6" i="12" s="1"/>
  <c r="AP3" i="12" a="1"/>
  <c r="AP3" i="12" s="1"/>
  <c r="AJ3" i="12" a="1"/>
  <c r="AJ3" i="12" s="1"/>
  <c r="AC3" i="12" a="1"/>
  <c r="AC3" i="12" s="1"/>
  <c r="BD75" i="12" a="1"/>
  <c r="BD75" i="12" s="1"/>
  <c r="AW75" i="12" a="1"/>
  <c r="AW75" i="12" s="1"/>
  <c r="AN52" i="12" a="1"/>
  <c r="AN52" i="12" s="1"/>
  <c r="AH44" i="12" a="1"/>
  <c r="AH44" i="12" s="1"/>
  <c r="AF39" i="12" a="1"/>
  <c r="AF39" i="12" s="1"/>
  <c r="AH35" i="12" a="1"/>
  <c r="AH35" i="12" s="1"/>
  <c r="Y35" i="12" a="1"/>
  <c r="Y35" i="12" s="1"/>
  <c r="AE31" i="12" a="1"/>
  <c r="AE31" i="12" s="1"/>
  <c r="AP27" i="12" a="1"/>
  <c r="AP27" i="12" s="1"/>
  <c r="AG27" i="12" a="1"/>
  <c r="AG27" i="12" s="1"/>
  <c r="AN22" i="12" a="1"/>
  <c r="AN22" i="12" s="1"/>
  <c r="AF22" i="12" a="1"/>
  <c r="AF22" i="12" s="1"/>
  <c r="AN18" i="12" a="1"/>
  <c r="AN18" i="12" s="1"/>
  <c r="AG18" i="12" a="1"/>
  <c r="AG18" i="12" s="1"/>
  <c r="Z18" i="12" a="1"/>
  <c r="Z18" i="12" s="1"/>
  <c r="AM14" i="12" a="1"/>
  <c r="AM14" i="12" s="1"/>
  <c r="AF14" i="12" a="1"/>
  <c r="AF14" i="12" s="1"/>
  <c r="Z14" i="12" a="1"/>
  <c r="Z14" i="12" s="1"/>
  <c r="AL10" i="12" a="1"/>
  <c r="AL10" i="12" s="1"/>
  <c r="AE10" i="12" a="1"/>
  <c r="AE10" i="12" s="1"/>
  <c r="AM6" i="12" a="1"/>
  <c r="AM6" i="12" s="1"/>
  <c r="Z6" i="12" a="1"/>
  <c r="Z6" i="12" s="1"/>
  <c r="AO3" i="12" a="1"/>
  <c r="AO3" i="12" s="1"/>
  <c r="AI3" i="12" a="1"/>
  <c r="AI3" i="12" s="1"/>
  <c r="BK75" i="12" a="1"/>
  <c r="BK75" i="12" s="1"/>
  <c r="BC75" i="12" a="1"/>
  <c r="BC75" i="12" s="1"/>
  <c r="AV75" i="12" a="1"/>
  <c r="AV75" i="12" s="1"/>
  <c r="AI52" i="12" a="1"/>
  <c r="AI52" i="12" s="1"/>
  <c r="AP39" i="12" a="1"/>
  <c r="AP39" i="12" s="1"/>
  <c r="AD39" i="12" a="1"/>
  <c r="AD39" i="12" s="1"/>
  <c r="AL31" i="12" a="1"/>
  <c r="AL31" i="12" s="1"/>
  <c r="Z27" i="12" a="1"/>
  <c r="Z27" i="12" s="1"/>
  <c r="AM22" i="12" a="1"/>
  <c r="AM22" i="12" s="1"/>
  <c r="AE22" i="12" a="1"/>
  <c r="AE22" i="12" s="1"/>
  <c r="AM18" i="12" a="1"/>
  <c r="AM18" i="12" s="1"/>
  <c r="AF18" i="12" a="1"/>
  <c r="AF18" i="12" s="1"/>
  <c r="Y18" i="12" a="1"/>
  <c r="Y18" i="12" s="1"/>
  <c r="AL14" i="12" a="1"/>
  <c r="AL14" i="12" s="1"/>
  <c r="AE14" i="12" a="1"/>
  <c r="AE14" i="12" s="1"/>
  <c r="Y14" i="12" a="1"/>
  <c r="Y14" i="12" s="1"/>
  <c r="AK10" i="12" a="1"/>
  <c r="AK10" i="12" s="1"/>
  <c r="AL6" i="12" a="1"/>
  <c r="AL6" i="12" s="1"/>
  <c r="AF6" i="12" a="1"/>
  <c r="AF6" i="12" s="1"/>
  <c r="Y6" i="12" a="1"/>
  <c r="Y6" i="12" s="1"/>
  <c r="AH3" i="12" a="1"/>
  <c r="AH3" i="12" s="1"/>
  <c r="AB3" i="12" a="1"/>
  <c r="AB3" i="12" s="1"/>
  <c r="BJ75" i="12" a="1"/>
  <c r="BJ75" i="12" s="1"/>
  <c r="BB75" i="12" a="1"/>
  <c r="BB75" i="12" s="1"/>
  <c r="AU75" i="12" a="1"/>
  <c r="AU75" i="12" s="1"/>
  <c r="AE52" i="12" a="1"/>
  <c r="AE52" i="12" s="1"/>
  <c r="AL48" i="12" a="1"/>
  <c r="AL48" i="12" s="1"/>
  <c r="AC44" i="12" a="1"/>
  <c r="AC44" i="12" s="1"/>
  <c r="AG35" i="12" a="1"/>
  <c r="AG35" i="12" s="1"/>
  <c r="AB31" i="12" a="1"/>
  <c r="AB31" i="12" s="1"/>
  <c r="AN27" i="12" a="1"/>
  <c r="AN27" i="12" s="1"/>
  <c r="AF27" i="12" a="1"/>
  <c r="AF27" i="12" s="1"/>
  <c r="Y27" i="12" a="1"/>
  <c r="Y27" i="12" s="1"/>
  <c r="AL22" i="12" a="1"/>
  <c r="AL22" i="12" s="1"/>
  <c r="AL18" i="12" a="1"/>
  <c r="AL18" i="12" s="1"/>
  <c r="AE18" i="12" a="1"/>
  <c r="AE18" i="12" s="1"/>
  <c r="AD14" i="12" a="1"/>
  <c r="AD14" i="12" s="1"/>
  <c r="AQ10" i="12" a="1"/>
  <c r="AQ10" i="12" s="1"/>
  <c r="AJ10" i="12" a="1"/>
  <c r="AJ10" i="12" s="1"/>
  <c r="AD10" i="12" a="1"/>
  <c r="AD10" i="12" s="1"/>
  <c r="AK6" i="12" a="1"/>
  <c r="AK6" i="12" s="1"/>
  <c r="AE6" i="12" a="1"/>
  <c r="AE6" i="12" s="1"/>
  <c r="AN3" i="12" a="1"/>
  <c r="AN3" i="12" s="1"/>
  <c r="AG3" i="12" a="1"/>
  <c r="AG3" i="12" s="1"/>
  <c r="AA3" i="12" a="1"/>
  <c r="AA3" i="12" s="1"/>
  <c r="AD48" i="12" a="1"/>
  <c r="AD48" i="12" s="1"/>
  <c r="AL39" i="12" a="1"/>
  <c r="AL39" i="12" s="1"/>
  <c r="AA39" i="12" a="1"/>
  <c r="AA39" i="12" s="1"/>
  <c r="AN35" i="12" a="1"/>
  <c r="AN35" i="12" s="1"/>
  <c r="AD35" i="12" a="1"/>
  <c r="AD35" i="12" s="1"/>
  <c r="AH31" i="12" a="1"/>
  <c r="AH31" i="12" s="1"/>
  <c r="AI22" i="12" a="1"/>
  <c r="AI22" i="12" s="1"/>
  <c r="AA22" i="12" a="1"/>
  <c r="AA22" i="12" s="1"/>
  <c r="AJ18" i="12" a="1"/>
  <c r="AJ18" i="12" s="1"/>
  <c r="AD18" i="12" a="1"/>
  <c r="AD18" i="12" s="1"/>
  <c r="AP14" i="12" a="1"/>
  <c r="AP14" i="12" s="1"/>
  <c r="AJ14" i="12" a="1"/>
  <c r="AJ14" i="12" s="1"/>
  <c r="AP10" i="12" a="1"/>
  <c r="AP10" i="12" s="1"/>
  <c r="AH10" i="12" a="1"/>
  <c r="AH10" i="12" s="1"/>
  <c r="AB10" i="12" a="1"/>
  <c r="AB10" i="12" s="1"/>
  <c r="AP6" i="12" a="1"/>
  <c r="AP6" i="12" s="1"/>
  <c r="AJ6" i="12" a="1"/>
  <c r="AJ6" i="12" s="1"/>
  <c r="AC6" i="12" a="1"/>
  <c r="AC6" i="12" s="1"/>
  <c r="AL3" i="12" a="1"/>
  <c r="AL3" i="12" s="1"/>
  <c r="AF3" i="12" a="1"/>
  <c r="AF3" i="12" s="1"/>
  <c r="Y3" i="12" a="1"/>
  <c r="Y3" i="12" s="1"/>
  <c r="BG75" i="12" a="1"/>
  <c r="BG75" i="12" s="1"/>
  <c r="AZ75" i="12" a="1"/>
  <c r="AZ75" i="12" s="1"/>
  <c r="AA44" i="12" a="1"/>
  <c r="AA44" i="12" s="1"/>
  <c r="AE27" i="12" a="1"/>
  <c r="AE27" i="12" s="1"/>
  <c r="AQ14" i="12" a="1"/>
  <c r="AQ14" i="12" s="1"/>
  <c r="AK3" i="12" a="1"/>
  <c r="AK3" i="12" s="1"/>
  <c r="BE75" i="12" a="1"/>
  <c r="BE75" i="12" s="1"/>
  <c r="BI63" i="12" a="1"/>
  <c r="BI63" i="12" s="1"/>
  <c r="BB63" i="12" a="1"/>
  <c r="BB63" i="12" s="1"/>
  <c r="AT63" i="12" a="1"/>
  <c r="AT63" i="12" s="1"/>
  <c r="BG59" i="12" a="1"/>
  <c r="BG59" i="12" s="1"/>
  <c r="AZ59" i="12" a="1"/>
  <c r="AZ59" i="12" s="1"/>
  <c r="BI52" i="12" a="1"/>
  <c r="BI52" i="12" s="1"/>
  <c r="BE52" i="12" a="1"/>
  <c r="BE52" i="12" s="1"/>
  <c r="BA52" i="12" a="1"/>
  <c r="BA52" i="12" s="1"/>
  <c r="AW52" i="12" a="1"/>
  <c r="AW52" i="12" s="1"/>
  <c r="AS52" i="12" a="1"/>
  <c r="AS52" i="12" s="1"/>
  <c r="BG48" i="12" a="1"/>
  <c r="BG48" i="12" s="1"/>
  <c r="BB48" i="12" a="1"/>
  <c r="BB48" i="12" s="1"/>
  <c r="AW48" i="12" a="1"/>
  <c r="AW48" i="12" s="1"/>
  <c r="BF44" i="12" a="1"/>
  <c r="BF44" i="12" s="1"/>
  <c r="BA44" i="12" a="1"/>
  <c r="BA44" i="12" s="1"/>
  <c r="AT44" i="12" a="1"/>
  <c r="AT44" i="12" s="1"/>
  <c r="AK14" i="12" a="1"/>
  <c r="AK14" i="12" s="1"/>
  <c r="AQ6" i="12" a="1"/>
  <c r="AQ6" i="12" s="1"/>
  <c r="AB6" i="12" a="1"/>
  <c r="AB6" i="12" s="1"/>
  <c r="BH63" i="12" a="1"/>
  <c r="BH63" i="12" s="1"/>
  <c r="BA63" i="12" a="1"/>
  <c r="BA63" i="12" s="1"/>
  <c r="AS63" i="12" a="1"/>
  <c r="AS63" i="12" s="1"/>
  <c r="BF59" i="12" a="1"/>
  <c r="BF59" i="12" s="1"/>
  <c r="AY59" i="12" a="1"/>
  <c r="AY59" i="12" s="1"/>
  <c r="BK48" i="12" a="1"/>
  <c r="BK48" i="12" s="1"/>
  <c r="BF48" i="12" a="1"/>
  <c r="BF48" i="12" s="1"/>
  <c r="BF39" i="12" a="1"/>
  <c r="BF39" i="12" s="1"/>
  <c r="BA39" i="12" a="1"/>
  <c r="BA39" i="12" s="1"/>
  <c r="AV39" i="12" a="1"/>
  <c r="AV39" i="12" s="1"/>
  <c r="AC14" i="12" a="1"/>
  <c r="AC14" i="12" s="1"/>
  <c r="AO6" i="12" a="1"/>
  <c r="AO6" i="12" s="1"/>
  <c r="BA75" i="12" a="1"/>
  <c r="BA75" i="12" s="1"/>
  <c r="BG63" i="12" a="1"/>
  <c r="BG63" i="12" s="1"/>
  <c r="AZ63" i="12" a="1"/>
  <c r="AZ63" i="12" s="1"/>
  <c r="BE59" i="12" a="1"/>
  <c r="BE59" i="12" s="1"/>
  <c r="AX59" i="12" a="1"/>
  <c r="AX59" i="12" s="1"/>
  <c r="BH52" i="12" a="1"/>
  <c r="BH52" i="12" s="1"/>
  <c r="BD52" i="12" a="1"/>
  <c r="BD52" i="12" s="1"/>
  <c r="AZ52" i="12" a="1"/>
  <c r="AZ52" i="12" s="1"/>
  <c r="AV52" i="12" a="1"/>
  <c r="AV52" i="12" s="1"/>
  <c r="BJ48" i="12" a="1"/>
  <c r="BJ48" i="12" s="1"/>
  <c r="BA48" i="12" a="1"/>
  <c r="BA48" i="12" s="1"/>
  <c r="AV48" i="12" a="1"/>
  <c r="AV48" i="12" s="1"/>
  <c r="BK44" i="12" a="1"/>
  <c r="BK44" i="12" s="1"/>
  <c r="BE44" i="12" a="1"/>
  <c r="BE44" i="12" s="1"/>
  <c r="AZ44" i="12" a="1"/>
  <c r="AZ44" i="12" s="1"/>
  <c r="AS44" i="12" a="1"/>
  <c r="AS44" i="12" s="1"/>
  <c r="AZ39" i="12" a="1"/>
  <c r="AZ39" i="12" s="1"/>
  <c r="AU39" i="12" a="1"/>
  <c r="AU39" i="12" s="1"/>
  <c r="BK35" i="12" a="1"/>
  <c r="BK35" i="12" s="1"/>
  <c r="AS35" i="12" a="1"/>
  <c r="AS35" i="12" s="1"/>
  <c r="BF31" i="12" a="1"/>
  <c r="BF31" i="12" s="1"/>
  <c r="BA31" i="12" a="1"/>
  <c r="BA31" i="12" s="1"/>
  <c r="AU31" i="12" a="1"/>
  <c r="AU31" i="12" s="1"/>
  <c r="Y52" i="12" a="1"/>
  <c r="Y52" i="12" s="1"/>
  <c r="AO35" i="12" a="1"/>
  <c r="AO35" i="12" s="1"/>
  <c r="AB22" i="12" a="1"/>
  <c r="AB22" i="12" s="1"/>
  <c r="AE3" i="12" a="1"/>
  <c r="AE3" i="12" s="1"/>
  <c r="AY75" i="12" a="1"/>
  <c r="AY75" i="12" s="1"/>
  <c r="BF63" i="12" a="1"/>
  <c r="BF63" i="12" s="1"/>
  <c r="AY63" i="12" a="1"/>
  <c r="AY63" i="12" s="1"/>
  <c r="BD59" i="12" a="1"/>
  <c r="BD59" i="12" s="1"/>
  <c r="AW59" i="12" a="1"/>
  <c r="AW59" i="12" s="1"/>
  <c r="BE48" i="12" a="1"/>
  <c r="BE48" i="12" s="1"/>
  <c r="BJ44" i="12" a="1"/>
  <c r="BJ44" i="12" s="1"/>
  <c r="AY44" i="12" a="1"/>
  <c r="AY44" i="12" s="1"/>
  <c r="BK39" i="12" a="1"/>
  <c r="BK39" i="12" s="1"/>
  <c r="BE39" i="12" a="1"/>
  <c r="BE39" i="12" s="1"/>
  <c r="AT39" i="12" a="1"/>
  <c r="AT39" i="12" s="1"/>
  <c r="BJ35" i="12" a="1"/>
  <c r="BJ35" i="12" s="1"/>
  <c r="BD35" i="12" a="1"/>
  <c r="BD35" i="12" s="1"/>
  <c r="AY35" i="12" a="1"/>
  <c r="AY35" i="12" s="1"/>
  <c r="AZ31" i="12" a="1"/>
  <c r="AZ31" i="12" s="1"/>
  <c r="AT31" i="12" a="1"/>
  <c r="AT31" i="12" s="1"/>
  <c r="BJ27" i="12" a="1"/>
  <c r="BJ27" i="12" s="1"/>
  <c r="BD27" i="12" a="1"/>
  <c r="BD27" i="12" s="1"/>
  <c r="AX27" i="12" a="1"/>
  <c r="AX27" i="12" s="1"/>
  <c r="BF22" i="12" a="1"/>
  <c r="BF22" i="12" s="1"/>
  <c r="BA22" i="12" a="1"/>
  <c r="BA22" i="12" s="1"/>
  <c r="AU22" i="12" a="1"/>
  <c r="AU22" i="12" s="1"/>
  <c r="BI18" i="12" a="1"/>
  <c r="BI18" i="12" s="1"/>
  <c r="AF35" i="12" a="1"/>
  <c r="AF35" i="12" s="1"/>
  <c r="AQ31" i="12" a="1"/>
  <c r="AQ31" i="12" s="1"/>
  <c r="AQ18" i="12" a="1"/>
  <c r="AQ18" i="12" s="1"/>
  <c r="AD3" i="12" a="1"/>
  <c r="AD3" i="12" s="1"/>
  <c r="AX75" i="12" a="1"/>
  <c r="AX75" i="12" s="1"/>
  <c r="AX63" i="12" a="1"/>
  <c r="AX63" i="12" s="1"/>
  <c r="BK59" i="12" a="1"/>
  <c r="BK59" i="12" s="1"/>
  <c r="BC59" i="12" a="1"/>
  <c r="BC59" i="12" s="1"/>
  <c r="AV59" i="12" a="1"/>
  <c r="AV59" i="12" s="1"/>
  <c r="BK52" i="12" a="1"/>
  <c r="BK52" i="12" s="1"/>
  <c r="BG52" i="12" a="1"/>
  <c r="BG52" i="12" s="1"/>
  <c r="BC52" i="12" a="1"/>
  <c r="BC52" i="12" s="1"/>
  <c r="AY52" i="12" a="1"/>
  <c r="AY52" i="12" s="1"/>
  <c r="AU52" i="12" a="1"/>
  <c r="AU52" i="12" s="1"/>
  <c r="BI48" i="12" a="1"/>
  <c r="BI48" i="12" s="1"/>
  <c r="AZ48" i="12" a="1"/>
  <c r="AZ48" i="12" s="1"/>
  <c r="AU48" i="12" a="1"/>
  <c r="AU48" i="12" s="1"/>
  <c r="BD44" i="12" a="1"/>
  <c r="BD44" i="12" s="1"/>
  <c r="AX44" i="12" a="1"/>
  <c r="AX44" i="12" s="1"/>
  <c r="BJ39" i="12" a="1"/>
  <c r="BJ39" i="12" s="1"/>
  <c r="AY39" i="12" a="1"/>
  <c r="AY39" i="12" s="1"/>
  <c r="AS39" i="12" a="1"/>
  <c r="AS39" i="12" s="1"/>
  <c r="AX35" i="12" a="1"/>
  <c r="AX35" i="12" s="1"/>
  <c r="BK31" i="12" a="1"/>
  <c r="BK31" i="12" s="1"/>
  <c r="BE31" i="12" a="1"/>
  <c r="BE31" i="12" s="1"/>
  <c r="AY31" i="12" a="1"/>
  <c r="AY31" i="12" s="1"/>
  <c r="AC39" i="12" a="1"/>
  <c r="AC39" i="12" s="1"/>
  <c r="AK31" i="12" a="1"/>
  <c r="AK31" i="12" s="1"/>
  <c r="AK18" i="12" a="1"/>
  <c r="AK18" i="12" s="1"/>
  <c r="AI10" i="12" a="1"/>
  <c r="AI10" i="12" s="1"/>
  <c r="AI6" i="12" a="1"/>
  <c r="AI6" i="12" s="1"/>
  <c r="Z3" i="12" a="1"/>
  <c r="Z3" i="12" s="1"/>
  <c r="BI75" i="12" a="1"/>
  <c r="BI75" i="12" s="1"/>
  <c r="AT75" i="12" a="1"/>
  <c r="AT75" i="12" s="1"/>
  <c r="BK63" i="12" a="1"/>
  <c r="BK63" i="12" s="1"/>
  <c r="BE63" i="12" a="1"/>
  <c r="BE63" i="12" s="1"/>
  <c r="AW63" i="12" a="1"/>
  <c r="AW63" i="12" s="1"/>
  <c r="BJ59" i="12" a="1"/>
  <c r="BJ59" i="12" s="1"/>
  <c r="BB59" i="12" a="1"/>
  <c r="BB59" i="12" s="1"/>
  <c r="AU59" i="12" a="1"/>
  <c r="AU59" i="12" s="1"/>
  <c r="BD48" i="12" a="1"/>
  <c r="BD48" i="12" s="1"/>
  <c r="AT48" i="12" a="1"/>
  <c r="AT48" i="12" s="1"/>
  <c r="BI44" i="12" a="1"/>
  <c r="BI44" i="12" s="1"/>
  <c r="BC44" i="12" a="1"/>
  <c r="BC44" i="12" s="1"/>
  <c r="AW44" i="12" a="1"/>
  <c r="AW44" i="12" s="1"/>
  <c r="BI39" i="12" a="1"/>
  <c r="BI39" i="12" s="1"/>
  <c r="BD39" i="12" a="1"/>
  <c r="BD39" i="12" s="1"/>
  <c r="AX39" i="12" a="1"/>
  <c r="AX39" i="12" s="1"/>
  <c r="BI35" i="12" a="1"/>
  <c r="BI35" i="12" s="1"/>
  <c r="AM27" i="12" a="1"/>
  <c r="AM27" i="12" s="1"/>
  <c r="AD6" i="12" a="1"/>
  <c r="AD6" i="12" s="1"/>
  <c r="AM3" i="12" a="1"/>
  <c r="AM3" i="12" s="1"/>
  <c r="BF75" i="12" a="1"/>
  <c r="BF75" i="12" s="1"/>
  <c r="BJ63" i="12" a="1"/>
  <c r="BJ63" i="12" s="1"/>
  <c r="BC63" i="12" a="1"/>
  <c r="BC63" i="12" s="1"/>
  <c r="AU63" i="12" a="1"/>
  <c r="AU63" i="12" s="1"/>
  <c r="BH59" i="12" a="1"/>
  <c r="BH59" i="12" s="1"/>
  <c r="BA59" i="12" a="1"/>
  <c r="BA59" i="12" s="1"/>
  <c r="AS59" i="12" a="1"/>
  <c r="AS59" i="12" s="1"/>
  <c r="BC48" i="12" a="1"/>
  <c r="BC48" i="12" s="1"/>
  <c r="AX48" i="12" a="1"/>
  <c r="AX48" i="12" s="1"/>
  <c r="AS48" i="12" a="1"/>
  <c r="AS48" i="12" s="1"/>
  <c r="BF52" i="12" a="1"/>
  <c r="BF52" i="12" s="1"/>
  <c r="BC39" i="12" a="1"/>
  <c r="BC39" i="12" s="1"/>
  <c r="BH35" i="12" a="1"/>
  <c r="BH35" i="12" s="1"/>
  <c r="AZ35" i="12" a="1"/>
  <c r="AZ35" i="12" s="1"/>
  <c r="AW31" i="12" a="1"/>
  <c r="AW31" i="12" s="1"/>
  <c r="BH27" i="12" a="1"/>
  <c r="BH27" i="12" s="1"/>
  <c r="BA27" i="12" a="1"/>
  <c r="BA27" i="12" s="1"/>
  <c r="AU27" i="12" a="1"/>
  <c r="AU27" i="12" s="1"/>
  <c r="AY22" i="12" a="1"/>
  <c r="AY22" i="12" s="1"/>
  <c r="BK18" i="12" a="1"/>
  <c r="BK18" i="12" s="1"/>
  <c r="BD18" i="12" a="1"/>
  <c r="BD18" i="12" s="1"/>
  <c r="AX18" i="12" a="1"/>
  <c r="AX18" i="12" s="1"/>
  <c r="BF14" i="12" a="1"/>
  <c r="BF14" i="12" s="1"/>
  <c r="AZ14" i="12" a="1"/>
  <c r="AZ14" i="12" s="1"/>
  <c r="AT14" i="12" a="1"/>
  <c r="AT14" i="12" s="1"/>
  <c r="BE10" i="12" a="1"/>
  <c r="BE10" i="12" s="1"/>
  <c r="AY10" i="12" a="1"/>
  <c r="AY10" i="12" s="1"/>
  <c r="BJ6" i="12" a="1"/>
  <c r="BJ6" i="12" s="1"/>
  <c r="AW6" i="12" a="1"/>
  <c r="AW6" i="12" s="1"/>
  <c r="BH3" i="12" a="1"/>
  <c r="BH3" i="12" s="1"/>
  <c r="BA3" i="12" a="1"/>
  <c r="BA3" i="12" s="1"/>
  <c r="AU3" i="12" a="1"/>
  <c r="AU3" i="12" s="1"/>
  <c r="CE6" i="12" a="1"/>
  <c r="CE6" i="12" s="1"/>
  <c r="BR6" i="12" a="1"/>
  <c r="BR6" i="12" s="1"/>
  <c r="AC10" i="12" a="1"/>
  <c r="AC10" i="12" s="1"/>
  <c r="BI59" i="12" a="1"/>
  <c r="BI59" i="12" s="1"/>
  <c r="BB52" i="12" a="1"/>
  <c r="BB52" i="12" s="1"/>
  <c r="BH48" i="12" a="1"/>
  <c r="BH48" i="12" s="1"/>
  <c r="BH44" i="12" a="1"/>
  <c r="BH44" i="12" s="1"/>
  <c r="BB39" i="12" a="1"/>
  <c r="BB39" i="12" s="1"/>
  <c r="BG35" i="12" a="1"/>
  <c r="BG35" i="12" s="1"/>
  <c r="BG31" i="12" a="1"/>
  <c r="BG31" i="12" s="1"/>
  <c r="BG27" i="12" a="1"/>
  <c r="BG27" i="12" s="1"/>
  <c r="AT27" i="12" a="1"/>
  <c r="AT27" i="12" s="1"/>
  <c r="BE22" i="12" a="1"/>
  <c r="BE22" i="12" s="1"/>
  <c r="AX22" i="12" a="1"/>
  <c r="AX22" i="12" s="1"/>
  <c r="BJ18" i="12" a="1"/>
  <c r="BJ18" i="12" s="1"/>
  <c r="AY14" i="12" a="1"/>
  <c r="AY14" i="12" s="1"/>
  <c r="BK10" i="12" a="1"/>
  <c r="BK10" i="12" s="1"/>
  <c r="BD10" i="12" a="1"/>
  <c r="BD10" i="12" s="1"/>
  <c r="AX10" i="12" a="1"/>
  <c r="AX10" i="12" s="1"/>
  <c r="BI6" i="12" a="1"/>
  <c r="BI6" i="12" s="1"/>
  <c r="BD6" i="12" a="1"/>
  <c r="BD6" i="12" s="1"/>
  <c r="BG3" i="12" a="1"/>
  <c r="BG3" i="12" s="1"/>
  <c r="AT3" i="12" a="1"/>
  <c r="AT3" i="12" s="1"/>
  <c r="CD6" i="12" a="1"/>
  <c r="CD6" i="12" s="1"/>
  <c r="BX6" i="12" a="1"/>
  <c r="BX6" i="12" s="1"/>
  <c r="BQ6" i="12" a="1"/>
  <c r="BQ6" i="12" s="1"/>
  <c r="BH6" i="12" a="1"/>
  <c r="BH6" i="12" s="1"/>
  <c r="BC6" i="12" a="1"/>
  <c r="BC6" i="12" s="1"/>
  <c r="AV6" i="12" a="1"/>
  <c r="AV6" i="12" s="1"/>
  <c r="BF3" i="12" a="1"/>
  <c r="BF3" i="12" s="1"/>
  <c r="AS3" i="12" a="1"/>
  <c r="AS3" i="12" s="1"/>
  <c r="CC6" i="12" a="1"/>
  <c r="CC6" i="12" s="1"/>
  <c r="AA31" i="12" a="1"/>
  <c r="AA31" i="12" s="1"/>
  <c r="BD63" i="12" a="1"/>
  <c r="BD63" i="12" s="1"/>
  <c r="AX52" i="12" a="1"/>
  <c r="AX52" i="12" s="1"/>
  <c r="BG44" i="12" a="1"/>
  <c r="BG44" i="12" s="1"/>
  <c r="BF35" i="12" a="1"/>
  <c r="BF35" i="12" s="1"/>
  <c r="AW35" i="12" a="1"/>
  <c r="AW35" i="12" s="1"/>
  <c r="AV31" i="12" a="1"/>
  <c r="AV31" i="12" s="1"/>
  <c r="BF27" i="12" a="1"/>
  <c r="BF27" i="12" s="1"/>
  <c r="AZ27" i="12" a="1"/>
  <c r="AZ27" i="12" s="1"/>
  <c r="AS27" i="12" a="1"/>
  <c r="AS27" i="12" s="1"/>
  <c r="AW22" i="12" a="1"/>
  <c r="AW22" i="12" s="1"/>
  <c r="BC18" i="12" a="1"/>
  <c r="BC18" i="12" s="1"/>
  <c r="AW18" i="12" a="1"/>
  <c r="AW18" i="12" s="1"/>
  <c r="BK14" i="12" a="1"/>
  <c r="BK14" i="12" s="1"/>
  <c r="BE14" i="12" a="1"/>
  <c r="BE14" i="12" s="1"/>
  <c r="AX14" i="12" a="1"/>
  <c r="AX14" i="12" s="1"/>
  <c r="AS14" i="12" a="1"/>
  <c r="AS14" i="12" s="1"/>
  <c r="BJ10" i="12" a="1"/>
  <c r="BJ10" i="12" s="1"/>
  <c r="AZ3" i="12" a="1"/>
  <c r="AZ3" i="12" s="1"/>
  <c r="BW6" i="12" a="1"/>
  <c r="BW6" i="12" s="1"/>
  <c r="AV63" i="12" a="1"/>
  <c r="AV63" i="12" s="1"/>
  <c r="AT59" i="12" a="1"/>
  <c r="AT59" i="12" s="1"/>
  <c r="AT52" i="12" a="1"/>
  <c r="AT52" i="12" s="1"/>
  <c r="AY48" i="12" a="1"/>
  <c r="AY48" i="12" s="1"/>
  <c r="BB44" i="12" a="1"/>
  <c r="BB44" i="12" s="1"/>
  <c r="BE35" i="12" a="1"/>
  <c r="BE35" i="12" s="1"/>
  <c r="AV35" i="12" a="1"/>
  <c r="AV35" i="12" s="1"/>
  <c r="BD31" i="12" a="1"/>
  <c r="BD31" i="12" s="1"/>
  <c r="AY27" i="12" a="1"/>
  <c r="AY27" i="12" s="1"/>
  <c r="BK22" i="12" a="1"/>
  <c r="BK22" i="12" s="1"/>
  <c r="BD22" i="12" a="1"/>
  <c r="BD22" i="12" s="1"/>
  <c r="BH18" i="12" a="1"/>
  <c r="BH18" i="12" s="1"/>
  <c r="BB18" i="12" a="1"/>
  <c r="BB18" i="12" s="1"/>
  <c r="BJ14" i="12" a="1"/>
  <c r="BJ14" i="12" s="1"/>
  <c r="AW14" i="12" a="1"/>
  <c r="AW14" i="12" s="1"/>
  <c r="BC10" i="12" a="1"/>
  <c r="BC10" i="12" s="1"/>
  <c r="AW10" i="12" a="1"/>
  <c r="AW10" i="12" s="1"/>
  <c r="BB6" i="12" a="1"/>
  <c r="BB6" i="12" s="1"/>
  <c r="BE3" i="12" a="1"/>
  <c r="BE3" i="12" s="1"/>
  <c r="AY3" i="12" a="1"/>
  <c r="AY3" i="12" s="1"/>
  <c r="BV6" i="12" a="1"/>
  <c r="BV6" i="12" s="1"/>
  <c r="BP6" i="12" a="1"/>
  <c r="BP6" i="12" s="1"/>
  <c r="CB6" i="12" a="1"/>
  <c r="CB6" i="12" s="1"/>
  <c r="BN6" i="12" a="1"/>
  <c r="BN6" i="12" s="1"/>
  <c r="AH6" i="12" a="1"/>
  <c r="AH6" i="12" s="1"/>
  <c r="AW39" i="12" a="1"/>
  <c r="AW39" i="12" s="1"/>
  <c r="BC35" i="12" a="1"/>
  <c r="BC35" i="12" s="1"/>
  <c r="AU35" i="12" a="1"/>
  <c r="AU35" i="12" s="1"/>
  <c r="BE27" i="12" a="1"/>
  <c r="BE27" i="12" s="1"/>
  <c r="BJ22" i="12" a="1"/>
  <c r="BJ22" i="12" s="1"/>
  <c r="AV22" i="12" a="1"/>
  <c r="AV22" i="12" s="1"/>
  <c r="BG18" i="12" a="1"/>
  <c r="BG18" i="12" s="1"/>
  <c r="BA18" i="12" a="1"/>
  <c r="BA18" i="12" s="1"/>
  <c r="AV18" i="12" a="1"/>
  <c r="AV18" i="12" s="1"/>
  <c r="BI14" i="12" a="1"/>
  <c r="BI14" i="12" s="1"/>
  <c r="BD14" i="12" a="1"/>
  <c r="BD14" i="12" s="1"/>
  <c r="BI10" i="12" a="1"/>
  <c r="BI10" i="12" s="1"/>
  <c r="BB10" i="12" a="1"/>
  <c r="BB10" i="12" s="1"/>
  <c r="AV10" i="12" a="1"/>
  <c r="AV10" i="12" s="1"/>
  <c r="BG6" i="12" a="1"/>
  <c r="BG6" i="12" s="1"/>
  <c r="BA6" i="12" a="1"/>
  <c r="BA6" i="12" s="1"/>
  <c r="AU6" i="12" a="1"/>
  <c r="AU6" i="12" s="1"/>
  <c r="BK3" i="12" a="1"/>
  <c r="BK3" i="12" s="1"/>
  <c r="AX3" i="12" a="1"/>
  <c r="AX3" i="12" s="1"/>
  <c r="BU6" i="12" a="1"/>
  <c r="BU6" i="12" s="1"/>
  <c r="BO6" i="12" a="1"/>
  <c r="BO6" i="12" s="1"/>
  <c r="CA6" i="12" a="1"/>
  <c r="CA6" i="12" s="1"/>
  <c r="AV44" i="12" a="1"/>
  <c r="AV44" i="12" s="1"/>
  <c r="BB35" i="12" a="1"/>
  <c r="BB35" i="12" s="1"/>
  <c r="AT35" i="12" a="1"/>
  <c r="AT35" i="12" s="1"/>
  <c r="BJ31" i="12" a="1"/>
  <c r="BJ31" i="12" s="1"/>
  <c r="BC31" i="12" a="1"/>
  <c r="BC31" i="12" s="1"/>
  <c r="AS31" i="12" a="1"/>
  <c r="AS31" i="12" s="1"/>
  <c r="BK27" i="12" a="1"/>
  <c r="BK27" i="12" s="1"/>
  <c r="AW27" i="12" a="1"/>
  <c r="AW27" i="12" s="1"/>
  <c r="BI22" i="12" a="1"/>
  <c r="BI22" i="12" s="1"/>
  <c r="BC22" i="12" a="1"/>
  <c r="BC22" i="12" s="1"/>
  <c r="BF18" i="12" a="1"/>
  <c r="BF18" i="12" s="1"/>
  <c r="AU18" i="12" a="1"/>
  <c r="AU18" i="12" s="1"/>
  <c r="BH14" i="12" a="1"/>
  <c r="BH14" i="12" s="1"/>
  <c r="BC14" i="12" a="1"/>
  <c r="BC14" i="12" s="1"/>
  <c r="AV14" i="12" a="1"/>
  <c r="AV14" i="12" s="1"/>
  <c r="BH10" i="12" a="1"/>
  <c r="BH10" i="12" s="1"/>
  <c r="BA10" i="12" a="1"/>
  <c r="BA10" i="12" s="1"/>
  <c r="AU10" i="12" a="1"/>
  <c r="AU10" i="12" s="1"/>
  <c r="BF6" i="12" a="1"/>
  <c r="BF6" i="12" s="1"/>
  <c r="AZ6" i="12" a="1"/>
  <c r="AZ6" i="12" s="1"/>
  <c r="AT6" i="12" a="1"/>
  <c r="AT6" i="12" s="1"/>
  <c r="BJ3" i="12" a="1"/>
  <c r="BJ3" i="12" s="1"/>
  <c r="BD3" i="12" a="1"/>
  <c r="BD3" i="12" s="1"/>
  <c r="AW3" i="12" a="1"/>
  <c r="AW3" i="12" s="1"/>
  <c r="AQ3" i="12" a="1"/>
  <c r="AQ3" i="12" s="1"/>
  <c r="AS75" i="12" a="1"/>
  <c r="AS75" i="12" s="1"/>
  <c r="BJ52" i="12" a="1"/>
  <c r="BJ52" i="12" s="1"/>
  <c r="BG39" i="12" a="1"/>
  <c r="BG39" i="12" s="1"/>
  <c r="BA35" i="12" a="1"/>
  <c r="BA35" i="12" s="1"/>
  <c r="BH31" i="12" a="1"/>
  <c r="BH31" i="12" s="1"/>
  <c r="AX31" i="12" a="1"/>
  <c r="AX31" i="12" s="1"/>
  <c r="BI27" i="12" a="1"/>
  <c r="BI27" i="12" s="1"/>
  <c r="BB27" i="12" a="1"/>
  <c r="BB27" i="12" s="1"/>
  <c r="AV27" i="12" a="1"/>
  <c r="AV27" i="12" s="1"/>
  <c r="BG22" i="12" a="1"/>
  <c r="BG22" i="12" s="1"/>
  <c r="AZ22" i="12" a="1"/>
  <c r="AZ22" i="12" s="1"/>
  <c r="AS22" i="12" a="1"/>
  <c r="AS22" i="12" s="1"/>
  <c r="BE18" i="12" a="1"/>
  <c r="BE18" i="12" s="1"/>
  <c r="AY18" i="12" a="1"/>
  <c r="AY18" i="12" s="1"/>
  <c r="AS18" i="12" a="1"/>
  <c r="AS18" i="12" s="1"/>
  <c r="BG14" i="12" a="1"/>
  <c r="BG14" i="12" s="1"/>
  <c r="BA14" i="12" a="1"/>
  <c r="BA14" i="12" s="1"/>
  <c r="AU14" i="12" a="1"/>
  <c r="AU14" i="12" s="1"/>
  <c r="BF10" i="12" a="1"/>
  <c r="BF10" i="12" s="1"/>
  <c r="AZ10" i="12" a="1"/>
  <c r="AZ10" i="12" s="1"/>
  <c r="AS10" i="12" a="1"/>
  <c r="AS10" i="12" s="1"/>
  <c r="BK6" i="12" a="1"/>
  <c r="BK6" i="12" s="1"/>
  <c r="BE6" i="12" a="1"/>
  <c r="BE6" i="12" s="1"/>
  <c r="AX6" i="12" a="1"/>
  <c r="AX6" i="12" s="1"/>
  <c r="AS6" i="12" a="1"/>
  <c r="AS6" i="12" s="1"/>
  <c r="BB3" i="12" a="1"/>
  <c r="BB3" i="12" s="1"/>
  <c r="AV3" i="12" a="1"/>
  <c r="AV3" i="12" s="1"/>
  <c r="BY6" i="12" a="1"/>
  <c r="BY6" i="12" s="1"/>
  <c r="BS6" i="12" a="1"/>
  <c r="BS6" i="12" s="1"/>
  <c r="BB31" i="12" a="1"/>
  <c r="BB31" i="12" s="1"/>
  <c r="AT22" i="12" a="1"/>
  <c r="AT22" i="12" s="1"/>
  <c r="BB14" i="12" a="1"/>
  <c r="BB14" i="12" s="1"/>
  <c r="BT6" i="12" a="1"/>
  <c r="BT6" i="12" s="1"/>
  <c r="BH39" i="12" a="1"/>
  <c r="BH39" i="12" s="1"/>
  <c r="BM6" i="12" a="1"/>
  <c r="BM6" i="12" s="1"/>
  <c r="BC3" i="12" a="1"/>
  <c r="BC3" i="12" s="1"/>
  <c r="BH75" i="12" a="1"/>
  <c r="BH75" i="12" s="1"/>
  <c r="AY6" i="12" a="1"/>
  <c r="AY6" i="12" s="1"/>
  <c r="BI3" i="12" a="1"/>
  <c r="BI3" i="12" s="1"/>
  <c r="AZ18" i="12" a="1"/>
  <c r="AZ18" i="12" s="1"/>
  <c r="BH22" i="12" a="1"/>
  <c r="BH22" i="12" s="1"/>
  <c r="BC27" i="12" a="1"/>
  <c r="BC27" i="12" s="1"/>
  <c r="AT10" i="12" a="1"/>
  <c r="AT10" i="12" s="1"/>
  <c r="AT18" i="12" a="1"/>
  <c r="AT18" i="12" s="1"/>
  <c r="BG10" i="12" a="1"/>
  <c r="BG10" i="12" s="1"/>
  <c r="AU44" i="12" a="1"/>
  <c r="AU44" i="12" s="1"/>
  <c r="BI31" i="12" a="1"/>
  <c r="BI31" i="12" s="1"/>
  <c r="BB22" i="12" a="1"/>
  <c r="BB22" i="12" s="1"/>
  <c r="BZ6" i="12" a="1"/>
  <c r="BZ6" i="12" s="1"/>
  <c r="K3" i="10" a="1"/>
  <c r="K3" i="10" s="1"/>
  <c r="S3" i="10" a="1"/>
  <c r="S3" i="10" s="1"/>
  <c r="AA3" i="10" a="1"/>
  <c r="AA3" i="10" s="1"/>
  <c r="AI3" i="10" a="1"/>
  <c r="AI3" i="10" s="1"/>
  <c r="AQ3" i="10" a="1"/>
  <c r="AQ3" i="10" s="1"/>
  <c r="AY3" i="10" a="1"/>
  <c r="AY3" i="10" s="1"/>
  <c r="BG3" i="10" a="1"/>
  <c r="BG3" i="10" s="1"/>
  <c r="BO3" i="10" a="1"/>
  <c r="BO3" i="10" s="1"/>
  <c r="BW3" i="10" a="1"/>
  <c r="BW3" i="10" s="1"/>
  <c r="CE3" i="10" a="1"/>
  <c r="CE3" i="10" s="1"/>
  <c r="J10" i="10" a="1"/>
  <c r="J10" i="10" s="1"/>
  <c r="R10" i="10" a="1"/>
  <c r="R10" i="10" s="1"/>
  <c r="Z10" i="10" a="1"/>
  <c r="Z10" i="10" s="1"/>
  <c r="AH10" i="10" a="1"/>
  <c r="AH10" i="10" s="1"/>
  <c r="AP10" i="10" a="1"/>
  <c r="AP10" i="10" s="1"/>
  <c r="AX10" i="10" a="1"/>
  <c r="AX10" i="10" s="1"/>
  <c r="BF10" i="10" a="1"/>
  <c r="BF10" i="10" s="1"/>
  <c r="BN10" i="10" a="1"/>
  <c r="BN10" i="10" s="1"/>
  <c r="BV10" i="10" a="1"/>
  <c r="BV10" i="10" s="1"/>
  <c r="CD10" i="10" a="1"/>
  <c r="CD10" i="10" s="1"/>
  <c r="J14" i="10" a="1"/>
  <c r="J14" i="10" s="1"/>
  <c r="R14" i="10" a="1"/>
  <c r="R14" i="10" s="1"/>
  <c r="Z14" i="10" a="1"/>
  <c r="Z14" i="10" s="1"/>
  <c r="AH14" i="10" a="1"/>
  <c r="AH14" i="10" s="1"/>
  <c r="AP14" i="10" a="1"/>
  <c r="AP14" i="10" s="1"/>
  <c r="AX14" i="10" a="1"/>
  <c r="AX14" i="10" s="1"/>
  <c r="BF14" i="10" a="1"/>
  <c r="BF14" i="10" s="1"/>
  <c r="BN14" i="10" a="1"/>
  <c r="BN14" i="10" s="1"/>
  <c r="BV14" i="10" a="1"/>
  <c r="BV14" i="10" s="1"/>
  <c r="CD14" i="10" a="1"/>
  <c r="CD14" i="10" s="1"/>
  <c r="I18" i="10" a="1"/>
  <c r="I18" i="10" s="1"/>
  <c r="Q18" i="10" a="1"/>
  <c r="Q18" i="10" s="1"/>
  <c r="Y18" i="10" a="1"/>
  <c r="Y18" i="10" s="1"/>
  <c r="AG18" i="10" a="1"/>
  <c r="AG18" i="10" s="1"/>
  <c r="AO18" i="10" a="1"/>
  <c r="AO18" i="10" s="1"/>
  <c r="AW18" i="10" a="1"/>
  <c r="AW18" i="10" s="1"/>
  <c r="BE18" i="10" a="1"/>
  <c r="BE18" i="10" s="1"/>
  <c r="BM18" i="10" a="1"/>
  <c r="BM18" i="10" s="1"/>
  <c r="BU18" i="10" a="1"/>
  <c r="BU18" i="10" s="1"/>
  <c r="CC18" i="10" a="1"/>
  <c r="CC18" i="10" s="1"/>
  <c r="L3" i="10" a="1"/>
  <c r="L3" i="10" s="1"/>
  <c r="T3" i="10" a="1"/>
  <c r="T3" i="10" s="1"/>
  <c r="AB3" i="10" a="1"/>
  <c r="AB3" i="10" s="1"/>
  <c r="AJ3" i="10" a="1"/>
  <c r="AJ3" i="10" s="1"/>
  <c r="AZ3" i="10" a="1"/>
  <c r="AZ3" i="10" s="1"/>
  <c r="BH3" i="10" a="1"/>
  <c r="BH3" i="10" s="1"/>
  <c r="BP3" i="10" a="1"/>
  <c r="BP3" i="10" s="1"/>
  <c r="BX3" i="10" a="1"/>
  <c r="BX3" i="10" s="1"/>
  <c r="K10" i="10" a="1"/>
  <c r="K10" i="10" s="1"/>
  <c r="S10" i="10" a="1"/>
  <c r="S10" i="10" s="1"/>
  <c r="AA10" i="10" a="1"/>
  <c r="AA10" i="10" s="1"/>
  <c r="AI10" i="10" a="1"/>
  <c r="AI10" i="10" s="1"/>
  <c r="AQ10" i="10" a="1"/>
  <c r="AQ10" i="10" s="1"/>
  <c r="AY10" i="10" a="1"/>
  <c r="AY10" i="10" s="1"/>
  <c r="BG10" i="10" a="1"/>
  <c r="BG10" i="10" s="1"/>
  <c r="BO10" i="10" a="1"/>
  <c r="BO10" i="10" s="1"/>
  <c r="BW10" i="10" a="1"/>
  <c r="BW10" i="10" s="1"/>
  <c r="CE10" i="10" a="1"/>
  <c r="CE10" i="10" s="1"/>
  <c r="K14" i="10" a="1"/>
  <c r="K14" i="10" s="1"/>
  <c r="S14" i="10" a="1"/>
  <c r="S14" i="10" s="1"/>
  <c r="AA14" i="10" a="1"/>
  <c r="AA14" i="10" s="1"/>
  <c r="AI14" i="10" a="1"/>
  <c r="AI14" i="10" s="1"/>
  <c r="AQ14" i="10" a="1"/>
  <c r="AQ14" i="10" s="1"/>
  <c r="AY14" i="10" a="1"/>
  <c r="AY14" i="10" s="1"/>
  <c r="BG14" i="10" a="1"/>
  <c r="BG14" i="10" s="1"/>
  <c r="BO14" i="10" a="1"/>
  <c r="BO14" i="10" s="1"/>
  <c r="BW14" i="10" a="1"/>
  <c r="BW14" i="10" s="1"/>
  <c r="CE14" i="10" a="1"/>
  <c r="CE14" i="10" s="1"/>
  <c r="J18" i="10" a="1"/>
  <c r="J18" i="10" s="1"/>
  <c r="R18" i="10" a="1"/>
  <c r="R18" i="10" s="1"/>
  <c r="Z18" i="10" a="1"/>
  <c r="Z18" i="10" s="1"/>
  <c r="AH18" i="10" a="1"/>
  <c r="AH18" i="10" s="1"/>
  <c r="AP18" i="10" a="1"/>
  <c r="AP18" i="10" s="1"/>
  <c r="AX18" i="10" a="1"/>
  <c r="AX18" i="10" s="1"/>
  <c r="BF18" i="10" a="1"/>
  <c r="BF18" i="10" s="1"/>
  <c r="BN18" i="10" a="1"/>
  <c r="BN18" i="10" s="1"/>
  <c r="BV18" i="10" a="1"/>
  <c r="BV18" i="10" s="1"/>
  <c r="CD18" i="10" a="1"/>
  <c r="CD18" i="10" s="1"/>
  <c r="J22" i="10" a="1"/>
  <c r="J22" i="10" s="1"/>
  <c r="R22" i="10" a="1"/>
  <c r="R22" i="10" s="1"/>
  <c r="Z22" i="10" a="1"/>
  <c r="Z22" i="10" s="1"/>
  <c r="AH22" i="10" a="1"/>
  <c r="AH22" i="10" s="1"/>
  <c r="AP22" i="10" a="1"/>
  <c r="AP22" i="10" s="1"/>
  <c r="AX22" i="10" a="1"/>
  <c r="AX22" i="10" s="1"/>
  <c r="BF22" i="10" a="1"/>
  <c r="BF22" i="10" s="1"/>
  <c r="BN22" i="10" a="1"/>
  <c r="BN22" i="10" s="1"/>
  <c r="BV22" i="10" a="1"/>
  <c r="BV22" i="10" s="1"/>
  <c r="CD22" i="10" a="1"/>
  <c r="CD22" i="10" s="1"/>
  <c r="E3" i="10" a="1"/>
  <c r="E3" i="10" s="1"/>
  <c r="M3" i="10" a="1"/>
  <c r="M3" i="10" s="1"/>
  <c r="U3" i="10" a="1"/>
  <c r="U3" i="10" s="1"/>
  <c r="AC3" i="10" a="1"/>
  <c r="AC3" i="10" s="1"/>
  <c r="AK3" i="10" a="1"/>
  <c r="AK3" i="10" s="1"/>
  <c r="AS3" i="10" a="1"/>
  <c r="AS3" i="10" s="1"/>
  <c r="BA3" i="10" a="1"/>
  <c r="BA3" i="10" s="1"/>
  <c r="BI3" i="10" a="1"/>
  <c r="BI3" i="10" s="1"/>
  <c r="BQ3" i="10" a="1"/>
  <c r="BQ3" i="10" s="1"/>
  <c r="BY3" i="10" a="1"/>
  <c r="BY3" i="10" s="1"/>
  <c r="L10" i="10" a="1"/>
  <c r="L10" i="10" s="1"/>
  <c r="T10" i="10" a="1"/>
  <c r="T10" i="10" s="1"/>
  <c r="AB10" i="10" a="1"/>
  <c r="AB10" i="10" s="1"/>
  <c r="AJ10" i="10" a="1"/>
  <c r="AJ10" i="10" s="1"/>
  <c r="AZ10" i="10" a="1"/>
  <c r="AZ10" i="10" s="1"/>
  <c r="BH10" i="10" a="1"/>
  <c r="BH10" i="10" s="1"/>
  <c r="BP10" i="10" a="1"/>
  <c r="BP10" i="10" s="1"/>
  <c r="BX10" i="10" a="1"/>
  <c r="BX10" i="10" s="1"/>
  <c r="L14" i="10" a="1"/>
  <c r="L14" i="10" s="1"/>
  <c r="T14" i="10" a="1"/>
  <c r="T14" i="10" s="1"/>
  <c r="AB14" i="10" a="1"/>
  <c r="AB14" i="10" s="1"/>
  <c r="AJ14" i="10" a="1"/>
  <c r="AJ14" i="10" s="1"/>
  <c r="AZ14" i="10" a="1"/>
  <c r="AZ14" i="10" s="1"/>
  <c r="BH14" i="10" a="1"/>
  <c r="BH14" i="10" s="1"/>
  <c r="BP14" i="10" a="1"/>
  <c r="BP14" i="10" s="1"/>
  <c r="BX14" i="10" a="1"/>
  <c r="BX14" i="10" s="1"/>
  <c r="K18" i="10" a="1"/>
  <c r="K18" i="10" s="1"/>
  <c r="S18" i="10" a="1"/>
  <c r="S18" i="10" s="1"/>
  <c r="AA18" i="10" a="1"/>
  <c r="AA18" i="10" s="1"/>
  <c r="AI18" i="10" a="1"/>
  <c r="AI18" i="10" s="1"/>
  <c r="AQ18" i="10" a="1"/>
  <c r="AQ18" i="10" s="1"/>
  <c r="AY18" i="10" a="1"/>
  <c r="AY18" i="10" s="1"/>
  <c r="BG18" i="10" a="1"/>
  <c r="BG18" i="10" s="1"/>
  <c r="BO18" i="10" a="1"/>
  <c r="BO18" i="10" s="1"/>
  <c r="BW18" i="10" a="1"/>
  <c r="BW18" i="10" s="1"/>
  <c r="CE18" i="10" a="1"/>
  <c r="CE18" i="10" s="1"/>
  <c r="F3" i="10" a="1"/>
  <c r="F3" i="10" s="1"/>
  <c r="N3" i="10" a="1"/>
  <c r="N3" i="10" s="1"/>
  <c r="V3" i="10" a="1"/>
  <c r="V3" i="10" s="1"/>
  <c r="AD3" i="10" a="1"/>
  <c r="AD3" i="10" s="1"/>
  <c r="AL3" i="10" a="1"/>
  <c r="AL3" i="10" s="1"/>
  <c r="AT3" i="10" a="1"/>
  <c r="AT3" i="10" s="1"/>
  <c r="BB3" i="10" a="1"/>
  <c r="BB3" i="10" s="1"/>
  <c r="BJ3" i="10" a="1"/>
  <c r="BJ3" i="10" s="1"/>
  <c r="BR3" i="10" a="1"/>
  <c r="BR3" i="10" s="1"/>
  <c r="BZ3" i="10" a="1"/>
  <c r="BZ3" i="10" s="1"/>
  <c r="E10" i="10" a="1"/>
  <c r="E10" i="10" s="1"/>
  <c r="M10" i="10" a="1"/>
  <c r="M10" i="10" s="1"/>
  <c r="U10" i="10" a="1"/>
  <c r="U10" i="10" s="1"/>
  <c r="AC10" i="10" a="1"/>
  <c r="AC10" i="10" s="1"/>
  <c r="AK10" i="10" a="1"/>
  <c r="AK10" i="10" s="1"/>
  <c r="AS10" i="10" a="1"/>
  <c r="AS10" i="10" s="1"/>
  <c r="BA10" i="10" a="1"/>
  <c r="BA10" i="10" s="1"/>
  <c r="BI10" i="10" a="1"/>
  <c r="BI10" i="10" s="1"/>
  <c r="BQ10" i="10" a="1"/>
  <c r="BQ10" i="10" s="1"/>
  <c r="BY10" i="10" a="1"/>
  <c r="BY10" i="10" s="1"/>
  <c r="E14" i="10" a="1"/>
  <c r="E14" i="10" s="1"/>
  <c r="M14" i="10" a="1"/>
  <c r="M14" i="10" s="1"/>
  <c r="U14" i="10" a="1"/>
  <c r="U14" i="10" s="1"/>
  <c r="AC14" i="10" a="1"/>
  <c r="AC14" i="10" s="1"/>
  <c r="AK14" i="10" a="1"/>
  <c r="AK14" i="10" s="1"/>
  <c r="AS14" i="10" a="1"/>
  <c r="AS14" i="10" s="1"/>
  <c r="BA14" i="10" a="1"/>
  <c r="BA14" i="10" s="1"/>
  <c r="BI14" i="10" a="1"/>
  <c r="BI14" i="10" s="1"/>
  <c r="BQ14" i="10" a="1"/>
  <c r="BQ14" i="10" s="1"/>
  <c r="BY14" i="10" a="1"/>
  <c r="BY14" i="10" s="1"/>
  <c r="L18" i="10" a="1"/>
  <c r="L18" i="10" s="1"/>
  <c r="T18" i="10" a="1"/>
  <c r="T18" i="10" s="1"/>
  <c r="AB18" i="10" a="1"/>
  <c r="AB18" i="10" s="1"/>
  <c r="AJ18" i="10" a="1"/>
  <c r="AJ18" i="10" s="1"/>
  <c r="AZ18" i="10" a="1"/>
  <c r="AZ18" i="10" s="1"/>
  <c r="BH18" i="10" a="1"/>
  <c r="BH18" i="10" s="1"/>
  <c r="BP18" i="10" a="1"/>
  <c r="BP18" i="10" s="1"/>
  <c r="BX18" i="10" a="1"/>
  <c r="BX18" i="10" s="1"/>
  <c r="L22" i="10" a="1"/>
  <c r="L22" i="10" s="1"/>
  <c r="T22" i="10" a="1"/>
  <c r="T22" i="10" s="1"/>
  <c r="AB22" i="10" a="1"/>
  <c r="AB22" i="10" s="1"/>
  <c r="AJ22" i="10" a="1"/>
  <c r="AJ22" i="10" s="1"/>
  <c r="G3" i="10" a="1"/>
  <c r="G3" i="10" s="1"/>
  <c r="O3" i="10" a="1"/>
  <c r="O3" i="10" s="1"/>
  <c r="W3" i="10" a="1"/>
  <c r="W3" i="10" s="1"/>
  <c r="AE3" i="10" a="1"/>
  <c r="AE3" i="10" s="1"/>
  <c r="AM3" i="10" a="1"/>
  <c r="AM3" i="10" s="1"/>
  <c r="AU3" i="10" a="1"/>
  <c r="AU3" i="10" s="1"/>
  <c r="BC3" i="10" a="1"/>
  <c r="BC3" i="10" s="1"/>
  <c r="BK3" i="10" a="1"/>
  <c r="BK3" i="10" s="1"/>
  <c r="BS3" i="10" a="1"/>
  <c r="BS3" i="10" s="1"/>
  <c r="CA3" i="10" a="1"/>
  <c r="CA3" i="10" s="1"/>
  <c r="F10" i="10" a="1"/>
  <c r="F10" i="10" s="1"/>
  <c r="N10" i="10" a="1"/>
  <c r="N10" i="10" s="1"/>
  <c r="V10" i="10" a="1"/>
  <c r="V10" i="10" s="1"/>
  <c r="AD10" i="10" a="1"/>
  <c r="AD10" i="10" s="1"/>
  <c r="AL10" i="10" a="1"/>
  <c r="AL10" i="10" s="1"/>
  <c r="AT10" i="10" a="1"/>
  <c r="AT10" i="10" s="1"/>
  <c r="BB10" i="10" a="1"/>
  <c r="BB10" i="10" s="1"/>
  <c r="BJ10" i="10" a="1"/>
  <c r="BJ10" i="10" s="1"/>
  <c r="BR10" i="10" a="1"/>
  <c r="BR10" i="10" s="1"/>
  <c r="BZ10" i="10" a="1"/>
  <c r="BZ10" i="10" s="1"/>
  <c r="F14" i="10" a="1"/>
  <c r="F14" i="10" s="1"/>
  <c r="N14" i="10" a="1"/>
  <c r="N14" i="10" s="1"/>
  <c r="V14" i="10" a="1"/>
  <c r="V14" i="10" s="1"/>
  <c r="AD14" i="10" a="1"/>
  <c r="AD14" i="10" s="1"/>
  <c r="AL14" i="10" a="1"/>
  <c r="AL14" i="10" s="1"/>
  <c r="AT14" i="10" a="1"/>
  <c r="AT14" i="10" s="1"/>
  <c r="BB14" i="10" a="1"/>
  <c r="BB14" i="10" s="1"/>
  <c r="BJ14" i="10" a="1"/>
  <c r="BJ14" i="10" s="1"/>
  <c r="BR14" i="10" a="1"/>
  <c r="BR14" i="10" s="1"/>
  <c r="BZ14" i="10" a="1"/>
  <c r="BZ14" i="10" s="1"/>
  <c r="E18" i="10" a="1"/>
  <c r="E18" i="10" s="1"/>
  <c r="M18" i="10" a="1"/>
  <c r="M18" i="10" s="1"/>
  <c r="U18" i="10" a="1"/>
  <c r="U18" i="10" s="1"/>
  <c r="AC18" i="10" a="1"/>
  <c r="AC18" i="10" s="1"/>
  <c r="AK18" i="10" a="1"/>
  <c r="AK18" i="10" s="1"/>
  <c r="AS18" i="10" a="1"/>
  <c r="AS18" i="10" s="1"/>
  <c r="BA18" i="10" a="1"/>
  <c r="BA18" i="10" s="1"/>
  <c r="BI18" i="10" a="1"/>
  <c r="BI18" i="10" s="1"/>
  <c r="BQ18" i="10" a="1"/>
  <c r="BQ18" i="10" s="1"/>
  <c r="BY18" i="10" a="1"/>
  <c r="BY18" i="10" s="1"/>
  <c r="H3" i="10" a="1"/>
  <c r="H3" i="10" s="1"/>
  <c r="P3" i="10" a="1"/>
  <c r="P3" i="10" s="1"/>
  <c r="AF3" i="10" a="1"/>
  <c r="AF3" i="10" s="1"/>
  <c r="AN3" i="10" a="1"/>
  <c r="AN3" i="10" s="1"/>
  <c r="AV3" i="10" a="1"/>
  <c r="AV3" i="10" s="1"/>
  <c r="BD3" i="10" a="1"/>
  <c r="BD3" i="10" s="1"/>
  <c r="BT3" i="10" a="1"/>
  <c r="BT3" i="10" s="1"/>
  <c r="CB3" i="10" a="1"/>
  <c r="CB3" i="10" s="1"/>
  <c r="G10" i="10" a="1"/>
  <c r="G10" i="10" s="1"/>
  <c r="O10" i="10" a="1"/>
  <c r="O10" i="10" s="1"/>
  <c r="W10" i="10" a="1"/>
  <c r="W10" i="10" s="1"/>
  <c r="AE10" i="10" a="1"/>
  <c r="AE10" i="10" s="1"/>
  <c r="AM10" i="10" a="1"/>
  <c r="AM10" i="10" s="1"/>
  <c r="AU10" i="10" a="1"/>
  <c r="AU10" i="10" s="1"/>
  <c r="BC10" i="10" a="1"/>
  <c r="BC10" i="10" s="1"/>
  <c r="BK10" i="10" a="1"/>
  <c r="BK10" i="10" s="1"/>
  <c r="BS10" i="10" a="1"/>
  <c r="BS10" i="10" s="1"/>
  <c r="CA10" i="10" a="1"/>
  <c r="CA10" i="10" s="1"/>
  <c r="G14" i="10" a="1"/>
  <c r="G14" i="10" s="1"/>
  <c r="O14" i="10" a="1"/>
  <c r="O14" i="10" s="1"/>
  <c r="W14" i="10" a="1"/>
  <c r="W14" i="10" s="1"/>
  <c r="AE14" i="10" a="1"/>
  <c r="AE14" i="10" s="1"/>
  <c r="AM14" i="10" a="1"/>
  <c r="AM14" i="10" s="1"/>
  <c r="AU14" i="10" a="1"/>
  <c r="AU14" i="10" s="1"/>
  <c r="BC14" i="10" a="1"/>
  <c r="BC14" i="10" s="1"/>
  <c r="BK14" i="10" a="1"/>
  <c r="BK14" i="10" s="1"/>
  <c r="BS14" i="10" a="1"/>
  <c r="BS14" i="10" s="1"/>
  <c r="CA14" i="10" a="1"/>
  <c r="CA14" i="10" s="1"/>
  <c r="J3" i="10" a="1"/>
  <c r="J3" i="10" s="1"/>
  <c r="R3" i="10" a="1"/>
  <c r="R3" i="10" s="1"/>
  <c r="Z3" i="10" a="1"/>
  <c r="Z3" i="10" s="1"/>
  <c r="AH3" i="10" a="1"/>
  <c r="AH3" i="10" s="1"/>
  <c r="AP3" i="10" a="1"/>
  <c r="AP3" i="10" s="1"/>
  <c r="AX3" i="10" a="1"/>
  <c r="AX3" i="10" s="1"/>
  <c r="BF3" i="10" a="1"/>
  <c r="BF3" i="10" s="1"/>
  <c r="BN3" i="10" a="1"/>
  <c r="BN3" i="10" s="1"/>
  <c r="BV3" i="10" a="1"/>
  <c r="BV3" i="10" s="1"/>
  <c r="CD3" i="10" a="1"/>
  <c r="CD3" i="10" s="1"/>
  <c r="I10" i="10" a="1"/>
  <c r="I10" i="10" s="1"/>
  <c r="Q10" i="10" a="1"/>
  <c r="Q10" i="10" s="1"/>
  <c r="Y10" i="10" a="1"/>
  <c r="Y10" i="10" s="1"/>
  <c r="AG10" i="10" a="1"/>
  <c r="AG10" i="10" s="1"/>
  <c r="AO10" i="10" a="1"/>
  <c r="AO10" i="10" s="1"/>
  <c r="AW10" i="10" a="1"/>
  <c r="AW10" i="10" s="1"/>
  <c r="BE10" i="10" a="1"/>
  <c r="BE10" i="10" s="1"/>
  <c r="BM10" i="10" a="1"/>
  <c r="BM10" i="10" s="1"/>
  <c r="BU10" i="10" a="1"/>
  <c r="BU10" i="10" s="1"/>
  <c r="CC10" i="10" a="1"/>
  <c r="CC10" i="10" s="1"/>
  <c r="I14" i="10" a="1"/>
  <c r="I14" i="10" s="1"/>
  <c r="Q14" i="10" a="1"/>
  <c r="Q14" i="10" s="1"/>
  <c r="Y14" i="10" a="1"/>
  <c r="Y14" i="10" s="1"/>
  <c r="AG14" i="10" a="1"/>
  <c r="AG14" i="10" s="1"/>
  <c r="AO14" i="10" a="1"/>
  <c r="AO14" i="10" s="1"/>
  <c r="AW14" i="10" a="1"/>
  <c r="AW14" i="10" s="1"/>
  <c r="BE14" i="10" a="1"/>
  <c r="BE14" i="10" s="1"/>
  <c r="BM14" i="10" a="1"/>
  <c r="BM14" i="10" s="1"/>
  <c r="BU14" i="10" a="1"/>
  <c r="BU14" i="10" s="1"/>
  <c r="CC14" i="10" a="1"/>
  <c r="CC14" i="10" s="1"/>
  <c r="H18" i="10" a="1"/>
  <c r="H18" i="10" s="1"/>
  <c r="P18" i="10" a="1"/>
  <c r="P18" i="10" s="1"/>
  <c r="AF18" i="10" a="1"/>
  <c r="AF18" i="10" s="1"/>
  <c r="AN18" i="10" a="1"/>
  <c r="AN18" i="10" s="1"/>
  <c r="AV18" i="10" a="1"/>
  <c r="AV18" i="10" s="1"/>
  <c r="BD18" i="10" a="1"/>
  <c r="BD18" i="10" s="1"/>
  <c r="BT18" i="10" a="1"/>
  <c r="BT18" i="10" s="1"/>
  <c r="CB18" i="10" a="1"/>
  <c r="CB18" i="10" s="1"/>
  <c r="H22" i="10" a="1"/>
  <c r="H22" i="10" s="1"/>
  <c r="P22" i="10" a="1"/>
  <c r="P22" i="10" s="1"/>
  <c r="AF22" i="10" a="1"/>
  <c r="AF22" i="10" s="1"/>
  <c r="AN22" i="10" a="1"/>
  <c r="AN22" i="10" s="1"/>
  <c r="AV22" i="10" a="1"/>
  <c r="AV22" i="10" s="1"/>
  <c r="BD22" i="10" a="1"/>
  <c r="BD22" i="10" s="1"/>
  <c r="BT22" i="10" a="1"/>
  <c r="BT22" i="10" s="1"/>
  <c r="CB22" i="10" a="1"/>
  <c r="CB22" i="10" s="1"/>
  <c r="BM3" i="10" a="1"/>
  <c r="BM3" i="10" s="1"/>
  <c r="F18" i="10" a="1"/>
  <c r="F18" i="10" s="1"/>
  <c r="AL18" i="10" a="1"/>
  <c r="AL18" i="10" s="1"/>
  <c r="BR18" i="10" a="1"/>
  <c r="BR18" i="10" s="1"/>
  <c r="G22" i="10" a="1"/>
  <c r="G22" i="10" s="1"/>
  <c r="U22" i="10" a="1"/>
  <c r="U22" i="10" s="1"/>
  <c r="AG22" i="10" a="1"/>
  <c r="AG22" i="10" s="1"/>
  <c r="AS22" i="10" a="1"/>
  <c r="AS22" i="10" s="1"/>
  <c r="BC22" i="10" a="1"/>
  <c r="BC22" i="10" s="1"/>
  <c r="BO22" i="10" a="1"/>
  <c r="BO22" i="10" s="1"/>
  <c r="BY22" i="10" a="1"/>
  <c r="BY22" i="10" s="1"/>
  <c r="G27" i="10" a="1"/>
  <c r="G27" i="10" s="1"/>
  <c r="O27" i="10" a="1"/>
  <c r="O27" i="10" s="1"/>
  <c r="W27" i="10" a="1"/>
  <c r="W27" i="10" s="1"/>
  <c r="AE27" i="10" a="1"/>
  <c r="AE27" i="10" s="1"/>
  <c r="AM27" i="10" a="1"/>
  <c r="AM27" i="10" s="1"/>
  <c r="AU27" i="10" a="1"/>
  <c r="AU27" i="10" s="1"/>
  <c r="BC27" i="10" a="1"/>
  <c r="BC27" i="10" s="1"/>
  <c r="BK27" i="10" a="1"/>
  <c r="BK27" i="10" s="1"/>
  <c r="BS27" i="10" a="1"/>
  <c r="BS27" i="10" s="1"/>
  <c r="CA27" i="10" a="1"/>
  <c r="CA27" i="10" s="1"/>
  <c r="G31" i="10" a="1"/>
  <c r="G31" i="10" s="1"/>
  <c r="O31" i="10" a="1"/>
  <c r="O31" i="10" s="1"/>
  <c r="W31" i="10" a="1"/>
  <c r="W31" i="10" s="1"/>
  <c r="AE31" i="10" a="1"/>
  <c r="AE31" i="10" s="1"/>
  <c r="AM31" i="10" a="1"/>
  <c r="AM31" i="10" s="1"/>
  <c r="AU31" i="10" a="1"/>
  <c r="AU31" i="10" s="1"/>
  <c r="BC31" i="10" a="1"/>
  <c r="BC31" i="10" s="1"/>
  <c r="BK31" i="10" a="1"/>
  <c r="BK31" i="10" s="1"/>
  <c r="BS31" i="10" a="1"/>
  <c r="BS31" i="10" s="1"/>
  <c r="CA31" i="10" a="1"/>
  <c r="CA31" i="10" s="1"/>
  <c r="I3" i="10" a="1"/>
  <c r="I3" i="10" s="1"/>
  <c r="BU3" i="10" a="1"/>
  <c r="BU3" i="10" s="1"/>
  <c r="H10" i="10" a="1"/>
  <c r="H10" i="10" s="1"/>
  <c r="BT10" i="10" a="1"/>
  <c r="BT10" i="10" s="1"/>
  <c r="H14" i="10" a="1"/>
  <c r="H14" i="10" s="1"/>
  <c r="BT14" i="10" a="1"/>
  <c r="BT14" i="10" s="1"/>
  <c r="G18" i="10" a="1"/>
  <c r="G18" i="10" s="1"/>
  <c r="AM18" i="10" a="1"/>
  <c r="AM18" i="10" s="1"/>
  <c r="BS18" i="10" a="1"/>
  <c r="BS18" i="10" s="1"/>
  <c r="I22" i="10" a="1"/>
  <c r="I22" i="10" s="1"/>
  <c r="V22" i="10" a="1"/>
  <c r="V22" i="10" s="1"/>
  <c r="AI22" i="10" a="1"/>
  <c r="AI22" i="10" s="1"/>
  <c r="AT22" i="10" a="1"/>
  <c r="AT22" i="10" s="1"/>
  <c r="BE22" i="10" a="1"/>
  <c r="BE22" i="10" s="1"/>
  <c r="BP22" i="10" a="1"/>
  <c r="BP22" i="10" s="1"/>
  <c r="BZ22" i="10" a="1"/>
  <c r="BZ22" i="10" s="1"/>
  <c r="H27" i="10" a="1"/>
  <c r="H27" i="10" s="1"/>
  <c r="P27" i="10" a="1"/>
  <c r="P27" i="10" s="1"/>
  <c r="AF27" i="10" a="1"/>
  <c r="AF27" i="10" s="1"/>
  <c r="AN27" i="10" a="1"/>
  <c r="AN27" i="10" s="1"/>
  <c r="AV27" i="10" a="1"/>
  <c r="AV27" i="10" s="1"/>
  <c r="BD27" i="10" a="1"/>
  <c r="BD27" i="10" s="1"/>
  <c r="BT27" i="10" a="1"/>
  <c r="BT27" i="10" s="1"/>
  <c r="CB27" i="10" a="1"/>
  <c r="CB27" i="10" s="1"/>
  <c r="H31" i="10" a="1"/>
  <c r="H31" i="10" s="1"/>
  <c r="P31" i="10" a="1"/>
  <c r="P31" i="10" s="1"/>
  <c r="AF31" i="10" a="1"/>
  <c r="AF31" i="10" s="1"/>
  <c r="AN31" i="10" a="1"/>
  <c r="AN31" i="10" s="1"/>
  <c r="AV31" i="10" a="1"/>
  <c r="AV31" i="10" s="1"/>
  <c r="BD31" i="10" a="1"/>
  <c r="BD31" i="10" s="1"/>
  <c r="BT31" i="10" a="1"/>
  <c r="BT31" i="10" s="1"/>
  <c r="CB31" i="10" a="1"/>
  <c r="CB31" i="10" s="1"/>
  <c r="H35" i="10" a="1"/>
  <c r="H35" i="10" s="1"/>
  <c r="P35" i="10" a="1"/>
  <c r="P35" i="10" s="1"/>
  <c r="AF35" i="10" a="1"/>
  <c r="AF35" i="10" s="1"/>
  <c r="AN35" i="10" a="1"/>
  <c r="AN35" i="10" s="1"/>
  <c r="AV35" i="10" a="1"/>
  <c r="AV35" i="10" s="1"/>
  <c r="BD35" i="10" a="1"/>
  <c r="BD35" i="10" s="1"/>
  <c r="BT35" i="10" a="1"/>
  <c r="BT35" i="10" s="1"/>
  <c r="CB35" i="10" a="1"/>
  <c r="CB35" i="10" s="1"/>
  <c r="Q3" i="10" a="1"/>
  <c r="Q3" i="10" s="1"/>
  <c r="CC3" i="10" a="1"/>
  <c r="CC3" i="10" s="1"/>
  <c r="P10" i="10" a="1"/>
  <c r="P10" i="10" s="1"/>
  <c r="CB10" i="10" a="1"/>
  <c r="CB10" i="10" s="1"/>
  <c r="P14" i="10" a="1"/>
  <c r="P14" i="10" s="1"/>
  <c r="CB14" i="10" a="1"/>
  <c r="CB14" i="10" s="1"/>
  <c r="N18" i="10" a="1"/>
  <c r="N18" i="10" s="1"/>
  <c r="AT18" i="10" a="1"/>
  <c r="AT18" i="10" s="1"/>
  <c r="BZ18" i="10" a="1"/>
  <c r="BZ18" i="10" s="1"/>
  <c r="K22" i="10" a="1"/>
  <c r="K22" i="10" s="1"/>
  <c r="W22" i="10" a="1"/>
  <c r="W22" i="10" s="1"/>
  <c r="AK22" i="10" a="1"/>
  <c r="AK22" i="10" s="1"/>
  <c r="AU22" i="10" a="1"/>
  <c r="AU22" i="10" s="1"/>
  <c r="BG22" i="10" a="1"/>
  <c r="BG22" i="10" s="1"/>
  <c r="BQ22" i="10" a="1"/>
  <c r="BQ22" i="10" s="1"/>
  <c r="CA22" i="10" a="1"/>
  <c r="CA22" i="10" s="1"/>
  <c r="I27" i="10" a="1"/>
  <c r="I27" i="10" s="1"/>
  <c r="Q27" i="10" a="1"/>
  <c r="Q27" i="10" s="1"/>
  <c r="Y27" i="10" a="1"/>
  <c r="Y27" i="10" s="1"/>
  <c r="AG27" i="10" a="1"/>
  <c r="AG27" i="10" s="1"/>
  <c r="AO27" i="10" a="1"/>
  <c r="AO27" i="10" s="1"/>
  <c r="AW27" i="10" a="1"/>
  <c r="AW27" i="10" s="1"/>
  <c r="BE27" i="10" a="1"/>
  <c r="BE27" i="10" s="1"/>
  <c r="BM27" i="10" a="1"/>
  <c r="BM27" i="10" s="1"/>
  <c r="BU27" i="10" a="1"/>
  <c r="BU27" i="10" s="1"/>
  <c r="CC27" i="10" a="1"/>
  <c r="CC27" i="10" s="1"/>
  <c r="Y3" i="10" a="1"/>
  <c r="Y3" i="10" s="1"/>
  <c r="O18" i="10" a="1"/>
  <c r="O18" i="10" s="1"/>
  <c r="AU18" i="10" a="1"/>
  <c r="AU18" i="10" s="1"/>
  <c r="CA18" i="10" a="1"/>
  <c r="CA18" i="10" s="1"/>
  <c r="M22" i="10" a="1"/>
  <c r="M22" i="10" s="1"/>
  <c r="Y22" i="10" a="1"/>
  <c r="Y22" i="10" s="1"/>
  <c r="AL22" i="10" a="1"/>
  <c r="AL22" i="10" s="1"/>
  <c r="AW22" i="10" a="1"/>
  <c r="AW22" i="10" s="1"/>
  <c r="BH22" i="10" a="1"/>
  <c r="BH22" i="10" s="1"/>
  <c r="BR22" i="10" a="1"/>
  <c r="BR22" i="10" s="1"/>
  <c r="CC22" i="10" a="1"/>
  <c r="CC22" i="10" s="1"/>
  <c r="J27" i="10" a="1"/>
  <c r="J27" i="10" s="1"/>
  <c r="R27" i="10" a="1"/>
  <c r="R27" i="10" s="1"/>
  <c r="Z27" i="10" a="1"/>
  <c r="Z27" i="10" s="1"/>
  <c r="AH27" i="10" a="1"/>
  <c r="AH27" i="10" s="1"/>
  <c r="AP27" i="10" a="1"/>
  <c r="AP27" i="10" s="1"/>
  <c r="AX27" i="10" a="1"/>
  <c r="AX27" i="10" s="1"/>
  <c r="BF27" i="10" a="1"/>
  <c r="BF27" i="10" s="1"/>
  <c r="BN27" i="10" a="1"/>
  <c r="BN27" i="10" s="1"/>
  <c r="BV27" i="10" a="1"/>
  <c r="BV27" i="10" s="1"/>
  <c r="CD27" i="10" a="1"/>
  <c r="CD27" i="10" s="1"/>
  <c r="J31" i="10" a="1"/>
  <c r="J31" i="10" s="1"/>
  <c r="R31" i="10" a="1"/>
  <c r="R31" i="10" s="1"/>
  <c r="Z31" i="10" a="1"/>
  <c r="Z31" i="10" s="1"/>
  <c r="AH31" i="10" a="1"/>
  <c r="AH31" i="10" s="1"/>
  <c r="AP31" i="10" a="1"/>
  <c r="AP31" i="10" s="1"/>
  <c r="AX31" i="10" a="1"/>
  <c r="AX31" i="10" s="1"/>
  <c r="BF31" i="10" a="1"/>
  <c r="BF31" i="10" s="1"/>
  <c r="BN31" i="10" a="1"/>
  <c r="BN31" i="10" s="1"/>
  <c r="BV31" i="10" a="1"/>
  <c r="BV31" i="10" s="1"/>
  <c r="CD31" i="10" a="1"/>
  <c r="CD31" i="10" s="1"/>
  <c r="AG3" i="10" a="1"/>
  <c r="AG3" i="10" s="1"/>
  <c r="AF10" i="10" a="1"/>
  <c r="AF10" i="10" s="1"/>
  <c r="AF14" i="10" a="1"/>
  <c r="AF14" i="10" s="1"/>
  <c r="V18" i="10" a="1"/>
  <c r="V18" i="10" s="1"/>
  <c r="BB18" i="10" a="1"/>
  <c r="BB18" i="10" s="1"/>
  <c r="N22" i="10" a="1"/>
  <c r="N22" i="10" s="1"/>
  <c r="AA22" i="10" a="1"/>
  <c r="AA22" i="10" s="1"/>
  <c r="AM22" i="10" a="1"/>
  <c r="AM22" i="10" s="1"/>
  <c r="AY22" i="10" a="1"/>
  <c r="AY22" i="10" s="1"/>
  <c r="BI22" i="10" a="1"/>
  <c r="BI22" i="10" s="1"/>
  <c r="BS22" i="10" a="1"/>
  <c r="BS22" i="10" s="1"/>
  <c r="CE22" i="10" a="1"/>
  <c r="CE22" i="10" s="1"/>
  <c r="K27" i="10" a="1"/>
  <c r="K27" i="10" s="1"/>
  <c r="S27" i="10" a="1"/>
  <c r="S27" i="10" s="1"/>
  <c r="AA27" i="10" a="1"/>
  <c r="AA27" i="10" s="1"/>
  <c r="AI27" i="10" a="1"/>
  <c r="AI27" i="10" s="1"/>
  <c r="AQ27" i="10" a="1"/>
  <c r="AQ27" i="10" s="1"/>
  <c r="AY27" i="10" a="1"/>
  <c r="AY27" i="10" s="1"/>
  <c r="BG27" i="10" a="1"/>
  <c r="BG27" i="10" s="1"/>
  <c r="BO27" i="10" a="1"/>
  <c r="BO27" i="10" s="1"/>
  <c r="BW27" i="10" a="1"/>
  <c r="BW27" i="10" s="1"/>
  <c r="CE27" i="10" a="1"/>
  <c r="CE27" i="10" s="1"/>
  <c r="K31" i="10" a="1"/>
  <c r="K31" i="10" s="1"/>
  <c r="S31" i="10" a="1"/>
  <c r="S31" i="10" s="1"/>
  <c r="AA31" i="10" a="1"/>
  <c r="AA31" i="10" s="1"/>
  <c r="AI31" i="10" a="1"/>
  <c r="AI31" i="10" s="1"/>
  <c r="AQ31" i="10" a="1"/>
  <c r="AQ31" i="10" s="1"/>
  <c r="AY31" i="10" a="1"/>
  <c r="AY31" i="10" s="1"/>
  <c r="BG31" i="10" a="1"/>
  <c r="BG31" i="10" s="1"/>
  <c r="BO31" i="10" a="1"/>
  <c r="BO31" i="10" s="1"/>
  <c r="BW31" i="10" a="1"/>
  <c r="BW31" i="10" s="1"/>
  <c r="CE31" i="10" a="1"/>
  <c r="CE31" i="10" s="1"/>
  <c r="AO3" i="10" a="1"/>
  <c r="AO3" i="10" s="1"/>
  <c r="AN10" i="10" a="1"/>
  <c r="AN10" i="10" s="1"/>
  <c r="AN14" i="10" a="1"/>
  <c r="AN14" i="10" s="1"/>
  <c r="W18" i="10" a="1"/>
  <c r="W18" i="10" s="1"/>
  <c r="BC18" i="10" a="1"/>
  <c r="BC18" i="10" s="1"/>
  <c r="O22" i="10" a="1"/>
  <c r="O22" i="10" s="1"/>
  <c r="AC22" i="10" a="1"/>
  <c r="AC22" i="10" s="1"/>
  <c r="AO22" i="10" a="1"/>
  <c r="AO22" i="10" s="1"/>
  <c r="AZ22" i="10" a="1"/>
  <c r="AZ22" i="10" s="1"/>
  <c r="BJ22" i="10" a="1"/>
  <c r="BJ22" i="10" s="1"/>
  <c r="BU22" i="10" a="1"/>
  <c r="BU22" i="10" s="1"/>
  <c r="L27" i="10" a="1"/>
  <c r="L27" i="10" s="1"/>
  <c r="T27" i="10" a="1"/>
  <c r="T27" i="10" s="1"/>
  <c r="AB27" i="10" a="1"/>
  <c r="AB27" i="10" s="1"/>
  <c r="AJ27" i="10" a="1"/>
  <c r="AJ27" i="10" s="1"/>
  <c r="AZ27" i="10" a="1"/>
  <c r="AZ27" i="10" s="1"/>
  <c r="BH27" i="10" a="1"/>
  <c r="BH27" i="10" s="1"/>
  <c r="BP27" i="10" a="1"/>
  <c r="BP27" i="10" s="1"/>
  <c r="BX27" i="10" a="1"/>
  <c r="BX27" i="10" s="1"/>
  <c r="L31" i="10" a="1"/>
  <c r="L31" i="10" s="1"/>
  <c r="T31" i="10" a="1"/>
  <c r="T31" i="10" s="1"/>
  <c r="AB31" i="10" a="1"/>
  <c r="AB31" i="10" s="1"/>
  <c r="AJ31" i="10" a="1"/>
  <c r="AJ31" i="10" s="1"/>
  <c r="AZ31" i="10" a="1"/>
  <c r="AZ31" i="10" s="1"/>
  <c r="BH31" i="10" a="1"/>
  <c r="BH31" i="10" s="1"/>
  <c r="BP31" i="10" a="1"/>
  <c r="BP31" i="10" s="1"/>
  <c r="BX31" i="10" a="1"/>
  <c r="BX31" i="10" s="1"/>
  <c r="L35" i="10" a="1"/>
  <c r="L35" i="10" s="1"/>
  <c r="T35" i="10" a="1"/>
  <c r="T35" i="10" s="1"/>
  <c r="AB35" i="10" a="1"/>
  <c r="AB35" i="10" s="1"/>
  <c r="AJ35" i="10" a="1"/>
  <c r="AJ35" i="10" s="1"/>
  <c r="AZ35" i="10" a="1"/>
  <c r="AZ35" i="10" s="1"/>
  <c r="BH35" i="10" a="1"/>
  <c r="BH35" i="10" s="1"/>
  <c r="BP35" i="10" a="1"/>
  <c r="BP35" i="10" s="1"/>
  <c r="BX35" i="10" a="1"/>
  <c r="BX35" i="10" s="1"/>
  <c r="BE3" i="10" a="1"/>
  <c r="BE3" i="10" s="1"/>
  <c r="BD10" i="10" a="1"/>
  <c r="BD10" i="10" s="1"/>
  <c r="BD14" i="10" a="1"/>
  <c r="BD14" i="10" s="1"/>
  <c r="AE18" i="10" a="1"/>
  <c r="AE18" i="10" s="1"/>
  <c r="BK18" i="10" a="1"/>
  <c r="BK18" i="10" s="1"/>
  <c r="F22" i="10" a="1"/>
  <c r="F22" i="10" s="1"/>
  <c r="S22" i="10" a="1"/>
  <c r="S22" i="10" s="1"/>
  <c r="AE22" i="10" a="1"/>
  <c r="AE22" i="10" s="1"/>
  <c r="BB22" i="10" a="1"/>
  <c r="BB22" i="10" s="1"/>
  <c r="BM22" i="10" a="1"/>
  <c r="BM22" i="10" s="1"/>
  <c r="BX22" i="10" a="1"/>
  <c r="BX22" i="10" s="1"/>
  <c r="F27" i="10" a="1"/>
  <c r="F27" i="10" s="1"/>
  <c r="N27" i="10" a="1"/>
  <c r="N27" i="10" s="1"/>
  <c r="V27" i="10" a="1"/>
  <c r="V27" i="10" s="1"/>
  <c r="AD27" i="10" a="1"/>
  <c r="AD27" i="10" s="1"/>
  <c r="AL27" i="10" a="1"/>
  <c r="AL27" i="10" s="1"/>
  <c r="AT27" i="10" a="1"/>
  <c r="AT27" i="10" s="1"/>
  <c r="BB27" i="10" a="1"/>
  <c r="BB27" i="10" s="1"/>
  <c r="BJ27" i="10" a="1"/>
  <c r="BJ27" i="10" s="1"/>
  <c r="BR27" i="10" a="1"/>
  <c r="BR27" i="10" s="1"/>
  <c r="BZ27" i="10" a="1"/>
  <c r="BZ27" i="10" s="1"/>
  <c r="F31" i="10" a="1"/>
  <c r="F31" i="10" s="1"/>
  <c r="N31" i="10" a="1"/>
  <c r="N31" i="10" s="1"/>
  <c r="V31" i="10" a="1"/>
  <c r="V31" i="10" s="1"/>
  <c r="AD31" i="10" a="1"/>
  <c r="AD31" i="10" s="1"/>
  <c r="AL31" i="10" a="1"/>
  <c r="AL31" i="10" s="1"/>
  <c r="AT31" i="10" a="1"/>
  <c r="AT31" i="10" s="1"/>
  <c r="BB31" i="10" a="1"/>
  <c r="BB31" i="10" s="1"/>
  <c r="BJ31" i="10" a="1"/>
  <c r="BJ31" i="10" s="1"/>
  <c r="BR31" i="10" a="1"/>
  <c r="BR31" i="10" s="1"/>
  <c r="BZ31" i="10" a="1"/>
  <c r="BZ31" i="10" s="1"/>
  <c r="F35" i="10" a="1"/>
  <c r="F35" i="10" s="1"/>
  <c r="N35" i="10" a="1"/>
  <c r="N35" i="10" s="1"/>
  <c r="V35" i="10" a="1"/>
  <c r="V35" i="10" s="1"/>
  <c r="AD35" i="10" a="1"/>
  <c r="AD35" i="10" s="1"/>
  <c r="AL35" i="10" a="1"/>
  <c r="AL35" i="10" s="1"/>
  <c r="AT35" i="10" a="1"/>
  <c r="AT35" i="10" s="1"/>
  <c r="BB35" i="10" a="1"/>
  <c r="BB35" i="10" s="1"/>
  <c r="BJ35" i="10" a="1"/>
  <c r="BJ35" i="10" s="1"/>
  <c r="BR35" i="10" a="1"/>
  <c r="BR35" i="10" s="1"/>
  <c r="BZ35" i="10" a="1"/>
  <c r="BZ35" i="10" s="1"/>
  <c r="BK22" i="10" a="1"/>
  <c r="BK22" i="10" s="1"/>
  <c r="U27" i="10" a="1"/>
  <c r="U27" i="10" s="1"/>
  <c r="Q31" i="10" a="1"/>
  <c r="Q31" i="10" s="1"/>
  <c r="AW31" i="10" a="1"/>
  <c r="AW31" i="10" s="1"/>
  <c r="CC31" i="10" a="1"/>
  <c r="CC31" i="10" s="1"/>
  <c r="K35" i="10" a="1"/>
  <c r="K35" i="10" s="1"/>
  <c r="Y35" i="10" a="1"/>
  <c r="Y35" i="10" s="1"/>
  <c r="AK35" i="10" a="1"/>
  <c r="AK35" i="10" s="1"/>
  <c r="AX35" i="10" a="1"/>
  <c r="AX35" i="10" s="1"/>
  <c r="BK35" i="10" a="1"/>
  <c r="BK35" i="10" s="1"/>
  <c r="BW35" i="10" a="1"/>
  <c r="BW35" i="10" s="1"/>
  <c r="H39" i="10" a="1"/>
  <c r="H39" i="10" s="1"/>
  <c r="P39" i="10" a="1"/>
  <c r="P39" i="10" s="1"/>
  <c r="AF39" i="10" a="1"/>
  <c r="AF39" i="10" s="1"/>
  <c r="AN39" i="10" a="1"/>
  <c r="AN39" i="10" s="1"/>
  <c r="AV39" i="10" a="1"/>
  <c r="AV39" i="10" s="1"/>
  <c r="BD39" i="10" a="1"/>
  <c r="BD39" i="10" s="1"/>
  <c r="BT39" i="10" a="1"/>
  <c r="BT39" i="10" s="1"/>
  <c r="CB39" i="10" a="1"/>
  <c r="CB39" i="10" s="1"/>
  <c r="H44" i="10" a="1"/>
  <c r="H44" i="10" s="1"/>
  <c r="P44" i="10" a="1"/>
  <c r="P44" i="10" s="1"/>
  <c r="AF44" i="10" a="1"/>
  <c r="AF44" i="10" s="1"/>
  <c r="AN44" i="10" a="1"/>
  <c r="AN44" i="10" s="1"/>
  <c r="AV44" i="10" a="1"/>
  <c r="AV44" i="10" s="1"/>
  <c r="BD44" i="10" a="1"/>
  <c r="BD44" i="10" s="1"/>
  <c r="BT44" i="10" a="1"/>
  <c r="BT44" i="10" s="1"/>
  <c r="CB44" i="10" a="1"/>
  <c r="CB44" i="10" s="1"/>
  <c r="AW3" i="10" a="1"/>
  <c r="AW3" i="10" s="1"/>
  <c r="BW22" i="10" a="1"/>
  <c r="BW22" i="10" s="1"/>
  <c r="AC27" i="10" a="1"/>
  <c r="AC27" i="10" s="1"/>
  <c r="U31" i="10" a="1"/>
  <c r="U31" i="10" s="1"/>
  <c r="BA31" i="10" a="1"/>
  <c r="BA31" i="10" s="1"/>
  <c r="M35" i="10" a="1"/>
  <c r="M35" i="10" s="1"/>
  <c r="Z35" i="10" a="1"/>
  <c r="Z35" i="10" s="1"/>
  <c r="AM35" i="10" a="1"/>
  <c r="AM35" i="10" s="1"/>
  <c r="AY35" i="10" a="1"/>
  <c r="AY35" i="10" s="1"/>
  <c r="BM35" i="10" a="1"/>
  <c r="BM35" i="10" s="1"/>
  <c r="BY35" i="10" a="1"/>
  <c r="BY35" i="10" s="1"/>
  <c r="I39" i="10" a="1"/>
  <c r="I39" i="10" s="1"/>
  <c r="Q39" i="10" a="1"/>
  <c r="Q39" i="10" s="1"/>
  <c r="Y39" i="10" a="1"/>
  <c r="Y39" i="10" s="1"/>
  <c r="AG39" i="10" a="1"/>
  <c r="AG39" i="10" s="1"/>
  <c r="AO39" i="10" a="1"/>
  <c r="AO39" i="10" s="1"/>
  <c r="AW39" i="10" a="1"/>
  <c r="AW39" i="10" s="1"/>
  <c r="BE39" i="10" a="1"/>
  <c r="BE39" i="10" s="1"/>
  <c r="BM39" i="10" a="1"/>
  <c r="BM39" i="10" s="1"/>
  <c r="BU39" i="10" a="1"/>
  <c r="BU39" i="10" s="1"/>
  <c r="CC39" i="10" a="1"/>
  <c r="CC39" i="10" s="1"/>
  <c r="I44" i="10" a="1"/>
  <c r="I44" i="10" s="1"/>
  <c r="Q44" i="10" a="1"/>
  <c r="Q44" i="10" s="1"/>
  <c r="Y44" i="10" a="1"/>
  <c r="Y44" i="10" s="1"/>
  <c r="AG44" i="10" a="1"/>
  <c r="AG44" i="10" s="1"/>
  <c r="AO44" i="10" a="1"/>
  <c r="AO44" i="10" s="1"/>
  <c r="AW44" i="10" a="1"/>
  <c r="AW44" i="10" s="1"/>
  <c r="BE44" i="10" a="1"/>
  <c r="BE44" i="10" s="1"/>
  <c r="BM44" i="10" a="1"/>
  <c r="BM44" i="10" s="1"/>
  <c r="BU44" i="10" a="1"/>
  <c r="BU44" i="10" s="1"/>
  <c r="CC44" i="10" a="1"/>
  <c r="CC44" i="10" s="1"/>
  <c r="I48" i="10" a="1"/>
  <c r="I48" i="10" s="1"/>
  <c r="Q48" i="10" a="1"/>
  <c r="Q48" i="10" s="1"/>
  <c r="Y48" i="10" a="1"/>
  <c r="Y48" i="10" s="1"/>
  <c r="AG48" i="10" a="1"/>
  <c r="AG48" i="10" s="1"/>
  <c r="AO48" i="10" a="1"/>
  <c r="AO48" i="10" s="1"/>
  <c r="AW48" i="10" a="1"/>
  <c r="AW48" i="10" s="1"/>
  <c r="BE48" i="10" a="1"/>
  <c r="BE48" i="10" s="1"/>
  <c r="BM48" i="10" a="1"/>
  <c r="BM48" i="10" s="1"/>
  <c r="BU48" i="10" a="1"/>
  <c r="BU48" i="10" s="1"/>
  <c r="CC48" i="10" a="1"/>
  <c r="CC48" i="10" s="1"/>
  <c r="AK27" i="10" a="1"/>
  <c r="AK27" i="10" s="1"/>
  <c r="Y31" i="10" a="1"/>
  <c r="Y31" i="10" s="1"/>
  <c r="BE31" i="10" a="1"/>
  <c r="BE31" i="10" s="1"/>
  <c r="O35" i="10" a="1"/>
  <c r="O35" i="10" s="1"/>
  <c r="AA35" i="10" a="1"/>
  <c r="AA35" i="10" s="1"/>
  <c r="AO35" i="10" a="1"/>
  <c r="AO35" i="10" s="1"/>
  <c r="BA35" i="10" a="1"/>
  <c r="BA35" i="10" s="1"/>
  <c r="BN35" i="10" a="1"/>
  <c r="BN35" i="10" s="1"/>
  <c r="CA35" i="10" a="1"/>
  <c r="CA35" i="10" s="1"/>
  <c r="J39" i="10" a="1"/>
  <c r="J39" i="10" s="1"/>
  <c r="R39" i="10" a="1"/>
  <c r="R39" i="10" s="1"/>
  <c r="Z39" i="10" a="1"/>
  <c r="Z39" i="10" s="1"/>
  <c r="AH39" i="10" a="1"/>
  <c r="AH39" i="10" s="1"/>
  <c r="AP39" i="10" a="1"/>
  <c r="AP39" i="10" s="1"/>
  <c r="AX39" i="10" a="1"/>
  <c r="AX39" i="10" s="1"/>
  <c r="BF39" i="10" a="1"/>
  <c r="BF39" i="10" s="1"/>
  <c r="BN39" i="10" a="1"/>
  <c r="BN39" i="10" s="1"/>
  <c r="BV39" i="10" a="1"/>
  <c r="BV39" i="10" s="1"/>
  <c r="CD39" i="10" a="1"/>
  <c r="CD39" i="10" s="1"/>
  <c r="J44" i="10" a="1"/>
  <c r="J44" i="10" s="1"/>
  <c r="R44" i="10" a="1"/>
  <c r="R44" i="10" s="1"/>
  <c r="Z44" i="10" a="1"/>
  <c r="Z44" i="10" s="1"/>
  <c r="AH44" i="10" a="1"/>
  <c r="AH44" i="10" s="1"/>
  <c r="AP44" i="10" a="1"/>
  <c r="AP44" i="10" s="1"/>
  <c r="AX44" i="10" a="1"/>
  <c r="AX44" i="10" s="1"/>
  <c r="BF44" i="10" a="1"/>
  <c r="BF44" i="10" s="1"/>
  <c r="BN44" i="10" a="1"/>
  <c r="BN44" i="10" s="1"/>
  <c r="BV44" i="10" a="1"/>
  <c r="BV44" i="10" s="1"/>
  <c r="CD44" i="10" a="1"/>
  <c r="CD44" i="10" s="1"/>
  <c r="J48" i="10" a="1"/>
  <c r="J48" i="10" s="1"/>
  <c r="R48" i="10" a="1"/>
  <c r="R48" i="10" s="1"/>
  <c r="Z48" i="10" a="1"/>
  <c r="Z48" i="10" s="1"/>
  <c r="AH48" i="10" a="1"/>
  <c r="AH48" i="10" s="1"/>
  <c r="AP48" i="10" a="1"/>
  <c r="AP48" i="10" s="1"/>
  <c r="AX48" i="10" a="1"/>
  <c r="AX48" i="10" s="1"/>
  <c r="BF48" i="10" a="1"/>
  <c r="BF48" i="10" s="1"/>
  <c r="BN48" i="10" a="1"/>
  <c r="BN48" i="10" s="1"/>
  <c r="BV48" i="10" a="1"/>
  <c r="BV48" i="10" s="1"/>
  <c r="CD48" i="10" a="1"/>
  <c r="CD48" i="10" s="1"/>
  <c r="J52" i="10" a="1"/>
  <c r="J52" i="10" s="1"/>
  <c r="R52" i="10" a="1"/>
  <c r="R52" i="10" s="1"/>
  <c r="Z52" i="10" a="1"/>
  <c r="Z52" i="10" s="1"/>
  <c r="AH52" i="10" a="1"/>
  <c r="AH52" i="10" s="1"/>
  <c r="AP52" i="10" a="1"/>
  <c r="AP52" i="10" s="1"/>
  <c r="AX52" i="10" a="1"/>
  <c r="AX52" i="10" s="1"/>
  <c r="BF52" i="10" a="1"/>
  <c r="BF52" i="10" s="1"/>
  <c r="BN52" i="10" a="1"/>
  <c r="BN52" i="10" s="1"/>
  <c r="BV52" i="10" a="1"/>
  <c r="BV52" i="10" s="1"/>
  <c r="CD52" i="10" a="1"/>
  <c r="CD52" i="10" s="1"/>
  <c r="AV14" i="10" a="1"/>
  <c r="AV14" i="10" s="1"/>
  <c r="AD18" i="10" a="1"/>
  <c r="AD18" i="10" s="1"/>
  <c r="E22" i="10" a="1"/>
  <c r="E22" i="10" s="1"/>
  <c r="AS27" i="10" a="1"/>
  <c r="AS27" i="10" s="1"/>
  <c r="AC31" i="10" a="1"/>
  <c r="AC31" i="10" s="1"/>
  <c r="BI31" i="10" a="1"/>
  <c r="BI31" i="10" s="1"/>
  <c r="Q35" i="10" a="1"/>
  <c r="Q35" i="10" s="1"/>
  <c r="AC35" i="10" a="1"/>
  <c r="AC35" i="10" s="1"/>
  <c r="AP35" i="10" a="1"/>
  <c r="AP35" i="10" s="1"/>
  <c r="BC35" i="10" a="1"/>
  <c r="BC35" i="10" s="1"/>
  <c r="BO35" i="10" a="1"/>
  <c r="BO35" i="10" s="1"/>
  <c r="CC35" i="10" a="1"/>
  <c r="CC35" i="10" s="1"/>
  <c r="K39" i="10" a="1"/>
  <c r="K39" i="10" s="1"/>
  <c r="S39" i="10" a="1"/>
  <c r="S39" i="10" s="1"/>
  <c r="AA39" i="10" a="1"/>
  <c r="AA39" i="10" s="1"/>
  <c r="AI39" i="10" a="1"/>
  <c r="AI39" i="10" s="1"/>
  <c r="AQ39" i="10" a="1"/>
  <c r="AQ39" i="10" s="1"/>
  <c r="AY39" i="10" a="1"/>
  <c r="AY39" i="10" s="1"/>
  <c r="BG39" i="10" a="1"/>
  <c r="BG39" i="10" s="1"/>
  <c r="BO39" i="10" a="1"/>
  <c r="BO39" i="10" s="1"/>
  <c r="BW39" i="10" a="1"/>
  <c r="BW39" i="10" s="1"/>
  <c r="CE39" i="10" a="1"/>
  <c r="CE39" i="10" s="1"/>
  <c r="K44" i="10" a="1"/>
  <c r="K44" i="10" s="1"/>
  <c r="S44" i="10" a="1"/>
  <c r="S44" i="10" s="1"/>
  <c r="AA44" i="10" a="1"/>
  <c r="AA44" i="10" s="1"/>
  <c r="AI44" i="10" a="1"/>
  <c r="AI44" i="10" s="1"/>
  <c r="AQ44" i="10" a="1"/>
  <c r="AQ44" i="10" s="1"/>
  <c r="AY44" i="10" a="1"/>
  <c r="AY44" i="10" s="1"/>
  <c r="BG44" i="10" a="1"/>
  <c r="BG44" i="10" s="1"/>
  <c r="BO44" i="10" a="1"/>
  <c r="BO44" i="10" s="1"/>
  <c r="BW44" i="10" a="1"/>
  <c r="BW44" i="10" s="1"/>
  <c r="CE44" i="10" a="1"/>
  <c r="CE44" i="10" s="1"/>
  <c r="K48" i="10" a="1"/>
  <c r="K48" i="10" s="1"/>
  <c r="S48" i="10" a="1"/>
  <c r="S48" i="10" s="1"/>
  <c r="AA48" i="10" a="1"/>
  <c r="AA48" i="10" s="1"/>
  <c r="AI48" i="10" a="1"/>
  <c r="AI48" i="10" s="1"/>
  <c r="AQ48" i="10" a="1"/>
  <c r="AQ48" i="10" s="1"/>
  <c r="AY48" i="10" a="1"/>
  <c r="AY48" i="10" s="1"/>
  <c r="BG48" i="10" a="1"/>
  <c r="BG48" i="10" s="1"/>
  <c r="BO48" i="10" a="1"/>
  <c r="BO48" i="10" s="1"/>
  <c r="BW48" i="10" a="1"/>
  <c r="BW48" i="10" s="1"/>
  <c r="CE48" i="10" a="1"/>
  <c r="CE48" i="10" s="1"/>
  <c r="K52" i="10" a="1"/>
  <c r="K52" i="10" s="1"/>
  <c r="S52" i="10" a="1"/>
  <c r="S52" i="10" s="1"/>
  <c r="AA52" i="10" a="1"/>
  <c r="AA52" i="10" s="1"/>
  <c r="AI52" i="10" a="1"/>
  <c r="AI52" i="10" s="1"/>
  <c r="AQ52" i="10" a="1"/>
  <c r="AQ52" i="10" s="1"/>
  <c r="AY52" i="10" a="1"/>
  <c r="AY52" i="10" s="1"/>
  <c r="BG52" i="10" a="1"/>
  <c r="BG52" i="10" s="1"/>
  <c r="BO52" i="10" a="1"/>
  <c r="BO52" i="10" s="1"/>
  <c r="BW52" i="10" a="1"/>
  <c r="BW52" i="10" s="1"/>
  <c r="CE52" i="10" a="1"/>
  <c r="CE52" i="10" s="1"/>
  <c r="BJ18" i="10" a="1"/>
  <c r="BJ18" i="10" s="1"/>
  <c r="Q22" i="10" a="1"/>
  <c r="Q22" i="10" s="1"/>
  <c r="BA27" i="10" a="1"/>
  <c r="BA27" i="10" s="1"/>
  <c r="AG31" i="10" a="1"/>
  <c r="AG31" i="10" s="1"/>
  <c r="BM31" i="10" a="1"/>
  <c r="BM31" i="10" s="1"/>
  <c r="E35" i="10" a="1"/>
  <c r="E35" i="10" s="1"/>
  <c r="R35" i="10" a="1"/>
  <c r="R35" i="10" s="1"/>
  <c r="AE35" i="10" a="1"/>
  <c r="AE35" i="10" s="1"/>
  <c r="AQ35" i="10" a="1"/>
  <c r="AQ35" i="10" s="1"/>
  <c r="BE35" i="10" a="1"/>
  <c r="BE35" i="10" s="1"/>
  <c r="BQ35" i="10" a="1"/>
  <c r="BQ35" i="10" s="1"/>
  <c r="CD35" i="10" a="1"/>
  <c r="CD35" i="10" s="1"/>
  <c r="L39" i="10" a="1"/>
  <c r="L39" i="10" s="1"/>
  <c r="T39" i="10" a="1"/>
  <c r="T39" i="10" s="1"/>
  <c r="AB39" i="10" a="1"/>
  <c r="AB39" i="10" s="1"/>
  <c r="AJ39" i="10" a="1"/>
  <c r="AJ39" i="10" s="1"/>
  <c r="AZ39" i="10" a="1"/>
  <c r="AZ39" i="10" s="1"/>
  <c r="BH39" i="10" a="1"/>
  <c r="BH39" i="10" s="1"/>
  <c r="BP39" i="10" a="1"/>
  <c r="BP39" i="10" s="1"/>
  <c r="BX39" i="10" a="1"/>
  <c r="BX39" i="10" s="1"/>
  <c r="L44" i="10" a="1"/>
  <c r="L44" i="10" s="1"/>
  <c r="T44" i="10" a="1"/>
  <c r="T44" i="10" s="1"/>
  <c r="AB44" i="10" a="1"/>
  <c r="AB44" i="10" s="1"/>
  <c r="AJ44" i="10" a="1"/>
  <c r="AJ44" i="10" s="1"/>
  <c r="AZ44" i="10" a="1"/>
  <c r="AZ44" i="10" s="1"/>
  <c r="BH44" i="10" a="1"/>
  <c r="BH44" i="10" s="1"/>
  <c r="BP44" i="10" a="1"/>
  <c r="BP44" i="10" s="1"/>
  <c r="BX44" i="10" a="1"/>
  <c r="BX44" i="10" s="1"/>
  <c r="L48" i="10" a="1"/>
  <c r="L48" i="10" s="1"/>
  <c r="T48" i="10" a="1"/>
  <c r="T48" i="10" s="1"/>
  <c r="AB48" i="10" a="1"/>
  <c r="AB48" i="10" s="1"/>
  <c r="AJ48" i="10" a="1"/>
  <c r="AJ48" i="10" s="1"/>
  <c r="AZ48" i="10" a="1"/>
  <c r="AZ48" i="10" s="1"/>
  <c r="BH48" i="10" a="1"/>
  <c r="BH48" i="10" s="1"/>
  <c r="BP48" i="10" a="1"/>
  <c r="BP48" i="10" s="1"/>
  <c r="BX48" i="10" a="1"/>
  <c r="BX48" i="10" s="1"/>
  <c r="AD22" i="10" a="1"/>
  <c r="AD22" i="10" s="1"/>
  <c r="BI27" i="10" a="1"/>
  <c r="BI27" i="10" s="1"/>
  <c r="E31" i="10" a="1"/>
  <c r="E31" i="10" s="1"/>
  <c r="AK31" i="10" a="1"/>
  <c r="AK31" i="10" s="1"/>
  <c r="BQ31" i="10" a="1"/>
  <c r="BQ31" i="10" s="1"/>
  <c r="G35" i="10" a="1"/>
  <c r="G35" i="10" s="1"/>
  <c r="S35" i="10" a="1"/>
  <c r="S35" i="10" s="1"/>
  <c r="AG35" i="10" a="1"/>
  <c r="AG35" i="10" s="1"/>
  <c r="AS35" i="10" a="1"/>
  <c r="AS35" i="10" s="1"/>
  <c r="BF35" i="10" a="1"/>
  <c r="BF35" i="10" s="1"/>
  <c r="BS35" i="10" a="1"/>
  <c r="BS35" i="10" s="1"/>
  <c r="CE35" i="10" a="1"/>
  <c r="CE35" i="10" s="1"/>
  <c r="E39" i="10" a="1"/>
  <c r="E39" i="10" s="1"/>
  <c r="M39" i="10" a="1"/>
  <c r="M39" i="10" s="1"/>
  <c r="U39" i="10" a="1"/>
  <c r="U39" i="10" s="1"/>
  <c r="AC39" i="10" a="1"/>
  <c r="AC39" i="10" s="1"/>
  <c r="AK39" i="10" a="1"/>
  <c r="AK39" i="10" s="1"/>
  <c r="AS39" i="10" a="1"/>
  <c r="AS39" i="10" s="1"/>
  <c r="BA39" i="10" a="1"/>
  <c r="BA39" i="10" s="1"/>
  <c r="BI39" i="10" a="1"/>
  <c r="BI39" i="10" s="1"/>
  <c r="BQ39" i="10" a="1"/>
  <c r="BQ39" i="10" s="1"/>
  <c r="BY39" i="10" a="1"/>
  <c r="BY39" i="10" s="1"/>
  <c r="E44" i="10" a="1"/>
  <c r="E44" i="10" s="1"/>
  <c r="M44" i="10" a="1"/>
  <c r="M44" i="10" s="1"/>
  <c r="U44" i="10" a="1"/>
  <c r="U44" i="10" s="1"/>
  <c r="AC44" i="10" a="1"/>
  <c r="AC44" i="10" s="1"/>
  <c r="AK44" i="10" a="1"/>
  <c r="AK44" i="10" s="1"/>
  <c r="AS44" i="10" a="1"/>
  <c r="AS44" i="10" s="1"/>
  <c r="BA44" i="10" a="1"/>
  <c r="BA44" i="10" s="1"/>
  <c r="BI44" i="10" a="1"/>
  <c r="BI44" i="10" s="1"/>
  <c r="BQ44" i="10" a="1"/>
  <c r="BQ44" i="10" s="1"/>
  <c r="BY44" i="10" a="1"/>
  <c r="BY44" i="10" s="1"/>
  <c r="BA22" i="10" a="1"/>
  <c r="BA22" i="10" s="1"/>
  <c r="M27" i="10" a="1"/>
  <c r="M27" i="10" s="1"/>
  <c r="BY27" i="10" a="1"/>
  <c r="BY27" i="10" s="1"/>
  <c r="M31" i="10" a="1"/>
  <c r="M31" i="10" s="1"/>
  <c r="AS31" i="10" a="1"/>
  <c r="AS31" i="10" s="1"/>
  <c r="BY31" i="10" a="1"/>
  <c r="BY31" i="10" s="1"/>
  <c r="J35" i="10" a="1"/>
  <c r="J35" i="10" s="1"/>
  <c r="W35" i="10" a="1"/>
  <c r="W35" i="10" s="1"/>
  <c r="AI35" i="10" a="1"/>
  <c r="AI35" i="10" s="1"/>
  <c r="AW35" i="10" a="1"/>
  <c r="AW35" i="10" s="1"/>
  <c r="BI35" i="10" a="1"/>
  <c r="BI35" i="10" s="1"/>
  <c r="BV35" i="10" a="1"/>
  <c r="BV35" i="10" s="1"/>
  <c r="G39" i="10" a="1"/>
  <c r="G39" i="10" s="1"/>
  <c r="O39" i="10" a="1"/>
  <c r="O39" i="10" s="1"/>
  <c r="W39" i="10" a="1"/>
  <c r="W39" i="10" s="1"/>
  <c r="AE39" i="10" a="1"/>
  <c r="AE39" i="10" s="1"/>
  <c r="AM39" i="10" a="1"/>
  <c r="AM39" i="10" s="1"/>
  <c r="AU39" i="10" a="1"/>
  <c r="AU39" i="10" s="1"/>
  <c r="BC39" i="10" a="1"/>
  <c r="BC39" i="10" s="1"/>
  <c r="BK39" i="10" a="1"/>
  <c r="BK39" i="10" s="1"/>
  <c r="BS39" i="10" a="1"/>
  <c r="BS39" i="10" s="1"/>
  <c r="CA39" i="10" a="1"/>
  <c r="CA39" i="10" s="1"/>
  <c r="G44" i="10" a="1"/>
  <c r="G44" i="10" s="1"/>
  <c r="O44" i="10" a="1"/>
  <c r="O44" i="10" s="1"/>
  <c r="W44" i="10" a="1"/>
  <c r="W44" i="10" s="1"/>
  <c r="AE44" i="10" a="1"/>
  <c r="AE44" i="10" s="1"/>
  <c r="AM44" i="10" a="1"/>
  <c r="AM44" i="10" s="1"/>
  <c r="AU44" i="10" a="1"/>
  <c r="AU44" i="10" s="1"/>
  <c r="BC44" i="10" a="1"/>
  <c r="BC44" i="10" s="1"/>
  <c r="BK44" i="10" a="1"/>
  <c r="BK44" i="10" s="1"/>
  <c r="BS44" i="10" a="1"/>
  <c r="BS44" i="10" s="1"/>
  <c r="CA44" i="10" a="1"/>
  <c r="CA44" i="10" s="1"/>
  <c r="G48" i="10" a="1"/>
  <c r="G48" i="10" s="1"/>
  <c r="O48" i="10" a="1"/>
  <c r="O48" i="10" s="1"/>
  <c r="W48" i="10" a="1"/>
  <c r="W48" i="10" s="1"/>
  <c r="AE48" i="10" a="1"/>
  <c r="AE48" i="10" s="1"/>
  <c r="AM48" i="10" a="1"/>
  <c r="AM48" i="10" s="1"/>
  <c r="AU48" i="10" a="1"/>
  <c r="AU48" i="10" s="1"/>
  <c r="BC48" i="10" a="1"/>
  <c r="BC48" i="10" s="1"/>
  <c r="BK48" i="10" a="1"/>
  <c r="BK48" i="10" s="1"/>
  <c r="BS48" i="10" a="1"/>
  <c r="BS48" i="10" s="1"/>
  <c r="CA48" i="10" a="1"/>
  <c r="CA48" i="10" s="1"/>
  <c r="G52" i="10" a="1"/>
  <c r="G52" i="10" s="1"/>
  <c r="O52" i="10" a="1"/>
  <c r="O52" i="10" s="1"/>
  <c r="W52" i="10" a="1"/>
  <c r="W52" i="10" s="1"/>
  <c r="AE52" i="10" a="1"/>
  <c r="AE52" i="10" s="1"/>
  <c r="AM52" i="10" a="1"/>
  <c r="AM52" i="10" s="1"/>
  <c r="AU52" i="10" a="1"/>
  <c r="AU52" i="10" s="1"/>
  <c r="BC52" i="10" a="1"/>
  <c r="BC52" i="10" s="1"/>
  <c r="BK52" i="10" a="1"/>
  <c r="BK52" i="10" s="1"/>
  <c r="BS52" i="10" a="1"/>
  <c r="BS52" i="10" s="1"/>
  <c r="CA52" i="10" a="1"/>
  <c r="CA52" i="10" s="1"/>
  <c r="U35" i="10" a="1"/>
  <c r="U35" i="10" s="1"/>
  <c r="AD39" i="10" a="1"/>
  <c r="AD39" i="10" s="1"/>
  <c r="AD44" i="10" a="1"/>
  <c r="AD44" i="10" s="1"/>
  <c r="P48" i="10" a="1"/>
  <c r="P48" i="10" s="1"/>
  <c r="AL48" i="10" a="1"/>
  <c r="AL48" i="10" s="1"/>
  <c r="BI48" i="10" a="1"/>
  <c r="BI48" i="10" s="1"/>
  <c r="CB48" i="10" a="1"/>
  <c r="CB48" i="10" s="1"/>
  <c r="F52" i="10" a="1"/>
  <c r="F52" i="10" s="1"/>
  <c r="T52" i="10" a="1"/>
  <c r="T52" i="10" s="1"/>
  <c r="AF52" i="10" a="1"/>
  <c r="AF52" i="10" s="1"/>
  <c r="AS52" i="10" a="1"/>
  <c r="AS52" i="10" s="1"/>
  <c r="BE52" i="10" a="1"/>
  <c r="BE52" i="10" s="1"/>
  <c r="BR52" i="10" a="1"/>
  <c r="BR52" i="10" s="1"/>
  <c r="F59" i="10" a="1"/>
  <c r="F59" i="10" s="1"/>
  <c r="N59" i="10" a="1"/>
  <c r="N59" i="10" s="1"/>
  <c r="V59" i="10" a="1"/>
  <c r="V59" i="10" s="1"/>
  <c r="AD59" i="10" a="1"/>
  <c r="AD59" i="10" s="1"/>
  <c r="AL59" i="10" a="1"/>
  <c r="AL59" i="10" s="1"/>
  <c r="AT59" i="10" a="1"/>
  <c r="AT59" i="10" s="1"/>
  <c r="BB59" i="10" a="1"/>
  <c r="BB59" i="10" s="1"/>
  <c r="BJ59" i="10" a="1"/>
  <c r="BJ59" i="10" s="1"/>
  <c r="BR59" i="10" a="1"/>
  <c r="BR59" i="10" s="1"/>
  <c r="BZ59" i="10" a="1"/>
  <c r="BZ59" i="10" s="1"/>
  <c r="E63" i="10" a="1"/>
  <c r="E63" i="10" s="1"/>
  <c r="M63" i="10" a="1"/>
  <c r="M63" i="10" s="1"/>
  <c r="U63" i="10" a="1"/>
  <c r="U63" i="10" s="1"/>
  <c r="AC63" i="10" a="1"/>
  <c r="AC63" i="10" s="1"/>
  <c r="AK63" i="10" a="1"/>
  <c r="AK63" i="10" s="1"/>
  <c r="AS63" i="10" a="1"/>
  <c r="AS63" i="10" s="1"/>
  <c r="BA63" i="10" a="1"/>
  <c r="BA63" i="10" s="1"/>
  <c r="BI63" i="10" a="1"/>
  <c r="BI63" i="10" s="1"/>
  <c r="BQ63" i="10" a="1"/>
  <c r="BQ63" i="10" s="1"/>
  <c r="BY63" i="10" a="1"/>
  <c r="BY63" i="10" s="1"/>
  <c r="AV10" i="10" a="1"/>
  <c r="AV10" i="10" s="1"/>
  <c r="E27" i="10" a="1"/>
  <c r="E27" i="10" s="1"/>
  <c r="I31" i="10" a="1"/>
  <c r="I31" i="10" s="1"/>
  <c r="AH35" i="10" a="1"/>
  <c r="AH35" i="10" s="1"/>
  <c r="AL39" i="10" a="1"/>
  <c r="AL39" i="10" s="1"/>
  <c r="AL44" i="10" a="1"/>
  <c r="AL44" i="10" s="1"/>
  <c r="U48" i="10" a="1"/>
  <c r="U48" i="10" s="1"/>
  <c r="AN48" i="10" a="1"/>
  <c r="AN48" i="10" s="1"/>
  <c r="BJ48" i="10" a="1"/>
  <c r="BJ48" i="10" s="1"/>
  <c r="H52" i="10" a="1"/>
  <c r="H52" i="10" s="1"/>
  <c r="U52" i="10" a="1"/>
  <c r="U52" i="10" s="1"/>
  <c r="AG52" i="10" a="1"/>
  <c r="AG52" i="10" s="1"/>
  <c r="AT52" i="10" a="1"/>
  <c r="AT52" i="10" s="1"/>
  <c r="BH52" i="10" a="1"/>
  <c r="BH52" i="10" s="1"/>
  <c r="BT52" i="10" a="1"/>
  <c r="BT52" i="10" s="1"/>
  <c r="G59" i="10" a="1"/>
  <c r="G59" i="10" s="1"/>
  <c r="O59" i="10" a="1"/>
  <c r="O59" i="10" s="1"/>
  <c r="W59" i="10" a="1"/>
  <c r="W59" i="10" s="1"/>
  <c r="AE59" i="10" a="1"/>
  <c r="AE59" i="10" s="1"/>
  <c r="AM59" i="10" a="1"/>
  <c r="AM59" i="10" s="1"/>
  <c r="AU59" i="10" a="1"/>
  <c r="AU59" i="10" s="1"/>
  <c r="BC59" i="10" a="1"/>
  <c r="BC59" i="10" s="1"/>
  <c r="BK59" i="10" a="1"/>
  <c r="BK59" i="10" s="1"/>
  <c r="BS59" i="10" a="1"/>
  <c r="BS59" i="10" s="1"/>
  <c r="CA59" i="10" a="1"/>
  <c r="CA59" i="10" s="1"/>
  <c r="F63" i="10" a="1"/>
  <c r="F63" i="10" s="1"/>
  <c r="N63" i="10" a="1"/>
  <c r="N63" i="10" s="1"/>
  <c r="V63" i="10" a="1"/>
  <c r="V63" i="10" s="1"/>
  <c r="AD63" i="10" a="1"/>
  <c r="AD63" i="10" s="1"/>
  <c r="AL63" i="10" a="1"/>
  <c r="AL63" i="10" s="1"/>
  <c r="AT63" i="10" a="1"/>
  <c r="AT63" i="10" s="1"/>
  <c r="BB63" i="10" a="1"/>
  <c r="BB63" i="10" s="1"/>
  <c r="BJ63" i="10" a="1"/>
  <c r="BJ63" i="10" s="1"/>
  <c r="BR63" i="10" a="1"/>
  <c r="BR63" i="10" s="1"/>
  <c r="BZ63" i="10" a="1"/>
  <c r="BZ63" i="10" s="1"/>
  <c r="BQ27" i="10" a="1"/>
  <c r="BQ27" i="10" s="1"/>
  <c r="AO31" i="10" a="1"/>
  <c r="AO31" i="10" s="1"/>
  <c r="AU35" i="10" a="1"/>
  <c r="AU35" i="10" s="1"/>
  <c r="AT39" i="10" a="1"/>
  <c r="AT39" i="10" s="1"/>
  <c r="AT44" i="10" a="1"/>
  <c r="AT44" i="10" s="1"/>
  <c r="V48" i="10" a="1"/>
  <c r="V48" i="10" s="1"/>
  <c r="AS48" i="10" a="1"/>
  <c r="AS48" i="10" s="1"/>
  <c r="I52" i="10" a="1"/>
  <c r="I52" i="10" s="1"/>
  <c r="V52" i="10" a="1"/>
  <c r="V52" i="10" s="1"/>
  <c r="AJ52" i="10" a="1"/>
  <c r="AJ52" i="10" s="1"/>
  <c r="AV52" i="10" a="1"/>
  <c r="AV52" i="10" s="1"/>
  <c r="BI52" i="10" a="1"/>
  <c r="BI52" i="10" s="1"/>
  <c r="BU52" i="10" a="1"/>
  <c r="BU52" i="10" s="1"/>
  <c r="H59" i="10" a="1"/>
  <c r="H59" i="10" s="1"/>
  <c r="P59" i="10" a="1"/>
  <c r="P59" i="10" s="1"/>
  <c r="AF59" i="10" a="1"/>
  <c r="AF59" i="10" s="1"/>
  <c r="AN59" i="10" a="1"/>
  <c r="AN59" i="10" s="1"/>
  <c r="AV59" i="10" a="1"/>
  <c r="AV59" i="10" s="1"/>
  <c r="BD59" i="10" a="1"/>
  <c r="BD59" i="10" s="1"/>
  <c r="BT59" i="10" a="1"/>
  <c r="BT59" i="10" s="1"/>
  <c r="CB59" i="10" a="1"/>
  <c r="CB59" i="10" s="1"/>
  <c r="G63" i="10" a="1"/>
  <c r="G63" i="10" s="1"/>
  <c r="O63" i="10" a="1"/>
  <c r="O63" i="10" s="1"/>
  <c r="W63" i="10" a="1"/>
  <c r="W63" i="10" s="1"/>
  <c r="AE63" i="10" a="1"/>
  <c r="AE63" i="10" s="1"/>
  <c r="AM63" i="10" a="1"/>
  <c r="AM63" i="10" s="1"/>
  <c r="AU63" i="10" a="1"/>
  <c r="AU63" i="10" s="1"/>
  <c r="BC63" i="10" a="1"/>
  <c r="BC63" i="10" s="1"/>
  <c r="BK63" i="10" a="1"/>
  <c r="BK63" i="10" s="1"/>
  <c r="BS63" i="10" a="1"/>
  <c r="BS63" i="10" s="1"/>
  <c r="CA63" i="10" a="1"/>
  <c r="CA63" i="10" s="1"/>
  <c r="L75" i="10" a="1"/>
  <c r="L75" i="10" s="1"/>
  <c r="T75" i="10" a="1"/>
  <c r="T75" i="10" s="1"/>
  <c r="AB75" i="10" a="1"/>
  <c r="AB75" i="10" s="1"/>
  <c r="AJ75" i="10" a="1"/>
  <c r="AJ75" i="10" s="1"/>
  <c r="AZ75" i="10" a="1"/>
  <c r="AZ75" i="10" s="1"/>
  <c r="BH75" i="10" a="1"/>
  <c r="BH75" i="10" s="1"/>
  <c r="BP75" i="10" a="1"/>
  <c r="BP75" i="10" s="1"/>
  <c r="BX75" i="10" a="1"/>
  <c r="BX75" i="10" s="1"/>
  <c r="BU31" i="10" a="1"/>
  <c r="BU31" i="10" s="1"/>
  <c r="BG35" i="10" a="1"/>
  <c r="BG35" i="10" s="1"/>
  <c r="BB39" i="10" a="1"/>
  <c r="BB39" i="10" s="1"/>
  <c r="BB44" i="10" a="1"/>
  <c r="BB44" i="10" s="1"/>
  <c r="E48" i="10" a="1"/>
  <c r="E48" i="10" s="1"/>
  <c r="AT48" i="10" a="1"/>
  <c r="AT48" i="10" s="1"/>
  <c r="BQ48" i="10" a="1"/>
  <c r="BQ48" i="10" s="1"/>
  <c r="L52" i="10" a="1"/>
  <c r="L52" i="10" s="1"/>
  <c r="AK52" i="10" a="1"/>
  <c r="AK52" i="10" s="1"/>
  <c r="AW52" i="10" a="1"/>
  <c r="AW52" i="10" s="1"/>
  <c r="BJ52" i="10" a="1"/>
  <c r="BJ52" i="10" s="1"/>
  <c r="BX52" i="10" a="1"/>
  <c r="BX52" i="10" s="1"/>
  <c r="I59" i="10" a="1"/>
  <c r="I59" i="10" s="1"/>
  <c r="Q59" i="10" a="1"/>
  <c r="Q59" i="10" s="1"/>
  <c r="Y59" i="10" a="1"/>
  <c r="Y59" i="10" s="1"/>
  <c r="AG59" i="10" a="1"/>
  <c r="AG59" i="10" s="1"/>
  <c r="AO59" i="10" a="1"/>
  <c r="AO59" i="10" s="1"/>
  <c r="AW59" i="10" a="1"/>
  <c r="AW59" i="10" s="1"/>
  <c r="BE59" i="10" a="1"/>
  <c r="BE59" i="10" s="1"/>
  <c r="BM59" i="10" a="1"/>
  <c r="BM59" i="10" s="1"/>
  <c r="BU59" i="10" a="1"/>
  <c r="BU59" i="10" s="1"/>
  <c r="CC59" i="10" a="1"/>
  <c r="CC59" i="10" s="1"/>
  <c r="H63" i="10" a="1"/>
  <c r="H63" i="10" s="1"/>
  <c r="P63" i="10" a="1"/>
  <c r="P63" i="10" s="1"/>
  <c r="AF63" i="10" a="1"/>
  <c r="AF63" i="10" s="1"/>
  <c r="AN63" i="10" a="1"/>
  <c r="AN63" i="10" s="1"/>
  <c r="AV63" i="10" a="1"/>
  <c r="AV63" i="10" s="1"/>
  <c r="BD63" i="10" a="1"/>
  <c r="BD63" i="10" s="1"/>
  <c r="BT63" i="10" a="1"/>
  <c r="BT63" i="10" s="1"/>
  <c r="CB63" i="10" a="1"/>
  <c r="CB63" i="10" s="1"/>
  <c r="BU35" i="10" a="1"/>
  <c r="BU35" i="10" s="1"/>
  <c r="BJ39" i="10" a="1"/>
  <c r="BJ39" i="10" s="1"/>
  <c r="BJ44" i="10" a="1"/>
  <c r="BJ44" i="10" s="1"/>
  <c r="F48" i="10" a="1"/>
  <c r="F48" i="10" s="1"/>
  <c r="AC48" i="10" a="1"/>
  <c r="AC48" i="10" s="1"/>
  <c r="AV48" i="10" a="1"/>
  <c r="AV48" i="10" s="1"/>
  <c r="BR48" i="10" a="1"/>
  <c r="BR48" i="10" s="1"/>
  <c r="M52" i="10" a="1"/>
  <c r="M52" i="10" s="1"/>
  <c r="Y52" i="10" a="1"/>
  <c r="Y52" i="10" s="1"/>
  <c r="AL52" i="10" a="1"/>
  <c r="AL52" i="10" s="1"/>
  <c r="AZ52" i="10" a="1"/>
  <c r="AZ52" i="10" s="1"/>
  <c r="BY52" i="10" a="1"/>
  <c r="BY52" i="10" s="1"/>
  <c r="J59" i="10" a="1"/>
  <c r="J59" i="10" s="1"/>
  <c r="R59" i="10" a="1"/>
  <c r="R59" i="10" s="1"/>
  <c r="Z59" i="10" a="1"/>
  <c r="Z59" i="10" s="1"/>
  <c r="AH59" i="10" a="1"/>
  <c r="AH59" i="10" s="1"/>
  <c r="AP59" i="10" a="1"/>
  <c r="AP59" i="10" s="1"/>
  <c r="AX59" i="10" a="1"/>
  <c r="AX59" i="10" s="1"/>
  <c r="BF59" i="10" a="1"/>
  <c r="BF59" i="10" s="1"/>
  <c r="BN59" i="10" a="1"/>
  <c r="BN59" i="10" s="1"/>
  <c r="BV59" i="10" a="1"/>
  <c r="BV59" i="10" s="1"/>
  <c r="CD59" i="10" a="1"/>
  <c r="CD59" i="10" s="1"/>
  <c r="I63" i="10" a="1"/>
  <c r="I63" i="10" s="1"/>
  <c r="Q63" i="10" a="1"/>
  <c r="Q63" i="10" s="1"/>
  <c r="Y63" i="10" a="1"/>
  <c r="Y63" i="10" s="1"/>
  <c r="AG63" i="10" a="1"/>
  <c r="AG63" i="10" s="1"/>
  <c r="AO63" i="10" a="1"/>
  <c r="AO63" i="10" s="1"/>
  <c r="AW63" i="10" a="1"/>
  <c r="AW63" i="10" s="1"/>
  <c r="BE63" i="10" a="1"/>
  <c r="BE63" i="10" s="1"/>
  <c r="BM63" i="10" a="1"/>
  <c r="BM63" i="10" s="1"/>
  <c r="BU63" i="10" a="1"/>
  <c r="BU63" i="10" s="1"/>
  <c r="CC63" i="10" a="1"/>
  <c r="CC63" i="10" s="1"/>
  <c r="AQ22" i="10" a="1"/>
  <c r="AQ22" i="10" s="1"/>
  <c r="F39" i="10" a="1"/>
  <c r="F39" i="10" s="1"/>
  <c r="BR39" i="10" a="1"/>
  <c r="BR39" i="10" s="1"/>
  <c r="F44" i="10" a="1"/>
  <c r="F44" i="10" s="1"/>
  <c r="BR44" i="10" a="1"/>
  <c r="BR44" i="10" s="1"/>
  <c r="H48" i="10" a="1"/>
  <c r="H48" i="10" s="1"/>
  <c r="AD48" i="10" a="1"/>
  <c r="AD48" i="10" s="1"/>
  <c r="BA48" i="10" a="1"/>
  <c r="BA48" i="10" s="1"/>
  <c r="BT48" i="10" a="1"/>
  <c r="BT48" i="10" s="1"/>
  <c r="N52" i="10" a="1"/>
  <c r="N52" i="10" s="1"/>
  <c r="AB52" i="10" a="1"/>
  <c r="AB52" i="10" s="1"/>
  <c r="AN52" i="10" a="1"/>
  <c r="AN52" i="10" s="1"/>
  <c r="BA52" i="10" a="1"/>
  <c r="BA52" i="10" s="1"/>
  <c r="BM52" i="10" a="1"/>
  <c r="BM52" i="10" s="1"/>
  <c r="BZ52" i="10" a="1"/>
  <c r="BZ52" i="10" s="1"/>
  <c r="K59" i="10" a="1"/>
  <c r="K59" i="10" s="1"/>
  <c r="S59" i="10" a="1"/>
  <c r="S59" i="10" s="1"/>
  <c r="AA59" i="10" a="1"/>
  <c r="AA59" i="10" s="1"/>
  <c r="AI59" i="10" a="1"/>
  <c r="AI59" i="10" s="1"/>
  <c r="AQ59" i="10" a="1"/>
  <c r="AQ59" i="10" s="1"/>
  <c r="AY59" i="10" a="1"/>
  <c r="AY59" i="10" s="1"/>
  <c r="BG59" i="10" a="1"/>
  <c r="BG59" i="10" s="1"/>
  <c r="BO59" i="10" a="1"/>
  <c r="BO59" i="10" s="1"/>
  <c r="BW59" i="10" a="1"/>
  <c r="BW59" i="10" s="1"/>
  <c r="CE59" i="10" a="1"/>
  <c r="CE59" i="10" s="1"/>
  <c r="J63" i="10" a="1"/>
  <c r="J63" i="10" s="1"/>
  <c r="R63" i="10" a="1"/>
  <c r="R63" i="10" s="1"/>
  <c r="Z63" i="10" a="1"/>
  <c r="Z63" i="10" s="1"/>
  <c r="AH63" i="10" a="1"/>
  <c r="AH63" i="10" s="1"/>
  <c r="AP63" i="10" a="1"/>
  <c r="AP63" i="10" s="1"/>
  <c r="AX63" i="10" a="1"/>
  <c r="AX63" i="10" s="1"/>
  <c r="BF63" i="10" a="1"/>
  <c r="BF63" i="10" s="1"/>
  <c r="BN63" i="10" a="1"/>
  <c r="BN63" i="10" s="1"/>
  <c r="BV63" i="10" a="1"/>
  <c r="BV63" i="10" s="1"/>
  <c r="CD63" i="10" a="1"/>
  <c r="CD63" i="10" s="1"/>
  <c r="I35" i="10" a="1"/>
  <c r="I35" i="10" s="1"/>
  <c r="V39" i="10" a="1"/>
  <c r="V39" i="10" s="1"/>
  <c r="V44" i="10" a="1"/>
  <c r="V44" i="10" s="1"/>
  <c r="N48" i="10" a="1"/>
  <c r="N48" i="10" s="1"/>
  <c r="AK48" i="10" a="1"/>
  <c r="AK48" i="10" s="1"/>
  <c r="BD48" i="10" a="1"/>
  <c r="BD48" i="10" s="1"/>
  <c r="BZ48" i="10" a="1"/>
  <c r="BZ48" i="10" s="1"/>
  <c r="E52" i="10" a="1"/>
  <c r="E52" i="10" s="1"/>
  <c r="Q52" i="10" a="1"/>
  <c r="Q52" i="10" s="1"/>
  <c r="AD52" i="10" a="1"/>
  <c r="AD52" i="10" s="1"/>
  <c r="BD52" i="10" a="1"/>
  <c r="BD52" i="10" s="1"/>
  <c r="BQ52" i="10" a="1"/>
  <c r="BQ52" i="10" s="1"/>
  <c r="CC52" i="10" a="1"/>
  <c r="CC52" i="10" s="1"/>
  <c r="E59" i="10" a="1"/>
  <c r="E59" i="10" s="1"/>
  <c r="M59" i="10" a="1"/>
  <c r="M59" i="10" s="1"/>
  <c r="U59" i="10" a="1"/>
  <c r="U59" i="10" s="1"/>
  <c r="AC59" i="10" a="1"/>
  <c r="AC59" i="10" s="1"/>
  <c r="AK59" i="10" a="1"/>
  <c r="AK59" i="10" s="1"/>
  <c r="AS59" i="10" a="1"/>
  <c r="AS59" i="10" s="1"/>
  <c r="BA59" i="10" a="1"/>
  <c r="BA59" i="10" s="1"/>
  <c r="BI59" i="10" a="1"/>
  <c r="BI59" i="10" s="1"/>
  <c r="BQ59" i="10" a="1"/>
  <c r="BQ59" i="10" s="1"/>
  <c r="BY59" i="10" a="1"/>
  <c r="BY59" i="10" s="1"/>
  <c r="L63" i="10" a="1"/>
  <c r="L63" i="10" s="1"/>
  <c r="T63" i="10" a="1"/>
  <c r="T63" i="10" s="1"/>
  <c r="AB63" i="10" a="1"/>
  <c r="AB63" i="10" s="1"/>
  <c r="AJ63" i="10" a="1"/>
  <c r="AJ63" i="10" s="1"/>
  <c r="AZ63" i="10" a="1"/>
  <c r="AZ63" i="10" s="1"/>
  <c r="BH63" i="10" a="1"/>
  <c r="BH63" i="10" s="1"/>
  <c r="BP63" i="10" a="1"/>
  <c r="BP63" i="10" s="1"/>
  <c r="BX63" i="10" a="1"/>
  <c r="BX63" i="10" s="1"/>
  <c r="N39" i="10" a="1"/>
  <c r="N39" i="10" s="1"/>
  <c r="AO52" i="10" a="1"/>
  <c r="AO52" i="10" s="1"/>
  <c r="L59" i="10" a="1"/>
  <c r="L59" i="10" s="1"/>
  <c r="BX59" i="10" a="1"/>
  <c r="BX59" i="10" s="1"/>
  <c r="AA63" i="10" a="1"/>
  <c r="AA63" i="10" s="1"/>
  <c r="I75" i="10" a="1"/>
  <c r="I75" i="10" s="1"/>
  <c r="R75" i="10" a="1"/>
  <c r="R75" i="10" s="1"/>
  <c r="AA75" i="10" a="1"/>
  <c r="AA75" i="10" s="1"/>
  <c r="AK75" i="10" a="1"/>
  <c r="AK75" i="10" s="1"/>
  <c r="AT75" i="10" a="1"/>
  <c r="AT75" i="10" s="1"/>
  <c r="BC75" i="10" a="1"/>
  <c r="BC75" i="10" s="1"/>
  <c r="BU75" i="10" a="1"/>
  <c r="BU75" i="10" s="1"/>
  <c r="CD75" i="10" a="1"/>
  <c r="CD75" i="10" s="1"/>
  <c r="BY75" i="12" a="1"/>
  <c r="BY75" i="12" s="1"/>
  <c r="BQ75" i="12" a="1"/>
  <c r="BQ75" i="12" s="1"/>
  <c r="BN63" i="12" a="1"/>
  <c r="BN63" i="12" s="1"/>
  <c r="BV63" i="12" a="1"/>
  <c r="BV63" i="12" s="1"/>
  <c r="CD63" i="12" a="1"/>
  <c r="CD63" i="12" s="1"/>
  <c r="BM59" i="12" a="1"/>
  <c r="BM59" i="12" s="1"/>
  <c r="BU59" i="12" a="1"/>
  <c r="BU59" i="12" s="1"/>
  <c r="CC59" i="12" a="1"/>
  <c r="CC59" i="12" s="1"/>
  <c r="CE52" i="12" a="1"/>
  <c r="CE52" i="12" s="1"/>
  <c r="BW52" i="12" a="1"/>
  <c r="BW52" i="12" s="1"/>
  <c r="BO52" i="12" a="1"/>
  <c r="BO52" i="12" s="1"/>
  <c r="CE48" i="12" a="1"/>
  <c r="CE48" i="12" s="1"/>
  <c r="BW48" i="12" a="1"/>
  <c r="BW48" i="12" s="1"/>
  <c r="BO48" i="12" a="1"/>
  <c r="BO48" i="12" s="1"/>
  <c r="CE44" i="12" a="1"/>
  <c r="CE44" i="12" s="1"/>
  <c r="BW44" i="12" a="1"/>
  <c r="BW44" i="12" s="1"/>
  <c r="BO44" i="12" a="1"/>
  <c r="BO44" i="12" s="1"/>
  <c r="BZ39" i="10" a="1"/>
  <c r="BZ39" i="10" s="1"/>
  <c r="BB52" i="10" a="1"/>
  <c r="BB52" i="10" s="1"/>
  <c r="T59" i="10" a="1"/>
  <c r="T59" i="10" s="1"/>
  <c r="AI63" i="10" a="1"/>
  <c r="AI63" i="10" s="1"/>
  <c r="J75" i="10" a="1"/>
  <c r="J75" i="10" s="1"/>
  <c r="S75" i="10" a="1"/>
  <c r="S75" i="10" s="1"/>
  <c r="AC75" i="10" a="1"/>
  <c r="AC75" i="10" s="1"/>
  <c r="AL75" i="10" a="1"/>
  <c r="AL75" i="10" s="1"/>
  <c r="AU75" i="10" a="1"/>
  <c r="AU75" i="10" s="1"/>
  <c r="BD75" i="10" a="1"/>
  <c r="BD75" i="10" s="1"/>
  <c r="BM75" i="10" a="1"/>
  <c r="BM75" i="10" s="1"/>
  <c r="BV75" i="10" a="1"/>
  <c r="BV75" i="10" s="1"/>
  <c r="CE75" i="10" a="1"/>
  <c r="CE75" i="10" s="1"/>
  <c r="BX75" i="12" a="1"/>
  <c r="BX75" i="12" s="1"/>
  <c r="BP75" i="12" a="1"/>
  <c r="BP75" i="12" s="1"/>
  <c r="BO63" i="12" a="1"/>
  <c r="BO63" i="12" s="1"/>
  <c r="BW63" i="12" a="1"/>
  <c r="BW63" i="12" s="1"/>
  <c r="CE63" i="12" a="1"/>
  <c r="CE63" i="12" s="1"/>
  <c r="BN59" i="12" a="1"/>
  <c r="BN59" i="12" s="1"/>
  <c r="BV59" i="12" a="1"/>
  <c r="BV59" i="12" s="1"/>
  <c r="CD59" i="12" a="1"/>
  <c r="CD59" i="12" s="1"/>
  <c r="CD52" i="12" a="1"/>
  <c r="CD52" i="12" s="1"/>
  <c r="BV52" i="12" a="1"/>
  <c r="BV52" i="12" s="1"/>
  <c r="BN52" i="12" a="1"/>
  <c r="BN52" i="12" s="1"/>
  <c r="CD48" i="12" a="1"/>
  <c r="CD48" i="12" s="1"/>
  <c r="BV48" i="12" a="1"/>
  <c r="BV48" i="12" s="1"/>
  <c r="BN48" i="12" a="1"/>
  <c r="BN48" i="12" s="1"/>
  <c r="CD44" i="12" a="1"/>
  <c r="CD44" i="12" s="1"/>
  <c r="BV44" i="12" a="1"/>
  <c r="BV44" i="12" s="1"/>
  <c r="BN44" i="12" a="1"/>
  <c r="BN44" i="12" s="1"/>
  <c r="BM27" i="12" a="1"/>
  <c r="BM27" i="12" s="1"/>
  <c r="BP52" i="10" a="1"/>
  <c r="BP52" i="10" s="1"/>
  <c r="AB59" i="10" a="1"/>
  <c r="AB59" i="10" s="1"/>
  <c r="AQ63" i="10" a="1"/>
  <c r="AQ63" i="10" s="1"/>
  <c r="K75" i="10" a="1"/>
  <c r="K75" i="10" s="1"/>
  <c r="U75" i="10" a="1"/>
  <c r="U75" i="10" s="1"/>
  <c r="AD75" i="10" a="1"/>
  <c r="AD75" i="10" s="1"/>
  <c r="AM75" i="10" a="1"/>
  <c r="AM75" i="10" s="1"/>
  <c r="AV75" i="10" a="1"/>
  <c r="AV75" i="10" s="1"/>
  <c r="BE75" i="10" a="1"/>
  <c r="BE75" i="10" s="1"/>
  <c r="BN75" i="10" a="1"/>
  <c r="BN75" i="10" s="1"/>
  <c r="BW75" i="10" a="1"/>
  <c r="BW75" i="10" s="1"/>
  <c r="CE75" i="12" a="1"/>
  <c r="CE75" i="12" s="1"/>
  <c r="BW75" i="12" a="1"/>
  <c r="BW75" i="12" s="1"/>
  <c r="BO75" i="12" a="1"/>
  <c r="BO75" i="12" s="1"/>
  <c r="BP63" i="12" a="1"/>
  <c r="BP63" i="12" s="1"/>
  <c r="BX63" i="12" a="1"/>
  <c r="BX63" i="12" s="1"/>
  <c r="BO59" i="12" a="1"/>
  <c r="BO59" i="12" s="1"/>
  <c r="BW59" i="12" a="1"/>
  <c r="BW59" i="12" s="1"/>
  <c r="CE59" i="12" a="1"/>
  <c r="CE59" i="12" s="1"/>
  <c r="CC52" i="12" a="1"/>
  <c r="CC52" i="12" s="1"/>
  <c r="BU52" i="12" a="1"/>
  <c r="BU52" i="12" s="1"/>
  <c r="BM52" i="12" a="1"/>
  <c r="BM52" i="12" s="1"/>
  <c r="CC48" i="12" a="1"/>
  <c r="CC48" i="12" s="1"/>
  <c r="BU48" i="12" a="1"/>
  <c r="BU48" i="12" s="1"/>
  <c r="BM48" i="12" a="1"/>
  <c r="BM48" i="12" s="1"/>
  <c r="CC44" i="12" a="1"/>
  <c r="CC44" i="12" s="1"/>
  <c r="BU44" i="12" a="1"/>
  <c r="BU44" i="12" s="1"/>
  <c r="BM44" i="12" a="1"/>
  <c r="BM44" i="12" s="1"/>
  <c r="BN27" i="12" a="1"/>
  <c r="BN27" i="12" s="1"/>
  <c r="BV27" i="12" a="1"/>
  <c r="BV27" i="12" s="1"/>
  <c r="CD27" i="12" a="1"/>
  <c r="CD27" i="12" s="1"/>
  <c r="BM31" i="12" a="1"/>
  <c r="BM31" i="12" s="1"/>
  <c r="BU31" i="12" a="1"/>
  <c r="BU31" i="12" s="1"/>
  <c r="CC31" i="12" a="1"/>
  <c r="CC31" i="12" s="1"/>
  <c r="BM35" i="12" a="1"/>
  <c r="BM35" i="12" s="1"/>
  <c r="BU35" i="12" a="1"/>
  <c r="BU35" i="12" s="1"/>
  <c r="CC35" i="12" a="1"/>
  <c r="CC35" i="12" s="1"/>
  <c r="BM39" i="12" a="1"/>
  <c r="BM39" i="12" s="1"/>
  <c r="BU39" i="12" a="1"/>
  <c r="BU39" i="12" s="1"/>
  <c r="CC39" i="12" a="1"/>
  <c r="CC39" i="12" s="1"/>
  <c r="BT3" i="12" a="1"/>
  <c r="BT3" i="12" s="1"/>
  <c r="CB3" i="12" a="1"/>
  <c r="CB3" i="12" s="1"/>
  <c r="BQ10" i="12" a="1"/>
  <c r="BQ10" i="12" s="1"/>
  <c r="BY10" i="12" a="1"/>
  <c r="BY10" i="12" s="1"/>
  <c r="BN14" i="12" a="1"/>
  <c r="BN14" i="12" s="1"/>
  <c r="BU14" i="12" a="1"/>
  <c r="BU14" i="12" s="1"/>
  <c r="CC14" i="12" a="1"/>
  <c r="CC14" i="12" s="1"/>
  <c r="BS18" i="12" a="1"/>
  <c r="BS18" i="12" s="1"/>
  <c r="CA18" i="12" a="1"/>
  <c r="CA18" i="12" s="1"/>
  <c r="CB52" i="10" a="1"/>
  <c r="CB52" i="10" s="1"/>
  <c r="AJ59" i="10" a="1"/>
  <c r="AJ59" i="10" s="1"/>
  <c r="AY63" i="10" a="1"/>
  <c r="AY63" i="10" s="1"/>
  <c r="M75" i="10" a="1"/>
  <c r="M75" i="10" s="1"/>
  <c r="V75" i="10" a="1"/>
  <c r="V75" i="10" s="1"/>
  <c r="AE75" i="10" a="1"/>
  <c r="AE75" i="10" s="1"/>
  <c r="AN75" i="10" a="1"/>
  <c r="AN75" i="10" s="1"/>
  <c r="AW75" i="10" a="1"/>
  <c r="AW75" i="10" s="1"/>
  <c r="BF75" i="10" a="1"/>
  <c r="BF75" i="10" s="1"/>
  <c r="BO75" i="10" a="1"/>
  <c r="BO75" i="10" s="1"/>
  <c r="BY75" i="10" a="1"/>
  <c r="BY75" i="10" s="1"/>
  <c r="CD75" i="12" a="1"/>
  <c r="CD75" i="12" s="1"/>
  <c r="BV75" i="12" a="1"/>
  <c r="BV75" i="12" s="1"/>
  <c r="BN75" i="12" a="1"/>
  <c r="BN75" i="12" s="1"/>
  <c r="BQ63" i="12" a="1"/>
  <c r="BQ63" i="12" s="1"/>
  <c r="BY63" i="12" a="1"/>
  <c r="BY63" i="12" s="1"/>
  <c r="BP59" i="12" a="1"/>
  <c r="BP59" i="12" s="1"/>
  <c r="BX59" i="12" a="1"/>
  <c r="BX59" i="12" s="1"/>
  <c r="CB52" i="12" a="1"/>
  <c r="CB52" i="12" s="1"/>
  <c r="BT52" i="12" a="1"/>
  <c r="BT52" i="12" s="1"/>
  <c r="CB48" i="12" a="1"/>
  <c r="CB48" i="12" s="1"/>
  <c r="BT48" i="12" a="1"/>
  <c r="BT48" i="12" s="1"/>
  <c r="CB44" i="12" a="1"/>
  <c r="CB44" i="12" s="1"/>
  <c r="BT44" i="12" a="1"/>
  <c r="BT44" i="12" s="1"/>
  <c r="BO27" i="12" a="1"/>
  <c r="BO27" i="12" s="1"/>
  <c r="BW27" i="12" a="1"/>
  <c r="BW27" i="12" s="1"/>
  <c r="CE27" i="12" a="1"/>
  <c r="CE27" i="12" s="1"/>
  <c r="M48" i="10" a="1"/>
  <c r="M48" i="10" s="1"/>
  <c r="BG63" i="10" a="1"/>
  <c r="BG63" i="10" s="1"/>
  <c r="E75" i="10" a="1"/>
  <c r="E75" i="10" s="1"/>
  <c r="N75" i="10" a="1"/>
  <c r="N75" i="10" s="1"/>
  <c r="W75" i="10" a="1"/>
  <c r="W75" i="10" s="1"/>
  <c r="AF75" i="10" a="1"/>
  <c r="AF75" i="10" s="1"/>
  <c r="AO75" i="10" a="1"/>
  <c r="AO75" i="10" s="1"/>
  <c r="AX75" i="10" a="1"/>
  <c r="AX75" i="10" s="1"/>
  <c r="BG75" i="10" a="1"/>
  <c r="BG75" i="10" s="1"/>
  <c r="BQ75" i="10" a="1"/>
  <c r="BQ75" i="10" s="1"/>
  <c r="BZ75" i="10" a="1"/>
  <c r="BZ75" i="10" s="1"/>
  <c r="CC75" i="12" a="1"/>
  <c r="CC75" i="12" s="1"/>
  <c r="BU75" i="12" a="1"/>
  <c r="BU75" i="12" s="1"/>
  <c r="BM75" i="12" a="1"/>
  <c r="BM75" i="12" s="1"/>
  <c r="BR63" i="12" a="1"/>
  <c r="BR63" i="12" s="1"/>
  <c r="BZ63" i="12" a="1"/>
  <c r="BZ63" i="12" s="1"/>
  <c r="N44" i="10" a="1"/>
  <c r="N44" i="10" s="1"/>
  <c r="AF48" i="10" a="1"/>
  <c r="AF48" i="10" s="1"/>
  <c r="AZ59" i="10" a="1"/>
  <c r="AZ59" i="10" s="1"/>
  <c r="BO63" i="10" a="1"/>
  <c r="BO63" i="10" s="1"/>
  <c r="F75" i="10" a="1"/>
  <c r="F75" i="10" s="1"/>
  <c r="O75" i="10" a="1"/>
  <c r="O75" i="10" s="1"/>
  <c r="AG75" i="10" a="1"/>
  <c r="AG75" i="10" s="1"/>
  <c r="AP75" i="10" a="1"/>
  <c r="AP75" i="10" s="1"/>
  <c r="AY75" i="10" a="1"/>
  <c r="AY75" i="10" s="1"/>
  <c r="BI75" i="10" a="1"/>
  <c r="BI75" i="10" s="1"/>
  <c r="BR75" i="10" a="1"/>
  <c r="BR75" i="10" s="1"/>
  <c r="CA75" i="10" a="1"/>
  <c r="CA75" i="10" s="1"/>
  <c r="CB75" i="12" a="1"/>
  <c r="CB75" i="12" s="1"/>
  <c r="BT75" i="12" a="1"/>
  <c r="BT75" i="12" s="1"/>
  <c r="BS63" i="12" a="1"/>
  <c r="BS63" i="12" s="1"/>
  <c r="CA63" i="12" a="1"/>
  <c r="CA63" i="12" s="1"/>
  <c r="BR59" i="12" a="1"/>
  <c r="BR59" i="12" s="1"/>
  <c r="BZ59" i="12" a="1"/>
  <c r="BZ59" i="12" s="1"/>
  <c r="BZ52" i="12" a="1"/>
  <c r="BZ52" i="12" s="1"/>
  <c r="BR52" i="12" a="1"/>
  <c r="BR52" i="12" s="1"/>
  <c r="BZ48" i="12" a="1"/>
  <c r="BZ48" i="12" s="1"/>
  <c r="BR48" i="12" a="1"/>
  <c r="BR48" i="12" s="1"/>
  <c r="BZ44" i="12" a="1"/>
  <c r="BZ44" i="12" s="1"/>
  <c r="BR44" i="12" a="1"/>
  <c r="BR44" i="12" s="1"/>
  <c r="BQ27" i="12" a="1"/>
  <c r="BQ27" i="12" s="1"/>
  <c r="BY27" i="12" a="1"/>
  <c r="BY27" i="12" s="1"/>
  <c r="BP31" i="12" a="1"/>
  <c r="BP31" i="12" s="1"/>
  <c r="BX31" i="12" a="1"/>
  <c r="BX31" i="12" s="1"/>
  <c r="BP35" i="12" a="1"/>
  <c r="BP35" i="12" s="1"/>
  <c r="BX35" i="12" a="1"/>
  <c r="BX35" i="12" s="1"/>
  <c r="BP39" i="12" a="1"/>
  <c r="BP39" i="12" s="1"/>
  <c r="BX39" i="12" a="1"/>
  <c r="BX39" i="12" s="1"/>
  <c r="BO3" i="12" a="1"/>
  <c r="BO3" i="12" s="1"/>
  <c r="BW3" i="12" a="1"/>
  <c r="BW3" i="12" s="1"/>
  <c r="CE3" i="12" a="1"/>
  <c r="CE3" i="12" s="1"/>
  <c r="BY48" i="10" a="1"/>
  <c r="BY48" i="10" s="1"/>
  <c r="AC52" i="10" a="1"/>
  <c r="AC52" i="10" s="1"/>
  <c r="BP59" i="10" a="1"/>
  <c r="BP59" i="10" s="1"/>
  <c r="S63" i="10" a="1"/>
  <c r="S63" i="10" s="1"/>
  <c r="CE63" i="10" a="1"/>
  <c r="CE63" i="10" s="1"/>
  <c r="H75" i="10" a="1"/>
  <c r="H75" i="10" s="1"/>
  <c r="Q75" i="10" a="1"/>
  <c r="Q75" i="10" s="1"/>
  <c r="Z75" i="10" a="1"/>
  <c r="Z75" i="10" s="1"/>
  <c r="AI75" i="10" a="1"/>
  <c r="AI75" i="10" s="1"/>
  <c r="AS75" i="10" a="1"/>
  <c r="AS75" i="10" s="1"/>
  <c r="BB75" i="10" a="1"/>
  <c r="BB75" i="10" s="1"/>
  <c r="BK75" i="10" a="1"/>
  <c r="BK75" i="10" s="1"/>
  <c r="BT75" i="10" a="1"/>
  <c r="BT75" i="10" s="1"/>
  <c r="CC75" i="10" a="1"/>
  <c r="CC75" i="10" s="1"/>
  <c r="BZ75" i="12" a="1"/>
  <c r="BZ75" i="12" s="1"/>
  <c r="BR75" i="12" a="1"/>
  <c r="BR75" i="12" s="1"/>
  <c r="BM63" i="12" a="1"/>
  <c r="BM63" i="12" s="1"/>
  <c r="BU63" i="12" a="1"/>
  <c r="BU63" i="12" s="1"/>
  <c r="CC63" i="12" a="1"/>
  <c r="CC63" i="12" s="1"/>
  <c r="BT59" i="12" a="1"/>
  <c r="BT59" i="12" s="1"/>
  <c r="CB59" i="12" a="1"/>
  <c r="CB59" i="12" s="1"/>
  <c r="BX52" i="12" a="1"/>
  <c r="BX52" i="12" s="1"/>
  <c r="BP52" i="12" a="1"/>
  <c r="BP52" i="12" s="1"/>
  <c r="BX48" i="12" a="1"/>
  <c r="BX48" i="12" s="1"/>
  <c r="BP48" i="12" a="1"/>
  <c r="BP48" i="12" s="1"/>
  <c r="BX44" i="12" a="1"/>
  <c r="BX44" i="12" s="1"/>
  <c r="BP44" i="12" a="1"/>
  <c r="BP44" i="12" s="1"/>
  <c r="BS27" i="12" a="1"/>
  <c r="BS27" i="12" s="1"/>
  <c r="CA27" i="12" a="1"/>
  <c r="CA27" i="12" s="1"/>
  <c r="BR31" i="12" a="1"/>
  <c r="BR31" i="12" s="1"/>
  <c r="BZ31" i="12" a="1"/>
  <c r="BZ31" i="12" s="1"/>
  <c r="BR35" i="12" a="1"/>
  <c r="BR35" i="12" s="1"/>
  <c r="BZ35" i="12" a="1"/>
  <c r="BZ35" i="12" s="1"/>
  <c r="BR39" i="12" a="1"/>
  <c r="BR39" i="12" s="1"/>
  <c r="BZ39" i="12" a="1"/>
  <c r="BZ39" i="12" s="1"/>
  <c r="BQ3" i="12" a="1"/>
  <c r="BQ3" i="12" s="1"/>
  <c r="BY3" i="12" a="1"/>
  <c r="BY3" i="12" s="1"/>
  <c r="BN10" i="12" a="1"/>
  <c r="BN10" i="12" s="1"/>
  <c r="BV10" i="12" a="1"/>
  <c r="BV10" i="12" s="1"/>
  <c r="CC10" i="12" a="1"/>
  <c r="CC10" i="12" s="1"/>
  <c r="BR14" i="12" a="1"/>
  <c r="BR14" i="12" s="1"/>
  <c r="BZ14" i="12" a="1"/>
  <c r="BZ14" i="12" s="1"/>
  <c r="BP18" i="12" a="1"/>
  <c r="BP18" i="12" s="1"/>
  <c r="BX18" i="12" a="1"/>
  <c r="BX18" i="12" s="1"/>
  <c r="BX2" i="12" a="1"/>
  <c r="BX2" i="12" s="1"/>
  <c r="BP2" i="12" a="1"/>
  <c r="BP2" i="12" s="1"/>
  <c r="CA24" i="12" a="1"/>
  <c r="CA24" i="12" s="1"/>
  <c r="BS24" i="12" a="1"/>
  <c r="BS24" i="12" s="1"/>
  <c r="CE23" i="12" a="1"/>
  <c r="CE23" i="12" s="1"/>
  <c r="BY23" i="12" a="1"/>
  <c r="BY23" i="12" s="1"/>
  <c r="BR23" i="12" a="1"/>
  <c r="BR23" i="12" s="1"/>
  <c r="CE22" i="12" a="1"/>
  <c r="CE22" i="12" s="1"/>
  <c r="BW22" i="12" a="1"/>
  <c r="BW22" i="12" s="1"/>
  <c r="BP22" i="12" a="1"/>
  <c r="BP22" i="12" s="1"/>
  <c r="CA21" i="12" a="1"/>
  <c r="CA21" i="12" s="1"/>
  <c r="BS21" i="12" a="1"/>
  <c r="BS21" i="12" s="1"/>
  <c r="CC20" i="12" a="1"/>
  <c r="CC20" i="12" s="1"/>
  <c r="BS20" i="12" a="1"/>
  <c r="BS20" i="12" s="1"/>
  <c r="CC19" i="12" a="1"/>
  <c r="CC19" i="12" s="1"/>
  <c r="BR19" i="12" a="1"/>
  <c r="BR19" i="12" s="1"/>
  <c r="CB18" i="12" a="1"/>
  <c r="CB18" i="12" s="1"/>
  <c r="BQ18" i="12" a="1"/>
  <c r="BQ18" i="12" s="1"/>
  <c r="BZ17" i="12" a="1"/>
  <c r="BZ17" i="12" s="1"/>
  <c r="BP17" i="12" a="1"/>
  <c r="BP17" i="12" s="1"/>
  <c r="BZ16" i="12" a="1"/>
  <c r="BZ16" i="12" s="1"/>
  <c r="BO16" i="12" a="1"/>
  <c r="BO16" i="12" s="1"/>
  <c r="BY15" i="12" a="1"/>
  <c r="BY15" i="12" s="1"/>
  <c r="BX14" i="12" a="1"/>
  <c r="BX14" i="12" s="1"/>
  <c r="BY13" i="12" a="1"/>
  <c r="BY13" i="12" s="1"/>
  <c r="BN13" i="12" a="1"/>
  <c r="BN13" i="12" s="1"/>
  <c r="BY12" i="12" a="1"/>
  <c r="BY12" i="12" s="1"/>
  <c r="BN12" i="12" a="1"/>
  <c r="BN12" i="12" s="1"/>
  <c r="BW11" i="12" a="1"/>
  <c r="BW11" i="12" s="1"/>
  <c r="BM11" i="12" a="1"/>
  <c r="BM11" i="12" s="1"/>
  <c r="BW10" i="12" a="1"/>
  <c r="BW10" i="12" s="1"/>
  <c r="BW9" i="12" a="1"/>
  <c r="BW9" i="12" s="1"/>
  <c r="BU5" i="12" a="1"/>
  <c r="BU5" i="12" s="1"/>
  <c r="CE4" i="12" a="1"/>
  <c r="CE4" i="12" s="1"/>
  <c r="BU4" i="12" a="1"/>
  <c r="BU4" i="12" s="1"/>
  <c r="CC3" i="12" a="1"/>
  <c r="CC3" i="12" s="1"/>
  <c r="BP3" i="12" a="1"/>
  <c r="BP3" i="12" s="1"/>
  <c r="BS26" i="12" a="1"/>
  <c r="BS26" i="12" s="1"/>
  <c r="CE41" i="12" a="1"/>
  <c r="CE41" i="12" s="1"/>
  <c r="BS41" i="12" a="1"/>
  <c r="BS41" i="12" s="1"/>
  <c r="BZ40" i="12" a="1"/>
  <c r="BZ40" i="12" s="1"/>
  <c r="BM40" i="12" a="1"/>
  <c r="BM40" i="12" s="1"/>
  <c r="BT39" i="12" a="1"/>
  <c r="BT39" i="12" s="1"/>
  <c r="CA38" i="12" a="1"/>
  <c r="CA38" i="12" s="1"/>
  <c r="BO38" i="12" a="1"/>
  <c r="BO38" i="12" s="1"/>
  <c r="BV37" i="12" a="1"/>
  <c r="BV37" i="12" s="1"/>
  <c r="CC36" i="12" a="1"/>
  <c r="CC36" i="12" s="1"/>
  <c r="BP36" i="12" a="1"/>
  <c r="BP36" i="12" s="1"/>
  <c r="BW35" i="12" a="1"/>
  <c r="BW35" i="12" s="1"/>
  <c r="CE34" i="12" a="1"/>
  <c r="CE34" i="12" s="1"/>
  <c r="BR34" i="12" a="1"/>
  <c r="BR34" i="12" s="1"/>
  <c r="BY33" i="12" a="1"/>
  <c r="BY33" i="12" s="1"/>
  <c r="BL33" i="12" a="1"/>
  <c r="BL33" i="12" s="1"/>
  <c r="BS32" i="12" a="1"/>
  <c r="BS32" i="12" s="1"/>
  <c r="CA31" i="12" a="1"/>
  <c r="CA31" i="12" s="1"/>
  <c r="BN31" i="12" a="1"/>
  <c r="BN31" i="12" s="1"/>
  <c r="BU30" i="12" a="1"/>
  <c r="BU30" i="12" s="1"/>
  <c r="CB29" i="12" a="1"/>
  <c r="CB29" i="12" s="1"/>
  <c r="BP29" i="12" a="1"/>
  <c r="BP29" i="12" s="1"/>
  <c r="BV28" i="12" a="1"/>
  <c r="BV28" i="12" s="1"/>
  <c r="BZ27" i="12" a="1"/>
  <c r="BZ27" i="12" s="1"/>
  <c r="BU43" i="12" a="1"/>
  <c r="BU43" i="12" s="1"/>
  <c r="BM45" i="12" a="1"/>
  <c r="BM45" i="12" s="1"/>
  <c r="BY46" i="12" a="1"/>
  <c r="BY46" i="12" s="1"/>
  <c r="BQ48" i="12" a="1"/>
  <c r="BQ48" i="12" s="1"/>
  <c r="CC49" i="12" a="1"/>
  <c r="CC49" i="12" s="1"/>
  <c r="BU51" i="12" a="1"/>
  <c r="BU51" i="12" s="1"/>
  <c r="BM53" i="12" a="1"/>
  <c r="BM53" i="12" s="1"/>
  <c r="BY54" i="12" a="1"/>
  <c r="BY54" i="12" s="1"/>
  <c r="CB57" i="12" a="1"/>
  <c r="CB57" i="12" s="1"/>
  <c r="BW60" i="12" a="1"/>
  <c r="BW60" i="12" s="1"/>
  <c r="CC68" i="12" a="1"/>
  <c r="CC68" i="12" s="1"/>
  <c r="CA65" i="12" a="1"/>
  <c r="CA65" i="12" s="1"/>
  <c r="BS75" i="12" a="1"/>
  <c r="BS75" i="12" s="1"/>
  <c r="BV79" i="12" a="1"/>
  <c r="BV79" i="12" s="1"/>
  <c r="BR83" i="12" a="1"/>
  <c r="BR83" i="12" s="1"/>
  <c r="BN80" i="12" a="1"/>
  <c r="BN80" i="12" s="1"/>
  <c r="AF2" i="10" a="1"/>
  <c r="AF2" i="10" s="1"/>
  <c r="AV85" i="10" a="1"/>
  <c r="AV85" i="10" s="1"/>
  <c r="BL84" i="10" a="1"/>
  <c r="BL84" i="10" s="1"/>
  <c r="CC83" i="10" a="1"/>
  <c r="CC83" i="10" s="1"/>
  <c r="Q83" i="10" a="1"/>
  <c r="Q83" i="10" s="1"/>
  <c r="AG82" i="10" a="1"/>
  <c r="AG82" i="10" s="1"/>
  <c r="AW81" i="10" a="1"/>
  <c r="AW81" i="10" s="1"/>
  <c r="BM80" i="10" a="1"/>
  <c r="BM80" i="10" s="1"/>
  <c r="CC79" i="10" a="1"/>
  <c r="CC79" i="10" s="1"/>
  <c r="Q79" i="10" a="1"/>
  <c r="Q79" i="10" s="1"/>
  <c r="AD77" i="10" a="1"/>
  <c r="AD77" i="10" s="1"/>
  <c r="AK76" i="10" a="1"/>
  <c r="AK76" i="10" s="1"/>
  <c r="AQ75" i="10" a="1"/>
  <c r="AQ75" i="10" s="1"/>
  <c r="AS73" i="10" a="1"/>
  <c r="AS73" i="10" s="1"/>
  <c r="AM72" i="10" a="1"/>
  <c r="AM72" i="10" s="1"/>
  <c r="K71" i="10" a="1"/>
  <c r="K71" i="10" s="1"/>
  <c r="K68" i="10" a="1"/>
  <c r="K68" i="10" s="1"/>
  <c r="BG64" i="10" a="1"/>
  <c r="BG64" i="10" s="1"/>
  <c r="AB57" i="10" a="1"/>
  <c r="AB57" i="10" s="1"/>
  <c r="BZ44" i="10" a="1"/>
  <c r="BZ44" i="10" s="1"/>
  <c r="CD12" i="12" a="1"/>
  <c r="CD12" i="12" s="1"/>
  <c r="BO37" i="12" a="1"/>
  <c r="BO37" i="12" s="1"/>
  <c r="BM77" i="10" a="1"/>
  <c r="BM77" i="10" s="1"/>
  <c r="BU23" i="12" a="1"/>
  <c r="BU23" i="12" s="1"/>
  <c r="CB20" i="12" a="1"/>
  <c r="CB20" i="12" s="1"/>
  <c r="BR20" i="12" a="1"/>
  <c r="BR20" i="12" s="1"/>
  <c r="CA19" i="12" a="1"/>
  <c r="CA19" i="12" s="1"/>
  <c r="BQ19" i="12" a="1"/>
  <c r="BQ19" i="12" s="1"/>
  <c r="BZ18" i="12" a="1"/>
  <c r="BZ18" i="12" s="1"/>
  <c r="BO18" i="12" a="1"/>
  <c r="BO18" i="12" s="1"/>
  <c r="BY17" i="12" a="1"/>
  <c r="BY17" i="12" s="1"/>
  <c r="BN17" i="12" a="1"/>
  <c r="BN17" i="12" s="1"/>
  <c r="BX16" i="12" a="1"/>
  <c r="BX16" i="12" s="1"/>
  <c r="BN16" i="12" a="1"/>
  <c r="BN16" i="12" s="1"/>
  <c r="BW15" i="12" a="1"/>
  <c r="BW15" i="12" s="1"/>
  <c r="BM15" i="12" a="1"/>
  <c r="BM15" i="12" s="1"/>
  <c r="BW14" i="12" a="1"/>
  <c r="BW14" i="12" s="1"/>
  <c r="BM14" i="12" a="1"/>
  <c r="BM14" i="12" s="1"/>
  <c r="BW13" i="12" a="1"/>
  <c r="BW13" i="12" s="1"/>
  <c r="BM13" i="12" a="1"/>
  <c r="BM13" i="12" s="1"/>
  <c r="BW12" i="12" a="1"/>
  <c r="BW12" i="12" s="1"/>
  <c r="BL12" i="12" a="1"/>
  <c r="BL12" i="12" s="1"/>
  <c r="BV11" i="12" a="1"/>
  <c r="BV11" i="12" s="1"/>
  <c r="CE10" i="12" a="1"/>
  <c r="CE10" i="12" s="1"/>
  <c r="BU10" i="12" a="1"/>
  <c r="BU10" i="12" s="1"/>
  <c r="CE9" i="12" a="1"/>
  <c r="CE9" i="12" s="1"/>
  <c r="BU9" i="12" a="1"/>
  <c r="BU9" i="12" s="1"/>
  <c r="CD5" i="12" a="1"/>
  <c r="CD5" i="12" s="1"/>
  <c r="BT5" i="12" a="1"/>
  <c r="BT5" i="12" s="1"/>
  <c r="CC4" i="12" a="1"/>
  <c r="CC4" i="12" s="1"/>
  <c r="BS4" i="12" a="1"/>
  <c r="BS4" i="12" s="1"/>
  <c r="CA3" i="12" a="1"/>
  <c r="CA3" i="12" s="1"/>
  <c r="BN3" i="12" a="1"/>
  <c r="BN3" i="12" s="1"/>
  <c r="BT26" i="12" a="1"/>
  <c r="BT26" i="12" s="1"/>
  <c r="CD41" i="12" a="1"/>
  <c r="CD41" i="12" s="1"/>
  <c r="BQ41" i="12" a="1"/>
  <c r="BQ41" i="12" s="1"/>
  <c r="BX40" i="12" a="1"/>
  <c r="BX40" i="12" s="1"/>
  <c r="CE39" i="12" a="1"/>
  <c r="CE39" i="12" s="1"/>
  <c r="BS39" i="12" a="1"/>
  <c r="BS39" i="12" s="1"/>
  <c r="BZ38" i="12" a="1"/>
  <c r="BZ38" i="12" s="1"/>
  <c r="BM38" i="12" a="1"/>
  <c r="BM38" i="12" s="1"/>
  <c r="BT37" i="12" a="1"/>
  <c r="BT37" i="12" s="1"/>
  <c r="CA36" i="12" a="1"/>
  <c r="CA36" i="12" s="1"/>
  <c r="BO36" i="12" a="1"/>
  <c r="BO36" i="12" s="1"/>
  <c r="BV35" i="12" a="1"/>
  <c r="BV35" i="12" s="1"/>
  <c r="CC34" i="12" a="1"/>
  <c r="CC34" i="12" s="1"/>
  <c r="BP34" i="12" a="1"/>
  <c r="BP34" i="12" s="1"/>
  <c r="BW33" i="12" a="1"/>
  <c r="BW33" i="12" s="1"/>
  <c r="CE32" i="12" a="1"/>
  <c r="CE32" i="12" s="1"/>
  <c r="BR32" i="12" a="1"/>
  <c r="BR32" i="12" s="1"/>
  <c r="BY31" i="12" a="1"/>
  <c r="BY31" i="12" s="1"/>
  <c r="BS30" i="12" a="1"/>
  <c r="BS30" i="12" s="1"/>
  <c r="CA29" i="12" a="1"/>
  <c r="CA29" i="12" s="1"/>
  <c r="BO29" i="12" a="1"/>
  <c r="BO29" i="12" s="1"/>
  <c r="BT28" i="12" a="1"/>
  <c r="BT28" i="12" s="1"/>
  <c r="BX27" i="12" a="1"/>
  <c r="BX27" i="12" s="1"/>
  <c r="BW43" i="12" a="1"/>
  <c r="BW43" i="12" s="1"/>
  <c r="BO45" i="12" a="1"/>
  <c r="BO45" i="12" s="1"/>
  <c r="CA46" i="12" a="1"/>
  <c r="CA46" i="12" s="1"/>
  <c r="BS48" i="12" a="1"/>
  <c r="BS48" i="12" s="1"/>
  <c r="CE49" i="12" a="1"/>
  <c r="CE49" i="12" s="1"/>
  <c r="BW51" i="12" a="1"/>
  <c r="BW51" i="12" s="1"/>
  <c r="BO53" i="12" a="1"/>
  <c r="BO53" i="12" s="1"/>
  <c r="CA54" i="12" a="1"/>
  <c r="CA54" i="12" s="1"/>
  <c r="BR56" i="12" a="1"/>
  <c r="BR56" i="12" s="1"/>
  <c r="CD57" i="12" a="1"/>
  <c r="CD57" i="12" s="1"/>
  <c r="BU60" i="12" a="1"/>
  <c r="BU60" i="12" s="1"/>
  <c r="BN62" i="12" a="1"/>
  <c r="BN62" i="12" s="1"/>
  <c r="BX72" i="12" a="1"/>
  <c r="BX72" i="12" s="1"/>
  <c r="BV68" i="12" a="1"/>
  <c r="BV68" i="12" s="1"/>
  <c r="BS65" i="12" a="1"/>
  <c r="BS65" i="12" s="1"/>
  <c r="CA75" i="12" a="1"/>
  <c r="CA75" i="12" s="1"/>
  <c r="CD79" i="12" a="1"/>
  <c r="CD79" i="12" s="1"/>
  <c r="CD82" i="12" a="1"/>
  <c r="CD82" i="12" s="1"/>
  <c r="AN85" i="10" a="1"/>
  <c r="AN85" i="10" s="1"/>
  <c r="BD84" i="10" a="1"/>
  <c r="BD84" i="10" s="1"/>
  <c r="BU83" i="10" a="1"/>
  <c r="BU83" i="10" s="1"/>
  <c r="I83" i="10" a="1"/>
  <c r="I83" i="10" s="1"/>
  <c r="Y82" i="10" a="1"/>
  <c r="Y82" i="10" s="1"/>
  <c r="AO81" i="10" a="1"/>
  <c r="AO81" i="10" s="1"/>
  <c r="BE80" i="10" a="1"/>
  <c r="BE80" i="10" s="1"/>
  <c r="BU79" i="10" a="1"/>
  <c r="BU79" i="10" s="1"/>
  <c r="I79" i="10" a="1"/>
  <c r="I79" i="10" s="1"/>
  <c r="U77" i="10" a="1"/>
  <c r="U77" i="10" s="1"/>
  <c r="AH75" i="10" a="1"/>
  <c r="AH75" i="10" s="1"/>
  <c r="AH73" i="10" a="1"/>
  <c r="AH73" i="10" s="1"/>
  <c r="Z72" i="10" a="1"/>
  <c r="Z72" i="10" s="1"/>
  <c r="BW70" i="10" a="1"/>
  <c r="BW70" i="10" s="1"/>
  <c r="BT67" i="10" a="1"/>
  <c r="BT67" i="10" s="1"/>
  <c r="BW63" i="10" a="1"/>
  <c r="BW63" i="10" s="1"/>
  <c r="AR56" i="10" a="1"/>
  <c r="AR56" i="10" s="1"/>
  <c r="AI37" i="10" a="1"/>
  <c r="AI37" i="10" s="1"/>
  <c r="BN20" i="12" a="1"/>
  <c r="BN20" i="12" s="1"/>
  <c r="BU16" i="12" a="1"/>
  <c r="BU16" i="12" s="1"/>
  <c r="CA5" i="12" a="1"/>
  <c r="CA5" i="12" s="1"/>
  <c r="BV29" i="12" a="1"/>
  <c r="BV29" i="12" s="1"/>
  <c r="BM77" i="12" a="1"/>
  <c r="BM77" i="12" s="1"/>
  <c r="AR60" i="10" a="1"/>
  <c r="AR60" i="10" s="1"/>
  <c r="Z7" i="10" a="1"/>
  <c r="Z7" i="10" s="1"/>
  <c r="AH7" i="10" a="1"/>
  <c r="AH7" i="10" s="1"/>
  <c r="AP7" i="10" a="1"/>
  <c r="AP7" i="10" s="1"/>
  <c r="AX7" i="10" a="1"/>
  <c r="AX7" i="10" s="1"/>
  <c r="BF7" i="10" a="1"/>
  <c r="BF7" i="10" s="1"/>
  <c r="BN7" i="10" a="1"/>
  <c r="BN7" i="10" s="1"/>
  <c r="BV7" i="10" a="1"/>
  <c r="BV7" i="10" s="1"/>
  <c r="CD7" i="10" a="1"/>
  <c r="CD7" i="10" s="1"/>
  <c r="E7" i="10" a="1"/>
  <c r="E7" i="10" s="1"/>
  <c r="J7" i="10" a="1"/>
  <c r="J7" i="10" s="1"/>
  <c r="P7" i="10" a="1"/>
  <c r="P7" i="10" s="1"/>
  <c r="O85" i="12" a="1"/>
  <c r="O85" i="12" s="1"/>
  <c r="J85" i="12" a="1"/>
  <c r="J85" i="12" s="1"/>
  <c r="W82" i="12" a="1"/>
  <c r="W82" i="12" s="1"/>
  <c r="P82" i="12" a="1"/>
  <c r="P82" i="12" s="1"/>
  <c r="I82" i="12" a="1"/>
  <c r="I82" i="12" s="1"/>
  <c r="S79" i="12" a="1"/>
  <c r="S79" i="12" s="1"/>
  <c r="L79" i="12" a="1"/>
  <c r="L79" i="12" s="1"/>
  <c r="E79" i="12" a="1"/>
  <c r="E79" i="12" s="1"/>
  <c r="Q76" i="12" a="1"/>
  <c r="Q76" i="12" s="1"/>
  <c r="S7" i="10" a="1"/>
  <c r="S7" i="10" s="1"/>
  <c r="AA7" i="10" a="1"/>
  <c r="AA7" i="10" s="1"/>
  <c r="AI7" i="10" a="1"/>
  <c r="AI7" i="10" s="1"/>
  <c r="AQ7" i="10" a="1"/>
  <c r="AQ7" i="10" s="1"/>
  <c r="AY7" i="10" a="1"/>
  <c r="AY7" i="10" s="1"/>
  <c r="BG7" i="10" a="1"/>
  <c r="BG7" i="10" s="1"/>
  <c r="BO7" i="10" a="1"/>
  <c r="BO7" i="10" s="1"/>
  <c r="BW7" i="10" a="1"/>
  <c r="BW7" i="10" s="1"/>
  <c r="CE7" i="10" a="1"/>
  <c r="CE7" i="10" s="1"/>
  <c r="K7" i="10" a="1"/>
  <c r="K7" i="10" s="1"/>
  <c r="S85" i="12" a="1"/>
  <c r="S85" i="12" s="1"/>
  <c r="I85" i="12" a="1"/>
  <c r="I85" i="12" s="1"/>
  <c r="O82" i="12" a="1"/>
  <c r="O82" i="12" s="1"/>
  <c r="H82" i="12" a="1"/>
  <c r="H82" i="12" s="1"/>
  <c r="K79" i="12" a="1"/>
  <c r="K79" i="12" s="1"/>
  <c r="W76" i="12" a="1"/>
  <c r="W76" i="12" s="1"/>
  <c r="J76" i="12" a="1"/>
  <c r="J76" i="12" s="1"/>
  <c r="T7" i="10" a="1"/>
  <c r="T7" i="10" s="1"/>
  <c r="AB7" i="10" a="1"/>
  <c r="AB7" i="10" s="1"/>
  <c r="AJ7" i="10" a="1"/>
  <c r="AJ7" i="10" s="1"/>
  <c r="AZ7" i="10" a="1"/>
  <c r="AZ7" i="10" s="1"/>
  <c r="BH7" i="10" a="1"/>
  <c r="BH7" i="10" s="1"/>
  <c r="BP7" i="10" a="1"/>
  <c r="BP7" i="10" s="1"/>
  <c r="BX7" i="10" a="1"/>
  <c r="BX7" i="10" s="1"/>
  <c r="F7" i="10" a="1"/>
  <c r="F7" i="10" s="1"/>
  <c r="U7" i="10" a="1"/>
  <c r="U7" i="10" s="1"/>
  <c r="AC7" i="10" a="1"/>
  <c r="AC7" i="10" s="1"/>
  <c r="AK7" i="10" a="1"/>
  <c r="AK7" i="10" s="1"/>
  <c r="AS7" i="10" a="1"/>
  <c r="AS7" i="10" s="1"/>
  <c r="BA7" i="10" a="1"/>
  <c r="BA7" i="10" s="1"/>
  <c r="BI7" i="10" a="1"/>
  <c r="BI7" i="10" s="1"/>
  <c r="BQ7" i="10" a="1"/>
  <c r="BQ7" i="10" s="1"/>
  <c r="BY7" i="10" a="1"/>
  <c r="BY7" i="10" s="1"/>
  <c r="G7" i="10" a="1"/>
  <c r="G7" i="10" s="1"/>
  <c r="R7" i="10" a="1"/>
  <c r="R7" i="10" s="1"/>
  <c r="R85" i="12" a="1"/>
  <c r="R85" i="12" s="1"/>
  <c r="M85" i="12" a="1"/>
  <c r="M85" i="12" s="1"/>
  <c r="H85" i="12" a="1"/>
  <c r="H85" i="12" s="1"/>
  <c r="U82" i="12" a="1"/>
  <c r="U82" i="12" s="1"/>
  <c r="N82" i="12" a="1"/>
  <c r="N82" i="12" s="1"/>
  <c r="Q79" i="12" a="1"/>
  <c r="Q79" i="12" s="1"/>
  <c r="V7" i="10" a="1"/>
  <c r="V7" i="10" s="1"/>
  <c r="AD7" i="10" a="1"/>
  <c r="AD7" i="10" s="1"/>
  <c r="AL7" i="10" a="1"/>
  <c r="AL7" i="10" s="1"/>
  <c r="AT7" i="10" a="1"/>
  <c r="AT7" i="10" s="1"/>
  <c r="BB7" i="10" a="1"/>
  <c r="BB7" i="10" s="1"/>
  <c r="BJ7" i="10" a="1"/>
  <c r="BJ7" i="10" s="1"/>
  <c r="BR7" i="10" a="1"/>
  <c r="BR7" i="10" s="1"/>
  <c r="BZ7" i="10" a="1"/>
  <c r="BZ7" i="10" s="1"/>
  <c r="H7" i="10" a="1"/>
  <c r="H7" i="10" s="1"/>
  <c r="M7" i="10" a="1"/>
  <c r="M7" i="10" s="1"/>
  <c r="V85" i="12" a="1"/>
  <c r="V85" i="12" s="1"/>
  <c r="Y7" i="10" a="1"/>
  <c r="Y7" i="10" s="1"/>
  <c r="AG7" i="10" a="1"/>
  <c r="AG7" i="10" s="1"/>
  <c r="AO7" i="10" a="1"/>
  <c r="AO7" i="10" s="1"/>
  <c r="AW7" i="10" a="1"/>
  <c r="AW7" i="10" s="1"/>
  <c r="BE7" i="10" a="1"/>
  <c r="BE7" i="10" s="1"/>
  <c r="BM7" i="10" a="1"/>
  <c r="BM7" i="10" s="1"/>
  <c r="BU7" i="10" a="1"/>
  <c r="BU7" i="10" s="1"/>
  <c r="CC7" i="10" a="1"/>
  <c r="CC7" i="10" s="1"/>
  <c r="O7" i="10" a="1"/>
  <c r="O7" i="10" s="1"/>
  <c r="T85" i="12" a="1"/>
  <c r="T85" i="12" s="1"/>
  <c r="E85" i="12" a="1"/>
  <c r="E85" i="12" s="1"/>
  <c r="Q82" i="12" a="1"/>
  <c r="Q82" i="12" s="1"/>
  <c r="J82" i="12" a="1"/>
  <c r="J82" i="12" s="1"/>
  <c r="T79" i="12" a="1"/>
  <c r="T79" i="12" s="1"/>
  <c r="M79" i="12" a="1"/>
  <c r="M79" i="12" s="1"/>
  <c r="F79" i="12" a="1"/>
  <c r="F79" i="12" s="1"/>
  <c r="R76" i="12" a="1"/>
  <c r="R76" i="12" s="1"/>
  <c r="K76" i="12" a="1"/>
  <c r="K76" i="12" s="1"/>
  <c r="AU7" i="10" a="1"/>
  <c r="AU7" i="10" s="1"/>
  <c r="CA7" i="10" a="1"/>
  <c r="CA7" i="10" s="1"/>
  <c r="K85" i="12" a="1"/>
  <c r="K85" i="12" s="1"/>
  <c r="K82" i="12" a="1"/>
  <c r="K82" i="12" s="1"/>
  <c r="N79" i="12" a="1"/>
  <c r="N79" i="12" s="1"/>
  <c r="S76" i="12" a="1"/>
  <c r="S76" i="12" s="1"/>
  <c r="H76" i="12" a="1"/>
  <c r="H76" i="12" s="1"/>
  <c r="P64" i="12" a="1"/>
  <c r="P64" i="12" s="1"/>
  <c r="F64" i="12" a="1"/>
  <c r="F64" i="12" s="1"/>
  <c r="AV7" i="10" a="1"/>
  <c r="AV7" i="10" s="1"/>
  <c r="CB7" i="10" a="1"/>
  <c r="CB7" i="10" s="1"/>
  <c r="I7" i="10" a="1"/>
  <c r="I7" i="10" s="1"/>
  <c r="V82" i="12" a="1"/>
  <c r="V82" i="12" s="1"/>
  <c r="G82" i="12" a="1"/>
  <c r="G82" i="12" s="1"/>
  <c r="G76" i="12" a="1"/>
  <c r="G76" i="12" s="1"/>
  <c r="U64" i="12" a="1"/>
  <c r="U64" i="12" s="1"/>
  <c r="K64" i="12" a="1"/>
  <c r="K64" i="12" s="1"/>
  <c r="W7" i="10" a="1"/>
  <c r="W7" i="10" s="1"/>
  <c r="BC7" i="10" a="1"/>
  <c r="BC7" i="10" s="1"/>
  <c r="L7" i="10" a="1"/>
  <c r="L7" i="10" s="1"/>
  <c r="Q85" i="12" a="1"/>
  <c r="Q85" i="12" s="1"/>
  <c r="G85" i="12" a="1"/>
  <c r="G85" i="12" s="1"/>
  <c r="T82" i="12" a="1"/>
  <c r="T82" i="12" s="1"/>
  <c r="F82" i="12" a="1"/>
  <c r="F82" i="12" s="1"/>
  <c r="W79" i="12" a="1"/>
  <c r="W79" i="12" s="1"/>
  <c r="J79" i="12" a="1"/>
  <c r="J79" i="12" s="1"/>
  <c r="P76" i="12" a="1"/>
  <c r="P76" i="12" s="1"/>
  <c r="F76" i="12" a="1"/>
  <c r="F76" i="12" s="1"/>
  <c r="T64" i="12" a="1"/>
  <c r="T64" i="12" s="1"/>
  <c r="O64" i="12" a="1"/>
  <c r="O64" i="12" s="1"/>
  <c r="J64" i="12" a="1"/>
  <c r="J64" i="12" s="1"/>
  <c r="E64" i="12" a="1"/>
  <c r="E64" i="12" s="1"/>
  <c r="R60" i="12" a="1"/>
  <c r="R60" i="12" s="1"/>
  <c r="J60" i="12" a="1"/>
  <c r="J60" i="12" s="1"/>
  <c r="W55" i="12" a="1"/>
  <c r="W55" i="12" s="1"/>
  <c r="BD7" i="10" a="1"/>
  <c r="BD7" i="10" s="1"/>
  <c r="S82" i="12" a="1"/>
  <c r="S82" i="12" s="1"/>
  <c r="E82" i="12" a="1"/>
  <c r="E82" i="12" s="1"/>
  <c r="V79" i="12" a="1"/>
  <c r="V79" i="12" s="1"/>
  <c r="I79" i="12" a="1"/>
  <c r="I79" i="12" s="1"/>
  <c r="O76" i="12" a="1"/>
  <c r="O76" i="12" s="1"/>
  <c r="E76" i="12" a="1"/>
  <c r="E76" i="12" s="1"/>
  <c r="W60" i="12" a="1"/>
  <c r="W60" i="12" s="1"/>
  <c r="Q60" i="12" a="1"/>
  <c r="Q60" i="12" s="1"/>
  <c r="O55" i="12" a="1"/>
  <c r="O55" i="12" s="1"/>
  <c r="J55" i="12" a="1"/>
  <c r="J55" i="12" s="1"/>
  <c r="S53" i="12" a="1"/>
  <c r="S53" i="12" s="1"/>
  <c r="L53" i="12" a="1"/>
  <c r="L53" i="12" s="1"/>
  <c r="F53" i="12" a="1"/>
  <c r="F53" i="12" s="1"/>
  <c r="AE7" i="10" a="1"/>
  <c r="AE7" i="10" s="1"/>
  <c r="BK7" i="10" a="1"/>
  <c r="BK7" i="10" s="1"/>
  <c r="N7" i="10" a="1"/>
  <c r="N7" i="10" s="1"/>
  <c r="P85" i="12" a="1"/>
  <c r="P85" i="12" s="1"/>
  <c r="F85" i="12" a="1"/>
  <c r="F85" i="12" s="1"/>
  <c r="R82" i="12" a="1"/>
  <c r="R82" i="12" s="1"/>
  <c r="U79" i="12" a="1"/>
  <c r="U79" i="12" s="1"/>
  <c r="H79" i="12" a="1"/>
  <c r="H79" i="12" s="1"/>
  <c r="N76" i="12" a="1"/>
  <c r="N76" i="12" s="1"/>
  <c r="S64" i="12" a="1"/>
  <c r="S64" i="12" s="1"/>
  <c r="N64" i="12" a="1"/>
  <c r="N64" i="12" s="1"/>
  <c r="I64" i="12" a="1"/>
  <c r="I64" i="12" s="1"/>
  <c r="V60" i="12" a="1"/>
  <c r="V60" i="12" s="1"/>
  <c r="P60" i="12" a="1"/>
  <c r="P60" i="12" s="1"/>
  <c r="I60" i="12" a="1"/>
  <c r="I60" i="12" s="1"/>
  <c r="V55" i="12" a="1"/>
  <c r="V55" i="12" s="1"/>
  <c r="N55" i="12" a="1"/>
  <c r="N55" i="12" s="1"/>
  <c r="I55" i="12" a="1"/>
  <c r="I55" i="12" s="1"/>
  <c r="W53" i="12" a="1"/>
  <c r="W53" i="12" s="1"/>
  <c r="K53" i="12" a="1"/>
  <c r="K53" i="12" s="1"/>
  <c r="E53" i="12" a="1"/>
  <c r="E53" i="12" s="1"/>
  <c r="AF7" i="10" a="1"/>
  <c r="AF7" i="10" s="1"/>
  <c r="Q7" i="10" a="1"/>
  <c r="Q7" i="10" s="1"/>
  <c r="N85" i="12" a="1"/>
  <c r="N85" i="12" s="1"/>
  <c r="R79" i="12" a="1"/>
  <c r="R79" i="12" s="1"/>
  <c r="G79" i="12" a="1"/>
  <c r="G79" i="12" s="1"/>
  <c r="V76" i="12" a="1"/>
  <c r="V76" i="12" s="1"/>
  <c r="M76" i="12" a="1"/>
  <c r="M76" i="12" s="1"/>
  <c r="AM7" i="10" a="1"/>
  <c r="AM7" i="10" s="1"/>
  <c r="BS7" i="10" a="1"/>
  <c r="BS7" i="10" s="1"/>
  <c r="W85" i="12" a="1"/>
  <c r="W85" i="12" s="1"/>
  <c r="M82" i="12" a="1"/>
  <c r="M82" i="12" s="1"/>
  <c r="P79" i="12" a="1"/>
  <c r="P79" i="12" s="1"/>
  <c r="U76" i="12" a="1"/>
  <c r="U76" i="12" s="1"/>
  <c r="L76" i="12" a="1"/>
  <c r="L76" i="12" s="1"/>
  <c r="AN7" i="10" a="1"/>
  <c r="AN7" i="10" s="1"/>
  <c r="BT7" i="10" a="1"/>
  <c r="BT7" i="10" s="1"/>
  <c r="U85" i="12" a="1"/>
  <c r="U85" i="12" s="1"/>
  <c r="L85" i="12" a="1"/>
  <c r="L85" i="12" s="1"/>
  <c r="L82" i="12" a="1"/>
  <c r="L82" i="12" s="1"/>
  <c r="O79" i="12" a="1"/>
  <c r="O79" i="12" s="1"/>
  <c r="T76" i="12" a="1"/>
  <c r="T76" i="12" s="1"/>
  <c r="I76" i="12" a="1"/>
  <c r="I76" i="12" s="1"/>
  <c r="V64" i="12" a="1"/>
  <c r="V64" i="12" s="1"/>
  <c r="Q64" i="12" a="1"/>
  <c r="Q64" i="12" s="1"/>
  <c r="L64" i="12" a="1"/>
  <c r="L64" i="12" s="1"/>
  <c r="G64" i="12" a="1"/>
  <c r="G64" i="12" s="1"/>
  <c r="T60" i="12" a="1"/>
  <c r="T60" i="12" s="1"/>
  <c r="M60" i="12" a="1"/>
  <c r="M60" i="12" s="1"/>
  <c r="G60" i="12" a="1"/>
  <c r="G60" i="12" s="1"/>
  <c r="H64" i="12" a="1"/>
  <c r="H64" i="12" s="1"/>
  <c r="H60" i="12" a="1"/>
  <c r="H60" i="12" s="1"/>
  <c r="Q55" i="12" a="1"/>
  <c r="Q55" i="12" s="1"/>
  <c r="H55" i="12" a="1"/>
  <c r="H55" i="12" s="1"/>
  <c r="P53" i="12" a="1"/>
  <c r="P53" i="12" s="1"/>
  <c r="U49" i="12" a="1"/>
  <c r="U49" i="12" s="1"/>
  <c r="H49" i="12" a="1"/>
  <c r="H49" i="12" s="1"/>
  <c r="V45" i="12" a="1"/>
  <c r="V45" i="12" s="1"/>
  <c r="O45" i="12" a="1"/>
  <c r="O45" i="12" s="1"/>
  <c r="I45" i="12" a="1"/>
  <c r="I45" i="12" s="1"/>
  <c r="W40" i="12" a="1"/>
  <c r="W40" i="12" s="1"/>
  <c r="P40" i="12" a="1"/>
  <c r="P40" i="12" s="1"/>
  <c r="J40" i="12" a="1"/>
  <c r="J40" i="12" s="1"/>
  <c r="T36" i="12" a="1"/>
  <c r="T36" i="12" s="1"/>
  <c r="N36" i="12" a="1"/>
  <c r="N36" i="12" s="1"/>
  <c r="H36" i="12" a="1"/>
  <c r="H36" i="12" s="1"/>
  <c r="U60" i="12" a="1"/>
  <c r="U60" i="12" s="1"/>
  <c r="P55" i="12" a="1"/>
  <c r="P55" i="12" s="1"/>
  <c r="G55" i="12" a="1"/>
  <c r="G55" i="12" s="1"/>
  <c r="V53" i="12" a="1"/>
  <c r="V53" i="12" s="1"/>
  <c r="O53" i="12" a="1"/>
  <c r="O53" i="12" s="1"/>
  <c r="G53" i="12" a="1"/>
  <c r="G53" i="12" s="1"/>
  <c r="T49" i="12" a="1"/>
  <c r="T49" i="12" s="1"/>
  <c r="N49" i="12" a="1"/>
  <c r="N49" i="12" s="1"/>
  <c r="W64" i="12" a="1"/>
  <c r="W64" i="12" s="1"/>
  <c r="S60" i="12" a="1"/>
  <c r="S60" i="12" s="1"/>
  <c r="F60" i="12" a="1"/>
  <c r="F60" i="12" s="1"/>
  <c r="F55" i="12" a="1"/>
  <c r="F55" i="12" s="1"/>
  <c r="N53" i="12" a="1"/>
  <c r="N53" i="12" s="1"/>
  <c r="M49" i="12" a="1"/>
  <c r="M49" i="12" s="1"/>
  <c r="G49" i="12" a="1"/>
  <c r="G49" i="12" s="1"/>
  <c r="T45" i="12" a="1"/>
  <c r="T45" i="12" s="1"/>
  <c r="N45" i="12" a="1"/>
  <c r="N45" i="12" s="1"/>
  <c r="U40" i="12" a="1"/>
  <c r="U40" i="12" s="1"/>
  <c r="O40" i="12" a="1"/>
  <c r="O40" i="12" s="1"/>
  <c r="H40" i="12" a="1"/>
  <c r="H40" i="12" s="1"/>
  <c r="R36" i="12" a="1"/>
  <c r="R36" i="12" s="1"/>
  <c r="F36" i="12" a="1"/>
  <c r="F36" i="12" s="1"/>
  <c r="V32" i="12" a="1"/>
  <c r="V32" i="12" s="1"/>
  <c r="E60" i="12" a="1"/>
  <c r="E60" i="12" s="1"/>
  <c r="M55" i="12" a="1"/>
  <c r="M55" i="12" s="1"/>
  <c r="E55" i="12" a="1"/>
  <c r="E55" i="12" s="1"/>
  <c r="U53" i="12" a="1"/>
  <c r="U53" i="12" s="1"/>
  <c r="M53" i="12" a="1"/>
  <c r="M53" i="12" s="1"/>
  <c r="S49" i="12" a="1"/>
  <c r="S49" i="12" s="1"/>
  <c r="F49" i="12" a="1"/>
  <c r="F49" i="12" s="1"/>
  <c r="R64" i="12" a="1"/>
  <c r="R64" i="12" s="1"/>
  <c r="O60" i="12" a="1"/>
  <c r="O60" i="12" s="1"/>
  <c r="U55" i="12" a="1"/>
  <c r="U55" i="12" s="1"/>
  <c r="L55" i="12" a="1"/>
  <c r="L55" i="12" s="1"/>
  <c r="T53" i="12" a="1"/>
  <c r="T53" i="12" s="1"/>
  <c r="R49" i="12" a="1"/>
  <c r="R49" i="12" s="1"/>
  <c r="L49" i="12" a="1"/>
  <c r="L49" i="12" s="1"/>
  <c r="E49" i="12" a="1"/>
  <c r="E49" i="12" s="1"/>
  <c r="R45" i="12" a="1"/>
  <c r="R45" i="12" s="1"/>
  <c r="F45" i="12" a="1"/>
  <c r="F45" i="12" s="1"/>
  <c r="N60" i="12" a="1"/>
  <c r="N60" i="12" s="1"/>
  <c r="T55" i="12" a="1"/>
  <c r="T55" i="12" s="1"/>
  <c r="J53" i="12" a="1"/>
  <c r="J53" i="12" s="1"/>
  <c r="Q49" i="12" a="1"/>
  <c r="Q49" i="12" s="1"/>
  <c r="K49" i="12" a="1"/>
  <c r="K49" i="12" s="1"/>
  <c r="Q45" i="12" a="1"/>
  <c r="Q45" i="12" s="1"/>
  <c r="L45" i="12" a="1"/>
  <c r="L45" i="12" s="1"/>
  <c r="E45" i="12" a="1"/>
  <c r="E45" i="12" s="1"/>
  <c r="R40" i="12" a="1"/>
  <c r="R40" i="12" s="1"/>
  <c r="M40" i="12" a="1"/>
  <c r="M40" i="12" s="1"/>
  <c r="W36" i="12" a="1"/>
  <c r="W36" i="12" s="1"/>
  <c r="P36" i="12" a="1"/>
  <c r="P36" i="12" s="1"/>
  <c r="L60" i="12" a="1"/>
  <c r="L60" i="12" s="1"/>
  <c r="S55" i="12" a="1"/>
  <c r="S55" i="12" s="1"/>
  <c r="K55" i="12" a="1"/>
  <c r="K55" i="12" s="1"/>
  <c r="R53" i="12" a="1"/>
  <c r="R53" i="12" s="1"/>
  <c r="I53" i="12" a="1"/>
  <c r="I53" i="12" s="1"/>
  <c r="W49" i="12" a="1"/>
  <c r="W49" i="12" s="1"/>
  <c r="P49" i="12" a="1"/>
  <c r="P49" i="12" s="1"/>
  <c r="J49" i="12" a="1"/>
  <c r="J49" i="12" s="1"/>
  <c r="W45" i="12" a="1"/>
  <c r="W45" i="12" s="1"/>
  <c r="K45" i="12" a="1"/>
  <c r="K45" i="12" s="1"/>
  <c r="Q40" i="12" a="1"/>
  <c r="Q40" i="12" s="1"/>
  <c r="L40" i="12" a="1"/>
  <c r="L40" i="12" s="1"/>
  <c r="F40" i="12" a="1"/>
  <c r="F40" i="12" s="1"/>
  <c r="M64" i="12" a="1"/>
  <c r="M64" i="12" s="1"/>
  <c r="K60" i="12" a="1"/>
  <c r="K60" i="12" s="1"/>
  <c r="R55" i="12" a="1"/>
  <c r="R55" i="12" s="1"/>
  <c r="Q53" i="12" a="1"/>
  <c r="Q53" i="12" s="1"/>
  <c r="H53" i="12" a="1"/>
  <c r="H53" i="12" s="1"/>
  <c r="V49" i="12" a="1"/>
  <c r="V49" i="12" s="1"/>
  <c r="O49" i="12" a="1"/>
  <c r="O49" i="12" s="1"/>
  <c r="I49" i="12" a="1"/>
  <c r="I49" i="12" s="1"/>
  <c r="P45" i="12" a="1"/>
  <c r="P45" i="12" s="1"/>
  <c r="J45" i="12" a="1"/>
  <c r="J45" i="12" s="1"/>
  <c r="K40" i="12" a="1"/>
  <c r="K40" i="12" s="1"/>
  <c r="E40" i="12" a="1"/>
  <c r="E40" i="12" s="1"/>
  <c r="U36" i="12" a="1"/>
  <c r="U36" i="12" s="1"/>
  <c r="I36" i="12" a="1"/>
  <c r="I36" i="12" s="1"/>
  <c r="N40" i="12" a="1"/>
  <c r="N40" i="12" s="1"/>
  <c r="L36" i="12" a="1"/>
  <c r="L36" i="12" s="1"/>
  <c r="S32" i="12" a="1"/>
  <c r="S32" i="12" s="1"/>
  <c r="M32" i="12" a="1"/>
  <c r="M32" i="12" s="1"/>
  <c r="G32" i="12" a="1"/>
  <c r="G32" i="12" s="1"/>
  <c r="Q28" i="12" a="1"/>
  <c r="Q28" i="12" s="1"/>
  <c r="W23" i="12" a="1"/>
  <c r="W23" i="12" s="1"/>
  <c r="P23" i="12" a="1"/>
  <c r="P23" i="12" s="1"/>
  <c r="J23" i="12" a="1"/>
  <c r="J23" i="12" s="1"/>
  <c r="M19" i="12" a="1"/>
  <c r="M19" i="12" s="1"/>
  <c r="G19" i="12" a="1"/>
  <c r="G19" i="12" s="1"/>
  <c r="W15" i="12" a="1"/>
  <c r="W15" i="12" s="1"/>
  <c r="P15" i="12" a="1"/>
  <c r="P15" i="12" s="1"/>
  <c r="J15" i="12" a="1"/>
  <c r="J15" i="12" s="1"/>
  <c r="U45" i="12" a="1"/>
  <c r="U45" i="12" s="1"/>
  <c r="I40" i="12" a="1"/>
  <c r="I40" i="12" s="1"/>
  <c r="K36" i="12" a="1"/>
  <c r="K36" i="12" s="1"/>
  <c r="R32" i="12" a="1"/>
  <c r="R32" i="12" s="1"/>
  <c r="F32" i="12" a="1"/>
  <c r="F32" i="12" s="1"/>
  <c r="V28" i="12" a="1"/>
  <c r="V28" i="12" s="1"/>
  <c r="P28" i="12" a="1"/>
  <c r="P28" i="12" s="1"/>
  <c r="K28" i="12" a="1"/>
  <c r="K28" i="12" s="1"/>
  <c r="F28" i="12" a="1"/>
  <c r="F28" i="12" s="1"/>
  <c r="V23" i="12" a="1"/>
  <c r="V23" i="12" s="1"/>
  <c r="I23" i="12" a="1"/>
  <c r="I23" i="12" s="1"/>
  <c r="S45" i="12" a="1"/>
  <c r="S45" i="12" s="1"/>
  <c r="V36" i="12" a="1"/>
  <c r="V36" i="12" s="1"/>
  <c r="J36" i="12" a="1"/>
  <c r="J36" i="12" s="1"/>
  <c r="Q32" i="12" a="1"/>
  <c r="Q32" i="12" s="1"/>
  <c r="L32" i="12" a="1"/>
  <c r="L32" i="12" s="1"/>
  <c r="E32" i="12" a="1"/>
  <c r="E32" i="12" s="1"/>
  <c r="U28" i="12" a="1"/>
  <c r="U28" i="12" s="1"/>
  <c r="E28" i="12" a="1"/>
  <c r="E28" i="12" s="1"/>
  <c r="U23" i="12" a="1"/>
  <c r="U23" i="12" s="1"/>
  <c r="O23" i="12" a="1"/>
  <c r="O23" i="12" s="1"/>
  <c r="H23" i="12" a="1"/>
  <c r="H23" i="12" s="1"/>
  <c r="R19" i="12" a="1"/>
  <c r="R19" i="12" s="1"/>
  <c r="E19" i="12" a="1"/>
  <c r="E19" i="12" s="1"/>
  <c r="V40" i="12" a="1"/>
  <c r="V40" i="12" s="1"/>
  <c r="G40" i="12" a="1"/>
  <c r="G40" i="12" s="1"/>
  <c r="S36" i="12" a="1"/>
  <c r="S36" i="12" s="1"/>
  <c r="G36" i="12" a="1"/>
  <c r="G36" i="12" s="1"/>
  <c r="K32" i="12" a="1"/>
  <c r="K32" i="12" s="1"/>
  <c r="M45" i="12" a="1"/>
  <c r="M45" i="12" s="1"/>
  <c r="T40" i="12" a="1"/>
  <c r="T40" i="12" s="1"/>
  <c r="Q36" i="12" a="1"/>
  <c r="Q36" i="12" s="1"/>
  <c r="E36" i="12" a="1"/>
  <c r="E36" i="12" s="1"/>
  <c r="P32" i="12" a="1"/>
  <c r="P32" i="12" s="1"/>
  <c r="I28" i="12" a="1"/>
  <c r="I28" i="12" s="1"/>
  <c r="M23" i="12" a="1"/>
  <c r="M23" i="12" s="1"/>
  <c r="G23" i="12" a="1"/>
  <c r="G23" i="12" s="1"/>
  <c r="W19" i="12" a="1"/>
  <c r="W19" i="12" s="1"/>
  <c r="P19" i="12" a="1"/>
  <c r="P19" i="12" s="1"/>
  <c r="J19" i="12" a="1"/>
  <c r="J19" i="12" s="1"/>
  <c r="M15" i="12" a="1"/>
  <c r="M15" i="12" s="1"/>
  <c r="G15" i="12" a="1"/>
  <c r="G15" i="12" s="1"/>
  <c r="W11" i="12" a="1"/>
  <c r="W11" i="12" s="1"/>
  <c r="P11" i="12" a="1"/>
  <c r="P11" i="12" s="1"/>
  <c r="J11" i="12" a="1"/>
  <c r="J11" i="12" s="1"/>
  <c r="H45" i="12" a="1"/>
  <c r="H45" i="12" s="1"/>
  <c r="S40" i="12" a="1"/>
  <c r="S40" i="12" s="1"/>
  <c r="W32" i="12" a="1"/>
  <c r="W32" i="12" s="1"/>
  <c r="O32" i="12" a="1"/>
  <c r="O32" i="12" s="1"/>
  <c r="J32" i="12" a="1"/>
  <c r="J32" i="12" s="1"/>
  <c r="G45" i="12" a="1"/>
  <c r="G45" i="12" s="1"/>
  <c r="O36" i="12" a="1"/>
  <c r="O36" i="12" s="1"/>
  <c r="U32" i="12" a="1"/>
  <c r="U32" i="12" s="1"/>
  <c r="I32" i="12" a="1"/>
  <c r="I32" i="12" s="1"/>
  <c r="M28" i="12" a="1"/>
  <c r="M28" i="12" s="1"/>
  <c r="M36" i="12" a="1"/>
  <c r="M36" i="12" s="1"/>
  <c r="T32" i="12" a="1"/>
  <c r="T32" i="12" s="1"/>
  <c r="N32" i="12" a="1"/>
  <c r="N32" i="12" s="1"/>
  <c r="H32" i="12" a="1"/>
  <c r="H32" i="12" s="1"/>
  <c r="W28" i="12" a="1"/>
  <c r="W28" i="12" s="1"/>
  <c r="R28" i="12" a="1"/>
  <c r="R28" i="12" s="1"/>
  <c r="L28" i="12" a="1"/>
  <c r="L28" i="12" s="1"/>
  <c r="G28" i="12" a="1"/>
  <c r="G28" i="12" s="1"/>
  <c r="Q23" i="12" a="1"/>
  <c r="Q23" i="12" s="1"/>
  <c r="K23" i="12" a="1"/>
  <c r="K23" i="12" s="1"/>
  <c r="T19" i="12" a="1"/>
  <c r="T19" i="12" s="1"/>
  <c r="N19" i="12" a="1"/>
  <c r="N19" i="12" s="1"/>
  <c r="Q15" i="12" a="1"/>
  <c r="Q15" i="12" s="1"/>
  <c r="K15" i="12" a="1"/>
  <c r="K15" i="12" s="1"/>
  <c r="T11" i="12" a="1"/>
  <c r="T11" i="12" s="1"/>
  <c r="N11" i="12" a="1"/>
  <c r="N11" i="12" s="1"/>
  <c r="N28" i="12" a="1"/>
  <c r="N28" i="12" s="1"/>
  <c r="F23" i="12" a="1"/>
  <c r="F23" i="12" s="1"/>
  <c r="L19" i="12" a="1"/>
  <c r="L19" i="12" s="1"/>
  <c r="F15" i="12" a="1"/>
  <c r="F15" i="12" s="1"/>
  <c r="R11" i="12" a="1"/>
  <c r="R11" i="12" s="1"/>
  <c r="I11" i="12" a="1"/>
  <c r="I11" i="12" s="1"/>
  <c r="W7" i="12" a="1"/>
  <c r="W7" i="12" s="1"/>
  <c r="P7" i="12" a="1"/>
  <c r="P7" i="12" s="1"/>
  <c r="J7" i="12" a="1"/>
  <c r="J7" i="12" s="1"/>
  <c r="S4" i="12" a="1"/>
  <c r="S4" i="12" s="1"/>
  <c r="L4" i="12" a="1"/>
  <c r="L4" i="12" s="1"/>
  <c r="F4" i="12" a="1"/>
  <c r="F4" i="12" s="1"/>
  <c r="AO85" i="12" a="1"/>
  <c r="AO85" i="12" s="1"/>
  <c r="AI85" i="12" a="1"/>
  <c r="AI85" i="12" s="1"/>
  <c r="J28" i="12" a="1"/>
  <c r="J28" i="12" s="1"/>
  <c r="T23" i="12" a="1"/>
  <c r="T23" i="12" s="1"/>
  <c r="E23" i="12" a="1"/>
  <c r="E23" i="12" s="1"/>
  <c r="K19" i="12" a="1"/>
  <c r="K19" i="12" s="1"/>
  <c r="O15" i="12" a="1"/>
  <c r="O15" i="12" s="1"/>
  <c r="E15" i="12" a="1"/>
  <c r="E15" i="12" s="1"/>
  <c r="Q11" i="12" a="1"/>
  <c r="Q11" i="12" s="1"/>
  <c r="H11" i="12" a="1"/>
  <c r="H11" i="12" s="1"/>
  <c r="V7" i="12" a="1"/>
  <c r="V7" i="12" s="1"/>
  <c r="I7" i="12" a="1"/>
  <c r="I7" i="12" s="1"/>
  <c r="R4" i="12" a="1"/>
  <c r="R4" i="12" s="1"/>
  <c r="E4" i="12" a="1"/>
  <c r="E4" i="12" s="1"/>
  <c r="AH85" i="12" a="1"/>
  <c r="AH85" i="12" s="1"/>
  <c r="AB85" i="12" a="1"/>
  <c r="AB85" i="12" s="1"/>
  <c r="AN82" i="12" a="1"/>
  <c r="AN82" i="12" s="1"/>
  <c r="AG82" i="12" a="1"/>
  <c r="AG82" i="12" s="1"/>
  <c r="AA82" i="12" a="1"/>
  <c r="AA82" i="12" s="1"/>
  <c r="AO79" i="12" a="1"/>
  <c r="AO79" i="12" s="1"/>
  <c r="AJ79" i="12" a="1"/>
  <c r="AJ79" i="12" s="1"/>
  <c r="AO76" i="12" a="1"/>
  <c r="AO76" i="12" s="1"/>
  <c r="AI76" i="12" a="1"/>
  <c r="AI76" i="12" s="1"/>
  <c r="H28" i="12" a="1"/>
  <c r="H28" i="12" s="1"/>
  <c r="S23" i="12" a="1"/>
  <c r="S23" i="12" s="1"/>
  <c r="V19" i="12" a="1"/>
  <c r="V19" i="12" s="1"/>
  <c r="I19" i="12" a="1"/>
  <c r="I19" i="12" s="1"/>
  <c r="N15" i="12" a="1"/>
  <c r="N15" i="12" s="1"/>
  <c r="G11" i="12" a="1"/>
  <c r="G11" i="12" s="1"/>
  <c r="U7" i="12" a="1"/>
  <c r="U7" i="12" s="1"/>
  <c r="O7" i="12" a="1"/>
  <c r="O7" i="12" s="1"/>
  <c r="R23" i="12" a="1"/>
  <c r="R23" i="12" s="1"/>
  <c r="U19" i="12" a="1"/>
  <c r="U19" i="12" s="1"/>
  <c r="H19" i="12" a="1"/>
  <c r="H19" i="12" s="1"/>
  <c r="V15" i="12" a="1"/>
  <c r="V15" i="12" s="1"/>
  <c r="L15" i="12" a="1"/>
  <c r="L15" i="12" s="1"/>
  <c r="O11" i="12" a="1"/>
  <c r="O11" i="12" s="1"/>
  <c r="F11" i="12" a="1"/>
  <c r="F11" i="12" s="1"/>
  <c r="N23" i="12" a="1"/>
  <c r="N23" i="12" s="1"/>
  <c r="S19" i="12" a="1"/>
  <c r="S19" i="12" s="1"/>
  <c r="F19" i="12" a="1"/>
  <c r="F19" i="12" s="1"/>
  <c r="U15" i="12" a="1"/>
  <c r="U15" i="12" s="1"/>
  <c r="V11" i="12" a="1"/>
  <c r="V11" i="12" s="1"/>
  <c r="M11" i="12" a="1"/>
  <c r="M11" i="12" s="1"/>
  <c r="E11" i="12" a="1"/>
  <c r="E11" i="12" s="1"/>
  <c r="M7" i="12" a="1"/>
  <c r="M7" i="12" s="1"/>
  <c r="G7" i="12" a="1"/>
  <c r="G7" i="12" s="1"/>
  <c r="T28" i="12" a="1"/>
  <c r="T28" i="12" s="1"/>
  <c r="L23" i="12" a="1"/>
  <c r="L23" i="12" s="1"/>
  <c r="Q19" i="12" a="1"/>
  <c r="Q19" i="12" s="1"/>
  <c r="O28" i="12" a="1"/>
  <c r="O28" i="12" s="1"/>
  <c r="O19" i="12" a="1"/>
  <c r="O19" i="12" s="1"/>
  <c r="R15" i="12" a="1"/>
  <c r="R15" i="12" s="1"/>
  <c r="S11" i="12" a="1"/>
  <c r="S11" i="12" s="1"/>
  <c r="K11" i="12" a="1"/>
  <c r="K11" i="12" s="1"/>
  <c r="Q7" i="12" a="1"/>
  <c r="Q7" i="12" s="1"/>
  <c r="K7" i="12" a="1"/>
  <c r="K7" i="12" s="1"/>
  <c r="M4" i="12" a="1"/>
  <c r="M4" i="12" s="1"/>
  <c r="G4" i="12" a="1"/>
  <c r="G4" i="12" s="1"/>
  <c r="AJ85" i="12" a="1"/>
  <c r="AJ85" i="12" s="1"/>
  <c r="AC85" i="12" a="1"/>
  <c r="AC85" i="12" s="1"/>
  <c r="AO82" i="12" a="1"/>
  <c r="AO82" i="12" s="1"/>
  <c r="AH82" i="12" a="1"/>
  <c r="AH82" i="12" s="1"/>
  <c r="AC82" i="12" a="1"/>
  <c r="AC82" i="12" s="1"/>
  <c r="AP79" i="12" a="1"/>
  <c r="AP79" i="12" s="1"/>
  <c r="AK79" i="12" a="1"/>
  <c r="AK79" i="12" s="1"/>
  <c r="AE79" i="12" a="1"/>
  <c r="AE79" i="12" s="1"/>
  <c r="Z79" i="12" a="1"/>
  <c r="Z79" i="12" s="1"/>
  <c r="Q4" i="12" a="1"/>
  <c r="Q4" i="12" s="1"/>
  <c r="H4" i="12" a="1"/>
  <c r="H4" i="12" s="1"/>
  <c r="T15" i="12" a="1"/>
  <c r="T15" i="12" s="1"/>
  <c r="H7" i="12" a="1"/>
  <c r="H7" i="12" s="1"/>
  <c r="P4" i="12" a="1"/>
  <c r="P4" i="12" s="1"/>
  <c r="AK85" i="12" a="1"/>
  <c r="AK85" i="12" s="1"/>
  <c r="Y85" i="12" a="1"/>
  <c r="Y85" i="12" s="1"/>
  <c r="AL82" i="12" a="1"/>
  <c r="AL82" i="12" s="1"/>
  <c r="AP76" i="12" a="1"/>
  <c r="AP76" i="12" s="1"/>
  <c r="AP64" i="12" a="1"/>
  <c r="AP64" i="12" s="1"/>
  <c r="AQ60" i="12" a="1"/>
  <c r="AQ60" i="12" s="1"/>
  <c r="AK60" i="12" a="1"/>
  <c r="AK60" i="12" s="1"/>
  <c r="AE60" i="12" a="1"/>
  <c r="AE60" i="12" s="1"/>
  <c r="AL55" i="12" a="1"/>
  <c r="AL55" i="12" s="1"/>
  <c r="AF55" i="12" a="1"/>
  <c r="AF55" i="12" s="1"/>
  <c r="AP49" i="12" a="1"/>
  <c r="AP49" i="12" s="1"/>
  <c r="AJ49" i="12" a="1"/>
  <c r="AJ49" i="12" s="1"/>
  <c r="AN45" i="12" a="1"/>
  <c r="AN45" i="12" s="1"/>
  <c r="AI45" i="12" a="1"/>
  <c r="AI45" i="12" s="1"/>
  <c r="AC45" i="12" a="1"/>
  <c r="AC45" i="12" s="1"/>
  <c r="AQ40" i="12" a="1"/>
  <c r="AQ40" i="12" s="1"/>
  <c r="AA40" i="12" a="1"/>
  <c r="AA40" i="12" s="1"/>
  <c r="S15" i="12" a="1"/>
  <c r="S15" i="12" s="1"/>
  <c r="AG85" i="12" a="1"/>
  <c r="AG85" i="12" s="1"/>
  <c r="AK82" i="12" a="1"/>
  <c r="AK82" i="12" s="1"/>
  <c r="AD82" i="12" a="1"/>
  <c r="AD82" i="12" s="1"/>
  <c r="AQ79" i="12" a="1"/>
  <c r="AQ79" i="12" s="1"/>
  <c r="AI79" i="12" a="1"/>
  <c r="AI79" i="12" s="1"/>
  <c r="AB79" i="12" a="1"/>
  <c r="AB79" i="12" s="1"/>
  <c r="AN76" i="12" a="1"/>
  <c r="AN76" i="12" s="1"/>
  <c r="AH76" i="12" a="1"/>
  <c r="AH76" i="12" s="1"/>
  <c r="AB76" i="12" a="1"/>
  <c r="AB76" i="12" s="1"/>
  <c r="I15" i="12" a="1"/>
  <c r="I15" i="12" s="1"/>
  <c r="U11" i="12" a="1"/>
  <c r="U11" i="12" s="1"/>
  <c r="T7" i="12" a="1"/>
  <c r="T7" i="12" s="1"/>
  <c r="F7" i="12" a="1"/>
  <c r="F7" i="12" s="1"/>
  <c r="O4" i="12" a="1"/>
  <c r="O4" i="12" s="1"/>
  <c r="AQ85" i="12" a="1"/>
  <c r="AQ85" i="12" s="1"/>
  <c r="AF85" i="12" a="1"/>
  <c r="AF85" i="12" s="1"/>
  <c r="AQ82" i="12" a="1"/>
  <c r="AQ82" i="12" s="1"/>
  <c r="AJ82" i="12" a="1"/>
  <c r="AJ82" i="12" s="1"/>
  <c r="AB82" i="12" a="1"/>
  <c r="AB82" i="12" s="1"/>
  <c r="AH79" i="12" a="1"/>
  <c r="AH79" i="12" s="1"/>
  <c r="AA79" i="12" a="1"/>
  <c r="AA79" i="12" s="1"/>
  <c r="AM76" i="12" a="1"/>
  <c r="AM76" i="12" s="1"/>
  <c r="AG76" i="12" a="1"/>
  <c r="AG76" i="12" s="1"/>
  <c r="AA76" i="12" a="1"/>
  <c r="AA76" i="12" s="1"/>
  <c r="AO64" i="12" a="1"/>
  <c r="AO64" i="12" s="1"/>
  <c r="AI64" i="12" a="1"/>
  <c r="AI64" i="12" s="1"/>
  <c r="AI60" i="12" a="1"/>
  <c r="AI60" i="12" s="1"/>
  <c r="AC60" i="12" a="1"/>
  <c r="AC60" i="12" s="1"/>
  <c r="AP55" i="12" a="1"/>
  <c r="AP55" i="12" s="1"/>
  <c r="AH49" i="12" a="1"/>
  <c r="AH49" i="12" s="1"/>
  <c r="AM45" i="12" a="1"/>
  <c r="AM45" i="12" s="1"/>
  <c r="H15" i="12" a="1"/>
  <c r="H15" i="12" s="1"/>
  <c r="S7" i="12" a="1"/>
  <c r="S7" i="12" s="1"/>
  <c r="E7" i="12" a="1"/>
  <c r="E7" i="12" s="1"/>
  <c r="W4" i="12" a="1"/>
  <c r="W4" i="12" s="1"/>
  <c r="N4" i="12" a="1"/>
  <c r="N4" i="12" s="1"/>
  <c r="AP85" i="12" a="1"/>
  <c r="AP85" i="12" s="1"/>
  <c r="AE85" i="12" a="1"/>
  <c r="AE85" i="12" s="1"/>
  <c r="AI82" i="12" a="1"/>
  <c r="AI82" i="12" s="1"/>
  <c r="AG79" i="12" a="1"/>
  <c r="AG79" i="12" s="1"/>
  <c r="AL76" i="12" a="1"/>
  <c r="AL76" i="12" s="1"/>
  <c r="AF76" i="12" a="1"/>
  <c r="AF76" i="12" s="1"/>
  <c r="Z76" i="12" a="1"/>
  <c r="Z76" i="12" s="1"/>
  <c r="AN64" i="12" a="1"/>
  <c r="AN64" i="12" s="1"/>
  <c r="AH64" i="12" a="1"/>
  <c r="AH64" i="12" s="1"/>
  <c r="AC64" i="12" a="1"/>
  <c r="AC64" i="12" s="1"/>
  <c r="AO60" i="12" a="1"/>
  <c r="AO60" i="12" s="1"/>
  <c r="AJ55" i="12" a="1"/>
  <c r="AJ55" i="12" s="1"/>
  <c r="AD55" i="12" a="1"/>
  <c r="AD55" i="12" s="1"/>
  <c r="Z55" i="12" a="1"/>
  <c r="Z55" i="12" s="1"/>
  <c r="AP53" i="12" a="1"/>
  <c r="AP53" i="12" s="1"/>
  <c r="AL53" i="12" a="1"/>
  <c r="AL53" i="12" s="1"/>
  <c r="AH53" i="12" a="1"/>
  <c r="AH53" i="12" s="1"/>
  <c r="AD53" i="12" a="1"/>
  <c r="AD53" i="12" s="1"/>
  <c r="Z53" i="12" a="1"/>
  <c r="Z53" i="12" s="1"/>
  <c r="AN49" i="12" a="1"/>
  <c r="AN49" i="12" s="1"/>
  <c r="AG49" i="12" a="1"/>
  <c r="AG49" i="12" s="1"/>
  <c r="AB49" i="12" a="1"/>
  <c r="AB49" i="12" s="1"/>
  <c r="L11" i="12" a="1"/>
  <c r="L11" i="12" s="1"/>
  <c r="R7" i="12" a="1"/>
  <c r="R7" i="12" s="1"/>
  <c r="V4" i="12" a="1"/>
  <c r="V4" i="12" s="1"/>
  <c r="K4" i="12" a="1"/>
  <c r="K4" i="12" s="1"/>
  <c r="AN85" i="12" a="1"/>
  <c r="AN85" i="12" s="1"/>
  <c r="AP82" i="12" a="1"/>
  <c r="AP82" i="12" s="1"/>
  <c r="Z82" i="12" a="1"/>
  <c r="Z82" i="12" s="1"/>
  <c r="AN79" i="12" a="1"/>
  <c r="AN79" i="12" s="1"/>
  <c r="Y79" i="12" a="1"/>
  <c r="Y79" i="12" s="1"/>
  <c r="AE76" i="12" a="1"/>
  <c r="AE76" i="12" s="1"/>
  <c r="AM64" i="12" a="1"/>
  <c r="AM64" i="12" s="1"/>
  <c r="AG64" i="12" a="1"/>
  <c r="AG64" i="12" s="1"/>
  <c r="AB64" i="12" a="1"/>
  <c r="AB64" i="12" s="1"/>
  <c r="N7" i="12" a="1"/>
  <c r="N7" i="12" s="1"/>
  <c r="U4" i="12" a="1"/>
  <c r="U4" i="12" s="1"/>
  <c r="J4" i="12" a="1"/>
  <c r="J4" i="12" s="1"/>
  <c r="AM85" i="12" a="1"/>
  <c r="AM85" i="12" s="1"/>
  <c r="AD85" i="12" a="1"/>
  <c r="AD85" i="12" s="1"/>
  <c r="Y82" i="12" a="1"/>
  <c r="Y82" i="12" s="1"/>
  <c r="AM79" i="12" a="1"/>
  <c r="AM79" i="12" s="1"/>
  <c r="AF79" i="12" a="1"/>
  <c r="AF79" i="12" s="1"/>
  <c r="AK76" i="12" a="1"/>
  <c r="AK76" i="12" s="1"/>
  <c r="Y76" i="12" a="1"/>
  <c r="Y76" i="12" s="1"/>
  <c r="S28" i="12" a="1"/>
  <c r="S28" i="12" s="1"/>
  <c r="L7" i="12" a="1"/>
  <c r="L7" i="12" s="1"/>
  <c r="T4" i="12" a="1"/>
  <c r="T4" i="12" s="1"/>
  <c r="I4" i="12" a="1"/>
  <c r="I4" i="12" s="1"/>
  <c r="AL85" i="12" a="1"/>
  <c r="AL85" i="12" s="1"/>
  <c r="AA85" i="12" a="1"/>
  <c r="AA85" i="12" s="1"/>
  <c r="AF82" i="12" a="1"/>
  <c r="AF82" i="12" s="1"/>
  <c r="AD79" i="12" a="1"/>
  <c r="AD79" i="12" s="1"/>
  <c r="AD76" i="12" a="1"/>
  <c r="AD76" i="12" s="1"/>
  <c r="AL64" i="12" a="1"/>
  <c r="AL64" i="12" s="1"/>
  <c r="AF64" i="12" a="1"/>
  <c r="AF64" i="12" s="1"/>
  <c r="Z64" i="12" a="1"/>
  <c r="Z64" i="12" s="1"/>
  <c r="AM60" i="12" a="1"/>
  <c r="AM60" i="12" s="1"/>
  <c r="AM55" i="12" a="1"/>
  <c r="AM55" i="12" s="1"/>
  <c r="AG55" i="12" a="1"/>
  <c r="AG55" i="12" s="1"/>
  <c r="AL60" i="12" a="1"/>
  <c r="AL60" i="12" s="1"/>
  <c r="Z60" i="12" a="1"/>
  <c r="Z60" i="12" s="1"/>
  <c r="Y55" i="12" a="1"/>
  <c r="Y55" i="12" s="1"/>
  <c r="AN53" i="12" a="1"/>
  <c r="AN53" i="12" s="1"/>
  <c r="AG53" i="12" a="1"/>
  <c r="AG53" i="12" s="1"/>
  <c r="AA53" i="12" a="1"/>
  <c r="AA53" i="12" s="1"/>
  <c r="AK49" i="12" a="1"/>
  <c r="AK49" i="12" s="1"/>
  <c r="AA49" i="12" a="1"/>
  <c r="AA49" i="12" s="1"/>
  <c r="AL40" i="12" a="1"/>
  <c r="AL40" i="12" s="1"/>
  <c r="AE40" i="12" a="1"/>
  <c r="AE40" i="12" s="1"/>
  <c r="Y40" i="12" a="1"/>
  <c r="Y40" i="12" s="1"/>
  <c r="AP36" i="12" a="1"/>
  <c r="AP36" i="12" s="1"/>
  <c r="AJ36" i="12" a="1"/>
  <c r="AJ36" i="12" s="1"/>
  <c r="AD36" i="12" a="1"/>
  <c r="AD36" i="12" s="1"/>
  <c r="Z85" i="12" a="1"/>
  <c r="Z85" i="12" s="1"/>
  <c r="AK64" i="12" a="1"/>
  <c r="AK64" i="12" s="1"/>
  <c r="AJ60" i="12" a="1"/>
  <c r="AJ60" i="12" s="1"/>
  <c r="Y60" i="12" a="1"/>
  <c r="Y60" i="12" s="1"/>
  <c r="AQ55" i="12" a="1"/>
  <c r="AQ55" i="12" s="1"/>
  <c r="AE55" i="12" a="1"/>
  <c r="AE55" i="12" s="1"/>
  <c r="AJ64" i="12" a="1"/>
  <c r="AJ64" i="12" s="1"/>
  <c r="AH60" i="12" a="1"/>
  <c r="AH60" i="12" s="1"/>
  <c r="AO55" i="12" a="1"/>
  <c r="AO55" i="12" s="1"/>
  <c r="AF53" i="12" a="1"/>
  <c r="AF53" i="12" s="1"/>
  <c r="Y53" i="12" a="1"/>
  <c r="Y53" i="12" s="1"/>
  <c r="AF49" i="12" a="1"/>
  <c r="AF49" i="12" s="1"/>
  <c r="Y49" i="12" a="1"/>
  <c r="Y49" i="12" s="1"/>
  <c r="AQ45" i="12" a="1"/>
  <c r="AQ45" i="12" s="1"/>
  <c r="AA45" i="12" a="1"/>
  <c r="AA45" i="12" s="1"/>
  <c r="AP40" i="12" a="1"/>
  <c r="AP40" i="12" s="1"/>
  <c r="AN36" i="12" a="1"/>
  <c r="AN36" i="12" s="1"/>
  <c r="AI36" i="12" a="1"/>
  <c r="AI36" i="12" s="1"/>
  <c r="AC36" i="12" a="1"/>
  <c r="AC36" i="12" s="1"/>
  <c r="AA32" i="12" a="1"/>
  <c r="AA32" i="12" s="1"/>
  <c r="AA28" i="12" a="1"/>
  <c r="AA28" i="12" s="1"/>
  <c r="AO23" i="12" a="1"/>
  <c r="AO23" i="12" s="1"/>
  <c r="AJ23" i="12" a="1"/>
  <c r="AJ23" i="12" s="1"/>
  <c r="AC23" i="12" a="1"/>
  <c r="AC23" i="12" s="1"/>
  <c r="AO19" i="12" a="1"/>
  <c r="AO19" i="12" s="1"/>
  <c r="AQ76" i="12" a="1"/>
  <c r="AQ76" i="12" s="1"/>
  <c r="AG60" i="12" a="1"/>
  <c r="AG60" i="12" s="1"/>
  <c r="AN55" i="12" a="1"/>
  <c r="AN55" i="12" s="1"/>
  <c r="AC55" i="12" a="1"/>
  <c r="AC55" i="12" s="1"/>
  <c r="AK53" i="12" a="1"/>
  <c r="AK53" i="12" s="1"/>
  <c r="AE53" i="12" a="1"/>
  <c r="AE53" i="12" s="1"/>
  <c r="AQ49" i="12" a="1"/>
  <c r="AQ49" i="12" s="1"/>
  <c r="AP45" i="12" a="1"/>
  <c r="AP45" i="12" s="1"/>
  <c r="AH45" i="12" a="1"/>
  <c r="AH45" i="12" s="1"/>
  <c r="Z45" i="12" a="1"/>
  <c r="Z45" i="12" s="1"/>
  <c r="AJ40" i="12" a="1"/>
  <c r="AJ40" i="12" s="1"/>
  <c r="AC40" i="12" a="1"/>
  <c r="AC40" i="12" s="1"/>
  <c r="AM36" i="12" a="1"/>
  <c r="AM36" i="12" s="1"/>
  <c r="AH36" i="12" a="1"/>
  <c r="AH36" i="12" s="1"/>
  <c r="AB36" i="12" a="1"/>
  <c r="AB36" i="12" s="1"/>
  <c r="AL32" i="12" a="1"/>
  <c r="AL32" i="12" s="1"/>
  <c r="AG32" i="12" a="1"/>
  <c r="AG32" i="12" s="1"/>
  <c r="AQ28" i="12" a="1"/>
  <c r="AQ28" i="12" s="1"/>
  <c r="AL28" i="12" a="1"/>
  <c r="AL28" i="12" s="1"/>
  <c r="AF28" i="12" a="1"/>
  <c r="AF28" i="12" s="1"/>
  <c r="Z28" i="12" a="1"/>
  <c r="Z28" i="12" s="1"/>
  <c r="AI23" i="12" a="1"/>
  <c r="AI23" i="12" s="1"/>
  <c r="AJ76" i="12" a="1"/>
  <c r="AJ76" i="12" s="1"/>
  <c r="AE64" i="12" a="1"/>
  <c r="AE64" i="12" s="1"/>
  <c r="AF60" i="12" a="1"/>
  <c r="AF60" i="12" s="1"/>
  <c r="AQ53" i="12" a="1"/>
  <c r="AQ53" i="12" s="1"/>
  <c r="AO49" i="12" a="1"/>
  <c r="AO49" i="12" s="1"/>
  <c r="AE49" i="12" a="1"/>
  <c r="AE49" i="12" s="1"/>
  <c r="AO45" i="12" a="1"/>
  <c r="AO45" i="12" s="1"/>
  <c r="AG45" i="12" a="1"/>
  <c r="AG45" i="12" s="1"/>
  <c r="Y45" i="12" a="1"/>
  <c r="Y45" i="12" s="1"/>
  <c r="AC76" i="12" a="1"/>
  <c r="AC76" i="12" s="1"/>
  <c r="AD64" i="12" a="1"/>
  <c r="AD64" i="12" s="1"/>
  <c r="AP60" i="12" a="1"/>
  <c r="AP60" i="12" s="1"/>
  <c r="AD60" i="12" a="1"/>
  <c r="AD60" i="12" s="1"/>
  <c r="AK55" i="12" a="1"/>
  <c r="AK55" i="12" s="1"/>
  <c r="AB55" i="12" a="1"/>
  <c r="AB55" i="12" s="1"/>
  <c r="AJ53" i="12" a="1"/>
  <c r="AJ53" i="12" s="1"/>
  <c r="AC53" i="12" a="1"/>
  <c r="AC53" i="12" s="1"/>
  <c r="AM49" i="12" a="1"/>
  <c r="AM49" i="12" s="1"/>
  <c r="AD49" i="12" a="1"/>
  <c r="AD49" i="12" s="1"/>
  <c r="AF45" i="12" a="1"/>
  <c r="AF45" i="12" s="1"/>
  <c r="AH40" i="12" a="1"/>
  <c r="AH40" i="12" s="1"/>
  <c r="AE82" i="12" a="1"/>
  <c r="AE82" i="12" s="1"/>
  <c r="AC79" i="12" a="1"/>
  <c r="AC79" i="12" s="1"/>
  <c r="Y64" i="12" a="1"/>
  <c r="Y64" i="12" s="1"/>
  <c r="AN60" i="12" a="1"/>
  <c r="AN60" i="12" s="1"/>
  <c r="AA60" i="12" a="1"/>
  <c r="AA60" i="12" s="1"/>
  <c r="AH55" i="12" a="1"/>
  <c r="AH55" i="12" s="1"/>
  <c r="AB53" i="12" a="1"/>
  <c r="AB53" i="12" s="1"/>
  <c r="AK45" i="12" a="1"/>
  <c r="AK45" i="12" s="1"/>
  <c r="AD45" i="12" a="1"/>
  <c r="AD45" i="12" s="1"/>
  <c r="AM40" i="12" a="1"/>
  <c r="AM40" i="12" s="1"/>
  <c r="AF40" i="12" a="1"/>
  <c r="AF40" i="12" s="1"/>
  <c r="Z40" i="12" a="1"/>
  <c r="Z40" i="12" s="1"/>
  <c r="AQ36" i="12" a="1"/>
  <c r="AQ36" i="12" s="1"/>
  <c r="AE36" i="12" a="1"/>
  <c r="AE36" i="12" s="1"/>
  <c r="AL79" i="12" a="1"/>
  <c r="AL79" i="12" s="1"/>
  <c r="AL49" i="12" a="1"/>
  <c r="AL49" i="12" s="1"/>
  <c r="AL36" i="12" a="1"/>
  <c r="AL36" i="12" s="1"/>
  <c r="AK32" i="12" a="1"/>
  <c r="AK32" i="12" s="1"/>
  <c r="AO28" i="12" a="1"/>
  <c r="AO28" i="12" s="1"/>
  <c r="AG28" i="12" a="1"/>
  <c r="AG28" i="12" s="1"/>
  <c r="AM23" i="12" a="1"/>
  <c r="AM23" i="12" s="1"/>
  <c r="AE23" i="12" a="1"/>
  <c r="AE23" i="12" s="1"/>
  <c r="AI19" i="12" a="1"/>
  <c r="AI19" i="12" s="1"/>
  <c r="AB19" i="12" a="1"/>
  <c r="AB19" i="12" s="1"/>
  <c r="AO15" i="12" a="1"/>
  <c r="AO15" i="12" s="1"/>
  <c r="AI15" i="12" a="1"/>
  <c r="AI15" i="12" s="1"/>
  <c r="AB15" i="12" a="1"/>
  <c r="AB15" i="12" s="1"/>
  <c r="AO11" i="12" a="1"/>
  <c r="AO11" i="12" s="1"/>
  <c r="AH11" i="12" a="1"/>
  <c r="AH11" i="12" s="1"/>
  <c r="AA11" i="12" a="1"/>
  <c r="AA11" i="12" s="1"/>
  <c r="AQ64" i="12" a="1"/>
  <c r="AQ64" i="12" s="1"/>
  <c r="AI49" i="12" a="1"/>
  <c r="AI49" i="12" s="1"/>
  <c r="AB40" i="12" a="1"/>
  <c r="AB40" i="12" s="1"/>
  <c r="AA36" i="12" a="1"/>
  <c r="AA36" i="12" s="1"/>
  <c r="AQ32" i="12" a="1"/>
  <c r="AQ32" i="12" s="1"/>
  <c r="AJ32" i="12" a="1"/>
  <c r="AJ32" i="12" s="1"/>
  <c r="AC32" i="12" a="1"/>
  <c r="AC32" i="12" s="1"/>
  <c r="AN28" i="12" a="1"/>
  <c r="AN28" i="12" s="1"/>
  <c r="AE28" i="12" a="1"/>
  <c r="AE28" i="12" s="1"/>
  <c r="AD23" i="12" a="1"/>
  <c r="AD23" i="12" s="1"/>
  <c r="AP19" i="12" a="1"/>
  <c r="AP19" i="12" s="1"/>
  <c r="AH19" i="12" a="1"/>
  <c r="AH19" i="12" s="1"/>
  <c r="AA19" i="12" a="1"/>
  <c r="AA19" i="12" s="1"/>
  <c r="AH15" i="12" a="1"/>
  <c r="AH15" i="12" s="1"/>
  <c r="AA15" i="12" a="1"/>
  <c r="AA15" i="12" s="1"/>
  <c r="AN11" i="12" a="1"/>
  <c r="AN11" i="12" s="1"/>
  <c r="Z11" i="12" a="1"/>
  <c r="Z11" i="12" s="1"/>
  <c r="AA64" i="12" a="1"/>
  <c r="AA64" i="12" s="1"/>
  <c r="AC49" i="12" a="1"/>
  <c r="AC49" i="12" s="1"/>
  <c r="AO40" i="12" a="1"/>
  <c r="AO40" i="12" s="1"/>
  <c r="AK36" i="12" a="1"/>
  <c r="AK36" i="12" s="1"/>
  <c r="Z36" i="12" a="1"/>
  <c r="Z36" i="12" s="1"/>
  <c r="AI32" i="12" a="1"/>
  <c r="AI32" i="12" s="1"/>
  <c r="AB32" i="12" a="1"/>
  <c r="AB32" i="12" s="1"/>
  <c r="AM28" i="12" a="1"/>
  <c r="AM28" i="12" s="1"/>
  <c r="AL23" i="12" a="1"/>
  <c r="AL23" i="12" s="1"/>
  <c r="AN19" i="12" a="1"/>
  <c r="AN19" i="12" s="1"/>
  <c r="Z19" i="12" a="1"/>
  <c r="Z19" i="12" s="1"/>
  <c r="AN15" i="12" a="1"/>
  <c r="AN15" i="12" s="1"/>
  <c r="AG15" i="12" a="1"/>
  <c r="AG15" i="12" s="1"/>
  <c r="AM11" i="12" a="1"/>
  <c r="AM11" i="12" s="1"/>
  <c r="AG11" i="12" a="1"/>
  <c r="AG11" i="12" s="1"/>
  <c r="Y11" i="12" a="1"/>
  <c r="Y11" i="12" s="1"/>
  <c r="AM7" i="12" a="1"/>
  <c r="AM7" i="12" s="1"/>
  <c r="Z7" i="12" a="1"/>
  <c r="Z7" i="12" s="1"/>
  <c r="AO4" i="12" a="1"/>
  <c r="AO4" i="12" s="1"/>
  <c r="AI4" i="12" a="1"/>
  <c r="AI4" i="12" s="1"/>
  <c r="BC85" i="12" a="1"/>
  <c r="BC85" i="12" s="1"/>
  <c r="AT85" i="12" a="1"/>
  <c r="AT85" i="12" s="1"/>
  <c r="BD82" i="12" a="1"/>
  <c r="BD82" i="12" s="1"/>
  <c r="AW82" i="12" a="1"/>
  <c r="AW82" i="12" s="1"/>
  <c r="BJ79" i="12" a="1"/>
  <c r="BJ79" i="12" s="1"/>
  <c r="BC79" i="12" a="1"/>
  <c r="BC79" i="12" s="1"/>
  <c r="AU79" i="12" a="1"/>
  <c r="AU79" i="12" s="1"/>
  <c r="BG76" i="12" a="1"/>
  <c r="BG76" i="12" s="1"/>
  <c r="AY76" i="12" a="1"/>
  <c r="AY76" i="12" s="1"/>
  <c r="Z49" i="12" a="1"/>
  <c r="Z49" i="12" s="1"/>
  <c r="AN40" i="12" a="1"/>
  <c r="AN40" i="12" s="1"/>
  <c r="Y36" i="12" a="1"/>
  <c r="Y36" i="12" s="1"/>
  <c r="AP32" i="12" a="1"/>
  <c r="AP32" i="12" s="1"/>
  <c r="Z32" i="12" a="1"/>
  <c r="Z32" i="12" s="1"/>
  <c r="AK28" i="12" a="1"/>
  <c r="AK28" i="12" s="1"/>
  <c r="AD28" i="12" a="1"/>
  <c r="AD28" i="12" s="1"/>
  <c r="AB23" i="12" a="1"/>
  <c r="AB23" i="12" s="1"/>
  <c r="AM19" i="12" a="1"/>
  <c r="AM19" i="12" s="1"/>
  <c r="AG19" i="12" a="1"/>
  <c r="AG19" i="12" s="1"/>
  <c r="Y19" i="12" a="1"/>
  <c r="Y19" i="12" s="1"/>
  <c r="AM15" i="12" a="1"/>
  <c r="AM15" i="12" s="1"/>
  <c r="AF15" i="12" a="1"/>
  <c r="AF15" i="12" s="1"/>
  <c r="Z15" i="12" a="1"/>
  <c r="Z15" i="12" s="1"/>
  <c r="AL11" i="12" a="1"/>
  <c r="AL11" i="12" s="1"/>
  <c r="AF11" i="12" a="1"/>
  <c r="AF11" i="12" s="1"/>
  <c r="AL7" i="12" a="1"/>
  <c r="AL7" i="12" s="1"/>
  <c r="AF7" i="12" a="1"/>
  <c r="AF7" i="12" s="1"/>
  <c r="Y7" i="12" a="1"/>
  <c r="Y7" i="12" s="1"/>
  <c r="AH4" i="12" a="1"/>
  <c r="AH4" i="12" s="1"/>
  <c r="AB4" i="12" a="1"/>
  <c r="AB4" i="12" s="1"/>
  <c r="BG85" i="12" a="1"/>
  <c r="BG85" i="12" s="1"/>
  <c r="AX85" i="12" a="1"/>
  <c r="AX85" i="12" s="1"/>
  <c r="AS85" i="12" a="1"/>
  <c r="AS85" i="12" s="1"/>
  <c r="BI82" i="12" a="1"/>
  <c r="BI82" i="12" s="1"/>
  <c r="BC82" i="12" a="1"/>
  <c r="BC82" i="12" s="1"/>
  <c r="BI79" i="12" a="1"/>
  <c r="BI79" i="12" s="1"/>
  <c r="BB79" i="12" a="1"/>
  <c r="BB79" i="12" s="1"/>
  <c r="AT79" i="12" a="1"/>
  <c r="AT79" i="12" s="1"/>
  <c r="BF76" i="12" a="1"/>
  <c r="BF76" i="12" s="1"/>
  <c r="AX76" i="12" a="1"/>
  <c r="AX76" i="12" s="1"/>
  <c r="AO53" i="12" a="1"/>
  <c r="AO53" i="12" s="1"/>
  <c r="AL45" i="12" a="1"/>
  <c r="AL45" i="12" s="1"/>
  <c r="AK40" i="12" a="1"/>
  <c r="AK40" i="12" s="1"/>
  <c r="AO32" i="12" a="1"/>
  <c r="AO32" i="12" s="1"/>
  <c r="AH32" i="12" a="1"/>
  <c r="AH32" i="12" s="1"/>
  <c r="Y32" i="12" a="1"/>
  <c r="Y32" i="12" s="1"/>
  <c r="AJ28" i="12" a="1"/>
  <c r="AJ28" i="12" s="1"/>
  <c r="AQ23" i="12" a="1"/>
  <c r="AQ23" i="12" s="1"/>
  <c r="AK23" i="12" a="1"/>
  <c r="AK23" i="12" s="1"/>
  <c r="AA23" i="12" a="1"/>
  <c r="AA23" i="12" s="1"/>
  <c r="AL19" i="12" a="1"/>
  <c r="AL19" i="12" s="1"/>
  <c r="AF19" i="12" a="1"/>
  <c r="AF19" i="12" s="1"/>
  <c r="AE15" i="12" a="1"/>
  <c r="AE15" i="12" s="1"/>
  <c r="Y15" i="12" a="1"/>
  <c r="Y15" i="12" s="1"/>
  <c r="AK11" i="12" a="1"/>
  <c r="AK11" i="12" s="1"/>
  <c r="AE11" i="12" a="1"/>
  <c r="AE11" i="12" s="1"/>
  <c r="AK7" i="12" a="1"/>
  <c r="AK7" i="12" s="1"/>
  <c r="AE7" i="12" a="1"/>
  <c r="AE7" i="12" s="1"/>
  <c r="AN4" i="12" a="1"/>
  <c r="AN4" i="12" s="1"/>
  <c r="AG4" i="12" a="1"/>
  <c r="AG4" i="12" s="1"/>
  <c r="AA4" i="12" a="1"/>
  <c r="AA4" i="12" s="1"/>
  <c r="BK85" i="12" a="1"/>
  <c r="BK85" i="12" s="1"/>
  <c r="BB85" i="12" a="1"/>
  <c r="BB85" i="12" s="1"/>
  <c r="AW85" i="12" a="1"/>
  <c r="AW85" i="12" s="1"/>
  <c r="BB82" i="12" a="1"/>
  <c r="BB82" i="12" s="1"/>
  <c r="AV82" i="12" a="1"/>
  <c r="AV82" i="12" s="1"/>
  <c r="BH79" i="12" a="1"/>
  <c r="BH79" i="12" s="1"/>
  <c r="BA79" i="12" a="1"/>
  <c r="BA79" i="12" s="1"/>
  <c r="AS79" i="12" a="1"/>
  <c r="AS79" i="12" s="1"/>
  <c r="BE76" i="12" a="1"/>
  <c r="BE76" i="12" s="1"/>
  <c r="AW76" i="12" a="1"/>
  <c r="AW76" i="12" s="1"/>
  <c r="AM53" i="12" a="1"/>
  <c r="AM53" i="12" s="1"/>
  <c r="AJ45" i="12" a="1"/>
  <c r="AJ45" i="12" s="1"/>
  <c r="AI40" i="12" a="1"/>
  <c r="AI40" i="12" s="1"/>
  <c r="AG36" i="12" a="1"/>
  <c r="AG36" i="12" s="1"/>
  <c r="AN32" i="12" a="1"/>
  <c r="AN32" i="12" s="1"/>
  <c r="AF32" i="12" a="1"/>
  <c r="AF32" i="12" s="1"/>
  <c r="AI28" i="12" a="1"/>
  <c r="AI28" i="12" s="1"/>
  <c r="AC28" i="12" a="1"/>
  <c r="AC28" i="12" s="1"/>
  <c r="AH23" i="12" a="1"/>
  <c r="AH23" i="12" s="1"/>
  <c r="AK19" i="12" a="1"/>
  <c r="AK19" i="12" s="1"/>
  <c r="AE19" i="12" a="1"/>
  <c r="AE19" i="12" s="1"/>
  <c r="AL15" i="12" a="1"/>
  <c r="AL15" i="12" s="1"/>
  <c r="AD15" i="12" a="1"/>
  <c r="AD15" i="12" s="1"/>
  <c r="AQ11" i="12" a="1"/>
  <c r="AQ11" i="12" s="1"/>
  <c r="AD11" i="12" a="1"/>
  <c r="AD11" i="12" s="1"/>
  <c r="AQ7" i="12" a="1"/>
  <c r="AQ7" i="12" s="1"/>
  <c r="AD7" i="12" a="1"/>
  <c r="AD7" i="12" s="1"/>
  <c r="AM4" i="12" a="1"/>
  <c r="AM4" i="12" s="1"/>
  <c r="Z4" i="12" a="1"/>
  <c r="Z4" i="12" s="1"/>
  <c r="BF85" i="12" a="1"/>
  <c r="BF85" i="12" s="1"/>
  <c r="BA85" i="12" a="1"/>
  <c r="BA85" i="12" s="1"/>
  <c r="BH82" i="12" a="1"/>
  <c r="BH82" i="12" s="1"/>
  <c r="BA82" i="12" a="1"/>
  <c r="BA82" i="12" s="1"/>
  <c r="AU82" i="12" a="1"/>
  <c r="AU82" i="12" s="1"/>
  <c r="AM82" i="12" a="1"/>
  <c r="AM82" i="12" s="1"/>
  <c r="AA55" i="12" a="1"/>
  <c r="AA55" i="12" s="1"/>
  <c r="AB45" i="12" a="1"/>
  <c r="AB45" i="12" s="1"/>
  <c r="AD40" i="12" a="1"/>
  <c r="AD40" i="12" s="1"/>
  <c r="AO36" i="12" a="1"/>
  <c r="AO36" i="12" s="1"/>
  <c r="AD32" i="12" a="1"/>
  <c r="AD32" i="12" s="1"/>
  <c r="Y28" i="12" a="1"/>
  <c r="Y28" i="12" s="1"/>
  <c r="AN23" i="12" a="1"/>
  <c r="AN23" i="12" s="1"/>
  <c r="AF23" i="12" a="1"/>
  <c r="AF23" i="12" s="1"/>
  <c r="Y23" i="12" a="1"/>
  <c r="Y23" i="12" s="1"/>
  <c r="AQ19" i="12" a="1"/>
  <c r="AQ19" i="12" s="1"/>
  <c r="AJ19" i="12" a="1"/>
  <c r="AJ19" i="12" s="1"/>
  <c r="AC19" i="12" a="1"/>
  <c r="AC19" i="12" s="1"/>
  <c r="AP15" i="12" a="1"/>
  <c r="AP15" i="12" s="1"/>
  <c r="AJ15" i="12" a="1"/>
  <c r="AJ15" i="12" s="1"/>
  <c r="AC15" i="12" a="1"/>
  <c r="AC15" i="12" s="1"/>
  <c r="AP11" i="12" a="1"/>
  <c r="AP11" i="12" s="1"/>
  <c r="AI11" i="12" a="1"/>
  <c r="AI11" i="12" s="1"/>
  <c r="AB11" i="12" a="1"/>
  <c r="AB11" i="12" s="1"/>
  <c r="AO7" i="12" a="1"/>
  <c r="AO7" i="12" s="1"/>
  <c r="AI7" i="12" a="1"/>
  <c r="AI7" i="12" s="1"/>
  <c r="AK4" i="12" a="1"/>
  <c r="AK4" i="12" s="1"/>
  <c r="AE4" i="12" a="1"/>
  <c r="AE4" i="12" s="1"/>
  <c r="BI85" i="12" a="1"/>
  <c r="BI85" i="12" s="1"/>
  <c r="AZ85" i="12" a="1"/>
  <c r="AZ85" i="12" s="1"/>
  <c r="BF82" i="12" a="1"/>
  <c r="BF82" i="12" s="1"/>
  <c r="AZ82" i="12" a="1"/>
  <c r="AZ82" i="12" s="1"/>
  <c r="AX79" i="12" a="1"/>
  <c r="AX79" i="12" s="1"/>
  <c r="BI76" i="12" a="1"/>
  <c r="BI76" i="12" s="1"/>
  <c r="BB76" i="12" a="1"/>
  <c r="BB76" i="12" s="1"/>
  <c r="AT76" i="12" a="1"/>
  <c r="AT76" i="12" s="1"/>
  <c r="AB60" i="12" a="1"/>
  <c r="AB60" i="12" s="1"/>
  <c r="AG23" i="12" a="1"/>
  <c r="AG23" i="12" s="1"/>
  <c r="AP7" i="12" a="1"/>
  <c r="AP7" i="12" s="1"/>
  <c r="AA7" i="12" a="1"/>
  <c r="AA7" i="12" s="1"/>
  <c r="AJ4" i="12" a="1"/>
  <c r="AJ4" i="12" s="1"/>
  <c r="BD79" i="12" a="1"/>
  <c r="BD79" i="12" s="1"/>
  <c r="AZ76" i="12" a="1"/>
  <c r="AZ76" i="12" s="1"/>
  <c r="BJ64" i="12" a="1"/>
  <c r="BJ64" i="12" s="1"/>
  <c r="BC64" i="12" a="1"/>
  <c r="BC64" i="12" s="1"/>
  <c r="AV64" i="12" a="1"/>
  <c r="AV64" i="12" s="1"/>
  <c r="BJ60" i="12" a="1"/>
  <c r="BJ60" i="12" s="1"/>
  <c r="AU60" i="12" a="1"/>
  <c r="AU60" i="12" s="1"/>
  <c r="BJ55" i="12" a="1"/>
  <c r="BJ55" i="12" s="1"/>
  <c r="BB55" i="12" a="1"/>
  <c r="BB55" i="12" s="1"/>
  <c r="AT55" i="12" a="1"/>
  <c r="AT55" i="12" s="1"/>
  <c r="BI53" i="12" a="1"/>
  <c r="BI53" i="12" s="1"/>
  <c r="BE53" i="12" a="1"/>
  <c r="BE53" i="12" s="1"/>
  <c r="BA53" i="12" a="1"/>
  <c r="BA53" i="12" s="1"/>
  <c r="AW53" i="12" a="1"/>
  <c r="AW53" i="12" s="1"/>
  <c r="AS53" i="12" a="1"/>
  <c r="AS53" i="12" s="1"/>
  <c r="BK49" i="12" a="1"/>
  <c r="BK49" i="12" s="1"/>
  <c r="BA49" i="12" a="1"/>
  <c r="BA49" i="12" s="1"/>
  <c r="AV49" i="12" a="1"/>
  <c r="AV49" i="12" s="1"/>
  <c r="BK45" i="12" a="1"/>
  <c r="BK45" i="12" s="1"/>
  <c r="BE45" i="12" a="1"/>
  <c r="BE45" i="12" s="1"/>
  <c r="AY45" i="12" a="1"/>
  <c r="AY45" i="12" s="1"/>
  <c r="AS45" i="12" a="1"/>
  <c r="AS45" i="12" s="1"/>
  <c r="BI40" i="12" a="1"/>
  <c r="BI40" i="12" s="1"/>
  <c r="BD40" i="12" a="1"/>
  <c r="BD40" i="12" s="1"/>
  <c r="AS40" i="12" a="1"/>
  <c r="AS40" i="12" s="1"/>
  <c r="AI55" i="12" a="1"/>
  <c r="AI55" i="12" s="1"/>
  <c r="Z23" i="12" a="1"/>
  <c r="Z23" i="12" s="1"/>
  <c r="AF4" i="12" a="1"/>
  <c r="AF4" i="12" s="1"/>
  <c r="BJ85" i="12" a="1"/>
  <c r="BJ85" i="12" s="1"/>
  <c r="AY85" i="12" a="1"/>
  <c r="AY85" i="12" s="1"/>
  <c r="AY82" i="12" a="1"/>
  <c r="AY82" i="12" s="1"/>
  <c r="AZ79" i="12" a="1"/>
  <c r="AZ79" i="12" s="1"/>
  <c r="BK76" i="12" a="1"/>
  <c r="BK76" i="12" s="1"/>
  <c r="AV76" i="12" a="1"/>
  <c r="AV76" i="12" s="1"/>
  <c r="BI64" i="12" a="1"/>
  <c r="BI64" i="12" s="1"/>
  <c r="BB64" i="12" a="1"/>
  <c r="BB64" i="12" s="1"/>
  <c r="AU64" i="12" a="1"/>
  <c r="AU64" i="12" s="1"/>
  <c r="BI60" i="12" a="1"/>
  <c r="BI60" i="12" s="1"/>
  <c r="BB60" i="12" a="1"/>
  <c r="BB60" i="12" s="1"/>
  <c r="AT60" i="12" a="1"/>
  <c r="AT60" i="12" s="1"/>
  <c r="BI55" i="12" a="1"/>
  <c r="BI55" i="12" s="1"/>
  <c r="BA55" i="12" a="1"/>
  <c r="BA55" i="12" s="1"/>
  <c r="AS55" i="12" a="1"/>
  <c r="AS55" i="12" s="1"/>
  <c r="BJ49" i="12" a="1"/>
  <c r="BJ49" i="12" s="1"/>
  <c r="BE49" i="12" a="1"/>
  <c r="BE49" i="12" s="1"/>
  <c r="BJ45" i="12" a="1"/>
  <c r="BJ45" i="12" s="1"/>
  <c r="BD45" i="12" a="1"/>
  <c r="BD45" i="12" s="1"/>
  <c r="AX45" i="12" a="1"/>
  <c r="AX45" i="12" s="1"/>
  <c r="BC40" i="12" a="1"/>
  <c r="BC40" i="12" s="1"/>
  <c r="AW40" i="12" a="1"/>
  <c r="AW40" i="12" s="1"/>
  <c r="BI36" i="12" a="1"/>
  <c r="BI36" i="12" s="1"/>
  <c r="BB36" i="12" a="1"/>
  <c r="BB36" i="12" s="1"/>
  <c r="AW36" i="12" a="1"/>
  <c r="AW36" i="12" s="1"/>
  <c r="AI53" i="12" a="1"/>
  <c r="AI53" i="12" s="1"/>
  <c r="AF36" i="12" a="1"/>
  <c r="AF36" i="12" s="1"/>
  <c r="AM32" i="12" a="1"/>
  <c r="AM32" i="12" s="1"/>
  <c r="AJ11" i="12" a="1"/>
  <c r="AJ11" i="12" s="1"/>
  <c r="AN7" i="12" a="1"/>
  <c r="AN7" i="12" s="1"/>
  <c r="AD4" i="12" a="1"/>
  <c r="AD4" i="12" s="1"/>
  <c r="AV85" i="12" a="1"/>
  <c r="AV85" i="12" s="1"/>
  <c r="AX82" i="12" a="1"/>
  <c r="AX82" i="12" s="1"/>
  <c r="AY79" i="12" a="1"/>
  <c r="AY79" i="12" s="1"/>
  <c r="BJ76" i="12" a="1"/>
  <c r="BJ76" i="12" s="1"/>
  <c r="AU76" i="12" a="1"/>
  <c r="AU76" i="12" s="1"/>
  <c r="BH64" i="12" a="1"/>
  <c r="BH64" i="12" s="1"/>
  <c r="AT64" i="12" a="1"/>
  <c r="AT64" i="12" s="1"/>
  <c r="BH60" i="12" a="1"/>
  <c r="BH60" i="12" s="1"/>
  <c r="BA60" i="12" a="1"/>
  <c r="BA60" i="12" s="1"/>
  <c r="AS60" i="12" a="1"/>
  <c r="AS60" i="12" s="1"/>
  <c r="BH55" i="12" a="1"/>
  <c r="BH55" i="12" s="1"/>
  <c r="AZ55" i="12" a="1"/>
  <c r="AZ55" i="12" s="1"/>
  <c r="BH53" i="12" a="1"/>
  <c r="BH53" i="12" s="1"/>
  <c r="BD53" i="12" a="1"/>
  <c r="BD53" i="12" s="1"/>
  <c r="AZ53" i="12" a="1"/>
  <c r="AZ53" i="12" s="1"/>
  <c r="AV53" i="12" a="1"/>
  <c r="AV53" i="12" s="1"/>
  <c r="BI49" i="12" a="1"/>
  <c r="BI49" i="12" s="1"/>
  <c r="AZ49" i="12" a="1"/>
  <c r="AZ49" i="12" s="1"/>
  <c r="AU49" i="12" a="1"/>
  <c r="AU49" i="12" s="1"/>
  <c r="BI45" i="12" a="1"/>
  <c r="BI45" i="12" s="1"/>
  <c r="BC45" i="12" a="1"/>
  <c r="BC45" i="12" s="1"/>
  <c r="BH40" i="12" a="1"/>
  <c r="BH40" i="12" s="1"/>
  <c r="BB40" i="12" a="1"/>
  <c r="BB40" i="12" s="1"/>
  <c r="BH36" i="12" a="1"/>
  <c r="BH36" i="12" s="1"/>
  <c r="AV36" i="12" a="1"/>
  <c r="AV36" i="12" s="1"/>
  <c r="BC32" i="12" a="1"/>
  <c r="BC32" i="12" s="1"/>
  <c r="AG40" i="12" a="1"/>
  <c r="AG40" i="12" s="1"/>
  <c r="AE32" i="12" a="1"/>
  <c r="AE32" i="12" s="1"/>
  <c r="AD19" i="12" a="1"/>
  <c r="AD19" i="12" s="1"/>
  <c r="AC11" i="12" a="1"/>
  <c r="AC11" i="12" s="1"/>
  <c r="AJ7" i="12" a="1"/>
  <c r="AJ7" i="12" s="1"/>
  <c r="AC4" i="12" a="1"/>
  <c r="AC4" i="12" s="1"/>
  <c r="BH85" i="12" a="1"/>
  <c r="BH85" i="12" s="1"/>
  <c r="AU85" i="12" a="1"/>
  <c r="AU85" i="12" s="1"/>
  <c r="BK82" i="12" a="1"/>
  <c r="BK82" i="12" s="1"/>
  <c r="AT82" i="12" a="1"/>
  <c r="AT82" i="12" s="1"/>
  <c r="AW79" i="12" a="1"/>
  <c r="AW79" i="12" s="1"/>
  <c r="AS76" i="12" a="1"/>
  <c r="AS76" i="12" s="1"/>
  <c r="BG64" i="12" a="1"/>
  <c r="BG64" i="12" s="1"/>
  <c r="BA64" i="12" a="1"/>
  <c r="BA64" i="12" s="1"/>
  <c r="AS64" i="12" a="1"/>
  <c r="AS64" i="12" s="1"/>
  <c r="BG60" i="12" a="1"/>
  <c r="BG60" i="12" s="1"/>
  <c r="AZ60" i="12" a="1"/>
  <c r="AZ60" i="12" s="1"/>
  <c r="BG55" i="12" a="1"/>
  <c r="BG55" i="12" s="1"/>
  <c r="AY55" i="12" a="1"/>
  <c r="AY55" i="12" s="1"/>
  <c r="BD49" i="12" a="1"/>
  <c r="BD49" i="12" s="1"/>
  <c r="AT49" i="12" a="1"/>
  <c r="AT49" i="12" s="1"/>
  <c r="BB45" i="12" a="1"/>
  <c r="BB45" i="12" s="1"/>
  <c r="AW45" i="12" a="1"/>
  <c r="AW45" i="12" s="1"/>
  <c r="BA40" i="12" a="1"/>
  <c r="BA40" i="12" s="1"/>
  <c r="AV40" i="12" a="1"/>
  <c r="AV40" i="12" s="1"/>
  <c r="BG36" i="12" a="1"/>
  <c r="BG36" i="12" s="1"/>
  <c r="BA36" i="12" a="1"/>
  <c r="BA36" i="12" s="1"/>
  <c r="BH32" i="12" a="1"/>
  <c r="BH32" i="12" s="1"/>
  <c r="BB32" i="12" a="1"/>
  <c r="BB32" i="12" s="1"/>
  <c r="AW32" i="12" a="1"/>
  <c r="AW32" i="12" s="1"/>
  <c r="BH28" i="12" a="1"/>
  <c r="BH28" i="12" s="1"/>
  <c r="AV28" i="12" a="1"/>
  <c r="AV28" i="12" s="1"/>
  <c r="BF23" i="12" a="1"/>
  <c r="BF23" i="12" s="1"/>
  <c r="AS23" i="12" a="1"/>
  <c r="AS23" i="12" s="1"/>
  <c r="BF19" i="12" a="1"/>
  <c r="BF19" i="12" s="1"/>
  <c r="AT19" i="12" a="1"/>
  <c r="AT19" i="12" s="1"/>
  <c r="AP28" i="12" a="1"/>
  <c r="AP28" i="12" s="1"/>
  <c r="AH7" i="12" a="1"/>
  <c r="AH7" i="12" s="1"/>
  <c r="AQ4" i="12" a="1"/>
  <c r="AQ4" i="12" s="1"/>
  <c r="Y4" i="12" a="1"/>
  <c r="Y4" i="12" s="1"/>
  <c r="BE85" i="12" a="1"/>
  <c r="BE85" i="12" s="1"/>
  <c r="BJ82" i="12" a="1"/>
  <c r="BJ82" i="12" s="1"/>
  <c r="AS82" i="12" a="1"/>
  <c r="AS82" i="12" s="1"/>
  <c r="BK79" i="12" a="1"/>
  <c r="BK79" i="12" s="1"/>
  <c r="AV79" i="12" a="1"/>
  <c r="AV79" i="12" s="1"/>
  <c r="BH76" i="12" a="1"/>
  <c r="BH76" i="12" s="1"/>
  <c r="AZ64" i="12" a="1"/>
  <c r="AZ64" i="12" s="1"/>
  <c r="BF60" i="12" a="1"/>
  <c r="BF60" i="12" s="1"/>
  <c r="AY60" i="12" a="1"/>
  <c r="AY60" i="12" s="1"/>
  <c r="BF55" i="12" a="1"/>
  <c r="BF55" i="12" s="1"/>
  <c r="AX55" i="12" a="1"/>
  <c r="AX55" i="12" s="1"/>
  <c r="BK53" i="12" a="1"/>
  <c r="BK53" i="12" s="1"/>
  <c r="BG53" i="12" a="1"/>
  <c r="BG53" i="12" s="1"/>
  <c r="BC53" i="12" a="1"/>
  <c r="BC53" i="12" s="1"/>
  <c r="AY53" i="12" a="1"/>
  <c r="AY53" i="12" s="1"/>
  <c r="AU53" i="12" a="1"/>
  <c r="AU53" i="12" s="1"/>
  <c r="BH49" i="12" a="1"/>
  <c r="BH49" i="12" s="1"/>
  <c r="AY49" i="12" a="1"/>
  <c r="AY49" i="12" s="1"/>
  <c r="BH45" i="12" a="1"/>
  <c r="BH45" i="12" s="1"/>
  <c r="BG40" i="12" a="1"/>
  <c r="BG40" i="12" s="1"/>
  <c r="AZ40" i="12" a="1"/>
  <c r="AZ40" i="12" s="1"/>
  <c r="BF36" i="12" a="1"/>
  <c r="BF36" i="12" s="1"/>
  <c r="AU36" i="12" a="1"/>
  <c r="AU36" i="12" s="1"/>
  <c r="AH28" i="12" a="1"/>
  <c r="AH28" i="12" s="1"/>
  <c r="AQ15" i="12" a="1"/>
  <c r="AQ15" i="12" s="1"/>
  <c r="AG7" i="12" a="1"/>
  <c r="AG7" i="12" s="1"/>
  <c r="AP4" i="12" a="1"/>
  <c r="AP4" i="12" s="1"/>
  <c r="BD85" i="12" a="1"/>
  <c r="BD85" i="12" s="1"/>
  <c r="BG82" i="12" a="1"/>
  <c r="BG82" i="12" s="1"/>
  <c r="BG79" i="12" a="1"/>
  <c r="BG79" i="12" s="1"/>
  <c r="BD76" i="12" a="1"/>
  <c r="BD76" i="12" s="1"/>
  <c r="BF64" i="12" a="1"/>
  <c r="BF64" i="12" s="1"/>
  <c r="AY64" i="12" a="1"/>
  <c r="AY64" i="12" s="1"/>
  <c r="BE60" i="12" a="1"/>
  <c r="BE60" i="12" s="1"/>
  <c r="AX60" i="12" a="1"/>
  <c r="AX60" i="12" s="1"/>
  <c r="BE55" i="12" a="1"/>
  <c r="BE55" i="12" s="1"/>
  <c r="AW55" i="12" a="1"/>
  <c r="AW55" i="12" s="1"/>
  <c r="BC49" i="12" a="1"/>
  <c r="BC49" i="12" s="1"/>
  <c r="AX49" i="12" a="1"/>
  <c r="AX49" i="12" s="1"/>
  <c r="AS49" i="12" a="1"/>
  <c r="AS49" i="12" s="1"/>
  <c r="BG45" i="12" a="1"/>
  <c r="BG45" i="12" s="1"/>
  <c r="BA45" i="12" a="1"/>
  <c r="BA45" i="12" s="1"/>
  <c r="AV45" i="12" a="1"/>
  <c r="AV45" i="12" s="1"/>
  <c r="BK40" i="12" a="1"/>
  <c r="BK40" i="12" s="1"/>
  <c r="BF40" i="12" a="1"/>
  <c r="BF40" i="12" s="1"/>
  <c r="AU40" i="12" a="1"/>
  <c r="AU40" i="12" s="1"/>
  <c r="BE36" i="12" a="1"/>
  <c r="BE36" i="12" s="1"/>
  <c r="AZ36" i="12" a="1"/>
  <c r="AZ36" i="12" s="1"/>
  <c r="AT36" i="12" a="1"/>
  <c r="AT36" i="12" s="1"/>
  <c r="AE45" i="12" a="1"/>
  <c r="AE45" i="12" s="1"/>
  <c r="AP23" i="12" a="1"/>
  <c r="AP23" i="12" s="1"/>
  <c r="AB7" i="12" a="1"/>
  <c r="AB7" i="12" s="1"/>
  <c r="BE79" i="12" a="1"/>
  <c r="BE79" i="12" s="1"/>
  <c r="BA76" i="12" a="1"/>
  <c r="BA76" i="12" s="1"/>
  <c r="BK64" i="12" a="1"/>
  <c r="BK64" i="12" s="1"/>
  <c r="BD64" i="12" a="1"/>
  <c r="BD64" i="12" s="1"/>
  <c r="AW64" i="12" a="1"/>
  <c r="AW64" i="12" s="1"/>
  <c r="BK60" i="12" a="1"/>
  <c r="BK60" i="12" s="1"/>
  <c r="BC60" i="12" a="1"/>
  <c r="BC60" i="12" s="1"/>
  <c r="AV60" i="12" a="1"/>
  <c r="AV60" i="12" s="1"/>
  <c r="BK55" i="12" a="1"/>
  <c r="BK55" i="12" s="1"/>
  <c r="BC55" i="12" a="1"/>
  <c r="BC55" i="12" s="1"/>
  <c r="AU55" i="12" a="1"/>
  <c r="AU55" i="12" s="1"/>
  <c r="BF49" i="12" a="1"/>
  <c r="BF49" i="12" s="1"/>
  <c r="AZ45" i="12" a="1"/>
  <c r="AZ45" i="12" s="1"/>
  <c r="AX64" i="12" a="1"/>
  <c r="AX64" i="12" s="1"/>
  <c r="AW60" i="12" a="1"/>
  <c r="AW60" i="12" s="1"/>
  <c r="AT45" i="12" a="1"/>
  <c r="AT45" i="12" s="1"/>
  <c r="BC36" i="12" a="1"/>
  <c r="BC36" i="12" s="1"/>
  <c r="AV32" i="12" a="1"/>
  <c r="AV32" i="12" s="1"/>
  <c r="BA28" i="12" a="1"/>
  <c r="BA28" i="12" s="1"/>
  <c r="AT28" i="12" a="1"/>
  <c r="AT28" i="12" s="1"/>
  <c r="BH23" i="12" a="1"/>
  <c r="BH23" i="12" s="1"/>
  <c r="BA23" i="12" a="1"/>
  <c r="BA23" i="12" s="1"/>
  <c r="BJ19" i="12" a="1"/>
  <c r="BJ19" i="12" s="1"/>
  <c r="AX19" i="12" a="1"/>
  <c r="AX19" i="12" s="1"/>
  <c r="BK15" i="12" a="1"/>
  <c r="BK15" i="12" s="1"/>
  <c r="AY15" i="12" a="1"/>
  <c r="AY15" i="12" s="1"/>
  <c r="AS15" i="12" a="1"/>
  <c r="AS15" i="12" s="1"/>
  <c r="BJ11" i="12" a="1"/>
  <c r="BJ11" i="12" s="1"/>
  <c r="AX11" i="12" a="1"/>
  <c r="AX11" i="12" s="1"/>
  <c r="BC7" i="12" a="1"/>
  <c r="BC7" i="12" s="1"/>
  <c r="BF4" i="12" a="1"/>
  <c r="BF4" i="12" s="1"/>
  <c r="BA4" i="12" a="1"/>
  <c r="BA4" i="12" s="1"/>
  <c r="AT4" i="12" a="1"/>
  <c r="AT4" i="12" s="1"/>
  <c r="CD7" i="12" a="1"/>
  <c r="CD7" i="12" s="1"/>
  <c r="BX7" i="12" a="1"/>
  <c r="BX7" i="12" s="1"/>
  <c r="BQ7" i="12" a="1"/>
  <c r="BQ7" i="12" s="1"/>
  <c r="AY40" i="12" a="1"/>
  <c r="AY40" i="12" s="1"/>
  <c r="AY36" i="12" a="1"/>
  <c r="AY36" i="12" s="1"/>
  <c r="BE32" i="12" a="1"/>
  <c r="BE32" i="12" s="1"/>
  <c r="AU32" i="12" a="1"/>
  <c r="AU32" i="12" s="1"/>
  <c r="BG28" i="12" a="1"/>
  <c r="BG28" i="12" s="1"/>
  <c r="AS28" i="12" a="1"/>
  <c r="AS28" i="12" s="1"/>
  <c r="AZ23" i="12" a="1"/>
  <c r="AZ23" i="12" s="1"/>
  <c r="BC19" i="12" a="1"/>
  <c r="BC19" i="12" s="1"/>
  <c r="AW19" i="12" a="1"/>
  <c r="AW19" i="12" s="1"/>
  <c r="BJ15" i="12" a="1"/>
  <c r="BJ15" i="12" s="1"/>
  <c r="BE15" i="12" a="1"/>
  <c r="BE15" i="12" s="1"/>
  <c r="AX15" i="12" a="1"/>
  <c r="AX15" i="12" s="1"/>
  <c r="BC11" i="12" a="1"/>
  <c r="BC11" i="12" s="1"/>
  <c r="AW11" i="12" a="1"/>
  <c r="AW11" i="12" s="1"/>
  <c r="BH7" i="12" a="1"/>
  <c r="BH7" i="12" s="1"/>
  <c r="BB7" i="12" a="1"/>
  <c r="BB7" i="12" s="1"/>
  <c r="AV7" i="12" a="1"/>
  <c r="AV7" i="12" s="1"/>
  <c r="BE4" i="12" a="1"/>
  <c r="BE4" i="12" s="1"/>
  <c r="AZ4" i="12" a="1"/>
  <c r="AZ4" i="12" s="1"/>
  <c r="AS4" i="12" a="1"/>
  <c r="AS4" i="12" s="1"/>
  <c r="CC7" i="12" a="1"/>
  <c r="CC7" i="12" s="1"/>
  <c r="BW7" i="12" a="1"/>
  <c r="BW7" i="12" s="1"/>
  <c r="AV11" i="12" a="1"/>
  <c r="AV11" i="12" s="1"/>
  <c r="BA7" i="12" a="1"/>
  <c r="BA7" i="12" s="1"/>
  <c r="AY4" i="12" a="1"/>
  <c r="AY4" i="12" s="1"/>
  <c r="BV7" i="12" a="1"/>
  <c r="BV7" i="12" s="1"/>
  <c r="BF79" i="12" a="1"/>
  <c r="BF79" i="12" s="1"/>
  <c r="BJ53" i="12" a="1"/>
  <c r="BJ53" i="12" s="1"/>
  <c r="AX40" i="12" a="1"/>
  <c r="AX40" i="12" s="1"/>
  <c r="AX36" i="12" a="1"/>
  <c r="AX36" i="12" s="1"/>
  <c r="BK32" i="12" a="1"/>
  <c r="BK32" i="12" s="1"/>
  <c r="BD32" i="12" a="1"/>
  <c r="BD32" i="12" s="1"/>
  <c r="AT32" i="12" a="1"/>
  <c r="AT32" i="12" s="1"/>
  <c r="BF28" i="12" a="1"/>
  <c r="BF28" i="12" s="1"/>
  <c r="AZ28" i="12" a="1"/>
  <c r="AZ28" i="12" s="1"/>
  <c r="BG23" i="12" a="1"/>
  <c r="BG23" i="12" s="1"/>
  <c r="AY23" i="12" a="1"/>
  <c r="AY23" i="12" s="1"/>
  <c r="BI19" i="12" a="1"/>
  <c r="BI19" i="12" s="1"/>
  <c r="BB19" i="12" a="1"/>
  <c r="BB19" i="12" s="1"/>
  <c r="AV19" i="12" a="1"/>
  <c r="AV19" i="12" s="1"/>
  <c r="BI15" i="12" a="1"/>
  <c r="BI15" i="12" s="1"/>
  <c r="BD15" i="12" a="1"/>
  <c r="BD15" i="12" s="1"/>
  <c r="AW15" i="12" a="1"/>
  <c r="AW15" i="12" s="1"/>
  <c r="BI11" i="12" a="1"/>
  <c r="BI11" i="12" s="1"/>
  <c r="BB11" i="12" a="1"/>
  <c r="BB11" i="12" s="1"/>
  <c r="AU7" i="12" a="1"/>
  <c r="AU7" i="12" s="1"/>
  <c r="BP7" i="12" a="1"/>
  <c r="BP7" i="12" s="1"/>
  <c r="AB28" i="12" a="1"/>
  <c r="AB28" i="12" s="1"/>
  <c r="AC7" i="12" a="1"/>
  <c r="AC7" i="12" s="1"/>
  <c r="BF53" i="12" a="1"/>
  <c r="BF53" i="12" s="1"/>
  <c r="AT40" i="12" a="1"/>
  <c r="AT40" i="12" s="1"/>
  <c r="BJ32" i="12" a="1"/>
  <c r="BJ32" i="12" s="1"/>
  <c r="BA32" i="12" a="1"/>
  <c r="BA32" i="12" s="1"/>
  <c r="BE28" i="12" a="1"/>
  <c r="BE28" i="12" s="1"/>
  <c r="BE23" i="12" a="1"/>
  <c r="BE23" i="12" s="1"/>
  <c r="AX23" i="12" a="1"/>
  <c r="AX23" i="12" s="1"/>
  <c r="AU19" i="12" a="1"/>
  <c r="AU19" i="12" s="1"/>
  <c r="BC15" i="12" a="1"/>
  <c r="BC15" i="12" s="1"/>
  <c r="BH11" i="12" a="1"/>
  <c r="BH11" i="12" s="1"/>
  <c r="AU11" i="12" a="1"/>
  <c r="AU11" i="12" s="1"/>
  <c r="BG7" i="12" a="1"/>
  <c r="BG7" i="12" s="1"/>
  <c r="AZ7" i="12" a="1"/>
  <c r="AZ7" i="12" s="1"/>
  <c r="AT7" i="12" a="1"/>
  <c r="AT7" i="12" s="1"/>
  <c r="BK4" i="12" a="1"/>
  <c r="BK4" i="12" s="1"/>
  <c r="BD4" i="12" a="1"/>
  <c r="BD4" i="12" s="1"/>
  <c r="AX4" i="12" a="1"/>
  <c r="AX4" i="12" s="1"/>
  <c r="CB7" i="12" a="1"/>
  <c r="CB7" i="12" s="1"/>
  <c r="BU7" i="12" a="1"/>
  <c r="BU7" i="12" s="1"/>
  <c r="BO7" i="12" a="1"/>
  <c r="BO7" i="12" s="1"/>
  <c r="BZ7" i="12" a="1"/>
  <c r="BZ7" i="12" s="1"/>
  <c r="BD55" i="12" a="1"/>
  <c r="BD55" i="12" s="1"/>
  <c r="BB53" i="12" a="1"/>
  <c r="BB53" i="12" s="1"/>
  <c r="BK36" i="12" a="1"/>
  <c r="BK36" i="12" s="1"/>
  <c r="AS36" i="12" a="1"/>
  <c r="AS36" i="12" s="1"/>
  <c r="AZ32" i="12" a="1"/>
  <c r="AZ32" i="12" s="1"/>
  <c r="AS32" i="12" a="1"/>
  <c r="AS32" i="12" s="1"/>
  <c r="BK28" i="12" a="1"/>
  <c r="BK28" i="12" s="1"/>
  <c r="BD28" i="12" a="1"/>
  <c r="BD28" i="12" s="1"/>
  <c r="AY28" i="12" a="1"/>
  <c r="AY28" i="12" s="1"/>
  <c r="BK23" i="12" a="1"/>
  <c r="BK23" i="12" s="1"/>
  <c r="BD23" i="12" a="1"/>
  <c r="BD23" i="12" s="1"/>
  <c r="AW23" i="12" a="1"/>
  <c r="AW23" i="12" s="1"/>
  <c r="BH19" i="12" a="1"/>
  <c r="BH19" i="12" s="1"/>
  <c r="BA19" i="12" a="1"/>
  <c r="BA19" i="12" s="1"/>
  <c r="AS19" i="12" a="1"/>
  <c r="AS19" i="12" s="1"/>
  <c r="BH15" i="12" a="1"/>
  <c r="BH15" i="12" s="1"/>
  <c r="BB15" i="12" a="1"/>
  <c r="BB15" i="12" s="1"/>
  <c r="AV15" i="12" a="1"/>
  <c r="AV15" i="12" s="1"/>
  <c r="BG11" i="12" a="1"/>
  <c r="BG11" i="12" s="1"/>
  <c r="BA11" i="12" a="1"/>
  <c r="BA11" i="12" s="1"/>
  <c r="AT11" i="12" a="1"/>
  <c r="AT11" i="12" s="1"/>
  <c r="BF7" i="12" a="1"/>
  <c r="BF7" i="12" s="1"/>
  <c r="BJ4" i="12" a="1"/>
  <c r="BJ4" i="12" s="1"/>
  <c r="AW4" i="12" a="1"/>
  <c r="AW4" i="12" s="1"/>
  <c r="CA7" i="12" a="1"/>
  <c r="CA7" i="12" s="1"/>
  <c r="BN7" i="12" a="1"/>
  <c r="BN7" i="12" s="1"/>
  <c r="BT7" i="12" a="1"/>
  <c r="BT7" i="12" s="1"/>
  <c r="BC76" i="12" a="1"/>
  <c r="BC76" i="12" s="1"/>
  <c r="AV55" i="12" a="1"/>
  <c r="AV55" i="12" s="1"/>
  <c r="AX53" i="12" a="1"/>
  <c r="AX53" i="12" s="1"/>
  <c r="BG49" i="12" a="1"/>
  <c r="BG49" i="12" s="1"/>
  <c r="BF45" i="12" a="1"/>
  <c r="BF45" i="12" s="1"/>
  <c r="BJ40" i="12" a="1"/>
  <c r="BJ40" i="12" s="1"/>
  <c r="BJ36" i="12" a="1"/>
  <c r="BJ36" i="12" s="1"/>
  <c r="BI32" i="12" a="1"/>
  <c r="BI32" i="12" s="1"/>
  <c r="BJ28" i="12" a="1"/>
  <c r="BJ28" i="12" s="1"/>
  <c r="AX28" i="12" a="1"/>
  <c r="AX28" i="12" s="1"/>
  <c r="BJ23" i="12" a="1"/>
  <c r="BJ23" i="12" s="1"/>
  <c r="BC23" i="12" a="1"/>
  <c r="BC23" i="12" s="1"/>
  <c r="AV23" i="12" a="1"/>
  <c r="AV23" i="12" s="1"/>
  <c r="BG19" i="12" a="1"/>
  <c r="BG19" i="12" s="1"/>
  <c r="AZ19" i="12" a="1"/>
  <c r="AZ19" i="12" s="1"/>
  <c r="BA15" i="12" a="1"/>
  <c r="BA15" i="12" s="1"/>
  <c r="AU15" i="12" a="1"/>
  <c r="AU15" i="12" s="1"/>
  <c r="BF11" i="12" a="1"/>
  <c r="BF11" i="12" s="1"/>
  <c r="AS11" i="12" a="1"/>
  <c r="AS11" i="12" s="1"/>
  <c r="BK7" i="12" a="1"/>
  <c r="BK7" i="12" s="1"/>
  <c r="AY7" i="12" a="1"/>
  <c r="AY7" i="12" s="1"/>
  <c r="AS7" i="12" a="1"/>
  <c r="AS7" i="12" s="1"/>
  <c r="BI4" i="12" a="1"/>
  <c r="BI4" i="12" s="1"/>
  <c r="BC4" i="12" a="1"/>
  <c r="BC4" i="12" s="1"/>
  <c r="AV4" i="12" a="1"/>
  <c r="AV4" i="12" s="1"/>
  <c r="BM7" i="12" a="1"/>
  <c r="BM7" i="12" s="1"/>
  <c r="AK15" i="12" a="1"/>
  <c r="AK15" i="12" s="1"/>
  <c r="BE64" i="12" a="1"/>
  <c r="BE64" i="12" s="1"/>
  <c r="BD60" i="12" a="1"/>
  <c r="BD60" i="12" s="1"/>
  <c r="AW49" i="12" a="1"/>
  <c r="AW49" i="12" s="1"/>
  <c r="AU45" i="12" a="1"/>
  <c r="AU45" i="12" s="1"/>
  <c r="BE40" i="12" a="1"/>
  <c r="BE40" i="12" s="1"/>
  <c r="BD36" i="12" a="1"/>
  <c r="BD36" i="12" s="1"/>
  <c r="BF32" i="12" a="1"/>
  <c r="BF32" i="12" s="1"/>
  <c r="AX32" i="12" a="1"/>
  <c r="AX32" i="12" s="1"/>
  <c r="BI28" i="12" a="1"/>
  <c r="BI28" i="12" s="1"/>
  <c r="BB28" i="12" a="1"/>
  <c r="BB28" i="12" s="1"/>
  <c r="AU28" i="12" a="1"/>
  <c r="AU28" i="12" s="1"/>
  <c r="AT23" i="12" a="1"/>
  <c r="AT23" i="12" s="1"/>
  <c r="BK19" i="12" a="1"/>
  <c r="BK19" i="12" s="1"/>
  <c r="BD19" i="12" a="1"/>
  <c r="BD19" i="12" s="1"/>
  <c r="AY19" i="12" a="1"/>
  <c r="AY19" i="12" s="1"/>
  <c r="BF15" i="12" a="1"/>
  <c r="BF15" i="12" s="1"/>
  <c r="BK11" i="12" a="1"/>
  <c r="BK11" i="12" s="1"/>
  <c r="BD11" i="12" a="1"/>
  <c r="BD11" i="12" s="1"/>
  <c r="AY11" i="12" a="1"/>
  <c r="AY11" i="12" s="1"/>
  <c r="BI7" i="12" a="1"/>
  <c r="BI7" i="12" s="1"/>
  <c r="BD7" i="12" a="1"/>
  <c r="BD7" i="12" s="1"/>
  <c r="AW7" i="12" a="1"/>
  <c r="AW7" i="12" s="1"/>
  <c r="BG4" i="12" a="1"/>
  <c r="BG4" i="12" s="1"/>
  <c r="AU4" i="12" a="1"/>
  <c r="AU4" i="12" s="1"/>
  <c r="CE7" i="12" a="1"/>
  <c r="CE7" i="12" s="1"/>
  <c r="BR7" i="12" a="1"/>
  <c r="BR7" i="12" s="1"/>
  <c r="AL4" i="12" a="1"/>
  <c r="AL4" i="12" s="1"/>
  <c r="BC28" i="12" a="1"/>
  <c r="BC28" i="12" s="1"/>
  <c r="BB4" i="12" a="1"/>
  <c r="BB4" i="12" s="1"/>
  <c r="BE82" i="12" a="1"/>
  <c r="BE82" i="12" s="1"/>
  <c r="AT53" i="12" a="1"/>
  <c r="AT53" i="12" s="1"/>
  <c r="AW28" i="12" a="1"/>
  <c r="AW28" i="12" s="1"/>
  <c r="BE11" i="12" a="1"/>
  <c r="BE11" i="12" s="1"/>
  <c r="BI23" i="12" a="1"/>
  <c r="BI23" i="12" s="1"/>
  <c r="AT15" i="12" a="1"/>
  <c r="AT15" i="12" s="1"/>
  <c r="BE7" i="12" a="1"/>
  <c r="BE7" i="12" s="1"/>
  <c r="AZ11" i="12" a="1"/>
  <c r="AZ11" i="12" s="1"/>
  <c r="AY32" i="12" a="1"/>
  <c r="AY32" i="12" s="1"/>
  <c r="BB49" i="12" a="1"/>
  <c r="BB49" i="12" s="1"/>
  <c r="BB23" i="12" a="1"/>
  <c r="BB23" i="12" s="1"/>
  <c r="BG15" i="12" a="1"/>
  <c r="BG15" i="12" s="1"/>
  <c r="BY7" i="12" a="1"/>
  <c r="BY7" i="12" s="1"/>
  <c r="BG32" i="12" a="1"/>
  <c r="BG32" i="12" s="1"/>
  <c r="AU23" i="12" a="1"/>
  <c r="AU23" i="12" s="1"/>
  <c r="AZ15" i="12" a="1"/>
  <c r="AZ15" i="12" s="1"/>
  <c r="BJ7" i="12" a="1"/>
  <c r="BJ7" i="12" s="1"/>
  <c r="BS7" i="12" a="1"/>
  <c r="BS7" i="12" s="1"/>
  <c r="BE19" i="12" a="1"/>
  <c r="BE19" i="12" s="1"/>
  <c r="AX7" i="12" a="1"/>
  <c r="AX7" i="12" s="1"/>
  <c r="BH4" i="12" a="1"/>
  <c r="BH4" i="12" s="1"/>
  <c r="K4" i="10" a="1"/>
  <c r="K4" i="10" s="1"/>
  <c r="S4" i="10" a="1"/>
  <c r="S4" i="10" s="1"/>
  <c r="AA4" i="10" a="1"/>
  <c r="AA4" i="10" s="1"/>
  <c r="AI4" i="10" a="1"/>
  <c r="AI4" i="10" s="1"/>
  <c r="AQ4" i="10" a="1"/>
  <c r="AQ4" i="10" s="1"/>
  <c r="AX4" i="10" a="1"/>
  <c r="AX4" i="10" s="1"/>
  <c r="BF4" i="10" a="1"/>
  <c r="BF4" i="10" s="1"/>
  <c r="BN4" i="10" a="1"/>
  <c r="BN4" i="10" s="1"/>
  <c r="BV4" i="10" a="1"/>
  <c r="BV4" i="10" s="1"/>
  <c r="CD4" i="10" a="1"/>
  <c r="CD4" i="10" s="1"/>
  <c r="J11" i="10" a="1"/>
  <c r="J11" i="10" s="1"/>
  <c r="R11" i="10" a="1"/>
  <c r="R11" i="10" s="1"/>
  <c r="Z11" i="10" a="1"/>
  <c r="Z11" i="10" s="1"/>
  <c r="AH11" i="10" a="1"/>
  <c r="AH11" i="10" s="1"/>
  <c r="AP11" i="10" a="1"/>
  <c r="AP11" i="10" s="1"/>
  <c r="AX11" i="10" a="1"/>
  <c r="AX11" i="10" s="1"/>
  <c r="BF11" i="10" a="1"/>
  <c r="BF11" i="10" s="1"/>
  <c r="BN11" i="10" a="1"/>
  <c r="BN11" i="10" s="1"/>
  <c r="BV11" i="10" a="1"/>
  <c r="BV11" i="10" s="1"/>
  <c r="CD11" i="10" a="1"/>
  <c r="CD11" i="10" s="1"/>
  <c r="J15" i="10" a="1"/>
  <c r="J15" i="10" s="1"/>
  <c r="R15" i="10" a="1"/>
  <c r="R15" i="10" s="1"/>
  <c r="Z15" i="10" a="1"/>
  <c r="Z15" i="10" s="1"/>
  <c r="AH15" i="10" a="1"/>
  <c r="AH15" i="10" s="1"/>
  <c r="AP15" i="10" a="1"/>
  <c r="AP15" i="10" s="1"/>
  <c r="AX15" i="10" a="1"/>
  <c r="AX15" i="10" s="1"/>
  <c r="BF15" i="10" a="1"/>
  <c r="BF15" i="10" s="1"/>
  <c r="BN15" i="10" a="1"/>
  <c r="BN15" i="10" s="1"/>
  <c r="BV15" i="10" a="1"/>
  <c r="BV15" i="10" s="1"/>
  <c r="CD15" i="10" a="1"/>
  <c r="CD15" i="10" s="1"/>
  <c r="I19" i="10" a="1"/>
  <c r="I19" i="10" s="1"/>
  <c r="Q19" i="10" a="1"/>
  <c r="Q19" i="10" s="1"/>
  <c r="Y19" i="10" a="1"/>
  <c r="Y19" i="10" s="1"/>
  <c r="AG19" i="10" a="1"/>
  <c r="AG19" i="10" s="1"/>
  <c r="AO19" i="10" a="1"/>
  <c r="AO19" i="10" s="1"/>
  <c r="AW19" i="10" a="1"/>
  <c r="AW19" i="10" s="1"/>
  <c r="BE19" i="10" a="1"/>
  <c r="BE19" i="10" s="1"/>
  <c r="BM19" i="10" a="1"/>
  <c r="BM19" i="10" s="1"/>
  <c r="BU19" i="10" a="1"/>
  <c r="BU19" i="10" s="1"/>
  <c r="CC19" i="10" a="1"/>
  <c r="CC19" i="10" s="1"/>
  <c r="L4" i="10" a="1"/>
  <c r="L4" i="10" s="1"/>
  <c r="T4" i="10" a="1"/>
  <c r="T4" i="10" s="1"/>
  <c r="AB4" i="10" a="1"/>
  <c r="AB4" i="10" s="1"/>
  <c r="AJ4" i="10" a="1"/>
  <c r="AJ4" i="10" s="1"/>
  <c r="AY4" i="10" a="1"/>
  <c r="AY4" i="10" s="1"/>
  <c r="BG4" i="10" a="1"/>
  <c r="BG4" i="10" s="1"/>
  <c r="BO4" i="10" a="1"/>
  <c r="BO4" i="10" s="1"/>
  <c r="BW4" i="10" a="1"/>
  <c r="BW4" i="10" s="1"/>
  <c r="CE4" i="10" a="1"/>
  <c r="CE4" i="10" s="1"/>
  <c r="K11" i="10" a="1"/>
  <c r="K11" i="10" s="1"/>
  <c r="S11" i="10" a="1"/>
  <c r="S11" i="10" s="1"/>
  <c r="AA11" i="10" a="1"/>
  <c r="AA11" i="10" s="1"/>
  <c r="AI11" i="10" a="1"/>
  <c r="AI11" i="10" s="1"/>
  <c r="AQ11" i="10" a="1"/>
  <c r="AQ11" i="10" s="1"/>
  <c r="AY11" i="10" a="1"/>
  <c r="AY11" i="10" s="1"/>
  <c r="BG11" i="10" a="1"/>
  <c r="BG11" i="10" s="1"/>
  <c r="BO11" i="10" a="1"/>
  <c r="BO11" i="10" s="1"/>
  <c r="BW11" i="10" a="1"/>
  <c r="BW11" i="10" s="1"/>
  <c r="CE11" i="10" a="1"/>
  <c r="CE11" i="10" s="1"/>
  <c r="K15" i="10" a="1"/>
  <c r="K15" i="10" s="1"/>
  <c r="S15" i="10" a="1"/>
  <c r="S15" i="10" s="1"/>
  <c r="AA15" i="10" a="1"/>
  <c r="AA15" i="10" s="1"/>
  <c r="AI15" i="10" a="1"/>
  <c r="AI15" i="10" s="1"/>
  <c r="AQ15" i="10" a="1"/>
  <c r="AQ15" i="10" s="1"/>
  <c r="AY15" i="10" a="1"/>
  <c r="AY15" i="10" s="1"/>
  <c r="BG15" i="10" a="1"/>
  <c r="BG15" i="10" s="1"/>
  <c r="BO15" i="10" a="1"/>
  <c r="BO15" i="10" s="1"/>
  <c r="BW15" i="10" a="1"/>
  <c r="BW15" i="10" s="1"/>
  <c r="CE15" i="10" a="1"/>
  <c r="CE15" i="10" s="1"/>
  <c r="J19" i="10" a="1"/>
  <c r="J19" i="10" s="1"/>
  <c r="R19" i="10" a="1"/>
  <c r="R19" i="10" s="1"/>
  <c r="Z19" i="10" a="1"/>
  <c r="Z19" i="10" s="1"/>
  <c r="AH19" i="10" a="1"/>
  <c r="AH19" i="10" s="1"/>
  <c r="AP19" i="10" a="1"/>
  <c r="AP19" i="10" s="1"/>
  <c r="AX19" i="10" a="1"/>
  <c r="AX19" i="10" s="1"/>
  <c r="BF19" i="10" a="1"/>
  <c r="BF19" i="10" s="1"/>
  <c r="BN19" i="10" a="1"/>
  <c r="BN19" i="10" s="1"/>
  <c r="BV19" i="10" a="1"/>
  <c r="BV19" i="10" s="1"/>
  <c r="CD19" i="10" a="1"/>
  <c r="CD19" i="10" s="1"/>
  <c r="J23" i="10" a="1"/>
  <c r="J23" i="10" s="1"/>
  <c r="R23" i="10" a="1"/>
  <c r="R23" i="10" s="1"/>
  <c r="Z23" i="10" a="1"/>
  <c r="Z23" i="10" s="1"/>
  <c r="AH23" i="10" a="1"/>
  <c r="AH23" i="10" s="1"/>
  <c r="AP23" i="10" a="1"/>
  <c r="AP23" i="10" s="1"/>
  <c r="AX23" i="10" a="1"/>
  <c r="AX23" i="10" s="1"/>
  <c r="BF23" i="10" a="1"/>
  <c r="BF23" i="10" s="1"/>
  <c r="BN23" i="10" a="1"/>
  <c r="BN23" i="10" s="1"/>
  <c r="BV23" i="10" a="1"/>
  <c r="BV23" i="10" s="1"/>
  <c r="CD23" i="10" a="1"/>
  <c r="CD23" i="10" s="1"/>
  <c r="E4" i="10" a="1"/>
  <c r="E4" i="10" s="1"/>
  <c r="M4" i="10" a="1"/>
  <c r="M4" i="10" s="1"/>
  <c r="U4" i="10" a="1"/>
  <c r="U4" i="10" s="1"/>
  <c r="AC4" i="10" a="1"/>
  <c r="AC4" i="10" s="1"/>
  <c r="AK4" i="10" a="1"/>
  <c r="AK4" i="10" s="1"/>
  <c r="AS4" i="10" a="1"/>
  <c r="AS4" i="10" s="1"/>
  <c r="AZ4" i="10" a="1"/>
  <c r="AZ4" i="10" s="1"/>
  <c r="BH4" i="10" a="1"/>
  <c r="BH4" i="10" s="1"/>
  <c r="BP4" i="10" a="1"/>
  <c r="BP4" i="10" s="1"/>
  <c r="BX4" i="10" a="1"/>
  <c r="BX4" i="10" s="1"/>
  <c r="L11" i="10" a="1"/>
  <c r="L11" i="10" s="1"/>
  <c r="T11" i="10" a="1"/>
  <c r="T11" i="10" s="1"/>
  <c r="AB11" i="10" a="1"/>
  <c r="AB11" i="10" s="1"/>
  <c r="AJ11" i="10" a="1"/>
  <c r="AJ11" i="10" s="1"/>
  <c r="AZ11" i="10" a="1"/>
  <c r="AZ11" i="10" s="1"/>
  <c r="BH11" i="10" a="1"/>
  <c r="BH11" i="10" s="1"/>
  <c r="BP11" i="10" a="1"/>
  <c r="BP11" i="10" s="1"/>
  <c r="BX11" i="10" a="1"/>
  <c r="BX11" i="10" s="1"/>
  <c r="L15" i="10" a="1"/>
  <c r="L15" i="10" s="1"/>
  <c r="T15" i="10" a="1"/>
  <c r="T15" i="10" s="1"/>
  <c r="AB15" i="10" a="1"/>
  <c r="AB15" i="10" s="1"/>
  <c r="AJ15" i="10" a="1"/>
  <c r="AJ15" i="10" s="1"/>
  <c r="AZ15" i="10" a="1"/>
  <c r="AZ15" i="10" s="1"/>
  <c r="BH15" i="10" a="1"/>
  <c r="BH15" i="10" s="1"/>
  <c r="BP15" i="10" a="1"/>
  <c r="BP15" i="10" s="1"/>
  <c r="BX15" i="10" a="1"/>
  <c r="BX15" i="10" s="1"/>
  <c r="K19" i="10" a="1"/>
  <c r="K19" i="10" s="1"/>
  <c r="S19" i="10" a="1"/>
  <c r="S19" i="10" s="1"/>
  <c r="AA19" i="10" a="1"/>
  <c r="AA19" i="10" s="1"/>
  <c r="AI19" i="10" a="1"/>
  <c r="AI19" i="10" s="1"/>
  <c r="AQ19" i="10" a="1"/>
  <c r="AQ19" i="10" s="1"/>
  <c r="AY19" i="10" a="1"/>
  <c r="AY19" i="10" s="1"/>
  <c r="BG19" i="10" a="1"/>
  <c r="BG19" i="10" s="1"/>
  <c r="BO19" i="10" a="1"/>
  <c r="BO19" i="10" s="1"/>
  <c r="BW19" i="10" a="1"/>
  <c r="BW19" i="10" s="1"/>
  <c r="CE19" i="10" a="1"/>
  <c r="CE19" i="10" s="1"/>
  <c r="F4" i="10" a="1"/>
  <c r="F4" i="10" s="1"/>
  <c r="N4" i="10" a="1"/>
  <c r="N4" i="10" s="1"/>
  <c r="V4" i="10" a="1"/>
  <c r="V4" i="10" s="1"/>
  <c r="AD4" i="10" a="1"/>
  <c r="AD4" i="10" s="1"/>
  <c r="AL4" i="10" a="1"/>
  <c r="AL4" i="10" s="1"/>
  <c r="BA4" i="10" a="1"/>
  <c r="BA4" i="10" s="1"/>
  <c r="BI4" i="10" a="1"/>
  <c r="BI4" i="10" s="1"/>
  <c r="BQ4" i="10" a="1"/>
  <c r="BQ4" i="10" s="1"/>
  <c r="BY4" i="10" a="1"/>
  <c r="BY4" i="10" s="1"/>
  <c r="E11" i="10" a="1"/>
  <c r="E11" i="10" s="1"/>
  <c r="M11" i="10" a="1"/>
  <c r="M11" i="10" s="1"/>
  <c r="U11" i="10" a="1"/>
  <c r="U11" i="10" s="1"/>
  <c r="AC11" i="10" a="1"/>
  <c r="AC11" i="10" s="1"/>
  <c r="AK11" i="10" a="1"/>
  <c r="AK11" i="10" s="1"/>
  <c r="AS11" i="10" a="1"/>
  <c r="AS11" i="10" s="1"/>
  <c r="BA11" i="10" a="1"/>
  <c r="BA11" i="10" s="1"/>
  <c r="BI11" i="10" a="1"/>
  <c r="BI11" i="10" s="1"/>
  <c r="BQ11" i="10" a="1"/>
  <c r="BQ11" i="10" s="1"/>
  <c r="BY11" i="10" a="1"/>
  <c r="BY11" i="10" s="1"/>
  <c r="E15" i="10" a="1"/>
  <c r="E15" i="10" s="1"/>
  <c r="M15" i="10" a="1"/>
  <c r="M15" i="10" s="1"/>
  <c r="U15" i="10" a="1"/>
  <c r="U15" i="10" s="1"/>
  <c r="AC15" i="10" a="1"/>
  <c r="AC15" i="10" s="1"/>
  <c r="AK15" i="10" a="1"/>
  <c r="AK15" i="10" s="1"/>
  <c r="AS15" i="10" a="1"/>
  <c r="AS15" i="10" s="1"/>
  <c r="BA15" i="10" a="1"/>
  <c r="BA15" i="10" s="1"/>
  <c r="BI15" i="10" a="1"/>
  <c r="BI15" i="10" s="1"/>
  <c r="BQ15" i="10" a="1"/>
  <c r="BQ15" i="10" s="1"/>
  <c r="BY15" i="10" a="1"/>
  <c r="BY15" i="10" s="1"/>
  <c r="L19" i="10" a="1"/>
  <c r="L19" i="10" s="1"/>
  <c r="T19" i="10" a="1"/>
  <c r="T19" i="10" s="1"/>
  <c r="AB19" i="10" a="1"/>
  <c r="AB19" i="10" s="1"/>
  <c r="AJ19" i="10" a="1"/>
  <c r="AJ19" i="10" s="1"/>
  <c r="AZ19" i="10" a="1"/>
  <c r="AZ19" i="10" s="1"/>
  <c r="BH19" i="10" a="1"/>
  <c r="BH19" i="10" s="1"/>
  <c r="BP19" i="10" a="1"/>
  <c r="BP19" i="10" s="1"/>
  <c r="BX19" i="10" a="1"/>
  <c r="BX19" i="10" s="1"/>
  <c r="G4" i="10" a="1"/>
  <c r="G4" i="10" s="1"/>
  <c r="O4" i="10" a="1"/>
  <c r="O4" i="10" s="1"/>
  <c r="W4" i="10" a="1"/>
  <c r="W4" i="10" s="1"/>
  <c r="AE4" i="10" a="1"/>
  <c r="AE4" i="10" s="1"/>
  <c r="AM4" i="10" a="1"/>
  <c r="AM4" i="10" s="1"/>
  <c r="AT4" i="10" a="1"/>
  <c r="AT4" i="10" s="1"/>
  <c r="BB4" i="10" a="1"/>
  <c r="BB4" i="10" s="1"/>
  <c r="BJ4" i="10" a="1"/>
  <c r="BJ4" i="10" s="1"/>
  <c r="BR4" i="10" a="1"/>
  <c r="BR4" i="10" s="1"/>
  <c r="BZ4" i="10" a="1"/>
  <c r="BZ4" i="10" s="1"/>
  <c r="F11" i="10" a="1"/>
  <c r="F11" i="10" s="1"/>
  <c r="N11" i="10" a="1"/>
  <c r="N11" i="10" s="1"/>
  <c r="V11" i="10" a="1"/>
  <c r="V11" i="10" s="1"/>
  <c r="AD11" i="10" a="1"/>
  <c r="AD11" i="10" s="1"/>
  <c r="AL11" i="10" a="1"/>
  <c r="AL11" i="10" s="1"/>
  <c r="AT11" i="10" a="1"/>
  <c r="AT11" i="10" s="1"/>
  <c r="BB11" i="10" a="1"/>
  <c r="BB11" i="10" s="1"/>
  <c r="BJ11" i="10" a="1"/>
  <c r="BJ11" i="10" s="1"/>
  <c r="BR11" i="10" a="1"/>
  <c r="BR11" i="10" s="1"/>
  <c r="BZ11" i="10" a="1"/>
  <c r="BZ11" i="10" s="1"/>
  <c r="F15" i="10" a="1"/>
  <c r="F15" i="10" s="1"/>
  <c r="N15" i="10" a="1"/>
  <c r="N15" i="10" s="1"/>
  <c r="V15" i="10" a="1"/>
  <c r="V15" i="10" s="1"/>
  <c r="AD15" i="10" a="1"/>
  <c r="AD15" i="10" s="1"/>
  <c r="AL15" i="10" a="1"/>
  <c r="AL15" i="10" s="1"/>
  <c r="AT15" i="10" a="1"/>
  <c r="AT15" i="10" s="1"/>
  <c r="BB15" i="10" a="1"/>
  <c r="BB15" i="10" s="1"/>
  <c r="BJ15" i="10" a="1"/>
  <c r="BJ15" i="10" s="1"/>
  <c r="BR15" i="10" a="1"/>
  <c r="BR15" i="10" s="1"/>
  <c r="BZ15" i="10" a="1"/>
  <c r="BZ15" i="10" s="1"/>
  <c r="H4" i="10" a="1"/>
  <c r="H4" i="10" s="1"/>
  <c r="P4" i="10" a="1"/>
  <c r="P4" i="10" s="1"/>
  <c r="AF4" i="10" a="1"/>
  <c r="AF4" i="10" s="1"/>
  <c r="AN4" i="10" a="1"/>
  <c r="AN4" i="10" s="1"/>
  <c r="AU4" i="10" a="1"/>
  <c r="AU4" i="10" s="1"/>
  <c r="BC4" i="10" a="1"/>
  <c r="BC4" i="10" s="1"/>
  <c r="BK4" i="10" a="1"/>
  <c r="BK4" i="10" s="1"/>
  <c r="BS4" i="10" a="1"/>
  <c r="BS4" i="10" s="1"/>
  <c r="CA4" i="10" a="1"/>
  <c r="CA4" i="10" s="1"/>
  <c r="G11" i="10" a="1"/>
  <c r="G11" i="10" s="1"/>
  <c r="O11" i="10" a="1"/>
  <c r="O11" i="10" s="1"/>
  <c r="W11" i="10" a="1"/>
  <c r="W11" i="10" s="1"/>
  <c r="AE11" i="10" a="1"/>
  <c r="AE11" i="10" s="1"/>
  <c r="AM11" i="10" a="1"/>
  <c r="AM11" i="10" s="1"/>
  <c r="AU11" i="10" a="1"/>
  <c r="AU11" i="10" s="1"/>
  <c r="BC11" i="10" a="1"/>
  <c r="BC11" i="10" s="1"/>
  <c r="BK11" i="10" a="1"/>
  <c r="BK11" i="10" s="1"/>
  <c r="BS11" i="10" a="1"/>
  <c r="BS11" i="10" s="1"/>
  <c r="CA11" i="10" a="1"/>
  <c r="CA11" i="10" s="1"/>
  <c r="G15" i="10" a="1"/>
  <c r="G15" i="10" s="1"/>
  <c r="O15" i="10" a="1"/>
  <c r="O15" i="10" s="1"/>
  <c r="W15" i="10" a="1"/>
  <c r="W15" i="10" s="1"/>
  <c r="AE15" i="10" a="1"/>
  <c r="AE15" i="10" s="1"/>
  <c r="AM15" i="10" a="1"/>
  <c r="AM15" i="10" s="1"/>
  <c r="AU15" i="10" a="1"/>
  <c r="AU15" i="10" s="1"/>
  <c r="BC15" i="10" a="1"/>
  <c r="BC15" i="10" s="1"/>
  <c r="J4" i="10" a="1"/>
  <c r="J4" i="10" s="1"/>
  <c r="R4" i="10" a="1"/>
  <c r="R4" i="10" s="1"/>
  <c r="Z4" i="10" a="1"/>
  <c r="Z4" i="10" s="1"/>
  <c r="AH4" i="10" a="1"/>
  <c r="AH4" i="10" s="1"/>
  <c r="AP4" i="10" a="1"/>
  <c r="AP4" i="10" s="1"/>
  <c r="AW4" i="10" a="1"/>
  <c r="AW4" i="10" s="1"/>
  <c r="BE4" i="10" a="1"/>
  <c r="BE4" i="10" s="1"/>
  <c r="BM4" i="10" a="1"/>
  <c r="BM4" i="10" s="1"/>
  <c r="BU4" i="10" a="1"/>
  <c r="BU4" i="10" s="1"/>
  <c r="CC4" i="10" a="1"/>
  <c r="CC4" i="10" s="1"/>
  <c r="I11" i="10" a="1"/>
  <c r="I11" i="10" s="1"/>
  <c r="Q11" i="10" a="1"/>
  <c r="Q11" i="10" s="1"/>
  <c r="Y11" i="10" a="1"/>
  <c r="Y11" i="10" s="1"/>
  <c r="AG11" i="10" a="1"/>
  <c r="AG11" i="10" s="1"/>
  <c r="AO11" i="10" a="1"/>
  <c r="AO11" i="10" s="1"/>
  <c r="AW11" i="10" a="1"/>
  <c r="AW11" i="10" s="1"/>
  <c r="BE11" i="10" a="1"/>
  <c r="BE11" i="10" s="1"/>
  <c r="BM11" i="10" a="1"/>
  <c r="BM11" i="10" s="1"/>
  <c r="BU11" i="10" a="1"/>
  <c r="BU11" i="10" s="1"/>
  <c r="CC11" i="10" a="1"/>
  <c r="CC11" i="10" s="1"/>
  <c r="I15" i="10" a="1"/>
  <c r="I15" i="10" s="1"/>
  <c r="Q15" i="10" a="1"/>
  <c r="Q15" i="10" s="1"/>
  <c r="Y15" i="10" a="1"/>
  <c r="Y15" i="10" s="1"/>
  <c r="AG15" i="10" a="1"/>
  <c r="AG15" i="10" s="1"/>
  <c r="AO15" i="10" a="1"/>
  <c r="AO15" i="10" s="1"/>
  <c r="AW15" i="10" a="1"/>
  <c r="AW15" i="10" s="1"/>
  <c r="BE15" i="10" a="1"/>
  <c r="BE15" i="10" s="1"/>
  <c r="BM15" i="10" a="1"/>
  <c r="BM15" i="10" s="1"/>
  <c r="BU15" i="10" a="1"/>
  <c r="BU15" i="10" s="1"/>
  <c r="CC15" i="10" a="1"/>
  <c r="CC15" i="10" s="1"/>
  <c r="H19" i="10" a="1"/>
  <c r="H19" i="10" s="1"/>
  <c r="P19" i="10" a="1"/>
  <c r="P19" i="10" s="1"/>
  <c r="AF19" i="10" a="1"/>
  <c r="AF19" i="10" s="1"/>
  <c r="AN19" i="10" a="1"/>
  <c r="AN19" i="10" s="1"/>
  <c r="AV19" i="10" a="1"/>
  <c r="AV19" i="10" s="1"/>
  <c r="BD19" i="10" a="1"/>
  <c r="BD19" i="10" s="1"/>
  <c r="BT19" i="10" a="1"/>
  <c r="BT19" i="10" s="1"/>
  <c r="CB19" i="10" a="1"/>
  <c r="CB19" i="10" s="1"/>
  <c r="AV4" i="10" a="1"/>
  <c r="AV4" i="10" s="1"/>
  <c r="AV11" i="10" a="1"/>
  <c r="AV11" i="10" s="1"/>
  <c r="AV15" i="10" a="1"/>
  <c r="AV15" i="10" s="1"/>
  <c r="N19" i="10" a="1"/>
  <c r="N19" i="10" s="1"/>
  <c r="AK19" i="10" a="1"/>
  <c r="AK19" i="10" s="1"/>
  <c r="BC19" i="10" a="1"/>
  <c r="BC19" i="10" s="1"/>
  <c r="BZ19" i="10" a="1"/>
  <c r="BZ19" i="10" s="1"/>
  <c r="G23" i="10" a="1"/>
  <c r="G23" i="10" s="1"/>
  <c r="P23" i="10" a="1"/>
  <c r="P23" i="10" s="1"/>
  <c r="Y23" i="10" a="1"/>
  <c r="Y23" i="10" s="1"/>
  <c r="AI23" i="10" a="1"/>
  <c r="AI23" i="10" s="1"/>
  <c r="BA23" i="10" a="1"/>
  <c r="BA23" i="10" s="1"/>
  <c r="BJ23" i="10" a="1"/>
  <c r="BJ23" i="10" s="1"/>
  <c r="BS23" i="10" a="1"/>
  <c r="BS23" i="10" s="1"/>
  <c r="CB23" i="10" a="1"/>
  <c r="CB23" i="10" s="1"/>
  <c r="G28" i="10" a="1"/>
  <c r="G28" i="10" s="1"/>
  <c r="O28" i="10" a="1"/>
  <c r="O28" i="10" s="1"/>
  <c r="W28" i="10" a="1"/>
  <c r="W28" i="10" s="1"/>
  <c r="AE28" i="10" a="1"/>
  <c r="AE28" i="10" s="1"/>
  <c r="AM28" i="10" a="1"/>
  <c r="AM28" i="10" s="1"/>
  <c r="AU28" i="10" a="1"/>
  <c r="AU28" i="10" s="1"/>
  <c r="BC28" i="10" a="1"/>
  <c r="BC28" i="10" s="1"/>
  <c r="BK28" i="10" a="1"/>
  <c r="BK28" i="10" s="1"/>
  <c r="BS28" i="10" a="1"/>
  <c r="BS28" i="10" s="1"/>
  <c r="CA28" i="10" a="1"/>
  <c r="CA28" i="10" s="1"/>
  <c r="G32" i="10" a="1"/>
  <c r="G32" i="10" s="1"/>
  <c r="O32" i="10" a="1"/>
  <c r="O32" i="10" s="1"/>
  <c r="W32" i="10" a="1"/>
  <c r="W32" i="10" s="1"/>
  <c r="AE32" i="10" a="1"/>
  <c r="AE32" i="10" s="1"/>
  <c r="AM32" i="10" a="1"/>
  <c r="AM32" i="10" s="1"/>
  <c r="AU32" i="10" a="1"/>
  <c r="AU32" i="10" s="1"/>
  <c r="BC32" i="10" a="1"/>
  <c r="BC32" i="10" s="1"/>
  <c r="BK32" i="10" a="1"/>
  <c r="BK32" i="10" s="1"/>
  <c r="BS32" i="10" a="1"/>
  <c r="BS32" i="10" s="1"/>
  <c r="CA32" i="10" a="1"/>
  <c r="CA32" i="10" s="1"/>
  <c r="BD4" i="10" a="1"/>
  <c r="BD4" i="10" s="1"/>
  <c r="BD11" i="10" a="1"/>
  <c r="BD11" i="10" s="1"/>
  <c r="BD15" i="10" a="1"/>
  <c r="BD15" i="10" s="1"/>
  <c r="O19" i="10" a="1"/>
  <c r="O19" i="10" s="1"/>
  <c r="AL19" i="10" a="1"/>
  <c r="AL19" i="10" s="1"/>
  <c r="BI19" i="10" a="1"/>
  <c r="BI19" i="10" s="1"/>
  <c r="CA19" i="10" a="1"/>
  <c r="CA19" i="10" s="1"/>
  <c r="H23" i="10" a="1"/>
  <c r="H23" i="10" s="1"/>
  <c r="Q23" i="10" a="1"/>
  <c r="Q23" i="10" s="1"/>
  <c r="AA23" i="10" a="1"/>
  <c r="AA23" i="10" s="1"/>
  <c r="AJ23" i="10" a="1"/>
  <c r="AJ23" i="10" s="1"/>
  <c r="AS23" i="10" a="1"/>
  <c r="AS23" i="10" s="1"/>
  <c r="BB23" i="10" a="1"/>
  <c r="BB23" i="10" s="1"/>
  <c r="BK23" i="10" a="1"/>
  <c r="BK23" i="10" s="1"/>
  <c r="BT23" i="10" a="1"/>
  <c r="BT23" i="10" s="1"/>
  <c r="CC23" i="10" a="1"/>
  <c r="CC23" i="10" s="1"/>
  <c r="H28" i="10" a="1"/>
  <c r="H28" i="10" s="1"/>
  <c r="P28" i="10" a="1"/>
  <c r="P28" i="10" s="1"/>
  <c r="AF28" i="10" a="1"/>
  <c r="AF28" i="10" s="1"/>
  <c r="AN28" i="10" a="1"/>
  <c r="AN28" i="10" s="1"/>
  <c r="AV28" i="10" a="1"/>
  <c r="AV28" i="10" s="1"/>
  <c r="BD28" i="10" a="1"/>
  <c r="BD28" i="10" s="1"/>
  <c r="BT28" i="10" a="1"/>
  <c r="BT28" i="10" s="1"/>
  <c r="CB28" i="10" a="1"/>
  <c r="CB28" i="10" s="1"/>
  <c r="H32" i="10" a="1"/>
  <c r="H32" i="10" s="1"/>
  <c r="P32" i="10" a="1"/>
  <c r="P32" i="10" s="1"/>
  <c r="AF32" i="10" a="1"/>
  <c r="AF32" i="10" s="1"/>
  <c r="AN32" i="10" a="1"/>
  <c r="AN32" i="10" s="1"/>
  <c r="AV32" i="10" a="1"/>
  <c r="AV32" i="10" s="1"/>
  <c r="BD32" i="10" a="1"/>
  <c r="BD32" i="10" s="1"/>
  <c r="BT32" i="10" a="1"/>
  <c r="BT32" i="10" s="1"/>
  <c r="CB32" i="10" a="1"/>
  <c r="CB32" i="10" s="1"/>
  <c r="H36" i="10" a="1"/>
  <c r="H36" i="10" s="1"/>
  <c r="P36" i="10" a="1"/>
  <c r="P36" i="10" s="1"/>
  <c r="AF36" i="10" a="1"/>
  <c r="AF36" i="10" s="1"/>
  <c r="AN36" i="10" a="1"/>
  <c r="AN36" i="10" s="1"/>
  <c r="AV36" i="10" a="1"/>
  <c r="AV36" i="10" s="1"/>
  <c r="BD36" i="10" a="1"/>
  <c r="BD36" i="10" s="1"/>
  <c r="BT36" i="10" a="1"/>
  <c r="BT36" i="10" s="1"/>
  <c r="CB36" i="10" a="1"/>
  <c r="CB36" i="10" s="1"/>
  <c r="BK15" i="10" a="1"/>
  <c r="BK15" i="10" s="1"/>
  <c r="U19" i="10" a="1"/>
  <c r="U19" i="10" s="1"/>
  <c r="AM19" i="10" a="1"/>
  <c r="AM19" i="10" s="1"/>
  <c r="BJ19" i="10" a="1"/>
  <c r="BJ19" i="10" s="1"/>
  <c r="I23" i="10" a="1"/>
  <c r="I23" i="10" s="1"/>
  <c r="S23" i="10" a="1"/>
  <c r="S23" i="10" s="1"/>
  <c r="AB23" i="10" a="1"/>
  <c r="AB23" i="10" s="1"/>
  <c r="AK23" i="10" a="1"/>
  <c r="AK23" i="10" s="1"/>
  <c r="AT23" i="10" a="1"/>
  <c r="AT23" i="10" s="1"/>
  <c r="BC23" i="10" a="1"/>
  <c r="BC23" i="10" s="1"/>
  <c r="BU23" i="10" a="1"/>
  <c r="BU23" i="10" s="1"/>
  <c r="CE23" i="10" a="1"/>
  <c r="CE23" i="10" s="1"/>
  <c r="I28" i="10" a="1"/>
  <c r="I28" i="10" s="1"/>
  <c r="Q28" i="10" a="1"/>
  <c r="Q28" i="10" s="1"/>
  <c r="Y28" i="10" a="1"/>
  <c r="Y28" i="10" s="1"/>
  <c r="AG28" i="10" a="1"/>
  <c r="AG28" i="10" s="1"/>
  <c r="AO28" i="10" a="1"/>
  <c r="AO28" i="10" s="1"/>
  <c r="AW28" i="10" a="1"/>
  <c r="AW28" i="10" s="1"/>
  <c r="BE28" i="10" a="1"/>
  <c r="BE28" i="10" s="1"/>
  <c r="I4" i="10" a="1"/>
  <c r="I4" i="10" s="1"/>
  <c r="BT4" i="10" a="1"/>
  <c r="BT4" i="10" s="1"/>
  <c r="H11" i="10" a="1"/>
  <c r="H11" i="10" s="1"/>
  <c r="BT11" i="10" a="1"/>
  <c r="BT11" i="10" s="1"/>
  <c r="H15" i="10" a="1"/>
  <c r="H15" i="10" s="1"/>
  <c r="V19" i="10" a="1"/>
  <c r="V19" i="10" s="1"/>
  <c r="AS19" i="10" a="1"/>
  <c r="AS19" i="10" s="1"/>
  <c r="BK19" i="10" a="1"/>
  <c r="BK19" i="10" s="1"/>
  <c r="K23" i="10" a="1"/>
  <c r="K23" i="10" s="1"/>
  <c r="T23" i="10" a="1"/>
  <c r="T23" i="10" s="1"/>
  <c r="AC23" i="10" a="1"/>
  <c r="AC23" i="10" s="1"/>
  <c r="AL23" i="10" a="1"/>
  <c r="AL23" i="10" s="1"/>
  <c r="AU23" i="10" a="1"/>
  <c r="AU23" i="10" s="1"/>
  <c r="BD23" i="10" a="1"/>
  <c r="BD23" i="10" s="1"/>
  <c r="BM23" i="10" a="1"/>
  <c r="BM23" i="10" s="1"/>
  <c r="BW23" i="10" a="1"/>
  <c r="BW23" i="10" s="1"/>
  <c r="J28" i="10" a="1"/>
  <c r="J28" i="10" s="1"/>
  <c r="R28" i="10" a="1"/>
  <c r="R28" i="10" s="1"/>
  <c r="Z28" i="10" a="1"/>
  <c r="Z28" i="10" s="1"/>
  <c r="AH28" i="10" a="1"/>
  <c r="AH28" i="10" s="1"/>
  <c r="AP28" i="10" a="1"/>
  <c r="AP28" i="10" s="1"/>
  <c r="AX28" i="10" a="1"/>
  <c r="AX28" i="10" s="1"/>
  <c r="BF28" i="10" a="1"/>
  <c r="BF28" i="10" s="1"/>
  <c r="BN28" i="10" a="1"/>
  <c r="BN28" i="10" s="1"/>
  <c r="BV28" i="10" a="1"/>
  <c r="BV28" i="10" s="1"/>
  <c r="CD28" i="10" a="1"/>
  <c r="CD28" i="10" s="1"/>
  <c r="J32" i="10" a="1"/>
  <c r="J32" i="10" s="1"/>
  <c r="R32" i="10" a="1"/>
  <c r="R32" i="10" s="1"/>
  <c r="Z32" i="10" a="1"/>
  <c r="Z32" i="10" s="1"/>
  <c r="AH32" i="10" a="1"/>
  <c r="AH32" i="10" s="1"/>
  <c r="AP32" i="10" a="1"/>
  <c r="AP32" i="10" s="1"/>
  <c r="AX32" i="10" a="1"/>
  <c r="AX32" i="10" s="1"/>
  <c r="BF32" i="10" a="1"/>
  <c r="BF32" i="10" s="1"/>
  <c r="BN32" i="10" a="1"/>
  <c r="BN32" i="10" s="1"/>
  <c r="BV32" i="10" a="1"/>
  <c r="BV32" i="10" s="1"/>
  <c r="CD32" i="10" a="1"/>
  <c r="CD32" i="10" s="1"/>
  <c r="Q4" i="10" a="1"/>
  <c r="Q4" i="10" s="1"/>
  <c r="CB4" i="10" a="1"/>
  <c r="CB4" i="10" s="1"/>
  <c r="P11" i="10" a="1"/>
  <c r="P11" i="10" s="1"/>
  <c r="CB11" i="10" a="1"/>
  <c r="CB11" i="10" s="1"/>
  <c r="P15" i="10" a="1"/>
  <c r="P15" i="10" s="1"/>
  <c r="BS15" i="10" a="1"/>
  <c r="BS15" i="10" s="1"/>
  <c r="E19" i="10" a="1"/>
  <c r="E19" i="10" s="1"/>
  <c r="W19" i="10" a="1"/>
  <c r="W19" i="10" s="1"/>
  <c r="AT19" i="10" a="1"/>
  <c r="AT19" i="10" s="1"/>
  <c r="BQ19" i="10" a="1"/>
  <c r="BQ19" i="10" s="1"/>
  <c r="L23" i="10" a="1"/>
  <c r="L23" i="10" s="1"/>
  <c r="U23" i="10" a="1"/>
  <c r="U23" i="10" s="1"/>
  <c r="AD23" i="10" a="1"/>
  <c r="AD23" i="10" s="1"/>
  <c r="AM23" i="10" a="1"/>
  <c r="AM23" i="10" s="1"/>
  <c r="AV23" i="10" a="1"/>
  <c r="AV23" i="10" s="1"/>
  <c r="BE23" i="10" a="1"/>
  <c r="BE23" i="10" s="1"/>
  <c r="BO23" i="10" a="1"/>
  <c r="BO23" i="10" s="1"/>
  <c r="BX23" i="10" a="1"/>
  <c r="BX23" i="10" s="1"/>
  <c r="K28" i="10" a="1"/>
  <c r="K28" i="10" s="1"/>
  <c r="S28" i="10" a="1"/>
  <c r="S28" i="10" s="1"/>
  <c r="AA28" i="10" a="1"/>
  <c r="AA28" i="10" s="1"/>
  <c r="AI28" i="10" a="1"/>
  <c r="AI28" i="10" s="1"/>
  <c r="AQ28" i="10" a="1"/>
  <c r="AQ28" i="10" s="1"/>
  <c r="AY28" i="10" a="1"/>
  <c r="AY28" i="10" s="1"/>
  <c r="BG28" i="10" a="1"/>
  <c r="BG28" i="10" s="1"/>
  <c r="BO28" i="10" a="1"/>
  <c r="BO28" i="10" s="1"/>
  <c r="BW28" i="10" a="1"/>
  <c r="BW28" i="10" s="1"/>
  <c r="CE28" i="10" a="1"/>
  <c r="CE28" i="10" s="1"/>
  <c r="K32" i="10" a="1"/>
  <c r="K32" i="10" s="1"/>
  <c r="S32" i="10" a="1"/>
  <c r="S32" i="10" s="1"/>
  <c r="AA32" i="10" a="1"/>
  <c r="AA32" i="10" s="1"/>
  <c r="AI32" i="10" a="1"/>
  <c r="AI32" i="10" s="1"/>
  <c r="AQ32" i="10" a="1"/>
  <c r="AQ32" i="10" s="1"/>
  <c r="AY32" i="10" a="1"/>
  <c r="AY32" i="10" s="1"/>
  <c r="BG32" i="10" a="1"/>
  <c r="BG32" i="10" s="1"/>
  <c r="BO32" i="10" a="1"/>
  <c r="BO32" i="10" s="1"/>
  <c r="BW32" i="10" a="1"/>
  <c r="BW32" i="10" s="1"/>
  <c r="CE32" i="10" a="1"/>
  <c r="CE32" i="10" s="1"/>
  <c r="Y4" i="10" a="1"/>
  <c r="Y4" i="10" s="1"/>
  <c r="BT15" i="10" a="1"/>
  <c r="BT15" i="10" s="1"/>
  <c r="F19" i="10" a="1"/>
  <c r="F19" i="10" s="1"/>
  <c r="AC19" i="10" a="1"/>
  <c r="AC19" i="10" s="1"/>
  <c r="AU19" i="10" a="1"/>
  <c r="AU19" i="10" s="1"/>
  <c r="BR19" i="10" a="1"/>
  <c r="BR19" i="10" s="1"/>
  <c r="M23" i="10" a="1"/>
  <c r="M23" i="10" s="1"/>
  <c r="V23" i="10" a="1"/>
  <c r="V23" i="10" s="1"/>
  <c r="AE23" i="10" a="1"/>
  <c r="AE23" i="10" s="1"/>
  <c r="AN23" i="10" a="1"/>
  <c r="AN23" i="10" s="1"/>
  <c r="AW23" i="10" a="1"/>
  <c r="AW23" i="10" s="1"/>
  <c r="BG23" i="10" a="1"/>
  <c r="BG23" i="10" s="1"/>
  <c r="BP23" i="10" a="1"/>
  <c r="BP23" i="10" s="1"/>
  <c r="BY23" i="10" a="1"/>
  <c r="BY23" i="10" s="1"/>
  <c r="L28" i="10" a="1"/>
  <c r="L28" i="10" s="1"/>
  <c r="T28" i="10" a="1"/>
  <c r="T28" i="10" s="1"/>
  <c r="AB28" i="10" a="1"/>
  <c r="AB28" i="10" s="1"/>
  <c r="AJ28" i="10" a="1"/>
  <c r="AJ28" i="10" s="1"/>
  <c r="AZ28" i="10" a="1"/>
  <c r="AZ28" i="10" s="1"/>
  <c r="BH28" i="10" a="1"/>
  <c r="BH28" i="10" s="1"/>
  <c r="BP28" i="10" a="1"/>
  <c r="BP28" i="10" s="1"/>
  <c r="BX28" i="10" a="1"/>
  <c r="BX28" i="10" s="1"/>
  <c r="L32" i="10" a="1"/>
  <c r="L32" i="10" s="1"/>
  <c r="T32" i="10" a="1"/>
  <c r="T32" i="10" s="1"/>
  <c r="AB32" i="10" a="1"/>
  <c r="AB32" i="10" s="1"/>
  <c r="AJ32" i="10" a="1"/>
  <c r="AJ32" i="10" s="1"/>
  <c r="AZ32" i="10" a="1"/>
  <c r="AZ32" i="10" s="1"/>
  <c r="BH32" i="10" a="1"/>
  <c r="BH32" i="10" s="1"/>
  <c r="BP32" i="10" a="1"/>
  <c r="BP32" i="10" s="1"/>
  <c r="BX32" i="10" a="1"/>
  <c r="BX32" i="10" s="1"/>
  <c r="L36" i="10" a="1"/>
  <c r="L36" i="10" s="1"/>
  <c r="T36" i="10" a="1"/>
  <c r="T36" i="10" s="1"/>
  <c r="AB36" i="10" a="1"/>
  <c r="AB36" i="10" s="1"/>
  <c r="AJ36" i="10" a="1"/>
  <c r="AJ36" i="10" s="1"/>
  <c r="AZ36" i="10" a="1"/>
  <c r="AZ36" i="10" s="1"/>
  <c r="BH36" i="10" a="1"/>
  <c r="BH36" i="10" s="1"/>
  <c r="BP36" i="10" a="1"/>
  <c r="BP36" i="10" s="1"/>
  <c r="BX36" i="10" a="1"/>
  <c r="BX36" i="10" s="1"/>
  <c r="AO4" i="10" a="1"/>
  <c r="AO4" i="10" s="1"/>
  <c r="AN11" i="10" a="1"/>
  <c r="AN11" i="10" s="1"/>
  <c r="AN15" i="10" a="1"/>
  <c r="AN15" i="10" s="1"/>
  <c r="CB15" i="10" a="1"/>
  <c r="CB15" i="10" s="1"/>
  <c r="M19" i="10" a="1"/>
  <c r="M19" i="10" s="1"/>
  <c r="AE19" i="10" a="1"/>
  <c r="AE19" i="10" s="1"/>
  <c r="BB19" i="10" a="1"/>
  <c r="BB19" i="10" s="1"/>
  <c r="BY19" i="10" a="1"/>
  <c r="BY19" i="10" s="1"/>
  <c r="F23" i="10" a="1"/>
  <c r="F23" i="10" s="1"/>
  <c r="O23" i="10" a="1"/>
  <c r="O23" i="10" s="1"/>
  <c r="AG23" i="10" a="1"/>
  <c r="AG23" i="10" s="1"/>
  <c r="AQ23" i="10" a="1"/>
  <c r="AQ23" i="10" s="1"/>
  <c r="AZ23" i="10" a="1"/>
  <c r="AZ23" i="10" s="1"/>
  <c r="BI23" i="10" a="1"/>
  <c r="BI23" i="10" s="1"/>
  <c r="BR23" i="10" a="1"/>
  <c r="BR23" i="10" s="1"/>
  <c r="CA23" i="10" a="1"/>
  <c r="CA23" i="10" s="1"/>
  <c r="F28" i="10" a="1"/>
  <c r="F28" i="10" s="1"/>
  <c r="N28" i="10" a="1"/>
  <c r="N28" i="10" s="1"/>
  <c r="V28" i="10" a="1"/>
  <c r="V28" i="10" s="1"/>
  <c r="AD28" i="10" a="1"/>
  <c r="AD28" i="10" s="1"/>
  <c r="AL28" i="10" a="1"/>
  <c r="AL28" i="10" s="1"/>
  <c r="AT28" i="10" a="1"/>
  <c r="AT28" i="10" s="1"/>
  <c r="BB28" i="10" a="1"/>
  <c r="BB28" i="10" s="1"/>
  <c r="BJ28" i="10" a="1"/>
  <c r="BJ28" i="10" s="1"/>
  <c r="BR28" i="10" a="1"/>
  <c r="BR28" i="10" s="1"/>
  <c r="BZ28" i="10" a="1"/>
  <c r="BZ28" i="10" s="1"/>
  <c r="F32" i="10" a="1"/>
  <c r="F32" i="10" s="1"/>
  <c r="N32" i="10" a="1"/>
  <c r="N32" i="10" s="1"/>
  <c r="V32" i="10" a="1"/>
  <c r="V32" i="10" s="1"/>
  <c r="AD32" i="10" a="1"/>
  <c r="AD32" i="10" s="1"/>
  <c r="AL32" i="10" a="1"/>
  <c r="AL32" i="10" s="1"/>
  <c r="AT32" i="10" a="1"/>
  <c r="AT32" i="10" s="1"/>
  <c r="BB32" i="10" a="1"/>
  <c r="BB32" i="10" s="1"/>
  <c r="BJ32" i="10" a="1"/>
  <c r="BJ32" i="10" s="1"/>
  <c r="BR32" i="10" a="1"/>
  <c r="BR32" i="10" s="1"/>
  <c r="BZ32" i="10" a="1"/>
  <c r="BZ32" i="10" s="1"/>
  <c r="F36" i="10" a="1"/>
  <c r="F36" i="10" s="1"/>
  <c r="N36" i="10" a="1"/>
  <c r="N36" i="10" s="1"/>
  <c r="V36" i="10" a="1"/>
  <c r="V36" i="10" s="1"/>
  <c r="AD36" i="10" a="1"/>
  <c r="AD36" i="10" s="1"/>
  <c r="AL36" i="10" a="1"/>
  <c r="AL36" i="10" s="1"/>
  <c r="AT36" i="10" a="1"/>
  <c r="AT36" i="10" s="1"/>
  <c r="BB36" i="10" a="1"/>
  <c r="BB36" i="10" s="1"/>
  <c r="BJ36" i="10" a="1"/>
  <c r="BJ36" i="10" s="1"/>
  <c r="BR36" i="10" a="1"/>
  <c r="BR36" i="10" s="1"/>
  <c r="BZ36" i="10" a="1"/>
  <c r="BZ36" i="10" s="1"/>
  <c r="BS19" i="10" a="1"/>
  <c r="BS19" i="10" s="1"/>
  <c r="BH23" i="10" a="1"/>
  <c r="BH23" i="10" s="1"/>
  <c r="E28" i="10" a="1"/>
  <c r="E28" i="10" s="1"/>
  <c r="BM28" i="10" a="1"/>
  <c r="BM28" i="10" s="1"/>
  <c r="AG32" i="10" a="1"/>
  <c r="AG32" i="10" s="1"/>
  <c r="BM32" i="10" a="1"/>
  <c r="BM32" i="10" s="1"/>
  <c r="I36" i="10" a="1"/>
  <c r="I36" i="10" s="1"/>
  <c r="U36" i="10" a="1"/>
  <c r="U36" i="10" s="1"/>
  <c r="AH36" i="10" a="1"/>
  <c r="AH36" i="10" s="1"/>
  <c r="AU36" i="10" a="1"/>
  <c r="AU36" i="10" s="1"/>
  <c r="BG36" i="10" a="1"/>
  <c r="BG36" i="10" s="1"/>
  <c r="BU36" i="10" a="1"/>
  <c r="BU36" i="10" s="1"/>
  <c r="H40" i="10" a="1"/>
  <c r="H40" i="10" s="1"/>
  <c r="P40" i="10" a="1"/>
  <c r="P40" i="10" s="1"/>
  <c r="AF40" i="10" a="1"/>
  <c r="AF40" i="10" s="1"/>
  <c r="AN40" i="10" a="1"/>
  <c r="AN40" i="10" s="1"/>
  <c r="AV40" i="10" a="1"/>
  <c r="AV40" i="10" s="1"/>
  <c r="BD40" i="10" a="1"/>
  <c r="BD40" i="10" s="1"/>
  <c r="BT40" i="10" a="1"/>
  <c r="BT40" i="10" s="1"/>
  <c r="CB40" i="10" a="1"/>
  <c r="CB40" i="10" s="1"/>
  <c r="H45" i="10" a="1"/>
  <c r="H45" i="10" s="1"/>
  <c r="P45" i="10" a="1"/>
  <c r="P45" i="10" s="1"/>
  <c r="AF45" i="10" a="1"/>
  <c r="AF45" i="10" s="1"/>
  <c r="AN45" i="10" a="1"/>
  <c r="AN45" i="10" s="1"/>
  <c r="AV45" i="10" a="1"/>
  <c r="AV45" i="10" s="1"/>
  <c r="BD45" i="10" a="1"/>
  <c r="BD45" i="10" s="1"/>
  <c r="BT45" i="10" a="1"/>
  <c r="BT45" i="10" s="1"/>
  <c r="CB45" i="10" a="1"/>
  <c r="CB45" i="10" s="1"/>
  <c r="BQ23" i="10" a="1"/>
  <c r="BQ23" i="10" s="1"/>
  <c r="M28" i="10" a="1"/>
  <c r="M28" i="10" s="1"/>
  <c r="BQ28" i="10" a="1"/>
  <c r="BQ28" i="10" s="1"/>
  <c r="E32" i="10" a="1"/>
  <c r="E32" i="10" s="1"/>
  <c r="AK32" i="10" a="1"/>
  <c r="AK32" i="10" s="1"/>
  <c r="BQ32" i="10" a="1"/>
  <c r="BQ32" i="10" s="1"/>
  <c r="J36" i="10" a="1"/>
  <c r="J36" i="10" s="1"/>
  <c r="W36" i="10" a="1"/>
  <c r="W36" i="10" s="1"/>
  <c r="AI36" i="10" a="1"/>
  <c r="AI36" i="10" s="1"/>
  <c r="AW36" i="10" a="1"/>
  <c r="AW36" i="10" s="1"/>
  <c r="BI36" i="10" a="1"/>
  <c r="BI36" i="10" s="1"/>
  <c r="BV36" i="10" a="1"/>
  <c r="BV36" i="10" s="1"/>
  <c r="I40" i="10" a="1"/>
  <c r="I40" i="10" s="1"/>
  <c r="Q40" i="10" a="1"/>
  <c r="Q40" i="10" s="1"/>
  <c r="Y40" i="10" a="1"/>
  <c r="Y40" i="10" s="1"/>
  <c r="AG40" i="10" a="1"/>
  <c r="AG40" i="10" s="1"/>
  <c r="AO40" i="10" a="1"/>
  <c r="AO40" i="10" s="1"/>
  <c r="AW40" i="10" a="1"/>
  <c r="AW40" i="10" s="1"/>
  <c r="BE40" i="10" a="1"/>
  <c r="BE40" i="10" s="1"/>
  <c r="BM40" i="10" a="1"/>
  <c r="BM40" i="10" s="1"/>
  <c r="BU40" i="10" a="1"/>
  <c r="BU40" i="10" s="1"/>
  <c r="CC40" i="10" a="1"/>
  <c r="CC40" i="10" s="1"/>
  <c r="I45" i="10" a="1"/>
  <c r="I45" i="10" s="1"/>
  <c r="Q45" i="10" a="1"/>
  <c r="Q45" i="10" s="1"/>
  <c r="Y45" i="10" a="1"/>
  <c r="Y45" i="10" s="1"/>
  <c r="AG45" i="10" a="1"/>
  <c r="AG45" i="10" s="1"/>
  <c r="AO45" i="10" a="1"/>
  <c r="AO45" i="10" s="1"/>
  <c r="AW45" i="10" a="1"/>
  <c r="AW45" i="10" s="1"/>
  <c r="BE45" i="10" a="1"/>
  <c r="BE45" i="10" s="1"/>
  <c r="BM45" i="10" a="1"/>
  <c r="BM45" i="10" s="1"/>
  <c r="BU45" i="10" a="1"/>
  <c r="BU45" i="10" s="1"/>
  <c r="CC45" i="10" a="1"/>
  <c r="CC45" i="10" s="1"/>
  <c r="I49" i="10" a="1"/>
  <c r="I49" i="10" s="1"/>
  <c r="Q49" i="10" a="1"/>
  <c r="Q49" i="10" s="1"/>
  <c r="Y49" i="10" a="1"/>
  <c r="Y49" i="10" s="1"/>
  <c r="AG49" i="10" a="1"/>
  <c r="AG49" i="10" s="1"/>
  <c r="AO49" i="10" a="1"/>
  <c r="AO49" i="10" s="1"/>
  <c r="AW49" i="10" a="1"/>
  <c r="AW49" i="10" s="1"/>
  <c r="BE49" i="10" a="1"/>
  <c r="BE49" i="10" s="1"/>
  <c r="BM49" i="10" a="1"/>
  <c r="BM49" i="10" s="1"/>
  <c r="BU49" i="10" a="1"/>
  <c r="BU49" i="10" s="1"/>
  <c r="CC49" i="10" a="1"/>
  <c r="CC49" i="10" s="1"/>
  <c r="AG4" i="10" a="1"/>
  <c r="AG4" i="10" s="1"/>
  <c r="E23" i="10" a="1"/>
  <c r="E23" i="10" s="1"/>
  <c r="BZ23" i="10" a="1"/>
  <c r="BZ23" i="10" s="1"/>
  <c r="U28" i="10" a="1"/>
  <c r="U28" i="10" s="1"/>
  <c r="BU28" i="10" a="1"/>
  <c r="BU28" i="10" s="1"/>
  <c r="I32" i="10" a="1"/>
  <c r="I32" i="10" s="1"/>
  <c r="AO32" i="10" a="1"/>
  <c r="AO32" i="10" s="1"/>
  <c r="BU32" i="10" a="1"/>
  <c r="BU32" i="10" s="1"/>
  <c r="K36" i="10" a="1"/>
  <c r="K36" i="10" s="1"/>
  <c r="Y36" i="10" a="1"/>
  <c r="Y36" i="10" s="1"/>
  <c r="AK36" i="10" a="1"/>
  <c r="AK36" i="10" s="1"/>
  <c r="AX36" i="10" a="1"/>
  <c r="AX36" i="10" s="1"/>
  <c r="BK36" i="10" a="1"/>
  <c r="BK36" i="10" s="1"/>
  <c r="BW36" i="10" a="1"/>
  <c r="BW36" i="10" s="1"/>
  <c r="J40" i="10" a="1"/>
  <c r="J40" i="10" s="1"/>
  <c r="R40" i="10" a="1"/>
  <c r="R40" i="10" s="1"/>
  <c r="Z40" i="10" a="1"/>
  <c r="Z40" i="10" s="1"/>
  <c r="AH40" i="10" a="1"/>
  <c r="AH40" i="10" s="1"/>
  <c r="AP40" i="10" a="1"/>
  <c r="AP40" i="10" s="1"/>
  <c r="AX40" i="10" a="1"/>
  <c r="AX40" i="10" s="1"/>
  <c r="BF40" i="10" a="1"/>
  <c r="BF40" i="10" s="1"/>
  <c r="BN40" i="10" a="1"/>
  <c r="BN40" i="10" s="1"/>
  <c r="BV40" i="10" a="1"/>
  <c r="BV40" i="10" s="1"/>
  <c r="CD40" i="10" a="1"/>
  <c r="CD40" i="10" s="1"/>
  <c r="J45" i="10" a="1"/>
  <c r="J45" i="10" s="1"/>
  <c r="R45" i="10" a="1"/>
  <c r="R45" i="10" s="1"/>
  <c r="Z45" i="10" a="1"/>
  <c r="Z45" i="10" s="1"/>
  <c r="AH45" i="10" a="1"/>
  <c r="AH45" i="10" s="1"/>
  <c r="AP45" i="10" a="1"/>
  <c r="AP45" i="10" s="1"/>
  <c r="AX45" i="10" a="1"/>
  <c r="AX45" i="10" s="1"/>
  <c r="BF45" i="10" a="1"/>
  <c r="BF45" i="10" s="1"/>
  <c r="BN45" i="10" a="1"/>
  <c r="BN45" i="10" s="1"/>
  <c r="BV45" i="10" a="1"/>
  <c r="BV45" i="10" s="1"/>
  <c r="CD45" i="10" a="1"/>
  <c r="CD45" i="10" s="1"/>
  <c r="J49" i="10" a="1"/>
  <c r="J49" i="10" s="1"/>
  <c r="R49" i="10" a="1"/>
  <c r="R49" i="10" s="1"/>
  <c r="Z49" i="10" a="1"/>
  <c r="Z49" i="10" s="1"/>
  <c r="AH49" i="10" a="1"/>
  <c r="AH49" i="10" s="1"/>
  <c r="AP49" i="10" a="1"/>
  <c r="AP49" i="10" s="1"/>
  <c r="AX49" i="10" a="1"/>
  <c r="AX49" i="10" s="1"/>
  <c r="BF49" i="10" a="1"/>
  <c r="BF49" i="10" s="1"/>
  <c r="BN49" i="10" a="1"/>
  <c r="BN49" i="10" s="1"/>
  <c r="BV49" i="10" a="1"/>
  <c r="BV49" i="10" s="1"/>
  <c r="CD49" i="10" a="1"/>
  <c r="CD49" i="10" s="1"/>
  <c r="J53" i="10" a="1"/>
  <c r="J53" i="10" s="1"/>
  <c r="R53" i="10" a="1"/>
  <c r="R53" i="10" s="1"/>
  <c r="Z53" i="10" a="1"/>
  <c r="Z53" i="10" s="1"/>
  <c r="AH53" i="10" a="1"/>
  <c r="AH53" i="10" s="1"/>
  <c r="N23" i="10" a="1"/>
  <c r="N23" i="10" s="1"/>
  <c r="AC28" i="10" a="1"/>
  <c r="AC28" i="10" s="1"/>
  <c r="BY28" i="10" a="1"/>
  <c r="BY28" i="10" s="1"/>
  <c r="M32" i="10" a="1"/>
  <c r="M32" i="10" s="1"/>
  <c r="AS32" i="10" a="1"/>
  <c r="AS32" i="10" s="1"/>
  <c r="BY32" i="10" a="1"/>
  <c r="BY32" i="10" s="1"/>
  <c r="M36" i="10" a="1"/>
  <c r="M36" i="10" s="1"/>
  <c r="Z36" i="10" a="1"/>
  <c r="Z36" i="10" s="1"/>
  <c r="AM36" i="10" a="1"/>
  <c r="AM36" i="10" s="1"/>
  <c r="AY36" i="10" a="1"/>
  <c r="AY36" i="10" s="1"/>
  <c r="BM36" i="10" a="1"/>
  <c r="BM36" i="10" s="1"/>
  <c r="BY36" i="10" a="1"/>
  <c r="BY36" i="10" s="1"/>
  <c r="K40" i="10" a="1"/>
  <c r="K40" i="10" s="1"/>
  <c r="S40" i="10" a="1"/>
  <c r="S40" i="10" s="1"/>
  <c r="AA40" i="10" a="1"/>
  <c r="AA40" i="10" s="1"/>
  <c r="AI40" i="10" a="1"/>
  <c r="AI40" i="10" s="1"/>
  <c r="AQ40" i="10" a="1"/>
  <c r="AQ40" i="10" s="1"/>
  <c r="AY40" i="10" a="1"/>
  <c r="AY40" i="10" s="1"/>
  <c r="BG40" i="10" a="1"/>
  <c r="BG40" i="10" s="1"/>
  <c r="BO40" i="10" a="1"/>
  <c r="BO40" i="10" s="1"/>
  <c r="BW40" i="10" a="1"/>
  <c r="BW40" i="10" s="1"/>
  <c r="CE40" i="10" a="1"/>
  <c r="CE40" i="10" s="1"/>
  <c r="K45" i="10" a="1"/>
  <c r="K45" i="10" s="1"/>
  <c r="S45" i="10" a="1"/>
  <c r="S45" i="10" s="1"/>
  <c r="AA45" i="10" a="1"/>
  <c r="AA45" i="10" s="1"/>
  <c r="AI45" i="10" a="1"/>
  <c r="AI45" i="10" s="1"/>
  <c r="AQ45" i="10" a="1"/>
  <c r="AQ45" i="10" s="1"/>
  <c r="AY45" i="10" a="1"/>
  <c r="AY45" i="10" s="1"/>
  <c r="BG45" i="10" a="1"/>
  <c r="BG45" i="10" s="1"/>
  <c r="BO45" i="10" a="1"/>
  <c r="BO45" i="10" s="1"/>
  <c r="BW45" i="10" a="1"/>
  <c r="BW45" i="10" s="1"/>
  <c r="CE45" i="10" a="1"/>
  <c r="CE45" i="10" s="1"/>
  <c r="K49" i="10" a="1"/>
  <c r="K49" i="10" s="1"/>
  <c r="S49" i="10" a="1"/>
  <c r="S49" i="10" s="1"/>
  <c r="AA49" i="10" a="1"/>
  <c r="AA49" i="10" s="1"/>
  <c r="AI49" i="10" a="1"/>
  <c r="AI49" i="10" s="1"/>
  <c r="AQ49" i="10" a="1"/>
  <c r="AQ49" i="10" s="1"/>
  <c r="AY49" i="10" a="1"/>
  <c r="AY49" i="10" s="1"/>
  <c r="BG49" i="10" a="1"/>
  <c r="BG49" i="10" s="1"/>
  <c r="BO49" i="10" a="1"/>
  <c r="BO49" i="10" s="1"/>
  <c r="BW49" i="10" a="1"/>
  <c r="BW49" i="10" s="1"/>
  <c r="CE49" i="10" a="1"/>
  <c r="CE49" i="10" s="1"/>
  <c r="K53" i="10" a="1"/>
  <c r="K53" i="10" s="1"/>
  <c r="S53" i="10" a="1"/>
  <c r="S53" i="10" s="1"/>
  <c r="AA53" i="10" a="1"/>
  <c r="AA53" i="10" s="1"/>
  <c r="AI53" i="10" a="1"/>
  <c r="AI53" i="10" s="1"/>
  <c r="AQ53" i="10" a="1"/>
  <c r="AQ53" i="10" s="1"/>
  <c r="AY53" i="10" a="1"/>
  <c r="AY53" i="10" s="1"/>
  <c r="BG53" i="10" a="1"/>
  <c r="BG53" i="10" s="1"/>
  <c r="BO53" i="10" a="1"/>
  <c r="BO53" i="10" s="1"/>
  <c r="BW53" i="10" a="1"/>
  <c r="BW53" i="10" s="1"/>
  <c r="CE53" i="10" a="1"/>
  <c r="CE53" i="10" s="1"/>
  <c r="K55" i="10" a="1"/>
  <c r="K55" i="10" s="1"/>
  <c r="S55" i="10" a="1"/>
  <c r="S55" i="10" s="1"/>
  <c r="AA55" i="10" a="1"/>
  <c r="AA55" i="10" s="1"/>
  <c r="AI55" i="10" a="1"/>
  <c r="AI55" i="10" s="1"/>
  <c r="AQ55" i="10" a="1"/>
  <c r="AQ55" i="10" s="1"/>
  <c r="AY55" i="10" a="1"/>
  <c r="AY55" i="10" s="1"/>
  <c r="BG55" i="10" a="1"/>
  <c r="BG55" i="10" s="1"/>
  <c r="BO55" i="10" a="1"/>
  <c r="BO55" i="10" s="1"/>
  <c r="BW55" i="10" a="1"/>
  <c r="BW55" i="10" s="1"/>
  <c r="CE55" i="10" a="1"/>
  <c r="CE55" i="10" s="1"/>
  <c r="AF15" i="10" a="1"/>
  <c r="AF15" i="10" s="1"/>
  <c r="W23" i="10" a="1"/>
  <c r="W23" i="10" s="1"/>
  <c r="AK28" i="10" a="1"/>
  <c r="AK28" i="10" s="1"/>
  <c r="CC28" i="10" a="1"/>
  <c r="CC28" i="10" s="1"/>
  <c r="Q32" i="10" a="1"/>
  <c r="Q32" i="10" s="1"/>
  <c r="AW32" i="10" a="1"/>
  <c r="AW32" i="10" s="1"/>
  <c r="CC32" i="10" a="1"/>
  <c r="CC32" i="10" s="1"/>
  <c r="O36" i="10" a="1"/>
  <c r="O36" i="10" s="1"/>
  <c r="AA36" i="10" a="1"/>
  <c r="AA36" i="10" s="1"/>
  <c r="AO36" i="10" a="1"/>
  <c r="AO36" i="10" s="1"/>
  <c r="BA36" i="10" a="1"/>
  <c r="BA36" i="10" s="1"/>
  <c r="BN36" i="10" a="1"/>
  <c r="BN36" i="10" s="1"/>
  <c r="CA36" i="10" a="1"/>
  <c r="CA36" i="10" s="1"/>
  <c r="L40" i="10" a="1"/>
  <c r="L40" i="10" s="1"/>
  <c r="T40" i="10" a="1"/>
  <c r="T40" i="10" s="1"/>
  <c r="AB40" i="10" a="1"/>
  <c r="AB40" i="10" s="1"/>
  <c r="AJ40" i="10" a="1"/>
  <c r="AJ40" i="10" s="1"/>
  <c r="AZ40" i="10" a="1"/>
  <c r="AZ40" i="10" s="1"/>
  <c r="BH40" i="10" a="1"/>
  <c r="BH40" i="10" s="1"/>
  <c r="BP40" i="10" a="1"/>
  <c r="BP40" i="10" s="1"/>
  <c r="BX40" i="10" a="1"/>
  <c r="BX40" i="10" s="1"/>
  <c r="L45" i="10" a="1"/>
  <c r="L45" i="10" s="1"/>
  <c r="T45" i="10" a="1"/>
  <c r="T45" i="10" s="1"/>
  <c r="AB45" i="10" a="1"/>
  <c r="AB45" i="10" s="1"/>
  <c r="AJ45" i="10" a="1"/>
  <c r="AJ45" i="10" s="1"/>
  <c r="AZ45" i="10" a="1"/>
  <c r="AZ45" i="10" s="1"/>
  <c r="BH45" i="10" a="1"/>
  <c r="BH45" i="10" s="1"/>
  <c r="BP45" i="10" a="1"/>
  <c r="BP45" i="10" s="1"/>
  <c r="BX45" i="10" a="1"/>
  <c r="BX45" i="10" s="1"/>
  <c r="L49" i="10" a="1"/>
  <c r="L49" i="10" s="1"/>
  <c r="T49" i="10" a="1"/>
  <c r="T49" i="10" s="1"/>
  <c r="AB49" i="10" a="1"/>
  <c r="AB49" i="10" s="1"/>
  <c r="AJ49" i="10" a="1"/>
  <c r="AJ49" i="10" s="1"/>
  <c r="AZ49" i="10" a="1"/>
  <c r="AZ49" i="10" s="1"/>
  <c r="BH49" i="10" a="1"/>
  <c r="BH49" i="10" s="1"/>
  <c r="BP49" i="10" a="1"/>
  <c r="BP49" i="10" s="1"/>
  <c r="BX49" i="10" a="1"/>
  <c r="BX49" i="10" s="1"/>
  <c r="CA15" i="10" a="1"/>
  <c r="CA15" i="10" s="1"/>
  <c r="G19" i="10" a="1"/>
  <c r="G19" i="10" s="1"/>
  <c r="AF23" i="10" a="1"/>
  <c r="AF23" i="10" s="1"/>
  <c r="AS28" i="10" a="1"/>
  <c r="AS28" i="10" s="1"/>
  <c r="U32" i="10" a="1"/>
  <c r="U32" i="10" s="1"/>
  <c r="BA32" i="10" a="1"/>
  <c r="BA32" i="10" s="1"/>
  <c r="Q36" i="10" a="1"/>
  <c r="Q36" i="10" s="1"/>
  <c r="AC36" i="10" a="1"/>
  <c r="AC36" i="10" s="1"/>
  <c r="AP36" i="10" a="1"/>
  <c r="AP36" i="10" s="1"/>
  <c r="BC36" i="10" a="1"/>
  <c r="BC36" i="10" s="1"/>
  <c r="BO36" i="10" a="1"/>
  <c r="BO36" i="10" s="1"/>
  <c r="CC36" i="10" a="1"/>
  <c r="CC36" i="10" s="1"/>
  <c r="E40" i="10" a="1"/>
  <c r="E40" i="10" s="1"/>
  <c r="M40" i="10" a="1"/>
  <c r="M40" i="10" s="1"/>
  <c r="U40" i="10" a="1"/>
  <c r="U40" i="10" s="1"/>
  <c r="AC40" i="10" a="1"/>
  <c r="AC40" i="10" s="1"/>
  <c r="AK40" i="10" a="1"/>
  <c r="AK40" i="10" s="1"/>
  <c r="AS40" i="10" a="1"/>
  <c r="AS40" i="10" s="1"/>
  <c r="BA40" i="10" a="1"/>
  <c r="BA40" i="10" s="1"/>
  <c r="BI40" i="10" a="1"/>
  <c r="BI40" i="10" s="1"/>
  <c r="BQ40" i="10" a="1"/>
  <c r="BQ40" i="10" s="1"/>
  <c r="BY40" i="10" a="1"/>
  <c r="BY40" i="10" s="1"/>
  <c r="E45" i="10" a="1"/>
  <c r="E45" i="10" s="1"/>
  <c r="M45" i="10" a="1"/>
  <c r="M45" i="10" s="1"/>
  <c r="U45" i="10" a="1"/>
  <c r="U45" i="10" s="1"/>
  <c r="AC45" i="10" a="1"/>
  <c r="AC45" i="10" s="1"/>
  <c r="AK45" i="10" a="1"/>
  <c r="AK45" i="10" s="1"/>
  <c r="AS45" i="10" a="1"/>
  <c r="AS45" i="10" s="1"/>
  <c r="BA45" i="10" a="1"/>
  <c r="BA45" i="10" s="1"/>
  <c r="BI45" i="10" a="1"/>
  <c r="BI45" i="10" s="1"/>
  <c r="BQ45" i="10" a="1"/>
  <c r="BQ45" i="10" s="1"/>
  <c r="BY45" i="10" a="1"/>
  <c r="BY45" i="10" s="1"/>
  <c r="AF11" i="10" a="1"/>
  <c r="AF11" i="10" s="1"/>
  <c r="BA19" i="10" a="1"/>
  <c r="BA19" i="10" s="1"/>
  <c r="AY23" i="10" a="1"/>
  <c r="AY23" i="10" s="1"/>
  <c r="BI28" i="10" a="1"/>
  <c r="BI28" i="10" s="1"/>
  <c r="AC32" i="10" a="1"/>
  <c r="AC32" i="10" s="1"/>
  <c r="BI32" i="10" a="1"/>
  <c r="BI32" i="10" s="1"/>
  <c r="G36" i="10" a="1"/>
  <c r="G36" i="10" s="1"/>
  <c r="S36" i="10" a="1"/>
  <c r="S36" i="10" s="1"/>
  <c r="AG36" i="10" a="1"/>
  <c r="AG36" i="10" s="1"/>
  <c r="AS36" i="10" a="1"/>
  <c r="AS36" i="10" s="1"/>
  <c r="BF36" i="10" a="1"/>
  <c r="BF36" i="10" s="1"/>
  <c r="BS36" i="10" a="1"/>
  <c r="BS36" i="10" s="1"/>
  <c r="CE36" i="10" a="1"/>
  <c r="CE36" i="10" s="1"/>
  <c r="G40" i="10" a="1"/>
  <c r="G40" i="10" s="1"/>
  <c r="O40" i="10" a="1"/>
  <c r="O40" i="10" s="1"/>
  <c r="W40" i="10" a="1"/>
  <c r="W40" i="10" s="1"/>
  <c r="AE40" i="10" a="1"/>
  <c r="AE40" i="10" s="1"/>
  <c r="AM40" i="10" a="1"/>
  <c r="AM40" i="10" s="1"/>
  <c r="AU40" i="10" a="1"/>
  <c r="AU40" i="10" s="1"/>
  <c r="BC40" i="10" a="1"/>
  <c r="BC40" i="10" s="1"/>
  <c r="BK40" i="10" a="1"/>
  <c r="BK40" i="10" s="1"/>
  <c r="BS40" i="10" a="1"/>
  <c r="BS40" i="10" s="1"/>
  <c r="CA40" i="10" a="1"/>
  <c r="CA40" i="10" s="1"/>
  <c r="G45" i="10" a="1"/>
  <c r="G45" i="10" s="1"/>
  <c r="O45" i="10" a="1"/>
  <c r="O45" i="10" s="1"/>
  <c r="W45" i="10" a="1"/>
  <c r="W45" i="10" s="1"/>
  <c r="AE45" i="10" a="1"/>
  <c r="AE45" i="10" s="1"/>
  <c r="AM45" i="10" a="1"/>
  <c r="AM45" i="10" s="1"/>
  <c r="AU45" i="10" a="1"/>
  <c r="AU45" i="10" s="1"/>
  <c r="BC45" i="10" a="1"/>
  <c r="BC45" i="10" s="1"/>
  <c r="BK45" i="10" a="1"/>
  <c r="BK45" i="10" s="1"/>
  <c r="BS45" i="10" a="1"/>
  <c r="BS45" i="10" s="1"/>
  <c r="CA45" i="10" a="1"/>
  <c r="CA45" i="10" s="1"/>
  <c r="G49" i="10" a="1"/>
  <c r="G49" i="10" s="1"/>
  <c r="O49" i="10" a="1"/>
  <c r="O49" i="10" s="1"/>
  <c r="W49" i="10" a="1"/>
  <c r="W49" i="10" s="1"/>
  <c r="AE49" i="10" a="1"/>
  <c r="AE49" i="10" s="1"/>
  <c r="AM49" i="10" a="1"/>
  <c r="AM49" i="10" s="1"/>
  <c r="AU49" i="10" a="1"/>
  <c r="AU49" i="10" s="1"/>
  <c r="BC49" i="10" a="1"/>
  <c r="BC49" i="10" s="1"/>
  <c r="BK49" i="10" a="1"/>
  <c r="BK49" i="10" s="1"/>
  <c r="BS49" i="10" a="1"/>
  <c r="BS49" i="10" s="1"/>
  <c r="CA49" i="10" a="1"/>
  <c r="CA49" i="10" s="1"/>
  <c r="G53" i="10" a="1"/>
  <c r="G53" i="10" s="1"/>
  <c r="O53" i="10" a="1"/>
  <c r="O53" i="10" s="1"/>
  <c r="W53" i="10" a="1"/>
  <c r="W53" i="10" s="1"/>
  <c r="AE53" i="10" a="1"/>
  <c r="AE53" i="10" s="1"/>
  <c r="AM53" i="10" a="1"/>
  <c r="AM53" i="10" s="1"/>
  <c r="AU53" i="10" a="1"/>
  <c r="AU53" i="10" s="1"/>
  <c r="BC53" i="10" a="1"/>
  <c r="BC53" i="10" s="1"/>
  <c r="BK53" i="10" a="1"/>
  <c r="BK53" i="10" s="1"/>
  <c r="BS53" i="10" a="1"/>
  <c r="BS53" i="10" s="1"/>
  <c r="CA53" i="10" a="1"/>
  <c r="CA53" i="10" s="1"/>
  <c r="G55" i="10" a="1"/>
  <c r="G55" i="10" s="1"/>
  <c r="O55" i="10" a="1"/>
  <c r="O55" i="10" s="1"/>
  <c r="W55" i="10" a="1"/>
  <c r="W55" i="10" s="1"/>
  <c r="AE55" i="10" a="1"/>
  <c r="AE55" i="10" s="1"/>
  <c r="AM55" i="10" a="1"/>
  <c r="AM55" i="10" s="1"/>
  <c r="AU55" i="10" a="1"/>
  <c r="AU55" i="10" s="1"/>
  <c r="BC55" i="10" a="1"/>
  <c r="BC55" i="10" s="1"/>
  <c r="BK55" i="10" a="1"/>
  <c r="BK55" i="10" s="1"/>
  <c r="BS55" i="10" a="1"/>
  <c r="BS55" i="10" s="1"/>
  <c r="CA55" i="10" a="1"/>
  <c r="CA55" i="10" s="1"/>
  <c r="AQ36" i="10" a="1"/>
  <c r="AQ36" i="10" s="1"/>
  <c r="N40" i="10" a="1"/>
  <c r="N40" i="10" s="1"/>
  <c r="BZ40" i="10" a="1"/>
  <c r="BZ40" i="10" s="1"/>
  <c r="N45" i="10" a="1"/>
  <c r="N45" i="10" s="1"/>
  <c r="BZ45" i="10" a="1"/>
  <c r="BZ45" i="10" s="1"/>
  <c r="V49" i="10" a="1"/>
  <c r="V49" i="10" s="1"/>
  <c r="AS49" i="10" a="1"/>
  <c r="AS49" i="10" s="1"/>
  <c r="P53" i="10" a="1"/>
  <c r="P53" i="10" s="1"/>
  <c r="AC53" i="10" a="1"/>
  <c r="AC53" i="10" s="1"/>
  <c r="AO53" i="10" a="1"/>
  <c r="AO53" i="10" s="1"/>
  <c r="AZ53" i="10" a="1"/>
  <c r="AZ53" i="10" s="1"/>
  <c r="BJ53" i="10" a="1"/>
  <c r="BJ53" i="10" s="1"/>
  <c r="BU53" i="10" a="1"/>
  <c r="BU53" i="10" s="1"/>
  <c r="I55" i="10" a="1"/>
  <c r="I55" i="10" s="1"/>
  <c r="T55" i="10" a="1"/>
  <c r="T55" i="10" s="1"/>
  <c r="AD55" i="10" a="1"/>
  <c r="AD55" i="10" s="1"/>
  <c r="AO55" i="10" a="1"/>
  <c r="AO55" i="10" s="1"/>
  <c r="AZ55" i="10" a="1"/>
  <c r="AZ55" i="10" s="1"/>
  <c r="BJ55" i="10" a="1"/>
  <c r="BJ55" i="10" s="1"/>
  <c r="BU55" i="10" a="1"/>
  <c r="BU55" i="10" s="1"/>
  <c r="F60" i="10" a="1"/>
  <c r="F60" i="10" s="1"/>
  <c r="N60" i="10" a="1"/>
  <c r="N60" i="10" s="1"/>
  <c r="V60" i="10" a="1"/>
  <c r="V60" i="10" s="1"/>
  <c r="AD60" i="10" a="1"/>
  <c r="AD60" i="10" s="1"/>
  <c r="AL60" i="10" a="1"/>
  <c r="AL60" i="10" s="1"/>
  <c r="AT60" i="10" a="1"/>
  <c r="AT60" i="10" s="1"/>
  <c r="BB60" i="10" a="1"/>
  <c r="BB60" i="10" s="1"/>
  <c r="BJ60" i="10" a="1"/>
  <c r="BJ60" i="10" s="1"/>
  <c r="BR60" i="10" a="1"/>
  <c r="BR60" i="10" s="1"/>
  <c r="BZ60" i="10" a="1"/>
  <c r="BZ60" i="10" s="1"/>
  <c r="E64" i="10" a="1"/>
  <c r="E64" i="10" s="1"/>
  <c r="M64" i="10" a="1"/>
  <c r="M64" i="10" s="1"/>
  <c r="U64" i="10" a="1"/>
  <c r="U64" i="10" s="1"/>
  <c r="AC64" i="10" a="1"/>
  <c r="AC64" i="10" s="1"/>
  <c r="AK64" i="10" a="1"/>
  <c r="AK64" i="10" s="1"/>
  <c r="AS64" i="10" a="1"/>
  <c r="AS64" i="10" s="1"/>
  <c r="BA64" i="10" a="1"/>
  <c r="BA64" i="10" s="1"/>
  <c r="BI64" i="10" a="1"/>
  <c r="BI64" i="10" s="1"/>
  <c r="BQ64" i="10" a="1"/>
  <c r="BQ64" i="10" s="1"/>
  <c r="BX64" i="10" a="1"/>
  <c r="BX64" i="10" s="1"/>
  <c r="BE36" i="10" a="1"/>
  <c r="BE36" i="10" s="1"/>
  <c r="V40" i="10" a="1"/>
  <c r="V40" i="10" s="1"/>
  <c r="V45" i="10" a="1"/>
  <c r="V45" i="10" s="1"/>
  <c r="E49" i="10" a="1"/>
  <c r="E49" i="10" s="1"/>
  <c r="AT49" i="10" a="1"/>
  <c r="AT49" i="10" s="1"/>
  <c r="BQ49" i="10" a="1"/>
  <c r="BQ49" i="10" s="1"/>
  <c r="E53" i="10" a="1"/>
  <c r="E53" i="10" s="1"/>
  <c r="Q53" i="10" a="1"/>
  <c r="Q53" i="10" s="1"/>
  <c r="AD53" i="10" a="1"/>
  <c r="AD53" i="10" s="1"/>
  <c r="AP53" i="10" a="1"/>
  <c r="AP53" i="10" s="1"/>
  <c r="BA53" i="10" a="1"/>
  <c r="BA53" i="10" s="1"/>
  <c r="BV53" i="10" a="1"/>
  <c r="BV53" i="10" s="1"/>
  <c r="J55" i="10" a="1"/>
  <c r="J55" i="10" s="1"/>
  <c r="U55" i="10" a="1"/>
  <c r="U55" i="10" s="1"/>
  <c r="AF55" i="10" a="1"/>
  <c r="AF55" i="10" s="1"/>
  <c r="AP55" i="10" a="1"/>
  <c r="AP55" i="10" s="1"/>
  <c r="BA55" i="10" a="1"/>
  <c r="BA55" i="10" s="1"/>
  <c r="BV55" i="10" a="1"/>
  <c r="BV55" i="10" s="1"/>
  <c r="G60" i="10" a="1"/>
  <c r="G60" i="10" s="1"/>
  <c r="O60" i="10" a="1"/>
  <c r="O60" i="10" s="1"/>
  <c r="W60" i="10" a="1"/>
  <c r="W60" i="10" s="1"/>
  <c r="AE60" i="10" a="1"/>
  <c r="AE60" i="10" s="1"/>
  <c r="AM60" i="10" a="1"/>
  <c r="AM60" i="10" s="1"/>
  <c r="AU60" i="10" a="1"/>
  <c r="AU60" i="10" s="1"/>
  <c r="BC60" i="10" a="1"/>
  <c r="BC60" i="10" s="1"/>
  <c r="BK60" i="10" a="1"/>
  <c r="BK60" i="10" s="1"/>
  <c r="BS60" i="10" a="1"/>
  <c r="BS60" i="10" s="1"/>
  <c r="CA60" i="10" a="1"/>
  <c r="CA60" i="10" s="1"/>
  <c r="F64" i="10" a="1"/>
  <c r="F64" i="10" s="1"/>
  <c r="N64" i="10" a="1"/>
  <c r="N64" i="10" s="1"/>
  <c r="V64" i="10" a="1"/>
  <c r="V64" i="10" s="1"/>
  <c r="AD64" i="10" a="1"/>
  <c r="AD64" i="10" s="1"/>
  <c r="AL64" i="10" a="1"/>
  <c r="AL64" i="10" s="1"/>
  <c r="AT64" i="10" a="1"/>
  <c r="AT64" i="10" s="1"/>
  <c r="BB64" i="10" a="1"/>
  <c r="BB64" i="10" s="1"/>
  <c r="BJ64" i="10" a="1"/>
  <c r="BJ64" i="10" s="1"/>
  <c r="BR64" i="10" a="1"/>
  <c r="BR64" i="10" s="1"/>
  <c r="BY64" i="10" a="1"/>
  <c r="BY64" i="10" s="1"/>
  <c r="BQ36" i="10" a="1"/>
  <c r="BQ36" i="10" s="1"/>
  <c r="AD40" i="10" a="1"/>
  <c r="AD40" i="10" s="1"/>
  <c r="AD45" i="10" a="1"/>
  <c r="AD45" i="10" s="1"/>
  <c r="F49" i="10" a="1"/>
  <c r="F49" i="10" s="1"/>
  <c r="AC49" i="10" a="1"/>
  <c r="AC49" i="10" s="1"/>
  <c r="AV49" i="10" a="1"/>
  <c r="AV49" i="10" s="1"/>
  <c r="BR49" i="10" a="1"/>
  <c r="BR49" i="10" s="1"/>
  <c r="F53" i="10" a="1"/>
  <c r="F53" i="10" s="1"/>
  <c r="T53" i="10" a="1"/>
  <c r="T53" i="10" s="1"/>
  <c r="AF53" i="10" a="1"/>
  <c r="AF53" i="10" s="1"/>
  <c r="BB53" i="10" a="1"/>
  <c r="BB53" i="10" s="1"/>
  <c r="BM53" i="10" a="1"/>
  <c r="BM53" i="10" s="1"/>
  <c r="BX53" i="10" a="1"/>
  <c r="BX53" i="10" s="1"/>
  <c r="L55" i="10" a="1"/>
  <c r="L55" i="10" s="1"/>
  <c r="V55" i="10" a="1"/>
  <c r="V55" i="10" s="1"/>
  <c r="AG55" i="10" a="1"/>
  <c r="AG55" i="10" s="1"/>
  <c r="BB55" i="10" a="1"/>
  <c r="BB55" i="10" s="1"/>
  <c r="BM55" i="10" a="1"/>
  <c r="BM55" i="10" s="1"/>
  <c r="BX55" i="10" a="1"/>
  <c r="BX55" i="10" s="1"/>
  <c r="H60" i="10" a="1"/>
  <c r="H60" i="10" s="1"/>
  <c r="P60" i="10" a="1"/>
  <c r="P60" i="10" s="1"/>
  <c r="AF60" i="10" a="1"/>
  <c r="AF60" i="10" s="1"/>
  <c r="AN60" i="10" a="1"/>
  <c r="AN60" i="10" s="1"/>
  <c r="AV60" i="10" a="1"/>
  <c r="AV60" i="10" s="1"/>
  <c r="BD60" i="10" a="1"/>
  <c r="BD60" i="10" s="1"/>
  <c r="BT60" i="10" a="1"/>
  <c r="BT60" i="10" s="1"/>
  <c r="CB60" i="10" a="1"/>
  <c r="CB60" i="10" s="1"/>
  <c r="G64" i="10" a="1"/>
  <c r="G64" i="10" s="1"/>
  <c r="O64" i="10" a="1"/>
  <c r="O64" i="10" s="1"/>
  <c r="W64" i="10" a="1"/>
  <c r="W64" i="10" s="1"/>
  <c r="AE64" i="10" a="1"/>
  <c r="AE64" i="10" s="1"/>
  <c r="AM64" i="10" a="1"/>
  <c r="AM64" i="10" s="1"/>
  <c r="AU64" i="10" a="1"/>
  <c r="AU64" i="10" s="1"/>
  <c r="BC64" i="10" a="1"/>
  <c r="BC64" i="10" s="1"/>
  <c r="BK64" i="10" a="1"/>
  <c r="BK64" i="10" s="1"/>
  <c r="BZ64" i="10" a="1"/>
  <c r="BZ64" i="10" s="1"/>
  <c r="L76" i="10" a="1"/>
  <c r="L76" i="10" s="1"/>
  <c r="T76" i="10" a="1"/>
  <c r="T76" i="10" s="1"/>
  <c r="AB76" i="10" a="1"/>
  <c r="AB76" i="10" s="1"/>
  <c r="AJ76" i="10" a="1"/>
  <c r="AJ76" i="10" s="1"/>
  <c r="AZ76" i="10" a="1"/>
  <c r="AZ76" i="10" s="1"/>
  <c r="BH76" i="10" a="1"/>
  <c r="BH76" i="10" s="1"/>
  <c r="BP76" i="10" a="1"/>
  <c r="BP76" i="10" s="1"/>
  <c r="BX76" i="10" a="1"/>
  <c r="BX76" i="10" s="1"/>
  <c r="AD19" i="10" a="1"/>
  <c r="AD19" i="10" s="1"/>
  <c r="BA28" i="10" a="1"/>
  <c r="BA28" i="10" s="1"/>
  <c r="CD36" i="10" a="1"/>
  <c r="CD36" i="10" s="1"/>
  <c r="AL40" i="10" a="1"/>
  <c r="AL40" i="10" s="1"/>
  <c r="AL45" i="10" a="1"/>
  <c r="AL45" i="10" s="1"/>
  <c r="H49" i="10" a="1"/>
  <c r="H49" i="10" s="1"/>
  <c r="AD49" i="10" a="1"/>
  <c r="AD49" i="10" s="1"/>
  <c r="BA49" i="10" a="1"/>
  <c r="BA49" i="10" s="1"/>
  <c r="BT49" i="10" a="1"/>
  <c r="BT49" i="10" s="1"/>
  <c r="H53" i="10" a="1"/>
  <c r="H53" i="10" s="1"/>
  <c r="U53" i="10" a="1"/>
  <c r="U53" i="10" s="1"/>
  <c r="AG53" i="10" a="1"/>
  <c r="AG53" i="10" s="1"/>
  <c r="AS53" i="10" a="1"/>
  <c r="AS53" i="10" s="1"/>
  <c r="BD53" i="10" a="1"/>
  <c r="BD53" i="10" s="1"/>
  <c r="BN53" i="10" a="1"/>
  <c r="BN53" i="10" s="1"/>
  <c r="BY53" i="10" a="1"/>
  <c r="BY53" i="10" s="1"/>
  <c r="M55" i="10" a="1"/>
  <c r="M55" i="10" s="1"/>
  <c r="AH55" i="10" a="1"/>
  <c r="AH55" i="10" s="1"/>
  <c r="AS55" i="10" a="1"/>
  <c r="AS55" i="10" s="1"/>
  <c r="BD55" i="10" a="1"/>
  <c r="BD55" i="10" s="1"/>
  <c r="BN55" i="10" a="1"/>
  <c r="BN55" i="10" s="1"/>
  <c r="BY55" i="10" a="1"/>
  <c r="BY55" i="10" s="1"/>
  <c r="I60" i="10" a="1"/>
  <c r="I60" i="10" s="1"/>
  <c r="Q60" i="10" a="1"/>
  <c r="Q60" i="10" s="1"/>
  <c r="Y60" i="10" a="1"/>
  <c r="Y60" i="10" s="1"/>
  <c r="AG60" i="10" a="1"/>
  <c r="AG60" i="10" s="1"/>
  <c r="AO60" i="10" a="1"/>
  <c r="AO60" i="10" s="1"/>
  <c r="AW60" i="10" a="1"/>
  <c r="AW60" i="10" s="1"/>
  <c r="BE60" i="10" a="1"/>
  <c r="BE60" i="10" s="1"/>
  <c r="BM60" i="10" a="1"/>
  <c r="BM60" i="10" s="1"/>
  <c r="BU60" i="10" a="1"/>
  <c r="BU60" i="10" s="1"/>
  <c r="CC60" i="10" a="1"/>
  <c r="CC60" i="10" s="1"/>
  <c r="H64" i="10" a="1"/>
  <c r="H64" i="10" s="1"/>
  <c r="P64" i="10" a="1"/>
  <c r="P64" i="10" s="1"/>
  <c r="AF64" i="10" a="1"/>
  <c r="AF64" i="10" s="1"/>
  <c r="AN64" i="10" a="1"/>
  <c r="AN64" i="10" s="1"/>
  <c r="AV64" i="10" a="1"/>
  <c r="AV64" i="10" s="1"/>
  <c r="BD64" i="10" a="1"/>
  <c r="BD64" i="10" s="1"/>
  <c r="BS64" i="10" a="1"/>
  <c r="BS64" i="10" s="1"/>
  <c r="CA64" i="10" a="1"/>
  <c r="CA64" i="10" s="1"/>
  <c r="Y32" i="10" a="1"/>
  <c r="Y32" i="10" s="1"/>
  <c r="AT40" i="10" a="1"/>
  <c r="AT40" i="10" s="1"/>
  <c r="AT45" i="10" a="1"/>
  <c r="AT45" i="10" s="1"/>
  <c r="M49" i="10" a="1"/>
  <c r="M49" i="10" s="1"/>
  <c r="AF49" i="10" a="1"/>
  <c r="AF49" i="10" s="1"/>
  <c r="BB49" i="10" a="1"/>
  <c r="BB49" i="10" s="1"/>
  <c r="BY49" i="10" a="1"/>
  <c r="BY49" i="10" s="1"/>
  <c r="I53" i="10" a="1"/>
  <c r="I53" i="10" s="1"/>
  <c r="V53" i="10" a="1"/>
  <c r="V53" i="10" s="1"/>
  <c r="AJ53" i="10" a="1"/>
  <c r="AJ53" i="10" s="1"/>
  <c r="AT53" i="10" a="1"/>
  <c r="AT53" i="10" s="1"/>
  <c r="BE53" i="10" a="1"/>
  <c r="BE53" i="10" s="1"/>
  <c r="BP53" i="10" a="1"/>
  <c r="BP53" i="10" s="1"/>
  <c r="BZ53" i="10" a="1"/>
  <c r="BZ53" i="10" s="1"/>
  <c r="N55" i="10" a="1"/>
  <c r="N55" i="10" s="1"/>
  <c r="Y55" i="10" a="1"/>
  <c r="Y55" i="10" s="1"/>
  <c r="AJ55" i="10" a="1"/>
  <c r="AJ55" i="10" s="1"/>
  <c r="AT55" i="10" a="1"/>
  <c r="AT55" i="10" s="1"/>
  <c r="BE55" i="10" a="1"/>
  <c r="BE55" i="10" s="1"/>
  <c r="BP55" i="10" a="1"/>
  <c r="BP55" i="10" s="1"/>
  <c r="BZ55" i="10" a="1"/>
  <c r="BZ55" i="10" s="1"/>
  <c r="J60" i="10" a="1"/>
  <c r="J60" i="10" s="1"/>
  <c r="R60" i="10" a="1"/>
  <c r="R60" i="10" s="1"/>
  <c r="Z60" i="10" a="1"/>
  <c r="Z60" i="10" s="1"/>
  <c r="AH60" i="10" a="1"/>
  <c r="AH60" i="10" s="1"/>
  <c r="AP60" i="10" a="1"/>
  <c r="AP60" i="10" s="1"/>
  <c r="AX60" i="10" a="1"/>
  <c r="AX60" i="10" s="1"/>
  <c r="BF60" i="10" a="1"/>
  <c r="BF60" i="10" s="1"/>
  <c r="BN60" i="10" a="1"/>
  <c r="BN60" i="10" s="1"/>
  <c r="BV60" i="10" a="1"/>
  <c r="BV60" i="10" s="1"/>
  <c r="CD60" i="10" a="1"/>
  <c r="CD60" i="10" s="1"/>
  <c r="I64" i="10" a="1"/>
  <c r="I64" i="10" s="1"/>
  <c r="Q64" i="10" a="1"/>
  <c r="Q64" i="10" s="1"/>
  <c r="Y64" i="10" a="1"/>
  <c r="Y64" i="10" s="1"/>
  <c r="AG64" i="10" a="1"/>
  <c r="AG64" i="10" s="1"/>
  <c r="AO64" i="10" a="1"/>
  <c r="AO64" i="10" s="1"/>
  <c r="AW64" i="10" a="1"/>
  <c r="AW64" i="10" s="1"/>
  <c r="BE64" i="10" a="1"/>
  <c r="BE64" i="10" s="1"/>
  <c r="BM64" i="10" a="1"/>
  <c r="BM64" i="10" s="1"/>
  <c r="BT64" i="10" a="1"/>
  <c r="BT64" i="10" s="1"/>
  <c r="CB64" i="10" a="1"/>
  <c r="CB64" i="10" s="1"/>
  <c r="BE32" i="10" a="1"/>
  <c r="BE32" i="10" s="1"/>
  <c r="E36" i="10" a="1"/>
  <c r="E36" i="10" s="1"/>
  <c r="BB40" i="10" a="1"/>
  <c r="BB40" i="10" s="1"/>
  <c r="BB45" i="10" a="1"/>
  <c r="BB45" i="10" s="1"/>
  <c r="N49" i="10" a="1"/>
  <c r="N49" i="10" s="1"/>
  <c r="AK49" i="10" a="1"/>
  <c r="AK49" i="10" s="1"/>
  <c r="BD49" i="10" a="1"/>
  <c r="BD49" i="10" s="1"/>
  <c r="BZ49" i="10" a="1"/>
  <c r="BZ49" i="10" s="1"/>
  <c r="L53" i="10" a="1"/>
  <c r="L53" i="10" s="1"/>
  <c r="AK53" i="10" a="1"/>
  <c r="AK53" i="10" s="1"/>
  <c r="AV53" i="10" a="1"/>
  <c r="AV53" i="10" s="1"/>
  <c r="BF53" i="10" a="1"/>
  <c r="BF53" i="10" s="1"/>
  <c r="BQ53" i="10" a="1"/>
  <c r="BQ53" i="10" s="1"/>
  <c r="CB53" i="10" a="1"/>
  <c r="CB53" i="10" s="1"/>
  <c r="E55" i="10" a="1"/>
  <c r="E55" i="10" s="1"/>
  <c r="P55" i="10" a="1"/>
  <c r="P55" i="10" s="1"/>
  <c r="Z55" i="10" a="1"/>
  <c r="Z55" i="10" s="1"/>
  <c r="AK55" i="10" a="1"/>
  <c r="AK55" i="10" s="1"/>
  <c r="AV55" i="10" a="1"/>
  <c r="AV55" i="10" s="1"/>
  <c r="BF55" i="10" a="1"/>
  <c r="BF55" i="10" s="1"/>
  <c r="BQ55" i="10" a="1"/>
  <c r="BQ55" i="10" s="1"/>
  <c r="CB55" i="10" a="1"/>
  <c r="CB55" i="10" s="1"/>
  <c r="K60" i="10" a="1"/>
  <c r="K60" i="10" s="1"/>
  <c r="S60" i="10" a="1"/>
  <c r="S60" i="10" s="1"/>
  <c r="AA60" i="10" a="1"/>
  <c r="AA60" i="10" s="1"/>
  <c r="AI60" i="10" a="1"/>
  <c r="AI60" i="10" s="1"/>
  <c r="AQ60" i="10" a="1"/>
  <c r="AQ60" i="10" s="1"/>
  <c r="AY60" i="10" a="1"/>
  <c r="AY60" i="10" s="1"/>
  <c r="BG60" i="10" a="1"/>
  <c r="BG60" i="10" s="1"/>
  <c r="BO60" i="10" a="1"/>
  <c r="BO60" i="10" s="1"/>
  <c r="BW60" i="10" a="1"/>
  <c r="BW60" i="10" s="1"/>
  <c r="CE60" i="10" a="1"/>
  <c r="CE60" i="10" s="1"/>
  <c r="J64" i="10" a="1"/>
  <c r="J64" i="10" s="1"/>
  <c r="R64" i="10" a="1"/>
  <c r="R64" i="10" s="1"/>
  <c r="Z64" i="10" a="1"/>
  <c r="Z64" i="10" s="1"/>
  <c r="AH64" i="10" a="1"/>
  <c r="AH64" i="10" s="1"/>
  <c r="AP64" i="10" a="1"/>
  <c r="AP64" i="10" s="1"/>
  <c r="AX64" i="10" a="1"/>
  <c r="AX64" i="10" s="1"/>
  <c r="BF64" i="10" a="1"/>
  <c r="BF64" i="10" s="1"/>
  <c r="BN64" i="10" a="1"/>
  <c r="BN64" i="10" s="1"/>
  <c r="BU64" i="10" a="1"/>
  <c r="BU64" i="10" s="1"/>
  <c r="CC64" i="10" a="1"/>
  <c r="CC64" i="10" s="1"/>
  <c r="AE36" i="10" a="1"/>
  <c r="AE36" i="10" s="1"/>
  <c r="F40" i="10" a="1"/>
  <c r="F40" i="10" s="1"/>
  <c r="BR40" i="10" a="1"/>
  <c r="BR40" i="10" s="1"/>
  <c r="F45" i="10" a="1"/>
  <c r="F45" i="10" s="1"/>
  <c r="BR45" i="10" a="1"/>
  <c r="BR45" i="10" s="1"/>
  <c r="U49" i="10" a="1"/>
  <c r="U49" i="10" s="1"/>
  <c r="AN49" i="10" a="1"/>
  <c r="AN49" i="10" s="1"/>
  <c r="BJ49" i="10" a="1"/>
  <c r="BJ49" i="10" s="1"/>
  <c r="N53" i="10" a="1"/>
  <c r="N53" i="10" s="1"/>
  <c r="AB53" i="10" a="1"/>
  <c r="AB53" i="10" s="1"/>
  <c r="AN53" i="10" a="1"/>
  <c r="AN53" i="10" s="1"/>
  <c r="AX53" i="10" a="1"/>
  <c r="AX53" i="10" s="1"/>
  <c r="BI53" i="10" a="1"/>
  <c r="BI53" i="10" s="1"/>
  <c r="BT53" i="10" a="1"/>
  <c r="BT53" i="10" s="1"/>
  <c r="CD53" i="10" a="1"/>
  <c r="CD53" i="10" s="1"/>
  <c r="H55" i="10" a="1"/>
  <c r="H55" i="10" s="1"/>
  <c r="R55" i="10" a="1"/>
  <c r="R55" i="10" s="1"/>
  <c r="AC55" i="10" a="1"/>
  <c r="AC55" i="10" s="1"/>
  <c r="AN55" i="10" a="1"/>
  <c r="AN55" i="10" s="1"/>
  <c r="AX55" i="10" a="1"/>
  <c r="AX55" i="10" s="1"/>
  <c r="BI55" i="10" a="1"/>
  <c r="BI55" i="10" s="1"/>
  <c r="BT55" i="10" a="1"/>
  <c r="BT55" i="10" s="1"/>
  <c r="CD55" i="10" a="1"/>
  <c r="CD55" i="10" s="1"/>
  <c r="E60" i="10" a="1"/>
  <c r="E60" i="10" s="1"/>
  <c r="M60" i="10" a="1"/>
  <c r="M60" i="10" s="1"/>
  <c r="U60" i="10" a="1"/>
  <c r="U60" i="10" s="1"/>
  <c r="AC60" i="10" a="1"/>
  <c r="AC60" i="10" s="1"/>
  <c r="AK60" i="10" a="1"/>
  <c r="AK60" i="10" s="1"/>
  <c r="AS60" i="10" a="1"/>
  <c r="AS60" i="10" s="1"/>
  <c r="BA60" i="10" a="1"/>
  <c r="BA60" i="10" s="1"/>
  <c r="BI60" i="10" a="1"/>
  <c r="BI60" i="10" s="1"/>
  <c r="BQ60" i="10" a="1"/>
  <c r="BQ60" i="10" s="1"/>
  <c r="BY60" i="10" a="1"/>
  <c r="BY60" i="10" s="1"/>
  <c r="L64" i="10" a="1"/>
  <c r="L64" i="10" s="1"/>
  <c r="T64" i="10" a="1"/>
  <c r="T64" i="10" s="1"/>
  <c r="AB64" i="10" a="1"/>
  <c r="AB64" i="10" s="1"/>
  <c r="AJ64" i="10" a="1"/>
  <c r="AJ64" i="10" s="1"/>
  <c r="AZ64" i="10" a="1"/>
  <c r="AZ64" i="10" s="1"/>
  <c r="BH64" i="10" a="1"/>
  <c r="BH64" i="10" s="1"/>
  <c r="BP64" i="10" a="1"/>
  <c r="BP64" i="10" s="1"/>
  <c r="BW64" i="10" a="1"/>
  <c r="BW64" i="10" s="1"/>
  <c r="CE64" i="10" a="1"/>
  <c r="CE64" i="10" s="1"/>
  <c r="P49" i="10" a="1"/>
  <c r="P49" i="10" s="1"/>
  <c r="BH53" i="10" a="1"/>
  <c r="BH53" i="10" s="1"/>
  <c r="BR55" i="10" a="1"/>
  <c r="BR55" i="10" s="1"/>
  <c r="BH60" i="10" a="1"/>
  <c r="BH60" i="10" s="1"/>
  <c r="K64" i="10" a="1"/>
  <c r="K64" i="10" s="1"/>
  <c r="BV64" i="10" a="1"/>
  <c r="BV64" i="10" s="1"/>
  <c r="K76" i="10" a="1"/>
  <c r="K76" i="10" s="1"/>
  <c r="U76" i="10" a="1"/>
  <c r="U76" i="10" s="1"/>
  <c r="AD76" i="10" a="1"/>
  <c r="AD76" i="10" s="1"/>
  <c r="AM76" i="10" a="1"/>
  <c r="AM76" i="10" s="1"/>
  <c r="AV76" i="10" a="1"/>
  <c r="AV76" i="10" s="1"/>
  <c r="BE76" i="10" a="1"/>
  <c r="BE76" i="10" s="1"/>
  <c r="BN76" i="10" a="1"/>
  <c r="BN76" i="10" s="1"/>
  <c r="BW76" i="10" a="1"/>
  <c r="BW76" i="10" s="1"/>
  <c r="K79" i="10" a="1"/>
  <c r="K79" i="10" s="1"/>
  <c r="S79" i="10" a="1"/>
  <c r="S79" i="10" s="1"/>
  <c r="AA79" i="10" a="1"/>
  <c r="AA79" i="10" s="1"/>
  <c r="AI79" i="10" a="1"/>
  <c r="AI79" i="10" s="1"/>
  <c r="AQ79" i="10" a="1"/>
  <c r="AQ79" i="10" s="1"/>
  <c r="AY79" i="10" a="1"/>
  <c r="AY79" i="10" s="1"/>
  <c r="BG79" i="10" a="1"/>
  <c r="BG79" i="10" s="1"/>
  <c r="BO79" i="10" a="1"/>
  <c r="BO79" i="10" s="1"/>
  <c r="BW79" i="10" a="1"/>
  <c r="BW79" i="10" s="1"/>
  <c r="CE79" i="10" a="1"/>
  <c r="CE79" i="10" s="1"/>
  <c r="K82" i="10" a="1"/>
  <c r="K82" i="10" s="1"/>
  <c r="S82" i="10" a="1"/>
  <c r="S82" i="10" s="1"/>
  <c r="AA82" i="10" a="1"/>
  <c r="AA82" i="10" s="1"/>
  <c r="AI82" i="10" a="1"/>
  <c r="AI82" i="10" s="1"/>
  <c r="AQ82" i="10" a="1"/>
  <c r="AQ82" i="10" s="1"/>
  <c r="AY82" i="10" a="1"/>
  <c r="AY82" i="10" s="1"/>
  <c r="BG82" i="10" a="1"/>
  <c r="BG82" i="10" s="1"/>
  <c r="BO82" i="10" a="1"/>
  <c r="BO82" i="10" s="1"/>
  <c r="BW82" i="10" a="1"/>
  <c r="BW82" i="10" s="1"/>
  <c r="CE82" i="10" a="1"/>
  <c r="CE82" i="10" s="1"/>
  <c r="J85" i="10" a="1"/>
  <c r="J85" i="10" s="1"/>
  <c r="R85" i="10" a="1"/>
  <c r="R85" i="10" s="1"/>
  <c r="Z85" i="10" a="1"/>
  <c r="Z85" i="10" s="1"/>
  <c r="AH85" i="10" a="1"/>
  <c r="AH85" i="10" s="1"/>
  <c r="AP85" i="10" a="1"/>
  <c r="AP85" i="10" s="1"/>
  <c r="AX85" i="10" a="1"/>
  <c r="AX85" i="10" s="1"/>
  <c r="BF85" i="10" a="1"/>
  <c r="BF85" i="10" s="1"/>
  <c r="BN85" i="10" a="1"/>
  <c r="BN85" i="10" s="1"/>
  <c r="BV85" i="10" a="1"/>
  <c r="BV85" i="10" s="1"/>
  <c r="CD85" i="10" a="1"/>
  <c r="CD85" i="10" s="1"/>
  <c r="BP82" i="12" a="1"/>
  <c r="BP82" i="12" s="1"/>
  <c r="BX82" i="12" a="1"/>
  <c r="BX82" i="12" s="1"/>
  <c r="BT85" i="12" a="1"/>
  <c r="BT85" i="12" s="1"/>
  <c r="CA85" i="12" a="1"/>
  <c r="CA85" i="12" s="1"/>
  <c r="CB79" i="12" a="1"/>
  <c r="CB79" i="12" s="1"/>
  <c r="BT79" i="12" a="1"/>
  <c r="BT79" i="12" s="1"/>
  <c r="BS76" i="12" a="1"/>
  <c r="BS76" i="12" s="1"/>
  <c r="CA76" i="12" a="1"/>
  <c r="CA76" i="12" s="1"/>
  <c r="BY64" i="12" a="1"/>
  <c r="BY64" i="12" s="1"/>
  <c r="BQ60" i="12" a="1"/>
  <c r="BQ60" i="12" s="1"/>
  <c r="BY60" i="12" a="1"/>
  <c r="BY60" i="12" s="1"/>
  <c r="CA55" i="12" a="1"/>
  <c r="CA55" i="12" s="1"/>
  <c r="BS55" i="12" a="1"/>
  <c r="BS55" i="12" s="1"/>
  <c r="CA53" i="12" a="1"/>
  <c r="CA53" i="12" s="1"/>
  <c r="BS53" i="12" a="1"/>
  <c r="BS53" i="12" s="1"/>
  <c r="CA49" i="12" a="1"/>
  <c r="CA49" i="12" s="1"/>
  <c r="BS49" i="12" a="1"/>
  <c r="BS49" i="12" s="1"/>
  <c r="CA45" i="12" a="1"/>
  <c r="CA45" i="12" s="1"/>
  <c r="BS45" i="12" a="1"/>
  <c r="BS45" i="12" s="1"/>
  <c r="AO23" i="10" a="1"/>
  <c r="AO23" i="10" s="1"/>
  <c r="AL49" i="10" a="1"/>
  <c r="AL49" i="10" s="1"/>
  <c r="BR53" i="10" a="1"/>
  <c r="BR53" i="10" s="1"/>
  <c r="CC55" i="10" a="1"/>
  <c r="CC55" i="10" s="1"/>
  <c r="BP60" i="10" a="1"/>
  <c r="BP60" i="10" s="1"/>
  <c r="S64" i="10" a="1"/>
  <c r="S64" i="10" s="1"/>
  <c r="CD64" i="10" a="1"/>
  <c r="CD64" i="10" s="1"/>
  <c r="M76" i="10" a="1"/>
  <c r="M76" i="10" s="1"/>
  <c r="V76" i="10" a="1"/>
  <c r="V76" i="10" s="1"/>
  <c r="AE76" i="10" a="1"/>
  <c r="AE76" i="10" s="1"/>
  <c r="AN76" i="10" a="1"/>
  <c r="AN76" i="10" s="1"/>
  <c r="AW76" i="10" a="1"/>
  <c r="AW76" i="10" s="1"/>
  <c r="BF76" i="10" a="1"/>
  <c r="BF76" i="10" s="1"/>
  <c r="BO76" i="10" a="1"/>
  <c r="BO76" i="10" s="1"/>
  <c r="BY76" i="10" a="1"/>
  <c r="BY76" i="10" s="1"/>
  <c r="L79" i="10" a="1"/>
  <c r="L79" i="10" s="1"/>
  <c r="T79" i="10" a="1"/>
  <c r="T79" i="10" s="1"/>
  <c r="AB79" i="10" a="1"/>
  <c r="AB79" i="10" s="1"/>
  <c r="AJ79" i="10" a="1"/>
  <c r="AJ79" i="10" s="1"/>
  <c r="AZ79" i="10" a="1"/>
  <c r="AZ79" i="10" s="1"/>
  <c r="BH79" i="10" a="1"/>
  <c r="BH79" i="10" s="1"/>
  <c r="BP79" i="10" a="1"/>
  <c r="BP79" i="10" s="1"/>
  <c r="BX79" i="10" a="1"/>
  <c r="BX79" i="10" s="1"/>
  <c r="L82" i="10" a="1"/>
  <c r="L82" i="10" s="1"/>
  <c r="T82" i="10" a="1"/>
  <c r="T82" i="10" s="1"/>
  <c r="AB82" i="10" a="1"/>
  <c r="AB82" i="10" s="1"/>
  <c r="AJ82" i="10" a="1"/>
  <c r="AJ82" i="10" s="1"/>
  <c r="AZ82" i="10" a="1"/>
  <c r="AZ82" i="10" s="1"/>
  <c r="BH82" i="10" a="1"/>
  <c r="BH82" i="10" s="1"/>
  <c r="BP82" i="10" a="1"/>
  <c r="BP82" i="10" s="1"/>
  <c r="BX82" i="10" a="1"/>
  <c r="BX82" i="10" s="1"/>
  <c r="K85" i="10" a="1"/>
  <c r="K85" i="10" s="1"/>
  <c r="S85" i="10" a="1"/>
  <c r="S85" i="10" s="1"/>
  <c r="AA85" i="10" a="1"/>
  <c r="AA85" i="10" s="1"/>
  <c r="AI85" i="10" a="1"/>
  <c r="AI85" i="10" s="1"/>
  <c r="AQ85" i="10" a="1"/>
  <c r="AQ85" i="10" s="1"/>
  <c r="AY85" i="10" a="1"/>
  <c r="AY85" i="10" s="1"/>
  <c r="BG85" i="10" a="1"/>
  <c r="BG85" i="10" s="1"/>
  <c r="BO85" i="10" a="1"/>
  <c r="BO85" i="10" s="1"/>
  <c r="BW85" i="10" a="1"/>
  <c r="BW85" i="10" s="1"/>
  <c r="CE85" i="10" a="1"/>
  <c r="CE85" i="10" s="1"/>
  <c r="BQ82" i="12" a="1"/>
  <c r="BQ82" i="12" s="1"/>
  <c r="BY82" i="12" a="1"/>
  <c r="BY82" i="12" s="1"/>
  <c r="BM85" i="12" a="1"/>
  <c r="BM85" i="12" s="1"/>
  <c r="BU85" i="12" a="1"/>
  <c r="BU85" i="12" s="1"/>
  <c r="CB85" i="12" a="1"/>
  <c r="CB85" i="12" s="1"/>
  <c r="CA79" i="12" a="1"/>
  <c r="CA79" i="12" s="1"/>
  <c r="BS79" i="12" a="1"/>
  <c r="BS79" i="12" s="1"/>
  <c r="BT76" i="12" a="1"/>
  <c r="BT76" i="12" s="1"/>
  <c r="CB76" i="12" a="1"/>
  <c r="CB76" i="12" s="1"/>
  <c r="BR64" i="12" a="1"/>
  <c r="BR64" i="12" s="1"/>
  <c r="BZ64" i="12" a="1"/>
  <c r="BZ64" i="12" s="1"/>
  <c r="BR60" i="12" a="1"/>
  <c r="BR60" i="12" s="1"/>
  <c r="BZ60" i="12" a="1"/>
  <c r="BZ60" i="12" s="1"/>
  <c r="BZ55" i="12" a="1"/>
  <c r="BZ55" i="12" s="1"/>
  <c r="BR55" i="12" a="1"/>
  <c r="BR55" i="12" s="1"/>
  <c r="BZ53" i="12" a="1"/>
  <c r="BZ53" i="12" s="1"/>
  <c r="BR53" i="12" a="1"/>
  <c r="BR53" i="12" s="1"/>
  <c r="BZ49" i="12" a="1"/>
  <c r="BZ49" i="12" s="1"/>
  <c r="BR49" i="12" a="1"/>
  <c r="BR49" i="12" s="1"/>
  <c r="BZ45" i="12" a="1"/>
  <c r="BZ45" i="12" s="1"/>
  <c r="BR45" i="12" a="1"/>
  <c r="BR45" i="12" s="1"/>
  <c r="BJ40" i="10" a="1"/>
  <c r="BJ40" i="10" s="1"/>
  <c r="BI49" i="10" a="1"/>
  <c r="BI49" i="10" s="1"/>
  <c r="CC53" i="10" a="1"/>
  <c r="CC53" i="10" s="1"/>
  <c r="F55" i="10" a="1"/>
  <c r="F55" i="10" s="1"/>
  <c r="L60" i="10" a="1"/>
  <c r="L60" i="10" s="1"/>
  <c r="BX60" i="10" a="1"/>
  <c r="BX60" i="10" s="1"/>
  <c r="AA64" i="10" a="1"/>
  <c r="AA64" i="10" s="1"/>
  <c r="E76" i="10" a="1"/>
  <c r="E76" i="10" s="1"/>
  <c r="N76" i="10" a="1"/>
  <c r="N76" i="10" s="1"/>
  <c r="W76" i="10" a="1"/>
  <c r="W76" i="10" s="1"/>
  <c r="AF76" i="10" a="1"/>
  <c r="AF76" i="10" s="1"/>
  <c r="AO76" i="10" a="1"/>
  <c r="AO76" i="10" s="1"/>
  <c r="AX76" i="10" a="1"/>
  <c r="AX76" i="10" s="1"/>
  <c r="BG76" i="10" a="1"/>
  <c r="BG76" i="10" s="1"/>
  <c r="BQ76" i="10" a="1"/>
  <c r="BQ76" i="10" s="1"/>
  <c r="BZ76" i="10" a="1"/>
  <c r="BZ76" i="10" s="1"/>
  <c r="E79" i="10" a="1"/>
  <c r="E79" i="10" s="1"/>
  <c r="M79" i="10" a="1"/>
  <c r="M79" i="10" s="1"/>
  <c r="U79" i="10" a="1"/>
  <c r="U79" i="10" s="1"/>
  <c r="AC79" i="10" a="1"/>
  <c r="AC79" i="10" s="1"/>
  <c r="AK79" i="10" a="1"/>
  <c r="AK79" i="10" s="1"/>
  <c r="AS79" i="10" a="1"/>
  <c r="AS79" i="10" s="1"/>
  <c r="BA79" i="10" a="1"/>
  <c r="BA79" i="10" s="1"/>
  <c r="BI79" i="10" a="1"/>
  <c r="BI79" i="10" s="1"/>
  <c r="BQ79" i="10" a="1"/>
  <c r="BQ79" i="10" s="1"/>
  <c r="BY79" i="10" a="1"/>
  <c r="BY79" i="10" s="1"/>
  <c r="E82" i="10" a="1"/>
  <c r="E82" i="10" s="1"/>
  <c r="M82" i="10" a="1"/>
  <c r="M82" i="10" s="1"/>
  <c r="U82" i="10" a="1"/>
  <c r="U82" i="10" s="1"/>
  <c r="AC82" i="10" a="1"/>
  <c r="AC82" i="10" s="1"/>
  <c r="AK82" i="10" a="1"/>
  <c r="AK82" i="10" s="1"/>
  <c r="AS82" i="10" a="1"/>
  <c r="AS82" i="10" s="1"/>
  <c r="BA82" i="10" a="1"/>
  <c r="BA82" i="10" s="1"/>
  <c r="BI82" i="10" a="1"/>
  <c r="BI82" i="10" s="1"/>
  <c r="BQ82" i="10" a="1"/>
  <c r="BQ82" i="10" s="1"/>
  <c r="BY82" i="10" a="1"/>
  <c r="BY82" i="10" s="1"/>
  <c r="L85" i="10" a="1"/>
  <c r="L85" i="10" s="1"/>
  <c r="T85" i="10" a="1"/>
  <c r="T85" i="10" s="1"/>
  <c r="AB85" i="10" a="1"/>
  <c r="AB85" i="10" s="1"/>
  <c r="AJ85" i="10" a="1"/>
  <c r="AJ85" i="10" s="1"/>
  <c r="AZ85" i="10" a="1"/>
  <c r="AZ85" i="10" s="1"/>
  <c r="BH85" i="10" a="1"/>
  <c r="BH85" i="10" s="1"/>
  <c r="BP85" i="10" a="1"/>
  <c r="BP85" i="10" s="1"/>
  <c r="BX85" i="10" a="1"/>
  <c r="BX85" i="10" s="1"/>
  <c r="BR82" i="12" a="1"/>
  <c r="BR82" i="12" s="1"/>
  <c r="BZ82" i="12" a="1"/>
  <c r="BZ82" i="12" s="1"/>
  <c r="BN85" i="12" a="1"/>
  <c r="BN85" i="12" s="1"/>
  <c r="BV85" i="12" a="1"/>
  <c r="BV85" i="12" s="1"/>
  <c r="CC85" i="12" a="1"/>
  <c r="CC85" i="12" s="1"/>
  <c r="BZ79" i="12" a="1"/>
  <c r="BZ79" i="12" s="1"/>
  <c r="BR79" i="12" a="1"/>
  <c r="BR79" i="12" s="1"/>
  <c r="BM76" i="12" a="1"/>
  <c r="BM76" i="12" s="1"/>
  <c r="BU76" i="12" a="1"/>
  <c r="BU76" i="12" s="1"/>
  <c r="CC76" i="12" a="1"/>
  <c r="CC76" i="12" s="1"/>
  <c r="BS64" i="12" a="1"/>
  <c r="BS64" i="12" s="1"/>
  <c r="CA64" i="12" a="1"/>
  <c r="CA64" i="12" s="1"/>
  <c r="BS60" i="12" a="1"/>
  <c r="BS60" i="12" s="1"/>
  <c r="CA60" i="12" a="1"/>
  <c r="CA60" i="12" s="1"/>
  <c r="BY55" i="12" a="1"/>
  <c r="BY55" i="12" s="1"/>
  <c r="BQ55" i="12" a="1"/>
  <c r="BQ55" i="12" s="1"/>
  <c r="BY53" i="12" a="1"/>
  <c r="BY53" i="12" s="1"/>
  <c r="BQ53" i="12" a="1"/>
  <c r="BQ53" i="12" s="1"/>
  <c r="BY49" i="12" a="1"/>
  <c r="BY49" i="12" s="1"/>
  <c r="BQ49" i="12" a="1"/>
  <c r="BQ49" i="12" s="1"/>
  <c r="BY45" i="12" a="1"/>
  <c r="BY45" i="12" s="1"/>
  <c r="BQ45" i="12" a="1"/>
  <c r="BQ45" i="12" s="1"/>
  <c r="BR28" i="12" a="1"/>
  <c r="BR28" i="12" s="1"/>
  <c r="BZ28" i="12" a="1"/>
  <c r="BZ28" i="12" s="1"/>
  <c r="BQ32" i="12" a="1"/>
  <c r="BQ32" i="12" s="1"/>
  <c r="BY32" i="12" a="1"/>
  <c r="BY32" i="12" s="1"/>
  <c r="BQ36" i="12" a="1"/>
  <c r="BQ36" i="12" s="1"/>
  <c r="BY36" i="12" a="1"/>
  <c r="BY36" i="12" s="1"/>
  <c r="BQ40" i="12" a="1"/>
  <c r="BQ40" i="12" s="1"/>
  <c r="BY40" i="12" a="1"/>
  <c r="BY40" i="12" s="1"/>
  <c r="BO4" i="12" a="1"/>
  <c r="BO4" i="12" s="1"/>
  <c r="BW4" i="12" a="1"/>
  <c r="BW4" i="12" s="1"/>
  <c r="CD4" i="12" a="1"/>
  <c r="CD4" i="12" s="1"/>
  <c r="BT11" i="12" a="1"/>
  <c r="BT11" i="12" s="1"/>
  <c r="CB11" i="12" a="1"/>
  <c r="CB11" i="12" s="1"/>
  <c r="BP15" i="12" a="1"/>
  <c r="BP15" i="12" s="1"/>
  <c r="BX15" i="12" a="1"/>
  <c r="BX15" i="12" s="1"/>
  <c r="BO19" i="12" a="1"/>
  <c r="BO19" i="12" s="1"/>
  <c r="BW19" i="12" a="1"/>
  <c r="BW19" i="12" s="1"/>
  <c r="CE19" i="12" a="1"/>
  <c r="CE19" i="12" s="1"/>
  <c r="CB49" i="10" a="1"/>
  <c r="CB49" i="10" s="1"/>
  <c r="Q55" i="10" a="1"/>
  <c r="Q55" i="10" s="1"/>
  <c r="T60" i="10" a="1"/>
  <c r="T60" i="10" s="1"/>
  <c r="AI64" i="10" a="1"/>
  <c r="AI64" i="10" s="1"/>
  <c r="F76" i="10" a="1"/>
  <c r="F76" i="10" s="1"/>
  <c r="O76" i="10" a="1"/>
  <c r="O76" i="10" s="1"/>
  <c r="AG76" i="10" a="1"/>
  <c r="AG76" i="10" s="1"/>
  <c r="AP76" i="10" a="1"/>
  <c r="AP76" i="10" s="1"/>
  <c r="AY76" i="10" a="1"/>
  <c r="AY76" i="10" s="1"/>
  <c r="BI76" i="10" a="1"/>
  <c r="BI76" i="10" s="1"/>
  <c r="BR76" i="10" a="1"/>
  <c r="BR76" i="10" s="1"/>
  <c r="CA76" i="10" a="1"/>
  <c r="CA76" i="10" s="1"/>
  <c r="F79" i="10" a="1"/>
  <c r="F79" i="10" s="1"/>
  <c r="N79" i="10" a="1"/>
  <c r="N79" i="10" s="1"/>
  <c r="V79" i="10" a="1"/>
  <c r="V79" i="10" s="1"/>
  <c r="AD79" i="10" a="1"/>
  <c r="AD79" i="10" s="1"/>
  <c r="AL79" i="10" a="1"/>
  <c r="AL79" i="10" s="1"/>
  <c r="AT79" i="10" a="1"/>
  <c r="AT79" i="10" s="1"/>
  <c r="BB79" i="10" a="1"/>
  <c r="BB79" i="10" s="1"/>
  <c r="BJ79" i="10" a="1"/>
  <c r="BJ79" i="10" s="1"/>
  <c r="BR79" i="10" a="1"/>
  <c r="BR79" i="10" s="1"/>
  <c r="BZ79" i="10" a="1"/>
  <c r="BZ79" i="10" s="1"/>
  <c r="F82" i="10" a="1"/>
  <c r="F82" i="10" s="1"/>
  <c r="N82" i="10" a="1"/>
  <c r="N82" i="10" s="1"/>
  <c r="V82" i="10" a="1"/>
  <c r="V82" i="10" s="1"/>
  <c r="AD82" i="10" a="1"/>
  <c r="AD82" i="10" s="1"/>
  <c r="AL82" i="10" a="1"/>
  <c r="AL82" i="10" s="1"/>
  <c r="AT82" i="10" a="1"/>
  <c r="AT82" i="10" s="1"/>
  <c r="BB82" i="10" a="1"/>
  <c r="BB82" i="10" s="1"/>
  <c r="BJ82" i="10" a="1"/>
  <c r="BJ82" i="10" s="1"/>
  <c r="BR82" i="10" a="1"/>
  <c r="BR82" i="10" s="1"/>
  <c r="BZ82" i="10" a="1"/>
  <c r="BZ82" i="10" s="1"/>
  <c r="E85" i="10" a="1"/>
  <c r="E85" i="10" s="1"/>
  <c r="M85" i="10" a="1"/>
  <c r="M85" i="10" s="1"/>
  <c r="U85" i="10" a="1"/>
  <c r="U85" i="10" s="1"/>
  <c r="AC85" i="10" a="1"/>
  <c r="AC85" i="10" s="1"/>
  <c r="AK85" i="10" a="1"/>
  <c r="AK85" i="10" s="1"/>
  <c r="AS85" i="10" a="1"/>
  <c r="AS85" i="10" s="1"/>
  <c r="BA85" i="10" a="1"/>
  <c r="BA85" i="10" s="1"/>
  <c r="BI85" i="10" a="1"/>
  <c r="BI85" i="10" s="1"/>
  <c r="BQ85" i="10" a="1"/>
  <c r="BQ85" i="10" s="1"/>
  <c r="BY85" i="10" a="1"/>
  <c r="BY85" i="10" s="1"/>
  <c r="BS82" i="12" a="1"/>
  <c r="BS82" i="12" s="1"/>
  <c r="CA82" i="12" a="1"/>
  <c r="CA82" i="12" s="1"/>
  <c r="BO85" i="12" a="1"/>
  <c r="BO85" i="12" s="1"/>
  <c r="BW85" i="12" a="1"/>
  <c r="BW85" i="12" s="1"/>
  <c r="CD85" i="12" a="1"/>
  <c r="CD85" i="12" s="1"/>
  <c r="BY79" i="12" a="1"/>
  <c r="BY79" i="12" s="1"/>
  <c r="BQ79" i="12" a="1"/>
  <c r="BQ79" i="12" s="1"/>
  <c r="BN76" i="12" a="1"/>
  <c r="BN76" i="12" s="1"/>
  <c r="BV76" i="12" a="1"/>
  <c r="BV76" i="12" s="1"/>
  <c r="CD76" i="12" a="1"/>
  <c r="CD76" i="12" s="1"/>
  <c r="BM64" i="12" a="1"/>
  <c r="BM64" i="12" s="1"/>
  <c r="BT64" i="12" a="1"/>
  <c r="BT64" i="12" s="1"/>
  <c r="CB64" i="12" a="1"/>
  <c r="CB64" i="12" s="1"/>
  <c r="BT60" i="12" a="1"/>
  <c r="BT60" i="12" s="1"/>
  <c r="CB60" i="12" a="1"/>
  <c r="CB60" i="12" s="1"/>
  <c r="BX55" i="12" a="1"/>
  <c r="BX55" i="12" s="1"/>
  <c r="BP55" i="12" a="1"/>
  <c r="BP55" i="12" s="1"/>
  <c r="BX53" i="12" a="1"/>
  <c r="BX53" i="12" s="1"/>
  <c r="BP53" i="12" a="1"/>
  <c r="BP53" i="12" s="1"/>
  <c r="BX49" i="12" a="1"/>
  <c r="BX49" i="12" s="1"/>
  <c r="BP49" i="12" a="1"/>
  <c r="BP49" i="12" s="1"/>
  <c r="BX45" i="12" a="1"/>
  <c r="BX45" i="12" s="1"/>
  <c r="BP45" i="12" a="1"/>
  <c r="BP45" i="12" s="1"/>
  <c r="BS28" i="12" a="1"/>
  <c r="BS28" i="12" s="1"/>
  <c r="CA28" i="12" a="1"/>
  <c r="CA28" i="12" s="1"/>
  <c r="M53" i="10" a="1"/>
  <c r="M53" i="10" s="1"/>
  <c r="AB55" i="10" a="1"/>
  <c r="AB55" i="10" s="1"/>
  <c r="AB60" i="10" a="1"/>
  <c r="AB60" i="10" s="1"/>
  <c r="AQ64" i="10" a="1"/>
  <c r="AQ64" i="10" s="1"/>
  <c r="G76" i="10" a="1"/>
  <c r="G76" i="10" s="1"/>
  <c r="P76" i="10" a="1"/>
  <c r="P76" i="10" s="1"/>
  <c r="Y76" i="10" a="1"/>
  <c r="Y76" i="10" s="1"/>
  <c r="AH76" i="10" a="1"/>
  <c r="AH76" i="10" s="1"/>
  <c r="AQ76" i="10" a="1"/>
  <c r="AQ76" i="10" s="1"/>
  <c r="BA76" i="10" a="1"/>
  <c r="BA76" i="10" s="1"/>
  <c r="BJ76" i="10" a="1"/>
  <c r="BJ76" i="10" s="1"/>
  <c r="BS76" i="10" a="1"/>
  <c r="BS76" i="10" s="1"/>
  <c r="CB76" i="10" a="1"/>
  <c r="CB76" i="10" s="1"/>
  <c r="G79" i="10" a="1"/>
  <c r="G79" i="10" s="1"/>
  <c r="O79" i="10" a="1"/>
  <c r="O79" i="10" s="1"/>
  <c r="W79" i="10" a="1"/>
  <c r="W79" i="10" s="1"/>
  <c r="AE79" i="10" a="1"/>
  <c r="AE79" i="10" s="1"/>
  <c r="AM79" i="10" a="1"/>
  <c r="AM79" i="10" s="1"/>
  <c r="AU79" i="10" a="1"/>
  <c r="AU79" i="10" s="1"/>
  <c r="BC79" i="10" a="1"/>
  <c r="BC79" i="10" s="1"/>
  <c r="BK79" i="10" a="1"/>
  <c r="BK79" i="10" s="1"/>
  <c r="BS79" i="10" a="1"/>
  <c r="BS79" i="10" s="1"/>
  <c r="CA79" i="10" a="1"/>
  <c r="CA79" i="10" s="1"/>
  <c r="G82" i="10" a="1"/>
  <c r="G82" i="10" s="1"/>
  <c r="O82" i="10" a="1"/>
  <c r="O82" i="10" s="1"/>
  <c r="W82" i="10" a="1"/>
  <c r="W82" i="10" s="1"/>
  <c r="AE82" i="10" a="1"/>
  <c r="AE82" i="10" s="1"/>
  <c r="AM82" i="10" a="1"/>
  <c r="AM82" i="10" s="1"/>
  <c r="AU82" i="10" a="1"/>
  <c r="AU82" i="10" s="1"/>
  <c r="BC82" i="10" a="1"/>
  <c r="BC82" i="10" s="1"/>
  <c r="BK82" i="10" a="1"/>
  <c r="BK82" i="10" s="1"/>
  <c r="BS82" i="10" a="1"/>
  <c r="BS82" i="10" s="1"/>
  <c r="CA82" i="10" a="1"/>
  <c r="CA82" i="10" s="1"/>
  <c r="F85" i="10" a="1"/>
  <c r="F85" i="10" s="1"/>
  <c r="N85" i="10" a="1"/>
  <c r="N85" i="10" s="1"/>
  <c r="V85" i="10" a="1"/>
  <c r="V85" i="10" s="1"/>
  <c r="AD85" i="10" a="1"/>
  <c r="AD85" i="10" s="1"/>
  <c r="AL85" i="10" a="1"/>
  <c r="AL85" i="10" s="1"/>
  <c r="AT85" i="10" a="1"/>
  <c r="AT85" i="10" s="1"/>
  <c r="BB85" i="10" a="1"/>
  <c r="BB85" i="10" s="1"/>
  <c r="BJ85" i="10" a="1"/>
  <c r="BJ85" i="10" s="1"/>
  <c r="BR85" i="10" a="1"/>
  <c r="BR85" i="10" s="1"/>
  <c r="BZ85" i="10" a="1"/>
  <c r="BZ85" i="10" s="1"/>
  <c r="BT82" i="12" a="1"/>
  <c r="BT82" i="12" s="1"/>
  <c r="CB82" i="12" a="1"/>
  <c r="CB82" i="12" s="1"/>
  <c r="BP85" i="12" a="1"/>
  <c r="BP85" i="12" s="1"/>
  <c r="BX85" i="12" a="1"/>
  <c r="BX85" i="12" s="1"/>
  <c r="CE85" i="12" a="1"/>
  <c r="CE85" i="12" s="1"/>
  <c r="BX79" i="12" a="1"/>
  <c r="BX79" i="12" s="1"/>
  <c r="BP79" i="12" a="1"/>
  <c r="BP79" i="12" s="1"/>
  <c r="BO76" i="12" a="1"/>
  <c r="BO76" i="12" s="1"/>
  <c r="BW76" i="12" a="1"/>
  <c r="BW76" i="12" s="1"/>
  <c r="CE76" i="12" a="1"/>
  <c r="CE76" i="12" s="1"/>
  <c r="BN64" i="12" a="1"/>
  <c r="BN64" i="12" s="1"/>
  <c r="BU64" i="12" a="1"/>
  <c r="BU64" i="12" s="1"/>
  <c r="CC64" i="12" a="1"/>
  <c r="CC64" i="12" s="1"/>
  <c r="R36" i="10" a="1"/>
  <c r="R36" i="10" s="1"/>
  <c r="Y53" i="10" a="1"/>
  <c r="Y53" i="10" s="1"/>
  <c r="AL55" i="10" a="1"/>
  <c r="AL55" i="10" s="1"/>
  <c r="AJ60" i="10" a="1"/>
  <c r="AJ60" i="10" s="1"/>
  <c r="AY64" i="10" a="1"/>
  <c r="AY64" i="10" s="1"/>
  <c r="H76" i="10" a="1"/>
  <c r="H76" i="10" s="1"/>
  <c r="Q76" i="10" a="1"/>
  <c r="Q76" i="10" s="1"/>
  <c r="Z76" i="10" a="1"/>
  <c r="Z76" i="10" s="1"/>
  <c r="AI76" i="10" a="1"/>
  <c r="AI76" i="10" s="1"/>
  <c r="AS76" i="10" a="1"/>
  <c r="AS76" i="10" s="1"/>
  <c r="BB76" i="10" a="1"/>
  <c r="BB76" i="10" s="1"/>
  <c r="BK76" i="10" a="1"/>
  <c r="BK76" i="10" s="1"/>
  <c r="BT76" i="10" a="1"/>
  <c r="BT76" i="10" s="1"/>
  <c r="CC76" i="10" a="1"/>
  <c r="CC76" i="10" s="1"/>
  <c r="H79" i="10" a="1"/>
  <c r="H79" i="10" s="1"/>
  <c r="P79" i="10" a="1"/>
  <c r="P79" i="10" s="1"/>
  <c r="AF79" i="10" a="1"/>
  <c r="AF79" i="10" s="1"/>
  <c r="AN79" i="10" a="1"/>
  <c r="AN79" i="10" s="1"/>
  <c r="AV79" i="10" a="1"/>
  <c r="AV79" i="10" s="1"/>
  <c r="BD79" i="10" a="1"/>
  <c r="BD79" i="10" s="1"/>
  <c r="BT79" i="10" a="1"/>
  <c r="BT79" i="10" s="1"/>
  <c r="CB79" i="10" a="1"/>
  <c r="CB79" i="10" s="1"/>
  <c r="H82" i="10" a="1"/>
  <c r="H82" i="10" s="1"/>
  <c r="P82" i="10" a="1"/>
  <c r="P82" i="10" s="1"/>
  <c r="AF82" i="10" a="1"/>
  <c r="AF82" i="10" s="1"/>
  <c r="AN82" i="10" a="1"/>
  <c r="AN82" i="10" s="1"/>
  <c r="AV82" i="10" a="1"/>
  <c r="AV82" i="10" s="1"/>
  <c r="BD82" i="10" a="1"/>
  <c r="BD82" i="10" s="1"/>
  <c r="BT82" i="10" a="1"/>
  <c r="BT82" i="10" s="1"/>
  <c r="CB82" i="10" a="1"/>
  <c r="CB82" i="10" s="1"/>
  <c r="G85" i="10" a="1"/>
  <c r="G85" i="10" s="1"/>
  <c r="O85" i="10" a="1"/>
  <c r="O85" i="10" s="1"/>
  <c r="W85" i="10" a="1"/>
  <c r="W85" i="10" s="1"/>
  <c r="AE85" i="10" a="1"/>
  <c r="AE85" i="10" s="1"/>
  <c r="AM85" i="10" a="1"/>
  <c r="AM85" i="10" s="1"/>
  <c r="AU85" i="10" a="1"/>
  <c r="AU85" i="10" s="1"/>
  <c r="BC85" i="10" a="1"/>
  <c r="BC85" i="10" s="1"/>
  <c r="BK85" i="10" a="1"/>
  <c r="BK85" i="10" s="1"/>
  <c r="BS85" i="10" a="1"/>
  <c r="BS85" i="10" s="1"/>
  <c r="CA85" i="10" a="1"/>
  <c r="CA85" i="10" s="1"/>
  <c r="BM82" i="12" a="1"/>
  <c r="BM82" i="12" s="1"/>
  <c r="BU82" i="12" a="1"/>
  <c r="BU82" i="12" s="1"/>
  <c r="CC82" i="12" a="1"/>
  <c r="CC82" i="12" s="1"/>
  <c r="BQ85" i="12" a="1"/>
  <c r="BQ85" i="12" s="1"/>
  <c r="BY85" i="12" a="1"/>
  <c r="BY85" i="12" s="1"/>
  <c r="CE79" i="12" a="1"/>
  <c r="CE79" i="12" s="1"/>
  <c r="BW79" i="12" a="1"/>
  <c r="BW79" i="12" s="1"/>
  <c r="BO79" i="12" a="1"/>
  <c r="BO79" i="12" s="1"/>
  <c r="BP76" i="12" a="1"/>
  <c r="BP76" i="12" s="1"/>
  <c r="BX76" i="12" a="1"/>
  <c r="BX76" i="12" s="1"/>
  <c r="BO64" i="12" a="1"/>
  <c r="BO64" i="12" s="1"/>
  <c r="BV64" i="12" a="1"/>
  <c r="BV64" i="12" s="1"/>
  <c r="CD64" i="12" a="1"/>
  <c r="CD64" i="12" s="1"/>
  <c r="BN60" i="12" a="1"/>
  <c r="BN60" i="12" s="1"/>
  <c r="BV60" i="12" a="1"/>
  <c r="BV60" i="12" s="1"/>
  <c r="CD60" i="12" a="1"/>
  <c r="CD60" i="12" s="1"/>
  <c r="CD55" i="12" a="1"/>
  <c r="CD55" i="12" s="1"/>
  <c r="BV55" i="12" a="1"/>
  <c r="BV55" i="12" s="1"/>
  <c r="BN55" i="12" a="1"/>
  <c r="BN55" i="12" s="1"/>
  <c r="CD53" i="12" a="1"/>
  <c r="CD53" i="12" s="1"/>
  <c r="BV53" i="12" a="1"/>
  <c r="BV53" i="12" s="1"/>
  <c r="BN53" i="12" a="1"/>
  <c r="BN53" i="12" s="1"/>
  <c r="CD49" i="12" a="1"/>
  <c r="CD49" i="12" s="1"/>
  <c r="BV49" i="12" a="1"/>
  <c r="BV49" i="12" s="1"/>
  <c r="BN49" i="12" a="1"/>
  <c r="BN49" i="12" s="1"/>
  <c r="CD45" i="12" a="1"/>
  <c r="CD45" i="12" s="1"/>
  <c r="BV45" i="12" a="1"/>
  <c r="BV45" i="12" s="1"/>
  <c r="BN45" i="12" a="1"/>
  <c r="BN45" i="12" s="1"/>
  <c r="BM28" i="12" a="1"/>
  <c r="BM28" i="12" s="1"/>
  <c r="BU28" i="12" a="1"/>
  <c r="BU28" i="12" s="1"/>
  <c r="CC28" i="12" a="1"/>
  <c r="CC28" i="12" s="1"/>
  <c r="BT32" i="12" a="1"/>
  <c r="BT32" i="12" s="1"/>
  <c r="CB32" i="12" a="1"/>
  <c r="CB32" i="12" s="1"/>
  <c r="BT36" i="12" a="1"/>
  <c r="BT36" i="12" s="1"/>
  <c r="CB36" i="12" a="1"/>
  <c r="CB36" i="12" s="1"/>
  <c r="BT40" i="12" a="1"/>
  <c r="BT40" i="12" s="1"/>
  <c r="CB40" i="12" a="1"/>
  <c r="CB40" i="12" s="1"/>
  <c r="BR4" i="12" a="1"/>
  <c r="BR4" i="12" s="1"/>
  <c r="BJ45" i="10" a="1"/>
  <c r="BJ45" i="10" s="1"/>
  <c r="AW53" i="10" a="1"/>
  <c r="AW53" i="10" s="1"/>
  <c r="BH55" i="10" a="1"/>
  <c r="BH55" i="10" s="1"/>
  <c r="AZ60" i="10" a="1"/>
  <c r="AZ60" i="10" s="1"/>
  <c r="BO64" i="10" a="1"/>
  <c r="BO64" i="10" s="1"/>
  <c r="J76" i="10" a="1"/>
  <c r="J76" i="10" s="1"/>
  <c r="S76" i="10" a="1"/>
  <c r="S76" i="10" s="1"/>
  <c r="AC76" i="10" a="1"/>
  <c r="AC76" i="10" s="1"/>
  <c r="AL76" i="10" a="1"/>
  <c r="AL76" i="10" s="1"/>
  <c r="AU76" i="10" a="1"/>
  <c r="AU76" i="10" s="1"/>
  <c r="BD76" i="10" a="1"/>
  <c r="BD76" i="10" s="1"/>
  <c r="BM76" i="10" a="1"/>
  <c r="BM76" i="10" s="1"/>
  <c r="BV76" i="10" a="1"/>
  <c r="BV76" i="10" s="1"/>
  <c r="CE76" i="10" a="1"/>
  <c r="CE76" i="10" s="1"/>
  <c r="J79" i="10" a="1"/>
  <c r="J79" i="10" s="1"/>
  <c r="R79" i="10" a="1"/>
  <c r="R79" i="10" s="1"/>
  <c r="Z79" i="10" a="1"/>
  <c r="Z79" i="10" s="1"/>
  <c r="AH79" i="10" a="1"/>
  <c r="AH79" i="10" s="1"/>
  <c r="AP79" i="10" a="1"/>
  <c r="AP79" i="10" s="1"/>
  <c r="AX79" i="10" a="1"/>
  <c r="AX79" i="10" s="1"/>
  <c r="BF79" i="10" a="1"/>
  <c r="BF79" i="10" s="1"/>
  <c r="BN79" i="10" a="1"/>
  <c r="BN79" i="10" s="1"/>
  <c r="BV79" i="10" a="1"/>
  <c r="BV79" i="10" s="1"/>
  <c r="CD79" i="10" a="1"/>
  <c r="CD79" i="10" s="1"/>
  <c r="J82" i="10" a="1"/>
  <c r="J82" i="10" s="1"/>
  <c r="R82" i="10" a="1"/>
  <c r="R82" i="10" s="1"/>
  <c r="Z82" i="10" a="1"/>
  <c r="Z82" i="10" s="1"/>
  <c r="AH82" i="10" a="1"/>
  <c r="AH82" i="10" s="1"/>
  <c r="AP82" i="10" a="1"/>
  <c r="AP82" i="10" s="1"/>
  <c r="AX82" i="10" a="1"/>
  <c r="AX82" i="10" s="1"/>
  <c r="BF82" i="10" a="1"/>
  <c r="BF82" i="10" s="1"/>
  <c r="BN82" i="10" a="1"/>
  <c r="BN82" i="10" s="1"/>
  <c r="BV82" i="10" a="1"/>
  <c r="BV82" i="10" s="1"/>
  <c r="CD82" i="10" a="1"/>
  <c r="CD82" i="10" s="1"/>
  <c r="I85" i="10" a="1"/>
  <c r="I85" i="10" s="1"/>
  <c r="Q85" i="10" a="1"/>
  <c r="Q85" i="10" s="1"/>
  <c r="Y85" i="10" a="1"/>
  <c r="Y85" i="10" s="1"/>
  <c r="AG85" i="10" a="1"/>
  <c r="AG85" i="10" s="1"/>
  <c r="AO85" i="10" a="1"/>
  <c r="AO85" i="10" s="1"/>
  <c r="AW85" i="10" a="1"/>
  <c r="AW85" i="10" s="1"/>
  <c r="BE85" i="10" a="1"/>
  <c r="BE85" i="10" s="1"/>
  <c r="BM85" i="10" a="1"/>
  <c r="BM85" i="10" s="1"/>
  <c r="BU85" i="10" a="1"/>
  <c r="BU85" i="10" s="1"/>
  <c r="CC85" i="10" a="1"/>
  <c r="CC85" i="10" s="1"/>
  <c r="BO82" i="12" a="1"/>
  <c r="BO82" i="12" s="1"/>
  <c r="BW82" i="12" a="1"/>
  <c r="BW82" i="12" s="1"/>
  <c r="CE82" i="12" a="1"/>
  <c r="CE82" i="12" s="1"/>
  <c r="BS85" i="12" a="1"/>
  <c r="BS85" i="12" s="1"/>
  <c r="CC79" i="12" a="1"/>
  <c r="CC79" i="12" s="1"/>
  <c r="BU79" i="12" a="1"/>
  <c r="BU79" i="12" s="1"/>
  <c r="BM79" i="12" a="1"/>
  <c r="BM79" i="12" s="1"/>
  <c r="BR76" i="12" a="1"/>
  <c r="BR76" i="12" s="1"/>
  <c r="BZ76" i="12" a="1"/>
  <c r="BZ76" i="12" s="1"/>
  <c r="BQ64" i="12" a="1"/>
  <c r="BQ64" i="12" s="1"/>
  <c r="BX64" i="12" a="1"/>
  <c r="BX64" i="12" s="1"/>
  <c r="BP60" i="12" a="1"/>
  <c r="BP60" i="12" s="1"/>
  <c r="BX60" i="12" a="1"/>
  <c r="BX60" i="12" s="1"/>
  <c r="CB55" i="12" a="1"/>
  <c r="CB55" i="12" s="1"/>
  <c r="BT55" i="12" a="1"/>
  <c r="BT55" i="12" s="1"/>
  <c r="CB53" i="12" a="1"/>
  <c r="CB53" i="12" s="1"/>
  <c r="BT53" i="12" a="1"/>
  <c r="BT53" i="12" s="1"/>
  <c r="CB49" i="12" a="1"/>
  <c r="CB49" i="12" s="1"/>
  <c r="BT49" i="12" a="1"/>
  <c r="BT49" i="12" s="1"/>
  <c r="CB45" i="12" a="1"/>
  <c r="CB45" i="12" s="1"/>
  <c r="BT45" i="12" a="1"/>
  <c r="BT45" i="12" s="1"/>
  <c r="BO28" i="12" a="1"/>
  <c r="BO28" i="12" s="1"/>
  <c r="BW28" i="12" a="1"/>
  <c r="BW28" i="12" s="1"/>
  <c r="CE28" i="12" a="1"/>
  <c r="CE28" i="12" s="1"/>
  <c r="BN32" i="12" a="1"/>
  <c r="BN32" i="12" s="1"/>
  <c r="BV32" i="12" a="1"/>
  <c r="BV32" i="12" s="1"/>
  <c r="CD32" i="12" a="1"/>
  <c r="CD32" i="12" s="1"/>
  <c r="BN36" i="12" a="1"/>
  <c r="BN36" i="12" s="1"/>
  <c r="BV36" i="12" a="1"/>
  <c r="BV36" i="12" s="1"/>
  <c r="CD36" i="12" a="1"/>
  <c r="CD36" i="12" s="1"/>
  <c r="BN40" i="12" a="1"/>
  <c r="BN40" i="12" s="1"/>
  <c r="BV40" i="12" a="1"/>
  <c r="BV40" i="12" s="1"/>
  <c r="CD40" i="12" a="1"/>
  <c r="CD40" i="12" s="1"/>
  <c r="BM4" i="12" a="1"/>
  <c r="BM4" i="12" s="1"/>
  <c r="BT4" i="12" a="1"/>
  <c r="BT4" i="12" s="1"/>
  <c r="CA4" i="12" a="1"/>
  <c r="CA4" i="12" s="1"/>
  <c r="BQ11" i="12" a="1"/>
  <c r="BQ11" i="12" s="1"/>
  <c r="BY11" i="12" a="1"/>
  <c r="BY11" i="12" s="1"/>
  <c r="BN15" i="12" a="1"/>
  <c r="BN15" i="12" s="1"/>
  <c r="BU15" i="12" a="1"/>
  <c r="BU15" i="12" s="1"/>
  <c r="CC15" i="12" a="1"/>
  <c r="CC15" i="12" s="1"/>
  <c r="BT19" i="12" a="1"/>
  <c r="BT19" i="12" s="1"/>
  <c r="CB19" i="12" a="1"/>
  <c r="CB19" i="12" s="1"/>
  <c r="BZ24" i="12" a="1"/>
  <c r="BZ24" i="12" s="1"/>
  <c r="CD23" i="12" a="1"/>
  <c r="CD23" i="12" s="1"/>
  <c r="BX23" i="12" a="1"/>
  <c r="BX23" i="12" s="1"/>
  <c r="CD22" i="12" a="1"/>
  <c r="CD22" i="12" s="1"/>
  <c r="BO22" i="12" a="1"/>
  <c r="BO22" i="12" s="1"/>
  <c r="BP23" i="12" a="1"/>
  <c r="BP23" i="12" s="1"/>
  <c r="BQ20" i="12" a="1"/>
  <c r="BQ20" i="12" s="1"/>
  <c r="BP19" i="12" a="1"/>
  <c r="BP19" i="12" s="1"/>
  <c r="BN18" i="12" a="1"/>
  <c r="BN18" i="12" s="1"/>
  <c r="BM17" i="12" a="1"/>
  <c r="BM17" i="12" s="1"/>
  <c r="BV15" i="12" a="1"/>
  <c r="BV15" i="12" s="1"/>
  <c r="BV12" i="12" a="1"/>
  <c r="BV12" i="12" s="1"/>
  <c r="BU11" i="12" a="1"/>
  <c r="BU11" i="12" s="1"/>
  <c r="CD10" i="12" a="1"/>
  <c r="CD10" i="12" s="1"/>
  <c r="BT10" i="12" a="1"/>
  <c r="BT10" i="12" s="1"/>
  <c r="BS5" i="12" a="1"/>
  <c r="BS5" i="12" s="1"/>
  <c r="BQ4" i="12" a="1"/>
  <c r="BQ4" i="12" s="1"/>
  <c r="BV26" i="12" a="1"/>
  <c r="BV26" i="12" s="1"/>
  <c r="BX38" i="12" a="1"/>
  <c r="BX38" i="12" s="1"/>
  <c r="CE37" i="12" a="1"/>
  <c r="CE37" i="12" s="1"/>
  <c r="BZ36" i="12" a="1"/>
  <c r="BZ36" i="12" s="1"/>
  <c r="BM36" i="12" a="1"/>
  <c r="BM36" i="12" s="1"/>
  <c r="BT35" i="12" a="1"/>
  <c r="BT35" i="12" s="1"/>
  <c r="CA34" i="12" a="1"/>
  <c r="CA34" i="12" s="1"/>
  <c r="BO34" i="12" a="1"/>
  <c r="BO34" i="12" s="1"/>
  <c r="BV33" i="12" a="1"/>
  <c r="BV33" i="12" s="1"/>
  <c r="CC32" i="12" a="1"/>
  <c r="CC32" i="12" s="1"/>
  <c r="BP32" i="12" a="1"/>
  <c r="BP32" i="12" s="1"/>
  <c r="BW31" i="12" a="1"/>
  <c r="BW31" i="12" s="1"/>
  <c r="CE30" i="12" a="1"/>
  <c r="CE30" i="12" s="1"/>
  <c r="BR30" i="12" a="1"/>
  <c r="BR30" i="12" s="1"/>
  <c r="BY29" i="12" a="1"/>
  <c r="BY29" i="12" s="1"/>
  <c r="BM29" i="12" a="1"/>
  <c r="BM29" i="12" s="1"/>
  <c r="BQ28" i="12" a="1"/>
  <c r="BQ28" i="12" s="1"/>
  <c r="BU27" i="12" a="1"/>
  <c r="BU27" i="12" s="1"/>
  <c r="CC43" i="12" a="1"/>
  <c r="CC43" i="12" s="1"/>
  <c r="BU45" i="12" a="1"/>
  <c r="BU45" i="12" s="1"/>
  <c r="BM47" i="12" a="1"/>
  <c r="BM47" i="12" s="1"/>
  <c r="BY48" i="12" a="1"/>
  <c r="BY48" i="12" s="1"/>
  <c r="BQ50" i="12" a="1"/>
  <c r="BQ50" i="12" s="1"/>
  <c r="CC51" i="12" a="1"/>
  <c r="CC51" i="12" s="1"/>
  <c r="BU53" i="12" a="1"/>
  <c r="BU53" i="12" s="1"/>
  <c r="BM55" i="12" a="1"/>
  <c r="BM55" i="12" s="1"/>
  <c r="BX56" i="12" a="1"/>
  <c r="BX56" i="12" s="1"/>
  <c r="BP58" i="12" a="1"/>
  <c r="BP58" i="12" s="1"/>
  <c r="BO60" i="12" a="1"/>
  <c r="BO60" i="12" s="1"/>
  <c r="BT62" i="12" a="1"/>
  <c r="BT62" i="12" s="1"/>
  <c r="BQ72" i="12" a="1"/>
  <c r="BQ72" i="12" s="1"/>
  <c r="BN68" i="12" a="1"/>
  <c r="BN68" i="12" s="1"/>
  <c r="CE64" i="12" a="1"/>
  <c r="CE64" i="12" s="1"/>
  <c r="CC77" i="12" a="1"/>
  <c r="CC77" i="12" s="1"/>
  <c r="BZ85" i="12" a="1"/>
  <c r="BZ85" i="12" s="1"/>
  <c r="BV82" i="12" a="1"/>
  <c r="BV82" i="12" s="1"/>
  <c r="CB2" i="10" a="1"/>
  <c r="CB2" i="10" s="1"/>
  <c r="P2" i="10" a="1"/>
  <c r="P2" i="10" s="1"/>
  <c r="AF85" i="10" a="1"/>
  <c r="AF85" i="10" s="1"/>
  <c r="AV84" i="10" a="1"/>
  <c r="AV84" i="10" s="1"/>
  <c r="BM83" i="10" a="1"/>
  <c r="BM83" i="10" s="1"/>
  <c r="CC82" i="10" a="1"/>
  <c r="CC82" i="10" s="1"/>
  <c r="Q82" i="10" a="1"/>
  <c r="Q82" i="10" s="1"/>
  <c r="AG81" i="10" a="1"/>
  <c r="AG81" i="10" s="1"/>
  <c r="AW80" i="10" a="1"/>
  <c r="AW80" i="10" s="1"/>
  <c r="BM79" i="10" a="1"/>
  <c r="BM79" i="10" s="1"/>
  <c r="CC77" i="10" a="1"/>
  <c r="CC77" i="10" s="1"/>
  <c r="K77" i="10" a="1"/>
  <c r="K77" i="10" s="1"/>
  <c r="R76" i="10" a="1"/>
  <c r="R76" i="10" s="1"/>
  <c r="Y75" i="10" a="1"/>
  <c r="Y75" i="10" s="1"/>
  <c r="W73" i="10" a="1"/>
  <c r="W73" i="10" s="1"/>
  <c r="M72" i="10" a="1"/>
  <c r="M72" i="10" s="1"/>
  <c r="BF70" i="10" a="1"/>
  <c r="BF70" i="10" s="1"/>
  <c r="AW67" i="10" a="1"/>
  <c r="AW67" i="10" s="1"/>
  <c r="K63" i="10" a="1"/>
  <c r="K63" i="10" s="1"/>
  <c r="AW55" i="10" a="1"/>
  <c r="AW55" i="10" s="1"/>
  <c r="D47" i="12" a="1"/>
  <c r="D47" i="12" s="1"/>
  <c r="D50" i="12" l="1" a="1"/>
  <c r="D50" i="12" s="1"/>
  <c r="BL48" i="10" a="1"/>
  <c r="BL48" i="10" s="1"/>
  <c r="D48" i="10" a="1"/>
  <c r="D48" i="10" s="1"/>
  <c r="BL52" i="12" a="1"/>
  <c r="BL52" i="12" s="1"/>
  <c r="BL39" i="10" a="1"/>
  <c r="BL39" i="10" s="1"/>
  <c r="BL52" i="10" a="1"/>
  <c r="BL52" i="10" s="1"/>
  <c r="BL3" i="10" a="1"/>
  <c r="BL3" i="10" s="1"/>
  <c r="BL31" i="12" a="1"/>
  <c r="BL31" i="12" s="1"/>
  <c r="BL59" i="12" a="1"/>
  <c r="BL59" i="12" s="1"/>
  <c r="D52" i="10" a="1"/>
  <c r="D52" i="10" s="1"/>
  <c r="X63" i="10" a="1"/>
  <c r="X63" i="10" s="1"/>
  <c r="D39" i="10" a="1"/>
  <c r="D39" i="10" s="1"/>
  <c r="AR22" i="10" a="1"/>
  <c r="AR22" i="10" s="1"/>
  <c r="D8" i="10" a="1"/>
  <c r="D8" i="10" s="1"/>
  <c r="D59" i="10" a="1"/>
  <c r="D59" i="10" s="1"/>
  <c r="BL75" i="12" a="1"/>
  <c r="BL75" i="12" s="1"/>
  <c r="AR59" i="10" a="1"/>
  <c r="AR59" i="10" s="1"/>
  <c r="BL48" i="12" a="1"/>
  <c r="BL48" i="12" s="1"/>
  <c r="AR52" i="10" a="1"/>
  <c r="AR52" i="10" s="1"/>
  <c r="AR44" i="10" a="1"/>
  <c r="AR44" i="10" s="1"/>
  <c r="X39" i="10" a="1"/>
  <c r="X39" i="10" s="1"/>
  <c r="D35" i="10" a="1"/>
  <c r="D35" i="10" s="1"/>
  <c r="BL8" i="10" a="1"/>
  <c r="BL8" i="10" s="1"/>
  <c r="X75" i="10" a="1"/>
  <c r="X75" i="10" s="1"/>
  <c r="BL3" i="12" a="1"/>
  <c r="BL3" i="12" s="1"/>
  <c r="BL27" i="12" a="1"/>
  <c r="BL27" i="12" s="1"/>
  <c r="BL63" i="10" a="1"/>
  <c r="BL63" i="10" s="1"/>
  <c r="D75" i="10" a="1"/>
  <c r="D75" i="10" s="1"/>
  <c r="AR39" i="10" a="1"/>
  <c r="AR39" i="10" s="1"/>
  <c r="AR31" i="12" a="1"/>
  <c r="AR31" i="12" s="1"/>
  <c r="D80" i="12" a="1"/>
  <c r="D80" i="12" s="1"/>
  <c r="D63" i="10" a="1"/>
  <c r="D63" i="10" s="1"/>
  <c r="X48" i="10" a="1"/>
  <c r="X48" i="10" s="1"/>
  <c r="X59" i="10" a="1"/>
  <c r="X59" i="10" s="1"/>
  <c r="X10" i="10" a="1"/>
  <c r="X10" i="10" s="1"/>
  <c r="AR18" i="10" a="1"/>
  <c r="AR18" i="10" s="1"/>
  <c r="D71" i="12" a="1"/>
  <c r="D71" i="12" s="1"/>
  <c r="D83" i="12" a="1"/>
  <c r="D83" i="12" s="1"/>
  <c r="BL73" i="12" a="1"/>
  <c r="BL73" i="12" s="1"/>
  <c r="AR75" i="10" a="1"/>
  <c r="AR75" i="10" s="1"/>
  <c r="X27" i="10" a="1"/>
  <c r="X27" i="10" s="1"/>
  <c r="X22" i="10" a="1"/>
  <c r="X22" i="10" s="1"/>
  <c r="BL14" i="12" a="1"/>
  <c r="BL14" i="12" s="1"/>
  <c r="BL10" i="12" a="1"/>
  <c r="BL10" i="12" s="1"/>
  <c r="BL44" i="12" a="1"/>
  <c r="BL44" i="12" s="1"/>
  <c r="BL75" i="10" a="1"/>
  <c r="BL75" i="10" s="1"/>
  <c r="AR63" i="10" a="1"/>
  <c r="AR63" i="10" s="1"/>
  <c r="AR3" i="10" a="1"/>
  <c r="AR3" i="10" s="1"/>
  <c r="AR14" i="12" a="1"/>
  <c r="AR14" i="12" s="1"/>
  <c r="X8" i="10" a="1"/>
  <c r="X8" i="10" s="1"/>
  <c r="BL27" i="10" a="1"/>
  <c r="BL27" i="10" s="1"/>
  <c r="X52" i="10" a="1"/>
  <c r="X52" i="10" s="1"/>
  <c r="BL59" i="10" a="1"/>
  <c r="BL59" i="10" s="1"/>
  <c r="D44" i="10" a="1"/>
  <c r="D44" i="10" s="1"/>
  <c r="X3" i="10" a="1"/>
  <c r="X3" i="10" s="1"/>
  <c r="X44" i="12" a="1"/>
  <c r="X44" i="12" s="1"/>
  <c r="AR27" i="10" a="1"/>
  <c r="AR27" i="10" s="1"/>
  <c r="X35" i="10" a="1"/>
  <c r="X35" i="10" s="1"/>
  <c r="AR22" i="12" a="1"/>
  <c r="AR22" i="12" s="1"/>
  <c r="AR52" i="12" a="1"/>
  <c r="AR52" i="12" s="1"/>
  <c r="AR48" i="12" a="1"/>
  <c r="AR48" i="12" s="1"/>
  <c r="X18" i="10" a="1"/>
  <c r="X18" i="10" s="1"/>
  <c r="AR10" i="10" a="1"/>
  <c r="AR10" i="10" s="1"/>
  <c r="X6" i="12" a="1"/>
  <c r="X6" i="12" s="1"/>
  <c r="AR18" i="12" a="1"/>
  <c r="AR18" i="12" s="1"/>
  <c r="X75" i="12" a="1"/>
  <c r="X75" i="12" s="1"/>
  <c r="BL11" i="12" a="1"/>
  <c r="BL11" i="12" s="1"/>
  <c r="BL64" i="12" a="1"/>
  <c r="BL64" i="12" s="1"/>
  <c r="BL6" i="10" a="1"/>
  <c r="BL6" i="10" s="1"/>
  <c r="X31" i="10" a="1"/>
  <c r="X31" i="10" s="1"/>
  <c r="D10" i="10" a="1"/>
  <c r="D10" i="10" s="1"/>
  <c r="AR10" i="12" a="1"/>
  <c r="AR10" i="12" s="1"/>
  <c r="X39" i="12" a="1"/>
  <c r="X39" i="12" s="1"/>
  <c r="BL44" i="10" a="1"/>
  <c r="BL44" i="10" s="1"/>
  <c r="X35" i="12" a="1"/>
  <c r="X35" i="12" s="1"/>
  <c r="X59" i="12" a="1"/>
  <c r="X59" i="12" s="1"/>
  <c r="D75" i="12" a="1"/>
  <c r="D75" i="12" s="1"/>
  <c r="BL63" i="12" a="1"/>
  <c r="BL63" i="12" s="1"/>
  <c r="BL68" i="12" a="1"/>
  <c r="BL68" i="12" s="1"/>
  <c r="BL84" i="12" a="1"/>
  <c r="BL84" i="12" s="1"/>
  <c r="X68" i="10" a="1"/>
  <c r="X68" i="10" s="1"/>
  <c r="D57" i="12" a="1"/>
  <c r="D57" i="12" s="1"/>
  <c r="X81" i="10" a="1"/>
  <c r="X81" i="10" s="1"/>
  <c r="D67" i="12" a="1"/>
  <c r="D67" i="12" s="1"/>
  <c r="X14" i="10" a="1"/>
  <c r="X14" i="10" s="1"/>
  <c r="BL31" i="10" a="1"/>
  <c r="BL31" i="10" s="1"/>
  <c r="BL14" i="10" a="1"/>
  <c r="BL14" i="10" s="1"/>
  <c r="D14" i="10" a="1"/>
  <c r="D14" i="10" s="1"/>
  <c r="AR6" i="12" a="1"/>
  <c r="AR6" i="12" s="1"/>
  <c r="AR35" i="12" a="1"/>
  <c r="AR35" i="12" s="1"/>
  <c r="AR44" i="12" a="1"/>
  <c r="AR44" i="12" s="1"/>
  <c r="X3" i="12" a="1"/>
  <c r="X3" i="12" s="1"/>
  <c r="AR59" i="12" a="1"/>
  <c r="AR59" i="12" s="1"/>
  <c r="X10" i="12" a="1"/>
  <c r="X10" i="12" s="1"/>
  <c r="D31" i="10" a="1"/>
  <c r="D31" i="10" s="1"/>
  <c r="BL22" i="10" a="1"/>
  <c r="BL22" i="10" s="1"/>
  <c r="X18" i="12" a="1"/>
  <c r="X18" i="12" s="1"/>
  <c r="AR27" i="12" a="1"/>
  <c r="AR27" i="12" s="1"/>
  <c r="AR75" i="12" a="1"/>
  <c r="AR75" i="12" s="1"/>
  <c r="AR48" i="10" a="1"/>
  <c r="AR48" i="10" s="1"/>
  <c r="AR35" i="10" a="1"/>
  <c r="AR35" i="10" s="1"/>
  <c r="D27" i="10" a="1"/>
  <c r="D27" i="10" s="1"/>
  <c r="BL18" i="10" a="1"/>
  <c r="BL18" i="10" s="1"/>
  <c r="D22" i="10" a="1"/>
  <c r="D22" i="10" s="1"/>
  <c r="AR8" i="10" a="1"/>
  <c r="AR8" i="10" s="1"/>
  <c r="BL65" i="12" a="1"/>
  <c r="BL65" i="12" s="1"/>
  <c r="X84" i="10" a="1"/>
  <c r="X84" i="10" s="1"/>
  <c r="X73" i="10" a="1"/>
  <c r="X73" i="10" s="1"/>
  <c r="AR79" i="10" a="1"/>
  <c r="AR79" i="10" s="1"/>
  <c r="D64" i="10" a="1"/>
  <c r="D64" i="10" s="1"/>
  <c r="X55" i="10" a="1"/>
  <c r="X55" i="10" s="1"/>
  <c r="AR28" i="10" a="1"/>
  <c r="AR28" i="10" s="1"/>
  <c r="AR79" i="12" a="1"/>
  <c r="AR79" i="12" s="1"/>
  <c r="AR60" i="12" a="1"/>
  <c r="AR60" i="12" s="1"/>
  <c r="BL19" i="12" a="1"/>
  <c r="BL19" i="12" s="1"/>
  <c r="BL49" i="12" a="1"/>
  <c r="BL49" i="12" s="1"/>
  <c r="BL79" i="10" a="1"/>
  <c r="BL79" i="10" s="1"/>
  <c r="AR85" i="10" a="1"/>
  <c r="AR85" i="10" s="1"/>
  <c r="BL76" i="12" a="1"/>
  <c r="BL76" i="12" s="1"/>
  <c r="D60" i="10" a="1"/>
  <c r="D60" i="10" s="1"/>
  <c r="BL64" i="10" a="1"/>
  <c r="BL64" i="10" s="1"/>
  <c r="AR40" i="10" a="1"/>
  <c r="AR40" i="10" s="1"/>
  <c r="BL23" i="10" a="1"/>
  <c r="BL23" i="10" s="1"/>
  <c r="BL28" i="10" a="1"/>
  <c r="BL28" i="10" s="1"/>
  <c r="AR23" i="10" a="1"/>
  <c r="AR23" i="10" s="1"/>
  <c r="AR4" i="12" a="1"/>
  <c r="AR4" i="12" s="1"/>
  <c r="AR15" i="12" a="1"/>
  <c r="AR15" i="12" s="1"/>
  <c r="AR64" i="12" a="1"/>
  <c r="AR64" i="12" s="1"/>
  <c r="X36" i="12" a="1"/>
  <c r="X36" i="12" s="1"/>
  <c r="BL15" i="12" a="1"/>
  <c r="BL15" i="12" s="1"/>
  <c r="BL32" i="12" a="1"/>
  <c r="BL32" i="12" s="1"/>
  <c r="BL82" i="12" a="1"/>
  <c r="BL82" i="12" s="1"/>
  <c r="BL60" i="12" a="1"/>
  <c r="BL60" i="12" s="1"/>
  <c r="AR64" i="10" a="1"/>
  <c r="AR64" i="10" s="1"/>
  <c r="X53" i="10" a="1"/>
  <c r="X53" i="10" s="1"/>
  <c r="D76" i="10" a="1"/>
  <c r="D76" i="10" s="1"/>
  <c r="X45" i="10" a="1"/>
  <c r="X45" i="10" s="1"/>
  <c r="D32" i="10" a="1"/>
  <c r="D32" i="10" s="1"/>
  <c r="BL7" i="12" a="1"/>
  <c r="BL7" i="12" s="1"/>
  <c r="AR11" i="12" a="1"/>
  <c r="AR11" i="12" s="1"/>
  <c r="D11" i="12" a="1"/>
  <c r="D11" i="12" s="1"/>
  <c r="BL53" i="12" a="1"/>
  <c r="BL53" i="12" s="1"/>
  <c r="X82" i="10" a="1"/>
  <c r="X82" i="10" s="1"/>
  <c r="D53" i="10" a="1"/>
  <c r="D53" i="10" s="1"/>
  <c r="D49" i="10" a="1"/>
  <c r="D49" i="10" s="1"/>
  <c r="X11" i="10" a="1"/>
  <c r="X11" i="10" s="1"/>
  <c r="BL11" i="10" a="1"/>
  <c r="BL11" i="10" s="1"/>
  <c r="X36" i="10" a="1"/>
  <c r="X36" i="10" s="1"/>
  <c r="D15" i="10" a="1"/>
  <c r="D15" i="10" s="1"/>
  <c r="AR19" i="12" a="1"/>
  <c r="AR19" i="12" s="1"/>
  <c r="X4" i="12" a="1"/>
  <c r="X4" i="12" s="1"/>
  <c r="X55" i="12" a="1"/>
  <c r="X55" i="12" s="1"/>
  <c r="X82" i="12" a="1"/>
  <c r="X82" i="12" s="1"/>
  <c r="D28" i="12" a="1"/>
  <c r="D28" i="12" s="1"/>
  <c r="D28" i="10" a="1"/>
  <c r="D28" i="10" s="1"/>
  <c r="BL4" i="10" a="1"/>
  <c r="BL4" i="10" s="1"/>
  <c r="D11" i="10" a="1"/>
  <c r="D11" i="10" s="1"/>
  <c r="AR4" i="10" a="1"/>
  <c r="AR4" i="10" s="1"/>
  <c r="AR40" i="12" a="1"/>
  <c r="AR40" i="12" s="1"/>
  <c r="X85" i="12" a="1"/>
  <c r="X85" i="12" s="1"/>
  <c r="D79" i="10" a="1"/>
  <c r="D79" i="10" s="1"/>
  <c r="X64" i="10" a="1"/>
  <c r="X64" i="10" s="1"/>
  <c r="BL53" i="10" a="1"/>
  <c r="BL53" i="10" s="1"/>
  <c r="D40" i="10" a="1"/>
  <c r="D40" i="10" s="1"/>
  <c r="BL45" i="10" a="1"/>
  <c r="BL45" i="10" s="1"/>
  <c r="AR32" i="10" a="1"/>
  <c r="AR32" i="10" s="1"/>
  <c r="D23" i="10" a="1"/>
  <c r="D23" i="10" s="1"/>
  <c r="X28" i="10" a="1"/>
  <c r="X28" i="10" s="1"/>
  <c r="AR28" i="12" a="1"/>
  <c r="AR28" i="12" s="1"/>
  <c r="X32" i="12" a="1"/>
  <c r="X32" i="12" s="1"/>
  <c r="BL49" i="10" a="1"/>
  <c r="BL49" i="10" s="1"/>
  <c r="BL45" i="12" a="1"/>
  <c r="BL45" i="12" s="1"/>
  <c r="D85" i="10" a="1"/>
  <c r="D85" i="10" s="1"/>
  <c r="AR76" i="10" a="1"/>
  <c r="AR76" i="10" s="1"/>
  <c r="X49" i="10" a="1"/>
  <c r="X49" i="10" s="1"/>
  <c r="BL82" i="10" a="1"/>
  <c r="BL82" i="10" s="1"/>
  <c r="AR82" i="10" a="1"/>
  <c r="AR82" i="10" s="1"/>
  <c r="BL85" i="12" a="1"/>
  <c r="BL85" i="12" s="1"/>
  <c r="BL60" i="10" a="1"/>
  <c r="BL60" i="10" s="1"/>
  <c r="AR53" i="10" a="1"/>
  <c r="AR53" i="10" s="1"/>
  <c r="BL55" i="10" a="1"/>
  <c r="BL55" i="10" s="1"/>
  <c r="X23" i="10" a="1"/>
  <c r="X23" i="10" s="1"/>
  <c r="AR19" i="10" a="1"/>
  <c r="AR19" i="10" s="1"/>
  <c r="AR15" i="10" a="1"/>
  <c r="AR15" i="10" s="1"/>
  <c r="D4" i="12" a="1"/>
  <c r="D4" i="12" s="1"/>
  <c r="D49" i="12" a="1"/>
  <c r="D49" i="12" s="1"/>
  <c r="BL40" i="12" a="1"/>
  <c r="BL40" i="12" s="1"/>
  <c r="BL36" i="12" a="1"/>
  <c r="BL36" i="12" s="1"/>
  <c r="D55" i="10" a="1"/>
  <c r="D55" i="10" s="1"/>
  <c r="BL40" i="10" a="1"/>
  <c r="BL40" i="10" s="1"/>
  <c r="X45" i="12" a="1"/>
  <c r="X45" i="12" s="1"/>
  <c r="BL73" i="10" a="1"/>
  <c r="BL73" i="10" s="1"/>
  <c r="BL66" i="12" a="1"/>
  <c r="BL66" i="12" s="1"/>
  <c r="AR57" i="10" a="1"/>
  <c r="AR57" i="10" s="1"/>
  <c r="X72" i="10" a="1"/>
  <c r="X72" i="10" s="1"/>
  <c r="D57" i="10" a="1"/>
  <c r="D57" i="10" s="1"/>
  <c r="BL72" i="10" a="1"/>
  <c r="BL72" i="10" s="1"/>
  <c r="BL66" i="10" a="1"/>
  <c r="BL66" i="10" s="1"/>
  <c r="BL81" i="10" a="1"/>
  <c r="BL81" i="10" s="1"/>
  <c r="D81" i="10" a="1"/>
  <c r="D81" i="10" s="1"/>
  <c r="D65" i="10" a="1"/>
  <c r="D65" i="10" s="1"/>
  <c r="X65" i="12" a="1"/>
  <c r="X65" i="12" s="1"/>
  <c r="X53" i="12" a="1"/>
  <c r="X53" i="12" s="1"/>
  <c r="D64" i="12" a="1"/>
  <c r="D64" i="12" s="1"/>
  <c r="X7" i="10" a="1"/>
  <c r="X7" i="10" s="1"/>
  <c r="D32" i="12" a="1"/>
  <c r="D32" i="12" s="1"/>
  <c r="AR36" i="12" a="1"/>
  <c r="AR36" i="12" s="1"/>
  <c r="AR7" i="12" a="1"/>
  <c r="AR7" i="12" s="1"/>
  <c r="AR23" i="12" a="1"/>
  <c r="AR23" i="12" s="1"/>
  <c r="D36" i="12" a="1"/>
  <c r="D36" i="12" s="1"/>
  <c r="D45" i="12" a="1"/>
  <c r="D45" i="12" s="1"/>
  <c r="BL10" i="10" a="1"/>
  <c r="BL10" i="10" s="1"/>
  <c r="D18" i="10" a="1"/>
  <c r="D18" i="10" s="1"/>
  <c r="D3" i="10" a="1"/>
  <c r="D3" i="10" s="1"/>
  <c r="AR3" i="12" a="1"/>
  <c r="AR3" i="12" s="1"/>
  <c r="BL6" i="12" a="1"/>
  <c r="BL6" i="12" s="1"/>
  <c r="AR63" i="12" a="1"/>
  <c r="AR63" i="12" s="1"/>
  <c r="X22" i="12" a="1"/>
  <c r="X22" i="12" s="1"/>
  <c r="X52" i="12" a="1"/>
  <c r="X52" i="12" s="1"/>
  <c r="D14" i="12" a="1"/>
  <c r="D14" i="12" s="1"/>
  <c r="D6" i="12" a="1"/>
  <c r="D6" i="12" s="1"/>
  <c r="X44" i="10" a="1"/>
  <c r="X44" i="10" s="1"/>
  <c r="AR31" i="10" a="1"/>
  <c r="AR31" i="10" s="1"/>
  <c r="BL35" i="10" a="1"/>
  <c r="BL35" i="10" s="1"/>
  <c r="AR14" i="10" a="1"/>
  <c r="AR14" i="10" s="1"/>
  <c r="AR39" i="12" a="1"/>
  <c r="AR39" i="12" s="1"/>
  <c r="X27" i="12" a="1"/>
  <c r="X27" i="12" s="1"/>
  <c r="X14" i="12" a="1"/>
  <c r="X14" i="12" s="1"/>
  <c r="D3" i="12" a="1"/>
  <c r="D3" i="12" s="1"/>
  <c r="D31" i="12" a="1"/>
  <c r="D31" i="12" s="1"/>
  <c r="X31" i="12" a="1"/>
  <c r="X31" i="12" s="1"/>
  <c r="X48" i="12" a="1"/>
  <c r="X48" i="12" s="1"/>
  <c r="D18" i="12" a="1"/>
  <c r="D18" i="12" s="1"/>
  <c r="X7" i="12" a="1"/>
  <c r="X7" i="12" s="1"/>
  <c r="X19" i="12" a="1"/>
  <c r="X19" i="12" s="1"/>
  <c r="X76" i="12" a="1"/>
  <c r="X76" i="12" s="1"/>
  <c r="X60" i="12" a="1"/>
  <c r="X60" i="12" s="1"/>
  <c r="D36" i="10" a="1"/>
  <c r="D36" i="10" s="1"/>
  <c r="X32" i="10" a="1"/>
  <c r="X32" i="10" s="1"/>
  <c r="X19" i="10" a="1"/>
  <c r="X19" i="10" s="1"/>
  <c r="AR55" i="12" a="1"/>
  <c r="AR55" i="12" s="1"/>
  <c r="X40" i="12" a="1"/>
  <c r="X40" i="12" s="1"/>
  <c r="D55" i="12" a="1"/>
  <c r="D55" i="12" s="1"/>
  <c r="D76" i="12" a="1"/>
  <c r="D76" i="12" s="1"/>
  <c r="D45" i="10" a="1"/>
  <c r="D45" i="10" s="1"/>
  <c r="BL55" i="12" a="1"/>
  <c r="BL55" i="12" s="1"/>
  <c r="X79" i="10" a="1"/>
  <c r="X79" i="10" s="1"/>
  <c r="X76" i="10" a="1"/>
  <c r="X76" i="10" s="1"/>
  <c r="D82" i="10" a="1"/>
  <c r="D82" i="10" s="1"/>
  <c r="BL79" i="12" a="1"/>
  <c r="BL79" i="12" s="1"/>
  <c r="AR55" i="10" a="1"/>
  <c r="AR55" i="10" s="1"/>
  <c r="AR49" i="10" a="1"/>
  <c r="AR49" i="10" s="1"/>
  <c r="X40" i="10" a="1"/>
  <c r="X40" i="10" s="1"/>
  <c r="BL36" i="10" a="1"/>
  <c r="BL36" i="10" s="1"/>
  <c r="X4" i="10" a="1"/>
  <c r="X4" i="10" s="1"/>
  <c r="AR11" i="10" a="1"/>
  <c r="AR11" i="10" s="1"/>
  <c r="AR32" i="12" a="1"/>
  <c r="AR32" i="12" s="1"/>
  <c r="AR45" i="12" a="1"/>
  <c r="AR45" i="12" s="1"/>
  <c r="AR85" i="12" a="1"/>
  <c r="AR85" i="12" s="1"/>
  <c r="X28" i="12" a="1"/>
  <c r="X28" i="12" s="1"/>
  <c r="D7" i="12" a="1"/>
  <c r="D7" i="12" s="1"/>
  <c r="D19" i="12" a="1"/>
  <c r="D19" i="12" s="1"/>
  <c r="X60" i="10" a="1"/>
  <c r="X60" i="10" s="1"/>
  <c r="AR45" i="10" a="1"/>
  <c r="AR45" i="10" s="1"/>
  <c r="AR36" i="10" a="1"/>
  <c r="AR36" i="10" s="1"/>
  <c r="X15" i="10" a="1"/>
  <c r="X15" i="10" s="1"/>
  <c r="BL15" i="10" a="1"/>
  <c r="BL15" i="10" s="1"/>
  <c r="BL32" i="10" a="1"/>
  <c r="BL32" i="10" s="1"/>
  <c r="BL19" i="10" a="1"/>
  <c r="BL19" i="10" s="1"/>
  <c r="D19" i="10" a="1"/>
  <c r="D19" i="10" s="1"/>
  <c r="D4" i="10" a="1"/>
  <c r="D4" i="10" s="1"/>
  <c r="AR49" i="12" a="1"/>
  <c r="AR49" i="12" s="1"/>
  <c r="AR53" i="12" a="1"/>
  <c r="AR53" i="12" s="1"/>
  <c r="X15" i="12" a="1"/>
  <c r="X15" i="12" s="1"/>
  <c r="AR76" i="12" a="1"/>
  <c r="AR76" i="12" s="1"/>
  <c r="X23" i="12" a="1"/>
  <c r="X23" i="12" s="1"/>
  <c r="X49" i="12" a="1"/>
  <c r="X49" i="12" s="1"/>
  <c r="X64" i="12" a="1"/>
  <c r="X64" i="12" s="1"/>
  <c r="D15" i="12" a="1"/>
  <c r="D15" i="12" s="1"/>
  <c r="D85" i="12" a="1"/>
  <c r="D85" i="12" s="1"/>
  <c r="D39" i="12" a="1"/>
  <c r="D39" i="12" s="1"/>
  <c r="X63" i="12" a="1"/>
  <c r="X63" i="12" s="1"/>
  <c r="D84" i="10" a="1"/>
  <c r="D84" i="10" s="1"/>
  <c r="BL65" i="10" a="1"/>
  <c r="BL65" i="10" s="1"/>
  <c r="AR72" i="10" a="1"/>
  <c r="AR72" i="10" s="1"/>
  <c r="D68" i="10" a="1"/>
  <c r="D68" i="10" s="1"/>
  <c r="D66" i="10" a="1"/>
  <c r="D66" i="10" s="1"/>
  <c r="AR57" i="12" a="1"/>
  <c r="AR57" i="12" s="1"/>
  <c r="BL72" i="12" a="1"/>
  <c r="BL72" i="12" s="1"/>
  <c r="AR66" i="12" a="1"/>
  <c r="AR66" i="12" s="1"/>
  <c r="AR73" i="12" a="1"/>
  <c r="AR73" i="12" s="1"/>
  <c r="AR81" i="12" a="1"/>
  <c r="AR81" i="12" s="1"/>
  <c r="X73" i="12" a="1"/>
  <c r="X73" i="12" s="1"/>
  <c r="X84" i="12" a="1"/>
  <c r="X84" i="12" s="1"/>
  <c r="D81" i="12" a="1"/>
  <c r="D81" i="12" s="1"/>
  <c r="D65" i="12" a="1"/>
  <c r="D65" i="12" s="1"/>
  <c r="D73" i="12" a="1"/>
  <c r="D73" i="12" s="1"/>
  <c r="AR84" i="10" a="1"/>
  <c r="AR84" i="10" s="1"/>
  <c r="BL68" i="10" a="1"/>
  <c r="BL68" i="10" s="1"/>
  <c r="X66" i="10" a="1"/>
  <c r="X66" i="10" s="1"/>
  <c r="D73" i="10" a="1"/>
  <c r="D73" i="10" s="1"/>
  <c r="X57" i="10" a="1"/>
  <c r="X57" i="10" s="1"/>
  <c r="AR68" i="10" a="1"/>
  <c r="AR68" i="10" s="1"/>
  <c r="AR66" i="10" a="1"/>
  <c r="AR66" i="10" s="1"/>
  <c r="AR68" i="12" a="1"/>
  <c r="AR68" i="12" s="1"/>
  <c r="AR72" i="12" a="1"/>
  <c r="AR72" i="12" s="1"/>
  <c r="X66" i="12" a="1"/>
  <c r="X66" i="12" s="1"/>
  <c r="AR81" i="10" a="1"/>
  <c r="AR81" i="10" s="1"/>
  <c r="BL81" i="12" a="1"/>
  <c r="BL81" i="12" s="1"/>
  <c r="X65" i="10" a="1"/>
  <c r="X65" i="10" s="1"/>
  <c r="D72" i="10" a="1"/>
  <c r="D72" i="10" s="1"/>
  <c r="AR65" i="10" a="1"/>
  <c r="AR65" i="10" s="1"/>
  <c r="X72" i="12" a="1"/>
  <c r="X72" i="12" s="1"/>
  <c r="X68" i="12" a="1"/>
  <c r="X68" i="12" s="1"/>
  <c r="X81" i="12" a="1"/>
  <c r="X81" i="12" s="1"/>
  <c r="D66" i="12" a="1"/>
  <c r="D66" i="12" s="1"/>
  <c r="AR73" i="10" a="1"/>
  <c r="AR73" i="10" s="1"/>
  <c r="BL57" i="10" a="1"/>
  <c r="BL57" i="10" s="1"/>
  <c r="AR65" i="12" a="1"/>
  <c r="AR65" i="12" s="1"/>
  <c r="AR84" i="12" a="1"/>
  <c r="AR84" i="12" s="1"/>
  <c r="X57" i="12" a="1"/>
  <c r="X57" i="12" s="1"/>
  <c r="D72" i="12" a="1"/>
  <c r="D72" i="12" s="1"/>
  <c r="D82" i="12" a="1"/>
  <c r="D82" i="12" s="1"/>
  <c r="D60" i="12" a="1"/>
  <c r="D60" i="12" s="1"/>
  <c r="D84" i="12" a="1"/>
  <c r="D84" i="12" s="1"/>
  <c r="D23" i="12" a="1"/>
  <c r="D23" i="12" s="1"/>
  <c r="D40" i="12" a="1"/>
  <c r="D40" i="12" s="1"/>
  <c r="D7" i="10" a="1"/>
  <c r="D7" i="10" s="1"/>
  <c r="AR51" i="12" a="1"/>
  <c r="AR51" i="12" s="1"/>
  <c r="BL7" i="10" a="1"/>
  <c r="BL7" i="10" s="1"/>
  <c r="BL62" i="12" a="1"/>
  <c r="BL62" i="12" s="1"/>
  <c r="BL9" i="12" a="1"/>
  <c r="BL9" i="12" s="1"/>
  <c r="X6" i="10" a="1"/>
  <c r="X6" i="10" s="1"/>
  <c r="X43" i="10" a="1"/>
  <c r="X43" i="10" s="1"/>
  <c r="AR13" i="12" a="1"/>
  <c r="AR13" i="12" s="1"/>
  <c r="AR17" i="12" a="1"/>
  <c r="AR17" i="12" s="1"/>
  <c r="AR30" i="12" a="1"/>
  <c r="AR30" i="12" s="1"/>
  <c r="X38" i="12" a="1"/>
  <c r="X38" i="12" s="1"/>
  <c r="D10" i="12" a="1"/>
  <c r="D10" i="12" s="1"/>
  <c r="D44" i="12" a="1"/>
  <c r="D44" i="12" s="1"/>
  <c r="D27" i="12" a="1"/>
  <c r="D27" i="12" s="1"/>
  <c r="D35" i="12" a="1"/>
  <c r="D35" i="12" s="1"/>
  <c r="D22" i="12" a="1"/>
  <c r="D22" i="12" s="1"/>
  <c r="D48" i="12" a="1"/>
  <c r="D48" i="12" s="1"/>
  <c r="D63" i="12" a="1"/>
  <c r="D63" i="12" s="1"/>
  <c r="D6" i="10" a="1"/>
  <c r="D6" i="10" s="1"/>
  <c r="BL35" i="12" a="1"/>
  <c r="BL35" i="12" s="1"/>
  <c r="BL47" i="12" a="1"/>
  <c r="BL47" i="12" s="1"/>
  <c r="AR38" i="10" a="1"/>
  <c r="AR38" i="10" s="1"/>
  <c r="AR43" i="12" a="1"/>
  <c r="AR43" i="12" s="1"/>
  <c r="D2" i="10" a="1"/>
  <c r="D2" i="10" s="1"/>
  <c r="BL58" i="10" a="1"/>
  <c r="BL58" i="10" s="1"/>
  <c r="X11" i="12" a="1"/>
  <c r="X11" i="12" s="1"/>
  <c r="AR82" i="12" a="1"/>
  <c r="AR82" i="12" s="1"/>
  <c r="X79" i="12" a="1"/>
  <c r="X79" i="12" s="1"/>
  <c r="D53" i="12" a="1"/>
  <c r="D53" i="12" s="1"/>
  <c r="D79" i="12" a="1"/>
  <c r="D79" i="12" s="1"/>
  <c r="D52" i="12" a="1"/>
  <c r="D52" i="12" s="1"/>
  <c r="D69" i="12" a="1"/>
  <c r="D69" i="12" s="1"/>
  <c r="D58" i="10" a="1"/>
  <c r="D58" i="10" s="1"/>
  <c r="AR51" i="10" a="1"/>
  <c r="AR51" i="10" s="1"/>
  <c r="X47" i="10" a="1"/>
  <c r="X47" i="10" s="1"/>
  <c r="BL9" i="10" a="1"/>
  <c r="BL9" i="10" s="1"/>
  <c r="AR30" i="10" a="1"/>
  <c r="AR30" i="10" s="1"/>
  <c r="X34" i="10" a="1"/>
  <c r="X34" i="10" s="1"/>
  <c r="X9" i="10" a="1"/>
  <c r="X9" i="10" s="1"/>
  <c r="AR13" i="10" a="1"/>
  <c r="AR13" i="10" s="1"/>
  <c r="AR38" i="12" a="1"/>
  <c r="AR38" i="12" s="1"/>
  <c r="X30" i="12" a="1"/>
  <c r="X30" i="12" s="1"/>
  <c r="X34" i="12" a="1"/>
  <c r="X34" i="12" s="1"/>
  <c r="D30" i="12" a="1"/>
  <c r="D30" i="12" s="1"/>
  <c r="X85" i="10" a="1"/>
  <c r="X85" i="10" s="1"/>
  <c r="X2" i="10" a="1"/>
  <c r="X2" i="10" s="1"/>
  <c r="BL22" i="12" a="1"/>
  <c r="BL22" i="12" s="1"/>
  <c r="BL18" i="12" a="1"/>
  <c r="BL18" i="12" s="1"/>
  <c r="BL34" i="12" a="1"/>
  <c r="BL34" i="12" s="1"/>
  <c r="BL51" i="10" a="1"/>
  <c r="BL51" i="10" s="1"/>
  <c r="D47" i="10" a="1"/>
  <c r="D47" i="10" s="1"/>
  <c r="AR26" i="10" a="1"/>
  <c r="AR26" i="10" s="1"/>
  <c r="X30" i="10" a="1"/>
  <c r="X30" i="10" s="1"/>
  <c r="BL21" i="10" a="1"/>
  <c r="BL21" i="10" s="1"/>
  <c r="AR9" i="10" a="1"/>
  <c r="AR9" i="10" s="1"/>
  <c r="AR34" i="12" a="1"/>
  <c r="AR34" i="12" s="1"/>
  <c r="AR26" i="12" a="1"/>
  <c r="AR26" i="12" s="1"/>
  <c r="BL23" i="12" a="1"/>
  <c r="BL23" i="12" s="1"/>
  <c r="D51" i="10" a="1"/>
  <c r="D51" i="10" s="1"/>
  <c r="D34" i="10" a="1"/>
  <c r="D34" i="10" s="1"/>
  <c r="BL34" i="10" a="1"/>
  <c r="BL34" i="10" s="1"/>
  <c r="D21" i="10" a="1"/>
  <c r="D21" i="10" s="1"/>
  <c r="D17" i="10" a="1"/>
  <c r="D17" i="10" s="1"/>
  <c r="AR2" i="12" a="1"/>
  <c r="AR2" i="12" s="1"/>
  <c r="AR9" i="12" a="1"/>
  <c r="AR9" i="12" s="1"/>
  <c r="X62" i="12" a="1"/>
  <c r="X62" i="12" s="1"/>
  <c r="BL4" i="12" a="1"/>
  <c r="BL4" i="12" s="1"/>
  <c r="BL28" i="12" a="1"/>
  <c r="BL28" i="12" s="1"/>
  <c r="BL39" i="12" a="1"/>
  <c r="BL39" i="12" s="1"/>
  <c r="BL51" i="12" a="1"/>
  <c r="BL51" i="12" s="1"/>
  <c r="BL58" i="12" a="1"/>
  <c r="BL58" i="12" s="1"/>
  <c r="BL47" i="10" a="1"/>
  <c r="BL47" i="10" s="1"/>
  <c r="X62" i="10" a="1"/>
  <c r="X62" i="10" s="1"/>
  <c r="D43" i="10" a="1"/>
  <c r="D43" i="10" s="1"/>
  <c r="BL43" i="10" a="1"/>
  <c r="BL43" i="10" s="1"/>
  <c r="BL17" i="10" a="1"/>
  <c r="BL17" i="10" s="1"/>
  <c r="X26" i="10" a="1"/>
  <c r="X26" i="10" s="1"/>
  <c r="AR47" i="12" a="1"/>
  <c r="AR47" i="12" s="1"/>
  <c r="X21" i="12" a="1"/>
  <c r="X21" i="12" s="1"/>
  <c r="X13" i="12" a="1"/>
  <c r="X13" i="12" s="1"/>
  <c r="X43" i="12" a="1"/>
  <c r="X43" i="12" s="1"/>
  <c r="D21" i="12" a="1"/>
  <c r="D21" i="12" s="1"/>
  <c r="D17" i="12" a="1"/>
  <c r="D17" i="12" s="1"/>
  <c r="D38" i="12" a="1"/>
  <c r="D38" i="12" s="1"/>
  <c r="D34" i="12" a="1"/>
  <c r="D34" i="12" s="1"/>
  <c r="BL76" i="10" a="1"/>
  <c r="BL76" i="10" s="1"/>
  <c r="BL2" i="12" a="1"/>
  <c r="BL2" i="12" s="1"/>
  <c r="BL2" i="10" a="1"/>
  <c r="BL2" i="10" s="1"/>
  <c r="BL17" i="12" a="1"/>
  <c r="BL17" i="12" s="1"/>
  <c r="BL30" i="12" a="1"/>
  <c r="BL30" i="12" s="1"/>
  <c r="AR58" i="10" a="1"/>
  <c r="AR58" i="10" s="1"/>
  <c r="X51" i="10" a="1"/>
  <c r="X51" i="10" s="1"/>
  <c r="AR47" i="10" a="1"/>
  <c r="AR47" i="10" s="1"/>
  <c r="D38" i="10" a="1"/>
  <c r="D38" i="10" s="1"/>
  <c r="D30" i="10" a="1"/>
  <c r="D30" i="10" s="1"/>
  <c r="BL30" i="10" a="1"/>
  <c r="BL30" i="10" s="1"/>
  <c r="D13" i="10" a="1"/>
  <c r="D13" i="10" s="1"/>
  <c r="AR62" i="12" a="1"/>
  <c r="AR62" i="12" s="1"/>
  <c r="AR58" i="12" a="1"/>
  <c r="AR58" i="12" s="1"/>
  <c r="X26" i="12" a="1"/>
  <c r="X26" i="12" s="1"/>
  <c r="D9" i="12" a="1"/>
  <c r="D9" i="12" s="1"/>
  <c r="BL26" i="12" a="1"/>
  <c r="BL26" i="12" s="1"/>
  <c r="D68" i="12" a="1"/>
  <c r="D68" i="12" s="1"/>
  <c r="BL13" i="12" a="1"/>
  <c r="BL13" i="12" s="1"/>
  <c r="BL43" i="12" a="1"/>
  <c r="BL43" i="12" s="1"/>
  <c r="AR2" i="10" a="1"/>
  <c r="AR2" i="10" s="1"/>
  <c r="AR62" i="10" a="1"/>
  <c r="AR62" i="10" s="1"/>
  <c r="X58" i="10" a="1"/>
  <c r="X58" i="10" s="1"/>
  <c r="BL13" i="10" a="1"/>
  <c r="BL13" i="10" s="1"/>
  <c r="BL38" i="10" a="1"/>
  <c r="BL38" i="10" s="1"/>
  <c r="AR34" i="10" a="1"/>
  <c r="AR34" i="10" s="1"/>
  <c r="X38" i="10" a="1"/>
  <c r="X38" i="10" s="1"/>
  <c r="X17" i="10" a="1"/>
  <c r="X17" i="10" s="1"/>
  <c r="AR21" i="10" a="1"/>
  <c r="AR21" i="10" s="1"/>
  <c r="AR17" i="10" a="1"/>
  <c r="AR17" i="10" s="1"/>
  <c r="AR21" i="12" a="1"/>
  <c r="AR21" i="12" s="1"/>
  <c r="X51" i="12" a="1"/>
  <c r="X51" i="12" s="1"/>
  <c r="D2" i="12" a="1"/>
  <c r="D2" i="12" s="1"/>
  <c r="D13" i="12" a="1"/>
  <c r="D13" i="12" s="1"/>
  <c r="D62" i="12" a="1"/>
  <c r="D62" i="12" s="1"/>
  <c r="BL85" i="10" a="1"/>
  <c r="BL85" i="10" s="1"/>
  <c r="BL21" i="12" a="1"/>
  <c r="BL21" i="12" s="1"/>
  <c r="AR7" i="10" a="1"/>
  <c r="AR7" i="10" s="1"/>
  <c r="D59" i="12" a="1"/>
  <c r="D59" i="12" s="1"/>
  <c r="BL38" i="12" a="1"/>
  <c r="BL38" i="12" s="1"/>
  <c r="D62" i="10" a="1"/>
  <c r="D62" i="10" s="1"/>
  <c r="BL62" i="10" a="1"/>
  <c r="BL62" i="10" s="1"/>
  <c r="AR43" i="10" a="1"/>
  <c r="AR43" i="10" s="1"/>
  <c r="D26" i="10" a="1"/>
  <c r="D26" i="10" s="1"/>
  <c r="BL26" i="10" a="1"/>
  <c r="BL26" i="10" s="1"/>
  <c r="X13" i="10" a="1"/>
  <c r="X13" i="10" s="1"/>
  <c r="X21" i="10" a="1"/>
  <c r="X21" i="10" s="1"/>
  <c r="D9" i="10" a="1"/>
  <c r="D9" i="10" s="1"/>
  <c r="X17" i="12" a="1"/>
  <c r="X17" i="12" s="1"/>
  <c r="X9" i="12" a="1"/>
  <c r="X9" i="12" s="1"/>
  <c r="X2" i="12" a="1"/>
  <c r="X2" i="12" s="1"/>
  <c r="X47" i="12" a="1"/>
  <c r="X47" i="12" s="1"/>
  <c r="X58" i="12" a="1"/>
  <c r="X58" i="12" s="1"/>
  <c r="D26" i="12" a="1"/>
  <c r="D26" i="12" s="1"/>
  <c r="D43" i="12" a="1"/>
  <c r="D43" i="12" s="1"/>
  <c r="D58" i="12" a="1"/>
  <c r="D58" i="12" s="1"/>
  <c r="D51" i="12" a="1"/>
  <c r="D51" i="12" s="1"/>
  <c r="D94" i="10" l="1" a="1"/>
  <c r="D94" i="10" s="1"/>
  <c r="D95" i="12" a="1"/>
  <c r="D95" i="12" s="1"/>
  <c r="D96" i="12" a="1"/>
  <c r="D96" i="12" s="1"/>
  <c r="D92" i="10" a="1"/>
  <c r="D92" i="10" s="1"/>
  <c r="D93" i="12" a="1"/>
  <c r="D93" i="12" s="1"/>
  <c r="D95" i="10" a="1"/>
  <c r="D95" i="10" s="1"/>
  <c r="D92" i="12" a="1"/>
  <c r="D92" i="12" s="1"/>
  <c r="D94" i="12" a="1"/>
  <c r="D94" i="12" s="1"/>
  <c r="D93" i="10" a="1"/>
  <c r="D93" i="10" s="1"/>
  <c r="D91" i="10" a="1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11" i="5"/>
  <c r="B4" i="11"/>
  <c r="B5" i="11"/>
  <c r="B6" i="11"/>
  <c r="B7" i="11"/>
  <c r="B8" i="11"/>
  <c r="D98" i="12" l="1" a="1"/>
  <c r="D98" i="12" s="1"/>
  <c r="D91" i="10"/>
  <c r="D97" i="10" a="1"/>
  <c r="D97" i="10" s="1"/>
  <c r="E179" i="5" l="1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97" i="5"/>
  <c r="B5" i="6" a="1"/>
  <c r="B5" i="6" s="1"/>
  <c r="N3" i="6" a="1"/>
  <c r="N3" i="6" s="1"/>
  <c r="M3" i="6" a="1"/>
  <c r="M3" i="6" s="1"/>
  <c r="M44" i="6" a="1"/>
  <c r="M44" i="6" s="1"/>
  <c r="C46" i="6" a="1"/>
  <c r="C46" i="6" s="1"/>
  <c r="H253" i="5" a="1"/>
  <c r="H206" i="5" a="1"/>
  <c r="H238" i="5" a="1"/>
  <c r="H223" i="5" a="1"/>
  <c r="H248" i="5" a="1"/>
  <c r="H242" i="5" a="1"/>
  <c r="H202" i="5" a="1"/>
  <c r="H258" i="5" a="1"/>
  <c r="H228" i="5" a="1"/>
  <c r="H185" i="5" a="1"/>
  <c r="H230" i="5" a="1"/>
  <c r="H213" i="5" a="1"/>
  <c r="H250" i="5" a="1"/>
  <c r="H257" i="5" a="1"/>
  <c r="H265" i="5" a="1"/>
  <c r="H261" i="5" a="1"/>
  <c r="H243" i="5" a="1"/>
  <c r="H222" i="5" a="1"/>
  <c r="H220" i="5" a="1"/>
  <c r="H235" i="5" a="1"/>
  <c r="H193" i="5" a="1"/>
  <c r="H229" i="5" a="1"/>
  <c r="H254" i="5" a="1"/>
  <c r="H226" i="5" a="1"/>
  <c r="H210" i="5" a="1"/>
  <c r="H197" i="5" a="1"/>
  <c r="H252" i="5" a="1"/>
  <c r="H245" i="5" a="1"/>
  <c r="H192" i="5" a="1"/>
  <c r="H221" i="5" a="1"/>
  <c r="H239" i="5" a="1"/>
  <c r="H231" i="5" a="1"/>
  <c r="H190" i="5" a="1"/>
  <c r="H247" i="5" a="1"/>
  <c r="H234" i="5" a="1"/>
  <c r="H219" i="5" a="1"/>
  <c r="H224" i="5" a="1"/>
  <c r="H188" i="5" a="1"/>
  <c r="H217" i="5" a="1"/>
  <c r="H237" i="5" a="1"/>
  <c r="H198" i="5" a="1"/>
  <c r="H212" i="5" a="1"/>
  <c r="H186" i="5" a="1"/>
  <c r="H255" i="5" a="1"/>
  <c r="H184" i="5" a="1"/>
  <c r="H260" i="5" a="1"/>
  <c r="H187" i="5" a="1"/>
  <c r="H241" i="5" a="1"/>
  <c r="H262" i="5" a="1"/>
  <c r="H218" i="5" a="1"/>
  <c r="H196" i="5" a="1"/>
  <c r="H140" i="5" a="1"/>
  <c r="H189" i="5" a="1"/>
  <c r="H191" i="5" a="1"/>
  <c r="H251" i="5" a="1"/>
  <c r="H236" i="5" a="1"/>
  <c r="H249" i="5" a="1"/>
  <c r="H203" i="5" a="1"/>
  <c r="H233" i="5" a="1"/>
  <c r="H201" i="5" a="1"/>
  <c r="H208" i="5" a="1"/>
  <c r="H216" i="5" a="1"/>
  <c r="H194" i="5" a="1"/>
  <c r="H266" i="5" a="1"/>
  <c r="H264" i="5" a="1"/>
  <c r="H207" i="5" a="1"/>
  <c r="H214" i="5" a="1"/>
  <c r="H200" i="5" a="1"/>
  <c r="H215" i="5" a="1"/>
  <c r="H256" i="5" a="1"/>
  <c r="H232" i="5" a="1"/>
  <c r="H227" i="5" a="1"/>
  <c r="H259" i="5" a="1"/>
  <c r="H195" i="5" a="1"/>
  <c r="H263" i="5" a="1"/>
  <c r="H240" i="5" a="1"/>
  <c r="H209" i="5" a="1"/>
  <c r="H205" i="5" a="1"/>
  <c r="H211" i="5" a="1"/>
  <c r="H199" i="5" a="1"/>
  <c r="H244" i="5" a="1"/>
  <c r="H140" i="5" l="1"/>
  <c r="H255" i="5"/>
  <c r="H259" i="5"/>
  <c r="H263" i="5"/>
  <c r="H248" i="5"/>
  <c r="H252" i="5"/>
  <c r="H264" i="5"/>
  <c r="H251" i="5"/>
  <c r="H256" i="5"/>
  <c r="H260" i="5"/>
  <c r="H247" i="5"/>
  <c r="H253" i="5"/>
  <c r="H261" i="5"/>
  <c r="H257" i="5"/>
  <c r="H265" i="5"/>
  <c r="H249" i="5"/>
  <c r="H254" i="5"/>
  <c r="H266" i="5"/>
  <c r="H250" i="5"/>
  <c r="H258" i="5"/>
  <c r="H262" i="5"/>
  <c r="H226" i="5"/>
  <c r="H230" i="5"/>
  <c r="H234" i="5"/>
  <c r="H238" i="5"/>
  <c r="H242" i="5"/>
  <c r="H231" i="5"/>
  <c r="H235" i="5"/>
  <c r="H239" i="5"/>
  <c r="H243" i="5"/>
  <c r="H240" i="5"/>
  <c r="H227" i="5"/>
  <c r="H232" i="5"/>
  <c r="H236" i="5"/>
  <c r="H244" i="5"/>
  <c r="H228" i="5"/>
  <c r="H233" i="5"/>
  <c r="H245" i="5"/>
  <c r="H229" i="5"/>
  <c r="H237" i="5"/>
  <c r="H241" i="5"/>
  <c r="H209" i="5"/>
  <c r="H213" i="5"/>
  <c r="H217" i="5"/>
  <c r="H221" i="5"/>
  <c r="H206" i="5"/>
  <c r="H214" i="5"/>
  <c r="H218" i="5"/>
  <c r="H222" i="5"/>
  <c r="H210" i="5"/>
  <c r="H219" i="5"/>
  <c r="H211" i="5"/>
  <c r="H215" i="5"/>
  <c r="H223" i="5"/>
  <c r="H207" i="5"/>
  <c r="H212" i="5"/>
  <c r="H224" i="5"/>
  <c r="H205" i="5"/>
  <c r="H208" i="5"/>
  <c r="H216" i="5"/>
  <c r="H220" i="5"/>
  <c r="H196" i="5"/>
  <c r="H201" i="5"/>
  <c r="H193" i="5"/>
  <c r="H189" i="5"/>
  <c r="H199" i="5"/>
  <c r="H191" i="5"/>
  <c r="H187" i="5"/>
  <c r="H195" i="5"/>
  <c r="H188" i="5"/>
  <c r="H198" i="5"/>
  <c r="H186" i="5"/>
  <c r="H192" i="5"/>
  <c r="H202" i="5"/>
  <c r="H194" i="5"/>
  <c r="H190" i="5"/>
  <c r="H200" i="5"/>
  <c r="H203" i="5"/>
  <c r="H197" i="5"/>
  <c r="H185" i="5"/>
  <c r="H184" i="5"/>
  <c r="E124" i="8" a="1"/>
  <c r="E124" i="8" s="1"/>
  <c r="O22" i="6" a="1"/>
  <c r="O22" i="6" s="1"/>
  <c r="O14" i="6" a="1"/>
  <c r="O14" i="6" s="1"/>
  <c r="O6" i="6" a="1"/>
  <c r="O6" i="6" s="1"/>
  <c r="O19" i="6" a="1"/>
  <c r="O19" i="6" s="1"/>
  <c r="O11" i="6" a="1"/>
  <c r="O11" i="6" s="1"/>
  <c r="O18" i="6" a="1"/>
  <c r="O18" i="6" s="1"/>
  <c r="O10" i="6" a="1"/>
  <c r="O10" i="6" s="1"/>
  <c r="O17" i="6" a="1"/>
  <c r="O17" i="6" s="1"/>
  <c r="C5" i="6" a="1"/>
  <c r="O16" i="6" a="1"/>
  <c r="O16" i="6" s="1"/>
  <c r="O8" i="6" a="1"/>
  <c r="O8" i="6" s="1"/>
  <c r="O9" i="6" a="1"/>
  <c r="O9" i="6" s="1"/>
  <c r="O3" i="6" a="1"/>
  <c r="O3" i="6" s="1"/>
  <c r="O15" i="6" a="1"/>
  <c r="O15" i="6" s="1"/>
  <c r="O7" i="6" a="1"/>
  <c r="O7" i="6" s="1"/>
  <c r="O21" i="6" a="1"/>
  <c r="O21" i="6" s="1"/>
  <c r="O13" i="6" a="1"/>
  <c r="O13" i="6" s="1"/>
  <c r="O5" i="6" a="1"/>
  <c r="O5" i="6" s="1"/>
  <c r="O20" i="6" a="1"/>
  <c r="O20" i="6" s="1"/>
  <c r="O12" i="6" a="1"/>
  <c r="O12" i="6" s="1"/>
  <c r="O4" i="6" a="1"/>
  <c r="O4" i="6" s="1"/>
  <c r="B97" i="5"/>
  <c r="C97" i="5"/>
  <c r="N44" i="6" a="1"/>
  <c r="N74" i="6" a="1"/>
  <c r="M74" i="6" a="1"/>
  <c r="M74" i="6" s="1"/>
  <c r="C76" i="6" a="1"/>
  <c r="C76" i="6" s="1"/>
  <c r="H97" i="5" a="1"/>
  <c r="H97" i="5" l="1"/>
  <c r="C5" i="6"/>
  <c r="E5" i="6" s="1" a="1"/>
  <c r="E5" i="6" s="1"/>
  <c r="N74" i="6"/>
  <c r="O74" i="6" s="1" a="1"/>
  <c r="O74" i="6" s="1"/>
  <c r="O79" i="6" a="1"/>
  <c r="O79" i="6" s="1"/>
  <c r="O92" i="6" a="1"/>
  <c r="O92" i="6" s="1"/>
  <c r="O80" i="6" a="1"/>
  <c r="O80" i="6" s="1"/>
  <c r="O93" i="6" a="1"/>
  <c r="O93" i="6" s="1"/>
  <c r="O87" i="6" a="1"/>
  <c r="O87" i="6" s="1"/>
  <c r="O75" i="6" a="1"/>
  <c r="O75" i="6" s="1"/>
  <c r="O88" i="6" a="1"/>
  <c r="O88" i="6" s="1"/>
  <c r="O83" i="6" a="1"/>
  <c r="O83" i="6" s="1"/>
  <c r="O90" i="6" a="1"/>
  <c r="O90" i="6" s="1"/>
  <c r="O76" i="6" a="1"/>
  <c r="O76" i="6" s="1"/>
  <c r="O82" i="6" a="1"/>
  <c r="O82" i="6" s="1"/>
  <c r="O89" i="6" a="1"/>
  <c r="O89" i="6" s="1"/>
  <c r="O77" i="6" a="1"/>
  <c r="O77" i="6" s="1"/>
  <c r="O84" i="6" a="1"/>
  <c r="O84" i="6" s="1"/>
  <c r="O78" i="6" a="1"/>
  <c r="O78" i="6" s="1"/>
  <c r="O85" i="6" a="1"/>
  <c r="O85" i="6" s="1"/>
  <c r="O91" i="6" a="1"/>
  <c r="O91" i="6" s="1"/>
  <c r="O86" i="6" a="1"/>
  <c r="O86" i="6" s="1"/>
  <c r="O81" i="6" a="1"/>
  <c r="O81" i="6" s="1"/>
  <c r="N44" i="6"/>
  <c r="O44" i="6" s="1" a="1"/>
  <c r="O44" i="6" s="1"/>
  <c r="O50" i="6" a="1"/>
  <c r="O50" i="6" s="1"/>
  <c r="O58" i="6" a="1"/>
  <c r="O58" i="6" s="1"/>
  <c r="O59" i="6" a="1"/>
  <c r="O59" i="6" s="1"/>
  <c r="O52" i="6" a="1"/>
  <c r="O52" i="6" s="1"/>
  <c r="O60" i="6" a="1"/>
  <c r="O60" i="6" s="1"/>
  <c r="O45" i="6" a="1"/>
  <c r="O45" i="6" s="1"/>
  <c r="O53" i="6" a="1"/>
  <c r="O53" i="6" s="1"/>
  <c r="O61" i="6" a="1"/>
  <c r="O61" i="6" s="1"/>
  <c r="O47" i="6" a="1"/>
  <c r="O47" i="6" s="1"/>
  <c r="O63" i="6" a="1"/>
  <c r="O63" i="6" s="1"/>
  <c r="O56" i="6" a="1"/>
  <c r="O56" i="6" s="1"/>
  <c r="O46" i="6" a="1"/>
  <c r="O46" i="6" s="1"/>
  <c r="O54" i="6" a="1"/>
  <c r="O54" i="6" s="1"/>
  <c r="O62" i="6" a="1"/>
  <c r="O62" i="6" s="1"/>
  <c r="O55" i="6" a="1"/>
  <c r="O55" i="6" s="1"/>
  <c r="O48" i="6" a="1"/>
  <c r="O48" i="6" s="1"/>
  <c r="O49" i="6" a="1"/>
  <c r="O49" i="6" s="1"/>
  <c r="O57" i="6" a="1"/>
  <c r="O57" i="6" s="1"/>
  <c r="O51" i="6" a="1"/>
  <c r="O51" i="6" s="1"/>
  <c r="D46" i="6" a="1"/>
  <c r="D76" i="6" a="1"/>
  <c r="D5" i="6" l="1" a="1"/>
  <c r="D5" i="6" s="1"/>
  <c r="E2" i="6" s="1" a="1"/>
  <c r="E2" i="6" s="1"/>
  <c r="D46" i="6"/>
  <c r="E43" i="6" s="1" a="1"/>
  <c r="E43" i="6" s="1"/>
  <c r="D76" i="6"/>
  <c r="E73" i="6" s="1" a="1"/>
  <c r="E73" i="6" s="1"/>
  <c r="F13" i="6" l="1"/>
  <c r="F33" i="6"/>
  <c r="F34" i="6"/>
  <c r="F36" i="6"/>
  <c r="F32" i="6"/>
  <c r="F35" i="6"/>
  <c r="F37" i="6"/>
  <c r="F24" i="6"/>
  <c r="F7" i="6"/>
  <c r="F11" i="6"/>
  <c r="F31" i="6"/>
  <c r="F22" i="6"/>
  <c r="F15" i="6"/>
  <c r="F14" i="6"/>
  <c r="F26" i="6"/>
  <c r="F10" i="6"/>
  <c r="F27" i="6"/>
  <c r="F23" i="6"/>
  <c r="F28" i="6"/>
  <c r="F9" i="6"/>
  <c r="F29" i="6"/>
  <c r="F19" i="6"/>
  <c r="F8" i="6"/>
  <c r="F30" i="6"/>
  <c r="F25" i="6"/>
  <c r="F6" i="6"/>
  <c r="F17" i="6"/>
  <c r="F20" i="6"/>
  <c r="F21" i="6"/>
  <c r="F18" i="6"/>
  <c r="F12" i="6"/>
  <c r="F16" i="6"/>
  <c r="F49" i="6"/>
  <c r="F66" i="6"/>
  <c r="F65" i="6"/>
  <c r="F53" i="6"/>
  <c r="F55" i="6"/>
  <c r="F50" i="6"/>
  <c r="F52" i="6"/>
  <c r="F47" i="6"/>
  <c r="F64" i="6"/>
  <c r="F63" i="6"/>
  <c r="F62" i="6"/>
  <c r="F61" i="6"/>
  <c r="F60" i="6"/>
  <c r="F48" i="6"/>
  <c r="F54" i="6"/>
  <c r="F59" i="6"/>
  <c r="F58" i="6"/>
  <c r="F56" i="6"/>
  <c r="F57" i="6"/>
  <c r="F51" i="6"/>
  <c r="F46" i="6"/>
  <c r="F76" i="6"/>
  <c r="C354" i="5" l="1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11" i="5"/>
  <c r="E7" i="11" l="1"/>
  <c r="E4" i="11"/>
  <c r="E5" i="11"/>
  <c r="E8" i="11"/>
  <c r="E6" i="11"/>
  <c r="B266" i="5" l="1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1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D10" i="7" l="1"/>
  <c r="D9" i="7"/>
  <c r="D8" i="7"/>
  <c r="D7" i="7"/>
  <c r="D6" i="7"/>
  <c r="D5" i="7"/>
  <c r="D4" i="7"/>
  <c r="D3" i="7"/>
  <c r="H21" i="5" a="1"/>
  <c r="H303" i="5" a="1"/>
  <c r="H157" i="5" a="1"/>
  <c r="H78" i="5" a="1"/>
  <c r="H72" i="5" a="1"/>
  <c r="H28" i="5" a="1"/>
  <c r="H144" i="5" a="1"/>
  <c r="H84" i="5" a="1"/>
  <c r="H163" i="5" a="1"/>
  <c r="H173" i="5" a="1"/>
  <c r="H77" i="5" a="1"/>
  <c r="H101" i="5" a="1"/>
  <c r="H24" i="5" a="1"/>
  <c r="H336" i="5" a="1"/>
  <c r="H291" i="5" a="1"/>
  <c r="H20" i="5" a="1"/>
  <c r="H351" i="5" a="1"/>
  <c r="H302" i="5" a="1"/>
  <c r="H345" i="5" a="1"/>
  <c r="H285" i="5" a="1"/>
  <c r="H280" i="5" a="1"/>
  <c r="H161" i="5" a="1"/>
  <c r="H174" i="5" a="1"/>
  <c r="H321" i="5" a="1"/>
  <c r="H74" i="5" a="1"/>
  <c r="H339" i="5" a="1"/>
  <c r="H67" i="5" a="1"/>
  <c r="H14" i="5" a="1"/>
  <c r="H354" i="5" a="1"/>
  <c r="H298" i="5" a="1"/>
  <c r="H105" i="5" a="1"/>
  <c r="H124" i="5" a="1"/>
  <c r="H273" i="5" a="1"/>
  <c r="H272" i="5" a="1"/>
  <c r="H46" i="5" a="1"/>
  <c r="H326" i="5" a="1"/>
  <c r="H333" i="5" a="1"/>
  <c r="H338" i="5" a="1"/>
  <c r="H171" i="5" a="1"/>
  <c r="H120" i="5" a="1"/>
  <c r="H350" i="5" a="1"/>
  <c r="H59" i="5" a="1"/>
  <c r="H352" i="5" a="1"/>
  <c r="H330" i="5" a="1"/>
  <c r="H64" i="5" a="1"/>
  <c r="H102" i="5" a="1"/>
  <c r="H18" i="5" a="1"/>
  <c r="H15" i="5" a="1"/>
  <c r="H287" i="5" a="1"/>
  <c r="H81" i="5" a="1"/>
  <c r="H297" i="5" a="1"/>
  <c r="H179" i="5" a="1"/>
  <c r="H306" i="5" a="1"/>
  <c r="H348" i="5" a="1"/>
  <c r="H315" i="5" a="1"/>
  <c r="H88" i="5" a="1"/>
  <c r="H337" i="5" a="1"/>
  <c r="H349" i="5" a="1"/>
  <c r="H68" i="5" a="1"/>
  <c r="H110" i="5" a="1"/>
  <c r="H133" i="5" a="1"/>
  <c r="H40" i="5" a="1"/>
  <c r="H85" i="5" a="1"/>
  <c r="H125" i="5" a="1"/>
  <c r="H63" i="5" a="1"/>
  <c r="H136" i="5" a="1"/>
  <c r="H48" i="5" a="1"/>
  <c r="H116" i="5" a="1"/>
  <c r="H39" i="5" a="1"/>
  <c r="H342" i="5" a="1"/>
  <c r="H178" i="5" a="1"/>
  <c r="H346" i="5" a="1"/>
  <c r="H142" i="5" a="1"/>
  <c r="H122" i="5" a="1"/>
  <c r="H278" i="5" a="1"/>
  <c r="H32" i="5" a="1"/>
  <c r="H132" i="5" a="1"/>
  <c r="H151" i="5" a="1"/>
  <c r="H104" i="5" a="1"/>
  <c r="H103" i="5" a="1"/>
  <c r="H154" i="5" a="1"/>
  <c r="H296" i="5" a="1"/>
  <c r="H109" i="5" a="1"/>
  <c r="H162" i="5" a="1"/>
  <c r="H26" i="5" a="1"/>
  <c r="H93" i="5" a="1"/>
  <c r="H145" i="5" a="1"/>
  <c r="H167" i="5" a="1"/>
  <c r="H50" i="5" a="1"/>
  <c r="H13" i="5" a="1"/>
  <c r="H30" i="5" a="1"/>
  <c r="H90" i="5" a="1"/>
  <c r="H47" i="5" a="1"/>
  <c r="H275" i="5" a="1"/>
  <c r="H118" i="5" a="1"/>
  <c r="H172" i="5" a="1"/>
  <c r="H80" i="5" a="1"/>
  <c r="H16" i="5" a="1"/>
  <c r="H308" i="5" a="1"/>
  <c r="H34" i="5" a="1"/>
  <c r="H83" i="5" a="1"/>
  <c r="H158" i="5" a="1"/>
  <c r="H25" i="5" a="1"/>
  <c r="H310" i="5" a="1"/>
  <c r="H317" i="5" a="1"/>
  <c r="H53" i="5" a="1"/>
  <c r="H276" i="5" a="1"/>
  <c r="H327" i="5" a="1"/>
  <c r="H344" i="5" a="1"/>
  <c r="H343" i="5" a="1"/>
  <c r="H295" i="5" a="1"/>
  <c r="H160" i="5" a="1"/>
  <c r="H82" i="5" a="1"/>
  <c r="H45" i="5" a="1"/>
  <c r="H22" i="5" a="1"/>
  <c r="H119" i="5" a="1"/>
  <c r="H111" i="5" a="1"/>
  <c r="H55" i="5" a="1"/>
  <c r="H155" i="5" a="1"/>
  <c r="H176" i="5" a="1"/>
  <c r="H316" i="5" a="1"/>
  <c r="H100" i="5" a="1"/>
  <c r="H57" i="5" a="1"/>
  <c r="H148" i="5" a="1"/>
  <c r="H41" i="5" a="1"/>
  <c r="H156" i="5" a="1"/>
  <c r="H165" i="5" a="1"/>
  <c r="H328" i="5" a="1"/>
  <c r="H131" i="5" a="1"/>
  <c r="H23" i="5" a="1"/>
  <c r="H312" i="5" a="1"/>
  <c r="H341" i="5" a="1"/>
  <c r="H319" i="5" a="1"/>
  <c r="H146" i="5" a="1"/>
  <c r="H307" i="5" a="1"/>
  <c r="H106" i="5" a="1"/>
  <c r="H166" i="5" a="1"/>
  <c r="H290" i="5" a="1"/>
  <c r="H277" i="5" a="1"/>
  <c r="H177" i="5" a="1"/>
  <c r="H139" i="5" a="1"/>
  <c r="H65" i="5" a="1"/>
  <c r="H318" i="5" a="1"/>
  <c r="H62" i="5" a="1"/>
  <c r="H279" i="5" a="1"/>
  <c r="H129" i="5" a="1"/>
  <c r="H115" i="5" a="1"/>
  <c r="H353" i="5" a="1"/>
  <c r="H153" i="5" a="1"/>
  <c r="H127" i="5" a="1"/>
  <c r="H325" i="5" a="1"/>
  <c r="H121" i="5" a="1"/>
  <c r="H286" i="5" a="1"/>
  <c r="H89" i="5" a="1"/>
  <c r="H152" i="5" a="1"/>
  <c r="H33" i="5" a="1"/>
  <c r="H60" i="5" a="1"/>
  <c r="H164" i="5" a="1"/>
  <c r="H143" i="5" a="1"/>
  <c r="H314" i="5" a="1"/>
  <c r="H51" i="5" a="1"/>
  <c r="H42" i="5" a="1"/>
  <c r="H134" i="5" a="1"/>
  <c r="H301" i="5" a="1"/>
  <c r="H323" i="5" a="1"/>
  <c r="H76" i="5" a="1"/>
  <c r="H141" i="5" a="1"/>
  <c r="H130" i="5" a="1"/>
  <c r="H49" i="5" a="1"/>
  <c r="H320" i="5" a="1"/>
  <c r="H322" i="5" a="1"/>
  <c r="H284" i="5" a="1"/>
  <c r="H75" i="5" a="1"/>
  <c r="H71" i="5" a="1"/>
  <c r="H149" i="5" a="1"/>
  <c r="H150" i="5" a="1"/>
  <c r="H12" i="5" a="1"/>
  <c r="H29" i="5" a="1"/>
  <c r="H44" i="5" a="1"/>
  <c r="H311" i="5" a="1"/>
  <c r="H61" i="5" a="1"/>
  <c r="H92" i="5" a="1"/>
  <c r="H69" i="5" a="1"/>
  <c r="H66" i="5" a="1"/>
  <c r="H107" i="5" a="1"/>
  <c r="H282" i="5" a="1"/>
  <c r="H86" i="5" a="1"/>
  <c r="H300" i="5" a="1"/>
  <c r="H289" i="5" a="1"/>
  <c r="H70" i="5" a="1"/>
  <c r="H170" i="5" a="1"/>
  <c r="H340" i="5" a="1"/>
  <c r="H294" i="5" a="1"/>
  <c r="H128" i="5" a="1"/>
  <c r="H38" i="5" a="1"/>
  <c r="H112" i="5" a="1"/>
  <c r="H347" i="5" a="1"/>
  <c r="H309" i="5" a="1"/>
  <c r="H17" i="5" a="1"/>
  <c r="H137" i="5" a="1"/>
  <c r="H43" i="5" a="1"/>
  <c r="H56" i="5" a="1"/>
  <c r="H113" i="5" a="1"/>
  <c r="H37" i="5" a="1"/>
  <c r="H98" i="5" a="1"/>
  <c r="H304" i="5" a="1"/>
  <c r="H19" i="5" a="1"/>
  <c r="H108" i="5" a="1"/>
  <c r="H126" i="5" a="1"/>
  <c r="H35" i="5" a="1"/>
  <c r="H99" i="5" a="1"/>
  <c r="H288" i="5" a="1"/>
  <c r="H91" i="5" a="1"/>
  <c r="H27" i="5" a="1"/>
  <c r="H293" i="5" a="1"/>
  <c r="H169" i="5" a="1"/>
  <c r="H123" i="5" a="1"/>
  <c r="H58" i="5" a="1"/>
  <c r="H54" i="5" a="1"/>
  <c r="H331" i="5" a="1"/>
  <c r="H324" i="5" a="1"/>
  <c r="H332" i="5" a="1"/>
  <c r="H299" i="5" a="1"/>
  <c r="H329" i="5" a="1"/>
  <c r="H79" i="5" a="1"/>
  <c r="H147" i="5" a="1"/>
  <c r="H114" i="5" a="1"/>
  <c r="H135" i="5" a="1"/>
  <c r="H283" i="5" a="1"/>
  <c r="H36" i="5" a="1"/>
  <c r="H11" i="5" a="1"/>
  <c r="H87" i="5" a="1"/>
  <c r="H168" i="5" a="1"/>
  <c r="H281" i="5" a="1"/>
  <c r="H175" i="5" a="1"/>
  <c r="H335" i="5" a="1"/>
  <c r="H305" i="5" a="1"/>
  <c r="H274" i="5" a="1"/>
  <c r="H24" i="5" l="1"/>
  <c r="H325" i="5"/>
  <c r="H178" i="5"/>
  <c r="H28" i="5"/>
  <c r="H124" i="5"/>
  <c r="H166" i="5"/>
  <c r="H177" i="5"/>
  <c r="H104" i="5"/>
  <c r="H17" i="5"/>
  <c r="H283" i="5"/>
  <c r="H83" i="5"/>
  <c r="H40" i="5"/>
  <c r="H15" i="5"/>
  <c r="H282" i="5"/>
  <c r="H26" i="5"/>
  <c r="H91" i="5"/>
  <c r="H148" i="5"/>
  <c r="H35" i="5"/>
  <c r="H144" i="5"/>
  <c r="H154" i="5"/>
  <c r="H143" i="5"/>
  <c r="H46" i="5"/>
  <c r="H57" i="5"/>
  <c r="H338" i="5"/>
  <c r="H163" i="5"/>
  <c r="H55" i="5"/>
  <c r="H106" i="5"/>
  <c r="H291" i="5"/>
  <c r="H89" i="5"/>
  <c r="H16" i="5"/>
  <c r="H320" i="5"/>
  <c r="H175" i="5"/>
  <c r="H84" i="5"/>
  <c r="H19" i="5"/>
  <c r="H66" i="5"/>
  <c r="H142" i="5"/>
  <c r="H277" i="5"/>
  <c r="H328" i="5"/>
  <c r="H315" i="5"/>
  <c r="H332" i="5"/>
  <c r="H135" i="5"/>
  <c r="H347" i="5"/>
  <c r="H137" i="5"/>
  <c r="H49" i="5"/>
  <c r="H56" i="5"/>
  <c r="H295" i="5"/>
  <c r="H314" i="5"/>
  <c r="H134" i="5"/>
  <c r="H176" i="5"/>
  <c r="H79" i="5"/>
  <c r="H284" i="5"/>
  <c r="H316" i="5"/>
  <c r="H303" i="5"/>
  <c r="H18" i="5"/>
  <c r="H114" i="5"/>
  <c r="H288" i="5"/>
  <c r="H44" i="5"/>
  <c r="H81" i="5"/>
  <c r="H145" i="5"/>
  <c r="H120" i="5"/>
  <c r="H80" i="5"/>
  <c r="H88" i="5"/>
  <c r="H51" i="5"/>
  <c r="H149" i="5"/>
  <c r="H54" i="5"/>
  <c r="H101" i="5"/>
  <c r="H272" i="5"/>
  <c r="H345" i="5"/>
  <c r="H116" i="5"/>
  <c r="H27" i="5"/>
  <c r="H298" i="5"/>
  <c r="H36" i="5"/>
  <c r="H346" i="5"/>
  <c r="H122" i="5"/>
  <c r="H156" i="5"/>
  <c r="H312" i="5"/>
  <c r="H285" i="5"/>
  <c r="H297" i="5"/>
  <c r="H299" i="5"/>
  <c r="H331" i="5"/>
  <c r="H98" i="5"/>
  <c r="H20" i="5"/>
  <c r="H336" i="5"/>
  <c r="H349" i="5"/>
  <c r="H302" i="5"/>
  <c r="H102" i="5"/>
  <c r="H62" i="5"/>
  <c r="H75" i="5"/>
  <c r="H45" i="5"/>
  <c r="H310" i="5"/>
  <c r="H329" i="5"/>
  <c r="H130" i="5"/>
  <c r="H165" i="5"/>
  <c r="H34" i="5"/>
  <c r="H339" i="5"/>
  <c r="H139" i="5"/>
  <c r="H13" i="5"/>
  <c r="H29" i="5"/>
  <c r="H53" i="5"/>
  <c r="H59" i="5"/>
  <c r="H37" i="5"/>
  <c r="H164" i="5"/>
  <c r="H146" i="5"/>
  <c r="H350" i="5"/>
  <c r="H280" i="5"/>
  <c r="H105" i="5"/>
  <c r="H276" i="5"/>
  <c r="H150" i="5"/>
  <c r="H133" i="5"/>
  <c r="H179" i="5"/>
  <c r="H39" i="5"/>
  <c r="H305" i="5"/>
  <c r="H153" i="5"/>
  <c r="H294" i="5"/>
  <c r="H161" i="5"/>
  <c r="H107" i="5"/>
  <c r="H125" i="5"/>
  <c r="H304" i="5"/>
  <c r="H308" i="5"/>
  <c r="H309" i="5"/>
  <c r="H323" i="5"/>
  <c r="H326" i="5"/>
  <c r="H63" i="5"/>
  <c r="H60" i="5"/>
  <c r="H352" i="5"/>
  <c r="H33" i="5"/>
  <c r="H170" i="5"/>
  <c r="H317" i="5"/>
  <c r="H162" i="5"/>
  <c r="H141" i="5"/>
  <c r="H112" i="5"/>
  <c r="H327" i="5"/>
  <c r="H47" i="5"/>
  <c r="H128" i="5"/>
  <c r="H296" i="5"/>
  <c r="H32" i="5"/>
  <c r="H93" i="5"/>
  <c r="H319" i="5"/>
  <c r="H87" i="5"/>
  <c r="H86" i="5"/>
  <c r="H85" i="5"/>
  <c r="H58" i="5"/>
  <c r="H69" i="5"/>
  <c r="H129" i="5"/>
  <c r="H76" i="5"/>
  <c r="H64" i="5"/>
  <c r="H351" i="5"/>
  <c r="H169" i="5"/>
  <c r="H110" i="5"/>
  <c r="H152" i="5"/>
  <c r="H108" i="5"/>
  <c r="H273" i="5"/>
  <c r="H12" i="5"/>
  <c r="H289" i="5"/>
  <c r="H300" i="5"/>
  <c r="H301" i="5"/>
  <c r="H119" i="5"/>
  <c r="H72" i="5"/>
  <c r="H281" i="5"/>
  <c r="H22" i="5"/>
  <c r="H123" i="5"/>
  <c r="H348" i="5"/>
  <c r="H290" i="5"/>
  <c r="H278" i="5"/>
  <c r="H340" i="5"/>
  <c r="H279" i="5"/>
  <c r="H151" i="5"/>
  <c r="H118" i="5"/>
  <c r="H330" i="5"/>
  <c r="H61" i="5"/>
  <c r="H324" i="5"/>
  <c r="H43" i="5"/>
  <c r="H68" i="5"/>
  <c r="H354" i="5"/>
  <c r="H71" i="5"/>
  <c r="H168" i="5"/>
  <c r="H92" i="5"/>
  <c r="H311" i="5"/>
  <c r="H50" i="5"/>
  <c r="H173" i="5"/>
  <c r="H65" i="5"/>
  <c r="H157" i="5"/>
  <c r="H342" i="5"/>
  <c r="H25" i="5"/>
  <c r="H38" i="5"/>
  <c r="H344" i="5"/>
  <c r="H286" i="5"/>
  <c r="H132" i="5"/>
  <c r="H341" i="5"/>
  <c r="H274" i="5"/>
  <c r="H67" i="5"/>
  <c r="H171" i="5"/>
  <c r="H131" i="5"/>
  <c r="H136" i="5"/>
  <c r="H41" i="5"/>
  <c r="H82" i="5"/>
  <c r="H307" i="5"/>
  <c r="H343" i="5"/>
  <c r="H42" i="5"/>
  <c r="H322" i="5"/>
  <c r="H155" i="5"/>
  <c r="H321" i="5"/>
  <c r="H318" i="5"/>
  <c r="H126" i="5"/>
  <c r="H121" i="5"/>
  <c r="H77" i="5"/>
  <c r="H287" i="5"/>
  <c r="H74" i="5"/>
  <c r="H48" i="5"/>
  <c r="H14" i="5"/>
  <c r="H78" i="5"/>
  <c r="H115" i="5"/>
  <c r="H275" i="5"/>
  <c r="H30" i="5"/>
  <c r="H335" i="5"/>
  <c r="H111" i="5"/>
  <c r="H353" i="5"/>
  <c r="H99" i="5"/>
  <c r="H293" i="5"/>
  <c r="H109" i="5"/>
  <c r="H100" i="5"/>
  <c r="H70" i="5"/>
  <c r="H158" i="5"/>
  <c r="H167" i="5"/>
  <c r="H160" i="5"/>
  <c r="H90" i="5"/>
  <c r="H333" i="5"/>
  <c r="H113" i="5"/>
  <c r="H172" i="5"/>
  <c r="H23" i="5"/>
  <c r="H127" i="5"/>
  <c r="H174" i="5"/>
  <c r="H147" i="5"/>
  <c r="H337" i="5"/>
  <c r="H103" i="5"/>
  <c r="H11" i="5"/>
  <c r="H306" i="5"/>
  <c r="H21" i="5"/>
  <c r="F83" i="6"/>
  <c r="F82" i="6"/>
  <c r="F84" i="6"/>
  <c r="F81" i="6"/>
  <c r="F79" i="6"/>
  <c r="F77" i="6"/>
  <c r="F80" i="6"/>
  <c r="F78" i="6"/>
  <c r="F5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<sst xmlns="http://schemas.openxmlformats.org/spreadsheetml/2006/main" count="1637" uniqueCount="438">
  <si>
    <t>#enum shopType: int {设备 = 1,角色 = 2,遗物掉落 = 3,遗物商人 = 4}</t>
  </si>
  <si>
    <t>id</t>
  </si>
  <si>
    <t>shop_type</t>
  </si>
  <si>
    <t>goods_count_rnd</t>
  </si>
  <si>
    <t>goods_rnd_pool</t>
  </si>
  <si>
    <t>uint key</t>
  </si>
  <si>
    <t>shopType</t>
  </si>
  <si>
    <t>(int,int)</t>
  </si>
  <si>
    <t>dict&lt;uint,int&gt;</t>
  </si>
  <si>
    <t>商店
编号</t>
  </si>
  <si>
    <t>商店类型</t>
  </si>
  <si>
    <r>
      <rPr>
        <b/>
        <sz val="11"/>
        <color theme="1"/>
        <rFont val="等线"/>
        <family val="3"/>
        <charset val="134"/>
        <scheme val="minor"/>
      </rPr>
      <t xml:space="preserve">商店商品数量
</t>
    </r>
    <r>
      <rPr>
        <i/>
        <sz val="10"/>
        <color theme="1"/>
        <rFont val="等线"/>
        <family val="3"/>
        <charset val="134"/>
        <scheme val="minor"/>
      </rPr>
      <t>item1: 数量下限
item2: 数量上限</t>
    </r>
  </si>
  <si>
    <r>
      <rPr>
        <b/>
        <sz val="11"/>
        <color theme="1"/>
        <rFont val="等线"/>
        <family val="3"/>
        <charset val="134"/>
        <scheme val="minor"/>
      </rPr>
      <t xml:space="preserve">商品随机池
</t>
    </r>
    <r>
      <rPr>
        <i/>
        <sz val="10"/>
        <color theme="1"/>
        <rFont val="等线"/>
        <family val="3"/>
        <charset val="134"/>
        <scheme val="minor"/>
      </rPr>
      <t>key: 商品id
value: 权重</t>
    </r>
  </si>
  <si>
    <t>3~3</t>
  </si>
  <si>
    <t>遗物掉落</t>
  </si>
  <si>
    <t>普通三选一</t>
  </si>
  <si>
    <t>硬木车轮</t>
  </si>
  <si>
    <t>短匕</t>
  </si>
  <si>
    <t>履带</t>
  </si>
  <si>
    <t>砍刀</t>
  </si>
  <si>
    <t>大剑</t>
  </si>
  <si>
    <t/>
  </si>
  <si>
    <t>长矛</t>
  </si>
  <si>
    <t>执刑钉棍</t>
  </si>
  <si>
    <t>执刑斧钺</t>
  </si>
  <si>
    <t>弓箭</t>
  </si>
  <si>
    <t>机关箭匣</t>
  </si>
  <si>
    <t>火箭爆弹</t>
  </si>
  <si>
    <t>土制火箭爆弹</t>
  </si>
  <si>
    <t>单发火枪</t>
  </si>
  <si>
    <t>命运手枪</t>
  </si>
  <si>
    <t>静心猎人火枪</t>
  </si>
  <si>
    <t>镇暴左轮</t>
  </si>
  <si>
    <t>镇暴霰弹枪</t>
  </si>
  <si>
    <t>车载投石器</t>
  </si>
  <si>
    <t>慑敌战鼓</t>
  </si>
  <si>
    <t>捕兽草</t>
  </si>
  <si>
    <t>飞针陀螺</t>
  </si>
  <si>
    <t>小圆盾</t>
  </si>
  <si>
    <t>木盾</t>
  </si>
  <si>
    <t>长阔盾</t>
  </si>
  <si>
    <t>硬皮盾</t>
  </si>
  <si>
    <t>金属板</t>
  </si>
  <si>
    <t>尖刺格斗盾</t>
  </si>
  <si>
    <t>藤牌</t>
  </si>
  <si>
    <t>格斗短剑</t>
  </si>
  <si>
    <t>拖曳钩索</t>
  </si>
  <si>
    <t>货运吊臂</t>
  </si>
  <si>
    <t>商队塔吊</t>
  </si>
  <si>
    <t>捕奴肉钩</t>
  </si>
  <si>
    <t>执刑人挂钩</t>
  </si>
  <si>
    <t>刺矛撞角</t>
  </si>
  <si>
    <t>金属铲斗</t>
  </si>
  <si>
    <t>蘑菇挡板</t>
  </si>
  <si>
    <t>救生圈</t>
  </si>
  <si>
    <t>短柄渔叉</t>
  </si>
  <si>
    <t>轻机枪</t>
  </si>
  <si>
    <t>概率</t>
    <phoneticPr fontId="7" type="noConversion"/>
  </si>
  <si>
    <t>权重int</t>
    <phoneticPr fontId="7" type="noConversion"/>
  </si>
  <si>
    <t>猎龙弩炮</t>
  </si>
  <si>
    <t>300011=1;300012=1;300013=1;300021=1;300022=1;300023=1;300031=1;300032=1;300033=1;300041=1;300042=1;300043=1;300051=1;300052=1;300053=1;300061=1;300062=1;300063=1;300071=1;300072=1;300073=1;300081=1;300082=1;300083=1;300091=1;300092=1;300093=1;301011=1;301012=1;301013=1;301021=1;301022=1;301023=1;301031=1;301032=1;301033=1;301041=1;301042=1;301043=1;301051=1;301052=1;301053=1;301061=1;301062=1;301063=1;301211=1;301212=1;301213=1;301221=1;301222=1;301223=1;301231=1;301232=1;301233=1;302011=1;302012=1;302013=1;302021=1;302022=1;302023=1;302031=1;302032=1;302033=1;302041=1;302042=1;302043=1;302051=1;302052=1;302053=1;302061=1;302062=1;302063=1;302211=1;302212=1;302213=1;302231=1;302232=1;302233=1;302311=1;302312=1;302313=1;302321=1;302322=1;302323=1;310201=10;310202=10;310203=10;310204=10;310205=10;310206=10;310207=10;310208=10;310209=10;310210=10;310211=10;310212=10;310213=10;310217=10;310218=10;310219=10;310401=10;310402=10;310403=10;310404=10;310407=10;310408=10;310409=10</t>
  </si>
  <si>
    <t>(uint,int)[]</t>
    <phoneticPr fontId="7" type="noConversion"/>
  </si>
  <si>
    <t>shop_goods_price</t>
    <phoneticPr fontId="7" type="noConversion"/>
  </si>
  <si>
    <t>0~1</t>
  </si>
  <si>
    <t>地宫</t>
  </si>
  <si>
    <t>树梢</t>
  </si>
  <si>
    <t>id</t>
    <phoneticPr fontId="7" type="noConversion"/>
  </si>
  <si>
    <t>name</t>
    <phoneticPr fontId="7" type="noConversion"/>
  </si>
  <si>
    <t>编号</t>
    <phoneticPr fontId="7" type="noConversion"/>
  </si>
  <si>
    <t>云间</t>
  </si>
  <si>
    <t>密林</t>
  </si>
  <si>
    <t>田间</t>
  </si>
  <si>
    <t>永夜</t>
  </si>
  <si>
    <t>荒漠</t>
  </si>
  <si>
    <t>大湖</t>
  </si>
  <si>
    <t>Stnd_dev</t>
    <phoneticPr fontId="7" type="noConversion"/>
  </si>
  <si>
    <t>prefix</t>
    <phoneticPr fontId="7" type="noConversion"/>
  </si>
  <si>
    <t>type</t>
    <phoneticPr fontId="7" type="noConversion"/>
  </si>
  <si>
    <t>角色</t>
    <phoneticPr fontId="7" type="noConversion"/>
  </si>
  <si>
    <t>遗物商人</t>
    <phoneticPr fontId="7" type="noConversion"/>
  </si>
  <si>
    <t>3~3</t>
    <phoneticPr fontId="7" type="noConversion"/>
  </si>
  <si>
    <t>设备</t>
    <phoneticPr fontId="7" type="noConversion"/>
  </si>
  <si>
    <t>设备商店，修正系数</t>
    <phoneticPr fontId="7" type="noConversion"/>
  </si>
  <si>
    <t>角色商店，修正系数</t>
    <phoneticPr fontId="7" type="noConversion"/>
  </si>
  <si>
    <t>遗物商店，修正系数</t>
    <phoneticPr fontId="7" type="noConversion"/>
  </si>
  <si>
    <t>倍率</t>
    <phoneticPr fontId="7" type="noConversion"/>
  </si>
  <si>
    <t>会出现</t>
    <phoneticPr fontId="7" type="noConversion"/>
  </si>
  <si>
    <t>sum</t>
    <phoneticPr fontId="7" type="noConversion"/>
  </si>
  <si>
    <t>遗物掉落</t>
    <phoneticPr fontId="7" type="noConversion"/>
  </si>
  <si>
    <t>海妖触手</t>
  </si>
  <si>
    <t>滚木</t>
  </si>
  <si>
    <t>长柄鱼叉</t>
  </si>
  <si>
    <t>id</t>
    <phoneticPr fontId="8" type="noConversion"/>
  </si>
  <si>
    <t>name</t>
    <phoneticPr fontId="8" type="noConversion"/>
  </si>
  <si>
    <t>大湖-01</t>
    <phoneticPr fontId="8" type="noConversion"/>
  </si>
  <si>
    <t>大湖-02</t>
  </si>
  <si>
    <t>大湖-03</t>
  </si>
  <si>
    <t>大湖-04</t>
  </si>
  <si>
    <t>大湖-05</t>
  </si>
  <si>
    <t>大湖-06</t>
  </si>
  <si>
    <t>大湖-07</t>
  </si>
  <si>
    <t>大湖-08</t>
  </si>
  <si>
    <t>大湖-09</t>
  </si>
  <si>
    <t>大湖-10</t>
  </si>
  <si>
    <t>大湖-11</t>
  </si>
  <si>
    <t>大湖-12</t>
  </si>
  <si>
    <t>大湖-13</t>
  </si>
  <si>
    <t>大湖-14</t>
  </si>
  <si>
    <t>大湖-15</t>
  </si>
  <si>
    <t>大湖-16</t>
  </si>
  <si>
    <t>大湖-17</t>
  </si>
  <si>
    <t>大湖-18</t>
  </si>
  <si>
    <t>大湖-19</t>
  </si>
  <si>
    <t>大湖-20</t>
  </si>
  <si>
    <t>备注
世界</t>
    <phoneticPr fontId="7" type="noConversion"/>
  </si>
  <si>
    <t>备注
等级</t>
    <phoneticPr fontId="7" type="noConversion"/>
  </si>
  <si>
    <t>荒漠-01</t>
    <phoneticPr fontId="8" type="noConversion"/>
  </si>
  <si>
    <t>荒漠-02</t>
  </si>
  <si>
    <t>荒漠-03</t>
  </si>
  <si>
    <t>荒漠-04</t>
  </si>
  <si>
    <t>荒漠-05</t>
  </si>
  <si>
    <t>荒漠-06</t>
  </si>
  <si>
    <t>荒漠-07</t>
  </si>
  <si>
    <t>荒漠-08</t>
  </si>
  <si>
    <t>荒漠-09</t>
  </si>
  <si>
    <t>荒漠-10</t>
  </si>
  <si>
    <t>荒漠-11</t>
  </si>
  <si>
    <t>荒漠-12</t>
  </si>
  <si>
    <t>荒漠-13</t>
  </si>
  <si>
    <t>荒漠-14</t>
  </si>
  <si>
    <t>荒漠-15</t>
  </si>
  <si>
    <t>荒漠-16</t>
  </si>
  <si>
    <t>荒漠-17</t>
  </si>
  <si>
    <t>荒漠-18</t>
  </si>
  <si>
    <t>荒漠-19</t>
  </si>
  <si>
    <t>荒漠-20</t>
  </si>
  <si>
    <t>树梢-01</t>
    <phoneticPr fontId="8" type="noConversion"/>
  </si>
  <si>
    <t>树梢-02</t>
  </si>
  <si>
    <t>树梢-03</t>
  </si>
  <si>
    <t>树梢-04</t>
  </si>
  <si>
    <t>树梢-05</t>
  </si>
  <si>
    <t>树梢-06</t>
  </si>
  <si>
    <t>树梢-07</t>
  </si>
  <si>
    <t>树梢-08</t>
  </si>
  <si>
    <t>树梢-09</t>
  </si>
  <si>
    <t>树梢-10</t>
  </si>
  <si>
    <t>树梢-11</t>
  </si>
  <si>
    <t>树梢-12</t>
  </si>
  <si>
    <t>树梢-13</t>
  </si>
  <si>
    <t>树梢-14</t>
  </si>
  <si>
    <t>树梢-15</t>
  </si>
  <si>
    <t>树梢-16</t>
  </si>
  <si>
    <t>树梢-17</t>
  </si>
  <si>
    <t>树梢-18</t>
  </si>
  <si>
    <t>树梢-19</t>
  </si>
  <si>
    <t>树梢-20</t>
  </si>
  <si>
    <t>地宫-01</t>
    <phoneticPr fontId="8" type="noConversion"/>
  </si>
  <si>
    <t>地宫-02</t>
  </si>
  <si>
    <t>地宫-03</t>
  </si>
  <si>
    <t>地宫-04</t>
  </si>
  <si>
    <t>地宫-05</t>
  </si>
  <si>
    <t>地宫-06</t>
  </si>
  <si>
    <t>地宫-07</t>
  </si>
  <si>
    <t>地宫-08</t>
  </si>
  <si>
    <t>地宫-09</t>
  </si>
  <si>
    <t>地宫-10</t>
  </si>
  <si>
    <t>地宫-11</t>
  </si>
  <si>
    <t>地宫-12</t>
  </si>
  <si>
    <t>地宫-13</t>
  </si>
  <si>
    <t>地宫-14</t>
  </si>
  <si>
    <t>地宫-15</t>
  </si>
  <si>
    <t>地宫-16</t>
  </si>
  <si>
    <t>地宫-17</t>
  </si>
  <si>
    <t>地宫-18</t>
  </si>
  <si>
    <t>地宫-19</t>
  </si>
  <si>
    <t>地宫-20</t>
  </si>
  <si>
    <t>阿比盖尔</t>
  </si>
  <si>
    <t>阿飞</t>
  </si>
  <si>
    <t>雷锵锵</t>
  </si>
  <si>
    <t>响当当</t>
  </si>
  <si>
    <t>漆雕婵</t>
  </si>
  <si>
    <t>漆雕墩</t>
  </si>
  <si>
    <t>工头</t>
  </si>
  <si>
    <t>小绿人</t>
  </si>
  <si>
    <t>搞事</t>
  </si>
  <si>
    <t>小敏</t>
  </si>
  <si>
    <t>王亨利</t>
  </si>
  <si>
    <t>凯文</t>
  </si>
  <si>
    <t>村民</t>
  </si>
  <si>
    <t>爽爽</t>
  </si>
  <si>
    <t>古神</t>
  </si>
  <si>
    <t>鲁卡提耶</t>
  </si>
  <si>
    <t>帕奇</t>
  </si>
  <si>
    <t>呆呆兽</t>
  </si>
  <si>
    <t>蟹bro拟人</t>
  </si>
  <si>
    <t>艾米丽</t>
  </si>
  <si>
    <t>shop_table_name</t>
    <phoneticPr fontId="7" type="noConversion"/>
  </si>
  <si>
    <t>tb_shop_device</t>
    <phoneticPr fontId="7" type="noConversion"/>
  </si>
  <si>
    <t>tb_shop_role</t>
    <phoneticPr fontId="7" type="noConversion"/>
  </si>
  <si>
    <t>tb_shop_relic</t>
    <phoneticPr fontId="7" type="noConversion"/>
  </si>
  <si>
    <t>阿菊</t>
  </si>
  <si>
    <t>肌肉金轮草</t>
  </si>
  <si>
    <t>托利莲</t>
  </si>
  <si>
    <t>文护符</t>
  </si>
  <si>
    <t>太阳勋章</t>
  </si>
  <si>
    <t>屋顶羊</t>
  </si>
  <si>
    <t>string</t>
    <phoneticPr fontId="7" type="noConversion"/>
  </si>
  <si>
    <t>icon</t>
    <phoneticPr fontId="7" type="noConversion"/>
  </si>
  <si>
    <r>
      <t xml:space="preserve">商店icon
</t>
    </r>
    <r>
      <rPr>
        <i/>
        <sz val="10"/>
        <color theme="1"/>
        <rFont val="等线"/>
        <family val="3"/>
        <charset val="134"/>
        <scheme val="minor"/>
      </rPr>
      <t>用于选路界面
填写资源address</t>
    </r>
    <phoneticPr fontId="7" type="noConversion"/>
  </si>
  <si>
    <r>
      <t xml:space="preserve">名称
</t>
    </r>
    <r>
      <rPr>
        <i/>
        <sz val="10"/>
        <color theme="1"/>
        <rFont val="等线"/>
        <family val="3"/>
        <charset val="134"/>
        <scheme val="minor"/>
      </rPr>
      <t>用于选路界面</t>
    </r>
    <phoneticPr fontId="7" type="noConversion"/>
  </si>
  <si>
    <t>string key</t>
    <phoneticPr fontId="7" type="noConversion"/>
  </si>
  <si>
    <t>商店
种类</t>
    <phoneticPr fontId="7" type="noConversion"/>
  </si>
  <si>
    <t>device</t>
    <phoneticPr fontId="7" type="noConversion"/>
  </si>
  <si>
    <t>role</t>
    <phoneticPr fontId="7" type="noConversion"/>
  </si>
  <si>
    <t>repair</t>
    <phoneticPr fontId="7" type="noConversion"/>
  </si>
  <si>
    <t>relic</t>
    <phoneticPr fontId="7" type="noConversion"/>
  </si>
  <si>
    <t>elite_relic</t>
    <phoneticPr fontId="7" type="noConversion"/>
  </si>
  <si>
    <t>辅助列
图集编号</t>
    <phoneticPr fontId="7" type="noConversion"/>
  </si>
  <si>
    <t>Main</t>
    <phoneticPr fontId="7" type="noConversion"/>
  </si>
  <si>
    <t>斧头</t>
  </si>
  <si>
    <t>扳手</t>
  </si>
  <si>
    <t>起子</t>
  </si>
  <si>
    <t>天地一口香</t>
  </si>
  <si>
    <t>子母春茧</t>
  </si>
  <si>
    <t>index</t>
    <phoneticPr fontId="7" type="noConversion"/>
  </si>
  <si>
    <t>stnd_dev</t>
    <phoneticPr fontId="7" type="noConversion"/>
  </si>
  <si>
    <t>mean_mod</t>
    <phoneticPr fontId="7" type="noConversion"/>
  </si>
  <si>
    <t>mean_mod_coef</t>
    <phoneticPr fontId="7" type="noConversion"/>
  </si>
  <si>
    <t>stnd_dev_coef</t>
    <phoneticPr fontId="7" type="noConversion"/>
  </si>
  <si>
    <t>生成</t>
    <phoneticPr fontId="7" type="noConversion"/>
  </si>
  <si>
    <t>近战权重</t>
    <phoneticPr fontId="8" type="noConversion"/>
  </si>
  <si>
    <t>远程权重</t>
    <phoneticPr fontId="8" type="noConversion"/>
  </si>
  <si>
    <t>撞角权重</t>
    <phoneticPr fontId="8" type="noConversion"/>
  </si>
  <si>
    <r>
      <t xml:space="preserve">商品价格
</t>
    </r>
    <r>
      <rPr>
        <i/>
        <sz val="10"/>
        <color theme="1"/>
        <rFont val="等线"/>
        <family val="3"/>
        <charset val="134"/>
        <scheme val="minor"/>
      </rPr>
      <t>item1: 局内货币系数
item2: 权重</t>
    </r>
    <phoneticPr fontId="7" type="noConversion"/>
  </si>
  <si>
    <t>800~4079</t>
  </si>
  <si>
    <t>800~87739;825~6491;850~85</t>
  </si>
  <si>
    <t>800~131058;825~48106;850~7005;875~404;900~9</t>
  </si>
  <si>
    <t>800~119962;825~81948;850~31534;875~6835;900~834;925~57;950~2</t>
  </si>
  <si>
    <t>800~98467;825~89515;850~55062;875~22917;900~6454;925~1229;950~158;975~13</t>
  </si>
  <si>
    <t>800~79567;825~83630;850~66238;875~39535;900~17782;925~6027;950~1539;975~296;1000~42;1025~4</t>
  </si>
  <si>
    <t>800~64954;825~73805;850~67683;875~50094;900~29923;925~14426;950~5613;975~1762;1000~446;1025~91;1050~15;1075~2</t>
  </si>
  <si>
    <t>800~53920;825~63954;850~64126;875~54357;900~38952;925~23597;950~12084;975~5232;1000~1914;1025~592;1050~154;1075~34;1100~6;1125~1</t>
  </si>
  <si>
    <t>800~45539;825~55295;850~58651;875~54346;900~43991;925~31106;950~19215;975~10368;1000~4887;1025~2012;1050~724;1075~227;1100~62;1125~14;1150~3</t>
  </si>
  <si>
    <t>800~39077;825~48026;850~52819;875~51980;900~45776;925~36072;950~25437;975~16050;1000~9063;1025~4579;1050~2070;1075~837;1100~303;1125~98;1150~28;1175~7;1200~1</t>
  </si>
  <si>
    <t>800~34005;825~42017;850~47308;875~48538;900~45379;925~38660;950~30012;975~21230;1000~13685;1025~8039;1050~4303;1075~2098;1100~932;1125~377;1150~139;1175~46;1200~14;1225~4;1250~1</t>
  </si>
  <si>
    <t>800~29957;825~37058;850~42365;875~44757;900~43696;925~39423;950~32870;975~25327;1000~18034;1025~11867;1050~7216;1075~4055;1100~2106;1125~1010;1150~448;1175~183;1200~69;1225~24;1250~7;1275~2</t>
  </si>
  <si>
    <t>800~26673;825~32950;850~38034;875~41025;900~41349;925~38943;950~34272;975~28183;1000~21657;1025~15551;1050~10434;1075~6542;1100~3832;1125~2098;1150~1073;1175~513;1200~229;1225~95;1250~37;1275~13;1300~4</t>
  </si>
  <si>
    <t>800~23971;825~29522;850~34280;875~37526;900~38730;925~37686;950~34572;975~29901;1000~24381;1025~18743;1050~13584;1075~9282;1100~5979;1125~3631;1150~2079;1175~1122;1200~571;1225~274;1250~124;1275~52;1300~21</t>
  </si>
  <si>
    <t>800~21717;825~26641;850~31035;875~34335;900~36073;925~35991;950~34101;975~30685;1000~26220;1025~21277;1050~16397;1075~12000;1100~8340;1125~5504;1150~3450;1175~2053;1200~1160;1225~623;1250~317;1275~153;1300~70</t>
  </si>
  <si>
    <t>800~19815;825~24197;850~28230;875~31465;900~33505;925~34085;950~33128;975~30760;1000~27287;1025~23126;1050~18724;1075~14484;1100~10704;1125~7557;1150~5097;1175~3285;1200~2022;1225~1189;1250~668;1275~358;1300~184</t>
  </si>
  <si>
    <t>800~18193;825~22110;850~25798;875~28904;900~31093;925~32115;950~31850;975~30329;1000~27730;1025~24343;1050~20520;1075~16607;1100~12905;1125~9629;1150~6899;1175~4745;1200~3134;1225~1987;1250~1210;1275~707;1300~397</t>
  </si>
  <si>
    <t>800~16797;825~20311;850~23682;875~26625;900~28863;925~30170;950~30408;975~29552;1000~27693;1025~25023;1050~21802;1075~18315;1100~14836;1125~11588;1150~8728;1175~6338;1200~4438;1225~2996;1250~1951;1275~1224;1300~741</t>
  </si>
  <si>
    <t>800~15585;825~18751;850~21833;875~24600;900~26823;925~28303;950~28900;975~28556;1000~27306;1025~25268;1050~22627;1075~19607;1100~16442;1125~13343;1150~10478;1175~7963;1200~5856;1225~4167;1250~2870;1275~1913;1300~1233</t>
  </si>
  <si>
    <t>800~14524;825~17389;850~20209;875~22799;900~24967;925~26540;950~27387;975~27432;1000~26673;1025~25175;1050~23066;1075~20514;1100~17710;1125~14842;1150~12073;1175~9534;1200~7308;1225~5438;1250~3927;1275~2753;1300~1874</t>
  </si>
  <si>
    <t>600~57512;700~39155;800~570</t>
  </si>
  <si>
    <t>600~23493;700~71249;800~5351;900~9</t>
  </si>
  <si>
    <t>600~5800;700~70099;800~24092;900~235</t>
  </si>
  <si>
    <t>600~916;700~39850;800~56152;900~2564;1000~3</t>
  </si>
  <si>
    <t>600~97;700~13890;800~72534;900~13890;1000~97</t>
  </si>
  <si>
    <t>600~7;700~3130;800~55199;900~40127;1000~1202;1100~1</t>
  </si>
  <si>
    <t>700~478;800~26139;900~65811;1000~7631;1100~40</t>
  </si>
  <si>
    <t>700~51;800~8090;900~64812;1000~26568;1100~557</t>
  </si>
  <si>
    <t>700~4;800~1710;900~40316;1000~53733;1100~4049;1200~17</t>
  </si>
  <si>
    <t>800~257;900~16579;1000~66490;1100~16579;1200~257</t>
  </si>
  <si>
    <t>800~17;900~4049;1000~53733;1100~40316;1200~1710;1300~4</t>
  </si>
  <si>
    <t>900~557;1000~26568;1100~64812;1200~8090;1300~51</t>
  </si>
  <si>
    <t>900~40;1000~7631;1100~65811;1200~26139;1300~478</t>
  </si>
  <si>
    <t>900~1;1000~1202;1100~40127;1200~55199;1300~3130;1400~7</t>
  </si>
  <si>
    <t>1000~97;1100~13890;1200~72534;1300~13890;1400~97</t>
  </si>
  <si>
    <t>1000~3;1100~2564;1200~56152;1300~39850;1400~916</t>
  </si>
  <si>
    <t>1100~235;1200~24092;1300~70099;1400~5800</t>
  </si>
  <si>
    <t>1100~9;1200~5351;1300~71249;1400~23493</t>
  </si>
  <si>
    <t>1200~570;1300~39155;1400~57512</t>
  </si>
  <si>
    <t>1200~26;1300~10798;1400~79788</t>
  </si>
  <si>
    <t>discount</t>
    <phoneticPr fontId="7" type="noConversion"/>
  </si>
  <si>
    <t>2~0.2~0.75</t>
    <phoneticPr fontId="7" type="noConversion"/>
  </si>
  <si>
    <t>0~0~1</t>
    <phoneticPr fontId="7" type="noConversion"/>
  </si>
  <si>
    <t>1~0.25~0.5</t>
    <phoneticPr fontId="7" type="noConversion"/>
  </si>
  <si>
    <t>(int,float,float)</t>
  </si>
  <si>
    <r>
      <t xml:space="preserve">折扣信息
</t>
    </r>
    <r>
      <rPr>
        <i/>
        <sz val="10"/>
        <color theme="1"/>
        <rFont val="等线"/>
        <family val="3"/>
        <charset val="134"/>
        <scheme val="minor"/>
      </rPr>
      <t>item1: 折扣物品数量上限
item2: 每个物品的折扣几率
item3：折后价（比例）</t>
    </r>
    <phoneticPr fontId="7" type="noConversion"/>
  </si>
  <si>
    <t>守护符</t>
  </si>
  <si>
    <t>AMY棍棒</t>
  </si>
  <si>
    <t>AMY大剑</t>
  </si>
  <si>
    <t>1~1~0</t>
    <phoneticPr fontId="7" type="noConversion"/>
  </si>
  <si>
    <t>1~1~0.5</t>
    <phoneticPr fontId="7" type="noConversion"/>
  </si>
  <si>
    <t>500~25158;750~3599;1000~32</t>
  </si>
  <si>
    <t>500~759;750~16131;1000~21296;1250~1748;1500~8</t>
  </si>
  <si>
    <t>750~8;1000~1748;1250~21296;1500~16131;1750~759;2000~2</t>
  </si>
  <si>
    <t>1250~32;1500~3599;1750~25158;2000~10934;2250~295</t>
  </si>
  <si>
    <t>1750~102;2000~6631;2250~26596;2500~6631;2750~102</t>
  </si>
  <si>
    <t>2250~295;2500~10934;2750~25158;3000~3599;3250~32</t>
  </si>
  <si>
    <t>2500~2;2750~759;3000~16131;3250~21296;3500~1748;3750~8</t>
  </si>
  <si>
    <t>3000~8;3250~1748;3500~21296;3750~16131;4000~759;4250~2</t>
  </si>
  <si>
    <t>3500~32;3750~3599;4000~25158;4250~10934;4500~295</t>
  </si>
  <si>
    <t>4000~102;4250~6631;4500~26596;4750~6631;5000~102</t>
  </si>
  <si>
    <t>4500~295;4750~10934;5000~25158;5250~3599;5500~32</t>
  </si>
  <si>
    <t>4750~2;5000~759;5250~16131;5500~21296;5750~1748;6000~8</t>
  </si>
  <si>
    <t>5250~8;5500~1748;5750~21296;6000~16131;6250~759;6500~2</t>
  </si>
  <si>
    <t>5750~32;6000~3599;6250~25158;6500~10934;6750~295</t>
  </si>
  <si>
    <t>6250~102;6500~6631;6750~26596;7000~6631;7250~102</t>
  </si>
  <si>
    <t>6750~295;7000~10934;7250~25158;7500~3599;7750~32</t>
  </si>
  <si>
    <t>7000~2;7250~759;7500~16131;7750~21296;8000~1748;8250~8</t>
  </si>
  <si>
    <t>7500~8;7750~1748;8000~21296;8250~16131;8500~759</t>
  </si>
  <si>
    <t>8000~32;8250~3599;8500~25158</t>
  </si>
  <si>
    <t>8500~102</t>
  </si>
  <si>
    <t>左轮Lv.0</t>
    <phoneticPr fontId="8" type="noConversion"/>
  </si>
  <si>
    <t>左轮Lv.1</t>
    <phoneticPr fontId="8" type="noConversion"/>
  </si>
  <si>
    <t>左轮Lv.2</t>
    <phoneticPr fontId="8" type="noConversion"/>
  </si>
  <si>
    <t>左轮手枪(模板)</t>
    <phoneticPr fontId="8" type="noConversion"/>
  </si>
  <si>
    <t>防身手枪Lv.1</t>
    <phoneticPr fontId="8" type="noConversion"/>
  </si>
  <si>
    <t>防身手枪Lv.2</t>
  </si>
  <si>
    <t>防身手枪Lv.3</t>
  </si>
  <si>
    <t>防身手枪(模板)</t>
    <phoneticPr fontId="8" type="noConversion"/>
  </si>
  <si>
    <t>转轮机枪Lv.3</t>
    <phoneticPr fontId="8" type="noConversion"/>
  </si>
  <si>
    <t>转轮机枪Lv.4</t>
    <phoneticPr fontId="8" type="noConversion"/>
  </si>
  <si>
    <t>近战概率</t>
    <phoneticPr fontId="8" type="noConversion"/>
  </si>
  <si>
    <t>远程概率</t>
    <phoneticPr fontId="8" type="noConversion"/>
  </si>
  <si>
    <t>撞角概率</t>
    <phoneticPr fontId="8" type="noConversion"/>
  </si>
  <si>
    <t>特斯拉电极 Lv2</t>
    <phoneticPr fontId="8" type="noConversion"/>
  </si>
  <si>
    <t>特斯拉电极 Lv3</t>
    <phoneticPr fontId="8" type="noConversion"/>
  </si>
  <si>
    <t>特斯拉电极 Lv4</t>
    <phoneticPr fontId="8" type="noConversion"/>
  </si>
  <si>
    <t>特殊权重</t>
    <phoneticPr fontId="8" type="noConversion"/>
  </si>
  <si>
    <t>特殊概率</t>
    <phoneticPr fontId="8" type="noConversion"/>
  </si>
  <si>
    <t>喇叭霰弹枪Lv.0</t>
    <phoneticPr fontId="8" type="noConversion"/>
  </si>
  <si>
    <t>喇叭霰弹枪Lv.1</t>
  </si>
  <si>
    <t>喇叭霰弹枪Lv.2</t>
  </si>
  <si>
    <t>喇叭霰弹枪Lv.3</t>
  </si>
  <si>
    <t>特斯拉电极(模板)</t>
    <phoneticPr fontId="8" type="noConversion"/>
  </si>
  <si>
    <t>转轮机枪(模板)</t>
    <phoneticPr fontId="8" type="noConversion"/>
  </si>
  <si>
    <t>喇叭霰弹枪(模板)</t>
    <phoneticPr fontId="8" type="noConversion"/>
  </si>
  <si>
    <t>tb_relic_drop</t>
    <phoneticPr fontId="7" type="noConversion"/>
  </si>
  <si>
    <t>1000~1</t>
  </si>
  <si>
    <t>1000~1</t>
    <phoneticPr fontId="7" type="noConversion"/>
  </si>
  <si>
    <t>充气球棒 Lv.1</t>
    <phoneticPr fontId="8" type="noConversion"/>
  </si>
  <si>
    <t>充气球棒(模板)</t>
    <phoneticPr fontId="8" type="noConversion"/>
  </si>
  <si>
    <t>充气球棒 Lv.0</t>
    <phoneticPr fontId="8" type="noConversion"/>
  </si>
  <si>
    <t>圆锯 Lv.1</t>
    <phoneticPr fontId="8" type="noConversion"/>
  </si>
  <si>
    <t>圆锯 Lv.2</t>
    <phoneticPr fontId="8" type="noConversion"/>
  </si>
  <si>
    <t>圆锯 Lv.3</t>
    <phoneticPr fontId="8" type="noConversion"/>
  </si>
  <si>
    <t>圆锯 Lv.4</t>
    <phoneticPr fontId="8" type="noConversion"/>
  </si>
  <si>
    <t>圆锯 (模板)</t>
    <phoneticPr fontId="8" type="noConversion"/>
  </si>
  <si>
    <t>双刃铡刀 Lv.1</t>
  </si>
  <si>
    <t>双刃铡刀 Lv.2</t>
  </si>
  <si>
    <t>双刃铡刀 Lv.3</t>
  </si>
  <si>
    <t>双刃铡刀 Lv.0</t>
    <phoneticPr fontId="8" type="noConversion"/>
  </si>
  <si>
    <t>双刃铡刀 (模板)</t>
    <phoneticPr fontId="8" type="noConversion"/>
  </si>
  <si>
    <t>刺矛撞角 Lv.0</t>
  </si>
  <si>
    <t>刺矛撞角 Lv.1</t>
  </si>
  <si>
    <t>刺矛撞角 Lv.2</t>
  </si>
  <si>
    <t>金属铲斗 Lv.2</t>
  </si>
  <si>
    <t>金属铲斗 Lv.3</t>
  </si>
  <si>
    <t>长柄鱼叉 Lv.1</t>
  </si>
  <si>
    <t>长柄鱼叉 Lv.2</t>
  </si>
  <si>
    <t>长柄鱼叉 Lv.3</t>
  </si>
  <si>
    <t>蘑菇挡板 Lv.0</t>
  </si>
  <si>
    <t>蘑菇挡板 Lv.1</t>
  </si>
  <si>
    <t>修理匠</t>
    <phoneticPr fontId="7" type="noConversion"/>
  </si>
  <si>
    <t>饰品商店</t>
    <phoneticPr fontId="7" type="noConversion"/>
  </si>
  <si>
    <t>设备商店</t>
    <phoneticPr fontId="7" type="noConversion"/>
  </si>
  <si>
    <t>英雄营地</t>
    <phoneticPr fontId="7" type="noConversion"/>
  </si>
  <si>
    <t>饰品奖励</t>
    <phoneticPr fontId="7" type="noConversion"/>
  </si>
  <si>
    <t>龙头喷火器</t>
  </si>
  <si>
    <t>龙头喷火器 Lv.2</t>
  </si>
  <si>
    <t>龙头喷火器 Lv.3</t>
  </si>
  <si>
    <t>龙头喷火器 Lv.4</t>
  </si>
  <si>
    <t>采矿炸弹</t>
  </si>
  <si>
    <t>采矿炸弹 Lv.0</t>
  </si>
  <si>
    <t>采矿炸弹 Lv.1</t>
  </si>
  <si>
    <t>采矿炸弹 Lv.2</t>
  </si>
  <si>
    <t>采矿炸弹 Lv.3</t>
  </si>
  <si>
    <t>采矿炸弹 Lv.4</t>
  </si>
  <si>
    <t>镐子</t>
  </si>
  <si>
    <t>无黄蛋</t>
  </si>
  <si>
    <t>花洒 Lv.1</t>
  </si>
  <si>
    <t>花洒 Lv.2</t>
  </si>
  <si>
    <t>花洒 Lv.3</t>
  </si>
  <si>
    <t>蛋糕 Lv.1</t>
  </si>
  <si>
    <t>蛋糕 Lv.2</t>
  </si>
  <si>
    <t>蛋糕 Lv.3</t>
  </si>
  <si>
    <t>车轮权重</t>
    <phoneticPr fontId="8" type="noConversion"/>
  </si>
  <si>
    <t>车轮概率</t>
    <phoneticPr fontId="8" type="noConversion"/>
  </si>
  <si>
    <t>箱子 Lv.1</t>
  </si>
  <si>
    <t>箱子 Lv.2</t>
  </si>
  <si>
    <t>箱子 Lv.3</t>
  </si>
  <si>
    <t>符纸 Lv.1</t>
  </si>
  <si>
    <t>符纸 Lv.2</t>
  </si>
  <si>
    <t>符纸 Lv.3</t>
  </si>
  <si>
    <t>玩火艺人</t>
  </si>
  <si>
    <t>作弊骰 Lv.1</t>
    <phoneticPr fontId="7" type="noConversion"/>
  </si>
  <si>
    <t>作弊骰 Lv.2</t>
  </si>
  <si>
    <t>作弊骰 Lv.3</t>
  </si>
  <si>
    <t>蟹钳 蒜蓉</t>
    <phoneticPr fontId="7" type="noConversion"/>
  </si>
  <si>
    <t>蟹钳 十三香</t>
    <phoneticPr fontId="7" type="noConversion"/>
  </si>
  <si>
    <t>蟹钳 麻辣</t>
    <phoneticPr fontId="7" type="noConversion"/>
  </si>
  <si>
    <t>作弊骰 Lv.1</t>
  </si>
  <si>
    <t>蟹钳 蒜蓉</t>
  </si>
  <si>
    <t>蟹钳 麻辣</t>
  </si>
  <si>
    <t>蟹钳 十三香</t>
  </si>
  <si>
    <t>rank</t>
    <phoneticPr fontId="7" type="noConversion"/>
  </si>
  <si>
    <t>Relic_Distribution_in_Shop</t>
    <phoneticPr fontId="7" type="noConversion"/>
  </si>
  <si>
    <t>品质</t>
    <phoneticPr fontId="7" type="noConversion"/>
  </si>
  <si>
    <t>mean</t>
    <phoneticPr fontId="7" type="noConversion"/>
  </si>
  <si>
    <t>std_dev</t>
    <phoneticPr fontId="7" type="noConversion"/>
  </si>
  <si>
    <t>mul_coef</t>
    <phoneticPr fontId="7" type="noConversion"/>
  </si>
  <si>
    <t>权重分布</t>
    <phoneticPr fontId="7" type="noConversion"/>
  </si>
  <si>
    <t>品质1权重</t>
  </si>
  <si>
    <t>品质2权重</t>
  </si>
  <si>
    <t>品质3权重</t>
  </si>
  <si>
    <t>品质4权重</t>
  </si>
  <si>
    <t>品质0权重</t>
    <phoneticPr fontId="7" type="noConversion"/>
  </si>
  <si>
    <t>品质0概率</t>
    <phoneticPr fontId="7" type="noConversion"/>
  </si>
  <si>
    <t>品质1概率</t>
  </si>
  <si>
    <t>品质2概率</t>
  </si>
  <si>
    <t>品质3概率</t>
  </si>
  <si>
    <t>品质4概率</t>
  </si>
  <si>
    <t>牢门</t>
  </si>
  <si>
    <t>警卫制服</t>
  </si>
  <si>
    <t>工头喇叭</t>
  </si>
  <si>
    <t>火星蝶</t>
  </si>
  <si>
    <t>value</t>
    <phoneticPr fontId="7" type="noConversion"/>
  </si>
  <si>
    <t>Role_Distribution_in_Shop</t>
    <phoneticPr fontId="7" type="noConversion"/>
  </si>
  <si>
    <t>基础价值</t>
    <phoneticPr fontId="7" type="noConversion"/>
  </si>
  <si>
    <t>Device_Distribution_in_Shop</t>
    <phoneticPr fontId="7" type="noConversion"/>
  </si>
  <si>
    <t>rank</t>
    <phoneticPr fontId="8" type="noConversion"/>
  </si>
  <si>
    <t>模板</t>
    <phoneticPr fontId="8" type="noConversion"/>
  </si>
  <si>
    <t>type</t>
    <phoneticPr fontId="8" type="noConversion"/>
  </si>
  <si>
    <t>车轮</t>
    <phoneticPr fontId="8" type="noConversion"/>
  </si>
  <si>
    <t>近战</t>
    <phoneticPr fontId="8" type="noConversion"/>
  </si>
  <si>
    <t>远程</t>
    <phoneticPr fontId="8" type="noConversion"/>
  </si>
  <si>
    <t>特殊</t>
    <phoneticPr fontId="8" type="noConversion"/>
  </si>
  <si>
    <t>盾牌</t>
    <phoneticPr fontId="8" type="noConversion"/>
  </si>
  <si>
    <t>撞角</t>
    <phoneticPr fontId="8" type="noConversion"/>
  </si>
  <si>
    <t>cutdown</t>
    <phoneticPr fontId="7" type="noConversion"/>
  </si>
  <si>
    <t>硬木车轮 Lv.1</t>
  </si>
  <si>
    <t>硬木车轮 Lv.2</t>
  </si>
  <si>
    <t>硬木车轮 Lv.3</t>
  </si>
  <si>
    <t>品质0权重</t>
    <phoneticPr fontId="8" type="noConversion"/>
  </si>
  <si>
    <t>品质0概率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</si>
</sst>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b/>
      <i/>
      <sz val="11"/>
      <color theme="9"/>
      <name val="等线"/>
      <family val="3"/>
      <charset val="134"/>
      <scheme val="minor"/>
    </font>
    <font>
      <i/>
      <sz val="11"/>
      <color theme="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1" fillId="0" borderId="0" xfId="2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2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0" xfId="2" applyNumberForma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9" fillId="4" borderId="0" xfId="0" applyFont="1" applyFill="1"/>
    <xf numFmtId="0" fontId="1" fillId="7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5" fillId="6" borderId="0" xfId="0" applyFont="1" applyFill="1" applyAlignment="1">
      <alignment vertical="center"/>
    </xf>
    <xf numFmtId="10" fontId="0" fillId="0" borderId="0" xfId="0" applyNumberFormat="1"/>
    <xf numFmtId="0" fontId="1" fillId="4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13" borderId="0" xfId="0" applyFill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2 2" xfId="2" xr:uid="{00000000-0005-0000-0000-000032000000}"/>
  </cellStyles>
  <dxfs count="68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</dxf>
    <dxf>
      <font>
        <b/>
        <i val="0"/>
        <color theme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2" xr9:uid="{F7DE642B-7BD0-4746-A60D-0C7A9C27B364}">
      <tableStyleElement type="wholeTable" dxfId="687"/>
      <tableStyleElement type="headerRow" dxfId="686"/>
    </tableStyle>
  </tableStyles>
  <colors>
    <mruColors>
      <color rgb="FFFFC9FF"/>
      <color rgb="FFA7D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73A6B4-7D8F-403F-8C30-5A27077AFB2F}" name="tb_shop_device" displayName="tb_shop_device" ref="A1:CF109" totalsRowShown="0" headerRowDxfId="685" dataDxfId="684">
  <autoFilter ref="A1:CF109" xr:uid="{F773A6B4-7D8F-403F-8C30-5A27077AFB2F}"/>
  <tableColumns count="84">
    <tableColumn id="1" xr3:uid="{0F6235DF-A3DD-4C9D-801C-06BD558BCE37}" name="id" dataDxfId="683" totalsRowDxfId="682"/>
    <tableColumn id="2" xr3:uid="{CFCA38C9-AC81-4142-899D-78EC5004B2CF}" name="name" dataDxfId="681" totalsRowDxfId="680"/>
    <tableColumn id="84" xr3:uid="{1B2544B2-08B5-494E-8937-8A696691694C}" name="type" dataDxfId="679" totalsRowDxfId="678"/>
    <tableColumn id="83" xr3:uid="{A361540B-CE24-4823-BCAC-25A1A39F539B}" name="rank" dataDxfId="677" totalsRowDxfId="676"/>
    <tableColumn id="63" xr3:uid="{8969B744-98D8-42BE-89BB-F0CBB20E1C14}" name="地宫-01" dataDxfId="675" totalsRowDxfId="674"/>
    <tableColumn id="64" xr3:uid="{D2209317-ADCD-4B15-986B-52F9B47FFAB8}" name="地宫-02" dataDxfId="673" totalsRowDxfId="672"/>
    <tableColumn id="65" xr3:uid="{4DA39E1E-94AE-4448-9F4A-1065C2B00D8A}" name="地宫-03" dataDxfId="671" totalsRowDxfId="670"/>
    <tableColumn id="66" xr3:uid="{9DB6E100-AA08-4617-A05D-411A61E71BDB}" name="地宫-04" dataDxfId="669" totalsRowDxfId="668"/>
    <tableColumn id="67" xr3:uid="{71D38C18-EF4E-416F-A65F-CAB47A75D959}" name="地宫-05" dataDxfId="667" totalsRowDxfId="666"/>
    <tableColumn id="68" xr3:uid="{F19100A4-24FF-47BC-BE26-9DCA1DF600EE}" name="地宫-06" dataDxfId="665" totalsRowDxfId="664"/>
    <tableColumn id="69" xr3:uid="{7DDE37DD-B80B-4FC9-A3EB-566DE4C2D971}" name="地宫-07" dataDxfId="663" totalsRowDxfId="662"/>
    <tableColumn id="70" xr3:uid="{2EDA0248-4CF5-4406-AD5C-334209627DD2}" name="地宫-08" dataDxfId="661" totalsRowDxfId="660"/>
    <tableColumn id="71" xr3:uid="{C38F466F-5AA7-4FB4-B5E1-2F9557EF6645}" name="地宫-09" dataDxfId="659" totalsRowDxfId="658"/>
    <tableColumn id="72" xr3:uid="{2AF3D59A-5AAE-406F-91D8-BDB68A4E2191}" name="地宫-10" dataDxfId="657" totalsRowDxfId="656"/>
    <tableColumn id="73" xr3:uid="{F7E405CE-DD5D-4748-8D97-EC6A78B7A56F}" name="地宫-11" dataDxfId="655" totalsRowDxfId="654"/>
    <tableColumn id="74" xr3:uid="{CBF0F8A9-B7BA-4E44-B358-1CF1F5CBC892}" name="地宫-12" dataDxfId="653" totalsRowDxfId="652"/>
    <tableColumn id="75" xr3:uid="{B317C83E-6EDF-4BAD-8AA5-3379501A8E8A}" name="地宫-13" dataDxfId="651" totalsRowDxfId="650"/>
    <tableColumn id="76" xr3:uid="{3489E82A-EF8C-424F-92C6-D1FA9B84285D}" name="地宫-14" dataDxfId="649" totalsRowDxfId="648"/>
    <tableColumn id="77" xr3:uid="{033CD4FD-55C1-4250-8F07-CD500FB521B4}" name="地宫-15" dataDxfId="647" totalsRowDxfId="646"/>
    <tableColumn id="78" xr3:uid="{A902CD25-C058-4A25-A174-CE5A9F5607B0}" name="地宫-16" dataDxfId="645" totalsRowDxfId="644"/>
    <tableColumn id="79" xr3:uid="{4CE30555-F348-4478-8D16-744EFC022BC4}" name="地宫-17" dataDxfId="643" totalsRowDxfId="642"/>
    <tableColumn id="80" xr3:uid="{27DE44F5-61BE-430F-8108-095AAEC1AA07}" name="地宫-18" dataDxfId="641" totalsRowDxfId="640"/>
    <tableColumn id="81" xr3:uid="{B5419913-B66E-4817-9413-1E8111AE0F17}" name="地宫-19" dataDxfId="639" totalsRowDxfId="638"/>
    <tableColumn id="82" xr3:uid="{07FA2D49-C8C3-480B-8890-FBF8258609B8}" name="地宫-20" dataDxfId="637" totalsRowDxfId="636"/>
    <tableColumn id="43" xr3:uid="{275AA2E1-EEDE-486B-8C18-9C882791578F}" name="树梢-01" dataDxfId="635" totalsRowDxfId="634"/>
    <tableColumn id="44" xr3:uid="{770A05FD-95C1-40B7-9286-0172DE028644}" name="树梢-02" dataDxfId="633" totalsRowDxfId="632"/>
    <tableColumn id="45" xr3:uid="{A817B2DC-9A84-45D5-A36F-18B8BC56B7EC}" name="树梢-03" dataDxfId="631" totalsRowDxfId="630"/>
    <tableColumn id="46" xr3:uid="{97C6259E-9A2B-4F7A-83D3-8B30841633DA}" name="树梢-04" dataDxfId="629" totalsRowDxfId="628"/>
    <tableColumn id="47" xr3:uid="{28628B46-7CAB-4907-87B6-249DA644722A}" name="树梢-05" dataDxfId="627" totalsRowDxfId="626"/>
    <tableColumn id="48" xr3:uid="{BA712F9E-62B5-4F43-A11C-456BB2B95806}" name="树梢-06" dataDxfId="625" totalsRowDxfId="624"/>
    <tableColumn id="49" xr3:uid="{B3C11210-1333-4BD5-941B-49EF84D9997B}" name="树梢-07" dataDxfId="623" totalsRowDxfId="622"/>
    <tableColumn id="50" xr3:uid="{029270CF-3D9C-43DE-9832-F0297B8C4C41}" name="树梢-08" dataDxfId="621" totalsRowDxfId="620"/>
    <tableColumn id="51" xr3:uid="{5CEB7759-81EE-4BEF-9280-3DF353DCCA53}" name="树梢-09" dataDxfId="619" totalsRowDxfId="618"/>
    <tableColumn id="52" xr3:uid="{ACFD35B8-4905-4038-9C8B-4F1BAB3B3944}" name="树梢-10" dataDxfId="617" totalsRowDxfId="616"/>
    <tableColumn id="53" xr3:uid="{5022D560-2DE7-4294-922A-FEED81EDF6C1}" name="树梢-11" dataDxfId="615" totalsRowDxfId="614"/>
    <tableColumn id="54" xr3:uid="{DC13439A-0A27-4B75-A58A-4F5734042348}" name="树梢-12" dataDxfId="613" totalsRowDxfId="612"/>
    <tableColumn id="55" xr3:uid="{D6944D1B-78F4-418C-B408-E1FB3CA8AFE9}" name="树梢-13" dataDxfId="611" totalsRowDxfId="610"/>
    <tableColumn id="56" xr3:uid="{46E8DDA0-EA77-4EE8-8CF7-A2923430EA7F}" name="树梢-14" dataDxfId="609" totalsRowDxfId="608"/>
    <tableColumn id="57" xr3:uid="{890A084E-BD9C-413F-B316-035D494894A3}" name="树梢-15" dataDxfId="607" totalsRowDxfId="606"/>
    <tableColumn id="58" xr3:uid="{1963156A-29E9-447B-91A3-D54AACF51803}" name="树梢-16" dataDxfId="605" totalsRowDxfId="604"/>
    <tableColumn id="59" xr3:uid="{2A37FEC1-3A70-4F76-BF84-070E3AAED8A1}" name="树梢-17" dataDxfId="603" totalsRowDxfId="602"/>
    <tableColumn id="60" xr3:uid="{CD9E22F5-A07E-48F9-99BE-5C2FE97FDB67}" name="树梢-18" dataDxfId="601" totalsRowDxfId="600"/>
    <tableColumn id="61" xr3:uid="{C7E07478-71EF-4E7C-9C65-FB0C1918B7FE}" name="树梢-19" dataDxfId="599" totalsRowDxfId="598"/>
    <tableColumn id="62" xr3:uid="{F1FEB9E6-5B56-45D1-9CA2-6AB498C0E4A6}" name="树梢-20" dataDxfId="597" totalsRowDxfId="596"/>
    <tableColumn id="23" xr3:uid="{21F9578C-BE31-4948-91DA-323AA05CB628}" name="荒漠-01" dataDxfId="595" totalsRowDxfId="594"/>
    <tableColumn id="24" xr3:uid="{D6F1E3CB-7D03-4EE4-9E8A-41526264381B}" name="荒漠-02" dataDxfId="593" totalsRowDxfId="592"/>
    <tableColumn id="25" xr3:uid="{F4FE9E69-CDC0-4D00-8D41-D6069C40F422}" name="荒漠-03" dataDxfId="591" totalsRowDxfId="590"/>
    <tableColumn id="26" xr3:uid="{712EFF79-D646-4DC7-B15A-C011E8C21816}" name="荒漠-04" dataDxfId="589" totalsRowDxfId="588"/>
    <tableColumn id="27" xr3:uid="{C770887E-5FC0-4244-91BF-BFE51121F043}" name="荒漠-05" dataDxfId="587" totalsRowDxfId="586"/>
    <tableColumn id="28" xr3:uid="{F5737468-E767-43E6-826C-711764728656}" name="荒漠-06" dataDxfId="585" totalsRowDxfId="584"/>
    <tableColumn id="29" xr3:uid="{492CA1C7-3163-4D68-BD4D-86BB91D461FF}" name="荒漠-07" dataDxfId="583" totalsRowDxfId="582"/>
    <tableColumn id="30" xr3:uid="{71679FA1-C9CC-47C8-BDC3-AFAD1C2F9FDF}" name="荒漠-08" dataDxfId="581" totalsRowDxfId="580"/>
    <tableColumn id="31" xr3:uid="{498B2637-75CE-4951-8A6D-C7486D61871E}" name="荒漠-09" dataDxfId="579" totalsRowDxfId="578"/>
    <tableColumn id="32" xr3:uid="{3E2D938D-9634-4931-AA77-B5DC35E5003C}" name="荒漠-10" dataDxfId="577" totalsRowDxfId="576"/>
    <tableColumn id="33" xr3:uid="{4583732D-B611-45C4-AFFE-21D8D4C9C92D}" name="荒漠-11" dataDxfId="575" totalsRowDxfId="574"/>
    <tableColumn id="34" xr3:uid="{9778F2E9-2374-4B22-865D-226C18CA5F94}" name="荒漠-12" dataDxfId="573" totalsRowDxfId="572"/>
    <tableColumn id="35" xr3:uid="{960343C7-900C-41AD-BB99-4E2D7C06659D}" name="荒漠-13" dataDxfId="571" totalsRowDxfId="570"/>
    <tableColumn id="36" xr3:uid="{47A0E6CA-97BC-4D12-9289-4ED1B202E8C1}" name="荒漠-14" dataDxfId="569" totalsRowDxfId="568"/>
    <tableColumn id="37" xr3:uid="{B1DFAC9A-8148-4C49-AD31-14CEF17C8378}" name="荒漠-15" dataDxfId="567" totalsRowDxfId="566"/>
    <tableColumn id="38" xr3:uid="{F0CCAD5D-9BF3-4B78-B085-1EA363B71CE6}" name="荒漠-16" dataDxfId="565" totalsRowDxfId="564"/>
    <tableColumn id="39" xr3:uid="{7533ED9E-47E5-423D-9D7C-31AA13D6C878}" name="荒漠-17" dataDxfId="563" totalsRowDxfId="562"/>
    <tableColumn id="40" xr3:uid="{5017C89D-4842-4F48-9E82-1F710E0E932E}" name="荒漠-18" dataDxfId="561" totalsRowDxfId="560"/>
    <tableColumn id="41" xr3:uid="{C3A07ABC-A8F2-49AF-984C-47D35DF9ADB5}" name="荒漠-19" dataDxfId="559" totalsRowDxfId="558"/>
    <tableColumn id="42" xr3:uid="{A0AE9605-F58C-48F2-883D-8A8CAA8E2673}" name="荒漠-20" dataDxfId="557" totalsRowDxfId="556"/>
    <tableColumn id="3" xr3:uid="{585592C4-8163-46E2-BE5D-ADB4B610C9B1}" name="大湖-01" dataDxfId="555" totalsRowDxfId="554"/>
    <tableColumn id="4" xr3:uid="{297C9B41-4FBC-449A-9BFC-B89F2AB0BAA9}" name="大湖-02" dataDxfId="553" totalsRowDxfId="552"/>
    <tableColumn id="5" xr3:uid="{0C06F36B-254D-4641-8FF1-4B80F2D5B3DD}" name="大湖-03" dataDxfId="551" totalsRowDxfId="550"/>
    <tableColumn id="6" xr3:uid="{40CC6A17-2890-4887-AC84-B04C22F78947}" name="大湖-04" dataDxfId="549" totalsRowDxfId="548"/>
    <tableColumn id="7" xr3:uid="{58DC568D-A312-4A7E-8D31-D32E2B200D5D}" name="大湖-05" dataDxfId="547" totalsRowDxfId="546"/>
    <tableColumn id="8" xr3:uid="{21768E28-FBAC-4825-ACF6-1A2E51C2A6E9}" name="大湖-06" dataDxfId="545" totalsRowDxfId="544"/>
    <tableColumn id="9" xr3:uid="{54C3B1B7-3BF6-45F4-9FD3-F48519EDD6C7}" name="大湖-07" dataDxfId="543" totalsRowDxfId="542"/>
    <tableColumn id="10" xr3:uid="{1CE2E51F-4EA7-408B-9B42-A2019F52C42B}" name="大湖-08" dataDxfId="541" totalsRowDxfId="540"/>
    <tableColumn id="11" xr3:uid="{03378514-468A-451D-9055-BA899327E02B}" name="大湖-09" dataDxfId="539" totalsRowDxfId="538"/>
    <tableColumn id="12" xr3:uid="{820F66E7-0599-4A97-BF26-BEB74D77C4DC}" name="大湖-10" dataDxfId="537" totalsRowDxfId="536"/>
    <tableColumn id="13" xr3:uid="{5987A02E-7712-4C81-9409-45B07CD60412}" name="大湖-11" dataDxfId="535" totalsRowDxfId="534"/>
    <tableColumn id="14" xr3:uid="{89F96B1E-152E-4351-9FC4-769043401890}" name="大湖-12" dataDxfId="533" totalsRowDxfId="532"/>
    <tableColumn id="15" xr3:uid="{4E372D99-7B22-4E03-B5DA-50E30D095C87}" name="大湖-13" dataDxfId="531" totalsRowDxfId="530"/>
    <tableColumn id="16" xr3:uid="{62BED3DD-01B0-40AE-8508-2669CD80054F}" name="大湖-14" dataDxfId="529" totalsRowDxfId="528"/>
    <tableColumn id="17" xr3:uid="{6380A9DE-2C2F-4C47-8D09-26B296B73E64}" name="大湖-15" dataDxfId="527" totalsRowDxfId="526"/>
    <tableColumn id="18" xr3:uid="{6CC23A22-4047-4E09-B1ED-C5BFDBF8299C}" name="大湖-16" dataDxfId="525" totalsRowDxfId="524"/>
    <tableColumn id="19" xr3:uid="{1285959A-DEA8-4D1E-B376-6BCC77D6C02E}" name="大湖-17" dataDxfId="523" totalsRowDxfId="522"/>
    <tableColumn id="20" xr3:uid="{A1D0CD6E-058C-4E32-848D-0DD9BB240F52}" name="大湖-18" dataDxfId="521" totalsRowDxfId="520"/>
    <tableColumn id="21" xr3:uid="{F4E4CA2F-7F18-4ADD-A2A1-47952FB6A4D5}" name="大湖-19" dataDxfId="519" totalsRowDxfId="518"/>
    <tableColumn id="22" xr3:uid="{82394688-FFB7-439F-8298-28B7273DA9ED}" name="大湖-20" dataDxfId="517" totalsRowDxfId="516"/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F84B5-C938-4527-AF03-7F826B774606}" name="tb_shop_role" displayName="tb_shop_role" ref="A1:CE21" totalsRowShown="0" headerRowDxfId="515" dataDxfId="514">
  <autoFilter ref="A1:CE21" xr:uid="{F773A6B4-7D8F-403F-8C30-5A27077AFB2F}"/>
  <tableColumns count="83">
    <tableColumn id="1" xr3:uid="{978B57E8-050F-4992-8D0D-F948F787A4D6}" name="id" dataDxfId="513" totalsRowDxfId="512"/>
    <tableColumn id="2" xr3:uid="{81C18E62-EBF7-47EB-B3F1-386E235025DF}" name="name" dataDxfId="511" totalsRowDxfId="510"/>
    <tableColumn id="84" xr3:uid="{6F570DD4-EF0C-4C65-B24E-2BD0118E96B2}" name="value" dataDxfId="509" totalsRowDxfId="508"/>
    <tableColumn id="63" xr3:uid="{E8F1EB43-58ED-434A-B4F7-CA09296582C7}" name="地宫-01" dataDxfId="507" totalsRowDxfId="506">
      <calculatedColumnFormula array="1">IFERROR(INDEX(_xlfn.ANCHORARRAY(_xlfn.XLOOKUP($C2,'-ref_Distribution'!$B$101:$B$109,'-ref_Distribution'!$G$101:$G$109)),RIGHT(D$1,2)),"")</calculatedColumnFormula>
    </tableColumn>
    <tableColumn id="64" xr3:uid="{267D4BEC-34F8-4F73-B80D-5EC13F75E575}" name="地宫-02" dataDxfId="505" totalsRowDxfId="504">
      <calculatedColumnFormula array="1">IFERROR(INDEX(_xlfn.ANCHORARRAY(_xlfn.XLOOKUP($C2,'-ref_Distribution'!$B$101:$B$109,'-ref_Distribution'!$G$101:$G$109)),RIGHT(E$1,2)),"")</calculatedColumnFormula>
    </tableColumn>
    <tableColumn id="65" xr3:uid="{1A09D72A-AA3F-4B73-95B4-C90387F72F97}" name="地宫-03" dataDxfId="503" totalsRowDxfId="502">
      <calculatedColumnFormula array="1">IFERROR(INDEX(_xlfn.ANCHORARRAY(_xlfn.XLOOKUP($C2,'-ref_Distribution'!$B$101:$B$109,'-ref_Distribution'!$G$101:$G$109)),RIGHT(F$1,2)),"")</calculatedColumnFormula>
    </tableColumn>
    <tableColumn id="66" xr3:uid="{B7918317-DC50-4CCF-9DAB-D82D6893F34B}" name="地宫-04" dataDxfId="501" totalsRowDxfId="500">
      <calculatedColumnFormula array="1">IFERROR(INDEX(_xlfn.ANCHORARRAY(_xlfn.XLOOKUP($C2,'-ref_Distribution'!$B$101:$B$109,'-ref_Distribution'!$G$101:$G$109)),RIGHT(G$1,2)),"")</calculatedColumnFormula>
    </tableColumn>
    <tableColumn id="67" xr3:uid="{E21C3D0B-D957-45E1-8803-857590C8CB6C}" name="地宫-05" dataDxfId="499" totalsRowDxfId="498">
      <calculatedColumnFormula array="1">IFERROR(INDEX(_xlfn.ANCHORARRAY(_xlfn.XLOOKUP($C2,'-ref_Distribution'!$B$101:$B$109,'-ref_Distribution'!$G$101:$G$109)),RIGHT(H$1,2)),"")</calculatedColumnFormula>
    </tableColumn>
    <tableColumn id="68" xr3:uid="{90955244-9B4D-4EC9-858A-C06B10F6CA2F}" name="地宫-06" dataDxfId="497" totalsRowDxfId="496">
      <calculatedColumnFormula array="1">IFERROR(INDEX(_xlfn.ANCHORARRAY(_xlfn.XLOOKUP($C2,'-ref_Distribution'!$B$101:$B$109,'-ref_Distribution'!$G$101:$G$109)),RIGHT(I$1,2)),"")</calculatedColumnFormula>
    </tableColumn>
    <tableColumn id="69" xr3:uid="{E8A4377D-4E57-4412-BBA3-4B5F73148197}" name="地宫-07" dataDxfId="495" totalsRowDxfId="494">
      <calculatedColumnFormula array="1">IFERROR(INDEX(_xlfn.ANCHORARRAY(_xlfn.XLOOKUP($C2,'-ref_Distribution'!$B$101:$B$109,'-ref_Distribution'!$G$101:$G$109)),RIGHT(J$1,2)),"")</calculatedColumnFormula>
    </tableColumn>
    <tableColumn id="70" xr3:uid="{D41812AE-634F-49B7-BC0F-C5893C1C632F}" name="地宫-08" dataDxfId="493" totalsRowDxfId="492">
      <calculatedColumnFormula array="1">IFERROR(INDEX(_xlfn.ANCHORARRAY(_xlfn.XLOOKUP($C2,'-ref_Distribution'!$B$101:$B$109,'-ref_Distribution'!$G$101:$G$109)),RIGHT(K$1,2)),"")</calculatedColumnFormula>
    </tableColumn>
    <tableColumn id="71" xr3:uid="{87E10146-93B0-4B3C-B772-2771CAE2C130}" name="地宫-09" dataDxfId="491" totalsRowDxfId="490">
      <calculatedColumnFormula array="1">IFERROR(INDEX(_xlfn.ANCHORARRAY(_xlfn.XLOOKUP($C2,'-ref_Distribution'!$B$101:$B$109,'-ref_Distribution'!$G$101:$G$109)),RIGHT(L$1,2)),"")</calculatedColumnFormula>
    </tableColumn>
    <tableColumn id="72" xr3:uid="{B9C678F3-5A91-43E6-B802-4640BE595E2F}" name="地宫-10" dataDxfId="489" totalsRowDxfId="488">
      <calculatedColumnFormula array="1">IFERROR(INDEX(_xlfn.ANCHORARRAY(_xlfn.XLOOKUP($C2,'-ref_Distribution'!$B$101:$B$109,'-ref_Distribution'!$G$101:$G$109)),RIGHT(M$1,2)),"")</calculatedColumnFormula>
    </tableColumn>
    <tableColumn id="73" xr3:uid="{0DD9881D-E05C-4345-8252-610EB0A36B95}" name="地宫-11" dataDxfId="487" totalsRowDxfId="486">
      <calculatedColumnFormula array="1">IFERROR(INDEX(_xlfn.ANCHORARRAY(_xlfn.XLOOKUP($C2,'-ref_Distribution'!$B$101:$B$109,'-ref_Distribution'!$G$101:$G$109)),RIGHT(N$1,2)),"")</calculatedColumnFormula>
    </tableColumn>
    <tableColumn id="74" xr3:uid="{BD42CE29-758C-472F-9979-EB270BB70558}" name="地宫-12" dataDxfId="485" totalsRowDxfId="484">
      <calculatedColumnFormula array="1">IFERROR(INDEX(_xlfn.ANCHORARRAY(_xlfn.XLOOKUP($C2,'-ref_Distribution'!$B$101:$B$109,'-ref_Distribution'!$G$101:$G$109)),RIGHT(O$1,2)),"")</calculatedColumnFormula>
    </tableColumn>
    <tableColumn id="75" xr3:uid="{2770DDC9-8DB7-41B8-BCF6-7D4C9278DE39}" name="地宫-13" dataDxfId="483" totalsRowDxfId="482">
      <calculatedColumnFormula array="1">IFERROR(INDEX(_xlfn.ANCHORARRAY(_xlfn.XLOOKUP($C2,'-ref_Distribution'!$B$101:$B$109,'-ref_Distribution'!$G$101:$G$109)),RIGHT(P$1,2)),"")</calculatedColumnFormula>
    </tableColumn>
    <tableColumn id="76" xr3:uid="{B5AE776B-FE02-45E3-979D-054FBD587263}" name="地宫-14" dataDxfId="481" totalsRowDxfId="480">
      <calculatedColumnFormula array="1">IFERROR(INDEX(_xlfn.ANCHORARRAY(_xlfn.XLOOKUP($C2,'-ref_Distribution'!$B$101:$B$109,'-ref_Distribution'!$G$101:$G$109)),RIGHT(Q$1,2)),"")</calculatedColumnFormula>
    </tableColumn>
    <tableColumn id="77" xr3:uid="{D02D362B-A987-4712-A73A-88B152F5A8F9}" name="地宫-15" dataDxfId="479" totalsRowDxfId="478">
      <calculatedColumnFormula array="1">IFERROR(INDEX(_xlfn.ANCHORARRAY(_xlfn.XLOOKUP($C2,'-ref_Distribution'!$B$101:$B$109,'-ref_Distribution'!$G$101:$G$109)),RIGHT(R$1,2)),"")</calculatedColumnFormula>
    </tableColumn>
    <tableColumn id="78" xr3:uid="{030D5635-AE3C-44B7-B3B0-08B1F78455C1}" name="地宫-16" dataDxfId="477" totalsRowDxfId="476">
      <calculatedColumnFormula array="1">IFERROR(INDEX(_xlfn.ANCHORARRAY(_xlfn.XLOOKUP($C2,'-ref_Distribution'!$B$101:$B$109,'-ref_Distribution'!$G$101:$G$109)),RIGHT(S$1,2)),"")</calculatedColumnFormula>
    </tableColumn>
    <tableColumn id="79" xr3:uid="{644FA206-D202-4A34-984A-53AD78A6B439}" name="地宫-17" dataDxfId="475" totalsRowDxfId="474">
      <calculatedColumnFormula array="1">IFERROR(INDEX(_xlfn.ANCHORARRAY(_xlfn.XLOOKUP($C2,'-ref_Distribution'!$B$101:$B$109,'-ref_Distribution'!$G$101:$G$109)),RIGHT(T$1,2)),"")</calculatedColumnFormula>
    </tableColumn>
    <tableColumn id="80" xr3:uid="{DB71FEAC-9075-4522-A7AA-D887692B1499}" name="地宫-18" dataDxfId="473" totalsRowDxfId="472">
      <calculatedColumnFormula array="1">IFERROR(INDEX(_xlfn.ANCHORARRAY(_xlfn.XLOOKUP($C2,'-ref_Distribution'!$B$101:$B$109,'-ref_Distribution'!$G$101:$G$109)),RIGHT(U$1,2)),"")</calculatedColumnFormula>
    </tableColumn>
    <tableColumn id="81" xr3:uid="{9A4C941C-FCB7-4A4C-A04E-BA3C8F25C1D3}" name="地宫-19" dataDxfId="471" totalsRowDxfId="470">
      <calculatedColumnFormula array="1">IFERROR(INDEX(_xlfn.ANCHORARRAY(_xlfn.XLOOKUP($C2,'-ref_Distribution'!$B$101:$B$109,'-ref_Distribution'!$G$101:$G$109)),RIGHT(V$1,2)),"")</calculatedColumnFormula>
    </tableColumn>
    <tableColumn id="82" xr3:uid="{2273D9A2-AA01-4E34-A899-F6D7AF6FBF8A}" name="地宫-20" dataDxfId="469" totalsRowDxfId="468">
      <calculatedColumnFormula array="1">IFERROR(INDEX(_xlfn.ANCHORARRAY(_xlfn.XLOOKUP($C2,'-ref_Distribution'!$B$101:$B$109,'-ref_Distribution'!$G$101:$G$109)),RIGHT(W$1,2)),"")</calculatedColumnFormula>
    </tableColumn>
    <tableColumn id="43" xr3:uid="{5E25A40D-6602-42CD-8D0D-B533A991DD0D}" name="树梢-01" dataDxfId="467" totalsRowDxfId="466">
      <calculatedColumnFormula array="1">IFERROR(INDEX(_xlfn.ANCHORARRAY(_xlfn.XLOOKUP($C2,'-ref_Distribution'!$B$101:$B$109,'-ref_Distribution'!$G$101:$G$109)),RIGHT(X$1,2)),"")</calculatedColumnFormula>
    </tableColumn>
    <tableColumn id="44" xr3:uid="{66FB74C9-BEA4-44D5-9567-10CE6CDCEC7E}" name="树梢-02" dataDxfId="465" totalsRowDxfId="464">
      <calculatedColumnFormula array="1">IFERROR(INDEX(_xlfn.ANCHORARRAY(_xlfn.XLOOKUP($C2,'-ref_Distribution'!$B$101:$B$109,'-ref_Distribution'!$G$101:$G$109)),RIGHT(Y$1,2)),"")</calculatedColumnFormula>
    </tableColumn>
    <tableColumn id="45" xr3:uid="{46EA9D15-23DD-43B3-963D-1D1B6D1833CC}" name="树梢-03" dataDxfId="463" totalsRowDxfId="462">
      <calculatedColumnFormula array="1">IFERROR(INDEX(_xlfn.ANCHORARRAY(_xlfn.XLOOKUP($C2,'-ref_Distribution'!$B$101:$B$109,'-ref_Distribution'!$G$101:$G$109)),RIGHT(Z$1,2)),"")</calculatedColumnFormula>
    </tableColumn>
    <tableColumn id="46" xr3:uid="{4FC48BC6-0990-4971-B5DA-A686A837FEB3}" name="树梢-04" dataDxfId="461" totalsRowDxfId="460">
      <calculatedColumnFormula array="1">IFERROR(INDEX(_xlfn.ANCHORARRAY(_xlfn.XLOOKUP($C2,'-ref_Distribution'!$B$101:$B$109,'-ref_Distribution'!$G$101:$G$109)),RIGHT(AA$1,2)),"")</calculatedColumnFormula>
    </tableColumn>
    <tableColumn id="47" xr3:uid="{A8B64943-B8E5-4F1A-B517-424DB01103CF}" name="树梢-05" dataDxfId="459" totalsRowDxfId="458">
      <calculatedColumnFormula array="1">IFERROR(INDEX(_xlfn.ANCHORARRAY(_xlfn.XLOOKUP($C2,'-ref_Distribution'!$B$101:$B$109,'-ref_Distribution'!$G$101:$G$109)),RIGHT(AB$1,2)),"")</calculatedColumnFormula>
    </tableColumn>
    <tableColumn id="48" xr3:uid="{3D432938-3700-4793-8994-7A00FC2871DB}" name="树梢-06" dataDxfId="457" totalsRowDxfId="456">
      <calculatedColumnFormula array="1">IFERROR(INDEX(_xlfn.ANCHORARRAY(_xlfn.XLOOKUP($C2,'-ref_Distribution'!$B$101:$B$109,'-ref_Distribution'!$G$101:$G$109)),RIGHT(AC$1,2)),"")</calculatedColumnFormula>
    </tableColumn>
    <tableColumn id="49" xr3:uid="{A988FC10-61ED-40F3-9B0F-6774F9902333}" name="树梢-07" dataDxfId="455" totalsRowDxfId="454">
      <calculatedColumnFormula array="1">IFERROR(INDEX(_xlfn.ANCHORARRAY(_xlfn.XLOOKUP($C2,'-ref_Distribution'!$B$101:$B$109,'-ref_Distribution'!$G$101:$G$109)),RIGHT(AD$1,2)),"")</calculatedColumnFormula>
    </tableColumn>
    <tableColumn id="50" xr3:uid="{1E5ECD4D-A7E6-49EA-9B08-A08DAE104623}" name="树梢-08" dataDxfId="453" totalsRowDxfId="452">
      <calculatedColumnFormula array="1">IFERROR(INDEX(_xlfn.ANCHORARRAY(_xlfn.XLOOKUP($C2,'-ref_Distribution'!$B$101:$B$109,'-ref_Distribution'!$G$101:$G$109)),RIGHT(AE$1,2)),"")</calculatedColumnFormula>
    </tableColumn>
    <tableColumn id="51" xr3:uid="{6EAF3AB7-24B0-4B71-8157-5A87BBEF709A}" name="树梢-09" dataDxfId="451" totalsRowDxfId="450">
      <calculatedColumnFormula array="1">IFERROR(INDEX(_xlfn.ANCHORARRAY(_xlfn.XLOOKUP($C2,'-ref_Distribution'!$B$101:$B$109,'-ref_Distribution'!$G$101:$G$109)),RIGHT(AF$1,2)),"")</calculatedColumnFormula>
    </tableColumn>
    <tableColumn id="52" xr3:uid="{99692778-C9CF-4E6A-AAB3-2D2C0225B167}" name="树梢-10" dataDxfId="449" totalsRowDxfId="448">
      <calculatedColumnFormula array="1">IFERROR(INDEX(_xlfn.ANCHORARRAY(_xlfn.XLOOKUP($C2,'-ref_Distribution'!$B$101:$B$109,'-ref_Distribution'!$G$101:$G$109)),RIGHT(AG$1,2)),"")</calculatedColumnFormula>
    </tableColumn>
    <tableColumn id="53" xr3:uid="{07029A9E-8DCB-4739-8A94-A67A428E35E6}" name="树梢-11" dataDxfId="447" totalsRowDxfId="446">
      <calculatedColumnFormula array="1">IFERROR(INDEX(_xlfn.ANCHORARRAY(_xlfn.XLOOKUP($C2,'-ref_Distribution'!$B$101:$B$109,'-ref_Distribution'!$G$101:$G$109)),RIGHT(AH$1,2)),"")</calculatedColumnFormula>
    </tableColumn>
    <tableColumn id="54" xr3:uid="{4BEE64BB-AB6C-4597-8B49-DF3E8271DF86}" name="树梢-12" dataDxfId="445" totalsRowDxfId="444">
      <calculatedColumnFormula array="1">IFERROR(INDEX(_xlfn.ANCHORARRAY(_xlfn.XLOOKUP($C2,'-ref_Distribution'!$B$101:$B$109,'-ref_Distribution'!$G$101:$G$109)),RIGHT(AI$1,2)),"")</calculatedColumnFormula>
    </tableColumn>
    <tableColumn id="55" xr3:uid="{9DEAB91C-B7DA-4B75-B995-065970539CC8}" name="树梢-13" dataDxfId="443" totalsRowDxfId="442">
      <calculatedColumnFormula array="1">IFERROR(INDEX(_xlfn.ANCHORARRAY(_xlfn.XLOOKUP($C2,'-ref_Distribution'!$B$101:$B$109,'-ref_Distribution'!$G$101:$G$109)),RIGHT(AJ$1,2)),"")</calculatedColumnFormula>
    </tableColumn>
    <tableColumn id="56" xr3:uid="{9648EE02-7330-4CF7-8DA0-A1483FE6AEB6}" name="树梢-14" dataDxfId="441" totalsRowDxfId="440">
      <calculatedColumnFormula array="1">IFERROR(INDEX(_xlfn.ANCHORARRAY(_xlfn.XLOOKUP($C2,'-ref_Distribution'!$B$101:$B$109,'-ref_Distribution'!$G$101:$G$109)),RIGHT(AK$1,2)),"")</calculatedColumnFormula>
    </tableColumn>
    <tableColumn id="57" xr3:uid="{D05A45EF-F19C-4577-A08D-5438A2B68F27}" name="树梢-15" dataDxfId="439" totalsRowDxfId="438">
      <calculatedColumnFormula array="1">IFERROR(INDEX(_xlfn.ANCHORARRAY(_xlfn.XLOOKUP($C2,'-ref_Distribution'!$B$101:$B$109,'-ref_Distribution'!$G$101:$G$109)),RIGHT(AL$1,2)),"")</calculatedColumnFormula>
    </tableColumn>
    <tableColumn id="58" xr3:uid="{B9F5EABC-702D-4F7A-AF7F-D6C328CF2AC9}" name="树梢-16" dataDxfId="437" totalsRowDxfId="436">
      <calculatedColumnFormula array="1">IFERROR(INDEX(_xlfn.ANCHORARRAY(_xlfn.XLOOKUP($C2,'-ref_Distribution'!$B$101:$B$109,'-ref_Distribution'!$G$101:$G$109)),RIGHT(AM$1,2)),"")</calculatedColumnFormula>
    </tableColumn>
    <tableColumn id="59" xr3:uid="{EAA857F7-44E2-4CDD-8A90-EC8650ACCF36}" name="树梢-17" dataDxfId="435" totalsRowDxfId="434">
      <calculatedColumnFormula array="1">IFERROR(INDEX(_xlfn.ANCHORARRAY(_xlfn.XLOOKUP($C2,'-ref_Distribution'!$B$101:$B$109,'-ref_Distribution'!$G$101:$G$109)),RIGHT(AN$1,2)),"")</calculatedColumnFormula>
    </tableColumn>
    <tableColumn id="60" xr3:uid="{475BF6D3-D380-48EC-93B0-B5AA818B0833}" name="树梢-18" dataDxfId="433" totalsRowDxfId="432">
      <calculatedColumnFormula array="1">IFERROR(INDEX(_xlfn.ANCHORARRAY(_xlfn.XLOOKUP($C2,'-ref_Distribution'!$B$101:$B$109,'-ref_Distribution'!$G$101:$G$109)),RIGHT(AO$1,2)),"")</calculatedColumnFormula>
    </tableColumn>
    <tableColumn id="61" xr3:uid="{B69880F4-AE92-4DF9-8B21-1587EC289DD6}" name="树梢-19" dataDxfId="431" totalsRowDxfId="430">
      <calculatedColumnFormula array="1">IFERROR(INDEX(_xlfn.ANCHORARRAY(_xlfn.XLOOKUP($C2,'-ref_Distribution'!$B$101:$B$109,'-ref_Distribution'!$G$101:$G$109)),RIGHT(AP$1,2)),"")</calculatedColumnFormula>
    </tableColumn>
    <tableColumn id="62" xr3:uid="{6C176170-D7F6-4686-A893-8612B30DEB12}" name="树梢-20" dataDxfId="429" totalsRowDxfId="428">
      <calculatedColumnFormula array="1">IFERROR(INDEX(_xlfn.ANCHORARRAY(_xlfn.XLOOKUP($C2,'-ref_Distribution'!$B$101:$B$109,'-ref_Distribution'!$G$101:$G$109)),RIGHT(AQ$1,2)),"")</calculatedColumnFormula>
    </tableColumn>
    <tableColumn id="23" xr3:uid="{6AF157EE-F9AB-4827-AE72-D9A0E49AD657}" name="荒漠-01" dataDxfId="427" totalsRowDxfId="426">
      <calculatedColumnFormula array="1">IFERROR(INDEX(_xlfn.ANCHORARRAY(_xlfn.XLOOKUP($C2,'-ref_Distribution'!$B$101:$B$109,'-ref_Distribution'!$G$101:$G$109)),RIGHT(AR$1,2)),"")</calculatedColumnFormula>
    </tableColumn>
    <tableColumn id="24" xr3:uid="{D6C57B48-16E5-4CE3-98B0-56EBB0E768FC}" name="荒漠-02" dataDxfId="425" totalsRowDxfId="424">
      <calculatedColumnFormula array="1">IFERROR(INDEX(_xlfn.ANCHORARRAY(_xlfn.XLOOKUP($C2,'-ref_Distribution'!$B$101:$B$109,'-ref_Distribution'!$G$101:$G$109)),RIGHT(AS$1,2)),"")</calculatedColumnFormula>
    </tableColumn>
    <tableColumn id="25" xr3:uid="{CEE56E78-3AF1-4ABF-B6A0-12472CA28EB1}" name="荒漠-03" dataDxfId="423" totalsRowDxfId="422">
      <calculatedColumnFormula array="1">IFERROR(INDEX(_xlfn.ANCHORARRAY(_xlfn.XLOOKUP($C2,'-ref_Distribution'!$B$101:$B$109,'-ref_Distribution'!$G$101:$G$109)),RIGHT(AT$1,2)),"")</calculatedColumnFormula>
    </tableColumn>
    <tableColumn id="26" xr3:uid="{3E8CFDDD-2450-4F65-BBF1-F09661E28E30}" name="荒漠-04" dataDxfId="421" totalsRowDxfId="420">
      <calculatedColumnFormula array="1">IFERROR(INDEX(_xlfn.ANCHORARRAY(_xlfn.XLOOKUP($C2,'-ref_Distribution'!$B$101:$B$109,'-ref_Distribution'!$G$101:$G$109)),RIGHT(AU$1,2)),"")</calculatedColumnFormula>
    </tableColumn>
    <tableColumn id="27" xr3:uid="{4EFFBDF2-2419-4585-91C0-81B787B21283}" name="荒漠-05" dataDxfId="419" totalsRowDxfId="418">
      <calculatedColumnFormula array="1">IFERROR(INDEX(_xlfn.ANCHORARRAY(_xlfn.XLOOKUP($C2,'-ref_Distribution'!$B$101:$B$109,'-ref_Distribution'!$G$101:$G$109)),RIGHT(AV$1,2)),"")</calculatedColumnFormula>
    </tableColumn>
    <tableColumn id="28" xr3:uid="{C9C97C6B-7C02-4B4A-854B-716B11FE99C6}" name="荒漠-06" dataDxfId="417" totalsRowDxfId="416">
      <calculatedColumnFormula array="1">IFERROR(INDEX(_xlfn.ANCHORARRAY(_xlfn.XLOOKUP($C2,'-ref_Distribution'!$B$101:$B$109,'-ref_Distribution'!$G$101:$G$109)),RIGHT(AW$1,2)),"")</calculatedColumnFormula>
    </tableColumn>
    <tableColumn id="29" xr3:uid="{A02D88F2-8E9C-4A39-A1E7-7182E2852B9F}" name="荒漠-07" dataDxfId="415" totalsRowDxfId="414">
      <calculatedColumnFormula array="1">IFERROR(INDEX(_xlfn.ANCHORARRAY(_xlfn.XLOOKUP($C2,'-ref_Distribution'!$B$101:$B$109,'-ref_Distribution'!$G$101:$G$109)),RIGHT(AX$1,2)),"")</calculatedColumnFormula>
    </tableColumn>
    <tableColumn id="30" xr3:uid="{73FFB074-35B7-4EA2-921B-0A438176F803}" name="荒漠-08" dataDxfId="413" totalsRowDxfId="412">
      <calculatedColumnFormula array="1">IFERROR(INDEX(_xlfn.ANCHORARRAY(_xlfn.XLOOKUP($C2,'-ref_Distribution'!$B$101:$B$109,'-ref_Distribution'!$G$101:$G$109)),RIGHT(AY$1,2)),"")</calculatedColumnFormula>
    </tableColumn>
    <tableColumn id="31" xr3:uid="{1BAA5294-140A-4BCA-9ABE-6E1E274235A2}" name="荒漠-09" dataDxfId="411" totalsRowDxfId="410">
      <calculatedColumnFormula array="1">IFERROR(INDEX(_xlfn.ANCHORARRAY(_xlfn.XLOOKUP($C2,'-ref_Distribution'!$B$101:$B$109,'-ref_Distribution'!$G$101:$G$109)),RIGHT(AZ$1,2)),"")</calculatedColumnFormula>
    </tableColumn>
    <tableColumn id="32" xr3:uid="{882B70B0-9903-499F-8C53-035F9AFC183A}" name="荒漠-10" dataDxfId="409" totalsRowDxfId="408">
      <calculatedColumnFormula array="1">IFERROR(INDEX(_xlfn.ANCHORARRAY(_xlfn.XLOOKUP($C2,'-ref_Distribution'!$B$101:$B$109,'-ref_Distribution'!$G$101:$G$109)),RIGHT(BA$1,2)),"")</calculatedColumnFormula>
    </tableColumn>
    <tableColumn id="33" xr3:uid="{FC786744-4DE9-4055-9375-C1F0FCCB0E87}" name="荒漠-11" dataDxfId="407" totalsRowDxfId="406">
      <calculatedColumnFormula array="1">IFERROR(INDEX(_xlfn.ANCHORARRAY(_xlfn.XLOOKUP($C2,'-ref_Distribution'!$B$101:$B$109,'-ref_Distribution'!$G$101:$G$109)),RIGHT(BB$1,2)),"")</calculatedColumnFormula>
    </tableColumn>
    <tableColumn id="34" xr3:uid="{2BD83F0E-2BD4-47B8-8E71-37D9AF754A90}" name="荒漠-12" dataDxfId="405" totalsRowDxfId="404">
      <calculatedColumnFormula array="1">IFERROR(INDEX(_xlfn.ANCHORARRAY(_xlfn.XLOOKUP($C2,'-ref_Distribution'!$B$101:$B$109,'-ref_Distribution'!$G$101:$G$109)),RIGHT(BC$1,2)),"")</calculatedColumnFormula>
    </tableColumn>
    <tableColumn id="35" xr3:uid="{218024F8-A758-426C-81F3-52F8991E0E4F}" name="荒漠-13" dataDxfId="403" totalsRowDxfId="402">
      <calculatedColumnFormula array="1">IFERROR(INDEX(_xlfn.ANCHORARRAY(_xlfn.XLOOKUP($C2,'-ref_Distribution'!$B$101:$B$109,'-ref_Distribution'!$G$101:$G$109)),RIGHT(BD$1,2)),"")</calculatedColumnFormula>
    </tableColumn>
    <tableColumn id="36" xr3:uid="{45E5827D-508C-4C65-A11E-006ED8534356}" name="荒漠-14" dataDxfId="401" totalsRowDxfId="400">
      <calculatedColumnFormula array="1">IFERROR(INDEX(_xlfn.ANCHORARRAY(_xlfn.XLOOKUP($C2,'-ref_Distribution'!$B$101:$B$109,'-ref_Distribution'!$G$101:$G$109)),RIGHT(BE$1,2)),"")</calculatedColumnFormula>
    </tableColumn>
    <tableColumn id="37" xr3:uid="{704597DC-7B6F-4553-999F-D5BDAF332924}" name="荒漠-15" dataDxfId="399" totalsRowDxfId="398">
      <calculatedColumnFormula array="1">IFERROR(INDEX(_xlfn.ANCHORARRAY(_xlfn.XLOOKUP($C2,'-ref_Distribution'!$B$101:$B$109,'-ref_Distribution'!$G$101:$G$109)),RIGHT(BF$1,2)),"")</calculatedColumnFormula>
    </tableColumn>
    <tableColumn id="38" xr3:uid="{247BA449-0686-4B43-9779-1C839007E1F7}" name="荒漠-16" dataDxfId="397" totalsRowDxfId="396">
      <calculatedColumnFormula array="1">IFERROR(INDEX(_xlfn.ANCHORARRAY(_xlfn.XLOOKUP($C2,'-ref_Distribution'!$B$101:$B$109,'-ref_Distribution'!$G$101:$G$109)),RIGHT(BG$1,2)),"")</calculatedColumnFormula>
    </tableColumn>
    <tableColumn id="39" xr3:uid="{ED92E48C-C7B6-4148-8B28-3068DC23D8A5}" name="荒漠-17" dataDxfId="395" totalsRowDxfId="394">
      <calculatedColumnFormula array="1">IFERROR(INDEX(_xlfn.ANCHORARRAY(_xlfn.XLOOKUP($C2,'-ref_Distribution'!$B$101:$B$109,'-ref_Distribution'!$G$101:$G$109)),RIGHT(BH$1,2)),"")</calculatedColumnFormula>
    </tableColumn>
    <tableColumn id="40" xr3:uid="{55DCBA95-DB3D-4F67-A54D-4F94CEA72C7C}" name="荒漠-18" dataDxfId="393" totalsRowDxfId="392">
      <calculatedColumnFormula array="1">IFERROR(INDEX(_xlfn.ANCHORARRAY(_xlfn.XLOOKUP($C2,'-ref_Distribution'!$B$101:$B$109,'-ref_Distribution'!$G$101:$G$109)),RIGHT(BI$1,2)),"")</calculatedColumnFormula>
    </tableColumn>
    <tableColumn id="41" xr3:uid="{75B76C87-AA0D-44F3-9980-CF7860479B79}" name="荒漠-19" dataDxfId="391" totalsRowDxfId="390">
      <calculatedColumnFormula array="1">IFERROR(INDEX(_xlfn.ANCHORARRAY(_xlfn.XLOOKUP($C2,'-ref_Distribution'!$B$101:$B$109,'-ref_Distribution'!$G$101:$G$109)),RIGHT(BJ$1,2)),"")</calculatedColumnFormula>
    </tableColumn>
    <tableColumn id="42" xr3:uid="{F90B57B1-3B46-480C-9189-8C2F92209E04}" name="荒漠-20" dataDxfId="389" totalsRowDxfId="388">
      <calculatedColumnFormula array="1">IFERROR(INDEX(_xlfn.ANCHORARRAY(_xlfn.XLOOKUP($C2,'-ref_Distribution'!$B$101:$B$109,'-ref_Distribution'!$G$101:$G$109)),RIGHT(BK$1,2)),"")</calculatedColumnFormula>
    </tableColumn>
    <tableColumn id="3" xr3:uid="{8A3715BF-7517-40D6-80B2-3590FE6F76B7}" name="大湖-01" dataDxfId="387" totalsRowDxfId="386">
      <calculatedColumnFormula array="1">IFERROR(INDEX(_xlfn.ANCHORARRAY(_xlfn.XLOOKUP($C2,'-ref_Distribution'!$B$101:$B$109,'-ref_Distribution'!$G$101:$G$109)),RIGHT(BL$1,2)),"")</calculatedColumnFormula>
    </tableColumn>
    <tableColumn id="4" xr3:uid="{7DC1E996-2FDB-4354-BD3D-01F839106F66}" name="大湖-02" dataDxfId="385" totalsRowDxfId="384">
      <calculatedColumnFormula array="1">IFERROR(INDEX(_xlfn.ANCHORARRAY(_xlfn.XLOOKUP($C2,'-ref_Distribution'!$B$101:$B$109,'-ref_Distribution'!$G$101:$G$109)),RIGHT(BM$1,2)),"")</calculatedColumnFormula>
    </tableColumn>
    <tableColumn id="5" xr3:uid="{FAC7A6EC-8E79-43C7-8882-9C913D2CCB44}" name="大湖-03" dataDxfId="383" totalsRowDxfId="382">
      <calculatedColumnFormula array="1">IFERROR(INDEX(_xlfn.ANCHORARRAY(_xlfn.XLOOKUP($C2,'-ref_Distribution'!$B$101:$B$109,'-ref_Distribution'!$G$101:$G$109)),RIGHT(BN$1,2)),"")</calculatedColumnFormula>
    </tableColumn>
    <tableColumn id="6" xr3:uid="{3A31B056-50FA-4E5B-B89D-63138428D4C6}" name="大湖-04" dataDxfId="381" totalsRowDxfId="380">
      <calculatedColumnFormula array="1">IFERROR(INDEX(_xlfn.ANCHORARRAY(_xlfn.XLOOKUP($C2,'-ref_Distribution'!$B$101:$B$109,'-ref_Distribution'!$G$101:$G$109)),RIGHT(BO$1,2)),"")</calculatedColumnFormula>
    </tableColumn>
    <tableColumn id="7" xr3:uid="{14905A3E-E8AF-475C-A5F9-F183139AB7EA}" name="大湖-05" dataDxfId="379" totalsRowDxfId="378">
      <calculatedColumnFormula array="1">IFERROR(INDEX(_xlfn.ANCHORARRAY(_xlfn.XLOOKUP($C2,'-ref_Distribution'!$B$101:$B$109,'-ref_Distribution'!$G$101:$G$109)),RIGHT(BP$1,2)),"")</calculatedColumnFormula>
    </tableColumn>
    <tableColumn id="8" xr3:uid="{FDF4CAEB-22CD-492C-92AA-BA52C7F45302}" name="大湖-06" dataDxfId="377" totalsRowDxfId="376">
      <calculatedColumnFormula array="1">IFERROR(INDEX(_xlfn.ANCHORARRAY(_xlfn.XLOOKUP($C2,'-ref_Distribution'!$B$101:$B$109,'-ref_Distribution'!$G$101:$G$109)),RIGHT(BQ$1,2)),"")</calculatedColumnFormula>
    </tableColumn>
    <tableColumn id="9" xr3:uid="{14986CB7-9F53-4678-AA20-8750767EF3AC}" name="大湖-07" dataDxfId="375" totalsRowDxfId="374">
      <calculatedColumnFormula array="1">IFERROR(INDEX(_xlfn.ANCHORARRAY(_xlfn.XLOOKUP($C2,'-ref_Distribution'!$B$101:$B$109,'-ref_Distribution'!$G$101:$G$109)),RIGHT(BR$1,2)),"")</calculatedColumnFormula>
    </tableColumn>
    <tableColumn id="10" xr3:uid="{80440310-1981-4A8A-A708-C7FADFB4DAC0}" name="大湖-08" dataDxfId="373" totalsRowDxfId="372">
      <calculatedColumnFormula array="1">IFERROR(INDEX(_xlfn.ANCHORARRAY(_xlfn.XLOOKUP($C2,'-ref_Distribution'!$B$101:$B$109,'-ref_Distribution'!$G$101:$G$109)),RIGHT(BS$1,2)),"")</calculatedColumnFormula>
    </tableColumn>
    <tableColumn id="11" xr3:uid="{D0ED3F39-18FF-47EF-B50C-96A36B9A2202}" name="大湖-09" dataDxfId="371" totalsRowDxfId="370">
      <calculatedColumnFormula array="1">IFERROR(INDEX(_xlfn.ANCHORARRAY(_xlfn.XLOOKUP($C2,'-ref_Distribution'!$B$101:$B$109,'-ref_Distribution'!$G$101:$G$109)),RIGHT(BT$1,2)),"")</calculatedColumnFormula>
    </tableColumn>
    <tableColumn id="12" xr3:uid="{F8139B8A-8D45-4994-B00A-6A997CB2CEBF}" name="大湖-10" dataDxfId="369" totalsRowDxfId="368">
      <calculatedColumnFormula array="1">IFERROR(INDEX(_xlfn.ANCHORARRAY(_xlfn.XLOOKUP($C2,'-ref_Distribution'!$B$101:$B$109,'-ref_Distribution'!$G$101:$G$109)),RIGHT(BU$1,2)),"")</calculatedColumnFormula>
    </tableColumn>
    <tableColumn id="13" xr3:uid="{882E1A17-B24E-4C8C-B150-500736A885B1}" name="大湖-11" dataDxfId="367" totalsRowDxfId="366">
      <calculatedColumnFormula array="1">IFERROR(INDEX(_xlfn.ANCHORARRAY(_xlfn.XLOOKUP($C2,'-ref_Distribution'!$B$101:$B$109,'-ref_Distribution'!$G$101:$G$109)),RIGHT(BV$1,2)),"")</calculatedColumnFormula>
    </tableColumn>
    <tableColumn id="14" xr3:uid="{FF5F8BDE-4309-4D91-8E21-8A5BD30A1B7F}" name="大湖-12" dataDxfId="365" totalsRowDxfId="364">
      <calculatedColumnFormula array="1">IFERROR(INDEX(_xlfn.ANCHORARRAY(_xlfn.XLOOKUP($C2,'-ref_Distribution'!$B$101:$B$109,'-ref_Distribution'!$G$101:$G$109)),RIGHT(BW$1,2)),"")</calculatedColumnFormula>
    </tableColumn>
    <tableColumn id="15" xr3:uid="{0AD48F6D-AEF5-42B8-BE24-AD149479DECC}" name="大湖-13" dataDxfId="363" totalsRowDxfId="362">
      <calculatedColumnFormula array="1">IFERROR(INDEX(_xlfn.ANCHORARRAY(_xlfn.XLOOKUP($C2,'-ref_Distribution'!$B$101:$B$109,'-ref_Distribution'!$G$101:$G$109)),RIGHT(BX$1,2)),"")</calculatedColumnFormula>
    </tableColumn>
    <tableColumn id="16" xr3:uid="{4AF6B845-B705-4D7E-BA37-E0537E2F313C}" name="大湖-14" dataDxfId="361" totalsRowDxfId="360">
      <calculatedColumnFormula array="1">IFERROR(INDEX(_xlfn.ANCHORARRAY(_xlfn.XLOOKUP($C2,'-ref_Distribution'!$B$101:$B$109,'-ref_Distribution'!$G$101:$G$109)),RIGHT(BY$1,2)),"")</calculatedColumnFormula>
    </tableColumn>
    <tableColumn id="17" xr3:uid="{327BCABC-3951-4A1C-AA5B-19B4039F8D37}" name="大湖-15" dataDxfId="359" totalsRowDxfId="358">
      <calculatedColumnFormula array="1">IFERROR(INDEX(_xlfn.ANCHORARRAY(_xlfn.XLOOKUP($C2,'-ref_Distribution'!$B$101:$B$109,'-ref_Distribution'!$G$101:$G$109)),RIGHT(BZ$1,2)),"")</calculatedColumnFormula>
    </tableColumn>
    <tableColumn id="18" xr3:uid="{E19C8D9A-BE14-4C52-9F86-843FD2EFBC75}" name="大湖-16" dataDxfId="357" totalsRowDxfId="356">
      <calculatedColumnFormula array="1">IFERROR(INDEX(_xlfn.ANCHORARRAY(_xlfn.XLOOKUP($C2,'-ref_Distribution'!$B$101:$B$109,'-ref_Distribution'!$G$101:$G$109)),RIGHT(CA$1,2)),"")</calculatedColumnFormula>
    </tableColumn>
    <tableColumn id="19" xr3:uid="{006E058E-D1C3-44E5-BBF7-E38C606C9668}" name="大湖-17" dataDxfId="355" totalsRowDxfId="354">
      <calculatedColumnFormula array="1">IFERROR(INDEX(_xlfn.ANCHORARRAY(_xlfn.XLOOKUP($C2,'-ref_Distribution'!$B$101:$B$109,'-ref_Distribution'!$G$101:$G$109)),RIGHT(CB$1,2)),"")</calculatedColumnFormula>
    </tableColumn>
    <tableColumn id="20" xr3:uid="{90E81458-6675-4E33-8646-B16386D23E44}" name="大湖-18" dataDxfId="353" totalsRowDxfId="352">
      <calculatedColumnFormula array="1">IFERROR(INDEX(_xlfn.ANCHORARRAY(_xlfn.XLOOKUP($C2,'-ref_Distribution'!$B$101:$B$109,'-ref_Distribution'!$G$101:$G$109)),RIGHT(CC$1,2)),"")</calculatedColumnFormula>
    </tableColumn>
    <tableColumn id="21" xr3:uid="{62CB05DE-63A7-4620-BC04-052225FC33EA}" name="大湖-19" dataDxfId="351" totalsRowDxfId="350">
      <calculatedColumnFormula array="1">IFERROR(INDEX(_xlfn.ANCHORARRAY(_xlfn.XLOOKUP($C2,'-ref_Distribution'!$B$101:$B$109,'-ref_Distribution'!$G$101:$G$109)),RIGHT(CD$1,2)),"")</calculatedColumnFormula>
    </tableColumn>
    <tableColumn id="22" xr3:uid="{1DC74226-B4DE-4CEE-BEF1-D7E2D024A45C}" name="大湖-20" dataDxfId="349" totalsRowDxfId="348">
      <calculatedColumnFormula array="1">IFERROR(INDEX(_xlfn.ANCHORARRAY(_xlfn.XLOOKUP($C2,'-ref_Distribution'!$B$101:$B$109,'-ref_Distribution'!$G$101:$G$109)),RIGHT(CE$1,2)),"")</calculatedColumnFormula>
    </tableColumn>
  </tableColumns>
  <tableStyleInfo name="表样式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4C3BA2-F720-4E24-ABCC-E38EB463BF39}" name="tb_relic_drop" displayName="tb_relic_drop" ref="A1:CE85" totalsRowShown="0" headerRowDxfId="347" dataDxfId="346">
  <autoFilter ref="A1:CE85" xr:uid="{F773A6B4-7D8F-403F-8C30-5A27077AFB2F}"/>
  <tableColumns count="83">
    <tableColumn id="1" xr3:uid="{87144FF4-E754-46DF-8D5D-FF7E53FB4100}" name="id" dataDxfId="345" totalsRowDxfId="344"/>
    <tableColumn id="2" xr3:uid="{F2EEB082-DA8A-463B-A2DE-7015CF06BA87}" name="name" dataDxfId="343" totalsRowDxfId="342"/>
    <tableColumn id="83" xr3:uid="{DDA9A862-812B-40DB-9F20-244B9B8CF545}" name="rank" dataDxfId="341" totalsRowDxfId="340"/>
    <tableColumn id="63" xr3:uid="{6EB1C9AD-FFC8-4EB7-B813-973BF098C724}" name="地宫-01" dataDxfId="339" totalsRowDxfId="338"/>
    <tableColumn id="64" xr3:uid="{E6ADFD9C-5382-4ED9-BE24-2B0784E8AFE6}" name="地宫-02" dataDxfId="337" totalsRowDxfId="336"/>
    <tableColumn id="65" xr3:uid="{561FFE66-66BE-4A87-A7B5-1632882E6396}" name="地宫-03" dataDxfId="335" totalsRowDxfId="334"/>
    <tableColumn id="66" xr3:uid="{48AD9226-941B-4D61-8BF4-6A766745FD32}" name="地宫-04" dataDxfId="333" totalsRowDxfId="332"/>
    <tableColumn id="67" xr3:uid="{FFB4A3A1-22A0-4AEF-B646-86538C9BB9AD}" name="地宫-05" dataDxfId="331" totalsRowDxfId="330"/>
    <tableColumn id="68" xr3:uid="{894FC402-EBB2-4749-B63E-A471C68881A1}" name="地宫-06" dataDxfId="329" totalsRowDxfId="328"/>
    <tableColumn id="69" xr3:uid="{B997F4E5-DE58-460C-9823-42509379CC7F}" name="地宫-07" dataDxfId="327" totalsRowDxfId="326"/>
    <tableColumn id="70" xr3:uid="{3600896F-F9A0-428A-AF98-F846DAA337D3}" name="地宫-08" dataDxfId="325" totalsRowDxfId="324"/>
    <tableColumn id="71" xr3:uid="{4AFAA165-3FA0-4A0F-BF1F-FC4155477C8D}" name="地宫-09" dataDxfId="323" totalsRowDxfId="322"/>
    <tableColumn id="72" xr3:uid="{AB0110AC-E620-4905-9FDC-3B284A4BDE27}" name="地宫-10" dataDxfId="321" totalsRowDxfId="320"/>
    <tableColumn id="73" xr3:uid="{A7C201FF-AED4-4325-9FA8-FCCB9C4A3854}" name="地宫-11" dataDxfId="319" totalsRowDxfId="318"/>
    <tableColumn id="74" xr3:uid="{C022DEF8-2AE8-4A35-B4D4-A1E9B2D19812}" name="地宫-12" dataDxfId="317" totalsRowDxfId="316"/>
    <tableColumn id="75" xr3:uid="{2C6E96EF-A778-42B0-ABF6-4BAD89B84258}" name="地宫-13" dataDxfId="315" totalsRowDxfId="314"/>
    <tableColumn id="76" xr3:uid="{E535F1A0-0DE8-44DB-830A-968A1CD36687}" name="地宫-14" dataDxfId="313" totalsRowDxfId="312"/>
    <tableColumn id="77" xr3:uid="{F9EB1EF4-CDC2-40CA-AF03-1CA353E5A885}" name="地宫-15" dataDxfId="311" totalsRowDxfId="310"/>
    <tableColumn id="78" xr3:uid="{C3940644-A177-4461-9F59-4371AEFCC521}" name="地宫-16" dataDxfId="309" totalsRowDxfId="308"/>
    <tableColumn id="79" xr3:uid="{86B54712-A860-4054-A90E-2D989F4D14E2}" name="地宫-17" dataDxfId="307" totalsRowDxfId="306"/>
    <tableColumn id="80" xr3:uid="{C7DD5605-FCE4-47BE-8F27-B903F9641345}" name="地宫-18" dataDxfId="305" totalsRowDxfId="304"/>
    <tableColumn id="81" xr3:uid="{94C864B8-818F-4055-BDA1-24C58B69FA3B}" name="地宫-19" dataDxfId="303" totalsRowDxfId="302"/>
    <tableColumn id="82" xr3:uid="{B75D1894-29A5-47DC-BE58-57ACDF486763}" name="地宫-20" dataDxfId="301" totalsRowDxfId="300"/>
    <tableColumn id="43" xr3:uid="{EC83BCE3-BE02-42D3-9EA4-20CB312EF1B3}" name="树梢-01" dataDxfId="299" totalsRowDxfId="298"/>
    <tableColumn id="44" xr3:uid="{F9C91DEF-8AAB-4AB9-9F84-E14EFCD00658}" name="树梢-02" dataDxfId="297" totalsRowDxfId="296"/>
    <tableColumn id="45" xr3:uid="{366D70F7-2C36-441F-B96D-0E45EEFD4B08}" name="树梢-03" dataDxfId="295" totalsRowDxfId="294"/>
    <tableColumn id="46" xr3:uid="{F141D2E6-6C56-4FEB-8A85-EBDD4EF3C300}" name="树梢-04" dataDxfId="293" totalsRowDxfId="292"/>
    <tableColumn id="47" xr3:uid="{26E04D61-1783-40A2-9D97-C63ADD7CB98D}" name="树梢-05" dataDxfId="291" totalsRowDxfId="290"/>
    <tableColumn id="48" xr3:uid="{C208298F-2F90-4675-A444-A2D0E08CA831}" name="树梢-06" dataDxfId="289" totalsRowDxfId="288"/>
    <tableColumn id="49" xr3:uid="{FE5C2869-048C-48D0-A14D-4C63F13D0CC3}" name="树梢-07" dataDxfId="287" totalsRowDxfId="286"/>
    <tableColumn id="50" xr3:uid="{B2D0EAAE-4AC7-4468-9DEA-AF69A5D0C2F8}" name="树梢-08" dataDxfId="285" totalsRowDxfId="284"/>
    <tableColumn id="51" xr3:uid="{57EF3EAF-56FF-4C6C-9117-EB63989EEB84}" name="树梢-09" dataDxfId="283" totalsRowDxfId="282"/>
    <tableColumn id="52" xr3:uid="{57E1BDDF-EDC5-4E0C-8DE8-BDFE8A83EF2A}" name="树梢-10" dataDxfId="281" totalsRowDxfId="280"/>
    <tableColumn id="53" xr3:uid="{B674E05E-2F1E-4AC0-BAE2-34217F82F253}" name="树梢-11" dataDxfId="279" totalsRowDxfId="278"/>
    <tableColumn id="54" xr3:uid="{0E724571-AFFD-4725-A3F5-FB4365E69CE7}" name="树梢-12" dataDxfId="277" totalsRowDxfId="276"/>
    <tableColumn id="55" xr3:uid="{E4AE9736-0733-4923-89BF-9BAD47D0253E}" name="树梢-13" dataDxfId="275" totalsRowDxfId="274"/>
    <tableColumn id="56" xr3:uid="{1923266D-0251-4103-BD4E-E07F18A4FEB9}" name="树梢-14" dataDxfId="273" totalsRowDxfId="272"/>
    <tableColumn id="57" xr3:uid="{673959FE-6C7B-48A8-943B-0C0F97293C3A}" name="树梢-15" dataDxfId="271" totalsRowDxfId="270"/>
    <tableColumn id="58" xr3:uid="{BBB47334-6D17-4691-871D-FE12CBB062EB}" name="树梢-16" dataDxfId="269" totalsRowDxfId="268"/>
    <tableColumn id="59" xr3:uid="{FC6825DF-8D51-4D01-BA24-D0852BF68F84}" name="树梢-17" dataDxfId="267" totalsRowDxfId="266"/>
    <tableColumn id="60" xr3:uid="{5C2C6C08-7EAE-4D99-B5E8-4EC3E6B9A0B7}" name="树梢-18" dataDxfId="265" totalsRowDxfId="264"/>
    <tableColumn id="61" xr3:uid="{E5FA5E34-8DE1-4BF6-A09D-9A6006F24813}" name="树梢-19" dataDxfId="263" totalsRowDxfId="262"/>
    <tableColumn id="62" xr3:uid="{8ABB924D-5330-44EF-9AAD-ED0FCE4F7B2A}" name="树梢-20" dataDxfId="261" totalsRowDxfId="260"/>
    <tableColumn id="23" xr3:uid="{620B379F-166C-423F-81EA-8EBC6255AFB2}" name="荒漠-01" dataDxfId="259" totalsRowDxfId="258"/>
    <tableColumn id="24" xr3:uid="{638D0B76-CEDF-4FA8-9DA2-CCDDAABB0DC8}" name="荒漠-02" dataDxfId="257" totalsRowDxfId="256"/>
    <tableColumn id="25" xr3:uid="{4CDAFD0C-28FB-4CA5-A304-44C596C94C13}" name="荒漠-03" dataDxfId="255" totalsRowDxfId="254"/>
    <tableColumn id="26" xr3:uid="{FBEDD9DB-E6A8-4E25-876D-F34F4317A033}" name="荒漠-04" dataDxfId="253" totalsRowDxfId="252"/>
    <tableColumn id="27" xr3:uid="{0BBDAD60-AC62-4EB1-BC94-27DC060B91F5}" name="荒漠-05" dataDxfId="251" totalsRowDxfId="250"/>
    <tableColumn id="28" xr3:uid="{3DA52655-19DE-4700-93C6-80E7AF42866C}" name="荒漠-06" dataDxfId="249" totalsRowDxfId="248"/>
    <tableColumn id="29" xr3:uid="{F368CBAD-D47C-4365-BC9E-CA6E416BB0D6}" name="荒漠-07" dataDxfId="247" totalsRowDxfId="246"/>
    <tableColumn id="30" xr3:uid="{C09B087B-008D-4F2D-A49B-D3CD3B737BE6}" name="荒漠-08" dataDxfId="245" totalsRowDxfId="244"/>
    <tableColumn id="31" xr3:uid="{1B6F5CAF-1EFE-4661-8D4D-CFF1D5D0043D}" name="荒漠-09" dataDxfId="243" totalsRowDxfId="242"/>
    <tableColumn id="32" xr3:uid="{16C881FE-84D3-43BC-947A-8DA629A46569}" name="荒漠-10" dataDxfId="241" totalsRowDxfId="240"/>
    <tableColumn id="33" xr3:uid="{2724F450-E4AB-4695-9475-7C95E215CC65}" name="荒漠-11" dataDxfId="239" totalsRowDxfId="238"/>
    <tableColumn id="34" xr3:uid="{76184009-3AAE-4EB9-A762-F936AF3653D6}" name="荒漠-12" dataDxfId="237" totalsRowDxfId="236"/>
    <tableColumn id="35" xr3:uid="{98727792-2A35-4B71-B88F-9ED29BA60012}" name="荒漠-13" dataDxfId="235" totalsRowDxfId="234"/>
    <tableColumn id="36" xr3:uid="{C96205E7-7E31-4AC6-9662-648E06560518}" name="荒漠-14" dataDxfId="233" totalsRowDxfId="232"/>
    <tableColumn id="37" xr3:uid="{8EF33649-D7BC-4907-96BE-E93EBA5D4713}" name="荒漠-15" dataDxfId="231" totalsRowDxfId="230"/>
    <tableColumn id="38" xr3:uid="{F528A211-E4A0-47E5-8DFA-317A6B003537}" name="荒漠-16" dataDxfId="229" totalsRowDxfId="228"/>
    <tableColumn id="39" xr3:uid="{A2700636-82A2-461E-B2E9-A101D05F7193}" name="荒漠-17" dataDxfId="227" totalsRowDxfId="226"/>
    <tableColumn id="40" xr3:uid="{5BF6B03F-52FE-4F95-A25D-040A6582540D}" name="荒漠-18" dataDxfId="225" totalsRowDxfId="224"/>
    <tableColumn id="41" xr3:uid="{BC2A642C-1197-4FA5-8B65-FB037164DD71}" name="荒漠-19" dataDxfId="223" totalsRowDxfId="222"/>
    <tableColumn id="42" xr3:uid="{6AF7F7C0-BC6C-4C04-A7DF-60F7C31428CD}" name="荒漠-20" dataDxfId="221" totalsRowDxfId="220"/>
    <tableColumn id="3" xr3:uid="{FF3C3D1E-5ADF-4071-A49C-660BB70C55DB}" name="大湖-01" dataDxfId="219"/>
    <tableColumn id="4" xr3:uid="{BE6EF6B4-7476-44C4-8FE4-CA7EC0225F7D}" name="大湖-02" dataDxfId="218" totalsRowDxfId="217"/>
    <tableColumn id="5" xr3:uid="{674A506E-97BC-48B9-8126-05EB0AFBFFD2}" name="大湖-03" dataDxfId="216" totalsRowDxfId="215"/>
    <tableColumn id="6" xr3:uid="{326D6502-44B0-44B0-95C0-15DC1B04A292}" name="大湖-04" dataDxfId="214" totalsRowDxfId="213"/>
    <tableColumn id="7" xr3:uid="{ED5915B9-3C18-4454-9141-665693FBFCC1}" name="大湖-05" dataDxfId="212" totalsRowDxfId="211"/>
    <tableColumn id="8" xr3:uid="{8F9EC2BD-4160-4B47-820C-6FBFD953777A}" name="大湖-06" dataDxfId="210" totalsRowDxfId="209"/>
    <tableColumn id="9" xr3:uid="{D0068740-3B6C-4464-BC0B-A083C13D7BFD}" name="大湖-07" dataDxfId="208" totalsRowDxfId="207"/>
    <tableColumn id="10" xr3:uid="{65D31DAE-A55F-44E9-ADD2-52DBA34C3FC7}" name="大湖-08" dataDxfId="206" totalsRowDxfId="205"/>
    <tableColumn id="11" xr3:uid="{0DB1CFC6-880B-48D5-BFC4-2AB88301142F}" name="大湖-09" dataDxfId="204" totalsRowDxfId="203"/>
    <tableColumn id="12" xr3:uid="{053C4742-9522-4861-86FC-337612C7A29E}" name="大湖-10" dataDxfId="202" totalsRowDxfId="201"/>
    <tableColumn id="13" xr3:uid="{5C4A5342-F00D-4EEF-A5DD-D497B618EAEC}" name="大湖-11" dataDxfId="200" totalsRowDxfId="199"/>
    <tableColumn id="14" xr3:uid="{6834E74E-513E-4097-BD61-7F9EBA1453AC}" name="大湖-12" dataDxfId="198" totalsRowDxfId="197"/>
    <tableColumn id="15" xr3:uid="{D4717123-9F03-4883-B732-79599397BD6A}" name="大湖-13" dataDxfId="196" totalsRowDxfId="195"/>
    <tableColumn id="16" xr3:uid="{42836AD2-18AF-4492-BC7E-1D1D3819E38F}" name="大湖-14" dataDxfId="194" totalsRowDxfId="193"/>
    <tableColumn id="17" xr3:uid="{33C0E71F-0987-4E22-A0E0-E6D320B90905}" name="大湖-15" dataDxfId="192" totalsRowDxfId="191"/>
    <tableColumn id="18" xr3:uid="{2B996358-567C-45F9-9DE2-71ACE09D2536}" name="大湖-16" dataDxfId="190" totalsRowDxfId="189"/>
    <tableColumn id="19" xr3:uid="{EAB255E3-5DB9-427B-8C0F-3669D492B997}" name="大湖-17" dataDxfId="188" totalsRowDxfId="187"/>
    <tableColumn id="20" xr3:uid="{9676E82C-3521-4735-8DA9-F55EEAFAFE0E}" name="大湖-18" dataDxfId="186" totalsRowDxfId="185"/>
    <tableColumn id="21" xr3:uid="{6398F272-CD51-4C99-97BD-2A7B8A2D85A2}" name="大湖-19" dataDxfId="184" totalsRowDxfId="183"/>
    <tableColumn id="22" xr3:uid="{10E01893-CED9-4FDD-9743-E30FA84C276D}" name="大湖-20" dataDxfId="182" totalsRowDxfId="181"/>
  </tableColumns>
  <tableStyleInfo name="表样式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E5E4DE-91BF-4C59-BA4C-BCFB04CAD4EC}" name="tb_shop_relic" displayName="tb_shop_relic" ref="A1:CE86" totalsRowShown="0" headerRowDxfId="180" dataDxfId="179">
  <autoFilter ref="A1:CE86" xr:uid="{F773A6B4-7D8F-403F-8C30-5A27077AFB2F}"/>
  <tableColumns count="83">
    <tableColumn id="1" xr3:uid="{80F7FDF7-FC43-4193-9E9B-33771B17A564}" name="id" dataDxfId="178" totalsRowDxfId="177"/>
    <tableColumn id="2" xr3:uid="{A2C00849-C07A-4AF0-913F-D5047C95BCE5}" name="name" dataDxfId="176"/>
    <tableColumn id="83" xr3:uid="{7A58C87A-2D67-4A81-A43E-344C186C2F79}" name="rank" dataDxfId="175"/>
    <tableColumn id="63" xr3:uid="{D155A916-A74E-464A-9751-EA9C198C60BF}" name="地宫-01" dataDxfId="174">
      <calculatedColumnFormula array="1">IFERROR(INDEX(_xlfn.ANCHORARRAY(_xlfn.XLOOKUP($C2,'-ref_Distribution'!$B$146:$B$150,'-ref_Distribution'!$G$146:$G$150)),RIGHT(D$1,2)),"")</calculatedColumnFormula>
    </tableColumn>
    <tableColumn id="64" xr3:uid="{9593A553-FB6C-46FD-9D43-2FB96E1CB6C3}" name="地宫-02" dataDxfId="173" totalsRowDxfId="172"/>
    <tableColumn id="65" xr3:uid="{167DC875-BD8B-4779-BA4C-DC8539AA4CAF}" name="地宫-03" dataDxfId="171" totalsRowDxfId="170"/>
    <tableColumn id="66" xr3:uid="{32549C19-2C43-498A-A3EF-CC86029245F1}" name="地宫-04" dataDxfId="169" totalsRowDxfId="168"/>
    <tableColumn id="67" xr3:uid="{F467F9FA-0C20-4413-A4D2-8213384A3CD4}" name="地宫-05" dataDxfId="167" totalsRowDxfId="166"/>
    <tableColumn id="68" xr3:uid="{12B94D14-D39A-4971-B512-13605E77EEBD}" name="地宫-06" dataDxfId="165" totalsRowDxfId="164"/>
    <tableColumn id="69" xr3:uid="{B145858D-87D4-46C2-BB71-30EE563BEA63}" name="地宫-07" dataDxfId="163" totalsRowDxfId="162"/>
    <tableColumn id="70" xr3:uid="{3E0AD1BC-F19C-41E2-B08E-2EBD37058724}" name="地宫-08" dataDxfId="161" totalsRowDxfId="160"/>
    <tableColumn id="71" xr3:uid="{8DB28DE8-22B5-48A8-9930-429EA69AB6BE}" name="地宫-09" dataDxfId="159" totalsRowDxfId="158"/>
    <tableColumn id="72" xr3:uid="{1E6FB735-9BB5-40BA-80B2-E3FDA4F0CAA5}" name="地宫-10" dataDxfId="157" totalsRowDxfId="156"/>
    <tableColumn id="73" xr3:uid="{5BF0029B-98F3-4788-A743-728243DFB9BE}" name="地宫-11" dataDxfId="155" totalsRowDxfId="154"/>
    <tableColumn id="74" xr3:uid="{FD7AD0D6-B704-43A0-A149-CC3C86540F92}" name="地宫-12" dataDxfId="153" totalsRowDxfId="152"/>
    <tableColumn id="75" xr3:uid="{EC4F8ED9-2DC9-44B3-90EB-0850C92D5CE3}" name="地宫-13" dataDxfId="151" totalsRowDxfId="150"/>
    <tableColumn id="76" xr3:uid="{BB46AEF5-C925-4D3D-B9D5-462576313D7A}" name="地宫-14" dataDxfId="149" totalsRowDxfId="148"/>
    <tableColumn id="77" xr3:uid="{E95AFF6F-07DA-4206-BA20-4EE59691B579}" name="地宫-15" dataDxfId="147" totalsRowDxfId="146"/>
    <tableColumn id="78" xr3:uid="{FA4736B8-2E01-45EB-B924-82142B48466D}" name="地宫-16" dataDxfId="145" totalsRowDxfId="144"/>
    <tableColumn id="79" xr3:uid="{C7C12670-A774-4400-AA7B-E9CF2CDF26BA}" name="地宫-17" dataDxfId="143" totalsRowDxfId="142"/>
    <tableColumn id="80" xr3:uid="{B5C5FFF8-0B75-4D52-95FE-FC51E0078814}" name="地宫-18" dataDxfId="141" totalsRowDxfId="140"/>
    <tableColumn id="81" xr3:uid="{13950C36-B5ED-4EA3-90CE-EB7834B2B6DD}" name="地宫-19" dataDxfId="139" totalsRowDxfId="138"/>
    <tableColumn id="82" xr3:uid="{4EA62E77-D5E8-4753-B791-A3280C7A165D}" name="地宫-20" dataDxfId="137" totalsRowDxfId="136"/>
    <tableColumn id="43" xr3:uid="{FFFDDBBC-2DB5-4F9A-9632-551B8C1DDFE8}" name="树梢-01" dataDxfId="135" totalsRowDxfId="134"/>
    <tableColumn id="44" xr3:uid="{6A70B39F-104E-48B4-B630-4DC5D6B624E8}" name="树梢-02" dataDxfId="133" totalsRowDxfId="132"/>
    <tableColumn id="45" xr3:uid="{AE59FF0A-AF4A-488F-8FA7-35872E2EAA9F}" name="树梢-03" dataDxfId="131" totalsRowDxfId="130"/>
    <tableColumn id="46" xr3:uid="{94365F82-1674-4D41-8383-253462D1279B}" name="树梢-04" dataDxfId="129" totalsRowDxfId="128"/>
    <tableColumn id="47" xr3:uid="{43CE04FB-5E75-49F0-AF85-57279ABD1A87}" name="树梢-05" dataDxfId="127" totalsRowDxfId="126"/>
    <tableColumn id="48" xr3:uid="{F8DAA82C-58F2-42BF-BB50-AD83B7C0598E}" name="树梢-06" dataDxfId="125" totalsRowDxfId="124"/>
    <tableColumn id="49" xr3:uid="{D2102939-5E4C-4ED7-B790-951FBECE0091}" name="树梢-07" dataDxfId="123" totalsRowDxfId="122"/>
    <tableColumn id="50" xr3:uid="{1489571F-1857-4C17-B149-3DE5CBDB0492}" name="树梢-08" dataDxfId="121" totalsRowDxfId="120"/>
    <tableColumn id="51" xr3:uid="{C7E4C351-789A-4ABE-8D52-95BCEA65C745}" name="树梢-09" dataDxfId="119" totalsRowDxfId="118"/>
    <tableColumn id="52" xr3:uid="{FBB6111E-A76B-44A9-9898-9E4D988C0417}" name="树梢-10" dataDxfId="117" totalsRowDxfId="116"/>
    <tableColumn id="53" xr3:uid="{D6E474AA-E793-4732-A0B8-B3737D739C9C}" name="树梢-11" dataDxfId="115" totalsRowDxfId="114"/>
    <tableColumn id="54" xr3:uid="{8D759252-0CB8-46F6-BEC8-6C30139CF383}" name="树梢-12" dataDxfId="113" totalsRowDxfId="112"/>
    <tableColumn id="55" xr3:uid="{6C76CAC4-E152-43B2-8100-F5177BBA26CC}" name="树梢-13" dataDxfId="111" totalsRowDxfId="110"/>
    <tableColumn id="56" xr3:uid="{388D2565-5829-489D-A10C-FD8DC2A41D7F}" name="树梢-14" dataDxfId="109" totalsRowDxfId="108"/>
    <tableColumn id="57" xr3:uid="{0E4B55F4-0F5C-4C38-AE4F-C3926D5405A7}" name="树梢-15" dataDxfId="107" totalsRowDxfId="106"/>
    <tableColumn id="58" xr3:uid="{640A5E82-70BA-44F0-9F2D-829F53BC454F}" name="树梢-16" dataDxfId="105" totalsRowDxfId="104"/>
    <tableColumn id="59" xr3:uid="{476890D3-06CE-4D18-B092-7CCA7D5B5475}" name="树梢-17" dataDxfId="103" totalsRowDxfId="102"/>
    <tableColumn id="60" xr3:uid="{7158BA8A-73F1-4042-BA1C-D3E832926605}" name="树梢-18" dataDxfId="101" totalsRowDxfId="100"/>
    <tableColumn id="61" xr3:uid="{0D281759-FF02-41E9-BF94-B7B07A77C971}" name="树梢-19" dataDxfId="99" totalsRowDxfId="98"/>
    <tableColumn id="62" xr3:uid="{E688CEBC-D861-44AB-9D0C-C1DA7A16D576}" name="树梢-20" dataDxfId="97" totalsRowDxfId="96"/>
    <tableColumn id="23" xr3:uid="{E163B7CC-2DB5-4649-853E-ABB43EA04A44}" name="荒漠-01" dataDxfId="95" totalsRowDxfId="94"/>
    <tableColumn id="24" xr3:uid="{1FA7108C-9602-4F7C-B4C4-89905FFB2199}" name="荒漠-02" dataDxfId="93" totalsRowDxfId="92"/>
    <tableColumn id="25" xr3:uid="{B98307C6-9AF9-45BE-8011-B7102686EAB7}" name="荒漠-03" dataDxfId="91" totalsRowDxfId="90"/>
    <tableColumn id="26" xr3:uid="{F3E8FDDA-5C1B-4F79-8E31-C1F89798218E}" name="荒漠-04" dataDxfId="89" totalsRowDxfId="88"/>
    <tableColumn id="27" xr3:uid="{3A4EA3CF-D614-417B-B10F-873E256C8319}" name="荒漠-05" dataDxfId="87" totalsRowDxfId="86"/>
    <tableColumn id="28" xr3:uid="{A5651DD6-9E8F-4135-85B8-AADD7C6DA762}" name="荒漠-06" dataDxfId="85" totalsRowDxfId="84"/>
    <tableColumn id="29" xr3:uid="{15DDC36C-A400-498E-A92E-A271F3C09B6A}" name="荒漠-07" dataDxfId="83" totalsRowDxfId="82"/>
    <tableColumn id="30" xr3:uid="{4A343547-BC9A-4073-B071-3B81E8416FA2}" name="荒漠-08" dataDxfId="81" totalsRowDxfId="80"/>
    <tableColumn id="31" xr3:uid="{F4D4A673-62FC-4B7B-AFF9-55372686486B}" name="荒漠-09" dataDxfId="79" totalsRowDxfId="78"/>
    <tableColumn id="32" xr3:uid="{43920FE6-DDC0-4536-A149-6E1AC0677EC3}" name="荒漠-10" dataDxfId="77" totalsRowDxfId="76"/>
    <tableColumn id="33" xr3:uid="{43F5D6B5-A2D4-4BB1-9794-8955370F8372}" name="荒漠-11" dataDxfId="75" totalsRowDxfId="74"/>
    <tableColumn id="34" xr3:uid="{3028F65A-A9B8-4F84-9F9B-83BDCC22881F}" name="荒漠-12" dataDxfId="73" totalsRowDxfId="72"/>
    <tableColumn id="35" xr3:uid="{C82BAB4E-C084-4DD2-87DB-F8A6BC334EE3}" name="荒漠-13" dataDxfId="71" totalsRowDxfId="70"/>
    <tableColumn id="36" xr3:uid="{AA37D0B1-22D9-423D-BD9C-571E0370796A}" name="荒漠-14" dataDxfId="69" totalsRowDxfId="68"/>
    <tableColumn id="37" xr3:uid="{E663F997-C98D-4B78-9083-C3A0B9D84EF6}" name="荒漠-15" dataDxfId="67" totalsRowDxfId="66"/>
    <tableColumn id="38" xr3:uid="{39866B3B-FBB8-42D2-9520-5CAB49550B04}" name="荒漠-16" dataDxfId="65" totalsRowDxfId="64"/>
    <tableColumn id="39" xr3:uid="{C70ACA88-807C-4A52-8E12-282B0326429A}" name="荒漠-17" dataDxfId="63" totalsRowDxfId="62"/>
    <tableColumn id="40" xr3:uid="{B2842C35-44D2-4749-A11C-FC5B952CDD2A}" name="荒漠-18" dataDxfId="61" totalsRowDxfId="60"/>
    <tableColumn id="41" xr3:uid="{DFFE741E-B316-43EE-A001-664B267EADBF}" name="荒漠-19" dataDxfId="59" totalsRowDxfId="58"/>
    <tableColumn id="42" xr3:uid="{CF3AD11C-1BDE-4A1E-BD1B-EF39D72A3EF4}" name="荒漠-20" dataDxfId="57" totalsRowDxfId="56"/>
    <tableColumn id="3" xr3:uid="{4701B9FE-B8A6-407A-A0FB-26B6BD2C448A}" name="大湖-01" dataDxfId="55" totalsRowDxfId="54"/>
    <tableColumn id="4" xr3:uid="{4166C634-8E97-4A5F-9F36-BF19D81C32C9}" name="大湖-02" dataDxfId="53" totalsRowDxfId="52"/>
    <tableColumn id="5" xr3:uid="{A3BCA3D2-1D74-4824-82EB-5A62D4DC620B}" name="大湖-03" dataDxfId="51" totalsRowDxfId="50"/>
    <tableColumn id="6" xr3:uid="{354452FA-6608-4261-AABF-556B994E0343}" name="大湖-04" dataDxfId="49" totalsRowDxfId="48"/>
    <tableColumn id="7" xr3:uid="{B25F33C4-D97A-4754-87CE-C68B31739511}" name="大湖-05" dataDxfId="47" totalsRowDxfId="46"/>
    <tableColumn id="8" xr3:uid="{3C2125C3-CF2F-4020-B705-523046012725}" name="大湖-06" dataDxfId="45" totalsRowDxfId="44"/>
    <tableColumn id="9" xr3:uid="{E18938E0-1E7C-4B83-B529-17EB87FBBC15}" name="大湖-07" dataDxfId="43" totalsRowDxfId="42"/>
    <tableColumn id="10" xr3:uid="{7C5BC695-F71A-4EF4-9AEE-22A94C8FD38F}" name="大湖-08" dataDxfId="41" totalsRowDxfId="40"/>
    <tableColumn id="11" xr3:uid="{F46E9ECE-9D4D-4C96-9A6C-EDE260F98681}" name="大湖-09" dataDxfId="39" totalsRowDxfId="38"/>
    <tableColumn id="12" xr3:uid="{3C3FC11E-1898-429D-9133-E30EBE2B8E3F}" name="大湖-10" dataDxfId="37" totalsRowDxfId="36"/>
    <tableColumn id="13" xr3:uid="{2F40619A-96C6-4E19-98FD-980AB8B39A3F}" name="大湖-11" dataDxfId="35" totalsRowDxfId="34"/>
    <tableColumn id="14" xr3:uid="{FAA01E9A-6AF3-42CC-BF57-018BFBCF1FA4}" name="大湖-12" dataDxfId="33" totalsRowDxfId="32"/>
    <tableColumn id="15" xr3:uid="{432BADFB-30A4-4DEE-9FAB-2FD8605F25DC}" name="大湖-13" dataDxfId="31" totalsRowDxfId="30"/>
    <tableColumn id="16" xr3:uid="{7731B497-F78A-406D-A531-A869E1FAC03B}" name="大湖-14" dataDxfId="29" totalsRowDxfId="28"/>
    <tableColumn id="17" xr3:uid="{AAEE8418-7E6C-48F1-94C8-13BBC00B08E0}" name="大湖-15" dataDxfId="27" totalsRowDxfId="26"/>
    <tableColumn id="18" xr3:uid="{2916D7D2-198A-4889-9B28-D4FCA6454C97}" name="大湖-16" dataDxfId="25" totalsRowDxfId="24"/>
    <tableColumn id="19" xr3:uid="{049A8299-8495-4DF2-A301-57437AE87260}" name="大湖-17" dataDxfId="23" totalsRowDxfId="22"/>
    <tableColumn id="20" xr3:uid="{11DAAB66-71E3-429C-8625-14859AC17DDE}" name="大湖-18" dataDxfId="21" totalsRowDxfId="20"/>
    <tableColumn id="21" xr3:uid="{0CE1769C-A7E5-4EEA-B60E-FB9FC44E1180}" name="大湖-19" dataDxfId="19" totalsRowDxfId="18"/>
    <tableColumn id="22" xr3:uid="{BC8E3CD5-5622-4F49-89D0-0C1C480CAA97}" name="大湖-20" dataDxfId="17" totalsRowDxfId="16"/>
  </tableColumns>
  <tableStyleInfo name="表样式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C63C3E-DCE7-4F10-BA75-2A9877BF27B4}" name="table_world" displayName="table_world" ref="B2:D10" totalsRowShown="0" headerRowDxfId="15" dataDxfId="14">
  <autoFilter ref="B2:D10" xr:uid="{0DC63C3E-DCE7-4F10-BA75-2A9877BF27B4}"/>
  <tableColumns count="3">
    <tableColumn id="1" xr3:uid="{BFFE73CD-5863-4F5B-94E7-6E59AEF1C373}" name="id" dataDxfId="13"/>
    <tableColumn id="2" xr3:uid="{005B170E-F45A-43A8-8AC1-04A313C972B5}" name="name" dataDxfId="12"/>
    <tableColumn id="3" xr3:uid="{40D4CD19-84AC-47F1-8EB3-D0CD0BC200BA}" name="编号" dataDxfId="11">
      <calculatedColumnFormula>table_world[[#This Row],[id]]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E3AB1A-4FCC-4307-A093-9D6DAA11E1E4}" name="tb_shopType" displayName="tb_shopType" ref="G2:I6" totalsRowShown="0" headerRowDxfId="10" dataDxfId="9">
  <autoFilter ref="G2:I6" xr:uid="{56E3AB1A-4FCC-4307-A093-9D6DAA11E1E4}"/>
  <tableColumns count="3">
    <tableColumn id="1" xr3:uid="{69951D41-B832-4E6D-BD82-FEC6711847E6}" name="prefix" dataDxfId="8"/>
    <tableColumn id="2" xr3:uid="{FC5F6F0B-6687-4D56-952B-33AF8B5130C2}" name="type" dataDxfId="7"/>
    <tableColumn id="3" xr3:uid="{954E9FCC-6EDC-4170-BEB8-39AA0A59741B}" name="shop_table_name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54"/>
  <sheetViews>
    <sheetView workbookViewId="0">
      <pane xSplit="4" ySplit="4" topLeftCell="E290" activePane="bottomRight" state="frozen"/>
      <selection pane="topRight" activeCell="E1" sqref="E1"/>
      <selection pane="bottomLeft" activeCell="A5" sqref="A5"/>
      <selection pane="bottomRight" activeCell="H96" sqref="H96"/>
    </sheetView>
  </sheetViews>
  <sheetFormatPr defaultColWidth="9.125" defaultRowHeight="14.25" x14ac:dyDescent="0.2"/>
  <cols>
    <col min="1" max="1" width="8.375" style="5" customWidth="1"/>
    <col min="2" max="2" width="9.875" style="5" bestFit="1" customWidth="1"/>
    <col min="3" max="3" width="11.5" style="23" customWidth="1"/>
    <col min="4" max="4" width="5.75" style="23" bestFit="1" customWidth="1"/>
    <col min="5" max="5" width="13.375" style="5" customWidth="1"/>
    <col min="6" max="6" width="64.875" style="5" bestFit="1" customWidth="1"/>
    <col min="7" max="7" width="22.5" style="5" bestFit="1" customWidth="1"/>
    <col min="8" max="8" width="255.625" bestFit="1" customWidth="1"/>
  </cols>
  <sheetData>
    <row r="1" spans="1:49" s="1" customFormat="1" x14ac:dyDescent="0.2">
      <c r="A1" s="1" t="s">
        <v>0</v>
      </c>
      <c r="B1" s="6"/>
      <c r="C1" s="7"/>
      <c r="D1" s="7"/>
      <c r="E1" s="7"/>
      <c r="F1" s="7"/>
      <c r="G1" s="7"/>
      <c r="H1" s="8"/>
      <c r="I1" s="6"/>
      <c r="J1" s="8"/>
      <c r="K1" s="6"/>
      <c r="L1" s="6"/>
      <c r="M1" s="6"/>
      <c r="N1" s="8"/>
      <c r="O1" s="6"/>
      <c r="P1" s="6"/>
      <c r="Q1" s="6"/>
      <c r="R1" s="6"/>
      <c r="S1" s="6"/>
      <c r="T1" s="6"/>
      <c r="U1" s="6"/>
      <c r="V1" s="6"/>
      <c r="W1" s="6"/>
      <c r="X1" s="6"/>
      <c r="Z1" s="6"/>
      <c r="AA1" s="6"/>
      <c r="AC1" s="6"/>
      <c r="AD1" s="13"/>
      <c r="AE1" s="14"/>
      <c r="AF1" s="14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3"/>
      <c r="AT1" s="14"/>
      <c r="AU1" s="14"/>
      <c r="AV1" s="6"/>
      <c r="AW1" s="6"/>
    </row>
    <row r="2" spans="1:49" s="2" customFormat="1" x14ac:dyDescent="0.2">
      <c r="A2" s="2" t="s">
        <v>1</v>
      </c>
      <c r="B2" s="2" t="s">
        <v>2</v>
      </c>
      <c r="C2" s="9"/>
      <c r="D2" s="9"/>
      <c r="E2" s="2" t="s">
        <v>3</v>
      </c>
      <c r="F2" s="2" t="s">
        <v>62</v>
      </c>
      <c r="G2" s="2" t="s">
        <v>274</v>
      </c>
      <c r="H2" s="2" t="s">
        <v>4</v>
      </c>
    </row>
    <row r="3" spans="1:49" s="3" customFormat="1" x14ac:dyDescent="0.2">
      <c r="A3" s="3" t="s">
        <v>5</v>
      </c>
      <c r="B3" s="3" t="s">
        <v>6</v>
      </c>
      <c r="C3" s="10"/>
      <c r="D3" s="10"/>
      <c r="E3" s="3" t="s">
        <v>7</v>
      </c>
      <c r="F3" s="3" t="s">
        <v>61</v>
      </c>
      <c r="G3" s="3" t="s">
        <v>278</v>
      </c>
      <c r="H3" s="3" t="s">
        <v>8</v>
      </c>
    </row>
    <row r="4" spans="1:49" s="4" customFormat="1" ht="52.5" x14ac:dyDescent="0.2">
      <c r="A4" s="11" t="s">
        <v>9</v>
      </c>
      <c r="B4" s="11" t="s">
        <v>10</v>
      </c>
      <c r="C4" s="22" t="s">
        <v>114</v>
      </c>
      <c r="D4" s="22" t="s">
        <v>115</v>
      </c>
      <c r="E4" s="11" t="s">
        <v>11</v>
      </c>
      <c r="F4" s="11" t="s">
        <v>233</v>
      </c>
      <c r="G4" s="11" t="s">
        <v>279</v>
      </c>
      <c r="H4" s="11" t="s">
        <v>12</v>
      </c>
    </row>
    <row r="5" spans="1:49" x14ac:dyDescent="0.2">
      <c r="A5" s="5">
        <v>3000</v>
      </c>
      <c r="B5" s="12" t="s">
        <v>14</v>
      </c>
      <c r="C5" s="23" t="s">
        <v>15</v>
      </c>
      <c r="E5" s="12" t="s">
        <v>13</v>
      </c>
      <c r="F5" s="12" t="s">
        <v>63</v>
      </c>
      <c r="G5" s="12"/>
      <c r="H5" t="s">
        <v>60</v>
      </c>
    </row>
    <row r="6" spans="1:49" x14ac:dyDescent="0.2">
      <c r="A6" s="5">
        <v>3001</v>
      </c>
      <c r="B6" s="12" t="s">
        <v>14</v>
      </c>
      <c r="C6" s="23" t="s">
        <v>15</v>
      </c>
      <c r="E6" s="12" t="s">
        <v>13</v>
      </c>
      <c r="F6" s="12" t="s">
        <v>63</v>
      </c>
      <c r="G6" s="12"/>
      <c r="H6" t="s">
        <v>60</v>
      </c>
    </row>
    <row r="7" spans="1:49" x14ac:dyDescent="0.2">
      <c r="F7" s="12" t="s">
        <v>21</v>
      </c>
      <c r="G7" s="12"/>
    </row>
    <row r="8" spans="1:49" x14ac:dyDescent="0.2">
      <c r="F8" s="5" t="s">
        <v>21</v>
      </c>
    </row>
    <row r="9" spans="1:49" s="19" customFormat="1" x14ac:dyDescent="0.2">
      <c r="A9" s="18"/>
      <c r="B9" s="18"/>
      <c r="C9" s="35" t="s">
        <v>218</v>
      </c>
      <c r="D9" s="24"/>
      <c r="E9" s="18"/>
      <c r="F9" s="18" t="s">
        <v>21</v>
      </c>
      <c r="G9" s="18"/>
    </row>
    <row r="10" spans="1:49" x14ac:dyDescent="0.2">
      <c r="F10" s="5" t="s">
        <v>21</v>
      </c>
    </row>
    <row r="11" spans="1:49" x14ac:dyDescent="0.2">
      <c r="A11" s="5">
        <v>10101</v>
      </c>
      <c r="B11" s="12" t="str">
        <f>VLOOKUP(VALUE(LEFT(A11,2)),tb_shopType[[prefix]:[type]],2,0)</f>
        <v>设备</v>
      </c>
      <c r="C11" s="23" t="str">
        <f>VLOOKUP(VALUE(MID(A11,LEN(A11)-2,1)),table_world[[id]:[name]],2,0)</f>
        <v>地宫</v>
      </c>
      <c r="D11" s="23">
        <v>1</v>
      </c>
      <c r="E11" s="12" t="str">
        <f>_xlfn.LET(_xlpm._i,RIGHT(A11,2),
--ISODD(_xlpm._i)+2&amp;"~"&amp;3)</f>
        <v>3~3</v>
      </c>
      <c r="F11" s="12" t="s">
        <v>234</v>
      </c>
      <c r="G11" s="12" t="s">
        <v>284</v>
      </c>
      <c r="H11" s="25" t="str" cm="1">
        <f t="array" aca="1" ref="H11" ca="1">_xlfn.LET(_xlpm._tb,_xlfn.XLOOKUP($B11,tb_shopType[type],tb_shopType[shop_table_name]),
_xlpm._col,MATCH($C11&amp;"-"&amp;TEXT(D11,"00"),INDIRECT(_xlpm._tb&amp;"[#标题]"),0),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1310102=100;13101050=100;13101051=10;13101061=10;13101070=100;13101071=10;1311101=100;1311801=50;1320101=100;13201021=25;13201030=100;13201031=25;1320108=25;13201120=100;13201121=25;13301060=12;13601010=40;13601011=8;13601030=40;13601031=8</v>
      </c>
    </row>
    <row r="12" spans="1:49" x14ac:dyDescent="0.2">
      <c r="A12" s="5">
        <v>10102</v>
      </c>
      <c r="B12" s="12" t="str">
        <f>VLOOKUP(VALUE(LEFT(A12,2)),tb_shopType[[prefix]:[type]],2,0)</f>
        <v>设备</v>
      </c>
      <c r="C12" s="23" t="str">
        <f>VLOOKUP(VALUE(MID(A12,LEN(A12)-2,1)),table_world[[id]:[name]],2,0)</f>
        <v>地宫</v>
      </c>
      <c r="D12" s="23">
        <v>2</v>
      </c>
      <c r="E12" s="12" t="str">
        <f t="shared" ref="E12:E30" si="0">_xlfn.LET(_xlpm._i,RIGHT(A12,2),
--ISODD(_xlpm._i)+2&amp;"~"&amp;3)</f>
        <v>2~3</v>
      </c>
      <c r="F12" s="12" t="s">
        <v>235</v>
      </c>
      <c r="G12" s="12" t="s">
        <v>275</v>
      </c>
      <c r="H12" s="25" t="str" cm="1">
        <f t="array" aca="1" ref="H12" ca="1">_xlfn.LET(_xlpm._tb,_xlfn.XLOOKUP($B12,tb_shopType[type],tb_shopType[shop_table_name]),
_xlpm._col,MATCH($C12&amp;"-"&amp;TEXT(D12,"00"),INDIRECT(_xlpm._tb&amp;"[#标题]"),0),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1310102=100;13101050=100;13101051=10;13101061=10;13101070=100;13101071=10;1311101=100;1311801=50;1320101=100;13201021=25;13201030=100;13201031=25;1320108=25;13201120=100;13201121=25;13301060=30;13301061=12;13601010=40;13601011=8;13601030=40;13601031=8</v>
      </c>
    </row>
    <row r="13" spans="1:49" x14ac:dyDescent="0.2">
      <c r="A13" s="5">
        <v>10103</v>
      </c>
      <c r="B13" s="12" t="str">
        <f>VLOOKUP(VALUE(LEFT(A13,2)),tb_shopType[[prefix]:[type]],2,0)</f>
        <v>设备</v>
      </c>
      <c r="C13" s="23" t="str">
        <f>VLOOKUP(VALUE(MID(A13,LEN(A13)-2,1)),table_world[[id]:[name]],2,0)</f>
        <v>地宫</v>
      </c>
      <c r="D13" s="23">
        <v>3</v>
      </c>
      <c r="E13" s="12" t="str">
        <f t="shared" si="0"/>
        <v>3~3</v>
      </c>
      <c r="F13" s="12" t="s">
        <v>236</v>
      </c>
      <c r="G13" s="12" t="s">
        <v>275</v>
      </c>
      <c r="H13" s="25" t="str" cm="1">
        <f t="array" aca="1" ref="H13" ca="1">_xlfn.LET(_xlpm._tb,_xlfn.XLOOKUP($B13,tb_shopType[type],tb_shopType[shop_table_name]),
_xlpm._col,MATCH($C13&amp;"-"&amp;TEXT(D13,"00"),INDIRECT(_xlpm._tb&amp;"[#标题]"),0),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13101050=100;13101051=10;13101061=10;13101070=100;13101071=10;1311101=100;1311801=50;1320101=50;13201021=100;13201022=25;13201030=50;13201031=100;13201032=25;1320105=25;1320108=100;1320111=25;13201120=50;13201121=100;13201122=25;13301060=30;13301061=12;13601010=40;13601011=8;13601030=40;13601031=8</v>
      </c>
    </row>
    <row r="14" spans="1:49" x14ac:dyDescent="0.2">
      <c r="A14" s="5">
        <v>10104</v>
      </c>
      <c r="B14" s="12" t="str">
        <f>VLOOKUP(VALUE(LEFT(A14,2)),tb_shopType[[prefix]:[type]],2,0)</f>
        <v>设备</v>
      </c>
      <c r="C14" s="23" t="str">
        <f>VLOOKUP(VALUE(MID(A14,LEN(A14)-2,1)),table_world[[id]:[name]],2,0)</f>
        <v>地宫</v>
      </c>
      <c r="D14" s="23">
        <v>4</v>
      </c>
      <c r="E14" s="12" t="str">
        <f t="shared" si="0"/>
        <v>2~3</v>
      </c>
      <c r="F14" s="12" t="s">
        <v>237</v>
      </c>
      <c r="G14" s="12" t="s">
        <v>275</v>
      </c>
      <c r="H14" s="25" t="str" cm="1">
        <f t="array" aca="1" ref="H14" ca="1">_xlfn.LET(_xlpm._tb,_xlfn.XLOOKUP($B14,tb_shopType[type],tb_shopType[shop_table_name]),
_xlpm._col,MATCH($C14&amp;"-"&amp;TEXT(D14,"00"),INDIRECT(_xlpm._tb&amp;"[#标题]"),0),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100;13101051=10;13101061=50;13101062=10;13101070=100;13101071=50;13101072=10;1311101=100;1311801=50;1311802=10;1320101=50;13201021=100;13201022=25;13201030=50;13201031=100;13201032=25;1320105=25;1320108=100;1320111=25;13201120=50;13201121=100;13201122=25;13301060=30;13301061=12;13601010=40;13601011=8;13601030=40;13601031=8</v>
      </c>
    </row>
    <row r="15" spans="1:49" x14ac:dyDescent="0.2">
      <c r="A15" s="5">
        <v>10105</v>
      </c>
      <c r="B15" s="12" t="str">
        <f>VLOOKUP(VALUE(LEFT(A15,2)),tb_shopType[[prefix]:[type]],2,0)</f>
        <v>设备</v>
      </c>
      <c r="C15" s="23" t="str">
        <f>VLOOKUP(VALUE(MID(A15,LEN(A15)-2,1)),table_world[[id]:[name]],2,0)</f>
        <v>地宫</v>
      </c>
      <c r="D15" s="23">
        <v>5</v>
      </c>
      <c r="E15" s="12" t="str">
        <f t="shared" si="0"/>
        <v>3~3</v>
      </c>
      <c r="F15" s="12" t="s">
        <v>238</v>
      </c>
      <c r="G15" s="12" t="s">
        <v>275</v>
      </c>
      <c r="H15" s="25" t="str" cm="1">
        <f t="array" aca="1" ref="H15" ca="1">_xlfn.LET(_xlpm._tb,_xlfn.XLOOKUP($B15,tb_shopType[type],tb_shopType[shop_table_name]),
_xlpm._col,MATCH($C15&amp;"-"&amp;TEXT(D15,"00"),INDIRECT(_xlpm._tb&amp;"[#标题]"),0),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100;13101051=100;13101061=100;13101062=10;13101070=100;13101071=100;13101072=10;1311101=100;1311801=50;1311802=10;1320101=50;13201021=100;13201022=25;13201030=50;13201031=100;13201032=25;1320105=25;1320108=100;1320111=25;13201120=50;13201121=100;13201122=25;13301012=12;13301060=60;13301061=30;13301062=12;13601010=40;13601011=40;13601012=8;13601022=8;13601030=40;13601031=40</v>
      </c>
    </row>
    <row r="16" spans="1:49" x14ac:dyDescent="0.2">
      <c r="A16" s="5">
        <v>10106</v>
      </c>
      <c r="B16" s="12" t="str">
        <f>VLOOKUP(VALUE(LEFT(A16,2)),tb_shopType[[prefix]:[type]],2,0)</f>
        <v>设备</v>
      </c>
      <c r="C16" s="23" t="str">
        <f>VLOOKUP(VALUE(MID(A16,LEN(A16)-2,1)),table_world[[id]:[name]],2,0)</f>
        <v>地宫</v>
      </c>
      <c r="D16" s="23">
        <v>6</v>
      </c>
      <c r="E16" s="12" t="str">
        <f t="shared" si="0"/>
        <v>2~3</v>
      </c>
      <c r="F16" s="12" t="s">
        <v>239</v>
      </c>
      <c r="G16" s="12" t="s">
        <v>275</v>
      </c>
      <c r="H16" s="25" t="str" cm="1">
        <f t="array" aca="1" ref="H16" ca="1">_xlfn.LET(_xlpm._tb,_xlfn.XLOOKUP($B16,tb_shopType[type],tb_shopType[shop_table_name]),
_xlpm._col,MATCH($C16&amp;"-"&amp;TEXT(D16,"00"),INDIRECT(_xlpm._tb&amp;"[#标题]"),0),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50;13101051=100;13101061=100;13101062=10;13101070=50;13101071=100;13101072=10;1311101=100;1311801=50;1311802=10;1320101=10;13201021=50;13201022=100;13201023=25;13201030=10;13201031=50;13201032=100;13201033=25;13201043=25;1320105=100;1320108=50;1320111=100;13201120=10;13201121=50;13201122=100;1320113=25;1320114=25;1320115=25;13301012=12;13301060=60;13301061=30;13301062=12;13601010=40;13601011=40;13601012=8;13601022=8;13601030=40;13601031=40</v>
      </c>
    </row>
    <row r="17" spans="1:8" x14ac:dyDescent="0.2">
      <c r="A17" s="5">
        <v>10107</v>
      </c>
      <c r="B17" s="12" t="str">
        <f>VLOOKUP(VALUE(LEFT(A17,2)),tb_shopType[[prefix]:[type]],2,0)</f>
        <v>设备</v>
      </c>
      <c r="C17" s="23" t="str">
        <f>VLOOKUP(VALUE(MID(A17,LEN(A17)-2,1)),table_world[[id]:[name]],2,0)</f>
        <v>地宫</v>
      </c>
      <c r="D17" s="23">
        <v>7</v>
      </c>
      <c r="E17" s="12" t="str">
        <f t="shared" si="0"/>
        <v>3~3</v>
      </c>
      <c r="F17" s="12" t="s">
        <v>240</v>
      </c>
      <c r="G17" s="12" t="s">
        <v>275</v>
      </c>
      <c r="H17" s="25" t="str" cm="1">
        <f t="array" aca="1" ref="H17" ca="1">_xlfn.LET(_xlpm._tb,_xlfn.XLOOKUP($B17,tb_shopType[type],tb_shopType[shop_table_name]),
_xlpm._col,MATCH($C17&amp;"-"&amp;TEXT(D17,"00"),INDIRECT(_xlpm._tb&amp;"[#标题]"),0),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50;13101051=100;13101061=100;13101062=50;13101063=10;13101070=50;13101071=100;13101072=50;13101073=10;1311101=100;1311801=50;1311802=10;1320101=10;13201021=50;13201022=100;13201023=25;13201030=10;13201031=50;13201032=100;13201033=25;13201043=25;1320105=100;1320108=50;1320111=100;13201120=10;13201121=50;13201122=100;1320113=25;1320114=25;1320115=25;13301012=12;13301060=60;13301061=30;13301062=12;13601010=40;13601011=40;13601012=8;13601022=8;13601030=40;13601031=40</v>
      </c>
    </row>
    <row r="18" spans="1:8" x14ac:dyDescent="0.2">
      <c r="A18" s="5">
        <v>10108</v>
      </c>
      <c r="B18" s="12" t="str">
        <f>VLOOKUP(VALUE(LEFT(A18,2)),tb_shopType[[prefix]:[type]],2,0)</f>
        <v>设备</v>
      </c>
      <c r="C18" s="23" t="str">
        <f>VLOOKUP(VALUE(MID(A18,LEN(A18)-2,1)),table_world[[id]:[name]],2,0)</f>
        <v>地宫</v>
      </c>
      <c r="D18" s="23">
        <v>8</v>
      </c>
      <c r="E18" s="12" t="str">
        <f t="shared" si="0"/>
        <v>2~3</v>
      </c>
      <c r="F18" s="12" t="s">
        <v>241</v>
      </c>
      <c r="G18" s="12" t="s">
        <v>275</v>
      </c>
      <c r="H18" s="25" t="str" cm="1">
        <f t="array" aca="1" ref="H18" ca="1">_xlfn.LET(_xlpm._tb,_xlfn.XLOOKUP($B18,tb_shopType[type],tb_shopType[shop_table_name]),
_xlpm._col,MATCH($C18&amp;"-"&amp;TEXT(D18,"00"),INDIRECT(_xlpm._tb&amp;"[#标题]"),0),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100;13101061=100;13101062=100;13101063=10;13101070=50;13101071=100;13101072=100;13101073=10;1311101=50;1311801=25;1311802=50;1320101=10;13201021=50;13201022=100;13201023=25;13201030=10;13201031=50;13201032=100;13201033=25;13201043=25;1320105=100;1320108=50;1320111=100;13201120=10;13201121=50;13201122=100;1320113=25;1320114=25;1320115=25;13301012=30;13301013=12;13301060=60;13301061=60;13301062=30;13301063=12;13601010=40;13601011=40;13601012=8;13601022=8;13601030=40;13601031=40</v>
      </c>
    </row>
    <row r="19" spans="1:8" x14ac:dyDescent="0.2">
      <c r="A19" s="5">
        <v>10109</v>
      </c>
      <c r="B19" s="12" t="str">
        <f>VLOOKUP(VALUE(LEFT(A19,2)),tb_shopType[[prefix]:[type]],2,0)</f>
        <v>设备</v>
      </c>
      <c r="C19" s="23" t="str">
        <f>VLOOKUP(VALUE(MID(A19,LEN(A19)-2,1)),table_world[[id]:[name]],2,0)</f>
        <v>地宫</v>
      </c>
      <c r="D19" s="23">
        <v>9</v>
      </c>
      <c r="E19" s="12" t="str">
        <f t="shared" si="0"/>
        <v>3~3</v>
      </c>
      <c r="F19" s="12" t="s">
        <v>242</v>
      </c>
      <c r="G19" s="12" t="s">
        <v>275</v>
      </c>
      <c r="H19" s="25" t="str" cm="1">
        <f t="array" aca="1" ref="H19" ca="1">_xlfn.LET(_xlpm._tb,_xlfn.XLOOKUP($B19,tb_shopType[type],tb_shopType[shop_table_name]),
_xlpm._col,MATCH($C19&amp;"-"&amp;TEXT(D19,"00"),INDIRECT(_xlpm._tb&amp;"[#标题]"),0),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100;13101061=100;13101062=100;13101063=10;13101070=50;13101071=100;13101072=100;13101073=10;1311101=50;1311801=25;1311802=50;1320101=10;13201021=50;13201022=100;13201023=25;13201030=10;13201031=50;13201032=100;13201033=25;13201043=25;1320105=100;1320108=50;1320111=100;13201120=10;13201121=50;13201122=100;1320113=25;1320114=25;1320115=25;13301012=30;13301013=12;1330102=12;13301060=50;13301061=60;13301062=30;13301063=12;13601010=19;13601011=40;13601012=40;13601022=40;13601023=8;13601030=19;13601031=40</v>
      </c>
    </row>
    <row r="20" spans="1:8" x14ac:dyDescent="0.2">
      <c r="A20" s="5">
        <v>10110</v>
      </c>
      <c r="B20" s="12" t="str">
        <f>VLOOKUP(VALUE(LEFT(A20,2)),tb_shopType[[prefix]:[type]],2,0)</f>
        <v>设备</v>
      </c>
      <c r="C20" s="23" t="str">
        <f>VLOOKUP(VALUE(MID(A20,LEN(A20)-2,1)),table_world[[id]:[name]],2,0)</f>
        <v>地宫</v>
      </c>
      <c r="D20" s="23">
        <v>10</v>
      </c>
      <c r="E20" s="12" t="str">
        <f t="shared" si="0"/>
        <v>2~3</v>
      </c>
      <c r="F20" s="12" t="s">
        <v>243</v>
      </c>
      <c r="G20" s="12" t="s">
        <v>275</v>
      </c>
      <c r="H20" s="25" t="str" cm="1">
        <f t="array" aca="1" ref="H20" ca="1">_xlfn.LET(_xlpm._tb,_xlfn.XLOOKUP($B20,tb_shopType[type],tb_shopType[shop_table_name]),
_xlpm._col,MATCH($C20&amp;"-"&amp;TEXT(D20,"00"),INDIRECT(_xlpm._tb&amp;"[#标题]"),0),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50;13101061=50;13101062=100;13101063=50;13101064=10;13101070=50;13101071=50;13101072=100;13101073=50;1311101=50;1311801=25;1311802=50;1320101=10;13201021=50;13201022=100;13201023=25;13201030=10;13201031=50;13201032=100;13201033=25;13201043=25;1320105=100;1320108=50;1320111=100;13201120=10;13201121=50;13201122=100;1320113=25;1320114=25;1320115=25;13301012=30;13301013=12;1330102=12;13301060=50;13301061=60;13301062=30;13301063=12;13601010=19;13601011=40;13601012=40;13601022=40;13601023=8;13601030=19;13601031=40</v>
      </c>
    </row>
    <row r="21" spans="1:8" x14ac:dyDescent="0.2">
      <c r="A21" s="5">
        <v>10111</v>
      </c>
      <c r="B21" s="12" t="str">
        <f>VLOOKUP(VALUE(LEFT(A21,2)),tb_shopType[[prefix]:[type]],2,0)</f>
        <v>设备</v>
      </c>
      <c r="C21" s="23" t="str">
        <f>VLOOKUP(VALUE(MID(A21,LEN(A21)-2,1)),table_world[[id]:[name]],2,0)</f>
        <v>地宫</v>
      </c>
      <c r="D21" s="23">
        <v>11</v>
      </c>
      <c r="E21" s="12" t="str">
        <f t="shared" si="0"/>
        <v>3~3</v>
      </c>
      <c r="F21" s="12" t="s">
        <v>244</v>
      </c>
      <c r="G21" s="12" t="s">
        <v>275</v>
      </c>
      <c r="H21" s="25" t="str" cm="1">
        <f t="array" aca="1" ref="H21" ca="1">_xlfn.LET(_xlpm._tb,_xlfn.XLOOKUP($B21,tb_shopType[type],tb_shopType[shop_table_name]),
_xlpm._col,MATCH($C21&amp;"-"&amp;TEXT(D21,"00"),INDIRECT(_xlpm._tb&amp;"[#标题]"),0),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50;13101061=50;13101062=100;13101063=100;13101064=10;13101070=50;13101071=50;13101072=100;13101073=100;1311101=50;1311801=25;1311802=50;1320101=5;13201021=20;13201022=50;13201023=100;13201030=5;13201031=20;13201032=50;13201033=100;13201043=100;13201044=25;1320105=50;1320108=20;1320111=50;13201120=5;13201121=20;13201122=50;1320113=100;1320114=100;1320115=100;13301012=60;13301013=30;13301014=12;1330102=30;13301060=25;13301061=60;13301062=60;13301063=30;13301064=12;13601010=19;13601011=40;13601012=40;13601022=40;13601023=8;13601030=19;13601031=40</v>
      </c>
    </row>
    <row r="22" spans="1:8" x14ac:dyDescent="0.2">
      <c r="A22" s="5">
        <v>10112</v>
      </c>
      <c r="B22" s="12" t="str">
        <f>VLOOKUP(VALUE(LEFT(A22,2)),tb_shopType[[prefix]:[type]],2,0)</f>
        <v>设备</v>
      </c>
      <c r="C22" s="23" t="str">
        <f>VLOOKUP(VALUE(MID(A22,LEN(A22)-2,1)),table_world[[id]:[name]],2,0)</f>
        <v>地宫</v>
      </c>
      <c r="D22" s="23">
        <v>12</v>
      </c>
      <c r="E22" s="12" t="str">
        <f t="shared" si="0"/>
        <v>2~3</v>
      </c>
      <c r="F22" s="12" t="s">
        <v>245</v>
      </c>
      <c r="G22" s="12" t="s">
        <v>275</v>
      </c>
      <c r="H22" s="25" t="str" cm="1">
        <f t="array" aca="1" ref="H22" ca="1">_xlfn.LET(_xlpm._tb,_xlfn.XLOOKUP($B22,tb_shopType[type],tb_shopType[shop_table_name]),
_xlpm._col,MATCH($C22&amp;"-"&amp;TEXT(D22,"00"),INDIRECT(_xlpm._tb&amp;"[#标题]"),0),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100;13101063=100;13101064=10;13101070=18;13101071=50;13101072=100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60;13301013=30;13301014=12;1330102=30;13301060=25;13301061=50;13301062=60;13301063=30;13301064=12;13601010=19;13601011=40;13601012=40;13601022=40;13601023=8;13601030=19;13601031=40</v>
      </c>
    </row>
    <row r="23" spans="1:8" x14ac:dyDescent="0.2">
      <c r="A23" s="5">
        <v>10113</v>
      </c>
      <c r="B23" s="12" t="str">
        <f>VLOOKUP(VALUE(LEFT(A23,2)),tb_shopType[[prefix]:[type]],2,0)</f>
        <v>设备</v>
      </c>
      <c r="C23" s="23" t="str">
        <f>VLOOKUP(VALUE(MID(A23,LEN(A23)-2,1)),table_world[[id]:[name]],2,0)</f>
        <v>地宫</v>
      </c>
      <c r="D23" s="23">
        <v>13</v>
      </c>
      <c r="E23" s="12" t="str">
        <f t="shared" si="0"/>
        <v>3~3</v>
      </c>
      <c r="F23" s="12" t="s">
        <v>246</v>
      </c>
      <c r="G23" s="12" t="s">
        <v>275</v>
      </c>
      <c r="H23" s="25" t="str" cm="1">
        <f t="array" aca="1" ref="H23" ca="1">_xlfn.LET(_xlpm._tb,_xlfn.XLOOKUP($B23,tb_shopType[type],tb_shopType[shop_table_name]),
_xlpm._col,MATCH($C23&amp;"-"&amp;TEXT(D23,"00"),INDIRECT(_xlpm._tb&amp;"[#标题]"),0),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50;13101063=100;13101064=50;13101070=18;13101071=50;13101072=50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60;13301013=30;13301014=12;1330102=30;13301060=10;13301061=50;13301062=60;13301063=30;13301064=12;13601010=7;13601011=19;13601012=40;13601022=40;13601023=40;13601030=7;13601031=19</v>
      </c>
    </row>
    <row r="24" spans="1:8" x14ac:dyDescent="0.2">
      <c r="A24" s="5">
        <v>10114</v>
      </c>
      <c r="B24" s="12" t="str">
        <f>VLOOKUP(VALUE(LEFT(A24,2)),tb_shopType[[prefix]:[type]],2,0)</f>
        <v>设备</v>
      </c>
      <c r="C24" s="23" t="str">
        <f>VLOOKUP(VALUE(MID(A24,LEN(A24)-2,1)),table_world[[id]:[name]],2,0)</f>
        <v>地宫</v>
      </c>
      <c r="D24" s="23">
        <v>14</v>
      </c>
      <c r="E24" s="12" t="str">
        <f t="shared" si="0"/>
        <v>2~3</v>
      </c>
      <c r="F24" s="12" t="s">
        <v>247</v>
      </c>
      <c r="G24" s="12" t="s">
        <v>275</v>
      </c>
      <c r="H24" s="25" t="str" cm="1">
        <f t="array" aca="1" ref="H24" ca="1">_xlfn.LET(_xlpm._tb,_xlfn.XLOOKUP($B24,tb_shopType[type],tb_shopType[shop_table_name]),
_xlpm._col,MATCH($C24&amp;"-"&amp;TEXT(D24,"00"),INDIRECT(_xlpm._tb&amp;"[#标题]"),0),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50;13101063=100;13101064=100;13101070=18;13101071=50;13101072=50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60;13301013=60;13301014=30;1330102=60;13301060=10;13301061=25;13301062=60;13301063=60;13301064=30;13601010=7;13601011=19;13601012=40;13601022=40;13601023=40;13601030=7;13601031=19</v>
      </c>
    </row>
    <row r="25" spans="1:8" x14ac:dyDescent="0.2">
      <c r="A25" s="5">
        <v>10115</v>
      </c>
      <c r="B25" s="12" t="str">
        <f>VLOOKUP(VALUE(LEFT(A25,2)),tb_shopType[[prefix]:[type]],2,0)</f>
        <v>设备</v>
      </c>
      <c r="C25" s="23" t="str">
        <f>VLOOKUP(VALUE(MID(A25,LEN(A25)-2,1)),table_world[[id]:[name]],2,0)</f>
        <v>地宫</v>
      </c>
      <c r="D25" s="23">
        <v>15</v>
      </c>
      <c r="E25" s="12" t="str">
        <f t="shared" si="0"/>
        <v>3~3</v>
      </c>
      <c r="F25" s="12" t="s">
        <v>248</v>
      </c>
      <c r="G25" s="12" t="s">
        <v>275</v>
      </c>
      <c r="H25" s="25" t="str" cm="1">
        <f t="array" aca="1" ref="H25" ca="1">_xlfn.LET(_xlpm._tb,_xlfn.XLOOKUP($B25,tb_shopType[type],tb_shopType[shop_table_name]),
_xlpm._col,MATCH($C25&amp;"-"&amp;TEXT(D25,"00"),INDIRECT(_xlpm._tb&amp;"[#标题]"),0),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50;13101063=100;13101064=100;13101070=18;13101071=50;13101072=50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50;13301013=60;13301014=30;1330102=60;13301061=25;13301062=50;13301063=60;13301064=30;13601010=7;13601011=19;13601012=40;13601022=40;13601023=40;13601030=7;13601031=19</v>
      </c>
    </row>
    <row r="26" spans="1:8" x14ac:dyDescent="0.2">
      <c r="A26" s="5">
        <v>10116</v>
      </c>
      <c r="B26" s="12" t="str">
        <f>VLOOKUP(VALUE(LEFT(A26,2)),tb_shopType[[prefix]:[type]],2,0)</f>
        <v>设备</v>
      </c>
      <c r="C26" s="23" t="str">
        <f>VLOOKUP(VALUE(MID(A26,LEN(A26)-2,1)),table_world[[id]:[name]],2,0)</f>
        <v>地宫</v>
      </c>
      <c r="D26" s="23">
        <v>16</v>
      </c>
      <c r="E26" s="12" t="str">
        <f t="shared" si="0"/>
        <v>2~3</v>
      </c>
      <c r="F26" s="12" t="s">
        <v>249</v>
      </c>
      <c r="G26" s="12" t="s">
        <v>275</v>
      </c>
      <c r="H26" s="25" t="str" cm="1">
        <f t="array" aca="1" ref="H26" ca="1">_xlfn.LET(_xlpm._tb,_xlfn.XLOOKUP($B26,tb_shopType[type],tb_shopType[shop_table_name]),
_xlpm._col,MATCH($C26&amp;"-"&amp;TEXT(D26,"00"),INDIRECT(_xlpm._tb&amp;"[#标题]"),0),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18;13101061=18;13101062=50;13101063=50;13101064=100;13101070=18;13101071=18;13101072=50;13101073=50;1311101=18;1311801=9;1311802=25;1320101=3;13201021=10;13201022=20;13201023=70;13201030=3;13201031=10;13201032=20;13201033=70;13201043=70;13201044=120;1320105=20;1320108=10;1320111=20;13201120=3;13201121=10;13201122=20;1320113=70;1320114=70;1320115=70;13301012=50;13301013=60;13301014=30;1330102=60;13301061=10;13301062=50;13301063=60;13301064=30;13601010=7;13601011=19;13601012=40;13601022=40;13601023=40;13601030=7;13601031=19</v>
      </c>
    </row>
    <row r="27" spans="1:8" x14ac:dyDescent="0.2">
      <c r="A27" s="5">
        <v>10117</v>
      </c>
      <c r="B27" s="12" t="str">
        <f>VLOOKUP(VALUE(LEFT(A27,2)),tb_shopType[[prefix]:[type]],2,0)</f>
        <v>设备</v>
      </c>
      <c r="C27" s="23" t="str">
        <f>VLOOKUP(VALUE(MID(A27,LEN(A27)-2,1)),table_world[[id]:[name]],2,0)</f>
        <v>地宫</v>
      </c>
      <c r="D27" s="23">
        <v>17</v>
      </c>
      <c r="E27" s="12" t="str">
        <f t="shared" si="0"/>
        <v>3~3</v>
      </c>
      <c r="F27" s="12" t="s">
        <v>250</v>
      </c>
      <c r="G27" s="12" t="s">
        <v>275</v>
      </c>
      <c r="H27" s="25" t="str" cm="1">
        <f t="array" aca="1" ref="H27" ca="1">_xlfn.LET(_xlpm._tb,_xlfn.XLOOKUP($B27,tb_shopType[type],tb_shopType[shop_table_name]),
_xlpm._col,MATCH($C27&amp;"-"&amp;TEXT(D27,"00"),INDIRECT(_xlpm._tb&amp;"[#标题]"),0),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50;13101063=50;13101064=100;13101071=18;13101072=50;13101073=50;1311101=18;1311801=9;1311802=25;1320101=3;13201021=10;13201022=20;13201023=70;13201030=3;13201031=10;13201032=20;13201033=70;13201043=70;13201044=120;1320105=20;1320108=10;1320111=20;13201120=3;13201121=10;13201122=20;1320113=70;1320114=70;1320115=70;13301012=25;13301013=60;13301014=60;1330102=60;13301061=10;13301062=25;13301063=60;13301064=60;13601011=7;13601012=19;13601022=19;13601023=40;13601031=7</v>
      </c>
    </row>
    <row r="28" spans="1:8" x14ac:dyDescent="0.2">
      <c r="A28" s="5">
        <v>10118</v>
      </c>
      <c r="B28" s="12" t="str">
        <f>VLOOKUP(VALUE(LEFT(A28,2)),tb_shopType[[prefix]:[type]],2,0)</f>
        <v>设备</v>
      </c>
      <c r="C28" s="23" t="str">
        <f>VLOOKUP(VALUE(MID(A28,LEN(A28)-2,1)),table_world[[id]:[name]],2,0)</f>
        <v>地宫</v>
      </c>
      <c r="D28" s="23">
        <v>18</v>
      </c>
      <c r="E28" s="12" t="str">
        <f t="shared" si="0"/>
        <v>2~3</v>
      </c>
      <c r="F28" s="12" t="s">
        <v>251</v>
      </c>
      <c r="G28" s="12" t="s">
        <v>275</v>
      </c>
      <c r="H28" s="25" t="str" cm="1">
        <f t="array" aca="1" ref="H28" ca="1">_xlfn.LET(_xlpm._tb,_xlfn.XLOOKUP($B28,tb_shopType[type],tb_shopType[shop_table_name]),
_xlpm._col,MATCH($C28&amp;"-"&amp;TEXT(D28,"00"),INDIRECT(_xlpm._tb&amp;"[#标题]"),0),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50;13101063=50;13101064=100;13101071=18;13101072=50;13101073=50;1311101=18;1311801=9;1311802=25;1320101=3;13201021=10;13201022=20;13201023=70;13201030=3;13201031=10;13201032=20;13201033=70;13201043=70;13201044=120;1320105=20;1320108=10;1320111=20;13201120=3;13201121=10;13201122=20;1320113=70;1320114=70;1320115=70;13301012=25;13301013=50;13301014=60;1330102=50;13301062=25;13301063=50;13301064=60;13601011=7;13601012=19;13601022=19;13601023=40;13601031=7</v>
      </c>
    </row>
    <row r="29" spans="1:8" x14ac:dyDescent="0.2">
      <c r="A29" s="5">
        <v>10119</v>
      </c>
      <c r="B29" s="12" t="str">
        <f>VLOOKUP(VALUE(LEFT(A29,2)),tb_shopType[[prefix]:[type]],2,0)</f>
        <v>设备</v>
      </c>
      <c r="C29" s="23" t="str">
        <f>VLOOKUP(VALUE(MID(A29,LEN(A29)-2,1)),table_world[[id]:[name]],2,0)</f>
        <v>地宫</v>
      </c>
      <c r="D29" s="23">
        <v>19</v>
      </c>
      <c r="E29" s="12" t="str">
        <f t="shared" si="0"/>
        <v>3~3</v>
      </c>
      <c r="F29" s="12" t="s">
        <v>252</v>
      </c>
      <c r="G29" s="12" t="s">
        <v>275</v>
      </c>
      <c r="H29" s="25" t="str" cm="1">
        <f t="array" aca="1" ref="H29" ca="1">_xlfn.LET(_xlpm._tb,_xlfn.XLOOKUP($B29,tb_shopType[type],tb_shopType[shop_table_name]),
_xlpm._col,MATCH($C29&amp;"-"&amp;TEXT(D29,"00"),INDIRECT(_xlpm._tb&amp;"[#标题]"),0),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18;13101063=50;13101064=50;13101071=18;13101072=18;13101073=50;1311101=18;1311801=9;1311802=25;1320101=3;13201021=10;13201022=20;13201023=70;13201030=3;13201031=10;13201032=20;13201033=70;13201043=70;13201044=120;1320105=20;1320108=10;1320111=20;13201120=3;13201121=10;13201122=20;1320113=70;1320114=70;1320115=70;13301012=10;13301013=50;13301014=60;1330102=50;13301062=10;13301063=50;13301064=60;13601011=7;13601012=19;13601022=19;13601023=40;13601031=7</v>
      </c>
    </row>
    <row r="30" spans="1:8" x14ac:dyDescent="0.2">
      <c r="A30" s="5">
        <v>10120</v>
      </c>
      <c r="B30" s="12" t="str">
        <f>VLOOKUP(VALUE(LEFT(A30,2)),tb_shopType[[prefix]:[type]],2,0)</f>
        <v>设备</v>
      </c>
      <c r="C30" s="23" t="str">
        <f>VLOOKUP(VALUE(MID(A30,LEN(A30)-2,1)),table_world[[id]:[name]],2,0)</f>
        <v>地宫</v>
      </c>
      <c r="D30" s="23">
        <v>20</v>
      </c>
      <c r="E30" s="12" t="str">
        <f t="shared" si="0"/>
        <v>2~3</v>
      </c>
      <c r="F30" s="12" t="s">
        <v>253</v>
      </c>
      <c r="G30" s="12" t="s">
        <v>275</v>
      </c>
      <c r="H30" s="25" t="str" cm="1">
        <f t="array" aca="1" ref="H30" ca="1">_xlfn.LET(_xlpm._tb,_xlfn.XLOOKUP($B30,tb_shopType[type],tb_shopType[shop_table_name]),
_xlpm._col,MATCH($C30&amp;"-"&amp;TEXT(D30,"00"),INDIRECT(_xlpm._tb&amp;"[#标题]"),0),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18;13101063=50;13101064=50;13101071=18;13101072=18;13101073=50;1311101=18;1311801=9;1311802=25;1320101=3;13201021=10;13201022=20;13201023=70;13201030=3;13201031=10;13201032=20;13201033=70;13201043=70;13201044=120;1320105=20;1320108=10;1320111=20;13201120=3;13201121=10;13201122=20;1320113=70;1320114=70;1320115=70;13301012=10;13301013=25;13301014=60;1330102=50;13301062=10;13301063=25;13301064=60;13601011=7;13601012=19;13601022=19;13601023=40;13601031=7</v>
      </c>
    </row>
    <row r="31" spans="1:8" x14ac:dyDescent="0.2">
      <c r="F31" s="5" t="s">
        <v>21</v>
      </c>
    </row>
    <row r="32" spans="1:8" x14ac:dyDescent="0.2">
      <c r="A32" s="5">
        <v>10401</v>
      </c>
      <c r="B32" s="12" t="str">
        <f>VLOOKUP(VALUE(LEFT(A32,2)),tb_shopType[[prefix]:[type]],2,0)</f>
        <v>设备</v>
      </c>
      <c r="C32" s="23" t="str">
        <f>VLOOKUP(VALUE(MID(A32,LEN(A32)-2,1)),table_world[[id]:[name]],2,0)</f>
        <v>树梢</v>
      </c>
      <c r="D32" s="23">
        <v>1</v>
      </c>
      <c r="E32" s="12" t="str">
        <f>_xlfn.LET(_xlpm._i,RIGHT(A32,2),
--ISODD(_xlpm._i)+2&amp;"~"&amp;3)</f>
        <v>3~3</v>
      </c>
      <c r="F32" s="12" t="s">
        <v>234</v>
      </c>
      <c r="G32" s="12" t="s">
        <v>284</v>
      </c>
      <c r="H32" s="25" t="str" cm="1">
        <f t="array" aca="1" ref="H32" ca="1">_xlfn.LET(_xlpm._tb,_xlfn.XLOOKUP($B32,tb_shopType[type],tb_shopType[shop_table_name]),
_xlpm._col,MATCH($C32&amp;"-"&amp;TEXT(D32,"00"),INDIRECT(_xlpm._tb&amp;"[#标题]"),0),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1310102=100;13101050=100;13101051=10;13101061=10;13101070=100;13101071=10;1311101=100;1311801=50;1320101=100;13201021=25;13201030=100;13201031=25;1320108=25;13201120=100;13201121=25;13301060=12;13601010=40;13601011=8;13601030=40;13601031=8</v>
      </c>
    </row>
    <row r="33" spans="1:8" x14ac:dyDescent="0.2">
      <c r="A33" s="5">
        <v>10402</v>
      </c>
      <c r="B33" s="12" t="str">
        <f>VLOOKUP(VALUE(LEFT(A33,2)),tb_shopType[[prefix]:[type]],2,0)</f>
        <v>设备</v>
      </c>
      <c r="C33" s="23" t="str">
        <f>VLOOKUP(VALUE(MID(A33,LEN(A33)-2,1)),table_world[[id]:[name]],2,0)</f>
        <v>树梢</v>
      </c>
      <c r="D33" s="23">
        <v>2</v>
      </c>
      <c r="E33" s="12" t="str">
        <f t="shared" ref="E33:E51" si="1">_xlfn.LET(_xlpm._i,RIGHT(A33,2),
--ISODD(_xlpm._i)+2&amp;"~"&amp;3)</f>
        <v>2~3</v>
      </c>
      <c r="F33" s="12" t="s">
        <v>235</v>
      </c>
      <c r="G33" s="12" t="s">
        <v>275</v>
      </c>
      <c r="H33" s="25" t="str" cm="1">
        <f t="array" aca="1" ref="H33" ca="1">_xlfn.LET(_xlpm._tb,_xlfn.XLOOKUP($B33,tb_shopType[type],tb_shopType[shop_table_name]),
_xlpm._col,MATCH($C33&amp;"-"&amp;TEXT(D33,"00"),INDIRECT(_xlpm._tb&amp;"[#标题]"),0),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1310102=100;13101050=100;13101051=10;13101061=10;13101070=100;13101071=10;1311101=100;1311801=50;1320101=100;13201021=25;13201030=100;13201031=25;1320108=25;13201120=100;13201121=25;13301060=30;13301061=12;13601010=40;13601011=8;13601030=40;13601031=8</v>
      </c>
    </row>
    <row r="34" spans="1:8" x14ac:dyDescent="0.2">
      <c r="A34" s="5">
        <v>10403</v>
      </c>
      <c r="B34" s="12" t="str">
        <f>VLOOKUP(VALUE(LEFT(A34,2)),tb_shopType[[prefix]:[type]],2,0)</f>
        <v>设备</v>
      </c>
      <c r="C34" s="23" t="str">
        <f>VLOOKUP(VALUE(MID(A34,LEN(A34)-2,1)),table_world[[id]:[name]],2,0)</f>
        <v>树梢</v>
      </c>
      <c r="D34" s="23">
        <v>3</v>
      </c>
      <c r="E34" s="12" t="str">
        <f t="shared" si="1"/>
        <v>3~3</v>
      </c>
      <c r="F34" s="12" t="s">
        <v>236</v>
      </c>
      <c r="G34" s="12" t="s">
        <v>275</v>
      </c>
      <c r="H34" s="25" t="str" cm="1">
        <f t="array" aca="1" ref="H34" ca="1">_xlfn.LET(_xlpm._tb,_xlfn.XLOOKUP($B34,tb_shopType[type],tb_shopType[shop_table_name]),
_xlpm._col,MATCH($C34&amp;"-"&amp;TEXT(D34,"00"),INDIRECT(_xlpm._tb&amp;"[#标题]"),0),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13101050=100;13101051=10;13101061=10;13101070=100;13101071=10;1311101=100;1311801=50;1320101=50;13201021=100;13201022=25;13201030=50;13201031=100;13201032=25;1320105=25;1320108=100;1320111=25;13201120=50;13201121=100;13201122=25;13301060=30;13301061=12;13601010=40;13601011=8;13601030=40;13601031=8</v>
      </c>
    </row>
    <row r="35" spans="1:8" x14ac:dyDescent="0.2">
      <c r="A35" s="5">
        <v>10404</v>
      </c>
      <c r="B35" s="12" t="str">
        <f>VLOOKUP(VALUE(LEFT(A35,2)),tb_shopType[[prefix]:[type]],2,0)</f>
        <v>设备</v>
      </c>
      <c r="C35" s="23" t="str">
        <f>VLOOKUP(VALUE(MID(A35,LEN(A35)-2,1)),table_world[[id]:[name]],2,0)</f>
        <v>树梢</v>
      </c>
      <c r="D35" s="23">
        <v>4</v>
      </c>
      <c r="E35" s="12" t="str">
        <f t="shared" si="1"/>
        <v>2~3</v>
      </c>
      <c r="F35" s="12" t="s">
        <v>237</v>
      </c>
      <c r="G35" s="12" t="s">
        <v>275</v>
      </c>
      <c r="H35" s="25" t="str" cm="1">
        <f t="array" aca="1" ref="H35" ca="1">_xlfn.LET(_xlpm._tb,_xlfn.XLOOKUP($B35,tb_shopType[type],tb_shopType[shop_table_name]),
_xlpm._col,MATCH($C35&amp;"-"&amp;TEXT(D35,"00"),INDIRECT(_xlpm._tb&amp;"[#标题]"),0),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100;13101051=10;13101061=50;13101062=10;13101070=100;13101071=50;13101072=10;1311101=100;1311801=50;1311802=10;1320101=50;13201021=100;13201022=25;13201030=50;13201031=100;13201032=25;1320105=25;1320108=100;1320111=25;13201120=50;13201121=100;13201122=25;13301060=30;13301061=12;13601010=40;13601011=8;13601030=40;13601031=8</v>
      </c>
    </row>
    <row r="36" spans="1:8" x14ac:dyDescent="0.2">
      <c r="A36" s="5">
        <v>10405</v>
      </c>
      <c r="B36" s="12" t="str">
        <f>VLOOKUP(VALUE(LEFT(A36,2)),tb_shopType[[prefix]:[type]],2,0)</f>
        <v>设备</v>
      </c>
      <c r="C36" s="23" t="str">
        <f>VLOOKUP(VALUE(MID(A36,LEN(A36)-2,1)),table_world[[id]:[name]],2,0)</f>
        <v>树梢</v>
      </c>
      <c r="D36" s="23">
        <v>5</v>
      </c>
      <c r="E36" s="12" t="str">
        <f t="shared" si="1"/>
        <v>3~3</v>
      </c>
      <c r="F36" s="12" t="s">
        <v>238</v>
      </c>
      <c r="G36" s="12" t="s">
        <v>275</v>
      </c>
      <c r="H36" s="25" t="str" cm="1">
        <f t="array" aca="1" ref="H36" ca="1">_xlfn.LET(_xlpm._tb,_xlfn.XLOOKUP($B36,tb_shopType[type],tb_shopType[shop_table_name]),
_xlpm._col,MATCH($C36&amp;"-"&amp;TEXT(D36,"00"),INDIRECT(_xlpm._tb&amp;"[#标题]"),0),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100;13101051=100;13101061=100;13101062=10;13101070=100;13101071=100;13101072=10;1311101=100;1311801=50;1311802=10;1320101=50;13201021=100;13201022=25;13201030=50;13201031=100;13201032=25;1320105=25;1320108=100;1320111=25;13201120=50;13201121=100;13201122=25;13301012=12;13301060=60;13301061=30;13301062=12;13601010=40;13601011=40;13601012=8;13601022=8;13601030=40;13601031=40</v>
      </c>
    </row>
    <row r="37" spans="1:8" x14ac:dyDescent="0.2">
      <c r="A37" s="5">
        <v>10406</v>
      </c>
      <c r="B37" s="12" t="str">
        <f>VLOOKUP(VALUE(LEFT(A37,2)),tb_shopType[[prefix]:[type]],2,0)</f>
        <v>设备</v>
      </c>
      <c r="C37" s="23" t="str">
        <f>VLOOKUP(VALUE(MID(A37,LEN(A37)-2,1)),table_world[[id]:[name]],2,0)</f>
        <v>树梢</v>
      </c>
      <c r="D37" s="23">
        <v>6</v>
      </c>
      <c r="E37" s="12" t="str">
        <f t="shared" si="1"/>
        <v>2~3</v>
      </c>
      <c r="F37" s="12" t="s">
        <v>239</v>
      </c>
      <c r="G37" s="12" t="s">
        <v>275</v>
      </c>
      <c r="H37" s="25" t="str" cm="1">
        <f t="array" aca="1" ref="H37" ca="1">_xlfn.LET(_xlpm._tb,_xlfn.XLOOKUP($B37,tb_shopType[type],tb_shopType[shop_table_name]),
_xlpm._col,MATCH($C37&amp;"-"&amp;TEXT(D37,"00"),INDIRECT(_xlpm._tb&amp;"[#标题]"),0),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50;13101051=100;13101061=100;13101062=10;13101070=50;13101071=100;13101072=10;1311101=100;1311801=50;1311802=10;1320101=10;13201021=50;13201022=100;13201023=25;13201030=10;13201031=50;13201032=100;13201033=25;13201043=25;1320105=100;1320108=50;1320111=100;13201120=10;13201121=50;13201122=100;1320113=25;1320114=25;1320115=25;13301012=12;13301060=60;13301061=30;13301062=12;13601010=40;13601011=40;13601012=8;13601022=8;13601030=40;13601031=40</v>
      </c>
    </row>
    <row r="38" spans="1:8" x14ac:dyDescent="0.2">
      <c r="A38" s="5">
        <v>10407</v>
      </c>
      <c r="B38" s="12" t="str">
        <f>VLOOKUP(VALUE(LEFT(A38,2)),tb_shopType[[prefix]:[type]],2,0)</f>
        <v>设备</v>
      </c>
      <c r="C38" s="23" t="str">
        <f>VLOOKUP(VALUE(MID(A38,LEN(A38)-2,1)),table_world[[id]:[name]],2,0)</f>
        <v>树梢</v>
      </c>
      <c r="D38" s="23">
        <v>7</v>
      </c>
      <c r="E38" s="12" t="str">
        <f t="shared" si="1"/>
        <v>3~3</v>
      </c>
      <c r="F38" s="12" t="s">
        <v>240</v>
      </c>
      <c r="G38" s="12" t="s">
        <v>275</v>
      </c>
      <c r="H38" s="25" t="str" cm="1">
        <f t="array" aca="1" ref="H38" ca="1">_xlfn.LET(_xlpm._tb,_xlfn.XLOOKUP($B38,tb_shopType[type],tb_shopType[shop_table_name]),
_xlpm._col,MATCH($C38&amp;"-"&amp;TEXT(D38,"00"),INDIRECT(_xlpm._tb&amp;"[#标题]"),0),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50;13101051=100;13101061=100;13101062=50;13101063=10;13101070=50;13101071=100;13101072=50;13101073=10;1311101=100;1311801=50;1311802=10;1320101=10;13201021=50;13201022=100;13201023=25;13201030=10;13201031=50;13201032=100;13201033=25;13201043=25;1320105=100;1320108=50;1320111=100;13201120=10;13201121=50;13201122=100;1320113=25;1320114=25;1320115=25;13301012=12;13301060=60;13301061=30;13301062=12;13601010=40;13601011=40;13601012=8;13601022=8;13601030=40;13601031=40</v>
      </c>
    </row>
    <row r="39" spans="1:8" x14ac:dyDescent="0.2">
      <c r="A39" s="5">
        <v>10408</v>
      </c>
      <c r="B39" s="12" t="str">
        <f>VLOOKUP(VALUE(LEFT(A39,2)),tb_shopType[[prefix]:[type]],2,0)</f>
        <v>设备</v>
      </c>
      <c r="C39" s="23" t="str">
        <f>VLOOKUP(VALUE(MID(A39,LEN(A39)-2,1)),table_world[[id]:[name]],2,0)</f>
        <v>树梢</v>
      </c>
      <c r="D39" s="23">
        <v>8</v>
      </c>
      <c r="E39" s="12" t="str">
        <f t="shared" si="1"/>
        <v>2~3</v>
      </c>
      <c r="F39" s="12" t="s">
        <v>241</v>
      </c>
      <c r="G39" s="12" t="s">
        <v>275</v>
      </c>
      <c r="H39" s="25" t="str" cm="1">
        <f t="array" aca="1" ref="H39" ca="1">_xlfn.LET(_xlpm._tb,_xlfn.XLOOKUP($B39,tb_shopType[type],tb_shopType[shop_table_name]),
_xlpm._col,MATCH($C39&amp;"-"&amp;TEXT(D39,"00"),INDIRECT(_xlpm._tb&amp;"[#标题]"),0),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100;13101061=100;13101062=100;13101063=10;13101070=50;13101071=100;13101072=100;13101073=10;1311101=50;1311801=25;1311802=50;1320101=10;13201021=50;13201022=100;13201023=25;13201030=10;13201031=50;13201032=100;13201033=25;13201043=25;1320105=100;1320108=50;1320111=100;13201120=10;13201121=50;13201122=100;1320113=25;1320114=25;1320115=25;13301012=30;13301013=12;13301060=60;13301061=60;13301062=30;13301063=12;13601010=40;13601011=40;13601012=8;13601022=8;13601030=40;13601031=40</v>
      </c>
    </row>
    <row r="40" spans="1:8" x14ac:dyDescent="0.2">
      <c r="A40" s="5">
        <v>10409</v>
      </c>
      <c r="B40" s="12" t="str">
        <f>VLOOKUP(VALUE(LEFT(A40,2)),tb_shopType[[prefix]:[type]],2,0)</f>
        <v>设备</v>
      </c>
      <c r="C40" s="23" t="str">
        <f>VLOOKUP(VALUE(MID(A40,LEN(A40)-2,1)),table_world[[id]:[name]],2,0)</f>
        <v>树梢</v>
      </c>
      <c r="D40" s="23">
        <v>9</v>
      </c>
      <c r="E40" s="12" t="str">
        <f t="shared" si="1"/>
        <v>3~3</v>
      </c>
      <c r="F40" s="12" t="s">
        <v>242</v>
      </c>
      <c r="G40" s="12" t="s">
        <v>275</v>
      </c>
      <c r="H40" s="25" t="str" cm="1">
        <f t="array" aca="1" ref="H40" ca="1">_xlfn.LET(_xlpm._tb,_xlfn.XLOOKUP($B40,tb_shopType[type],tb_shopType[shop_table_name]),
_xlpm._col,MATCH($C40&amp;"-"&amp;TEXT(D40,"00"),INDIRECT(_xlpm._tb&amp;"[#标题]"),0),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100;13101061=100;13101062=100;13101063=10;13101070=50;13101071=100;13101072=100;13101073=10;1311101=50;1311801=25;1311802=50;1320101=10;13201021=50;13201022=100;13201023=25;13201030=10;13201031=50;13201032=100;13201033=25;13201043=25;1320105=100;1320108=50;1320111=100;13201120=10;13201121=50;13201122=100;1320113=25;1320114=25;1320115=25;13301012=30;13301013=12;1330102=12;13301060=50;13301061=60;13301062=30;13301063=12;13601010=19;13601011=40;13601012=40;13601022=40;13601023=8;13601030=19;13601031=40</v>
      </c>
    </row>
    <row r="41" spans="1:8" x14ac:dyDescent="0.2">
      <c r="A41" s="5">
        <v>10410</v>
      </c>
      <c r="B41" s="12" t="str">
        <f>VLOOKUP(VALUE(LEFT(A41,2)),tb_shopType[[prefix]:[type]],2,0)</f>
        <v>设备</v>
      </c>
      <c r="C41" s="23" t="str">
        <f>VLOOKUP(VALUE(MID(A41,LEN(A41)-2,1)),table_world[[id]:[name]],2,0)</f>
        <v>树梢</v>
      </c>
      <c r="D41" s="23">
        <v>10</v>
      </c>
      <c r="E41" s="12" t="str">
        <f t="shared" si="1"/>
        <v>2~3</v>
      </c>
      <c r="F41" s="12" t="s">
        <v>243</v>
      </c>
      <c r="G41" s="12" t="s">
        <v>275</v>
      </c>
      <c r="H41" s="25" t="str" cm="1">
        <f t="array" aca="1" ref="H41" ca="1">_xlfn.LET(_xlpm._tb,_xlfn.XLOOKUP($B41,tb_shopType[type],tb_shopType[shop_table_name]),
_xlpm._col,MATCH($C41&amp;"-"&amp;TEXT(D41,"00"),INDIRECT(_xlpm._tb&amp;"[#标题]"),0),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50;13101061=50;13101062=100;13101063=50;13101064=10;13101070=50;13101071=50;13101072=100;13101073=50;1311101=50;1311801=25;1311802=50;1320101=10;13201021=50;13201022=100;13201023=25;13201030=10;13201031=50;13201032=100;13201033=25;13201043=25;1320105=100;1320108=50;1320111=100;13201120=10;13201121=50;13201122=100;1320113=25;1320114=25;1320115=25;13301012=30;13301013=12;1330102=12;13301060=50;13301061=60;13301062=30;13301063=12;13601010=19;13601011=40;13601012=40;13601022=40;13601023=8;13601030=19;13601031=40</v>
      </c>
    </row>
    <row r="42" spans="1:8" x14ac:dyDescent="0.2">
      <c r="A42" s="5">
        <v>10411</v>
      </c>
      <c r="B42" s="12" t="str">
        <f>VLOOKUP(VALUE(LEFT(A42,2)),tb_shopType[[prefix]:[type]],2,0)</f>
        <v>设备</v>
      </c>
      <c r="C42" s="23" t="str">
        <f>VLOOKUP(VALUE(MID(A42,LEN(A42)-2,1)),table_world[[id]:[name]],2,0)</f>
        <v>树梢</v>
      </c>
      <c r="D42" s="23">
        <v>11</v>
      </c>
      <c r="E42" s="12" t="str">
        <f t="shared" si="1"/>
        <v>3~3</v>
      </c>
      <c r="F42" s="12" t="s">
        <v>244</v>
      </c>
      <c r="G42" s="12" t="s">
        <v>275</v>
      </c>
      <c r="H42" s="25" t="str" cm="1">
        <f t="array" aca="1" ref="H42" ca="1">_xlfn.LET(_xlpm._tb,_xlfn.XLOOKUP($B42,tb_shopType[type],tb_shopType[shop_table_name]),
_xlpm._col,MATCH($C42&amp;"-"&amp;TEXT(D42,"00"),INDIRECT(_xlpm._tb&amp;"[#标题]"),0),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50;13101061=50;13101062=100;13101063=100;13101064=10;13101070=50;13101071=50;13101072=100;13101073=100;1311101=50;1311801=25;1311802=50;1320101=5;13201021=20;13201022=50;13201023=100;13201030=5;13201031=20;13201032=50;13201033=100;13201043=100;13201044=25;1320105=50;1320108=20;1320111=50;13201120=5;13201121=20;13201122=50;1320113=100;1320114=100;1320115=100;13301012=60;13301013=30;13301014=12;1330102=30;13301060=25;13301061=60;13301062=60;13301063=30;13301064=12;13601010=19;13601011=40;13601012=40;13601022=40;13601023=8;13601030=19;13601031=40</v>
      </c>
    </row>
    <row r="43" spans="1:8" x14ac:dyDescent="0.2">
      <c r="A43" s="5">
        <v>10412</v>
      </c>
      <c r="B43" s="12" t="str">
        <f>VLOOKUP(VALUE(LEFT(A43,2)),tb_shopType[[prefix]:[type]],2,0)</f>
        <v>设备</v>
      </c>
      <c r="C43" s="23" t="str">
        <f>VLOOKUP(VALUE(MID(A43,LEN(A43)-2,1)),table_world[[id]:[name]],2,0)</f>
        <v>树梢</v>
      </c>
      <c r="D43" s="23">
        <v>12</v>
      </c>
      <c r="E43" s="12" t="str">
        <f t="shared" si="1"/>
        <v>2~3</v>
      </c>
      <c r="F43" s="12" t="s">
        <v>245</v>
      </c>
      <c r="G43" s="12" t="s">
        <v>275</v>
      </c>
      <c r="H43" s="25" t="str" cm="1">
        <f t="array" aca="1" ref="H43" ca="1">_xlfn.LET(_xlpm._tb,_xlfn.XLOOKUP($B43,tb_shopType[type],tb_shopType[shop_table_name]),
_xlpm._col,MATCH($C43&amp;"-"&amp;TEXT(D43,"00"),INDIRECT(_xlpm._tb&amp;"[#标题]"),0),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100;13101063=100;13101064=10;13101070=18;13101071=50;13101072=100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60;13301013=30;13301014=12;1330102=30;13301060=25;13301061=50;13301062=60;13301063=30;13301064=12;13601010=19;13601011=40;13601012=40;13601022=40;13601023=8;13601030=19;13601031=40</v>
      </c>
    </row>
    <row r="44" spans="1:8" x14ac:dyDescent="0.2">
      <c r="A44" s="5">
        <v>10413</v>
      </c>
      <c r="B44" s="12" t="str">
        <f>VLOOKUP(VALUE(LEFT(A44,2)),tb_shopType[[prefix]:[type]],2,0)</f>
        <v>设备</v>
      </c>
      <c r="C44" s="23" t="str">
        <f>VLOOKUP(VALUE(MID(A44,LEN(A44)-2,1)),table_world[[id]:[name]],2,0)</f>
        <v>树梢</v>
      </c>
      <c r="D44" s="23">
        <v>13</v>
      </c>
      <c r="E44" s="12" t="str">
        <f t="shared" si="1"/>
        <v>3~3</v>
      </c>
      <c r="F44" s="12" t="s">
        <v>246</v>
      </c>
      <c r="G44" s="12" t="s">
        <v>275</v>
      </c>
      <c r="H44" s="25" t="str" cm="1">
        <f t="array" aca="1" ref="H44" ca="1">_xlfn.LET(_xlpm._tb,_xlfn.XLOOKUP($B44,tb_shopType[type],tb_shopType[shop_table_name]),
_xlpm._col,MATCH($C44&amp;"-"&amp;TEXT(D44,"00"),INDIRECT(_xlpm._tb&amp;"[#标题]"),0),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50;13101063=100;13101064=50;13101070=18;13101071=50;13101072=50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60;13301013=30;13301014=12;1330102=30;13301060=10;13301061=50;13301062=60;13301063=30;13301064=12;13601010=7;13601011=19;13601012=40;13601022=40;13601023=40;13601030=7;13601031=19</v>
      </c>
    </row>
    <row r="45" spans="1:8" x14ac:dyDescent="0.2">
      <c r="A45" s="5">
        <v>10414</v>
      </c>
      <c r="B45" s="12" t="str">
        <f>VLOOKUP(VALUE(LEFT(A45,2)),tb_shopType[[prefix]:[type]],2,0)</f>
        <v>设备</v>
      </c>
      <c r="C45" s="23" t="str">
        <f>VLOOKUP(VALUE(MID(A45,LEN(A45)-2,1)),table_world[[id]:[name]],2,0)</f>
        <v>树梢</v>
      </c>
      <c r="D45" s="23">
        <v>14</v>
      </c>
      <c r="E45" s="12" t="str">
        <f t="shared" si="1"/>
        <v>2~3</v>
      </c>
      <c r="F45" s="12" t="s">
        <v>247</v>
      </c>
      <c r="G45" s="12" t="s">
        <v>275</v>
      </c>
      <c r="H45" s="25" t="str" cm="1">
        <f t="array" aca="1" ref="H45" ca="1">_xlfn.LET(_xlpm._tb,_xlfn.XLOOKUP($B45,tb_shopType[type],tb_shopType[shop_table_name]),
_xlpm._col,MATCH($C45&amp;"-"&amp;TEXT(D45,"00"),INDIRECT(_xlpm._tb&amp;"[#标题]"),0),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50;13101063=100;13101064=100;13101070=18;13101071=50;13101072=50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60;13301013=60;13301014=30;1330102=60;13301060=10;13301061=25;13301062=60;13301063=60;13301064=30;13601010=7;13601011=19;13601012=40;13601022=40;13601023=40;13601030=7;13601031=19</v>
      </c>
    </row>
    <row r="46" spans="1:8" x14ac:dyDescent="0.2">
      <c r="A46" s="5">
        <v>10415</v>
      </c>
      <c r="B46" s="12" t="str">
        <f>VLOOKUP(VALUE(LEFT(A46,2)),tb_shopType[[prefix]:[type]],2,0)</f>
        <v>设备</v>
      </c>
      <c r="C46" s="23" t="str">
        <f>VLOOKUP(VALUE(MID(A46,LEN(A46)-2,1)),table_world[[id]:[name]],2,0)</f>
        <v>树梢</v>
      </c>
      <c r="D46" s="23">
        <v>15</v>
      </c>
      <c r="E46" s="12" t="str">
        <f t="shared" si="1"/>
        <v>3~3</v>
      </c>
      <c r="F46" s="12" t="s">
        <v>248</v>
      </c>
      <c r="G46" s="12" t="s">
        <v>275</v>
      </c>
      <c r="H46" s="25" t="str" cm="1">
        <f t="array" aca="1" ref="H46" ca="1">_xlfn.LET(_xlpm._tb,_xlfn.XLOOKUP($B46,tb_shopType[type],tb_shopType[shop_table_name]),
_xlpm._col,MATCH($C46&amp;"-"&amp;TEXT(D46,"00"),INDIRECT(_xlpm._tb&amp;"[#标题]"),0),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50;13101063=100;13101064=100;13101070=18;13101071=50;13101072=50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50;13301013=60;13301014=30;1330102=60;13301061=25;13301062=50;13301063=60;13301064=30;13601010=7;13601011=19;13601012=40;13601022=40;13601023=40;13601030=7;13601031=19</v>
      </c>
    </row>
    <row r="47" spans="1:8" x14ac:dyDescent="0.2">
      <c r="A47" s="5">
        <v>10416</v>
      </c>
      <c r="B47" s="12" t="str">
        <f>VLOOKUP(VALUE(LEFT(A47,2)),tb_shopType[[prefix]:[type]],2,0)</f>
        <v>设备</v>
      </c>
      <c r="C47" s="23" t="str">
        <f>VLOOKUP(VALUE(MID(A47,LEN(A47)-2,1)),table_world[[id]:[name]],2,0)</f>
        <v>树梢</v>
      </c>
      <c r="D47" s="23">
        <v>16</v>
      </c>
      <c r="E47" s="12" t="str">
        <f t="shared" si="1"/>
        <v>2~3</v>
      </c>
      <c r="F47" s="12" t="s">
        <v>249</v>
      </c>
      <c r="G47" s="12" t="s">
        <v>275</v>
      </c>
      <c r="H47" s="25" t="str" cm="1">
        <f t="array" aca="1" ref="H47" ca="1">_xlfn.LET(_xlpm._tb,_xlfn.XLOOKUP($B47,tb_shopType[type],tb_shopType[shop_table_name]),
_xlpm._col,MATCH($C47&amp;"-"&amp;TEXT(D47,"00"),INDIRECT(_xlpm._tb&amp;"[#标题]"),0),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18;13101061=18;13101062=50;13101063=50;13101064=100;13101070=18;13101071=18;13101072=50;13101073=50;1311101=18;1311801=9;1311802=25;1320101=3;13201021=10;13201022=20;13201023=70;13201030=3;13201031=10;13201032=20;13201033=70;13201043=70;13201044=120;1320105=20;1320108=10;1320111=20;13201120=3;13201121=10;13201122=20;1320113=70;1320114=70;1320115=70;13301012=50;13301013=60;13301014=30;1330102=60;13301061=10;13301062=50;13301063=60;13301064=30;13601010=7;13601011=19;13601012=40;13601022=40;13601023=40;13601030=7;13601031=19</v>
      </c>
    </row>
    <row r="48" spans="1:8" x14ac:dyDescent="0.2">
      <c r="A48" s="5">
        <v>10417</v>
      </c>
      <c r="B48" s="12" t="str">
        <f>VLOOKUP(VALUE(LEFT(A48,2)),tb_shopType[[prefix]:[type]],2,0)</f>
        <v>设备</v>
      </c>
      <c r="C48" s="23" t="str">
        <f>VLOOKUP(VALUE(MID(A48,LEN(A48)-2,1)),table_world[[id]:[name]],2,0)</f>
        <v>树梢</v>
      </c>
      <c r="D48" s="23">
        <v>17</v>
      </c>
      <c r="E48" s="12" t="str">
        <f t="shared" si="1"/>
        <v>3~3</v>
      </c>
      <c r="F48" s="12" t="s">
        <v>250</v>
      </c>
      <c r="G48" s="12" t="s">
        <v>275</v>
      </c>
      <c r="H48" s="25" t="str" cm="1">
        <f t="array" aca="1" ref="H48" ca="1">_xlfn.LET(_xlpm._tb,_xlfn.XLOOKUP($B48,tb_shopType[type],tb_shopType[shop_table_name]),
_xlpm._col,MATCH($C48&amp;"-"&amp;TEXT(D48,"00"),INDIRECT(_xlpm._tb&amp;"[#标题]"),0),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50;13101063=50;13101064=100;13101071=18;13101072=50;13101073=50;1311101=18;1311801=9;1311802=25;1320101=3;13201021=10;13201022=20;13201023=70;13201030=3;13201031=10;13201032=20;13201033=70;13201043=70;13201044=120;1320105=20;1320108=10;1320111=20;13201120=3;13201121=10;13201122=20;1320113=70;1320114=70;1320115=70;13301012=25;13301013=60;13301014=60;1330102=60;13301061=10;13301062=25;13301063=60;13301064=60;13601011=7;13601012=19;13601022=19;13601023=40;13601031=7</v>
      </c>
    </row>
    <row r="49" spans="1:8" x14ac:dyDescent="0.2">
      <c r="A49" s="5">
        <v>10418</v>
      </c>
      <c r="B49" s="12" t="str">
        <f>VLOOKUP(VALUE(LEFT(A49,2)),tb_shopType[[prefix]:[type]],2,0)</f>
        <v>设备</v>
      </c>
      <c r="C49" s="23" t="str">
        <f>VLOOKUP(VALUE(MID(A49,LEN(A49)-2,1)),table_world[[id]:[name]],2,0)</f>
        <v>树梢</v>
      </c>
      <c r="D49" s="23">
        <v>18</v>
      </c>
      <c r="E49" s="12" t="str">
        <f t="shared" si="1"/>
        <v>2~3</v>
      </c>
      <c r="F49" s="12" t="s">
        <v>251</v>
      </c>
      <c r="G49" s="12" t="s">
        <v>275</v>
      </c>
      <c r="H49" s="25" t="str" cm="1">
        <f t="array" aca="1" ref="H49" ca="1">_xlfn.LET(_xlpm._tb,_xlfn.XLOOKUP($B49,tb_shopType[type],tb_shopType[shop_table_name]),
_xlpm._col,MATCH($C49&amp;"-"&amp;TEXT(D49,"00"),INDIRECT(_xlpm._tb&amp;"[#标题]"),0),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50;13101063=50;13101064=100;13101071=18;13101072=50;13101073=50;1311101=18;1311801=9;1311802=25;1320101=3;13201021=10;13201022=20;13201023=70;13201030=3;13201031=10;13201032=20;13201033=70;13201043=70;13201044=120;1320105=20;1320108=10;1320111=20;13201120=3;13201121=10;13201122=20;1320113=70;1320114=70;1320115=70;13301012=25;13301013=50;13301014=60;1330102=50;13301062=25;13301063=50;13301064=60;13601011=7;13601012=19;13601022=19;13601023=40;13601031=7</v>
      </c>
    </row>
    <row r="50" spans="1:8" x14ac:dyDescent="0.2">
      <c r="A50" s="5">
        <v>10419</v>
      </c>
      <c r="B50" s="12" t="str">
        <f>VLOOKUP(VALUE(LEFT(A50,2)),tb_shopType[[prefix]:[type]],2,0)</f>
        <v>设备</v>
      </c>
      <c r="C50" s="23" t="str">
        <f>VLOOKUP(VALUE(MID(A50,LEN(A50)-2,1)),table_world[[id]:[name]],2,0)</f>
        <v>树梢</v>
      </c>
      <c r="D50" s="23">
        <v>19</v>
      </c>
      <c r="E50" s="12" t="str">
        <f t="shared" si="1"/>
        <v>3~3</v>
      </c>
      <c r="F50" s="12" t="s">
        <v>252</v>
      </c>
      <c r="G50" s="12" t="s">
        <v>275</v>
      </c>
      <c r="H50" s="25" t="str" cm="1">
        <f t="array" aca="1" ref="H50" ca="1">_xlfn.LET(_xlpm._tb,_xlfn.XLOOKUP($B50,tb_shopType[type],tb_shopType[shop_table_name]),
_xlpm._col,MATCH($C50&amp;"-"&amp;TEXT(D50,"00"),INDIRECT(_xlpm._tb&amp;"[#标题]"),0),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18;13101063=50;13101064=50;13101071=18;13101072=18;13101073=50;1311101=18;1311801=9;1311802=25;1320101=3;13201021=10;13201022=20;13201023=70;13201030=3;13201031=10;13201032=20;13201033=70;13201043=70;13201044=120;1320105=20;1320108=10;1320111=20;13201120=3;13201121=10;13201122=20;1320113=70;1320114=70;1320115=70;13301012=10;13301013=50;13301014=60;1330102=50;13301062=10;13301063=50;13301064=60;13601011=7;13601012=19;13601022=19;13601023=40;13601031=7</v>
      </c>
    </row>
    <row r="51" spans="1:8" x14ac:dyDescent="0.2">
      <c r="A51" s="5">
        <v>10420</v>
      </c>
      <c r="B51" s="12" t="str">
        <f>VLOOKUP(VALUE(LEFT(A51,2)),tb_shopType[[prefix]:[type]],2,0)</f>
        <v>设备</v>
      </c>
      <c r="C51" s="23" t="str">
        <f>VLOOKUP(VALUE(MID(A51,LEN(A51)-2,1)),table_world[[id]:[name]],2,0)</f>
        <v>树梢</v>
      </c>
      <c r="D51" s="23">
        <v>20</v>
      </c>
      <c r="E51" s="12" t="str">
        <f t="shared" si="1"/>
        <v>2~3</v>
      </c>
      <c r="F51" s="12" t="s">
        <v>253</v>
      </c>
      <c r="G51" s="12" t="s">
        <v>275</v>
      </c>
      <c r="H51" s="25" t="str" cm="1">
        <f t="array" aca="1" ref="H51" ca="1">_xlfn.LET(_xlpm._tb,_xlfn.XLOOKUP($B51,tb_shopType[type],tb_shopType[shop_table_name]),
_xlpm._col,MATCH($C51&amp;"-"&amp;TEXT(D51,"00"),INDIRECT(_xlpm._tb&amp;"[#标题]"),0),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18;13101063=50;13101064=50;13101071=18;13101072=18;13101073=50;1311101=18;1311801=9;1311802=25;1320101=3;13201021=10;13201022=20;13201023=70;13201030=3;13201031=10;13201032=20;13201033=70;13201043=70;13201044=120;1320105=20;1320108=10;1320111=20;13201120=3;13201121=10;13201122=20;1320113=70;1320114=70;1320115=70;13301012=10;13301013=25;13301014=60;1330102=50;13301062=10;13301063=25;13301064=60;13601011=7;13601012=19;13601022=19;13601023=40;13601031=7</v>
      </c>
    </row>
    <row r="52" spans="1:8" x14ac:dyDescent="0.2">
      <c r="F52" s="5" t="s">
        <v>21</v>
      </c>
    </row>
    <row r="53" spans="1:8" x14ac:dyDescent="0.2">
      <c r="A53" s="5">
        <v>10701</v>
      </c>
      <c r="B53" s="12" t="str">
        <f>VLOOKUP(VALUE(LEFT(A53,2)),tb_shopType[[prefix]:[type]],2,0)</f>
        <v>设备</v>
      </c>
      <c r="C53" s="23" t="str">
        <f>VLOOKUP(VALUE(MID(A53,LEN(A53)-2,1)),table_world[[id]:[name]],2,0)</f>
        <v>荒漠</v>
      </c>
      <c r="D53" s="23">
        <v>1</v>
      </c>
      <c r="E53" s="12" t="str">
        <f>_xlfn.LET(_xlpm._i,RIGHT(A53,2),
--ISODD(_xlpm._i)+2&amp;"~"&amp;3)</f>
        <v>3~3</v>
      </c>
      <c r="F53" s="12" t="s">
        <v>234</v>
      </c>
      <c r="G53" s="12" t="s">
        <v>284</v>
      </c>
      <c r="H53" s="25" t="str" cm="1">
        <f t="array" aca="1" ref="H53" ca="1">_xlfn.LET(_xlpm._tb,_xlfn.XLOOKUP($B53,tb_shopType[type],tb_shopType[shop_table_name]),
_xlpm._col,MATCH($C53&amp;"-"&amp;TEXT(D53,"00"),INDIRECT(_xlpm._tb&amp;"[#标题]"),0),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1310102=100;13101050=100;13101051=10;13101061=10;13101070=100;13101071=10;1311101=100;1311801=50;1320101=100;13201021=25;13201030=100;13201031=25;1320108=25;13201120=100;13201121=25;13301060=12;13601010=40;13601011=8;13601030=40;13601031=8</v>
      </c>
    </row>
    <row r="54" spans="1:8" x14ac:dyDescent="0.2">
      <c r="A54" s="5">
        <v>10702</v>
      </c>
      <c r="B54" s="12" t="str">
        <f>VLOOKUP(VALUE(LEFT(A54,2)),tb_shopType[[prefix]:[type]],2,0)</f>
        <v>设备</v>
      </c>
      <c r="C54" s="23" t="str">
        <f>VLOOKUP(VALUE(MID(A54,LEN(A54)-2,1)),table_world[[id]:[name]],2,0)</f>
        <v>荒漠</v>
      </c>
      <c r="D54" s="23">
        <v>2</v>
      </c>
      <c r="E54" s="12" t="str">
        <f t="shared" ref="E54:E72" si="2">_xlfn.LET(_xlpm._i,RIGHT(A54,2),
--ISODD(_xlpm._i)+2&amp;"~"&amp;3)</f>
        <v>2~3</v>
      </c>
      <c r="F54" s="12" t="s">
        <v>235</v>
      </c>
      <c r="G54" s="12" t="s">
        <v>275</v>
      </c>
      <c r="H54" s="25" t="str" cm="1">
        <f t="array" aca="1" ref="H54" ca="1">_xlfn.LET(_xlpm._tb,_xlfn.XLOOKUP($B54,tb_shopType[type],tb_shopType[shop_table_name]),
_xlpm._col,MATCH($C54&amp;"-"&amp;TEXT(D54,"00"),INDIRECT(_xlpm._tb&amp;"[#标题]"),0),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1310102=100;13101050=100;13101051=10;13101061=10;13101070=100;13101071=10;1311101=100;1311801=50;1320101=100;13201021=25;13201030=100;13201031=25;1320108=25;13201120=100;13201121=25;13301060=30;13301061=12;13601010=40;13601011=8;13601030=40;13601031=8</v>
      </c>
    </row>
    <row r="55" spans="1:8" x14ac:dyDescent="0.2">
      <c r="A55" s="5">
        <v>10703</v>
      </c>
      <c r="B55" s="12" t="str">
        <f>VLOOKUP(VALUE(LEFT(A55,2)),tb_shopType[[prefix]:[type]],2,0)</f>
        <v>设备</v>
      </c>
      <c r="C55" s="23" t="str">
        <f>VLOOKUP(VALUE(MID(A55,LEN(A55)-2,1)),table_world[[id]:[name]],2,0)</f>
        <v>荒漠</v>
      </c>
      <c r="D55" s="23">
        <v>3</v>
      </c>
      <c r="E55" s="12" t="str">
        <f t="shared" si="2"/>
        <v>3~3</v>
      </c>
      <c r="F55" s="12" t="s">
        <v>236</v>
      </c>
      <c r="G55" s="12" t="s">
        <v>275</v>
      </c>
      <c r="H55" s="25" t="str" cm="1">
        <f t="array" aca="1" ref="H55" ca="1">_xlfn.LET(_xlpm._tb,_xlfn.XLOOKUP($B55,tb_shopType[type],tb_shopType[shop_table_name]),
_xlpm._col,MATCH($C55&amp;"-"&amp;TEXT(D55,"00"),INDIRECT(_xlpm._tb&amp;"[#标题]"),0),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13101050=100;13101051=10;13101061=10;13101070=100;13101071=10;1311101=100;1311801=50;1320101=50;13201021=100;13201022=25;13201030=50;13201031=100;13201032=25;1320105=25;1320108=100;1320111=25;13201120=50;13201121=100;13201122=25;13301060=30;13301061=12;13601010=40;13601011=8;13601030=40;13601031=8</v>
      </c>
    </row>
    <row r="56" spans="1:8" x14ac:dyDescent="0.2">
      <c r="A56" s="5">
        <v>10704</v>
      </c>
      <c r="B56" s="12" t="str">
        <f>VLOOKUP(VALUE(LEFT(A56,2)),tb_shopType[[prefix]:[type]],2,0)</f>
        <v>设备</v>
      </c>
      <c r="C56" s="23" t="str">
        <f>VLOOKUP(VALUE(MID(A56,LEN(A56)-2,1)),table_world[[id]:[name]],2,0)</f>
        <v>荒漠</v>
      </c>
      <c r="D56" s="23">
        <v>4</v>
      </c>
      <c r="E56" s="12" t="str">
        <f t="shared" si="2"/>
        <v>2~3</v>
      </c>
      <c r="F56" s="12" t="s">
        <v>237</v>
      </c>
      <c r="G56" s="12" t="s">
        <v>275</v>
      </c>
      <c r="H56" s="25" t="str" cm="1">
        <f t="array" aca="1" ref="H56" ca="1">_xlfn.LET(_xlpm._tb,_xlfn.XLOOKUP($B56,tb_shopType[type],tb_shopType[shop_table_name]),
_xlpm._col,MATCH($C56&amp;"-"&amp;TEXT(D56,"00"),INDIRECT(_xlpm._tb&amp;"[#标题]"),0),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100;13101051=10;13101061=50;13101062=10;13101070=100;13101071=50;13101072=10;1311101=100;1311801=50;1311802=10;1320101=50;13201021=100;13201022=25;13201030=50;13201031=100;13201032=25;1320105=25;1320108=100;1320111=25;13201120=50;13201121=100;13201122=25;13301060=30;13301061=12;13601010=40;13601011=8;13601030=40;13601031=8</v>
      </c>
    </row>
    <row r="57" spans="1:8" x14ac:dyDescent="0.2">
      <c r="A57" s="5">
        <v>10705</v>
      </c>
      <c r="B57" s="12" t="str">
        <f>VLOOKUP(VALUE(LEFT(A57,2)),tb_shopType[[prefix]:[type]],2,0)</f>
        <v>设备</v>
      </c>
      <c r="C57" s="23" t="str">
        <f>VLOOKUP(VALUE(MID(A57,LEN(A57)-2,1)),table_world[[id]:[name]],2,0)</f>
        <v>荒漠</v>
      </c>
      <c r="D57" s="23">
        <v>5</v>
      </c>
      <c r="E57" s="12" t="str">
        <f t="shared" si="2"/>
        <v>3~3</v>
      </c>
      <c r="F57" s="12" t="s">
        <v>238</v>
      </c>
      <c r="G57" s="12" t="s">
        <v>275</v>
      </c>
      <c r="H57" s="25" t="str" cm="1">
        <f t="array" aca="1" ref="H57" ca="1">_xlfn.LET(_xlpm._tb,_xlfn.XLOOKUP($B57,tb_shopType[type],tb_shopType[shop_table_name]),
_xlpm._col,MATCH($C57&amp;"-"&amp;TEXT(D57,"00"),INDIRECT(_xlpm._tb&amp;"[#标题]"),0),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100;13101051=100;13101061=100;13101062=10;13101070=100;13101071=100;13101072=10;1311101=100;1311801=50;1311802=10;1320101=50;13201021=100;13201022=25;13201030=50;13201031=100;13201032=25;1320105=25;1320108=100;1320111=25;13201120=50;13201121=100;13201122=25;13301012=12;13301060=60;13301061=30;13301062=12;13601010=40;13601011=40;13601012=8;13601022=8;13601030=40;13601031=40</v>
      </c>
    </row>
    <row r="58" spans="1:8" x14ac:dyDescent="0.2">
      <c r="A58" s="5">
        <v>10706</v>
      </c>
      <c r="B58" s="12" t="str">
        <f>VLOOKUP(VALUE(LEFT(A58,2)),tb_shopType[[prefix]:[type]],2,0)</f>
        <v>设备</v>
      </c>
      <c r="C58" s="23" t="str">
        <f>VLOOKUP(VALUE(MID(A58,LEN(A58)-2,1)),table_world[[id]:[name]],2,0)</f>
        <v>荒漠</v>
      </c>
      <c r="D58" s="23">
        <v>6</v>
      </c>
      <c r="E58" s="12" t="str">
        <f t="shared" si="2"/>
        <v>2~3</v>
      </c>
      <c r="F58" s="12" t="s">
        <v>239</v>
      </c>
      <c r="G58" s="12" t="s">
        <v>275</v>
      </c>
      <c r="H58" s="25" t="str" cm="1">
        <f t="array" aca="1" ref="H58" ca="1">_xlfn.LET(_xlpm._tb,_xlfn.XLOOKUP($B58,tb_shopType[type],tb_shopType[shop_table_name]),
_xlpm._col,MATCH($C58&amp;"-"&amp;TEXT(D58,"00"),INDIRECT(_xlpm._tb&amp;"[#标题]"),0),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50;13101051=100;13101061=100;13101062=10;13101070=50;13101071=100;13101072=10;1311101=100;1311801=50;1311802=10;1320101=10;13201021=50;13201022=100;13201023=25;13201030=10;13201031=50;13201032=100;13201033=25;13201043=25;1320105=100;1320108=50;1320111=100;13201120=10;13201121=50;13201122=100;1320113=25;1320114=25;1320115=25;13301012=12;13301060=60;13301061=30;13301062=12;13601010=40;13601011=40;13601012=8;13601022=8;13601030=40;13601031=40</v>
      </c>
    </row>
    <row r="59" spans="1:8" x14ac:dyDescent="0.2">
      <c r="A59" s="5">
        <v>10707</v>
      </c>
      <c r="B59" s="12" t="str">
        <f>VLOOKUP(VALUE(LEFT(A59,2)),tb_shopType[[prefix]:[type]],2,0)</f>
        <v>设备</v>
      </c>
      <c r="C59" s="23" t="str">
        <f>VLOOKUP(VALUE(MID(A59,LEN(A59)-2,1)),table_world[[id]:[name]],2,0)</f>
        <v>荒漠</v>
      </c>
      <c r="D59" s="23">
        <v>7</v>
      </c>
      <c r="E59" s="12" t="str">
        <f t="shared" si="2"/>
        <v>3~3</v>
      </c>
      <c r="F59" s="12" t="s">
        <v>240</v>
      </c>
      <c r="G59" s="12" t="s">
        <v>275</v>
      </c>
      <c r="H59" s="25" t="str" cm="1">
        <f t="array" aca="1" ref="H59" ca="1">_xlfn.LET(_xlpm._tb,_xlfn.XLOOKUP($B59,tb_shopType[type],tb_shopType[shop_table_name]),
_xlpm._col,MATCH($C59&amp;"-"&amp;TEXT(D59,"00"),INDIRECT(_xlpm._tb&amp;"[#标题]"),0),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100;1310104=20;13101050=50;13101051=100;13101061=100;13101062=50;13101063=10;13101070=50;13101071=100;13101072=50;13101073=10;1311101=100;1311801=50;1311802=10;1320101=10;13201021=50;13201022=100;13201023=25;13201030=10;13201031=50;13201032=100;13201033=25;13201043=25;1320105=100;1320108=50;1320111=100;13201120=10;13201121=50;13201122=100;1320113=25;1320114=25;1320115=25;13301012=12;13301060=60;13301061=30;13301062=12;13601010=40;13601011=40;13601012=8;13601022=8;13601030=40;13601031=40</v>
      </c>
    </row>
    <row r="60" spans="1:8" x14ac:dyDescent="0.2">
      <c r="A60" s="5">
        <v>10708</v>
      </c>
      <c r="B60" s="12" t="str">
        <f>VLOOKUP(VALUE(LEFT(A60,2)),tb_shopType[[prefix]:[type]],2,0)</f>
        <v>设备</v>
      </c>
      <c r="C60" s="23" t="str">
        <f>VLOOKUP(VALUE(MID(A60,LEN(A60)-2,1)),table_world[[id]:[name]],2,0)</f>
        <v>荒漠</v>
      </c>
      <c r="D60" s="23">
        <v>8</v>
      </c>
      <c r="E60" s="12" t="str">
        <f t="shared" si="2"/>
        <v>2~3</v>
      </c>
      <c r="F60" s="12" t="s">
        <v>241</v>
      </c>
      <c r="G60" s="12" t="s">
        <v>275</v>
      </c>
      <c r="H60" s="25" t="str" cm="1">
        <f t="array" aca="1" ref="H60" ca="1">_xlfn.LET(_xlpm._tb,_xlfn.XLOOKUP($B60,tb_shopType[type],tb_shopType[shop_table_name]),
_xlpm._col,MATCH($C60&amp;"-"&amp;TEXT(D60,"00"),INDIRECT(_xlpm._tb&amp;"[#标题]"),0),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100;13101061=100;13101062=100;13101063=10;13101070=50;13101071=100;13101072=100;13101073=10;1311101=50;1311801=25;1311802=50;1320101=10;13201021=50;13201022=100;13201023=25;13201030=10;13201031=50;13201032=100;13201033=25;13201043=25;1320105=100;1320108=50;1320111=100;13201120=10;13201121=50;13201122=100;1320113=25;1320114=25;1320115=25;13301012=30;13301013=12;13301060=60;13301061=60;13301062=30;13301063=12;13601010=40;13601011=40;13601012=8;13601022=8;13601030=40;13601031=40</v>
      </c>
    </row>
    <row r="61" spans="1:8" x14ac:dyDescent="0.2">
      <c r="A61" s="5">
        <v>10709</v>
      </c>
      <c r="B61" s="12" t="str">
        <f>VLOOKUP(VALUE(LEFT(A61,2)),tb_shopType[[prefix]:[type]],2,0)</f>
        <v>设备</v>
      </c>
      <c r="C61" s="23" t="str">
        <f>VLOOKUP(VALUE(MID(A61,LEN(A61)-2,1)),table_world[[id]:[name]],2,0)</f>
        <v>荒漠</v>
      </c>
      <c r="D61" s="23">
        <v>9</v>
      </c>
      <c r="E61" s="12" t="str">
        <f t="shared" si="2"/>
        <v>3~3</v>
      </c>
      <c r="F61" s="12" t="s">
        <v>242</v>
      </c>
      <c r="G61" s="12" t="s">
        <v>275</v>
      </c>
      <c r="H61" s="25" t="str" cm="1">
        <f t="array" aca="1" ref="H61" ca="1">_xlfn.LET(_xlpm._tb,_xlfn.XLOOKUP($B61,tb_shopType[type],tb_shopType[shop_table_name]),
_xlpm._col,MATCH($C61&amp;"-"&amp;TEXT(D61,"00"),INDIRECT(_xlpm._tb&amp;"[#标题]"),0),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100;13101061=100;13101062=100;13101063=10;13101070=50;13101071=100;13101072=100;13101073=10;1311101=50;1311801=25;1311802=50;1320101=10;13201021=50;13201022=100;13201023=25;13201030=10;13201031=50;13201032=100;13201033=25;13201043=25;1320105=100;1320108=50;1320111=100;13201120=10;13201121=50;13201122=100;1320113=25;1320114=25;1320115=25;13301012=30;13301013=12;1330102=12;13301060=50;13301061=60;13301062=30;13301063=12;13601010=19;13601011=40;13601012=40;13601022=40;13601023=8;13601030=19;13601031=40</v>
      </c>
    </row>
    <row r="62" spans="1:8" x14ac:dyDescent="0.2">
      <c r="A62" s="5">
        <v>10710</v>
      </c>
      <c r="B62" s="12" t="str">
        <f>VLOOKUP(VALUE(LEFT(A62,2)),tb_shopType[[prefix]:[type]],2,0)</f>
        <v>设备</v>
      </c>
      <c r="C62" s="23" t="str">
        <f>VLOOKUP(VALUE(MID(A62,LEN(A62)-2,1)),table_world[[id]:[name]],2,0)</f>
        <v>荒漠</v>
      </c>
      <c r="D62" s="23">
        <v>10</v>
      </c>
      <c r="E62" s="12" t="str">
        <f t="shared" si="2"/>
        <v>2~3</v>
      </c>
      <c r="F62" s="12" t="s">
        <v>243</v>
      </c>
      <c r="G62" s="12" t="s">
        <v>275</v>
      </c>
      <c r="H62" s="25" t="str" cm="1">
        <f t="array" aca="1" ref="H62" ca="1">_xlfn.LET(_xlpm._tb,_xlfn.XLOOKUP($B62,tb_shopType[type],tb_shopType[shop_table_name]),
_xlpm._col,MATCH($C62&amp;"-"&amp;TEXT(D62,"00"),INDIRECT(_xlpm._tb&amp;"[#标题]"),0),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50;13101061=50;13101062=100;13101063=50;13101064=10;13101070=50;13101071=50;13101072=100;13101073=50;1311101=50;1311801=25;1311802=50;1320101=10;13201021=50;13201022=100;13201023=25;13201030=10;13201031=50;13201032=100;13201033=25;13201043=25;1320105=100;1320108=50;1320111=100;13201120=10;13201121=50;13201122=100;1320113=25;1320114=25;1320115=25;13301012=30;13301013=12;1330102=12;13301060=50;13301061=60;13301062=30;13301063=12;13601010=19;13601011=40;13601012=40;13601022=40;13601023=8;13601030=19;13601031=40</v>
      </c>
    </row>
    <row r="63" spans="1:8" x14ac:dyDescent="0.2">
      <c r="A63" s="5">
        <v>10711</v>
      </c>
      <c r="B63" s="12" t="str">
        <f>VLOOKUP(VALUE(LEFT(A63,2)),tb_shopType[[prefix]:[type]],2,0)</f>
        <v>设备</v>
      </c>
      <c r="C63" s="23" t="str">
        <f>VLOOKUP(VALUE(MID(A63,LEN(A63)-2,1)),table_world[[id]:[name]],2,0)</f>
        <v>荒漠</v>
      </c>
      <c r="D63" s="23">
        <v>11</v>
      </c>
      <c r="E63" s="12" t="str">
        <f t="shared" si="2"/>
        <v>3~3</v>
      </c>
      <c r="F63" s="12" t="s">
        <v>244</v>
      </c>
      <c r="G63" s="12" t="s">
        <v>275</v>
      </c>
      <c r="H63" s="25" t="str" cm="1">
        <f t="array" aca="1" ref="H63" ca="1">_xlfn.LET(_xlpm._tb,_xlfn.XLOOKUP($B63,tb_shopType[type],tb_shopType[shop_table_name]),
_xlpm._col,MATCH($C63&amp;"-"&amp;TEXT(D63,"00"),INDIRECT(_xlpm._tb&amp;"[#标题]"),0),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50;1310103=20;1310104=100;13101050=50;13101051=50;13101061=50;13101062=100;13101063=100;13101064=10;13101070=50;13101071=50;13101072=100;13101073=100;1311101=50;1311801=25;1311802=50;1320101=5;13201021=20;13201022=50;13201023=100;13201030=5;13201031=20;13201032=50;13201033=100;13201043=100;13201044=25;1320105=50;1320108=20;1320111=50;13201120=5;13201121=20;13201122=50;1320113=100;1320114=100;1320115=100;13301012=60;13301013=30;13301014=12;1330102=30;13301060=25;13301061=60;13301062=60;13301063=30;13301064=12;13601010=19;13601011=40;13601012=40;13601022=40;13601023=8;13601030=19;13601031=40</v>
      </c>
    </row>
    <row r="64" spans="1:8" x14ac:dyDescent="0.2">
      <c r="A64" s="5">
        <v>10712</v>
      </c>
      <c r="B64" s="12" t="str">
        <f>VLOOKUP(VALUE(LEFT(A64,2)),tb_shopType[[prefix]:[type]],2,0)</f>
        <v>设备</v>
      </c>
      <c r="C64" s="23" t="str">
        <f>VLOOKUP(VALUE(MID(A64,LEN(A64)-2,1)),table_world[[id]:[name]],2,0)</f>
        <v>荒漠</v>
      </c>
      <c r="D64" s="23">
        <v>12</v>
      </c>
      <c r="E64" s="12" t="str">
        <f t="shared" si="2"/>
        <v>2~3</v>
      </c>
      <c r="F64" s="12" t="s">
        <v>245</v>
      </c>
      <c r="G64" s="12" t="s">
        <v>275</v>
      </c>
      <c r="H64" s="25" t="str" cm="1">
        <f t="array" aca="1" ref="H64" ca="1">_xlfn.LET(_xlpm._tb,_xlfn.XLOOKUP($B64,tb_shopType[type],tb_shopType[shop_table_name]),
_xlpm._col,MATCH($C64&amp;"-"&amp;TEXT(D64,"00"),INDIRECT(_xlpm._tb&amp;"[#标题]"),0),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100;13101063=100;13101064=10;13101070=18;13101071=50;13101072=100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60;13301013=30;13301014=12;1330102=30;13301060=25;13301061=50;13301062=60;13301063=30;13301064=12;13601010=19;13601011=40;13601012=40;13601022=40;13601023=8;13601030=19;13601031=40</v>
      </c>
    </row>
    <row r="65" spans="1:8" x14ac:dyDescent="0.2">
      <c r="A65" s="5">
        <v>10713</v>
      </c>
      <c r="B65" s="12" t="str">
        <f>VLOOKUP(VALUE(LEFT(A65,2)),tb_shopType[[prefix]:[type]],2,0)</f>
        <v>设备</v>
      </c>
      <c r="C65" s="23" t="str">
        <f>VLOOKUP(VALUE(MID(A65,LEN(A65)-2,1)),table_world[[id]:[name]],2,0)</f>
        <v>荒漠</v>
      </c>
      <c r="D65" s="23">
        <v>13</v>
      </c>
      <c r="E65" s="12" t="str">
        <f t="shared" si="2"/>
        <v>3~3</v>
      </c>
      <c r="F65" s="12" t="s">
        <v>246</v>
      </c>
      <c r="G65" s="12" t="s">
        <v>275</v>
      </c>
      <c r="H65" s="25" t="str" cm="1">
        <f t="array" aca="1" ref="H65" ca="1">_xlfn.LET(_xlpm._tb,_xlfn.XLOOKUP($B65,tb_shopType[type],tb_shopType[shop_table_name]),
_xlpm._col,MATCH($C65&amp;"-"&amp;TEXT(D65,"00"),INDIRECT(_xlpm._tb&amp;"[#标题]"),0),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50;13101063=100;13101064=50;13101070=18;13101071=50;13101072=50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60;13301013=30;13301014=12;1330102=30;13301060=10;13301061=50;13301062=60;13301063=30;13301064=12;13601010=7;13601011=19;13601012=40;13601022=40;13601023=40;13601030=7;13601031=19</v>
      </c>
    </row>
    <row r="66" spans="1:8" x14ac:dyDescent="0.2">
      <c r="A66" s="5">
        <v>10714</v>
      </c>
      <c r="B66" s="12" t="str">
        <f>VLOOKUP(VALUE(LEFT(A66,2)),tb_shopType[[prefix]:[type]],2,0)</f>
        <v>设备</v>
      </c>
      <c r="C66" s="23" t="str">
        <f>VLOOKUP(VALUE(MID(A66,LEN(A66)-2,1)),table_world[[id]:[name]],2,0)</f>
        <v>荒漠</v>
      </c>
      <c r="D66" s="23">
        <v>14</v>
      </c>
      <c r="E66" s="12" t="str">
        <f t="shared" si="2"/>
        <v>2~3</v>
      </c>
      <c r="F66" s="12" t="s">
        <v>247</v>
      </c>
      <c r="G66" s="12" t="s">
        <v>275</v>
      </c>
      <c r="H66" s="25" t="str" cm="1">
        <f t="array" aca="1" ref="H66" ca="1">_xlfn.LET(_xlpm._tb,_xlfn.XLOOKUP($B66,tb_shopType[type],tb_shopType[shop_table_name]),
_xlpm._col,MATCH($C66&amp;"-"&amp;TEXT(D66,"00"),INDIRECT(_xlpm._tb&amp;"[#标题]"),0),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50;13101063=100;13101064=100;13101070=18;13101071=50;13101072=50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60;13301013=60;13301014=30;1330102=60;13301060=10;13301061=25;13301062=60;13301063=60;13301064=30;13601010=7;13601011=19;13601012=40;13601022=40;13601023=40;13601030=7;13601031=19</v>
      </c>
    </row>
    <row r="67" spans="1:8" x14ac:dyDescent="0.2">
      <c r="A67" s="5">
        <v>10715</v>
      </c>
      <c r="B67" s="12" t="str">
        <f>VLOOKUP(VALUE(LEFT(A67,2)),tb_shopType[[prefix]:[type]],2,0)</f>
        <v>设备</v>
      </c>
      <c r="C67" s="23" t="str">
        <f>VLOOKUP(VALUE(MID(A67,LEN(A67)-2,1)),table_world[[id]:[name]],2,0)</f>
        <v>荒漠</v>
      </c>
      <c r="D67" s="23">
        <v>15</v>
      </c>
      <c r="E67" s="12" t="str">
        <f t="shared" si="2"/>
        <v>3~3</v>
      </c>
      <c r="F67" s="12" t="s">
        <v>248</v>
      </c>
      <c r="G67" s="12" t="s">
        <v>275</v>
      </c>
      <c r="H67" s="25" t="str" cm="1">
        <f t="array" aca="1" ref="H67" ca="1">_xlfn.LET(_xlpm._tb,_xlfn.XLOOKUP($B67,tb_shopType[type],tb_shopType[shop_table_name]),
_xlpm._col,MATCH($C67&amp;"-"&amp;TEXT(D67,"00"),INDIRECT(_xlpm._tb&amp;"[#标题]"),0),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50;13101061=50;13101062=50;13101063=100;13101064=100;13101070=18;13101071=50;13101072=50;13101073=100;1311101=18;1311801=9;1311802=25;1320101=5;13201021=20;13201022=50;13201023=100;13201030=5;13201031=20;13201032=50;13201033=100;13201043=100;13201044=25;1320105=50;1320108=20;1320111=50;13201120=5;13201121=20;13201122=50;1320113=100;1320114=100;1320115=100;13301012=50;13301013=60;13301014=30;1330102=60;13301061=25;13301062=50;13301063=60;13301064=30;13601010=7;13601011=19;13601012=40;13601022=40;13601023=40;13601030=7;13601031=19</v>
      </c>
    </row>
    <row r="68" spans="1:8" x14ac:dyDescent="0.2">
      <c r="A68" s="5">
        <v>10716</v>
      </c>
      <c r="B68" s="12" t="str">
        <f>VLOOKUP(VALUE(LEFT(A68,2)),tb_shopType[[prefix]:[type]],2,0)</f>
        <v>设备</v>
      </c>
      <c r="C68" s="23" t="str">
        <f>VLOOKUP(VALUE(MID(A68,LEN(A68)-2,1)),table_world[[id]:[name]],2,0)</f>
        <v>荒漠</v>
      </c>
      <c r="D68" s="23">
        <v>16</v>
      </c>
      <c r="E68" s="12" t="str">
        <f t="shared" si="2"/>
        <v>2~3</v>
      </c>
      <c r="F68" s="12" t="s">
        <v>249</v>
      </c>
      <c r="G68" s="12" t="s">
        <v>275</v>
      </c>
      <c r="H68" s="25" t="str" cm="1">
        <f t="array" aca="1" ref="H68" ca="1">_xlfn.LET(_xlpm._tb,_xlfn.XLOOKUP($B68,tb_shopType[type],tb_shopType[shop_table_name]),
_xlpm._col,MATCH($C68&amp;"-"&amp;TEXT(D68,"00"),INDIRECT(_xlpm._tb&amp;"[#标题]"),0),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13101050=18;13101051=18;13101061=18;13101062=50;13101063=50;13101064=100;13101070=18;13101071=18;13101072=50;13101073=50;1311101=18;1311801=9;1311802=25;1320101=3;13201021=10;13201022=20;13201023=70;13201030=3;13201031=10;13201032=20;13201033=70;13201043=70;13201044=120;1320105=20;1320108=10;1320111=20;13201120=3;13201121=10;13201122=20;1320113=70;1320114=70;1320115=70;13301012=50;13301013=60;13301014=30;1330102=60;13301061=10;13301062=50;13301063=60;13301064=30;13601010=7;13601011=19;13601012=40;13601022=40;13601023=40;13601030=7;13601031=19</v>
      </c>
    </row>
    <row r="69" spans="1:8" x14ac:dyDescent="0.2">
      <c r="A69" s="5">
        <v>10717</v>
      </c>
      <c r="B69" s="12" t="str">
        <f>VLOOKUP(VALUE(LEFT(A69,2)),tb_shopType[[prefix]:[type]],2,0)</f>
        <v>设备</v>
      </c>
      <c r="C69" s="23" t="str">
        <f>VLOOKUP(VALUE(MID(A69,LEN(A69)-2,1)),table_world[[id]:[name]],2,0)</f>
        <v>荒漠</v>
      </c>
      <c r="D69" s="23">
        <v>17</v>
      </c>
      <c r="E69" s="12" t="str">
        <f t="shared" si="2"/>
        <v>3~3</v>
      </c>
      <c r="F69" s="12" t="s">
        <v>250</v>
      </c>
      <c r="G69" s="12" t="s">
        <v>275</v>
      </c>
      <c r="H69" s="25" t="str" cm="1">
        <f t="array" aca="1" ref="H69" ca="1">_xlfn.LET(_xlpm._tb,_xlfn.XLOOKUP($B69,tb_shopType[type],tb_shopType[shop_table_name]),
_xlpm._col,MATCH($C69&amp;"-"&amp;TEXT(D69,"00"),INDIRECT(_xlpm._tb&amp;"[#标题]"),0),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50;13101063=50;13101064=100;13101071=18;13101072=50;13101073=50;1311101=18;1311801=9;1311802=25;1320101=3;13201021=10;13201022=20;13201023=70;13201030=3;13201031=10;13201032=20;13201033=70;13201043=70;13201044=120;1320105=20;1320108=10;1320111=20;13201120=3;13201121=10;13201122=20;1320113=70;1320114=70;1320115=70;13301012=25;13301013=60;13301014=60;1330102=60;13301061=10;13301062=25;13301063=60;13301064=60;13601011=7;13601012=19;13601022=19;13601023=40;13601031=7</v>
      </c>
    </row>
    <row r="70" spans="1:8" x14ac:dyDescent="0.2">
      <c r="A70" s="5">
        <v>10718</v>
      </c>
      <c r="B70" s="12" t="str">
        <f>VLOOKUP(VALUE(LEFT(A70,2)),tb_shopType[[prefix]:[type]],2,0)</f>
        <v>设备</v>
      </c>
      <c r="C70" s="23" t="str">
        <f>VLOOKUP(VALUE(MID(A70,LEN(A70)-2,1)),table_world[[id]:[name]],2,0)</f>
        <v>荒漠</v>
      </c>
      <c r="D70" s="23">
        <v>18</v>
      </c>
      <c r="E70" s="12" t="str">
        <f t="shared" si="2"/>
        <v>2~3</v>
      </c>
      <c r="F70" s="12" t="s">
        <v>251</v>
      </c>
      <c r="G70" s="12" t="s">
        <v>275</v>
      </c>
      <c r="H70" s="25" t="str" cm="1">
        <f t="array" aca="1" ref="H70" ca="1">_xlfn.LET(_xlpm._tb,_xlfn.XLOOKUP($B70,tb_shopType[type],tb_shopType[shop_table_name]),
_xlpm._col,MATCH($C70&amp;"-"&amp;TEXT(D70,"00"),INDIRECT(_xlpm._tb&amp;"[#标题]"),0),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50;13101063=50;13101064=100;13101071=18;13101072=50;13101073=50;1311101=18;1311801=9;1311802=25;1320101=3;13201021=10;13201022=20;13201023=70;13201030=3;13201031=10;13201032=20;13201033=70;13201043=70;13201044=120;1320105=20;1320108=10;1320111=20;13201120=3;13201121=10;13201122=20;1320113=70;1320114=70;1320115=70;13301012=25;13301013=50;13301014=60;1330102=50;13301062=25;13301063=50;13301064=60;13601011=7;13601012=19;13601022=19;13601023=40;13601031=7</v>
      </c>
    </row>
    <row r="71" spans="1:8" x14ac:dyDescent="0.2">
      <c r="A71" s="5">
        <v>10719</v>
      </c>
      <c r="B71" s="12" t="str">
        <f>VLOOKUP(VALUE(LEFT(A71,2)),tb_shopType[[prefix]:[type]],2,0)</f>
        <v>设备</v>
      </c>
      <c r="C71" s="23" t="str">
        <f>VLOOKUP(VALUE(MID(A71,LEN(A71)-2,1)),table_world[[id]:[name]],2,0)</f>
        <v>荒漠</v>
      </c>
      <c r="D71" s="23">
        <v>19</v>
      </c>
      <c r="E71" s="12" t="str">
        <f t="shared" si="2"/>
        <v>3~3</v>
      </c>
      <c r="F71" s="12" t="s">
        <v>252</v>
      </c>
      <c r="G71" s="12" t="s">
        <v>275</v>
      </c>
      <c r="H71" s="25" t="str" cm="1">
        <f t="array" aca="1" ref="H71" ca="1">_xlfn.LET(_xlpm._tb,_xlfn.XLOOKUP($B71,tb_shopType[type],tb_shopType[shop_table_name]),
_xlpm._col,MATCH($C71&amp;"-"&amp;TEXT(D71,"00"),INDIRECT(_xlpm._tb&amp;"[#标题]"),0),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18;13101063=50;13101064=50;13101071=18;13101072=18;13101073=50;1311101=18;1311801=9;1311802=25;1320101=3;13201021=10;13201022=20;13201023=70;13201030=3;13201031=10;13201032=20;13201033=70;13201043=70;13201044=120;1320105=20;1320108=10;1320111=20;13201120=3;13201121=10;13201122=20;1320113=70;1320114=70;1320115=70;13301012=10;13301013=50;13301014=60;1330102=50;13301062=10;13301063=50;13301064=60;13601011=7;13601012=19;13601022=19;13601023=40;13601031=7</v>
      </c>
    </row>
    <row r="72" spans="1:8" x14ac:dyDescent="0.2">
      <c r="A72" s="5">
        <v>10720</v>
      </c>
      <c r="B72" s="12" t="str">
        <f>VLOOKUP(VALUE(LEFT(A72,2)),tb_shopType[[prefix]:[type]],2,0)</f>
        <v>设备</v>
      </c>
      <c r="C72" s="23" t="str">
        <f>VLOOKUP(VALUE(MID(A72,LEN(A72)-2,1)),table_world[[id]:[name]],2,0)</f>
        <v>荒漠</v>
      </c>
      <c r="D72" s="23">
        <v>20</v>
      </c>
      <c r="E72" s="12" t="str">
        <f t="shared" si="2"/>
        <v>2~3</v>
      </c>
      <c r="F72" s="12" t="s">
        <v>253</v>
      </c>
      <c r="G72" s="12" t="s">
        <v>275</v>
      </c>
      <c r="H72" s="25" t="str" cm="1">
        <f t="array" aca="1" ref="H72" ca="1">_xlfn.LET(_xlpm._tb,_xlfn.XLOOKUP($B72,tb_shopType[type],tb_shopType[shop_table_name]),
_xlpm._col,MATCH($C72&amp;"-"&amp;TEXT(D72,"00"),INDIRECT(_xlpm._tb&amp;"[#标题]"),0),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1310102=18;1310103=100;1310104=50;13101051=18;13101061=18;13101062=18;13101063=50;13101064=50;13101071=18;13101072=18;13101073=50;1311101=18;1311801=9;1311802=25;1320101=3;13201021=10;13201022=20;13201023=70;13201030=3;13201031=10;13201032=20;13201033=70;13201043=70;13201044=120;1320105=20;1320108=10;1320111=20;13201120=3;13201121=10;13201122=20;1320113=70;1320114=70;1320115=70;13301012=10;13301013=25;13301014=60;1330102=50;13301062=10;13301063=25;13301064=60;13601011=7;13601012=19;13601022=19;13601023=40;13601031=7</v>
      </c>
    </row>
    <row r="73" spans="1:8" x14ac:dyDescent="0.2">
      <c r="F73" s="5" t="s">
        <v>21</v>
      </c>
    </row>
    <row r="74" spans="1:8" x14ac:dyDescent="0.2">
      <c r="A74" s="5">
        <v>10801</v>
      </c>
      <c r="B74" s="12" t="str">
        <f>VLOOKUP(VALUE(LEFT(A74,2)),tb_shopType[[prefix]:[type]],2,0)</f>
        <v>设备</v>
      </c>
      <c r="C74" s="23" t="str">
        <f>VLOOKUP(VALUE(MID(A74,LEN(A74)-2,1)),table_world[[id]:[name]],2,0)</f>
        <v>大湖</v>
      </c>
      <c r="D74" s="23">
        <v>1</v>
      </c>
      <c r="E74" s="12" t="str">
        <f>_xlfn.LET(_xlpm._i,RIGHT(A74,2),
--ISODD(_xlpm._i)+2&amp;"~"&amp;3)</f>
        <v>3~3</v>
      </c>
      <c r="F74" s="12" t="s">
        <v>234</v>
      </c>
      <c r="G74" s="12" t="s">
        <v>284</v>
      </c>
      <c r="H74" s="25" t="str" cm="1">
        <f t="array" aca="1" ref="H74" ca="1">_xlfn.LET(_xlpm._tb,_xlfn.XLOOKUP($B74,tb_shopType[type],tb_shopType[shop_table_name]),
_xlpm._col,MATCH($C74&amp;"-"&amp;TEXT(D74,"00"),INDIRECT(_xlpm._tb&amp;"[#标题]"),0),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12101011=99999;13101050=130;13101051=78;13101061=78;13101070=130;13101071=78;13201021=78;13201030=130;13201031=78;13201120=130;13201121=78;13301060=130;13301061=78;13601010=130;13601011=78;13601030=130;13601031=78;13618011=78</v>
      </c>
    </row>
    <row r="75" spans="1:8" x14ac:dyDescent="0.2">
      <c r="A75" s="5">
        <v>10802</v>
      </c>
      <c r="B75" s="12" t="str">
        <f>VLOOKUP(VALUE(LEFT(A75,2)),tb_shopType[[prefix]:[type]],2,0)</f>
        <v>设备</v>
      </c>
      <c r="C75" s="23" t="str">
        <f>VLOOKUP(VALUE(MID(A75,LEN(A75)-2,1)),table_world[[id]:[name]],2,0)</f>
        <v>大湖</v>
      </c>
      <c r="D75" s="23">
        <v>2</v>
      </c>
      <c r="E75" s="12" t="str">
        <f t="shared" ref="E75:E93" si="3">_xlfn.LET(_xlpm._i,RIGHT(A75,2),
--ISODD(_xlpm._i)+2&amp;"~"&amp;3)</f>
        <v>2~3</v>
      </c>
      <c r="F75" s="12" t="s">
        <v>235</v>
      </c>
      <c r="G75" s="12" t="s">
        <v>275</v>
      </c>
      <c r="H75" s="25" t="str" cm="1">
        <f t="array" aca="1" ref="H75" ca="1">_xlfn.LET(_xlpm._tb,_xlfn.XLOOKUP($B75,tb_shopType[type],tb_shopType[shop_table_name]),
_xlpm._col,MATCH($C75&amp;"-"&amp;TEXT(D75,"00"),INDIRECT(_xlpm._tb&amp;"[#标题]"),0),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72;12101012=5;13101050=84;13101051=72;13101061=72;13101062=5;13101070=84;13101071=72;13101072=5;13201021=72;13201022=5;13201030=84;13201031=72;13201032=5;13201120=84;13201121=72;13201122=5;13301012=5;13301060=84;13301061=72;13301062=5;13318012=5;13601010=84;13601011=72;13601012=5;13601022=5;13601030=84;13601031=72;13618011=72;13618012=5</v>
      </c>
    </row>
    <row r="76" spans="1:8" x14ac:dyDescent="0.2">
      <c r="A76" s="5">
        <v>10803</v>
      </c>
      <c r="B76" s="12" t="str">
        <f>VLOOKUP(VALUE(LEFT(A76,2)),tb_shopType[[prefix]:[type]],2,0)</f>
        <v>设备</v>
      </c>
      <c r="C76" s="23" t="str">
        <f>VLOOKUP(VALUE(MID(A76,LEN(A76)-2,1)),table_world[[id]:[name]],2,0)</f>
        <v>大湖</v>
      </c>
      <c r="D76" s="23">
        <v>3</v>
      </c>
      <c r="E76" s="12" t="str">
        <f t="shared" si="3"/>
        <v>3~3</v>
      </c>
      <c r="F76" s="12" t="s">
        <v>236</v>
      </c>
      <c r="G76" s="12" t="s">
        <v>275</v>
      </c>
      <c r="H76" s="25" t="str" cm="1">
        <f t="array" aca="1" ref="H76" ca="1">_xlfn.LET(_xlpm._tb,_xlfn.XLOOKUP($B76,tb_shopType[type],tb_shopType[shop_table_name]),
_xlpm._col,MATCH($C76&amp;"-"&amp;TEXT(D76,"00"),INDIRECT(_xlpm._tb&amp;"[#标题]"),0),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66;12101012=12;12101013=1;13101050=65;13101051=66;13101061=66;13101062=12;13101063=1;13101070=65;13101071=66;13101072=12;13101073=1;13201021=66;13201022=12;13201023=1;13201030=65;13201031=66;13201032=12;13201033=1;13201043=1;13201120=65;13201121=66;13201122=12;13301012=12;13301013=1;13301060=65;13301061=66;13301062=12;13301063=1;13318012=12;13318013=1;13601010=65;13601011=66;13601012=12;13601022=12;13601023=1;13601030=65;13601031=66;13618011=66;13618012=12;13618013=1</v>
      </c>
    </row>
    <row r="77" spans="1:8" x14ac:dyDescent="0.2">
      <c r="A77" s="5">
        <v>10804</v>
      </c>
      <c r="B77" s="12" t="str">
        <f>VLOOKUP(VALUE(LEFT(A77,2)),tb_shopType[[prefix]:[type]],2,0)</f>
        <v>设备</v>
      </c>
      <c r="C77" s="23" t="str">
        <f>VLOOKUP(VALUE(MID(A77,LEN(A77)-2,1)),table_world[[id]:[name]],2,0)</f>
        <v>大湖</v>
      </c>
      <c r="D77" s="23">
        <v>4</v>
      </c>
      <c r="E77" s="12" t="str">
        <f t="shared" si="3"/>
        <v>2~3</v>
      </c>
      <c r="F77" s="12" t="s">
        <v>237</v>
      </c>
      <c r="G77" s="12" t="s">
        <v>275</v>
      </c>
      <c r="H77" s="25" t="str" cm="1">
        <f t="array" aca="1" ref="H77" ca="1">_xlfn.LET(_xlpm._tb,_xlfn.XLOOKUP($B77,tb_shopType[type],tb_shopType[shop_table_name]),
_xlpm._col,MATCH($C77&amp;"-"&amp;TEXT(D77,"00"),INDIRECT(_xlpm._tb&amp;"[#标题]"),0),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61;12101012=16;12101013=3;13101050=54;13101051=61;13101061=61;13101062=16;13101063=3;13101070=54;13101071=61;13101072=16;13101073=3;13201021=61;13201022=16;13201023=3;13201030=54;13201031=61;13201032=16;13201033=3;13201043=3;13201120=54;13201121=61;13201122=16;13301012=16;13301013=3;13301060=54;13301061=61;13301062=16;13301063=3;13318012=16;13318013=3;13601010=54;13601011=61;13601012=16;13601022=16;13601023=3;13601030=54;13601031=61;13618011=61;13618012=16;13618013=3</v>
      </c>
    </row>
    <row r="78" spans="1:8" x14ac:dyDescent="0.2">
      <c r="A78" s="5">
        <v>10805</v>
      </c>
      <c r="B78" s="12" t="str">
        <f>VLOOKUP(VALUE(LEFT(A78,2)),tb_shopType[[prefix]:[type]],2,0)</f>
        <v>设备</v>
      </c>
      <c r="C78" s="23" t="str">
        <f>VLOOKUP(VALUE(MID(A78,LEN(A78)-2,1)),table_world[[id]:[name]],2,0)</f>
        <v>大湖</v>
      </c>
      <c r="D78" s="23">
        <v>5</v>
      </c>
      <c r="E78" s="12" t="str">
        <f t="shared" si="3"/>
        <v>3~3</v>
      </c>
      <c r="F78" s="12" t="s">
        <v>238</v>
      </c>
      <c r="G78" s="12" t="s">
        <v>275</v>
      </c>
      <c r="H78" s="25" t="str" cm="1">
        <f t="array" aca="1" ref="H78" ca="1">_xlfn.LET(_xlpm._tb,_xlfn.XLOOKUP($B78,tb_shopType[type],tb_shopType[shop_table_name]),
_xlpm._col,MATCH($C78&amp;"-"&amp;TEXT(D78,"00"),INDIRECT(_xlpm._tb&amp;"[#标题]"),0),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58;12101012=19;12101013=6;13101050=47;13101051=58;13101061=58;13101062=19;13101063=6;13101064=1;13101070=47;13101071=58;13101072=19;13101073=6;13201021=58;13201022=19;13201023=6;13201030=47;13201031=58;13201032=19;13201033=6;13201043=6;13201044=1;13201120=47;13201121=58;13201122=19;13301012=19;13301013=6;13301014=1;13301060=47;13301061=58;13301062=19;13301063=6;13301064=1;13318012=19;13318013=6;13318014=1;13601010=47;13601011=58;13601012=19;13601022=19;13601023=6;13601030=47;13601031=58;13618011=58;13618012=19;13618013=6</v>
      </c>
    </row>
    <row r="79" spans="1:8" x14ac:dyDescent="0.2">
      <c r="A79" s="5">
        <v>10806</v>
      </c>
      <c r="B79" s="12" t="str">
        <f>VLOOKUP(VALUE(LEFT(A79,2)),tb_shopType[[prefix]:[type]],2,0)</f>
        <v>设备</v>
      </c>
      <c r="C79" s="23" t="str">
        <f>VLOOKUP(VALUE(MID(A79,LEN(A79)-2,1)),table_world[[id]:[name]],2,0)</f>
        <v>大湖</v>
      </c>
      <c r="D79" s="23">
        <v>6</v>
      </c>
      <c r="E79" s="12" t="str">
        <f t="shared" si="3"/>
        <v>2~3</v>
      </c>
      <c r="F79" s="12" t="s">
        <v>239</v>
      </c>
      <c r="G79" s="12" t="s">
        <v>275</v>
      </c>
      <c r="H79" s="25" t="str" cm="1">
        <f t="array" aca="1" ref="H79" ca="1">_xlfn.LET(_xlpm._tb,_xlfn.XLOOKUP($B79,tb_shopType[type],tb_shopType[shop_table_name]),
_xlpm._col,MATCH($C79&amp;"-"&amp;TEXT(D79,"00"),INDIRECT(_xlpm._tb&amp;"[#标题]"),0),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55;12101012=22;12101013=8;13101050=41;13101051=55;13101061=55;13101062=22;13101063=8;13101064=2;13101070=41;13101071=55;13101072=22;13101073=8;13201021=55;13201022=22;13201023=8;13201030=41;13201031=55;13201032=22;13201033=8;13201043=8;13201044=2;13201120=41;13201121=55;13201122=22;13301012=22;13301013=8;13301014=2;13301060=41;13301061=55;13301062=22;13301063=8;13301064=2;13318012=22;13318013=8;13318014=2;13601010=41;13601011=55;13601012=22;13601022=22;13601023=8;13601030=41;13601031=55;13618011=55;13618012=22;13618013=8</v>
      </c>
    </row>
    <row r="80" spans="1:8" x14ac:dyDescent="0.2">
      <c r="A80" s="5">
        <v>10807</v>
      </c>
      <c r="B80" s="12" t="str">
        <f>VLOOKUP(VALUE(LEFT(A80,2)),tb_shopType[[prefix]:[type]],2,0)</f>
        <v>设备</v>
      </c>
      <c r="C80" s="23" t="str">
        <f>VLOOKUP(VALUE(MID(A80,LEN(A80)-2,1)),table_world[[id]:[name]],2,0)</f>
        <v>大湖</v>
      </c>
      <c r="D80" s="23">
        <v>7</v>
      </c>
      <c r="E80" s="12" t="str">
        <f t="shared" si="3"/>
        <v>3~3</v>
      </c>
      <c r="F80" s="12" t="s">
        <v>240</v>
      </c>
      <c r="G80" s="12" t="s">
        <v>275</v>
      </c>
      <c r="H80" s="25" t="str" cm="1">
        <f t="array" aca="1" ref="H80" ca="1">_xlfn.LET(_xlpm._tb,_xlfn.XLOOKUP($B80,tb_shopType[type],tb_shopType[shop_table_name]),
_xlpm._col,MATCH($C80&amp;"-"&amp;TEXT(D80,"00"),INDIRECT(_xlpm._tb&amp;"[#标题]"),0),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52;12101012=23;12101013=9;13101050=38;13101051=52;13101061=52;13101062=23;13101063=9;13101064=3;13101070=38;13101071=52;13101072=23;13101073=9;13201021=52;13201022=23;13201023=9;13201030=38;13201031=52;13201032=23;13201033=9;13201043=9;13201044=3;13201120=38;13201121=52;13201122=23;13301012=23;13301013=9;13301014=3;13301060=38;13301061=52;13301062=23;13301063=9;13301064=3;13318012=23;13318013=9;13318014=3;13601010=38;13601011=52;13601012=23;13601022=23;13601023=9;13601030=38;13601031=52;13618011=52;13618012=23;13618013=9</v>
      </c>
    </row>
    <row r="81" spans="1:8" x14ac:dyDescent="0.2">
      <c r="A81" s="5">
        <v>10808</v>
      </c>
      <c r="B81" s="12" t="str">
        <f>VLOOKUP(VALUE(LEFT(A81,2)),tb_shopType[[prefix]:[type]],2,0)</f>
        <v>设备</v>
      </c>
      <c r="C81" s="23" t="str">
        <f>VLOOKUP(VALUE(MID(A81,LEN(A81)-2,1)),table_world[[id]:[name]],2,0)</f>
        <v>大湖</v>
      </c>
      <c r="D81" s="23">
        <v>8</v>
      </c>
      <c r="E81" s="12" t="str">
        <f t="shared" si="3"/>
        <v>2~3</v>
      </c>
      <c r="F81" s="12" t="s">
        <v>241</v>
      </c>
      <c r="G81" s="12" t="s">
        <v>275</v>
      </c>
      <c r="H81" s="25" t="str" cm="1">
        <f t="array" aca="1" ref="H81" ca="1">_xlfn.LET(_xlpm._tb,_xlfn.XLOOKUP($B81,tb_shopType[type],tb_shopType[shop_table_name]),
_xlpm._col,MATCH($C81&amp;"-"&amp;TEXT(D81,"00"),INDIRECT(_xlpm._tb&amp;"[#标题]"),0),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50;12101012=25;12101013=10;13101050=34;13101051=50;13101061=50;13101062=25;13101063=10;13101064=4;13101070=34;13101071=50;13101072=25;13101073=10;13201021=50;13201022=25;13201023=10;13201030=34;13201031=50;13201032=25;13201033=10;13201043=10;13201044=4;13201120=34;13201121=50;13201122=25;13301012=25;13301013=10;13301014=4;13301060=34;13301061=50;13301062=25;13301063=10;13301064=4;13318012=25;13318013=10;13318014=4;13601010=34;13601011=50;13601012=25;13601022=25;13601023=10;13601030=34;13601031=50;13618011=50;13618012=25;13618013=10</v>
      </c>
    </row>
    <row r="82" spans="1:8" x14ac:dyDescent="0.2">
      <c r="A82" s="5">
        <v>10809</v>
      </c>
      <c r="B82" s="12" t="str">
        <f>VLOOKUP(VALUE(LEFT(A82,2)),tb_shopType[[prefix]:[type]],2,0)</f>
        <v>设备</v>
      </c>
      <c r="C82" s="23" t="str">
        <f>VLOOKUP(VALUE(MID(A82,LEN(A82)-2,1)),table_world[[id]:[name]],2,0)</f>
        <v>大湖</v>
      </c>
      <c r="D82" s="23">
        <v>9</v>
      </c>
      <c r="E82" s="12" t="str">
        <f t="shared" si="3"/>
        <v>3~3</v>
      </c>
      <c r="F82" s="12" t="s">
        <v>242</v>
      </c>
      <c r="G82" s="12" t="s">
        <v>275</v>
      </c>
      <c r="H82" s="25" t="str" cm="1">
        <f t="array" aca="1" ref="H82" ca="1">_xlfn.LET(_xlpm._tb,_xlfn.XLOOKUP($B82,tb_shopType[type],tb_shopType[shop_table_name]),
_xlpm._col,MATCH($C82&amp;"-"&amp;TEXT(D82,"00"),INDIRECT(_xlpm._tb&amp;"[#标题]"),0),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48;12101012=26;12101013=11;13101050=32;13101051=48;13101061=48;13101062=26;13101063=11;13101064=5;13101070=32;13101071=48;13101072=26;13101073=11;13201021=48;13201022=26;13201023=11;13201030=32;13201031=48;13201032=26;13201033=11;13201043=11;13201044=5;13201120=32;13201121=48;13201122=26;13301012=26;13301013=11;13301014=5;13301060=32;13301061=48;13301062=26;13301063=11;13301064=5;13318012=26;13318013=11;13318014=5;13601010=32;13601011=48;13601012=26;13601022=26;13601023=11;13601030=32;13601031=48;13618011=48;13618012=26;13618013=11</v>
      </c>
    </row>
    <row r="83" spans="1:8" x14ac:dyDescent="0.2">
      <c r="A83" s="5">
        <v>10810</v>
      </c>
      <c r="B83" s="12" t="str">
        <f>VLOOKUP(VALUE(LEFT(A83,2)),tb_shopType[[prefix]:[type]],2,0)</f>
        <v>设备</v>
      </c>
      <c r="C83" s="23" t="str">
        <f>VLOOKUP(VALUE(MID(A83,LEN(A83)-2,1)),table_world[[id]:[name]],2,0)</f>
        <v>大湖</v>
      </c>
      <c r="D83" s="23">
        <v>10</v>
      </c>
      <c r="E83" s="12" t="str">
        <f t="shared" si="3"/>
        <v>2~3</v>
      </c>
      <c r="F83" s="12" t="s">
        <v>243</v>
      </c>
      <c r="G83" s="12" t="s">
        <v>275</v>
      </c>
      <c r="H83" s="25" t="str" cm="1">
        <f t="array" aca="1" ref="H83" ca="1">_xlfn.LET(_xlpm._tb,_xlfn.XLOOKUP($B83,tb_shopType[type],tb_shopType[shop_table_name]),
_xlpm._col,MATCH($C83&amp;"-"&amp;TEXT(D83,"00"),INDIRECT(_xlpm._tb&amp;"[#标题]"),0),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47;12101012=27;12101013=12;13101050=30;13101051=47;13101061=47;13101062=27;13101063=12;13101064=6;13101070=30;13101071=47;13101072=27;13101073=12;13201021=47;13201022=27;13201023=12;13201030=30;13201031=47;13201032=27;13201033=12;13201043=12;13201044=6;13201120=30;13201121=47;13201122=27;13301012=27;13301013=12;13301014=6;13301060=30;13301061=47;13301062=27;13301063=12;13301064=6;13318012=27;13318013=12;13318014=6;13601010=30;13601011=47;13601012=27;13601022=27;13601023=12;13601030=30;13601031=47;13618011=47;13618012=27;13618013=12</v>
      </c>
    </row>
    <row r="84" spans="1:8" x14ac:dyDescent="0.2">
      <c r="A84" s="5">
        <v>10811</v>
      </c>
      <c r="B84" s="12" t="str">
        <f>VLOOKUP(VALUE(LEFT(A84,2)),tb_shopType[[prefix]:[type]],2,0)</f>
        <v>设备</v>
      </c>
      <c r="C84" s="23" t="str">
        <f>VLOOKUP(VALUE(MID(A84,LEN(A84)-2,1)),table_world[[id]:[name]],2,0)</f>
        <v>大湖</v>
      </c>
      <c r="D84" s="23">
        <v>11</v>
      </c>
      <c r="E84" s="12" t="str">
        <f t="shared" si="3"/>
        <v>3~3</v>
      </c>
      <c r="F84" s="12" t="s">
        <v>244</v>
      </c>
      <c r="G84" s="12" t="s">
        <v>275</v>
      </c>
      <c r="H84" s="25" t="str" cm="1">
        <f t="array" aca="1" ref="H84" ca="1">_xlfn.LET(_xlpm._tb,_xlfn.XLOOKUP($B84,tb_shopType[type],tb_shopType[shop_table_name]),
_xlpm._col,MATCH($C84&amp;"-"&amp;TEXT(D84,"00"),INDIRECT(_xlpm._tb&amp;"[#标题]"),0),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46;12101012=27;12101013=13;13101050=28;13101051=46;13101061=46;13101062=27;13101063=13;13101064=6;13101070=28;13101071=46;13101072=27;13101073=13;13201021=46;13201022=27;13201023=13;13201030=28;13201031=46;13201032=27;13201033=13;13201043=13;13201044=6;13201120=28;13201121=46;13201122=27;13301012=27;13301013=13;13301014=6;13301060=28;13301061=46;13301062=27;13301063=13;13301064=6;13318012=27;13318013=13;13318014=6;13601010=28;13601011=46;13601012=27;13601022=27;13601023=13;13601030=28;13601031=46;13618011=46;13618012=27;13618013=13</v>
      </c>
    </row>
    <row r="85" spans="1:8" x14ac:dyDescent="0.2">
      <c r="A85" s="5">
        <v>10812</v>
      </c>
      <c r="B85" s="12" t="str">
        <f>VLOOKUP(VALUE(LEFT(A85,2)),tb_shopType[[prefix]:[type]],2,0)</f>
        <v>设备</v>
      </c>
      <c r="C85" s="23" t="str">
        <f>VLOOKUP(VALUE(MID(A85,LEN(A85)-2,1)),table_world[[id]:[name]],2,0)</f>
        <v>大湖</v>
      </c>
      <c r="D85" s="23">
        <v>12</v>
      </c>
      <c r="E85" s="12" t="str">
        <f t="shared" si="3"/>
        <v>2~3</v>
      </c>
      <c r="F85" s="12" t="s">
        <v>245</v>
      </c>
      <c r="G85" s="12" t="s">
        <v>275</v>
      </c>
      <c r="H85" s="25" t="str" cm="1">
        <f t="array" aca="1" ref="H85" ca="1">_xlfn.LET(_xlpm._tb,_xlfn.XLOOKUP($B85,tb_shopType[type],tb_shopType[shop_table_name]),
_xlpm._col,MATCH($C85&amp;"-"&amp;TEXT(D85,"00"),INDIRECT(_xlpm._tb&amp;"[#标题]"),0),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44;12101012=28;12101013=14;13101050=26;13101051=44;13101061=44;13101062=28;13101063=14;13101064=7;13101070=26;13101071=44;13101072=28;13101073=14;13201021=44;13201022=28;13201023=14;13201030=26;13201031=44;13201032=28;13201033=14;13201043=14;13201044=7;13201120=26;13201121=44;13201122=28;13301012=28;13301013=14;13301014=7;13301060=26;13301061=44;13301062=28;13301063=14;13301064=7;13318012=28;13318013=14;13318014=7;13601010=26;13601011=44;13601012=28;13601022=28;13601023=14;13601030=26;13601031=44;13618011=44;13618012=28;13618013=14</v>
      </c>
    </row>
    <row r="86" spans="1:8" x14ac:dyDescent="0.2">
      <c r="A86" s="5">
        <v>10813</v>
      </c>
      <c r="B86" s="12" t="str">
        <f>VLOOKUP(VALUE(LEFT(A86,2)),tb_shopType[[prefix]:[type]],2,0)</f>
        <v>设备</v>
      </c>
      <c r="C86" s="23" t="str">
        <f>VLOOKUP(VALUE(MID(A86,LEN(A86)-2,1)),table_world[[id]:[name]],2,0)</f>
        <v>大湖</v>
      </c>
      <c r="D86" s="23">
        <v>13</v>
      </c>
      <c r="E86" s="12" t="str">
        <f t="shared" si="3"/>
        <v>3~3</v>
      </c>
      <c r="F86" s="12" t="s">
        <v>246</v>
      </c>
      <c r="G86" s="12" t="s">
        <v>275</v>
      </c>
      <c r="H86" s="25" t="str" cm="1">
        <f t="array" aca="1" ref="H86" ca="1">_xlfn.LET(_xlpm._tb,_xlfn.XLOOKUP($B86,tb_shopType[type],tb_shopType[shop_table_name]),
_xlpm._col,MATCH($C86&amp;"-"&amp;TEXT(D86,"00"),INDIRECT(_xlpm._tb&amp;"[#标题]"),0),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43;12101012=29;12101013=14;13101050=25;13101051=43;13101061=43;13101062=29;13101063=14;13101064=8;13101070=25;13101071=43;13101072=29;13101073=14;13201021=43;13201022=29;13201023=14;13201030=25;13201031=43;13201032=29;13201033=14;13201043=14;13201044=8;13201120=25;13201121=43;13201122=29;13301012=29;13301013=14;13301014=8;13301060=25;13301061=43;13301062=29;13301063=14;13301064=8;13318012=29;13318013=14;13318014=8;13601010=25;13601011=43;13601012=29;13601022=29;13601023=14;13601030=25;13601031=43;13618011=43;13618012=29;13618013=14</v>
      </c>
    </row>
    <row r="87" spans="1:8" x14ac:dyDescent="0.2">
      <c r="A87" s="5">
        <v>10814</v>
      </c>
      <c r="B87" s="12" t="str">
        <f>VLOOKUP(VALUE(LEFT(A87,2)),tb_shopType[[prefix]:[type]],2,0)</f>
        <v>设备</v>
      </c>
      <c r="C87" s="23" t="str">
        <f>VLOOKUP(VALUE(MID(A87,LEN(A87)-2,1)),table_world[[id]:[name]],2,0)</f>
        <v>大湖</v>
      </c>
      <c r="D87" s="23">
        <v>14</v>
      </c>
      <c r="E87" s="12" t="str">
        <f t="shared" si="3"/>
        <v>2~3</v>
      </c>
      <c r="F87" s="12" t="s">
        <v>247</v>
      </c>
      <c r="G87" s="12" t="s">
        <v>275</v>
      </c>
      <c r="H87" s="25" t="str" cm="1">
        <f t="array" aca="1" ref="H87" ca="1">_xlfn.LET(_xlpm._tb,_xlfn.XLOOKUP($B87,tb_shopType[type],tb_shopType[shop_table_name]),
_xlpm._col,MATCH($C87&amp;"-"&amp;TEXT(D87,"00"),INDIRECT(_xlpm._tb&amp;"[#标题]"),0),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42;12101012=29;12101013=15;13101050=24;13101051=42;13101061=42;13101062=29;13101063=15;13101064=8;13101070=24;13101071=42;13101072=29;13101073=15;13201021=42;13201022=29;13201023=15;13201030=24;13201031=42;13201032=29;13201033=15;13201043=15;13201044=8;13201120=24;13201121=42;13201122=29;13301012=29;13301013=15;13301014=8;13301060=24;13301061=42;13301062=29;13301063=15;13301064=8;13318012=29;13318013=15;13318014=8;13601010=24;13601011=42;13601012=29;13601022=29;13601023=15;13601030=24;13601031=42;13618011=42;13618012=29;13618013=15</v>
      </c>
    </row>
    <row r="88" spans="1:8" x14ac:dyDescent="0.2">
      <c r="A88" s="5">
        <v>10815</v>
      </c>
      <c r="B88" s="12" t="str">
        <f>VLOOKUP(VALUE(LEFT(A88,2)),tb_shopType[[prefix]:[type]],2,0)</f>
        <v>设备</v>
      </c>
      <c r="C88" s="23" t="str">
        <f>VLOOKUP(VALUE(MID(A88,LEN(A88)-2,1)),table_world[[id]:[name]],2,0)</f>
        <v>大湖</v>
      </c>
      <c r="D88" s="23">
        <v>15</v>
      </c>
      <c r="E88" s="12" t="str">
        <f t="shared" si="3"/>
        <v>3~3</v>
      </c>
      <c r="F88" s="12" t="s">
        <v>248</v>
      </c>
      <c r="G88" s="12" t="s">
        <v>275</v>
      </c>
      <c r="H88" s="25" t="str" cm="1">
        <f t="array" aca="1" ref="H88" ca="1">_xlfn.LET(_xlpm._tb,_xlfn.XLOOKUP($B88,tb_shopType[type],tb_shopType[shop_table_name]),
_xlpm._col,MATCH($C88&amp;"-"&amp;TEXT(D88,"00"),INDIRECT(_xlpm._tb&amp;"[#标题]"),0),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41;12101012=30;12101013=15;13101050=23;13101051=41;13101061=41;13101062=30;13101063=15;13101064=9;13101070=23;13101071=41;13101072=30;13101073=15;13201021=41;13201022=30;13201023=15;13201030=23;13201031=41;13201032=30;13201033=15;13201043=15;13201044=9;13201120=23;13201121=41;13201122=30;13301012=30;13301013=15;13301014=9;13301060=23;13301061=41;13301062=30;13301063=15;13301064=9;13318012=30;13318013=15;13318014=9;13601010=23;13601011=41;13601012=30;13601022=30;13601023=15;13601030=23;13601031=41;13618011=41;13618012=30;13618013=15</v>
      </c>
    </row>
    <row r="89" spans="1:8" x14ac:dyDescent="0.2">
      <c r="A89" s="5">
        <v>10816</v>
      </c>
      <c r="B89" s="12" t="str">
        <f>VLOOKUP(VALUE(LEFT(A89,2)),tb_shopType[[prefix]:[type]],2,0)</f>
        <v>设备</v>
      </c>
      <c r="C89" s="23" t="str">
        <f>VLOOKUP(VALUE(MID(A89,LEN(A89)-2,1)),table_world[[id]:[name]],2,0)</f>
        <v>大湖</v>
      </c>
      <c r="D89" s="23">
        <v>16</v>
      </c>
      <c r="E89" s="12" t="str">
        <f t="shared" si="3"/>
        <v>2~3</v>
      </c>
      <c r="F89" s="12" t="s">
        <v>249</v>
      </c>
      <c r="G89" s="12" t="s">
        <v>275</v>
      </c>
      <c r="H89" s="25" t="str" cm="1">
        <f t="array" aca="1" ref="H89" ca="1">_xlfn.LET(_xlpm._tb,_xlfn.XLOOKUP($B89,tb_shopType[type],tb_shopType[shop_table_name]),
_xlpm._col,MATCH($C89&amp;"-"&amp;TEXT(D89,"00"),INDIRECT(_xlpm._tb&amp;"[#标题]"),0),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40;12101012=30;12101013=16;13101050=22;13101051=40;13101061=40;13101062=30;13101063=16;13101064=9;13101070=22;13101071=40;13101072=30;13101073=16;13201021=40;13201022=30;13201023=16;13201030=22;13201031=40;13201032=30;13201033=16;13201043=16;13201044=9;13201120=22;13201121=40;13201122=30;13301012=30;13301013=16;13301014=9;13301060=22;13301061=40;13301062=30;13301063=16;13301064=9;13318012=30;13318013=16;13318014=9;13601010=22;13601011=40;13601012=30;13601022=30;13601023=16;13601030=22;13601031=40;13618011=40;13618012=30;13618013=16</v>
      </c>
    </row>
    <row r="90" spans="1:8" x14ac:dyDescent="0.2">
      <c r="A90" s="5">
        <v>10817</v>
      </c>
      <c r="B90" s="12" t="str">
        <f>VLOOKUP(VALUE(LEFT(A90,2)),tb_shopType[[prefix]:[type]],2,0)</f>
        <v>设备</v>
      </c>
      <c r="C90" s="23" t="str">
        <f>VLOOKUP(VALUE(MID(A90,LEN(A90)-2,1)),table_world[[id]:[name]],2,0)</f>
        <v>大湖</v>
      </c>
      <c r="D90" s="23">
        <v>17</v>
      </c>
      <c r="E90" s="12" t="str">
        <f t="shared" si="3"/>
        <v>3~3</v>
      </c>
      <c r="F90" s="12" t="s">
        <v>250</v>
      </c>
      <c r="G90" s="12" t="s">
        <v>275</v>
      </c>
      <c r="H90" s="25" t="str" cm="1">
        <f t="array" aca="1" ref="H90" ca="1">_xlfn.LET(_xlpm._tb,_xlfn.XLOOKUP($B90,tb_shopType[type],tb_shopType[shop_table_name]),
_xlpm._col,MATCH($C90&amp;"-"&amp;TEXT(D90,"00"),INDIRECT(_xlpm._tb&amp;"[#标题]"),0),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40;12101012=30;12101013=16;13101050=21;13101051=40;13101061=40;13101062=30;13101063=16;13101064=9;13101070=21;13101071=40;13101072=30;13101073=16;13201021=40;13201022=30;13201023=16;13201030=21;13201031=40;13201032=30;13201033=16;13201043=16;13201044=9;13201120=21;13201121=40;13201122=30;13301012=30;13301013=16;13301014=9;13301060=21;13301061=40;13301062=30;13301063=16;13301064=9;13318012=30;13318013=16;13318014=9;13601010=21;13601011=40;13601012=30;13601022=30;13601023=16;13601030=21;13601031=40;13618011=40;13618012=30;13618013=16</v>
      </c>
    </row>
    <row r="91" spans="1:8" x14ac:dyDescent="0.2">
      <c r="A91" s="5">
        <v>10818</v>
      </c>
      <c r="B91" s="12" t="str">
        <f>VLOOKUP(VALUE(LEFT(A91,2)),tb_shopType[[prefix]:[type]],2,0)</f>
        <v>设备</v>
      </c>
      <c r="C91" s="23" t="str">
        <f>VLOOKUP(VALUE(MID(A91,LEN(A91)-2,1)),table_world[[id]:[name]],2,0)</f>
        <v>大湖</v>
      </c>
      <c r="D91" s="23">
        <v>18</v>
      </c>
      <c r="E91" s="12" t="str">
        <f t="shared" si="3"/>
        <v>2~3</v>
      </c>
      <c r="F91" s="12" t="s">
        <v>251</v>
      </c>
      <c r="G91" s="12" t="s">
        <v>275</v>
      </c>
      <c r="H91" s="25" t="str" cm="1">
        <f t="array" aca="1" ref="H91" ca="1">_xlfn.LET(_xlpm._tb,_xlfn.XLOOKUP($B91,tb_shopType[type],tb_shopType[shop_table_name]),
_xlpm._col,MATCH($C91&amp;"-"&amp;TEXT(D91,"00"),INDIRECT(_xlpm._tb&amp;"[#标题]"),0),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39;12101012=30;12101013=17;13101050=20;13101051=39;13101061=39;13101062=30;13101063=17;13101064=10;13101070=20;13101071=39;13101072=30;13101073=17;13201021=39;13201022=30;13201023=17;13201030=20;13201031=39;13201032=30;13201033=17;13201043=17;13201044=10;13201120=20;13201121=39;13201122=30;13301012=30;13301013=17;13301014=10;13301060=20;13301061=39;13301062=30;13301063=17;13301064=10;13318012=30;13318013=17;13318014=10;13601010=20;13601011=39;13601012=30;13601022=30;13601023=17;13601030=20;13601031=39;13618011=39;13618012=30;13618013=17</v>
      </c>
    </row>
    <row r="92" spans="1:8" x14ac:dyDescent="0.2">
      <c r="A92" s="5">
        <v>10819</v>
      </c>
      <c r="B92" s="12" t="str">
        <f>VLOOKUP(VALUE(LEFT(A92,2)),tb_shopType[[prefix]:[type]],2,0)</f>
        <v>设备</v>
      </c>
      <c r="C92" s="23" t="str">
        <f>VLOOKUP(VALUE(MID(A92,LEN(A92)-2,1)),table_world[[id]:[name]],2,0)</f>
        <v>大湖</v>
      </c>
      <c r="D92" s="23">
        <v>19</v>
      </c>
      <c r="E92" s="12" t="str">
        <f t="shared" si="3"/>
        <v>3~3</v>
      </c>
      <c r="F92" s="12" t="s">
        <v>252</v>
      </c>
      <c r="G92" s="12" t="s">
        <v>275</v>
      </c>
      <c r="H92" s="25" t="str" cm="1">
        <f t="array" aca="1" ref="H92" ca="1">_xlfn.LET(_xlpm._tb,_xlfn.XLOOKUP($B92,tb_shopType[type],tb_shopType[shop_table_name]),
_xlpm._col,MATCH($C92&amp;"-"&amp;TEXT(D92,"00"),INDIRECT(_xlpm._tb&amp;"[#标题]"),0),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38;12101012=31;12101013=17;13101050=19;13101051=38;13101061=38;13101062=31;13101063=17;13101064=10;13101070=19;13101071=38;13101072=31;13101073=17;13201021=38;13201022=31;13201023=17;13201030=19;13201031=38;13201032=31;13201033=17;13201043=17;13201044=10;13201120=19;13201121=38;13201122=31;13301012=31;13301013=17;13301014=10;13301060=19;13301061=38;13301062=31;13301063=17;13301064=10;13318012=31;13318013=17;13318014=10;13601010=19;13601011=38;13601012=31;13601022=31;13601023=17;13601030=19;13601031=38;13618011=38;13618012=31;13618013=17</v>
      </c>
    </row>
    <row r="93" spans="1:8" x14ac:dyDescent="0.2">
      <c r="A93" s="5">
        <v>10820</v>
      </c>
      <c r="B93" s="12" t="str">
        <f>VLOOKUP(VALUE(LEFT(A93,2)),tb_shopType[[prefix]:[type]],2,0)</f>
        <v>设备</v>
      </c>
      <c r="C93" s="23" t="str">
        <f>VLOOKUP(VALUE(MID(A93,LEN(A93)-2,1)),table_world[[id]:[name]],2,0)</f>
        <v>大湖</v>
      </c>
      <c r="D93" s="23">
        <v>20</v>
      </c>
      <c r="E93" s="12" t="str">
        <f t="shared" si="3"/>
        <v>2~3</v>
      </c>
      <c r="F93" s="12" t="s">
        <v>253</v>
      </c>
      <c r="G93" s="12" t="s">
        <v>275</v>
      </c>
      <c r="H93" s="25" t="str" cm="1">
        <f t="array" aca="1" ref="H93" ca="1">_xlfn.LET(_xlpm._tb,_xlfn.XLOOKUP($B93,tb_shopType[type],tb_shopType[shop_table_name]),
_xlpm._col,MATCH($C93&amp;"-"&amp;TEXT(D93,"00"),INDIRECT(_xlpm._tb&amp;"[#标题]"),0),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12101011=38;12101012=31;12101013=17;13101050=18;13101051=38;13101061=38;13101062=31;13101063=17;13101064=10;13101070=18;13101071=38;13101072=31;13101073=17;13201021=38;13201022=31;13201023=17;13201030=18;13201031=38;13201032=31;13201033=17;13201043=17;13201044=10;13201120=18;13201121=38;13201122=31;13301012=31;13301013=17;13301014=10;13301060=18;13301061=38;13301062=31;13301063=17;13301064=10;13318012=31;13318013=17;13318014=10;13601010=18;13601011=38;13601012=31;13601022=31;13601023=17;13601030=18;13601031=38;13618011=38;13618012=31;13618013=17</v>
      </c>
    </row>
    <row r="95" spans="1:8" x14ac:dyDescent="0.2">
      <c r="F95" s="5" t="s">
        <v>21</v>
      </c>
    </row>
    <row r="97" spans="1:8" x14ac:dyDescent="0.2">
      <c r="A97" s="5">
        <v>20101</v>
      </c>
      <c r="B97" s="12" t="str">
        <f>VLOOKUP(VALUE(LEFT(A97,2)),tb_shopType[[prefix]:[type]],2,0)</f>
        <v>角色</v>
      </c>
      <c r="C97" s="23" t="str">
        <f>VLOOKUP(VALUE(MID(A97,LEN(A97)-2,1)),table_world[[id]:[name]],2,0)</f>
        <v>地宫</v>
      </c>
      <c r="D97" s="23">
        <v>1</v>
      </c>
      <c r="E97" s="12" t="str">
        <f>_xlfn.LET(_xlpm._i,RIGHT(A97,2),
INT(_xlpm._i/14)+2&amp;"~"&amp;3)</f>
        <v>2~3</v>
      </c>
      <c r="F97" s="12" t="s">
        <v>285</v>
      </c>
      <c r="G97" s="48" t="s">
        <v>283</v>
      </c>
      <c r="H97" s="25" t="str" cm="1">
        <f t="array" aca="1" ref="H97" ca="1">_xlfn.LET(_xlpm._tb,_xlfn.XLOOKUP($B97,tb_shopType[type],tb_shopType[shop_table_name]),
_xlpm._col,MATCH($C97&amp;"-"&amp;TEXT(D97,"00"),INDIRECT(_xlpm._tb&amp;"[#标题]"),0),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15101=756;15102=756;15103=756;15104=756;15105=692;15106=692;15107=692;15108=588;15109=588;15110=588;15111=452;15112=452;15113=452;15114=301;15115=301;15116=164;15117=164;15118=164;15119=67;15120=67</v>
      </c>
    </row>
    <row r="98" spans="1:8" x14ac:dyDescent="0.2">
      <c r="A98" s="5">
        <v>20102</v>
      </c>
      <c r="B98" s="12" t="str">
        <f>VLOOKUP(VALUE(LEFT(A98,2)),tb_shopType[[prefix]:[type]],2,0)</f>
        <v>角色</v>
      </c>
      <c r="C98" s="23" t="str">
        <f>VLOOKUP(VALUE(MID(A98,LEN(A98)-2,1)),table_world[[id]:[name]],2,0)</f>
        <v>地宫</v>
      </c>
      <c r="D98" s="23">
        <v>2</v>
      </c>
      <c r="E98" s="12" t="str">
        <f t="shared" ref="E98:E116" si="4">_xlfn.LET(_xlpm._i,RIGHT(A98,2),
INT(_xlpm._i/14)+2&amp;"~"&amp;3)</f>
        <v>2~3</v>
      </c>
      <c r="F98" s="12" t="s">
        <v>286</v>
      </c>
      <c r="G98" s="47" t="str">
        <f>"1~0.4~"&amp;0.2+D98*0.02</f>
        <v>1~0.4~0.24</v>
      </c>
      <c r="H98" s="25" t="str" cm="1">
        <f t="array" aca="1" ref="H98" ca="1">_xlfn.LET(_xlpm._tb,_xlfn.XLOOKUP($B98,tb_shopType[type],tb_shopType[shop_table_name]),
_xlpm._col,MATCH($C98&amp;"-"&amp;TEXT(D98,"00"),INDIRECT(_xlpm._tb&amp;"[#标题]"),0),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15101=752;15102=752;15103=752;15104=752;15105=705;15106=705;15107=705;15108=617;15109=617;15110=617;15111=492;15112=492;15113=492;15114=344;15115=344;15116=200;15117=200;15118=200;15119=88;15120=88</v>
      </c>
    </row>
    <row r="99" spans="1:8" x14ac:dyDescent="0.2">
      <c r="A99" s="5">
        <v>20103</v>
      </c>
      <c r="B99" s="12" t="str">
        <f>VLOOKUP(VALUE(LEFT(A99,2)),tb_shopType[[prefix]:[type]],2,0)</f>
        <v>角色</v>
      </c>
      <c r="C99" s="23" t="str">
        <f>VLOOKUP(VALUE(MID(A99,LEN(A99)-2,1)),table_world[[id]:[name]],2,0)</f>
        <v>地宫</v>
      </c>
      <c r="D99" s="23">
        <v>3</v>
      </c>
      <c r="E99" s="12" t="str">
        <f t="shared" si="4"/>
        <v>2~3</v>
      </c>
      <c r="F99" s="12" t="s">
        <v>287</v>
      </c>
      <c r="G99" s="47" t="str">
        <f t="shared" ref="G99:G116" si="5">"1~0.4~"&amp;0.2+D99*0.02</f>
        <v>1~0.4~0.26</v>
      </c>
      <c r="H99" s="25" t="str" cm="1">
        <f t="array" aca="1" ref="H99" ca="1">_xlfn.LET(_xlpm._tb,_xlfn.XLOOKUP($B99,tb_shopType[type],tb_shopType[shop_table_name]),
_xlpm._col,MATCH($C99&amp;"-"&amp;TEXT(D99,"00"),INDIRECT(_xlpm._tb&amp;"[#标题]"),0),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15101=739;15102=739;15103=739;15104=739;15105=709;15106=709;15107=709;15108=639;15109=639;15110=639;15111=528;15112=528;15113=528;15114=386;15115=386;15116=237;15117=237;15118=237;15119=113;15120=113</v>
      </c>
    </row>
    <row r="100" spans="1:8" x14ac:dyDescent="0.2">
      <c r="A100" s="5">
        <v>20104</v>
      </c>
      <c r="B100" s="12" t="str">
        <f>VLOOKUP(VALUE(LEFT(A100,2)),tb_shopType[[prefix]:[type]],2,0)</f>
        <v>角色</v>
      </c>
      <c r="C100" s="23" t="str">
        <f>VLOOKUP(VALUE(MID(A100,LEN(A100)-2,1)),table_world[[id]:[name]],2,0)</f>
        <v>地宫</v>
      </c>
      <c r="D100" s="23">
        <v>4</v>
      </c>
      <c r="E100" s="12" t="str">
        <f t="shared" si="4"/>
        <v>2~3</v>
      </c>
      <c r="F100" s="12" t="s">
        <v>288</v>
      </c>
      <c r="G100" s="47" t="str">
        <f t="shared" si="5"/>
        <v>1~0.4~0.28</v>
      </c>
      <c r="H100" s="25" t="str" cm="1">
        <f t="array" aca="1" ref="H100" ca="1">_xlfn.LET(_xlpm._tb,_xlfn.XLOOKUP($B100,tb_shopType[type],tb_shopType[shop_table_name]),
_xlpm._col,MATCH($C100&amp;"-"&amp;TEXT(D100,"00"),INDIRECT(_xlpm._tb&amp;"[#标题]"),0),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15101=719;15102=719;15103=719;15104=719;15105=705;15106=705;15107=705;15108=653;15109=653;15110=653;15111=558;15112=558;15113=558;15114=426;15115=426;15116=277;15117=277;15118=277;15119=141;15120=141</v>
      </c>
    </row>
    <row r="101" spans="1:8" x14ac:dyDescent="0.2">
      <c r="A101" s="5">
        <v>20105</v>
      </c>
      <c r="B101" s="12" t="str">
        <f>VLOOKUP(VALUE(LEFT(A101,2)),tb_shopType[[prefix]:[type]],2,0)</f>
        <v>角色</v>
      </c>
      <c r="C101" s="23" t="str">
        <f>VLOOKUP(VALUE(MID(A101,LEN(A101)-2,1)),table_world[[id]:[name]],2,0)</f>
        <v>地宫</v>
      </c>
      <c r="D101" s="23">
        <v>5</v>
      </c>
      <c r="E101" s="12" t="str">
        <f t="shared" si="4"/>
        <v>2~3</v>
      </c>
      <c r="F101" s="12" t="s">
        <v>289</v>
      </c>
      <c r="G101" s="47" t="str">
        <f t="shared" si="5"/>
        <v>1~0.4~0.3</v>
      </c>
      <c r="H101" s="25" t="str" cm="1">
        <f t="array" aca="1" ref="H101" ca="1">_xlfn.LET(_xlpm._tb,_xlfn.XLOOKUP($B101,tb_shopType[type],tb_shopType[shop_table_name]),
_xlpm._col,MATCH($C101&amp;"-"&amp;TEXT(D101,"00"),INDIRECT(_xlpm._tb&amp;"[#标题]"),0),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15101=692;15102=692;15103=692;15104=692;15105=692;15106=692;15107=692;15108=657;15109=657;15110=657;15111=580;15112=580;15113=580;15114=461;15115=461;15116=316;15117=316;15118=316;15119=173;15120=173</v>
      </c>
    </row>
    <row r="102" spans="1:8" x14ac:dyDescent="0.2">
      <c r="A102" s="5">
        <v>20106</v>
      </c>
      <c r="B102" s="12" t="str">
        <f>VLOOKUP(VALUE(LEFT(A102,2)),tb_shopType[[prefix]:[type]],2,0)</f>
        <v>角色</v>
      </c>
      <c r="C102" s="23" t="str">
        <f>VLOOKUP(VALUE(MID(A102,LEN(A102)-2,1)),table_world[[id]:[name]],2,0)</f>
        <v>地宫</v>
      </c>
      <c r="D102" s="23">
        <v>6</v>
      </c>
      <c r="E102" s="12" t="str">
        <f t="shared" si="4"/>
        <v>2~3</v>
      </c>
      <c r="F102" s="12" t="s">
        <v>290</v>
      </c>
      <c r="G102" s="47" t="str">
        <f t="shared" si="5"/>
        <v>1~0.4~0.32</v>
      </c>
      <c r="H102" s="25" t="str" cm="1">
        <f t="array" aca="1" ref="H102" ca="1">_xlfn.LET(_xlpm._tb,_xlfn.XLOOKUP($B102,tb_shopType[type],tb_shopType[shop_table_name]),
_xlpm._col,MATCH($C102&amp;"-"&amp;TEXT(D102,"00"),INDIRECT(_xlpm._tb&amp;"[#标题]"),0),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15101=658;15102=658;15103=658;15104=658;15105=671;15106=671;15107=671;15108=653;15109=653;15110=653;15111=594;15112=594;15113=594;15114=491;15115=491;15116=353;15117=353;15118=353;15119=206;15120=206</v>
      </c>
    </row>
    <row r="103" spans="1:8" x14ac:dyDescent="0.2">
      <c r="A103" s="5">
        <v>20107</v>
      </c>
      <c r="B103" s="12" t="str">
        <f>VLOOKUP(VALUE(LEFT(A103,2)),tb_shopType[[prefix]:[type]],2,0)</f>
        <v>角色</v>
      </c>
      <c r="C103" s="23" t="str">
        <f>VLOOKUP(VALUE(MID(A103,LEN(A103)-2,1)),table_world[[id]:[name]],2,0)</f>
        <v>地宫</v>
      </c>
      <c r="D103" s="23">
        <v>7</v>
      </c>
      <c r="E103" s="12" t="str">
        <f t="shared" si="4"/>
        <v>2~3</v>
      </c>
      <c r="F103" s="12" t="s">
        <v>291</v>
      </c>
      <c r="G103" s="47" t="str">
        <f t="shared" si="5"/>
        <v>1~0.4~0.34</v>
      </c>
      <c r="H103" s="25" t="str" cm="1">
        <f t="array" aca="1" ref="H103" ca="1">_xlfn.LET(_xlpm._tb,_xlfn.XLOOKUP($B103,tb_shopType[type],tb_shopType[shop_table_name]),
_xlpm._col,MATCH($C103&amp;"-"&amp;TEXT(D103,"00"),INDIRECT(_xlpm._tb&amp;"[#标题]"),0),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15101=619;15102=619;15103=619;15104=619;15105=643;15106=643;15107=643;15108=639;15109=639;15110=639;15111=598;15112=598;15113=598;15114=513;15115=513;15116=387;15117=387;15118=387;15119=241;15120=241</v>
      </c>
    </row>
    <row r="104" spans="1:8" x14ac:dyDescent="0.2">
      <c r="A104" s="5">
        <v>20108</v>
      </c>
      <c r="B104" s="12" t="str">
        <f>VLOOKUP(VALUE(LEFT(A104,2)),tb_shopType[[prefix]:[type]],2,0)</f>
        <v>角色</v>
      </c>
      <c r="C104" s="23" t="str">
        <f>VLOOKUP(VALUE(MID(A104,LEN(A104)-2,1)),table_world[[id]:[name]],2,0)</f>
        <v>地宫</v>
      </c>
      <c r="D104" s="23">
        <v>8</v>
      </c>
      <c r="E104" s="12" t="str">
        <f t="shared" si="4"/>
        <v>2~3</v>
      </c>
      <c r="F104" s="12" t="s">
        <v>292</v>
      </c>
      <c r="G104" s="47" t="str">
        <f t="shared" si="5"/>
        <v>1~0.4~0.36</v>
      </c>
      <c r="H104" s="25" t="str" cm="1">
        <f t="array" aca="1" ref="H104" ca="1">_xlfn.LET(_xlpm._tb,_xlfn.XLOOKUP($B104,tb_shopType[type],tb_shopType[shop_table_name]),
_xlpm._col,MATCH($C104&amp;"-"&amp;TEXT(D104,"00"),INDIRECT(_xlpm._tb&amp;"[#标题]"),0),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15101=576;15102=576;15103=576;15104=576;15105=608;15106=608;15107=608;15108=617;15109=617;15110=617;15111=594;15112=594;15113=594;15114=527;15115=527;15116=416;15117=416;15118=416;15119=274;15120=274</v>
      </c>
    </row>
    <row r="105" spans="1:8" x14ac:dyDescent="0.2">
      <c r="A105" s="5">
        <v>20109</v>
      </c>
      <c r="B105" s="12" t="str">
        <f>VLOOKUP(VALUE(LEFT(A105,2)),tb_shopType[[prefix]:[type]],2,0)</f>
        <v>角色</v>
      </c>
      <c r="C105" s="23" t="str">
        <f>VLOOKUP(VALUE(MID(A105,LEN(A105)-2,1)),table_world[[id]:[name]],2,0)</f>
        <v>地宫</v>
      </c>
      <c r="D105" s="23">
        <v>9</v>
      </c>
      <c r="E105" s="12" t="str">
        <f t="shared" si="4"/>
        <v>2~3</v>
      </c>
      <c r="F105" s="12" t="s">
        <v>293</v>
      </c>
      <c r="G105" s="47" t="str">
        <f t="shared" si="5"/>
        <v>1~0.4~0.38</v>
      </c>
      <c r="H105" s="25" t="str" cm="1">
        <f t="array" aca="1" ref="H105" ca="1">_xlfn.LET(_xlpm._tb,_xlfn.XLOOKUP($B105,tb_shopType[type],tb_shopType[shop_table_name]),
_xlpm._col,MATCH($C105&amp;"-"&amp;TEXT(D105,"00"),INDIRECT(_xlpm._tb&amp;"[#标题]"),0),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15101=530;15102=530;15103=530;15104=530;15105=568;15106=568;15107=568;15108=588;15109=588;15110=588;15111=580;15112=580;15113=580;15114=532;15115=532;15116=438;15117=438;15118=438;15119=305;15120=305</v>
      </c>
    </row>
    <row r="106" spans="1:8" x14ac:dyDescent="0.2">
      <c r="A106" s="5">
        <v>20110</v>
      </c>
      <c r="B106" s="12" t="str">
        <f>VLOOKUP(VALUE(LEFT(A106,2)),tb_shopType[[prefix]:[type]],2,0)</f>
        <v>角色</v>
      </c>
      <c r="C106" s="23" t="str">
        <f>VLOOKUP(VALUE(MID(A106,LEN(A106)-2,1)),table_world[[id]:[name]],2,0)</f>
        <v>地宫</v>
      </c>
      <c r="D106" s="23">
        <v>10</v>
      </c>
      <c r="E106" s="12" t="str">
        <f t="shared" si="4"/>
        <v>2~3</v>
      </c>
      <c r="F106" s="12" t="s">
        <v>294</v>
      </c>
      <c r="G106" s="47" t="str">
        <f t="shared" si="5"/>
        <v>1~0.4~0.4</v>
      </c>
      <c r="H106" s="25" t="str" cm="1">
        <f t="array" aca="1" ref="H106" ca="1">_xlfn.LET(_xlpm._tb,_xlfn.XLOOKUP($B106,tb_shopType[type],tb_shopType[shop_table_name]),
_xlpm._col,MATCH($C106&amp;"-"&amp;TEXT(D106,"00"),INDIRECT(_xlpm._tb&amp;"[#标题]"),0),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15101=483;15102=483;15103=483;15104=483;15105=524;15106=524;15107=524;15108=553;15109=553;15110=553;15111=558;15112=558;15113=558;15114=527;15115=527;15116=451;15117=451;15118=451;15119=331;15120=331</v>
      </c>
    </row>
    <row r="107" spans="1:8" x14ac:dyDescent="0.2">
      <c r="A107" s="5">
        <v>20111</v>
      </c>
      <c r="B107" s="12" t="str">
        <f>VLOOKUP(VALUE(LEFT(A107,2)),tb_shopType[[prefix]:[type]],2,0)</f>
        <v>角色</v>
      </c>
      <c r="C107" s="23" t="str">
        <f>VLOOKUP(VALUE(MID(A107,LEN(A107)-2,1)),table_world[[id]:[name]],2,0)</f>
        <v>地宫</v>
      </c>
      <c r="D107" s="23">
        <v>11</v>
      </c>
      <c r="E107" s="12" t="str">
        <f t="shared" si="4"/>
        <v>2~3</v>
      </c>
      <c r="F107" s="12" t="s">
        <v>295</v>
      </c>
      <c r="G107" s="47" t="str">
        <f t="shared" si="5"/>
        <v>1~0.4~0.42</v>
      </c>
      <c r="H107" s="25" t="str" cm="1">
        <f t="array" aca="1" ref="H107" ca="1">_xlfn.LET(_xlpm._tb,_xlfn.XLOOKUP($B107,tb_shopType[type],tb_shopType[shop_table_name]),
_xlpm._col,MATCH($C107&amp;"-"&amp;TEXT(D107,"00"),INDIRECT(_xlpm._tb&amp;"[#标题]"),0),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15101=434;15102=434;15103=434;15104=434;15105=478;15106=478;15107=478;15108=512;15109=512;15110=512;15111=528;15112=528;15113=528;15114=513;15115=513;15116=456;15117=456;15118=456;15119=351;15120=351</v>
      </c>
    </row>
    <row r="108" spans="1:8" x14ac:dyDescent="0.2">
      <c r="A108" s="5">
        <v>20112</v>
      </c>
      <c r="B108" s="12" t="str">
        <f>VLOOKUP(VALUE(LEFT(A108,2)),tb_shopType[[prefix]:[type]],2,0)</f>
        <v>角色</v>
      </c>
      <c r="C108" s="23" t="str">
        <f>VLOOKUP(VALUE(MID(A108,LEN(A108)-2,1)),table_world[[id]:[name]],2,0)</f>
        <v>地宫</v>
      </c>
      <c r="D108" s="23">
        <v>12</v>
      </c>
      <c r="E108" s="12" t="str">
        <f t="shared" si="4"/>
        <v>2~3</v>
      </c>
      <c r="F108" s="12" t="s">
        <v>296</v>
      </c>
      <c r="G108" s="47" t="str">
        <f t="shared" si="5"/>
        <v>1~0.4~0.44</v>
      </c>
      <c r="H108" s="25" t="str" cm="1">
        <f t="array" aca="1" ref="H108" ca="1">_xlfn.LET(_xlpm._tb,_xlfn.XLOOKUP($B108,tb_shopType[type],tb_shopType[shop_table_name]),
_xlpm._col,MATCH($C108&amp;"-"&amp;TEXT(D108,"00"),INDIRECT(_xlpm._tb&amp;"[#标题]"),0),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15101=387;15102=387;15103=387;15104=387;15105=430;15106=430;15107=430;15108=468;15109=468;15110=468;15111=492;15112=492;15113=492;15114=491;15115=491;15116=451;15117=451;15118=451;15119=364;15120=364</v>
      </c>
    </row>
    <row r="109" spans="1:8" x14ac:dyDescent="0.2">
      <c r="A109" s="5">
        <v>20113</v>
      </c>
      <c r="B109" s="12" t="str">
        <f>VLOOKUP(VALUE(LEFT(A109,2)),tb_shopType[[prefix]:[type]],2,0)</f>
        <v>角色</v>
      </c>
      <c r="C109" s="23" t="str">
        <f>VLOOKUP(VALUE(MID(A109,LEN(A109)-2,1)),table_world[[id]:[name]],2,0)</f>
        <v>地宫</v>
      </c>
      <c r="D109" s="23">
        <v>13</v>
      </c>
      <c r="E109" s="12" t="str">
        <f t="shared" si="4"/>
        <v>2~3</v>
      </c>
      <c r="F109" s="12" t="s">
        <v>297</v>
      </c>
      <c r="G109" s="47" t="str">
        <f t="shared" si="5"/>
        <v>1~0.4~0.46</v>
      </c>
      <c r="H109" s="25" t="str" cm="1">
        <f t="array" aca="1" ref="H109" ca="1">_xlfn.LET(_xlpm._tb,_xlfn.XLOOKUP($B109,tb_shopType[type],tb_shopType[shop_table_name]),
_xlpm._col,MATCH($C109&amp;"-"&amp;TEXT(D109,"00"),INDIRECT(_xlpm._tb&amp;"[#标题]"),0),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15101=340;15102=340;15103=340;15104=340;15105=383;15106=383;15107=383;15108=422;15109=422;15110=422;15111=452;15112=452;15113=452;15114=461;15115=461;15116=438;15117=438;15118=438;15119=368;15120=368</v>
      </c>
    </row>
    <row r="110" spans="1:8" x14ac:dyDescent="0.2">
      <c r="A110" s="5">
        <v>20114</v>
      </c>
      <c r="B110" s="12" t="str">
        <f>VLOOKUP(VALUE(LEFT(A110,2)),tb_shopType[[prefix]:[type]],2,0)</f>
        <v>角色</v>
      </c>
      <c r="C110" s="23" t="str">
        <f>VLOOKUP(VALUE(MID(A110,LEN(A110)-2,1)),table_world[[id]:[name]],2,0)</f>
        <v>地宫</v>
      </c>
      <c r="D110" s="23">
        <v>14</v>
      </c>
      <c r="E110" s="12" t="str">
        <f t="shared" si="4"/>
        <v>3~3</v>
      </c>
      <c r="F110" s="12" t="s">
        <v>298</v>
      </c>
      <c r="G110" s="47" t="str">
        <f t="shared" si="5"/>
        <v>1~0.4~0.48</v>
      </c>
      <c r="H110" s="25" t="str" cm="1">
        <f t="array" aca="1" ref="H110" ca="1">_xlfn.LET(_xlpm._tb,_xlfn.XLOOKUP($B110,tb_shopType[type],tb_shopType[shop_table_name]),
_xlpm._col,MATCH($C110&amp;"-"&amp;TEXT(D110,"00"),INDIRECT(_xlpm._tb&amp;"[#标题]"),0),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15101=296;15102=296;15103=296;15104=296;15105=336;15106=336;15107=336;15108=375;15109=375;15110=375;15111=408;15112=408;15113=408;15114=426;15115=426;15116=416;15117=416;15118=416;15119=364;15120=364</v>
      </c>
    </row>
    <row r="111" spans="1:8" x14ac:dyDescent="0.2">
      <c r="A111" s="5">
        <v>20115</v>
      </c>
      <c r="B111" s="12" t="str">
        <f>VLOOKUP(VALUE(LEFT(A111,2)),tb_shopType[[prefix]:[type]],2,0)</f>
        <v>角色</v>
      </c>
      <c r="C111" s="23" t="str">
        <f>VLOOKUP(VALUE(MID(A111,LEN(A111)-2,1)),table_world[[id]:[name]],2,0)</f>
        <v>地宫</v>
      </c>
      <c r="D111" s="23">
        <v>15</v>
      </c>
      <c r="E111" s="12" t="str">
        <f t="shared" si="4"/>
        <v>3~3</v>
      </c>
      <c r="F111" s="12" t="s">
        <v>299</v>
      </c>
      <c r="G111" s="47" t="str">
        <f t="shared" si="5"/>
        <v>1~0.4~0.5</v>
      </c>
      <c r="H111" s="25" t="str" cm="1">
        <f t="array" aca="1" ref="H111" ca="1">_xlfn.LET(_xlpm._tb,_xlfn.XLOOKUP($B111,tb_shopType[type],tb_shopType[shop_table_name]),
_xlpm._col,MATCH($C111&amp;"-"&amp;TEXT(D111,"00"),INDIRECT(_xlpm._tb&amp;"[#标题]"),0),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15101=255;15102=255;15103=255;15104=255;15105=292;15106=292;15107=292;15108=329;15109=329;15110=329;15111=363;15112=363;15113=363;15114=386;15115=386;15116=387;15117=387;15118=387;15119=351;15120=351</v>
      </c>
    </row>
    <row r="112" spans="1:8" x14ac:dyDescent="0.2">
      <c r="A112" s="5">
        <v>20116</v>
      </c>
      <c r="B112" s="12" t="str">
        <f>VLOOKUP(VALUE(LEFT(A112,2)),tb_shopType[[prefix]:[type]],2,0)</f>
        <v>角色</v>
      </c>
      <c r="C112" s="23" t="str">
        <f>VLOOKUP(VALUE(MID(A112,LEN(A112)-2,1)),table_world[[id]:[name]],2,0)</f>
        <v>地宫</v>
      </c>
      <c r="D112" s="23">
        <v>16</v>
      </c>
      <c r="E112" s="12" t="str">
        <f t="shared" si="4"/>
        <v>3~3</v>
      </c>
      <c r="F112" s="12" t="s">
        <v>300</v>
      </c>
      <c r="G112" s="47" t="str">
        <f t="shared" si="5"/>
        <v>1~0.4~0.52</v>
      </c>
      <c r="H112" s="25" t="str" cm="1">
        <f t="array" aca="1" ref="H112" ca="1">_xlfn.LET(_xlpm._tb,_xlfn.XLOOKUP($B112,tb_shopType[type],tb_shopType[shop_table_name]),
_xlpm._col,MATCH($C112&amp;"-"&amp;TEXT(D112,"00"),INDIRECT(_xlpm._tb&amp;"[#标题]"),0),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15101=217;15102=217;15103=217;15104=217;15105=250;15106=250;15107=250;15108=284;15109=284;15110=284;15111=318;15112=318;15113=318;15114=344;15115=344;15116=353;15117=353;15118=353;15119=331;15120=331</v>
      </c>
    </row>
    <row r="113" spans="1:8" x14ac:dyDescent="0.2">
      <c r="A113" s="5">
        <v>20117</v>
      </c>
      <c r="B113" s="12" t="str">
        <f>VLOOKUP(VALUE(LEFT(A113,2)),tb_shopType[[prefix]:[type]],2,0)</f>
        <v>角色</v>
      </c>
      <c r="C113" s="23" t="str">
        <f>VLOOKUP(VALUE(MID(A113,LEN(A113)-2,1)),table_world[[id]:[name]],2,0)</f>
        <v>地宫</v>
      </c>
      <c r="D113" s="23">
        <v>17</v>
      </c>
      <c r="E113" s="12" t="str">
        <f t="shared" si="4"/>
        <v>3~3</v>
      </c>
      <c r="F113" s="12" t="s">
        <v>301</v>
      </c>
      <c r="G113" s="47" t="str">
        <f t="shared" si="5"/>
        <v>1~0.4~0.54</v>
      </c>
      <c r="H113" s="25" t="str" cm="1">
        <f t="array" aca="1" ref="H113" ca="1">_xlfn.LET(_xlpm._tb,_xlfn.XLOOKUP($B113,tb_shopType[type],tb_shopType[shop_table_name]),
_xlpm._col,MATCH($C113&amp;"-"&amp;TEXT(D113,"00"),INDIRECT(_xlpm._tb&amp;"[#标题]"),0),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15101=183;15102=183;15103=183;15104=183;15105=212;15106=212;15107=212;15108=243;15109=243;15110=243;15111=274;15112=274;15113=274;15114=301;15115=301;15116=316;15117=316;15118=316;15119=305;15120=305</v>
      </c>
    </row>
    <row r="114" spans="1:8" x14ac:dyDescent="0.2">
      <c r="A114" s="5">
        <v>20118</v>
      </c>
      <c r="B114" s="12" t="str">
        <f>VLOOKUP(VALUE(LEFT(A114,2)),tb_shopType[[prefix]:[type]],2,0)</f>
        <v>角色</v>
      </c>
      <c r="C114" s="23" t="str">
        <f>VLOOKUP(VALUE(MID(A114,LEN(A114)-2,1)),table_world[[id]:[name]],2,0)</f>
        <v>地宫</v>
      </c>
      <c r="D114" s="23">
        <v>18</v>
      </c>
      <c r="E114" s="12" t="str">
        <f t="shared" si="4"/>
        <v>3~3</v>
      </c>
      <c r="F114" s="12" t="s">
        <v>302</v>
      </c>
      <c r="G114" s="47" t="str">
        <f t="shared" si="5"/>
        <v>1~0.4~0.56</v>
      </c>
      <c r="H114" s="25" t="str" cm="1">
        <f t="array" aca="1" ref="H114" ca="1">_xlfn.LET(_xlpm._tb,_xlfn.XLOOKUP($B114,tb_shopType[type],tb_shopType[shop_table_name]),
_xlpm._col,MATCH($C114&amp;"-"&amp;TEXT(D114,"00"),INDIRECT(_xlpm._tb&amp;"[#标题]"),0),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15101=152;15102=152;15103=152;15104=152;15105=177;15106=177;15107=177;15108=204;15109=204;15110=204;15111=233;15112=233;15113=233;15114=259;15115=259;15116=277;15117=277;15118=277;15119=274;15120=274</v>
      </c>
    </row>
    <row r="115" spans="1:8" x14ac:dyDescent="0.2">
      <c r="A115" s="5">
        <v>20119</v>
      </c>
      <c r="B115" s="12" t="str">
        <f>VLOOKUP(VALUE(LEFT(A115,2)),tb_shopType[[prefix]:[type]],2,0)</f>
        <v>角色</v>
      </c>
      <c r="C115" s="23" t="str">
        <f>VLOOKUP(VALUE(MID(A115,LEN(A115)-2,1)),table_world[[id]:[name]],2,0)</f>
        <v>地宫</v>
      </c>
      <c r="D115" s="23">
        <v>19</v>
      </c>
      <c r="E115" s="12" t="str">
        <f t="shared" si="4"/>
        <v>3~3</v>
      </c>
      <c r="F115" s="12" t="s">
        <v>303</v>
      </c>
      <c r="G115" s="47" t="str">
        <f t="shared" si="5"/>
        <v>1~0.4~0.58</v>
      </c>
      <c r="H115" s="25" t="str" cm="1">
        <f t="array" aca="1" ref="H115" ca="1">_xlfn.LET(_xlpm._tb,_xlfn.XLOOKUP($B115,tb_shopType[type],tb_shopType[shop_table_name]),
_xlpm._col,MATCH($C115&amp;"-"&amp;TEXT(D115,"00"),INDIRECT(_xlpm._tb&amp;"[#标题]"),0),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15101=126;15102=126;15103=126;15104=126;15105=146;15106=146;15107=146;15108=169;15109=169;15110=169;15111=194;15112=194;15113=194;15114=219;15115=219;15116=237;15117=237;15118=237;15119=241;15120=241</v>
      </c>
    </row>
    <row r="116" spans="1:8" x14ac:dyDescent="0.2">
      <c r="A116" s="5">
        <v>20120</v>
      </c>
      <c r="B116" s="12" t="str">
        <f>VLOOKUP(VALUE(LEFT(A116,2)),tb_shopType[[prefix]:[type]],2,0)</f>
        <v>角色</v>
      </c>
      <c r="C116" s="23" t="str">
        <f>VLOOKUP(VALUE(MID(A116,LEN(A116)-2,1)),table_world[[id]:[name]],2,0)</f>
        <v>地宫</v>
      </c>
      <c r="D116" s="23">
        <v>20</v>
      </c>
      <c r="E116" s="12" t="str">
        <f t="shared" si="4"/>
        <v>3~3</v>
      </c>
      <c r="F116" s="12" t="s">
        <v>304</v>
      </c>
      <c r="G116" s="47" t="str">
        <f t="shared" si="5"/>
        <v>1~0.4~0.6</v>
      </c>
      <c r="H116" s="25" t="str" cm="1">
        <f t="array" aca="1" ref="H116" ca="1">_xlfn.LET(_xlpm._tb,_xlfn.XLOOKUP($B116,tb_shopType[type],tb_shopType[shop_table_name]),
_xlpm._col,MATCH($C116&amp;"-"&amp;TEXT(D116,"00"),INDIRECT(_xlpm._tb&amp;"[#标题]"),0),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15101=102;15102=102;15103=102;15104=102;15105=119;15106=119;15107=119;15108=138;15109=138;15110=138;15111=160;15112=160;15113=160;15114=181;15115=181;15116=200;15117=200;15118=200;15119=206;15120=206</v>
      </c>
    </row>
    <row r="118" spans="1:8" x14ac:dyDescent="0.2">
      <c r="A118" s="5">
        <v>20401</v>
      </c>
      <c r="B118" s="12" t="str">
        <f>VLOOKUP(VALUE(LEFT(A118,2)),tb_shopType[[prefix]:[type]],2,0)</f>
        <v>角色</v>
      </c>
      <c r="C118" s="23" t="str">
        <f>VLOOKUP(VALUE(MID(A118,LEN(A118)-2,1)),table_world[[id]:[name]],2,0)</f>
        <v>树梢</v>
      </c>
      <c r="D118" s="23">
        <v>1</v>
      </c>
      <c r="E118" s="12" t="str">
        <f>_xlfn.LET(_xlpm._i,RIGHT(A118,2),
INT(_xlpm._i/14)+2&amp;"~"&amp;3)</f>
        <v>2~3</v>
      </c>
      <c r="F118" s="12" t="s">
        <v>285</v>
      </c>
      <c r="G118" s="48" t="s">
        <v>283</v>
      </c>
      <c r="H118" s="25" t="str" cm="1">
        <f t="array" aca="1" ref="H118" ca="1">_xlfn.LET(_xlpm._tb,_xlfn.XLOOKUP($B118,tb_shopType[type],tb_shopType[shop_table_name]),
_xlpm._col,MATCH($C118&amp;"-"&amp;TEXT(D118,"00"),INDIRECT(_xlpm._tb&amp;"[#标题]"),0),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15101=756;15102=756;15103=756;15104=756;15105=692;15106=692;15107=692;15108=588;15109=588;15110=588;15111=452;15112=452;15113=452;15114=301;15115=301;15116=164;15117=164;15118=164;15119=67;15120=67</v>
      </c>
    </row>
    <row r="119" spans="1:8" x14ac:dyDescent="0.2">
      <c r="A119" s="5">
        <v>20402</v>
      </c>
      <c r="B119" s="12" t="str">
        <f>VLOOKUP(VALUE(LEFT(A119,2)),tb_shopType[[prefix]:[type]],2,0)</f>
        <v>角色</v>
      </c>
      <c r="C119" s="23" t="str">
        <f>VLOOKUP(VALUE(MID(A119,LEN(A119)-2,1)),table_world[[id]:[name]],2,0)</f>
        <v>树梢</v>
      </c>
      <c r="D119" s="23">
        <v>2</v>
      </c>
      <c r="E119" s="12" t="str">
        <f t="shared" ref="E119:E137" si="6">_xlfn.LET(_xlpm._i,RIGHT(A119,2),
INT(_xlpm._i/14)+2&amp;"~"&amp;3)</f>
        <v>2~3</v>
      </c>
      <c r="F119" s="12" t="s">
        <v>286</v>
      </c>
      <c r="G119" s="47" t="str">
        <f>"1~0.4~"&amp;0.2+D119*0.02</f>
        <v>1~0.4~0.24</v>
      </c>
      <c r="H119" s="25" t="str" cm="1">
        <f t="array" aca="1" ref="H119" ca="1">_xlfn.LET(_xlpm._tb,_xlfn.XLOOKUP($B119,tb_shopType[type],tb_shopType[shop_table_name]),
_xlpm._col,MATCH($C119&amp;"-"&amp;TEXT(D119,"00"),INDIRECT(_xlpm._tb&amp;"[#标题]"),0),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15101=752;15102=752;15103=752;15104=752;15105=705;15106=705;15107=705;15108=617;15109=617;15110=617;15111=492;15112=492;15113=492;15114=344;15115=344;15116=200;15117=200;15118=200;15119=88;15120=88</v>
      </c>
    </row>
    <row r="120" spans="1:8" x14ac:dyDescent="0.2">
      <c r="A120" s="5">
        <v>20403</v>
      </c>
      <c r="B120" s="12" t="str">
        <f>VLOOKUP(VALUE(LEFT(A120,2)),tb_shopType[[prefix]:[type]],2,0)</f>
        <v>角色</v>
      </c>
      <c r="C120" s="23" t="str">
        <f>VLOOKUP(VALUE(MID(A120,LEN(A120)-2,1)),table_world[[id]:[name]],2,0)</f>
        <v>树梢</v>
      </c>
      <c r="D120" s="23">
        <v>3</v>
      </c>
      <c r="E120" s="12" t="str">
        <f t="shared" si="6"/>
        <v>2~3</v>
      </c>
      <c r="F120" s="12" t="s">
        <v>287</v>
      </c>
      <c r="G120" s="47" t="str">
        <f t="shared" ref="G120:G137" si="7">"1~0.4~"&amp;0.2+D120*0.02</f>
        <v>1~0.4~0.26</v>
      </c>
      <c r="H120" s="25" t="str" cm="1">
        <f t="array" aca="1" ref="H120" ca="1">_xlfn.LET(_xlpm._tb,_xlfn.XLOOKUP($B120,tb_shopType[type],tb_shopType[shop_table_name]),
_xlpm._col,MATCH($C120&amp;"-"&amp;TEXT(D120,"00"),INDIRECT(_xlpm._tb&amp;"[#标题]"),0),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15101=739;15102=739;15103=739;15104=739;15105=709;15106=709;15107=709;15108=639;15109=639;15110=639;15111=528;15112=528;15113=528;15114=386;15115=386;15116=237;15117=237;15118=237;15119=113;15120=113</v>
      </c>
    </row>
    <row r="121" spans="1:8" x14ac:dyDescent="0.2">
      <c r="A121" s="5">
        <v>20404</v>
      </c>
      <c r="B121" s="12" t="str">
        <f>VLOOKUP(VALUE(LEFT(A121,2)),tb_shopType[[prefix]:[type]],2,0)</f>
        <v>角色</v>
      </c>
      <c r="C121" s="23" t="str">
        <f>VLOOKUP(VALUE(MID(A121,LEN(A121)-2,1)),table_world[[id]:[name]],2,0)</f>
        <v>树梢</v>
      </c>
      <c r="D121" s="23">
        <v>4</v>
      </c>
      <c r="E121" s="12" t="str">
        <f t="shared" si="6"/>
        <v>2~3</v>
      </c>
      <c r="F121" s="12" t="s">
        <v>288</v>
      </c>
      <c r="G121" s="47" t="str">
        <f t="shared" si="7"/>
        <v>1~0.4~0.28</v>
      </c>
      <c r="H121" s="25" t="str" cm="1">
        <f t="array" aca="1" ref="H121" ca="1">_xlfn.LET(_xlpm._tb,_xlfn.XLOOKUP($B121,tb_shopType[type],tb_shopType[shop_table_name]),
_xlpm._col,MATCH($C121&amp;"-"&amp;TEXT(D121,"00"),INDIRECT(_xlpm._tb&amp;"[#标题]"),0),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15101=719;15102=719;15103=719;15104=719;15105=705;15106=705;15107=705;15108=653;15109=653;15110=653;15111=558;15112=558;15113=558;15114=426;15115=426;15116=277;15117=277;15118=277;15119=141;15120=141</v>
      </c>
    </row>
    <row r="122" spans="1:8" x14ac:dyDescent="0.2">
      <c r="A122" s="5">
        <v>20405</v>
      </c>
      <c r="B122" s="12" t="str">
        <f>VLOOKUP(VALUE(LEFT(A122,2)),tb_shopType[[prefix]:[type]],2,0)</f>
        <v>角色</v>
      </c>
      <c r="C122" s="23" t="str">
        <f>VLOOKUP(VALUE(MID(A122,LEN(A122)-2,1)),table_world[[id]:[name]],2,0)</f>
        <v>树梢</v>
      </c>
      <c r="D122" s="23">
        <v>5</v>
      </c>
      <c r="E122" s="12" t="str">
        <f t="shared" si="6"/>
        <v>2~3</v>
      </c>
      <c r="F122" s="12" t="s">
        <v>289</v>
      </c>
      <c r="G122" s="47" t="str">
        <f t="shared" si="7"/>
        <v>1~0.4~0.3</v>
      </c>
      <c r="H122" s="25" t="str" cm="1">
        <f t="array" aca="1" ref="H122" ca="1">_xlfn.LET(_xlpm._tb,_xlfn.XLOOKUP($B122,tb_shopType[type],tb_shopType[shop_table_name]),
_xlpm._col,MATCH($C122&amp;"-"&amp;TEXT(D122,"00"),INDIRECT(_xlpm._tb&amp;"[#标题]"),0),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15101=692;15102=692;15103=692;15104=692;15105=692;15106=692;15107=692;15108=657;15109=657;15110=657;15111=580;15112=580;15113=580;15114=461;15115=461;15116=316;15117=316;15118=316;15119=173;15120=173</v>
      </c>
    </row>
    <row r="123" spans="1:8" x14ac:dyDescent="0.2">
      <c r="A123" s="5">
        <v>20406</v>
      </c>
      <c r="B123" s="12" t="str">
        <f>VLOOKUP(VALUE(LEFT(A123,2)),tb_shopType[[prefix]:[type]],2,0)</f>
        <v>角色</v>
      </c>
      <c r="C123" s="23" t="str">
        <f>VLOOKUP(VALUE(MID(A123,LEN(A123)-2,1)),table_world[[id]:[name]],2,0)</f>
        <v>树梢</v>
      </c>
      <c r="D123" s="23">
        <v>6</v>
      </c>
      <c r="E123" s="12" t="str">
        <f t="shared" si="6"/>
        <v>2~3</v>
      </c>
      <c r="F123" s="12" t="s">
        <v>290</v>
      </c>
      <c r="G123" s="47" t="str">
        <f t="shared" si="7"/>
        <v>1~0.4~0.32</v>
      </c>
      <c r="H123" s="25" t="str" cm="1">
        <f t="array" aca="1" ref="H123" ca="1">_xlfn.LET(_xlpm._tb,_xlfn.XLOOKUP($B123,tb_shopType[type],tb_shopType[shop_table_name]),
_xlpm._col,MATCH($C123&amp;"-"&amp;TEXT(D123,"00"),INDIRECT(_xlpm._tb&amp;"[#标题]"),0),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15101=658;15102=658;15103=658;15104=658;15105=671;15106=671;15107=671;15108=653;15109=653;15110=653;15111=594;15112=594;15113=594;15114=491;15115=491;15116=353;15117=353;15118=353;15119=206;15120=206</v>
      </c>
    </row>
    <row r="124" spans="1:8" x14ac:dyDescent="0.2">
      <c r="A124" s="5">
        <v>20407</v>
      </c>
      <c r="B124" s="12" t="str">
        <f>VLOOKUP(VALUE(LEFT(A124,2)),tb_shopType[[prefix]:[type]],2,0)</f>
        <v>角色</v>
      </c>
      <c r="C124" s="23" t="str">
        <f>VLOOKUP(VALUE(MID(A124,LEN(A124)-2,1)),table_world[[id]:[name]],2,0)</f>
        <v>树梢</v>
      </c>
      <c r="D124" s="23">
        <v>7</v>
      </c>
      <c r="E124" s="12" t="str">
        <f t="shared" si="6"/>
        <v>2~3</v>
      </c>
      <c r="F124" s="12" t="s">
        <v>291</v>
      </c>
      <c r="G124" s="47" t="str">
        <f t="shared" si="7"/>
        <v>1~0.4~0.34</v>
      </c>
      <c r="H124" s="25" t="str" cm="1">
        <f t="array" aca="1" ref="H124" ca="1">_xlfn.LET(_xlpm._tb,_xlfn.XLOOKUP($B124,tb_shopType[type],tb_shopType[shop_table_name]),
_xlpm._col,MATCH($C124&amp;"-"&amp;TEXT(D124,"00"),INDIRECT(_xlpm._tb&amp;"[#标题]"),0),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15101=619;15102=619;15103=619;15104=619;15105=643;15106=643;15107=643;15108=639;15109=639;15110=639;15111=598;15112=598;15113=598;15114=513;15115=513;15116=387;15117=387;15118=387;15119=241;15120=241</v>
      </c>
    </row>
    <row r="125" spans="1:8" x14ac:dyDescent="0.2">
      <c r="A125" s="5">
        <v>20408</v>
      </c>
      <c r="B125" s="12" t="str">
        <f>VLOOKUP(VALUE(LEFT(A125,2)),tb_shopType[[prefix]:[type]],2,0)</f>
        <v>角色</v>
      </c>
      <c r="C125" s="23" t="str">
        <f>VLOOKUP(VALUE(MID(A125,LEN(A125)-2,1)),table_world[[id]:[name]],2,0)</f>
        <v>树梢</v>
      </c>
      <c r="D125" s="23">
        <v>8</v>
      </c>
      <c r="E125" s="12" t="str">
        <f t="shared" si="6"/>
        <v>2~3</v>
      </c>
      <c r="F125" s="12" t="s">
        <v>292</v>
      </c>
      <c r="G125" s="47" t="str">
        <f t="shared" si="7"/>
        <v>1~0.4~0.36</v>
      </c>
      <c r="H125" s="25" t="str" cm="1">
        <f t="array" aca="1" ref="H125" ca="1">_xlfn.LET(_xlpm._tb,_xlfn.XLOOKUP($B125,tb_shopType[type],tb_shopType[shop_table_name]),
_xlpm._col,MATCH($C125&amp;"-"&amp;TEXT(D125,"00"),INDIRECT(_xlpm._tb&amp;"[#标题]"),0),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15101=576;15102=576;15103=576;15104=576;15105=608;15106=608;15107=608;15108=617;15109=617;15110=617;15111=594;15112=594;15113=594;15114=527;15115=527;15116=416;15117=416;15118=416;15119=274;15120=274</v>
      </c>
    </row>
    <row r="126" spans="1:8" x14ac:dyDescent="0.2">
      <c r="A126" s="5">
        <v>20409</v>
      </c>
      <c r="B126" s="12" t="str">
        <f>VLOOKUP(VALUE(LEFT(A126,2)),tb_shopType[[prefix]:[type]],2,0)</f>
        <v>角色</v>
      </c>
      <c r="C126" s="23" t="str">
        <f>VLOOKUP(VALUE(MID(A126,LEN(A126)-2,1)),table_world[[id]:[name]],2,0)</f>
        <v>树梢</v>
      </c>
      <c r="D126" s="23">
        <v>9</v>
      </c>
      <c r="E126" s="12" t="str">
        <f t="shared" si="6"/>
        <v>2~3</v>
      </c>
      <c r="F126" s="12" t="s">
        <v>293</v>
      </c>
      <c r="G126" s="47" t="str">
        <f t="shared" si="7"/>
        <v>1~0.4~0.38</v>
      </c>
      <c r="H126" s="25" t="str" cm="1">
        <f t="array" aca="1" ref="H126" ca="1">_xlfn.LET(_xlpm._tb,_xlfn.XLOOKUP($B126,tb_shopType[type],tb_shopType[shop_table_name]),
_xlpm._col,MATCH($C126&amp;"-"&amp;TEXT(D126,"00"),INDIRECT(_xlpm._tb&amp;"[#标题]"),0),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15101=530;15102=530;15103=530;15104=530;15105=568;15106=568;15107=568;15108=588;15109=588;15110=588;15111=580;15112=580;15113=580;15114=532;15115=532;15116=438;15117=438;15118=438;15119=305;15120=305</v>
      </c>
    </row>
    <row r="127" spans="1:8" x14ac:dyDescent="0.2">
      <c r="A127" s="5">
        <v>20410</v>
      </c>
      <c r="B127" s="12" t="str">
        <f>VLOOKUP(VALUE(LEFT(A127,2)),tb_shopType[[prefix]:[type]],2,0)</f>
        <v>角色</v>
      </c>
      <c r="C127" s="23" t="str">
        <f>VLOOKUP(VALUE(MID(A127,LEN(A127)-2,1)),table_world[[id]:[name]],2,0)</f>
        <v>树梢</v>
      </c>
      <c r="D127" s="23">
        <v>10</v>
      </c>
      <c r="E127" s="12" t="str">
        <f t="shared" si="6"/>
        <v>2~3</v>
      </c>
      <c r="F127" s="12" t="s">
        <v>294</v>
      </c>
      <c r="G127" s="47" t="str">
        <f t="shared" si="7"/>
        <v>1~0.4~0.4</v>
      </c>
      <c r="H127" s="25" t="str" cm="1">
        <f t="array" aca="1" ref="H127" ca="1">_xlfn.LET(_xlpm._tb,_xlfn.XLOOKUP($B127,tb_shopType[type],tb_shopType[shop_table_name]),
_xlpm._col,MATCH($C127&amp;"-"&amp;TEXT(D127,"00"),INDIRECT(_xlpm._tb&amp;"[#标题]"),0),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15101=483;15102=483;15103=483;15104=483;15105=524;15106=524;15107=524;15108=553;15109=553;15110=553;15111=558;15112=558;15113=558;15114=527;15115=527;15116=451;15117=451;15118=451;15119=331;15120=331</v>
      </c>
    </row>
    <row r="128" spans="1:8" x14ac:dyDescent="0.2">
      <c r="A128" s="5">
        <v>20411</v>
      </c>
      <c r="B128" s="12" t="str">
        <f>VLOOKUP(VALUE(LEFT(A128,2)),tb_shopType[[prefix]:[type]],2,0)</f>
        <v>角色</v>
      </c>
      <c r="C128" s="23" t="str">
        <f>VLOOKUP(VALUE(MID(A128,LEN(A128)-2,1)),table_world[[id]:[name]],2,0)</f>
        <v>树梢</v>
      </c>
      <c r="D128" s="23">
        <v>11</v>
      </c>
      <c r="E128" s="12" t="str">
        <f t="shared" si="6"/>
        <v>2~3</v>
      </c>
      <c r="F128" s="12" t="s">
        <v>295</v>
      </c>
      <c r="G128" s="47" t="str">
        <f t="shared" si="7"/>
        <v>1~0.4~0.42</v>
      </c>
      <c r="H128" s="25" t="str" cm="1">
        <f t="array" aca="1" ref="H128" ca="1">_xlfn.LET(_xlpm._tb,_xlfn.XLOOKUP($B128,tb_shopType[type],tb_shopType[shop_table_name]),
_xlpm._col,MATCH($C128&amp;"-"&amp;TEXT(D128,"00"),INDIRECT(_xlpm._tb&amp;"[#标题]"),0),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15101=434;15102=434;15103=434;15104=434;15105=478;15106=478;15107=478;15108=512;15109=512;15110=512;15111=528;15112=528;15113=528;15114=513;15115=513;15116=456;15117=456;15118=456;15119=351;15120=351</v>
      </c>
    </row>
    <row r="129" spans="1:8" x14ac:dyDescent="0.2">
      <c r="A129" s="5">
        <v>20412</v>
      </c>
      <c r="B129" s="12" t="str">
        <f>VLOOKUP(VALUE(LEFT(A129,2)),tb_shopType[[prefix]:[type]],2,0)</f>
        <v>角色</v>
      </c>
      <c r="C129" s="23" t="str">
        <f>VLOOKUP(VALUE(MID(A129,LEN(A129)-2,1)),table_world[[id]:[name]],2,0)</f>
        <v>树梢</v>
      </c>
      <c r="D129" s="23">
        <v>12</v>
      </c>
      <c r="E129" s="12" t="str">
        <f t="shared" si="6"/>
        <v>2~3</v>
      </c>
      <c r="F129" s="12" t="s">
        <v>296</v>
      </c>
      <c r="G129" s="47" t="str">
        <f t="shared" si="7"/>
        <v>1~0.4~0.44</v>
      </c>
      <c r="H129" s="25" t="str" cm="1">
        <f t="array" aca="1" ref="H129" ca="1">_xlfn.LET(_xlpm._tb,_xlfn.XLOOKUP($B129,tb_shopType[type],tb_shopType[shop_table_name]),
_xlpm._col,MATCH($C129&amp;"-"&amp;TEXT(D129,"00"),INDIRECT(_xlpm._tb&amp;"[#标题]"),0),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15101=387;15102=387;15103=387;15104=387;15105=430;15106=430;15107=430;15108=468;15109=468;15110=468;15111=492;15112=492;15113=492;15114=491;15115=491;15116=451;15117=451;15118=451;15119=364;15120=364</v>
      </c>
    </row>
    <row r="130" spans="1:8" x14ac:dyDescent="0.2">
      <c r="A130" s="5">
        <v>20413</v>
      </c>
      <c r="B130" s="12" t="str">
        <f>VLOOKUP(VALUE(LEFT(A130,2)),tb_shopType[[prefix]:[type]],2,0)</f>
        <v>角色</v>
      </c>
      <c r="C130" s="23" t="str">
        <f>VLOOKUP(VALUE(MID(A130,LEN(A130)-2,1)),table_world[[id]:[name]],2,0)</f>
        <v>树梢</v>
      </c>
      <c r="D130" s="23">
        <v>13</v>
      </c>
      <c r="E130" s="12" t="str">
        <f t="shared" si="6"/>
        <v>2~3</v>
      </c>
      <c r="F130" s="12" t="s">
        <v>297</v>
      </c>
      <c r="G130" s="47" t="str">
        <f t="shared" si="7"/>
        <v>1~0.4~0.46</v>
      </c>
      <c r="H130" s="25" t="str" cm="1">
        <f t="array" aca="1" ref="H130" ca="1">_xlfn.LET(_xlpm._tb,_xlfn.XLOOKUP($B130,tb_shopType[type],tb_shopType[shop_table_name]),
_xlpm._col,MATCH($C130&amp;"-"&amp;TEXT(D130,"00"),INDIRECT(_xlpm._tb&amp;"[#标题]"),0),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15101=340;15102=340;15103=340;15104=340;15105=383;15106=383;15107=383;15108=422;15109=422;15110=422;15111=452;15112=452;15113=452;15114=461;15115=461;15116=438;15117=438;15118=438;15119=368;15120=368</v>
      </c>
    </row>
    <row r="131" spans="1:8" x14ac:dyDescent="0.2">
      <c r="A131" s="5">
        <v>20414</v>
      </c>
      <c r="B131" s="12" t="str">
        <f>VLOOKUP(VALUE(LEFT(A131,2)),tb_shopType[[prefix]:[type]],2,0)</f>
        <v>角色</v>
      </c>
      <c r="C131" s="23" t="str">
        <f>VLOOKUP(VALUE(MID(A131,LEN(A131)-2,1)),table_world[[id]:[name]],2,0)</f>
        <v>树梢</v>
      </c>
      <c r="D131" s="23">
        <v>14</v>
      </c>
      <c r="E131" s="12" t="str">
        <f t="shared" si="6"/>
        <v>3~3</v>
      </c>
      <c r="F131" s="12" t="s">
        <v>298</v>
      </c>
      <c r="G131" s="47" t="str">
        <f t="shared" si="7"/>
        <v>1~0.4~0.48</v>
      </c>
      <c r="H131" s="25" t="str" cm="1">
        <f t="array" aca="1" ref="H131" ca="1">_xlfn.LET(_xlpm._tb,_xlfn.XLOOKUP($B131,tb_shopType[type],tb_shopType[shop_table_name]),
_xlpm._col,MATCH($C131&amp;"-"&amp;TEXT(D131,"00"),INDIRECT(_xlpm._tb&amp;"[#标题]"),0),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15101=296;15102=296;15103=296;15104=296;15105=336;15106=336;15107=336;15108=375;15109=375;15110=375;15111=408;15112=408;15113=408;15114=426;15115=426;15116=416;15117=416;15118=416;15119=364;15120=364</v>
      </c>
    </row>
    <row r="132" spans="1:8" x14ac:dyDescent="0.2">
      <c r="A132" s="5">
        <v>20415</v>
      </c>
      <c r="B132" s="12" t="str">
        <f>VLOOKUP(VALUE(LEFT(A132,2)),tb_shopType[[prefix]:[type]],2,0)</f>
        <v>角色</v>
      </c>
      <c r="C132" s="23" t="str">
        <f>VLOOKUP(VALUE(MID(A132,LEN(A132)-2,1)),table_world[[id]:[name]],2,0)</f>
        <v>树梢</v>
      </c>
      <c r="D132" s="23">
        <v>15</v>
      </c>
      <c r="E132" s="12" t="str">
        <f t="shared" si="6"/>
        <v>3~3</v>
      </c>
      <c r="F132" s="12" t="s">
        <v>299</v>
      </c>
      <c r="G132" s="47" t="str">
        <f t="shared" si="7"/>
        <v>1~0.4~0.5</v>
      </c>
      <c r="H132" s="25" t="str" cm="1">
        <f t="array" aca="1" ref="H132" ca="1">_xlfn.LET(_xlpm._tb,_xlfn.XLOOKUP($B132,tb_shopType[type],tb_shopType[shop_table_name]),
_xlpm._col,MATCH($C132&amp;"-"&amp;TEXT(D132,"00"),INDIRECT(_xlpm._tb&amp;"[#标题]"),0),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15101=255;15102=255;15103=255;15104=255;15105=292;15106=292;15107=292;15108=329;15109=329;15110=329;15111=363;15112=363;15113=363;15114=386;15115=386;15116=387;15117=387;15118=387;15119=351;15120=351</v>
      </c>
    </row>
    <row r="133" spans="1:8" x14ac:dyDescent="0.2">
      <c r="A133" s="5">
        <v>20416</v>
      </c>
      <c r="B133" s="12" t="str">
        <f>VLOOKUP(VALUE(LEFT(A133,2)),tb_shopType[[prefix]:[type]],2,0)</f>
        <v>角色</v>
      </c>
      <c r="C133" s="23" t="str">
        <f>VLOOKUP(VALUE(MID(A133,LEN(A133)-2,1)),table_world[[id]:[name]],2,0)</f>
        <v>树梢</v>
      </c>
      <c r="D133" s="23">
        <v>16</v>
      </c>
      <c r="E133" s="12" t="str">
        <f t="shared" si="6"/>
        <v>3~3</v>
      </c>
      <c r="F133" s="12" t="s">
        <v>300</v>
      </c>
      <c r="G133" s="47" t="str">
        <f t="shared" si="7"/>
        <v>1~0.4~0.52</v>
      </c>
      <c r="H133" s="25" t="str" cm="1">
        <f t="array" aca="1" ref="H133" ca="1">_xlfn.LET(_xlpm._tb,_xlfn.XLOOKUP($B133,tb_shopType[type],tb_shopType[shop_table_name]),
_xlpm._col,MATCH($C133&amp;"-"&amp;TEXT(D133,"00"),INDIRECT(_xlpm._tb&amp;"[#标题]"),0),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15101=217;15102=217;15103=217;15104=217;15105=250;15106=250;15107=250;15108=284;15109=284;15110=284;15111=318;15112=318;15113=318;15114=344;15115=344;15116=353;15117=353;15118=353;15119=331;15120=331</v>
      </c>
    </row>
    <row r="134" spans="1:8" x14ac:dyDescent="0.2">
      <c r="A134" s="5">
        <v>20417</v>
      </c>
      <c r="B134" s="12" t="str">
        <f>VLOOKUP(VALUE(LEFT(A134,2)),tb_shopType[[prefix]:[type]],2,0)</f>
        <v>角色</v>
      </c>
      <c r="C134" s="23" t="str">
        <f>VLOOKUP(VALUE(MID(A134,LEN(A134)-2,1)),table_world[[id]:[name]],2,0)</f>
        <v>树梢</v>
      </c>
      <c r="D134" s="23">
        <v>17</v>
      </c>
      <c r="E134" s="12" t="str">
        <f t="shared" si="6"/>
        <v>3~3</v>
      </c>
      <c r="F134" s="12" t="s">
        <v>301</v>
      </c>
      <c r="G134" s="47" t="str">
        <f t="shared" si="7"/>
        <v>1~0.4~0.54</v>
      </c>
      <c r="H134" s="25" t="str" cm="1">
        <f t="array" aca="1" ref="H134" ca="1">_xlfn.LET(_xlpm._tb,_xlfn.XLOOKUP($B134,tb_shopType[type],tb_shopType[shop_table_name]),
_xlpm._col,MATCH($C134&amp;"-"&amp;TEXT(D134,"00"),INDIRECT(_xlpm._tb&amp;"[#标题]"),0),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15101=183;15102=183;15103=183;15104=183;15105=212;15106=212;15107=212;15108=243;15109=243;15110=243;15111=274;15112=274;15113=274;15114=301;15115=301;15116=316;15117=316;15118=316;15119=305;15120=305</v>
      </c>
    </row>
    <row r="135" spans="1:8" x14ac:dyDescent="0.2">
      <c r="A135" s="5">
        <v>20418</v>
      </c>
      <c r="B135" s="12" t="str">
        <f>VLOOKUP(VALUE(LEFT(A135,2)),tb_shopType[[prefix]:[type]],2,0)</f>
        <v>角色</v>
      </c>
      <c r="C135" s="23" t="str">
        <f>VLOOKUP(VALUE(MID(A135,LEN(A135)-2,1)),table_world[[id]:[name]],2,0)</f>
        <v>树梢</v>
      </c>
      <c r="D135" s="23">
        <v>18</v>
      </c>
      <c r="E135" s="12" t="str">
        <f t="shared" si="6"/>
        <v>3~3</v>
      </c>
      <c r="F135" s="12" t="s">
        <v>302</v>
      </c>
      <c r="G135" s="47" t="str">
        <f t="shared" si="7"/>
        <v>1~0.4~0.56</v>
      </c>
      <c r="H135" s="25" t="str" cm="1">
        <f t="array" aca="1" ref="H135" ca="1">_xlfn.LET(_xlpm._tb,_xlfn.XLOOKUP($B135,tb_shopType[type],tb_shopType[shop_table_name]),
_xlpm._col,MATCH($C135&amp;"-"&amp;TEXT(D135,"00"),INDIRECT(_xlpm._tb&amp;"[#标题]"),0),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15101=152;15102=152;15103=152;15104=152;15105=177;15106=177;15107=177;15108=204;15109=204;15110=204;15111=233;15112=233;15113=233;15114=259;15115=259;15116=277;15117=277;15118=277;15119=274;15120=274</v>
      </c>
    </row>
    <row r="136" spans="1:8" x14ac:dyDescent="0.2">
      <c r="A136" s="5">
        <v>20419</v>
      </c>
      <c r="B136" s="12" t="str">
        <f>VLOOKUP(VALUE(LEFT(A136,2)),tb_shopType[[prefix]:[type]],2,0)</f>
        <v>角色</v>
      </c>
      <c r="C136" s="23" t="str">
        <f>VLOOKUP(VALUE(MID(A136,LEN(A136)-2,1)),table_world[[id]:[name]],2,0)</f>
        <v>树梢</v>
      </c>
      <c r="D136" s="23">
        <v>19</v>
      </c>
      <c r="E136" s="12" t="str">
        <f t="shared" si="6"/>
        <v>3~3</v>
      </c>
      <c r="F136" s="12" t="s">
        <v>303</v>
      </c>
      <c r="G136" s="47" t="str">
        <f t="shared" si="7"/>
        <v>1~0.4~0.58</v>
      </c>
      <c r="H136" s="25" t="str" cm="1">
        <f t="array" aca="1" ref="H136" ca="1">_xlfn.LET(_xlpm._tb,_xlfn.XLOOKUP($B136,tb_shopType[type],tb_shopType[shop_table_name]),
_xlpm._col,MATCH($C136&amp;"-"&amp;TEXT(D136,"00"),INDIRECT(_xlpm._tb&amp;"[#标题]"),0),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15101=126;15102=126;15103=126;15104=126;15105=146;15106=146;15107=146;15108=169;15109=169;15110=169;15111=194;15112=194;15113=194;15114=219;15115=219;15116=237;15117=237;15118=237;15119=241;15120=241</v>
      </c>
    </row>
    <row r="137" spans="1:8" x14ac:dyDescent="0.2">
      <c r="A137" s="5">
        <v>20420</v>
      </c>
      <c r="B137" s="12" t="str">
        <f>VLOOKUP(VALUE(LEFT(A137,2)),tb_shopType[[prefix]:[type]],2,0)</f>
        <v>角色</v>
      </c>
      <c r="C137" s="23" t="str">
        <f>VLOOKUP(VALUE(MID(A137,LEN(A137)-2,1)),table_world[[id]:[name]],2,0)</f>
        <v>树梢</v>
      </c>
      <c r="D137" s="23">
        <v>20</v>
      </c>
      <c r="E137" s="12" t="str">
        <f t="shared" si="6"/>
        <v>3~3</v>
      </c>
      <c r="F137" s="12" t="s">
        <v>304</v>
      </c>
      <c r="G137" s="47" t="str">
        <f t="shared" si="7"/>
        <v>1~0.4~0.6</v>
      </c>
      <c r="H137" s="25" t="str" cm="1">
        <f t="array" aca="1" ref="H137" ca="1">_xlfn.LET(_xlpm._tb,_xlfn.XLOOKUP($B137,tb_shopType[type],tb_shopType[shop_table_name]),
_xlpm._col,MATCH($C137&amp;"-"&amp;TEXT(D137,"00"),INDIRECT(_xlpm._tb&amp;"[#标题]"),0),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15101=102;15102=102;15103=102;15104=102;15105=119;15106=119;15107=119;15108=138;15109=138;15110=138;15111=160;15112=160;15113=160;15114=181;15115=181;15116=200;15117=200;15118=200;15119=206;15120=206</v>
      </c>
    </row>
    <row r="139" spans="1:8" x14ac:dyDescent="0.2">
      <c r="A139" s="5">
        <v>20701</v>
      </c>
      <c r="B139" s="12" t="str">
        <f>VLOOKUP(VALUE(LEFT(A139,2)),tb_shopType[[prefix]:[type]],2,0)</f>
        <v>角色</v>
      </c>
      <c r="C139" s="23" t="str">
        <f>VLOOKUP(VALUE(MID(A139,LEN(A139)-2,1)),table_world[[id]:[name]],2,0)</f>
        <v>荒漠</v>
      </c>
      <c r="D139" s="23">
        <v>1</v>
      </c>
      <c r="E139" s="12" t="str">
        <f>_xlfn.LET(_xlpm._i,RIGHT(A139,2),
INT(_xlpm._i/14)+2&amp;"~"&amp;3)</f>
        <v>2~3</v>
      </c>
      <c r="F139" s="12" t="s">
        <v>285</v>
      </c>
      <c r="G139" s="48" t="s">
        <v>283</v>
      </c>
      <c r="H139" s="25" t="str" cm="1">
        <f t="array" aca="1" ref="H139" ca="1">_xlfn.LET(_xlpm._tb,_xlfn.XLOOKUP($B139,tb_shopType[type],tb_shopType[shop_table_name]),
_xlpm._col,MATCH($C139&amp;"-"&amp;TEXT(D139,"00"),INDIRECT(_xlpm._tb&amp;"[#标题]"),0),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15101=756;15102=756;15103=756;15104=756;15105=692;15106=692;15107=692;15108=588;15109=588;15110=588;15111=452;15112=452;15113=452;15114=301;15115=301;15116=164;15117=164;15118=164;15119=67;15120=67</v>
      </c>
    </row>
    <row r="140" spans="1:8" x14ac:dyDescent="0.2">
      <c r="A140" s="5">
        <v>20702</v>
      </c>
      <c r="B140" s="12" t="str">
        <f>VLOOKUP(VALUE(LEFT(A140,2)),tb_shopType[[prefix]:[type]],2,0)</f>
        <v>角色</v>
      </c>
      <c r="C140" s="23" t="str">
        <f>VLOOKUP(VALUE(MID(A140,LEN(A140)-2,1)),table_world[[id]:[name]],2,0)</f>
        <v>荒漠</v>
      </c>
      <c r="D140" s="23">
        <v>2</v>
      </c>
      <c r="E140" s="12" t="str">
        <f t="shared" ref="E140:E158" si="8">_xlfn.LET(_xlpm._i,RIGHT(A140,2),
INT(_xlpm._i/14)+2&amp;"~"&amp;3)</f>
        <v>2~3</v>
      </c>
      <c r="F140" s="12" t="s">
        <v>286</v>
      </c>
      <c r="G140" s="47" t="str">
        <f>"1~0.4~"&amp;0.2+D140*0.02</f>
        <v>1~0.4~0.24</v>
      </c>
      <c r="H140" s="25" t="str" cm="1">
        <f t="array" aca="1" ref="H140" ca="1">_xlfn.LET(_xlpm._tb,_xlfn.XLOOKUP($B140,tb_shopType[type],tb_shopType[shop_table_name]),
_xlpm._col,MATCH($C140&amp;"-"&amp;TEXT(D140,"00"),INDIRECT(_xlpm._tb&amp;"[#标题]"),0),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15101=752;15102=752;15103=752;15104=752;15105=705;15106=705;15107=705;15108=617;15109=617;15110=617;15111=492;15112=492;15113=492;15114=344;15115=344;15116=200;15117=200;15118=200;15119=88;15120=88</v>
      </c>
    </row>
    <row r="141" spans="1:8" x14ac:dyDescent="0.2">
      <c r="A141" s="5">
        <v>20703</v>
      </c>
      <c r="B141" s="12" t="str">
        <f>VLOOKUP(VALUE(LEFT(A141,2)),tb_shopType[[prefix]:[type]],2,0)</f>
        <v>角色</v>
      </c>
      <c r="C141" s="23" t="str">
        <f>VLOOKUP(VALUE(MID(A141,LEN(A141)-2,1)),table_world[[id]:[name]],2,0)</f>
        <v>荒漠</v>
      </c>
      <c r="D141" s="23">
        <v>3</v>
      </c>
      <c r="E141" s="12" t="str">
        <f t="shared" si="8"/>
        <v>2~3</v>
      </c>
      <c r="F141" s="12" t="s">
        <v>287</v>
      </c>
      <c r="G141" s="47" t="str">
        <f t="shared" ref="G141:G158" si="9">"1~0.4~"&amp;0.2+D141*0.02</f>
        <v>1~0.4~0.26</v>
      </c>
      <c r="H141" s="25" t="str" cm="1">
        <f t="array" aca="1" ref="H141" ca="1">_xlfn.LET(_xlpm._tb,_xlfn.XLOOKUP($B141,tb_shopType[type],tb_shopType[shop_table_name]),
_xlpm._col,MATCH($C141&amp;"-"&amp;TEXT(D141,"00"),INDIRECT(_xlpm._tb&amp;"[#标题]"),0),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15101=739;15102=739;15103=739;15104=739;15105=709;15106=709;15107=709;15108=639;15109=639;15110=639;15111=528;15112=528;15113=528;15114=386;15115=386;15116=237;15117=237;15118=237;15119=113;15120=113</v>
      </c>
    </row>
    <row r="142" spans="1:8" x14ac:dyDescent="0.2">
      <c r="A142" s="5">
        <v>20704</v>
      </c>
      <c r="B142" s="12" t="str">
        <f>VLOOKUP(VALUE(LEFT(A142,2)),tb_shopType[[prefix]:[type]],2,0)</f>
        <v>角色</v>
      </c>
      <c r="C142" s="23" t="str">
        <f>VLOOKUP(VALUE(MID(A142,LEN(A142)-2,1)),table_world[[id]:[name]],2,0)</f>
        <v>荒漠</v>
      </c>
      <c r="D142" s="23">
        <v>4</v>
      </c>
      <c r="E142" s="12" t="str">
        <f t="shared" si="8"/>
        <v>2~3</v>
      </c>
      <c r="F142" s="12" t="s">
        <v>288</v>
      </c>
      <c r="G142" s="47" t="str">
        <f t="shared" si="9"/>
        <v>1~0.4~0.28</v>
      </c>
      <c r="H142" s="25" t="str" cm="1">
        <f t="array" aca="1" ref="H142" ca="1">_xlfn.LET(_xlpm._tb,_xlfn.XLOOKUP($B142,tb_shopType[type],tb_shopType[shop_table_name]),
_xlpm._col,MATCH($C142&amp;"-"&amp;TEXT(D142,"00"),INDIRECT(_xlpm._tb&amp;"[#标题]"),0),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15101=719;15102=719;15103=719;15104=719;15105=705;15106=705;15107=705;15108=653;15109=653;15110=653;15111=558;15112=558;15113=558;15114=426;15115=426;15116=277;15117=277;15118=277;15119=141;15120=141</v>
      </c>
    </row>
    <row r="143" spans="1:8" x14ac:dyDescent="0.2">
      <c r="A143" s="5">
        <v>20705</v>
      </c>
      <c r="B143" s="12" t="str">
        <f>VLOOKUP(VALUE(LEFT(A143,2)),tb_shopType[[prefix]:[type]],2,0)</f>
        <v>角色</v>
      </c>
      <c r="C143" s="23" t="str">
        <f>VLOOKUP(VALUE(MID(A143,LEN(A143)-2,1)),table_world[[id]:[name]],2,0)</f>
        <v>荒漠</v>
      </c>
      <c r="D143" s="23">
        <v>5</v>
      </c>
      <c r="E143" s="12" t="str">
        <f t="shared" si="8"/>
        <v>2~3</v>
      </c>
      <c r="F143" s="12" t="s">
        <v>289</v>
      </c>
      <c r="G143" s="47" t="str">
        <f t="shared" si="9"/>
        <v>1~0.4~0.3</v>
      </c>
      <c r="H143" s="25" t="str" cm="1">
        <f t="array" aca="1" ref="H143" ca="1">_xlfn.LET(_xlpm._tb,_xlfn.XLOOKUP($B143,tb_shopType[type],tb_shopType[shop_table_name]),
_xlpm._col,MATCH($C143&amp;"-"&amp;TEXT(D143,"00"),INDIRECT(_xlpm._tb&amp;"[#标题]"),0),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15101=692;15102=692;15103=692;15104=692;15105=692;15106=692;15107=692;15108=657;15109=657;15110=657;15111=580;15112=580;15113=580;15114=461;15115=461;15116=316;15117=316;15118=316;15119=173;15120=173</v>
      </c>
    </row>
    <row r="144" spans="1:8" x14ac:dyDescent="0.2">
      <c r="A144" s="5">
        <v>20706</v>
      </c>
      <c r="B144" s="12" t="str">
        <f>VLOOKUP(VALUE(LEFT(A144,2)),tb_shopType[[prefix]:[type]],2,0)</f>
        <v>角色</v>
      </c>
      <c r="C144" s="23" t="str">
        <f>VLOOKUP(VALUE(MID(A144,LEN(A144)-2,1)),table_world[[id]:[name]],2,0)</f>
        <v>荒漠</v>
      </c>
      <c r="D144" s="23">
        <v>6</v>
      </c>
      <c r="E144" s="12" t="str">
        <f t="shared" si="8"/>
        <v>2~3</v>
      </c>
      <c r="F144" s="12" t="s">
        <v>290</v>
      </c>
      <c r="G144" s="47" t="str">
        <f t="shared" si="9"/>
        <v>1~0.4~0.32</v>
      </c>
      <c r="H144" s="25" t="str" cm="1">
        <f t="array" aca="1" ref="H144" ca="1">_xlfn.LET(_xlpm._tb,_xlfn.XLOOKUP($B144,tb_shopType[type],tb_shopType[shop_table_name]),
_xlpm._col,MATCH($C144&amp;"-"&amp;TEXT(D144,"00"),INDIRECT(_xlpm._tb&amp;"[#标题]"),0),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15101=658;15102=658;15103=658;15104=658;15105=671;15106=671;15107=671;15108=653;15109=653;15110=653;15111=594;15112=594;15113=594;15114=491;15115=491;15116=353;15117=353;15118=353;15119=206;15120=206</v>
      </c>
    </row>
    <row r="145" spans="1:8" x14ac:dyDescent="0.2">
      <c r="A145" s="5">
        <v>20707</v>
      </c>
      <c r="B145" s="12" t="str">
        <f>VLOOKUP(VALUE(LEFT(A145,2)),tb_shopType[[prefix]:[type]],2,0)</f>
        <v>角色</v>
      </c>
      <c r="C145" s="23" t="str">
        <f>VLOOKUP(VALUE(MID(A145,LEN(A145)-2,1)),table_world[[id]:[name]],2,0)</f>
        <v>荒漠</v>
      </c>
      <c r="D145" s="23">
        <v>7</v>
      </c>
      <c r="E145" s="12" t="str">
        <f t="shared" si="8"/>
        <v>2~3</v>
      </c>
      <c r="F145" s="12" t="s">
        <v>291</v>
      </c>
      <c r="G145" s="47" t="str">
        <f t="shared" si="9"/>
        <v>1~0.4~0.34</v>
      </c>
      <c r="H145" s="25" t="str" cm="1">
        <f t="array" aca="1" ref="H145" ca="1">_xlfn.LET(_xlpm._tb,_xlfn.XLOOKUP($B145,tb_shopType[type],tb_shopType[shop_table_name]),
_xlpm._col,MATCH($C145&amp;"-"&amp;TEXT(D145,"00"),INDIRECT(_xlpm._tb&amp;"[#标题]"),0),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15101=619;15102=619;15103=619;15104=619;15105=643;15106=643;15107=643;15108=639;15109=639;15110=639;15111=598;15112=598;15113=598;15114=513;15115=513;15116=387;15117=387;15118=387;15119=241;15120=241</v>
      </c>
    </row>
    <row r="146" spans="1:8" x14ac:dyDescent="0.2">
      <c r="A146" s="5">
        <v>20708</v>
      </c>
      <c r="B146" s="12" t="str">
        <f>VLOOKUP(VALUE(LEFT(A146,2)),tb_shopType[[prefix]:[type]],2,0)</f>
        <v>角色</v>
      </c>
      <c r="C146" s="23" t="str">
        <f>VLOOKUP(VALUE(MID(A146,LEN(A146)-2,1)),table_world[[id]:[name]],2,0)</f>
        <v>荒漠</v>
      </c>
      <c r="D146" s="23">
        <v>8</v>
      </c>
      <c r="E146" s="12" t="str">
        <f t="shared" si="8"/>
        <v>2~3</v>
      </c>
      <c r="F146" s="12" t="s">
        <v>292</v>
      </c>
      <c r="G146" s="47" t="str">
        <f t="shared" si="9"/>
        <v>1~0.4~0.36</v>
      </c>
      <c r="H146" s="25" t="str" cm="1">
        <f t="array" aca="1" ref="H146" ca="1">_xlfn.LET(_xlpm._tb,_xlfn.XLOOKUP($B146,tb_shopType[type],tb_shopType[shop_table_name]),
_xlpm._col,MATCH($C146&amp;"-"&amp;TEXT(D146,"00"),INDIRECT(_xlpm._tb&amp;"[#标题]"),0),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15101=576;15102=576;15103=576;15104=576;15105=608;15106=608;15107=608;15108=617;15109=617;15110=617;15111=594;15112=594;15113=594;15114=527;15115=527;15116=416;15117=416;15118=416;15119=274;15120=274</v>
      </c>
    </row>
    <row r="147" spans="1:8" x14ac:dyDescent="0.2">
      <c r="A147" s="5">
        <v>20709</v>
      </c>
      <c r="B147" s="12" t="str">
        <f>VLOOKUP(VALUE(LEFT(A147,2)),tb_shopType[[prefix]:[type]],2,0)</f>
        <v>角色</v>
      </c>
      <c r="C147" s="23" t="str">
        <f>VLOOKUP(VALUE(MID(A147,LEN(A147)-2,1)),table_world[[id]:[name]],2,0)</f>
        <v>荒漠</v>
      </c>
      <c r="D147" s="23">
        <v>9</v>
      </c>
      <c r="E147" s="12" t="str">
        <f t="shared" si="8"/>
        <v>2~3</v>
      </c>
      <c r="F147" s="12" t="s">
        <v>293</v>
      </c>
      <c r="G147" s="47" t="str">
        <f t="shared" si="9"/>
        <v>1~0.4~0.38</v>
      </c>
      <c r="H147" s="25" t="str" cm="1">
        <f t="array" aca="1" ref="H147" ca="1">_xlfn.LET(_xlpm._tb,_xlfn.XLOOKUP($B147,tb_shopType[type],tb_shopType[shop_table_name]),
_xlpm._col,MATCH($C147&amp;"-"&amp;TEXT(D147,"00"),INDIRECT(_xlpm._tb&amp;"[#标题]"),0),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15101=530;15102=530;15103=530;15104=530;15105=568;15106=568;15107=568;15108=588;15109=588;15110=588;15111=580;15112=580;15113=580;15114=532;15115=532;15116=438;15117=438;15118=438;15119=305;15120=305</v>
      </c>
    </row>
    <row r="148" spans="1:8" x14ac:dyDescent="0.2">
      <c r="A148" s="5">
        <v>20710</v>
      </c>
      <c r="B148" s="12" t="str">
        <f>VLOOKUP(VALUE(LEFT(A148,2)),tb_shopType[[prefix]:[type]],2,0)</f>
        <v>角色</v>
      </c>
      <c r="C148" s="23" t="str">
        <f>VLOOKUP(VALUE(MID(A148,LEN(A148)-2,1)),table_world[[id]:[name]],2,0)</f>
        <v>荒漠</v>
      </c>
      <c r="D148" s="23">
        <v>10</v>
      </c>
      <c r="E148" s="12" t="str">
        <f t="shared" si="8"/>
        <v>2~3</v>
      </c>
      <c r="F148" s="12" t="s">
        <v>294</v>
      </c>
      <c r="G148" s="47" t="str">
        <f t="shared" si="9"/>
        <v>1~0.4~0.4</v>
      </c>
      <c r="H148" s="25" t="str" cm="1">
        <f t="array" aca="1" ref="H148" ca="1">_xlfn.LET(_xlpm._tb,_xlfn.XLOOKUP($B148,tb_shopType[type],tb_shopType[shop_table_name]),
_xlpm._col,MATCH($C148&amp;"-"&amp;TEXT(D148,"00"),INDIRECT(_xlpm._tb&amp;"[#标题]"),0),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15101=483;15102=483;15103=483;15104=483;15105=524;15106=524;15107=524;15108=553;15109=553;15110=553;15111=558;15112=558;15113=558;15114=527;15115=527;15116=451;15117=451;15118=451;15119=331;15120=331</v>
      </c>
    </row>
    <row r="149" spans="1:8" x14ac:dyDescent="0.2">
      <c r="A149" s="5">
        <v>20711</v>
      </c>
      <c r="B149" s="12" t="str">
        <f>VLOOKUP(VALUE(LEFT(A149,2)),tb_shopType[[prefix]:[type]],2,0)</f>
        <v>角色</v>
      </c>
      <c r="C149" s="23" t="str">
        <f>VLOOKUP(VALUE(MID(A149,LEN(A149)-2,1)),table_world[[id]:[name]],2,0)</f>
        <v>荒漠</v>
      </c>
      <c r="D149" s="23">
        <v>11</v>
      </c>
      <c r="E149" s="12" t="str">
        <f t="shared" si="8"/>
        <v>2~3</v>
      </c>
      <c r="F149" s="12" t="s">
        <v>295</v>
      </c>
      <c r="G149" s="47" t="str">
        <f t="shared" si="9"/>
        <v>1~0.4~0.42</v>
      </c>
      <c r="H149" s="25" t="str" cm="1">
        <f t="array" aca="1" ref="H149" ca="1">_xlfn.LET(_xlpm._tb,_xlfn.XLOOKUP($B149,tb_shopType[type],tb_shopType[shop_table_name]),
_xlpm._col,MATCH($C149&amp;"-"&amp;TEXT(D149,"00"),INDIRECT(_xlpm._tb&amp;"[#标题]"),0),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15101=434;15102=434;15103=434;15104=434;15105=478;15106=478;15107=478;15108=512;15109=512;15110=512;15111=528;15112=528;15113=528;15114=513;15115=513;15116=456;15117=456;15118=456;15119=351;15120=351</v>
      </c>
    </row>
    <row r="150" spans="1:8" x14ac:dyDescent="0.2">
      <c r="A150" s="5">
        <v>20712</v>
      </c>
      <c r="B150" s="12" t="str">
        <f>VLOOKUP(VALUE(LEFT(A150,2)),tb_shopType[[prefix]:[type]],2,0)</f>
        <v>角色</v>
      </c>
      <c r="C150" s="23" t="str">
        <f>VLOOKUP(VALUE(MID(A150,LEN(A150)-2,1)),table_world[[id]:[name]],2,0)</f>
        <v>荒漠</v>
      </c>
      <c r="D150" s="23">
        <v>12</v>
      </c>
      <c r="E150" s="12" t="str">
        <f t="shared" si="8"/>
        <v>2~3</v>
      </c>
      <c r="F150" s="12" t="s">
        <v>296</v>
      </c>
      <c r="G150" s="47" t="str">
        <f t="shared" si="9"/>
        <v>1~0.4~0.44</v>
      </c>
      <c r="H150" s="25" t="str" cm="1">
        <f t="array" aca="1" ref="H150" ca="1">_xlfn.LET(_xlpm._tb,_xlfn.XLOOKUP($B150,tb_shopType[type],tb_shopType[shop_table_name]),
_xlpm._col,MATCH($C150&amp;"-"&amp;TEXT(D150,"00"),INDIRECT(_xlpm._tb&amp;"[#标题]"),0),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15101=387;15102=387;15103=387;15104=387;15105=430;15106=430;15107=430;15108=468;15109=468;15110=468;15111=492;15112=492;15113=492;15114=491;15115=491;15116=451;15117=451;15118=451;15119=364;15120=364</v>
      </c>
    </row>
    <row r="151" spans="1:8" x14ac:dyDescent="0.2">
      <c r="A151" s="5">
        <v>20713</v>
      </c>
      <c r="B151" s="12" t="str">
        <f>VLOOKUP(VALUE(LEFT(A151,2)),tb_shopType[[prefix]:[type]],2,0)</f>
        <v>角色</v>
      </c>
      <c r="C151" s="23" t="str">
        <f>VLOOKUP(VALUE(MID(A151,LEN(A151)-2,1)),table_world[[id]:[name]],2,0)</f>
        <v>荒漠</v>
      </c>
      <c r="D151" s="23">
        <v>13</v>
      </c>
      <c r="E151" s="12" t="str">
        <f t="shared" si="8"/>
        <v>2~3</v>
      </c>
      <c r="F151" s="12" t="s">
        <v>297</v>
      </c>
      <c r="G151" s="47" t="str">
        <f t="shared" si="9"/>
        <v>1~0.4~0.46</v>
      </c>
      <c r="H151" s="25" t="str" cm="1">
        <f t="array" aca="1" ref="H151" ca="1">_xlfn.LET(_xlpm._tb,_xlfn.XLOOKUP($B151,tb_shopType[type],tb_shopType[shop_table_name]),
_xlpm._col,MATCH($C151&amp;"-"&amp;TEXT(D151,"00"),INDIRECT(_xlpm._tb&amp;"[#标题]"),0),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15101=340;15102=340;15103=340;15104=340;15105=383;15106=383;15107=383;15108=422;15109=422;15110=422;15111=452;15112=452;15113=452;15114=461;15115=461;15116=438;15117=438;15118=438;15119=368;15120=368</v>
      </c>
    </row>
    <row r="152" spans="1:8" x14ac:dyDescent="0.2">
      <c r="A152" s="5">
        <v>20714</v>
      </c>
      <c r="B152" s="12" t="str">
        <f>VLOOKUP(VALUE(LEFT(A152,2)),tb_shopType[[prefix]:[type]],2,0)</f>
        <v>角色</v>
      </c>
      <c r="C152" s="23" t="str">
        <f>VLOOKUP(VALUE(MID(A152,LEN(A152)-2,1)),table_world[[id]:[name]],2,0)</f>
        <v>荒漠</v>
      </c>
      <c r="D152" s="23">
        <v>14</v>
      </c>
      <c r="E152" s="12" t="str">
        <f t="shared" si="8"/>
        <v>3~3</v>
      </c>
      <c r="F152" s="12" t="s">
        <v>298</v>
      </c>
      <c r="G152" s="47" t="str">
        <f t="shared" si="9"/>
        <v>1~0.4~0.48</v>
      </c>
      <c r="H152" s="25" t="str" cm="1">
        <f t="array" aca="1" ref="H152" ca="1">_xlfn.LET(_xlpm._tb,_xlfn.XLOOKUP($B152,tb_shopType[type],tb_shopType[shop_table_name]),
_xlpm._col,MATCH($C152&amp;"-"&amp;TEXT(D152,"00"),INDIRECT(_xlpm._tb&amp;"[#标题]"),0),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15101=296;15102=296;15103=296;15104=296;15105=336;15106=336;15107=336;15108=375;15109=375;15110=375;15111=408;15112=408;15113=408;15114=426;15115=426;15116=416;15117=416;15118=416;15119=364;15120=364</v>
      </c>
    </row>
    <row r="153" spans="1:8" x14ac:dyDescent="0.2">
      <c r="A153" s="5">
        <v>20715</v>
      </c>
      <c r="B153" s="12" t="str">
        <f>VLOOKUP(VALUE(LEFT(A153,2)),tb_shopType[[prefix]:[type]],2,0)</f>
        <v>角色</v>
      </c>
      <c r="C153" s="23" t="str">
        <f>VLOOKUP(VALUE(MID(A153,LEN(A153)-2,1)),table_world[[id]:[name]],2,0)</f>
        <v>荒漠</v>
      </c>
      <c r="D153" s="23">
        <v>15</v>
      </c>
      <c r="E153" s="12" t="str">
        <f t="shared" si="8"/>
        <v>3~3</v>
      </c>
      <c r="F153" s="12" t="s">
        <v>299</v>
      </c>
      <c r="G153" s="47" t="str">
        <f t="shared" si="9"/>
        <v>1~0.4~0.5</v>
      </c>
      <c r="H153" s="25" t="str" cm="1">
        <f t="array" aca="1" ref="H153" ca="1">_xlfn.LET(_xlpm._tb,_xlfn.XLOOKUP($B153,tb_shopType[type],tb_shopType[shop_table_name]),
_xlpm._col,MATCH($C153&amp;"-"&amp;TEXT(D153,"00"),INDIRECT(_xlpm._tb&amp;"[#标题]"),0),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15101=255;15102=255;15103=255;15104=255;15105=292;15106=292;15107=292;15108=329;15109=329;15110=329;15111=363;15112=363;15113=363;15114=386;15115=386;15116=387;15117=387;15118=387;15119=351;15120=351</v>
      </c>
    </row>
    <row r="154" spans="1:8" x14ac:dyDescent="0.2">
      <c r="A154" s="5">
        <v>20716</v>
      </c>
      <c r="B154" s="12" t="str">
        <f>VLOOKUP(VALUE(LEFT(A154,2)),tb_shopType[[prefix]:[type]],2,0)</f>
        <v>角色</v>
      </c>
      <c r="C154" s="23" t="str">
        <f>VLOOKUP(VALUE(MID(A154,LEN(A154)-2,1)),table_world[[id]:[name]],2,0)</f>
        <v>荒漠</v>
      </c>
      <c r="D154" s="23">
        <v>16</v>
      </c>
      <c r="E154" s="12" t="str">
        <f t="shared" si="8"/>
        <v>3~3</v>
      </c>
      <c r="F154" s="12" t="s">
        <v>300</v>
      </c>
      <c r="G154" s="47" t="str">
        <f t="shared" si="9"/>
        <v>1~0.4~0.52</v>
      </c>
      <c r="H154" s="25" t="str" cm="1">
        <f t="array" aca="1" ref="H154" ca="1">_xlfn.LET(_xlpm._tb,_xlfn.XLOOKUP($B154,tb_shopType[type],tb_shopType[shop_table_name]),
_xlpm._col,MATCH($C154&amp;"-"&amp;TEXT(D154,"00"),INDIRECT(_xlpm._tb&amp;"[#标题]"),0),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15101=217;15102=217;15103=217;15104=217;15105=250;15106=250;15107=250;15108=284;15109=284;15110=284;15111=318;15112=318;15113=318;15114=344;15115=344;15116=353;15117=353;15118=353;15119=331;15120=331</v>
      </c>
    </row>
    <row r="155" spans="1:8" x14ac:dyDescent="0.2">
      <c r="A155" s="5">
        <v>20717</v>
      </c>
      <c r="B155" s="12" t="str">
        <f>VLOOKUP(VALUE(LEFT(A155,2)),tb_shopType[[prefix]:[type]],2,0)</f>
        <v>角色</v>
      </c>
      <c r="C155" s="23" t="str">
        <f>VLOOKUP(VALUE(MID(A155,LEN(A155)-2,1)),table_world[[id]:[name]],2,0)</f>
        <v>荒漠</v>
      </c>
      <c r="D155" s="23">
        <v>17</v>
      </c>
      <c r="E155" s="12" t="str">
        <f t="shared" si="8"/>
        <v>3~3</v>
      </c>
      <c r="F155" s="12" t="s">
        <v>301</v>
      </c>
      <c r="G155" s="47" t="str">
        <f t="shared" si="9"/>
        <v>1~0.4~0.54</v>
      </c>
      <c r="H155" s="25" t="str" cm="1">
        <f t="array" aca="1" ref="H155" ca="1">_xlfn.LET(_xlpm._tb,_xlfn.XLOOKUP($B155,tb_shopType[type],tb_shopType[shop_table_name]),
_xlpm._col,MATCH($C155&amp;"-"&amp;TEXT(D155,"00"),INDIRECT(_xlpm._tb&amp;"[#标题]"),0),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15101=183;15102=183;15103=183;15104=183;15105=212;15106=212;15107=212;15108=243;15109=243;15110=243;15111=274;15112=274;15113=274;15114=301;15115=301;15116=316;15117=316;15118=316;15119=305;15120=305</v>
      </c>
    </row>
    <row r="156" spans="1:8" x14ac:dyDescent="0.2">
      <c r="A156" s="5">
        <v>20718</v>
      </c>
      <c r="B156" s="12" t="str">
        <f>VLOOKUP(VALUE(LEFT(A156,2)),tb_shopType[[prefix]:[type]],2,0)</f>
        <v>角色</v>
      </c>
      <c r="C156" s="23" t="str">
        <f>VLOOKUP(VALUE(MID(A156,LEN(A156)-2,1)),table_world[[id]:[name]],2,0)</f>
        <v>荒漠</v>
      </c>
      <c r="D156" s="23">
        <v>18</v>
      </c>
      <c r="E156" s="12" t="str">
        <f t="shared" si="8"/>
        <v>3~3</v>
      </c>
      <c r="F156" s="12" t="s">
        <v>302</v>
      </c>
      <c r="G156" s="47" t="str">
        <f t="shared" si="9"/>
        <v>1~0.4~0.56</v>
      </c>
      <c r="H156" s="25" t="str" cm="1">
        <f t="array" aca="1" ref="H156" ca="1">_xlfn.LET(_xlpm._tb,_xlfn.XLOOKUP($B156,tb_shopType[type],tb_shopType[shop_table_name]),
_xlpm._col,MATCH($C156&amp;"-"&amp;TEXT(D156,"00"),INDIRECT(_xlpm._tb&amp;"[#标题]"),0),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15101=152;15102=152;15103=152;15104=152;15105=177;15106=177;15107=177;15108=204;15109=204;15110=204;15111=233;15112=233;15113=233;15114=259;15115=259;15116=277;15117=277;15118=277;15119=274;15120=274</v>
      </c>
    </row>
    <row r="157" spans="1:8" x14ac:dyDescent="0.2">
      <c r="A157" s="5">
        <v>20719</v>
      </c>
      <c r="B157" s="12" t="str">
        <f>VLOOKUP(VALUE(LEFT(A157,2)),tb_shopType[[prefix]:[type]],2,0)</f>
        <v>角色</v>
      </c>
      <c r="C157" s="23" t="str">
        <f>VLOOKUP(VALUE(MID(A157,LEN(A157)-2,1)),table_world[[id]:[name]],2,0)</f>
        <v>荒漠</v>
      </c>
      <c r="D157" s="23">
        <v>19</v>
      </c>
      <c r="E157" s="12" t="str">
        <f t="shared" si="8"/>
        <v>3~3</v>
      </c>
      <c r="F157" s="12" t="s">
        <v>303</v>
      </c>
      <c r="G157" s="47" t="str">
        <f t="shared" si="9"/>
        <v>1~0.4~0.58</v>
      </c>
      <c r="H157" s="25" t="str" cm="1">
        <f t="array" aca="1" ref="H157" ca="1">_xlfn.LET(_xlpm._tb,_xlfn.XLOOKUP($B157,tb_shopType[type],tb_shopType[shop_table_name]),
_xlpm._col,MATCH($C157&amp;"-"&amp;TEXT(D157,"00"),INDIRECT(_xlpm._tb&amp;"[#标题]"),0),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15101=126;15102=126;15103=126;15104=126;15105=146;15106=146;15107=146;15108=169;15109=169;15110=169;15111=194;15112=194;15113=194;15114=219;15115=219;15116=237;15117=237;15118=237;15119=241;15120=241</v>
      </c>
    </row>
    <row r="158" spans="1:8" x14ac:dyDescent="0.2">
      <c r="A158" s="5">
        <v>20720</v>
      </c>
      <c r="B158" s="12" t="str">
        <f>VLOOKUP(VALUE(LEFT(A158,2)),tb_shopType[[prefix]:[type]],2,0)</f>
        <v>角色</v>
      </c>
      <c r="C158" s="23" t="str">
        <f>VLOOKUP(VALUE(MID(A158,LEN(A158)-2,1)),table_world[[id]:[name]],2,0)</f>
        <v>荒漠</v>
      </c>
      <c r="D158" s="23">
        <v>20</v>
      </c>
      <c r="E158" s="12" t="str">
        <f t="shared" si="8"/>
        <v>3~3</v>
      </c>
      <c r="F158" s="12" t="s">
        <v>304</v>
      </c>
      <c r="G158" s="47" t="str">
        <f t="shared" si="9"/>
        <v>1~0.4~0.6</v>
      </c>
      <c r="H158" s="25" t="str" cm="1">
        <f t="array" aca="1" ref="H158" ca="1">_xlfn.LET(_xlpm._tb,_xlfn.XLOOKUP($B158,tb_shopType[type],tb_shopType[shop_table_name]),
_xlpm._col,MATCH($C158&amp;"-"&amp;TEXT(D158,"00"),INDIRECT(_xlpm._tb&amp;"[#标题]"),0),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15101=102;15102=102;15103=102;15104=102;15105=119;15106=119;15107=119;15108=138;15109=138;15110=138;15111=160;15112=160;15113=160;15114=181;15115=181;15116=200;15117=200;15118=200;15119=206;15120=206</v>
      </c>
    </row>
    <row r="160" spans="1:8" x14ac:dyDescent="0.2">
      <c r="A160" s="5">
        <v>20801</v>
      </c>
      <c r="B160" s="12" t="str">
        <f>VLOOKUP(VALUE(LEFT(A160,2)),tb_shopType[[prefix]:[type]],2,0)</f>
        <v>角色</v>
      </c>
      <c r="C160" s="23" t="str">
        <f>VLOOKUP(VALUE(MID(A160,LEN(A160)-2,1)),table_world[[id]:[name]],2,0)</f>
        <v>大湖</v>
      </c>
      <c r="D160" s="23">
        <v>1</v>
      </c>
      <c r="E160" s="12" t="str">
        <f>_xlfn.LET(_xlpm._i,RIGHT(A160,2),
INT(_xlpm._i/14)+2&amp;"~"&amp;3)</f>
        <v>2~3</v>
      </c>
      <c r="F160" s="12" t="s">
        <v>285</v>
      </c>
      <c r="G160" s="48" t="s">
        <v>283</v>
      </c>
      <c r="H160" s="25" t="str" cm="1">
        <f t="array" aca="1" ref="H160" ca="1">_xlfn.LET(_xlpm._tb,_xlfn.XLOOKUP($B160,tb_shopType[type],tb_shopType[shop_table_name]),
_xlpm._col,MATCH($C160&amp;"-"&amp;TEXT(D160,"00"),INDIRECT(_xlpm._tb&amp;"[#标题]"),0),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15101=756;15102=756;15103=756;15104=756;15105=692;15106=692;15107=692;15108=588;15109=588;15110=588;15111=452;15112=452;15113=452;15114=301;15115=301;15116=164;15117=164;15118=164;15119=67;15120=67</v>
      </c>
    </row>
    <row r="161" spans="1:8" x14ac:dyDescent="0.2">
      <c r="A161" s="5">
        <v>20802</v>
      </c>
      <c r="B161" s="12" t="str">
        <f>VLOOKUP(VALUE(LEFT(A161,2)),tb_shopType[[prefix]:[type]],2,0)</f>
        <v>角色</v>
      </c>
      <c r="C161" s="23" t="str">
        <f>VLOOKUP(VALUE(MID(A161,LEN(A161)-2,1)),table_world[[id]:[name]],2,0)</f>
        <v>大湖</v>
      </c>
      <c r="D161" s="23">
        <v>2</v>
      </c>
      <c r="E161" s="12" t="str">
        <f t="shared" ref="E161:E179" si="10">_xlfn.LET(_xlpm._i,RIGHT(A161,2),
INT(_xlpm._i/14)+2&amp;"~"&amp;3)</f>
        <v>2~3</v>
      </c>
      <c r="F161" s="12" t="s">
        <v>286</v>
      </c>
      <c r="G161" s="47" t="str">
        <f>"1~0.4~"&amp;0.2+D161*0.02</f>
        <v>1~0.4~0.24</v>
      </c>
      <c r="H161" s="25" t="str" cm="1">
        <f t="array" aca="1" ref="H161" ca="1">_xlfn.LET(_xlpm._tb,_xlfn.XLOOKUP($B161,tb_shopType[type],tb_shopType[shop_table_name]),
_xlpm._col,MATCH($C161&amp;"-"&amp;TEXT(D161,"00"),INDIRECT(_xlpm._tb&amp;"[#标题]"),0),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15101=752;15102=752;15103=752;15104=752;15105=705;15106=705;15107=705;15108=617;15109=617;15110=617;15111=492;15112=492;15113=492;15114=344;15115=344;15116=200;15117=200;15118=200;15119=88;15120=88</v>
      </c>
    </row>
    <row r="162" spans="1:8" x14ac:dyDescent="0.2">
      <c r="A162" s="5">
        <v>20803</v>
      </c>
      <c r="B162" s="12" t="str">
        <f>VLOOKUP(VALUE(LEFT(A162,2)),tb_shopType[[prefix]:[type]],2,0)</f>
        <v>角色</v>
      </c>
      <c r="C162" s="23" t="str">
        <f>VLOOKUP(VALUE(MID(A162,LEN(A162)-2,1)),table_world[[id]:[name]],2,0)</f>
        <v>大湖</v>
      </c>
      <c r="D162" s="23">
        <v>3</v>
      </c>
      <c r="E162" s="12" t="str">
        <f t="shared" si="10"/>
        <v>2~3</v>
      </c>
      <c r="F162" s="12" t="s">
        <v>287</v>
      </c>
      <c r="G162" s="47" t="str">
        <f t="shared" ref="G162:G179" si="11">"1~0.4~"&amp;0.2+D162*0.02</f>
        <v>1~0.4~0.26</v>
      </c>
      <c r="H162" s="25" t="str" cm="1">
        <f t="array" aca="1" ref="H162" ca="1">_xlfn.LET(_xlpm._tb,_xlfn.XLOOKUP($B162,tb_shopType[type],tb_shopType[shop_table_name]),
_xlpm._col,MATCH($C162&amp;"-"&amp;TEXT(D162,"00"),INDIRECT(_xlpm._tb&amp;"[#标题]"),0),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15101=739;15102=739;15103=739;15104=739;15105=709;15106=709;15107=709;15108=639;15109=639;15110=639;15111=528;15112=528;15113=528;15114=386;15115=386;15116=237;15117=237;15118=237;15119=113;15120=113</v>
      </c>
    </row>
    <row r="163" spans="1:8" x14ac:dyDescent="0.2">
      <c r="A163" s="5">
        <v>20804</v>
      </c>
      <c r="B163" s="12" t="str">
        <f>VLOOKUP(VALUE(LEFT(A163,2)),tb_shopType[[prefix]:[type]],2,0)</f>
        <v>角色</v>
      </c>
      <c r="C163" s="23" t="str">
        <f>VLOOKUP(VALUE(MID(A163,LEN(A163)-2,1)),table_world[[id]:[name]],2,0)</f>
        <v>大湖</v>
      </c>
      <c r="D163" s="23">
        <v>4</v>
      </c>
      <c r="E163" s="12" t="str">
        <f t="shared" si="10"/>
        <v>2~3</v>
      </c>
      <c r="F163" s="12" t="s">
        <v>288</v>
      </c>
      <c r="G163" s="47" t="str">
        <f t="shared" si="11"/>
        <v>1~0.4~0.28</v>
      </c>
      <c r="H163" s="25" t="str" cm="1">
        <f t="array" aca="1" ref="H163" ca="1">_xlfn.LET(_xlpm._tb,_xlfn.XLOOKUP($B163,tb_shopType[type],tb_shopType[shop_table_name]),
_xlpm._col,MATCH($C163&amp;"-"&amp;TEXT(D163,"00"),INDIRECT(_xlpm._tb&amp;"[#标题]"),0),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15101=719;15102=719;15103=719;15104=719;15105=705;15106=705;15107=705;15108=653;15109=653;15110=653;15111=558;15112=558;15113=558;15114=426;15115=426;15116=277;15117=277;15118=277;15119=141;15120=141</v>
      </c>
    </row>
    <row r="164" spans="1:8" x14ac:dyDescent="0.2">
      <c r="A164" s="5">
        <v>20805</v>
      </c>
      <c r="B164" s="12" t="str">
        <f>VLOOKUP(VALUE(LEFT(A164,2)),tb_shopType[[prefix]:[type]],2,0)</f>
        <v>角色</v>
      </c>
      <c r="C164" s="23" t="str">
        <f>VLOOKUP(VALUE(MID(A164,LEN(A164)-2,1)),table_world[[id]:[name]],2,0)</f>
        <v>大湖</v>
      </c>
      <c r="D164" s="23">
        <v>5</v>
      </c>
      <c r="E164" s="12" t="str">
        <f t="shared" si="10"/>
        <v>2~3</v>
      </c>
      <c r="F164" s="12" t="s">
        <v>289</v>
      </c>
      <c r="G164" s="47" t="str">
        <f t="shared" si="11"/>
        <v>1~0.4~0.3</v>
      </c>
      <c r="H164" s="25" t="str" cm="1">
        <f t="array" aca="1" ref="H164" ca="1">_xlfn.LET(_xlpm._tb,_xlfn.XLOOKUP($B164,tb_shopType[type],tb_shopType[shop_table_name]),
_xlpm._col,MATCH($C164&amp;"-"&amp;TEXT(D164,"00"),INDIRECT(_xlpm._tb&amp;"[#标题]"),0),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15101=692;15102=692;15103=692;15104=692;15105=692;15106=692;15107=692;15108=657;15109=657;15110=657;15111=580;15112=580;15113=580;15114=461;15115=461;15116=316;15117=316;15118=316;15119=173;15120=173</v>
      </c>
    </row>
    <row r="165" spans="1:8" x14ac:dyDescent="0.2">
      <c r="A165" s="5">
        <v>20806</v>
      </c>
      <c r="B165" s="12" t="str">
        <f>VLOOKUP(VALUE(LEFT(A165,2)),tb_shopType[[prefix]:[type]],2,0)</f>
        <v>角色</v>
      </c>
      <c r="C165" s="23" t="str">
        <f>VLOOKUP(VALUE(MID(A165,LEN(A165)-2,1)),table_world[[id]:[name]],2,0)</f>
        <v>大湖</v>
      </c>
      <c r="D165" s="23">
        <v>6</v>
      </c>
      <c r="E165" s="12" t="str">
        <f t="shared" si="10"/>
        <v>2~3</v>
      </c>
      <c r="F165" s="12" t="s">
        <v>290</v>
      </c>
      <c r="G165" s="47" t="str">
        <f t="shared" si="11"/>
        <v>1~0.4~0.32</v>
      </c>
      <c r="H165" s="25" t="str" cm="1">
        <f t="array" aca="1" ref="H165" ca="1">_xlfn.LET(_xlpm._tb,_xlfn.XLOOKUP($B165,tb_shopType[type],tb_shopType[shop_table_name]),
_xlpm._col,MATCH($C165&amp;"-"&amp;TEXT(D165,"00"),INDIRECT(_xlpm._tb&amp;"[#标题]"),0),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15101=658;15102=658;15103=658;15104=658;15105=671;15106=671;15107=671;15108=653;15109=653;15110=653;15111=594;15112=594;15113=594;15114=491;15115=491;15116=353;15117=353;15118=353;15119=206;15120=206</v>
      </c>
    </row>
    <row r="166" spans="1:8" x14ac:dyDescent="0.2">
      <c r="A166" s="5">
        <v>20807</v>
      </c>
      <c r="B166" s="12" t="str">
        <f>VLOOKUP(VALUE(LEFT(A166,2)),tb_shopType[[prefix]:[type]],2,0)</f>
        <v>角色</v>
      </c>
      <c r="C166" s="23" t="str">
        <f>VLOOKUP(VALUE(MID(A166,LEN(A166)-2,1)),table_world[[id]:[name]],2,0)</f>
        <v>大湖</v>
      </c>
      <c r="D166" s="23">
        <v>7</v>
      </c>
      <c r="E166" s="12" t="str">
        <f t="shared" si="10"/>
        <v>2~3</v>
      </c>
      <c r="F166" s="12" t="s">
        <v>291</v>
      </c>
      <c r="G166" s="47" t="str">
        <f t="shared" si="11"/>
        <v>1~0.4~0.34</v>
      </c>
      <c r="H166" s="25" t="str" cm="1">
        <f t="array" aca="1" ref="H166" ca="1">_xlfn.LET(_xlpm._tb,_xlfn.XLOOKUP($B166,tb_shopType[type],tb_shopType[shop_table_name]),
_xlpm._col,MATCH($C166&amp;"-"&amp;TEXT(D166,"00"),INDIRECT(_xlpm._tb&amp;"[#标题]"),0),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15101=619;15102=619;15103=619;15104=619;15105=643;15106=643;15107=643;15108=639;15109=639;15110=639;15111=598;15112=598;15113=598;15114=513;15115=513;15116=387;15117=387;15118=387;15119=241;15120=241</v>
      </c>
    </row>
    <row r="167" spans="1:8" x14ac:dyDescent="0.2">
      <c r="A167" s="5">
        <v>20808</v>
      </c>
      <c r="B167" s="12" t="str">
        <f>VLOOKUP(VALUE(LEFT(A167,2)),tb_shopType[[prefix]:[type]],2,0)</f>
        <v>角色</v>
      </c>
      <c r="C167" s="23" t="str">
        <f>VLOOKUP(VALUE(MID(A167,LEN(A167)-2,1)),table_world[[id]:[name]],2,0)</f>
        <v>大湖</v>
      </c>
      <c r="D167" s="23">
        <v>8</v>
      </c>
      <c r="E167" s="12" t="str">
        <f t="shared" si="10"/>
        <v>2~3</v>
      </c>
      <c r="F167" s="12" t="s">
        <v>292</v>
      </c>
      <c r="G167" s="47" t="str">
        <f t="shared" si="11"/>
        <v>1~0.4~0.36</v>
      </c>
      <c r="H167" s="25" t="str" cm="1">
        <f t="array" aca="1" ref="H167" ca="1">_xlfn.LET(_xlpm._tb,_xlfn.XLOOKUP($B167,tb_shopType[type],tb_shopType[shop_table_name]),
_xlpm._col,MATCH($C167&amp;"-"&amp;TEXT(D167,"00"),INDIRECT(_xlpm._tb&amp;"[#标题]"),0),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15101=576;15102=576;15103=576;15104=576;15105=608;15106=608;15107=608;15108=617;15109=617;15110=617;15111=594;15112=594;15113=594;15114=527;15115=527;15116=416;15117=416;15118=416;15119=274;15120=274</v>
      </c>
    </row>
    <row r="168" spans="1:8" x14ac:dyDescent="0.2">
      <c r="A168" s="5">
        <v>20809</v>
      </c>
      <c r="B168" s="12" t="str">
        <f>VLOOKUP(VALUE(LEFT(A168,2)),tb_shopType[[prefix]:[type]],2,0)</f>
        <v>角色</v>
      </c>
      <c r="C168" s="23" t="str">
        <f>VLOOKUP(VALUE(MID(A168,LEN(A168)-2,1)),table_world[[id]:[name]],2,0)</f>
        <v>大湖</v>
      </c>
      <c r="D168" s="23">
        <v>9</v>
      </c>
      <c r="E168" s="12" t="str">
        <f t="shared" si="10"/>
        <v>2~3</v>
      </c>
      <c r="F168" s="12" t="s">
        <v>293</v>
      </c>
      <c r="G168" s="47" t="str">
        <f t="shared" si="11"/>
        <v>1~0.4~0.38</v>
      </c>
      <c r="H168" s="25" t="str" cm="1">
        <f t="array" aca="1" ref="H168" ca="1">_xlfn.LET(_xlpm._tb,_xlfn.XLOOKUP($B168,tb_shopType[type],tb_shopType[shop_table_name]),
_xlpm._col,MATCH($C168&amp;"-"&amp;TEXT(D168,"00"),INDIRECT(_xlpm._tb&amp;"[#标题]"),0),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15101=530;15102=530;15103=530;15104=530;15105=568;15106=568;15107=568;15108=588;15109=588;15110=588;15111=580;15112=580;15113=580;15114=532;15115=532;15116=438;15117=438;15118=438;15119=305;15120=305</v>
      </c>
    </row>
    <row r="169" spans="1:8" x14ac:dyDescent="0.2">
      <c r="A169" s="5">
        <v>20810</v>
      </c>
      <c r="B169" s="12" t="str">
        <f>VLOOKUP(VALUE(LEFT(A169,2)),tb_shopType[[prefix]:[type]],2,0)</f>
        <v>角色</v>
      </c>
      <c r="C169" s="23" t="str">
        <f>VLOOKUP(VALUE(MID(A169,LEN(A169)-2,1)),table_world[[id]:[name]],2,0)</f>
        <v>大湖</v>
      </c>
      <c r="D169" s="23">
        <v>10</v>
      </c>
      <c r="E169" s="12" t="str">
        <f t="shared" si="10"/>
        <v>2~3</v>
      </c>
      <c r="F169" s="12" t="s">
        <v>294</v>
      </c>
      <c r="G169" s="47" t="str">
        <f t="shared" si="11"/>
        <v>1~0.4~0.4</v>
      </c>
      <c r="H169" s="25" t="str" cm="1">
        <f t="array" aca="1" ref="H169" ca="1">_xlfn.LET(_xlpm._tb,_xlfn.XLOOKUP($B169,tb_shopType[type],tb_shopType[shop_table_name]),
_xlpm._col,MATCH($C169&amp;"-"&amp;TEXT(D169,"00"),INDIRECT(_xlpm._tb&amp;"[#标题]"),0),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15101=483;15102=483;15103=483;15104=483;15105=524;15106=524;15107=524;15108=553;15109=553;15110=553;15111=558;15112=558;15113=558;15114=527;15115=527;15116=451;15117=451;15118=451;15119=331;15120=331</v>
      </c>
    </row>
    <row r="170" spans="1:8" x14ac:dyDescent="0.2">
      <c r="A170" s="5">
        <v>20811</v>
      </c>
      <c r="B170" s="12" t="str">
        <f>VLOOKUP(VALUE(LEFT(A170,2)),tb_shopType[[prefix]:[type]],2,0)</f>
        <v>角色</v>
      </c>
      <c r="C170" s="23" t="str">
        <f>VLOOKUP(VALUE(MID(A170,LEN(A170)-2,1)),table_world[[id]:[name]],2,0)</f>
        <v>大湖</v>
      </c>
      <c r="D170" s="23">
        <v>11</v>
      </c>
      <c r="E170" s="12" t="str">
        <f t="shared" si="10"/>
        <v>2~3</v>
      </c>
      <c r="F170" s="12" t="s">
        <v>295</v>
      </c>
      <c r="G170" s="47" t="str">
        <f t="shared" si="11"/>
        <v>1~0.4~0.42</v>
      </c>
      <c r="H170" s="25" t="str" cm="1">
        <f t="array" aca="1" ref="H170" ca="1">_xlfn.LET(_xlpm._tb,_xlfn.XLOOKUP($B170,tb_shopType[type],tb_shopType[shop_table_name]),
_xlpm._col,MATCH($C170&amp;"-"&amp;TEXT(D170,"00"),INDIRECT(_xlpm._tb&amp;"[#标题]"),0),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15101=434;15102=434;15103=434;15104=434;15105=478;15106=478;15107=478;15108=512;15109=512;15110=512;15111=528;15112=528;15113=528;15114=513;15115=513;15116=456;15117=456;15118=456;15119=351;15120=351</v>
      </c>
    </row>
    <row r="171" spans="1:8" x14ac:dyDescent="0.2">
      <c r="A171" s="5">
        <v>20812</v>
      </c>
      <c r="B171" s="12" t="str">
        <f>VLOOKUP(VALUE(LEFT(A171,2)),tb_shopType[[prefix]:[type]],2,0)</f>
        <v>角色</v>
      </c>
      <c r="C171" s="23" t="str">
        <f>VLOOKUP(VALUE(MID(A171,LEN(A171)-2,1)),table_world[[id]:[name]],2,0)</f>
        <v>大湖</v>
      </c>
      <c r="D171" s="23">
        <v>12</v>
      </c>
      <c r="E171" s="12" t="str">
        <f t="shared" si="10"/>
        <v>2~3</v>
      </c>
      <c r="F171" s="12" t="s">
        <v>296</v>
      </c>
      <c r="G171" s="47" t="str">
        <f t="shared" si="11"/>
        <v>1~0.4~0.44</v>
      </c>
      <c r="H171" s="25" t="str" cm="1">
        <f t="array" aca="1" ref="H171" ca="1">_xlfn.LET(_xlpm._tb,_xlfn.XLOOKUP($B171,tb_shopType[type],tb_shopType[shop_table_name]),
_xlpm._col,MATCH($C171&amp;"-"&amp;TEXT(D171,"00"),INDIRECT(_xlpm._tb&amp;"[#标题]"),0),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15101=387;15102=387;15103=387;15104=387;15105=430;15106=430;15107=430;15108=468;15109=468;15110=468;15111=492;15112=492;15113=492;15114=491;15115=491;15116=451;15117=451;15118=451;15119=364;15120=364</v>
      </c>
    </row>
    <row r="172" spans="1:8" x14ac:dyDescent="0.2">
      <c r="A172" s="5">
        <v>20813</v>
      </c>
      <c r="B172" s="12" t="str">
        <f>VLOOKUP(VALUE(LEFT(A172,2)),tb_shopType[[prefix]:[type]],2,0)</f>
        <v>角色</v>
      </c>
      <c r="C172" s="23" t="str">
        <f>VLOOKUP(VALUE(MID(A172,LEN(A172)-2,1)),table_world[[id]:[name]],2,0)</f>
        <v>大湖</v>
      </c>
      <c r="D172" s="23">
        <v>13</v>
      </c>
      <c r="E172" s="12" t="str">
        <f t="shared" si="10"/>
        <v>2~3</v>
      </c>
      <c r="F172" s="12" t="s">
        <v>297</v>
      </c>
      <c r="G172" s="47" t="str">
        <f t="shared" si="11"/>
        <v>1~0.4~0.46</v>
      </c>
      <c r="H172" s="25" t="str" cm="1">
        <f t="array" aca="1" ref="H172" ca="1">_xlfn.LET(_xlpm._tb,_xlfn.XLOOKUP($B172,tb_shopType[type],tb_shopType[shop_table_name]),
_xlpm._col,MATCH($C172&amp;"-"&amp;TEXT(D172,"00"),INDIRECT(_xlpm._tb&amp;"[#标题]"),0),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15101=340;15102=340;15103=340;15104=340;15105=383;15106=383;15107=383;15108=422;15109=422;15110=422;15111=452;15112=452;15113=452;15114=461;15115=461;15116=438;15117=438;15118=438;15119=368;15120=368</v>
      </c>
    </row>
    <row r="173" spans="1:8" x14ac:dyDescent="0.2">
      <c r="A173" s="5">
        <v>20814</v>
      </c>
      <c r="B173" s="12" t="str">
        <f>VLOOKUP(VALUE(LEFT(A173,2)),tb_shopType[[prefix]:[type]],2,0)</f>
        <v>角色</v>
      </c>
      <c r="C173" s="23" t="str">
        <f>VLOOKUP(VALUE(MID(A173,LEN(A173)-2,1)),table_world[[id]:[name]],2,0)</f>
        <v>大湖</v>
      </c>
      <c r="D173" s="23">
        <v>14</v>
      </c>
      <c r="E173" s="12" t="str">
        <f t="shared" si="10"/>
        <v>3~3</v>
      </c>
      <c r="F173" s="12" t="s">
        <v>298</v>
      </c>
      <c r="G173" s="47" t="str">
        <f t="shared" si="11"/>
        <v>1~0.4~0.48</v>
      </c>
      <c r="H173" s="25" t="str" cm="1">
        <f t="array" aca="1" ref="H173" ca="1">_xlfn.LET(_xlpm._tb,_xlfn.XLOOKUP($B173,tb_shopType[type],tb_shopType[shop_table_name]),
_xlpm._col,MATCH($C173&amp;"-"&amp;TEXT(D173,"00"),INDIRECT(_xlpm._tb&amp;"[#标题]"),0),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15101=296;15102=296;15103=296;15104=296;15105=336;15106=336;15107=336;15108=375;15109=375;15110=375;15111=408;15112=408;15113=408;15114=426;15115=426;15116=416;15117=416;15118=416;15119=364;15120=364</v>
      </c>
    </row>
    <row r="174" spans="1:8" x14ac:dyDescent="0.2">
      <c r="A174" s="5">
        <v>20815</v>
      </c>
      <c r="B174" s="12" t="str">
        <f>VLOOKUP(VALUE(LEFT(A174,2)),tb_shopType[[prefix]:[type]],2,0)</f>
        <v>角色</v>
      </c>
      <c r="C174" s="23" t="str">
        <f>VLOOKUP(VALUE(MID(A174,LEN(A174)-2,1)),table_world[[id]:[name]],2,0)</f>
        <v>大湖</v>
      </c>
      <c r="D174" s="23">
        <v>15</v>
      </c>
      <c r="E174" s="12" t="str">
        <f t="shared" si="10"/>
        <v>3~3</v>
      </c>
      <c r="F174" s="12" t="s">
        <v>299</v>
      </c>
      <c r="G174" s="47" t="str">
        <f t="shared" si="11"/>
        <v>1~0.4~0.5</v>
      </c>
      <c r="H174" s="25" t="str" cm="1">
        <f t="array" aca="1" ref="H174" ca="1">_xlfn.LET(_xlpm._tb,_xlfn.XLOOKUP($B174,tb_shopType[type],tb_shopType[shop_table_name]),
_xlpm._col,MATCH($C174&amp;"-"&amp;TEXT(D174,"00"),INDIRECT(_xlpm._tb&amp;"[#标题]"),0),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15101=255;15102=255;15103=255;15104=255;15105=292;15106=292;15107=292;15108=329;15109=329;15110=329;15111=363;15112=363;15113=363;15114=386;15115=386;15116=387;15117=387;15118=387;15119=351;15120=351</v>
      </c>
    </row>
    <row r="175" spans="1:8" x14ac:dyDescent="0.2">
      <c r="A175" s="5">
        <v>20816</v>
      </c>
      <c r="B175" s="12" t="str">
        <f>VLOOKUP(VALUE(LEFT(A175,2)),tb_shopType[[prefix]:[type]],2,0)</f>
        <v>角色</v>
      </c>
      <c r="C175" s="23" t="str">
        <f>VLOOKUP(VALUE(MID(A175,LEN(A175)-2,1)),table_world[[id]:[name]],2,0)</f>
        <v>大湖</v>
      </c>
      <c r="D175" s="23">
        <v>16</v>
      </c>
      <c r="E175" s="12" t="str">
        <f t="shared" si="10"/>
        <v>3~3</v>
      </c>
      <c r="F175" s="12" t="s">
        <v>300</v>
      </c>
      <c r="G175" s="47" t="str">
        <f t="shared" si="11"/>
        <v>1~0.4~0.52</v>
      </c>
      <c r="H175" s="25" t="str" cm="1">
        <f t="array" aca="1" ref="H175" ca="1">_xlfn.LET(_xlpm._tb,_xlfn.XLOOKUP($B175,tb_shopType[type],tb_shopType[shop_table_name]),
_xlpm._col,MATCH($C175&amp;"-"&amp;TEXT(D175,"00"),INDIRECT(_xlpm._tb&amp;"[#标题]"),0),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15101=217;15102=217;15103=217;15104=217;15105=250;15106=250;15107=250;15108=284;15109=284;15110=284;15111=318;15112=318;15113=318;15114=344;15115=344;15116=353;15117=353;15118=353;15119=331;15120=331</v>
      </c>
    </row>
    <row r="176" spans="1:8" x14ac:dyDescent="0.2">
      <c r="A176" s="5">
        <v>20817</v>
      </c>
      <c r="B176" s="12" t="str">
        <f>VLOOKUP(VALUE(LEFT(A176,2)),tb_shopType[[prefix]:[type]],2,0)</f>
        <v>角色</v>
      </c>
      <c r="C176" s="23" t="str">
        <f>VLOOKUP(VALUE(MID(A176,LEN(A176)-2,1)),table_world[[id]:[name]],2,0)</f>
        <v>大湖</v>
      </c>
      <c r="D176" s="23">
        <v>17</v>
      </c>
      <c r="E176" s="12" t="str">
        <f t="shared" si="10"/>
        <v>3~3</v>
      </c>
      <c r="F176" s="12" t="s">
        <v>301</v>
      </c>
      <c r="G176" s="47" t="str">
        <f t="shared" si="11"/>
        <v>1~0.4~0.54</v>
      </c>
      <c r="H176" s="25" t="str" cm="1">
        <f t="array" aca="1" ref="H176" ca="1">_xlfn.LET(_xlpm._tb,_xlfn.XLOOKUP($B176,tb_shopType[type],tb_shopType[shop_table_name]),
_xlpm._col,MATCH($C176&amp;"-"&amp;TEXT(D176,"00"),INDIRECT(_xlpm._tb&amp;"[#标题]"),0),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15101=183;15102=183;15103=183;15104=183;15105=212;15106=212;15107=212;15108=243;15109=243;15110=243;15111=274;15112=274;15113=274;15114=301;15115=301;15116=316;15117=316;15118=316;15119=305;15120=305</v>
      </c>
    </row>
    <row r="177" spans="1:8" x14ac:dyDescent="0.2">
      <c r="A177" s="5">
        <v>20818</v>
      </c>
      <c r="B177" s="12" t="str">
        <f>VLOOKUP(VALUE(LEFT(A177,2)),tb_shopType[[prefix]:[type]],2,0)</f>
        <v>角色</v>
      </c>
      <c r="C177" s="23" t="str">
        <f>VLOOKUP(VALUE(MID(A177,LEN(A177)-2,1)),table_world[[id]:[name]],2,0)</f>
        <v>大湖</v>
      </c>
      <c r="D177" s="23">
        <v>18</v>
      </c>
      <c r="E177" s="12" t="str">
        <f t="shared" si="10"/>
        <v>3~3</v>
      </c>
      <c r="F177" s="12" t="s">
        <v>302</v>
      </c>
      <c r="G177" s="47" t="str">
        <f t="shared" si="11"/>
        <v>1~0.4~0.56</v>
      </c>
      <c r="H177" s="25" t="str" cm="1">
        <f t="array" aca="1" ref="H177" ca="1">_xlfn.LET(_xlpm._tb,_xlfn.XLOOKUP($B177,tb_shopType[type],tb_shopType[shop_table_name]),
_xlpm._col,MATCH($C177&amp;"-"&amp;TEXT(D177,"00"),INDIRECT(_xlpm._tb&amp;"[#标题]"),0),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15101=152;15102=152;15103=152;15104=152;15105=177;15106=177;15107=177;15108=204;15109=204;15110=204;15111=233;15112=233;15113=233;15114=259;15115=259;15116=277;15117=277;15118=277;15119=274;15120=274</v>
      </c>
    </row>
    <row r="178" spans="1:8" x14ac:dyDescent="0.2">
      <c r="A178" s="5">
        <v>20819</v>
      </c>
      <c r="B178" s="12" t="str">
        <f>VLOOKUP(VALUE(LEFT(A178,2)),tb_shopType[[prefix]:[type]],2,0)</f>
        <v>角色</v>
      </c>
      <c r="C178" s="23" t="str">
        <f>VLOOKUP(VALUE(MID(A178,LEN(A178)-2,1)),table_world[[id]:[name]],2,0)</f>
        <v>大湖</v>
      </c>
      <c r="D178" s="23">
        <v>19</v>
      </c>
      <c r="E178" s="12" t="str">
        <f t="shared" si="10"/>
        <v>3~3</v>
      </c>
      <c r="F178" s="12" t="s">
        <v>303</v>
      </c>
      <c r="G178" s="47" t="str">
        <f t="shared" si="11"/>
        <v>1~0.4~0.58</v>
      </c>
      <c r="H178" s="25" t="str" cm="1">
        <f t="array" aca="1" ref="H178" ca="1">_xlfn.LET(_xlpm._tb,_xlfn.XLOOKUP($B178,tb_shopType[type],tb_shopType[shop_table_name]),
_xlpm._col,MATCH($C178&amp;"-"&amp;TEXT(D178,"00"),INDIRECT(_xlpm._tb&amp;"[#标题]"),0),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15101=126;15102=126;15103=126;15104=126;15105=146;15106=146;15107=146;15108=169;15109=169;15110=169;15111=194;15112=194;15113=194;15114=219;15115=219;15116=237;15117=237;15118=237;15119=241;15120=241</v>
      </c>
    </row>
    <row r="179" spans="1:8" x14ac:dyDescent="0.2">
      <c r="A179" s="5">
        <v>20820</v>
      </c>
      <c r="B179" s="12" t="str">
        <f>VLOOKUP(VALUE(LEFT(A179,2)),tb_shopType[[prefix]:[type]],2,0)</f>
        <v>角色</v>
      </c>
      <c r="C179" s="23" t="str">
        <f>VLOOKUP(VALUE(MID(A179,LEN(A179)-2,1)),table_world[[id]:[name]],2,0)</f>
        <v>大湖</v>
      </c>
      <c r="D179" s="23">
        <v>20</v>
      </c>
      <c r="E179" s="12" t="str">
        <f t="shared" si="10"/>
        <v>3~3</v>
      </c>
      <c r="F179" s="12" t="s">
        <v>304</v>
      </c>
      <c r="G179" s="47" t="str">
        <f t="shared" si="11"/>
        <v>1~0.4~0.6</v>
      </c>
      <c r="H179" s="25" t="str" cm="1">
        <f t="array" aca="1" ref="H179" ca="1">_xlfn.LET(_xlpm._tb,_xlfn.XLOOKUP($B179,tb_shopType[type],tb_shopType[shop_table_name]),
_xlpm._col,MATCH($C179&amp;"-"&amp;TEXT(D179,"00"),INDIRECT(_xlpm._tb&amp;"[#标题]"),0),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15101=102;15102=102;15103=102;15104=102;15105=119;15106=119;15107=119;15108=138;15109=138;15110=138;15111=160;15112=160;15113=160;15114=181;15115=181;15116=200;15117=200;15118=200;15119=206;15120=206</v>
      </c>
    </row>
    <row r="184" spans="1:8" x14ac:dyDescent="0.2">
      <c r="A184" s="5">
        <v>30101</v>
      </c>
      <c r="B184" s="12" t="str">
        <f>VLOOKUP(VALUE(LEFT(A184,2)),tb_shopType[[prefix]:[type]],2,0)</f>
        <v>遗物掉落</v>
      </c>
      <c r="C184" s="23" t="str">
        <f>VLOOKUP(VALUE(MID(A184,LEN(A184)-2,1)),table_world[[id]:[name]],2,0)</f>
        <v>地宫</v>
      </c>
      <c r="D184" s="23">
        <v>1</v>
      </c>
      <c r="E184" s="12" t="s">
        <v>80</v>
      </c>
      <c r="F184" s="40" t="s">
        <v>332</v>
      </c>
      <c r="G184" s="40" t="s">
        <v>276</v>
      </c>
      <c r="H184" s="25" t="str" cm="1">
        <f t="array" aca="1" ref="H184" ca="1">_xlfn.LET(_xlpm._tb,_xlfn.XLOOKUP($B184,tb_shopType[type],tb_shopType[shop_table_name]),
_xlpm._col,MATCH($C184&amp;"-"&amp;TEXT(D184,"00"),INDIRECT(_xlpm._tb&amp;"[#标题]"),0),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709;300012=337;300013=75;300014=4;300021=337;300022=75;300023=4;300031=709;300032=337;300033=75;300034=4;300041=709;300042=337;300043=75;300044=4;300071=709;300072=337;300073=75;300074=4;300081=709;300082=337;300083=75;300084=4;301011=709;301012=337;301013=75;301014=4;301031=709;301032=337;301033=75;301034=4;301041=709;301042=337;301043=75;301044=4;301051=709;301052=337;301053=75;301054=4;302011=709;302012=337;302013=75;302014=4;302031=709;302032=337;302033=75;302034=4;302041=709;302042=337;302043=75;302044=4;302231=75;302232=4;302321=709;302322=337;302323=75;310203=709;310204=337;310205=75;310208=4;310218=4;310219=4;310223=4;310407=337;310408=75;310409=4;310501=75;310502=4;310504=75;310505=4;310507=75</v>
      </c>
    </row>
    <row r="185" spans="1:8" x14ac:dyDescent="0.2">
      <c r="A185" s="5">
        <v>30102</v>
      </c>
      <c r="B185" s="12" t="str">
        <f>VLOOKUP(VALUE(LEFT(A185,2)),tb_shopType[[prefix]:[type]],2,0)</f>
        <v>遗物掉落</v>
      </c>
      <c r="C185" s="23" t="str">
        <f>VLOOKUP(VALUE(MID(A185,LEN(A185)-2,1)),table_world[[id]:[name]],2,0)</f>
        <v>地宫</v>
      </c>
      <c r="D185" s="23">
        <v>2</v>
      </c>
      <c r="E185" s="12" t="s">
        <v>80</v>
      </c>
      <c r="F185" s="40" t="s">
        <v>332</v>
      </c>
      <c r="G185" s="40" t="s">
        <v>276</v>
      </c>
      <c r="H185" s="25" t="str" cm="1">
        <f t="array" aca="1" ref="H185" ca="1">_xlfn.LET(_xlpm._tb,_xlfn.XLOOKUP($B185,tb_shopType[type],tb_shopType[shop_table_name]),
_xlpm._col,MATCH($C185&amp;"-"&amp;TEXT(D185,"00"),INDIRECT(_xlpm._tb&amp;"[#标题]"),0),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705;300012=364;300013=94;300014=6;300021=364;300022=94;300023=6;300031=705;300032=364;300033=94;300034=6;300041=705;300042=364;300043=94;300044=6;300071=705;300072=364;300073=94;300074=6;300081=705;300082=364;300083=94;300084=6;301011=705;301012=364;301013=94;301014=6;301031=705;301032=364;301033=94;301034=6;301041=705;301042=364;301043=94;301044=6;301051=705;301052=364;301053=94;301054=6;302011=705;302012=364;302013=94;302014=6;302031=705;302032=364;302033=94;302034=6;302041=705;302042=364;302043=94;302044=6;302231=94;302232=6;302321=705;302322=364;302323=94;310203=705;310204=364;310205=94;310208=6;310218=6;310219=6;310223=6;310407=364;310408=94;310409=6;310501=94;310502=6;310504=94;310505=6;310507=94</v>
      </c>
    </row>
    <row r="186" spans="1:8" x14ac:dyDescent="0.2">
      <c r="A186" s="5">
        <v>30103</v>
      </c>
      <c r="B186" s="12" t="str">
        <f>VLOOKUP(VALUE(LEFT(A186,2)),tb_shopType[[prefix]:[type]],2,0)</f>
        <v>遗物掉落</v>
      </c>
      <c r="C186" s="23" t="str">
        <f>VLOOKUP(VALUE(MID(A186,LEN(A186)-2,1)),table_world[[id]:[name]],2,0)</f>
        <v>地宫</v>
      </c>
      <c r="D186" s="23">
        <v>3</v>
      </c>
      <c r="E186" s="12" t="s">
        <v>13</v>
      </c>
      <c r="F186" s="40" t="s">
        <v>331</v>
      </c>
      <c r="G186" s="40" t="s">
        <v>276</v>
      </c>
      <c r="H186" s="25" t="str" cm="1">
        <f t="array" aca="1" ref="H186" ca="1">_xlfn.LET(_xlpm._tb,_xlfn.XLOOKUP($B186,tb_shopType[type],tb_shopType[shop_table_name]),
_xlpm._col,MATCH($C186&amp;"-"&amp;TEXT(D186,"00"),INDIRECT(_xlpm._tb&amp;"[#标题]"),0),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692;300012=386;300013=115;300014=9;300021=386;300022=115;300023=9;300031=692;300032=386;300033=115;300034=9;300041=692;300042=386;300043=115;300044=9;300071=692;300072=386;300073=115;300074=9;300081=692;300082=386;300083=115;300084=9;301011=692;301012=386;301013=115;301014=9;301031=692;301032=386;301033=115;301034=9;301041=692;301042=386;301043=115;301044=9;301051=692;301052=386;301053=115;301054=9;302011=692;302012=386;302013=115;302014=9;302031=692;302032=386;302033=115;302034=9;302041=692;302042=386;302043=115;302044=9;302231=115;302232=9;302321=692;302322=386;302323=115;310203=692;310204=386;310205=115;310208=9;310218=9;310219=9;310223=9;310407=386;310408=115;310409=9;310501=115;310502=9;310504=115;310505=9;310507=115</v>
      </c>
    </row>
    <row r="187" spans="1:8" x14ac:dyDescent="0.2">
      <c r="A187" s="5">
        <v>30104</v>
      </c>
      <c r="B187" s="12" t="str">
        <f>VLOOKUP(VALUE(LEFT(A187,2)),tb_shopType[[prefix]:[type]],2,0)</f>
        <v>遗物掉落</v>
      </c>
      <c r="C187" s="23" t="str">
        <f>VLOOKUP(VALUE(MID(A187,LEN(A187)-2,1)),table_world[[id]:[name]],2,0)</f>
        <v>地宫</v>
      </c>
      <c r="D187" s="23">
        <v>4</v>
      </c>
      <c r="E187" s="12" t="s">
        <v>13</v>
      </c>
      <c r="F187" s="40" t="s">
        <v>331</v>
      </c>
      <c r="G187" s="40" t="s">
        <v>276</v>
      </c>
      <c r="H187" s="25" t="str" cm="1">
        <f t="array" aca="1" ref="H187" ca="1">_xlfn.LET(_xlpm._tb,_xlfn.XLOOKUP($B187,tb_shopType[type],tb_shopType[shop_table_name]),
_xlpm._col,MATCH($C187&amp;"-"&amp;TEXT(D187,"00"),INDIRECT(_xlpm._tb&amp;"[#标题]"),0),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671;300012=403;300013=137;300014=14;300021=403;300022=137;300023=14;300031=671;300032=403;300033=137;300034=14;300041=671;300042=403;300043=137;300044=14;300071=671;300072=403;300073=137;300074=14;300081=671;300082=403;300083=137;300084=14;301011=671;301012=403;301013=137;301014=14;301031=671;301032=403;301033=137;301034=14;301041=671;301042=403;301043=137;301044=14;301051=671;301052=403;301053=137;301054=14;302011=671;302012=403;302013=137;302014=14;302031=671;302032=403;302033=137;302034=14;302041=671;302042=403;302043=137;302044=14;302231=137;302232=14;302321=671;302322=403;302323=137;310203=671;310204=403;310205=137;310208=14;310218=14;310219=14;310223=14;310407=403;310408=137;310409=14;310501=137;310502=14;310504=137;310505=14;310507=137</v>
      </c>
    </row>
    <row r="188" spans="1:8" x14ac:dyDescent="0.2">
      <c r="A188" s="5">
        <v>30105</v>
      </c>
      <c r="B188" s="12" t="str">
        <f>VLOOKUP(VALUE(LEFT(A188,2)),tb_shopType[[prefix]:[type]],2,0)</f>
        <v>遗物掉落</v>
      </c>
      <c r="C188" s="23" t="str">
        <f>VLOOKUP(VALUE(MID(A188,LEN(A188)-2,1)),table_world[[id]:[name]],2,0)</f>
        <v>地宫</v>
      </c>
      <c r="D188" s="23">
        <v>5</v>
      </c>
      <c r="E188" s="12" t="s">
        <v>13</v>
      </c>
      <c r="F188" s="40" t="s">
        <v>331</v>
      </c>
      <c r="G188" s="40" t="s">
        <v>276</v>
      </c>
      <c r="H188" s="25" t="str" cm="1">
        <f t="array" aca="1" ref="H188" ca="1">_xlfn.LET(_xlpm._tb,_xlfn.XLOOKUP($B188,tb_shopType[type],tb_shopType[shop_table_name]),
_xlpm._col,MATCH($C188&amp;"-"&amp;TEXT(D188,"00"),INDIRECT(_xlpm._tb&amp;"[#标题]"),0),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643;300012=414;300013=160;300014=20;300021=414;300022=160;300023=20;300031=643;300032=414;300033=160;300034=20;300041=643;300042=414;300043=160;300044=20;300071=643;300072=414;300073=160;300074=20;300081=643;300082=414;300083=160;300084=20;301011=643;301012=414;301013=160;301014=20;301031=643;301032=414;301033=160;301034=20;301041=643;301042=414;301043=160;301044=20;301051=643;301052=414;301053=160;301054=20;302011=643;302012=414;302013=160;302014=20;302031=643;302032=414;302033=160;302034=20;302041=643;302042=414;302043=160;302044=20;302231=160;302232=20;302321=643;302322=414;302323=160;310203=643;310204=414;310205=160;310208=20;310218=20;310219=20;310223=20;310407=414;310408=160;310409=20;310501=160;310502=20;310504=160;310505=20;310507=160</v>
      </c>
    </row>
    <row r="189" spans="1:8" x14ac:dyDescent="0.2">
      <c r="A189" s="5">
        <v>30106</v>
      </c>
      <c r="B189" s="12" t="str">
        <f>VLOOKUP(VALUE(LEFT(A189,2)),tb_shopType[[prefix]:[type]],2,0)</f>
        <v>遗物掉落</v>
      </c>
      <c r="C189" s="23" t="str">
        <f>VLOOKUP(VALUE(MID(A189,LEN(A189)-2,1)),table_world[[id]:[name]],2,0)</f>
        <v>地宫</v>
      </c>
      <c r="D189" s="23">
        <v>6</v>
      </c>
      <c r="E189" s="12" t="s">
        <v>13</v>
      </c>
      <c r="F189" s="40" t="s">
        <v>331</v>
      </c>
      <c r="G189" s="40" t="s">
        <v>276</v>
      </c>
      <c r="H189" s="25" t="str" cm="1">
        <f t="array" aca="1" ref="H189" ca="1">_xlfn.LET(_xlpm._tb,_xlfn.XLOOKUP($B189,tb_shopType[type],tb_shopType[shop_table_name]),
_xlpm._col,MATCH($C189&amp;"-"&amp;TEXT(D189,"00"),INDIRECT(_xlpm._tb&amp;"[#标题]"),0),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608;300012=417;300013=183;300014=28;300021=417;300022=183;300023=28;300031=608;300032=417;300033=183;300034=28;300041=608;300042=417;300043=183;300044=28;300071=608;300072=417;300073=183;300074=28;300081=608;300082=417;300083=183;300084=28;301011=608;301012=417;301013=183;301014=28;301031=608;301032=417;301033=183;301034=28;301041=608;301042=417;301043=183;301044=28;301051=608;301052=417;301053=183;301054=28;302011=608;302012=417;302013=183;302014=28;302031=608;302032=417;302033=183;302034=28;302041=608;302042=417;302043=183;302044=28;302231=183;302232=28;302233=1;302321=608;302322=417;302323=183;310203=608;310204=417;310205=183;310206=1;310207=1;310208=28;310217=1;310218=28;310219=28;310223=28;310224=1;310225=1;310407=417;310408=183;310409=28;310501=183;310502=28;310503=1;310504=183;310505=28;310506=1;310507=183</v>
      </c>
    </row>
    <row r="190" spans="1:8" x14ac:dyDescent="0.2">
      <c r="A190" s="5">
        <v>30107</v>
      </c>
      <c r="B190" s="12" t="str">
        <f>VLOOKUP(VALUE(LEFT(A190,2)),tb_shopType[[prefix]:[type]],2,0)</f>
        <v>遗物掉落</v>
      </c>
      <c r="C190" s="23" t="str">
        <f>VLOOKUP(VALUE(MID(A190,LEN(A190)-2,1)),table_world[[id]:[name]],2,0)</f>
        <v>地宫</v>
      </c>
      <c r="D190" s="23">
        <v>7</v>
      </c>
      <c r="E190" s="12" t="s">
        <v>13</v>
      </c>
      <c r="F190" s="40" t="s">
        <v>331</v>
      </c>
      <c r="G190" s="40" t="s">
        <v>276</v>
      </c>
      <c r="H190" s="25" t="str" cm="1">
        <f t="array" aca="1" ref="H190" ca="1">_xlfn.LET(_xlpm._tb,_xlfn.XLOOKUP($B190,tb_shopType[type],tb_shopType[shop_table_name]),
_xlpm._col,MATCH($C190&amp;"-"&amp;TEXT(D190,"00"),INDIRECT(_xlpm._tb&amp;"[#标题]"),0),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568;300012=414;300013=203;300014=38;300021=414;300022=203;300023=38;300031=568;300032=414;300033=203;300034=38;300041=568;300042=414;300043=203;300044=38;300071=568;300072=414;300073=203;300074=38;300081=568;300082=414;300083=203;300084=38;301011=568;301012=414;301013=203;301014=38;301031=568;301032=414;301033=203;301034=38;301041=568;301042=414;301043=203;301044=38;301051=568;301052=414;301053=203;301054=38;302011=568;302012=414;302013=203;302014=38;302031=568;302032=414;302033=203;302034=38;302041=568;302042=414;302043=203;302044=38;302231=203;302232=38;302233=1;302321=568;302322=414;302323=203;310203=568;310204=414;310205=203;310206=1;310207=1;310208=38;310217=1;310218=38;310219=38;310223=38;310224=1;310225=1;310407=414;310408=203;310409=38;310501=203;310502=38;310503=1;310504=203;310505=38;310506=1;310507=203</v>
      </c>
    </row>
    <row r="191" spans="1:8" x14ac:dyDescent="0.2">
      <c r="A191" s="5">
        <v>30108</v>
      </c>
      <c r="B191" s="12" t="str">
        <f>VLOOKUP(VALUE(LEFT(A191,2)),tb_shopType[[prefix]:[type]],2,0)</f>
        <v>遗物掉落</v>
      </c>
      <c r="C191" s="23" t="str">
        <f>VLOOKUP(VALUE(MID(A191,LEN(A191)-2,1)),table_world[[id]:[name]],2,0)</f>
        <v>地宫</v>
      </c>
      <c r="D191" s="23">
        <v>8</v>
      </c>
      <c r="E191" s="12" t="s">
        <v>13</v>
      </c>
      <c r="F191" s="40" t="s">
        <v>331</v>
      </c>
      <c r="G191" s="40" t="s">
        <v>276</v>
      </c>
      <c r="H191" s="25" t="str" cm="1">
        <f t="array" aca="1" ref="H191" ca="1">_xlfn.LET(_xlpm._tb,_xlfn.XLOOKUP($B191,tb_shopType[type],tb_shopType[shop_table_name]),
_xlpm._col,MATCH($C191&amp;"-"&amp;TEXT(D191,"00"),INDIRECT(_xlpm._tb&amp;"[#标题]"),0),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524;300012=403;300013=221;300014=51;300021=403;300022=221;300023=51;300031=524;300032=403;300033=221;300034=51;300041=524;300042=403;300043=221;300044=51;300071=524;300072=403;300073=221;300074=51;300081=524;300082=403;300083=221;300084=51;301011=524;301012=403;301013=221;301014=51;301031=524;301032=403;301033=221;301034=51;301041=524;301042=403;301043=221;301044=51;301051=524;301052=403;301053=221;301054=51;302011=524;302012=403;302013=221;302014=51;302031=524;302032=403;302033=221;302034=51;302041=524;302042=403;302043=221;302044=51;302231=221;302232=51;302233=2;302321=524;302322=403;302323=221;310203=524;310204=403;310205=221;310206=2;310207=2;310208=51;310217=2;310218=51;310219=51;310223=51;310224=2;310225=2;310407=403;310408=221;310409=51;310501=221;310502=51;310503=2;310504=221;310505=51;310506=2;310507=221</v>
      </c>
    </row>
    <row r="192" spans="1:8" x14ac:dyDescent="0.2">
      <c r="A192" s="5">
        <v>30109</v>
      </c>
      <c r="B192" s="12" t="str">
        <f>VLOOKUP(VALUE(LEFT(A192,2)),tb_shopType[[prefix]:[type]],2,0)</f>
        <v>遗物掉落</v>
      </c>
      <c r="C192" s="23" t="str">
        <f>VLOOKUP(VALUE(MID(A192,LEN(A192)-2,1)),table_world[[id]:[name]],2,0)</f>
        <v>地宫</v>
      </c>
      <c r="D192" s="23">
        <v>9</v>
      </c>
      <c r="E192" s="12" t="s">
        <v>13</v>
      </c>
      <c r="F192" s="40" t="s">
        <v>331</v>
      </c>
      <c r="G192" s="40" t="s">
        <v>276</v>
      </c>
      <c r="H192" s="25" t="str" cm="1">
        <f t="array" aca="1" ref="H192" ca="1">_xlfn.LET(_xlpm._tb,_xlfn.XLOOKUP($B192,tb_shopType[type],tb_shopType[shop_table_name]),
_xlpm._col,MATCH($C192&amp;"-"&amp;TEXT(D192,"00"),INDIRECT(_xlpm._tb&amp;"[#标题]"),0),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478;300012=386;300013=234;300014=65;300021=386;300022=234;300023=65;300031=478;300032=386;300033=234;300034=65;300041=478;300042=386;300043=234;300044=65;300071=478;300072=386;300073=234;300074=65;300081=478;300082=386;300083=234;300084=65;301011=478;301012=386;301013=234;301014=65;301031=478;301032=386;301033=234;301034=65;301041=478;301042=386;301043=234;301044=65;301051=478;301052=386;301053=234;301054=65;302011=478;302012=386;302013=234;302014=65;302031=478;302032=386;302033=234;302034=65;302041=478;302042=386;302043=234;302044=65;302231=234;302232=65;302233=3;302321=478;302322=386;302323=234;310203=478;310204=386;310205=234;310206=3;310207=3;310208=65;310217=3;310218=65;310219=65;310223=65;310224=3;310225=3;310407=386;310408=234;310409=65;310501=234;310502=65;310503=3;310504=234;310505=65;310506=3;310507=234</v>
      </c>
    </row>
    <row r="193" spans="1:8" x14ac:dyDescent="0.2">
      <c r="A193" s="5">
        <v>30110</v>
      </c>
      <c r="B193" s="12" t="str">
        <f>VLOOKUP(VALUE(LEFT(A193,2)),tb_shopType[[prefix]:[type]],2,0)</f>
        <v>遗物掉落</v>
      </c>
      <c r="C193" s="23" t="str">
        <f>VLOOKUP(VALUE(MID(A193,LEN(A193)-2,1)),table_world[[id]:[name]],2,0)</f>
        <v>地宫</v>
      </c>
      <c r="D193" s="23">
        <v>10</v>
      </c>
      <c r="E193" s="12" t="s">
        <v>13</v>
      </c>
      <c r="F193" s="40" t="s">
        <v>331</v>
      </c>
      <c r="G193" s="40" t="s">
        <v>276</v>
      </c>
      <c r="H193" s="25" t="str" cm="1">
        <f t="array" aca="1" ref="H193" ca="1">_xlfn.LET(_xlpm._tb,_xlfn.XLOOKUP($B193,tb_shopType[type],tb_shopType[shop_table_name]),
_xlpm._col,MATCH($C193&amp;"-"&amp;TEXT(D193,"00"),INDIRECT(_xlpm._tb&amp;"[#标题]"),0),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430;300012=364;300013=243;300014=80;300021=364;300022=243;300023=80;300031=430;300032=364;300033=243;300034=80;300041=430;300042=364;300043=243;300044=80;300071=430;300072=364;300073=243;300074=80;300081=430;300082=364;300083=243;300084=80;301011=430;301012=364;301013=243;301014=80;301031=430;301032=364;301033=243;301034=80;301041=430;301042=364;301043=243;301044=80;301051=430;301052=364;301053=243;301054=80;302011=430;302012=364;302013=243;302014=80;302031=430;302032=364;302033=243;302034=80;302041=430;302042=364;302043=243;302044=80;302231=243;302232=80;302233=5;302321=430;302322=364;302323=243;310203=430;310204=364;310205=243;310206=5;310207=5;310208=80;310217=5;310218=80;310219=80;310223=80;310224=5;310225=5;310407=364;310408=243;310409=80;310501=243;310502=80;310503=5;310504=243;310505=80;310506=5;310507=243</v>
      </c>
    </row>
    <row r="194" spans="1:8" x14ac:dyDescent="0.2">
      <c r="A194" s="5">
        <v>30111</v>
      </c>
      <c r="B194" s="12" t="str">
        <f>VLOOKUP(VALUE(LEFT(A194,2)),tb_shopType[[prefix]:[type]],2,0)</f>
        <v>遗物掉落</v>
      </c>
      <c r="C194" s="23" t="str">
        <f>VLOOKUP(VALUE(MID(A194,LEN(A194)-2,1)),table_world[[id]:[name]],2,0)</f>
        <v>地宫</v>
      </c>
      <c r="D194" s="23">
        <v>11</v>
      </c>
      <c r="E194" s="12" t="s">
        <v>13</v>
      </c>
      <c r="F194" s="40" t="s">
        <v>331</v>
      </c>
      <c r="G194" s="40" t="s">
        <v>276</v>
      </c>
      <c r="H194" s="25" t="str" cm="1">
        <f t="array" aca="1" ref="H194" ca="1">_xlfn.LET(_xlpm._tb,_xlfn.XLOOKUP($B194,tb_shopType[type],tb_shopType[shop_table_name]),
_xlpm._col,MATCH($C194&amp;"-"&amp;TEXT(D194,"00"),INDIRECT(_xlpm._tb&amp;"[#标题]"),0),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383;300012=337;300013=245;300014=96;300021=337;300022=245;300023=96;300031=383;300032=337;300033=245;300034=96;300041=383;300042=337;300043=245;300044=96;300071=383;300072=337;300073=245;300074=96;300081=383;300082=337;300083=245;300084=96;301011=383;301012=337;301013=245;301014=96;301031=383;301032=337;301033=245;301034=96;301041=383;301042=337;301043=245;301044=96;301051=383;301052=337;301053=245;301054=96;302011=383;302012=337;302013=245;302014=96;302031=383;302032=337;302033=245;302034=96;302041=383;302042=337;302043=245;302044=96;302231=245;302232=96;302233=9;302321=383;302322=337;302323=245;310203=383;310204=337;310205=245;310206=9;310207=9;310208=96;310217=9;310218=96;310219=96;310223=96;310224=9;310225=9;310407=337;310408=245;310409=96;310501=245;310502=96;310503=9;310504=245;310505=96;310506=9;310507=245</v>
      </c>
    </row>
    <row r="195" spans="1:8" x14ac:dyDescent="0.2">
      <c r="A195" s="5">
        <v>30112</v>
      </c>
      <c r="B195" s="12" t="str">
        <f>VLOOKUP(VALUE(LEFT(A195,2)),tb_shopType[[prefix]:[type]],2,0)</f>
        <v>遗物掉落</v>
      </c>
      <c r="C195" s="23" t="str">
        <f>VLOOKUP(VALUE(MID(A195,LEN(A195)-2,1)),table_world[[id]:[name]],2,0)</f>
        <v>地宫</v>
      </c>
      <c r="D195" s="23">
        <v>12</v>
      </c>
      <c r="E195" s="12" t="s">
        <v>13</v>
      </c>
      <c r="F195" s="40" t="s">
        <v>331</v>
      </c>
      <c r="G195" s="40" t="s">
        <v>276</v>
      </c>
      <c r="H195" s="25" t="str" cm="1">
        <f t="array" aca="1" ref="H195" ca="1">_xlfn.LET(_xlpm._tb,_xlfn.XLOOKUP($B195,tb_shopType[type],tb_shopType[shop_table_name]),
_xlpm._col,MATCH($C195&amp;"-"&amp;TEXT(D195,"00"),INDIRECT(_xlpm._tb&amp;"[#标题]"),0),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336;300012=307;300013=243;300014=111;300021=307;300022=243;300023=111;300031=336;300032=307;300033=243;300034=111;300041=336;300042=307;300043=243;300044=111;300071=336;300072=307;300073=243;300074=111;300081=336;300082=307;300083=243;300084=111;301011=336;301012=307;301013=243;301014=111;301031=336;301032=307;301033=243;301034=111;301041=336;301042=307;301043=243;301044=111;301051=336;301052=307;301053=243;301054=111;302011=336;302012=307;302013=243;302014=111;302031=336;302032=307;302033=243;302034=111;302041=336;302042=307;302043=243;302044=111;302231=243;302232=111;302233=14;302321=336;302322=307;302323=243;310203=336;310204=307;310205=243;310206=14;310207=14;310208=111;310217=14;310218=111;310219=111;310223=111;310224=14;310225=14;310407=307;310408=243;310409=111;310501=243;310502=111;310503=14;310504=243;310505=111;310506=14;310507=243</v>
      </c>
    </row>
    <row r="196" spans="1:8" x14ac:dyDescent="0.2">
      <c r="A196" s="5">
        <v>30113</v>
      </c>
      <c r="B196" s="12" t="str">
        <f>VLOOKUP(VALUE(LEFT(A196,2)),tb_shopType[[prefix]:[type]],2,0)</f>
        <v>遗物掉落</v>
      </c>
      <c r="C196" s="23" t="str">
        <f>VLOOKUP(VALUE(MID(A196,LEN(A196)-2,1)),table_world[[id]:[name]],2,0)</f>
        <v>地宫</v>
      </c>
      <c r="D196" s="23">
        <v>13</v>
      </c>
      <c r="E196" s="12" t="s">
        <v>13</v>
      </c>
      <c r="F196" s="40" t="s">
        <v>331</v>
      </c>
      <c r="G196" s="40" t="s">
        <v>276</v>
      </c>
      <c r="H196" s="25" t="str" cm="1">
        <f t="array" aca="1" ref="H196" ca="1">_xlfn.LET(_xlpm._tb,_xlfn.XLOOKUP($B196,tb_shopType[type],tb_shopType[shop_table_name]),
_xlpm._col,MATCH($C196&amp;"-"&amp;TEXT(D196,"00"),INDIRECT(_xlpm._tb&amp;"[#标题]"),0),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292;300012=274;300013=234;300014=125;300021=274;300022=234;300023=125;300031=292;300032=274;300033=234;300034=125;300041=292;300042=274;300043=234;300044=125;300071=292;300072=274;300073=234;300074=125;300081=292;300082=274;300083=234;300084=125;301011=292;301012=274;301013=234;301014=125;301031=292;301032=274;301033=234;301034=125;301041=292;301042=274;301043=234;301044=125;301051=292;301052=274;301053=234;301054=125;302011=292;302012=274;302013=234;302014=125;302031=292;302032=274;302033=234;302034=125;302041=292;302042=274;302043=234;302044=125;302231=234;302232=125;302233=20;302321=292;302322=274;302323=234;310203=292;310204=274;310205=234;310206=20;310207=20;310208=125;310217=20;310218=125;310219=125;310223=125;310224=20;310225=20;310407=274;310408=234;310409=125;310501=234;310502=125;310503=20;310504=234;310505=125;310506=20;310507=234</v>
      </c>
    </row>
    <row r="197" spans="1:8" x14ac:dyDescent="0.2">
      <c r="A197" s="5">
        <v>30114</v>
      </c>
      <c r="B197" s="12" t="str">
        <f>VLOOKUP(VALUE(LEFT(A197,2)),tb_shopType[[prefix]:[type]],2,0)</f>
        <v>遗物掉落</v>
      </c>
      <c r="C197" s="23" t="str">
        <f>VLOOKUP(VALUE(MID(A197,LEN(A197)-2,1)),table_world[[id]:[name]],2,0)</f>
        <v>地宫</v>
      </c>
      <c r="D197" s="23">
        <v>14</v>
      </c>
      <c r="E197" s="12" t="s">
        <v>13</v>
      </c>
      <c r="F197" s="40" t="s">
        <v>331</v>
      </c>
      <c r="G197" s="40" t="s">
        <v>276</v>
      </c>
      <c r="H197" s="25" t="str" cm="1">
        <f t="array" aca="1" ref="H197" ca="1">_xlfn.LET(_xlpm._tb,_xlfn.XLOOKUP($B197,tb_shopType[type],tb_shopType[shop_table_name]),
_xlpm._col,MATCH($C197&amp;"-"&amp;TEXT(D197,"00"),INDIRECT(_xlpm._tb&amp;"[#标题]"),0),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250;300012=241;300013=221;300014=135;300021=241;300022=221;300023=135;300031=250;300032=241;300033=221;300034=135;300041=250;300042=241;300043=221;300044=135;300071=250;300072=241;300073=221;300074=135;300081=250;300082=241;300083=221;300084=135;301011=250;301012=241;301013=221;301014=135;301031=250;301032=241;301033=221;301034=135;301041=250;301042=241;301043=221;301044=135;301051=250;301052=241;301053=221;301054=135;302011=250;302012=241;302013=221;302014=135;302031=250;302032=241;302033=221;302034=135;302041=250;302042=241;302043=221;302044=135;302231=221;302232=135;302233=28;302321=250;302322=241;302323=221;310203=250;310204=241;310205=221;310206=28;310207=28;310208=135;310217=28;310218=135;310219=135;310223=135;310224=28;310225=28;310407=241;310408=221;310409=135;310501=221;310502=135;310503=28;310504=221;310505=135;310506=28;310507=221</v>
      </c>
    </row>
    <row r="198" spans="1:8" x14ac:dyDescent="0.2">
      <c r="A198" s="5">
        <v>30115</v>
      </c>
      <c r="B198" s="12" t="str">
        <f>VLOOKUP(VALUE(LEFT(A198,2)),tb_shopType[[prefix]:[type]],2,0)</f>
        <v>遗物掉落</v>
      </c>
      <c r="C198" s="23" t="str">
        <f>VLOOKUP(VALUE(MID(A198,LEN(A198)-2,1)),table_world[[id]:[name]],2,0)</f>
        <v>地宫</v>
      </c>
      <c r="D198" s="23">
        <v>15</v>
      </c>
      <c r="E198" s="12" t="s">
        <v>13</v>
      </c>
      <c r="F198" s="40" t="s">
        <v>331</v>
      </c>
      <c r="G198" s="40" t="s">
        <v>276</v>
      </c>
      <c r="H198" s="25" t="str" cm="1">
        <f t="array" aca="1" ref="H198" ca="1">_xlfn.LET(_xlpm._tb,_xlfn.XLOOKUP($B198,tb_shopType[type],tb_shopType[shop_table_name]),
_xlpm._col,MATCH($C198&amp;"-"&amp;TEXT(D198,"00"),INDIRECT(_xlpm._tb&amp;"[#标题]"),0),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212;300012=209;300013=203;300014=142;300021=209;300022=203;300023=142;300031=212;300032=209;300033=203;300034=142;300041=212;300042=209;300043=203;300044=142;300071=212;300072=209;300073=203;300074=142;300081=212;300082=209;300083=203;300084=142;301011=212;301012=209;301013=203;301014=142;301031=212;301032=209;301033=203;301034=142;301041=212;301042=209;301043=203;301044=142;301051=212;301052=209;301053=203;301054=142;302011=212;302012=209;302013=203;302014=142;302031=212;302032=209;302033=203;302034=142;302041=212;302042=209;302043=203;302044=142;302231=203;302232=142;302233=38;302321=212;302322=209;302323=203;310203=212;310204=209;310205=203;310206=38;310207=38;310208=142;310217=38;310218=142;310219=142;310223=142;310224=38;310225=38;310407=209;310408=203;310409=142;310501=203;310502=142;310503=38;310504=203;310505=142;310506=38;310507=203</v>
      </c>
    </row>
    <row r="199" spans="1:8" x14ac:dyDescent="0.2">
      <c r="A199" s="5">
        <v>30116</v>
      </c>
      <c r="B199" s="12" t="str">
        <f>VLOOKUP(VALUE(LEFT(A199,2)),tb_shopType[[prefix]:[type]],2,0)</f>
        <v>遗物掉落</v>
      </c>
      <c r="C199" s="23" t="str">
        <f>VLOOKUP(VALUE(MID(A199,LEN(A199)-2,1)),table_world[[id]:[name]],2,0)</f>
        <v>地宫</v>
      </c>
      <c r="D199" s="23">
        <v>16</v>
      </c>
      <c r="E199" s="12" t="s">
        <v>13</v>
      </c>
      <c r="F199" s="40" t="s">
        <v>331</v>
      </c>
      <c r="G199" s="40" t="s">
        <v>276</v>
      </c>
      <c r="H199" s="25" t="str" cm="1">
        <f t="array" aca="1" ref="H199" ca="1">_xlfn.LET(_xlpm._tb,_xlfn.XLOOKUP($B199,tb_shopType[type],tb_shopType[shop_table_name]),
_xlpm._col,MATCH($C199&amp;"-"&amp;TEXT(D199,"00"),INDIRECT(_xlpm._tb&amp;"[#标题]"),0),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177;300012=178;300013=183;300014=144;300021=178;300022=183;300023=144;300031=177;300032=178;300033=183;300034=144;300041=177;300042=178;300043=183;300044=144;300071=177;300072=178;300073=183;300074=144;300081=177;300082=178;300083=183;300084=144;301011=177;301012=178;301013=183;301014=144;301031=177;301032=178;301033=183;301034=144;301041=177;301042=178;301043=183;301044=144;301051=177;301052=178;301053=183;301054=144;302011=177;302012=178;302013=183;302014=144;302031=177;302032=178;302033=183;302034=144;302041=177;302042=178;302043=183;302044=144;302231=183;302232=144;302233=48;302321=177;302322=178;302323=183;310203=177;310204=178;310205=183;310206=48;310207=48;310208=144;310217=48;310218=144;310219=144;310223=144;310224=48;310225=48;310407=178;310408=183;310409=144;310501=183;310502=144;310503=48;310504=183;310505=144;310506=48;310507=183</v>
      </c>
    </row>
    <row r="200" spans="1:8" x14ac:dyDescent="0.2">
      <c r="A200" s="5">
        <v>30117</v>
      </c>
      <c r="B200" s="12" t="str">
        <f>VLOOKUP(VALUE(LEFT(A200,2)),tb_shopType[[prefix]:[type]],2,0)</f>
        <v>遗物掉落</v>
      </c>
      <c r="C200" s="23" t="str">
        <f>VLOOKUP(VALUE(MID(A200,LEN(A200)-2,1)),table_world[[id]:[name]],2,0)</f>
        <v>地宫</v>
      </c>
      <c r="D200" s="23">
        <v>17</v>
      </c>
      <c r="E200" s="12" t="s">
        <v>13</v>
      </c>
      <c r="F200" s="40" t="s">
        <v>331</v>
      </c>
      <c r="G200" s="40" t="s">
        <v>276</v>
      </c>
      <c r="H200" s="25" t="str" cm="1">
        <f t="array" aca="1" ref="H200" ca="1">_xlfn.LET(_xlpm._tb,_xlfn.XLOOKUP($B200,tb_shopType[type],tb_shopType[shop_table_name]),
_xlpm._col,MATCH($C200&amp;"-"&amp;TEXT(D200,"00"),INDIRECT(_xlpm._tb&amp;"[#标题]"),0),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146;300012=148;300013=160;300014=142;300021=148;300022=160;300023=142;300031=146;300032=148;300033=160;300034=142;300041=146;300042=148;300043=160;300044=142;300071=146;300072=148;300073=160;300074=142;300081=146;300082=148;300083=160;300084=142;301011=146;301012=148;301013=160;301014=142;301031=146;301032=148;301033=160;301034=142;301041=146;301042=148;301043=160;301044=142;301051=146;301052=148;301053=160;301054=142;302011=146;302012=148;302013=160;302014=142;302031=146;302032=148;302033=160;302034=142;302041=146;302042=148;302043=160;302044=142;302231=160;302232=142;302233=59;302321=146;302322=148;302323=160;310203=146;310204=148;310205=160;310206=59;310207=59;310208=142;310217=59;310218=142;310219=142;310223=142;310224=59;310225=59;310407=148;310408=160;310409=142;310501=160;310502=142;310503=59;310504=160;310505=142;310506=59;310507=160</v>
      </c>
    </row>
    <row r="201" spans="1:8" x14ac:dyDescent="0.2">
      <c r="A201" s="5">
        <v>30118</v>
      </c>
      <c r="B201" s="12" t="str">
        <f>VLOOKUP(VALUE(LEFT(A201,2)),tb_shopType[[prefix]:[type]],2,0)</f>
        <v>遗物掉落</v>
      </c>
      <c r="C201" s="23" t="str">
        <f>VLOOKUP(VALUE(MID(A201,LEN(A201)-2,1)),table_world[[id]:[name]],2,0)</f>
        <v>地宫</v>
      </c>
      <c r="D201" s="23">
        <v>18</v>
      </c>
      <c r="E201" s="12" t="s">
        <v>13</v>
      </c>
      <c r="F201" s="40" t="s">
        <v>331</v>
      </c>
      <c r="G201" s="40" t="s">
        <v>276</v>
      </c>
      <c r="H201" s="25" t="str" cm="1">
        <f t="array" aca="1" ref="H201" ca="1">_xlfn.LET(_xlpm._tb,_xlfn.XLOOKUP($B201,tb_shopType[type],tb_shopType[shop_table_name]),
_xlpm._col,MATCH($C201&amp;"-"&amp;TEXT(D201,"00"),INDIRECT(_xlpm._tb&amp;"[#标题]"),0),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119;300012=122;300013=137;300014=135;300021=122;300022=137;300023=135;300031=119;300032=122;300033=137;300034=135;300041=119;300042=122;300043=137;300044=135;300071=119;300072=122;300073=137;300074=135;300081=119;300082=122;300083=137;300084=135;301011=119;301012=122;301013=137;301014=135;301031=119;301032=122;301033=137;301034=135;301041=119;301042=122;301043=137;301044=135;301051=119;301052=122;301053=137;301054=135;302011=119;302012=122;302013=137;302014=135;302031=119;302032=122;302033=137;302034=135;302041=119;302042=122;302043=137;302044=135;302231=137;302232=135;302233=69;302321=119;302322=122;302323=137;310203=119;310204=122;310205=137;310206=69;310207=69;310208=135;310217=69;310218=135;310219=135;310223=135;310224=69;310225=69;310407=122;310408=137;310409=135;310501=137;310502=135;310503=69;310504=137;310505=135;310506=69;310507=137</v>
      </c>
    </row>
    <row r="202" spans="1:8" x14ac:dyDescent="0.2">
      <c r="A202" s="5">
        <v>30119</v>
      </c>
      <c r="B202" s="12" t="str">
        <f>VLOOKUP(VALUE(LEFT(A202,2)),tb_shopType[[prefix]:[type]],2,0)</f>
        <v>遗物掉落</v>
      </c>
      <c r="C202" s="23" t="str">
        <f>VLOOKUP(VALUE(MID(A202,LEN(A202)-2,1)),table_world[[id]:[name]],2,0)</f>
        <v>地宫</v>
      </c>
      <c r="D202" s="23">
        <v>19</v>
      </c>
      <c r="E202" s="12" t="s">
        <v>13</v>
      </c>
      <c r="F202" s="40" t="s">
        <v>331</v>
      </c>
      <c r="G202" s="40" t="s">
        <v>276</v>
      </c>
      <c r="H202" s="25" t="str" cm="1">
        <f t="array" aca="1" ref="H202" ca="1">_xlfn.LET(_xlpm._tb,_xlfn.XLOOKUP($B202,tb_shopType[type],tb_shopType[shop_table_name]),
_xlpm._col,MATCH($C202&amp;"-"&amp;TEXT(D202,"00"),INDIRECT(_xlpm._tb&amp;"[#标题]"),0),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96;300012=98;300013=115;300014=125;300021=98;300022=115;300023=125;300031=96;300032=98;300033=115;300034=125;300041=96;300042=98;300043=115;300044=125;300071=96;300072=98;300073=115;300074=125;300081=96;300082=98;300083=115;300084=125;301011=96;301012=98;301013=115;301014=125;301031=96;301032=98;301033=115;301034=125;301041=96;301042=98;301043=115;301044=125;301051=96;301052=98;301053=115;301054=125;302011=96;302012=98;302013=115;302014=125;302031=96;302032=98;302033=115;302034=125;302041=96;302042=98;302043=115;302044=125;302231=115;302232=125;302233=78;302321=96;302322=98;302323=115;310203=96;310204=98;310205=115;310206=78;310207=78;310208=125;310217=78;310218=125;310219=125;310223=125;310224=78;310225=78;310407=98;310408=115;310409=125;310501=115;310502=125;310503=78;310504=115;310505=125;310506=78;310507=115</v>
      </c>
    </row>
    <row r="203" spans="1:8" x14ac:dyDescent="0.2">
      <c r="A203" s="5">
        <v>30120</v>
      </c>
      <c r="B203" s="12" t="str">
        <f>VLOOKUP(VALUE(LEFT(A203,2)),tb_shopType[[prefix]:[type]],2,0)</f>
        <v>遗物掉落</v>
      </c>
      <c r="C203" s="23" t="str">
        <f>VLOOKUP(VALUE(MID(A203,LEN(A203)-2,1)),table_world[[id]:[name]],2,0)</f>
        <v>地宫</v>
      </c>
      <c r="D203" s="23">
        <v>20</v>
      </c>
      <c r="E203" s="12" t="s">
        <v>13</v>
      </c>
      <c r="F203" s="40" t="s">
        <v>331</v>
      </c>
      <c r="G203" s="40" t="s">
        <v>276</v>
      </c>
      <c r="H203" s="25" t="str" cm="1">
        <f t="array" aca="1" ref="H203" ca="1">_xlfn.LET(_xlpm._tb,_xlfn.XLOOKUP($B203,tb_shopType[type],tb_shopType[shop_table_name]),
_xlpm._col,MATCH($C203&amp;"-"&amp;TEXT(D203,"00"),INDIRECT(_xlpm._tb&amp;"[#标题]"),0),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76;300012=78;300013=94;300014=111;300021=78;300022=94;300023=111;300031=76;300032=78;300033=94;300034=111;300041=76;300042=78;300043=94;300044=111;300071=76;300072=78;300073=94;300074=111;300081=76;300082=78;300083=94;300084=111;301011=76;301012=78;301013=94;301014=111;301031=76;301032=78;301033=94;301034=111;301041=76;301042=78;301043=94;301044=111;301051=76;301052=78;301053=94;301054=111;302011=76;302012=78;302013=94;302014=111;302031=76;302032=78;302033=94;302034=111;302041=76;302042=78;302043=94;302044=111;302231=94;302232=111;302233=83;302321=76;302322=78;302323=94;310203=76;310204=78;310205=94;310206=83;310207=83;310208=111;310217=83;310218=111;310219=111;310223=111;310224=83;310225=83;310407=78;310408=94;310409=111;310501=94;310502=111;310503=83;310504=94;310505=111;310506=83;310507=94</v>
      </c>
    </row>
    <row r="205" spans="1:8" x14ac:dyDescent="0.2">
      <c r="A205" s="5">
        <v>30401</v>
      </c>
      <c r="B205" s="12" t="str">
        <f>VLOOKUP(VALUE(LEFT(A205,2)),tb_shopType[[prefix]:[type]],2,0)</f>
        <v>遗物掉落</v>
      </c>
      <c r="C205" s="23" t="str">
        <f>VLOOKUP(VALUE(MID(A205,LEN(A205)-2,1)),table_world[[id]:[name]],2,0)</f>
        <v>树梢</v>
      </c>
      <c r="D205" s="23">
        <v>1</v>
      </c>
      <c r="E205" s="12" t="s">
        <v>80</v>
      </c>
      <c r="F205" s="40" t="s">
        <v>332</v>
      </c>
      <c r="G205" s="40" t="s">
        <v>276</v>
      </c>
      <c r="H205" s="25" t="str" cm="1">
        <f t="array" aca="1" ref="H205" ca="1">_xlfn.LET(_xlpm._tb,_xlfn.XLOOKUP($B205,tb_shopType[type],tb_shopType[shop_table_name]),
_xlpm._col,MATCH($C205&amp;"-"&amp;TEXT(D205,"00"),INDIRECT(_xlpm._tb&amp;"[#标题]"),0),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709;300012=337;300013=75;300014=4;300021=337;300022=75;300023=4;300031=709;300032=337;300033=75;300034=4;300041=709;300042=337;300043=75;300044=4;300071=709;300072=337;300073=75;300074=4;300081=709;300082=337;300083=75;300084=4;301011=709;301012=337;301013=75;301014=4;301031=709;301032=337;301033=75;301034=4;301041=709;301042=337;301043=75;301044=4;301051=709;301052=337;301053=75;301054=4;302011=709;302012=337;302013=75;302014=4;302031=709;302032=337;302033=75;302034=4;302041=709;302042=337;302043=75;302044=4;302231=75;302232=4;302321=709;302322=337;302323=75;310203=709;310204=337;310205=75;310208=4;310218=4;310219=4;310223=4;310407=337;310408=75;310409=4;310501=75;310502=4;310504=75;310505=4;310507=75</v>
      </c>
    </row>
    <row r="206" spans="1:8" x14ac:dyDescent="0.2">
      <c r="A206" s="5">
        <v>30402</v>
      </c>
      <c r="B206" s="12" t="str">
        <f>VLOOKUP(VALUE(LEFT(A206,2)),tb_shopType[[prefix]:[type]],2,0)</f>
        <v>遗物掉落</v>
      </c>
      <c r="C206" s="23" t="str">
        <f>VLOOKUP(VALUE(MID(A206,LEN(A206)-2,1)),table_world[[id]:[name]],2,0)</f>
        <v>树梢</v>
      </c>
      <c r="D206" s="23">
        <v>2</v>
      </c>
      <c r="E206" s="12" t="s">
        <v>80</v>
      </c>
      <c r="F206" s="40" t="s">
        <v>332</v>
      </c>
      <c r="G206" s="40" t="s">
        <v>276</v>
      </c>
      <c r="H206" s="25" t="str" cm="1">
        <f t="array" aca="1" ref="H206" ca="1">_xlfn.LET(_xlpm._tb,_xlfn.XLOOKUP($B206,tb_shopType[type],tb_shopType[shop_table_name]),
_xlpm._col,MATCH($C206&amp;"-"&amp;TEXT(D206,"00"),INDIRECT(_xlpm._tb&amp;"[#标题]"),0),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705;300012=364;300013=94;300014=6;300021=364;300022=94;300023=6;300031=705;300032=364;300033=94;300034=6;300041=705;300042=364;300043=94;300044=6;300071=705;300072=364;300073=94;300074=6;300081=705;300082=364;300083=94;300084=6;301011=705;301012=364;301013=94;301014=6;301031=705;301032=364;301033=94;301034=6;301041=705;301042=364;301043=94;301044=6;301051=705;301052=364;301053=94;301054=6;302011=705;302012=364;302013=94;302014=6;302031=705;302032=364;302033=94;302034=6;302041=705;302042=364;302043=94;302044=6;302231=94;302232=6;302321=705;302322=364;302323=94;310203=705;310204=364;310205=94;310208=6;310218=6;310219=6;310223=6;310407=364;310408=94;310409=6;310501=94;310502=6;310504=94;310505=6;310507=94</v>
      </c>
    </row>
    <row r="207" spans="1:8" x14ac:dyDescent="0.2">
      <c r="A207" s="5">
        <v>30403</v>
      </c>
      <c r="B207" s="12" t="str">
        <f>VLOOKUP(VALUE(LEFT(A207,2)),tb_shopType[[prefix]:[type]],2,0)</f>
        <v>遗物掉落</v>
      </c>
      <c r="C207" s="23" t="str">
        <f>VLOOKUP(VALUE(MID(A207,LEN(A207)-2,1)),table_world[[id]:[name]],2,0)</f>
        <v>树梢</v>
      </c>
      <c r="D207" s="23">
        <v>3</v>
      </c>
      <c r="E207" s="12" t="s">
        <v>13</v>
      </c>
      <c r="F207" s="40" t="s">
        <v>331</v>
      </c>
      <c r="G207" s="40" t="s">
        <v>276</v>
      </c>
      <c r="H207" s="25" t="str" cm="1">
        <f t="array" aca="1" ref="H207" ca="1">_xlfn.LET(_xlpm._tb,_xlfn.XLOOKUP($B207,tb_shopType[type],tb_shopType[shop_table_name]),
_xlpm._col,MATCH($C207&amp;"-"&amp;TEXT(D207,"00"),INDIRECT(_xlpm._tb&amp;"[#标题]"),0),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692;300012=386;300013=115;300014=9;300021=386;300022=115;300023=9;300031=692;300032=386;300033=115;300034=9;300041=692;300042=386;300043=115;300044=9;300071=692;300072=386;300073=115;300074=9;300081=692;300082=386;300083=115;300084=9;301011=692;301012=386;301013=115;301014=9;301031=692;301032=386;301033=115;301034=9;301041=692;301042=386;301043=115;301044=9;301051=692;301052=386;301053=115;301054=9;302011=692;302012=386;302013=115;302014=9;302031=692;302032=386;302033=115;302034=9;302041=692;302042=386;302043=115;302044=9;302231=115;302232=9;302321=692;302322=386;302323=115;310203=692;310204=386;310205=115;310208=9;310218=9;310219=9;310223=9;310407=386;310408=115;310409=9;310501=115;310502=9;310504=115;310505=9;310507=115</v>
      </c>
    </row>
    <row r="208" spans="1:8" x14ac:dyDescent="0.2">
      <c r="A208" s="5">
        <v>30404</v>
      </c>
      <c r="B208" s="12" t="str">
        <f>VLOOKUP(VALUE(LEFT(A208,2)),tb_shopType[[prefix]:[type]],2,0)</f>
        <v>遗物掉落</v>
      </c>
      <c r="C208" s="23" t="str">
        <f>VLOOKUP(VALUE(MID(A208,LEN(A208)-2,1)),table_world[[id]:[name]],2,0)</f>
        <v>树梢</v>
      </c>
      <c r="D208" s="23">
        <v>4</v>
      </c>
      <c r="E208" s="12" t="s">
        <v>13</v>
      </c>
      <c r="F208" s="40" t="s">
        <v>331</v>
      </c>
      <c r="G208" s="40" t="s">
        <v>276</v>
      </c>
      <c r="H208" s="25" t="str" cm="1">
        <f t="array" aca="1" ref="H208" ca="1">_xlfn.LET(_xlpm._tb,_xlfn.XLOOKUP($B208,tb_shopType[type],tb_shopType[shop_table_name]),
_xlpm._col,MATCH($C208&amp;"-"&amp;TEXT(D208,"00"),INDIRECT(_xlpm._tb&amp;"[#标题]"),0),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671;300012=403;300013=137;300014=14;300021=403;300022=137;300023=14;300031=671;300032=403;300033=137;300034=14;300041=671;300042=403;300043=137;300044=14;300071=671;300072=403;300073=137;300074=14;300081=671;300082=403;300083=137;300084=14;301011=671;301012=403;301013=137;301014=14;301031=671;301032=403;301033=137;301034=14;301041=671;301042=403;301043=137;301044=14;301051=671;301052=403;301053=137;301054=14;302011=671;302012=403;302013=137;302014=14;302031=671;302032=403;302033=137;302034=14;302041=671;302042=403;302043=137;302044=14;302231=137;302232=14;302321=671;302322=403;302323=137;310203=671;310204=403;310205=137;310208=14;310218=14;310219=14;310223=14;310407=403;310408=137;310409=14;310501=137;310502=14;310504=137;310505=14;310507=137</v>
      </c>
    </row>
    <row r="209" spans="1:8" x14ac:dyDescent="0.2">
      <c r="A209" s="5">
        <v>30405</v>
      </c>
      <c r="B209" s="12" t="str">
        <f>VLOOKUP(VALUE(LEFT(A209,2)),tb_shopType[[prefix]:[type]],2,0)</f>
        <v>遗物掉落</v>
      </c>
      <c r="C209" s="23" t="str">
        <f>VLOOKUP(VALUE(MID(A209,LEN(A209)-2,1)),table_world[[id]:[name]],2,0)</f>
        <v>树梢</v>
      </c>
      <c r="D209" s="23">
        <v>5</v>
      </c>
      <c r="E209" s="12" t="s">
        <v>13</v>
      </c>
      <c r="F209" s="40" t="s">
        <v>331</v>
      </c>
      <c r="G209" s="40" t="s">
        <v>276</v>
      </c>
      <c r="H209" s="25" t="str" cm="1">
        <f t="array" aca="1" ref="H209" ca="1">_xlfn.LET(_xlpm._tb,_xlfn.XLOOKUP($B209,tb_shopType[type],tb_shopType[shop_table_name]),
_xlpm._col,MATCH($C209&amp;"-"&amp;TEXT(D209,"00"),INDIRECT(_xlpm._tb&amp;"[#标题]"),0),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643;300012=414;300013=160;300014=20;300021=414;300022=160;300023=20;300031=643;300032=414;300033=160;300034=20;300041=643;300042=414;300043=160;300044=20;300071=643;300072=414;300073=160;300074=20;300081=643;300082=414;300083=160;300084=20;301011=643;301012=414;301013=160;301014=20;301031=643;301032=414;301033=160;301034=20;301041=643;301042=414;301043=160;301044=20;301051=643;301052=414;301053=160;301054=20;302011=643;302012=414;302013=160;302014=20;302031=643;302032=414;302033=160;302034=20;302041=643;302042=414;302043=160;302044=20;302231=160;302232=20;302321=643;302322=414;302323=160;310203=643;310204=414;310205=160;310208=20;310218=20;310219=20;310223=20;310407=414;310408=160;310409=20;310501=160;310502=20;310504=160;310505=20;310507=160</v>
      </c>
    </row>
    <row r="210" spans="1:8" x14ac:dyDescent="0.2">
      <c r="A210" s="5">
        <v>30406</v>
      </c>
      <c r="B210" s="12" t="str">
        <f>VLOOKUP(VALUE(LEFT(A210,2)),tb_shopType[[prefix]:[type]],2,0)</f>
        <v>遗物掉落</v>
      </c>
      <c r="C210" s="23" t="str">
        <f>VLOOKUP(VALUE(MID(A210,LEN(A210)-2,1)),table_world[[id]:[name]],2,0)</f>
        <v>树梢</v>
      </c>
      <c r="D210" s="23">
        <v>6</v>
      </c>
      <c r="E210" s="12" t="s">
        <v>13</v>
      </c>
      <c r="F210" s="40" t="s">
        <v>331</v>
      </c>
      <c r="G210" s="40" t="s">
        <v>276</v>
      </c>
      <c r="H210" s="25" t="str" cm="1">
        <f t="array" aca="1" ref="H210" ca="1">_xlfn.LET(_xlpm._tb,_xlfn.XLOOKUP($B210,tb_shopType[type],tb_shopType[shop_table_name]),
_xlpm._col,MATCH($C210&amp;"-"&amp;TEXT(D210,"00"),INDIRECT(_xlpm._tb&amp;"[#标题]"),0),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608;300012=417;300013=183;300014=28;300021=417;300022=183;300023=28;300031=608;300032=417;300033=183;300034=28;300041=608;300042=417;300043=183;300044=28;300071=608;300072=417;300073=183;300074=28;300081=608;300082=417;300083=183;300084=28;301011=608;301012=417;301013=183;301014=28;301031=608;301032=417;301033=183;301034=28;301041=608;301042=417;301043=183;301044=28;301051=608;301052=417;301053=183;301054=28;302011=608;302012=417;302013=183;302014=28;302031=608;302032=417;302033=183;302034=28;302041=608;302042=417;302043=183;302044=28;302231=183;302232=28;302233=1;302321=608;302322=417;302323=183;310203=608;310204=417;310205=183;310206=1;310207=1;310208=28;310217=1;310218=28;310219=28;310223=28;310224=1;310225=1;310407=417;310408=183;310409=28;310501=183;310502=28;310503=1;310504=183;310505=28;310506=1;310507=183</v>
      </c>
    </row>
    <row r="211" spans="1:8" x14ac:dyDescent="0.2">
      <c r="A211" s="5">
        <v>30407</v>
      </c>
      <c r="B211" s="12" t="str">
        <f>VLOOKUP(VALUE(LEFT(A211,2)),tb_shopType[[prefix]:[type]],2,0)</f>
        <v>遗物掉落</v>
      </c>
      <c r="C211" s="23" t="str">
        <f>VLOOKUP(VALUE(MID(A211,LEN(A211)-2,1)),table_world[[id]:[name]],2,0)</f>
        <v>树梢</v>
      </c>
      <c r="D211" s="23">
        <v>7</v>
      </c>
      <c r="E211" s="12" t="s">
        <v>13</v>
      </c>
      <c r="F211" s="40" t="s">
        <v>331</v>
      </c>
      <c r="G211" s="40" t="s">
        <v>276</v>
      </c>
      <c r="H211" s="25" t="str" cm="1">
        <f t="array" aca="1" ref="H211" ca="1">_xlfn.LET(_xlpm._tb,_xlfn.XLOOKUP($B211,tb_shopType[type],tb_shopType[shop_table_name]),
_xlpm._col,MATCH($C211&amp;"-"&amp;TEXT(D211,"00"),INDIRECT(_xlpm._tb&amp;"[#标题]"),0),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568;300012=414;300013=203;300014=38;300021=414;300022=203;300023=38;300031=568;300032=414;300033=203;300034=38;300041=568;300042=414;300043=203;300044=38;300071=568;300072=414;300073=203;300074=38;300081=568;300082=414;300083=203;300084=38;301011=568;301012=414;301013=203;301014=38;301031=568;301032=414;301033=203;301034=38;301041=568;301042=414;301043=203;301044=38;301051=568;301052=414;301053=203;301054=38;302011=568;302012=414;302013=203;302014=38;302031=568;302032=414;302033=203;302034=38;302041=568;302042=414;302043=203;302044=38;302231=203;302232=38;302233=1;302321=568;302322=414;302323=203;310203=568;310204=414;310205=203;310206=1;310207=1;310208=38;310217=1;310218=38;310219=38;310223=38;310224=1;310225=1;310407=414;310408=203;310409=38;310501=203;310502=38;310503=1;310504=203;310505=38;310506=1;310507=203</v>
      </c>
    </row>
    <row r="212" spans="1:8" x14ac:dyDescent="0.2">
      <c r="A212" s="5">
        <v>30408</v>
      </c>
      <c r="B212" s="12" t="str">
        <f>VLOOKUP(VALUE(LEFT(A212,2)),tb_shopType[[prefix]:[type]],2,0)</f>
        <v>遗物掉落</v>
      </c>
      <c r="C212" s="23" t="str">
        <f>VLOOKUP(VALUE(MID(A212,LEN(A212)-2,1)),table_world[[id]:[name]],2,0)</f>
        <v>树梢</v>
      </c>
      <c r="D212" s="23">
        <v>8</v>
      </c>
      <c r="E212" s="12" t="s">
        <v>13</v>
      </c>
      <c r="F212" s="40" t="s">
        <v>331</v>
      </c>
      <c r="G212" s="40" t="s">
        <v>276</v>
      </c>
      <c r="H212" s="25" t="str" cm="1">
        <f t="array" aca="1" ref="H212" ca="1">_xlfn.LET(_xlpm._tb,_xlfn.XLOOKUP($B212,tb_shopType[type],tb_shopType[shop_table_name]),
_xlpm._col,MATCH($C212&amp;"-"&amp;TEXT(D212,"00"),INDIRECT(_xlpm._tb&amp;"[#标题]"),0),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524;300012=403;300013=221;300014=51;300021=403;300022=221;300023=51;300031=524;300032=403;300033=221;300034=51;300041=524;300042=403;300043=221;300044=51;300071=524;300072=403;300073=221;300074=51;300081=524;300082=403;300083=221;300084=51;301011=524;301012=403;301013=221;301014=51;301031=524;301032=403;301033=221;301034=51;301041=524;301042=403;301043=221;301044=51;301051=524;301052=403;301053=221;301054=51;302011=524;302012=403;302013=221;302014=51;302031=524;302032=403;302033=221;302034=51;302041=524;302042=403;302043=221;302044=51;302231=221;302232=51;302233=2;302321=524;302322=403;302323=221;310203=524;310204=403;310205=221;310206=2;310207=2;310208=51;310217=2;310218=51;310219=51;310223=51;310224=2;310225=2;310407=403;310408=221;310409=51;310501=221;310502=51;310503=2;310504=221;310505=51;310506=2;310507=221</v>
      </c>
    </row>
    <row r="213" spans="1:8" x14ac:dyDescent="0.2">
      <c r="A213" s="5">
        <v>30409</v>
      </c>
      <c r="B213" s="12" t="str">
        <f>VLOOKUP(VALUE(LEFT(A213,2)),tb_shopType[[prefix]:[type]],2,0)</f>
        <v>遗物掉落</v>
      </c>
      <c r="C213" s="23" t="str">
        <f>VLOOKUP(VALUE(MID(A213,LEN(A213)-2,1)),table_world[[id]:[name]],2,0)</f>
        <v>树梢</v>
      </c>
      <c r="D213" s="23">
        <v>9</v>
      </c>
      <c r="E213" s="12" t="s">
        <v>13</v>
      </c>
      <c r="F213" s="40" t="s">
        <v>331</v>
      </c>
      <c r="G213" s="40" t="s">
        <v>276</v>
      </c>
      <c r="H213" s="25" t="str" cm="1">
        <f t="array" aca="1" ref="H213" ca="1">_xlfn.LET(_xlpm._tb,_xlfn.XLOOKUP($B213,tb_shopType[type],tb_shopType[shop_table_name]),
_xlpm._col,MATCH($C213&amp;"-"&amp;TEXT(D213,"00"),INDIRECT(_xlpm._tb&amp;"[#标题]"),0),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478;300012=386;300013=234;300014=65;300021=386;300022=234;300023=65;300031=478;300032=386;300033=234;300034=65;300041=478;300042=386;300043=234;300044=65;300071=478;300072=386;300073=234;300074=65;300081=478;300082=386;300083=234;300084=65;301011=478;301012=386;301013=234;301014=65;301031=478;301032=386;301033=234;301034=65;301041=478;301042=386;301043=234;301044=65;301051=478;301052=386;301053=234;301054=65;302011=478;302012=386;302013=234;302014=65;302031=478;302032=386;302033=234;302034=65;302041=478;302042=386;302043=234;302044=65;302231=234;302232=65;302233=3;302321=478;302322=386;302323=234;310203=478;310204=386;310205=234;310206=3;310207=3;310208=65;310217=3;310218=65;310219=65;310223=65;310224=3;310225=3;310407=386;310408=234;310409=65;310501=234;310502=65;310503=3;310504=234;310505=65;310506=3;310507=234</v>
      </c>
    </row>
    <row r="214" spans="1:8" x14ac:dyDescent="0.2">
      <c r="A214" s="5">
        <v>30410</v>
      </c>
      <c r="B214" s="12" t="str">
        <f>VLOOKUP(VALUE(LEFT(A214,2)),tb_shopType[[prefix]:[type]],2,0)</f>
        <v>遗物掉落</v>
      </c>
      <c r="C214" s="23" t="str">
        <f>VLOOKUP(VALUE(MID(A214,LEN(A214)-2,1)),table_world[[id]:[name]],2,0)</f>
        <v>树梢</v>
      </c>
      <c r="D214" s="23">
        <v>10</v>
      </c>
      <c r="E214" s="12" t="s">
        <v>13</v>
      </c>
      <c r="F214" s="40" t="s">
        <v>331</v>
      </c>
      <c r="G214" s="40" t="s">
        <v>276</v>
      </c>
      <c r="H214" s="25" t="str" cm="1">
        <f t="array" aca="1" ref="H214" ca="1">_xlfn.LET(_xlpm._tb,_xlfn.XLOOKUP($B214,tb_shopType[type],tb_shopType[shop_table_name]),
_xlpm._col,MATCH($C214&amp;"-"&amp;TEXT(D214,"00"),INDIRECT(_xlpm._tb&amp;"[#标题]"),0),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430;300012=364;300013=243;300014=80;300021=364;300022=243;300023=80;300031=430;300032=364;300033=243;300034=80;300041=430;300042=364;300043=243;300044=80;300071=430;300072=364;300073=243;300074=80;300081=430;300082=364;300083=243;300084=80;301011=430;301012=364;301013=243;301014=80;301031=430;301032=364;301033=243;301034=80;301041=430;301042=364;301043=243;301044=80;301051=430;301052=364;301053=243;301054=80;302011=430;302012=364;302013=243;302014=80;302031=430;302032=364;302033=243;302034=80;302041=430;302042=364;302043=243;302044=80;302231=243;302232=80;302233=5;302321=430;302322=364;302323=243;310203=430;310204=364;310205=243;310206=5;310207=5;310208=80;310217=5;310218=80;310219=80;310223=80;310224=5;310225=5;310407=364;310408=243;310409=80;310501=243;310502=80;310503=5;310504=243;310505=80;310506=5;310507=243</v>
      </c>
    </row>
    <row r="215" spans="1:8" x14ac:dyDescent="0.2">
      <c r="A215" s="5">
        <v>30411</v>
      </c>
      <c r="B215" s="12" t="str">
        <f>VLOOKUP(VALUE(LEFT(A215,2)),tb_shopType[[prefix]:[type]],2,0)</f>
        <v>遗物掉落</v>
      </c>
      <c r="C215" s="23" t="str">
        <f>VLOOKUP(VALUE(MID(A215,LEN(A215)-2,1)),table_world[[id]:[name]],2,0)</f>
        <v>树梢</v>
      </c>
      <c r="D215" s="23">
        <v>11</v>
      </c>
      <c r="E215" s="12" t="s">
        <v>13</v>
      </c>
      <c r="F215" s="40" t="s">
        <v>331</v>
      </c>
      <c r="G215" s="40" t="s">
        <v>276</v>
      </c>
      <c r="H215" s="25" t="str" cm="1">
        <f t="array" aca="1" ref="H215" ca="1">_xlfn.LET(_xlpm._tb,_xlfn.XLOOKUP($B215,tb_shopType[type],tb_shopType[shop_table_name]),
_xlpm._col,MATCH($C215&amp;"-"&amp;TEXT(D215,"00"),INDIRECT(_xlpm._tb&amp;"[#标题]"),0),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383;300012=337;300013=245;300014=96;300021=337;300022=245;300023=96;300031=383;300032=337;300033=245;300034=96;300041=383;300042=337;300043=245;300044=96;300071=383;300072=337;300073=245;300074=96;300081=383;300082=337;300083=245;300084=96;301011=383;301012=337;301013=245;301014=96;301031=383;301032=337;301033=245;301034=96;301041=383;301042=337;301043=245;301044=96;301051=383;301052=337;301053=245;301054=96;302011=383;302012=337;302013=245;302014=96;302031=383;302032=337;302033=245;302034=96;302041=383;302042=337;302043=245;302044=96;302231=245;302232=96;302233=9;302321=383;302322=337;302323=245;310203=383;310204=337;310205=245;310206=9;310207=9;310208=96;310217=9;310218=96;310219=96;310223=96;310224=9;310225=9;310407=337;310408=245;310409=96;310501=245;310502=96;310503=9;310504=245;310505=96;310506=9;310507=245</v>
      </c>
    </row>
    <row r="216" spans="1:8" x14ac:dyDescent="0.2">
      <c r="A216" s="5">
        <v>30412</v>
      </c>
      <c r="B216" s="12" t="str">
        <f>VLOOKUP(VALUE(LEFT(A216,2)),tb_shopType[[prefix]:[type]],2,0)</f>
        <v>遗物掉落</v>
      </c>
      <c r="C216" s="23" t="str">
        <f>VLOOKUP(VALUE(MID(A216,LEN(A216)-2,1)),table_world[[id]:[name]],2,0)</f>
        <v>树梢</v>
      </c>
      <c r="D216" s="23">
        <v>12</v>
      </c>
      <c r="E216" s="12" t="s">
        <v>13</v>
      </c>
      <c r="F216" s="40" t="s">
        <v>331</v>
      </c>
      <c r="G216" s="40" t="s">
        <v>276</v>
      </c>
      <c r="H216" s="25" t="str" cm="1">
        <f t="array" aca="1" ref="H216" ca="1">_xlfn.LET(_xlpm._tb,_xlfn.XLOOKUP($B216,tb_shopType[type],tb_shopType[shop_table_name]),
_xlpm._col,MATCH($C216&amp;"-"&amp;TEXT(D216,"00"),INDIRECT(_xlpm._tb&amp;"[#标题]"),0),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336;300012=307;300013=243;300014=111;300021=307;300022=243;300023=111;300031=336;300032=307;300033=243;300034=111;300041=336;300042=307;300043=243;300044=111;300071=336;300072=307;300073=243;300074=111;300081=336;300082=307;300083=243;300084=111;301011=336;301012=307;301013=243;301014=111;301031=336;301032=307;301033=243;301034=111;301041=336;301042=307;301043=243;301044=111;301051=336;301052=307;301053=243;301054=111;302011=336;302012=307;302013=243;302014=111;302031=336;302032=307;302033=243;302034=111;302041=336;302042=307;302043=243;302044=111;302231=243;302232=111;302233=14;302321=336;302322=307;302323=243;310203=336;310204=307;310205=243;310206=14;310207=14;310208=111;310217=14;310218=111;310219=111;310223=111;310224=14;310225=14;310407=307;310408=243;310409=111;310501=243;310502=111;310503=14;310504=243;310505=111;310506=14;310507=243</v>
      </c>
    </row>
    <row r="217" spans="1:8" x14ac:dyDescent="0.2">
      <c r="A217" s="5">
        <v>30413</v>
      </c>
      <c r="B217" s="12" t="str">
        <f>VLOOKUP(VALUE(LEFT(A217,2)),tb_shopType[[prefix]:[type]],2,0)</f>
        <v>遗物掉落</v>
      </c>
      <c r="C217" s="23" t="str">
        <f>VLOOKUP(VALUE(MID(A217,LEN(A217)-2,1)),table_world[[id]:[name]],2,0)</f>
        <v>树梢</v>
      </c>
      <c r="D217" s="23">
        <v>13</v>
      </c>
      <c r="E217" s="12" t="s">
        <v>13</v>
      </c>
      <c r="F217" s="40" t="s">
        <v>331</v>
      </c>
      <c r="G217" s="40" t="s">
        <v>276</v>
      </c>
      <c r="H217" s="25" t="str" cm="1">
        <f t="array" aca="1" ref="H217" ca="1">_xlfn.LET(_xlpm._tb,_xlfn.XLOOKUP($B217,tb_shopType[type],tb_shopType[shop_table_name]),
_xlpm._col,MATCH($C217&amp;"-"&amp;TEXT(D217,"00"),INDIRECT(_xlpm._tb&amp;"[#标题]"),0),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292;300012=274;300013=234;300014=125;300021=274;300022=234;300023=125;300031=292;300032=274;300033=234;300034=125;300041=292;300042=274;300043=234;300044=125;300071=292;300072=274;300073=234;300074=125;300081=292;300082=274;300083=234;300084=125;301011=292;301012=274;301013=234;301014=125;301031=292;301032=274;301033=234;301034=125;301041=292;301042=274;301043=234;301044=125;301051=292;301052=274;301053=234;301054=125;302011=292;302012=274;302013=234;302014=125;302031=292;302032=274;302033=234;302034=125;302041=292;302042=274;302043=234;302044=125;302231=234;302232=125;302233=20;302321=292;302322=274;302323=234;310203=292;310204=274;310205=234;310206=20;310207=20;310208=125;310217=20;310218=125;310219=125;310223=125;310224=20;310225=20;310407=274;310408=234;310409=125;310501=234;310502=125;310503=20;310504=234;310505=125;310506=20;310507=234</v>
      </c>
    </row>
    <row r="218" spans="1:8" x14ac:dyDescent="0.2">
      <c r="A218" s="5">
        <v>30414</v>
      </c>
      <c r="B218" s="12" t="str">
        <f>VLOOKUP(VALUE(LEFT(A218,2)),tb_shopType[[prefix]:[type]],2,0)</f>
        <v>遗物掉落</v>
      </c>
      <c r="C218" s="23" t="str">
        <f>VLOOKUP(VALUE(MID(A218,LEN(A218)-2,1)),table_world[[id]:[name]],2,0)</f>
        <v>树梢</v>
      </c>
      <c r="D218" s="23">
        <v>14</v>
      </c>
      <c r="E218" s="12" t="s">
        <v>13</v>
      </c>
      <c r="F218" s="40" t="s">
        <v>331</v>
      </c>
      <c r="G218" s="40" t="s">
        <v>276</v>
      </c>
      <c r="H218" s="25" t="str" cm="1">
        <f t="array" aca="1" ref="H218" ca="1">_xlfn.LET(_xlpm._tb,_xlfn.XLOOKUP($B218,tb_shopType[type],tb_shopType[shop_table_name]),
_xlpm._col,MATCH($C218&amp;"-"&amp;TEXT(D218,"00"),INDIRECT(_xlpm._tb&amp;"[#标题]"),0),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250;300012=241;300013=221;300014=135;300021=241;300022=221;300023=135;300031=250;300032=241;300033=221;300034=135;300041=250;300042=241;300043=221;300044=135;300071=250;300072=241;300073=221;300074=135;300081=250;300082=241;300083=221;300084=135;301011=250;301012=241;301013=221;301014=135;301031=250;301032=241;301033=221;301034=135;301041=250;301042=241;301043=221;301044=135;301051=250;301052=241;301053=221;301054=135;302011=250;302012=241;302013=221;302014=135;302031=250;302032=241;302033=221;302034=135;302041=250;302042=241;302043=221;302044=135;302231=221;302232=135;302233=28;302321=250;302322=241;302323=221;310203=250;310204=241;310205=221;310206=28;310207=28;310208=135;310217=28;310218=135;310219=135;310223=135;310224=28;310225=28;310407=241;310408=221;310409=135;310501=221;310502=135;310503=28;310504=221;310505=135;310506=28;310507=221</v>
      </c>
    </row>
    <row r="219" spans="1:8" x14ac:dyDescent="0.2">
      <c r="A219" s="5">
        <v>30415</v>
      </c>
      <c r="B219" s="12" t="str">
        <f>VLOOKUP(VALUE(LEFT(A219,2)),tb_shopType[[prefix]:[type]],2,0)</f>
        <v>遗物掉落</v>
      </c>
      <c r="C219" s="23" t="str">
        <f>VLOOKUP(VALUE(MID(A219,LEN(A219)-2,1)),table_world[[id]:[name]],2,0)</f>
        <v>树梢</v>
      </c>
      <c r="D219" s="23">
        <v>15</v>
      </c>
      <c r="E219" s="12" t="s">
        <v>13</v>
      </c>
      <c r="F219" s="40" t="s">
        <v>331</v>
      </c>
      <c r="G219" s="40" t="s">
        <v>276</v>
      </c>
      <c r="H219" s="25" t="str" cm="1">
        <f t="array" aca="1" ref="H219" ca="1">_xlfn.LET(_xlpm._tb,_xlfn.XLOOKUP($B219,tb_shopType[type],tb_shopType[shop_table_name]),
_xlpm._col,MATCH($C219&amp;"-"&amp;TEXT(D219,"00"),INDIRECT(_xlpm._tb&amp;"[#标题]"),0),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212;300012=209;300013=203;300014=142;300021=209;300022=203;300023=142;300031=212;300032=209;300033=203;300034=142;300041=212;300042=209;300043=203;300044=142;300071=212;300072=209;300073=203;300074=142;300081=212;300082=209;300083=203;300084=142;301011=212;301012=209;301013=203;301014=142;301031=212;301032=209;301033=203;301034=142;301041=212;301042=209;301043=203;301044=142;301051=212;301052=209;301053=203;301054=142;302011=212;302012=209;302013=203;302014=142;302031=212;302032=209;302033=203;302034=142;302041=212;302042=209;302043=203;302044=142;302231=203;302232=142;302233=38;302321=212;302322=209;302323=203;310203=212;310204=209;310205=203;310206=38;310207=38;310208=142;310217=38;310218=142;310219=142;310223=142;310224=38;310225=38;310407=209;310408=203;310409=142;310501=203;310502=142;310503=38;310504=203;310505=142;310506=38;310507=203</v>
      </c>
    </row>
    <row r="220" spans="1:8" x14ac:dyDescent="0.2">
      <c r="A220" s="5">
        <v>30416</v>
      </c>
      <c r="B220" s="12" t="str">
        <f>VLOOKUP(VALUE(LEFT(A220,2)),tb_shopType[[prefix]:[type]],2,0)</f>
        <v>遗物掉落</v>
      </c>
      <c r="C220" s="23" t="str">
        <f>VLOOKUP(VALUE(MID(A220,LEN(A220)-2,1)),table_world[[id]:[name]],2,0)</f>
        <v>树梢</v>
      </c>
      <c r="D220" s="23">
        <v>16</v>
      </c>
      <c r="E220" s="12" t="s">
        <v>13</v>
      </c>
      <c r="F220" s="40" t="s">
        <v>331</v>
      </c>
      <c r="G220" s="40" t="s">
        <v>276</v>
      </c>
      <c r="H220" s="25" t="str" cm="1">
        <f t="array" aca="1" ref="H220" ca="1">_xlfn.LET(_xlpm._tb,_xlfn.XLOOKUP($B220,tb_shopType[type],tb_shopType[shop_table_name]),
_xlpm._col,MATCH($C220&amp;"-"&amp;TEXT(D220,"00"),INDIRECT(_xlpm._tb&amp;"[#标题]"),0),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177;300012=178;300013=183;300014=144;300021=178;300022=183;300023=144;300031=177;300032=178;300033=183;300034=144;300041=177;300042=178;300043=183;300044=144;300071=177;300072=178;300073=183;300074=144;300081=177;300082=178;300083=183;300084=144;301011=177;301012=178;301013=183;301014=144;301031=177;301032=178;301033=183;301034=144;301041=177;301042=178;301043=183;301044=144;301051=177;301052=178;301053=183;301054=144;302011=177;302012=178;302013=183;302014=144;302031=177;302032=178;302033=183;302034=144;302041=177;302042=178;302043=183;302044=144;302231=183;302232=144;302233=48;302321=177;302322=178;302323=183;310203=177;310204=178;310205=183;310206=48;310207=48;310208=144;310217=48;310218=144;310219=144;310223=144;310224=48;310225=48;310407=178;310408=183;310409=144;310501=183;310502=144;310503=48;310504=183;310505=144;310506=48;310507=183</v>
      </c>
    </row>
    <row r="221" spans="1:8" x14ac:dyDescent="0.2">
      <c r="A221" s="5">
        <v>30417</v>
      </c>
      <c r="B221" s="12" t="str">
        <f>VLOOKUP(VALUE(LEFT(A221,2)),tb_shopType[[prefix]:[type]],2,0)</f>
        <v>遗物掉落</v>
      </c>
      <c r="C221" s="23" t="str">
        <f>VLOOKUP(VALUE(MID(A221,LEN(A221)-2,1)),table_world[[id]:[name]],2,0)</f>
        <v>树梢</v>
      </c>
      <c r="D221" s="23">
        <v>17</v>
      </c>
      <c r="E221" s="12" t="s">
        <v>13</v>
      </c>
      <c r="F221" s="40" t="s">
        <v>331</v>
      </c>
      <c r="G221" s="40" t="s">
        <v>276</v>
      </c>
      <c r="H221" s="25" t="str" cm="1">
        <f t="array" aca="1" ref="H221" ca="1">_xlfn.LET(_xlpm._tb,_xlfn.XLOOKUP($B221,tb_shopType[type],tb_shopType[shop_table_name]),
_xlpm._col,MATCH($C221&amp;"-"&amp;TEXT(D221,"00"),INDIRECT(_xlpm._tb&amp;"[#标题]"),0),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146;300012=148;300013=160;300014=142;300021=148;300022=160;300023=142;300031=146;300032=148;300033=160;300034=142;300041=146;300042=148;300043=160;300044=142;300071=146;300072=148;300073=160;300074=142;300081=146;300082=148;300083=160;300084=142;301011=146;301012=148;301013=160;301014=142;301031=146;301032=148;301033=160;301034=142;301041=146;301042=148;301043=160;301044=142;301051=146;301052=148;301053=160;301054=142;302011=146;302012=148;302013=160;302014=142;302031=146;302032=148;302033=160;302034=142;302041=146;302042=148;302043=160;302044=142;302231=160;302232=142;302233=59;302321=146;302322=148;302323=160;310203=146;310204=148;310205=160;310206=59;310207=59;310208=142;310217=59;310218=142;310219=142;310223=142;310224=59;310225=59;310407=148;310408=160;310409=142;310501=160;310502=142;310503=59;310504=160;310505=142;310506=59;310507=160</v>
      </c>
    </row>
    <row r="222" spans="1:8" x14ac:dyDescent="0.2">
      <c r="A222" s="5">
        <v>30418</v>
      </c>
      <c r="B222" s="12" t="str">
        <f>VLOOKUP(VALUE(LEFT(A222,2)),tb_shopType[[prefix]:[type]],2,0)</f>
        <v>遗物掉落</v>
      </c>
      <c r="C222" s="23" t="str">
        <f>VLOOKUP(VALUE(MID(A222,LEN(A222)-2,1)),table_world[[id]:[name]],2,0)</f>
        <v>树梢</v>
      </c>
      <c r="D222" s="23">
        <v>18</v>
      </c>
      <c r="E222" s="12" t="s">
        <v>13</v>
      </c>
      <c r="F222" s="40" t="s">
        <v>331</v>
      </c>
      <c r="G222" s="40" t="s">
        <v>276</v>
      </c>
      <c r="H222" s="25" t="str" cm="1">
        <f t="array" aca="1" ref="H222" ca="1">_xlfn.LET(_xlpm._tb,_xlfn.XLOOKUP($B222,tb_shopType[type],tb_shopType[shop_table_name]),
_xlpm._col,MATCH($C222&amp;"-"&amp;TEXT(D222,"00"),INDIRECT(_xlpm._tb&amp;"[#标题]"),0),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119;300012=122;300013=137;300014=135;300021=122;300022=137;300023=135;300031=119;300032=122;300033=137;300034=135;300041=119;300042=122;300043=137;300044=135;300071=119;300072=122;300073=137;300074=135;300081=119;300082=122;300083=137;300084=135;301011=119;301012=122;301013=137;301014=135;301031=119;301032=122;301033=137;301034=135;301041=119;301042=122;301043=137;301044=135;301051=119;301052=122;301053=137;301054=135;302011=119;302012=122;302013=137;302014=135;302031=119;302032=122;302033=137;302034=135;302041=119;302042=122;302043=137;302044=135;302231=137;302232=135;302233=69;302321=119;302322=122;302323=137;310203=119;310204=122;310205=137;310206=69;310207=69;310208=135;310217=69;310218=135;310219=135;310223=135;310224=69;310225=69;310407=122;310408=137;310409=135;310501=137;310502=135;310503=69;310504=137;310505=135;310506=69;310507=137</v>
      </c>
    </row>
    <row r="223" spans="1:8" x14ac:dyDescent="0.2">
      <c r="A223" s="5">
        <v>30419</v>
      </c>
      <c r="B223" s="12" t="str">
        <f>VLOOKUP(VALUE(LEFT(A223,2)),tb_shopType[[prefix]:[type]],2,0)</f>
        <v>遗物掉落</v>
      </c>
      <c r="C223" s="23" t="str">
        <f>VLOOKUP(VALUE(MID(A223,LEN(A223)-2,1)),table_world[[id]:[name]],2,0)</f>
        <v>树梢</v>
      </c>
      <c r="D223" s="23">
        <v>19</v>
      </c>
      <c r="E223" s="12" t="s">
        <v>13</v>
      </c>
      <c r="F223" s="40" t="s">
        <v>331</v>
      </c>
      <c r="G223" s="40" t="s">
        <v>276</v>
      </c>
      <c r="H223" s="25" t="str" cm="1">
        <f t="array" aca="1" ref="H223" ca="1">_xlfn.LET(_xlpm._tb,_xlfn.XLOOKUP($B223,tb_shopType[type],tb_shopType[shop_table_name]),
_xlpm._col,MATCH($C223&amp;"-"&amp;TEXT(D223,"00"),INDIRECT(_xlpm._tb&amp;"[#标题]"),0),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96;300012=98;300013=115;300014=125;300021=98;300022=115;300023=125;300031=96;300032=98;300033=115;300034=125;300041=96;300042=98;300043=115;300044=125;300071=96;300072=98;300073=115;300074=125;300081=96;300082=98;300083=115;300084=125;301011=96;301012=98;301013=115;301014=125;301031=96;301032=98;301033=115;301034=125;301041=96;301042=98;301043=115;301044=125;301051=96;301052=98;301053=115;301054=125;302011=96;302012=98;302013=115;302014=125;302031=96;302032=98;302033=115;302034=125;302041=96;302042=98;302043=115;302044=125;302231=115;302232=125;302233=78;302321=96;302322=98;302323=115;310203=96;310204=98;310205=115;310206=78;310207=78;310208=125;310217=78;310218=125;310219=125;310223=125;310224=78;310225=78;310407=98;310408=115;310409=125;310501=115;310502=125;310503=78;310504=115;310505=125;310506=78;310507=115</v>
      </c>
    </row>
    <row r="224" spans="1:8" x14ac:dyDescent="0.2">
      <c r="A224" s="5">
        <v>30420</v>
      </c>
      <c r="B224" s="12" t="str">
        <f>VLOOKUP(VALUE(LEFT(A224,2)),tb_shopType[[prefix]:[type]],2,0)</f>
        <v>遗物掉落</v>
      </c>
      <c r="C224" s="23" t="str">
        <f>VLOOKUP(VALUE(MID(A224,LEN(A224)-2,1)),table_world[[id]:[name]],2,0)</f>
        <v>树梢</v>
      </c>
      <c r="D224" s="23">
        <v>20</v>
      </c>
      <c r="E224" s="12" t="s">
        <v>13</v>
      </c>
      <c r="F224" s="40" t="s">
        <v>331</v>
      </c>
      <c r="G224" s="40" t="s">
        <v>276</v>
      </c>
      <c r="H224" s="25" t="str" cm="1">
        <f t="array" aca="1" ref="H224" ca="1">_xlfn.LET(_xlpm._tb,_xlfn.XLOOKUP($B224,tb_shopType[type],tb_shopType[shop_table_name]),
_xlpm._col,MATCH($C224&amp;"-"&amp;TEXT(D224,"00"),INDIRECT(_xlpm._tb&amp;"[#标题]"),0),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76;300012=78;300013=94;300014=111;300021=78;300022=94;300023=111;300031=76;300032=78;300033=94;300034=111;300041=76;300042=78;300043=94;300044=111;300071=76;300072=78;300073=94;300074=111;300081=76;300082=78;300083=94;300084=111;301011=76;301012=78;301013=94;301014=111;301031=76;301032=78;301033=94;301034=111;301041=76;301042=78;301043=94;301044=111;301051=76;301052=78;301053=94;301054=111;302011=76;302012=78;302013=94;302014=111;302031=76;302032=78;302033=94;302034=111;302041=76;302042=78;302043=94;302044=111;302231=94;302232=111;302233=83;302321=76;302322=78;302323=94;310203=76;310204=78;310205=94;310206=83;310207=83;310208=111;310217=83;310218=111;310219=111;310223=111;310224=83;310225=83;310407=78;310408=94;310409=111;310501=94;310502=111;310503=83;310504=94;310505=111;310506=83;310507=94</v>
      </c>
    </row>
    <row r="226" spans="1:8" x14ac:dyDescent="0.2">
      <c r="A226" s="5">
        <v>30701</v>
      </c>
      <c r="B226" s="12" t="str">
        <f>VLOOKUP(VALUE(LEFT(A226,2)),tb_shopType[[prefix]:[type]],2,0)</f>
        <v>遗物掉落</v>
      </c>
      <c r="C226" s="23" t="str">
        <f>VLOOKUP(VALUE(MID(A226,LEN(A226)-2,1)),table_world[[id]:[name]],2,0)</f>
        <v>荒漠</v>
      </c>
      <c r="D226" s="23">
        <v>1</v>
      </c>
      <c r="E226" s="12" t="s">
        <v>80</v>
      </c>
      <c r="F226" s="40" t="s">
        <v>332</v>
      </c>
      <c r="G226" s="40" t="s">
        <v>276</v>
      </c>
      <c r="H226" s="25" t="str" cm="1">
        <f t="array" aca="1" ref="H226" ca="1">_xlfn.LET(_xlpm._tb,_xlfn.XLOOKUP($B226,tb_shopType[type],tb_shopType[shop_table_name]),
_xlpm._col,MATCH($C226&amp;"-"&amp;TEXT(D226,"00"),INDIRECT(_xlpm._tb&amp;"[#标题]"),0),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709;300012=337;300013=75;300014=4;300021=337;300022=75;300023=4;300031=709;300032=337;300033=75;300034=4;300041=709;300042=337;300043=75;300044=4;300071=709;300072=337;300073=75;300074=4;300081=709;300082=337;300083=75;300084=4;301011=709;301012=337;301013=75;301014=4;301031=709;301032=337;301033=75;301034=4;301041=709;301042=337;301043=75;301044=4;301051=709;301052=337;301053=75;301054=4;302011=709;302012=337;302013=75;302014=4;302031=709;302032=337;302033=75;302034=4;302041=709;302042=337;302043=75;302044=4;302231=75;302232=4;302321=709;302322=337;302323=75;310203=709;310204=337;310205=75;310208=4;310218=4;310219=4;310223=4;310407=337;310408=75;310409=4;310501=75;310502=4;310504=75;310505=4;310507=75</v>
      </c>
    </row>
    <row r="227" spans="1:8" x14ac:dyDescent="0.2">
      <c r="A227" s="5">
        <v>30702</v>
      </c>
      <c r="B227" s="12" t="str">
        <f>VLOOKUP(VALUE(LEFT(A227,2)),tb_shopType[[prefix]:[type]],2,0)</f>
        <v>遗物掉落</v>
      </c>
      <c r="C227" s="23" t="str">
        <f>VLOOKUP(VALUE(MID(A227,LEN(A227)-2,1)),table_world[[id]:[name]],2,0)</f>
        <v>荒漠</v>
      </c>
      <c r="D227" s="23">
        <v>2</v>
      </c>
      <c r="E227" s="12" t="s">
        <v>80</v>
      </c>
      <c r="F227" s="40" t="s">
        <v>332</v>
      </c>
      <c r="G227" s="40" t="s">
        <v>276</v>
      </c>
      <c r="H227" s="25" t="str" cm="1">
        <f t="array" aca="1" ref="H227" ca="1">_xlfn.LET(_xlpm._tb,_xlfn.XLOOKUP($B227,tb_shopType[type],tb_shopType[shop_table_name]),
_xlpm._col,MATCH($C227&amp;"-"&amp;TEXT(D227,"00"),INDIRECT(_xlpm._tb&amp;"[#标题]"),0),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705;300012=364;300013=94;300014=6;300021=364;300022=94;300023=6;300031=705;300032=364;300033=94;300034=6;300041=705;300042=364;300043=94;300044=6;300071=705;300072=364;300073=94;300074=6;300081=705;300082=364;300083=94;300084=6;301011=705;301012=364;301013=94;301014=6;301031=705;301032=364;301033=94;301034=6;301041=705;301042=364;301043=94;301044=6;301051=705;301052=364;301053=94;301054=6;302011=705;302012=364;302013=94;302014=6;302031=705;302032=364;302033=94;302034=6;302041=705;302042=364;302043=94;302044=6;302231=94;302232=6;302321=705;302322=364;302323=94;310203=705;310204=364;310205=94;310208=6;310218=6;310219=6;310223=6;310407=364;310408=94;310409=6;310501=94;310502=6;310504=94;310505=6;310507=94</v>
      </c>
    </row>
    <row r="228" spans="1:8" x14ac:dyDescent="0.2">
      <c r="A228" s="5">
        <v>30703</v>
      </c>
      <c r="B228" s="12" t="str">
        <f>VLOOKUP(VALUE(LEFT(A228,2)),tb_shopType[[prefix]:[type]],2,0)</f>
        <v>遗物掉落</v>
      </c>
      <c r="C228" s="23" t="str">
        <f>VLOOKUP(VALUE(MID(A228,LEN(A228)-2,1)),table_world[[id]:[name]],2,0)</f>
        <v>荒漠</v>
      </c>
      <c r="D228" s="23">
        <v>3</v>
      </c>
      <c r="E228" s="12" t="s">
        <v>13</v>
      </c>
      <c r="F228" s="40" t="s">
        <v>331</v>
      </c>
      <c r="G228" s="40" t="s">
        <v>276</v>
      </c>
      <c r="H228" s="25" t="str" cm="1">
        <f t="array" aca="1" ref="H228" ca="1">_xlfn.LET(_xlpm._tb,_xlfn.XLOOKUP($B228,tb_shopType[type],tb_shopType[shop_table_name]),
_xlpm._col,MATCH($C228&amp;"-"&amp;TEXT(D228,"00"),INDIRECT(_xlpm._tb&amp;"[#标题]"),0),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692;300012=386;300013=115;300014=9;300021=386;300022=115;300023=9;300031=692;300032=386;300033=115;300034=9;300041=692;300042=386;300043=115;300044=9;300071=692;300072=386;300073=115;300074=9;300081=692;300082=386;300083=115;300084=9;301011=692;301012=386;301013=115;301014=9;301031=692;301032=386;301033=115;301034=9;301041=692;301042=386;301043=115;301044=9;301051=692;301052=386;301053=115;301054=9;302011=692;302012=386;302013=115;302014=9;302031=692;302032=386;302033=115;302034=9;302041=692;302042=386;302043=115;302044=9;302231=115;302232=9;302321=692;302322=386;302323=115;310203=692;310204=386;310205=115;310208=9;310218=9;310219=9;310223=9;310407=386;310408=115;310409=9;310501=115;310502=9;310504=115;310505=9;310507=115</v>
      </c>
    </row>
    <row r="229" spans="1:8" x14ac:dyDescent="0.2">
      <c r="A229" s="5">
        <v>30704</v>
      </c>
      <c r="B229" s="12" t="str">
        <f>VLOOKUP(VALUE(LEFT(A229,2)),tb_shopType[[prefix]:[type]],2,0)</f>
        <v>遗物掉落</v>
      </c>
      <c r="C229" s="23" t="str">
        <f>VLOOKUP(VALUE(MID(A229,LEN(A229)-2,1)),table_world[[id]:[name]],2,0)</f>
        <v>荒漠</v>
      </c>
      <c r="D229" s="23">
        <v>4</v>
      </c>
      <c r="E229" s="12" t="s">
        <v>13</v>
      </c>
      <c r="F229" s="40" t="s">
        <v>331</v>
      </c>
      <c r="G229" s="40" t="s">
        <v>276</v>
      </c>
      <c r="H229" s="25" t="str" cm="1">
        <f t="array" aca="1" ref="H229" ca="1">_xlfn.LET(_xlpm._tb,_xlfn.XLOOKUP($B229,tb_shopType[type],tb_shopType[shop_table_name]),
_xlpm._col,MATCH($C229&amp;"-"&amp;TEXT(D229,"00"),INDIRECT(_xlpm._tb&amp;"[#标题]"),0),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671;300012=403;300013=137;300014=14;300021=403;300022=137;300023=14;300031=671;300032=403;300033=137;300034=14;300041=671;300042=403;300043=137;300044=14;300071=671;300072=403;300073=137;300074=14;300081=671;300082=403;300083=137;300084=14;301011=671;301012=403;301013=137;301014=14;301031=671;301032=403;301033=137;301034=14;301041=671;301042=403;301043=137;301044=14;301051=671;301052=403;301053=137;301054=14;302011=671;302012=403;302013=137;302014=14;302031=671;302032=403;302033=137;302034=14;302041=671;302042=403;302043=137;302044=14;302231=137;302232=14;302321=671;302322=403;302323=137;310203=671;310204=403;310205=137;310208=14;310218=14;310219=14;310223=14;310407=403;310408=137;310409=14;310501=137;310502=14;310504=137;310505=14;310507=137</v>
      </c>
    </row>
    <row r="230" spans="1:8" x14ac:dyDescent="0.2">
      <c r="A230" s="5">
        <v>30705</v>
      </c>
      <c r="B230" s="12" t="str">
        <f>VLOOKUP(VALUE(LEFT(A230,2)),tb_shopType[[prefix]:[type]],2,0)</f>
        <v>遗物掉落</v>
      </c>
      <c r="C230" s="23" t="str">
        <f>VLOOKUP(VALUE(MID(A230,LEN(A230)-2,1)),table_world[[id]:[name]],2,0)</f>
        <v>荒漠</v>
      </c>
      <c r="D230" s="23">
        <v>5</v>
      </c>
      <c r="E230" s="12" t="s">
        <v>13</v>
      </c>
      <c r="F230" s="40" t="s">
        <v>331</v>
      </c>
      <c r="G230" s="40" t="s">
        <v>276</v>
      </c>
      <c r="H230" s="25" t="str" cm="1">
        <f t="array" aca="1" ref="H230" ca="1">_xlfn.LET(_xlpm._tb,_xlfn.XLOOKUP($B230,tb_shopType[type],tb_shopType[shop_table_name]),
_xlpm._col,MATCH($C230&amp;"-"&amp;TEXT(D230,"00"),INDIRECT(_xlpm._tb&amp;"[#标题]"),0),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643;300012=414;300013=160;300014=20;300021=414;300022=160;300023=20;300031=643;300032=414;300033=160;300034=20;300041=643;300042=414;300043=160;300044=20;300071=643;300072=414;300073=160;300074=20;300081=643;300082=414;300083=160;300084=20;301011=643;301012=414;301013=160;301014=20;301031=643;301032=414;301033=160;301034=20;301041=643;301042=414;301043=160;301044=20;301051=643;301052=414;301053=160;301054=20;302011=643;302012=414;302013=160;302014=20;302031=643;302032=414;302033=160;302034=20;302041=643;302042=414;302043=160;302044=20;302231=160;302232=20;302321=643;302322=414;302323=160;310203=643;310204=414;310205=160;310208=20;310218=20;310219=20;310223=20;310407=414;310408=160;310409=20;310501=160;310502=20;310504=160;310505=20;310507=160</v>
      </c>
    </row>
    <row r="231" spans="1:8" x14ac:dyDescent="0.2">
      <c r="A231" s="5">
        <v>30706</v>
      </c>
      <c r="B231" s="12" t="str">
        <f>VLOOKUP(VALUE(LEFT(A231,2)),tb_shopType[[prefix]:[type]],2,0)</f>
        <v>遗物掉落</v>
      </c>
      <c r="C231" s="23" t="str">
        <f>VLOOKUP(VALUE(MID(A231,LEN(A231)-2,1)),table_world[[id]:[name]],2,0)</f>
        <v>荒漠</v>
      </c>
      <c r="D231" s="23">
        <v>6</v>
      </c>
      <c r="E231" s="12" t="s">
        <v>13</v>
      </c>
      <c r="F231" s="40" t="s">
        <v>331</v>
      </c>
      <c r="G231" s="40" t="s">
        <v>276</v>
      </c>
      <c r="H231" s="25" t="str" cm="1">
        <f t="array" aca="1" ref="H231" ca="1">_xlfn.LET(_xlpm._tb,_xlfn.XLOOKUP($B231,tb_shopType[type],tb_shopType[shop_table_name]),
_xlpm._col,MATCH($C231&amp;"-"&amp;TEXT(D231,"00"),INDIRECT(_xlpm._tb&amp;"[#标题]"),0),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608;300012=417;300013=183;300014=28;300021=417;300022=183;300023=28;300031=608;300032=417;300033=183;300034=28;300041=608;300042=417;300043=183;300044=28;300071=608;300072=417;300073=183;300074=28;300081=608;300082=417;300083=183;300084=28;301011=608;301012=417;301013=183;301014=28;301031=608;301032=417;301033=183;301034=28;301041=608;301042=417;301043=183;301044=28;301051=608;301052=417;301053=183;301054=28;302011=608;302012=417;302013=183;302014=28;302031=608;302032=417;302033=183;302034=28;302041=608;302042=417;302043=183;302044=28;302231=183;302232=28;302233=1;302321=608;302322=417;302323=183;310203=608;310204=417;310205=183;310206=1;310207=1;310208=28;310217=1;310218=28;310219=28;310223=28;310224=1;310225=1;310407=417;310408=183;310409=28;310501=183;310502=28;310503=1;310504=183;310505=28;310506=1;310507=183</v>
      </c>
    </row>
    <row r="232" spans="1:8" x14ac:dyDescent="0.2">
      <c r="A232" s="5">
        <v>30707</v>
      </c>
      <c r="B232" s="12" t="str">
        <f>VLOOKUP(VALUE(LEFT(A232,2)),tb_shopType[[prefix]:[type]],2,0)</f>
        <v>遗物掉落</v>
      </c>
      <c r="C232" s="23" t="str">
        <f>VLOOKUP(VALUE(MID(A232,LEN(A232)-2,1)),table_world[[id]:[name]],2,0)</f>
        <v>荒漠</v>
      </c>
      <c r="D232" s="23">
        <v>7</v>
      </c>
      <c r="E232" s="12" t="s">
        <v>13</v>
      </c>
      <c r="F232" s="40" t="s">
        <v>331</v>
      </c>
      <c r="G232" s="40" t="s">
        <v>276</v>
      </c>
      <c r="H232" s="25" t="str" cm="1">
        <f t="array" aca="1" ref="H232" ca="1">_xlfn.LET(_xlpm._tb,_xlfn.XLOOKUP($B232,tb_shopType[type],tb_shopType[shop_table_name]),
_xlpm._col,MATCH($C232&amp;"-"&amp;TEXT(D232,"00"),INDIRECT(_xlpm._tb&amp;"[#标题]"),0),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568;300012=414;300013=203;300014=38;300021=414;300022=203;300023=38;300031=568;300032=414;300033=203;300034=38;300041=568;300042=414;300043=203;300044=38;300071=568;300072=414;300073=203;300074=38;300081=568;300082=414;300083=203;300084=38;301011=568;301012=414;301013=203;301014=38;301031=568;301032=414;301033=203;301034=38;301041=568;301042=414;301043=203;301044=38;301051=568;301052=414;301053=203;301054=38;302011=568;302012=414;302013=203;302014=38;302031=568;302032=414;302033=203;302034=38;302041=568;302042=414;302043=203;302044=38;302231=203;302232=38;302233=1;302321=568;302322=414;302323=203;310203=568;310204=414;310205=203;310206=1;310207=1;310208=38;310217=1;310218=38;310219=38;310223=38;310224=1;310225=1;310407=414;310408=203;310409=38;310501=203;310502=38;310503=1;310504=203;310505=38;310506=1;310507=203</v>
      </c>
    </row>
    <row r="233" spans="1:8" x14ac:dyDescent="0.2">
      <c r="A233" s="5">
        <v>30708</v>
      </c>
      <c r="B233" s="12" t="str">
        <f>VLOOKUP(VALUE(LEFT(A233,2)),tb_shopType[[prefix]:[type]],2,0)</f>
        <v>遗物掉落</v>
      </c>
      <c r="C233" s="23" t="str">
        <f>VLOOKUP(VALUE(MID(A233,LEN(A233)-2,1)),table_world[[id]:[name]],2,0)</f>
        <v>荒漠</v>
      </c>
      <c r="D233" s="23">
        <v>8</v>
      </c>
      <c r="E233" s="12" t="s">
        <v>13</v>
      </c>
      <c r="F233" s="40" t="s">
        <v>331</v>
      </c>
      <c r="G233" s="40" t="s">
        <v>276</v>
      </c>
      <c r="H233" s="25" t="str" cm="1">
        <f t="array" aca="1" ref="H233" ca="1">_xlfn.LET(_xlpm._tb,_xlfn.XLOOKUP($B233,tb_shopType[type],tb_shopType[shop_table_name]),
_xlpm._col,MATCH($C233&amp;"-"&amp;TEXT(D233,"00"),INDIRECT(_xlpm._tb&amp;"[#标题]"),0),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524;300012=403;300013=221;300014=51;300021=403;300022=221;300023=51;300031=524;300032=403;300033=221;300034=51;300041=524;300042=403;300043=221;300044=51;300071=524;300072=403;300073=221;300074=51;300081=524;300082=403;300083=221;300084=51;301011=524;301012=403;301013=221;301014=51;301031=524;301032=403;301033=221;301034=51;301041=524;301042=403;301043=221;301044=51;301051=524;301052=403;301053=221;301054=51;302011=524;302012=403;302013=221;302014=51;302031=524;302032=403;302033=221;302034=51;302041=524;302042=403;302043=221;302044=51;302231=221;302232=51;302233=2;302321=524;302322=403;302323=221;310203=524;310204=403;310205=221;310206=2;310207=2;310208=51;310217=2;310218=51;310219=51;310223=51;310224=2;310225=2;310407=403;310408=221;310409=51;310501=221;310502=51;310503=2;310504=221;310505=51;310506=2;310507=221</v>
      </c>
    </row>
    <row r="234" spans="1:8" x14ac:dyDescent="0.2">
      <c r="A234" s="5">
        <v>30709</v>
      </c>
      <c r="B234" s="12" t="str">
        <f>VLOOKUP(VALUE(LEFT(A234,2)),tb_shopType[[prefix]:[type]],2,0)</f>
        <v>遗物掉落</v>
      </c>
      <c r="C234" s="23" t="str">
        <f>VLOOKUP(VALUE(MID(A234,LEN(A234)-2,1)),table_world[[id]:[name]],2,0)</f>
        <v>荒漠</v>
      </c>
      <c r="D234" s="23">
        <v>9</v>
      </c>
      <c r="E234" s="12" t="s">
        <v>13</v>
      </c>
      <c r="F234" s="40" t="s">
        <v>331</v>
      </c>
      <c r="G234" s="40" t="s">
        <v>276</v>
      </c>
      <c r="H234" s="25" t="str" cm="1">
        <f t="array" aca="1" ref="H234" ca="1">_xlfn.LET(_xlpm._tb,_xlfn.XLOOKUP($B234,tb_shopType[type],tb_shopType[shop_table_name]),
_xlpm._col,MATCH($C234&amp;"-"&amp;TEXT(D234,"00"),INDIRECT(_xlpm._tb&amp;"[#标题]"),0),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478;300012=386;300013=234;300014=65;300021=386;300022=234;300023=65;300031=478;300032=386;300033=234;300034=65;300041=478;300042=386;300043=234;300044=65;300071=478;300072=386;300073=234;300074=65;300081=478;300082=386;300083=234;300084=65;301011=478;301012=386;301013=234;301014=65;301031=478;301032=386;301033=234;301034=65;301041=478;301042=386;301043=234;301044=65;301051=478;301052=386;301053=234;301054=65;302011=478;302012=386;302013=234;302014=65;302031=478;302032=386;302033=234;302034=65;302041=478;302042=386;302043=234;302044=65;302231=234;302232=65;302233=3;302321=478;302322=386;302323=234;310203=478;310204=386;310205=234;310206=3;310207=3;310208=65;310217=3;310218=65;310219=65;310223=65;310224=3;310225=3;310407=386;310408=234;310409=65;310501=234;310502=65;310503=3;310504=234;310505=65;310506=3;310507=234</v>
      </c>
    </row>
    <row r="235" spans="1:8" x14ac:dyDescent="0.2">
      <c r="A235" s="5">
        <v>30710</v>
      </c>
      <c r="B235" s="12" t="str">
        <f>VLOOKUP(VALUE(LEFT(A235,2)),tb_shopType[[prefix]:[type]],2,0)</f>
        <v>遗物掉落</v>
      </c>
      <c r="C235" s="23" t="str">
        <f>VLOOKUP(VALUE(MID(A235,LEN(A235)-2,1)),table_world[[id]:[name]],2,0)</f>
        <v>荒漠</v>
      </c>
      <c r="D235" s="23">
        <v>10</v>
      </c>
      <c r="E235" s="12" t="s">
        <v>13</v>
      </c>
      <c r="F235" s="40" t="s">
        <v>331</v>
      </c>
      <c r="G235" s="40" t="s">
        <v>276</v>
      </c>
      <c r="H235" s="25" t="str" cm="1">
        <f t="array" aca="1" ref="H235" ca="1">_xlfn.LET(_xlpm._tb,_xlfn.XLOOKUP($B235,tb_shopType[type],tb_shopType[shop_table_name]),
_xlpm._col,MATCH($C235&amp;"-"&amp;TEXT(D235,"00"),INDIRECT(_xlpm._tb&amp;"[#标题]"),0),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430;300012=364;300013=243;300014=80;300021=364;300022=243;300023=80;300031=430;300032=364;300033=243;300034=80;300041=430;300042=364;300043=243;300044=80;300071=430;300072=364;300073=243;300074=80;300081=430;300082=364;300083=243;300084=80;301011=430;301012=364;301013=243;301014=80;301031=430;301032=364;301033=243;301034=80;301041=430;301042=364;301043=243;301044=80;301051=430;301052=364;301053=243;301054=80;302011=430;302012=364;302013=243;302014=80;302031=430;302032=364;302033=243;302034=80;302041=430;302042=364;302043=243;302044=80;302231=243;302232=80;302233=5;302321=430;302322=364;302323=243;310203=430;310204=364;310205=243;310206=5;310207=5;310208=80;310217=5;310218=80;310219=80;310223=80;310224=5;310225=5;310407=364;310408=243;310409=80;310501=243;310502=80;310503=5;310504=243;310505=80;310506=5;310507=243</v>
      </c>
    </row>
    <row r="236" spans="1:8" x14ac:dyDescent="0.2">
      <c r="A236" s="5">
        <v>30711</v>
      </c>
      <c r="B236" s="12" t="str">
        <f>VLOOKUP(VALUE(LEFT(A236,2)),tb_shopType[[prefix]:[type]],2,0)</f>
        <v>遗物掉落</v>
      </c>
      <c r="C236" s="23" t="str">
        <f>VLOOKUP(VALUE(MID(A236,LEN(A236)-2,1)),table_world[[id]:[name]],2,0)</f>
        <v>荒漠</v>
      </c>
      <c r="D236" s="23">
        <v>11</v>
      </c>
      <c r="E236" s="12" t="s">
        <v>13</v>
      </c>
      <c r="F236" s="40" t="s">
        <v>331</v>
      </c>
      <c r="G236" s="40" t="s">
        <v>276</v>
      </c>
      <c r="H236" s="25" t="str" cm="1">
        <f t="array" aca="1" ref="H236" ca="1">_xlfn.LET(_xlpm._tb,_xlfn.XLOOKUP($B236,tb_shopType[type],tb_shopType[shop_table_name]),
_xlpm._col,MATCH($C236&amp;"-"&amp;TEXT(D236,"00"),INDIRECT(_xlpm._tb&amp;"[#标题]"),0),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383;300012=337;300013=245;300014=96;300021=337;300022=245;300023=96;300031=383;300032=337;300033=245;300034=96;300041=383;300042=337;300043=245;300044=96;300071=383;300072=337;300073=245;300074=96;300081=383;300082=337;300083=245;300084=96;301011=383;301012=337;301013=245;301014=96;301031=383;301032=337;301033=245;301034=96;301041=383;301042=337;301043=245;301044=96;301051=383;301052=337;301053=245;301054=96;302011=383;302012=337;302013=245;302014=96;302031=383;302032=337;302033=245;302034=96;302041=383;302042=337;302043=245;302044=96;302231=245;302232=96;302233=9;302321=383;302322=337;302323=245;310203=383;310204=337;310205=245;310206=9;310207=9;310208=96;310217=9;310218=96;310219=96;310223=96;310224=9;310225=9;310407=337;310408=245;310409=96;310501=245;310502=96;310503=9;310504=245;310505=96;310506=9;310507=245</v>
      </c>
    </row>
    <row r="237" spans="1:8" x14ac:dyDescent="0.2">
      <c r="A237" s="5">
        <v>30712</v>
      </c>
      <c r="B237" s="12" t="str">
        <f>VLOOKUP(VALUE(LEFT(A237,2)),tb_shopType[[prefix]:[type]],2,0)</f>
        <v>遗物掉落</v>
      </c>
      <c r="C237" s="23" t="str">
        <f>VLOOKUP(VALUE(MID(A237,LEN(A237)-2,1)),table_world[[id]:[name]],2,0)</f>
        <v>荒漠</v>
      </c>
      <c r="D237" s="23">
        <v>12</v>
      </c>
      <c r="E237" s="12" t="s">
        <v>13</v>
      </c>
      <c r="F237" s="40" t="s">
        <v>331</v>
      </c>
      <c r="G237" s="40" t="s">
        <v>276</v>
      </c>
      <c r="H237" s="25" t="str" cm="1">
        <f t="array" aca="1" ref="H237" ca="1">_xlfn.LET(_xlpm._tb,_xlfn.XLOOKUP($B237,tb_shopType[type],tb_shopType[shop_table_name]),
_xlpm._col,MATCH($C237&amp;"-"&amp;TEXT(D237,"00"),INDIRECT(_xlpm._tb&amp;"[#标题]"),0),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336;300012=307;300013=243;300014=111;300021=307;300022=243;300023=111;300031=336;300032=307;300033=243;300034=111;300041=336;300042=307;300043=243;300044=111;300071=336;300072=307;300073=243;300074=111;300081=336;300082=307;300083=243;300084=111;301011=336;301012=307;301013=243;301014=111;301031=336;301032=307;301033=243;301034=111;301041=336;301042=307;301043=243;301044=111;301051=336;301052=307;301053=243;301054=111;302011=336;302012=307;302013=243;302014=111;302031=336;302032=307;302033=243;302034=111;302041=336;302042=307;302043=243;302044=111;302231=243;302232=111;302233=14;302321=336;302322=307;302323=243;310203=336;310204=307;310205=243;310206=14;310207=14;310208=111;310217=14;310218=111;310219=111;310223=111;310224=14;310225=14;310407=307;310408=243;310409=111;310501=243;310502=111;310503=14;310504=243;310505=111;310506=14;310507=243</v>
      </c>
    </row>
    <row r="238" spans="1:8" x14ac:dyDescent="0.2">
      <c r="A238" s="5">
        <v>30713</v>
      </c>
      <c r="B238" s="12" t="str">
        <f>VLOOKUP(VALUE(LEFT(A238,2)),tb_shopType[[prefix]:[type]],2,0)</f>
        <v>遗物掉落</v>
      </c>
      <c r="C238" s="23" t="str">
        <f>VLOOKUP(VALUE(MID(A238,LEN(A238)-2,1)),table_world[[id]:[name]],2,0)</f>
        <v>荒漠</v>
      </c>
      <c r="D238" s="23">
        <v>13</v>
      </c>
      <c r="E238" s="12" t="s">
        <v>13</v>
      </c>
      <c r="F238" s="40" t="s">
        <v>331</v>
      </c>
      <c r="G238" s="40" t="s">
        <v>276</v>
      </c>
      <c r="H238" s="25" t="str" cm="1">
        <f t="array" aca="1" ref="H238" ca="1">_xlfn.LET(_xlpm._tb,_xlfn.XLOOKUP($B238,tb_shopType[type],tb_shopType[shop_table_name]),
_xlpm._col,MATCH($C238&amp;"-"&amp;TEXT(D238,"00"),INDIRECT(_xlpm._tb&amp;"[#标题]"),0),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292;300012=274;300013=234;300014=125;300021=274;300022=234;300023=125;300031=292;300032=274;300033=234;300034=125;300041=292;300042=274;300043=234;300044=125;300071=292;300072=274;300073=234;300074=125;300081=292;300082=274;300083=234;300084=125;301011=292;301012=274;301013=234;301014=125;301031=292;301032=274;301033=234;301034=125;301041=292;301042=274;301043=234;301044=125;301051=292;301052=274;301053=234;301054=125;302011=292;302012=274;302013=234;302014=125;302031=292;302032=274;302033=234;302034=125;302041=292;302042=274;302043=234;302044=125;302231=234;302232=125;302233=20;302321=292;302322=274;302323=234;310203=292;310204=274;310205=234;310206=20;310207=20;310208=125;310217=20;310218=125;310219=125;310223=125;310224=20;310225=20;310407=274;310408=234;310409=125;310501=234;310502=125;310503=20;310504=234;310505=125;310506=20;310507=234</v>
      </c>
    </row>
    <row r="239" spans="1:8" x14ac:dyDescent="0.2">
      <c r="A239" s="5">
        <v>30714</v>
      </c>
      <c r="B239" s="12" t="str">
        <f>VLOOKUP(VALUE(LEFT(A239,2)),tb_shopType[[prefix]:[type]],2,0)</f>
        <v>遗物掉落</v>
      </c>
      <c r="C239" s="23" t="str">
        <f>VLOOKUP(VALUE(MID(A239,LEN(A239)-2,1)),table_world[[id]:[name]],2,0)</f>
        <v>荒漠</v>
      </c>
      <c r="D239" s="23">
        <v>14</v>
      </c>
      <c r="E239" s="12" t="s">
        <v>13</v>
      </c>
      <c r="F239" s="40" t="s">
        <v>331</v>
      </c>
      <c r="G239" s="40" t="s">
        <v>276</v>
      </c>
      <c r="H239" s="25" t="str" cm="1">
        <f t="array" aca="1" ref="H239" ca="1">_xlfn.LET(_xlpm._tb,_xlfn.XLOOKUP($B239,tb_shopType[type],tb_shopType[shop_table_name]),
_xlpm._col,MATCH($C239&amp;"-"&amp;TEXT(D239,"00"),INDIRECT(_xlpm._tb&amp;"[#标题]"),0),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250;300012=241;300013=221;300014=135;300021=241;300022=221;300023=135;300031=250;300032=241;300033=221;300034=135;300041=250;300042=241;300043=221;300044=135;300071=250;300072=241;300073=221;300074=135;300081=250;300082=241;300083=221;300084=135;301011=250;301012=241;301013=221;301014=135;301031=250;301032=241;301033=221;301034=135;301041=250;301042=241;301043=221;301044=135;301051=250;301052=241;301053=221;301054=135;302011=250;302012=241;302013=221;302014=135;302031=250;302032=241;302033=221;302034=135;302041=250;302042=241;302043=221;302044=135;302231=221;302232=135;302233=28;302321=250;302322=241;302323=221;310203=250;310204=241;310205=221;310206=28;310207=28;310208=135;310217=28;310218=135;310219=135;310223=135;310224=28;310225=28;310407=241;310408=221;310409=135;310501=221;310502=135;310503=28;310504=221;310505=135;310506=28;310507=221</v>
      </c>
    </row>
    <row r="240" spans="1:8" x14ac:dyDescent="0.2">
      <c r="A240" s="5">
        <v>30715</v>
      </c>
      <c r="B240" s="12" t="str">
        <f>VLOOKUP(VALUE(LEFT(A240,2)),tb_shopType[[prefix]:[type]],2,0)</f>
        <v>遗物掉落</v>
      </c>
      <c r="C240" s="23" t="str">
        <f>VLOOKUP(VALUE(MID(A240,LEN(A240)-2,1)),table_world[[id]:[name]],2,0)</f>
        <v>荒漠</v>
      </c>
      <c r="D240" s="23">
        <v>15</v>
      </c>
      <c r="E240" s="12" t="s">
        <v>13</v>
      </c>
      <c r="F240" s="40" t="s">
        <v>331</v>
      </c>
      <c r="G240" s="40" t="s">
        <v>276</v>
      </c>
      <c r="H240" s="25" t="str" cm="1">
        <f t="array" aca="1" ref="H240" ca="1">_xlfn.LET(_xlpm._tb,_xlfn.XLOOKUP($B240,tb_shopType[type],tb_shopType[shop_table_name]),
_xlpm._col,MATCH($C240&amp;"-"&amp;TEXT(D240,"00"),INDIRECT(_xlpm._tb&amp;"[#标题]"),0),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212;300012=209;300013=203;300014=142;300021=209;300022=203;300023=142;300031=212;300032=209;300033=203;300034=142;300041=212;300042=209;300043=203;300044=142;300071=212;300072=209;300073=203;300074=142;300081=212;300082=209;300083=203;300084=142;301011=212;301012=209;301013=203;301014=142;301031=212;301032=209;301033=203;301034=142;301041=212;301042=209;301043=203;301044=142;301051=212;301052=209;301053=203;301054=142;302011=212;302012=209;302013=203;302014=142;302031=212;302032=209;302033=203;302034=142;302041=212;302042=209;302043=203;302044=142;302231=203;302232=142;302233=38;302321=212;302322=209;302323=203;310203=212;310204=209;310205=203;310206=38;310207=38;310208=142;310217=38;310218=142;310219=142;310223=142;310224=38;310225=38;310407=209;310408=203;310409=142;310501=203;310502=142;310503=38;310504=203;310505=142;310506=38;310507=203</v>
      </c>
    </row>
    <row r="241" spans="1:8" x14ac:dyDescent="0.2">
      <c r="A241" s="5">
        <v>30716</v>
      </c>
      <c r="B241" s="12" t="str">
        <f>VLOOKUP(VALUE(LEFT(A241,2)),tb_shopType[[prefix]:[type]],2,0)</f>
        <v>遗物掉落</v>
      </c>
      <c r="C241" s="23" t="str">
        <f>VLOOKUP(VALUE(MID(A241,LEN(A241)-2,1)),table_world[[id]:[name]],2,0)</f>
        <v>荒漠</v>
      </c>
      <c r="D241" s="23">
        <v>16</v>
      </c>
      <c r="E241" s="12" t="s">
        <v>13</v>
      </c>
      <c r="F241" s="40" t="s">
        <v>331</v>
      </c>
      <c r="G241" s="40" t="s">
        <v>276</v>
      </c>
      <c r="H241" s="25" t="str" cm="1">
        <f t="array" aca="1" ref="H241" ca="1">_xlfn.LET(_xlpm._tb,_xlfn.XLOOKUP($B241,tb_shopType[type],tb_shopType[shop_table_name]),
_xlpm._col,MATCH($C241&amp;"-"&amp;TEXT(D241,"00"),INDIRECT(_xlpm._tb&amp;"[#标题]"),0),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177;300012=178;300013=183;300014=144;300021=178;300022=183;300023=144;300031=177;300032=178;300033=183;300034=144;300041=177;300042=178;300043=183;300044=144;300071=177;300072=178;300073=183;300074=144;300081=177;300082=178;300083=183;300084=144;301011=177;301012=178;301013=183;301014=144;301031=177;301032=178;301033=183;301034=144;301041=177;301042=178;301043=183;301044=144;301051=177;301052=178;301053=183;301054=144;302011=177;302012=178;302013=183;302014=144;302031=177;302032=178;302033=183;302034=144;302041=177;302042=178;302043=183;302044=144;302231=183;302232=144;302233=48;302321=177;302322=178;302323=183;310203=177;310204=178;310205=183;310206=48;310207=48;310208=144;310217=48;310218=144;310219=144;310223=144;310224=48;310225=48;310407=178;310408=183;310409=144;310501=183;310502=144;310503=48;310504=183;310505=144;310506=48;310507=183</v>
      </c>
    </row>
    <row r="242" spans="1:8" x14ac:dyDescent="0.2">
      <c r="A242" s="5">
        <v>30717</v>
      </c>
      <c r="B242" s="12" t="str">
        <f>VLOOKUP(VALUE(LEFT(A242,2)),tb_shopType[[prefix]:[type]],2,0)</f>
        <v>遗物掉落</v>
      </c>
      <c r="C242" s="23" t="str">
        <f>VLOOKUP(VALUE(MID(A242,LEN(A242)-2,1)),table_world[[id]:[name]],2,0)</f>
        <v>荒漠</v>
      </c>
      <c r="D242" s="23">
        <v>17</v>
      </c>
      <c r="E242" s="12" t="s">
        <v>13</v>
      </c>
      <c r="F242" s="40" t="s">
        <v>331</v>
      </c>
      <c r="G242" s="40" t="s">
        <v>276</v>
      </c>
      <c r="H242" s="25" t="str" cm="1">
        <f t="array" aca="1" ref="H242" ca="1">_xlfn.LET(_xlpm._tb,_xlfn.XLOOKUP($B242,tb_shopType[type],tb_shopType[shop_table_name]),
_xlpm._col,MATCH($C242&amp;"-"&amp;TEXT(D242,"00"),INDIRECT(_xlpm._tb&amp;"[#标题]"),0),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146;300012=148;300013=160;300014=142;300021=148;300022=160;300023=142;300031=146;300032=148;300033=160;300034=142;300041=146;300042=148;300043=160;300044=142;300071=146;300072=148;300073=160;300074=142;300081=146;300082=148;300083=160;300084=142;301011=146;301012=148;301013=160;301014=142;301031=146;301032=148;301033=160;301034=142;301041=146;301042=148;301043=160;301044=142;301051=146;301052=148;301053=160;301054=142;302011=146;302012=148;302013=160;302014=142;302031=146;302032=148;302033=160;302034=142;302041=146;302042=148;302043=160;302044=142;302231=160;302232=142;302233=59;302321=146;302322=148;302323=160;310203=146;310204=148;310205=160;310206=59;310207=59;310208=142;310217=59;310218=142;310219=142;310223=142;310224=59;310225=59;310407=148;310408=160;310409=142;310501=160;310502=142;310503=59;310504=160;310505=142;310506=59;310507=160</v>
      </c>
    </row>
    <row r="243" spans="1:8" x14ac:dyDescent="0.2">
      <c r="A243" s="5">
        <v>30718</v>
      </c>
      <c r="B243" s="12" t="str">
        <f>VLOOKUP(VALUE(LEFT(A243,2)),tb_shopType[[prefix]:[type]],2,0)</f>
        <v>遗物掉落</v>
      </c>
      <c r="C243" s="23" t="str">
        <f>VLOOKUP(VALUE(MID(A243,LEN(A243)-2,1)),table_world[[id]:[name]],2,0)</f>
        <v>荒漠</v>
      </c>
      <c r="D243" s="23">
        <v>18</v>
      </c>
      <c r="E243" s="12" t="s">
        <v>13</v>
      </c>
      <c r="F243" s="40" t="s">
        <v>331</v>
      </c>
      <c r="G243" s="40" t="s">
        <v>276</v>
      </c>
      <c r="H243" s="25" t="str" cm="1">
        <f t="array" aca="1" ref="H243" ca="1">_xlfn.LET(_xlpm._tb,_xlfn.XLOOKUP($B243,tb_shopType[type],tb_shopType[shop_table_name]),
_xlpm._col,MATCH($C243&amp;"-"&amp;TEXT(D243,"00"),INDIRECT(_xlpm._tb&amp;"[#标题]"),0),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119;300012=122;300013=137;300014=135;300021=122;300022=137;300023=135;300031=119;300032=122;300033=137;300034=135;300041=119;300042=122;300043=137;300044=135;300071=119;300072=122;300073=137;300074=135;300081=119;300082=122;300083=137;300084=135;301011=119;301012=122;301013=137;301014=135;301031=119;301032=122;301033=137;301034=135;301041=119;301042=122;301043=137;301044=135;301051=119;301052=122;301053=137;301054=135;302011=119;302012=122;302013=137;302014=135;302031=119;302032=122;302033=137;302034=135;302041=119;302042=122;302043=137;302044=135;302231=137;302232=135;302233=69;302321=119;302322=122;302323=137;310203=119;310204=122;310205=137;310206=69;310207=69;310208=135;310217=69;310218=135;310219=135;310223=135;310224=69;310225=69;310407=122;310408=137;310409=135;310501=137;310502=135;310503=69;310504=137;310505=135;310506=69;310507=137</v>
      </c>
    </row>
    <row r="244" spans="1:8" x14ac:dyDescent="0.2">
      <c r="A244" s="5">
        <v>30719</v>
      </c>
      <c r="B244" s="12" t="str">
        <f>VLOOKUP(VALUE(LEFT(A244,2)),tb_shopType[[prefix]:[type]],2,0)</f>
        <v>遗物掉落</v>
      </c>
      <c r="C244" s="23" t="str">
        <f>VLOOKUP(VALUE(MID(A244,LEN(A244)-2,1)),table_world[[id]:[name]],2,0)</f>
        <v>荒漠</v>
      </c>
      <c r="D244" s="23">
        <v>19</v>
      </c>
      <c r="E244" s="12" t="s">
        <v>13</v>
      </c>
      <c r="F244" s="40" t="s">
        <v>331</v>
      </c>
      <c r="G244" s="40" t="s">
        <v>276</v>
      </c>
      <c r="H244" s="25" t="str" cm="1">
        <f t="array" aca="1" ref="H244" ca="1">_xlfn.LET(_xlpm._tb,_xlfn.XLOOKUP($B244,tb_shopType[type],tb_shopType[shop_table_name]),
_xlpm._col,MATCH($C244&amp;"-"&amp;TEXT(D244,"00"),INDIRECT(_xlpm._tb&amp;"[#标题]"),0),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96;300012=98;300013=115;300014=125;300021=98;300022=115;300023=125;300031=96;300032=98;300033=115;300034=125;300041=96;300042=98;300043=115;300044=125;300071=96;300072=98;300073=115;300074=125;300081=96;300082=98;300083=115;300084=125;301011=96;301012=98;301013=115;301014=125;301031=96;301032=98;301033=115;301034=125;301041=96;301042=98;301043=115;301044=125;301051=96;301052=98;301053=115;301054=125;302011=96;302012=98;302013=115;302014=125;302031=96;302032=98;302033=115;302034=125;302041=96;302042=98;302043=115;302044=125;302231=115;302232=125;302233=78;302321=96;302322=98;302323=115;310203=96;310204=98;310205=115;310206=78;310207=78;310208=125;310217=78;310218=125;310219=125;310223=125;310224=78;310225=78;310407=98;310408=115;310409=125;310501=115;310502=125;310503=78;310504=115;310505=125;310506=78;310507=115</v>
      </c>
    </row>
    <row r="245" spans="1:8" x14ac:dyDescent="0.2">
      <c r="A245" s="5">
        <v>30720</v>
      </c>
      <c r="B245" s="12" t="str">
        <f>VLOOKUP(VALUE(LEFT(A245,2)),tb_shopType[[prefix]:[type]],2,0)</f>
        <v>遗物掉落</v>
      </c>
      <c r="C245" s="23" t="str">
        <f>VLOOKUP(VALUE(MID(A245,LEN(A245)-2,1)),table_world[[id]:[name]],2,0)</f>
        <v>荒漠</v>
      </c>
      <c r="D245" s="23">
        <v>20</v>
      </c>
      <c r="E245" s="12" t="s">
        <v>13</v>
      </c>
      <c r="F245" s="40" t="s">
        <v>331</v>
      </c>
      <c r="G245" s="40" t="s">
        <v>276</v>
      </c>
      <c r="H245" s="25" t="str" cm="1">
        <f t="array" aca="1" ref="H245" ca="1">_xlfn.LET(_xlpm._tb,_xlfn.XLOOKUP($B245,tb_shopType[type],tb_shopType[shop_table_name]),
_xlpm._col,MATCH($C245&amp;"-"&amp;TEXT(D245,"00"),INDIRECT(_xlpm._tb&amp;"[#标题]"),0),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76;300012=78;300013=94;300014=111;300021=78;300022=94;300023=111;300031=76;300032=78;300033=94;300034=111;300041=76;300042=78;300043=94;300044=111;300071=76;300072=78;300073=94;300074=111;300081=76;300082=78;300083=94;300084=111;301011=76;301012=78;301013=94;301014=111;301031=76;301032=78;301033=94;301034=111;301041=76;301042=78;301043=94;301044=111;301051=76;301052=78;301053=94;301054=111;302011=76;302012=78;302013=94;302014=111;302031=76;302032=78;302033=94;302034=111;302041=76;302042=78;302043=94;302044=111;302231=94;302232=111;302233=83;302321=76;302322=78;302323=94;310203=76;310204=78;310205=94;310206=83;310207=83;310208=111;310217=83;310218=111;310219=111;310223=111;310224=83;310225=83;310407=78;310408=94;310409=111;310501=94;310502=111;310503=83;310504=94;310505=111;310506=83;310507=94</v>
      </c>
    </row>
    <row r="247" spans="1:8" x14ac:dyDescent="0.2">
      <c r="A247" s="5">
        <v>30801</v>
      </c>
      <c r="B247" s="12" t="str">
        <f>VLOOKUP(VALUE(LEFT(A247,2)),tb_shopType[[prefix]:[type]],2,0)</f>
        <v>遗物掉落</v>
      </c>
      <c r="C247" s="23" t="str">
        <f>VLOOKUP(VALUE(MID(A247,LEN(A247)-2,1)),table_world[[id]:[name]],2,0)</f>
        <v>大湖</v>
      </c>
      <c r="D247" s="23">
        <v>1</v>
      </c>
      <c r="E247" s="12" t="s">
        <v>80</v>
      </c>
      <c r="F247" s="40" t="s">
        <v>332</v>
      </c>
      <c r="G247" s="40" t="s">
        <v>276</v>
      </c>
      <c r="H247" s="25" t="str" cm="1">
        <f t="array" aca="1" ref="H247" ca="1">_xlfn.LET(_xlpm._tb,_xlfn.XLOOKUP($B247,tb_shopType[type],tb_shopType[shop_table_name]),
_xlpm._col,MATCH($C247&amp;"-"&amp;TEXT(D247,"00"),INDIRECT(_xlpm._tb&amp;"[#标题]"),0),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709;300012=337;300013=75;300014=4;300021=337;300022=75;300023=4;300031=709;300032=337;300033=75;300034=4;300041=709;300042=337;300043=75;300044=4;300071=709;300072=337;300073=75;300074=4;300081=709;300082=337;300083=75;300084=4;301011=709;301012=337;301013=75;301014=4;301031=709;301032=337;301033=75;301034=4;301041=709;301042=337;301043=75;301044=4;301051=709;301052=337;301053=75;301054=4;302011=709;302012=337;302013=75;302014=4;302031=709;302032=337;302033=75;302034=4;302041=709;302042=337;302043=75;302044=4;302231=75;302232=4;302321=709;302322=337;302323=75;310203=709;310204=337;310205=75;310208=4;310218=4;310219=4;310223=4;310407=337;310408=75;310409=4;310501=75;310502=4;310504=75;310505=4;310507=75</v>
      </c>
    </row>
    <row r="248" spans="1:8" x14ac:dyDescent="0.2">
      <c r="A248" s="5">
        <v>30802</v>
      </c>
      <c r="B248" s="12" t="str">
        <f>VLOOKUP(VALUE(LEFT(A248,2)),tb_shopType[[prefix]:[type]],2,0)</f>
        <v>遗物掉落</v>
      </c>
      <c r="C248" s="23" t="str">
        <f>VLOOKUP(VALUE(MID(A248,LEN(A248)-2,1)),table_world[[id]:[name]],2,0)</f>
        <v>大湖</v>
      </c>
      <c r="D248" s="23">
        <v>2</v>
      </c>
      <c r="E248" s="12" t="s">
        <v>80</v>
      </c>
      <c r="F248" s="40" t="s">
        <v>332</v>
      </c>
      <c r="G248" s="40" t="s">
        <v>276</v>
      </c>
      <c r="H248" s="25" t="str" cm="1">
        <f t="array" aca="1" ref="H248" ca="1">_xlfn.LET(_xlpm._tb,_xlfn.XLOOKUP($B248,tb_shopType[type],tb_shopType[shop_table_name]),
_xlpm._col,MATCH($C248&amp;"-"&amp;TEXT(D248,"00"),INDIRECT(_xlpm._tb&amp;"[#标题]"),0),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705;300012=364;300013=94;300014=6;300021=364;300022=94;300023=6;300031=705;300032=364;300033=94;300034=6;300041=705;300042=364;300043=94;300044=6;300071=705;300072=364;300073=94;300074=6;300081=705;300082=364;300083=94;300084=6;301011=705;301012=364;301013=94;301014=6;301031=705;301032=364;301033=94;301034=6;301041=705;301042=364;301043=94;301044=6;301051=705;301052=364;301053=94;301054=6;302011=705;302012=364;302013=94;302014=6;302031=705;302032=364;302033=94;302034=6;302041=705;302042=364;302043=94;302044=6;302231=94;302232=6;302321=705;302322=364;302323=94;310203=705;310204=364;310205=94;310208=6;310218=6;310219=6;310223=6;310407=364;310408=94;310409=6;310501=94;310502=6;310504=94;310505=6;310507=94</v>
      </c>
    </row>
    <row r="249" spans="1:8" x14ac:dyDescent="0.2">
      <c r="A249" s="5">
        <v>30803</v>
      </c>
      <c r="B249" s="12" t="str">
        <f>VLOOKUP(VALUE(LEFT(A249,2)),tb_shopType[[prefix]:[type]],2,0)</f>
        <v>遗物掉落</v>
      </c>
      <c r="C249" s="23" t="str">
        <f>VLOOKUP(VALUE(MID(A249,LEN(A249)-2,1)),table_world[[id]:[name]],2,0)</f>
        <v>大湖</v>
      </c>
      <c r="D249" s="23">
        <v>3</v>
      </c>
      <c r="E249" s="12" t="s">
        <v>13</v>
      </c>
      <c r="F249" s="40" t="s">
        <v>331</v>
      </c>
      <c r="G249" s="40" t="s">
        <v>276</v>
      </c>
      <c r="H249" s="25" t="str" cm="1">
        <f t="array" aca="1" ref="H249" ca="1">_xlfn.LET(_xlpm._tb,_xlfn.XLOOKUP($B249,tb_shopType[type],tb_shopType[shop_table_name]),
_xlpm._col,MATCH($C249&amp;"-"&amp;TEXT(D249,"00"),INDIRECT(_xlpm._tb&amp;"[#标题]"),0),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692;300012=386;300013=115;300014=9;300021=386;300022=115;300023=9;300031=692;300032=386;300033=115;300034=9;300041=692;300042=386;300043=115;300044=9;300071=692;300072=386;300073=115;300074=9;300081=692;300082=386;300083=115;300084=9;301011=692;301012=386;301013=115;301014=9;301031=692;301032=386;301033=115;301034=9;301041=692;301042=386;301043=115;301044=9;301051=692;301052=386;301053=115;301054=9;302011=692;302012=386;302013=115;302014=9;302031=692;302032=386;302033=115;302034=9;302041=692;302042=386;302043=115;302044=9;302231=115;302232=9;302321=692;302322=386;302323=115;310203=692;310204=386;310205=115;310208=9;310218=9;310219=9;310223=9;310407=386;310408=115;310409=9;310501=115;310502=9;310504=115;310505=9;310507=115</v>
      </c>
    </row>
    <row r="250" spans="1:8" x14ac:dyDescent="0.2">
      <c r="A250" s="5">
        <v>30804</v>
      </c>
      <c r="B250" s="12" t="str">
        <f>VLOOKUP(VALUE(LEFT(A250,2)),tb_shopType[[prefix]:[type]],2,0)</f>
        <v>遗物掉落</v>
      </c>
      <c r="C250" s="23" t="str">
        <f>VLOOKUP(VALUE(MID(A250,LEN(A250)-2,1)),table_world[[id]:[name]],2,0)</f>
        <v>大湖</v>
      </c>
      <c r="D250" s="23">
        <v>4</v>
      </c>
      <c r="E250" s="12" t="s">
        <v>13</v>
      </c>
      <c r="F250" s="40" t="s">
        <v>331</v>
      </c>
      <c r="G250" s="40" t="s">
        <v>276</v>
      </c>
      <c r="H250" s="25" t="str" cm="1">
        <f t="array" aca="1" ref="H250" ca="1">_xlfn.LET(_xlpm._tb,_xlfn.XLOOKUP($B250,tb_shopType[type],tb_shopType[shop_table_name]),
_xlpm._col,MATCH($C250&amp;"-"&amp;TEXT(D250,"00"),INDIRECT(_xlpm._tb&amp;"[#标题]"),0),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671;300012=403;300013=137;300014=14;300021=403;300022=137;300023=14;300031=671;300032=403;300033=137;300034=14;300041=671;300042=403;300043=137;300044=14;300071=671;300072=403;300073=137;300074=14;300081=671;300082=403;300083=137;300084=14;301011=671;301012=403;301013=137;301014=14;301031=671;301032=403;301033=137;301034=14;301041=671;301042=403;301043=137;301044=14;301051=671;301052=403;301053=137;301054=14;302011=671;302012=403;302013=137;302014=14;302031=671;302032=403;302033=137;302034=14;302041=671;302042=403;302043=137;302044=14;302231=137;302232=14;302321=671;302322=403;302323=137;310203=671;310204=403;310205=137;310208=14;310218=14;310219=14;310223=14;310407=403;310408=137;310409=14;310501=137;310502=14;310504=137;310505=14;310507=137</v>
      </c>
    </row>
    <row r="251" spans="1:8" x14ac:dyDescent="0.2">
      <c r="A251" s="5">
        <v>30805</v>
      </c>
      <c r="B251" s="12" t="str">
        <f>VLOOKUP(VALUE(LEFT(A251,2)),tb_shopType[[prefix]:[type]],2,0)</f>
        <v>遗物掉落</v>
      </c>
      <c r="C251" s="23" t="str">
        <f>VLOOKUP(VALUE(MID(A251,LEN(A251)-2,1)),table_world[[id]:[name]],2,0)</f>
        <v>大湖</v>
      </c>
      <c r="D251" s="23">
        <v>5</v>
      </c>
      <c r="E251" s="12" t="s">
        <v>13</v>
      </c>
      <c r="F251" s="40" t="s">
        <v>331</v>
      </c>
      <c r="G251" s="40" t="s">
        <v>276</v>
      </c>
      <c r="H251" s="25" t="str" cm="1">
        <f t="array" aca="1" ref="H251" ca="1">_xlfn.LET(_xlpm._tb,_xlfn.XLOOKUP($B251,tb_shopType[type],tb_shopType[shop_table_name]),
_xlpm._col,MATCH($C251&amp;"-"&amp;TEXT(D251,"00"),INDIRECT(_xlpm._tb&amp;"[#标题]"),0),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643;300012=414;300013=160;300014=20;300021=414;300022=160;300023=20;300031=643;300032=414;300033=160;300034=20;300041=643;300042=414;300043=160;300044=20;300071=643;300072=414;300073=160;300074=20;300081=643;300082=414;300083=160;300084=20;301011=643;301012=414;301013=160;301014=20;301031=643;301032=414;301033=160;301034=20;301041=643;301042=414;301043=160;301044=20;301051=643;301052=414;301053=160;301054=20;302011=643;302012=414;302013=160;302014=20;302031=643;302032=414;302033=160;302034=20;302041=643;302042=414;302043=160;302044=20;302231=160;302232=20;302321=643;302322=414;302323=160;310203=643;310204=414;310205=160;310208=20;310218=20;310219=20;310223=20;310407=414;310408=160;310409=20;310501=160;310502=20;310504=160;310505=20;310507=160</v>
      </c>
    </row>
    <row r="252" spans="1:8" x14ac:dyDescent="0.2">
      <c r="A252" s="5">
        <v>30806</v>
      </c>
      <c r="B252" s="12" t="str">
        <f>VLOOKUP(VALUE(LEFT(A252,2)),tb_shopType[[prefix]:[type]],2,0)</f>
        <v>遗物掉落</v>
      </c>
      <c r="C252" s="23" t="str">
        <f>VLOOKUP(VALUE(MID(A252,LEN(A252)-2,1)),table_world[[id]:[name]],2,0)</f>
        <v>大湖</v>
      </c>
      <c r="D252" s="23">
        <v>6</v>
      </c>
      <c r="E252" s="12" t="s">
        <v>13</v>
      </c>
      <c r="F252" s="40" t="s">
        <v>331</v>
      </c>
      <c r="G252" s="40" t="s">
        <v>276</v>
      </c>
      <c r="H252" s="25" t="str" cm="1">
        <f t="array" aca="1" ref="H252" ca="1">_xlfn.LET(_xlpm._tb,_xlfn.XLOOKUP($B252,tb_shopType[type],tb_shopType[shop_table_name]),
_xlpm._col,MATCH($C252&amp;"-"&amp;TEXT(D252,"00"),INDIRECT(_xlpm._tb&amp;"[#标题]"),0),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608;300012=417;300013=183;300014=28;300021=417;300022=183;300023=28;300031=608;300032=417;300033=183;300034=28;300041=608;300042=417;300043=183;300044=28;300071=608;300072=417;300073=183;300074=28;300081=608;300082=417;300083=183;300084=28;301011=608;301012=417;301013=183;301014=28;301031=608;301032=417;301033=183;301034=28;301041=608;301042=417;301043=183;301044=28;301051=608;301052=417;301053=183;301054=28;302011=608;302012=417;302013=183;302014=28;302031=608;302032=417;302033=183;302034=28;302041=608;302042=417;302043=183;302044=28;302231=183;302232=28;302233=1;302321=608;302322=417;302323=183;310203=608;310204=417;310205=183;310206=1;310207=1;310208=28;310217=1;310218=28;310219=28;310223=28;310224=1;310225=1;310407=417;310408=183;310409=28;310501=183;310502=28;310503=1;310504=183;310505=28;310506=1;310507=183</v>
      </c>
    </row>
    <row r="253" spans="1:8" x14ac:dyDescent="0.2">
      <c r="A253" s="5">
        <v>30807</v>
      </c>
      <c r="B253" s="12" t="str">
        <f>VLOOKUP(VALUE(LEFT(A253,2)),tb_shopType[[prefix]:[type]],2,0)</f>
        <v>遗物掉落</v>
      </c>
      <c r="C253" s="23" t="str">
        <f>VLOOKUP(VALUE(MID(A253,LEN(A253)-2,1)),table_world[[id]:[name]],2,0)</f>
        <v>大湖</v>
      </c>
      <c r="D253" s="23">
        <v>7</v>
      </c>
      <c r="E253" s="12" t="s">
        <v>13</v>
      </c>
      <c r="F253" s="40" t="s">
        <v>331</v>
      </c>
      <c r="G253" s="40" t="s">
        <v>276</v>
      </c>
      <c r="H253" s="25" t="str" cm="1">
        <f t="array" aca="1" ref="H253" ca="1">_xlfn.LET(_xlpm._tb,_xlfn.XLOOKUP($B253,tb_shopType[type],tb_shopType[shop_table_name]),
_xlpm._col,MATCH($C253&amp;"-"&amp;TEXT(D253,"00"),INDIRECT(_xlpm._tb&amp;"[#标题]"),0),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568;300012=414;300013=203;300014=38;300021=414;300022=203;300023=38;300031=568;300032=414;300033=203;300034=38;300041=568;300042=414;300043=203;300044=38;300071=568;300072=414;300073=203;300074=38;300081=568;300082=414;300083=203;300084=38;301011=568;301012=414;301013=203;301014=38;301031=568;301032=414;301033=203;301034=38;301041=568;301042=414;301043=203;301044=38;301051=568;301052=414;301053=203;301054=38;302011=568;302012=414;302013=203;302014=38;302031=568;302032=414;302033=203;302034=38;302041=568;302042=414;302043=203;302044=38;302231=203;302232=38;302233=1;302321=568;302322=414;302323=203;310203=568;310204=414;310205=203;310206=1;310207=1;310208=38;310217=1;310218=38;310219=38;310223=38;310224=1;310225=1;310407=414;310408=203;310409=38;310501=203;310502=38;310503=1;310504=203;310505=38;310506=1;310507=203</v>
      </c>
    </row>
    <row r="254" spans="1:8" x14ac:dyDescent="0.2">
      <c r="A254" s="5">
        <v>30808</v>
      </c>
      <c r="B254" s="12" t="str">
        <f>VLOOKUP(VALUE(LEFT(A254,2)),tb_shopType[[prefix]:[type]],2,0)</f>
        <v>遗物掉落</v>
      </c>
      <c r="C254" s="23" t="str">
        <f>VLOOKUP(VALUE(MID(A254,LEN(A254)-2,1)),table_world[[id]:[name]],2,0)</f>
        <v>大湖</v>
      </c>
      <c r="D254" s="23">
        <v>8</v>
      </c>
      <c r="E254" s="12" t="s">
        <v>13</v>
      </c>
      <c r="F254" s="40" t="s">
        <v>331</v>
      </c>
      <c r="G254" s="40" t="s">
        <v>276</v>
      </c>
      <c r="H254" s="25" t="str" cm="1">
        <f t="array" aca="1" ref="H254" ca="1">_xlfn.LET(_xlpm._tb,_xlfn.XLOOKUP($B254,tb_shopType[type],tb_shopType[shop_table_name]),
_xlpm._col,MATCH($C254&amp;"-"&amp;TEXT(D254,"00"),INDIRECT(_xlpm._tb&amp;"[#标题]"),0),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524;300012=403;300013=221;300014=51;300021=403;300022=221;300023=51;300031=524;300032=403;300033=221;300034=51;300041=524;300042=403;300043=221;300044=51;300071=524;300072=403;300073=221;300074=51;300081=524;300082=403;300083=221;300084=51;301011=524;301012=403;301013=221;301014=51;301031=524;301032=403;301033=221;301034=51;301041=524;301042=403;301043=221;301044=51;301051=524;301052=403;301053=221;301054=51;302011=524;302012=403;302013=221;302014=51;302031=524;302032=403;302033=221;302034=51;302041=524;302042=403;302043=221;302044=51;302231=221;302232=51;302233=2;302321=524;302322=403;302323=221;310203=524;310204=403;310205=221;310206=2;310207=2;310208=51;310217=2;310218=51;310219=51;310223=51;310224=2;310225=2;310407=403;310408=221;310409=51;310501=221;310502=51;310503=2;310504=221;310505=51;310506=2;310507=221</v>
      </c>
    </row>
    <row r="255" spans="1:8" x14ac:dyDescent="0.2">
      <c r="A255" s="5">
        <v>30809</v>
      </c>
      <c r="B255" s="12" t="str">
        <f>VLOOKUP(VALUE(LEFT(A255,2)),tb_shopType[[prefix]:[type]],2,0)</f>
        <v>遗物掉落</v>
      </c>
      <c r="C255" s="23" t="str">
        <f>VLOOKUP(VALUE(MID(A255,LEN(A255)-2,1)),table_world[[id]:[name]],2,0)</f>
        <v>大湖</v>
      </c>
      <c r="D255" s="23">
        <v>9</v>
      </c>
      <c r="E255" s="12" t="s">
        <v>13</v>
      </c>
      <c r="F255" s="40" t="s">
        <v>331</v>
      </c>
      <c r="G255" s="40" t="s">
        <v>276</v>
      </c>
      <c r="H255" s="25" t="str" cm="1">
        <f t="array" aca="1" ref="H255" ca="1">_xlfn.LET(_xlpm._tb,_xlfn.XLOOKUP($B255,tb_shopType[type],tb_shopType[shop_table_name]),
_xlpm._col,MATCH($C255&amp;"-"&amp;TEXT(D255,"00"),INDIRECT(_xlpm._tb&amp;"[#标题]"),0),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478;300012=386;300013=234;300014=65;300021=386;300022=234;300023=65;300031=478;300032=386;300033=234;300034=65;300041=478;300042=386;300043=234;300044=65;300071=478;300072=386;300073=234;300074=65;300081=478;300082=386;300083=234;300084=65;301011=478;301012=386;301013=234;301014=65;301031=478;301032=386;301033=234;301034=65;301041=478;301042=386;301043=234;301044=65;301051=478;301052=386;301053=234;301054=65;302011=478;302012=386;302013=234;302014=65;302031=478;302032=386;302033=234;302034=65;302041=478;302042=386;302043=234;302044=65;302231=234;302232=65;302233=3;302321=478;302322=386;302323=234;310203=478;310204=386;310205=234;310206=3;310207=3;310208=65;310217=3;310218=65;310219=65;310223=65;310224=3;310225=3;310407=386;310408=234;310409=65;310501=234;310502=65;310503=3;310504=234;310505=65;310506=3;310507=234</v>
      </c>
    </row>
    <row r="256" spans="1:8" x14ac:dyDescent="0.2">
      <c r="A256" s="5">
        <v>30810</v>
      </c>
      <c r="B256" s="12" t="str">
        <f>VLOOKUP(VALUE(LEFT(A256,2)),tb_shopType[[prefix]:[type]],2,0)</f>
        <v>遗物掉落</v>
      </c>
      <c r="C256" s="23" t="str">
        <f>VLOOKUP(VALUE(MID(A256,LEN(A256)-2,1)),table_world[[id]:[name]],2,0)</f>
        <v>大湖</v>
      </c>
      <c r="D256" s="23">
        <v>10</v>
      </c>
      <c r="E256" s="12" t="s">
        <v>13</v>
      </c>
      <c r="F256" s="40" t="s">
        <v>331</v>
      </c>
      <c r="G256" s="40" t="s">
        <v>276</v>
      </c>
      <c r="H256" s="25" t="str" cm="1">
        <f t="array" aca="1" ref="H256" ca="1">_xlfn.LET(_xlpm._tb,_xlfn.XLOOKUP($B256,tb_shopType[type],tb_shopType[shop_table_name]),
_xlpm._col,MATCH($C256&amp;"-"&amp;TEXT(D256,"00"),INDIRECT(_xlpm._tb&amp;"[#标题]"),0),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430;300012=364;300013=243;300014=80;300021=364;300022=243;300023=80;300031=430;300032=364;300033=243;300034=80;300041=430;300042=364;300043=243;300044=80;300071=430;300072=364;300073=243;300074=80;300081=430;300082=364;300083=243;300084=80;301011=430;301012=364;301013=243;301014=80;301031=430;301032=364;301033=243;301034=80;301041=430;301042=364;301043=243;301044=80;301051=430;301052=364;301053=243;301054=80;302011=430;302012=364;302013=243;302014=80;302031=430;302032=364;302033=243;302034=80;302041=430;302042=364;302043=243;302044=80;302231=243;302232=80;302233=5;302321=430;302322=364;302323=243;310203=430;310204=364;310205=243;310206=5;310207=5;310208=80;310217=5;310218=80;310219=80;310223=80;310224=5;310225=5;310407=364;310408=243;310409=80;310501=243;310502=80;310503=5;310504=243;310505=80;310506=5;310507=243</v>
      </c>
    </row>
    <row r="257" spans="1:8" x14ac:dyDescent="0.2">
      <c r="A257" s="5">
        <v>30811</v>
      </c>
      <c r="B257" s="12" t="str">
        <f>VLOOKUP(VALUE(LEFT(A257,2)),tb_shopType[[prefix]:[type]],2,0)</f>
        <v>遗物掉落</v>
      </c>
      <c r="C257" s="23" t="str">
        <f>VLOOKUP(VALUE(MID(A257,LEN(A257)-2,1)),table_world[[id]:[name]],2,0)</f>
        <v>大湖</v>
      </c>
      <c r="D257" s="23">
        <v>11</v>
      </c>
      <c r="E257" s="12" t="s">
        <v>13</v>
      </c>
      <c r="F257" s="40" t="s">
        <v>331</v>
      </c>
      <c r="G257" s="40" t="s">
        <v>276</v>
      </c>
      <c r="H257" s="25" t="str" cm="1">
        <f t="array" aca="1" ref="H257" ca="1">_xlfn.LET(_xlpm._tb,_xlfn.XLOOKUP($B257,tb_shopType[type],tb_shopType[shop_table_name]),
_xlpm._col,MATCH($C257&amp;"-"&amp;TEXT(D257,"00"),INDIRECT(_xlpm._tb&amp;"[#标题]"),0),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383;300012=337;300013=245;300014=96;300021=337;300022=245;300023=96;300031=383;300032=337;300033=245;300034=96;300041=383;300042=337;300043=245;300044=96;300071=383;300072=337;300073=245;300074=96;300081=383;300082=337;300083=245;300084=96;301011=383;301012=337;301013=245;301014=96;301031=383;301032=337;301033=245;301034=96;301041=383;301042=337;301043=245;301044=96;301051=383;301052=337;301053=245;301054=96;302011=383;302012=337;302013=245;302014=96;302031=383;302032=337;302033=245;302034=96;302041=383;302042=337;302043=245;302044=96;302231=245;302232=96;302233=9;302321=383;302322=337;302323=245;310203=383;310204=337;310205=245;310206=9;310207=9;310208=96;310217=9;310218=96;310219=96;310223=96;310224=9;310225=9;310407=337;310408=245;310409=96;310501=245;310502=96;310503=9;310504=245;310505=96;310506=9;310507=245</v>
      </c>
    </row>
    <row r="258" spans="1:8" x14ac:dyDescent="0.2">
      <c r="A258" s="5">
        <v>30812</v>
      </c>
      <c r="B258" s="12" t="str">
        <f>VLOOKUP(VALUE(LEFT(A258,2)),tb_shopType[[prefix]:[type]],2,0)</f>
        <v>遗物掉落</v>
      </c>
      <c r="C258" s="23" t="str">
        <f>VLOOKUP(VALUE(MID(A258,LEN(A258)-2,1)),table_world[[id]:[name]],2,0)</f>
        <v>大湖</v>
      </c>
      <c r="D258" s="23">
        <v>12</v>
      </c>
      <c r="E258" s="12" t="s">
        <v>13</v>
      </c>
      <c r="F258" s="40" t="s">
        <v>331</v>
      </c>
      <c r="G258" s="40" t="s">
        <v>276</v>
      </c>
      <c r="H258" s="25" t="str" cm="1">
        <f t="array" aca="1" ref="H258" ca="1">_xlfn.LET(_xlpm._tb,_xlfn.XLOOKUP($B258,tb_shopType[type],tb_shopType[shop_table_name]),
_xlpm._col,MATCH($C258&amp;"-"&amp;TEXT(D258,"00"),INDIRECT(_xlpm._tb&amp;"[#标题]"),0),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336;300012=307;300013=243;300014=111;300021=307;300022=243;300023=111;300031=336;300032=307;300033=243;300034=111;300041=336;300042=307;300043=243;300044=111;300071=336;300072=307;300073=243;300074=111;300081=336;300082=307;300083=243;300084=111;301011=336;301012=307;301013=243;301014=111;301031=336;301032=307;301033=243;301034=111;301041=336;301042=307;301043=243;301044=111;301051=336;301052=307;301053=243;301054=111;302011=336;302012=307;302013=243;302014=111;302031=336;302032=307;302033=243;302034=111;302041=336;302042=307;302043=243;302044=111;302231=243;302232=111;302233=14;302321=336;302322=307;302323=243;310203=336;310204=307;310205=243;310206=14;310207=14;310208=111;310217=14;310218=111;310219=111;310223=111;310224=14;310225=14;310407=307;310408=243;310409=111;310501=243;310502=111;310503=14;310504=243;310505=111;310506=14;310507=243</v>
      </c>
    </row>
    <row r="259" spans="1:8" x14ac:dyDescent="0.2">
      <c r="A259" s="5">
        <v>30813</v>
      </c>
      <c r="B259" s="12" t="str">
        <f>VLOOKUP(VALUE(LEFT(A259,2)),tb_shopType[[prefix]:[type]],2,0)</f>
        <v>遗物掉落</v>
      </c>
      <c r="C259" s="23" t="str">
        <f>VLOOKUP(VALUE(MID(A259,LEN(A259)-2,1)),table_world[[id]:[name]],2,0)</f>
        <v>大湖</v>
      </c>
      <c r="D259" s="23">
        <v>13</v>
      </c>
      <c r="E259" s="12" t="s">
        <v>13</v>
      </c>
      <c r="F259" s="40" t="s">
        <v>331</v>
      </c>
      <c r="G259" s="40" t="s">
        <v>276</v>
      </c>
      <c r="H259" s="25" t="str" cm="1">
        <f t="array" aca="1" ref="H259" ca="1">_xlfn.LET(_xlpm._tb,_xlfn.XLOOKUP($B259,tb_shopType[type],tb_shopType[shop_table_name]),
_xlpm._col,MATCH($C259&amp;"-"&amp;TEXT(D259,"00"),INDIRECT(_xlpm._tb&amp;"[#标题]"),0),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292;300012=274;300013=234;300014=125;300021=274;300022=234;300023=125;300031=292;300032=274;300033=234;300034=125;300041=292;300042=274;300043=234;300044=125;300071=292;300072=274;300073=234;300074=125;300081=292;300082=274;300083=234;300084=125;301011=292;301012=274;301013=234;301014=125;301031=292;301032=274;301033=234;301034=125;301041=292;301042=274;301043=234;301044=125;301051=292;301052=274;301053=234;301054=125;302011=292;302012=274;302013=234;302014=125;302031=292;302032=274;302033=234;302034=125;302041=292;302042=274;302043=234;302044=125;302231=234;302232=125;302233=20;302321=292;302322=274;302323=234;310203=292;310204=274;310205=234;310206=20;310207=20;310208=125;310217=20;310218=125;310219=125;310223=125;310224=20;310225=20;310407=274;310408=234;310409=125;310501=234;310502=125;310503=20;310504=234;310505=125;310506=20;310507=234</v>
      </c>
    </row>
    <row r="260" spans="1:8" x14ac:dyDescent="0.2">
      <c r="A260" s="5">
        <v>30814</v>
      </c>
      <c r="B260" s="12" t="str">
        <f>VLOOKUP(VALUE(LEFT(A260,2)),tb_shopType[[prefix]:[type]],2,0)</f>
        <v>遗物掉落</v>
      </c>
      <c r="C260" s="23" t="str">
        <f>VLOOKUP(VALUE(MID(A260,LEN(A260)-2,1)),table_world[[id]:[name]],2,0)</f>
        <v>大湖</v>
      </c>
      <c r="D260" s="23">
        <v>14</v>
      </c>
      <c r="E260" s="12" t="s">
        <v>13</v>
      </c>
      <c r="F260" s="40" t="s">
        <v>331</v>
      </c>
      <c r="G260" s="40" t="s">
        <v>276</v>
      </c>
      <c r="H260" s="25" t="str" cm="1">
        <f t="array" aca="1" ref="H260" ca="1">_xlfn.LET(_xlpm._tb,_xlfn.XLOOKUP($B260,tb_shopType[type],tb_shopType[shop_table_name]),
_xlpm._col,MATCH($C260&amp;"-"&amp;TEXT(D260,"00"),INDIRECT(_xlpm._tb&amp;"[#标题]"),0),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250;300012=241;300013=221;300014=135;300021=241;300022=221;300023=135;300031=250;300032=241;300033=221;300034=135;300041=250;300042=241;300043=221;300044=135;300071=250;300072=241;300073=221;300074=135;300081=250;300082=241;300083=221;300084=135;301011=250;301012=241;301013=221;301014=135;301031=250;301032=241;301033=221;301034=135;301041=250;301042=241;301043=221;301044=135;301051=250;301052=241;301053=221;301054=135;302011=250;302012=241;302013=221;302014=135;302031=250;302032=241;302033=221;302034=135;302041=250;302042=241;302043=221;302044=135;302231=221;302232=135;302233=28;302321=250;302322=241;302323=221;310203=250;310204=241;310205=221;310206=28;310207=28;310208=135;310217=28;310218=135;310219=135;310223=135;310224=28;310225=28;310407=241;310408=221;310409=135;310501=221;310502=135;310503=28;310504=221;310505=135;310506=28;310507=221</v>
      </c>
    </row>
    <row r="261" spans="1:8" x14ac:dyDescent="0.2">
      <c r="A261" s="5">
        <v>30815</v>
      </c>
      <c r="B261" s="12" t="str">
        <f>VLOOKUP(VALUE(LEFT(A261,2)),tb_shopType[[prefix]:[type]],2,0)</f>
        <v>遗物掉落</v>
      </c>
      <c r="C261" s="23" t="str">
        <f>VLOOKUP(VALUE(MID(A261,LEN(A261)-2,1)),table_world[[id]:[name]],2,0)</f>
        <v>大湖</v>
      </c>
      <c r="D261" s="23">
        <v>15</v>
      </c>
      <c r="E261" s="12" t="s">
        <v>13</v>
      </c>
      <c r="F261" s="40" t="s">
        <v>331</v>
      </c>
      <c r="G261" s="40" t="s">
        <v>276</v>
      </c>
      <c r="H261" s="25" t="str" cm="1">
        <f t="array" aca="1" ref="H261" ca="1">_xlfn.LET(_xlpm._tb,_xlfn.XLOOKUP($B261,tb_shopType[type],tb_shopType[shop_table_name]),
_xlpm._col,MATCH($C261&amp;"-"&amp;TEXT(D261,"00"),INDIRECT(_xlpm._tb&amp;"[#标题]"),0),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212;300012=209;300013=203;300014=142;300021=209;300022=203;300023=142;300031=212;300032=209;300033=203;300034=142;300041=212;300042=209;300043=203;300044=142;300071=212;300072=209;300073=203;300074=142;300081=212;300082=209;300083=203;300084=142;301011=212;301012=209;301013=203;301014=142;301031=212;301032=209;301033=203;301034=142;301041=212;301042=209;301043=203;301044=142;301051=212;301052=209;301053=203;301054=142;302011=212;302012=209;302013=203;302014=142;302031=212;302032=209;302033=203;302034=142;302041=212;302042=209;302043=203;302044=142;302231=203;302232=142;302233=38;302321=212;302322=209;302323=203;310203=212;310204=209;310205=203;310206=38;310207=38;310208=142;310217=38;310218=142;310219=142;310223=142;310224=38;310225=38;310407=209;310408=203;310409=142;310501=203;310502=142;310503=38;310504=203;310505=142;310506=38;310507=203</v>
      </c>
    </row>
    <row r="262" spans="1:8" x14ac:dyDescent="0.2">
      <c r="A262" s="5">
        <v>30816</v>
      </c>
      <c r="B262" s="12" t="str">
        <f>VLOOKUP(VALUE(LEFT(A262,2)),tb_shopType[[prefix]:[type]],2,0)</f>
        <v>遗物掉落</v>
      </c>
      <c r="C262" s="23" t="str">
        <f>VLOOKUP(VALUE(MID(A262,LEN(A262)-2,1)),table_world[[id]:[name]],2,0)</f>
        <v>大湖</v>
      </c>
      <c r="D262" s="23">
        <v>16</v>
      </c>
      <c r="E262" s="12" t="s">
        <v>13</v>
      </c>
      <c r="F262" s="40" t="s">
        <v>331</v>
      </c>
      <c r="G262" s="40" t="s">
        <v>276</v>
      </c>
      <c r="H262" s="25" t="str" cm="1">
        <f t="array" aca="1" ref="H262" ca="1">_xlfn.LET(_xlpm._tb,_xlfn.XLOOKUP($B262,tb_shopType[type],tb_shopType[shop_table_name]),
_xlpm._col,MATCH($C262&amp;"-"&amp;TEXT(D262,"00"),INDIRECT(_xlpm._tb&amp;"[#标题]"),0),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177;300012=178;300013=183;300014=144;300021=178;300022=183;300023=144;300031=177;300032=178;300033=183;300034=144;300041=177;300042=178;300043=183;300044=144;300071=177;300072=178;300073=183;300074=144;300081=177;300082=178;300083=183;300084=144;301011=177;301012=178;301013=183;301014=144;301031=177;301032=178;301033=183;301034=144;301041=177;301042=178;301043=183;301044=144;301051=177;301052=178;301053=183;301054=144;302011=177;302012=178;302013=183;302014=144;302031=177;302032=178;302033=183;302034=144;302041=177;302042=178;302043=183;302044=144;302231=183;302232=144;302233=48;302321=177;302322=178;302323=183;310203=177;310204=178;310205=183;310206=48;310207=48;310208=144;310217=48;310218=144;310219=144;310223=144;310224=48;310225=48;310407=178;310408=183;310409=144;310501=183;310502=144;310503=48;310504=183;310505=144;310506=48;310507=183</v>
      </c>
    </row>
    <row r="263" spans="1:8" x14ac:dyDescent="0.2">
      <c r="A263" s="5">
        <v>30817</v>
      </c>
      <c r="B263" s="12" t="str">
        <f>VLOOKUP(VALUE(LEFT(A263,2)),tb_shopType[[prefix]:[type]],2,0)</f>
        <v>遗物掉落</v>
      </c>
      <c r="C263" s="23" t="str">
        <f>VLOOKUP(VALUE(MID(A263,LEN(A263)-2,1)),table_world[[id]:[name]],2,0)</f>
        <v>大湖</v>
      </c>
      <c r="D263" s="23">
        <v>17</v>
      </c>
      <c r="E263" s="12" t="s">
        <v>13</v>
      </c>
      <c r="F263" s="40" t="s">
        <v>331</v>
      </c>
      <c r="G263" s="40" t="s">
        <v>276</v>
      </c>
      <c r="H263" s="25" t="str" cm="1">
        <f t="array" aca="1" ref="H263" ca="1">_xlfn.LET(_xlpm._tb,_xlfn.XLOOKUP($B263,tb_shopType[type],tb_shopType[shop_table_name]),
_xlpm._col,MATCH($C263&amp;"-"&amp;TEXT(D263,"00"),INDIRECT(_xlpm._tb&amp;"[#标题]"),0),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146;300012=148;300013=160;300014=142;300021=148;300022=160;300023=142;300031=146;300032=148;300033=160;300034=142;300041=146;300042=148;300043=160;300044=142;300071=146;300072=148;300073=160;300074=142;300081=146;300082=148;300083=160;300084=142;301011=146;301012=148;301013=160;301014=142;301031=146;301032=148;301033=160;301034=142;301041=146;301042=148;301043=160;301044=142;301051=146;301052=148;301053=160;301054=142;302011=146;302012=148;302013=160;302014=142;302031=146;302032=148;302033=160;302034=142;302041=146;302042=148;302043=160;302044=142;302231=160;302232=142;302233=59;302321=146;302322=148;302323=160;310203=146;310204=148;310205=160;310206=59;310207=59;310208=142;310217=59;310218=142;310219=142;310223=142;310224=59;310225=59;310407=148;310408=160;310409=142;310501=160;310502=142;310503=59;310504=160;310505=142;310506=59;310507=160</v>
      </c>
    </row>
    <row r="264" spans="1:8" x14ac:dyDescent="0.2">
      <c r="A264" s="5">
        <v>30818</v>
      </c>
      <c r="B264" s="12" t="str">
        <f>VLOOKUP(VALUE(LEFT(A264,2)),tb_shopType[[prefix]:[type]],2,0)</f>
        <v>遗物掉落</v>
      </c>
      <c r="C264" s="23" t="str">
        <f>VLOOKUP(VALUE(MID(A264,LEN(A264)-2,1)),table_world[[id]:[name]],2,0)</f>
        <v>大湖</v>
      </c>
      <c r="D264" s="23">
        <v>18</v>
      </c>
      <c r="E264" s="12" t="s">
        <v>13</v>
      </c>
      <c r="F264" s="40" t="s">
        <v>331</v>
      </c>
      <c r="G264" s="40" t="s">
        <v>276</v>
      </c>
      <c r="H264" s="25" t="str" cm="1">
        <f t="array" aca="1" ref="H264" ca="1">_xlfn.LET(_xlpm._tb,_xlfn.XLOOKUP($B264,tb_shopType[type],tb_shopType[shop_table_name]),
_xlpm._col,MATCH($C264&amp;"-"&amp;TEXT(D264,"00"),INDIRECT(_xlpm._tb&amp;"[#标题]"),0),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119;300012=122;300013=137;300014=135;300021=122;300022=137;300023=135;300031=119;300032=122;300033=137;300034=135;300041=119;300042=122;300043=137;300044=135;300071=119;300072=122;300073=137;300074=135;300081=119;300082=122;300083=137;300084=135;301011=119;301012=122;301013=137;301014=135;301031=119;301032=122;301033=137;301034=135;301041=119;301042=122;301043=137;301044=135;301051=119;301052=122;301053=137;301054=135;302011=119;302012=122;302013=137;302014=135;302031=119;302032=122;302033=137;302034=135;302041=119;302042=122;302043=137;302044=135;302231=137;302232=135;302233=69;302321=119;302322=122;302323=137;310203=119;310204=122;310205=137;310206=69;310207=69;310208=135;310217=69;310218=135;310219=135;310223=135;310224=69;310225=69;310407=122;310408=137;310409=135;310501=137;310502=135;310503=69;310504=137;310505=135;310506=69;310507=137</v>
      </c>
    </row>
    <row r="265" spans="1:8" x14ac:dyDescent="0.2">
      <c r="A265" s="5">
        <v>30819</v>
      </c>
      <c r="B265" s="12" t="str">
        <f>VLOOKUP(VALUE(LEFT(A265,2)),tb_shopType[[prefix]:[type]],2,0)</f>
        <v>遗物掉落</v>
      </c>
      <c r="C265" s="23" t="str">
        <f>VLOOKUP(VALUE(MID(A265,LEN(A265)-2,1)),table_world[[id]:[name]],2,0)</f>
        <v>大湖</v>
      </c>
      <c r="D265" s="23">
        <v>19</v>
      </c>
      <c r="E265" s="12" t="s">
        <v>13</v>
      </c>
      <c r="F265" s="40" t="s">
        <v>331</v>
      </c>
      <c r="G265" s="40" t="s">
        <v>276</v>
      </c>
      <c r="H265" s="25" t="str" cm="1">
        <f t="array" aca="1" ref="H265" ca="1">_xlfn.LET(_xlpm._tb,_xlfn.XLOOKUP($B265,tb_shopType[type],tb_shopType[shop_table_name]),
_xlpm._col,MATCH($C265&amp;"-"&amp;TEXT(D265,"00"),INDIRECT(_xlpm._tb&amp;"[#标题]"),0),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96;300012=98;300013=115;300014=125;300021=98;300022=115;300023=125;300031=96;300032=98;300033=115;300034=125;300041=96;300042=98;300043=115;300044=125;300071=96;300072=98;300073=115;300074=125;300081=96;300082=98;300083=115;300084=125;301011=96;301012=98;301013=115;301014=125;301031=96;301032=98;301033=115;301034=125;301041=96;301042=98;301043=115;301044=125;301051=96;301052=98;301053=115;301054=125;302011=96;302012=98;302013=115;302014=125;302031=96;302032=98;302033=115;302034=125;302041=96;302042=98;302043=115;302044=125;302231=115;302232=125;302233=78;302321=96;302322=98;302323=115;310203=96;310204=98;310205=115;310206=78;310207=78;310208=125;310217=78;310218=125;310219=125;310223=125;310224=78;310225=78;310407=98;310408=115;310409=125;310501=115;310502=125;310503=78;310504=115;310505=125;310506=78;310507=115</v>
      </c>
    </row>
    <row r="266" spans="1:8" x14ac:dyDescent="0.2">
      <c r="A266" s="5">
        <v>30820</v>
      </c>
      <c r="B266" s="12" t="str">
        <f>VLOOKUP(VALUE(LEFT(A266,2)),tb_shopType[[prefix]:[type]],2,0)</f>
        <v>遗物掉落</v>
      </c>
      <c r="C266" s="23" t="str">
        <f>VLOOKUP(VALUE(MID(A266,LEN(A266)-2,1)),table_world[[id]:[name]],2,0)</f>
        <v>大湖</v>
      </c>
      <c r="D266" s="23">
        <v>20</v>
      </c>
      <c r="E266" s="12" t="s">
        <v>13</v>
      </c>
      <c r="F266" s="40" t="s">
        <v>331</v>
      </c>
      <c r="G266" s="40" t="s">
        <v>276</v>
      </c>
      <c r="H266" s="25" t="str" cm="1">
        <f t="array" aca="1" ref="H266" ca="1">_xlfn.LET(_xlpm._tb,_xlfn.XLOOKUP($B266,tb_shopType[type],tb_shopType[shop_table_name]),
_xlpm._col,MATCH($C266&amp;"-"&amp;TEXT(D266,"00"),INDIRECT(_xlpm._tb&amp;"[#标题]"),0),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76;300012=78;300013=94;300014=111;300021=78;300022=94;300023=111;300031=76;300032=78;300033=94;300034=111;300041=76;300042=78;300043=94;300044=111;300071=76;300072=78;300073=94;300074=111;300081=76;300082=78;300083=94;300084=111;301011=76;301012=78;301013=94;301014=111;301031=76;301032=78;301033=94;301034=111;301041=76;301042=78;301043=94;301044=111;301051=76;301052=78;301053=94;301054=111;302011=76;302012=78;302013=94;302014=111;302031=76;302032=78;302033=94;302034=111;302041=76;302042=78;302043=94;302044=111;302231=94;302232=111;302233=83;302321=76;302322=78;302323=94;310203=76;310204=78;310205=94;310206=83;310207=83;310208=111;310217=83;310218=111;310219=111;310223=111;310224=83;310225=83;310407=78;310408=94;310409=111;310501=94;310502=111;310503=83;310504=94;310505=111;310506=83;310507=94</v>
      </c>
    </row>
    <row r="272" spans="1:8" x14ac:dyDescent="0.2">
      <c r="A272" s="5">
        <v>40101</v>
      </c>
      <c r="B272" s="12" t="str">
        <f>VLOOKUP(VALUE(LEFT(A272,2)),tb_shopType[[prefix]:[type]],2,0)</f>
        <v>遗物商人</v>
      </c>
      <c r="C272" s="23" t="str">
        <f>VLOOKUP(VALUE(MID(A272,LEN(A272)-2,1)),table_world[[id]:[name]],2,0)</f>
        <v>地宫</v>
      </c>
      <c r="D272" s="23">
        <v>1</v>
      </c>
      <c r="E272" s="12" t="s">
        <v>80</v>
      </c>
      <c r="F272" s="12" t="s">
        <v>254</v>
      </c>
      <c r="G272" s="12" t="s">
        <v>277</v>
      </c>
      <c r="H272" s="25" t="str" cm="1">
        <f t="array" aca="1" ref="H272" ca="1">_xlfn.LET(_xlpm._tb,_xlfn.XLOOKUP($B272,tb_shopType[type],tb_shopType[shop_table_name]),
_xlpm._col,MATCH($C272&amp;"-"&amp;TEXT(D272,"00"),INDIRECT(_xlpm._tb&amp;"[#标题]"),0),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709;300012=337;300013=75;300014=4;300021=337;300022=75;300023=4;300031=709;300032=337;300033=75;300034=4;300041=709;300042=337;300043=75;300044=4;300071=709;300072=337;300073=75;300074=4;300081=709;300082=337;300083=75;300084=4;301011=709;301012=337;301013=75;301014=4;301031=709;301032=337;301033=75;301034=4;301041=709;301042=337;301043=75;301044=4;301051=709;301052=337;301053=75;301054=4;302011=709;302012=337;302013=75;302014=4;302031=709;302032=337;302033=75;302034=4;302041=709;302042=337;302043=75;302044=4;302231=75;302232=4;302321=709;302322=337;302323=75;310203=709;310204=337;310205=75;310208=4;310218=4;310219=4;310223=4;310407=337;310408=75;310409=4;310501=75;310502=4;310504=75;310505=4;310507=75</v>
      </c>
    </row>
    <row r="273" spans="1:8" x14ac:dyDescent="0.2">
      <c r="A273" s="5">
        <v>40102</v>
      </c>
      <c r="B273" s="12" t="str">
        <f>VLOOKUP(VALUE(LEFT(A273,2)),tb_shopType[[prefix]:[type]],2,0)</f>
        <v>遗物商人</v>
      </c>
      <c r="C273" s="23" t="str">
        <f>VLOOKUP(VALUE(MID(A273,LEN(A273)-2,1)),table_world[[id]:[name]],2,0)</f>
        <v>地宫</v>
      </c>
      <c r="D273" s="23">
        <v>2</v>
      </c>
      <c r="E273" s="12" t="s">
        <v>80</v>
      </c>
      <c r="F273" s="12" t="s">
        <v>255</v>
      </c>
      <c r="G273" s="12" t="s">
        <v>277</v>
      </c>
      <c r="H273" s="25" t="str" cm="1">
        <f t="array" aca="1" ref="H273" ca="1">_xlfn.LET(_xlpm._tb,_xlfn.XLOOKUP($B273,tb_shopType[type],tb_shopType[shop_table_name]),
_xlpm._col,MATCH($C273&amp;"-"&amp;TEXT(D273,"00"),INDIRECT(_xlpm._tb&amp;"[#标题]"),0),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705;300012=364;300013=94;300014=6;300021=364;300022=94;300023=6;300031=705;300032=364;300033=94;300034=6;300041=705;300042=364;300043=94;300044=6;300071=705;300072=364;300073=94;300074=6;300081=705;300082=364;300083=94;300084=6;301011=705;301012=364;301013=94;301014=6;301031=705;301032=364;301033=94;301034=6;301041=705;301042=364;301043=94;301044=6;301051=705;301052=364;301053=94;301054=6;302011=705;302012=364;302013=94;302014=6;302031=705;302032=364;302033=94;302034=6;302041=705;302042=364;302043=94;302044=6;302231=94;302232=6;302321=705;302322=364;302323=94;310203=705;310204=364;310205=94;310208=6;310218=6;310219=6;310223=6;310407=364;310408=94;310409=6;310501=94;310502=6;310504=94;310505=6;310507=94</v>
      </c>
    </row>
    <row r="274" spans="1:8" x14ac:dyDescent="0.2">
      <c r="A274" s="5">
        <v>40103</v>
      </c>
      <c r="B274" s="12" t="str">
        <f>VLOOKUP(VALUE(LEFT(A274,2)),tb_shopType[[prefix]:[type]],2,0)</f>
        <v>遗物商人</v>
      </c>
      <c r="C274" s="23" t="str">
        <f>VLOOKUP(VALUE(MID(A274,LEN(A274)-2,1)),table_world[[id]:[name]],2,0)</f>
        <v>地宫</v>
      </c>
      <c r="D274" s="23">
        <v>3</v>
      </c>
      <c r="E274" s="12" t="s">
        <v>13</v>
      </c>
      <c r="F274" s="12" t="s">
        <v>256</v>
      </c>
      <c r="G274" s="12" t="s">
        <v>277</v>
      </c>
      <c r="H274" s="25" t="str" cm="1">
        <f t="array" aca="1" ref="H274" ca="1">_xlfn.LET(_xlpm._tb,_xlfn.XLOOKUP($B274,tb_shopType[type],tb_shopType[shop_table_name]),
_xlpm._col,MATCH($C274&amp;"-"&amp;TEXT(D274,"00"),INDIRECT(_xlpm._tb&amp;"[#标题]"),0),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692;300012=386;300013=115;300014=9;300021=386;300022=115;300023=9;300031=692;300032=386;300033=115;300034=9;300041=692;300042=386;300043=115;300044=9;300071=692;300072=386;300073=115;300074=9;300081=692;300082=386;300083=115;300084=9;301011=692;301012=386;301013=115;301014=9;301031=692;301032=386;301033=115;301034=9;301041=692;301042=386;301043=115;301044=9;301051=692;301052=386;301053=115;301054=9;302011=692;302012=386;302013=115;302014=9;302031=692;302032=386;302033=115;302034=9;302041=692;302042=386;302043=115;302044=9;302231=115;302232=9;302321=692;302322=386;302323=115;310203=692;310204=386;310205=115;310208=9;310218=9;310219=9;310223=9;310407=386;310408=115;310409=9;310501=115;310502=9;310504=115;310505=9;310507=115</v>
      </c>
    </row>
    <row r="275" spans="1:8" x14ac:dyDescent="0.2">
      <c r="A275" s="5">
        <v>40104</v>
      </c>
      <c r="B275" s="12" t="str">
        <f>VLOOKUP(VALUE(LEFT(A275,2)),tb_shopType[[prefix]:[type]],2,0)</f>
        <v>遗物商人</v>
      </c>
      <c r="C275" s="23" t="str">
        <f>VLOOKUP(VALUE(MID(A275,LEN(A275)-2,1)),table_world[[id]:[name]],2,0)</f>
        <v>地宫</v>
      </c>
      <c r="D275" s="23">
        <v>4</v>
      </c>
      <c r="E275" s="12" t="s">
        <v>13</v>
      </c>
      <c r="F275" s="12" t="s">
        <v>257</v>
      </c>
      <c r="G275" s="12" t="s">
        <v>277</v>
      </c>
      <c r="H275" s="25" t="str" cm="1">
        <f t="array" aca="1" ref="H275" ca="1">_xlfn.LET(_xlpm._tb,_xlfn.XLOOKUP($B275,tb_shopType[type],tb_shopType[shop_table_name]),
_xlpm._col,MATCH($C275&amp;"-"&amp;TEXT(D275,"00"),INDIRECT(_xlpm._tb&amp;"[#标题]"),0),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671;300012=403;300013=137;300014=14;300021=403;300022=137;300023=14;300031=671;300032=403;300033=137;300034=14;300041=671;300042=403;300043=137;300044=14;300071=671;300072=403;300073=137;300074=14;300081=671;300082=403;300083=137;300084=14;301011=671;301012=403;301013=137;301014=14;301031=671;301032=403;301033=137;301034=14;301041=671;301042=403;301043=137;301044=14;301051=671;301052=403;301053=137;301054=14;302011=671;302012=403;302013=137;302014=14;302031=671;302032=403;302033=137;302034=14;302041=671;302042=403;302043=137;302044=14;302231=137;302232=14;302321=671;302322=403;302323=137;310203=671;310204=403;310205=137;310208=14;310218=14;310219=14;310223=14;310407=403;310408=137;310409=14;310501=137;310502=14;310504=137;310505=14;310507=137</v>
      </c>
    </row>
    <row r="276" spans="1:8" x14ac:dyDescent="0.2">
      <c r="A276" s="5">
        <v>40105</v>
      </c>
      <c r="B276" s="12" t="str">
        <f>VLOOKUP(VALUE(LEFT(A276,2)),tb_shopType[[prefix]:[type]],2,0)</f>
        <v>遗物商人</v>
      </c>
      <c r="C276" s="23" t="str">
        <f>VLOOKUP(VALUE(MID(A276,LEN(A276)-2,1)),table_world[[id]:[name]],2,0)</f>
        <v>地宫</v>
      </c>
      <c r="D276" s="23">
        <v>5</v>
      </c>
      <c r="E276" s="12" t="s">
        <v>13</v>
      </c>
      <c r="F276" s="12" t="s">
        <v>258</v>
      </c>
      <c r="G276" s="12" t="s">
        <v>277</v>
      </c>
      <c r="H276" s="25" t="str" cm="1">
        <f t="array" aca="1" ref="H276" ca="1">_xlfn.LET(_xlpm._tb,_xlfn.XLOOKUP($B276,tb_shopType[type],tb_shopType[shop_table_name]),
_xlpm._col,MATCH($C276&amp;"-"&amp;TEXT(D276,"00"),INDIRECT(_xlpm._tb&amp;"[#标题]"),0),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643;300012=414;300013=160;300014=20;300021=414;300022=160;300023=20;300031=643;300032=414;300033=160;300034=20;300041=643;300042=414;300043=160;300044=20;300071=643;300072=414;300073=160;300074=20;300081=643;300082=414;300083=160;300084=20;301011=643;301012=414;301013=160;301014=20;301031=643;301032=414;301033=160;301034=20;301041=643;301042=414;301043=160;301044=20;301051=643;301052=414;301053=160;301054=20;302011=643;302012=414;302013=160;302014=20;302031=643;302032=414;302033=160;302034=20;302041=643;302042=414;302043=160;302044=20;302231=160;302232=20;302321=643;302322=414;302323=160;310203=643;310204=414;310205=160;310208=20;310218=20;310219=20;310223=20;310407=414;310408=160;310409=20;310501=160;310502=20;310504=160;310505=20;310507=160</v>
      </c>
    </row>
    <row r="277" spans="1:8" x14ac:dyDescent="0.2">
      <c r="A277" s="5">
        <v>40106</v>
      </c>
      <c r="B277" s="12" t="str">
        <f>VLOOKUP(VALUE(LEFT(A277,2)),tb_shopType[[prefix]:[type]],2,0)</f>
        <v>遗物商人</v>
      </c>
      <c r="C277" s="23" t="str">
        <f>VLOOKUP(VALUE(MID(A277,LEN(A277)-2,1)),table_world[[id]:[name]],2,0)</f>
        <v>地宫</v>
      </c>
      <c r="D277" s="23">
        <v>6</v>
      </c>
      <c r="E277" s="12" t="s">
        <v>13</v>
      </c>
      <c r="F277" s="12" t="s">
        <v>259</v>
      </c>
      <c r="G277" s="12" t="s">
        <v>277</v>
      </c>
      <c r="H277" s="25" t="str" cm="1">
        <f t="array" aca="1" ref="H277" ca="1">_xlfn.LET(_xlpm._tb,_xlfn.XLOOKUP($B277,tb_shopType[type],tb_shopType[shop_table_name]),
_xlpm._col,MATCH($C277&amp;"-"&amp;TEXT(D277,"00"),INDIRECT(_xlpm._tb&amp;"[#标题]"),0),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608;300012=417;300013=183;300014=28;300021=417;300022=183;300023=28;300031=608;300032=417;300033=183;300034=28;300041=608;300042=417;300043=183;300044=28;300071=608;300072=417;300073=183;300074=28;300081=608;300082=417;300083=183;300084=28;301011=608;301012=417;301013=183;301014=28;301031=608;301032=417;301033=183;301034=28;301041=608;301042=417;301043=183;301044=28;301051=608;301052=417;301053=183;301054=28;302011=608;302012=417;302013=183;302014=28;302031=608;302032=417;302033=183;302034=28;302041=608;302042=417;302043=183;302044=28;302231=183;302232=28;302233=1;302321=608;302322=417;302323=183;310203=608;310204=417;310205=183;310206=1;310207=1;310208=28;310217=1;310218=28;310219=28;310223=28;310224=1;310225=1;310407=417;310408=183;310409=28;310501=183;310502=28;310503=1;310504=183;310505=28;310506=1;310507=183</v>
      </c>
    </row>
    <row r="278" spans="1:8" x14ac:dyDescent="0.2">
      <c r="A278" s="5">
        <v>40107</v>
      </c>
      <c r="B278" s="12" t="str">
        <f>VLOOKUP(VALUE(LEFT(A278,2)),tb_shopType[[prefix]:[type]],2,0)</f>
        <v>遗物商人</v>
      </c>
      <c r="C278" s="23" t="str">
        <f>VLOOKUP(VALUE(MID(A278,LEN(A278)-2,1)),table_world[[id]:[name]],2,0)</f>
        <v>地宫</v>
      </c>
      <c r="D278" s="23">
        <v>7</v>
      </c>
      <c r="E278" s="12" t="s">
        <v>13</v>
      </c>
      <c r="F278" s="12" t="s">
        <v>260</v>
      </c>
      <c r="G278" s="12" t="s">
        <v>277</v>
      </c>
      <c r="H278" s="25" t="str" cm="1">
        <f t="array" aca="1" ref="H278" ca="1">_xlfn.LET(_xlpm._tb,_xlfn.XLOOKUP($B278,tb_shopType[type],tb_shopType[shop_table_name]),
_xlpm._col,MATCH($C278&amp;"-"&amp;TEXT(D278,"00"),INDIRECT(_xlpm._tb&amp;"[#标题]"),0),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568;300012=414;300013=203;300014=38;300021=414;300022=203;300023=38;300031=568;300032=414;300033=203;300034=38;300041=568;300042=414;300043=203;300044=38;300071=568;300072=414;300073=203;300074=38;300081=568;300082=414;300083=203;300084=38;301011=568;301012=414;301013=203;301014=38;301031=568;301032=414;301033=203;301034=38;301041=568;301042=414;301043=203;301044=38;301051=568;301052=414;301053=203;301054=38;302011=568;302012=414;302013=203;302014=38;302031=568;302032=414;302033=203;302034=38;302041=568;302042=414;302043=203;302044=38;302231=203;302232=38;302233=1;302321=568;302322=414;302323=203;310203=568;310204=414;310205=203;310206=1;310207=1;310208=38;310217=1;310218=38;310219=38;310223=38;310224=1;310225=1;310407=414;310408=203;310409=38;310501=203;310502=38;310503=1;310504=203;310505=38;310506=1;310507=203</v>
      </c>
    </row>
    <row r="279" spans="1:8" x14ac:dyDescent="0.2">
      <c r="A279" s="5">
        <v>40108</v>
      </c>
      <c r="B279" s="12" t="str">
        <f>VLOOKUP(VALUE(LEFT(A279,2)),tb_shopType[[prefix]:[type]],2,0)</f>
        <v>遗物商人</v>
      </c>
      <c r="C279" s="23" t="str">
        <f>VLOOKUP(VALUE(MID(A279,LEN(A279)-2,1)),table_world[[id]:[name]],2,0)</f>
        <v>地宫</v>
      </c>
      <c r="D279" s="23">
        <v>8</v>
      </c>
      <c r="E279" s="12" t="s">
        <v>13</v>
      </c>
      <c r="F279" s="12" t="s">
        <v>261</v>
      </c>
      <c r="G279" s="12" t="s">
        <v>277</v>
      </c>
      <c r="H279" s="25" t="str" cm="1">
        <f t="array" aca="1" ref="H279" ca="1">_xlfn.LET(_xlpm._tb,_xlfn.XLOOKUP($B279,tb_shopType[type],tb_shopType[shop_table_name]),
_xlpm._col,MATCH($C279&amp;"-"&amp;TEXT(D279,"00"),INDIRECT(_xlpm._tb&amp;"[#标题]"),0),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524;300012=403;300013=221;300014=51;300021=403;300022=221;300023=51;300031=524;300032=403;300033=221;300034=51;300041=524;300042=403;300043=221;300044=51;300071=524;300072=403;300073=221;300074=51;300081=524;300082=403;300083=221;300084=51;301011=524;301012=403;301013=221;301014=51;301031=524;301032=403;301033=221;301034=51;301041=524;301042=403;301043=221;301044=51;301051=524;301052=403;301053=221;301054=51;302011=524;302012=403;302013=221;302014=51;302031=524;302032=403;302033=221;302034=51;302041=524;302042=403;302043=221;302044=51;302231=221;302232=51;302233=2;302321=524;302322=403;302323=221;310203=524;310204=403;310205=221;310206=2;310207=2;310208=51;310217=2;310218=51;310219=51;310223=51;310224=2;310225=2;310407=403;310408=221;310409=51;310501=221;310502=51;310503=2;310504=221;310505=51;310506=2;310507=221</v>
      </c>
    </row>
    <row r="280" spans="1:8" x14ac:dyDescent="0.2">
      <c r="A280" s="5">
        <v>40109</v>
      </c>
      <c r="B280" s="12" t="str">
        <f>VLOOKUP(VALUE(LEFT(A280,2)),tb_shopType[[prefix]:[type]],2,0)</f>
        <v>遗物商人</v>
      </c>
      <c r="C280" s="23" t="str">
        <f>VLOOKUP(VALUE(MID(A280,LEN(A280)-2,1)),table_world[[id]:[name]],2,0)</f>
        <v>地宫</v>
      </c>
      <c r="D280" s="23">
        <v>9</v>
      </c>
      <c r="E280" s="12" t="s">
        <v>13</v>
      </c>
      <c r="F280" s="12" t="s">
        <v>262</v>
      </c>
      <c r="G280" s="12" t="s">
        <v>277</v>
      </c>
      <c r="H280" s="25" t="str" cm="1">
        <f t="array" aca="1" ref="H280" ca="1">_xlfn.LET(_xlpm._tb,_xlfn.XLOOKUP($B280,tb_shopType[type],tb_shopType[shop_table_name]),
_xlpm._col,MATCH($C280&amp;"-"&amp;TEXT(D280,"00"),INDIRECT(_xlpm._tb&amp;"[#标题]"),0),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478;300012=386;300013=234;300014=65;300021=386;300022=234;300023=65;300031=478;300032=386;300033=234;300034=65;300041=478;300042=386;300043=234;300044=65;300071=478;300072=386;300073=234;300074=65;300081=478;300082=386;300083=234;300084=65;301011=478;301012=386;301013=234;301014=65;301031=478;301032=386;301033=234;301034=65;301041=478;301042=386;301043=234;301044=65;301051=478;301052=386;301053=234;301054=65;302011=478;302012=386;302013=234;302014=65;302031=478;302032=386;302033=234;302034=65;302041=478;302042=386;302043=234;302044=65;302231=234;302232=65;302233=3;302321=478;302322=386;302323=234;310203=478;310204=386;310205=234;310206=3;310207=3;310208=65;310217=3;310218=65;310219=65;310223=65;310224=3;310225=3;310407=386;310408=234;310409=65;310501=234;310502=65;310503=3;310504=234;310505=65;310506=3;310507=234</v>
      </c>
    </row>
    <row r="281" spans="1:8" x14ac:dyDescent="0.2">
      <c r="A281" s="5">
        <v>40110</v>
      </c>
      <c r="B281" s="12" t="str">
        <f>VLOOKUP(VALUE(LEFT(A281,2)),tb_shopType[[prefix]:[type]],2,0)</f>
        <v>遗物商人</v>
      </c>
      <c r="C281" s="23" t="str">
        <f>VLOOKUP(VALUE(MID(A281,LEN(A281)-2,1)),table_world[[id]:[name]],2,0)</f>
        <v>地宫</v>
      </c>
      <c r="D281" s="23">
        <v>10</v>
      </c>
      <c r="E281" s="12" t="s">
        <v>13</v>
      </c>
      <c r="F281" s="12" t="s">
        <v>263</v>
      </c>
      <c r="G281" s="12" t="s">
        <v>277</v>
      </c>
      <c r="H281" s="25" t="str" cm="1">
        <f t="array" aca="1" ref="H281" ca="1">_xlfn.LET(_xlpm._tb,_xlfn.XLOOKUP($B281,tb_shopType[type],tb_shopType[shop_table_name]),
_xlpm._col,MATCH($C281&amp;"-"&amp;TEXT(D281,"00"),INDIRECT(_xlpm._tb&amp;"[#标题]"),0),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430;300012=364;300013=243;300014=80;300021=364;300022=243;300023=80;300031=430;300032=364;300033=243;300034=80;300041=430;300042=364;300043=243;300044=80;300071=430;300072=364;300073=243;300074=80;300081=430;300082=364;300083=243;300084=80;301011=430;301012=364;301013=243;301014=80;301031=430;301032=364;301033=243;301034=80;301041=430;301042=364;301043=243;301044=80;301051=430;301052=364;301053=243;301054=80;302011=430;302012=364;302013=243;302014=80;302031=430;302032=364;302033=243;302034=80;302041=430;302042=364;302043=243;302044=80;302231=243;302232=80;302233=5;302321=430;302322=364;302323=243;310203=430;310204=364;310205=243;310206=5;310207=5;310208=80;310217=5;310218=80;310219=80;310223=80;310224=5;310225=5;310407=364;310408=243;310409=80;310501=243;310502=80;310503=5;310504=243;310505=80;310506=5;310507=243</v>
      </c>
    </row>
    <row r="282" spans="1:8" x14ac:dyDescent="0.2">
      <c r="A282" s="5">
        <v>40111</v>
      </c>
      <c r="B282" s="12" t="str">
        <f>VLOOKUP(VALUE(LEFT(A282,2)),tb_shopType[[prefix]:[type]],2,0)</f>
        <v>遗物商人</v>
      </c>
      <c r="C282" s="23" t="str">
        <f>VLOOKUP(VALUE(MID(A282,LEN(A282)-2,1)),table_world[[id]:[name]],2,0)</f>
        <v>地宫</v>
      </c>
      <c r="D282" s="23">
        <v>11</v>
      </c>
      <c r="E282" s="12" t="s">
        <v>13</v>
      </c>
      <c r="F282" s="12" t="s">
        <v>264</v>
      </c>
      <c r="G282" s="12" t="s">
        <v>277</v>
      </c>
      <c r="H282" s="25" t="str" cm="1">
        <f t="array" aca="1" ref="H282" ca="1">_xlfn.LET(_xlpm._tb,_xlfn.XLOOKUP($B282,tb_shopType[type],tb_shopType[shop_table_name]),
_xlpm._col,MATCH($C282&amp;"-"&amp;TEXT(D282,"00"),INDIRECT(_xlpm._tb&amp;"[#标题]"),0),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383;300012=337;300013=245;300014=96;300021=337;300022=245;300023=96;300031=383;300032=337;300033=245;300034=96;300041=383;300042=337;300043=245;300044=96;300071=383;300072=337;300073=245;300074=96;300081=383;300082=337;300083=245;300084=96;301011=383;301012=337;301013=245;301014=96;301031=383;301032=337;301033=245;301034=96;301041=383;301042=337;301043=245;301044=96;301051=383;301052=337;301053=245;301054=96;302011=383;302012=337;302013=245;302014=96;302031=383;302032=337;302033=245;302034=96;302041=383;302042=337;302043=245;302044=96;302231=245;302232=96;302233=9;302321=383;302322=337;302323=245;310203=383;310204=337;310205=245;310206=9;310207=9;310208=96;310217=9;310218=96;310219=96;310223=96;310224=9;310225=9;310407=337;310408=245;310409=96;310501=245;310502=96;310503=9;310504=245;310505=96;310506=9;310507=245</v>
      </c>
    </row>
    <row r="283" spans="1:8" x14ac:dyDescent="0.2">
      <c r="A283" s="5">
        <v>40112</v>
      </c>
      <c r="B283" s="12" t="str">
        <f>VLOOKUP(VALUE(LEFT(A283,2)),tb_shopType[[prefix]:[type]],2,0)</f>
        <v>遗物商人</v>
      </c>
      <c r="C283" s="23" t="str">
        <f>VLOOKUP(VALUE(MID(A283,LEN(A283)-2,1)),table_world[[id]:[name]],2,0)</f>
        <v>地宫</v>
      </c>
      <c r="D283" s="23">
        <v>12</v>
      </c>
      <c r="E283" s="12" t="s">
        <v>13</v>
      </c>
      <c r="F283" s="12" t="s">
        <v>265</v>
      </c>
      <c r="G283" s="12" t="s">
        <v>277</v>
      </c>
      <c r="H283" s="25" t="str" cm="1">
        <f t="array" aca="1" ref="H283" ca="1">_xlfn.LET(_xlpm._tb,_xlfn.XLOOKUP($B283,tb_shopType[type],tb_shopType[shop_table_name]),
_xlpm._col,MATCH($C283&amp;"-"&amp;TEXT(D283,"00"),INDIRECT(_xlpm._tb&amp;"[#标题]"),0),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336;300012=307;300013=243;300014=111;300021=307;300022=243;300023=111;300031=336;300032=307;300033=243;300034=111;300041=336;300042=307;300043=243;300044=111;300071=336;300072=307;300073=243;300074=111;300081=336;300082=307;300083=243;300084=111;301011=336;301012=307;301013=243;301014=111;301031=336;301032=307;301033=243;301034=111;301041=336;301042=307;301043=243;301044=111;301051=336;301052=307;301053=243;301054=111;302011=336;302012=307;302013=243;302014=111;302031=336;302032=307;302033=243;302034=111;302041=336;302042=307;302043=243;302044=111;302231=243;302232=111;302233=14;302321=336;302322=307;302323=243;310203=336;310204=307;310205=243;310206=14;310207=14;310208=111;310217=14;310218=111;310219=111;310223=111;310224=14;310225=14;310407=307;310408=243;310409=111;310501=243;310502=111;310503=14;310504=243;310505=111;310506=14;310507=243</v>
      </c>
    </row>
    <row r="284" spans="1:8" x14ac:dyDescent="0.2">
      <c r="A284" s="5">
        <v>40113</v>
      </c>
      <c r="B284" s="12" t="str">
        <f>VLOOKUP(VALUE(LEFT(A284,2)),tb_shopType[[prefix]:[type]],2,0)</f>
        <v>遗物商人</v>
      </c>
      <c r="C284" s="23" t="str">
        <f>VLOOKUP(VALUE(MID(A284,LEN(A284)-2,1)),table_world[[id]:[name]],2,0)</f>
        <v>地宫</v>
      </c>
      <c r="D284" s="23">
        <v>13</v>
      </c>
      <c r="E284" s="12" t="s">
        <v>13</v>
      </c>
      <c r="F284" s="12" t="s">
        <v>266</v>
      </c>
      <c r="G284" s="12" t="s">
        <v>277</v>
      </c>
      <c r="H284" s="25" t="str" cm="1">
        <f t="array" aca="1" ref="H284" ca="1">_xlfn.LET(_xlpm._tb,_xlfn.XLOOKUP($B284,tb_shopType[type],tb_shopType[shop_table_name]),
_xlpm._col,MATCH($C284&amp;"-"&amp;TEXT(D284,"00"),INDIRECT(_xlpm._tb&amp;"[#标题]"),0),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292;300012=274;300013=234;300014=125;300021=274;300022=234;300023=125;300031=292;300032=274;300033=234;300034=125;300041=292;300042=274;300043=234;300044=125;300071=292;300072=274;300073=234;300074=125;300081=292;300082=274;300083=234;300084=125;301011=292;301012=274;301013=234;301014=125;301031=292;301032=274;301033=234;301034=125;301041=292;301042=274;301043=234;301044=125;301051=292;301052=274;301053=234;301054=125;302011=292;302012=274;302013=234;302014=125;302031=292;302032=274;302033=234;302034=125;302041=292;302042=274;302043=234;302044=125;302231=234;302232=125;302233=20;302321=292;302322=274;302323=234;310203=292;310204=274;310205=234;310206=20;310207=20;310208=125;310217=20;310218=125;310219=125;310223=125;310224=20;310225=20;310407=274;310408=234;310409=125;310501=234;310502=125;310503=20;310504=234;310505=125;310506=20;310507=234</v>
      </c>
    </row>
    <row r="285" spans="1:8" x14ac:dyDescent="0.2">
      <c r="A285" s="5">
        <v>40114</v>
      </c>
      <c r="B285" s="12" t="str">
        <f>VLOOKUP(VALUE(LEFT(A285,2)),tb_shopType[[prefix]:[type]],2,0)</f>
        <v>遗物商人</v>
      </c>
      <c r="C285" s="23" t="str">
        <f>VLOOKUP(VALUE(MID(A285,LEN(A285)-2,1)),table_world[[id]:[name]],2,0)</f>
        <v>地宫</v>
      </c>
      <c r="D285" s="23">
        <v>14</v>
      </c>
      <c r="E285" s="12" t="s">
        <v>13</v>
      </c>
      <c r="F285" s="12" t="s">
        <v>267</v>
      </c>
      <c r="G285" s="12" t="s">
        <v>277</v>
      </c>
      <c r="H285" s="25" t="str" cm="1">
        <f t="array" aca="1" ref="H285" ca="1">_xlfn.LET(_xlpm._tb,_xlfn.XLOOKUP($B285,tb_shopType[type],tb_shopType[shop_table_name]),
_xlpm._col,MATCH($C285&amp;"-"&amp;TEXT(D285,"00"),INDIRECT(_xlpm._tb&amp;"[#标题]"),0),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250;300012=241;300013=221;300014=135;300021=241;300022=221;300023=135;300031=250;300032=241;300033=221;300034=135;300041=250;300042=241;300043=221;300044=135;300071=250;300072=241;300073=221;300074=135;300081=250;300082=241;300083=221;300084=135;301011=250;301012=241;301013=221;301014=135;301031=250;301032=241;301033=221;301034=135;301041=250;301042=241;301043=221;301044=135;301051=250;301052=241;301053=221;301054=135;302011=250;302012=241;302013=221;302014=135;302031=250;302032=241;302033=221;302034=135;302041=250;302042=241;302043=221;302044=135;302231=221;302232=135;302233=28;302321=250;302322=241;302323=221;310203=250;310204=241;310205=221;310206=28;310207=28;310208=135;310217=28;310218=135;310219=135;310223=135;310224=28;310225=28;310407=241;310408=221;310409=135;310501=221;310502=135;310503=28;310504=221;310505=135;310506=28;310507=221</v>
      </c>
    </row>
    <row r="286" spans="1:8" x14ac:dyDescent="0.2">
      <c r="A286" s="5">
        <v>40115</v>
      </c>
      <c r="B286" s="12" t="str">
        <f>VLOOKUP(VALUE(LEFT(A286,2)),tb_shopType[[prefix]:[type]],2,0)</f>
        <v>遗物商人</v>
      </c>
      <c r="C286" s="23" t="str">
        <f>VLOOKUP(VALUE(MID(A286,LEN(A286)-2,1)),table_world[[id]:[name]],2,0)</f>
        <v>地宫</v>
      </c>
      <c r="D286" s="23">
        <v>15</v>
      </c>
      <c r="E286" s="12" t="s">
        <v>13</v>
      </c>
      <c r="F286" s="12" t="s">
        <v>268</v>
      </c>
      <c r="G286" s="12" t="s">
        <v>277</v>
      </c>
      <c r="H286" s="25" t="str" cm="1">
        <f t="array" aca="1" ref="H286" ca="1">_xlfn.LET(_xlpm._tb,_xlfn.XLOOKUP($B286,tb_shopType[type],tb_shopType[shop_table_name]),
_xlpm._col,MATCH($C286&amp;"-"&amp;TEXT(D286,"00"),INDIRECT(_xlpm._tb&amp;"[#标题]"),0),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212;300012=209;300013=203;300014=142;300021=209;300022=203;300023=142;300031=212;300032=209;300033=203;300034=142;300041=212;300042=209;300043=203;300044=142;300071=212;300072=209;300073=203;300074=142;300081=212;300082=209;300083=203;300084=142;301011=212;301012=209;301013=203;301014=142;301031=212;301032=209;301033=203;301034=142;301041=212;301042=209;301043=203;301044=142;301051=212;301052=209;301053=203;301054=142;302011=212;302012=209;302013=203;302014=142;302031=212;302032=209;302033=203;302034=142;302041=212;302042=209;302043=203;302044=142;302231=203;302232=142;302233=38;302321=212;302322=209;302323=203;310203=212;310204=209;310205=203;310206=38;310207=38;310208=142;310217=38;310218=142;310219=142;310223=142;310224=38;310225=38;310407=209;310408=203;310409=142;310501=203;310502=142;310503=38;310504=203;310505=142;310506=38;310507=203</v>
      </c>
    </row>
    <row r="287" spans="1:8" x14ac:dyDescent="0.2">
      <c r="A287" s="5">
        <v>40116</v>
      </c>
      <c r="B287" s="12" t="str">
        <f>VLOOKUP(VALUE(LEFT(A287,2)),tb_shopType[[prefix]:[type]],2,0)</f>
        <v>遗物商人</v>
      </c>
      <c r="C287" s="23" t="str">
        <f>VLOOKUP(VALUE(MID(A287,LEN(A287)-2,1)),table_world[[id]:[name]],2,0)</f>
        <v>地宫</v>
      </c>
      <c r="D287" s="23">
        <v>16</v>
      </c>
      <c r="E287" s="12" t="s">
        <v>13</v>
      </c>
      <c r="F287" s="12" t="s">
        <v>269</v>
      </c>
      <c r="G287" s="12" t="s">
        <v>277</v>
      </c>
      <c r="H287" s="25" t="str" cm="1">
        <f t="array" aca="1" ref="H287" ca="1">_xlfn.LET(_xlpm._tb,_xlfn.XLOOKUP($B287,tb_shopType[type],tb_shopType[shop_table_name]),
_xlpm._col,MATCH($C287&amp;"-"&amp;TEXT(D287,"00"),INDIRECT(_xlpm._tb&amp;"[#标题]"),0),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177;300012=178;300013=183;300014=144;300021=178;300022=183;300023=144;300031=177;300032=178;300033=183;300034=144;300041=177;300042=178;300043=183;300044=144;300071=177;300072=178;300073=183;300074=144;300081=177;300082=178;300083=183;300084=144;301011=177;301012=178;301013=183;301014=144;301031=177;301032=178;301033=183;301034=144;301041=177;301042=178;301043=183;301044=144;301051=177;301052=178;301053=183;301054=144;302011=177;302012=178;302013=183;302014=144;302031=177;302032=178;302033=183;302034=144;302041=177;302042=178;302043=183;302044=144;302231=183;302232=144;302233=48;302321=177;302322=178;302323=183;310203=177;310204=178;310205=183;310206=48;310207=48;310208=144;310217=48;310218=144;310219=144;310223=144;310224=48;310225=48;310407=178;310408=183;310409=144;310501=183;310502=144;310503=48;310504=183;310505=144;310506=48;310507=183</v>
      </c>
    </row>
    <row r="288" spans="1:8" x14ac:dyDescent="0.2">
      <c r="A288" s="5">
        <v>40117</v>
      </c>
      <c r="B288" s="12" t="str">
        <f>VLOOKUP(VALUE(LEFT(A288,2)),tb_shopType[[prefix]:[type]],2,0)</f>
        <v>遗物商人</v>
      </c>
      <c r="C288" s="23" t="str">
        <f>VLOOKUP(VALUE(MID(A288,LEN(A288)-2,1)),table_world[[id]:[name]],2,0)</f>
        <v>地宫</v>
      </c>
      <c r="D288" s="23">
        <v>17</v>
      </c>
      <c r="E288" s="12" t="s">
        <v>13</v>
      </c>
      <c r="F288" s="12" t="s">
        <v>270</v>
      </c>
      <c r="G288" s="12" t="s">
        <v>277</v>
      </c>
      <c r="H288" s="25" t="str" cm="1">
        <f t="array" aca="1" ref="H288" ca="1">_xlfn.LET(_xlpm._tb,_xlfn.XLOOKUP($B288,tb_shopType[type],tb_shopType[shop_table_name]),
_xlpm._col,MATCH($C288&amp;"-"&amp;TEXT(D288,"00"),INDIRECT(_xlpm._tb&amp;"[#标题]"),0),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146;300012=148;300013=160;300014=142;300021=148;300022=160;300023=142;300031=146;300032=148;300033=160;300034=142;300041=146;300042=148;300043=160;300044=142;300071=146;300072=148;300073=160;300074=142;300081=146;300082=148;300083=160;300084=142;301011=146;301012=148;301013=160;301014=142;301031=146;301032=148;301033=160;301034=142;301041=146;301042=148;301043=160;301044=142;301051=146;301052=148;301053=160;301054=142;302011=146;302012=148;302013=160;302014=142;302031=146;302032=148;302033=160;302034=142;302041=146;302042=148;302043=160;302044=142;302231=160;302232=142;302233=59;302321=146;302322=148;302323=160;310203=146;310204=148;310205=160;310206=59;310207=59;310208=142;310217=59;310218=142;310219=142;310223=142;310224=59;310225=59;310407=148;310408=160;310409=142;310501=160;310502=142;310503=59;310504=160;310505=142;310506=59;310507=160</v>
      </c>
    </row>
    <row r="289" spans="1:8" x14ac:dyDescent="0.2">
      <c r="A289" s="5">
        <v>40118</v>
      </c>
      <c r="B289" s="12" t="str">
        <f>VLOOKUP(VALUE(LEFT(A289,2)),tb_shopType[[prefix]:[type]],2,0)</f>
        <v>遗物商人</v>
      </c>
      <c r="C289" s="23" t="str">
        <f>VLOOKUP(VALUE(MID(A289,LEN(A289)-2,1)),table_world[[id]:[name]],2,0)</f>
        <v>地宫</v>
      </c>
      <c r="D289" s="23">
        <v>18</v>
      </c>
      <c r="E289" s="12" t="s">
        <v>13</v>
      </c>
      <c r="F289" s="12" t="s">
        <v>271</v>
      </c>
      <c r="G289" s="12" t="s">
        <v>277</v>
      </c>
      <c r="H289" s="25" t="str" cm="1">
        <f t="array" aca="1" ref="H289" ca="1">_xlfn.LET(_xlpm._tb,_xlfn.XLOOKUP($B289,tb_shopType[type],tb_shopType[shop_table_name]),
_xlpm._col,MATCH($C289&amp;"-"&amp;TEXT(D289,"00"),INDIRECT(_xlpm._tb&amp;"[#标题]"),0),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119;300012=122;300013=137;300014=135;300021=122;300022=137;300023=135;300031=119;300032=122;300033=137;300034=135;300041=119;300042=122;300043=137;300044=135;300071=119;300072=122;300073=137;300074=135;300081=119;300082=122;300083=137;300084=135;301011=119;301012=122;301013=137;301014=135;301031=119;301032=122;301033=137;301034=135;301041=119;301042=122;301043=137;301044=135;301051=119;301052=122;301053=137;301054=135;302011=119;302012=122;302013=137;302014=135;302031=119;302032=122;302033=137;302034=135;302041=119;302042=122;302043=137;302044=135;302231=137;302232=135;302233=69;302321=119;302322=122;302323=137;310203=119;310204=122;310205=137;310206=69;310207=69;310208=135;310217=69;310218=135;310219=135;310223=135;310224=69;310225=69;310407=122;310408=137;310409=135;310501=137;310502=135;310503=69;310504=137;310505=135;310506=69;310507=137</v>
      </c>
    </row>
    <row r="290" spans="1:8" x14ac:dyDescent="0.2">
      <c r="A290" s="5">
        <v>40119</v>
      </c>
      <c r="B290" s="12" t="str">
        <f>VLOOKUP(VALUE(LEFT(A290,2)),tb_shopType[[prefix]:[type]],2,0)</f>
        <v>遗物商人</v>
      </c>
      <c r="C290" s="23" t="str">
        <f>VLOOKUP(VALUE(MID(A290,LEN(A290)-2,1)),table_world[[id]:[name]],2,0)</f>
        <v>地宫</v>
      </c>
      <c r="D290" s="23">
        <v>19</v>
      </c>
      <c r="E290" s="12" t="s">
        <v>13</v>
      </c>
      <c r="F290" s="12" t="s">
        <v>272</v>
      </c>
      <c r="G290" s="12" t="s">
        <v>277</v>
      </c>
      <c r="H290" s="25" t="str" cm="1">
        <f t="array" aca="1" ref="H290" ca="1">_xlfn.LET(_xlpm._tb,_xlfn.XLOOKUP($B290,tb_shopType[type],tb_shopType[shop_table_name]),
_xlpm._col,MATCH($C290&amp;"-"&amp;TEXT(D290,"00"),INDIRECT(_xlpm._tb&amp;"[#标题]"),0),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96;300012=98;300013=115;300014=125;300021=98;300022=115;300023=125;300031=96;300032=98;300033=115;300034=125;300041=96;300042=98;300043=115;300044=125;300071=96;300072=98;300073=115;300074=125;300081=96;300082=98;300083=115;300084=125;301011=96;301012=98;301013=115;301014=125;301031=96;301032=98;301033=115;301034=125;301041=96;301042=98;301043=115;301044=125;301051=96;301052=98;301053=115;301054=125;302011=96;302012=98;302013=115;302014=125;302031=96;302032=98;302033=115;302034=125;302041=96;302042=98;302043=115;302044=125;302231=115;302232=125;302233=78;302321=96;302322=98;302323=115;310203=96;310204=98;310205=115;310206=78;310207=78;310208=125;310217=78;310218=125;310219=125;310223=125;310224=78;310225=78;310407=98;310408=115;310409=125;310501=115;310502=125;310503=78;310504=115;310505=125;310506=78;310507=115</v>
      </c>
    </row>
    <row r="291" spans="1:8" x14ac:dyDescent="0.2">
      <c r="A291" s="5">
        <v>40120</v>
      </c>
      <c r="B291" s="12" t="str">
        <f>VLOOKUP(VALUE(LEFT(A291,2)),tb_shopType[[prefix]:[type]],2,0)</f>
        <v>遗物商人</v>
      </c>
      <c r="C291" s="23" t="str">
        <f>VLOOKUP(VALUE(MID(A291,LEN(A291)-2,1)),table_world[[id]:[name]],2,0)</f>
        <v>地宫</v>
      </c>
      <c r="D291" s="23">
        <v>20</v>
      </c>
      <c r="E291" s="12" t="s">
        <v>13</v>
      </c>
      <c r="F291" s="12" t="s">
        <v>273</v>
      </c>
      <c r="G291" s="12" t="s">
        <v>277</v>
      </c>
      <c r="H291" s="25" t="str" cm="1">
        <f t="array" aca="1" ref="H291" ca="1">_xlfn.LET(_xlpm._tb,_xlfn.XLOOKUP($B291,tb_shopType[type],tb_shopType[shop_table_name]),
_xlpm._col,MATCH($C291&amp;"-"&amp;TEXT(D291,"00"),INDIRECT(_xlpm._tb&amp;"[#标题]"),0),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76;300012=78;300013=94;300014=111;300021=78;300022=94;300023=111;300031=76;300032=78;300033=94;300034=111;300041=76;300042=78;300043=94;300044=111;300071=76;300072=78;300073=94;300074=111;300081=76;300082=78;300083=94;300084=111;301011=76;301012=78;301013=94;301014=111;301031=76;301032=78;301033=94;301034=111;301041=76;301042=78;301043=94;301044=111;301051=76;301052=78;301053=94;301054=111;302011=76;302012=78;302013=94;302014=111;302031=76;302032=78;302033=94;302034=111;302041=76;302042=78;302043=94;302044=111;302231=94;302232=111;302233=83;302321=76;302322=78;302323=94;310203=76;310204=78;310205=94;310206=83;310207=83;310208=111;310217=83;310218=111;310219=111;310223=111;310224=83;310225=83;310407=78;310408=94;310409=111;310501=94;310502=111;310503=83;310504=94;310505=111;310506=83;310507=94</v>
      </c>
    </row>
    <row r="293" spans="1:8" x14ac:dyDescent="0.2">
      <c r="A293" s="5">
        <v>40401</v>
      </c>
      <c r="B293" s="12" t="str">
        <f>VLOOKUP(VALUE(LEFT(A293,2)),tb_shopType[[prefix]:[type]],2,0)</f>
        <v>遗物商人</v>
      </c>
      <c r="C293" s="23" t="str">
        <f>VLOOKUP(VALUE(MID(A293,LEN(A293)-2,1)),table_world[[id]:[name]],2,0)</f>
        <v>树梢</v>
      </c>
      <c r="D293" s="23">
        <v>1</v>
      </c>
      <c r="E293" s="12" t="s">
        <v>80</v>
      </c>
      <c r="F293" s="12" t="s">
        <v>254</v>
      </c>
      <c r="G293" s="12" t="s">
        <v>277</v>
      </c>
      <c r="H293" s="25" t="str" cm="1">
        <f t="array" aca="1" ref="H293" ca="1">_xlfn.LET(_xlpm._tb,_xlfn.XLOOKUP($B293,tb_shopType[type],tb_shopType[shop_table_name]),
_xlpm._col,MATCH($C293&amp;"-"&amp;TEXT(D293,"00"),INDIRECT(_xlpm._tb&amp;"[#标题]"),0),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709;300012=337;300013=75;300014=4;300021=337;300022=75;300023=4;300031=709;300032=337;300033=75;300034=4;300041=709;300042=337;300043=75;300044=4;300071=709;300072=337;300073=75;300074=4;300081=709;300082=337;300083=75;300084=4;301011=709;301012=337;301013=75;301014=4;301031=709;301032=337;301033=75;301034=4;301041=709;301042=337;301043=75;301044=4;301051=709;301052=337;301053=75;301054=4;302011=709;302012=337;302013=75;302014=4;302031=709;302032=337;302033=75;302034=4;302041=709;302042=337;302043=75;302044=4;302231=75;302232=4;302321=709;302322=337;302323=75;310203=709;310204=337;310205=75;310208=4;310218=4;310219=4;310223=4;310407=337;310408=75;310409=4;310501=75;310502=4;310504=75;310505=4;310507=75</v>
      </c>
    </row>
    <row r="294" spans="1:8" x14ac:dyDescent="0.2">
      <c r="A294" s="5">
        <v>40402</v>
      </c>
      <c r="B294" s="12" t="str">
        <f>VLOOKUP(VALUE(LEFT(A294,2)),tb_shopType[[prefix]:[type]],2,0)</f>
        <v>遗物商人</v>
      </c>
      <c r="C294" s="23" t="str">
        <f>VLOOKUP(VALUE(MID(A294,LEN(A294)-2,1)),table_world[[id]:[name]],2,0)</f>
        <v>树梢</v>
      </c>
      <c r="D294" s="23">
        <v>2</v>
      </c>
      <c r="E294" s="12" t="s">
        <v>80</v>
      </c>
      <c r="F294" s="12" t="s">
        <v>255</v>
      </c>
      <c r="G294" s="12" t="s">
        <v>277</v>
      </c>
      <c r="H294" s="25" t="str" cm="1">
        <f t="array" aca="1" ref="H294" ca="1">_xlfn.LET(_xlpm._tb,_xlfn.XLOOKUP($B294,tb_shopType[type],tb_shopType[shop_table_name]),
_xlpm._col,MATCH($C294&amp;"-"&amp;TEXT(D294,"00"),INDIRECT(_xlpm._tb&amp;"[#标题]"),0),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705;300012=364;300013=94;300014=6;300021=364;300022=94;300023=6;300031=705;300032=364;300033=94;300034=6;300041=705;300042=364;300043=94;300044=6;300071=705;300072=364;300073=94;300074=6;300081=705;300082=364;300083=94;300084=6;301011=705;301012=364;301013=94;301014=6;301031=705;301032=364;301033=94;301034=6;301041=705;301042=364;301043=94;301044=6;301051=705;301052=364;301053=94;301054=6;302011=705;302012=364;302013=94;302014=6;302031=705;302032=364;302033=94;302034=6;302041=705;302042=364;302043=94;302044=6;302231=94;302232=6;302321=705;302322=364;302323=94;310203=705;310204=364;310205=94;310208=6;310218=6;310219=6;310223=6;310407=364;310408=94;310409=6;310501=94;310502=6;310504=94;310505=6;310507=94</v>
      </c>
    </row>
    <row r="295" spans="1:8" x14ac:dyDescent="0.2">
      <c r="A295" s="5">
        <v>40403</v>
      </c>
      <c r="B295" s="12" t="str">
        <f>VLOOKUP(VALUE(LEFT(A295,2)),tb_shopType[[prefix]:[type]],2,0)</f>
        <v>遗物商人</v>
      </c>
      <c r="C295" s="23" t="str">
        <f>VLOOKUP(VALUE(MID(A295,LEN(A295)-2,1)),table_world[[id]:[name]],2,0)</f>
        <v>树梢</v>
      </c>
      <c r="D295" s="23">
        <v>3</v>
      </c>
      <c r="E295" s="12" t="s">
        <v>13</v>
      </c>
      <c r="F295" s="12" t="s">
        <v>256</v>
      </c>
      <c r="G295" s="12" t="s">
        <v>277</v>
      </c>
      <c r="H295" s="25" t="str" cm="1">
        <f t="array" aca="1" ref="H295" ca="1">_xlfn.LET(_xlpm._tb,_xlfn.XLOOKUP($B295,tb_shopType[type],tb_shopType[shop_table_name]),
_xlpm._col,MATCH($C295&amp;"-"&amp;TEXT(D295,"00"),INDIRECT(_xlpm._tb&amp;"[#标题]"),0),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692;300012=386;300013=115;300014=9;300021=386;300022=115;300023=9;300031=692;300032=386;300033=115;300034=9;300041=692;300042=386;300043=115;300044=9;300071=692;300072=386;300073=115;300074=9;300081=692;300082=386;300083=115;300084=9;301011=692;301012=386;301013=115;301014=9;301031=692;301032=386;301033=115;301034=9;301041=692;301042=386;301043=115;301044=9;301051=692;301052=386;301053=115;301054=9;302011=692;302012=386;302013=115;302014=9;302031=692;302032=386;302033=115;302034=9;302041=692;302042=386;302043=115;302044=9;302231=115;302232=9;302321=692;302322=386;302323=115;310203=692;310204=386;310205=115;310208=9;310218=9;310219=9;310223=9;310407=386;310408=115;310409=9;310501=115;310502=9;310504=115;310505=9;310507=115</v>
      </c>
    </row>
    <row r="296" spans="1:8" x14ac:dyDescent="0.2">
      <c r="A296" s="5">
        <v>40404</v>
      </c>
      <c r="B296" s="12" t="str">
        <f>VLOOKUP(VALUE(LEFT(A296,2)),tb_shopType[[prefix]:[type]],2,0)</f>
        <v>遗物商人</v>
      </c>
      <c r="C296" s="23" t="str">
        <f>VLOOKUP(VALUE(MID(A296,LEN(A296)-2,1)),table_world[[id]:[name]],2,0)</f>
        <v>树梢</v>
      </c>
      <c r="D296" s="23">
        <v>4</v>
      </c>
      <c r="E296" s="12" t="s">
        <v>13</v>
      </c>
      <c r="F296" s="12" t="s">
        <v>257</v>
      </c>
      <c r="G296" s="12" t="s">
        <v>277</v>
      </c>
      <c r="H296" s="25" t="str" cm="1">
        <f t="array" aca="1" ref="H296" ca="1">_xlfn.LET(_xlpm._tb,_xlfn.XLOOKUP($B296,tb_shopType[type],tb_shopType[shop_table_name]),
_xlpm._col,MATCH($C296&amp;"-"&amp;TEXT(D296,"00"),INDIRECT(_xlpm._tb&amp;"[#标题]"),0),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671;300012=403;300013=137;300014=14;300021=403;300022=137;300023=14;300031=671;300032=403;300033=137;300034=14;300041=671;300042=403;300043=137;300044=14;300071=671;300072=403;300073=137;300074=14;300081=671;300082=403;300083=137;300084=14;301011=671;301012=403;301013=137;301014=14;301031=671;301032=403;301033=137;301034=14;301041=671;301042=403;301043=137;301044=14;301051=671;301052=403;301053=137;301054=14;302011=671;302012=403;302013=137;302014=14;302031=671;302032=403;302033=137;302034=14;302041=671;302042=403;302043=137;302044=14;302231=137;302232=14;302321=671;302322=403;302323=137;310203=671;310204=403;310205=137;310208=14;310218=14;310219=14;310223=14;310407=403;310408=137;310409=14;310501=137;310502=14;310504=137;310505=14;310507=137</v>
      </c>
    </row>
    <row r="297" spans="1:8" x14ac:dyDescent="0.2">
      <c r="A297" s="5">
        <v>40405</v>
      </c>
      <c r="B297" s="12" t="str">
        <f>VLOOKUP(VALUE(LEFT(A297,2)),tb_shopType[[prefix]:[type]],2,0)</f>
        <v>遗物商人</v>
      </c>
      <c r="C297" s="23" t="str">
        <f>VLOOKUP(VALUE(MID(A297,LEN(A297)-2,1)),table_world[[id]:[name]],2,0)</f>
        <v>树梢</v>
      </c>
      <c r="D297" s="23">
        <v>5</v>
      </c>
      <c r="E297" s="12" t="s">
        <v>13</v>
      </c>
      <c r="F297" s="12" t="s">
        <v>258</v>
      </c>
      <c r="G297" s="12" t="s">
        <v>277</v>
      </c>
      <c r="H297" s="25" t="str" cm="1">
        <f t="array" aca="1" ref="H297" ca="1">_xlfn.LET(_xlpm._tb,_xlfn.XLOOKUP($B297,tb_shopType[type],tb_shopType[shop_table_name]),
_xlpm._col,MATCH($C297&amp;"-"&amp;TEXT(D297,"00"),INDIRECT(_xlpm._tb&amp;"[#标题]"),0),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643;300012=414;300013=160;300014=20;300021=414;300022=160;300023=20;300031=643;300032=414;300033=160;300034=20;300041=643;300042=414;300043=160;300044=20;300071=643;300072=414;300073=160;300074=20;300081=643;300082=414;300083=160;300084=20;301011=643;301012=414;301013=160;301014=20;301031=643;301032=414;301033=160;301034=20;301041=643;301042=414;301043=160;301044=20;301051=643;301052=414;301053=160;301054=20;302011=643;302012=414;302013=160;302014=20;302031=643;302032=414;302033=160;302034=20;302041=643;302042=414;302043=160;302044=20;302231=160;302232=20;302321=643;302322=414;302323=160;310203=643;310204=414;310205=160;310208=20;310218=20;310219=20;310223=20;310407=414;310408=160;310409=20;310501=160;310502=20;310504=160;310505=20;310507=160</v>
      </c>
    </row>
    <row r="298" spans="1:8" x14ac:dyDescent="0.2">
      <c r="A298" s="5">
        <v>40406</v>
      </c>
      <c r="B298" s="12" t="str">
        <f>VLOOKUP(VALUE(LEFT(A298,2)),tb_shopType[[prefix]:[type]],2,0)</f>
        <v>遗物商人</v>
      </c>
      <c r="C298" s="23" t="str">
        <f>VLOOKUP(VALUE(MID(A298,LEN(A298)-2,1)),table_world[[id]:[name]],2,0)</f>
        <v>树梢</v>
      </c>
      <c r="D298" s="23">
        <v>6</v>
      </c>
      <c r="E298" s="12" t="s">
        <v>13</v>
      </c>
      <c r="F298" s="12" t="s">
        <v>259</v>
      </c>
      <c r="G298" s="12" t="s">
        <v>277</v>
      </c>
      <c r="H298" s="25" t="str" cm="1">
        <f t="array" aca="1" ref="H298" ca="1">_xlfn.LET(_xlpm._tb,_xlfn.XLOOKUP($B298,tb_shopType[type],tb_shopType[shop_table_name]),
_xlpm._col,MATCH($C298&amp;"-"&amp;TEXT(D298,"00"),INDIRECT(_xlpm._tb&amp;"[#标题]"),0),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608;300012=417;300013=183;300014=28;300021=417;300022=183;300023=28;300031=608;300032=417;300033=183;300034=28;300041=608;300042=417;300043=183;300044=28;300071=608;300072=417;300073=183;300074=28;300081=608;300082=417;300083=183;300084=28;301011=608;301012=417;301013=183;301014=28;301031=608;301032=417;301033=183;301034=28;301041=608;301042=417;301043=183;301044=28;301051=608;301052=417;301053=183;301054=28;302011=608;302012=417;302013=183;302014=28;302031=608;302032=417;302033=183;302034=28;302041=608;302042=417;302043=183;302044=28;302231=183;302232=28;302233=1;302321=608;302322=417;302323=183;310203=608;310204=417;310205=183;310206=1;310207=1;310208=28;310217=1;310218=28;310219=28;310223=28;310224=1;310225=1;310407=417;310408=183;310409=28;310501=183;310502=28;310503=1;310504=183;310505=28;310506=1;310507=183</v>
      </c>
    </row>
    <row r="299" spans="1:8" x14ac:dyDescent="0.2">
      <c r="A299" s="5">
        <v>40407</v>
      </c>
      <c r="B299" s="12" t="str">
        <f>VLOOKUP(VALUE(LEFT(A299,2)),tb_shopType[[prefix]:[type]],2,0)</f>
        <v>遗物商人</v>
      </c>
      <c r="C299" s="23" t="str">
        <f>VLOOKUP(VALUE(MID(A299,LEN(A299)-2,1)),table_world[[id]:[name]],2,0)</f>
        <v>树梢</v>
      </c>
      <c r="D299" s="23">
        <v>7</v>
      </c>
      <c r="E299" s="12" t="s">
        <v>13</v>
      </c>
      <c r="F299" s="12" t="s">
        <v>260</v>
      </c>
      <c r="G299" s="12" t="s">
        <v>277</v>
      </c>
      <c r="H299" s="25" t="str" cm="1">
        <f t="array" aca="1" ref="H299" ca="1">_xlfn.LET(_xlpm._tb,_xlfn.XLOOKUP($B299,tb_shopType[type],tb_shopType[shop_table_name]),
_xlpm._col,MATCH($C299&amp;"-"&amp;TEXT(D299,"00"),INDIRECT(_xlpm._tb&amp;"[#标题]"),0),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568;300012=414;300013=203;300014=38;300021=414;300022=203;300023=38;300031=568;300032=414;300033=203;300034=38;300041=568;300042=414;300043=203;300044=38;300071=568;300072=414;300073=203;300074=38;300081=568;300082=414;300083=203;300084=38;301011=568;301012=414;301013=203;301014=38;301031=568;301032=414;301033=203;301034=38;301041=568;301042=414;301043=203;301044=38;301051=568;301052=414;301053=203;301054=38;302011=568;302012=414;302013=203;302014=38;302031=568;302032=414;302033=203;302034=38;302041=568;302042=414;302043=203;302044=38;302231=203;302232=38;302233=1;302321=568;302322=414;302323=203;310203=568;310204=414;310205=203;310206=1;310207=1;310208=38;310217=1;310218=38;310219=38;310223=38;310224=1;310225=1;310407=414;310408=203;310409=38;310501=203;310502=38;310503=1;310504=203;310505=38;310506=1;310507=203</v>
      </c>
    </row>
    <row r="300" spans="1:8" x14ac:dyDescent="0.2">
      <c r="A300" s="5">
        <v>40408</v>
      </c>
      <c r="B300" s="12" t="str">
        <f>VLOOKUP(VALUE(LEFT(A300,2)),tb_shopType[[prefix]:[type]],2,0)</f>
        <v>遗物商人</v>
      </c>
      <c r="C300" s="23" t="str">
        <f>VLOOKUP(VALUE(MID(A300,LEN(A300)-2,1)),table_world[[id]:[name]],2,0)</f>
        <v>树梢</v>
      </c>
      <c r="D300" s="23">
        <v>8</v>
      </c>
      <c r="E300" s="12" t="s">
        <v>13</v>
      </c>
      <c r="F300" s="12" t="s">
        <v>261</v>
      </c>
      <c r="G300" s="12" t="s">
        <v>277</v>
      </c>
      <c r="H300" s="25" t="str" cm="1">
        <f t="array" aca="1" ref="H300" ca="1">_xlfn.LET(_xlpm._tb,_xlfn.XLOOKUP($B300,tb_shopType[type],tb_shopType[shop_table_name]),
_xlpm._col,MATCH($C300&amp;"-"&amp;TEXT(D300,"00"),INDIRECT(_xlpm._tb&amp;"[#标题]"),0),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524;300012=403;300013=221;300014=51;300021=403;300022=221;300023=51;300031=524;300032=403;300033=221;300034=51;300041=524;300042=403;300043=221;300044=51;300071=524;300072=403;300073=221;300074=51;300081=524;300082=403;300083=221;300084=51;301011=524;301012=403;301013=221;301014=51;301031=524;301032=403;301033=221;301034=51;301041=524;301042=403;301043=221;301044=51;301051=524;301052=403;301053=221;301054=51;302011=524;302012=403;302013=221;302014=51;302031=524;302032=403;302033=221;302034=51;302041=524;302042=403;302043=221;302044=51;302231=221;302232=51;302233=2;302321=524;302322=403;302323=221;310203=524;310204=403;310205=221;310206=2;310207=2;310208=51;310217=2;310218=51;310219=51;310223=51;310224=2;310225=2;310407=403;310408=221;310409=51;310501=221;310502=51;310503=2;310504=221;310505=51;310506=2;310507=221</v>
      </c>
    </row>
    <row r="301" spans="1:8" x14ac:dyDescent="0.2">
      <c r="A301" s="5">
        <v>40409</v>
      </c>
      <c r="B301" s="12" t="str">
        <f>VLOOKUP(VALUE(LEFT(A301,2)),tb_shopType[[prefix]:[type]],2,0)</f>
        <v>遗物商人</v>
      </c>
      <c r="C301" s="23" t="str">
        <f>VLOOKUP(VALUE(MID(A301,LEN(A301)-2,1)),table_world[[id]:[name]],2,0)</f>
        <v>树梢</v>
      </c>
      <c r="D301" s="23">
        <v>9</v>
      </c>
      <c r="E301" s="12" t="s">
        <v>13</v>
      </c>
      <c r="F301" s="12" t="s">
        <v>262</v>
      </c>
      <c r="G301" s="12" t="s">
        <v>277</v>
      </c>
      <c r="H301" s="25" t="str" cm="1">
        <f t="array" aca="1" ref="H301" ca="1">_xlfn.LET(_xlpm._tb,_xlfn.XLOOKUP($B301,tb_shopType[type],tb_shopType[shop_table_name]),
_xlpm._col,MATCH($C301&amp;"-"&amp;TEXT(D301,"00"),INDIRECT(_xlpm._tb&amp;"[#标题]"),0),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478;300012=386;300013=234;300014=65;300021=386;300022=234;300023=65;300031=478;300032=386;300033=234;300034=65;300041=478;300042=386;300043=234;300044=65;300071=478;300072=386;300073=234;300074=65;300081=478;300082=386;300083=234;300084=65;301011=478;301012=386;301013=234;301014=65;301031=478;301032=386;301033=234;301034=65;301041=478;301042=386;301043=234;301044=65;301051=478;301052=386;301053=234;301054=65;302011=478;302012=386;302013=234;302014=65;302031=478;302032=386;302033=234;302034=65;302041=478;302042=386;302043=234;302044=65;302231=234;302232=65;302233=3;302321=478;302322=386;302323=234;310203=478;310204=386;310205=234;310206=3;310207=3;310208=65;310217=3;310218=65;310219=65;310223=65;310224=3;310225=3;310407=386;310408=234;310409=65;310501=234;310502=65;310503=3;310504=234;310505=65;310506=3;310507=234</v>
      </c>
    </row>
    <row r="302" spans="1:8" x14ac:dyDescent="0.2">
      <c r="A302" s="5">
        <v>40410</v>
      </c>
      <c r="B302" s="12" t="str">
        <f>VLOOKUP(VALUE(LEFT(A302,2)),tb_shopType[[prefix]:[type]],2,0)</f>
        <v>遗物商人</v>
      </c>
      <c r="C302" s="23" t="str">
        <f>VLOOKUP(VALUE(MID(A302,LEN(A302)-2,1)),table_world[[id]:[name]],2,0)</f>
        <v>树梢</v>
      </c>
      <c r="D302" s="23">
        <v>10</v>
      </c>
      <c r="E302" s="12" t="s">
        <v>13</v>
      </c>
      <c r="F302" s="12" t="s">
        <v>263</v>
      </c>
      <c r="G302" s="12" t="s">
        <v>277</v>
      </c>
      <c r="H302" s="25" t="str" cm="1">
        <f t="array" aca="1" ref="H302" ca="1">_xlfn.LET(_xlpm._tb,_xlfn.XLOOKUP($B302,tb_shopType[type],tb_shopType[shop_table_name]),
_xlpm._col,MATCH($C302&amp;"-"&amp;TEXT(D302,"00"),INDIRECT(_xlpm._tb&amp;"[#标题]"),0),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430;300012=364;300013=243;300014=80;300021=364;300022=243;300023=80;300031=430;300032=364;300033=243;300034=80;300041=430;300042=364;300043=243;300044=80;300071=430;300072=364;300073=243;300074=80;300081=430;300082=364;300083=243;300084=80;301011=430;301012=364;301013=243;301014=80;301031=430;301032=364;301033=243;301034=80;301041=430;301042=364;301043=243;301044=80;301051=430;301052=364;301053=243;301054=80;302011=430;302012=364;302013=243;302014=80;302031=430;302032=364;302033=243;302034=80;302041=430;302042=364;302043=243;302044=80;302231=243;302232=80;302233=5;302321=430;302322=364;302323=243;310203=430;310204=364;310205=243;310206=5;310207=5;310208=80;310217=5;310218=80;310219=80;310223=80;310224=5;310225=5;310407=364;310408=243;310409=80;310501=243;310502=80;310503=5;310504=243;310505=80;310506=5;310507=243</v>
      </c>
    </row>
    <row r="303" spans="1:8" x14ac:dyDescent="0.2">
      <c r="A303" s="5">
        <v>40411</v>
      </c>
      <c r="B303" s="12" t="str">
        <f>VLOOKUP(VALUE(LEFT(A303,2)),tb_shopType[[prefix]:[type]],2,0)</f>
        <v>遗物商人</v>
      </c>
      <c r="C303" s="23" t="str">
        <f>VLOOKUP(VALUE(MID(A303,LEN(A303)-2,1)),table_world[[id]:[name]],2,0)</f>
        <v>树梢</v>
      </c>
      <c r="D303" s="23">
        <v>11</v>
      </c>
      <c r="E303" s="12" t="s">
        <v>13</v>
      </c>
      <c r="F303" s="12" t="s">
        <v>264</v>
      </c>
      <c r="G303" s="12" t="s">
        <v>277</v>
      </c>
      <c r="H303" s="25" t="str" cm="1">
        <f t="array" aca="1" ref="H303" ca="1">_xlfn.LET(_xlpm._tb,_xlfn.XLOOKUP($B303,tb_shopType[type],tb_shopType[shop_table_name]),
_xlpm._col,MATCH($C303&amp;"-"&amp;TEXT(D303,"00"),INDIRECT(_xlpm._tb&amp;"[#标题]"),0),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383;300012=337;300013=245;300014=96;300021=337;300022=245;300023=96;300031=383;300032=337;300033=245;300034=96;300041=383;300042=337;300043=245;300044=96;300071=383;300072=337;300073=245;300074=96;300081=383;300082=337;300083=245;300084=96;301011=383;301012=337;301013=245;301014=96;301031=383;301032=337;301033=245;301034=96;301041=383;301042=337;301043=245;301044=96;301051=383;301052=337;301053=245;301054=96;302011=383;302012=337;302013=245;302014=96;302031=383;302032=337;302033=245;302034=96;302041=383;302042=337;302043=245;302044=96;302231=245;302232=96;302233=9;302321=383;302322=337;302323=245;310203=383;310204=337;310205=245;310206=9;310207=9;310208=96;310217=9;310218=96;310219=96;310223=96;310224=9;310225=9;310407=337;310408=245;310409=96;310501=245;310502=96;310503=9;310504=245;310505=96;310506=9;310507=245</v>
      </c>
    </row>
    <row r="304" spans="1:8" x14ac:dyDescent="0.2">
      <c r="A304" s="5">
        <v>40412</v>
      </c>
      <c r="B304" s="12" t="str">
        <f>VLOOKUP(VALUE(LEFT(A304,2)),tb_shopType[[prefix]:[type]],2,0)</f>
        <v>遗物商人</v>
      </c>
      <c r="C304" s="23" t="str">
        <f>VLOOKUP(VALUE(MID(A304,LEN(A304)-2,1)),table_world[[id]:[name]],2,0)</f>
        <v>树梢</v>
      </c>
      <c r="D304" s="23">
        <v>12</v>
      </c>
      <c r="E304" s="12" t="s">
        <v>13</v>
      </c>
      <c r="F304" s="12" t="s">
        <v>265</v>
      </c>
      <c r="G304" s="12" t="s">
        <v>277</v>
      </c>
      <c r="H304" s="25" t="str" cm="1">
        <f t="array" aca="1" ref="H304" ca="1">_xlfn.LET(_xlpm._tb,_xlfn.XLOOKUP($B304,tb_shopType[type],tb_shopType[shop_table_name]),
_xlpm._col,MATCH($C304&amp;"-"&amp;TEXT(D304,"00"),INDIRECT(_xlpm._tb&amp;"[#标题]"),0),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336;300012=307;300013=243;300014=111;300021=307;300022=243;300023=111;300031=336;300032=307;300033=243;300034=111;300041=336;300042=307;300043=243;300044=111;300071=336;300072=307;300073=243;300074=111;300081=336;300082=307;300083=243;300084=111;301011=336;301012=307;301013=243;301014=111;301031=336;301032=307;301033=243;301034=111;301041=336;301042=307;301043=243;301044=111;301051=336;301052=307;301053=243;301054=111;302011=336;302012=307;302013=243;302014=111;302031=336;302032=307;302033=243;302034=111;302041=336;302042=307;302043=243;302044=111;302231=243;302232=111;302233=14;302321=336;302322=307;302323=243;310203=336;310204=307;310205=243;310206=14;310207=14;310208=111;310217=14;310218=111;310219=111;310223=111;310224=14;310225=14;310407=307;310408=243;310409=111;310501=243;310502=111;310503=14;310504=243;310505=111;310506=14;310507=243</v>
      </c>
    </row>
    <row r="305" spans="1:8" x14ac:dyDescent="0.2">
      <c r="A305" s="5">
        <v>40413</v>
      </c>
      <c r="B305" s="12" t="str">
        <f>VLOOKUP(VALUE(LEFT(A305,2)),tb_shopType[[prefix]:[type]],2,0)</f>
        <v>遗物商人</v>
      </c>
      <c r="C305" s="23" t="str">
        <f>VLOOKUP(VALUE(MID(A305,LEN(A305)-2,1)),table_world[[id]:[name]],2,0)</f>
        <v>树梢</v>
      </c>
      <c r="D305" s="23">
        <v>13</v>
      </c>
      <c r="E305" s="12" t="s">
        <v>13</v>
      </c>
      <c r="F305" s="12" t="s">
        <v>266</v>
      </c>
      <c r="G305" s="12" t="s">
        <v>277</v>
      </c>
      <c r="H305" s="25" t="str" cm="1">
        <f t="array" aca="1" ref="H305" ca="1">_xlfn.LET(_xlpm._tb,_xlfn.XLOOKUP($B305,tb_shopType[type],tb_shopType[shop_table_name]),
_xlpm._col,MATCH($C305&amp;"-"&amp;TEXT(D305,"00"),INDIRECT(_xlpm._tb&amp;"[#标题]"),0),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292;300012=274;300013=234;300014=125;300021=274;300022=234;300023=125;300031=292;300032=274;300033=234;300034=125;300041=292;300042=274;300043=234;300044=125;300071=292;300072=274;300073=234;300074=125;300081=292;300082=274;300083=234;300084=125;301011=292;301012=274;301013=234;301014=125;301031=292;301032=274;301033=234;301034=125;301041=292;301042=274;301043=234;301044=125;301051=292;301052=274;301053=234;301054=125;302011=292;302012=274;302013=234;302014=125;302031=292;302032=274;302033=234;302034=125;302041=292;302042=274;302043=234;302044=125;302231=234;302232=125;302233=20;302321=292;302322=274;302323=234;310203=292;310204=274;310205=234;310206=20;310207=20;310208=125;310217=20;310218=125;310219=125;310223=125;310224=20;310225=20;310407=274;310408=234;310409=125;310501=234;310502=125;310503=20;310504=234;310505=125;310506=20;310507=234</v>
      </c>
    </row>
    <row r="306" spans="1:8" x14ac:dyDescent="0.2">
      <c r="A306" s="5">
        <v>40414</v>
      </c>
      <c r="B306" s="12" t="str">
        <f>VLOOKUP(VALUE(LEFT(A306,2)),tb_shopType[[prefix]:[type]],2,0)</f>
        <v>遗物商人</v>
      </c>
      <c r="C306" s="23" t="str">
        <f>VLOOKUP(VALUE(MID(A306,LEN(A306)-2,1)),table_world[[id]:[name]],2,0)</f>
        <v>树梢</v>
      </c>
      <c r="D306" s="23">
        <v>14</v>
      </c>
      <c r="E306" s="12" t="s">
        <v>13</v>
      </c>
      <c r="F306" s="12" t="s">
        <v>267</v>
      </c>
      <c r="G306" s="12" t="s">
        <v>277</v>
      </c>
      <c r="H306" s="25" t="str" cm="1">
        <f t="array" aca="1" ref="H306" ca="1">_xlfn.LET(_xlpm._tb,_xlfn.XLOOKUP($B306,tb_shopType[type],tb_shopType[shop_table_name]),
_xlpm._col,MATCH($C306&amp;"-"&amp;TEXT(D306,"00"),INDIRECT(_xlpm._tb&amp;"[#标题]"),0),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250;300012=241;300013=221;300014=135;300021=241;300022=221;300023=135;300031=250;300032=241;300033=221;300034=135;300041=250;300042=241;300043=221;300044=135;300071=250;300072=241;300073=221;300074=135;300081=250;300082=241;300083=221;300084=135;301011=250;301012=241;301013=221;301014=135;301031=250;301032=241;301033=221;301034=135;301041=250;301042=241;301043=221;301044=135;301051=250;301052=241;301053=221;301054=135;302011=250;302012=241;302013=221;302014=135;302031=250;302032=241;302033=221;302034=135;302041=250;302042=241;302043=221;302044=135;302231=221;302232=135;302233=28;302321=250;302322=241;302323=221;310203=250;310204=241;310205=221;310206=28;310207=28;310208=135;310217=28;310218=135;310219=135;310223=135;310224=28;310225=28;310407=241;310408=221;310409=135;310501=221;310502=135;310503=28;310504=221;310505=135;310506=28;310507=221</v>
      </c>
    </row>
    <row r="307" spans="1:8" x14ac:dyDescent="0.2">
      <c r="A307" s="5">
        <v>40415</v>
      </c>
      <c r="B307" s="12" t="str">
        <f>VLOOKUP(VALUE(LEFT(A307,2)),tb_shopType[[prefix]:[type]],2,0)</f>
        <v>遗物商人</v>
      </c>
      <c r="C307" s="23" t="str">
        <f>VLOOKUP(VALUE(MID(A307,LEN(A307)-2,1)),table_world[[id]:[name]],2,0)</f>
        <v>树梢</v>
      </c>
      <c r="D307" s="23">
        <v>15</v>
      </c>
      <c r="E307" s="12" t="s">
        <v>13</v>
      </c>
      <c r="F307" s="12" t="s">
        <v>268</v>
      </c>
      <c r="G307" s="12" t="s">
        <v>277</v>
      </c>
      <c r="H307" s="25" t="str" cm="1">
        <f t="array" aca="1" ref="H307" ca="1">_xlfn.LET(_xlpm._tb,_xlfn.XLOOKUP($B307,tb_shopType[type],tb_shopType[shop_table_name]),
_xlpm._col,MATCH($C307&amp;"-"&amp;TEXT(D307,"00"),INDIRECT(_xlpm._tb&amp;"[#标题]"),0),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212;300012=209;300013=203;300014=142;300021=209;300022=203;300023=142;300031=212;300032=209;300033=203;300034=142;300041=212;300042=209;300043=203;300044=142;300071=212;300072=209;300073=203;300074=142;300081=212;300082=209;300083=203;300084=142;301011=212;301012=209;301013=203;301014=142;301031=212;301032=209;301033=203;301034=142;301041=212;301042=209;301043=203;301044=142;301051=212;301052=209;301053=203;301054=142;302011=212;302012=209;302013=203;302014=142;302031=212;302032=209;302033=203;302034=142;302041=212;302042=209;302043=203;302044=142;302231=203;302232=142;302233=38;302321=212;302322=209;302323=203;310203=212;310204=209;310205=203;310206=38;310207=38;310208=142;310217=38;310218=142;310219=142;310223=142;310224=38;310225=38;310407=209;310408=203;310409=142;310501=203;310502=142;310503=38;310504=203;310505=142;310506=38;310507=203</v>
      </c>
    </row>
    <row r="308" spans="1:8" x14ac:dyDescent="0.2">
      <c r="A308" s="5">
        <v>40416</v>
      </c>
      <c r="B308" s="12" t="str">
        <f>VLOOKUP(VALUE(LEFT(A308,2)),tb_shopType[[prefix]:[type]],2,0)</f>
        <v>遗物商人</v>
      </c>
      <c r="C308" s="23" t="str">
        <f>VLOOKUP(VALUE(MID(A308,LEN(A308)-2,1)),table_world[[id]:[name]],2,0)</f>
        <v>树梢</v>
      </c>
      <c r="D308" s="23">
        <v>16</v>
      </c>
      <c r="E308" s="12" t="s">
        <v>13</v>
      </c>
      <c r="F308" s="12" t="s">
        <v>269</v>
      </c>
      <c r="G308" s="12" t="s">
        <v>277</v>
      </c>
      <c r="H308" s="25" t="str" cm="1">
        <f t="array" aca="1" ref="H308" ca="1">_xlfn.LET(_xlpm._tb,_xlfn.XLOOKUP($B308,tb_shopType[type],tb_shopType[shop_table_name]),
_xlpm._col,MATCH($C308&amp;"-"&amp;TEXT(D308,"00"),INDIRECT(_xlpm._tb&amp;"[#标题]"),0),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177;300012=178;300013=183;300014=144;300021=178;300022=183;300023=144;300031=177;300032=178;300033=183;300034=144;300041=177;300042=178;300043=183;300044=144;300071=177;300072=178;300073=183;300074=144;300081=177;300082=178;300083=183;300084=144;301011=177;301012=178;301013=183;301014=144;301031=177;301032=178;301033=183;301034=144;301041=177;301042=178;301043=183;301044=144;301051=177;301052=178;301053=183;301054=144;302011=177;302012=178;302013=183;302014=144;302031=177;302032=178;302033=183;302034=144;302041=177;302042=178;302043=183;302044=144;302231=183;302232=144;302233=48;302321=177;302322=178;302323=183;310203=177;310204=178;310205=183;310206=48;310207=48;310208=144;310217=48;310218=144;310219=144;310223=144;310224=48;310225=48;310407=178;310408=183;310409=144;310501=183;310502=144;310503=48;310504=183;310505=144;310506=48;310507=183</v>
      </c>
    </row>
    <row r="309" spans="1:8" x14ac:dyDescent="0.2">
      <c r="A309" s="5">
        <v>40417</v>
      </c>
      <c r="B309" s="12" t="str">
        <f>VLOOKUP(VALUE(LEFT(A309,2)),tb_shopType[[prefix]:[type]],2,0)</f>
        <v>遗物商人</v>
      </c>
      <c r="C309" s="23" t="str">
        <f>VLOOKUP(VALUE(MID(A309,LEN(A309)-2,1)),table_world[[id]:[name]],2,0)</f>
        <v>树梢</v>
      </c>
      <c r="D309" s="23">
        <v>17</v>
      </c>
      <c r="E309" s="12" t="s">
        <v>13</v>
      </c>
      <c r="F309" s="12" t="s">
        <v>270</v>
      </c>
      <c r="G309" s="12" t="s">
        <v>277</v>
      </c>
      <c r="H309" s="25" t="str" cm="1">
        <f t="array" aca="1" ref="H309" ca="1">_xlfn.LET(_xlpm._tb,_xlfn.XLOOKUP($B309,tb_shopType[type],tb_shopType[shop_table_name]),
_xlpm._col,MATCH($C309&amp;"-"&amp;TEXT(D309,"00"),INDIRECT(_xlpm._tb&amp;"[#标题]"),0),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146;300012=148;300013=160;300014=142;300021=148;300022=160;300023=142;300031=146;300032=148;300033=160;300034=142;300041=146;300042=148;300043=160;300044=142;300071=146;300072=148;300073=160;300074=142;300081=146;300082=148;300083=160;300084=142;301011=146;301012=148;301013=160;301014=142;301031=146;301032=148;301033=160;301034=142;301041=146;301042=148;301043=160;301044=142;301051=146;301052=148;301053=160;301054=142;302011=146;302012=148;302013=160;302014=142;302031=146;302032=148;302033=160;302034=142;302041=146;302042=148;302043=160;302044=142;302231=160;302232=142;302233=59;302321=146;302322=148;302323=160;310203=146;310204=148;310205=160;310206=59;310207=59;310208=142;310217=59;310218=142;310219=142;310223=142;310224=59;310225=59;310407=148;310408=160;310409=142;310501=160;310502=142;310503=59;310504=160;310505=142;310506=59;310507=160</v>
      </c>
    </row>
    <row r="310" spans="1:8" x14ac:dyDescent="0.2">
      <c r="A310" s="5">
        <v>40418</v>
      </c>
      <c r="B310" s="12" t="str">
        <f>VLOOKUP(VALUE(LEFT(A310,2)),tb_shopType[[prefix]:[type]],2,0)</f>
        <v>遗物商人</v>
      </c>
      <c r="C310" s="23" t="str">
        <f>VLOOKUP(VALUE(MID(A310,LEN(A310)-2,1)),table_world[[id]:[name]],2,0)</f>
        <v>树梢</v>
      </c>
      <c r="D310" s="23">
        <v>18</v>
      </c>
      <c r="E310" s="12" t="s">
        <v>13</v>
      </c>
      <c r="F310" s="12" t="s">
        <v>271</v>
      </c>
      <c r="G310" s="12" t="s">
        <v>277</v>
      </c>
      <c r="H310" s="25" t="str" cm="1">
        <f t="array" aca="1" ref="H310" ca="1">_xlfn.LET(_xlpm._tb,_xlfn.XLOOKUP($B310,tb_shopType[type],tb_shopType[shop_table_name]),
_xlpm._col,MATCH($C310&amp;"-"&amp;TEXT(D310,"00"),INDIRECT(_xlpm._tb&amp;"[#标题]"),0),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119;300012=122;300013=137;300014=135;300021=122;300022=137;300023=135;300031=119;300032=122;300033=137;300034=135;300041=119;300042=122;300043=137;300044=135;300071=119;300072=122;300073=137;300074=135;300081=119;300082=122;300083=137;300084=135;301011=119;301012=122;301013=137;301014=135;301031=119;301032=122;301033=137;301034=135;301041=119;301042=122;301043=137;301044=135;301051=119;301052=122;301053=137;301054=135;302011=119;302012=122;302013=137;302014=135;302031=119;302032=122;302033=137;302034=135;302041=119;302042=122;302043=137;302044=135;302231=137;302232=135;302233=69;302321=119;302322=122;302323=137;310203=119;310204=122;310205=137;310206=69;310207=69;310208=135;310217=69;310218=135;310219=135;310223=135;310224=69;310225=69;310407=122;310408=137;310409=135;310501=137;310502=135;310503=69;310504=137;310505=135;310506=69;310507=137</v>
      </c>
    </row>
    <row r="311" spans="1:8" x14ac:dyDescent="0.2">
      <c r="A311" s="5">
        <v>40419</v>
      </c>
      <c r="B311" s="12" t="str">
        <f>VLOOKUP(VALUE(LEFT(A311,2)),tb_shopType[[prefix]:[type]],2,0)</f>
        <v>遗物商人</v>
      </c>
      <c r="C311" s="23" t="str">
        <f>VLOOKUP(VALUE(MID(A311,LEN(A311)-2,1)),table_world[[id]:[name]],2,0)</f>
        <v>树梢</v>
      </c>
      <c r="D311" s="23">
        <v>19</v>
      </c>
      <c r="E311" s="12" t="s">
        <v>13</v>
      </c>
      <c r="F311" s="12" t="s">
        <v>272</v>
      </c>
      <c r="G311" s="12" t="s">
        <v>277</v>
      </c>
      <c r="H311" s="25" t="str" cm="1">
        <f t="array" aca="1" ref="H311" ca="1">_xlfn.LET(_xlpm._tb,_xlfn.XLOOKUP($B311,tb_shopType[type],tb_shopType[shop_table_name]),
_xlpm._col,MATCH($C311&amp;"-"&amp;TEXT(D311,"00"),INDIRECT(_xlpm._tb&amp;"[#标题]"),0),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96;300012=98;300013=115;300014=125;300021=98;300022=115;300023=125;300031=96;300032=98;300033=115;300034=125;300041=96;300042=98;300043=115;300044=125;300071=96;300072=98;300073=115;300074=125;300081=96;300082=98;300083=115;300084=125;301011=96;301012=98;301013=115;301014=125;301031=96;301032=98;301033=115;301034=125;301041=96;301042=98;301043=115;301044=125;301051=96;301052=98;301053=115;301054=125;302011=96;302012=98;302013=115;302014=125;302031=96;302032=98;302033=115;302034=125;302041=96;302042=98;302043=115;302044=125;302231=115;302232=125;302233=78;302321=96;302322=98;302323=115;310203=96;310204=98;310205=115;310206=78;310207=78;310208=125;310217=78;310218=125;310219=125;310223=125;310224=78;310225=78;310407=98;310408=115;310409=125;310501=115;310502=125;310503=78;310504=115;310505=125;310506=78;310507=115</v>
      </c>
    </row>
    <row r="312" spans="1:8" x14ac:dyDescent="0.2">
      <c r="A312" s="5">
        <v>40420</v>
      </c>
      <c r="B312" s="12" t="str">
        <f>VLOOKUP(VALUE(LEFT(A312,2)),tb_shopType[[prefix]:[type]],2,0)</f>
        <v>遗物商人</v>
      </c>
      <c r="C312" s="23" t="str">
        <f>VLOOKUP(VALUE(MID(A312,LEN(A312)-2,1)),table_world[[id]:[name]],2,0)</f>
        <v>树梢</v>
      </c>
      <c r="D312" s="23">
        <v>20</v>
      </c>
      <c r="E312" s="12" t="s">
        <v>13</v>
      </c>
      <c r="F312" s="12" t="s">
        <v>273</v>
      </c>
      <c r="G312" s="12" t="s">
        <v>277</v>
      </c>
      <c r="H312" s="25" t="str" cm="1">
        <f t="array" aca="1" ref="H312" ca="1">_xlfn.LET(_xlpm._tb,_xlfn.XLOOKUP($B312,tb_shopType[type],tb_shopType[shop_table_name]),
_xlpm._col,MATCH($C312&amp;"-"&amp;TEXT(D312,"00"),INDIRECT(_xlpm._tb&amp;"[#标题]"),0),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76;300012=78;300013=94;300014=111;300021=78;300022=94;300023=111;300031=76;300032=78;300033=94;300034=111;300041=76;300042=78;300043=94;300044=111;300071=76;300072=78;300073=94;300074=111;300081=76;300082=78;300083=94;300084=111;301011=76;301012=78;301013=94;301014=111;301031=76;301032=78;301033=94;301034=111;301041=76;301042=78;301043=94;301044=111;301051=76;301052=78;301053=94;301054=111;302011=76;302012=78;302013=94;302014=111;302031=76;302032=78;302033=94;302034=111;302041=76;302042=78;302043=94;302044=111;302231=94;302232=111;302233=83;302321=76;302322=78;302323=94;310203=76;310204=78;310205=94;310206=83;310207=83;310208=111;310217=83;310218=111;310219=111;310223=111;310224=83;310225=83;310407=78;310408=94;310409=111;310501=94;310502=111;310503=83;310504=94;310505=111;310506=83;310507=94</v>
      </c>
    </row>
    <row r="314" spans="1:8" x14ac:dyDescent="0.2">
      <c r="A314" s="5">
        <v>40701</v>
      </c>
      <c r="B314" s="12" t="str">
        <f>VLOOKUP(VALUE(LEFT(A314,2)),tb_shopType[[prefix]:[type]],2,0)</f>
        <v>遗物商人</v>
      </c>
      <c r="C314" s="23" t="str">
        <f>VLOOKUP(VALUE(MID(A314,LEN(A314)-2,1)),table_world[[id]:[name]],2,0)</f>
        <v>荒漠</v>
      </c>
      <c r="D314" s="23">
        <v>1</v>
      </c>
      <c r="E314" s="12" t="s">
        <v>80</v>
      </c>
      <c r="F314" s="12" t="s">
        <v>254</v>
      </c>
      <c r="G314" s="12" t="s">
        <v>277</v>
      </c>
      <c r="H314" s="25" t="str" cm="1">
        <f t="array" aca="1" ref="H314" ca="1">_xlfn.LET(_xlpm._tb,_xlfn.XLOOKUP($B314,tb_shopType[type],tb_shopType[shop_table_name]),
_xlpm._col,MATCH($C314&amp;"-"&amp;TEXT(D314,"00"),INDIRECT(_xlpm._tb&amp;"[#标题]"),0),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709;300012=337;300013=75;300014=4;300021=337;300022=75;300023=4;300031=709;300032=337;300033=75;300034=4;300041=709;300042=337;300043=75;300044=4;300071=709;300072=337;300073=75;300074=4;300081=709;300082=337;300083=75;300084=4;301011=709;301012=337;301013=75;301014=4;301031=709;301032=337;301033=75;301034=4;301041=709;301042=337;301043=75;301044=4;301051=709;301052=337;301053=75;301054=4;302011=709;302012=337;302013=75;302014=4;302031=709;302032=337;302033=75;302034=4;302041=709;302042=337;302043=75;302044=4;302231=75;302232=4;302321=709;302322=337;302323=75;310203=709;310204=337;310205=75;310208=4;310218=4;310219=4;310223=4;310407=337;310408=75;310409=4;310501=75;310502=4;310504=75;310505=4;310507=75</v>
      </c>
    </row>
    <row r="315" spans="1:8" x14ac:dyDescent="0.2">
      <c r="A315" s="5">
        <v>40702</v>
      </c>
      <c r="B315" s="12" t="str">
        <f>VLOOKUP(VALUE(LEFT(A315,2)),tb_shopType[[prefix]:[type]],2,0)</f>
        <v>遗物商人</v>
      </c>
      <c r="C315" s="23" t="str">
        <f>VLOOKUP(VALUE(MID(A315,LEN(A315)-2,1)),table_world[[id]:[name]],2,0)</f>
        <v>荒漠</v>
      </c>
      <c r="D315" s="23">
        <v>2</v>
      </c>
      <c r="E315" s="12" t="s">
        <v>80</v>
      </c>
      <c r="F315" s="12" t="s">
        <v>255</v>
      </c>
      <c r="G315" s="12" t="s">
        <v>277</v>
      </c>
      <c r="H315" s="25" t="str" cm="1">
        <f t="array" aca="1" ref="H315" ca="1">_xlfn.LET(_xlpm._tb,_xlfn.XLOOKUP($B315,tb_shopType[type],tb_shopType[shop_table_name]),
_xlpm._col,MATCH($C315&amp;"-"&amp;TEXT(D315,"00"),INDIRECT(_xlpm._tb&amp;"[#标题]"),0),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705;300012=364;300013=94;300014=6;300021=364;300022=94;300023=6;300031=705;300032=364;300033=94;300034=6;300041=705;300042=364;300043=94;300044=6;300071=705;300072=364;300073=94;300074=6;300081=705;300082=364;300083=94;300084=6;301011=705;301012=364;301013=94;301014=6;301031=705;301032=364;301033=94;301034=6;301041=705;301042=364;301043=94;301044=6;301051=705;301052=364;301053=94;301054=6;302011=705;302012=364;302013=94;302014=6;302031=705;302032=364;302033=94;302034=6;302041=705;302042=364;302043=94;302044=6;302231=94;302232=6;302321=705;302322=364;302323=94;310203=705;310204=364;310205=94;310208=6;310218=6;310219=6;310223=6;310407=364;310408=94;310409=6;310501=94;310502=6;310504=94;310505=6;310507=94</v>
      </c>
    </row>
    <row r="316" spans="1:8" x14ac:dyDescent="0.2">
      <c r="A316" s="5">
        <v>40703</v>
      </c>
      <c r="B316" s="12" t="str">
        <f>VLOOKUP(VALUE(LEFT(A316,2)),tb_shopType[[prefix]:[type]],2,0)</f>
        <v>遗物商人</v>
      </c>
      <c r="C316" s="23" t="str">
        <f>VLOOKUP(VALUE(MID(A316,LEN(A316)-2,1)),table_world[[id]:[name]],2,0)</f>
        <v>荒漠</v>
      </c>
      <c r="D316" s="23">
        <v>3</v>
      </c>
      <c r="E316" s="12" t="s">
        <v>13</v>
      </c>
      <c r="F316" s="12" t="s">
        <v>256</v>
      </c>
      <c r="G316" s="12" t="s">
        <v>277</v>
      </c>
      <c r="H316" s="25" t="str" cm="1">
        <f t="array" aca="1" ref="H316" ca="1">_xlfn.LET(_xlpm._tb,_xlfn.XLOOKUP($B316,tb_shopType[type],tb_shopType[shop_table_name]),
_xlpm._col,MATCH($C316&amp;"-"&amp;TEXT(D316,"00"),INDIRECT(_xlpm._tb&amp;"[#标题]"),0),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692;300012=386;300013=115;300014=9;300021=386;300022=115;300023=9;300031=692;300032=386;300033=115;300034=9;300041=692;300042=386;300043=115;300044=9;300071=692;300072=386;300073=115;300074=9;300081=692;300082=386;300083=115;300084=9;301011=692;301012=386;301013=115;301014=9;301031=692;301032=386;301033=115;301034=9;301041=692;301042=386;301043=115;301044=9;301051=692;301052=386;301053=115;301054=9;302011=692;302012=386;302013=115;302014=9;302031=692;302032=386;302033=115;302034=9;302041=692;302042=386;302043=115;302044=9;302231=115;302232=9;302321=692;302322=386;302323=115;310203=692;310204=386;310205=115;310208=9;310218=9;310219=9;310223=9;310407=386;310408=115;310409=9;310501=115;310502=9;310504=115;310505=9;310507=115</v>
      </c>
    </row>
    <row r="317" spans="1:8" x14ac:dyDescent="0.2">
      <c r="A317" s="5">
        <v>40704</v>
      </c>
      <c r="B317" s="12" t="str">
        <f>VLOOKUP(VALUE(LEFT(A317,2)),tb_shopType[[prefix]:[type]],2,0)</f>
        <v>遗物商人</v>
      </c>
      <c r="C317" s="23" t="str">
        <f>VLOOKUP(VALUE(MID(A317,LEN(A317)-2,1)),table_world[[id]:[name]],2,0)</f>
        <v>荒漠</v>
      </c>
      <c r="D317" s="23">
        <v>4</v>
      </c>
      <c r="E317" s="12" t="s">
        <v>13</v>
      </c>
      <c r="F317" s="12" t="s">
        <v>257</v>
      </c>
      <c r="G317" s="12" t="s">
        <v>277</v>
      </c>
      <c r="H317" s="25" t="str" cm="1">
        <f t="array" aca="1" ref="H317" ca="1">_xlfn.LET(_xlpm._tb,_xlfn.XLOOKUP($B317,tb_shopType[type],tb_shopType[shop_table_name]),
_xlpm._col,MATCH($C317&amp;"-"&amp;TEXT(D317,"00"),INDIRECT(_xlpm._tb&amp;"[#标题]"),0),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671;300012=403;300013=137;300014=14;300021=403;300022=137;300023=14;300031=671;300032=403;300033=137;300034=14;300041=671;300042=403;300043=137;300044=14;300071=671;300072=403;300073=137;300074=14;300081=671;300082=403;300083=137;300084=14;301011=671;301012=403;301013=137;301014=14;301031=671;301032=403;301033=137;301034=14;301041=671;301042=403;301043=137;301044=14;301051=671;301052=403;301053=137;301054=14;302011=671;302012=403;302013=137;302014=14;302031=671;302032=403;302033=137;302034=14;302041=671;302042=403;302043=137;302044=14;302231=137;302232=14;302321=671;302322=403;302323=137;310203=671;310204=403;310205=137;310208=14;310218=14;310219=14;310223=14;310407=403;310408=137;310409=14;310501=137;310502=14;310504=137;310505=14;310507=137</v>
      </c>
    </row>
    <row r="318" spans="1:8" x14ac:dyDescent="0.2">
      <c r="A318" s="5">
        <v>40705</v>
      </c>
      <c r="B318" s="12" t="str">
        <f>VLOOKUP(VALUE(LEFT(A318,2)),tb_shopType[[prefix]:[type]],2,0)</f>
        <v>遗物商人</v>
      </c>
      <c r="C318" s="23" t="str">
        <f>VLOOKUP(VALUE(MID(A318,LEN(A318)-2,1)),table_world[[id]:[name]],2,0)</f>
        <v>荒漠</v>
      </c>
      <c r="D318" s="23">
        <v>5</v>
      </c>
      <c r="E318" s="12" t="s">
        <v>13</v>
      </c>
      <c r="F318" s="12" t="s">
        <v>258</v>
      </c>
      <c r="G318" s="12" t="s">
        <v>277</v>
      </c>
      <c r="H318" s="25" t="str" cm="1">
        <f t="array" aca="1" ref="H318" ca="1">_xlfn.LET(_xlpm._tb,_xlfn.XLOOKUP($B318,tb_shopType[type],tb_shopType[shop_table_name]),
_xlpm._col,MATCH($C318&amp;"-"&amp;TEXT(D318,"00"),INDIRECT(_xlpm._tb&amp;"[#标题]"),0),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643;300012=414;300013=160;300014=20;300021=414;300022=160;300023=20;300031=643;300032=414;300033=160;300034=20;300041=643;300042=414;300043=160;300044=20;300071=643;300072=414;300073=160;300074=20;300081=643;300082=414;300083=160;300084=20;301011=643;301012=414;301013=160;301014=20;301031=643;301032=414;301033=160;301034=20;301041=643;301042=414;301043=160;301044=20;301051=643;301052=414;301053=160;301054=20;302011=643;302012=414;302013=160;302014=20;302031=643;302032=414;302033=160;302034=20;302041=643;302042=414;302043=160;302044=20;302231=160;302232=20;302321=643;302322=414;302323=160;310203=643;310204=414;310205=160;310208=20;310218=20;310219=20;310223=20;310407=414;310408=160;310409=20;310501=160;310502=20;310504=160;310505=20;310507=160</v>
      </c>
    </row>
    <row r="319" spans="1:8" x14ac:dyDescent="0.2">
      <c r="A319" s="5">
        <v>40706</v>
      </c>
      <c r="B319" s="12" t="str">
        <f>VLOOKUP(VALUE(LEFT(A319,2)),tb_shopType[[prefix]:[type]],2,0)</f>
        <v>遗物商人</v>
      </c>
      <c r="C319" s="23" t="str">
        <f>VLOOKUP(VALUE(MID(A319,LEN(A319)-2,1)),table_world[[id]:[name]],2,0)</f>
        <v>荒漠</v>
      </c>
      <c r="D319" s="23">
        <v>6</v>
      </c>
      <c r="E319" s="12" t="s">
        <v>13</v>
      </c>
      <c r="F319" s="12" t="s">
        <v>259</v>
      </c>
      <c r="G319" s="12" t="s">
        <v>277</v>
      </c>
      <c r="H319" s="25" t="str" cm="1">
        <f t="array" aca="1" ref="H319" ca="1">_xlfn.LET(_xlpm._tb,_xlfn.XLOOKUP($B319,tb_shopType[type],tb_shopType[shop_table_name]),
_xlpm._col,MATCH($C319&amp;"-"&amp;TEXT(D319,"00"),INDIRECT(_xlpm._tb&amp;"[#标题]"),0),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608;300012=417;300013=183;300014=28;300021=417;300022=183;300023=28;300031=608;300032=417;300033=183;300034=28;300041=608;300042=417;300043=183;300044=28;300071=608;300072=417;300073=183;300074=28;300081=608;300082=417;300083=183;300084=28;301011=608;301012=417;301013=183;301014=28;301031=608;301032=417;301033=183;301034=28;301041=608;301042=417;301043=183;301044=28;301051=608;301052=417;301053=183;301054=28;302011=608;302012=417;302013=183;302014=28;302031=608;302032=417;302033=183;302034=28;302041=608;302042=417;302043=183;302044=28;302231=183;302232=28;302233=1;302321=608;302322=417;302323=183;310203=608;310204=417;310205=183;310206=1;310207=1;310208=28;310217=1;310218=28;310219=28;310223=28;310224=1;310225=1;310407=417;310408=183;310409=28;310501=183;310502=28;310503=1;310504=183;310505=28;310506=1;310507=183</v>
      </c>
    </row>
    <row r="320" spans="1:8" x14ac:dyDescent="0.2">
      <c r="A320" s="5">
        <v>40707</v>
      </c>
      <c r="B320" s="12" t="str">
        <f>VLOOKUP(VALUE(LEFT(A320,2)),tb_shopType[[prefix]:[type]],2,0)</f>
        <v>遗物商人</v>
      </c>
      <c r="C320" s="23" t="str">
        <f>VLOOKUP(VALUE(MID(A320,LEN(A320)-2,1)),table_world[[id]:[name]],2,0)</f>
        <v>荒漠</v>
      </c>
      <c r="D320" s="23">
        <v>7</v>
      </c>
      <c r="E320" s="12" t="s">
        <v>13</v>
      </c>
      <c r="F320" s="12" t="s">
        <v>260</v>
      </c>
      <c r="G320" s="12" t="s">
        <v>277</v>
      </c>
      <c r="H320" s="25" t="str" cm="1">
        <f t="array" aca="1" ref="H320" ca="1">_xlfn.LET(_xlpm._tb,_xlfn.XLOOKUP($B320,tb_shopType[type],tb_shopType[shop_table_name]),
_xlpm._col,MATCH($C320&amp;"-"&amp;TEXT(D320,"00"),INDIRECT(_xlpm._tb&amp;"[#标题]"),0),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568;300012=414;300013=203;300014=38;300021=414;300022=203;300023=38;300031=568;300032=414;300033=203;300034=38;300041=568;300042=414;300043=203;300044=38;300071=568;300072=414;300073=203;300074=38;300081=568;300082=414;300083=203;300084=38;301011=568;301012=414;301013=203;301014=38;301031=568;301032=414;301033=203;301034=38;301041=568;301042=414;301043=203;301044=38;301051=568;301052=414;301053=203;301054=38;302011=568;302012=414;302013=203;302014=38;302031=568;302032=414;302033=203;302034=38;302041=568;302042=414;302043=203;302044=38;302231=203;302232=38;302233=1;302321=568;302322=414;302323=203;310203=568;310204=414;310205=203;310206=1;310207=1;310208=38;310217=1;310218=38;310219=38;310223=38;310224=1;310225=1;310407=414;310408=203;310409=38;310501=203;310502=38;310503=1;310504=203;310505=38;310506=1;310507=203</v>
      </c>
    </row>
    <row r="321" spans="1:8" x14ac:dyDescent="0.2">
      <c r="A321" s="5">
        <v>40708</v>
      </c>
      <c r="B321" s="12" t="str">
        <f>VLOOKUP(VALUE(LEFT(A321,2)),tb_shopType[[prefix]:[type]],2,0)</f>
        <v>遗物商人</v>
      </c>
      <c r="C321" s="23" t="str">
        <f>VLOOKUP(VALUE(MID(A321,LEN(A321)-2,1)),table_world[[id]:[name]],2,0)</f>
        <v>荒漠</v>
      </c>
      <c r="D321" s="23">
        <v>8</v>
      </c>
      <c r="E321" s="12" t="s">
        <v>13</v>
      </c>
      <c r="F321" s="12" t="s">
        <v>261</v>
      </c>
      <c r="G321" s="12" t="s">
        <v>277</v>
      </c>
      <c r="H321" s="25" t="str" cm="1">
        <f t="array" aca="1" ref="H321" ca="1">_xlfn.LET(_xlpm._tb,_xlfn.XLOOKUP($B321,tb_shopType[type],tb_shopType[shop_table_name]),
_xlpm._col,MATCH($C321&amp;"-"&amp;TEXT(D321,"00"),INDIRECT(_xlpm._tb&amp;"[#标题]"),0),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524;300012=403;300013=221;300014=51;300021=403;300022=221;300023=51;300031=524;300032=403;300033=221;300034=51;300041=524;300042=403;300043=221;300044=51;300071=524;300072=403;300073=221;300074=51;300081=524;300082=403;300083=221;300084=51;301011=524;301012=403;301013=221;301014=51;301031=524;301032=403;301033=221;301034=51;301041=524;301042=403;301043=221;301044=51;301051=524;301052=403;301053=221;301054=51;302011=524;302012=403;302013=221;302014=51;302031=524;302032=403;302033=221;302034=51;302041=524;302042=403;302043=221;302044=51;302231=221;302232=51;302233=2;302321=524;302322=403;302323=221;310203=524;310204=403;310205=221;310206=2;310207=2;310208=51;310217=2;310218=51;310219=51;310223=51;310224=2;310225=2;310407=403;310408=221;310409=51;310501=221;310502=51;310503=2;310504=221;310505=51;310506=2;310507=221</v>
      </c>
    </row>
    <row r="322" spans="1:8" x14ac:dyDescent="0.2">
      <c r="A322" s="5">
        <v>40709</v>
      </c>
      <c r="B322" s="12" t="str">
        <f>VLOOKUP(VALUE(LEFT(A322,2)),tb_shopType[[prefix]:[type]],2,0)</f>
        <v>遗物商人</v>
      </c>
      <c r="C322" s="23" t="str">
        <f>VLOOKUP(VALUE(MID(A322,LEN(A322)-2,1)),table_world[[id]:[name]],2,0)</f>
        <v>荒漠</v>
      </c>
      <c r="D322" s="23">
        <v>9</v>
      </c>
      <c r="E322" s="12" t="s">
        <v>13</v>
      </c>
      <c r="F322" s="12" t="s">
        <v>262</v>
      </c>
      <c r="G322" s="12" t="s">
        <v>277</v>
      </c>
      <c r="H322" s="25" t="str" cm="1">
        <f t="array" aca="1" ref="H322" ca="1">_xlfn.LET(_xlpm._tb,_xlfn.XLOOKUP($B322,tb_shopType[type],tb_shopType[shop_table_name]),
_xlpm._col,MATCH($C322&amp;"-"&amp;TEXT(D322,"00"),INDIRECT(_xlpm._tb&amp;"[#标题]"),0),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478;300012=386;300013=234;300014=65;300021=386;300022=234;300023=65;300031=478;300032=386;300033=234;300034=65;300041=478;300042=386;300043=234;300044=65;300071=478;300072=386;300073=234;300074=65;300081=478;300082=386;300083=234;300084=65;301011=478;301012=386;301013=234;301014=65;301031=478;301032=386;301033=234;301034=65;301041=478;301042=386;301043=234;301044=65;301051=478;301052=386;301053=234;301054=65;302011=478;302012=386;302013=234;302014=65;302031=478;302032=386;302033=234;302034=65;302041=478;302042=386;302043=234;302044=65;302231=234;302232=65;302233=3;302321=478;302322=386;302323=234;310203=478;310204=386;310205=234;310206=3;310207=3;310208=65;310217=3;310218=65;310219=65;310223=65;310224=3;310225=3;310407=386;310408=234;310409=65;310501=234;310502=65;310503=3;310504=234;310505=65;310506=3;310507=234</v>
      </c>
    </row>
    <row r="323" spans="1:8" x14ac:dyDescent="0.2">
      <c r="A323" s="5">
        <v>40710</v>
      </c>
      <c r="B323" s="12" t="str">
        <f>VLOOKUP(VALUE(LEFT(A323,2)),tb_shopType[[prefix]:[type]],2,0)</f>
        <v>遗物商人</v>
      </c>
      <c r="C323" s="23" t="str">
        <f>VLOOKUP(VALUE(MID(A323,LEN(A323)-2,1)),table_world[[id]:[name]],2,0)</f>
        <v>荒漠</v>
      </c>
      <c r="D323" s="23">
        <v>10</v>
      </c>
      <c r="E323" s="12" t="s">
        <v>13</v>
      </c>
      <c r="F323" s="12" t="s">
        <v>263</v>
      </c>
      <c r="G323" s="12" t="s">
        <v>277</v>
      </c>
      <c r="H323" s="25" t="str" cm="1">
        <f t="array" aca="1" ref="H323" ca="1">_xlfn.LET(_xlpm._tb,_xlfn.XLOOKUP($B323,tb_shopType[type],tb_shopType[shop_table_name]),
_xlpm._col,MATCH($C323&amp;"-"&amp;TEXT(D323,"00"),INDIRECT(_xlpm._tb&amp;"[#标题]"),0),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430;300012=364;300013=243;300014=80;300021=364;300022=243;300023=80;300031=430;300032=364;300033=243;300034=80;300041=430;300042=364;300043=243;300044=80;300071=430;300072=364;300073=243;300074=80;300081=430;300082=364;300083=243;300084=80;301011=430;301012=364;301013=243;301014=80;301031=430;301032=364;301033=243;301034=80;301041=430;301042=364;301043=243;301044=80;301051=430;301052=364;301053=243;301054=80;302011=430;302012=364;302013=243;302014=80;302031=430;302032=364;302033=243;302034=80;302041=430;302042=364;302043=243;302044=80;302231=243;302232=80;302233=5;302321=430;302322=364;302323=243;310203=430;310204=364;310205=243;310206=5;310207=5;310208=80;310217=5;310218=80;310219=80;310223=80;310224=5;310225=5;310407=364;310408=243;310409=80;310501=243;310502=80;310503=5;310504=243;310505=80;310506=5;310507=243</v>
      </c>
    </row>
    <row r="324" spans="1:8" x14ac:dyDescent="0.2">
      <c r="A324" s="5">
        <v>40711</v>
      </c>
      <c r="B324" s="12" t="str">
        <f>VLOOKUP(VALUE(LEFT(A324,2)),tb_shopType[[prefix]:[type]],2,0)</f>
        <v>遗物商人</v>
      </c>
      <c r="C324" s="23" t="str">
        <f>VLOOKUP(VALUE(MID(A324,LEN(A324)-2,1)),table_world[[id]:[name]],2,0)</f>
        <v>荒漠</v>
      </c>
      <c r="D324" s="23">
        <v>11</v>
      </c>
      <c r="E324" s="12" t="s">
        <v>13</v>
      </c>
      <c r="F324" s="12" t="s">
        <v>264</v>
      </c>
      <c r="G324" s="12" t="s">
        <v>277</v>
      </c>
      <c r="H324" s="25" t="str" cm="1">
        <f t="array" aca="1" ref="H324" ca="1">_xlfn.LET(_xlpm._tb,_xlfn.XLOOKUP($B324,tb_shopType[type],tb_shopType[shop_table_name]),
_xlpm._col,MATCH($C324&amp;"-"&amp;TEXT(D324,"00"),INDIRECT(_xlpm._tb&amp;"[#标题]"),0),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383;300012=337;300013=245;300014=96;300021=337;300022=245;300023=96;300031=383;300032=337;300033=245;300034=96;300041=383;300042=337;300043=245;300044=96;300071=383;300072=337;300073=245;300074=96;300081=383;300082=337;300083=245;300084=96;301011=383;301012=337;301013=245;301014=96;301031=383;301032=337;301033=245;301034=96;301041=383;301042=337;301043=245;301044=96;301051=383;301052=337;301053=245;301054=96;302011=383;302012=337;302013=245;302014=96;302031=383;302032=337;302033=245;302034=96;302041=383;302042=337;302043=245;302044=96;302231=245;302232=96;302233=9;302321=383;302322=337;302323=245;310203=383;310204=337;310205=245;310206=9;310207=9;310208=96;310217=9;310218=96;310219=96;310223=96;310224=9;310225=9;310407=337;310408=245;310409=96;310501=245;310502=96;310503=9;310504=245;310505=96;310506=9;310507=245</v>
      </c>
    </row>
    <row r="325" spans="1:8" x14ac:dyDescent="0.2">
      <c r="A325" s="5">
        <v>40712</v>
      </c>
      <c r="B325" s="12" t="str">
        <f>VLOOKUP(VALUE(LEFT(A325,2)),tb_shopType[[prefix]:[type]],2,0)</f>
        <v>遗物商人</v>
      </c>
      <c r="C325" s="23" t="str">
        <f>VLOOKUP(VALUE(MID(A325,LEN(A325)-2,1)),table_world[[id]:[name]],2,0)</f>
        <v>荒漠</v>
      </c>
      <c r="D325" s="23">
        <v>12</v>
      </c>
      <c r="E325" s="12" t="s">
        <v>13</v>
      </c>
      <c r="F325" s="12" t="s">
        <v>265</v>
      </c>
      <c r="G325" s="12" t="s">
        <v>277</v>
      </c>
      <c r="H325" s="25" t="str" cm="1">
        <f t="array" aca="1" ref="H325" ca="1">_xlfn.LET(_xlpm._tb,_xlfn.XLOOKUP($B325,tb_shopType[type],tb_shopType[shop_table_name]),
_xlpm._col,MATCH($C325&amp;"-"&amp;TEXT(D325,"00"),INDIRECT(_xlpm._tb&amp;"[#标题]"),0),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336;300012=307;300013=243;300014=111;300021=307;300022=243;300023=111;300031=336;300032=307;300033=243;300034=111;300041=336;300042=307;300043=243;300044=111;300071=336;300072=307;300073=243;300074=111;300081=336;300082=307;300083=243;300084=111;301011=336;301012=307;301013=243;301014=111;301031=336;301032=307;301033=243;301034=111;301041=336;301042=307;301043=243;301044=111;301051=336;301052=307;301053=243;301054=111;302011=336;302012=307;302013=243;302014=111;302031=336;302032=307;302033=243;302034=111;302041=336;302042=307;302043=243;302044=111;302231=243;302232=111;302233=14;302321=336;302322=307;302323=243;310203=336;310204=307;310205=243;310206=14;310207=14;310208=111;310217=14;310218=111;310219=111;310223=111;310224=14;310225=14;310407=307;310408=243;310409=111;310501=243;310502=111;310503=14;310504=243;310505=111;310506=14;310507=243</v>
      </c>
    </row>
    <row r="326" spans="1:8" x14ac:dyDescent="0.2">
      <c r="A326" s="5">
        <v>40713</v>
      </c>
      <c r="B326" s="12" t="str">
        <f>VLOOKUP(VALUE(LEFT(A326,2)),tb_shopType[[prefix]:[type]],2,0)</f>
        <v>遗物商人</v>
      </c>
      <c r="C326" s="23" t="str">
        <f>VLOOKUP(VALUE(MID(A326,LEN(A326)-2,1)),table_world[[id]:[name]],2,0)</f>
        <v>荒漠</v>
      </c>
      <c r="D326" s="23">
        <v>13</v>
      </c>
      <c r="E326" s="12" t="s">
        <v>13</v>
      </c>
      <c r="F326" s="12" t="s">
        <v>266</v>
      </c>
      <c r="G326" s="12" t="s">
        <v>277</v>
      </c>
      <c r="H326" s="25" t="str" cm="1">
        <f t="array" aca="1" ref="H326" ca="1">_xlfn.LET(_xlpm._tb,_xlfn.XLOOKUP($B326,tb_shopType[type],tb_shopType[shop_table_name]),
_xlpm._col,MATCH($C326&amp;"-"&amp;TEXT(D326,"00"),INDIRECT(_xlpm._tb&amp;"[#标题]"),0),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292;300012=274;300013=234;300014=125;300021=274;300022=234;300023=125;300031=292;300032=274;300033=234;300034=125;300041=292;300042=274;300043=234;300044=125;300071=292;300072=274;300073=234;300074=125;300081=292;300082=274;300083=234;300084=125;301011=292;301012=274;301013=234;301014=125;301031=292;301032=274;301033=234;301034=125;301041=292;301042=274;301043=234;301044=125;301051=292;301052=274;301053=234;301054=125;302011=292;302012=274;302013=234;302014=125;302031=292;302032=274;302033=234;302034=125;302041=292;302042=274;302043=234;302044=125;302231=234;302232=125;302233=20;302321=292;302322=274;302323=234;310203=292;310204=274;310205=234;310206=20;310207=20;310208=125;310217=20;310218=125;310219=125;310223=125;310224=20;310225=20;310407=274;310408=234;310409=125;310501=234;310502=125;310503=20;310504=234;310505=125;310506=20;310507=234</v>
      </c>
    </row>
    <row r="327" spans="1:8" x14ac:dyDescent="0.2">
      <c r="A327" s="5">
        <v>40714</v>
      </c>
      <c r="B327" s="12" t="str">
        <f>VLOOKUP(VALUE(LEFT(A327,2)),tb_shopType[[prefix]:[type]],2,0)</f>
        <v>遗物商人</v>
      </c>
      <c r="C327" s="23" t="str">
        <f>VLOOKUP(VALUE(MID(A327,LEN(A327)-2,1)),table_world[[id]:[name]],2,0)</f>
        <v>荒漠</v>
      </c>
      <c r="D327" s="23">
        <v>14</v>
      </c>
      <c r="E327" s="12" t="s">
        <v>13</v>
      </c>
      <c r="F327" s="12" t="s">
        <v>267</v>
      </c>
      <c r="G327" s="12" t="s">
        <v>277</v>
      </c>
      <c r="H327" s="25" t="str" cm="1">
        <f t="array" aca="1" ref="H327" ca="1">_xlfn.LET(_xlpm._tb,_xlfn.XLOOKUP($B327,tb_shopType[type],tb_shopType[shop_table_name]),
_xlpm._col,MATCH($C327&amp;"-"&amp;TEXT(D327,"00"),INDIRECT(_xlpm._tb&amp;"[#标题]"),0),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250;300012=241;300013=221;300014=135;300021=241;300022=221;300023=135;300031=250;300032=241;300033=221;300034=135;300041=250;300042=241;300043=221;300044=135;300071=250;300072=241;300073=221;300074=135;300081=250;300082=241;300083=221;300084=135;301011=250;301012=241;301013=221;301014=135;301031=250;301032=241;301033=221;301034=135;301041=250;301042=241;301043=221;301044=135;301051=250;301052=241;301053=221;301054=135;302011=250;302012=241;302013=221;302014=135;302031=250;302032=241;302033=221;302034=135;302041=250;302042=241;302043=221;302044=135;302231=221;302232=135;302233=28;302321=250;302322=241;302323=221;310203=250;310204=241;310205=221;310206=28;310207=28;310208=135;310217=28;310218=135;310219=135;310223=135;310224=28;310225=28;310407=241;310408=221;310409=135;310501=221;310502=135;310503=28;310504=221;310505=135;310506=28;310507=221</v>
      </c>
    </row>
    <row r="328" spans="1:8" x14ac:dyDescent="0.2">
      <c r="A328" s="5">
        <v>40715</v>
      </c>
      <c r="B328" s="12" t="str">
        <f>VLOOKUP(VALUE(LEFT(A328,2)),tb_shopType[[prefix]:[type]],2,0)</f>
        <v>遗物商人</v>
      </c>
      <c r="C328" s="23" t="str">
        <f>VLOOKUP(VALUE(MID(A328,LEN(A328)-2,1)),table_world[[id]:[name]],2,0)</f>
        <v>荒漠</v>
      </c>
      <c r="D328" s="23">
        <v>15</v>
      </c>
      <c r="E328" s="12" t="s">
        <v>13</v>
      </c>
      <c r="F328" s="12" t="s">
        <v>268</v>
      </c>
      <c r="G328" s="12" t="s">
        <v>277</v>
      </c>
      <c r="H328" s="25" t="str" cm="1">
        <f t="array" aca="1" ref="H328" ca="1">_xlfn.LET(_xlpm._tb,_xlfn.XLOOKUP($B328,tb_shopType[type],tb_shopType[shop_table_name]),
_xlpm._col,MATCH($C328&amp;"-"&amp;TEXT(D328,"00"),INDIRECT(_xlpm._tb&amp;"[#标题]"),0),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212;300012=209;300013=203;300014=142;300021=209;300022=203;300023=142;300031=212;300032=209;300033=203;300034=142;300041=212;300042=209;300043=203;300044=142;300071=212;300072=209;300073=203;300074=142;300081=212;300082=209;300083=203;300084=142;301011=212;301012=209;301013=203;301014=142;301031=212;301032=209;301033=203;301034=142;301041=212;301042=209;301043=203;301044=142;301051=212;301052=209;301053=203;301054=142;302011=212;302012=209;302013=203;302014=142;302031=212;302032=209;302033=203;302034=142;302041=212;302042=209;302043=203;302044=142;302231=203;302232=142;302233=38;302321=212;302322=209;302323=203;310203=212;310204=209;310205=203;310206=38;310207=38;310208=142;310217=38;310218=142;310219=142;310223=142;310224=38;310225=38;310407=209;310408=203;310409=142;310501=203;310502=142;310503=38;310504=203;310505=142;310506=38;310507=203</v>
      </c>
    </row>
    <row r="329" spans="1:8" x14ac:dyDescent="0.2">
      <c r="A329" s="5">
        <v>40716</v>
      </c>
      <c r="B329" s="12" t="str">
        <f>VLOOKUP(VALUE(LEFT(A329,2)),tb_shopType[[prefix]:[type]],2,0)</f>
        <v>遗物商人</v>
      </c>
      <c r="C329" s="23" t="str">
        <f>VLOOKUP(VALUE(MID(A329,LEN(A329)-2,1)),table_world[[id]:[name]],2,0)</f>
        <v>荒漠</v>
      </c>
      <c r="D329" s="23">
        <v>16</v>
      </c>
      <c r="E329" s="12" t="s">
        <v>13</v>
      </c>
      <c r="F329" s="12" t="s">
        <v>269</v>
      </c>
      <c r="G329" s="12" t="s">
        <v>277</v>
      </c>
      <c r="H329" s="25" t="str" cm="1">
        <f t="array" aca="1" ref="H329" ca="1">_xlfn.LET(_xlpm._tb,_xlfn.XLOOKUP($B329,tb_shopType[type],tb_shopType[shop_table_name]),
_xlpm._col,MATCH($C329&amp;"-"&amp;TEXT(D329,"00"),INDIRECT(_xlpm._tb&amp;"[#标题]"),0),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177;300012=178;300013=183;300014=144;300021=178;300022=183;300023=144;300031=177;300032=178;300033=183;300034=144;300041=177;300042=178;300043=183;300044=144;300071=177;300072=178;300073=183;300074=144;300081=177;300082=178;300083=183;300084=144;301011=177;301012=178;301013=183;301014=144;301031=177;301032=178;301033=183;301034=144;301041=177;301042=178;301043=183;301044=144;301051=177;301052=178;301053=183;301054=144;302011=177;302012=178;302013=183;302014=144;302031=177;302032=178;302033=183;302034=144;302041=177;302042=178;302043=183;302044=144;302231=183;302232=144;302233=48;302321=177;302322=178;302323=183;310203=177;310204=178;310205=183;310206=48;310207=48;310208=144;310217=48;310218=144;310219=144;310223=144;310224=48;310225=48;310407=178;310408=183;310409=144;310501=183;310502=144;310503=48;310504=183;310505=144;310506=48;310507=183</v>
      </c>
    </row>
    <row r="330" spans="1:8" x14ac:dyDescent="0.2">
      <c r="A330" s="5">
        <v>40717</v>
      </c>
      <c r="B330" s="12" t="str">
        <f>VLOOKUP(VALUE(LEFT(A330,2)),tb_shopType[[prefix]:[type]],2,0)</f>
        <v>遗物商人</v>
      </c>
      <c r="C330" s="23" t="str">
        <f>VLOOKUP(VALUE(MID(A330,LEN(A330)-2,1)),table_world[[id]:[name]],2,0)</f>
        <v>荒漠</v>
      </c>
      <c r="D330" s="23">
        <v>17</v>
      </c>
      <c r="E330" s="12" t="s">
        <v>13</v>
      </c>
      <c r="F330" s="12" t="s">
        <v>270</v>
      </c>
      <c r="G330" s="12" t="s">
        <v>277</v>
      </c>
      <c r="H330" s="25" t="str" cm="1">
        <f t="array" aca="1" ref="H330" ca="1">_xlfn.LET(_xlpm._tb,_xlfn.XLOOKUP($B330,tb_shopType[type],tb_shopType[shop_table_name]),
_xlpm._col,MATCH($C330&amp;"-"&amp;TEXT(D330,"00"),INDIRECT(_xlpm._tb&amp;"[#标题]"),0),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146;300012=148;300013=160;300014=142;300021=148;300022=160;300023=142;300031=146;300032=148;300033=160;300034=142;300041=146;300042=148;300043=160;300044=142;300071=146;300072=148;300073=160;300074=142;300081=146;300082=148;300083=160;300084=142;301011=146;301012=148;301013=160;301014=142;301031=146;301032=148;301033=160;301034=142;301041=146;301042=148;301043=160;301044=142;301051=146;301052=148;301053=160;301054=142;302011=146;302012=148;302013=160;302014=142;302031=146;302032=148;302033=160;302034=142;302041=146;302042=148;302043=160;302044=142;302231=160;302232=142;302233=59;302321=146;302322=148;302323=160;310203=146;310204=148;310205=160;310206=59;310207=59;310208=142;310217=59;310218=142;310219=142;310223=142;310224=59;310225=59;310407=148;310408=160;310409=142;310501=160;310502=142;310503=59;310504=160;310505=142;310506=59;310507=160</v>
      </c>
    </row>
    <row r="331" spans="1:8" x14ac:dyDescent="0.2">
      <c r="A331" s="5">
        <v>40718</v>
      </c>
      <c r="B331" s="12" t="str">
        <f>VLOOKUP(VALUE(LEFT(A331,2)),tb_shopType[[prefix]:[type]],2,0)</f>
        <v>遗物商人</v>
      </c>
      <c r="C331" s="23" t="str">
        <f>VLOOKUP(VALUE(MID(A331,LEN(A331)-2,1)),table_world[[id]:[name]],2,0)</f>
        <v>荒漠</v>
      </c>
      <c r="D331" s="23">
        <v>18</v>
      </c>
      <c r="E331" s="12" t="s">
        <v>13</v>
      </c>
      <c r="F331" s="12" t="s">
        <v>271</v>
      </c>
      <c r="G331" s="12" t="s">
        <v>277</v>
      </c>
      <c r="H331" s="25" t="str" cm="1">
        <f t="array" aca="1" ref="H331" ca="1">_xlfn.LET(_xlpm._tb,_xlfn.XLOOKUP($B331,tb_shopType[type],tb_shopType[shop_table_name]),
_xlpm._col,MATCH($C331&amp;"-"&amp;TEXT(D331,"00"),INDIRECT(_xlpm._tb&amp;"[#标题]"),0),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119;300012=122;300013=137;300014=135;300021=122;300022=137;300023=135;300031=119;300032=122;300033=137;300034=135;300041=119;300042=122;300043=137;300044=135;300071=119;300072=122;300073=137;300074=135;300081=119;300082=122;300083=137;300084=135;301011=119;301012=122;301013=137;301014=135;301031=119;301032=122;301033=137;301034=135;301041=119;301042=122;301043=137;301044=135;301051=119;301052=122;301053=137;301054=135;302011=119;302012=122;302013=137;302014=135;302031=119;302032=122;302033=137;302034=135;302041=119;302042=122;302043=137;302044=135;302231=137;302232=135;302233=69;302321=119;302322=122;302323=137;310203=119;310204=122;310205=137;310206=69;310207=69;310208=135;310217=69;310218=135;310219=135;310223=135;310224=69;310225=69;310407=122;310408=137;310409=135;310501=137;310502=135;310503=69;310504=137;310505=135;310506=69;310507=137</v>
      </c>
    </row>
    <row r="332" spans="1:8" x14ac:dyDescent="0.2">
      <c r="A332" s="5">
        <v>40719</v>
      </c>
      <c r="B332" s="12" t="str">
        <f>VLOOKUP(VALUE(LEFT(A332,2)),tb_shopType[[prefix]:[type]],2,0)</f>
        <v>遗物商人</v>
      </c>
      <c r="C332" s="23" t="str">
        <f>VLOOKUP(VALUE(MID(A332,LEN(A332)-2,1)),table_world[[id]:[name]],2,0)</f>
        <v>荒漠</v>
      </c>
      <c r="D332" s="23">
        <v>19</v>
      </c>
      <c r="E332" s="12" t="s">
        <v>13</v>
      </c>
      <c r="F332" s="12" t="s">
        <v>272</v>
      </c>
      <c r="G332" s="12" t="s">
        <v>277</v>
      </c>
      <c r="H332" s="25" t="str" cm="1">
        <f t="array" aca="1" ref="H332" ca="1">_xlfn.LET(_xlpm._tb,_xlfn.XLOOKUP($B332,tb_shopType[type],tb_shopType[shop_table_name]),
_xlpm._col,MATCH($C332&amp;"-"&amp;TEXT(D332,"00"),INDIRECT(_xlpm._tb&amp;"[#标题]"),0),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96;300012=98;300013=115;300014=125;300021=98;300022=115;300023=125;300031=96;300032=98;300033=115;300034=125;300041=96;300042=98;300043=115;300044=125;300071=96;300072=98;300073=115;300074=125;300081=96;300082=98;300083=115;300084=125;301011=96;301012=98;301013=115;301014=125;301031=96;301032=98;301033=115;301034=125;301041=96;301042=98;301043=115;301044=125;301051=96;301052=98;301053=115;301054=125;302011=96;302012=98;302013=115;302014=125;302031=96;302032=98;302033=115;302034=125;302041=96;302042=98;302043=115;302044=125;302231=115;302232=125;302233=78;302321=96;302322=98;302323=115;310203=96;310204=98;310205=115;310206=78;310207=78;310208=125;310217=78;310218=125;310219=125;310223=125;310224=78;310225=78;310407=98;310408=115;310409=125;310501=115;310502=125;310503=78;310504=115;310505=125;310506=78;310507=115</v>
      </c>
    </row>
    <row r="333" spans="1:8" x14ac:dyDescent="0.2">
      <c r="A333" s="5">
        <v>40720</v>
      </c>
      <c r="B333" s="12" t="str">
        <f>VLOOKUP(VALUE(LEFT(A333,2)),tb_shopType[[prefix]:[type]],2,0)</f>
        <v>遗物商人</v>
      </c>
      <c r="C333" s="23" t="str">
        <f>VLOOKUP(VALUE(MID(A333,LEN(A333)-2,1)),table_world[[id]:[name]],2,0)</f>
        <v>荒漠</v>
      </c>
      <c r="D333" s="23">
        <v>20</v>
      </c>
      <c r="E333" s="12" t="s">
        <v>13</v>
      </c>
      <c r="F333" s="12" t="s">
        <v>273</v>
      </c>
      <c r="G333" s="12" t="s">
        <v>277</v>
      </c>
      <c r="H333" s="25" t="str" cm="1">
        <f t="array" aca="1" ref="H333" ca="1">_xlfn.LET(_xlpm._tb,_xlfn.XLOOKUP($B333,tb_shopType[type],tb_shopType[shop_table_name]),
_xlpm._col,MATCH($C333&amp;"-"&amp;TEXT(D333,"00"),INDIRECT(_xlpm._tb&amp;"[#标题]"),0),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76;300012=78;300013=94;300014=111;300021=78;300022=94;300023=111;300031=76;300032=78;300033=94;300034=111;300041=76;300042=78;300043=94;300044=111;300071=76;300072=78;300073=94;300074=111;300081=76;300082=78;300083=94;300084=111;301011=76;301012=78;301013=94;301014=111;301031=76;301032=78;301033=94;301034=111;301041=76;301042=78;301043=94;301044=111;301051=76;301052=78;301053=94;301054=111;302011=76;302012=78;302013=94;302014=111;302031=76;302032=78;302033=94;302034=111;302041=76;302042=78;302043=94;302044=111;302231=94;302232=111;302233=83;302321=76;302322=78;302323=94;310203=76;310204=78;310205=94;310206=83;310207=83;310208=111;310217=83;310218=111;310219=111;310223=111;310224=83;310225=83;310407=78;310408=94;310409=111;310501=94;310502=111;310503=83;310504=94;310505=111;310506=83;310507=94</v>
      </c>
    </row>
    <row r="335" spans="1:8" x14ac:dyDescent="0.2">
      <c r="A335" s="5">
        <v>40801</v>
      </c>
      <c r="B335" s="12" t="str">
        <f>VLOOKUP(VALUE(LEFT(A335,2)),tb_shopType[[prefix]:[type]],2,0)</f>
        <v>遗物商人</v>
      </c>
      <c r="C335" s="23" t="str">
        <f>VLOOKUP(VALUE(MID(A335,LEN(A335)-2,1)),table_world[[id]:[name]],2,0)</f>
        <v>大湖</v>
      </c>
      <c r="D335" s="23">
        <v>1</v>
      </c>
      <c r="E335" s="12" t="s">
        <v>80</v>
      </c>
      <c r="F335" s="12" t="s">
        <v>254</v>
      </c>
      <c r="G335" s="12" t="s">
        <v>277</v>
      </c>
      <c r="H335" s="25" t="str" cm="1">
        <f t="array" aca="1" ref="H335" ca="1">_xlfn.LET(_xlpm._tb,_xlfn.XLOOKUP($B335,tb_shopType[type],tb_shopType[shop_table_name]),
_xlpm._col,MATCH($C335&amp;"-"&amp;TEXT(D335,"00"),INDIRECT(_xlpm._tb&amp;"[#标题]"),0),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709;300012=337;300013=75;300014=4;300021=337;300022=75;300023=4;300031=709;300032=337;300033=75;300034=4;300041=709;300042=337;300043=75;300044=4;300071=709;300072=337;300073=75;300074=4;300081=709;300082=337;300083=75;300084=4;301011=709;301012=337;301013=75;301014=4;301031=709;301032=337;301033=75;301034=4;301041=709;301042=337;301043=75;301044=4;301051=709;301052=337;301053=75;301054=4;302011=709;302012=337;302013=75;302014=4;302031=709;302032=337;302033=75;302034=4;302041=709;302042=337;302043=75;302044=4;302231=75;302232=4;302321=709;302322=337;302323=75;310203=709;310204=337;310205=75;310208=4;310218=4;310219=4;310223=4;310407=337;310408=75;310409=4;310501=75;310502=4;310504=75;310505=4;310507=75</v>
      </c>
    </row>
    <row r="336" spans="1:8" x14ac:dyDescent="0.2">
      <c r="A336" s="5">
        <v>40802</v>
      </c>
      <c r="B336" s="12" t="str">
        <f>VLOOKUP(VALUE(LEFT(A336,2)),tb_shopType[[prefix]:[type]],2,0)</f>
        <v>遗物商人</v>
      </c>
      <c r="C336" s="23" t="str">
        <f>VLOOKUP(VALUE(MID(A336,LEN(A336)-2,1)),table_world[[id]:[name]],2,0)</f>
        <v>大湖</v>
      </c>
      <c r="D336" s="23">
        <v>2</v>
      </c>
      <c r="E336" s="12" t="s">
        <v>80</v>
      </c>
      <c r="F336" s="12" t="s">
        <v>255</v>
      </c>
      <c r="G336" s="12" t="s">
        <v>277</v>
      </c>
      <c r="H336" s="25" t="str" cm="1">
        <f t="array" aca="1" ref="H336" ca="1">_xlfn.LET(_xlpm._tb,_xlfn.XLOOKUP($B336,tb_shopType[type],tb_shopType[shop_table_name]),
_xlpm._col,MATCH($C336&amp;"-"&amp;TEXT(D336,"00"),INDIRECT(_xlpm._tb&amp;"[#标题]"),0),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705;300012=364;300013=94;300014=6;300021=364;300022=94;300023=6;300031=705;300032=364;300033=94;300034=6;300041=705;300042=364;300043=94;300044=6;300071=705;300072=364;300073=94;300074=6;300081=705;300082=364;300083=94;300084=6;301011=705;301012=364;301013=94;301014=6;301031=705;301032=364;301033=94;301034=6;301041=705;301042=364;301043=94;301044=6;301051=705;301052=364;301053=94;301054=6;302011=705;302012=364;302013=94;302014=6;302031=705;302032=364;302033=94;302034=6;302041=705;302042=364;302043=94;302044=6;302231=94;302232=6;302321=705;302322=364;302323=94;310203=705;310204=364;310205=94;310208=6;310218=6;310219=6;310223=6;310407=364;310408=94;310409=6;310501=94;310502=6;310504=94;310505=6;310507=94</v>
      </c>
    </row>
    <row r="337" spans="1:8" x14ac:dyDescent="0.2">
      <c r="A337" s="5">
        <v>40803</v>
      </c>
      <c r="B337" s="12" t="str">
        <f>VLOOKUP(VALUE(LEFT(A337,2)),tb_shopType[[prefix]:[type]],2,0)</f>
        <v>遗物商人</v>
      </c>
      <c r="C337" s="23" t="str">
        <f>VLOOKUP(VALUE(MID(A337,LEN(A337)-2,1)),table_world[[id]:[name]],2,0)</f>
        <v>大湖</v>
      </c>
      <c r="D337" s="23">
        <v>3</v>
      </c>
      <c r="E337" s="12" t="s">
        <v>13</v>
      </c>
      <c r="F337" s="12" t="s">
        <v>256</v>
      </c>
      <c r="G337" s="12" t="s">
        <v>277</v>
      </c>
      <c r="H337" s="25" t="str" cm="1">
        <f t="array" aca="1" ref="H337" ca="1">_xlfn.LET(_xlpm._tb,_xlfn.XLOOKUP($B337,tb_shopType[type],tb_shopType[shop_table_name]),
_xlpm._col,MATCH($C337&amp;"-"&amp;TEXT(D337,"00"),INDIRECT(_xlpm._tb&amp;"[#标题]"),0),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692;300012=386;300013=115;300014=9;300021=386;300022=115;300023=9;300031=692;300032=386;300033=115;300034=9;300041=692;300042=386;300043=115;300044=9;300071=692;300072=386;300073=115;300074=9;300081=692;300082=386;300083=115;300084=9;301011=692;301012=386;301013=115;301014=9;301031=692;301032=386;301033=115;301034=9;301041=692;301042=386;301043=115;301044=9;301051=692;301052=386;301053=115;301054=9;302011=692;302012=386;302013=115;302014=9;302031=692;302032=386;302033=115;302034=9;302041=692;302042=386;302043=115;302044=9;302231=115;302232=9;302321=692;302322=386;302323=115;310203=692;310204=386;310205=115;310208=9;310218=9;310219=9;310223=9;310407=386;310408=115;310409=9;310501=115;310502=9;310504=115;310505=9;310507=115</v>
      </c>
    </row>
    <row r="338" spans="1:8" x14ac:dyDescent="0.2">
      <c r="A338" s="5">
        <v>40804</v>
      </c>
      <c r="B338" s="12" t="str">
        <f>VLOOKUP(VALUE(LEFT(A338,2)),tb_shopType[[prefix]:[type]],2,0)</f>
        <v>遗物商人</v>
      </c>
      <c r="C338" s="23" t="str">
        <f>VLOOKUP(VALUE(MID(A338,LEN(A338)-2,1)),table_world[[id]:[name]],2,0)</f>
        <v>大湖</v>
      </c>
      <c r="D338" s="23">
        <v>4</v>
      </c>
      <c r="E338" s="12" t="s">
        <v>13</v>
      </c>
      <c r="F338" s="12" t="s">
        <v>257</v>
      </c>
      <c r="G338" s="12" t="s">
        <v>277</v>
      </c>
      <c r="H338" s="25" t="str" cm="1">
        <f t="array" aca="1" ref="H338" ca="1">_xlfn.LET(_xlpm._tb,_xlfn.XLOOKUP($B338,tb_shopType[type],tb_shopType[shop_table_name]),
_xlpm._col,MATCH($C338&amp;"-"&amp;TEXT(D338,"00"),INDIRECT(_xlpm._tb&amp;"[#标题]"),0),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671;300012=403;300013=137;300014=14;300021=403;300022=137;300023=14;300031=671;300032=403;300033=137;300034=14;300041=671;300042=403;300043=137;300044=14;300071=671;300072=403;300073=137;300074=14;300081=671;300082=403;300083=137;300084=14;301011=671;301012=403;301013=137;301014=14;301031=671;301032=403;301033=137;301034=14;301041=671;301042=403;301043=137;301044=14;301051=671;301052=403;301053=137;301054=14;302011=671;302012=403;302013=137;302014=14;302031=671;302032=403;302033=137;302034=14;302041=671;302042=403;302043=137;302044=14;302231=137;302232=14;302321=671;302322=403;302323=137;310203=671;310204=403;310205=137;310208=14;310218=14;310219=14;310223=14;310407=403;310408=137;310409=14;310501=137;310502=14;310504=137;310505=14;310507=137</v>
      </c>
    </row>
    <row r="339" spans="1:8" x14ac:dyDescent="0.2">
      <c r="A339" s="5">
        <v>40805</v>
      </c>
      <c r="B339" s="12" t="str">
        <f>VLOOKUP(VALUE(LEFT(A339,2)),tb_shopType[[prefix]:[type]],2,0)</f>
        <v>遗物商人</v>
      </c>
      <c r="C339" s="23" t="str">
        <f>VLOOKUP(VALUE(MID(A339,LEN(A339)-2,1)),table_world[[id]:[name]],2,0)</f>
        <v>大湖</v>
      </c>
      <c r="D339" s="23">
        <v>5</v>
      </c>
      <c r="E339" s="12" t="s">
        <v>13</v>
      </c>
      <c r="F339" s="12" t="s">
        <v>258</v>
      </c>
      <c r="G339" s="12" t="s">
        <v>277</v>
      </c>
      <c r="H339" s="25" t="str" cm="1">
        <f t="array" aca="1" ref="H339" ca="1">_xlfn.LET(_xlpm._tb,_xlfn.XLOOKUP($B339,tb_shopType[type],tb_shopType[shop_table_name]),
_xlpm._col,MATCH($C339&amp;"-"&amp;TEXT(D339,"00"),INDIRECT(_xlpm._tb&amp;"[#标题]"),0),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643;300012=414;300013=160;300014=20;300021=414;300022=160;300023=20;300031=643;300032=414;300033=160;300034=20;300041=643;300042=414;300043=160;300044=20;300071=643;300072=414;300073=160;300074=20;300081=643;300082=414;300083=160;300084=20;301011=643;301012=414;301013=160;301014=20;301031=643;301032=414;301033=160;301034=20;301041=643;301042=414;301043=160;301044=20;301051=643;301052=414;301053=160;301054=20;302011=643;302012=414;302013=160;302014=20;302031=643;302032=414;302033=160;302034=20;302041=643;302042=414;302043=160;302044=20;302231=160;302232=20;302321=643;302322=414;302323=160;310203=643;310204=414;310205=160;310208=20;310218=20;310219=20;310223=20;310407=414;310408=160;310409=20;310501=160;310502=20;310504=160;310505=20;310507=160</v>
      </c>
    </row>
    <row r="340" spans="1:8" x14ac:dyDescent="0.2">
      <c r="A340" s="5">
        <v>40806</v>
      </c>
      <c r="B340" s="12" t="str">
        <f>VLOOKUP(VALUE(LEFT(A340,2)),tb_shopType[[prefix]:[type]],2,0)</f>
        <v>遗物商人</v>
      </c>
      <c r="C340" s="23" t="str">
        <f>VLOOKUP(VALUE(MID(A340,LEN(A340)-2,1)),table_world[[id]:[name]],2,0)</f>
        <v>大湖</v>
      </c>
      <c r="D340" s="23">
        <v>6</v>
      </c>
      <c r="E340" s="12" t="s">
        <v>13</v>
      </c>
      <c r="F340" s="12" t="s">
        <v>259</v>
      </c>
      <c r="G340" s="12" t="s">
        <v>277</v>
      </c>
      <c r="H340" s="25" t="str" cm="1">
        <f t="array" aca="1" ref="H340" ca="1">_xlfn.LET(_xlpm._tb,_xlfn.XLOOKUP($B340,tb_shopType[type],tb_shopType[shop_table_name]),
_xlpm._col,MATCH($C340&amp;"-"&amp;TEXT(D340,"00"),INDIRECT(_xlpm._tb&amp;"[#标题]"),0),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608;300012=417;300013=183;300014=28;300021=417;300022=183;300023=28;300031=608;300032=417;300033=183;300034=28;300041=608;300042=417;300043=183;300044=28;300071=608;300072=417;300073=183;300074=28;300081=608;300082=417;300083=183;300084=28;301011=608;301012=417;301013=183;301014=28;301031=608;301032=417;301033=183;301034=28;301041=608;301042=417;301043=183;301044=28;301051=608;301052=417;301053=183;301054=28;302011=608;302012=417;302013=183;302014=28;302031=608;302032=417;302033=183;302034=28;302041=608;302042=417;302043=183;302044=28;302231=183;302232=28;302233=1;302321=608;302322=417;302323=183;310203=608;310204=417;310205=183;310206=1;310207=1;310208=28;310217=1;310218=28;310219=28;310223=28;310224=1;310225=1;310407=417;310408=183;310409=28;310501=183;310502=28;310503=1;310504=183;310505=28;310506=1;310507=183</v>
      </c>
    </row>
    <row r="341" spans="1:8" x14ac:dyDescent="0.2">
      <c r="A341" s="5">
        <v>40807</v>
      </c>
      <c r="B341" s="12" t="str">
        <f>VLOOKUP(VALUE(LEFT(A341,2)),tb_shopType[[prefix]:[type]],2,0)</f>
        <v>遗物商人</v>
      </c>
      <c r="C341" s="23" t="str">
        <f>VLOOKUP(VALUE(MID(A341,LEN(A341)-2,1)),table_world[[id]:[name]],2,0)</f>
        <v>大湖</v>
      </c>
      <c r="D341" s="23">
        <v>7</v>
      </c>
      <c r="E341" s="12" t="s">
        <v>13</v>
      </c>
      <c r="F341" s="12" t="s">
        <v>260</v>
      </c>
      <c r="G341" s="12" t="s">
        <v>277</v>
      </c>
      <c r="H341" s="25" t="str" cm="1">
        <f t="array" aca="1" ref="H341" ca="1">_xlfn.LET(_xlpm._tb,_xlfn.XLOOKUP($B341,tb_shopType[type],tb_shopType[shop_table_name]),
_xlpm._col,MATCH($C341&amp;"-"&amp;TEXT(D341,"00"),INDIRECT(_xlpm._tb&amp;"[#标题]"),0),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568;300012=414;300013=203;300014=38;300021=414;300022=203;300023=38;300031=568;300032=414;300033=203;300034=38;300041=568;300042=414;300043=203;300044=38;300071=568;300072=414;300073=203;300074=38;300081=568;300082=414;300083=203;300084=38;301011=568;301012=414;301013=203;301014=38;301031=568;301032=414;301033=203;301034=38;301041=568;301042=414;301043=203;301044=38;301051=568;301052=414;301053=203;301054=38;302011=568;302012=414;302013=203;302014=38;302031=568;302032=414;302033=203;302034=38;302041=568;302042=414;302043=203;302044=38;302231=203;302232=38;302233=1;302321=568;302322=414;302323=203;310203=568;310204=414;310205=203;310206=1;310207=1;310208=38;310217=1;310218=38;310219=38;310223=38;310224=1;310225=1;310407=414;310408=203;310409=38;310501=203;310502=38;310503=1;310504=203;310505=38;310506=1;310507=203</v>
      </c>
    </row>
    <row r="342" spans="1:8" x14ac:dyDescent="0.2">
      <c r="A342" s="5">
        <v>40808</v>
      </c>
      <c r="B342" s="12" t="str">
        <f>VLOOKUP(VALUE(LEFT(A342,2)),tb_shopType[[prefix]:[type]],2,0)</f>
        <v>遗物商人</v>
      </c>
      <c r="C342" s="23" t="str">
        <f>VLOOKUP(VALUE(MID(A342,LEN(A342)-2,1)),table_world[[id]:[name]],2,0)</f>
        <v>大湖</v>
      </c>
      <c r="D342" s="23">
        <v>8</v>
      </c>
      <c r="E342" s="12" t="s">
        <v>13</v>
      </c>
      <c r="F342" s="12" t="s">
        <v>261</v>
      </c>
      <c r="G342" s="12" t="s">
        <v>277</v>
      </c>
      <c r="H342" s="25" t="str" cm="1">
        <f t="array" aca="1" ref="H342" ca="1">_xlfn.LET(_xlpm._tb,_xlfn.XLOOKUP($B342,tb_shopType[type],tb_shopType[shop_table_name]),
_xlpm._col,MATCH($C342&amp;"-"&amp;TEXT(D342,"00"),INDIRECT(_xlpm._tb&amp;"[#标题]"),0),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524;300012=403;300013=221;300014=51;300021=403;300022=221;300023=51;300031=524;300032=403;300033=221;300034=51;300041=524;300042=403;300043=221;300044=51;300071=524;300072=403;300073=221;300074=51;300081=524;300082=403;300083=221;300084=51;301011=524;301012=403;301013=221;301014=51;301031=524;301032=403;301033=221;301034=51;301041=524;301042=403;301043=221;301044=51;301051=524;301052=403;301053=221;301054=51;302011=524;302012=403;302013=221;302014=51;302031=524;302032=403;302033=221;302034=51;302041=524;302042=403;302043=221;302044=51;302231=221;302232=51;302233=2;302321=524;302322=403;302323=221;310203=524;310204=403;310205=221;310206=2;310207=2;310208=51;310217=2;310218=51;310219=51;310223=51;310224=2;310225=2;310407=403;310408=221;310409=51;310501=221;310502=51;310503=2;310504=221;310505=51;310506=2;310507=221</v>
      </c>
    </row>
    <row r="343" spans="1:8" x14ac:dyDescent="0.2">
      <c r="A343" s="5">
        <v>40809</v>
      </c>
      <c r="B343" s="12" t="str">
        <f>VLOOKUP(VALUE(LEFT(A343,2)),tb_shopType[[prefix]:[type]],2,0)</f>
        <v>遗物商人</v>
      </c>
      <c r="C343" s="23" t="str">
        <f>VLOOKUP(VALUE(MID(A343,LEN(A343)-2,1)),table_world[[id]:[name]],2,0)</f>
        <v>大湖</v>
      </c>
      <c r="D343" s="23">
        <v>9</v>
      </c>
      <c r="E343" s="12" t="s">
        <v>13</v>
      </c>
      <c r="F343" s="12" t="s">
        <v>262</v>
      </c>
      <c r="G343" s="12" t="s">
        <v>277</v>
      </c>
      <c r="H343" s="25" t="str" cm="1">
        <f t="array" aca="1" ref="H343" ca="1">_xlfn.LET(_xlpm._tb,_xlfn.XLOOKUP($B343,tb_shopType[type],tb_shopType[shop_table_name]),
_xlpm._col,MATCH($C343&amp;"-"&amp;TEXT(D343,"00"),INDIRECT(_xlpm._tb&amp;"[#标题]"),0),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478;300012=386;300013=234;300014=65;300021=386;300022=234;300023=65;300031=478;300032=386;300033=234;300034=65;300041=478;300042=386;300043=234;300044=65;300071=478;300072=386;300073=234;300074=65;300081=478;300082=386;300083=234;300084=65;301011=478;301012=386;301013=234;301014=65;301031=478;301032=386;301033=234;301034=65;301041=478;301042=386;301043=234;301044=65;301051=478;301052=386;301053=234;301054=65;302011=478;302012=386;302013=234;302014=65;302031=478;302032=386;302033=234;302034=65;302041=478;302042=386;302043=234;302044=65;302231=234;302232=65;302233=3;302321=478;302322=386;302323=234;310203=478;310204=386;310205=234;310206=3;310207=3;310208=65;310217=3;310218=65;310219=65;310223=65;310224=3;310225=3;310407=386;310408=234;310409=65;310501=234;310502=65;310503=3;310504=234;310505=65;310506=3;310507=234</v>
      </c>
    </row>
    <row r="344" spans="1:8" x14ac:dyDescent="0.2">
      <c r="A344" s="5">
        <v>40810</v>
      </c>
      <c r="B344" s="12" t="str">
        <f>VLOOKUP(VALUE(LEFT(A344,2)),tb_shopType[[prefix]:[type]],2,0)</f>
        <v>遗物商人</v>
      </c>
      <c r="C344" s="23" t="str">
        <f>VLOOKUP(VALUE(MID(A344,LEN(A344)-2,1)),table_world[[id]:[name]],2,0)</f>
        <v>大湖</v>
      </c>
      <c r="D344" s="23">
        <v>10</v>
      </c>
      <c r="E344" s="12" t="s">
        <v>13</v>
      </c>
      <c r="F344" s="12" t="s">
        <v>263</v>
      </c>
      <c r="G344" s="12" t="s">
        <v>277</v>
      </c>
      <c r="H344" s="25" t="str" cm="1">
        <f t="array" aca="1" ref="H344" ca="1">_xlfn.LET(_xlpm._tb,_xlfn.XLOOKUP($B344,tb_shopType[type],tb_shopType[shop_table_name]),
_xlpm._col,MATCH($C344&amp;"-"&amp;TEXT(D344,"00"),INDIRECT(_xlpm._tb&amp;"[#标题]"),0),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430;300012=364;300013=243;300014=80;300021=364;300022=243;300023=80;300031=430;300032=364;300033=243;300034=80;300041=430;300042=364;300043=243;300044=80;300071=430;300072=364;300073=243;300074=80;300081=430;300082=364;300083=243;300084=80;301011=430;301012=364;301013=243;301014=80;301031=430;301032=364;301033=243;301034=80;301041=430;301042=364;301043=243;301044=80;301051=430;301052=364;301053=243;301054=80;302011=430;302012=364;302013=243;302014=80;302031=430;302032=364;302033=243;302034=80;302041=430;302042=364;302043=243;302044=80;302231=243;302232=80;302233=5;302321=430;302322=364;302323=243;310203=430;310204=364;310205=243;310206=5;310207=5;310208=80;310217=5;310218=80;310219=80;310223=80;310224=5;310225=5;310407=364;310408=243;310409=80;310501=243;310502=80;310503=5;310504=243;310505=80;310506=5;310507=243</v>
      </c>
    </row>
    <row r="345" spans="1:8" x14ac:dyDescent="0.2">
      <c r="A345" s="5">
        <v>40811</v>
      </c>
      <c r="B345" s="12" t="str">
        <f>VLOOKUP(VALUE(LEFT(A345,2)),tb_shopType[[prefix]:[type]],2,0)</f>
        <v>遗物商人</v>
      </c>
      <c r="C345" s="23" t="str">
        <f>VLOOKUP(VALUE(MID(A345,LEN(A345)-2,1)),table_world[[id]:[name]],2,0)</f>
        <v>大湖</v>
      </c>
      <c r="D345" s="23">
        <v>11</v>
      </c>
      <c r="E345" s="12" t="s">
        <v>13</v>
      </c>
      <c r="F345" s="12" t="s">
        <v>264</v>
      </c>
      <c r="G345" s="12" t="s">
        <v>277</v>
      </c>
      <c r="H345" s="25" t="str" cm="1">
        <f t="array" aca="1" ref="H345" ca="1">_xlfn.LET(_xlpm._tb,_xlfn.XLOOKUP($B345,tb_shopType[type],tb_shopType[shop_table_name]),
_xlpm._col,MATCH($C345&amp;"-"&amp;TEXT(D345,"00"),INDIRECT(_xlpm._tb&amp;"[#标题]"),0),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383;300012=337;300013=245;300014=96;300021=337;300022=245;300023=96;300031=383;300032=337;300033=245;300034=96;300041=383;300042=337;300043=245;300044=96;300071=383;300072=337;300073=245;300074=96;300081=383;300082=337;300083=245;300084=96;301011=383;301012=337;301013=245;301014=96;301031=383;301032=337;301033=245;301034=96;301041=383;301042=337;301043=245;301044=96;301051=383;301052=337;301053=245;301054=96;302011=383;302012=337;302013=245;302014=96;302031=383;302032=337;302033=245;302034=96;302041=383;302042=337;302043=245;302044=96;302231=245;302232=96;302233=9;302321=383;302322=337;302323=245;310203=383;310204=337;310205=245;310206=9;310207=9;310208=96;310217=9;310218=96;310219=96;310223=96;310224=9;310225=9;310407=337;310408=245;310409=96;310501=245;310502=96;310503=9;310504=245;310505=96;310506=9;310507=245</v>
      </c>
    </row>
    <row r="346" spans="1:8" x14ac:dyDescent="0.2">
      <c r="A346" s="5">
        <v>40812</v>
      </c>
      <c r="B346" s="12" t="str">
        <f>VLOOKUP(VALUE(LEFT(A346,2)),tb_shopType[[prefix]:[type]],2,0)</f>
        <v>遗物商人</v>
      </c>
      <c r="C346" s="23" t="str">
        <f>VLOOKUP(VALUE(MID(A346,LEN(A346)-2,1)),table_world[[id]:[name]],2,0)</f>
        <v>大湖</v>
      </c>
      <c r="D346" s="23">
        <v>12</v>
      </c>
      <c r="E346" s="12" t="s">
        <v>13</v>
      </c>
      <c r="F346" s="12" t="s">
        <v>265</v>
      </c>
      <c r="G346" s="12" t="s">
        <v>277</v>
      </c>
      <c r="H346" s="25" t="str" cm="1">
        <f t="array" aca="1" ref="H346" ca="1">_xlfn.LET(_xlpm._tb,_xlfn.XLOOKUP($B346,tb_shopType[type],tb_shopType[shop_table_name]),
_xlpm._col,MATCH($C346&amp;"-"&amp;TEXT(D346,"00"),INDIRECT(_xlpm._tb&amp;"[#标题]"),0),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336;300012=307;300013=243;300014=111;300021=307;300022=243;300023=111;300031=336;300032=307;300033=243;300034=111;300041=336;300042=307;300043=243;300044=111;300071=336;300072=307;300073=243;300074=111;300081=336;300082=307;300083=243;300084=111;301011=336;301012=307;301013=243;301014=111;301031=336;301032=307;301033=243;301034=111;301041=336;301042=307;301043=243;301044=111;301051=336;301052=307;301053=243;301054=111;302011=336;302012=307;302013=243;302014=111;302031=336;302032=307;302033=243;302034=111;302041=336;302042=307;302043=243;302044=111;302231=243;302232=111;302233=14;302321=336;302322=307;302323=243;310203=336;310204=307;310205=243;310206=14;310207=14;310208=111;310217=14;310218=111;310219=111;310223=111;310224=14;310225=14;310407=307;310408=243;310409=111;310501=243;310502=111;310503=14;310504=243;310505=111;310506=14;310507=243</v>
      </c>
    </row>
    <row r="347" spans="1:8" x14ac:dyDescent="0.2">
      <c r="A347" s="5">
        <v>40813</v>
      </c>
      <c r="B347" s="12" t="str">
        <f>VLOOKUP(VALUE(LEFT(A347,2)),tb_shopType[[prefix]:[type]],2,0)</f>
        <v>遗物商人</v>
      </c>
      <c r="C347" s="23" t="str">
        <f>VLOOKUP(VALUE(MID(A347,LEN(A347)-2,1)),table_world[[id]:[name]],2,0)</f>
        <v>大湖</v>
      </c>
      <c r="D347" s="23">
        <v>13</v>
      </c>
      <c r="E347" s="12" t="s">
        <v>13</v>
      </c>
      <c r="F347" s="12" t="s">
        <v>266</v>
      </c>
      <c r="G347" s="12" t="s">
        <v>277</v>
      </c>
      <c r="H347" s="25" t="str" cm="1">
        <f t="array" aca="1" ref="H347" ca="1">_xlfn.LET(_xlpm._tb,_xlfn.XLOOKUP($B347,tb_shopType[type],tb_shopType[shop_table_name]),
_xlpm._col,MATCH($C347&amp;"-"&amp;TEXT(D347,"00"),INDIRECT(_xlpm._tb&amp;"[#标题]"),0),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292;300012=274;300013=234;300014=125;300021=274;300022=234;300023=125;300031=292;300032=274;300033=234;300034=125;300041=292;300042=274;300043=234;300044=125;300071=292;300072=274;300073=234;300074=125;300081=292;300082=274;300083=234;300084=125;301011=292;301012=274;301013=234;301014=125;301031=292;301032=274;301033=234;301034=125;301041=292;301042=274;301043=234;301044=125;301051=292;301052=274;301053=234;301054=125;302011=292;302012=274;302013=234;302014=125;302031=292;302032=274;302033=234;302034=125;302041=292;302042=274;302043=234;302044=125;302231=234;302232=125;302233=20;302321=292;302322=274;302323=234;310203=292;310204=274;310205=234;310206=20;310207=20;310208=125;310217=20;310218=125;310219=125;310223=125;310224=20;310225=20;310407=274;310408=234;310409=125;310501=234;310502=125;310503=20;310504=234;310505=125;310506=20;310507=234</v>
      </c>
    </row>
    <row r="348" spans="1:8" x14ac:dyDescent="0.2">
      <c r="A348" s="5">
        <v>40814</v>
      </c>
      <c r="B348" s="12" t="str">
        <f>VLOOKUP(VALUE(LEFT(A348,2)),tb_shopType[[prefix]:[type]],2,0)</f>
        <v>遗物商人</v>
      </c>
      <c r="C348" s="23" t="str">
        <f>VLOOKUP(VALUE(MID(A348,LEN(A348)-2,1)),table_world[[id]:[name]],2,0)</f>
        <v>大湖</v>
      </c>
      <c r="D348" s="23">
        <v>14</v>
      </c>
      <c r="E348" s="12" t="s">
        <v>13</v>
      </c>
      <c r="F348" s="12" t="s">
        <v>267</v>
      </c>
      <c r="G348" s="12" t="s">
        <v>277</v>
      </c>
      <c r="H348" s="25" t="str" cm="1">
        <f t="array" aca="1" ref="H348" ca="1">_xlfn.LET(_xlpm._tb,_xlfn.XLOOKUP($B348,tb_shopType[type],tb_shopType[shop_table_name]),
_xlpm._col,MATCH($C348&amp;"-"&amp;TEXT(D348,"00"),INDIRECT(_xlpm._tb&amp;"[#标题]"),0),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250;300012=241;300013=221;300014=135;300021=241;300022=221;300023=135;300031=250;300032=241;300033=221;300034=135;300041=250;300042=241;300043=221;300044=135;300071=250;300072=241;300073=221;300074=135;300081=250;300082=241;300083=221;300084=135;301011=250;301012=241;301013=221;301014=135;301031=250;301032=241;301033=221;301034=135;301041=250;301042=241;301043=221;301044=135;301051=250;301052=241;301053=221;301054=135;302011=250;302012=241;302013=221;302014=135;302031=250;302032=241;302033=221;302034=135;302041=250;302042=241;302043=221;302044=135;302231=221;302232=135;302233=28;302321=250;302322=241;302323=221;310203=250;310204=241;310205=221;310206=28;310207=28;310208=135;310217=28;310218=135;310219=135;310223=135;310224=28;310225=28;310407=241;310408=221;310409=135;310501=221;310502=135;310503=28;310504=221;310505=135;310506=28;310507=221</v>
      </c>
    </row>
    <row r="349" spans="1:8" x14ac:dyDescent="0.2">
      <c r="A349" s="5">
        <v>40815</v>
      </c>
      <c r="B349" s="12" t="str">
        <f>VLOOKUP(VALUE(LEFT(A349,2)),tb_shopType[[prefix]:[type]],2,0)</f>
        <v>遗物商人</v>
      </c>
      <c r="C349" s="23" t="str">
        <f>VLOOKUP(VALUE(MID(A349,LEN(A349)-2,1)),table_world[[id]:[name]],2,0)</f>
        <v>大湖</v>
      </c>
      <c r="D349" s="23">
        <v>15</v>
      </c>
      <c r="E349" s="12" t="s">
        <v>13</v>
      </c>
      <c r="F349" s="12" t="s">
        <v>268</v>
      </c>
      <c r="G349" s="12" t="s">
        <v>277</v>
      </c>
      <c r="H349" s="25" t="str" cm="1">
        <f t="array" aca="1" ref="H349" ca="1">_xlfn.LET(_xlpm._tb,_xlfn.XLOOKUP($B349,tb_shopType[type],tb_shopType[shop_table_name]),
_xlpm._col,MATCH($C349&amp;"-"&amp;TEXT(D349,"00"),INDIRECT(_xlpm._tb&amp;"[#标题]"),0),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212;300012=209;300013=203;300014=142;300021=209;300022=203;300023=142;300031=212;300032=209;300033=203;300034=142;300041=212;300042=209;300043=203;300044=142;300071=212;300072=209;300073=203;300074=142;300081=212;300082=209;300083=203;300084=142;301011=212;301012=209;301013=203;301014=142;301031=212;301032=209;301033=203;301034=142;301041=212;301042=209;301043=203;301044=142;301051=212;301052=209;301053=203;301054=142;302011=212;302012=209;302013=203;302014=142;302031=212;302032=209;302033=203;302034=142;302041=212;302042=209;302043=203;302044=142;302231=203;302232=142;302233=38;302321=212;302322=209;302323=203;310203=212;310204=209;310205=203;310206=38;310207=38;310208=142;310217=38;310218=142;310219=142;310223=142;310224=38;310225=38;310407=209;310408=203;310409=142;310501=203;310502=142;310503=38;310504=203;310505=142;310506=38;310507=203</v>
      </c>
    </row>
    <row r="350" spans="1:8" x14ac:dyDescent="0.2">
      <c r="A350" s="5">
        <v>40816</v>
      </c>
      <c r="B350" s="12" t="str">
        <f>VLOOKUP(VALUE(LEFT(A350,2)),tb_shopType[[prefix]:[type]],2,0)</f>
        <v>遗物商人</v>
      </c>
      <c r="C350" s="23" t="str">
        <f>VLOOKUP(VALUE(MID(A350,LEN(A350)-2,1)),table_world[[id]:[name]],2,0)</f>
        <v>大湖</v>
      </c>
      <c r="D350" s="23">
        <v>16</v>
      </c>
      <c r="E350" s="12" t="s">
        <v>13</v>
      </c>
      <c r="F350" s="12" t="s">
        <v>269</v>
      </c>
      <c r="G350" s="12" t="s">
        <v>277</v>
      </c>
      <c r="H350" s="25" t="str" cm="1">
        <f t="array" aca="1" ref="H350" ca="1">_xlfn.LET(_xlpm._tb,_xlfn.XLOOKUP($B350,tb_shopType[type],tb_shopType[shop_table_name]),
_xlpm._col,MATCH($C350&amp;"-"&amp;TEXT(D350,"00"),INDIRECT(_xlpm._tb&amp;"[#标题]"),0),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177;300012=178;300013=183;300014=144;300021=178;300022=183;300023=144;300031=177;300032=178;300033=183;300034=144;300041=177;300042=178;300043=183;300044=144;300071=177;300072=178;300073=183;300074=144;300081=177;300082=178;300083=183;300084=144;301011=177;301012=178;301013=183;301014=144;301031=177;301032=178;301033=183;301034=144;301041=177;301042=178;301043=183;301044=144;301051=177;301052=178;301053=183;301054=144;302011=177;302012=178;302013=183;302014=144;302031=177;302032=178;302033=183;302034=144;302041=177;302042=178;302043=183;302044=144;302231=183;302232=144;302233=48;302321=177;302322=178;302323=183;310203=177;310204=178;310205=183;310206=48;310207=48;310208=144;310217=48;310218=144;310219=144;310223=144;310224=48;310225=48;310407=178;310408=183;310409=144;310501=183;310502=144;310503=48;310504=183;310505=144;310506=48;310507=183</v>
      </c>
    </row>
    <row r="351" spans="1:8" x14ac:dyDescent="0.2">
      <c r="A351" s="5">
        <v>40817</v>
      </c>
      <c r="B351" s="12" t="str">
        <f>VLOOKUP(VALUE(LEFT(A351,2)),tb_shopType[[prefix]:[type]],2,0)</f>
        <v>遗物商人</v>
      </c>
      <c r="C351" s="23" t="str">
        <f>VLOOKUP(VALUE(MID(A351,LEN(A351)-2,1)),table_world[[id]:[name]],2,0)</f>
        <v>大湖</v>
      </c>
      <c r="D351" s="23">
        <v>17</v>
      </c>
      <c r="E351" s="12" t="s">
        <v>13</v>
      </c>
      <c r="F351" s="12" t="s">
        <v>270</v>
      </c>
      <c r="G351" s="12" t="s">
        <v>277</v>
      </c>
      <c r="H351" s="25" t="str" cm="1">
        <f t="array" aca="1" ref="H351" ca="1">_xlfn.LET(_xlpm._tb,_xlfn.XLOOKUP($B351,tb_shopType[type],tb_shopType[shop_table_name]),
_xlpm._col,MATCH($C351&amp;"-"&amp;TEXT(D351,"00"),INDIRECT(_xlpm._tb&amp;"[#标题]"),0),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146;300012=148;300013=160;300014=142;300021=148;300022=160;300023=142;300031=146;300032=148;300033=160;300034=142;300041=146;300042=148;300043=160;300044=142;300071=146;300072=148;300073=160;300074=142;300081=146;300082=148;300083=160;300084=142;301011=146;301012=148;301013=160;301014=142;301031=146;301032=148;301033=160;301034=142;301041=146;301042=148;301043=160;301044=142;301051=146;301052=148;301053=160;301054=142;302011=146;302012=148;302013=160;302014=142;302031=146;302032=148;302033=160;302034=142;302041=146;302042=148;302043=160;302044=142;302231=160;302232=142;302233=59;302321=146;302322=148;302323=160;310203=146;310204=148;310205=160;310206=59;310207=59;310208=142;310217=59;310218=142;310219=142;310223=142;310224=59;310225=59;310407=148;310408=160;310409=142;310501=160;310502=142;310503=59;310504=160;310505=142;310506=59;310507=160</v>
      </c>
    </row>
    <row r="352" spans="1:8" x14ac:dyDescent="0.2">
      <c r="A352" s="5">
        <v>40818</v>
      </c>
      <c r="B352" s="12" t="str">
        <f>VLOOKUP(VALUE(LEFT(A352,2)),tb_shopType[[prefix]:[type]],2,0)</f>
        <v>遗物商人</v>
      </c>
      <c r="C352" s="23" t="str">
        <f>VLOOKUP(VALUE(MID(A352,LEN(A352)-2,1)),table_world[[id]:[name]],2,0)</f>
        <v>大湖</v>
      </c>
      <c r="D352" s="23">
        <v>18</v>
      </c>
      <c r="E352" s="12" t="s">
        <v>13</v>
      </c>
      <c r="F352" s="12" t="s">
        <v>271</v>
      </c>
      <c r="G352" s="12" t="s">
        <v>277</v>
      </c>
      <c r="H352" s="25" t="str" cm="1">
        <f t="array" aca="1" ref="H352" ca="1">_xlfn.LET(_xlpm._tb,_xlfn.XLOOKUP($B352,tb_shopType[type],tb_shopType[shop_table_name]),
_xlpm._col,MATCH($C352&amp;"-"&amp;TEXT(D352,"00"),INDIRECT(_xlpm._tb&amp;"[#标题]"),0),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119;300012=122;300013=137;300014=135;300021=122;300022=137;300023=135;300031=119;300032=122;300033=137;300034=135;300041=119;300042=122;300043=137;300044=135;300071=119;300072=122;300073=137;300074=135;300081=119;300082=122;300083=137;300084=135;301011=119;301012=122;301013=137;301014=135;301031=119;301032=122;301033=137;301034=135;301041=119;301042=122;301043=137;301044=135;301051=119;301052=122;301053=137;301054=135;302011=119;302012=122;302013=137;302014=135;302031=119;302032=122;302033=137;302034=135;302041=119;302042=122;302043=137;302044=135;302231=137;302232=135;302233=69;302321=119;302322=122;302323=137;310203=119;310204=122;310205=137;310206=69;310207=69;310208=135;310217=69;310218=135;310219=135;310223=135;310224=69;310225=69;310407=122;310408=137;310409=135;310501=137;310502=135;310503=69;310504=137;310505=135;310506=69;310507=137</v>
      </c>
    </row>
    <row r="353" spans="1:8" x14ac:dyDescent="0.2">
      <c r="A353" s="5">
        <v>40819</v>
      </c>
      <c r="B353" s="12" t="str">
        <f>VLOOKUP(VALUE(LEFT(A353,2)),tb_shopType[[prefix]:[type]],2,0)</f>
        <v>遗物商人</v>
      </c>
      <c r="C353" s="23" t="str">
        <f>VLOOKUP(VALUE(MID(A353,LEN(A353)-2,1)),table_world[[id]:[name]],2,0)</f>
        <v>大湖</v>
      </c>
      <c r="D353" s="23">
        <v>19</v>
      </c>
      <c r="E353" s="12" t="s">
        <v>13</v>
      </c>
      <c r="F353" s="12" t="s">
        <v>272</v>
      </c>
      <c r="G353" s="12" t="s">
        <v>277</v>
      </c>
      <c r="H353" s="25" t="str" cm="1">
        <f t="array" aca="1" ref="H353" ca="1">_xlfn.LET(_xlpm._tb,_xlfn.XLOOKUP($B353,tb_shopType[type],tb_shopType[shop_table_name]),
_xlpm._col,MATCH($C353&amp;"-"&amp;TEXT(D353,"00"),INDIRECT(_xlpm._tb&amp;"[#标题]"),0),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96;300012=98;300013=115;300014=125;300021=98;300022=115;300023=125;300031=96;300032=98;300033=115;300034=125;300041=96;300042=98;300043=115;300044=125;300071=96;300072=98;300073=115;300074=125;300081=96;300082=98;300083=115;300084=125;301011=96;301012=98;301013=115;301014=125;301031=96;301032=98;301033=115;301034=125;301041=96;301042=98;301043=115;301044=125;301051=96;301052=98;301053=115;301054=125;302011=96;302012=98;302013=115;302014=125;302031=96;302032=98;302033=115;302034=125;302041=96;302042=98;302043=115;302044=125;302231=115;302232=125;302233=78;302321=96;302322=98;302323=115;310203=96;310204=98;310205=115;310206=78;310207=78;310208=125;310217=78;310218=125;310219=125;310223=125;310224=78;310225=78;310407=98;310408=115;310409=125;310501=115;310502=125;310503=78;310504=115;310505=125;310506=78;310507=115</v>
      </c>
    </row>
    <row r="354" spans="1:8" x14ac:dyDescent="0.2">
      <c r="A354" s="5">
        <v>40820</v>
      </c>
      <c r="B354" s="12" t="str">
        <f>VLOOKUP(VALUE(LEFT(A354,2)),tb_shopType[[prefix]:[type]],2,0)</f>
        <v>遗物商人</v>
      </c>
      <c r="C354" s="23" t="str">
        <f>VLOOKUP(VALUE(MID(A354,LEN(A354)-2,1)),table_world[[id]:[name]],2,0)</f>
        <v>大湖</v>
      </c>
      <c r="D354" s="23">
        <v>20</v>
      </c>
      <c r="E354" s="12" t="s">
        <v>13</v>
      </c>
      <c r="F354" s="12" t="s">
        <v>273</v>
      </c>
      <c r="G354" s="12" t="s">
        <v>277</v>
      </c>
      <c r="H354" s="25" t="str" cm="1">
        <f t="array" aca="1" ref="H354" ca="1">_xlfn.LET(_xlpm._tb,_xlfn.XLOOKUP($B354,tb_shopType[type],tb_shopType[shop_table_name]),
_xlpm._col,MATCH($C354&amp;"-"&amp;TEXT(D354,"00"),INDIRECT(_xlpm._tb&amp;"[#标题]"),0),
_xlpm._arr_id,INDIRECT(_xlpm._tb&amp;"[id]"),
_xlpm._count,ROWS(_xlpm._arr_id),
_xlpm._arr_weight,OFFSET(INDIRECT(_xlpm._tb),0,_xlpm._col-1,_xlpm._count,1),
_xlpm._outcome_arr,_xlfn.MAP(_xlpm._arr_id,_xlpm._arr_weight,_xlfn.LAMBDA(_xlpm.a,_xlpm.b,IF(AND(_xlpm.a&lt;&gt;"",_xlpm.b&lt;&gt;0),_xlpm.a&amp;"="&amp;_xlpm.b,""))),
_xlfn.TEXTJOIN(";",1,_xlpm._outcome_arr))</f>
        <v>300011=76;300012=78;300013=94;300014=111;300021=78;300022=94;300023=111;300031=76;300032=78;300033=94;300034=111;300041=76;300042=78;300043=94;300044=111;300071=76;300072=78;300073=94;300074=111;300081=76;300082=78;300083=94;300084=111;301011=76;301012=78;301013=94;301014=111;301031=76;301032=78;301033=94;301034=111;301041=76;301042=78;301043=94;301044=111;301051=76;301052=78;301053=94;301054=111;302011=76;302012=78;302013=94;302014=111;302031=76;302032=78;302033=94;302034=111;302041=76;302042=78;302043=94;302044=111;302231=94;302232=111;302233=83;302321=76;302322=78;302323=94;310203=76;310204=78;310205=94;310206=83;310207=83;310208=111;310217=83;310218=111;310219=111;310223=111;310224=83;310225=83;310407=78;310408=94;310409=111;310501=94;310502=111;310503=83;310504=94;310505=111;310506=83;310507=94</v>
      </c>
    </row>
  </sheetData>
  <phoneticPr fontId="7" type="noConversion"/>
  <conditionalFormatting sqref="A1:A1048576">
    <cfRule type="duplicateValues" dxfId="5" priority="1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E432-37F0-4EA9-BDC1-1348B93BE9BD}">
  <dimension ref="A1:E9"/>
  <sheetViews>
    <sheetView topLeftCell="A23" workbookViewId="0">
      <selection activeCell="E8" sqref="E8"/>
    </sheetView>
  </sheetViews>
  <sheetFormatPr defaultColWidth="9.125" defaultRowHeight="14.25" x14ac:dyDescent="0.2"/>
  <cols>
    <col min="1" max="1" width="9.25" style="5" bestFit="1" customWidth="1"/>
    <col min="2" max="2" width="20.75" style="5" bestFit="1" customWidth="1"/>
    <col min="3" max="3" width="12.625" style="44" bestFit="1" customWidth="1"/>
    <col min="4" max="4" width="9.125" style="34"/>
    <col min="5" max="5" width="31" style="5" customWidth="1"/>
  </cols>
  <sheetData>
    <row r="1" spans="1:5" s="2" customFormat="1" x14ac:dyDescent="0.2">
      <c r="A1" s="2" t="s">
        <v>66</v>
      </c>
      <c r="B1" s="2" t="s">
        <v>67</v>
      </c>
      <c r="C1" s="41"/>
      <c r="D1" s="31"/>
      <c r="E1" s="2" t="s">
        <v>207</v>
      </c>
    </row>
    <row r="2" spans="1:5" s="3" customFormat="1" x14ac:dyDescent="0.2">
      <c r="A2" s="3" t="s">
        <v>210</v>
      </c>
      <c r="B2" s="3" t="s">
        <v>206</v>
      </c>
      <c r="C2" s="42"/>
      <c r="D2" s="32"/>
      <c r="E2" s="3" t="s">
        <v>206</v>
      </c>
    </row>
    <row r="3" spans="1:5" s="4" customFormat="1" ht="39.75" x14ac:dyDescent="0.2">
      <c r="A3" s="11" t="s">
        <v>211</v>
      </c>
      <c r="B3" s="11" t="s">
        <v>209</v>
      </c>
      <c r="C3" s="43"/>
      <c r="D3" s="33" t="s">
        <v>217</v>
      </c>
      <c r="E3" s="11" t="s">
        <v>208</v>
      </c>
    </row>
    <row r="4" spans="1:5" x14ac:dyDescent="0.2">
      <c r="A4" s="12" t="s">
        <v>214</v>
      </c>
      <c r="B4" s="12" t="str">
        <f>"safe_zone_"&amp;D4</f>
        <v>safe_zone_0</v>
      </c>
      <c r="C4" s="44" t="s">
        <v>356</v>
      </c>
      <c r="D4" s="34">
        <v>0</v>
      </c>
      <c r="E4" s="12" t="str">
        <f>"icon_store[namecard-npc_"&amp;D4&amp;"]"</f>
        <v>icon_store[namecard-npc_0]</v>
      </c>
    </row>
    <row r="5" spans="1:5" x14ac:dyDescent="0.2">
      <c r="A5" s="12" t="s">
        <v>215</v>
      </c>
      <c r="B5" s="12" t="str">
        <f t="shared" ref="B5:B8" si="0">"safe_zone_"&amp;D5</f>
        <v>safe_zone_1</v>
      </c>
      <c r="C5" s="44" t="s">
        <v>357</v>
      </c>
      <c r="D5" s="34">
        <v>1</v>
      </c>
      <c r="E5" s="12" t="str">
        <f>"icon_store[namecard-npc_"&amp;D5&amp;"]"</f>
        <v>icon_store[namecard-npc_1]</v>
      </c>
    </row>
    <row r="6" spans="1:5" x14ac:dyDescent="0.2">
      <c r="A6" s="12" t="s">
        <v>212</v>
      </c>
      <c r="B6" s="12" t="str">
        <f t="shared" si="0"/>
        <v>safe_zone_2</v>
      </c>
      <c r="C6" s="44" t="s">
        <v>358</v>
      </c>
      <c r="D6" s="34">
        <v>2</v>
      </c>
      <c r="E6" s="12" t="str">
        <f>"icon_store[namecard-npc_"&amp;D6&amp;"]"</f>
        <v>icon_store[namecard-npc_2]</v>
      </c>
    </row>
    <row r="7" spans="1:5" x14ac:dyDescent="0.2">
      <c r="A7" s="12" t="s">
        <v>213</v>
      </c>
      <c r="B7" s="12" t="str">
        <f t="shared" si="0"/>
        <v>safe_zone_3</v>
      </c>
      <c r="C7" s="44" t="s">
        <v>359</v>
      </c>
      <c r="D7" s="34">
        <v>3</v>
      </c>
      <c r="E7" s="12" t="str">
        <f t="shared" ref="E7:E8" si="1">"icon_store[namecard-npc_"&amp;D7&amp;"]"</f>
        <v>icon_store[namecard-npc_3]</v>
      </c>
    </row>
    <row r="8" spans="1:5" x14ac:dyDescent="0.2">
      <c r="A8" s="12" t="s">
        <v>216</v>
      </c>
      <c r="B8" s="12" t="str">
        <f t="shared" si="0"/>
        <v>safe_zone_5</v>
      </c>
      <c r="C8" s="44" t="s">
        <v>360</v>
      </c>
      <c r="D8" s="34">
        <v>5</v>
      </c>
      <c r="E8" s="12" t="str">
        <f t="shared" si="1"/>
        <v>icon_store[namecard-npc_5]</v>
      </c>
    </row>
    <row r="9" spans="1:5" x14ac:dyDescent="0.2">
      <c r="A9" s="12"/>
    </row>
  </sheetData>
  <phoneticPr fontId="7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E4AF-C925-455E-AE15-61B3A2D46388}">
  <sheetPr>
    <tabColor rgb="FFA7DBEB"/>
  </sheetPr>
  <dimension ref="A1:CT143"/>
  <sheetViews>
    <sheetView tabSelected="1" zoomScaleNormal="100" workbookViewId="0">
      <pane xSplit="4" ySplit="1" topLeftCell="BH2" activePane="bottomRight" state="frozen"/>
      <selection pane="topRight" activeCell="E1" sqref="E1"/>
      <selection pane="bottomLeft" activeCell="A2" sqref="A2"/>
      <selection pane="bottomRight" activeCell="BP6" sqref="BP6"/>
    </sheetView>
  </sheetViews>
  <sheetFormatPr defaultColWidth="9.625" defaultRowHeight="14.25" x14ac:dyDescent="0.2"/>
  <cols>
    <col min="1" max="1" width="9.5" style="16" bestFit="1" customWidth="1"/>
    <col min="2" max="2" width="13" style="16" bestFit="1" customWidth="1"/>
    <col min="3" max="3" width="9.25" style="16" bestFit="1" customWidth="1"/>
    <col min="4" max="4" width="9.375" style="16" bestFit="1" customWidth="1"/>
    <col min="45" max="85" width="9.625" style="16"/>
    <col min="99" max="16384" width="9.625" style="16"/>
  </cols>
  <sheetData>
    <row r="1" spans="1:98" s="27" customFormat="1" x14ac:dyDescent="0.2">
      <c r="A1" s="17" t="s">
        <v>92</v>
      </c>
      <c r="B1" s="17" t="s">
        <v>93</v>
      </c>
      <c r="C1" s="17" t="s">
        <v>425</v>
      </c>
      <c r="D1" s="17" t="s">
        <v>423</v>
      </c>
      <c r="E1" s="30" t="s">
        <v>156</v>
      </c>
      <c r="F1" s="30" t="s">
        <v>157</v>
      </c>
      <c r="G1" s="30" t="s">
        <v>158</v>
      </c>
      <c r="H1" s="30" t="s">
        <v>159</v>
      </c>
      <c r="I1" s="30" t="s">
        <v>160</v>
      </c>
      <c r="J1" s="30" t="s">
        <v>161</v>
      </c>
      <c r="K1" s="30" t="s">
        <v>162</v>
      </c>
      <c r="L1" s="30" t="s">
        <v>163</v>
      </c>
      <c r="M1" s="30" t="s">
        <v>164</v>
      </c>
      <c r="N1" s="30" t="s">
        <v>165</v>
      </c>
      <c r="O1" s="30" t="s">
        <v>166</v>
      </c>
      <c r="P1" s="30" t="s">
        <v>167</v>
      </c>
      <c r="Q1" s="30" t="s">
        <v>168</v>
      </c>
      <c r="R1" s="30" t="s">
        <v>169</v>
      </c>
      <c r="S1" s="30" t="s">
        <v>170</v>
      </c>
      <c r="T1" s="30" t="s">
        <v>171</v>
      </c>
      <c r="U1" s="30" t="s">
        <v>172</v>
      </c>
      <c r="V1" s="30" t="s">
        <v>173</v>
      </c>
      <c r="W1" s="30" t="s">
        <v>174</v>
      </c>
      <c r="X1" s="30" t="s">
        <v>175</v>
      </c>
      <c r="Y1" s="26" t="s">
        <v>136</v>
      </c>
      <c r="Z1" s="26" t="s">
        <v>137</v>
      </c>
      <c r="AA1" s="26" t="s">
        <v>138</v>
      </c>
      <c r="AB1" s="26" t="s">
        <v>139</v>
      </c>
      <c r="AC1" s="26" t="s">
        <v>140</v>
      </c>
      <c r="AD1" s="26" t="s">
        <v>141</v>
      </c>
      <c r="AE1" s="26" t="s">
        <v>142</v>
      </c>
      <c r="AF1" s="26" t="s">
        <v>143</v>
      </c>
      <c r="AG1" s="26" t="s">
        <v>144</v>
      </c>
      <c r="AH1" s="26" t="s">
        <v>145</v>
      </c>
      <c r="AI1" s="26" t="s">
        <v>146</v>
      </c>
      <c r="AJ1" s="26" t="s">
        <v>147</v>
      </c>
      <c r="AK1" s="26" t="s">
        <v>148</v>
      </c>
      <c r="AL1" s="26" t="s">
        <v>149</v>
      </c>
      <c r="AM1" s="26" t="s">
        <v>150</v>
      </c>
      <c r="AN1" s="26" t="s">
        <v>151</v>
      </c>
      <c r="AO1" s="26" t="s">
        <v>152</v>
      </c>
      <c r="AP1" s="26" t="s">
        <v>153</v>
      </c>
      <c r="AQ1" s="26" t="s">
        <v>154</v>
      </c>
      <c r="AR1" s="26" t="s">
        <v>155</v>
      </c>
      <c r="AS1" s="29" t="s">
        <v>116</v>
      </c>
      <c r="AT1" s="29" t="s">
        <v>117</v>
      </c>
      <c r="AU1" s="29" t="s">
        <v>118</v>
      </c>
      <c r="AV1" s="29" t="s">
        <v>119</v>
      </c>
      <c r="AW1" s="29" t="s">
        <v>120</v>
      </c>
      <c r="AX1" s="29" t="s">
        <v>121</v>
      </c>
      <c r="AY1" s="29" t="s">
        <v>122</v>
      </c>
      <c r="AZ1" s="29" t="s">
        <v>123</v>
      </c>
      <c r="BA1" s="29" t="s">
        <v>124</v>
      </c>
      <c r="BB1" s="29" t="s">
        <v>125</v>
      </c>
      <c r="BC1" s="29" t="s">
        <v>126</v>
      </c>
      <c r="BD1" s="29" t="s">
        <v>127</v>
      </c>
      <c r="BE1" s="29" t="s">
        <v>128</v>
      </c>
      <c r="BF1" s="29" t="s">
        <v>129</v>
      </c>
      <c r="BG1" s="29" t="s">
        <v>130</v>
      </c>
      <c r="BH1" s="29" t="s">
        <v>131</v>
      </c>
      <c r="BI1" s="29" t="s">
        <v>132</v>
      </c>
      <c r="BJ1" s="29" t="s">
        <v>133</v>
      </c>
      <c r="BK1" s="29" t="s">
        <v>134</v>
      </c>
      <c r="BL1" s="29" t="s">
        <v>135</v>
      </c>
      <c r="BM1" s="28" t="s">
        <v>94</v>
      </c>
      <c r="BN1" s="28" t="s">
        <v>95</v>
      </c>
      <c r="BO1" s="28" t="s">
        <v>96</v>
      </c>
      <c r="BP1" s="28" t="s">
        <v>97</v>
      </c>
      <c r="BQ1" s="28" t="s">
        <v>98</v>
      </c>
      <c r="BR1" s="28" t="s">
        <v>99</v>
      </c>
      <c r="BS1" s="28" t="s">
        <v>100</v>
      </c>
      <c r="BT1" s="28" t="s">
        <v>101</v>
      </c>
      <c r="BU1" s="28" t="s">
        <v>102</v>
      </c>
      <c r="BV1" s="28" t="s">
        <v>103</v>
      </c>
      <c r="BW1" s="28" t="s">
        <v>104</v>
      </c>
      <c r="BX1" s="28" t="s">
        <v>105</v>
      </c>
      <c r="BY1" s="28" t="s">
        <v>106</v>
      </c>
      <c r="BZ1" s="28" t="s">
        <v>107</v>
      </c>
      <c r="CA1" s="28" t="s">
        <v>108</v>
      </c>
      <c r="CB1" s="28" t="s">
        <v>109</v>
      </c>
      <c r="CC1" s="28" t="s">
        <v>110</v>
      </c>
      <c r="CD1" s="28" t="s">
        <v>111</v>
      </c>
      <c r="CE1" s="28" t="s">
        <v>112</v>
      </c>
      <c r="CF1" s="28" t="s">
        <v>113</v>
      </c>
    </row>
    <row r="2" spans="1:98" x14ac:dyDescent="0.2">
      <c r="A2" s="16">
        <v>1210101</v>
      </c>
      <c r="B2" s="16" t="s">
        <v>16</v>
      </c>
      <c r="C2" s="17" t="s">
        <v>426</v>
      </c>
      <c r="D2" s="17" t="s">
        <v>424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0</v>
      </c>
      <c r="AT2" s="16">
        <v>0</v>
      </c>
      <c r="AU2" s="16">
        <v>0</v>
      </c>
      <c r="AV2" s="16">
        <v>0</v>
      </c>
      <c r="AW2" s="16">
        <v>0</v>
      </c>
      <c r="AX2" s="16">
        <v>0</v>
      </c>
      <c r="AY2" s="16">
        <v>0</v>
      </c>
      <c r="AZ2" s="16">
        <v>0</v>
      </c>
      <c r="BA2" s="16">
        <v>0</v>
      </c>
      <c r="BB2" s="16">
        <v>0</v>
      </c>
      <c r="BC2" s="16">
        <v>0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6">
        <v>0</v>
      </c>
      <c r="BJ2" s="16">
        <v>0</v>
      </c>
      <c r="BK2" s="16">
        <v>0</v>
      </c>
      <c r="BL2" s="16">
        <v>0</v>
      </c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</row>
    <row r="3" spans="1:98" x14ac:dyDescent="0.2">
      <c r="A3" s="16">
        <v>12101011</v>
      </c>
      <c r="B3" s="16" t="s">
        <v>433</v>
      </c>
      <c r="C3" s="17" t="s">
        <v>426</v>
      </c>
      <c r="D3" s="16">
        <v>1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BM3" s="51">
        <v>99999</v>
      </c>
      <c r="BN3" s="16" cm="1">
        <f t="array" ref="BN3">INDEX(_xlfn.ANCHORARRAY(_xlfn.XLOOKUP($D3,'-ref_Distribution'!$B$117:$B$121,'-ref_Distribution'!$G$117:$G$121)),RIGHT(BN$1,2))</f>
        <v>72</v>
      </c>
      <c r="BO3" s="16" cm="1">
        <f t="array" ref="BO3">INDEX(_xlfn.ANCHORARRAY(_xlfn.XLOOKUP($D3,'-ref_Distribution'!$B$117:$B$121,'-ref_Distribution'!$G$117:$G$121)),RIGHT(BO$1,2))</f>
        <v>66</v>
      </c>
      <c r="BP3" s="16" cm="1">
        <f t="array" ref="BP3">INDEX(_xlfn.ANCHORARRAY(_xlfn.XLOOKUP($D3,'-ref_Distribution'!$B$117:$B$121,'-ref_Distribution'!$G$117:$G$121)),RIGHT(BP$1,2))</f>
        <v>61</v>
      </c>
      <c r="BQ3" s="16" cm="1">
        <f t="array" ref="BQ3">INDEX(_xlfn.ANCHORARRAY(_xlfn.XLOOKUP($D3,'-ref_Distribution'!$B$117:$B$121,'-ref_Distribution'!$G$117:$G$121)),RIGHT(BQ$1,2))</f>
        <v>58</v>
      </c>
      <c r="BR3" s="16" cm="1">
        <f t="array" ref="BR3">INDEX(_xlfn.ANCHORARRAY(_xlfn.XLOOKUP($D3,'-ref_Distribution'!$B$117:$B$121,'-ref_Distribution'!$G$117:$G$121)),RIGHT(BR$1,2))</f>
        <v>55</v>
      </c>
      <c r="BS3" s="16" cm="1">
        <f t="array" ref="BS3">INDEX(_xlfn.ANCHORARRAY(_xlfn.XLOOKUP($D3,'-ref_Distribution'!$B$117:$B$121,'-ref_Distribution'!$G$117:$G$121)),RIGHT(BS$1,2))</f>
        <v>52</v>
      </c>
      <c r="BT3" s="16" cm="1">
        <f t="array" ref="BT3">INDEX(_xlfn.ANCHORARRAY(_xlfn.XLOOKUP($D3,'-ref_Distribution'!$B$117:$B$121,'-ref_Distribution'!$G$117:$G$121)),RIGHT(BT$1,2))</f>
        <v>50</v>
      </c>
      <c r="BU3" s="16" cm="1">
        <f t="array" ref="BU3">INDEX(_xlfn.ANCHORARRAY(_xlfn.XLOOKUP($D3,'-ref_Distribution'!$B$117:$B$121,'-ref_Distribution'!$G$117:$G$121)),RIGHT(BU$1,2))</f>
        <v>48</v>
      </c>
      <c r="BV3" s="16" cm="1">
        <f t="array" ref="BV3">INDEX(_xlfn.ANCHORARRAY(_xlfn.XLOOKUP($D3,'-ref_Distribution'!$B$117:$B$121,'-ref_Distribution'!$G$117:$G$121)),RIGHT(BV$1,2))</f>
        <v>47</v>
      </c>
      <c r="BW3" s="16" cm="1">
        <f t="array" ref="BW3">INDEX(_xlfn.ANCHORARRAY(_xlfn.XLOOKUP($D3,'-ref_Distribution'!$B$117:$B$121,'-ref_Distribution'!$G$117:$G$121)),RIGHT(BW$1,2))</f>
        <v>46</v>
      </c>
      <c r="BX3" s="16" cm="1">
        <f t="array" ref="BX3">INDEX(_xlfn.ANCHORARRAY(_xlfn.XLOOKUP($D3,'-ref_Distribution'!$B$117:$B$121,'-ref_Distribution'!$G$117:$G$121)),RIGHT(BX$1,2))</f>
        <v>44</v>
      </c>
      <c r="BY3" s="16" cm="1">
        <f t="array" ref="BY3">INDEX(_xlfn.ANCHORARRAY(_xlfn.XLOOKUP($D3,'-ref_Distribution'!$B$117:$B$121,'-ref_Distribution'!$G$117:$G$121)),RIGHT(BY$1,2))</f>
        <v>43</v>
      </c>
      <c r="BZ3" s="16" cm="1">
        <f t="array" ref="BZ3">INDEX(_xlfn.ANCHORARRAY(_xlfn.XLOOKUP($D3,'-ref_Distribution'!$B$117:$B$121,'-ref_Distribution'!$G$117:$G$121)),RIGHT(BZ$1,2))</f>
        <v>42</v>
      </c>
      <c r="CA3" s="16" cm="1">
        <f t="array" ref="CA3">INDEX(_xlfn.ANCHORARRAY(_xlfn.XLOOKUP($D3,'-ref_Distribution'!$B$117:$B$121,'-ref_Distribution'!$G$117:$G$121)),RIGHT(CA$1,2))</f>
        <v>41</v>
      </c>
      <c r="CB3" s="16" cm="1">
        <f t="array" ref="CB3">INDEX(_xlfn.ANCHORARRAY(_xlfn.XLOOKUP($D3,'-ref_Distribution'!$B$117:$B$121,'-ref_Distribution'!$G$117:$G$121)),RIGHT(CB$1,2))</f>
        <v>40</v>
      </c>
      <c r="CC3" s="16" cm="1">
        <f t="array" ref="CC3">INDEX(_xlfn.ANCHORARRAY(_xlfn.XLOOKUP($D3,'-ref_Distribution'!$B$117:$B$121,'-ref_Distribution'!$G$117:$G$121)),RIGHT(CC$1,2))</f>
        <v>40</v>
      </c>
      <c r="CD3" s="16" cm="1">
        <f t="array" ref="CD3">INDEX(_xlfn.ANCHORARRAY(_xlfn.XLOOKUP($D3,'-ref_Distribution'!$B$117:$B$121,'-ref_Distribution'!$G$117:$G$121)),RIGHT(CD$1,2))</f>
        <v>39</v>
      </c>
      <c r="CE3" s="16" cm="1">
        <f t="array" ref="CE3">INDEX(_xlfn.ANCHORARRAY(_xlfn.XLOOKUP($D3,'-ref_Distribution'!$B$117:$B$121,'-ref_Distribution'!$G$117:$G$121)),RIGHT(CE$1,2))</f>
        <v>38</v>
      </c>
      <c r="CF3" s="16" cm="1">
        <f t="array" ref="CF3">INDEX(_xlfn.ANCHORARRAY(_xlfn.XLOOKUP($D3,'-ref_Distribution'!$B$117:$B$121,'-ref_Distribution'!$G$117:$G$121)),RIGHT(CF$1,2))</f>
        <v>38</v>
      </c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</row>
    <row r="4" spans="1:98" x14ac:dyDescent="0.2">
      <c r="A4" s="16">
        <v>12101012</v>
      </c>
      <c r="B4" s="16" t="s">
        <v>434</v>
      </c>
      <c r="C4" s="17" t="s">
        <v>426</v>
      </c>
      <c r="D4" s="16">
        <v>2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BM4" s="16" cm="1">
        <f t="array" ref="BM4">INDEX(_xlfn.ANCHORARRAY(_xlfn.XLOOKUP($D4,'-ref_Distribution'!$B$117:$B$121,'-ref_Distribution'!$G$117:$G$121)),RIGHT(BM$1,2))</f>
        <v>0</v>
      </c>
      <c r="BN4" s="16" cm="1">
        <f t="array" ref="BN4">INDEX(_xlfn.ANCHORARRAY(_xlfn.XLOOKUP($D4,'-ref_Distribution'!$B$117:$B$121,'-ref_Distribution'!$G$117:$G$121)),RIGHT(BN$1,2))</f>
        <v>5</v>
      </c>
      <c r="BO4" s="16" cm="1">
        <f t="array" ref="BO4">INDEX(_xlfn.ANCHORARRAY(_xlfn.XLOOKUP($D4,'-ref_Distribution'!$B$117:$B$121,'-ref_Distribution'!$G$117:$G$121)),RIGHT(BO$1,2))</f>
        <v>12</v>
      </c>
      <c r="BP4" s="16" cm="1">
        <f t="array" ref="BP4">INDEX(_xlfn.ANCHORARRAY(_xlfn.XLOOKUP($D4,'-ref_Distribution'!$B$117:$B$121,'-ref_Distribution'!$G$117:$G$121)),RIGHT(BP$1,2))</f>
        <v>16</v>
      </c>
      <c r="BQ4" s="16" cm="1">
        <f t="array" ref="BQ4">INDEX(_xlfn.ANCHORARRAY(_xlfn.XLOOKUP($D4,'-ref_Distribution'!$B$117:$B$121,'-ref_Distribution'!$G$117:$G$121)),RIGHT(BQ$1,2))</f>
        <v>19</v>
      </c>
      <c r="BR4" s="16" cm="1">
        <f t="array" ref="BR4">INDEX(_xlfn.ANCHORARRAY(_xlfn.XLOOKUP($D4,'-ref_Distribution'!$B$117:$B$121,'-ref_Distribution'!$G$117:$G$121)),RIGHT(BR$1,2))</f>
        <v>22</v>
      </c>
      <c r="BS4" s="16" cm="1">
        <f t="array" ref="BS4">INDEX(_xlfn.ANCHORARRAY(_xlfn.XLOOKUP($D4,'-ref_Distribution'!$B$117:$B$121,'-ref_Distribution'!$G$117:$G$121)),RIGHT(BS$1,2))</f>
        <v>23</v>
      </c>
      <c r="BT4" s="16" cm="1">
        <f t="array" ref="BT4">INDEX(_xlfn.ANCHORARRAY(_xlfn.XLOOKUP($D4,'-ref_Distribution'!$B$117:$B$121,'-ref_Distribution'!$G$117:$G$121)),RIGHT(BT$1,2))</f>
        <v>25</v>
      </c>
      <c r="BU4" s="16" cm="1">
        <f t="array" ref="BU4">INDEX(_xlfn.ANCHORARRAY(_xlfn.XLOOKUP($D4,'-ref_Distribution'!$B$117:$B$121,'-ref_Distribution'!$G$117:$G$121)),RIGHT(BU$1,2))</f>
        <v>26</v>
      </c>
      <c r="BV4" s="16" cm="1">
        <f t="array" ref="BV4">INDEX(_xlfn.ANCHORARRAY(_xlfn.XLOOKUP($D4,'-ref_Distribution'!$B$117:$B$121,'-ref_Distribution'!$G$117:$G$121)),RIGHT(BV$1,2))</f>
        <v>27</v>
      </c>
      <c r="BW4" s="16" cm="1">
        <f t="array" ref="BW4">INDEX(_xlfn.ANCHORARRAY(_xlfn.XLOOKUP($D4,'-ref_Distribution'!$B$117:$B$121,'-ref_Distribution'!$G$117:$G$121)),RIGHT(BW$1,2))</f>
        <v>27</v>
      </c>
      <c r="BX4" s="16" cm="1">
        <f t="array" ref="BX4">INDEX(_xlfn.ANCHORARRAY(_xlfn.XLOOKUP($D4,'-ref_Distribution'!$B$117:$B$121,'-ref_Distribution'!$G$117:$G$121)),RIGHT(BX$1,2))</f>
        <v>28</v>
      </c>
      <c r="BY4" s="16" cm="1">
        <f t="array" ref="BY4">INDEX(_xlfn.ANCHORARRAY(_xlfn.XLOOKUP($D4,'-ref_Distribution'!$B$117:$B$121,'-ref_Distribution'!$G$117:$G$121)),RIGHT(BY$1,2))</f>
        <v>29</v>
      </c>
      <c r="BZ4" s="16" cm="1">
        <f t="array" ref="BZ4">INDEX(_xlfn.ANCHORARRAY(_xlfn.XLOOKUP($D4,'-ref_Distribution'!$B$117:$B$121,'-ref_Distribution'!$G$117:$G$121)),RIGHT(BZ$1,2))</f>
        <v>29</v>
      </c>
      <c r="CA4" s="16" cm="1">
        <f t="array" ref="CA4">INDEX(_xlfn.ANCHORARRAY(_xlfn.XLOOKUP($D4,'-ref_Distribution'!$B$117:$B$121,'-ref_Distribution'!$G$117:$G$121)),RIGHT(CA$1,2))</f>
        <v>30</v>
      </c>
      <c r="CB4" s="16" cm="1">
        <f t="array" ref="CB4">INDEX(_xlfn.ANCHORARRAY(_xlfn.XLOOKUP($D4,'-ref_Distribution'!$B$117:$B$121,'-ref_Distribution'!$G$117:$G$121)),RIGHT(CB$1,2))</f>
        <v>30</v>
      </c>
      <c r="CC4" s="16" cm="1">
        <f t="array" ref="CC4">INDEX(_xlfn.ANCHORARRAY(_xlfn.XLOOKUP($D4,'-ref_Distribution'!$B$117:$B$121,'-ref_Distribution'!$G$117:$G$121)),RIGHT(CC$1,2))</f>
        <v>30</v>
      </c>
      <c r="CD4" s="16" cm="1">
        <f t="array" ref="CD4">INDEX(_xlfn.ANCHORARRAY(_xlfn.XLOOKUP($D4,'-ref_Distribution'!$B$117:$B$121,'-ref_Distribution'!$G$117:$G$121)),RIGHT(CD$1,2))</f>
        <v>30</v>
      </c>
      <c r="CE4" s="16" cm="1">
        <f t="array" ref="CE4">INDEX(_xlfn.ANCHORARRAY(_xlfn.XLOOKUP($D4,'-ref_Distribution'!$B$117:$B$121,'-ref_Distribution'!$G$117:$G$121)),RIGHT(CE$1,2))</f>
        <v>31</v>
      </c>
      <c r="CF4" s="16" cm="1">
        <f t="array" ref="CF4">INDEX(_xlfn.ANCHORARRAY(_xlfn.XLOOKUP($D4,'-ref_Distribution'!$B$117:$B$121,'-ref_Distribution'!$G$117:$G$121)),RIGHT(CF$1,2))</f>
        <v>31</v>
      </c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</row>
    <row r="5" spans="1:98" x14ac:dyDescent="0.2">
      <c r="A5" s="16">
        <v>12101013</v>
      </c>
      <c r="B5" s="16" t="s">
        <v>435</v>
      </c>
      <c r="C5" s="17" t="s">
        <v>426</v>
      </c>
      <c r="D5" s="16">
        <v>3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BM5" s="16" cm="1">
        <f t="array" ref="BM5">INDEX(_xlfn.ANCHORARRAY(_xlfn.XLOOKUP($D5,'-ref_Distribution'!$B$117:$B$121,'-ref_Distribution'!$G$117:$G$121)),RIGHT(BM$1,2))</f>
        <v>0</v>
      </c>
      <c r="BN5" s="16" cm="1">
        <f t="array" ref="BN5">INDEX(_xlfn.ANCHORARRAY(_xlfn.XLOOKUP($D5,'-ref_Distribution'!$B$117:$B$121,'-ref_Distribution'!$G$117:$G$121)),RIGHT(BN$1,2))</f>
        <v>0</v>
      </c>
      <c r="BO5" s="16" cm="1">
        <f t="array" ref="BO5">INDEX(_xlfn.ANCHORARRAY(_xlfn.XLOOKUP($D5,'-ref_Distribution'!$B$117:$B$121,'-ref_Distribution'!$G$117:$G$121)),RIGHT(BO$1,2))</f>
        <v>1</v>
      </c>
      <c r="BP5" s="16" cm="1">
        <f t="array" ref="BP5">INDEX(_xlfn.ANCHORARRAY(_xlfn.XLOOKUP($D5,'-ref_Distribution'!$B$117:$B$121,'-ref_Distribution'!$G$117:$G$121)),RIGHT(BP$1,2))</f>
        <v>3</v>
      </c>
      <c r="BQ5" s="16" cm="1">
        <f t="array" ref="BQ5">INDEX(_xlfn.ANCHORARRAY(_xlfn.XLOOKUP($D5,'-ref_Distribution'!$B$117:$B$121,'-ref_Distribution'!$G$117:$G$121)),RIGHT(BQ$1,2))</f>
        <v>6</v>
      </c>
      <c r="BR5" s="16" cm="1">
        <f t="array" ref="BR5">INDEX(_xlfn.ANCHORARRAY(_xlfn.XLOOKUP($D5,'-ref_Distribution'!$B$117:$B$121,'-ref_Distribution'!$G$117:$G$121)),RIGHT(BR$1,2))</f>
        <v>8</v>
      </c>
      <c r="BS5" s="16" cm="1">
        <f t="array" ref="BS5">INDEX(_xlfn.ANCHORARRAY(_xlfn.XLOOKUP($D5,'-ref_Distribution'!$B$117:$B$121,'-ref_Distribution'!$G$117:$G$121)),RIGHT(BS$1,2))</f>
        <v>9</v>
      </c>
      <c r="BT5" s="16" cm="1">
        <f t="array" ref="BT5">INDEX(_xlfn.ANCHORARRAY(_xlfn.XLOOKUP($D5,'-ref_Distribution'!$B$117:$B$121,'-ref_Distribution'!$G$117:$G$121)),RIGHT(BT$1,2))</f>
        <v>10</v>
      </c>
      <c r="BU5" s="16" cm="1">
        <f t="array" ref="BU5">INDEX(_xlfn.ANCHORARRAY(_xlfn.XLOOKUP($D5,'-ref_Distribution'!$B$117:$B$121,'-ref_Distribution'!$G$117:$G$121)),RIGHT(BU$1,2))</f>
        <v>11</v>
      </c>
      <c r="BV5" s="16" cm="1">
        <f t="array" ref="BV5">INDEX(_xlfn.ANCHORARRAY(_xlfn.XLOOKUP($D5,'-ref_Distribution'!$B$117:$B$121,'-ref_Distribution'!$G$117:$G$121)),RIGHT(BV$1,2))</f>
        <v>12</v>
      </c>
      <c r="BW5" s="16" cm="1">
        <f t="array" ref="BW5">INDEX(_xlfn.ANCHORARRAY(_xlfn.XLOOKUP($D5,'-ref_Distribution'!$B$117:$B$121,'-ref_Distribution'!$G$117:$G$121)),RIGHT(BW$1,2))</f>
        <v>13</v>
      </c>
      <c r="BX5" s="16" cm="1">
        <f t="array" ref="BX5">INDEX(_xlfn.ANCHORARRAY(_xlfn.XLOOKUP($D5,'-ref_Distribution'!$B$117:$B$121,'-ref_Distribution'!$G$117:$G$121)),RIGHT(BX$1,2))</f>
        <v>14</v>
      </c>
      <c r="BY5" s="16" cm="1">
        <f t="array" ref="BY5">INDEX(_xlfn.ANCHORARRAY(_xlfn.XLOOKUP($D5,'-ref_Distribution'!$B$117:$B$121,'-ref_Distribution'!$G$117:$G$121)),RIGHT(BY$1,2))</f>
        <v>14</v>
      </c>
      <c r="BZ5" s="16" cm="1">
        <f t="array" ref="BZ5">INDEX(_xlfn.ANCHORARRAY(_xlfn.XLOOKUP($D5,'-ref_Distribution'!$B$117:$B$121,'-ref_Distribution'!$G$117:$G$121)),RIGHT(BZ$1,2))</f>
        <v>15</v>
      </c>
      <c r="CA5" s="16" cm="1">
        <f t="array" ref="CA5">INDEX(_xlfn.ANCHORARRAY(_xlfn.XLOOKUP($D5,'-ref_Distribution'!$B$117:$B$121,'-ref_Distribution'!$G$117:$G$121)),RIGHT(CA$1,2))</f>
        <v>15</v>
      </c>
      <c r="CB5" s="16" cm="1">
        <f t="array" ref="CB5">INDEX(_xlfn.ANCHORARRAY(_xlfn.XLOOKUP($D5,'-ref_Distribution'!$B$117:$B$121,'-ref_Distribution'!$G$117:$G$121)),RIGHT(CB$1,2))</f>
        <v>16</v>
      </c>
      <c r="CC5" s="16" cm="1">
        <f t="array" ref="CC5">INDEX(_xlfn.ANCHORARRAY(_xlfn.XLOOKUP($D5,'-ref_Distribution'!$B$117:$B$121,'-ref_Distribution'!$G$117:$G$121)),RIGHT(CC$1,2))</f>
        <v>16</v>
      </c>
      <c r="CD5" s="16" cm="1">
        <f t="array" ref="CD5">INDEX(_xlfn.ANCHORARRAY(_xlfn.XLOOKUP($D5,'-ref_Distribution'!$B$117:$B$121,'-ref_Distribution'!$G$117:$G$121)),RIGHT(CD$1,2))</f>
        <v>17</v>
      </c>
      <c r="CE5" s="16" cm="1">
        <f t="array" ref="CE5">INDEX(_xlfn.ANCHORARRAY(_xlfn.XLOOKUP($D5,'-ref_Distribution'!$B$117:$B$121,'-ref_Distribution'!$G$117:$G$121)),RIGHT(CE$1,2))</f>
        <v>17</v>
      </c>
      <c r="CF5" s="16" cm="1">
        <f t="array" ref="CF5">INDEX(_xlfn.ANCHORARRAY(_xlfn.XLOOKUP($D5,'-ref_Distribution'!$B$117:$B$121,'-ref_Distribution'!$G$117:$G$121)),RIGHT(CF$1,2))</f>
        <v>17</v>
      </c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</row>
    <row r="6" spans="1:98" x14ac:dyDescent="0.2">
      <c r="A6" s="16">
        <v>1210102</v>
      </c>
      <c r="B6" s="16" t="s">
        <v>18</v>
      </c>
      <c r="C6" s="17" t="s">
        <v>426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</row>
    <row r="7" spans="1:98" x14ac:dyDescent="0.2">
      <c r="A7" s="16">
        <v>1211801</v>
      </c>
      <c r="B7" s="16" t="s">
        <v>54</v>
      </c>
      <c r="C7" s="17" t="s">
        <v>426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</row>
    <row r="8" spans="1:98" x14ac:dyDescent="0.2"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</row>
    <row r="9" spans="1:98" x14ac:dyDescent="0.2">
      <c r="A9" s="16">
        <v>1310101</v>
      </c>
      <c r="B9" s="16" t="s">
        <v>17</v>
      </c>
      <c r="C9" s="17" t="s">
        <v>427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</row>
    <row r="10" spans="1:98" x14ac:dyDescent="0.2">
      <c r="A10" s="16">
        <v>1310102</v>
      </c>
      <c r="B10" s="16" t="s">
        <v>19</v>
      </c>
      <c r="C10" s="17" t="s">
        <v>427</v>
      </c>
      <c r="E10" s="16">
        <v>100</v>
      </c>
      <c r="F10" s="16">
        <v>100</v>
      </c>
      <c r="G10" s="16">
        <v>100</v>
      </c>
      <c r="H10" s="16">
        <v>100</v>
      </c>
      <c r="I10" s="16">
        <v>100</v>
      </c>
      <c r="J10" s="16">
        <v>100</v>
      </c>
      <c r="K10" s="16">
        <v>100</v>
      </c>
      <c r="L10" s="16">
        <v>50</v>
      </c>
      <c r="M10" s="16">
        <v>50</v>
      </c>
      <c r="N10" s="16">
        <v>50</v>
      </c>
      <c r="O10" s="16">
        <v>50</v>
      </c>
      <c r="P10" s="16">
        <v>18</v>
      </c>
      <c r="Q10" s="16">
        <v>18</v>
      </c>
      <c r="R10" s="16">
        <v>18</v>
      </c>
      <c r="S10" s="16">
        <v>18</v>
      </c>
      <c r="T10" s="16">
        <v>18</v>
      </c>
      <c r="U10" s="16">
        <v>18</v>
      </c>
      <c r="V10" s="16">
        <v>18</v>
      </c>
      <c r="W10" s="16">
        <v>18</v>
      </c>
      <c r="X10" s="16">
        <v>18</v>
      </c>
      <c r="Y10" s="16">
        <v>100</v>
      </c>
      <c r="Z10" s="16">
        <v>100</v>
      </c>
      <c r="AA10" s="16">
        <v>100</v>
      </c>
      <c r="AB10" s="16">
        <v>100</v>
      </c>
      <c r="AC10" s="16">
        <v>100</v>
      </c>
      <c r="AD10" s="16">
        <v>100</v>
      </c>
      <c r="AE10" s="16">
        <v>100</v>
      </c>
      <c r="AF10" s="16">
        <v>50</v>
      </c>
      <c r="AG10" s="16">
        <v>50</v>
      </c>
      <c r="AH10" s="16">
        <v>50</v>
      </c>
      <c r="AI10" s="16">
        <v>50</v>
      </c>
      <c r="AJ10" s="16">
        <v>18</v>
      </c>
      <c r="AK10" s="16">
        <v>18</v>
      </c>
      <c r="AL10" s="16">
        <v>18</v>
      </c>
      <c r="AM10" s="16">
        <v>18</v>
      </c>
      <c r="AN10" s="16">
        <v>18</v>
      </c>
      <c r="AO10" s="16">
        <v>18</v>
      </c>
      <c r="AP10" s="16">
        <v>18</v>
      </c>
      <c r="AQ10" s="16">
        <v>18</v>
      </c>
      <c r="AR10" s="16">
        <v>18</v>
      </c>
      <c r="AS10" s="16">
        <v>100</v>
      </c>
      <c r="AT10" s="16">
        <v>100</v>
      </c>
      <c r="AU10" s="16">
        <v>100</v>
      </c>
      <c r="AV10" s="16">
        <v>100</v>
      </c>
      <c r="AW10" s="16">
        <v>100</v>
      </c>
      <c r="AX10" s="16">
        <v>100</v>
      </c>
      <c r="AY10" s="16">
        <v>100</v>
      </c>
      <c r="AZ10" s="16">
        <v>50</v>
      </c>
      <c r="BA10" s="16">
        <v>50</v>
      </c>
      <c r="BB10" s="16">
        <v>50</v>
      </c>
      <c r="BC10" s="16">
        <v>50</v>
      </c>
      <c r="BD10" s="16">
        <v>18</v>
      </c>
      <c r="BE10" s="16">
        <v>18</v>
      </c>
      <c r="BF10" s="16">
        <v>18</v>
      </c>
      <c r="BG10" s="16">
        <v>18</v>
      </c>
      <c r="BH10" s="16">
        <v>18</v>
      </c>
      <c r="BI10" s="16">
        <v>18</v>
      </c>
      <c r="BJ10" s="16">
        <v>18</v>
      </c>
      <c r="BK10" s="16">
        <v>18</v>
      </c>
      <c r="BL10" s="16">
        <v>18</v>
      </c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</row>
    <row r="11" spans="1:98" x14ac:dyDescent="0.2">
      <c r="A11" s="16">
        <v>1310103</v>
      </c>
      <c r="B11" s="16" t="s">
        <v>20</v>
      </c>
      <c r="C11" s="17" t="s">
        <v>427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20</v>
      </c>
      <c r="M11" s="16">
        <v>20</v>
      </c>
      <c r="N11" s="16">
        <v>20</v>
      </c>
      <c r="O11" s="16">
        <v>20</v>
      </c>
      <c r="P11" s="16">
        <v>100</v>
      </c>
      <c r="Q11" s="16">
        <v>100</v>
      </c>
      <c r="R11" s="16">
        <v>100</v>
      </c>
      <c r="S11" s="16">
        <v>100</v>
      </c>
      <c r="T11" s="16">
        <v>100</v>
      </c>
      <c r="U11" s="16">
        <v>100</v>
      </c>
      <c r="V11" s="16">
        <v>100</v>
      </c>
      <c r="W11" s="16">
        <v>100</v>
      </c>
      <c r="X11" s="16">
        <v>100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20</v>
      </c>
      <c r="AG11" s="16">
        <v>20</v>
      </c>
      <c r="AH11" s="16">
        <v>20</v>
      </c>
      <c r="AI11" s="16">
        <v>20</v>
      </c>
      <c r="AJ11" s="16">
        <v>100</v>
      </c>
      <c r="AK11" s="16">
        <v>100</v>
      </c>
      <c r="AL11" s="16">
        <v>100</v>
      </c>
      <c r="AM11" s="16">
        <v>100</v>
      </c>
      <c r="AN11" s="16">
        <v>100</v>
      </c>
      <c r="AO11" s="16">
        <v>100</v>
      </c>
      <c r="AP11" s="16">
        <v>100</v>
      </c>
      <c r="AQ11" s="16">
        <v>100</v>
      </c>
      <c r="AR11" s="16">
        <v>100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20</v>
      </c>
      <c r="BA11" s="16">
        <v>20</v>
      </c>
      <c r="BB11" s="16">
        <v>20</v>
      </c>
      <c r="BC11" s="16">
        <v>20</v>
      </c>
      <c r="BD11" s="16">
        <v>100</v>
      </c>
      <c r="BE11" s="16">
        <v>100</v>
      </c>
      <c r="BF11" s="16">
        <v>100</v>
      </c>
      <c r="BG11" s="16">
        <v>100</v>
      </c>
      <c r="BH11" s="16">
        <v>100</v>
      </c>
      <c r="BI11" s="16">
        <v>100</v>
      </c>
      <c r="BJ11" s="16">
        <v>100</v>
      </c>
      <c r="BK11" s="16">
        <v>100</v>
      </c>
      <c r="BL11" s="16">
        <v>100</v>
      </c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</row>
    <row r="12" spans="1:98" x14ac:dyDescent="0.2">
      <c r="A12" s="16">
        <v>1310104</v>
      </c>
      <c r="B12" s="16" t="s">
        <v>22</v>
      </c>
      <c r="C12" s="17" t="s">
        <v>427</v>
      </c>
      <c r="E12" s="16">
        <v>0</v>
      </c>
      <c r="F12" s="16">
        <v>0</v>
      </c>
      <c r="G12" s="16">
        <v>0</v>
      </c>
      <c r="H12" s="16">
        <v>20</v>
      </c>
      <c r="I12" s="16">
        <v>20</v>
      </c>
      <c r="J12" s="16">
        <v>20</v>
      </c>
      <c r="K12" s="16">
        <v>20</v>
      </c>
      <c r="L12" s="16">
        <v>100</v>
      </c>
      <c r="M12" s="16">
        <v>100</v>
      </c>
      <c r="N12" s="16">
        <v>100</v>
      </c>
      <c r="O12" s="16">
        <v>100</v>
      </c>
      <c r="P12" s="16">
        <v>50</v>
      </c>
      <c r="Q12" s="16">
        <v>50</v>
      </c>
      <c r="R12" s="16">
        <v>50</v>
      </c>
      <c r="S12" s="16">
        <v>50</v>
      </c>
      <c r="T12" s="16">
        <v>50</v>
      </c>
      <c r="U12" s="16">
        <v>50</v>
      </c>
      <c r="V12" s="16">
        <v>50</v>
      </c>
      <c r="W12" s="16">
        <v>50</v>
      </c>
      <c r="X12" s="16">
        <v>50</v>
      </c>
      <c r="Y12" s="16">
        <v>0</v>
      </c>
      <c r="Z12" s="16">
        <v>0</v>
      </c>
      <c r="AA12" s="16">
        <v>0</v>
      </c>
      <c r="AB12" s="16">
        <v>20</v>
      </c>
      <c r="AC12" s="16">
        <v>20</v>
      </c>
      <c r="AD12" s="16">
        <v>20</v>
      </c>
      <c r="AE12" s="16">
        <v>20</v>
      </c>
      <c r="AF12" s="16">
        <v>100</v>
      </c>
      <c r="AG12" s="16">
        <v>100</v>
      </c>
      <c r="AH12" s="16">
        <v>100</v>
      </c>
      <c r="AI12" s="16">
        <v>100</v>
      </c>
      <c r="AJ12" s="16">
        <v>50</v>
      </c>
      <c r="AK12" s="16">
        <v>50</v>
      </c>
      <c r="AL12" s="16">
        <v>50</v>
      </c>
      <c r="AM12" s="16">
        <v>50</v>
      </c>
      <c r="AN12" s="16">
        <v>50</v>
      </c>
      <c r="AO12" s="16">
        <v>50</v>
      </c>
      <c r="AP12" s="16">
        <v>50</v>
      </c>
      <c r="AQ12" s="16">
        <v>50</v>
      </c>
      <c r="AR12" s="16">
        <v>50</v>
      </c>
      <c r="AS12" s="16">
        <v>0</v>
      </c>
      <c r="AT12" s="16">
        <v>0</v>
      </c>
      <c r="AU12" s="16">
        <v>0</v>
      </c>
      <c r="AV12" s="16">
        <v>20</v>
      </c>
      <c r="AW12" s="16">
        <v>20</v>
      </c>
      <c r="AX12" s="16">
        <v>20</v>
      </c>
      <c r="AY12" s="16">
        <v>20</v>
      </c>
      <c r="AZ12" s="16">
        <v>100</v>
      </c>
      <c r="BA12" s="16">
        <v>100</v>
      </c>
      <c r="BB12" s="16">
        <v>100</v>
      </c>
      <c r="BC12" s="16">
        <v>100</v>
      </c>
      <c r="BD12" s="16">
        <v>50</v>
      </c>
      <c r="BE12" s="16">
        <v>50</v>
      </c>
      <c r="BF12" s="16">
        <v>50</v>
      </c>
      <c r="BG12" s="16">
        <v>50</v>
      </c>
      <c r="BH12" s="16">
        <v>50</v>
      </c>
      <c r="BI12" s="16">
        <v>50</v>
      </c>
      <c r="BJ12" s="16">
        <v>50</v>
      </c>
      <c r="BK12" s="16">
        <v>50</v>
      </c>
      <c r="BL12" s="16">
        <v>50</v>
      </c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</row>
    <row r="13" spans="1:98" x14ac:dyDescent="0.2">
      <c r="A13" s="16">
        <v>1310105</v>
      </c>
      <c r="B13" s="17" t="s">
        <v>334</v>
      </c>
      <c r="C13" s="17" t="s">
        <v>427</v>
      </c>
      <c r="D13" s="17" t="s">
        <v>424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</row>
    <row r="14" spans="1:98" x14ac:dyDescent="0.2">
      <c r="A14" s="16">
        <v>13101050</v>
      </c>
      <c r="B14" s="17" t="s">
        <v>335</v>
      </c>
      <c r="C14" s="17" t="s">
        <v>427</v>
      </c>
      <c r="D14" s="16">
        <v>0</v>
      </c>
      <c r="E14" s="16">
        <v>100</v>
      </c>
      <c r="F14" s="16">
        <v>100</v>
      </c>
      <c r="G14" s="16">
        <v>100</v>
      </c>
      <c r="H14" s="16">
        <v>100</v>
      </c>
      <c r="I14" s="16">
        <v>100</v>
      </c>
      <c r="J14" s="16">
        <v>50</v>
      </c>
      <c r="K14" s="16">
        <v>50</v>
      </c>
      <c r="L14" s="16">
        <v>50</v>
      </c>
      <c r="M14" s="16">
        <v>50</v>
      </c>
      <c r="N14" s="16">
        <v>50</v>
      </c>
      <c r="O14" s="16">
        <v>50</v>
      </c>
      <c r="P14" s="16">
        <v>18</v>
      </c>
      <c r="Q14" s="16">
        <v>18</v>
      </c>
      <c r="R14" s="16">
        <v>18</v>
      </c>
      <c r="S14" s="16">
        <v>18</v>
      </c>
      <c r="T14" s="16">
        <v>18</v>
      </c>
      <c r="U14" s="16">
        <v>0</v>
      </c>
      <c r="V14" s="16">
        <v>0</v>
      </c>
      <c r="W14" s="16">
        <v>0</v>
      </c>
      <c r="X14" s="16">
        <v>0</v>
      </c>
      <c r="Y14" s="16">
        <v>100</v>
      </c>
      <c r="Z14" s="16">
        <v>100</v>
      </c>
      <c r="AA14" s="16">
        <v>100</v>
      </c>
      <c r="AB14" s="16">
        <v>100</v>
      </c>
      <c r="AC14" s="16">
        <v>100</v>
      </c>
      <c r="AD14" s="16">
        <v>50</v>
      </c>
      <c r="AE14" s="16">
        <v>50</v>
      </c>
      <c r="AF14" s="16">
        <v>50</v>
      </c>
      <c r="AG14" s="16">
        <v>50</v>
      </c>
      <c r="AH14" s="16">
        <v>50</v>
      </c>
      <c r="AI14" s="16">
        <v>50</v>
      </c>
      <c r="AJ14" s="16">
        <v>18</v>
      </c>
      <c r="AK14" s="16">
        <v>18</v>
      </c>
      <c r="AL14" s="16">
        <v>18</v>
      </c>
      <c r="AM14" s="16">
        <v>18</v>
      </c>
      <c r="AN14" s="16">
        <v>18</v>
      </c>
      <c r="AO14" s="16">
        <v>0</v>
      </c>
      <c r="AP14" s="16">
        <v>0</v>
      </c>
      <c r="AQ14" s="16">
        <v>0</v>
      </c>
      <c r="AR14" s="16">
        <v>0</v>
      </c>
      <c r="AS14" s="16">
        <v>100</v>
      </c>
      <c r="AT14" s="16">
        <v>100</v>
      </c>
      <c r="AU14" s="16">
        <v>100</v>
      </c>
      <c r="AV14" s="16">
        <v>100</v>
      </c>
      <c r="AW14" s="16">
        <v>100</v>
      </c>
      <c r="AX14" s="16">
        <v>50</v>
      </c>
      <c r="AY14" s="16">
        <v>50</v>
      </c>
      <c r="AZ14" s="16">
        <v>50</v>
      </c>
      <c r="BA14" s="16">
        <v>50</v>
      </c>
      <c r="BB14" s="16">
        <v>50</v>
      </c>
      <c r="BC14" s="16">
        <v>50</v>
      </c>
      <c r="BD14" s="16">
        <v>18</v>
      </c>
      <c r="BE14" s="16">
        <v>18</v>
      </c>
      <c r="BF14" s="16">
        <v>18</v>
      </c>
      <c r="BG14" s="16">
        <v>18</v>
      </c>
      <c r="BH14" s="16">
        <v>18</v>
      </c>
      <c r="BI14" s="16">
        <v>0</v>
      </c>
      <c r="BJ14" s="16">
        <v>0</v>
      </c>
      <c r="BK14" s="16">
        <v>0</v>
      </c>
      <c r="BL14" s="16">
        <v>0</v>
      </c>
      <c r="BM14" s="16" cm="1">
        <f t="array" ref="BM14">INDEX(_xlfn.ANCHORARRAY(_xlfn.XLOOKUP($D14,'-ref_Distribution'!$B$117:$B$121,'-ref_Distribution'!$G$117:$G$121)),RIGHT(BM$1,2))</f>
        <v>130</v>
      </c>
      <c r="BN14" s="16" cm="1">
        <f t="array" ref="BN14">INDEX(_xlfn.ANCHORARRAY(_xlfn.XLOOKUP($D14,'-ref_Distribution'!$B$117:$B$121,'-ref_Distribution'!$G$117:$G$121)),RIGHT(BN$1,2))</f>
        <v>84</v>
      </c>
      <c r="BO14" s="16" cm="1">
        <f t="array" ref="BO14">INDEX(_xlfn.ANCHORARRAY(_xlfn.XLOOKUP($D14,'-ref_Distribution'!$B$117:$B$121,'-ref_Distribution'!$G$117:$G$121)),RIGHT(BO$1,2))</f>
        <v>65</v>
      </c>
      <c r="BP14" s="16" cm="1">
        <f t="array" ref="BP14">INDEX(_xlfn.ANCHORARRAY(_xlfn.XLOOKUP($D14,'-ref_Distribution'!$B$117:$B$121,'-ref_Distribution'!$G$117:$G$121)),RIGHT(BP$1,2))</f>
        <v>54</v>
      </c>
      <c r="BQ14" s="16" cm="1">
        <f t="array" ref="BQ14">INDEX(_xlfn.ANCHORARRAY(_xlfn.XLOOKUP($D14,'-ref_Distribution'!$B$117:$B$121,'-ref_Distribution'!$G$117:$G$121)),RIGHT(BQ$1,2))</f>
        <v>47</v>
      </c>
      <c r="BR14" s="16" cm="1">
        <f t="array" ref="BR14">INDEX(_xlfn.ANCHORARRAY(_xlfn.XLOOKUP($D14,'-ref_Distribution'!$B$117:$B$121,'-ref_Distribution'!$G$117:$G$121)),RIGHT(BR$1,2))</f>
        <v>41</v>
      </c>
      <c r="BS14" s="16" cm="1">
        <f t="array" ref="BS14">INDEX(_xlfn.ANCHORARRAY(_xlfn.XLOOKUP($D14,'-ref_Distribution'!$B$117:$B$121,'-ref_Distribution'!$G$117:$G$121)),RIGHT(BS$1,2))</f>
        <v>38</v>
      </c>
      <c r="BT14" s="16" cm="1">
        <f t="array" ref="BT14">INDEX(_xlfn.ANCHORARRAY(_xlfn.XLOOKUP($D14,'-ref_Distribution'!$B$117:$B$121,'-ref_Distribution'!$G$117:$G$121)),RIGHT(BT$1,2))</f>
        <v>34</v>
      </c>
      <c r="BU14" s="16" cm="1">
        <f t="array" ref="BU14">INDEX(_xlfn.ANCHORARRAY(_xlfn.XLOOKUP($D14,'-ref_Distribution'!$B$117:$B$121,'-ref_Distribution'!$G$117:$G$121)),RIGHT(BU$1,2))</f>
        <v>32</v>
      </c>
      <c r="BV14" s="16" cm="1">
        <f t="array" ref="BV14">INDEX(_xlfn.ANCHORARRAY(_xlfn.XLOOKUP($D14,'-ref_Distribution'!$B$117:$B$121,'-ref_Distribution'!$G$117:$G$121)),RIGHT(BV$1,2))</f>
        <v>30</v>
      </c>
      <c r="BW14" s="16" cm="1">
        <f t="array" ref="BW14">INDEX(_xlfn.ANCHORARRAY(_xlfn.XLOOKUP($D14,'-ref_Distribution'!$B$117:$B$121,'-ref_Distribution'!$G$117:$G$121)),RIGHT(BW$1,2))</f>
        <v>28</v>
      </c>
      <c r="BX14" s="16" cm="1">
        <f t="array" ref="BX14">INDEX(_xlfn.ANCHORARRAY(_xlfn.XLOOKUP($D14,'-ref_Distribution'!$B$117:$B$121,'-ref_Distribution'!$G$117:$G$121)),RIGHT(BX$1,2))</f>
        <v>26</v>
      </c>
      <c r="BY14" s="16" cm="1">
        <f t="array" ref="BY14">INDEX(_xlfn.ANCHORARRAY(_xlfn.XLOOKUP($D14,'-ref_Distribution'!$B$117:$B$121,'-ref_Distribution'!$G$117:$G$121)),RIGHT(BY$1,2))</f>
        <v>25</v>
      </c>
      <c r="BZ14" s="16" cm="1">
        <f t="array" ref="BZ14">INDEX(_xlfn.ANCHORARRAY(_xlfn.XLOOKUP($D14,'-ref_Distribution'!$B$117:$B$121,'-ref_Distribution'!$G$117:$G$121)),RIGHT(BZ$1,2))</f>
        <v>24</v>
      </c>
      <c r="CA14" s="16" cm="1">
        <f t="array" ref="CA14">INDEX(_xlfn.ANCHORARRAY(_xlfn.XLOOKUP($D14,'-ref_Distribution'!$B$117:$B$121,'-ref_Distribution'!$G$117:$G$121)),RIGHT(CA$1,2))</f>
        <v>23</v>
      </c>
      <c r="CB14" s="16" cm="1">
        <f t="array" ref="CB14">INDEX(_xlfn.ANCHORARRAY(_xlfn.XLOOKUP($D14,'-ref_Distribution'!$B$117:$B$121,'-ref_Distribution'!$G$117:$G$121)),RIGHT(CB$1,2))</f>
        <v>22</v>
      </c>
      <c r="CC14" s="16" cm="1">
        <f t="array" ref="CC14">INDEX(_xlfn.ANCHORARRAY(_xlfn.XLOOKUP($D14,'-ref_Distribution'!$B$117:$B$121,'-ref_Distribution'!$G$117:$G$121)),RIGHT(CC$1,2))</f>
        <v>21</v>
      </c>
      <c r="CD14" s="16" cm="1">
        <f t="array" ref="CD14">INDEX(_xlfn.ANCHORARRAY(_xlfn.XLOOKUP($D14,'-ref_Distribution'!$B$117:$B$121,'-ref_Distribution'!$G$117:$G$121)),RIGHT(CD$1,2))</f>
        <v>20</v>
      </c>
      <c r="CE14" s="16" cm="1">
        <f t="array" ref="CE14">INDEX(_xlfn.ANCHORARRAY(_xlfn.XLOOKUP($D14,'-ref_Distribution'!$B$117:$B$121,'-ref_Distribution'!$G$117:$G$121)),RIGHT(CE$1,2))</f>
        <v>19</v>
      </c>
      <c r="CF14" s="16" cm="1">
        <f t="array" ref="CF14">INDEX(_xlfn.ANCHORARRAY(_xlfn.XLOOKUP($D14,'-ref_Distribution'!$B$117:$B$121,'-ref_Distribution'!$G$117:$G$121)),RIGHT(CF$1,2))</f>
        <v>18</v>
      </c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</row>
    <row r="15" spans="1:98" x14ac:dyDescent="0.2">
      <c r="A15" s="16">
        <v>13101051</v>
      </c>
      <c r="B15" s="17" t="s">
        <v>333</v>
      </c>
      <c r="C15" s="17" t="s">
        <v>427</v>
      </c>
      <c r="D15" s="16">
        <v>1</v>
      </c>
      <c r="E15" s="16">
        <v>10</v>
      </c>
      <c r="F15" s="16">
        <v>10</v>
      </c>
      <c r="G15" s="16">
        <v>10</v>
      </c>
      <c r="H15" s="16">
        <v>10</v>
      </c>
      <c r="I15" s="16">
        <v>100</v>
      </c>
      <c r="J15" s="16">
        <v>100</v>
      </c>
      <c r="K15" s="16">
        <v>100</v>
      </c>
      <c r="L15" s="16">
        <v>100</v>
      </c>
      <c r="M15" s="16">
        <v>100</v>
      </c>
      <c r="N15" s="16">
        <v>50</v>
      </c>
      <c r="O15" s="16">
        <v>50</v>
      </c>
      <c r="P15" s="16">
        <v>50</v>
      </c>
      <c r="Q15" s="16">
        <v>50</v>
      </c>
      <c r="R15" s="16">
        <v>50</v>
      </c>
      <c r="S15" s="16">
        <v>50</v>
      </c>
      <c r="T15" s="16">
        <v>18</v>
      </c>
      <c r="U15" s="16">
        <v>18</v>
      </c>
      <c r="V15" s="16">
        <v>18</v>
      </c>
      <c r="W15" s="16">
        <v>18</v>
      </c>
      <c r="X15" s="16">
        <v>18</v>
      </c>
      <c r="Y15" s="16">
        <v>10</v>
      </c>
      <c r="Z15" s="16">
        <v>10</v>
      </c>
      <c r="AA15" s="16">
        <v>10</v>
      </c>
      <c r="AB15" s="16">
        <v>10</v>
      </c>
      <c r="AC15" s="16">
        <v>100</v>
      </c>
      <c r="AD15" s="16">
        <v>100</v>
      </c>
      <c r="AE15" s="16">
        <v>100</v>
      </c>
      <c r="AF15" s="16">
        <v>100</v>
      </c>
      <c r="AG15" s="16">
        <v>100</v>
      </c>
      <c r="AH15" s="16">
        <v>50</v>
      </c>
      <c r="AI15" s="16">
        <v>50</v>
      </c>
      <c r="AJ15" s="16">
        <v>50</v>
      </c>
      <c r="AK15" s="16">
        <v>50</v>
      </c>
      <c r="AL15" s="16">
        <v>50</v>
      </c>
      <c r="AM15" s="16">
        <v>50</v>
      </c>
      <c r="AN15" s="16">
        <v>18</v>
      </c>
      <c r="AO15" s="16">
        <v>18</v>
      </c>
      <c r="AP15" s="16">
        <v>18</v>
      </c>
      <c r="AQ15" s="16">
        <v>18</v>
      </c>
      <c r="AR15" s="16">
        <v>18</v>
      </c>
      <c r="AS15" s="16">
        <v>10</v>
      </c>
      <c r="AT15" s="16">
        <v>10</v>
      </c>
      <c r="AU15" s="16">
        <v>10</v>
      </c>
      <c r="AV15" s="16">
        <v>10</v>
      </c>
      <c r="AW15" s="16">
        <v>100</v>
      </c>
      <c r="AX15" s="16">
        <v>100</v>
      </c>
      <c r="AY15" s="16">
        <v>100</v>
      </c>
      <c r="AZ15" s="16">
        <v>100</v>
      </c>
      <c r="BA15" s="16">
        <v>100</v>
      </c>
      <c r="BB15" s="16">
        <v>50</v>
      </c>
      <c r="BC15" s="16">
        <v>50</v>
      </c>
      <c r="BD15" s="16">
        <v>50</v>
      </c>
      <c r="BE15" s="16">
        <v>50</v>
      </c>
      <c r="BF15" s="16">
        <v>50</v>
      </c>
      <c r="BG15" s="16">
        <v>50</v>
      </c>
      <c r="BH15" s="16">
        <v>18</v>
      </c>
      <c r="BI15" s="16">
        <v>18</v>
      </c>
      <c r="BJ15" s="16">
        <v>18</v>
      </c>
      <c r="BK15" s="16">
        <v>18</v>
      </c>
      <c r="BL15" s="16">
        <v>18</v>
      </c>
      <c r="BM15" s="16" cm="1">
        <f t="array" ref="BM15">INDEX(_xlfn.ANCHORARRAY(_xlfn.XLOOKUP($D15,'-ref_Distribution'!$B$117:$B$121,'-ref_Distribution'!$G$117:$G$121)),RIGHT(BM$1,2))</f>
        <v>78</v>
      </c>
      <c r="BN15" s="16" cm="1">
        <f t="array" ref="BN15">INDEX(_xlfn.ANCHORARRAY(_xlfn.XLOOKUP($D15,'-ref_Distribution'!$B$117:$B$121,'-ref_Distribution'!$G$117:$G$121)),RIGHT(BN$1,2))</f>
        <v>72</v>
      </c>
      <c r="BO15" s="16" cm="1">
        <f t="array" ref="BO15">INDEX(_xlfn.ANCHORARRAY(_xlfn.XLOOKUP($D15,'-ref_Distribution'!$B$117:$B$121,'-ref_Distribution'!$G$117:$G$121)),RIGHT(BO$1,2))</f>
        <v>66</v>
      </c>
      <c r="BP15" s="16" cm="1">
        <f t="array" ref="BP15">INDEX(_xlfn.ANCHORARRAY(_xlfn.XLOOKUP($D15,'-ref_Distribution'!$B$117:$B$121,'-ref_Distribution'!$G$117:$G$121)),RIGHT(BP$1,2))</f>
        <v>61</v>
      </c>
      <c r="BQ15" s="16" cm="1">
        <f t="array" ref="BQ15">INDEX(_xlfn.ANCHORARRAY(_xlfn.XLOOKUP($D15,'-ref_Distribution'!$B$117:$B$121,'-ref_Distribution'!$G$117:$G$121)),RIGHT(BQ$1,2))</f>
        <v>58</v>
      </c>
      <c r="BR15" s="16" cm="1">
        <f t="array" ref="BR15">INDEX(_xlfn.ANCHORARRAY(_xlfn.XLOOKUP($D15,'-ref_Distribution'!$B$117:$B$121,'-ref_Distribution'!$G$117:$G$121)),RIGHT(BR$1,2))</f>
        <v>55</v>
      </c>
      <c r="BS15" s="16" cm="1">
        <f t="array" ref="BS15">INDEX(_xlfn.ANCHORARRAY(_xlfn.XLOOKUP($D15,'-ref_Distribution'!$B$117:$B$121,'-ref_Distribution'!$G$117:$G$121)),RIGHT(BS$1,2))</f>
        <v>52</v>
      </c>
      <c r="BT15" s="16" cm="1">
        <f t="array" ref="BT15">INDEX(_xlfn.ANCHORARRAY(_xlfn.XLOOKUP($D15,'-ref_Distribution'!$B$117:$B$121,'-ref_Distribution'!$G$117:$G$121)),RIGHT(BT$1,2))</f>
        <v>50</v>
      </c>
      <c r="BU15" s="16" cm="1">
        <f t="array" ref="BU15">INDEX(_xlfn.ANCHORARRAY(_xlfn.XLOOKUP($D15,'-ref_Distribution'!$B$117:$B$121,'-ref_Distribution'!$G$117:$G$121)),RIGHT(BU$1,2))</f>
        <v>48</v>
      </c>
      <c r="BV15" s="16" cm="1">
        <f t="array" ref="BV15">INDEX(_xlfn.ANCHORARRAY(_xlfn.XLOOKUP($D15,'-ref_Distribution'!$B$117:$B$121,'-ref_Distribution'!$G$117:$G$121)),RIGHT(BV$1,2))</f>
        <v>47</v>
      </c>
      <c r="BW15" s="16" cm="1">
        <f t="array" ref="BW15">INDEX(_xlfn.ANCHORARRAY(_xlfn.XLOOKUP($D15,'-ref_Distribution'!$B$117:$B$121,'-ref_Distribution'!$G$117:$G$121)),RIGHT(BW$1,2))</f>
        <v>46</v>
      </c>
      <c r="BX15" s="16" cm="1">
        <f t="array" ref="BX15">INDEX(_xlfn.ANCHORARRAY(_xlfn.XLOOKUP($D15,'-ref_Distribution'!$B$117:$B$121,'-ref_Distribution'!$G$117:$G$121)),RIGHT(BX$1,2))</f>
        <v>44</v>
      </c>
      <c r="BY15" s="16" cm="1">
        <f t="array" ref="BY15">INDEX(_xlfn.ANCHORARRAY(_xlfn.XLOOKUP($D15,'-ref_Distribution'!$B$117:$B$121,'-ref_Distribution'!$G$117:$G$121)),RIGHT(BY$1,2))</f>
        <v>43</v>
      </c>
      <c r="BZ15" s="16" cm="1">
        <f t="array" ref="BZ15">INDEX(_xlfn.ANCHORARRAY(_xlfn.XLOOKUP($D15,'-ref_Distribution'!$B$117:$B$121,'-ref_Distribution'!$G$117:$G$121)),RIGHT(BZ$1,2))</f>
        <v>42</v>
      </c>
      <c r="CA15" s="16" cm="1">
        <f t="array" ref="CA15">INDEX(_xlfn.ANCHORARRAY(_xlfn.XLOOKUP($D15,'-ref_Distribution'!$B$117:$B$121,'-ref_Distribution'!$G$117:$G$121)),RIGHT(CA$1,2))</f>
        <v>41</v>
      </c>
      <c r="CB15" s="16" cm="1">
        <f t="array" ref="CB15">INDEX(_xlfn.ANCHORARRAY(_xlfn.XLOOKUP($D15,'-ref_Distribution'!$B$117:$B$121,'-ref_Distribution'!$G$117:$G$121)),RIGHT(CB$1,2))</f>
        <v>40</v>
      </c>
      <c r="CC15" s="16" cm="1">
        <f t="array" ref="CC15">INDEX(_xlfn.ANCHORARRAY(_xlfn.XLOOKUP($D15,'-ref_Distribution'!$B$117:$B$121,'-ref_Distribution'!$G$117:$G$121)),RIGHT(CC$1,2))</f>
        <v>40</v>
      </c>
      <c r="CD15" s="16" cm="1">
        <f t="array" ref="CD15">INDEX(_xlfn.ANCHORARRAY(_xlfn.XLOOKUP($D15,'-ref_Distribution'!$B$117:$B$121,'-ref_Distribution'!$G$117:$G$121)),RIGHT(CD$1,2))</f>
        <v>39</v>
      </c>
      <c r="CE15" s="16" cm="1">
        <f t="array" ref="CE15">INDEX(_xlfn.ANCHORARRAY(_xlfn.XLOOKUP($D15,'-ref_Distribution'!$B$117:$B$121,'-ref_Distribution'!$G$117:$G$121)),RIGHT(CE$1,2))</f>
        <v>38</v>
      </c>
      <c r="CF15" s="16" cm="1">
        <f t="array" ref="CF15">INDEX(_xlfn.ANCHORARRAY(_xlfn.XLOOKUP($D15,'-ref_Distribution'!$B$117:$B$121,'-ref_Distribution'!$G$117:$G$121)),RIGHT(CF$1,2))</f>
        <v>38</v>
      </c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</row>
    <row r="16" spans="1:98" x14ac:dyDescent="0.2">
      <c r="A16" s="16">
        <v>1310106</v>
      </c>
      <c r="B16" s="17" t="s">
        <v>340</v>
      </c>
      <c r="C16" s="17" t="s">
        <v>427</v>
      </c>
      <c r="D16" s="17" t="s">
        <v>424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</row>
    <row r="17" spans="1:98" x14ac:dyDescent="0.2">
      <c r="A17" s="16">
        <v>13101061</v>
      </c>
      <c r="B17" s="17" t="s">
        <v>336</v>
      </c>
      <c r="C17" s="17" t="s">
        <v>427</v>
      </c>
      <c r="D17" s="16">
        <v>1</v>
      </c>
      <c r="E17" s="16">
        <v>10</v>
      </c>
      <c r="F17" s="16">
        <v>10</v>
      </c>
      <c r="G17" s="16">
        <v>10</v>
      </c>
      <c r="H17" s="16">
        <v>50</v>
      </c>
      <c r="I17" s="16">
        <v>100</v>
      </c>
      <c r="J17" s="16">
        <v>100</v>
      </c>
      <c r="K17" s="16">
        <v>100</v>
      </c>
      <c r="L17" s="16">
        <v>100</v>
      </c>
      <c r="M17" s="16">
        <v>100</v>
      </c>
      <c r="N17" s="16">
        <v>50</v>
      </c>
      <c r="O17" s="16">
        <v>50</v>
      </c>
      <c r="P17" s="16">
        <v>50</v>
      </c>
      <c r="Q17" s="16">
        <v>50</v>
      </c>
      <c r="R17" s="16">
        <v>50</v>
      </c>
      <c r="S17" s="16">
        <v>50</v>
      </c>
      <c r="T17" s="16">
        <v>18</v>
      </c>
      <c r="U17" s="16">
        <v>18</v>
      </c>
      <c r="V17" s="16">
        <v>18</v>
      </c>
      <c r="W17" s="16">
        <v>18</v>
      </c>
      <c r="X17" s="16">
        <v>18</v>
      </c>
      <c r="Y17" s="16">
        <v>10</v>
      </c>
      <c r="Z17" s="16">
        <v>10</v>
      </c>
      <c r="AA17" s="16">
        <v>10</v>
      </c>
      <c r="AB17" s="16">
        <v>50</v>
      </c>
      <c r="AC17" s="16">
        <v>100</v>
      </c>
      <c r="AD17" s="16">
        <v>100</v>
      </c>
      <c r="AE17" s="16">
        <v>100</v>
      </c>
      <c r="AF17" s="16">
        <v>100</v>
      </c>
      <c r="AG17" s="16">
        <v>100</v>
      </c>
      <c r="AH17" s="16">
        <v>50</v>
      </c>
      <c r="AI17" s="16">
        <v>50</v>
      </c>
      <c r="AJ17" s="16">
        <v>50</v>
      </c>
      <c r="AK17" s="16">
        <v>50</v>
      </c>
      <c r="AL17" s="16">
        <v>50</v>
      </c>
      <c r="AM17" s="16">
        <v>50</v>
      </c>
      <c r="AN17" s="16">
        <v>18</v>
      </c>
      <c r="AO17" s="16">
        <v>18</v>
      </c>
      <c r="AP17" s="16">
        <v>18</v>
      </c>
      <c r="AQ17" s="16">
        <v>18</v>
      </c>
      <c r="AR17" s="16">
        <v>18</v>
      </c>
      <c r="AS17" s="16">
        <v>10</v>
      </c>
      <c r="AT17" s="16">
        <v>10</v>
      </c>
      <c r="AU17" s="16">
        <v>10</v>
      </c>
      <c r="AV17" s="16">
        <v>50</v>
      </c>
      <c r="AW17" s="16">
        <v>100</v>
      </c>
      <c r="AX17" s="16">
        <v>100</v>
      </c>
      <c r="AY17" s="16">
        <v>100</v>
      </c>
      <c r="AZ17" s="16">
        <v>100</v>
      </c>
      <c r="BA17" s="16">
        <v>100</v>
      </c>
      <c r="BB17" s="16">
        <v>50</v>
      </c>
      <c r="BC17" s="16">
        <v>50</v>
      </c>
      <c r="BD17" s="16">
        <v>50</v>
      </c>
      <c r="BE17" s="16">
        <v>50</v>
      </c>
      <c r="BF17" s="16">
        <v>50</v>
      </c>
      <c r="BG17" s="16">
        <v>50</v>
      </c>
      <c r="BH17" s="16">
        <v>18</v>
      </c>
      <c r="BI17" s="16">
        <v>18</v>
      </c>
      <c r="BJ17" s="16">
        <v>18</v>
      </c>
      <c r="BK17" s="16">
        <v>18</v>
      </c>
      <c r="BL17" s="16">
        <v>18</v>
      </c>
      <c r="BM17" s="16" cm="1">
        <f t="array" ref="BM17">INDEX(_xlfn.ANCHORARRAY(_xlfn.XLOOKUP($D17,'-ref_Distribution'!$B$117:$B$121,'-ref_Distribution'!$G$117:$G$121)),RIGHT(BM$1,2))</f>
        <v>78</v>
      </c>
      <c r="BN17" s="16" cm="1">
        <f t="array" ref="BN17">INDEX(_xlfn.ANCHORARRAY(_xlfn.XLOOKUP($D17,'-ref_Distribution'!$B$117:$B$121,'-ref_Distribution'!$G$117:$G$121)),RIGHT(BN$1,2))</f>
        <v>72</v>
      </c>
      <c r="BO17" s="16" cm="1">
        <f t="array" ref="BO17">INDEX(_xlfn.ANCHORARRAY(_xlfn.XLOOKUP($D17,'-ref_Distribution'!$B$117:$B$121,'-ref_Distribution'!$G$117:$G$121)),RIGHT(BO$1,2))</f>
        <v>66</v>
      </c>
      <c r="BP17" s="16" cm="1">
        <f t="array" ref="BP17">INDEX(_xlfn.ANCHORARRAY(_xlfn.XLOOKUP($D17,'-ref_Distribution'!$B$117:$B$121,'-ref_Distribution'!$G$117:$G$121)),RIGHT(BP$1,2))</f>
        <v>61</v>
      </c>
      <c r="BQ17" s="16" cm="1">
        <f t="array" ref="BQ17">INDEX(_xlfn.ANCHORARRAY(_xlfn.XLOOKUP($D17,'-ref_Distribution'!$B$117:$B$121,'-ref_Distribution'!$G$117:$G$121)),RIGHT(BQ$1,2))</f>
        <v>58</v>
      </c>
      <c r="BR17" s="16" cm="1">
        <f t="array" ref="BR17">INDEX(_xlfn.ANCHORARRAY(_xlfn.XLOOKUP($D17,'-ref_Distribution'!$B$117:$B$121,'-ref_Distribution'!$G$117:$G$121)),RIGHT(BR$1,2))</f>
        <v>55</v>
      </c>
      <c r="BS17" s="16" cm="1">
        <f t="array" ref="BS17">INDEX(_xlfn.ANCHORARRAY(_xlfn.XLOOKUP($D17,'-ref_Distribution'!$B$117:$B$121,'-ref_Distribution'!$G$117:$G$121)),RIGHT(BS$1,2))</f>
        <v>52</v>
      </c>
      <c r="BT17" s="16" cm="1">
        <f t="array" ref="BT17">INDEX(_xlfn.ANCHORARRAY(_xlfn.XLOOKUP($D17,'-ref_Distribution'!$B$117:$B$121,'-ref_Distribution'!$G$117:$G$121)),RIGHT(BT$1,2))</f>
        <v>50</v>
      </c>
      <c r="BU17" s="16" cm="1">
        <f t="array" ref="BU17">INDEX(_xlfn.ANCHORARRAY(_xlfn.XLOOKUP($D17,'-ref_Distribution'!$B$117:$B$121,'-ref_Distribution'!$G$117:$G$121)),RIGHT(BU$1,2))</f>
        <v>48</v>
      </c>
      <c r="BV17" s="16" cm="1">
        <f t="array" ref="BV17">INDEX(_xlfn.ANCHORARRAY(_xlfn.XLOOKUP($D17,'-ref_Distribution'!$B$117:$B$121,'-ref_Distribution'!$G$117:$G$121)),RIGHT(BV$1,2))</f>
        <v>47</v>
      </c>
      <c r="BW17" s="16" cm="1">
        <f t="array" ref="BW17">INDEX(_xlfn.ANCHORARRAY(_xlfn.XLOOKUP($D17,'-ref_Distribution'!$B$117:$B$121,'-ref_Distribution'!$G$117:$G$121)),RIGHT(BW$1,2))</f>
        <v>46</v>
      </c>
      <c r="BX17" s="16" cm="1">
        <f t="array" ref="BX17">INDEX(_xlfn.ANCHORARRAY(_xlfn.XLOOKUP($D17,'-ref_Distribution'!$B$117:$B$121,'-ref_Distribution'!$G$117:$G$121)),RIGHT(BX$1,2))</f>
        <v>44</v>
      </c>
      <c r="BY17" s="16" cm="1">
        <f t="array" ref="BY17">INDEX(_xlfn.ANCHORARRAY(_xlfn.XLOOKUP($D17,'-ref_Distribution'!$B$117:$B$121,'-ref_Distribution'!$G$117:$G$121)),RIGHT(BY$1,2))</f>
        <v>43</v>
      </c>
      <c r="BZ17" s="16" cm="1">
        <f t="array" ref="BZ17">INDEX(_xlfn.ANCHORARRAY(_xlfn.XLOOKUP($D17,'-ref_Distribution'!$B$117:$B$121,'-ref_Distribution'!$G$117:$G$121)),RIGHT(BZ$1,2))</f>
        <v>42</v>
      </c>
      <c r="CA17" s="16" cm="1">
        <f t="array" ref="CA17">INDEX(_xlfn.ANCHORARRAY(_xlfn.XLOOKUP($D17,'-ref_Distribution'!$B$117:$B$121,'-ref_Distribution'!$G$117:$G$121)),RIGHT(CA$1,2))</f>
        <v>41</v>
      </c>
      <c r="CB17" s="16" cm="1">
        <f t="array" ref="CB17">INDEX(_xlfn.ANCHORARRAY(_xlfn.XLOOKUP($D17,'-ref_Distribution'!$B$117:$B$121,'-ref_Distribution'!$G$117:$G$121)),RIGHT(CB$1,2))</f>
        <v>40</v>
      </c>
      <c r="CC17" s="16" cm="1">
        <f t="array" ref="CC17">INDEX(_xlfn.ANCHORARRAY(_xlfn.XLOOKUP($D17,'-ref_Distribution'!$B$117:$B$121,'-ref_Distribution'!$G$117:$G$121)),RIGHT(CC$1,2))</f>
        <v>40</v>
      </c>
      <c r="CD17" s="16" cm="1">
        <f t="array" ref="CD17">INDEX(_xlfn.ANCHORARRAY(_xlfn.XLOOKUP($D17,'-ref_Distribution'!$B$117:$B$121,'-ref_Distribution'!$G$117:$G$121)),RIGHT(CD$1,2))</f>
        <v>39</v>
      </c>
      <c r="CE17" s="16" cm="1">
        <f t="array" ref="CE17">INDEX(_xlfn.ANCHORARRAY(_xlfn.XLOOKUP($D17,'-ref_Distribution'!$B$117:$B$121,'-ref_Distribution'!$G$117:$G$121)),RIGHT(CE$1,2))</f>
        <v>38</v>
      </c>
      <c r="CF17" s="16" cm="1">
        <f t="array" ref="CF17">INDEX(_xlfn.ANCHORARRAY(_xlfn.XLOOKUP($D17,'-ref_Distribution'!$B$117:$B$121,'-ref_Distribution'!$G$117:$G$121)),RIGHT(CF$1,2))</f>
        <v>38</v>
      </c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</row>
    <row r="18" spans="1:98" x14ac:dyDescent="0.2">
      <c r="A18" s="16">
        <v>13101062</v>
      </c>
      <c r="B18" s="17" t="s">
        <v>337</v>
      </c>
      <c r="C18" s="17" t="s">
        <v>427</v>
      </c>
      <c r="D18" s="16">
        <v>2</v>
      </c>
      <c r="E18" s="16">
        <v>0</v>
      </c>
      <c r="F18" s="16">
        <v>0</v>
      </c>
      <c r="G18" s="16">
        <v>0</v>
      </c>
      <c r="H18" s="16">
        <v>10</v>
      </c>
      <c r="I18" s="16">
        <v>10</v>
      </c>
      <c r="J18" s="16">
        <v>10</v>
      </c>
      <c r="K18" s="16">
        <v>50</v>
      </c>
      <c r="L18" s="16">
        <v>100</v>
      </c>
      <c r="M18" s="16">
        <v>100</v>
      </c>
      <c r="N18" s="16">
        <v>100</v>
      </c>
      <c r="O18" s="16">
        <v>100</v>
      </c>
      <c r="P18" s="16">
        <v>100</v>
      </c>
      <c r="Q18" s="16">
        <v>50</v>
      </c>
      <c r="R18" s="16">
        <v>50</v>
      </c>
      <c r="S18" s="16">
        <v>50</v>
      </c>
      <c r="T18" s="16">
        <v>50</v>
      </c>
      <c r="U18" s="16">
        <v>50</v>
      </c>
      <c r="V18" s="16">
        <v>50</v>
      </c>
      <c r="W18" s="16">
        <v>18</v>
      </c>
      <c r="X18" s="16">
        <v>18</v>
      </c>
      <c r="Y18" s="16">
        <v>0</v>
      </c>
      <c r="Z18" s="16">
        <v>0</v>
      </c>
      <c r="AA18" s="16">
        <v>0</v>
      </c>
      <c r="AB18" s="16">
        <v>10</v>
      </c>
      <c r="AC18" s="16">
        <v>10</v>
      </c>
      <c r="AD18" s="16">
        <v>10</v>
      </c>
      <c r="AE18" s="16">
        <v>50</v>
      </c>
      <c r="AF18" s="16">
        <v>100</v>
      </c>
      <c r="AG18" s="16">
        <v>100</v>
      </c>
      <c r="AH18" s="16">
        <v>100</v>
      </c>
      <c r="AI18" s="16">
        <v>100</v>
      </c>
      <c r="AJ18" s="16">
        <v>100</v>
      </c>
      <c r="AK18" s="16">
        <v>50</v>
      </c>
      <c r="AL18" s="16">
        <v>50</v>
      </c>
      <c r="AM18" s="16">
        <v>50</v>
      </c>
      <c r="AN18" s="16">
        <v>50</v>
      </c>
      <c r="AO18" s="16">
        <v>50</v>
      </c>
      <c r="AP18" s="16">
        <v>50</v>
      </c>
      <c r="AQ18" s="16">
        <v>18</v>
      </c>
      <c r="AR18" s="16">
        <v>18</v>
      </c>
      <c r="AS18" s="16">
        <v>0</v>
      </c>
      <c r="AT18" s="16">
        <v>0</v>
      </c>
      <c r="AU18" s="16">
        <v>0</v>
      </c>
      <c r="AV18" s="16">
        <v>10</v>
      </c>
      <c r="AW18" s="16">
        <v>10</v>
      </c>
      <c r="AX18" s="16">
        <v>10</v>
      </c>
      <c r="AY18" s="16">
        <v>50</v>
      </c>
      <c r="AZ18" s="16">
        <v>100</v>
      </c>
      <c r="BA18" s="16">
        <v>100</v>
      </c>
      <c r="BB18" s="16">
        <v>100</v>
      </c>
      <c r="BC18" s="16">
        <v>100</v>
      </c>
      <c r="BD18" s="16">
        <v>100</v>
      </c>
      <c r="BE18" s="16">
        <v>50</v>
      </c>
      <c r="BF18" s="16">
        <v>50</v>
      </c>
      <c r="BG18" s="16">
        <v>50</v>
      </c>
      <c r="BH18" s="16">
        <v>50</v>
      </c>
      <c r="BI18" s="16">
        <v>50</v>
      </c>
      <c r="BJ18" s="16">
        <v>50</v>
      </c>
      <c r="BK18" s="16">
        <v>18</v>
      </c>
      <c r="BL18" s="16">
        <v>18</v>
      </c>
      <c r="BM18" s="16" cm="1">
        <f t="array" ref="BM18">INDEX(_xlfn.ANCHORARRAY(_xlfn.XLOOKUP($D18,'-ref_Distribution'!$B$117:$B$121,'-ref_Distribution'!$G$117:$G$121)),RIGHT(BM$1,2))</f>
        <v>0</v>
      </c>
      <c r="BN18" s="16" cm="1">
        <f t="array" ref="BN18">INDEX(_xlfn.ANCHORARRAY(_xlfn.XLOOKUP($D18,'-ref_Distribution'!$B$117:$B$121,'-ref_Distribution'!$G$117:$G$121)),RIGHT(BN$1,2))</f>
        <v>5</v>
      </c>
      <c r="BO18" s="16" cm="1">
        <f t="array" ref="BO18">INDEX(_xlfn.ANCHORARRAY(_xlfn.XLOOKUP($D18,'-ref_Distribution'!$B$117:$B$121,'-ref_Distribution'!$G$117:$G$121)),RIGHT(BO$1,2))</f>
        <v>12</v>
      </c>
      <c r="BP18" s="16" cm="1">
        <f t="array" ref="BP18">INDEX(_xlfn.ANCHORARRAY(_xlfn.XLOOKUP($D18,'-ref_Distribution'!$B$117:$B$121,'-ref_Distribution'!$G$117:$G$121)),RIGHT(BP$1,2))</f>
        <v>16</v>
      </c>
      <c r="BQ18" s="16" cm="1">
        <f t="array" ref="BQ18">INDEX(_xlfn.ANCHORARRAY(_xlfn.XLOOKUP($D18,'-ref_Distribution'!$B$117:$B$121,'-ref_Distribution'!$G$117:$G$121)),RIGHT(BQ$1,2))</f>
        <v>19</v>
      </c>
      <c r="BR18" s="16" cm="1">
        <f t="array" ref="BR18">INDEX(_xlfn.ANCHORARRAY(_xlfn.XLOOKUP($D18,'-ref_Distribution'!$B$117:$B$121,'-ref_Distribution'!$G$117:$G$121)),RIGHT(BR$1,2))</f>
        <v>22</v>
      </c>
      <c r="BS18" s="16" cm="1">
        <f t="array" ref="BS18">INDEX(_xlfn.ANCHORARRAY(_xlfn.XLOOKUP($D18,'-ref_Distribution'!$B$117:$B$121,'-ref_Distribution'!$G$117:$G$121)),RIGHT(BS$1,2))</f>
        <v>23</v>
      </c>
      <c r="BT18" s="16" cm="1">
        <f t="array" ref="BT18">INDEX(_xlfn.ANCHORARRAY(_xlfn.XLOOKUP($D18,'-ref_Distribution'!$B$117:$B$121,'-ref_Distribution'!$G$117:$G$121)),RIGHT(BT$1,2))</f>
        <v>25</v>
      </c>
      <c r="BU18" s="16" cm="1">
        <f t="array" ref="BU18">INDEX(_xlfn.ANCHORARRAY(_xlfn.XLOOKUP($D18,'-ref_Distribution'!$B$117:$B$121,'-ref_Distribution'!$G$117:$G$121)),RIGHT(BU$1,2))</f>
        <v>26</v>
      </c>
      <c r="BV18" s="16" cm="1">
        <f t="array" ref="BV18">INDEX(_xlfn.ANCHORARRAY(_xlfn.XLOOKUP($D18,'-ref_Distribution'!$B$117:$B$121,'-ref_Distribution'!$G$117:$G$121)),RIGHT(BV$1,2))</f>
        <v>27</v>
      </c>
      <c r="BW18" s="16" cm="1">
        <f t="array" ref="BW18">INDEX(_xlfn.ANCHORARRAY(_xlfn.XLOOKUP($D18,'-ref_Distribution'!$B$117:$B$121,'-ref_Distribution'!$G$117:$G$121)),RIGHT(BW$1,2))</f>
        <v>27</v>
      </c>
      <c r="BX18" s="16" cm="1">
        <f t="array" ref="BX18">INDEX(_xlfn.ANCHORARRAY(_xlfn.XLOOKUP($D18,'-ref_Distribution'!$B$117:$B$121,'-ref_Distribution'!$G$117:$G$121)),RIGHT(BX$1,2))</f>
        <v>28</v>
      </c>
      <c r="BY18" s="16" cm="1">
        <f t="array" ref="BY18">INDEX(_xlfn.ANCHORARRAY(_xlfn.XLOOKUP($D18,'-ref_Distribution'!$B$117:$B$121,'-ref_Distribution'!$G$117:$G$121)),RIGHT(BY$1,2))</f>
        <v>29</v>
      </c>
      <c r="BZ18" s="16" cm="1">
        <f t="array" ref="BZ18">INDEX(_xlfn.ANCHORARRAY(_xlfn.XLOOKUP($D18,'-ref_Distribution'!$B$117:$B$121,'-ref_Distribution'!$G$117:$G$121)),RIGHT(BZ$1,2))</f>
        <v>29</v>
      </c>
      <c r="CA18" s="16" cm="1">
        <f t="array" ref="CA18">INDEX(_xlfn.ANCHORARRAY(_xlfn.XLOOKUP($D18,'-ref_Distribution'!$B$117:$B$121,'-ref_Distribution'!$G$117:$G$121)),RIGHT(CA$1,2))</f>
        <v>30</v>
      </c>
      <c r="CB18" s="16" cm="1">
        <f t="array" ref="CB18">INDEX(_xlfn.ANCHORARRAY(_xlfn.XLOOKUP($D18,'-ref_Distribution'!$B$117:$B$121,'-ref_Distribution'!$G$117:$G$121)),RIGHT(CB$1,2))</f>
        <v>30</v>
      </c>
      <c r="CC18" s="16" cm="1">
        <f t="array" ref="CC18">INDEX(_xlfn.ANCHORARRAY(_xlfn.XLOOKUP($D18,'-ref_Distribution'!$B$117:$B$121,'-ref_Distribution'!$G$117:$G$121)),RIGHT(CC$1,2))</f>
        <v>30</v>
      </c>
      <c r="CD18" s="16" cm="1">
        <f t="array" ref="CD18">INDEX(_xlfn.ANCHORARRAY(_xlfn.XLOOKUP($D18,'-ref_Distribution'!$B$117:$B$121,'-ref_Distribution'!$G$117:$G$121)),RIGHT(CD$1,2))</f>
        <v>30</v>
      </c>
      <c r="CE18" s="16" cm="1">
        <f t="array" ref="CE18">INDEX(_xlfn.ANCHORARRAY(_xlfn.XLOOKUP($D18,'-ref_Distribution'!$B$117:$B$121,'-ref_Distribution'!$G$117:$G$121)),RIGHT(CE$1,2))</f>
        <v>31</v>
      </c>
      <c r="CF18" s="16" cm="1">
        <f t="array" ref="CF18">INDEX(_xlfn.ANCHORARRAY(_xlfn.XLOOKUP($D18,'-ref_Distribution'!$B$117:$B$121,'-ref_Distribution'!$G$117:$G$121)),RIGHT(CF$1,2))</f>
        <v>31</v>
      </c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</row>
    <row r="19" spans="1:98" x14ac:dyDescent="0.2">
      <c r="A19" s="16">
        <v>13101063</v>
      </c>
      <c r="B19" s="17" t="s">
        <v>338</v>
      </c>
      <c r="C19" s="17" t="s">
        <v>427</v>
      </c>
      <c r="D19" s="16">
        <v>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10</v>
      </c>
      <c r="L19" s="16">
        <v>10</v>
      </c>
      <c r="M19" s="16">
        <v>10</v>
      </c>
      <c r="N19" s="16">
        <v>50</v>
      </c>
      <c r="O19" s="16">
        <v>100</v>
      </c>
      <c r="P19" s="16">
        <v>100</v>
      </c>
      <c r="Q19" s="16">
        <v>100</v>
      </c>
      <c r="R19" s="16">
        <v>100</v>
      </c>
      <c r="S19" s="16">
        <v>100</v>
      </c>
      <c r="T19" s="16">
        <v>50</v>
      </c>
      <c r="U19" s="16">
        <v>50</v>
      </c>
      <c r="V19" s="16">
        <v>50</v>
      </c>
      <c r="W19" s="16">
        <v>50</v>
      </c>
      <c r="X19" s="16">
        <v>50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10</v>
      </c>
      <c r="AF19" s="16">
        <v>10</v>
      </c>
      <c r="AG19" s="16">
        <v>10</v>
      </c>
      <c r="AH19" s="16">
        <v>50</v>
      </c>
      <c r="AI19" s="16">
        <v>100</v>
      </c>
      <c r="AJ19" s="16">
        <v>100</v>
      </c>
      <c r="AK19" s="16">
        <v>100</v>
      </c>
      <c r="AL19" s="16">
        <v>100</v>
      </c>
      <c r="AM19" s="16">
        <v>100</v>
      </c>
      <c r="AN19" s="16">
        <v>50</v>
      </c>
      <c r="AO19" s="16">
        <v>50</v>
      </c>
      <c r="AP19" s="16">
        <v>50</v>
      </c>
      <c r="AQ19" s="16">
        <v>50</v>
      </c>
      <c r="AR19" s="16">
        <v>50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10</v>
      </c>
      <c r="AZ19" s="16">
        <v>10</v>
      </c>
      <c r="BA19" s="16">
        <v>10</v>
      </c>
      <c r="BB19" s="16">
        <v>50</v>
      </c>
      <c r="BC19" s="16">
        <v>100</v>
      </c>
      <c r="BD19" s="16">
        <v>100</v>
      </c>
      <c r="BE19" s="16">
        <v>100</v>
      </c>
      <c r="BF19" s="16">
        <v>100</v>
      </c>
      <c r="BG19" s="16">
        <v>100</v>
      </c>
      <c r="BH19" s="16">
        <v>50</v>
      </c>
      <c r="BI19" s="16">
        <v>50</v>
      </c>
      <c r="BJ19" s="16">
        <v>50</v>
      </c>
      <c r="BK19" s="16">
        <v>50</v>
      </c>
      <c r="BL19" s="16">
        <v>50</v>
      </c>
      <c r="BM19" s="16" cm="1">
        <f t="array" ref="BM19">INDEX(_xlfn.ANCHORARRAY(_xlfn.XLOOKUP($D19,'-ref_Distribution'!$B$117:$B$121,'-ref_Distribution'!$G$117:$G$121)),RIGHT(BM$1,2))</f>
        <v>0</v>
      </c>
      <c r="BN19" s="16" cm="1">
        <f t="array" ref="BN19">INDEX(_xlfn.ANCHORARRAY(_xlfn.XLOOKUP($D19,'-ref_Distribution'!$B$117:$B$121,'-ref_Distribution'!$G$117:$G$121)),RIGHT(BN$1,2))</f>
        <v>0</v>
      </c>
      <c r="BO19" s="16" cm="1">
        <f t="array" ref="BO19">INDEX(_xlfn.ANCHORARRAY(_xlfn.XLOOKUP($D19,'-ref_Distribution'!$B$117:$B$121,'-ref_Distribution'!$G$117:$G$121)),RIGHT(BO$1,2))</f>
        <v>1</v>
      </c>
      <c r="BP19" s="16" cm="1">
        <f t="array" ref="BP19">INDEX(_xlfn.ANCHORARRAY(_xlfn.XLOOKUP($D19,'-ref_Distribution'!$B$117:$B$121,'-ref_Distribution'!$G$117:$G$121)),RIGHT(BP$1,2))</f>
        <v>3</v>
      </c>
      <c r="BQ19" s="16" cm="1">
        <f t="array" ref="BQ19">INDEX(_xlfn.ANCHORARRAY(_xlfn.XLOOKUP($D19,'-ref_Distribution'!$B$117:$B$121,'-ref_Distribution'!$G$117:$G$121)),RIGHT(BQ$1,2))</f>
        <v>6</v>
      </c>
      <c r="BR19" s="16" cm="1">
        <f t="array" ref="BR19">INDEX(_xlfn.ANCHORARRAY(_xlfn.XLOOKUP($D19,'-ref_Distribution'!$B$117:$B$121,'-ref_Distribution'!$G$117:$G$121)),RIGHT(BR$1,2))</f>
        <v>8</v>
      </c>
      <c r="BS19" s="16" cm="1">
        <f t="array" ref="BS19">INDEX(_xlfn.ANCHORARRAY(_xlfn.XLOOKUP($D19,'-ref_Distribution'!$B$117:$B$121,'-ref_Distribution'!$G$117:$G$121)),RIGHT(BS$1,2))</f>
        <v>9</v>
      </c>
      <c r="BT19" s="16" cm="1">
        <f t="array" ref="BT19">INDEX(_xlfn.ANCHORARRAY(_xlfn.XLOOKUP($D19,'-ref_Distribution'!$B$117:$B$121,'-ref_Distribution'!$G$117:$G$121)),RIGHT(BT$1,2))</f>
        <v>10</v>
      </c>
      <c r="BU19" s="16" cm="1">
        <f t="array" ref="BU19">INDEX(_xlfn.ANCHORARRAY(_xlfn.XLOOKUP($D19,'-ref_Distribution'!$B$117:$B$121,'-ref_Distribution'!$G$117:$G$121)),RIGHT(BU$1,2))</f>
        <v>11</v>
      </c>
      <c r="BV19" s="16" cm="1">
        <f t="array" ref="BV19">INDEX(_xlfn.ANCHORARRAY(_xlfn.XLOOKUP($D19,'-ref_Distribution'!$B$117:$B$121,'-ref_Distribution'!$G$117:$G$121)),RIGHT(BV$1,2))</f>
        <v>12</v>
      </c>
      <c r="BW19" s="16" cm="1">
        <f t="array" ref="BW19">INDEX(_xlfn.ANCHORARRAY(_xlfn.XLOOKUP($D19,'-ref_Distribution'!$B$117:$B$121,'-ref_Distribution'!$G$117:$G$121)),RIGHT(BW$1,2))</f>
        <v>13</v>
      </c>
      <c r="BX19" s="16" cm="1">
        <f t="array" ref="BX19">INDEX(_xlfn.ANCHORARRAY(_xlfn.XLOOKUP($D19,'-ref_Distribution'!$B$117:$B$121,'-ref_Distribution'!$G$117:$G$121)),RIGHT(BX$1,2))</f>
        <v>14</v>
      </c>
      <c r="BY19" s="16" cm="1">
        <f t="array" ref="BY19">INDEX(_xlfn.ANCHORARRAY(_xlfn.XLOOKUP($D19,'-ref_Distribution'!$B$117:$B$121,'-ref_Distribution'!$G$117:$G$121)),RIGHT(BY$1,2))</f>
        <v>14</v>
      </c>
      <c r="BZ19" s="16" cm="1">
        <f t="array" ref="BZ19">INDEX(_xlfn.ANCHORARRAY(_xlfn.XLOOKUP($D19,'-ref_Distribution'!$B$117:$B$121,'-ref_Distribution'!$G$117:$G$121)),RIGHT(BZ$1,2))</f>
        <v>15</v>
      </c>
      <c r="CA19" s="16" cm="1">
        <f t="array" ref="CA19">INDEX(_xlfn.ANCHORARRAY(_xlfn.XLOOKUP($D19,'-ref_Distribution'!$B$117:$B$121,'-ref_Distribution'!$G$117:$G$121)),RIGHT(CA$1,2))</f>
        <v>15</v>
      </c>
      <c r="CB19" s="16" cm="1">
        <f t="array" ref="CB19">INDEX(_xlfn.ANCHORARRAY(_xlfn.XLOOKUP($D19,'-ref_Distribution'!$B$117:$B$121,'-ref_Distribution'!$G$117:$G$121)),RIGHT(CB$1,2))</f>
        <v>16</v>
      </c>
      <c r="CC19" s="16" cm="1">
        <f t="array" ref="CC19">INDEX(_xlfn.ANCHORARRAY(_xlfn.XLOOKUP($D19,'-ref_Distribution'!$B$117:$B$121,'-ref_Distribution'!$G$117:$G$121)),RIGHT(CC$1,2))</f>
        <v>16</v>
      </c>
      <c r="CD19" s="16" cm="1">
        <f t="array" ref="CD19">INDEX(_xlfn.ANCHORARRAY(_xlfn.XLOOKUP($D19,'-ref_Distribution'!$B$117:$B$121,'-ref_Distribution'!$G$117:$G$121)),RIGHT(CD$1,2))</f>
        <v>17</v>
      </c>
      <c r="CE19" s="16" cm="1">
        <f t="array" ref="CE19">INDEX(_xlfn.ANCHORARRAY(_xlfn.XLOOKUP($D19,'-ref_Distribution'!$B$117:$B$121,'-ref_Distribution'!$G$117:$G$121)),RIGHT(CE$1,2))</f>
        <v>17</v>
      </c>
      <c r="CF19" s="16" cm="1">
        <f t="array" ref="CF19">INDEX(_xlfn.ANCHORARRAY(_xlfn.XLOOKUP($D19,'-ref_Distribution'!$B$117:$B$121,'-ref_Distribution'!$G$117:$G$121)),RIGHT(CF$1,2))</f>
        <v>17</v>
      </c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</row>
    <row r="20" spans="1:98" x14ac:dyDescent="0.2">
      <c r="A20" s="16">
        <v>13101064</v>
      </c>
      <c r="B20" s="17" t="s">
        <v>339</v>
      </c>
      <c r="C20" s="17" t="s">
        <v>427</v>
      </c>
      <c r="D20" s="16">
        <v>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10</v>
      </c>
      <c r="O20" s="16">
        <v>10</v>
      </c>
      <c r="P20" s="16">
        <v>10</v>
      </c>
      <c r="Q20" s="16">
        <v>50</v>
      </c>
      <c r="R20" s="16">
        <v>100</v>
      </c>
      <c r="S20" s="16">
        <v>100</v>
      </c>
      <c r="T20" s="16">
        <v>100</v>
      </c>
      <c r="U20" s="16">
        <v>100</v>
      </c>
      <c r="V20" s="16">
        <v>100</v>
      </c>
      <c r="W20" s="16">
        <v>50</v>
      </c>
      <c r="X20" s="16">
        <v>50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10</v>
      </c>
      <c r="AI20" s="16">
        <v>10</v>
      </c>
      <c r="AJ20" s="16">
        <v>10</v>
      </c>
      <c r="AK20" s="16">
        <v>50</v>
      </c>
      <c r="AL20" s="16">
        <v>100</v>
      </c>
      <c r="AM20" s="16">
        <v>100</v>
      </c>
      <c r="AN20" s="16">
        <v>100</v>
      </c>
      <c r="AO20" s="16">
        <v>100</v>
      </c>
      <c r="AP20" s="16">
        <v>100</v>
      </c>
      <c r="AQ20" s="16">
        <v>50</v>
      </c>
      <c r="AR20" s="16">
        <v>50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10</v>
      </c>
      <c r="BC20" s="16">
        <v>10</v>
      </c>
      <c r="BD20" s="16">
        <v>10</v>
      </c>
      <c r="BE20" s="16">
        <v>50</v>
      </c>
      <c r="BF20" s="16">
        <v>100</v>
      </c>
      <c r="BG20" s="16">
        <v>100</v>
      </c>
      <c r="BH20" s="16">
        <v>100</v>
      </c>
      <c r="BI20" s="16">
        <v>100</v>
      </c>
      <c r="BJ20" s="16">
        <v>100</v>
      </c>
      <c r="BK20" s="16">
        <v>50</v>
      </c>
      <c r="BL20" s="16">
        <v>50</v>
      </c>
      <c r="BM20" s="16" cm="1">
        <f t="array" ref="BM20">INDEX(_xlfn.ANCHORARRAY(_xlfn.XLOOKUP($D20,'-ref_Distribution'!$B$117:$B$121,'-ref_Distribution'!$G$117:$G$121)),RIGHT(BM$1,2))</f>
        <v>0</v>
      </c>
      <c r="BN20" s="16" cm="1">
        <f t="array" ref="BN20">INDEX(_xlfn.ANCHORARRAY(_xlfn.XLOOKUP($D20,'-ref_Distribution'!$B$117:$B$121,'-ref_Distribution'!$G$117:$G$121)),RIGHT(BN$1,2))</f>
        <v>0</v>
      </c>
      <c r="BO20" s="16" cm="1">
        <f t="array" ref="BO20">INDEX(_xlfn.ANCHORARRAY(_xlfn.XLOOKUP($D20,'-ref_Distribution'!$B$117:$B$121,'-ref_Distribution'!$G$117:$G$121)),RIGHT(BO$1,2))</f>
        <v>0</v>
      </c>
      <c r="BP20" s="16" cm="1">
        <f t="array" ref="BP20">INDEX(_xlfn.ANCHORARRAY(_xlfn.XLOOKUP($D20,'-ref_Distribution'!$B$117:$B$121,'-ref_Distribution'!$G$117:$G$121)),RIGHT(BP$1,2))</f>
        <v>0</v>
      </c>
      <c r="BQ20" s="16" cm="1">
        <f t="array" ref="BQ20">INDEX(_xlfn.ANCHORARRAY(_xlfn.XLOOKUP($D20,'-ref_Distribution'!$B$117:$B$121,'-ref_Distribution'!$G$117:$G$121)),RIGHT(BQ$1,2))</f>
        <v>1</v>
      </c>
      <c r="BR20" s="16" cm="1">
        <f t="array" ref="BR20">INDEX(_xlfn.ANCHORARRAY(_xlfn.XLOOKUP($D20,'-ref_Distribution'!$B$117:$B$121,'-ref_Distribution'!$G$117:$G$121)),RIGHT(BR$1,2))</f>
        <v>2</v>
      </c>
      <c r="BS20" s="16" cm="1">
        <f t="array" ref="BS20">INDEX(_xlfn.ANCHORARRAY(_xlfn.XLOOKUP($D20,'-ref_Distribution'!$B$117:$B$121,'-ref_Distribution'!$G$117:$G$121)),RIGHT(BS$1,2))</f>
        <v>3</v>
      </c>
      <c r="BT20" s="16" cm="1">
        <f t="array" ref="BT20">INDEX(_xlfn.ANCHORARRAY(_xlfn.XLOOKUP($D20,'-ref_Distribution'!$B$117:$B$121,'-ref_Distribution'!$G$117:$G$121)),RIGHT(BT$1,2))</f>
        <v>4</v>
      </c>
      <c r="BU20" s="16" cm="1">
        <f t="array" ref="BU20">INDEX(_xlfn.ANCHORARRAY(_xlfn.XLOOKUP($D20,'-ref_Distribution'!$B$117:$B$121,'-ref_Distribution'!$G$117:$G$121)),RIGHT(BU$1,2))</f>
        <v>5</v>
      </c>
      <c r="BV20" s="16" cm="1">
        <f t="array" ref="BV20">INDEX(_xlfn.ANCHORARRAY(_xlfn.XLOOKUP($D20,'-ref_Distribution'!$B$117:$B$121,'-ref_Distribution'!$G$117:$G$121)),RIGHT(BV$1,2))</f>
        <v>6</v>
      </c>
      <c r="BW20" s="16" cm="1">
        <f t="array" ref="BW20">INDEX(_xlfn.ANCHORARRAY(_xlfn.XLOOKUP($D20,'-ref_Distribution'!$B$117:$B$121,'-ref_Distribution'!$G$117:$G$121)),RIGHT(BW$1,2))</f>
        <v>6</v>
      </c>
      <c r="BX20" s="16" cm="1">
        <f t="array" ref="BX20">INDEX(_xlfn.ANCHORARRAY(_xlfn.XLOOKUP($D20,'-ref_Distribution'!$B$117:$B$121,'-ref_Distribution'!$G$117:$G$121)),RIGHT(BX$1,2))</f>
        <v>7</v>
      </c>
      <c r="BY20" s="16" cm="1">
        <f t="array" ref="BY20">INDEX(_xlfn.ANCHORARRAY(_xlfn.XLOOKUP($D20,'-ref_Distribution'!$B$117:$B$121,'-ref_Distribution'!$G$117:$G$121)),RIGHT(BY$1,2))</f>
        <v>8</v>
      </c>
      <c r="BZ20" s="16" cm="1">
        <f t="array" ref="BZ20">INDEX(_xlfn.ANCHORARRAY(_xlfn.XLOOKUP($D20,'-ref_Distribution'!$B$117:$B$121,'-ref_Distribution'!$G$117:$G$121)),RIGHT(BZ$1,2))</f>
        <v>8</v>
      </c>
      <c r="CA20" s="16" cm="1">
        <f t="array" ref="CA20">INDEX(_xlfn.ANCHORARRAY(_xlfn.XLOOKUP($D20,'-ref_Distribution'!$B$117:$B$121,'-ref_Distribution'!$G$117:$G$121)),RIGHT(CA$1,2))</f>
        <v>9</v>
      </c>
      <c r="CB20" s="16" cm="1">
        <f t="array" ref="CB20">INDEX(_xlfn.ANCHORARRAY(_xlfn.XLOOKUP($D20,'-ref_Distribution'!$B$117:$B$121,'-ref_Distribution'!$G$117:$G$121)),RIGHT(CB$1,2))</f>
        <v>9</v>
      </c>
      <c r="CC20" s="16" cm="1">
        <f t="array" ref="CC20">INDEX(_xlfn.ANCHORARRAY(_xlfn.XLOOKUP($D20,'-ref_Distribution'!$B$117:$B$121,'-ref_Distribution'!$G$117:$G$121)),RIGHT(CC$1,2))</f>
        <v>9</v>
      </c>
      <c r="CD20" s="16" cm="1">
        <f t="array" ref="CD20">INDEX(_xlfn.ANCHORARRAY(_xlfn.XLOOKUP($D20,'-ref_Distribution'!$B$117:$B$121,'-ref_Distribution'!$G$117:$G$121)),RIGHT(CD$1,2))</f>
        <v>10</v>
      </c>
      <c r="CE20" s="16" cm="1">
        <f t="array" ref="CE20">INDEX(_xlfn.ANCHORARRAY(_xlfn.XLOOKUP($D20,'-ref_Distribution'!$B$117:$B$121,'-ref_Distribution'!$G$117:$G$121)),RIGHT(CE$1,2))</f>
        <v>10</v>
      </c>
      <c r="CF20" s="16" cm="1">
        <f t="array" ref="CF20">INDEX(_xlfn.ANCHORARRAY(_xlfn.XLOOKUP($D20,'-ref_Distribution'!$B$117:$B$121,'-ref_Distribution'!$G$117:$G$121)),RIGHT(CF$1,2))</f>
        <v>10</v>
      </c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</row>
    <row r="21" spans="1:98" x14ac:dyDescent="0.2">
      <c r="A21" s="16">
        <v>1310107</v>
      </c>
      <c r="B21" s="17" t="s">
        <v>345</v>
      </c>
      <c r="C21" s="17" t="s">
        <v>427</v>
      </c>
      <c r="D21" s="17" t="s">
        <v>424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</row>
    <row r="22" spans="1:98" x14ac:dyDescent="0.2">
      <c r="A22" s="16">
        <v>13101070</v>
      </c>
      <c r="B22" s="17" t="s">
        <v>344</v>
      </c>
      <c r="C22" s="17" t="s">
        <v>427</v>
      </c>
      <c r="D22" s="16">
        <v>0</v>
      </c>
      <c r="E22" s="16">
        <v>100</v>
      </c>
      <c r="F22" s="16">
        <v>100</v>
      </c>
      <c r="G22" s="16">
        <v>100</v>
      </c>
      <c r="H22" s="16">
        <v>100</v>
      </c>
      <c r="I22" s="16">
        <v>100</v>
      </c>
      <c r="J22" s="16">
        <v>50</v>
      </c>
      <c r="K22" s="16">
        <v>50</v>
      </c>
      <c r="L22" s="16">
        <v>50</v>
      </c>
      <c r="M22" s="16">
        <v>50</v>
      </c>
      <c r="N22" s="16">
        <v>50</v>
      </c>
      <c r="O22" s="16">
        <v>50</v>
      </c>
      <c r="P22" s="16">
        <v>18</v>
      </c>
      <c r="Q22" s="16">
        <v>18</v>
      </c>
      <c r="R22" s="16">
        <v>18</v>
      </c>
      <c r="S22" s="16">
        <v>18</v>
      </c>
      <c r="T22" s="16">
        <v>18</v>
      </c>
      <c r="U22" s="16">
        <v>0</v>
      </c>
      <c r="V22" s="16">
        <v>0</v>
      </c>
      <c r="W22" s="16">
        <v>0</v>
      </c>
      <c r="X22" s="16">
        <v>0</v>
      </c>
      <c r="Y22" s="16">
        <v>100</v>
      </c>
      <c r="Z22" s="16">
        <v>100</v>
      </c>
      <c r="AA22" s="16">
        <v>100</v>
      </c>
      <c r="AB22" s="16">
        <v>100</v>
      </c>
      <c r="AC22" s="16">
        <v>100</v>
      </c>
      <c r="AD22" s="16">
        <v>50</v>
      </c>
      <c r="AE22" s="16">
        <v>50</v>
      </c>
      <c r="AF22" s="16">
        <v>50</v>
      </c>
      <c r="AG22" s="16">
        <v>50</v>
      </c>
      <c r="AH22" s="16">
        <v>50</v>
      </c>
      <c r="AI22" s="16">
        <v>50</v>
      </c>
      <c r="AJ22" s="16">
        <v>18</v>
      </c>
      <c r="AK22" s="16">
        <v>18</v>
      </c>
      <c r="AL22" s="16">
        <v>18</v>
      </c>
      <c r="AM22" s="16">
        <v>18</v>
      </c>
      <c r="AN22" s="16">
        <v>18</v>
      </c>
      <c r="AO22" s="16">
        <v>0</v>
      </c>
      <c r="AP22" s="16">
        <v>0</v>
      </c>
      <c r="AQ22" s="16">
        <v>0</v>
      </c>
      <c r="AR22" s="16">
        <v>0</v>
      </c>
      <c r="AS22" s="16">
        <v>100</v>
      </c>
      <c r="AT22" s="16">
        <v>100</v>
      </c>
      <c r="AU22" s="16">
        <v>100</v>
      </c>
      <c r="AV22" s="16">
        <v>100</v>
      </c>
      <c r="AW22" s="16">
        <v>100</v>
      </c>
      <c r="AX22" s="16">
        <v>50</v>
      </c>
      <c r="AY22" s="16">
        <v>50</v>
      </c>
      <c r="AZ22" s="16">
        <v>50</v>
      </c>
      <c r="BA22" s="16">
        <v>50</v>
      </c>
      <c r="BB22" s="16">
        <v>50</v>
      </c>
      <c r="BC22" s="16">
        <v>50</v>
      </c>
      <c r="BD22" s="16">
        <v>18</v>
      </c>
      <c r="BE22" s="16">
        <v>18</v>
      </c>
      <c r="BF22" s="16">
        <v>18</v>
      </c>
      <c r="BG22" s="16">
        <v>18</v>
      </c>
      <c r="BH22" s="16">
        <v>18</v>
      </c>
      <c r="BI22" s="16">
        <v>0</v>
      </c>
      <c r="BJ22" s="16">
        <v>0</v>
      </c>
      <c r="BK22" s="16">
        <v>0</v>
      </c>
      <c r="BL22" s="16">
        <v>0</v>
      </c>
      <c r="BM22" s="16" cm="1">
        <f t="array" ref="BM22">INDEX(_xlfn.ANCHORARRAY(_xlfn.XLOOKUP($D22,'-ref_Distribution'!$B$117:$B$121,'-ref_Distribution'!$G$117:$G$121)),RIGHT(BM$1,2))</f>
        <v>130</v>
      </c>
      <c r="BN22" s="16" cm="1">
        <f t="array" ref="BN22">INDEX(_xlfn.ANCHORARRAY(_xlfn.XLOOKUP($D22,'-ref_Distribution'!$B$117:$B$121,'-ref_Distribution'!$G$117:$G$121)),RIGHT(BN$1,2))</f>
        <v>84</v>
      </c>
      <c r="BO22" s="16" cm="1">
        <f t="array" ref="BO22">INDEX(_xlfn.ANCHORARRAY(_xlfn.XLOOKUP($D22,'-ref_Distribution'!$B$117:$B$121,'-ref_Distribution'!$G$117:$G$121)),RIGHT(BO$1,2))</f>
        <v>65</v>
      </c>
      <c r="BP22" s="16" cm="1">
        <f t="array" ref="BP22">INDEX(_xlfn.ANCHORARRAY(_xlfn.XLOOKUP($D22,'-ref_Distribution'!$B$117:$B$121,'-ref_Distribution'!$G$117:$G$121)),RIGHT(BP$1,2))</f>
        <v>54</v>
      </c>
      <c r="BQ22" s="16" cm="1">
        <f t="array" ref="BQ22">INDEX(_xlfn.ANCHORARRAY(_xlfn.XLOOKUP($D22,'-ref_Distribution'!$B$117:$B$121,'-ref_Distribution'!$G$117:$G$121)),RIGHT(BQ$1,2))</f>
        <v>47</v>
      </c>
      <c r="BR22" s="16" cm="1">
        <f t="array" ref="BR22">INDEX(_xlfn.ANCHORARRAY(_xlfn.XLOOKUP($D22,'-ref_Distribution'!$B$117:$B$121,'-ref_Distribution'!$G$117:$G$121)),RIGHT(BR$1,2))</f>
        <v>41</v>
      </c>
      <c r="BS22" s="16" cm="1">
        <f t="array" ref="BS22">INDEX(_xlfn.ANCHORARRAY(_xlfn.XLOOKUP($D22,'-ref_Distribution'!$B$117:$B$121,'-ref_Distribution'!$G$117:$G$121)),RIGHT(BS$1,2))</f>
        <v>38</v>
      </c>
      <c r="BT22" s="16" cm="1">
        <f t="array" ref="BT22">INDEX(_xlfn.ANCHORARRAY(_xlfn.XLOOKUP($D22,'-ref_Distribution'!$B$117:$B$121,'-ref_Distribution'!$G$117:$G$121)),RIGHT(BT$1,2))</f>
        <v>34</v>
      </c>
      <c r="BU22" s="16" cm="1">
        <f t="array" ref="BU22">INDEX(_xlfn.ANCHORARRAY(_xlfn.XLOOKUP($D22,'-ref_Distribution'!$B$117:$B$121,'-ref_Distribution'!$G$117:$G$121)),RIGHT(BU$1,2))</f>
        <v>32</v>
      </c>
      <c r="BV22" s="16" cm="1">
        <f t="array" ref="BV22">INDEX(_xlfn.ANCHORARRAY(_xlfn.XLOOKUP($D22,'-ref_Distribution'!$B$117:$B$121,'-ref_Distribution'!$G$117:$G$121)),RIGHT(BV$1,2))</f>
        <v>30</v>
      </c>
      <c r="BW22" s="16" cm="1">
        <f t="array" ref="BW22">INDEX(_xlfn.ANCHORARRAY(_xlfn.XLOOKUP($D22,'-ref_Distribution'!$B$117:$B$121,'-ref_Distribution'!$G$117:$G$121)),RIGHT(BW$1,2))</f>
        <v>28</v>
      </c>
      <c r="BX22" s="16" cm="1">
        <f t="array" ref="BX22">INDEX(_xlfn.ANCHORARRAY(_xlfn.XLOOKUP($D22,'-ref_Distribution'!$B$117:$B$121,'-ref_Distribution'!$G$117:$G$121)),RIGHT(BX$1,2))</f>
        <v>26</v>
      </c>
      <c r="BY22" s="16" cm="1">
        <f t="array" ref="BY22">INDEX(_xlfn.ANCHORARRAY(_xlfn.XLOOKUP($D22,'-ref_Distribution'!$B$117:$B$121,'-ref_Distribution'!$G$117:$G$121)),RIGHT(BY$1,2))</f>
        <v>25</v>
      </c>
      <c r="BZ22" s="16" cm="1">
        <f t="array" ref="BZ22">INDEX(_xlfn.ANCHORARRAY(_xlfn.XLOOKUP($D22,'-ref_Distribution'!$B$117:$B$121,'-ref_Distribution'!$G$117:$G$121)),RIGHT(BZ$1,2))</f>
        <v>24</v>
      </c>
      <c r="CA22" s="16" cm="1">
        <f t="array" ref="CA22">INDEX(_xlfn.ANCHORARRAY(_xlfn.XLOOKUP($D22,'-ref_Distribution'!$B$117:$B$121,'-ref_Distribution'!$G$117:$G$121)),RIGHT(CA$1,2))</f>
        <v>23</v>
      </c>
      <c r="CB22" s="16" cm="1">
        <f t="array" ref="CB22">INDEX(_xlfn.ANCHORARRAY(_xlfn.XLOOKUP($D22,'-ref_Distribution'!$B$117:$B$121,'-ref_Distribution'!$G$117:$G$121)),RIGHT(CB$1,2))</f>
        <v>22</v>
      </c>
      <c r="CC22" s="16" cm="1">
        <f t="array" ref="CC22">INDEX(_xlfn.ANCHORARRAY(_xlfn.XLOOKUP($D22,'-ref_Distribution'!$B$117:$B$121,'-ref_Distribution'!$G$117:$G$121)),RIGHT(CC$1,2))</f>
        <v>21</v>
      </c>
      <c r="CD22" s="16" cm="1">
        <f t="array" ref="CD22">INDEX(_xlfn.ANCHORARRAY(_xlfn.XLOOKUP($D22,'-ref_Distribution'!$B$117:$B$121,'-ref_Distribution'!$G$117:$G$121)),RIGHT(CD$1,2))</f>
        <v>20</v>
      </c>
      <c r="CE22" s="16" cm="1">
        <f t="array" ref="CE22">INDEX(_xlfn.ANCHORARRAY(_xlfn.XLOOKUP($D22,'-ref_Distribution'!$B$117:$B$121,'-ref_Distribution'!$G$117:$G$121)),RIGHT(CE$1,2))</f>
        <v>19</v>
      </c>
      <c r="CF22" s="16" cm="1">
        <f t="array" ref="CF22">INDEX(_xlfn.ANCHORARRAY(_xlfn.XLOOKUP($D22,'-ref_Distribution'!$B$117:$B$121,'-ref_Distribution'!$G$117:$G$121)),RIGHT(CF$1,2))</f>
        <v>18</v>
      </c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</row>
    <row r="23" spans="1:98" x14ac:dyDescent="0.2">
      <c r="A23" s="16">
        <v>13101071</v>
      </c>
      <c r="B23" s="17" t="s">
        <v>341</v>
      </c>
      <c r="C23" s="17" t="s">
        <v>427</v>
      </c>
      <c r="D23" s="16">
        <v>1</v>
      </c>
      <c r="E23" s="16">
        <v>10</v>
      </c>
      <c r="F23" s="16">
        <v>10</v>
      </c>
      <c r="G23" s="16">
        <v>10</v>
      </c>
      <c r="H23" s="16">
        <v>50</v>
      </c>
      <c r="I23" s="16">
        <v>100</v>
      </c>
      <c r="J23" s="16">
        <v>100</v>
      </c>
      <c r="K23" s="16">
        <v>100</v>
      </c>
      <c r="L23" s="16">
        <v>100</v>
      </c>
      <c r="M23" s="16">
        <v>100</v>
      </c>
      <c r="N23" s="16">
        <v>50</v>
      </c>
      <c r="O23" s="16">
        <v>50</v>
      </c>
      <c r="P23" s="16">
        <v>50</v>
      </c>
      <c r="Q23" s="16">
        <v>50</v>
      </c>
      <c r="R23" s="16">
        <v>50</v>
      </c>
      <c r="S23" s="16">
        <v>50</v>
      </c>
      <c r="T23" s="16">
        <v>18</v>
      </c>
      <c r="U23" s="16">
        <v>18</v>
      </c>
      <c r="V23" s="16">
        <v>18</v>
      </c>
      <c r="W23" s="16">
        <v>18</v>
      </c>
      <c r="X23" s="16">
        <v>18</v>
      </c>
      <c r="Y23" s="16">
        <v>10</v>
      </c>
      <c r="Z23" s="16">
        <v>10</v>
      </c>
      <c r="AA23" s="16">
        <v>10</v>
      </c>
      <c r="AB23" s="16">
        <v>50</v>
      </c>
      <c r="AC23" s="16">
        <v>100</v>
      </c>
      <c r="AD23" s="16">
        <v>100</v>
      </c>
      <c r="AE23" s="16">
        <v>100</v>
      </c>
      <c r="AF23" s="16">
        <v>100</v>
      </c>
      <c r="AG23" s="16">
        <v>100</v>
      </c>
      <c r="AH23" s="16">
        <v>50</v>
      </c>
      <c r="AI23" s="16">
        <v>50</v>
      </c>
      <c r="AJ23" s="16">
        <v>50</v>
      </c>
      <c r="AK23" s="16">
        <v>50</v>
      </c>
      <c r="AL23" s="16">
        <v>50</v>
      </c>
      <c r="AM23" s="16">
        <v>50</v>
      </c>
      <c r="AN23" s="16">
        <v>18</v>
      </c>
      <c r="AO23" s="16">
        <v>18</v>
      </c>
      <c r="AP23" s="16">
        <v>18</v>
      </c>
      <c r="AQ23" s="16">
        <v>18</v>
      </c>
      <c r="AR23" s="16">
        <v>18</v>
      </c>
      <c r="AS23" s="16">
        <v>10</v>
      </c>
      <c r="AT23" s="16">
        <v>10</v>
      </c>
      <c r="AU23" s="16">
        <v>10</v>
      </c>
      <c r="AV23" s="16">
        <v>50</v>
      </c>
      <c r="AW23" s="16">
        <v>100</v>
      </c>
      <c r="AX23" s="16">
        <v>100</v>
      </c>
      <c r="AY23" s="16">
        <v>100</v>
      </c>
      <c r="AZ23" s="16">
        <v>100</v>
      </c>
      <c r="BA23" s="16">
        <v>100</v>
      </c>
      <c r="BB23" s="16">
        <v>50</v>
      </c>
      <c r="BC23" s="16">
        <v>50</v>
      </c>
      <c r="BD23" s="16">
        <v>50</v>
      </c>
      <c r="BE23" s="16">
        <v>50</v>
      </c>
      <c r="BF23" s="16">
        <v>50</v>
      </c>
      <c r="BG23" s="16">
        <v>50</v>
      </c>
      <c r="BH23" s="16">
        <v>18</v>
      </c>
      <c r="BI23" s="16">
        <v>18</v>
      </c>
      <c r="BJ23" s="16">
        <v>18</v>
      </c>
      <c r="BK23" s="16">
        <v>18</v>
      </c>
      <c r="BL23" s="16">
        <v>18</v>
      </c>
      <c r="BM23" s="16" cm="1">
        <f t="array" ref="BM23">INDEX(_xlfn.ANCHORARRAY(_xlfn.XLOOKUP($D23,'-ref_Distribution'!$B$117:$B$121,'-ref_Distribution'!$G$117:$G$121)),RIGHT(BM$1,2))</f>
        <v>78</v>
      </c>
      <c r="BN23" s="16" cm="1">
        <f t="array" ref="BN23">INDEX(_xlfn.ANCHORARRAY(_xlfn.XLOOKUP($D23,'-ref_Distribution'!$B$117:$B$121,'-ref_Distribution'!$G$117:$G$121)),RIGHT(BN$1,2))</f>
        <v>72</v>
      </c>
      <c r="BO23" s="16" cm="1">
        <f t="array" ref="BO23">INDEX(_xlfn.ANCHORARRAY(_xlfn.XLOOKUP($D23,'-ref_Distribution'!$B$117:$B$121,'-ref_Distribution'!$G$117:$G$121)),RIGHT(BO$1,2))</f>
        <v>66</v>
      </c>
      <c r="BP23" s="16" cm="1">
        <f t="array" ref="BP23">INDEX(_xlfn.ANCHORARRAY(_xlfn.XLOOKUP($D23,'-ref_Distribution'!$B$117:$B$121,'-ref_Distribution'!$G$117:$G$121)),RIGHT(BP$1,2))</f>
        <v>61</v>
      </c>
      <c r="BQ23" s="16" cm="1">
        <f t="array" ref="BQ23">INDEX(_xlfn.ANCHORARRAY(_xlfn.XLOOKUP($D23,'-ref_Distribution'!$B$117:$B$121,'-ref_Distribution'!$G$117:$G$121)),RIGHT(BQ$1,2))</f>
        <v>58</v>
      </c>
      <c r="BR23" s="16" cm="1">
        <f t="array" ref="BR23">INDEX(_xlfn.ANCHORARRAY(_xlfn.XLOOKUP($D23,'-ref_Distribution'!$B$117:$B$121,'-ref_Distribution'!$G$117:$G$121)),RIGHT(BR$1,2))</f>
        <v>55</v>
      </c>
      <c r="BS23" s="16" cm="1">
        <f t="array" ref="BS23">INDEX(_xlfn.ANCHORARRAY(_xlfn.XLOOKUP($D23,'-ref_Distribution'!$B$117:$B$121,'-ref_Distribution'!$G$117:$G$121)),RIGHT(BS$1,2))</f>
        <v>52</v>
      </c>
      <c r="BT23" s="16" cm="1">
        <f t="array" ref="BT23">INDEX(_xlfn.ANCHORARRAY(_xlfn.XLOOKUP($D23,'-ref_Distribution'!$B$117:$B$121,'-ref_Distribution'!$G$117:$G$121)),RIGHT(BT$1,2))</f>
        <v>50</v>
      </c>
      <c r="BU23" s="16" cm="1">
        <f t="array" ref="BU23">INDEX(_xlfn.ANCHORARRAY(_xlfn.XLOOKUP($D23,'-ref_Distribution'!$B$117:$B$121,'-ref_Distribution'!$G$117:$G$121)),RIGHT(BU$1,2))</f>
        <v>48</v>
      </c>
      <c r="BV23" s="16" cm="1">
        <f t="array" ref="BV23">INDEX(_xlfn.ANCHORARRAY(_xlfn.XLOOKUP($D23,'-ref_Distribution'!$B$117:$B$121,'-ref_Distribution'!$G$117:$G$121)),RIGHT(BV$1,2))</f>
        <v>47</v>
      </c>
      <c r="BW23" s="16" cm="1">
        <f t="array" ref="BW23">INDEX(_xlfn.ANCHORARRAY(_xlfn.XLOOKUP($D23,'-ref_Distribution'!$B$117:$B$121,'-ref_Distribution'!$G$117:$G$121)),RIGHT(BW$1,2))</f>
        <v>46</v>
      </c>
      <c r="BX23" s="16" cm="1">
        <f t="array" ref="BX23">INDEX(_xlfn.ANCHORARRAY(_xlfn.XLOOKUP($D23,'-ref_Distribution'!$B$117:$B$121,'-ref_Distribution'!$G$117:$G$121)),RIGHT(BX$1,2))</f>
        <v>44</v>
      </c>
      <c r="BY23" s="16" cm="1">
        <f t="array" ref="BY23">INDEX(_xlfn.ANCHORARRAY(_xlfn.XLOOKUP($D23,'-ref_Distribution'!$B$117:$B$121,'-ref_Distribution'!$G$117:$G$121)),RIGHT(BY$1,2))</f>
        <v>43</v>
      </c>
      <c r="BZ23" s="16" cm="1">
        <f t="array" ref="BZ23">INDEX(_xlfn.ANCHORARRAY(_xlfn.XLOOKUP($D23,'-ref_Distribution'!$B$117:$B$121,'-ref_Distribution'!$G$117:$G$121)),RIGHT(BZ$1,2))</f>
        <v>42</v>
      </c>
      <c r="CA23" s="16" cm="1">
        <f t="array" ref="CA23">INDEX(_xlfn.ANCHORARRAY(_xlfn.XLOOKUP($D23,'-ref_Distribution'!$B$117:$B$121,'-ref_Distribution'!$G$117:$G$121)),RIGHT(CA$1,2))</f>
        <v>41</v>
      </c>
      <c r="CB23" s="16" cm="1">
        <f t="array" ref="CB23">INDEX(_xlfn.ANCHORARRAY(_xlfn.XLOOKUP($D23,'-ref_Distribution'!$B$117:$B$121,'-ref_Distribution'!$G$117:$G$121)),RIGHT(CB$1,2))</f>
        <v>40</v>
      </c>
      <c r="CC23" s="16" cm="1">
        <f t="array" ref="CC23">INDEX(_xlfn.ANCHORARRAY(_xlfn.XLOOKUP($D23,'-ref_Distribution'!$B$117:$B$121,'-ref_Distribution'!$G$117:$G$121)),RIGHT(CC$1,2))</f>
        <v>40</v>
      </c>
      <c r="CD23" s="16" cm="1">
        <f t="array" ref="CD23">INDEX(_xlfn.ANCHORARRAY(_xlfn.XLOOKUP($D23,'-ref_Distribution'!$B$117:$B$121,'-ref_Distribution'!$G$117:$G$121)),RIGHT(CD$1,2))</f>
        <v>39</v>
      </c>
      <c r="CE23" s="16" cm="1">
        <f t="array" ref="CE23">INDEX(_xlfn.ANCHORARRAY(_xlfn.XLOOKUP($D23,'-ref_Distribution'!$B$117:$B$121,'-ref_Distribution'!$G$117:$G$121)),RIGHT(CE$1,2))</f>
        <v>38</v>
      </c>
      <c r="CF23" s="16" cm="1">
        <f t="array" ref="CF23">INDEX(_xlfn.ANCHORARRAY(_xlfn.XLOOKUP($D23,'-ref_Distribution'!$B$117:$B$121,'-ref_Distribution'!$G$117:$G$121)),RIGHT(CF$1,2))</f>
        <v>38</v>
      </c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</row>
    <row r="24" spans="1:98" x14ac:dyDescent="0.2">
      <c r="A24" s="16">
        <v>13101072</v>
      </c>
      <c r="B24" s="17" t="s">
        <v>342</v>
      </c>
      <c r="C24" s="17" t="s">
        <v>427</v>
      </c>
      <c r="D24" s="16">
        <v>2</v>
      </c>
      <c r="E24" s="16">
        <v>0</v>
      </c>
      <c r="F24" s="16">
        <v>0</v>
      </c>
      <c r="G24" s="16">
        <v>0</v>
      </c>
      <c r="H24" s="16">
        <v>10</v>
      </c>
      <c r="I24" s="16">
        <v>10</v>
      </c>
      <c r="J24" s="16">
        <v>10</v>
      </c>
      <c r="K24" s="16">
        <v>50</v>
      </c>
      <c r="L24" s="16">
        <v>100</v>
      </c>
      <c r="M24" s="16">
        <v>100</v>
      </c>
      <c r="N24" s="16">
        <v>100</v>
      </c>
      <c r="O24" s="16">
        <v>100</v>
      </c>
      <c r="P24" s="16">
        <v>100</v>
      </c>
      <c r="Q24" s="16">
        <v>50</v>
      </c>
      <c r="R24" s="16">
        <v>50</v>
      </c>
      <c r="S24" s="16">
        <v>50</v>
      </c>
      <c r="T24" s="16">
        <v>50</v>
      </c>
      <c r="U24" s="16">
        <v>50</v>
      </c>
      <c r="V24" s="16">
        <v>50</v>
      </c>
      <c r="W24" s="16">
        <v>18</v>
      </c>
      <c r="X24" s="16">
        <v>18</v>
      </c>
      <c r="Y24" s="16">
        <v>0</v>
      </c>
      <c r="Z24" s="16">
        <v>0</v>
      </c>
      <c r="AA24" s="16">
        <v>0</v>
      </c>
      <c r="AB24" s="16">
        <v>10</v>
      </c>
      <c r="AC24" s="16">
        <v>10</v>
      </c>
      <c r="AD24" s="16">
        <v>10</v>
      </c>
      <c r="AE24" s="16">
        <v>50</v>
      </c>
      <c r="AF24" s="16">
        <v>100</v>
      </c>
      <c r="AG24" s="16">
        <v>100</v>
      </c>
      <c r="AH24" s="16">
        <v>100</v>
      </c>
      <c r="AI24" s="16">
        <v>100</v>
      </c>
      <c r="AJ24" s="16">
        <v>100</v>
      </c>
      <c r="AK24" s="16">
        <v>50</v>
      </c>
      <c r="AL24" s="16">
        <v>50</v>
      </c>
      <c r="AM24" s="16">
        <v>50</v>
      </c>
      <c r="AN24" s="16">
        <v>50</v>
      </c>
      <c r="AO24" s="16">
        <v>50</v>
      </c>
      <c r="AP24" s="16">
        <v>50</v>
      </c>
      <c r="AQ24" s="16">
        <v>18</v>
      </c>
      <c r="AR24" s="16">
        <v>18</v>
      </c>
      <c r="AS24" s="16">
        <v>0</v>
      </c>
      <c r="AT24" s="16">
        <v>0</v>
      </c>
      <c r="AU24" s="16">
        <v>0</v>
      </c>
      <c r="AV24" s="16">
        <v>10</v>
      </c>
      <c r="AW24" s="16">
        <v>10</v>
      </c>
      <c r="AX24" s="16">
        <v>10</v>
      </c>
      <c r="AY24" s="16">
        <v>50</v>
      </c>
      <c r="AZ24" s="16">
        <v>100</v>
      </c>
      <c r="BA24" s="16">
        <v>100</v>
      </c>
      <c r="BB24" s="16">
        <v>100</v>
      </c>
      <c r="BC24" s="16">
        <v>100</v>
      </c>
      <c r="BD24" s="16">
        <v>100</v>
      </c>
      <c r="BE24" s="16">
        <v>50</v>
      </c>
      <c r="BF24" s="16">
        <v>50</v>
      </c>
      <c r="BG24" s="16">
        <v>50</v>
      </c>
      <c r="BH24" s="16">
        <v>50</v>
      </c>
      <c r="BI24" s="16">
        <v>50</v>
      </c>
      <c r="BJ24" s="16">
        <v>50</v>
      </c>
      <c r="BK24" s="16">
        <v>18</v>
      </c>
      <c r="BL24" s="16">
        <v>18</v>
      </c>
      <c r="BM24" s="16" cm="1">
        <f t="array" ref="BM24">INDEX(_xlfn.ANCHORARRAY(_xlfn.XLOOKUP($D24,'-ref_Distribution'!$B$117:$B$121,'-ref_Distribution'!$G$117:$G$121)),RIGHT(BM$1,2))</f>
        <v>0</v>
      </c>
      <c r="BN24" s="16" cm="1">
        <f t="array" ref="BN24">INDEX(_xlfn.ANCHORARRAY(_xlfn.XLOOKUP($D24,'-ref_Distribution'!$B$117:$B$121,'-ref_Distribution'!$G$117:$G$121)),RIGHT(BN$1,2))</f>
        <v>5</v>
      </c>
      <c r="BO24" s="16" cm="1">
        <f t="array" ref="BO24">INDEX(_xlfn.ANCHORARRAY(_xlfn.XLOOKUP($D24,'-ref_Distribution'!$B$117:$B$121,'-ref_Distribution'!$G$117:$G$121)),RIGHT(BO$1,2))</f>
        <v>12</v>
      </c>
      <c r="BP24" s="16" cm="1">
        <f t="array" ref="BP24">INDEX(_xlfn.ANCHORARRAY(_xlfn.XLOOKUP($D24,'-ref_Distribution'!$B$117:$B$121,'-ref_Distribution'!$G$117:$G$121)),RIGHT(BP$1,2))</f>
        <v>16</v>
      </c>
      <c r="BQ24" s="16" cm="1">
        <f t="array" ref="BQ24">INDEX(_xlfn.ANCHORARRAY(_xlfn.XLOOKUP($D24,'-ref_Distribution'!$B$117:$B$121,'-ref_Distribution'!$G$117:$G$121)),RIGHT(BQ$1,2))</f>
        <v>19</v>
      </c>
      <c r="BR24" s="16" cm="1">
        <f t="array" ref="BR24">INDEX(_xlfn.ANCHORARRAY(_xlfn.XLOOKUP($D24,'-ref_Distribution'!$B$117:$B$121,'-ref_Distribution'!$G$117:$G$121)),RIGHT(BR$1,2))</f>
        <v>22</v>
      </c>
      <c r="BS24" s="16" cm="1">
        <f t="array" ref="BS24">INDEX(_xlfn.ANCHORARRAY(_xlfn.XLOOKUP($D24,'-ref_Distribution'!$B$117:$B$121,'-ref_Distribution'!$G$117:$G$121)),RIGHT(BS$1,2))</f>
        <v>23</v>
      </c>
      <c r="BT24" s="16" cm="1">
        <f t="array" ref="BT24">INDEX(_xlfn.ANCHORARRAY(_xlfn.XLOOKUP($D24,'-ref_Distribution'!$B$117:$B$121,'-ref_Distribution'!$G$117:$G$121)),RIGHT(BT$1,2))</f>
        <v>25</v>
      </c>
      <c r="BU24" s="16" cm="1">
        <f t="array" ref="BU24">INDEX(_xlfn.ANCHORARRAY(_xlfn.XLOOKUP($D24,'-ref_Distribution'!$B$117:$B$121,'-ref_Distribution'!$G$117:$G$121)),RIGHT(BU$1,2))</f>
        <v>26</v>
      </c>
      <c r="BV24" s="16" cm="1">
        <f t="array" ref="BV24">INDEX(_xlfn.ANCHORARRAY(_xlfn.XLOOKUP($D24,'-ref_Distribution'!$B$117:$B$121,'-ref_Distribution'!$G$117:$G$121)),RIGHT(BV$1,2))</f>
        <v>27</v>
      </c>
      <c r="BW24" s="16" cm="1">
        <f t="array" ref="BW24">INDEX(_xlfn.ANCHORARRAY(_xlfn.XLOOKUP($D24,'-ref_Distribution'!$B$117:$B$121,'-ref_Distribution'!$G$117:$G$121)),RIGHT(BW$1,2))</f>
        <v>27</v>
      </c>
      <c r="BX24" s="16" cm="1">
        <f t="array" ref="BX24">INDEX(_xlfn.ANCHORARRAY(_xlfn.XLOOKUP($D24,'-ref_Distribution'!$B$117:$B$121,'-ref_Distribution'!$G$117:$G$121)),RIGHT(BX$1,2))</f>
        <v>28</v>
      </c>
      <c r="BY24" s="16" cm="1">
        <f t="array" ref="BY24">INDEX(_xlfn.ANCHORARRAY(_xlfn.XLOOKUP($D24,'-ref_Distribution'!$B$117:$B$121,'-ref_Distribution'!$G$117:$G$121)),RIGHT(BY$1,2))</f>
        <v>29</v>
      </c>
      <c r="BZ24" s="16" cm="1">
        <f t="array" ref="BZ24">INDEX(_xlfn.ANCHORARRAY(_xlfn.XLOOKUP($D24,'-ref_Distribution'!$B$117:$B$121,'-ref_Distribution'!$G$117:$G$121)),RIGHT(BZ$1,2))</f>
        <v>29</v>
      </c>
      <c r="CA24" s="16" cm="1">
        <f t="array" ref="CA24">INDEX(_xlfn.ANCHORARRAY(_xlfn.XLOOKUP($D24,'-ref_Distribution'!$B$117:$B$121,'-ref_Distribution'!$G$117:$G$121)),RIGHT(CA$1,2))</f>
        <v>30</v>
      </c>
      <c r="CB24" s="16" cm="1">
        <f t="array" ref="CB24">INDEX(_xlfn.ANCHORARRAY(_xlfn.XLOOKUP($D24,'-ref_Distribution'!$B$117:$B$121,'-ref_Distribution'!$G$117:$G$121)),RIGHT(CB$1,2))</f>
        <v>30</v>
      </c>
      <c r="CC24" s="16" cm="1">
        <f t="array" ref="CC24">INDEX(_xlfn.ANCHORARRAY(_xlfn.XLOOKUP($D24,'-ref_Distribution'!$B$117:$B$121,'-ref_Distribution'!$G$117:$G$121)),RIGHT(CC$1,2))</f>
        <v>30</v>
      </c>
      <c r="CD24" s="16" cm="1">
        <f t="array" ref="CD24">INDEX(_xlfn.ANCHORARRAY(_xlfn.XLOOKUP($D24,'-ref_Distribution'!$B$117:$B$121,'-ref_Distribution'!$G$117:$G$121)),RIGHT(CD$1,2))</f>
        <v>30</v>
      </c>
      <c r="CE24" s="16" cm="1">
        <f t="array" ref="CE24">INDEX(_xlfn.ANCHORARRAY(_xlfn.XLOOKUP($D24,'-ref_Distribution'!$B$117:$B$121,'-ref_Distribution'!$G$117:$G$121)),RIGHT(CE$1,2))</f>
        <v>31</v>
      </c>
      <c r="CF24" s="16" cm="1">
        <f t="array" ref="CF24">INDEX(_xlfn.ANCHORARRAY(_xlfn.XLOOKUP($D24,'-ref_Distribution'!$B$117:$B$121,'-ref_Distribution'!$G$117:$G$121)),RIGHT(CF$1,2))</f>
        <v>31</v>
      </c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</row>
    <row r="25" spans="1:98" x14ac:dyDescent="0.2">
      <c r="A25" s="16">
        <v>13101073</v>
      </c>
      <c r="B25" s="17" t="s">
        <v>343</v>
      </c>
      <c r="C25" s="17" t="s">
        <v>427</v>
      </c>
      <c r="D25" s="16">
        <v>3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10</v>
      </c>
      <c r="L25" s="16">
        <v>10</v>
      </c>
      <c r="M25" s="16">
        <v>10</v>
      </c>
      <c r="N25" s="16">
        <v>50</v>
      </c>
      <c r="O25" s="16">
        <v>100</v>
      </c>
      <c r="P25" s="16">
        <v>100</v>
      </c>
      <c r="Q25" s="16">
        <v>100</v>
      </c>
      <c r="R25" s="16">
        <v>100</v>
      </c>
      <c r="S25" s="16">
        <v>100</v>
      </c>
      <c r="T25" s="16">
        <v>50</v>
      </c>
      <c r="U25" s="16">
        <v>50</v>
      </c>
      <c r="V25" s="16">
        <v>50</v>
      </c>
      <c r="W25" s="16">
        <v>50</v>
      </c>
      <c r="X25" s="16">
        <v>50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10</v>
      </c>
      <c r="AF25" s="16">
        <v>10</v>
      </c>
      <c r="AG25" s="16">
        <v>10</v>
      </c>
      <c r="AH25" s="16">
        <v>50</v>
      </c>
      <c r="AI25" s="16">
        <v>100</v>
      </c>
      <c r="AJ25" s="16">
        <v>100</v>
      </c>
      <c r="AK25" s="16">
        <v>100</v>
      </c>
      <c r="AL25" s="16">
        <v>100</v>
      </c>
      <c r="AM25" s="16">
        <v>100</v>
      </c>
      <c r="AN25" s="16">
        <v>50</v>
      </c>
      <c r="AO25" s="16">
        <v>50</v>
      </c>
      <c r="AP25" s="16">
        <v>50</v>
      </c>
      <c r="AQ25" s="16">
        <v>50</v>
      </c>
      <c r="AR25" s="16">
        <v>50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10</v>
      </c>
      <c r="AZ25" s="16">
        <v>10</v>
      </c>
      <c r="BA25" s="16">
        <v>10</v>
      </c>
      <c r="BB25" s="16">
        <v>50</v>
      </c>
      <c r="BC25" s="16">
        <v>100</v>
      </c>
      <c r="BD25" s="16">
        <v>100</v>
      </c>
      <c r="BE25" s="16">
        <v>100</v>
      </c>
      <c r="BF25" s="16">
        <v>100</v>
      </c>
      <c r="BG25" s="16">
        <v>100</v>
      </c>
      <c r="BH25" s="16">
        <v>50</v>
      </c>
      <c r="BI25" s="16">
        <v>50</v>
      </c>
      <c r="BJ25" s="16">
        <v>50</v>
      </c>
      <c r="BK25" s="16">
        <v>50</v>
      </c>
      <c r="BL25" s="16">
        <v>50</v>
      </c>
      <c r="BM25" s="16" cm="1">
        <f t="array" ref="BM25">INDEX(_xlfn.ANCHORARRAY(_xlfn.XLOOKUP($D25,'-ref_Distribution'!$B$117:$B$121,'-ref_Distribution'!$G$117:$G$121)),RIGHT(BM$1,2))</f>
        <v>0</v>
      </c>
      <c r="BN25" s="16" cm="1">
        <f t="array" ref="BN25">INDEX(_xlfn.ANCHORARRAY(_xlfn.XLOOKUP($D25,'-ref_Distribution'!$B$117:$B$121,'-ref_Distribution'!$G$117:$G$121)),RIGHT(BN$1,2))</f>
        <v>0</v>
      </c>
      <c r="BO25" s="16" cm="1">
        <f t="array" ref="BO25">INDEX(_xlfn.ANCHORARRAY(_xlfn.XLOOKUP($D25,'-ref_Distribution'!$B$117:$B$121,'-ref_Distribution'!$G$117:$G$121)),RIGHT(BO$1,2))</f>
        <v>1</v>
      </c>
      <c r="BP25" s="16" cm="1">
        <f t="array" ref="BP25">INDEX(_xlfn.ANCHORARRAY(_xlfn.XLOOKUP($D25,'-ref_Distribution'!$B$117:$B$121,'-ref_Distribution'!$G$117:$G$121)),RIGHT(BP$1,2))</f>
        <v>3</v>
      </c>
      <c r="BQ25" s="16" cm="1">
        <f t="array" ref="BQ25">INDEX(_xlfn.ANCHORARRAY(_xlfn.XLOOKUP($D25,'-ref_Distribution'!$B$117:$B$121,'-ref_Distribution'!$G$117:$G$121)),RIGHT(BQ$1,2))</f>
        <v>6</v>
      </c>
      <c r="BR25" s="16" cm="1">
        <f t="array" ref="BR25">INDEX(_xlfn.ANCHORARRAY(_xlfn.XLOOKUP($D25,'-ref_Distribution'!$B$117:$B$121,'-ref_Distribution'!$G$117:$G$121)),RIGHT(BR$1,2))</f>
        <v>8</v>
      </c>
      <c r="BS25" s="16" cm="1">
        <f t="array" ref="BS25">INDEX(_xlfn.ANCHORARRAY(_xlfn.XLOOKUP($D25,'-ref_Distribution'!$B$117:$B$121,'-ref_Distribution'!$G$117:$G$121)),RIGHT(BS$1,2))</f>
        <v>9</v>
      </c>
      <c r="BT25" s="16" cm="1">
        <f t="array" ref="BT25">INDEX(_xlfn.ANCHORARRAY(_xlfn.XLOOKUP($D25,'-ref_Distribution'!$B$117:$B$121,'-ref_Distribution'!$G$117:$G$121)),RIGHT(BT$1,2))</f>
        <v>10</v>
      </c>
      <c r="BU25" s="16" cm="1">
        <f t="array" ref="BU25">INDEX(_xlfn.ANCHORARRAY(_xlfn.XLOOKUP($D25,'-ref_Distribution'!$B$117:$B$121,'-ref_Distribution'!$G$117:$G$121)),RIGHT(BU$1,2))</f>
        <v>11</v>
      </c>
      <c r="BV25" s="16" cm="1">
        <f t="array" ref="BV25">INDEX(_xlfn.ANCHORARRAY(_xlfn.XLOOKUP($D25,'-ref_Distribution'!$B$117:$B$121,'-ref_Distribution'!$G$117:$G$121)),RIGHT(BV$1,2))</f>
        <v>12</v>
      </c>
      <c r="BW25" s="16" cm="1">
        <f t="array" ref="BW25">INDEX(_xlfn.ANCHORARRAY(_xlfn.XLOOKUP($D25,'-ref_Distribution'!$B$117:$B$121,'-ref_Distribution'!$G$117:$G$121)),RIGHT(BW$1,2))</f>
        <v>13</v>
      </c>
      <c r="BX25" s="16" cm="1">
        <f t="array" ref="BX25">INDEX(_xlfn.ANCHORARRAY(_xlfn.XLOOKUP($D25,'-ref_Distribution'!$B$117:$B$121,'-ref_Distribution'!$G$117:$G$121)),RIGHT(BX$1,2))</f>
        <v>14</v>
      </c>
      <c r="BY25" s="16" cm="1">
        <f t="array" ref="BY25">INDEX(_xlfn.ANCHORARRAY(_xlfn.XLOOKUP($D25,'-ref_Distribution'!$B$117:$B$121,'-ref_Distribution'!$G$117:$G$121)),RIGHT(BY$1,2))</f>
        <v>14</v>
      </c>
      <c r="BZ25" s="16" cm="1">
        <f t="array" ref="BZ25">INDEX(_xlfn.ANCHORARRAY(_xlfn.XLOOKUP($D25,'-ref_Distribution'!$B$117:$B$121,'-ref_Distribution'!$G$117:$G$121)),RIGHT(BZ$1,2))</f>
        <v>15</v>
      </c>
      <c r="CA25" s="16" cm="1">
        <f t="array" ref="CA25">INDEX(_xlfn.ANCHORARRAY(_xlfn.XLOOKUP($D25,'-ref_Distribution'!$B$117:$B$121,'-ref_Distribution'!$G$117:$G$121)),RIGHT(CA$1,2))</f>
        <v>15</v>
      </c>
      <c r="CB25" s="16" cm="1">
        <f t="array" ref="CB25">INDEX(_xlfn.ANCHORARRAY(_xlfn.XLOOKUP($D25,'-ref_Distribution'!$B$117:$B$121,'-ref_Distribution'!$G$117:$G$121)),RIGHT(CB$1,2))</f>
        <v>16</v>
      </c>
      <c r="CC25" s="16" cm="1">
        <f t="array" ref="CC25">INDEX(_xlfn.ANCHORARRAY(_xlfn.XLOOKUP($D25,'-ref_Distribution'!$B$117:$B$121,'-ref_Distribution'!$G$117:$G$121)),RIGHT(CC$1,2))</f>
        <v>16</v>
      </c>
      <c r="CD25" s="16" cm="1">
        <f t="array" ref="CD25">INDEX(_xlfn.ANCHORARRAY(_xlfn.XLOOKUP($D25,'-ref_Distribution'!$B$117:$B$121,'-ref_Distribution'!$G$117:$G$121)),RIGHT(CD$1,2))</f>
        <v>17</v>
      </c>
      <c r="CE25" s="16" cm="1">
        <f t="array" ref="CE25">INDEX(_xlfn.ANCHORARRAY(_xlfn.XLOOKUP($D25,'-ref_Distribution'!$B$117:$B$121,'-ref_Distribution'!$G$117:$G$121)),RIGHT(CE$1,2))</f>
        <v>17</v>
      </c>
      <c r="CF25" s="16" cm="1">
        <f t="array" ref="CF25">INDEX(_xlfn.ANCHORARRAY(_xlfn.XLOOKUP($D25,'-ref_Distribution'!$B$117:$B$121,'-ref_Distribution'!$G$117:$G$121)),RIGHT(CF$1,2))</f>
        <v>17</v>
      </c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</row>
    <row r="26" spans="1:98" x14ac:dyDescent="0.2">
      <c r="A26" s="16">
        <v>1311101</v>
      </c>
      <c r="B26" s="16" t="s">
        <v>23</v>
      </c>
      <c r="C26" s="17" t="s">
        <v>427</v>
      </c>
      <c r="E26" s="16">
        <v>100</v>
      </c>
      <c r="F26" s="16">
        <v>100</v>
      </c>
      <c r="G26" s="16">
        <v>100</v>
      </c>
      <c r="H26" s="16">
        <v>100</v>
      </c>
      <c r="I26" s="16">
        <v>100</v>
      </c>
      <c r="J26" s="16">
        <v>100</v>
      </c>
      <c r="K26" s="16">
        <v>100</v>
      </c>
      <c r="L26" s="16">
        <v>50</v>
      </c>
      <c r="M26" s="16">
        <v>50</v>
      </c>
      <c r="N26" s="16">
        <v>50</v>
      </c>
      <c r="O26" s="16">
        <v>50</v>
      </c>
      <c r="P26" s="16">
        <v>18</v>
      </c>
      <c r="Q26" s="16">
        <v>18</v>
      </c>
      <c r="R26" s="16">
        <v>18</v>
      </c>
      <c r="S26" s="16">
        <v>18</v>
      </c>
      <c r="T26" s="16">
        <v>18</v>
      </c>
      <c r="U26" s="16">
        <v>18</v>
      </c>
      <c r="V26" s="16">
        <v>18</v>
      </c>
      <c r="W26" s="16">
        <v>18</v>
      </c>
      <c r="X26" s="16">
        <v>18</v>
      </c>
      <c r="Y26" s="16">
        <v>100</v>
      </c>
      <c r="Z26" s="16">
        <v>100</v>
      </c>
      <c r="AA26" s="16">
        <v>100</v>
      </c>
      <c r="AB26" s="16">
        <v>100</v>
      </c>
      <c r="AC26" s="16">
        <v>100</v>
      </c>
      <c r="AD26" s="16">
        <v>100</v>
      </c>
      <c r="AE26" s="16">
        <v>100</v>
      </c>
      <c r="AF26" s="16">
        <v>50</v>
      </c>
      <c r="AG26" s="16">
        <v>50</v>
      </c>
      <c r="AH26" s="16">
        <v>50</v>
      </c>
      <c r="AI26" s="16">
        <v>50</v>
      </c>
      <c r="AJ26" s="16">
        <v>18</v>
      </c>
      <c r="AK26" s="16">
        <v>18</v>
      </c>
      <c r="AL26" s="16">
        <v>18</v>
      </c>
      <c r="AM26" s="16">
        <v>18</v>
      </c>
      <c r="AN26" s="16">
        <v>18</v>
      </c>
      <c r="AO26" s="16">
        <v>18</v>
      </c>
      <c r="AP26" s="16">
        <v>18</v>
      </c>
      <c r="AQ26" s="16">
        <v>18</v>
      </c>
      <c r="AR26" s="16">
        <v>18</v>
      </c>
      <c r="AS26" s="16">
        <v>100</v>
      </c>
      <c r="AT26" s="16">
        <v>100</v>
      </c>
      <c r="AU26" s="16">
        <v>100</v>
      </c>
      <c r="AV26" s="16">
        <v>100</v>
      </c>
      <c r="AW26" s="16">
        <v>100</v>
      </c>
      <c r="AX26" s="16">
        <v>100</v>
      </c>
      <c r="AY26" s="16">
        <v>100</v>
      </c>
      <c r="AZ26" s="16">
        <v>50</v>
      </c>
      <c r="BA26" s="16">
        <v>50</v>
      </c>
      <c r="BB26" s="16">
        <v>50</v>
      </c>
      <c r="BC26" s="16">
        <v>50</v>
      </c>
      <c r="BD26" s="16">
        <v>18</v>
      </c>
      <c r="BE26" s="16">
        <v>18</v>
      </c>
      <c r="BF26" s="16">
        <v>18</v>
      </c>
      <c r="BG26" s="16">
        <v>18</v>
      </c>
      <c r="BH26" s="16">
        <v>18</v>
      </c>
      <c r="BI26" s="16">
        <v>18</v>
      </c>
      <c r="BJ26" s="16">
        <v>18</v>
      </c>
      <c r="BK26" s="16">
        <v>18</v>
      </c>
      <c r="BL26" s="16">
        <v>18</v>
      </c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</row>
    <row r="27" spans="1:98" x14ac:dyDescent="0.2">
      <c r="A27" s="16">
        <v>1311102</v>
      </c>
      <c r="B27" s="16" t="s">
        <v>24</v>
      </c>
      <c r="C27" s="17" t="s">
        <v>427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</row>
    <row r="28" spans="1:98" x14ac:dyDescent="0.2">
      <c r="A28" s="16">
        <v>1311801</v>
      </c>
      <c r="B28" s="16" t="s">
        <v>55</v>
      </c>
      <c r="C28" s="17" t="s">
        <v>427</v>
      </c>
      <c r="E28" s="16">
        <v>50</v>
      </c>
      <c r="F28" s="16">
        <v>50</v>
      </c>
      <c r="G28" s="16">
        <v>50</v>
      </c>
      <c r="H28" s="16">
        <v>50</v>
      </c>
      <c r="I28" s="16">
        <v>50</v>
      </c>
      <c r="J28" s="16">
        <v>50</v>
      </c>
      <c r="K28" s="16">
        <v>50</v>
      </c>
      <c r="L28" s="16">
        <v>25</v>
      </c>
      <c r="M28" s="16">
        <v>25</v>
      </c>
      <c r="N28" s="16">
        <v>25</v>
      </c>
      <c r="O28" s="16">
        <v>25</v>
      </c>
      <c r="P28" s="16">
        <v>9</v>
      </c>
      <c r="Q28" s="16">
        <v>9</v>
      </c>
      <c r="R28" s="16">
        <v>9</v>
      </c>
      <c r="S28" s="16">
        <v>9</v>
      </c>
      <c r="T28" s="16">
        <v>9</v>
      </c>
      <c r="U28" s="16">
        <v>9</v>
      </c>
      <c r="V28" s="16">
        <v>9</v>
      </c>
      <c r="W28" s="16">
        <v>9</v>
      </c>
      <c r="X28" s="16">
        <v>9</v>
      </c>
      <c r="Y28" s="16">
        <v>50</v>
      </c>
      <c r="Z28" s="16">
        <v>50</v>
      </c>
      <c r="AA28" s="16">
        <v>50</v>
      </c>
      <c r="AB28" s="16">
        <v>50</v>
      </c>
      <c r="AC28" s="16">
        <v>50</v>
      </c>
      <c r="AD28" s="16">
        <v>50</v>
      </c>
      <c r="AE28" s="16">
        <v>50</v>
      </c>
      <c r="AF28" s="16">
        <v>25</v>
      </c>
      <c r="AG28" s="16">
        <v>25</v>
      </c>
      <c r="AH28" s="16">
        <v>25</v>
      </c>
      <c r="AI28" s="16">
        <v>25</v>
      </c>
      <c r="AJ28" s="16">
        <v>9</v>
      </c>
      <c r="AK28" s="16">
        <v>9</v>
      </c>
      <c r="AL28" s="16">
        <v>9</v>
      </c>
      <c r="AM28" s="16">
        <v>9</v>
      </c>
      <c r="AN28" s="16">
        <v>9</v>
      </c>
      <c r="AO28" s="16">
        <v>9</v>
      </c>
      <c r="AP28" s="16">
        <v>9</v>
      </c>
      <c r="AQ28" s="16">
        <v>9</v>
      </c>
      <c r="AR28" s="16">
        <v>9</v>
      </c>
      <c r="AS28" s="16">
        <v>50</v>
      </c>
      <c r="AT28" s="16">
        <v>50</v>
      </c>
      <c r="AU28" s="16">
        <v>50</v>
      </c>
      <c r="AV28" s="16">
        <v>50</v>
      </c>
      <c r="AW28" s="16">
        <v>50</v>
      </c>
      <c r="AX28" s="16">
        <v>50</v>
      </c>
      <c r="AY28" s="16">
        <v>50</v>
      </c>
      <c r="AZ28" s="16">
        <v>25</v>
      </c>
      <c r="BA28" s="16">
        <v>25</v>
      </c>
      <c r="BB28" s="16">
        <v>25</v>
      </c>
      <c r="BC28" s="16">
        <v>25</v>
      </c>
      <c r="BD28" s="16">
        <v>9</v>
      </c>
      <c r="BE28" s="16">
        <v>9</v>
      </c>
      <c r="BF28" s="16">
        <v>9</v>
      </c>
      <c r="BG28" s="16">
        <v>9</v>
      </c>
      <c r="BH28" s="16">
        <v>9</v>
      </c>
      <c r="BI28" s="16">
        <v>9</v>
      </c>
      <c r="BJ28" s="16">
        <v>9</v>
      </c>
      <c r="BK28" s="16">
        <v>9</v>
      </c>
      <c r="BL28" s="16">
        <v>9</v>
      </c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</row>
    <row r="29" spans="1:98" x14ac:dyDescent="0.2">
      <c r="A29" s="16">
        <v>1311802</v>
      </c>
      <c r="B29" s="16" t="s">
        <v>89</v>
      </c>
      <c r="C29" s="17" t="s">
        <v>427</v>
      </c>
      <c r="E29" s="16">
        <v>0</v>
      </c>
      <c r="F29" s="16">
        <v>0</v>
      </c>
      <c r="G29" s="16">
        <v>0</v>
      </c>
      <c r="H29" s="16">
        <v>10</v>
      </c>
      <c r="I29" s="16">
        <v>10</v>
      </c>
      <c r="J29" s="16">
        <v>10</v>
      </c>
      <c r="K29" s="16">
        <v>10</v>
      </c>
      <c r="L29" s="16">
        <v>50</v>
      </c>
      <c r="M29" s="16">
        <v>50</v>
      </c>
      <c r="N29" s="16">
        <v>50</v>
      </c>
      <c r="O29" s="16">
        <v>50</v>
      </c>
      <c r="P29" s="16">
        <v>25</v>
      </c>
      <c r="Q29" s="16">
        <v>25</v>
      </c>
      <c r="R29" s="16">
        <v>25</v>
      </c>
      <c r="S29" s="16">
        <v>25</v>
      </c>
      <c r="T29" s="16">
        <v>25</v>
      </c>
      <c r="U29" s="16">
        <v>25</v>
      </c>
      <c r="V29" s="16">
        <v>25</v>
      </c>
      <c r="W29" s="16">
        <v>25</v>
      </c>
      <c r="X29" s="16">
        <v>25</v>
      </c>
      <c r="Y29" s="16">
        <v>0</v>
      </c>
      <c r="Z29" s="16">
        <v>0</v>
      </c>
      <c r="AA29" s="16">
        <v>0</v>
      </c>
      <c r="AB29" s="16">
        <v>10</v>
      </c>
      <c r="AC29" s="16">
        <v>10</v>
      </c>
      <c r="AD29" s="16">
        <v>10</v>
      </c>
      <c r="AE29" s="16">
        <v>10</v>
      </c>
      <c r="AF29" s="16">
        <v>50</v>
      </c>
      <c r="AG29" s="16">
        <v>50</v>
      </c>
      <c r="AH29" s="16">
        <v>50</v>
      </c>
      <c r="AI29" s="16">
        <v>50</v>
      </c>
      <c r="AJ29" s="16">
        <v>25</v>
      </c>
      <c r="AK29" s="16">
        <v>25</v>
      </c>
      <c r="AL29" s="16">
        <v>25</v>
      </c>
      <c r="AM29" s="16">
        <v>25</v>
      </c>
      <c r="AN29" s="16">
        <v>25</v>
      </c>
      <c r="AO29" s="16">
        <v>25</v>
      </c>
      <c r="AP29" s="16">
        <v>25</v>
      </c>
      <c r="AQ29" s="16">
        <v>25</v>
      </c>
      <c r="AR29" s="16">
        <v>25</v>
      </c>
      <c r="AS29" s="16">
        <v>0</v>
      </c>
      <c r="AT29" s="16">
        <v>0</v>
      </c>
      <c r="AU29" s="16">
        <v>0</v>
      </c>
      <c r="AV29" s="16">
        <v>10</v>
      </c>
      <c r="AW29" s="16">
        <v>10</v>
      </c>
      <c r="AX29" s="16">
        <v>10</v>
      </c>
      <c r="AY29" s="16">
        <v>10</v>
      </c>
      <c r="AZ29" s="16">
        <v>50</v>
      </c>
      <c r="BA29" s="16">
        <v>50</v>
      </c>
      <c r="BB29" s="16">
        <v>50</v>
      </c>
      <c r="BC29" s="16">
        <v>50</v>
      </c>
      <c r="BD29" s="16">
        <v>25</v>
      </c>
      <c r="BE29" s="16">
        <v>25</v>
      </c>
      <c r="BF29" s="16">
        <v>25</v>
      </c>
      <c r="BG29" s="16">
        <v>25</v>
      </c>
      <c r="BH29" s="16">
        <v>25</v>
      </c>
      <c r="BI29" s="16">
        <v>25</v>
      </c>
      <c r="BJ29" s="16">
        <v>25</v>
      </c>
      <c r="BK29" s="16">
        <v>25</v>
      </c>
      <c r="BL29" s="16">
        <v>25</v>
      </c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</row>
    <row r="30" spans="1:98" x14ac:dyDescent="0.2">
      <c r="A30" s="16">
        <v>1319001</v>
      </c>
      <c r="B30" s="16" t="s">
        <v>281</v>
      </c>
      <c r="C30" s="17" t="s">
        <v>427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</row>
    <row r="31" spans="1:98" x14ac:dyDescent="0.2">
      <c r="A31" s="16">
        <v>1319002</v>
      </c>
      <c r="B31" s="16" t="s">
        <v>282</v>
      </c>
      <c r="C31" s="17" t="s">
        <v>427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</row>
    <row r="32" spans="1:98" x14ac:dyDescent="0.2"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</row>
    <row r="33" spans="1:98" x14ac:dyDescent="0.2">
      <c r="A33" s="16">
        <v>1320101</v>
      </c>
      <c r="B33" s="16" t="s">
        <v>25</v>
      </c>
      <c r="C33" s="17" t="s">
        <v>428</v>
      </c>
      <c r="E33" s="16">
        <v>100</v>
      </c>
      <c r="F33" s="16">
        <v>100</v>
      </c>
      <c r="G33" s="16">
        <v>50</v>
      </c>
      <c r="H33" s="16">
        <v>50</v>
      </c>
      <c r="I33" s="16">
        <v>50</v>
      </c>
      <c r="J33" s="16">
        <v>10</v>
      </c>
      <c r="K33" s="16">
        <v>10</v>
      </c>
      <c r="L33" s="16">
        <v>10</v>
      </c>
      <c r="M33" s="16">
        <v>10</v>
      </c>
      <c r="N33" s="16">
        <v>10</v>
      </c>
      <c r="O33" s="16">
        <v>5</v>
      </c>
      <c r="P33" s="16">
        <v>5</v>
      </c>
      <c r="Q33" s="16">
        <v>5</v>
      </c>
      <c r="R33" s="16">
        <v>5</v>
      </c>
      <c r="S33" s="16">
        <v>5</v>
      </c>
      <c r="T33" s="16">
        <v>3</v>
      </c>
      <c r="U33" s="16">
        <v>3</v>
      </c>
      <c r="V33" s="16">
        <v>3</v>
      </c>
      <c r="W33" s="16">
        <v>3</v>
      </c>
      <c r="X33" s="16">
        <v>3</v>
      </c>
      <c r="Y33" s="16">
        <v>100</v>
      </c>
      <c r="Z33" s="16">
        <v>100</v>
      </c>
      <c r="AA33" s="16">
        <v>50</v>
      </c>
      <c r="AB33" s="16">
        <v>50</v>
      </c>
      <c r="AC33" s="16">
        <v>50</v>
      </c>
      <c r="AD33" s="16">
        <v>10</v>
      </c>
      <c r="AE33" s="16">
        <v>10</v>
      </c>
      <c r="AF33" s="16">
        <v>10</v>
      </c>
      <c r="AG33" s="16">
        <v>10</v>
      </c>
      <c r="AH33" s="16">
        <v>10</v>
      </c>
      <c r="AI33" s="16">
        <v>5</v>
      </c>
      <c r="AJ33" s="16">
        <v>5</v>
      </c>
      <c r="AK33" s="16">
        <v>5</v>
      </c>
      <c r="AL33" s="16">
        <v>5</v>
      </c>
      <c r="AM33" s="16">
        <v>5</v>
      </c>
      <c r="AN33" s="16">
        <v>3</v>
      </c>
      <c r="AO33" s="16">
        <v>3</v>
      </c>
      <c r="AP33" s="16">
        <v>3</v>
      </c>
      <c r="AQ33" s="16">
        <v>3</v>
      </c>
      <c r="AR33" s="16">
        <v>3</v>
      </c>
      <c r="AS33" s="16">
        <v>100</v>
      </c>
      <c r="AT33" s="16">
        <v>100</v>
      </c>
      <c r="AU33" s="16">
        <v>50</v>
      </c>
      <c r="AV33" s="16">
        <v>50</v>
      </c>
      <c r="AW33" s="16">
        <v>50</v>
      </c>
      <c r="AX33" s="16">
        <v>10</v>
      </c>
      <c r="AY33" s="16">
        <v>10</v>
      </c>
      <c r="AZ33" s="16">
        <v>10</v>
      </c>
      <c r="BA33" s="16">
        <v>10</v>
      </c>
      <c r="BB33" s="16">
        <v>10</v>
      </c>
      <c r="BC33" s="16">
        <v>5</v>
      </c>
      <c r="BD33" s="16">
        <v>5</v>
      </c>
      <c r="BE33" s="16">
        <v>5</v>
      </c>
      <c r="BF33" s="16">
        <v>5</v>
      </c>
      <c r="BG33" s="16">
        <v>5</v>
      </c>
      <c r="BH33" s="16">
        <v>3</v>
      </c>
      <c r="BI33" s="16">
        <v>3</v>
      </c>
      <c r="BJ33" s="16">
        <v>3</v>
      </c>
      <c r="BK33" s="16">
        <v>3</v>
      </c>
      <c r="BL33" s="16">
        <v>3</v>
      </c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</row>
    <row r="34" spans="1:98" x14ac:dyDescent="0.2">
      <c r="A34" s="16">
        <v>1320102</v>
      </c>
      <c r="B34" s="17" t="s">
        <v>312</v>
      </c>
      <c r="C34" s="17" t="s">
        <v>428</v>
      </c>
      <c r="D34" s="17" t="s">
        <v>424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</row>
    <row r="35" spans="1:98" x14ac:dyDescent="0.2">
      <c r="A35" s="16">
        <v>13201021</v>
      </c>
      <c r="B35" s="17" t="s">
        <v>309</v>
      </c>
      <c r="C35" s="17" t="s">
        <v>428</v>
      </c>
      <c r="D35" s="16">
        <v>1</v>
      </c>
      <c r="E35" s="16">
        <v>25</v>
      </c>
      <c r="F35" s="16">
        <v>25</v>
      </c>
      <c r="G35" s="16">
        <v>100</v>
      </c>
      <c r="H35" s="16">
        <v>100</v>
      </c>
      <c r="I35" s="16">
        <v>100</v>
      </c>
      <c r="J35" s="16">
        <v>50</v>
      </c>
      <c r="K35" s="16">
        <v>50</v>
      </c>
      <c r="L35" s="16">
        <v>50</v>
      </c>
      <c r="M35" s="16">
        <v>50</v>
      </c>
      <c r="N35" s="16">
        <v>50</v>
      </c>
      <c r="O35" s="16">
        <v>20</v>
      </c>
      <c r="P35" s="16">
        <v>20</v>
      </c>
      <c r="Q35" s="16">
        <v>20</v>
      </c>
      <c r="R35" s="16">
        <v>20</v>
      </c>
      <c r="S35" s="16">
        <v>20</v>
      </c>
      <c r="T35" s="16">
        <v>10</v>
      </c>
      <c r="U35" s="16">
        <v>10</v>
      </c>
      <c r="V35" s="16">
        <v>10</v>
      </c>
      <c r="W35" s="16">
        <v>10</v>
      </c>
      <c r="X35" s="16">
        <v>10</v>
      </c>
      <c r="Y35" s="16">
        <v>25</v>
      </c>
      <c r="Z35" s="16">
        <v>25</v>
      </c>
      <c r="AA35" s="16">
        <v>100</v>
      </c>
      <c r="AB35" s="16">
        <v>100</v>
      </c>
      <c r="AC35" s="16">
        <v>100</v>
      </c>
      <c r="AD35" s="16">
        <v>50</v>
      </c>
      <c r="AE35" s="16">
        <v>50</v>
      </c>
      <c r="AF35" s="16">
        <v>50</v>
      </c>
      <c r="AG35" s="16">
        <v>50</v>
      </c>
      <c r="AH35" s="16">
        <v>50</v>
      </c>
      <c r="AI35" s="16">
        <v>20</v>
      </c>
      <c r="AJ35" s="16">
        <v>20</v>
      </c>
      <c r="AK35" s="16">
        <v>20</v>
      </c>
      <c r="AL35" s="16">
        <v>20</v>
      </c>
      <c r="AM35" s="16">
        <v>20</v>
      </c>
      <c r="AN35" s="16">
        <v>10</v>
      </c>
      <c r="AO35" s="16">
        <v>10</v>
      </c>
      <c r="AP35" s="16">
        <v>10</v>
      </c>
      <c r="AQ35" s="16">
        <v>10</v>
      </c>
      <c r="AR35" s="16">
        <v>10</v>
      </c>
      <c r="AS35" s="16">
        <v>25</v>
      </c>
      <c r="AT35" s="16">
        <v>25</v>
      </c>
      <c r="AU35" s="16">
        <v>100</v>
      </c>
      <c r="AV35" s="16">
        <v>100</v>
      </c>
      <c r="AW35" s="16">
        <v>100</v>
      </c>
      <c r="AX35" s="16">
        <v>50</v>
      </c>
      <c r="AY35" s="16">
        <v>50</v>
      </c>
      <c r="AZ35" s="16">
        <v>50</v>
      </c>
      <c r="BA35" s="16">
        <v>50</v>
      </c>
      <c r="BB35" s="16">
        <v>50</v>
      </c>
      <c r="BC35" s="16">
        <v>20</v>
      </c>
      <c r="BD35" s="16">
        <v>20</v>
      </c>
      <c r="BE35" s="16">
        <v>20</v>
      </c>
      <c r="BF35" s="16">
        <v>20</v>
      </c>
      <c r="BG35" s="16">
        <v>20</v>
      </c>
      <c r="BH35" s="16">
        <v>10</v>
      </c>
      <c r="BI35" s="16">
        <v>10</v>
      </c>
      <c r="BJ35" s="16">
        <v>10</v>
      </c>
      <c r="BK35" s="16">
        <v>10</v>
      </c>
      <c r="BL35" s="16">
        <v>10</v>
      </c>
      <c r="BM35" s="16" cm="1">
        <f t="array" ref="BM35">INDEX(_xlfn.ANCHORARRAY(_xlfn.XLOOKUP($D35,'-ref_Distribution'!$B$117:$B$121,'-ref_Distribution'!$G$117:$G$121)),RIGHT(BM$1,2))</f>
        <v>78</v>
      </c>
      <c r="BN35" s="16" cm="1">
        <f t="array" ref="BN35">INDEX(_xlfn.ANCHORARRAY(_xlfn.XLOOKUP($D35,'-ref_Distribution'!$B$117:$B$121,'-ref_Distribution'!$G$117:$G$121)),RIGHT(BN$1,2))</f>
        <v>72</v>
      </c>
      <c r="BO35" s="16" cm="1">
        <f t="array" ref="BO35">INDEX(_xlfn.ANCHORARRAY(_xlfn.XLOOKUP($D35,'-ref_Distribution'!$B$117:$B$121,'-ref_Distribution'!$G$117:$G$121)),RIGHT(BO$1,2))</f>
        <v>66</v>
      </c>
      <c r="BP35" s="16" cm="1">
        <f t="array" ref="BP35">INDEX(_xlfn.ANCHORARRAY(_xlfn.XLOOKUP($D35,'-ref_Distribution'!$B$117:$B$121,'-ref_Distribution'!$G$117:$G$121)),RIGHT(BP$1,2))</f>
        <v>61</v>
      </c>
      <c r="BQ35" s="16" cm="1">
        <f t="array" ref="BQ35">INDEX(_xlfn.ANCHORARRAY(_xlfn.XLOOKUP($D35,'-ref_Distribution'!$B$117:$B$121,'-ref_Distribution'!$G$117:$G$121)),RIGHT(BQ$1,2))</f>
        <v>58</v>
      </c>
      <c r="BR35" s="16" cm="1">
        <f t="array" ref="BR35">INDEX(_xlfn.ANCHORARRAY(_xlfn.XLOOKUP($D35,'-ref_Distribution'!$B$117:$B$121,'-ref_Distribution'!$G$117:$G$121)),RIGHT(BR$1,2))</f>
        <v>55</v>
      </c>
      <c r="BS35" s="16" cm="1">
        <f t="array" ref="BS35">INDEX(_xlfn.ANCHORARRAY(_xlfn.XLOOKUP($D35,'-ref_Distribution'!$B$117:$B$121,'-ref_Distribution'!$G$117:$G$121)),RIGHT(BS$1,2))</f>
        <v>52</v>
      </c>
      <c r="BT35" s="16" cm="1">
        <f t="array" ref="BT35">INDEX(_xlfn.ANCHORARRAY(_xlfn.XLOOKUP($D35,'-ref_Distribution'!$B$117:$B$121,'-ref_Distribution'!$G$117:$G$121)),RIGHT(BT$1,2))</f>
        <v>50</v>
      </c>
      <c r="BU35" s="16" cm="1">
        <f t="array" ref="BU35">INDEX(_xlfn.ANCHORARRAY(_xlfn.XLOOKUP($D35,'-ref_Distribution'!$B$117:$B$121,'-ref_Distribution'!$G$117:$G$121)),RIGHT(BU$1,2))</f>
        <v>48</v>
      </c>
      <c r="BV35" s="16" cm="1">
        <f t="array" ref="BV35">INDEX(_xlfn.ANCHORARRAY(_xlfn.XLOOKUP($D35,'-ref_Distribution'!$B$117:$B$121,'-ref_Distribution'!$G$117:$G$121)),RIGHT(BV$1,2))</f>
        <v>47</v>
      </c>
      <c r="BW35" s="16" cm="1">
        <f t="array" ref="BW35">INDEX(_xlfn.ANCHORARRAY(_xlfn.XLOOKUP($D35,'-ref_Distribution'!$B$117:$B$121,'-ref_Distribution'!$G$117:$G$121)),RIGHT(BW$1,2))</f>
        <v>46</v>
      </c>
      <c r="BX35" s="16" cm="1">
        <f t="array" ref="BX35">INDEX(_xlfn.ANCHORARRAY(_xlfn.XLOOKUP($D35,'-ref_Distribution'!$B$117:$B$121,'-ref_Distribution'!$G$117:$G$121)),RIGHT(BX$1,2))</f>
        <v>44</v>
      </c>
      <c r="BY35" s="16" cm="1">
        <f t="array" ref="BY35">INDEX(_xlfn.ANCHORARRAY(_xlfn.XLOOKUP($D35,'-ref_Distribution'!$B$117:$B$121,'-ref_Distribution'!$G$117:$G$121)),RIGHT(BY$1,2))</f>
        <v>43</v>
      </c>
      <c r="BZ35" s="16" cm="1">
        <f t="array" ref="BZ35">INDEX(_xlfn.ANCHORARRAY(_xlfn.XLOOKUP($D35,'-ref_Distribution'!$B$117:$B$121,'-ref_Distribution'!$G$117:$G$121)),RIGHT(BZ$1,2))</f>
        <v>42</v>
      </c>
      <c r="CA35" s="16" cm="1">
        <f t="array" ref="CA35">INDEX(_xlfn.ANCHORARRAY(_xlfn.XLOOKUP($D35,'-ref_Distribution'!$B$117:$B$121,'-ref_Distribution'!$G$117:$G$121)),RIGHT(CA$1,2))</f>
        <v>41</v>
      </c>
      <c r="CB35" s="16" cm="1">
        <f t="array" ref="CB35">INDEX(_xlfn.ANCHORARRAY(_xlfn.XLOOKUP($D35,'-ref_Distribution'!$B$117:$B$121,'-ref_Distribution'!$G$117:$G$121)),RIGHT(CB$1,2))</f>
        <v>40</v>
      </c>
      <c r="CC35" s="16" cm="1">
        <f t="array" ref="CC35">INDEX(_xlfn.ANCHORARRAY(_xlfn.XLOOKUP($D35,'-ref_Distribution'!$B$117:$B$121,'-ref_Distribution'!$G$117:$G$121)),RIGHT(CC$1,2))</f>
        <v>40</v>
      </c>
      <c r="CD35" s="16" cm="1">
        <f t="array" ref="CD35">INDEX(_xlfn.ANCHORARRAY(_xlfn.XLOOKUP($D35,'-ref_Distribution'!$B$117:$B$121,'-ref_Distribution'!$G$117:$G$121)),RIGHT(CD$1,2))</f>
        <v>39</v>
      </c>
      <c r="CE35" s="16" cm="1">
        <f t="array" ref="CE35">INDEX(_xlfn.ANCHORARRAY(_xlfn.XLOOKUP($D35,'-ref_Distribution'!$B$117:$B$121,'-ref_Distribution'!$G$117:$G$121)),RIGHT(CE$1,2))</f>
        <v>38</v>
      </c>
      <c r="CF35" s="16" cm="1">
        <f t="array" ref="CF35">INDEX(_xlfn.ANCHORARRAY(_xlfn.XLOOKUP($D35,'-ref_Distribution'!$B$117:$B$121,'-ref_Distribution'!$G$117:$G$121)),RIGHT(CF$1,2))</f>
        <v>38</v>
      </c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</row>
    <row r="36" spans="1:98" x14ac:dyDescent="0.2">
      <c r="A36" s="16">
        <v>13201022</v>
      </c>
      <c r="B36" s="17" t="s">
        <v>310</v>
      </c>
      <c r="C36" s="17" t="s">
        <v>428</v>
      </c>
      <c r="D36" s="16">
        <v>2</v>
      </c>
      <c r="E36" s="16">
        <v>0</v>
      </c>
      <c r="F36" s="16">
        <v>0</v>
      </c>
      <c r="G36" s="16">
        <v>25</v>
      </c>
      <c r="H36" s="16">
        <v>25</v>
      </c>
      <c r="I36" s="16">
        <v>25</v>
      </c>
      <c r="J36" s="16">
        <v>100</v>
      </c>
      <c r="K36" s="16">
        <v>100</v>
      </c>
      <c r="L36" s="16">
        <v>100</v>
      </c>
      <c r="M36" s="16">
        <v>100</v>
      </c>
      <c r="N36" s="16">
        <v>100</v>
      </c>
      <c r="O36" s="16">
        <v>50</v>
      </c>
      <c r="P36" s="16">
        <v>50</v>
      </c>
      <c r="Q36" s="16">
        <v>50</v>
      </c>
      <c r="R36" s="16">
        <v>50</v>
      </c>
      <c r="S36" s="16">
        <v>50</v>
      </c>
      <c r="T36" s="16">
        <v>20</v>
      </c>
      <c r="U36" s="16">
        <v>20</v>
      </c>
      <c r="V36" s="16">
        <v>20</v>
      </c>
      <c r="W36" s="16">
        <v>20</v>
      </c>
      <c r="X36" s="16">
        <v>20</v>
      </c>
      <c r="Y36" s="16">
        <v>0</v>
      </c>
      <c r="Z36" s="16">
        <v>0</v>
      </c>
      <c r="AA36" s="16">
        <v>25</v>
      </c>
      <c r="AB36" s="16">
        <v>25</v>
      </c>
      <c r="AC36" s="16">
        <v>25</v>
      </c>
      <c r="AD36" s="16">
        <v>100</v>
      </c>
      <c r="AE36" s="16">
        <v>100</v>
      </c>
      <c r="AF36" s="16">
        <v>100</v>
      </c>
      <c r="AG36" s="16">
        <v>100</v>
      </c>
      <c r="AH36" s="16">
        <v>100</v>
      </c>
      <c r="AI36" s="16">
        <v>50</v>
      </c>
      <c r="AJ36" s="16">
        <v>50</v>
      </c>
      <c r="AK36" s="16">
        <v>50</v>
      </c>
      <c r="AL36" s="16">
        <v>50</v>
      </c>
      <c r="AM36" s="16">
        <v>50</v>
      </c>
      <c r="AN36" s="16">
        <v>20</v>
      </c>
      <c r="AO36" s="16">
        <v>20</v>
      </c>
      <c r="AP36" s="16">
        <v>20</v>
      </c>
      <c r="AQ36" s="16">
        <v>20</v>
      </c>
      <c r="AR36" s="16">
        <v>20</v>
      </c>
      <c r="AS36" s="16">
        <v>0</v>
      </c>
      <c r="AT36" s="16">
        <v>0</v>
      </c>
      <c r="AU36" s="16">
        <v>25</v>
      </c>
      <c r="AV36" s="16">
        <v>25</v>
      </c>
      <c r="AW36" s="16">
        <v>25</v>
      </c>
      <c r="AX36" s="16">
        <v>100</v>
      </c>
      <c r="AY36" s="16">
        <v>100</v>
      </c>
      <c r="AZ36" s="16">
        <v>100</v>
      </c>
      <c r="BA36" s="16">
        <v>100</v>
      </c>
      <c r="BB36" s="16">
        <v>100</v>
      </c>
      <c r="BC36" s="16">
        <v>50</v>
      </c>
      <c r="BD36" s="16">
        <v>50</v>
      </c>
      <c r="BE36" s="16">
        <v>50</v>
      </c>
      <c r="BF36" s="16">
        <v>50</v>
      </c>
      <c r="BG36" s="16">
        <v>50</v>
      </c>
      <c r="BH36" s="16">
        <v>20</v>
      </c>
      <c r="BI36" s="16">
        <v>20</v>
      </c>
      <c r="BJ36" s="16">
        <v>20</v>
      </c>
      <c r="BK36" s="16">
        <v>20</v>
      </c>
      <c r="BL36" s="16">
        <v>20</v>
      </c>
      <c r="BM36" s="16" cm="1">
        <f t="array" ref="BM36">INDEX(_xlfn.ANCHORARRAY(_xlfn.XLOOKUP($D36,'-ref_Distribution'!$B$117:$B$121,'-ref_Distribution'!$G$117:$G$121)),RIGHT(BM$1,2))</f>
        <v>0</v>
      </c>
      <c r="BN36" s="16" cm="1">
        <f t="array" ref="BN36">INDEX(_xlfn.ANCHORARRAY(_xlfn.XLOOKUP($D36,'-ref_Distribution'!$B$117:$B$121,'-ref_Distribution'!$G$117:$G$121)),RIGHT(BN$1,2))</f>
        <v>5</v>
      </c>
      <c r="BO36" s="16" cm="1">
        <f t="array" ref="BO36">INDEX(_xlfn.ANCHORARRAY(_xlfn.XLOOKUP($D36,'-ref_Distribution'!$B$117:$B$121,'-ref_Distribution'!$G$117:$G$121)),RIGHT(BO$1,2))</f>
        <v>12</v>
      </c>
      <c r="BP36" s="16" cm="1">
        <f t="array" ref="BP36">INDEX(_xlfn.ANCHORARRAY(_xlfn.XLOOKUP($D36,'-ref_Distribution'!$B$117:$B$121,'-ref_Distribution'!$G$117:$G$121)),RIGHT(BP$1,2))</f>
        <v>16</v>
      </c>
      <c r="BQ36" s="16" cm="1">
        <f t="array" ref="BQ36">INDEX(_xlfn.ANCHORARRAY(_xlfn.XLOOKUP($D36,'-ref_Distribution'!$B$117:$B$121,'-ref_Distribution'!$G$117:$G$121)),RIGHT(BQ$1,2))</f>
        <v>19</v>
      </c>
      <c r="BR36" s="16" cm="1">
        <f t="array" ref="BR36">INDEX(_xlfn.ANCHORARRAY(_xlfn.XLOOKUP($D36,'-ref_Distribution'!$B$117:$B$121,'-ref_Distribution'!$G$117:$G$121)),RIGHT(BR$1,2))</f>
        <v>22</v>
      </c>
      <c r="BS36" s="16" cm="1">
        <f t="array" ref="BS36">INDEX(_xlfn.ANCHORARRAY(_xlfn.XLOOKUP($D36,'-ref_Distribution'!$B$117:$B$121,'-ref_Distribution'!$G$117:$G$121)),RIGHT(BS$1,2))</f>
        <v>23</v>
      </c>
      <c r="BT36" s="16" cm="1">
        <f t="array" ref="BT36">INDEX(_xlfn.ANCHORARRAY(_xlfn.XLOOKUP($D36,'-ref_Distribution'!$B$117:$B$121,'-ref_Distribution'!$G$117:$G$121)),RIGHT(BT$1,2))</f>
        <v>25</v>
      </c>
      <c r="BU36" s="16" cm="1">
        <f t="array" ref="BU36">INDEX(_xlfn.ANCHORARRAY(_xlfn.XLOOKUP($D36,'-ref_Distribution'!$B$117:$B$121,'-ref_Distribution'!$G$117:$G$121)),RIGHT(BU$1,2))</f>
        <v>26</v>
      </c>
      <c r="BV36" s="16" cm="1">
        <f t="array" ref="BV36">INDEX(_xlfn.ANCHORARRAY(_xlfn.XLOOKUP($D36,'-ref_Distribution'!$B$117:$B$121,'-ref_Distribution'!$G$117:$G$121)),RIGHT(BV$1,2))</f>
        <v>27</v>
      </c>
      <c r="BW36" s="16" cm="1">
        <f t="array" ref="BW36">INDEX(_xlfn.ANCHORARRAY(_xlfn.XLOOKUP($D36,'-ref_Distribution'!$B$117:$B$121,'-ref_Distribution'!$G$117:$G$121)),RIGHT(BW$1,2))</f>
        <v>27</v>
      </c>
      <c r="BX36" s="16" cm="1">
        <f t="array" ref="BX36">INDEX(_xlfn.ANCHORARRAY(_xlfn.XLOOKUP($D36,'-ref_Distribution'!$B$117:$B$121,'-ref_Distribution'!$G$117:$G$121)),RIGHT(BX$1,2))</f>
        <v>28</v>
      </c>
      <c r="BY36" s="16" cm="1">
        <f t="array" ref="BY36">INDEX(_xlfn.ANCHORARRAY(_xlfn.XLOOKUP($D36,'-ref_Distribution'!$B$117:$B$121,'-ref_Distribution'!$G$117:$G$121)),RIGHT(BY$1,2))</f>
        <v>29</v>
      </c>
      <c r="BZ36" s="16" cm="1">
        <f t="array" ref="BZ36">INDEX(_xlfn.ANCHORARRAY(_xlfn.XLOOKUP($D36,'-ref_Distribution'!$B$117:$B$121,'-ref_Distribution'!$G$117:$G$121)),RIGHT(BZ$1,2))</f>
        <v>29</v>
      </c>
      <c r="CA36" s="16" cm="1">
        <f t="array" ref="CA36">INDEX(_xlfn.ANCHORARRAY(_xlfn.XLOOKUP($D36,'-ref_Distribution'!$B$117:$B$121,'-ref_Distribution'!$G$117:$G$121)),RIGHT(CA$1,2))</f>
        <v>30</v>
      </c>
      <c r="CB36" s="16" cm="1">
        <f t="array" ref="CB36">INDEX(_xlfn.ANCHORARRAY(_xlfn.XLOOKUP($D36,'-ref_Distribution'!$B$117:$B$121,'-ref_Distribution'!$G$117:$G$121)),RIGHT(CB$1,2))</f>
        <v>30</v>
      </c>
      <c r="CC36" s="16" cm="1">
        <f t="array" ref="CC36">INDEX(_xlfn.ANCHORARRAY(_xlfn.XLOOKUP($D36,'-ref_Distribution'!$B$117:$B$121,'-ref_Distribution'!$G$117:$G$121)),RIGHT(CC$1,2))</f>
        <v>30</v>
      </c>
      <c r="CD36" s="16" cm="1">
        <f t="array" ref="CD36">INDEX(_xlfn.ANCHORARRAY(_xlfn.XLOOKUP($D36,'-ref_Distribution'!$B$117:$B$121,'-ref_Distribution'!$G$117:$G$121)),RIGHT(CD$1,2))</f>
        <v>30</v>
      </c>
      <c r="CE36" s="16" cm="1">
        <f t="array" ref="CE36">INDEX(_xlfn.ANCHORARRAY(_xlfn.XLOOKUP($D36,'-ref_Distribution'!$B$117:$B$121,'-ref_Distribution'!$G$117:$G$121)),RIGHT(CE$1,2))</f>
        <v>31</v>
      </c>
      <c r="CF36" s="16" cm="1">
        <f t="array" ref="CF36">INDEX(_xlfn.ANCHORARRAY(_xlfn.XLOOKUP($D36,'-ref_Distribution'!$B$117:$B$121,'-ref_Distribution'!$G$117:$G$121)),RIGHT(CF$1,2))</f>
        <v>31</v>
      </c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</row>
    <row r="37" spans="1:98" x14ac:dyDescent="0.2">
      <c r="A37" s="16">
        <v>13201023</v>
      </c>
      <c r="B37" s="17" t="s">
        <v>311</v>
      </c>
      <c r="C37" s="17" t="s">
        <v>428</v>
      </c>
      <c r="D37" s="16">
        <v>3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25</v>
      </c>
      <c r="K37" s="16">
        <v>25</v>
      </c>
      <c r="L37" s="16">
        <v>25</v>
      </c>
      <c r="M37" s="16">
        <v>25</v>
      </c>
      <c r="N37" s="16">
        <v>25</v>
      </c>
      <c r="O37" s="16">
        <v>100</v>
      </c>
      <c r="P37" s="16">
        <v>100</v>
      </c>
      <c r="Q37" s="16">
        <v>100</v>
      </c>
      <c r="R37" s="16">
        <v>100</v>
      </c>
      <c r="S37" s="16">
        <v>100</v>
      </c>
      <c r="T37" s="16">
        <v>70</v>
      </c>
      <c r="U37" s="16">
        <v>70</v>
      </c>
      <c r="V37" s="16">
        <v>70</v>
      </c>
      <c r="W37" s="16">
        <v>70</v>
      </c>
      <c r="X37" s="16">
        <v>70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25</v>
      </c>
      <c r="AE37" s="16">
        <v>25</v>
      </c>
      <c r="AF37" s="16">
        <v>25</v>
      </c>
      <c r="AG37" s="16">
        <v>25</v>
      </c>
      <c r="AH37" s="16">
        <v>25</v>
      </c>
      <c r="AI37" s="16">
        <v>100</v>
      </c>
      <c r="AJ37" s="16">
        <v>100</v>
      </c>
      <c r="AK37" s="16">
        <v>100</v>
      </c>
      <c r="AL37" s="16">
        <v>100</v>
      </c>
      <c r="AM37" s="16">
        <v>100</v>
      </c>
      <c r="AN37" s="16">
        <v>70</v>
      </c>
      <c r="AO37" s="16">
        <v>70</v>
      </c>
      <c r="AP37" s="16">
        <v>70</v>
      </c>
      <c r="AQ37" s="16">
        <v>70</v>
      </c>
      <c r="AR37" s="16">
        <v>70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25</v>
      </c>
      <c r="AY37" s="16">
        <v>25</v>
      </c>
      <c r="AZ37" s="16">
        <v>25</v>
      </c>
      <c r="BA37" s="16">
        <v>25</v>
      </c>
      <c r="BB37" s="16">
        <v>25</v>
      </c>
      <c r="BC37" s="16">
        <v>100</v>
      </c>
      <c r="BD37" s="16">
        <v>100</v>
      </c>
      <c r="BE37" s="16">
        <v>100</v>
      </c>
      <c r="BF37" s="16">
        <v>100</v>
      </c>
      <c r="BG37" s="16">
        <v>100</v>
      </c>
      <c r="BH37" s="16">
        <v>70</v>
      </c>
      <c r="BI37" s="16">
        <v>70</v>
      </c>
      <c r="BJ37" s="16">
        <v>70</v>
      </c>
      <c r="BK37" s="16">
        <v>70</v>
      </c>
      <c r="BL37" s="16">
        <v>70</v>
      </c>
      <c r="BM37" s="16" cm="1">
        <f t="array" ref="BM37">INDEX(_xlfn.ANCHORARRAY(_xlfn.XLOOKUP($D37,'-ref_Distribution'!$B$117:$B$121,'-ref_Distribution'!$G$117:$G$121)),RIGHT(BM$1,2))</f>
        <v>0</v>
      </c>
      <c r="BN37" s="16" cm="1">
        <f t="array" ref="BN37">INDEX(_xlfn.ANCHORARRAY(_xlfn.XLOOKUP($D37,'-ref_Distribution'!$B$117:$B$121,'-ref_Distribution'!$G$117:$G$121)),RIGHT(BN$1,2))</f>
        <v>0</v>
      </c>
      <c r="BO37" s="16" cm="1">
        <f t="array" ref="BO37">INDEX(_xlfn.ANCHORARRAY(_xlfn.XLOOKUP($D37,'-ref_Distribution'!$B$117:$B$121,'-ref_Distribution'!$G$117:$G$121)),RIGHT(BO$1,2))</f>
        <v>1</v>
      </c>
      <c r="BP37" s="16" cm="1">
        <f t="array" ref="BP37">INDEX(_xlfn.ANCHORARRAY(_xlfn.XLOOKUP($D37,'-ref_Distribution'!$B$117:$B$121,'-ref_Distribution'!$G$117:$G$121)),RIGHT(BP$1,2))</f>
        <v>3</v>
      </c>
      <c r="BQ37" s="16" cm="1">
        <f t="array" ref="BQ37">INDEX(_xlfn.ANCHORARRAY(_xlfn.XLOOKUP($D37,'-ref_Distribution'!$B$117:$B$121,'-ref_Distribution'!$G$117:$G$121)),RIGHT(BQ$1,2))</f>
        <v>6</v>
      </c>
      <c r="BR37" s="16" cm="1">
        <f t="array" ref="BR37">INDEX(_xlfn.ANCHORARRAY(_xlfn.XLOOKUP($D37,'-ref_Distribution'!$B$117:$B$121,'-ref_Distribution'!$G$117:$G$121)),RIGHT(BR$1,2))</f>
        <v>8</v>
      </c>
      <c r="BS37" s="16" cm="1">
        <f t="array" ref="BS37">INDEX(_xlfn.ANCHORARRAY(_xlfn.XLOOKUP($D37,'-ref_Distribution'!$B$117:$B$121,'-ref_Distribution'!$G$117:$G$121)),RIGHT(BS$1,2))</f>
        <v>9</v>
      </c>
      <c r="BT37" s="16" cm="1">
        <f t="array" ref="BT37">INDEX(_xlfn.ANCHORARRAY(_xlfn.XLOOKUP($D37,'-ref_Distribution'!$B$117:$B$121,'-ref_Distribution'!$G$117:$G$121)),RIGHT(BT$1,2))</f>
        <v>10</v>
      </c>
      <c r="BU37" s="16" cm="1">
        <f t="array" ref="BU37">INDEX(_xlfn.ANCHORARRAY(_xlfn.XLOOKUP($D37,'-ref_Distribution'!$B$117:$B$121,'-ref_Distribution'!$G$117:$G$121)),RIGHT(BU$1,2))</f>
        <v>11</v>
      </c>
      <c r="BV37" s="16" cm="1">
        <f t="array" ref="BV37">INDEX(_xlfn.ANCHORARRAY(_xlfn.XLOOKUP($D37,'-ref_Distribution'!$B$117:$B$121,'-ref_Distribution'!$G$117:$G$121)),RIGHT(BV$1,2))</f>
        <v>12</v>
      </c>
      <c r="BW37" s="16" cm="1">
        <f t="array" ref="BW37">INDEX(_xlfn.ANCHORARRAY(_xlfn.XLOOKUP($D37,'-ref_Distribution'!$B$117:$B$121,'-ref_Distribution'!$G$117:$G$121)),RIGHT(BW$1,2))</f>
        <v>13</v>
      </c>
      <c r="BX37" s="16" cm="1">
        <f t="array" ref="BX37">INDEX(_xlfn.ANCHORARRAY(_xlfn.XLOOKUP($D37,'-ref_Distribution'!$B$117:$B$121,'-ref_Distribution'!$G$117:$G$121)),RIGHT(BX$1,2))</f>
        <v>14</v>
      </c>
      <c r="BY37" s="16" cm="1">
        <f t="array" ref="BY37">INDEX(_xlfn.ANCHORARRAY(_xlfn.XLOOKUP($D37,'-ref_Distribution'!$B$117:$B$121,'-ref_Distribution'!$G$117:$G$121)),RIGHT(BY$1,2))</f>
        <v>14</v>
      </c>
      <c r="BZ37" s="16" cm="1">
        <f t="array" ref="BZ37">INDEX(_xlfn.ANCHORARRAY(_xlfn.XLOOKUP($D37,'-ref_Distribution'!$B$117:$B$121,'-ref_Distribution'!$G$117:$G$121)),RIGHT(BZ$1,2))</f>
        <v>15</v>
      </c>
      <c r="CA37" s="16" cm="1">
        <f t="array" ref="CA37">INDEX(_xlfn.ANCHORARRAY(_xlfn.XLOOKUP($D37,'-ref_Distribution'!$B$117:$B$121,'-ref_Distribution'!$G$117:$G$121)),RIGHT(CA$1,2))</f>
        <v>15</v>
      </c>
      <c r="CB37" s="16" cm="1">
        <f t="array" ref="CB37">INDEX(_xlfn.ANCHORARRAY(_xlfn.XLOOKUP($D37,'-ref_Distribution'!$B$117:$B$121,'-ref_Distribution'!$G$117:$G$121)),RIGHT(CB$1,2))</f>
        <v>16</v>
      </c>
      <c r="CC37" s="16" cm="1">
        <f t="array" ref="CC37">INDEX(_xlfn.ANCHORARRAY(_xlfn.XLOOKUP($D37,'-ref_Distribution'!$B$117:$B$121,'-ref_Distribution'!$G$117:$G$121)),RIGHT(CC$1,2))</f>
        <v>16</v>
      </c>
      <c r="CD37" s="16" cm="1">
        <f t="array" ref="CD37">INDEX(_xlfn.ANCHORARRAY(_xlfn.XLOOKUP($D37,'-ref_Distribution'!$B$117:$B$121,'-ref_Distribution'!$G$117:$G$121)),RIGHT(CD$1,2))</f>
        <v>17</v>
      </c>
      <c r="CE37" s="16" cm="1">
        <f t="array" ref="CE37">INDEX(_xlfn.ANCHORARRAY(_xlfn.XLOOKUP($D37,'-ref_Distribution'!$B$117:$B$121,'-ref_Distribution'!$G$117:$G$121)),RIGHT(CE$1,2))</f>
        <v>17</v>
      </c>
      <c r="CF37" s="16" cm="1">
        <f t="array" ref="CF37">INDEX(_xlfn.ANCHORARRAY(_xlfn.XLOOKUP($D37,'-ref_Distribution'!$B$117:$B$121,'-ref_Distribution'!$G$117:$G$121)),RIGHT(CF$1,2))</f>
        <v>17</v>
      </c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</row>
    <row r="38" spans="1:98" x14ac:dyDescent="0.2">
      <c r="A38" s="16">
        <v>1320103</v>
      </c>
      <c r="B38" s="17" t="s">
        <v>329</v>
      </c>
      <c r="C38" s="17" t="s">
        <v>428</v>
      </c>
      <c r="D38" s="17" t="s">
        <v>424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</row>
    <row r="39" spans="1:98" x14ac:dyDescent="0.2">
      <c r="A39" s="16">
        <v>13201030</v>
      </c>
      <c r="B39" s="17" t="s">
        <v>323</v>
      </c>
      <c r="C39" s="17" t="s">
        <v>428</v>
      </c>
      <c r="D39" s="16">
        <v>0</v>
      </c>
      <c r="E39" s="16">
        <v>100</v>
      </c>
      <c r="F39" s="16">
        <v>100</v>
      </c>
      <c r="G39" s="16">
        <v>50</v>
      </c>
      <c r="H39" s="16">
        <v>50</v>
      </c>
      <c r="I39" s="16">
        <v>50</v>
      </c>
      <c r="J39" s="16">
        <v>10</v>
      </c>
      <c r="K39" s="16">
        <v>10</v>
      </c>
      <c r="L39" s="16">
        <v>10</v>
      </c>
      <c r="M39" s="16">
        <v>10</v>
      </c>
      <c r="N39" s="16">
        <v>10</v>
      </c>
      <c r="O39" s="16">
        <v>5</v>
      </c>
      <c r="P39" s="16">
        <v>5</v>
      </c>
      <c r="Q39" s="16">
        <v>5</v>
      </c>
      <c r="R39" s="16">
        <v>5</v>
      </c>
      <c r="S39" s="16">
        <v>5</v>
      </c>
      <c r="T39" s="16">
        <v>3</v>
      </c>
      <c r="U39" s="16">
        <v>3</v>
      </c>
      <c r="V39" s="16">
        <v>3</v>
      </c>
      <c r="W39" s="16">
        <v>3</v>
      </c>
      <c r="X39" s="16">
        <v>3</v>
      </c>
      <c r="Y39" s="16">
        <v>100</v>
      </c>
      <c r="Z39" s="16">
        <v>100</v>
      </c>
      <c r="AA39" s="16">
        <v>50</v>
      </c>
      <c r="AB39" s="16">
        <v>50</v>
      </c>
      <c r="AC39" s="16">
        <v>50</v>
      </c>
      <c r="AD39" s="16">
        <v>10</v>
      </c>
      <c r="AE39" s="16">
        <v>10</v>
      </c>
      <c r="AF39" s="16">
        <v>10</v>
      </c>
      <c r="AG39" s="16">
        <v>10</v>
      </c>
      <c r="AH39" s="16">
        <v>10</v>
      </c>
      <c r="AI39" s="16">
        <v>5</v>
      </c>
      <c r="AJ39" s="16">
        <v>5</v>
      </c>
      <c r="AK39" s="16">
        <v>5</v>
      </c>
      <c r="AL39" s="16">
        <v>5</v>
      </c>
      <c r="AM39" s="16">
        <v>5</v>
      </c>
      <c r="AN39" s="16">
        <v>3</v>
      </c>
      <c r="AO39" s="16">
        <v>3</v>
      </c>
      <c r="AP39" s="16">
        <v>3</v>
      </c>
      <c r="AQ39" s="16">
        <v>3</v>
      </c>
      <c r="AR39" s="16">
        <v>3</v>
      </c>
      <c r="AS39" s="16">
        <v>100</v>
      </c>
      <c r="AT39" s="16">
        <v>100</v>
      </c>
      <c r="AU39" s="16">
        <v>50</v>
      </c>
      <c r="AV39" s="16">
        <v>50</v>
      </c>
      <c r="AW39" s="16">
        <v>50</v>
      </c>
      <c r="AX39" s="16">
        <v>10</v>
      </c>
      <c r="AY39" s="16">
        <v>10</v>
      </c>
      <c r="AZ39" s="16">
        <v>10</v>
      </c>
      <c r="BA39" s="16">
        <v>10</v>
      </c>
      <c r="BB39" s="16">
        <v>10</v>
      </c>
      <c r="BC39" s="16">
        <v>5</v>
      </c>
      <c r="BD39" s="16">
        <v>5</v>
      </c>
      <c r="BE39" s="16">
        <v>5</v>
      </c>
      <c r="BF39" s="16">
        <v>5</v>
      </c>
      <c r="BG39" s="16">
        <v>5</v>
      </c>
      <c r="BH39" s="16">
        <v>3</v>
      </c>
      <c r="BI39" s="16">
        <v>3</v>
      </c>
      <c r="BJ39" s="16">
        <v>3</v>
      </c>
      <c r="BK39" s="16">
        <v>3</v>
      </c>
      <c r="BL39" s="16">
        <v>3</v>
      </c>
      <c r="BM39" s="16" cm="1">
        <f t="array" ref="BM39">INDEX(_xlfn.ANCHORARRAY(_xlfn.XLOOKUP($D39,'-ref_Distribution'!$B$117:$B$121,'-ref_Distribution'!$G$117:$G$121)),RIGHT(BM$1,2))</f>
        <v>130</v>
      </c>
      <c r="BN39" s="16" cm="1">
        <f t="array" ref="BN39">INDEX(_xlfn.ANCHORARRAY(_xlfn.XLOOKUP($D39,'-ref_Distribution'!$B$117:$B$121,'-ref_Distribution'!$G$117:$G$121)),RIGHT(BN$1,2))</f>
        <v>84</v>
      </c>
      <c r="BO39" s="16" cm="1">
        <f t="array" ref="BO39">INDEX(_xlfn.ANCHORARRAY(_xlfn.XLOOKUP($D39,'-ref_Distribution'!$B$117:$B$121,'-ref_Distribution'!$G$117:$G$121)),RIGHT(BO$1,2))</f>
        <v>65</v>
      </c>
      <c r="BP39" s="16" cm="1">
        <f t="array" ref="BP39">INDEX(_xlfn.ANCHORARRAY(_xlfn.XLOOKUP($D39,'-ref_Distribution'!$B$117:$B$121,'-ref_Distribution'!$G$117:$G$121)),RIGHT(BP$1,2))</f>
        <v>54</v>
      </c>
      <c r="BQ39" s="16" cm="1">
        <f t="array" ref="BQ39">INDEX(_xlfn.ANCHORARRAY(_xlfn.XLOOKUP($D39,'-ref_Distribution'!$B$117:$B$121,'-ref_Distribution'!$G$117:$G$121)),RIGHT(BQ$1,2))</f>
        <v>47</v>
      </c>
      <c r="BR39" s="16" cm="1">
        <f t="array" ref="BR39">INDEX(_xlfn.ANCHORARRAY(_xlfn.XLOOKUP($D39,'-ref_Distribution'!$B$117:$B$121,'-ref_Distribution'!$G$117:$G$121)),RIGHT(BR$1,2))</f>
        <v>41</v>
      </c>
      <c r="BS39" s="16" cm="1">
        <f t="array" ref="BS39">INDEX(_xlfn.ANCHORARRAY(_xlfn.XLOOKUP($D39,'-ref_Distribution'!$B$117:$B$121,'-ref_Distribution'!$G$117:$G$121)),RIGHT(BS$1,2))</f>
        <v>38</v>
      </c>
      <c r="BT39" s="16" cm="1">
        <f t="array" ref="BT39">INDEX(_xlfn.ANCHORARRAY(_xlfn.XLOOKUP($D39,'-ref_Distribution'!$B$117:$B$121,'-ref_Distribution'!$G$117:$G$121)),RIGHT(BT$1,2))</f>
        <v>34</v>
      </c>
      <c r="BU39" s="16" cm="1">
        <f t="array" ref="BU39">INDEX(_xlfn.ANCHORARRAY(_xlfn.XLOOKUP($D39,'-ref_Distribution'!$B$117:$B$121,'-ref_Distribution'!$G$117:$G$121)),RIGHT(BU$1,2))</f>
        <v>32</v>
      </c>
      <c r="BV39" s="16" cm="1">
        <f t="array" ref="BV39">INDEX(_xlfn.ANCHORARRAY(_xlfn.XLOOKUP($D39,'-ref_Distribution'!$B$117:$B$121,'-ref_Distribution'!$G$117:$G$121)),RIGHT(BV$1,2))</f>
        <v>30</v>
      </c>
      <c r="BW39" s="16" cm="1">
        <f t="array" ref="BW39">INDEX(_xlfn.ANCHORARRAY(_xlfn.XLOOKUP($D39,'-ref_Distribution'!$B$117:$B$121,'-ref_Distribution'!$G$117:$G$121)),RIGHT(BW$1,2))</f>
        <v>28</v>
      </c>
      <c r="BX39" s="16" cm="1">
        <f t="array" ref="BX39">INDEX(_xlfn.ANCHORARRAY(_xlfn.XLOOKUP($D39,'-ref_Distribution'!$B$117:$B$121,'-ref_Distribution'!$G$117:$G$121)),RIGHT(BX$1,2))</f>
        <v>26</v>
      </c>
      <c r="BY39" s="16" cm="1">
        <f t="array" ref="BY39">INDEX(_xlfn.ANCHORARRAY(_xlfn.XLOOKUP($D39,'-ref_Distribution'!$B$117:$B$121,'-ref_Distribution'!$G$117:$G$121)),RIGHT(BY$1,2))</f>
        <v>25</v>
      </c>
      <c r="BZ39" s="16" cm="1">
        <f t="array" ref="BZ39">INDEX(_xlfn.ANCHORARRAY(_xlfn.XLOOKUP($D39,'-ref_Distribution'!$B$117:$B$121,'-ref_Distribution'!$G$117:$G$121)),RIGHT(BZ$1,2))</f>
        <v>24</v>
      </c>
      <c r="CA39" s="16" cm="1">
        <f t="array" ref="CA39">INDEX(_xlfn.ANCHORARRAY(_xlfn.XLOOKUP($D39,'-ref_Distribution'!$B$117:$B$121,'-ref_Distribution'!$G$117:$G$121)),RIGHT(CA$1,2))</f>
        <v>23</v>
      </c>
      <c r="CB39" s="16" cm="1">
        <f t="array" ref="CB39">INDEX(_xlfn.ANCHORARRAY(_xlfn.XLOOKUP($D39,'-ref_Distribution'!$B$117:$B$121,'-ref_Distribution'!$G$117:$G$121)),RIGHT(CB$1,2))</f>
        <v>22</v>
      </c>
      <c r="CC39" s="16" cm="1">
        <f t="array" ref="CC39">INDEX(_xlfn.ANCHORARRAY(_xlfn.XLOOKUP($D39,'-ref_Distribution'!$B$117:$B$121,'-ref_Distribution'!$G$117:$G$121)),RIGHT(CC$1,2))</f>
        <v>21</v>
      </c>
      <c r="CD39" s="16" cm="1">
        <f t="array" ref="CD39">INDEX(_xlfn.ANCHORARRAY(_xlfn.XLOOKUP($D39,'-ref_Distribution'!$B$117:$B$121,'-ref_Distribution'!$G$117:$G$121)),RIGHT(CD$1,2))</f>
        <v>20</v>
      </c>
      <c r="CE39" s="16" cm="1">
        <f t="array" ref="CE39">INDEX(_xlfn.ANCHORARRAY(_xlfn.XLOOKUP($D39,'-ref_Distribution'!$B$117:$B$121,'-ref_Distribution'!$G$117:$G$121)),RIGHT(CE$1,2))</f>
        <v>19</v>
      </c>
      <c r="CF39" s="16" cm="1">
        <f t="array" ref="CF39">INDEX(_xlfn.ANCHORARRAY(_xlfn.XLOOKUP($D39,'-ref_Distribution'!$B$117:$B$121,'-ref_Distribution'!$G$117:$G$121)),RIGHT(CF$1,2))</f>
        <v>18</v>
      </c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</row>
    <row r="40" spans="1:98" x14ac:dyDescent="0.2">
      <c r="A40" s="16">
        <v>13201031</v>
      </c>
      <c r="B40" s="17" t="s">
        <v>324</v>
      </c>
      <c r="C40" s="17" t="s">
        <v>428</v>
      </c>
      <c r="D40" s="16">
        <v>1</v>
      </c>
      <c r="E40" s="16">
        <v>25</v>
      </c>
      <c r="F40" s="16">
        <v>25</v>
      </c>
      <c r="G40" s="16">
        <v>100</v>
      </c>
      <c r="H40" s="16">
        <v>100</v>
      </c>
      <c r="I40" s="16">
        <v>100</v>
      </c>
      <c r="J40" s="16">
        <v>50</v>
      </c>
      <c r="K40" s="16">
        <v>50</v>
      </c>
      <c r="L40" s="16">
        <v>50</v>
      </c>
      <c r="M40" s="16">
        <v>50</v>
      </c>
      <c r="N40" s="16">
        <v>50</v>
      </c>
      <c r="O40" s="16">
        <v>20</v>
      </c>
      <c r="P40" s="16">
        <v>20</v>
      </c>
      <c r="Q40" s="16">
        <v>20</v>
      </c>
      <c r="R40" s="16">
        <v>20</v>
      </c>
      <c r="S40" s="16">
        <v>20</v>
      </c>
      <c r="T40" s="16">
        <v>10</v>
      </c>
      <c r="U40" s="16">
        <v>10</v>
      </c>
      <c r="V40" s="16">
        <v>10</v>
      </c>
      <c r="W40" s="16">
        <v>10</v>
      </c>
      <c r="X40" s="16">
        <v>10</v>
      </c>
      <c r="Y40" s="16">
        <v>25</v>
      </c>
      <c r="Z40" s="16">
        <v>25</v>
      </c>
      <c r="AA40" s="16">
        <v>100</v>
      </c>
      <c r="AB40" s="16">
        <v>100</v>
      </c>
      <c r="AC40" s="16">
        <v>100</v>
      </c>
      <c r="AD40" s="16">
        <v>50</v>
      </c>
      <c r="AE40" s="16">
        <v>50</v>
      </c>
      <c r="AF40" s="16">
        <v>50</v>
      </c>
      <c r="AG40" s="16">
        <v>50</v>
      </c>
      <c r="AH40" s="16">
        <v>50</v>
      </c>
      <c r="AI40" s="16">
        <v>20</v>
      </c>
      <c r="AJ40" s="16">
        <v>20</v>
      </c>
      <c r="AK40" s="16">
        <v>20</v>
      </c>
      <c r="AL40" s="16">
        <v>20</v>
      </c>
      <c r="AM40" s="16">
        <v>20</v>
      </c>
      <c r="AN40" s="16">
        <v>10</v>
      </c>
      <c r="AO40" s="16">
        <v>10</v>
      </c>
      <c r="AP40" s="16">
        <v>10</v>
      </c>
      <c r="AQ40" s="16">
        <v>10</v>
      </c>
      <c r="AR40" s="16">
        <v>10</v>
      </c>
      <c r="AS40" s="16">
        <v>25</v>
      </c>
      <c r="AT40" s="16">
        <v>25</v>
      </c>
      <c r="AU40" s="16">
        <v>100</v>
      </c>
      <c r="AV40" s="16">
        <v>100</v>
      </c>
      <c r="AW40" s="16">
        <v>100</v>
      </c>
      <c r="AX40" s="16">
        <v>50</v>
      </c>
      <c r="AY40" s="16">
        <v>50</v>
      </c>
      <c r="AZ40" s="16">
        <v>50</v>
      </c>
      <c r="BA40" s="16">
        <v>50</v>
      </c>
      <c r="BB40" s="16">
        <v>50</v>
      </c>
      <c r="BC40" s="16">
        <v>20</v>
      </c>
      <c r="BD40" s="16">
        <v>20</v>
      </c>
      <c r="BE40" s="16">
        <v>20</v>
      </c>
      <c r="BF40" s="16">
        <v>20</v>
      </c>
      <c r="BG40" s="16">
        <v>20</v>
      </c>
      <c r="BH40" s="16">
        <v>10</v>
      </c>
      <c r="BI40" s="16">
        <v>10</v>
      </c>
      <c r="BJ40" s="16">
        <v>10</v>
      </c>
      <c r="BK40" s="16">
        <v>10</v>
      </c>
      <c r="BL40" s="16">
        <v>10</v>
      </c>
      <c r="BM40" s="16" cm="1">
        <f t="array" ref="BM40">INDEX(_xlfn.ANCHORARRAY(_xlfn.XLOOKUP($D40,'-ref_Distribution'!$B$117:$B$121,'-ref_Distribution'!$G$117:$G$121)),RIGHT(BM$1,2))</f>
        <v>78</v>
      </c>
      <c r="BN40" s="16" cm="1">
        <f t="array" ref="BN40">INDEX(_xlfn.ANCHORARRAY(_xlfn.XLOOKUP($D40,'-ref_Distribution'!$B$117:$B$121,'-ref_Distribution'!$G$117:$G$121)),RIGHT(BN$1,2))</f>
        <v>72</v>
      </c>
      <c r="BO40" s="16" cm="1">
        <f t="array" ref="BO40">INDEX(_xlfn.ANCHORARRAY(_xlfn.XLOOKUP($D40,'-ref_Distribution'!$B$117:$B$121,'-ref_Distribution'!$G$117:$G$121)),RIGHT(BO$1,2))</f>
        <v>66</v>
      </c>
      <c r="BP40" s="16" cm="1">
        <f t="array" ref="BP40">INDEX(_xlfn.ANCHORARRAY(_xlfn.XLOOKUP($D40,'-ref_Distribution'!$B$117:$B$121,'-ref_Distribution'!$G$117:$G$121)),RIGHT(BP$1,2))</f>
        <v>61</v>
      </c>
      <c r="BQ40" s="16" cm="1">
        <f t="array" ref="BQ40">INDEX(_xlfn.ANCHORARRAY(_xlfn.XLOOKUP($D40,'-ref_Distribution'!$B$117:$B$121,'-ref_Distribution'!$G$117:$G$121)),RIGHT(BQ$1,2))</f>
        <v>58</v>
      </c>
      <c r="BR40" s="16" cm="1">
        <f t="array" ref="BR40">INDEX(_xlfn.ANCHORARRAY(_xlfn.XLOOKUP($D40,'-ref_Distribution'!$B$117:$B$121,'-ref_Distribution'!$G$117:$G$121)),RIGHT(BR$1,2))</f>
        <v>55</v>
      </c>
      <c r="BS40" s="16" cm="1">
        <f t="array" ref="BS40">INDEX(_xlfn.ANCHORARRAY(_xlfn.XLOOKUP($D40,'-ref_Distribution'!$B$117:$B$121,'-ref_Distribution'!$G$117:$G$121)),RIGHT(BS$1,2))</f>
        <v>52</v>
      </c>
      <c r="BT40" s="16" cm="1">
        <f t="array" ref="BT40">INDEX(_xlfn.ANCHORARRAY(_xlfn.XLOOKUP($D40,'-ref_Distribution'!$B$117:$B$121,'-ref_Distribution'!$G$117:$G$121)),RIGHT(BT$1,2))</f>
        <v>50</v>
      </c>
      <c r="BU40" s="16" cm="1">
        <f t="array" ref="BU40">INDEX(_xlfn.ANCHORARRAY(_xlfn.XLOOKUP($D40,'-ref_Distribution'!$B$117:$B$121,'-ref_Distribution'!$G$117:$G$121)),RIGHT(BU$1,2))</f>
        <v>48</v>
      </c>
      <c r="BV40" s="16" cm="1">
        <f t="array" ref="BV40">INDEX(_xlfn.ANCHORARRAY(_xlfn.XLOOKUP($D40,'-ref_Distribution'!$B$117:$B$121,'-ref_Distribution'!$G$117:$G$121)),RIGHT(BV$1,2))</f>
        <v>47</v>
      </c>
      <c r="BW40" s="16" cm="1">
        <f t="array" ref="BW40">INDEX(_xlfn.ANCHORARRAY(_xlfn.XLOOKUP($D40,'-ref_Distribution'!$B$117:$B$121,'-ref_Distribution'!$G$117:$G$121)),RIGHT(BW$1,2))</f>
        <v>46</v>
      </c>
      <c r="BX40" s="16" cm="1">
        <f t="array" ref="BX40">INDEX(_xlfn.ANCHORARRAY(_xlfn.XLOOKUP($D40,'-ref_Distribution'!$B$117:$B$121,'-ref_Distribution'!$G$117:$G$121)),RIGHT(BX$1,2))</f>
        <v>44</v>
      </c>
      <c r="BY40" s="16" cm="1">
        <f t="array" ref="BY40">INDEX(_xlfn.ANCHORARRAY(_xlfn.XLOOKUP($D40,'-ref_Distribution'!$B$117:$B$121,'-ref_Distribution'!$G$117:$G$121)),RIGHT(BY$1,2))</f>
        <v>43</v>
      </c>
      <c r="BZ40" s="16" cm="1">
        <f t="array" ref="BZ40">INDEX(_xlfn.ANCHORARRAY(_xlfn.XLOOKUP($D40,'-ref_Distribution'!$B$117:$B$121,'-ref_Distribution'!$G$117:$G$121)),RIGHT(BZ$1,2))</f>
        <v>42</v>
      </c>
      <c r="CA40" s="16" cm="1">
        <f t="array" ref="CA40">INDEX(_xlfn.ANCHORARRAY(_xlfn.XLOOKUP($D40,'-ref_Distribution'!$B$117:$B$121,'-ref_Distribution'!$G$117:$G$121)),RIGHT(CA$1,2))</f>
        <v>41</v>
      </c>
      <c r="CB40" s="16" cm="1">
        <f t="array" ref="CB40">INDEX(_xlfn.ANCHORARRAY(_xlfn.XLOOKUP($D40,'-ref_Distribution'!$B$117:$B$121,'-ref_Distribution'!$G$117:$G$121)),RIGHT(CB$1,2))</f>
        <v>40</v>
      </c>
      <c r="CC40" s="16" cm="1">
        <f t="array" ref="CC40">INDEX(_xlfn.ANCHORARRAY(_xlfn.XLOOKUP($D40,'-ref_Distribution'!$B$117:$B$121,'-ref_Distribution'!$G$117:$G$121)),RIGHT(CC$1,2))</f>
        <v>40</v>
      </c>
      <c r="CD40" s="16" cm="1">
        <f t="array" ref="CD40">INDEX(_xlfn.ANCHORARRAY(_xlfn.XLOOKUP($D40,'-ref_Distribution'!$B$117:$B$121,'-ref_Distribution'!$G$117:$G$121)),RIGHT(CD$1,2))</f>
        <v>39</v>
      </c>
      <c r="CE40" s="16" cm="1">
        <f t="array" ref="CE40">INDEX(_xlfn.ANCHORARRAY(_xlfn.XLOOKUP($D40,'-ref_Distribution'!$B$117:$B$121,'-ref_Distribution'!$G$117:$G$121)),RIGHT(CE$1,2))</f>
        <v>38</v>
      </c>
      <c r="CF40" s="16" cm="1">
        <f t="array" ref="CF40">INDEX(_xlfn.ANCHORARRAY(_xlfn.XLOOKUP($D40,'-ref_Distribution'!$B$117:$B$121,'-ref_Distribution'!$G$117:$G$121)),RIGHT(CF$1,2))</f>
        <v>38</v>
      </c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</row>
    <row r="41" spans="1:98" x14ac:dyDescent="0.2">
      <c r="A41" s="16">
        <v>13201032</v>
      </c>
      <c r="B41" s="17" t="s">
        <v>325</v>
      </c>
      <c r="C41" s="17" t="s">
        <v>428</v>
      </c>
      <c r="D41" s="16">
        <v>2</v>
      </c>
      <c r="E41" s="16">
        <v>0</v>
      </c>
      <c r="F41" s="16">
        <v>0</v>
      </c>
      <c r="G41" s="16">
        <v>25</v>
      </c>
      <c r="H41" s="16">
        <v>25</v>
      </c>
      <c r="I41" s="16">
        <v>25</v>
      </c>
      <c r="J41" s="16">
        <v>100</v>
      </c>
      <c r="K41" s="16">
        <v>100</v>
      </c>
      <c r="L41" s="16">
        <v>100</v>
      </c>
      <c r="M41" s="16">
        <v>100</v>
      </c>
      <c r="N41" s="16">
        <v>100</v>
      </c>
      <c r="O41" s="16">
        <v>50</v>
      </c>
      <c r="P41" s="16">
        <v>50</v>
      </c>
      <c r="Q41" s="16">
        <v>50</v>
      </c>
      <c r="R41" s="16">
        <v>50</v>
      </c>
      <c r="S41" s="16">
        <v>50</v>
      </c>
      <c r="T41" s="16">
        <v>20</v>
      </c>
      <c r="U41" s="16">
        <v>20</v>
      </c>
      <c r="V41" s="16">
        <v>20</v>
      </c>
      <c r="W41" s="16">
        <v>20</v>
      </c>
      <c r="X41" s="16">
        <v>20</v>
      </c>
      <c r="Y41" s="16">
        <v>0</v>
      </c>
      <c r="Z41" s="16">
        <v>0</v>
      </c>
      <c r="AA41" s="16">
        <v>25</v>
      </c>
      <c r="AB41" s="16">
        <v>25</v>
      </c>
      <c r="AC41" s="16">
        <v>25</v>
      </c>
      <c r="AD41" s="16">
        <v>100</v>
      </c>
      <c r="AE41" s="16">
        <v>100</v>
      </c>
      <c r="AF41" s="16">
        <v>100</v>
      </c>
      <c r="AG41" s="16">
        <v>100</v>
      </c>
      <c r="AH41" s="16">
        <v>100</v>
      </c>
      <c r="AI41" s="16">
        <v>50</v>
      </c>
      <c r="AJ41" s="16">
        <v>50</v>
      </c>
      <c r="AK41" s="16">
        <v>50</v>
      </c>
      <c r="AL41" s="16">
        <v>50</v>
      </c>
      <c r="AM41" s="16">
        <v>50</v>
      </c>
      <c r="AN41" s="16">
        <v>20</v>
      </c>
      <c r="AO41" s="16">
        <v>20</v>
      </c>
      <c r="AP41" s="16">
        <v>20</v>
      </c>
      <c r="AQ41" s="16">
        <v>20</v>
      </c>
      <c r="AR41" s="16">
        <v>20</v>
      </c>
      <c r="AS41" s="16">
        <v>0</v>
      </c>
      <c r="AT41" s="16">
        <v>0</v>
      </c>
      <c r="AU41" s="16">
        <v>25</v>
      </c>
      <c r="AV41" s="16">
        <v>25</v>
      </c>
      <c r="AW41" s="16">
        <v>25</v>
      </c>
      <c r="AX41" s="16">
        <v>100</v>
      </c>
      <c r="AY41" s="16">
        <v>100</v>
      </c>
      <c r="AZ41" s="16">
        <v>100</v>
      </c>
      <c r="BA41" s="16">
        <v>100</v>
      </c>
      <c r="BB41" s="16">
        <v>100</v>
      </c>
      <c r="BC41" s="16">
        <v>50</v>
      </c>
      <c r="BD41" s="16">
        <v>50</v>
      </c>
      <c r="BE41" s="16">
        <v>50</v>
      </c>
      <c r="BF41" s="16">
        <v>50</v>
      </c>
      <c r="BG41" s="16">
        <v>50</v>
      </c>
      <c r="BH41" s="16">
        <v>20</v>
      </c>
      <c r="BI41" s="16">
        <v>20</v>
      </c>
      <c r="BJ41" s="16">
        <v>20</v>
      </c>
      <c r="BK41" s="16">
        <v>20</v>
      </c>
      <c r="BL41" s="16">
        <v>20</v>
      </c>
      <c r="BM41" s="16" cm="1">
        <f t="array" ref="BM41">INDEX(_xlfn.ANCHORARRAY(_xlfn.XLOOKUP($D41,'-ref_Distribution'!$B$117:$B$121,'-ref_Distribution'!$G$117:$G$121)),RIGHT(BM$1,2))</f>
        <v>0</v>
      </c>
      <c r="BN41" s="16" cm="1">
        <f t="array" ref="BN41">INDEX(_xlfn.ANCHORARRAY(_xlfn.XLOOKUP($D41,'-ref_Distribution'!$B$117:$B$121,'-ref_Distribution'!$G$117:$G$121)),RIGHT(BN$1,2))</f>
        <v>5</v>
      </c>
      <c r="BO41" s="16" cm="1">
        <f t="array" ref="BO41">INDEX(_xlfn.ANCHORARRAY(_xlfn.XLOOKUP($D41,'-ref_Distribution'!$B$117:$B$121,'-ref_Distribution'!$G$117:$G$121)),RIGHT(BO$1,2))</f>
        <v>12</v>
      </c>
      <c r="BP41" s="16" cm="1">
        <f t="array" ref="BP41">INDEX(_xlfn.ANCHORARRAY(_xlfn.XLOOKUP($D41,'-ref_Distribution'!$B$117:$B$121,'-ref_Distribution'!$G$117:$G$121)),RIGHT(BP$1,2))</f>
        <v>16</v>
      </c>
      <c r="BQ41" s="16" cm="1">
        <f t="array" ref="BQ41">INDEX(_xlfn.ANCHORARRAY(_xlfn.XLOOKUP($D41,'-ref_Distribution'!$B$117:$B$121,'-ref_Distribution'!$G$117:$G$121)),RIGHT(BQ$1,2))</f>
        <v>19</v>
      </c>
      <c r="BR41" s="16" cm="1">
        <f t="array" ref="BR41">INDEX(_xlfn.ANCHORARRAY(_xlfn.XLOOKUP($D41,'-ref_Distribution'!$B$117:$B$121,'-ref_Distribution'!$G$117:$G$121)),RIGHT(BR$1,2))</f>
        <v>22</v>
      </c>
      <c r="BS41" s="16" cm="1">
        <f t="array" ref="BS41">INDEX(_xlfn.ANCHORARRAY(_xlfn.XLOOKUP($D41,'-ref_Distribution'!$B$117:$B$121,'-ref_Distribution'!$G$117:$G$121)),RIGHT(BS$1,2))</f>
        <v>23</v>
      </c>
      <c r="BT41" s="16" cm="1">
        <f t="array" ref="BT41">INDEX(_xlfn.ANCHORARRAY(_xlfn.XLOOKUP($D41,'-ref_Distribution'!$B$117:$B$121,'-ref_Distribution'!$G$117:$G$121)),RIGHT(BT$1,2))</f>
        <v>25</v>
      </c>
      <c r="BU41" s="16" cm="1">
        <f t="array" ref="BU41">INDEX(_xlfn.ANCHORARRAY(_xlfn.XLOOKUP($D41,'-ref_Distribution'!$B$117:$B$121,'-ref_Distribution'!$G$117:$G$121)),RIGHT(BU$1,2))</f>
        <v>26</v>
      </c>
      <c r="BV41" s="16" cm="1">
        <f t="array" ref="BV41">INDEX(_xlfn.ANCHORARRAY(_xlfn.XLOOKUP($D41,'-ref_Distribution'!$B$117:$B$121,'-ref_Distribution'!$G$117:$G$121)),RIGHT(BV$1,2))</f>
        <v>27</v>
      </c>
      <c r="BW41" s="16" cm="1">
        <f t="array" ref="BW41">INDEX(_xlfn.ANCHORARRAY(_xlfn.XLOOKUP($D41,'-ref_Distribution'!$B$117:$B$121,'-ref_Distribution'!$G$117:$G$121)),RIGHT(BW$1,2))</f>
        <v>27</v>
      </c>
      <c r="BX41" s="16" cm="1">
        <f t="array" ref="BX41">INDEX(_xlfn.ANCHORARRAY(_xlfn.XLOOKUP($D41,'-ref_Distribution'!$B$117:$B$121,'-ref_Distribution'!$G$117:$G$121)),RIGHT(BX$1,2))</f>
        <v>28</v>
      </c>
      <c r="BY41" s="16" cm="1">
        <f t="array" ref="BY41">INDEX(_xlfn.ANCHORARRAY(_xlfn.XLOOKUP($D41,'-ref_Distribution'!$B$117:$B$121,'-ref_Distribution'!$G$117:$G$121)),RIGHT(BY$1,2))</f>
        <v>29</v>
      </c>
      <c r="BZ41" s="16" cm="1">
        <f t="array" ref="BZ41">INDEX(_xlfn.ANCHORARRAY(_xlfn.XLOOKUP($D41,'-ref_Distribution'!$B$117:$B$121,'-ref_Distribution'!$G$117:$G$121)),RIGHT(BZ$1,2))</f>
        <v>29</v>
      </c>
      <c r="CA41" s="16" cm="1">
        <f t="array" ref="CA41">INDEX(_xlfn.ANCHORARRAY(_xlfn.XLOOKUP($D41,'-ref_Distribution'!$B$117:$B$121,'-ref_Distribution'!$G$117:$G$121)),RIGHT(CA$1,2))</f>
        <v>30</v>
      </c>
      <c r="CB41" s="16" cm="1">
        <f t="array" ref="CB41">INDEX(_xlfn.ANCHORARRAY(_xlfn.XLOOKUP($D41,'-ref_Distribution'!$B$117:$B$121,'-ref_Distribution'!$G$117:$G$121)),RIGHT(CB$1,2))</f>
        <v>30</v>
      </c>
      <c r="CC41" s="16" cm="1">
        <f t="array" ref="CC41">INDEX(_xlfn.ANCHORARRAY(_xlfn.XLOOKUP($D41,'-ref_Distribution'!$B$117:$B$121,'-ref_Distribution'!$G$117:$G$121)),RIGHT(CC$1,2))</f>
        <v>30</v>
      </c>
      <c r="CD41" s="16" cm="1">
        <f t="array" ref="CD41">INDEX(_xlfn.ANCHORARRAY(_xlfn.XLOOKUP($D41,'-ref_Distribution'!$B$117:$B$121,'-ref_Distribution'!$G$117:$G$121)),RIGHT(CD$1,2))</f>
        <v>30</v>
      </c>
      <c r="CE41" s="16" cm="1">
        <f t="array" ref="CE41">INDEX(_xlfn.ANCHORARRAY(_xlfn.XLOOKUP($D41,'-ref_Distribution'!$B$117:$B$121,'-ref_Distribution'!$G$117:$G$121)),RIGHT(CE$1,2))</f>
        <v>31</v>
      </c>
      <c r="CF41" s="16" cm="1">
        <f t="array" ref="CF41">INDEX(_xlfn.ANCHORARRAY(_xlfn.XLOOKUP($D41,'-ref_Distribution'!$B$117:$B$121,'-ref_Distribution'!$G$117:$G$121)),RIGHT(CF$1,2))</f>
        <v>31</v>
      </c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</row>
    <row r="42" spans="1:98" x14ac:dyDescent="0.2">
      <c r="A42" s="16">
        <v>13201033</v>
      </c>
      <c r="B42" s="17" t="s">
        <v>326</v>
      </c>
      <c r="C42" s="17" t="s">
        <v>428</v>
      </c>
      <c r="D42" s="16">
        <v>3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25</v>
      </c>
      <c r="K42" s="16">
        <v>25</v>
      </c>
      <c r="L42" s="16">
        <v>25</v>
      </c>
      <c r="M42" s="16">
        <v>25</v>
      </c>
      <c r="N42" s="16">
        <v>25</v>
      </c>
      <c r="O42" s="16">
        <v>100</v>
      </c>
      <c r="P42" s="16">
        <v>100</v>
      </c>
      <c r="Q42" s="16">
        <v>100</v>
      </c>
      <c r="R42" s="16">
        <v>100</v>
      </c>
      <c r="S42" s="16">
        <v>100</v>
      </c>
      <c r="T42" s="16">
        <v>70</v>
      </c>
      <c r="U42" s="16">
        <v>70</v>
      </c>
      <c r="V42" s="16">
        <v>70</v>
      </c>
      <c r="W42" s="16">
        <v>70</v>
      </c>
      <c r="X42" s="16">
        <v>70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25</v>
      </c>
      <c r="AE42" s="16">
        <v>25</v>
      </c>
      <c r="AF42" s="16">
        <v>25</v>
      </c>
      <c r="AG42" s="16">
        <v>25</v>
      </c>
      <c r="AH42" s="16">
        <v>25</v>
      </c>
      <c r="AI42" s="16">
        <v>100</v>
      </c>
      <c r="AJ42" s="16">
        <v>100</v>
      </c>
      <c r="AK42" s="16">
        <v>100</v>
      </c>
      <c r="AL42" s="16">
        <v>100</v>
      </c>
      <c r="AM42" s="16">
        <v>100</v>
      </c>
      <c r="AN42" s="16">
        <v>70</v>
      </c>
      <c r="AO42" s="16">
        <v>70</v>
      </c>
      <c r="AP42" s="16">
        <v>70</v>
      </c>
      <c r="AQ42" s="16">
        <v>70</v>
      </c>
      <c r="AR42" s="16">
        <v>70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25</v>
      </c>
      <c r="AY42" s="16">
        <v>25</v>
      </c>
      <c r="AZ42" s="16">
        <v>25</v>
      </c>
      <c r="BA42" s="16">
        <v>25</v>
      </c>
      <c r="BB42" s="16">
        <v>25</v>
      </c>
      <c r="BC42" s="16">
        <v>100</v>
      </c>
      <c r="BD42" s="16">
        <v>100</v>
      </c>
      <c r="BE42" s="16">
        <v>100</v>
      </c>
      <c r="BF42" s="16">
        <v>100</v>
      </c>
      <c r="BG42" s="16">
        <v>100</v>
      </c>
      <c r="BH42" s="16">
        <v>70</v>
      </c>
      <c r="BI42" s="16">
        <v>70</v>
      </c>
      <c r="BJ42" s="16">
        <v>70</v>
      </c>
      <c r="BK42" s="16">
        <v>70</v>
      </c>
      <c r="BL42" s="16">
        <v>70</v>
      </c>
      <c r="BM42" s="16" cm="1">
        <f t="array" ref="BM42">INDEX(_xlfn.ANCHORARRAY(_xlfn.XLOOKUP($D42,'-ref_Distribution'!$B$117:$B$121,'-ref_Distribution'!$G$117:$G$121)),RIGHT(BM$1,2))</f>
        <v>0</v>
      </c>
      <c r="BN42" s="16" cm="1">
        <f t="array" ref="BN42">INDEX(_xlfn.ANCHORARRAY(_xlfn.XLOOKUP($D42,'-ref_Distribution'!$B$117:$B$121,'-ref_Distribution'!$G$117:$G$121)),RIGHT(BN$1,2))</f>
        <v>0</v>
      </c>
      <c r="BO42" s="16" cm="1">
        <f t="array" ref="BO42">INDEX(_xlfn.ANCHORARRAY(_xlfn.XLOOKUP($D42,'-ref_Distribution'!$B$117:$B$121,'-ref_Distribution'!$G$117:$G$121)),RIGHT(BO$1,2))</f>
        <v>1</v>
      </c>
      <c r="BP42" s="16" cm="1">
        <f t="array" ref="BP42">INDEX(_xlfn.ANCHORARRAY(_xlfn.XLOOKUP($D42,'-ref_Distribution'!$B$117:$B$121,'-ref_Distribution'!$G$117:$G$121)),RIGHT(BP$1,2))</f>
        <v>3</v>
      </c>
      <c r="BQ42" s="16" cm="1">
        <f t="array" ref="BQ42">INDEX(_xlfn.ANCHORARRAY(_xlfn.XLOOKUP($D42,'-ref_Distribution'!$B$117:$B$121,'-ref_Distribution'!$G$117:$G$121)),RIGHT(BQ$1,2))</f>
        <v>6</v>
      </c>
      <c r="BR42" s="16" cm="1">
        <f t="array" ref="BR42">INDEX(_xlfn.ANCHORARRAY(_xlfn.XLOOKUP($D42,'-ref_Distribution'!$B$117:$B$121,'-ref_Distribution'!$G$117:$G$121)),RIGHT(BR$1,2))</f>
        <v>8</v>
      </c>
      <c r="BS42" s="16" cm="1">
        <f t="array" ref="BS42">INDEX(_xlfn.ANCHORARRAY(_xlfn.XLOOKUP($D42,'-ref_Distribution'!$B$117:$B$121,'-ref_Distribution'!$G$117:$G$121)),RIGHT(BS$1,2))</f>
        <v>9</v>
      </c>
      <c r="BT42" s="16" cm="1">
        <f t="array" ref="BT42">INDEX(_xlfn.ANCHORARRAY(_xlfn.XLOOKUP($D42,'-ref_Distribution'!$B$117:$B$121,'-ref_Distribution'!$G$117:$G$121)),RIGHT(BT$1,2))</f>
        <v>10</v>
      </c>
      <c r="BU42" s="16" cm="1">
        <f t="array" ref="BU42">INDEX(_xlfn.ANCHORARRAY(_xlfn.XLOOKUP($D42,'-ref_Distribution'!$B$117:$B$121,'-ref_Distribution'!$G$117:$G$121)),RIGHT(BU$1,2))</f>
        <v>11</v>
      </c>
      <c r="BV42" s="16" cm="1">
        <f t="array" ref="BV42">INDEX(_xlfn.ANCHORARRAY(_xlfn.XLOOKUP($D42,'-ref_Distribution'!$B$117:$B$121,'-ref_Distribution'!$G$117:$G$121)),RIGHT(BV$1,2))</f>
        <v>12</v>
      </c>
      <c r="BW42" s="16" cm="1">
        <f t="array" ref="BW42">INDEX(_xlfn.ANCHORARRAY(_xlfn.XLOOKUP($D42,'-ref_Distribution'!$B$117:$B$121,'-ref_Distribution'!$G$117:$G$121)),RIGHT(BW$1,2))</f>
        <v>13</v>
      </c>
      <c r="BX42" s="16" cm="1">
        <f t="array" ref="BX42">INDEX(_xlfn.ANCHORARRAY(_xlfn.XLOOKUP($D42,'-ref_Distribution'!$B$117:$B$121,'-ref_Distribution'!$G$117:$G$121)),RIGHT(BX$1,2))</f>
        <v>14</v>
      </c>
      <c r="BY42" s="16" cm="1">
        <f t="array" ref="BY42">INDEX(_xlfn.ANCHORARRAY(_xlfn.XLOOKUP($D42,'-ref_Distribution'!$B$117:$B$121,'-ref_Distribution'!$G$117:$G$121)),RIGHT(BY$1,2))</f>
        <v>14</v>
      </c>
      <c r="BZ42" s="16" cm="1">
        <f t="array" ref="BZ42">INDEX(_xlfn.ANCHORARRAY(_xlfn.XLOOKUP($D42,'-ref_Distribution'!$B$117:$B$121,'-ref_Distribution'!$G$117:$G$121)),RIGHT(BZ$1,2))</f>
        <v>15</v>
      </c>
      <c r="CA42" s="16" cm="1">
        <f t="array" ref="CA42">INDEX(_xlfn.ANCHORARRAY(_xlfn.XLOOKUP($D42,'-ref_Distribution'!$B$117:$B$121,'-ref_Distribution'!$G$117:$G$121)),RIGHT(CA$1,2))</f>
        <v>15</v>
      </c>
      <c r="CB42" s="16" cm="1">
        <f t="array" ref="CB42">INDEX(_xlfn.ANCHORARRAY(_xlfn.XLOOKUP($D42,'-ref_Distribution'!$B$117:$B$121,'-ref_Distribution'!$G$117:$G$121)),RIGHT(CB$1,2))</f>
        <v>16</v>
      </c>
      <c r="CC42" s="16" cm="1">
        <f t="array" ref="CC42">INDEX(_xlfn.ANCHORARRAY(_xlfn.XLOOKUP($D42,'-ref_Distribution'!$B$117:$B$121,'-ref_Distribution'!$G$117:$G$121)),RIGHT(CC$1,2))</f>
        <v>16</v>
      </c>
      <c r="CD42" s="16" cm="1">
        <f t="array" ref="CD42">INDEX(_xlfn.ANCHORARRAY(_xlfn.XLOOKUP($D42,'-ref_Distribution'!$B$117:$B$121,'-ref_Distribution'!$G$117:$G$121)),RIGHT(CD$1,2))</f>
        <v>17</v>
      </c>
      <c r="CE42" s="16" cm="1">
        <f t="array" ref="CE42">INDEX(_xlfn.ANCHORARRAY(_xlfn.XLOOKUP($D42,'-ref_Distribution'!$B$117:$B$121,'-ref_Distribution'!$G$117:$G$121)),RIGHT(CE$1,2))</f>
        <v>17</v>
      </c>
      <c r="CF42" s="16" cm="1">
        <f t="array" ref="CF42">INDEX(_xlfn.ANCHORARRAY(_xlfn.XLOOKUP($D42,'-ref_Distribution'!$B$117:$B$121,'-ref_Distribution'!$G$117:$G$121)),RIGHT(CF$1,2))</f>
        <v>17</v>
      </c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</row>
    <row r="43" spans="1:98" x14ac:dyDescent="0.2">
      <c r="A43" s="16">
        <v>1320104</v>
      </c>
      <c r="B43" s="17" t="s">
        <v>328</v>
      </c>
      <c r="C43" s="17" t="s">
        <v>428</v>
      </c>
      <c r="D43" s="17" t="s">
        <v>424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</row>
    <row r="44" spans="1:98" x14ac:dyDescent="0.2">
      <c r="A44" s="16">
        <v>13201043</v>
      </c>
      <c r="B44" s="17" t="s">
        <v>313</v>
      </c>
      <c r="C44" s="17" t="s">
        <v>428</v>
      </c>
      <c r="D44" s="16">
        <v>3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25</v>
      </c>
      <c r="K44" s="16">
        <v>25</v>
      </c>
      <c r="L44" s="16">
        <v>25</v>
      </c>
      <c r="M44" s="16">
        <v>25</v>
      </c>
      <c r="N44" s="16">
        <v>25</v>
      </c>
      <c r="O44" s="16">
        <v>100</v>
      </c>
      <c r="P44" s="16">
        <v>100</v>
      </c>
      <c r="Q44" s="16">
        <v>100</v>
      </c>
      <c r="R44" s="16">
        <v>100</v>
      </c>
      <c r="S44" s="16">
        <v>100</v>
      </c>
      <c r="T44" s="16">
        <v>70</v>
      </c>
      <c r="U44" s="16">
        <v>70</v>
      </c>
      <c r="V44" s="16">
        <v>70</v>
      </c>
      <c r="W44" s="16">
        <v>70</v>
      </c>
      <c r="X44" s="16">
        <v>70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25</v>
      </c>
      <c r="AE44" s="16">
        <v>25</v>
      </c>
      <c r="AF44" s="16">
        <v>25</v>
      </c>
      <c r="AG44" s="16">
        <v>25</v>
      </c>
      <c r="AH44" s="16">
        <v>25</v>
      </c>
      <c r="AI44" s="16">
        <v>100</v>
      </c>
      <c r="AJ44" s="16">
        <v>100</v>
      </c>
      <c r="AK44" s="16">
        <v>100</v>
      </c>
      <c r="AL44" s="16">
        <v>100</v>
      </c>
      <c r="AM44" s="16">
        <v>100</v>
      </c>
      <c r="AN44" s="16">
        <v>70</v>
      </c>
      <c r="AO44" s="16">
        <v>70</v>
      </c>
      <c r="AP44" s="16">
        <v>70</v>
      </c>
      <c r="AQ44" s="16">
        <v>70</v>
      </c>
      <c r="AR44" s="16">
        <v>70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25</v>
      </c>
      <c r="AY44" s="16">
        <v>25</v>
      </c>
      <c r="AZ44" s="16">
        <v>25</v>
      </c>
      <c r="BA44" s="16">
        <v>25</v>
      </c>
      <c r="BB44" s="16">
        <v>25</v>
      </c>
      <c r="BC44" s="16">
        <v>100</v>
      </c>
      <c r="BD44" s="16">
        <v>100</v>
      </c>
      <c r="BE44" s="16">
        <v>100</v>
      </c>
      <c r="BF44" s="16">
        <v>100</v>
      </c>
      <c r="BG44" s="16">
        <v>100</v>
      </c>
      <c r="BH44" s="16">
        <v>70</v>
      </c>
      <c r="BI44" s="16">
        <v>70</v>
      </c>
      <c r="BJ44" s="16">
        <v>70</v>
      </c>
      <c r="BK44" s="16">
        <v>70</v>
      </c>
      <c r="BL44" s="16">
        <v>70</v>
      </c>
      <c r="BM44" s="16" cm="1">
        <f t="array" ref="BM44">INDEX(_xlfn.ANCHORARRAY(_xlfn.XLOOKUP($D44,'-ref_Distribution'!$B$117:$B$121,'-ref_Distribution'!$G$117:$G$121)),RIGHT(BM$1,2))</f>
        <v>0</v>
      </c>
      <c r="BN44" s="16" cm="1">
        <f t="array" ref="BN44">INDEX(_xlfn.ANCHORARRAY(_xlfn.XLOOKUP($D44,'-ref_Distribution'!$B$117:$B$121,'-ref_Distribution'!$G$117:$G$121)),RIGHT(BN$1,2))</f>
        <v>0</v>
      </c>
      <c r="BO44" s="16" cm="1">
        <f t="array" ref="BO44">INDEX(_xlfn.ANCHORARRAY(_xlfn.XLOOKUP($D44,'-ref_Distribution'!$B$117:$B$121,'-ref_Distribution'!$G$117:$G$121)),RIGHT(BO$1,2))</f>
        <v>1</v>
      </c>
      <c r="BP44" s="16" cm="1">
        <f t="array" ref="BP44">INDEX(_xlfn.ANCHORARRAY(_xlfn.XLOOKUP($D44,'-ref_Distribution'!$B$117:$B$121,'-ref_Distribution'!$G$117:$G$121)),RIGHT(BP$1,2))</f>
        <v>3</v>
      </c>
      <c r="BQ44" s="16" cm="1">
        <f t="array" ref="BQ44">INDEX(_xlfn.ANCHORARRAY(_xlfn.XLOOKUP($D44,'-ref_Distribution'!$B$117:$B$121,'-ref_Distribution'!$G$117:$G$121)),RIGHT(BQ$1,2))</f>
        <v>6</v>
      </c>
      <c r="BR44" s="16" cm="1">
        <f t="array" ref="BR44">INDEX(_xlfn.ANCHORARRAY(_xlfn.XLOOKUP($D44,'-ref_Distribution'!$B$117:$B$121,'-ref_Distribution'!$G$117:$G$121)),RIGHT(BR$1,2))</f>
        <v>8</v>
      </c>
      <c r="BS44" s="16" cm="1">
        <f t="array" ref="BS44">INDEX(_xlfn.ANCHORARRAY(_xlfn.XLOOKUP($D44,'-ref_Distribution'!$B$117:$B$121,'-ref_Distribution'!$G$117:$G$121)),RIGHT(BS$1,2))</f>
        <v>9</v>
      </c>
      <c r="BT44" s="16" cm="1">
        <f t="array" ref="BT44">INDEX(_xlfn.ANCHORARRAY(_xlfn.XLOOKUP($D44,'-ref_Distribution'!$B$117:$B$121,'-ref_Distribution'!$G$117:$G$121)),RIGHT(BT$1,2))</f>
        <v>10</v>
      </c>
      <c r="BU44" s="16" cm="1">
        <f t="array" ref="BU44">INDEX(_xlfn.ANCHORARRAY(_xlfn.XLOOKUP($D44,'-ref_Distribution'!$B$117:$B$121,'-ref_Distribution'!$G$117:$G$121)),RIGHT(BU$1,2))</f>
        <v>11</v>
      </c>
      <c r="BV44" s="16" cm="1">
        <f t="array" ref="BV44">INDEX(_xlfn.ANCHORARRAY(_xlfn.XLOOKUP($D44,'-ref_Distribution'!$B$117:$B$121,'-ref_Distribution'!$G$117:$G$121)),RIGHT(BV$1,2))</f>
        <v>12</v>
      </c>
      <c r="BW44" s="16" cm="1">
        <f t="array" ref="BW44">INDEX(_xlfn.ANCHORARRAY(_xlfn.XLOOKUP($D44,'-ref_Distribution'!$B$117:$B$121,'-ref_Distribution'!$G$117:$G$121)),RIGHT(BW$1,2))</f>
        <v>13</v>
      </c>
      <c r="BX44" s="16" cm="1">
        <f t="array" ref="BX44">INDEX(_xlfn.ANCHORARRAY(_xlfn.XLOOKUP($D44,'-ref_Distribution'!$B$117:$B$121,'-ref_Distribution'!$G$117:$G$121)),RIGHT(BX$1,2))</f>
        <v>14</v>
      </c>
      <c r="BY44" s="16" cm="1">
        <f t="array" ref="BY44">INDEX(_xlfn.ANCHORARRAY(_xlfn.XLOOKUP($D44,'-ref_Distribution'!$B$117:$B$121,'-ref_Distribution'!$G$117:$G$121)),RIGHT(BY$1,2))</f>
        <v>14</v>
      </c>
      <c r="BZ44" s="16" cm="1">
        <f t="array" ref="BZ44">INDEX(_xlfn.ANCHORARRAY(_xlfn.XLOOKUP($D44,'-ref_Distribution'!$B$117:$B$121,'-ref_Distribution'!$G$117:$G$121)),RIGHT(BZ$1,2))</f>
        <v>15</v>
      </c>
      <c r="CA44" s="16" cm="1">
        <f t="array" ref="CA44">INDEX(_xlfn.ANCHORARRAY(_xlfn.XLOOKUP($D44,'-ref_Distribution'!$B$117:$B$121,'-ref_Distribution'!$G$117:$G$121)),RIGHT(CA$1,2))</f>
        <v>15</v>
      </c>
      <c r="CB44" s="16" cm="1">
        <f t="array" ref="CB44">INDEX(_xlfn.ANCHORARRAY(_xlfn.XLOOKUP($D44,'-ref_Distribution'!$B$117:$B$121,'-ref_Distribution'!$G$117:$G$121)),RIGHT(CB$1,2))</f>
        <v>16</v>
      </c>
      <c r="CC44" s="16" cm="1">
        <f t="array" ref="CC44">INDEX(_xlfn.ANCHORARRAY(_xlfn.XLOOKUP($D44,'-ref_Distribution'!$B$117:$B$121,'-ref_Distribution'!$G$117:$G$121)),RIGHT(CC$1,2))</f>
        <v>16</v>
      </c>
      <c r="CD44" s="16" cm="1">
        <f t="array" ref="CD44">INDEX(_xlfn.ANCHORARRAY(_xlfn.XLOOKUP($D44,'-ref_Distribution'!$B$117:$B$121,'-ref_Distribution'!$G$117:$G$121)),RIGHT(CD$1,2))</f>
        <v>17</v>
      </c>
      <c r="CE44" s="16" cm="1">
        <f t="array" ref="CE44">INDEX(_xlfn.ANCHORARRAY(_xlfn.XLOOKUP($D44,'-ref_Distribution'!$B$117:$B$121,'-ref_Distribution'!$G$117:$G$121)),RIGHT(CE$1,2))</f>
        <v>17</v>
      </c>
      <c r="CF44" s="16" cm="1">
        <f t="array" ref="CF44">INDEX(_xlfn.ANCHORARRAY(_xlfn.XLOOKUP($D44,'-ref_Distribution'!$B$117:$B$121,'-ref_Distribution'!$G$117:$G$121)),RIGHT(CF$1,2))</f>
        <v>17</v>
      </c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</row>
    <row r="45" spans="1:98" x14ac:dyDescent="0.2">
      <c r="A45" s="16">
        <v>13201044</v>
      </c>
      <c r="B45" s="17" t="s">
        <v>314</v>
      </c>
      <c r="C45" s="17" t="s">
        <v>428</v>
      </c>
      <c r="D45" s="16">
        <v>4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25</v>
      </c>
      <c r="P45" s="16">
        <v>25</v>
      </c>
      <c r="Q45" s="16">
        <v>25</v>
      </c>
      <c r="R45" s="16">
        <v>25</v>
      </c>
      <c r="S45" s="16">
        <v>25</v>
      </c>
      <c r="T45" s="16">
        <v>120</v>
      </c>
      <c r="U45" s="16">
        <v>120</v>
      </c>
      <c r="V45" s="16">
        <v>120</v>
      </c>
      <c r="W45" s="16">
        <v>120</v>
      </c>
      <c r="X45" s="16">
        <v>120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25</v>
      </c>
      <c r="AJ45" s="16">
        <v>25</v>
      </c>
      <c r="AK45" s="16">
        <v>25</v>
      </c>
      <c r="AL45" s="16">
        <v>25</v>
      </c>
      <c r="AM45" s="16">
        <v>25</v>
      </c>
      <c r="AN45" s="16">
        <v>120</v>
      </c>
      <c r="AO45" s="16">
        <v>120</v>
      </c>
      <c r="AP45" s="16">
        <v>120</v>
      </c>
      <c r="AQ45" s="16">
        <v>120</v>
      </c>
      <c r="AR45" s="16">
        <v>120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25</v>
      </c>
      <c r="BD45" s="16">
        <v>25</v>
      </c>
      <c r="BE45" s="16">
        <v>25</v>
      </c>
      <c r="BF45" s="16">
        <v>25</v>
      </c>
      <c r="BG45" s="16">
        <v>25</v>
      </c>
      <c r="BH45" s="16">
        <v>120</v>
      </c>
      <c r="BI45" s="16">
        <v>120</v>
      </c>
      <c r="BJ45" s="16">
        <v>120</v>
      </c>
      <c r="BK45" s="16">
        <v>120</v>
      </c>
      <c r="BL45" s="16">
        <v>120</v>
      </c>
      <c r="BM45" s="16" cm="1">
        <f t="array" ref="BM45">INDEX(_xlfn.ANCHORARRAY(_xlfn.XLOOKUP($D45,'-ref_Distribution'!$B$117:$B$121,'-ref_Distribution'!$G$117:$G$121)),RIGHT(BM$1,2))</f>
        <v>0</v>
      </c>
      <c r="BN45" s="16" cm="1">
        <f t="array" ref="BN45">INDEX(_xlfn.ANCHORARRAY(_xlfn.XLOOKUP($D45,'-ref_Distribution'!$B$117:$B$121,'-ref_Distribution'!$G$117:$G$121)),RIGHT(BN$1,2))</f>
        <v>0</v>
      </c>
      <c r="BO45" s="16" cm="1">
        <f t="array" ref="BO45">INDEX(_xlfn.ANCHORARRAY(_xlfn.XLOOKUP($D45,'-ref_Distribution'!$B$117:$B$121,'-ref_Distribution'!$G$117:$G$121)),RIGHT(BO$1,2))</f>
        <v>0</v>
      </c>
      <c r="BP45" s="16" cm="1">
        <f t="array" ref="BP45">INDEX(_xlfn.ANCHORARRAY(_xlfn.XLOOKUP($D45,'-ref_Distribution'!$B$117:$B$121,'-ref_Distribution'!$G$117:$G$121)),RIGHT(BP$1,2))</f>
        <v>0</v>
      </c>
      <c r="BQ45" s="16" cm="1">
        <f t="array" ref="BQ45">INDEX(_xlfn.ANCHORARRAY(_xlfn.XLOOKUP($D45,'-ref_Distribution'!$B$117:$B$121,'-ref_Distribution'!$G$117:$G$121)),RIGHT(BQ$1,2))</f>
        <v>1</v>
      </c>
      <c r="BR45" s="16" cm="1">
        <f t="array" ref="BR45">INDEX(_xlfn.ANCHORARRAY(_xlfn.XLOOKUP($D45,'-ref_Distribution'!$B$117:$B$121,'-ref_Distribution'!$G$117:$G$121)),RIGHT(BR$1,2))</f>
        <v>2</v>
      </c>
      <c r="BS45" s="16" cm="1">
        <f t="array" ref="BS45">INDEX(_xlfn.ANCHORARRAY(_xlfn.XLOOKUP($D45,'-ref_Distribution'!$B$117:$B$121,'-ref_Distribution'!$G$117:$G$121)),RIGHT(BS$1,2))</f>
        <v>3</v>
      </c>
      <c r="BT45" s="16" cm="1">
        <f t="array" ref="BT45">INDEX(_xlfn.ANCHORARRAY(_xlfn.XLOOKUP($D45,'-ref_Distribution'!$B$117:$B$121,'-ref_Distribution'!$G$117:$G$121)),RIGHT(BT$1,2))</f>
        <v>4</v>
      </c>
      <c r="BU45" s="16" cm="1">
        <f t="array" ref="BU45">INDEX(_xlfn.ANCHORARRAY(_xlfn.XLOOKUP($D45,'-ref_Distribution'!$B$117:$B$121,'-ref_Distribution'!$G$117:$G$121)),RIGHT(BU$1,2))</f>
        <v>5</v>
      </c>
      <c r="BV45" s="16" cm="1">
        <f t="array" ref="BV45">INDEX(_xlfn.ANCHORARRAY(_xlfn.XLOOKUP($D45,'-ref_Distribution'!$B$117:$B$121,'-ref_Distribution'!$G$117:$G$121)),RIGHT(BV$1,2))</f>
        <v>6</v>
      </c>
      <c r="BW45" s="16" cm="1">
        <f t="array" ref="BW45">INDEX(_xlfn.ANCHORARRAY(_xlfn.XLOOKUP($D45,'-ref_Distribution'!$B$117:$B$121,'-ref_Distribution'!$G$117:$G$121)),RIGHT(BW$1,2))</f>
        <v>6</v>
      </c>
      <c r="BX45" s="16" cm="1">
        <f t="array" ref="BX45">INDEX(_xlfn.ANCHORARRAY(_xlfn.XLOOKUP($D45,'-ref_Distribution'!$B$117:$B$121,'-ref_Distribution'!$G$117:$G$121)),RIGHT(BX$1,2))</f>
        <v>7</v>
      </c>
      <c r="BY45" s="16" cm="1">
        <f t="array" ref="BY45">INDEX(_xlfn.ANCHORARRAY(_xlfn.XLOOKUP($D45,'-ref_Distribution'!$B$117:$B$121,'-ref_Distribution'!$G$117:$G$121)),RIGHT(BY$1,2))</f>
        <v>8</v>
      </c>
      <c r="BZ45" s="16" cm="1">
        <f t="array" ref="BZ45">INDEX(_xlfn.ANCHORARRAY(_xlfn.XLOOKUP($D45,'-ref_Distribution'!$B$117:$B$121,'-ref_Distribution'!$G$117:$G$121)),RIGHT(BZ$1,2))</f>
        <v>8</v>
      </c>
      <c r="CA45" s="16" cm="1">
        <f t="array" ref="CA45">INDEX(_xlfn.ANCHORARRAY(_xlfn.XLOOKUP($D45,'-ref_Distribution'!$B$117:$B$121,'-ref_Distribution'!$G$117:$G$121)),RIGHT(CA$1,2))</f>
        <v>9</v>
      </c>
      <c r="CB45" s="16" cm="1">
        <f t="array" ref="CB45">INDEX(_xlfn.ANCHORARRAY(_xlfn.XLOOKUP($D45,'-ref_Distribution'!$B$117:$B$121,'-ref_Distribution'!$G$117:$G$121)),RIGHT(CB$1,2))</f>
        <v>9</v>
      </c>
      <c r="CC45" s="16" cm="1">
        <f t="array" ref="CC45">INDEX(_xlfn.ANCHORARRAY(_xlfn.XLOOKUP($D45,'-ref_Distribution'!$B$117:$B$121,'-ref_Distribution'!$G$117:$G$121)),RIGHT(CC$1,2))</f>
        <v>9</v>
      </c>
      <c r="CD45" s="16" cm="1">
        <f t="array" ref="CD45">INDEX(_xlfn.ANCHORARRAY(_xlfn.XLOOKUP($D45,'-ref_Distribution'!$B$117:$B$121,'-ref_Distribution'!$G$117:$G$121)),RIGHT(CD$1,2))</f>
        <v>10</v>
      </c>
      <c r="CE45" s="16" cm="1">
        <f t="array" ref="CE45">INDEX(_xlfn.ANCHORARRAY(_xlfn.XLOOKUP($D45,'-ref_Distribution'!$B$117:$B$121,'-ref_Distribution'!$G$117:$G$121)),RIGHT(CE$1,2))</f>
        <v>10</v>
      </c>
      <c r="CF45" s="16" cm="1">
        <f t="array" ref="CF45">INDEX(_xlfn.ANCHORARRAY(_xlfn.XLOOKUP($D45,'-ref_Distribution'!$B$117:$B$121,'-ref_Distribution'!$G$117:$G$121)),RIGHT(CF$1,2))</f>
        <v>10</v>
      </c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</row>
    <row r="46" spans="1:98" x14ac:dyDescent="0.2">
      <c r="A46" s="16">
        <v>1320105</v>
      </c>
      <c r="B46" s="16" t="s">
        <v>26</v>
      </c>
      <c r="C46" s="17" t="s">
        <v>428</v>
      </c>
      <c r="E46" s="16">
        <v>0</v>
      </c>
      <c r="F46" s="16">
        <v>0</v>
      </c>
      <c r="G46" s="16">
        <v>25</v>
      </c>
      <c r="H46" s="16">
        <v>25</v>
      </c>
      <c r="I46" s="16">
        <v>25</v>
      </c>
      <c r="J46" s="16">
        <v>100</v>
      </c>
      <c r="K46" s="16">
        <v>100</v>
      </c>
      <c r="L46" s="16">
        <v>100</v>
      </c>
      <c r="M46" s="16">
        <v>100</v>
      </c>
      <c r="N46" s="16">
        <v>100</v>
      </c>
      <c r="O46" s="16">
        <v>50</v>
      </c>
      <c r="P46" s="16">
        <v>50</v>
      </c>
      <c r="Q46" s="16">
        <v>50</v>
      </c>
      <c r="R46" s="16">
        <v>50</v>
      </c>
      <c r="S46" s="16">
        <v>50</v>
      </c>
      <c r="T46" s="16">
        <v>20</v>
      </c>
      <c r="U46" s="16">
        <v>20</v>
      </c>
      <c r="V46" s="16">
        <v>20</v>
      </c>
      <c r="W46" s="16">
        <v>20</v>
      </c>
      <c r="X46" s="16">
        <v>20</v>
      </c>
      <c r="Y46" s="16">
        <v>0</v>
      </c>
      <c r="Z46" s="16">
        <v>0</v>
      </c>
      <c r="AA46" s="16">
        <v>25</v>
      </c>
      <c r="AB46" s="16">
        <v>25</v>
      </c>
      <c r="AC46" s="16">
        <v>25</v>
      </c>
      <c r="AD46" s="16">
        <v>100</v>
      </c>
      <c r="AE46" s="16">
        <v>100</v>
      </c>
      <c r="AF46" s="16">
        <v>100</v>
      </c>
      <c r="AG46" s="16">
        <v>100</v>
      </c>
      <c r="AH46" s="16">
        <v>100</v>
      </c>
      <c r="AI46" s="16">
        <v>50</v>
      </c>
      <c r="AJ46" s="16">
        <v>50</v>
      </c>
      <c r="AK46" s="16">
        <v>50</v>
      </c>
      <c r="AL46" s="16">
        <v>50</v>
      </c>
      <c r="AM46" s="16">
        <v>50</v>
      </c>
      <c r="AN46" s="16">
        <v>20</v>
      </c>
      <c r="AO46" s="16">
        <v>20</v>
      </c>
      <c r="AP46" s="16">
        <v>20</v>
      </c>
      <c r="AQ46" s="16">
        <v>20</v>
      </c>
      <c r="AR46" s="16">
        <v>20</v>
      </c>
      <c r="AS46" s="16">
        <v>0</v>
      </c>
      <c r="AT46" s="16">
        <v>0</v>
      </c>
      <c r="AU46" s="16">
        <v>25</v>
      </c>
      <c r="AV46" s="16">
        <v>25</v>
      </c>
      <c r="AW46" s="16">
        <v>25</v>
      </c>
      <c r="AX46" s="16">
        <v>100</v>
      </c>
      <c r="AY46" s="16">
        <v>100</v>
      </c>
      <c r="AZ46" s="16">
        <v>100</v>
      </c>
      <c r="BA46" s="16">
        <v>100</v>
      </c>
      <c r="BB46" s="16">
        <v>100</v>
      </c>
      <c r="BC46" s="16">
        <v>50</v>
      </c>
      <c r="BD46" s="16">
        <v>50</v>
      </c>
      <c r="BE46" s="16">
        <v>50</v>
      </c>
      <c r="BF46" s="16">
        <v>50</v>
      </c>
      <c r="BG46" s="16">
        <v>50</v>
      </c>
      <c r="BH46" s="16">
        <v>20</v>
      </c>
      <c r="BI46" s="16">
        <v>20</v>
      </c>
      <c r="BJ46" s="16">
        <v>20</v>
      </c>
      <c r="BK46" s="16">
        <v>20</v>
      </c>
      <c r="BL46" s="16">
        <v>20</v>
      </c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</row>
    <row r="47" spans="1:98" x14ac:dyDescent="0.2">
      <c r="A47" s="16">
        <v>1320106</v>
      </c>
      <c r="B47" s="16" t="s">
        <v>27</v>
      </c>
      <c r="C47" s="17" t="s">
        <v>428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</row>
    <row r="48" spans="1:98" x14ac:dyDescent="0.2">
      <c r="A48" s="16">
        <v>1320107</v>
      </c>
      <c r="B48" s="16" t="s">
        <v>28</v>
      </c>
      <c r="C48" s="17" t="s">
        <v>428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</row>
    <row r="49" spans="1:98" x14ac:dyDescent="0.2">
      <c r="A49" s="16">
        <v>1320108</v>
      </c>
      <c r="B49" s="16" t="s">
        <v>29</v>
      </c>
      <c r="C49" s="17" t="s">
        <v>428</v>
      </c>
      <c r="E49" s="16">
        <v>25</v>
      </c>
      <c r="F49" s="16">
        <v>25</v>
      </c>
      <c r="G49" s="16">
        <v>100</v>
      </c>
      <c r="H49" s="16">
        <v>100</v>
      </c>
      <c r="I49" s="16">
        <v>100</v>
      </c>
      <c r="J49" s="16">
        <v>50</v>
      </c>
      <c r="K49" s="16">
        <v>50</v>
      </c>
      <c r="L49" s="16">
        <v>50</v>
      </c>
      <c r="M49" s="16">
        <v>50</v>
      </c>
      <c r="N49" s="16">
        <v>50</v>
      </c>
      <c r="O49" s="16">
        <v>20</v>
      </c>
      <c r="P49" s="16">
        <v>20</v>
      </c>
      <c r="Q49" s="16">
        <v>20</v>
      </c>
      <c r="R49" s="16">
        <v>20</v>
      </c>
      <c r="S49" s="16">
        <v>20</v>
      </c>
      <c r="T49" s="16">
        <v>10</v>
      </c>
      <c r="U49" s="16">
        <v>10</v>
      </c>
      <c r="V49" s="16">
        <v>10</v>
      </c>
      <c r="W49" s="16">
        <v>10</v>
      </c>
      <c r="X49" s="16">
        <v>10</v>
      </c>
      <c r="Y49" s="16">
        <v>25</v>
      </c>
      <c r="Z49" s="16">
        <v>25</v>
      </c>
      <c r="AA49" s="16">
        <v>100</v>
      </c>
      <c r="AB49" s="16">
        <v>100</v>
      </c>
      <c r="AC49" s="16">
        <v>100</v>
      </c>
      <c r="AD49" s="16">
        <v>50</v>
      </c>
      <c r="AE49" s="16">
        <v>50</v>
      </c>
      <c r="AF49" s="16">
        <v>50</v>
      </c>
      <c r="AG49" s="16">
        <v>50</v>
      </c>
      <c r="AH49" s="16">
        <v>50</v>
      </c>
      <c r="AI49" s="16">
        <v>20</v>
      </c>
      <c r="AJ49" s="16">
        <v>20</v>
      </c>
      <c r="AK49" s="16">
        <v>20</v>
      </c>
      <c r="AL49" s="16">
        <v>20</v>
      </c>
      <c r="AM49" s="16">
        <v>20</v>
      </c>
      <c r="AN49" s="16">
        <v>10</v>
      </c>
      <c r="AO49" s="16">
        <v>10</v>
      </c>
      <c r="AP49" s="16">
        <v>10</v>
      </c>
      <c r="AQ49" s="16">
        <v>10</v>
      </c>
      <c r="AR49" s="16">
        <v>10</v>
      </c>
      <c r="AS49" s="16">
        <v>25</v>
      </c>
      <c r="AT49" s="16">
        <v>25</v>
      </c>
      <c r="AU49" s="16">
        <v>100</v>
      </c>
      <c r="AV49" s="16">
        <v>100</v>
      </c>
      <c r="AW49" s="16">
        <v>100</v>
      </c>
      <c r="AX49" s="16">
        <v>50</v>
      </c>
      <c r="AY49" s="16">
        <v>50</v>
      </c>
      <c r="AZ49" s="16">
        <v>50</v>
      </c>
      <c r="BA49" s="16">
        <v>50</v>
      </c>
      <c r="BB49" s="16">
        <v>50</v>
      </c>
      <c r="BC49" s="16">
        <v>20</v>
      </c>
      <c r="BD49" s="16">
        <v>20</v>
      </c>
      <c r="BE49" s="16">
        <v>20</v>
      </c>
      <c r="BF49" s="16">
        <v>20</v>
      </c>
      <c r="BG49" s="16">
        <v>20</v>
      </c>
      <c r="BH49" s="16">
        <v>10</v>
      </c>
      <c r="BI49" s="16">
        <v>10</v>
      </c>
      <c r="BJ49" s="16">
        <v>10</v>
      </c>
      <c r="BK49" s="16">
        <v>10</v>
      </c>
      <c r="BL49" s="16">
        <v>10</v>
      </c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</row>
    <row r="50" spans="1:98" x14ac:dyDescent="0.2">
      <c r="A50" s="16">
        <v>1320109</v>
      </c>
      <c r="B50" s="16" t="s">
        <v>30</v>
      </c>
      <c r="C50" s="17" t="s">
        <v>428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</row>
    <row r="51" spans="1:98" x14ac:dyDescent="0.2">
      <c r="A51" s="16">
        <v>1320110</v>
      </c>
      <c r="B51" s="16" t="s">
        <v>31</v>
      </c>
      <c r="C51" s="17" t="s">
        <v>428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</row>
    <row r="52" spans="1:98" x14ac:dyDescent="0.2">
      <c r="A52" s="16">
        <v>1320111</v>
      </c>
      <c r="B52" s="16" t="s">
        <v>56</v>
      </c>
      <c r="C52" s="17" t="s">
        <v>428</v>
      </c>
      <c r="E52" s="16">
        <v>0</v>
      </c>
      <c r="F52" s="16">
        <v>0</v>
      </c>
      <c r="G52" s="16">
        <v>25</v>
      </c>
      <c r="H52" s="16">
        <v>25</v>
      </c>
      <c r="I52" s="16">
        <v>25</v>
      </c>
      <c r="J52" s="16">
        <v>100</v>
      </c>
      <c r="K52" s="16">
        <v>100</v>
      </c>
      <c r="L52" s="16">
        <v>100</v>
      </c>
      <c r="M52" s="16">
        <v>100</v>
      </c>
      <c r="N52" s="16">
        <v>100</v>
      </c>
      <c r="O52" s="16">
        <v>50</v>
      </c>
      <c r="P52" s="16">
        <v>50</v>
      </c>
      <c r="Q52" s="16">
        <v>50</v>
      </c>
      <c r="R52" s="16">
        <v>50</v>
      </c>
      <c r="S52" s="16">
        <v>50</v>
      </c>
      <c r="T52" s="16">
        <v>20</v>
      </c>
      <c r="U52" s="16">
        <v>20</v>
      </c>
      <c r="V52" s="16">
        <v>20</v>
      </c>
      <c r="W52" s="16">
        <v>20</v>
      </c>
      <c r="X52" s="16">
        <v>20</v>
      </c>
      <c r="Y52" s="16">
        <v>0</v>
      </c>
      <c r="Z52" s="16">
        <v>0</v>
      </c>
      <c r="AA52" s="16">
        <v>25</v>
      </c>
      <c r="AB52" s="16">
        <v>25</v>
      </c>
      <c r="AC52" s="16">
        <v>25</v>
      </c>
      <c r="AD52" s="16">
        <v>100</v>
      </c>
      <c r="AE52" s="16">
        <v>100</v>
      </c>
      <c r="AF52" s="16">
        <v>100</v>
      </c>
      <c r="AG52" s="16">
        <v>100</v>
      </c>
      <c r="AH52" s="16">
        <v>100</v>
      </c>
      <c r="AI52" s="16">
        <v>50</v>
      </c>
      <c r="AJ52" s="16">
        <v>50</v>
      </c>
      <c r="AK52" s="16">
        <v>50</v>
      </c>
      <c r="AL52" s="16">
        <v>50</v>
      </c>
      <c r="AM52" s="16">
        <v>50</v>
      </c>
      <c r="AN52" s="16">
        <v>20</v>
      </c>
      <c r="AO52" s="16">
        <v>20</v>
      </c>
      <c r="AP52" s="16">
        <v>20</v>
      </c>
      <c r="AQ52" s="16">
        <v>20</v>
      </c>
      <c r="AR52" s="16">
        <v>20</v>
      </c>
      <c r="AS52" s="16">
        <v>0</v>
      </c>
      <c r="AT52" s="16">
        <v>0</v>
      </c>
      <c r="AU52" s="16">
        <v>25</v>
      </c>
      <c r="AV52" s="16">
        <v>25</v>
      </c>
      <c r="AW52" s="16">
        <v>25</v>
      </c>
      <c r="AX52" s="16">
        <v>100</v>
      </c>
      <c r="AY52" s="16">
        <v>100</v>
      </c>
      <c r="AZ52" s="16">
        <v>100</v>
      </c>
      <c r="BA52" s="16">
        <v>100</v>
      </c>
      <c r="BB52" s="16">
        <v>100</v>
      </c>
      <c r="BC52" s="16">
        <v>50</v>
      </c>
      <c r="BD52" s="16">
        <v>50</v>
      </c>
      <c r="BE52" s="16">
        <v>50</v>
      </c>
      <c r="BF52" s="16">
        <v>50</v>
      </c>
      <c r="BG52" s="16">
        <v>50</v>
      </c>
      <c r="BH52" s="16">
        <v>20</v>
      </c>
      <c r="BI52" s="16">
        <v>20</v>
      </c>
      <c r="BJ52" s="16">
        <v>20</v>
      </c>
      <c r="BK52" s="16">
        <v>20</v>
      </c>
      <c r="BL52" s="16">
        <v>20</v>
      </c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</row>
    <row r="53" spans="1:98" x14ac:dyDescent="0.2">
      <c r="A53" s="16">
        <v>1320112</v>
      </c>
      <c r="B53" s="17" t="s">
        <v>308</v>
      </c>
      <c r="C53" s="17" t="s">
        <v>428</v>
      </c>
      <c r="D53" s="17" t="s">
        <v>424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</row>
    <row r="54" spans="1:98" x14ac:dyDescent="0.2">
      <c r="A54" s="16">
        <v>13201120</v>
      </c>
      <c r="B54" s="17" t="s">
        <v>305</v>
      </c>
      <c r="C54" s="17" t="s">
        <v>428</v>
      </c>
      <c r="D54" s="16">
        <v>0</v>
      </c>
      <c r="E54" s="16">
        <v>100</v>
      </c>
      <c r="F54" s="16">
        <v>100</v>
      </c>
      <c r="G54" s="16">
        <v>50</v>
      </c>
      <c r="H54" s="16">
        <v>50</v>
      </c>
      <c r="I54" s="16">
        <v>50</v>
      </c>
      <c r="J54" s="16">
        <v>10</v>
      </c>
      <c r="K54" s="16">
        <v>10</v>
      </c>
      <c r="L54" s="16">
        <v>10</v>
      </c>
      <c r="M54" s="16">
        <v>10</v>
      </c>
      <c r="N54" s="16">
        <v>10</v>
      </c>
      <c r="O54" s="16">
        <v>5</v>
      </c>
      <c r="P54" s="16">
        <v>5</v>
      </c>
      <c r="Q54" s="16">
        <v>5</v>
      </c>
      <c r="R54" s="16">
        <v>5</v>
      </c>
      <c r="S54" s="16">
        <v>5</v>
      </c>
      <c r="T54" s="16">
        <v>3</v>
      </c>
      <c r="U54" s="16">
        <v>3</v>
      </c>
      <c r="V54" s="16">
        <v>3</v>
      </c>
      <c r="W54" s="16">
        <v>3</v>
      </c>
      <c r="X54" s="16">
        <v>3</v>
      </c>
      <c r="Y54" s="16">
        <v>100</v>
      </c>
      <c r="Z54" s="16">
        <v>100</v>
      </c>
      <c r="AA54" s="16">
        <v>50</v>
      </c>
      <c r="AB54" s="16">
        <v>50</v>
      </c>
      <c r="AC54" s="16">
        <v>50</v>
      </c>
      <c r="AD54" s="16">
        <v>10</v>
      </c>
      <c r="AE54" s="16">
        <v>10</v>
      </c>
      <c r="AF54" s="16">
        <v>10</v>
      </c>
      <c r="AG54" s="16">
        <v>10</v>
      </c>
      <c r="AH54" s="16">
        <v>10</v>
      </c>
      <c r="AI54" s="16">
        <v>5</v>
      </c>
      <c r="AJ54" s="16">
        <v>5</v>
      </c>
      <c r="AK54" s="16">
        <v>5</v>
      </c>
      <c r="AL54" s="16">
        <v>5</v>
      </c>
      <c r="AM54" s="16">
        <v>5</v>
      </c>
      <c r="AN54" s="16">
        <v>3</v>
      </c>
      <c r="AO54" s="16">
        <v>3</v>
      </c>
      <c r="AP54" s="16">
        <v>3</v>
      </c>
      <c r="AQ54" s="16">
        <v>3</v>
      </c>
      <c r="AR54" s="16">
        <v>3</v>
      </c>
      <c r="AS54" s="16">
        <v>100</v>
      </c>
      <c r="AT54" s="16">
        <v>100</v>
      </c>
      <c r="AU54" s="16">
        <v>50</v>
      </c>
      <c r="AV54" s="16">
        <v>50</v>
      </c>
      <c r="AW54" s="16">
        <v>50</v>
      </c>
      <c r="AX54" s="16">
        <v>10</v>
      </c>
      <c r="AY54" s="16">
        <v>10</v>
      </c>
      <c r="AZ54" s="16">
        <v>10</v>
      </c>
      <c r="BA54" s="16">
        <v>10</v>
      </c>
      <c r="BB54" s="16">
        <v>10</v>
      </c>
      <c r="BC54" s="16">
        <v>5</v>
      </c>
      <c r="BD54" s="16">
        <v>5</v>
      </c>
      <c r="BE54" s="16">
        <v>5</v>
      </c>
      <c r="BF54" s="16">
        <v>5</v>
      </c>
      <c r="BG54" s="16">
        <v>5</v>
      </c>
      <c r="BH54" s="16">
        <v>3</v>
      </c>
      <c r="BI54" s="16">
        <v>3</v>
      </c>
      <c r="BJ54" s="16">
        <v>3</v>
      </c>
      <c r="BK54" s="16">
        <v>3</v>
      </c>
      <c r="BL54" s="16">
        <v>3</v>
      </c>
      <c r="BM54" s="16" cm="1">
        <f t="array" ref="BM54">INDEX(_xlfn.ANCHORARRAY(_xlfn.XLOOKUP($D54,'-ref_Distribution'!$B$117:$B$121,'-ref_Distribution'!$G$117:$G$121)),RIGHT(BM$1,2))</f>
        <v>130</v>
      </c>
      <c r="BN54" s="16" cm="1">
        <f t="array" ref="BN54">INDEX(_xlfn.ANCHORARRAY(_xlfn.XLOOKUP($D54,'-ref_Distribution'!$B$117:$B$121,'-ref_Distribution'!$G$117:$G$121)),RIGHT(BN$1,2))</f>
        <v>84</v>
      </c>
      <c r="BO54" s="16" cm="1">
        <f t="array" ref="BO54">INDEX(_xlfn.ANCHORARRAY(_xlfn.XLOOKUP($D54,'-ref_Distribution'!$B$117:$B$121,'-ref_Distribution'!$G$117:$G$121)),RIGHT(BO$1,2))</f>
        <v>65</v>
      </c>
      <c r="BP54" s="16" cm="1">
        <f t="array" ref="BP54">INDEX(_xlfn.ANCHORARRAY(_xlfn.XLOOKUP($D54,'-ref_Distribution'!$B$117:$B$121,'-ref_Distribution'!$G$117:$G$121)),RIGHT(BP$1,2))</f>
        <v>54</v>
      </c>
      <c r="BQ54" s="16" cm="1">
        <f t="array" ref="BQ54">INDEX(_xlfn.ANCHORARRAY(_xlfn.XLOOKUP($D54,'-ref_Distribution'!$B$117:$B$121,'-ref_Distribution'!$G$117:$G$121)),RIGHT(BQ$1,2))</f>
        <v>47</v>
      </c>
      <c r="BR54" s="16" cm="1">
        <f t="array" ref="BR54">INDEX(_xlfn.ANCHORARRAY(_xlfn.XLOOKUP($D54,'-ref_Distribution'!$B$117:$B$121,'-ref_Distribution'!$G$117:$G$121)),RIGHT(BR$1,2))</f>
        <v>41</v>
      </c>
      <c r="BS54" s="16" cm="1">
        <f t="array" ref="BS54">INDEX(_xlfn.ANCHORARRAY(_xlfn.XLOOKUP($D54,'-ref_Distribution'!$B$117:$B$121,'-ref_Distribution'!$G$117:$G$121)),RIGHT(BS$1,2))</f>
        <v>38</v>
      </c>
      <c r="BT54" s="16" cm="1">
        <f t="array" ref="BT54">INDEX(_xlfn.ANCHORARRAY(_xlfn.XLOOKUP($D54,'-ref_Distribution'!$B$117:$B$121,'-ref_Distribution'!$G$117:$G$121)),RIGHT(BT$1,2))</f>
        <v>34</v>
      </c>
      <c r="BU54" s="16" cm="1">
        <f t="array" ref="BU54">INDEX(_xlfn.ANCHORARRAY(_xlfn.XLOOKUP($D54,'-ref_Distribution'!$B$117:$B$121,'-ref_Distribution'!$G$117:$G$121)),RIGHT(BU$1,2))</f>
        <v>32</v>
      </c>
      <c r="BV54" s="16" cm="1">
        <f t="array" ref="BV54">INDEX(_xlfn.ANCHORARRAY(_xlfn.XLOOKUP($D54,'-ref_Distribution'!$B$117:$B$121,'-ref_Distribution'!$G$117:$G$121)),RIGHT(BV$1,2))</f>
        <v>30</v>
      </c>
      <c r="BW54" s="16" cm="1">
        <f t="array" ref="BW54">INDEX(_xlfn.ANCHORARRAY(_xlfn.XLOOKUP($D54,'-ref_Distribution'!$B$117:$B$121,'-ref_Distribution'!$G$117:$G$121)),RIGHT(BW$1,2))</f>
        <v>28</v>
      </c>
      <c r="BX54" s="16" cm="1">
        <f t="array" ref="BX54">INDEX(_xlfn.ANCHORARRAY(_xlfn.XLOOKUP($D54,'-ref_Distribution'!$B$117:$B$121,'-ref_Distribution'!$G$117:$G$121)),RIGHT(BX$1,2))</f>
        <v>26</v>
      </c>
      <c r="BY54" s="16" cm="1">
        <f t="array" ref="BY54">INDEX(_xlfn.ANCHORARRAY(_xlfn.XLOOKUP($D54,'-ref_Distribution'!$B$117:$B$121,'-ref_Distribution'!$G$117:$G$121)),RIGHT(BY$1,2))</f>
        <v>25</v>
      </c>
      <c r="BZ54" s="16" cm="1">
        <f t="array" ref="BZ54">INDEX(_xlfn.ANCHORARRAY(_xlfn.XLOOKUP($D54,'-ref_Distribution'!$B$117:$B$121,'-ref_Distribution'!$G$117:$G$121)),RIGHT(BZ$1,2))</f>
        <v>24</v>
      </c>
      <c r="CA54" s="16" cm="1">
        <f t="array" ref="CA54">INDEX(_xlfn.ANCHORARRAY(_xlfn.XLOOKUP($D54,'-ref_Distribution'!$B$117:$B$121,'-ref_Distribution'!$G$117:$G$121)),RIGHT(CA$1,2))</f>
        <v>23</v>
      </c>
      <c r="CB54" s="16" cm="1">
        <f t="array" ref="CB54">INDEX(_xlfn.ANCHORARRAY(_xlfn.XLOOKUP($D54,'-ref_Distribution'!$B$117:$B$121,'-ref_Distribution'!$G$117:$G$121)),RIGHT(CB$1,2))</f>
        <v>22</v>
      </c>
      <c r="CC54" s="16" cm="1">
        <f t="array" ref="CC54">INDEX(_xlfn.ANCHORARRAY(_xlfn.XLOOKUP($D54,'-ref_Distribution'!$B$117:$B$121,'-ref_Distribution'!$G$117:$G$121)),RIGHT(CC$1,2))</f>
        <v>21</v>
      </c>
      <c r="CD54" s="16" cm="1">
        <f t="array" ref="CD54">INDEX(_xlfn.ANCHORARRAY(_xlfn.XLOOKUP($D54,'-ref_Distribution'!$B$117:$B$121,'-ref_Distribution'!$G$117:$G$121)),RIGHT(CD$1,2))</f>
        <v>20</v>
      </c>
      <c r="CE54" s="16" cm="1">
        <f t="array" ref="CE54">INDEX(_xlfn.ANCHORARRAY(_xlfn.XLOOKUP($D54,'-ref_Distribution'!$B$117:$B$121,'-ref_Distribution'!$G$117:$G$121)),RIGHT(CE$1,2))</f>
        <v>19</v>
      </c>
      <c r="CF54" s="16" cm="1">
        <f t="array" ref="CF54">INDEX(_xlfn.ANCHORARRAY(_xlfn.XLOOKUP($D54,'-ref_Distribution'!$B$117:$B$121,'-ref_Distribution'!$G$117:$G$121)),RIGHT(CF$1,2))</f>
        <v>18</v>
      </c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</row>
    <row r="55" spans="1:98" x14ac:dyDescent="0.2">
      <c r="A55" s="16">
        <v>13201121</v>
      </c>
      <c r="B55" s="17" t="s">
        <v>306</v>
      </c>
      <c r="C55" s="17" t="s">
        <v>428</v>
      </c>
      <c r="D55" s="16">
        <v>1</v>
      </c>
      <c r="E55" s="16">
        <v>25</v>
      </c>
      <c r="F55" s="16">
        <v>25</v>
      </c>
      <c r="G55" s="16">
        <v>100</v>
      </c>
      <c r="H55" s="16">
        <v>100</v>
      </c>
      <c r="I55" s="16">
        <v>100</v>
      </c>
      <c r="J55" s="16">
        <v>50</v>
      </c>
      <c r="K55" s="16">
        <v>50</v>
      </c>
      <c r="L55" s="16">
        <v>50</v>
      </c>
      <c r="M55" s="16">
        <v>50</v>
      </c>
      <c r="N55" s="16">
        <v>50</v>
      </c>
      <c r="O55" s="16">
        <v>20</v>
      </c>
      <c r="P55" s="16">
        <v>20</v>
      </c>
      <c r="Q55" s="16">
        <v>20</v>
      </c>
      <c r="R55" s="16">
        <v>20</v>
      </c>
      <c r="S55" s="16">
        <v>20</v>
      </c>
      <c r="T55" s="16">
        <v>10</v>
      </c>
      <c r="U55" s="16">
        <v>10</v>
      </c>
      <c r="V55" s="16">
        <v>10</v>
      </c>
      <c r="W55" s="16">
        <v>10</v>
      </c>
      <c r="X55" s="16">
        <v>10</v>
      </c>
      <c r="Y55" s="16">
        <v>25</v>
      </c>
      <c r="Z55" s="16">
        <v>25</v>
      </c>
      <c r="AA55" s="16">
        <v>100</v>
      </c>
      <c r="AB55" s="16">
        <v>100</v>
      </c>
      <c r="AC55" s="16">
        <v>100</v>
      </c>
      <c r="AD55" s="16">
        <v>50</v>
      </c>
      <c r="AE55" s="16">
        <v>50</v>
      </c>
      <c r="AF55" s="16">
        <v>50</v>
      </c>
      <c r="AG55" s="16">
        <v>50</v>
      </c>
      <c r="AH55" s="16">
        <v>50</v>
      </c>
      <c r="AI55" s="16">
        <v>20</v>
      </c>
      <c r="AJ55" s="16">
        <v>20</v>
      </c>
      <c r="AK55" s="16">
        <v>20</v>
      </c>
      <c r="AL55" s="16">
        <v>20</v>
      </c>
      <c r="AM55" s="16">
        <v>20</v>
      </c>
      <c r="AN55" s="16">
        <v>10</v>
      </c>
      <c r="AO55" s="16">
        <v>10</v>
      </c>
      <c r="AP55" s="16">
        <v>10</v>
      </c>
      <c r="AQ55" s="16">
        <v>10</v>
      </c>
      <c r="AR55" s="16">
        <v>10</v>
      </c>
      <c r="AS55" s="16">
        <v>25</v>
      </c>
      <c r="AT55" s="16">
        <v>25</v>
      </c>
      <c r="AU55" s="16">
        <v>100</v>
      </c>
      <c r="AV55" s="16">
        <v>100</v>
      </c>
      <c r="AW55" s="16">
        <v>100</v>
      </c>
      <c r="AX55" s="16">
        <v>50</v>
      </c>
      <c r="AY55" s="16">
        <v>50</v>
      </c>
      <c r="AZ55" s="16">
        <v>50</v>
      </c>
      <c r="BA55" s="16">
        <v>50</v>
      </c>
      <c r="BB55" s="16">
        <v>50</v>
      </c>
      <c r="BC55" s="16">
        <v>20</v>
      </c>
      <c r="BD55" s="16">
        <v>20</v>
      </c>
      <c r="BE55" s="16">
        <v>20</v>
      </c>
      <c r="BF55" s="16">
        <v>20</v>
      </c>
      <c r="BG55" s="16">
        <v>20</v>
      </c>
      <c r="BH55" s="16">
        <v>10</v>
      </c>
      <c r="BI55" s="16">
        <v>10</v>
      </c>
      <c r="BJ55" s="16">
        <v>10</v>
      </c>
      <c r="BK55" s="16">
        <v>10</v>
      </c>
      <c r="BL55" s="16">
        <v>10</v>
      </c>
      <c r="BM55" s="16" cm="1">
        <f t="array" ref="BM55">INDEX(_xlfn.ANCHORARRAY(_xlfn.XLOOKUP($D55,'-ref_Distribution'!$B$117:$B$121,'-ref_Distribution'!$G$117:$G$121)),RIGHT(BM$1,2))</f>
        <v>78</v>
      </c>
      <c r="BN55" s="16" cm="1">
        <f t="array" ref="BN55">INDEX(_xlfn.ANCHORARRAY(_xlfn.XLOOKUP($D55,'-ref_Distribution'!$B$117:$B$121,'-ref_Distribution'!$G$117:$G$121)),RIGHT(BN$1,2))</f>
        <v>72</v>
      </c>
      <c r="BO55" s="16" cm="1">
        <f t="array" ref="BO55">INDEX(_xlfn.ANCHORARRAY(_xlfn.XLOOKUP($D55,'-ref_Distribution'!$B$117:$B$121,'-ref_Distribution'!$G$117:$G$121)),RIGHT(BO$1,2))</f>
        <v>66</v>
      </c>
      <c r="BP55" s="16" cm="1">
        <f t="array" ref="BP55">INDEX(_xlfn.ANCHORARRAY(_xlfn.XLOOKUP($D55,'-ref_Distribution'!$B$117:$B$121,'-ref_Distribution'!$G$117:$G$121)),RIGHT(BP$1,2))</f>
        <v>61</v>
      </c>
      <c r="BQ55" s="16" cm="1">
        <f t="array" ref="BQ55">INDEX(_xlfn.ANCHORARRAY(_xlfn.XLOOKUP($D55,'-ref_Distribution'!$B$117:$B$121,'-ref_Distribution'!$G$117:$G$121)),RIGHT(BQ$1,2))</f>
        <v>58</v>
      </c>
      <c r="BR55" s="16" cm="1">
        <f t="array" ref="BR55">INDEX(_xlfn.ANCHORARRAY(_xlfn.XLOOKUP($D55,'-ref_Distribution'!$B$117:$B$121,'-ref_Distribution'!$G$117:$G$121)),RIGHT(BR$1,2))</f>
        <v>55</v>
      </c>
      <c r="BS55" s="16" cm="1">
        <f t="array" ref="BS55">INDEX(_xlfn.ANCHORARRAY(_xlfn.XLOOKUP($D55,'-ref_Distribution'!$B$117:$B$121,'-ref_Distribution'!$G$117:$G$121)),RIGHT(BS$1,2))</f>
        <v>52</v>
      </c>
      <c r="BT55" s="16" cm="1">
        <f t="array" ref="BT55">INDEX(_xlfn.ANCHORARRAY(_xlfn.XLOOKUP($D55,'-ref_Distribution'!$B$117:$B$121,'-ref_Distribution'!$G$117:$G$121)),RIGHT(BT$1,2))</f>
        <v>50</v>
      </c>
      <c r="BU55" s="16" cm="1">
        <f t="array" ref="BU55">INDEX(_xlfn.ANCHORARRAY(_xlfn.XLOOKUP($D55,'-ref_Distribution'!$B$117:$B$121,'-ref_Distribution'!$G$117:$G$121)),RIGHT(BU$1,2))</f>
        <v>48</v>
      </c>
      <c r="BV55" s="16" cm="1">
        <f t="array" ref="BV55">INDEX(_xlfn.ANCHORARRAY(_xlfn.XLOOKUP($D55,'-ref_Distribution'!$B$117:$B$121,'-ref_Distribution'!$G$117:$G$121)),RIGHT(BV$1,2))</f>
        <v>47</v>
      </c>
      <c r="BW55" s="16" cm="1">
        <f t="array" ref="BW55">INDEX(_xlfn.ANCHORARRAY(_xlfn.XLOOKUP($D55,'-ref_Distribution'!$B$117:$B$121,'-ref_Distribution'!$G$117:$G$121)),RIGHT(BW$1,2))</f>
        <v>46</v>
      </c>
      <c r="BX55" s="16" cm="1">
        <f t="array" ref="BX55">INDEX(_xlfn.ANCHORARRAY(_xlfn.XLOOKUP($D55,'-ref_Distribution'!$B$117:$B$121,'-ref_Distribution'!$G$117:$G$121)),RIGHT(BX$1,2))</f>
        <v>44</v>
      </c>
      <c r="BY55" s="16" cm="1">
        <f t="array" ref="BY55">INDEX(_xlfn.ANCHORARRAY(_xlfn.XLOOKUP($D55,'-ref_Distribution'!$B$117:$B$121,'-ref_Distribution'!$G$117:$G$121)),RIGHT(BY$1,2))</f>
        <v>43</v>
      </c>
      <c r="BZ55" s="16" cm="1">
        <f t="array" ref="BZ55">INDEX(_xlfn.ANCHORARRAY(_xlfn.XLOOKUP($D55,'-ref_Distribution'!$B$117:$B$121,'-ref_Distribution'!$G$117:$G$121)),RIGHT(BZ$1,2))</f>
        <v>42</v>
      </c>
      <c r="CA55" s="16" cm="1">
        <f t="array" ref="CA55">INDEX(_xlfn.ANCHORARRAY(_xlfn.XLOOKUP($D55,'-ref_Distribution'!$B$117:$B$121,'-ref_Distribution'!$G$117:$G$121)),RIGHT(CA$1,2))</f>
        <v>41</v>
      </c>
      <c r="CB55" s="16" cm="1">
        <f t="array" ref="CB55">INDEX(_xlfn.ANCHORARRAY(_xlfn.XLOOKUP($D55,'-ref_Distribution'!$B$117:$B$121,'-ref_Distribution'!$G$117:$G$121)),RIGHT(CB$1,2))</f>
        <v>40</v>
      </c>
      <c r="CC55" s="16" cm="1">
        <f t="array" ref="CC55">INDEX(_xlfn.ANCHORARRAY(_xlfn.XLOOKUP($D55,'-ref_Distribution'!$B$117:$B$121,'-ref_Distribution'!$G$117:$G$121)),RIGHT(CC$1,2))</f>
        <v>40</v>
      </c>
      <c r="CD55" s="16" cm="1">
        <f t="array" ref="CD55">INDEX(_xlfn.ANCHORARRAY(_xlfn.XLOOKUP($D55,'-ref_Distribution'!$B$117:$B$121,'-ref_Distribution'!$G$117:$G$121)),RIGHT(CD$1,2))</f>
        <v>39</v>
      </c>
      <c r="CE55" s="16" cm="1">
        <f t="array" ref="CE55">INDEX(_xlfn.ANCHORARRAY(_xlfn.XLOOKUP($D55,'-ref_Distribution'!$B$117:$B$121,'-ref_Distribution'!$G$117:$G$121)),RIGHT(CE$1,2))</f>
        <v>38</v>
      </c>
      <c r="CF55" s="16" cm="1">
        <f t="array" ref="CF55">INDEX(_xlfn.ANCHORARRAY(_xlfn.XLOOKUP($D55,'-ref_Distribution'!$B$117:$B$121,'-ref_Distribution'!$G$117:$G$121)),RIGHT(CF$1,2))</f>
        <v>38</v>
      </c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</row>
    <row r="56" spans="1:98" x14ac:dyDescent="0.2">
      <c r="A56" s="16">
        <v>13201122</v>
      </c>
      <c r="B56" s="17" t="s">
        <v>307</v>
      </c>
      <c r="C56" s="17" t="s">
        <v>428</v>
      </c>
      <c r="D56" s="16">
        <v>2</v>
      </c>
      <c r="E56" s="16">
        <v>0</v>
      </c>
      <c r="F56" s="16">
        <v>0</v>
      </c>
      <c r="G56" s="16">
        <v>25</v>
      </c>
      <c r="H56" s="16">
        <v>25</v>
      </c>
      <c r="I56" s="16">
        <v>25</v>
      </c>
      <c r="J56" s="16">
        <v>100</v>
      </c>
      <c r="K56" s="16">
        <v>100</v>
      </c>
      <c r="L56" s="16">
        <v>100</v>
      </c>
      <c r="M56" s="16">
        <v>100</v>
      </c>
      <c r="N56" s="16">
        <v>100</v>
      </c>
      <c r="O56" s="16">
        <v>50</v>
      </c>
      <c r="P56" s="16">
        <v>50</v>
      </c>
      <c r="Q56" s="16">
        <v>50</v>
      </c>
      <c r="R56" s="16">
        <v>50</v>
      </c>
      <c r="S56" s="16">
        <v>50</v>
      </c>
      <c r="T56" s="16">
        <v>20</v>
      </c>
      <c r="U56" s="16">
        <v>20</v>
      </c>
      <c r="V56" s="16">
        <v>20</v>
      </c>
      <c r="W56" s="16">
        <v>20</v>
      </c>
      <c r="X56" s="16">
        <v>20</v>
      </c>
      <c r="Y56" s="16">
        <v>0</v>
      </c>
      <c r="Z56" s="16">
        <v>0</v>
      </c>
      <c r="AA56" s="16">
        <v>25</v>
      </c>
      <c r="AB56" s="16">
        <v>25</v>
      </c>
      <c r="AC56" s="16">
        <v>25</v>
      </c>
      <c r="AD56" s="16">
        <v>100</v>
      </c>
      <c r="AE56" s="16">
        <v>100</v>
      </c>
      <c r="AF56" s="16">
        <v>100</v>
      </c>
      <c r="AG56" s="16">
        <v>100</v>
      </c>
      <c r="AH56" s="16">
        <v>100</v>
      </c>
      <c r="AI56" s="16">
        <v>50</v>
      </c>
      <c r="AJ56" s="16">
        <v>50</v>
      </c>
      <c r="AK56" s="16">
        <v>50</v>
      </c>
      <c r="AL56" s="16">
        <v>50</v>
      </c>
      <c r="AM56" s="16">
        <v>50</v>
      </c>
      <c r="AN56" s="16">
        <v>20</v>
      </c>
      <c r="AO56" s="16">
        <v>20</v>
      </c>
      <c r="AP56" s="16">
        <v>20</v>
      </c>
      <c r="AQ56" s="16">
        <v>20</v>
      </c>
      <c r="AR56" s="16">
        <v>20</v>
      </c>
      <c r="AS56" s="16">
        <v>0</v>
      </c>
      <c r="AT56" s="16">
        <v>0</v>
      </c>
      <c r="AU56" s="16">
        <v>25</v>
      </c>
      <c r="AV56" s="16">
        <v>25</v>
      </c>
      <c r="AW56" s="16">
        <v>25</v>
      </c>
      <c r="AX56" s="16">
        <v>100</v>
      </c>
      <c r="AY56" s="16">
        <v>100</v>
      </c>
      <c r="AZ56" s="16">
        <v>100</v>
      </c>
      <c r="BA56" s="16">
        <v>100</v>
      </c>
      <c r="BB56" s="16">
        <v>100</v>
      </c>
      <c r="BC56" s="16">
        <v>50</v>
      </c>
      <c r="BD56" s="16">
        <v>50</v>
      </c>
      <c r="BE56" s="16">
        <v>50</v>
      </c>
      <c r="BF56" s="16">
        <v>50</v>
      </c>
      <c r="BG56" s="16">
        <v>50</v>
      </c>
      <c r="BH56" s="16">
        <v>20</v>
      </c>
      <c r="BI56" s="16">
        <v>20</v>
      </c>
      <c r="BJ56" s="16">
        <v>20</v>
      </c>
      <c r="BK56" s="16">
        <v>20</v>
      </c>
      <c r="BL56" s="16">
        <v>20</v>
      </c>
      <c r="BM56" s="16" cm="1">
        <f t="array" ref="BM56">INDEX(_xlfn.ANCHORARRAY(_xlfn.XLOOKUP($D56,'-ref_Distribution'!$B$117:$B$121,'-ref_Distribution'!$G$117:$G$121)),RIGHT(BM$1,2))</f>
        <v>0</v>
      </c>
      <c r="BN56" s="16" cm="1">
        <f t="array" ref="BN56">INDEX(_xlfn.ANCHORARRAY(_xlfn.XLOOKUP($D56,'-ref_Distribution'!$B$117:$B$121,'-ref_Distribution'!$G$117:$G$121)),RIGHT(BN$1,2))</f>
        <v>5</v>
      </c>
      <c r="BO56" s="16" cm="1">
        <f t="array" ref="BO56">INDEX(_xlfn.ANCHORARRAY(_xlfn.XLOOKUP($D56,'-ref_Distribution'!$B$117:$B$121,'-ref_Distribution'!$G$117:$G$121)),RIGHT(BO$1,2))</f>
        <v>12</v>
      </c>
      <c r="BP56" s="16" cm="1">
        <f t="array" ref="BP56">INDEX(_xlfn.ANCHORARRAY(_xlfn.XLOOKUP($D56,'-ref_Distribution'!$B$117:$B$121,'-ref_Distribution'!$G$117:$G$121)),RIGHT(BP$1,2))</f>
        <v>16</v>
      </c>
      <c r="BQ56" s="16" cm="1">
        <f t="array" ref="BQ56">INDEX(_xlfn.ANCHORARRAY(_xlfn.XLOOKUP($D56,'-ref_Distribution'!$B$117:$B$121,'-ref_Distribution'!$G$117:$G$121)),RIGHT(BQ$1,2))</f>
        <v>19</v>
      </c>
      <c r="BR56" s="16" cm="1">
        <f t="array" ref="BR56">INDEX(_xlfn.ANCHORARRAY(_xlfn.XLOOKUP($D56,'-ref_Distribution'!$B$117:$B$121,'-ref_Distribution'!$G$117:$G$121)),RIGHT(BR$1,2))</f>
        <v>22</v>
      </c>
      <c r="BS56" s="16" cm="1">
        <f t="array" ref="BS56">INDEX(_xlfn.ANCHORARRAY(_xlfn.XLOOKUP($D56,'-ref_Distribution'!$B$117:$B$121,'-ref_Distribution'!$G$117:$G$121)),RIGHT(BS$1,2))</f>
        <v>23</v>
      </c>
      <c r="BT56" s="16" cm="1">
        <f t="array" ref="BT56">INDEX(_xlfn.ANCHORARRAY(_xlfn.XLOOKUP($D56,'-ref_Distribution'!$B$117:$B$121,'-ref_Distribution'!$G$117:$G$121)),RIGHT(BT$1,2))</f>
        <v>25</v>
      </c>
      <c r="BU56" s="16" cm="1">
        <f t="array" ref="BU56">INDEX(_xlfn.ANCHORARRAY(_xlfn.XLOOKUP($D56,'-ref_Distribution'!$B$117:$B$121,'-ref_Distribution'!$G$117:$G$121)),RIGHT(BU$1,2))</f>
        <v>26</v>
      </c>
      <c r="BV56" s="16" cm="1">
        <f t="array" ref="BV56">INDEX(_xlfn.ANCHORARRAY(_xlfn.XLOOKUP($D56,'-ref_Distribution'!$B$117:$B$121,'-ref_Distribution'!$G$117:$G$121)),RIGHT(BV$1,2))</f>
        <v>27</v>
      </c>
      <c r="BW56" s="16" cm="1">
        <f t="array" ref="BW56">INDEX(_xlfn.ANCHORARRAY(_xlfn.XLOOKUP($D56,'-ref_Distribution'!$B$117:$B$121,'-ref_Distribution'!$G$117:$G$121)),RIGHT(BW$1,2))</f>
        <v>27</v>
      </c>
      <c r="BX56" s="16" cm="1">
        <f t="array" ref="BX56">INDEX(_xlfn.ANCHORARRAY(_xlfn.XLOOKUP($D56,'-ref_Distribution'!$B$117:$B$121,'-ref_Distribution'!$G$117:$G$121)),RIGHT(BX$1,2))</f>
        <v>28</v>
      </c>
      <c r="BY56" s="16" cm="1">
        <f t="array" ref="BY56">INDEX(_xlfn.ANCHORARRAY(_xlfn.XLOOKUP($D56,'-ref_Distribution'!$B$117:$B$121,'-ref_Distribution'!$G$117:$G$121)),RIGHT(BY$1,2))</f>
        <v>29</v>
      </c>
      <c r="BZ56" s="16" cm="1">
        <f t="array" ref="BZ56">INDEX(_xlfn.ANCHORARRAY(_xlfn.XLOOKUP($D56,'-ref_Distribution'!$B$117:$B$121,'-ref_Distribution'!$G$117:$G$121)),RIGHT(BZ$1,2))</f>
        <v>29</v>
      </c>
      <c r="CA56" s="16" cm="1">
        <f t="array" ref="CA56">INDEX(_xlfn.ANCHORARRAY(_xlfn.XLOOKUP($D56,'-ref_Distribution'!$B$117:$B$121,'-ref_Distribution'!$G$117:$G$121)),RIGHT(CA$1,2))</f>
        <v>30</v>
      </c>
      <c r="CB56" s="16" cm="1">
        <f t="array" ref="CB56">INDEX(_xlfn.ANCHORARRAY(_xlfn.XLOOKUP($D56,'-ref_Distribution'!$B$117:$B$121,'-ref_Distribution'!$G$117:$G$121)),RIGHT(CB$1,2))</f>
        <v>30</v>
      </c>
      <c r="CC56" s="16" cm="1">
        <f t="array" ref="CC56">INDEX(_xlfn.ANCHORARRAY(_xlfn.XLOOKUP($D56,'-ref_Distribution'!$B$117:$B$121,'-ref_Distribution'!$G$117:$G$121)),RIGHT(CC$1,2))</f>
        <v>30</v>
      </c>
      <c r="CD56" s="16" cm="1">
        <f t="array" ref="CD56">INDEX(_xlfn.ANCHORARRAY(_xlfn.XLOOKUP($D56,'-ref_Distribution'!$B$117:$B$121,'-ref_Distribution'!$G$117:$G$121)),RIGHT(CD$1,2))</f>
        <v>30</v>
      </c>
      <c r="CE56" s="16" cm="1">
        <f t="array" ref="CE56">INDEX(_xlfn.ANCHORARRAY(_xlfn.XLOOKUP($D56,'-ref_Distribution'!$B$117:$B$121,'-ref_Distribution'!$G$117:$G$121)),RIGHT(CE$1,2))</f>
        <v>31</v>
      </c>
      <c r="CF56" s="16" cm="1">
        <f t="array" ref="CF56">INDEX(_xlfn.ANCHORARRAY(_xlfn.XLOOKUP($D56,'-ref_Distribution'!$B$117:$B$121,'-ref_Distribution'!$G$117:$G$121)),RIGHT(CF$1,2))</f>
        <v>31</v>
      </c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</row>
    <row r="57" spans="1:98" x14ac:dyDescent="0.2">
      <c r="A57" s="16">
        <v>1320113</v>
      </c>
      <c r="B57" s="16" t="s">
        <v>59</v>
      </c>
      <c r="C57" s="17" t="s">
        <v>428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25</v>
      </c>
      <c r="K57" s="16">
        <v>25</v>
      </c>
      <c r="L57" s="16">
        <v>25</v>
      </c>
      <c r="M57" s="16">
        <v>25</v>
      </c>
      <c r="N57" s="16">
        <v>25</v>
      </c>
      <c r="O57" s="16">
        <v>100</v>
      </c>
      <c r="P57" s="16">
        <v>100</v>
      </c>
      <c r="Q57" s="16">
        <v>100</v>
      </c>
      <c r="R57" s="16">
        <v>100</v>
      </c>
      <c r="S57" s="16">
        <v>100</v>
      </c>
      <c r="T57" s="16">
        <v>70</v>
      </c>
      <c r="U57" s="16">
        <v>70</v>
      </c>
      <c r="V57" s="16">
        <v>70</v>
      </c>
      <c r="W57" s="16">
        <v>70</v>
      </c>
      <c r="X57" s="16">
        <v>70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25</v>
      </c>
      <c r="AE57" s="16">
        <v>25</v>
      </c>
      <c r="AF57" s="16">
        <v>25</v>
      </c>
      <c r="AG57" s="16">
        <v>25</v>
      </c>
      <c r="AH57" s="16">
        <v>25</v>
      </c>
      <c r="AI57" s="16">
        <v>100</v>
      </c>
      <c r="AJ57" s="16">
        <v>100</v>
      </c>
      <c r="AK57" s="16">
        <v>100</v>
      </c>
      <c r="AL57" s="16">
        <v>100</v>
      </c>
      <c r="AM57" s="16">
        <v>100</v>
      </c>
      <c r="AN57" s="16">
        <v>70</v>
      </c>
      <c r="AO57" s="16">
        <v>70</v>
      </c>
      <c r="AP57" s="16">
        <v>70</v>
      </c>
      <c r="AQ57" s="16">
        <v>70</v>
      </c>
      <c r="AR57" s="16">
        <v>70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25</v>
      </c>
      <c r="AY57" s="16">
        <v>25</v>
      </c>
      <c r="AZ57" s="16">
        <v>25</v>
      </c>
      <c r="BA57" s="16">
        <v>25</v>
      </c>
      <c r="BB57" s="16">
        <v>25</v>
      </c>
      <c r="BC57" s="16">
        <v>100</v>
      </c>
      <c r="BD57" s="16">
        <v>100</v>
      </c>
      <c r="BE57" s="16">
        <v>100</v>
      </c>
      <c r="BF57" s="16">
        <v>100</v>
      </c>
      <c r="BG57" s="16">
        <v>100</v>
      </c>
      <c r="BH57" s="16">
        <v>70</v>
      </c>
      <c r="BI57" s="16">
        <v>70</v>
      </c>
      <c r="BJ57" s="16">
        <v>70</v>
      </c>
      <c r="BK57" s="16">
        <v>70</v>
      </c>
      <c r="BL57" s="16">
        <v>70</v>
      </c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</row>
    <row r="58" spans="1:98" x14ac:dyDescent="0.2">
      <c r="A58" s="16">
        <v>1320114</v>
      </c>
      <c r="B58" s="16" t="s">
        <v>34</v>
      </c>
      <c r="C58" s="17" t="s">
        <v>428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25</v>
      </c>
      <c r="K58" s="16">
        <v>25</v>
      </c>
      <c r="L58" s="16">
        <v>25</v>
      </c>
      <c r="M58" s="16">
        <v>25</v>
      </c>
      <c r="N58" s="16">
        <v>25</v>
      </c>
      <c r="O58" s="16">
        <v>100</v>
      </c>
      <c r="P58" s="16">
        <v>100</v>
      </c>
      <c r="Q58" s="16">
        <v>100</v>
      </c>
      <c r="R58" s="16">
        <v>100</v>
      </c>
      <c r="S58" s="16">
        <v>100</v>
      </c>
      <c r="T58" s="16">
        <v>70</v>
      </c>
      <c r="U58" s="16">
        <v>70</v>
      </c>
      <c r="V58" s="16">
        <v>70</v>
      </c>
      <c r="W58" s="16">
        <v>70</v>
      </c>
      <c r="X58" s="16">
        <v>70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25</v>
      </c>
      <c r="AE58" s="16">
        <v>25</v>
      </c>
      <c r="AF58" s="16">
        <v>25</v>
      </c>
      <c r="AG58" s="16">
        <v>25</v>
      </c>
      <c r="AH58" s="16">
        <v>25</v>
      </c>
      <c r="AI58" s="16">
        <v>100</v>
      </c>
      <c r="AJ58" s="16">
        <v>100</v>
      </c>
      <c r="AK58" s="16">
        <v>100</v>
      </c>
      <c r="AL58" s="16">
        <v>100</v>
      </c>
      <c r="AM58" s="16">
        <v>100</v>
      </c>
      <c r="AN58" s="16">
        <v>70</v>
      </c>
      <c r="AO58" s="16">
        <v>70</v>
      </c>
      <c r="AP58" s="16">
        <v>70</v>
      </c>
      <c r="AQ58" s="16">
        <v>70</v>
      </c>
      <c r="AR58" s="16">
        <v>70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25</v>
      </c>
      <c r="AY58" s="16">
        <v>25</v>
      </c>
      <c r="AZ58" s="16">
        <v>25</v>
      </c>
      <c r="BA58" s="16">
        <v>25</v>
      </c>
      <c r="BB58" s="16">
        <v>25</v>
      </c>
      <c r="BC58" s="16">
        <v>100</v>
      </c>
      <c r="BD58" s="16">
        <v>100</v>
      </c>
      <c r="BE58" s="16">
        <v>100</v>
      </c>
      <c r="BF58" s="16">
        <v>100</v>
      </c>
      <c r="BG58" s="16">
        <v>100</v>
      </c>
      <c r="BH58" s="16">
        <v>70</v>
      </c>
      <c r="BI58" s="16">
        <v>70</v>
      </c>
      <c r="BJ58" s="16">
        <v>70</v>
      </c>
      <c r="BK58" s="16">
        <v>70</v>
      </c>
      <c r="BL58" s="16">
        <v>70</v>
      </c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</row>
    <row r="59" spans="1:98" x14ac:dyDescent="0.2">
      <c r="A59" s="16">
        <v>1320115</v>
      </c>
      <c r="B59" s="16" t="s">
        <v>90</v>
      </c>
      <c r="C59" s="17" t="s">
        <v>428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25</v>
      </c>
      <c r="K59" s="16">
        <v>25</v>
      </c>
      <c r="L59" s="16">
        <v>25</v>
      </c>
      <c r="M59" s="16">
        <v>25</v>
      </c>
      <c r="N59" s="16">
        <v>25</v>
      </c>
      <c r="O59" s="16">
        <v>100</v>
      </c>
      <c r="P59" s="16">
        <v>100</v>
      </c>
      <c r="Q59" s="16">
        <v>100</v>
      </c>
      <c r="R59" s="16">
        <v>100</v>
      </c>
      <c r="S59" s="16">
        <v>100</v>
      </c>
      <c r="T59" s="16">
        <v>70</v>
      </c>
      <c r="U59" s="16">
        <v>70</v>
      </c>
      <c r="V59" s="16">
        <v>70</v>
      </c>
      <c r="W59" s="16">
        <v>70</v>
      </c>
      <c r="X59" s="16">
        <v>70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25</v>
      </c>
      <c r="AE59" s="16">
        <v>25</v>
      </c>
      <c r="AF59" s="16">
        <v>25</v>
      </c>
      <c r="AG59" s="16">
        <v>25</v>
      </c>
      <c r="AH59" s="16">
        <v>25</v>
      </c>
      <c r="AI59" s="16">
        <v>100</v>
      </c>
      <c r="AJ59" s="16">
        <v>100</v>
      </c>
      <c r="AK59" s="16">
        <v>100</v>
      </c>
      <c r="AL59" s="16">
        <v>100</v>
      </c>
      <c r="AM59" s="16">
        <v>100</v>
      </c>
      <c r="AN59" s="16">
        <v>70</v>
      </c>
      <c r="AO59" s="16">
        <v>70</v>
      </c>
      <c r="AP59" s="16">
        <v>70</v>
      </c>
      <c r="AQ59" s="16">
        <v>70</v>
      </c>
      <c r="AR59" s="16">
        <v>70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25</v>
      </c>
      <c r="AY59" s="16">
        <v>25</v>
      </c>
      <c r="AZ59" s="16">
        <v>25</v>
      </c>
      <c r="BA59" s="16">
        <v>25</v>
      </c>
      <c r="BB59" s="16">
        <v>25</v>
      </c>
      <c r="BC59" s="16">
        <v>100</v>
      </c>
      <c r="BD59" s="16">
        <v>100</v>
      </c>
      <c r="BE59" s="16">
        <v>100</v>
      </c>
      <c r="BF59" s="16">
        <v>100</v>
      </c>
      <c r="BG59" s="16">
        <v>100</v>
      </c>
      <c r="BH59" s="16">
        <v>70</v>
      </c>
      <c r="BI59" s="16">
        <v>70</v>
      </c>
      <c r="BJ59" s="16">
        <v>70</v>
      </c>
      <c r="BK59" s="16">
        <v>70</v>
      </c>
      <c r="BL59" s="16">
        <v>70</v>
      </c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</row>
    <row r="60" spans="1:98" x14ac:dyDescent="0.2">
      <c r="A60" s="16">
        <v>1321101</v>
      </c>
      <c r="B60" s="16" t="s">
        <v>32</v>
      </c>
      <c r="C60" s="17" t="s">
        <v>428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</row>
    <row r="61" spans="1:98" x14ac:dyDescent="0.2">
      <c r="A61" s="16">
        <v>1321102</v>
      </c>
      <c r="B61" s="16" t="s">
        <v>33</v>
      </c>
      <c r="C61" s="17" t="s">
        <v>428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</row>
    <row r="62" spans="1:98" x14ac:dyDescent="0.2"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</row>
    <row r="63" spans="1:98" x14ac:dyDescent="0.2">
      <c r="A63" s="16">
        <v>1330101</v>
      </c>
      <c r="B63" s="16" t="s">
        <v>361</v>
      </c>
      <c r="C63" s="17" t="s">
        <v>429</v>
      </c>
      <c r="D63" s="17" t="s">
        <v>424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</row>
    <row r="64" spans="1:98" x14ac:dyDescent="0.2">
      <c r="A64" s="16">
        <v>13301012</v>
      </c>
      <c r="B64" s="16" t="s">
        <v>362</v>
      </c>
      <c r="C64" s="17" t="s">
        <v>429</v>
      </c>
      <c r="D64" s="16">
        <v>2</v>
      </c>
      <c r="E64" s="16">
        <v>0</v>
      </c>
      <c r="F64" s="16">
        <v>0</v>
      </c>
      <c r="G64" s="16">
        <v>0</v>
      </c>
      <c r="H64" s="16">
        <v>0</v>
      </c>
      <c r="I64" s="16">
        <v>12</v>
      </c>
      <c r="J64" s="16">
        <v>12</v>
      </c>
      <c r="K64" s="16">
        <v>12</v>
      </c>
      <c r="L64" s="16">
        <v>30</v>
      </c>
      <c r="M64" s="16">
        <v>30</v>
      </c>
      <c r="N64" s="16">
        <v>30</v>
      </c>
      <c r="O64" s="16">
        <v>60</v>
      </c>
      <c r="P64" s="16">
        <v>60</v>
      </c>
      <c r="Q64" s="16">
        <v>60</v>
      </c>
      <c r="R64" s="16">
        <v>60</v>
      </c>
      <c r="S64" s="16">
        <v>50</v>
      </c>
      <c r="T64" s="16">
        <v>50</v>
      </c>
      <c r="U64" s="16">
        <v>25</v>
      </c>
      <c r="V64" s="16">
        <v>25</v>
      </c>
      <c r="W64" s="16">
        <v>10</v>
      </c>
      <c r="X64" s="16">
        <v>10</v>
      </c>
      <c r="Y64" s="16">
        <v>0</v>
      </c>
      <c r="Z64" s="16">
        <v>0</v>
      </c>
      <c r="AA64" s="16">
        <v>0</v>
      </c>
      <c r="AB64" s="16">
        <v>0</v>
      </c>
      <c r="AC64" s="16">
        <v>12</v>
      </c>
      <c r="AD64" s="16">
        <v>12</v>
      </c>
      <c r="AE64" s="16">
        <v>12</v>
      </c>
      <c r="AF64" s="16">
        <v>30</v>
      </c>
      <c r="AG64" s="16">
        <v>30</v>
      </c>
      <c r="AH64" s="16">
        <v>30</v>
      </c>
      <c r="AI64" s="16">
        <v>60</v>
      </c>
      <c r="AJ64" s="16">
        <v>60</v>
      </c>
      <c r="AK64" s="16">
        <v>60</v>
      </c>
      <c r="AL64" s="16">
        <v>60</v>
      </c>
      <c r="AM64" s="16">
        <v>50</v>
      </c>
      <c r="AN64" s="16">
        <v>50</v>
      </c>
      <c r="AO64" s="16">
        <v>25</v>
      </c>
      <c r="AP64" s="16">
        <v>25</v>
      </c>
      <c r="AQ64" s="16">
        <v>10</v>
      </c>
      <c r="AR64" s="16">
        <v>10</v>
      </c>
      <c r="AS64" s="16">
        <v>0</v>
      </c>
      <c r="AT64" s="16">
        <v>0</v>
      </c>
      <c r="AU64" s="16">
        <v>0</v>
      </c>
      <c r="AV64" s="16">
        <v>0</v>
      </c>
      <c r="AW64" s="16">
        <v>12</v>
      </c>
      <c r="AX64" s="16">
        <v>12</v>
      </c>
      <c r="AY64" s="16">
        <v>12</v>
      </c>
      <c r="AZ64" s="16">
        <v>30</v>
      </c>
      <c r="BA64" s="16">
        <v>30</v>
      </c>
      <c r="BB64" s="16">
        <v>30</v>
      </c>
      <c r="BC64" s="16">
        <v>60</v>
      </c>
      <c r="BD64" s="16">
        <v>60</v>
      </c>
      <c r="BE64" s="16">
        <v>60</v>
      </c>
      <c r="BF64" s="16">
        <v>60</v>
      </c>
      <c r="BG64" s="16">
        <v>50</v>
      </c>
      <c r="BH64" s="16">
        <v>50</v>
      </c>
      <c r="BI64" s="16">
        <v>25</v>
      </c>
      <c r="BJ64" s="16">
        <v>25</v>
      </c>
      <c r="BK64" s="16">
        <v>10</v>
      </c>
      <c r="BL64" s="16">
        <v>10</v>
      </c>
      <c r="BM64" s="16" cm="1">
        <f t="array" ref="BM64">INDEX(_xlfn.ANCHORARRAY(_xlfn.XLOOKUP($D64,'-ref_Distribution'!$B$117:$B$121,'-ref_Distribution'!$G$117:$G$121)),RIGHT(BM$1,2))</f>
        <v>0</v>
      </c>
      <c r="BN64" s="16" cm="1">
        <f t="array" ref="BN64">INDEX(_xlfn.ANCHORARRAY(_xlfn.XLOOKUP($D64,'-ref_Distribution'!$B$117:$B$121,'-ref_Distribution'!$G$117:$G$121)),RIGHT(BN$1,2))</f>
        <v>5</v>
      </c>
      <c r="BO64" s="16" cm="1">
        <f t="array" ref="BO64">INDEX(_xlfn.ANCHORARRAY(_xlfn.XLOOKUP($D64,'-ref_Distribution'!$B$117:$B$121,'-ref_Distribution'!$G$117:$G$121)),RIGHT(BO$1,2))</f>
        <v>12</v>
      </c>
      <c r="BP64" s="16" cm="1">
        <f t="array" ref="BP64">INDEX(_xlfn.ANCHORARRAY(_xlfn.XLOOKUP($D64,'-ref_Distribution'!$B$117:$B$121,'-ref_Distribution'!$G$117:$G$121)),RIGHT(BP$1,2))</f>
        <v>16</v>
      </c>
      <c r="BQ64" s="16" cm="1">
        <f t="array" ref="BQ64">INDEX(_xlfn.ANCHORARRAY(_xlfn.XLOOKUP($D64,'-ref_Distribution'!$B$117:$B$121,'-ref_Distribution'!$G$117:$G$121)),RIGHT(BQ$1,2))</f>
        <v>19</v>
      </c>
      <c r="BR64" s="16" cm="1">
        <f t="array" ref="BR64">INDEX(_xlfn.ANCHORARRAY(_xlfn.XLOOKUP($D64,'-ref_Distribution'!$B$117:$B$121,'-ref_Distribution'!$G$117:$G$121)),RIGHT(BR$1,2))</f>
        <v>22</v>
      </c>
      <c r="BS64" s="16" cm="1">
        <f t="array" ref="BS64">INDEX(_xlfn.ANCHORARRAY(_xlfn.XLOOKUP($D64,'-ref_Distribution'!$B$117:$B$121,'-ref_Distribution'!$G$117:$G$121)),RIGHT(BS$1,2))</f>
        <v>23</v>
      </c>
      <c r="BT64" s="16" cm="1">
        <f t="array" ref="BT64">INDEX(_xlfn.ANCHORARRAY(_xlfn.XLOOKUP($D64,'-ref_Distribution'!$B$117:$B$121,'-ref_Distribution'!$G$117:$G$121)),RIGHT(BT$1,2))</f>
        <v>25</v>
      </c>
      <c r="BU64" s="16" cm="1">
        <f t="array" ref="BU64">INDEX(_xlfn.ANCHORARRAY(_xlfn.XLOOKUP($D64,'-ref_Distribution'!$B$117:$B$121,'-ref_Distribution'!$G$117:$G$121)),RIGHT(BU$1,2))</f>
        <v>26</v>
      </c>
      <c r="BV64" s="16" cm="1">
        <f t="array" ref="BV64">INDEX(_xlfn.ANCHORARRAY(_xlfn.XLOOKUP($D64,'-ref_Distribution'!$B$117:$B$121,'-ref_Distribution'!$G$117:$G$121)),RIGHT(BV$1,2))</f>
        <v>27</v>
      </c>
      <c r="BW64" s="16" cm="1">
        <f t="array" ref="BW64">INDEX(_xlfn.ANCHORARRAY(_xlfn.XLOOKUP($D64,'-ref_Distribution'!$B$117:$B$121,'-ref_Distribution'!$G$117:$G$121)),RIGHT(BW$1,2))</f>
        <v>27</v>
      </c>
      <c r="BX64" s="16" cm="1">
        <f t="array" ref="BX64">INDEX(_xlfn.ANCHORARRAY(_xlfn.XLOOKUP($D64,'-ref_Distribution'!$B$117:$B$121,'-ref_Distribution'!$G$117:$G$121)),RIGHT(BX$1,2))</f>
        <v>28</v>
      </c>
      <c r="BY64" s="16" cm="1">
        <f t="array" ref="BY64">INDEX(_xlfn.ANCHORARRAY(_xlfn.XLOOKUP($D64,'-ref_Distribution'!$B$117:$B$121,'-ref_Distribution'!$G$117:$G$121)),RIGHT(BY$1,2))</f>
        <v>29</v>
      </c>
      <c r="BZ64" s="16" cm="1">
        <f t="array" ref="BZ64">INDEX(_xlfn.ANCHORARRAY(_xlfn.XLOOKUP($D64,'-ref_Distribution'!$B$117:$B$121,'-ref_Distribution'!$G$117:$G$121)),RIGHT(BZ$1,2))</f>
        <v>29</v>
      </c>
      <c r="CA64" s="16" cm="1">
        <f t="array" ref="CA64">INDEX(_xlfn.ANCHORARRAY(_xlfn.XLOOKUP($D64,'-ref_Distribution'!$B$117:$B$121,'-ref_Distribution'!$G$117:$G$121)),RIGHT(CA$1,2))</f>
        <v>30</v>
      </c>
      <c r="CB64" s="16" cm="1">
        <f t="array" ref="CB64">INDEX(_xlfn.ANCHORARRAY(_xlfn.XLOOKUP($D64,'-ref_Distribution'!$B$117:$B$121,'-ref_Distribution'!$G$117:$G$121)),RIGHT(CB$1,2))</f>
        <v>30</v>
      </c>
      <c r="CC64" s="16" cm="1">
        <f t="array" ref="CC64">INDEX(_xlfn.ANCHORARRAY(_xlfn.XLOOKUP($D64,'-ref_Distribution'!$B$117:$B$121,'-ref_Distribution'!$G$117:$G$121)),RIGHT(CC$1,2))</f>
        <v>30</v>
      </c>
      <c r="CD64" s="16" cm="1">
        <f t="array" ref="CD64">INDEX(_xlfn.ANCHORARRAY(_xlfn.XLOOKUP($D64,'-ref_Distribution'!$B$117:$B$121,'-ref_Distribution'!$G$117:$G$121)),RIGHT(CD$1,2))</f>
        <v>30</v>
      </c>
      <c r="CE64" s="16" cm="1">
        <f t="array" ref="CE64">INDEX(_xlfn.ANCHORARRAY(_xlfn.XLOOKUP($D64,'-ref_Distribution'!$B$117:$B$121,'-ref_Distribution'!$G$117:$G$121)),RIGHT(CE$1,2))</f>
        <v>31</v>
      </c>
      <c r="CF64" s="16" cm="1">
        <f t="array" ref="CF64">INDEX(_xlfn.ANCHORARRAY(_xlfn.XLOOKUP($D64,'-ref_Distribution'!$B$117:$B$121,'-ref_Distribution'!$G$117:$G$121)),RIGHT(CF$1,2))</f>
        <v>31</v>
      </c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</row>
    <row r="65" spans="1:98" x14ac:dyDescent="0.2">
      <c r="A65" s="16">
        <v>13301013</v>
      </c>
      <c r="B65" s="16" t="s">
        <v>363</v>
      </c>
      <c r="C65" s="17" t="s">
        <v>429</v>
      </c>
      <c r="D65" s="16">
        <v>3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12</v>
      </c>
      <c r="M65" s="16">
        <v>12</v>
      </c>
      <c r="N65" s="16">
        <v>12</v>
      </c>
      <c r="O65" s="16">
        <v>30</v>
      </c>
      <c r="P65" s="16">
        <v>30</v>
      </c>
      <c r="Q65" s="16">
        <v>30</v>
      </c>
      <c r="R65" s="16">
        <v>60</v>
      </c>
      <c r="S65" s="16">
        <v>60</v>
      </c>
      <c r="T65" s="16">
        <v>60</v>
      </c>
      <c r="U65" s="16">
        <v>60</v>
      </c>
      <c r="V65" s="16">
        <v>50</v>
      </c>
      <c r="W65" s="16">
        <v>50</v>
      </c>
      <c r="X65" s="16">
        <v>25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12</v>
      </c>
      <c r="AG65" s="16">
        <v>12</v>
      </c>
      <c r="AH65" s="16">
        <v>12</v>
      </c>
      <c r="AI65" s="16">
        <v>30</v>
      </c>
      <c r="AJ65" s="16">
        <v>30</v>
      </c>
      <c r="AK65" s="16">
        <v>30</v>
      </c>
      <c r="AL65" s="16">
        <v>60</v>
      </c>
      <c r="AM65" s="16">
        <v>60</v>
      </c>
      <c r="AN65" s="16">
        <v>60</v>
      </c>
      <c r="AO65" s="16">
        <v>60</v>
      </c>
      <c r="AP65" s="16">
        <v>50</v>
      </c>
      <c r="AQ65" s="16">
        <v>50</v>
      </c>
      <c r="AR65" s="16">
        <v>25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12</v>
      </c>
      <c r="BA65" s="16">
        <v>12</v>
      </c>
      <c r="BB65" s="16">
        <v>12</v>
      </c>
      <c r="BC65" s="16">
        <v>30</v>
      </c>
      <c r="BD65" s="16">
        <v>30</v>
      </c>
      <c r="BE65" s="16">
        <v>30</v>
      </c>
      <c r="BF65" s="16">
        <v>60</v>
      </c>
      <c r="BG65" s="16">
        <v>60</v>
      </c>
      <c r="BH65" s="16">
        <v>60</v>
      </c>
      <c r="BI65" s="16">
        <v>60</v>
      </c>
      <c r="BJ65" s="16">
        <v>50</v>
      </c>
      <c r="BK65" s="16">
        <v>50</v>
      </c>
      <c r="BL65" s="16">
        <v>25</v>
      </c>
      <c r="BM65" s="16" cm="1">
        <f t="array" ref="BM65">INDEX(_xlfn.ANCHORARRAY(_xlfn.XLOOKUP($D65,'-ref_Distribution'!$B$117:$B$121,'-ref_Distribution'!$G$117:$G$121)),RIGHT(BM$1,2))</f>
        <v>0</v>
      </c>
      <c r="BN65" s="16" cm="1">
        <f t="array" ref="BN65">INDEX(_xlfn.ANCHORARRAY(_xlfn.XLOOKUP($D65,'-ref_Distribution'!$B$117:$B$121,'-ref_Distribution'!$G$117:$G$121)),RIGHT(BN$1,2))</f>
        <v>0</v>
      </c>
      <c r="BO65" s="16" cm="1">
        <f t="array" ref="BO65">INDEX(_xlfn.ANCHORARRAY(_xlfn.XLOOKUP($D65,'-ref_Distribution'!$B$117:$B$121,'-ref_Distribution'!$G$117:$G$121)),RIGHT(BO$1,2))</f>
        <v>1</v>
      </c>
      <c r="BP65" s="16" cm="1">
        <f t="array" ref="BP65">INDEX(_xlfn.ANCHORARRAY(_xlfn.XLOOKUP($D65,'-ref_Distribution'!$B$117:$B$121,'-ref_Distribution'!$G$117:$G$121)),RIGHT(BP$1,2))</f>
        <v>3</v>
      </c>
      <c r="BQ65" s="16" cm="1">
        <f t="array" ref="BQ65">INDEX(_xlfn.ANCHORARRAY(_xlfn.XLOOKUP($D65,'-ref_Distribution'!$B$117:$B$121,'-ref_Distribution'!$G$117:$G$121)),RIGHT(BQ$1,2))</f>
        <v>6</v>
      </c>
      <c r="BR65" s="16" cm="1">
        <f t="array" ref="BR65">INDEX(_xlfn.ANCHORARRAY(_xlfn.XLOOKUP($D65,'-ref_Distribution'!$B$117:$B$121,'-ref_Distribution'!$G$117:$G$121)),RIGHT(BR$1,2))</f>
        <v>8</v>
      </c>
      <c r="BS65" s="16" cm="1">
        <f t="array" ref="BS65">INDEX(_xlfn.ANCHORARRAY(_xlfn.XLOOKUP($D65,'-ref_Distribution'!$B$117:$B$121,'-ref_Distribution'!$G$117:$G$121)),RIGHT(BS$1,2))</f>
        <v>9</v>
      </c>
      <c r="BT65" s="16" cm="1">
        <f t="array" ref="BT65">INDEX(_xlfn.ANCHORARRAY(_xlfn.XLOOKUP($D65,'-ref_Distribution'!$B$117:$B$121,'-ref_Distribution'!$G$117:$G$121)),RIGHT(BT$1,2))</f>
        <v>10</v>
      </c>
      <c r="BU65" s="16" cm="1">
        <f t="array" ref="BU65">INDEX(_xlfn.ANCHORARRAY(_xlfn.XLOOKUP($D65,'-ref_Distribution'!$B$117:$B$121,'-ref_Distribution'!$G$117:$G$121)),RIGHT(BU$1,2))</f>
        <v>11</v>
      </c>
      <c r="BV65" s="16" cm="1">
        <f t="array" ref="BV65">INDEX(_xlfn.ANCHORARRAY(_xlfn.XLOOKUP($D65,'-ref_Distribution'!$B$117:$B$121,'-ref_Distribution'!$G$117:$G$121)),RIGHT(BV$1,2))</f>
        <v>12</v>
      </c>
      <c r="BW65" s="16" cm="1">
        <f t="array" ref="BW65">INDEX(_xlfn.ANCHORARRAY(_xlfn.XLOOKUP($D65,'-ref_Distribution'!$B$117:$B$121,'-ref_Distribution'!$G$117:$G$121)),RIGHT(BW$1,2))</f>
        <v>13</v>
      </c>
      <c r="BX65" s="16" cm="1">
        <f t="array" ref="BX65">INDEX(_xlfn.ANCHORARRAY(_xlfn.XLOOKUP($D65,'-ref_Distribution'!$B$117:$B$121,'-ref_Distribution'!$G$117:$G$121)),RIGHT(BX$1,2))</f>
        <v>14</v>
      </c>
      <c r="BY65" s="16" cm="1">
        <f t="array" ref="BY65">INDEX(_xlfn.ANCHORARRAY(_xlfn.XLOOKUP($D65,'-ref_Distribution'!$B$117:$B$121,'-ref_Distribution'!$G$117:$G$121)),RIGHT(BY$1,2))</f>
        <v>14</v>
      </c>
      <c r="BZ65" s="16" cm="1">
        <f t="array" ref="BZ65">INDEX(_xlfn.ANCHORARRAY(_xlfn.XLOOKUP($D65,'-ref_Distribution'!$B$117:$B$121,'-ref_Distribution'!$G$117:$G$121)),RIGHT(BZ$1,2))</f>
        <v>15</v>
      </c>
      <c r="CA65" s="16" cm="1">
        <f t="array" ref="CA65">INDEX(_xlfn.ANCHORARRAY(_xlfn.XLOOKUP($D65,'-ref_Distribution'!$B$117:$B$121,'-ref_Distribution'!$G$117:$G$121)),RIGHT(CA$1,2))</f>
        <v>15</v>
      </c>
      <c r="CB65" s="16" cm="1">
        <f t="array" ref="CB65">INDEX(_xlfn.ANCHORARRAY(_xlfn.XLOOKUP($D65,'-ref_Distribution'!$B$117:$B$121,'-ref_Distribution'!$G$117:$G$121)),RIGHT(CB$1,2))</f>
        <v>16</v>
      </c>
      <c r="CC65" s="16" cm="1">
        <f t="array" ref="CC65">INDEX(_xlfn.ANCHORARRAY(_xlfn.XLOOKUP($D65,'-ref_Distribution'!$B$117:$B$121,'-ref_Distribution'!$G$117:$G$121)),RIGHT(CC$1,2))</f>
        <v>16</v>
      </c>
      <c r="CD65" s="16" cm="1">
        <f t="array" ref="CD65">INDEX(_xlfn.ANCHORARRAY(_xlfn.XLOOKUP($D65,'-ref_Distribution'!$B$117:$B$121,'-ref_Distribution'!$G$117:$G$121)),RIGHT(CD$1,2))</f>
        <v>17</v>
      </c>
      <c r="CE65" s="16" cm="1">
        <f t="array" ref="CE65">INDEX(_xlfn.ANCHORARRAY(_xlfn.XLOOKUP($D65,'-ref_Distribution'!$B$117:$B$121,'-ref_Distribution'!$G$117:$G$121)),RIGHT(CE$1,2))</f>
        <v>17</v>
      </c>
      <c r="CF65" s="16" cm="1">
        <f t="array" ref="CF65">INDEX(_xlfn.ANCHORARRAY(_xlfn.XLOOKUP($D65,'-ref_Distribution'!$B$117:$B$121,'-ref_Distribution'!$G$117:$G$121)),RIGHT(CF$1,2))</f>
        <v>17</v>
      </c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</row>
    <row r="66" spans="1:98" x14ac:dyDescent="0.2">
      <c r="A66" s="16">
        <v>13301014</v>
      </c>
      <c r="B66" s="16" t="s">
        <v>364</v>
      </c>
      <c r="C66" s="17" t="s">
        <v>429</v>
      </c>
      <c r="D66" s="16">
        <v>4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12</v>
      </c>
      <c r="P66" s="16">
        <v>12</v>
      </c>
      <c r="Q66" s="16">
        <v>12</v>
      </c>
      <c r="R66" s="16">
        <v>30</v>
      </c>
      <c r="S66" s="16">
        <v>30</v>
      </c>
      <c r="T66" s="16">
        <v>30</v>
      </c>
      <c r="U66" s="16">
        <v>60</v>
      </c>
      <c r="V66" s="16">
        <v>60</v>
      </c>
      <c r="W66" s="16">
        <v>60</v>
      </c>
      <c r="X66" s="16">
        <v>60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12</v>
      </c>
      <c r="AJ66" s="16">
        <v>12</v>
      </c>
      <c r="AK66" s="16">
        <v>12</v>
      </c>
      <c r="AL66" s="16">
        <v>30</v>
      </c>
      <c r="AM66" s="16">
        <v>30</v>
      </c>
      <c r="AN66" s="16">
        <v>30</v>
      </c>
      <c r="AO66" s="16">
        <v>60</v>
      </c>
      <c r="AP66" s="16">
        <v>60</v>
      </c>
      <c r="AQ66" s="16">
        <v>60</v>
      </c>
      <c r="AR66" s="16">
        <v>60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12</v>
      </c>
      <c r="BD66" s="16">
        <v>12</v>
      </c>
      <c r="BE66" s="16">
        <v>12</v>
      </c>
      <c r="BF66" s="16">
        <v>30</v>
      </c>
      <c r="BG66" s="16">
        <v>30</v>
      </c>
      <c r="BH66" s="16">
        <v>30</v>
      </c>
      <c r="BI66" s="16">
        <v>60</v>
      </c>
      <c r="BJ66" s="16">
        <v>60</v>
      </c>
      <c r="BK66" s="16">
        <v>60</v>
      </c>
      <c r="BL66" s="16">
        <v>60</v>
      </c>
      <c r="BM66" s="16" cm="1">
        <f t="array" ref="BM66">INDEX(_xlfn.ANCHORARRAY(_xlfn.XLOOKUP($D66,'-ref_Distribution'!$B$117:$B$121,'-ref_Distribution'!$G$117:$G$121)),RIGHT(BM$1,2))</f>
        <v>0</v>
      </c>
      <c r="BN66" s="16" cm="1">
        <f t="array" ref="BN66">INDEX(_xlfn.ANCHORARRAY(_xlfn.XLOOKUP($D66,'-ref_Distribution'!$B$117:$B$121,'-ref_Distribution'!$G$117:$G$121)),RIGHT(BN$1,2))</f>
        <v>0</v>
      </c>
      <c r="BO66" s="16" cm="1">
        <f t="array" ref="BO66">INDEX(_xlfn.ANCHORARRAY(_xlfn.XLOOKUP($D66,'-ref_Distribution'!$B$117:$B$121,'-ref_Distribution'!$G$117:$G$121)),RIGHT(BO$1,2))</f>
        <v>0</v>
      </c>
      <c r="BP66" s="16" cm="1">
        <f t="array" ref="BP66">INDEX(_xlfn.ANCHORARRAY(_xlfn.XLOOKUP($D66,'-ref_Distribution'!$B$117:$B$121,'-ref_Distribution'!$G$117:$G$121)),RIGHT(BP$1,2))</f>
        <v>0</v>
      </c>
      <c r="BQ66" s="16" cm="1">
        <f t="array" ref="BQ66">INDEX(_xlfn.ANCHORARRAY(_xlfn.XLOOKUP($D66,'-ref_Distribution'!$B$117:$B$121,'-ref_Distribution'!$G$117:$G$121)),RIGHT(BQ$1,2))</f>
        <v>1</v>
      </c>
      <c r="BR66" s="16" cm="1">
        <f t="array" ref="BR66">INDEX(_xlfn.ANCHORARRAY(_xlfn.XLOOKUP($D66,'-ref_Distribution'!$B$117:$B$121,'-ref_Distribution'!$G$117:$G$121)),RIGHT(BR$1,2))</f>
        <v>2</v>
      </c>
      <c r="BS66" s="16" cm="1">
        <f t="array" ref="BS66">INDEX(_xlfn.ANCHORARRAY(_xlfn.XLOOKUP($D66,'-ref_Distribution'!$B$117:$B$121,'-ref_Distribution'!$G$117:$G$121)),RIGHT(BS$1,2))</f>
        <v>3</v>
      </c>
      <c r="BT66" s="16" cm="1">
        <f t="array" ref="BT66">INDEX(_xlfn.ANCHORARRAY(_xlfn.XLOOKUP($D66,'-ref_Distribution'!$B$117:$B$121,'-ref_Distribution'!$G$117:$G$121)),RIGHT(BT$1,2))</f>
        <v>4</v>
      </c>
      <c r="BU66" s="16" cm="1">
        <f t="array" ref="BU66">INDEX(_xlfn.ANCHORARRAY(_xlfn.XLOOKUP($D66,'-ref_Distribution'!$B$117:$B$121,'-ref_Distribution'!$G$117:$G$121)),RIGHT(BU$1,2))</f>
        <v>5</v>
      </c>
      <c r="BV66" s="16" cm="1">
        <f t="array" ref="BV66">INDEX(_xlfn.ANCHORARRAY(_xlfn.XLOOKUP($D66,'-ref_Distribution'!$B$117:$B$121,'-ref_Distribution'!$G$117:$G$121)),RIGHT(BV$1,2))</f>
        <v>6</v>
      </c>
      <c r="BW66" s="16" cm="1">
        <f t="array" ref="BW66">INDEX(_xlfn.ANCHORARRAY(_xlfn.XLOOKUP($D66,'-ref_Distribution'!$B$117:$B$121,'-ref_Distribution'!$G$117:$G$121)),RIGHT(BW$1,2))</f>
        <v>6</v>
      </c>
      <c r="BX66" s="16" cm="1">
        <f t="array" ref="BX66">INDEX(_xlfn.ANCHORARRAY(_xlfn.XLOOKUP($D66,'-ref_Distribution'!$B$117:$B$121,'-ref_Distribution'!$G$117:$G$121)),RIGHT(BX$1,2))</f>
        <v>7</v>
      </c>
      <c r="BY66" s="16" cm="1">
        <f t="array" ref="BY66">INDEX(_xlfn.ANCHORARRAY(_xlfn.XLOOKUP($D66,'-ref_Distribution'!$B$117:$B$121,'-ref_Distribution'!$G$117:$G$121)),RIGHT(BY$1,2))</f>
        <v>8</v>
      </c>
      <c r="BZ66" s="16" cm="1">
        <f t="array" ref="BZ66">INDEX(_xlfn.ANCHORARRAY(_xlfn.XLOOKUP($D66,'-ref_Distribution'!$B$117:$B$121,'-ref_Distribution'!$G$117:$G$121)),RIGHT(BZ$1,2))</f>
        <v>8</v>
      </c>
      <c r="CA66" s="16" cm="1">
        <f t="array" ref="CA66">INDEX(_xlfn.ANCHORARRAY(_xlfn.XLOOKUP($D66,'-ref_Distribution'!$B$117:$B$121,'-ref_Distribution'!$G$117:$G$121)),RIGHT(CA$1,2))</f>
        <v>9</v>
      </c>
      <c r="CB66" s="16" cm="1">
        <f t="array" ref="CB66">INDEX(_xlfn.ANCHORARRAY(_xlfn.XLOOKUP($D66,'-ref_Distribution'!$B$117:$B$121,'-ref_Distribution'!$G$117:$G$121)),RIGHT(CB$1,2))</f>
        <v>9</v>
      </c>
      <c r="CC66" s="16" cm="1">
        <f t="array" ref="CC66">INDEX(_xlfn.ANCHORARRAY(_xlfn.XLOOKUP($D66,'-ref_Distribution'!$B$117:$B$121,'-ref_Distribution'!$G$117:$G$121)),RIGHT(CC$1,2))</f>
        <v>9</v>
      </c>
      <c r="CD66" s="16" cm="1">
        <f t="array" ref="CD66">INDEX(_xlfn.ANCHORARRAY(_xlfn.XLOOKUP($D66,'-ref_Distribution'!$B$117:$B$121,'-ref_Distribution'!$G$117:$G$121)),RIGHT(CD$1,2))</f>
        <v>10</v>
      </c>
      <c r="CE66" s="16" cm="1">
        <f t="array" ref="CE66">INDEX(_xlfn.ANCHORARRAY(_xlfn.XLOOKUP($D66,'-ref_Distribution'!$B$117:$B$121,'-ref_Distribution'!$G$117:$G$121)),RIGHT(CE$1,2))</f>
        <v>10</v>
      </c>
      <c r="CF66" s="16" cm="1">
        <f t="array" ref="CF66">INDEX(_xlfn.ANCHORARRAY(_xlfn.XLOOKUP($D66,'-ref_Distribution'!$B$117:$B$121,'-ref_Distribution'!$G$117:$G$121)),RIGHT(CF$1,2))</f>
        <v>10</v>
      </c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</row>
    <row r="67" spans="1:98" x14ac:dyDescent="0.2">
      <c r="A67" s="16">
        <v>1330102</v>
      </c>
      <c r="B67" s="16" t="s">
        <v>35</v>
      </c>
      <c r="C67" s="17" t="s">
        <v>429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12</v>
      </c>
      <c r="N67" s="16">
        <v>12</v>
      </c>
      <c r="O67" s="16">
        <v>30</v>
      </c>
      <c r="P67" s="16">
        <v>30</v>
      </c>
      <c r="Q67" s="16">
        <v>30</v>
      </c>
      <c r="R67" s="16">
        <v>60</v>
      </c>
      <c r="S67" s="16">
        <v>60</v>
      </c>
      <c r="T67" s="16">
        <v>60</v>
      </c>
      <c r="U67" s="16">
        <v>60</v>
      </c>
      <c r="V67" s="16">
        <v>50</v>
      </c>
      <c r="W67" s="16">
        <v>50</v>
      </c>
      <c r="X67" s="16">
        <v>50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12</v>
      </c>
      <c r="AH67" s="16">
        <v>12</v>
      </c>
      <c r="AI67" s="16">
        <v>30</v>
      </c>
      <c r="AJ67" s="16">
        <v>30</v>
      </c>
      <c r="AK67" s="16">
        <v>30</v>
      </c>
      <c r="AL67" s="16">
        <v>60</v>
      </c>
      <c r="AM67" s="16">
        <v>60</v>
      </c>
      <c r="AN67" s="16">
        <v>60</v>
      </c>
      <c r="AO67" s="16">
        <v>60</v>
      </c>
      <c r="AP67" s="16">
        <v>50</v>
      </c>
      <c r="AQ67" s="16">
        <v>50</v>
      </c>
      <c r="AR67" s="16">
        <v>50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12</v>
      </c>
      <c r="BB67" s="16">
        <v>12</v>
      </c>
      <c r="BC67" s="16">
        <v>30</v>
      </c>
      <c r="BD67" s="16">
        <v>30</v>
      </c>
      <c r="BE67" s="16">
        <v>30</v>
      </c>
      <c r="BF67" s="16">
        <v>60</v>
      </c>
      <c r="BG67" s="16">
        <v>60</v>
      </c>
      <c r="BH67" s="16">
        <v>60</v>
      </c>
      <c r="BI67" s="16">
        <v>60</v>
      </c>
      <c r="BJ67" s="16">
        <v>50</v>
      </c>
      <c r="BK67" s="16">
        <v>50</v>
      </c>
      <c r="BL67" s="16">
        <v>50</v>
      </c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</row>
    <row r="68" spans="1:98" x14ac:dyDescent="0.2">
      <c r="A68" s="16">
        <v>1330103</v>
      </c>
      <c r="B68" s="16" t="s">
        <v>36</v>
      </c>
      <c r="C68" s="17" t="s">
        <v>429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</row>
    <row r="69" spans="1:98" x14ac:dyDescent="0.2">
      <c r="A69" s="16">
        <v>1330104</v>
      </c>
      <c r="B69" s="16" t="s">
        <v>37</v>
      </c>
      <c r="C69" s="17" t="s">
        <v>429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</row>
    <row r="70" spans="1:98" x14ac:dyDescent="0.2">
      <c r="A70" s="16">
        <v>1330106</v>
      </c>
      <c r="B70" s="16" t="s">
        <v>365</v>
      </c>
      <c r="C70" s="17" t="s">
        <v>429</v>
      </c>
      <c r="D70" s="17" t="s">
        <v>424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</row>
    <row r="71" spans="1:98" x14ac:dyDescent="0.2">
      <c r="A71" s="16">
        <v>13301060</v>
      </c>
      <c r="B71" s="16" t="s">
        <v>366</v>
      </c>
      <c r="C71" s="17" t="s">
        <v>429</v>
      </c>
      <c r="D71" s="16">
        <v>0</v>
      </c>
      <c r="E71" s="16">
        <v>12</v>
      </c>
      <c r="F71" s="16">
        <v>30</v>
      </c>
      <c r="G71" s="16">
        <v>30</v>
      </c>
      <c r="H71" s="16">
        <v>30</v>
      </c>
      <c r="I71" s="16">
        <v>60</v>
      </c>
      <c r="J71" s="16">
        <v>60</v>
      </c>
      <c r="K71" s="16">
        <v>60</v>
      </c>
      <c r="L71" s="16">
        <v>60</v>
      </c>
      <c r="M71" s="16">
        <v>50</v>
      </c>
      <c r="N71" s="16">
        <v>50</v>
      </c>
      <c r="O71" s="16">
        <v>25</v>
      </c>
      <c r="P71" s="16">
        <v>25</v>
      </c>
      <c r="Q71" s="16">
        <v>10</v>
      </c>
      <c r="R71" s="16">
        <v>10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12</v>
      </c>
      <c r="Z71" s="16">
        <v>30</v>
      </c>
      <c r="AA71" s="16">
        <v>30</v>
      </c>
      <c r="AB71" s="16">
        <v>30</v>
      </c>
      <c r="AC71" s="16">
        <v>60</v>
      </c>
      <c r="AD71" s="16">
        <v>60</v>
      </c>
      <c r="AE71" s="16">
        <v>60</v>
      </c>
      <c r="AF71" s="16">
        <v>60</v>
      </c>
      <c r="AG71" s="16">
        <v>50</v>
      </c>
      <c r="AH71" s="16">
        <v>50</v>
      </c>
      <c r="AI71" s="16">
        <v>25</v>
      </c>
      <c r="AJ71" s="16">
        <v>25</v>
      </c>
      <c r="AK71" s="16">
        <v>10</v>
      </c>
      <c r="AL71" s="16">
        <v>10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12</v>
      </c>
      <c r="AT71" s="16">
        <v>30</v>
      </c>
      <c r="AU71" s="16">
        <v>30</v>
      </c>
      <c r="AV71" s="16">
        <v>30</v>
      </c>
      <c r="AW71" s="16">
        <v>60</v>
      </c>
      <c r="AX71" s="16">
        <v>60</v>
      </c>
      <c r="AY71" s="16">
        <v>60</v>
      </c>
      <c r="AZ71" s="16">
        <v>60</v>
      </c>
      <c r="BA71" s="16">
        <v>50</v>
      </c>
      <c r="BB71" s="16">
        <v>50</v>
      </c>
      <c r="BC71" s="16">
        <v>25</v>
      </c>
      <c r="BD71" s="16">
        <v>25</v>
      </c>
      <c r="BE71" s="16">
        <v>10</v>
      </c>
      <c r="BF71" s="16">
        <v>10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 cm="1">
        <f t="array" ref="BM71">INDEX(_xlfn.ANCHORARRAY(_xlfn.XLOOKUP($D71,'-ref_Distribution'!$B$117:$B$121,'-ref_Distribution'!$G$117:$G$121)),RIGHT(BM$1,2))</f>
        <v>130</v>
      </c>
      <c r="BN71" s="16" cm="1">
        <f t="array" ref="BN71">INDEX(_xlfn.ANCHORARRAY(_xlfn.XLOOKUP($D71,'-ref_Distribution'!$B$117:$B$121,'-ref_Distribution'!$G$117:$G$121)),RIGHT(BN$1,2))</f>
        <v>84</v>
      </c>
      <c r="BO71" s="16" cm="1">
        <f t="array" ref="BO71">INDEX(_xlfn.ANCHORARRAY(_xlfn.XLOOKUP($D71,'-ref_Distribution'!$B$117:$B$121,'-ref_Distribution'!$G$117:$G$121)),RIGHT(BO$1,2))</f>
        <v>65</v>
      </c>
      <c r="BP71" s="16" cm="1">
        <f t="array" ref="BP71">INDEX(_xlfn.ANCHORARRAY(_xlfn.XLOOKUP($D71,'-ref_Distribution'!$B$117:$B$121,'-ref_Distribution'!$G$117:$G$121)),RIGHT(BP$1,2))</f>
        <v>54</v>
      </c>
      <c r="BQ71" s="16" cm="1">
        <f t="array" ref="BQ71">INDEX(_xlfn.ANCHORARRAY(_xlfn.XLOOKUP($D71,'-ref_Distribution'!$B$117:$B$121,'-ref_Distribution'!$G$117:$G$121)),RIGHT(BQ$1,2))</f>
        <v>47</v>
      </c>
      <c r="BR71" s="16" cm="1">
        <f t="array" ref="BR71">INDEX(_xlfn.ANCHORARRAY(_xlfn.XLOOKUP($D71,'-ref_Distribution'!$B$117:$B$121,'-ref_Distribution'!$G$117:$G$121)),RIGHT(BR$1,2))</f>
        <v>41</v>
      </c>
      <c r="BS71" s="16" cm="1">
        <f t="array" ref="BS71">INDEX(_xlfn.ANCHORARRAY(_xlfn.XLOOKUP($D71,'-ref_Distribution'!$B$117:$B$121,'-ref_Distribution'!$G$117:$G$121)),RIGHT(BS$1,2))</f>
        <v>38</v>
      </c>
      <c r="BT71" s="16" cm="1">
        <f t="array" ref="BT71">INDEX(_xlfn.ANCHORARRAY(_xlfn.XLOOKUP($D71,'-ref_Distribution'!$B$117:$B$121,'-ref_Distribution'!$G$117:$G$121)),RIGHT(BT$1,2))</f>
        <v>34</v>
      </c>
      <c r="BU71" s="16" cm="1">
        <f t="array" ref="BU71">INDEX(_xlfn.ANCHORARRAY(_xlfn.XLOOKUP($D71,'-ref_Distribution'!$B$117:$B$121,'-ref_Distribution'!$G$117:$G$121)),RIGHT(BU$1,2))</f>
        <v>32</v>
      </c>
      <c r="BV71" s="16" cm="1">
        <f t="array" ref="BV71">INDEX(_xlfn.ANCHORARRAY(_xlfn.XLOOKUP($D71,'-ref_Distribution'!$B$117:$B$121,'-ref_Distribution'!$G$117:$G$121)),RIGHT(BV$1,2))</f>
        <v>30</v>
      </c>
      <c r="BW71" s="16" cm="1">
        <f t="array" ref="BW71">INDEX(_xlfn.ANCHORARRAY(_xlfn.XLOOKUP($D71,'-ref_Distribution'!$B$117:$B$121,'-ref_Distribution'!$G$117:$G$121)),RIGHT(BW$1,2))</f>
        <v>28</v>
      </c>
      <c r="BX71" s="16" cm="1">
        <f t="array" ref="BX71">INDEX(_xlfn.ANCHORARRAY(_xlfn.XLOOKUP($D71,'-ref_Distribution'!$B$117:$B$121,'-ref_Distribution'!$G$117:$G$121)),RIGHT(BX$1,2))</f>
        <v>26</v>
      </c>
      <c r="BY71" s="16" cm="1">
        <f t="array" ref="BY71">INDEX(_xlfn.ANCHORARRAY(_xlfn.XLOOKUP($D71,'-ref_Distribution'!$B$117:$B$121,'-ref_Distribution'!$G$117:$G$121)),RIGHT(BY$1,2))</f>
        <v>25</v>
      </c>
      <c r="BZ71" s="16" cm="1">
        <f t="array" ref="BZ71">INDEX(_xlfn.ANCHORARRAY(_xlfn.XLOOKUP($D71,'-ref_Distribution'!$B$117:$B$121,'-ref_Distribution'!$G$117:$G$121)),RIGHT(BZ$1,2))</f>
        <v>24</v>
      </c>
      <c r="CA71" s="16" cm="1">
        <f t="array" ref="CA71">INDEX(_xlfn.ANCHORARRAY(_xlfn.XLOOKUP($D71,'-ref_Distribution'!$B$117:$B$121,'-ref_Distribution'!$G$117:$G$121)),RIGHT(CA$1,2))</f>
        <v>23</v>
      </c>
      <c r="CB71" s="16" cm="1">
        <f t="array" ref="CB71">INDEX(_xlfn.ANCHORARRAY(_xlfn.XLOOKUP($D71,'-ref_Distribution'!$B$117:$B$121,'-ref_Distribution'!$G$117:$G$121)),RIGHT(CB$1,2))</f>
        <v>22</v>
      </c>
      <c r="CC71" s="16" cm="1">
        <f t="array" ref="CC71">INDEX(_xlfn.ANCHORARRAY(_xlfn.XLOOKUP($D71,'-ref_Distribution'!$B$117:$B$121,'-ref_Distribution'!$G$117:$G$121)),RIGHT(CC$1,2))</f>
        <v>21</v>
      </c>
      <c r="CD71" s="16" cm="1">
        <f t="array" ref="CD71">INDEX(_xlfn.ANCHORARRAY(_xlfn.XLOOKUP($D71,'-ref_Distribution'!$B$117:$B$121,'-ref_Distribution'!$G$117:$G$121)),RIGHT(CD$1,2))</f>
        <v>20</v>
      </c>
      <c r="CE71" s="16" cm="1">
        <f t="array" ref="CE71">INDEX(_xlfn.ANCHORARRAY(_xlfn.XLOOKUP($D71,'-ref_Distribution'!$B$117:$B$121,'-ref_Distribution'!$G$117:$G$121)),RIGHT(CE$1,2))</f>
        <v>19</v>
      </c>
      <c r="CF71" s="16" cm="1">
        <f t="array" ref="CF71">INDEX(_xlfn.ANCHORARRAY(_xlfn.XLOOKUP($D71,'-ref_Distribution'!$B$117:$B$121,'-ref_Distribution'!$G$117:$G$121)),RIGHT(CF$1,2))</f>
        <v>18</v>
      </c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</row>
    <row r="72" spans="1:98" x14ac:dyDescent="0.2">
      <c r="A72" s="16">
        <v>13301061</v>
      </c>
      <c r="B72" s="16" t="s">
        <v>367</v>
      </c>
      <c r="C72" s="17" t="s">
        <v>429</v>
      </c>
      <c r="D72" s="16">
        <v>1</v>
      </c>
      <c r="E72" s="16">
        <v>0</v>
      </c>
      <c r="F72" s="16">
        <v>12</v>
      </c>
      <c r="G72" s="16">
        <v>12</v>
      </c>
      <c r="H72" s="16">
        <v>12</v>
      </c>
      <c r="I72" s="16">
        <v>30</v>
      </c>
      <c r="J72" s="16">
        <v>30</v>
      </c>
      <c r="K72" s="16">
        <v>30</v>
      </c>
      <c r="L72" s="16">
        <v>60</v>
      </c>
      <c r="M72" s="16">
        <v>60</v>
      </c>
      <c r="N72" s="16">
        <v>60</v>
      </c>
      <c r="O72" s="16">
        <v>60</v>
      </c>
      <c r="P72" s="16">
        <v>50</v>
      </c>
      <c r="Q72" s="16">
        <v>50</v>
      </c>
      <c r="R72" s="16">
        <v>25</v>
      </c>
      <c r="S72" s="16">
        <v>25</v>
      </c>
      <c r="T72" s="16">
        <v>10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v>12</v>
      </c>
      <c r="AA72" s="16">
        <v>12</v>
      </c>
      <c r="AB72" s="16">
        <v>12</v>
      </c>
      <c r="AC72" s="16">
        <v>30</v>
      </c>
      <c r="AD72" s="16">
        <v>30</v>
      </c>
      <c r="AE72" s="16">
        <v>30</v>
      </c>
      <c r="AF72" s="16">
        <v>60</v>
      </c>
      <c r="AG72" s="16">
        <v>60</v>
      </c>
      <c r="AH72" s="16">
        <v>60</v>
      </c>
      <c r="AI72" s="16">
        <v>60</v>
      </c>
      <c r="AJ72" s="16">
        <v>50</v>
      </c>
      <c r="AK72" s="16">
        <v>50</v>
      </c>
      <c r="AL72" s="16">
        <v>25</v>
      </c>
      <c r="AM72" s="16">
        <v>25</v>
      </c>
      <c r="AN72" s="16">
        <v>10</v>
      </c>
      <c r="AO72" s="16">
        <v>10</v>
      </c>
      <c r="AP72" s="16">
        <v>0</v>
      </c>
      <c r="AQ72" s="16">
        <v>0</v>
      </c>
      <c r="AR72" s="16">
        <v>0</v>
      </c>
      <c r="AS72" s="16">
        <v>0</v>
      </c>
      <c r="AT72" s="16">
        <v>12</v>
      </c>
      <c r="AU72" s="16">
        <v>12</v>
      </c>
      <c r="AV72" s="16">
        <v>12</v>
      </c>
      <c r="AW72" s="16">
        <v>30</v>
      </c>
      <c r="AX72" s="16">
        <v>30</v>
      </c>
      <c r="AY72" s="16">
        <v>30</v>
      </c>
      <c r="AZ72" s="16">
        <v>60</v>
      </c>
      <c r="BA72" s="16">
        <v>60</v>
      </c>
      <c r="BB72" s="16">
        <v>60</v>
      </c>
      <c r="BC72" s="16">
        <v>60</v>
      </c>
      <c r="BD72" s="16">
        <v>50</v>
      </c>
      <c r="BE72" s="16">
        <v>50</v>
      </c>
      <c r="BF72" s="16">
        <v>25</v>
      </c>
      <c r="BG72" s="16">
        <v>25</v>
      </c>
      <c r="BH72" s="16">
        <v>10</v>
      </c>
      <c r="BI72" s="16">
        <v>10</v>
      </c>
      <c r="BJ72" s="16">
        <v>0</v>
      </c>
      <c r="BK72" s="16">
        <v>0</v>
      </c>
      <c r="BL72" s="16">
        <v>0</v>
      </c>
      <c r="BM72" s="16" cm="1">
        <f t="array" ref="BM72">INDEX(_xlfn.ANCHORARRAY(_xlfn.XLOOKUP($D72,'-ref_Distribution'!$B$117:$B$121,'-ref_Distribution'!$G$117:$G$121)),RIGHT(BM$1,2))</f>
        <v>78</v>
      </c>
      <c r="BN72" s="16" cm="1">
        <f t="array" ref="BN72">INDEX(_xlfn.ANCHORARRAY(_xlfn.XLOOKUP($D72,'-ref_Distribution'!$B$117:$B$121,'-ref_Distribution'!$G$117:$G$121)),RIGHT(BN$1,2))</f>
        <v>72</v>
      </c>
      <c r="BO72" s="16" cm="1">
        <f t="array" ref="BO72">INDEX(_xlfn.ANCHORARRAY(_xlfn.XLOOKUP($D72,'-ref_Distribution'!$B$117:$B$121,'-ref_Distribution'!$G$117:$G$121)),RIGHT(BO$1,2))</f>
        <v>66</v>
      </c>
      <c r="BP72" s="16" cm="1">
        <f t="array" ref="BP72">INDEX(_xlfn.ANCHORARRAY(_xlfn.XLOOKUP($D72,'-ref_Distribution'!$B$117:$B$121,'-ref_Distribution'!$G$117:$G$121)),RIGHT(BP$1,2))</f>
        <v>61</v>
      </c>
      <c r="BQ72" s="16" cm="1">
        <f t="array" ref="BQ72">INDEX(_xlfn.ANCHORARRAY(_xlfn.XLOOKUP($D72,'-ref_Distribution'!$B$117:$B$121,'-ref_Distribution'!$G$117:$G$121)),RIGHT(BQ$1,2))</f>
        <v>58</v>
      </c>
      <c r="BR72" s="16" cm="1">
        <f t="array" ref="BR72">INDEX(_xlfn.ANCHORARRAY(_xlfn.XLOOKUP($D72,'-ref_Distribution'!$B$117:$B$121,'-ref_Distribution'!$G$117:$G$121)),RIGHT(BR$1,2))</f>
        <v>55</v>
      </c>
      <c r="BS72" s="16" cm="1">
        <f t="array" ref="BS72">INDEX(_xlfn.ANCHORARRAY(_xlfn.XLOOKUP($D72,'-ref_Distribution'!$B$117:$B$121,'-ref_Distribution'!$G$117:$G$121)),RIGHT(BS$1,2))</f>
        <v>52</v>
      </c>
      <c r="BT72" s="16" cm="1">
        <f t="array" ref="BT72">INDEX(_xlfn.ANCHORARRAY(_xlfn.XLOOKUP($D72,'-ref_Distribution'!$B$117:$B$121,'-ref_Distribution'!$G$117:$G$121)),RIGHT(BT$1,2))</f>
        <v>50</v>
      </c>
      <c r="BU72" s="16" cm="1">
        <f t="array" ref="BU72">INDEX(_xlfn.ANCHORARRAY(_xlfn.XLOOKUP($D72,'-ref_Distribution'!$B$117:$B$121,'-ref_Distribution'!$G$117:$G$121)),RIGHT(BU$1,2))</f>
        <v>48</v>
      </c>
      <c r="BV72" s="16" cm="1">
        <f t="array" ref="BV72">INDEX(_xlfn.ANCHORARRAY(_xlfn.XLOOKUP($D72,'-ref_Distribution'!$B$117:$B$121,'-ref_Distribution'!$G$117:$G$121)),RIGHT(BV$1,2))</f>
        <v>47</v>
      </c>
      <c r="BW72" s="16" cm="1">
        <f t="array" ref="BW72">INDEX(_xlfn.ANCHORARRAY(_xlfn.XLOOKUP($D72,'-ref_Distribution'!$B$117:$B$121,'-ref_Distribution'!$G$117:$G$121)),RIGHT(BW$1,2))</f>
        <v>46</v>
      </c>
      <c r="BX72" s="16" cm="1">
        <f t="array" ref="BX72">INDEX(_xlfn.ANCHORARRAY(_xlfn.XLOOKUP($D72,'-ref_Distribution'!$B$117:$B$121,'-ref_Distribution'!$G$117:$G$121)),RIGHT(BX$1,2))</f>
        <v>44</v>
      </c>
      <c r="BY72" s="16" cm="1">
        <f t="array" ref="BY72">INDEX(_xlfn.ANCHORARRAY(_xlfn.XLOOKUP($D72,'-ref_Distribution'!$B$117:$B$121,'-ref_Distribution'!$G$117:$G$121)),RIGHT(BY$1,2))</f>
        <v>43</v>
      </c>
      <c r="BZ72" s="16" cm="1">
        <f t="array" ref="BZ72">INDEX(_xlfn.ANCHORARRAY(_xlfn.XLOOKUP($D72,'-ref_Distribution'!$B$117:$B$121,'-ref_Distribution'!$G$117:$G$121)),RIGHT(BZ$1,2))</f>
        <v>42</v>
      </c>
      <c r="CA72" s="16" cm="1">
        <f t="array" ref="CA72">INDEX(_xlfn.ANCHORARRAY(_xlfn.XLOOKUP($D72,'-ref_Distribution'!$B$117:$B$121,'-ref_Distribution'!$G$117:$G$121)),RIGHT(CA$1,2))</f>
        <v>41</v>
      </c>
      <c r="CB72" s="16" cm="1">
        <f t="array" ref="CB72">INDEX(_xlfn.ANCHORARRAY(_xlfn.XLOOKUP($D72,'-ref_Distribution'!$B$117:$B$121,'-ref_Distribution'!$G$117:$G$121)),RIGHT(CB$1,2))</f>
        <v>40</v>
      </c>
      <c r="CC72" s="16" cm="1">
        <f t="array" ref="CC72">INDEX(_xlfn.ANCHORARRAY(_xlfn.XLOOKUP($D72,'-ref_Distribution'!$B$117:$B$121,'-ref_Distribution'!$G$117:$G$121)),RIGHT(CC$1,2))</f>
        <v>40</v>
      </c>
      <c r="CD72" s="16" cm="1">
        <f t="array" ref="CD72">INDEX(_xlfn.ANCHORARRAY(_xlfn.XLOOKUP($D72,'-ref_Distribution'!$B$117:$B$121,'-ref_Distribution'!$G$117:$G$121)),RIGHT(CD$1,2))</f>
        <v>39</v>
      </c>
      <c r="CE72" s="16" cm="1">
        <f t="array" ref="CE72">INDEX(_xlfn.ANCHORARRAY(_xlfn.XLOOKUP($D72,'-ref_Distribution'!$B$117:$B$121,'-ref_Distribution'!$G$117:$G$121)),RIGHT(CE$1,2))</f>
        <v>38</v>
      </c>
      <c r="CF72" s="16" cm="1">
        <f t="array" ref="CF72">INDEX(_xlfn.ANCHORARRAY(_xlfn.XLOOKUP($D72,'-ref_Distribution'!$B$117:$B$121,'-ref_Distribution'!$G$117:$G$121)),RIGHT(CF$1,2))</f>
        <v>38</v>
      </c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</row>
    <row r="73" spans="1:98" x14ac:dyDescent="0.2">
      <c r="A73" s="16">
        <v>13301062</v>
      </c>
      <c r="B73" s="16" t="s">
        <v>368</v>
      </c>
      <c r="C73" s="17" t="s">
        <v>429</v>
      </c>
      <c r="D73" s="16">
        <v>2</v>
      </c>
      <c r="E73" s="16">
        <v>0</v>
      </c>
      <c r="F73" s="16">
        <v>0</v>
      </c>
      <c r="G73" s="16">
        <v>0</v>
      </c>
      <c r="H73" s="16">
        <v>0</v>
      </c>
      <c r="I73" s="16">
        <v>12</v>
      </c>
      <c r="J73" s="16">
        <v>12</v>
      </c>
      <c r="K73" s="16">
        <v>12</v>
      </c>
      <c r="L73" s="16">
        <v>30</v>
      </c>
      <c r="M73" s="16">
        <v>30</v>
      </c>
      <c r="N73" s="16">
        <v>30</v>
      </c>
      <c r="O73" s="16">
        <v>60</v>
      </c>
      <c r="P73" s="16">
        <v>60</v>
      </c>
      <c r="Q73" s="16">
        <v>60</v>
      </c>
      <c r="R73" s="16">
        <v>60</v>
      </c>
      <c r="S73" s="16">
        <v>50</v>
      </c>
      <c r="T73" s="16">
        <v>50</v>
      </c>
      <c r="U73" s="16">
        <v>25</v>
      </c>
      <c r="V73" s="16">
        <v>25</v>
      </c>
      <c r="W73" s="16">
        <v>10</v>
      </c>
      <c r="X73" s="16">
        <v>10</v>
      </c>
      <c r="Y73" s="16">
        <v>0</v>
      </c>
      <c r="Z73" s="16">
        <v>0</v>
      </c>
      <c r="AA73" s="16">
        <v>0</v>
      </c>
      <c r="AB73" s="16">
        <v>0</v>
      </c>
      <c r="AC73" s="16">
        <v>12</v>
      </c>
      <c r="AD73" s="16">
        <v>12</v>
      </c>
      <c r="AE73" s="16">
        <v>12</v>
      </c>
      <c r="AF73" s="16">
        <v>30</v>
      </c>
      <c r="AG73" s="16">
        <v>30</v>
      </c>
      <c r="AH73" s="16">
        <v>30</v>
      </c>
      <c r="AI73" s="16">
        <v>60</v>
      </c>
      <c r="AJ73" s="16">
        <v>60</v>
      </c>
      <c r="AK73" s="16">
        <v>60</v>
      </c>
      <c r="AL73" s="16">
        <v>60</v>
      </c>
      <c r="AM73" s="16">
        <v>50</v>
      </c>
      <c r="AN73" s="16">
        <v>50</v>
      </c>
      <c r="AO73" s="16">
        <v>25</v>
      </c>
      <c r="AP73" s="16">
        <v>25</v>
      </c>
      <c r="AQ73" s="16">
        <v>10</v>
      </c>
      <c r="AR73" s="16">
        <v>10</v>
      </c>
      <c r="AS73" s="16">
        <v>0</v>
      </c>
      <c r="AT73" s="16">
        <v>0</v>
      </c>
      <c r="AU73" s="16">
        <v>0</v>
      </c>
      <c r="AV73" s="16">
        <v>0</v>
      </c>
      <c r="AW73" s="16">
        <v>12</v>
      </c>
      <c r="AX73" s="16">
        <v>12</v>
      </c>
      <c r="AY73" s="16">
        <v>12</v>
      </c>
      <c r="AZ73" s="16">
        <v>30</v>
      </c>
      <c r="BA73" s="16">
        <v>30</v>
      </c>
      <c r="BB73" s="16">
        <v>30</v>
      </c>
      <c r="BC73" s="16">
        <v>60</v>
      </c>
      <c r="BD73" s="16">
        <v>60</v>
      </c>
      <c r="BE73" s="16">
        <v>60</v>
      </c>
      <c r="BF73" s="16">
        <v>60</v>
      </c>
      <c r="BG73" s="16">
        <v>50</v>
      </c>
      <c r="BH73" s="16">
        <v>50</v>
      </c>
      <c r="BI73" s="16">
        <v>25</v>
      </c>
      <c r="BJ73" s="16">
        <v>25</v>
      </c>
      <c r="BK73" s="16">
        <v>10</v>
      </c>
      <c r="BL73" s="16">
        <v>10</v>
      </c>
      <c r="BM73" s="16" cm="1">
        <f t="array" ref="BM73">INDEX(_xlfn.ANCHORARRAY(_xlfn.XLOOKUP($D73,'-ref_Distribution'!$B$117:$B$121,'-ref_Distribution'!$G$117:$G$121)),RIGHT(BM$1,2))</f>
        <v>0</v>
      </c>
      <c r="BN73" s="16" cm="1">
        <f t="array" ref="BN73">INDEX(_xlfn.ANCHORARRAY(_xlfn.XLOOKUP($D73,'-ref_Distribution'!$B$117:$B$121,'-ref_Distribution'!$G$117:$G$121)),RIGHT(BN$1,2))</f>
        <v>5</v>
      </c>
      <c r="BO73" s="16" cm="1">
        <f t="array" ref="BO73">INDEX(_xlfn.ANCHORARRAY(_xlfn.XLOOKUP($D73,'-ref_Distribution'!$B$117:$B$121,'-ref_Distribution'!$G$117:$G$121)),RIGHT(BO$1,2))</f>
        <v>12</v>
      </c>
      <c r="BP73" s="16" cm="1">
        <f t="array" ref="BP73">INDEX(_xlfn.ANCHORARRAY(_xlfn.XLOOKUP($D73,'-ref_Distribution'!$B$117:$B$121,'-ref_Distribution'!$G$117:$G$121)),RIGHT(BP$1,2))</f>
        <v>16</v>
      </c>
      <c r="BQ73" s="16" cm="1">
        <f t="array" ref="BQ73">INDEX(_xlfn.ANCHORARRAY(_xlfn.XLOOKUP($D73,'-ref_Distribution'!$B$117:$B$121,'-ref_Distribution'!$G$117:$G$121)),RIGHT(BQ$1,2))</f>
        <v>19</v>
      </c>
      <c r="BR73" s="16" cm="1">
        <f t="array" ref="BR73">INDEX(_xlfn.ANCHORARRAY(_xlfn.XLOOKUP($D73,'-ref_Distribution'!$B$117:$B$121,'-ref_Distribution'!$G$117:$G$121)),RIGHT(BR$1,2))</f>
        <v>22</v>
      </c>
      <c r="BS73" s="16" cm="1">
        <f t="array" ref="BS73">INDEX(_xlfn.ANCHORARRAY(_xlfn.XLOOKUP($D73,'-ref_Distribution'!$B$117:$B$121,'-ref_Distribution'!$G$117:$G$121)),RIGHT(BS$1,2))</f>
        <v>23</v>
      </c>
      <c r="BT73" s="16" cm="1">
        <f t="array" ref="BT73">INDEX(_xlfn.ANCHORARRAY(_xlfn.XLOOKUP($D73,'-ref_Distribution'!$B$117:$B$121,'-ref_Distribution'!$G$117:$G$121)),RIGHT(BT$1,2))</f>
        <v>25</v>
      </c>
      <c r="BU73" s="16" cm="1">
        <f t="array" ref="BU73">INDEX(_xlfn.ANCHORARRAY(_xlfn.XLOOKUP($D73,'-ref_Distribution'!$B$117:$B$121,'-ref_Distribution'!$G$117:$G$121)),RIGHT(BU$1,2))</f>
        <v>26</v>
      </c>
      <c r="BV73" s="16" cm="1">
        <f t="array" ref="BV73">INDEX(_xlfn.ANCHORARRAY(_xlfn.XLOOKUP($D73,'-ref_Distribution'!$B$117:$B$121,'-ref_Distribution'!$G$117:$G$121)),RIGHT(BV$1,2))</f>
        <v>27</v>
      </c>
      <c r="BW73" s="16" cm="1">
        <f t="array" ref="BW73">INDEX(_xlfn.ANCHORARRAY(_xlfn.XLOOKUP($D73,'-ref_Distribution'!$B$117:$B$121,'-ref_Distribution'!$G$117:$G$121)),RIGHT(BW$1,2))</f>
        <v>27</v>
      </c>
      <c r="BX73" s="16" cm="1">
        <f t="array" ref="BX73">INDEX(_xlfn.ANCHORARRAY(_xlfn.XLOOKUP($D73,'-ref_Distribution'!$B$117:$B$121,'-ref_Distribution'!$G$117:$G$121)),RIGHT(BX$1,2))</f>
        <v>28</v>
      </c>
      <c r="BY73" s="16" cm="1">
        <f t="array" ref="BY73">INDEX(_xlfn.ANCHORARRAY(_xlfn.XLOOKUP($D73,'-ref_Distribution'!$B$117:$B$121,'-ref_Distribution'!$G$117:$G$121)),RIGHT(BY$1,2))</f>
        <v>29</v>
      </c>
      <c r="BZ73" s="16" cm="1">
        <f t="array" ref="BZ73">INDEX(_xlfn.ANCHORARRAY(_xlfn.XLOOKUP($D73,'-ref_Distribution'!$B$117:$B$121,'-ref_Distribution'!$G$117:$G$121)),RIGHT(BZ$1,2))</f>
        <v>29</v>
      </c>
      <c r="CA73" s="16" cm="1">
        <f t="array" ref="CA73">INDEX(_xlfn.ANCHORARRAY(_xlfn.XLOOKUP($D73,'-ref_Distribution'!$B$117:$B$121,'-ref_Distribution'!$G$117:$G$121)),RIGHT(CA$1,2))</f>
        <v>30</v>
      </c>
      <c r="CB73" s="16" cm="1">
        <f t="array" ref="CB73">INDEX(_xlfn.ANCHORARRAY(_xlfn.XLOOKUP($D73,'-ref_Distribution'!$B$117:$B$121,'-ref_Distribution'!$G$117:$G$121)),RIGHT(CB$1,2))</f>
        <v>30</v>
      </c>
      <c r="CC73" s="16" cm="1">
        <f t="array" ref="CC73">INDEX(_xlfn.ANCHORARRAY(_xlfn.XLOOKUP($D73,'-ref_Distribution'!$B$117:$B$121,'-ref_Distribution'!$G$117:$G$121)),RIGHT(CC$1,2))</f>
        <v>30</v>
      </c>
      <c r="CD73" s="16" cm="1">
        <f t="array" ref="CD73">INDEX(_xlfn.ANCHORARRAY(_xlfn.XLOOKUP($D73,'-ref_Distribution'!$B$117:$B$121,'-ref_Distribution'!$G$117:$G$121)),RIGHT(CD$1,2))</f>
        <v>30</v>
      </c>
      <c r="CE73" s="16" cm="1">
        <f t="array" ref="CE73">INDEX(_xlfn.ANCHORARRAY(_xlfn.XLOOKUP($D73,'-ref_Distribution'!$B$117:$B$121,'-ref_Distribution'!$G$117:$G$121)),RIGHT(CE$1,2))</f>
        <v>31</v>
      </c>
      <c r="CF73" s="16" cm="1">
        <f t="array" ref="CF73">INDEX(_xlfn.ANCHORARRAY(_xlfn.XLOOKUP($D73,'-ref_Distribution'!$B$117:$B$121,'-ref_Distribution'!$G$117:$G$121)),RIGHT(CF$1,2))</f>
        <v>31</v>
      </c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</row>
    <row r="74" spans="1:98" x14ac:dyDescent="0.2">
      <c r="A74" s="16">
        <v>13301063</v>
      </c>
      <c r="B74" s="16" t="s">
        <v>369</v>
      </c>
      <c r="C74" s="17" t="s">
        <v>429</v>
      </c>
      <c r="D74" s="16">
        <v>3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12</v>
      </c>
      <c r="M74" s="16">
        <v>12</v>
      </c>
      <c r="N74" s="16">
        <v>12</v>
      </c>
      <c r="O74" s="16">
        <v>30</v>
      </c>
      <c r="P74" s="16">
        <v>30</v>
      </c>
      <c r="Q74" s="16">
        <v>30</v>
      </c>
      <c r="R74" s="16">
        <v>60</v>
      </c>
      <c r="S74" s="16">
        <v>60</v>
      </c>
      <c r="T74" s="16">
        <v>60</v>
      </c>
      <c r="U74" s="16">
        <v>60</v>
      </c>
      <c r="V74" s="16">
        <v>50</v>
      </c>
      <c r="W74" s="16">
        <v>50</v>
      </c>
      <c r="X74" s="16">
        <v>25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12</v>
      </c>
      <c r="AG74" s="16">
        <v>12</v>
      </c>
      <c r="AH74" s="16">
        <v>12</v>
      </c>
      <c r="AI74" s="16">
        <v>30</v>
      </c>
      <c r="AJ74" s="16">
        <v>30</v>
      </c>
      <c r="AK74" s="16">
        <v>30</v>
      </c>
      <c r="AL74" s="16">
        <v>60</v>
      </c>
      <c r="AM74" s="16">
        <v>60</v>
      </c>
      <c r="AN74" s="16">
        <v>60</v>
      </c>
      <c r="AO74" s="16">
        <v>60</v>
      </c>
      <c r="AP74" s="16">
        <v>50</v>
      </c>
      <c r="AQ74" s="16">
        <v>50</v>
      </c>
      <c r="AR74" s="16">
        <v>25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12</v>
      </c>
      <c r="BA74" s="16">
        <v>12</v>
      </c>
      <c r="BB74" s="16">
        <v>12</v>
      </c>
      <c r="BC74" s="16">
        <v>30</v>
      </c>
      <c r="BD74" s="16">
        <v>30</v>
      </c>
      <c r="BE74" s="16">
        <v>30</v>
      </c>
      <c r="BF74" s="16">
        <v>60</v>
      </c>
      <c r="BG74" s="16">
        <v>60</v>
      </c>
      <c r="BH74" s="16">
        <v>60</v>
      </c>
      <c r="BI74" s="16">
        <v>60</v>
      </c>
      <c r="BJ74" s="16">
        <v>50</v>
      </c>
      <c r="BK74" s="16">
        <v>50</v>
      </c>
      <c r="BL74" s="16">
        <v>25</v>
      </c>
      <c r="BM74" s="16" cm="1">
        <f t="array" ref="BM74">INDEX(_xlfn.ANCHORARRAY(_xlfn.XLOOKUP($D74,'-ref_Distribution'!$B$117:$B$121,'-ref_Distribution'!$G$117:$G$121)),RIGHT(BM$1,2))</f>
        <v>0</v>
      </c>
      <c r="BN74" s="16" cm="1">
        <f t="array" ref="BN74">INDEX(_xlfn.ANCHORARRAY(_xlfn.XLOOKUP($D74,'-ref_Distribution'!$B$117:$B$121,'-ref_Distribution'!$G$117:$G$121)),RIGHT(BN$1,2))</f>
        <v>0</v>
      </c>
      <c r="BO74" s="16" cm="1">
        <f t="array" ref="BO74">INDEX(_xlfn.ANCHORARRAY(_xlfn.XLOOKUP($D74,'-ref_Distribution'!$B$117:$B$121,'-ref_Distribution'!$G$117:$G$121)),RIGHT(BO$1,2))</f>
        <v>1</v>
      </c>
      <c r="BP74" s="16" cm="1">
        <f t="array" ref="BP74">INDEX(_xlfn.ANCHORARRAY(_xlfn.XLOOKUP($D74,'-ref_Distribution'!$B$117:$B$121,'-ref_Distribution'!$G$117:$G$121)),RIGHT(BP$1,2))</f>
        <v>3</v>
      </c>
      <c r="BQ74" s="16" cm="1">
        <f t="array" ref="BQ74">INDEX(_xlfn.ANCHORARRAY(_xlfn.XLOOKUP($D74,'-ref_Distribution'!$B$117:$B$121,'-ref_Distribution'!$G$117:$G$121)),RIGHT(BQ$1,2))</f>
        <v>6</v>
      </c>
      <c r="BR74" s="16" cm="1">
        <f t="array" ref="BR74">INDEX(_xlfn.ANCHORARRAY(_xlfn.XLOOKUP($D74,'-ref_Distribution'!$B$117:$B$121,'-ref_Distribution'!$G$117:$G$121)),RIGHT(BR$1,2))</f>
        <v>8</v>
      </c>
      <c r="BS74" s="16" cm="1">
        <f t="array" ref="BS74">INDEX(_xlfn.ANCHORARRAY(_xlfn.XLOOKUP($D74,'-ref_Distribution'!$B$117:$B$121,'-ref_Distribution'!$G$117:$G$121)),RIGHT(BS$1,2))</f>
        <v>9</v>
      </c>
      <c r="BT74" s="16" cm="1">
        <f t="array" ref="BT74">INDEX(_xlfn.ANCHORARRAY(_xlfn.XLOOKUP($D74,'-ref_Distribution'!$B$117:$B$121,'-ref_Distribution'!$G$117:$G$121)),RIGHT(BT$1,2))</f>
        <v>10</v>
      </c>
      <c r="BU74" s="16" cm="1">
        <f t="array" ref="BU74">INDEX(_xlfn.ANCHORARRAY(_xlfn.XLOOKUP($D74,'-ref_Distribution'!$B$117:$B$121,'-ref_Distribution'!$G$117:$G$121)),RIGHT(BU$1,2))</f>
        <v>11</v>
      </c>
      <c r="BV74" s="16" cm="1">
        <f t="array" ref="BV74">INDEX(_xlfn.ANCHORARRAY(_xlfn.XLOOKUP($D74,'-ref_Distribution'!$B$117:$B$121,'-ref_Distribution'!$G$117:$G$121)),RIGHT(BV$1,2))</f>
        <v>12</v>
      </c>
      <c r="BW74" s="16" cm="1">
        <f t="array" ref="BW74">INDEX(_xlfn.ANCHORARRAY(_xlfn.XLOOKUP($D74,'-ref_Distribution'!$B$117:$B$121,'-ref_Distribution'!$G$117:$G$121)),RIGHT(BW$1,2))</f>
        <v>13</v>
      </c>
      <c r="BX74" s="16" cm="1">
        <f t="array" ref="BX74">INDEX(_xlfn.ANCHORARRAY(_xlfn.XLOOKUP($D74,'-ref_Distribution'!$B$117:$B$121,'-ref_Distribution'!$G$117:$G$121)),RIGHT(BX$1,2))</f>
        <v>14</v>
      </c>
      <c r="BY74" s="16" cm="1">
        <f t="array" ref="BY74">INDEX(_xlfn.ANCHORARRAY(_xlfn.XLOOKUP($D74,'-ref_Distribution'!$B$117:$B$121,'-ref_Distribution'!$G$117:$G$121)),RIGHT(BY$1,2))</f>
        <v>14</v>
      </c>
      <c r="BZ74" s="16" cm="1">
        <f t="array" ref="BZ74">INDEX(_xlfn.ANCHORARRAY(_xlfn.XLOOKUP($D74,'-ref_Distribution'!$B$117:$B$121,'-ref_Distribution'!$G$117:$G$121)),RIGHT(BZ$1,2))</f>
        <v>15</v>
      </c>
      <c r="CA74" s="16" cm="1">
        <f t="array" ref="CA74">INDEX(_xlfn.ANCHORARRAY(_xlfn.XLOOKUP($D74,'-ref_Distribution'!$B$117:$B$121,'-ref_Distribution'!$G$117:$G$121)),RIGHT(CA$1,2))</f>
        <v>15</v>
      </c>
      <c r="CB74" s="16" cm="1">
        <f t="array" ref="CB74">INDEX(_xlfn.ANCHORARRAY(_xlfn.XLOOKUP($D74,'-ref_Distribution'!$B$117:$B$121,'-ref_Distribution'!$G$117:$G$121)),RIGHT(CB$1,2))</f>
        <v>16</v>
      </c>
      <c r="CC74" s="16" cm="1">
        <f t="array" ref="CC74">INDEX(_xlfn.ANCHORARRAY(_xlfn.XLOOKUP($D74,'-ref_Distribution'!$B$117:$B$121,'-ref_Distribution'!$G$117:$G$121)),RIGHT(CC$1,2))</f>
        <v>16</v>
      </c>
      <c r="CD74" s="16" cm="1">
        <f t="array" ref="CD74">INDEX(_xlfn.ANCHORARRAY(_xlfn.XLOOKUP($D74,'-ref_Distribution'!$B$117:$B$121,'-ref_Distribution'!$G$117:$G$121)),RIGHT(CD$1,2))</f>
        <v>17</v>
      </c>
      <c r="CE74" s="16" cm="1">
        <f t="array" ref="CE74">INDEX(_xlfn.ANCHORARRAY(_xlfn.XLOOKUP($D74,'-ref_Distribution'!$B$117:$B$121,'-ref_Distribution'!$G$117:$G$121)),RIGHT(CE$1,2))</f>
        <v>17</v>
      </c>
      <c r="CF74" s="16" cm="1">
        <f t="array" ref="CF74">INDEX(_xlfn.ANCHORARRAY(_xlfn.XLOOKUP($D74,'-ref_Distribution'!$B$117:$B$121,'-ref_Distribution'!$G$117:$G$121)),RIGHT(CF$1,2))</f>
        <v>17</v>
      </c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</row>
    <row r="75" spans="1:98" x14ac:dyDescent="0.2">
      <c r="A75" s="16">
        <v>13301064</v>
      </c>
      <c r="B75" s="16" t="s">
        <v>370</v>
      </c>
      <c r="C75" s="17" t="s">
        <v>429</v>
      </c>
      <c r="D75" s="16">
        <v>4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12</v>
      </c>
      <c r="P75" s="16">
        <v>12</v>
      </c>
      <c r="Q75" s="16">
        <v>12</v>
      </c>
      <c r="R75" s="16">
        <v>30</v>
      </c>
      <c r="S75" s="16">
        <v>30</v>
      </c>
      <c r="T75" s="16">
        <v>30</v>
      </c>
      <c r="U75" s="16">
        <v>60</v>
      </c>
      <c r="V75" s="16">
        <v>60</v>
      </c>
      <c r="W75" s="16">
        <v>60</v>
      </c>
      <c r="X75" s="16">
        <v>60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12</v>
      </c>
      <c r="AJ75" s="16">
        <v>12</v>
      </c>
      <c r="AK75" s="16">
        <v>12</v>
      </c>
      <c r="AL75" s="16">
        <v>30</v>
      </c>
      <c r="AM75" s="16">
        <v>30</v>
      </c>
      <c r="AN75" s="16">
        <v>30</v>
      </c>
      <c r="AO75" s="16">
        <v>60</v>
      </c>
      <c r="AP75" s="16">
        <v>60</v>
      </c>
      <c r="AQ75" s="16">
        <v>60</v>
      </c>
      <c r="AR75" s="16">
        <v>60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12</v>
      </c>
      <c r="BD75" s="16">
        <v>12</v>
      </c>
      <c r="BE75" s="16">
        <v>12</v>
      </c>
      <c r="BF75" s="16">
        <v>30</v>
      </c>
      <c r="BG75" s="16">
        <v>30</v>
      </c>
      <c r="BH75" s="16">
        <v>30</v>
      </c>
      <c r="BI75" s="16">
        <v>60</v>
      </c>
      <c r="BJ75" s="16">
        <v>60</v>
      </c>
      <c r="BK75" s="16">
        <v>60</v>
      </c>
      <c r="BL75" s="16">
        <v>60</v>
      </c>
      <c r="BM75" s="16" cm="1">
        <f t="array" ref="BM75">INDEX(_xlfn.ANCHORARRAY(_xlfn.XLOOKUP($D75,'-ref_Distribution'!$B$117:$B$121,'-ref_Distribution'!$G$117:$G$121)),RIGHT(BM$1,2))</f>
        <v>0</v>
      </c>
      <c r="BN75" s="16" cm="1">
        <f t="array" ref="BN75">INDEX(_xlfn.ANCHORARRAY(_xlfn.XLOOKUP($D75,'-ref_Distribution'!$B$117:$B$121,'-ref_Distribution'!$G$117:$G$121)),RIGHT(BN$1,2))</f>
        <v>0</v>
      </c>
      <c r="BO75" s="16" cm="1">
        <f t="array" ref="BO75">INDEX(_xlfn.ANCHORARRAY(_xlfn.XLOOKUP($D75,'-ref_Distribution'!$B$117:$B$121,'-ref_Distribution'!$G$117:$G$121)),RIGHT(BO$1,2))</f>
        <v>0</v>
      </c>
      <c r="BP75" s="16" cm="1">
        <f t="array" ref="BP75">INDEX(_xlfn.ANCHORARRAY(_xlfn.XLOOKUP($D75,'-ref_Distribution'!$B$117:$B$121,'-ref_Distribution'!$G$117:$G$121)),RIGHT(BP$1,2))</f>
        <v>0</v>
      </c>
      <c r="BQ75" s="16" cm="1">
        <f t="array" ref="BQ75">INDEX(_xlfn.ANCHORARRAY(_xlfn.XLOOKUP($D75,'-ref_Distribution'!$B$117:$B$121,'-ref_Distribution'!$G$117:$G$121)),RIGHT(BQ$1,2))</f>
        <v>1</v>
      </c>
      <c r="BR75" s="16" cm="1">
        <f t="array" ref="BR75">INDEX(_xlfn.ANCHORARRAY(_xlfn.XLOOKUP($D75,'-ref_Distribution'!$B$117:$B$121,'-ref_Distribution'!$G$117:$G$121)),RIGHT(BR$1,2))</f>
        <v>2</v>
      </c>
      <c r="BS75" s="16" cm="1">
        <f t="array" ref="BS75">INDEX(_xlfn.ANCHORARRAY(_xlfn.XLOOKUP($D75,'-ref_Distribution'!$B$117:$B$121,'-ref_Distribution'!$G$117:$G$121)),RIGHT(BS$1,2))</f>
        <v>3</v>
      </c>
      <c r="BT75" s="16" cm="1">
        <f t="array" ref="BT75">INDEX(_xlfn.ANCHORARRAY(_xlfn.XLOOKUP($D75,'-ref_Distribution'!$B$117:$B$121,'-ref_Distribution'!$G$117:$G$121)),RIGHT(BT$1,2))</f>
        <v>4</v>
      </c>
      <c r="BU75" s="16" cm="1">
        <f t="array" ref="BU75">INDEX(_xlfn.ANCHORARRAY(_xlfn.XLOOKUP($D75,'-ref_Distribution'!$B$117:$B$121,'-ref_Distribution'!$G$117:$G$121)),RIGHT(BU$1,2))</f>
        <v>5</v>
      </c>
      <c r="BV75" s="16" cm="1">
        <f t="array" ref="BV75">INDEX(_xlfn.ANCHORARRAY(_xlfn.XLOOKUP($D75,'-ref_Distribution'!$B$117:$B$121,'-ref_Distribution'!$G$117:$G$121)),RIGHT(BV$1,2))</f>
        <v>6</v>
      </c>
      <c r="BW75" s="16" cm="1">
        <f t="array" ref="BW75">INDEX(_xlfn.ANCHORARRAY(_xlfn.XLOOKUP($D75,'-ref_Distribution'!$B$117:$B$121,'-ref_Distribution'!$G$117:$G$121)),RIGHT(BW$1,2))</f>
        <v>6</v>
      </c>
      <c r="BX75" s="16" cm="1">
        <f t="array" ref="BX75">INDEX(_xlfn.ANCHORARRAY(_xlfn.XLOOKUP($D75,'-ref_Distribution'!$B$117:$B$121,'-ref_Distribution'!$G$117:$G$121)),RIGHT(BX$1,2))</f>
        <v>7</v>
      </c>
      <c r="BY75" s="16" cm="1">
        <f t="array" ref="BY75">INDEX(_xlfn.ANCHORARRAY(_xlfn.XLOOKUP($D75,'-ref_Distribution'!$B$117:$B$121,'-ref_Distribution'!$G$117:$G$121)),RIGHT(BY$1,2))</f>
        <v>8</v>
      </c>
      <c r="BZ75" s="16" cm="1">
        <f t="array" ref="BZ75">INDEX(_xlfn.ANCHORARRAY(_xlfn.XLOOKUP($D75,'-ref_Distribution'!$B$117:$B$121,'-ref_Distribution'!$G$117:$G$121)),RIGHT(BZ$1,2))</f>
        <v>8</v>
      </c>
      <c r="CA75" s="16" cm="1">
        <f t="array" ref="CA75">INDEX(_xlfn.ANCHORARRAY(_xlfn.XLOOKUP($D75,'-ref_Distribution'!$B$117:$B$121,'-ref_Distribution'!$G$117:$G$121)),RIGHT(CA$1,2))</f>
        <v>9</v>
      </c>
      <c r="CB75" s="16" cm="1">
        <f t="array" ref="CB75">INDEX(_xlfn.ANCHORARRAY(_xlfn.XLOOKUP($D75,'-ref_Distribution'!$B$117:$B$121,'-ref_Distribution'!$G$117:$G$121)),RIGHT(CB$1,2))</f>
        <v>9</v>
      </c>
      <c r="CC75" s="16" cm="1">
        <f t="array" ref="CC75">INDEX(_xlfn.ANCHORARRAY(_xlfn.XLOOKUP($D75,'-ref_Distribution'!$B$117:$B$121,'-ref_Distribution'!$G$117:$G$121)),RIGHT(CC$1,2))</f>
        <v>9</v>
      </c>
      <c r="CD75" s="16" cm="1">
        <f t="array" ref="CD75">INDEX(_xlfn.ANCHORARRAY(_xlfn.XLOOKUP($D75,'-ref_Distribution'!$B$117:$B$121,'-ref_Distribution'!$G$117:$G$121)),RIGHT(CD$1,2))</f>
        <v>10</v>
      </c>
      <c r="CE75" s="16" cm="1">
        <f t="array" ref="CE75">INDEX(_xlfn.ANCHORARRAY(_xlfn.XLOOKUP($D75,'-ref_Distribution'!$B$117:$B$121,'-ref_Distribution'!$G$117:$G$121)),RIGHT(CE$1,2))</f>
        <v>10</v>
      </c>
      <c r="CF75" s="16" cm="1">
        <f t="array" ref="CF75">INDEX(_xlfn.ANCHORARRAY(_xlfn.XLOOKUP($D75,'-ref_Distribution'!$B$117:$B$121,'-ref_Distribution'!$G$117:$G$121)),RIGHT(CF$1,2))</f>
        <v>10</v>
      </c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</row>
    <row r="76" spans="1:98" x14ac:dyDescent="0.2">
      <c r="A76" s="16">
        <v>1331801</v>
      </c>
      <c r="B76" s="17" t="s">
        <v>327</v>
      </c>
      <c r="C76" s="17" t="s">
        <v>429</v>
      </c>
      <c r="D76" s="17" t="s">
        <v>424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</row>
    <row r="77" spans="1:98" x14ac:dyDescent="0.2">
      <c r="A77" s="16">
        <v>13318012</v>
      </c>
      <c r="B77" s="17" t="s">
        <v>318</v>
      </c>
      <c r="C77" s="17" t="s">
        <v>429</v>
      </c>
      <c r="D77" s="16">
        <v>2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16" cm="1">
        <f t="array" ref="BM77">INDEX(_xlfn.ANCHORARRAY(_xlfn.XLOOKUP($D77,'-ref_Distribution'!$B$117:$B$121,'-ref_Distribution'!$G$117:$G$121)),RIGHT(BM$1,2))</f>
        <v>0</v>
      </c>
      <c r="BN77" s="16" cm="1">
        <f t="array" ref="BN77">INDEX(_xlfn.ANCHORARRAY(_xlfn.XLOOKUP($D77,'-ref_Distribution'!$B$117:$B$121,'-ref_Distribution'!$G$117:$G$121)),RIGHT(BN$1,2))</f>
        <v>5</v>
      </c>
      <c r="BO77" s="16" cm="1">
        <f t="array" ref="BO77">INDEX(_xlfn.ANCHORARRAY(_xlfn.XLOOKUP($D77,'-ref_Distribution'!$B$117:$B$121,'-ref_Distribution'!$G$117:$G$121)),RIGHT(BO$1,2))</f>
        <v>12</v>
      </c>
      <c r="BP77" s="16" cm="1">
        <f t="array" ref="BP77">INDEX(_xlfn.ANCHORARRAY(_xlfn.XLOOKUP($D77,'-ref_Distribution'!$B$117:$B$121,'-ref_Distribution'!$G$117:$G$121)),RIGHT(BP$1,2))</f>
        <v>16</v>
      </c>
      <c r="BQ77" s="16" cm="1">
        <f t="array" ref="BQ77">INDEX(_xlfn.ANCHORARRAY(_xlfn.XLOOKUP($D77,'-ref_Distribution'!$B$117:$B$121,'-ref_Distribution'!$G$117:$G$121)),RIGHT(BQ$1,2))</f>
        <v>19</v>
      </c>
      <c r="BR77" s="16" cm="1">
        <f t="array" ref="BR77">INDEX(_xlfn.ANCHORARRAY(_xlfn.XLOOKUP($D77,'-ref_Distribution'!$B$117:$B$121,'-ref_Distribution'!$G$117:$G$121)),RIGHT(BR$1,2))</f>
        <v>22</v>
      </c>
      <c r="BS77" s="16" cm="1">
        <f t="array" ref="BS77">INDEX(_xlfn.ANCHORARRAY(_xlfn.XLOOKUP($D77,'-ref_Distribution'!$B$117:$B$121,'-ref_Distribution'!$G$117:$G$121)),RIGHT(BS$1,2))</f>
        <v>23</v>
      </c>
      <c r="BT77" s="16" cm="1">
        <f t="array" ref="BT77">INDEX(_xlfn.ANCHORARRAY(_xlfn.XLOOKUP($D77,'-ref_Distribution'!$B$117:$B$121,'-ref_Distribution'!$G$117:$G$121)),RIGHT(BT$1,2))</f>
        <v>25</v>
      </c>
      <c r="BU77" s="16" cm="1">
        <f t="array" ref="BU77">INDEX(_xlfn.ANCHORARRAY(_xlfn.XLOOKUP($D77,'-ref_Distribution'!$B$117:$B$121,'-ref_Distribution'!$G$117:$G$121)),RIGHT(BU$1,2))</f>
        <v>26</v>
      </c>
      <c r="BV77" s="16" cm="1">
        <f t="array" ref="BV77">INDEX(_xlfn.ANCHORARRAY(_xlfn.XLOOKUP($D77,'-ref_Distribution'!$B$117:$B$121,'-ref_Distribution'!$G$117:$G$121)),RIGHT(BV$1,2))</f>
        <v>27</v>
      </c>
      <c r="BW77" s="16" cm="1">
        <f t="array" ref="BW77">INDEX(_xlfn.ANCHORARRAY(_xlfn.XLOOKUP($D77,'-ref_Distribution'!$B$117:$B$121,'-ref_Distribution'!$G$117:$G$121)),RIGHT(BW$1,2))</f>
        <v>27</v>
      </c>
      <c r="BX77" s="16" cm="1">
        <f t="array" ref="BX77">INDEX(_xlfn.ANCHORARRAY(_xlfn.XLOOKUP($D77,'-ref_Distribution'!$B$117:$B$121,'-ref_Distribution'!$G$117:$G$121)),RIGHT(BX$1,2))</f>
        <v>28</v>
      </c>
      <c r="BY77" s="16" cm="1">
        <f t="array" ref="BY77">INDEX(_xlfn.ANCHORARRAY(_xlfn.XLOOKUP($D77,'-ref_Distribution'!$B$117:$B$121,'-ref_Distribution'!$G$117:$G$121)),RIGHT(BY$1,2))</f>
        <v>29</v>
      </c>
      <c r="BZ77" s="16" cm="1">
        <f t="array" ref="BZ77">INDEX(_xlfn.ANCHORARRAY(_xlfn.XLOOKUP($D77,'-ref_Distribution'!$B$117:$B$121,'-ref_Distribution'!$G$117:$G$121)),RIGHT(BZ$1,2))</f>
        <v>29</v>
      </c>
      <c r="CA77" s="16" cm="1">
        <f t="array" ref="CA77">INDEX(_xlfn.ANCHORARRAY(_xlfn.XLOOKUP($D77,'-ref_Distribution'!$B$117:$B$121,'-ref_Distribution'!$G$117:$G$121)),RIGHT(CA$1,2))</f>
        <v>30</v>
      </c>
      <c r="CB77" s="16" cm="1">
        <f t="array" ref="CB77">INDEX(_xlfn.ANCHORARRAY(_xlfn.XLOOKUP($D77,'-ref_Distribution'!$B$117:$B$121,'-ref_Distribution'!$G$117:$G$121)),RIGHT(CB$1,2))</f>
        <v>30</v>
      </c>
      <c r="CC77" s="16" cm="1">
        <f t="array" ref="CC77">INDEX(_xlfn.ANCHORARRAY(_xlfn.XLOOKUP($D77,'-ref_Distribution'!$B$117:$B$121,'-ref_Distribution'!$G$117:$G$121)),RIGHT(CC$1,2))</f>
        <v>30</v>
      </c>
      <c r="CD77" s="16" cm="1">
        <f t="array" ref="CD77">INDEX(_xlfn.ANCHORARRAY(_xlfn.XLOOKUP($D77,'-ref_Distribution'!$B$117:$B$121,'-ref_Distribution'!$G$117:$G$121)),RIGHT(CD$1,2))</f>
        <v>30</v>
      </c>
      <c r="CE77" s="16" cm="1">
        <f t="array" ref="CE77">INDEX(_xlfn.ANCHORARRAY(_xlfn.XLOOKUP($D77,'-ref_Distribution'!$B$117:$B$121,'-ref_Distribution'!$G$117:$G$121)),RIGHT(CE$1,2))</f>
        <v>31</v>
      </c>
      <c r="CF77" s="16" cm="1">
        <f t="array" ref="CF77">INDEX(_xlfn.ANCHORARRAY(_xlfn.XLOOKUP($D77,'-ref_Distribution'!$B$117:$B$121,'-ref_Distribution'!$G$117:$G$121)),RIGHT(CF$1,2))</f>
        <v>31</v>
      </c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</row>
    <row r="78" spans="1:98" x14ac:dyDescent="0.2">
      <c r="A78" s="16">
        <v>13318013</v>
      </c>
      <c r="B78" s="17" t="s">
        <v>319</v>
      </c>
      <c r="C78" s="17" t="s">
        <v>429</v>
      </c>
      <c r="D78" s="16">
        <v>3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16" cm="1">
        <f t="array" ref="BM78">INDEX(_xlfn.ANCHORARRAY(_xlfn.XLOOKUP($D78,'-ref_Distribution'!$B$117:$B$121,'-ref_Distribution'!$G$117:$G$121)),RIGHT(BM$1,2))</f>
        <v>0</v>
      </c>
      <c r="BN78" s="16" cm="1">
        <f t="array" ref="BN78">INDEX(_xlfn.ANCHORARRAY(_xlfn.XLOOKUP($D78,'-ref_Distribution'!$B$117:$B$121,'-ref_Distribution'!$G$117:$G$121)),RIGHT(BN$1,2))</f>
        <v>0</v>
      </c>
      <c r="BO78" s="16" cm="1">
        <f t="array" ref="BO78">INDEX(_xlfn.ANCHORARRAY(_xlfn.XLOOKUP($D78,'-ref_Distribution'!$B$117:$B$121,'-ref_Distribution'!$G$117:$G$121)),RIGHT(BO$1,2))</f>
        <v>1</v>
      </c>
      <c r="BP78" s="16" cm="1">
        <f t="array" ref="BP78">INDEX(_xlfn.ANCHORARRAY(_xlfn.XLOOKUP($D78,'-ref_Distribution'!$B$117:$B$121,'-ref_Distribution'!$G$117:$G$121)),RIGHT(BP$1,2))</f>
        <v>3</v>
      </c>
      <c r="BQ78" s="16" cm="1">
        <f t="array" ref="BQ78">INDEX(_xlfn.ANCHORARRAY(_xlfn.XLOOKUP($D78,'-ref_Distribution'!$B$117:$B$121,'-ref_Distribution'!$G$117:$G$121)),RIGHT(BQ$1,2))</f>
        <v>6</v>
      </c>
      <c r="BR78" s="16" cm="1">
        <f t="array" ref="BR78">INDEX(_xlfn.ANCHORARRAY(_xlfn.XLOOKUP($D78,'-ref_Distribution'!$B$117:$B$121,'-ref_Distribution'!$G$117:$G$121)),RIGHT(BR$1,2))</f>
        <v>8</v>
      </c>
      <c r="BS78" s="16" cm="1">
        <f t="array" ref="BS78">INDEX(_xlfn.ANCHORARRAY(_xlfn.XLOOKUP($D78,'-ref_Distribution'!$B$117:$B$121,'-ref_Distribution'!$G$117:$G$121)),RIGHT(BS$1,2))</f>
        <v>9</v>
      </c>
      <c r="BT78" s="16" cm="1">
        <f t="array" ref="BT78">INDEX(_xlfn.ANCHORARRAY(_xlfn.XLOOKUP($D78,'-ref_Distribution'!$B$117:$B$121,'-ref_Distribution'!$G$117:$G$121)),RIGHT(BT$1,2))</f>
        <v>10</v>
      </c>
      <c r="BU78" s="16" cm="1">
        <f t="array" ref="BU78">INDEX(_xlfn.ANCHORARRAY(_xlfn.XLOOKUP($D78,'-ref_Distribution'!$B$117:$B$121,'-ref_Distribution'!$G$117:$G$121)),RIGHT(BU$1,2))</f>
        <v>11</v>
      </c>
      <c r="BV78" s="16" cm="1">
        <f t="array" ref="BV78">INDEX(_xlfn.ANCHORARRAY(_xlfn.XLOOKUP($D78,'-ref_Distribution'!$B$117:$B$121,'-ref_Distribution'!$G$117:$G$121)),RIGHT(BV$1,2))</f>
        <v>12</v>
      </c>
      <c r="BW78" s="16" cm="1">
        <f t="array" ref="BW78">INDEX(_xlfn.ANCHORARRAY(_xlfn.XLOOKUP($D78,'-ref_Distribution'!$B$117:$B$121,'-ref_Distribution'!$G$117:$G$121)),RIGHT(BW$1,2))</f>
        <v>13</v>
      </c>
      <c r="BX78" s="16" cm="1">
        <f t="array" ref="BX78">INDEX(_xlfn.ANCHORARRAY(_xlfn.XLOOKUP($D78,'-ref_Distribution'!$B$117:$B$121,'-ref_Distribution'!$G$117:$G$121)),RIGHT(BX$1,2))</f>
        <v>14</v>
      </c>
      <c r="BY78" s="16" cm="1">
        <f t="array" ref="BY78">INDEX(_xlfn.ANCHORARRAY(_xlfn.XLOOKUP($D78,'-ref_Distribution'!$B$117:$B$121,'-ref_Distribution'!$G$117:$G$121)),RIGHT(BY$1,2))</f>
        <v>14</v>
      </c>
      <c r="BZ78" s="16" cm="1">
        <f t="array" ref="BZ78">INDEX(_xlfn.ANCHORARRAY(_xlfn.XLOOKUP($D78,'-ref_Distribution'!$B$117:$B$121,'-ref_Distribution'!$G$117:$G$121)),RIGHT(BZ$1,2))</f>
        <v>15</v>
      </c>
      <c r="CA78" s="16" cm="1">
        <f t="array" ref="CA78">INDEX(_xlfn.ANCHORARRAY(_xlfn.XLOOKUP($D78,'-ref_Distribution'!$B$117:$B$121,'-ref_Distribution'!$G$117:$G$121)),RIGHT(CA$1,2))</f>
        <v>15</v>
      </c>
      <c r="CB78" s="16" cm="1">
        <f t="array" ref="CB78">INDEX(_xlfn.ANCHORARRAY(_xlfn.XLOOKUP($D78,'-ref_Distribution'!$B$117:$B$121,'-ref_Distribution'!$G$117:$G$121)),RIGHT(CB$1,2))</f>
        <v>16</v>
      </c>
      <c r="CC78" s="16" cm="1">
        <f t="array" ref="CC78">INDEX(_xlfn.ANCHORARRAY(_xlfn.XLOOKUP($D78,'-ref_Distribution'!$B$117:$B$121,'-ref_Distribution'!$G$117:$G$121)),RIGHT(CC$1,2))</f>
        <v>16</v>
      </c>
      <c r="CD78" s="16" cm="1">
        <f t="array" ref="CD78">INDEX(_xlfn.ANCHORARRAY(_xlfn.XLOOKUP($D78,'-ref_Distribution'!$B$117:$B$121,'-ref_Distribution'!$G$117:$G$121)),RIGHT(CD$1,2))</f>
        <v>17</v>
      </c>
      <c r="CE78" s="16" cm="1">
        <f t="array" ref="CE78">INDEX(_xlfn.ANCHORARRAY(_xlfn.XLOOKUP($D78,'-ref_Distribution'!$B$117:$B$121,'-ref_Distribution'!$G$117:$G$121)),RIGHT(CE$1,2))</f>
        <v>17</v>
      </c>
      <c r="CF78" s="16" cm="1">
        <f t="array" ref="CF78">INDEX(_xlfn.ANCHORARRAY(_xlfn.XLOOKUP($D78,'-ref_Distribution'!$B$117:$B$121,'-ref_Distribution'!$G$117:$G$121)),RIGHT(CF$1,2))</f>
        <v>17</v>
      </c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</row>
    <row r="79" spans="1:98" x14ac:dyDescent="0.2">
      <c r="A79" s="16">
        <v>13318014</v>
      </c>
      <c r="B79" s="17" t="s">
        <v>320</v>
      </c>
      <c r="C79" s="17" t="s">
        <v>429</v>
      </c>
      <c r="D79" s="16">
        <v>4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16" cm="1">
        <f t="array" ref="BM79">INDEX(_xlfn.ANCHORARRAY(_xlfn.XLOOKUP($D79,'-ref_Distribution'!$B$117:$B$121,'-ref_Distribution'!$G$117:$G$121)),RIGHT(BM$1,2))</f>
        <v>0</v>
      </c>
      <c r="BN79" s="16" cm="1">
        <f t="array" ref="BN79">INDEX(_xlfn.ANCHORARRAY(_xlfn.XLOOKUP($D79,'-ref_Distribution'!$B$117:$B$121,'-ref_Distribution'!$G$117:$G$121)),RIGHT(BN$1,2))</f>
        <v>0</v>
      </c>
      <c r="BO79" s="16" cm="1">
        <f t="array" ref="BO79">INDEX(_xlfn.ANCHORARRAY(_xlfn.XLOOKUP($D79,'-ref_Distribution'!$B$117:$B$121,'-ref_Distribution'!$G$117:$G$121)),RIGHT(BO$1,2))</f>
        <v>0</v>
      </c>
      <c r="BP79" s="16" cm="1">
        <f t="array" ref="BP79">INDEX(_xlfn.ANCHORARRAY(_xlfn.XLOOKUP($D79,'-ref_Distribution'!$B$117:$B$121,'-ref_Distribution'!$G$117:$G$121)),RIGHT(BP$1,2))</f>
        <v>0</v>
      </c>
      <c r="BQ79" s="16" cm="1">
        <f t="array" ref="BQ79">INDEX(_xlfn.ANCHORARRAY(_xlfn.XLOOKUP($D79,'-ref_Distribution'!$B$117:$B$121,'-ref_Distribution'!$G$117:$G$121)),RIGHT(BQ$1,2))</f>
        <v>1</v>
      </c>
      <c r="BR79" s="16" cm="1">
        <f t="array" ref="BR79">INDEX(_xlfn.ANCHORARRAY(_xlfn.XLOOKUP($D79,'-ref_Distribution'!$B$117:$B$121,'-ref_Distribution'!$G$117:$G$121)),RIGHT(BR$1,2))</f>
        <v>2</v>
      </c>
      <c r="BS79" s="16" cm="1">
        <f t="array" ref="BS79">INDEX(_xlfn.ANCHORARRAY(_xlfn.XLOOKUP($D79,'-ref_Distribution'!$B$117:$B$121,'-ref_Distribution'!$G$117:$G$121)),RIGHT(BS$1,2))</f>
        <v>3</v>
      </c>
      <c r="BT79" s="16" cm="1">
        <f t="array" ref="BT79">INDEX(_xlfn.ANCHORARRAY(_xlfn.XLOOKUP($D79,'-ref_Distribution'!$B$117:$B$121,'-ref_Distribution'!$G$117:$G$121)),RIGHT(BT$1,2))</f>
        <v>4</v>
      </c>
      <c r="BU79" s="16" cm="1">
        <f t="array" ref="BU79">INDEX(_xlfn.ANCHORARRAY(_xlfn.XLOOKUP($D79,'-ref_Distribution'!$B$117:$B$121,'-ref_Distribution'!$G$117:$G$121)),RIGHT(BU$1,2))</f>
        <v>5</v>
      </c>
      <c r="BV79" s="16" cm="1">
        <f t="array" ref="BV79">INDEX(_xlfn.ANCHORARRAY(_xlfn.XLOOKUP($D79,'-ref_Distribution'!$B$117:$B$121,'-ref_Distribution'!$G$117:$G$121)),RIGHT(BV$1,2))</f>
        <v>6</v>
      </c>
      <c r="BW79" s="16" cm="1">
        <f t="array" ref="BW79">INDEX(_xlfn.ANCHORARRAY(_xlfn.XLOOKUP($D79,'-ref_Distribution'!$B$117:$B$121,'-ref_Distribution'!$G$117:$G$121)),RIGHT(BW$1,2))</f>
        <v>6</v>
      </c>
      <c r="BX79" s="16" cm="1">
        <f t="array" ref="BX79">INDEX(_xlfn.ANCHORARRAY(_xlfn.XLOOKUP($D79,'-ref_Distribution'!$B$117:$B$121,'-ref_Distribution'!$G$117:$G$121)),RIGHT(BX$1,2))</f>
        <v>7</v>
      </c>
      <c r="BY79" s="16" cm="1">
        <f t="array" ref="BY79">INDEX(_xlfn.ANCHORARRAY(_xlfn.XLOOKUP($D79,'-ref_Distribution'!$B$117:$B$121,'-ref_Distribution'!$G$117:$G$121)),RIGHT(BY$1,2))</f>
        <v>8</v>
      </c>
      <c r="BZ79" s="16" cm="1">
        <f t="array" ref="BZ79">INDEX(_xlfn.ANCHORARRAY(_xlfn.XLOOKUP($D79,'-ref_Distribution'!$B$117:$B$121,'-ref_Distribution'!$G$117:$G$121)),RIGHT(BZ$1,2))</f>
        <v>8</v>
      </c>
      <c r="CA79" s="16" cm="1">
        <f t="array" ref="CA79">INDEX(_xlfn.ANCHORARRAY(_xlfn.XLOOKUP($D79,'-ref_Distribution'!$B$117:$B$121,'-ref_Distribution'!$G$117:$G$121)),RIGHT(CA$1,2))</f>
        <v>9</v>
      </c>
      <c r="CB79" s="16" cm="1">
        <f t="array" ref="CB79">INDEX(_xlfn.ANCHORARRAY(_xlfn.XLOOKUP($D79,'-ref_Distribution'!$B$117:$B$121,'-ref_Distribution'!$G$117:$G$121)),RIGHT(CB$1,2))</f>
        <v>9</v>
      </c>
      <c r="CC79" s="16" cm="1">
        <f t="array" ref="CC79">INDEX(_xlfn.ANCHORARRAY(_xlfn.XLOOKUP($D79,'-ref_Distribution'!$B$117:$B$121,'-ref_Distribution'!$G$117:$G$121)),RIGHT(CC$1,2))</f>
        <v>9</v>
      </c>
      <c r="CD79" s="16" cm="1">
        <f t="array" ref="CD79">INDEX(_xlfn.ANCHORARRAY(_xlfn.XLOOKUP($D79,'-ref_Distribution'!$B$117:$B$121,'-ref_Distribution'!$G$117:$G$121)),RIGHT(CD$1,2))</f>
        <v>10</v>
      </c>
      <c r="CE79" s="16" cm="1">
        <f t="array" ref="CE79">INDEX(_xlfn.ANCHORARRAY(_xlfn.XLOOKUP($D79,'-ref_Distribution'!$B$117:$B$121,'-ref_Distribution'!$G$117:$G$121)),RIGHT(CE$1,2))</f>
        <v>10</v>
      </c>
      <c r="CF79" s="16" cm="1">
        <f t="array" ref="CF79">INDEX(_xlfn.ANCHORARRAY(_xlfn.XLOOKUP($D79,'-ref_Distribution'!$B$117:$B$121,'-ref_Distribution'!$G$117:$G$121)),RIGHT(CF$1,2))</f>
        <v>10</v>
      </c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</row>
    <row r="80" spans="1:98" x14ac:dyDescent="0.2"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</row>
    <row r="81" spans="1:98" x14ac:dyDescent="0.2">
      <c r="A81" s="16">
        <v>1340101</v>
      </c>
      <c r="B81" s="16" t="s">
        <v>38</v>
      </c>
      <c r="C81" s="17" t="s">
        <v>430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</row>
    <row r="82" spans="1:98" x14ac:dyDescent="0.2">
      <c r="A82" s="16">
        <v>1340102</v>
      </c>
      <c r="B82" s="16" t="s">
        <v>39</v>
      </c>
      <c r="C82" s="17" t="s">
        <v>430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</row>
    <row r="83" spans="1:98" x14ac:dyDescent="0.2">
      <c r="A83" s="16">
        <v>1340103</v>
      </c>
      <c r="B83" s="16" t="s">
        <v>40</v>
      </c>
      <c r="C83" s="17" t="s">
        <v>430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</row>
    <row r="84" spans="1:98" x14ac:dyDescent="0.2">
      <c r="A84" s="16">
        <v>1340104</v>
      </c>
      <c r="B84" s="16" t="s">
        <v>41</v>
      </c>
      <c r="C84" s="17" t="s">
        <v>430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</row>
    <row r="85" spans="1:98" x14ac:dyDescent="0.2">
      <c r="A85" s="16">
        <v>1340105</v>
      </c>
      <c r="B85" s="16" t="s">
        <v>42</v>
      </c>
      <c r="C85" s="17" t="s">
        <v>430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</row>
    <row r="86" spans="1:98" x14ac:dyDescent="0.2">
      <c r="A86" s="16">
        <v>1340106</v>
      </c>
      <c r="B86" s="16" t="s">
        <v>43</v>
      </c>
      <c r="C86" s="17" t="s">
        <v>430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</row>
    <row r="87" spans="1:98" x14ac:dyDescent="0.2">
      <c r="A87" s="16">
        <v>1340107</v>
      </c>
      <c r="B87" s="16" t="s">
        <v>44</v>
      </c>
      <c r="C87" s="17" t="s">
        <v>430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</row>
    <row r="88" spans="1:98" x14ac:dyDescent="0.2">
      <c r="A88" s="16">
        <v>1340108</v>
      </c>
      <c r="B88" s="16" t="s">
        <v>45</v>
      </c>
      <c r="C88" s="17" t="s">
        <v>430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</row>
    <row r="89" spans="1:98" x14ac:dyDescent="0.2">
      <c r="A89" s="16">
        <v>1350101</v>
      </c>
      <c r="B89" s="16" t="s">
        <v>46</v>
      </c>
      <c r="C89" s="17" t="s">
        <v>430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</row>
    <row r="90" spans="1:98" x14ac:dyDescent="0.2">
      <c r="A90" s="16">
        <v>1350102</v>
      </c>
      <c r="B90" s="16" t="s">
        <v>47</v>
      </c>
      <c r="C90" s="17" t="s">
        <v>430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CG90"/>
      <c r="CT90" s="16"/>
    </row>
    <row r="91" spans="1:98" x14ac:dyDescent="0.2">
      <c r="A91" s="16">
        <v>1350103</v>
      </c>
      <c r="B91" s="16" t="s">
        <v>48</v>
      </c>
      <c r="C91" s="17" t="s">
        <v>430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CG91"/>
      <c r="CT91" s="16"/>
    </row>
    <row r="92" spans="1:98" x14ac:dyDescent="0.2">
      <c r="A92" s="16">
        <v>1351101</v>
      </c>
      <c r="B92" s="16" t="s">
        <v>49</v>
      </c>
      <c r="C92" s="17" t="s">
        <v>430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CG92"/>
      <c r="CT92" s="16"/>
    </row>
    <row r="93" spans="1:98" x14ac:dyDescent="0.2">
      <c r="A93" s="16">
        <v>1351102</v>
      </c>
      <c r="B93" s="16" t="s">
        <v>50</v>
      </c>
      <c r="C93" s="17" t="s">
        <v>430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CG93"/>
      <c r="CT93" s="16"/>
    </row>
    <row r="94" spans="1:98" x14ac:dyDescent="0.2"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CG94"/>
      <c r="CT94" s="16"/>
    </row>
    <row r="95" spans="1:98" x14ac:dyDescent="0.2">
      <c r="A95" s="16">
        <v>1360101</v>
      </c>
      <c r="B95" s="16" t="s">
        <v>51</v>
      </c>
      <c r="C95" s="17" t="s">
        <v>431</v>
      </c>
      <c r="D95" s="17" t="s">
        <v>424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/>
      <c r="CT95" s="16"/>
    </row>
    <row r="96" spans="1:98" x14ac:dyDescent="0.2">
      <c r="A96" s="16">
        <v>13601010</v>
      </c>
      <c r="B96" s="16" t="s">
        <v>346</v>
      </c>
      <c r="C96" s="17" t="s">
        <v>431</v>
      </c>
      <c r="D96" s="16">
        <v>0</v>
      </c>
      <c r="E96" s="16">
        <v>40</v>
      </c>
      <c r="F96" s="16">
        <v>40</v>
      </c>
      <c r="G96" s="16">
        <v>40</v>
      </c>
      <c r="H96" s="16">
        <v>40</v>
      </c>
      <c r="I96" s="16">
        <v>40</v>
      </c>
      <c r="J96" s="16">
        <v>40</v>
      </c>
      <c r="K96" s="16">
        <v>40</v>
      </c>
      <c r="L96" s="16">
        <v>40</v>
      </c>
      <c r="M96" s="16">
        <v>19</v>
      </c>
      <c r="N96" s="16">
        <v>19</v>
      </c>
      <c r="O96" s="16">
        <v>19</v>
      </c>
      <c r="P96" s="16">
        <v>19</v>
      </c>
      <c r="Q96" s="16">
        <v>7</v>
      </c>
      <c r="R96" s="16">
        <v>7</v>
      </c>
      <c r="S96" s="16">
        <v>7</v>
      </c>
      <c r="T96" s="16">
        <v>7</v>
      </c>
      <c r="U96" s="16">
        <v>0</v>
      </c>
      <c r="V96" s="16">
        <v>0</v>
      </c>
      <c r="W96" s="16">
        <v>0</v>
      </c>
      <c r="X96" s="16">
        <v>0</v>
      </c>
      <c r="Y96" s="16">
        <v>40</v>
      </c>
      <c r="Z96" s="16">
        <v>40</v>
      </c>
      <c r="AA96" s="16">
        <v>40</v>
      </c>
      <c r="AB96" s="16">
        <v>40</v>
      </c>
      <c r="AC96" s="16">
        <v>40</v>
      </c>
      <c r="AD96" s="16">
        <v>40</v>
      </c>
      <c r="AE96" s="16">
        <v>40</v>
      </c>
      <c r="AF96" s="16">
        <v>40</v>
      </c>
      <c r="AG96" s="16">
        <v>19</v>
      </c>
      <c r="AH96" s="16">
        <v>19</v>
      </c>
      <c r="AI96" s="16">
        <v>19</v>
      </c>
      <c r="AJ96" s="16">
        <v>19</v>
      </c>
      <c r="AK96" s="16">
        <v>7</v>
      </c>
      <c r="AL96" s="16">
        <v>7</v>
      </c>
      <c r="AM96" s="16">
        <v>7</v>
      </c>
      <c r="AN96" s="16">
        <v>7</v>
      </c>
      <c r="AO96" s="16">
        <v>0</v>
      </c>
      <c r="AP96" s="16">
        <v>0</v>
      </c>
      <c r="AQ96" s="16">
        <v>0</v>
      </c>
      <c r="AR96" s="16">
        <v>0</v>
      </c>
      <c r="AS96" s="16">
        <v>40</v>
      </c>
      <c r="AT96" s="16">
        <v>40</v>
      </c>
      <c r="AU96" s="16">
        <v>40</v>
      </c>
      <c r="AV96" s="16">
        <v>40</v>
      </c>
      <c r="AW96" s="16">
        <v>40</v>
      </c>
      <c r="AX96" s="16">
        <v>40</v>
      </c>
      <c r="AY96" s="16">
        <v>40</v>
      </c>
      <c r="AZ96" s="16">
        <v>40</v>
      </c>
      <c r="BA96" s="16">
        <v>19</v>
      </c>
      <c r="BB96" s="16">
        <v>19</v>
      </c>
      <c r="BC96" s="16">
        <v>19</v>
      </c>
      <c r="BD96" s="16">
        <v>19</v>
      </c>
      <c r="BE96" s="16">
        <v>7</v>
      </c>
      <c r="BF96" s="16">
        <v>7</v>
      </c>
      <c r="BG96" s="16">
        <v>7</v>
      </c>
      <c r="BH96" s="16">
        <v>7</v>
      </c>
      <c r="BI96" s="16">
        <v>0</v>
      </c>
      <c r="BJ96" s="16">
        <v>0</v>
      </c>
      <c r="BK96" s="16">
        <v>0</v>
      </c>
      <c r="BL96" s="16">
        <v>0</v>
      </c>
      <c r="BM96" s="16" cm="1">
        <f t="array" ref="BM96">INDEX(_xlfn.ANCHORARRAY(_xlfn.XLOOKUP($D96,'-ref_Distribution'!$B$117:$B$121,'-ref_Distribution'!$G$117:$G$121)),RIGHT(BM$1,2))</f>
        <v>130</v>
      </c>
      <c r="BN96" s="16" cm="1">
        <f t="array" ref="BN96">INDEX(_xlfn.ANCHORARRAY(_xlfn.XLOOKUP($D96,'-ref_Distribution'!$B$117:$B$121,'-ref_Distribution'!$G$117:$G$121)),RIGHT(BN$1,2))</f>
        <v>84</v>
      </c>
      <c r="BO96" s="16" cm="1">
        <f t="array" ref="BO96">INDEX(_xlfn.ANCHORARRAY(_xlfn.XLOOKUP($D96,'-ref_Distribution'!$B$117:$B$121,'-ref_Distribution'!$G$117:$G$121)),RIGHT(BO$1,2))</f>
        <v>65</v>
      </c>
      <c r="BP96" s="16" cm="1">
        <f t="array" ref="BP96">INDEX(_xlfn.ANCHORARRAY(_xlfn.XLOOKUP($D96,'-ref_Distribution'!$B$117:$B$121,'-ref_Distribution'!$G$117:$G$121)),RIGHT(BP$1,2))</f>
        <v>54</v>
      </c>
      <c r="BQ96" s="16" cm="1">
        <f t="array" ref="BQ96">INDEX(_xlfn.ANCHORARRAY(_xlfn.XLOOKUP($D96,'-ref_Distribution'!$B$117:$B$121,'-ref_Distribution'!$G$117:$G$121)),RIGHT(BQ$1,2))</f>
        <v>47</v>
      </c>
      <c r="BR96" s="16" cm="1">
        <f t="array" ref="BR96">INDEX(_xlfn.ANCHORARRAY(_xlfn.XLOOKUP($D96,'-ref_Distribution'!$B$117:$B$121,'-ref_Distribution'!$G$117:$G$121)),RIGHT(BR$1,2))</f>
        <v>41</v>
      </c>
      <c r="BS96" s="16" cm="1">
        <f t="array" ref="BS96">INDEX(_xlfn.ANCHORARRAY(_xlfn.XLOOKUP($D96,'-ref_Distribution'!$B$117:$B$121,'-ref_Distribution'!$G$117:$G$121)),RIGHT(BS$1,2))</f>
        <v>38</v>
      </c>
      <c r="BT96" s="16" cm="1">
        <f t="array" ref="BT96">INDEX(_xlfn.ANCHORARRAY(_xlfn.XLOOKUP($D96,'-ref_Distribution'!$B$117:$B$121,'-ref_Distribution'!$G$117:$G$121)),RIGHT(BT$1,2))</f>
        <v>34</v>
      </c>
      <c r="BU96" s="16" cm="1">
        <f t="array" ref="BU96">INDEX(_xlfn.ANCHORARRAY(_xlfn.XLOOKUP($D96,'-ref_Distribution'!$B$117:$B$121,'-ref_Distribution'!$G$117:$G$121)),RIGHT(BU$1,2))</f>
        <v>32</v>
      </c>
      <c r="BV96" s="16" cm="1">
        <f t="array" ref="BV96">INDEX(_xlfn.ANCHORARRAY(_xlfn.XLOOKUP($D96,'-ref_Distribution'!$B$117:$B$121,'-ref_Distribution'!$G$117:$G$121)),RIGHT(BV$1,2))</f>
        <v>30</v>
      </c>
      <c r="BW96" s="16" cm="1">
        <f t="array" ref="BW96">INDEX(_xlfn.ANCHORARRAY(_xlfn.XLOOKUP($D96,'-ref_Distribution'!$B$117:$B$121,'-ref_Distribution'!$G$117:$G$121)),RIGHT(BW$1,2))</f>
        <v>28</v>
      </c>
      <c r="BX96" s="16" cm="1">
        <f t="array" ref="BX96">INDEX(_xlfn.ANCHORARRAY(_xlfn.XLOOKUP($D96,'-ref_Distribution'!$B$117:$B$121,'-ref_Distribution'!$G$117:$G$121)),RIGHT(BX$1,2))</f>
        <v>26</v>
      </c>
      <c r="BY96" s="16" cm="1">
        <f t="array" ref="BY96">INDEX(_xlfn.ANCHORARRAY(_xlfn.XLOOKUP($D96,'-ref_Distribution'!$B$117:$B$121,'-ref_Distribution'!$G$117:$G$121)),RIGHT(BY$1,2))</f>
        <v>25</v>
      </c>
      <c r="BZ96" s="16" cm="1">
        <f t="array" ref="BZ96">INDEX(_xlfn.ANCHORARRAY(_xlfn.XLOOKUP($D96,'-ref_Distribution'!$B$117:$B$121,'-ref_Distribution'!$G$117:$G$121)),RIGHT(BZ$1,2))</f>
        <v>24</v>
      </c>
      <c r="CA96" s="16" cm="1">
        <f t="array" ref="CA96">INDEX(_xlfn.ANCHORARRAY(_xlfn.XLOOKUP($D96,'-ref_Distribution'!$B$117:$B$121,'-ref_Distribution'!$G$117:$G$121)),RIGHT(CA$1,2))</f>
        <v>23</v>
      </c>
      <c r="CB96" s="16" cm="1">
        <f t="array" ref="CB96">INDEX(_xlfn.ANCHORARRAY(_xlfn.XLOOKUP($D96,'-ref_Distribution'!$B$117:$B$121,'-ref_Distribution'!$G$117:$G$121)),RIGHT(CB$1,2))</f>
        <v>22</v>
      </c>
      <c r="CC96" s="16" cm="1">
        <f t="array" ref="CC96">INDEX(_xlfn.ANCHORARRAY(_xlfn.XLOOKUP($D96,'-ref_Distribution'!$B$117:$B$121,'-ref_Distribution'!$G$117:$G$121)),RIGHT(CC$1,2))</f>
        <v>21</v>
      </c>
      <c r="CD96" s="16" cm="1">
        <f t="array" ref="CD96">INDEX(_xlfn.ANCHORARRAY(_xlfn.XLOOKUP($D96,'-ref_Distribution'!$B$117:$B$121,'-ref_Distribution'!$G$117:$G$121)),RIGHT(CD$1,2))</f>
        <v>20</v>
      </c>
      <c r="CE96" s="16" cm="1">
        <f t="array" ref="CE96">INDEX(_xlfn.ANCHORARRAY(_xlfn.XLOOKUP($D96,'-ref_Distribution'!$B$117:$B$121,'-ref_Distribution'!$G$117:$G$121)),RIGHT(CE$1,2))</f>
        <v>19</v>
      </c>
      <c r="CF96" s="16" cm="1">
        <f t="array" ref="CF96">INDEX(_xlfn.ANCHORARRAY(_xlfn.XLOOKUP($D96,'-ref_Distribution'!$B$117:$B$121,'-ref_Distribution'!$G$117:$G$121)),RIGHT(CF$1,2))</f>
        <v>18</v>
      </c>
      <c r="CG96"/>
      <c r="CT96" s="16"/>
    </row>
    <row r="97" spans="1:98" x14ac:dyDescent="0.2">
      <c r="A97" s="16">
        <v>13601011</v>
      </c>
      <c r="B97" s="16" t="s">
        <v>347</v>
      </c>
      <c r="C97" s="17" t="s">
        <v>431</v>
      </c>
      <c r="D97" s="16">
        <v>1</v>
      </c>
      <c r="E97" s="16">
        <v>8</v>
      </c>
      <c r="F97" s="16">
        <v>8</v>
      </c>
      <c r="G97" s="16">
        <v>8</v>
      </c>
      <c r="H97" s="16">
        <v>8</v>
      </c>
      <c r="I97" s="16">
        <v>40</v>
      </c>
      <c r="J97" s="16">
        <v>40</v>
      </c>
      <c r="K97" s="16">
        <v>40</v>
      </c>
      <c r="L97" s="16">
        <v>40</v>
      </c>
      <c r="M97" s="16">
        <v>40</v>
      </c>
      <c r="N97" s="16">
        <v>40</v>
      </c>
      <c r="O97" s="16">
        <v>40</v>
      </c>
      <c r="P97" s="16">
        <v>40</v>
      </c>
      <c r="Q97" s="16">
        <v>19</v>
      </c>
      <c r="R97" s="16">
        <v>19</v>
      </c>
      <c r="S97" s="16">
        <v>19</v>
      </c>
      <c r="T97" s="16">
        <v>19</v>
      </c>
      <c r="U97" s="16">
        <v>7</v>
      </c>
      <c r="V97" s="16">
        <v>7</v>
      </c>
      <c r="W97" s="16">
        <v>7</v>
      </c>
      <c r="X97" s="16">
        <v>7</v>
      </c>
      <c r="Y97" s="16">
        <v>8</v>
      </c>
      <c r="Z97" s="16">
        <v>8</v>
      </c>
      <c r="AA97" s="16">
        <v>8</v>
      </c>
      <c r="AB97" s="16">
        <v>8</v>
      </c>
      <c r="AC97" s="16">
        <v>40</v>
      </c>
      <c r="AD97" s="16">
        <v>40</v>
      </c>
      <c r="AE97" s="16">
        <v>40</v>
      </c>
      <c r="AF97" s="16">
        <v>40</v>
      </c>
      <c r="AG97" s="16">
        <v>40</v>
      </c>
      <c r="AH97" s="16">
        <v>40</v>
      </c>
      <c r="AI97" s="16">
        <v>40</v>
      </c>
      <c r="AJ97" s="16">
        <v>40</v>
      </c>
      <c r="AK97" s="16">
        <v>19</v>
      </c>
      <c r="AL97" s="16">
        <v>19</v>
      </c>
      <c r="AM97" s="16">
        <v>19</v>
      </c>
      <c r="AN97" s="16">
        <v>19</v>
      </c>
      <c r="AO97" s="16">
        <v>7</v>
      </c>
      <c r="AP97" s="16">
        <v>7</v>
      </c>
      <c r="AQ97" s="16">
        <v>7</v>
      </c>
      <c r="AR97" s="16">
        <v>7</v>
      </c>
      <c r="AS97" s="16">
        <v>8</v>
      </c>
      <c r="AT97" s="16">
        <v>8</v>
      </c>
      <c r="AU97" s="16">
        <v>8</v>
      </c>
      <c r="AV97" s="16">
        <v>8</v>
      </c>
      <c r="AW97" s="16">
        <v>40</v>
      </c>
      <c r="AX97" s="16">
        <v>40</v>
      </c>
      <c r="AY97" s="16">
        <v>40</v>
      </c>
      <c r="AZ97" s="16">
        <v>40</v>
      </c>
      <c r="BA97" s="16">
        <v>40</v>
      </c>
      <c r="BB97" s="16">
        <v>40</v>
      </c>
      <c r="BC97" s="16">
        <v>40</v>
      </c>
      <c r="BD97" s="16">
        <v>40</v>
      </c>
      <c r="BE97" s="16">
        <v>19</v>
      </c>
      <c r="BF97" s="16">
        <v>19</v>
      </c>
      <c r="BG97" s="16">
        <v>19</v>
      </c>
      <c r="BH97" s="16">
        <v>19</v>
      </c>
      <c r="BI97" s="16">
        <v>7</v>
      </c>
      <c r="BJ97" s="16">
        <v>7</v>
      </c>
      <c r="BK97" s="16">
        <v>7</v>
      </c>
      <c r="BL97" s="16">
        <v>7</v>
      </c>
      <c r="BM97" s="16" cm="1">
        <f t="array" ref="BM97">INDEX(_xlfn.ANCHORARRAY(_xlfn.XLOOKUP($D97,'-ref_Distribution'!$B$117:$B$121,'-ref_Distribution'!$G$117:$G$121)),RIGHT(BM$1,2))</f>
        <v>78</v>
      </c>
      <c r="BN97" s="16" cm="1">
        <f t="array" ref="BN97">INDEX(_xlfn.ANCHORARRAY(_xlfn.XLOOKUP($D97,'-ref_Distribution'!$B$117:$B$121,'-ref_Distribution'!$G$117:$G$121)),RIGHT(BN$1,2))</f>
        <v>72</v>
      </c>
      <c r="BO97" s="16" cm="1">
        <f t="array" ref="BO97">INDEX(_xlfn.ANCHORARRAY(_xlfn.XLOOKUP($D97,'-ref_Distribution'!$B$117:$B$121,'-ref_Distribution'!$G$117:$G$121)),RIGHT(BO$1,2))</f>
        <v>66</v>
      </c>
      <c r="BP97" s="16" cm="1">
        <f t="array" ref="BP97">INDEX(_xlfn.ANCHORARRAY(_xlfn.XLOOKUP($D97,'-ref_Distribution'!$B$117:$B$121,'-ref_Distribution'!$G$117:$G$121)),RIGHT(BP$1,2))</f>
        <v>61</v>
      </c>
      <c r="BQ97" s="16" cm="1">
        <f t="array" ref="BQ97">INDEX(_xlfn.ANCHORARRAY(_xlfn.XLOOKUP($D97,'-ref_Distribution'!$B$117:$B$121,'-ref_Distribution'!$G$117:$G$121)),RIGHT(BQ$1,2))</f>
        <v>58</v>
      </c>
      <c r="BR97" s="16" cm="1">
        <f t="array" ref="BR97">INDEX(_xlfn.ANCHORARRAY(_xlfn.XLOOKUP($D97,'-ref_Distribution'!$B$117:$B$121,'-ref_Distribution'!$G$117:$G$121)),RIGHT(BR$1,2))</f>
        <v>55</v>
      </c>
      <c r="BS97" s="16" cm="1">
        <f t="array" ref="BS97">INDEX(_xlfn.ANCHORARRAY(_xlfn.XLOOKUP($D97,'-ref_Distribution'!$B$117:$B$121,'-ref_Distribution'!$G$117:$G$121)),RIGHT(BS$1,2))</f>
        <v>52</v>
      </c>
      <c r="BT97" s="16" cm="1">
        <f t="array" ref="BT97">INDEX(_xlfn.ANCHORARRAY(_xlfn.XLOOKUP($D97,'-ref_Distribution'!$B$117:$B$121,'-ref_Distribution'!$G$117:$G$121)),RIGHT(BT$1,2))</f>
        <v>50</v>
      </c>
      <c r="BU97" s="16" cm="1">
        <f t="array" ref="BU97">INDEX(_xlfn.ANCHORARRAY(_xlfn.XLOOKUP($D97,'-ref_Distribution'!$B$117:$B$121,'-ref_Distribution'!$G$117:$G$121)),RIGHT(BU$1,2))</f>
        <v>48</v>
      </c>
      <c r="BV97" s="16" cm="1">
        <f t="array" ref="BV97">INDEX(_xlfn.ANCHORARRAY(_xlfn.XLOOKUP($D97,'-ref_Distribution'!$B$117:$B$121,'-ref_Distribution'!$G$117:$G$121)),RIGHT(BV$1,2))</f>
        <v>47</v>
      </c>
      <c r="BW97" s="16" cm="1">
        <f t="array" ref="BW97">INDEX(_xlfn.ANCHORARRAY(_xlfn.XLOOKUP($D97,'-ref_Distribution'!$B$117:$B$121,'-ref_Distribution'!$G$117:$G$121)),RIGHT(BW$1,2))</f>
        <v>46</v>
      </c>
      <c r="BX97" s="16" cm="1">
        <f t="array" ref="BX97">INDEX(_xlfn.ANCHORARRAY(_xlfn.XLOOKUP($D97,'-ref_Distribution'!$B$117:$B$121,'-ref_Distribution'!$G$117:$G$121)),RIGHT(BX$1,2))</f>
        <v>44</v>
      </c>
      <c r="BY97" s="16" cm="1">
        <f t="array" ref="BY97">INDEX(_xlfn.ANCHORARRAY(_xlfn.XLOOKUP($D97,'-ref_Distribution'!$B$117:$B$121,'-ref_Distribution'!$G$117:$G$121)),RIGHT(BY$1,2))</f>
        <v>43</v>
      </c>
      <c r="BZ97" s="16" cm="1">
        <f t="array" ref="BZ97">INDEX(_xlfn.ANCHORARRAY(_xlfn.XLOOKUP($D97,'-ref_Distribution'!$B$117:$B$121,'-ref_Distribution'!$G$117:$G$121)),RIGHT(BZ$1,2))</f>
        <v>42</v>
      </c>
      <c r="CA97" s="16" cm="1">
        <f t="array" ref="CA97">INDEX(_xlfn.ANCHORARRAY(_xlfn.XLOOKUP($D97,'-ref_Distribution'!$B$117:$B$121,'-ref_Distribution'!$G$117:$G$121)),RIGHT(CA$1,2))</f>
        <v>41</v>
      </c>
      <c r="CB97" s="16" cm="1">
        <f t="array" ref="CB97">INDEX(_xlfn.ANCHORARRAY(_xlfn.XLOOKUP($D97,'-ref_Distribution'!$B$117:$B$121,'-ref_Distribution'!$G$117:$G$121)),RIGHT(CB$1,2))</f>
        <v>40</v>
      </c>
      <c r="CC97" s="16" cm="1">
        <f t="array" ref="CC97">INDEX(_xlfn.ANCHORARRAY(_xlfn.XLOOKUP($D97,'-ref_Distribution'!$B$117:$B$121,'-ref_Distribution'!$G$117:$G$121)),RIGHT(CC$1,2))</f>
        <v>40</v>
      </c>
      <c r="CD97" s="16" cm="1">
        <f t="array" ref="CD97">INDEX(_xlfn.ANCHORARRAY(_xlfn.XLOOKUP($D97,'-ref_Distribution'!$B$117:$B$121,'-ref_Distribution'!$G$117:$G$121)),RIGHT(CD$1,2))</f>
        <v>39</v>
      </c>
      <c r="CE97" s="16" cm="1">
        <f t="array" ref="CE97">INDEX(_xlfn.ANCHORARRAY(_xlfn.XLOOKUP($D97,'-ref_Distribution'!$B$117:$B$121,'-ref_Distribution'!$G$117:$G$121)),RIGHT(CE$1,2))</f>
        <v>38</v>
      </c>
      <c r="CF97" s="16" cm="1">
        <f t="array" ref="CF97">INDEX(_xlfn.ANCHORARRAY(_xlfn.XLOOKUP($D97,'-ref_Distribution'!$B$117:$B$121,'-ref_Distribution'!$G$117:$G$121)),RIGHT(CF$1,2))</f>
        <v>38</v>
      </c>
      <c r="CG97"/>
      <c r="CT97" s="16"/>
    </row>
    <row r="98" spans="1:98" x14ac:dyDescent="0.2">
      <c r="A98" s="16">
        <v>13601012</v>
      </c>
      <c r="B98" s="16" t="s">
        <v>348</v>
      </c>
      <c r="C98" s="17" t="s">
        <v>431</v>
      </c>
      <c r="D98" s="16">
        <v>2</v>
      </c>
      <c r="E98" s="16">
        <v>0</v>
      </c>
      <c r="F98" s="16">
        <v>0</v>
      </c>
      <c r="G98" s="16">
        <v>0</v>
      </c>
      <c r="H98" s="16">
        <v>0</v>
      </c>
      <c r="I98" s="16">
        <v>8</v>
      </c>
      <c r="J98" s="16">
        <v>8</v>
      </c>
      <c r="K98" s="16">
        <v>8</v>
      </c>
      <c r="L98" s="16">
        <v>8</v>
      </c>
      <c r="M98" s="16">
        <v>40</v>
      </c>
      <c r="N98" s="16">
        <v>40</v>
      </c>
      <c r="O98" s="16">
        <v>40</v>
      </c>
      <c r="P98" s="16">
        <v>40</v>
      </c>
      <c r="Q98" s="16">
        <v>40</v>
      </c>
      <c r="R98" s="16">
        <v>40</v>
      </c>
      <c r="S98" s="16">
        <v>40</v>
      </c>
      <c r="T98" s="16">
        <v>40</v>
      </c>
      <c r="U98" s="16">
        <v>19</v>
      </c>
      <c r="V98" s="16">
        <v>19</v>
      </c>
      <c r="W98" s="16">
        <v>19</v>
      </c>
      <c r="X98" s="16">
        <v>19</v>
      </c>
      <c r="Y98" s="16">
        <v>0</v>
      </c>
      <c r="Z98" s="16">
        <v>0</v>
      </c>
      <c r="AA98" s="16">
        <v>0</v>
      </c>
      <c r="AB98" s="16">
        <v>0</v>
      </c>
      <c r="AC98" s="16">
        <v>8</v>
      </c>
      <c r="AD98" s="16">
        <v>8</v>
      </c>
      <c r="AE98" s="16">
        <v>8</v>
      </c>
      <c r="AF98" s="16">
        <v>8</v>
      </c>
      <c r="AG98" s="16">
        <v>40</v>
      </c>
      <c r="AH98" s="16">
        <v>40</v>
      </c>
      <c r="AI98" s="16">
        <v>40</v>
      </c>
      <c r="AJ98" s="16">
        <v>40</v>
      </c>
      <c r="AK98" s="16">
        <v>40</v>
      </c>
      <c r="AL98" s="16">
        <v>40</v>
      </c>
      <c r="AM98" s="16">
        <v>40</v>
      </c>
      <c r="AN98" s="16">
        <v>40</v>
      </c>
      <c r="AO98" s="16">
        <v>19</v>
      </c>
      <c r="AP98" s="16">
        <v>19</v>
      </c>
      <c r="AQ98" s="16">
        <v>19</v>
      </c>
      <c r="AR98" s="16">
        <v>19</v>
      </c>
      <c r="AS98" s="16">
        <v>0</v>
      </c>
      <c r="AT98" s="16">
        <v>0</v>
      </c>
      <c r="AU98" s="16">
        <v>0</v>
      </c>
      <c r="AV98" s="16">
        <v>0</v>
      </c>
      <c r="AW98" s="16">
        <v>8</v>
      </c>
      <c r="AX98" s="16">
        <v>8</v>
      </c>
      <c r="AY98" s="16">
        <v>8</v>
      </c>
      <c r="AZ98" s="16">
        <v>8</v>
      </c>
      <c r="BA98" s="16">
        <v>40</v>
      </c>
      <c r="BB98" s="16">
        <v>40</v>
      </c>
      <c r="BC98" s="16">
        <v>40</v>
      </c>
      <c r="BD98" s="16">
        <v>40</v>
      </c>
      <c r="BE98" s="16">
        <v>40</v>
      </c>
      <c r="BF98" s="16">
        <v>40</v>
      </c>
      <c r="BG98" s="16">
        <v>40</v>
      </c>
      <c r="BH98" s="16">
        <v>40</v>
      </c>
      <c r="BI98" s="16">
        <v>19</v>
      </c>
      <c r="BJ98" s="16">
        <v>19</v>
      </c>
      <c r="BK98" s="16">
        <v>19</v>
      </c>
      <c r="BL98" s="16">
        <v>19</v>
      </c>
      <c r="BM98" s="16" cm="1">
        <f t="array" ref="BM98">INDEX(_xlfn.ANCHORARRAY(_xlfn.XLOOKUP($D98,'-ref_Distribution'!$B$117:$B$121,'-ref_Distribution'!$G$117:$G$121)),RIGHT(BM$1,2))</f>
        <v>0</v>
      </c>
      <c r="BN98" s="16" cm="1">
        <f t="array" ref="BN98">INDEX(_xlfn.ANCHORARRAY(_xlfn.XLOOKUP($D98,'-ref_Distribution'!$B$117:$B$121,'-ref_Distribution'!$G$117:$G$121)),RIGHT(BN$1,2))</f>
        <v>5</v>
      </c>
      <c r="BO98" s="16" cm="1">
        <f t="array" ref="BO98">INDEX(_xlfn.ANCHORARRAY(_xlfn.XLOOKUP($D98,'-ref_Distribution'!$B$117:$B$121,'-ref_Distribution'!$G$117:$G$121)),RIGHT(BO$1,2))</f>
        <v>12</v>
      </c>
      <c r="BP98" s="16" cm="1">
        <f t="array" ref="BP98">INDEX(_xlfn.ANCHORARRAY(_xlfn.XLOOKUP($D98,'-ref_Distribution'!$B$117:$B$121,'-ref_Distribution'!$G$117:$G$121)),RIGHT(BP$1,2))</f>
        <v>16</v>
      </c>
      <c r="BQ98" s="16" cm="1">
        <f t="array" ref="BQ98">INDEX(_xlfn.ANCHORARRAY(_xlfn.XLOOKUP($D98,'-ref_Distribution'!$B$117:$B$121,'-ref_Distribution'!$G$117:$G$121)),RIGHT(BQ$1,2))</f>
        <v>19</v>
      </c>
      <c r="BR98" s="16" cm="1">
        <f t="array" ref="BR98">INDEX(_xlfn.ANCHORARRAY(_xlfn.XLOOKUP($D98,'-ref_Distribution'!$B$117:$B$121,'-ref_Distribution'!$G$117:$G$121)),RIGHT(BR$1,2))</f>
        <v>22</v>
      </c>
      <c r="BS98" s="16" cm="1">
        <f t="array" ref="BS98">INDEX(_xlfn.ANCHORARRAY(_xlfn.XLOOKUP($D98,'-ref_Distribution'!$B$117:$B$121,'-ref_Distribution'!$G$117:$G$121)),RIGHT(BS$1,2))</f>
        <v>23</v>
      </c>
      <c r="BT98" s="16" cm="1">
        <f t="array" ref="BT98">INDEX(_xlfn.ANCHORARRAY(_xlfn.XLOOKUP($D98,'-ref_Distribution'!$B$117:$B$121,'-ref_Distribution'!$G$117:$G$121)),RIGHT(BT$1,2))</f>
        <v>25</v>
      </c>
      <c r="BU98" s="16" cm="1">
        <f t="array" ref="BU98">INDEX(_xlfn.ANCHORARRAY(_xlfn.XLOOKUP($D98,'-ref_Distribution'!$B$117:$B$121,'-ref_Distribution'!$G$117:$G$121)),RIGHT(BU$1,2))</f>
        <v>26</v>
      </c>
      <c r="BV98" s="16" cm="1">
        <f t="array" ref="BV98">INDEX(_xlfn.ANCHORARRAY(_xlfn.XLOOKUP($D98,'-ref_Distribution'!$B$117:$B$121,'-ref_Distribution'!$G$117:$G$121)),RIGHT(BV$1,2))</f>
        <v>27</v>
      </c>
      <c r="BW98" s="16" cm="1">
        <f t="array" ref="BW98">INDEX(_xlfn.ANCHORARRAY(_xlfn.XLOOKUP($D98,'-ref_Distribution'!$B$117:$B$121,'-ref_Distribution'!$G$117:$G$121)),RIGHT(BW$1,2))</f>
        <v>27</v>
      </c>
      <c r="BX98" s="16" cm="1">
        <f t="array" ref="BX98">INDEX(_xlfn.ANCHORARRAY(_xlfn.XLOOKUP($D98,'-ref_Distribution'!$B$117:$B$121,'-ref_Distribution'!$G$117:$G$121)),RIGHT(BX$1,2))</f>
        <v>28</v>
      </c>
      <c r="BY98" s="16" cm="1">
        <f t="array" ref="BY98">INDEX(_xlfn.ANCHORARRAY(_xlfn.XLOOKUP($D98,'-ref_Distribution'!$B$117:$B$121,'-ref_Distribution'!$G$117:$G$121)),RIGHT(BY$1,2))</f>
        <v>29</v>
      </c>
      <c r="BZ98" s="16" cm="1">
        <f t="array" ref="BZ98">INDEX(_xlfn.ANCHORARRAY(_xlfn.XLOOKUP($D98,'-ref_Distribution'!$B$117:$B$121,'-ref_Distribution'!$G$117:$G$121)),RIGHT(BZ$1,2))</f>
        <v>29</v>
      </c>
      <c r="CA98" s="16" cm="1">
        <f t="array" ref="CA98">INDEX(_xlfn.ANCHORARRAY(_xlfn.XLOOKUP($D98,'-ref_Distribution'!$B$117:$B$121,'-ref_Distribution'!$G$117:$G$121)),RIGHT(CA$1,2))</f>
        <v>30</v>
      </c>
      <c r="CB98" s="16" cm="1">
        <f t="array" ref="CB98">INDEX(_xlfn.ANCHORARRAY(_xlfn.XLOOKUP($D98,'-ref_Distribution'!$B$117:$B$121,'-ref_Distribution'!$G$117:$G$121)),RIGHT(CB$1,2))</f>
        <v>30</v>
      </c>
      <c r="CC98" s="16" cm="1">
        <f t="array" ref="CC98">INDEX(_xlfn.ANCHORARRAY(_xlfn.XLOOKUP($D98,'-ref_Distribution'!$B$117:$B$121,'-ref_Distribution'!$G$117:$G$121)),RIGHT(CC$1,2))</f>
        <v>30</v>
      </c>
      <c r="CD98" s="16" cm="1">
        <f t="array" ref="CD98">INDEX(_xlfn.ANCHORARRAY(_xlfn.XLOOKUP($D98,'-ref_Distribution'!$B$117:$B$121,'-ref_Distribution'!$G$117:$G$121)),RIGHT(CD$1,2))</f>
        <v>30</v>
      </c>
      <c r="CE98" s="16" cm="1">
        <f t="array" ref="CE98">INDEX(_xlfn.ANCHORARRAY(_xlfn.XLOOKUP($D98,'-ref_Distribution'!$B$117:$B$121,'-ref_Distribution'!$G$117:$G$121)),RIGHT(CE$1,2))</f>
        <v>31</v>
      </c>
      <c r="CF98" s="16" cm="1">
        <f t="array" ref="CF98">INDEX(_xlfn.ANCHORARRAY(_xlfn.XLOOKUP($D98,'-ref_Distribution'!$B$117:$B$121,'-ref_Distribution'!$G$117:$G$121)),RIGHT(CF$1,2))</f>
        <v>31</v>
      </c>
      <c r="CG98"/>
      <c r="CT98" s="16"/>
    </row>
    <row r="99" spans="1:98" x14ac:dyDescent="0.2">
      <c r="A99" s="16">
        <v>1360102</v>
      </c>
      <c r="B99" s="16" t="s">
        <v>52</v>
      </c>
      <c r="C99" s="17" t="s">
        <v>431</v>
      </c>
      <c r="D99" s="17" t="s">
        <v>424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/>
      <c r="CT99" s="16"/>
    </row>
    <row r="100" spans="1:98" x14ac:dyDescent="0.2">
      <c r="A100" s="16">
        <v>13601022</v>
      </c>
      <c r="B100" s="16" t="s">
        <v>349</v>
      </c>
      <c r="C100" s="17" t="s">
        <v>431</v>
      </c>
      <c r="D100" s="16">
        <v>2</v>
      </c>
      <c r="E100" s="16">
        <v>0</v>
      </c>
      <c r="F100" s="16">
        <v>0</v>
      </c>
      <c r="G100" s="16">
        <v>0</v>
      </c>
      <c r="H100" s="16">
        <v>0</v>
      </c>
      <c r="I100" s="16">
        <v>8</v>
      </c>
      <c r="J100" s="16">
        <v>8</v>
      </c>
      <c r="K100" s="16">
        <v>8</v>
      </c>
      <c r="L100" s="16">
        <v>8</v>
      </c>
      <c r="M100" s="16">
        <v>40</v>
      </c>
      <c r="N100" s="16">
        <v>40</v>
      </c>
      <c r="O100" s="16">
        <v>40</v>
      </c>
      <c r="P100" s="16">
        <v>40</v>
      </c>
      <c r="Q100" s="16">
        <v>40</v>
      </c>
      <c r="R100" s="16">
        <v>40</v>
      </c>
      <c r="S100" s="16">
        <v>40</v>
      </c>
      <c r="T100" s="16">
        <v>40</v>
      </c>
      <c r="U100" s="16">
        <v>19</v>
      </c>
      <c r="V100" s="16">
        <v>19</v>
      </c>
      <c r="W100" s="16">
        <v>19</v>
      </c>
      <c r="X100" s="16">
        <v>19</v>
      </c>
      <c r="Y100" s="16">
        <v>0</v>
      </c>
      <c r="Z100" s="16">
        <v>0</v>
      </c>
      <c r="AA100" s="16">
        <v>0</v>
      </c>
      <c r="AB100" s="16">
        <v>0</v>
      </c>
      <c r="AC100" s="16">
        <v>8</v>
      </c>
      <c r="AD100" s="16">
        <v>8</v>
      </c>
      <c r="AE100" s="16">
        <v>8</v>
      </c>
      <c r="AF100" s="16">
        <v>8</v>
      </c>
      <c r="AG100" s="16">
        <v>40</v>
      </c>
      <c r="AH100" s="16">
        <v>40</v>
      </c>
      <c r="AI100" s="16">
        <v>40</v>
      </c>
      <c r="AJ100" s="16">
        <v>40</v>
      </c>
      <c r="AK100" s="16">
        <v>40</v>
      </c>
      <c r="AL100" s="16">
        <v>40</v>
      </c>
      <c r="AM100" s="16">
        <v>40</v>
      </c>
      <c r="AN100" s="16">
        <v>40</v>
      </c>
      <c r="AO100" s="16">
        <v>19</v>
      </c>
      <c r="AP100" s="16">
        <v>19</v>
      </c>
      <c r="AQ100" s="16">
        <v>19</v>
      </c>
      <c r="AR100" s="16">
        <v>19</v>
      </c>
      <c r="AS100" s="16">
        <v>0</v>
      </c>
      <c r="AT100" s="16">
        <v>0</v>
      </c>
      <c r="AU100" s="16">
        <v>0</v>
      </c>
      <c r="AV100" s="16">
        <v>0</v>
      </c>
      <c r="AW100" s="16">
        <v>8</v>
      </c>
      <c r="AX100" s="16">
        <v>8</v>
      </c>
      <c r="AY100" s="16">
        <v>8</v>
      </c>
      <c r="AZ100" s="16">
        <v>8</v>
      </c>
      <c r="BA100" s="16">
        <v>40</v>
      </c>
      <c r="BB100" s="16">
        <v>40</v>
      </c>
      <c r="BC100" s="16">
        <v>40</v>
      </c>
      <c r="BD100" s="16">
        <v>40</v>
      </c>
      <c r="BE100" s="16">
        <v>40</v>
      </c>
      <c r="BF100" s="16">
        <v>40</v>
      </c>
      <c r="BG100" s="16">
        <v>40</v>
      </c>
      <c r="BH100" s="16">
        <v>40</v>
      </c>
      <c r="BI100" s="16">
        <v>19</v>
      </c>
      <c r="BJ100" s="16">
        <v>19</v>
      </c>
      <c r="BK100" s="16">
        <v>19</v>
      </c>
      <c r="BL100" s="16">
        <v>19</v>
      </c>
      <c r="BM100" s="16" cm="1">
        <f t="array" ref="BM100">INDEX(_xlfn.ANCHORARRAY(_xlfn.XLOOKUP($D100,'-ref_Distribution'!$B$117:$B$121,'-ref_Distribution'!$G$117:$G$121)),RIGHT(BM$1,2))</f>
        <v>0</v>
      </c>
      <c r="BN100" s="16" cm="1">
        <f t="array" ref="BN100">INDEX(_xlfn.ANCHORARRAY(_xlfn.XLOOKUP($D100,'-ref_Distribution'!$B$117:$B$121,'-ref_Distribution'!$G$117:$G$121)),RIGHT(BN$1,2))</f>
        <v>5</v>
      </c>
      <c r="BO100" s="16" cm="1">
        <f t="array" ref="BO100">INDEX(_xlfn.ANCHORARRAY(_xlfn.XLOOKUP($D100,'-ref_Distribution'!$B$117:$B$121,'-ref_Distribution'!$G$117:$G$121)),RIGHT(BO$1,2))</f>
        <v>12</v>
      </c>
      <c r="BP100" s="16" cm="1">
        <f t="array" ref="BP100">INDEX(_xlfn.ANCHORARRAY(_xlfn.XLOOKUP($D100,'-ref_Distribution'!$B$117:$B$121,'-ref_Distribution'!$G$117:$G$121)),RIGHT(BP$1,2))</f>
        <v>16</v>
      </c>
      <c r="BQ100" s="16" cm="1">
        <f t="array" ref="BQ100">INDEX(_xlfn.ANCHORARRAY(_xlfn.XLOOKUP($D100,'-ref_Distribution'!$B$117:$B$121,'-ref_Distribution'!$G$117:$G$121)),RIGHT(BQ$1,2))</f>
        <v>19</v>
      </c>
      <c r="BR100" s="16" cm="1">
        <f t="array" ref="BR100">INDEX(_xlfn.ANCHORARRAY(_xlfn.XLOOKUP($D100,'-ref_Distribution'!$B$117:$B$121,'-ref_Distribution'!$G$117:$G$121)),RIGHT(BR$1,2))</f>
        <v>22</v>
      </c>
      <c r="BS100" s="16" cm="1">
        <f t="array" ref="BS100">INDEX(_xlfn.ANCHORARRAY(_xlfn.XLOOKUP($D100,'-ref_Distribution'!$B$117:$B$121,'-ref_Distribution'!$G$117:$G$121)),RIGHT(BS$1,2))</f>
        <v>23</v>
      </c>
      <c r="BT100" s="16" cm="1">
        <f t="array" ref="BT100">INDEX(_xlfn.ANCHORARRAY(_xlfn.XLOOKUP($D100,'-ref_Distribution'!$B$117:$B$121,'-ref_Distribution'!$G$117:$G$121)),RIGHT(BT$1,2))</f>
        <v>25</v>
      </c>
      <c r="BU100" s="16" cm="1">
        <f t="array" ref="BU100">INDEX(_xlfn.ANCHORARRAY(_xlfn.XLOOKUP($D100,'-ref_Distribution'!$B$117:$B$121,'-ref_Distribution'!$G$117:$G$121)),RIGHT(BU$1,2))</f>
        <v>26</v>
      </c>
      <c r="BV100" s="16" cm="1">
        <f t="array" ref="BV100">INDEX(_xlfn.ANCHORARRAY(_xlfn.XLOOKUP($D100,'-ref_Distribution'!$B$117:$B$121,'-ref_Distribution'!$G$117:$G$121)),RIGHT(BV$1,2))</f>
        <v>27</v>
      </c>
      <c r="BW100" s="16" cm="1">
        <f t="array" ref="BW100">INDEX(_xlfn.ANCHORARRAY(_xlfn.XLOOKUP($D100,'-ref_Distribution'!$B$117:$B$121,'-ref_Distribution'!$G$117:$G$121)),RIGHT(BW$1,2))</f>
        <v>27</v>
      </c>
      <c r="BX100" s="16" cm="1">
        <f t="array" ref="BX100">INDEX(_xlfn.ANCHORARRAY(_xlfn.XLOOKUP($D100,'-ref_Distribution'!$B$117:$B$121,'-ref_Distribution'!$G$117:$G$121)),RIGHT(BX$1,2))</f>
        <v>28</v>
      </c>
      <c r="BY100" s="16" cm="1">
        <f t="array" ref="BY100">INDEX(_xlfn.ANCHORARRAY(_xlfn.XLOOKUP($D100,'-ref_Distribution'!$B$117:$B$121,'-ref_Distribution'!$G$117:$G$121)),RIGHT(BY$1,2))</f>
        <v>29</v>
      </c>
      <c r="BZ100" s="16" cm="1">
        <f t="array" ref="BZ100">INDEX(_xlfn.ANCHORARRAY(_xlfn.XLOOKUP($D100,'-ref_Distribution'!$B$117:$B$121,'-ref_Distribution'!$G$117:$G$121)),RIGHT(BZ$1,2))</f>
        <v>29</v>
      </c>
      <c r="CA100" s="16" cm="1">
        <f t="array" ref="CA100">INDEX(_xlfn.ANCHORARRAY(_xlfn.XLOOKUP($D100,'-ref_Distribution'!$B$117:$B$121,'-ref_Distribution'!$G$117:$G$121)),RIGHT(CA$1,2))</f>
        <v>30</v>
      </c>
      <c r="CB100" s="16" cm="1">
        <f t="array" ref="CB100">INDEX(_xlfn.ANCHORARRAY(_xlfn.XLOOKUP($D100,'-ref_Distribution'!$B$117:$B$121,'-ref_Distribution'!$G$117:$G$121)),RIGHT(CB$1,2))</f>
        <v>30</v>
      </c>
      <c r="CC100" s="16" cm="1">
        <f t="array" ref="CC100">INDEX(_xlfn.ANCHORARRAY(_xlfn.XLOOKUP($D100,'-ref_Distribution'!$B$117:$B$121,'-ref_Distribution'!$G$117:$G$121)),RIGHT(CC$1,2))</f>
        <v>30</v>
      </c>
      <c r="CD100" s="16" cm="1">
        <f t="array" ref="CD100">INDEX(_xlfn.ANCHORARRAY(_xlfn.XLOOKUP($D100,'-ref_Distribution'!$B$117:$B$121,'-ref_Distribution'!$G$117:$G$121)),RIGHT(CD$1,2))</f>
        <v>30</v>
      </c>
      <c r="CE100" s="16" cm="1">
        <f t="array" ref="CE100">INDEX(_xlfn.ANCHORARRAY(_xlfn.XLOOKUP($D100,'-ref_Distribution'!$B$117:$B$121,'-ref_Distribution'!$G$117:$G$121)),RIGHT(CE$1,2))</f>
        <v>31</v>
      </c>
      <c r="CF100" s="16" cm="1">
        <f t="array" ref="CF100">INDEX(_xlfn.ANCHORARRAY(_xlfn.XLOOKUP($D100,'-ref_Distribution'!$B$117:$B$121,'-ref_Distribution'!$G$117:$G$121)),RIGHT(CF$1,2))</f>
        <v>31</v>
      </c>
      <c r="CG100"/>
      <c r="CT100" s="16"/>
    </row>
    <row r="101" spans="1:98" x14ac:dyDescent="0.2">
      <c r="A101" s="16">
        <v>13601023</v>
      </c>
      <c r="B101" s="16" t="s">
        <v>350</v>
      </c>
      <c r="C101" s="17" t="s">
        <v>431</v>
      </c>
      <c r="D101" s="16">
        <v>3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8</v>
      </c>
      <c r="N101" s="16">
        <v>8</v>
      </c>
      <c r="O101" s="16">
        <v>8</v>
      </c>
      <c r="P101" s="16">
        <v>8</v>
      </c>
      <c r="Q101" s="16">
        <v>40</v>
      </c>
      <c r="R101" s="16">
        <v>40</v>
      </c>
      <c r="S101" s="16">
        <v>40</v>
      </c>
      <c r="T101" s="16">
        <v>40</v>
      </c>
      <c r="U101" s="16">
        <v>40</v>
      </c>
      <c r="V101" s="16">
        <v>40</v>
      </c>
      <c r="W101" s="16">
        <v>40</v>
      </c>
      <c r="X101" s="16">
        <v>40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8</v>
      </c>
      <c r="AH101" s="16">
        <v>8</v>
      </c>
      <c r="AI101" s="16">
        <v>8</v>
      </c>
      <c r="AJ101" s="16">
        <v>8</v>
      </c>
      <c r="AK101" s="16">
        <v>40</v>
      </c>
      <c r="AL101" s="16">
        <v>40</v>
      </c>
      <c r="AM101" s="16">
        <v>40</v>
      </c>
      <c r="AN101" s="16">
        <v>40</v>
      </c>
      <c r="AO101" s="16">
        <v>40</v>
      </c>
      <c r="AP101" s="16">
        <v>40</v>
      </c>
      <c r="AQ101" s="16">
        <v>40</v>
      </c>
      <c r="AR101" s="16">
        <v>40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8</v>
      </c>
      <c r="BB101" s="16">
        <v>8</v>
      </c>
      <c r="BC101" s="16">
        <v>8</v>
      </c>
      <c r="BD101" s="16">
        <v>8</v>
      </c>
      <c r="BE101" s="16">
        <v>40</v>
      </c>
      <c r="BF101" s="16">
        <v>40</v>
      </c>
      <c r="BG101" s="16">
        <v>40</v>
      </c>
      <c r="BH101" s="16">
        <v>40</v>
      </c>
      <c r="BI101" s="16">
        <v>40</v>
      </c>
      <c r="BJ101" s="16">
        <v>40</v>
      </c>
      <c r="BK101" s="16">
        <v>40</v>
      </c>
      <c r="BL101" s="16">
        <v>40</v>
      </c>
      <c r="BM101" s="16" cm="1">
        <f t="array" ref="BM101">INDEX(_xlfn.ANCHORARRAY(_xlfn.XLOOKUP($D101,'-ref_Distribution'!$B$117:$B$121,'-ref_Distribution'!$G$117:$G$121)),RIGHT(BM$1,2))</f>
        <v>0</v>
      </c>
      <c r="BN101" s="16" cm="1">
        <f t="array" ref="BN101">INDEX(_xlfn.ANCHORARRAY(_xlfn.XLOOKUP($D101,'-ref_Distribution'!$B$117:$B$121,'-ref_Distribution'!$G$117:$G$121)),RIGHT(BN$1,2))</f>
        <v>0</v>
      </c>
      <c r="BO101" s="16" cm="1">
        <f t="array" ref="BO101">INDEX(_xlfn.ANCHORARRAY(_xlfn.XLOOKUP($D101,'-ref_Distribution'!$B$117:$B$121,'-ref_Distribution'!$G$117:$G$121)),RIGHT(BO$1,2))</f>
        <v>1</v>
      </c>
      <c r="BP101" s="16" cm="1">
        <f t="array" ref="BP101">INDEX(_xlfn.ANCHORARRAY(_xlfn.XLOOKUP($D101,'-ref_Distribution'!$B$117:$B$121,'-ref_Distribution'!$G$117:$G$121)),RIGHT(BP$1,2))</f>
        <v>3</v>
      </c>
      <c r="BQ101" s="16" cm="1">
        <f t="array" ref="BQ101">INDEX(_xlfn.ANCHORARRAY(_xlfn.XLOOKUP($D101,'-ref_Distribution'!$B$117:$B$121,'-ref_Distribution'!$G$117:$G$121)),RIGHT(BQ$1,2))</f>
        <v>6</v>
      </c>
      <c r="BR101" s="16" cm="1">
        <f t="array" ref="BR101">INDEX(_xlfn.ANCHORARRAY(_xlfn.XLOOKUP($D101,'-ref_Distribution'!$B$117:$B$121,'-ref_Distribution'!$G$117:$G$121)),RIGHT(BR$1,2))</f>
        <v>8</v>
      </c>
      <c r="BS101" s="16" cm="1">
        <f t="array" ref="BS101">INDEX(_xlfn.ANCHORARRAY(_xlfn.XLOOKUP($D101,'-ref_Distribution'!$B$117:$B$121,'-ref_Distribution'!$G$117:$G$121)),RIGHT(BS$1,2))</f>
        <v>9</v>
      </c>
      <c r="BT101" s="16" cm="1">
        <f t="array" ref="BT101">INDEX(_xlfn.ANCHORARRAY(_xlfn.XLOOKUP($D101,'-ref_Distribution'!$B$117:$B$121,'-ref_Distribution'!$G$117:$G$121)),RIGHT(BT$1,2))</f>
        <v>10</v>
      </c>
      <c r="BU101" s="16" cm="1">
        <f t="array" ref="BU101">INDEX(_xlfn.ANCHORARRAY(_xlfn.XLOOKUP($D101,'-ref_Distribution'!$B$117:$B$121,'-ref_Distribution'!$G$117:$G$121)),RIGHT(BU$1,2))</f>
        <v>11</v>
      </c>
      <c r="BV101" s="16" cm="1">
        <f t="array" ref="BV101">INDEX(_xlfn.ANCHORARRAY(_xlfn.XLOOKUP($D101,'-ref_Distribution'!$B$117:$B$121,'-ref_Distribution'!$G$117:$G$121)),RIGHT(BV$1,2))</f>
        <v>12</v>
      </c>
      <c r="BW101" s="16" cm="1">
        <f t="array" ref="BW101">INDEX(_xlfn.ANCHORARRAY(_xlfn.XLOOKUP($D101,'-ref_Distribution'!$B$117:$B$121,'-ref_Distribution'!$G$117:$G$121)),RIGHT(BW$1,2))</f>
        <v>13</v>
      </c>
      <c r="BX101" s="16" cm="1">
        <f t="array" ref="BX101">INDEX(_xlfn.ANCHORARRAY(_xlfn.XLOOKUP($D101,'-ref_Distribution'!$B$117:$B$121,'-ref_Distribution'!$G$117:$G$121)),RIGHT(BX$1,2))</f>
        <v>14</v>
      </c>
      <c r="BY101" s="16" cm="1">
        <f t="array" ref="BY101">INDEX(_xlfn.ANCHORARRAY(_xlfn.XLOOKUP($D101,'-ref_Distribution'!$B$117:$B$121,'-ref_Distribution'!$G$117:$G$121)),RIGHT(BY$1,2))</f>
        <v>14</v>
      </c>
      <c r="BZ101" s="16" cm="1">
        <f t="array" ref="BZ101">INDEX(_xlfn.ANCHORARRAY(_xlfn.XLOOKUP($D101,'-ref_Distribution'!$B$117:$B$121,'-ref_Distribution'!$G$117:$G$121)),RIGHT(BZ$1,2))</f>
        <v>15</v>
      </c>
      <c r="CA101" s="16" cm="1">
        <f t="array" ref="CA101">INDEX(_xlfn.ANCHORARRAY(_xlfn.XLOOKUP($D101,'-ref_Distribution'!$B$117:$B$121,'-ref_Distribution'!$G$117:$G$121)),RIGHT(CA$1,2))</f>
        <v>15</v>
      </c>
      <c r="CB101" s="16" cm="1">
        <f t="array" ref="CB101">INDEX(_xlfn.ANCHORARRAY(_xlfn.XLOOKUP($D101,'-ref_Distribution'!$B$117:$B$121,'-ref_Distribution'!$G$117:$G$121)),RIGHT(CB$1,2))</f>
        <v>16</v>
      </c>
      <c r="CC101" s="16" cm="1">
        <f t="array" ref="CC101">INDEX(_xlfn.ANCHORARRAY(_xlfn.XLOOKUP($D101,'-ref_Distribution'!$B$117:$B$121,'-ref_Distribution'!$G$117:$G$121)),RIGHT(CC$1,2))</f>
        <v>16</v>
      </c>
      <c r="CD101" s="16" cm="1">
        <f t="array" ref="CD101">INDEX(_xlfn.ANCHORARRAY(_xlfn.XLOOKUP($D101,'-ref_Distribution'!$B$117:$B$121,'-ref_Distribution'!$G$117:$G$121)),RIGHT(CD$1,2))</f>
        <v>17</v>
      </c>
      <c r="CE101" s="16" cm="1">
        <f t="array" ref="CE101">INDEX(_xlfn.ANCHORARRAY(_xlfn.XLOOKUP($D101,'-ref_Distribution'!$B$117:$B$121,'-ref_Distribution'!$G$117:$G$121)),RIGHT(CE$1,2))</f>
        <v>17</v>
      </c>
      <c r="CF101" s="16" cm="1">
        <f t="array" ref="CF101">INDEX(_xlfn.ANCHORARRAY(_xlfn.XLOOKUP($D101,'-ref_Distribution'!$B$117:$B$121,'-ref_Distribution'!$G$117:$G$121)),RIGHT(CF$1,2))</f>
        <v>17</v>
      </c>
      <c r="CG101"/>
      <c r="CT101" s="16"/>
    </row>
    <row r="102" spans="1:98" x14ac:dyDescent="0.2">
      <c r="A102" s="16">
        <v>1360103</v>
      </c>
      <c r="B102" s="16" t="s">
        <v>53</v>
      </c>
      <c r="C102" s="17" t="s">
        <v>431</v>
      </c>
      <c r="D102" s="17" t="s">
        <v>424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/>
      <c r="CT102" s="16"/>
    </row>
    <row r="103" spans="1:98" x14ac:dyDescent="0.2">
      <c r="A103" s="16">
        <v>13601030</v>
      </c>
      <c r="B103" s="16" t="s">
        <v>354</v>
      </c>
      <c r="C103" s="17" t="s">
        <v>431</v>
      </c>
      <c r="D103" s="16">
        <v>0</v>
      </c>
      <c r="E103" s="16">
        <v>40</v>
      </c>
      <c r="F103" s="16">
        <v>40</v>
      </c>
      <c r="G103" s="16">
        <v>40</v>
      </c>
      <c r="H103" s="16">
        <v>40</v>
      </c>
      <c r="I103" s="16">
        <v>40</v>
      </c>
      <c r="J103" s="16">
        <v>40</v>
      </c>
      <c r="K103" s="16">
        <v>40</v>
      </c>
      <c r="L103" s="16">
        <v>40</v>
      </c>
      <c r="M103" s="16">
        <v>19</v>
      </c>
      <c r="N103" s="16">
        <v>19</v>
      </c>
      <c r="O103" s="16">
        <v>19</v>
      </c>
      <c r="P103" s="16">
        <v>19</v>
      </c>
      <c r="Q103" s="16">
        <v>7</v>
      </c>
      <c r="R103" s="16">
        <v>7</v>
      </c>
      <c r="S103" s="16">
        <v>7</v>
      </c>
      <c r="T103" s="16">
        <v>7</v>
      </c>
      <c r="U103" s="16">
        <v>0</v>
      </c>
      <c r="V103" s="16">
        <v>0</v>
      </c>
      <c r="W103" s="16">
        <v>0</v>
      </c>
      <c r="X103" s="16">
        <v>0</v>
      </c>
      <c r="Y103" s="16">
        <v>40</v>
      </c>
      <c r="Z103" s="16">
        <v>40</v>
      </c>
      <c r="AA103" s="16">
        <v>40</v>
      </c>
      <c r="AB103" s="16">
        <v>40</v>
      </c>
      <c r="AC103" s="16">
        <v>40</v>
      </c>
      <c r="AD103" s="16">
        <v>40</v>
      </c>
      <c r="AE103" s="16">
        <v>40</v>
      </c>
      <c r="AF103" s="16">
        <v>40</v>
      </c>
      <c r="AG103" s="16">
        <v>19</v>
      </c>
      <c r="AH103" s="16">
        <v>19</v>
      </c>
      <c r="AI103" s="16">
        <v>19</v>
      </c>
      <c r="AJ103" s="16">
        <v>19</v>
      </c>
      <c r="AK103" s="16">
        <v>7</v>
      </c>
      <c r="AL103" s="16">
        <v>7</v>
      </c>
      <c r="AM103" s="16">
        <v>7</v>
      </c>
      <c r="AN103" s="16">
        <v>7</v>
      </c>
      <c r="AO103" s="16">
        <v>0</v>
      </c>
      <c r="AP103" s="16">
        <v>0</v>
      </c>
      <c r="AQ103" s="16">
        <v>0</v>
      </c>
      <c r="AR103" s="16">
        <v>0</v>
      </c>
      <c r="AS103" s="16">
        <v>40</v>
      </c>
      <c r="AT103" s="16">
        <v>40</v>
      </c>
      <c r="AU103" s="16">
        <v>40</v>
      </c>
      <c r="AV103" s="16">
        <v>40</v>
      </c>
      <c r="AW103" s="16">
        <v>40</v>
      </c>
      <c r="AX103" s="16">
        <v>40</v>
      </c>
      <c r="AY103" s="16">
        <v>40</v>
      </c>
      <c r="AZ103" s="16">
        <v>40</v>
      </c>
      <c r="BA103" s="16">
        <v>19</v>
      </c>
      <c r="BB103" s="16">
        <v>19</v>
      </c>
      <c r="BC103" s="16">
        <v>19</v>
      </c>
      <c r="BD103" s="16">
        <v>19</v>
      </c>
      <c r="BE103" s="16">
        <v>7</v>
      </c>
      <c r="BF103" s="16">
        <v>7</v>
      </c>
      <c r="BG103" s="16">
        <v>7</v>
      </c>
      <c r="BH103" s="16">
        <v>7</v>
      </c>
      <c r="BI103" s="16">
        <v>0</v>
      </c>
      <c r="BJ103" s="16">
        <v>0</v>
      </c>
      <c r="BK103" s="16">
        <v>0</v>
      </c>
      <c r="BL103" s="16">
        <v>0</v>
      </c>
      <c r="BM103" s="16" cm="1">
        <f t="array" ref="BM103">INDEX(_xlfn.ANCHORARRAY(_xlfn.XLOOKUP($D103,'-ref_Distribution'!$B$117:$B$121,'-ref_Distribution'!$G$117:$G$121)),RIGHT(BM$1,2))</f>
        <v>130</v>
      </c>
      <c r="BN103" s="16" cm="1">
        <f t="array" ref="BN103">INDEX(_xlfn.ANCHORARRAY(_xlfn.XLOOKUP($D103,'-ref_Distribution'!$B$117:$B$121,'-ref_Distribution'!$G$117:$G$121)),RIGHT(BN$1,2))</f>
        <v>84</v>
      </c>
      <c r="BO103" s="16" cm="1">
        <f t="array" ref="BO103">INDEX(_xlfn.ANCHORARRAY(_xlfn.XLOOKUP($D103,'-ref_Distribution'!$B$117:$B$121,'-ref_Distribution'!$G$117:$G$121)),RIGHT(BO$1,2))</f>
        <v>65</v>
      </c>
      <c r="BP103" s="16" cm="1">
        <f t="array" ref="BP103">INDEX(_xlfn.ANCHORARRAY(_xlfn.XLOOKUP($D103,'-ref_Distribution'!$B$117:$B$121,'-ref_Distribution'!$G$117:$G$121)),RIGHT(BP$1,2))</f>
        <v>54</v>
      </c>
      <c r="BQ103" s="16" cm="1">
        <f t="array" ref="BQ103">INDEX(_xlfn.ANCHORARRAY(_xlfn.XLOOKUP($D103,'-ref_Distribution'!$B$117:$B$121,'-ref_Distribution'!$G$117:$G$121)),RIGHT(BQ$1,2))</f>
        <v>47</v>
      </c>
      <c r="BR103" s="16" cm="1">
        <f t="array" ref="BR103">INDEX(_xlfn.ANCHORARRAY(_xlfn.XLOOKUP($D103,'-ref_Distribution'!$B$117:$B$121,'-ref_Distribution'!$G$117:$G$121)),RIGHT(BR$1,2))</f>
        <v>41</v>
      </c>
      <c r="BS103" s="16" cm="1">
        <f t="array" ref="BS103">INDEX(_xlfn.ANCHORARRAY(_xlfn.XLOOKUP($D103,'-ref_Distribution'!$B$117:$B$121,'-ref_Distribution'!$G$117:$G$121)),RIGHT(BS$1,2))</f>
        <v>38</v>
      </c>
      <c r="BT103" s="16" cm="1">
        <f t="array" ref="BT103">INDEX(_xlfn.ANCHORARRAY(_xlfn.XLOOKUP($D103,'-ref_Distribution'!$B$117:$B$121,'-ref_Distribution'!$G$117:$G$121)),RIGHT(BT$1,2))</f>
        <v>34</v>
      </c>
      <c r="BU103" s="16" cm="1">
        <f t="array" ref="BU103">INDEX(_xlfn.ANCHORARRAY(_xlfn.XLOOKUP($D103,'-ref_Distribution'!$B$117:$B$121,'-ref_Distribution'!$G$117:$G$121)),RIGHT(BU$1,2))</f>
        <v>32</v>
      </c>
      <c r="BV103" s="16" cm="1">
        <f t="array" ref="BV103">INDEX(_xlfn.ANCHORARRAY(_xlfn.XLOOKUP($D103,'-ref_Distribution'!$B$117:$B$121,'-ref_Distribution'!$G$117:$G$121)),RIGHT(BV$1,2))</f>
        <v>30</v>
      </c>
      <c r="BW103" s="16" cm="1">
        <f t="array" ref="BW103">INDEX(_xlfn.ANCHORARRAY(_xlfn.XLOOKUP($D103,'-ref_Distribution'!$B$117:$B$121,'-ref_Distribution'!$G$117:$G$121)),RIGHT(BW$1,2))</f>
        <v>28</v>
      </c>
      <c r="BX103" s="16" cm="1">
        <f t="array" ref="BX103">INDEX(_xlfn.ANCHORARRAY(_xlfn.XLOOKUP($D103,'-ref_Distribution'!$B$117:$B$121,'-ref_Distribution'!$G$117:$G$121)),RIGHT(BX$1,2))</f>
        <v>26</v>
      </c>
      <c r="BY103" s="16" cm="1">
        <f t="array" ref="BY103">INDEX(_xlfn.ANCHORARRAY(_xlfn.XLOOKUP($D103,'-ref_Distribution'!$B$117:$B$121,'-ref_Distribution'!$G$117:$G$121)),RIGHT(BY$1,2))</f>
        <v>25</v>
      </c>
      <c r="BZ103" s="16" cm="1">
        <f t="array" ref="BZ103">INDEX(_xlfn.ANCHORARRAY(_xlfn.XLOOKUP($D103,'-ref_Distribution'!$B$117:$B$121,'-ref_Distribution'!$G$117:$G$121)),RIGHT(BZ$1,2))</f>
        <v>24</v>
      </c>
      <c r="CA103" s="16" cm="1">
        <f t="array" ref="CA103">INDEX(_xlfn.ANCHORARRAY(_xlfn.XLOOKUP($D103,'-ref_Distribution'!$B$117:$B$121,'-ref_Distribution'!$G$117:$G$121)),RIGHT(CA$1,2))</f>
        <v>23</v>
      </c>
      <c r="CB103" s="16" cm="1">
        <f t="array" ref="CB103">INDEX(_xlfn.ANCHORARRAY(_xlfn.XLOOKUP($D103,'-ref_Distribution'!$B$117:$B$121,'-ref_Distribution'!$G$117:$G$121)),RIGHT(CB$1,2))</f>
        <v>22</v>
      </c>
      <c r="CC103" s="16" cm="1">
        <f t="array" ref="CC103">INDEX(_xlfn.ANCHORARRAY(_xlfn.XLOOKUP($D103,'-ref_Distribution'!$B$117:$B$121,'-ref_Distribution'!$G$117:$G$121)),RIGHT(CC$1,2))</f>
        <v>21</v>
      </c>
      <c r="CD103" s="16" cm="1">
        <f t="array" ref="CD103">INDEX(_xlfn.ANCHORARRAY(_xlfn.XLOOKUP($D103,'-ref_Distribution'!$B$117:$B$121,'-ref_Distribution'!$G$117:$G$121)),RIGHT(CD$1,2))</f>
        <v>20</v>
      </c>
      <c r="CE103" s="16" cm="1">
        <f t="array" ref="CE103">INDEX(_xlfn.ANCHORARRAY(_xlfn.XLOOKUP($D103,'-ref_Distribution'!$B$117:$B$121,'-ref_Distribution'!$G$117:$G$121)),RIGHT(CE$1,2))</f>
        <v>19</v>
      </c>
      <c r="CF103" s="16" cm="1">
        <f t="array" ref="CF103">INDEX(_xlfn.ANCHORARRAY(_xlfn.XLOOKUP($D103,'-ref_Distribution'!$B$117:$B$121,'-ref_Distribution'!$G$117:$G$121)),RIGHT(CF$1,2))</f>
        <v>18</v>
      </c>
      <c r="CG103"/>
      <c r="CT103" s="16"/>
    </row>
    <row r="104" spans="1:98" x14ac:dyDescent="0.2">
      <c r="A104" s="16">
        <v>13601031</v>
      </c>
      <c r="B104" s="16" t="s">
        <v>355</v>
      </c>
      <c r="C104" s="17" t="s">
        <v>431</v>
      </c>
      <c r="D104" s="16">
        <v>1</v>
      </c>
      <c r="E104" s="16">
        <v>8</v>
      </c>
      <c r="F104" s="16">
        <v>8</v>
      </c>
      <c r="G104" s="16">
        <v>8</v>
      </c>
      <c r="H104" s="16">
        <v>8</v>
      </c>
      <c r="I104" s="16">
        <v>40</v>
      </c>
      <c r="J104" s="16">
        <v>40</v>
      </c>
      <c r="K104" s="16">
        <v>40</v>
      </c>
      <c r="L104" s="16">
        <v>40</v>
      </c>
      <c r="M104" s="16">
        <v>40</v>
      </c>
      <c r="N104" s="16">
        <v>40</v>
      </c>
      <c r="O104" s="16">
        <v>40</v>
      </c>
      <c r="P104" s="16">
        <v>40</v>
      </c>
      <c r="Q104" s="16">
        <v>19</v>
      </c>
      <c r="R104" s="16">
        <v>19</v>
      </c>
      <c r="S104" s="16">
        <v>19</v>
      </c>
      <c r="T104" s="16">
        <v>19</v>
      </c>
      <c r="U104" s="16">
        <v>7</v>
      </c>
      <c r="V104" s="16">
        <v>7</v>
      </c>
      <c r="W104" s="16">
        <v>7</v>
      </c>
      <c r="X104" s="16">
        <v>7</v>
      </c>
      <c r="Y104" s="16">
        <v>8</v>
      </c>
      <c r="Z104" s="16">
        <v>8</v>
      </c>
      <c r="AA104" s="16">
        <v>8</v>
      </c>
      <c r="AB104" s="16">
        <v>8</v>
      </c>
      <c r="AC104" s="16">
        <v>40</v>
      </c>
      <c r="AD104" s="16">
        <v>40</v>
      </c>
      <c r="AE104" s="16">
        <v>40</v>
      </c>
      <c r="AF104" s="16">
        <v>40</v>
      </c>
      <c r="AG104" s="16">
        <v>40</v>
      </c>
      <c r="AH104" s="16">
        <v>40</v>
      </c>
      <c r="AI104" s="16">
        <v>40</v>
      </c>
      <c r="AJ104" s="16">
        <v>40</v>
      </c>
      <c r="AK104" s="16">
        <v>19</v>
      </c>
      <c r="AL104" s="16">
        <v>19</v>
      </c>
      <c r="AM104" s="16">
        <v>19</v>
      </c>
      <c r="AN104" s="16">
        <v>19</v>
      </c>
      <c r="AO104" s="16">
        <v>7</v>
      </c>
      <c r="AP104" s="16">
        <v>7</v>
      </c>
      <c r="AQ104" s="16">
        <v>7</v>
      </c>
      <c r="AR104" s="16">
        <v>7</v>
      </c>
      <c r="AS104" s="16">
        <v>8</v>
      </c>
      <c r="AT104" s="16">
        <v>8</v>
      </c>
      <c r="AU104" s="16">
        <v>8</v>
      </c>
      <c r="AV104" s="16">
        <v>8</v>
      </c>
      <c r="AW104" s="16">
        <v>40</v>
      </c>
      <c r="AX104" s="16">
        <v>40</v>
      </c>
      <c r="AY104" s="16">
        <v>40</v>
      </c>
      <c r="AZ104" s="16">
        <v>40</v>
      </c>
      <c r="BA104" s="16">
        <v>40</v>
      </c>
      <c r="BB104" s="16">
        <v>40</v>
      </c>
      <c r="BC104" s="16">
        <v>40</v>
      </c>
      <c r="BD104" s="16">
        <v>40</v>
      </c>
      <c r="BE104" s="16">
        <v>19</v>
      </c>
      <c r="BF104" s="16">
        <v>19</v>
      </c>
      <c r="BG104" s="16">
        <v>19</v>
      </c>
      <c r="BH104" s="16">
        <v>19</v>
      </c>
      <c r="BI104" s="16">
        <v>7</v>
      </c>
      <c r="BJ104" s="16">
        <v>7</v>
      </c>
      <c r="BK104" s="16">
        <v>7</v>
      </c>
      <c r="BL104" s="16">
        <v>7</v>
      </c>
      <c r="BM104" s="16" cm="1">
        <f t="array" ref="BM104">INDEX(_xlfn.ANCHORARRAY(_xlfn.XLOOKUP($D104,'-ref_Distribution'!$B$117:$B$121,'-ref_Distribution'!$G$117:$G$121)),RIGHT(BM$1,2))</f>
        <v>78</v>
      </c>
      <c r="BN104" s="16" cm="1">
        <f t="array" ref="BN104">INDEX(_xlfn.ANCHORARRAY(_xlfn.XLOOKUP($D104,'-ref_Distribution'!$B$117:$B$121,'-ref_Distribution'!$G$117:$G$121)),RIGHT(BN$1,2))</f>
        <v>72</v>
      </c>
      <c r="BO104" s="16" cm="1">
        <f t="array" ref="BO104">INDEX(_xlfn.ANCHORARRAY(_xlfn.XLOOKUP($D104,'-ref_Distribution'!$B$117:$B$121,'-ref_Distribution'!$G$117:$G$121)),RIGHT(BO$1,2))</f>
        <v>66</v>
      </c>
      <c r="BP104" s="16" cm="1">
        <f t="array" ref="BP104">INDEX(_xlfn.ANCHORARRAY(_xlfn.XLOOKUP($D104,'-ref_Distribution'!$B$117:$B$121,'-ref_Distribution'!$G$117:$G$121)),RIGHT(BP$1,2))</f>
        <v>61</v>
      </c>
      <c r="BQ104" s="16" cm="1">
        <f t="array" ref="BQ104">INDEX(_xlfn.ANCHORARRAY(_xlfn.XLOOKUP($D104,'-ref_Distribution'!$B$117:$B$121,'-ref_Distribution'!$G$117:$G$121)),RIGHT(BQ$1,2))</f>
        <v>58</v>
      </c>
      <c r="BR104" s="16" cm="1">
        <f t="array" ref="BR104">INDEX(_xlfn.ANCHORARRAY(_xlfn.XLOOKUP($D104,'-ref_Distribution'!$B$117:$B$121,'-ref_Distribution'!$G$117:$G$121)),RIGHT(BR$1,2))</f>
        <v>55</v>
      </c>
      <c r="BS104" s="16" cm="1">
        <f t="array" ref="BS104">INDEX(_xlfn.ANCHORARRAY(_xlfn.XLOOKUP($D104,'-ref_Distribution'!$B$117:$B$121,'-ref_Distribution'!$G$117:$G$121)),RIGHT(BS$1,2))</f>
        <v>52</v>
      </c>
      <c r="BT104" s="16" cm="1">
        <f t="array" ref="BT104">INDEX(_xlfn.ANCHORARRAY(_xlfn.XLOOKUP($D104,'-ref_Distribution'!$B$117:$B$121,'-ref_Distribution'!$G$117:$G$121)),RIGHT(BT$1,2))</f>
        <v>50</v>
      </c>
      <c r="BU104" s="16" cm="1">
        <f t="array" ref="BU104">INDEX(_xlfn.ANCHORARRAY(_xlfn.XLOOKUP($D104,'-ref_Distribution'!$B$117:$B$121,'-ref_Distribution'!$G$117:$G$121)),RIGHT(BU$1,2))</f>
        <v>48</v>
      </c>
      <c r="BV104" s="16" cm="1">
        <f t="array" ref="BV104">INDEX(_xlfn.ANCHORARRAY(_xlfn.XLOOKUP($D104,'-ref_Distribution'!$B$117:$B$121,'-ref_Distribution'!$G$117:$G$121)),RIGHT(BV$1,2))</f>
        <v>47</v>
      </c>
      <c r="BW104" s="16" cm="1">
        <f t="array" ref="BW104">INDEX(_xlfn.ANCHORARRAY(_xlfn.XLOOKUP($D104,'-ref_Distribution'!$B$117:$B$121,'-ref_Distribution'!$G$117:$G$121)),RIGHT(BW$1,2))</f>
        <v>46</v>
      </c>
      <c r="BX104" s="16" cm="1">
        <f t="array" ref="BX104">INDEX(_xlfn.ANCHORARRAY(_xlfn.XLOOKUP($D104,'-ref_Distribution'!$B$117:$B$121,'-ref_Distribution'!$G$117:$G$121)),RIGHT(BX$1,2))</f>
        <v>44</v>
      </c>
      <c r="BY104" s="16" cm="1">
        <f t="array" ref="BY104">INDEX(_xlfn.ANCHORARRAY(_xlfn.XLOOKUP($D104,'-ref_Distribution'!$B$117:$B$121,'-ref_Distribution'!$G$117:$G$121)),RIGHT(BY$1,2))</f>
        <v>43</v>
      </c>
      <c r="BZ104" s="16" cm="1">
        <f t="array" ref="BZ104">INDEX(_xlfn.ANCHORARRAY(_xlfn.XLOOKUP($D104,'-ref_Distribution'!$B$117:$B$121,'-ref_Distribution'!$G$117:$G$121)),RIGHT(BZ$1,2))</f>
        <v>42</v>
      </c>
      <c r="CA104" s="16" cm="1">
        <f t="array" ref="CA104">INDEX(_xlfn.ANCHORARRAY(_xlfn.XLOOKUP($D104,'-ref_Distribution'!$B$117:$B$121,'-ref_Distribution'!$G$117:$G$121)),RIGHT(CA$1,2))</f>
        <v>41</v>
      </c>
      <c r="CB104" s="16" cm="1">
        <f t="array" ref="CB104">INDEX(_xlfn.ANCHORARRAY(_xlfn.XLOOKUP($D104,'-ref_Distribution'!$B$117:$B$121,'-ref_Distribution'!$G$117:$G$121)),RIGHT(CB$1,2))</f>
        <v>40</v>
      </c>
      <c r="CC104" s="16" cm="1">
        <f t="array" ref="CC104">INDEX(_xlfn.ANCHORARRAY(_xlfn.XLOOKUP($D104,'-ref_Distribution'!$B$117:$B$121,'-ref_Distribution'!$G$117:$G$121)),RIGHT(CC$1,2))</f>
        <v>40</v>
      </c>
      <c r="CD104" s="16" cm="1">
        <f t="array" ref="CD104">INDEX(_xlfn.ANCHORARRAY(_xlfn.XLOOKUP($D104,'-ref_Distribution'!$B$117:$B$121,'-ref_Distribution'!$G$117:$G$121)),RIGHT(CD$1,2))</f>
        <v>39</v>
      </c>
      <c r="CE104" s="16" cm="1">
        <f t="array" ref="CE104">INDEX(_xlfn.ANCHORARRAY(_xlfn.XLOOKUP($D104,'-ref_Distribution'!$B$117:$B$121,'-ref_Distribution'!$G$117:$G$121)),RIGHT(CE$1,2))</f>
        <v>38</v>
      </c>
      <c r="CF104" s="16" cm="1">
        <f t="array" ref="CF104">INDEX(_xlfn.ANCHORARRAY(_xlfn.XLOOKUP($D104,'-ref_Distribution'!$B$117:$B$121,'-ref_Distribution'!$G$117:$G$121)),RIGHT(CF$1,2))</f>
        <v>38</v>
      </c>
      <c r="CG104"/>
      <c r="CT104" s="16"/>
    </row>
    <row r="105" spans="1:98" x14ac:dyDescent="0.2">
      <c r="A105" s="16">
        <v>1361801</v>
      </c>
      <c r="B105" s="16" t="s">
        <v>91</v>
      </c>
      <c r="C105" s="17" t="s">
        <v>431</v>
      </c>
      <c r="D105" s="17" t="s">
        <v>424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/>
      <c r="CT105" s="16"/>
    </row>
    <row r="106" spans="1:98" x14ac:dyDescent="0.2">
      <c r="A106" s="16">
        <v>13618011</v>
      </c>
      <c r="B106" s="16" t="s">
        <v>351</v>
      </c>
      <c r="C106" s="17" t="s">
        <v>431</v>
      </c>
      <c r="D106" s="16">
        <v>1</v>
      </c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16" cm="1">
        <f t="array" ref="BM106">INDEX(_xlfn.ANCHORARRAY(_xlfn.XLOOKUP($D106,'-ref_Distribution'!$B$117:$B$121,'-ref_Distribution'!$G$117:$G$121)),RIGHT(BM$1,2))</f>
        <v>78</v>
      </c>
      <c r="BN106" s="16" cm="1">
        <f t="array" ref="BN106">INDEX(_xlfn.ANCHORARRAY(_xlfn.XLOOKUP($D106,'-ref_Distribution'!$B$117:$B$121,'-ref_Distribution'!$G$117:$G$121)),RIGHT(BN$1,2))</f>
        <v>72</v>
      </c>
      <c r="BO106" s="16" cm="1">
        <f t="array" ref="BO106">INDEX(_xlfn.ANCHORARRAY(_xlfn.XLOOKUP($D106,'-ref_Distribution'!$B$117:$B$121,'-ref_Distribution'!$G$117:$G$121)),RIGHT(BO$1,2))</f>
        <v>66</v>
      </c>
      <c r="BP106" s="16" cm="1">
        <f t="array" ref="BP106">INDEX(_xlfn.ANCHORARRAY(_xlfn.XLOOKUP($D106,'-ref_Distribution'!$B$117:$B$121,'-ref_Distribution'!$G$117:$G$121)),RIGHT(BP$1,2))</f>
        <v>61</v>
      </c>
      <c r="BQ106" s="16" cm="1">
        <f t="array" ref="BQ106">INDEX(_xlfn.ANCHORARRAY(_xlfn.XLOOKUP($D106,'-ref_Distribution'!$B$117:$B$121,'-ref_Distribution'!$G$117:$G$121)),RIGHT(BQ$1,2))</f>
        <v>58</v>
      </c>
      <c r="BR106" s="16" cm="1">
        <f t="array" ref="BR106">INDEX(_xlfn.ANCHORARRAY(_xlfn.XLOOKUP($D106,'-ref_Distribution'!$B$117:$B$121,'-ref_Distribution'!$G$117:$G$121)),RIGHT(BR$1,2))</f>
        <v>55</v>
      </c>
      <c r="BS106" s="16" cm="1">
        <f t="array" ref="BS106">INDEX(_xlfn.ANCHORARRAY(_xlfn.XLOOKUP($D106,'-ref_Distribution'!$B$117:$B$121,'-ref_Distribution'!$G$117:$G$121)),RIGHT(BS$1,2))</f>
        <v>52</v>
      </c>
      <c r="BT106" s="16" cm="1">
        <f t="array" ref="BT106">INDEX(_xlfn.ANCHORARRAY(_xlfn.XLOOKUP($D106,'-ref_Distribution'!$B$117:$B$121,'-ref_Distribution'!$G$117:$G$121)),RIGHT(BT$1,2))</f>
        <v>50</v>
      </c>
      <c r="BU106" s="16" cm="1">
        <f t="array" ref="BU106">INDEX(_xlfn.ANCHORARRAY(_xlfn.XLOOKUP($D106,'-ref_Distribution'!$B$117:$B$121,'-ref_Distribution'!$G$117:$G$121)),RIGHT(BU$1,2))</f>
        <v>48</v>
      </c>
      <c r="BV106" s="16" cm="1">
        <f t="array" ref="BV106">INDEX(_xlfn.ANCHORARRAY(_xlfn.XLOOKUP($D106,'-ref_Distribution'!$B$117:$B$121,'-ref_Distribution'!$G$117:$G$121)),RIGHT(BV$1,2))</f>
        <v>47</v>
      </c>
      <c r="BW106" s="16" cm="1">
        <f t="array" ref="BW106">INDEX(_xlfn.ANCHORARRAY(_xlfn.XLOOKUP($D106,'-ref_Distribution'!$B$117:$B$121,'-ref_Distribution'!$G$117:$G$121)),RIGHT(BW$1,2))</f>
        <v>46</v>
      </c>
      <c r="BX106" s="16" cm="1">
        <f t="array" ref="BX106">INDEX(_xlfn.ANCHORARRAY(_xlfn.XLOOKUP($D106,'-ref_Distribution'!$B$117:$B$121,'-ref_Distribution'!$G$117:$G$121)),RIGHT(BX$1,2))</f>
        <v>44</v>
      </c>
      <c r="BY106" s="16" cm="1">
        <f t="array" ref="BY106">INDEX(_xlfn.ANCHORARRAY(_xlfn.XLOOKUP($D106,'-ref_Distribution'!$B$117:$B$121,'-ref_Distribution'!$G$117:$G$121)),RIGHT(BY$1,2))</f>
        <v>43</v>
      </c>
      <c r="BZ106" s="16" cm="1">
        <f t="array" ref="BZ106">INDEX(_xlfn.ANCHORARRAY(_xlfn.XLOOKUP($D106,'-ref_Distribution'!$B$117:$B$121,'-ref_Distribution'!$G$117:$G$121)),RIGHT(BZ$1,2))</f>
        <v>42</v>
      </c>
      <c r="CA106" s="16" cm="1">
        <f t="array" ref="CA106">INDEX(_xlfn.ANCHORARRAY(_xlfn.XLOOKUP($D106,'-ref_Distribution'!$B$117:$B$121,'-ref_Distribution'!$G$117:$G$121)),RIGHT(CA$1,2))</f>
        <v>41</v>
      </c>
      <c r="CB106" s="16" cm="1">
        <f t="array" ref="CB106">INDEX(_xlfn.ANCHORARRAY(_xlfn.XLOOKUP($D106,'-ref_Distribution'!$B$117:$B$121,'-ref_Distribution'!$G$117:$G$121)),RIGHT(CB$1,2))</f>
        <v>40</v>
      </c>
      <c r="CC106" s="16" cm="1">
        <f t="array" ref="CC106">INDEX(_xlfn.ANCHORARRAY(_xlfn.XLOOKUP($D106,'-ref_Distribution'!$B$117:$B$121,'-ref_Distribution'!$G$117:$G$121)),RIGHT(CC$1,2))</f>
        <v>40</v>
      </c>
      <c r="CD106" s="16" cm="1">
        <f t="array" ref="CD106">INDEX(_xlfn.ANCHORARRAY(_xlfn.XLOOKUP($D106,'-ref_Distribution'!$B$117:$B$121,'-ref_Distribution'!$G$117:$G$121)),RIGHT(CD$1,2))</f>
        <v>39</v>
      </c>
      <c r="CE106" s="16" cm="1">
        <f t="array" ref="CE106">INDEX(_xlfn.ANCHORARRAY(_xlfn.XLOOKUP($D106,'-ref_Distribution'!$B$117:$B$121,'-ref_Distribution'!$G$117:$G$121)),RIGHT(CE$1,2))</f>
        <v>38</v>
      </c>
      <c r="CF106" s="16" cm="1">
        <f t="array" ref="CF106">INDEX(_xlfn.ANCHORARRAY(_xlfn.XLOOKUP($D106,'-ref_Distribution'!$B$117:$B$121,'-ref_Distribution'!$G$117:$G$121)),RIGHT(CF$1,2))</f>
        <v>38</v>
      </c>
      <c r="CG106"/>
      <c r="CT106" s="16"/>
    </row>
    <row r="107" spans="1:98" x14ac:dyDescent="0.2">
      <c r="A107" s="16">
        <v>13618012</v>
      </c>
      <c r="B107" s="16" t="s">
        <v>352</v>
      </c>
      <c r="C107" s="17" t="s">
        <v>431</v>
      </c>
      <c r="D107" s="16">
        <v>2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16" cm="1">
        <f t="array" ref="BM107">INDEX(_xlfn.ANCHORARRAY(_xlfn.XLOOKUP($D107,'-ref_Distribution'!$B$117:$B$121,'-ref_Distribution'!$G$117:$G$121)),RIGHT(BM$1,2))</f>
        <v>0</v>
      </c>
      <c r="BN107" s="16" cm="1">
        <f t="array" ref="BN107">INDEX(_xlfn.ANCHORARRAY(_xlfn.XLOOKUP($D107,'-ref_Distribution'!$B$117:$B$121,'-ref_Distribution'!$G$117:$G$121)),RIGHT(BN$1,2))</f>
        <v>5</v>
      </c>
      <c r="BO107" s="16" cm="1">
        <f t="array" ref="BO107">INDEX(_xlfn.ANCHORARRAY(_xlfn.XLOOKUP($D107,'-ref_Distribution'!$B$117:$B$121,'-ref_Distribution'!$G$117:$G$121)),RIGHT(BO$1,2))</f>
        <v>12</v>
      </c>
      <c r="BP107" s="16" cm="1">
        <f t="array" ref="BP107">INDEX(_xlfn.ANCHORARRAY(_xlfn.XLOOKUP($D107,'-ref_Distribution'!$B$117:$B$121,'-ref_Distribution'!$G$117:$G$121)),RIGHT(BP$1,2))</f>
        <v>16</v>
      </c>
      <c r="BQ107" s="16" cm="1">
        <f t="array" ref="BQ107">INDEX(_xlfn.ANCHORARRAY(_xlfn.XLOOKUP($D107,'-ref_Distribution'!$B$117:$B$121,'-ref_Distribution'!$G$117:$G$121)),RIGHT(BQ$1,2))</f>
        <v>19</v>
      </c>
      <c r="BR107" s="16" cm="1">
        <f t="array" ref="BR107">INDEX(_xlfn.ANCHORARRAY(_xlfn.XLOOKUP($D107,'-ref_Distribution'!$B$117:$B$121,'-ref_Distribution'!$G$117:$G$121)),RIGHT(BR$1,2))</f>
        <v>22</v>
      </c>
      <c r="BS107" s="16" cm="1">
        <f t="array" ref="BS107">INDEX(_xlfn.ANCHORARRAY(_xlfn.XLOOKUP($D107,'-ref_Distribution'!$B$117:$B$121,'-ref_Distribution'!$G$117:$G$121)),RIGHT(BS$1,2))</f>
        <v>23</v>
      </c>
      <c r="BT107" s="16" cm="1">
        <f t="array" ref="BT107">INDEX(_xlfn.ANCHORARRAY(_xlfn.XLOOKUP($D107,'-ref_Distribution'!$B$117:$B$121,'-ref_Distribution'!$G$117:$G$121)),RIGHT(BT$1,2))</f>
        <v>25</v>
      </c>
      <c r="BU107" s="16" cm="1">
        <f t="array" ref="BU107">INDEX(_xlfn.ANCHORARRAY(_xlfn.XLOOKUP($D107,'-ref_Distribution'!$B$117:$B$121,'-ref_Distribution'!$G$117:$G$121)),RIGHT(BU$1,2))</f>
        <v>26</v>
      </c>
      <c r="BV107" s="16" cm="1">
        <f t="array" ref="BV107">INDEX(_xlfn.ANCHORARRAY(_xlfn.XLOOKUP($D107,'-ref_Distribution'!$B$117:$B$121,'-ref_Distribution'!$G$117:$G$121)),RIGHT(BV$1,2))</f>
        <v>27</v>
      </c>
      <c r="BW107" s="16" cm="1">
        <f t="array" ref="BW107">INDEX(_xlfn.ANCHORARRAY(_xlfn.XLOOKUP($D107,'-ref_Distribution'!$B$117:$B$121,'-ref_Distribution'!$G$117:$G$121)),RIGHT(BW$1,2))</f>
        <v>27</v>
      </c>
      <c r="BX107" s="16" cm="1">
        <f t="array" ref="BX107">INDEX(_xlfn.ANCHORARRAY(_xlfn.XLOOKUP($D107,'-ref_Distribution'!$B$117:$B$121,'-ref_Distribution'!$G$117:$G$121)),RIGHT(BX$1,2))</f>
        <v>28</v>
      </c>
      <c r="BY107" s="16" cm="1">
        <f t="array" ref="BY107">INDEX(_xlfn.ANCHORARRAY(_xlfn.XLOOKUP($D107,'-ref_Distribution'!$B$117:$B$121,'-ref_Distribution'!$G$117:$G$121)),RIGHT(BY$1,2))</f>
        <v>29</v>
      </c>
      <c r="BZ107" s="16" cm="1">
        <f t="array" ref="BZ107">INDEX(_xlfn.ANCHORARRAY(_xlfn.XLOOKUP($D107,'-ref_Distribution'!$B$117:$B$121,'-ref_Distribution'!$G$117:$G$121)),RIGHT(BZ$1,2))</f>
        <v>29</v>
      </c>
      <c r="CA107" s="16" cm="1">
        <f t="array" ref="CA107">INDEX(_xlfn.ANCHORARRAY(_xlfn.XLOOKUP($D107,'-ref_Distribution'!$B$117:$B$121,'-ref_Distribution'!$G$117:$G$121)),RIGHT(CA$1,2))</f>
        <v>30</v>
      </c>
      <c r="CB107" s="16" cm="1">
        <f t="array" ref="CB107">INDEX(_xlfn.ANCHORARRAY(_xlfn.XLOOKUP($D107,'-ref_Distribution'!$B$117:$B$121,'-ref_Distribution'!$G$117:$G$121)),RIGHT(CB$1,2))</f>
        <v>30</v>
      </c>
      <c r="CC107" s="16" cm="1">
        <f t="array" ref="CC107">INDEX(_xlfn.ANCHORARRAY(_xlfn.XLOOKUP($D107,'-ref_Distribution'!$B$117:$B$121,'-ref_Distribution'!$G$117:$G$121)),RIGHT(CC$1,2))</f>
        <v>30</v>
      </c>
      <c r="CD107" s="16" cm="1">
        <f t="array" ref="CD107">INDEX(_xlfn.ANCHORARRAY(_xlfn.XLOOKUP($D107,'-ref_Distribution'!$B$117:$B$121,'-ref_Distribution'!$G$117:$G$121)),RIGHT(CD$1,2))</f>
        <v>30</v>
      </c>
      <c r="CE107" s="16" cm="1">
        <f t="array" ref="CE107">INDEX(_xlfn.ANCHORARRAY(_xlfn.XLOOKUP($D107,'-ref_Distribution'!$B$117:$B$121,'-ref_Distribution'!$G$117:$G$121)),RIGHT(CE$1,2))</f>
        <v>31</v>
      </c>
      <c r="CF107" s="16" cm="1">
        <f t="array" ref="CF107">INDEX(_xlfn.ANCHORARRAY(_xlfn.XLOOKUP($D107,'-ref_Distribution'!$B$117:$B$121,'-ref_Distribution'!$G$117:$G$121)),RIGHT(CF$1,2))</f>
        <v>31</v>
      </c>
    </row>
    <row r="108" spans="1:98" x14ac:dyDescent="0.2">
      <c r="A108" s="16">
        <v>13618013</v>
      </c>
      <c r="B108" s="16" t="s">
        <v>353</v>
      </c>
      <c r="C108" s="17" t="s">
        <v>431</v>
      </c>
      <c r="D108" s="16">
        <v>3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16" cm="1">
        <f t="array" ref="BM108">INDEX(_xlfn.ANCHORARRAY(_xlfn.XLOOKUP($D108,'-ref_Distribution'!$B$117:$B$121,'-ref_Distribution'!$G$117:$G$121)),RIGHT(BM$1,2))</f>
        <v>0</v>
      </c>
      <c r="BN108" s="16" cm="1">
        <f t="array" ref="BN108">INDEX(_xlfn.ANCHORARRAY(_xlfn.XLOOKUP($D108,'-ref_Distribution'!$B$117:$B$121,'-ref_Distribution'!$G$117:$G$121)),RIGHT(BN$1,2))</f>
        <v>0</v>
      </c>
      <c r="BO108" s="16" cm="1">
        <f t="array" ref="BO108">INDEX(_xlfn.ANCHORARRAY(_xlfn.XLOOKUP($D108,'-ref_Distribution'!$B$117:$B$121,'-ref_Distribution'!$G$117:$G$121)),RIGHT(BO$1,2))</f>
        <v>1</v>
      </c>
      <c r="BP108" s="16" cm="1">
        <f t="array" ref="BP108">INDEX(_xlfn.ANCHORARRAY(_xlfn.XLOOKUP($D108,'-ref_Distribution'!$B$117:$B$121,'-ref_Distribution'!$G$117:$G$121)),RIGHT(BP$1,2))</f>
        <v>3</v>
      </c>
      <c r="BQ108" s="16" cm="1">
        <f t="array" ref="BQ108">INDEX(_xlfn.ANCHORARRAY(_xlfn.XLOOKUP($D108,'-ref_Distribution'!$B$117:$B$121,'-ref_Distribution'!$G$117:$G$121)),RIGHT(BQ$1,2))</f>
        <v>6</v>
      </c>
      <c r="BR108" s="16" cm="1">
        <f t="array" ref="BR108">INDEX(_xlfn.ANCHORARRAY(_xlfn.XLOOKUP($D108,'-ref_Distribution'!$B$117:$B$121,'-ref_Distribution'!$G$117:$G$121)),RIGHT(BR$1,2))</f>
        <v>8</v>
      </c>
      <c r="BS108" s="16" cm="1">
        <f t="array" ref="BS108">INDEX(_xlfn.ANCHORARRAY(_xlfn.XLOOKUP($D108,'-ref_Distribution'!$B$117:$B$121,'-ref_Distribution'!$G$117:$G$121)),RIGHT(BS$1,2))</f>
        <v>9</v>
      </c>
      <c r="BT108" s="16" cm="1">
        <f t="array" ref="BT108">INDEX(_xlfn.ANCHORARRAY(_xlfn.XLOOKUP($D108,'-ref_Distribution'!$B$117:$B$121,'-ref_Distribution'!$G$117:$G$121)),RIGHT(BT$1,2))</f>
        <v>10</v>
      </c>
      <c r="BU108" s="16" cm="1">
        <f t="array" ref="BU108">INDEX(_xlfn.ANCHORARRAY(_xlfn.XLOOKUP($D108,'-ref_Distribution'!$B$117:$B$121,'-ref_Distribution'!$G$117:$G$121)),RIGHT(BU$1,2))</f>
        <v>11</v>
      </c>
      <c r="BV108" s="16" cm="1">
        <f t="array" ref="BV108">INDEX(_xlfn.ANCHORARRAY(_xlfn.XLOOKUP($D108,'-ref_Distribution'!$B$117:$B$121,'-ref_Distribution'!$G$117:$G$121)),RIGHT(BV$1,2))</f>
        <v>12</v>
      </c>
      <c r="BW108" s="16" cm="1">
        <f t="array" ref="BW108">INDEX(_xlfn.ANCHORARRAY(_xlfn.XLOOKUP($D108,'-ref_Distribution'!$B$117:$B$121,'-ref_Distribution'!$G$117:$G$121)),RIGHT(BW$1,2))</f>
        <v>13</v>
      </c>
      <c r="BX108" s="16" cm="1">
        <f t="array" ref="BX108">INDEX(_xlfn.ANCHORARRAY(_xlfn.XLOOKUP($D108,'-ref_Distribution'!$B$117:$B$121,'-ref_Distribution'!$G$117:$G$121)),RIGHT(BX$1,2))</f>
        <v>14</v>
      </c>
      <c r="BY108" s="16" cm="1">
        <f t="array" ref="BY108">INDEX(_xlfn.ANCHORARRAY(_xlfn.XLOOKUP($D108,'-ref_Distribution'!$B$117:$B$121,'-ref_Distribution'!$G$117:$G$121)),RIGHT(BY$1,2))</f>
        <v>14</v>
      </c>
      <c r="BZ108" s="16" cm="1">
        <f t="array" ref="BZ108">INDEX(_xlfn.ANCHORARRAY(_xlfn.XLOOKUP($D108,'-ref_Distribution'!$B$117:$B$121,'-ref_Distribution'!$G$117:$G$121)),RIGHT(BZ$1,2))</f>
        <v>15</v>
      </c>
      <c r="CA108" s="16" cm="1">
        <f t="array" ref="CA108">INDEX(_xlfn.ANCHORARRAY(_xlfn.XLOOKUP($D108,'-ref_Distribution'!$B$117:$B$121,'-ref_Distribution'!$G$117:$G$121)),RIGHT(CA$1,2))</f>
        <v>15</v>
      </c>
      <c r="CB108" s="16" cm="1">
        <f t="array" ref="CB108">INDEX(_xlfn.ANCHORARRAY(_xlfn.XLOOKUP($D108,'-ref_Distribution'!$B$117:$B$121,'-ref_Distribution'!$G$117:$G$121)),RIGHT(CB$1,2))</f>
        <v>16</v>
      </c>
      <c r="CC108" s="16" cm="1">
        <f t="array" ref="CC108">INDEX(_xlfn.ANCHORARRAY(_xlfn.XLOOKUP($D108,'-ref_Distribution'!$B$117:$B$121,'-ref_Distribution'!$G$117:$G$121)),RIGHT(CC$1,2))</f>
        <v>16</v>
      </c>
      <c r="CD108" s="16" cm="1">
        <f t="array" ref="CD108">INDEX(_xlfn.ANCHORARRAY(_xlfn.XLOOKUP($D108,'-ref_Distribution'!$B$117:$B$121,'-ref_Distribution'!$G$117:$G$121)),RIGHT(CD$1,2))</f>
        <v>17</v>
      </c>
      <c r="CE108" s="16" cm="1">
        <f t="array" ref="CE108">INDEX(_xlfn.ANCHORARRAY(_xlfn.XLOOKUP($D108,'-ref_Distribution'!$B$117:$B$121,'-ref_Distribution'!$G$117:$G$121)),RIGHT(CE$1,2))</f>
        <v>17</v>
      </c>
      <c r="CF108" s="16" cm="1">
        <f t="array" ref="CF108">INDEX(_xlfn.ANCHORARRAY(_xlfn.XLOOKUP($D108,'-ref_Distribution'!$B$117:$B$121,'-ref_Distribution'!$G$117:$G$121)),RIGHT(CF$1,2))</f>
        <v>17</v>
      </c>
    </row>
    <row r="109" spans="1:98" x14ac:dyDescent="0.2"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</row>
    <row r="112" spans="1:98" x14ac:dyDescent="0.2">
      <c r="CG112"/>
      <c r="CT112" s="16"/>
    </row>
    <row r="113" spans="1:98" x14ac:dyDescent="0.2">
      <c r="CG113"/>
      <c r="CT113" s="16"/>
    </row>
    <row r="114" spans="1:98" x14ac:dyDescent="0.2"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</row>
    <row r="115" spans="1:98" x14ac:dyDescent="0.2">
      <c r="AR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</row>
    <row r="116" spans="1:98" x14ac:dyDescent="0.2">
      <c r="AR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</row>
    <row r="117" spans="1:98" x14ac:dyDescent="0.2">
      <c r="A117" s="17" t="s">
        <v>379</v>
      </c>
      <c r="D117" s="17"/>
      <c r="E117" s="16" cm="1">
        <f t="array" ref="E117:CF117">_xlfn.BYCOL(_xlfn._xlws.FILTER(tb_shop_device[[地宫-01]:[大湖-20]],tb_shop_device[type]=LEFT(A117,2)),_xleta.SUM)</f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99999</v>
      </c>
      <c r="BN117" s="16">
        <v>77</v>
      </c>
      <c r="BO117" s="16">
        <v>79</v>
      </c>
      <c r="BP117" s="16">
        <v>80</v>
      </c>
      <c r="BQ117" s="16">
        <v>83</v>
      </c>
      <c r="BR117" s="16">
        <v>85</v>
      </c>
      <c r="BS117" s="16">
        <v>84</v>
      </c>
      <c r="BT117" s="16">
        <v>85</v>
      </c>
      <c r="BU117" s="16">
        <v>85</v>
      </c>
      <c r="BV117" s="16">
        <v>86</v>
      </c>
      <c r="BW117" s="16">
        <v>86</v>
      </c>
      <c r="BX117" s="16">
        <v>86</v>
      </c>
      <c r="BY117" s="16">
        <v>86</v>
      </c>
      <c r="BZ117" s="16">
        <v>86</v>
      </c>
      <c r="CA117" s="16">
        <v>86</v>
      </c>
      <c r="CB117" s="16">
        <v>86</v>
      </c>
      <c r="CC117" s="16">
        <v>86</v>
      </c>
      <c r="CD117" s="16">
        <v>86</v>
      </c>
      <c r="CE117" s="16">
        <v>86</v>
      </c>
      <c r="CF117" s="16">
        <v>86</v>
      </c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</row>
    <row r="118" spans="1:98" x14ac:dyDescent="0.2">
      <c r="A118" s="17" t="s">
        <v>230</v>
      </c>
      <c r="D118" s="17"/>
      <c r="E118" s="16" cm="1">
        <f t="array" ref="E118:CF118">_xlfn.BYCOL(_xlfn._xlws.FILTER(tb_shop_device[[地宫-01]:[大湖-20]],tb_shop_device[type]=LEFT(A118,2)),_xleta.SUM)</f>
        <v>480</v>
      </c>
      <c r="F118" s="16">
        <v>480</v>
      </c>
      <c r="G118" s="16">
        <v>480</v>
      </c>
      <c r="H118" s="16">
        <v>610</v>
      </c>
      <c r="I118" s="16">
        <v>800</v>
      </c>
      <c r="J118" s="16">
        <v>700</v>
      </c>
      <c r="K118" s="16">
        <v>800</v>
      </c>
      <c r="L118" s="16">
        <v>915</v>
      </c>
      <c r="M118" s="16">
        <v>915</v>
      </c>
      <c r="N118" s="16">
        <v>855</v>
      </c>
      <c r="O118" s="16">
        <v>955</v>
      </c>
      <c r="P118" s="16">
        <v>816</v>
      </c>
      <c r="Q118" s="16">
        <v>756</v>
      </c>
      <c r="R118" s="16">
        <v>806</v>
      </c>
      <c r="S118" s="16">
        <v>806</v>
      </c>
      <c r="T118" s="16">
        <v>610</v>
      </c>
      <c r="U118" s="16">
        <v>574</v>
      </c>
      <c r="V118" s="16">
        <v>574</v>
      </c>
      <c r="W118" s="16">
        <v>460</v>
      </c>
      <c r="X118" s="16">
        <v>460</v>
      </c>
      <c r="Y118" s="16">
        <v>480</v>
      </c>
      <c r="Z118" s="16">
        <v>480</v>
      </c>
      <c r="AA118" s="16">
        <v>480</v>
      </c>
      <c r="AB118" s="16">
        <v>610</v>
      </c>
      <c r="AC118" s="16">
        <v>800</v>
      </c>
      <c r="AD118" s="16">
        <v>700</v>
      </c>
      <c r="AE118" s="16">
        <v>800</v>
      </c>
      <c r="AF118" s="16">
        <v>915</v>
      </c>
      <c r="AG118" s="16">
        <v>915</v>
      </c>
      <c r="AH118" s="16">
        <v>855</v>
      </c>
      <c r="AI118" s="16">
        <v>955</v>
      </c>
      <c r="AJ118" s="16">
        <v>816</v>
      </c>
      <c r="AK118" s="16">
        <v>756</v>
      </c>
      <c r="AL118" s="16">
        <v>806</v>
      </c>
      <c r="AM118" s="16">
        <v>806</v>
      </c>
      <c r="AN118" s="16">
        <v>610</v>
      </c>
      <c r="AO118" s="16">
        <v>574</v>
      </c>
      <c r="AP118" s="16">
        <v>574</v>
      </c>
      <c r="AQ118" s="16">
        <v>460</v>
      </c>
      <c r="AR118" s="16">
        <v>460</v>
      </c>
      <c r="AS118" s="16">
        <v>480</v>
      </c>
      <c r="AT118" s="16">
        <v>480</v>
      </c>
      <c r="AU118" s="16">
        <v>480</v>
      </c>
      <c r="AV118" s="16">
        <v>610</v>
      </c>
      <c r="AW118" s="16">
        <v>800</v>
      </c>
      <c r="AX118" s="16">
        <v>700</v>
      </c>
      <c r="AY118" s="16">
        <v>800</v>
      </c>
      <c r="AZ118" s="16">
        <v>915</v>
      </c>
      <c r="BA118" s="16">
        <v>915</v>
      </c>
      <c r="BB118" s="16">
        <v>855</v>
      </c>
      <c r="BC118" s="16">
        <v>955</v>
      </c>
      <c r="BD118" s="16">
        <v>816</v>
      </c>
      <c r="BE118" s="16">
        <v>756</v>
      </c>
      <c r="BF118" s="16">
        <v>806</v>
      </c>
      <c r="BG118" s="16">
        <v>806</v>
      </c>
      <c r="BH118" s="16">
        <v>610</v>
      </c>
      <c r="BI118" s="16">
        <v>574</v>
      </c>
      <c r="BJ118" s="16">
        <v>574</v>
      </c>
      <c r="BK118" s="16">
        <v>460</v>
      </c>
      <c r="BL118" s="16">
        <v>460</v>
      </c>
      <c r="BM118" s="16">
        <v>494</v>
      </c>
      <c r="BN118" s="16">
        <v>394</v>
      </c>
      <c r="BO118" s="16">
        <v>354</v>
      </c>
      <c r="BP118" s="16">
        <v>329</v>
      </c>
      <c r="BQ118" s="16">
        <v>319</v>
      </c>
      <c r="BR118" s="16">
        <v>309</v>
      </c>
      <c r="BS118" s="16">
        <v>299</v>
      </c>
      <c r="BT118" s="16">
        <v>292</v>
      </c>
      <c r="BU118" s="16">
        <v>287</v>
      </c>
      <c r="BV118" s="16">
        <v>285</v>
      </c>
      <c r="BW118" s="16">
        <v>280</v>
      </c>
      <c r="BX118" s="16">
        <v>275</v>
      </c>
      <c r="BY118" s="16">
        <v>273</v>
      </c>
      <c r="BZ118" s="16">
        <v>270</v>
      </c>
      <c r="CA118" s="16">
        <v>268</v>
      </c>
      <c r="CB118" s="16">
        <v>265</v>
      </c>
      <c r="CC118" s="16">
        <v>263</v>
      </c>
      <c r="CD118" s="16">
        <v>261</v>
      </c>
      <c r="CE118" s="16">
        <v>258</v>
      </c>
      <c r="CF118" s="16">
        <v>256</v>
      </c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</row>
    <row r="119" spans="1:98" x14ac:dyDescent="0.2">
      <c r="A119" s="17" t="s">
        <v>231</v>
      </c>
      <c r="D119" s="17"/>
      <c r="E119" s="16" cm="1">
        <f t="array" ref="E119:CF119">_xlfn.BYCOL(_xlfn._xlws.FILTER(tb_shop_device[[地宫-01]:[大湖-20]],tb_shop_device[type]=LEFT(A119,2)),_xleta.SUM)</f>
        <v>400</v>
      </c>
      <c r="F119" s="16">
        <v>400</v>
      </c>
      <c r="G119" s="16">
        <v>675</v>
      </c>
      <c r="H119" s="16">
        <v>675</v>
      </c>
      <c r="I119" s="16">
        <v>675</v>
      </c>
      <c r="J119" s="16">
        <v>880</v>
      </c>
      <c r="K119" s="16">
        <v>880</v>
      </c>
      <c r="L119" s="16">
        <v>880</v>
      </c>
      <c r="M119" s="16">
        <v>880</v>
      </c>
      <c r="N119" s="16">
        <v>880</v>
      </c>
      <c r="O119" s="16">
        <v>970</v>
      </c>
      <c r="P119" s="16">
        <v>970</v>
      </c>
      <c r="Q119" s="16">
        <v>970</v>
      </c>
      <c r="R119" s="16">
        <v>970</v>
      </c>
      <c r="S119" s="16">
        <v>970</v>
      </c>
      <c r="T119" s="16">
        <v>689</v>
      </c>
      <c r="U119" s="16">
        <v>689</v>
      </c>
      <c r="V119" s="16">
        <v>689</v>
      </c>
      <c r="W119" s="16">
        <v>689</v>
      </c>
      <c r="X119" s="16">
        <v>689</v>
      </c>
      <c r="Y119" s="16">
        <v>400</v>
      </c>
      <c r="Z119" s="16">
        <v>400</v>
      </c>
      <c r="AA119" s="16">
        <v>675</v>
      </c>
      <c r="AB119" s="16">
        <v>675</v>
      </c>
      <c r="AC119" s="16">
        <v>675</v>
      </c>
      <c r="AD119" s="16">
        <v>880</v>
      </c>
      <c r="AE119" s="16">
        <v>880</v>
      </c>
      <c r="AF119" s="16">
        <v>880</v>
      </c>
      <c r="AG119" s="16">
        <v>880</v>
      </c>
      <c r="AH119" s="16">
        <v>880</v>
      </c>
      <c r="AI119" s="16">
        <v>970</v>
      </c>
      <c r="AJ119" s="16">
        <v>970</v>
      </c>
      <c r="AK119" s="16">
        <v>970</v>
      </c>
      <c r="AL119" s="16">
        <v>970</v>
      </c>
      <c r="AM119" s="16">
        <v>970</v>
      </c>
      <c r="AN119" s="16">
        <v>689</v>
      </c>
      <c r="AO119" s="16">
        <v>689</v>
      </c>
      <c r="AP119" s="16">
        <v>689</v>
      </c>
      <c r="AQ119" s="16">
        <v>689</v>
      </c>
      <c r="AR119" s="16">
        <v>689</v>
      </c>
      <c r="AS119" s="16">
        <v>400</v>
      </c>
      <c r="AT119" s="16">
        <v>400</v>
      </c>
      <c r="AU119" s="16">
        <v>675</v>
      </c>
      <c r="AV119" s="16">
        <v>675</v>
      </c>
      <c r="AW119" s="16">
        <v>675</v>
      </c>
      <c r="AX119" s="16">
        <v>880</v>
      </c>
      <c r="AY119" s="16">
        <v>880</v>
      </c>
      <c r="AZ119" s="16">
        <v>880</v>
      </c>
      <c r="BA119" s="16">
        <v>880</v>
      </c>
      <c r="BB119" s="16">
        <v>880</v>
      </c>
      <c r="BC119" s="16">
        <v>970</v>
      </c>
      <c r="BD119" s="16">
        <v>970</v>
      </c>
      <c r="BE119" s="16">
        <v>970</v>
      </c>
      <c r="BF119" s="16">
        <v>970</v>
      </c>
      <c r="BG119" s="16">
        <v>970</v>
      </c>
      <c r="BH119" s="16">
        <v>689</v>
      </c>
      <c r="BI119" s="16">
        <v>689</v>
      </c>
      <c r="BJ119" s="16">
        <v>689</v>
      </c>
      <c r="BK119" s="16">
        <v>689</v>
      </c>
      <c r="BL119" s="16">
        <v>689</v>
      </c>
      <c r="BM119" s="16">
        <v>494</v>
      </c>
      <c r="BN119" s="16">
        <v>399</v>
      </c>
      <c r="BO119" s="16">
        <v>367</v>
      </c>
      <c r="BP119" s="16">
        <v>348</v>
      </c>
      <c r="BQ119" s="16">
        <v>344</v>
      </c>
      <c r="BR119" s="16">
        <v>339</v>
      </c>
      <c r="BS119" s="16">
        <v>331</v>
      </c>
      <c r="BT119" s="16">
        <v>327</v>
      </c>
      <c r="BU119" s="16">
        <v>324</v>
      </c>
      <c r="BV119" s="16">
        <v>324</v>
      </c>
      <c r="BW119" s="16">
        <v>320</v>
      </c>
      <c r="BX119" s="16">
        <v>317</v>
      </c>
      <c r="BY119" s="16">
        <v>316</v>
      </c>
      <c r="BZ119" s="16">
        <v>314</v>
      </c>
      <c r="CA119" s="16">
        <v>313</v>
      </c>
      <c r="CB119" s="16">
        <v>311</v>
      </c>
      <c r="CC119" s="16">
        <v>309</v>
      </c>
      <c r="CD119" s="16">
        <v>308</v>
      </c>
      <c r="CE119" s="16">
        <v>306</v>
      </c>
      <c r="CF119" s="16">
        <v>304</v>
      </c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</row>
    <row r="120" spans="1:98" x14ac:dyDescent="0.2">
      <c r="A120" s="17" t="s">
        <v>321</v>
      </c>
      <c r="D120" s="17"/>
      <c r="E120" s="16" cm="1">
        <f t="array" ref="E120:CF120">_xlfn.BYCOL(_xlfn._xlws.FILTER(tb_shop_device[[地宫-01]:[大湖-20]],tb_shop_device[type]=LEFT(A120,2)),_xleta.SUM)</f>
        <v>12</v>
      </c>
      <c r="F120" s="16">
        <v>42</v>
      </c>
      <c r="G120" s="16">
        <v>42</v>
      </c>
      <c r="H120" s="16">
        <v>42</v>
      </c>
      <c r="I120" s="16">
        <v>114</v>
      </c>
      <c r="J120" s="16">
        <v>114</v>
      </c>
      <c r="K120" s="16">
        <v>114</v>
      </c>
      <c r="L120" s="16">
        <v>204</v>
      </c>
      <c r="M120" s="16">
        <v>206</v>
      </c>
      <c r="N120" s="16">
        <v>206</v>
      </c>
      <c r="O120" s="16">
        <v>319</v>
      </c>
      <c r="P120" s="16">
        <v>309</v>
      </c>
      <c r="Q120" s="16">
        <v>294</v>
      </c>
      <c r="R120" s="16">
        <v>395</v>
      </c>
      <c r="S120" s="16">
        <v>365</v>
      </c>
      <c r="T120" s="16">
        <v>350</v>
      </c>
      <c r="U120" s="16">
        <v>360</v>
      </c>
      <c r="V120" s="16">
        <v>320</v>
      </c>
      <c r="W120" s="16">
        <v>290</v>
      </c>
      <c r="X120" s="16">
        <v>240</v>
      </c>
      <c r="Y120" s="16">
        <v>12</v>
      </c>
      <c r="Z120" s="16">
        <v>42</v>
      </c>
      <c r="AA120" s="16">
        <v>42</v>
      </c>
      <c r="AB120" s="16">
        <v>42</v>
      </c>
      <c r="AC120" s="16">
        <v>114</v>
      </c>
      <c r="AD120" s="16">
        <v>114</v>
      </c>
      <c r="AE120" s="16">
        <v>114</v>
      </c>
      <c r="AF120" s="16">
        <v>204</v>
      </c>
      <c r="AG120" s="16">
        <v>206</v>
      </c>
      <c r="AH120" s="16">
        <v>206</v>
      </c>
      <c r="AI120" s="16">
        <v>319</v>
      </c>
      <c r="AJ120" s="16">
        <v>309</v>
      </c>
      <c r="AK120" s="16">
        <v>294</v>
      </c>
      <c r="AL120" s="16">
        <v>395</v>
      </c>
      <c r="AM120" s="16">
        <v>365</v>
      </c>
      <c r="AN120" s="16">
        <v>350</v>
      </c>
      <c r="AO120" s="16">
        <v>360</v>
      </c>
      <c r="AP120" s="16">
        <v>320</v>
      </c>
      <c r="AQ120" s="16">
        <v>290</v>
      </c>
      <c r="AR120" s="16">
        <v>240</v>
      </c>
      <c r="AS120" s="16">
        <v>12</v>
      </c>
      <c r="AT120" s="16">
        <v>42</v>
      </c>
      <c r="AU120" s="16">
        <v>42</v>
      </c>
      <c r="AV120" s="16">
        <v>42</v>
      </c>
      <c r="AW120" s="16">
        <v>114</v>
      </c>
      <c r="AX120" s="16">
        <v>114</v>
      </c>
      <c r="AY120" s="16">
        <v>114</v>
      </c>
      <c r="AZ120" s="16">
        <v>204</v>
      </c>
      <c r="BA120" s="16">
        <v>206</v>
      </c>
      <c r="BB120" s="16">
        <v>206</v>
      </c>
      <c r="BC120" s="16">
        <v>319</v>
      </c>
      <c r="BD120" s="16">
        <v>309</v>
      </c>
      <c r="BE120" s="16">
        <v>294</v>
      </c>
      <c r="BF120" s="16">
        <v>395</v>
      </c>
      <c r="BG120" s="16">
        <v>365</v>
      </c>
      <c r="BH120" s="16">
        <v>350</v>
      </c>
      <c r="BI120" s="16">
        <v>360</v>
      </c>
      <c r="BJ120" s="16">
        <v>320</v>
      </c>
      <c r="BK120" s="16">
        <v>290</v>
      </c>
      <c r="BL120" s="16">
        <v>240</v>
      </c>
      <c r="BM120" s="16">
        <v>208</v>
      </c>
      <c r="BN120" s="16">
        <v>171</v>
      </c>
      <c r="BO120" s="16">
        <v>170</v>
      </c>
      <c r="BP120" s="16">
        <v>172</v>
      </c>
      <c r="BQ120" s="16">
        <v>183</v>
      </c>
      <c r="BR120" s="16">
        <v>192</v>
      </c>
      <c r="BS120" s="16">
        <v>195</v>
      </c>
      <c r="BT120" s="16">
        <v>201</v>
      </c>
      <c r="BU120" s="16">
        <v>206</v>
      </c>
      <c r="BV120" s="16">
        <v>212</v>
      </c>
      <c r="BW120" s="16">
        <v>212</v>
      </c>
      <c r="BX120" s="16">
        <v>217</v>
      </c>
      <c r="BY120" s="16">
        <v>221</v>
      </c>
      <c r="BZ120" s="16">
        <v>222</v>
      </c>
      <c r="CA120" s="16">
        <v>226</v>
      </c>
      <c r="CB120" s="16">
        <v>227</v>
      </c>
      <c r="CC120" s="16">
        <v>226</v>
      </c>
      <c r="CD120" s="16">
        <v>230</v>
      </c>
      <c r="CE120" s="16">
        <v>231</v>
      </c>
      <c r="CF120" s="16">
        <v>230</v>
      </c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</row>
    <row r="121" spans="1:98" x14ac:dyDescent="0.2">
      <c r="A121" s="17" t="s">
        <v>232</v>
      </c>
      <c r="D121" s="17"/>
      <c r="E121" s="16" cm="1">
        <f t="array" ref="E121:CF121">_xlfn.BYCOL(_xlfn._xlws.FILTER(tb_shop_device[[地宫-01]:[大湖-20]],tb_shop_device[type]=LEFT(A121,2)),_xleta.SUM)</f>
        <v>96</v>
      </c>
      <c r="F121" s="16">
        <v>96</v>
      </c>
      <c r="G121" s="16">
        <v>96</v>
      </c>
      <c r="H121" s="16">
        <v>96</v>
      </c>
      <c r="I121" s="16">
        <v>176</v>
      </c>
      <c r="J121" s="16">
        <v>176</v>
      </c>
      <c r="K121" s="16">
        <v>176</v>
      </c>
      <c r="L121" s="16">
        <v>176</v>
      </c>
      <c r="M121" s="16">
        <v>206</v>
      </c>
      <c r="N121" s="16">
        <v>206</v>
      </c>
      <c r="O121" s="16">
        <v>206</v>
      </c>
      <c r="P121" s="16">
        <v>206</v>
      </c>
      <c r="Q121" s="16">
        <v>172</v>
      </c>
      <c r="R121" s="16">
        <v>172</v>
      </c>
      <c r="S121" s="16">
        <v>172</v>
      </c>
      <c r="T121" s="16">
        <v>172</v>
      </c>
      <c r="U121" s="16">
        <v>92</v>
      </c>
      <c r="V121" s="16">
        <v>92</v>
      </c>
      <c r="W121" s="16">
        <v>92</v>
      </c>
      <c r="X121" s="16">
        <v>92</v>
      </c>
      <c r="Y121" s="16">
        <v>96</v>
      </c>
      <c r="Z121" s="16">
        <v>96</v>
      </c>
      <c r="AA121" s="16">
        <v>96</v>
      </c>
      <c r="AB121" s="16">
        <v>96</v>
      </c>
      <c r="AC121" s="16">
        <v>176</v>
      </c>
      <c r="AD121" s="16">
        <v>176</v>
      </c>
      <c r="AE121" s="16">
        <v>176</v>
      </c>
      <c r="AF121" s="16">
        <v>176</v>
      </c>
      <c r="AG121" s="16">
        <v>206</v>
      </c>
      <c r="AH121" s="16">
        <v>206</v>
      </c>
      <c r="AI121" s="16">
        <v>206</v>
      </c>
      <c r="AJ121" s="16">
        <v>206</v>
      </c>
      <c r="AK121" s="16">
        <v>172</v>
      </c>
      <c r="AL121" s="16">
        <v>172</v>
      </c>
      <c r="AM121" s="16">
        <v>172</v>
      </c>
      <c r="AN121" s="16">
        <v>172</v>
      </c>
      <c r="AO121" s="16">
        <v>92</v>
      </c>
      <c r="AP121" s="16">
        <v>92</v>
      </c>
      <c r="AQ121" s="16">
        <v>92</v>
      </c>
      <c r="AR121" s="16">
        <v>92</v>
      </c>
      <c r="AS121" s="16">
        <v>96</v>
      </c>
      <c r="AT121" s="16">
        <v>96</v>
      </c>
      <c r="AU121" s="16">
        <v>96</v>
      </c>
      <c r="AV121" s="16">
        <v>96</v>
      </c>
      <c r="AW121" s="16">
        <v>176</v>
      </c>
      <c r="AX121" s="16">
        <v>176</v>
      </c>
      <c r="AY121" s="16">
        <v>176</v>
      </c>
      <c r="AZ121" s="16">
        <v>176</v>
      </c>
      <c r="BA121" s="16">
        <v>206</v>
      </c>
      <c r="BB121" s="16">
        <v>206</v>
      </c>
      <c r="BC121" s="16">
        <v>206</v>
      </c>
      <c r="BD121" s="16">
        <v>206</v>
      </c>
      <c r="BE121" s="16">
        <v>172</v>
      </c>
      <c r="BF121" s="16">
        <v>172</v>
      </c>
      <c r="BG121" s="16">
        <v>172</v>
      </c>
      <c r="BH121" s="16">
        <v>172</v>
      </c>
      <c r="BI121" s="16">
        <v>92</v>
      </c>
      <c r="BJ121" s="16">
        <v>92</v>
      </c>
      <c r="BK121" s="16">
        <v>92</v>
      </c>
      <c r="BL121" s="16">
        <v>92</v>
      </c>
      <c r="BM121" s="16">
        <v>494</v>
      </c>
      <c r="BN121" s="16">
        <v>399</v>
      </c>
      <c r="BO121" s="16">
        <v>366</v>
      </c>
      <c r="BP121" s="16">
        <v>345</v>
      </c>
      <c r="BQ121" s="16">
        <v>337</v>
      </c>
      <c r="BR121" s="16">
        <v>329</v>
      </c>
      <c r="BS121" s="16">
        <v>319</v>
      </c>
      <c r="BT121" s="16">
        <v>313</v>
      </c>
      <c r="BU121" s="16">
        <v>308</v>
      </c>
      <c r="BV121" s="16">
        <v>306</v>
      </c>
      <c r="BW121" s="16">
        <v>301</v>
      </c>
      <c r="BX121" s="16">
        <v>296</v>
      </c>
      <c r="BY121" s="16">
        <v>294</v>
      </c>
      <c r="BZ121" s="16">
        <v>291</v>
      </c>
      <c r="CA121" s="16">
        <v>289</v>
      </c>
      <c r="CB121" s="16">
        <v>286</v>
      </c>
      <c r="CC121" s="16">
        <v>284</v>
      </c>
      <c r="CD121" s="16">
        <v>281</v>
      </c>
      <c r="CE121" s="16">
        <v>279</v>
      </c>
      <c r="CF121" s="16">
        <v>277</v>
      </c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</row>
    <row r="122" spans="1:98" x14ac:dyDescent="0.2"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</row>
    <row r="123" spans="1:98" x14ac:dyDescent="0.2"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</row>
    <row r="124" spans="1:98" x14ac:dyDescent="0.2">
      <c r="A124" s="17" t="s">
        <v>380</v>
      </c>
      <c r="D124" s="17"/>
      <c r="E124" s="21" cm="1">
        <f t="array" ref="E124:CF128">_xlfn.LET(_xlpm._all,_xlfn.ANCHORARRAY(E117):_xlfn.ANCHORARRAY(E121),
_xlpm._all/_xlfn.BYCOL(_xlpm._all,_xleta.SUM))</f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0.98338069997738198</v>
      </c>
      <c r="BN124" s="21">
        <v>5.347222222222222E-2</v>
      </c>
      <c r="BO124" s="21">
        <v>5.9131736526946109E-2</v>
      </c>
      <c r="BP124" s="21">
        <v>6.2794348508634218E-2</v>
      </c>
      <c r="BQ124" s="21">
        <v>6.5560821484992107E-2</v>
      </c>
      <c r="BR124" s="21">
        <v>6.778309409888357E-2</v>
      </c>
      <c r="BS124" s="21">
        <v>6.8403908794788276E-2</v>
      </c>
      <c r="BT124" s="21">
        <v>6.9786535303776681E-2</v>
      </c>
      <c r="BU124" s="21">
        <v>7.0247933884297523E-2</v>
      </c>
      <c r="BV124" s="21">
        <v>7.0898598516075842E-2</v>
      </c>
      <c r="BW124" s="21">
        <v>7.1726438698915762E-2</v>
      </c>
      <c r="BX124" s="21">
        <v>7.2208228379513018E-2</v>
      </c>
      <c r="BY124" s="21">
        <v>7.2268907563025217E-2</v>
      </c>
      <c r="BZ124" s="21">
        <v>7.269653423499578E-2</v>
      </c>
      <c r="CA124" s="21">
        <v>7.2758037225042302E-2</v>
      </c>
      <c r="CB124" s="21">
        <v>7.3191489361702125E-2</v>
      </c>
      <c r="CC124" s="21">
        <v>7.3630136986301373E-2</v>
      </c>
      <c r="CD124" s="21">
        <v>7.375643224699828E-2</v>
      </c>
      <c r="CE124" s="21">
        <v>7.4137931034482754E-2</v>
      </c>
      <c r="CF124" s="21">
        <v>7.4588031222896797E-2</v>
      </c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</row>
    <row r="125" spans="1:98" x14ac:dyDescent="0.2">
      <c r="A125" s="17" t="s">
        <v>315</v>
      </c>
      <c r="D125" s="17"/>
      <c r="E125" s="21">
        <v>0.48582995951417002</v>
      </c>
      <c r="F125" s="21">
        <v>0.47151277013752457</v>
      </c>
      <c r="G125" s="21">
        <v>0.37122969837587005</v>
      </c>
      <c r="H125" s="21">
        <v>0.42867182009838367</v>
      </c>
      <c r="I125" s="21">
        <v>0.45325779036827196</v>
      </c>
      <c r="J125" s="21">
        <v>0.37433155080213903</v>
      </c>
      <c r="K125" s="21">
        <v>0.40609137055837563</v>
      </c>
      <c r="L125" s="21">
        <v>0.4206896551724138</v>
      </c>
      <c r="M125" s="21">
        <v>0.41458994109651109</v>
      </c>
      <c r="N125" s="21">
        <v>0.39823008849557523</v>
      </c>
      <c r="O125" s="21">
        <v>0.38979591836734695</v>
      </c>
      <c r="P125" s="21">
        <v>0.35462842242503262</v>
      </c>
      <c r="Q125" s="21">
        <v>0.3448905109489051</v>
      </c>
      <c r="R125" s="21">
        <v>0.34400341442594962</v>
      </c>
      <c r="S125" s="21">
        <v>0.34846519671422393</v>
      </c>
      <c r="T125" s="21">
        <v>0.33498077979132346</v>
      </c>
      <c r="U125" s="21">
        <v>0.33469387755102042</v>
      </c>
      <c r="V125" s="21">
        <v>0.34268656716417911</v>
      </c>
      <c r="W125" s="21">
        <v>0.30045721750489873</v>
      </c>
      <c r="X125" s="21">
        <v>0.31060094530722487</v>
      </c>
      <c r="Y125" s="21">
        <v>0.48582995951417002</v>
      </c>
      <c r="Z125" s="21">
        <v>0.47151277013752457</v>
      </c>
      <c r="AA125" s="21">
        <v>0.37122969837587005</v>
      </c>
      <c r="AB125" s="21">
        <v>0.42867182009838367</v>
      </c>
      <c r="AC125" s="21">
        <v>0.45325779036827196</v>
      </c>
      <c r="AD125" s="21">
        <v>0.37433155080213903</v>
      </c>
      <c r="AE125" s="21">
        <v>0.40609137055837563</v>
      </c>
      <c r="AF125" s="21">
        <v>0.4206896551724138</v>
      </c>
      <c r="AG125" s="21">
        <v>0.41458994109651109</v>
      </c>
      <c r="AH125" s="21">
        <v>0.39823008849557523</v>
      </c>
      <c r="AI125" s="21">
        <v>0.38979591836734695</v>
      </c>
      <c r="AJ125" s="21">
        <v>0.35462842242503262</v>
      </c>
      <c r="AK125" s="21">
        <v>0.3448905109489051</v>
      </c>
      <c r="AL125" s="21">
        <v>0.34400341442594962</v>
      </c>
      <c r="AM125" s="21">
        <v>0.34846519671422393</v>
      </c>
      <c r="AN125" s="21">
        <v>0.33498077979132346</v>
      </c>
      <c r="AO125" s="21">
        <v>0.33469387755102042</v>
      </c>
      <c r="AP125" s="21">
        <v>0.34268656716417911</v>
      </c>
      <c r="AQ125" s="21">
        <v>0.30045721750489873</v>
      </c>
      <c r="AR125" s="21">
        <v>0.31060094530722487</v>
      </c>
      <c r="AS125" s="21">
        <v>0.48582995951417002</v>
      </c>
      <c r="AT125" s="21">
        <v>0.47151277013752457</v>
      </c>
      <c r="AU125" s="21">
        <v>0.37122969837587005</v>
      </c>
      <c r="AV125" s="21">
        <v>0.42867182009838367</v>
      </c>
      <c r="AW125" s="21">
        <v>0.45325779036827196</v>
      </c>
      <c r="AX125" s="21">
        <v>0.37433155080213903</v>
      </c>
      <c r="AY125" s="21">
        <v>0.40609137055837563</v>
      </c>
      <c r="AZ125" s="21">
        <v>0.4206896551724138</v>
      </c>
      <c r="BA125" s="21">
        <v>0.41458994109651109</v>
      </c>
      <c r="BB125" s="21">
        <v>0.39823008849557523</v>
      </c>
      <c r="BC125" s="21">
        <v>0.38979591836734695</v>
      </c>
      <c r="BD125" s="21">
        <v>0.35462842242503262</v>
      </c>
      <c r="BE125" s="21">
        <v>0.3448905109489051</v>
      </c>
      <c r="BF125" s="21">
        <v>0.34400341442594962</v>
      </c>
      <c r="BG125" s="21">
        <v>0.34846519671422393</v>
      </c>
      <c r="BH125" s="21">
        <v>0.33498077979132346</v>
      </c>
      <c r="BI125" s="21">
        <v>0.33469387755102042</v>
      </c>
      <c r="BJ125" s="21">
        <v>0.34268656716417911</v>
      </c>
      <c r="BK125" s="21">
        <v>0.30045721750489873</v>
      </c>
      <c r="BL125" s="21">
        <v>0.31060094530722487</v>
      </c>
      <c r="BM125" s="21">
        <v>4.8579492373806406E-3</v>
      </c>
      <c r="BN125" s="21">
        <v>0.27361111111111114</v>
      </c>
      <c r="BO125" s="21">
        <v>0.26497005988023953</v>
      </c>
      <c r="BP125" s="21">
        <v>0.25824175824175827</v>
      </c>
      <c r="BQ125" s="21">
        <v>0.25197472353870459</v>
      </c>
      <c r="BR125" s="21">
        <v>0.24641148325358853</v>
      </c>
      <c r="BS125" s="21">
        <v>0.24348534201954397</v>
      </c>
      <c r="BT125" s="21">
        <v>0.23973727422003285</v>
      </c>
      <c r="BU125" s="21">
        <v>0.2371900826446281</v>
      </c>
      <c r="BV125" s="21">
        <v>0.23495465787304204</v>
      </c>
      <c r="BW125" s="21">
        <v>0.2335279399499583</v>
      </c>
      <c r="BX125" s="21">
        <v>0.23089840470193115</v>
      </c>
      <c r="BY125" s="21">
        <v>0.22941176470588234</v>
      </c>
      <c r="BZ125" s="21">
        <v>0.22823330515638207</v>
      </c>
      <c r="CA125" s="21">
        <v>0.22673434856175972</v>
      </c>
      <c r="CB125" s="21">
        <v>0.22553191489361701</v>
      </c>
      <c r="CC125" s="21">
        <v>0.22517123287671234</v>
      </c>
      <c r="CD125" s="21">
        <v>0.22384219554030874</v>
      </c>
      <c r="CE125" s="21">
        <v>0.22241379310344828</v>
      </c>
      <c r="CF125" s="21">
        <v>0.2220294882914137</v>
      </c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</row>
    <row r="126" spans="1:98" x14ac:dyDescent="0.2">
      <c r="A126" s="17" t="s">
        <v>316</v>
      </c>
      <c r="D126" s="17"/>
      <c r="E126" s="21">
        <v>0.40485829959514169</v>
      </c>
      <c r="F126" s="21">
        <v>0.39292730844793711</v>
      </c>
      <c r="G126" s="21">
        <v>0.52204176334106733</v>
      </c>
      <c r="H126" s="21">
        <v>0.47434996486296555</v>
      </c>
      <c r="I126" s="21">
        <v>0.38243626062322944</v>
      </c>
      <c r="J126" s="21">
        <v>0.47058823529411764</v>
      </c>
      <c r="K126" s="21">
        <v>0.4467005076142132</v>
      </c>
      <c r="L126" s="21">
        <v>0.40459770114942528</v>
      </c>
      <c r="M126" s="21">
        <v>0.39873130946986862</v>
      </c>
      <c r="N126" s="21">
        <v>0.40987424312994875</v>
      </c>
      <c r="O126" s="21">
        <v>0.39591836734693875</v>
      </c>
      <c r="P126" s="21">
        <v>0.42155584528465884</v>
      </c>
      <c r="Q126" s="21">
        <v>0.44251824817518248</v>
      </c>
      <c r="R126" s="21">
        <v>0.4139991463935126</v>
      </c>
      <c r="S126" s="21">
        <v>0.41936878512754</v>
      </c>
      <c r="T126" s="21">
        <v>0.37836353651839649</v>
      </c>
      <c r="U126" s="21">
        <v>0.40174927113702624</v>
      </c>
      <c r="V126" s="21">
        <v>0.41134328358208955</v>
      </c>
      <c r="W126" s="21">
        <v>0.45003265839320705</v>
      </c>
      <c r="X126" s="21">
        <v>0.46522619851451724</v>
      </c>
      <c r="Y126" s="21">
        <v>0.40485829959514169</v>
      </c>
      <c r="Z126" s="21">
        <v>0.39292730844793711</v>
      </c>
      <c r="AA126" s="21">
        <v>0.52204176334106733</v>
      </c>
      <c r="AB126" s="21">
        <v>0.47434996486296555</v>
      </c>
      <c r="AC126" s="21">
        <v>0.38243626062322944</v>
      </c>
      <c r="AD126" s="21">
        <v>0.47058823529411764</v>
      </c>
      <c r="AE126" s="21">
        <v>0.4467005076142132</v>
      </c>
      <c r="AF126" s="21">
        <v>0.40459770114942528</v>
      </c>
      <c r="AG126" s="21">
        <v>0.39873130946986862</v>
      </c>
      <c r="AH126" s="21">
        <v>0.40987424312994875</v>
      </c>
      <c r="AI126" s="21">
        <v>0.39591836734693875</v>
      </c>
      <c r="AJ126" s="21">
        <v>0.42155584528465884</v>
      </c>
      <c r="AK126" s="21">
        <v>0.44251824817518248</v>
      </c>
      <c r="AL126" s="21">
        <v>0.4139991463935126</v>
      </c>
      <c r="AM126" s="21">
        <v>0.41936878512754</v>
      </c>
      <c r="AN126" s="21">
        <v>0.37836353651839649</v>
      </c>
      <c r="AO126" s="21">
        <v>0.40174927113702624</v>
      </c>
      <c r="AP126" s="21">
        <v>0.41134328358208955</v>
      </c>
      <c r="AQ126" s="21">
        <v>0.45003265839320705</v>
      </c>
      <c r="AR126" s="21">
        <v>0.46522619851451724</v>
      </c>
      <c r="AS126" s="21">
        <v>0.40485829959514169</v>
      </c>
      <c r="AT126" s="21">
        <v>0.39292730844793711</v>
      </c>
      <c r="AU126" s="21">
        <v>0.52204176334106733</v>
      </c>
      <c r="AV126" s="21">
        <v>0.47434996486296555</v>
      </c>
      <c r="AW126" s="21">
        <v>0.38243626062322944</v>
      </c>
      <c r="AX126" s="21">
        <v>0.47058823529411764</v>
      </c>
      <c r="AY126" s="21">
        <v>0.4467005076142132</v>
      </c>
      <c r="AZ126" s="21">
        <v>0.40459770114942528</v>
      </c>
      <c r="BA126" s="21">
        <v>0.39873130946986862</v>
      </c>
      <c r="BB126" s="21">
        <v>0.40987424312994875</v>
      </c>
      <c r="BC126" s="21">
        <v>0.39591836734693875</v>
      </c>
      <c r="BD126" s="21">
        <v>0.42155584528465884</v>
      </c>
      <c r="BE126" s="21">
        <v>0.44251824817518248</v>
      </c>
      <c r="BF126" s="21">
        <v>0.4139991463935126</v>
      </c>
      <c r="BG126" s="21">
        <v>0.41936878512754</v>
      </c>
      <c r="BH126" s="21">
        <v>0.37836353651839649</v>
      </c>
      <c r="BI126" s="21">
        <v>0.40174927113702624</v>
      </c>
      <c r="BJ126" s="21">
        <v>0.41134328358208955</v>
      </c>
      <c r="BK126" s="21">
        <v>0.45003265839320705</v>
      </c>
      <c r="BL126" s="21">
        <v>0.46522619851451724</v>
      </c>
      <c r="BM126" s="21">
        <v>4.8579492373806406E-3</v>
      </c>
      <c r="BN126" s="21">
        <v>0.27708333333333335</v>
      </c>
      <c r="BO126" s="21">
        <v>0.27470059880239522</v>
      </c>
      <c r="BP126" s="21">
        <v>0.27315541601255888</v>
      </c>
      <c r="BQ126" s="21">
        <v>0.27172195892575041</v>
      </c>
      <c r="BR126" s="21">
        <v>0.27033492822966509</v>
      </c>
      <c r="BS126" s="21">
        <v>0.26954397394136809</v>
      </c>
      <c r="BT126" s="21">
        <v>0.26847290640394089</v>
      </c>
      <c r="BU126" s="21">
        <v>0.26776859504132233</v>
      </c>
      <c r="BV126" s="21">
        <v>0.2671063478977741</v>
      </c>
      <c r="BW126" s="21">
        <v>0.26688907422852376</v>
      </c>
      <c r="BX126" s="21">
        <v>0.26616288832913521</v>
      </c>
      <c r="BY126" s="21">
        <v>0.26554621848739496</v>
      </c>
      <c r="BZ126" s="21">
        <v>0.26542688081149618</v>
      </c>
      <c r="CA126" s="21">
        <v>0.26480541455160744</v>
      </c>
      <c r="CB126" s="21">
        <v>0.26468085106382977</v>
      </c>
      <c r="CC126" s="21">
        <v>0.26455479452054792</v>
      </c>
      <c r="CD126" s="21">
        <v>0.26415094339622641</v>
      </c>
      <c r="CE126" s="21">
        <v>0.26379310344827589</v>
      </c>
      <c r="CF126" s="21">
        <v>0.26366001734605377</v>
      </c>
      <c r="CG126"/>
      <c r="CT126" s="16"/>
    </row>
    <row r="127" spans="1:98" x14ac:dyDescent="0.2">
      <c r="A127" s="17" t="s">
        <v>322</v>
      </c>
      <c r="D127" s="17"/>
      <c r="E127" s="21">
        <v>1.2145748987854251E-2</v>
      </c>
      <c r="F127" s="21">
        <v>4.1257367387033402E-2</v>
      </c>
      <c r="G127" s="21">
        <v>3.248259860788863E-2</v>
      </c>
      <c r="H127" s="21">
        <v>2.9515108924806747E-2</v>
      </c>
      <c r="I127" s="21">
        <v>6.4589235127478759E-2</v>
      </c>
      <c r="J127" s="21">
        <v>6.0962566844919783E-2</v>
      </c>
      <c r="K127" s="21">
        <v>5.7868020304568529E-2</v>
      </c>
      <c r="L127" s="21">
        <v>9.3793103448275864E-2</v>
      </c>
      <c r="M127" s="21">
        <v>9.3339374716810156E-2</v>
      </c>
      <c r="N127" s="21">
        <v>9.5947834187238012E-2</v>
      </c>
      <c r="O127" s="21">
        <v>0.13020408163265307</v>
      </c>
      <c r="P127" s="21">
        <v>0.13428943937418514</v>
      </c>
      <c r="Q127" s="21">
        <v>0.13412408759124086</v>
      </c>
      <c r="R127" s="21">
        <v>0.16858728126333761</v>
      </c>
      <c r="S127" s="21">
        <v>0.15780371811500216</v>
      </c>
      <c r="T127" s="21">
        <v>0.19220208676551345</v>
      </c>
      <c r="U127" s="21">
        <v>0.2099125364431487</v>
      </c>
      <c r="V127" s="21">
        <v>0.19104477611940299</v>
      </c>
      <c r="W127" s="21">
        <v>0.18941868060091444</v>
      </c>
      <c r="X127" s="21">
        <v>0.16205266711681296</v>
      </c>
      <c r="Y127" s="21">
        <v>1.2145748987854251E-2</v>
      </c>
      <c r="Z127" s="21">
        <v>4.1257367387033402E-2</v>
      </c>
      <c r="AA127" s="21">
        <v>3.248259860788863E-2</v>
      </c>
      <c r="AB127" s="21">
        <v>2.9515108924806747E-2</v>
      </c>
      <c r="AC127" s="21">
        <v>6.4589235127478759E-2</v>
      </c>
      <c r="AD127" s="21">
        <v>6.0962566844919783E-2</v>
      </c>
      <c r="AE127" s="21">
        <v>5.7868020304568529E-2</v>
      </c>
      <c r="AF127" s="21">
        <v>9.3793103448275864E-2</v>
      </c>
      <c r="AG127" s="21">
        <v>9.3339374716810156E-2</v>
      </c>
      <c r="AH127" s="21">
        <v>9.5947834187238012E-2</v>
      </c>
      <c r="AI127" s="21">
        <v>0.13020408163265307</v>
      </c>
      <c r="AJ127" s="21">
        <v>0.13428943937418514</v>
      </c>
      <c r="AK127" s="21">
        <v>0.13412408759124086</v>
      </c>
      <c r="AL127" s="21">
        <v>0.16858728126333761</v>
      </c>
      <c r="AM127" s="21">
        <v>0.15780371811500216</v>
      </c>
      <c r="AN127" s="21">
        <v>0.19220208676551345</v>
      </c>
      <c r="AO127" s="21">
        <v>0.2099125364431487</v>
      </c>
      <c r="AP127" s="21">
        <v>0.19104477611940299</v>
      </c>
      <c r="AQ127" s="21">
        <v>0.18941868060091444</v>
      </c>
      <c r="AR127" s="21">
        <v>0.16205266711681296</v>
      </c>
      <c r="AS127" s="21">
        <v>1.2145748987854251E-2</v>
      </c>
      <c r="AT127" s="21">
        <v>4.1257367387033402E-2</v>
      </c>
      <c r="AU127" s="21">
        <v>3.248259860788863E-2</v>
      </c>
      <c r="AV127" s="21">
        <v>2.9515108924806747E-2</v>
      </c>
      <c r="AW127" s="21">
        <v>6.4589235127478759E-2</v>
      </c>
      <c r="AX127" s="21">
        <v>6.0962566844919783E-2</v>
      </c>
      <c r="AY127" s="21">
        <v>5.7868020304568529E-2</v>
      </c>
      <c r="AZ127" s="21">
        <v>9.3793103448275864E-2</v>
      </c>
      <c r="BA127" s="21">
        <v>9.3339374716810156E-2</v>
      </c>
      <c r="BB127" s="21">
        <v>9.5947834187238012E-2</v>
      </c>
      <c r="BC127" s="21">
        <v>0.13020408163265307</v>
      </c>
      <c r="BD127" s="21">
        <v>0.13428943937418514</v>
      </c>
      <c r="BE127" s="21">
        <v>0.13412408759124086</v>
      </c>
      <c r="BF127" s="21">
        <v>0.16858728126333761</v>
      </c>
      <c r="BG127" s="21">
        <v>0.15780371811500216</v>
      </c>
      <c r="BH127" s="21">
        <v>0.19220208676551345</v>
      </c>
      <c r="BI127" s="21">
        <v>0.2099125364431487</v>
      </c>
      <c r="BJ127" s="21">
        <v>0.19104477611940299</v>
      </c>
      <c r="BK127" s="21">
        <v>0.18941868060091444</v>
      </c>
      <c r="BL127" s="21">
        <v>0.16205266711681296</v>
      </c>
      <c r="BM127" s="21">
        <v>2.0454523104760595E-3</v>
      </c>
      <c r="BN127" s="21">
        <v>0.11874999999999999</v>
      </c>
      <c r="BO127" s="21">
        <v>0.12724550898203593</v>
      </c>
      <c r="BP127" s="21">
        <v>0.13500784929356358</v>
      </c>
      <c r="BQ127" s="21">
        <v>0.14454976303317535</v>
      </c>
      <c r="BR127" s="21">
        <v>0.15311004784688995</v>
      </c>
      <c r="BS127" s="21">
        <v>0.15879478827361562</v>
      </c>
      <c r="BT127" s="21">
        <v>0.16502463054187191</v>
      </c>
      <c r="BU127" s="21">
        <v>0.17024793388429751</v>
      </c>
      <c r="BV127" s="21">
        <v>0.17477328936521022</v>
      </c>
      <c r="BW127" s="21">
        <v>0.17681401167639699</v>
      </c>
      <c r="BX127" s="21">
        <v>0.18219983207388749</v>
      </c>
      <c r="BY127" s="21">
        <v>0.18571428571428572</v>
      </c>
      <c r="BZ127" s="21">
        <v>0.18765849535080303</v>
      </c>
      <c r="CA127" s="21">
        <v>0.19120135363790186</v>
      </c>
      <c r="CB127" s="21">
        <v>0.19319148936170213</v>
      </c>
      <c r="CC127" s="21">
        <v>0.1934931506849315</v>
      </c>
      <c r="CD127" s="21">
        <v>0.19725557461406518</v>
      </c>
      <c r="CE127" s="21">
        <v>0.19913793103448277</v>
      </c>
      <c r="CF127" s="21">
        <v>0.19947961838681699</v>
      </c>
    </row>
    <row r="128" spans="1:98" x14ac:dyDescent="0.2">
      <c r="A128" s="17" t="s">
        <v>317</v>
      </c>
      <c r="D128" s="17"/>
      <c r="E128" s="21">
        <v>9.7165991902834009E-2</v>
      </c>
      <c r="F128" s="21">
        <v>9.4302554027504912E-2</v>
      </c>
      <c r="G128" s="21">
        <v>7.4245939675174011E-2</v>
      </c>
      <c r="H128" s="21">
        <v>6.7463106113843985E-2</v>
      </c>
      <c r="I128" s="21">
        <v>9.9716713881019825E-2</v>
      </c>
      <c r="J128" s="21">
        <v>9.4117647058823528E-2</v>
      </c>
      <c r="K128" s="21">
        <v>8.9340101522842635E-2</v>
      </c>
      <c r="L128" s="21">
        <v>8.0919540229885054E-2</v>
      </c>
      <c r="M128" s="21">
        <v>9.3339374716810156E-2</v>
      </c>
      <c r="N128" s="21">
        <v>9.5947834187238012E-2</v>
      </c>
      <c r="O128" s="21">
        <v>8.408163265306122E-2</v>
      </c>
      <c r="P128" s="21">
        <v>8.9526292916123421E-2</v>
      </c>
      <c r="Q128" s="21">
        <v>7.8467153284671534E-2</v>
      </c>
      <c r="R128" s="21">
        <v>7.3410157917200167E-2</v>
      </c>
      <c r="S128" s="21">
        <v>7.4362300043233895E-2</v>
      </c>
      <c r="T128" s="21">
        <v>9.4453596924766611E-2</v>
      </c>
      <c r="U128" s="21">
        <v>5.3644314868804666E-2</v>
      </c>
      <c r="V128" s="21">
        <v>5.492537313432836E-2</v>
      </c>
      <c r="W128" s="21">
        <v>6.0091443500979752E-2</v>
      </c>
      <c r="X128" s="21">
        <v>6.2120189061444966E-2</v>
      </c>
      <c r="Y128" s="21">
        <v>9.7165991902834009E-2</v>
      </c>
      <c r="Z128" s="21">
        <v>9.4302554027504912E-2</v>
      </c>
      <c r="AA128" s="21">
        <v>7.4245939675174011E-2</v>
      </c>
      <c r="AB128" s="21">
        <v>6.7463106113843985E-2</v>
      </c>
      <c r="AC128" s="21">
        <v>9.9716713881019825E-2</v>
      </c>
      <c r="AD128" s="21">
        <v>9.4117647058823528E-2</v>
      </c>
      <c r="AE128" s="21">
        <v>8.9340101522842635E-2</v>
      </c>
      <c r="AF128" s="21">
        <v>8.0919540229885054E-2</v>
      </c>
      <c r="AG128" s="21">
        <v>9.3339374716810156E-2</v>
      </c>
      <c r="AH128" s="21">
        <v>9.5947834187238012E-2</v>
      </c>
      <c r="AI128" s="21">
        <v>8.408163265306122E-2</v>
      </c>
      <c r="AJ128" s="21">
        <v>8.9526292916123421E-2</v>
      </c>
      <c r="AK128" s="21">
        <v>7.8467153284671534E-2</v>
      </c>
      <c r="AL128" s="21">
        <v>7.3410157917200167E-2</v>
      </c>
      <c r="AM128" s="21">
        <v>7.4362300043233895E-2</v>
      </c>
      <c r="AN128" s="21">
        <v>9.4453596924766611E-2</v>
      </c>
      <c r="AO128" s="21">
        <v>5.3644314868804666E-2</v>
      </c>
      <c r="AP128" s="21">
        <v>5.492537313432836E-2</v>
      </c>
      <c r="AQ128" s="21">
        <v>6.0091443500979752E-2</v>
      </c>
      <c r="AR128" s="21">
        <v>6.2120189061444966E-2</v>
      </c>
      <c r="AS128" s="21">
        <v>9.7165991902834009E-2</v>
      </c>
      <c r="AT128" s="21">
        <v>9.4302554027504912E-2</v>
      </c>
      <c r="AU128" s="21">
        <v>7.4245939675174011E-2</v>
      </c>
      <c r="AV128" s="21">
        <v>6.7463106113843985E-2</v>
      </c>
      <c r="AW128" s="21">
        <v>9.9716713881019825E-2</v>
      </c>
      <c r="AX128" s="21">
        <v>9.4117647058823528E-2</v>
      </c>
      <c r="AY128" s="21">
        <v>8.9340101522842635E-2</v>
      </c>
      <c r="AZ128" s="21">
        <v>8.0919540229885054E-2</v>
      </c>
      <c r="BA128" s="21">
        <v>9.3339374716810156E-2</v>
      </c>
      <c r="BB128" s="21">
        <v>9.5947834187238012E-2</v>
      </c>
      <c r="BC128" s="21">
        <v>8.408163265306122E-2</v>
      </c>
      <c r="BD128" s="21">
        <v>8.9526292916123421E-2</v>
      </c>
      <c r="BE128" s="21">
        <v>7.8467153284671534E-2</v>
      </c>
      <c r="BF128" s="21">
        <v>7.3410157917200167E-2</v>
      </c>
      <c r="BG128" s="21">
        <v>7.4362300043233895E-2</v>
      </c>
      <c r="BH128" s="21">
        <v>9.4453596924766611E-2</v>
      </c>
      <c r="BI128" s="21">
        <v>5.3644314868804666E-2</v>
      </c>
      <c r="BJ128" s="21">
        <v>5.492537313432836E-2</v>
      </c>
      <c r="BK128" s="21">
        <v>6.0091443500979752E-2</v>
      </c>
      <c r="BL128" s="21">
        <v>6.2120189061444966E-2</v>
      </c>
      <c r="BM128" s="21">
        <v>4.8579492373806406E-3</v>
      </c>
      <c r="BN128" s="21">
        <v>0.27708333333333335</v>
      </c>
      <c r="BO128" s="21">
        <v>0.27395209580838326</v>
      </c>
      <c r="BP128" s="21">
        <v>0.27080062794348508</v>
      </c>
      <c r="BQ128" s="21">
        <v>0.26619273301737756</v>
      </c>
      <c r="BR128" s="21">
        <v>0.26236044657097291</v>
      </c>
      <c r="BS128" s="21">
        <v>0.25977198697068404</v>
      </c>
      <c r="BT128" s="21">
        <v>0.25697865353037769</v>
      </c>
      <c r="BU128" s="21">
        <v>0.25454545454545452</v>
      </c>
      <c r="BV128" s="21">
        <v>0.25226710634789778</v>
      </c>
      <c r="BW128" s="21">
        <v>0.2510425354462052</v>
      </c>
      <c r="BX128" s="21">
        <v>0.24853064651553317</v>
      </c>
      <c r="BY128" s="21">
        <v>0.24705882352941178</v>
      </c>
      <c r="BZ128" s="21">
        <v>0.24598478444632291</v>
      </c>
      <c r="CA128" s="21">
        <v>0.24450084602368866</v>
      </c>
      <c r="CB128" s="21">
        <v>0.24340425531914894</v>
      </c>
      <c r="CC128" s="21">
        <v>0.24315068493150685</v>
      </c>
      <c r="CD128" s="21">
        <v>0.24099485420240138</v>
      </c>
      <c r="CE128" s="21">
        <v>0.24051724137931035</v>
      </c>
      <c r="CF128" s="21">
        <v>0.24024284475281873</v>
      </c>
    </row>
    <row r="129" spans="1:98" x14ac:dyDescent="0.2">
      <c r="AR129" s="16"/>
    </row>
    <row r="132" spans="1:98" x14ac:dyDescent="0.2">
      <c r="A132" s="17" t="s">
        <v>436</v>
      </c>
      <c r="D132" s="17"/>
      <c r="E132" s="16" cm="1">
        <f t="array" ref="E132:CF132">_xlfn.BYCOL(_xlfn._xlws.FILTER(tb_shop_device[[地宫-01]:[大湖-20]],tb_shop_device[rank]=VALUE(MID(A132,3,1))),_xleta.SUM)</f>
        <v>867</v>
      </c>
      <c r="F132" s="16">
        <v>885</v>
      </c>
      <c r="G132" s="16">
        <v>860</v>
      </c>
      <c r="H132" s="16">
        <v>890</v>
      </c>
      <c r="I132" s="16">
        <v>920</v>
      </c>
      <c r="J132" s="16">
        <v>875</v>
      </c>
      <c r="K132" s="16">
        <v>875</v>
      </c>
      <c r="L132" s="16">
        <v>890</v>
      </c>
      <c r="M132" s="16">
        <v>850</v>
      </c>
      <c r="N132" s="16">
        <v>850</v>
      </c>
      <c r="O132" s="16">
        <v>923</v>
      </c>
      <c r="P132" s="16">
        <v>784</v>
      </c>
      <c r="Q132" s="16">
        <v>745</v>
      </c>
      <c r="R132" s="16">
        <v>775</v>
      </c>
      <c r="S132" s="16">
        <v>765</v>
      </c>
      <c r="T132" s="16">
        <v>599</v>
      </c>
      <c r="U132" s="16">
        <v>549</v>
      </c>
      <c r="V132" s="16">
        <v>539</v>
      </c>
      <c r="W132" s="16">
        <v>539</v>
      </c>
      <c r="X132" s="16">
        <v>539</v>
      </c>
      <c r="Y132" s="16">
        <v>867</v>
      </c>
      <c r="Z132" s="16">
        <v>885</v>
      </c>
      <c r="AA132" s="16">
        <v>860</v>
      </c>
      <c r="AB132" s="16">
        <v>890</v>
      </c>
      <c r="AC132" s="16">
        <v>920</v>
      </c>
      <c r="AD132" s="16">
        <v>875</v>
      </c>
      <c r="AE132" s="16">
        <v>875</v>
      </c>
      <c r="AF132" s="16">
        <v>890</v>
      </c>
      <c r="AG132" s="16">
        <v>850</v>
      </c>
      <c r="AH132" s="16">
        <v>850</v>
      </c>
      <c r="AI132" s="16">
        <v>923</v>
      </c>
      <c r="AJ132" s="16">
        <v>784</v>
      </c>
      <c r="AK132" s="16">
        <v>745</v>
      </c>
      <c r="AL132" s="16">
        <v>775</v>
      </c>
      <c r="AM132" s="16">
        <v>765</v>
      </c>
      <c r="AN132" s="16">
        <v>599</v>
      </c>
      <c r="AO132" s="16">
        <v>549</v>
      </c>
      <c r="AP132" s="16">
        <v>539</v>
      </c>
      <c r="AQ132" s="16">
        <v>539</v>
      </c>
      <c r="AR132" s="16">
        <v>539</v>
      </c>
      <c r="AS132" s="16">
        <v>867</v>
      </c>
      <c r="AT132" s="16">
        <v>885</v>
      </c>
      <c r="AU132" s="16">
        <v>860</v>
      </c>
      <c r="AV132" s="16">
        <v>890</v>
      </c>
      <c r="AW132" s="16">
        <v>920</v>
      </c>
      <c r="AX132" s="16">
        <v>875</v>
      </c>
      <c r="AY132" s="16">
        <v>875</v>
      </c>
      <c r="AZ132" s="16">
        <v>890</v>
      </c>
      <c r="BA132" s="16">
        <v>850</v>
      </c>
      <c r="BB132" s="16">
        <v>850</v>
      </c>
      <c r="BC132" s="16">
        <v>923</v>
      </c>
      <c r="BD132" s="16">
        <v>784</v>
      </c>
      <c r="BE132" s="16">
        <v>745</v>
      </c>
      <c r="BF132" s="16">
        <v>775</v>
      </c>
      <c r="BG132" s="16">
        <v>765</v>
      </c>
      <c r="BH132" s="16">
        <v>599</v>
      </c>
      <c r="BI132" s="16">
        <v>549</v>
      </c>
      <c r="BJ132" s="16">
        <v>539</v>
      </c>
      <c r="BK132" s="16">
        <v>539</v>
      </c>
      <c r="BL132" s="16">
        <v>539</v>
      </c>
      <c r="BM132" s="16">
        <v>910</v>
      </c>
      <c r="BN132" s="16">
        <v>588</v>
      </c>
      <c r="BO132" s="16">
        <v>455</v>
      </c>
      <c r="BP132" s="16">
        <v>378</v>
      </c>
      <c r="BQ132" s="16">
        <v>329</v>
      </c>
      <c r="BR132" s="16">
        <v>287</v>
      </c>
      <c r="BS132" s="16">
        <v>266</v>
      </c>
      <c r="BT132" s="16">
        <v>238</v>
      </c>
      <c r="BU132" s="16">
        <v>224</v>
      </c>
      <c r="BV132" s="16">
        <v>210</v>
      </c>
      <c r="BW132" s="16">
        <v>196</v>
      </c>
      <c r="BX132" s="16">
        <v>182</v>
      </c>
      <c r="BY132" s="16">
        <v>175</v>
      </c>
      <c r="BZ132" s="16">
        <v>168</v>
      </c>
      <c r="CA132" s="16">
        <v>161</v>
      </c>
      <c r="CB132" s="16">
        <v>154</v>
      </c>
      <c r="CC132" s="16">
        <v>147</v>
      </c>
      <c r="CD132" s="16">
        <v>140</v>
      </c>
      <c r="CE132" s="16">
        <v>133</v>
      </c>
      <c r="CF132" s="16">
        <v>126</v>
      </c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</row>
    <row r="133" spans="1:98" x14ac:dyDescent="0.2">
      <c r="A133" s="17" t="s">
        <v>405</v>
      </c>
      <c r="D133" s="17"/>
      <c r="E133" s="16" cm="1">
        <f t="array" ref="E133:CF133">_xlfn.BYCOL(_xlfn._xlws.FILTER(tb_shop_device[[地宫-01]:[大湖-20]],tb_shop_device[rank]=VALUE(MID(A133,3,1))),_xleta.SUM)</f>
        <v>121</v>
      </c>
      <c r="F133" s="16">
        <v>133</v>
      </c>
      <c r="G133" s="16">
        <v>358</v>
      </c>
      <c r="H133" s="16">
        <v>438</v>
      </c>
      <c r="I133" s="16">
        <v>710</v>
      </c>
      <c r="J133" s="16">
        <v>560</v>
      </c>
      <c r="K133" s="16">
        <v>560</v>
      </c>
      <c r="L133" s="16">
        <v>590</v>
      </c>
      <c r="M133" s="16">
        <v>590</v>
      </c>
      <c r="N133" s="16">
        <v>440</v>
      </c>
      <c r="O133" s="16">
        <v>350</v>
      </c>
      <c r="P133" s="16">
        <v>340</v>
      </c>
      <c r="Q133" s="16">
        <v>298</v>
      </c>
      <c r="R133" s="16">
        <v>273</v>
      </c>
      <c r="S133" s="16">
        <v>273</v>
      </c>
      <c r="T133" s="16">
        <v>132</v>
      </c>
      <c r="U133" s="16">
        <v>108</v>
      </c>
      <c r="V133" s="16">
        <v>98</v>
      </c>
      <c r="W133" s="16">
        <v>98</v>
      </c>
      <c r="X133" s="16">
        <v>98</v>
      </c>
      <c r="Y133" s="16">
        <v>121</v>
      </c>
      <c r="Z133" s="16">
        <v>133</v>
      </c>
      <c r="AA133" s="16">
        <v>358</v>
      </c>
      <c r="AB133" s="16">
        <v>438</v>
      </c>
      <c r="AC133" s="16">
        <v>710</v>
      </c>
      <c r="AD133" s="16">
        <v>560</v>
      </c>
      <c r="AE133" s="16">
        <v>560</v>
      </c>
      <c r="AF133" s="16">
        <v>590</v>
      </c>
      <c r="AG133" s="16">
        <v>590</v>
      </c>
      <c r="AH133" s="16">
        <v>440</v>
      </c>
      <c r="AI133" s="16">
        <v>350</v>
      </c>
      <c r="AJ133" s="16">
        <v>340</v>
      </c>
      <c r="AK133" s="16">
        <v>298</v>
      </c>
      <c r="AL133" s="16">
        <v>273</v>
      </c>
      <c r="AM133" s="16">
        <v>273</v>
      </c>
      <c r="AN133" s="16">
        <v>132</v>
      </c>
      <c r="AO133" s="16">
        <v>108</v>
      </c>
      <c r="AP133" s="16">
        <v>98</v>
      </c>
      <c r="AQ133" s="16">
        <v>98</v>
      </c>
      <c r="AR133" s="16">
        <v>98</v>
      </c>
      <c r="AS133" s="16">
        <v>121</v>
      </c>
      <c r="AT133" s="16">
        <v>133</v>
      </c>
      <c r="AU133" s="16">
        <v>358</v>
      </c>
      <c r="AV133" s="16">
        <v>438</v>
      </c>
      <c r="AW133" s="16">
        <v>710</v>
      </c>
      <c r="AX133" s="16">
        <v>560</v>
      </c>
      <c r="AY133" s="16">
        <v>560</v>
      </c>
      <c r="AZ133" s="16">
        <v>590</v>
      </c>
      <c r="BA133" s="16">
        <v>590</v>
      </c>
      <c r="BB133" s="16">
        <v>440</v>
      </c>
      <c r="BC133" s="16">
        <v>350</v>
      </c>
      <c r="BD133" s="16">
        <v>340</v>
      </c>
      <c r="BE133" s="16">
        <v>298</v>
      </c>
      <c r="BF133" s="16">
        <v>273</v>
      </c>
      <c r="BG133" s="16">
        <v>273</v>
      </c>
      <c r="BH133" s="16">
        <v>132</v>
      </c>
      <c r="BI133" s="16">
        <v>108</v>
      </c>
      <c r="BJ133" s="16">
        <v>98</v>
      </c>
      <c r="BK133" s="16">
        <v>98</v>
      </c>
      <c r="BL133" s="16">
        <v>98</v>
      </c>
      <c r="BM133" s="16">
        <v>100779</v>
      </c>
      <c r="BN133" s="16">
        <v>792</v>
      </c>
      <c r="BO133" s="16">
        <v>726</v>
      </c>
      <c r="BP133" s="16">
        <v>671</v>
      </c>
      <c r="BQ133" s="16">
        <v>638</v>
      </c>
      <c r="BR133" s="16">
        <v>605</v>
      </c>
      <c r="BS133" s="16">
        <v>572</v>
      </c>
      <c r="BT133" s="16">
        <v>550</v>
      </c>
      <c r="BU133" s="16">
        <v>528</v>
      </c>
      <c r="BV133" s="16">
        <v>517</v>
      </c>
      <c r="BW133" s="16">
        <v>506</v>
      </c>
      <c r="BX133" s="16">
        <v>484</v>
      </c>
      <c r="BY133" s="16">
        <v>473</v>
      </c>
      <c r="BZ133" s="16">
        <v>462</v>
      </c>
      <c r="CA133" s="16">
        <v>451</v>
      </c>
      <c r="CB133" s="16">
        <v>440</v>
      </c>
      <c r="CC133" s="16">
        <v>440</v>
      </c>
      <c r="CD133" s="16">
        <v>429</v>
      </c>
      <c r="CE133" s="16">
        <v>418</v>
      </c>
      <c r="CF133" s="16">
        <v>418</v>
      </c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</row>
    <row r="134" spans="1:98" x14ac:dyDescent="0.2">
      <c r="A134" s="17" t="s">
        <v>406</v>
      </c>
      <c r="D134" s="17"/>
      <c r="E134" s="16" cm="1">
        <f t="array" ref="E134:CF134">_xlfn.BYCOL(_xlfn._xlws.FILTER(tb_shop_device[[地宫-01]:[大湖-20]],tb_shop_device[rank]=VALUE(MID(A134,3,1))),_xleta.SUM)</f>
        <v>0</v>
      </c>
      <c r="F134" s="16">
        <v>0</v>
      </c>
      <c r="G134" s="16">
        <v>75</v>
      </c>
      <c r="H134" s="16">
        <v>95</v>
      </c>
      <c r="I134" s="16">
        <v>135</v>
      </c>
      <c r="J134" s="16">
        <v>360</v>
      </c>
      <c r="K134" s="16">
        <v>440</v>
      </c>
      <c r="L134" s="16">
        <v>576</v>
      </c>
      <c r="M134" s="16">
        <v>640</v>
      </c>
      <c r="N134" s="16">
        <v>640</v>
      </c>
      <c r="O134" s="16">
        <v>550</v>
      </c>
      <c r="P134" s="16">
        <v>550</v>
      </c>
      <c r="Q134" s="16">
        <v>450</v>
      </c>
      <c r="R134" s="16">
        <v>450</v>
      </c>
      <c r="S134" s="16">
        <v>430</v>
      </c>
      <c r="T134" s="16">
        <v>340</v>
      </c>
      <c r="U134" s="16">
        <v>248</v>
      </c>
      <c r="V134" s="16">
        <v>248</v>
      </c>
      <c r="W134" s="16">
        <v>154</v>
      </c>
      <c r="X134" s="16">
        <v>154</v>
      </c>
      <c r="Y134" s="16">
        <v>0</v>
      </c>
      <c r="Z134" s="16">
        <v>0</v>
      </c>
      <c r="AA134" s="16">
        <v>75</v>
      </c>
      <c r="AB134" s="16">
        <v>95</v>
      </c>
      <c r="AC134" s="16">
        <v>135</v>
      </c>
      <c r="AD134" s="16">
        <v>360</v>
      </c>
      <c r="AE134" s="16">
        <v>440</v>
      </c>
      <c r="AF134" s="16">
        <v>576</v>
      </c>
      <c r="AG134" s="16">
        <v>640</v>
      </c>
      <c r="AH134" s="16">
        <v>640</v>
      </c>
      <c r="AI134" s="16">
        <v>550</v>
      </c>
      <c r="AJ134" s="16">
        <v>550</v>
      </c>
      <c r="AK134" s="16">
        <v>450</v>
      </c>
      <c r="AL134" s="16">
        <v>450</v>
      </c>
      <c r="AM134" s="16">
        <v>430</v>
      </c>
      <c r="AN134" s="16">
        <v>340</v>
      </c>
      <c r="AO134" s="16">
        <v>248</v>
      </c>
      <c r="AP134" s="16">
        <v>248</v>
      </c>
      <c r="AQ134" s="16">
        <v>154</v>
      </c>
      <c r="AR134" s="16">
        <v>154</v>
      </c>
      <c r="AS134" s="16">
        <v>0</v>
      </c>
      <c r="AT134" s="16">
        <v>0</v>
      </c>
      <c r="AU134" s="16">
        <v>75</v>
      </c>
      <c r="AV134" s="16">
        <v>95</v>
      </c>
      <c r="AW134" s="16">
        <v>135</v>
      </c>
      <c r="AX134" s="16">
        <v>360</v>
      </c>
      <c r="AY134" s="16">
        <v>440</v>
      </c>
      <c r="AZ134" s="16">
        <v>576</v>
      </c>
      <c r="BA134" s="16">
        <v>640</v>
      </c>
      <c r="BB134" s="16">
        <v>640</v>
      </c>
      <c r="BC134" s="16">
        <v>550</v>
      </c>
      <c r="BD134" s="16">
        <v>550</v>
      </c>
      <c r="BE134" s="16">
        <v>450</v>
      </c>
      <c r="BF134" s="16">
        <v>450</v>
      </c>
      <c r="BG134" s="16">
        <v>430</v>
      </c>
      <c r="BH134" s="16">
        <v>340</v>
      </c>
      <c r="BI134" s="16">
        <v>248</v>
      </c>
      <c r="BJ134" s="16">
        <v>248</v>
      </c>
      <c r="BK134" s="16">
        <v>154</v>
      </c>
      <c r="BL134" s="16">
        <v>154</v>
      </c>
      <c r="BM134" s="16">
        <v>0</v>
      </c>
      <c r="BN134" s="16">
        <v>60</v>
      </c>
      <c r="BO134" s="16">
        <v>144</v>
      </c>
      <c r="BP134" s="16">
        <v>192</v>
      </c>
      <c r="BQ134" s="16">
        <v>228</v>
      </c>
      <c r="BR134" s="16">
        <v>264</v>
      </c>
      <c r="BS134" s="16">
        <v>276</v>
      </c>
      <c r="BT134" s="16">
        <v>300</v>
      </c>
      <c r="BU134" s="16">
        <v>312</v>
      </c>
      <c r="BV134" s="16">
        <v>324</v>
      </c>
      <c r="BW134" s="16">
        <v>324</v>
      </c>
      <c r="BX134" s="16">
        <v>336</v>
      </c>
      <c r="BY134" s="16">
        <v>348</v>
      </c>
      <c r="BZ134" s="16">
        <v>348</v>
      </c>
      <c r="CA134" s="16">
        <v>360</v>
      </c>
      <c r="CB134" s="16">
        <v>360</v>
      </c>
      <c r="CC134" s="16">
        <v>360</v>
      </c>
      <c r="CD134" s="16">
        <v>360</v>
      </c>
      <c r="CE134" s="16">
        <v>372</v>
      </c>
      <c r="CF134" s="16">
        <v>372</v>
      </c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</row>
    <row r="135" spans="1:98" x14ac:dyDescent="0.2">
      <c r="A135" s="17" t="s">
        <v>407</v>
      </c>
      <c r="D135" s="17"/>
      <c r="E135" s="16" cm="1">
        <f t="array" ref="E135:CF135">_xlfn.BYCOL(_xlfn._xlws.FILTER(tb_shop_device[[地宫-01]:[大湖-20]],tb_shop_device[rank]=VALUE(MID(A135,3,1))),_xleta.SUM)</f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75</v>
      </c>
      <c r="K135" s="16">
        <v>95</v>
      </c>
      <c r="L135" s="16">
        <v>119</v>
      </c>
      <c r="M135" s="16">
        <v>127</v>
      </c>
      <c r="N135" s="16">
        <v>207</v>
      </c>
      <c r="O135" s="16">
        <v>568</v>
      </c>
      <c r="P135" s="16">
        <v>568</v>
      </c>
      <c r="Q135" s="16">
        <v>600</v>
      </c>
      <c r="R135" s="16">
        <v>660</v>
      </c>
      <c r="S135" s="16">
        <v>660</v>
      </c>
      <c r="T135" s="16">
        <v>470</v>
      </c>
      <c r="U135" s="16">
        <v>470</v>
      </c>
      <c r="V135" s="16">
        <v>450</v>
      </c>
      <c r="W135" s="16">
        <v>450</v>
      </c>
      <c r="X135" s="16">
        <v>400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75</v>
      </c>
      <c r="AE135" s="16">
        <v>95</v>
      </c>
      <c r="AF135" s="16">
        <v>119</v>
      </c>
      <c r="AG135" s="16">
        <v>127</v>
      </c>
      <c r="AH135" s="16">
        <v>207</v>
      </c>
      <c r="AI135" s="16">
        <v>568</v>
      </c>
      <c r="AJ135" s="16">
        <v>568</v>
      </c>
      <c r="AK135" s="16">
        <v>600</v>
      </c>
      <c r="AL135" s="16">
        <v>660</v>
      </c>
      <c r="AM135" s="16">
        <v>660</v>
      </c>
      <c r="AN135" s="16">
        <v>470</v>
      </c>
      <c r="AO135" s="16">
        <v>470</v>
      </c>
      <c r="AP135" s="16">
        <v>450</v>
      </c>
      <c r="AQ135" s="16">
        <v>450</v>
      </c>
      <c r="AR135" s="16">
        <v>400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75</v>
      </c>
      <c r="AY135" s="16">
        <v>95</v>
      </c>
      <c r="AZ135" s="16">
        <v>119</v>
      </c>
      <c r="BA135" s="16">
        <v>127</v>
      </c>
      <c r="BB135" s="16">
        <v>207</v>
      </c>
      <c r="BC135" s="16">
        <v>568</v>
      </c>
      <c r="BD135" s="16">
        <v>568</v>
      </c>
      <c r="BE135" s="16">
        <v>600</v>
      </c>
      <c r="BF135" s="16">
        <v>660</v>
      </c>
      <c r="BG135" s="16">
        <v>660</v>
      </c>
      <c r="BH135" s="16">
        <v>470</v>
      </c>
      <c r="BI135" s="16">
        <v>470</v>
      </c>
      <c r="BJ135" s="16">
        <v>450</v>
      </c>
      <c r="BK135" s="16">
        <v>450</v>
      </c>
      <c r="BL135" s="16">
        <v>400</v>
      </c>
      <c r="BM135" s="16">
        <v>0</v>
      </c>
      <c r="BN135" s="16">
        <v>0</v>
      </c>
      <c r="BO135" s="16">
        <v>11</v>
      </c>
      <c r="BP135" s="16">
        <v>33</v>
      </c>
      <c r="BQ135" s="16">
        <v>66</v>
      </c>
      <c r="BR135" s="16">
        <v>88</v>
      </c>
      <c r="BS135" s="16">
        <v>99</v>
      </c>
      <c r="BT135" s="16">
        <v>110</v>
      </c>
      <c r="BU135" s="16">
        <v>121</v>
      </c>
      <c r="BV135" s="16">
        <v>132</v>
      </c>
      <c r="BW135" s="16">
        <v>143</v>
      </c>
      <c r="BX135" s="16">
        <v>154</v>
      </c>
      <c r="BY135" s="16">
        <v>154</v>
      </c>
      <c r="BZ135" s="16">
        <v>165</v>
      </c>
      <c r="CA135" s="16">
        <v>165</v>
      </c>
      <c r="CB135" s="16">
        <v>176</v>
      </c>
      <c r="CC135" s="16">
        <v>176</v>
      </c>
      <c r="CD135" s="16">
        <v>187</v>
      </c>
      <c r="CE135" s="16">
        <v>187</v>
      </c>
      <c r="CF135" s="16">
        <v>187</v>
      </c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</row>
    <row r="136" spans="1:98" x14ac:dyDescent="0.2">
      <c r="A136" s="17" t="s">
        <v>408</v>
      </c>
      <c r="D136" s="17"/>
      <c r="E136" s="16" cm="1">
        <f t="array" ref="E136:CF136">_xlfn.BYCOL(_xlfn._xlws.FILTER(tb_shop_device[[地宫-01]:[大湖-20]],tb_shop_device[rank]=VALUE(MID(A136,3,1))),_xleta.SUM)</f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10</v>
      </c>
      <c r="O136" s="16">
        <v>59</v>
      </c>
      <c r="P136" s="16">
        <v>59</v>
      </c>
      <c r="Q136" s="16">
        <v>99</v>
      </c>
      <c r="R136" s="16">
        <v>185</v>
      </c>
      <c r="S136" s="16">
        <v>185</v>
      </c>
      <c r="T136" s="16">
        <v>280</v>
      </c>
      <c r="U136" s="16">
        <v>340</v>
      </c>
      <c r="V136" s="16">
        <v>340</v>
      </c>
      <c r="W136" s="16">
        <v>290</v>
      </c>
      <c r="X136" s="16">
        <v>290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10</v>
      </c>
      <c r="AI136" s="16">
        <v>59</v>
      </c>
      <c r="AJ136" s="16">
        <v>59</v>
      </c>
      <c r="AK136" s="16">
        <v>99</v>
      </c>
      <c r="AL136" s="16">
        <v>185</v>
      </c>
      <c r="AM136" s="16">
        <v>185</v>
      </c>
      <c r="AN136" s="16">
        <v>280</v>
      </c>
      <c r="AO136" s="16">
        <v>340</v>
      </c>
      <c r="AP136" s="16">
        <v>340</v>
      </c>
      <c r="AQ136" s="16">
        <v>290</v>
      </c>
      <c r="AR136" s="16">
        <v>290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10</v>
      </c>
      <c r="BC136" s="16">
        <v>59</v>
      </c>
      <c r="BD136" s="16">
        <v>59</v>
      </c>
      <c r="BE136" s="16">
        <v>99</v>
      </c>
      <c r="BF136" s="16">
        <v>185</v>
      </c>
      <c r="BG136" s="16">
        <v>185</v>
      </c>
      <c r="BH136" s="16">
        <v>280</v>
      </c>
      <c r="BI136" s="16">
        <v>340</v>
      </c>
      <c r="BJ136" s="16">
        <v>340</v>
      </c>
      <c r="BK136" s="16">
        <v>290</v>
      </c>
      <c r="BL136" s="16">
        <v>290</v>
      </c>
      <c r="BM136" s="16">
        <v>0</v>
      </c>
      <c r="BN136" s="16">
        <v>0</v>
      </c>
      <c r="BO136" s="16">
        <v>0</v>
      </c>
      <c r="BP136" s="16">
        <v>0</v>
      </c>
      <c r="BQ136" s="16">
        <v>5</v>
      </c>
      <c r="BR136" s="16">
        <v>10</v>
      </c>
      <c r="BS136" s="16">
        <v>15</v>
      </c>
      <c r="BT136" s="16">
        <v>20</v>
      </c>
      <c r="BU136" s="16">
        <v>25</v>
      </c>
      <c r="BV136" s="16">
        <v>30</v>
      </c>
      <c r="BW136" s="16">
        <v>30</v>
      </c>
      <c r="BX136" s="16">
        <v>35</v>
      </c>
      <c r="BY136" s="16">
        <v>40</v>
      </c>
      <c r="BZ136" s="16">
        <v>40</v>
      </c>
      <c r="CA136" s="16">
        <v>45</v>
      </c>
      <c r="CB136" s="16">
        <v>45</v>
      </c>
      <c r="CC136" s="16">
        <v>45</v>
      </c>
      <c r="CD136" s="16">
        <v>50</v>
      </c>
      <c r="CE136" s="16">
        <v>50</v>
      </c>
      <c r="CF136" s="16">
        <v>50</v>
      </c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</row>
    <row r="137" spans="1:98" x14ac:dyDescent="0.2"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</row>
    <row r="138" spans="1:98" x14ac:dyDescent="0.2"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</row>
    <row r="139" spans="1:98" x14ac:dyDescent="0.2">
      <c r="A139" s="17" t="s">
        <v>437</v>
      </c>
      <c r="D139" s="17"/>
      <c r="E139" s="21" cm="1">
        <f t="array" ref="E139:CF143">_xlfn.LET(_xlpm._all,_xlfn.ANCHORARRAY(E132):_xlfn.ANCHORARRAY(E136),
_xlpm._all/_xlfn.BYCOL(_xlpm._all,_xleta.SUM))</f>
        <v>0.87753036437246967</v>
      </c>
      <c r="F139" s="21">
        <v>0.86935166994106094</v>
      </c>
      <c r="G139" s="21">
        <v>0.66511987625676716</v>
      </c>
      <c r="H139" s="21">
        <v>0.6254392129304287</v>
      </c>
      <c r="I139" s="21">
        <v>0.52124645892351273</v>
      </c>
      <c r="J139" s="21">
        <v>0.46791443850267378</v>
      </c>
      <c r="K139" s="21">
        <v>0.44416243654822335</v>
      </c>
      <c r="L139" s="21">
        <v>0.4091954022988506</v>
      </c>
      <c r="M139" s="21">
        <v>0.38513819664703219</v>
      </c>
      <c r="N139" s="21">
        <v>0.39590125756870054</v>
      </c>
      <c r="O139" s="21">
        <v>0.37673469387755104</v>
      </c>
      <c r="P139" s="21">
        <v>0.3407214254671882</v>
      </c>
      <c r="Q139" s="21">
        <v>0.33987226277372262</v>
      </c>
      <c r="R139" s="21">
        <v>0.3307725138711054</v>
      </c>
      <c r="S139" s="21">
        <v>0.33073929961089493</v>
      </c>
      <c r="T139" s="21">
        <v>0.32894014277869305</v>
      </c>
      <c r="U139" s="21">
        <v>0.32011661807580177</v>
      </c>
      <c r="V139" s="21">
        <v>0.32179104477611942</v>
      </c>
      <c r="W139" s="21">
        <v>0.35205747877204441</v>
      </c>
      <c r="X139" s="21">
        <v>0.36394328156650912</v>
      </c>
      <c r="Y139" s="21">
        <v>0.87753036437246967</v>
      </c>
      <c r="Z139" s="21">
        <v>0.86935166994106094</v>
      </c>
      <c r="AA139" s="21">
        <v>0.66511987625676716</v>
      </c>
      <c r="AB139" s="21">
        <v>0.6254392129304287</v>
      </c>
      <c r="AC139" s="21">
        <v>0.52124645892351273</v>
      </c>
      <c r="AD139" s="21">
        <v>0.46791443850267378</v>
      </c>
      <c r="AE139" s="21">
        <v>0.44416243654822335</v>
      </c>
      <c r="AF139" s="21">
        <v>0.4091954022988506</v>
      </c>
      <c r="AG139" s="21">
        <v>0.38513819664703219</v>
      </c>
      <c r="AH139" s="21">
        <v>0.39590125756870054</v>
      </c>
      <c r="AI139" s="21">
        <v>0.37673469387755104</v>
      </c>
      <c r="AJ139" s="21">
        <v>0.3407214254671882</v>
      </c>
      <c r="AK139" s="21">
        <v>0.33987226277372262</v>
      </c>
      <c r="AL139" s="21">
        <v>0.3307725138711054</v>
      </c>
      <c r="AM139" s="21">
        <v>0.33073929961089493</v>
      </c>
      <c r="AN139" s="21">
        <v>0.32894014277869305</v>
      </c>
      <c r="AO139" s="21">
        <v>0.32011661807580177</v>
      </c>
      <c r="AP139" s="21">
        <v>0.32179104477611942</v>
      </c>
      <c r="AQ139" s="21">
        <v>0.35205747877204441</v>
      </c>
      <c r="AR139" s="21">
        <v>0.36394328156650912</v>
      </c>
      <c r="AS139" s="21">
        <v>0.87753036437246967</v>
      </c>
      <c r="AT139" s="21">
        <v>0.86935166994106094</v>
      </c>
      <c r="AU139" s="21">
        <v>0.66511987625676716</v>
      </c>
      <c r="AV139" s="21">
        <v>0.6254392129304287</v>
      </c>
      <c r="AW139" s="21">
        <v>0.52124645892351273</v>
      </c>
      <c r="AX139" s="21">
        <v>0.46791443850267378</v>
      </c>
      <c r="AY139" s="21">
        <v>0.44416243654822335</v>
      </c>
      <c r="AZ139" s="21">
        <v>0.4091954022988506</v>
      </c>
      <c r="BA139" s="21">
        <v>0.38513819664703219</v>
      </c>
      <c r="BB139" s="21">
        <v>0.39590125756870054</v>
      </c>
      <c r="BC139" s="21">
        <v>0.37673469387755104</v>
      </c>
      <c r="BD139" s="21">
        <v>0.3407214254671882</v>
      </c>
      <c r="BE139" s="21">
        <v>0.33987226277372262</v>
      </c>
      <c r="BF139" s="21">
        <v>0.3307725138711054</v>
      </c>
      <c r="BG139" s="21">
        <v>0.33073929961089493</v>
      </c>
      <c r="BH139" s="21">
        <v>0.32894014277869305</v>
      </c>
      <c r="BI139" s="21">
        <v>0.32011661807580177</v>
      </c>
      <c r="BJ139" s="21">
        <v>0.32179104477611942</v>
      </c>
      <c r="BK139" s="21">
        <v>0.35205747877204441</v>
      </c>
      <c r="BL139" s="21">
        <v>0.36394328156650912</v>
      </c>
      <c r="BM139" s="21">
        <v>8.9488538583327604E-3</v>
      </c>
      <c r="BN139" s="21">
        <v>0.40833333333333333</v>
      </c>
      <c r="BO139" s="21">
        <v>0.34056886227544908</v>
      </c>
      <c r="BP139" s="21">
        <v>0.2967032967032967</v>
      </c>
      <c r="BQ139" s="21">
        <v>0.25987361769352291</v>
      </c>
      <c r="BR139" s="21">
        <v>0.22886762360446572</v>
      </c>
      <c r="BS139" s="21">
        <v>0.21661237785016288</v>
      </c>
      <c r="BT139" s="21">
        <v>0.19540229885057472</v>
      </c>
      <c r="BU139" s="21">
        <v>0.18512396694214875</v>
      </c>
      <c r="BV139" s="21">
        <v>0.17312448474855729</v>
      </c>
      <c r="BW139" s="21">
        <v>0.16346955796497081</v>
      </c>
      <c r="BX139" s="21">
        <v>0.1528127623845508</v>
      </c>
      <c r="BY139" s="21">
        <v>0.14705882352941177</v>
      </c>
      <c r="BZ139" s="21">
        <v>0.14201183431952663</v>
      </c>
      <c r="CA139" s="21">
        <v>0.1362098138747885</v>
      </c>
      <c r="CB139" s="21">
        <v>0.13106382978723405</v>
      </c>
      <c r="CC139" s="21">
        <v>0.12585616438356165</v>
      </c>
      <c r="CD139" s="21">
        <v>0.12006861063464837</v>
      </c>
      <c r="CE139" s="21">
        <v>0.1146551724137931</v>
      </c>
      <c r="CF139" s="21">
        <v>0.10928013876843018</v>
      </c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</row>
    <row r="140" spans="1:98" x14ac:dyDescent="0.2">
      <c r="A140" s="17" t="s">
        <v>411</v>
      </c>
      <c r="D140" s="17"/>
      <c r="E140" s="21">
        <v>0.12246963562753037</v>
      </c>
      <c r="F140" s="21">
        <v>0.13064833005893908</v>
      </c>
      <c r="G140" s="21">
        <v>0.27687548337200307</v>
      </c>
      <c r="H140" s="21">
        <v>0.30780042164441324</v>
      </c>
      <c r="I140" s="21">
        <v>0.40226628895184136</v>
      </c>
      <c r="J140" s="21">
        <v>0.29946524064171121</v>
      </c>
      <c r="K140" s="21">
        <v>0.28426395939086296</v>
      </c>
      <c r="L140" s="21">
        <v>0.27126436781609198</v>
      </c>
      <c r="M140" s="21">
        <v>0.26733121884911643</v>
      </c>
      <c r="N140" s="21">
        <v>0.20493712156497437</v>
      </c>
      <c r="O140" s="21">
        <v>0.14285714285714285</v>
      </c>
      <c r="P140" s="21">
        <v>0.14776184267709691</v>
      </c>
      <c r="Q140" s="21">
        <v>0.13594890510948904</v>
      </c>
      <c r="R140" s="21">
        <v>0.11651728553137004</v>
      </c>
      <c r="S140" s="21">
        <v>0.11802853437094682</v>
      </c>
      <c r="T140" s="21">
        <v>7.248764415156507E-2</v>
      </c>
      <c r="U140" s="21">
        <v>6.29737609329446E-2</v>
      </c>
      <c r="V140" s="21">
        <v>5.8507462686567167E-2</v>
      </c>
      <c r="W140" s="21">
        <v>6.4010450685826253E-2</v>
      </c>
      <c r="X140" s="21">
        <v>6.6171505739365297E-2</v>
      </c>
      <c r="Y140" s="21">
        <v>0.12246963562753037</v>
      </c>
      <c r="Z140" s="21">
        <v>0.13064833005893908</v>
      </c>
      <c r="AA140" s="21">
        <v>0.27687548337200307</v>
      </c>
      <c r="AB140" s="21">
        <v>0.30780042164441324</v>
      </c>
      <c r="AC140" s="21">
        <v>0.40226628895184136</v>
      </c>
      <c r="AD140" s="21">
        <v>0.29946524064171121</v>
      </c>
      <c r="AE140" s="21">
        <v>0.28426395939086296</v>
      </c>
      <c r="AF140" s="21">
        <v>0.27126436781609198</v>
      </c>
      <c r="AG140" s="21">
        <v>0.26733121884911643</v>
      </c>
      <c r="AH140" s="21">
        <v>0.20493712156497437</v>
      </c>
      <c r="AI140" s="21">
        <v>0.14285714285714285</v>
      </c>
      <c r="AJ140" s="21">
        <v>0.14776184267709691</v>
      </c>
      <c r="AK140" s="21">
        <v>0.13594890510948904</v>
      </c>
      <c r="AL140" s="21">
        <v>0.11651728553137004</v>
      </c>
      <c r="AM140" s="21">
        <v>0.11802853437094682</v>
      </c>
      <c r="AN140" s="21">
        <v>7.248764415156507E-2</v>
      </c>
      <c r="AO140" s="21">
        <v>6.29737609329446E-2</v>
      </c>
      <c r="AP140" s="21">
        <v>5.8507462686567167E-2</v>
      </c>
      <c r="AQ140" s="21">
        <v>6.4010450685826253E-2</v>
      </c>
      <c r="AR140" s="21">
        <v>6.6171505739365297E-2</v>
      </c>
      <c r="AS140" s="21">
        <v>0.12246963562753037</v>
      </c>
      <c r="AT140" s="21">
        <v>0.13064833005893908</v>
      </c>
      <c r="AU140" s="21">
        <v>0.27687548337200307</v>
      </c>
      <c r="AV140" s="21">
        <v>0.30780042164441324</v>
      </c>
      <c r="AW140" s="21">
        <v>0.40226628895184136</v>
      </c>
      <c r="AX140" s="21">
        <v>0.29946524064171121</v>
      </c>
      <c r="AY140" s="21">
        <v>0.28426395939086296</v>
      </c>
      <c r="AZ140" s="21">
        <v>0.27126436781609198</v>
      </c>
      <c r="BA140" s="21">
        <v>0.26733121884911643</v>
      </c>
      <c r="BB140" s="21">
        <v>0.20493712156497437</v>
      </c>
      <c r="BC140" s="21">
        <v>0.14285714285714285</v>
      </c>
      <c r="BD140" s="21">
        <v>0.14776184267709691</v>
      </c>
      <c r="BE140" s="21">
        <v>0.13594890510948904</v>
      </c>
      <c r="BF140" s="21">
        <v>0.11651728553137004</v>
      </c>
      <c r="BG140" s="21">
        <v>0.11802853437094682</v>
      </c>
      <c r="BH140" s="21">
        <v>7.248764415156507E-2</v>
      </c>
      <c r="BI140" s="21">
        <v>6.29737609329446E-2</v>
      </c>
      <c r="BJ140" s="21">
        <v>5.8507462686567167E-2</v>
      </c>
      <c r="BK140" s="21">
        <v>6.4010450685826253E-2</v>
      </c>
      <c r="BL140" s="21">
        <v>6.6171505739365297E-2</v>
      </c>
      <c r="BM140" s="21">
        <v>0.99105114614166723</v>
      </c>
      <c r="BN140" s="21">
        <v>0.55000000000000004</v>
      </c>
      <c r="BO140" s="21">
        <v>0.54341317365269459</v>
      </c>
      <c r="BP140" s="21">
        <v>0.5266875981161695</v>
      </c>
      <c r="BQ140" s="21">
        <v>0.50394944707740918</v>
      </c>
      <c r="BR140" s="21">
        <v>0.48245614035087719</v>
      </c>
      <c r="BS140" s="21">
        <v>0.46579804560260585</v>
      </c>
      <c r="BT140" s="21">
        <v>0.45155993431855501</v>
      </c>
      <c r="BU140" s="21">
        <v>0.43636363636363634</v>
      </c>
      <c r="BV140" s="21">
        <v>0.42621599340478156</v>
      </c>
      <c r="BW140" s="21">
        <v>0.42201834862385323</v>
      </c>
      <c r="BX140" s="21">
        <v>0.40638119227539882</v>
      </c>
      <c r="BY140" s="21">
        <v>0.39747899159663863</v>
      </c>
      <c r="BZ140" s="21">
        <v>0.39053254437869822</v>
      </c>
      <c r="CA140" s="21">
        <v>0.38155668358714045</v>
      </c>
      <c r="CB140" s="21">
        <v>0.37446808510638296</v>
      </c>
      <c r="CC140" s="21">
        <v>0.37671232876712329</v>
      </c>
      <c r="CD140" s="21">
        <v>0.36792452830188677</v>
      </c>
      <c r="CE140" s="21">
        <v>0.3603448275862069</v>
      </c>
      <c r="CF140" s="21">
        <v>0.36253252385082396</v>
      </c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</row>
    <row r="141" spans="1:98" x14ac:dyDescent="0.2">
      <c r="A141" s="17" t="s">
        <v>412</v>
      </c>
      <c r="D141" s="17"/>
      <c r="E141" s="21">
        <v>0</v>
      </c>
      <c r="F141" s="21">
        <v>0</v>
      </c>
      <c r="G141" s="21">
        <v>5.8004640371229696E-2</v>
      </c>
      <c r="H141" s="21">
        <v>6.6760365425158119E-2</v>
      </c>
      <c r="I141" s="21">
        <v>7.6487252124645896E-2</v>
      </c>
      <c r="J141" s="21">
        <v>0.19251336898395721</v>
      </c>
      <c r="K141" s="21">
        <v>0.2233502538071066</v>
      </c>
      <c r="L141" s="21">
        <v>0.26482758620689656</v>
      </c>
      <c r="M141" s="21">
        <v>0.28998640688717714</v>
      </c>
      <c r="N141" s="21">
        <v>0.29809035863996275</v>
      </c>
      <c r="O141" s="21">
        <v>0.22448979591836735</v>
      </c>
      <c r="P141" s="21">
        <v>0.2390265102129509</v>
      </c>
      <c r="Q141" s="21">
        <v>0.20529197080291972</v>
      </c>
      <c r="R141" s="21">
        <v>0.19206145966709348</v>
      </c>
      <c r="S141" s="21">
        <v>0.18590575010808474</v>
      </c>
      <c r="T141" s="21">
        <v>0.18671059857221306</v>
      </c>
      <c r="U141" s="21">
        <v>0.1446064139941691</v>
      </c>
      <c r="V141" s="21">
        <v>0.1480597014925373</v>
      </c>
      <c r="W141" s="21">
        <v>0.10058785107772697</v>
      </c>
      <c r="X141" s="21">
        <v>0.10398379473328832</v>
      </c>
      <c r="Y141" s="21">
        <v>0</v>
      </c>
      <c r="Z141" s="21">
        <v>0</v>
      </c>
      <c r="AA141" s="21">
        <v>5.8004640371229696E-2</v>
      </c>
      <c r="AB141" s="21">
        <v>6.6760365425158119E-2</v>
      </c>
      <c r="AC141" s="21">
        <v>7.6487252124645896E-2</v>
      </c>
      <c r="AD141" s="21">
        <v>0.19251336898395721</v>
      </c>
      <c r="AE141" s="21">
        <v>0.2233502538071066</v>
      </c>
      <c r="AF141" s="21">
        <v>0.26482758620689656</v>
      </c>
      <c r="AG141" s="21">
        <v>0.28998640688717714</v>
      </c>
      <c r="AH141" s="21">
        <v>0.29809035863996275</v>
      </c>
      <c r="AI141" s="21">
        <v>0.22448979591836735</v>
      </c>
      <c r="AJ141" s="21">
        <v>0.2390265102129509</v>
      </c>
      <c r="AK141" s="21">
        <v>0.20529197080291972</v>
      </c>
      <c r="AL141" s="21">
        <v>0.19206145966709348</v>
      </c>
      <c r="AM141" s="21">
        <v>0.18590575010808474</v>
      </c>
      <c r="AN141" s="21">
        <v>0.18671059857221306</v>
      </c>
      <c r="AO141" s="21">
        <v>0.1446064139941691</v>
      </c>
      <c r="AP141" s="21">
        <v>0.1480597014925373</v>
      </c>
      <c r="AQ141" s="21">
        <v>0.10058785107772697</v>
      </c>
      <c r="AR141" s="21">
        <v>0.10398379473328832</v>
      </c>
      <c r="AS141" s="21">
        <v>0</v>
      </c>
      <c r="AT141" s="21">
        <v>0</v>
      </c>
      <c r="AU141" s="21">
        <v>5.8004640371229696E-2</v>
      </c>
      <c r="AV141" s="21">
        <v>6.6760365425158119E-2</v>
      </c>
      <c r="AW141" s="21">
        <v>7.6487252124645896E-2</v>
      </c>
      <c r="AX141" s="21">
        <v>0.19251336898395721</v>
      </c>
      <c r="AY141" s="21">
        <v>0.2233502538071066</v>
      </c>
      <c r="AZ141" s="21">
        <v>0.26482758620689656</v>
      </c>
      <c r="BA141" s="21">
        <v>0.28998640688717714</v>
      </c>
      <c r="BB141" s="21">
        <v>0.29809035863996275</v>
      </c>
      <c r="BC141" s="21">
        <v>0.22448979591836735</v>
      </c>
      <c r="BD141" s="21">
        <v>0.2390265102129509</v>
      </c>
      <c r="BE141" s="21">
        <v>0.20529197080291972</v>
      </c>
      <c r="BF141" s="21">
        <v>0.19206145966709348</v>
      </c>
      <c r="BG141" s="21">
        <v>0.18590575010808474</v>
      </c>
      <c r="BH141" s="21">
        <v>0.18671059857221306</v>
      </c>
      <c r="BI141" s="21">
        <v>0.1446064139941691</v>
      </c>
      <c r="BJ141" s="21">
        <v>0.1480597014925373</v>
      </c>
      <c r="BK141" s="21">
        <v>0.10058785107772697</v>
      </c>
      <c r="BL141" s="21">
        <v>0.10398379473328832</v>
      </c>
      <c r="BM141" s="21">
        <v>0</v>
      </c>
      <c r="BN141" s="21">
        <v>4.1666666666666664E-2</v>
      </c>
      <c r="BO141" s="21">
        <v>0.10778443113772455</v>
      </c>
      <c r="BP141" s="21">
        <v>0.15070643642072212</v>
      </c>
      <c r="BQ141" s="21">
        <v>0.18009478672985782</v>
      </c>
      <c r="BR141" s="21">
        <v>0.21052631578947367</v>
      </c>
      <c r="BS141" s="21">
        <v>0.22475570032573289</v>
      </c>
      <c r="BT141" s="21">
        <v>0.24630541871921183</v>
      </c>
      <c r="BU141" s="21">
        <v>0.25785123966942147</v>
      </c>
      <c r="BV141" s="21">
        <v>0.2671063478977741</v>
      </c>
      <c r="BW141" s="21">
        <v>0.27022518765638032</v>
      </c>
      <c r="BX141" s="21">
        <v>0.28211586901763225</v>
      </c>
      <c r="BY141" s="21">
        <v>0.29243697478991598</v>
      </c>
      <c r="BZ141" s="21">
        <v>0.29416737109044799</v>
      </c>
      <c r="CA141" s="21">
        <v>0.30456852791878175</v>
      </c>
      <c r="CB141" s="21">
        <v>0.30638297872340425</v>
      </c>
      <c r="CC141" s="21">
        <v>0.30821917808219179</v>
      </c>
      <c r="CD141" s="21">
        <v>0.30874785591766724</v>
      </c>
      <c r="CE141" s="21">
        <v>0.32068965517241377</v>
      </c>
      <c r="CF141" s="21">
        <v>0.32263660017346052</v>
      </c>
      <c r="CG141"/>
      <c r="CT141" s="16"/>
    </row>
    <row r="142" spans="1:98" x14ac:dyDescent="0.2">
      <c r="A142" s="17" t="s">
        <v>413</v>
      </c>
      <c r="D142" s="17"/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4.0106951871657755E-2</v>
      </c>
      <c r="K142" s="21">
        <v>4.8223350253807105E-2</v>
      </c>
      <c r="L142" s="21">
        <v>5.4712643678160922E-2</v>
      </c>
      <c r="M142" s="21">
        <v>5.7544177616674221E-2</v>
      </c>
      <c r="N142" s="21">
        <v>9.6413600372612943E-2</v>
      </c>
      <c r="O142" s="21">
        <v>0.23183673469387756</v>
      </c>
      <c r="P142" s="21">
        <v>0.24684919600173838</v>
      </c>
      <c r="Q142" s="21">
        <v>0.27372262773722628</v>
      </c>
      <c r="R142" s="21">
        <v>0.28169014084507044</v>
      </c>
      <c r="S142" s="21">
        <v>0.28534370946822307</v>
      </c>
      <c r="T142" s="21">
        <v>0.25809994508511808</v>
      </c>
      <c r="U142" s="21">
        <v>0.27405247813411077</v>
      </c>
      <c r="V142" s="21">
        <v>0.26865671641791045</v>
      </c>
      <c r="W142" s="21">
        <v>0.29392553886348793</v>
      </c>
      <c r="X142" s="21">
        <v>0.27008777852802163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4.0106951871657755E-2</v>
      </c>
      <c r="AE142" s="21">
        <v>4.8223350253807105E-2</v>
      </c>
      <c r="AF142" s="21">
        <v>5.4712643678160922E-2</v>
      </c>
      <c r="AG142" s="21">
        <v>5.7544177616674221E-2</v>
      </c>
      <c r="AH142" s="21">
        <v>9.6413600372612943E-2</v>
      </c>
      <c r="AI142" s="21">
        <v>0.23183673469387756</v>
      </c>
      <c r="AJ142" s="21">
        <v>0.24684919600173838</v>
      </c>
      <c r="AK142" s="21">
        <v>0.27372262773722628</v>
      </c>
      <c r="AL142" s="21">
        <v>0.28169014084507044</v>
      </c>
      <c r="AM142" s="21">
        <v>0.28534370946822307</v>
      </c>
      <c r="AN142" s="21">
        <v>0.25809994508511808</v>
      </c>
      <c r="AO142" s="21">
        <v>0.27405247813411077</v>
      </c>
      <c r="AP142" s="21">
        <v>0.26865671641791045</v>
      </c>
      <c r="AQ142" s="21">
        <v>0.29392553886348793</v>
      </c>
      <c r="AR142" s="21">
        <v>0.27008777852802163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4.0106951871657755E-2</v>
      </c>
      <c r="AY142" s="21">
        <v>4.8223350253807105E-2</v>
      </c>
      <c r="AZ142" s="21">
        <v>5.4712643678160922E-2</v>
      </c>
      <c r="BA142" s="21">
        <v>5.7544177616674221E-2</v>
      </c>
      <c r="BB142" s="21">
        <v>9.6413600372612943E-2</v>
      </c>
      <c r="BC142" s="21">
        <v>0.23183673469387756</v>
      </c>
      <c r="BD142" s="21">
        <v>0.24684919600173838</v>
      </c>
      <c r="BE142" s="21">
        <v>0.27372262773722628</v>
      </c>
      <c r="BF142" s="21">
        <v>0.28169014084507044</v>
      </c>
      <c r="BG142" s="21">
        <v>0.28534370946822307</v>
      </c>
      <c r="BH142" s="21">
        <v>0.25809994508511808</v>
      </c>
      <c r="BI142" s="21">
        <v>0.27405247813411077</v>
      </c>
      <c r="BJ142" s="21">
        <v>0.26865671641791045</v>
      </c>
      <c r="BK142" s="21">
        <v>0.29392553886348793</v>
      </c>
      <c r="BL142" s="21">
        <v>0.27008777852802163</v>
      </c>
      <c r="BM142" s="21">
        <v>0</v>
      </c>
      <c r="BN142" s="21">
        <v>0</v>
      </c>
      <c r="BO142" s="21">
        <v>8.2335329341317372E-3</v>
      </c>
      <c r="BP142" s="21">
        <v>2.5902668759811617E-2</v>
      </c>
      <c r="BQ142" s="21">
        <v>5.2132701421800945E-2</v>
      </c>
      <c r="BR142" s="21">
        <v>7.0175438596491224E-2</v>
      </c>
      <c r="BS142" s="21">
        <v>8.0618892508143317E-2</v>
      </c>
      <c r="BT142" s="21">
        <v>9.0311986863711002E-2</v>
      </c>
      <c r="BU142" s="21">
        <v>0.1</v>
      </c>
      <c r="BV142" s="21">
        <v>0.10882110469909316</v>
      </c>
      <c r="BW142" s="21">
        <v>0.11926605504587157</v>
      </c>
      <c r="BX142" s="21">
        <v>0.12930310663308145</v>
      </c>
      <c r="BY142" s="21">
        <v>0.12941176470588237</v>
      </c>
      <c r="BZ142" s="21">
        <v>0.13947590870667795</v>
      </c>
      <c r="CA142" s="21">
        <v>0.13959390862944163</v>
      </c>
      <c r="CB142" s="21">
        <v>0.1497872340425532</v>
      </c>
      <c r="CC142" s="21">
        <v>0.15068493150684931</v>
      </c>
      <c r="CD142" s="21">
        <v>0.16037735849056603</v>
      </c>
      <c r="CE142" s="21">
        <v>0.16120689655172413</v>
      </c>
      <c r="CF142" s="21">
        <v>0.16218560277536861</v>
      </c>
    </row>
    <row r="143" spans="1:98" x14ac:dyDescent="0.2">
      <c r="A143" s="17" t="s">
        <v>414</v>
      </c>
      <c r="D143" s="17"/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4.657661853749418E-3</v>
      </c>
      <c r="O143" s="21">
        <v>2.4081632653061225E-2</v>
      </c>
      <c r="P143" s="21">
        <v>2.564102564102564E-2</v>
      </c>
      <c r="Q143" s="21">
        <v>4.5164233576642336E-2</v>
      </c>
      <c r="R143" s="21">
        <v>7.8958600085360653E-2</v>
      </c>
      <c r="S143" s="21">
        <v>7.9982706441850404E-2</v>
      </c>
      <c r="T143" s="21">
        <v>0.15376166941241076</v>
      </c>
      <c r="U143" s="21">
        <v>0.19825072886297376</v>
      </c>
      <c r="V143" s="21">
        <v>0.20298507462686566</v>
      </c>
      <c r="W143" s="21">
        <v>0.18941868060091444</v>
      </c>
      <c r="X143" s="21">
        <v>0.19581363943281566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4.657661853749418E-3</v>
      </c>
      <c r="AI143" s="21">
        <v>2.4081632653061225E-2</v>
      </c>
      <c r="AJ143" s="21">
        <v>2.564102564102564E-2</v>
      </c>
      <c r="AK143" s="21">
        <v>4.5164233576642336E-2</v>
      </c>
      <c r="AL143" s="21">
        <v>7.8958600085360653E-2</v>
      </c>
      <c r="AM143" s="21">
        <v>7.9982706441850404E-2</v>
      </c>
      <c r="AN143" s="21">
        <v>0.15376166941241076</v>
      </c>
      <c r="AO143" s="21">
        <v>0.19825072886297376</v>
      </c>
      <c r="AP143" s="21">
        <v>0.20298507462686566</v>
      </c>
      <c r="AQ143" s="21">
        <v>0.18941868060091444</v>
      </c>
      <c r="AR143" s="21">
        <v>0.19581363943281566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4.657661853749418E-3</v>
      </c>
      <c r="BC143" s="21">
        <v>2.4081632653061225E-2</v>
      </c>
      <c r="BD143" s="21">
        <v>2.564102564102564E-2</v>
      </c>
      <c r="BE143" s="21">
        <v>4.5164233576642336E-2</v>
      </c>
      <c r="BF143" s="21">
        <v>7.8958600085360653E-2</v>
      </c>
      <c r="BG143" s="21">
        <v>7.9982706441850404E-2</v>
      </c>
      <c r="BH143" s="21">
        <v>0.15376166941241076</v>
      </c>
      <c r="BI143" s="21">
        <v>0.19825072886297376</v>
      </c>
      <c r="BJ143" s="21">
        <v>0.20298507462686566</v>
      </c>
      <c r="BK143" s="21">
        <v>0.18941868060091444</v>
      </c>
      <c r="BL143" s="21">
        <v>0.19581363943281566</v>
      </c>
      <c r="BM143" s="21">
        <v>0</v>
      </c>
      <c r="BN143" s="21">
        <v>0</v>
      </c>
      <c r="BO143" s="21">
        <v>0</v>
      </c>
      <c r="BP143" s="21">
        <v>0</v>
      </c>
      <c r="BQ143" s="21">
        <v>3.9494470774091624E-3</v>
      </c>
      <c r="BR143" s="21">
        <v>7.9744816586921844E-3</v>
      </c>
      <c r="BS143" s="21">
        <v>1.2214983713355049E-2</v>
      </c>
      <c r="BT143" s="21">
        <v>1.6420361247947456E-2</v>
      </c>
      <c r="BU143" s="21">
        <v>2.0661157024793389E-2</v>
      </c>
      <c r="BV143" s="21">
        <v>2.47320692497939E-2</v>
      </c>
      <c r="BW143" s="21">
        <v>2.5020850708924104E-2</v>
      </c>
      <c r="BX143" s="21">
        <v>2.938706968933669E-2</v>
      </c>
      <c r="BY143" s="21">
        <v>3.3613445378151259E-2</v>
      </c>
      <c r="BZ143" s="21">
        <v>3.38123415046492E-2</v>
      </c>
      <c r="CA143" s="21">
        <v>3.8071065989847719E-2</v>
      </c>
      <c r="CB143" s="21">
        <v>3.8297872340425532E-2</v>
      </c>
      <c r="CC143" s="21">
        <v>3.8527397260273974E-2</v>
      </c>
      <c r="CD143" s="21">
        <v>4.2881646655231559E-2</v>
      </c>
      <c r="CE143" s="21">
        <v>4.3103448275862072E-2</v>
      </c>
      <c r="CF143" s="21">
        <v>4.3365134431916738E-2</v>
      </c>
    </row>
  </sheetData>
  <phoneticPr fontId="8" type="noConversion"/>
  <conditionalFormatting sqref="A2:CF109">
    <cfRule type="expression" dxfId="1" priority="8">
      <formula>AND(A2&lt;&gt;"",A2=0)</formula>
    </cfRule>
  </conditionalFormatting>
  <conditionalFormatting sqref="D1:D1048576">
    <cfRule type="colorScale" priority="2">
      <colorScale>
        <cfvo type="min"/>
        <cfvo type="max"/>
        <color rgb="FF63BE7B"/>
        <color rgb="FFFFEF9C"/>
      </colorScale>
    </cfRule>
  </conditionalFormatting>
  <conditionalFormatting sqref="E124:CF128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{EF2E7547-8FD2-405E-B0E3-D4AA50EF28C4}</x14:id>
        </ext>
      </extLst>
    </cfRule>
  </conditionalFormatting>
  <conditionalFormatting sqref="E139:CF143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{5E4B3452-19E0-4EAA-B000-F72B1430D96A}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2E7547-8FD2-405E-B0E3-D4AA50EF28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E124:CF128</xm:sqref>
        </x14:conditionalFormatting>
        <x14:conditionalFormatting xmlns:xm="http://schemas.microsoft.com/office/excel/2006/main">
          <x14:cfRule type="dataBar" id="{5E4B3452-19E0-4EAA-B000-F72B1430D9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E139:CF143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0AAA-4CD4-479A-8F27-630431740F75}">
  <sheetPr>
    <tabColor rgb="FFA7DBEB"/>
  </sheetPr>
  <dimension ref="A1:CL21"/>
  <sheetViews>
    <sheetView workbookViewId="0">
      <pane xSplit="3" ySplit="1" topLeftCell="D2" activePane="bottomRight" state="frozen"/>
      <selection activeCell="CI19" sqref="CI19"/>
      <selection pane="topRight" activeCell="CI19" sqref="CI19"/>
      <selection pane="bottomLeft" activeCell="CI19" sqref="CI19"/>
      <selection pane="bottomRight" activeCell="G15" sqref="G15"/>
    </sheetView>
  </sheetViews>
  <sheetFormatPr defaultColWidth="9.625" defaultRowHeight="14.25" x14ac:dyDescent="0.2"/>
  <cols>
    <col min="1" max="1" width="8.5" style="16" bestFit="1" customWidth="1"/>
    <col min="2" max="2" width="11.5" style="16" customWidth="1"/>
    <col min="3" max="3" width="9.375" style="16" customWidth="1"/>
    <col min="43" max="83" width="9.625" style="16"/>
    <col min="91" max="16384" width="9.625" style="16"/>
  </cols>
  <sheetData>
    <row r="1" spans="1:90" s="27" customFormat="1" x14ac:dyDescent="0.2">
      <c r="A1" s="17" t="s">
        <v>92</v>
      </c>
      <c r="B1" s="17" t="s">
        <v>93</v>
      </c>
      <c r="C1" s="17" t="s">
        <v>419</v>
      </c>
      <c r="D1" s="30" t="s">
        <v>156</v>
      </c>
      <c r="E1" s="30" t="s">
        <v>157</v>
      </c>
      <c r="F1" s="30" t="s">
        <v>158</v>
      </c>
      <c r="G1" s="30" t="s">
        <v>159</v>
      </c>
      <c r="H1" s="30" t="s">
        <v>160</v>
      </c>
      <c r="I1" s="30" t="s">
        <v>161</v>
      </c>
      <c r="J1" s="30" t="s">
        <v>162</v>
      </c>
      <c r="K1" s="30" t="s">
        <v>163</v>
      </c>
      <c r="L1" s="30" t="s">
        <v>164</v>
      </c>
      <c r="M1" s="30" t="s">
        <v>165</v>
      </c>
      <c r="N1" s="30" t="s">
        <v>166</v>
      </c>
      <c r="O1" s="30" t="s">
        <v>167</v>
      </c>
      <c r="P1" s="30" t="s">
        <v>168</v>
      </c>
      <c r="Q1" s="30" t="s">
        <v>169</v>
      </c>
      <c r="R1" s="30" t="s">
        <v>170</v>
      </c>
      <c r="S1" s="30" t="s">
        <v>171</v>
      </c>
      <c r="T1" s="30" t="s">
        <v>172</v>
      </c>
      <c r="U1" s="30" t="s">
        <v>173</v>
      </c>
      <c r="V1" s="30" t="s">
        <v>174</v>
      </c>
      <c r="W1" s="30" t="s">
        <v>175</v>
      </c>
      <c r="X1" s="26" t="s">
        <v>136</v>
      </c>
      <c r="Y1" s="26" t="s">
        <v>137</v>
      </c>
      <c r="Z1" s="26" t="s">
        <v>138</v>
      </c>
      <c r="AA1" s="26" t="s">
        <v>139</v>
      </c>
      <c r="AB1" s="26" t="s">
        <v>140</v>
      </c>
      <c r="AC1" s="26" t="s">
        <v>141</v>
      </c>
      <c r="AD1" s="26" t="s">
        <v>142</v>
      </c>
      <c r="AE1" s="26" t="s">
        <v>143</v>
      </c>
      <c r="AF1" s="26" t="s">
        <v>144</v>
      </c>
      <c r="AG1" s="26" t="s">
        <v>145</v>
      </c>
      <c r="AH1" s="26" t="s">
        <v>146</v>
      </c>
      <c r="AI1" s="26" t="s">
        <v>147</v>
      </c>
      <c r="AJ1" s="26" t="s">
        <v>148</v>
      </c>
      <c r="AK1" s="26" t="s">
        <v>149</v>
      </c>
      <c r="AL1" s="26" t="s">
        <v>150</v>
      </c>
      <c r="AM1" s="26" t="s">
        <v>151</v>
      </c>
      <c r="AN1" s="26" t="s">
        <v>152</v>
      </c>
      <c r="AO1" s="26" t="s">
        <v>153</v>
      </c>
      <c r="AP1" s="26" t="s">
        <v>154</v>
      </c>
      <c r="AQ1" s="26" t="s">
        <v>155</v>
      </c>
      <c r="AR1" s="29" t="s">
        <v>116</v>
      </c>
      <c r="AS1" s="29" t="s">
        <v>117</v>
      </c>
      <c r="AT1" s="29" t="s">
        <v>118</v>
      </c>
      <c r="AU1" s="29" t="s">
        <v>119</v>
      </c>
      <c r="AV1" s="29" t="s">
        <v>120</v>
      </c>
      <c r="AW1" s="29" t="s">
        <v>121</v>
      </c>
      <c r="AX1" s="29" t="s">
        <v>122</v>
      </c>
      <c r="AY1" s="29" t="s">
        <v>123</v>
      </c>
      <c r="AZ1" s="29" t="s">
        <v>124</v>
      </c>
      <c r="BA1" s="29" t="s">
        <v>125</v>
      </c>
      <c r="BB1" s="29" t="s">
        <v>126</v>
      </c>
      <c r="BC1" s="29" t="s">
        <v>127</v>
      </c>
      <c r="BD1" s="29" t="s">
        <v>128</v>
      </c>
      <c r="BE1" s="29" t="s">
        <v>129</v>
      </c>
      <c r="BF1" s="29" t="s">
        <v>130</v>
      </c>
      <c r="BG1" s="29" t="s">
        <v>131</v>
      </c>
      <c r="BH1" s="29" t="s">
        <v>132</v>
      </c>
      <c r="BI1" s="29" t="s">
        <v>133</v>
      </c>
      <c r="BJ1" s="29" t="s">
        <v>134</v>
      </c>
      <c r="BK1" s="29" t="s">
        <v>135</v>
      </c>
      <c r="BL1" s="28" t="s">
        <v>94</v>
      </c>
      <c r="BM1" s="28" t="s">
        <v>95</v>
      </c>
      <c r="BN1" s="28" t="s">
        <v>96</v>
      </c>
      <c r="BO1" s="28" t="s">
        <v>97</v>
      </c>
      <c r="BP1" s="28" t="s">
        <v>98</v>
      </c>
      <c r="BQ1" s="28" t="s">
        <v>99</v>
      </c>
      <c r="BR1" s="28" t="s">
        <v>100</v>
      </c>
      <c r="BS1" s="28" t="s">
        <v>101</v>
      </c>
      <c r="BT1" s="28" t="s">
        <v>102</v>
      </c>
      <c r="BU1" s="28" t="s">
        <v>103</v>
      </c>
      <c r="BV1" s="28" t="s">
        <v>104</v>
      </c>
      <c r="BW1" s="28" t="s">
        <v>105</v>
      </c>
      <c r="BX1" s="28" t="s">
        <v>106</v>
      </c>
      <c r="BY1" s="28" t="s">
        <v>107</v>
      </c>
      <c r="BZ1" s="28" t="s">
        <v>108</v>
      </c>
      <c r="CA1" s="28" t="s">
        <v>109</v>
      </c>
      <c r="CB1" s="28" t="s">
        <v>110</v>
      </c>
      <c r="CC1" s="28" t="s">
        <v>111</v>
      </c>
      <c r="CD1" s="28" t="s">
        <v>112</v>
      </c>
      <c r="CE1" s="28" t="s">
        <v>113</v>
      </c>
    </row>
    <row r="2" spans="1:90" x14ac:dyDescent="0.2">
      <c r="A2" s="16">
        <v>15101</v>
      </c>
      <c r="B2" s="16" t="s">
        <v>176</v>
      </c>
      <c r="C2" s="16">
        <v>8</v>
      </c>
      <c r="D2" s="16" cm="1">
        <f t="array" ref="D2">IFERROR(INDEX(_xlfn.ANCHORARRAY(_xlfn.XLOOKUP($C2,'-ref_Distribution'!$B$101:$B$109,'-ref_Distribution'!$G$101:$G$109)),RIGHT(D$1,2)),"")</f>
        <v>756</v>
      </c>
      <c r="E2" s="16" cm="1">
        <f t="array" ref="E2">IFERROR(INDEX(_xlfn.ANCHORARRAY(_xlfn.XLOOKUP($C2,'-ref_Distribution'!$B$101:$B$109,'-ref_Distribution'!$G$101:$G$109)),RIGHT(E$1,2)),"")</f>
        <v>752</v>
      </c>
      <c r="F2" s="16" cm="1">
        <f t="array" ref="F2">IFERROR(INDEX(_xlfn.ANCHORARRAY(_xlfn.XLOOKUP($C2,'-ref_Distribution'!$B$101:$B$109,'-ref_Distribution'!$G$101:$G$109)),RIGHT(F$1,2)),"")</f>
        <v>739</v>
      </c>
      <c r="G2" s="16" cm="1">
        <f t="array" ref="G2">IFERROR(INDEX(_xlfn.ANCHORARRAY(_xlfn.XLOOKUP($C2,'-ref_Distribution'!$B$101:$B$109,'-ref_Distribution'!$G$101:$G$109)),RIGHT(G$1,2)),"")</f>
        <v>719</v>
      </c>
      <c r="H2" s="16" cm="1">
        <f t="array" ref="H2">IFERROR(INDEX(_xlfn.ANCHORARRAY(_xlfn.XLOOKUP($C2,'-ref_Distribution'!$B$101:$B$109,'-ref_Distribution'!$G$101:$G$109)),RIGHT(H$1,2)),"")</f>
        <v>692</v>
      </c>
      <c r="I2" s="16" cm="1">
        <f t="array" ref="I2">IFERROR(INDEX(_xlfn.ANCHORARRAY(_xlfn.XLOOKUP($C2,'-ref_Distribution'!$B$101:$B$109,'-ref_Distribution'!$G$101:$G$109)),RIGHT(I$1,2)),"")</f>
        <v>658</v>
      </c>
      <c r="J2" s="16" cm="1">
        <f t="array" ref="J2">IFERROR(INDEX(_xlfn.ANCHORARRAY(_xlfn.XLOOKUP($C2,'-ref_Distribution'!$B$101:$B$109,'-ref_Distribution'!$G$101:$G$109)),RIGHT(J$1,2)),"")</f>
        <v>619</v>
      </c>
      <c r="K2" s="16" cm="1">
        <f t="array" ref="K2">IFERROR(INDEX(_xlfn.ANCHORARRAY(_xlfn.XLOOKUP($C2,'-ref_Distribution'!$B$101:$B$109,'-ref_Distribution'!$G$101:$G$109)),RIGHT(K$1,2)),"")</f>
        <v>576</v>
      </c>
      <c r="L2" s="16" cm="1">
        <f t="array" ref="L2">IFERROR(INDEX(_xlfn.ANCHORARRAY(_xlfn.XLOOKUP($C2,'-ref_Distribution'!$B$101:$B$109,'-ref_Distribution'!$G$101:$G$109)),RIGHT(L$1,2)),"")</f>
        <v>530</v>
      </c>
      <c r="M2" s="16" cm="1">
        <f t="array" ref="M2">IFERROR(INDEX(_xlfn.ANCHORARRAY(_xlfn.XLOOKUP($C2,'-ref_Distribution'!$B$101:$B$109,'-ref_Distribution'!$G$101:$G$109)),RIGHT(M$1,2)),"")</f>
        <v>483</v>
      </c>
      <c r="N2" s="16" cm="1">
        <f t="array" ref="N2">IFERROR(INDEX(_xlfn.ANCHORARRAY(_xlfn.XLOOKUP($C2,'-ref_Distribution'!$B$101:$B$109,'-ref_Distribution'!$G$101:$G$109)),RIGHT(N$1,2)),"")</f>
        <v>434</v>
      </c>
      <c r="O2" s="16" cm="1">
        <f t="array" ref="O2">IFERROR(INDEX(_xlfn.ANCHORARRAY(_xlfn.XLOOKUP($C2,'-ref_Distribution'!$B$101:$B$109,'-ref_Distribution'!$G$101:$G$109)),RIGHT(O$1,2)),"")</f>
        <v>387</v>
      </c>
      <c r="P2" s="16" cm="1">
        <f t="array" ref="P2">IFERROR(INDEX(_xlfn.ANCHORARRAY(_xlfn.XLOOKUP($C2,'-ref_Distribution'!$B$101:$B$109,'-ref_Distribution'!$G$101:$G$109)),RIGHT(P$1,2)),"")</f>
        <v>340</v>
      </c>
      <c r="Q2" s="16" cm="1">
        <f t="array" ref="Q2">IFERROR(INDEX(_xlfn.ANCHORARRAY(_xlfn.XLOOKUP($C2,'-ref_Distribution'!$B$101:$B$109,'-ref_Distribution'!$G$101:$G$109)),RIGHT(Q$1,2)),"")</f>
        <v>296</v>
      </c>
      <c r="R2" s="16" cm="1">
        <f t="array" ref="R2">IFERROR(INDEX(_xlfn.ANCHORARRAY(_xlfn.XLOOKUP($C2,'-ref_Distribution'!$B$101:$B$109,'-ref_Distribution'!$G$101:$G$109)),RIGHT(R$1,2)),"")</f>
        <v>255</v>
      </c>
      <c r="S2" s="16" cm="1">
        <f t="array" ref="S2">IFERROR(INDEX(_xlfn.ANCHORARRAY(_xlfn.XLOOKUP($C2,'-ref_Distribution'!$B$101:$B$109,'-ref_Distribution'!$G$101:$G$109)),RIGHT(S$1,2)),"")</f>
        <v>217</v>
      </c>
      <c r="T2" s="16" cm="1">
        <f t="array" ref="T2">IFERROR(INDEX(_xlfn.ANCHORARRAY(_xlfn.XLOOKUP($C2,'-ref_Distribution'!$B$101:$B$109,'-ref_Distribution'!$G$101:$G$109)),RIGHT(T$1,2)),"")</f>
        <v>183</v>
      </c>
      <c r="U2" s="16" cm="1">
        <f t="array" ref="U2">IFERROR(INDEX(_xlfn.ANCHORARRAY(_xlfn.XLOOKUP($C2,'-ref_Distribution'!$B$101:$B$109,'-ref_Distribution'!$G$101:$G$109)),RIGHT(U$1,2)),"")</f>
        <v>152</v>
      </c>
      <c r="V2" s="16" cm="1">
        <f t="array" ref="V2">IFERROR(INDEX(_xlfn.ANCHORARRAY(_xlfn.XLOOKUP($C2,'-ref_Distribution'!$B$101:$B$109,'-ref_Distribution'!$G$101:$G$109)),RIGHT(V$1,2)),"")</f>
        <v>126</v>
      </c>
      <c r="W2" s="16" cm="1">
        <f t="array" ref="W2">IFERROR(INDEX(_xlfn.ANCHORARRAY(_xlfn.XLOOKUP($C2,'-ref_Distribution'!$B$101:$B$109,'-ref_Distribution'!$G$101:$G$109)),RIGHT(W$1,2)),"")</f>
        <v>102</v>
      </c>
      <c r="X2" s="16" cm="1">
        <f t="array" ref="X2">IFERROR(INDEX(_xlfn.ANCHORARRAY(_xlfn.XLOOKUP($C2,'-ref_Distribution'!$B$101:$B$109,'-ref_Distribution'!$G$101:$G$109)),RIGHT(X$1,2)),"")</f>
        <v>756</v>
      </c>
      <c r="Y2" s="16" cm="1">
        <f t="array" ref="Y2">IFERROR(INDEX(_xlfn.ANCHORARRAY(_xlfn.XLOOKUP($C2,'-ref_Distribution'!$B$101:$B$109,'-ref_Distribution'!$G$101:$G$109)),RIGHT(Y$1,2)),"")</f>
        <v>752</v>
      </c>
      <c r="Z2" s="16" cm="1">
        <f t="array" ref="Z2">IFERROR(INDEX(_xlfn.ANCHORARRAY(_xlfn.XLOOKUP($C2,'-ref_Distribution'!$B$101:$B$109,'-ref_Distribution'!$G$101:$G$109)),RIGHT(Z$1,2)),"")</f>
        <v>739</v>
      </c>
      <c r="AA2" s="16" cm="1">
        <f t="array" ref="AA2">IFERROR(INDEX(_xlfn.ANCHORARRAY(_xlfn.XLOOKUP($C2,'-ref_Distribution'!$B$101:$B$109,'-ref_Distribution'!$G$101:$G$109)),RIGHT(AA$1,2)),"")</f>
        <v>719</v>
      </c>
      <c r="AB2" s="16" cm="1">
        <f t="array" ref="AB2">IFERROR(INDEX(_xlfn.ANCHORARRAY(_xlfn.XLOOKUP($C2,'-ref_Distribution'!$B$101:$B$109,'-ref_Distribution'!$G$101:$G$109)),RIGHT(AB$1,2)),"")</f>
        <v>692</v>
      </c>
      <c r="AC2" s="16" cm="1">
        <f t="array" ref="AC2">IFERROR(INDEX(_xlfn.ANCHORARRAY(_xlfn.XLOOKUP($C2,'-ref_Distribution'!$B$101:$B$109,'-ref_Distribution'!$G$101:$G$109)),RIGHT(AC$1,2)),"")</f>
        <v>658</v>
      </c>
      <c r="AD2" s="16" cm="1">
        <f t="array" ref="AD2">IFERROR(INDEX(_xlfn.ANCHORARRAY(_xlfn.XLOOKUP($C2,'-ref_Distribution'!$B$101:$B$109,'-ref_Distribution'!$G$101:$G$109)),RIGHT(AD$1,2)),"")</f>
        <v>619</v>
      </c>
      <c r="AE2" s="16" cm="1">
        <f t="array" ref="AE2">IFERROR(INDEX(_xlfn.ANCHORARRAY(_xlfn.XLOOKUP($C2,'-ref_Distribution'!$B$101:$B$109,'-ref_Distribution'!$G$101:$G$109)),RIGHT(AE$1,2)),"")</f>
        <v>576</v>
      </c>
      <c r="AF2" s="16" cm="1">
        <f t="array" ref="AF2">IFERROR(INDEX(_xlfn.ANCHORARRAY(_xlfn.XLOOKUP($C2,'-ref_Distribution'!$B$101:$B$109,'-ref_Distribution'!$G$101:$G$109)),RIGHT(AF$1,2)),"")</f>
        <v>530</v>
      </c>
      <c r="AG2" s="16" cm="1">
        <f t="array" ref="AG2">IFERROR(INDEX(_xlfn.ANCHORARRAY(_xlfn.XLOOKUP($C2,'-ref_Distribution'!$B$101:$B$109,'-ref_Distribution'!$G$101:$G$109)),RIGHT(AG$1,2)),"")</f>
        <v>483</v>
      </c>
      <c r="AH2" s="16" cm="1">
        <f t="array" ref="AH2">IFERROR(INDEX(_xlfn.ANCHORARRAY(_xlfn.XLOOKUP($C2,'-ref_Distribution'!$B$101:$B$109,'-ref_Distribution'!$G$101:$G$109)),RIGHT(AH$1,2)),"")</f>
        <v>434</v>
      </c>
      <c r="AI2" s="16" cm="1">
        <f t="array" ref="AI2">IFERROR(INDEX(_xlfn.ANCHORARRAY(_xlfn.XLOOKUP($C2,'-ref_Distribution'!$B$101:$B$109,'-ref_Distribution'!$G$101:$G$109)),RIGHT(AI$1,2)),"")</f>
        <v>387</v>
      </c>
      <c r="AJ2" s="16" cm="1">
        <f t="array" ref="AJ2">IFERROR(INDEX(_xlfn.ANCHORARRAY(_xlfn.XLOOKUP($C2,'-ref_Distribution'!$B$101:$B$109,'-ref_Distribution'!$G$101:$G$109)),RIGHT(AJ$1,2)),"")</f>
        <v>340</v>
      </c>
      <c r="AK2" s="16" cm="1">
        <f t="array" ref="AK2">IFERROR(INDEX(_xlfn.ANCHORARRAY(_xlfn.XLOOKUP($C2,'-ref_Distribution'!$B$101:$B$109,'-ref_Distribution'!$G$101:$G$109)),RIGHT(AK$1,2)),"")</f>
        <v>296</v>
      </c>
      <c r="AL2" s="16" cm="1">
        <f t="array" ref="AL2">IFERROR(INDEX(_xlfn.ANCHORARRAY(_xlfn.XLOOKUP($C2,'-ref_Distribution'!$B$101:$B$109,'-ref_Distribution'!$G$101:$G$109)),RIGHT(AL$1,2)),"")</f>
        <v>255</v>
      </c>
      <c r="AM2" s="16" cm="1">
        <f t="array" ref="AM2">IFERROR(INDEX(_xlfn.ANCHORARRAY(_xlfn.XLOOKUP($C2,'-ref_Distribution'!$B$101:$B$109,'-ref_Distribution'!$G$101:$G$109)),RIGHT(AM$1,2)),"")</f>
        <v>217</v>
      </c>
      <c r="AN2" s="16" cm="1">
        <f t="array" ref="AN2">IFERROR(INDEX(_xlfn.ANCHORARRAY(_xlfn.XLOOKUP($C2,'-ref_Distribution'!$B$101:$B$109,'-ref_Distribution'!$G$101:$G$109)),RIGHT(AN$1,2)),"")</f>
        <v>183</v>
      </c>
      <c r="AO2" s="16" cm="1">
        <f t="array" ref="AO2">IFERROR(INDEX(_xlfn.ANCHORARRAY(_xlfn.XLOOKUP($C2,'-ref_Distribution'!$B$101:$B$109,'-ref_Distribution'!$G$101:$G$109)),RIGHT(AO$1,2)),"")</f>
        <v>152</v>
      </c>
      <c r="AP2" s="16" cm="1">
        <f t="array" ref="AP2">IFERROR(INDEX(_xlfn.ANCHORARRAY(_xlfn.XLOOKUP($C2,'-ref_Distribution'!$B$101:$B$109,'-ref_Distribution'!$G$101:$G$109)),RIGHT(AP$1,2)),"")</f>
        <v>126</v>
      </c>
      <c r="AQ2" s="16" cm="1">
        <f t="array" ref="AQ2">IFERROR(INDEX(_xlfn.ANCHORARRAY(_xlfn.XLOOKUP($C2,'-ref_Distribution'!$B$101:$B$109,'-ref_Distribution'!$G$101:$G$109)),RIGHT(AQ$1,2)),"")</f>
        <v>102</v>
      </c>
      <c r="AR2" s="16" cm="1">
        <f t="array" ref="AR2">IFERROR(INDEX(_xlfn.ANCHORARRAY(_xlfn.XLOOKUP($C2,'-ref_Distribution'!$B$101:$B$109,'-ref_Distribution'!$G$101:$G$109)),RIGHT(AR$1,2)),"")</f>
        <v>756</v>
      </c>
      <c r="AS2" s="16" cm="1">
        <f t="array" ref="AS2">IFERROR(INDEX(_xlfn.ANCHORARRAY(_xlfn.XLOOKUP($C2,'-ref_Distribution'!$B$101:$B$109,'-ref_Distribution'!$G$101:$G$109)),RIGHT(AS$1,2)),"")</f>
        <v>752</v>
      </c>
      <c r="AT2" s="16" cm="1">
        <f t="array" ref="AT2">IFERROR(INDEX(_xlfn.ANCHORARRAY(_xlfn.XLOOKUP($C2,'-ref_Distribution'!$B$101:$B$109,'-ref_Distribution'!$G$101:$G$109)),RIGHT(AT$1,2)),"")</f>
        <v>739</v>
      </c>
      <c r="AU2" s="16" cm="1">
        <f t="array" ref="AU2">IFERROR(INDEX(_xlfn.ANCHORARRAY(_xlfn.XLOOKUP($C2,'-ref_Distribution'!$B$101:$B$109,'-ref_Distribution'!$G$101:$G$109)),RIGHT(AU$1,2)),"")</f>
        <v>719</v>
      </c>
      <c r="AV2" s="16" cm="1">
        <f t="array" ref="AV2">IFERROR(INDEX(_xlfn.ANCHORARRAY(_xlfn.XLOOKUP($C2,'-ref_Distribution'!$B$101:$B$109,'-ref_Distribution'!$G$101:$G$109)),RIGHT(AV$1,2)),"")</f>
        <v>692</v>
      </c>
      <c r="AW2" s="16" cm="1">
        <f t="array" ref="AW2">IFERROR(INDEX(_xlfn.ANCHORARRAY(_xlfn.XLOOKUP($C2,'-ref_Distribution'!$B$101:$B$109,'-ref_Distribution'!$G$101:$G$109)),RIGHT(AW$1,2)),"")</f>
        <v>658</v>
      </c>
      <c r="AX2" s="16" cm="1">
        <f t="array" ref="AX2">IFERROR(INDEX(_xlfn.ANCHORARRAY(_xlfn.XLOOKUP($C2,'-ref_Distribution'!$B$101:$B$109,'-ref_Distribution'!$G$101:$G$109)),RIGHT(AX$1,2)),"")</f>
        <v>619</v>
      </c>
      <c r="AY2" s="16" cm="1">
        <f t="array" ref="AY2">IFERROR(INDEX(_xlfn.ANCHORARRAY(_xlfn.XLOOKUP($C2,'-ref_Distribution'!$B$101:$B$109,'-ref_Distribution'!$G$101:$G$109)),RIGHT(AY$1,2)),"")</f>
        <v>576</v>
      </c>
      <c r="AZ2" s="16" cm="1">
        <f t="array" ref="AZ2">IFERROR(INDEX(_xlfn.ANCHORARRAY(_xlfn.XLOOKUP($C2,'-ref_Distribution'!$B$101:$B$109,'-ref_Distribution'!$G$101:$G$109)),RIGHT(AZ$1,2)),"")</f>
        <v>530</v>
      </c>
      <c r="BA2" s="16" cm="1">
        <f t="array" ref="BA2">IFERROR(INDEX(_xlfn.ANCHORARRAY(_xlfn.XLOOKUP($C2,'-ref_Distribution'!$B$101:$B$109,'-ref_Distribution'!$G$101:$G$109)),RIGHT(BA$1,2)),"")</f>
        <v>483</v>
      </c>
      <c r="BB2" s="16" cm="1">
        <f t="array" ref="BB2">IFERROR(INDEX(_xlfn.ANCHORARRAY(_xlfn.XLOOKUP($C2,'-ref_Distribution'!$B$101:$B$109,'-ref_Distribution'!$G$101:$G$109)),RIGHT(BB$1,2)),"")</f>
        <v>434</v>
      </c>
      <c r="BC2" s="16" cm="1">
        <f t="array" ref="BC2">IFERROR(INDEX(_xlfn.ANCHORARRAY(_xlfn.XLOOKUP($C2,'-ref_Distribution'!$B$101:$B$109,'-ref_Distribution'!$G$101:$G$109)),RIGHT(BC$1,2)),"")</f>
        <v>387</v>
      </c>
      <c r="BD2" s="16" cm="1">
        <f t="array" ref="BD2">IFERROR(INDEX(_xlfn.ANCHORARRAY(_xlfn.XLOOKUP($C2,'-ref_Distribution'!$B$101:$B$109,'-ref_Distribution'!$G$101:$G$109)),RIGHT(BD$1,2)),"")</f>
        <v>340</v>
      </c>
      <c r="BE2" s="16" cm="1">
        <f t="array" ref="BE2">IFERROR(INDEX(_xlfn.ANCHORARRAY(_xlfn.XLOOKUP($C2,'-ref_Distribution'!$B$101:$B$109,'-ref_Distribution'!$G$101:$G$109)),RIGHT(BE$1,2)),"")</f>
        <v>296</v>
      </c>
      <c r="BF2" s="16" cm="1">
        <f t="array" ref="BF2">IFERROR(INDEX(_xlfn.ANCHORARRAY(_xlfn.XLOOKUP($C2,'-ref_Distribution'!$B$101:$B$109,'-ref_Distribution'!$G$101:$G$109)),RIGHT(BF$1,2)),"")</f>
        <v>255</v>
      </c>
      <c r="BG2" s="16" cm="1">
        <f t="array" ref="BG2">IFERROR(INDEX(_xlfn.ANCHORARRAY(_xlfn.XLOOKUP($C2,'-ref_Distribution'!$B$101:$B$109,'-ref_Distribution'!$G$101:$G$109)),RIGHT(BG$1,2)),"")</f>
        <v>217</v>
      </c>
      <c r="BH2" s="16" cm="1">
        <f t="array" ref="BH2">IFERROR(INDEX(_xlfn.ANCHORARRAY(_xlfn.XLOOKUP($C2,'-ref_Distribution'!$B$101:$B$109,'-ref_Distribution'!$G$101:$G$109)),RIGHT(BH$1,2)),"")</f>
        <v>183</v>
      </c>
      <c r="BI2" s="16" cm="1">
        <f t="array" ref="BI2">IFERROR(INDEX(_xlfn.ANCHORARRAY(_xlfn.XLOOKUP($C2,'-ref_Distribution'!$B$101:$B$109,'-ref_Distribution'!$G$101:$G$109)),RIGHT(BI$1,2)),"")</f>
        <v>152</v>
      </c>
      <c r="BJ2" s="16" cm="1">
        <f t="array" ref="BJ2">IFERROR(INDEX(_xlfn.ANCHORARRAY(_xlfn.XLOOKUP($C2,'-ref_Distribution'!$B$101:$B$109,'-ref_Distribution'!$G$101:$G$109)),RIGHT(BJ$1,2)),"")</f>
        <v>126</v>
      </c>
      <c r="BK2" s="16" cm="1">
        <f t="array" ref="BK2">IFERROR(INDEX(_xlfn.ANCHORARRAY(_xlfn.XLOOKUP($C2,'-ref_Distribution'!$B$101:$B$109,'-ref_Distribution'!$G$101:$G$109)),RIGHT(BK$1,2)),"")</f>
        <v>102</v>
      </c>
      <c r="BL2" s="16" cm="1">
        <f t="array" ref="BL2">IFERROR(INDEX(_xlfn.ANCHORARRAY(_xlfn.XLOOKUP($C2,'-ref_Distribution'!$B$101:$B$109,'-ref_Distribution'!$G$101:$G$109)),RIGHT(BL$1,2)),"")</f>
        <v>756</v>
      </c>
      <c r="BM2" s="16" cm="1">
        <f t="array" ref="BM2">IFERROR(INDEX(_xlfn.ANCHORARRAY(_xlfn.XLOOKUP($C2,'-ref_Distribution'!$B$101:$B$109,'-ref_Distribution'!$G$101:$G$109)),RIGHT(BM$1,2)),"")</f>
        <v>752</v>
      </c>
      <c r="BN2" s="16" cm="1">
        <f t="array" ref="BN2">IFERROR(INDEX(_xlfn.ANCHORARRAY(_xlfn.XLOOKUP($C2,'-ref_Distribution'!$B$101:$B$109,'-ref_Distribution'!$G$101:$G$109)),RIGHT(BN$1,2)),"")</f>
        <v>739</v>
      </c>
      <c r="BO2" s="16" cm="1">
        <f t="array" ref="BO2">IFERROR(INDEX(_xlfn.ANCHORARRAY(_xlfn.XLOOKUP($C2,'-ref_Distribution'!$B$101:$B$109,'-ref_Distribution'!$G$101:$G$109)),RIGHT(BO$1,2)),"")</f>
        <v>719</v>
      </c>
      <c r="BP2" s="16" cm="1">
        <f t="array" ref="BP2">IFERROR(INDEX(_xlfn.ANCHORARRAY(_xlfn.XLOOKUP($C2,'-ref_Distribution'!$B$101:$B$109,'-ref_Distribution'!$G$101:$G$109)),RIGHT(BP$1,2)),"")</f>
        <v>692</v>
      </c>
      <c r="BQ2" s="16" cm="1">
        <f t="array" ref="BQ2">IFERROR(INDEX(_xlfn.ANCHORARRAY(_xlfn.XLOOKUP($C2,'-ref_Distribution'!$B$101:$B$109,'-ref_Distribution'!$G$101:$G$109)),RIGHT(BQ$1,2)),"")</f>
        <v>658</v>
      </c>
      <c r="BR2" s="16" cm="1">
        <f t="array" ref="BR2">IFERROR(INDEX(_xlfn.ANCHORARRAY(_xlfn.XLOOKUP($C2,'-ref_Distribution'!$B$101:$B$109,'-ref_Distribution'!$G$101:$G$109)),RIGHT(BR$1,2)),"")</f>
        <v>619</v>
      </c>
      <c r="BS2" s="16" cm="1">
        <f t="array" ref="BS2">IFERROR(INDEX(_xlfn.ANCHORARRAY(_xlfn.XLOOKUP($C2,'-ref_Distribution'!$B$101:$B$109,'-ref_Distribution'!$G$101:$G$109)),RIGHT(BS$1,2)),"")</f>
        <v>576</v>
      </c>
      <c r="BT2" s="16" cm="1">
        <f t="array" ref="BT2">IFERROR(INDEX(_xlfn.ANCHORARRAY(_xlfn.XLOOKUP($C2,'-ref_Distribution'!$B$101:$B$109,'-ref_Distribution'!$G$101:$G$109)),RIGHT(BT$1,2)),"")</f>
        <v>530</v>
      </c>
      <c r="BU2" s="16" cm="1">
        <f t="array" ref="BU2">IFERROR(INDEX(_xlfn.ANCHORARRAY(_xlfn.XLOOKUP($C2,'-ref_Distribution'!$B$101:$B$109,'-ref_Distribution'!$G$101:$G$109)),RIGHT(BU$1,2)),"")</f>
        <v>483</v>
      </c>
      <c r="BV2" s="16" cm="1">
        <f t="array" ref="BV2">IFERROR(INDEX(_xlfn.ANCHORARRAY(_xlfn.XLOOKUP($C2,'-ref_Distribution'!$B$101:$B$109,'-ref_Distribution'!$G$101:$G$109)),RIGHT(BV$1,2)),"")</f>
        <v>434</v>
      </c>
      <c r="BW2" s="16" cm="1">
        <f t="array" ref="BW2">IFERROR(INDEX(_xlfn.ANCHORARRAY(_xlfn.XLOOKUP($C2,'-ref_Distribution'!$B$101:$B$109,'-ref_Distribution'!$G$101:$G$109)),RIGHT(BW$1,2)),"")</f>
        <v>387</v>
      </c>
      <c r="BX2" s="16" cm="1">
        <f t="array" ref="BX2">IFERROR(INDEX(_xlfn.ANCHORARRAY(_xlfn.XLOOKUP($C2,'-ref_Distribution'!$B$101:$B$109,'-ref_Distribution'!$G$101:$G$109)),RIGHT(BX$1,2)),"")</f>
        <v>340</v>
      </c>
      <c r="BY2" s="16" cm="1">
        <f t="array" ref="BY2">IFERROR(INDEX(_xlfn.ANCHORARRAY(_xlfn.XLOOKUP($C2,'-ref_Distribution'!$B$101:$B$109,'-ref_Distribution'!$G$101:$G$109)),RIGHT(BY$1,2)),"")</f>
        <v>296</v>
      </c>
      <c r="BZ2" s="16" cm="1">
        <f t="array" ref="BZ2">IFERROR(INDEX(_xlfn.ANCHORARRAY(_xlfn.XLOOKUP($C2,'-ref_Distribution'!$B$101:$B$109,'-ref_Distribution'!$G$101:$G$109)),RIGHT(BZ$1,2)),"")</f>
        <v>255</v>
      </c>
      <c r="CA2" s="16" cm="1">
        <f t="array" ref="CA2">IFERROR(INDEX(_xlfn.ANCHORARRAY(_xlfn.XLOOKUP($C2,'-ref_Distribution'!$B$101:$B$109,'-ref_Distribution'!$G$101:$G$109)),RIGHT(CA$1,2)),"")</f>
        <v>217</v>
      </c>
      <c r="CB2" s="16" cm="1">
        <f t="array" ref="CB2">IFERROR(INDEX(_xlfn.ANCHORARRAY(_xlfn.XLOOKUP($C2,'-ref_Distribution'!$B$101:$B$109,'-ref_Distribution'!$G$101:$G$109)),RIGHT(CB$1,2)),"")</f>
        <v>183</v>
      </c>
      <c r="CC2" s="16" cm="1">
        <f t="array" ref="CC2">IFERROR(INDEX(_xlfn.ANCHORARRAY(_xlfn.XLOOKUP($C2,'-ref_Distribution'!$B$101:$B$109,'-ref_Distribution'!$G$101:$G$109)),RIGHT(CC$1,2)),"")</f>
        <v>152</v>
      </c>
      <c r="CD2" s="16" cm="1">
        <f t="array" ref="CD2">IFERROR(INDEX(_xlfn.ANCHORARRAY(_xlfn.XLOOKUP($C2,'-ref_Distribution'!$B$101:$B$109,'-ref_Distribution'!$G$101:$G$109)),RIGHT(CD$1,2)),"")</f>
        <v>126</v>
      </c>
      <c r="CE2" s="16" cm="1">
        <f t="array" ref="CE2">IFERROR(INDEX(_xlfn.ANCHORARRAY(_xlfn.XLOOKUP($C2,'-ref_Distribution'!$B$101:$B$109,'-ref_Distribution'!$G$101:$G$109)),RIGHT(CE$1,2)),"")</f>
        <v>102</v>
      </c>
      <c r="CF2" s="16"/>
      <c r="CG2" s="16"/>
      <c r="CH2" s="16"/>
      <c r="CI2" s="16"/>
      <c r="CJ2" s="16"/>
      <c r="CK2" s="16"/>
      <c r="CL2" s="16"/>
    </row>
    <row r="3" spans="1:90" x14ac:dyDescent="0.2">
      <c r="A3" s="16">
        <v>15102</v>
      </c>
      <c r="B3" s="16" t="s">
        <v>177</v>
      </c>
      <c r="C3" s="16">
        <v>8</v>
      </c>
      <c r="D3" s="16" cm="1">
        <f t="array" ref="D3">IFERROR(INDEX(_xlfn.ANCHORARRAY(_xlfn.XLOOKUP($C3,'-ref_Distribution'!$B$101:$B$109,'-ref_Distribution'!$G$101:$G$109)),RIGHT(D$1,2)),"")</f>
        <v>756</v>
      </c>
      <c r="E3" s="16" cm="1">
        <f t="array" ref="E3">IFERROR(INDEX(_xlfn.ANCHORARRAY(_xlfn.XLOOKUP($C3,'-ref_Distribution'!$B$101:$B$109,'-ref_Distribution'!$G$101:$G$109)),RIGHT(E$1,2)),"")</f>
        <v>752</v>
      </c>
      <c r="F3" s="16" cm="1">
        <f t="array" ref="F3">IFERROR(INDEX(_xlfn.ANCHORARRAY(_xlfn.XLOOKUP($C3,'-ref_Distribution'!$B$101:$B$109,'-ref_Distribution'!$G$101:$G$109)),RIGHT(F$1,2)),"")</f>
        <v>739</v>
      </c>
      <c r="G3" s="16" cm="1">
        <f t="array" ref="G3">IFERROR(INDEX(_xlfn.ANCHORARRAY(_xlfn.XLOOKUP($C3,'-ref_Distribution'!$B$101:$B$109,'-ref_Distribution'!$G$101:$G$109)),RIGHT(G$1,2)),"")</f>
        <v>719</v>
      </c>
      <c r="H3" s="16" cm="1">
        <f t="array" ref="H3">IFERROR(INDEX(_xlfn.ANCHORARRAY(_xlfn.XLOOKUP($C3,'-ref_Distribution'!$B$101:$B$109,'-ref_Distribution'!$G$101:$G$109)),RIGHT(H$1,2)),"")</f>
        <v>692</v>
      </c>
      <c r="I3" s="16" cm="1">
        <f t="array" ref="I3">IFERROR(INDEX(_xlfn.ANCHORARRAY(_xlfn.XLOOKUP($C3,'-ref_Distribution'!$B$101:$B$109,'-ref_Distribution'!$G$101:$G$109)),RIGHT(I$1,2)),"")</f>
        <v>658</v>
      </c>
      <c r="J3" s="16" cm="1">
        <f t="array" ref="J3">IFERROR(INDEX(_xlfn.ANCHORARRAY(_xlfn.XLOOKUP($C3,'-ref_Distribution'!$B$101:$B$109,'-ref_Distribution'!$G$101:$G$109)),RIGHT(J$1,2)),"")</f>
        <v>619</v>
      </c>
      <c r="K3" s="16" cm="1">
        <f t="array" ref="K3">IFERROR(INDEX(_xlfn.ANCHORARRAY(_xlfn.XLOOKUP($C3,'-ref_Distribution'!$B$101:$B$109,'-ref_Distribution'!$G$101:$G$109)),RIGHT(K$1,2)),"")</f>
        <v>576</v>
      </c>
      <c r="L3" s="16" cm="1">
        <f t="array" ref="L3">IFERROR(INDEX(_xlfn.ANCHORARRAY(_xlfn.XLOOKUP($C3,'-ref_Distribution'!$B$101:$B$109,'-ref_Distribution'!$G$101:$G$109)),RIGHT(L$1,2)),"")</f>
        <v>530</v>
      </c>
      <c r="M3" s="16" cm="1">
        <f t="array" ref="M3">IFERROR(INDEX(_xlfn.ANCHORARRAY(_xlfn.XLOOKUP($C3,'-ref_Distribution'!$B$101:$B$109,'-ref_Distribution'!$G$101:$G$109)),RIGHT(M$1,2)),"")</f>
        <v>483</v>
      </c>
      <c r="N3" s="16" cm="1">
        <f t="array" ref="N3">IFERROR(INDEX(_xlfn.ANCHORARRAY(_xlfn.XLOOKUP($C3,'-ref_Distribution'!$B$101:$B$109,'-ref_Distribution'!$G$101:$G$109)),RIGHT(N$1,2)),"")</f>
        <v>434</v>
      </c>
      <c r="O3" s="16" cm="1">
        <f t="array" ref="O3">IFERROR(INDEX(_xlfn.ANCHORARRAY(_xlfn.XLOOKUP($C3,'-ref_Distribution'!$B$101:$B$109,'-ref_Distribution'!$G$101:$G$109)),RIGHT(O$1,2)),"")</f>
        <v>387</v>
      </c>
      <c r="P3" s="16" cm="1">
        <f t="array" ref="P3">IFERROR(INDEX(_xlfn.ANCHORARRAY(_xlfn.XLOOKUP($C3,'-ref_Distribution'!$B$101:$B$109,'-ref_Distribution'!$G$101:$G$109)),RIGHT(P$1,2)),"")</f>
        <v>340</v>
      </c>
      <c r="Q3" s="16" cm="1">
        <f t="array" ref="Q3">IFERROR(INDEX(_xlfn.ANCHORARRAY(_xlfn.XLOOKUP($C3,'-ref_Distribution'!$B$101:$B$109,'-ref_Distribution'!$G$101:$G$109)),RIGHT(Q$1,2)),"")</f>
        <v>296</v>
      </c>
      <c r="R3" s="16" cm="1">
        <f t="array" ref="R3">IFERROR(INDEX(_xlfn.ANCHORARRAY(_xlfn.XLOOKUP($C3,'-ref_Distribution'!$B$101:$B$109,'-ref_Distribution'!$G$101:$G$109)),RIGHT(R$1,2)),"")</f>
        <v>255</v>
      </c>
      <c r="S3" s="16" cm="1">
        <f t="array" ref="S3">IFERROR(INDEX(_xlfn.ANCHORARRAY(_xlfn.XLOOKUP($C3,'-ref_Distribution'!$B$101:$B$109,'-ref_Distribution'!$G$101:$G$109)),RIGHT(S$1,2)),"")</f>
        <v>217</v>
      </c>
      <c r="T3" s="16" cm="1">
        <f t="array" ref="T3">IFERROR(INDEX(_xlfn.ANCHORARRAY(_xlfn.XLOOKUP($C3,'-ref_Distribution'!$B$101:$B$109,'-ref_Distribution'!$G$101:$G$109)),RIGHT(T$1,2)),"")</f>
        <v>183</v>
      </c>
      <c r="U3" s="16" cm="1">
        <f t="array" ref="U3">IFERROR(INDEX(_xlfn.ANCHORARRAY(_xlfn.XLOOKUP($C3,'-ref_Distribution'!$B$101:$B$109,'-ref_Distribution'!$G$101:$G$109)),RIGHT(U$1,2)),"")</f>
        <v>152</v>
      </c>
      <c r="V3" s="16" cm="1">
        <f t="array" ref="V3">IFERROR(INDEX(_xlfn.ANCHORARRAY(_xlfn.XLOOKUP($C3,'-ref_Distribution'!$B$101:$B$109,'-ref_Distribution'!$G$101:$G$109)),RIGHT(V$1,2)),"")</f>
        <v>126</v>
      </c>
      <c r="W3" s="16" cm="1">
        <f t="array" ref="W3">IFERROR(INDEX(_xlfn.ANCHORARRAY(_xlfn.XLOOKUP($C3,'-ref_Distribution'!$B$101:$B$109,'-ref_Distribution'!$G$101:$G$109)),RIGHT(W$1,2)),"")</f>
        <v>102</v>
      </c>
      <c r="X3" s="16" cm="1">
        <f t="array" ref="X3">IFERROR(INDEX(_xlfn.ANCHORARRAY(_xlfn.XLOOKUP($C3,'-ref_Distribution'!$B$101:$B$109,'-ref_Distribution'!$G$101:$G$109)),RIGHT(X$1,2)),"")</f>
        <v>756</v>
      </c>
      <c r="Y3" s="16" cm="1">
        <f t="array" ref="Y3">IFERROR(INDEX(_xlfn.ANCHORARRAY(_xlfn.XLOOKUP($C3,'-ref_Distribution'!$B$101:$B$109,'-ref_Distribution'!$G$101:$G$109)),RIGHT(Y$1,2)),"")</f>
        <v>752</v>
      </c>
      <c r="Z3" s="16" cm="1">
        <f t="array" ref="Z3">IFERROR(INDEX(_xlfn.ANCHORARRAY(_xlfn.XLOOKUP($C3,'-ref_Distribution'!$B$101:$B$109,'-ref_Distribution'!$G$101:$G$109)),RIGHT(Z$1,2)),"")</f>
        <v>739</v>
      </c>
      <c r="AA3" s="16" cm="1">
        <f t="array" ref="AA3">IFERROR(INDEX(_xlfn.ANCHORARRAY(_xlfn.XLOOKUP($C3,'-ref_Distribution'!$B$101:$B$109,'-ref_Distribution'!$G$101:$G$109)),RIGHT(AA$1,2)),"")</f>
        <v>719</v>
      </c>
      <c r="AB3" s="16" cm="1">
        <f t="array" ref="AB3">IFERROR(INDEX(_xlfn.ANCHORARRAY(_xlfn.XLOOKUP($C3,'-ref_Distribution'!$B$101:$B$109,'-ref_Distribution'!$G$101:$G$109)),RIGHT(AB$1,2)),"")</f>
        <v>692</v>
      </c>
      <c r="AC3" s="16" cm="1">
        <f t="array" ref="AC3">IFERROR(INDEX(_xlfn.ANCHORARRAY(_xlfn.XLOOKUP($C3,'-ref_Distribution'!$B$101:$B$109,'-ref_Distribution'!$G$101:$G$109)),RIGHT(AC$1,2)),"")</f>
        <v>658</v>
      </c>
      <c r="AD3" s="16" cm="1">
        <f t="array" ref="AD3">IFERROR(INDEX(_xlfn.ANCHORARRAY(_xlfn.XLOOKUP($C3,'-ref_Distribution'!$B$101:$B$109,'-ref_Distribution'!$G$101:$G$109)),RIGHT(AD$1,2)),"")</f>
        <v>619</v>
      </c>
      <c r="AE3" s="16" cm="1">
        <f t="array" ref="AE3">IFERROR(INDEX(_xlfn.ANCHORARRAY(_xlfn.XLOOKUP($C3,'-ref_Distribution'!$B$101:$B$109,'-ref_Distribution'!$G$101:$G$109)),RIGHT(AE$1,2)),"")</f>
        <v>576</v>
      </c>
      <c r="AF3" s="16" cm="1">
        <f t="array" ref="AF3">IFERROR(INDEX(_xlfn.ANCHORARRAY(_xlfn.XLOOKUP($C3,'-ref_Distribution'!$B$101:$B$109,'-ref_Distribution'!$G$101:$G$109)),RIGHT(AF$1,2)),"")</f>
        <v>530</v>
      </c>
      <c r="AG3" s="16" cm="1">
        <f t="array" ref="AG3">IFERROR(INDEX(_xlfn.ANCHORARRAY(_xlfn.XLOOKUP($C3,'-ref_Distribution'!$B$101:$B$109,'-ref_Distribution'!$G$101:$G$109)),RIGHT(AG$1,2)),"")</f>
        <v>483</v>
      </c>
      <c r="AH3" s="16" cm="1">
        <f t="array" ref="AH3">IFERROR(INDEX(_xlfn.ANCHORARRAY(_xlfn.XLOOKUP($C3,'-ref_Distribution'!$B$101:$B$109,'-ref_Distribution'!$G$101:$G$109)),RIGHT(AH$1,2)),"")</f>
        <v>434</v>
      </c>
      <c r="AI3" s="16" cm="1">
        <f t="array" ref="AI3">IFERROR(INDEX(_xlfn.ANCHORARRAY(_xlfn.XLOOKUP($C3,'-ref_Distribution'!$B$101:$B$109,'-ref_Distribution'!$G$101:$G$109)),RIGHT(AI$1,2)),"")</f>
        <v>387</v>
      </c>
      <c r="AJ3" s="16" cm="1">
        <f t="array" ref="AJ3">IFERROR(INDEX(_xlfn.ANCHORARRAY(_xlfn.XLOOKUP($C3,'-ref_Distribution'!$B$101:$B$109,'-ref_Distribution'!$G$101:$G$109)),RIGHT(AJ$1,2)),"")</f>
        <v>340</v>
      </c>
      <c r="AK3" s="16" cm="1">
        <f t="array" ref="AK3">IFERROR(INDEX(_xlfn.ANCHORARRAY(_xlfn.XLOOKUP($C3,'-ref_Distribution'!$B$101:$B$109,'-ref_Distribution'!$G$101:$G$109)),RIGHT(AK$1,2)),"")</f>
        <v>296</v>
      </c>
      <c r="AL3" s="16" cm="1">
        <f t="array" ref="AL3">IFERROR(INDEX(_xlfn.ANCHORARRAY(_xlfn.XLOOKUP($C3,'-ref_Distribution'!$B$101:$B$109,'-ref_Distribution'!$G$101:$G$109)),RIGHT(AL$1,2)),"")</f>
        <v>255</v>
      </c>
      <c r="AM3" s="16" cm="1">
        <f t="array" ref="AM3">IFERROR(INDEX(_xlfn.ANCHORARRAY(_xlfn.XLOOKUP($C3,'-ref_Distribution'!$B$101:$B$109,'-ref_Distribution'!$G$101:$G$109)),RIGHT(AM$1,2)),"")</f>
        <v>217</v>
      </c>
      <c r="AN3" s="16" cm="1">
        <f t="array" ref="AN3">IFERROR(INDEX(_xlfn.ANCHORARRAY(_xlfn.XLOOKUP($C3,'-ref_Distribution'!$B$101:$B$109,'-ref_Distribution'!$G$101:$G$109)),RIGHT(AN$1,2)),"")</f>
        <v>183</v>
      </c>
      <c r="AO3" s="16" cm="1">
        <f t="array" ref="AO3">IFERROR(INDEX(_xlfn.ANCHORARRAY(_xlfn.XLOOKUP($C3,'-ref_Distribution'!$B$101:$B$109,'-ref_Distribution'!$G$101:$G$109)),RIGHT(AO$1,2)),"")</f>
        <v>152</v>
      </c>
      <c r="AP3" s="16" cm="1">
        <f t="array" ref="AP3">IFERROR(INDEX(_xlfn.ANCHORARRAY(_xlfn.XLOOKUP($C3,'-ref_Distribution'!$B$101:$B$109,'-ref_Distribution'!$G$101:$G$109)),RIGHT(AP$1,2)),"")</f>
        <v>126</v>
      </c>
      <c r="AQ3" s="16" cm="1">
        <f t="array" ref="AQ3">IFERROR(INDEX(_xlfn.ANCHORARRAY(_xlfn.XLOOKUP($C3,'-ref_Distribution'!$B$101:$B$109,'-ref_Distribution'!$G$101:$G$109)),RIGHT(AQ$1,2)),"")</f>
        <v>102</v>
      </c>
      <c r="AR3" s="16" cm="1">
        <f t="array" ref="AR3">IFERROR(INDEX(_xlfn.ANCHORARRAY(_xlfn.XLOOKUP($C3,'-ref_Distribution'!$B$101:$B$109,'-ref_Distribution'!$G$101:$G$109)),RIGHT(AR$1,2)),"")</f>
        <v>756</v>
      </c>
      <c r="AS3" s="16" cm="1">
        <f t="array" ref="AS3">IFERROR(INDEX(_xlfn.ANCHORARRAY(_xlfn.XLOOKUP($C3,'-ref_Distribution'!$B$101:$B$109,'-ref_Distribution'!$G$101:$G$109)),RIGHT(AS$1,2)),"")</f>
        <v>752</v>
      </c>
      <c r="AT3" s="16" cm="1">
        <f t="array" ref="AT3">IFERROR(INDEX(_xlfn.ANCHORARRAY(_xlfn.XLOOKUP($C3,'-ref_Distribution'!$B$101:$B$109,'-ref_Distribution'!$G$101:$G$109)),RIGHT(AT$1,2)),"")</f>
        <v>739</v>
      </c>
      <c r="AU3" s="16" cm="1">
        <f t="array" ref="AU3">IFERROR(INDEX(_xlfn.ANCHORARRAY(_xlfn.XLOOKUP($C3,'-ref_Distribution'!$B$101:$B$109,'-ref_Distribution'!$G$101:$G$109)),RIGHT(AU$1,2)),"")</f>
        <v>719</v>
      </c>
      <c r="AV3" s="16" cm="1">
        <f t="array" ref="AV3">IFERROR(INDEX(_xlfn.ANCHORARRAY(_xlfn.XLOOKUP($C3,'-ref_Distribution'!$B$101:$B$109,'-ref_Distribution'!$G$101:$G$109)),RIGHT(AV$1,2)),"")</f>
        <v>692</v>
      </c>
      <c r="AW3" s="16" cm="1">
        <f t="array" ref="AW3">IFERROR(INDEX(_xlfn.ANCHORARRAY(_xlfn.XLOOKUP($C3,'-ref_Distribution'!$B$101:$B$109,'-ref_Distribution'!$G$101:$G$109)),RIGHT(AW$1,2)),"")</f>
        <v>658</v>
      </c>
      <c r="AX3" s="16" cm="1">
        <f t="array" ref="AX3">IFERROR(INDEX(_xlfn.ANCHORARRAY(_xlfn.XLOOKUP($C3,'-ref_Distribution'!$B$101:$B$109,'-ref_Distribution'!$G$101:$G$109)),RIGHT(AX$1,2)),"")</f>
        <v>619</v>
      </c>
      <c r="AY3" s="16" cm="1">
        <f t="array" ref="AY3">IFERROR(INDEX(_xlfn.ANCHORARRAY(_xlfn.XLOOKUP($C3,'-ref_Distribution'!$B$101:$B$109,'-ref_Distribution'!$G$101:$G$109)),RIGHT(AY$1,2)),"")</f>
        <v>576</v>
      </c>
      <c r="AZ3" s="16" cm="1">
        <f t="array" ref="AZ3">IFERROR(INDEX(_xlfn.ANCHORARRAY(_xlfn.XLOOKUP($C3,'-ref_Distribution'!$B$101:$B$109,'-ref_Distribution'!$G$101:$G$109)),RIGHT(AZ$1,2)),"")</f>
        <v>530</v>
      </c>
      <c r="BA3" s="16" cm="1">
        <f t="array" ref="BA3">IFERROR(INDEX(_xlfn.ANCHORARRAY(_xlfn.XLOOKUP($C3,'-ref_Distribution'!$B$101:$B$109,'-ref_Distribution'!$G$101:$G$109)),RIGHT(BA$1,2)),"")</f>
        <v>483</v>
      </c>
      <c r="BB3" s="16" cm="1">
        <f t="array" ref="BB3">IFERROR(INDEX(_xlfn.ANCHORARRAY(_xlfn.XLOOKUP($C3,'-ref_Distribution'!$B$101:$B$109,'-ref_Distribution'!$G$101:$G$109)),RIGHT(BB$1,2)),"")</f>
        <v>434</v>
      </c>
      <c r="BC3" s="16" cm="1">
        <f t="array" ref="BC3">IFERROR(INDEX(_xlfn.ANCHORARRAY(_xlfn.XLOOKUP($C3,'-ref_Distribution'!$B$101:$B$109,'-ref_Distribution'!$G$101:$G$109)),RIGHT(BC$1,2)),"")</f>
        <v>387</v>
      </c>
      <c r="BD3" s="16" cm="1">
        <f t="array" ref="BD3">IFERROR(INDEX(_xlfn.ANCHORARRAY(_xlfn.XLOOKUP($C3,'-ref_Distribution'!$B$101:$B$109,'-ref_Distribution'!$G$101:$G$109)),RIGHT(BD$1,2)),"")</f>
        <v>340</v>
      </c>
      <c r="BE3" s="16" cm="1">
        <f t="array" ref="BE3">IFERROR(INDEX(_xlfn.ANCHORARRAY(_xlfn.XLOOKUP($C3,'-ref_Distribution'!$B$101:$B$109,'-ref_Distribution'!$G$101:$G$109)),RIGHT(BE$1,2)),"")</f>
        <v>296</v>
      </c>
      <c r="BF3" s="16" cm="1">
        <f t="array" ref="BF3">IFERROR(INDEX(_xlfn.ANCHORARRAY(_xlfn.XLOOKUP($C3,'-ref_Distribution'!$B$101:$B$109,'-ref_Distribution'!$G$101:$G$109)),RIGHT(BF$1,2)),"")</f>
        <v>255</v>
      </c>
      <c r="BG3" s="16" cm="1">
        <f t="array" ref="BG3">IFERROR(INDEX(_xlfn.ANCHORARRAY(_xlfn.XLOOKUP($C3,'-ref_Distribution'!$B$101:$B$109,'-ref_Distribution'!$G$101:$G$109)),RIGHT(BG$1,2)),"")</f>
        <v>217</v>
      </c>
      <c r="BH3" s="16" cm="1">
        <f t="array" ref="BH3">IFERROR(INDEX(_xlfn.ANCHORARRAY(_xlfn.XLOOKUP($C3,'-ref_Distribution'!$B$101:$B$109,'-ref_Distribution'!$G$101:$G$109)),RIGHT(BH$1,2)),"")</f>
        <v>183</v>
      </c>
      <c r="BI3" s="16" cm="1">
        <f t="array" ref="BI3">IFERROR(INDEX(_xlfn.ANCHORARRAY(_xlfn.XLOOKUP($C3,'-ref_Distribution'!$B$101:$B$109,'-ref_Distribution'!$G$101:$G$109)),RIGHT(BI$1,2)),"")</f>
        <v>152</v>
      </c>
      <c r="BJ3" s="16" cm="1">
        <f t="array" ref="BJ3">IFERROR(INDEX(_xlfn.ANCHORARRAY(_xlfn.XLOOKUP($C3,'-ref_Distribution'!$B$101:$B$109,'-ref_Distribution'!$G$101:$G$109)),RIGHT(BJ$1,2)),"")</f>
        <v>126</v>
      </c>
      <c r="BK3" s="16" cm="1">
        <f t="array" ref="BK3">IFERROR(INDEX(_xlfn.ANCHORARRAY(_xlfn.XLOOKUP($C3,'-ref_Distribution'!$B$101:$B$109,'-ref_Distribution'!$G$101:$G$109)),RIGHT(BK$1,2)),"")</f>
        <v>102</v>
      </c>
      <c r="BL3" s="16" cm="1">
        <f t="array" ref="BL3">IFERROR(INDEX(_xlfn.ANCHORARRAY(_xlfn.XLOOKUP($C3,'-ref_Distribution'!$B$101:$B$109,'-ref_Distribution'!$G$101:$G$109)),RIGHT(BL$1,2)),"")</f>
        <v>756</v>
      </c>
      <c r="BM3" s="16" cm="1">
        <f t="array" ref="BM3">IFERROR(INDEX(_xlfn.ANCHORARRAY(_xlfn.XLOOKUP($C3,'-ref_Distribution'!$B$101:$B$109,'-ref_Distribution'!$G$101:$G$109)),RIGHT(BM$1,2)),"")</f>
        <v>752</v>
      </c>
      <c r="BN3" s="16" cm="1">
        <f t="array" ref="BN3">IFERROR(INDEX(_xlfn.ANCHORARRAY(_xlfn.XLOOKUP($C3,'-ref_Distribution'!$B$101:$B$109,'-ref_Distribution'!$G$101:$G$109)),RIGHT(BN$1,2)),"")</f>
        <v>739</v>
      </c>
      <c r="BO3" s="16" cm="1">
        <f t="array" ref="BO3">IFERROR(INDEX(_xlfn.ANCHORARRAY(_xlfn.XLOOKUP($C3,'-ref_Distribution'!$B$101:$B$109,'-ref_Distribution'!$G$101:$G$109)),RIGHT(BO$1,2)),"")</f>
        <v>719</v>
      </c>
      <c r="BP3" s="16" cm="1">
        <f t="array" ref="BP3">IFERROR(INDEX(_xlfn.ANCHORARRAY(_xlfn.XLOOKUP($C3,'-ref_Distribution'!$B$101:$B$109,'-ref_Distribution'!$G$101:$G$109)),RIGHT(BP$1,2)),"")</f>
        <v>692</v>
      </c>
      <c r="BQ3" s="16" cm="1">
        <f t="array" ref="BQ3">IFERROR(INDEX(_xlfn.ANCHORARRAY(_xlfn.XLOOKUP($C3,'-ref_Distribution'!$B$101:$B$109,'-ref_Distribution'!$G$101:$G$109)),RIGHT(BQ$1,2)),"")</f>
        <v>658</v>
      </c>
      <c r="BR3" s="16" cm="1">
        <f t="array" ref="BR3">IFERROR(INDEX(_xlfn.ANCHORARRAY(_xlfn.XLOOKUP($C3,'-ref_Distribution'!$B$101:$B$109,'-ref_Distribution'!$G$101:$G$109)),RIGHT(BR$1,2)),"")</f>
        <v>619</v>
      </c>
      <c r="BS3" s="16" cm="1">
        <f t="array" ref="BS3">IFERROR(INDEX(_xlfn.ANCHORARRAY(_xlfn.XLOOKUP($C3,'-ref_Distribution'!$B$101:$B$109,'-ref_Distribution'!$G$101:$G$109)),RIGHT(BS$1,2)),"")</f>
        <v>576</v>
      </c>
      <c r="BT3" s="16" cm="1">
        <f t="array" ref="BT3">IFERROR(INDEX(_xlfn.ANCHORARRAY(_xlfn.XLOOKUP($C3,'-ref_Distribution'!$B$101:$B$109,'-ref_Distribution'!$G$101:$G$109)),RIGHT(BT$1,2)),"")</f>
        <v>530</v>
      </c>
      <c r="BU3" s="16" cm="1">
        <f t="array" ref="BU3">IFERROR(INDEX(_xlfn.ANCHORARRAY(_xlfn.XLOOKUP($C3,'-ref_Distribution'!$B$101:$B$109,'-ref_Distribution'!$G$101:$G$109)),RIGHT(BU$1,2)),"")</f>
        <v>483</v>
      </c>
      <c r="BV3" s="16" cm="1">
        <f t="array" ref="BV3">IFERROR(INDEX(_xlfn.ANCHORARRAY(_xlfn.XLOOKUP($C3,'-ref_Distribution'!$B$101:$B$109,'-ref_Distribution'!$G$101:$G$109)),RIGHT(BV$1,2)),"")</f>
        <v>434</v>
      </c>
      <c r="BW3" s="16" cm="1">
        <f t="array" ref="BW3">IFERROR(INDEX(_xlfn.ANCHORARRAY(_xlfn.XLOOKUP($C3,'-ref_Distribution'!$B$101:$B$109,'-ref_Distribution'!$G$101:$G$109)),RIGHT(BW$1,2)),"")</f>
        <v>387</v>
      </c>
      <c r="BX3" s="16" cm="1">
        <f t="array" ref="BX3">IFERROR(INDEX(_xlfn.ANCHORARRAY(_xlfn.XLOOKUP($C3,'-ref_Distribution'!$B$101:$B$109,'-ref_Distribution'!$G$101:$G$109)),RIGHT(BX$1,2)),"")</f>
        <v>340</v>
      </c>
      <c r="BY3" s="16" cm="1">
        <f t="array" ref="BY3">IFERROR(INDEX(_xlfn.ANCHORARRAY(_xlfn.XLOOKUP($C3,'-ref_Distribution'!$B$101:$B$109,'-ref_Distribution'!$G$101:$G$109)),RIGHT(BY$1,2)),"")</f>
        <v>296</v>
      </c>
      <c r="BZ3" s="16" cm="1">
        <f t="array" ref="BZ3">IFERROR(INDEX(_xlfn.ANCHORARRAY(_xlfn.XLOOKUP($C3,'-ref_Distribution'!$B$101:$B$109,'-ref_Distribution'!$G$101:$G$109)),RIGHT(BZ$1,2)),"")</f>
        <v>255</v>
      </c>
      <c r="CA3" s="16" cm="1">
        <f t="array" ref="CA3">IFERROR(INDEX(_xlfn.ANCHORARRAY(_xlfn.XLOOKUP($C3,'-ref_Distribution'!$B$101:$B$109,'-ref_Distribution'!$G$101:$G$109)),RIGHT(CA$1,2)),"")</f>
        <v>217</v>
      </c>
      <c r="CB3" s="16" cm="1">
        <f t="array" ref="CB3">IFERROR(INDEX(_xlfn.ANCHORARRAY(_xlfn.XLOOKUP($C3,'-ref_Distribution'!$B$101:$B$109,'-ref_Distribution'!$G$101:$G$109)),RIGHT(CB$1,2)),"")</f>
        <v>183</v>
      </c>
      <c r="CC3" s="16" cm="1">
        <f t="array" ref="CC3">IFERROR(INDEX(_xlfn.ANCHORARRAY(_xlfn.XLOOKUP($C3,'-ref_Distribution'!$B$101:$B$109,'-ref_Distribution'!$G$101:$G$109)),RIGHT(CC$1,2)),"")</f>
        <v>152</v>
      </c>
      <c r="CD3" s="16" cm="1">
        <f t="array" ref="CD3">IFERROR(INDEX(_xlfn.ANCHORARRAY(_xlfn.XLOOKUP($C3,'-ref_Distribution'!$B$101:$B$109,'-ref_Distribution'!$G$101:$G$109)),RIGHT(CD$1,2)),"")</f>
        <v>126</v>
      </c>
      <c r="CE3" s="16" cm="1">
        <f t="array" ref="CE3">IFERROR(INDEX(_xlfn.ANCHORARRAY(_xlfn.XLOOKUP($C3,'-ref_Distribution'!$B$101:$B$109,'-ref_Distribution'!$G$101:$G$109)),RIGHT(CE$1,2)),"")</f>
        <v>102</v>
      </c>
      <c r="CF3" s="16"/>
      <c r="CG3" s="16"/>
      <c r="CH3" s="16"/>
      <c r="CI3" s="16"/>
      <c r="CJ3" s="16"/>
      <c r="CK3" s="16"/>
      <c r="CL3" s="16"/>
    </row>
    <row r="4" spans="1:90" x14ac:dyDescent="0.2">
      <c r="A4" s="16">
        <v>15103</v>
      </c>
      <c r="B4" s="16" t="s">
        <v>178</v>
      </c>
      <c r="C4" s="16">
        <v>8</v>
      </c>
      <c r="D4" s="16" cm="1">
        <f t="array" ref="D4">IFERROR(INDEX(_xlfn.ANCHORARRAY(_xlfn.XLOOKUP($C4,'-ref_Distribution'!$B$101:$B$109,'-ref_Distribution'!$G$101:$G$109)),RIGHT(D$1,2)),"")</f>
        <v>756</v>
      </c>
      <c r="E4" s="16" cm="1">
        <f t="array" ref="E4">IFERROR(INDEX(_xlfn.ANCHORARRAY(_xlfn.XLOOKUP($C4,'-ref_Distribution'!$B$101:$B$109,'-ref_Distribution'!$G$101:$G$109)),RIGHT(E$1,2)),"")</f>
        <v>752</v>
      </c>
      <c r="F4" s="16" cm="1">
        <f t="array" ref="F4">IFERROR(INDEX(_xlfn.ANCHORARRAY(_xlfn.XLOOKUP($C4,'-ref_Distribution'!$B$101:$B$109,'-ref_Distribution'!$G$101:$G$109)),RIGHT(F$1,2)),"")</f>
        <v>739</v>
      </c>
      <c r="G4" s="16" cm="1">
        <f t="array" ref="G4">IFERROR(INDEX(_xlfn.ANCHORARRAY(_xlfn.XLOOKUP($C4,'-ref_Distribution'!$B$101:$B$109,'-ref_Distribution'!$G$101:$G$109)),RIGHT(G$1,2)),"")</f>
        <v>719</v>
      </c>
      <c r="H4" s="16" cm="1">
        <f t="array" ref="H4">IFERROR(INDEX(_xlfn.ANCHORARRAY(_xlfn.XLOOKUP($C4,'-ref_Distribution'!$B$101:$B$109,'-ref_Distribution'!$G$101:$G$109)),RIGHT(H$1,2)),"")</f>
        <v>692</v>
      </c>
      <c r="I4" s="16" cm="1">
        <f t="array" ref="I4">IFERROR(INDEX(_xlfn.ANCHORARRAY(_xlfn.XLOOKUP($C4,'-ref_Distribution'!$B$101:$B$109,'-ref_Distribution'!$G$101:$G$109)),RIGHT(I$1,2)),"")</f>
        <v>658</v>
      </c>
      <c r="J4" s="16" cm="1">
        <f t="array" ref="J4">IFERROR(INDEX(_xlfn.ANCHORARRAY(_xlfn.XLOOKUP($C4,'-ref_Distribution'!$B$101:$B$109,'-ref_Distribution'!$G$101:$G$109)),RIGHT(J$1,2)),"")</f>
        <v>619</v>
      </c>
      <c r="K4" s="16" cm="1">
        <f t="array" ref="K4">IFERROR(INDEX(_xlfn.ANCHORARRAY(_xlfn.XLOOKUP($C4,'-ref_Distribution'!$B$101:$B$109,'-ref_Distribution'!$G$101:$G$109)),RIGHT(K$1,2)),"")</f>
        <v>576</v>
      </c>
      <c r="L4" s="16" cm="1">
        <f t="array" ref="L4">IFERROR(INDEX(_xlfn.ANCHORARRAY(_xlfn.XLOOKUP($C4,'-ref_Distribution'!$B$101:$B$109,'-ref_Distribution'!$G$101:$G$109)),RIGHT(L$1,2)),"")</f>
        <v>530</v>
      </c>
      <c r="M4" s="16" cm="1">
        <f t="array" ref="M4">IFERROR(INDEX(_xlfn.ANCHORARRAY(_xlfn.XLOOKUP($C4,'-ref_Distribution'!$B$101:$B$109,'-ref_Distribution'!$G$101:$G$109)),RIGHT(M$1,2)),"")</f>
        <v>483</v>
      </c>
      <c r="N4" s="16" cm="1">
        <f t="array" ref="N4">IFERROR(INDEX(_xlfn.ANCHORARRAY(_xlfn.XLOOKUP($C4,'-ref_Distribution'!$B$101:$B$109,'-ref_Distribution'!$G$101:$G$109)),RIGHT(N$1,2)),"")</f>
        <v>434</v>
      </c>
      <c r="O4" s="16" cm="1">
        <f t="array" ref="O4">IFERROR(INDEX(_xlfn.ANCHORARRAY(_xlfn.XLOOKUP($C4,'-ref_Distribution'!$B$101:$B$109,'-ref_Distribution'!$G$101:$G$109)),RIGHT(O$1,2)),"")</f>
        <v>387</v>
      </c>
      <c r="P4" s="16" cm="1">
        <f t="array" ref="P4">IFERROR(INDEX(_xlfn.ANCHORARRAY(_xlfn.XLOOKUP($C4,'-ref_Distribution'!$B$101:$B$109,'-ref_Distribution'!$G$101:$G$109)),RIGHT(P$1,2)),"")</f>
        <v>340</v>
      </c>
      <c r="Q4" s="16" cm="1">
        <f t="array" ref="Q4">IFERROR(INDEX(_xlfn.ANCHORARRAY(_xlfn.XLOOKUP($C4,'-ref_Distribution'!$B$101:$B$109,'-ref_Distribution'!$G$101:$G$109)),RIGHT(Q$1,2)),"")</f>
        <v>296</v>
      </c>
      <c r="R4" s="16" cm="1">
        <f t="array" ref="R4">IFERROR(INDEX(_xlfn.ANCHORARRAY(_xlfn.XLOOKUP($C4,'-ref_Distribution'!$B$101:$B$109,'-ref_Distribution'!$G$101:$G$109)),RIGHT(R$1,2)),"")</f>
        <v>255</v>
      </c>
      <c r="S4" s="16" cm="1">
        <f t="array" ref="S4">IFERROR(INDEX(_xlfn.ANCHORARRAY(_xlfn.XLOOKUP($C4,'-ref_Distribution'!$B$101:$B$109,'-ref_Distribution'!$G$101:$G$109)),RIGHT(S$1,2)),"")</f>
        <v>217</v>
      </c>
      <c r="T4" s="16" cm="1">
        <f t="array" ref="T4">IFERROR(INDEX(_xlfn.ANCHORARRAY(_xlfn.XLOOKUP($C4,'-ref_Distribution'!$B$101:$B$109,'-ref_Distribution'!$G$101:$G$109)),RIGHT(T$1,2)),"")</f>
        <v>183</v>
      </c>
      <c r="U4" s="16" cm="1">
        <f t="array" ref="U4">IFERROR(INDEX(_xlfn.ANCHORARRAY(_xlfn.XLOOKUP($C4,'-ref_Distribution'!$B$101:$B$109,'-ref_Distribution'!$G$101:$G$109)),RIGHT(U$1,2)),"")</f>
        <v>152</v>
      </c>
      <c r="V4" s="16" cm="1">
        <f t="array" ref="V4">IFERROR(INDEX(_xlfn.ANCHORARRAY(_xlfn.XLOOKUP($C4,'-ref_Distribution'!$B$101:$B$109,'-ref_Distribution'!$G$101:$G$109)),RIGHT(V$1,2)),"")</f>
        <v>126</v>
      </c>
      <c r="W4" s="16" cm="1">
        <f t="array" ref="W4">IFERROR(INDEX(_xlfn.ANCHORARRAY(_xlfn.XLOOKUP($C4,'-ref_Distribution'!$B$101:$B$109,'-ref_Distribution'!$G$101:$G$109)),RIGHT(W$1,2)),"")</f>
        <v>102</v>
      </c>
      <c r="X4" s="16" cm="1">
        <f t="array" ref="X4">IFERROR(INDEX(_xlfn.ANCHORARRAY(_xlfn.XLOOKUP($C4,'-ref_Distribution'!$B$101:$B$109,'-ref_Distribution'!$G$101:$G$109)),RIGHT(X$1,2)),"")</f>
        <v>756</v>
      </c>
      <c r="Y4" s="16" cm="1">
        <f t="array" ref="Y4">IFERROR(INDEX(_xlfn.ANCHORARRAY(_xlfn.XLOOKUP($C4,'-ref_Distribution'!$B$101:$B$109,'-ref_Distribution'!$G$101:$G$109)),RIGHT(Y$1,2)),"")</f>
        <v>752</v>
      </c>
      <c r="Z4" s="16" cm="1">
        <f t="array" ref="Z4">IFERROR(INDEX(_xlfn.ANCHORARRAY(_xlfn.XLOOKUP($C4,'-ref_Distribution'!$B$101:$B$109,'-ref_Distribution'!$G$101:$G$109)),RIGHT(Z$1,2)),"")</f>
        <v>739</v>
      </c>
      <c r="AA4" s="16" cm="1">
        <f t="array" ref="AA4">IFERROR(INDEX(_xlfn.ANCHORARRAY(_xlfn.XLOOKUP($C4,'-ref_Distribution'!$B$101:$B$109,'-ref_Distribution'!$G$101:$G$109)),RIGHT(AA$1,2)),"")</f>
        <v>719</v>
      </c>
      <c r="AB4" s="16" cm="1">
        <f t="array" ref="AB4">IFERROR(INDEX(_xlfn.ANCHORARRAY(_xlfn.XLOOKUP($C4,'-ref_Distribution'!$B$101:$B$109,'-ref_Distribution'!$G$101:$G$109)),RIGHT(AB$1,2)),"")</f>
        <v>692</v>
      </c>
      <c r="AC4" s="16" cm="1">
        <f t="array" ref="AC4">IFERROR(INDEX(_xlfn.ANCHORARRAY(_xlfn.XLOOKUP($C4,'-ref_Distribution'!$B$101:$B$109,'-ref_Distribution'!$G$101:$G$109)),RIGHT(AC$1,2)),"")</f>
        <v>658</v>
      </c>
      <c r="AD4" s="16" cm="1">
        <f t="array" ref="AD4">IFERROR(INDEX(_xlfn.ANCHORARRAY(_xlfn.XLOOKUP($C4,'-ref_Distribution'!$B$101:$B$109,'-ref_Distribution'!$G$101:$G$109)),RIGHT(AD$1,2)),"")</f>
        <v>619</v>
      </c>
      <c r="AE4" s="16" cm="1">
        <f t="array" ref="AE4">IFERROR(INDEX(_xlfn.ANCHORARRAY(_xlfn.XLOOKUP($C4,'-ref_Distribution'!$B$101:$B$109,'-ref_Distribution'!$G$101:$G$109)),RIGHT(AE$1,2)),"")</f>
        <v>576</v>
      </c>
      <c r="AF4" s="16" cm="1">
        <f t="array" ref="AF4">IFERROR(INDEX(_xlfn.ANCHORARRAY(_xlfn.XLOOKUP($C4,'-ref_Distribution'!$B$101:$B$109,'-ref_Distribution'!$G$101:$G$109)),RIGHT(AF$1,2)),"")</f>
        <v>530</v>
      </c>
      <c r="AG4" s="16" cm="1">
        <f t="array" ref="AG4">IFERROR(INDEX(_xlfn.ANCHORARRAY(_xlfn.XLOOKUP($C4,'-ref_Distribution'!$B$101:$B$109,'-ref_Distribution'!$G$101:$G$109)),RIGHT(AG$1,2)),"")</f>
        <v>483</v>
      </c>
      <c r="AH4" s="16" cm="1">
        <f t="array" ref="AH4">IFERROR(INDEX(_xlfn.ANCHORARRAY(_xlfn.XLOOKUP($C4,'-ref_Distribution'!$B$101:$B$109,'-ref_Distribution'!$G$101:$G$109)),RIGHT(AH$1,2)),"")</f>
        <v>434</v>
      </c>
      <c r="AI4" s="16" cm="1">
        <f t="array" ref="AI4">IFERROR(INDEX(_xlfn.ANCHORARRAY(_xlfn.XLOOKUP($C4,'-ref_Distribution'!$B$101:$B$109,'-ref_Distribution'!$G$101:$G$109)),RIGHT(AI$1,2)),"")</f>
        <v>387</v>
      </c>
      <c r="AJ4" s="16" cm="1">
        <f t="array" ref="AJ4">IFERROR(INDEX(_xlfn.ANCHORARRAY(_xlfn.XLOOKUP($C4,'-ref_Distribution'!$B$101:$B$109,'-ref_Distribution'!$G$101:$G$109)),RIGHT(AJ$1,2)),"")</f>
        <v>340</v>
      </c>
      <c r="AK4" s="16" cm="1">
        <f t="array" ref="AK4">IFERROR(INDEX(_xlfn.ANCHORARRAY(_xlfn.XLOOKUP($C4,'-ref_Distribution'!$B$101:$B$109,'-ref_Distribution'!$G$101:$G$109)),RIGHT(AK$1,2)),"")</f>
        <v>296</v>
      </c>
      <c r="AL4" s="16" cm="1">
        <f t="array" ref="AL4">IFERROR(INDEX(_xlfn.ANCHORARRAY(_xlfn.XLOOKUP($C4,'-ref_Distribution'!$B$101:$B$109,'-ref_Distribution'!$G$101:$G$109)),RIGHT(AL$1,2)),"")</f>
        <v>255</v>
      </c>
      <c r="AM4" s="16" cm="1">
        <f t="array" ref="AM4">IFERROR(INDEX(_xlfn.ANCHORARRAY(_xlfn.XLOOKUP($C4,'-ref_Distribution'!$B$101:$B$109,'-ref_Distribution'!$G$101:$G$109)),RIGHT(AM$1,2)),"")</f>
        <v>217</v>
      </c>
      <c r="AN4" s="16" cm="1">
        <f t="array" ref="AN4">IFERROR(INDEX(_xlfn.ANCHORARRAY(_xlfn.XLOOKUP($C4,'-ref_Distribution'!$B$101:$B$109,'-ref_Distribution'!$G$101:$G$109)),RIGHT(AN$1,2)),"")</f>
        <v>183</v>
      </c>
      <c r="AO4" s="16" cm="1">
        <f t="array" ref="AO4">IFERROR(INDEX(_xlfn.ANCHORARRAY(_xlfn.XLOOKUP($C4,'-ref_Distribution'!$B$101:$B$109,'-ref_Distribution'!$G$101:$G$109)),RIGHT(AO$1,2)),"")</f>
        <v>152</v>
      </c>
      <c r="AP4" s="16" cm="1">
        <f t="array" ref="AP4">IFERROR(INDEX(_xlfn.ANCHORARRAY(_xlfn.XLOOKUP($C4,'-ref_Distribution'!$B$101:$B$109,'-ref_Distribution'!$G$101:$G$109)),RIGHT(AP$1,2)),"")</f>
        <v>126</v>
      </c>
      <c r="AQ4" s="16" cm="1">
        <f t="array" ref="AQ4">IFERROR(INDEX(_xlfn.ANCHORARRAY(_xlfn.XLOOKUP($C4,'-ref_Distribution'!$B$101:$B$109,'-ref_Distribution'!$G$101:$G$109)),RIGHT(AQ$1,2)),"")</f>
        <v>102</v>
      </c>
      <c r="AR4" s="16" cm="1">
        <f t="array" ref="AR4">IFERROR(INDEX(_xlfn.ANCHORARRAY(_xlfn.XLOOKUP($C4,'-ref_Distribution'!$B$101:$B$109,'-ref_Distribution'!$G$101:$G$109)),RIGHT(AR$1,2)),"")</f>
        <v>756</v>
      </c>
      <c r="AS4" s="16" cm="1">
        <f t="array" ref="AS4">IFERROR(INDEX(_xlfn.ANCHORARRAY(_xlfn.XLOOKUP($C4,'-ref_Distribution'!$B$101:$B$109,'-ref_Distribution'!$G$101:$G$109)),RIGHT(AS$1,2)),"")</f>
        <v>752</v>
      </c>
      <c r="AT4" s="16" cm="1">
        <f t="array" ref="AT4">IFERROR(INDEX(_xlfn.ANCHORARRAY(_xlfn.XLOOKUP($C4,'-ref_Distribution'!$B$101:$B$109,'-ref_Distribution'!$G$101:$G$109)),RIGHT(AT$1,2)),"")</f>
        <v>739</v>
      </c>
      <c r="AU4" s="16" cm="1">
        <f t="array" ref="AU4">IFERROR(INDEX(_xlfn.ANCHORARRAY(_xlfn.XLOOKUP($C4,'-ref_Distribution'!$B$101:$B$109,'-ref_Distribution'!$G$101:$G$109)),RIGHT(AU$1,2)),"")</f>
        <v>719</v>
      </c>
      <c r="AV4" s="16" cm="1">
        <f t="array" ref="AV4">IFERROR(INDEX(_xlfn.ANCHORARRAY(_xlfn.XLOOKUP($C4,'-ref_Distribution'!$B$101:$B$109,'-ref_Distribution'!$G$101:$G$109)),RIGHT(AV$1,2)),"")</f>
        <v>692</v>
      </c>
      <c r="AW4" s="16" cm="1">
        <f t="array" ref="AW4">IFERROR(INDEX(_xlfn.ANCHORARRAY(_xlfn.XLOOKUP($C4,'-ref_Distribution'!$B$101:$B$109,'-ref_Distribution'!$G$101:$G$109)),RIGHT(AW$1,2)),"")</f>
        <v>658</v>
      </c>
      <c r="AX4" s="16" cm="1">
        <f t="array" ref="AX4">IFERROR(INDEX(_xlfn.ANCHORARRAY(_xlfn.XLOOKUP($C4,'-ref_Distribution'!$B$101:$B$109,'-ref_Distribution'!$G$101:$G$109)),RIGHT(AX$1,2)),"")</f>
        <v>619</v>
      </c>
      <c r="AY4" s="16" cm="1">
        <f t="array" ref="AY4">IFERROR(INDEX(_xlfn.ANCHORARRAY(_xlfn.XLOOKUP($C4,'-ref_Distribution'!$B$101:$B$109,'-ref_Distribution'!$G$101:$G$109)),RIGHT(AY$1,2)),"")</f>
        <v>576</v>
      </c>
      <c r="AZ4" s="16" cm="1">
        <f t="array" ref="AZ4">IFERROR(INDEX(_xlfn.ANCHORARRAY(_xlfn.XLOOKUP($C4,'-ref_Distribution'!$B$101:$B$109,'-ref_Distribution'!$G$101:$G$109)),RIGHT(AZ$1,2)),"")</f>
        <v>530</v>
      </c>
      <c r="BA4" s="16" cm="1">
        <f t="array" ref="BA4">IFERROR(INDEX(_xlfn.ANCHORARRAY(_xlfn.XLOOKUP($C4,'-ref_Distribution'!$B$101:$B$109,'-ref_Distribution'!$G$101:$G$109)),RIGHT(BA$1,2)),"")</f>
        <v>483</v>
      </c>
      <c r="BB4" s="16" cm="1">
        <f t="array" ref="BB4">IFERROR(INDEX(_xlfn.ANCHORARRAY(_xlfn.XLOOKUP($C4,'-ref_Distribution'!$B$101:$B$109,'-ref_Distribution'!$G$101:$G$109)),RIGHT(BB$1,2)),"")</f>
        <v>434</v>
      </c>
      <c r="BC4" s="16" cm="1">
        <f t="array" ref="BC4">IFERROR(INDEX(_xlfn.ANCHORARRAY(_xlfn.XLOOKUP($C4,'-ref_Distribution'!$B$101:$B$109,'-ref_Distribution'!$G$101:$G$109)),RIGHT(BC$1,2)),"")</f>
        <v>387</v>
      </c>
      <c r="BD4" s="16" cm="1">
        <f t="array" ref="BD4">IFERROR(INDEX(_xlfn.ANCHORARRAY(_xlfn.XLOOKUP($C4,'-ref_Distribution'!$B$101:$B$109,'-ref_Distribution'!$G$101:$G$109)),RIGHT(BD$1,2)),"")</f>
        <v>340</v>
      </c>
      <c r="BE4" s="16" cm="1">
        <f t="array" ref="BE4">IFERROR(INDEX(_xlfn.ANCHORARRAY(_xlfn.XLOOKUP($C4,'-ref_Distribution'!$B$101:$B$109,'-ref_Distribution'!$G$101:$G$109)),RIGHT(BE$1,2)),"")</f>
        <v>296</v>
      </c>
      <c r="BF4" s="16" cm="1">
        <f t="array" ref="BF4">IFERROR(INDEX(_xlfn.ANCHORARRAY(_xlfn.XLOOKUP($C4,'-ref_Distribution'!$B$101:$B$109,'-ref_Distribution'!$G$101:$G$109)),RIGHT(BF$1,2)),"")</f>
        <v>255</v>
      </c>
      <c r="BG4" s="16" cm="1">
        <f t="array" ref="BG4">IFERROR(INDEX(_xlfn.ANCHORARRAY(_xlfn.XLOOKUP($C4,'-ref_Distribution'!$B$101:$B$109,'-ref_Distribution'!$G$101:$G$109)),RIGHT(BG$1,2)),"")</f>
        <v>217</v>
      </c>
      <c r="BH4" s="16" cm="1">
        <f t="array" ref="BH4">IFERROR(INDEX(_xlfn.ANCHORARRAY(_xlfn.XLOOKUP($C4,'-ref_Distribution'!$B$101:$B$109,'-ref_Distribution'!$G$101:$G$109)),RIGHT(BH$1,2)),"")</f>
        <v>183</v>
      </c>
      <c r="BI4" s="16" cm="1">
        <f t="array" ref="BI4">IFERROR(INDEX(_xlfn.ANCHORARRAY(_xlfn.XLOOKUP($C4,'-ref_Distribution'!$B$101:$B$109,'-ref_Distribution'!$G$101:$G$109)),RIGHT(BI$1,2)),"")</f>
        <v>152</v>
      </c>
      <c r="BJ4" s="16" cm="1">
        <f t="array" ref="BJ4">IFERROR(INDEX(_xlfn.ANCHORARRAY(_xlfn.XLOOKUP($C4,'-ref_Distribution'!$B$101:$B$109,'-ref_Distribution'!$G$101:$G$109)),RIGHT(BJ$1,2)),"")</f>
        <v>126</v>
      </c>
      <c r="BK4" s="16" cm="1">
        <f t="array" ref="BK4">IFERROR(INDEX(_xlfn.ANCHORARRAY(_xlfn.XLOOKUP($C4,'-ref_Distribution'!$B$101:$B$109,'-ref_Distribution'!$G$101:$G$109)),RIGHT(BK$1,2)),"")</f>
        <v>102</v>
      </c>
      <c r="BL4" s="16" cm="1">
        <f t="array" ref="BL4">IFERROR(INDEX(_xlfn.ANCHORARRAY(_xlfn.XLOOKUP($C4,'-ref_Distribution'!$B$101:$B$109,'-ref_Distribution'!$G$101:$G$109)),RIGHT(BL$1,2)),"")</f>
        <v>756</v>
      </c>
      <c r="BM4" s="16" cm="1">
        <f t="array" ref="BM4">IFERROR(INDEX(_xlfn.ANCHORARRAY(_xlfn.XLOOKUP($C4,'-ref_Distribution'!$B$101:$B$109,'-ref_Distribution'!$G$101:$G$109)),RIGHT(BM$1,2)),"")</f>
        <v>752</v>
      </c>
      <c r="BN4" s="16" cm="1">
        <f t="array" ref="BN4">IFERROR(INDEX(_xlfn.ANCHORARRAY(_xlfn.XLOOKUP($C4,'-ref_Distribution'!$B$101:$B$109,'-ref_Distribution'!$G$101:$G$109)),RIGHT(BN$1,2)),"")</f>
        <v>739</v>
      </c>
      <c r="BO4" s="16" cm="1">
        <f t="array" ref="BO4">IFERROR(INDEX(_xlfn.ANCHORARRAY(_xlfn.XLOOKUP($C4,'-ref_Distribution'!$B$101:$B$109,'-ref_Distribution'!$G$101:$G$109)),RIGHT(BO$1,2)),"")</f>
        <v>719</v>
      </c>
      <c r="BP4" s="16" cm="1">
        <f t="array" ref="BP4">IFERROR(INDEX(_xlfn.ANCHORARRAY(_xlfn.XLOOKUP($C4,'-ref_Distribution'!$B$101:$B$109,'-ref_Distribution'!$G$101:$G$109)),RIGHT(BP$1,2)),"")</f>
        <v>692</v>
      </c>
      <c r="BQ4" s="16" cm="1">
        <f t="array" ref="BQ4">IFERROR(INDEX(_xlfn.ANCHORARRAY(_xlfn.XLOOKUP($C4,'-ref_Distribution'!$B$101:$B$109,'-ref_Distribution'!$G$101:$G$109)),RIGHT(BQ$1,2)),"")</f>
        <v>658</v>
      </c>
      <c r="BR4" s="16" cm="1">
        <f t="array" ref="BR4">IFERROR(INDEX(_xlfn.ANCHORARRAY(_xlfn.XLOOKUP($C4,'-ref_Distribution'!$B$101:$B$109,'-ref_Distribution'!$G$101:$G$109)),RIGHT(BR$1,2)),"")</f>
        <v>619</v>
      </c>
      <c r="BS4" s="16" cm="1">
        <f t="array" ref="BS4">IFERROR(INDEX(_xlfn.ANCHORARRAY(_xlfn.XLOOKUP($C4,'-ref_Distribution'!$B$101:$B$109,'-ref_Distribution'!$G$101:$G$109)),RIGHT(BS$1,2)),"")</f>
        <v>576</v>
      </c>
      <c r="BT4" s="16" cm="1">
        <f t="array" ref="BT4">IFERROR(INDEX(_xlfn.ANCHORARRAY(_xlfn.XLOOKUP($C4,'-ref_Distribution'!$B$101:$B$109,'-ref_Distribution'!$G$101:$G$109)),RIGHT(BT$1,2)),"")</f>
        <v>530</v>
      </c>
      <c r="BU4" s="16" cm="1">
        <f t="array" ref="BU4">IFERROR(INDEX(_xlfn.ANCHORARRAY(_xlfn.XLOOKUP($C4,'-ref_Distribution'!$B$101:$B$109,'-ref_Distribution'!$G$101:$G$109)),RIGHT(BU$1,2)),"")</f>
        <v>483</v>
      </c>
      <c r="BV4" s="16" cm="1">
        <f t="array" ref="BV4">IFERROR(INDEX(_xlfn.ANCHORARRAY(_xlfn.XLOOKUP($C4,'-ref_Distribution'!$B$101:$B$109,'-ref_Distribution'!$G$101:$G$109)),RIGHT(BV$1,2)),"")</f>
        <v>434</v>
      </c>
      <c r="BW4" s="16" cm="1">
        <f t="array" ref="BW4">IFERROR(INDEX(_xlfn.ANCHORARRAY(_xlfn.XLOOKUP($C4,'-ref_Distribution'!$B$101:$B$109,'-ref_Distribution'!$G$101:$G$109)),RIGHT(BW$1,2)),"")</f>
        <v>387</v>
      </c>
      <c r="BX4" s="16" cm="1">
        <f t="array" ref="BX4">IFERROR(INDEX(_xlfn.ANCHORARRAY(_xlfn.XLOOKUP($C4,'-ref_Distribution'!$B$101:$B$109,'-ref_Distribution'!$G$101:$G$109)),RIGHT(BX$1,2)),"")</f>
        <v>340</v>
      </c>
      <c r="BY4" s="16" cm="1">
        <f t="array" ref="BY4">IFERROR(INDEX(_xlfn.ANCHORARRAY(_xlfn.XLOOKUP($C4,'-ref_Distribution'!$B$101:$B$109,'-ref_Distribution'!$G$101:$G$109)),RIGHT(BY$1,2)),"")</f>
        <v>296</v>
      </c>
      <c r="BZ4" s="16" cm="1">
        <f t="array" ref="BZ4">IFERROR(INDEX(_xlfn.ANCHORARRAY(_xlfn.XLOOKUP($C4,'-ref_Distribution'!$B$101:$B$109,'-ref_Distribution'!$G$101:$G$109)),RIGHT(BZ$1,2)),"")</f>
        <v>255</v>
      </c>
      <c r="CA4" s="16" cm="1">
        <f t="array" ref="CA4">IFERROR(INDEX(_xlfn.ANCHORARRAY(_xlfn.XLOOKUP($C4,'-ref_Distribution'!$B$101:$B$109,'-ref_Distribution'!$G$101:$G$109)),RIGHT(CA$1,2)),"")</f>
        <v>217</v>
      </c>
      <c r="CB4" s="16" cm="1">
        <f t="array" ref="CB4">IFERROR(INDEX(_xlfn.ANCHORARRAY(_xlfn.XLOOKUP($C4,'-ref_Distribution'!$B$101:$B$109,'-ref_Distribution'!$G$101:$G$109)),RIGHT(CB$1,2)),"")</f>
        <v>183</v>
      </c>
      <c r="CC4" s="16" cm="1">
        <f t="array" ref="CC4">IFERROR(INDEX(_xlfn.ANCHORARRAY(_xlfn.XLOOKUP($C4,'-ref_Distribution'!$B$101:$B$109,'-ref_Distribution'!$G$101:$G$109)),RIGHT(CC$1,2)),"")</f>
        <v>152</v>
      </c>
      <c r="CD4" s="16" cm="1">
        <f t="array" ref="CD4">IFERROR(INDEX(_xlfn.ANCHORARRAY(_xlfn.XLOOKUP($C4,'-ref_Distribution'!$B$101:$B$109,'-ref_Distribution'!$G$101:$G$109)),RIGHT(CD$1,2)),"")</f>
        <v>126</v>
      </c>
      <c r="CE4" s="16" cm="1">
        <f t="array" ref="CE4">IFERROR(INDEX(_xlfn.ANCHORARRAY(_xlfn.XLOOKUP($C4,'-ref_Distribution'!$B$101:$B$109,'-ref_Distribution'!$G$101:$G$109)),RIGHT(CE$1,2)),"")</f>
        <v>102</v>
      </c>
      <c r="CF4" s="16"/>
      <c r="CG4" s="16"/>
      <c r="CH4" s="16"/>
      <c r="CI4" s="16"/>
      <c r="CJ4" s="16"/>
      <c r="CK4" s="16"/>
      <c r="CL4" s="16"/>
    </row>
    <row r="5" spans="1:90" x14ac:dyDescent="0.2">
      <c r="A5" s="16">
        <v>15104</v>
      </c>
      <c r="B5" s="16" t="s">
        <v>179</v>
      </c>
      <c r="C5" s="16">
        <v>8</v>
      </c>
      <c r="D5" s="16" cm="1">
        <f t="array" ref="D5">IFERROR(INDEX(_xlfn.ANCHORARRAY(_xlfn.XLOOKUP($C5,'-ref_Distribution'!$B$101:$B$109,'-ref_Distribution'!$G$101:$G$109)),RIGHT(D$1,2)),"")</f>
        <v>756</v>
      </c>
      <c r="E5" s="16" cm="1">
        <f t="array" ref="E5">IFERROR(INDEX(_xlfn.ANCHORARRAY(_xlfn.XLOOKUP($C5,'-ref_Distribution'!$B$101:$B$109,'-ref_Distribution'!$G$101:$G$109)),RIGHT(E$1,2)),"")</f>
        <v>752</v>
      </c>
      <c r="F5" s="16" cm="1">
        <f t="array" ref="F5">IFERROR(INDEX(_xlfn.ANCHORARRAY(_xlfn.XLOOKUP($C5,'-ref_Distribution'!$B$101:$B$109,'-ref_Distribution'!$G$101:$G$109)),RIGHT(F$1,2)),"")</f>
        <v>739</v>
      </c>
      <c r="G5" s="16" cm="1">
        <f t="array" ref="G5">IFERROR(INDEX(_xlfn.ANCHORARRAY(_xlfn.XLOOKUP($C5,'-ref_Distribution'!$B$101:$B$109,'-ref_Distribution'!$G$101:$G$109)),RIGHT(G$1,2)),"")</f>
        <v>719</v>
      </c>
      <c r="H5" s="16" cm="1">
        <f t="array" ref="H5">IFERROR(INDEX(_xlfn.ANCHORARRAY(_xlfn.XLOOKUP($C5,'-ref_Distribution'!$B$101:$B$109,'-ref_Distribution'!$G$101:$G$109)),RIGHT(H$1,2)),"")</f>
        <v>692</v>
      </c>
      <c r="I5" s="16" cm="1">
        <f t="array" ref="I5">IFERROR(INDEX(_xlfn.ANCHORARRAY(_xlfn.XLOOKUP($C5,'-ref_Distribution'!$B$101:$B$109,'-ref_Distribution'!$G$101:$G$109)),RIGHT(I$1,2)),"")</f>
        <v>658</v>
      </c>
      <c r="J5" s="16" cm="1">
        <f t="array" ref="J5">IFERROR(INDEX(_xlfn.ANCHORARRAY(_xlfn.XLOOKUP($C5,'-ref_Distribution'!$B$101:$B$109,'-ref_Distribution'!$G$101:$G$109)),RIGHT(J$1,2)),"")</f>
        <v>619</v>
      </c>
      <c r="K5" s="16" cm="1">
        <f t="array" ref="K5">IFERROR(INDEX(_xlfn.ANCHORARRAY(_xlfn.XLOOKUP($C5,'-ref_Distribution'!$B$101:$B$109,'-ref_Distribution'!$G$101:$G$109)),RIGHT(K$1,2)),"")</f>
        <v>576</v>
      </c>
      <c r="L5" s="16" cm="1">
        <f t="array" ref="L5">IFERROR(INDEX(_xlfn.ANCHORARRAY(_xlfn.XLOOKUP($C5,'-ref_Distribution'!$B$101:$B$109,'-ref_Distribution'!$G$101:$G$109)),RIGHT(L$1,2)),"")</f>
        <v>530</v>
      </c>
      <c r="M5" s="16" cm="1">
        <f t="array" ref="M5">IFERROR(INDEX(_xlfn.ANCHORARRAY(_xlfn.XLOOKUP($C5,'-ref_Distribution'!$B$101:$B$109,'-ref_Distribution'!$G$101:$G$109)),RIGHT(M$1,2)),"")</f>
        <v>483</v>
      </c>
      <c r="N5" s="16" cm="1">
        <f t="array" ref="N5">IFERROR(INDEX(_xlfn.ANCHORARRAY(_xlfn.XLOOKUP($C5,'-ref_Distribution'!$B$101:$B$109,'-ref_Distribution'!$G$101:$G$109)),RIGHT(N$1,2)),"")</f>
        <v>434</v>
      </c>
      <c r="O5" s="16" cm="1">
        <f t="array" ref="O5">IFERROR(INDEX(_xlfn.ANCHORARRAY(_xlfn.XLOOKUP($C5,'-ref_Distribution'!$B$101:$B$109,'-ref_Distribution'!$G$101:$G$109)),RIGHT(O$1,2)),"")</f>
        <v>387</v>
      </c>
      <c r="P5" s="16" cm="1">
        <f t="array" ref="P5">IFERROR(INDEX(_xlfn.ANCHORARRAY(_xlfn.XLOOKUP($C5,'-ref_Distribution'!$B$101:$B$109,'-ref_Distribution'!$G$101:$G$109)),RIGHT(P$1,2)),"")</f>
        <v>340</v>
      </c>
      <c r="Q5" s="16" cm="1">
        <f t="array" ref="Q5">IFERROR(INDEX(_xlfn.ANCHORARRAY(_xlfn.XLOOKUP($C5,'-ref_Distribution'!$B$101:$B$109,'-ref_Distribution'!$G$101:$G$109)),RIGHT(Q$1,2)),"")</f>
        <v>296</v>
      </c>
      <c r="R5" s="16" cm="1">
        <f t="array" ref="R5">IFERROR(INDEX(_xlfn.ANCHORARRAY(_xlfn.XLOOKUP($C5,'-ref_Distribution'!$B$101:$B$109,'-ref_Distribution'!$G$101:$G$109)),RIGHT(R$1,2)),"")</f>
        <v>255</v>
      </c>
      <c r="S5" s="16" cm="1">
        <f t="array" ref="S5">IFERROR(INDEX(_xlfn.ANCHORARRAY(_xlfn.XLOOKUP($C5,'-ref_Distribution'!$B$101:$B$109,'-ref_Distribution'!$G$101:$G$109)),RIGHT(S$1,2)),"")</f>
        <v>217</v>
      </c>
      <c r="T5" s="16" cm="1">
        <f t="array" ref="T5">IFERROR(INDEX(_xlfn.ANCHORARRAY(_xlfn.XLOOKUP($C5,'-ref_Distribution'!$B$101:$B$109,'-ref_Distribution'!$G$101:$G$109)),RIGHT(T$1,2)),"")</f>
        <v>183</v>
      </c>
      <c r="U5" s="16" cm="1">
        <f t="array" ref="U5">IFERROR(INDEX(_xlfn.ANCHORARRAY(_xlfn.XLOOKUP($C5,'-ref_Distribution'!$B$101:$B$109,'-ref_Distribution'!$G$101:$G$109)),RIGHT(U$1,2)),"")</f>
        <v>152</v>
      </c>
      <c r="V5" s="16" cm="1">
        <f t="array" ref="V5">IFERROR(INDEX(_xlfn.ANCHORARRAY(_xlfn.XLOOKUP($C5,'-ref_Distribution'!$B$101:$B$109,'-ref_Distribution'!$G$101:$G$109)),RIGHT(V$1,2)),"")</f>
        <v>126</v>
      </c>
      <c r="W5" s="16" cm="1">
        <f t="array" ref="W5">IFERROR(INDEX(_xlfn.ANCHORARRAY(_xlfn.XLOOKUP($C5,'-ref_Distribution'!$B$101:$B$109,'-ref_Distribution'!$G$101:$G$109)),RIGHT(W$1,2)),"")</f>
        <v>102</v>
      </c>
      <c r="X5" s="16" cm="1">
        <f t="array" ref="X5">IFERROR(INDEX(_xlfn.ANCHORARRAY(_xlfn.XLOOKUP($C5,'-ref_Distribution'!$B$101:$B$109,'-ref_Distribution'!$G$101:$G$109)),RIGHT(X$1,2)),"")</f>
        <v>756</v>
      </c>
      <c r="Y5" s="16" cm="1">
        <f t="array" ref="Y5">IFERROR(INDEX(_xlfn.ANCHORARRAY(_xlfn.XLOOKUP($C5,'-ref_Distribution'!$B$101:$B$109,'-ref_Distribution'!$G$101:$G$109)),RIGHT(Y$1,2)),"")</f>
        <v>752</v>
      </c>
      <c r="Z5" s="16" cm="1">
        <f t="array" ref="Z5">IFERROR(INDEX(_xlfn.ANCHORARRAY(_xlfn.XLOOKUP($C5,'-ref_Distribution'!$B$101:$B$109,'-ref_Distribution'!$G$101:$G$109)),RIGHT(Z$1,2)),"")</f>
        <v>739</v>
      </c>
      <c r="AA5" s="16" cm="1">
        <f t="array" ref="AA5">IFERROR(INDEX(_xlfn.ANCHORARRAY(_xlfn.XLOOKUP($C5,'-ref_Distribution'!$B$101:$B$109,'-ref_Distribution'!$G$101:$G$109)),RIGHT(AA$1,2)),"")</f>
        <v>719</v>
      </c>
      <c r="AB5" s="16" cm="1">
        <f t="array" ref="AB5">IFERROR(INDEX(_xlfn.ANCHORARRAY(_xlfn.XLOOKUP($C5,'-ref_Distribution'!$B$101:$B$109,'-ref_Distribution'!$G$101:$G$109)),RIGHT(AB$1,2)),"")</f>
        <v>692</v>
      </c>
      <c r="AC5" s="16" cm="1">
        <f t="array" ref="AC5">IFERROR(INDEX(_xlfn.ANCHORARRAY(_xlfn.XLOOKUP($C5,'-ref_Distribution'!$B$101:$B$109,'-ref_Distribution'!$G$101:$G$109)),RIGHT(AC$1,2)),"")</f>
        <v>658</v>
      </c>
      <c r="AD5" s="16" cm="1">
        <f t="array" ref="AD5">IFERROR(INDEX(_xlfn.ANCHORARRAY(_xlfn.XLOOKUP($C5,'-ref_Distribution'!$B$101:$B$109,'-ref_Distribution'!$G$101:$G$109)),RIGHT(AD$1,2)),"")</f>
        <v>619</v>
      </c>
      <c r="AE5" s="16" cm="1">
        <f t="array" ref="AE5">IFERROR(INDEX(_xlfn.ANCHORARRAY(_xlfn.XLOOKUP($C5,'-ref_Distribution'!$B$101:$B$109,'-ref_Distribution'!$G$101:$G$109)),RIGHT(AE$1,2)),"")</f>
        <v>576</v>
      </c>
      <c r="AF5" s="16" cm="1">
        <f t="array" ref="AF5">IFERROR(INDEX(_xlfn.ANCHORARRAY(_xlfn.XLOOKUP($C5,'-ref_Distribution'!$B$101:$B$109,'-ref_Distribution'!$G$101:$G$109)),RIGHT(AF$1,2)),"")</f>
        <v>530</v>
      </c>
      <c r="AG5" s="16" cm="1">
        <f t="array" ref="AG5">IFERROR(INDEX(_xlfn.ANCHORARRAY(_xlfn.XLOOKUP($C5,'-ref_Distribution'!$B$101:$B$109,'-ref_Distribution'!$G$101:$G$109)),RIGHT(AG$1,2)),"")</f>
        <v>483</v>
      </c>
      <c r="AH5" s="16" cm="1">
        <f t="array" ref="AH5">IFERROR(INDEX(_xlfn.ANCHORARRAY(_xlfn.XLOOKUP($C5,'-ref_Distribution'!$B$101:$B$109,'-ref_Distribution'!$G$101:$G$109)),RIGHT(AH$1,2)),"")</f>
        <v>434</v>
      </c>
      <c r="AI5" s="16" cm="1">
        <f t="array" ref="AI5">IFERROR(INDEX(_xlfn.ANCHORARRAY(_xlfn.XLOOKUP($C5,'-ref_Distribution'!$B$101:$B$109,'-ref_Distribution'!$G$101:$G$109)),RIGHT(AI$1,2)),"")</f>
        <v>387</v>
      </c>
      <c r="AJ5" s="16" cm="1">
        <f t="array" ref="AJ5">IFERROR(INDEX(_xlfn.ANCHORARRAY(_xlfn.XLOOKUP($C5,'-ref_Distribution'!$B$101:$B$109,'-ref_Distribution'!$G$101:$G$109)),RIGHT(AJ$1,2)),"")</f>
        <v>340</v>
      </c>
      <c r="AK5" s="16" cm="1">
        <f t="array" ref="AK5">IFERROR(INDEX(_xlfn.ANCHORARRAY(_xlfn.XLOOKUP($C5,'-ref_Distribution'!$B$101:$B$109,'-ref_Distribution'!$G$101:$G$109)),RIGHT(AK$1,2)),"")</f>
        <v>296</v>
      </c>
      <c r="AL5" s="16" cm="1">
        <f t="array" ref="AL5">IFERROR(INDEX(_xlfn.ANCHORARRAY(_xlfn.XLOOKUP($C5,'-ref_Distribution'!$B$101:$B$109,'-ref_Distribution'!$G$101:$G$109)),RIGHT(AL$1,2)),"")</f>
        <v>255</v>
      </c>
      <c r="AM5" s="16" cm="1">
        <f t="array" ref="AM5">IFERROR(INDEX(_xlfn.ANCHORARRAY(_xlfn.XLOOKUP($C5,'-ref_Distribution'!$B$101:$B$109,'-ref_Distribution'!$G$101:$G$109)),RIGHT(AM$1,2)),"")</f>
        <v>217</v>
      </c>
      <c r="AN5" s="16" cm="1">
        <f t="array" ref="AN5">IFERROR(INDEX(_xlfn.ANCHORARRAY(_xlfn.XLOOKUP($C5,'-ref_Distribution'!$B$101:$B$109,'-ref_Distribution'!$G$101:$G$109)),RIGHT(AN$1,2)),"")</f>
        <v>183</v>
      </c>
      <c r="AO5" s="16" cm="1">
        <f t="array" ref="AO5">IFERROR(INDEX(_xlfn.ANCHORARRAY(_xlfn.XLOOKUP($C5,'-ref_Distribution'!$B$101:$B$109,'-ref_Distribution'!$G$101:$G$109)),RIGHT(AO$1,2)),"")</f>
        <v>152</v>
      </c>
      <c r="AP5" s="16" cm="1">
        <f t="array" ref="AP5">IFERROR(INDEX(_xlfn.ANCHORARRAY(_xlfn.XLOOKUP($C5,'-ref_Distribution'!$B$101:$B$109,'-ref_Distribution'!$G$101:$G$109)),RIGHT(AP$1,2)),"")</f>
        <v>126</v>
      </c>
      <c r="AQ5" s="16" cm="1">
        <f t="array" ref="AQ5">IFERROR(INDEX(_xlfn.ANCHORARRAY(_xlfn.XLOOKUP($C5,'-ref_Distribution'!$B$101:$B$109,'-ref_Distribution'!$G$101:$G$109)),RIGHT(AQ$1,2)),"")</f>
        <v>102</v>
      </c>
      <c r="AR5" s="16" cm="1">
        <f t="array" ref="AR5">IFERROR(INDEX(_xlfn.ANCHORARRAY(_xlfn.XLOOKUP($C5,'-ref_Distribution'!$B$101:$B$109,'-ref_Distribution'!$G$101:$G$109)),RIGHT(AR$1,2)),"")</f>
        <v>756</v>
      </c>
      <c r="AS5" s="16" cm="1">
        <f t="array" ref="AS5">IFERROR(INDEX(_xlfn.ANCHORARRAY(_xlfn.XLOOKUP($C5,'-ref_Distribution'!$B$101:$B$109,'-ref_Distribution'!$G$101:$G$109)),RIGHT(AS$1,2)),"")</f>
        <v>752</v>
      </c>
      <c r="AT5" s="16" cm="1">
        <f t="array" ref="AT5">IFERROR(INDEX(_xlfn.ANCHORARRAY(_xlfn.XLOOKUP($C5,'-ref_Distribution'!$B$101:$B$109,'-ref_Distribution'!$G$101:$G$109)),RIGHT(AT$1,2)),"")</f>
        <v>739</v>
      </c>
      <c r="AU5" s="16" cm="1">
        <f t="array" ref="AU5">IFERROR(INDEX(_xlfn.ANCHORARRAY(_xlfn.XLOOKUP($C5,'-ref_Distribution'!$B$101:$B$109,'-ref_Distribution'!$G$101:$G$109)),RIGHT(AU$1,2)),"")</f>
        <v>719</v>
      </c>
      <c r="AV5" s="16" cm="1">
        <f t="array" ref="AV5">IFERROR(INDEX(_xlfn.ANCHORARRAY(_xlfn.XLOOKUP($C5,'-ref_Distribution'!$B$101:$B$109,'-ref_Distribution'!$G$101:$G$109)),RIGHT(AV$1,2)),"")</f>
        <v>692</v>
      </c>
      <c r="AW5" s="16" cm="1">
        <f t="array" ref="AW5">IFERROR(INDEX(_xlfn.ANCHORARRAY(_xlfn.XLOOKUP($C5,'-ref_Distribution'!$B$101:$B$109,'-ref_Distribution'!$G$101:$G$109)),RIGHT(AW$1,2)),"")</f>
        <v>658</v>
      </c>
      <c r="AX5" s="16" cm="1">
        <f t="array" ref="AX5">IFERROR(INDEX(_xlfn.ANCHORARRAY(_xlfn.XLOOKUP($C5,'-ref_Distribution'!$B$101:$B$109,'-ref_Distribution'!$G$101:$G$109)),RIGHT(AX$1,2)),"")</f>
        <v>619</v>
      </c>
      <c r="AY5" s="16" cm="1">
        <f t="array" ref="AY5">IFERROR(INDEX(_xlfn.ANCHORARRAY(_xlfn.XLOOKUP($C5,'-ref_Distribution'!$B$101:$B$109,'-ref_Distribution'!$G$101:$G$109)),RIGHT(AY$1,2)),"")</f>
        <v>576</v>
      </c>
      <c r="AZ5" s="16" cm="1">
        <f t="array" ref="AZ5">IFERROR(INDEX(_xlfn.ANCHORARRAY(_xlfn.XLOOKUP($C5,'-ref_Distribution'!$B$101:$B$109,'-ref_Distribution'!$G$101:$G$109)),RIGHT(AZ$1,2)),"")</f>
        <v>530</v>
      </c>
      <c r="BA5" s="16" cm="1">
        <f t="array" ref="BA5">IFERROR(INDEX(_xlfn.ANCHORARRAY(_xlfn.XLOOKUP($C5,'-ref_Distribution'!$B$101:$B$109,'-ref_Distribution'!$G$101:$G$109)),RIGHT(BA$1,2)),"")</f>
        <v>483</v>
      </c>
      <c r="BB5" s="16" cm="1">
        <f t="array" ref="BB5">IFERROR(INDEX(_xlfn.ANCHORARRAY(_xlfn.XLOOKUP($C5,'-ref_Distribution'!$B$101:$B$109,'-ref_Distribution'!$G$101:$G$109)),RIGHT(BB$1,2)),"")</f>
        <v>434</v>
      </c>
      <c r="BC5" s="16" cm="1">
        <f t="array" ref="BC5">IFERROR(INDEX(_xlfn.ANCHORARRAY(_xlfn.XLOOKUP($C5,'-ref_Distribution'!$B$101:$B$109,'-ref_Distribution'!$G$101:$G$109)),RIGHT(BC$1,2)),"")</f>
        <v>387</v>
      </c>
      <c r="BD5" s="16" cm="1">
        <f t="array" ref="BD5">IFERROR(INDEX(_xlfn.ANCHORARRAY(_xlfn.XLOOKUP($C5,'-ref_Distribution'!$B$101:$B$109,'-ref_Distribution'!$G$101:$G$109)),RIGHT(BD$1,2)),"")</f>
        <v>340</v>
      </c>
      <c r="BE5" s="16" cm="1">
        <f t="array" ref="BE5">IFERROR(INDEX(_xlfn.ANCHORARRAY(_xlfn.XLOOKUP($C5,'-ref_Distribution'!$B$101:$B$109,'-ref_Distribution'!$G$101:$G$109)),RIGHT(BE$1,2)),"")</f>
        <v>296</v>
      </c>
      <c r="BF5" s="16" cm="1">
        <f t="array" ref="BF5">IFERROR(INDEX(_xlfn.ANCHORARRAY(_xlfn.XLOOKUP($C5,'-ref_Distribution'!$B$101:$B$109,'-ref_Distribution'!$G$101:$G$109)),RIGHT(BF$1,2)),"")</f>
        <v>255</v>
      </c>
      <c r="BG5" s="16" cm="1">
        <f t="array" ref="BG5">IFERROR(INDEX(_xlfn.ANCHORARRAY(_xlfn.XLOOKUP($C5,'-ref_Distribution'!$B$101:$B$109,'-ref_Distribution'!$G$101:$G$109)),RIGHT(BG$1,2)),"")</f>
        <v>217</v>
      </c>
      <c r="BH5" s="16" cm="1">
        <f t="array" ref="BH5">IFERROR(INDEX(_xlfn.ANCHORARRAY(_xlfn.XLOOKUP($C5,'-ref_Distribution'!$B$101:$B$109,'-ref_Distribution'!$G$101:$G$109)),RIGHT(BH$1,2)),"")</f>
        <v>183</v>
      </c>
      <c r="BI5" s="16" cm="1">
        <f t="array" ref="BI5">IFERROR(INDEX(_xlfn.ANCHORARRAY(_xlfn.XLOOKUP($C5,'-ref_Distribution'!$B$101:$B$109,'-ref_Distribution'!$G$101:$G$109)),RIGHT(BI$1,2)),"")</f>
        <v>152</v>
      </c>
      <c r="BJ5" s="16" cm="1">
        <f t="array" ref="BJ5">IFERROR(INDEX(_xlfn.ANCHORARRAY(_xlfn.XLOOKUP($C5,'-ref_Distribution'!$B$101:$B$109,'-ref_Distribution'!$G$101:$G$109)),RIGHT(BJ$1,2)),"")</f>
        <v>126</v>
      </c>
      <c r="BK5" s="16" cm="1">
        <f t="array" ref="BK5">IFERROR(INDEX(_xlfn.ANCHORARRAY(_xlfn.XLOOKUP($C5,'-ref_Distribution'!$B$101:$B$109,'-ref_Distribution'!$G$101:$G$109)),RIGHT(BK$1,2)),"")</f>
        <v>102</v>
      </c>
      <c r="BL5" s="16" cm="1">
        <f t="array" ref="BL5">IFERROR(INDEX(_xlfn.ANCHORARRAY(_xlfn.XLOOKUP($C5,'-ref_Distribution'!$B$101:$B$109,'-ref_Distribution'!$G$101:$G$109)),RIGHT(BL$1,2)),"")</f>
        <v>756</v>
      </c>
      <c r="BM5" s="16" cm="1">
        <f t="array" ref="BM5">IFERROR(INDEX(_xlfn.ANCHORARRAY(_xlfn.XLOOKUP($C5,'-ref_Distribution'!$B$101:$B$109,'-ref_Distribution'!$G$101:$G$109)),RIGHT(BM$1,2)),"")</f>
        <v>752</v>
      </c>
      <c r="BN5" s="16" cm="1">
        <f t="array" ref="BN5">IFERROR(INDEX(_xlfn.ANCHORARRAY(_xlfn.XLOOKUP($C5,'-ref_Distribution'!$B$101:$B$109,'-ref_Distribution'!$G$101:$G$109)),RIGHT(BN$1,2)),"")</f>
        <v>739</v>
      </c>
      <c r="BO5" s="16" cm="1">
        <f t="array" ref="BO5">IFERROR(INDEX(_xlfn.ANCHORARRAY(_xlfn.XLOOKUP($C5,'-ref_Distribution'!$B$101:$B$109,'-ref_Distribution'!$G$101:$G$109)),RIGHT(BO$1,2)),"")</f>
        <v>719</v>
      </c>
      <c r="BP5" s="16" cm="1">
        <f t="array" ref="BP5">IFERROR(INDEX(_xlfn.ANCHORARRAY(_xlfn.XLOOKUP($C5,'-ref_Distribution'!$B$101:$B$109,'-ref_Distribution'!$G$101:$G$109)),RIGHT(BP$1,2)),"")</f>
        <v>692</v>
      </c>
      <c r="BQ5" s="16" cm="1">
        <f t="array" ref="BQ5">IFERROR(INDEX(_xlfn.ANCHORARRAY(_xlfn.XLOOKUP($C5,'-ref_Distribution'!$B$101:$B$109,'-ref_Distribution'!$G$101:$G$109)),RIGHT(BQ$1,2)),"")</f>
        <v>658</v>
      </c>
      <c r="BR5" s="16" cm="1">
        <f t="array" ref="BR5">IFERROR(INDEX(_xlfn.ANCHORARRAY(_xlfn.XLOOKUP($C5,'-ref_Distribution'!$B$101:$B$109,'-ref_Distribution'!$G$101:$G$109)),RIGHT(BR$1,2)),"")</f>
        <v>619</v>
      </c>
      <c r="BS5" s="16" cm="1">
        <f t="array" ref="BS5">IFERROR(INDEX(_xlfn.ANCHORARRAY(_xlfn.XLOOKUP($C5,'-ref_Distribution'!$B$101:$B$109,'-ref_Distribution'!$G$101:$G$109)),RIGHT(BS$1,2)),"")</f>
        <v>576</v>
      </c>
      <c r="BT5" s="16" cm="1">
        <f t="array" ref="BT5">IFERROR(INDEX(_xlfn.ANCHORARRAY(_xlfn.XLOOKUP($C5,'-ref_Distribution'!$B$101:$B$109,'-ref_Distribution'!$G$101:$G$109)),RIGHT(BT$1,2)),"")</f>
        <v>530</v>
      </c>
      <c r="BU5" s="16" cm="1">
        <f t="array" ref="BU5">IFERROR(INDEX(_xlfn.ANCHORARRAY(_xlfn.XLOOKUP($C5,'-ref_Distribution'!$B$101:$B$109,'-ref_Distribution'!$G$101:$G$109)),RIGHT(BU$1,2)),"")</f>
        <v>483</v>
      </c>
      <c r="BV5" s="16" cm="1">
        <f t="array" ref="BV5">IFERROR(INDEX(_xlfn.ANCHORARRAY(_xlfn.XLOOKUP($C5,'-ref_Distribution'!$B$101:$B$109,'-ref_Distribution'!$G$101:$G$109)),RIGHT(BV$1,2)),"")</f>
        <v>434</v>
      </c>
      <c r="BW5" s="16" cm="1">
        <f t="array" ref="BW5">IFERROR(INDEX(_xlfn.ANCHORARRAY(_xlfn.XLOOKUP($C5,'-ref_Distribution'!$B$101:$B$109,'-ref_Distribution'!$G$101:$G$109)),RIGHT(BW$1,2)),"")</f>
        <v>387</v>
      </c>
      <c r="BX5" s="16" cm="1">
        <f t="array" ref="BX5">IFERROR(INDEX(_xlfn.ANCHORARRAY(_xlfn.XLOOKUP($C5,'-ref_Distribution'!$B$101:$B$109,'-ref_Distribution'!$G$101:$G$109)),RIGHT(BX$1,2)),"")</f>
        <v>340</v>
      </c>
      <c r="BY5" s="16" cm="1">
        <f t="array" ref="BY5">IFERROR(INDEX(_xlfn.ANCHORARRAY(_xlfn.XLOOKUP($C5,'-ref_Distribution'!$B$101:$B$109,'-ref_Distribution'!$G$101:$G$109)),RIGHT(BY$1,2)),"")</f>
        <v>296</v>
      </c>
      <c r="BZ5" s="16" cm="1">
        <f t="array" ref="BZ5">IFERROR(INDEX(_xlfn.ANCHORARRAY(_xlfn.XLOOKUP($C5,'-ref_Distribution'!$B$101:$B$109,'-ref_Distribution'!$G$101:$G$109)),RIGHT(BZ$1,2)),"")</f>
        <v>255</v>
      </c>
      <c r="CA5" s="16" cm="1">
        <f t="array" ref="CA5">IFERROR(INDEX(_xlfn.ANCHORARRAY(_xlfn.XLOOKUP($C5,'-ref_Distribution'!$B$101:$B$109,'-ref_Distribution'!$G$101:$G$109)),RIGHT(CA$1,2)),"")</f>
        <v>217</v>
      </c>
      <c r="CB5" s="16" cm="1">
        <f t="array" ref="CB5">IFERROR(INDEX(_xlfn.ANCHORARRAY(_xlfn.XLOOKUP($C5,'-ref_Distribution'!$B$101:$B$109,'-ref_Distribution'!$G$101:$G$109)),RIGHT(CB$1,2)),"")</f>
        <v>183</v>
      </c>
      <c r="CC5" s="16" cm="1">
        <f t="array" ref="CC5">IFERROR(INDEX(_xlfn.ANCHORARRAY(_xlfn.XLOOKUP($C5,'-ref_Distribution'!$B$101:$B$109,'-ref_Distribution'!$G$101:$G$109)),RIGHT(CC$1,2)),"")</f>
        <v>152</v>
      </c>
      <c r="CD5" s="16" cm="1">
        <f t="array" ref="CD5">IFERROR(INDEX(_xlfn.ANCHORARRAY(_xlfn.XLOOKUP($C5,'-ref_Distribution'!$B$101:$B$109,'-ref_Distribution'!$G$101:$G$109)),RIGHT(CD$1,2)),"")</f>
        <v>126</v>
      </c>
      <c r="CE5" s="16" cm="1">
        <f t="array" ref="CE5">IFERROR(INDEX(_xlfn.ANCHORARRAY(_xlfn.XLOOKUP($C5,'-ref_Distribution'!$B$101:$B$109,'-ref_Distribution'!$G$101:$G$109)),RIGHT(CE$1,2)),"")</f>
        <v>102</v>
      </c>
      <c r="CF5" s="16"/>
      <c r="CG5" s="16"/>
      <c r="CH5" s="16"/>
      <c r="CI5" s="16"/>
      <c r="CJ5" s="16"/>
      <c r="CK5" s="16"/>
      <c r="CL5" s="16"/>
    </row>
    <row r="6" spans="1:90" x14ac:dyDescent="0.2">
      <c r="A6" s="16">
        <v>15105</v>
      </c>
      <c r="B6" s="16" t="s">
        <v>180</v>
      </c>
      <c r="C6" s="16">
        <v>9</v>
      </c>
      <c r="D6" s="16" cm="1">
        <f t="array" ref="D6">IFERROR(INDEX(_xlfn.ANCHORARRAY(_xlfn.XLOOKUP($C6,'-ref_Distribution'!$B$101:$B$109,'-ref_Distribution'!$G$101:$G$109)),RIGHT(D$1,2)),"")</f>
        <v>692</v>
      </c>
      <c r="E6" s="16" cm="1">
        <f t="array" ref="E6">IFERROR(INDEX(_xlfn.ANCHORARRAY(_xlfn.XLOOKUP($C6,'-ref_Distribution'!$B$101:$B$109,'-ref_Distribution'!$G$101:$G$109)),RIGHT(E$1,2)),"")</f>
        <v>705</v>
      </c>
      <c r="F6" s="16" cm="1">
        <f t="array" ref="F6">IFERROR(INDEX(_xlfn.ANCHORARRAY(_xlfn.XLOOKUP($C6,'-ref_Distribution'!$B$101:$B$109,'-ref_Distribution'!$G$101:$G$109)),RIGHT(F$1,2)),"")</f>
        <v>709</v>
      </c>
      <c r="G6" s="16" cm="1">
        <f t="array" ref="G6">IFERROR(INDEX(_xlfn.ANCHORARRAY(_xlfn.XLOOKUP($C6,'-ref_Distribution'!$B$101:$B$109,'-ref_Distribution'!$G$101:$G$109)),RIGHT(G$1,2)),"")</f>
        <v>705</v>
      </c>
      <c r="H6" s="16" cm="1">
        <f t="array" ref="H6">IFERROR(INDEX(_xlfn.ANCHORARRAY(_xlfn.XLOOKUP($C6,'-ref_Distribution'!$B$101:$B$109,'-ref_Distribution'!$G$101:$G$109)),RIGHT(H$1,2)),"")</f>
        <v>692</v>
      </c>
      <c r="I6" s="16" cm="1">
        <f t="array" ref="I6">IFERROR(INDEX(_xlfn.ANCHORARRAY(_xlfn.XLOOKUP($C6,'-ref_Distribution'!$B$101:$B$109,'-ref_Distribution'!$G$101:$G$109)),RIGHT(I$1,2)),"")</f>
        <v>671</v>
      </c>
      <c r="J6" s="16" cm="1">
        <f t="array" ref="J6">IFERROR(INDEX(_xlfn.ANCHORARRAY(_xlfn.XLOOKUP($C6,'-ref_Distribution'!$B$101:$B$109,'-ref_Distribution'!$G$101:$G$109)),RIGHT(J$1,2)),"")</f>
        <v>643</v>
      </c>
      <c r="K6" s="16" cm="1">
        <f t="array" ref="K6">IFERROR(INDEX(_xlfn.ANCHORARRAY(_xlfn.XLOOKUP($C6,'-ref_Distribution'!$B$101:$B$109,'-ref_Distribution'!$G$101:$G$109)),RIGHT(K$1,2)),"")</f>
        <v>608</v>
      </c>
      <c r="L6" s="16" cm="1">
        <f t="array" ref="L6">IFERROR(INDEX(_xlfn.ANCHORARRAY(_xlfn.XLOOKUP($C6,'-ref_Distribution'!$B$101:$B$109,'-ref_Distribution'!$G$101:$G$109)),RIGHT(L$1,2)),"")</f>
        <v>568</v>
      </c>
      <c r="M6" s="16" cm="1">
        <f t="array" ref="M6">IFERROR(INDEX(_xlfn.ANCHORARRAY(_xlfn.XLOOKUP($C6,'-ref_Distribution'!$B$101:$B$109,'-ref_Distribution'!$G$101:$G$109)),RIGHT(M$1,2)),"")</f>
        <v>524</v>
      </c>
      <c r="N6" s="16" cm="1">
        <f t="array" ref="N6">IFERROR(INDEX(_xlfn.ANCHORARRAY(_xlfn.XLOOKUP($C6,'-ref_Distribution'!$B$101:$B$109,'-ref_Distribution'!$G$101:$G$109)),RIGHT(N$1,2)),"")</f>
        <v>478</v>
      </c>
      <c r="O6" s="16" cm="1">
        <f t="array" ref="O6">IFERROR(INDEX(_xlfn.ANCHORARRAY(_xlfn.XLOOKUP($C6,'-ref_Distribution'!$B$101:$B$109,'-ref_Distribution'!$G$101:$G$109)),RIGHT(O$1,2)),"")</f>
        <v>430</v>
      </c>
      <c r="P6" s="16" cm="1">
        <f t="array" ref="P6">IFERROR(INDEX(_xlfn.ANCHORARRAY(_xlfn.XLOOKUP($C6,'-ref_Distribution'!$B$101:$B$109,'-ref_Distribution'!$G$101:$G$109)),RIGHT(P$1,2)),"")</f>
        <v>383</v>
      </c>
      <c r="Q6" s="16" cm="1">
        <f t="array" ref="Q6">IFERROR(INDEX(_xlfn.ANCHORARRAY(_xlfn.XLOOKUP($C6,'-ref_Distribution'!$B$101:$B$109,'-ref_Distribution'!$G$101:$G$109)),RIGHT(Q$1,2)),"")</f>
        <v>336</v>
      </c>
      <c r="R6" s="16" cm="1">
        <f t="array" ref="R6">IFERROR(INDEX(_xlfn.ANCHORARRAY(_xlfn.XLOOKUP($C6,'-ref_Distribution'!$B$101:$B$109,'-ref_Distribution'!$G$101:$G$109)),RIGHT(R$1,2)),"")</f>
        <v>292</v>
      </c>
      <c r="S6" s="16" cm="1">
        <f t="array" ref="S6">IFERROR(INDEX(_xlfn.ANCHORARRAY(_xlfn.XLOOKUP($C6,'-ref_Distribution'!$B$101:$B$109,'-ref_Distribution'!$G$101:$G$109)),RIGHT(S$1,2)),"")</f>
        <v>250</v>
      </c>
      <c r="T6" s="16" cm="1">
        <f t="array" ref="T6">IFERROR(INDEX(_xlfn.ANCHORARRAY(_xlfn.XLOOKUP($C6,'-ref_Distribution'!$B$101:$B$109,'-ref_Distribution'!$G$101:$G$109)),RIGHT(T$1,2)),"")</f>
        <v>212</v>
      </c>
      <c r="U6" s="16" cm="1">
        <f t="array" ref="U6">IFERROR(INDEX(_xlfn.ANCHORARRAY(_xlfn.XLOOKUP($C6,'-ref_Distribution'!$B$101:$B$109,'-ref_Distribution'!$G$101:$G$109)),RIGHT(U$1,2)),"")</f>
        <v>177</v>
      </c>
      <c r="V6" s="16" cm="1">
        <f t="array" ref="V6">IFERROR(INDEX(_xlfn.ANCHORARRAY(_xlfn.XLOOKUP($C6,'-ref_Distribution'!$B$101:$B$109,'-ref_Distribution'!$G$101:$G$109)),RIGHT(V$1,2)),"")</f>
        <v>146</v>
      </c>
      <c r="W6" s="16" cm="1">
        <f t="array" ref="W6">IFERROR(INDEX(_xlfn.ANCHORARRAY(_xlfn.XLOOKUP($C6,'-ref_Distribution'!$B$101:$B$109,'-ref_Distribution'!$G$101:$G$109)),RIGHT(W$1,2)),"")</f>
        <v>119</v>
      </c>
      <c r="X6" s="16" cm="1">
        <f t="array" ref="X6">IFERROR(INDEX(_xlfn.ANCHORARRAY(_xlfn.XLOOKUP($C6,'-ref_Distribution'!$B$101:$B$109,'-ref_Distribution'!$G$101:$G$109)),RIGHT(X$1,2)),"")</f>
        <v>692</v>
      </c>
      <c r="Y6" s="16" cm="1">
        <f t="array" ref="Y6">IFERROR(INDEX(_xlfn.ANCHORARRAY(_xlfn.XLOOKUP($C6,'-ref_Distribution'!$B$101:$B$109,'-ref_Distribution'!$G$101:$G$109)),RIGHT(Y$1,2)),"")</f>
        <v>705</v>
      </c>
      <c r="Z6" s="16" cm="1">
        <f t="array" ref="Z6">IFERROR(INDEX(_xlfn.ANCHORARRAY(_xlfn.XLOOKUP($C6,'-ref_Distribution'!$B$101:$B$109,'-ref_Distribution'!$G$101:$G$109)),RIGHT(Z$1,2)),"")</f>
        <v>709</v>
      </c>
      <c r="AA6" s="16" cm="1">
        <f t="array" ref="AA6">IFERROR(INDEX(_xlfn.ANCHORARRAY(_xlfn.XLOOKUP($C6,'-ref_Distribution'!$B$101:$B$109,'-ref_Distribution'!$G$101:$G$109)),RIGHT(AA$1,2)),"")</f>
        <v>705</v>
      </c>
      <c r="AB6" s="16" cm="1">
        <f t="array" ref="AB6">IFERROR(INDEX(_xlfn.ANCHORARRAY(_xlfn.XLOOKUP($C6,'-ref_Distribution'!$B$101:$B$109,'-ref_Distribution'!$G$101:$G$109)),RIGHT(AB$1,2)),"")</f>
        <v>692</v>
      </c>
      <c r="AC6" s="16" cm="1">
        <f t="array" ref="AC6">IFERROR(INDEX(_xlfn.ANCHORARRAY(_xlfn.XLOOKUP($C6,'-ref_Distribution'!$B$101:$B$109,'-ref_Distribution'!$G$101:$G$109)),RIGHT(AC$1,2)),"")</f>
        <v>671</v>
      </c>
      <c r="AD6" s="16" cm="1">
        <f t="array" ref="AD6">IFERROR(INDEX(_xlfn.ANCHORARRAY(_xlfn.XLOOKUP($C6,'-ref_Distribution'!$B$101:$B$109,'-ref_Distribution'!$G$101:$G$109)),RIGHT(AD$1,2)),"")</f>
        <v>643</v>
      </c>
      <c r="AE6" s="16" cm="1">
        <f t="array" ref="AE6">IFERROR(INDEX(_xlfn.ANCHORARRAY(_xlfn.XLOOKUP($C6,'-ref_Distribution'!$B$101:$B$109,'-ref_Distribution'!$G$101:$G$109)),RIGHT(AE$1,2)),"")</f>
        <v>608</v>
      </c>
      <c r="AF6" s="16" cm="1">
        <f t="array" ref="AF6">IFERROR(INDEX(_xlfn.ANCHORARRAY(_xlfn.XLOOKUP($C6,'-ref_Distribution'!$B$101:$B$109,'-ref_Distribution'!$G$101:$G$109)),RIGHT(AF$1,2)),"")</f>
        <v>568</v>
      </c>
      <c r="AG6" s="16" cm="1">
        <f t="array" ref="AG6">IFERROR(INDEX(_xlfn.ANCHORARRAY(_xlfn.XLOOKUP($C6,'-ref_Distribution'!$B$101:$B$109,'-ref_Distribution'!$G$101:$G$109)),RIGHT(AG$1,2)),"")</f>
        <v>524</v>
      </c>
      <c r="AH6" s="16" cm="1">
        <f t="array" ref="AH6">IFERROR(INDEX(_xlfn.ANCHORARRAY(_xlfn.XLOOKUP($C6,'-ref_Distribution'!$B$101:$B$109,'-ref_Distribution'!$G$101:$G$109)),RIGHT(AH$1,2)),"")</f>
        <v>478</v>
      </c>
      <c r="AI6" s="16" cm="1">
        <f t="array" ref="AI6">IFERROR(INDEX(_xlfn.ANCHORARRAY(_xlfn.XLOOKUP($C6,'-ref_Distribution'!$B$101:$B$109,'-ref_Distribution'!$G$101:$G$109)),RIGHT(AI$1,2)),"")</f>
        <v>430</v>
      </c>
      <c r="AJ6" s="16" cm="1">
        <f t="array" ref="AJ6">IFERROR(INDEX(_xlfn.ANCHORARRAY(_xlfn.XLOOKUP($C6,'-ref_Distribution'!$B$101:$B$109,'-ref_Distribution'!$G$101:$G$109)),RIGHT(AJ$1,2)),"")</f>
        <v>383</v>
      </c>
      <c r="AK6" s="16" cm="1">
        <f t="array" ref="AK6">IFERROR(INDEX(_xlfn.ANCHORARRAY(_xlfn.XLOOKUP($C6,'-ref_Distribution'!$B$101:$B$109,'-ref_Distribution'!$G$101:$G$109)),RIGHT(AK$1,2)),"")</f>
        <v>336</v>
      </c>
      <c r="AL6" s="16" cm="1">
        <f t="array" ref="AL6">IFERROR(INDEX(_xlfn.ANCHORARRAY(_xlfn.XLOOKUP($C6,'-ref_Distribution'!$B$101:$B$109,'-ref_Distribution'!$G$101:$G$109)),RIGHT(AL$1,2)),"")</f>
        <v>292</v>
      </c>
      <c r="AM6" s="16" cm="1">
        <f t="array" ref="AM6">IFERROR(INDEX(_xlfn.ANCHORARRAY(_xlfn.XLOOKUP($C6,'-ref_Distribution'!$B$101:$B$109,'-ref_Distribution'!$G$101:$G$109)),RIGHT(AM$1,2)),"")</f>
        <v>250</v>
      </c>
      <c r="AN6" s="16" cm="1">
        <f t="array" ref="AN6">IFERROR(INDEX(_xlfn.ANCHORARRAY(_xlfn.XLOOKUP($C6,'-ref_Distribution'!$B$101:$B$109,'-ref_Distribution'!$G$101:$G$109)),RIGHT(AN$1,2)),"")</f>
        <v>212</v>
      </c>
      <c r="AO6" s="16" cm="1">
        <f t="array" ref="AO6">IFERROR(INDEX(_xlfn.ANCHORARRAY(_xlfn.XLOOKUP($C6,'-ref_Distribution'!$B$101:$B$109,'-ref_Distribution'!$G$101:$G$109)),RIGHT(AO$1,2)),"")</f>
        <v>177</v>
      </c>
      <c r="AP6" s="16" cm="1">
        <f t="array" ref="AP6">IFERROR(INDEX(_xlfn.ANCHORARRAY(_xlfn.XLOOKUP($C6,'-ref_Distribution'!$B$101:$B$109,'-ref_Distribution'!$G$101:$G$109)),RIGHT(AP$1,2)),"")</f>
        <v>146</v>
      </c>
      <c r="AQ6" s="16" cm="1">
        <f t="array" ref="AQ6">IFERROR(INDEX(_xlfn.ANCHORARRAY(_xlfn.XLOOKUP($C6,'-ref_Distribution'!$B$101:$B$109,'-ref_Distribution'!$G$101:$G$109)),RIGHT(AQ$1,2)),"")</f>
        <v>119</v>
      </c>
      <c r="AR6" s="16" cm="1">
        <f t="array" ref="AR6">IFERROR(INDEX(_xlfn.ANCHORARRAY(_xlfn.XLOOKUP($C6,'-ref_Distribution'!$B$101:$B$109,'-ref_Distribution'!$G$101:$G$109)),RIGHT(AR$1,2)),"")</f>
        <v>692</v>
      </c>
      <c r="AS6" s="16" cm="1">
        <f t="array" ref="AS6">IFERROR(INDEX(_xlfn.ANCHORARRAY(_xlfn.XLOOKUP($C6,'-ref_Distribution'!$B$101:$B$109,'-ref_Distribution'!$G$101:$G$109)),RIGHT(AS$1,2)),"")</f>
        <v>705</v>
      </c>
      <c r="AT6" s="16" cm="1">
        <f t="array" ref="AT6">IFERROR(INDEX(_xlfn.ANCHORARRAY(_xlfn.XLOOKUP($C6,'-ref_Distribution'!$B$101:$B$109,'-ref_Distribution'!$G$101:$G$109)),RIGHT(AT$1,2)),"")</f>
        <v>709</v>
      </c>
      <c r="AU6" s="16" cm="1">
        <f t="array" ref="AU6">IFERROR(INDEX(_xlfn.ANCHORARRAY(_xlfn.XLOOKUP($C6,'-ref_Distribution'!$B$101:$B$109,'-ref_Distribution'!$G$101:$G$109)),RIGHT(AU$1,2)),"")</f>
        <v>705</v>
      </c>
      <c r="AV6" s="16" cm="1">
        <f t="array" ref="AV6">IFERROR(INDEX(_xlfn.ANCHORARRAY(_xlfn.XLOOKUP($C6,'-ref_Distribution'!$B$101:$B$109,'-ref_Distribution'!$G$101:$G$109)),RIGHT(AV$1,2)),"")</f>
        <v>692</v>
      </c>
      <c r="AW6" s="16" cm="1">
        <f t="array" ref="AW6">IFERROR(INDEX(_xlfn.ANCHORARRAY(_xlfn.XLOOKUP($C6,'-ref_Distribution'!$B$101:$B$109,'-ref_Distribution'!$G$101:$G$109)),RIGHT(AW$1,2)),"")</f>
        <v>671</v>
      </c>
      <c r="AX6" s="16" cm="1">
        <f t="array" ref="AX6">IFERROR(INDEX(_xlfn.ANCHORARRAY(_xlfn.XLOOKUP($C6,'-ref_Distribution'!$B$101:$B$109,'-ref_Distribution'!$G$101:$G$109)),RIGHT(AX$1,2)),"")</f>
        <v>643</v>
      </c>
      <c r="AY6" s="16" cm="1">
        <f t="array" ref="AY6">IFERROR(INDEX(_xlfn.ANCHORARRAY(_xlfn.XLOOKUP($C6,'-ref_Distribution'!$B$101:$B$109,'-ref_Distribution'!$G$101:$G$109)),RIGHT(AY$1,2)),"")</f>
        <v>608</v>
      </c>
      <c r="AZ6" s="16" cm="1">
        <f t="array" ref="AZ6">IFERROR(INDEX(_xlfn.ANCHORARRAY(_xlfn.XLOOKUP($C6,'-ref_Distribution'!$B$101:$B$109,'-ref_Distribution'!$G$101:$G$109)),RIGHT(AZ$1,2)),"")</f>
        <v>568</v>
      </c>
      <c r="BA6" s="16" cm="1">
        <f t="array" ref="BA6">IFERROR(INDEX(_xlfn.ANCHORARRAY(_xlfn.XLOOKUP($C6,'-ref_Distribution'!$B$101:$B$109,'-ref_Distribution'!$G$101:$G$109)),RIGHT(BA$1,2)),"")</f>
        <v>524</v>
      </c>
      <c r="BB6" s="16" cm="1">
        <f t="array" ref="BB6">IFERROR(INDEX(_xlfn.ANCHORARRAY(_xlfn.XLOOKUP($C6,'-ref_Distribution'!$B$101:$B$109,'-ref_Distribution'!$G$101:$G$109)),RIGHT(BB$1,2)),"")</f>
        <v>478</v>
      </c>
      <c r="BC6" s="16" cm="1">
        <f t="array" ref="BC6">IFERROR(INDEX(_xlfn.ANCHORARRAY(_xlfn.XLOOKUP($C6,'-ref_Distribution'!$B$101:$B$109,'-ref_Distribution'!$G$101:$G$109)),RIGHT(BC$1,2)),"")</f>
        <v>430</v>
      </c>
      <c r="BD6" s="16" cm="1">
        <f t="array" ref="BD6">IFERROR(INDEX(_xlfn.ANCHORARRAY(_xlfn.XLOOKUP($C6,'-ref_Distribution'!$B$101:$B$109,'-ref_Distribution'!$G$101:$G$109)),RIGHT(BD$1,2)),"")</f>
        <v>383</v>
      </c>
      <c r="BE6" s="16" cm="1">
        <f t="array" ref="BE6">IFERROR(INDEX(_xlfn.ANCHORARRAY(_xlfn.XLOOKUP($C6,'-ref_Distribution'!$B$101:$B$109,'-ref_Distribution'!$G$101:$G$109)),RIGHT(BE$1,2)),"")</f>
        <v>336</v>
      </c>
      <c r="BF6" s="16" cm="1">
        <f t="array" ref="BF6">IFERROR(INDEX(_xlfn.ANCHORARRAY(_xlfn.XLOOKUP($C6,'-ref_Distribution'!$B$101:$B$109,'-ref_Distribution'!$G$101:$G$109)),RIGHT(BF$1,2)),"")</f>
        <v>292</v>
      </c>
      <c r="BG6" s="16" cm="1">
        <f t="array" ref="BG6">IFERROR(INDEX(_xlfn.ANCHORARRAY(_xlfn.XLOOKUP($C6,'-ref_Distribution'!$B$101:$B$109,'-ref_Distribution'!$G$101:$G$109)),RIGHT(BG$1,2)),"")</f>
        <v>250</v>
      </c>
      <c r="BH6" s="16" cm="1">
        <f t="array" ref="BH6">IFERROR(INDEX(_xlfn.ANCHORARRAY(_xlfn.XLOOKUP($C6,'-ref_Distribution'!$B$101:$B$109,'-ref_Distribution'!$G$101:$G$109)),RIGHT(BH$1,2)),"")</f>
        <v>212</v>
      </c>
      <c r="BI6" s="16" cm="1">
        <f t="array" ref="BI6">IFERROR(INDEX(_xlfn.ANCHORARRAY(_xlfn.XLOOKUP($C6,'-ref_Distribution'!$B$101:$B$109,'-ref_Distribution'!$G$101:$G$109)),RIGHT(BI$1,2)),"")</f>
        <v>177</v>
      </c>
      <c r="BJ6" s="16" cm="1">
        <f t="array" ref="BJ6">IFERROR(INDEX(_xlfn.ANCHORARRAY(_xlfn.XLOOKUP($C6,'-ref_Distribution'!$B$101:$B$109,'-ref_Distribution'!$G$101:$G$109)),RIGHT(BJ$1,2)),"")</f>
        <v>146</v>
      </c>
      <c r="BK6" s="16" cm="1">
        <f t="array" ref="BK6">IFERROR(INDEX(_xlfn.ANCHORARRAY(_xlfn.XLOOKUP($C6,'-ref_Distribution'!$B$101:$B$109,'-ref_Distribution'!$G$101:$G$109)),RIGHT(BK$1,2)),"")</f>
        <v>119</v>
      </c>
      <c r="BL6" s="16" cm="1">
        <f t="array" ref="BL6">IFERROR(INDEX(_xlfn.ANCHORARRAY(_xlfn.XLOOKUP($C6,'-ref_Distribution'!$B$101:$B$109,'-ref_Distribution'!$G$101:$G$109)),RIGHT(BL$1,2)),"")</f>
        <v>692</v>
      </c>
      <c r="BM6" s="16" cm="1">
        <f t="array" ref="BM6">IFERROR(INDEX(_xlfn.ANCHORARRAY(_xlfn.XLOOKUP($C6,'-ref_Distribution'!$B$101:$B$109,'-ref_Distribution'!$G$101:$G$109)),RIGHT(BM$1,2)),"")</f>
        <v>705</v>
      </c>
      <c r="BN6" s="16" cm="1">
        <f t="array" ref="BN6">IFERROR(INDEX(_xlfn.ANCHORARRAY(_xlfn.XLOOKUP($C6,'-ref_Distribution'!$B$101:$B$109,'-ref_Distribution'!$G$101:$G$109)),RIGHT(BN$1,2)),"")</f>
        <v>709</v>
      </c>
      <c r="BO6" s="16" cm="1">
        <f t="array" ref="BO6">IFERROR(INDEX(_xlfn.ANCHORARRAY(_xlfn.XLOOKUP($C6,'-ref_Distribution'!$B$101:$B$109,'-ref_Distribution'!$G$101:$G$109)),RIGHT(BO$1,2)),"")</f>
        <v>705</v>
      </c>
      <c r="BP6" s="16" cm="1">
        <f t="array" ref="BP6">IFERROR(INDEX(_xlfn.ANCHORARRAY(_xlfn.XLOOKUP($C6,'-ref_Distribution'!$B$101:$B$109,'-ref_Distribution'!$G$101:$G$109)),RIGHT(BP$1,2)),"")</f>
        <v>692</v>
      </c>
      <c r="BQ6" s="16" cm="1">
        <f t="array" ref="BQ6">IFERROR(INDEX(_xlfn.ANCHORARRAY(_xlfn.XLOOKUP($C6,'-ref_Distribution'!$B$101:$B$109,'-ref_Distribution'!$G$101:$G$109)),RIGHT(BQ$1,2)),"")</f>
        <v>671</v>
      </c>
      <c r="BR6" s="16" cm="1">
        <f t="array" ref="BR6">IFERROR(INDEX(_xlfn.ANCHORARRAY(_xlfn.XLOOKUP($C6,'-ref_Distribution'!$B$101:$B$109,'-ref_Distribution'!$G$101:$G$109)),RIGHT(BR$1,2)),"")</f>
        <v>643</v>
      </c>
      <c r="BS6" s="16" cm="1">
        <f t="array" ref="BS6">IFERROR(INDEX(_xlfn.ANCHORARRAY(_xlfn.XLOOKUP($C6,'-ref_Distribution'!$B$101:$B$109,'-ref_Distribution'!$G$101:$G$109)),RIGHT(BS$1,2)),"")</f>
        <v>608</v>
      </c>
      <c r="BT6" s="16" cm="1">
        <f t="array" ref="BT6">IFERROR(INDEX(_xlfn.ANCHORARRAY(_xlfn.XLOOKUP($C6,'-ref_Distribution'!$B$101:$B$109,'-ref_Distribution'!$G$101:$G$109)),RIGHT(BT$1,2)),"")</f>
        <v>568</v>
      </c>
      <c r="BU6" s="16" cm="1">
        <f t="array" ref="BU6">IFERROR(INDEX(_xlfn.ANCHORARRAY(_xlfn.XLOOKUP($C6,'-ref_Distribution'!$B$101:$B$109,'-ref_Distribution'!$G$101:$G$109)),RIGHT(BU$1,2)),"")</f>
        <v>524</v>
      </c>
      <c r="BV6" s="16" cm="1">
        <f t="array" ref="BV6">IFERROR(INDEX(_xlfn.ANCHORARRAY(_xlfn.XLOOKUP($C6,'-ref_Distribution'!$B$101:$B$109,'-ref_Distribution'!$G$101:$G$109)),RIGHT(BV$1,2)),"")</f>
        <v>478</v>
      </c>
      <c r="BW6" s="16" cm="1">
        <f t="array" ref="BW6">IFERROR(INDEX(_xlfn.ANCHORARRAY(_xlfn.XLOOKUP($C6,'-ref_Distribution'!$B$101:$B$109,'-ref_Distribution'!$G$101:$G$109)),RIGHT(BW$1,2)),"")</f>
        <v>430</v>
      </c>
      <c r="BX6" s="16" cm="1">
        <f t="array" ref="BX6">IFERROR(INDEX(_xlfn.ANCHORARRAY(_xlfn.XLOOKUP($C6,'-ref_Distribution'!$B$101:$B$109,'-ref_Distribution'!$G$101:$G$109)),RIGHT(BX$1,2)),"")</f>
        <v>383</v>
      </c>
      <c r="BY6" s="16" cm="1">
        <f t="array" ref="BY6">IFERROR(INDEX(_xlfn.ANCHORARRAY(_xlfn.XLOOKUP($C6,'-ref_Distribution'!$B$101:$B$109,'-ref_Distribution'!$G$101:$G$109)),RIGHT(BY$1,2)),"")</f>
        <v>336</v>
      </c>
      <c r="BZ6" s="16" cm="1">
        <f t="array" ref="BZ6">IFERROR(INDEX(_xlfn.ANCHORARRAY(_xlfn.XLOOKUP($C6,'-ref_Distribution'!$B$101:$B$109,'-ref_Distribution'!$G$101:$G$109)),RIGHT(BZ$1,2)),"")</f>
        <v>292</v>
      </c>
      <c r="CA6" s="16" cm="1">
        <f t="array" ref="CA6">IFERROR(INDEX(_xlfn.ANCHORARRAY(_xlfn.XLOOKUP($C6,'-ref_Distribution'!$B$101:$B$109,'-ref_Distribution'!$G$101:$G$109)),RIGHT(CA$1,2)),"")</f>
        <v>250</v>
      </c>
      <c r="CB6" s="16" cm="1">
        <f t="array" ref="CB6">IFERROR(INDEX(_xlfn.ANCHORARRAY(_xlfn.XLOOKUP($C6,'-ref_Distribution'!$B$101:$B$109,'-ref_Distribution'!$G$101:$G$109)),RIGHT(CB$1,2)),"")</f>
        <v>212</v>
      </c>
      <c r="CC6" s="16" cm="1">
        <f t="array" ref="CC6">IFERROR(INDEX(_xlfn.ANCHORARRAY(_xlfn.XLOOKUP($C6,'-ref_Distribution'!$B$101:$B$109,'-ref_Distribution'!$G$101:$G$109)),RIGHT(CC$1,2)),"")</f>
        <v>177</v>
      </c>
      <c r="CD6" s="16" cm="1">
        <f t="array" ref="CD6">IFERROR(INDEX(_xlfn.ANCHORARRAY(_xlfn.XLOOKUP($C6,'-ref_Distribution'!$B$101:$B$109,'-ref_Distribution'!$G$101:$G$109)),RIGHT(CD$1,2)),"")</f>
        <v>146</v>
      </c>
      <c r="CE6" s="16" cm="1">
        <f t="array" ref="CE6">IFERROR(INDEX(_xlfn.ANCHORARRAY(_xlfn.XLOOKUP($C6,'-ref_Distribution'!$B$101:$B$109,'-ref_Distribution'!$G$101:$G$109)),RIGHT(CE$1,2)),"")</f>
        <v>119</v>
      </c>
      <c r="CF6" s="16"/>
      <c r="CG6" s="16"/>
      <c r="CH6" s="16"/>
      <c r="CI6" s="16"/>
      <c r="CJ6" s="16"/>
      <c r="CK6" s="16"/>
      <c r="CL6" s="16"/>
    </row>
    <row r="7" spans="1:90" x14ac:dyDescent="0.2">
      <c r="A7" s="16">
        <v>15106</v>
      </c>
      <c r="B7" s="16" t="s">
        <v>181</v>
      </c>
      <c r="C7" s="16">
        <v>9</v>
      </c>
      <c r="D7" s="16" cm="1">
        <f t="array" ref="D7">IFERROR(INDEX(_xlfn.ANCHORARRAY(_xlfn.XLOOKUP($C7,'-ref_Distribution'!$B$101:$B$109,'-ref_Distribution'!$G$101:$G$109)),RIGHT(D$1,2)),"")</f>
        <v>692</v>
      </c>
      <c r="E7" s="16" cm="1">
        <f t="array" ref="E7">IFERROR(INDEX(_xlfn.ANCHORARRAY(_xlfn.XLOOKUP($C7,'-ref_Distribution'!$B$101:$B$109,'-ref_Distribution'!$G$101:$G$109)),RIGHT(E$1,2)),"")</f>
        <v>705</v>
      </c>
      <c r="F7" s="16" cm="1">
        <f t="array" ref="F7">IFERROR(INDEX(_xlfn.ANCHORARRAY(_xlfn.XLOOKUP($C7,'-ref_Distribution'!$B$101:$B$109,'-ref_Distribution'!$G$101:$G$109)),RIGHT(F$1,2)),"")</f>
        <v>709</v>
      </c>
      <c r="G7" s="16" cm="1">
        <f t="array" ref="G7">IFERROR(INDEX(_xlfn.ANCHORARRAY(_xlfn.XLOOKUP($C7,'-ref_Distribution'!$B$101:$B$109,'-ref_Distribution'!$G$101:$G$109)),RIGHT(G$1,2)),"")</f>
        <v>705</v>
      </c>
      <c r="H7" s="16" cm="1">
        <f t="array" ref="H7">IFERROR(INDEX(_xlfn.ANCHORARRAY(_xlfn.XLOOKUP($C7,'-ref_Distribution'!$B$101:$B$109,'-ref_Distribution'!$G$101:$G$109)),RIGHT(H$1,2)),"")</f>
        <v>692</v>
      </c>
      <c r="I7" s="16" cm="1">
        <f t="array" ref="I7">IFERROR(INDEX(_xlfn.ANCHORARRAY(_xlfn.XLOOKUP($C7,'-ref_Distribution'!$B$101:$B$109,'-ref_Distribution'!$G$101:$G$109)),RIGHT(I$1,2)),"")</f>
        <v>671</v>
      </c>
      <c r="J7" s="16" cm="1">
        <f t="array" ref="J7">IFERROR(INDEX(_xlfn.ANCHORARRAY(_xlfn.XLOOKUP($C7,'-ref_Distribution'!$B$101:$B$109,'-ref_Distribution'!$G$101:$G$109)),RIGHT(J$1,2)),"")</f>
        <v>643</v>
      </c>
      <c r="K7" s="16" cm="1">
        <f t="array" ref="K7">IFERROR(INDEX(_xlfn.ANCHORARRAY(_xlfn.XLOOKUP($C7,'-ref_Distribution'!$B$101:$B$109,'-ref_Distribution'!$G$101:$G$109)),RIGHT(K$1,2)),"")</f>
        <v>608</v>
      </c>
      <c r="L7" s="16" cm="1">
        <f t="array" ref="L7">IFERROR(INDEX(_xlfn.ANCHORARRAY(_xlfn.XLOOKUP($C7,'-ref_Distribution'!$B$101:$B$109,'-ref_Distribution'!$G$101:$G$109)),RIGHT(L$1,2)),"")</f>
        <v>568</v>
      </c>
      <c r="M7" s="16" cm="1">
        <f t="array" ref="M7">IFERROR(INDEX(_xlfn.ANCHORARRAY(_xlfn.XLOOKUP($C7,'-ref_Distribution'!$B$101:$B$109,'-ref_Distribution'!$G$101:$G$109)),RIGHT(M$1,2)),"")</f>
        <v>524</v>
      </c>
      <c r="N7" s="16" cm="1">
        <f t="array" ref="N7">IFERROR(INDEX(_xlfn.ANCHORARRAY(_xlfn.XLOOKUP($C7,'-ref_Distribution'!$B$101:$B$109,'-ref_Distribution'!$G$101:$G$109)),RIGHT(N$1,2)),"")</f>
        <v>478</v>
      </c>
      <c r="O7" s="16" cm="1">
        <f t="array" ref="O7">IFERROR(INDEX(_xlfn.ANCHORARRAY(_xlfn.XLOOKUP($C7,'-ref_Distribution'!$B$101:$B$109,'-ref_Distribution'!$G$101:$G$109)),RIGHT(O$1,2)),"")</f>
        <v>430</v>
      </c>
      <c r="P7" s="16" cm="1">
        <f t="array" ref="P7">IFERROR(INDEX(_xlfn.ANCHORARRAY(_xlfn.XLOOKUP($C7,'-ref_Distribution'!$B$101:$B$109,'-ref_Distribution'!$G$101:$G$109)),RIGHT(P$1,2)),"")</f>
        <v>383</v>
      </c>
      <c r="Q7" s="16" cm="1">
        <f t="array" ref="Q7">IFERROR(INDEX(_xlfn.ANCHORARRAY(_xlfn.XLOOKUP($C7,'-ref_Distribution'!$B$101:$B$109,'-ref_Distribution'!$G$101:$G$109)),RIGHT(Q$1,2)),"")</f>
        <v>336</v>
      </c>
      <c r="R7" s="16" cm="1">
        <f t="array" ref="R7">IFERROR(INDEX(_xlfn.ANCHORARRAY(_xlfn.XLOOKUP($C7,'-ref_Distribution'!$B$101:$B$109,'-ref_Distribution'!$G$101:$G$109)),RIGHT(R$1,2)),"")</f>
        <v>292</v>
      </c>
      <c r="S7" s="16" cm="1">
        <f t="array" ref="S7">IFERROR(INDEX(_xlfn.ANCHORARRAY(_xlfn.XLOOKUP($C7,'-ref_Distribution'!$B$101:$B$109,'-ref_Distribution'!$G$101:$G$109)),RIGHT(S$1,2)),"")</f>
        <v>250</v>
      </c>
      <c r="T7" s="16" cm="1">
        <f t="array" ref="T7">IFERROR(INDEX(_xlfn.ANCHORARRAY(_xlfn.XLOOKUP($C7,'-ref_Distribution'!$B$101:$B$109,'-ref_Distribution'!$G$101:$G$109)),RIGHT(T$1,2)),"")</f>
        <v>212</v>
      </c>
      <c r="U7" s="16" cm="1">
        <f t="array" ref="U7">IFERROR(INDEX(_xlfn.ANCHORARRAY(_xlfn.XLOOKUP($C7,'-ref_Distribution'!$B$101:$B$109,'-ref_Distribution'!$G$101:$G$109)),RIGHT(U$1,2)),"")</f>
        <v>177</v>
      </c>
      <c r="V7" s="16" cm="1">
        <f t="array" ref="V7">IFERROR(INDEX(_xlfn.ANCHORARRAY(_xlfn.XLOOKUP($C7,'-ref_Distribution'!$B$101:$B$109,'-ref_Distribution'!$G$101:$G$109)),RIGHT(V$1,2)),"")</f>
        <v>146</v>
      </c>
      <c r="W7" s="16" cm="1">
        <f t="array" ref="W7">IFERROR(INDEX(_xlfn.ANCHORARRAY(_xlfn.XLOOKUP($C7,'-ref_Distribution'!$B$101:$B$109,'-ref_Distribution'!$G$101:$G$109)),RIGHT(W$1,2)),"")</f>
        <v>119</v>
      </c>
      <c r="X7" s="16" cm="1">
        <f t="array" ref="X7">IFERROR(INDEX(_xlfn.ANCHORARRAY(_xlfn.XLOOKUP($C7,'-ref_Distribution'!$B$101:$B$109,'-ref_Distribution'!$G$101:$G$109)),RIGHT(X$1,2)),"")</f>
        <v>692</v>
      </c>
      <c r="Y7" s="16" cm="1">
        <f t="array" ref="Y7">IFERROR(INDEX(_xlfn.ANCHORARRAY(_xlfn.XLOOKUP($C7,'-ref_Distribution'!$B$101:$B$109,'-ref_Distribution'!$G$101:$G$109)),RIGHT(Y$1,2)),"")</f>
        <v>705</v>
      </c>
      <c r="Z7" s="16" cm="1">
        <f t="array" ref="Z7">IFERROR(INDEX(_xlfn.ANCHORARRAY(_xlfn.XLOOKUP($C7,'-ref_Distribution'!$B$101:$B$109,'-ref_Distribution'!$G$101:$G$109)),RIGHT(Z$1,2)),"")</f>
        <v>709</v>
      </c>
      <c r="AA7" s="16" cm="1">
        <f t="array" ref="AA7">IFERROR(INDEX(_xlfn.ANCHORARRAY(_xlfn.XLOOKUP($C7,'-ref_Distribution'!$B$101:$B$109,'-ref_Distribution'!$G$101:$G$109)),RIGHT(AA$1,2)),"")</f>
        <v>705</v>
      </c>
      <c r="AB7" s="16" cm="1">
        <f t="array" ref="AB7">IFERROR(INDEX(_xlfn.ANCHORARRAY(_xlfn.XLOOKUP($C7,'-ref_Distribution'!$B$101:$B$109,'-ref_Distribution'!$G$101:$G$109)),RIGHT(AB$1,2)),"")</f>
        <v>692</v>
      </c>
      <c r="AC7" s="16" cm="1">
        <f t="array" ref="AC7">IFERROR(INDEX(_xlfn.ANCHORARRAY(_xlfn.XLOOKUP($C7,'-ref_Distribution'!$B$101:$B$109,'-ref_Distribution'!$G$101:$G$109)),RIGHT(AC$1,2)),"")</f>
        <v>671</v>
      </c>
      <c r="AD7" s="16" cm="1">
        <f t="array" ref="AD7">IFERROR(INDEX(_xlfn.ANCHORARRAY(_xlfn.XLOOKUP($C7,'-ref_Distribution'!$B$101:$B$109,'-ref_Distribution'!$G$101:$G$109)),RIGHT(AD$1,2)),"")</f>
        <v>643</v>
      </c>
      <c r="AE7" s="16" cm="1">
        <f t="array" ref="AE7">IFERROR(INDEX(_xlfn.ANCHORARRAY(_xlfn.XLOOKUP($C7,'-ref_Distribution'!$B$101:$B$109,'-ref_Distribution'!$G$101:$G$109)),RIGHT(AE$1,2)),"")</f>
        <v>608</v>
      </c>
      <c r="AF7" s="16" cm="1">
        <f t="array" ref="AF7">IFERROR(INDEX(_xlfn.ANCHORARRAY(_xlfn.XLOOKUP($C7,'-ref_Distribution'!$B$101:$B$109,'-ref_Distribution'!$G$101:$G$109)),RIGHT(AF$1,2)),"")</f>
        <v>568</v>
      </c>
      <c r="AG7" s="16" cm="1">
        <f t="array" ref="AG7">IFERROR(INDEX(_xlfn.ANCHORARRAY(_xlfn.XLOOKUP($C7,'-ref_Distribution'!$B$101:$B$109,'-ref_Distribution'!$G$101:$G$109)),RIGHT(AG$1,2)),"")</f>
        <v>524</v>
      </c>
      <c r="AH7" s="16" cm="1">
        <f t="array" ref="AH7">IFERROR(INDEX(_xlfn.ANCHORARRAY(_xlfn.XLOOKUP($C7,'-ref_Distribution'!$B$101:$B$109,'-ref_Distribution'!$G$101:$G$109)),RIGHT(AH$1,2)),"")</f>
        <v>478</v>
      </c>
      <c r="AI7" s="16" cm="1">
        <f t="array" ref="AI7">IFERROR(INDEX(_xlfn.ANCHORARRAY(_xlfn.XLOOKUP($C7,'-ref_Distribution'!$B$101:$B$109,'-ref_Distribution'!$G$101:$G$109)),RIGHT(AI$1,2)),"")</f>
        <v>430</v>
      </c>
      <c r="AJ7" s="16" cm="1">
        <f t="array" ref="AJ7">IFERROR(INDEX(_xlfn.ANCHORARRAY(_xlfn.XLOOKUP($C7,'-ref_Distribution'!$B$101:$B$109,'-ref_Distribution'!$G$101:$G$109)),RIGHT(AJ$1,2)),"")</f>
        <v>383</v>
      </c>
      <c r="AK7" s="16" cm="1">
        <f t="array" ref="AK7">IFERROR(INDEX(_xlfn.ANCHORARRAY(_xlfn.XLOOKUP($C7,'-ref_Distribution'!$B$101:$B$109,'-ref_Distribution'!$G$101:$G$109)),RIGHT(AK$1,2)),"")</f>
        <v>336</v>
      </c>
      <c r="AL7" s="16" cm="1">
        <f t="array" ref="AL7">IFERROR(INDEX(_xlfn.ANCHORARRAY(_xlfn.XLOOKUP($C7,'-ref_Distribution'!$B$101:$B$109,'-ref_Distribution'!$G$101:$G$109)),RIGHT(AL$1,2)),"")</f>
        <v>292</v>
      </c>
      <c r="AM7" s="16" cm="1">
        <f t="array" ref="AM7">IFERROR(INDEX(_xlfn.ANCHORARRAY(_xlfn.XLOOKUP($C7,'-ref_Distribution'!$B$101:$B$109,'-ref_Distribution'!$G$101:$G$109)),RIGHT(AM$1,2)),"")</f>
        <v>250</v>
      </c>
      <c r="AN7" s="16" cm="1">
        <f t="array" ref="AN7">IFERROR(INDEX(_xlfn.ANCHORARRAY(_xlfn.XLOOKUP($C7,'-ref_Distribution'!$B$101:$B$109,'-ref_Distribution'!$G$101:$G$109)),RIGHT(AN$1,2)),"")</f>
        <v>212</v>
      </c>
      <c r="AO7" s="16" cm="1">
        <f t="array" ref="AO7">IFERROR(INDEX(_xlfn.ANCHORARRAY(_xlfn.XLOOKUP($C7,'-ref_Distribution'!$B$101:$B$109,'-ref_Distribution'!$G$101:$G$109)),RIGHT(AO$1,2)),"")</f>
        <v>177</v>
      </c>
      <c r="AP7" s="16" cm="1">
        <f t="array" ref="AP7">IFERROR(INDEX(_xlfn.ANCHORARRAY(_xlfn.XLOOKUP($C7,'-ref_Distribution'!$B$101:$B$109,'-ref_Distribution'!$G$101:$G$109)),RIGHT(AP$1,2)),"")</f>
        <v>146</v>
      </c>
      <c r="AQ7" s="16" cm="1">
        <f t="array" ref="AQ7">IFERROR(INDEX(_xlfn.ANCHORARRAY(_xlfn.XLOOKUP($C7,'-ref_Distribution'!$B$101:$B$109,'-ref_Distribution'!$G$101:$G$109)),RIGHT(AQ$1,2)),"")</f>
        <v>119</v>
      </c>
      <c r="AR7" s="16" cm="1">
        <f t="array" ref="AR7">IFERROR(INDEX(_xlfn.ANCHORARRAY(_xlfn.XLOOKUP($C7,'-ref_Distribution'!$B$101:$B$109,'-ref_Distribution'!$G$101:$G$109)),RIGHT(AR$1,2)),"")</f>
        <v>692</v>
      </c>
      <c r="AS7" s="16" cm="1">
        <f t="array" ref="AS7">IFERROR(INDEX(_xlfn.ANCHORARRAY(_xlfn.XLOOKUP($C7,'-ref_Distribution'!$B$101:$B$109,'-ref_Distribution'!$G$101:$G$109)),RIGHT(AS$1,2)),"")</f>
        <v>705</v>
      </c>
      <c r="AT7" s="16" cm="1">
        <f t="array" ref="AT7">IFERROR(INDEX(_xlfn.ANCHORARRAY(_xlfn.XLOOKUP($C7,'-ref_Distribution'!$B$101:$B$109,'-ref_Distribution'!$G$101:$G$109)),RIGHT(AT$1,2)),"")</f>
        <v>709</v>
      </c>
      <c r="AU7" s="16" cm="1">
        <f t="array" ref="AU7">IFERROR(INDEX(_xlfn.ANCHORARRAY(_xlfn.XLOOKUP($C7,'-ref_Distribution'!$B$101:$B$109,'-ref_Distribution'!$G$101:$G$109)),RIGHT(AU$1,2)),"")</f>
        <v>705</v>
      </c>
      <c r="AV7" s="16" cm="1">
        <f t="array" ref="AV7">IFERROR(INDEX(_xlfn.ANCHORARRAY(_xlfn.XLOOKUP($C7,'-ref_Distribution'!$B$101:$B$109,'-ref_Distribution'!$G$101:$G$109)),RIGHT(AV$1,2)),"")</f>
        <v>692</v>
      </c>
      <c r="AW7" s="16" cm="1">
        <f t="array" ref="AW7">IFERROR(INDEX(_xlfn.ANCHORARRAY(_xlfn.XLOOKUP($C7,'-ref_Distribution'!$B$101:$B$109,'-ref_Distribution'!$G$101:$G$109)),RIGHT(AW$1,2)),"")</f>
        <v>671</v>
      </c>
      <c r="AX7" s="16" cm="1">
        <f t="array" ref="AX7">IFERROR(INDEX(_xlfn.ANCHORARRAY(_xlfn.XLOOKUP($C7,'-ref_Distribution'!$B$101:$B$109,'-ref_Distribution'!$G$101:$G$109)),RIGHT(AX$1,2)),"")</f>
        <v>643</v>
      </c>
      <c r="AY7" s="16" cm="1">
        <f t="array" ref="AY7">IFERROR(INDEX(_xlfn.ANCHORARRAY(_xlfn.XLOOKUP($C7,'-ref_Distribution'!$B$101:$B$109,'-ref_Distribution'!$G$101:$G$109)),RIGHT(AY$1,2)),"")</f>
        <v>608</v>
      </c>
      <c r="AZ7" s="16" cm="1">
        <f t="array" ref="AZ7">IFERROR(INDEX(_xlfn.ANCHORARRAY(_xlfn.XLOOKUP($C7,'-ref_Distribution'!$B$101:$B$109,'-ref_Distribution'!$G$101:$G$109)),RIGHT(AZ$1,2)),"")</f>
        <v>568</v>
      </c>
      <c r="BA7" s="16" cm="1">
        <f t="array" ref="BA7">IFERROR(INDEX(_xlfn.ANCHORARRAY(_xlfn.XLOOKUP($C7,'-ref_Distribution'!$B$101:$B$109,'-ref_Distribution'!$G$101:$G$109)),RIGHT(BA$1,2)),"")</f>
        <v>524</v>
      </c>
      <c r="BB7" s="16" cm="1">
        <f t="array" ref="BB7">IFERROR(INDEX(_xlfn.ANCHORARRAY(_xlfn.XLOOKUP($C7,'-ref_Distribution'!$B$101:$B$109,'-ref_Distribution'!$G$101:$G$109)),RIGHT(BB$1,2)),"")</f>
        <v>478</v>
      </c>
      <c r="BC7" s="16" cm="1">
        <f t="array" ref="BC7">IFERROR(INDEX(_xlfn.ANCHORARRAY(_xlfn.XLOOKUP($C7,'-ref_Distribution'!$B$101:$B$109,'-ref_Distribution'!$G$101:$G$109)),RIGHT(BC$1,2)),"")</f>
        <v>430</v>
      </c>
      <c r="BD7" s="16" cm="1">
        <f t="array" ref="BD7">IFERROR(INDEX(_xlfn.ANCHORARRAY(_xlfn.XLOOKUP($C7,'-ref_Distribution'!$B$101:$B$109,'-ref_Distribution'!$G$101:$G$109)),RIGHT(BD$1,2)),"")</f>
        <v>383</v>
      </c>
      <c r="BE7" s="16" cm="1">
        <f t="array" ref="BE7">IFERROR(INDEX(_xlfn.ANCHORARRAY(_xlfn.XLOOKUP($C7,'-ref_Distribution'!$B$101:$B$109,'-ref_Distribution'!$G$101:$G$109)),RIGHT(BE$1,2)),"")</f>
        <v>336</v>
      </c>
      <c r="BF7" s="16" cm="1">
        <f t="array" ref="BF7">IFERROR(INDEX(_xlfn.ANCHORARRAY(_xlfn.XLOOKUP($C7,'-ref_Distribution'!$B$101:$B$109,'-ref_Distribution'!$G$101:$G$109)),RIGHT(BF$1,2)),"")</f>
        <v>292</v>
      </c>
      <c r="BG7" s="16" cm="1">
        <f t="array" ref="BG7">IFERROR(INDEX(_xlfn.ANCHORARRAY(_xlfn.XLOOKUP($C7,'-ref_Distribution'!$B$101:$B$109,'-ref_Distribution'!$G$101:$G$109)),RIGHT(BG$1,2)),"")</f>
        <v>250</v>
      </c>
      <c r="BH7" s="16" cm="1">
        <f t="array" ref="BH7">IFERROR(INDEX(_xlfn.ANCHORARRAY(_xlfn.XLOOKUP($C7,'-ref_Distribution'!$B$101:$B$109,'-ref_Distribution'!$G$101:$G$109)),RIGHT(BH$1,2)),"")</f>
        <v>212</v>
      </c>
      <c r="BI7" s="16" cm="1">
        <f t="array" ref="BI7">IFERROR(INDEX(_xlfn.ANCHORARRAY(_xlfn.XLOOKUP($C7,'-ref_Distribution'!$B$101:$B$109,'-ref_Distribution'!$G$101:$G$109)),RIGHT(BI$1,2)),"")</f>
        <v>177</v>
      </c>
      <c r="BJ7" s="16" cm="1">
        <f t="array" ref="BJ7">IFERROR(INDEX(_xlfn.ANCHORARRAY(_xlfn.XLOOKUP($C7,'-ref_Distribution'!$B$101:$B$109,'-ref_Distribution'!$G$101:$G$109)),RIGHT(BJ$1,2)),"")</f>
        <v>146</v>
      </c>
      <c r="BK7" s="16" cm="1">
        <f t="array" ref="BK7">IFERROR(INDEX(_xlfn.ANCHORARRAY(_xlfn.XLOOKUP($C7,'-ref_Distribution'!$B$101:$B$109,'-ref_Distribution'!$G$101:$G$109)),RIGHT(BK$1,2)),"")</f>
        <v>119</v>
      </c>
      <c r="BL7" s="16" cm="1">
        <f t="array" ref="BL7">IFERROR(INDEX(_xlfn.ANCHORARRAY(_xlfn.XLOOKUP($C7,'-ref_Distribution'!$B$101:$B$109,'-ref_Distribution'!$G$101:$G$109)),RIGHT(BL$1,2)),"")</f>
        <v>692</v>
      </c>
      <c r="BM7" s="16" cm="1">
        <f t="array" ref="BM7">IFERROR(INDEX(_xlfn.ANCHORARRAY(_xlfn.XLOOKUP($C7,'-ref_Distribution'!$B$101:$B$109,'-ref_Distribution'!$G$101:$G$109)),RIGHT(BM$1,2)),"")</f>
        <v>705</v>
      </c>
      <c r="BN7" s="16" cm="1">
        <f t="array" ref="BN7">IFERROR(INDEX(_xlfn.ANCHORARRAY(_xlfn.XLOOKUP($C7,'-ref_Distribution'!$B$101:$B$109,'-ref_Distribution'!$G$101:$G$109)),RIGHT(BN$1,2)),"")</f>
        <v>709</v>
      </c>
      <c r="BO7" s="16" cm="1">
        <f t="array" ref="BO7">IFERROR(INDEX(_xlfn.ANCHORARRAY(_xlfn.XLOOKUP($C7,'-ref_Distribution'!$B$101:$B$109,'-ref_Distribution'!$G$101:$G$109)),RIGHT(BO$1,2)),"")</f>
        <v>705</v>
      </c>
      <c r="BP7" s="16" cm="1">
        <f t="array" ref="BP7">IFERROR(INDEX(_xlfn.ANCHORARRAY(_xlfn.XLOOKUP($C7,'-ref_Distribution'!$B$101:$B$109,'-ref_Distribution'!$G$101:$G$109)),RIGHT(BP$1,2)),"")</f>
        <v>692</v>
      </c>
      <c r="BQ7" s="16" cm="1">
        <f t="array" ref="BQ7">IFERROR(INDEX(_xlfn.ANCHORARRAY(_xlfn.XLOOKUP($C7,'-ref_Distribution'!$B$101:$B$109,'-ref_Distribution'!$G$101:$G$109)),RIGHT(BQ$1,2)),"")</f>
        <v>671</v>
      </c>
      <c r="BR7" s="16" cm="1">
        <f t="array" ref="BR7">IFERROR(INDEX(_xlfn.ANCHORARRAY(_xlfn.XLOOKUP($C7,'-ref_Distribution'!$B$101:$B$109,'-ref_Distribution'!$G$101:$G$109)),RIGHT(BR$1,2)),"")</f>
        <v>643</v>
      </c>
      <c r="BS7" s="16" cm="1">
        <f t="array" ref="BS7">IFERROR(INDEX(_xlfn.ANCHORARRAY(_xlfn.XLOOKUP($C7,'-ref_Distribution'!$B$101:$B$109,'-ref_Distribution'!$G$101:$G$109)),RIGHT(BS$1,2)),"")</f>
        <v>608</v>
      </c>
      <c r="BT7" s="16" cm="1">
        <f t="array" ref="BT7">IFERROR(INDEX(_xlfn.ANCHORARRAY(_xlfn.XLOOKUP($C7,'-ref_Distribution'!$B$101:$B$109,'-ref_Distribution'!$G$101:$G$109)),RIGHT(BT$1,2)),"")</f>
        <v>568</v>
      </c>
      <c r="BU7" s="16" cm="1">
        <f t="array" ref="BU7">IFERROR(INDEX(_xlfn.ANCHORARRAY(_xlfn.XLOOKUP($C7,'-ref_Distribution'!$B$101:$B$109,'-ref_Distribution'!$G$101:$G$109)),RIGHT(BU$1,2)),"")</f>
        <v>524</v>
      </c>
      <c r="BV7" s="16" cm="1">
        <f t="array" ref="BV7">IFERROR(INDEX(_xlfn.ANCHORARRAY(_xlfn.XLOOKUP($C7,'-ref_Distribution'!$B$101:$B$109,'-ref_Distribution'!$G$101:$G$109)),RIGHT(BV$1,2)),"")</f>
        <v>478</v>
      </c>
      <c r="BW7" s="16" cm="1">
        <f t="array" ref="BW7">IFERROR(INDEX(_xlfn.ANCHORARRAY(_xlfn.XLOOKUP($C7,'-ref_Distribution'!$B$101:$B$109,'-ref_Distribution'!$G$101:$G$109)),RIGHT(BW$1,2)),"")</f>
        <v>430</v>
      </c>
      <c r="BX7" s="16" cm="1">
        <f t="array" ref="BX7">IFERROR(INDEX(_xlfn.ANCHORARRAY(_xlfn.XLOOKUP($C7,'-ref_Distribution'!$B$101:$B$109,'-ref_Distribution'!$G$101:$G$109)),RIGHT(BX$1,2)),"")</f>
        <v>383</v>
      </c>
      <c r="BY7" s="16" cm="1">
        <f t="array" ref="BY7">IFERROR(INDEX(_xlfn.ANCHORARRAY(_xlfn.XLOOKUP($C7,'-ref_Distribution'!$B$101:$B$109,'-ref_Distribution'!$G$101:$G$109)),RIGHT(BY$1,2)),"")</f>
        <v>336</v>
      </c>
      <c r="BZ7" s="16" cm="1">
        <f t="array" ref="BZ7">IFERROR(INDEX(_xlfn.ANCHORARRAY(_xlfn.XLOOKUP($C7,'-ref_Distribution'!$B$101:$B$109,'-ref_Distribution'!$G$101:$G$109)),RIGHT(BZ$1,2)),"")</f>
        <v>292</v>
      </c>
      <c r="CA7" s="16" cm="1">
        <f t="array" ref="CA7">IFERROR(INDEX(_xlfn.ANCHORARRAY(_xlfn.XLOOKUP($C7,'-ref_Distribution'!$B$101:$B$109,'-ref_Distribution'!$G$101:$G$109)),RIGHT(CA$1,2)),"")</f>
        <v>250</v>
      </c>
      <c r="CB7" s="16" cm="1">
        <f t="array" ref="CB7">IFERROR(INDEX(_xlfn.ANCHORARRAY(_xlfn.XLOOKUP($C7,'-ref_Distribution'!$B$101:$B$109,'-ref_Distribution'!$G$101:$G$109)),RIGHT(CB$1,2)),"")</f>
        <v>212</v>
      </c>
      <c r="CC7" s="16" cm="1">
        <f t="array" ref="CC7">IFERROR(INDEX(_xlfn.ANCHORARRAY(_xlfn.XLOOKUP($C7,'-ref_Distribution'!$B$101:$B$109,'-ref_Distribution'!$G$101:$G$109)),RIGHT(CC$1,2)),"")</f>
        <v>177</v>
      </c>
      <c r="CD7" s="16" cm="1">
        <f t="array" ref="CD7">IFERROR(INDEX(_xlfn.ANCHORARRAY(_xlfn.XLOOKUP($C7,'-ref_Distribution'!$B$101:$B$109,'-ref_Distribution'!$G$101:$G$109)),RIGHT(CD$1,2)),"")</f>
        <v>146</v>
      </c>
      <c r="CE7" s="16" cm="1">
        <f t="array" ref="CE7">IFERROR(INDEX(_xlfn.ANCHORARRAY(_xlfn.XLOOKUP($C7,'-ref_Distribution'!$B$101:$B$109,'-ref_Distribution'!$G$101:$G$109)),RIGHT(CE$1,2)),"")</f>
        <v>119</v>
      </c>
      <c r="CF7" s="16"/>
      <c r="CG7" s="16"/>
      <c r="CH7" s="16"/>
      <c r="CI7" s="16"/>
      <c r="CJ7" s="16"/>
      <c r="CK7" s="16"/>
      <c r="CL7" s="16"/>
    </row>
    <row r="8" spans="1:90" x14ac:dyDescent="0.2">
      <c r="A8" s="16">
        <v>15107</v>
      </c>
      <c r="B8" s="16" t="s">
        <v>182</v>
      </c>
      <c r="C8" s="16">
        <v>9</v>
      </c>
      <c r="D8" s="16" cm="1">
        <f t="array" ref="D8">IFERROR(INDEX(_xlfn.ANCHORARRAY(_xlfn.XLOOKUP($C8,'-ref_Distribution'!$B$101:$B$109,'-ref_Distribution'!$G$101:$G$109)),RIGHT(D$1,2)),"")</f>
        <v>692</v>
      </c>
      <c r="E8" s="16" cm="1">
        <f t="array" ref="E8">IFERROR(INDEX(_xlfn.ANCHORARRAY(_xlfn.XLOOKUP($C8,'-ref_Distribution'!$B$101:$B$109,'-ref_Distribution'!$G$101:$G$109)),RIGHT(E$1,2)),"")</f>
        <v>705</v>
      </c>
      <c r="F8" s="16" cm="1">
        <f t="array" ref="F8">IFERROR(INDEX(_xlfn.ANCHORARRAY(_xlfn.XLOOKUP($C8,'-ref_Distribution'!$B$101:$B$109,'-ref_Distribution'!$G$101:$G$109)),RIGHT(F$1,2)),"")</f>
        <v>709</v>
      </c>
      <c r="G8" s="16" cm="1">
        <f t="array" ref="G8">IFERROR(INDEX(_xlfn.ANCHORARRAY(_xlfn.XLOOKUP($C8,'-ref_Distribution'!$B$101:$B$109,'-ref_Distribution'!$G$101:$G$109)),RIGHT(G$1,2)),"")</f>
        <v>705</v>
      </c>
      <c r="H8" s="16" cm="1">
        <f t="array" ref="H8">IFERROR(INDEX(_xlfn.ANCHORARRAY(_xlfn.XLOOKUP($C8,'-ref_Distribution'!$B$101:$B$109,'-ref_Distribution'!$G$101:$G$109)),RIGHT(H$1,2)),"")</f>
        <v>692</v>
      </c>
      <c r="I8" s="16" cm="1">
        <f t="array" ref="I8">IFERROR(INDEX(_xlfn.ANCHORARRAY(_xlfn.XLOOKUP($C8,'-ref_Distribution'!$B$101:$B$109,'-ref_Distribution'!$G$101:$G$109)),RIGHT(I$1,2)),"")</f>
        <v>671</v>
      </c>
      <c r="J8" s="16" cm="1">
        <f t="array" ref="J8">IFERROR(INDEX(_xlfn.ANCHORARRAY(_xlfn.XLOOKUP($C8,'-ref_Distribution'!$B$101:$B$109,'-ref_Distribution'!$G$101:$G$109)),RIGHT(J$1,2)),"")</f>
        <v>643</v>
      </c>
      <c r="K8" s="16" cm="1">
        <f t="array" ref="K8">IFERROR(INDEX(_xlfn.ANCHORARRAY(_xlfn.XLOOKUP($C8,'-ref_Distribution'!$B$101:$B$109,'-ref_Distribution'!$G$101:$G$109)),RIGHT(K$1,2)),"")</f>
        <v>608</v>
      </c>
      <c r="L8" s="16" cm="1">
        <f t="array" ref="L8">IFERROR(INDEX(_xlfn.ANCHORARRAY(_xlfn.XLOOKUP($C8,'-ref_Distribution'!$B$101:$B$109,'-ref_Distribution'!$G$101:$G$109)),RIGHT(L$1,2)),"")</f>
        <v>568</v>
      </c>
      <c r="M8" s="16" cm="1">
        <f t="array" ref="M8">IFERROR(INDEX(_xlfn.ANCHORARRAY(_xlfn.XLOOKUP($C8,'-ref_Distribution'!$B$101:$B$109,'-ref_Distribution'!$G$101:$G$109)),RIGHT(M$1,2)),"")</f>
        <v>524</v>
      </c>
      <c r="N8" s="16" cm="1">
        <f t="array" ref="N8">IFERROR(INDEX(_xlfn.ANCHORARRAY(_xlfn.XLOOKUP($C8,'-ref_Distribution'!$B$101:$B$109,'-ref_Distribution'!$G$101:$G$109)),RIGHT(N$1,2)),"")</f>
        <v>478</v>
      </c>
      <c r="O8" s="16" cm="1">
        <f t="array" ref="O8">IFERROR(INDEX(_xlfn.ANCHORARRAY(_xlfn.XLOOKUP($C8,'-ref_Distribution'!$B$101:$B$109,'-ref_Distribution'!$G$101:$G$109)),RIGHT(O$1,2)),"")</f>
        <v>430</v>
      </c>
      <c r="P8" s="16" cm="1">
        <f t="array" ref="P8">IFERROR(INDEX(_xlfn.ANCHORARRAY(_xlfn.XLOOKUP($C8,'-ref_Distribution'!$B$101:$B$109,'-ref_Distribution'!$G$101:$G$109)),RIGHT(P$1,2)),"")</f>
        <v>383</v>
      </c>
      <c r="Q8" s="16" cm="1">
        <f t="array" ref="Q8">IFERROR(INDEX(_xlfn.ANCHORARRAY(_xlfn.XLOOKUP($C8,'-ref_Distribution'!$B$101:$B$109,'-ref_Distribution'!$G$101:$G$109)),RIGHT(Q$1,2)),"")</f>
        <v>336</v>
      </c>
      <c r="R8" s="16" cm="1">
        <f t="array" ref="R8">IFERROR(INDEX(_xlfn.ANCHORARRAY(_xlfn.XLOOKUP($C8,'-ref_Distribution'!$B$101:$B$109,'-ref_Distribution'!$G$101:$G$109)),RIGHT(R$1,2)),"")</f>
        <v>292</v>
      </c>
      <c r="S8" s="16" cm="1">
        <f t="array" ref="S8">IFERROR(INDEX(_xlfn.ANCHORARRAY(_xlfn.XLOOKUP($C8,'-ref_Distribution'!$B$101:$B$109,'-ref_Distribution'!$G$101:$G$109)),RIGHT(S$1,2)),"")</f>
        <v>250</v>
      </c>
      <c r="T8" s="16" cm="1">
        <f t="array" ref="T8">IFERROR(INDEX(_xlfn.ANCHORARRAY(_xlfn.XLOOKUP($C8,'-ref_Distribution'!$B$101:$B$109,'-ref_Distribution'!$G$101:$G$109)),RIGHT(T$1,2)),"")</f>
        <v>212</v>
      </c>
      <c r="U8" s="16" cm="1">
        <f t="array" ref="U8">IFERROR(INDEX(_xlfn.ANCHORARRAY(_xlfn.XLOOKUP($C8,'-ref_Distribution'!$B$101:$B$109,'-ref_Distribution'!$G$101:$G$109)),RIGHT(U$1,2)),"")</f>
        <v>177</v>
      </c>
      <c r="V8" s="16" cm="1">
        <f t="array" ref="V8">IFERROR(INDEX(_xlfn.ANCHORARRAY(_xlfn.XLOOKUP($C8,'-ref_Distribution'!$B$101:$B$109,'-ref_Distribution'!$G$101:$G$109)),RIGHT(V$1,2)),"")</f>
        <v>146</v>
      </c>
      <c r="W8" s="16" cm="1">
        <f t="array" ref="W8">IFERROR(INDEX(_xlfn.ANCHORARRAY(_xlfn.XLOOKUP($C8,'-ref_Distribution'!$B$101:$B$109,'-ref_Distribution'!$G$101:$G$109)),RIGHT(W$1,2)),"")</f>
        <v>119</v>
      </c>
      <c r="X8" s="16" cm="1">
        <f t="array" ref="X8">IFERROR(INDEX(_xlfn.ANCHORARRAY(_xlfn.XLOOKUP($C8,'-ref_Distribution'!$B$101:$B$109,'-ref_Distribution'!$G$101:$G$109)),RIGHT(X$1,2)),"")</f>
        <v>692</v>
      </c>
      <c r="Y8" s="16" cm="1">
        <f t="array" ref="Y8">IFERROR(INDEX(_xlfn.ANCHORARRAY(_xlfn.XLOOKUP($C8,'-ref_Distribution'!$B$101:$B$109,'-ref_Distribution'!$G$101:$G$109)),RIGHT(Y$1,2)),"")</f>
        <v>705</v>
      </c>
      <c r="Z8" s="16" cm="1">
        <f t="array" ref="Z8">IFERROR(INDEX(_xlfn.ANCHORARRAY(_xlfn.XLOOKUP($C8,'-ref_Distribution'!$B$101:$B$109,'-ref_Distribution'!$G$101:$G$109)),RIGHT(Z$1,2)),"")</f>
        <v>709</v>
      </c>
      <c r="AA8" s="16" cm="1">
        <f t="array" ref="AA8">IFERROR(INDEX(_xlfn.ANCHORARRAY(_xlfn.XLOOKUP($C8,'-ref_Distribution'!$B$101:$B$109,'-ref_Distribution'!$G$101:$G$109)),RIGHT(AA$1,2)),"")</f>
        <v>705</v>
      </c>
      <c r="AB8" s="16" cm="1">
        <f t="array" ref="AB8">IFERROR(INDEX(_xlfn.ANCHORARRAY(_xlfn.XLOOKUP($C8,'-ref_Distribution'!$B$101:$B$109,'-ref_Distribution'!$G$101:$G$109)),RIGHT(AB$1,2)),"")</f>
        <v>692</v>
      </c>
      <c r="AC8" s="16" cm="1">
        <f t="array" ref="AC8">IFERROR(INDEX(_xlfn.ANCHORARRAY(_xlfn.XLOOKUP($C8,'-ref_Distribution'!$B$101:$B$109,'-ref_Distribution'!$G$101:$G$109)),RIGHT(AC$1,2)),"")</f>
        <v>671</v>
      </c>
      <c r="AD8" s="16" cm="1">
        <f t="array" ref="AD8">IFERROR(INDEX(_xlfn.ANCHORARRAY(_xlfn.XLOOKUP($C8,'-ref_Distribution'!$B$101:$B$109,'-ref_Distribution'!$G$101:$G$109)),RIGHT(AD$1,2)),"")</f>
        <v>643</v>
      </c>
      <c r="AE8" s="16" cm="1">
        <f t="array" ref="AE8">IFERROR(INDEX(_xlfn.ANCHORARRAY(_xlfn.XLOOKUP($C8,'-ref_Distribution'!$B$101:$B$109,'-ref_Distribution'!$G$101:$G$109)),RIGHT(AE$1,2)),"")</f>
        <v>608</v>
      </c>
      <c r="AF8" s="16" cm="1">
        <f t="array" ref="AF8">IFERROR(INDEX(_xlfn.ANCHORARRAY(_xlfn.XLOOKUP($C8,'-ref_Distribution'!$B$101:$B$109,'-ref_Distribution'!$G$101:$G$109)),RIGHT(AF$1,2)),"")</f>
        <v>568</v>
      </c>
      <c r="AG8" s="16" cm="1">
        <f t="array" ref="AG8">IFERROR(INDEX(_xlfn.ANCHORARRAY(_xlfn.XLOOKUP($C8,'-ref_Distribution'!$B$101:$B$109,'-ref_Distribution'!$G$101:$G$109)),RIGHT(AG$1,2)),"")</f>
        <v>524</v>
      </c>
      <c r="AH8" s="16" cm="1">
        <f t="array" ref="AH8">IFERROR(INDEX(_xlfn.ANCHORARRAY(_xlfn.XLOOKUP($C8,'-ref_Distribution'!$B$101:$B$109,'-ref_Distribution'!$G$101:$G$109)),RIGHT(AH$1,2)),"")</f>
        <v>478</v>
      </c>
      <c r="AI8" s="16" cm="1">
        <f t="array" ref="AI8">IFERROR(INDEX(_xlfn.ANCHORARRAY(_xlfn.XLOOKUP($C8,'-ref_Distribution'!$B$101:$B$109,'-ref_Distribution'!$G$101:$G$109)),RIGHT(AI$1,2)),"")</f>
        <v>430</v>
      </c>
      <c r="AJ8" s="16" cm="1">
        <f t="array" ref="AJ8">IFERROR(INDEX(_xlfn.ANCHORARRAY(_xlfn.XLOOKUP($C8,'-ref_Distribution'!$B$101:$B$109,'-ref_Distribution'!$G$101:$G$109)),RIGHT(AJ$1,2)),"")</f>
        <v>383</v>
      </c>
      <c r="AK8" s="16" cm="1">
        <f t="array" ref="AK8">IFERROR(INDEX(_xlfn.ANCHORARRAY(_xlfn.XLOOKUP($C8,'-ref_Distribution'!$B$101:$B$109,'-ref_Distribution'!$G$101:$G$109)),RIGHT(AK$1,2)),"")</f>
        <v>336</v>
      </c>
      <c r="AL8" s="16" cm="1">
        <f t="array" ref="AL8">IFERROR(INDEX(_xlfn.ANCHORARRAY(_xlfn.XLOOKUP($C8,'-ref_Distribution'!$B$101:$B$109,'-ref_Distribution'!$G$101:$G$109)),RIGHT(AL$1,2)),"")</f>
        <v>292</v>
      </c>
      <c r="AM8" s="16" cm="1">
        <f t="array" ref="AM8">IFERROR(INDEX(_xlfn.ANCHORARRAY(_xlfn.XLOOKUP($C8,'-ref_Distribution'!$B$101:$B$109,'-ref_Distribution'!$G$101:$G$109)),RIGHT(AM$1,2)),"")</f>
        <v>250</v>
      </c>
      <c r="AN8" s="16" cm="1">
        <f t="array" ref="AN8">IFERROR(INDEX(_xlfn.ANCHORARRAY(_xlfn.XLOOKUP($C8,'-ref_Distribution'!$B$101:$B$109,'-ref_Distribution'!$G$101:$G$109)),RIGHT(AN$1,2)),"")</f>
        <v>212</v>
      </c>
      <c r="AO8" s="16" cm="1">
        <f t="array" ref="AO8">IFERROR(INDEX(_xlfn.ANCHORARRAY(_xlfn.XLOOKUP($C8,'-ref_Distribution'!$B$101:$B$109,'-ref_Distribution'!$G$101:$G$109)),RIGHT(AO$1,2)),"")</f>
        <v>177</v>
      </c>
      <c r="AP8" s="16" cm="1">
        <f t="array" ref="AP8">IFERROR(INDEX(_xlfn.ANCHORARRAY(_xlfn.XLOOKUP($C8,'-ref_Distribution'!$B$101:$B$109,'-ref_Distribution'!$G$101:$G$109)),RIGHT(AP$1,2)),"")</f>
        <v>146</v>
      </c>
      <c r="AQ8" s="16" cm="1">
        <f t="array" ref="AQ8">IFERROR(INDEX(_xlfn.ANCHORARRAY(_xlfn.XLOOKUP($C8,'-ref_Distribution'!$B$101:$B$109,'-ref_Distribution'!$G$101:$G$109)),RIGHT(AQ$1,2)),"")</f>
        <v>119</v>
      </c>
      <c r="AR8" s="16" cm="1">
        <f t="array" ref="AR8">IFERROR(INDEX(_xlfn.ANCHORARRAY(_xlfn.XLOOKUP($C8,'-ref_Distribution'!$B$101:$B$109,'-ref_Distribution'!$G$101:$G$109)),RIGHT(AR$1,2)),"")</f>
        <v>692</v>
      </c>
      <c r="AS8" s="16" cm="1">
        <f t="array" ref="AS8">IFERROR(INDEX(_xlfn.ANCHORARRAY(_xlfn.XLOOKUP($C8,'-ref_Distribution'!$B$101:$B$109,'-ref_Distribution'!$G$101:$G$109)),RIGHT(AS$1,2)),"")</f>
        <v>705</v>
      </c>
      <c r="AT8" s="16" cm="1">
        <f t="array" ref="AT8">IFERROR(INDEX(_xlfn.ANCHORARRAY(_xlfn.XLOOKUP($C8,'-ref_Distribution'!$B$101:$B$109,'-ref_Distribution'!$G$101:$G$109)),RIGHT(AT$1,2)),"")</f>
        <v>709</v>
      </c>
      <c r="AU8" s="16" cm="1">
        <f t="array" ref="AU8">IFERROR(INDEX(_xlfn.ANCHORARRAY(_xlfn.XLOOKUP($C8,'-ref_Distribution'!$B$101:$B$109,'-ref_Distribution'!$G$101:$G$109)),RIGHT(AU$1,2)),"")</f>
        <v>705</v>
      </c>
      <c r="AV8" s="16" cm="1">
        <f t="array" ref="AV8">IFERROR(INDEX(_xlfn.ANCHORARRAY(_xlfn.XLOOKUP($C8,'-ref_Distribution'!$B$101:$B$109,'-ref_Distribution'!$G$101:$G$109)),RIGHT(AV$1,2)),"")</f>
        <v>692</v>
      </c>
      <c r="AW8" s="16" cm="1">
        <f t="array" ref="AW8">IFERROR(INDEX(_xlfn.ANCHORARRAY(_xlfn.XLOOKUP($C8,'-ref_Distribution'!$B$101:$B$109,'-ref_Distribution'!$G$101:$G$109)),RIGHT(AW$1,2)),"")</f>
        <v>671</v>
      </c>
      <c r="AX8" s="16" cm="1">
        <f t="array" ref="AX8">IFERROR(INDEX(_xlfn.ANCHORARRAY(_xlfn.XLOOKUP($C8,'-ref_Distribution'!$B$101:$B$109,'-ref_Distribution'!$G$101:$G$109)),RIGHT(AX$1,2)),"")</f>
        <v>643</v>
      </c>
      <c r="AY8" s="16" cm="1">
        <f t="array" ref="AY8">IFERROR(INDEX(_xlfn.ANCHORARRAY(_xlfn.XLOOKUP($C8,'-ref_Distribution'!$B$101:$B$109,'-ref_Distribution'!$G$101:$G$109)),RIGHT(AY$1,2)),"")</f>
        <v>608</v>
      </c>
      <c r="AZ8" s="16" cm="1">
        <f t="array" ref="AZ8">IFERROR(INDEX(_xlfn.ANCHORARRAY(_xlfn.XLOOKUP($C8,'-ref_Distribution'!$B$101:$B$109,'-ref_Distribution'!$G$101:$G$109)),RIGHT(AZ$1,2)),"")</f>
        <v>568</v>
      </c>
      <c r="BA8" s="16" cm="1">
        <f t="array" ref="BA8">IFERROR(INDEX(_xlfn.ANCHORARRAY(_xlfn.XLOOKUP($C8,'-ref_Distribution'!$B$101:$B$109,'-ref_Distribution'!$G$101:$G$109)),RIGHT(BA$1,2)),"")</f>
        <v>524</v>
      </c>
      <c r="BB8" s="16" cm="1">
        <f t="array" ref="BB8">IFERROR(INDEX(_xlfn.ANCHORARRAY(_xlfn.XLOOKUP($C8,'-ref_Distribution'!$B$101:$B$109,'-ref_Distribution'!$G$101:$G$109)),RIGHT(BB$1,2)),"")</f>
        <v>478</v>
      </c>
      <c r="BC8" s="16" cm="1">
        <f t="array" ref="BC8">IFERROR(INDEX(_xlfn.ANCHORARRAY(_xlfn.XLOOKUP($C8,'-ref_Distribution'!$B$101:$B$109,'-ref_Distribution'!$G$101:$G$109)),RIGHT(BC$1,2)),"")</f>
        <v>430</v>
      </c>
      <c r="BD8" s="16" cm="1">
        <f t="array" ref="BD8">IFERROR(INDEX(_xlfn.ANCHORARRAY(_xlfn.XLOOKUP($C8,'-ref_Distribution'!$B$101:$B$109,'-ref_Distribution'!$G$101:$G$109)),RIGHT(BD$1,2)),"")</f>
        <v>383</v>
      </c>
      <c r="BE8" s="16" cm="1">
        <f t="array" ref="BE8">IFERROR(INDEX(_xlfn.ANCHORARRAY(_xlfn.XLOOKUP($C8,'-ref_Distribution'!$B$101:$B$109,'-ref_Distribution'!$G$101:$G$109)),RIGHT(BE$1,2)),"")</f>
        <v>336</v>
      </c>
      <c r="BF8" s="16" cm="1">
        <f t="array" ref="BF8">IFERROR(INDEX(_xlfn.ANCHORARRAY(_xlfn.XLOOKUP($C8,'-ref_Distribution'!$B$101:$B$109,'-ref_Distribution'!$G$101:$G$109)),RIGHT(BF$1,2)),"")</f>
        <v>292</v>
      </c>
      <c r="BG8" s="16" cm="1">
        <f t="array" ref="BG8">IFERROR(INDEX(_xlfn.ANCHORARRAY(_xlfn.XLOOKUP($C8,'-ref_Distribution'!$B$101:$B$109,'-ref_Distribution'!$G$101:$G$109)),RIGHT(BG$1,2)),"")</f>
        <v>250</v>
      </c>
      <c r="BH8" s="16" cm="1">
        <f t="array" ref="BH8">IFERROR(INDEX(_xlfn.ANCHORARRAY(_xlfn.XLOOKUP($C8,'-ref_Distribution'!$B$101:$B$109,'-ref_Distribution'!$G$101:$G$109)),RIGHT(BH$1,2)),"")</f>
        <v>212</v>
      </c>
      <c r="BI8" s="16" cm="1">
        <f t="array" ref="BI8">IFERROR(INDEX(_xlfn.ANCHORARRAY(_xlfn.XLOOKUP($C8,'-ref_Distribution'!$B$101:$B$109,'-ref_Distribution'!$G$101:$G$109)),RIGHT(BI$1,2)),"")</f>
        <v>177</v>
      </c>
      <c r="BJ8" s="16" cm="1">
        <f t="array" ref="BJ8">IFERROR(INDEX(_xlfn.ANCHORARRAY(_xlfn.XLOOKUP($C8,'-ref_Distribution'!$B$101:$B$109,'-ref_Distribution'!$G$101:$G$109)),RIGHT(BJ$1,2)),"")</f>
        <v>146</v>
      </c>
      <c r="BK8" s="16" cm="1">
        <f t="array" ref="BK8">IFERROR(INDEX(_xlfn.ANCHORARRAY(_xlfn.XLOOKUP($C8,'-ref_Distribution'!$B$101:$B$109,'-ref_Distribution'!$G$101:$G$109)),RIGHT(BK$1,2)),"")</f>
        <v>119</v>
      </c>
      <c r="BL8" s="16" cm="1">
        <f t="array" ref="BL8">IFERROR(INDEX(_xlfn.ANCHORARRAY(_xlfn.XLOOKUP($C8,'-ref_Distribution'!$B$101:$B$109,'-ref_Distribution'!$G$101:$G$109)),RIGHT(BL$1,2)),"")</f>
        <v>692</v>
      </c>
      <c r="BM8" s="16" cm="1">
        <f t="array" ref="BM8">IFERROR(INDEX(_xlfn.ANCHORARRAY(_xlfn.XLOOKUP($C8,'-ref_Distribution'!$B$101:$B$109,'-ref_Distribution'!$G$101:$G$109)),RIGHT(BM$1,2)),"")</f>
        <v>705</v>
      </c>
      <c r="BN8" s="16" cm="1">
        <f t="array" ref="BN8">IFERROR(INDEX(_xlfn.ANCHORARRAY(_xlfn.XLOOKUP($C8,'-ref_Distribution'!$B$101:$B$109,'-ref_Distribution'!$G$101:$G$109)),RIGHT(BN$1,2)),"")</f>
        <v>709</v>
      </c>
      <c r="BO8" s="16" cm="1">
        <f t="array" ref="BO8">IFERROR(INDEX(_xlfn.ANCHORARRAY(_xlfn.XLOOKUP($C8,'-ref_Distribution'!$B$101:$B$109,'-ref_Distribution'!$G$101:$G$109)),RIGHT(BO$1,2)),"")</f>
        <v>705</v>
      </c>
      <c r="BP8" s="16" cm="1">
        <f t="array" ref="BP8">IFERROR(INDEX(_xlfn.ANCHORARRAY(_xlfn.XLOOKUP($C8,'-ref_Distribution'!$B$101:$B$109,'-ref_Distribution'!$G$101:$G$109)),RIGHT(BP$1,2)),"")</f>
        <v>692</v>
      </c>
      <c r="BQ8" s="16" cm="1">
        <f t="array" ref="BQ8">IFERROR(INDEX(_xlfn.ANCHORARRAY(_xlfn.XLOOKUP($C8,'-ref_Distribution'!$B$101:$B$109,'-ref_Distribution'!$G$101:$G$109)),RIGHT(BQ$1,2)),"")</f>
        <v>671</v>
      </c>
      <c r="BR8" s="16" cm="1">
        <f t="array" ref="BR8">IFERROR(INDEX(_xlfn.ANCHORARRAY(_xlfn.XLOOKUP($C8,'-ref_Distribution'!$B$101:$B$109,'-ref_Distribution'!$G$101:$G$109)),RIGHT(BR$1,2)),"")</f>
        <v>643</v>
      </c>
      <c r="BS8" s="16" cm="1">
        <f t="array" ref="BS8">IFERROR(INDEX(_xlfn.ANCHORARRAY(_xlfn.XLOOKUP($C8,'-ref_Distribution'!$B$101:$B$109,'-ref_Distribution'!$G$101:$G$109)),RIGHT(BS$1,2)),"")</f>
        <v>608</v>
      </c>
      <c r="BT8" s="16" cm="1">
        <f t="array" ref="BT8">IFERROR(INDEX(_xlfn.ANCHORARRAY(_xlfn.XLOOKUP($C8,'-ref_Distribution'!$B$101:$B$109,'-ref_Distribution'!$G$101:$G$109)),RIGHT(BT$1,2)),"")</f>
        <v>568</v>
      </c>
      <c r="BU8" s="16" cm="1">
        <f t="array" ref="BU8">IFERROR(INDEX(_xlfn.ANCHORARRAY(_xlfn.XLOOKUP($C8,'-ref_Distribution'!$B$101:$B$109,'-ref_Distribution'!$G$101:$G$109)),RIGHT(BU$1,2)),"")</f>
        <v>524</v>
      </c>
      <c r="BV8" s="16" cm="1">
        <f t="array" ref="BV8">IFERROR(INDEX(_xlfn.ANCHORARRAY(_xlfn.XLOOKUP($C8,'-ref_Distribution'!$B$101:$B$109,'-ref_Distribution'!$G$101:$G$109)),RIGHT(BV$1,2)),"")</f>
        <v>478</v>
      </c>
      <c r="BW8" s="16" cm="1">
        <f t="array" ref="BW8">IFERROR(INDEX(_xlfn.ANCHORARRAY(_xlfn.XLOOKUP($C8,'-ref_Distribution'!$B$101:$B$109,'-ref_Distribution'!$G$101:$G$109)),RIGHT(BW$1,2)),"")</f>
        <v>430</v>
      </c>
      <c r="BX8" s="16" cm="1">
        <f t="array" ref="BX8">IFERROR(INDEX(_xlfn.ANCHORARRAY(_xlfn.XLOOKUP($C8,'-ref_Distribution'!$B$101:$B$109,'-ref_Distribution'!$G$101:$G$109)),RIGHT(BX$1,2)),"")</f>
        <v>383</v>
      </c>
      <c r="BY8" s="16" cm="1">
        <f t="array" ref="BY8">IFERROR(INDEX(_xlfn.ANCHORARRAY(_xlfn.XLOOKUP($C8,'-ref_Distribution'!$B$101:$B$109,'-ref_Distribution'!$G$101:$G$109)),RIGHT(BY$1,2)),"")</f>
        <v>336</v>
      </c>
      <c r="BZ8" s="16" cm="1">
        <f t="array" ref="BZ8">IFERROR(INDEX(_xlfn.ANCHORARRAY(_xlfn.XLOOKUP($C8,'-ref_Distribution'!$B$101:$B$109,'-ref_Distribution'!$G$101:$G$109)),RIGHT(BZ$1,2)),"")</f>
        <v>292</v>
      </c>
      <c r="CA8" s="16" cm="1">
        <f t="array" ref="CA8">IFERROR(INDEX(_xlfn.ANCHORARRAY(_xlfn.XLOOKUP($C8,'-ref_Distribution'!$B$101:$B$109,'-ref_Distribution'!$G$101:$G$109)),RIGHT(CA$1,2)),"")</f>
        <v>250</v>
      </c>
      <c r="CB8" s="16" cm="1">
        <f t="array" ref="CB8">IFERROR(INDEX(_xlfn.ANCHORARRAY(_xlfn.XLOOKUP($C8,'-ref_Distribution'!$B$101:$B$109,'-ref_Distribution'!$G$101:$G$109)),RIGHT(CB$1,2)),"")</f>
        <v>212</v>
      </c>
      <c r="CC8" s="16" cm="1">
        <f t="array" ref="CC8">IFERROR(INDEX(_xlfn.ANCHORARRAY(_xlfn.XLOOKUP($C8,'-ref_Distribution'!$B$101:$B$109,'-ref_Distribution'!$G$101:$G$109)),RIGHT(CC$1,2)),"")</f>
        <v>177</v>
      </c>
      <c r="CD8" s="16" cm="1">
        <f t="array" ref="CD8">IFERROR(INDEX(_xlfn.ANCHORARRAY(_xlfn.XLOOKUP($C8,'-ref_Distribution'!$B$101:$B$109,'-ref_Distribution'!$G$101:$G$109)),RIGHT(CD$1,2)),"")</f>
        <v>146</v>
      </c>
      <c r="CE8" s="16" cm="1">
        <f t="array" ref="CE8">IFERROR(INDEX(_xlfn.ANCHORARRAY(_xlfn.XLOOKUP($C8,'-ref_Distribution'!$B$101:$B$109,'-ref_Distribution'!$G$101:$G$109)),RIGHT(CE$1,2)),"")</f>
        <v>119</v>
      </c>
      <c r="CF8" s="16"/>
      <c r="CG8" s="16"/>
      <c r="CH8" s="16"/>
      <c r="CI8" s="16"/>
      <c r="CJ8" s="16"/>
      <c r="CK8" s="16"/>
      <c r="CL8" s="16"/>
    </row>
    <row r="9" spans="1:90" x14ac:dyDescent="0.2">
      <c r="A9" s="16">
        <v>15108</v>
      </c>
      <c r="B9" s="16" t="s">
        <v>183</v>
      </c>
      <c r="C9" s="16">
        <v>10</v>
      </c>
      <c r="D9" s="16" cm="1">
        <f t="array" ref="D9">IFERROR(INDEX(_xlfn.ANCHORARRAY(_xlfn.XLOOKUP($C9,'-ref_Distribution'!$B$101:$B$109,'-ref_Distribution'!$G$101:$G$109)),RIGHT(D$1,2)),"")</f>
        <v>588</v>
      </c>
      <c r="E9" s="16" cm="1">
        <f t="array" ref="E9">IFERROR(INDEX(_xlfn.ANCHORARRAY(_xlfn.XLOOKUP($C9,'-ref_Distribution'!$B$101:$B$109,'-ref_Distribution'!$G$101:$G$109)),RIGHT(E$1,2)),"")</f>
        <v>617</v>
      </c>
      <c r="F9" s="16" cm="1">
        <f t="array" ref="F9">IFERROR(INDEX(_xlfn.ANCHORARRAY(_xlfn.XLOOKUP($C9,'-ref_Distribution'!$B$101:$B$109,'-ref_Distribution'!$G$101:$G$109)),RIGHT(F$1,2)),"")</f>
        <v>639</v>
      </c>
      <c r="G9" s="16" cm="1">
        <f t="array" ref="G9">IFERROR(INDEX(_xlfn.ANCHORARRAY(_xlfn.XLOOKUP($C9,'-ref_Distribution'!$B$101:$B$109,'-ref_Distribution'!$G$101:$G$109)),RIGHT(G$1,2)),"")</f>
        <v>653</v>
      </c>
      <c r="H9" s="16" cm="1">
        <f t="array" ref="H9">IFERROR(INDEX(_xlfn.ANCHORARRAY(_xlfn.XLOOKUP($C9,'-ref_Distribution'!$B$101:$B$109,'-ref_Distribution'!$G$101:$G$109)),RIGHT(H$1,2)),"")</f>
        <v>657</v>
      </c>
      <c r="I9" s="16" cm="1">
        <f t="array" ref="I9">IFERROR(INDEX(_xlfn.ANCHORARRAY(_xlfn.XLOOKUP($C9,'-ref_Distribution'!$B$101:$B$109,'-ref_Distribution'!$G$101:$G$109)),RIGHT(I$1,2)),"")</f>
        <v>653</v>
      </c>
      <c r="J9" s="16" cm="1">
        <f t="array" ref="J9">IFERROR(INDEX(_xlfn.ANCHORARRAY(_xlfn.XLOOKUP($C9,'-ref_Distribution'!$B$101:$B$109,'-ref_Distribution'!$G$101:$G$109)),RIGHT(J$1,2)),"")</f>
        <v>639</v>
      </c>
      <c r="K9" s="16" cm="1">
        <f t="array" ref="K9">IFERROR(INDEX(_xlfn.ANCHORARRAY(_xlfn.XLOOKUP($C9,'-ref_Distribution'!$B$101:$B$109,'-ref_Distribution'!$G$101:$G$109)),RIGHT(K$1,2)),"")</f>
        <v>617</v>
      </c>
      <c r="L9" s="16" cm="1">
        <f t="array" ref="L9">IFERROR(INDEX(_xlfn.ANCHORARRAY(_xlfn.XLOOKUP($C9,'-ref_Distribution'!$B$101:$B$109,'-ref_Distribution'!$G$101:$G$109)),RIGHT(L$1,2)),"")</f>
        <v>588</v>
      </c>
      <c r="M9" s="16" cm="1">
        <f t="array" ref="M9">IFERROR(INDEX(_xlfn.ANCHORARRAY(_xlfn.XLOOKUP($C9,'-ref_Distribution'!$B$101:$B$109,'-ref_Distribution'!$G$101:$G$109)),RIGHT(M$1,2)),"")</f>
        <v>553</v>
      </c>
      <c r="N9" s="16" cm="1">
        <f t="array" ref="N9">IFERROR(INDEX(_xlfn.ANCHORARRAY(_xlfn.XLOOKUP($C9,'-ref_Distribution'!$B$101:$B$109,'-ref_Distribution'!$G$101:$G$109)),RIGHT(N$1,2)),"")</f>
        <v>512</v>
      </c>
      <c r="O9" s="16" cm="1">
        <f t="array" ref="O9">IFERROR(INDEX(_xlfn.ANCHORARRAY(_xlfn.XLOOKUP($C9,'-ref_Distribution'!$B$101:$B$109,'-ref_Distribution'!$G$101:$G$109)),RIGHT(O$1,2)),"")</f>
        <v>468</v>
      </c>
      <c r="P9" s="16" cm="1">
        <f t="array" ref="P9">IFERROR(INDEX(_xlfn.ANCHORARRAY(_xlfn.XLOOKUP($C9,'-ref_Distribution'!$B$101:$B$109,'-ref_Distribution'!$G$101:$G$109)),RIGHT(P$1,2)),"")</f>
        <v>422</v>
      </c>
      <c r="Q9" s="16" cm="1">
        <f t="array" ref="Q9">IFERROR(INDEX(_xlfn.ANCHORARRAY(_xlfn.XLOOKUP($C9,'-ref_Distribution'!$B$101:$B$109,'-ref_Distribution'!$G$101:$G$109)),RIGHT(Q$1,2)),"")</f>
        <v>375</v>
      </c>
      <c r="R9" s="16" cm="1">
        <f t="array" ref="R9">IFERROR(INDEX(_xlfn.ANCHORARRAY(_xlfn.XLOOKUP($C9,'-ref_Distribution'!$B$101:$B$109,'-ref_Distribution'!$G$101:$G$109)),RIGHT(R$1,2)),"")</f>
        <v>329</v>
      </c>
      <c r="S9" s="16" cm="1">
        <f t="array" ref="S9">IFERROR(INDEX(_xlfn.ANCHORARRAY(_xlfn.XLOOKUP($C9,'-ref_Distribution'!$B$101:$B$109,'-ref_Distribution'!$G$101:$G$109)),RIGHT(S$1,2)),"")</f>
        <v>284</v>
      </c>
      <c r="T9" s="16" cm="1">
        <f t="array" ref="T9">IFERROR(INDEX(_xlfn.ANCHORARRAY(_xlfn.XLOOKUP($C9,'-ref_Distribution'!$B$101:$B$109,'-ref_Distribution'!$G$101:$G$109)),RIGHT(T$1,2)),"")</f>
        <v>243</v>
      </c>
      <c r="U9" s="16" cm="1">
        <f t="array" ref="U9">IFERROR(INDEX(_xlfn.ANCHORARRAY(_xlfn.XLOOKUP($C9,'-ref_Distribution'!$B$101:$B$109,'-ref_Distribution'!$G$101:$G$109)),RIGHT(U$1,2)),"")</f>
        <v>204</v>
      </c>
      <c r="V9" s="16" cm="1">
        <f t="array" ref="V9">IFERROR(INDEX(_xlfn.ANCHORARRAY(_xlfn.XLOOKUP($C9,'-ref_Distribution'!$B$101:$B$109,'-ref_Distribution'!$G$101:$G$109)),RIGHT(V$1,2)),"")</f>
        <v>169</v>
      </c>
      <c r="W9" s="16" cm="1">
        <f t="array" ref="W9">IFERROR(INDEX(_xlfn.ANCHORARRAY(_xlfn.XLOOKUP($C9,'-ref_Distribution'!$B$101:$B$109,'-ref_Distribution'!$G$101:$G$109)),RIGHT(W$1,2)),"")</f>
        <v>138</v>
      </c>
      <c r="X9" s="16" cm="1">
        <f t="array" ref="X9">IFERROR(INDEX(_xlfn.ANCHORARRAY(_xlfn.XLOOKUP($C9,'-ref_Distribution'!$B$101:$B$109,'-ref_Distribution'!$G$101:$G$109)),RIGHT(X$1,2)),"")</f>
        <v>588</v>
      </c>
      <c r="Y9" s="16" cm="1">
        <f t="array" ref="Y9">IFERROR(INDEX(_xlfn.ANCHORARRAY(_xlfn.XLOOKUP($C9,'-ref_Distribution'!$B$101:$B$109,'-ref_Distribution'!$G$101:$G$109)),RIGHT(Y$1,2)),"")</f>
        <v>617</v>
      </c>
      <c r="Z9" s="16" cm="1">
        <f t="array" ref="Z9">IFERROR(INDEX(_xlfn.ANCHORARRAY(_xlfn.XLOOKUP($C9,'-ref_Distribution'!$B$101:$B$109,'-ref_Distribution'!$G$101:$G$109)),RIGHT(Z$1,2)),"")</f>
        <v>639</v>
      </c>
      <c r="AA9" s="16" cm="1">
        <f t="array" ref="AA9">IFERROR(INDEX(_xlfn.ANCHORARRAY(_xlfn.XLOOKUP($C9,'-ref_Distribution'!$B$101:$B$109,'-ref_Distribution'!$G$101:$G$109)),RIGHT(AA$1,2)),"")</f>
        <v>653</v>
      </c>
      <c r="AB9" s="16" cm="1">
        <f t="array" ref="AB9">IFERROR(INDEX(_xlfn.ANCHORARRAY(_xlfn.XLOOKUP($C9,'-ref_Distribution'!$B$101:$B$109,'-ref_Distribution'!$G$101:$G$109)),RIGHT(AB$1,2)),"")</f>
        <v>657</v>
      </c>
      <c r="AC9" s="16" cm="1">
        <f t="array" ref="AC9">IFERROR(INDEX(_xlfn.ANCHORARRAY(_xlfn.XLOOKUP($C9,'-ref_Distribution'!$B$101:$B$109,'-ref_Distribution'!$G$101:$G$109)),RIGHT(AC$1,2)),"")</f>
        <v>653</v>
      </c>
      <c r="AD9" s="16" cm="1">
        <f t="array" ref="AD9">IFERROR(INDEX(_xlfn.ANCHORARRAY(_xlfn.XLOOKUP($C9,'-ref_Distribution'!$B$101:$B$109,'-ref_Distribution'!$G$101:$G$109)),RIGHT(AD$1,2)),"")</f>
        <v>639</v>
      </c>
      <c r="AE9" s="16" cm="1">
        <f t="array" ref="AE9">IFERROR(INDEX(_xlfn.ANCHORARRAY(_xlfn.XLOOKUP($C9,'-ref_Distribution'!$B$101:$B$109,'-ref_Distribution'!$G$101:$G$109)),RIGHT(AE$1,2)),"")</f>
        <v>617</v>
      </c>
      <c r="AF9" s="16" cm="1">
        <f t="array" ref="AF9">IFERROR(INDEX(_xlfn.ANCHORARRAY(_xlfn.XLOOKUP($C9,'-ref_Distribution'!$B$101:$B$109,'-ref_Distribution'!$G$101:$G$109)),RIGHT(AF$1,2)),"")</f>
        <v>588</v>
      </c>
      <c r="AG9" s="16" cm="1">
        <f t="array" ref="AG9">IFERROR(INDEX(_xlfn.ANCHORARRAY(_xlfn.XLOOKUP($C9,'-ref_Distribution'!$B$101:$B$109,'-ref_Distribution'!$G$101:$G$109)),RIGHT(AG$1,2)),"")</f>
        <v>553</v>
      </c>
      <c r="AH9" s="16" cm="1">
        <f t="array" ref="AH9">IFERROR(INDEX(_xlfn.ANCHORARRAY(_xlfn.XLOOKUP($C9,'-ref_Distribution'!$B$101:$B$109,'-ref_Distribution'!$G$101:$G$109)),RIGHT(AH$1,2)),"")</f>
        <v>512</v>
      </c>
      <c r="AI9" s="16" cm="1">
        <f t="array" ref="AI9">IFERROR(INDEX(_xlfn.ANCHORARRAY(_xlfn.XLOOKUP($C9,'-ref_Distribution'!$B$101:$B$109,'-ref_Distribution'!$G$101:$G$109)),RIGHT(AI$1,2)),"")</f>
        <v>468</v>
      </c>
      <c r="AJ9" s="16" cm="1">
        <f t="array" ref="AJ9">IFERROR(INDEX(_xlfn.ANCHORARRAY(_xlfn.XLOOKUP($C9,'-ref_Distribution'!$B$101:$B$109,'-ref_Distribution'!$G$101:$G$109)),RIGHT(AJ$1,2)),"")</f>
        <v>422</v>
      </c>
      <c r="AK9" s="16" cm="1">
        <f t="array" ref="AK9">IFERROR(INDEX(_xlfn.ANCHORARRAY(_xlfn.XLOOKUP($C9,'-ref_Distribution'!$B$101:$B$109,'-ref_Distribution'!$G$101:$G$109)),RIGHT(AK$1,2)),"")</f>
        <v>375</v>
      </c>
      <c r="AL9" s="16" cm="1">
        <f t="array" ref="AL9">IFERROR(INDEX(_xlfn.ANCHORARRAY(_xlfn.XLOOKUP($C9,'-ref_Distribution'!$B$101:$B$109,'-ref_Distribution'!$G$101:$G$109)),RIGHT(AL$1,2)),"")</f>
        <v>329</v>
      </c>
      <c r="AM9" s="16" cm="1">
        <f t="array" ref="AM9">IFERROR(INDEX(_xlfn.ANCHORARRAY(_xlfn.XLOOKUP($C9,'-ref_Distribution'!$B$101:$B$109,'-ref_Distribution'!$G$101:$G$109)),RIGHT(AM$1,2)),"")</f>
        <v>284</v>
      </c>
      <c r="AN9" s="16" cm="1">
        <f t="array" ref="AN9">IFERROR(INDEX(_xlfn.ANCHORARRAY(_xlfn.XLOOKUP($C9,'-ref_Distribution'!$B$101:$B$109,'-ref_Distribution'!$G$101:$G$109)),RIGHT(AN$1,2)),"")</f>
        <v>243</v>
      </c>
      <c r="AO9" s="16" cm="1">
        <f t="array" ref="AO9">IFERROR(INDEX(_xlfn.ANCHORARRAY(_xlfn.XLOOKUP($C9,'-ref_Distribution'!$B$101:$B$109,'-ref_Distribution'!$G$101:$G$109)),RIGHT(AO$1,2)),"")</f>
        <v>204</v>
      </c>
      <c r="AP9" s="16" cm="1">
        <f t="array" ref="AP9">IFERROR(INDEX(_xlfn.ANCHORARRAY(_xlfn.XLOOKUP($C9,'-ref_Distribution'!$B$101:$B$109,'-ref_Distribution'!$G$101:$G$109)),RIGHT(AP$1,2)),"")</f>
        <v>169</v>
      </c>
      <c r="AQ9" s="16" cm="1">
        <f t="array" ref="AQ9">IFERROR(INDEX(_xlfn.ANCHORARRAY(_xlfn.XLOOKUP($C9,'-ref_Distribution'!$B$101:$B$109,'-ref_Distribution'!$G$101:$G$109)),RIGHT(AQ$1,2)),"")</f>
        <v>138</v>
      </c>
      <c r="AR9" s="16" cm="1">
        <f t="array" ref="AR9">IFERROR(INDEX(_xlfn.ANCHORARRAY(_xlfn.XLOOKUP($C9,'-ref_Distribution'!$B$101:$B$109,'-ref_Distribution'!$G$101:$G$109)),RIGHT(AR$1,2)),"")</f>
        <v>588</v>
      </c>
      <c r="AS9" s="16" cm="1">
        <f t="array" ref="AS9">IFERROR(INDEX(_xlfn.ANCHORARRAY(_xlfn.XLOOKUP($C9,'-ref_Distribution'!$B$101:$B$109,'-ref_Distribution'!$G$101:$G$109)),RIGHT(AS$1,2)),"")</f>
        <v>617</v>
      </c>
      <c r="AT9" s="16" cm="1">
        <f t="array" ref="AT9">IFERROR(INDEX(_xlfn.ANCHORARRAY(_xlfn.XLOOKUP($C9,'-ref_Distribution'!$B$101:$B$109,'-ref_Distribution'!$G$101:$G$109)),RIGHT(AT$1,2)),"")</f>
        <v>639</v>
      </c>
      <c r="AU9" s="16" cm="1">
        <f t="array" ref="AU9">IFERROR(INDEX(_xlfn.ANCHORARRAY(_xlfn.XLOOKUP($C9,'-ref_Distribution'!$B$101:$B$109,'-ref_Distribution'!$G$101:$G$109)),RIGHT(AU$1,2)),"")</f>
        <v>653</v>
      </c>
      <c r="AV9" s="16" cm="1">
        <f t="array" ref="AV9">IFERROR(INDEX(_xlfn.ANCHORARRAY(_xlfn.XLOOKUP($C9,'-ref_Distribution'!$B$101:$B$109,'-ref_Distribution'!$G$101:$G$109)),RIGHT(AV$1,2)),"")</f>
        <v>657</v>
      </c>
      <c r="AW9" s="16" cm="1">
        <f t="array" ref="AW9">IFERROR(INDEX(_xlfn.ANCHORARRAY(_xlfn.XLOOKUP($C9,'-ref_Distribution'!$B$101:$B$109,'-ref_Distribution'!$G$101:$G$109)),RIGHT(AW$1,2)),"")</f>
        <v>653</v>
      </c>
      <c r="AX9" s="16" cm="1">
        <f t="array" ref="AX9">IFERROR(INDEX(_xlfn.ANCHORARRAY(_xlfn.XLOOKUP($C9,'-ref_Distribution'!$B$101:$B$109,'-ref_Distribution'!$G$101:$G$109)),RIGHT(AX$1,2)),"")</f>
        <v>639</v>
      </c>
      <c r="AY9" s="16" cm="1">
        <f t="array" ref="AY9">IFERROR(INDEX(_xlfn.ANCHORARRAY(_xlfn.XLOOKUP($C9,'-ref_Distribution'!$B$101:$B$109,'-ref_Distribution'!$G$101:$G$109)),RIGHT(AY$1,2)),"")</f>
        <v>617</v>
      </c>
      <c r="AZ9" s="16" cm="1">
        <f t="array" ref="AZ9">IFERROR(INDEX(_xlfn.ANCHORARRAY(_xlfn.XLOOKUP($C9,'-ref_Distribution'!$B$101:$B$109,'-ref_Distribution'!$G$101:$G$109)),RIGHT(AZ$1,2)),"")</f>
        <v>588</v>
      </c>
      <c r="BA9" s="16" cm="1">
        <f t="array" ref="BA9">IFERROR(INDEX(_xlfn.ANCHORARRAY(_xlfn.XLOOKUP($C9,'-ref_Distribution'!$B$101:$B$109,'-ref_Distribution'!$G$101:$G$109)),RIGHT(BA$1,2)),"")</f>
        <v>553</v>
      </c>
      <c r="BB9" s="16" cm="1">
        <f t="array" ref="BB9">IFERROR(INDEX(_xlfn.ANCHORARRAY(_xlfn.XLOOKUP($C9,'-ref_Distribution'!$B$101:$B$109,'-ref_Distribution'!$G$101:$G$109)),RIGHT(BB$1,2)),"")</f>
        <v>512</v>
      </c>
      <c r="BC9" s="16" cm="1">
        <f t="array" ref="BC9">IFERROR(INDEX(_xlfn.ANCHORARRAY(_xlfn.XLOOKUP($C9,'-ref_Distribution'!$B$101:$B$109,'-ref_Distribution'!$G$101:$G$109)),RIGHT(BC$1,2)),"")</f>
        <v>468</v>
      </c>
      <c r="BD9" s="16" cm="1">
        <f t="array" ref="BD9">IFERROR(INDEX(_xlfn.ANCHORARRAY(_xlfn.XLOOKUP($C9,'-ref_Distribution'!$B$101:$B$109,'-ref_Distribution'!$G$101:$G$109)),RIGHT(BD$1,2)),"")</f>
        <v>422</v>
      </c>
      <c r="BE9" s="16" cm="1">
        <f t="array" ref="BE9">IFERROR(INDEX(_xlfn.ANCHORARRAY(_xlfn.XLOOKUP($C9,'-ref_Distribution'!$B$101:$B$109,'-ref_Distribution'!$G$101:$G$109)),RIGHT(BE$1,2)),"")</f>
        <v>375</v>
      </c>
      <c r="BF9" s="16" cm="1">
        <f t="array" ref="BF9">IFERROR(INDEX(_xlfn.ANCHORARRAY(_xlfn.XLOOKUP($C9,'-ref_Distribution'!$B$101:$B$109,'-ref_Distribution'!$G$101:$G$109)),RIGHT(BF$1,2)),"")</f>
        <v>329</v>
      </c>
      <c r="BG9" s="16" cm="1">
        <f t="array" ref="BG9">IFERROR(INDEX(_xlfn.ANCHORARRAY(_xlfn.XLOOKUP($C9,'-ref_Distribution'!$B$101:$B$109,'-ref_Distribution'!$G$101:$G$109)),RIGHT(BG$1,2)),"")</f>
        <v>284</v>
      </c>
      <c r="BH9" s="16" cm="1">
        <f t="array" ref="BH9">IFERROR(INDEX(_xlfn.ANCHORARRAY(_xlfn.XLOOKUP($C9,'-ref_Distribution'!$B$101:$B$109,'-ref_Distribution'!$G$101:$G$109)),RIGHT(BH$1,2)),"")</f>
        <v>243</v>
      </c>
      <c r="BI9" s="16" cm="1">
        <f t="array" ref="BI9">IFERROR(INDEX(_xlfn.ANCHORARRAY(_xlfn.XLOOKUP($C9,'-ref_Distribution'!$B$101:$B$109,'-ref_Distribution'!$G$101:$G$109)),RIGHT(BI$1,2)),"")</f>
        <v>204</v>
      </c>
      <c r="BJ9" s="16" cm="1">
        <f t="array" ref="BJ9">IFERROR(INDEX(_xlfn.ANCHORARRAY(_xlfn.XLOOKUP($C9,'-ref_Distribution'!$B$101:$B$109,'-ref_Distribution'!$G$101:$G$109)),RIGHT(BJ$1,2)),"")</f>
        <v>169</v>
      </c>
      <c r="BK9" s="16" cm="1">
        <f t="array" ref="BK9">IFERROR(INDEX(_xlfn.ANCHORARRAY(_xlfn.XLOOKUP($C9,'-ref_Distribution'!$B$101:$B$109,'-ref_Distribution'!$G$101:$G$109)),RIGHT(BK$1,2)),"")</f>
        <v>138</v>
      </c>
      <c r="BL9" s="16" cm="1">
        <f t="array" ref="BL9">IFERROR(INDEX(_xlfn.ANCHORARRAY(_xlfn.XLOOKUP($C9,'-ref_Distribution'!$B$101:$B$109,'-ref_Distribution'!$G$101:$G$109)),RIGHT(BL$1,2)),"")</f>
        <v>588</v>
      </c>
      <c r="BM9" s="16" cm="1">
        <f t="array" ref="BM9">IFERROR(INDEX(_xlfn.ANCHORARRAY(_xlfn.XLOOKUP($C9,'-ref_Distribution'!$B$101:$B$109,'-ref_Distribution'!$G$101:$G$109)),RIGHT(BM$1,2)),"")</f>
        <v>617</v>
      </c>
      <c r="BN9" s="16" cm="1">
        <f t="array" ref="BN9">IFERROR(INDEX(_xlfn.ANCHORARRAY(_xlfn.XLOOKUP($C9,'-ref_Distribution'!$B$101:$B$109,'-ref_Distribution'!$G$101:$G$109)),RIGHT(BN$1,2)),"")</f>
        <v>639</v>
      </c>
      <c r="BO9" s="16" cm="1">
        <f t="array" ref="BO9">IFERROR(INDEX(_xlfn.ANCHORARRAY(_xlfn.XLOOKUP($C9,'-ref_Distribution'!$B$101:$B$109,'-ref_Distribution'!$G$101:$G$109)),RIGHT(BO$1,2)),"")</f>
        <v>653</v>
      </c>
      <c r="BP9" s="16" cm="1">
        <f t="array" ref="BP9">IFERROR(INDEX(_xlfn.ANCHORARRAY(_xlfn.XLOOKUP($C9,'-ref_Distribution'!$B$101:$B$109,'-ref_Distribution'!$G$101:$G$109)),RIGHT(BP$1,2)),"")</f>
        <v>657</v>
      </c>
      <c r="BQ9" s="16" cm="1">
        <f t="array" ref="BQ9">IFERROR(INDEX(_xlfn.ANCHORARRAY(_xlfn.XLOOKUP($C9,'-ref_Distribution'!$B$101:$B$109,'-ref_Distribution'!$G$101:$G$109)),RIGHT(BQ$1,2)),"")</f>
        <v>653</v>
      </c>
      <c r="BR9" s="16" cm="1">
        <f t="array" ref="BR9">IFERROR(INDEX(_xlfn.ANCHORARRAY(_xlfn.XLOOKUP($C9,'-ref_Distribution'!$B$101:$B$109,'-ref_Distribution'!$G$101:$G$109)),RIGHT(BR$1,2)),"")</f>
        <v>639</v>
      </c>
      <c r="BS9" s="16" cm="1">
        <f t="array" ref="BS9">IFERROR(INDEX(_xlfn.ANCHORARRAY(_xlfn.XLOOKUP($C9,'-ref_Distribution'!$B$101:$B$109,'-ref_Distribution'!$G$101:$G$109)),RIGHT(BS$1,2)),"")</f>
        <v>617</v>
      </c>
      <c r="BT9" s="16" cm="1">
        <f t="array" ref="BT9">IFERROR(INDEX(_xlfn.ANCHORARRAY(_xlfn.XLOOKUP($C9,'-ref_Distribution'!$B$101:$B$109,'-ref_Distribution'!$G$101:$G$109)),RIGHT(BT$1,2)),"")</f>
        <v>588</v>
      </c>
      <c r="BU9" s="16" cm="1">
        <f t="array" ref="BU9">IFERROR(INDEX(_xlfn.ANCHORARRAY(_xlfn.XLOOKUP($C9,'-ref_Distribution'!$B$101:$B$109,'-ref_Distribution'!$G$101:$G$109)),RIGHT(BU$1,2)),"")</f>
        <v>553</v>
      </c>
      <c r="BV9" s="16" cm="1">
        <f t="array" ref="BV9">IFERROR(INDEX(_xlfn.ANCHORARRAY(_xlfn.XLOOKUP($C9,'-ref_Distribution'!$B$101:$B$109,'-ref_Distribution'!$G$101:$G$109)),RIGHT(BV$1,2)),"")</f>
        <v>512</v>
      </c>
      <c r="BW9" s="16" cm="1">
        <f t="array" ref="BW9">IFERROR(INDEX(_xlfn.ANCHORARRAY(_xlfn.XLOOKUP($C9,'-ref_Distribution'!$B$101:$B$109,'-ref_Distribution'!$G$101:$G$109)),RIGHT(BW$1,2)),"")</f>
        <v>468</v>
      </c>
      <c r="BX9" s="16" cm="1">
        <f t="array" ref="BX9">IFERROR(INDEX(_xlfn.ANCHORARRAY(_xlfn.XLOOKUP($C9,'-ref_Distribution'!$B$101:$B$109,'-ref_Distribution'!$G$101:$G$109)),RIGHT(BX$1,2)),"")</f>
        <v>422</v>
      </c>
      <c r="BY9" s="16" cm="1">
        <f t="array" ref="BY9">IFERROR(INDEX(_xlfn.ANCHORARRAY(_xlfn.XLOOKUP($C9,'-ref_Distribution'!$B$101:$B$109,'-ref_Distribution'!$G$101:$G$109)),RIGHT(BY$1,2)),"")</f>
        <v>375</v>
      </c>
      <c r="BZ9" s="16" cm="1">
        <f t="array" ref="BZ9">IFERROR(INDEX(_xlfn.ANCHORARRAY(_xlfn.XLOOKUP($C9,'-ref_Distribution'!$B$101:$B$109,'-ref_Distribution'!$G$101:$G$109)),RIGHT(BZ$1,2)),"")</f>
        <v>329</v>
      </c>
      <c r="CA9" s="16" cm="1">
        <f t="array" ref="CA9">IFERROR(INDEX(_xlfn.ANCHORARRAY(_xlfn.XLOOKUP($C9,'-ref_Distribution'!$B$101:$B$109,'-ref_Distribution'!$G$101:$G$109)),RIGHT(CA$1,2)),"")</f>
        <v>284</v>
      </c>
      <c r="CB9" s="16" cm="1">
        <f t="array" ref="CB9">IFERROR(INDEX(_xlfn.ANCHORARRAY(_xlfn.XLOOKUP($C9,'-ref_Distribution'!$B$101:$B$109,'-ref_Distribution'!$G$101:$G$109)),RIGHT(CB$1,2)),"")</f>
        <v>243</v>
      </c>
      <c r="CC9" s="16" cm="1">
        <f t="array" ref="CC9">IFERROR(INDEX(_xlfn.ANCHORARRAY(_xlfn.XLOOKUP($C9,'-ref_Distribution'!$B$101:$B$109,'-ref_Distribution'!$G$101:$G$109)),RIGHT(CC$1,2)),"")</f>
        <v>204</v>
      </c>
      <c r="CD9" s="16" cm="1">
        <f t="array" ref="CD9">IFERROR(INDEX(_xlfn.ANCHORARRAY(_xlfn.XLOOKUP($C9,'-ref_Distribution'!$B$101:$B$109,'-ref_Distribution'!$G$101:$G$109)),RIGHT(CD$1,2)),"")</f>
        <v>169</v>
      </c>
      <c r="CE9" s="16" cm="1">
        <f t="array" ref="CE9">IFERROR(INDEX(_xlfn.ANCHORARRAY(_xlfn.XLOOKUP($C9,'-ref_Distribution'!$B$101:$B$109,'-ref_Distribution'!$G$101:$G$109)),RIGHT(CE$1,2)),"")</f>
        <v>138</v>
      </c>
      <c r="CF9" s="16"/>
      <c r="CG9" s="16"/>
      <c r="CH9" s="16"/>
      <c r="CI9" s="16"/>
      <c r="CJ9" s="16"/>
      <c r="CK9" s="16"/>
      <c r="CL9" s="16"/>
    </row>
    <row r="10" spans="1:90" x14ac:dyDescent="0.2">
      <c r="A10" s="16">
        <v>15109</v>
      </c>
      <c r="B10" s="16" t="s">
        <v>184</v>
      </c>
      <c r="C10" s="16">
        <v>10</v>
      </c>
      <c r="D10" s="16" cm="1">
        <f t="array" ref="D10">IFERROR(INDEX(_xlfn.ANCHORARRAY(_xlfn.XLOOKUP($C10,'-ref_Distribution'!$B$101:$B$109,'-ref_Distribution'!$G$101:$G$109)),RIGHT(D$1,2)),"")</f>
        <v>588</v>
      </c>
      <c r="E10" s="16" cm="1">
        <f t="array" ref="E10">IFERROR(INDEX(_xlfn.ANCHORARRAY(_xlfn.XLOOKUP($C10,'-ref_Distribution'!$B$101:$B$109,'-ref_Distribution'!$G$101:$G$109)),RIGHT(E$1,2)),"")</f>
        <v>617</v>
      </c>
      <c r="F10" s="16" cm="1">
        <f t="array" ref="F10">IFERROR(INDEX(_xlfn.ANCHORARRAY(_xlfn.XLOOKUP($C10,'-ref_Distribution'!$B$101:$B$109,'-ref_Distribution'!$G$101:$G$109)),RIGHT(F$1,2)),"")</f>
        <v>639</v>
      </c>
      <c r="G10" s="16" cm="1">
        <f t="array" ref="G10">IFERROR(INDEX(_xlfn.ANCHORARRAY(_xlfn.XLOOKUP($C10,'-ref_Distribution'!$B$101:$B$109,'-ref_Distribution'!$G$101:$G$109)),RIGHT(G$1,2)),"")</f>
        <v>653</v>
      </c>
      <c r="H10" s="16" cm="1">
        <f t="array" ref="H10">IFERROR(INDEX(_xlfn.ANCHORARRAY(_xlfn.XLOOKUP($C10,'-ref_Distribution'!$B$101:$B$109,'-ref_Distribution'!$G$101:$G$109)),RIGHT(H$1,2)),"")</f>
        <v>657</v>
      </c>
      <c r="I10" s="16" cm="1">
        <f t="array" ref="I10">IFERROR(INDEX(_xlfn.ANCHORARRAY(_xlfn.XLOOKUP($C10,'-ref_Distribution'!$B$101:$B$109,'-ref_Distribution'!$G$101:$G$109)),RIGHT(I$1,2)),"")</f>
        <v>653</v>
      </c>
      <c r="J10" s="16" cm="1">
        <f t="array" ref="J10">IFERROR(INDEX(_xlfn.ANCHORARRAY(_xlfn.XLOOKUP($C10,'-ref_Distribution'!$B$101:$B$109,'-ref_Distribution'!$G$101:$G$109)),RIGHT(J$1,2)),"")</f>
        <v>639</v>
      </c>
      <c r="K10" s="16" cm="1">
        <f t="array" ref="K10">IFERROR(INDEX(_xlfn.ANCHORARRAY(_xlfn.XLOOKUP($C10,'-ref_Distribution'!$B$101:$B$109,'-ref_Distribution'!$G$101:$G$109)),RIGHT(K$1,2)),"")</f>
        <v>617</v>
      </c>
      <c r="L10" s="16" cm="1">
        <f t="array" ref="L10">IFERROR(INDEX(_xlfn.ANCHORARRAY(_xlfn.XLOOKUP($C10,'-ref_Distribution'!$B$101:$B$109,'-ref_Distribution'!$G$101:$G$109)),RIGHT(L$1,2)),"")</f>
        <v>588</v>
      </c>
      <c r="M10" s="16" cm="1">
        <f t="array" ref="M10">IFERROR(INDEX(_xlfn.ANCHORARRAY(_xlfn.XLOOKUP($C10,'-ref_Distribution'!$B$101:$B$109,'-ref_Distribution'!$G$101:$G$109)),RIGHT(M$1,2)),"")</f>
        <v>553</v>
      </c>
      <c r="N10" s="16" cm="1">
        <f t="array" ref="N10">IFERROR(INDEX(_xlfn.ANCHORARRAY(_xlfn.XLOOKUP($C10,'-ref_Distribution'!$B$101:$B$109,'-ref_Distribution'!$G$101:$G$109)),RIGHT(N$1,2)),"")</f>
        <v>512</v>
      </c>
      <c r="O10" s="16" cm="1">
        <f t="array" ref="O10">IFERROR(INDEX(_xlfn.ANCHORARRAY(_xlfn.XLOOKUP($C10,'-ref_Distribution'!$B$101:$B$109,'-ref_Distribution'!$G$101:$G$109)),RIGHT(O$1,2)),"")</f>
        <v>468</v>
      </c>
      <c r="P10" s="16" cm="1">
        <f t="array" ref="P10">IFERROR(INDEX(_xlfn.ANCHORARRAY(_xlfn.XLOOKUP($C10,'-ref_Distribution'!$B$101:$B$109,'-ref_Distribution'!$G$101:$G$109)),RIGHT(P$1,2)),"")</f>
        <v>422</v>
      </c>
      <c r="Q10" s="16" cm="1">
        <f t="array" ref="Q10">IFERROR(INDEX(_xlfn.ANCHORARRAY(_xlfn.XLOOKUP($C10,'-ref_Distribution'!$B$101:$B$109,'-ref_Distribution'!$G$101:$G$109)),RIGHT(Q$1,2)),"")</f>
        <v>375</v>
      </c>
      <c r="R10" s="16" cm="1">
        <f t="array" ref="R10">IFERROR(INDEX(_xlfn.ANCHORARRAY(_xlfn.XLOOKUP($C10,'-ref_Distribution'!$B$101:$B$109,'-ref_Distribution'!$G$101:$G$109)),RIGHT(R$1,2)),"")</f>
        <v>329</v>
      </c>
      <c r="S10" s="16" cm="1">
        <f t="array" ref="S10">IFERROR(INDEX(_xlfn.ANCHORARRAY(_xlfn.XLOOKUP($C10,'-ref_Distribution'!$B$101:$B$109,'-ref_Distribution'!$G$101:$G$109)),RIGHT(S$1,2)),"")</f>
        <v>284</v>
      </c>
      <c r="T10" s="16" cm="1">
        <f t="array" ref="T10">IFERROR(INDEX(_xlfn.ANCHORARRAY(_xlfn.XLOOKUP($C10,'-ref_Distribution'!$B$101:$B$109,'-ref_Distribution'!$G$101:$G$109)),RIGHT(T$1,2)),"")</f>
        <v>243</v>
      </c>
      <c r="U10" s="16" cm="1">
        <f t="array" ref="U10">IFERROR(INDEX(_xlfn.ANCHORARRAY(_xlfn.XLOOKUP($C10,'-ref_Distribution'!$B$101:$B$109,'-ref_Distribution'!$G$101:$G$109)),RIGHT(U$1,2)),"")</f>
        <v>204</v>
      </c>
      <c r="V10" s="16" cm="1">
        <f t="array" ref="V10">IFERROR(INDEX(_xlfn.ANCHORARRAY(_xlfn.XLOOKUP($C10,'-ref_Distribution'!$B$101:$B$109,'-ref_Distribution'!$G$101:$G$109)),RIGHT(V$1,2)),"")</f>
        <v>169</v>
      </c>
      <c r="W10" s="16" cm="1">
        <f t="array" ref="W10">IFERROR(INDEX(_xlfn.ANCHORARRAY(_xlfn.XLOOKUP($C10,'-ref_Distribution'!$B$101:$B$109,'-ref_Distribution'!$G$101:$G$109)),RIGHT(W$1,2)),"")</f>
        <v>138</v>
      </c>
      <c r="X10" s="16" cm="1">
        <f t="array" ref="X10">IFERROR(INDEX(_xlfn.ANCHORARRAY(_xlfn.XLOOKUP($C10,'-ref_Distribution'!$B$101:$B$109,'-ref_Distribution'!$G$101:$G$109)),RIGHT(X$1,2)),"")</f>
        <v>588</v>
      </c>
      <c r="Y10" s="16" cm="1">
        <f t="array" ref="Y10">IFERROR(INDEX(_xlfn.ANCHORARRAY(_xlfn.XLOOKUP($C10,'-ref_Distribution'!$B$101:$B$109,'-ref_Distribution'!$G$101:$G$109)),RIGHT(Y$1,2)),"")</f>
        <v>617</v>
      </c>
      <c r="Z10" s="16" cm="1">
        <f t="array" ref="Z10">IFERROR(INDEX(_xlfn.ANCHORARRAY(_xlfn.XLOOKUP($C10,'-ref_Distribution'!$B$101:$B$109,'-ref_Distribution'!$G$101:$G$109)),RIGHT(Z$1,2)),"")</f>
        <v>639</v>
      </c>
      <c r="AA10" s="16" cm="1">
        <f t="array" ref="AA10">IFERROR(INDEX(_xlfn.ANCHORARRAY(_xlfn.XLOOKUP($C10,'-ref_Distribution'!$B$101:$B$109,'-ref_Distribution'!$G$101:$G$109)),RIGHT(AA$1,2)),"")</f>
        <v>653</v>
      </c>
      <c r="AB10" s="16" cm="1">
        <f t="array" ref="AB10">IFERROR(INDEX(_xlfn.ANCHORARRAY(_xlfn.XLOOKUP($C10,'-ref_Distribution'!$B$101:$B$109,'-ref_Distribution'!$G$101:$G$109)),RIGHT(AB$1,2)),"")</f>
        <v>657</v>
      </c>
      <c r="AC10" s="16" cm="1">
        <f t="array" ref="AC10">IFERROR(INDEX(_xlfn.ANCHORARRAY(_xlfn.XLOOKUP($C10,'-ref_Distribution'!$B$101:$B$109,'-ref_Distribution'!$G$101:$G$109)),RIGHT(AC$1,2)),"")</f>
        <v>653</v>
      </c>
      <c r="AD10" s="16" cm="1">
        <f t="array" ref="AD10">IFERROR(INDEX(_xlfn.ANCHORARRAY(_xlfn.XLOOKUP($C10,'-ref_Distribution'!$B$101:$B$109,'-ref_Distribution'!$G$101:$G$109)),RIGHT(AD$1,2)),"")</f>
        <v>639</v>
      </c>
      <c r="AE10" s="16" cm="1">
        <f t="array" ref="AE10">IFERROR(INDEX(_xlfn.ANCHORARRAY(_xlfn.XLOOKUP($C10,'-ref_Distribution'!$B$101:$B$109,'-ref_Distribution'!$G$101:$G$109)),RIGHT(AE$1,2)),"")</f>
        <v>617</v>
      </c>
      <c r="AF10" s="16" cm="1">
        <f t="array" ref="AF10">IFERROR(INDEX(_xlfn.ANCHORARRAY(_xlfn.XLOOKUP($C10,'-ref_Distribution'!$B$101:$B$109,'-ref_Distribution'!$G$101:$G$109)),RIGHT(AF$1,2)),"")</f>
        <v>588</v>
      </c>
      <c r="AG10" s="16" cm="1">
        <f t="array" ref="AG10">IFERROR(INDEX(_xlfn.ANCHORARRAY(_xlfn.XLOOKUP($C10,'-ref_Distribution'!$B$101:$B$109,'-ref_Distribution'!$G$101:$G$109)),RIGHT(AG$1,2)),"")</f>
        <v>553</v>
      </c>
      <c r="AH10" s="16" cm="1">
        <f t="array" ref="AH10">IFERROR(INDEX(_xlfn.ANCHORARRAY(_xlfn.XLOOKUP($C10,'-ref_Distribution'!$B$101:$B$109,'-ref_Distribution'!$G$101:$G$109)),RIGHT(AH$1,2)),"")</f>
        <v>512</v>
      </c>
      <c r="AI10" s="16" cm="1">
        <f t="array" ref="AI10">IFERROR(INDEX(_xlfn.ANCHORARRAY(_xlfn.XLOOKUP($C10,'-ref_Distribution'!$B$101:$B$109,'-ref_Distribution'!$G$101:$G$109)),RIGHT(AI$1,2)),"")</f>
        <v>468</v>
      </c>
      <c r="AJ10" s="16" cm="1">
        <f t="array" ref="AJ10">IFERROR(INDEX(_xlfn.ANCHORARRAY(_xlfn.XLOOKUP($C10,'-ref_Distribution'!$B$101:$B$109,'-ref_Distribution'!$G$101:$G$109)),RIGHT(AJ$1,2)),"")</f>
        <v>422</v>
      </c>
      <c r="AK10" s="16" cm="1">
        <f t="array" ref="AK10">IFERROR(INDEX(_xlfn.ANCHORARRAY(_xlfn.XLOOKUP($C10,'-ref_Distribution'!$B$101:$B$109,'-ref_Distribution'!$G$101:$G$109)),RIGHT(AK$1,2)),"")</f>
        <v>375</v>
      </c>
      <c r="AL10" s="16" cm="1">
        <f t="array" ref="AL10">IFERROR(INDEX(_xlfn.ANCHORARRAY(_xlfn.XLOOKUP($C10,'-ref_Distribution'!$B$101:$B$109,'-ref_Distribution'!$G$101:$G$109)),RIGHT(AL$1,2)),"")</f>
        <v>329</v>
      </c>
      <c r="AM10" s="16" cm="1">
        <f t="array" ref="AM10">IFERROR(INDEX(_xlfn.ANCHORARRAY(_xlfn.XLOOKUP($C10,'-ref_Distribution'!$B$101:$B$109,'-ref_Distribution'!$G$101:$G$109)),RIGHT(AM$1,2)),"")</f>
        <v>284</v>
      </c>
      <c r="AN10" s="16" cm="1">
        <f t="array" ref="AN10">IFERROR(INDEX(_xlfn.ANCHORARRAY(_xlfn.XLOOKUP($C10,'-ref_Distribution'!$B$101:$B$109,'-ref_Distribution'!$G$101:$G$109)),RIGHT(AN$1,2)),"")</f>
        <v>243</v>
      </c>
      <c r="AO10" s="16" cm="1">
        <f t="array" ref="AO10">IFERROR(INDEX(_xlfn.ANCHORARRAY(_xlfn.XLOOKUP($C10,'-ref_Distribution'!$B$101:$B$109,'-ref_Distribution'!$G$101:$G$109)),RIGHT(AO$1,2)),"")</f>
        <v>204</v>
      </c>
      <c r="AP10" s="16" cm="1">
        <f t="array" ref="AP10">IFERROR(INDEX(_xlfn.ANCHORARRAY(_xlfn.XLOOKUP($C10,'-ref_Distribution'!$B$101:$B$109,'-ref_Distribution'!$G$101:$G$109)),RIGHT(AP$1,2)),"")</f>
        <v>169</v>
      </c>
      <c r="AQ10" s="16" cm="1">
        <f t="array" ref="AQ10">IFERROR(INDEX(_xlfn.ANCHORARRAY(_xlfn.XLOOKUP($C10,'-ref_Distribution'!$B$101:$B$109,'-ref_Distribution'!$G$101:$G$109)),RIGHT(AQ$1,2)),"")</f>
        <v>138</v>
      </c>
      <c r="AR10" s="16" cm="1">
        <f t="array" ref="AR10">IFERROR(INDEX(_xlfn.ANCHORARRAY(_xlfn.XLOOKUP($C10,'-ref_Distribution'!$B$101:$B$109,'-ref_Distribution'!$G$101:$G$109)),RIGHT(AR$1,2)),"")</f>
        <v>588</v>
      </c>
      <c r="AS10" s="16" cm="1">
        <f t="array" ref="AS10">IFERROR(INDEX(_xlfn.ANCHORARRAY(_xlfn.XLOOKUP($C10,'-ref_Distribution'!$B$101:$B$109,'-ref_Distribution'!$G$101:$G$109)),RIGHT(AS$1,2)),"")</f>
        <v>617</v>
      </c>
      <c r="AT10" s="16" cm="1">
        <f t="array" ref="AT10">IFERROR(INDEX(_xlfn.ANCHORARRAY(_xlfn.XLOOKUP($C10,'-ref_Distribution'!$B$101:$B$109,'-ref_Distribution'!$G$101:$G$109)),RIGHT(AT$1,2)),"")</f>
        <v>639</v>
      </c>
      <c r="AU10" s="16" cm="1">
        <f t="array" ref="AU10">IFERROR(INDEX(_xlfn.ANCHORARRAY(_xlfn.XLOOKUP($C10,'-ref_Distribution'!$B$101:$B$109,'-ref_Distribution'!$G$101:$G$109)),RIGHT(AU$1,2)),"")</f>
        <v>653</v>
      </c>
      <c r="AV10" s="16" cm="1">
        <f t="array" ref="AV10">IFERROR(INDEX(_xlfn.ANCHORARRAY(_xlfn.XLOOKUP($C10,'-ref_Distribution'!$B$101:$B$109,'-ref_Distribution'!$G$101:$G$109)),RIGHT(AV$1,2)),"")</f>
        <v>657</v>
      </c>
      <c r="AW10" s="16" cm="1">
        <f t="array" ref="AW10">IFERROR(INDEX(_xlfn.ANCHORARRAY(_xlfn.XLOOKUP($C10,'-ref_Distribution'!$B$101:$B$109,'-ref_Distribution'!$G$101:$G$109)),RIGHT(AW$1,2)),"")</f>
        <v>653</v>
      </c>
      <c r="AX10" s="16" cm="1">
        <f t="array" ref="AX10">IFERROR(INDEX(_xlfn.ANCHORARRAY(_xlfn.XLOOKUP($C10,'-ref_Distribution'!$B$101:$B$109,'-ref_Distribution'!$G$101:$G$109)),RIGHT(AX$1,2)),"")</f>
        <v>639</v>
      </c>
      <c r="AY10" s="16" cm="1">
        <f t="array" ref="AY10">IFERROR(INDEX(_xlfn.ANCHORARRAY(_xlfn.XLOOKUP($C10,'-ref_Distribution'!$B$101:$B$109,'-ref_Distribution'!$G$101:$G$109)),RIGHT(AY$1,2)),"")</f>
        <v>617</v>
      </c>
      <c r="AZ10" s="16" cm="1">
        <f t="array" ref="AZ10">IFERROR(INDEX(_xlfn.ANCHORARRAY(_xlfn.XLOOKUP($C10,'-ref_Distribution'!$B$101:$B$109,'-ref_Distribution'!$G$101:$G$109)),RIGHT(AZ$1,2)),"")</f>
        <v>588</v>
      </c>
      <c r="BA10" s="16" cm="1">
        <f t="array" ref="BA10">IFERROR(INDEX(_xlfn.ANCHORARRAY(_xlfn.XLOOKUP($C10,'-ref_Distribution'!$B$101:$B$109,'-ref_Distribution'!$G$101:$G$109)),RIGHT(BA$1,2)),"")</f>
        <v>553</v>
      </c>
      <c r="BB10" s="16" cm="1">
        <f t="array" ref="BB10">IFERROR(INDEX(_xlfn.ANCHORARRAY(_xlfn.XLOOKUP($C10,'-ref_Distribution'!$B$101:$B$109,'-ref_Distribution'!$G$101:$G$109)),RIGHT(BB$1,2)),"")</f>
        <v>512</v>
      </c>
      <c r="BC10" s="16" cm="1">
        <f t="array" ref="BC10">IFERROR(INDEX(_xlfn.ANCHORARRAY(_xlfn.XLOOKUP($C10,'-ref_Distribution'!$B$101:$B$109,'-ref_Distribution'!$G$101:$G$109)),RIGHT(BC$1,2)),"")</f>
        <v>468</v>
      </c>
      <c r="BD10" s="16" cm="1">
        <f t="array" ref="BD10">IFERROR(INDEX(_xlfn.ANCHORARRAY(_xlfn.XLOOKUP($C10,'-ref_Distribution'!$B$101:$B$109,'-ref_Distribution'!$G$101:$G$109)),RIGHT(BD$1,2)),"")</f>
        <v>422</v>
      </c>
      <c r="BE10" s="16" cm="1">
        <f t="array" ref="BE10">IFERROR(INDEX(_xlfn.ANCHORARRAY(_xlfn.XLOOKUP($C10,'-ref_Distribution'!$B$101:$B$109,'-ref_Distribution'!$G$101:$G$109)),RIGHT(BE$1,2)),"")</f>
        <v>375</v>
      </c>
      <c r="BF10" s="16" cm="1">
        <f t="array" ref="BF10">IFERROR(INDEX(_xlfn.ANCHORARRAY(_xlfn.XLOOKUP($C10,'-ref_Distribution'!$B$101:$B$109,'-ref_Distribution'!$G$101:$G$109)),RIGHT(BF$1,2)),"")</f>
        <v>329</v>
      </c>
      <c r="BG10" s="16" cm="1">
        <f t="array" ref="BG10">IFERROR(INDEX(_xlfn.ANCHORARRAY(_xlfn.XLOOKUP($C10,'-ref_Distribution'!$B$101:$B$109,'-ref_Distribution'!$G$101:$G$109)),RIGHT(BG$1,2)),"")</f>
        <v>284</v>
      </c>
      <c r="BH10" s="16" cm="1">
        <f t="array" ref="BH10">IFERROR(INDEX(_xlfn.ANCHORARRAY(_xlfn.XLOOKUP($C10,'-ref_Distribution'!$B$101:$B$109,'-ref_Distribution'!$G$101:$G$109)),RIGHT(BH$1,2)),"")</f>
        <v>243</v>
      </c>
      <c r="BI10" s="16" cm="1">
        <f t="array" ref="BI10">IFERROR(INDEX(_xlfn.ANCHORARRAY(_xlfn.XLOOKUP($C10,'-ref_Distribution'!$B$101:$B$109,'-ref_Distribution'!$G$101:$G$109)),RIGHT(BI$1,2)),"")</f>
        <v>204</v>
      </c>
      <c r="BJ10" s="16" cm="1">
        <f t="array" ref="BJ10">IFERROR(INDEX(_xlfn.ANCHORARRAY(_xlfn.XLOOKUP($C10,'-ref_Distribution'!$B$101:$B$109,'-ref_Distribution'!$G$101:$G$109)),RIGHT(BJ$1,2)),"")</f>
        <v>169</v>
      </c>
      <c r="BK10" s="16" cm="1">
        <f t="array" ref="BK10">IFERROR(INDEX(_xlfn.ANCHORARRAY(_xlfn.XLOOKUP($C10,'-ref_Distribution'!$B$101:$B$109,'-ref_Distribution'!$G$101:$G$109)),RIGHT(BK$1,2)),"")</f>
        <v>138</v>
      </c>
      <c r="BL10" s="16" cm="1">
        <f t="array" ref="BL10">IFERROR(INDEX(_xlfn.ANCHORARRAY(_xlfn.XLOOKUP($C10,'-ref_Distribution'!$B$101:$B$109,'-ref_Distribution'!$G$101:$G$109)),RIGHT(BL$1,2)),"")</f>
        <v>588</v>
      </c>
      <c r="BM10" s="16" cm="1">
        <f t="array" ref="BM10">IFERROR(INDEX(_xlfn.ANCHORARRAY(_xlfn.XLOOKUP($C10,'-ref_Distribution'!$B$101:$B$109,'-ref_Distribution'!$G$101:$G$109)),RIGHT(BM$1,2)),"")</f>
        <v>617</v>
      </c>
      <c r="BN10" s="16" cm="1">
        <f t="array" ref="BN10">IFERROR(INDEX(_xlfn.ANCHORARRAY(_xlfn.XLOOKUP($C10,'-ref_Distribution'!$B$101:$B$109,'-ref_Distribution'!$G$101:$G$109)),RIGHT(BN$1,2)),"")</f>
        <v>639</v>
      </c>
      <c r="BO10" s="16" cm="1">
        <f t="array" ref="BO10">IFERROR(INDEX(_xlfn.ANCHORARRAY(_xlfn.XLOOKUP($C10,'-ref_Distribution'!$B$101:$B$109,'-ref_Distribution'!$G$101:$G$109)),RIGHT(BO$1,2)),"")</f>
        <v>653</v>
      </c>
      <c r="BP10" s="16" cm="1">
        <f t="array" ref="BP10">IFERROR(INDEX(_xlfn.ANCHORARRAY(_xlfn.XLOOKUP($C10,'-ref_Distribution'!$B$101:$B$109,'-ref_Distribution'!$G$101:$G$109)),RIGHT(BP$1,2)),"")</f>
        <v>657</v>
      </c>
      <c r="BQ10" s="16" cm="1">
        <f t="array" ref="BQ10">IFERROR(INDEX(_xlfn.ANCHORARRAY(_xlfn.XLOOKUP($C10,'-ref_Distribution'!$B$101:$B$109,'-ref_Distribution'!$G$101:$G$109)),RIGHT(BQ$1,2)),"")</f>
        <v>653</v>
      </c>
      <c r="BR10" s="16" cm="1">
        <f t="array" ref="BR10">IFERROR(INDEX(_xlfn.ANCHORARRAY(_xlfn.XLOOKUP($C10,'-ref_Distribution'!$B$101:$B$109,'-ref_Distribution'!$G$101:$G$109)),RIGHT(BR$1,2)),"")</f>
        <v>639</v>
      </c>
      <c r="BS10" s="16" cm="1">
        <f t="array" ref="BS10">IFERROR(INDEX(_xlfn.ANCHORARRAY(_xlfn.XLOOKUP($C10,'-ref_Distribution'!$B$101:$B$109,'-ref_Distribution'!$G$101:$G$109)),RIGHT(BS$1,2)),"")</f>
        <v>617</v>
      </c>
      <c r="BT10" s="16" cm="1">
        <f t="array" ref="BT10">IFERROR(INDEX(_xlfn.ANCHORARRAY(_xlfn.XLOOKUP($C10,'-ref_Distribution'!$B$101:$B$109,'-ref_Distribution'!$G$101:$G$109)),RIGHT(BT$1,2)),"")</f>
        <v>588</v>
      </c>
      <c r="BU10" s="16" cm="1">
        <f t="array" ref="BU10">IFERROR(INDEX(_xlfn.ANCHORARRAY(_xlfn.XLOOKUP($C10,'-ref_Distribution'!$B$101:$B$109,'-ref_Distribution'!$G$101:$G$109)),RIGHT(BU$1,2)),"")</f>
        <v>553</v>
      </c>
      <c r="BV10" s="16" cm="1">
        <f t="array" ref="BV10">IFERROR(INDEX(_xlfn.ANCHORARRAY(_xlfn.XLOOKUP($C10,'-ref_Distribution'!$B$101:$B$109,'-ref_Distribution'!$G$101:$G$109)),RIGHT(BV$1,2)),"")</f>
        <v>512</v>
      </c>
      <c r="BW10" s="16" cm="1">
        <f t="array" ref="BW10">IFERROR(INDEX(_xlfn.ANCHORARRAY(_xlfn.XLOOKUP($C10,'-ref_Distribution'!$B$101:$B$109,'-ref_Distribution'!$G$101:$G$109)),RIGHT(BW$1,2)),"")</f>
        <v>468</v>
      </c>
      <c r="BX10" s="16" cm="1">
        <f t="array" ref="BX10">IFERROR(INDEX(_xlfn.ANCHORARRAY(_xlfn.XLOOKUP($C10,'-ref_Distribution'!$B$101:$B$109,'-ref_Distribution'!$G$101:$G$109)),RIGHT(BX$1,2)),"")</f>
        <v>422</v>
      </c>
      <c r="BY10" s="16" cm="1">
        <f t="array" ref="BY10">IFERROR(INDEX(_xlfn.ANCHORARRAY(_xlfn.XLOOKUP($C10,'-ref_Distribution'!$B$101:$B$109,'-ref_Distribution'!$G$101:$G$109)),RIGHT(BY$1,2)),"")</f>
        <v>375</v>
      </c>
      <c r="BZ10" s="16" cm="1">
        <f t="array" ref="BZ10">IFERROR(INDEX(_xlfn.ANCHORARRAY(_xlfn.XLOOKUP($C10,'-ref_Distribution'!$B$101:$B$109,'-ref_Distribution'!$G$101:$G$109)),RIGHT(BZ$1,2)),"")</f>
        <v>329</v>
      </c>
      <c r="CA10" s="16" cm="1">
        <f t="array" ref="CA10">IFERROR(INDEX(_xlfn.ANCHORARRAY(_xlfn.XLOOKUP($C10,'-ref_Distribution'!$B$101:$B$109,'-ref_Distribution'!$G$101:$G$109)),RIGHT(CA$1,2)),"")</f>
        <v>284</v>
      </c>
      <c r="CB10" s="16" cm="1">
        <f t="array" ref="CB10">IFERROR(INDEX(_xlfn.ANCHORARRAY(_xlfn.XLOOKUP($C10,'-ref_Distribution'!$B$101:$B$109,'-ref_Distribution'!$G$101:$G$109)),RIGHT(CB$1,2)),"")</f>
        <v>243</v>
      </c>
      <c r="CC10" s="16" cm="1">
        <f t="array" ref="CC10">IFERROR(INDEX(_xlfn.ANCHORARRAY(_xlfn.XLOOKUP($C10,'-ref_Distribution'!$B$101:$B$109,'-ref_Distribution'!$G$101:$G$109)),RIGHT(CC$1,2)),"")</f>
        <v>204</v>
      </c>
      <c r="CD10" s="16" cm="1">
        <f t="array" ref="CD10">IFERROR(INDEX(_xlfn.ANCHORARRAY(_xlfn.XLOOKUP($C10,'-ref_Distribution'!$B$101:$B$109,'-ref_Distribution'!$G$101:$G$109)),RIGHT(CD$1,2)),"")</f>
        <v>169</v>
      </c>
      <c r="CE10" s="16" cm="1">
        <f t="array" ref="CE10">IFERROR(INDEX(_xlfn.ANCHORARRAY(_xlfn.XLOOKUP($C10,'-ref_Distribution'!$B$101:$B$109,'-ref_Distribution'!$G$101:$G$109)),RIGHT(CE$1,2)),"")</f>
        <v>138</v>
      </c>
      <c r="CF10" s="16"/>
      <c r="CG10" s="16"/>
      <c r="CH10" s="16"/>
      <c r="CI10" s="16"/>
      <c r="CJ10" s="16"/>
      <c r="CK10" s="16"/>
      <c r="CL10" s="16"/>
    </row>
    <row r="11" spans="1:90" x14ac:dyDescent="0.2">
      <c r="A11" s="16">
        <v>15110</v>
      </c>
      <c r="B11" s="16" t="s">
        <v>185</v>
      </c>
      <c r="C11" s="16">
        <v>10</v>
      </c>
      <c r="D11" s="16" cm="1">
        <f t="array" ref="D11">IFERROR(INDEX(_xlfn.ANCHORARRAY(_xlfn.XLOOKUP($C11,'-ref_Distribution'!$B$101:$B$109,'-ref_Distribution'!$G$101:$G$109)),RIGHT(D$1,2)),"")</f>
        <v>588</v>
      </c>
      <c r="E11" s="16" cm="1">
        <f t="array" ref="E11">IFERROR(INDEX(_xlfn.ANCHORARRAY(_xlfn.XLOOKUP($C11,'-ref_Distribution'!$B$101:$B$109,'-ref_Distribution'!$G$101:$G$109)),RIGHT(E$1,2)),"")</f>
        <v>617</v>
      </c>
      <c r="F11" s="16" cm="1">
        <f t="array" ref="F11">IFERROR(INDEX(_xlfn.ANCHORARRAY(_xlfn.XLOOKUP($C11,'-ref_Distribution'!$B$101:$B$109,'-ref_Distribution'!$G$101:$G$109)),RIGHT(F$1,2)),"")</f>
        <v>639</v>
      </c>
      <c r="G11" s="16" cm="1">
        <f t="array" ref="G11">IFERROR(INDEX(_xlfn.ANCHORARRAY(_xlfn.XLOOKUP($C11,'-ref_Distribution'!$B$101:$B$109,'-ref_Distribution'!$G$101:$G$109)),RIGHT(G$1,2)),"")</f>
        <v>653</v>
      </c>
      <c r="H11" s="16" cm="1">
        <f t="array" ref="H11">IFERROR(INDEX(_xlfn.ANCHORARRAY(_xlfn.XLOOKUP($C11,'-ref_Distribution'!$B$101:$B$109,'-ref_Distribution'!$G$101:$G$109)),RIGHT(H$1,2)),"")</f>
        <v>657</v>
      </c>
      <c r="I11" s="16" cm="1">
        <f t="array" ref="I11">IFERROR(INDEX(_xlfn.ANCHORARRAY(_xlfn.XLOOKUP($C11,'-ref_Distribution'!$B$101:$B$109,'-ref_Distribution'!$G$101:$G$109)),RIGHT(I$1,2)),"")</f>
        <v>653</v>
      </c>
      <c r="J11" s="16" cm="1">
        <f t="array" ref="J11">IFERROR(INDEX(_xlfn.ANCHORARRAY(_xlfn.XLOOKUP($C11,'-ref_Distribution'!$B$101:$B$109,'-ref_Distribution'!$G$101:$G$109)),RIGHT(J$1,2)),"")</f>
        <v>639</v>
      </c>
      <c r="K11" s="16" cm="1">
        <f t="array" ref="K11">IFERROR(INDEX(_xlfn.ANCHORARRAY(_xlfn.XLOOKUP($C11,'-ref_Distribution'!$B$101:$B$109,'-ref_Distribution'!$G$101:$G$109)),RIGHT(K$1,2)),"")</f>
        <v>617</v>
      </c>
      <c r="L11" s="16" cm="1">
        <f t="array" ref="L11">IFERROR(INDEX(_xlfn.ANCHORARRAY(_xlfn.XLOOKUP($C11,'-ref_Distribution'!$B$101:$B$109,'-ref_Distribution'!$G$101:$G$109)),RIGHT(L$1,2)),"")</f>
        <v>588</v>
      </c>
      <c r="M11" s="16" cm="1">
        <f t="array" ref="M11">IFERROR(INDEX(_xlfn.ANCHORARRAY(_xlfn.XLOOKUP($C11,'-ref_Distribution'!$B$101:$B$109,'-ref_Distribution'!$G$101:$G$109)),RIGHT(M$1,2)),"")</f>
        <v>553</v>
      </c>
      <c r="N11" s="16" cm="1">
        <f t="array" ref="N11">IFERROR(INDEX(_xlfn.ANCHORARRAY(_xlfn.XLOOKUP($C11,'-ref_Distribution'!$B$101:$B$109,'-ref_Distribution'!$G$101:$G$109)),RIGHT(N$1,2)),"")</f>
        <v>512</v>
      </c>
      <c r="O11" s="16" cm="1">
        <f t="array" ref="O11">IFERROR(INDEX(_xlfn.ANCHORARRAY(_xlfn.XLOOKUP($C11,'-ref_Distribution'!$B$101:$B$109,'-ref_Distribution'!$G$101:$G$109)),RIGHT(O$1,2)),"")</f>
        <v>468</v>
      </c>
      <c r="P11" s="16" cm="1">
        <f t="array" ref="P11">IFERROR(INDEX(_xlfn.ANCHORARRAY(_xlfn.XLOOKUP($C11,'-ref_Distribution'!$B$101:$B$109,'-ref_Distribution'!$G$101:$G$109)),RIGHT(P$1,2)),"")</f>
        <v>422</v>
      </c>
      <c r="Q11" s="16" cm="1">
        <f t="array" ref="Q11">IFERROR(INDEX(_xlfn.ANCHORARRAY(_xlfn.XLOOKUP($C11,'-ref_Distribution'!$B$101:$B$109,'-ref_Distribution'!$G$101:$G$109)),RIGHT(Q$1,2)),"")</f>
        <v>375</v>
      </c>
      <c r="R11" s="16" cm="1">
        <f t="array" ref="R11">IFERROR(INDEX(_xlfn.ANCHORARRAY(_xlfn.XLOOKUP($C11,'-ref_Distribution'!$B$101:$B$109,'-ref_Distribution'!$G$101:$G$109)),RIGHT(R$1,2)),"")</f>
        <v>329</v>
      </c>
      <c r="S11" s="16" cm="1">
        <f t="array" ref="S11">IFERROR(INDEX(_xlfn.ANCHORARRAY(_xlfn.XLOOKUP($C11,'-ref_Distribution'!$B$101:$B$109,'-ref_Distribution'!$G$101:$G$109)),RIGHT(S$1,2)),"")</f>
        <v>284</v>
      </c>
      <c r="T11" s="16" cm="1">
        <f t="array" ref="T11">IFERROR(INDEX(_xlfn.ANCHORARRAY(_xlfn.XLOOKUP($C11,'-ref_Distribution'!$B$101:$B$109,'-ref_Distribution'!$G$101:$G$109)),RIGHT(T$1,2)),"")</f>
        <v>243</v>
      </c>
      <c r="U11" s="16" cm="1">
        <f t="array" ref="U11">IFERROR(INDEX(_xlfn.ANCHORARRAY(_xlfn.XLOOKUP($C11,'-ref_Distribution'!$B$101:$B$109,'-ref_Distribution'!$G$101:$G$109)),RIGHT(U$1,2)),"")</f>
        <v>204</v>
      </c>
      <c r="V11" s="16" cm="1">
        <f t="array" ref="V11">IFERROR(INDEX(_xlfn.ANCHORARRAY(_xlfn.XLOOKUP($C11,'-ref_Distribution'!$B$101:$B$109,'-ref_Distribution'!$G$101:$G$109)),RIGHT(V$1,2)),"")</f>
        <v>169</v>
      </c>
      <c r="W11" s="16" cm="1">
        <f t="array" ref="W11">IFERROR(INDEX(_xlfn.ANCHORARRAY(_xlfn.XLOOKUP($C11,'-ref_Distribution'!$B$101:$B$109,'-ref_Distribution'!$G$101:$G$109)),RIGHT(W$1,2)),"")</f>
        <v>138</v>
      </c>
      <c r="X11" s="16" cm="1">
        <f t="array" ref="X11">IFERROR(INDEX(_xlfn.ANCHORARRAY(_xlfn.XLOOKUP($C11,'-ref_Distribution'!$B$101:$B$109,'-ref_Distribution'!$G$101:$G$109)),RIGHT(X$1,2)),"")</f>
        <v>588</v>
      </c>
      <c r="Y11" s="16" cm="1">
        <f t="array" ref="Y11">IFERROR(INDEX(_xlfn.ANCHORARRAY(_xlfn.XLOOKUP($C11,'-ref_Distribution'!$B$101:$B$109,'-ref_Distribution'!$G$101:$G$109)),RIGHT(Y$1,2)),"")</f>
        <v>617</v>
      </c>
      <c r="Z11" s="16" cm="1">
        <f t="array" ref="Z11">IFERROR(INDEX(_xlfn.ANCHORARRAY(_xlfn.XLOOKUP($C11,'-ref_Distribution'!$B$101:$B$109,'-ref_Distribution'!$G$101:$G$109)),RIGHT(Z$1,2)),"")</f>
        <v>639</v>
      </c>
      <c r="AA11" s="16" cm="1">
        <f t="array" ref="AA11">IFERROR(INDEX(_xlfn.ANCHORARRAY(_xlfn.XLOOKUP($C11,'-ref_Distribution'!$B$101:$B$109,'-ref_Distribution'!$G$101:$G$109)),RIGHT(AA$1,2)),"")</f>
        <v>653</v>
      </c>
      <c r="AB11" s="16" cm="1">
        <f t="array" ref="AB11">IFERROR(INDEX(_xlfn.ANCHORARRAY(_xlfn.XLOOKUP($C11,'-ref_Distribution'!$B$101:$B$109,'-ref_Distribution'!$G$101:$G$109)),RIGHT(AB$1,2)),"")</f>
        <v>657</v>
      </c>
      <c r="AC11" s="16" cm="1">
        <f t="array" ref="AC11">IFERROR(INDEX(_xlfn.ANCHORARRAY(_xlfn.XLOOKUP($C11,'-ref_Distribution'!$B$101:$B$109,'-ref_Distribution'!$G$101:$G$109)),RIGHT(AC$1,2)),"")</f>
        <v>653</v>
      </c>
      <c r="AD11" s="16" cm="1">
        <f t="array" ref="AD11">IFERROR(INDEX(_xlfn.ANCHORARRAY(_xlfn.XLOOKUP($C11,'-ref_Distribution'!$B$101:$B$109,'-ref_Distribution'!$G$101:$G$109)),RIGHT(AD$1,2)),"")</f>
        <v>639</v>
      </c>
      <c r="AE11" s="16" cm="1">
        <f t="array" ref="AE11">IFERROR(INDEX(_xlfn.ANCHORARRAY(_xlfn.XLOOKUP($C11,'-ref_Distribution'!$B$101:$B$109,'-ref_Distribution'!$G$101:$G$109)),RIGHT(AE$1,2)),"")</f>
        <v>617</v>
      </c>
      <c r="AF11" s="16" cm="1">
        <f t="array" ref="AF11">IFERROR(INDEX(_xlfn.ANCHORARRAY(_xlfn.XLOOKUP($C11,'-ref_Distribution'!$B$101:$B$109,'-ref_Distribution'!$G$101:$G$109)),RIGHT(AF$1,2)),"")</f>
        <v>588</v>
      </c>
      <c r="AG11" s="16" cm="1">
        <f t="array" ref="AG11">IFERROR(INDEX(_xlfn.ANCHORARRAY(_xlfn.XLOOKUP($C11,'-ref_Distribution'!$B$101:$B$109,'-ref_Distribution'!$G$101:$G$109)),RIGHT(AG$1,2)),"")</f>
        <v>553</v>
      </c>
      <c r="AH11" s="16" cm="1">
        <f t="array" ref="AH11">IFERROR(INDEX(_xlfn.ANCHORARRAY(_xlfn.XLOOKUP($C11,'-ref_Distribution'!$B$101:$B$109,'-ref_Distribution'!$G$101:$G$109)),RIGHT(AH$1,2)),"")</f>
        <v>512</v>
      </c>
      <c r="AI11" s="16" cm="1">
        <f t="array" ref="AI11">IFERROR(INDEX(_xlfn.ANCHORARRAY(_xlfn.XLOOKUP($C11,'-ref_Distribution'!$B$101:$B$109,'-ref_Distribution'!$G$101:$G$109)),RIGHT(AI$1,2)),"")</f>
        <v>468</v>
      </c>
      <c r="AJ11" s="16" cm="1">
        <f t="array" ref="AJ11">IFERROR(INDEX(_xlfn.ANCHORARRAY(_xlfn.XLOOKUP($C11,'-ref_Distribution'!$B$101:$B$109,'-ref_Distribution'!$G$101:$G$109)),RIGHT(AJ$1,2)),"")</f>
        <v>422</v>
      </c>
      <c r="AK11" s="16" cm="1">
        <f t="array" ref="AK11">IFERROR(INDEX(_xlfn.ANCHORARRAY(_xlfn.XLOOKUP($C11,'-ref_Distribution'!$B$101:$B$109,'-ref_Distribution'!$G$101:$G$109)),RIGHT(AK$1,2)),"")</f>
        <v>375</v>
      </c>
      <c r="AL11" s="16" cm="1">
        <f t="array" ref="AL11">IFERROR(INDEX(_xlfn.ANCHORARRAY(_xlfn.XLOOKUP($C11,'-ref_Distribution'!$B$101:$B$109,'-ref_Distribution'!$G$101:$G$109)),RIGHT(AL$1,2)),"")</f>
        <v>329</v>
      </c>
      <c r="AM11" s="16" cm="1">
        <f t="array" ref="AM11">IFERROR(INDEX(_xlfn.ANCHORARRAY(_xlfn.XLOOKUP($C11,'-ref_Distribution'!$B$101:$B$109,'-ref_Distribution'!$G$101:$G$109)),RIGHT(AM$1,2)),"")</f>
        <v>284</v>
      </c>
      <c r="AN11" s="16" cm="1">
        <f t="array" ref="AN11">IFERROR(INDEX(_xlfn.ANCHORARRAY(_xlfn.XLOOKUP($C11,'-ref_Distribution'!$B$101:$B$109,'-ref_Distribution'!$G$101:$G$109)),RIGHT(AN$1,2)),"")</f>
        <v>243</v>
      </c>
      <c r="AO11" s="16" cm="1">
        <f t="array" ref="AO11">IFERROR(INDEX(_xlfn.ANCHORARRAY(_xlfn.XLOOKUP($C11,'-ref_Distribution'!$B$101:$B$109,'-ref_Distribution'!$G$101:$G$109)),RIGHT(AO$1,2)),"")</f>
        <v>204</v>
      </c>
      <c r="AP11" s="16" cm="1">
        <f t="array" ref="AP11">IFERROR(INDEX(_xlfn.ANCHORARRAY(_xlfn.XLOOKUP($C11,'-ref_Distribution'!$B$101:$B$109,'-ref_Distribution'!$G$101:$G$109)),RIGHT(AP$1,2)),"")</f>
        <v>169</v>
      </c>
      <c r="AQ11" s="16" cm="1">
        <f t="array" ref="AQ11">IFERROR(INDEX(_xlfn.ANCHORARRAY(_xlfn.XLOOKUP($C11,'-ref_Distribution'!$B$101:$B$109,'-ref_Distribution'!$G$101:$G$109)),RIGHT(AQ$1,2)),"")</f>
        <v>138</v>
      </c>
      <c r="AR11" s="16" cm="1">
        <f t="array" ref="AR11">IFERROR(INDEX(_xlfn.ANCHORARRAY(_xlfn.XLOOKUP($C11,'-ref_Distribution'!$B$101:$B$109,'-ref_Distribution'!$G$101:$G$109)),RIGHT(AR$1,2)),"")</f>
        <v>588</v>
      </c>
      <c r="AS11" s="16" cm="1">
        <f t="array" ref="AS11">IFERROR(INDEX(_xlfn.ANCHORARRAY(_xlfn.XLOOKUP($C11,'-ref_Distribution'!$B$101:$B$109,'-ref_Distribution'!$G$101:$G$109)),RIGHT(AS$1,2)),"")</f>
        <v>617</v>
      </c>
      <c r="AT11" s="16" cm="1">
        <f t="array" ref="AT11">IFERROR(INDEX(_xlfn.ANCHORARRAY(_xlfn.XLOOKUP($C11,'-ref_Distribution'!$B$101:$B$109,'-ref_Distribution'!$G$101:$G$109)),RIGHT(AT$1,2)),"")</f>
        <v>639</v>
      </c>
      <c r="AU11" s="16" cm="1">
        <f t="array" ref="AU11">IFERROR(INDEX(_xlfn.ANCHORARRAY(_xlfn.XLOOKUP($C11,'-ref_Distribution'!$B$101:$B$109,'-ref_Distribution'!$G$101:$G$109)),RIGHT(AU$1,2)),"")</f>
        <v>653</v>
      </c>
      <c r="AV11" s="16" cm="1">
        <f t="array" ref="AV11">IFERROR(INDEX(_xlfn.ANCHORARRAY(_xlfn.XLOOKUP($C11,'-ref_Distribution'!$B$101:$B$109,'-ref_Distribution'!$G$101:$G$109)),RIGHT(AV$1,2)),"")</f>
        <v>657</v>
      </c>
      <c r="AW11" s="16" cm="1">
        <f t="array" ref="AW11">IFERROR(INDEX(_xlfn.ANCHORARRAY(_xlfn.XLOOKUP($C11,'-ref_Distribution'!$B$101:$B$109,'-ref_Distribution'!$G$101:$G$109)),RIGHT(AW$1,2)),"")</f>
        <v>653</v>
      </c>
      <c r="AX11" s="16" cm="1">
        <f t="array" ref="AX11">IFERROR(INDEX(_xlfn.ANCHORARRAY(_xlfn.XLOOKUP($C11,'-ref_Distribution'!$B$101:$B$109,'-ref_Distribution'!$G$101:$G$109)),RIGHT(AX$1,2)),"")</f>
        <v>639</v>
      </c>
      <c r="AY11" s="16" cm="1">
        <f t="array" ref="AY11">IFERROR(INDEX(_xlfn.ANCHORARRAY(_xlfn.XLOOKUP($C11,'-ref_Distribution'!$B$101:$B$109,'-ref_Distribution'!$G$101:$G$109)),RIGHT(AY$1,2)),"")</f>
        <v>617</v>
      </c>
      <c r="AZ11" s="16" cm="1">
        <f t="array" ref="AZ11">IFERROR(INDEX(_xlfn.ANCHORARRAY(_xlfn.XLOOKUP($C11,'-ref_Distribution'!$B$101:$B$109,'-ref_Distribution'!$G$101:$G$109)),RIGHT(AZ$1,2)),"")</f>
        <v>588</v>
      </c>
      <c r="BA11" s="16" cm="1">
        <f t="array" ref="BA11">IFERROR(INDEX(_xlfn.ANCHORARRAY(_xlfn.XLOOKUP($C11,'-ref_Distribution'!$B$101:$B$109,'-ref_Distribution'!$G$101:$G$109)),RIGHT(BA$1,2)),"")</f>
        <v>553</v>
      </c>
      <c r="BB11" s="16" cm="1">
        <f t="array" ref="BB11">IFERROR(INDEX(_xlfn.ANCHORARRAY(_xlfn.XLOOKUP($C11,'-ref_Distribution'!$B$101:$B$109,'-ref_Distribution'!$G$101:$G$109)),RIGHT(BB$1,2)),"")</f>
        <v>512</v>
      </c>
      <c r="BC11" s="16" cm="1">
        <f t="array" ref="BC11">IFERROR(INDEX(_xlfn.ANCHORARRAY(_xlfn.XLOOKUP($C11,'-ref_Distribution'!$B$101:$B$109,'-ref_Distribution'!$G$101:$G$109)),RIGHT(BC$1,2)),"")</f>
        <v>468</v>
      </c>
      <c r="BD11" s="16" cm="1">
        <f t="array" ref="BD11">IFERROR(INDEX(_xlfn.ANCHORARRAY(_xlfn.XLOOKUP($C11,'-ref_Distribution'!$B$101:$B$109,'-ref_Distribution'!$G$101:$G$109)),RIGHT(BD$1,2)),"")</f>
        <v>422</v>
      </c>
      <c r="BE11" s="16" cm="1">
        <f t="array" ref="BE11">IFERROR(INDEX(_xlfn.ANCHORARRAY(_xlfn.XLOOKUP($C11,'-ref_Distribution'!$B$101:$B$109,'-ref_Distribution'!$G$101:$G$109)),RIGHT(BE$1,2)),"")</f>
        <v>375</v>
      </c>
      <c r="BF11" s="16" cm="1">
        <f t="array" ref="BF11">IFERROR(INDEX(_xlfn.ANCHORARRAY(_xlfn.XLOOKUP($C11,'-ref_Distribution'!$B$101:$B$109,'-ref_Distribution'!$G$101:$G$109)),RIGHT(BF$1,2)),"")</f>
        <v>329</v>
      </c>
      <c r="BG11" s="16" cm="1">
        <f t="array" ref="BG11">IFERROR(INDEX(_xlfn.ANCHORARRAY(_xlfn.XLOOKUP($C11,'-ref_Distribution'!$B$101:$B$109,'-ref_Distribution'!$G$101:$G$109)),RIGHT(BG$1,2)),"")</f>
        <v>284</v>
      </c>
      <c r="BH11" s="16" cm="1">
        <f t="array" ref="BH11">IFERROR(INDEX(_xlfn.ANCHORARRAY(_xlfn.XLOOKUP($C11,'-ref_Distribution'!$B$101:$B$109,'-ref_Distribution'!$G$101:$G$109)),RIGHT(BH$1,2)),"")</f>
        <v>243</v>
      </c>
      <c r="BI11" s="16" cm="1">
        <f t="array" ref="BI11">IFERROR(INDEX(_xlfn.ANCHORARRAY(_xlfn.XLOOKUP($C11,'-ref_Distribution'!$B$101:$B$109,'-ref_Distribution'!$G$101:$G$109)),RIGHT(BI$1,2)),"")</f>
        <v>204</v>
      </c>
      <c r="BJ11" s="16" cm="1">
        <f t="array" ref="BJ11">IFERROR(INDEX(_xlfn.ANCHORARRAY(_xlfn.XLOOKUP($C11,'-ref_Distribution'!$B$101:$B$109,'-ref_Distribution'!$G$101:$G$109)),RIGHT(BJ$1,2)),"")</f>
        <v>169</v>
      </c>
      <c r="BK11" s="16" cm="1">
        <f t="array" ref="BK11">IFERROR(INDEX(_xlfn.ANCHORARRAY(_xlfn.XLOOKUP($C11,'-ref_Distribution'!$B$101:$B$109,'-ref_Distribution'!$G$101:$G$109)),RIGHT(BK$1,2)),"")</f>
        <v>138</v>
      </c>
      <c r="BL11" s="16" cm="1">
        <f t="array" ref="BL11">IFERROR(INDEX(_xlfn.ANCHORARRAY(_xlfn.XLOOKUP($C11,'-ref_Distribution'!$B$101:$B$109,'-ref_Distribution'!$G$101:$G$109)),RIGHT(BL$1,2)),"")</f>
        <v>588</v>
      </c>
      <c r="BM11" s="16" cm="1">
        <f t="array" ref="BM11">IFERROR(INDEX(_xlfn.ANCHORARRAY(_xlfn.XLOOKUP($C11,'-ref_Distribution'!$B$101:$B$109,'-ref_Distribution'!$G$101:$G$109)),RIGHT(BM$1,2)),"")</f>
        <v>617</v>
      </c>
      <c r="BN11" s="16" cm="1">
        <f t="array" ref="BN11">IFERROR(INDEX(_xlfn.ANCHORARRAY(_xlfn.XLOOKUP($C11,'-ref_Distribution'!$B$101:$B$109,'-ref_Distribution'!$G$101:$G$109)),RIGHT(BN$1,2)),"")</f>
        <v>639</v>
      </c>
      <c r="BO11" s="16" cm="1">
        <f t="array" ref="BO11">IFERROR(INDEX(_xlfn.ANCHORARRAY(_xlfn.XLOOKUP($C11,'-ref_Distribution'!$B$101:$B$109,'-ref_Distribution'!$G$101:$G$109)),RIGHT(BO$1,2)),"")</f>
        <v>653</v>
      </c>
      <c r="BP11" s="16" cm="1">
        <f t="array" ref="BP11">IFERROR(INDEX(_xlfn.ANCHORARRAY(_xlfn.XLOOKUP($C11,'-ref_Distribution'!$B$101:$B$109,'-ref_Distribution'!$G$101:$G$109)),RIGHT(BP$1,2)),"")</f>
        <v>657</v>
      </c>
      <c r="BQ11" s="16" cm="1">
        <f t="array" ref="BQ11">IFERROR(INDEX(_xlfn.ANCHORARRAY(_xlfn.XLOOKUP($C11,'-ref_Distribution'!$B$101:$B$109,'-ref_Distribution'!$G$101:$G$109)),RIGHT(BQ$1,2)),"")</f>
        <v>653</v>
      </c>
      <c r="BR11" s="16" cm="1">
        <f t="array" ref="BR11">IFERROR(INDEX(_xlfn.ANCHORARRAY(_xlfn.XLOOKUP($C11,'-ref_Distribution'!$B$101:$B$109,'-ref_Distribution'!$G$101:$G$109)),RIGHT(BR$1,2)),"")</f>
        <v>639</v>
      </c>
      <c r="BS11" s="16" cm="1">
        <f t="array" ref="BS11">IFERROR(INDEX(_xlfn.ANCHORARRAY(_xlfn.XLOOKUP($C11,'-ref_Distribution'!$B$101:$B$109,'-ref_Distribution'!$G$101:$G$109)),RIGHT(BS$1,2)),"")</f>
        <v>617</v>
      </c>
      <c r="BT11" s="16" cm="1">
        <f t="array" ref="BT11">IFERROR(INDEX(_xlfn.ANCHORARRAY(_xlfn.XLOOKUP($C11,'-ref_Distribution'!$B$101:$B$109,'-ref_Distribution'!$G$101:$G$109)),RIGHT(BT$1,2)),"")</f>
        <v>588</v>
      </c>
      <c r="BU11" s="16" cm="1">
        <f t="array" ref="BU11">IFERROR(INDEX(_xlfn.ANCHORARRAY(_xlfn.XLOOKUP($C11,'-ref_Distribution'!$B$101:$B$109,'-ref_Distribution'!$G$101:$G$109)),RIGHT(BU$1,2)),"")</f>
        <v>553</v>
      </c>
      <c r="BV11" s="16" cm="1">
        <f t="array" ref="BV11">IFERROR(INDEX(_xlfn.ANCHORARRAY(_xlfn.XLOOKUP($C11,'-ref_Distribution'!$B$101:$B$109,'-ref_Distribution'!$G$101:$G$109)),RIGHT(BV$1,2)),"")</f>
        <v>512</v>
      </c>
      <c r="BW11" s="16" cm="1">
        <f t="array" ref="BW11">IFERROR(INDEX(_xlfn.ANCHORARRAY(_xlfn.XLOOKUP($C11,'-ref_Distribution'!$B$101:$B$109,'-ref_Distribution'!$G$101:$G$109)),RIGHT(BW$1,2)),"")</f>
        <v>468</v>
      </c>
      <c r="BX11" s="16" cm="1">
        <f t="array" ref="BX11">IFERROR(INDEX(_xlfn.ANCHORARRAY(_xlfn.XLOOKUP($C11,'-ref_Distribution'!$B$101:$B$109,'-ref_Distribution'!$G$101:$G$109)),RIGHT(BX$1,2)),"")</f>
        <v>422</v>
      </c>
      <c r="BY11" s="16" cm="1">
        <f t="array" ref="BY11">IFERROR(INDEX(_xlfn.ANCHORARRAY(_xlfn.XLOOKUP($C11,'-ref_Distribution'!$B$101:$B$109,'-ref_Distribution'!$G$101:$G$109)),RIGHT(BY$1,2)),"")</f>
        <v>375</v>
      </c>
      <c r="BZ11" s="16" cm="1">
        <f t="array" ref="BZ11">IFERROR(INDEX(_xlfn.ANCHORARRAY(_xlfn.XLOOKUP($C11,'-ref_Distribution'!$B$101:$B$109,'-ref_Distribution'!$G$101:$G$109)),RIGHT(BZ$1,2)),"")</f>
        <v>329</v>
      </c>
      <c r="CA11" s="16" cm="1">
        <f t="array" ref="CA11">IFERROR(INDEX(_xlfn.ANCHORARRAY(_xlfn.XLOOKUP($C11,'-ref_Distribution'!$B$101:$B$109,'-ref_Distribution'!$G$101:$G$109)),RIGHT(CA$1,2)),"")</f>
        <v>284</v>
      </c>
      <c r="CB11" s="16" cm="1">
        <f t="array" ref="CB11">IFERROR(INDEX(_xlfn.ANCHORARRAY(_xlfn.XLOOKUP($C11,'-ref_Distribution'!$B$101:$B$109,'-ref_Distribution'!$G$101:$G$109)),RIGHT(CB$1,2)),"")</f>
        <v>243</v>
      </c>
      <c r="CC11" s="16" cm="1">
        <f t="array" ref="CC11">IFERROR(INDEX(_xlfn.ANCHORARRAY(_xlfn.XLOOKUP($C11,'-ref_Distribution'!$B$101:$B$109,'-ref_Distribution'!$G$101:$G$109)),RIGHT(CC$1,2)),"")</f>
        <v>204</v>
      </c>
      <c r="CD11" s="16" cm="1">
        <f t="array" ref="CD11">IFERROR(INDEX(_xlfn.ANCHORARRAY(_xlfn.XLOOKUP($C11,'-ref_Distribution'!$B$101:$B$109,'-ref_Distribution'!$G$101:$G$109)),RIGHT(CD$1,2)),"")</f>
        <v>169</v>
      </c>
      <c r="CE11" s="16" cm="1">
        <f t="array" ref="CE11">IFERROR(INDEX(_xlfn.ANCHORARRAY(_xlfn.XLOOKUP($C11,'-ref_Distribution'!$B$101:$B$109,'-ref_Distribution'!$G$101:$G$109)),RIGHT(CE$1,2)),"")</f>
        <v>138</v>
      </c>
      <c r="CF11" s="16"/>
      <c r="CG11" s="16"/>
      <c r="CH11" s="16"/>
      <c r="CI11" s="16"/>
      <c r="CJ11" s="16"/>
      <c r="CK11" s="16"/>
      <c r="CL11" s="16"/>
    </row>
    <row r="12" spans="1:90" x14ac:dyDescent="0.2">
      <c r="A12" s="16">
        <v>15111</v>
      </c>
      <c r="B12" s="16" t="s">
        <v>186</v>
      </c>
      <c r="C12" s="16">
        <v>11</v>
      </c>
      <c r="D12" s="16" cm="1">
        <f t="array" ref="D12">IFERROR(INDEX(_xlfn.ANCHORARRAY(_xlfn.XLOOKUP($C12,'-ref_Distribution'!$B$101:$B$109,'-ref_Distribution'!$G$101:$G$109)),RIGHT(D$1,2)),"")</f>
        <v>452</v>
      </c>
      <c r="E12" s="16" cm="1">
        <f t="array" ref="E12">IFERROR(INDEX(_xlfn.ANCHORARRAY(_xlfn.XLOOKUP($C12,'-ref_Distribution'!$B$101:$B$109,'-ref_Distribution'!$G$101:$G$109)),RIGHT(E$1,2)),"")</f>
        <v>492</v>
      </c>
      <c r="F12" s="16" cm="1">
        <f t="array" ref="F12">IFERROR(INDEX(_xlfn.ANCHORARRAY(_xlfn.XLOOKUP($C12,'-ref_Distribution'!$B$101:$B$109,'-ref_Distribution'!$G$101:$G$109)),RIGHT(F$1,2)),"")</f>
        <v>528</v>
      </c>
      <c r="G12" s="16" cm="1">
        <f t="array" ref="G12">IFERROR(INDEX(_xlfn.ANCHORARRAY(_xlfn.XLOOKUP($C12,'-ref_Distribution'!$B$101:$B$109,'-ref_Distribution'!$G$101:$G$109)),RIGHT(G$1,2)),"")</f>
        <v>558</v>
      </c>
      <c r="H12" s="16" cm="1">
        <f t="array" ref="H12">IFERROR(INDEX(_xlfn.ANCHORARRAY(_xlfn.XLOOKUP($C12,'-ref_Distribution'!$B$101:$B$109,'-ref_Distribution'!$G$101:$G$109)),RIGHT(H$1,2)),"")</f>
        <v>580</v>
      </c>
      <c r="I12" s="16" cm="1">
        <f t="array" ref="I12">IFERROR(INDEX(_xlfn.ANCHORARRAY(_xlfn.XLOOKUP($C12,'-ref_Distribution'!$B$101:$B$109,'-ref_Distribution'!$G$101:$G$109)),RIGHT(I$1,2)),"")</f>
        <v>594</v>
      </c>
      <c r="J12" s="16" cm="1">
        <f t="array" ref="J12">IFERROR(INDEX(_xlfn.ANCHORARRAY(_xlfn.XLOOKUP($C12,'-ref_Distribution'!$B$101:$B$109,'-ref_Distribution'!$G$101:$G$109)),RIGHT(J$1,2)),"")</f>
        <v>598</v>
      </c>
      <c r="K12" s="16" cm="1">
        <f t="array" ref="K12">IFERROR(INDEX(_xlfn.ANCHORARRAY(_xlfn.XLOOKUP($C12,'-ref_Distribution'!$B$101:$B$109,'-ref_Distribution'!$G$101:$G$109)),RIGHT(K$1,2)),"")</f>
        <v>594</v>
      </c>
      <c r="L12" s="16" cm="1">
        <f t="array" ref="L12">IFERROR(INDEX(_xlfn.ANCHORARRAY(_xlfn.XLOOKUP($C12,'-ref_Distribution'!$B$101:$B$109,'-ref_Distribution'!$G$101:$G$109)),RIGHT(L$1,2)),"")</f>
        <v>580</v>
      </c>
      <c r="M12" s="16" cm="1">
        <f t="array" ref="M12">IFERROR(INDEX(_xlfn.ANCHORARRAY(_xlfn.XLOOKUP($C12,'-ref_Distribution'!$B$101:$B$109,'-ref_Distribution'!$G$101:$G$109)),RIGHT(M$1,2)),"")</f>
        <v>558</v>
      </c>
      <c r="N12" s="16" cm="1">
        <f t="array" ref="N12">IFERROR(INDEX(_xlfn.ANCHORARRAY(_xlfn.XLOOKUP($C12,'-ref_Distribution'!$B$101:$B$109,'-ref_Distribution'!$G$101:$G$109)),RIGHT(N$1,2)),"")</f>
        <v>528</v>
      </c>
      <c r="O12" s="16" cm="1">
        <f t="array" ref="O12">IFERROR(INDEX(_xlfn.ANCHORARRAY(_xlfn.XLOOKUP($C12,'-ref_Distribution'!$B$101:$B$109,'-ref_Distribution'!$G$101:$G$109)),RIGHT(O$1,2)),"")</f>
        <v>492</v>
      </c>
      <c r="P12" s="16" cm="1">
        <f t="array" ref="P12">IFERROR(INDEX(_xlfn.ANCHORARRAY(_xlfn.XLOOKUP($C12,'-ref_Distribution'!$B$101:$B$109,'-ref_Distribution'!$G$101:$G$109)),RIGHT(P$1,2)),"")</f>
        <v>452</v>
      </c>
      <c r="Q12" s="16" cm="1">
        <f t="array" ref="Q12">IFERROR(INDEX(_xlfn.ANCHORARRAY(_xlfn.XLOOKUP($C12,'-ref_Distribution'!$B$101:$B$109,'-ref_Distribution'!$G$101:$G$109)),RIGHT(Q$1,2)),"")</f>
        <v>408</v>
      </c>
      <c r="R12" s="16" cm="1">
        <f t="array" ref="R12">IFERROR(INDEX(_xlfn.ANCHORARRAY(_xlfn.XLOOKUP($C12,'-ref_Distribution'!$B$101:$B$109,'-ref_Distribution'!$G$101:$G$109)),RIGHT(R$1,2)),"")</f>
        <v>363</v>
      </c>
      <c r="S12" s="16" cm="1">
        <f t="array" ref="S12">IFERROR(INDEX(_xlfn.ANCHORARRAY(_xlfn.XLOOKUP($C12,'-ref_Distribution'!$B$101:$B$109,'-ref_Distribution'!$G$101:$G$109)),RIGHT(S$1,2)),"")</f>
        <v>318</v>
      </c>
      <c r="T12" s="16" cm="1">
        <f t="array" ref="T12">IFERROR(INDEX(_xlfn.ANCHORARRAY(_xlfn.XLOOKUP($C12,'-ref_Distribution'!$B$101:$B$109,'-ref_Distribution'!$G$101:$G$109)),RIGHT(T$1,2)),"")</f>
        <v>274</v>
      </c>
      <c r="U12" s="16" cm="1">
        <f t="array" ref="U12">IFERROR(INDEX(_xlfn.ANCHORARRAY(_xlfn.XLOOKUP($C12,'-ref_Distribution'!$B$101:$B$109,'-ref_Distribution'!$G$101:$G$109)),RIGHT(U$1,2)),"")</f>
        <v>233</v>
      </c>
      <c r="V12" s="16" cm="1">
        <f t="array" ref="V12">IFERROR(INDEX(_xlfn.ANCHORARRAY(_xlfn.XLOOKUP($C12,'-ref_Distribution'!$B$101:$B$109,'-ref_Distribution'!$G$101:$G$109)),RIGHT(V$1,2)),"")</f>
        <v>194</v>
      </c>
      <c r="W12" s="16" cm="1">
        <f t="array" ref="W12">IFERROR(INDEX(_xlfn.ANCHORARRAY(_xlfn.XLOOKUP($C12,'-ref_Distribution'!$B$101:$B$109,'-ref_Distribution'!$G$101:$G$109)),RIGHT(W$1,2)),"")</f>
        <v>160</v>
      </c>
      <c r="X12" s="16" cm="1">
        <f t="array" ref="X12">IFERROR(INDEX(_xlfn.ANCHORARRAY(_xlfn.XLOOKUP($C12,'-ref_Distribution'!$B$101:$B$109,'-ref_Distribution'!$G$101:$G$109)),RIGHT(X$1,2)),"")</f>
        <v>452</v>
      </c>
      <c r="Y12" s="16" cm="1">
        <f t="array" ref="Y12">IFERROR(INDEX(_xlfn.ANCHORARRAY(_xlfn.XLOOKUP($C12,'-ref_Distribution'!$B$101:$B$109,'-ref_Distribution'!$G$101:$G$109)),RIGHT(Y$1,2)),"")</f>
        <v>492</v>
      </c>
      <c r="Z12" s="16" cm="1">
        <f t="array" ref="Z12">IFERROR(INDEX(_xlfn.ANCHORARRAY(_xlfn.XLOOKUP($C12,'-ref_Distribution'!$B$101:$B$109,'-ref_Distribution'!$G$101:$G$109)),RIGHT(Z$1,2)),"")</f>
        <v>528</v>
      </c>
      <c r="AA12" s="16" cm="1">
        <f t="array" ref="AA12">IFERROR(INDEX(_xlfn.ANCHORARRAY(_xlfn.XLOOKUP($C12,'-ref_Distribution'!$B$101:$B$109,'-ref_Distribution'!$G$101:$G$109)),RIGHT(AA$1,2)),"")</f>
        <v>558</v>
      </c>
      <c r="AB12" s="16" cm="1">
        <f t="array" ref="AB12">IFERROR(INDEX(_xlfn.ANCHORARRAY(_xlfn.XLOOKUP($C12,'-ref_Distribution'!$B$101:$B$109,'-ref_Distribution'!$G$101:$G$109)),RIGHT(AB$1,2)),"")</f>
        <v>580</v>
      </c>
      <c r="AC12" s="16" cm="1">
        <f t="array" ref="AC12">IFERROR(INDEX(_xlfn.ANCHORARRAY(_xlfn.XLOOKUP($C12,'-ref_Distribution'!$B$101:$B$109,'-ref_Distribution'!$G$101:$G$109)),RIGHT(AC$1,2)),"")</f>
        <v>594</v>
      </c>
      <c r="AD12" s="16" cm="1">
        <f t="array" ref="AD12">IFERROR(INDEX(_xlfn.ANCHORARRAY(_xlfn.XLOOKUP($C12,'-ref_Distribution'!$B$101:$B$109,'-ref_Distribution'!$G$101:$G$109)),RIGHT(AD$1,2)),"")</f>
        <v>598</v>
      </c>
      <c r="AE12" s="16" cm="1">
        <f t="array" ref="AE12">IFERROR(INDEX(_xlfn.ANCHORARRAY(_xlfn.XLOOKUP($C12,'-ref_Distribution'!$B$101:$B$109,'-ref_Distribution'!$G$101:$G$109)),RIGHT(AE$1,2)),"")</f>
        <v>594</v>
      </c>
      <c r="AF12" s="16" cm="1">
        <f t="array" ref="AF12">IFERROR(INDEX(_xlfn.ANCHORARRAY(_xlfn.XLOOKUP($C12,'-ref_Distribution'!$B$101:$B$109,'-ref_Distribution'!$G$101:$G$109)),RIGHT(AF$1,2)),"")</f>
        <v>580</v>
      </c>
      <c r="AG12" s="16" cm="1">
        <f t="array" ref="AG12">IFERROR(INDEX(_xlfn.ANCHORARRAY(_xlfn.XLOOKUP($C12,'-ref_Distribution'!$B$101:$B$109,'-ref_Distribution'!$G$101:$G$109)),RIGHT(AG$1,2)),"")</f>
        <v>558</v>
      </c>
      <c r="AH12" s="16" cm="1">
        <f t="array" ref="AH12">IFERROR(INDEX(_xlfn.ANCHORARRAY(_xlfn.XLOOKUP($C12,'-ref_Distribution'!$B$101:$B$109,'-ref_Distribution'!$G$101:$G$109)),RIGHT(AH$1,2)),"")</f>
        <v>528</v>
      </c>
      <c r="AI12" s="16" cm="1">
        <f t="array" ref="AI12">IFERROR(INDEX(_xlfn.ANCHORARRAY(_xlfn.XLOOKUP($C12,'-ref_Distribution'!$B$101:$B$109,'-ref_Distribution'!$G$101:$G$109)),RIGHT(AI$1,2)),"")</f>
        <v>492</v>
      </c>
      <c r="AJ12" s="16" cm="1">
        <f t="array" ref="AJ12">IFERROR(INDEX(_xlfn.ANCHORARRAY(_xlfn.XLOOKUP($C12,'-ref_Distribution'!$B$101:$B$109,'-ref_Distribution'!$G$101:$G$109)),RIGHT(AJ$1,2)),"")</f>
        <v>452</v>
      </c>
      <c r="AK12" s="16" cm="1">
        <f t="array" ref="AK12">IFERROR(INDEX(_xlfn.ANCHORARRAY(_xlfn.XLOOKUP($C12,'-ref_Distribution'!$B$101:$B$109,'-ref_Distribution'!$G$101:$G$109)),RIGHT(AK$1,2)),"")</f>
        <v>408</v>
      </c>
      <c r="AL12" s="16" cm="1">
        <f t="array" ref="AL12">IFERROR(INDEX(_xlfn.ANCHORARRAY(_xlfn.XLOOKUP($C12,'-ref_Distribution'!$B$101:$B$109,'-ref_Distribution'!$G$101:$G$109)),RIGHT(AL$1,2)),"")</f>
        <v>363</v>
      </c>
      <c r="AM12" s="16" cm="1">
        <f t="array" ref="AM12">IFERROR(INDEX(_xlfn.ANCHORARRAY(_xlfn.XLOOKUP($C12,'-ref_Distribution'!$B$101:$B$109,'-ref_Distribution'!$G$101:$G$109)),RIGHT(AM$1,2)),"")</f>
        <v>318</v>
      </c>
      <c r="AN12" s="16" cm="1">
        <f t="array" ref="AN12">IFERROR(INDEX(_xlfn.ANCHORARRAY(_xlfn.XLOOKUP($C12,'-ref_Distribution'!$B$101:$B$109,'-ref_Distribution'!$G$101:$G$109)),RIGHT(AN$1,2)),"")</f>
        <v>274</v>
      </c>
      <c r="AO12" s="16" cm="1">
        <f t="array" ref="AO12">IFERROR(INDEX(_xlfn.ANCHORARRAY(_xlfn.XLOOKUP($C12,'-ref_Distribution'!$B$101:$B$109,'-ref_Distribution'!$G$101:$G$109)),RIGHT(AO$1,2)),"")</f>
        <v>233</v>
      </c>
      <c r="AP12" s="16" cm="1">
        <f t="array" ref="AP12">IFERROR(INDEX(_xlfn.ANCHORARRAY(_xlfn.XLOOKUP($C12,'-ref_Distribution'!$B$101:$B$109,'-ref_Distribution'!$G$101:$G$109)),RIGHT(AP$1,2)),"")</f>
        <v>194</v>
      </c>
      <c r="AQ12" s="16" cm="1">
        <f t="array" ref="AQ12">IFERROR(INDEX(_xlfn.ANCHORARRAY(_xlfn.XLOOKUP($C12,'-ref_Distribution'!$B$101:$B$109,'-ref_Distribution'!$G$101:$G$109)),RIGHT(AQ$1,2)),"")</f>
        <v>160</v>
      </c>
      <c r="AR12" s="16" cm="1">
        <f t="array" ref="AR12">IFERROR(INDEX(_xlfn.ANCHORARRAY(_xlfn.XLOOKUP($C12,'-ref_Distribution'!$B$101:$B$109,'-ref_Distribution'!$G$101:$G$109)),RIGHT(AR$1,2)),"")</f>
        <v>452</v>
      </c>
      <c r="AS12" s="16" cm="1">
        <f t="array" ref="AS12">IFERROR(INDEX(_xlfn.ANCHORARRAY(_xlfn.XLOOKUP($C12,'-ref_Distribution'!$B$101:$B$109,'-ref_Distribution'!$G$101:$G$109)),RIGHT(AS$1,2)),"")</f>
        <v>492</v>
      </c>
      <c r="AT12" s="16" cm="1">
        <f t="array" ref="AT12">IFERROR(INDEX(_xlfn.ANCHORARRAY(_xlfn.XLOOKUP($C12,'-ref_Distribution'!$B$101:$B$109,'-ref_Distribution'!$G$101:$G$109)),RIGHT(AT$1,2)),"")</f>
        <v>528</v>
      </c>
      <c r="AU12" s="16" cm="1">
        <f t="array" ref="AU12">IFERROR(INDEX(_xlfn.ANCHORARRAY(_xlfn.XLOOKUP($C12,'-ref_Distribution'!$B$101:$B$109,'-ref_Distribution'!$G$101:$G$109)),RIGHT(AU$1,2)),"")</f>
        <v>558</v>
      </c>
      <c r="AV12" s="16" cm="1">
        <f t="array" ref="AV12">IFERROR(INDEX(_xlfn.ANCHORARRAY(_xlfn.XLOOKUP($C12,'-ref_Distribution'!$B$101:$B$109,'-ref_Distribution'!$G$101:$G$109)),RIGHT(AV$1,2)),"")</f>
        <v>580</v>
      </c>
      <c r="AW12" s="16" cm="1">
        <f t="array" ref="AW12">IFERROR(INDEX(_xlfn.ANCHORARRAY(_xlfn.XLOOKUP($C12,'-ref_Distribution'!$B$101:$B$109,'-ref_Distribution'!$G$101:$G$109)),RIGHT(AW$1,2)),"")</f>
        <v>594</v>
      </c>
      <c r="AX12" s="16" cm="1">
        <f t="array" ref="AX12">IFERROR(INDEX(_xlfn.ANCHORARRAY(_xlfn.XLOOKUP($C12,'-ref_Distribution'!$B$101:$B$109,'-ref_Distribution'!$G$101:$G$109)),RIGHT(AX$1,2)),"")</f>
        <v>598</v>
      </c>
      <c r="AY12" s="16" cm="1">
        <f t="array" ref="AY12">IFERROR(INDEX(_xlfn.ANCHORARRAY(_xlfn.XLOOKUP($C12,'-ref_Distribution'!$B$101:$B$109,'-ref_Distribution'!$G$101:$G$109)),RIGHT(AY$1,2)),"")</f>
        <v>594</v>
      </c>
      <c r="AZ12" s="16" cm="1">
        <f t="array" ref="AZ12">IFERROR(INDEX(_xlfn.ANCHORARRAY(_xlfn.XLOOKUP($C12,'-ref_Distribution'!$B$101:$B$109,'-ref_Distribution'!$G$101:$G$109)),RIGHT(AZ$1,2)),"")</f>
        <v>580</v>
      </c>
      <c r="BA12" s="16" cm="1">
        <f t="array" ref="BA12">IFERROR(INDEX(_xlfn.ANCHORARRAY(_xlfn.XLOOKUP($C12,'-ref_Distribution'!$B$101:$B$109,'-ref_Distribution'!$G$101:$G$109)),RIGHT(BA$1,2)),"")</f>
        <v>558</v>
      </c>
      <c r="BB12" s="16" cm="1">
        <f t="array" ref="BB12">IFERROR(INDEX(_xlfn.ANCHORARRAY(_xlfn.XLOOKUP($C12,'-ref_Distribution'!$B$101:$B$109,'-ref_Distribution'!$G$101:$G$109)),RIGHT(BB$1,2)),"")</f>
        <v>528</v>
      </c>
      <c r="BC12" s="16" cm="1">
        <f t="array" ref="BC12">IFERROR(INDEX(_xlfn.ANCHORARRAY(_xlfn.XLOOKUP($C12,'-ref_Distribution'!$B$101:$B$109,'-ref_Distribution'!$G$101:$G$109)),RIGHT(BC$1,2)),"")</f>
        <v>492</v>
      </c>
      <c r="BD12" s="16" cm="1">
        <f t="array" ref="BD12">IFERROR(INDEX(_xlfn.ANCHORARRAY(_xlfn.XLOOKUP($C12,'-ref_Distribution'!$B$101:$B$109,'-ref_Distribution'!$G$101:$G$109)),RIGHT(BD$1,2)),"")</f>
        <v>452</v>
      </c>
      <c r="BE12" s="16" cm="1">
        <f t="array" ref="BE12">IFERROR(INDEX(_xlfn.ANCHORARRAY(_xlfn.XLOOKUP($C12,'-ref_Distribution'!$B$101:$B$109,'-ref_Distribution'!$G$101:$G$109)),RIGHT(BE$1,2)),"")</f>
        <v>408</v>
      </c>
      <c r="BF12" s="16" cm="1">
        <f t="array" ref="BF12">IFERROR(INDEX(_xlfn.ANCHORARRAY(_xlfn.XLOOKUP($C12,'-ref_Distribution'!$B$101:$B$109,'-ref_Distribution'!$G$101:$G$109)),RIGHT(BF$1,2)),"")</f>
        <v>363</v>
      </c>
      <c r="BG12" s="16" cm="1">
        <f t="array" ref="BG12">IFERROR(INDEX(_xlfn.ANCHORARRAY(_xlfn.XLOOKUP($C12,'-ref_Distribution'!$B$101:$B$109,'-ref_Distribution'!$G$101:$G$109)),RIGHT(BG$1,2)),"")</f>
        <v>318</v>
      </c>
      <c r="BH12" s="16" cm="1">
        <f t="array" ref="BH12">IFERROR(INDEX(_xlfn.ANCHORARRAY(_xlfn.XLOOKUP($C12,'-ref_Distribution'!$B$101:$B$109,'-ref_Distribution'!$G$101:$G$109)),RIGHT(BH$1,2)),"")</f>
        <v>274</v>
      </c>
      <c r="BI12" s="16" cm="1">
        <f t="array" ref="BI12">IFERROR(INDEX(_xlfn.ANCHORARRAY(_xlfn.XLOOKUP($C12,'-ref_Distribution'!$B$101:$B$109,'-ref_Distribution'!$G$101:$G$109)),RIGHT(BI$1,2)),"")</f>
        <v>233</v>
      </c>
      <c r="BJ12" s="16" cm="1">
        <f t="array" ref="BJ12">IFERROR(INDEX(_xlfn.ANCHORARRAY(_xlfn.XLOOKUP($C12,'-ref_Distribution'!$B$101:$B$109,'-ref_Distribution'!$G$101:$G$109)),RIGHT(BJ$1,2)),"")</f>
        <v>194</v>
      </c>
      <c r="BK12" s="16" cm="1">
        <f t="array" ref="BK12">IFERROR(INDEX(_xlfn.ANCHORARRAY(_xlfn.XLOOKUP($C12,'-ref_Distribution'!$B$101:$B$109,'-ref_Distribution'!$G$101:$G$109)),RIGHT(BK$1,2)),"")</f>
        <v>160</v>
      </c>
      <c r="BL12" s="16" cm="1">
        <f t="array" ref="BL12">IFERROR(INDEX(_xlfn.ANCHORARRAY(_xlfn.XLOOKUP($C12,'-ref_Distribution'!$B$101:$B$109,'-ref_Distribution'!$G$101:$G$109)),RIGHT(BL$1,2)),"")</f>
        <v>452</v>
      </c>
      <c r="BM12" s="16" cm="1">
        <f t="array" ref="BM12">IFERROR(INDEX(_xlfn.ANCHORARRAY(_xlfn.XLOOKUP($C12,'-ref_Distribution'!$B$101:$B$109,'-ref_Distribution'!$G$101:$G$109)),RIGHT(BM$1,2)),"")</f>
        <v>492</v>
      </c>
      <c r="BN12" s="16" cm="1">
        <f t="array" ref="BN12">IFERROR(INDEX(_xlfn.ANCHORARRAY(_xlfn.XLOOKUP($C12,'-ref_Distribution'!$B$101:$B$109,'-ref_Distribution'!$G$101:$G$109)),RIGHT(BN$1,2)),"")</f>
        <v>528</v>
      </c>
      <c r="BO12" s="16" cm="1">
        <f t="array" ref="BO12">IFERROR(INDEX(_xlfn.ANCHORARRAY(_xlfn.XLOOKUP($C12,'-ref_Distribution'!$B$101:$B$109,'-ref_Distribution'!$G$101:$G$109)),RIGHT(BO$1,2)),"")</f>
        <v>558</v>
      </c>
      <c r="BP12" s="16" cm="1">
        <f t="array" ref="BP12">IFERROR(INDEX(_xlfn.ANCHORARRAY(_xlfn.XLOOKUP($C12,'-ref_Distribution'!$B$101:$B$109,'-ref_Distribution'!$G$101:$G$109)),RIGHT(BP$1,2)),"")</f>
        <v>580</v>
      </c>
      <c r="BQ12" s="16" cm="1">
        <f t="array" ref="BQ12">IFERROR(INDEX(_xlfn.ANCHORARRAY(_xlfn.XLOOKUP($C12,'-ref_Distribution'!$B$101:$B$109,'-ref_Distribution'!$G$101:$G$109)),RIGHT(BQ$1,2)),"")</f>
        <v>594</v>
      </c>
      <c r="BR12" s="16" cm="1">
        <f t="array" ref="BR12">IFERROR(INDEX(_xlfn.ANCHORARRAY(_xlfn.XLOOKUP($C12,'-ref_Distribution'!$B$101:$B$109,'-ref_Distribution'!$G$101:$G$109)),RIGHT(BR$1,2)),"")</f>
        <v>598</v>
      </c>
      <c r="BS12" s="16" cm="1">
        <f t="array" ref="BS12">IFERROR(INDEX(_xlfn.ANCHORARRAY(_xlfn.XLOOKUP($C12,'-ref_Distribution'!$B$101:$B$109,'-ref_Distribution'!$G$101:$G$109)),RIGHT(BS$1,2)),"")</f>
        <v>594</v>
      </c>
      <c r="BT12" s="16" cm="1">
        <f t="array" ref="BT12">IFERROR(INDEX(_xlfn.ANCHORARRAY(_xlfn.XLOOKUP($C12,'-ref_Distribution'!$B$101:$B$109,'-ref_Distribution'!$G$101:$G$109)),RIGHT(BT$1,2)),"")</f>
        <v>580</v>
      </c>
      <c r="BU12" s="16" cm="1">
        <f t="array" ref="BU12">IFERROR(INDEX(_xlfn.ANCHORARRAY(_xlfn.XLOOKUP($C12,'-ref_Distribution'!$B$101:$B$109,'-ref_Distribution'!$G$101:$G$109)),RIGHT(BU$1,2)),"")</f>
        <v>558</v>
      </c>
      <c r="BV12" s="16" cm="1">
        <f t="array" ref="BV12">IFERROR(INDEX(_xlfn.ANCHORARRAY(_xlfn.XLOOKUP($C12,'-ref_Distribution'!$B$101:$B$109,'-ref_Distribution'!$G$101:$G$109)),RIGHT(BV$1,2)),"")</f>
        <v>528</v>
      </c>
      <c r="BW12" s="16" cm="1">
        <f t="array" ref="BW12">IFERROR(INDEX(_xlfn.ANCHORARRAY(_xlfn.XLOOKUP($C12,'-ref_Distribution'!$B$101:$B$109,'-ref_Distribution'!$G$101:$G$109)),RIGHT(BW$1,2)),"")</f>
        <v>492</v>
      </c>
      <c r="BX12" s="16" cm="1">
        <f t="array" ref="BX12">IFERROR(INDEX(_xlfn.ANCHORARRAY(_xlfn.XLOOKUP($C12,'-ref_Distribution'!$B$101:$B$109,'-ref_Distribution'!$G$101:$G$109)),RIGHT(BX$1,2)),"")</f>
        <v>452</v>
      </c>
      <c r="BY12" s="16" cm="1">
        <f t="array" ref="BY12">IFERROR(INDEX(_xlfn.ANCHORARRAY(_xlfn.XLOOKUP($C12,'-ref_Distribution'!$B$101:$B$109,'-ref_Distribution'!$G$101:$G$109)),RIGHT(BY$1,2)),"")</f>
        <v>408</v>
      </c>
      <c r="BZ12" s="16" cm="1">
        <f t="array" ref="BZ12">IFERROR(INDEX(_xlfn.ANCHORARRAY(_xlfn.XLOOKUP($C12,'-ref_Distribution'!$B$101:$B$109,'-ref_Distribution'!$G$101:$G$109)),RIGHT(BZ$1,2)),"")</f>
        <v>363</v>
      </c>
      <c r="CA12" s="16" cm="1">
        <f t="array" ref="CA12">IFERROR(INDEX(_xlfn.ANCHORARRAY(_xlfn.XLOOKUP($C12,'-ref_Distribution'!$B$101:$B$109,'-ref_Distribution'!$G$101:$G$109)),RIGHT(CA$1,2)),"")</f>
        <v>318</v>
      </c>
      <c r="CB12" s="16" cm="1">
        <f t="array" ref="CB12">IFERROR(INDEX(_xlfn.ANCHORARRAY(_xlfn.XLOOKUP($C12,'-ref_Distribution'!$B$101:$B$109,'-ref_Distribution'!$G$101:$G$109)),RIGHT(CB$1,2)),"")</f>
        <v>274</v>
      </c>
      <c r="CC12" s="16" cm="1">
        <f t="array" ref="CC12">IFERROR(INDEX(_xlfn.ANCHORARRAY(_xlfn.XLOOKUP($C12,'-ref_Distribution'!$B$101:$B$109,'-ref_Distribution'!$G$101:$G$109)),RIGHT(CC$1,2)),"")</f>
        <v>233</v>
      </c>
      <c r="CD12" s="16" cm="1">
        <f t="array" ref="CD12">IFERROR(INDEX(_xlfn.ANCHORARRAY(_xlfn.XLOOKUP($C12,'-ref_Distribution'!$B$101:$B$109,'-ref_Distribution'!$G$101:$G$109)),RIGHT(CD$1,2)),"")</f>
        <v>194</v>
      </c>
      <c r="CE12" s="16" cm="1">
        <f t="array" ref="CE12">IFERROR(INDEX(_xlfn.ANCHORARRAY(_xlfn.XLOOKUP($C12,'-ref_Distribution'!$B$101:$B$109,'-ref_Distribution'!$G$101:$G$109)),RIGHT(CE$1,2)),"")</f>
        <v>160</v>
      </c>
      <c r="CF12" s="16"/>
      <c r="CG12" s="16"/>
      <c r="CH12" s="16"/>
      <c r="CI12" s="16"/>
      <c r="CJ12" s="16"/>
      <c r="CK12" s="16"/>
      <c r="CL12" s="16"/>
    </row>
    <row r="13" spans="1:90" x14ac:dyDescent="0.2">
      <c r="A13" s="16">
        <v>15112</v>
      </c>
      <c r="B13" s="16" t="s">
        <v>187</v>
      </c>
      <c r="C13" s="16">
        <v>11</v>
      </c>
      <c r="D13" s="16" cm="1">
        <f t="array" ref="D13">IFERROR(INDEX(_xlfn.ANCHORARRAY(_xlfn.XLOOKUP($C13,'-ref_Distribution'!$B$101:$B$109,'-ref_Distribution'!$G$101:$G$109)),RIGHT(D$1,2)),"")</f>
        <v>452</v>
      </c>
      <c r="E13" s="16" cm="1">
        <f t="array" ref="E13">IFERROR(INDEX(_xlfn.ANCHORARRAY(_xlfn.XLOOKUP($C13,'-ref_Distribution'!$B$101:$B$109,'-ref_Distribution'!$G$101:$G$109)),RIGHT(E$1,2)),"")</f>
        <v>492</v>
      </c>
      <c r="F13" s="16" cm="1">
        <f t="array" ref="F13">IFERROR(INDEX(_xlfn.ANCHORARRAY(_xlfn.XLOOKUP($C13,'-ref_Distribution'!$B$101:$B$109,'-ref_Distribution'!$G$101:$G$109)),RIGHT(F$1,2)),"")</f>
        <v>528</v>
      </c>
      <c r="G13" s="16" cm="1">
        <f t="array" ref="G13">IFERROR(INDEX(_xlfn.ANCHORARRAY(_xlfn.XLOOKUP($C13,'-ref_Distribution'!$B$101:$B$109,'-ref_Distribution'!$G$101:$G$109)),RIGHT(G$1,2)),"")</f>
        <v>558</v>
      </c>
      <c r="H13" s="16" cm="1">
        <f t="array" ref="H13">IFERROR(INDEX(_xlfn.ANCHORARRAY(_xlfn.XLOOKUP($C13,'-ref_Distribution'!$B$101:$B$109,'-ref_Distribution'!$G$101:$G$109)),RIGHT(H$1,2)),"")</f>
        <v>580</v>
      </c>
      <c r="I13" s="16" cm="1">
        <f t="array" ref="I13">IFERROR(INDEX(_xlfn.ANCHORARRAY(_xlfn.XLOOKUP($C13,'-ref_Distribution'!$B$101:$B$109,'-ref_Distribution'!$G$101:$G$109)),RIGHT(I$1,2)),"")</f>
        <v>594</v>
      </c>
      <c r="J13" s="16" cm="1">
        <f t="array" ref="J13">IFERROR(INDEX(_xlfn.ANCHORARRAY(_xlfn.XLOOKUP($C13,'-ref_Distribution'!$B$101:$B$109,'-ref_Distribution'!$G$101:$G$109)),RIGHT(J$1,2)),"")</f>
        <v>598</v>
      </c>
      <c r="K13" s="16" cm="1">
        <f t="array" ref="K13">IFERROR(INDEX(_xlfn.ANCHORARRAY(_xlfn.XLOOKUP($C13,'-ref_Distribution'!$B$101:$B$109,'-ref_Distribution'!$G$101:$G$109)),RIGHT(K$1,2)),"")</f>
        <v>594</v>
      </c>
      <c r="L13" s="16" cm="1">
        <f t="array" ref="L13">IFERROR(INDEX(_xlfn.ANCHORARRAY(_xlfn.XLOOKUP($C13,'-ref_Distribution'!$B$101:$B$109,'-ref_Distribution'!$G$101:$G$109)),RIGHT(L$1,2)),"")</f>
        <v>580</v>
      </c>
      <c r="M13" s="16" cm="1">
        <f t="array" ref="M13">IFERROR(INDEX(_xlfn.ANCHORARRAY(_xlfn.XLOOKUP($C13,'-ref_Distribution'!$B$101:$B$109,'-ref_Distribution'!$G$101:$G$109)),RIGHT(M$1,2)),"")</f>
        <v>558</v>
      </c>
      <c r="N13" s="16" cm="1">
        <f t="array" ref="N13">IFERROR(INDEX(_xlfn.ANCHORARRAY(_xlfn.XLOOKUP($C13,'-ref_Distribution'!$B$101:$B$109,'-ref_Distribution'!$G$101:$G$109)),RIGHT(N$1,2)),"")</f>
        <v>528</v>
      </c>
      <c r="O13" s="16" cm="1">
        <f t="array" ref="O13">IFERROR(INDEX(_xlfn.ANCHORARRAY(_xlfn.XLOOKUP($C13,'-ref_Distribution'!$B$101:$B$109,'-ref_Distribution'!$G$101:$G$109)),RIGHT(O$1,2)),"")</f>
        <v>492</v>
      </c>
      <c r="P13" s="16" cm="1">
        <f t="array" ref="P13">IFERROR(INDEX(_xlfn.ANCHORARRAY(_xlfn.XLOOKUP($C13,'-ref_Distribution'!$B$101:$B$109,'-ref_Distribution'!$G$101:$G$109)),RIGHT(P$1,2)),"")</f>
        <v>452</v>
      </c>
      <c r="Q13" s="16" cm="1">
        <f t="array" ref="Q13">IFERROR(INDEX(_xlfn.ANCHORARRAY(_xlfn.XLOOKUP($C13,'-ref_Distribution'!$B$101:$B$109,'-ref_Distribution'!$G$101:$G$109)),RIGHT(Q$1,2)),"")</f>
        <v>408</v>
      </c>
      <c r="R13" s="16" cm="1">
        <f t="array" ref="R13">IFERROR(INDEX(_xlfn.ANCHORARRAY(_xlfn.XLOOKUP($C13,'-ref_Distribution'!$B$101:$B$109,'-ref_Distribution'!$G$101:$G$109)),RIGHT(R$1,2)),"")</f>
        <v>363</v>
      </c>
      <c r="S13" s="16" cm="1">
        <f t="array" ref="S13">IFERROR(INDEX(_xlfn.ANCHORARRAY(_xlfn.XLOOKUP($C13,'-ref_Distribution'!$B$101:$B$109,'-ref_Distribution'!$G$101:$G$109)),RIGHT(S$1,2)),"")</f>
        <v>318</v>
      </c>
      <c r="T13" s="16" cm="1">
        <f t="array" ref="T13">IFERROR(INDEX(_xlfn.ANCHORARRAY(_xlfn.XLOOKUP($C13,'-ref_Distribution'!$B$101:$B$109,'-ref_Distribution'!$G$101:$G$109)),RIGHT(T$1,2)),"")</f>
        <v>274</v>
      </c>
      <c r="U13" s="16" cm="1">
        <f t="array" ref="U13">IFERROR(INDEX(_xlfn.ANCHORARRAY(_xlfn.XLOOKUP($C13,'-ref_Distribution'!$B$101:$B$109,'-ref_Distribution'!$G$101:$G$109)),RIGHT(U$1,2)),"")</f>
        <v>233</v>
      </c>
      <c r="V13" s="16" cm="1">
        <f t="array" ref="V13">IFERROR(INDEX(_xlfn.ANCHORARRAY(_xlfn.XLOOKUP($C13,'-ref_Distribution'!$B$101:$B$109,'-ref_Distribution'!$G$101:$G$109)),RIGHT(V$1,2)),"")</f>
        <v>194</v>
      </c>
      <c r="W13" s="16" cm="1">
        <f t="array" ref="W13">IFERROR(INDEX(_xlfn.ANCHORARRAY(_xlfn.XLOOKUP($C13,'-ref_Distribution'!$B$101:$B$109,'-ref_Distribution'!$G$101:$G$109)),RIGHT(W$1,2)),"")</f>
        <v>160</v>
      </c>
      <c r="X13" s="16" cm="1">
        <f t="array" ref="X13">IFERROR(INDEX(_xlfn.ANCHORARRAY(_xlfn.XLOOKUP($C13,'-ref_Distribution'!$B$101:$B$109,'-ref_Distribution'!$G$101:$G$109)),RIGHT(X$1,2)),"")</f>
        <v>452</v>
      </c>
      <c r="Y13" s="16" cm="1">
        <f t="array" ref="Y13">IFERROR(INDEX(_xlfn.ANCHORARRAY(_xlfn.XLOOKUP($C13,'-ref_Distribution'!$B$101:$B$109,'-ref_Distribution'!$G$101:$G$109)),RIGHT(Y$1,2)),"")</f>
        <v>492</v>
      </c>
      <c r="Z13" s="16" cm="1">
        <f t="array" ref="Z13">IFERROR(INDEX(_xlfn.ANCHORARRAY(_xlfn.XLOOKUP($C13,'-ref_Distribution'!$B$101:$B$109,'-ref_Distribution'!$G$101:$G$109)),RIGHT(Z$1,2)),"")</f>
        <v>528</v>
      </c>
      <c r="AA13" s="16" cm="1">
        <f t="array" ref="AA13">IFERROR(INDEX(_xlfn.ANCHORARRAY(_xlfn.XLOOKUP($C13,'-ref_Distribution'!$B$101:$B$109,'-ref_Distribution'!$G$101:$G$109)),RIGHT(AA$1,2)),"")</f>
        <v>558</v>
      </c>
      <c r="AB13" s="16" cm="1">
        <f t="array" ref="AB13">IFERROR(INDEX(_xlfn.ANCHORARRAY(_xlfn.XLOOKUP($C13,'-ref_Distribution'!$B$101:$B$109,'-ref_Distribution'!$G$101:$G$109)),RIGHT(AB$1,2)),"")</f>
        <v>580</v>
      </c>
      <c r="AC13" s="16" cm="1">
        <f t="array" ref="AC13">IFERROR(INDEX(_xlfn.ANCHORARRAY(_xlfn.XLOOKUP($C13,'-ref_Distribution'!$B$101:$B$109,'-ref_Distribution'!$G$101:$G$109)),RIGHT(AC$1,2)),"")</f>
        <v>594</v>
      </c>
      <c r="AD13" s="16" cm="1">
        <f t="array" ref="AD13">IFERROR(INDEX(_xlfn.ANCHORARRAY(_xlfn.XLOOKUP($C13,'-ref_Distribution'!$B$101:$B$109,'-ref_Distribution'!$G$101:$G$109)),RIGHT(AD$1,2)),"")</f>
        <v>598</v>
      </c>
      <c r="AE13" s="16" cm="1">
        <f t="array" ref="AE13">IFERROR(INDEX(_xlfn.ANCHORARRAY(_xlfn.XLOOKUP($C13,'-ref_Distribution'!$B$101:$B$109,'-ref_Distribution'!$G$101:$G$109)),RIGHT(AE$1,2)),"")</f>
        <v>594</v>
      </c>
      <c r="AF13" s="16" cm="1">
        <f t="array" ref="AF13">IFERROR(INDEX(_xlfn.ANCHORARRAY(_xlfn.XLOOKUP($C13,'-ref_Distribution'!$B$101:$B$109,'-ref_Distribution'!$G$101:$G$109)),RIGHT(AF$1,2)),"")</f>
        <v>580</v>
      </c>
      <c r="AG13" s="16" cm="1">
        <f t="array" ref="AG13">IFERROR(INDEX(_xlfn.ANCHORARRAY(_xlfn.XLOOKUP($C13,'-ref_Distribution'!$B$101:$B$109,'-ref_Distribution'!$G$101:$G$109)),RIGHT(AG$1,2)),"")</f>
        <v>558</v>
      </c>
      <c r="AH13" s="16" cm="1">
        <f t="array" ref="AH13">IFERROR(INDEX(_xlfn.ANCHORARRAY(_xlfn.XLOOKUP($C13,'-ref_Distribution'!$B$101:$B$109,'-ref_Distribution'!$G$101:$G$109)),RIGHT(AH$1,2)),"")</f>
        <v>528</v>
      </c>
      <c r="AI13" s="16" cm="1">
        <f t="array" ref="AI13">IFERROR(INDEX(_xlfn.ANCHORARRAY(_xlfn.XLOOKUP($C13,'-ref_Distribution'!$B$101:$B$109,'-ref_Distribution'!$G$101:$G$109)),RIGHT(AI$1,2)),"")</f>
        <v>492</v>
      </c>
      <c r="AJ13" s="16" cm="1">
        <f t="array" ref="AJ13">IFERROR(INDEX(_xlfn.ANCHORARRAY(_xlfn.XLOOKUP($C13,'-ref_Distribution'!$B$101:$B$109,'-ref_Distribution'!$G$101:$G$109)),RIGHT(AJ$1,2)),"")</f>
        <v>452</v>
      </c>
      <c r="AK13" s="16" cm="1">
        <f t="array" ref="AK13">IFERROR(INDEX(_xlfn.ANCHORARRAY(_xlfn.XLOOKUP($C13,'-ref_Distribution'!$B$101:$B$109,'-ref_Distribution'!$G$101:$G$109)),RIGHT(AK$1,2)),"")</f>
        <v>408</v>
      </c>
      <c r="AL13" s="16" cm="1">
        <f t="array" ref="AL13">IFERROR(INDEX(_xlfn.ANCHORARRAY(_xlfn.XLOOKUP($C13,'-ref_Distribution'!$B$101:$B$109,'-ref_Distribution'!$G$101:$G$109)),RIGHT(AL$1,2)),"")</f>
        <v>363</v>
      </c>
      <c r="AM13" s="16" cm="1">
        <f t="array" ref="AM13">IFERROR(INDEX(_xlfn.ANCHORARRAY(_xlfn.XLOOKUP($C13,'-ref_Distribution'!$B$101:$B$109,'-ref_Distribution'!$G$101:$G$109)),RIGHT(AM$1,2)),"")</f>
        <v>318</v>
      </c>
      <c r="AN13" s="16" cm="1">
        <f t="array" ref="AN13">IFERROR(INDEX(_xlfn.ANCHORARRAY(_xlfn.XLOOKUP($C13,'-ref_Distribution'!$B$101:$B$109,'-ref_Distribution'!$G$101:$G$109)),RIGHT(AN$1,2)),"")</f>
        <v>274</v>
      </c>
      <c r="AO13" s="16" cm="1">
        <f t="array" ref="AO13">IFERROR(INDEX(_xlfn.ANCHORARRAY(_xlfn.XLOOKUP($C13,'-ref_Distribution'!$B$101:$B$109,'-ref_Distribution'!$G$101:$G$109)),RIGHT(AO$1,2)),"")</f>
        <v>233</v>
      </c>
      <c r="AP13" s="16" cm="1">
        <f t="array" ref="AP13">IFERROR(INDEX(_xlfn.ANCHORARRAY(_xlfn.XLOOKUP($C13,'-ref_Distribution'!$B$101:$B$109,'-ref_Distribution'!$G$101:$G$109)),RIGHT(AP$1,2)),"")</f>
        <v>194</v>
      </c>
      <c r="AQ13" s="16" cm="1">
        <f t="array" ref="AQ13">IFERROR(INDEX(_xlfn.ANCHORARRAY(_xlfn.XLOOKUP($C13,'-ref_Distribution'!$B$101:$B$109,'-ref_Distribution'!$G$101:$G$109)),RIGHT(AQ$1,2)),"")</f>
        <v>160</v>
      </c>
      <c r="AR13" s="16" cm="1">
        <f t="array" ref="AR13">IFERROR(INDEX(_xlfn.ANCHORARRAY(_xlfn.XLOOKUP($C13,'-ref_Distribution'!$B$101:$B$109,'-ref_Distribution'!$G$101:$G$109)),RIGHT(AR$1,2)),"")</f>
        <v>452</v>
      </c>
      <c r="AS13" s="16" cm="1">
        <f t="array" ref="AS13">IFERROR(INDEX(_xlfn.ANCHORARRAY(_xlfn.XLOOKUP($C13,'-ref_Distribution'!$B$101:$B$109,'-ref_Distribution'!$G$101:$G$109)),RIGHT(AS$1,2)),"")</f>
        <v>492</v>
      </c>
      <c r="AT13" s="16" cm="1">
        <f t="array" ref="AT13">IFERROR(INDEX(_xlfn.ANCHORARRAY(_xlfn.XLOOKUP($C13,'-ref_Distribution'!$B$101:$B$109,'-ref_Distribution'!$G$101:$G$109)),RIGHT(AT$1,2)),"")</f>
        <v>528</v>
      </c>
      <c r="AU13" s="16" cm="1">
        <f t="array" ref="AU13">IFERROR(INDEX(_xlfn.ANCHORARRAY(_xlfn.XLOOKUP($C13,'-ref_Distribution'!$B$101:$B$109,'-ref_Distribution'!$G$101:$G$109)),RIGHT(AU$1,2)),"")</f>
        <v>558</v>
      </c>
      <c r="AV13" s="16" cm="1">
        <f t="array" ref="AV13">IFERROR(INDEX(_xlfn.ANCHORARRAY(_xlfn.XLOOKUP($C13,'-ref_Distribution'!$B$101:$B$109,'-ref_Distribution'!$G$101:$G$109)),RIGHT(AV$1,2)),"")</f>
        <v>580</v>
      </c>
      <c r="AW13" s="16" cm="1">
        <f t="array" ref="AW13">IFERROR(INDEX(_xlfn.ANCHORARRAY(_xlfn.XLOOKUP($C13,'-ref_Distribution'!$B$101:$B$109,'-ref_Distribution'!$G$101:$G$109)),RIGHT(AW$1,2)),"")</f>
        <v>594</v>
      </c>
      <c r="AX13" s="16" cm="1">
        <f t="array" ref="AX13">IFERROR(INDEX(_xlfn.ANCHORARRAY(_xlfn.XLOOKUP($C13,'-ref_Distribution'!$B$101:$B$109,'-ref_Distribution'!$G$101:$G$109)),RIGHT(AX$1,2)),"")</f>
        <v>598</v>
      </c>
      <c r="AY13" s="16" cm="1">
        <f t="array" ref="AY13">IFERROR(INDEX(_xlfn.ANCHORARRAY(_xlfn.XLOOKUP($C13,'-ref_Distribution'!$B$101:$B$109,'-ref_Distribution'!$G$101:$G$109)),RIGHT(AY$1,2)),"")</f>
        <v>594</v>
      </c>
      <c r="AZ13" s="16" cm="1">
        <f t="array" ref="AZ13">IFERROR(INDEX(_xlfn.ANCHORARRAY(_xlfn.XLOOKUP($C13,'-ref_Distribution'!$B$101:$B$109,'-ref_Distribution'!$G$101:$G$109)),RIGHT(AZ$1,2)),"")</f>
        <v>580</v>
      </c>
      <c r="BA13" s="16" cm="1">
        <f t="array" ref="BA13">IFERROR(INDEX(_xlfn.ANCHORARRAY(_xlfn.XLOOKUP($C13,'-ref_Distribution'!$B$101:$B$109,'-ref_Distribution'!$G$101:$G$109)),RIGHT(BA$1,2)),"")</f>
        <v>558</v>
      </c>
      <c r="BB13" s="16" cm="1">
        <f t="array" ref="BB13">IFERROR(INDEX(_xlfn.ANCHORARRAY(_xlfn.XLOOKUP($C13,'-ref_Distribution'!$B$101:$B$109,'-ref_Distribution'!$G$101:$G$109)),RIGHT(BB$1,2)),"")</f>
        <v>528</v>
      </c>
      <c r="BC13" s="16" cm="1">
        <f t="array" ref="BC13">IFERROR(INDEX(_xlfn.ANCHORARRAY(_xlfn.XLOOKUP($C13,'-ref_Distribution'!$B$101:$B$109,'-ref_Distribution'!$G$101:$G$109)),RIGHT(BC$1,2)),"")</f>
        <v>492</v>
      </c>
      <c r="BD13" s="16" cm="1">
        <f t="array" ref="BD13">IFERROR(INDEX(_xlfn.ANCHORARRAY(_xlfn.XLOOKUP($C13,'-ref_Distribution'!$B$101:$B$109,'-ref_Distribution'!$G$101:$G$109)),RIGHT(BD$1,2)),"")</f>
        <v>452</v>
      </c>
      <c r="BE13" s="16" cm="1">
        <f t="array" ref="BE13">IFERROR(INDEX(_xlfn.ANCHORARRAY(_xlfn.XLOOKUP($C13,'-ref_Distribution'!$B$101:$B$109,'-ref_Distribution'!$G$101:$G$109)),RIGHT(BE$1,2)),"")</f>
        <v>408</v>
      </c>
      <c r="BF13" s="16" cm="1">
        <f t="array" ref="BF13">IFERROR(INDEX(_xlfn.ANCHORARRAY(_xlfn.XLOOKUP($C13,'-ref_Distribution'!$B$101:$B$109,'-ref_Distribution'!$G$101:$G$109)),RIGHT(BF$1,2)),"")</f>
        <v>363</v>
      </c>
      <c r="BG13" s="16" cm="1">
        <f t="array" ref="BG13">IFERROR(INDEX(_xlfn.ANCHORARRAY(_xlfn.XLOOKUP($C13,'-ref_Distribution'!$B$101:$B$109,'-ref_Distribution'!$G$101:$G$109)),RIGHT(BG$1,2)),"")</f>
        <v>318</v>
      </c>
      <c r="BH13" s="16" cm="1">
        <f t="array" ref="BH13">IFERROR(INDEX(_xlfn.ANCHORARRAY(_xlfn.XLOOKUP($C13,'-ref_Distribution'!$B$101:$B$109,'-ref_Distribution'!$G$101:$G$109)),RIGHT(BH$1,2)),"")</f>
        <v>274</v>
      </c>
      <c r="BI13" s="16" cm="1">
        <f t="array" ref="BI13">IFERROR(INDEX(_xlfn.ANCHORARRAY(_xlfn.XLOOKUP($C13,'-ref_Distribution'!$B$101:$B$109,'-ref_Distribution'!$G$101:$G$109)),RIGHT(BI$1,2)),"")</f>
        <v>233</v>
      </c>
      <c r="BJ13" s="16" cm="1">
        <f t="array" ref="BJ13">IFERROR(INDEX(_xlfn.ANCHORARRAY(_xlfn.XLOOKUP($C13,'-ref_Distribution'!$B$101:$B$109,'-ref_Distribution'!$G$101:$G$109)),RIGHT(BJ$1,2)),"")</f>
        <v>194</v>
      </c>
      <c r="BK13" s="16" cm="1">
        <f t="array" ref="BK13">IFERROR(INDEX(_xlfn.ANCHORARRAY(_xlfn.XLOOKUP($C13,'-ref_Distribution'!$B$101:$B$109,'-ref_Distribution'!$G$101:$G$109)),RIGHT(BK$1,2)),"")</f>
        <v>160</v>
      </c>
      <c r="BL13" s="16" cm="1">
        <f t="array" ref="BL13">IFERROR(INDEX(_xlfn.ANCHORARRAY(_xlfn.XLOOKUP($C13,'-ref_Distribution'!$B$101:$B$109,'-ref_Distribution'!$G$101:$G$109)),RIGHT(BL$1,2)),"")</f>
        <v>452</v>
      </c>
      <c r="BM13" s="16" cm="1">
        <f t="array" ref="BM13">IFERROR(INDEX(_xlfn.ANCHORARRAY(_xlfn.XLOOKUP($C13,'-ref_Distribution'!$B$101:$B$109,'-ref_Distribution'!$G$101:$G$109)),RIGHT(BM$1,2)),"")</f>
        <v>492</v>
      </c>
      <c r="BN13" s="16" cm="1">
        <f t="array" ref="BN13">IFERROR(INDEX(_xlfn.ANCHORARRAY(_xlfn.XLOOKUP($C13,'-ref_Distribution'!$B$101:$B$109,'-ref_Distribution'!$G$101:$G$109)),RIGHT(BN$1,2)),"")</f>
        <v>528</v>
      </c>
      <c r="BO13" s="16" cm="1">
        <f t="array" ref="BO13">IFERROR(INDEX(_xlfn.ANCHORARRAY(_xlfn.XLOOKUP($C13,'-ref_Distribution'!$B$101:$B$109,'-ref_Distribution'!$G$101:$G$109)),RIGHT(BO$1,2)),"")</f>
        <v>558</v>
      </c>
      <c r="BP13" s="16" cm="1">
        <f t="array" ref="BP13">IFERROR(INDEX(_xlfn.ANCHORARRAY(_xlfn.XLOOKUP($C13,'-ref_Distribution'!$B$101:$B$109,'-ref_Distribution'!$G$101:$G$109)),RIGHT(BP$1,2)),"")</f>
        <v>580</v>
      </c>
      <c r="BQ13" s="16" cm="1">
        <f t="array" ref="BQ13">IFERROR(INDEX(_xlfn.ANCHORARRAY(_xlfn.XLOOKUP($C13,'-ref_Distribution'!$B$101:$B$109,'-ref_Distribution'!$G$101:$G$109)),RIGHT(BQ$1,2)),"")</f>
        <v>594</v>
      </c>
      <c r="BR13" s="16" cm="1">
        <f t="array" ref="BR13">IFERROR(INDEX(_xlfn.ANCHORARRAY(_xlfn.XLOOKUP($C13,'-ref_Distribution'!$B$101:$B$109,'-ref_Distribution'!$G$101:$G$109)),RIGHT(BR$1,2)),"")</f>
        <v>598</v>
      </c>
      <c r="BS13" s="16" cm="1">
        <f t="array" ref="BS13">IFERROR(INDEX(_xlfn.ANCHORARRAY(_xlfn.XLOOKUP($C13,'-ref_Distribution'!$B$101:$B$109,'-ref_Distribution'!$G$101:$G$109)),RIGHT(BS$1,2)),"")</f>
        <v>594</v>
      </c>
      <c r="BT13" s="16" cm="1">
        <f t="array" ref="BT13">IFERROR(INDEX(_xlfn.ANCHORARRAY(_xlfn.XLOOKUP($C13,'-ref_Distribution'!$B$101:$B$109,'-ref_Distribution'!$G$101:$G$109)),RIGHT(BT$1,2)),"")</f>
        <v>580</v>
      </c>
      <c r="BU13" s="16" cm="1">
        <f t="array" ref="BU13">IFERROR(INDEX(_xlfn.ANCHORARRAY(_xlfn.XLOOKUP($C13,'-ref_Distribution'!$B$101:$B$109,'-ref_Distribution'!$G$101:$G$109)),RIGHT(BU$1,2)),"")</f>
        <v>558</v>
      </c>
      <c r="BV13" s="16" cm="1">
        <f t="array" ref="BV13">IFERROR(INDEX(_xlfn.ANCHORARRAY(_xlfn.XLOOKUP($C13,'-ref_Distribution'!$B$101:$B$109,'-ref_Distribution'!$G$101:$G$109)),RIGHT(BV$1,2)),"")</f>
        <v>528</v>
      </c>
      <c r="BW13" s="16" cm="1">
        <f t="array" ref="BW13">IFERROR(INDEX(_xlfn.ANCHORARRAY(_xlfn.XLOOKUP($C13,'-ref_Distribution'!$B$101:$B$109,'-ref_Distribution'!$G$101:$G$109)),RIGHT(BW$1,2)),"")</f>
        <v>492</v>
      </c>
      <c r="BX13" s="16" cm="1">
        <f t="array" ref="BX13">IFERROR(INDEX(_xlfn.ANCHORARRAY(_xlfn.XLOOKUP($C13,'-ref_Distribution'!$B$101:$B$109,'-ref_Distribution'!$G$101:$G$109)),RIGHT(BX$1,2)),"")</f>
        <v>452</v>
      </c>
      <c r="BY13" s="16" cm="1">
        <f t="array" ref="BY13">IFERROR(INDEX(_xlfn.ANCHORARRAY(_xlfn.XLOOKUP($C13,'-ref_Distribution'!$B$101:$B$109,'-ref_Distribution'!$G$101:$G$109)),RIGHT(BY$1,2)),"")</f>
        <v>408</v>
      </c>
      <c r="BZ13" s="16" cm="1">
        <f t="array" ref="BZ13">IFERROR(INDEX(_xlfn.ANCHORARRAY(_xlfn.XLOOKUP($C13,'-ref_Distribution'!$B$101:$B$109,'-ref_Distribution'!$G$101:$G$109)),RIGHT(BZ$1,2)),"")</f>
        <v>363</v>
      </c>
      <c r="CA13" s="16" cm="1">
        <f t="array" ref="CA13">IFERROR(INDEX(_xlfn.ANCHORARRAY(_xlfn.XLOOKUP($C13,'-ref_Distribution'!$B$101:$B$109,'-ref_Distribution'!$G$101:$G$109)),RIGHT(CA$1,2)),"")</f>
        <v>318</v>
      </c>
      <c r="CB13" s="16" cm="1">
        <f t="array" ref="CB13">IFERROR(INDEX(_xlfn.ANCHORARRAY(_xlfn.XLOOKUP($C13,'-ref_Distribution'!$B$101:$B$109,'-ref_Distribution'!$G$101:$G$109)),RIGHT(CB$1,2)),"")</f>
        <v>274</v>
      </c>
      <c r="CC13" s="16" cm="1">
        <f t="array" ref="CC13">IFERROR(INDEX(_xlfn.ANCHORARRAY(_xlfn.XLOOKUP($C13,'-ref_Distribution'!$B$101:$B$109,'-ref_Distribution'!$G$101:$G$109)),RIGHT(CC$1,2)),"")</f>
        <v>233</v>
      </c>
      <c r="CD13" s="16" cm="1">
        <f t="array" ref="CD13">IFERROR(INDEX(_xlfn.ANCHORARRAY(_xlfn.XLOOKUP($C13,'-ref_Distribution'!$B$101:$B$109,'-ref_Distribution'!$G$101:$G$109)),RIGHT(CD$1,2)),"")</f>
        <v>194</v>
      </c>
      <c r="CE13" s="16" cm="1">
        <f t="array" ref="CE13">IFERROR(INDEX(_xlfn.ANCHORARRAY(_xlfn.XLOOKUP($C13,'-ref_Distribution'!$B$101:$B$109,'-ref_Distribution'!$G$101:$G$109)),RIGHT(CE$1,2)),"")</f>
        <v>160</v>
      </c>
      <c r="CF13" s="16"/>
      <c r="CG13" s="16"/>
      <c r="CH13" s="16"/>
      <c r="CI13" s="16"/>
      <c r="CJ13" s="16"/>
      <c r="CK13" s="16"/>
      <c r="CL13" s="16"/>
    </row>
    <row r="14" spans="1:90" x14ac:dyDescent="0.2">
      <c r="A14" s="16">
        <v>15113</v>
      </c>
      <c r="B14" s="16" t="s">
        <v>188</v>
      </c>
      <c r="C14" s="16">
        <v>11</v>
      </c>
      <c r="D14" s="16" cm="1">
        <f t="array" ref="D14">IFERROR(INDEX(_xlfn.ANCHORARRAY(_xlfn.XLOOKUP($C14,'-ref_Distribution'!$B$101:$B$109,'-ref_Distribution'!$G$101:$G$109)),RIGHT(D$1,2)),"")</f>
        <v>452</v>
      </c>
      <c r="E14" s="16" cm="1">
        <f t="array" ref="E14">IFERROR(INDEX(_xlfn.ANCHORARRAY(_xlfn.XLOOKUP($C14,'-ref_Distribution'!$B$101:$B$109,'-ref_Distribution'!$G$101:$G$109)),RIGHT(E$1,2)),"")</f>
        <v>492</v>
      </c>
      <c r="F14" s="16" cm="1">
        <f t="array" ref="F14">IFERROR(INDEX(_xlfn.ANCHORARRAY(_xlfn.XLOOKUP($C14,'-ref_Distribution'!$B$101:$B$109,'-ref_Distribution'!$G$101:$G$109)),RIGHT(F$1,2)),"")</f>
        <v>528</v>
      </c>
      <c r="G14" s="16" cm="1">
        <f t="array" ref="G14">IFERROR(INDEX(_xlfn.ANCHORARRAY(_xlfn.XLOOKUP($C14,'-ref_Distribution'!$B$101:$B$109,'-ref_Distribution'!$G$101:$G$109)),RIGHT(G$1,2)),"")</f>
        <v>558</v>
      </c>
      <c r="H14" s="16" cm="1">
        <f t="array" ref="H14">IFERROR(INDEX(_xlfn.ANCHORARRAY(_xlfn.XLOOKUP($C14,'-ref_Distribution'!$B$101:$B$109,'-ref_Distribution'!$G$101:$G$109)),RIGHT(H$1,2)),"")</f>
        <v>580</v>
      </c>
      <c r="I14" s="16" cm="1">
        <f t="array" ref="I14">IFERROR(INDEX(_xlfn.ANCHORARRAY(_xlfn.XLOOKUP($C14,'-ref_Distribution'!$B$101:$B$109,'-ref_Distribution'!$G$101:$G$109)),RIGHT(I$1,2)),"")</f>
        <v>594</v>
      </c>
      <c r="J14" s="16" cm="1">
        <f t="array" ref="J14">IFERROR(INDEX(_xlfn.ANCHORARRAY(_xlfn.XLOOKUP($C14,'-ref_Distribution'!$B$101:$B$109,'-ref_Distribution'!$G$101:$G$109)),RIGHT(J$1,2)),"")</f>
        <v>598</v>
      </c>
      <c r="K14" s="16" cm="1">
        <f t="array" ref="K14">IFERROR(INDEX(_xlfn.ANCHORARRAY(_xlfn.XLOOKUP($C14,'-ref_Distribution'!$B$101:$B$109,'-ref_Distribution'!$G$101:$G$109)),RIGHT(K$1,2)),"")</f>
        <v>594</v>
      </c>
      <c r="L14" s="16" cm="1">
        <f t="array" ref="L14">IFERROR(INDEX(_xlfn.ANCHORARRAY(_xlfn.XLOOKUP($C14,'-ref_Distribution'!$B$101:$B$109,'-ref_Distribution'!$G$101:$G$109)),RIGHT(L$1,2)),"")</f>
        <v>580</v>
      </c>
      <c r="M14" s="16" cm="1">
        <f t="array" ref="M14">IFERROR(INDEX(_xlfn.ANCHORARRAY(_xlfn.XLOOKUP($C14,'-ref_Distribution'!$B$101:$B$109,'-ref_Distribution'!$G$101:$G$109)),RIGHT(M$1,2)),"")</f>
        <v>558</v>
      </c>
      <c r="N14" s="16" cm="1">
        <f t="array" ref="N14">IFERROR(INDEX(_xlfn.ANCHORARRAY(_xlfn.XLOOKUP($C14,'-ref_Distribution'!$B$101:$B$109,'-ref_Distribution'!$G$101:$G$109)),RIGHT(N$1,2)),"")</f>
        <v>528</v>
      </c>
      <c r="O14" s="16" cm="1">
        <f t="array" ref="O14">IFERROR(INDEX(_xlfn.ANCHORARRAY(_xlfn.XLOOKUP($C14,'-ref_Distribution'!$B$101:$B$109,'-ref_Distribution'!$G$101:$G$109)),RIGHT(O$1,2)),"")</f>
        <v>492</v>
      </c>
      <c r="P14" s="16" cm="1">
        <f t="array" ref="P14">IFERROR(INDEX(_xlfn.ANCHORARRAY(_xlfn.XLOOKUP($C14,'-ref_Distribution'!$B$101:$B$109,'-ref_Distribution'!$G$101:$G$109)),RIGHT(P$1,2)),"")</f>
        <v>452</v>
      </c>
      <c r="Q14" s="16" cm="1">
        <f t="array" ref="Q14">IFERROR(INDEX(_xlfn.ANCHORARRAY(_xlfn.XLOOKUP($C14,'-ref_Distribution'!$B$101:$B$109,'-ref_Distribution'!$G$101:$G$109)),RIGHT(Q$1,2)),"")</f>
        <v>408</v>
      </c>
      <c r="R14" s="16" cm="1">
        <f t="array" ref="R14">IFERROR(INDEX(_xlfn.ANCHORARRAY(_xlfn.XLOOKUP($C14,'-ref_Distribution'!$B$101:$B$109,'-ref_Distribution'!$G$101:$G$109)),RIGHT(R$1,2)),"")</f>
        <v>363</v>
      </c>
      <c r="S14" s="16" cm="1">
        <f t="array" ref="S14">IFERROR(INDEX(_xlfn.ANCHORARRAY(_xlfn.XLOOKUP($C14,'-ref_Distribution'!$B$101:$B$109,'-ref_Distribution'!$G$101:$G$109)),RIGHT(S$1,2)),"")</f>
        <v>318</v>
      </c>
      <c r="T14" s="16" cm="1">
        <f t="array" ref="T14">IFERROR(INDEX(_xlfn.ANCHORARRAY(_xlfn.XLOOKUP($C14,'-ref_Distribution'!$B$101:$B$109,'-ref_Distribution'!$G$101:$G$109)),RIGHT(T$1,2)),"")</f>
        <v>274</v>
      </c>
      <c r="U14" s="16" cm="1">
        <f t="array" ref="U14">IFERROR(INDEX(_xlfn.ANCHORARRAY(_xlfn.XLOOKUP($C14,'-ref_Distribution'!$B$101:$B$109,'-ref_Distribution'!$G$101:$G$109)),RIGHT(U$1,2)),"")</f>
        <v>233</v>
      </c>
      <c r="V14" s="16" cm="1">
        <f t="array" ref="V14">IFERROR(INDEX(_xlfn.ANCHORARRAY(_xlfn.XLOOKUP($C14,'-ref_Distribution'!$B$101:$B$109,'-ref_Distribution'!$G$101:$G$109)),RIGHT(V$1,2)),"")</f>
        <v>194</v>
      </c>
      <c r="W14" s="16" cm="1">
        <f t="array" ref="W14">IFERROR(INDEX(_xlfn.ANCHORARRAY(_xlfn.XLOOKUP($C14,'-ref_Distribution'!$B$101:$B$109,'-ref_Distribution'!$G$101:$G$109)),RIGHT(W$1,2)),"")</f>
        <v>160</v>
      </c>
      <c r="X14" s="16" cm="1">
        <f t="array" ref="X14">IFERROR(INDEX(_xlfn.ANCHORARRAY(_xlfn.XLOOKUP($C14,'-ref_Distribution'!$B$101:$B$109,'-ref_Distribution'!$G$101:$G$109)),RIGHT(X$1,2)),"")</f>
        <v>452</v>
      </c>
      <c r="Y14" s="16" cm="1">
        <f t="array" ref="Y14">IFERROR(INDEX(_xlfn.ANCHORARRAY(_xlfn.XLOOKUP($C14,'-ref_Distribution'!$B$101:$B$109,'-ref_Distribution'!$G$101:$G$109)),RIGHT(Y$1,2)),"")</f>
        <v>492</v>
      </c>
      <c r="Z14" s="16" cm="1">
        <f t="array" ref="Z14">IFERROR(INDEX(_xlfn.ANCHORARRAY(_xlfn.XLOOKUP($C14,'-ref_Distribution'!$B$101:$B$109,'-ref_Distribution'!$G$101:$G$109)),RIGHT(Z$1,2)),"")</f>
        <v>528</v>
      </c>
      <c r="AA14" s="16" cm="1">
        <f t="array" ref="AA14">IFERROR(INDEX(_xlfn.ANCHORARRAY(_xlfn.XLOOKUP($C14,'-ref_Distribution'!$B$101:$B$109,'-ref_Distribution'!$G$101:$G$109)),RIGHT(AA$1,2)),"")</f>
        <v>558</v>
      </c>
      <c r="AB14" s="16" cm="1">
        <f t="array" ref="AB14">IFERROR(INDEX(_xlfn.ANCHORARRAY(_xlfn.XLOOKUP($C14,'-ref_Distribution'!$B$101:$B$109,'-ref_Distribution'!$G$101:$G$109)),RIGHT(AB$1,2)),"")</f>
        <v>580</v>
      </c>
      <c r="AC14" s="16" cm="1">
        <f t="array" ref="AC14">IFERROR(INDEX(_xlfn.ANCHORARRAY(_xlfn.XLOOKUP($C14,'-ref_Distribution'!$B$101:$B$109,'-ref_Distribution'!$G$101:$G$109)),RIGHT(AC$1,2)),"")</f>
        <v>594</v>
      </c>
      <c r="AD14" s="16" cm="1">
        <f t="array" ref="AD14">IFERROR(INDEX(_xlfn.ANCHORARRAY(_xlfn.XLOOKUP($C14,'-ref_Distribution'!$B$101:$B$109,'-ref_Distribution'!$G$101:$G$109)),RIGHT(AD$1,2)),"")</f>
        <v>598</v>
      </c>
      <c r="AE14" s="16" cm="1">
        <f t="array" ref="AE14">IFERROR(INDEX(_xlfn.ANCHORARRAY(_xlfn.XLOOKUP($C14,'-ref_Distribution'!$B$101:$B$109,'-ref_Distribution'!$G$101:$G$109)),RIGHT(AE$1,2)),"")</f>
        <v>594</v>
      </c>
      <c r="AF14" s="16" cm="1">
        <f t="array" ref="AF14">IFERROR(INDEX(_xlfn.ANCHORARRAY(_xlfn.XLOOKUP($C14,'-ref_Distribution'!$B$101:$B$109,'-ref_Distribution'!$G$101:$G$109)),RIGHT(AF$1,2)),"")</f>
        <v>580</v>
      </c>
      <c r="AG14" s="16" cm="1">
        <f t="array" ref="AG14">IFERROR(INDEX(_xlfn.ANCHORARRAY(_xlfn.XLOOKUP($C14,'-ref_Distribution'!$B$101:$B$109,'-ref_Distribution'!$G$101:$G$109)),RIGHT(AG$1,2)),"")</f>
        <v>558</v>
      </c>
      <c r="AH14" s="16" cm="1">
        <f t="array" ref="AH14">IFERROR(INDEX(_xlfn.ANCHORARRAY(_xlfn.XLOOKUP($C14,'-ref_Distribution'!$B$101:$B$109,'-ref_Distribution'!$G$101:$G$109)),RIGHT(AH$1,2)),"")</f>
        <v>528</v>
      </c>
      <c r="AI14" s="16" cm="1">
        <f t="array" ref="AI14">IFERROR(INDEX(_xlfn.ANCHORARRAY(_xlfn.XLOOKUP($C14,'-ref_Distribution'!$B$101:$B$109,'-ref_Distribution'!$G$101:$G$109)),RIGHT(AI$1,2)),"")</f>
        <v>492</v>
      </c>
      <c r="AJ14" s="16" cm="1">
        <f t="array" ref="AJ14">IFERROR(INDEX(_xlfn.ANCHORARRAY(_xlfn.XLOOKUP($C14,'-ref_Distribution'!$B$101:$B$109,'-ref_Distribution'!$G$101:$G$109)),RIGHT(AJ$1,2)),"")</f>
        <v>452</v>
      </c>
      <c r="AK14" s="16" cm="1">
        <f t="array" ref="AK14">IFERROR(INDEX(_xlfn.ANCHORARRAY(_xlfn.XLOOKUP($C14,'-ref_Distribution'!$B$101:$B$109,'-ref_Distribution'!$G$101:$G$109)),RIGHT(AK$1,2)),"")</f>
        <v>408</v>
      </c>
      <c r="AL14" s="16" cm="1">
        <f t="array" ref="AL14">IFERROR(INDEX(_xlfn.ANCHORARRAY(_xlfn.XLOOKUP($C14,'-ref_Distribution'!$B$101:$B$109,'-ref_Distribution'!$G$101:$G$109)),RIGHT(AL$1,2)),"")</f>
        <v>363</v>
      </c>
      <c r="AM14" s="16" cm="1">
        <f t="array" ref="AM14">IFERROR(INDEX(_xlfn.ANCHORARRAY(_xlfn.XLOOKUP($C14,'-ref_Distribution'!$B$101:$B$109,'-ref_Distribution'!$G$101:$G$109)),RIGHT(AM$1,2)),"")</f>
        <v>318</v>
      </c>
      <c r="AN14" s="16" cm="1">
        <f t="array" ref="AN14">IFERROR(INDEX(_xlfn.ANCHORARRAY(_xlfn.XLOOKUP($C14,'-ref_Distribution'!$B$101:$B$109,'-ref_Distribution'!$G$101:$G$109)),RIGHT(AN$1,2)),"")</f>
        <v>274</v>
      </c>
      <c r="AO14" s="16" cm="1">
        <f t="array" ref="AO14">IFERROR(INDEX(_xlfn.ANCHORARRAY(_xlfn.XLOOKUP($C14,'-ref_Distribution'!$B$101:$B$109,'-ref_Distribution'!$G$101:$G$109)),RIGHT(AO$1,2)),"")</f>
        <v>233</v>
      </c>
      <c r="AP14" s="16" cm="1">
        <f t="array" ref="AP14">IFERROR(INDEX(_xlfn.ANCHORARRAY(_xlfn.XLOOKUP($C14,'-ref_Distribution'!$B$101:$B$109,'-ref_Distribution'!$G$101:$G$109)),RIGHT(AP$1,2)),"")</f>
        <v>194</v>
      </c>
      <c r="AQ14" s="16" cm="1">
        <f t="array" ref="AQ14">IFERROR(INDEX(_xlfn.ANCHORARRAY(_xlfn.XLOOKUP($C14,'-ref_Distribution'!$B$101:$B$109,'-ref_Distribution'!$G$101:$G$109)),RIGHT(AQ$1,2)),"")</f>
        <v>160</v>
      </c>
      <c r="AR14" s="16" cm="1">
        <f t="array" ref="AR14">IFERROR(INDEX(_xlfn.ANCHORARRAY(_xlfn.XLOOKUP($C14,'-ref_Distribution'!$B$101:$B$109,'-ref_Distribution'!$G$101:$G$109)),RIGHT(AR$1,2)),"")</f>
        <v>452</v>
      </c>
      <c r="AS14" s="16" cm="1">
        <f t="array" ref="AS14">IFERROR(INDEX(_xlfn.ANCHORARRAY(_xlfn.XLOOKUP($C14,'-ref_Distribution'!$B$101:$B$109,'-ref_Distribution'!$G$101:$G$109)),RIGHT(AS$1,2)),"")</f>
        <v>492</v>
      </c>
      <c r="AT14" s="16" cm="1">
        <f t="array" ref="AT14">IFERROR(INDEX(_xlfn.ANCHORARRAY(_xlfn.XLOOKUP($C14,'-ref_Distribution'!$B$101:$B$109,'-ref_Distribution'!$G$101:$G$109)),RIGHT(AT$1,2)),"")</f>
        <v>528</v>
      </c>
      <c r="AU14" s="16" cm="1">
        <f t="array" ref="AU14">IFERROR(INDEX(_xlfn.ANCHORARRAY(_xlfn.XLOOKUP($C14,'-ref_Distribution'!$B$101:$B$109,'-ref_Distribution'!$G$101:$G$109)),RIGHT(AU$1,2)),"")</f>
        <v>558</v>
      </c>
      <c r="AV14" s="16" cm="1">
        <f t="array" ref="AV14">IFERROR(INDEX(_xlfn.ANCHORARRAY(_xlfn.XLOOKUP($C14,'-ref_Distribution'!$B$101:$B$109,'-ref_Distribution'!$G$101:$G$109)),RIGHT(AV$1,2)),"")</f>
        <v>580</v>
      </c>
      <c r="AW14" s="16" cm="1">
        <f t="array" ref="AW14">IFERROR(INDEX(_xlfn.ANCHORARRAY(_xlfn.XLOOKUP($C14,'-ref_Distribution'!$B$101:$B$109,'-ref_Distribution'!$G$101:$G$109)),RIGHT(AW$1,2)),"")</f>
        <v>594</v>
      </c>
      <c r="AX14" s="16" cm="1">
        <f t="array" ref="AX14">IFERROR(INDEX(_xlfn.ANCHORARRAY(_xlfn.XLOOKUP($C14,'-ref_Distribution'!$B$101:$B$109,'-ref_Distribution'!$G$101:$G$109)),RIGHT(AX$1,2)),"")</f>
        <v>598</v>
      </c>
      <c r="AY14" s="16" cm="1">
        <f t="array" ref="AY14">IFERROR(INDEX(_xlfn.ANCHORARRAY(_xlfn.XLOOKUP($C14,'-ref_Distribution'!$B$101:$B$109,'-ref_Distribution'!$G$101:$G$109)),RIGHT(AY$1,2)),"")</f>
        <v>594</v>
      </c>
      <c r="AZ14" s="16" cm="1">
        <f t="array" ref="AZ14">IFERROR(INDEX(_xlfn.ANCHORARRAY(_xlfn.XLOOKUP($C14,'-ref_Distribution'!$B$101:$B$109,'-ref_Distribution'!$G$101:$G$109)),RIGHT(AZ$1,2)),"")</f>
        <v>580</v>
      </c>
      <c r="BA14" s="16" cm="1">
        <f t="array" ref="BA14">IFERROR(INDEX(_xlfn.ANCHORARRAY(_xlfn.XLOOKUP($C14,'-ref_Distribution'!$B$101:$B$109,'-ref_Distribution'!$G$101:$G$109)),RIGHT(BA$1,2)),"")</f>
        <v>558</v>
      </c>
      <c r="BB14" s="16" cm="1">
        <f t="array" ref="BB14">IFERROR(INDEX(_xlfn.ANCHORARRAY(_xlfn.XLOOKUP($C14,'-ref_Distribution'!$B$101:$B$109,'-ref_Distribution'!$G$101:$G$109)),RIGHT(BB$1,2)),"")</f>
        <v>528</v>
      </c>
      <c r="BC14" s="16" cm="1">
        <f t="array" ref="BC14">IFERROR(INDEX(_xlfn.ANCHORARRAY(_xlfn.XLOOKUP($C14,'-ref_Distribution'!$B$101:$B$109,'-ref_Distribution'!$G$101:$G$109)),RIGHT(BC$1,2)),"")</f>
        <v>492</v>
      </c>
      <c r="BD14" s="16" cm="1">
        <f t="array" ref="BD14">IFERROR(INDEX(_xlfn.ANCHORARRAY(_xlfn.XLOOKUP($C14,'-ref_Distribution'!$B$101:$B$109,'-ref_Distribution'!$G$101:$G$109)),RIGHT(BD$1,2)),"")</f>
        <v>452</v>
      </c>
      <c r="BE14" s="16" cm="1">
        <f t="array" ref="BE14">IFERROR(INDEX(_xlfn.ANCHORARRAY(_xlfn.XLOOKUP($C14,'-ref_Distribution'!$B$101:$B$109,'-ref_Distribution'!$G$101:$G$109)),RIGHT(BE$1,2)),"")</f>
        <v>408</v>
      </c>
      <c r="BF14" s="16" cm="1">
        <f t="array" ref="BF14">IFERROR(INDEX(_xlfn.ANCHORARRAY(_xlfn.XLOOKUP($C14,'-ref_Distribution'!$B$101:$B$109,'-ref_Distribution'!$G$101:$G$109)),RIGHT(BF$1,2)),"")</f>
        <v>363</v>
      </c>
      <c r="BG14" s="16" cm="1">
        <f t="array" ref="BG14">IFERROR(INDEX(_xlfn.ANCHORARRAY(_xlfn.XLOOKUP($C14,'-ref_Distribution'!$B$101:$B$109,'-ref_Distribution'!$G$101:$G$109)),RIGHT(BG$1,2)),"")</f>
        <v>318</v>
      </c>
      <c r="BH14" s="16" cm="1">
        <f t="array" ref="BH14">IFERROR(INDEX(_xlfn.ANCHORARRAY(_xlfn.XLOOKUP($C14,'-ref_Distribution'!$B$101:$B$109,'-ref_Distribution'!$G$101:$G$109)),RIGHT(BH$1,2)),"")</f>
        <v>274</v>
      </c>
      <c r="BI14" s="16" cm="1">
        <f t="array" ref="BI14">IFERROR(INDEX(_xlfn.ANCHORARRAY(_xlfn.XLOOKUP($C14,'-ref_Distribution'!$B$101:$B$109,'-ref_Distribution'!$G$101:$G$109)),RIGHT(BI$1,2)),"")</f>
        <v>233</v>
      </c>
      <c r="BJ14" s="16" cm="1">
        <f t="array" ref="BJ14">IFERROR(INDEX(_xlfn.ANCHORARRAY(_xlfn.XLOOKUP($C14,'-ref_Distribution'!$B$101:$B$109,'-ref_Distribution'!$G$101:$G$109)),RIGHT(BJ$1,2)),"")</f>
        <v>194</v>
      </c>
      <c r="BK14" s="16" cm="1">
        <f t="array" ref="BK14">IFERROR(INDEX(_xlfn.ANCHORARRAY(_xlfn.XLOOKUP($C14,'-ref_Distribution'!$B$101:$B$109,'-ref_Distribution'!$G$101:$G$109)),RIGHT(BK$1,2)),"")</f>
        <v>160</v>
      </c>
      <c r="BL14" s="16" cm="1">
        <f t="array" ref="BL14">IFERROR(INDEX(_xlfn.ANCHORARRAY(_xlfn.XLOOKUP($C14,'-ref_Distribution'!$B$101:$B$109,'-ref_Distribution'!$G$101:$G$109)),RIGHT(BL$1,2)),"")</f>
        <v>452</v>
      </c>
      <c r="BM14" s="16" cm="1">
        <f t="array" ref="BM14">IFERROR(INDEX(_xlfn.ANCHORARRAY(_xlfn.XLOOKUP($C14,'-ref_Distribution'!$B$101:$B$109,'-ref_Distribution'!$G$101:$G$109)),RIGHT(BM$1,2)),"")</f>
        <v>492</v>
      </c>
      <c r="BN14" s="16" cm="1">
        <f t="array" ref="BN14">IFERROR(INDEX(_xlfn.ANCHORARRAY(_xlfn.XLOOKUP($C14,'-ref_Distribution'!$B$101:$B$109,'-ref_Distribution'!$G$101:$G$109)),RIGHT(BN$1,2)),"")</f>
        <v>528</v>
      </c>
      <c r="BO14" s="16" cm="1">
        <f t="array" ref="BO14">IFERROR(INDEX(_xlfn.ANCHORARRAY(_xlfn.XLOOKUP($C14,'-ref_Distribution'!$B$101:$B$109,'-ref_Distribution'!$G$101:$G$109)),RIGHT(BO$1,2)),"")</f>
        <v>558</v>
      </c>
      <c r="BP14" s="16" cm="1">
        <f t="array" ref="BP14">IFERROR(INDEX(_xlfn.ANCHORARRAY(_xlfn.XLOOKUP($C14,'-ref_Distribution'!$B$101:$B$109,'-ref_Distribution'!$G$101:$G$109)),RIGHT(BP$1,2)),"")</f>
        <v>580</v>
      </c>
      <c r="BQ14" s="16" cm="1">
        <f t="array" ref="BQ14">IFERROR(INDEX(_xlfn.ANCHORARRAY(_xlfn.XLOOKUP($C14,'-ref_Distribution'!$B$101:$B$109,'-ref_Distribution'!$G$101:$G$109)),RIGHT(BQ$1,2)),"")</f>
        <v>594</v>
      </c>
      <c r="BR14" s="16" cm="1">
        <f t="array" ref="BR14">IFERROR(INDEX(_xlfn.ANCHORARRAY(_xlfn.XLOOKUP($C14,'-ref_Distribution'!$B$101:$B$109,'-ref_Distribution'!$G$101:$G$109)),RIGHT(BR$1,2)),"")</f>
        <v>598</v>
      </c>
      <c r="BS14" s="16" cm="1">
        <f t="array" ref="BS14">IFERROR(INDEX(_xlfn.ANCHORARRAY(_xlfn.XLOOKUP($C14,'-ref_Distribution'!$B$101:$B$109,'-ref_Distribution'!$G$101:$G$109)),RIGHT(BS$1,2)),"")</f>
        <v>594</v>
      </c>
      <c r="BT14" s="16" cm="1">
        <f t="array" ref="BT14">IFERROR(INDEX(_xlfn.ANCHORARRAY(_xlfn.XLOOKUP($C14,'-ref_Distribution'!$B$101:$B$109,'-ref_Distribution'!$G$101:$G$109)),RIGHT(BT$1,2)),"")</f>
        <v>580</v>
      </c>
      <c r="BU14" s="16" cm="1">
        <f t="array" ref="BU14">IFERROR(INDEX(_xlfn.ANCHORARRAY(_xlfn.XLOOKUP($C14,'-ref_Distribution'!$B$101:$B$109,'-ref_Distribution'!$G$101:$G$109)),RIGHT(BU$1,2)),"")</f>
        <v>558</v>
      </c>
      <c r="BV14" s="16" cm="1">
        <f t="array" ref="BV14">IFERROR(INDEX(_xlfn.ANCHORARRAY(_xlfn.XLOOKUP($C14,'-ref_Distribution'!$B$101:$B$109,'-ref_Distribution'!$G$101:$G$109)),RIGHT(BV$1,2)),"")</f>
        <v>528</v>
      </c>
      <c r="BW14" s="16" cm="1">
        <f t="array" ref="BW14">IFERROR(INDEX(_xlfn.ANCHORARRAY(_xlfn.XLOOKUP($C14,'-ref_Distribution'!$B$101:$B$109,'-ref_Distribution'!$G$101:$G$109)),RIGHT(BW$1,2)),"")</f>
        <v>492</v>
      </c>
      <c r="BX14" s="16" cm="1">
        <f t="array" ref="BX14">IFERROR(INDEX(_xlfn.ANCHORARRAY(_xlfn.XLOOKUP($C14,'-ref_Distribution'!$B$101:$B$109,'-ref_Distribution'!$G$101:$G$109)),RIGHT(BX$1,2)),"")</f>
        <v>452</v>
      </c>
      <c r="BY14" s="16" cm="1">
        <f t="array" ref="BY14">IFERROR(INDEX(_xlfn.ANCHORARRAY(_xlfn.XLOOKUP($C14,'-ref_Distribution'!$B$101:$B$109,'-ref_Distribution'!$G$101:$G$109)),RIGHT(BY$1,2)),"")</f>
        <v>408</v>
      </c>
      <c r="BZ14" s="16" cm="1">
        <f t="array" ref="BZ14">IFERROR(INDEX(_xlfn.ANCHORARRAY(_xlfn.XLOOKUP($C14,'-ref_Distribution'!$B$101:$B$109,'-ref_Distribution'!$G$101:$G$109)),RIGHT(BZ$1,2)),"")</f>
        <v>363</v>
      </c>
      <c r="CA14" s="16" cm="1">
        <f t="array" ref="CA14">IFERROR(INDEX(_xlfn.ANCHORARRAY(_xlfn.XLOOKUP($C14,'-ref_Distribution'!$B$101:$B$109,'-ref_Distribution'!$G$101:$G$109)),RIGHT(CA$1,2)),"")</f>
        <v>318</v>
      </c>
      <c r="CB14" s="16" cm="1">
        <f t="array" ref="CB14">IFERROR(INDEX(_xlfn.ANCHORARRAY(_xlfn.XLOOKUP($C14,'-ref_Distribution'!$B$101:$B$109,'-ref_Distribution'!$G$101:$G$109)),RIGHT(CB$1,2)),"")</f>
        <v>274</v>
      </c>
      <c r="CC14" s="16" cm="1">
        <f t="array" ref="CC14">IFERROR(INDEX(_xlfn.ANCHORARRAY(_xlfn.XLOOKUP($C14,'-ref_Distribution'!$B$101:$B$109,'-ref_Distribution'!$G$101:$G$109)),RIGHT(CC$1,2)),"")</f>
        <v>233</v>
      </c>
      <c r="CD14" s="16" cm="1">
        <f t="array" ref="CD14">IFERROR(INDEX(_xlfn.ANCHORARRAY(_xlfn.XLOOKUP($C14,'-ref_Distribution'!$B$101:$B$109,'-ref_Distribution'!$G$101:$G$109)),RIGHT(CD$1,2)),"")</f>
        <v>194</v>
      </c>
      <c r="CE14" s="16" cm="1">
        <f t="array" ref="CE14">IFERROR(INDEX(_xlfn.ANCHORARRAY(_xlfn.XLOOKUP($C14,'-ref_Distribution'!$B$101:$B$109,'-ref_Distribution'!$G$101:$G$109)),RIGHT(CE$1,2)),"")</f>
        <v>160</v>
      </c>
      <c r="CF14" s="16"/>
      <c r="CG14" s="16"/>
      <c r="CH14" s="16"/>
      <c r="CI14" s="16"/>
      <c r="CJ14" s="16"/>
      <c r="CK14" s="16"/>
      <c r="CL14" s="16"/>
    </row>
    <row r="15" spans="1:90" x14ac:dyDescent="0.2">
      <c r="A15" s="16">
        <v>15114</v>
      </c>
      <c r="B15" s="16" t="s">
        <v>189</v>
      </c>
      <c r="C15" s="16">
        <v>12</v>
      </c>
      <c r="D15" s="16" cm="1">
        <f t="array" ref="D15">IFERROR(INDEX(_xlfn.ANCHORARRAY(_xlfn.XLOOKUP($C15,'-ref_Distribution'!$B$101:$B$109,'-ref_Distribution'!$G$101:$G$109)),RIGHT(D$1,2)),"")</f>
        <v>301</v>
      </c>
      <c r="E15" s="16" cm="1">
        <f t="array" ref="E15">IFERROR(INDEX(_xlfn.ANCHORARRAY(_xlfn.XLOOKUP($C15,'-ref_Distribution'!$B$101:$B$109,'-ref_Distribution'!$G$101:$G$109)),RIGHT(E$1,2)),"")</f>
        <v>344</v>
      </c>
      <c r="F15" s="16" cm="1">
        <f t="array" ref="F15">IFERROR(INDEX(_xlfn.ANCHORARRAY(_xlfn.XLOOKUP($C15,'-ref_Distribution'!$B$101:$B$109,'-ref_Distribution'!$G$101:$G$109)),RIGHT(F$1,2)),"")</f>
        <v>386</v>
      </c>
      <c r="G15" s="16" cm="1">
        <f t="array" ref="G15">IFERROR(INDEX(_xlfn.ANCHORARRAY(_xlfn.XLOOKUP($C15,'-ref_Distribution'!$B$101:$B$109,'-ref_Distribution'!$G$101:$G$109)),RIGHT(G$1,2)),"")</f>
        <v>426</v>
      </c>
      <c r="H15" s="16" cm="1">
        <f t="array" ref="H15">IFERROR(INDEX(_xlfn.ANCHORARRAY(_xlfn.XLOOKUP($C15,'-ref_Distribution'!$B$101:$B$109,'-ref_Distribution'!$G$101:$G$109)),RIGHT(H$1,2)),"")</f>
        <v>461</v>
      </c>
      <c r="I15" s="16" cm="1">
        <f t="array" ref="I15">IFERROR(INDEX(_xlfn.ANCHORARRAY(_xlfn.XLOOKUP($C15,'-ref_Distribution'!$B$101:$B$109,'-ref_Distribution'!$G$101:$G$109)),RIGHT(I$1,2)),"")</f>
        <v>491</v>
      </c>
      <c r="J15" s="16" cm="1">
        <f t="array" ref="J15">IFERROR(INDEX(_xlfn.ANCHORARRAY(_xlfn.XLOOKUP($C15,'-ref_Distribution'!$B$101:$B$109,'-ref_Distribution'!$G$101:$G$109)),RIGHT(J$1,2)),"")</f>
        <v>513</v>
      </c>
      <c r="K15" s="16" cm="1">
        <f t="array" ref="K15">IFERROR(INDEX(_xlfn.ANCHORARRAY(_xlfn.XLOOKUP($C15,'-ref_Distribution'!$B$101:$B$109,'-ref_Distribution'!$G$101:$G$109)),RIGHT(K$1,2)),"")</f>
        <v>527</v>
      </c>
      <c r="L15" s="16" cm="1">
        <f t="array" ref="L15">IFERROR(INDEX(_xlfn.ANCHORARRAY(_xlfn.XLOOKUP($C15,'-ref_Distribution'!$B$101:$B$109,'-ref_Distribution'!$G$101:$G$109)),RIGHT(L$1,2)),"")</f>
        <v>532</v>
      </c>
      <c r="M15" s="16" cm="1">
        <f t="array" ref="M15">IFERROR(INDEX(_xlfn.ANCHORARRAY(_xlfn.XLOOKUP($C15,'-ref_Distribution'!$B$101:$B$109,'-ref_Distribution'!$G$101:$G$109)),RIGHT(M$1,2)),"")</f>
        <v>527</v>
      </c>
      <c r="N15" s="16" cm="1">
        <f t="array" ref="N15">IFERROR(INDEX(_xlfn.ANCHORARRAY(_xlfn.XLOOKUP($C15,'-ref_Distribution'!$B$101:$B$109,'-ref_Distribution'!$G$101:$G$109)),RIGHT(N$1,2)),"")</f>
        <v>513</v>
      </c>
      <c r="O15" s="16" cm="1">
        <f t="array" ref="O15">IFERROR(INDEX(_xlfn.ANCHORARRAY(_xlfn.XLOOKUP($C15,'-ref_Distribution'!$B$101:$B$109,'-ref_Distribution'!$G$101:$G$109)),RIGHT(O$1,2)),"")</f>
        <v>491</v>
      </c>
      <c r="P15" s="16" cm="1">
        <f t="array" ref="P15">IFERROR(INDEX(_xlfn.ANCHORARRAY(_xlfn.XLOOKUP($C15,'-ref_Distribution'!$B$101:$B$109,'-ref_Distribution'!$G$101:$G$109)),RIGHT(P$1,2)),"")</f>
        <v>461</v>
      </c>
      <c r="Q15" s="16" cm="1">
        <f t="array" ref="Q15">IFERROR(INDEX(_xlfn.ANCHORARRAY(_xlfn.XLOOKUP($C15,'-ref_Distribution'!$B$101:$B$109,'-ref_Distribution'!$G$101:$G$109)),RIGHT(Q$1,2)),"")</f>
        <v>426</v>
      </c>
      <c r="R15" s="16" cm="1">
        <f t="array" ref="R15">IFERROR(INDEX(_xlfn.ANCHORARRAY(_xlfn.XLOOKUP($C15,'-ref_Distribution'!$B$101:$B$109,'-ref_Distribution'!$G$101:$G$109)),RIGHT(R$1,2)),"")</f>
        <v>386</v>
      </c>
      <c r="S15" s="16" cm="1">
        <f t="array" ref="S15">IFERROR(INDEX(_xlfn.ANCHORARRAY(_xlfn.XLOOKUP($C15,'-ref_Distribution'!$B$101:$B$109,'-ref_Distribution'!$G$101:$G$109)),RIGHT(S$1,2)),"")</f>
        <v>344</v>
      </c>
      <c r="T15" s="16" cm="1">
        <f t="array" ref="T15">IFERROR(INDEX(_xlfn.ANCHORARRAY(_xlfn.XLOOKUP($C15,'-ref_Distribution'!$B$101:$B$109,'-ref_Distribution'!$G$101:$G$109)),RIGHT(T$1,2)),"")</f>
        <v>301</v>
      </c>
      <c r="U15" s="16" cm="1">
        <f t="array" ref="U15">IFERROR(INDEX(_xlfn.ANCHORARRAY(_xlfn.XLOOKUP($C15,'-ref_Distribution'!$B$101:$B$109,'-ref_Distribution'!$G$101:$G$109)),RIGHT(U$1,2)),"")</f>
        <v>259</v>
      </c>
      <c r="V15" s="16" cm="1">
        <f t="array" ref="V15">IFERROR(INDEX(_xlfn.ANCHORARRAY(_xlfn.XLOOKUP($C15,'-ref_Distribution'!$B$101:$B$109,'-ref_Distribution'!$G$101:$G$109)),RIGHT(V$1,2)),"")</f>
        <v>219</v>
      </c>
      <c r="W15" s="16" cm="1">
        <f t="array" ref="W15">IFERROR(INDEX(_xlfn.ANCHORARRAY(_xlfn.XLOOKUP($C15,'-ref_Distribution'!$B$101:$B$109,'-ref_Distribution'!$G$101:$G$109)),RIGHT(W$1,2)),"")</f>
        <v>181</v>
      </c>
      <c r="X15" s="16" cm="1">
        <f t="array" ref="X15">IFERROR(INDEX(_xlfn.ANCHORARRAY(_xlfn.XLOOKUP($C15,'-ref_Distribution'!$B$101:$B$109,'-ref_Distribution'!$G$101:$G$109)),RIGHT(X$1,2)),"")</f>
        <v>301</v>
      </c>
      <c r="Y15" s="16" cm="1">
        <f t="array" ref="Y15">IFERROR(INDEX(_xlfn.ANCHORARRAY(_xlfn.XLOOKUP($C15,'-ref_Distribution'!$B$101:$B$109,'-ref_Distribution'!$G$101:$G$109)),RIGHT(Y$1,2)),"")</f>
        <v>344</v>
      </c>
      <c r="Z15" s="16" cm="1">
        <f t="array" ref="Z15">IFERROR(INDEX(_xlfn.ANCHORARRAY(_xlfn.XLOOKUP($C15,'-ref_Distribution'!$B$101:$B$109,'-ref_Distribution'!$G$101:$G$109)),RIGHT(Z$1,2)),"")</f>
        <v>386</v>
      </c>
      <c r="AA15" s="16" cm="1">
        <f t="array" ref="AA15">IFERROR(INDEX(_xlfn.ANCHORARRAY(_xlfn.XLOOKUP($C15,'-ref_Distribution'!$B$101:$B$109,'-ref_Distribution'!$G$101:$G$109)),RIGHT(AA$1,2)),"")</f>
        <v>426</v>
      </c>
      <c r="AB15" s="16" cm="1">
        <f t="array" ref="AB15">IFERROR(INDEX(_xlfn.ANCHORARRAY(_xlfn.XLOOKUP($C15,'-ref_Distribution'!$B$101:$B$109,'-ref_Distribution'!$G$101:$G$109)),RIGHT(AB$1,2)),"")</f>
        <v>461</v>
      </c>
      <c r="AC15" s="16" cm="1">
        <f t="array" ref="AC15">IFERROR(INDEX(_xlfn.ANCHORARRAY(_xlfn.XLOOKUP($C15,'-ref_Distribution'!$B$101:$B$109,'-ref_Distribution'!$G$101:$G$109)),RIGHT(AC$1,2)),"")</f>
        <v>491</v>
      </c>
      <c r="AD15" s="16" cm="1">
        <f t="array" ref="AD15">IFERROR(INDEX(_xlfn.ANCHORARRAY(_xlfn.XLOOKUP($C15,'-ref_Distribution'!$B$101:$B$109,'-ref_Distribution'!$G$101:$G$109)),RIGHT(AD$1,2)),"")</f>
        <v>513</v>
      </c>
      <c r="AE15" s="16" cm="1">
        <f t="array" ref="AE15">IFERROR(INDEX(_xlfn.ANCHORARRAY(_xlfn.XLOOKUP($C15,'-ref_Distribution'!$B$101:$B$109,'-ref_Distribution'!$G$101:$G$109)),RIGHT(AE$1,2)),"")</f>
        <v>527</v>
      </c>
      <c r="AF15" s="16" cm="1">
        <f t="array" ref="AF15">IFERROR(INDEX(_xlfn.ANCHORARRAY(_xlfn.XLOOKUP($C15,'-ref_Distribution'!$B$101:$B$109,'-ref_Distribution'!$G$101:$G$109)),RIGHT(AF$1,2)),"")</f>
        <v>532</v>
      </c>
      <c r="AG15" s="16" cm="1">
        <f t="array" ref="AG15">IFERROR(INDEX(_xlfn.ANCHORARRAY(_xlfn.XLOOKUP($C15,'-ref_Distribution'!$B$101:$B$109,'-ref_Distribution'!$G$101:$G$109)),RIGHT(AG$1,2)),"")</f>
        <v>527</v>
      </c>
      <c r="AH15" s="16" cm="1">
        <f t="array" ref="AH15">IFERROR(INDEX(_xlfn.ANCHORARRAY(_xlfn.XLOOKUP($C15,'-ref_Distribution'!$B$101:$B$109,'-ref_Distribution'!$G$101:$G$109)),RIGHT(AH$1,2)),"")</f>
        <v>513</v>
      </c>
      <c r="AI15" s="16" cm="1">
        <f t="array" ref="AI15">IFERROR(INDEX(_xlfn.ANCHORARRAY(_xlfn.XLOOKUP($C15,'-ref_Distribution'!$B$101:$B$109,'-ref_Distribution'!$G$101:$G$109)),RIGHT(AI$1,2)),"")</f>
        <v>491</v>
      </c>
      <c r="AJ15" s="16" cm="1">
        <f t="array" ref="AJ15">IFERROR(INDEX(_xlfn.ANCHORARRAY(_xlfn.XLOOKUP($C15,'-ref_Distribution'!$B$101:$B$109,'-ref_Distribution'!$G$101:$G$109)),RIGHT(AJ$1,2)),"")</f>
        <v>461</v>
      </c>
      <c r="AK15" s="16" cm="1">
        <f t="array" ref="AK15">IFERROR(INDEX(_xlfn.ANCHORARRAY(_xlfn.XLOOKUP($C15,'-ref_Distribution'!$B$101:$B$109,'-ref_Distribution'!$G$101:$G$109)),RIGHT(AK$1,2)),"")</f>
        <v>426</v>
      </c>
      <c r="AL15" s="16" cm="1">
        <f t="array" ref="AL15">IFERROR(INDEX(_xlfn.ANCHORARRAY(_xlfn.XLOOKUP($C15,'-ref_Distribution'!$B$101:$B$109,'-ref_Distribution'!$G$101:$G$109)),RIGHT(AL$1,2)),"")</f>
        <v>386</v>
      </c>
      <c r="AM15" s="16" cm="1">
        <f t="array" ref="AM15">IFERROR(INDEX(_xlfn.ANCHORARRAY(_xlfn.XLOOKUP($C15,'-ref_Distribution'!$B$101:$B$109,'-ref_Distribution'!$G$101:$G$109)),RIGHT(AM$1,2)),"")</f>
        <v>344</v>
      </c>
      <c r="AN15" s="16" cm="1">
        <f t="array" ref="AN15">IFERROR(INDEX(_xlfn.ANCHORARRAY(_xlfn.XLOOKUP($C15,'-ref_Distribution'!$B$101:$B$109,'-ref_Distribution'!$G$101:$G$109)),RIGHT(AN$1,2)),"")</f>
        <v>301</v>
      </c>
      <c r="AO15" s="16" cm="1">
        <f t="array" ref="AO15">IFERROR(INDEX(_xlfn.ANCHORARRAY(_xlfn.XLOOKUP($C15,'-ref_Distribution'!$B$101:$B$109,'-ref_Distribution'!$G$101:$G$109)),RIGHT(AO$1,2)),"")</f>
        <v>259</v>
      </c>
      <c r="AP15" s="16" cm="1">
        <f t="array" ref="AP15">IFERROR(INDEX(_xlfn.ANCHORARRAY(_xlfn.XLOOKUP($C15,'-ref_Distribution'!$B$101:$B$109,'-ref_Distribution'!$G$101:$G$109)),RIGHT(AP$1,2)),"")</f>
        <v>219</v>
      </c>
      <c r="AQ15" s="16" cm="1">
        <f t="array" ref="AQ15">IFERROR(INDEX(_xlfn.ANCHORARRAY(_xlfn.XLOOKUP($C15,'-ref_Distribution'!$B$101:$B$109,'-ref_Distribution'!$G$101:$G$109)),RIGHT(AQ$1,2)),"")</f>
        <v>181</v>
      </c>
      <c r="AR15" s="16" cm="1">
        <f t="array" ref="AR15">IFERROR(INDEX(_xlfn.ANCHORARRAY(_xlfn.XLOOKUP($C15,'-ref_Distribution'!$B$101:$B$109,'-ref_Distribution'!$G$101:$G$109)),RIGHT(AR$1,2)),"")</f>
        <v>301</v>
      </c>
      <c r="AS15" s="16" cm="1">
        <f t="array" ref="AS15">IFERROR(INDEX(_xlfn.ANCHORARRAY(_xlfn.XLOOKUP($C15,'-ref_Distribution'!$B$101:$B$109,'-ref_Distribution'!$G$101:$G$109)),RIGHT(AS$1,2)),"")</f>
        <v>344</v>
      </c>
      <c r="AT15" s="16" cm="1">
        <f t="array" ref="AT15">IFERROR(INDEX(_xlfn.ANCHORARRAY(_xlfn.XLOOKUP($C15,'-ref_Distribution'!$B$101:$B$109,'-ref_Distribution'!$G$101:$G$109)),RIGHT(AT$1,2)),"")</f>
        <v>386</v>
      </c>
      <c r="AU15" s="16" cm="1">
        <f t="array" ref="AU15">IFERROR(INDEX(_xlfn.ANCHORARRAY(_xlfn.XLOOKUP($C15,'-ref_Distribution'!$B$101:$B$109,'-ref_Distribution'!$G$101:$G$109)),RIGHT(AU$1,2)),"")</f>
        <v>426</v>
      </c>
      <c r="AV15" s="16" cm="1">
        <f t="array" ref="AV15">IFERROR(INDEX(_xlfn.ANCHORARRAY(_xlfn.XLOOKUP($C15,'-ref_Distribution'!$B$101:$B$109,'-ref_Distribution'!$G$101:$G$109)),RIGHT(AV$1,2)),"")</f>
        <v>461</v>
      </c>
      <c r="AW15" s="16" cm="1">
        <f t="array" ref="AW15">IFERROR(INDEX(_xlfn.ANCHORARRAY(_xlfn.XLOOKUP($C15,'-ref_Distribution'!$B$101:$B$109,'-ref_Distribution'!$G$101:$G$109)),RIGHT(AW$1,2)),"")</f>
        <v>491</v>
      </c>
      <c r="AX15" s="16" cm="1">
        <f t="array" ref="AX15">IFERROR(INDEX(_xlfn.ANCHORARRAY(_xlfn.XLOOKUP($C15,'-ref_Distribution'!$B$101:$B$109,'-ref_Distribution'!$G$101:$G$109)),RIGHT(AX$1,2)),"")</f>
        <v>513</v>
      </c>
      <c r="AY15" s="16" cm="1">
        <f t="array" ref="AY15">IFERROR(INDEX(_xlfn.ANCHORARRAY(_xlfn.XLOOKUP($C15,'-ref_Distribution'!$B$101:$B$109,'-ref_Distribution'!$G$101:$G$109)),RIGHT(AY$1,2)),"")</f>
        <v>527</v>
      </c>
      <c r="AZ15" s="16" cm="1">
        <f t="array" ref="AZ15">IFERROR(INDEX(_xlfn.ANCHORARRAY(_xlfn.XLOOKUP($C15,'-ref_Distribution'!$B$101:$B$109,'-ref_Distribution'!$G$101:$G$109)),RIGHT(AZ$1,2)),"")</f>
        <v>532</v>
      </c>
      <c r="BA15" s="16" cm="1">
        <f t="array" ref="BA15">IFERROR(INDEX(_xlfn.ANCHORARRAY(_xlfn.XLOOKUP($C15,'-ref_Distribution'!$B$101:$B$109,'-ref_Distribution'!$G$101:$G$109)),RIGHT(BA$1,2)),"")</f>
        <v>527</v>
      </c>
      <c r="BB15" s="16" cm="1">
        <f t="array" ref="BB15">IFERROR(INDEX(_xlfn.ANCHORARRAY(_xlfn.XLOOKUP($C15,'-ref_Distribution'!$B$101:$B$109,'-ref_Distribution'!$G$101:$G$109)),RIGHT(BB$1,2)),"")</f>
        <v>513</v>
      </c>
      <c r="BC15" s="16" cm="1">
        <f t="array" ref="BC15">IFERROR(INDEX(_xlfn.ANCHORARRAY(_xlfn.XLOOKUP($C15,'-ref_Distribution'!$B$101:$B$109,'-ref_Distribution'!$G$101:$G$109)),RIGHT(BC$1,2)),"")</f>
        <v>491</v>
      </c>
      <c r="BD15" s="16" cm="1">
        <f t="array" ref="BD15">IFERROR(INDEX(_xlfn.ANCHORARRAY(_xlfn.XLOOKUP($C15,'-ref_Distribution'!$B$101:$B$109,'-ref_Distribution'!$G$101:$G$109)),RIGHT(BD$1,2)),"")</f>
        <v>461</v>
      </c>
      <c r="BE15" s="16" cm="1">
        <f t="array" ref="BE15">IFERROR(INDEX(_xlfn.ANCHORARRAY(_xlfn.XLOOKUP($C15,'-ref_Distribution'!$B$101:$B$109,'-ref_Distribution'!$G$101:$G$109)),RIGHT(BE$1,2)),"")</f>
        <v>426</v>
      </c>
      <c r="BF15" s="16" cm="1">
        <f t="array" ref="BF15">IFERROR(INDEX(_xlfn.ANCHORARRAY(_xlfn.XLOOKUP($C15,'-ref_Distribution'!$B$101:$B$109,'-ref_Distribution'!$G$101:$G$109)),RIGHT(BF$1,2)),"")</f>
        <v>386</v>
      </c>
      <c r="BG15" s="16" cm="1">
        <f t="array" ref="BG15">IFERROR(INDEX(_xlfn.ANCHORARRAY(_xlfn.XLOOKUP($C15,'-ref_Distribution'!$B$101:$B$109,'-ref_Distribution'!$G$101:$G$109)),RIGHT(BG$1,2)),"")</f>
        <v>344</v>
      </c>
      <c r="BH15" s="16" cm="1">
        <f t="array" ref="BH15">IFERROR(INDEX(_xlfn.ANCHORARRAY(_xlfn.XLOOKUP($C15,'-ref_Distribution'!$B$101:$B$109,'-ref_Distribution'!$G$101:$G$109)),RIGHT(BH$1,2)),"")</f>
        <v>301</v>
      </c>
      <c r="BI15" s="16" cm="1">
        <f t="array" ref="BI15">IFERROR(INDEX(_xlfn.ANCHORARRAY(_xlfn.XLOOKUP($C15,'-ref_Distribution'!$B$101:$B$109,'-ref_Distribution'!$G$101:$G$109)),RIGHT(BI$1,2)),"")</f>
        <v>259</v>
      </c>
      <c r="BJ15" s="16" cm="1">
        <f t="array" ref="BJ15">IFERROR(INDEX(_xlfn.ANCHORARRAY(_xlfn.XLOOKUP($C15,'-ref_Distribution'!$B$101:$B$109,'-ref_Distribution'!$G$101:$G$109)),RIGHT(BJ$1,2)),"")</f>
        <v>219</v>
      </c>
      <c r="BK15" s="16" cm="1">
        <f t="array" ref="BK15">IFERROR(INDEX(_xlfn.ANCHORARRAY(_xlfn.XLOOKUP($C15,'-ref_Distribution'!$B$101:$B$109,'-ref_Distribution'!$G$101:$G$109)),RIGHT(BK$1,2)),"")</f>
        <v>181</v>
      </c>
      <c r="BL15" s="16" cm="1">
        <f t="array" ref="BL15">IFERROR(INDEX(_xlfn.ANCHORARRAY(_xlfn.XLOOKUP($C15,'-ref_Distribution'!$B$101:$B$109,'-ref_Distribution'!$G$101:$G$109)),RIGHT(BL$1,2)),"")</f>
        <v>301</v>
      </c>
      <c r="BM15" s="16" cm="1">
        <f t="array" ref="BM15">IFERROR(INDEX(_xlfn.ANCHORARRAY(_xlfn.XLOOKUP($C15,'-ref_Distribution'!$B$101:$B$109,'-ref_Distribution'!$G$101:$G$109)),RIGHT(BM$1,2)),"")</f>
        <v>344</v>
      </c>
      <c r="BN15" s="16" cm="1">
        <f t="array" ref="BN15">IFERROR(INDEX(_xlfn.ANCHORARRAY(_xlfn.XLOOKUP($C15,'-ref_Distribution'!$B$101:$B$109,'-ref_Distribution'!$G$101:$G$109)),RIGHT(BN$1,2)),"")</f>
        <v>386</v>
      </c>
      <c r="BO15" s="16" cm="1">
        <f t="array" ref="BO15">IFERROR(INDEX(_xlfn.ANCHORARRAY(_xlfn.XLOOKUP($C15,'-ref_Distribution'!$B$101:$B$109,'-ref_Distribution'!$G$101:$G$109)),RIGHT(BO$1,2)),"")</f>
        <v>426</v>
      </c>
      <c r="BP15" s="16" cm="1">
        <f t="array" ref="BP15">IFERROR(INDEX(_xlfn.ANCHORARRAY(_xlfn.XLOOKUP($C15,'-ref_Distribution'!$B$101:$B$109,'-ref_Distribution'!$G$101:$G$109)),RIGHT(BP$1,2)),"")</f>
        <v>461</v>
      </c>
      <c r="BQ15" s="16" cm="1">
        <f t="array" ref="BQ15">IFERROR(INDEX(_xlfn.ANCHORARRAY(_xlfn.XLOOKUP($C15,'-ref_Distribution'!$B$101:$B$109,'-ref_Distribution'!$G$101:$G$109)),RIGHT(BQ$1,2)),"")</f>
        <v>491</v>
      </c>
      <c r="BR15" s="16" cm="1">
        <f t="array" ref="BR15">IFERROR(INDEX(_xlfn.ANCHORARRAY(_xlfn.XLOOKUP($C15,'-ref_Distribution'!$B$101:$B$109,'-ref_Distribution'!$G$101:$G$109)),RIGHT(BR$1,2)),"")</f>
        <v>513</v>
      </c>
      <c r="BS15" s="16" cm="1">
        <f t="array" ref="BS15">IFERROR(INDEX(_xlfn.ANCHORARRAY(_xlfn.XLOOKUP($C15,'-ref_Distribution'!$B$101:$B$109,'-ref_Distribution'!$G$101:$G$109)),RIGHT(BS$1,2)),"")</f>
        <v>527</v>
      </c>
      <c r="BT15" s="16" cm="1">
        <f t="array" ref="BT15">IFERROR(INDEX(_xlfn.ANCHORARRAY(_xlfn.XLOOKUP($C15,'-ref_Distribution'!$B$101:$B$109,'-ref_Distribution'!$G$101:$G$109)),RIGHT(BT$1,2)),"")</f>
        <v>532</v>
      </c>
      <c r="BU15" s="16" cm="1">
        <f t="array" ref="BU15">IFERROR(INDEX(_xlfn.ANCHORARRAY(_xlfn.XLOOKUP($C15,'-ref_Distribution'!$B$101:$B$109,'-ref_Distribution'!$G$101:$G$109)),RIGHT(BU$1,2)),"")</f>
        <v>527</v>
      </c>
      <c r="BV15" s="16" cm="1">
        <f t="array" ref="BV15">IFERROR(INDEX(_xlfn.ANCHORARRAY(_xlfn.XLOOKUP($C15,'-ref_Distribution'!$B$101:$B$109,'-ref_Distribution'!$G$101:$G$109)),RIGHT(BV$1,2)),"")</f>
        <v>513</v>
      </c>
      <c r="BW15" s="16" cm="1">
        <f t="array" ref="BW15">IFERROR(INDEX(_xlfn.ANCHORARRAY(_xlfn.XLOOKUP($C15,'-ref_Distribution'!$B$101:$B$109,'-ref_Distribution'!$G$101:$G$109)),RIGHT(BW$1,2)),"")</f>
        <v>491</v>
      </c>
      <c r="BX15" s="16" cm="1">
        <f t="array" ref="BX15">IFERROR(INDEX(_xlfn.ANCHORARRAY(_xlfn.XLOOKUP($C15,'-ref_Distribution'!$B$101:$B$109,'-ref_Distribution'!$G$101:$G$109)),RIGHT(BX$1,2)),"")</f>
        <v>461</v>
      </c>
      <c r="BY15" s="16" cm="1">
        <f t="array" ref="BY15">IFERROR(INDEX(_xlfn.ANCHORARRAY(_xlfn.XLOOKUP($C15,'-ref_Distribution'!$B$101:$B$109,'-ref_Distribution'!$G$101:$G$109)),RIGHT(BY$1,2)),"")</f>
        <v>426</v>
      </c>
      <c r="BZ15" s="16" cm="1">
        <f t="array" ref="BZ15">IFERROR(INDEX(_xlfn.ANCHORARRAY(_xlfn.XLOOKUP($C15,'-ref_Distribution'!$B$101:$B$109,'-ref_Distribution'!$G$101:$G$109)),RIGHT(BZ$1,2)),"")</f>
        <v>386</v>
      </c>
      <c r="CA15" s="16" cm="1">
        <f t="array" ref="CA15">IFERROR(INDEX(_xlfn.ANCHORARRAY(_xlfn.XLOOKUP($C15,'-ref_Distribution'!$B$101:$B$109,'-ref_Distribution'!$G$101:$G$109)),RIGHT(CA$1,2)),"")</f>
        <v>344</v>
      </c>
      <c r="CB15" s="16" cm="1">
        <f t="array" ref="CB15">IFERROR(INDEX(_xlfn.ANCHORARRAY(_xlfn.XLOOKUP($C15,'-ref_Distribution'!$B$101:$B$109,'-ref_Distribution'!$G$101:$G$109)),RIGHT(CB$1,2)),"")</f>
        <v>301</v>
      </c>
      <c r="CC15" s="16" cm="1">
        <f t="array" ref="CC15">IFERROR(INDEX(_xlfn.ANCHORARRAY(_xlfn.XLOOKUP($C15,'-ref_Distribution'!$B$101:$B$109,'-ref_Distribution'!$G$101:$G$109)),RIGHT(CC$1,2)),"")</f>
        <v>259</v>
      </c>
      <c r="CD15" s="16" cm="1">
        <f t="array" ref="CD15">IFERROR(INDEX(_xlfn.ANCHORARRAY(_xlfn.XLOOKUP($C15,'-ref_Distribution'!$B$101:$B$109,'-ref_Distribution'!$G$101:$G$109)),RIGHT(CD$1,2)),"")</f>
        <v>219</v>
      </c>
      <c r="CE15" s="16" cm="1">
        <f t="array" ref="CE15">IFERROR(INDEX(_xlfn.ANCHORARRAY(_xlfn.XLOOKUP($C15,'-ref_Distribution'!$B$101:$B$109,'-ref_Distribution'!$G$101:$G$109)),RIGHT(CE$1,2)),"")</f>
        <v>181</v>
      </c>
      <c r="CF15" s="16"/>
      <c r="CG15" s="16"/>
      <c r="CH15" s="16"/>
      <c r="CI15" s="16"/>
      <c r="CJ15" s="16"/>
      <c r="CK15" s="16"/>
      <c r="CL15" s="16"/>
    </row>
    <row r="16" spans="1:90" x14ac:dyDescent="0.2">
      <c r="A16" s="16">
        <v>15115</v>
      </c>
      <c r="B16" s="16" t="s">
        <v>190</v>
      </c>
      <c r="C16" s="16">
        <v>12</v>
      </c>
      <c r="D16" s="16" cm="1">
        <f t="array" ref="D16">IFERROR(INDEX(_xlfn.ANCHORARRAY(_xlfn.XLOOKUP($C16,'-ref_Distribution'!$B$101:$B$109,'-ref_Distribution'!$G$101:$G$109)),RIGHT(D$1,2)),"")</f>
        <v>301</v>
      </c>
      <c r="E16" s="16" cm="1">
        <f t="array" ref="E16">IFERROR(INDEX(_xlfn.ANCHORARRAY(_xlfn.XLOOKUP($C16,'-ref_Distribution'!$B$101:$B$109,'-ref_Distribution'!$G$101:$G$109)),RIGHT(E$1,2)),"")</f>
        <v>344</v>
      </c>
      <c r="F16" s="16" cm="1">
        <f t="array" ref="F16">IFERROR(INDEX(_xlfn.ANCHORARRAY(_xlfn.XLOOKUP($C16,'-ref_Distribution'!$B$101:$B$109,'-ref_Distribution'!$G$101:$G$109)),RIGHT(F$1,2)),"")</f>
        <v>386</v>
      </c>
      <c r="G16" s="16" cm="1">
        <f t="array" ref="G16">IFERROR(INDEX(_xlfn.ANCHORARRAY(_xlfn.XLOOKUP($C16,'-ref_Distribution'!$B$101:$B$109,'-ref_Distribution'!$G$101:$G$109)),RIGHT(G$1,2)),"")</f>
        <v>426</v>
      </c>
      <c r="H16" s="16" cm="1">
        <f t="array" ref="H16">IFERROR(INDEX(_xlfn.ANCHORARRAY(_xlfn.XLOOKUP($C16,'-ref_Distribution'!$B$101:$B$109,'-ref_Distribution'!$G$101:$G$109)),RIGHT(H$1,2)),"")</f>
        <v>461</v>
      </c>
      <c r="I16" s="16" cm="1">
        <f t="array" ref="I16">IFERROR(INDEX(_xlfn.ANCHORARRAY(_xlfn.XLOOKUP($C16,'-ref_Distribution'!$B$101:$B$109,'-ref_Distribution'!$G$101:$G$109)),RIGHT(I$1,2)),"")</f>
        <v>491</v>
      </c>
      <c r="J16" s="16" cm="1">
        <f t="array" ref="J16">IFERROR(INDEX(_xlfn.ANCHORARRAY(_xlfn.XLOOKUP($C16,'-ref_Distribution'!$B$101:$B$109,'-ref_Distribution'!$G$101:$G$109)),RIGHT(J$1,2)),"")</f>
        <v>513</v>
      </c>
      <c r="K16" s="16" cm="1">
        <f t="array" ref="K16">IFERROR(INDEX(_xlfn.ANCHORARRAY(_xlfn.XLOOKUP($C16,'-ref_Distribution'!$B$101:$B$109,'-ref_Distribution'!$G$101:$G$109)),RIGHT(K$1,2)),"")</f>
        <v>527</v>
      </c>
      <c r="L16" s="16" cm="1">
        <f t="array" ref="L16">IFERROR(INDEX(_xlfn.ANCHORARRAY(_xlfn.XLOOKUP($C16,'-ref_Distribution'!$B$101:$B$109,'-ref_Distribution'!$G$101:$G$109)),RIGHT(L$1,2)),"")</f>
        <v>532</v>
      </c>
      <c r="M16" s="16" cm="1">
        <f t="array" ref="M16">IFERROR(INDEX(_xlfn.ANCHORARRAY(_xlfn.XLOOKUP($C16,'-ref_Distribution'!$B$101:$B$109,'-ref_Distribution'!$G$101:$G$109)),RIGHT(M$1,2)),"")</f>
        <v>527</v>
      </c>
      <c r="N16" s="16" cm="1">
        <f t="array" ref="N16">IFERROR(INDEX(_xlfn.ANCHORARRAY(_xlfn.XLOOKUP($C16,'-ref_Distribution'!$B$101:$B$109,'-ref_Distribution'!$G$101:$G$109)),RIGHT(N$1,2)),"")</f>
        <v>513</v>
      </c>
      <c r="O16" s="16" cm="1">
        <f t="array" ref="O16">IFERROR(INDEX(_xlfn.ANCHORARRAY(_xlfn.XLOOKUP($C16,'-ref_Distribution'!$B$101:$B$109,'-ref_Distribution'!$G$101:$G$109)),RIGHT(O$1,2)),"")</f>
        <v>491</v>
      </c>
      <c r="P16" s="16" cm="1">
        <f t="array" ref="P16">IFERROR(INDEX(_xlfn.ANCHORARRAY(_xlfn.XLOOKUP($C16,'-ref_Distribution'!$B$101:$B$109,'-ref_Distribution'!$G$101:$G$109)),RIGHT(P$1,2)),"")</f>
        <v>461</v>
      </c>
      <c r="Q16" s="16" cm="1">
        <f t="array" ref="Q16">IFERROR(INDEX(_xlfn.ANCHORARRAY(_xlfn.XLOOKUP($C16,'-ref_Distribution'!$B$101:$B$109,'-ref_Distribution'!$G$101:$G$109)),RIGHT(Q$1,2)),"")</f>
        <v>426</v>
      </c>
      <c r="R16" s="16" cm="1">
        <f t="array" ref="R16">IFERROR(INDEX(_xlfn.ANCHORARRAY(_xlfn.XLOOKUP($C16,'-ref_Distribution'!$B$101:$B$109,'-ref_Distribution'!$G$101:$G$109)),RIGHT(R$1,2)),"")</f>
        <v>386</v>
      </c>
      <c r="S16" s="16" cm="1">
        <f t="array" ref="S16">IFERROR(INDEX(_xlfn.ANCHORARRAY(_xlfn.XLOOKUP($C16,'-ref_Distribution'!$B$101:$B$109,'-ref_Distribution'!$G$101:$G$109)),RIGHT(S$1,2)),"")</f>
        <v>344</v>
      </c>
      <c r="T16" s="16" cm="1">
        <f t="array" ref="T16">IFERROR(INDEX(_xlfn.ANCHORARRAY(_xlfn.XLOOKUP($C16,'-ref_Distribution'!$B$101:$B$109,'-ref_Distribution'!$G$101:$G$109)),RIGHT(T$1,2)),"")</f>
        <v>301</v>
      </c>
      <c r="U16" s="16" cm="1">
        <f t="array" ref="U16">IFERROR(INDEX(_xlfn.ANCHORARRAY(_xlfn.XLOOKUP($C16,'-ref_Distribution'!$B$101:$B$109,'-ref_Distribution'!$G$101:$G$109)),RIGHT(U$1,2)),"")</f>
        <v>259</v>
      </c>
      <c r="V16" s="16" cm="1">
        <f t="array" ref="V16">IFERROR(INDEX(_xlfn.ANCHORARRAY(_xlfn.XLOOKUP($C16,'-ref_Distribution'!$B$101:$B$109,'-ref_Distribution'!$G$101:$G$109)),RIGHT(V$1,2)),"")</f>
        <v>219</v>
      </c>
      <c r="W16" s="16" cm="1">
        <f t="array" ref="W16">IFERROR(INDEX(_xlfn.ANCHORARRAY(_xlfn.XLOOKUP($C16,'-ref_Distribution'!$B$101:$B$109,'-ref_Distribution'!$G$101:$G$109)),RIGHT(W$1,2)),"")</f>
        <v>181</v>
      </c>
      <c r="X16" s="16" cm="1">
        <f t="array" ref="X16">IFERROR(INDEX(_xlfn.ANCHORARRAY(_xlfn.XLOOKUP($C16,'-ref_Distribution'!$B$101:$B$109,'-ref_Distribution'!$G$101:$G$109)),RIGHT(X$1,2)),"")</f>
        <v>301</v>
      </c>
      <c r="Y16" s="16" cm="1">
        <f t="array" ref="Y16">IFERROR(INDEX(_xlfn.ANCHORARRAY(_xlfn.XLOOKUP($C16,'-ref_Distribution'!$B$101:$B$109,'-ref_Distribution'!$G$101:$G$109)),RIGHT(Y$1,2)),"")</f>
        <v>344</v>
      </c>
      <c r="Z16" s="16" cm="1">
        <f t="array" ref="Z16">IFERROR(INDEX(_xlfn.ANCHORARRAY(_xlfn.XLOOKUP($C16,'-ref_Distribution'!$B$101:$B$109,'-ref_Distribution'!$G$101:$G$109)),RIGHT(Z$1,2)),"")</f>
        <v>386</v>
      </c>
      <c r="AA16" s="16" cm="1">
        <f t="array" ref="AA16">IFERROR(INDEX(_xlfn.ANCHORARRAY(_xlfn.XLOOKUP($C16,'-ref_Distribution'!$B$101:$B$109,'-ref_Distribution'!$G$101:$G$109)),RIGHT(AA$1,2)),"")</f>
        <v>426</v>
      </c>
      <c r="AB16" s="16" cm="1">
        <f t="array" ref="AB16">IFERROR(INDEX(_xlfn.ANCHORARRAY(_xlfn.XLOOKUP($C16,'-ref_Distribution'!$B$101:$B$109,'-ref_Distribution'!$G$101:$G$109)),RIGHT(AB$1,2)),"")</f>
        <v>461</v>
      </c>
      <c r="AC16" s="16" cm="1">
        <f t="array" ref="AC16">IFERROR(INDEX(_xlfn.ANCHORARRAY(_xlfn.XLOOKUP($C16,'-ref_Distribution'!$B$101:$B$109,'-ref_Distribution'!$G$101:$G$109)),RIGHT(AC$1,2)),"")</f>
        <v>491</v>
      </c>
      <c r="AD16" s="16" cm="1">
        <f t="array" ref="AD16">IFERROR(INDEX(_xlfn.ANCHORARRAY(_xlfn.XLOOKUP($C16,'-ref_Distribution'!$B$101:$B$109,'-ref_Distribution'!$G$101:$G$109)),RIGHT(AD$1,2)),"")</f>
        <v>513</v>
      </c>
      <c r="AE16" s="16" cm="1">
        <f t="array" ref="AE16">IFERROR(INDEX(_xlfn.ANCHORARRAY(_xlfn.XLOOKUP($C16,'-ref_Distribution'!$B$101:$B$109,'-ref_Distribution'!$G$101:$G$109)),RIGHT(AE$1,2)),"")</f>
        <v>527</v>
      </c>
      <c r="AF16" s="16" cm="1">
        <f t="array" ref="AF16">IFERROR(INDEX(_xlfn.ANCHORARRAY(_xlfn.XLOOKUP($C16,'-ref_Distribution'!$B$101:$B$109,'-ref_Distribution'!$G$101:$G$109)),RIGHT(AF$1,2)),"")</f>
        <v>532</v>
      </c>
      <c r="AG16" s="16" cm="1">
        <f t="array" ref="AG16">IFERROR(INDEX(_xlfn.ANCHORARRAY(_xlfn.XLOOKUP($C16,'-ref_Distribution'!$B$101:$B$109,'-ref_Distribution'!$G$101:$G$109)),RIGHT(AG$1,2)),"")</f>
        <v>527</v>
      </c>
      <c r="AH16" s="16" cm="1">
        <f t="array" ref="AH16">IFERROR(INDEX(_xlfn.ANCHORARRAY(_xlfn.XLOOKUP($C16,'-ref_Distribution'!$B$101:$B$109,'-ref_Distribution'!$G$101:$G$109)),RIGHT(AH$1,2)),"")</f>
        <v>513</v>
      </c>
      <c r="AI16" s="16" cm="1">
        <f t="array" ref="AI16">IFERROR(INDEX(_xlfn.ANCHORARRAY(_xlfn.XLOOKUP($C16,'-ref_Distribution'!$B$101:$B$109,'-ref_Distribution'!$G$101:$G$109)),RIGHT(AI$1,2)),"")</f>
        <v>491</v>
      </c>
      <c r="AJ16" s="16" cm="1">
        <f t="array" ref="AJ16">IFERROR(INDEX(_xlfn.ANCHORARRAY(_xlfn.XLOOKUP($C16,'-ref_Distribution'!$B$101:$B$109,'-ref_Distribution'!$G$101:$G$109)),RIGHT(AJ$1,2)),"")</f>
        <v>461</v>
      </c>
      <c r="AK16" s="16" cm="1">
        <f t="array" ref="AK16">IFERROR(INDEX(_xlfn.ANCHORARRAY(_xlfn.XLOOKUP($C16,'-ref_Distribution'!$B$101:$B$109,'-ref_Distribution'!$G$101:$G$109)),RIGHT(AK$1,2)),"")</f>
        <v>426</v>
      </c>
      <c r="AL16" s="16" cm="1">
        <f t="array" ref="AL16">IFERROR(INDEX(_xlfn.ANCHORARRAY(_xlfn.XLOOKUP($C16,'-ref_Distribution'!$B$101:$B$109,'-ref_Distribution'!$G$101:$G$109)),RIGHT(AL$1,2)),"")</f>
        <v>386</v>
      </c>
      <c r="AM16" s="16" cm="1">
        <f t="array" ref="AM16">IFERROR(INDEX(_xlfn.ANCHORARRAY(_xlfn.XLOOKUP($C16,'-ref_Distribution'!$B$101:$B$109,'-ref_Distribution'!$G$101:$G$109)),RIGHT(AM$1,2)),"")</f>
        <v>344</v>
      </c>
      <c r="AN16" s="16" cm="1">
        <f t="array" ref="AN16">IFERROR(INDEX(_xlfn.ANCHORARRAY(_xlfn.XLOOKUP($C16,'-ref_Distribution'!$B$101:$B$109,'-ref_Distribution'!$G$101:$G$109)),RIGHT(AN$1,2)),"")</f>
        <v>301</v>
      </c>
      <c r="AO16" s="16" cm="1">
        <f t="array" ref="AO16">IFERROR(INDEX(_xlfn.ANCHORARRAY(_xlfn.XLOOKUP($C16,'-ref_Distribution'!$B$101:$B$109,'-ref_Distribution'!$G$101:$G$109)),RIGHT(AO$1,2)),"")</f>
        <v>259</v>
      </c>
      <c r="AP16" s="16" cm="1">
        <f t="array" ref="AP16">IFERROR(INDEX(_xlfn.ANCHORARRAY(_xlfn.XLOOKUP($C16,'-ref_Distribution'!$B$101:$B$109,'-ref_Distribution'!$G$101:$G$109)),RIGHT(AP$1,2)),"")</f>
        <v>219</v>
      </c>
      <c r="AQ16" s="16" cm="1">
        <f t="array" ref="AQ16">IFERROR(INDEX(_xlfn.ANCHORARRAY(_xlfn.XLOOKUP($C16,'-ref_Distribution'!$B$101:$B$109,'-ref_Distribution'!$G$101:$G$109)),RIGHT(AQ$1,2)),"")</f>
        <v>181</v>
      </c>
      <c r="AR16" s="16" cm="1">
        <f t="array" ref="AR16">IFERROR(INDEX(_xlfn.ANCHORARRAY(_xlfn.XLOOKUP($C16,'-ref_Distribution'!$B$101:$B$109,'-ref_Distribution'!$G$101:$G$109)),RIGHT(AR$1,2)),"")</f>
        <v>301</v>
      </c>
      <c r="AS16" s="16" cm="1">
        <f t="array" ref="AS16">IFERROR(INDEX(_xlfn.ANCHORARRAY(_xlfn.XLOOKUP($C16,'-ref_Distribution'!$B$101:$B$109,'-ref_Distribution'!$G$101:$G$109)),RIGHT(AS$1,2)),"")</f>
        <v>344</v>
      </c>
      <c r="AT16" s="16" cm="1">
        <f t="array" ref="AT16">IFERROR(INDEX(_xlfn.ANCHORARRAY(_xlfn.XLOOKUP($C16,'-ref_Distribution'!$B$101:$B$109,'-ref_Distribution'!$G$101:$G$109)),RIGHT(AT$1,2)),"")</f>
        <v>386</v>
      </c>
      <c r="AU16" s="16" cm="1">
        <f t="array" ref="AU16">IFERROR(INDEX(_xlfn.ANCHORARRAY(_xlfn.XLOOKUP($C16,'-ref_Distribution'!$B$101:$B$109,'-ref_Distribution'!$G$101:$G$109)),RIGHT(AU$1,2)),"")</f>
        <v>426</v>
      </c>
      <c r="AV16" s="16" cm="1">
        <f t="array" ref="AV16">IFERROR(INDEX(_xlfn.ANCHORARRAY(_xlfn.XLOOKUP($C16,'-ref_Distribution'!$B$101:$B$109,'-ref_Distribution'!$G$101:$G$109)),RIGHT(AV$1,2)),"")</f>
        <v>461</v>
      </c>
      <c r="AW16" s="16" cm="1">
        <f t="array" ref="AW16">IFERROR(INDEX(_xlfn.ANCHORARRAY(_xlfn.XLOOKUP($C16,'-ref_Distribution'!$B$101:$B$109,'-ref_Distribution'!$G$101:$G$109)),RIGHT(AW$1,2)),"")</f>
        <v>491</v>
      </c>
      <c r="AX16" s="16" cm="1">
        <f t="array" ref="AX16">IFERROR(INDEX(_xlfn.ANCHORARRAY(_xlfn.XLOOKUP($C16,'-ref_Distribution'!$B$101:$B$109,'-ref_Distribution'!$G$101:$G$109)),RIGHT(AX$1,2)),"")</f>
        <v>513</v>
      </c>
      <c r="AY16" s="16" cm="1">
        <f t="array" ref="AY16">IFERROR(INDEX(_xlfn.ANCHORARRAY(_xlfn.XLOOKUP($C16,'-ref_Distribution'!$B$101:$B$109,'-ref_Distribution'!$G$101:$G$109)),RIGHT(AY$1,2)),"")</f>
        <v>527</v>
      </c>
      <c r="AZ16" s="16" cm="1">
        <f t="array" ref="AZ16">IFERROR(INDEX(_xlfn.ANCHORARRAY(_xlfn.XLOOKUP($C16,'-ref_Distribution'!$B$101:$B$109,'-ref_Distribution'!$G$101:$G$109)),RIGHT(AZ$1,2)),"")</f>
        <v>532</v>
      </c>
      <c r="BA16" s="16" cm="1">
        <f t="array" ref="BA16">IFERROR(INDEX(_xlfn.ANCHORARRAY(_xlfn.XLOOKUP($C16,'-ref_Distribution'!$B$101:$B$109,'-ref_Distribution'!$G$101:$G$109)),RIGHT(BA$1,2)),"")</f>
        <v>527</v>
      </c>
      <c r="BB16" s="16" cm="1">
        <f t="array" ref="BB16">IFERROR(INDEX(_xlfn.ANCHORARRAY(_xlfn.XLOOKUP($C16,'-ref_Distribution'!$B$101:$B$109,'-ref_Distribution'!$G$101:$G$109)),RIGHT(BB$1,2)),"")</f>
        <v>513</v>
      </c>
      <c r="BC16" s="16" cm="1">
        <f t="array" ref="BC16">IFERROR(INDEX(_xlfn.ANCHORARRAY(_xlfn.XLOOKUP($C16,'-ref_Distribution'!$B$101:$B$109,'-ref_Distribution'!$G$101:$G$109)),RIGHT(BC$1,2)),"")</f>
        <v>491</v>
      </c>
      <c r="BD16" s="16" cm="1">
        <f t="array" ref="BD16">IFERROR(INDEX(_xlfn.ANCHORARRAY(_xlfn.XLOOKUP($C16,'-ref_Distribution'!$B$101:$B$109,'-ref_Distribution'!$G$101:$G$109)),RIGHT(BD$1,2)),"")</f>
        <v>461</v>
      </c>
      <c r="BE16" s="16" cm="1">
        <f t="array" ref="BE16">IFERROR(INDEX(_xlfn.ANCHORARRAY(_xlfn.XLOOKUP($C16,'-ref_Distribution'!$B$101:$B$109,'-ref_Distribution'!$G$101:$G$109)),RIGHT(BE$1,2)),"")</f>
        <v>426</v>
      </c>
      <c r="BF16" s="16" cm="1">
        <f t="array" ref="BF16">IFERROR(INDEX(_xlfn.ANCHORARRAY(_xlfn.XLOOKUP($C16,'-ref_Distribution'!$B$101:$B$109,'-ref_Distribution'!$G$101:$G$109)),RIGHT(BF$1,2)),"")</f>
        <v>386</v>
      </c>
      <c r="BG16" s="16" cm="1">
        <f t="array" ref="BG16">IFERROR(INDEX(_xlfn.ANCHORARRAY(_xlfn.XLOOKUP($C16,'-ref_Distribution'!$B$101:$B$109,'-ref_Distribution'!$G$101:$G$109)),RIGHT(BG$1,2)),"")</f>
        <v>344</v>
      </c>
      <c r="BH16" s="16" cm="1">
        <f t="array" ref="BH16">IFERROR(INDEX(_xlfn.ANCHORARRAY(_xlfn.XLOOKUP($C16,'-ref_Distribution'!$B$101:$B$109,'-ref_Distribution'!$G$101:$G$109)),RIGHT(BH$1,2)),"")</f>
        <v>301</v>
      </c>
      <c r="BI16" s="16" cm="1">
        <f t="array" ref="BI16">IFERROR(INDEX(_xlfn.ANCHORARRAY(_xlfn.XLOOKUP($C16,'-ref_Distribution'!$B$101:$B$109,'-ref_Distribution'!$G$101:$G$109)),RIGHT(BI$1,2)),"")</f>
        <v>259</v>
      </c>
      <c r="BJ16" s="16" cm="1">
        <f t="array" ref="BJ16">IFERROR(INDEX(_xlfn.ANCHORARRAY(_xlfn.XLOOKUP($C16,'-ref_Distribution'!$B$101:$B$109,'-ref_Distribution'!$G$101:$G$109)),RIGHT(BJ$1,2)),"")</f>
        <v>219</v>
      </c>
      <c r="BK16" s="16" cm="1">
        <f t="array" ref="BK16">IFERROR(INDEX(_xlfn.ANCHORARRAY(_xlfn.XLOOKUP($C16,'-ref_Distribution'!$B$101:$B$109,'-ref_Distribution'!$G$101:$G$109)),RIGHT(BK$1,2)),"")</f>
        <v>181</v>
      </c>
      <c r="BL16" s="16" cm="1">
        <f t="array" ref="BL16">IFERROR(INDEX(_xlfn.ANCHORARRAY(_xlfn.XLOOKUP($C16,'-ref_Distribution'!$B$101:$B$109,'-ref_Distribution'!$G$101:$G$109)),RIGHT(BL$1,2)),"")</f>
        <v>301</v>
      </c>
      <c r="BM16" s="16" cm="1">
        <f t="array" ref="BM16">IFERROR(INDEX(_xlfn.ANCHORARRAY(_xlfn.XLOOKUP($C16,'-ref_Distribution'!$B$101:$B$109,'-ref_Distribution'!$G$101:$G$109)),RIGHT(BM$1,2)),"")</f>
        <v>344</v>
      </c>
      <c r="BN16" s="16" cm="1">
        <f t="array" ref="BN16">IFERROR(INDEX(_xlfn.ANCHORARRAY(_xlfn.XLOOKUP($C16,'-ref_Distribution'!$B$101:$B$109,'-ref_Distribution'!$G$101:$G$109)),RIGHT(BN$1,2)),"")</f>
        <v>386</v>
      </c>
      <c r="BO16" s="16" cm="1">
        <f t="array" ref="BO16">IFERROR(INDEX(_xlfn.ANCHORARRAY(_xlfn.XLOOKUP($C16,'-ref_Distribution'!$B$101:$B$109,'-ref_Distribution'!$G$101:$G$109)),RIGHT(BO$1,2)),"")</f>
        <v>426</v>
      </c>
      <c r="BP16" s="16" cm="1">
        <f t="array" ref="BP16">IFERROR(INDEX(_xlfn.ANCHORARRAY(_xlfn.XLOOKUP($C16,'-ref_Distribution'!$B$101:$B$109,'-ref_Distribution'!$G$101:$G$109)),RIGHT(BP$1,2)),"")</f>
        <v>461</v>
      </c>
      <c r="BQ16" s="16" cm="1">
        <f t="array" ref="BQ16">IFERROR(INDEX(_xlfn.ANCHORARRAY(_xlfn.XLOOKUP($C16,'-ref_Distribution'!$B$101:$B$109,'-ref_Distribution'!$G$101:$G$109)),RIGHT(BQ$1,2)),"")</f>
        <v>491</v>
      </c>
      <c r="BR16" s="16" cm="1">
        <f t="array" ref="BR16">IFERROR(INDEX(_xlfn.ANCHORARRAY(_xlfn.XLOOKUP($C16,'-ref_Distribution'!$B$101:$B$109,'-ref_Distribution'!$G$101:$G$109)),RIGHT(BR$1,2)),"")</f>
        <v>513</v>
      </c>
      <c r="BS16" s="16" cm="1">
        <f t="array" ref="BS16">IFERROR(INDEX(_xlfn.ANCHORARRAY(_xlfn.XLOOKUP($C16,'-ref_Distribution'!$B$101:$B$109,'-ref_Distribution'!$G$101:$G$109)),RIGHT(BS$1,2)),"")</f>
        <v>527</v>
      </c>
      <c r="BT16" s="16" cm="1">
        <f t="array" ref="BT16">IFERROR(INDEX(_xlfn.ANCHORARRAY(_xlfn.XLOOKUP($C16,'-ref_Distribution'!$B$101:$B$109,'-ref_Distribution'!$G$101:$G$109)),RIGHT(BT$1,2)),"")</f>
        <v>532</v>
      </c>
      <c r="BU16" s="16" cm="1">
        <f t="array" ref="BU16">IFERROR(INDEX(_xlfn.ANCHORARRAY(_xlfn.XLOOKUP($C16,'-ref_Distribution'!$B$101:$B$109,'-ref_Distribution'!$G$101:$G$109)),RIGHT(BU$1,2)),"")</f>
        <v>527</v>
      </c>
      <c r="BV16" s="16" cm="1">
        <f t="array" ref="BV16">IFERROR(INDEX(_xlfn.ANCHORARRAY(_xlfn.XLOOKUP($C16,'-ref_Distribution'!$B$101:$B$109,'-ref_Distribution'!$G$101:$G$109)),RIGHT(BV$1,2)),"")</f>
        <v>513</v>
      </c>
      <c r="BW16" s="16" cm="1">
        <f t="array" ref="BW16">IFERROR(INDEX(_xlfn.ANCHORARRAY(_xlfn.XLOOKUP($C16,'-ref_Distribution'!$B$101:$B$109,'-ref_Distribution'!$G$101:$G$109)),RIGHT(BW$1,2)),"")</f>
        <v>491</v>
      </c>
      <c r="BX16" s="16" cm="1">
        <f t="array" ref="BX16">IFERROR(INDEX(_xlfn.ANCHORARRAY(_xlfn.XLOOKUP($C16,'-ref_Distribution'!$B$101:$B$109,'-ref_Distribution'!$G$101:$G$109)),RIGHT(BX$1,2)),"")</f>
        <v>461</v>
      </c>
      <c r="BY16" s="16" cm="1">
        <f t="array" ref="BY16">IFERROR(INDEX(_xlfn.ANCHORARRAY(_xlfn.XLOOKUP($C16,'-ref_Distribution'!$B$101:$B$109,'-ref_Distribution'!$G$101:$G$109)),RIGHT(BY$1,2)),"")</f>
        <v>426</v>
      </c>
      <c r="BZ16" s="16" cm="1">
        <f t="array" ref="BZ16">IFERROR(INDEX(_xlfn.ANCHORARRAY(_xlfn.XLOOKUP($C16,'-ref_Distribution'!$B$101:$B$109,'-ref_Distribution'!$G$101:$G$109)),RIGHT(BZ$1,2)),"")</f>
        <v>386</v>
      </c>
      <c r="CA16" s="16" cm="1">
        <f t="array" ref="CA16">IFERROR(INDEX(_xlfn.ANCHORARRAY(_xlfn.XLOOKUP($C16,'-ref_Distribution'!$B$101:$B$109,'-ref_Distribution'!$G$101:$G$109)),RIGHT(CA$1,2)),"")</f>
        <v>344</v>
      </c>
      <c r="CB16" s="16" cm="1">
        <f t="array" ref="CB16">IFERROR(INDEX(_xlfn.ANCHORARRAY(_xlfn.XLOOKUP($C16,'-ref_Distribution'!$B$101:$B$109,'-ref_Distribution'!$G$101:$G$109)),RIGHT(CB$1,2)),"")</f>
        <v>301</v>
      </c>
      <c r="CC16" s="16" cm="1">
        <f t="array" ref="CC16">IFERROR(INDEX(_xlfn.ANCHORARRAY(_xlfn.XLOOKUP($C16,'-ref_Distribution'!$B$101:$B$109,'-ref_Distribution'!$G$101:$G$109)),RIGHT(CC$1,2)),"")</f>
        <v>259</v>
      </c>
      <c r="CD16" s="16" cm="1">
        <f t="array" ref="CD16">IFERROR(INDEX(_xlfn.ANCHORARRAY(_xlfn.XLOOKUP($C16,'-ref_Distribution'!$B$101:$B$109,'-ref_Distribution'!$G$101:$G$109)),RIGHT(CD$1,2)),"")</f>
        <v>219</v>
      </c>
      <c r="CE16" s="16" cm="1">
        <f t="array" ref="CE16">IFERROR(INDEX(_xlfn.ANCHORARRAY(_xlfn.XLOOKUP($C16,'-ref_Distribution'!$B$101:$B$109,'-ref_Distribution'!$G$101:$G$109)),RIGHT(CE$1,2)),"")</f>
        <v>181</v>
      </c>
      <c r="CF16" s="16"/>
      <c r="CG16" s="16"/>
      <c r="CH16" s="16"/>
      <c r="CI16" s="16"/>
      <c r="CJ16" s="16"/>
      <c r="CK16" s="16"/>
      <c r="CL16" s="16"/>
    </row>
    <row r="17" spans="1:90" x14ac:dyDescent="0.2">
      <c r="A17" s="16">
        <v>15116</v>
      </c>
      <c r="B17" s="16" t="s">
        <v>191</v>
      </c>
      <c r="C17" s="16">
        <v>13</v>
      </c>
      <c r="D17" s="16" cm="1">
        <f t="array" ref="D17">IFERROR(INDEX(_xlfn.ANCHORARRAY(_xlfn.XLOOKUP($C17,'-ref_Distribution'!$B$101:$B$109,'-ref_Distribution'!$G$101:$G$109)),RIGHT(D$1,2)),"")</f>
        <v>164</v>
      </c>
      <c r="E17" s="16" cm="1">
        <f t="array" ref="E17">IFERROR(INDEX(_xlfn.ANCHORARRAY(_xlfn.XLOOKUP($C17,'-ref_Distribution'!$B$101:$B$109,'-ref_Distribution'!$G$101:$G$109)),RIGHT(E$1,2)),"")</f>
        <v>200</v>
      </c>
      <c r="F17" s="16" cm="1">
        <f t="array" ref="F17">IFERROR(INDEX(_xlfn.ANCHORARRAY(_xlfn.XLOOKUP($C17,'-ref_Distribution'!$B$101:$B$109,'-ref_Distribution'!$G$101:$G$109)),RIGHT(F$1,2)),"")</f>
        <v>237</v>
      </c>
      <c r="G17" s="16" cm="1">
        <f t="array" ref="G17">IFERROR(INDEX(_xlfn.ANCHORARRAY(_xlfn.XLOOKUP($C17,'-ref_Distribution'!$B$101:$B$109,'-ref_Distribution'!$G$101:$G$109)),RIGHT(G$1,2)),"")</f>
        <v>277</v>
      </c>
      <c r="H17" s="16" cm="1">
        <f t="array" ref="H17">IFERROR(INDEX(_xlfn.ANCHORARRAY(_xlfn.XLOOKUP($C17,'-ref_Distribution'!$B$101:$B$109,'-ref_Distribution'!$G$101:$G$109)),RIGHT(H$1,2)),"")</f>
        <v>316</v>
      </c>
      <c r="I17" s="16" cm="1">
        <f t="array" ref="I17">IFERROR(INDEX(_xlfn.ANCHORARRAY(_xlfn.XLOOKUP($C17,'-ref_Distribution'!$B$101:$B$109,'-ref_Distribution'!$G$101:$G$109)),RIGHT(I$1,2)),"")</f>
        <v>353</v>
      </c>
      <c r="J17" s="16" cm="1">
        <f t="array" ref="J17">IFERROR(INDEX(_xlfn.ANCHORARRAY(_xlfn.XLOOKUP($C17,'-ref_Distribution'!$B$101:$B$109,'-ref_Distribution'!$G$101:$G$109)),RIGHT(J$1,2)),"")</f>
        <v>387</v>
      </c>
      <c r="K17" s="16" cm="1">
        <f t="array" ref="K17">IFERROR(INDEX(_xlfn.ANCHORARRAY(_xlfn.XLOOKUP($C17,'-ref_Distribution'!$B$101:$B$109,'-ref_Distribution'!$G$101:$G$109)),RIGHT(K$1,2)),"")</f>
        <v>416</v>
      </c>
      <c r="L17" s="16" cm="1">
        <f t="array" ref="L17">IFERROR(INDEX(_xlfn.ANCHORARRAY(_xlfn.XLOOKUP($C17,'-ref_Distribution'!$B$101:$B$109,'-ref_Distribution'!$G$101:$G$109)),RIGHT(L$1,2)),"")</f>
        <v>438</v>
      </c>
      <c r="M17" s="16" cm="1">
        <f t="array" ref="M17">IFERROR(INDEX(_xlfn.ANCHORARRAY(_xlfn.XLOOKUP($C17,'-ref_Distribution'!$B$101:$B$109,'-ref_Distribution'!$G$101:$G$109)),RIGHT(M$1,2)),"")</f>
        <v>451</v>
      </c>
      <c r="N17" s="16" cm="1">
        <f t="array" ref="N17">IFERROR(INDEX(_xlfn.ANCHORARRAY(_xlfn.XLOOKUP($C17,'-ref_Distribution'!$B$101:$B$109,'-ref_Distribution'!$G$101:$G$109)),RIGHT(N$1,2)),"")</f>
        <v>456</v>
      </c>
      <c r="O17" s="16" cm="1">
        <f t="array" ref="O17">IFERROR(INDEX(_xlfn.ANCHORARRAY(_xlfn.XLOOKUP($C17,'-ref_Distribution'!$B$101:$B$109,'-ref_Distribution'!$G$101:$G$109)),RIGHT(O$1,2)),"")</f>
        <v>451</v>
      </c>
      <c r="P17" s="16" cm="1">
        <f t="array" ref="P17">IFERROR(INDEX(_xlfn.ANCHORARRAY(_xlfn.XLOOKUP($C17,'-ref_Distribution'!$B$101:$B$109,'-ref_Distribution'!$G$101:$G$109)),RIGHT(P$1,2)),"")</f>
        <v>438</v>
      </c>
      <c r="Q17" s="16" cm="1">
        <f t="array" ref="Q17">IFERROR(INDEX(_xlfn.ANCHORARRAY(_xlfn.XLOOKUP($C17,'-ref_Distribution'!$B$101:$B$109,'-ref_Distribution'!$G$101:$G$109)),RIGHT(Q$1,2)),"")</f>
        <v>416</v>
      </c>
      <c r="R17" s="16" cm="1">
        <f t="array" ref="R17">IFERROR(INDEX(_xlfn.ANCHORARRAY(_xlfn.XLOOKUP($C17,'-ref_Distribution'!$B$101:$B$109,'-ref_Distribution'!$G$101:$G$109)),RIGHT(R$1,2)),"")</f>
        <v>387</v>
      </c>
      <c r="S17" s="16" cm="1">
        <f t="array" ref="S17">IFERROR(INDEX(_xlfn.ANCHORARRAY(_xlfn.XLOOKUP($C17,'-ref_Distribution'!$B$101:$B$109,'-ref_Distribution'!$G$101:$G$109)),RIGHT(S$1,2)),"")</f>
        <v>353</v>
      </c>
      <c r="T17" s="16" cm="1">
        <f t="array" ref="T17">IFERROR(INDEX(_xlfn.ANCHORARRAY(_xlfn.XLOOKUP($C17,'-ref_Distribution'!$B$101:$B$109,'-ref_Distribution'!$G$101:$G$109)),RIGHT(T$1,2)),"")</f>
        <v>316</v>
      </c>
      <c r="U17" s="16" cm="1">
        <f t="array" ref="U17">IFERROR(INDEX(_xlfn.ANCHORARRAY(_xlfn.XLOOKUP($C17,'-ref_Distribution'!$B$101:$B$109,'-ref_Distribution'!$G$101:$G$109)),RIGHT(U$1,2)),"")</f>
        <v>277</v>
      </c>
      <c r="V17" s="16" cm="1">
        <f t="array" ref="V17">IFERROR(INDEX(_xlfn.ANCHORARRAY(_xlfn.XLOOKUP($C17,'-ref_Distribution'!$B$101:$B$109,'-ref_Distribution'!$G$101:$G$109)),RIGHT(V$1,2)),"")</f>
        <v>237</v>
      </c>
      <c r="W17" s="16" cm="1">
        <f t="array" ref="W17">IFERROR(INDEX(_xlfn.ANCHORARRAY(_xlfn.XLOOKUP($C17,'-ref_Distribution'!$B$101:$B$109,'-ref_Distribution'!$G$101:$G$109)),RIGHT(W$1,2)),"")</f>
        <v>200</v>
      </c>
      <c r="X17" s="16" cm="1">
        <f t="array" ref="X17">IFERROR(INDEX(_xlfn.ANCHORARRAY(_xlfn.XLOOKUP($C17,'-ref_Distribution'!$B$101:$B$109,'-ref_Distribution'!$G$101:$G$109)),RIGHT(X$1,2)),"")</f>
        <v>164</v>
      </c>
      <c r="Y17" s="16" cm="1">
        <f t="array" ref="Y17">IFERROR(INDEX(_xlfn.ANCHORARRAY(_xlfn.XLOOKUP($C17,'-ref_Distribution'!$B$101:$B$109,'-ref_Distribution'!$G$101:$G$109)),RIGHT(Y$1,2)),"")</f>
        <v>200</v>
      </c>
      <c r="Z17" s="16" cm="1">
        <f t="array" ref="Z17">IFERROR(INDEX(_xlfn.ANCHORARRAY(_xlfn.XLOOKUP($C17,'-ref_Distribution'!$B$101:$B$109,'-ref_Distribution'!$G$101:$G$109)),RIGHT(Z$1,2)),"")</f>
        <v>237</v>
      </c>
      <c r="AA17" s="16" cm="1">
        <f t="array" ref="AA17">IFERROR(INDEX(_xlfn.ANCHORARRAY(_xlfn.XLOOKUP($C17,'-ref_Distribution'!$B$101:$B$109,'-ref_Distribution'!$G$101:$G$109)),RIGHT(AA$1,2)),"")</f>
        <v>277</v>
      </c>
      <c r="AB17" s="16" cm="1">
        <f t="array" ref="AB17">IFERROR(INDEX(_xlfn.ANCHORARRAY(_xlfn.XLOOKUP($C17,'-ref_Distribution'!$B$101:$B$109,'-ref_Distribution'!$G$101:$G$109)),RIGHT(AB$1,2)),"")</f>
        <v>316</v>
      </c>
      <c r="AC17" s="16" cm="1">
        <f t="array" ref="AC17">IFERROR(INDEX(_xlfn.ANCHORARRAY(_xlfn.XLOOKUP($C17,'-ref_Distribution'!$B$101:$B$109,'-ref_Distribution'!$G$101:$G$109)),RIGHT(AC$1,2)),"")</f>
        <v>353</v>
      </c>
      <c r="AD17" s="16" cm="1">
        <f t="array" ref="AD17">IFERROR(INDEX(_xlfn.ANCHORARRAY(_xlfn.XLOOKUP($C17,'-ref_Distribution'!$B$101:$B$109,'-ref_Distribution'!$G$101:$G$109)),RIGHT(AD$1,2)),"")</f>
        <v>387</v>
      </c>
      <c r="AE17" s="16" cm="1">
        <f t="array" ref="AE17">IFERROR(INDEX(_xlfn.ANCHORARRAY(_xlfn.XLOOKUP($C17,'-ref_Distribution'!$B$101:$B$109,'-ref_Distribution'!$G$101:$G$109)),RIGHT(AE$1,2)),"")</f>
        <v>416</v>
      </c>
      <c r="AF17" s="16" cm="1">
        <f t="array" ref="AF17">IFERROR(INDEX(_xlfn.ANCHORARRAY(_xlfn.XLOOKUP($C17,'-ref_Distribution'!$B$101:$B$109,'-ref_Distribution'!$G$101:$G$109)),RIGHT(AF$1,2)),"")</f>
        <v>438</v>
      </c>
      <c r="AG17" s="16" cm="1">
        <f t="array" ref="AG17">IFERROR(INDEX(_xlfn.ANCHORARRAY(_xlfn.XLOOKUP($C17,'-ref_Distribution'!$B$101:$B$109,'-ref_Distribution'!$G$101:$G$109)),RIGHT(AG$1,2)),"")</f>
        <v>451</v>
      </c>
      <c r="AH17" s="16" cm="1">
        <f t="array" ref="AH17">IFERROR(INDEX(_xlfn.ANCHORARRAY(_xlfn.XLOOKUP($C17,'-ref_Distribution'!$B$101:$B$109,'-ref_Distribution'!$G$101:$G$109)),RIGHT(AH$1,2)),"")</f>
        <v>456</v>
      </c>
      <c r="AI17" s="16" cm="1">
        <f t="array" ref="AI17">IFERROR(INDEX(_xlfn.ANCHORARRAY(_xlfn.XLOOKUP($C17,'-ref_Distribution'!$B$101:$B$109,'-ref_Distribution'!$G$101:$G$109)),RIGHT(AI$1,2)),"")</f>
        <v>451</v>
      </c>
      <c r="AJ17" s="16" cm="1">
        <f t="array" ref="AJ17">IFERROR(INDEX(_xlfn.ANCHORARRAY(_xlfn.XLOOKUP($C17,'-ref_Distribution'!$B$101:$B$109,'-ref_Distribution'!$G$101:$G$109)),RIGHT(AJ$1,2)),"")</f>
        <v>438</v>
      </c>
      <c r="AK17" s="16" cm="1">
        <f t="array" ref="AK17">IFERROR(INDEX(_xlfn.ANCHORARRAY(_xlfn.XLOOKUP($C17,'-ref_Distribution'!$B$101:$B$109,'-ref_Distribution'!$G$101:$G$109)),RIGHT(AK$1,2)),"")</f>
        <v>416</v>
      </c>
      <c r="AL17" s="16" cm="1">
        <f t="array" ref="AL17">IFERROR(INDEX(_xlfn.ANCHORARRAY(_xlfn.XLOOKUP($C17,'-ref_Distribution'!$B$101:$B$109,'-ref_Distribution'!$G$101:$G$109)),RIGHT(AL$1,2)),"")</f>
        <v>387</v>
      </c>
      <c r="AM17" s="16" cm="1">
        <f t="array" ref="AM17">IFERROR(INDEX(_xlfn.ANCHORARRAY(_xlfn.XLOOKUP($C17,'-ref_Distribution'!$B$101:$B$109,'-ref_Distribution'!$G$101:$G$109)),RIGHT(AM$1,2)),"")</f>
        <v>353</v>
      </c>
      <c r="AN17" s="16" cm="1">
        <f t="array" ref="AN17">IFERROR(INDEX(_xlfn.ANCHORARRAY(_xlfn.XLOOKUP($C17,'-ref_Distribution'!$B$101:$B$109,'-ref_Distribution'!$G$101:$G$109)),RIGHT(AN$1,2)),"")</f>
        <v>316</v>
      </c>
      <c r="AO17" s="16" cm="1">
        <f t="array" ref="AO17">IFERROR(INDEX(_xlfn.ANCHORARRAY(_xlfn.XLOOKUP($C17,'-ref_Distribution'!$B$101:$B$109,'-ref_Distribution'!$G$101:$G$109)),RIGHT(AO$1,2)),"")</f>
        <v>277</v>
      </c>
      <c r="AP17" s="16" cm="1">
        <f t="array" ref="AP17">IFERROR(INDEX(_xlfn.ANCHORARRAY(_xlfn.XLOOKUP($C17,'-ref_Distribution'!$B$101:$B$109,'-ref_Distribution'!$G$101:$G$109)),RIGHT(AP$1,2)),"")</f>
        <v>237</v>
      </c>
      <c r="AQ17" s="16" cm="1">
        <f t="array" ref="AQ17">IFERROR(INDEX(_xlfn.ANCHORARRAY(_xlfn.XLOOKUP($C17,'-ref_Distribution'!$B$101:$B$109,'-ref_Distribution'!$G$101:$G$109)),RIGHT(AQ$1,2)),"")</f>
        <v>200</v>
      </c>
      <c r="AR17" s="16" cm="1">
        <f t="array" ref="AR17">IFERROR(INDEX(_xlfn.ANCHORARRAY(_xlfn.XLOOKUP($C17,'-ref_Distribution'!$B$101:$B$109,'-ref_Distribution'!$G$101:$G$109)),RIGHT(AR$1,2)),"")</f>
        <v>164</v>
      </c>
      <c r="AS17" s="16" cm="1">
        <f t="array" ref="AS17">IFERROR(INDEX(_xlfn.ANCHORARRAY(_xlfn.XLOOKUP($C17,'-ref_Distribution'!$B$101:$B$109,'-ref_Distribution'!$G$101:$G$109)),RIGHT(AS$1,2)),"")</f>
        <v>200</v>
      </c>
      <c r="AT17" s="16" cm="1">
        <f t="array" ref="AT17">IFERROR(INDEX(_xlfn.ANCHORARRAY(_xlfn.XLOOKUP($C17,'-ref_Distribution'!$B$101:$B$109,'-ref_Distribution'!$G$101:$G$109)),RIGHT(AT$1,2)),"")</f>
        <v>237</v>
      </c>
      <c r="AU17" s="16" cm="1">
        <f t="array" ref="AU17">IFERROR(INDEX(_xlfn.ANCHORARRAY(_xlfn.XLOOKUP($C17,'-ref_Distribution'!$B$101:$B$109,'-ref_Distribution'!$G$101:$G$109)),RIGHT(AU$1,2)),"")</f>
        <v>277</v>
      </c>
      <c r="AV17" s="16" cm="1">
        <f t="array" ref="AV17">IFERROR(INDEX(_xlfn.ANCHORARRAY(_xlfn.XLOOKUP($C17,'-ref_Distribution'!$B$101:$B$109,'-ref_Distribution'!$G$101:$G$109)),RIGHT(AV$1,2)),"")</f>
        <v>316</v>
      </c>
      <c r="AW17" s="16" cm="1">
        <f t="array" ref="AW17">IFERROR(INDEX(_xlfn.ANCHORARRAY(_xlfn.XLOOKUP($C17,'-ref_Distribution'!$B$101:$B$109,'-ref_Distribution'!$G$101:$G$109)),RIGHT(AW$1,2)),"")</f>
        <v>353</v>
      </c>
      <c r="AX17" s="16" cm="1">
        <f t="array" ref="AX17">IFERROR(INDEX(_xlfn.ANCHORARRAY(_xlfn.XLOOKUP($C17,'-ref_Distribution'!$B$101:$B$109,'-ref_Distribution'!$G$101:$G$109)),RIGHT(AX$1,2)),"")</f>
        <v>387</v>
      </c>
      <c r="AY17" s="16" cm="1">
        <f t="array" ref="AY17">IFERROR(INDEX(_xlfn.ANCHORARRAY(_xlfn.XLOOKUP($C17,'-ref_Distribution'!$B$101:$B$109,'-ref_Distribution'!$G$101:$G$109)),RIGHT(AY$1,2)),"")</f>
        <v>416</v>
      </c>
      <c r="AZ17" s="16" cm="1">
        <f t="array" ref="AZ17">IFERROR(INDEX(_xlfn.ANCHORARRAY(_xlfn.XLOOKUP($C17,'-ref_Distribution'!$B$101:$B$109,'-ref_Distribution'!$G$101:$G$109)),RIGHT(AZ$1,2)),"")</f>
        <v>438</v>
      </c>
      <c r="BA17" s="16" cm="1">
        <f t="array" ref="BA17">IFERROR(INDEX(_xlfn.ANCHORARRAY(_xlfn.XLOOKUP($C17,'-ref_Distribution'!$B$101:$B$109,'-ref_Distribution'!$G$101:$G$109)),RIGHT(BA$1,2)),"")</f>
        <v>451</v>
      </c>
      <c r="BB17" s="16" cm="1">
        <f t="array" ref="BB17">IFERROR(INDEX(_xlfn.ANCHORARRAY(_xlfn.XLOOKUP($C17,'-ref_Distribution'!$B$101:$B$109,'-ref_Distribution'!$G$101:$G$109)),RIGHT(BB$1,2)),"")</f>
        <v>456</v>
      </c>
      <c r="BC17" s="16" cm="1">
        <f t="array" ref="BC17">IFERROR(INDEX(_xlfn.ANCHORARRAY(_xlfn.XLOOKUP($C17,'-ref_Distribution'!$B$101:$B$109,'-ref_Distribution'!$G$101:$G$109)),RIGHT(BC$1,2)),"")</f>
        <v>451</v>
      </c>
      <c r="BD17" s="16" cm="1">
        <f t="array" ref="BD17">IFERROR(INDEX(_xlfn.ANCHORARRAY(_xlfn.XLOOKUP($C17,'-ref_Distribution'!$B$101:$B$109,'-ref_Distribution'!$G$101:$G$109)),RIGHT(BD$1,2)),"")</f>
        <v>438</v>
      </c>
      <c r="BE17" s="16" cm="1">
        <f t="array" ref="BE17">IFERROR(INDEX(_xlfn.ANCHORARRAY(_xlfn.XLOOKUP($C17,'-ref_Distribution'!$B$101:$B$109,'-ref_Distribution'!$G$101:$G$109)),RIGHT(BE$1,2)),"")</f>
        <v>416</v>
      </c>
      <c r="BF17" s="16" cm="1">
        <f t="array" ref="BF17">IFERROR(INDEX(_xlfn.ANCHORARRAY(_xlfn.XLOOKUP($C17,'-ref_Distribution'!$B$101:$B$109,'-ref_Distribution'!$G$101:$G$109)),RIGHT(BF$1,2)),"")</f>
        <v>387</v>
      </c>
      <c r="BG17" s="16" cm="1">
        <f t="array" ref="BG17">IFERROR(INDEX(_xlfn.ANCHORARRAY(_xlfn.XLOOKUP($C17,'-ref_Distribution'!$B$101:$B$109,'-ref_Distribution'!$G$101:$G$109)),RIGHT(BG$1,2)),"")</f>
        <v>353</v>
      </c>
      <c r="BH17" s="16" cm="1">
        <f t="array" ref="BH17">IFERROR(INDEX(_xlfn.ANCHORARRAY(_xlfn.XLOOKUP($C17,'-ref_Distribution'!$B$101:$B$109,'-ref_Distribution'!$G$101:$G$109)),RIGHT(BH$1,2)),"")</f>
        <v>316</v>
      </c>
      <c r="BI17" s="16" cm="1">
        <f t="array" ref="BI17">IFERROR(INDEX(_xlfn.ANCHORARRAY(_xlfn.XLOOKUP($C17,'-ref_Distribution'!$B$101:$B$109,'-ref_Distribution'!$G$101:$G$109)),RIGHT(BI$1,2)),"")</f>
        <v>277</v>
      </c>
      <c r="BJ17" s="16" cm="1">
        <f t="array" ref="BJ17">IFERROR(INDEX(_xlfn.ANCHORARRAY(_xlfn.XLOOKUP($C17,'-ref_Distribution'!$B$101:$B$109,'-ref_Distribution'!$G$101:$G$109)),RIGHT(BJ$1,2)),"")</f>
        <v>237</v>
      </c>
      <c r="BK17" s="16" cm="1">
        <f t="array" ref="BK17">IFERROR(INDEX(_xlfn.ANCHORARRAY(_xlfn.XLOOKUP($C17,'-ref_Distribution'!$B$101:$B$109,'-ref_Distribution'!$G$101:$G$109)),RIGHT(BK$1,2)),"")</f>
        <v>200</v>
      </c>
      <c r="BL17" s="16" cm="1">
        <f t="array" ref="BL17">IFERROR(INDEX(_xlfn.ANCHORARRAY(_xlfn.XLOOKUP($C17,'-ref_Distribution'!$B$101:$B$109,'-ref_Distribution'!$G$101:$G$109)),RIGHT(BL$1,2)),"")</f>
        <v>164</v>
      </c>
      <c r="BM17" s="16" cm="1">
        <f t="array" ref="BM17">IFERROR(INDEX(_xlfn.ANCHORARRAY(_xlfn.XLOOKUP($C17,'-ref_Distribution'!$B$101:$B$109,'-ref_Distribution'!$G$101:$G$109)),RIGHT(BM$1,2)),"")</f>
        <v>200</v>
      </c>
      <c r="BN17" s="16" cm="1">
        <f t="array" ref="BN17">IFERROR(INDEX(_xlfn.ANCHORARRAY(_xlfn.XLOOKUP($C17,'-ref_Distribution'!$B$101:$B$109,'-ref_Distribution'!$G$101:$G$109)),RIGHT(BN$1,2)),"")</f>
        <v>237</v>
      </c>
      <c r="BO17" s="16" cm="1">
        <f t="array" ref="BO17">IFERROR(INDEX(_xlfn.ANCHORARRAY(_xlfn.XLOOKUP($C17,'-ref_Distribution'!$B$101:$B$109,'-ref_Distribution'!$G$101:$G$109)),RIGHT(BO$1,2)),"")</f>
        <v>277</v>
      </c>
      <c r="BP17" s="16" cm="1">
        <f t="array" ref="BP17">IFERROR(INDEX(_xlfn.ANCHORARRAY(_xlfn.XLOOKUP($C17,'-ref_Distribution'!$B$101:$B$109,'-ref_Distribution'!$G$101:$G$109)),RIGHT(BP$1,2)),"")</f>
        <v>316</v>
      </c>
      <c r="BQ17" s="16" cm="1">
        <f t="array" ref="BQ17">IFERROR(INDEX(_xlfn.ANCHORARRAY(_xlfn.XLOOKUP($C17,'-ref_Distribution'!$B$101:$B$109,'-ref_Distribution'!$G$101:$G$109)),RIGHT(BQ$1,2)),"")</f>
        <v>353</v>
      </c>
      <c r="BR17" s="16" cm="1">
        <f t="array" ref="BR17">IFERROR(INDEX(_xlfn.ANCHORARRAY(_xlfn.XLOOKUP($C17,'-ref_Distribution'!$B$101:$B$109,'-ref_Distribution'!$G$101:$G$109)),RIGHT(BR$1,2)),"")</f>
        <v>387</v>
      </c>
      <c r="BS17" s="16" cm="1">
        <f t="array" ref="BS17">IFERROR(INDEX(_xlfn.ANCHORARRAY(_xlfn.XLOOKUP($C17,'-ref_Distribution'!$B$101:$B$109,'-ref_Distribution'!$G$101:$G$109)),RIGHT(BS$1,2)),"")</f>
        <v>416</v>
      </c>
      <c r="BT17" s="16" cm="1">
        <f t="array" ref="BT17">IFERROR(INDEX(_xlfn.ANCHORARRAY(_xlfn.XLOOKUP($C17,'-ref_Distribution'!$B$101:$B$109,'-ref_Distribution'!$G$101:$G$109)),RIGHT(BT$1,2)),"")</f>
        <v>438</v>
      </c>
      <c r="BU17" s="16" cm="1">
        <f t="array" ref="BU17">IFERROR(INDEX(_xlfn.ANCHORARRAY(_xlfn.XLOOKUP($C17,'-ref_Distribution'!$B$101:$B$109,'-ref_Distribution'!$G$101:$G$109)),RIGHT(BU$1,2)),"")</f>
        <v>451</v>
      </c>
      <c r="BV17" s="16" cm="1">
        <f t="array" ref="BV17">IFERROR(INDEX(_xlfn.ANCHORARRAY(_xlfn.XLOOKUP($C17,'-ref_Distribution'!$B$101:$B$109,'-ref_Distribution'!$G$101:$G$109)),RIGHT(BV$1,2)),"")</f>
        <v>456</v>
      </c>
      <c r="BW17" s="16" cm="1">
        <f t="array" ref="BW17">IFERROR(INDEX(_xlfn.ANCHORARRAY(_xlfn.XLOOKUP($C17,'-ref_Distribution'!$B$101:$B$109,'-ref_Distribution'!$G$101:$G$109)),RIGHT(BW$1,2)),"")</f>
        <v>451</v>
      </c>
      <c r="BX17" s="16" cm="1">
        <f t="array" ref="BX17">IFERROR(INDEX(_xlfn.ANCHORARRAY(_xlfn.XLOOKUP($C17,'-ref_Distribution'!$B$101:$B$109,'-ref_Distribution'!$G$101:$G$109)),RIGHT(BX$1,2)),"")</f>
        <v>438</v>
      </c>
      <c r="BY17" s="16" cm="1">
        <f t="array" ref="BY17">IFERROR(INDEX(_xlfn.ANCHORARRAY(_xlfn.XLOOKUP($C17,'-ref_Distribution'!$B$101:$B$109,'-ref_Distribution'!$G$101:$G$109)),RIGHT(BY$1,2)),"")</f>
        <v>416</v>
      </c>
      <c r="BZ17" s="16" cm="1">
        <f t="array" ref="BZ17">IFERROR(INDEX(_xlfn.ANCHORARRAY(_xlfn.XLOOKUP($C17,'-ref_Distribution'!$B$101:$B$109,'-ref_Distribution'!$G$101:$G$109)),RIGHT(BZ$1,2)),"")</f>
        <v>387</v>
      </c>
      <c r="CA17" s="16" cm="1">
        <f t="array" ref="CA17">IFERROR(INDEX(_xlfn.ANCHORARRAY(_xlfn.XLOOKUP($C17,'-ref_Distribution'!$B$101:$B$109,'-ref_Distribution'!$G$101:$G$109)),RIGHT(CA$1,2)),"")</f>
        <v>353</v>
      </c>
      <c r="CB17" s="16" cm="1">
        <f t="array" ref="CB17">IFERROR(INDEX(_xlfn.ANCHORARRAY(_xlfn.XLOOKUP($C17,'-ref_Distribution'!$B$101:$B$109,'-ref_Distribution'!$G$101:$G$109)),RIGHT(CB$1,2)),"")</f>
        <v>316</v>
      </c>
      <c r="CC17" s="16" cm="1">
        <f t="array" ref="CC17">IFERROR(INDEX(_xlfn.ANCHORARRAY(_xlfn.XLOOKUP($C17,'-ref_Distribution'!$B$101:$B$109,'-ref_Distribution'!$G$101:$G$109)),RIGHT(CC$1,2)),"")</f>
        <v>277</v>
      </c>
      <c r="CD17" s="16" cm="1">
        <f t="array" ref="CD17">IFERROR(INDEX(_xlfn.ANCHORARRAY(_xlfn.XLOOKUP($C17,'-ref_Distribution'!$B$101:$B$109,'-ref_Distribution'!$G$101:$G$109)),RIGHT(CD$1,2)),"")</f>
        <v>237</v>
      </c>
      <c r="CE17" s="16" cm="1">
        <f t="array" ref="CE17">IFERROR(INDEX(_xlfn.ANCHORARRAY(_xlfn.XLOOKUP($C17,'-ref_Distribution'!$B$101:$B$109,'-ref_Distribution'!$G$101:$G$109)),RIGHT(CE$1,2)),"")</f>
        <v>200</v>
      </c>
      <c r="CF17" s="16"/>
      <c r="CG17" s="16"/>
      <c r="CH17" s="16"/>
      <c r="CI17" s="16"/>
      <c r="CJ17" s="16"/>
      <c r="CK17" s="16"/>
      <c r="CL17" s="16"/>
    </row>
    <row r="18" spans="1:90" x14ac:dyDescent="0.2">
      <c r="A18" s="16">
        <v>15117</v>
      </c>
      <c r="B18" s="16" t="s">
        <v>192</v>
      </c>
      <c r="C18" s="16">
        <v>13</v>
      </c>
      <c r="D18" s="16" cm="1">
        <f t="array" ref="D18">IFERROR(INDEX(_xlfn.ANCHORARRAY(_xlfn.XLOOKUP($C18,'-ref_Distribution'!$B$101:$B$109,'-ref_Distribution'!$G$101:$G$109)),RIGHT(D$1,2)),"")</f>
        <v>164</v>
      </c>
      <c r="E18" s="16" cm="1">
        <f t="array" ref="E18">IFERROR(INDEX(_xlfn.ANCHORARRAY(_xlfn.XLOOKUP($C18,'-ref_Distribution'!$B$101:$B$109,'-ref_Distribution'!$G$101:$G$109)),RIGHT(E$1,2)),"")</f>
        <v>200</v>
      </c>
      <c r="F18" s="16" cm="1">
        <f t="array" ref="F18">IFERROR(INDEX(_xlfn.ANCHORARRAY(_xlfn.XLOOKUP($C18,'-ref_Distribution'!$B$101:$B$109,'-ref_Distribution'!$G$101:$G$109)),RIGHT(F$1,2)),"")</f>
        <v>237</v>
      </c>
      <c r="G18" s="16" cm="1">
        <f t="array" ref="G18">IFERROR(INDEX(_xlfn.ANCHORARRAY(_xlfn.XLOOKUP($C18,'-ref_Distribution'!$B$101:$B$109,'-ref_Distribution'!$G$101:$G$109)),RIGHT(G$1,2)),"")</f>
        <v>277</v>
      </c>
      <c r="H18" s="16" cm="1">
        <f t="array" ref="H18">IFERROR(INDEX(_xlfn.ANCHORARRAY(_xlfn.XLOOKUP($C18,'-ref_Distribution'!$B$101:$B$109,'-ref_Distribution'!$G$101:$G$109)),RIGHT(H$1,2)),"")</f>
        <v>316</v>
      </c>
      <c r="I18" s="16" cm="1">
        <f t="array" ref="I18">IFERROR(INDEX(_xlfn.ANCHORARRAY(_xlfn.XLOOKUP($C18,'-ref_Distribution'!$B$101:$B$109,'-ref_Distribution'!$G$101:$G$109)),RIGHT(I$1,2)),"")</f>
        <v>353</v>
      </c>
      <c r="J18" s="16" cm="1">
        <f t="array" ref="J18">IFERROR(INDEX(_xlfn.ANCHORARRAY(_xlfn.XLOOKUP($C18,'-ref_Distribution'!$B$101:$B$109,'-ref_Distribution'!$G$101:$G$109)),RIGHT(J$1,2)),"")</f>
        <v>387</v>
      </c>
      <c r="K18" s="16" cm="1">
        <f t="array" ref="K18">IFERROR(INDEX(_xlfn.ANCHORARRAY(_xlfn.XLOOKUP($C18,'-ref_Distribution'!$B$101:$B$109,'-ref_Distribution'!$G$101:$G$109)),RIGHT(K$1,2)),"")</f>
        <v>416</v>
      </c>
      <c r="L18" s="16" cm="1">
        <f t="array" ref="L18">IFERROR(INDEX(_xlfn.ANCHORARRAY(_xlfn.XLOOKUP($C18,'-ref_Distribution'!$B$101:$B$109,'-ref_Distribution'!$G$101:$G$109)),RIGHT(L$1,2)),"")</f>
        <v>438</v>
      </c>
      <c r="M18" s="16" cm="1">
        <f t="array" ref="M18">IFERROR(INDEX(_xlfn.ANCHORARRAY(_xlfn.XLOOKUP($C18,'-ref_Distribution'!$B$101:$B$109,'-ref_Distribution'!$G$101:$G$109)),RIGHT(M$1,2)),"")</f>
        <v>451</v>
      </c>
      <c r="N18" s="16" cm="1">
        <f t="array" ref="N18">IFERROR(INDEX(_xlfn.ANCHORARRAY(_xlfn.XLOOKUP($C18,'-ref_Distribution'!$B$101:$B$109,'-ref_Distribution'!$G$101:$G$109)),RIGHT(N$1,2)),"")</f>
        <v>456</v>
      </c>
      <c r="O18" s="16" cm="1">
        <f t="array" ref="O18">IFERROR(INDEX(_xlfn.ANCHORARRAY(_xlfn.XLOOKUP($C18,'-ref_Distribution'!$B$101:$B$109,'-ref_Distribution'!$G$101:$G$109)),RIGHT(O$1,2)),"")</f>
        <v>451</v>
      </c>
      <c r="P18" s="16" cm="1">
        <f t="array" ref="P18">IFERROR(INDEX(_xlfn.ANCHORARRAY(_xlfn.XLOOKUP($C18,'-ref_Distribution'!$B$101:$B$109,'-ref_Distribution'!$G$101:$G$109)),RIGHT(P$1,2)),"")</f>
        <v>438</v>
      </c>
      <c r="Q18" s="16" cm="1">
        <f t="array" ref="Q18">IFERROR(INDEX(_xlfn.ANCHORARRAY(_xlfn.XLOOKUP($C18,'-ref_Distribution'!$B$101:$B$109,'-ref_Distribution'!$G$101:$G$109)),RIGHT(Q$1,2)),"")</f>
        <v>416</v>
      </c>
      <c r="R18" s="16" cm="1">
        <f t="array" ref="R18">IFERROR(INDEX(_xlfn.ANCHORARRAY(_xlfn.XLOOKUP($C18,'-ref_Distribution'!$B$101:$B$109,'-ref_Distribution'!$G$101:$G$109)),RIGHT(R$1,2)),"")</f>
        <v>387</v>
      </c>
      <c r="S18" s="16" cm="1">
        <f t="array" ref="S18">IFERROR(INDEX(_xlfn.ANCHORARRAY(_xlfn.XLOOKUP($C18,'-ref_Distribution'!$B$101:$B$109,'-ref_Distribution'!$G$101:$G$109)),RIGHT(S$1,2)),"")</f>
        <v>353</v>
      </c>
      <c r="T18" s="16" cm="1">
        <f t="array" ref="T18">IFERROR(INDEX(_xlfn.ANCHORARRAY(_xlfn.XLOOKUP($C18,'-ref_Distribution'!$B$101:$B$109,'-ref_Distribution'!$G$101:$G$109)),RIGHT(T$1,2)),"")</f>
        <v>316</v>
      </c>
      <c r="U18" s="16" cm="1">
        <f t="array" ref="U18">IFERROR(INDEX(_xlfn.ANCHORARRAY(_xlfn.XLOOKUP($C18,'-ref_Distribution'!$B$101:$B$109,'-ref_Distribution'!$G$101:$G$109)),RIGHT(U$1,2)),"")</f>
        <v>277</v>
      </c>
      <c r="V18" s="16" cm="1">
        <f t="array" ref="V18">IFERROR(INDEX(_xlfn.ANCHORARRAY(_xlfn.XLOOKUP($C18,'-ref_Distribution'!$B$101:$B$109,'-ref_Distribution'!$G$101:$G$109)),RIGHT(V$1,2)),"")</f>
        <v>237</v>
      </c>
      <c r="W18" s="16" cm="1">
        <f t="array" ref="W18">IFERROR(INDEX(_xlfn.ANCHORARRAY(_xlfn.XLOOKUP($C18,'-ref_Distribution'!$B$101:$B$109,'-ref_Distribution'!$G$101:$G$109)),RIGHT(W$1,2)),"")</f>
        <v>200</v>
      </c>
      <c r="X18" s="16" cm="1">
        <f t="array" ref="X18">IFERROR(INDEX(_xlfn.ANCHORARRAY(_xlfn.XLOOKUP($C18,'-ref_Distribution'!$B$101:$B$109,'-ref_Distribution'!$G$101:$G$109)),RIGHT(X$1,2)),"")</f>
        <v>164</v>
      </c>
      <c r="Y18" s="16" cm="1">
        <f t="array" ref="Y18">IFERROR(INDEX(_xlfn.ANCHORARRAY(_xlfn.XLOOKUP($C18,'-ref_Distribution'!$B$101:$B$109,'-ref_Distribution'!$G$101:$G$109)),RIGHT(Y$1,2)),"")</f>
        <v>200</v>
      </c>
      <c r="Z18" s="16" cm="1">
        <f t="array" ref="Z18">IFERROR(INDEX(_xlfn.ANCHORARRAY(_xlfn.XLOOKUP($C18,'-ref_Distribution'!$B$101:$B$109,'-ref_Distribution'!$G$101:$G$109)),RIGHT(Z$1,2)),"")</f>
        <v>237</v>
      </c>
      <c r="AA18" s="16" cm="1">
        <f t="array" ref="AA18">IFERROR(INDEX(_xlfn.ANCHORARRAY(_xlfn.XLOOKUP($C18,'-ref_Distribution'!$B$101:$B$109,'-ref_Distribution'!$G$101:$G$109)),RIGHT(AA$1,2)),"")</f>
        <v>277</v>
      </c>
      <c r="AB18" s="16" cm="1">
        <f t="array" ref="AB18">IFERROR(INDEX(_xlfn.ANCHORARRAY(_xlfn.XLOOKUP($C18,'-ref_Distribution'!$B$101:$B$109,'-ref_Distribution'!$G$101:$G$109)),RIGHT(AB$1,2)),"")</f>
        <v>316</v>
      </c>
      <c r="AC18" s="16" cm="1">
        <f t="array" ref="AC18">IFERROR(INDEX(_xlfn.ANCHORARRAY(_xlfn.XLOOKUP($C18,'-ref_Distribution'!$B$101:$B$109,'-ref_Distribution'!$G$101:$G$109)),RIGHT(AC$1,2)),"")</f>
        <v>353</v>
      </c>
      <c r="AD18" s="16" cm="1">
        <f t="array" ref="AD18">IFERROR(INDEX(_xlfn.ANCHORARRAY(_xlfn.XLOOKUP($C18,'-ref_Distribution'!$B$101:$B$109,'-ref_Distribution'!$G$101:$G$109)),RIGHT(AD$1,2)),"")</f>
        <v>387</v>
      </c>
      <c r="AE18" s="16" cm="1">
        <f t="array" ref="AE18">IFERROR(INDEX(_xlfn.ANCHORARRAY(_xlfn.XLOOKUP($C18,'-ref_Distribution'!$B$101:$B$109,'-ref_Distribution'!$G$101:$G$109)),RIGHT(AE$1,2)),"")</f>
        <v>416</v>
      </c>
      <c r="AF18" s="16" cm="1">
        <f t="array" ref="AF18">IFERROR(INDEX(_xlfn.ANCHORARRAY(_xlfn.XLOOKUP($C18,'-ref_Distribution'!$B$101:$B$109,'-ref_Distribution'!$G$101:$G$109)),RIGHT(AF$1,2)),"")</f>
        <v>438</v>
      </c>
      <c r="AG18" s="16" cm="1">
        <f t="array" ref="AG18">IFERROR(INDEX(_xlfn.ANCHORARRAY(_xlfn.XLOOKUP($C18,'-ref_Distribution'!$B$101:$B$109,'-ref_Distribution'!$G$101:$G$109)),RIGHT(AG$1,2)),"")</f>
        <v>451</v>
      </c>
      <c r="AH18" s="16" cm="1">
        <f t="array" ref="AH18">IFERROR(INDEX(_xlfn.ANCHORARRAY(_xlfn.XLOOKUP($C18,'-ref_Distribution'!$B$101:$B$109,'-ref_Distribution'!$G$101:$G$109)),RIGHT(AH$1,2)),"")</f>
        <v>456</v>
      </c>
      <c r="AI18" s="16" cm="1">
        <f t="array" ref="AI18">IFERROR(INDEX(_xlfn.ANCHORARRAY(_xlfn.XLOOKUP($C18,'-ref_Distribution'!$B$101:$B$109,'-ref_Distribution'!$G$101:$G$109)),RIGHT(AI$1,2)),"")</f>
        <v>451</v>
      </c>
      <c r="AJ18" s="16" cm="1">
        <f t="array" ref="AJ18">IFERROR(INDEX(_xlfn.ANCHORARRAY(_xlfn.XLOOKUP($C18,'-ref_Distribution'!$B$101:$B$109,'-ref_Distribution'!$G$101:$G$109)),RIGHT(AJ$1,2)),"")</f>
        <v>438</v>
      </c>
      <c r="AK18" s="16" cm="1">
        <f t="array" ref="AK18">IFERROR(INDEX(_xlfn.ANCHORARRAY(_xlfn.XLOOKUP($C18,'-ref_Distribution'!$B$101:$B$109,'-ref_Distribution'!$G$101:$G$109)),RIGHT(AK$1,2)),"")</f>
        <v>416</v>
      </c>
      <c r="AL18" s="16" cm="1">
        <f t="array" ref="AL18">IFERROR(INDEX(_xlfn.ANCHORARRAY(_xlfn.XLOOKUP($C18,'-ref_Distribution'!$B$101:$B$109,'-ref_Distribution'!$G$101:$G$109)),RIGHT(AL$1,2)),"")</f>
        <v>387</v>
      </c>
      <c r="AM18" s="16" cm="1">
        <f t="array" ref="AM18">IFERROR(INDEX(_xlfn.ANCHORARRAY(_xlfn.XLOOKUP($C18,'-ref_Distribution'!$B$101:$B$109,'-ref_Distribution'!$G$101:$G$109)),RIGHT(AM$1,2)),"")</f>
        <v>353</v>
      </c>
      <c r="AN18" s="16" cm="1">
        <f t="array" ref="AN18">IFERROR(INDEX(_xlfn.ANCHORARRAY(_xlfn.XLOOKUP($C18,'-ref_Distribution'!$B$101:$B$109,'-ref_Distribution'!$G$101:$G$109)),RIGHT(AN$1,2)),"")</f>
        <v>316</v>
      </c>
      <c r="AO18" s="16" cm="1">
        <f t="array" ref="AO18">IFERROR(INDEX(_xlfn.ANCHORARRAY(_xlfn.XLOOKUP($C18,'-ref_Distribution'!$B$101:$B$109,'-ref_Distribution'!$G$101:$G$109)),RIGHT(AO$1,2)),"")</f>
        <v>277</v>
      </c>
      <c r="AP18" s="16" cm="1">
        <f t="array" ref="AP18">IFERROR(INDEX(_xlfn.ANCHORARRAY(_xlfn.XLOOKUP($C18,'-ref_Distribution'!$B$101:$B$109,'-ref_Distribution'!$G$101:$G$109)),RIGHT(AP$1,2)),"")</f>
        <v>237</v>
      </c>
      <c r="AQ18" s="16" cm="1">
        <f t="array" ref="AQ18">IFERROR(INDEX(_xlfn.ANCHORARRAY(_xlfn.XLOOKUP($C18,'-ref_Distribution'!$B$101:$B$109,'-ref_Distribution'!$G$101:$G$109)),RIGHT(AQ$1,2)),"")</f>
        <v>200</v>
      </c>
      <c r="AR18" s="16" cm="1">
        <f t="array" ref="AR18">IFERROR(INDEX(_xlfn.ANCHORARRAY(_xlfn.XLOOKUP($C18,'-ref_Distribution'!$B$101:$B$109,'-ref_Distribution'!$G$101:$G$109)),RIGHT(AR$1,2)),"")</f>
        <v>164</v>
      </c>
      <c r="AS18" s="16" cm="1">
        <f t="array" ref="AS18">IFERROR(INDEX(_xlfn.ANCHORARRAY(_xlfn.XLOOKUP($C18,'-ref_Distribution'!$B$101:$B$109,'-ref_Distribution'!$G$101:$G$109)),RIGHT(AS$1,2)),"")</f>
        <v>200</v>
      </c>
      <c r="AT18" s="16" cm="1">
        <f t="array" ref="AT18">IFERROR(INDEX(_xlfn.ANCHORARRAY(_xlfn.XLOOKUP($C18,'-ref_Distribution'!$B$101:$B$109,'-ref_Distribution'!$G$101:$G$109)),RIGHT(AT$1,2)),"")</f>
        <v>237</v>
      </c>
      <c r="AU18" s="16" cm="1">
        <f t="array" ref="AU18">IFERROR(INDEX(_xlfn.ANCHORARRAY(_xlfn.XLOOKUP($C18,'-ref_Distribution'!$B$101:$B$109,'-ref_Distribution'!$G$101:$G$109)),RIGHT(AU$1,2)),"")</f>
        <v>277</v>
      </c>
      <c r="AV18" s="16" cm="1">
        <f t="array" ref="AV18">IFERROR(INDEX(_xlfn.ANCHORARRAY(_xlfn.XLOOKUP($C18,'-ref_Distribution'!$B$101:$B$109,'-ref_Distribution'!$G$101:$G$109)),RIGHT(AV$1,2)),"")</f>
        <v>316</v>
      </c>
      <c r="AW18" s="16" cm="1">
        <f t="array" ref="AW18">IFERROR(INDEX(_xlfn.ANCHORARRAY(_xlfn.XLOOKUP($C18,'-ref_Distribution'!$B$101:$B$109,'-ref_Distribution'!$G$101:$G$109)),RIGHT(AW$1,2)),"")</f>
        <v>353</v>
      </c>
      <c r="AX18" s="16" cm="1">
        <f t="array" ref="AX18">IFERROR(INDEX(_xlfn.ANCHORARRAY(_xlfn.XLOOKUP($C18,'-ref_Distribution'!$B$101:$B$109,'-ref_Distribution'!$G$101:$G$109)),RIGHT(AX$1,2)),"")</f>
        <v>387</v>
      </c>
      <c r="AY18" s="16" cm="1">
        <f t="array" ref="AY18">IFERROR(INDEX(_xlfn.ANCHORARRAY(_xlfn.XLOOKUP($C18,'-ref_Distribution'!$B$101:$B$109,'-ref_Distribution'!$G$101:$G$109)),RIGHT(AY$1,2)),"")</f>
        <v>416</v>
      </c>
      <c r="AZ18" s="16" cm="1">
        <f t="array" ref="AZ18">IFERROR(INDEX(_xlfn.ANCHORARRAY(_xlfn.XLOOKUP($C18,'-ref_Distribution'!$B$101:$B$109,'-ref_Distribution'!$G$101:$G$109)),RIGHT(AZ$1,2)),"")</f>
        <v>438</v>
      </c>
      <c r="BA18" s="16" cm="1">
        <f t="array" ref="BA18">IFERROR(INDEX(_xlfn.ANCHORARRAY(_xlfn.XLOOKUP($C18,'-ref_Distribution'!$B$101:$B$109,'-ref_Distribution'!$G$101:$G$109)),RIGHT(BA$1,2)),"")</f>
        <v>451</v>
      </c>
      <c r="BB18" s="16" cm="1">
        <f t="array" ref="BB18">IFERROR(INDEX(_xlfn.ANCHORARRAY(_xlfn.XLOOKUP($C18,'-ref_Distribution'!$B$101:$B$109,'-ref_Distribution'!$G$101:$G$109)),RIGHT(BB$1,2)),"")</f>
        <v>456</v>
      </c>
      <c r="BC18" s="16" cm="1">
        <f t="array" ref="BC18">IFERROR(INDEX(_xlfn.ANCHORARRAY(_xlfn.XLOOKUP($C18,'-ref_Distribution'!$B$101:$B$109,'-ref_Distribution'!$G$101:$G$109)),RIGHT(BC$1,2)),"")</f>
        <v>451</v>
      </c>
      <c r="BD18" s="16" cm="1">
        <f t="array" ref="BD18">IFERROR(INDEX(_xlfn.ANCHORARRAY(_xlfn.XLOOKUP($C18,'-ref_Distribution'!$B$101:$B$109,'-ref_Distribution'!$G$101:$G$109)),RIGHT(BD$1,2)),"")</f>
        <v>438</v>
      </c>
      <c r="BE18" s="16" cm="1">
        <f t="array" ref="BE18">IFERROR(INDEX(_xlfn.ANCHORARRAY(_xlfn.XLOOKUP($C18,'-ref_Distribution'!$B$101:$B$109,'-ref_Distribution'!$G$101:$G$109)),RIGHT(BE$1,2)),"")</f>
        <v>416</v>
      </c>
      <c r="BF18" s="16" cm="1">
        <f t="array" ref="BF18">IFERROR(INDEX(_xlfn.ANCHORARRAY(_xlfn.XLOOKUP($C18,'-ref_Distribution'!$B$101:$B$109,'-ref_Distribution'!$G$101:$G$109)),RIGHT(BF$1,2)),"")</f>
        <v>387</v>
      </c>
      <c r="BG18" s="16" cm="1">
        <f t="array" ref="BG18">IFERROR(INDEX(_xlfn.ANCHORARRAY(_xlfn.XLOOKUP($C18,'-ref_Distribution'!$B$101:$B$109,'-ref_Distribution'!$G$101:$G$109)),RIGHT(BG$1,2)),"")</f>
        <v>353</v>
      </c>
      <c r="BH18" s="16" cm="1">
        <f t="array" ref="BH18">IFERROR(INDEX(_xlfn.ANCHORARRAY(_xlfn.XLOOKUP($C18,'-ref_Distribution'!$B$101:$B$109,'-ref_Distribution'!$G$101:$G$109)),RIGHT(BH$1,2)),"")</f>
        <v>316</v>
      </c>
      <c r="BI18" s="16" cm="1">
        <f t="array" ref="BI18">IFERROR(INDEX(_xlfn.ANCHORARRAY(_xlfn.XLOOKUP($C18,'-ref_Distribution'!$B$101:$B$109,'-ref_Distribution'!$G$101:$G$109)),RIGHT(BI$1,2)),"")</f>
        <v>277</v>
      </c>
      <c r="BJ18" s="16" cm="1">
        <f t="array" ref="BJ18">IFERROR(INDEX(_xlfn.ANCHORARRAY(_xlfn.XLOOKUP($C18,'-ref_Distribution'!$B$101:$B$109,'-ref_Distribution'!$G$101:$G$109)),RIGHT(BJ$1,2)),"")</f>
        <v>237</v>
      </c>
      <c r="BK18" s="16" cm="1">
        <f t="array" ref="BK18">IFERROR(INDEX(_xlfn.ANCHORARRAY(_xlfn.XLOOKUP($C18,'-ref_Distribution'!$B$101:$B$109,'-ref_Distribution'!$G$101:$G$109)),RIGHT(BK$1,2)),"")</f>
        <v>200</v>
      </c>
      <c r="BL18" s="16" cm="1">
        <f t="array" ref="BL18">IFERROR(INDEX(_xlfn.ANCHORARRAY(_xlfn.XLOOKUP($C18,'-ref_Distribution'!$B$101:$B$109,'-ref_Distribution'!$G$101:$G$109)),RIGHT(BL$1,2)),"")</f>
        <v>164</v>
      </c>
      <c r="BM18" s="16" cm="1">
        <f t="array" ref="BM18">IFERROR(INDEX(_xlfn.ANCHORARRAY(_xlfn.XLOOKUP($C18,'-ref_Distribution'!$B$101:$B$109,'-ref_Distribution'!$G$101:$G$109)),RIGHT(BM$1,2)),"")</f>
        <v>200</v>
      </c>
      <c r="BN18" s="16" cm="1">
        <f t="array" ref="BN18">IFERROR(INDEX(_xlfn.ANCHORARRAY(_xlfn.XLOOKUP($C18,'-ref_Distribution'!$B$101:$B$109,'-ref_Distribution'!$G$101:$G$109)),RIGHT(BN$1,2)),"")</f>
        <v>237</v>
      </c>
      <c r="BO18" s="16" cm="1">
        <f t="array" ref="BO18">IFERROR(INDEX(_xlfn.ANCHORARRAY(_xlfn.XLOOKUP($C18,'-ref_Distribution'!$B$101:$B$109,'-ref_Distribution'!$G$101:$G$109)),RIGHT(BO$1,2)),"")</f>
        <v>277</v>
      </c>
      <c r="BP18" s="16" cm="1">
        <f t="array" ref="BP18">IFERROR(INDEX(_xlfn.ANCHORARRAY(_xlfn.XLOOKUP($C18,'-ref_Distribution'!$B$101:$B$109,'-ref_Distribution'!$G$101:$G$109)),RIGHT(BP$1,2)),"")</f>
        <v>316</v>
      </c>
      <c r="BQ18" s="16" cm="1">
        <f t="array" ref="BQ18">IFERROR(INDEX(_xlfn.ANCHORARRAY(_xlfn.XLOOKUP($C18,'-ref_Distribution'!$B$101:$B$109,'-ref_Distribution'!$G$101:$G$109)),RIGHT(BQ$1,2)),"")</f>
        <v>353</v>
      </c>
      <c r="BR18" s="16" cm="1">
        <f t="array" ref="BR18">IFERROR(INDEX(_xlfn.ANCHORARRAY(_xlfn.XLOOKUP($C18,'-ref_Distribution'!$B$101:$B$109,'-ref_Distribution'!$G$101:$G$109)),RIGHT(BR$1,2)),"")</f>
        <v>387</v>
      </c>
      <c r="BS18" s="16" cm="1">
        <f t="array" ref="BS18">IFERROR(INDEX(_xlfn.ANCHORARRAY(_xlfn.XLOOKUP($C18,'-ref_Distribution'!$B$101:$B$109,'-ref_Distribution'!$G$101:$G$109)),RIGHT(BS$1,2)),"")</f>
        <v>416</v>
      </c>
      <c r="BT18" s="16" cm="1">
        <f t="array" ref="BT18">IFERROR(INDEX(_xlfn.ANCHORARRAY(_xlfn.XLOOKUP($C18,'-ref_Distribution'!$B$101:$B$109,'-ref_Distribution'!$G$101:$G$109)),RIGHT(BT$1,2)),"")</f>
        <v>438</v>
      </c>
      <c r="BU18" s="16" cm="1">
        <f t="array" ref="BU18">IFERROR(INDEX(_xlfn.ANCHORARRAY(_xlfn.XLOOKUP($C18,'-ref_Distribution'!$B$101:$B$109,'-ref_Distribution'!$G$101:$G$109)),RIGHT(BU$1,2)),"")</f>
        <v>451</v>
      </c>
      <c r="BV18" s="16" cm="1">
        <f t="array" ref="BV18">IFERROR(INDEX(_xlfn.ANCHORARRAY(_xlfn.XLOOKUP($C18,'-ref_Distribution'!$B$101:$B$109,'-ref_Distribution'!$G$101:$G$109)),RIGHT(BV$1,2)),"")</f>
        <v>456</v>
      </c>
      <c r="BW18" s="16" cm="1">
        <f t="array" ref="BW18">IFERROR(INDEX(_xlfn.ANCHORARRAY(_xlfn.XLOOKUP($C18,'-ref_Distribution'!$B$101:$B$109,'-ref_Distribution'!$G$101:$G$109)),RIGHT(BW$1,2)),"")</f>
        <v>451</v>
      </c>
      <c r="BX18" s="16" cm="1">
        <f t="array" ref="BX18">IFERROR(INDEX(_xlfn.ANCHORARRAY(_xlfn.XLOOKUP($C18,'-ref_Distribution'!$B$101:$B$109,'-ref_Distribution'!$G$101:$G$109)),RIGHT(BX$1,2)),"")</f>
        <v>438</v>
      </c>
      <c r="BY18" s="16" cm="1">
        <f t="array" ref="BY18">IFERROR(INDEX(_xlfn.ANCHORARRAY(_xlfn.XLOOKUP($C18,'-ref_Distribution'!$B$101:$B$109,'-ref_Distribution'!$G$101:$G$109)),RIGHT(BY$1,2)),"")</f>
        <v>416</v>
      </c>
      <c r="BZ18" s="16" cm="1">
        <f t="array" ref="BZ18">IFERROR(INDEX(_xlfn.ANCHORARRAY(_xlfn.XLOOKUP($C18,'-ref_Distribution'!$B$101:$B$109,'-ref_Distribution'!$G$101:$G$109)),RIGHT(BZ$1,2)),"")</f>
        <v>387</v>
      </c>
      <c r="CA18" s="16" cm="1">
        <f t="array" ref="CA18">IFERROR(INDEX(_xlfn.ANCHORARRAY(_xlfn.XLOOKUP($C18,'-ref_Distribution'!$B$101:$B$109,'-ref_Distribution'!$G$101:$G$109)),RIGHT(CA$1,2)),"")</f>
        <v>353</v>
      </c>
      <c r="CB18" s="16" cm="1">
        <f t="array" ref="CB18">IFERROR(INDEX(_xlfn.ANCHORARRAY(_xlfn.XLOOKUP($C18,'-ref_Distribution'!$B$101:$B$109,'-ref_Distribution'!$G$101:$G$109)),RIGHT(CB$1,2)),"")</f>
        <v>316</v>
      </c>
      <c r="CC18" s="16" cm="1">
        <f t="array" ref="CC18">IFERROR(INDEX(_xlfn.ANCHORARRAY(_xlfn.XLOOKUP($C18,'-ref_Distribution'!$B$101:$B$109,'-ref_Distribution'!$G$101:$G$109)),RIGHT(CC$1,2)),"")</f>
        <v>277</v>
      </c>
      <c r="CD18" s="16" cm="1">
        <f t="array" ref="CD18">IFERROR(INDEX(_xlfn.ANCHORARRAY(_xlfn.XLOOKUP($C18,'-ref_Distribution'!$B$101:$B$109,'-ref_Distribution'!$G$101:$G$109)),RIGHT(CD$1,2)),"")</f>
        <v>237</v>
      </c>
      <c r="CE18" s="16" cm="1">
        <f t="array" ref="CE18">IFERROR(INDEX(_xlfn.ANCHORARRAY(_xlfn.XLOOKUP($C18,'-ref_Distribution'!$B$101:$B$109,'-ref_Distribution'!$G$101:$G$109)),RIGHT(CE$1,2)),"")</f>
        <v>200</v>
      </c>
      <c r="CF18" s="16"/>
      <c r="CG18" s="16"/>
      <c r="CH18" s="16"/>
      <c r="CI18" s="16"/>
      <c r="CJ18" s="16"/>
      <c r="CK18" s="16"/>
      <c r="CL18" s="16"/>
    </row>
    <row r="19" spans="1:90" x14ac:dyDescent="0.2">
      <c r="A19" s="16">
        <v>15118</v>
      </c>
      <c r="B19" s="16" t="s">
        <v>193</v>
      </c>
      <c r="C19" s="16">
        <v>13</v>
      </c>
      <c r="D19" s="16" cm="1">
        <f t="array" ref="D19">IFERROR(INDEX(_xlfn.ANCHORARRAY(_xlfn.XLOOKUP($C19,'-ref_Distribution'!$B$101:$B$109,'-ref_Distribution'!$G$101:$G$109)),RIGHT(D$1,2)),"")</f>
        <v>164</v>
      </c>
      <c r="E19" s="16" cm="1">
        <f t="array" ref="E19">IFERROR(INDEX(_xlfn.ANCHORARRAY(_xlfn.XLOOKUP($C19,'-ref_Distribution'!$B$101:$B$109,'-ref_Distribution'!$G$101:$G$109)),RIGHT(E$1,2)),"")</f>
        <v>200</v>
      </c>
      <c r="F19" s="16" cm="1">
        <f t="array" ref="F19">IFERROR(INDEX(_xlfn.ANCHORARRAY(_xlfn.XLOOKUP($C19,'-ref_Distribution'!$B$101:$B$109,'-ref_Distribution'!$G$101:$G$109)),RIGHT(F$1,2)),"")</f>
        <v>237</v>
      </c>
      <c r="G19" s="16" cm="1">
        <f t="array" ref="G19">IFERROR(INDEX(_xlfn.ANCHORARRAY(_xlfn.XLOOKUP($C19,'-ref_Distribution'!$B$101:$B$109,'-ref_Distribution'!$G$101:$G$109)),RIGHT(G$1,2)),"")</f>
        <v>277</v>
      </c>
      <c r="H19" s="16" cm="1">
        <f t="array" ref="H19">IFERROR(INDEX(_xlfn.ANCHORARRAY(_xlfn.XLOOKUP($C19,'-ref_Distribution'!$B$101:$B$109,'-ref_Distribution'!$G$101:$G$109)),RIGHT(H$1,2)),"")</f>
        <v>316</v>
      </c>
      <c r="I19" s="16" cm="1">
        <f t="array" ref="I19">IFERROR(INDEX(_xlfn.ANCHORARRAY(_xlfn.XLOOKUP($C19,'-ref_Distribution'!$B$101:$B$109,'-ref_Distribution'!$G$101:$G$109)),RIGHT(I$1,2)),"")</f>
        <v>353</v>
      </c>
      <c r="J19" s="16" cm="1">
        <f t="array" ref="J19">IFERROR(INDEX(_xlfn.ANCHORARRAY(_xlfn.XLOOKUP($C19,'-ref_Distribution'!$B$101:$B$109,'-ref_Distribution'!$G$101:$G$109)),RIGHT(J$1,2)),"")</f>
        <v>387</v>
      </c>
      <c r="K19" s="16" cm="1">
        <f t="array" ref="K19">IFERROR(INDEX(_xlfn.ANCHORARRAY(_xlfn.XLOOKUP($C19,'-ref_Distribution'!$B$101:$B$109,'-ref_Distribution'!$G$101:$G$109)),RIGHT(K$1,2)),"")</f>
        <v>416</v>
      </c>
      <c r="L19" s="16" cm="1">
        <f t="array" ref="L19">IFERROR(INDEX(_xlfn.ANCHORARRAY(_xlfn.XLOOKUP($C19,'-ref_Distribution'!$B$101:$B$109,'-ref_Distribution'!$G$101:$G$109)),RIGHT(L$1,2)),"")</f>
        <v>438</v>
      </c>
      <c r="M19" s="16" cm="1">
        <f t="array" ref="M19">IFERROR(INDEX(_xlfn.ANCHORARRAY(_xlfn.XLOOKUP($C19,'-ref_Distribution'!$B$101:$B$109,'-ref_Distribution'!$G$101:$G$109)),RIGHT(M$1,2)),"")</f>
        <v>451</v>
      </c>
      <c r="N19" s="16" cm="1">
        <f t="array" ref="N19">IFERROR(INDEX(_xlfn.ANCHORARRAY(_xlfn.XLOOKUP($C19,'-ref_Distribution'!$B$101:$B$109,'-ref_Distribution'!$G$101:$G$109)),RIGHT(N$1,2)),"")</f>
        <v>456</v>
      </c>
      <c r="O19" s="16" cm="1">
        <f t="array" ref="O19">IFERROR(INDEX(_xlfn.ANCHORARRAY(_xlfn.XLOOKUP($C19,'-ref_Distribution'!$B$101:$B$109,'-ref_Distribution'!$G$101:$G$109)),RIGHT(O$1,2)),"")</f>
        <v>451</v>
      </c>
      <c r="P19" s="16" cm="1">
        <f t="array" ref="P19">IFERROR(INDEX(_xlfn.ANCHORARRAY(_xlfn.XLOOKUP($C19,'-ref_Distribution'!$B$101:$B$109,'-ref_Distribution'!$G$101:$G$109)),RIGHT(P$1,2)),"")</f>
        <v>438</v>
      </c>
      <c r="Q19" s="16" cm="1">
        <f t="array" ref="Q19">IFERROR(INDEX(_xlfn.ANCHORARRAY(_xlfn.XLOOKUP($C19,'-ref_Distribution'!$B$101:$B$109,'-ref_Distribution'!$G$101:$G$109)),RIGHT(Q$1,2)),"")</f>
        <v>416</v>
      </c>
      <c r="R19" s="16" cm="1">
        <f t="array" ref="R19">IFERROR(INDEX(_xlfn.ANCHORARRAY(_xlfn.XLOOKUP($C19,'-ref_Distribution'!$B$101:$B$109,'-ref_Distribution'!$G$101:$G$109)),RIGHT(R$1,2)),"")</f>
        <v>387</v>
      </c>
      <c r="S19" s="16" cm="1">
        <f t="array" ref="S19">IFERROR(INDEX(_xlfn.ANCHORARRAY(_xlfn.XLOOKUP($C19,'-ref_Distribution'!$B$101:$B$109,'-ref_Distribution'!$G$101:$G$109)),RIGHT(S$1,2)),"")</f>
        <v>353</v>
      </c>
      <c r="T19" s="16" cm="1">
        <f t="array" ref="T19">IFERROR(INDEX(_xlfn.ANCHORARRAY(_xlfn.XLOOKUP($C19,'-ref_Distribution'!$B$101:$B$109,'-ref_Distribution'!$G$101:$G$109)),RIGHT(T$1,2)),"")</f>
        <v>316</v>
      </c>
      <c r="U19" s="16" cm="1">
        <f t="array" ref="U19">IFERROR(INDEX(_xlfn.ANCHORARRAY(_xlfn.XLOOKUP($C19,'-ref_Distribution'!$B$101:$B$109,'-ref_Distribution'!$G$101:$G$109)),RIGHT(U$1,2)),"")</f>
        <v>277</v>
      </c>
      <c r="V19" s="16" cm="1">
        <f t="array" ref="V19">IFERROR(INDEX(_xlfn.ANCHORARRAY(_xlfn.XLOOKUP($C19,'-ref_Distribution'!$B$101:$B$109,'-ref_Distribution'!$G$101:$G$109)),RIGHT(V$1,2)),"")</f>
        <v>237</v>
      </c>
      <c r="W19" s="16" cm="1">
        <f t="array" ref="W19">IFERROR(INDEX(_xlfn.ANCHORARRAY(_xlfn.XLOOKUP($C19,'-ref_Distribution'!$B$101:$B$109,'-ref_Distribution'!$G$101:$G$109)),RIGHT(W$1,2)),"")</f>
        <v>200</v>
      </c>
      <c r="X19" s="16" cm="1">
        <f t="array" ref="X19">IFERROR(INDEX(_xlfn.ANCHORARRAY(_xlfn.XLOOKUP($C19,'-ref_Distribution'!$B$101:$B$109,'-ref_Distribution'!$G$101:$G$109)),RIGHT(X$1,2)),"")</f>
        <v>164</v>
      </c>
      <c r="Y19" s="16" cm="1">
        <f t="array" ref="Y19">IFERROR(INDEX(_xlfn.ANCHORARRAY(_xlfn.XLOOKUP($C19,'-ref_Distribution'!$B$101:$B$109,'-ref_Distribution'!$G$101:$G$109)),RIGHT(Y$1,2)),"")</f>
        <v>200</v>
      </c>
      <c r="Z19" s="16" cm="1">
        <f t="array" ref="Z19">IFERROR(INDEX(_xlfn.ANCHORARRAY(_xlfn.XLOOKUP($C19,'-ref_Distribution'!$B$101:$B$109,'-ref_Distribution'!$G$101:$G$109)),RIGHT(Z$1,2)),"")</f>
        <v>237</v>
      </c>
      <c r="AA19" s="16" cm="1">
        <f t="array" ref="AA19">IFERROR(INDEX(_xlfn.ANCHORARRAY(_xlfn.XLOOKUP($C19,'-ref_Distribution'!$B$101:$B$109,'-ref_Distribution'!$G$101:$G$109)),RIGHT(AA$1,2)),"")</f>
        <v>277</v>
      </c>
      <c r="AB19" s="16" cm="1">
        <f t="array" ref="AB19">IFERROR(INDEX(_xlfn.ANCHORARRAY(_xlfn.XLOOKUP($C19,'-ref_Distribution'!$B$101:$B$109,'-ref_Distribution'!$G$101:$G$109)),RIGHT(AB$1,2)),"")</f>
        <v>316</v>
      </c>
      <c r="AC19" s="16" cm="1">
        <f t="array" ref="AC19">IFERROR(INDEX(_xlfn.ANCHORARRAY(_xlfn.XLOOKUP($C19,'-ref_Distribution'!$B$101:$B$109,'-ref_Distribution'!$G$101:$G$109)),RIGHT(AC$1,2)),"")</f>
        <v>353</v>
      </c>
      <c r="AD19" s="16" cm="1">
        <f t="array" ref="AD19">IFERROR(INDEX(_xlfn.ANCHORARRAY(_xlfn.XLOOKUP($C19,'-ref_Distribution'!$B$101:$B$109,'-ref_Distribution'!$G$101:$G$109)),RIGHT(AD$1,2)),"")</f>
        <v>387</v>
      </c>
      <c r="AE19" s="16" cm="1">
        <f t="array" ref="AE19">IFERROR(INDEX(_xlfn.ANCHORARRAY(_xlfn.XLOOKUP($C19,'-ref_Distribution'!$B$101:$B$109,'-ref_Distribution'!$G$101:$G$109)),RIGHT(AE$1,2)),"")</f>
        <v>416</v>
      </c>
      <c r="AF19" s="16" cm="1">
        <f t="array" ref="AF19">IFERROR(INDEX(_xlfn.ANCHORARRAY(_xlfn.XLOOKUP($C19,'-ref_Distribution'!$B$101:$B$109,'-ref_Distribution'!$G$101:$G$109)),RIGHT(AF$1,2)),"")</f>
        <v>438</v>
      </c>
      <c r="AG19" s="16" cm="1">
        <f t="array" ref="AG19">IFERROR(INDEX(_xlfn.ANCHORARRAY(_xlfn.XLOOKUP($C19,'-ref_Distribution'!$B$101:$B$109,'-ref_Distribution'!$G$101:$G$109)),RIGHT(AG$1,2)),"")</f>
        <v>451</v>
      </c>
      <c r="AH19" s="16" cm="1">
        <f t="array" ref="AH19">IFERROR(INDEX(_xlfn.ANCHORARRAY(_xlfn.XLOOKUP($C19,'-ref_Distribution'!$B$101:$B$109,'-ref_Distribution'!$G$101:$G$109)),RIGHT(AH$1,2)),"")</f>
        <v>456</v>
      </c>
      <c r="AI19" s="16" cm="1">
        <f t="array" ref="AI19">IFERROR(INDEX(_xlfn.ANCHORARRAY(_xlfn.XLOOKUP($C19,'-ref_Distribution'!$B$101:$B$109,'-ref_Distribution'!$G$101:$G$109)),RIGHT(AI$1,2)),"")</f>
        <v>451</v>
      </c>
      <c r="AJ19" s="16" cm="1">
        <f t="array" ref="AJ19">IFERROR(INDEX(_xlfn.ANCHORARRAY(_xlfn.XLOOKUP($C19,'-ref_Distribution'!$B$101:$B$109,'-ref_Distribution'!$G$101:$G$109)),RIGHT(AJ$1,2)),"")</f>
        <v>438</v>
      </c>
      <c r="AK19" s="16" cm="1">
        <f t="array" ref="AK19">IFERROR(INDEX(_xlfn.ANCHORARRAY(_xlfn.XLOOKUP($C19,'-ref_Distribution'!$B$101:$B$109,'-ref_Distribution'!$G$101:$G$109)),RIGHT(AK$1,2)),"")</f>
        <v>416</v>
      </c>
      <c r="AL19" s="16" cm="1">
        <f t="array" ref="AL19">IFERROR(INDEX(_xlfn.ANCHORARRAY(_xlfn.XLOOKUP($C19,'-ref_Distribution'!$B$101:$B$109,'-ref_Distribution'!$G$101:$G$109)),RIGHT(AL$1,2)),"")</f>
        <v>387</v>
      </c>
      <c r="AM19" s="16" cm="1">
        <f t="array" ref="AM19">IFERROR(INDEX(_xlfn.ANCHORARRAY(_xlfn.XLOOKUP($C19,'-ref_Distribution'!$B$101:$B$109,'-ref_Distribution'!$G$101:$G$109)),RIGHT(AM$1,2)),"")</f>
        <v>353</v>
      </c>
      <c r="AN19" s="16" cm="1">
        <f t="array" ref="AN19">IFERROR(INDEX(_xlfn.ANCHORARRAY(_xlfn.XLOOKUP($C19,'-ref_Distribution'!$B$101:$B$109,'-ref_Distribution'!$G$101:$G$109)),RIGHT(AN$1,2)),"")</f>
        <v>316</v>
      </c>
      <c r="AO19" s="16" cm="1">
        <f t="array" ref="AO19">IFERROR(INDEX(_xlfn.ANCHORARRAY(_xlfn.XLOOKUP($C19,'-ref_Distribution'!$B$101:$B$109,'-ref_Distribution'!$G$101:$G$109)),RIGHT(AO$1,2)),"")</f>
        <v>277</v>
      </c>
      <c r="AP19" s="16" cm="1">
        <f t="array" ref="AP19">IFERROR(INDEX(_xlfn.ANCHORARRAY(_xlfn.XLOOKUP($C19,'-ref_Distribution'!$B$101:$B$109,'-ref_Distribution'!$G$101:$G$109)),RIGHT(AP$1,2)),"")</f>
        <v>237</v>
      </c>
      <c r="AQ19" s="16" cm="1">
        <f t="array" ref="AQ19">IFERROR(INDEX(_xlfn.ANCHORARRAY(_xlfn.XLOOKUP($C19,'-ref_Distribution'!$B$101:$B$109,'-ref_Distribution'!$G$101:$G$109)),RIGHT(AQ$1,2)),"")</f>
        <v>200</v>
      </c>
      <c r="AR19" s="16" cm="1">
        <f t="array" ref="AR19">IFERROR(INDEX(_xlfn.ANCHORARRAY(_xlfn.XLOOKUP($C19,'-ref_Distribution'!$B$101:$B$109,'-ref_Distribution'!$G$101:$G$109)),RIGHT(AR$1,2)),"")</f>
        <v>164</v>
      </c>
      <c r="AS19" s="16" cm="1">
        <f t="array" ref="AS19">IFERROR(INDEX(_xlfn.ANCHORARRAY(_xlfn.XLOOKUP($C19,'-ref_Distribution'!$B$101:$B$109,'-ref_Distribution'!$G$101:$G$109)),RIGHT(AS$1,2)),"")</f>
        <v>200</v>
      </c>
      <c r="AT19" s="16" cm="1">
        <f t="array" ref="AT19">IFERROR(INDEX(_xlfn.ANCHORARRAY(_xlfn.XLOOKUP($C19,'-ref_Distribution'!$B$101:$B$109,'-ref_Distribution'!$G$101:$G$109)),RIGHT(AT$1,2)),"")</f>
        <v>237</v>
      </c>
      <c r="AU19" s="16" cm="1">
        <f t="array" ref="AU19">IFERROR(INDEX(_xlfn.ANCHORARRAY(_xlfn.XLOOKUP($C19,'-ref_Distribution'!$B$101:$B$109,'-ref_Distribution'!$G$101:$G$109)),RIGHT(AU$1,2)),"")</f>
        <v>277</v>
      </c>
      <c r="AV19" s="16" cm="1">
        <f t="array" ref="AV19">IFERROR(INDEX(_xlfn.ANCHORARRAY(_xlfn.XLOOKUP($C19,'-ref_Distribution'!$B$101:$B$109,'-ref_Distribution'!$G$101:$G$109)),RIGHT(AV$1,2)),"")</f>
        <v>316</v>
      </c>
      <c r="AW19" s="16" cm="1">
        <f t="array" ref="AW19">IFERROR(INDEX(_xlfn.ANCHORARRAY(_xlfn.XLOOKUP($C19,'-ref_Distribution'!$B$101:$B$109,'-ref_Distribution'!$G$101:$G$109)),RIGHT(AW$1,2)),"")</f>
        <v>353</v>
      </c>
      <c r="AX19" s="16" cm="1">
        <f t="array" ref="AX19">IFERROR(INDEX(_xlfn.ANCHORARRAY(_xlfn.XLOOKUP($C19,'-ref_Distribution'!$B$101:$B$109,'-ref_Distribution'!$G$101:$G$109)),RIGHT(AX$1,2)),"")</f>
        <v>387</v>
      </c>
      <c r="AY19" s="16" cm="1">
        <f t="array" ref="AY19">IFERROR(INDEX(_xlfn.ANCHORARRAY(_xlfn.XLOOKUP($C19,'-ref_Distribution'!$B$101:$B$109,'-ref_Distribution'!$G$101:$G$109)),RIGHT(AY$1,2)),"")</f>
        <v>416</v>
      </c>
      <c r="AZ19" s="16" cm="1">
        <f t="array" ref="AZ19">IFERROR(INDEX(_xlfn.ANCHORARRAY(_xlfn.XLOOKUP($C19,'-ref_Distribution'!$B$101:$B$109,'-ref_Distribution'!$G$101:$G$109)),RIGHT(AZ$1,2)),"")</f>
        <v>438</v>
      </c>
      <c r="BA19" s="16" cm="1">
        <f t="array" ref="BA19">IFERROR(INDEX(_xlfn.ANCHORARRAY(_xlfn.XLOOKUP($C19,'-ref_Distribution'!$B$101:$B$109,'-ref_Distribution'!$G$101:$G$109)),RIGHT(BA$1,2)),"")</f>
        <v>451</v>
      </c>
      <c r="BB19" s="16" cm="1">
        <f t="array" ref="BB19">IFERROR(INDEX(_xlfn.ANCHORARRAY(_xlfn.XLOOKUP($C19,'-ref_Distribution'!$B$101:$B$109,'-ref_Distribution'!$G$101:$G$109)),RIGHT(BB$1,2)),"")</f>
        <v>456</v>
      </c>
      <c r="BC19" s="16" cm="1">
        <f t="array" ref="BC19">IFERROR(INDEX(_xlfn.ANCHORARRAY(_xlfn.XLOOKUP($C19,'-ref_Distribution'!$B$101:$B$109,'-ref_Distribution'!$G$101:$G$109)),RIGHT(BC$1,2)),"")</f>
        <v>451</v>
      </c>
      <c r="BD19" s="16" cm="1">
        <f t="array" ref="BD19">IFERROR(INDEX(_xlfn.ANCHORARRAY(_xlfn.XLOOKUP($C19,'-ref_Distribution'!$B$101:$B$109,'-ref_Distribution'!$G$101:$G$109)),RIGHT(BD$1,2)),"")</f>
        <v>438</v>
      </c>
      <c r="BE19" s="16" cm="1">
        <f t="array" ref="BE19">IFERROR(INDEX(_xlfn.ANCHORARRAY(_xlfn.XLOOKUP($C19,'-ref_Distribution'!$B$101:$B$109,'-ref_Distribution'!$G$101:$G$109)),RIGHT(BE$1,2)),"")</f>
        <v>416</v>
      </c>
      <c r="BF19" s="16" cm="1">
        <f t="array" ref="BF19">IFERROR(INDEX(_xlfn.ANCHORARRAY(_xlfn.XLOOKUP($C19,'-ref_Distribution'!$B$101:$B$109,'-ref_Distribution'!$G$101:$G$109)),RIGHT(BF$1,2)),"")</f>
        <v>387</v>
      </c>
      <c r="BG19" s="16" cm="1">
        <f t="array" ref="BG19">IFERROR(INDEX(_xlfn.ANCHORARRAY(_xlfn.XLOOKUP($C19,'-ref_Distribution'!$B$101:$B$109,'-ref_Distribution'!$G$101:$G$109)),RIGHT(BG$1,2)),"")</f>
        <v>353</v>
      </c>
      <c r="BH19" s="16" cm="1">
        <f t="array" ref="BH19">IFERROR(INDEX(_xlfn.ANCHORARRAY(_xlfn.XLOOKUP($C19,'-ref_Distribution'!$B$101:$B$109,'-ref_Distribution'!$G$101:$G$109)),RIGHT(BH$1,2)),"")</f>
        <v>316</v>
      </c>
      <c r="BI19" s="16" cm="1">
        <f t="array" ref="BI19">IFERROR(INDEX(_xlfn.ANCHORARRAY(_xlfn.XLOOKUP($C19,'-ref_Distribution'!$B$101:$B$109,'-ref_Distribution'!$G$101:$G$109)),RIGHT(BI$1,2)),"")</f>
        <v>277</v>
      </c>
      <c r="BJ19" s="16" cm="1">
        <f t="array" ref="BJ19">IFERROR(INDEX(_xlfn.ANCHORARRAY(_xlfn.XLOOKUP($C19,'-ref_Distribution'!$B$101:$B$109,'-ref_Distribution'!$G$101:$G$109)),RIGHT(BJ$1,2)),"")</f>
        <v>237</v>
      </c>
      <c r="BK19" s="16" cm="1">
        <f t="array" ref="BK19">IFERROR(INDEX(_xlfn.ANCHORARRAY(_xlfn.XLOOKUP($C19,'-ref_Distribution'!$B$101:$B$109,'-ref_Distribution'!$G$101:$G$109)),RIGHT(BK$1,2)),"")</f>
        <v>200</v>
      </c>
      <c r="BL19" s="16" cm="1">
        <f t="array" ref="BL19">IFERROR(INDEX(_xlfn.ANCHORARRAY(_xlfn.XLOOKUP($C19,'-ref_Distribution'!$B$101:$B$109,'-ref_Distribution'!$G$101:$G$109)),RIGHT(BL$1,2)),"")</f>
        <v>164</v>
      </c>
      <c r="BM19" s="16" cm="1">
        <f t="array" ref="BM19">IFERROR(INDEX(_xlfn.ANCHORARRAY(_xlfn.XLOOKUP($C19,'-ref_Distribution'!$B$101:$B$109,'-ref_Distribution'!$G$101:$G$109)),RIGHT(BM$1,2)),"")</f>
        <v>200</v>
      </c>
      <c r="BN19" s="16" cm="1">
        <f t="array" ref="BN19">IFERROR(INDEX(_xlfn.ANCHORARRAY(_xlfn.XLOOKUP($C19,'-ref_Distribution'!$B$101:$B$109,'-ref_Distribution'!$G$101:$G$109)),RIGHT(BN$1,2)),"")</f>
        <v>237</v>
      </c>
      <c r="BO19" s="16" cm="1">
        <f t="array" ref="BO19">IFERROR(INDEX(_xlfn.ANCHORARRAY(_xlfn.XLOOKUP($C19,'-ref_Distribution'!$B$101:$B$109,'-ref_Distribution'!$G$101:$G$109)),RIGHT(BO$1,2)),"")</f>
        <v>277</v>
      </c>
      <c r="BP19" s="16" cm="1">
        <f t="array" ref="BP19">IFERROR(INDEX(_xlfn.ANCHORARRAY(_xlfn.XLOOKUP($C19,'-ref_Distribution'!$B$101:$B$109,'-ref_Distribution'!$G$101:$G$109)),RIGHT(BP$1,2)),"")</f>
        <v>316</v>
      </c>
      <c r="BQ19" s="16" cm="1">
        <f t="array" ref="BQ19">IFERROR(INDEX(_xlfn.ANCHORARRAY(_xlfn.XLOOKUP($C19,'-ref_Distribution'!$B$101:$B$109,'-ref_Distribution'!$G$101:$G$109)),RIGHT(BQ$1,2)),"")</f>
        <v>353</v>
      </c>
      <c r="BR19" s="16" cm="1">
        <f t="array" ref="BR19">IFERROR(INDEX(_xlfn.ANCHORARRAY(_xlfn.XLOOKUP($C19,'-ref_Distribution'!$B$101:$B$109,'-ref_Distribution'!$G$101:$G$109)),RIGHT(BR$1,2)),"")</f>
        <v>387</v>
      </c>
      <c r="BS19" s="16" cm="1">
        <f t="array" ref="BS19">IFERROR(INDEX(_xlfn.ANCHORARRAY(_xlfn.XLOOKUP($C19,'-ref_Distribution'!$B$101:$B$109,'-ref_Distribution'!$G$101:$G$109)),RIGHT(BS$1,2)),"")</f>
        <v>416</v>
      </c>
      <c r="BT19" s="16" cm="1">
        <f t="array" ref="BT19">IFERROR(INDEX(_xlfn.ANCHORARRAY(_xlfn.XLOOKUP($C19,'-ref_Distribution'!$B$101:$B$109,'-ref_Distribution'!$G$101:$G$109)),RIGHT(BT$1,2)),"")</f>
        <v>438</v>
      </c>
      <c r="BU19" s="16" cm="1">
        <f t="array" ref="BU19">IFERROR(INDEX(_xlfn.ANCHORARRAY(_xlfn.XLOOKUP($C19,'-ref_Distribution'!$B$101:$B$109,'-ref_Distribution'!$G$101:$G$109)),RIGHT(BU$1,2)),"")</f>
        <v>451</v>
      </c>
      <c r="BV19" s="16" cm="1">
        <f t="array" ref="BV19">IFERROR(INDEX(_xlfn.ANCHORARRAY(_xlfn.XLOOKUP($C19,'-ref_Distribution'!$B$101:$B$109,'-ref_Distribution'!$G$101:$G$109)),RIGHT(BV$1,2)),"")</f>
        <v>456</v>
      </c>
      <c r="BW19" s="16" cm="1">
        <f t="array" ref="BW19">IFERROR(INDEX(_xlfn.ANCHORARRAY(_xlfn.XLOOKUP($C19,'-ref_Distribution'!$B$101:$B$109,'-ref_Distribution'!$G$101:$G$109)),RIGHT(BW$1,2)),"")</f>
        <v>451</v>
      </c>
      <c r="BX19" s="16" cm="1">
        <f t="array" ref="BX19">IFERROR(INDEX(_xlfn.ANCHORARRAY(_xlfn.XLOOKUP($C19,'-ref_Distribution'!$B$101:$B$109,'-ref_Distribution'!$G$101:$G$109)),RIGHT(BX$1,2)),"")</f>
        <v>438</v>
      </c>
      <c r="BY19" s="16" cm="1">
        <f t="array" ref="BY19">IFERROR(INDEX(_xlfn.ANCHORARRAY(_xlfn.XLOOKUP($C19,'-ref_Distribution'!$B$101:$B$109,'-ref_Distribution'!$G$101:$G$109)),RIGHT(BY$1,2)),"")</f>
        <v>416</v>
      </c>
      <c r="BZ19" s="16" cm="1">
        <f t="array" ref="BZ19">IFERROR(INDEX(_xlfn.ANCHORARRAY(_xlfn.XLOOKUP($C19,'-ref_Distribution'!$B$101:$B$109,'-ref_Distribution'!$G$101:$G$109)),RIGHT(BZ$1,2)),"")</f>
        <v>387</v>
      </c>
      <c r="CA19" s="16" cm="1">
        <f t="array" ref="CA19">IFERROR(INDEX(_xlfn.ANCHORARRAY(_xlfn.XLOOKUP($C19,'-ref_Distribution'!$B$101:$B$109,'-ref_Distribution'!$G$101:$G$109)),RIGHT(CA$1,2)),"")</f>
        <v>353</v>
      </c>
      <c r="CB19" s="16" cm="1">
        <f t="array" ref="CB19">IFERROR(INDEX(_xlfn.ANCHORARRAY(_xlfn.XLOOKUP($C19,'-ref_Distribution'!$B$101:$B$109,'-ref_Distribution'!$G$101:$G$109)),RIGHT(CB$1,2)),"")</f>
        <v>316</v>
      </c>
      <c r="CC19" s="16" cm="1">
        <f t="array" ref="CC19">IFERROR(INDEX(_xlfn.ANCHORARRAY(_xlfn.XLOOKUP($C19,'-ref_Distribution'!$B$101:$B$109,'-ref_Distribution'!$G$101:$G$109)),RIGHT(CC$1,2)),"")</f>
        <v>277</v>
      </c>
      <c r="CD19" s="16" cm="1">
        <f t="array" ref="CD19">IFERROR(INDEX(_xlfn.ANCHORARRAY(_xlfn.XLOOKUP($C19,'-ref_Distribution'!$B$101:$B$109,'-ref_Distribution'!$G$101:$G$109)),RIGHT(CD$1,2)),"")</f>
        <v>237</v>
      </c>
      <c r="CE19" s="16" cm="1">
        <f t="array" ref="CE19">IFERROR(INDEX(_xlfn.ANCHORARRAY(_xlfn.XLOOKUP($C19,'-ref_Distribution'!$B$101:$B$109,'-ref_Distribution'!$G$101:$G$109)),RIGHT(CE$1,2)),"")</f>
        <v>200</v>
      </c>
      <c r="CF19" s="16"/>
      <c r="CG19" s="16"/>
      <c r="CH19" s="16"/>
      <c r="CI19" s="16"/>
      <c r="CJ19" s="16"/>
      <c r="CK19" s="16"/>
      <c r="CL19" s="16"/>
    </row>
    <row r="20" spans="1:90" x14ac:dyDescent="0.2">
      <c r="A20" s="16">
        <v>15119</v>
      </c>
      <c r="B20" s="16" t="s">
        <v>194</v>
      </c>
      <c r="C20" s="16">
        <v>14</v>
      </c>
      <c r="D20" s="16" cm="1">
        <f t="array" ref="D20">IFERROR(INDEX(_xlfn.ANCHORARRAY(_xlfn.XLOOKUP($C20,'-ref_Distribution'!$B$101:$B$109,'-ref_Distribution'!$G$101:$G$109)),RIGHT(D$1,2)),"")</f>
        <v>67</v>
      </c>
      <c r="E20" s="16" cm="1">
        <f t="array" ref="E20">IFERROR(INDEX(_xlfn.ANCHORARRAY(_xlfn.XLOOKUP($C20,'-ref_Distribution'!$B$101:$B$109,'-ref_Distribution'!$G$101:$G$109)),RIGHT(E$1,2)),"")</f>
        <v>88</v>
      </c>
      <c r="F20" s="16" cm="1">
        <f t="array" ref="F20">IFERROR(INDEX(_xlfn.ANCHORARRAY(_xlfn.XLOOKUP($C20,'-ref_Distribution'!$B$101:$B$109,'-ref_Distribution'!$G$101:$G$109)),RIGHT(F$1,2)),"")</f>
        <v>113</v>
      </c>
      <c r="G20" s="16" cm="1">
        <f t="array" ref="G20">IFERROR(INDEX(_xlfn.ANCHORARRAY(_xlfn.XLOOKUP($C20,'-ref_Distribution'!$B$101:$B$109,'-ref_Distribution'!$G$101:$G$109)),RIGHT(G$1,2)),"")</f>
        <v>141</v>
      </c>
      <c r="H20" s="16" cm="1">
        <f t="array" ref="H20">IFERROR(INDEX(_xlfn.ANCHORARRAY(_xlfn.XLOOKUP($C20,'-ref_Distribution'!$B$101:$B$109,'-ref_Distribution'!$G$101:$G$109)),RIGHT(H$1,2)),"")</f>
        <v>173</v>
      </c>
      <c r="I20" s="16" cm="1">
        <f t="array" ref="I20">IFERROR(INDEX(_xlfn.ANCHORARRAY(_xlfn.XLOOKUP($C20,'-ref_Distribution'!$B$101:$B$109,'-ref_Distribution'!$G$101:$G$109)),RIGHT(I$1,2)),"")</f>
        <v>206</v>
      </c>
      <c r="J20" s="16" cm="1">
        <f t="array" ref="J20">IFERROR(INDEX(_xlfn.ANCHORARRAY(_xlfn.XLOOKUP($C20,'-ref_Distribution'!$B$101:$B$109,'-ref_Distribution'!$G$101:$G$109)),RIGHT(J$1,2)),"")</f>
        <v>241</v>
      </c>
      <c r="K20" s="16" cm="1">
        <f t="array" ref="K20">IFERROR(INDEX(_xlfn.ANCHORARRAY(_xlfn.XLOOKUP($C20,'-ref_Distribution'!$B$101:$B$109,'-ref_Distribution'!$G$101:$G$109)),RIGHT(K$1,2)),"")</f>
        <v>274</v>
      </c>
      <c r="L20" s="16" cm="1">
        <f t="array" ref="L20">IFERROR(INDEX(_xlfn.ANCHORARRAY(_xlfn.XLOOKUP($C20,'-ref_Distribution'!$B$101:$B$109,'-ref_Distribution'!$G$101:$G$109)),RIGHT(L$1,2)),"")</f>
        <v>305</v>
      </c>
      <c r="M20" s="16" cm="1">
        <f t="array" ref="M20">IFERROR(INDEX(_xlfn.ANCHORARRAY(_xlfn.XLOOKUP($C20,'-ref_Distribution'!$B$101:$B$109,'-ref_Distribution'!$G$101:$G$109)),RIGHT(M$1,2)),"")</f>
        <v>331</v>
      </c>
      <c r="N20" s="16" cm="1">
        <f t="array" ref="N20">IFERROR(INDEX(_xlfn.ANCHORARRAY(_xlfn.XLOOKUP($C20,'-ref_Distribution'!$B$101:$B$109,'-ref_Distribution'!$G$101:$G$109)),RIGHT(N$1,2)),"")</f>
        <v>351</v>
      </c>
      <c r="O20" s="16" cm="1">
        <f t="array" ref="O20">IFERROR(INDEX(_xlfn.ANCHORARRAY(_xlfn.XLOOKUP($C20,'-ref_Distribution'!$B$101:$B$109,'-ref_Distribution'!$G$101:$G$109)),RIGHT(O$1,2)),"")</f>
        <v>364</v>
      </c>
      <c r="P20" s="16" cm="1">
        <f t="array" ref="P20">IFERROR(INDEX(_xlfn.ANCHORARRAY(_xlfn.XLOOKUP($C20,'-ref_Distribution'!$B$101:$B$109,'-ref_Distribution'!$G$101:$G$109)),RIGHT(P$1,2)),"")</f>
        <v>368</v>
      </c>
      <c r="Q20" s="16" cm="1">
        <f t="array" ref="Q20">IFERROR(INDEX(_xlfn.ANCHORARRAY(_xlfn.XLOOKUP($C20,'-ref_Distribution'!$B$101:$B$109,'-ref_Distribution'!$G$101:$G$109)),RIGHT(Q$1,2)),"")</f>
        <v>364</v>
      </c>
      <c r="R20" s="16" cm="1">
        <f t="array" ref="R20">IFERROR(INDEX(_xlfn.ANCHORARRAY(_xlfn.XLOOKUP($C20,'-ref_Distribution'!$B$101:$B$109,'-ref_Distribution'!$G$101:$G$109)),RIGHT(R$1,2)),"")</f>
        <v>351</v>
      </c>
      <c r="S20" s="16" cm="1">
        <f t="array" ref="S20">IFERROR(INDEX(_xlfn.ANCHORARRAY(_xlfn.XLOOKUP($C20,'-ref_Distribution'!$B$101:$B$109,'-ref_Distribution'!$G$101:$G$109)),RIGHT(S$1,2)),"")</f>
        <v>331</v>
      </c>
      <c r="T20" s="16" cm="1">
        <f t="array" ref="T20">IFERROR(INDEX(_xlfn.ANCHORARRAY(_xlfn.XLOOKUP($C20,'-ref_Distribution'!$B$101:$B$109,'-ref_Distribution'!$G$101:$G$109)),RIGHT(T$1,2)),"")</f>
        <v>305</v>
      </c>
      <c r="U20" s="16" cm="1">
        <f t="array" ref="U20">IFERROR(INDEX(_xlfn.ANCHORARRAY(_xlfn.XLOOKUP($C20,'-ref_Distribution'!$B$101:$B$109,'-ref_Distribution'!$G$101:$G$109)),RIGHT(U$1,2)),"")</f>
        <v>274</v>
      </c>
      <c r="V20" s="16" cm="1">
        <f t="array" ref="V20">IFERROR(INDEX(_xlfn.ANCHORARRAY(_xlfn.XLOOKUP($C20,'-ref_Distribution'!$B$101:$B$109,'-ref_Distribution'!$G$101:$G$109)),RIGHT(V$1,2)),"")</f>
        <v>241</v>
      </c>
      <c r="W20" s="16" cm="1">
        <f t="array" ref="W20">IFERROR(INDEX(_xlfn.ANCHORARRAY(_xlfn.XLOOKUP($C20,'-ref_Distribution'!$B$101:$B$109,'-ref_Distribution'!$G$101:$G$109)),RIGHT(W$1,2)),"")</f>
        <v>206</v>
      </c>
      <c r="X20" s="16" cm="1">
        <f t="array" ref="X20">IFERROR(INDEX(_xlfn.ANCHORARRAY(_xlfn.XLOOKUP($C20,'-ref_Distribution'!$B$101:$B$109,'-ref_Distribution'!$G$101:$G$109)),RIGHT(X$1,2)),"")</f>
        <v>67</v>
      </c>
      <c r="Y20" s="16" cm="1">
        <f t="array" ref="Y20">IFERROR(INDEX(_xlfn.ANCHORARRAY(_xlfn.XLOOKUP($C20,'-ref_Distribution'!$B$101:$B$109,'-ref_Distribution'!$G$101:$G$109)),RIGHT(Y$1,2)),"")</f>
        <v>88</v>
      </c>
      <c r="Z20" s="16" cm="1">
        <f t="array" ref="Z20">IFERROR(INDEX(_xlfn.ANCHORARRAY(_xlfn.XLOOKUP($C20,'-ref_Distribution'!$B$101:$B$109,'-ref_Distribution'!$G$101:$G$109)),RIGHT(Z$1,2)),"")</f>
        <v>113</v>
      </c>
      <c r="AA20" s="16" cm="1">
        <f t="array" ref="AA20">IFERROR(INDEX(_xlfn.ANCHORARRAY(_xlfn.XLOOKUP($C20,'-ref_Distribution'!$B$101:$B$109,'-ref_Distribution'!$G$101:$G$109)),RIGHT(AA$1,2)),"")</f>
        <v>141</v>
      </c>
      <c r="AB20" s="16" cm="1">
        <f t="array" ref="AB20">IFERROR(INDEX(_xlfn.ANCHORARRAY(_xlfn.XLOOKUP($C20,'-ref_Distribution'!$B$101:$B$109,'-ref_Distribution'!$G$101:$G$109)),RIGHT(AB$1,2)),"")</f>
        <v>173</v>
      </c>
      <c r="AC20" s="16" cm="1">
        <f t="array" ref="AC20">IFERROR(INDEX(_xlfn.ANCHORARRAY(_xlfn.XLOOKUP($C20,'-ref_Distribution'!$B$101:$B$109,'-ref_Distribution'!$G$101:$G$109)),RIGHT(AC$1,2)),"")</f>
        <v>206</v>
      </c>
      <c r="AD20" s="16" cm="1">
        <f t="array" ref="AD20">IFERROR(INDEX(_xlfn.ANCHORARRAY(_xlfn.XLOOKUP($C20,'-ref_Distribution'!$B$101:$B$109,'-ref_Distribution'!$G$101:$G$109)),RIGHT(AD$1,2)),"")</f>
        <v>241</v>
      </c>
      <c r="AE20" s="16" cm="1">
        <f t="array" ref="AE20">IFERROR(INDEX(_xlfn.ANCHORARRAY(_xlfn.XLOOKUP($C20,'-ref_Distribution'!$B$101:$B$109,'-ref_Distribution'!$G$101:$G$109)),RIGHT(AE$1,2)),"")</f>
        <v>274</v>
      </c>
      <c r="AF20" s="16" cm="1">
        <f t="array" ref="AF20">IFERROR(INDEX(_xlfn.ANCHORARRAY(_xlfn.XLOOKUP($C20,'-ref_Distribution'!$B$101:$B$109,'-ref_Distribution'!$G$101:$G$109)),RIGHT(AF$1,2)),"")</f>
        <v>305</v>
      </c>
      <c r="AG20" s="16" cm="1">
        <f t="array" ref="AG20">IFERROR(INDEX(_xlfn.ANCHORARRAY(_xlfn.XLOOKUP($C20,'-ref_Distribution'!$B$101:$B$109,'-ref_Distribution'!$G$101:$G$109)),RIGHT(AG$1,2)),"")</f>
        <v>331</v>
      </c>
      <c r="AH20" s="16" cm="1">
        <f t="array" ref="AH20">IFERROR(INDEX(_xlfn.ANCHORARRAY(_xlfn.XLOOKUP($C20,'-ref_Distribution'!$B$101:$B$109,'-ref_Distribution'!$G$101:$G$109)),RIGHT(AH$1,2)),"")</f>
        <v>351</v>
      </c>
      <c r="AI20" s="16" cm="1">
        <f t="array" ref="AI20">IFERROR(INDEX(_xlfn.ANCHORARRAY(_xlfn.XLOOKUP($C20,'-ref_Distribution'!$B$101:$B$109,'-ref_Distribution'!$G$101:$G$109)),RIGHT(AI$1,2)),"")</f>
        <v>364</v>
      </c>
      <c r="AJ20" s="16" cm="1">
        <f t="array" ref="AJ20">IFERROR(INDEX(_xlfn.ANCHORARRAY(_xlfn.XLOOKUP($C20,'-ref_Distribution'!$B$101:$B$109,'-ref_Distribution'!$G$101:$G$109)),RIGHT(AJ$1,2)),"")</f>
        <v>368</v>
      </c>
      <c r="AK20" s="16" cm="1">
        <f t="array" ref="AK20">IFERROR(INDEX(_xlfn.ANCHORARRAY(_xlfn.XLOOKUP($C20,'-ref_Distribution'!$B$101:$B$109,'-ref_Distribution'!$G$101:$G$109)),RIGHT(AK$1,2)),"")</f>
        <v>364</v>
      </c>
      <c r="AL20" s="16" cm="1">
        <f t="array" ref="AL20">IFERROR(INDEX(_xlfn.ANCHORARRAY(_xlfn.XLOOKUP($C20,'-ref_Distribution'!$B$101:$B$109,'-ref_Distribution'!$G$101:$G$109)),RIGHT(AL$1,2)),"")</f>
        <v>351</v>
      </c>
      <c r="AM20" s="16" cm="1">
        <f t="array" ref="AM20">IFERROR(INDEX(_xlfn.ANCHORARRAY(_xlfn.XLOOKUP($C20,'-ref_Distribution'!$B$101:$B$109,'-ref_Distribution'!$G$101:$G$109)),RIGHT(AM$1,2)),"")</f>
        <v>331</v>
      </c>
      <c r="AN20" s="16" cm="1">
        <f t="array" ref="AN20">IFERROR(INDEX(_xlfn.ANCHORARRAY(_xlfn.XLOOKUP($C20,'-ref_Distribution'!$B$101:$B$109,'-ref_Distribution'!$G$101:$G$109)),RIGHT(AN$1,2)),"")</f>
        <v>305</v>
      </c>
      <c r="AO20" s="16" cm="1">
        <f t="array" ref="AO20">IFERROR(INDEX(_xlfn.ANCHORARRAY(_xlfn.XLOOKUP($C20,'-ref_Distribution'!$B$101:$B$109,'-ref_Distribution'!$G$101:$G$109)),RIGHT(AO$1,2)),"")</f>
        <v>274</v>
      </c>
      <c r="AP20" s="16" cm="1">
        <f t="array" ref="AP20">IFERROR(INDEX(_xlfn.ANCHORARRAY(_xlfn.XLOOKUP($C20,'-ref_Distribution'!$B$101:$B$109,'-ref_Distribution'!$G$101:$G$109)),RIGHT(AP$1,2)),"")</f>
        <v>241</v>
      </c>
      <c r="AQ20" s="16" cm="1">
        <f t="array" ref="AQ20">IFERROR(INDEX(_xlfn.ANCHORARRAY(_xlfn.XLOOKUP($C20,'-ref_Distribution'!$B$101:$B$109,'-ref_Distribution'!$G$101:$G$109)),RIGHT(AQ$1,2)),"")</f>
        <v>206</v>
      </c>
      <c r="AR20" s="16" cm="1">
        <f t="array" ref="AR20">IFERROR(INDEX(_xlfn.ANCHORARRAY(_xlfn.XLOOKUP($C20,'-ref_Distribution'!$B$101:$B$109,'-ref_Distribution'!$G$101:$G$109)),RIGHT(AR$1,2)),"")</f>
        <v>67</v>
      </c>
      <c r="AS20" s="16" cm="1">
        <f t="array" ref="AS20">IFERROR(INDEX(_xlfn.ANCHORARRAY(_xlfn.XLOOKUP($C20,'-ref_Distribution'!$B$101:$B$109,'-ref_Distribution'!$G$101:$G$109)),RIGHT(AS$1,2)),"")</f>
        <v>88</v>
      </c>
      <c r="AT20" s="16" cm="1">
        <f t="array" ref="AT20">IFERROR(INDEX(_xlfn.ANCHORARRAY(_xlfn.XLOOKUP($C20,'-ref_Distribution'!$B$101:$B$109,'-ref_Distribution'!$G$101:$G$109)),RIGHT(AT$1,2)),"")</f>
        <v>113</v>
      </c>
      <c r="AU20" s="16" cm="1">
        <f t="array" ref="AU20">IFERROR(INDEX(_xlfn.ANCHORARRAY(_xlfn.XLOOKUP($C20,'-ref_Distribution'!$B$101:$B$109,'-ref_Distribution'!$G$101:$G$109)),RIGHT(AU$1,2)),"")</f>
        <v>141</v>
      </c>
      <c r="AV20" s="16" cm="1">
        <f t="array" ref="AV20">IFERROR(INDEX(_xlfn.ANCHORARRAY(_xlfn.XLOOKUP($C20,'-ref_Distribution'!$B$101:$B$109,'-ref_Distribution'!$G$101:$G$109)),RIGHT(AV$1,2)),"")</f>
        <v>173</v>
      </c>
      <c r="AW20" s="16" cm="1">
        <f t="array" ref="AW20">IFERROR(INDEX(_xlfn.ANCHORARRAY(_xlfn.XLOOKUP($C20,'-ref_Distribution'!$B$101:$B$109,'-ref_Distribution'!$G$101:$G$109)),RIGHT(AW$1,2)),"")</f>
        <v>206</v>
      </c>
      <c r="AX20" s="16" cm="1">
        <f t="array" ref="AX20">IFERROR(INDEX(_xlfn.ANCHORARRAY(_xlfn.XLOOKUP($C20,'-ref_Distribution'!$B$101:$B$109,'-ref_Distribution'!$G$101:$G$109)),RIGHT(AX$1,2)),"")</f>
        <v>241</v>
      </c>
      <c r="AY20" s="16" cm="1">
        <f t="array" ref="AY20">IFERROR(INDEX(_xlfn.ANCHORARRAY(_xlfn.XLOOKUP($C20,'-ref_Distribution'!$B$101:$B$109,'-ref_Distribution'!$G$101:$G$109)),RIGHT(AY$1,2)),"")</f>
        <v>274</v>
      </c>
      <c r="AZ20" s="16" cm="1">
        <f t="array" ref="AZ20">IFERROR(INDEX(_xlfn.ANCHORARRAY(_xlfn.XLOOKUP($C20,'-ref_Distribution'!$B$101:$B$109,'-ref_Distribution'!$G$101:$G$109)),RIGHT(AZ$1,2)),"")</f>
        <v>305</v>
      </c>
      <c r="BA20" s="16" cm="1">
        <f t="array" ref="BA20">IFERROR(INDEX(_xlfn.ANCHORARRAY(_xlfn.XLOOKUP($C20,'-ref_Distribution'!$B$101:$B$109,'-ref_Distribution'!$G$101:$G$109)),RIGHT(BA$1,2)),"")</f>
        <v>331</v>
      </c>
      <c r="BB20" s="16" cm="1">
        <f t="array" ref="BB20">IFERROR(INDEX(_xlfn.ANCHORARRAY(_xlfn.XLOOKUP($C20,'-ref_Distribution'!$B$101:$B$109,'-ref_Distribution'!$G$101:$G$109)),RIGHT(BB$1,2)),"")</f>
        <v>351</v>
      </c>
      <c r="BC20" s="16" cm="1">
        <f t="array" ref="BC20">IFERROR(INDEX(_xlfn.ANCHORARRAY(_xlfn.XLOOKUP($C20,'-ref_Distribution'!$B$101:$B$109,'-ref_Distribution'!$G$101:$G$109)),RIGHT(BC$1,2)),"")</f>
        <v>364</v>
      </c>
      <c r="BD20" s="16" cm="1">
        <f t="array" ref="BD20">IFERROR(INDEX(_xlfn.ANCHORARRAY(_xlfn.XLOOKUP($C20,'-ref_Distribution'!$B$101:$B$109,'-ref_Distribution'!$G$101:$G$109)),RIGHT(BD$1,2)),"")</f>
        <v>368</v>
      </c>
      <c r="BE20" s="16" cm="1">
        <f t="array" ref="BE20">IFERROR(INDEX(_xlfn.ANCHORARRAY(_xlfn.XLOOKUP($C20,'-ref_Distribution'!$B$101:$B$109,'-ref_Distribution'!$G$101:$G$109)),RIGHT(BE$1,2)),"")</f>
        <v>364</v>
      </c>
      <c r="BF20" s="16" cm="1">
        <f t="array" ref="BF20">IFERROR(INDEX(_xlfn.ANCHORARRAY(_xlfn.XLOOKUP($C20,'-ref_Distribution'!$B$101:$B$109,'-ref_Distribution'!$G$101:$G$109)),RIGHT(BF$1,2)),"")</f>
        <v>351</v>
      </c>
      <c r="BG20" s="16" cm="1">
        <f t="array" ref="BG20">IFERROR(INDEX(_xlfn.ANCHORARRAY(_xlfn.XLOOKUP($C20,'-ref_Distribution'!$B$101:$B$109,'-ref_Distribution'!$G$101:$G$109)),RIGHT(BG$1,2)),"")</f>
        <v>331</v>
      </c>
      <c r="BH20" s="16" cm="1">
        <f t="array" ref="BH20">IFERROR(INDEX(_xlfn.ANCHORARRAY(_xlfn.XLOOKUP($C20,'-ref_Distribution'!$B$101:$B$109,'-ref_Distribution'!$G$101:$G$109)),RIGHT(BH$1,2)),"")</f>
        <v>305</v>
      </c>
      <c r="BI20" s="16" cm="1">
        <f t="array" ref="BI20">IFERROR(INDEX(_xlfn.ANCHORARRAY(_xlfn.XLOOKUP($C20,'-ref_Distribution'!$B$101:$B$109,'-ref_Distribution'!$G$101:$G$109)),RIGHT(BI$1,2)),"")</f>
        <v>274</v>
      </c>
      <c r="BJ20" s="16" cm="1">
        <f t="array" ref="BJ20">IFERROR(INDEX(_xlfn.ANCHORARRAY(_xlfn.XLOOKUP($C20,'-ref_Distribution'!$B$101:$B$109,'-ref_Distribution'!$G$101:$G$109)),RIGHT(BJ$1,2)),"")</f>
        <v>241</v>
      </c>
      <c r="BK20" s="16" cm="1">
        <f t="array" ref="BK20">IFERROR(INDEX(_xlfn.ANCHORARRAY(_xlfn.XLOOKUP($C20,'-ref_Distribution'!$B$101:$B$109,'-ref_Distribution'!$G$101:$G$109)),RIGHT(BK$1,2)),"")</f>
        <v>206</v>
      </c>
      <c r="BL20" s="16" cm="1">
        <f t="array" ref="BL20">IFERROR(INDEX(_xlfn.ANCHORARRAY(_xlfn.XLOOKUP($C20,'-ref_Distribution'!$B$101:$B$109,'-ref_Distribution'!$G$101:$G$109)),RIGHT(BL$1,2)),"")</f>
        <v>67</v>
      </c>
      <c r="BM20" s="16" cm="1">
        <f t="array" ref="BM20">IFERROR(INDEX(_xlfn.ANCHORARRAY(_xlfn.XLOOKUP($C20,'-ref_Distribution'!$B$101:$B$109,'-ref_Distribution'!$G$101:$G$109)),RIGHT(BM$1,2)),"")</f>
        <v>88</v>
      </c>
      <c r="BN20" s="16" cm="1">
        <f t="array" ref="BN20">IFERROR(INDEX(_xlfn.ANCHORARRAY(_xlfn.XLOOKUP($C20,'-ref_Distribution'!$B$101:$B$109,'-ref_Distribution'!$G$101:$G$109)),RIGHT(BN$1,2)),"")</f>
        <v>113</v>
      </c>
      <c r="BO20" s="16" cm="1">
        <f t="array" ref="BO20">IFERROR(INDEX(_xlfn.ANCHORARRAY(_xlfn.XLOOKUP($C20,'-ref_Distribution'!$B$101:$B$109,'-ref_Distribution'!$G$101:$G$109)),RIGHT(BO$1,2)),"")</f>
        <v>141</v>
      </c>
      <c r="BP20" s="16" cm="1">
        <f t="array" ref="BP20">IFERROR(INDEX(_xlfn.ANCHORARRAY(_xlfn.XLOOKUP($C20,'-ref_Distribution'!$B$101:$B$109,'-ref_Distribution'!$G$101:$G$109)),RIGHT(BP$1,2)),"")</f>
        <v>173</v>
      </c>
      <c r="BQ20" s="16" cm="1">
        <f t="array" ref="BQ20">IFERROR(INDEX(_xlfn.ANCHORARRAY(_xlfn.XLOOKUP($C20,'-ref_Distribution'!$B$101:$B$109,'-ref_Distribution'!$G$101:$G$109)),RIGHT(BQ$1,2)),"")</f>
        <v>206</v>
      </c>
      <c r="BR20" s="16" cm="1">
        <f t="array" ref="BR20">IFERROR(INDEX(_xlfn.ANCHORARRAY(_xlfn.XLOOKUP($C20,'-ref_Distribution'!$B$101:$B$109,'-ref_Distribution'!$G$101:$G$109)),RIGHT(BR$1,2)),"")</f>
        <v>241</v>
      </c>
      <c r="BS20" s="16" cm="1">
        <f t="array" ref="BS20">IFERROR(INDEX(_xlfn.ANCHORARRAY(_xlfn.XLOOKUP($C20,'-ref_Distribution'!$B$101:$B$109,'-ref_Distribution'!$G$101:$G$109)),RIGHT(BS$1,2)),"")</f>
        <v>274</v>
      </c>
      <c r="BT20" s="16" cm="1">
        <f t="array" ref="BT20">IFERROR(INDEX(_xlfn.ANCHORARRAY(_xlfn.XLOOKUP($C20,'-ref_Distribution'!$B$101:$B$109,'-ref_Distribution'!$G$101:$G$109)),RIGHT(BT$1,2)),"")</f>
        <v>305</v>
      </c>
      <c r="BU20" s="16" cm="1">
        <f t="array" ref="BU20">IFERROR(INDEX(_xlfn.ANCHORARRAY(_xlfn.XLOOKUP($C20,'-ref_Distribution'!$B$101:$B$109,'-ref_Distribution'!$G$101:$G$109)),RIGHT(BU$1,2)),"")</f>
        <v>331</v>
      </c>
      <c r="BV20" s="16" cm="1">
        <f t="array" ref="BV20">IFERROR(INDEX(_xlfn.ANCHORARRAY(_xlfn.XLOOKUP($C20,'-ref_Distribution'!$B$101:$B$109,'-ref_Distribution'!$G$101:$G$109)),RIGHT(BV$1,2)),"")</f>
        <v>351</v>
      </c>
      <c r="BW20" s="16" cm="1">
        <f t="array" ref="BW20">IFERROR(INDEX(_xlfn.ANCHORARRAY(_xlfn.XLOOKUP($C20,'-ref_Distribution'!$B$101:$B$109,'-ref_Distribution'!$G$101:$G$109)),RIGHT(BW$1,2)),"")</f>
        <v>364</v>
      </c>
      <c r="BX20" s="16" cm="1">
        <f t="array" ref="BX20">IFERROR(INDEX(_xlfn.ANCHORARRAY(_xlfn.XLOOKUP($C20,'-ref_Distribution'!$B$101:$B$109,'-ref_Distribution'!$G$101:$G$109)),RIGHT(BX$1,2)),"")</f>
        <v>368</v>
      </c>
      <c r="BY20" s="16" cm="1">
        <f t="array" ref="BY20">IFERROR(INDEX(_xlfn.ANCHORARRAY(_xlfn.XLOOKUP($C20,'-ref_Distribution'!$B$101:$B$109,'-ref_Distribution'!$G$101:$G$109)),RIGHT(BY$1,2)),"")</f>
        <v>364</v>
      </c>
      <c r="BZ20" s="16" cm="1">
        <f t="array" ref="BZ20">IFERROR(INDEX(_xlfn.ANCHORARRAY(_xlfn.XLOOKUP($C20,'-ref_Distribution'!$B$101:$B$109,'-ref_Distribution'!$G$101:$G$109)),RIGHT(BZ$1,2)),"")</f>
        <v>351</v>
      </c>
      <c r="CA20" s="16" cm="1">
        <f t="array" ref="CA20">IFERROR(INDEX(_xlfn.ANCHORARRAY(_xlfn.XLOOKUP($C20,'-ref_Distribution'!$B$101:$B$109,'-ref_Distribution'!$G$101:$G$109)),RIGHT(CA$1,2)),"")</f>
        <v>331</v>
      </c>
      <c r="CB20" s="16" cm="1">
        <f t="array" ref="CB20">IFERROR(INDEX(_xlfn.ANCHORARRAY(_xlfn.XLOOKUP($C20,'-ref_Distribution'!$B$101:$B$109,'-ref_Distribution'!$G$101:$G$109)),RIGHT(CB$1,2)),"")</f>
        <v>305</v>
      </c>
      <c r="CC20" s="16" cm="1">
        <f t="array" ref="CC20">IFERROR(INDEX(_xlfn.ANCHORARRAY(_xlfn.XLOOKUP($C20,'-ref_Distribution'!$B$101:$B$109,'-ref_Distribution'!$G$101:$G$109)),RIGHT(CC$1,2)),"")</f>
        <v>274</v>
      </c>
      <c r="CD20" s="16" cm="1">
        <f t="array" ref="CD20">IFERROR(INDEX(_xlfn.ANCHORARRAY(_xlfn.XLOOKUP($C20,'-ref_Distribution'!$B$101:$B$109,'-ref_Distribution'!$G$101:$G$109)),RIGHT(CD$1,2)),"")</f>
        <v>241</v>
      </c>
      <c r="CE20" s="16" cm="1">
        <f t="array" ref="CE20">IFERROR(INDEX(_xlfn.ANCHORARRAY(_xlfn.XLOOKUP($C20,'-ref_Distribution'!$B$101:$B$109,'-ref_Distribution'!$G$101:$G$109)),RIGHT(CE$1,2)),"")</f>
        <v>206</v>
      </c>
      <c r="CF20" s="16"/>
      <c r="CG20" s="16"/>
      <c r="CH20" s="16"/>
      <c r="CI20" s="16"/>
      <c r="CJ20" s="16"/>
      <c r="CK20" s="16"/>
      <c r="CL20" s="16"/>
    </row>
    <row r="21" spans="1:90" x14ac:dyDescent="0.2">
      <c r="A21" s="16">
        <v>15120</v>
      </c>
      <c r="B21" s="16" t="s">
        <v>195</v>
      </c>
      <c r="C21" s="16">
        <v>14</v>
      </c>
      <c r="D21" s="16" cm="1">
        <f t="array" ref="D21">IFERROR(INDEX(_xlfn.ANCHORARRAY(_xlfn.XLOOKUP($C21,'-ref_Distribution'!$B$101:$B$109,'-ref_Distribution'!$G$101:$G$109)),RIGHT(D$1,2)),"")</f>
        <v>67</v>
      </c>
      <c r="E21" s="16" cm="1">
        <f t="array" ref="E21">IFERROR(INDEX(_xlfn.ANCHORARRAY(_xlfn.XLOOKUP($C21,'-ref_Distribution'!$B$101:$B$109,'-ref_Distribution'!$G$101:$G$109)),RIGHT(E$1,2)),"")</f>
        <v>88</v>
      </c>
      <c r="F21" s="16" cm="1">
        <f t="array" ref="F21">IFERROR(INDEX(_xlfn.ANCHORARRAY(_xlfn.XLOOKUP($C21,'-ref_Distribution'!$B$101:$B$109,'-ref_Distribution'!$G$101:$G$109)),RIGHT(F$1,2)),"")</f>
        <v>113</v>
      </c>
      <c r="G21" s="16" cm="1">
        <f t="array" ref="G21">IFERROR(INDEX(_xlfn.ANCHORARRAY(_xlfn.XLOOKUP($C21,'-ref_Distribution'!$B$101:$B$109,'-ref_Distribution'!$G$101:$G$109)),RIGHT(G$1,2)),"")</f>
        <v>141</v>
      </c>
      <c r="H21" s="16" cm="1">
        <f t="array" ref="H21">IFERROR(INDEX(_xlfn.ANCHORARRAY(_xlfn.XLOOKUP($C21,'-ref_Distribution'!$B$101:$B$109,'-ref_Distribution'!$G$101:$G$109)),RIGHT(H$1,2)),"")</f>
        <v>173</v>
      </c>
      <c r="I21" s="16" cm="1">
        <f t="array" ref="I21">IFERROR(INDEX(_xlfn.ANCHORARRAY(_xlfn.XLOOKUP($C21,'-ref_Distribution'!$B$101:$B$109,'-ref_Distribution'!$G$101:$G$109)),RIGHT(I$1,2)),"")</f>
        <v>206</v>
      </c>
      <c r="J21" s="16" cm="1">
        <f t="array" ref="J21">IFERROR(INDEX(_xlfn.ANCHORARRAY(_xlfn.XLOOKUP($C21,'-ref_Distribution'!$B$101:$B$109,'-ref_Distribution'!$G$101:$G$109)),RIGHT(J$1,2)),"")</f>
        <v>241</v>
      </c>
      <c r="K21" s="16" cm="1">
        <f t="array" ref="K21">IFERROR(INDEX(_xlfn.ANCHORARRAY(_xlfn.XLOOKUP($C21,'-ref_Distribution'!$B$101:$B$109,'-ref_Distribution'!$G$101:$G$109)),RIGHT(K$1,2)),"")</f>
        <v>274</v>
      </c>
      <c r="L21" s="16" cm="1">
        <f t="array" ref="L21">IFERROR(INDEX(_xlfn.ANCHORARRAY(_xlfn.XLOOKUP($C21,'-ref_Distribution'!$B$101:$B$109,'-ref_Distribution'!$G$101:$G$109)),RIGHT(L$1,2)),"")</f>
        <v>305</v>
      </c>
      <c r="M21" s="16" cm="1">
        <f t="array" ref="M21">IFERROR(INDEX(_xlfn.ANCHORARRAY(_xlfn.XLOOKUP($C21,'-ref_Distribution'!$B$101:$B$109,'-ref_Distribution'!$G$101:$G$109)),RIGHT(M$1,2)),"")</f>
        <v>331</v>
      </c>
      <c r="N21" s="16" cm="1">
        <f t="array" ref="N21">IFERROR(INDEX(_xlfn.ANCHORARRAY(_xlfn.XLOOKUP($C21,'-ref_Distribution'!$B$101:$B$109,'-ref_Distribution'!$G$101:$G$109)),RIGHT(N$1,2)),"")</f>
        <v>351</v>
      </c>
      <c r="O21" s="16" cm="1">
        <f t="array" ref="O21">IFERROR(INDEX(_xlfn.ANCHORARRAY(_xlfn.XLOOKUP($C21,'-ref_Distribution'!$B$101:$B$109,'-ref_Distribution'!$G$101:$G$109)),RIGHT(O$1,2)),"")</f>
        <v>364</v>
      </c>
      <c r="P21" s="16" cm="1">
        <f t="array" ref="P21">IFERROR(INDEX(_xlfn.ANCHORARRAY(_xlfn.XLOOKUP($C21,'-ref_Distribution'!$B$101:$B$109,'-ref_Distribution'!$G$101:$G$109)),RIGHT(P$1,2)),"")</f>
        <v>368</v>
      </c>
      <c r="Q21" s="16" cm="1">
        <f t="array" ref="Q21">IFERROR(INDEX(_xlfn.ANCHORARRAY(_xlfn.XLOOKUP($C21,'-ref_Distribution'!$B$101:$B$109,'-ref_Distribution'!$G$101:$G$109)),RIGHT(Q$1,2)),"")</f>
        <v>364</v>
      </c>
      <c r="R21" s="16" cm="1">
        <f t="array" ref="R21">IFERROR(INDEX(_xlfn.ANCHORARRAY(_xlfn.XLOOKUP($C21,'-ref_Distribution'!$B$101:$B$109,'-ref_Distribution'!$G$101:$G$109)),RIGHT(R$1,2)),"")</f>
        <v>351</v>
      </c>
      <c r="S21" s="16" cm="1">
        <f t="array" ref="S21">IFERROR(INDEX(_xlfn.ANCHORARRAY(_xlfn.XLOOKUP($C21,'-ref_Distribution'!$B$101:$B$109,'-ref_Distribution'!$G$101:$G$109)),RIGHT(S$1,2)),"")</f>
        <v>331</v>
      </c>
      <c r="T21" s="16" cm="1">
        <f t="array" ref="T21">IFERROR(INDEX(_xlfn.ANCHORARRAY(_xlfn.XLOOKUP($C21,'-ref_Distribution'!$B$101:$B$109,'-ref_Distribution'!$G$101:$G$109)),RIGHT(T$1,2)),"")</f>
        <v>305</v>
      </c>
      <c r="U21" s="16" cm="1">
        <f t="array" ref="U21">IFERROR(INDEX(_xlfn.ANCHORARRAY(_xlfn.XLOOKUP($C21,'-ref_Distribution'!$B$101:$B$109,'-ref_Distribution'!$G$101:$G$109)),RIGHT(U$1,2)),"")</f>
        <v>274</v>
      </c>
      <c r="V21" s="16" cm="1">
        <f t="array" ref="V21">IFERROR(INDEX(_xlfn.ANCHORARRAY(_xlfn.XLOOKUP($C21,'-ref_Distribution'!$B$101:$B$109,'-ref_Distribution'!$G$101:$G$109)),RIGHT(V$1,2)),"")</f>
        <v>241</v>
      </c>
      <c r="W21" s="16" cm="1">
        <f t="array" ref="W21">IFERROR(INDEX(_xlfn.ANCHORARRAY(_xlfn.XLOOKUP($C21,'-ref_Distribution'!$B$101:$B$109,'-ref_Distribution'!$G$101:$G$109)),RIGHT(W$1,2)),"")</f>
        <v>206</v>
      </c>
      <c r="X21" s="16" cm="1">
        <f t="array" ref="X21">IFERROR(INDEX(_xlfn.ANCHORARRAY(_xlfn.XLOOKUP($C21,'-ref_Distribution'!$B$101:$B$109,'-ref_Distribution'!$G$101:$G$109)),RIGHT(X$1,2)),"")</f>
        <v>67</v>
      </c>
      <c r="Y21" s="16" cm="1">
        <f t="array" ref="Y21">IFERROR(INDEX(_xlfn.ANCHORARRAY(_xlfn.XLOOKUP($C21,'-ref_Distribution'!$B$101:$B$109,'-ref_Distribution'!$G$101:$G$109)),RIGHT(Y$1,2)),"")</f>
        <v>88</v>
      </c>
      <c r="Z21" s="16" cm="1">
        <f t="array" ref="Z21">IFERROR(INDEX(_xlfn.ANCHORARRAY(_xlfn.XLOOKUP($C21,'-ref_Distribution'!$B$101:$B$109,'-ref_Distribution'!$G$101:$G$109)),RIGHT(Z$1,2)),"")</f>
        <v>113</v>
      </c>
      <c r="AA21" s="16" cm="1">
        <f t="array" ref="AA21">IFERROR(INDEX(_xlfn.ANCHORARRAY(_xlfn.XLOOKUP($C21,'-ref_Distribution'!$B$101:$B$109,'-ref_Distribution'!$G$101:$G$109)),RIGHT(AA$1,2)),"")</f>
        <v>141</v>
      </c>
      <c r="AB21" s="16" cm="1">
        <f t="array" ref="AB21">IFERROR(INDEX(_xlfn.ANCHORARRAY(_xlfn.XLOOKUP($C21,'-ref_Distribution'!$B$101:$B$109,'-ref_Distribution'!$G$101:$G$109)),RIGHT(AB$1,2)),"")</f>
        <v>173</v>
      </c>
      <c r="AC21" s="16" cm="1">
        <f t="array" ref="AC21">IFERROR(INDEX(_xlfn.ANCHORARRAY(_xlfn.XLOOKUP($C21,'-ref_Distribution'!$B$101:$B$109,'-ref_Distribution'!$G$101:$G$109)),RIGHT(AC$1,2)),"")</f>
        <v>206</v>
      </c>
      <c r="AD21" s="16" cm="1">
        <f t="array" ref="AD21">IFERROR(INDEX(_xlfn.ANCHORARRAY(_xlfn.XLOOKUP($C21,'-ref_Distribution'!$B$101:$B$109,'-ref_Distribution'!$G$101:$G$109)),RIGHT(AD$1,2)),"")</f>
        <v>241</v>
      </c>
      <c r="AE21" s="16" cm="1">
        <f t="array" ref="AE21">IFERROR(INDEX(_xlfn.ANCHORARRAY(_xlfn.XLOOKUP($C21,'-ref_Distribution'!$B$101:$B$109,'-ref_Distribution'!$G$101:$G$109)),RIGHT(AE$1,2)),"")</f>
        <v>274</v>
      </c>
      <c r="AF21" s="16" cm="1">
        <f t="array" ref="AF21">IFERROR(INDEX(_xlfn.ANCHORARRAY(_xlfn.XLOOKUP($C21,'-ref_Distribution'!$B$101:$B$109,'-ref_Distribution'!$G$101:$G$109)),RIGHT(AF$1,2)),"")</f>
        <v>305</v>
      </c>
      <c r="AG21" s="16" cm="1">
        <f t="array" ref="AG21">IFERROR(INDEX(_xlfn.ANCHORARRAY(_xlfn.XLOOKUP($C21,'-ref_Distribution'!$B$101:$B$109,'-ref_Distribution'!$G$101:$G$109)),RIGHT(AG$1,2)),"")</f>
        <v>331</v>
      </c>
      <c r="AH21" s="16" cm="1">
        <f t="array" ref="AH21">IFERROR(INDEX(_xlfn.ANCHORARRAY(_xlfn.XLOOKUP($C21,'-ref_Distribution'!$B$101:$B$109,'-ref_Distribution'!$G$101:$G$109)),RIGHT(AH$1,2)),"")</f>
        <v>351</v>
      </c>
      <c r="AI21" s="16" cm="1">
        <f t="array" ref="AI21">IFERROR(INDEX(_xlfn.ANCHORARRAY(_xlfn.XLOOKUP($C21,'-ref_Distribution'!$B$101:$B$109,'-ref_Distribution'!$G$101:$G$109)),RIGHT(AI$1,2)),"")</f>
        <v>364</v>
      </c>
      <c r="AJ21" s="16" cm="1">
        <f t="array" ref="AJ21">IFERROR(INDEX(_xlfn.ANCHORARRAY(_xlfn.XLOOKUP($C21,'-ref_Distribution'!$B$101:$B$109,'-ref_Distribution'!$G$101:$G$109)),RIGHT(AJ$1,2)),"")</f>
        <v>368</v>
      </c>
      <c r="AK21" s="16" cm="1">
        <f t="array" ref="AK21">IFERROR(INDEX(_xlfn.ANCHORARRAY(_xlfn.XLOOKUP($C21,'-ref_Distribution'!$B$101:$B$109,'-ref_Distribution'!$G$101:$G$109)),RIGHT(AK$1,2)),"")</f>
        <v>364</v>
      </c>
      <c r="AL21" s="16" cm="1">
        <f t="array" ref="AL21">IFERROR(INDEX(_xlfn.ANCHORARRAY(_xlfn.XLOOKUP($C21,'-ref_Distribution'!$B$101:$B$109,'-ref_Distribution'!$G$101:$G$109)),RIGHT(AL$1,2)),"")</f>
        <v>351</v>
      </c>
      <c r="AM21" s="16" cm="1">
        <f t="array" ref="AM21">IFERROR(INDEX(_xlfn.ANCHORARRAY(_xlfn.XLOOKUP($C21,'-ref_Distribution'!$B$101:$B$109,'-ref_Distribution'!$G$101:$G$109)),RIGHT(AM$1,2)),"")</f>
        <v>331</v>
      </c>
      <c r="AN21" s="16" cm="1">
        <f t="array" ref="AN21">IFERROR(INDEX(_xlfn.ANCHORARRAY(_xlfn.XLOOKUP($C21,'-ref_Distribution'!$B$101:$B$109,'-ref_Distribution'!$G$101:$G$109)),RIGHT(AN$1,2)),"")</f>
        <v>305</v>
      </c>
      <c r="AO21" s="16" cm="1">
        <f t="array" ref="AO21">IFERROR(INDEX(_xlfn.ANCHORARRAY(_xlfn.XLOOKUP($C21,'-ref_Distribution'!$B$101:$B$109,'-ref_Distribution'!$G$101:$G$109)),RIGHT(AO$1,2)),"")</f>
        <v>274</v>
      </c>
      <c r="AP21" s="16" cm="1">
        <f t="array" ref="AP21">IFERROR(INDEX(_xlfn.ANCHORARRAY(_xlfn.XLOOKUP($C21,'-ref_Distribution'!$B$101:$B$109,'-ref_Distribution'!$G$101:$G$109)),RIGHT(AP$1,2)),"")</f>
        <v>241</v>
      </c>
      <c r="AQ21" s="16" cm="1">
        <f t="array" ref="AQ21">IFERROR(INDEX(_xlfn.ANCHORARRAY(_xlfn.XLOOKUP($C21,'-ref_Distribution'!$B$101:$B$109,'-ref_Distribution'!$G$101:$G$109)),RIGHT(AQ$1,2)),"")</f>
        <v>206</v>
      </c>
      <c r="AR21" s="16" cm="1">
        <f t="array" ref="AR21">IFERROR(INDEX(_xlfn.ANCHORARRAY(_xlfn.XLOOKUP($C21,'-ref_Distribution'!$B$101:$B$109,'-ref_Distribution'!$G$101:$G$109)),RIGHT(AR$1,2)),"")</f>
        <v>67</v>
      </c>
      <c r="AS21" s="16" cm="1">
        <f t="array" ref="AS21">IFERROR(INDEX(_xlfn.ANCHORARRAY(_xlfn.XLOOKUP($C21,'-ref_Distribution'!$B$101:$B$109,'-ref_Distribution'!$G$101:$G$109)),RIGHT(AS$1,2)),"")</f>
        <v>88</v>
      </c>
      <c r="AT21" s="16" cm="1">
        <f t="array" ref="AT21">IFERROR(INDEX(_xlfn.ANCHORARRAY(_xlfn.XLOOKUP($C21,'-ref_Distribution'!$B$101:$B$109,'-ref_Distribution'!$G$101:$G$109)),RIGHT(AT$1,2)),"")</f>
        <v>113</v>
      </c>
      <c r="AU21" s="16" cm="1">
        <f t="array" ref="AU21">IFERROR(INDEX(_xlfn.ANCHORARRAY(_xlfn.XLOOKUP($C21,'-ref_Distribution'!$B$101:$B$109,'-ref_Distribution'!$G$101:$G$109)),RIGHT(AU$1,2)),"")</f>
        <v>141</v>
      </c>
      <c r="AV21" s="16" cm="1">
        <f t="array" ref="AV21">IFERROR(INDEX(_xlfn.ANCHORARRAY(_xlfn.XLOOKUP($C21,'-ref_Distribution'!$B$101:$B$109,'-ref_Distribution'!$G$101:$G$109)),RIGHT(AV$1,2)),"")</f>
        <v>173</v>
      </c>
      <c r="AW21" s="16" cm="1">
        <f t="array" ref="AW21">IFERROR(INDEX(_xlfn.ANCHORARRAY(_xlfn.XLOOKUP($C21,'-ref_Distribution'!$B$101:$B$109,'-ref_Distribution'!$G$101:$G$109)),RIGHT(AW$1,2)),"")</f>
        <v>206</v>
      </c>
      <c r="AX21" s="16" cm="1">
        <f t="array" ref="AX21">IFERROR(INDEX(_xlfn.ANCHORARRAY(_xlfn.XLOOKUP($C21,'-ref_Distribution'!$B$101:$B$109,'-ref_Distribution'!$G$101:$G$109)),RIGHT(AX$1,2)),"")</f>
        <v>241</v>
      </c>
      <c r="AY21" s="16" cm="1">
        <f t="array" ref="AY21">IFERROR(INDEX(_xlfn.ANCHORARRAY(_xlfn.XLOOKUP($C21,'-ref_Distribution'!$B$101:$B$109,'-ref_Distribution'!$G$101:$G$109)),RIGHT(AY$1,2)),"")</f>
        <v>274</v>
      </c>
      <c r="AZ21" s="16" cm="1">
        <f t="array" ref="AZ21">IFERROR(INDEX(_xlfn.ANCHORARRAY(_xlfn.XLOOKUP($C21,'-ref_Distribution'!$B$101:$B$109,'-ref_Distribution'!$G$101:$G$109)),RIGHT(AZ$1,2)),"")</f>
        <v>305</v>
      </c>
      <c r="BA21" s="16" cm="1">
        <f t="array" ref="BA21">IFERROR(INDEX(_xlfn.ANCHORARRAY(_xlfn.XLOOKUP($C21,'-ref_Distribution'!$B$101:$B$109,'-ref_Distribution'!$G$101:$G$109)),RIGHT(BA$1,2)),"")</f>
        <v>331</v>
      </c>
      <c r="BB21" s="16" cm="1">
        <f t="array" ref="BB21">IFERROR(INDEX(_xlfn.ANCHORARRAY(_xlfn.XLOOKUP($C21,'-ref_Distribution'!$B$101:$B$109,'-ref_Distribution'!$G$101:$G$109)),RIGHT(BB$1,2)),"")</f>
        <v>351</v>
      </c>
      <c r="BC21" s="16" cm="1">
        <f t="array" ref="BC21">IFERROR(INDEX(_xlfn.ANCHORARRAY(_xlfn.XLOOKUP($C21,'-ref_Distribution'!$B$101:$B$109,'-ref_Distribution'!$G$101:$G$109)),RIGHT(BC$1,2)),"")</f>
        <v>364</v>
      </c>
      <c r="BD21" s="16" cm="1">
        <f t="array" ref="BD21">IFERROR(INDEX(_xlfn.ANCHORARRAY(_xlfn.XLOOKUP($C21,'-ref_Distribution'!$B$101:$B$109,'-ref_Distribution'!$G$101:$G$109)),RIGHT(BD$1,2)),"")</f>
        <v>368</v>
      </c>
      <c r="BE21" s="16" cm="1">
        <f t="array" ref="BE21">IFERROR(INDEX(_xlfn.ANCHORARRAY(_xlfn.XLOOKUP($C21,'-ref_Distribution'!$B$101:$B$109,'-ref_Distribution'!$G$101:$G$109)),RIGHT(BE$1,2)),"")</f>
        <v>364</v>
      </c>
      <c r="BF21" s="16" cm="1">
        <f t="array" ref="BF21">IFERROR(INDEX(_xlfn.ANCHORARRAY(_xlfn.XLOOKUP($C21,'-ref_Distribution'!$B$101:$B$109,'-ref_Distribution'!$G$101:$G$109)),RIGHT(BF$1,2)),"")</f>
        <v>351</v>
      </c>
      <c r="BG21" s="16" cm="1">
        <f t="array" ref="BG21">IFERROR(INDEX(_xlfn.ANCHORARRAY(_xlfn.XLOOKUP($C21,'-ref_Distribution'!$B$101:$B$109,'-ref_Distribution'!$G$101:$G$109)),RIGHT(BG$1,2)),"")</f>
        <v>331</v>
      </c>
      <c r="BH21" s="16" cm="1">
        <f t="array" ref="BH21">IFERROR(INDEX(_xlfn.ANCHORARRAY(_xlfn.XLOOKUP($C21,'-ref_Distribution'!$B$101:$B$109,'-ref_Distribution'!$G$101:$G$109)),RIGHT(BH$1,2)),"")</f>
        <v>305</v>
      </c>
      <c r="BI21" s="16" cm="1">
        <f t="array" ref="BI21">IFERROR(INDEX(_xlfn.ANCHORARRAY(_xlfn.XLOOKUP($C21,'-ref_Distribution'!$B$101:$B$109,'-ref_Distribution'!$G$101:$G$109)),RIGHT(BI$1,2)),"")</f>
        <v>274</v>
      </c>
      <c r="BJ21" s="16" cm="1">
        <f t="array" ref="BJ21">IFERROR(INDEX(_xlfn.ANCHORARRAY(_xlfn.XLOOKUP($C21,'-ref_Distribution'!$B$101:$B$109,'-ref_Distribution'!$G$101:$G$109)),RIGHT(BJ$1,2)),"")</f>
        <v>241</v>
      </c>
      <c r="BK21" s="16" cm="1">
        <f t="array" ref="BK21">IFERROR(INDEX(_xlfn.ANCHORARRAY(_xlfn.XLOOKUP($C21,'-ref_Distribution'!$B$101:$B$109,'-ref_Distribution'!$G$101:$G$109)),RIGHT(BK$1,2)),"")</f>
        <v>206</v>
      </c>
      <c r="BL21" s="16" cm="1">
        <f t="array" ref="BL21">IFERROR(INDEX(_xlfn.ANCHORARRAY(_xlfn.XLOOKUP($C21,'-ref_Distribution'!$B$101:$B$109,'-ref_Distribution'!$G$101:$G$109)),RIGHT(BL$1,2)),"")</f>
        <v>67</v>
      </c>
      <c r="BM21" s="16" cm="1">
        <f t="array" ref="BM21">IFERROR(INDEX(_xlfn.ANCHORARRAY(_xlfn.XLOOKUP($C21,'-ref_Distribution'!$B$101:$B$109,'-ref_Distribution'!$G$101:$G$109)),RIGHT(BM$1,2)),"")</f>
        <v>88</v>
      </c>
      <c r="BN21" s="16" cm="1">
        <f t="array" ref="BN21">IFERROR(INDEX(_xlfn.ANCHORARRAY(_xlfn.XLOOKUP($C21,'-ref_Distribution'!$B$101:$B$109,'-ref_Distribution'!$G$101:$G$109)),RIGHT(BN$1,2)),"")</f>
        <v>113</v>
      </c>
      <c r="BO21" s="16" cm="1">
        <f t="array" ref="BO21">IFERROR(INDEX(_xlfn.ANCHORARRAY(_xlfn.XLOOKUP($C21,'-ref_Distribution'!$B$101:$B$109,'-ref_Distribution'!$G$101:$G$109)),RIGHT(BO$1,2)),"")</f>
        <v>141</v>
      </c>
      <c r="BP21" s="16" cm="1">
        <f t="array" ref="BP21">IFERROR(INDEX(_xlfn.ANCHORARRAY(_xlfn.XLOOKUP($C21,'-ref_Distribution'!$B$101:$B$109,'-ref_Distribution'!$G$101:$G$109)),RIGHT(BP$1,2)),"")</f>
        <v>173</v>
      </c>
      <c r="BQ21" s="16" cm="1">
        <f t="array" ref="BQ21">IFERROR(INDEX(_xlfn.ANCHORARRAY(_xlfn.XLOOKUP($C21,'-ref_Distribution'!$B$101:$B$109,'-ref_Distribution'!$G$101:$G$109)),RIGHT(BQ$1,2)),"")</f>
        <v>206</v>
      </c>
      <c r="BR21" s="16" cm="1">
        <f t="array" ref="BR21">IFERROR(INDEX(_xlfn.ANCHORARRAY(_xlfn.XLOOKUP($C21,'-ref_Distribution'!$B$101:$B$109,'-ref_Distribution'!$G$101:$G$109)),RIGHT(BR$1,2)),"")</f>
        <v>241</v>
      </c>
      <c r="BS21" s="16" cm="1">
        <f t="array" ref="BS21">IFERROR(INDEX(_xlfn.ANCHORARRAY(_xlfn.XLOOKUP($C21,'-ref_Distribution'!$B$101:$B$109,'-ref_Distribution'!$G$101:$G$109)),RIGHT(BS$1,2)),"")</f>
        <v>274</v>
      </c>
      <c r="BT21" s="16" cm="1">
        <f t="array" ref="BT21">IFERROR(INDEX(_xlfn.ANCHORARRAY(_xlfn.XLOOKUP($C21,'-ref_Distribution'!$B$101:$B$109,'-ref_Distribution'!$G$101:$G$109)),RIGHT(BT$1,2)),"")</f>
        <v>305</v>
      </c>
      <c r="BU21" s="16" cm="1">
        <f t="array" ref="BU21">IFERROR(INDEX(_xlfn.ANCHORARRAY(_xlfn.XLOOKUP($C21,'-ref_Distribution'!$B$101:$B$109,'-ref_Distribution'!$G$101:$G$109)),RIGHT(BU$1,2)),"")</f>
        <v>331</v>
      </c>
      <c r="BV21" s="16" cm="1">
        <f t="array" ref="BV21">IFERROR(INDEX(_xlfn.ANCHORARRAY(_xlfn.XLOOKUP($C21,'-ref_Distribution'!$B$101:$B$109,'-ref_Distribution'!$G$101:$G$109)),RIGHT(BV$1,2)),"")</f>
        <v>351</v>
      </c>
      <c r="BW21" s="16" cm="1">
        <f t="array" ref="BW21">IFERROR(INDEX(_xlfn.ANCHORARRAY(_xlfn.XLOOKUP($C21,'-ref_Distribution'!$B$101:$B$109,'-ref_Distribution'!$G$101:$G$109)),RIGHT(BW$1,2)),"")</f>
        <v>364</v>
      </c>
      <c r="BX21" s="16" cm="1">
        <f t="array" ref="BX21">IFERROR(INDEX(_xlfn.ANCHORARRAY(_xlfn.XLOOKUP($C21,'-ref_Distribution'!$B$101:$B$109,'-ref_Distribution'!$G$101:$G$109)),RIGHT(BX$1,2)),"")</f>
        <v>368</v>
      </c>
      <c r="BY21" s="16" cm="1">
        <f t="array" ref="BY21">IFERROR(INDEX(_xlfn.ANCHORARRAY(_xlfn.XLOOKUP($C21,'-ref_Distribution'!$B$101:$B$109,'-ref_Distribution'!$G$101:$G$109)),RIGHT(BY$1,2)),"")</f>
        <v>364</v>
      </c>
      <c r="BZ21" s="16" cm="1">
        <f t="array" ref="BZ21">IFERROR(INDEX(_xlfn.ANCHORARRAY(_xlfn.XLOOKUP($C21,'-ref_Distribution'!$B$101:$B$109,'-ref_Distribution'!$G$101:$G$109)),RIGHT(BZ$1,2)),"")</f>
        <v>351</v>
      </c>
      <c r="CA21" s="16" cm="1">
        <f t="array" ref="CA21">IFERROR(INDEX(_xlfn.ANCHORARRAY(_xlfn.XLOOKUP($C21,'-ref_Distribution'!$B$101:$B$109,'-ref_Distribution'!$G$101:$G$109)),RIGHT(CA$1,2)),"")</f>
        <v>331</v>
      </c>
      <c r="CB21" s="16" cm="1">
        <f t="array" ref="CB21">IFERROR(INDEX(_xlfn.ANCHORARRAY(_xlfn.XLOOKUP($C21,'-ref_Distribution'!$B$101:$B$109,'-ref_Distribution'!$G$101:$G$109)),RIGHT(CB$1,2)),"")</f>
        <v>305</v>
      </c>
      <c r="CC21" s="16" cm="1">
        <f t="array" ref="CC21">IFERROR(INDEX(_xlfn.ANCHORARRAY(_xlfn.XLOOKUP($C21,'-ref_Distribution'!$B$101:$B$109,'-ref_Distribution'!$G$101:$G$109)),RIGHT(CC$1,2)),"")</f>
        <v>274</v>
      </c>
      <c r="CD21" s="16" cm="1">
        <f t="array" ref="CD21">IFERROR(INDEX(_xlfn.ANCHORARRAY(_xlfn.XLOOKUP($C21,'-ref_Distribution'!$B$101:$B$109,'-ref_Distribution'!$G$101:$G$109)),RIGHT(CD$1,2)),"")</f>
        <v>241</v>
      </c>
      <c r="CE21" s="16" cm="1">
        <f t="array" ref="CE21">IFERROR(INDEX(_xlfn.ANCHORARRAY(_xlfn.XLOOKUP($C21,'-ref_Distribution'!$B$101:$B$109,'-ref_Distribution'!$G$101:$G$109)),RIGHT(CE$1,2)),"")</f>
        <v>206</v>
      </c>
      <c r="CF21" s="16"/>
      <c r="CG21" s="16"/>
      <c r="CH21" s="16"/>
      <c r="CI21" s="16"/>
      <c r="CJ21" s="16"/>
      <c r="CK21" s="16"/>
      <c r="CL21" s="16"/>
    </row>
  </sheetData>
  <phoneticPr fontId="7" type="noConversion"/>
  <conditionalFormatting sqref="A2:CE21">
    <cfRule type="expression" dxfId="4" priority="3">
      <formula>AND(A2&lt;&gt;"",A2=0)</formula>
    </cfRule>
  </conditionalFormatting>
  <conditionalFormatting sqref="C2:C2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{3B48FB3F-DF2F-4D50-9D3F-0241C129C8E5}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48FB3F-DF2F-4D50-9D3F-0241C129C8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0A00-60DD-4F20-8C29-AFB1FBE486FA}">
  <sheetPr>
    <tabColor rgb="FFA7DBEB"/>
  </sheetPr>
  <dimension ref="A1:CQ102"/>
  <sheetViews>
    <sheetView workbookViewId="0">
      <pane xSplit="3" ySplit="1" topLeftCell="BJ68" activePane="bottomRight" state="frozen"/>
      <selection activeCell="CI19" sqref="CI19"/>
      <selection pane="topRight" activeCell="CI19" sqref="CI19"/>
      <selection pane="bottomLeft" activeCell="CI19" sqref="CI19"/>
      <selection pane="bottomRight" activeCell="BJ92" sqref="BJ92"/>
    </sheetView>
  </sheetViews>
  <sheetFormatPr defaultColWidth="9.625" defaultRowHeight="14.25" x14ac:dyDescent="0.2"/>
  <cols>
    <col min="1" max="1" width="8.5" style="16" bestFit="1" customWidth="1"/>
    <col min="2" max="2" width="11.5" style="16" bestFit="1" customWidth="1"/>
    <col min="3" max="3" width="9.375" style="16" bestFit="1" customWidth="1"/>
    <col min="43" max="83" width="9.625" style="16"/>
    <col min="96" max="16384" width="9.625" style="16"/>
  </cols>
  <sheetData>
    <row r="1" spans="1:83" s="27" customFormat="1" x14ac:dyDescent="0.2">
      <c r="A1" s="17" t="s">
        <v>92</v>
      </c>
      <c r="B1" s="17" t="s">
        <v>93</v>
      </c>
      <c r="C1" s="17" t="s">
        <v>398</v>
      </c>
      <c r="D1" s="30" t="s">
        <v>156</v>
      </c>
      <c r="E1" s="30" t="s">
        <v>157</v>
      </c>
      <c r="F1" s="30" t="s">
        <v>158</v>
      </c>
      <c r="G1" s="30" t="s">
        <v>159</v>
      </c>
      <c r="H1" s="30" t="s">
        <v>160</v>
      </c>
      <c r="I1" s="30" t="s">
        <v>161</v>
      </c>
      <c r="J1" s="30" t="s">
        <v>162</v>
      </c>
      <c r="K1" s="30" t="s">
        <v>163</v>
      </c>
      <c r="L1" s="30" t="s">
        <v>164</v>
      </c>
      <c r="M1" s="30" t="s">
        <v>165</v>
      </c>
      <c r="N1" s="30" t="s">
        <v>166</v>
      </c>
      <c r="O1" s="30" t="s">
        <v>167</v>
      </c>
      <c r="P1" s="30" t="s">
        <v>168</v>
      </c>
      <c r="Q1" s="30" t="s">
        <v>169</v>
      </c>
      <c r="R1" s="30" t="s">
        <v>170</v>
      </c>
      <c r="S1" s="30" t="s">
        <v>171</v>
      </c>
      <c r="T1" s="30" t="s">
        <v>172</v>
      </c>
      <c r="U1" s="30" t="s">
        <v>173</v>
      </c>
      <c r="V1" s="30" t="s">
        <v>174</v>
      </c>
      <c r="W1" s="30" t="s">
        <v>175</v>
      </c>
      <c r="X1" s="26" t="s">
        <v>136</v>
      </c>
      <c r="Y1" s="26" t="s">
        <v>137</v>
      </c>
      <c r="Z1" s="26" t="s">
        <v>138</v>
      </c>
      <c r="AA1" s="26" t="s">
        <v>139</v>
      </c>
      <c r="AB1" s="26" t="s">
        <v>140</v>
      </c>
      <c r="AC1" s="26" t="s">
        <v>141</v>
      </c>
      <c r="AD1" s="26" t="s">
        <v>142</v>
      </c>
      <c r="AE1" s="26" t="s">
        <v>143</v>
      </c>
      <c r="AF1" s="26" t="s">
        <v>144</v>
      </c>
      <c r="AG1" s="26" t="s">
        <v>145</v>
      </c>
      <c r="AH1" s="26" t="s">
        <v>146</v>
      </c>
      <c r="AI1" s="26" t="s">
        <v>147</v>
      </c>
      <c r="AJ1" s="26" t="s">
        <v>148</v>
      </c>
      <c r="AK1" s="26" t="s">
        <v>149</v>
      </c>
      <c r="AL1" s="26" t="s">
        <v>150</v>
      </c>
      <c r="AM1" s="26" t="s">
        <v>151</v>
      </c>
      <c r="AN1" s="26" t="s">
        <v>152</v>
      </c>
      <c r="AO1" s="26" t="s">
        <v>153</v>
      </c>
      <c r="AP1" s="26" t="s">
        <v>154</v>
      </c>
      <c r="AQ1" s="26" t="s">
        <v>155</v>
      </c>
      <c r="AR1" s="29" t="s">
        <v>116</v>
      </c>
      <c r="AS1" s="29" t="s">
        <v>117</v>
      </c>
      <c r="AT1" s="29" t="s">
        <v>118</v>
      </c>
      <c r="AU1" s="29" t="s">
        <v>119</v>
      </c>
      <c r="AV1" s="29" t="s">
        <v>120</v>
      </c>
      <c r="AW1" s="29" t="s">
        <v>121</v>
      </c>
      <c r="AX1" s="29" t="s">
        <v>122</v>
      </c>
      <c r="AY1" s="29" t="s">
        <v>123</v>
      </c>
      <c r="AZ1" s="29" t="s">
        <v>124</v>
      </c>
      <c r="BA1" s="29" t="s">
        <v>125</v>
      </c>
      <c r="BB1" s="29" t="s">
        <v>126</v>
      </c>
      <c r="BC1" s="29" t="s">
        <v>127</v>
      </c>
      <c r="BD1" s="29" t="s">
        <v>128</v>
      </c>
      <c r="BE1" s="29" t="s">
        <v>129</v>
      </c>
      <c r="BF1" s="29" t="s">
        <v>130</v>
      </c>
      <c r="BG1" s="29" t="s">
        <v>131</v>
      </c>
      <c r="BH1" s="29" t="s">
        <v>132</v>
      </c>
      <c r="BI1" s="29" t="s">
        <v>133</v>
      </c>
      <c r="BJ1" s="29" t="s">
        <v>134</v>
      </c>
      <c r="BK1" s="29" t="s">
        <v>135</v>
      </c>
      <c r="BL1" s="28" t="s">
        <v>94</v>
      </c>
      <c r="BM1" s="28" t="s">
        <v>95</v>
      </c>
      <c r="BN1" s="28" t="s">
        <v>96</v>
      </c>
      <c r="BO1" s="28" t="s">
        <v>97</v>
      </c>
      <c r="BP1" s="28" t="s">
        <v>98</v>
      </c>
      <c r="BQ1" s="28" t="s">
        <v>99</v>
      </c>
      <c r="BR1" s="28" t="s">
        <v>100</v>
      </c>
      <c r="BS1" s="28" t="s">
        <v>101</v>
      </c>
      <c r="BT1" s="28" t="s">
        <v>102</v>
      </c>
      <c r="BU1" s="28" t="s">
        <v>103</v>
      </c>
      <c r="BV1" s="28" t="s">
        <v>104</v>
      </c>
      <c r="BW1" s="28" t="s">
        <v>105</v>
      </c>
      <c r="BX1" s="28" t="s">
        <v>106</v>
      </c>
      <c r="BY1" s="28" t="s">
        <v>107</v>
      </c>
      <c r="BZ1" s="28" t="s">
        <v>108</v>
      </c>
      <c r="CA1" s="28" t="s">
        <v>109</v>
      </c>
      <c r="CB1" s="28" t="s">
        <v>110</v>
      </c>
      <c r="CC1" s="28" t="s">
        <v>111</v>
      </c>
      <c r="CD1" s="28" t="s">
        <v>112</v>
      </c>
      <c r="CE1" s="28" t="s">
        <v>113</v>
      </c>
    </row>
    <row r="2" spans="1:83" customFormat="1" x14ac:dyDescent="0.2">
      <c r="A2" s="16">
        <v>300011</v>
      </c>
      <c r="B2" s="16" t="s">
        <v>200</v>
      </c>
      <c r="C2" s="16">
        <v>0</v>
      </c>
      <c r="D2" s="16" cm="1">
        <f t="array" ref="D2">INDEX(_xlfn.ANCHORARRAY(_xlfn.XLOOKUP($C2,'-ref_Distribution'!$B$146:$B$150,'-ref_Distribution'!$G$146:$G$150)),RIGHT(D$1,2))</f>
        <v>709</v>
      </c>
      <c r="E2" s="16" cm="1">
        <f t="array" ref="E2">INDEX(_xlfn.ANCHORARRAY(_xlfn.XLOOKUP($C2,'-ref_Distribution'!$B$146:$B$150,'-ref_Distribution'!$G$146:$G$150)),RIGHT(E$1,2))</f>
        <v>705</v>
      </c>
      <c r="F2" s="16" cm="1">
        <f t="array" ref="F2">INDEX(_xlfn.ANCHORARRAY(_xlfn.XLOOKUP($C2,'-ref_Distribution'!$B$146:$B$150,'-ref_Distribution'!$G$146:$G$150)),RIGHT(F$1,2))</f>
        <v>692</v>
      </c>
      <c r="G2" s="16" cm="1">
        <f t="array" ref="G2">INDEX(_xlfn.ANCHORARRAY(_xlfn.XLOOKUP($C2,'-ref_Distribution'!$B$146:$B$150,'-ref_Distribution'!$G$146:$G$150)),RIGHT(G$1,2))</f>
        <v>671</v>
      </c>
      <c r="H2" s="16" cm="1">
        <f t="array" ref="H2">INDEX(_xlfn.ANCHORARRAY(_xlfn.XLOOKUP($C2,'-ref_Distribution'!$B$146:$B$150,'-ref_Distribution'!$G$146:$G$150)),RIGHT(H$1,2))</f>
        <v>643</v>
      </c>
      <c r="I2" s="16" cm="1">
        <f t="array" ref="I2">INDEX(_xlfn.ANCHORARRAY(_xlfn.XLOOKUP($C2,'-ref_Distribution'!$B$146:$B$150,'-ref_Distribution'!$G$146:$G$150)),RIGHT(I$1,2))</f>
        <v>608</v>
      </c>
      <c r="J2" s="16" cm="1">
        <f t="array" ref="J2">INDEX(_xlfn.ANCHORARRAY(_xlfn.XLOOKUP($C2,'-ref_Distribution'!$B$146:$B$150,'-ref_Distribution'!$G$146:$G$150)),RIGHT(J$1,2))</f>
        <v>568</v>
      </c>
      <c r="K2" s="16" cm="1">
        <f t="array" ref="K2">INDEX(_xlfn.ANCHORARRAY(_xlfn.XLOOKUP($C2,'-ref_Distribution'!$B$146:$B$150,'-ref_Distribution'!$G$146:$G$150)),RIGHT(K$1,2))</f>
        <v>524</v>
      </c>
      <c r="L2" s="16" cm="1">
        <f t="array" ref="L2">INDEX(_xlfn.ANCHORARRAY(_xlfn.XLOOKUP($C2,'-ref_Distribution'!$B$146:$B$150,'-ref_Distribution'!$G$146:$G$150)),RIGHT(L$1,2))</f>
        <v>478</v>
      </c>
      <c r="M2" s="16" cm="1">
        <f t="array" ref="M2">INDEX(_xlfn.ANCHORARRAY(_xlfn.XLOOKUP($C2,'-ref_Distribution'!$B$146:$B$150,'-ref_Distribution'!$G$146:$G$150)),RIGHT(M$1,2))</f>
        <v>430</v>
      </c>
      <c r="N2" s="16" cm="1">
        <f t="array" ref="N2">INDEX(_xlfn.ANCHORARRAY(_xlfn.XLOOKUP($C2,'-ref_Distribution'!$B$146:$B$150,'-ref_Distribution'!$G$146:$G$150)),RIGHT(N$1,2))</f>
        <v>383</v>
      </c>
      <c r="O2" s="16" cm="1">
        <f t="array" ref="O2">INDEX(_xlfn.ANCHORARRAY(_xlfn.XLOOKUP($C2,'-ref_Distribution'!$B$146:$B$150,'-ref_Distribution'!$G$146:$G$150)),RIGHT(O$1,2))</f>
        <v>336</v>
      </c>
      <c r="P2" s="16" cm="1">
        <f t="array" ref="P2">INDEX(_xlfn.ANCHORARRAY(_xlfn.XLOOKUP($C2,'-ref_Distribution'!$B$146:$B$150,'-ref_Distribution'!$G$146:$G$150)),RIGHT(P$1,2))</f>
        <v>292</v>
      </c>
      <c r="Q2" s="16" cm="1">
        <f t="array" ref="Q2">INDEX(_xlfn.ANCHORARRAY(_xlfn.XLOOKUP($C2,'-ref_Distribution'!$B$146:$B$150,'-ref_Distribution'!$G$146:$G$150)),RIGHT(Q$1,2))</f>
        <v>250</v>
      </c>
      <c r="R2" s="16" cm="1">
        <f t="array" ref="R2">INDEX(_xlfn.ANCHORARRAY(_xlfn.XLOOKUP($C2,'-ref_Distribution'!$B$146:$B$150,'-ref_Distribution'!$G$146:$G$150)),RIGHT(R$1,2))</f>
        <v>212</v>
      </c>
      <c r="S2" s="16" cm="1">
        <f t="array" ref="S2">INDEX(_xlfn.ANCHORARRAY(_xlfn.XLOOKUP($C2,'-ref_Distribution'!$B$146:$B$150,'-ref_Distribution'!$G$146:$G$150)),RIGHT(S$1,2))</f>
        <v>177</v>
      </c>
      <c r="T2" s="16" cm="1">
        <f t="array" ref="T2">INDEX(_xlfn.ANCHORARRAY(_xlfn.XLOOKUP($C2,'-ref_Distribution'!$B$146:$B$150,'-ref_Distribution'!$G$146:$G$150)),RIGHT(T$1,2))</f>
        <v>146</v>
      </c>
      <c r="U2" s="16" cm="1">
        <f t="array" ref="U2">INDEX(_xlfn.ANCHORARRAY(_xlfn.XLOOKUP($C2,'-ref_Distribution'!$B$146:$B$150,'-ref_Distribution'!$G$146:$G$150)),RIGHT(U$1,2))</f>
        <v>119</v>
      </c>
      <c r="V2" s="16" cm="1">
        <f t="array" ref="V2">INDEX(_xlfn.ANCHORARRAY(_xlfn.XLOOKUP($C2,'-ref_Distribution'!$B$146:$B$150,'-ref_Distribution'!$G$146:$G$150)),RIGHT(V$1,2))</f>
        <v>96</v>
      </c>
      <c r="W2" s="16" cm="1">
        <f t="array" ref="W2">INDEX(_xlfn.ANCHORARRAY(_xlfn.XLOOKUP($C2,'-ref_Distribution'!$B$146:$B$150,'-ref_Distribution'!$G$146:$G$150)),RIGHT(W$1,2))</f>
        <v>76</v>
      </c>
      <c r="X2" s="16" cm="1">
        <f t="array" ref="X2">INDEX(_xlfn.ANCHORARRAY(_xlfn.XLOOKUP($C2,'-ref_Distribution'!$B$146:$B$150,'-ref_Distribution'!$G$146:$G$150)),RIGHT(X$1,2))</f>
        <v>709</v>
      </c>
      <c r="Y2" s="16" cm="1">
        <f t="array" ref="Y2">INDEX(_xlfn.ANCHORARRAY(_xlfn.XLOOKUP($C2,'-ref_Distribution'!$B$146:$B$150,'-ref_Distribution'!$G$146:$G$150)),RIGHT(Y$1,2))</f>
        <v>705</v>
      </c>
      <c r="Z2" s="16" cm="1">
        <f t="array" ref="Z2">INDEX(_xlfn.ANCHORARRAY(_xlfn.XLOOKUP($C2,'-ref_Distribution'!$B$146:$B$150,'-ref_Distribution'!$G$146:$G$150)),RIGHT(Z$1,2))</f>
        <v>692</v>
      </c>
      <c r="AA2" s="16" cm="1">
        <f t="array" ref="AA2">INDEX(_xlfn.ANCHORARRAY(_xlfn.XLOOKUP($C2,'-ref_Distribution'!$B$146:$B$150,'-ref_Distribution'!$G$146:$G$150)),RIGHT(AA$1,2))</f>
        <v>671</v>
      </c>
      <c r="AB2" s="16" cm="1">
        <f t="array" ref="AB2">INDEX(_xlfn.ANCHORARRAY(_xlfn.XLOOKUP($C2,'-ref_Distribution'!$B$146:$B$150,'-ref_Distribution'!$G$146:$G$150)),RIGHT(AB$1,2))</f>
        <v>643</v>
      </c>
      <c r="AC2" s="16" cm="1">
        <f t="array" ref="AC2">INDEX(_xlfn.ANCHORARRAY(_xlfn.XLOOKUP($C2,'-ref_Distribution'!$B$146:$B$150,'-ref_Distribution'!$G$146:$G$150)),RIGHT(AC$1,2))</f>
        <v>608</v>
      </c>
      <c r="AD2" s="16" cm="1">
        <f t="array" ref="AD2">INDEX(_xlfn.ANCHORARRAY(_xlfn.XLOOKUP($C2,'-ref_Distribution'!$B$146:$B$150,'-ref_Distribution'!$G$146:$G$150)),RIGHT(AD$1,2))</f>
        <v>568</v>
      </c>
      <c r="AE2" s="16" cm="1">
        <f t="array" ref="AE2">INDEX(_xlfn.ANCHORARRAY(_xlfn.XLOOKUP($C2,'-ref_Distribution'!$B$146:$B$150,'-ref_Distribution'!$G$146:$G$150)),RIGHT(AE$1,2))</f>
        <v>524</v>
      </c>
      <c r="AF2" s="16" cm="1">
        <f t="array" ref="AF2">INDEX(_xlfn.ANCHORARRAY(_xlfn.XLOOKUP($C2,'-ref_Distribution'!$B$146:$B$150,'-ref_Distribution'!$G$146:$G$150)),RIGHT(AF$1,2))</f>
        <v>478</v>
      </c>
      <c r="AG2" s="16" cm="1">
        <f t="array" ref="AG2">INDEX(_xlfn.ANCHORARRAY(_xlfn.XLOOKUP($C2,'-ref_Distribution'!$B$146:$B$150,'-ref_Distribution'!$G$146:$G$150)),RIGHT(AG$1,2))</f>
        <v>430</v>
      </c>
      <c r="AH2" s="16" cm="1">
        <f t="array" ref="AH2">INDEX(_xlfn.ANCHORARRAY(_xlfn.XLOOKUP($C2,'-ref_Distribution'!$B$146:$B$150,'-ref_Distribution'!$G$146:$G$150)),RIGHT(AH$1,2))</f>
        <v>383</v>
      </c>
      <c r="AI2" s="16" cm="1">
        <f t="array" ref="AI2">INDEX(_xlfn.ANCHORARRAY(_xlfn.XLOOKUP($C2,'-ref_Distribution'!$B$146:$B$150,'-ref_Distribution'!$G$146:$G$150)),RIGHT(AI$1,2))</f>
        <v>336</v>
      </c>
      <c r="AJ2" s="16" cm="1">
        <f t="array" ref="AJ2">INDEX(_xlfn.ANCHORARRAY(_xlfn.XLOOKUP($C2,'-ref_Distribution'!$B$146:$B$150,'-ref_Distribution'!$G$146:$G$150)),RIGHT(AJ$1,2))</f>
        <v>292</v>
      </c>
      <c r="AK2" s="16" cm="1">
        <f t="array" ref="AK2">INDEX(_xlfn.ANCHORARRAY(_xlfn.XLOOKUP($C2,'-ref_Distribution'!$B$146:$B$150,'-ref_Distribution'!$G$146:$G$150)),RIGHT(AK$1,2))</f>
        <v>250</v>
      </c>
      <c r="AL2" s="16" cm="1">
        <f t="array" ref="AL2">INDEX(_xlfn.ANCHORARRAY(_xlfn.XLOOKUP($C2,'-ref_Distribution'!$B$146:$B$150,'-ref_Distribution'!$G$146:$G$150)),RIGHT(AL$1,2))</f>
        <v>212</v>
      </c>
      <c r="AM2" s="16" cm="1">
        <f t="array" ref="AM2">INDEX(_xlfn.ANCHORARRAY(_xlfn.XLOOKUP($C2,'-ref_Distribution'!$B$146:$B$150,'-ref_Distribution'!$G$146:$G$150)),RIGHT(AM$1,2))</f>
        <v>177</v>
      </c>
      <c r="AN2" s="16" cm="1">
        <f t="array" ref="AN2">INDEX(_xlfn.ANCHORARRAY(_xlfn.XLOOKUP($C2,'-ref_Distribution'!$B$146:$B$150,'-ref_Distribution'!$G$146:$G$150)),RIGHT(AN$1,2))</f>
        <v>146</v>
      </c>
      <c r="AO2" s="16" cm="1">
        <f t="array" ref="AO2">INDEX(_xlfn.ANCHORARRAY(_xlfn.XLOOKUP($C2,'-ref_Distribution'!$B$146:$B$150,'-ref_Distribution'!$G$146:$G$150)),RIGHT(AO$1,2))</f>
        <v>119</v>
      </c>
      <c r="AP2" s="16" cm="1">
        <f t="array" ref="AP2">INDEX(_xlfn.ANCHORARRAY(_xlfn.XLOOKUP($C2,'-ref_Distribution'!$B$146:$B$150,'-ref_Distribution'!$G$146:$G$150)),RIGHT(AP$1,2))</f>
        <v>96</v>
      </c>
      <c r="AQ2" s="16" cm="1">
        <f t="array" ref="AQ2">INDEX(_xlfn.ANCHORARRAY(_xlfn.XLOOKUP($C2,'-ref_Distribution'!$B$146:$B$150,'-ref_Distribution'!$G$146:$G$150)),RIGHT(AQ$1,2))</f>
        <v>76</v>
      </c>
      <c r="AR2" s="16" cm="1">
        <f t="array" ref="AR2">INDEX(_xlfn.ANCHORARRAY(_xlfn.XLOOKUP($C2,'-ref_Distribution'!$B$146:$B$150,'-ref_Distribution'!$G$146:$G$150)),RIGHT(AR$1,2))</f>
        <v>709</v>
      </c>
      <c r="AS2" s="16" cm="1">
        <f t="array" ref="AS2">INDEX(_xlfn.ANCHORARRAY(_xlfn.XLOOKUP($C2,'-ref_Distribution'!$B$146:$B$150,'-ref_Distribution'!$G$146:$G$150)),RIGHT(AS$1,2))</f>
        <v>705</v>
      </c>
      <c r="AT2" s="16" cm="1">
        <f t="array" ref="AT2">INDEX(_xlfn.ANCHORARRAY(_xlfn.XLOOKUP($C2,'-ref_Distribution'!$B$146:$B$150,'-ref_Distribution'!$G$146:$G$150)),RIGHT(AT$1,2))</f>
        <v>692</v>
      </c>
      <c r="AU2" s="16" cm="1">
        <f t="array" ref="AU2">INDEX(_xlfn.ANCHORARRAY(_xlfn.XLOOKUP($C2,'-ref_Distribution'!$B$146:$B$150,'-ref_Distribution'!$G$146:$G$150)),RIGHT(AU$1,2))</f>
        <v>671</v>
      </c>
      <c r="AV2" s="16" cm="1">
        <f t="array" ref="AV2">INDEX(_xlfn.ANCHORARRAY(_xlfn.XLOOKUP($C2,'-ref_Distribution'!$B$146:$B$150,'-ref_Distribution'!$G$146:$G$150)),RIGHT(AV$1,2))</f>
        <v>643</v>
      </c>
      <c r="AW2" s="16" cm="1">
        <f t="array" ref="AW2">INDEX(_xlfn.ANCHORARRAY(_xlfn.XLOOKUP($C2,'-ref_Distribution'!$B$146:$B$150,'-ref_Distribution'!$G$146:$G$150)),RIGHT(AW$1,2))</f>
        <v>608</v>
      </c>
      <c r="AX2" s="16" cm="1">
        <f t="array" ref="AX2">INDEX(_xlfn.ANCHORARRAY(_xlfn.XLOOKUP($C2,'-ref_Distribution'!$B$146:$B$150,'-ref_Distribution'!$G$146:$G$150)),RIGHT(AX$1,2))</f>
        <v>568</v>
      </c>
      <c r="AY2" s="16" cm="1">
        <f t="array" ref="AY2">INDEX(_xlfn.ANCHORARRAY(_xlfn.XLOOKUP($C2,'-ref_Distribution'!$B$146:$B$150,'-ref_Distribution'!$G$146:$G$150)),RIGHT(AY$1,2))</f>
        <v>524</v>
      </c>
      <c r="AZ2" s="16" cm="1">
        <f t="array" ref="AZ2">INDEX(_xlfn.ANCHORARRAY(_xlfn.XLOOKUP($C2,'-ref_Distribution'!$B$146:$B$150,'-ref_Distribution'!$G$146:$G$150)),RIGHT(AZ$1,2))</f>
        <v>478</v>
      </c>
      <c r="BA2" s="16" cm="1">
        <f t="array" ref="BA2">INDEX(_xlfn.ANCHORARRAY(_xlfn.XLOOKUP($C2,'-ref_Distribution'!$B$146:$B$150,'-ref_Distribution'!$G$146:$G$150)),RIGHT(BA$1,2))</f>
        <v>430</v>
      </c>
      <c r="BB2" s="16" cm="1">
        <f t="array" ref="BB2">INDEX(_xlfn.ANCHORARRAY(_xlfn.XLOOKUP($C2,'-ref_Distribution'!$B$146:$B$150,'-ref_Distribution'!$G$146:$G$150)),RIGHT(BB$1,2))</f>
        <v>383</v>
      </c>
      <c r="BC2" s="16" cm="1">
        <f t="array" ref="BC2">INDEX(_xlfn.ANCHORARRAY(_xlfn.XLOOKUP($C2,'-ref_Distribution'!$B$146:$B$150,'-ref_Distribution'!$G$146:$G$150)),RIGHT(BC$1,2))</f>
        <v>336</v>
      </c>
      <c r="BD2" s="16" cm="1">
        <f t="array" ref="BD2">INDEX(_xlfn.ANCHORARRAY(_xlfn.XLOOKUP($C2,'-ref_Distribution'!$B$146:$B$150,'-ref_Distribution'!$G$146:$G$150)),RIGHT(BD$1,2))</f>
        <v>292</v>
      </c>
      <c r="BE2" s="16" cm="1">
        <f t="array" ref="BE2">INDEX(_xlfn.ANCHORARRAY(_xlfn.XLOOKUP($C2,'-ref_Distribution'!$B$146:$B$150,'-ref_Distribution'!$G$146:$G$150)),RIGHT(BE$1,2))</f>
        <v>250</v>
      </c>
      <c r="BF2" s="16" cm="1">
        <f t="array" ref="BF2">INDEX(_xlfn.ANCHORARRAY(_xlfn.XLOOKUP($C2,'-ref_Distribution'!$B$146:$B$150,'-ref_Distribution'!$G$146:$G$150)),RIGHT(BF$1,2))</f>
        <v>212</v>
      </c>
      <c r="BG2" s="16" cm="1">
        <f t="array" ref="BG2">INDEX(_xlfn.ANCHORARRAY(_xlfn.XLOOKUP($C2,'-ref_Distribution'!$B$146:$B$150,'-ref_Distribution'!$G$146:$G$150)),RIGHT(BG$1,2))</f>
        <v>177</v>
      </c>
      <c r="BH2" s="16" cm="1">
        <f t="array" ref="BH2">INDEX(_xlfn.ANCHORARRAY(_xlfn.XLOOKUP($C2,'-ref_Distribution'!$B$146:$B$150,'-ref_Distribution'!$G$146:$G$150)),RIGHT(BH$1,2))</f>
        <v>146</v>
      </c>
      <c r="BI2" s="16" cm="1">
        <f t="array" ref="BI2">INDEX(_xlfn.ANCHORARRAY(_xlfn.XLOOKUP($C2,'-ref_Distribution'!$B$146:$B$150,'-ref_Distribution'!$G$146:$G$150)),RIGHT(BI$1,2))</f>
        <v>119</v>
      </c>
      <c r="BJ2" s="16" cm="1">
        <f t="array" ref="BJ2">INDEX(_xlfn.ANCHORARRAY(_xlfn.XLOOKUP($C2,'-ref_Distribution'!$B$146:$B$150,'-ref_Distribution'!$G$146:$G$150)),RIGHT(BJ$1,2))</f>
        <v>96</v>
      </c>
      <c r="BK2" s="16" cm="1">
        <f t="array" ref="BK2">INDEX(_xlfn.ANCHORARRAY(_xlfn.XLOOKUP($C2,'-ref_Distribution'!$B$146:$B$150,'-ref_Distribution'!$G$146:$G$150)),RIGHT(BK$1,2))</f>
        <v>76</v>
      </c>
      <c r="BL2" s="16" cm="1">
        <f t="array" ref="BL2">INDEX(_xlfn.ANCHORARRAY(_xlfn.XLOOKUP($C2,'-ref_Distribution'!$B$146:$B$150,'-ref_Distribution'!$G$146:$G$150)),RIGHT(BL$1,2))</f>
        <v>709</v>
      </c>
      <c r="BM2" s="16" cm="1">
        <f t="array" ref="BM2">INDEX(_xlfn.ANCHORARRAY(_xlfn.XLOOKUP($C2,'-ref_Distribution'!$B$146:$B$150,'-ref_Distribution'!$G$146:$G$150)),RIGHT(BM$1,2))</f>
        <v>705</v>
      </c>
      <c r="BN2" s="16" cm="1">
        <f t="array" ref="BN2">INDEX(_xlfn.ANCHORARRAY(_xlfn.XLOOKUP($C2,'-ref_Distribution'!$B$146:$B$150,'-ref_Distribution'!$G$146:$G$150)),RIGHT(BN$1,2))</f>
        <v>692</v>
      </c>
      <c r="BO2" s="16" cm="1">
        <f t="array" ref="BO2">INDEX(_xlfn.ANCHORARRAY(_xlfn.XLOOKUP($C2,'-ref_Distribution'!$B$146:$B$150,'-ref_Distribution'!$G$146:$G$150)),RIGHT(BO$1,2))</f>
        <v>671</v>
      </c>
      <c r="BP2" s="16" cm="1">
        <f t="array" ref="BP2">INDEX(_xlfn.ANCHORARRAY(_xlfn.XLOOKUP($C2,'-ref_Distribution'!$B$146:$B$150,'-ref_Distribution'!$G$146:$G$150)),RIGHT(BP$1,2))</f>
        <v>643</v>
      </c>
      <c r="BQ2" s="16" cm="1">
        <f t="array" ref="BQ2">INDEX(_xlfn.ANCHORARRAY(_xlfn.XLOOKUP($C2,'-ref_Distribution'!$B$146:$B$150,'-ref_Distribution'!$G$146:$G$150)),RIGHT(BQ$1,2))</f>
        <v>608</v>
      </c>
      <c r="BR2" s="16" cm="1">
        <f t="array" ref="BR2">INDEX(_xlfn.ANCHORARRAY(_xlfn.XLOOKUP($C2,'-ref_Distribution'!$B$146:$B$150,'-ref_Distribution'!$G$146:$G$150)),RIGHT(BR$1,2))</f>
        <v>568</v>
      </c>
      <c r="BS2" s="16" cm="1">
        <f t="array" ref="BS2">INDEX(_xlfn.ANCHORARRAY(_xlfn.XLOOKUP($C2,'-ref_Distribution'!$B$146:$B$150,'-ref_Distribution'!$G$146:$G$150)),RIGHT(BS$1,2))</f>
        <v>524</v>
      </c>
      <c r="BT2" s="16" cm="1">
        <f t="array" ref="BT2">INDEX(_xlfn.ANCHORARRAY(_xlfn.XLOOKUP($C2,'-ref_Distribution'!$B$146:$B$150,'-ref_Distribution'!$G$146:$G$150)),RIGHT(BT$1,2))</f>
        <v>478</v>
      </c>
      <c r="BU2" s="16" cm="1">
        <f t="array" ref="BU2">INDEX(_xlfn.ANCHORARRAY(_xlfn.XLOOKUP($C2,'-ref_Distribution'!$B$146:$B$150,'-ref_Distribution'!$G$146:$G$150)),RIGHT(BU$1,2))</f>
        <v>430</v>
      </c>
      <c r="BV2" s="16" cm="1">
        <f t="array" ref="BV2">INDEX(_xlfn.ANCHORARRAY(_xlfn.XLOOKUP($C2,'-ref_Distribution'!$B$146:$B$150,'-ref_Distribution'!$G$146:$G$150)),RIGHT(BV$1,2))</f>
        <v>383</v>
      </c>
      <c r="BW2" s="16" cm="1">
        <f t="array" ref="BW2">INDEX(_xlfn.ANCHORARRAY(_xlfn.XLOOKUP($C2,'-ref_Distribution'!$B$146:$B$150,'-ref_Distribution'!$G$146:$G$150)),RIGHT(BW$1,2))</f>
        <v>336</v>
      </c>
      <c r="BX2" s="16" cm="1">
        <f t="array" ref="BX2">INDEX(_xlfn.ANCHORARRAY(_xlfn.XLOOKUP($C2,'-ref_Distribution'!$B$146:$B$150,'-ref_Distribution'!$G$146:$G$150)),RIGHT(BX$1,2))</f>
        <v>292</v>
      </c>
      <c r="BY2" s="16" cm="1">
        <f t="array" ref="BY2">INDEX(_xlfn.ANCHORARRAY(_xlfn.XLOOKUP($C2,'-ref_Distribution'!$B$146:$B$150,'-ref_Distribution'!$G$146:$G$150)),RIGHT(BY$1,2))</f>
        <v>250</v>
      </c>
      <c r="BZ2" s="16" cm="1">
        <f t="array" ref="BZ2">INDEX(_xlfn.ANCHORARRAY(_xlfn.XLOOKUP($C2,'-ref_Distribution'!$B$146:$B$150,'-ref_Distribution'!$G$146:$G$150)),RIGHT(BZ$1,2))</f>
        <v>212</v>
      </c>
      <c r="CA2" s="16" cm="1">
        <f t="array" ref="CA2">INDEX(_xlfn.ANCHORARRAY(_xlfn.XLOOKUP($C2,'-ref_Distribution'!$B$146:$B$150,'-ref_Distribution'!$G$146:$G$150)),RIGHT(CA$1,2))</f>
        <v>177</v>
      </c>
      <c r="CB2" s="16" cm="1">
        <f t="array" ref="CB2">INDEX(_xlfn.ANCHORARRAY(_xlfn.XLOOKUP($C2,'-ref_Distribution'!$B$146:$B$150,'-ref_Distribution'!$G$146:$G$150)),RIGHT(CB$1,2))</f>
        <v>146</v>
      </c>
      <c r="CC2" s="16" cm="1">
        <f t="array" ref="CC2">INDEX(_xlfn.ANCHORARRAY(_xlfn.XLOOKUP($C2,'-ref_Distribution'!$B$146:$B$150,'-ref_Distribution'!$G$146:$G$150)),RIGHT(CC$1,2))</f>
        <v>119</v>
      </c>
      <c r="CD2" s="16" cm="1">
        <f t="array" ref="CD2">INDEX(_xlfn.ANCHORARRAY(_xlfn.XLOOKUP($C2,'-ref_Distribution'!$B$146:$B$150,'-ref_Distribution'!$G$146:$G$150)),RIGHT(CD$1,2))</f>
        <v>96</v>
      </c>
      <c r="CE2" s="16" cm="1">
        <f t="array" ref="CE2">INDEX(_xlfn.ANCHORARRAY(_xlfn.XLOOKUP($C2,'-ref_Distribution'!$B$146:$B$150,'-ref_Distribution'!$G$146:$G$150)),RIGHT(CE$1,2))</f>
        <v>76</v>
      </c>
    </row>
    <row r="3" spans="1:83" customFormat="1" x14ac:dyDescent="0.2">
      <c r="A3" s="16">
        <v>300012</v>
      </c>
      <c r="B3" s="16" t="s">
        <v>200</v>
      </c>
      <c r="C3" s="16">
        <v>1</v>
      </c>
      <c r="D3" s="16" cm="1">
        <f t="array" ref="D3">INDEX(_xlfn.ANCHORARRAY(_xlfn.XLOOKUP($C3,'-ref_Distribution'!$B$146:$B$150,'-ref_Distribution'!$G$146:$G$150)),RIGHT(D$1,2))</f>
        <v>337</v>
      </c>
      <c r="E3" s="16" cm="1">
        <f t="array" ref="E3">INDEX(_xlfn.ANCHORARRAY(_xlfn.XLOOKUP($C3,'-ref_Distribution'!$B$146:$B$150,'-ref_Distribution'!$G$146:$G$150)),RIGHT(E$1,2))</f>
        <v>364</v>
      </c>
      <c r="F3" s="16" cm="1">
        <f t="array" ref="F3">INDEX(_xlfn.ANCHORARRAY(_xlfn.XLOOKUP($C3,'-ref_Distribution'!$B$146:$B$150,'-ref_Distribution'!$G$146:$G$150)),RIGHT(F$1,2))</f>
        <v>386</v>
      </c>
      <c r="G3" s="16" cm="1">
        <f t="array" ref="G3">INDEX(_xlfn.ANCHORARRAY(_xlfn.XLOOKUP($C3,'-ref_Distribution'!$B$146:$B$150,'-ref_Distribution'!$G$146:$G$150)),RIGHT(G$1,2))</f>
        <v>403</v>
      </c>
      <c r="H3" s="16" cm="1">
        <f t="array" ref="H3">INDEX(_xlfn.ANCHORARRAY(_xlfn.XLOOKUP($C3,'-ref_Distribution'!$B$146:$B$150,'-ref_Distribution'!$G$146:$G$150)),RIGHT(H$1,2))</f>
        <v>414</v>
      </c>
      <c r="I3" s="16" cm="1">
        <f t="array" ref="I3">INDEX(_xlfn.ANCHORARRAY(_xlfn.XLOOKUP($C3,'-ref_Distribution'!$B$146:$B$150,'-ref_Distribution'!$G$146:$G$150)),RIGHT(I$1,2))</f>
        <v>417</v>
      </c>
      <c r="J3" s="16" cm="1">
        <f t="array" ref="J3">INDEX(_xlfn.ANCHORARRAY(_xlfn.XLOOKUP($C3,'-ref_Distribution'!$B$146:$B$150,'-ref_Distribution'!$G$146:$G$150)),RIGHT(J$1,2))</f>
        <v>414</v>
      </c>
      <c r="K3" s="16" cm="1">
        <f t="array" ref="K3">INDEX(_xlfn.ANCHORARRAY(_xlfn.XLOOKUP($C3,'-ref_Distribution'!$B$146:$B$150,'-ref_Distribution'!$G$146:$G$150)),RIGHT(K$1,2))</f>
        <v>403</v>
      </c>
      <c r="L3" s="16" cm="1">
        <f t="array" ref="L3">INDEX(_xlfn.ANCHORARRAY(_xlfn.XLOOKUP($C3,'-ref_Distribution'!$B$146:$B$150,'-ref_Distribution'!$G$146:$G$150)),RIGHT(L$1,2))</f>
        <v>386</v>
      </c>
      <c r="M3" s="16" cm="1">
        <f t="array" ref="M3">INDEX(_xlfn.ANCHORARRAY(_xlfn.XLOOKUP($C3,'-ref_Distribution'!$B$146:$B$150,'-ref_Distribution'!$G$146:$G$150)),RIGHT(M$1,2))</f>
        <v>364</v>
      </c>
      <c r="N3" s="16" cm="1">
        <f t="array" ref="N3">INDEX(_xlfn.ANCHORARRAY(_xlfn.XLOOKUP($C3,'-ref_Distribution'!$B$146:$B$150,'-ref_Distribution'!$G$146:$G$150)),RIGHT(N$1,2))</f>
        <v>337</v>
      </c>
      <c r="O3" s="16" cm="1">
        <f t="array" ref="O3">INDEX(_xlfn.ANCHORARRAY(_xlfn.XLOOKUP($C3,'-ref_Distribution'!$B$146:$B$150,'-ref_Distribution'!$G$146:$G$150)),RIGHT(O$1,2))</f>
        <v>307</v>
      </c>
      <c r="P3" s="16" cm="1">
        <f t="array" ref="P3">INDEX(_xlfn.ANCHORARRAY(_xlfn.XLOOKUP($C3,'-ref_Distribution'!$B$146:$B$150,'-ref_Distribution'!$G$146:$G$150)),RIGHT(P$1,2))</f>
        <v>274</v>
      </c>
      <c r="Q3" s="16" cm="1">
        <f t="array" ref="Q3">INDEX(_xlfn.ANCHORARRAY(_xlfn.XLOOKUP($C3,'-ref_Distribution'!$B$146:$B$150,'-ref_Distribution'!$G$146:$G$150)),RIGHT(Q$1,2))</f>
        <v>241</v>
      </c>
      <c r="R3" s="16" cm="1">
        <f t="array" ref="R3">INDEX(_xlfn.ANCHORARRAY(_xlfn.XLOOKUP($C3,'-ref_Distribution'!$B$146:$B$150,'-ref_Distribution'!$G$146:$G$150)),RIGHT(R$1,2))</f>
        <v>209</v>
      </c>
      <c r="S3" s="16" cm="1">
        <f t="array" ref="S3">INDEX(_xlfn.ANCHORARRAY(_xlfn.XLOOKUP($C3,'-ref_Distribution'!$B$146:$B$150,'-ref_Distribution'!$G$146:$G$150)),RIGHT(S$1,2))</f>
        <v>178</v>
      </c>
      <c r="T3" s="16" cm="1">
        <f t="array" ref="T3">INDEX(_xlfn.ANCHORARRAY(_xlfn.XLOOKUP($C3,'-ref_Distribution'!$B$146:$B$150,'-ref_Distribution'!$G$146:$G$150)),RIGHT(T$1,2))</f>
        <v>148</v>
      </c>
      <c r="U3" s="16" cm="1">
        <f t="array" ref="U3">INDEX(_xlfn.ANCHORARRAY(_xlfn.XLOOKUP($C3,'-ref_Distribution'!$B$146:$B$150,'-ref_Distribution'!$G$146:$G$150)),RIGHT(U$1,2))</f>
        <v>122</v>
      </c>
      <c r="V3" s="16" cm="1">
        <f t="array" ref="V3">INDEX(_xlfn.ANCHORARRAY(_xlfn.XLOOKUP($C3,'-ref_Distribution'!$B$146:$B$150,'-ref_Distribution'!$G$146:$G$150)),RIGHT(V$1,2))</f>
        <v>98</v>
      </c>
      <c r="W3" s="16" cm="1">
        <f t="array" ref="W3">INDEX(_xlfn.ANCHORARRAY(_xlfn.XLOOKUP($C3,'-ref_Distribution'!$B$146:$B$150,'-ref_Distribution'!$G$146:$G$150)),RIGHT(W$1,2))</f>
        <v>78</v>
      </c>
      <c r="X3" s="16" cm="1">
        <f t="array" ref="X3">INDEX(_xlfn.ANCHORARRAY(_xlfn.XLOOKUP($C3,'-ref_Distribution'!$B$146:$B$150,'-ref_Distribution'!$G$146:$G$150)),RIGHT(X$1,2))</f>
        <v>337</v>
      </c>
      <c r="Y3" s="16" cm="1">
        <f t="array" ref="Y3">INDEX(_xlfn.ANCHORARRAY(_xlfn.XLOOKUP($C3,'-ref_Distribution'!$B$146:$B$150,'-ref_Distribution'!$G$146:$G$150)),RIGHT(Y$1,2))</f>
        <v>364</v>
      </c>
      <c r="Z3" s="16" cm="1">
        <f t="array" ref="Z3">INDEX(_xlfn.ANCHORARRAY(_xlfn.XLOOKUP($C3,'-ref_Distribution'!$B$146:$B$150,'-ref_Distribution'!$G$146:$G$150)),RIGHT(Z$1,2))</f>
        <v>386</v>
      </c>
      <c r="AA3" s="16" cm="1">
        <f t="array" ref="AA3">INDEX(_xlfn.ANCHORARRAY(_xlfn.XLOOKUP($C3,'-ref_Distribution'!$B$146:$B$150,'-ref_Distribution'!$G$146:$G$150)),RIGHT(AA$1,2))</f>
        <v>403</v>
      </c>
      <c r="AB3" s="16" cm="1">
        <f t="array" ref="AB3">INDEX(_xlfn.ANCHORARRAY(_xlfn.XLOOKUP($C3,'-ref_Distribution'!$B$146:$B$150,'-ref_Distribution'!$G$146:$G$150)),RIGHT(AB$1,2))</f>
        <v>414</v>
      </c>
      <c r="AC3" s="16" cm="1">
        <f t="array" ref="AC3">INDEX(_xlfn.ANCHORARRAY(_xlfn.XLOOKUP($C3,'-ref_Distribution'!$B$146:$B$150,'-ref_Distribution'!$G$146:$G$150)),RIGHT(AC$1,2))</f>
        <v>417</v>
      </c>
      <c r="AD3" s="16" cm="1">
        <f t="array" ref="AD3">INDEX(_xlfn.ANCHORARRAY(_xlfn.XLOOKUP($C3,'-ref_Distribution'!$B$146:$B$150,'-ref_Distribution'!$G$146:$G$150)),RIGHT(AD$1,2))</f>
        <v>414</v>
      </c>
      <c r="AE3" s="16" cm="1">
        <f t="array" ref="AE3">INDEX(_xlfn.ANCHORARRAY(_xlfn.XLOOKUP($C3,'-ref_Distribution'!$B$146:$B$150,'-ref_Distribution'!$G$146:$G$150)),RIGHT(AE$1,2))</f>
        <v>403</v>
      </c>
      <c r="AF3" s="16" cm="1">
        <f t="array" ref="AF3">INDEX(_xlfn.ANCHORARRAY(_xlfn.XLOOKUP($C3,'-ref_Distribution'!$B$146:$B$150,'-ref_Distribution'!$G$146:$G$150)),RIGHT(AF$1,2))</f>
        <v>386</v>
      </c>
      <c r="AG3" s="16" cm="1">
        <f t="array" ref="AG3">INDEX(_xlfn.ANCHORARRAY(_xlfn.XLOOKUP($C3,'-ref_Distribution'!$B$146:$B$150,'-ref_Distribution'!$G$146:$G$150)),RIGHT(AG$1,2))</f>
        <v>364</v>
      </c>
      <c r="AH3" s="16" cm="1">
        <f t="array" ref="AH3">INDEX(_xlfn.ANCHORARRAY(_xlfn.XLOOKUP($C3,'-ref_Distribution'!$B$146:$B$150,'-ref_Distribution'!$G$146:$G$150)),RIGHT(AH$1,2))</f>
        <v>337</v>
      </c>
      <c r="AI3" s="16" cm="1">
        <f t="array" ref="AI3">INDEX(_xlfn.ANCHORARRAY(_xlfn.XLOOKUP($C3,'-ref_Distribution'!$B$146:$B$150,'-ref_Distribution'!$G$146:$G$150)),RIGHT(AI$1,2))</f>
        <v>307</v>
      </c>
      <c r="AJ3" s="16" cm="1">
        <f t="array" ref="AJ3">INDEX(_xlfn.ANCHORARRAY(_xlfn.XLOOKUP($C3,'-ref_Distribution'!$B$146:$B$150,'-ref_Distribution'!$G$146:$G$150)),RIGHT(AJ$1,2))</f>
        <v>274</v>
      </c>
      <c r="AK3" s="16" cm="1">
        <f t="array" ref="AK3">INDEX(_xlfn.ANCHORARRAY(_xlfn.XLOOKUP($C3,'-ref_Distribution'!$B$146:$B$150,'-ref_Distribution'!$G$146:$G$150)),RIGHT(AK$1,2))</f>
        <v>241</v>
      </c>
      <c r="AL3" s="16" cm="1">
        <f t="array" ref="AL3">INDEX(_xlfn.ANCHORARRAY(_xlfn.XLOOKUP($C3,'-ref_Distribution'!$B$146:$B$150,'-ref_Distribution'!$G$146:$G$150)),RIGHT(AL$1,2))</f>
        <v>209</v>
      </c>
      <c r="AM3" s="16" cm="1">
        <f t="array" ref="AM3">INDEX(_xlfn.ANCHORARRAY(_xlfn.XLOOKUP($C3,'-ref_Distribution'!$B$146:$B$150,'-ref_Distribution'!$G$146:$G$150)),RIGHT(AM$1,2))</f>
        <v>178</v>
      </c>
      <c r="AN3" s="16" cm="1">
        <f t="array" ref="AN3">INDEX(_xlfn.ANCHORARRAY(_xlfn.XLOOKUP($C3,'-ref_Distribution'!$B$146:$B$150,'-ref_Distribution'!$G$146:$G$150)),RIGHT(AN$1,2))</f>
        <v>148</v>
      </c>
      <c r="AO3" s="16" cm="1">
        <f t="array" ref="AO3">INDEX(_xlfn.ANCHORARRAY(_xlfn.XLOOKUP($C3,'-ref_Distribution'!$B$146:$B$150,'-ref_Distribution'!$G$146:$G$150)),RIGHT(AO$1,2))</f>
        <v>122</v>
      </c>
      <c r="AP3" s="16" cm="1">
        <f t="array" ref="AP3">INDEX(_xlfn.ANCHORARRAY(_xlfn.XLOOKUP($C3,'-ref_Distribution'!$B$146:$B$150,'-ref_Distribution'!$G$146:$G$150)),RIGHT(AP$1,2))</f>
        <v>98</v>
      </c>
      <c r="AQ3" s="16" cm="1">
        <f t="array" ref="AQ3">INDEX(_xlfn.ANCHORARRAY(_xlfn.XLOOKUP($C3,'-ref_Distribution'!$B$146:$B$150,'-ref_Distribution'!$G$146:$G$150)),RIGHT(AQ$1,2))</f>
        <v>78</v>
      </c>
      <c r="AR3" s="16" cm="1">
        <f t="array" ref="AR3">INDEX(_xlfn.ANCHORARRAY(_xlfn.XLOOKUP($C3,'-ref_Distribution'!$B$146:$B$150,'-ref_Distribution'!$G$146:$G$150)),RIGHT(AR$1,2))</f>
        <v>337</v>
      </c>
      <c r="AS3" s="16" cm="1">
        <f t="array" ref="AS3">INDEX(_xlfn.ANCHORARRAY(_xlfn.XLOOKUP($C3,'-ref_Distribution'!$B$146:$B$150,'-ref_Distribution'!$G$146:$G$150)),RIGHT(AS$1,2))</f>
        <v>364</v>
      </c>
      <c r="AT3" s="16" cm="1">
        <f t="array" ref="AT3">INDEX(_xlfn.ANCHORARRAY(_xlfn.XLOOKUP($C3,'-ref_Distribution'!$B$146:$B$150,'-ref_Distribution'!$G$146:$G$150)),RIGHT(AT$1,2))</f>
        <v>386</v>
      </c>
      <c r="AU3" s="16" cm="1">
        <f t="array" ref="AU3">INDEX(_xlfn.ANCHORARRAY(_xlfn.XLOOKUP($C3,'-ref_Distribution'!$B$146:$B$150,'-ref_Distribution'!$G$146:$G$150)),RIGHT(AU$1,2))</f>
        <v>403</v>
      </c>
      <c r="AV3" s="16" cm="1">
        <f t="array" ref="AV3">INDEX(_xlfn.ANCHORARRAY(_xlfn.XLOOKUP($C3,'-ref_Distribution'!$B$146:$B$150,'-ref_Distribution'!$G$146:$G$150)),RIGHT(AV$1,2))</f>
        <v>414</v>
      </c>
      <c r="AW3" s="16" cm="1">
        <f t="array" ref="AW3">INDEX(_xlfn.ANCHORARRAY(_xlfn.XLOOKUP($C3,'-ref_Distribution'!$B$146:$B$150,'-ref_Distribution'!$G$146:$G$150)),RIGHT(AW$1,2))</f>
        <v>417</v>
      </c>
      <c r="AX3" s="16" cm="1">
        <f t="array" ref="AX3">INDEX(_xlfn.ANCHORARRAY(_xlfn.XLOOKUP($C3,'-ref_Distribution'!$B$146:$B$150,'-ref_Distribution'!$G$146:$G$150)),RIGHT(AX$1,2))</f>
        <v>414</v>
      </c>
      <c r="AY3" s="16" cm="1">
        <f t="array" ref="AY3">INDEX(_xlfn.ANCHORARRAY(_xlfn.XLOOKUP($C3,'-ref_Distribution'!$B$146:$B$150,'-ref_Distribution'!$G$146:$G$150)),RIGHT(AY$1,2))</f>
        <v>403</v>
      </c>
      <c r="AZ3" s="16" cm="1">
        <f t="array" ref="AZ3">INDEX(_xlfn.ANCHORARRAY(_xlfn.XLOOKUP($C3,'-ref_Distribution'!$B$146:$B$150,'-ref_Distribution'!$G$146:$G$150)),RIGHT(AZ$1,2))</f>
        <v>386</v>
      </c>
      <c r="BA3" s="16" cm="1">
        <f t="array" ref="BA3">INDEX(_xlfn.ANCHORARRAY(_xlfn.XLOOKUP($C3,'-ref_Distribution'!$B$146:$B$150,'-ref_Distribution'!$G$146:$G$150)),RIGHT(BA$1,2))</f>
        <v>364</v>
      </c>
      <c r="BB3" s="16" cm="1">
        <f t="array" ref="BB3">INDEX(_xlfn.ANCHORARRAY(_xlfn.XLOOKUP($C3,'-ref_Distribution'!$B$146:$B$150,'-ref_Distribution'!$G$146:$G$150)),RIGHT(BB$1,2))</f>
        <v>337</v>
      </c>
      <c r="BC3" s="16" cm="1">
        <f t="array" ref="BC3">INDEX(_xlfn.ANCHORARRAY(_xlfn.XLOOKUP($C3,'-ref_Distribution'!$B$146:$B$150,'-ref_Distribution'!$G$146:$G$150)),RIGHT(BC$1,2))</f>
        <v>307</v>
      </c>
      <c r="BD3" s="16" cm="1">
        <f t="array" ref="BD3">INDEX(_xlfn.ANCHORARRAY(_xlfn.XLOOKUP($C3,'-ref_Distribution'!$B$146:$B$150,'-ref_Distribution'!$G$146:$G$150)),RIGHT(BD$1,2))</f>
        <v>274</v>
      </c>
      <c r="BE3" s="16" cm="1">
        <f t="array" ref="BE3">INDEX(_xlfn.ANCHORARRAY(_xlfn.XLOOKUP($C3,'-ref_Distribution'!$B$146:$B$150,'-ref_Distribution'!$G$146:$G$150)),RIGHT(BE$1,2))</f>
        <v>241</v>
      </c>
      <c r="BF3" s="16" cm="1">
        <f t="array" ref="BF3">INDEX(_xlfn.ANCHORARRAY(_xlfn.XLOOKUP($C3,'-ref_Distribution'!$B$146:$B$150,'-ref_Distribution'!$G$146:$G$150)),RIGHT(BF$1,2))</f>
        <v>209</v>
      </c>
      <c r="BG3" s="16" cm="1">
        <f t="array" ref="BG3">INDEX(_xlfn.ANCHORARRAY(_xlfn.XLOOKUP($C3,'-ref_Distribution'!$B$146:$B$150,'-ref_Distribution'!$G$146:$G$150)),RIGHT(BG$1,2))</f>
        <v>178</v>
      </c>
      <c r="BH3" s="16" cm="1">
        <f t="array" ref="BH3">INDEX(_xlfn.ANCHORARRAY(_xlfn.XLOOKUP($C3,'-ref_Distribution'!$B$146:$B$150,'-ref_Distribution'!$G$146:$G$150)),RIGHT(BH$1,2))</f>
        <v>148</v>
      </c>
      <c r="BI3" s="16" cm="1">
        <f t="array" ref="BI3">INDEX(_xlfn.ANCHORARRAY(_xlfn.XLOOKUP($C3,'-ref_Distribution'!$B$146:$B$150,'-ref_Distribution'!$G$146:$G$150)),RIGHT(BI$1,2))</f>
        <v>122</v>
      </c>
      <c r="BJ3" s="16" cm="1">
        <f t="array" ref="BJ3">INDEX(_xlfn.ANCHORARRAY(_xlfn.XLOOKUP($C3,'-ref_Distribution'!$B$146:$B$150,'-ref_Distribution'!$G$146:$G$150)),RIGHT(BJ$1,2))</f>
        <v>98</v>
      </c>
      <c r="BK3" s="16" cm="1">
        <f t="array" ref="BK3">INDEX(_xlfn.ANCHORARRAY(_xlfn.XLOOKUP($C3,'-ref_Distribution'!$B$146:$B$150,'-ref_Distribution'!$G$146:$G$150)),RIGHT(BK$1,2))</f>
        <v>78</v>
      </c>
      <c r="BL3" s="16" cm="1">
        <f t="array" ref="BL3">INDEX(_xlfn.ANCHORARRAY(_xlfn.XLOOKUP($C3,'-ref_Distribution'!$B$146:$B$150,'-ref_Distribution'!$G$146:$G$150)),RIGHT(BL$1,2))</f>
        <v>337</v>
      </c>
      <c r="BM3" s="16" cm="1">
        <f t="array" ref="BM3">INDEX(_xlfn.ANCHORARRAY(_xlfn.XLOOKUP($C3,'-ref_Distribution'!$B$146:$B$150,'-ref_Distribution'!$G$146:$G$150)),RIGHT(BM$1,2))</f>
        <v>364</v>
      </c>
      <c r="BN3" s="16" cm="1">
        <f t="array" ref="BN3">INDEX(_xlfn.ANCHORARRAY(_xlfn.XLOOKUP($C3,'-ref_Distribution'!$B$146:$B$150,'-ref_Distribution'!$G$146:$G$150)),RIGHT(BN$1,2))</f>
        <v>386</v>
      </c>
      <c r="BO3" s="16" cm="1">
        <f t="array" ref="BO3">INDEX(_xlfn.ANCHORARRAY(_xlfn.XLOOKUP($C3,'-ref_Distribution'!$B$146:$B$150,'-ref_Distribution'!$G$146:$G$150)),RIGHT(BO$1,2))</f>
        <v>403</v>
      </c>
      <c r="BP3" s="16" cm="1">
        <f t="array" ref="BP3">INDEX(_xlfn.ANCHORARRAY(_xlfn.XLOOKUP($C3,'-ref_Distribution'!$B$146:$B$150,'-ref_Distribution'!$G$146:$G$150)),RIGHT(BP$1,2))</f>
        <v>414</v>
      </c>
      <c r="BQ3" s="16" cm="1">
        <f t="array" ref="BQ3">INDEX(_xlfn.ANCHORARRAY(_xlfn.XLOOKUP($C3,'-ref_Distribution'!$B$146:$B$150,'-ref_Distribution'!$G$146:$G$150)),RIGHT(BQ$1,2))</f>
        <v>417</v>
      </c>
      <c r="BR3" s="16" cm="1">
        <f t="array" ref="BR3">INDEX(_xlfn.ANCHORARRAY(_xlfn.XLOOKUP($C3,'-ref_Distribution'!$B$146:$B$150,'-ref_Distribution'!$G$146:$G$150)),RIGHT(BR$1,2))</f>
        <v>414</v>
      </c>
      <c r="BS3" s="16" cm="1">
        <f t="array" ref="BS3">INDEX(_xlfn.ANCHORARRAY(_xlfn.XLOOKUP($C3,'-ref_Distribution'!$B$146:$B$150,'-ref_Distribution'!$G$146:$G$150)),RIGHT(BS$1,2))</f>
        <v>403</v>
      </c>
      <c r="BT3" s="16" cm="1">
        <f t="array" ref="BT3">INDEX(_xlfn.ANCHORARRAY(_xlfn.XLOOKUP($C3,'-ref_Distribution'!$B$146:$B$150,'-ref_Distribution'!$G$146:$G$150)),RIGHT(BT$1,2))</f>
        <v>386</v>
      </c>
      <c r="BU3" s="16" cm="1">
        <f t="array" ref="BU3">INDEX(_xlfn.ANCHORARRAY(_xlfn.XLOOKUP($C3,'-ref_Distribution'!$B$146:$B$150,'-ref_Distribution'!$G$146:$G$150)),RIGHT(BU$1,2))</f>
        <v>364</v>
      </c>
      <c r="BV3" s="16" cm="1">
        <f t="array" ref="BV3">INDEX(_xlfn.ANCHORARRAY(_xlfn.XLOOKUP($C3,'-ref_Distribution'!$B$146:$B$150,'-ref_Distribution'!$G$146:$G$150)),RIGHT(BV$1,2))</f>
        <v>337</v>
      </c>
      <c r="BW3" s="16" cm="1">
        <f t="array" ref="BW3">INDEX(_xlfn.ANCHORARRAY(_xlfn.XLOOKUP($C3,'-ref_Distribution'!$B$146:$B$150,'-ref_Distribution'!$G$146:$G$150)),RIGHT(BW$1,2))</f>
        <v>307</v>
      </c>
      <c r="BX3" s="16" cm="1">
        <f t="array" ref="BX3">INDEX(_xlfn.ANCHORARRAY(_xlfn.XLOOKUP($C3,'-ref_Distribution'!$B$146:$B$150,'-ref_Distribution'!$G$146:$G$150)),RIGHT(BX$1,2))</f>
        <v>274</v>
      </c>
      <c r="BY3" s="16" cm="1">
        <f t="array" ref="BY3">INDEX(_xlfn.ANCHORARRAY(_xlfn.XLOOKUP($C3,'-ref_Distribution'!$B$146:$B$150,'-ref_Distribution'!$G$146:$G$150)),RIGHT(BY$1,2))</f>
        <v>241</v>
      </c>
      <c r="BZ3" s="16" cm="1">
        <f t="array" ref="BZ3">INDEX(_xlfn.ANCHORARRAY(_xlfn.XLOOKUP($C3,'-ref_Distribution'!$B$146:$B$150,'-ref_Distribution'!$G$146:$G$150)),RIGHT(BZ$1,2))</f>
        <v>209</v>
      </c>
      <c r="CA3" s="16" cm="1">
        <f t="array" ref="CA3">INDEX(_xlfn.ANCHORARRAY(_xlfn.XLOOKUP($C3,'-ref_Distribution'!$B$146:$B$150,'-ref_Distribution'!$G$146:$G$150)),RIGHT(CA$1,2))</f>
        <v>178</v>
      </c>
      <c r="CB3" s="16" cm="1">
        <f t="array" ref="CB3">INDEX(_xlfn.ANCHORARRAY(_xlfn.XLOOKUP($C3,'-ref_Distribution'!$B$146:$B$150,'-ref_Distribution'!$G$146:$G$150)),RIGHT(CB$1,2))</f>
        <v>148</v>
      </c>
      <c r="CC3" s="16" cm="1">
        <f t="array" ref="CC3">INDEX(_xlfn.ANCHORARRAY(_xlfn.XLOOKUP($C3,'-ref_Distribution'!$B$146:$B$150,'-ref_Distribution'!$G$146:$G$150)),RIGHT(CC$1,2))</f>
        <v>122</v>
      </c>
      <c r="CD3" s="16" cm="1">
        <f t="array" ref="CD3">INDEX(_xlfn.ANCHORARRAY(_xlfn.XLOOKUP($C3,'-ref_Distribution'!$B$146:$B$150,'-ref_Distribution'!$G$146:$G$150)),RIGHT(CD$1,2))</f>
        <v>98</v>
      </c>
      <c r="CE3" s="16" cm="1">
        <f t="array" ref="CE3">INDEX(_xlfn.ANCHORARRAY(_xlfn.XLOOKUP($C3,'-ref_Distribution'!$B$146:$B$150,'-ref_Distribution'!$G$146:$G$150)),RIGHT(CE$1,2))</f>
        <v>78</v>
      </c>
    </row>
    <row r="4" spans="1:83" customFormat="1" x14ac:dyDescent="0.2">
      <c r="A4" s="16">
        <v>300013</v>
      </c>
      <c r="B4" s="16" t="s">
        <v>200</v>
      </c>
      <c r="C4" s="16">
        <v>2</v>
      </c>
      <c r="D4" s="16" cm="1">
        <f t="array" ref="D4">INDEX(_xlfn.ANCHORARRAY(_xlfn.XLOOKUP($C4,'-ref_Distribution'!$B$146:$B$150,'-ref_Distribution'!$G$146:$G$150)),RIGHT(D$1,2))</f>
        <v>75</v>
      </c>
      <c r="E4" s="16" cm="1">
        <f t="array" ref="E4">INDEX(_xlfn.ANCHORARRAY(_xlfn.XLOOKUP($C4,'-ref_Distribution'!$B$146:$B$150,'-ref_Distribution'!$G$146:$G$150)),RIGHT(E$1,2))</f>
        <v>94</v>
      </c>
      <c r="F4" s="16" cm="1">
        <f t="array" ref="F4">INDEX(_xlfn.ANCHORARRAY(_xlfn.XLOOKUP($C4,'-ref_Distribution'!$B$146:$B$150,'-ref_Distribution'!$G$146:$G$150)),RIGHT(F$1,2))</f>
        <v>115</v>
      </c>
      <c r="G4" s="16" cm="1">
        <f t="array" ref="G4">INDEX(_xlfn.ANCHORARRAY(_xlfn.XLOOKUP($C4,'-ref_Distribution'!$B$146:$B$150,'-ref_Distribution'!$G$146:$G$150)),RIGHT(G$1,2))</f>
        <v>137</v>
      </c>
      <c r="H4" s="16" cm="1">
        <f t="array" ref="H4">INDEX(_xlfn.ANCHORARRAY(_xlfn.XLOOKUP($C4,'-ref_Distribution'!$B$146:$B$150,'-ref_Distribution'!$G$146:$G$150)),RIGHT(H$1,2))</f>
        <v>160</v>
      </c>
      <c r="I4" s="16" cm="1">
        <f t="array" ref="I4">INDEX(_xlfn.ANCHORARRAY(_xlfn.XLOOKUP($C4,'-ref_Distribution'!$B$146:$B$150,'-ref_Distribution'!$G$146:$G$150)),RIGHT(I$1,2))</f>
        <v>183</v>
      </c>
      <c r="J4" s="16" cm="1">
        <f t="array" ref="J4">INDEX(_xlfn.ANCHORARRAY(_xlfn.XLOOKUP($C4,'-ref_Distribution'!$B$146:$B$150,'-ref_Distribution'!$G$146:$G$150)),RIGHT(J$1,2))</f>
        <v>203</v>
      </c>
      <c r="K4" s="16" cm="1">
        <f t="array" ref="K4">INDEX(_xlfn.ANCHORARRAY(_xlfn.XLOOKUP($C4,'-ref_Distribution'!$B$146:$B$150,'-ref_Distribution'!$G$146:$G$150)),RIGHT(K$1,2))</f>
        <v>221</v>
      </c>
      <c r="L4" s="16" cm="1">
        <f t="array" ref="L4">INDEX(_xlfn.ANCHORARRAY(_xlfn.XLOOKUP($C4,'-ref_Distribution'!$B$146:$B$150,'-ref_Distribution'!$G$146:$G$150)),RIGHT(L$1,2))</f>
        <v>234</v>
      </c>
      <c r="M4" s="16" cm="1">
        <f t="array" ref="M4">INDEX(_xlfn.ANCHORARRAY(_xlfn.XLOOKUP($C4,'-ref_Distribution'!$B$146:$B$150,'-ref_Distribution'!$G$146:$G$150)),RIGHT(M$1,2))</f>
        <v>243</v>
      </c>
      <c r="N4" s="16" cm="1">
        <f t="array" ref="N4">INDEX(_xlfn.ANCHORARRAY(_xlfn.XLOOKUP($C4,'-ref_Distribution'!$B$146:$B$150,'-ref_Distribution'!$G$146:$G$150)),RIGHT(N$1,2))</f>
        <v>245</v>
      </c>
      <c r="O4" s="16" cm="1">
        <f t="array" ref="O4">INDEX(_xlfn.ANCHORARRAY(_xlfn.XLOOKUP($C4,'-ref_Distribution'!$B$146:$B$150,'-ref_Distribution'!$G$146:$G$150)),RIGHT(O$1,2))</f>
        <v>243</v>
      </c>
      <c r="P4" s="16" cm="1">
        <f t="array" ref="P4">INDEX(_xlfn.ANCHORARRAY(_xlfn.XLOOKUP($C4,'-ref_Distribution'!$B$146:$B$150,'-ref_Distribution'!$G$146:$G$150)),RIGHT(P$1,2))</f>
        <v>234</v>
      </c>
      <c r="Q4" s="16" cm="1">
        <f t="array" ref="Q4">INDEX(_xlfn.ANCHORARRAY(_xlfn.XLOOKUP($C4,'-ref_Distribution'!$B$146:$B$150,'-ref_Distribution'!$G$146:$G$150)),RIGHT(Q$1,2))</f>
        <v>221</v>
      </c>
      <c r="R4" s="16" cm="1">
        <f t="array" ref="R4">INDEX(_xlfn.ANCHORARRAY(_xlfn.XLOOKUP($C4,'-ref_Distribution'!$B$146:$B$150,'-ref_Distribution'!$G$146:$G$150)),RIGHT(R$1,2))</f>
        <v>203</v>
      </c>
      <c r="S4" s="16" cm="1">
        <f t="array" ref="S4">INDEX(_xlfn.ANCHORARRAY(_xlfn.XLOOKUP($C4,'-ref_Distribution'!$B$146:$B$150,'-ref_Distribution'!$G$146:$G$150)),RIGHT(S$1,2))</f>
        <v>183</v>
      </c>
      <c r="T4" s="16" cm="1">
        <f t="array" ref="T4">INDEX(_xlfn.ANCHORARRAY(_xlfn.XLOOKUP($C4,'-ref_Distribution'!$B$146:$B$150,'-ref_Distribution'!$G$146:$G$150)),RIGHT(T$1,2))</f>
        <v>160</v>
      </c>
      <c r="U4" s="16" cm="1">
        <f t="array" ref="U4">INDEX(_xlfn.ANCHORARRAY(_xlfn.XLOOKUP($C4,'-ref_Distribution'!$B$146:$B$150,'-ref_Distribution'!$G$146:$G$150)),RIGHT(U$1,2))</f>
        <v>137</v>
      </c>
      <c r="V4" s="16" cm="1">
        <f t="array" ref="V4">INDEX(_xlfn.ANCHORARRAY(_xlfn.XLOOKUP($C4,'-ref_Distribution'!$B$146:$B$150,'-ref_Distribution'!$G$146:$G$150)),RIGHT(V$1,2))</f>
        <v>115</v>
      </c>
      <c r="W4" s="16" cm="1">
        <f t="array" ref="W4">INDEX(_xlfn.ANCHORARRAY(_xlfn.XLOOKUP($C4,'-ref_Distribution'!$B$146:$B$150,'-ref_Distribution'!$G$146:$G$150)),RIGHT(W$1,2))</f>
        <v>94</v>
      </c>
      <c r="X4" s="16" cm="1">
        <f t="array" ref="X4">INDEX(_xlfn.ANCHORARRAY(_xlfn.XLOOKUP($C4,'-ref_Distribution'!$B$146:$B$150,'-ref_Distribution'!$G$146:$G$150)),RIGHT(X$1,2))</f>
        <v>75</v>
      </c>
      <c r="Y4" s="16" cm="1">
        <f t="array" ref="Y4">INDEX(_xlfn.ANCHORARRAY(_xlfn.XLOOKUP($C4,'-ref_Distribution'!$B$146:$B$150,'-ref_Distribution'!$G$146:$G$150)),RIGHT(Y$1,2))</f>
        <v>94</v>
      </c>
      <c r="Z4" s="16" cm="1">
        <f t="array" ref="Z4">INDEX(_xlfn.ANCHORARRAY(_xlfn.XLOOKUP($C4,'-ref_Distribution'!$B$146:$B$150,'-ref_Distribution'!$G$146:$G$150)),RIGHT(Z$1,2))</f>
        <v>115</v>
      </c>
      <c r="AA4" s="16" cm="1">
        <f t="array" ref="AA4">INDEX(_xlfn.ANCHORARRAY(_xlfn.XLOOKUP($C4,'-ref_Distribution'!$B$146:$B$150,'-ref_Distribution'!$G$146:$G$150)),RIGHT(AA$1,2))</f>
        <v>137</v>
      </c>
      <c r="AB4" s="16" cm="1">
        <f t="array" ref="AB4">INDEX(_xlfn.ANCHORARRAY(_xlfn.XLOOKUP($C4,'-ref_Distribution'!$B$146:$B$150,'-ref_Distribution'!$G$146:$G$150)),RIGHT(AB$1,2))</f>
        <v>160</v>
      </c>
      <c r="AC4" s="16" cm="1">
        <f t="array" ref="AC4">INDEX(_xlfn.ANCHORARRAY(_xlfn.XLOOKUP($C4,'-ref_Distribution'!$B$146:$B$150,'-ref_Distribution'!$G$146:$G$150)),RIGHT(AC$1,2))</f>
        <v>183</v>
      </c>
      <c r="AD4" s="16" cm="1">
        <f t="array" ref="AD4">INDEX(_xlfn.ANCHORARRAY(_xlfn.XLOOKUP($C4,'-ref_Distribution'!$B$146:$B$150,'-ref_Distribution'!$G$146:$G$150)),RIGHT(AD$1,2))</f>
        <v>203</v>
      </c>
      <c r="AE4" s="16" cm="1">
        <f t="array" ref="AE4">INDEX(_xlfn.ANCHORARRAY(_xlfn.XLOOKUP($C4,'-ref_Distribution'!$B$146:$B$150,'-ref_Distribution'!$G$146:$G$150)),RIGHT(AE$1,2))</f>
        <v>221</v>
      </c>
      <c r="AF4" s="16" cm="1">
        <f t="array" ref="AF4">INDEX(_xlfn.ANCHORARRAY(_xlfn.XLOOKUP($C4,'-ref_Distribution'!$B$146:$B$150,'-ref_Distribution'!$G$146:$G$150)),RIGHT(AF$1,2))</f>
        <v>234</v>
      </c>
      <c r="AG4" s="16" cm="1">
        <f t="array" ref="AG4">INDEX(_xlfn.ANCHORARRAY(_xlfn.XLOOKUP($C4,'-ref_Distribution'!$B$146:$B$150,'-ref_Distribution'!$G$146:$G$150)),RIGHT(AG$1,2))</f>
        <v>243</v>
      </c>
      <c r="AH4" s="16" cm="1">
        <f t="array" ref="AH4">INDEX(_xlfn.ANCHORARRAY(_xlfn.XLOOKUP($C4,'-ref_Distribution'!$B$146:$B$150,'-ref_Distribution'!$G$146:$G$150)),RIGHT(AH$1,2))</f>
        <v>245</v>
      </c>
      <c r="AI4" s="16" cm="1">
        <f t="array" ref="AI4">INDEX(_xlfn.ANCHORARRAY(_xlfn.XLOOKUP($C4,'-ref_Distribution'!$B$146:$B$150,'-ref_Distribution'!$G$146:$G$150)),RIGHT(AI$1,2))</f>
        <v>243</v>
      </c>
      <c r="AJ4" s="16" cm="1">
        <f t="array" ref="AJ4">INDEX(_xlfn.ANCHORARRAY(_xlfn.XLOOKUP($C4,'-ref_Distribution'!$B$146:$B$150,'-ref_Distribution'!$G$146:$G$150)),RIGHT(AJ$1,2))</f>
        <v>234</v>
      </c>
      <c r="AK4" s="16" cm="1">
        <f t="array" ref="AK4">INDEX(_xlfn.ANCHORARRAY(_xlfn.XLOOKUP($C4,'-ref_Distribution'!$B$146:$B$150,'-ref_Distribution'!$G$146:$G$150)),RIGHT(AK$1,2))</f>
        <v>221</v>
      </c>
      <c r="AL4" s="16" cm="1">
        <f t="array" ref="AL4">INDEX(_xlfn.ANCHORARRAY(_xlfn.XLOOKUP($C4,'-ref_Distribution'!$B$146:$B$150,'-ref_Distribution'!$G$146:$G$150)),RIGHT(AL$1,2))</f>
        <v>203</v>
      </c>
      <c r="AM4" s="16" cm="1">
        <f t="array" ref="AM4">INDEX(_xlfn.ANCHORARRAY(_xlfn.XLOOKUP($C4,'-ref_Distribution'!$B$146:$B$150,'-ref_Distribution'!$G$146:$G$150)),RIGHT(AM$1,2))</f>
        <v>183</v>
      </c>
      <c r="AN4" s="16" cm="1">
        <f t="array" ref="AN4">INDEX(_xlfn.ANCHORARRAY(_xlfn.XLOOKUP($C4,'-ref_Distribution'!$B$146:$B$150,'-ref_Distribution'!$G$146:$G$150)),RIGHT(AN$1,2))</f>
        <v>160</v>
      </c>
      <c r="AO4" s="16" cm="1">
        <f t="array" ref="AO4">INDEX(_xlfn.ANCHORARRAY(_xlfn.XLOOKUP($C4,'-ref_Distribution'!$B$146:$B$150,'-ref_Distribution'!$G$146:$G$150)),RIGHT(AO$1,2))</f>
        <v>137</v>
      </c>
      <c r="AP4" s="16" cm="1">
        <f t="array" ref="AP4">INDEX(_xlfn.ANCHORARRAY(_xlfn.XLOOKUP($C4,'-ref_Distribution'!$B$146:$B$150,'-ref_Distribution'!$G$146:$G$150)),RIGHT(AP$1,2))</f>
        <v>115</v>
      </c>
      <c r="AQ4" s="16" cm="1">
        <f t="array" ref="AQ4">INDEX(_xlfn.ANCHORARRAY(_xlfn.XLOOKUP($C4,'-ref_Distribution'!$B$146:$B$150,'-ref_Distribution'!$G$146:$G$150)),RIGHT(AQ$1,2))</f>
        <v>94</v>
      </c>
      <c r="AR4" s="16" cm="1">
        <f t="array" ref="AR4">INDEX(_xlfn.ANCHORARRAY(_xlfn.XLOOKUP($C4,'-ref_Distribution'!$B$146:$B$150,'-ref_Distribution'!$G$146:$G$150)),RIGHT(AR$1,2))</f>
        <v>75</v>
      </c>
      <c r="AS4" s="16" cm="1">
        <f t="array" ref="AS4">INDEX(_xlfn.ANCHORARRAY(_xlfn.XLOOKUP($C4,'-ref_Distribution'!$B$146:$B$150,'-ref_Distribution'!$G$146:$G$150)),RIGHT(AS$1,2))</f>
        <v>94</v>
      </c>
      <c r="AT4" s="16" cm="1">
        <f t="array" ref="AT4">INDEX(_xlfn.ANCHORARRAY(_xlfn.XLOOKUP($C4,'-ref_Distribution'!$B$146:$B$150,'-ref_Distribution'!$G$146:$G$150)),RIGHT(AT$1,2))</f>
        <v>115</v>
      </c>
      <c r="AU4" s="16" cm="1">
        <f t="array" ref="AU4">INDEX(_xlfn.ANCHORARRAY(_xlfn.XLOOKUP($C4,'-ref_Distribution'!$B$146:$B$150,'-ref_Distribution'!$G$146:$G$150)),RIGHT(AU$1,2))</f>
        <v>137</v>
      </c>
      <c r="AV4" s="16" cm="1">
        <f t="array" ref="AV4">INDEX(_xlfn.ANCHORARRAY(_xlfn.XLOOKUP($C4,'-ref_Distribution'!$B$146:$B$150,'-ref_Distribution'!$G$146:$G$150)),RIGHT(AV$1,2))</f>
        <v>160</v>
      </c>
      <c r="AW4" s="16" cm="1">
        <f t="array" ref="AW4">INDEX(_xlfn.ANCHORARRAY(_xlfn.XLOOKUP($C4,'-ref_Distribution'!$B$146:$B$150,'-ref_Distribution'!$G$146:$G$150)),RIGHT(AW$1,2))</f>
        <v>183</v>
      </c>
      <c r="AX4" s="16" cm="1">
        <f t="array" ref="AX4">INDEX(_xlfn.ANCHORARRAY(_xlfn.XLOOKUP($C4,'-ref_Distribution'!$B$146:$B$150,'-ref_Distribution'!$G$146:$G$150)),RIGHT(AX$1,2))</f>
        <v>203</v>
      </c>
      <c r="AY4" s="16" cm="1">
        <f t="array" ref="AY4">INDEX(_xlfn.ANCHORARRAY(_xlfn.XLOOKUP($C4,'-ref_Distribution'!$B$146:$B$150,'-ref_Distribution'!$G$146:$G$150)),RIGHT(AY$1,2))</f>
        <v>221</v>
      </c>
      <c r="AZ4" s="16" cm="1">
        <f t="array" ref="AZ4">INDEX(_xlfn.ANCHORARRAY(_xlfn.XLOOKUP($C4,'-ref_Distribution'!$B$146:$B$150,'-ref_Distribution'!$G$146:$G$150)),RIGHT(AZ$1,2))</f>
        <v>234</v>
      </c>
      <c r="BA4" s="16" cm="1">
        <f t="array" ref="BA4">INDEX(_xlfn.ANCHORARRAY(_xlfn.XLOOKUP($C4,'-ref_Distribution'!$B$146:$B$150,'-ref_Distribution'!$G$146:$G$150)),RIGHT(BA$1,2))</f>
        <v>243</v>
      </c>
      <c r="BB4" s="16" cm="1">
        <f t="array" ref="BB4">INDEX(_xlfn.ANCHORARRAY(_xlfn.XLOOKUP($C4,'-ref_Distribution'!$B$146:$B$150,'-ref_Distribution'!$G$146:$G$150)),RIGHT(BB$1,2))</f>
        <v>245</v>
      </c>
      <c r="BC4" s="16" cm="1">
        <f t="array" ref="BC4">INDEX(_xlfn.ANCHORARRAY(_xlfn.XLOOKUP($C4,'-ref_Distribution'!$B$146:$B$150,'-ref_Distribution'!$G$146:$G$150)),RIGHT(BC$1,2))</f>
        <v>243</v>
      </c>
      <c r="BD4" s="16" cm="1">
        <f t="array" ref="BD4">INDEX(_xlfn.ANCHORARRAY(_xlfn.XLOOKUP($C4,'-ref_Distribution'!$B$146:$B$150,'-ref_Distribution'!$G$146:$G$150)),RIGHT(BD$1,2))</f>
        <v>234</v>
      </c>
      <c r="BE4" s="16" cm="1">
        <f t="array" ref="BE4">INDEX(_xlfn.ANCHORARRAY(_xlfn.XLOOKUP($C4,'-ref_Distribution'!$B$146:$B$150,'-ref_Distribution'!$G$146:$G$150)),RIGHT(BE$1,2))</f>
        <v>221</v>
      </c>
      <c r="BF4" s="16" cm="1">
        <f t="array" ref="BF4">INDEX(_xlfn.ANCHORARRAY(_xlfn.XLOOKUP($C4,'-ref_Distribution'!$B$146:$B$150,'-ref_Distribution'!$G$146:$G$150)),RIGHT(BF$1,2))</f>
        <v>203</v>
      </c>
      <c r="BG4" s="16" cm="1">
        <f t="array" ref="BG4">INDEX(_xlfn.ANCHORARRAY(_xlfn.XLOOKUP($C4,'-ref_Distribution'!$B$146:$B$150,'-ref_Distribution'!$G$146:$G$150)),RIGHT(BG$1,2))</f>
        <v>183</v>
      </c>
      <c r="BH4" s="16" cm="1">
        <f t="array" ref="BH4">INDEX(_xlfn.ANCHORARRAY(_xlfn.XLOOKUP($C4,'-ref_Distribution'!$B$146:$B$150,'-ref_Distribution'!$G$146:$G$150)),RIGHT(BH$1,2))</f>
        <v>160</v>
      </c>
      <c r="BI4" s="16" cm="1">
        <f t="array" ref="BI4">INDEX(_xlfn.ANCHORARRAY(_xlfn.XLOOKUP($C4,'-ref_Distribution'!$B$146:$B$150,'-ref_Distribution'!$G$146:$G$150)),RIGHT(BI$1,2))</f>
        <v>137</v>
      </c>
      <c r="BJ4" s="16" cm="1">
        <f t="array" ref="BJ4">INDEX(_xlfn.ANCHORARRAY(_xlfn.XLOOKUP($C4,'-ref_Distribution'!$B$146:$B$150,'-ref_Distribution'!$G$146:$G$150)),RIGHT(BJ$1,2))</f>
        <v>115</v>
      </c>
      <c r="BK4" s="16" cm="1">
        <f t="array" ref="BK4">INDEX(_xlfn.ANCHORARRAY(_xlfn.XLOOKUP($C4,'-ref_Distribution'!$B$146:$B$150,'-ref_Distribution'!$G$146:$G$150)),RIGHT(BK$1,2))</f>
        <v>94</v>
      </c>
      <c r="BL4" s="16" cm="1">
        <f t="array" ref="BL4">INDEX(_xlfn.ANCHORARRAY(_xlfn.XLOOKUP($C4,'-ref_Distribution'!$B$146:$B$150,'-ref_Distribution'!$G$146:$G$150)),RIGHT(BL$1,2))</f>
        <v>75</v>
      </c>
      <c r="BM4" s="16" cm="1">
        <f t="array" ref="BM4">INDEX(_xlfn.ANCHORARRAY(_xlfn.XLOOKUP($C4,'-ref_Distribution'!$B$146:$B$150,'-ref_Distribution'!$G$146:$G$150)),RIGHT(BM$1,2))</f>
        <v>94</v>
      </c>
      <c r="BN4" s="16" cm="1">
        <f t="array" ref="BN4">INDEX(_xlfn.ANCHORARRAY(_xlfn.XLOOKUP($C4,'-ref_Distribution'!$B$146:$B$150,'-ref_Distribution'!$G$146:$G$150)),RIGHT(BN$1,2))</f>
        <v>115</v>
      </c>
      <c r="BO4" s="16" cm="1">
        <f t="array" ref="BO4">INDEX(_xlfn.ANCHORARRAY(_xlfn.XLOOKUP($C4,'-ref_Distribution'!$B$146:$B$150,'-ref_Distribution'!$G$146:$G$150)),RIGHT(BO$1,2))</f>
        <v>137</v>
      </c>
      <c r="BP4" s="16" cm="1">
        <f t="array" ref="BP4">INDEX(_xlfn.ANCHORARRAY(_xlfn.XLOOKUP($C4,'-ref_Distribution'!$B$146:$B$150,'-ref_Distribution'!$G$146:$G$150)),RIGHT(BP$1,2))</f>
        <v>160</v>
      </c>
      <c r="BQ4" s="16" cm="1">
        <f t="array" ref="BQ4">INDEX(_xlfn.ANCHORARRAY(_xlfn.XLOOKUP($C4,'-ref_Distribution'!$B$146:$B$150,'-ref_Distribution'!$G$146:$G$150)),RIGHT(BQ$1,2))</f>
        <v>183</v>
      </c>
      <c r="BR4" s="16" cm="1">
        <f t="array" ref="BR4">INDEX(_xlfn.ANCHORARRAY(_xlfn.XLOOKUP($C4,'-ref_Distribution'!$B$146:$B$150,'-ref_Distribution'!$G$146:$G$150)),RIGHT(BR$1,2))</f>
        <v>203</v>
      </c>
      <c r="BS4" s="16" cm="1">
        <f t="array" ref="BS4">INDEX(_xlfn.ANCHORARRAY(_xlfn.XLOOKUP($C4,'-ref_Distribution'!$B$146:$B$150,'-ref_Distribution'!$G$146:$G$150)),RIGHT(BS$1,2))</f>
        <v>221</v>
      </c>
      <c r="BT4" s="16" cm="1">
        <f t="array" ref="BT4">INDEX(_xlfn.ANCHORARRAY(_xlfn.XLOOKUP($C4,'-ref_Distribution'!$B$146:$B$150,'-ref_Distribution'!$G$146:$G$150)),RIGHT(BT$1,2))</f>
        <v>234</v>
      </c>
      <c r="BU4" s="16" cm="1">
        <f t="array" ref="BU4">INDEX(_xlfn.ANCHORARRAY(_xlfn.XLOOKUP($C4,'-ref_Distribution'!$B$146:$B$150,'-ref_Distribution'!$G$146:$G$150)),RIGHT(BU$1,2))</f>
        <v>243</v>
      </c>
      <c r="BV4" s="16" cm="1">
        <f t="array" ref="BV4">INDEX(_xlfn.ANCHORARRAY(_xlfn.XLOOKUP($C4,'-ref_Distribution'!$B$146:$B$150,'-ref_Distribution'!$G$146:$G$150)),RIGHT(BV$1,2))</f>
        <v>245</v>
      </c>
      <c r="BW4" s="16" cm="1">
        <f t="array" ref="BW4">INDEX(_xlfn.ANCHORARRAY(_xlfn.XLOOKUP($C4,'-ref_Distribution'!$B$146:$B$150,'-ref_Distribution'!$G$146:$G$150)),RIGHT(BW$1,2))</f>
        <v>243</v>
      </c>
      <c r="BX4" s="16" cm="1">
        <f t="array" ref="BX4">INDEX(_xlfn.ANCHORARRAY(_xlfn.XLOOKUP($C4,'-ref_Distribution'!$B$146:$B$150,'-ref_Distribution'!$G$146:$G$150)),RIGHT(BX$1,2))</f>
        <v>234</v>
      </c>
      <c r="BY4" s="16" cm="1">
        <f t="array" ref="BY4">INDEX(_xlfn.ANCHORARRAY(_xlfn.XLOOKUP($C4,'-ref_Distribution'!$B$146:$B$150,'-ref_Distribution'!$G$146:$G$150)),RIGHT(BY$1,2))</f>
        <v>221</v>
      </c>
      <c r="BZ4" s="16" cm="1">
        <f t="array" ref="BZ4">INDEX(_xlfn.ANCHORARRAY(_xlfn.XLOOKUP($C4,'-ref_Distribution'!$B$146:$B$150,'-ref_Distribution'!$G$146:$G$150)),RIGHT(BZ$1,2))</f>
        <v>203</v>
      </c>
      <c r="CA4" s="16" cm="1">
        <f t="array" ref="CA4">INDEX(_xlfn.ANCHORARRAY(_xlfn.XLOOKUP($C4,'-ref_Distribution'!$B$146:$B$150,'-ref_Distribution'!$G$146:$G$150)),RIGHT(CA$1,2))</f>
        <v>183</v>
      </c>
      <c r="CB4" s="16" cm="1">
        <f t="array" ref="CB4">INDEX(_xlfn.ANCHORARRAY(_xlfn.XLOOKUP($C4,'-ref_Distribution'!$B$146:$B$150,'-ref_Distribution'!$G$146:$G$150)),RIGHT(CB$1,2))</f>
        <v>160</v>
      </c>
      <c r="CC4" s="16" cm="1">
        <f t="array" ref="CC4">INDEX(_xlfn.ANCHORARRAY(_xlfn.XLOOKUP($C4,'-ref_Distribution'!$B$146:$B$150,'-ref_Distribution'!$G$146:$G$150)),RIGHT(CC$1,2))</f>
        <v>137</v>
      </c>
      <c r="CD4" s="16" cm="1">
        <f t="array" ref="CD4">INDEX(_xlfn.ANCHORARRAY(_xlfn.XLOOKUP($C4,'-ref_Distribution'!$B$146:$B$150,'-ref_Distribution'!$G$146:$G$150)),RIGHT(CD$1,2))</f>
        <v>115</v>
      </c>
      <c r="CE4" s="16" cm="1">
        <f t="array" ref="CE4">INDEX(_xlfn.ANCHORARRAY(_xlfn.XLOOKUP($C4,'-ref_Distribution'!$B$146:$B$150,'-ref_Distribution'!$G$146:$G$150)),RIGHT(CE$1,2))</f>
        <v>94</v>
      </c>
    </row>
    <row r="5" spans="1:83" customFormat="1" x14ac:dyDescent="0.2">
      <c r="A5" s="16">
        <v>300014</v>
      </c>
      <c r="B5" s="16" t="s">
        <v>200</v>
      </c>
      <c r="C5" s="16">
        <v>3</v>
      </c>
      <c r="D5" s="16" cm="1">
        <f t="array" ref="D5">INDEX(_xlfn.ANCHORARRAY(_xlfn.XLOOKUP($C5,'-ref_Distribution'!$B$146:$B$150,'-ref_Distribution'!$G$146:$G$150)),RIGHT(D$1,2))</f>
        <v>4</v>
      </c>
      <c r="E5" s="16" cm="1">
        <f t="array" ref="E5">INDEX(_xlfn.ANCHORARRAY(_xlfn.XLOOKUP($C5,'-ref_Distribution'!$B$146:$B$150,'-ref_Distribution'!$G$146:$G$150)),RIGHT(E$1,2))</f>
        <v>6</v>
      </c>
      <c r="F5" s="16" cm="1">
        <f t="array" ref="F5">INDEX(_xlfn.ANCHORARRAY(_xlfn.XLOOKUP($C5,'-ref_Distribution'!$B$146:$B$150,'-ref_Distribution'!$G$146:$G$150)),RIGHT(F$1,2))</f>
        <v>9</v>
      </c>
      <c r="G5" s="16" cm="1">
        <f t="array" ref="G5">INDEX(_xlfn.ANCHORARRAY(_xlfn.XLOOKUP($C5,'-ref_Distribution'!$B$146:$B$150,'-ref_Distribution'!$G$146:$G$150)),RIGHT(G$1,2))</f>
        <v>14</v>
      </c>
      <c r="H5" s="16" cm="1">
        <f t="array" ref="H5">INDEX(_xlfn.ANCHORARRAY(_xlfn.XLOOKUP($C5,'-ref_Distribution'!$B$146:$B$150,'-ref_Distribution'!$G$146:$G$150)),RIGHT(H$1,2))</f>
        <v>20</v>
      </c>
      <c r="I5" s="16" cm="1">
        <f t="array" ref="I5">INDEX(_xlfn.ANCHORARRAY(_xlfn.XLOOKUP($C5,'-ref_Distribution'!$B$146:$B$150,'-ref_Distribution'!$G$146:$G$150)),RIGHT(I$1,2))</f>
        <v>28</v>
      </c>
      <c r="J5" s="16" cm="1">
        <f t="array" ref="J5">INDEX(_xlfn.ANCHORARRAY(_xlfn.XLOOKUP($C5,'-ref_Distribution'!$B$146:$B$150,'-ref_Distribution'!$G$146:$G$150)),RIGHT(J$1,2))</f>
        <v>38</v>
      </c>
      <c r="K5" s="16" cm="1">
        <f t="array" ref="K5">INDEX(_xlfn.ANCHORARRAY(_xlfn.XLOOKUP($C5,'-ref_Distribution'!$B$146:$B$150,'-ref_Distribution'!$G$146:$G$150)),RIGHT(K$1,2))</f>
        <v>51</v>
      </c>
      <c r="L5" s="16" cm="1">
        <f t="array" ref="L5">INDEX(_xlfn.ANCHORARRAY(_xlfn.XLOOKUP($C5,'-ref_Distribution'!$B$146:$B$150,'-ref_Distribution'!$G$146:$G$150)),RIGHT(L$1,2))</f>
        <v>65</v>
      </c>
      <c r="M5" s="16" cm="1">
        <f t="array" ref="M5">INDEX(_xlfn.ANCHORARRAY(_xlfn.XLOOKUP($C5,'-ref_Distribution'!$B$146:$B$150,'-ref_Distribution'!$G$146:$G$150)),RIGHT(M$1,2))</f>
        <v>80</v>
      </c>
      <c r="N5" s="16" cm="1">
        <f t="array" ref="N5">INDEX(_xlfn.ANCHORARRAY(_xlfn.XLOOKUP($C5,'-ref_Distribution'!$B$146:$B$150,'-ref_Distribution'!$G$146:$G$150)),RIGHT(N$1,2))</f>
        <v>96</v>
      </c>
      <c r="O5" s="16" cm="1">
        <f t="array" ref="O5">INDEX(_xlfn.ANCHORARRAY(_xlfn.XLOOKUP($C5,'-ref_Distribution'!$B$146:$B$150,'-ref_Distribution'!$G$146:$G$150)),RIGHT(O$1,2))</f>
        <v>111</v>
      </c>
      <c r="P5" s="16" cm="1">
        <f t="array" ref="P5">INDEX(_xlfn.ANCHORARRAY(_xlfn.XLOOKUP($C5,'-ref_Distribution'!$B$146:$B$150,'-ref_Distribution'!$G$146:$G$150)),RIGHT(P$1,2))</f>
        <v>125</v>
      </c>
      <c r="Q5" s="16" cm="1">
        <f t="array" ref="Q5">INDEX(_xlfn.ANCHORARRAY(_xlfn.XLOOKUP($C5,'-ref_Distribution'!$B$146:$B$150,'-ref_Distribution'!$G$146:$G$150)),RIGHT(Q$1,2))</f>
        <v>135</v>
      </c>
      <c r="R5" s="16" cm="1">
        <f t="array" ref="R5">INDEX(_xlfn.ANCHORARRAY(_xlfn.XLOOKUP($C5,'-ref_Distribution'!$B$146:$B$150,'-ref_Distribution'!$G$146:$G$150)),RIGHT(R$1,2))</f>
        <v>142</v>
      </c>
      <c r="S5" s="16" cm="1">
        <f t="array" ref="S5">INDEX(_xlfn.ANCHORARRAY(_xlfn.XLOOKUP($C5,'-ref_Distribution'!$B$146:$B$150,'-ref_Distribution'!$G$146:$G$150)),RIGHT(S$1,2))</f>
        <v>144</v>
      </c>
      <c r="T5" s="16" cm="1">
        <f t="array" ref="T5">INDEX(_xlfn.ANCHORARRAY(_xlfn.XLOOKUP($C5,'-ref_Distribution'!$B$146:$B$150,'-ref_Distribution'!$G$146:$G$150)),RIGHT(T$1,2))</f>
        <v>142</v>
      </c>
      <c r="U5" s="16" cm="1">
        <f t="array" ref="U5">INDEX(_xlfn.ANCHORARRAY(_xlfn.XLOOKUP($C5,'-ref_Distribution'!$B$146:$B$150,'-ref_Distribution'!$G$146:$G$150)),RIGHT(U$1,2))</f>
        <v>135</v>
      </c>
      <c r="V5" s="16" cm="1">
        <f t="array" ref="V5">INDEX(_xlfn.ANCHORARRAY(_xlfn.XLOOKUP($C5,'-ref_Distribution'!$B$146:$B$150,'-ref_Distribution'!$G$146:$G$150)),RIGHT(V$1,2))</f>
        <v>125</v>
      </c>
      <c r="W5" s="16" cm="1">
        <f t="array" ref="W5">INDEX(_xlfn.ANCHORARRAY(_xlfn.XLOOKUP($C5,'-ref_Distribution'!$B$146:$B$150,'-ref_Distribution'!$G$146:$G$150)),RIGHT(W$1,2))</f>
        <v>111</v>
      </c>
      <c r="X5" s="16" cm="1">
        <f t="array" ref="X5">INDEX(_xlfn.ANCHORARRAY(_xlfn.XLOOKUP($C5,'-ref_Distribution'!$B$146:$B$150,'-ref_Distribution'!$G$146:$G$150)),RIGHT(X$1,2))</f>
        <v>4</v>
      </c>
      <c r="Y5" s="16" cm="1">
        <f t="array" ref="Y5">INDEX(_xlfn.ANCHORARRAY(_xlfn.XLOOKUP($C5,'-ref_Distribution'!$B$146:$B$150,'-ref_Distribution'!$G$146:$G$150)),RIGHT(Y$1,2))</f>
        <v>6</v>
      </c>
      <c r="Z5" s="16" cm="1">
        <f t="array" ref="Z5">INDEX(_xlfn.ANCHORARRAY(_xlfn.XLOOKUP($C5,'-ref_Distribution'!$B$146:$B$150,'-ref_Distribution'!$G$146:$G$150)),RIGHT(Z$1,2))</f>
        <v>9</v>
      </c>
      <c r="AA5" s="16" cm="1">
        <f t="array" ref="AA5">INDEX(_xlfn.ANCHORARRAY(_xlfn.XLOOKUP($C5,'-ref_Distribution'!$B$146:$B$150,'-ref_Distribution'!$G$146:$G$150)),RIGHT(AA$1,2))</f>
        <v>14</v>
      </c>
      <c r="AB5" s="16" cm="1">
        <f t="array" ref="AB5">INDEX(_xlfn.ANCHORARRAY(_xlfn.XLOOKUP($C5,'-ref_Distribution'!$B$146:$B$150,'-ref_Distribution'!$G$146:$G$150)),RIGHT(AB$1,2))</f>
        <v>20</v>
      </c>
      <c r="AC5" s="16" cm="1">
        <f t="array" ref="AC5">INDEX(_xlfn.ANCHORARRAY(_xlfn.XLOOKUP($C5,'-ref_Distribution'!$B$146:$B$150,'-ref_Distribution'!$G$146:$G$150)),RIGHT(AC$1,2))</f>
        <v>28</v>
      </c>
      <c r="AD5" s="16" cm="1">
        <f t="array" ref="AD5">INDEX(_xlfn.ANCHORARRAY(_xlfn.XLOOKUP($C5,'-ref_Distribution'!$B$146:$B$150,'-ref_Distribution'!$G$146:$G$150)),RIGHT(AD$1,2))</f>
        <v>38</v>
      </c>
      <c r="AE5" s="16" cm="1">
        <f t="array" ref="AE5">INDEX(_xlfn.ANCHORARRAY(_xlfn.XLOOKUP($C5,'-ref_Distribution'!$B$146:$B$150,'-ref_Distribution'!$G$146:$G$150)),RIGHT(AE$1,2))</f>
        <v>51</v>
      </c>
      <c r="AF5" s="16" cm="1">
        <f t="array" ref="AF5">INDEX(_xlfn.ANCHORARRAY(_xlfn.XLOOKUP($C5,'-ref_Distribution'!$B$146:$B$150,'-ref_Distribution'!$G$146:$G$150)),RIGHT(AF$1,2))</f>
        <v>65</v>
      </c>
      <c r="AG5" s="16" cm="1">
        <f t="array" ref="AG5">INDEX(_xlfn.ANCHORARRAY(_xlfn.XLOOKUP($C5,'-ref_Distribution'!$B$146:$B$150,'-ref_Distribution'!$G$146:$G$150)),RIGHT(AG$1,2))</f>
        <v>80</v>
      </c>
      <c r="AH5" s="16" cm="1">
        <f t="array" ref="AH5">INDEX(_xlfn.ANCHORARRAY(_xlfn.XLOOKUP($C5,'-ref_Distribution'!$B$146:$B$150,'-ref_Distribution'!$G$146:$G$150)),RIGHT(AH$1,2))</f>
        <v>96</v>
      </c>
      <c r="AI5" s="16" cm="1">
        <f t="array" ref="AI5">INDEX(_xlfn.ANCHORARRAY(_xlfn.XLOOKUP($C5,'-ref_Distribution'!$B$146:$B$150,'-ref_Distribution'!$G$146:$G$150)),RIGHT(AI$1,2))</f>
        <v>111</v>
      </c>
      <c r="AJ5" s="16" cm="1">
        <f t="array" ref="AJ5">INDEX(_xlfn.ANCHORARRAY(_xlfn.XLOOKUP($C5,'-ref_Distribution'!$B$146:$B$150,'-ref_Distribution'!$G$146:$G$150)),RIGHT(AJ$1,2))</f>
        <v>125</v>
      </c>
      <c r="AK5" s="16" cm="1">
        <f t="array" ref="AK5">INDEX(_xlfn.ANCHORARRAY(_xlfn.XLOOKUP($C5,'-ref_Distribution'!$B$146:$B$150,'-ref_Distribution'!$G$146:$G$150)),RIGHT(AK$1,2))</f>
        <v>135</v>
      </c>
      <c r="AL5" s="16" cm="1">
        <f t="array" ref="AL5">INDEX(_xlfn.ANCHORARRAY(_xlfn.XLOOKUP($C5,'-ref_Distribution'!$B$146:$B$150,'-ref_Distribution'!$G$146:$G$150)),RIGHT(AL$1,2))</f>
        <v>142</v>
      </c>
      <c r="AM5" s="16" cm="1">
        <f t="array" ref="AM5">INDEX(_xlfn.ANCHORARRAY(_xlfn.XLOOKUP($C5,'-ref_Distribution'!$B$146:$B$150,'-ref_Distribution'!$G$146:$G$150)),RIGHT(AM$1,2))</f>
        <v>144</v>
      </c>
      <c r="AN5" s="16" cm="1">
        <f t="array" ref="AN5">INDEX(_xlfn.ANCHORARRAY(_xlfn.XLOOKUP($C5,'-ref_Distribution'!$B$146:$B$150,'-ref_Distribution'!$G$146:$G$150)),RIGHT(AN$1,2))</f>
        <v>142</v>
      </c>
      <c r="AO5" s="16" cm="1">
        <f t="array" ref="AO5">INDEX(_xlfn.ANCHORARRAY(_xlfn.XLOOKUP($C5,'-ref_Distribution'!$B$146:$B$150,'-ref_Distribution'!$G$146:$G$150)),RIGHT(AO$1,2))</f>
        <v>135</v>
      </c>
      <c r="AP5" s="16" cm="1">
        <f t="array" ref="AP5">INDEX(_xlfn.ANCHORARRAY(_xlfn.XLOOKUP($C5,'-ref_Distribution'!$B$146:$B$150,'-ref_Distribution'!$G$146:$G$150)),RIGHT(AP$1,2))</f>
        <v>125</v>
      </c>
      <c r="AQ5" s="16" cm="1">
        <f t="array" ref="AQ5">INDEX(_xlfn.ANCHORARRAY(_xlfn.XLOOKUP($C5,'-ref_Distribution'!$B$146:$B$150,'-ref_Distribution'!$G$146:$G$150)),RIGHT(AQ$1,2))</f>
        <v>111</v>
      </c>
      <c r="AR5" s="16" cm="1">
        <f t="array" ref="AR5">INDEX(_xlfn.ANCHORARRAY(_xlfn.XLOOKUP($C5,'-ref_Distribution'!$B$146:$B$150,'-ref_Distribution'!$G$146:$G$150)),RIGHT(AR$1,2))</f>
        <v>4</v>
      </c>
      <c r="AS5" s="16" cm="1">
        <f t="array" ref="AS5">INDEX(_xlfn.ANCHORARRAY(_xlfn.XLOOKUP($C5,'-ref_Distribution'!$B$146:$B$150,'-ref_Distribution'!$G$146:$G$150)),RIGHT(AS$1,2))</f>
        <v>6</v>
      </c>
      <c r="AT5" s="16" cm="1">
        <f t="array" ref="AT5">INDEX(_xlfn.ANCHORARRAY(_xlfn.XLOOKUP($C5,'-ref_Distribution'!$B$146:$B$150,'-ref_Distribution'!$G$146:$G$150)),RIGHT(AT$1,2))</f>
        <v>9</v>
      </c>
      <c r="AU5" s="16" cm="1">
        <f t="array" ref="AU5">INDEX(_xlfn.ANCHORARRAY(_xlfn.XLOOKUP($C5,'-ref_Distribution'!$B$146:$B$150,'-ref_Distribution'!$G$146:$G$150)),RIGHT(AU$1,2))</f>
        <v>14</v>
      </c>
      <c r="AV5" s="16" cm="1">
        <f t="array" ref="AV5">INDEX(_xlfn.ANCHORARRAY(_xlfn.XLOOKUP($C5,'-ref_Distribution'!$B$146:$B$150,'-ref_Distribution'!$G$146:$G$150)),RIGHT(AV$1,2))</f>
        <v>20</v>
      </c>
      <c r="AW5" s="16" cm="1">
        <f t="array" ref="AW5">INDEX(_xlfn.ANCHORARRAY(_xlfn.XLOOKUP($C5,'-ref_Distribution'!$B$146:$B$150,'-ref_Distribution'!$G$146:$G$150)),RIGHT(AW$1,2))</f>
        <v>28</v>
      </c>
      <c r="AX5" s="16" cm="1">
        <f t="array" ref="AX5">INDEX(_xlfn.ANCHORARRAY(_xlfn.XLOOKUP($C5,'-ref_Distribution'!$B$146:$B$150,'-ref_Distribution'!$G$146:$G$150)),RIGHT(AX$1,2))</f>
        <v>38</v>
      </c>
      <c r="AY5" s="16" cm="1">
        <f t="array" ref="AY5">INDEX(_xlfn.ANCHORARRAY(_xlfn.XLOOKUP($C5,'-ref_Distribution'!$B$146:$B$150,'-ref_Distribution'!$G$146:$G$150)),RIGHT(AY$1,2))</f>
        <v>51</v>
      </c>
      <c r="AZ5" s="16" cm="1">
        <f t="array" ref="AZ5">INDEX(_xlfn.ANCHORARRAY(_xlfn.XLOOKUP($C5,'-ref_Distribution'!$B$146:$B$150,'-ref_Distribution'!$G$146:$G$150)),RIGHT(AZ$1,2))</f>
        <v>65</v>
      </c>
      <c r="BA5" s="16" cm="1">
        <f t="array" ref="BA5">INDEX(_xlfn.ANCHORARRAY(_xlfn.XLOOKUP($C5,'-ref_Distribution'!$B$146:$B$150,'-ref_Distribution'!$G$146:$G$150)),RIGHT(BA$1,2))</f>
        <v>80</v>
      </c>
      <c r="BB5" s="16" cm="1">
        <f t="array" ref="BB5">INDEX(_xlfn.ANCHORARRAY(_xlfn.XLOOKUP($C5,'-ref_Distribution'!$B$146:$B$150,'-ref_Distribution'!$G$146:$G$150)),RIGHT(BB$1,2))</f>
        <v>96</v>
      </c>
      <c r="BC5" s="16" cm="1">
        <f t="array" ref="BC5">INDEX(_xlfn.ANCHORARRAY(_xlfn.XLOOKUP($C5,'-ref_Distribution'!$B$146:$B$150,'-ref_Distribution'!$G$146:$G$150)),RIGHT(BC$1,2))</f>
        <v>111</v>
      </c>
      <c r="BD5" s="16" cm="1">
        <f t="array" ref="BD5">INDEX(_xlfn.ANCHORARRAY(_xlfn.XLOOKUP($C5,'-ref_Distribution'!$B$146:$B$150,'-ref_Distribution'!$G$146:$G$150)),RIGHT(BD$1,2))</f>
        <v>125</v>
      </c>
      <c r="BE5" s="16" cm="1">
        <f t="array" ref="BE5">INDEX(_xlfn.ANCHORARRAY(_xlfn.XLOOKUP($C5,'-ref_Distribution'!$B$146:$B$150,'-ref_Distribution'!$G$146:$G$150)),RIGHT(BE$1,2))</f>
        <v>135</v>
      </c>
      <c r="BF5" s="16" cm="1">
        <f t="array" ref="BF5">INDEX(_xlfn.ANCHORARRAY(_xlfn.XLOOKUP($C5,'-ref_Distribution'!$B$146:$B$150,'-ref_Distribution'!$G$146:$G$150)),RIGHT(BF$1,2))</f>
        <v>142</v>
      </c>
      <c r="BG5" s="16" cm="1">
        <f t="array" ref="BG5">INDEX(_xlfn.ANCHORARRAY(_xlfn.XLOOKUP($C5,'-ref_Distribution'!$B$146:$B$150,'-ref_Distribution'!$G$146:$G$150)),RIGHT(BG$1,2))</f>
        <v>144</v>
      </c>
      <c r="BH5" s="16" cm="1">
        <f t="array" ref="BH5">INDEX(_xlfn.ANCHORARRAY(_xlfn.XLOOKUP($C5,'-ref_Distribution'!$B$146:$B$150,'-ref_Distribution'!$G$146:$G$150)),RIGHT(BH$1,2))</f>
        <v>142</v>
      </c>
      <c r="BI5" s="16" cm="1">
        <f t="array" ref="BI5">INDEX(_xlfn.ANCHORARRAY(_xlfn.XLOOKUP($C5,'-ref_Distribution'!$B$146:$B$150,'-ref_Distribution'!$G$146:$G$150)),RIGHT(BI$1,2))</f>
        <v>135</v>
      </c>
      <c r="BJ5" s="16" cm="1">
        <f t="array" ref="BJ5">INDEX(_xlfn.ANCHORARRAY(_xlfn.XLOOKUP($C5,'-ref_Distribution'!$B$146:$B$150,'-ref_Distribution'!$G$146:$G$150)),RIGHT(BJ$1,2))</f>
        <v>125</v>
      </c>
      <c r="BK5" s="16" cm="1">
        <f t="array" ref="BK5">INDEX(_xlfn.ANCHORARRAY(_xlfn.XLOOKUP($C5,'-ref_Distribution'!$B$146:$B$150,'-ref_Distribution'!$G$146:$G$150)),RIGHT(BK$1,2))</f>
        <v>111</v>
      </c>
      <c r="BL5" s="16" cm="1">
        <f t="array" ref="BL5">INDEX(_xlfn.ANCHORARRAY(_xlfn.XLOOKUP($C5,'-ref_Distribution'!$B$146:$B$150,'-ref_Distribution'!$G$146:$G$150)),RIGHT(BL$1,2))</f>
        <v>4</v>
      </c>
      <c r="BM5" s="16" cm="1">
        <f t="array" ref="BM5">INDEX(_xlfn.ANCHORARRAY(_xlfn.XLOOKUP($C5,'-ref_Distribution'!$B$146:$B$150,'-ref_Distribution'!$G$146:$G$150)),RIGHT(BM$1,2))</f>
        <v>6</v>
      </c>
      <c r="BN5" s="16" cm="1">
        <f t="array" ref="BN5">INDEX(_xlfn.ANCHORARRAY(_xlfn.XLOOKUP($C5,'-ref_Distribution'!$B$146:$B$150,'-ref_Distribution'!$G$146:$G$150)),RIGHT(BN$1,2))</f>
        <v>9</v>
      </c>
      <c r="BO5" s="16" cm="1">
        <f t="array" ref="BO5">INDEX(_xlfn.ANCHORARRAY(_xlfn.XLOOKUP($C5,'-ref_Distribution'!$B$146:$B$150,'-ref_Distribution'!$G$146:$G$150)),RIGHT(BO$1,2))</f>
        <v>14</v>
      </c>
      <c r="BP5" s="16" cm="1">
        <f t="array" ref="BP5">INDEX(_xlfn.ANCHORARRAY(_xlfn.XLOOKUP($C5,'-ref_Distribution'!$B$146:$B$150,'-ref_Distribution'!$G$146:$G$150)),RIGHT(BP$1,2))</f>
        <v>20</v>
      </c>
      <c r="BQ5" s="16" cm="1">
        <f t="array" ref="BQ5">INDEX(_xlfn.ANCHORARRAY(_xlfn.XLOOKUP($C5,'-ref_Distribution'!$B$146:$B$150,'-ref_Distribution'!$G$146:$G$150)),RIGHT(BQ$1,2))</f>
        <v>28</v>
      </c>
      <c r="BR5" s="16" cm="1">
        <f t="array" ref="BR5">INDEX(_xlfn.ANCHORARRAY(_xlfn.XLOOKUP($C5,'-ref_Distribution'!$B$146:$B$150,'-ref_Distribution'!$G$146:$G$150)),RIGHT(BR$1,2))</f>
        <v>38</v>
      </c>
      <c r="BS5" s="16" cm="1">
        <f t="array" ref="BS5">INDEX(_xlfn.ANCHORARRAY(_xlfn.XLOOKUP($C5,'-ref_Distribution'!$B$146:$B$150,'-ref_Distribution'!$G$146:$G$150)),RIGHT(BS$1,2))</f>
        <v>51</v>
      </c>
      <c r="BT5" s="16" cm="1">
        <f t="array" ref="BT5">INDEX(_xlfn.ANCHORARRAY(_xlfn.XLOOKUP($C5,'-ref_Distribution'!$B$146:$B$150,'-ref_Distribution'!$G$146:$G$150)),RIGHT(BT$1,2))</f>
        <v>65</v>
      </c>
      <c r="BU5" s="16" cm="1">
        <f t="array" ref="BU5">INDEX(_xlfn.ANCHORARRAY(_xlfn.XLOOKUP($C5,'-ref_Distribution'!$B$146:$B$150,'-ref_Distribution'!$G$146:$G$150)),RIGHT(BU$1,2))</f>
        <v>80</v>
      </c>
      <c r="BV5" s="16" cm="1">
        <f t="array" ref="BV5">INDEX(_xlfn.ANCHORARRAY(_xlfn.XLOOKUP($C5,'-ref_Distribution'!$B$146:$B$150,'-ref_Distribution'!$G$146:$G$150)),RIGHT(BV$1,2))</f>
        <v>96</v>
      </c>
      <c r="BW5" s="16" cm="1">
        <f t="array" ref="BW5">INDEX(_xlfn.ANCHORARRAY(_xlfn.XLOOKUP($C5,'-ref_Distribution'!$B$146:$B$150,'-ref_Distribution'!$G$146:$G$150)),RIGHT(BW$1,2))</f>
        <v>111</v>
      </c>
      <c r="BX5" s="16" cm="1">
        <f t="array" ref="BX5">INDEX(_xlfn.ANCHORARRAY(_xlfn.XLOOKUP($C5,'-ref_Distribution'!$B$146:$B$150,'-ref_Distribution'!$G$146:$G$150)),RIGHT(BX$1,2))</f>
        <v>125</v>
      </c>
      <c r="BY5" s="16" cm="1">
        <f t="array" ref="BY5">INDEX(_xlfn.ANCHORARRAY(_xlfn.XLOOKUP($C5,'-ref_Distribution'!$B$146:$B$150,'-ref_Distribution'!$G$146:$G$150)),RIGHT(BY$1,2))</f>
        <v>135</v>
      </c>
      <c r="BZ5" s="16" cm="1">
        <f t="array" ref="BZ5">INDEX(_xlfn.ANCHORARRAY(_xlfn.XLOOKUP($C5,'-ref_Distribution'!$B$146:$B$150,'-ref_Distribution'!$G$146:$G$150)),RIGHT(BZ$1,2))</f>
        <v>142</v>
      </c>
      <c r="CA5" s="16" cm="1">
        <f t="array" ref="CA5">INDEX(_xlfn.ANCHORARRAY(_xlfn.XLOOKUP($C5,'-ref_Distribution'!$B$146:$B$150,'-ref_Distribution'!$G$146:$G$150)),RIGHT(CA$1,2))</f>
        <v>144</v>
      </c>
      <c r="CB5" s="16" cm="1">
        <f t="array" ref="CB5">INDEX(_xlfn.ANCHORARRAY(_xlfn.XLOOKUP($C5,'-ref_Distribution'!$B$146:$B$150,'-ref_Distribution'!$G$146:$G$150)),RIGHT(CB$1,2))</f>
        <v>142</v>
      </c>
      <c r="CC5" s="16" cm="1">
        <f t="array" ref="CC5">INDEX(_xlfn.ANCHORARRAY(_xlfn.XLOOKUP($C5,'-ref_Distribution'!$B$146:$B$150,'-ref_Distribution'!$G$146:$G$150)),RIGHT(CC$1,2))</f>
        <v>135</v>
      </c>
      <c r="CD5" s="16" cm="1">
        <f t="array" ref="CD5">INDEX(_xlfn.ANCHORARRAY(_xlfn.XLOOKUP($C5,'-ref_Distribution'!$B$146:$B$150,'-ref_Distribution'!$G$146:$G$150)),RIGHT(CD$1,2))</f>
        <v>125</v>
      </c>
      <c r="CE5" s="16" cm="1">
        <f t="array" ref="CE5">INDEX(_xlfn.ANCHORARRAY(_xlfn.XLOOKUP($C5,'-ref_Distribution'!$B$146:$B$150,'-ref_Distribution'!$G$146:$G$150)),RIGHT(CE$1,2))</f>
        <v>111</v>
      </c>
    </row>
    <row r="6" spans="1:83" customFormat="1" x14ac:dyDescent="0.2">
      <c r="A6" s="16">
        <v>300021</v>
      </c>
      <c r="B6" s="16" t="s">
        <v>418</v>
      </c>
      <c r="C6" s="16">
        <v>1</v>
      </c>
      <c r="D6" s="16" cm="1">
        <f t="array" ref="D6">INDEX(_xlfn.ANCHORARRAY(_xlfn.XLOOKUP($C6,'-ref_Distribution'!$B$146:$B$150,'-ref_Distribution'!$G$146:$G$150)),RIGHT(D$1,2))</f>
        <v>337</v>
      </c>
      <c r="E6" s="16" cm="1">
        <f t="array" ref="E6">INDEX(_xlfn.ANCHORARRAY(_xlfn.XLOOKUP($C6,'-ref_Distribution'!$B$146:$B$150,'-ref_Distribution'!$G$146:$G$150)),RIGHT(E$1,2))</f>
        <v>364</v>
      </c>
      <c r="F6" s="16" cm="1">
        <f t="array" ref="F6">INDEX(_xlfn.ANCHORARRAY(_xlfn.XLOOKUP($C6,'-ref_Distribution'!$B$146:$B$150,'-ref_Distribution'!$G$146:$G$150)),RIGHT(F$1,2))</f>
        <v>386</v>
      </c>
      <c r="G6" s="16" cm="1">
        <f t="array" ref="G6">INDEX(_xlfn.ANCHORARRAY(_xlfn.XLOOKUP($C6,'-ref_Distribution'!$B$146:$B$150,'-ref_Distribution'!$G$146:$G$150)),RIGHT(G$1,2))</f>
        <v>403</v>
      </c>
      <c r="H6" s="16" cm="1">
        <f t="array" ref="H6">INDEX(_xlfn.ANCHORARRAY(_xlfn.XLOOKUP($C6,'-ref_Distribution'!$B$146:$B$150,'-ref_Distribution'!$G$146:$G$150)),RIGHT(H$1,2))</f>
        <v>414</v>
      </c>
      <c r="I6" s="16" cm="1">
        <f t="array" ref="I6">INDEX(_xlfn.ANCHORARRAY(_xlfn.XLOOKUP($C6,'-ref_Distribution'!$B$146:$B$150,'-ref_Distribution'!$G$146:$G$150)),RIGHT(I$1,2))</f>
        <v>417</v>
      </c>
      <c r="J6" s="16" cm="1">
        <f t="array" ref="J6">INDEX(_xlfn.ANCHORARRAY(_xlfn.XLOOKUP($C6,'-ref_Distribution'!$B$146:$B$150,'-ref_Distribution'!$G$146:$G$150)),RIGHT(J$1,2))</f>
        <v>414</v>
      </c>
      <c r="K6" s="16" cm="1">
        <f t="array" ref="K6">INDEX(_xlfn.ANCHORARRAY(_xlfn.XLOOKUP($C6,'-ref_Distribution'!$B$146:$B$150,'-ref_Distribution'!$G$146:$G$150)),RIGHT(K$1,2))</f>
        <v>403</v>
      </c>
      <c r="L6" s="16" cm="1">
        <f t="array" ref="L6">INDEX(_xlfn.ANCHORARRAY(_xlfn.XLOOKUP($C6,'-ref_Distribution'!$B$146:$B$150,'-ref_Distribution'!$G$146:$G$150)),RIGHT(L$1,2))</f>
        <v>386</v>
      </c>
      <c r="M6" s="16" cm="1">
        <f t="array" ref="M6">INDEX(_xlfn.ANCHORARRAY(_xlfn.XLOOKUP($C6,'-ref_Distribution'!$B$146:$B$150,'-ref_Distribution'!$G$146:$G$150)),RIGHT(M$1,2))</f>
        <v>364</v>
      </c>
      <c r="N6" s="16" cm="1">
        <f t="array" ref="N6">INDEX(_xlfn.ANCHORARRAY(_xlfn.XLOOKUP($C6,'-ref_Distribution'!$B$146:$B$150,'-ref_Distribution'!$G$146:$G$150)),RIGHT(N$1,2))</f>
        <v>337</v>
      </c>
      <c r="O6" s="16" cm="1">
        <f t="array" ref="O6">INDEX(_xlfn.ANCHORARRAY(_xlfn.XLOOKUP($C6,'-ref_Distribution'!$B$146:$B$150,'-ref_Distribution'!$G$146:$G$150)),RIGHT(O$1,2))</f>
        <v>307</v>
      </c>
      <c r="P6" s="16" cm="1">
        <f t="array" ref="P6">INDEX(_xlfn.ANCHORARRAY(_xlfn.XLOOKUP($C6,'-ref_Distribution'!$B$146:$B$150,'-ref_Distribution'!$G$146:$G$150)),RIGHT(P$1,2))</f>
        <v>274</v>
      </c>
      <c r="Q6" s="16" cm="1">
        <f t="array" ref="Q6">INDEX(_xlfn.ANCHORARRAY(_xlfn.XLOOKUP($C6,'-ref_Distribution'!$B$146:$B$150,'-ref_Distribution'!$G$146:$G$150)),RIGHT(Q$1,2))</f>
        <v>241</v>
      </c>
      <c r="R6" s="16" cm="1">
        <f t="array" ref="R6">INDEX(_xlfn.ANCHORARRAY(_xlfn.XLOOKUP($C6,'-ref_Distribution'!$B$146:$B$150,'-ref_Distribution'!$G$146:$G$150)),RIGHT(R$1,2))</f>
        <v>209</v>
      </c>
      <c r="S6" s="16" cm="1">
        <f t="array" ref="S6">INDEX(_xlfn.ANCHORARRAY(_xlfn.XLOOKUP($C6,'-ref_Distribution'!$B$146:$B$150,'-ref_Distribution'!$G$146:$G$150)),RIGHT(S$1,2))</f>
        <v>178</v>
      </c>
      <c r="T6" s="16" cm="1">
        <f t="array" ref="T6">INDEX(_xlfn.ANCHORARRAY(_xlfn.XLOOKUP($C6,'-ref_Distribution'!$B$146:$B$150,'-ref_Distribution'!$G$146:$G$150)),RIGHT(T$1,2))</f>
        <v>148</v>
      </c>
      <c r="U6" s="16" cm="1">
        <f t="array" ref="U6">INDEX(_xlfn.ANCHORARRAY(_xlfn.XLOOKUP($C6,'-ref_Distribution'!$B$146:$B$150,'-ref_Distribution'!$G$146:$G$150)),RIGHT(U$1,2))</f>
        <v>122</v>
      </c>
      <c r="V6" s="16" cm="1">
        <f t="array" ref="V6">INDEX(_xlfn.ANCHORARRAY(_xlfn.XLOOKUP($C6,'-ref_Distribution'!$B$146:$B$150,'-ref_Distribution'!$G$146:$G$150)),RIGHT(V$1,2))</f>
        <v>98</v>
      </c>
      <c r="W6" s="16" cm="1">
        <f t="array" ref="W6">INDEX(_xlfn.ANCHORARRAY(_xlfn.XLOOKUP($C6,'-ref_Distribution'!$B$146:$B$150,'-ref_Distribution'!$G$146:$G$150)),RIGHT(W$1,2))</f>
        <v>78</v>
      </c>
      <c r="X6" s="16" cm="1">
        <f t="array" ref="X6">INDEX(_xlfn.ANCHORARRAY(_xlfn.XLOOKUP($C6,'-ref_Distribution'!$B$146:$B$150,'-ref_Distribution'!$G$146:$G$150)),RIGHT(X$1,2))</f>
        <v>337</v>
      </c>
      <c r="Y6" s="16" cm="1">
        <f t="array" ref="Y6">INDEX(_xlfn.ANCHORARRAY(_xlfn.XLOOKUP($C6,'-ref_Distribution'!$B$146:$B$150,'-ref_Distribution'!$G$146:$G$150)),RIGHT(Y$1,2))</f>
        <v>364</v>
      </c>
      <c r="Z6" s="16" cm="1">
        <f t="array" ref="Z6">INDEX(_xlfn.ANCHORARRAY(_xlfn.XLOOKUP($C6,'-ref_Distribution'!$B$146:$B$150,'-ref_Distribution'!$G$146:$G$150)),RIGHT(Z$1,2))</f>
        <v>386</v>
      </c>
      <c r="AA6" s="16" cm="1">
        <f t="array" ref="AA6">INDEX(_xlfn.ANCHORARRAY(_xlfn.XLOOKUP($C6,'-ref_Distribution'!$B$146:$B$150,'-ref_Distribution'!$G$146:$G$150)),RIGHT(AA$1,2))</f>
        <v>403</v>
      </c>
      <c r="AB6" s="16" cm="1">
        <f t="array" ref="AB6">INDEX(_xlfn.ANCHORARRAY(_xlfn.XLOOKUP($C6,'-ref_Distribution'!$B$146:$B$150,'-ref_Distribution'!$G$146:$G$150)),RIGHT(AB$1,2))</f>
        <v>414</v>
      </c>
      <c r="AC6" s="16" cm="1">
        <f t="array" ref="AC6">INDEX(_xlfn.ANCHORARRAY(_xlfn.XLOOKUP($C6,'-ref_Distribution'!$B$146:$B$150,'-ref_Distribution'!$G$146:$G$150)),RIGHT(AC$1,2))</f>
        <v>417</v>
      </c>
      <c r="AD6" s="16" cm="1">
        <f t="array" ref="AD6">INDEX(_xlfn.ANCHORARRAY(_xlfn.XLOOKUP($C6,'-ref_Distribution'!$B$146:$B$150,'-ref_Distribution'!$G$146:$G$150)),RIGHT(AD$1,2))</f>
        <v>414</v>
      </c>
      <c r="AE6" s="16" cm="1">
        <f t="array" ref="AE6">INDEX(_xlfn.ANCHORARRAY(_xlfn.XLOOKUP($C6,'-ref_Distribution'!$B$146:$B$150,'-ref_Distribution'!$G$146:$G$150)),RIGHT(AE$1,2))</f>
        <v>403</v>
      </c>
      <c r="AF6" s="16" cm="1">
        <f t="array" ref="AF6">INDEX(_xlfn.ANCHORARRAY(_xlfn.XLOOKUP($C6,'-ref_Distribution'!$B$146:$B$150,'-ref_Distribution'!$G$146:$G$150)),RIGHT(AF$1,2))</f>
        <v>386</v>
      </c>
      <c r="AG6" s="16" cm="1">
        <f t="array" ref="AG6">INDEX(_xlfn.ANCHORARRAY(_xlfn.XLOOKUP($C6,'-ref_Distribution'!$B$146:$B$150,'-ref_Distribution'!$G$146:$G$150)),RIGHT(AG$1,2))</f>
        <v>364</v>
      </c>
      <c r="AH6" s="16" cm="1">
        <f t="array" ref="AH6">INDEX(_xlfn.ANCHORARRAY(_xlfn.XLOOKUP($C6,'-ref_Distribution'!$B$146:$B$150,'-ref_Distribution'!$G$146:$G$150)),RIGHT(AH$1,2))</f>
        <v>337</v>
      </c>
      <c r="AI6" s="16" cm="1">
        <f t="array" ref="AI6">INDEX(_xlfn.ANCHORARRAY(_xlfn.XLOOKUP($C6,'-ref_Distribution'!$B$146:$B$150,'-ref_Distribution'!$G$146:$G$150)),RIGHT(AI$1,2))</f>
        <v>307</v>
      </c>
      <c r="AJ6" s="16" cm="1">
        <f t="array" ref="AJ6">INDEX(_xlfn.ANCHORARRAY(_xlfn.XLOOKUP($C6,'-ref_Distribution'!$B$146:$B$150,'-ref_Distribution'!$G$146:$G$150)),RIGHT(AJ$1,2))</f>
        <v>274</v>
      </c>
      <c r="AK6" s="16" cm="1">
        <f t="array" ref="AK6">INDEX(_xlfn.ANCHORARRAY(_xlfn.XLOOKUP($C6,'-ref_Distribution'!$B$146:$B$150,'-ref_Distribution'!$G$146:$G$150)),RIGHT(AK$1,2))</f>
        <v>241</v>
      </c>
      <c r="AL6" s="16" cm="1">
        <f t="array" ref="AL6">INDEX(_xlfn.ANCHORARRAY(_xlfn.XLOOKUP($C6,'-ref_Distribution'!$B$146:$B$150,'-ref_Distribution'!$G$146:$G$150)),RIGHT(AL$1,2))</f>
        <v>209</v>
      </c>
      <c r="AM6" s="16" cm="1">
        <f t="array" ref="AM6">INDEX(_xlfn.ANCHORARRAY(_xlfn.XLOOKUP($C6,'-ref_Distribution'!$B$146:$B$150,'-ref_Distribution'!$G$146:$G$150)),RIGHT(AM$1,2))</f>
        <v>178</v>
      </c>
      <c r="AN6" s="16" cm="1">
        <f t="array" ref="AN6">INDEX(_xlfn.ANCHORARRAY(_xlfn.XLOOKUP($C6,'-ref_Distribution'!$B$146:$B$150,'-ref_Distribution'!$G$146:$G$150)),RIGHT(AN$1,2))</f>
        <v>148</v>
      </c>
      <c r="AO6" s="16" cm="1">
        <f t="array" ref="AO6">INDEX(_xlfn.ANCHORARRAY(_xlfn.XLOOKUP($C6,'-ref_Distribution'!$B$146:$B$150,'-ref_Distribution'!$G$146:$G$150)),RIGHT(AO$1,2))</f>
        <v>122</v>
      </c>
      <c r="AP6" s="16" cm="1">
        <f t="array" ref="AP6">INDEX(_xlfn.ANCHORARRAY(_xlfn.XLOOKUP($C6,'-ref_Distribution'!$B$146:$B$150,'-ref_Distribution'!$G$146:$G$150)),RIGHT(AP$1,2))</f>
        <v>98</v>
      </c>
      <c r="AQ6" s="16" cm="1">
        <f t="array" ref="AQ6">INDEX(_xlfn.ANCHORARRAY(_xlfn.XLOOKUP($C6,'-ref_Distribution'!$B$146:$B$150,'-ref_Distribution'!$G$146:$G$150)),RIGHT(AQ$1,2))</f>
        <v>78</v>
      </c>
      <c r="AR6" s="16" cm="1">
        <f t="array" ref="AR6">INDEX(_xlfn.ANCHORARRAY(_xlfn.XLOOKUP($C6,'-ref_Distribution'!$B$146:$B$150,'-ref_Distribution'!$G$146:$G$150)),RIGHT(AR$1,2))</f>
        <v>337</v>
      </c>
      <c r="AS6" s="16" cm="1">
        <f t="array" ref="AS6">INDEX(_xlfn.ANCHORARRAY(_xlfn.XLOOKUP($C6,'-ref_Distribution'!$B$146:$B$150,'-ref_Distribution'!$G$146:$G$150)),RIGHT(AS$1,2))</f>
        <v>364</v>
      </c>
      <c r="AT6" s="16" cm="1">
        <f t="array" ref="AT6">INDEX(_xlfn.ANCHORARRAY(_xlfn.XLOOKUP($C6,'-ref_Distribution'!$B$146:$B$150,'-ref_Distribution'!$G$146:$G$150)),RIGHT(AT$1,2))</f>
        <v>386</v>
      </c>
      <c r="AU6" s="16" cm="1">
        <f t="array" ref="AU6">INDEX(_xlfn.ANCHORARRAY(_xlfn.XLOOKUP($C6,'-ref_Distribution'!$B$146:$B$150,'-ref_Distribution'!$G$146:$G$150)),RIGHT(AU$1,2))</f>
        <v>403</v>
      </c>
      <c r="AV6" s="16" cm="1">
        <f t="array" ref="AV6">INDEX(_xlfn.ANCHORARRAY(_xlfn.XLOOKUP($C6,'-ref_Distribution'!$B$146:$B$150,'-ref_Distribution'!$G$146:$G$150)),RIGHT(AV$1,2))</f>
        <v>414</v>
      </c>
      <c r="AW6" s="16" cm="1">
        <f t="array" ref="AW6">INDEX(_xlfn.ANCHORARRAY(_xlfn.XLOOKUP($C6,'-ref_Distribution'!$B$146:$B$150,'-ref_Distribution'!$G$146:$G$150)),RIGHT(AW$1,2))</f>
        <v>417</v>
      </c>
      <c r="AX6" s="16" cm="1">
        <f t="array" ref="AX6">INDEX(_xlfn.ANCHORARRAY(_xlfn.XLOOKUP($C6,'-ref_Distribution'!$B$146:$B$150,'-ref_Distribution'!$G$146:$G$150)),RIGHT(AX$1,2))</f>
        <v>414</v>
      </c>
      <c r="AY6" s="16" cm="1">
        <f t="array" ref="AY6">INDEX(_xlfn.ANCHORARRAY(_xlfn.XLOOKUP($C6,'-ref_Distribution'!$B$146:$B$150,'-ref_Distribution'!$G$146:$G$150)),RIGHT(AY$1,2))</f>
        <v>403</v>
      </c>
      <c r="AZ6" s="16" cm="1">
        <f t="array" ref="AZ6">INDEX(_xlfn.ANCHORARRAY(_xlfn.XLOOKUP($C6,'-ref_Distribution'!$B$146:$B$150,'-ref_Distribution'!$G$146:$G$150)),RIGHT(AZ$1,2))</f>
        <v>386</v>
      </c>
      <c r="BA6" s="16" cm="1">
        <f t="array" ref="BA6">INDEX(_xlfn.ANCHORARRAY(_xlfn.XLOOKUP($C6,'-ref_Distribution'!$B$146:$B$150,'-ref_Distribution'!$G$146:$G$150)),RIGHT(BA$1,2))</f>
        <v>364</v>
      </c>
      <c r="BB6" s="16" cm="1">
        <f t="array" ref="BB6">INDEX(_xlfn.ANCHORARRAY(_xlfn.XLOOKUP($C6,'-ref_Distribution'!$B$146:$B$150,'-ref_Distribution'!$G$146:$G$150)),RIGHT(BB$1,2))</f>
        <v>337</v>
      </c>
      <c r="BC6" s="16" cm="1">
        <f t="array" ref="BC6">INDEX(_xlfn.ANCHORARRAY(_xlfn.XLOOKUP($C6,'-ref_Distribution'!$B$146:$B$150,'-ref_Distribution'!$G$146:$G$150)),RIGHT(BC$1,2))</f>
        <v>307</v>
      </c>
      <c r="BD6" s="16" cm="1">
        <f t="array" ref="BD6">INDEX(_xlfn.ANCHORARRAY(_xlfn.XLOOKUP($C6,'-ref_Distribution'!$B$146:$B$150,'-ref_Distribution'!$G$146:$G$150)),RIGHT(BD$1,2))</f>
        <v>274</v>
      </c>
      <c r="BE6" s="16" cm="1">
        <f t="array" ref="BE6">INDEX(_xlfn.ANCHORARRAY(_xlfn.XLOOKUP($C6,'-ref_Distribution'!$B$146:$B$150,'-ref_Distribution'!$G$146:$G$150)),RIGHT(BE$1,2))</f>
        <v>241</v>
      </c>
      <c r="BF6" s="16" cm="1">
        <f t="array" ref="BF6">INDEX(_xlfn.ANCHORARRAY(_xlfn.XLOOKUP($C6,'-ref_Distribution'!$B$146:$B$150,'-ref_Distribution'!$G$146:$G$150)),RIGHT(BF$1,2))</f>
        <v>209</v>
      </c>
      <c r="BG6" s="16" cm="1">
        <f t="array" ref="BG6">INDEX(_xlfn.ANCHORARRAY(_xlfn.XLOOKUP($C6,'-ref_Distribution'!$B$146:$B$150,'-ref_Distribution'!$G$146:$G$150)),RIGHT(BG$1,2))</f>
        <v>178</v>
      </c>
      <c r="BH6" s="16" cm="1">
        <f t="array" ref="BH6">INDEX(_xlfn.ANCHORARRAY(_xlfn.XLOOKUP($C6,'-ref_Distribution'!$B$146:$B$150,'-ref_Distribution'!$G$146:$G$150)),RIGHT(BH$1,2))</f>
        <v>148</v>
      </c>
      <c r="BI6" s="16" cm="1">
        <f t="array" ref="BI6">INDEX(_xlfn.ANCHORARRAY(_xlfn.XLOOKUP($C6,'-ref_Distribution'!$B$146:$B$150,'-ref_Distribution'!$G$146:$G$150)),RIGHT(BI$1,2))</f>
        <v>122</v>
      </c>
      <c r="BJ6" s="16" cm="1">
        <f t="array" ref="BJ6">INDEX(_xlfn.ANCHORARRAY(_xlfn.XLOOKUP($C6,'-ref_Distribution'!$B$146:$B$150,'-ref_Distribution'!$G$146:$G$150)),RIGHT(BJ$1,2))</f>
        <v>98</v>
      </c>
      <c r="BK6" s="16" cm="1">
        <f t="array" ref="BK6">INDEX(_xlfn.ANCHORARRAY(_xlfn.XLOOKUP($C6,'-ref_Distribution'!$B$146:$B$150,'-ref_Distribution'!$G$146:$G$150)),RIGHT(BK$1,2))</f>
        <v>78</v>
      </c>
      <c r="BL6" s="16" cm="1">
        <f t="array" ref="BL6">INDEX(_xlfn.ANCHORARRAY(_xlfn.XLOOKUP($C6,'-ref_Distribution'!$B$146:$B$150,'-ref_Distribution'!$G$146:$G$150)),RIGHT(BL$1,2))</f>
        <v>337</v>
      </c>
      <c r="BM6" s="16" cm="1">
        <f t="array" ref="BM6">INDEX(_xlfn.ANCHORARRAY(_xlfn.XLOOKUP($C6,'-ref_Distribution'!$B$146:$B$150,'-ref_Distribution'!$G$146:$G$150)),RIGHT(BM$1,2))</f>
        <v>364</v>
      </c>
      <c r="BN6" s="16" cm="1">
        <f t="array" ref="BN6">INDEX(_xlfn.ANCHORARRAY(_xlfn.XLOOKUP($C6,'-ref_Distribution'!$B$146:$B$150,'-ref_Distribution'!$G$146:$G$150)),RIGHT(BN$1,2))</f>
        <v>386</v>
      </c>
      <c r="BO6" s="16" cm="1">
        <f t="array" ref="BO6">INDEX(_xlfn.ANCHORARRAY(_xlfn.XLOOKUP($C6,'-ref_Distribution'!$B$146:$B$150,'-ref_Distribution'!$G$146:$G$150)),RIGHT(BO$1,2))</f>
        <v>403</v>
      </c>
      <c r="BP6" s="16" cm="1">
        <f t="array" ref="BP6">INDEX(_xlfn.ANCHORARRAY(_xlfn.XLOOKUP($C6,'-ref_Distribution'!$B$146:$B$150,'-ref_Distribution'!$G$146:$G$150)),RIGHT(BP$1,2))</f>
        <v>414</v>
      </c>
      <c r="BQ6" s="16" cm="1">
        <f t="array" ref="BQ6">INDEX(_xlfn.ANCHORARRAY(_xlfn.XLOOKUP($C6,'-ref_Distribution'!$B$146:$B$150,'-ref_Distribution'!$G$146:$G$150)),RIGHT(BQ$1,2))</f>
        <v>417</v>
      </c>
      <c r="BR6" s="16" cm="1">
        <f t="array" ref="BR6">INDEX(_xlfn.ANCHORARRAY(_xlfn.XLOOKUP($C6,'-ref_Distribution'!$B$146:$B$150,'-ref_Distribution'!$G$146:$G$150)),RIGHT(BR$1,2))</f>
        <v>414</v>
      </c>
      <c r="BS6" s="16" cm="1">
        <f t="array" ref="BS6">INDEX(_xlfn.ANCHORARRAY(_xlfn.XLOOKUP($C6,'-ref_Distribution'!$B$146:$B$150,'-ref_Distribution'!$G$146:$G$150)),RIGHT(BS$1,2))</f>
        <v>403</v>
      </c>
      <c r="BT6" s="16" cm="1">
        <f t="array" ref="BT6">INDEX(_xlfn.ANCHORARRAY(_xlfn.XLOOKUP($C6,'-ref_Distribution'!$B$146:$B$150,'-ref_Distribution'!$G$146:$G$150)),RIGHT(BT$1,2))</f>
        <v>386</v>
      </c>
      <c r="BU6" s="16" cm="1">
        <f t="array" ref="BU6">INDEX(_xlfn.ANCHORARRAY(_xlfn.XLOOKUP($C6,'-ref_Distribution'!$B$146:$B$150,'-ref_Distribution'!$G$146:$G$150)),RIGHT(BU$1,2))</f>
        <v>364</v>
      </c>
      <c r="BV6" s="16" cm="1">
        <f t="array" ref="BV6">INDEX(_xlfn.ANCHORARRAY(_xlfn.XLOOKUP($C6,'-ref_Distribution'!$B$146:$B$150,'-ref_Distribution'!$G$146:$G$150)),RIGHT(BV$1,2))</f>
        <v>337</v>
      </c>
      <c r="BW6" s="16" cm="1">
        <f t="array" ref="BW6">INDEX(_xlfn.ANCHORARRAY(_xlfn.XLOOKUP($C6,'-ref_Distribution'!$B$146:$B$150,'-ref_Distribution'!$G$146:$G$150)),RIGHT(BW$1,2))</f>
        <v>307</v>
      </c>
      <c r="BX6" s="16" cm="1">
        <f t="array" ref="BX6">INDEX(_xlfn.ANCHORARRAY(_xlfn.XLOOKUP($C6,'-ref_Distribution'!$B$146:$B$150,'-ref_Distribution'!$G$146:$G$150)),RIGHT(BX$1,2))</f>
        <v>274</v>
      </c>
      <c r="BY6" s="16" cm="1">
        <f t="array" ref="BY6">INDEX(_xlfn.ANCHORARRAY(_xlfn.XLOOKUP($C6,'-ref_Distribution'!$B$146:$B$150,'-ref_Distribution'!$G$146:$G$150)),RIGHT(BY$1,2))</f>
        <v>241</v>
      </c>
      <c r="BZ6" s="16" cm="1">
        <f t="array" ref="BZ6">INDEX(_xlfn.ANCHORARRAY(_xlfn.XLOOKUP($C6,'-ref_Distribution'!$B$146:$B$150,'-ref_Distribution'!$G$146:$G$150)),RIGHT(BZ$1,2))</f>
        <v>209</v>
      </c>
      <c r="CA6" s="16" cm="1">
        <f t="array" ref="CA6">INDEX(_xlfn.ANCHORARRAY(_xlfn.XLOOKUP($C6,'-ref_Distribution'!$B$146:$B$150,'-ref_Distribution'!$G$146:$G$150)),RIGHT(CA$1,2))</f>
        <v>178</v>
      </c>
      <c r="CB6" s="16" cm="1">
        <f t="array" ref="CB6">INDEX(_xlfn.ANCHORARRAY(_xlfn.XLOOKUP($C6,'-ref_Distribution'!$B$146:$B$150,'-ref_Distribution'!$G$146:$G$150)),RIGHT(CB$1,2))</f>
        <v>148</v>
      </c>
      <c r="CC6" s="16" cm="1">
        <f t="array" ref="CC6">INDEX(_xlfn.ANCHORARRAY(_xlfn.XLOOKUP($C6,'-ref_Distribution'!$B$146:$B$150,'-ref_Distribution'!$G$146:$G$150)),RIGHT(CC$1,2))</f>
        <v>122</v>
      </c>
      <c r="CD6" s="16" cm="1">
        <f t="array" ref="CD6">INDEX(_xlfn.ANCHORARRAY(_xlfn.XLOOKUP($C6,'-ref_Distribution'!$B$146:$B$150,'-ref_Distribution'!$G$146:$G$150)),RIGHT(CD$1,2))</f>
        <v>98</v>
      </c>
      <c r="CE6" s="16" cm="1">
        <f t="array" ref="CE6">INDEX(_xlfn.ANCHORARRAY(_xlfn.XLOOKUP($C6,'-ref_Distribution'!$B$146:$B$150,'-ref_Distribution'!$G$146:$G$150)),RIGHT(CE$1,2))</f>
        <v>78</v>
      </c>
    </row>
    <row r="7" spans="1:83" customFormat="1" x14ac:dyDescent="0.2">
      <c r="A7" s="16">
        <v>300022</v>
      </c>
      <c r="B7" s="16" t="s">
        <v>418</v>
      </c>
      <c r="C7" s="16">
        <v>2</v>
      </c>
      <c r="D7" s="16" cm="1">
        <f t="array" ref="D7">INDEX(_xlfn.ANCHORARRAY(_xlfn.XLOOKUP($C7,'-ref_Distribution'!$B$146:$B$150,'-ref_Distribution'!$G$146:$G$150)),RIGHT(D$1,2))</f>
        <v>75</v>
      </c>
      <c r="E7" s="16" cm="1">
        <f t="array" ref="E7">INDEX(_xlfn.ANCHORARRAY(_xlfn.XLOOKUP($C7,'-ref_Distribution'!$B$146:$B$150,'-ref_Distribution'!$G$146:$G$150)),RIGHT(E$1,2))</f>
        <v>94</v>
      </c>
      <c r="F7" s="16" cm="1">
        <f t="array" ref="F7">INDEX(_xlfn.ANCHORARRAY(_xlfn.XLOOKUP($C7,'-ref_Distribution'!$B$146:$B$150,'-ref_Distribution'!$G$146:$G$150)),RIGHT(F$1,2))</f>
        <v>115</v>
      </c>
      <c r="G7" s="16" cm="1">
        <f t="array" ref="G7">INDEX(_xlfn.ANCHORARRAY(_xlfn.XLOOKUP($C7,'-ref_Distribution'!$B$146:$B$150,'-ref_Distribution'!$G$146:$G$150)),RIGHT(G$1,2))</f>
        <v>137</v>
      </c>
      <c r="H7" s="16" cm="1">
        <f t="array" ref="H7">INDEX(_xlfn.ANCHORARRAY(_xlfn.XLOOKUP($C7,'-ref_Distribution'!$B$146:$B$150,'-ref_Distribution'!$G$146:$G$150)),RIGHT(H$1,2))</f>
        <v>160</v>
      </c>
      <c r="I7" s="16" cm="1">
        <f t="array" ref="I7">INDEX(_xlfn.ANCHORARRAY(_xlfn.XLOOKUP($C7,'-ref_Distribution'!$B$146:$B$150,'-ref_Distribution'!$G$146:$G$150)),RIGHT(I$1,2))</f>
        <v>183</v>
      </c>
      <c r="J7" s="16" cm="1">
        <f t="array" ref="J7">INDEX(_xlfn.ANCHORARRAY(_xlfn.XLOOKUP($C7,'-ref_Distribution'!$B$146:$B$150,'-ref_Distribution'!$G$146:$G$150)),RIGHT(J$1,2))</f>
        <v>203</v>
      </c>
      <c r="K7" s="16" cm="1">
        <f t="array" ref="K7">INDEX(_xlfn.ANCHORARRAY(_xlfn.XLOOKUP($C7,'-ref_Distribution'!$B$146:$B$150,'-ref_Distribution'!$G$146:$G$150)),RIGHT(K$1,2))</f>
        <v>221</v>
      </c>
      <c r="L7" s="16" cm="1">
        <f t="array" ref="L7">INDEX(_xlfn.ANCHORARRAY(_xlfn.XLOOKUP($C7,'-ref_Distribution'!$B$146:$B$150,'-ref_Distribution'!$G$146:$G$150)),RIGHT(L$1,2))</f>
        <v>234</v>
      </c>
      <c r="M7" s="16" cm="1">
        <f t="array" ref="M7">INDEX(_xlfn.ANCHORARRAY(_xlfn.XLOOKUP($C7,'-ref_Distribution'!$B$146:$B$150,'-ref_Distribution'!$G$146:$G$150)),RIGHT(M$1,2))</f>
        <v>243</v>
      </c>
      <c r="N7" s="16" cm="1">
        <f t="array" ref="N7">INDEX(_xlfn.ANCHORARRAY(_xlfn.XLOOKUP($C7,'-ref_Distribution'!$B$146:$B$150,'-ref_Distribution'!$G$146:$G$150)),RIGHT(N$1,2))</f>
        <v>245</v>
      </c>
      <c r="O7" s="16" cm="1">
        <f t="array" ref="O7">INDEX(_xlfn.ANCHORARRAY(_xlfn.XLOOKUP($C7,'-ref_Distribution'!$B$146:$B$150,'-ref_Distribution'!$G$146:$G$150)),RIGHT(O$1,2))</f>
        <v>243</v>
      </c>
      <c r="P7" s="16" cm="1">
        <f t="array" ref="P7">INDEX(_xlfn.ANCHORARRAY(_xlfn.XLOOKUP($C7,'-ref_Distribution'!$B$146:$B$150,'-ref_Distribution'!$G$146:$G$150)),RIGHT(P$1,2))</f>
        <v>234</v>
      </c>
      <c r="Q7" s="16" cm="1">
        <f t="array" ref="Q7">INDEX(_xlfn.ANCHORARRAY(_xlfn.XLOOKUP($C7,'-ref_Distribution'!$B$146:$B$150,'-ref_Distribution'!$G$146:$G$150)),RIGHT(Q$1,2))</f>
        <v>221</v>
      </c>
      <c r="R7" s="16" cm="1">
        <f t="array" ref="R7">INDEX(_xlfn.ANCHORARRAY(_xlfn.XLOOKUP($C7,'-ref_Distribution'!$B$146:$B$150,'-ref_Distribution'!$G$146:$G$150)),RIGHT(R$1,2))</f>
        <v>203</v>
      </c>
      <c r="S7" s="16" cm="1">
        <f t="array" ref="S7">INDEX(_xlfn.ANCHORARRAY(_xlfn.XLOOKUP($C7,'-ref_Distribution'!$B$146:$B$150,'-ref_Distribution'!$G$146:$G$150)),RIGHT(S$1,2))</f>
        <v>183</v>
      </c>
      <c r="T7" s="16" cm="1">
        <f t="array" ref="T7">INDEX(_xlfn.ANCHORARRAY(_xlfn.XLOOKUP($C7,'-ref_Distribution'!$B$146:$B$150,'-ref_Distribution'!$G$146:$G$150)),RIGHT(T$1,2))</f>
        <v>160</v>
      </c>
      <c r="U7" s="16" cm="1">
        <f t="array" ref="U7">INDEX(_xlfn.ANCHORARRAY(_xlfn.XLOOKUP($C7,'-ref_Distribution'!$B$146:$B$150,'-ref_Distribution'!$G$146:$G$150)),RIGHT(U$1,2))</f>
        <v>137</v>
      </c>
      <c r="V7" s="16" cm="1">
        <f t="array" ref="V7">INDEX(_xlfn.ANCHORARRAY(_xlfn.XLOOKUP($C7,'-ref_Distribution'!$B$146:$B$150,'-ref_Distribution'!$G$146:$G$150)),RIGHT(V$1,2))</f>
        <v>115</v>
      </c>
      <c r="W7" s="16" cm="1">
        <f t="array" ref="W7">INDEX(_xlfn.ANCHORARRAY(_xlfn.XLOOKUP($C7,'-ref_Distribution'!$B$146:$B$150,'-ref_Distribution'!$G$146:$G$150)),RIGHT(W$1,2))</f>
        <v>94</v>
      </c>
      <c r="X7" s="16" cm="1">
        <f t="array" ref="X7">INDEX(_xlfn.ANCHORARRAY(_xlfn.XLOOKUP($C7,'-ref_Distribution'!$B$146:$B$150,'-ref_Distribution'!$G$146:$G$150)),RIGHT(X$1,2))</f>
        <v>75</v>
      </c>
      <c r="Y7" s="16" cm="1">
        <f t="array" ref="Y7">INDEX(_xlfn.ANCHORARRAY(_xlfn.XLOOKUP($C7,'-ref_Distribution'!$B$146:$B$150,'-ref_Distribution'!$G$146:$G$150)),RIGHT(Y$1,2))</f>
        <v>94</v>
      </c>
      <c r="Z7" s="16" cm="1">
        <f t="array" ref="Z7">INDEX(_xlfn.ANCHORARRAY(_xlfn.XLOOKUP($C7,'-ref_Distribution'!$B$146:$B$150,'-ref_Distribution'!$G$146:$G$150)),RIGHT(Z$1,2))</f>
        <v>115</v>
      </c>
      <c r="AA7" s="16" cm="1">
        <f t="array" ref="AA7">INDEX(_xlfn.ANCHORARRAY(_xlfn.XLOOKUP($C7,'-ref_Distribution'!$B$146:$B$150,'-ref_Distribution'!$G$146:$G$150)),RIGHT(AA$1,2))</f>
        <v>137</v>
      </c>
      <c r="AB7" s="16" cm="1">
        <f t="array" ref="AB7">INDEX(_xlfn.ANCHORARRAY(_xlfn.XLOOKUP($C7,'-ref_Distribution'!$B$146:$B$150,'-ref_Distribution'!$G$146:$G$150)),RIGHT(AB$1,2))</f>
        <v>160</v>
      </c>
      <c r="AC7" s="16" cm="1">
        <f t="array" ref="AC7">INDEX(_xlfn.ANCHORARRAY(_xlfn.XLOOKUP($C7,'-ref_Distribution'!$B$146:$B$150,'-ref_Distribution'!$G$146:$G$150)),RIGHT(AC$1,2))</f>
        <v>183</v>
      </c>
      <c r="AD7" s="16" cm="1">
        <f t="array" ref="AD7">INDEX(_xlfn.ANCHORARRAY(_xlfn.XLOOKUP($C7,'-ref_Distribution'!$B$146:$B$150,'-ref_Distribution'!$G$146:$G$150)),RIGHT(AD$1,2))</f>
        <v>203</v>
      </c>
      <c r="AE7" s="16" cm="1">
        <f t="array" ref="AE7">INDEX(_xlfn.ANCHORARRAY(_xlfn.XLOOKUP($C7,'-ref_Distribution'!$B$146:$B$150,'-ref_Distribution'!$G$146:$G$150)),RIGHT(AE$1,2))</f>
        <v>221</v>
      </c>
      <c r="AF7" s="16" cm="1">
        <f t="array" ref="AF7">INDEX(_xlfn.ANCHORARRAY(_xlfn.XLOOKUP($C7,'-ref_Distribution'!$B$146:$B$150,'-ref_Distribution'!$G$146:$G$150)),RIGHT(AF$1,2))</f>
        <v>234</v>
      </c>
      <c r="AG7" s="16" cm="1">
        <f t="array" ref="AG7">INDEX(_xlfn.ANCHORARRAY(_xlfn.XLOOKUP($C7,'-ref_Distribution'!$B$146:$B$150,'-ref_Distribution'!$G$146:$G$150)),RIGHT(AG$1,2))</f>
        <v>243</v>
      </c>
      <c r="AH7" s="16" cm="1">
        <f t="array" ref="AH7">INDEX(_xlfn.ANCHORARRAY(_xlfn.XLOOKUP($C7,'-ref_Distribution'!$B$146:$B$150,'-ref_Distribution'!$G$146:$G$150)),RIGHT(AH$1,2))</f>
        <v>245</v>
      </c>
      <c r="AI7" s="16" cm="1">
        <f t="array" ref="AI7">INDEX(_xlfn.ANCHORARRAY(_xlfn.XLOOKUP($C7,'-ref_Distribution'!$B$146:$B$150,'-ref_Distribution'!$G$146:$G$150)),RIGHT(AI$1,2))</f>
        <v>243</v>
      </c>
      <c r="AJ7" s="16" cm="1">
        <f t="array" ref="AJ7">INDEX(_xlfn.ANCHORARRAY(_xlfn.XLOOKUP($C7,'-ref_Distribution'!$B$146:$B$150,'-ref_Distribution'!$G$146:$G$150)),RIGHT(AJ$1,2))</f>
        <v>234</v>
      </c>
      <c r="AK7" s="16" cm="1">
        <f t="array" ref="AK7">INDEX(_xlfn.ANCHORARRAY(_xlfn.XLOOKUP($C7,'-ref_Distribution'!$B$146:$B$150,'-ref_Distribution'!$G$146:$G$150)),RIGHT(AK$1,2))</f>
        <v>221</v>
      </c>
      <c r="AL7" s="16" cm="1">
        <f t="array" ref="AL7">INDEX(_xlfn.ANCHORARRAY(_xlfn.XLOOKUP($C7,'-ref_Distribution'!$B$146:$B$150,'-ref_Distribution'!$G$146:$G$150)),RIGHT(AL$1,2))</f>
        <v>203</v>
      </c>
      <c r="AM7" s="16" cm="1">
        <f t="array" ref="AM7">INDEX(_xlfn.ANCHORARRAY(_xlfn.XLOOKUP($C7,'-ref_Distribution'!$B$146:$B$150,'-ref_Distribution'!$G$146:$G$150)),RIGHT(AM$1,2))</f>
        <v>183</v>
      </c>
      <c r="AN7" s="16" cm="1">
        <f t="array" ref="AN7">INDEX(_xlfn.ANCHORARRAY(_xlfn.XLOOKUP($C7,'-ref_Distribution'!$B$146:$B$150,'-ref_Distribution'!$G$146:$G$150)),RIGHT(AN$1,2))</f>
        <v>160</v>
      </c>
      <c r="AO7" s="16" cm="1">
        <f t="array" ref="AO7">INDEX(_xlfn.ANCHORARRAY(_xlfn.XLOOKUP($C7,'-ref_Distribution'!$B$146:$B$150,'-ref_Distribution'!$G$146:$G$150)),RIGHT(AO$1,2))</f>
        <v>137</v>
      </c>
      <c r="AP7" s="16" cm="1">
        <f t="array" ref="AP7">INDEX(_xlfn.ANCHORARRAY(_xlfn.XLOOKUP($C7,'-ref_Distribution'!$B$146:$B$150,'-ref_Distribution'!$G$146:$G$150)),RIGHT(AP$1,2))</f>
        <v>115</v>
      </c>
      <c r="AQ7" s="16" cm="1">
        <f t="array" ref="AQ7">INDEX(_xlfn.ANCHORARRAY(_xlfn.XLOOKUP($C7,'-ref_Distribution'!$B$146:$B$150,'-ref_Distribution'!$G$146:$G$150)),RIGHT(AQ$1,2))</f>
        <v>94</v>
      </c>
      <c r="AR7" s="16" cm="1">
        <f t="array" ref="AR7">INDEX(_xlfn.ANCHORARRAY(_xlfn.XLOOKUP($C7,'-ref_Distribution'!$B$146:$B$150,'-ref_Distribution'!$G$146:$G$150)),RIGHT(AR$1,2))</f>
        <v>75</v>
      </c>
      <c r="AS7" s="16" cm="1">
        <f t="array" ref="AS7">INDEX(_xlfn.ANCHORARRAY(_xlfn.XLOOKUP($C7,'-ref_Distribution'!$B$146:$B$150,'-ref_Distribution'!$G$146:$G$150)),RIGHT(AS$1,2))</f>
        <v>94</v>
      </c>
      <c r="AT7" s="16" cm="1">
        <f t="array" ref="AT7">INDEX(_xlfn.ANCHORARRAY(_xlfn.XLOOKUP($C7,'-ref_Distribution'!$B$146:$B$150,'-ref_Distribution'!$G$146:$G$150)),RIGHT(AT$1,2))</f>
        <v>115</v>
      </c>
      <c r="AU7" s="16" cm="1">
        <f t="array" ref="AU7">INDEX(_xlfn.ANCHORARRAY(_xlfn.XLOOKUP($C7,'-ref_Distribution'!$B$146:$B$150,'-ref_Distribution'!$G$146:$G$150)),RIGHT(AU$1,2))</f>
        <v>137</v>
      </c>
      <c r="AV7" s="16" cm="1">
        <f t="array" ref="AV7">INDEX(_xlfn.ANCHORARRAY(_xlfn.XLOOKUP($C7,'-ref_Distribution'!$B$146:$B$150,'-ref_Distribution'!$G$146:$G$150)),RIGHT(AV$1,2))</f>
        <v>160</v>
      </c>
      <c r="AW7" s="16" cm="1">
        <f t="array" ref="AW7">INDEX(_xlfn.ANCHORARRAY(_xlfn.XLOOKUP($C7,'-ref_Distribution'!$B$146:$B$150,'-ref_Distribution'!$G$146:$G$150)),RIGHT(AW$1,2))</f>
        <v>183</v>
      </c>
      <c r="AX7" s="16" cm="1">
        <f t="array" ref="AX7">INDEX(_xlfn.ANCHORARRAY(_xlfn.XLOOKUP($C7,'-ref_Distribution'!$B$146:$B$150,'-ref_Distribution'!$G$146:$G$150)),RIGHT(AX$1,2))</f>
        <v>203</v>
      </c>
      <c r="AY7" s="16" cm="1">
        <f t="array" ref="AY7">INDEX(_xlfn.ANCHORARRAY(_xlfn.XLOOKUP($C7,'-ref_Distribution'!$B$146:$B$150,'-ref_Distribution'!$G$146:$G$150)),RIGHT(AY$1,2))</f>
        <v>221</v>
      </c>
      <c r="AZ7" s="16" cm="1">
        <f t="array" ref="AZ7">INDEX(_xlfn.ANCHORARRAY(_xlfn.XLOOKUP($C7,'-ref_Distribution'!$B$146:$B$150,'-ref_Distribution'!$G$146:$G$150)),RIGHT(AZ$1,2))</f>
        <v>234</v>
      </c>
      <c r="BA7" s="16" cm="1">
        <f t="array" ref="BA7">INDEX(_xlfn.ANCHORARRAY(_xlfn.XLOOKUP($C7,'-ref_Distribution'!$B$146:$B$150,'-ref_Distribution'!$G$146:$G$150)),RIGHT(BA$1,2))</f>
        <v>243</v>
      </c>
      <c r="BB7" s="16" cm="1">
        <f t="array" ref="BB7">INDEX(_xlfn.ANCHORARRAY(_xlfn.XLOOKUP($C7,'-ref_Distribution'!$B$146:$B$150,'-ref_Distribution'!$G$146:$G$150)),RIGHT(BB$1,2))</f>
        <v>245</v>
      </c>
      <c r="BC7" s="16" cm="1">
        <f t="array" ref="BC7">INDEX(_xlfn.ANCHORARRAY(_xlfn.XLOOKUP($C7,'-ref_Distribution'!$B$146:$B$150,'-ref_Distribution'!$G$146:$G$150)),RIGHT(BC$1,2))</f>
        <v>243</v>
      </c>
      <c r="BD7" s="16" cm="1">
        <f t="array" ref="BD7">INDEX(_xlfn.ANCHORARRAY(_xlfn.XLOOKUP($C7,'-ref_Distribution'!$B$146:$B$150,'-ref_Distribution'!$G$146:$G$150)),RIGHT(BD$1,2))</f>
        <v>234</v>
      </c>
      <c r="BE7" s="16" cm="1">
        <f t="array" ref="BE7">INDEX(_xlfn.ANCHORARRAY(_xlfn.XLOOKUP($C7,'-ref_Distribution'!$B$146:$B$150,'-ref_Distribution'!$G$146:$G$150)),RIGHT(BE$1,2))</f>
        <v>221</v>
      </c>
      <c r="BF7" s="16" cm="1">
        <f t="array" ref="BF7">INDEX(_xlfn.ANCHORARRAY(_xlfn.XLOOKUP($C7,'-ref_Distribution'!$B$146:$B$150,'-ref_Distribution'!$G$146:$G$150)),RIGHT(BF$1,2))</f>
        <v>203</v>
      </c>
      <c r="BG7" s="16" cm="1">
        <f t="array" ref="BG7">INDEX(_xlfn.ANCHORARRAY(_xlfn.XLOOKUP($C7,'-ref_Distribution'!$B$146:$B$150,'-ref_Distribution'!$G$146:$G$150)),RIGHT(BG$1,2))</f>
        <v>183</v>
      </c>
      <c r="BH7" s="16" cm="1">
        <f t="array" ref="BH7">INDEX(_xlfn.ANCHORARRAY(_xlfn.XLOOKUP($C7,'-ref_Distribution'!$B$146:$B$150,'-ref_Distribution'!$G$146:$G$150)),RIGHT(BH$1,2))</f>
        <v>160</v>
      </c>
      <c r="BI7" s="16" cm="1">
        <f t="array" ref="BI7">INDEX(_xlfn.ANCHORARRAY(_xlfn.XLOOKUP($C7,'-ref_Distribution'!$B$146:$B$150,'-ref_Distribution'!$G$146:$G$150)),RIGHT(BI$1,2))</f>
        <v>137</v>
      </c>
      <c r="BJ7" s="16" cm="1">
        <f t="array" ref="BJ7">INDEX(_xlfn.ANCHORARRAY(_xlfn.XLOOKUP($C7,'-ref_Distribution'!$B$146:$B$150,'-ref_Distribution'!$G$146:$G$150)),RIGHT(BJ$1,2))</f>
        <v>115</v>
      </c>
      <c r="BK7" s="16" cm="1">
        <f t="array" ref="BK7">INDEX(_xlfn.ANCHORARRAY(_xlfn.XLOOKUP($C7,'-ref_Distribution'!$B$146:$B$150,'-ref_Distribution'!$G$146:$G$150)),RIGHT(BK$1,2))</f>
        <v>94</v>
      </c>
      <c r="BL7" s="16" cm="1">
        <f t="array" ref="BL7">INDEX(_xlfn.ANCHORARRAY(_xlfn.XLOOKUP($C7,'-ref_Distribution'!$B$146:$B$150,'-ref_Distribution'!$G$146:$G$150)),RIGHT(BL$1,2))</f>
        <v>75</v>
      </c>
      <c r="BM7" s="16" cm="1">
        <f t="array" ref="BM7">INDEX(_xlfn.ANCHORARRAY(_xlfn.XLOOKUP($C7,'-ref_Distribution'!$B$146:$B$150,'-ref_Distribution'!$G$146:$G$150)),RIGHT(BM$1,2))</f>
        <v>94</v>
      </c>
      <c r="BN7" s="16" cm="1">
        <f t="array" ref="BN7">INDEX(_xlfn.ANCHORARRAY(_xlfn.XLOOKUP($C7,'-ref_Distribution'!$B$146:$B$150,'-ref_Distribution'!$G$146:$G$150)),RIGHT(BN$1,2))</f>
        <v>115</v>
      </c>
      <c r="BO7" s="16" cm="1">
        <f t="array" ref="BO7">INDEX(_xlfn.ANCHORARRAY(_xlfn.XLOOKUP($C7,'-ref_Distribution'!$B$146:$B$150,'-ref_Distribution'!$G$146:$G$150)),RIGHT(BO$1,2))</f>
        <v>137</v>
      </c>
      <c r="BP7" s="16" cm="1">
        <f t="array" ref="BP7">INDEX(_xlfn.ANCHORARRAY(_xlfn.XLOOKUP($C7,'-ref_Distribution'!$B$146:$B$150,'-ref_Distribution'!$G$146:$G$150)),RIGHT(BP$1,2))</f>
        <v>160</v>
      </c>
      <c r="BQ7" s="16" cm="1">
        <f t="array" ref="BQ7">INDEX(_xlfn.ANCHORARRAY(_xlfn.XLOOKUP($C7,'-ref_Distribution'!$B$146:$B$150,'-ref_Distribution'!$G$146:$G$150)),RIGHT(BQ$1,2))</f>
        <v>183</v>
      </c>
      <c r="BR7" s="16" cm="1">
        <f t="array" ref="BR7">INDEX(_xlfn.ANCHORARRAY(_xlfn.XLOOKUP($C7,'-ref_Distribution'!$B$146:$B$150,'-ref_Distribution'!$G$146:$G$150)),RIGHT(BR$1,2))</f>
        <v>203</v>
      </c>
      <c r="BS7" s="16" cm="1">
        <f t="array" ref="BS7">INDEX(_xlfn.ANCHORARRAY(_xlfn.XLOOKUP($C7,'-ref_Distribution'!$B$146:$B$150,'-ref_Distribution'!$G$146:$G$150)),RIGHT(BS$1,2))</f>
        <v>221</v>
      </c>
      <c r="BT7" s="16" cm="1">
        <f t="array" ref="BT7">INDEX(_xlfn.ANCHORARRAY(_xlfn.XLOOKUP($C7,'-ref_Distribution'!$B$146:$B$150,'-ref_Distribution'!$G$146:$G$150)),RIGHT(BT$1,2))</f>
        <v>234</v>
      </c>
      <c r="BU7" s="16" cm="1">
        <f t="array" ref="BU7">INDEX(_xlfn.ANCHORARRAY(_xlfn.XLOOKUP($C7,'-ref_Distribution'!$B$146:$B$150,'-ref_Distribution'!$G$146:$G$150)),RIGHT(BU$1,2))</f>
        <v>243</v>
      </c>
      <c r="BV7" s="16" cm="1">
        <f t="array" ref="BV7">INDEX(_xlfn.ANCHORARRAY(_xlfn.XLOOKUP($C7,'-ref_Distribution'!$B$146:$B$150,'-ref_Distribution'!$G$146:$G$150)),RIGHT(BV$1,2))</f>
        <v>245</v>
      </c>
      <c r="BW7" s="16" cm="1">
        <f t="array" ref="BW7">INDEX(_xlfn.ANCHORARRAY(_xlfn.XLOOKUP($C7,'-ref_Distribution'!$B$146:$B$150,'-ref_Distribution'!$G$146:$G$150)),RIGHT(BW$1,2))</f>
        <v>243</v>
      </c>
      <c r="BX7" s="16" cm="1">
        <f t="array" ref="BX7">INDEX(_xlfn.ANCHORARRAY(_xlfn.XLOOKUP($C7,'-ref_Distribution'!$B$146:$B$150,'-ref_Distribution'!$G$146:$G$150)),RIGHT(BX$1,2))</f>
        <v>234</v>
      </c>
      <c r="BY7" s="16" cm="1">
        <f t="array" ref="BY7">INDEX(_xlfn.ANCHORARRAY(_xlfn.XLOOKUP($C7,'-ref_Distribution'!$B$146:$B$150,'-ref_Distribution'!$G$146:$G$150)),RIGHT(BY$1,2))</f>
        <v>221</v>
      </c>
      <c r="BZ7" s="16" cm="1">
        <f t="array" ref="BZ7">INDEX(_xlfn.ANCHORARRAY(_xlfn.XLOOKUP($C7,'-ref_Distribution'!$B$146:$B$150,'-ref_Distribution'!$G$146:$G$150)),RIGHT(BZ$1,2))</f>
        <v>203</v>
      </c>
      <c r="CA7" s="16" cm="1">
        <f t="array" ref="CA7">INDEX(_xlfn.ANCHORARRAY(_xlfn.XLOOKUP($C7,'-ref_Distribution'!$B$146:$B$150,'-ref_Distribution'!$G$146:$G$150)),RIGHT(CA$1,2))</f>
        <v>183</v>
      </c>
      <c r="CB7" s="16" cm="1">
        <f t="array" ref="CB7">INDEX(_xlfn.ANCHORARRAY(_xlfn.XLOOKUP($C7,'-ref_Distribution'!$B$146:$B$150,'-ref_Distribution'!$G$146:$G$150)),RIGHT(CB$1,2))</f>
        <v>160</v>
      </c>
      <c r="CC7" s="16" cm="1">
        <f t="array" ref="CC7">INDEX(_xlfn.ANCHORARRAY(_xlfn.XLOOKUP($C7,'-ref_Distribution'!$B$146:$B$150,'-ref_Distribution'!$G$146:$G$150)),RIGHT(CC$1,2))</f>
        <v>137</v>
      </c>
      <c r="CD7" s="16" cm="1">
        <f t="array" ref="CD7">INDEX(_xlfn.ANCHORARRAY(_xlfn.XLOOKUP($C7,'-ref_Distribution'!$B$146:$B$150,'-ref_Distribution'!$G$146:$G$150)),RIGHT(CD$1,2))</f>
        <v>115</v>
      </c>
      <c r="CE7" s="16" cm="1">
        <f t="array" ref="CE7">INDEX(_xlfn.ANCHORARRAY(_xlfn.XLOOKUP($C7,'-ref_Distribution'!$B$146:$B$150,'-ref_Distribution'!$G$146:$G$150)),RIGHT(CE$1,2))</f>
        <v>94</v>
      </c>
    </row>
    <row r="8" spans="1:83" customFormat="1" x14ac:dyDescent="0.2">
      <c r="A8" s="16">
        <v>300023</v>
      </c>
      <c r="B8" s="16" t="s">
        <v>418</v>
      </c>
      <c r="C8" s="16">
        <v>3</v>
      </c>
      <c r="D8" s="16" cm="1">
        <f t="array" ref="D8">INDEX(_xlfn.ANCHORARRAY(_xlfn.XLOOKUP($C8,'-ref_Distribution'!$B$146:$B$150,'-ref_Distribution'!$G$146:$G$150)),RIGHT(D$1,2))</f>
        <v>4</v>
      </c>
      <c r="E8" s="16" cm="1">
        <f t="array" ref="E8">INDEX(_xlfn.ANCHORARRAY(_xlfn.XLOOKUP($C8,'-ref_Distribution'!$B$146:$B$150,'-ref_Distribution'!$G$146:$G$150)),RIGHT(E$1,2))</f>
        <v>6</v>
      </c>
      <c r="F8" s="16" cm="1">
        <f t="array" ref="F8">INDEX(_xlfn.ANCHORARRAY(_xlfn.XLOOKUP($C8,'-ref_Distribution'!$B$146:$B$150,'-ref_Distribution'!$G$146:$G$150)),RIGHT(F$1,2))</f>
        <v>9</v>
      </c>
      <c r="G8" s="16" cm="1">
        <f t="array" ref="G8">INDEX(_xlfn.ANCHORARRAY(_xlfn.XLOOKUP($C8,'-ref_Distribution'!$B$146:$B$150,'-ref_Distribution'!$G$146:$G$150)),RIGHT(G$1,2))</f>
        <v>14</v>
      </c>
      <c r="H8" s="16" cm="1">
        <f t="array" ref="H8">INDEX(_xlfn.ANCHORARRAY(_xlfn.XLOOKUP($C8,'-ref_Distribution'!$B$146:$B$150,'-ref_Distribution'!$G$146:$G$150)),RIGHT(H$1,2))</f>
        <v>20</v>
      </c>
      <c r="I8" s="16" cm="1">
        <f t="array" ref="I8">INDEX(_xlfn.ANCHORARRAY(_xlfn.XLOOKUP($C8,'-ref_Distribution'!$B$146:$B$150,'-ref_Distribution'!$G$146:$G$150)),RIGHT(I$1,2))</f>
        <v>28</v>
      </c>
      <c r="J8" s="16" cm="1">
        <f t="array" ref="J8">INDEX(_xlfn.ANCHORARRAY(_xlfn.XLOOKUP($C8,'-ref_Distribution'!$B$146:$B$150,'-ref_Distribution'!$G$146:$G$150)),RIGHT(J$1,2))</f>
        <v>38</v>
      </c>
      <c r="K8" s="16" cm="1">
        <f t="array" ref="K8">INDEX(_xlfn.ANCHORARRAY(_xlfn.XLOOKUP($C8,'-ref_Distribution'!$B$146:$B$150,'-ref_Distribution'!$G$146:$G$150)),RIGHT(K$1,2))</f>
        <v>51</v>
      </c>
      <c r="L8" s="16" cm="1">
        <f t="array" ref="L8">INDEX(_xlfn.ANCHORARRAY(_xlfn.XLOOKUP($C8,'-ref_Distribution'!$B$146:$B$150,'-ref_Distribution'!$G$146:$G$150)),RIGHT(L$1,2))</f>
        <v>65</v>
      </c>
      <c r="M8" s="16" cm="1">
        <f t="array" ref="M8">INDEX(_xlfn.ANCHORARRAY(_xlfn.XLOOKUP($C8,'-ref_Distribution'!$B$146:$B$150,'-ref_Distribution'!$G$146:$G$150)),RIGHT(M$1,2))</f>
        <v>80</v>
      </c>
      <c r="N8" s="16" cm="1">
        <f t="array" ref="N8">INDEX(_xlfn.ANCHORARRAY(_xlfn.XLOOKUP($C8,'-ref_Distribution'!$B$146:$B$150,'-ref_Distribution'!$G$146:$G$150)),RIGHT(N$1,2))</f>
        <v>96</v>
      </c>
      <c r="O8" s="16" cm="1">
        <f t="array" ref="O8">INDEX(_xlfn.ANCHORARRAY(_xlfn.XLOOKUP($C8,'-ref_Distribution'!$B$146:$B$150,'-ref_Distribution'!$G$146:$G$150)),RIGHT(O$1,2))</f>
        <v>111</v>
      </c>
      <c r="P8" s="16" cm="1">
        <f t="array" ref="P8">INDEX(_xlfn.ANCHORARRAY(_xlfn.XLOOKUP($C8,'-ref_Distribution'!$B$146:$B$150,'-ref_Distribution'!$G$146:$G$150)),RIGHT(P$1,2))</f>
        <v>125</v>
      </c>
      <c r="Q8" s="16" cm="1">
        <f t="array" ref="Q8">INDEX(_xlfn.ANCHORARRAY(_xlfn.XLOOKUP($C8,'-ref_Distribution'!$B$146:$B$150,'-ref_Distribution'!$G$146:$G$150)),RIGHT(Q$1,2))</f>
        <v>135</v>
      </c>
      <c r="R8" s="16" cm="1">
        <f t="array" ref="R8">INDEX(_xlfn.ANCHORARRAY(_xlfn.XLOOKUP($C8,'-ref_Distribution'!$B$146:$B$150,'-ref_Distribution'!$G$146:$G$150)),RIGHT(R$1,2))</f>
        <v>142</v>
      </c>
      <c r="S8" s="16" cm="1">
        <f t="array" ref="S8">INDEX(_xlfn.ANCHORARRAY(_xlfn.XLOOKUP($C8,'-ref_Distribution'!$B$146:$B$150,'-ref_Distribution'!$G$146:$G$150)),RIGHT(S$1,2))</f>
        <v>144</v>
      </c>
      <c r="T8" s="16" cm="1">
        <f t="array" ref="T8">INDEX(_xlfn.ANCHORARRAY(_xlfn.XLOOKUP($C8,'-ref_Distribution'!$B$146:$B$150,'-ref_Distribution'!$G$146:$G$150)),RIGHT(T$1,2))</f>
        <v>142</v>
      </c>
      <c r="U8" s="16" cm="1">
        <f t="array" ref="U8">INDEX(_xlfn.ANCHORARRAY(_xlfn.XLOOKUP($C8,'-ref_Distribution'!$B$146:$B$150,'-ref_Distribution'!$G$146:$G$150)),RIGHT(U$1,2))</f>
        <v>135</v>
      </c>
      <c r="V8" s="16" cm="1">
        <f t="array" ref="V8">INDEX(_xlfn.ANCHORARRAY(_xlfn.XLOOKUP($C8,'-ref_Distribution'!$B$146:$B$150,'-ref_Distribution'!$G$146:$G$150)),RIGHT(V$1,2))</f>
        <v>125</v>
      </c>
      <c r="W8" s="16" cm="1">
        <f t="array" ref="W8">INDEX(_xlfn.ANCHORARRAY(_xlfn.XLOOKUP($C8,'-ref_Distribution'!$B$146:$B$150,'-ref_Distribution'!$G$146:$G$150)),RIGHT(W$1,2))</f>
        <v>111</v>
      </c>
      <c r="X8" s="16" cm="1">
        <f t="array" ref="X8">INDEX(_xlfn.ANCHORARRAY(_xlfn.XLOOKUP($C8,'-ref_Distribution'!$B$146:$B$150,'-ref_Distribution'!$G$146:$G$150)),RIGHT(X$1,2))</f>
        <v>4</v>
      </c>
      <c r="Y8" s="16" cm="1">
        <f t="array" ref="Y8">INDEX(_xlfn.ANCHORARRAY(_xlfn.XLOOKUP($C8,'-ref_Distribution'!$B$146:$B$150,'-ref_Distribution'!$G$146:$G$150)),RIGHT(Y$1,2))</f>
        <v>6</v>
      </c>
      <c r="Z8" s="16" cm="1">
        <f t="array" ref="Z8">INDEX(_xlfn.ANCHORARRAY(_xlfn.XLOOKUP($C8,'-ref_Distribution'!$B$146:$B$150,'-ref_Distribution'!$G$146:$G$150)),RIGHT(Z$1,2))</f>
        <v>9</v>
      </c>
      <c r="AA8" s="16" cm="1">
        <f t="array" ref="AA8">INDEX(_xlfn.ANCHORARRAY(_xlfn.XLOOKUP($C8,'-ref_Distribution'!$B$146:$B$150,'-ref_Distribution'!$G$146:$G$150)),RIGHT(AA$1,2))</f>
        <v>14</v>
      </c>
      <c r="AB8" s="16" cm="1">
        <f t="array" ref="AB8">INDEX(_xlfn.ANCHORARRAY(_xlfn.XLOOKUP($C8,'-ref_Distribution'!$B$146:$B$150,'-ref_Distribution'!$G$146:$G$150)),RIGHT(AB$1,2))</f>
        <v>20</v>
      </c>
      <c r="AC8" s="16" cm="1">
        <f t="array" ref="AC8">INDEX(_xlfn.ANCHORARRAY(_xlfn.XLOOKUP($C8,'-ref_Distribution'!$B$146:$B$150,'-ref_Distribution'!$G$146:$G$150)),RIGHT(AC$1,2))</f>
        <v>28</v>
      </c>
      <c r="AD8" s="16" cm="1">
        <f t="array" ref="AD8">INDEX(_xlfn.ANCHORARRAY(_xlfn.XLOOKUP($C8,'-ref_Distribution'!$B$146:$B$150,'-ref_Distribution'!$G$146:$G$150)),RIGHT(AD$1,2))</f>
        <v>38</v>
      </c>
      <c r="AE8" s="16" cm="1">
        <f t="array" ref="AE8">INDEX(_xlfn.ANCHORARRAY(_xlfn.XLOOKUP($C8,'-ref_Distribution'!$B$146:$B$150,'-ref_Distribution'!$G$146:$G$150)),RIGHT(AE$1,2))</f>
        <v>51</v>
      </c>
      <c r="AF8" s="16" cm="1">
        <f t="array" ref="AF8">INDEX(_xlfn.ANCHORARRAY(_xlfn.XLOOKUP($C8,'-ref_Distribution'!$B$146:$B$150,'-ref_Distribution'!$G$146:$G$150)),RIGHT(AF$1,2))</f>
        <v>65</v>
      </c>
      <c r="AG8" s="16" cm="1">
        <f t="array" ref="AG8">INDEX(_xlfn.ANCHORARRAY(_xlfn.XLOOKUP($C8,'-ref_Distribution'!$B$146:$B$150,'-ref_Distribution'!$G$146:$G$150)),RIGHT(AG$1,2))</f>
        <v>80</v>
      </c>
      <c r="AH8" s="16" cm="1">
        <f t="array" ref="AH8">INDEX(_xlfn.ANCHORARRAY(_xlfn.XLOOKUP($C8,'-ref_Distribution'!$B$146:$B$150,'-ref_Distribution'!$G$146:$G$150)),RIGHT(AH$1,2))</f>
        <v>96</v>
      </c>
      <c r="AI8" s="16" cm="1">
        <f t="array" ref="AI8">INDEX(_xlfn.ANCHORARRAY(_xlfn.XLOOKUP($C8,'-ref_Distribution'!$B$146:$B$150,'-ref_Distribution'!$G$146:$G$150)),RIGHT(AI$1,2))</f>
        <v>111</v>
      </c>
      <c r="AJ8" s="16" cm="1">
        <f t="array" ref="AJ8">INDEX(_xlfn.ANCHORARRAY(_xlfn.XLOOKUP($C8,'-ref_Distribution'!$B$146:$B$150,'-ref_Distribution'!$G$146:$G$150)),RIGHT(AJ$1,2))</f>
        <v>125</v>
      </c>
      <c r="AK8" s="16" cm="1">
        <f t="array" ref="AK8">INDEX(_xlfn.ANCHORARRAY(_xlfn.XLOOKUP($C8,'-ref_Distribution'!$B$146:$B$150,'-ref_Distribution'!$G$146:$G$150)),RIGHT(AK$1,2))</f>
        <v>135</v>
      </c>
      <c r="AL8" s="16" cm="1">
        <f t="array" ref="AL8">INDEX(_xlfn.ANCHORARRAY(_xlfn.XLOOKUP($C8,'-ref_Distribution'!$B$146:$B$150,'-ref_Distribution'!$G$146:$G$150)),RIGHT(AL$1,2))</f>
        <v>142</v>
      </c>
      <c r="AM8" s="16" cm="1">
        <f t="array" ref="AM8">INDEX(_xlfn.ANCHORARRAY(_xlfn.XLOOKUP($C8,'-ref_Distribution'!$B$146:$B$150,'-ref_Distribution'!$G$146:$G$150)),RIGHT(AM$1,2))</f>
        <v>144</v>
      </c>
      <c r="AN8" s="16" cm="1">
        <f t="array" ref="AN8">INDEX(_xlfn.ANCHORARRAY(_xlfn.XLOOKUP($C8,'-ref_Distribution'!$B$146:$B$150,'-ref_Distribution'!$G$146:$G$150)),RIGHT(AN$1,2))</f>
        <v>142</v>
      </c>
      <c r="AO8" s="16" cm="1">
        <f t="array" ref="AO8">INDEX(_xlfn.ANCHORARRAY(_xlfn.XLOOKUP($C8,'-ref_Distribution'!$B$146:$B$150,'-ref_Distribution'!$G$146:$G$150)),RIGHT(AO$1,2))</f>
        <v>135</v>
      </c>
      <c r="AP8" s="16" cm="1">
        <f t="array" ref="AP8">INDEX(_xlfn.ANCHORARRAY(_xlfn.XLOOKUP($C8,'-ref_Distribution'!$B$146:$B$150,'-ref_Distribution'!$G$146:$G$150)),RIGHT(AP$1,2))</f>
        <v>125</v>
      </c>
      <c r="AQ8" s="16" cm="1">
        <f t="array" ref="AQ8">INDEX(_xlfn.ANCHORARRAY(_xlfn.XLOOKUP($C8,'-ref_Distribution'!$B$146:$B$150,'-ref_Distribution'!$G$146:$G$150)),RIGHT(AQ$1,2))</f>
        <v>111</v>
      </c>
      <c r="AR8" s="16" cm="1">
        <f t="array" ref="AR8">INDEX(_xlfn.ANCHORARRAY(_xlfn.XLOOKUP($C8,'-ref_Distribution'!$B$146:$B$150,'-ref_Distribution'!$G$146:$G$150)),RIGHT(AR$1,2))</f>
        <v>4</v>
      </c>
      <c r="AS8" s="16" cm="1">
        <f t="array" ref="AS8">INDEX(_xlfn.ANCHORARRAY(_xlfn.XLOOKUP($C8,'-ref_Distribution'!$B$146:$B$150,'-ref_Distribution'!$G$146:$G$150)),RIGHT(AS$1,2))</f>
        <v>6</v>
      </c>
      <c r="AT8" s="16" cm="1">
        <f t="array" ref="AT8">INDEX(_xlfn.ANCHORARRAY(_xlfn.XLOOKUP($C8,'-ref_Distribution'!$B$146:$B$150,'-ref_Distribution'!$G$146:$G$150)),RIGHT(AT$1,2))</f>
        <v>9</v>
      </c>
      <c r="AU8" s="16" cm="1">
        <f t="array" ref="AU8">INDEX(_xlfn.ANCHORARRAY(_xlfn.XLOOKUP($C8,'-ref_Distribution'!$B$146:$B$150,'-ref_Distribution'!$G$146:$G$150)),RIGHT(AU$1,2))</f>
        <v>14</v>
      </c>
      <c r="AV8" s="16" cm="1">
        <f t="array" ref="AV8">INDEX(_xlfn.ANCHORARRAY(_xlfn.XLOOKUP($C8,'-ref_Distribution'!$B$146:$B$150,'-ref_Distribution'!$G$146:$G$150)),RIGHT(AV$1,2))</f>
        <v>20</v>
      </c>
      <c r="AW8" s="16" cm="1">
        <f t="array" ref="AW8">INDEX(_xlfn.ANCHORARRAY(_xlfn.XLOOKUP($C8,'-ref_Distribution'!$B$146:$B$150,'-ref_Distribution'!$G$146:$G$150)),RIGHT(AW$1,2))</f>
        <v>28</v>
      </c>
      <c r="AX8" s="16" cm="1">
        <f t="array" ref="AX8">INDEX(_xlfn.ANCHORARRAY(_xlfn.XLOOKUP($C8,'-ref_Distribution'!$B$146:$B$150,'-ref_Distribution'!$G$146:$G$150)),RIGHT(AX$1,2))</f>
        <v>38</v>
      </c>
      <c r="AY8" s="16" cm="1">
        <f t="array" ref="AY8">INDEX(_xlfn.ANCHORARRAY(_xlfn.XLOOKUP($C8,'-ref_Distribution'!$B$146:$B$150,'-ref_Distribution'!$G$146:$G$150)),RIGHT(AY$1,2))</f>
        <v>51</v>
      </c>
      <c r="AZ8" s="16" cm="1">
        <f t="array" ref="AZ8">INDEX(_xlfn.ANCHORARRAY(_xlfn.XLOOKUP($C8,'-ref_Distribution'!$B$146:$B$150,'-ref_Distribution'!$G$146:$G$150)),RIGHT(AZ$1,2))</f>
        <v>65</v>
      </c>
      <c r="BA8" s="16" cm="1">
        <f t="array" ref="BA8">INDEX(_xlfn.ANCHORARRAY(_xlfn.XLOOKUP($C8,'-ref_Distribution'!$B$146:$B$150,'-ref_Distribution'!$G$146:$G$150)),RIGHT(BA$1,2))</f>
        <v>80</v>
      </c>
      <c r="BB8" s="16" cm="1">
        <f t="array" ref="BB8">INDEX(_xlfn.ANCHORARRAY(_xlfn.XLOOKUP($C8,'-ref_Distribution'!$B$146:$B$150,'-ref_Distribution'!$G$146:$G$150)),RIGHT(BB$1,2))</f>
        <v>96</v>
      </c>
      <c r="BC8" s="16" cm="1">
        <f t="array" ref="BC8">INDEX(_xlfn.ANCHORARRAY(_xlfn.XLOOKUP($C8,'-ref_Distribution'!$B$146:$B$150,'-ref_Distribution'!$G$146:$G$150)),RIGHT(BC$1,2))</f>
        <v>111</v>
      </c>
      <c r="BD8" s="16" cm="1">
        <f t="array" ref="BD8">INDEX(_xlfn.ANCHORARRAY(_xlfn.XLOOKUP($C8,'-ref_Distribution'!$B$146:$B$150,'-ref_Distribution'!$G$146:$G$150)),RIGHT(BD$1,2))</f>
        <v>125</v>
      </c>
      <c r="BE8" s="16" cm="1">
        <f t="array" ref="BE8">INDEX(_xlfn.ANCHORARRAY(_xlfn.XLOOKUP($C8,'-ref_Distribution'!$B$146:$B$150,'-ref_Distribution'!$G$146:$G$150)),RIGHT(BE$1,2))</f>
        <v>135</v>
      </c>
      <c r="BF8" s="16" cm="1">
        <f t="array" ref="BF8">INDEX(_xlfn.ANCHORARRAY(_xlfn.XLOOKUP($C8,'-ref_Distribution'!$B$146:$B$150,'-ref_Distribution'!$G$146:$G$150)),RIGHT(BF$1,2))</f>
        <v>142</v>
      </c>
      <c r="BG8" s="16" cm="1">
        <f t="array" ref="BG8">INDEX(_xlfn.ANCHORARRAY(_xlfn.XLOOKUP($C8,'-ref_Distribution'!$B$146:$B$150,'-ref_Distribution'!$G$146:$G$150)),RIGHT(BG$1,2))</f>
        <v>144</v>
      </c>
      <c r="BH8" s="16" cm="1">
        <f t="array" ref="BH8">INDEX(_xlfn.ANCHORARRAY(_xlfn.XLOOKUP($C8,'-ref_Distribution'!$B$146:$B$150,'-ref_Distribution'!$G$146:$G$150)),RIGHT(BH$1,2))</f>
        <v>142</v>
      </c>
      <c r="BI8" s="16" cm="1">
        <f t="array" ref="BI8">INDEX(_xlfn.ANCHORARRAY(_xlfn.XLOOKUP($C8,'-ref_Distribution'!$B$146:$B$150,'-ref_Distribution'!$G$146:$G$150)),RIGHT(BI$1,2))</f>
        <v>135</v>
      </c>
      <c r="BJ8" s="16" cm="1">
        <f t="array" ref="BJ8">INDEX(_xlfn.ANCHORARRAY(_xlfn.XLOOKUP($C8,'-ref_Distribution'!$B$146:$B$150,'-ref_Distribution'!$G$146:$G$150)),RIGHT(BJ$1,2))</f>
        <v>125</v>
      </c>
      <c r="BK8" s="16" cm="1">
        <f t="array" ref="BK8">INDEX(_xlfn.ANCHORARRAY(_xlfn.XLOOKUP($C8,'-ref_Distribution'!$B$146:$B$150,'-ref_Distribution'!$G$146:$G$150)),RIGHT(BK$1,2))</f>
        <v>111</v>
      </c>
      <c r="BL8" s="16" cm="1">
        <f t="array" ref="BL8">INDEX(_xlfn.ANCHORARRAY(_xlfn.XLOOKUP($C8,'-ref_Distribution'!$B$146:$B$150,'-ref_Distribution'!$G$146:$G$150)),RIGHT(BL$1,2))</f>
        <v>4</v>
      </c>
      <c r="BM8" s="16" cm="1">
        <f t="array" ref="BM8">INDEX(_xlfn.ANCHORARRAY(_xlfn.XLOOKUP($C8,'-ref_Distribution'!$B$146:$B$150,'-ref_Distribution'!$G$146:$G$150)),RIGHT(BM$1,2))</f>
        <v>6</v>
      </c>
      <c r="BN8" s="16" cm="1">
        <f t="array" ref="BN8">INDEX(_xlfn.ANCHORARRAY(_xlfn.XLOOKUP($C8,'-ref_Distribution'!$B$146:$B$150,'-ref_Distribution'!$G$146:$G$150)),RIGHT(BN$1,2))</f>
        <v>9</v>
      </c>
      <c r="BO8" s="16" cm="1">
        <f t="array" ref="BO8">INDEX(_xlfn.ANCHORARRAY(_xlfn.XLOOKUP($C8,'-ref_Distribution'!$B$146:$B$150,'-ref_Distribution'!$G$146:$G$150)),RIGHT(BO$1,2))</f>
        <v>14</v>
      </c>
      <c r="BP8" s="16" cm="1">
        <f t="array" ref="BP8">INDEX(_xlfn.ANCHORARRAY(_xlfn.XLOOKUP($C8,'-ref_Distribution'!$B$146:$B$150,'-ref_Distribution'!$G$146:$G$150)),RIGHT(BP$1,2))</f>
        <v>20</v>
      </c>
      <c r="BQ8" s="16" cm="1">
        <f t="array" ref="BQ8">INDEX(_xlfn.ANCHORARRAY(_xlfn.XLOOKUP($C8,'-ref_Distribution'!$B$146:$B$150,'-ref_Distribution'!$G$146:$G$150)),RIGHT(BQ$1,2))</f>
        <v>28</v>
      </c>
      <c r="BR8" s="16" cm="1">
        <f t="array" ref="BR8">INDEX(_xlfn.ANCHORARRAY(_xlfn.XLOOKUP($C8,'-ref_Distribution'!$B$146:$B$150,'-ref_Distribution'!$G$146:$G$150)),RIGHT(BR$1,2))</f>
        <v>38</v>
      </c>
      <c r="BS8" s="16" cm="1">
        <f t="array" ref="BS8">INDEX(_xlfn.ANCHORARRAY(_xlfn.XLOOKUP($C8,'-ref_Distribution'!$B$146:$B$150,'-ref_Distribution'!$G$146:$G$150)),RIGHT(BS$1,2))</f>
        <v>51</v>
      </c>
      <c r="BT8" s="16" cm="1">
        <f t="array" ref="BT8">INDEX(_xlfn.ANCHORARRAY(_xlfn.XLOOKUP($C8,'-ref_Distribution'!$B$146:$B$150,'-ref_Distribution'!$G$146:$G$150)),RIGHT(BT$1,2))</f>
        <v>65</v>
      </c>
      <c r="BU8" s="16" cm="1">
        <f t="array" ref="BU8">INDEX(_xlfn.ANCHORARRAY(_xlfn.XLOOKUP($C8,'-ref_Distribution'!$B$146:$B$150,'-ref_Distribution'!$G$146:$G$150)),RIGHT(BU$1,2))</f>
        <v>80</v>
      </c>
      <c r="BV8" s="16" cm="1">
        <f t="array" ref="BV8">INDEX(_xlfn.ANCHORARRAY(_xlfn.XLOOKUP($C8,'-ref_Distribution'!$B$146:$B$150,'-ref_Distribution'!$G$146:$G$150)),RIGHT(BV$1,2))</f>
        <v>96</v>
      </c>
      <c r="BW8" s="16" cm="1">
        <f t="array" ref="BW8">INDEX(_xlfn.ANCHORARRAY(_xlfn.XLOOKUP($C8,'-ref_Distribution'!$B$146:$B$150,'-ref_Distribution'!$G$146:$G$150)),RIGHT(BW$1,2))</f>
        <v>111</v>
      </c>
      <c r="BX8" s="16" cm="1">
        <f t="array" ref="BX8">INDEX(_xlfn.ANCHORARRAY(_xlfn.XLOOKUP($C8,'-ref_Distribution'!$B$146:$B$150,'-ref_Distribution'!$G$146:$G$150)),RIGHT(BX$1,2))</f>
        <v>125</v>
      </c>
      <c r="BY8" s="16" cm="1">
        <f t="array" ref="BY8">INDEX(_xlfn.ANCHORARRAY(_xlfn.XLOOKUP($C8,'-ref_Distribution'!$B$146:$B$150,'-ref_Distribution'!$G$146:$G$150)),RIGHT(BY$1,2))</f>
        <v>135</v>
      </c>
      <c r="BZ8" s="16" cm="1">
        <f t="array" ref="BZ8">INDEX(_xlfn.ANCHORARRAY(_xlfn.XLOOKUP($C8,'-ref_Distribution'!$B$146:$B$150,'-ref_Distribution'!$G$146:$G$150)),RIGHT(BZ$1,2))</f>
        <v>142</v>
      </c>
      <c r="CA8" s="16" cm="1">
        <f t="array" ref="CA8">INDEX(_xlfn.ANCHORARRAY(_xlfn.XLOOKUP($C8,'-ref_Distribution'!$B$146:$B$150,'-ref_Distribution'!$G$146:$G$150)),RIGHT(CA$1,2))</f>
        <v>144</v>
      </c>
      <c r="CB8" s="16" cm="1">
        <f t="array" ref="CB8">INDEX(_xlfn.ANCHORARRAY(_xlfn.XLOOKUP($C8,'-ref_Distribution'!$B$146:$B$150,'-ref_Distribution'!$G$146:$G$150)),RIGHT(CB$1,2))</f>
        <v>142</v>
      </c>
      <c r="CC8" s="16" cm="1">
        <f t="array" ref="CC8">INDEX(_xlfn.ANCHORARRAY(_xlfn.XLOOKUP($C8,'-ref_Distribution'!$B$146:$B$150,'-ref_Distribution'!$G$146:$G$150)),RIGHT(CC$1,2))</f>
        <v>135</v>
      </c>
      <c r="CD8" s="16" cm="1">
        <f t="array" ref="CD8">INDEX(_xlfn.ANCHORARRAY(_xlfn.XLOOKUP($C8,'-ref_Distribution'!$B$146:$B$150,'-ref_Distribution'!$G$146:$G$150)),RIGHT(CD$1,2))</f>
        <v>125</v>
      </c>
      <c r="CE8" s="16" cm="1">
        <f t="array" ref="CE8">INDEX(_xlfn.ANCHORARRAY(_xlfn.XLOOKUP($C8,'-ref_Distribution'!$B$146:$B$150,'-ref_Distribution'!$G$146:$G$150)),RIGHT(CE$1,2))</f>
        <v>111</v>
      </c>
    </row>
    <row r="9" spans="1:83" customFormat="1" x14ac:dyDescent="0.2">
      <c r="A9" s="16">
        <v>300031</v>
      </c>
      <c r="B9" s="16" t="s">
        <v>201</v>
      </c>
      <c r="C9" s="16">
        <v>0</v>
      </c>
      <c r="D9" s="16" cm="1">
        <f t="array" ref="D9">INDEX(_xlfn.ANCHORARRAY(_xlfn.XLOOKUP($C9,'-ref_Distribution'!$B$146:$B$150,'-ref_Distribution'!$G$146:$G$150)),RIGHT(D$1,2))</f>
        <v>709</v>
      </c>
      <c r="E9" s="16" cm="1">
        <f t="array" ref="E9">INDEX(_xlfn.ANCHORARRAY(_xlfn.XLOOKUP($C9,'-ref_Distribution'!$B$146:$B$150,'-ref_Distribution'!$G$146:$G$150)),RIGHT(E$1,2))</f>
        <v>705</v>
      </c>
      <c r="F9" s="16" cm="1">
        <f t="array" ref="F9">INDEX(_xlfn.ANCHORARRAY(_xlfn.XLOOKUP($C9,'-ref_Distribution'!$B$146:$B$150,'-ref_Distribution'!$G$146:$G$150)),RIGHT(F$1,2))</f>
        <v>692</v>
      </c>
      <c r="G9" s="16" cm="1">
        <f t="array" ref="G9">INDEX(_xlfn.ANCHORARRAY(_xlfn.XLOOKUP($C9,'-ref_Distribution'!$B$146:$B$150,'-ref_Distribution'!$G$146:$G$150)),RIGHT(G$1,2))</f>
        <v>671</v>
      </c>
      <c r="H9" s="16" cm="1">
        <f t="array" ref="H9">INDEX(_xlfn.ANCHORARRAY(_xlfn.XLOOKUP($C9,'-ref_Distribution'!$B$146:$B$150,'-ref_Distribution'!$G$146:$G$150)),RIGHT(H$1,2))</f>
        <v>643</v>
      </c>
      <c r="I9" s="16" cm="1">
        <f t="array" ref="I9">INDEX(_xlfn.ANCHORARRAY(_xlfn.XLOOKUP($C9,'-ref_Distribution'!$B$146:$B$150,'-ref_Distribution'!$G$146:$G$150)),RIGHT(I$1,2))</f>
        <v>608</v>
      </c>
      <c r="J9" s="16" cm="1">
        <f t="array" ref="J9">INDEX(_xlfn.ANCHORARRAY(_xlfn.XLOOKUP($C9,'-ref_Distribution'!$B$146:$B$150,'-ref_Distribution'!$G$146:$G$150)),RIGHT(J$1,2))</f>
        <v>568</v>
      </c>
      <c r="K9" s="16" cm="1">
        <f t="array" ref="K9">INDEX(_xlfn.ANCHORARRAY(_xlfn.XLOOKUP($C9,'-ref_Distribution'!$B$146:$B$150,'-ref_Distribution'!$G$146:$G$150)),RIGHT(K$1,2))</f>
        <v>524</v>
      </c>
      <c r="L9" s="16" cm="1">
        <f t="array" ref="L9">INDEX(_xlfn.ANCHORARRAY(_xlfn.XLOOKUP($C9,'-ref_Distribution'!$B$146:$B$150,'-ref_Distribution'!$G$146:$G$150)),RIGHT(L$1,2))</f>
        <v>478</v>
      </c>
      <c r="M9" s="16" cm="1">
        <f t="array" ref="M9">INDEX(_xlfn.ANCHORARRAY(_xlfn.XLOOKUP($C9,'-ref_Distribution'!$B$146:$B$150,'-ref_Distribution'!$G$146:$G$150)),RIGHT(M$1,2))</f>
        <v>430</v>
      </c>
      <c r="N9" s="16" cm="1">
        <f t="array" ref="N9">INDEX(_xlfn.ANCHORARRAY(_xlfn.XLOOKUP($C9,'-ref_Distribution'!$B$146:$B$150,'-ref_Distribution'!$G$146:$G$150)),RIGHT(N$1,2))</f>
        <v>383</v>
      </c>
      <c r="O9" s="16" cm="1">
        <f t="array" ref="O9">INDEX(_xlfn.ANCHORARRAY(_xlfn.XLOOKUP($C9,'-ref_Distribution'!$B$146:$B$150,'-ref_Distribution'!$G$146:$G$150)),RIGHT(O$1,2))</f>
        <v>336</v>
      </c>
      <c r="P9" s="16" cm="1">
        <f t="array" ref="P9">INDEX(_xlfn.ANCHORARRAY(_xlfn.XLOOKUP($C9,'-ref_Distribution'!$B$146:$B$150,'-ref_Distribution'!$G$146:$G$150)),RIGHT(P$1,2))</f>
        <v>292</v>
      </c>
      <c r="Q9" s="16" cm="1">
        <f t="array" ref="Q9">INDEX(_xlfn.ANCHORARRAY(_xlfn.XLOOKUP($C9,'-ref_Distribution'!$B$146:$B$150,'-ref_Distribution'!$G$146:$G$150)),RIGHT(Q$1,2))</f>
        <v>250</v>
      </c>
      <c r="R9" s="16" cm="1">
        <f t="array" ref="R9">INDEX(_xlfn.ANCHORARRAY(_xlfn.XLOOKUP($C9,'-ref_Distribution'!$B$146:$B$150,'-ref_Distribution'!$G$146:$G$150)),RIGHT(R$1,2))</f>
        <v>212</v>
      </c>
      <c r="S9" s="16" cm="1">
        <f t="array" ref="S9">INDEX(_xlfn.ANCHORARRAY(_xlfn.XLOOKUP($C9,'-ref_Distribution'!$B$146:$B$150,'-ref_Distribution'!$G$146:$G$150)),RIGHT(S$1,2))</f>
        <v>177</v>
      </c>
      <c r="T9" s="16" cm="1">
        <f t="array" ref="T9">INDEX(_xlfn.ANCHORARRAY(_xlfn.XLOOKUP($C9,'-ref_Distribution'!$B$146:$B$150,'-ref_Distribution'!$G$146:$G$150)),RIGHT(T$1,2))</f>
        <v>146</v>
      </c>
      <c r="U9" s="16" cm="1">
        <f t="array" ref="U9">INDEX(_xlfn.ANCHORARRAY(_xlfn.XLOOKUP($C9,'-ref_Distribution'!$B$146:$B$150,'-ref_Distribution'!$G$146:$G$150)),RIGHT(U$1,2))</f>
        <v>119</v>
      </c>
      <c r="V9" s="16" cm="1">
        <f t="array" ref="V9">INDEX(_xlfn.ANCHORARRAY(_xlfn.XLOOKUP($C9,'-ref_Distribution'!$B$146:$B$150,'-ref_Distribution'!$G$146:$G$150)),RIGHT(V$1,2))</f>
        <v>96</v>
      </c>
      <c r="W9" s="16" cm="1">
        <f t="array" ref="W9">INDEX(_xlfn.ANCHORARRAY(_xlfn.XLOOKUP($C9,'-ref_Distribution'!$B$146:$B$150,'-ref_Distribution'!$G$146:$G$150)),RIGHT(W$1,2))</f>
        <v>76</v>
      </c>
      <c r="X9" s="16" cm="1">
        <f t="array" ref="X9">INDEX(_xlfn.ANCHORARRAY(_xlfn.XLOOKUP($C9,'-ref_Distribution'!$B$146:$B$150,'-ref_Distribution'!$G$146:$G$150)),RIGHT(X$1,2))</f>
        <v>709</v>
      </c>
      <c r="Y9" s="16" cm="1">
        <f t="array" ref="Y9">INDEX(_xlfn.ANCHORARRAY(_xlfn.XLOOKUP($C9,'-ref_Distribution'!$B$146:$B$150,'-ref_Distribution'!$G$146:$G$150)),RIGHT(Y$1,2))</f>
        <v>705</v>
      </c>
      <c r="Z9" s="16" cm="1">
        <f t="array" ref="Z9">INDEX(_xlfn.ANCHORARRAY(_xlfn.XLOOKUP($C9,'-ref_Distribution'!$B$146:$B$150,'-ref_Distribution'!$G$146:$G$150)),RIGHT(Z$1,2))</f>
        <v>692</v>
      </c>
      <c r="AA9" s="16" cm="1">
        <f t="array" ref="AA9">INDEX(_xlfn.ANCHORARRAY(_xlfn.XLOOKUP($C9,'-ref_Distribution'!$B$146:$B$150,'-ref_Distribution'!$G$146:$G$150)),RIGHT(AA$1,2))</f>
        <v>671</v>
      </c>
      <c r="AB9" s="16" cm="1">
        <f t="array" ref="AB9">INDEX(_xlfn.ANCHORARRAY(_xlfn.XLOOKUP($C9,'-ref_Distribution'!$B$146:$B$150,'-ref_Distribution'!$G$146:$G$150)),RIGHT(AB$1,2))</f>
        <v>643</v>
      </c>
      <c r="AC9" s="16" cm="1">
        <f t="array" ref="AC9">INDEX(_xlfn.ANCHORARRAY(_xlfn.XLOOKUP($C9,'-ref_Distribution'!$B$146:$B$150,'-ref_Distribution'!$G$146:$G$150)),RIGHT(AC$1,2))</f>
        <v>608</v>
      </c>
      <c r="AD9" s="16" cm="1">
        <f t="array" ref="AD9">INDEX(_xlfn.ANCHORARRAY(_xlfn.XLOOKUP($C9,'-ref_Distribution'!$B$146:$B$150,'-ref_Distribution'!$G$146:$G$150)),RIGHT(AD$1,2))</f>
        <v>568</v>
      </c>
      <c r="AE9" s="16" cm="1">
        <f t="array" ref="AE9">INDEX(_xlfn.ANCHORARRAY(_xlfn.XLOOKUP($C9,'-ref_Distribution'!$B$146:$B$150,'-ref_Distribution'!$G$146:$G$150)),RIGHT(AE$1,2))</f>
        <v>524</v>
      </c>
      <c r="AF9" s="16" cm="1">
        <f t="array" ref="AF9">INDEX(_xlfn.ANCHORARRAY(_xlfn.XLOOKUP($C9,'-ref_Distribution'!$B$146:$B$150,'-ref_Distribution'!$G$146:$G$150)),RIGHT(AF$1,2))</f>
        <v>478</v>
      </c>
      <c r="AG9" s="16" cm="1">
        <f t="array" ref="AG9">INDEX(_xlfn.ANCHORARRAY(_xlfn.XLOOKUP($C9,'-ref_Distribution'!$B$146:$B$150,'-ref_Distribution'!$G$146:$G$150)),RIGHT(AG$1,2))</f>
        <v>430</v>
      </c>
      <c r="AH9" s="16" cm="1">
        <f t="array" ref="AH9">INDEX(_xlfn.ANCHORARRAY(_xlfn.XLOOKUP($C9,'-ref_Distribution'!$B$146:$B$150,'-ref_Distribution'!$G$146:$G$150)),RIGHT(AH$1,2))</f>
        <v>383</v>
      </c>
      <c r="AI9" s="16" cm="1">
        <f t="array" ref="AI9">INDEX(_xlfn.ANCHORARRAY(_xlfn.XLOOKUP($C9,'-ref_Distribution'!$B$146:$B$150,'-ref_Distribution'!$G$146:$G$150)),RIGHT(AI$1,2))</f>
        <v>336</v>
      </c>
      <c r="AJ9" s="16" cm="1">
        <f t="array" ref="AJ9">INDEX(_xlfn.ANCHORARRAY(_xlfn.XLOOKUP($C9,'-ref_Distribution'!$B$146:$B$150,'-ref_Distribution'!$G$146:$G$150)),RIGHT(AJ$1,2))</f>
        <v>292</v>
      </c>
      <c r="AK9" s="16" cm="1">
        <f t="array" ref="AK9">INDEX(_xlfn.ANCHORARRAY(_xlfn.XLOOKUP($C9,'-ref_Distribution'!$B$146:$B$150,'-ref_Distribution'!$G$146:$G$150)),RIGHT(AK$1,2))</f>
        <v>250</v>
      </c>
      <c r="AL9" s="16" cm="1">
        <f t="array" ref="AL9">INDEX(_xlfn.ANCHORARRAY(_xlfn.XLOOKUP($C9,'-ref_Distribution'!$B$146:$B$150,'-ref_Distribution'!$G$146:$G$150)),RIGHT(AL$1,2))</f>
        <v>212</v>
      </c>
      <c r="AM9" s="16" cm="1">
        <f t="array" ref="AM9">INDEX(_xlfn.ANCHORARRAY(_xlfn.XLOOKUP($C9,'-ref_Distribution'!$B$146:$B$150,'-ref_Distribution'!$G$146:$G$150)),RIGHT(AM$1,2))</f>
        <v>177</v>
      </c>
      <c r="AN9" s="16" cm="1">
        <f t="array" ref="AN9">INDEX(_xlfn.ANCHORARRAY(_xlfn.XLOOKUP($C9,'-ref_Distribution'!$B$146:$B$150,'-ref_Distribution'!$G$146:$G$150)),RIGHT(AN$1,2))</f>
        <v>146</v>
      </c>
      <c r="AO9" s="16" cm="1">
        <f t="array" ref="AO9">INDEX(_xlfn.ANCHORARRAY(_xlfn.XLOOKUP($C9,'-ref_Distribution'!$B$146:$B$150,'-ref_Distribution'!$G$146:$G$150)),RIGHT(AO$1,2))</f>
        <v>119</v>
      </c>
      <c r="AP9" s="16" cm="1">
        <f t="array" ref="AP9">INDEX(_xlfn.ANCHORARRAY(_xlfn.XLOOKUP($C9,'-ref_Distribution'!$B$146:$B$150,'-ref_Distribution'!$G$146:$G$150)),RIGHT(AP$1,2))</f>
        <v>96</v>
      </c>
      <c r="AQ9" s="16" cm="1">
        <f t="array" ref="AQ9">INDEX(_xlfn.ANCHORARRAY(_xlfn.XLOOKUP($C9,'-ref_Distribution'!$B$146:$B$150,'-ref_Distribution'!$G$146:$G$150)),RIGHT(AQ$1,2))</f>
        <v>76</v>
      </c>
      <c r="AR9" s="16" cm="1">
        <f t="array" ref="AR9">INDEX(_xlfn.ANCHORARRAY(_xlfn.XLOOKUP($C9,'-ref_Distribution'!$B$146:$B$150,'-ref_Distribution'!$G$146:$G$150)),RIGHT(AR$1,2))</f>
        <v>709</v>
      </c>
      <c r="AS9" s="16" cm="1">
        <f t="array" ref="AS9">INDEX(_xlfn.ANCHORARRAY(_xlfn.XLOOKUP($C9,'-ref_Distribution'!$B$146:$B$150,'-ref_Distribution'!$G$146:$G$150)),RIGHT(AS$1,2))</f>
        <v>705</v>
      </c>
      <c r="AT9" s="16" cm="1">
        <f t="array" ref="AT9">INDEX(_xlfn.ANCHORARRAY(_xlfn.XLOOKUP($C9,'-ref_Distribution'!$B$146:$B$150,'-ref_Distribution'!$G$146:$G$150)),RIGHT(AT$1,2))</f>
        <v>692</v>
      </c>
      <c r="AU9" s="16" cm="1">
        <f t="array" ref="AU9">INDEX(_xlfn.ANCHORARRAY(_xlfn.XLOOKUP($C9,'-ref_Distribution'!$B$146:$B$150,'-ref_Distribution'!$G$146:$G$150)),RIGHT(AU$1,2))</f>
        <v>671</v>
      </c>
      <c r="AV9" s="16" cm="1">
        <f t="array" ref="AV9">INDEX(_xlfn.ANCHORARRAY(_xlfn.XLOOKUP($C9,'-ref_Distribution'!$B$146:$B$150,'-ref_Distribution'!$G$146:$G$150)),RIGHT(AV$1,2))</f>
        <v>643</v>
      </c>
      <c r="AW9" s="16" cm="1">
        <f t="array" ref="AW9">INDEX(_xlfn.ANCHORARRAY(_xlfn.XLOOKUP($C9,'-ref_Distribution'!$B$146:$B$150,'-ref_Distribution'!$G$146:$G$150)),RIGHT(AW$1,2))</f>
        <v>608</v>
      </c>
      <c r="AX9" s="16" cm="1">
        <f t="array" ref="AX9">INDEX(_xlfn.ANCHORARRAY(_xlfn.XLOOKUP($C9,'-ref_Distribution'!$B$146:$B$150,'-ref_Distribution'!$G$146:$G$150)),RIGHT(AX$1,2))</f>
        <v>568</v>
      </c>
      <c r="AY9" s="16" cm="1">
        <f t="array" ref="AY9">INDEX(_xlfn.ANCHORARRAY(_xlfn.XLOOKUP($C9,'-ref_Distribution'!$B$146:$B$150,'-ref_Distribution'!$G$146:$G$150)),RIGHT(AY$1,2))</f>
        <v>524</v>
      </c>
      <c r="AZ9" s="16" cm="1">
        <f t="array" ref="AZ9">INDEX(_xlfn.ANCHORARRAY(_xlfn.XLOOKUP($C9,'-ref_Distribution'!$B$146:$B$150,'-ref_Distribution'!$G$146:$G$150)),RIGHT(AZ$1,2))</f>
        <v>478</v>
      </c>
      <c r="BA9" s="16" cm="1">
        <f t="array" ref="BA9">INDEX(_xlfn.ANCHORARRAY(_xlfn.XLOOKUP($C9,'-ref_Distribution'!$B$146:$B$150,'-ref_Distribution'!$G$146:$G$150)),RIGHT(BA$1,2))</f>
        <v>430</v>
      </c>
      <c r="BB9" s="16" cm="1">
        <f t="array" ref="BB9">INDEX(_xlfn.ANCHORARRAY(_xlfn.XLOOKUP($C9,'-ref_Distribution'!$B$146:$B$150,'-ref_Distribution'!$G$146:$G$150)),RIGHT(BB$1,2))</f>
        <v>383</v>
      </c>
      <c r="BC9" s="16" cm="1">
        <f t="array" ref="BC9">INDEX(_xlfn.ANCHORARRAY(_xlfn.XLOOKUP($C9,'-ref_Distribution'!$B$146:$B$150,'-ref_Distribution'!$G$146:$G$150)),RIGHT(BC$1,2))</f>
        <v>336</v>
      </c>
      <c r="BD9" s="16" cm="1">
        <f t="array" ref="BD9">INDEX(_xlfn.ANCHORARRAY(_xlfn.XLOOKUP($C9,'-ref_Distribution'!$B$146:$B$150,'-ref_Distribution'!$G$146:$G$150)),RIGHT(BD$1,2))</f>
        <v>292</v>
      </c>
      <c r="BE9" s="16" cm="1">
        <f t="array" ref="BE9">INDEX(_xlfn.ANCHORARRAY(_xlfn.XLOOKUP($C9,'-ref_Distribution'!$B$146:$B$150,'-ref_Distribution'!$G$146:$G$150)),RIGHT(BE$1,2))</f>
        <v>250</v>
      </c>
      <c r="BF9" s="16" cm="1">
        <f t="array" ref="BF9">INDEX(_xlfn.ANCHORARRAY(_xlfn.XLOOKUP($C9,'-ref_Distribution'!$B$146:$B$150,'-ref_Distribution'!$G$146:$G$150)),RIGHT(BF$1,2))</f>
        <v>212</v>
      </c>
      <c r="BG9" s="16" cm="1">
        <f t="array" ref="BG9">INDEX(_xlfn.ANCHORARRAY(_xlfn.XLOOKUP($C9,'-ref_Distribution'!$B$146:$B$150,'-ref_Distribution'!$G$146:$G$150)),RIGHT(BG$1,2))</f>
        <v>177</v>
      </c>
      <c r="BH9" s="16" cm="1">
        <f t="array" ref="BH9">INDEX(_xlfn.ANCHORARRAY(_xlfn.XLOOKUP($C9,'-ref_Distribution'!$B$146:$B$150,'-ref_Distribution'!$G$146:$G$150)),RIGHT(BH$1,2))</f>
        <v>146</v>
      </c>
      <c r="BI9" s="16" cm="1">
        <f t="array" ref="BI9">INDEX(_xlfn.ANCHORARRAY(_xlfn.XLOOKUP($C9,'-ref_Distribution'!$B$146:$B$150,'-ref_Distribution'!$G$146:$G$150)),RIGHT(BI$1,2))</f>
        <v>119</v>
      </c>
      <c r="BJ9" s="16" cm="1">
        <f t="array" ref="BJ9">INDEX(_xlfn.ANCHORARRAY(_xlfn.XLOOKUP($C9,'-ref_Distribution'!$B$146:$B$150,'-ref_Distribution'!$G$146:$G$150)),RIGHT(BJ$1,2))</f>
        <v>96</v>
      </c>
      <c r="BK9" s="16" cm="1">
        <f t="array" ref="BK9">INDEX(_xlfn.ANCHORARRAY(_xlfn.XLOOKUP($C9,'-ref_Distribution'!$B$146:$B$150,'-ref_Distribution'!$G$146:$G$150)),RIGHT(BK$1,2))</f>
        <v>76</v>
      </c>
      <c r="BL9" s="16" cm="1">
        <f t="array" ref="BL9">INDEX(_xlfn.ANCHORARRAY(_xlfn.XLOOKUP($C9,'-ref_Distribution'!$B$146:$B$150,'-ref_Distribution'!$G$146:$G$150)),RIGHT(BL$1,2))</f>
        <v>709</v>
      </c>
      <c r="BM9" s="16" cm="1">
        <f t="array" ref="BM9">INDEX(_xlfn.ANCHORARRAY(_xlfn.XLOOKUP($C9,'-ref_Distribution'!$B$146:$B$150,'-ref_Distribution'!$G$146:$G$150)),RIGHT(BM$1,2))</f>
        <v>705</v>
      </c>
      <c r="BN9" s="16" cm="1">
        <f t="array" ref="BN9">INDEX(_xlfn.ANCHORARRAY(_xlfn.XLOOKUP($C9,'-ref_Distribution'!$B$146:$B$150,'-ref_Distribution'!$G$146:$G$150)),RIGHT(BN$1,2))</f>
        <v>692</v>
      </c>
      <c r="BO9" s="16" cm="1">
        <f t="array" ref="BO9">INDEX(_xlfn.ANCHORARRAY(_xlfn.XLOOKUP($C9,'-ref_Distribution'!$B$146:$B$150,'-ref_Distribution'!$G$146:$G$150)),RIGHT(BO$1,2))</f>
        <v>671</v>
      </c>
      <c r="BP9" s="16" cm="1">
        <f t="array" ref="BP9">INDEX(_xlfn.ANCHORARRAY(_xlfn.XLOOKUP($C9,'-ref_Distribution'!$B$146:$B$150,'-ref_Distribution'!$G$146:$G$150)),RIGHT(BP$1,2))</f>
        <v>643</v>
      </c>
      <c r="BQ9" s="16" cm="1">
        <f t="array" ref="BQ9">INDEX(_xlfn.ANCHORARRAY(_xlfn.XLOOKUP($C9,'-ref_Distribution'!$B$146:$B$150,'-ref_Distribution'!$G$146:$G$150)),RIGHT(BQ$1,2))</f>
        <v>608</v>
      </c>
      <c r="BR9" s="16" cm="1">
        <f t="array" ref="BR9">INDEX(_xlfn.ANCHORARRAY(_xlfn.XLOOKUP($C9,'-ref_Distribution'!$B$146:$B$150,'-ref_Distribution'!$G$146:$G$150)),RIGHT(BR$1,2))</f>
        <v>568</v>
      </c>
      <c r="BS9" s="16" cm="1">
        <f t="array" ref="BS9">INDEX(_xlfn.ANCHORARRAY(_xlfn.XLOOKUP($C9,'-ref_Distribution'!$B$146:$B$150,'-ref_Distribution'!$G$146:$G$150)),RIGHT(BS$1,2))</f>
        <v>524</v>
      </c>
      <c r="BT9" s="16" cm="1">
        <f t="array" ref="BT9">INDEX(_xlfn.ANCHORARRAY(_xlfn.XLOOKUP($C9,'-ref_Distribution'!$B$146:$B$150,'-ref_Distribution'!$G$146:$G$150)),RIGHT(BT$1,2))</f>
        <v>478</v>
      </c>
      <c r="BU9" s="16" cm="1">
        <f t="array" ref="BU9">INDEX(_xlfn.ANCHORARRAY(_xlfn.XLOOKUP($C9,'-ref_Distribution'!$B$146:$B$150,'-ref_Distribution'!$G$146:$G$150)),RIGHT(BU$1,2))</f>
        <v>430</v>
      </c>
      <c r="BV9" s="16" cm="1">
        <f t="array" ref="BV9">INDEX(_xlfn.ANCHORARRAY(_xlfn.XLOOKUP($C9,'-ref_Distribution'!$B$146:$B$150,'-ref_Distribution'!$G$146:$G$150)),RIGHT(BV$1,2))</f>
        <v>383</v>
      </c>
      <c r="BW9" s="16" cm="1">
        <f t="array" ref="BW9">INDEX(_xlfn.ANCHORARRAY(_xlfn.XLOOKUP($C9,'-ref_Distribution'!$B$146:$B$150,'-ref_Distribution'!$G$146:$G$150)),RIGHT(BW$1,2))</f>
        <v>336</v>
      </c>
      <c r="BX9" s="16" cm="1">
        <f t="array" ref="BX9">INDEX(_xlfn.ANCHORARRAY(_xlfn.XLOOKUP($C9,'-ref_Distribution'!$B$146:$B$150,'-ref_Distribution'!$G$146:$G$150)),RIGHT(BX$1,2))</f>
        <v>292</v>
      </c>
      <c r="BY9" s="16" cm="1">
        <f t="array" ref="BY9">INDEX(_xlfn.ANCHORARRAY(_xlfn.XLOOKUP($C9,'-ref_Distribution'!$B$146:$B$150,'-ref_Distribution'!$G$146:$G$150)),RIGHT(BY$1,2))</f>
        <v>250</v>
      </c>
      <c r="BZ9" s="16" cm="1">
        <f t="array" ref="BZ9">INDEX(_xlfn.ANCHORARRAY(_xlfn.XLOOKUP($C9,'-ref_Distribution'!$B$146:$B$150,'-ref_Distribution'!$G$146:$G$150)),RIGHT(BZ$1,2))</f>
        <v>212</v>
      </c>
      <c r="CA9" s="16" cm="1">
        <f t="array" ref="CA9">INDEX(_xlfn.ANCHORARRAY(_xlfn.XLOOKUP($C9,'-ref_Distribution'!$B$146:$B$150,'-ref_Distribution'!$G$146:$G$150)),RIGHT(CA$1,2))</f>
        <v>177</v>
      </c>
      <c r="CB9" s="16" cm="1">
        <f t="array" ref="CB9">INDEX(_xlfn.ANCHORARRAY(_xlfn.XLOOKUP($C9,'-ref_Distribution'!$B$146:$B$150,'-ref_Distribution'!$G$146:$G$150)),RIGHT(CB$1,2))</f>
        <v>146</v>
      </c>
      <c r="CC9" s="16" cm="1">
        <f t="array" ref="CC9">INDEX(_xlfn.ANCHORARRAY(_xlfn.XLOOKUP($C9,'-ref_Distribution'!$B$146:$B$150,'-ref_Distribution'!$G$146:$G$150)),RIGHT(CC$1,2))</f>
        <v>119</v>
      </c>
      <c r="CD9" s="16" cm="1">
        <f t="array" ref="CD9">INDEX(_xlfn.ANCHORARRAY(_xlfn.XLOOKUP($C9,'-ref_Distribution'!$B$146:$B$150,'-ref_Distribution'!$G$146:$G$150)),RIGHT(CD$1,2))</f>
        <v>96</v>
      </c>
      <c r="CE9" s="16" cm="1">
        <f t="array" ref="CE9">INDEX(_xlfn.ANCHORARRAY(_xlfn.XLOOKUP($C9,'-ref_Distribution'!$B$146:$B$150,'-ref_Distribution'!$G$146:$G$150)),RIGHT(CE$1,2))</f>
        <v>76</v>
      </c>
    </row>
    <row r="10" spans="1:83" customFormat="1" x14ac:dyDescent="0.2">
      <c r="A10" s="16">
        <v>300032</v>
      </c>
      <c r="B10" s="16" t="s">
        <v>201</v>
      </c>
      <c r="C10" s="16">
        <v>1</v>
      </c>
      <c r="D10" s="16" cm="1">
        <f t="array" ref="D10">INDEX(_xlfn.ANCHORARRAY(_xlfn.XLOOKUP($C10,'-ref_Distribution'!$B$146:$B$150,'-ref_Distribution'!$G$146:$G$150)),RIGHT(D$1,2))</f>
        <v>337</v>
      </c>
      <c r="E10" s="16" cm="1">
        <f t="array" ref="E10">INDEX(_xlfn.ANCHORARRAY(_xlfn.XLOOKUP($C10,'-ref_Distribution'!$B$146:$B$150,'-ref_Distribution'!$G$146:$G$150)),RIGHT(E$1,2))</f>
        <v>364</v>
      </c>
      <c r="F10" s="16" cm="1">
        <f t="array" ref="F10">INDEX(_xlfn.ANCHORARRAY(_xlfn.XLOOKUP($C10,'-ref_Distribution'!$B$146:$B$150,'-ref_Distribution'!$G$146:$G$150)),RIGHT(F$1,2))</f>
        <v>386</v>
      </c>
      <c r="G10" s="16" cm="1">
        <f t="array" ref="G10">INDEX(_xlfn.ANCHORARRAY(_xlfn.XLOOKUP($C10,'-ref_Distribution'!$B$146:$B$150,'-ref_Distribution'!$G$146:$G$150)),RIGHT(G$1,2))</f>
        <v>403</v>
      </c>
      <c r="H10" s="16" cm="1">
        <f t="array" ref="H10">INDEX(_xlfn.ANCHORARRAY(_xlfn.XLOOKUP($C10,'-ref_Distribution'!$B$146:$B$150,'-ref_Distribution'!$G$146:$G$150)),RIGHT(H$1,2))</f>
        <v>414</v>
      </c>
      <c r="I10" s="16" cm="1">
        <f t="array" ref="I10">INDEX(_xlfn.ANCHORARRAY(_xlfn.XLOOKUP($C10,'-ref_Distribution'!$B$146:$B$150,'-ref_Distribution'!$G$146:$G$150)),RIGHT(I$1,2))</f>
        <v>417</v>
      </c>
      <c r="J10" s="16" cm="1">
        <f t="array" ref="J10">INDEX(_xlfn.ANCHORARRAY(_xlfn.XLOOKUP($C10,'-ref_Distribution'!$B$146:$B$150,'-ref_Distribution'!$G$146:$G$150)),RIGHT(J$1,2))</f>
        <v>414</v>
      </c>
      <c r="K10" s="16" cm="1">
        <f t="array" ref="K10">INDEX(_xlfn.ANCHORARRAY(_xlfn.XLOOKUP($C10,'-ref_Distribution'!$B$146:$B$150,'-ref_Distribution'!$G$146:$G$150)),RIGHT(K$1,2))</f>
        <v>403</v>
      </c>
      <c r="L10" s="16" cm="1">
        <f t="array" ref="L10">INDEX(_xlfn.ANCHORARRAY(_xlfn.XLOOKUP($C10,'-ref_Distribution'!$B$146:$B$150,'-ref_Distribution'!$G$146:$G$150)),RIGHT(L$1,2))</f>
        <v>386</v>
      </c>
      <c r="M10" s="16" cm="1">
        <f t="array" ref="M10">INDEX(_xlfn.ANCHORARRAY(_xlfn.XLOOKUP($C10,'-ref_Distribution'!$B$146:$B$150,'-ref_Distribution'!$G$146:$G$150)),RIGHT(M$1,2))</f>
        <v>364</v>
      </c>
      <c r="N10" s="16" cm="1">
        <f t="array" ref="N10">INDEX(_xlfn.ANCHORARRAY(_xlfn.XLOOKUP($C10,'-ref_Distribution'!$B$146:$B$150,'-ref_Distribution'!$G$146:$G$150)),RIGHT(N$1,2))</f>
        <v>337</v>
      </c>
      <c r="O10" s="16" cm="1">
        <f t="array" ref="O10">INDEX(_xlfn.ANCHORARRAY(_xlfn.XLOOKUP($C10,'-ref_Distribution'!$B$146:$B$150,'-ref_Distribution'!$G$146:$G$150)),RIGHT(O$1,2))</f>
        <v>307</v>
      </c>
      <c r="P10" s="16" cm="1">
        <f t="array" ref="P10">INDEX(_xlfn.ANCHORARRAY(_xlfn.XLOOKUP($C10,'-ref_Distribution'!$B$146:$B$150,'-ref_Distribution'!$G$146:$G$150)),RIGHT(P$1,2))</f>
        <v>274</v>
      </c>
      <c r="Q10" s="16" cm="1">
        <f t="array" ref="Q10">INDEX(_xlfn.ANCHORARRAY(_xlfn.XLOOKUP($C10,'-ref_Distribution'!$B$146:$B$150,'-ref_Distribution'!$G$146:$G$150)),RIGHT(Q$1,2))</f>
        <v>241</v>
      </c>
      <c r="R10" s="16" cm="1">
        <f t="array" ref="R10">INDEX(_xlfn.ANCHORARRAY(_xlfn.XLOOKUP($C10,'-ref_Distribution'!$B$146:$B$150,'-ref_Distribution'!$G$146:$G$150)),RIGHT(R$1,2))</f>
        <v>209</v>
      </c>
      <c r="S10" s="16" cm="1">
        <f t="array" ref="S10">INDEX(_xlfn.ANCHORARRAY(_xlfn.XLOOKUP($C10,'-ref_Distribution'!$B$146:$B$150,'-ref_Distribution'!$G$146:$G$150)),RIGHT(S$1,2))</f>
        <v>178</v>
      </c>
      <c r="T10" s="16" cm="1">
        <f t="array" ref="T10">INDEX(_xlfn.ANCHORARRAY(_xlfn.XLOOKUP($C10,'-ref_Distribution'!$B$146:$B$150,'-ref_Distribution'!$G$146:$G$150)),RIGHT(T$1,2))</f>
        <v>148</v>
      </c>
      <c r="U10" s="16" cm="1">
        <f t="array" ref="U10">INDEX(_xlfn.ANCHORARRAY(_xlfn.XLOOKUP($C10,'-ref_Distribution'!$B$146:$B$150,'-ref_Distribution'!$G$146:$G$150)),RIGHT(U$1,2))</f>
        <v>122</v>
      </c>
      <c r="V10" s="16" cm="1">
        <f t="array" ref="V10">INDEX(_xlfn.ANCHORARRAY(_xlfn.XLOOKUP($C10,'-ref_Distribution'!$B$146:$B$150,'-ref_Distribution'!$G$146:$G$150)),RIGHT(V$1,2))</f>
        <v>98</v>
      </c>
      <c r="W10" s="16" cm="1">
        <f t="array" ref="W10">INDEX(_xlfn.ANCHORARRAY(_xlfn.XLOOKUP($C10,'-ref_Distribution'!$B$146:$B$150,'-ref_Distribution'!$G$146:$G$150)),RIGHT(W$1,2))</f>
        <v>78</v>
      </c>
      <c r="X10" s="16" cm="1">
        <f t="array" ref="X10">INDEX(_xlfn.ANCHORARRAY(_xlfn.XLOOKUP($C10,'-ref_Distribution'!$B$146:$B$150,'-ref_Distribution'!$G$146:$G$150)),RIGHT(X$1,2))</f>
        <v>337</v>
      </c>
      <c r="Y10" s="16" cm="1">
        <f t="array" ref="Y10">INDEX(_xlfn.ANCHORARRAY(_xlfn.XLOOKUP($C10,'-ref_Distribution'!$B$146:$B$150,'-ref_Distribution'!$G$146:$G$150)),RIGHT(Y$1,2))</f>
        <v>364</v>
      </c>
      <c r="Z10" s="16" cm="1">
        <f t="array" ref="Z10">INDEX(_xlfn.ANCHORARRAY(_xlfn.XLOOKUP($C10,'-ref_Distribution'!$B$146:$B$150,'-ref_Distribution'!$G$146:$G$150)),RIGHT(Z$1,2))</f>
        <v>386</v>
      </c>
      <c r="AA10" s="16" cm="1">
        <f t="array" ref="AA10">INDEX(_xlfn.ANCHORARRAY(_xlfn.XLOOKUP($C10,'-ref_Distribution'!$B$146:$B$150,'-ref_Distribution'!$G$146:$G$150)),RIGHT(AA$1,2))</f>
        <v>403</v>
      </c>
      <c r="AB10" s="16" cm="1">
        <f t="array" ref="AB10">INDEX(_xlfn.ANCHORARRAY(_xlfn.XLOOKUP($C10,'-ref_Distribution'!$B$146:$B$150,'-ref_Distribution'!$G$146:$G$150)),RIGHT(AB$1,2))</f>
        <v>414</v>
      </c>
      <c r="AC10" s="16" cm="1">
        <f t="array" ref="AC10">INDEX(_xlfn.ANCHORARRAY(_xlfn.XLOOKUP($C10,'-ref_Distribution'!$B$146:$B$150,'-ref_Distribution'!$G$146:$G$150)),RIGHT(AC$1,2))</f>
        <v>417</v>
      </c>
      <c r="AD10" s="16" cm="1">
        <f t="array" ref="AD10">INDEX(_xlfn.ANCHORARRAY(_xlfn.XLOOKUP($C10,'-ref_Distribution'!$B$146:$B$150,'-ref_Distribution'!$G$146:$G$150)),RIGHT(AD$1,2))</f>
        <v>414</v>
      </c>
      <c r="AE10" s="16" cm="1">
        <f t="array" ref="AE10">INDEX(_xlfn.ANCHORARRAY(_xlfn.XLOOKUP($C10,'-ref_Distribution'!$B$146:$B$150,'-ref_Distribution'!$G$146:$G$150)),RIGHT(AE$1,2))</f>
        <v>403</v>
      </c>
      <c r="AF10" s="16" cm="1">
        <f t="array" ref="AF10">INDEX(_xlfn.ANCHORARRAY(_xlfn.XLOOKUP($C10,'-ref_Distribution'!$B$146:$B$150,'-ref_Distribution'!$G$146:$G$150)),RIGHT(AF$1,2))</f>
        <v>386</v>
      </c>
      <c r="AG10" s="16" cm="1">
        <f t="array" ref="AG10">INDEX(_xlfn.ANCHORARRAY(_xlfn.XLOOKUP($C10,'-ref_Distribution'!$B$146:$B$150,'-ref_Distribution'!$G$146:$G$150)),RIGHT(AG$1,2))</f>
        <v>364</v>
      </c>
      <c r="AH10" s="16" cm="1">
        <f t="array" ref="AH10">INDEX(_xlfn.ANCHORARRAY(_xlfn.XLOOKUP($C10,'-ref_Distribution'!$B$146:$B$150,'-ref_Distribution'!$G$146:$G$150)),RIGHT(AH$1,2))</f>
        <v>337</v>
      </c>
      <c r="AI10" s="16" cm="1">
        <f t="array" ref="AI10">INDEX(_xlfn.ANCHORARRAY(_xlfn.XLOOKUP($C10,'-ref_Distribution'!$B$146:$B$150,'-ref_Distribution'!$G$146:$G$150)),RIGHT(AI$1,2))</f>
        <v>307</v>
      </c>
      <c r="AJ10" s="16" cm="1">
        <f t="array" ref="AJ10">INDEX(_xlfn.ANCHORARRAY(_xlfn.XLOOKUP($C10,'-ref_Distribution'!$B$146:$B$150,'-ref_Distribution'!$G$146:$G$150)),RIGHT(AJ$1,2))</f>
        <v>274</v>
      </c>
      <c r="AK10" s="16" cm="1">
        <f t="array" ref="AK10">INDEX(_xlfn.ANCHORARRAY(_xlfn.XLOOKUP($C10,'-ref_Distribution'!$B$146:$B$150,'-ref_Distribution'!$G$146:$G$150)),RIGHT(AK$1,2))</f>
        <v>241</v>
      </c>
      <c r="AL10" s="16" cm="1">
        <f t="array" ref="AL10">INDEX(_xlfn.ANCHORARRAY(_xlfn.XLOOKUP($C10,'-ref_Distribution'!$B$146:$B$150,'-ref_Distribution'!$G$146:$G$150)),RIGHT(AL$1,2))</f>
        <v>209</v>
      </c>
      <c r="AM10" s="16" cm="1">
        <f t="array" ref="AM10">INDEX(_xlfn.ANCHORARRAY(_xlfn.XLOOKUP($C10,'-ref_Distribution'!$B$146:$B$150,'-ref_Distribution'!$G$146:$G$150)),RIGHT(AM$1,2))</f>
        <v>178</v>
      </c>
      <c r="AN10" s="16" cm="1">
        <f t="array" ref="AN10">INDEX(_xlfn.ANCHORARRAY(_xlfn.XLOOKUP($C10,'-ref_Distribution'!$B$146:$B$150,'-ref_Distribution'!$G$146:$G$150)),RIGHT(AN$1,2))</f>
        <v>148</v>
      </c>
      <c r="AO10" s="16" cm="1">
        <f t="array" ref="AO10">INDEX(_xlfn.ANCHORARRAY(_xlfn.XLOOKUP($C10,'-ref_Distribution'!$B$146:$B$150,'-ref_Distribution'!$G$146:$G$150)),RIGHT(AO$1,2))</f>
        <v>122</v>
      </c>
      <c r="AP10" s="16" cm="1">
        <f t="array" ref="AP10">INDEX(_xlfn.ANCHORARRAY(_xlfn.XLOOKUP($C10,'-ref_Distribution'!$B$146:$B$150,'-ref_Distribution'!$G$146:$G$150)),RIGHT(AP$1,2))</f>
        <v>98</v>
      </c>
      <c r="AQ10" s="16" cm="1">
        <f t="array" ref="AQ10">INDEX(_xlfn.ANCHORARRAY(_xlfn.XLOOKUP($C10,'-ref_Distribution'!$B$146:$B$150,'-ref_Distribution'!$G$146:$G$150)),RIGHT(AQ$1,2))</f>
        <v>78</v>
      </c>
      <c r="AR10" s="16" cm="1">
        <f t="array" ref="AR10">INDEX(_xlfn.ANCHORARRAY(_xlfn.XLOOKUP($C10,'-ref_Distribution'!$B$146:$B$150,'-ref_Distribution'!$G$146:$G$150)),RIGHT(AR$1,2))</f>
        <v>337</v>
      </c>
      <c r="AS10" s="16" cm="1">
        <f t="array" ref="AS10">INDEX(_xlfn.ANCHORARRAY(_xlfn.XLOOKUP($C10,'-ref_Distribution'!$B$146:$B$150,'-ref_Distribution'!$G$146:$G$150)),RIGHT(AS$1,2))</f>
        <v>364</v>
      </c>
      <c r="AT10" s="16" cm="1">
        <f t="array" ref="AT10">INDEX(_xlfn.ANCHORARRAY(_xlfn.XLOOKUP($C10,'-ref_Distribution'!$B$146:$B$150,'-ref_Distribution'!$G$146:$G$150)),RIGHT(AT$1,2))</f>
        <v>386</v>
      </c>
      <c r="AU10" s="16" cm="1">
        <f t="array" ref="AU10">INDEX(_xlfn.ANCHORARRAY(_xlfn.XLOOKUP($C10,'-ref_Distribution'!$B$146:$B$150,'-ref_Distribution'!$G$146:$G$150)),RIGHT(AU$1,2))</f>
        <v>403</v>
      </c>
      <c r="AV10" s="16" cm="1">
        <f t="array" ref="AV10">INDEX(_xlfn.ANCHORARRAY(_xlfn.XLOOKUP($C10,'-ref_Distribution'!$B$146:$B$150,'-ref_Distribution'!$G$146:$G$150)),RIGHT(AV$1,2))</f>
        <v>414</v>
      </c>
      <c r="AW10" s="16" cm="1">
        <f t="array" ref="AW10">INDEX(_xlfn.ANCHORARRAY(_xlfn.XLOOKUP($C10,'-ref_Distribution'!$B$146:$B$150,'-ref_Distribution'!$G$146:$G$150)),RIGHT(AW$1,2))</f>
        <v>417</v>
      </c>
      <c r="AX10" s="16" cm="1">
        <f t="array" ref="AX10">INDEX(_xlfn.ANCHORARRAY(_xlfn.XLOOKUP($C10,'-ref_Distribution'!$B$146:$B$150,'-ref_Distribution'!$G$146:$G$150)),RIGHT(AX$1,2))</f>
        <v>414</v>
      </c>
      <c r="AY10" s="16" cm="1">
        <f t="array" ref="AY10">INDEX(_xlfn.ANCHORARRAY(_xlfn.XLOOKUP($C10,'-ref_Distribution'!$B$146:$B$150,'-ref_Distribution'!$G$146:$G$150)),RIGHT(AY$1,2))</f>
        <v>403</v>
      </c>
      <c r="AZ10" s="16" cm="1">
        <f t="array" ref="AZ10">INDEX(_xlfn.ANCHORARRAY(_xlfn.XLOOKUP($C10,'-ref_Distribution'!$B$146:$B$150,'-ref_Distribution'!$G$146:$G$150)),RIGHT(AZ$1,2))</f>
        <v>386</v>
      </c>
      <c r="BA10" s="16" cm="1">
        <f t="array" ref="BA10">INDEX(_xlfn.ANCHORARRAY(_xlfn.XLOOKUP($C10,'-ref_Distribution'!$B$146:$B$150,'-ref_Distribution'!$G$146:$G$150)),RIGHT(BA$1,2))</f>
        <v>364</v>
      </c>
      <c r="BB10" s="16" cm="1">
        <f t="array" ref="BB10">INDEX(_xlfn.ANCHORARRAY(_xlfn.XLOOKUP($C10,'-ref_Distribution'!$B$146:$B$150,'-ref_Distribution'!$G$146:$G$150)),RIGHT(BB$1,2))</f>
        <v>337</v>
      </c>
      <c r="BC10" s="16" cm="1">
        <f t="array" ref="BC10">INDEX(_xlfn.ANCHORARRAY(_xlfn.XLOOKUP($C10,'-ref_Distribution'!$B$146:$B$150,'-ref_Distribution'!$G$146:$G$150)),RIGHT(BC$1,2))</f>
        <v>307</v>
      </c>
      <c r="BD10" s="16" cm="1">
        <f t="array" ref="BD10">INDEX(_xlfn.ANCHORARRAY(_xlfn.XLOOKUP($C10,'-ref_Distribution'!$B$146:$B$150,'-ref_Distribution'!$G$146:$G$150)),RIGHT(BD$1,2))</f>
        <v>274</v>
      </c>
      <c r="BE10" s="16" cm="1">
        <f t="array" ref="BE10">INDEX(_xlfn.ANCHORARRAY(_xlfn.XLOOKUP($C10,'-ref_Distribution'!$B$146:$B$150,'-ref_Distribution'!$G$146:$G$150)),RIGHT(BE$1,2))</f>
        <v>241</v>
      </c>
      <c r="BF10" s="16" cm="1">
        <f t="array" ref="BF10">INDEX(_xlfn.ANCHORARRAY(_xlfn.XLOOKUP($C10,'-ref_Distribution'!$B$146:$B$150,'-ref_Distribution'!$G$146:$G$150)),RIGHT(BF$1,2))</f>
        <v>209</v>
      </c>
      <c r="BG10" s="16" cm="1">
        <f t="array" ref="BG10">INDEX(_xlfn.ANCHORARRAY(_xlfn.XLOOKUP($C10,'-ref_Distribution'!$B$146:$B$150,'-ref_Distribution'!$G$146:$G$150)),RIGHT(BG$1,2))</f>
        <v>178</v>
      </c>
      <c r="BH10" s="16" cm="1">
        <f t="array" ref="BH10">INDEX(_xlfn.ANCHORARRAY(_xlfn.XLOOKUP($C10,'-ref_Distribution'!$B$146:$B$150,'-ref_Distribution'!$G$146:$G$150)),RIGHT(BH$1,2))</f>
        <v>148</v>
      </c>
      <c r="BI10" s="16" cm="1">
        <f t="array" ref="BI10">INDEX(_xlfn.ANCHORARRAY(_xlfn.XLOOKUP($C10,'-ref_Distribution'!$B$146:$B$150,'-ref_Distribution'!$G$146:$G$150)),RIGHT(BI$1,2))</f>
        <v>122</v>
      </c>
      <c r="BJ10" s="16" cm="1">
        <f t="array" ref="BJ10">INDEX(_xlfn.ANCHORARRAY(_xlfn.XLOOKUP($C10,'-ref_Distribution'!$B$146:$B$150,'-ref_Distribution'!$G$146:$G$150)),RIGHT(BJ$1,2))</f>
        <v>98</v>
      </c>
      <c r="BK10" s="16" cm="1">
        <f t="array" ref="BK10">INDEX(_xlfn.ANCHORARRAY(_xlfn.XLOOKUP($C10,'-ref_Distribution'!$B$146:$B$150,'-ref_Distribution'!$G$146:$G$150)),RIGHT(BK$1,2))</f>
        <v>78</v>
      </c>
      <c r="BL10" s="16" cm="1">
        <f t="array" ref="BL10">INDEX(_xlfn.ANCHORARRAY(_xlfn.XLOOKUP($C10,'-ref_Distribution'!$B$146:$B$150,'-ref_Distribution'!$G$146:$G$150)),RIGHT(BL$1,2))</f>
        <v>337</v>
      </c>
      <c r="BM10" s="16" cm="1">
        <f t="array" ref="BM10">INDEX(_xlfn.ANCHORARRAY(_xlfn.XLOOKUP($C10,'-ref_Distribution'!$B$146:$B$150,'-ref_Distribution'!$G$146:$G$150)),RIGHT(BM$1,2))</f>
        <v>364</v>
      </c>
      <c r="BN10" s="16" cm="1">
        <f t="array" ref="BN10">INDEX(_xlfn.ANCHORARRAY(_xlfn.XLOOKUP($C10,'-ref_Distribution'!$B$146:$B$150,'-ref_Distribution'!$G$146:$G$150)),RIGHT(BN$1,2))</f>
        <v>386</v>
      </c>
      <c r="BO10" s="16" cm="1">
        <f t="array" ref="BO10">INDEX(_xlfn.ANCHORARRAY(_xlfn.XLOOKUP($C10,'-ref_Distribution'!$B$146:$B$150,'-ref_Distribution'!$G$146:$G$150)),RIGHT(BO$1,2))</f>
        <v>403</v>
      </c>
      <c r="BP10" s="16" cm="1">
        <f t="array" ref="BP10">INDEX(_xlfn.ANCHORARRAY(_xlfn.XLOOKUP($C10,'-ref_Distribution'!$B$146:$B$150,'-ref_Distribution'!$G$146:$G$150)),RIGHT(BP$1,2))</f>
        <v>414</v>
      </c>
      <c r="BQ10" s="16" cm="1">
        <f t="array" ref="BQ10">INDEX(_xlfn.ANCHORARRAY(_xlfn.XLOOKUP($C10,'-ref_Distribution'!$B$146:$B$150,'-ref_Distribution'!$G$146:$G$150)),RIGHT(BQ$1,2))</f>
        <v>417</v>
      </c>
      <c r="BR10" s="16" cm="1">
        <f t="array" ref="BR10">INDEX(_xlfn.ANCHORARRAY(_xlfn.XLOOKUP($C10,'-ref_Distribution'!$B$146:$B$150,'-ref_Distribution'!$G$146:$G$150)),RIGHT(BR$1,2))</f>
        <v>414</v>
      </c>
      <c r="BS10" s="16" cm="1">
        <f t="array" ref="BS10">INDEX(_xlfn.ANCHORARRAY(_xlfn.XLOOKUP($C10,'-ref_Distribution'!$B$146:$B$150,'-ref_Distribution'!$G$146:$G$150)),RIGHT(BS$1,2))</f>
        <v>403</v>
      </c>
      <c r="BT10" s="16" cm="1">
        <f t="array" ref="BT10">INDEX(_xlfn.ANCHORARRAY(_xlfn.XLOOKUP($C10,'-ref_Distribution'!$B$146:$B$150,'-ref_Distribution'!$G$146:$G$150)),RIGHT(BT$1,2))</f>
        <v>386</v>
      </c>
      <c r="BU10" s="16" cm="1">
        <f t="array" ref="BU10">INDEX(_xlfn.ANCHORARRAY(_xlfn.XLOOKUP($C10,'-ref_Distribution'!$B$146:$B$150,'-ref_Distribution'!$G$146:$G$150)),RIGHT(BU$1,2))</f>
        <v>364</v>
      </c>
      <c r="BV10" s="16" cm="1">
        <f t="array" ref="BV10">INDEX(_xlfn.ANCHORARRAY(_xlfn.XLOOKUP($C10,'-ref_Distribution'!$B$146:$B$150,'-ref_Distribution'!$G$146:$G$150)),RIGHT(BV$1,2))</f>
        <v>337</v>
      </c>
      <c r="BW10" s="16" cm="1">
        <f t="array" ref="BW10">INDEX(_xlfn.ANCHORARRAY(_xlfn.XLOOKUP($C10,'-ref_Distribution'!$B$146:$B$150,'-ref_Distribution'!$G$146:$G$150)),RIGHT(BW$1,2))</f>
        <v>307</v>
      </c>
      <c r="BX10" s="16" cm="1">
        <f t="array" ref="BX10">INDEX(_xlfn.ANCHORARRAY(_xlfn.XLOOKUP($C10,'-ref_Distribution'!$B$146:$B$150,'-ref_Distribution'!$G$146:$G$150)),RIGHT(BX$1,2))</f>
        <v>274</v>
      </c>
      <c r="BY10" s="16" cm="1">
        <f t="array" ref="BY10">INDEX(_xlfn.ANCHORARRAY(_xlfn.XLOOKUP($C10,'-ref_Distribution'!$B$146:$B$150,'-ref_Distribution'!$G$146:$G$150)),RIGHT(BY$1,2))</f>
        <v>241</v>
      </c>
      <c r="BZ10" s="16" cm="1">
        <f t="array" ref="BZ10">INDEX(_xlfn.ANCHORARRAY(_xlfn.XLOOKUP($C10,'-ref_Distribution'!$B$146:$B$150,'-ref_Distribution'!$G$146:$G$150)),RIGHT(BZ$1,2))</f>
        <v>209</v>
      </c>
      <c r="CA10" s="16" cm="1">
        <f t="array" ref="CA10">INDEX(_xlfn.ANCHORARRAY(_xlfn.XLOOKUP($C10,'-ref_Distribution'!$B$146:$B$150,'-ref_Distribution'!$G$146:$G$150)),RIGHT(CA$1,2))</f>
        <v>178</v>
      </c>
      <c r="CB10" s="16" cm="1">
        <f t="array" ref="CB10">INDEX(_xlfn.ANCHORARRAY(_xlfn.XLOOKUP($C10,'-ref_Distribution'!$B$146:$B$150,'-ref_Distribution'!$G$146:$G$150)),RIGHT(CB$1,2))</f>
        <v>148</v>
      </c>
      <c r="CC10" s="16" cm="1">
        <f t="array" ref="CC10">INDEX(_xlfn.ANCHORARRAY(_xlfn.XLOOKUP($C10,'-ref_Distribution'!$B$146:$B$150,'-ref_Distribution'!$G$146:$G$150)),RIGHT(CC$1,2))</f>
        <v>122</v>
      </c>
      <c r="CD10" s="16" cm="1">
        <f t="array" ref="CD10">INDEX(_xlfn.ANCHORARRAY(_xlfn.XLOOKUP($C10,'-ref_Distribution'!$B$146:$B$150,'-ref_Distribution'!$G$146:$G$150)),RIGHT(CD$1,2))</f>
        <v>98</v>
      </c>
      <c r="CE10" s="16" cm="1">
        <f t="array" ref="CE10">INDEX(_xlfn.ANCHORARRAY(_xlfn.XLOOKUP($C10,'-ref_Distribution'!$B$146:$B$150,'-ref_Distribution'!$G$146:$G$150)),RIGHT(CE$1,2))</f>
        <v>78</v>
      </c>
    </row>
    <row r="11" spans="1:83" customFormat="1" x14ac:dyDescent="0.2">
      <c r="A11" s="16">
        <v>300033</v>
      </c>
      <c r="B11" s="16" t="s">
        <v>201</v>
      </c>
      <c r="C11" s="16">
        <v>2</v>
      </c>
      <c r="D11" s="16" cm="1">
        <f t="array" ref="D11">INDEX(_xlfn.ANCHORARRAY(_xlfn.XLOOKUP($C11,'-ref_Distribution'!$B$146:$B$150,'-ref_Distribution'!$G$146:$G$150)),RIGHT(D$1,2))</f>
        <v>75</v>
      </c>
      <c r="E11" s="16" cm="1">
        <f t="array" ref="E11">INDEX(_xlfn.ANCHORARRAY(_xlfn.XLOOKUP($C11,'-ref_Distribution'!$B$146:$B$150,'-ref_Distribution'!$G$146:$G$150)),RIGHT(E$1,2))</f>
        <v>94</v>
      </c>
      <c r="F11" s="16" cm="1">
        <f t="array" ref="F11">INDEX(_xlfn.ANCHORARRAY(_xlfn.XLOOKUP($C11,'-ref_Distribution'!$B$146:$B$150,'-ref_Distribution'!$G$146:$G$150)),RIGHT(F$1,2))</f>
        <v>115</v>
      </c>
      <c r="G11" s="16" cm="1">
        <f t="array" ref="G11">INDEX(_xlfn.ANCHORARRAY(_xlfn.XLOOKUP($C11,'-ref_Distribution'!$B$146:$B$150,'-ref_Distribution'!$G$146:$G$150)),RIGHT(G$1,2))</f>
        <v>137</v>
      </c>
      <c r="H11" s="16" cm="1">
        <f t="array" ref="H11">INDEX(_xlfn.ANCHORARRAY(_xlfn.XLOOKUP($C11,'-ref_Distribution'!$B$146:$B$150,'-ref_Distribution'!$G$146:$G$150)),RIGHT(H$1,2))</f>
        <v>160</v>
      </c>
      <c r="I11" s="16" cm="1">
        <f t="array" ref="I11">INDEX(_xlfn.ANCHORARRAY(_xlfn.XLOOKUP($C11,'-ref_Distribution'!$B$146:$B$150,'-ref_Distribution'!$G$146:$G$150)),RIGHT(I$1,2))</f>
        <v>183</v>
      </c>
      <c r="J11" s="16" cm="1">
        <f t="array" ref="J11">INDEX(_xlfn.ANCHORARRAY(_xlfn.XLOOKUP($C11,'-ref_Distribution'!$B$146:$B$150,'-ref_Distribution'!$G$146:$G$150)),RIGHT(J$1,2))</f>
        <v>203</v>
      </c>
      <c r="K11" s="16" cm="1">
        <f t="array" ref="K11">INDEX(_xlfn.ANCHORARRAY(_xlfn.XLOOKUP($C11,'-ref_Distribution'!$B$146:$B$150,'-ref_Distribution'!$G$146:$G$150)),RIGHT(K$1,2))</f>
        <v>221</v>
      </c>
      <c r="L11" s="16" cm="1">
        <f t="array" ref="L11">INDEX(_xlfn.ANCHORARRAY(_xlfn.XLOOKUP($C11,'-ref_Distribution'!$B$146:$B$150,'-ref_Distribution'!$G$146:$G$150)),RIGHT(L$1,2))</f>
        <v>234</v>
      </c>
      <c r="M11" s="16" cm="1">
        <f t="array" ref="M11">INDEX(_xlfn.ANCHORARRAY(_xlfn.XLOOKUP($C11,'-ref_Distribution'!$B$146:$B$150,'-ref_Distribution'!$G$146:$G$150)),RIGHT(M$1,2))</f>
        <v>243</v>
      </c>
      <c r="N11" s="16" cm="1">
        <f t="array" ref="N11">INDEX(_xlfn.ANCHORARRAY(_xlfn.XLOOKUP($C11,'-ref_Distribution'!$B$146:$B$150,'-ref_Distribution'!$G$146:$G$150)),RIGHT(N$1,2))</f>
        <v>245</v>
      </c>
      <c r="O11" s="16" cm="1">
        <f t="array" ref="O11">INDEX(_xlfn.ANCHORARRAY(_xlfn.XLOOKUP($C11,'-ref_Distribution'!$B$146:$B$150,'-ref_Distribution'!$G$146:$G$150)),RIGHT(O$1,2))</f>
        <v>243</v>
      </c>
      <c r="P11" s="16" cm="1">
        <f t="array" ref="P11">INDEX(_xlfn.ANCHORARRAY(_xlfn.XLOOKUP($C11,'-ref_Distribution'!$B$146:$B$150,'-ref_Distribution'!$G$146:$G$150)),RIGHT(P$1,2))</f>
        <v>234</v>
      </c>
      <c r="Q11" s="16" cm="1">
        <f t="array" ref="Q11">INDEX(_xlfn.ANCHORARRAY(_xlfn.XLOOKUP($C11,'-ref_Distribution'!$B$146:$B$150,'-ref_Distribution'!$G$146:$G$150)),RIGHT(Q$1,2))</f>
        <v>221</v>
      </c>
      <c r="R11" s="16" cm="1">
        <f t="array" ref="R11">INDEX(_xlfn.ANCHORARRAY(_xlfn.XLOOKUP($C11,'-ref_Distribution'!$B$146:$B$150,'-ref_Distribution'!$G$146:$G$150)),RIGHT(R$1,2))</f>
        <v>203</v>
      </c>
      <c r="S11" s="16" cm="1">
        <f t="array" ref="S11">INDEX(_xlfn.ANCHORARRAY(_xlfn.XLOOKUP($C11,'-ref_Distribution'!$B$146:$B$150,'-ref_Distribution'!$G$146:$G$150)),RIGHT(S$1,2))</f>
        <v>183</v>
      </c>
      <c r="T11" s="16" cm="1">
        <f t="array" ref="T11">INDEX(_xlfn.ANCHORARRAY(_xlfn.XLOOKUP($C11,'-ref_Distribution'!$B$146:$B$150,'-ref_Distribution'!$G$146:$G$150)),RIGHT(T$1,2))</f>
        <v>160</v>
      </c>
      <c r="U11" s="16" cm="1">
        <f t="array" ref="U11">INDEX(_xlfn.ANCHORARRAY(_xlfn.XLOOKUP($C11,'-ref_Distribution'!$B$146:$B$150,'-ref_Distribution'!$G$146:$G$150)),RIGHT(U$1,2))</f>
        <v>137</v>
      </c>
      <c r="V11" s="16" cm="1">
        <f t="array" ref="V11">INDEX(_xlfn.ANCHORARRAY(_xlfn.XLOOKUP($C11,'-ref_Distribution'!$B$146:$B$150,'-ref_Distribution'!$G$146:$G$150)),RIGHT(V$1,2))</f>
        <v>115</v>
      </c>
      <c r="W11" s="16" cm="1">
        <f t="array" ref="W11">INDEX(_xlfn.ANCHORARRAY(_xlfn.XLOOKUP($C11,'-ref_Distribution'!$B$146:$B$150,'-ref_Distribution'!$G$146:$G$150)),RIGHT(W$1,2))</f>
        <v>94</v>
      </c>
      <c r="X11" s="16" cm="1">
        <f t="array" ref="X11">INDEX(_xlfn.ANCHORARRAY(_xlfn.XLOOKUP($C11,'-ref_Distribution'!$B$146:$B$150,'-ref_Distribution'!$G$146:$G$150)),RIGHT(X$1,2))</f>
        <v>75</v>
      </c>
      <c r="Y11" s="16" cm="1">
        <f t="array" ref="Y11">INDEX(_xlfn.ANCHORARRAY(_xlfn.XLOOKUP($C11,'-ref_Distribution'!$B$146:$B$150,'-ref_Distribution'!$G$146:$G$150)),RIGHT(Y$1,2))</f>
        <v>94</v>
      </c>
      <c r="Z11" s="16" cm="1">
        <f t="array" ref="Z11">INDEX(_xlfn.ANCHORARRAY(_xlfn.XLOOKUP($C11,'-ref_Distribution'!$B$146:$B$150,'-ref_Distribution'!$G$146:$G$150)),RIGHT(Z$1,2))</f>
        <v>115</v>
      </c>
      <c r="AA11" s="16" cm="1">
        <f t="array" ref="AA11">INDEX(_xlfn.ANCHORARRAY(_xlfn.XLOOKUP($C11,'-ref_Distribution'!$B$146:$B$150,'-ref_Distribution'!$G$146:$G$150)),RIGHT(AA$1,2))</f>
        <v>137</v>
      </c>
      <c r="AB11" s="16" cm="1">
        <f t="array" ref="AB11">INDEX(_xlfn.ANCHORARRAY(_xlfn.XLOOKUP($C11,'-ref_Distribution'!$B$146:$B$150,'-ref_Distribution'!$G$146:$G$150)),RIGHT(AB$1,2))</f>
        <v>160</v>
      </c>
      <c r="AC11" s="16" cm="1">
        <f t="array" ref="AC11">INDEX(_xlfn.ANCHORARRAY(_xlfn.XLOOKUP($C11,'-ref_Distribution'!$B$146:$B$150,'-ref_Distribution'!$G$146:$G$150)),RIGHT(AC$1,2))</f>
        <v>183</v>
      </c>
      <c r="AD11" s="16" cm="1">
        <f t="array" ref="AD11">INDEX(_xlfn.ANCHORARRAY(_xlfn.XLOOKUP($C11,'-ref_Distribution'!$B$146:$B$150,'-ref_Distribution'!$G$146:$G$150)),RIGHT(AD$1,2))</f>
        <v>203</v>
      </c>
      <c r="AE11" s="16" cm="1">
        <f t="array" ref="AE11">INDEX(_xlfn.ANCHORARRAY(_xlfn.XLOOKUP($C11,'-ref_Distribution'!$B$146:$B$150,'-ref_Distribution'!$G$146:$G$150)),RIGHT(AE$1,2))</f>
        <v>221</v>
      </c>
      <c r="AF11" s="16" cm="1">
        <f t="array" ref="AF11">INDEX(_xlfn.ANCHORARRAY(_xlfn.XLOOKUP($C11,'-ref_Distribution'!$B$146:$B$150,'-ref_Distribution'!$G$146:$G$150)),RIGHT(AF$1,2))</f>
        <v>234</v>
      </c>
      <c r="AG11" s="16" cm="1">
        <f t="array" ref="AG11">INDEX(_xlfn.ANCHORARRAY(_xlfn.XLOOKUP($C11,'-ref_Distribution'!$B$146:$B$150,'-ref_Distribution'!$G$146:$G$150)),RIGHT(AG$1,2))</f>
        <v>243</v>
      </c>
      <c r="AH11" s="16" cm="1">
        <f t="array" ref="AH11">INDEX(_xlfn.ANCHORARRAY(_xlfn.XLOOKUP($C11,'-ref_Distribution'!$B$146:$B$150,'-ref_Distribution'!$G$146:$G$150)),RIGHT(AH$1,2))</f>
        <v>245</v>
      </c>
      <c r="AI11" s="16" cm="1">
        <f t="array" ref="AI11">INDEX(_xlfn.ANCHORARRAY(_xlfn.XLOOKUP($C11,'-ref_Distribution'!$B$146:$B$150,'-ref_Distribution'!$G$146:$G$150)),RIGHT(AI$1,2))</f>
        <v>243</v>
      </c>
      <c r="AJ11" s="16" cm="1">
        <f t="array" ref="AJ11">INDEX(_xlfn.ANCHORARRAY(_xlfn.XLOOKUP($C11,'-ref_Distribution'!$B$146:$B$150,'-ref_Distribution'!$G$146:$G$150)),RIGHT(AJ$1,2))</f>
        <v>234</v>
      </c>
      <c r="AK11" s="16" cm="1">
        <f t="array" ref="AK11">INDEX(_xlfn.ANCHORARRAY(_xlfn.XLOOKUP($C11,'-ref_Distribution'!$B$146:$B$150,'-ref_Distribution'!$G$146:$G$150)),RIGHT(AK$1,2))</f>
        <v>221</v>
      </c>
      <c r="AL11" s="16" cm="1">
        <f t="array" ref="AL11">INDEX(_xlfn.ANCHORARRAY(_xlfn.XLOOKUP($C11,'-ref_Distribution'!$B$146:$B$150,'-ref_Distribution'!$G$146:$G$150)),RIGHT(AL$1,2))</f>
        <v>203</v>
      </c>
      <c r="AM11" s="16" cm="1">
        <f t="array" ref="AM11">INDEX(_xlfn.ANCHORARRAY(_xlfn.XLOOKUP($C11,'-ref_Distribution'!$B$146:$B$150,'-ref_Distribution'!$G$146:$G$150)),RIGHT(AM$1,2))</f>
        <v>183</v>
      </c>
      <c r="AN11" s="16" cm="1">
        <f t="array" ref="AN11">INDEX(_xlfn.ANCHORARRAY(_xlfn.XLOOKUP($C11,'-ref_Distribution'!$B$146:$B$150,'-ref_Distribution'!$G$146:$G$150)),RIGHT(AN$1,2))</f>
        <v>160</v>
      </c>
      <c r="AO11" s="16" cm="1">
        <f t="array" ref="AO11">INDEX(_xlfn.ANCHORARRAY(_xlfn.XLOOKUP($C11,'-ref_Distribution'!$B$146:$B$150,'-ref_Distribution'!$G$146:$G$150)),RIGHT(AO$1,2))</f>
        <v>137</v>
      </c>
      <c r="AP11" s="16" cm="1">
        <f t="array" ref="AP11">INDEX(_xlfn.ANCHORARRAY(_xlfn.XLOOKUP($C11,'-ref_Distribution'!$B$146:$B$150,'-ref_Distribution'!$G$146:$G$150)),RIGHT(AP$1,2))</f>
        <v>115</v>
      </c>
      <c r="AQ11" s="16" cm="1">
        <f t="array" ref="AQ11">INDEX(_xlfn.ANCHORARRAY(_xlfn.XLOOKUP($C11,'-ref_Distribution'!$B$146:$B$150,'-ref_Distribution'!$G$146:$G$150)),RIGHT(AQ$1,2))</f>
        <v>94</v>
      </c>
      <c r="AR11" s="16" cm="1">
        <f t="array" ref="AR11">INDEX(_xlfn.ANCHORARRAY(_xlfn.XLOOKUP($C11,'-ref_Distribution'!$B$146:$B$150,'-ref_Distribution'!$G$146:$G$150)),RIGHT(AR$1,2))</f>
        <v>75</v>
      </c>
      <c r="AS11" s="16" cm="1">
        <f t="array" ref="AS11">INDEX(_xlfn.ANCHORARRAY(_xlfn.XLOOKUP($C11,'-ref_Distribution'!$B$146:$B$150,'-ref_Distribution'!$G$146:$G$150)),RIGHT(AS$1,2))</f>
        <v>94</v>
      </c>
      <c r="AT11" s="16" cm="1">
        <f t="array" ref="AT11">INDEX(_xlfn.ANCHORARRAY(_xlfn.XLOOKUP($C11,'-ref_Distribution'!$B$146:$B$150,'-ref_Distribution'!$G$146:$G$150)),RIGHT(AT$1,2))</f>
        <v>115</v>
      </c>
      <c r="AU11" s="16" cm="1">
        <f t="array" ref="AU11">INDEX(_xlfn.ANCHORARRAY(_xlfn.XLOOKUP($C11,'-ref_Distribution'!$B$146:$B$150,'-ref_Distribution'!$G$146:$G$150)),RIGHT(AU$1,2))</f>
        <v>137</v>
      </c>
      <c r="AV11" s="16" cm="1">
        <f t="array" ref="AV11">INDEX(_xlfn.ANCHORARRAY(_xlfn.XLOOKUP($C11,'-ref_Distribution'!$B$146:$B$150,'-ref_Distribution'!$G$146:$G$150)),RIGHT(AV$1,2))</f>
        <v>160</v>
      </c>
      <c r="AW11" s="16" cm="1">
        <f t="array" ref="AW11">INDEX(_xlfn.ANCHORARRAY(_xlfn.XLOOKUP($C11,'-ref_Distribution'!$B$146:$B$150,'-ref_Distribution'!$G$146:$G$150)),RIGHT(AW$1,2))</f>
        <v>183</v>
      </c>
      <c r="AX11" s="16" cm="1">
        <f t="array" ref="AX11">INDEX(_xlfn.ANCHORARRAY(_xlfn.XLOOKUP($C11,'-ref_Distribution'!$B$146:$B$150,'-ref_Distribution'!$G$146:$G$150)),RIGHT(AX$1,2))</f>
        <v>203</v>
      </c>
      <c r="AY11" s="16" cm="1">
        <f t="array" ref="AY11">INDEX(_xlfn.ANCHORARRAY(_xlfn.XLOOKUP($C11,'-ref_Distribution'!$B$146:$B$150,'-ref_Distribution'!$G$146:$G$150)),RIGHT(AY$1,2))</f>
        <v>221</v>
      </c>
      <c r="AZ11" s="16" cm="1">
        <f t="array" ref="AZ11">INDEX(_xlfn.ANCHORARRAY(_xlfn.XLOOKUP($C11,'-ref_Distribution'!$B$146:$B$150,'-ref_Distribution'!$G$146:$G$150)),RIGHT(AZ$1,2))</f>
        <v>234</v>
      </c>
      <c r="BA11" s="16" cm="1">
        <f t="array" ref="BA11">INDEX(_xlfn.ANCHORARRAY(_xlfn.XLOOKUP($C11,'-ref_Distribution'!$B$146:$B$150,'-ref_Distribution'!$G$146:$G$150)),RIGHT(BA$1,2))</f>
        <v>243</v>
      </c>
      <c r="BB11" s="16" cm="1">
        <f t="array" ref="BB11">INDEX(_xlfn.ANCHORARRAY(_xlfn.XLOOKUP($C11,'-ref_Distribution'!$B$146:$B$150,'-ref_Distribution'!$G$146:$G$150)),RIGHT(BB$1,2))</f>
        <v>245</v>
      </c>
      <c r="BC11" s="16" cm="1">
        <f t="array" ref="BC11">INDEX(_xlfn.ANCHORARRAY(_xlfn.XLOOKUP($C11,'-ref_Distribution'!$B$146:$B$150,'-ref_Distribution'!$G$146:$G$150)),RIGHT(BC$1,2))</f>
        <v>243</v>
      </c>
      <c r="BD11" s="16" cm="1">
        <f t="array" ref="BD11">INDEX(_xlfn.ANCHORARRAY(_xlfn.XLOOKUP($C11,'-ref_Distribution'!$B$146:$B$150,'-ref_Distribution'!$G$146:$G$150)),RIGHT(BD$1,2))</f>
        <v>234</v>
      </c>
      <c r="BE11" s="16" cm="1">
        <f t="array" ref="BE11">INDEX(_xlfn.ANCHORARRAY(_xlfn.XLOOKUP($C11,'-ref_Distribution'!$B$146:$B$150,'-ref_Distribution'!$G$146:$G$150)),RIGHT(BE$1,2))</f>
        <v>221</v>
      </c>
      <c r="BF11" s="16" cm="1">
        <f t="array" ref="BF11">INDEX(_xlfn.ANCHORARRAY(_xlfn.XLOOKUP($C11,'-ref_Distribution'!$B$146:$B$150,'-ref_Distribution'!$G$146:$G$150)),RIGHT(BF$1,2))</f>
        <v>203</v>
      </c>
      <c r="BG11" s="16" cm="1">
        <f t="array" ref="BG11">INDEX(_xlfn.ANCHORARRAY(_xlfn.XLOOKUP($C11,'-ref_Distribution'!$B$146:$B$150,'-ref_Distribution'!$G$146:$G$150)),RIGHT(BG$1,2))</f>
        <v>183</v>
      </c>
      <c r="BH11" s="16" cm="1">
        <f t="array" ref="BH11">INDEX(_xlfn.ANCHORARRAY(_xlfn.XLOOKUP($C11,'-ref_Distribution'!$B$146:$B$150,'-ref_Distribution'!$G$146:$G$150)),RIGHT(BH$1,2))</f>
        <v>160</v>
      </c>
      <c r="BI11" s="16" cm="1">
        <f t="array" ref="BI11">INDEX(_xlfn.ANCHORARRAY(_xlfn.XLOOKUP($C11,'-ref_Distribution'!$B$146:$B$150,'-ref_Distribution'!$G$146:$G$150)),RIGHT(BI$1,2))</f>
        <v>137</v>
      </c>
      <c r="BJ11" s="16" cm="1">
        <f t="array" ref="BJ11">INDEX(_xlfn.ANCHORARRAY(_xlfn.XLOOKUP($C11,'-ref_Distribution'!$B$146:$B$150,'-ref_Distribution'!$G$146:$G$150)),RIGHT(BJ$1,2))</f>
        <v>115</v>
      </c>
      <c r="BK11" s="16" cm="1">
        <f t="array" ref="BK11">INDEX(_xlfn.ANCHORARRAY(_xlfn.XLOOKUP($C11,'-ref_Distribution'!$B$146:$B$150,'-ref_Distribution'!$G$146:$G$150)),RIGHT(BK$1,2))</f>
        <v>94</v>
      </c>
      <c r="BL11" s="16" cm="1">
        <f t="array" ref="BL11">INDEX(_xlfn.ANCHORARRAY(_xlfn.XLOOKUP($C11,'-ref_Distribution'!$B$146:$B$150,'-ref_Distribution'!$G$146:$G$150)),RIGHT(BL$1,2))</f>
        <v>75</v>
      </c>
      <c r="BM11" s="16" cm="1">
        <f t="array" ref="BM11">INDEX(_xlfn.ANCHORARRAY(_xlfn.XLOOKUP($C11,'-ref_Distribution'!$B$146:$B$150,'-ref_Distribution'!$G$146:$G$150)),RIGHT(BM$1,2))</f>
        <v>94</v>
      </c>
      <c r="BN11" s="16" cm="1">
        <f t="array" ref="BN11">INDEX(_xlfn.ANCHORARRAY(_xlfn.XLOOKUP($C11,'-ref_Distribution'!$B$146:$B$150,'-ref_Distribution'!$G$146:$G$150)),RIGHT(BN$1,2))</f>
        <v>115</v>
      </c>
      <c r="BO11" s="16" cm="1">
        <f t="array" ref="BO11">INDEX(_xlfn.ANCHORARRAY(_xlfn.XLOOKUP($C11,'-ref_Distribution'!$B$146:$B$150,'-ref_Distribution'!$G$146:$G$150)),RIGHT(BO$1,2))</f>
        <v>137</v>
      </c>
      <c r="BP11" s="16" cm="1">
        <f t="array" ref="BP11">INDEX(_xlfn.ANCHORARRAY(_xlfn.XLOOKUP($C11,'-ref_Distribution'!$B$146:$B$150,'-ref_Distribution'!$G$146:$G$150)),RIGHT(BP$1,2))</f>
        <v>160</v>
      </c>
      <c r="BQ11" s="16" cm="1">
        <f t="array" ref="BQ11">INDEX(_xlfn.ANCHORARRAY(_xlfn.XLOOKUP($C11,'-ref_Distribution'!$B$146:$B$150,'-ref_Distribution'!$G$146:$G$150)),RIGHT(BQ$1,2))</f>
        <v>183</v>
      </c>
      <c r="BR11" s="16" cm="1">
        <f t="array" ref="BR11">INDEX(_xlfn.ANCHORARRAY(_xlfn.XLOOKUP($C11,'-ref_Distribution'!$B$146:$B$150,'-ref_Distribution'!$G$146:$G$150)),RIGHT(BR$1,2))</f>
        <v>203</v>
      </c>
      <c r="BS11" s="16" cm="1">
        <f t="array" ref="BS11">INDEX(_xlfn.ANCHORARRAY(_xlfn.XLOOKUP($C11,'-ref_Distribution'!$B$146:$B$150,'-ref_Distribution'!$G$146:$G$150)),RIGHT(BS$1,2))</f>
        <v>221</v>
      </c>
      <c r="BT11" s="16" cm="1">
        <f t="array" ref="BT11">INDEX(_xlfn.ANCHORARRAY(_xlfn.XLOOKUP($C11,'-ref_Distribution'!$B$146:$B$150,'-ref_Distribution'!$G$146:$G$150)),RIGHT(BT$1,2))</f>
        <v>234</v>
      </c>
      <c r="BU11" s="16" cm="1">
        <f t="array" ref="BU11">INDEX(_xlfn.ANCHORARRAY(_xlfn.XLOOKUP($C11,'-ref_Distribution'!$B$146:$B$150,'-ref_Distribution'!$G$146:$G$150)),RIGHT(BU$1,2))</f>
        <v>243</v>
      </c>
      <c r="BV11" s="16" cm="1">
        <f t="array" ref="BV11">INDEX(_xlfn.ANCHORARRAY(_xlfn.XLOOKUP($C11,'-ref_Distribution'!$B$146:$B$150,'-ref_Distribution'!$G$146:$G$150)),RIGHT(BV$1,2))</f>
        <v>245</v>
      </c>
      <c r="BW11" s="16" cm="1">
        <f t="array" ref="BW11">INDEX(_xlfn.ANCHORARRAY(_xlfn.XLOOKUP($C11,'-ref_Distribution'!$B$146:$B$150,'-ref_Distribution'!$G$146:$G$150)),RIGHT(BW$1,2))</f>
        <v>243</v>
      </c>
      <c r="BX11" s="16" cm="1">
        <f t="array" ref="BX11">INDEX(_xlfn.ANCHORARRAY(_xlfn.XLOOKUP($C11,'-ref_Distribution'!$B$146:$B$150,'-ref_Distribution'!$G$146:$G$150)),RIGHT(BX$1,2))</f>
        <v>234</v>
      </c>
      <c r="BY11" s="16" cm="1">
        <f t="array" ref="BY11">INDEX(_xlfn.ANCHORARRAY(_xlfn.XLOOKUP($C11,'-ref_Distribution'!$B$146:$B$150,'-ref_Distribution'!$G$146:$G$150)),RIGHT(BY$1,2))</f>
        <v>221</v>
      </c>
      <c r="BZ11" s="16" cm="1">
        <f t="array" ref="BZ11">INDEX(_xlfn.ANCHORARRAY(_xlfn.XLOOKUP($C11,'-ref_Distribution'!$B$146:$B$150,'-ref_Distribution'!$G$146:$G$150)),RIGHT(BZ$1,2))</f>
        <v>203</v>
      </c>
      <c r="CA11" s="16" cm="1">
        <f t="array" ref="CA11">INDEX(_xlfn.ANCHORARRAY(_xlfn.XLOOKUP($C11,'-ref_Distribution'!$B$146:$B$150,'-ref_Distribution'!$G$146:$G$150)),RIGHT(CA$1,2))</f>
        <v>183</v>
      </c>
      <c r="CB11" s="16" cm="1">
        <f t="array" ref="CB11">INDEX(_xlfn.ANCHORARRAY(_xlfn.XLOOKUP($C11,'-ref_Distribution'!$B$146:$B$150,'-ref_Distribution'!$G$146:$G$150)),RIGHT(CB$1,2))</f>
        <v>160</v>
      </c>
      <c r="CC11" s="16" cm="1">
        <f t="array" ref="CC11">INDEX(_xlfn.ANCHORARRAY(_xlfn.XLOOKUP($C11,'-ref_Distribution'!$B$146:$B$150,'-ref_Distribution'!$G$146:$G$150)),RIGHT(CC$1,2))</f>
        <v>137</v>
      </c>
      <c r="CD11" s="16" cm="1">
        <f t="array" ref="CD11">INDEX(_xlfn.ANCHORARRAY(_xlfn.XLOOKUP($C11,'-ref_Distribution'!$B$146:$B$150,'-ref_Distribution'!$G$146:$G$150)),RIGHT(CD$1,2))</f>
        <v>115</v>
      </c>
      <c r="CE11" s="16" cm="1">
        <f t="array" ref="CE11">INDEX(_xlfn.ANCHORARRAY(_xlfn.XLOOKUP($C11,'-ref_Distribution'!$B$146:$B$150,'-ref_Distribution'!$G$146:$G$150)),RIGHT(CE$1,2))</f>
        <v>94</v>
      </c>
    </row>
    <row r="12" spans="1:83" customFormat="1" x14ac:dyDescent="0.2">
      <c r="A12" s="16">
        <v>300034</v>
      </c>
      <c r="B12" s="16" t="s">
        <v>201</v>
      </c>
      <c r="C12" s="16">
        <v>3</v>
      </c>
      <c r="D12" s="16" cm="1">
        <f t="array" ref="D12">INDEX(_xlfn.ANCHORARRAY(_xlfn.XLOOKUP($C12,'-ref_Distribution'!$B$146:$B$150,'-ref_Distribution'!$G$146:$G$150)),RIGHT(D$1,2))</f>
        <v>4</v>
      </c>
      <c r="E12" s="16" cm="1">
        <f t="array" ref="E12">INDEX(_xlfn.ANCHORARRAY(_xlfn.XLOOKUP($C12,'-ref_Distribution'!$B$146:$B$150,'-ref_Distribution'!$G$146:$G$150)),RIGHT(E$1,2))</f>
        <v>6</v>
      </c>
      <c r="F12" s="16" cm="1">
        <f t="array" ref="F12">INDEX(_xlfn.ANCHORARRAY(_xlfn.XLOOKUP($C12,'-ref_Distribution'!$B$146:$B$150,'-ref_Distribution'!$G$146:$G$150)),RIGHT(F$1,2))</f>
        <v>9</v>
      </c>
      <c r="G12" s="16" cm="1">
        <f t="array" ref="G12">INDEX(_xlfn.ANCHORARRAY(_xlfn.XLOOKUP($C12,'-ref_Distribution'!$B$146:$B$150,'-ref_Distribution'!$G$146:$G$150)),RIGHT(G$1,2))</f>
        <v>14</v>
      </c>
      <c r="H12" s="16" cm="1">
        <f t="array" ref="H12">INDEX(_xlfn.ANCHORARRAY(_xlfn.XLOOKUP($C12,'-ref_Distribution'!$B$146:$B$150,'-ref_Distribution'!$G$146:$G$150)),RIGHT(H$1,2))</f>
        <v>20</v>
      </c>
      <c r="I12" s="16" cm="1">
        <f t="array" ref="I12">INDEX(_xlfn.ANCHORARRAY(_xlfn.XLOOKUP($C12,'-ref_Distribution'!$B$146:$B$150,'-ref_Distribution'!$G$146:$G$150)),RIGHT(I$1,2))</f>
        <v>28</v>
      </c>
      <c r="J12" s="16" cm="1">
        <f t="array" ref="J12">INDEX(_xlfn.ANCHORARRAY(_xlfn.XLOOKUP($C12,'-ref_Distribution'!$B$146:$B$150,'-ref_Distribution'!$G$146:$G$150)),RIGHT(J$1,2))</f>
        <v>38</v>
      </c>
      <c r="K12" s="16" cm="1">
        <f t="array" ref="K12">INDEX(_xlfn.ANCHORARRAY(_xlfn.XLOOKUP($C12,'-ref_Distribution'!$B$146:$B$150,'-ref_Distribution'!$G$146:$G$150)),RIGHT(K$1,2))</f>
        <v>51</v>
      </c>
      <c r="L12" s="16" cm="1">
        <f t="array" ref="L12">INDEX(_xlfn.ANCHORARRAY(_xlfn.XLOOKUP($C12,'-ref_Distribution'!$B$146:$B$150,'-ref_Distribution'!$G$146:$G$150)),RIGHT(L$1,2))</f>
        <v>65</v>
      </c>
      <c r="M12" s="16" cm="1">
        <f t="array" ref="M12">INDEX(_xlfn.ANCHORARRAY(_xlfn.XLOOKUP($C12,'-ref_Distribution'!$B$146:$B$150,'-ref_Distribution'!$G$146:$G$150)),RIGHT(M$1,2))</f>
        <v>80</v>
      </c>
      <c r="N12" s="16" cm="1">
        <f t="array" ref="N12">INDEX(_xlfn.ANCHORARRAY(_xlfn.XLOOKUP($C12,'-ref_Distribution'!$B$146:$B$150,'-ref_Distribution'!$G$146:$G$150)),RIGHT(N$1,2))</f>
        <v>96</v>
      </c>
      <c r="O12" s="16" cm="1">
        <f t="array" ref="O12">INDEX(_xlfn.ANCHORARRAY(_xlfn.XLOOKUP($C12,'-ref_Distribution'!$B$146:$B$150,'-ref_Distribution'!$G$146:$G$150)),RIGHT(O$1,2))</f>
        <v>111</v>
      </c>
      <c r="P12" s="16" cm="1">
        <f t="array" ref="P12">INDEX(_xlfn.ANCHORARRAY(_xlfn.XLOOKUP($C12,'-ref_Distribution'!$B$146:$B$150,'-ref_Distribution'!$G$146:$G$150)),RIGHT(P$1,2))</f>
        <v>125</v>
      </c>
      <c r="Q12" s="16" cm="1">
        <f t="array" ref="Q12">INDEX(_xlfn.ANCHORARRAY(_xlfn.XLOOKUP($C12,'-ref_Distribution'!$B$146:$B$150,'-ref_Distribution'!$G$146:$G$150)),RIGHT(Q$1,2))</f>
        <v>135</v>
      </c>
      <c r="R12" s="16" cm="1">
        <f t="array" ref="R12">INDEX(_xlfn.ANCHORARRAY(_xlfn.XLOOKUP($C12,'-ref_Distribution'!$B$146:$B$150,'-ref_Distribution'!$G$146:$G$150)),RIGHT(R$1,2))</f>
        <v>142</v>
      </c>
      <c r="S12" s="16" cm="1">
        <f t="array" ref="S12">INDEX(_xlfn.ANCHORARRAY(_xlfn.XLOOKUP($C12,'-ref_Distribution'!$B$146:$B$150,'-ref_Distribution'!$G$146:$G$150)),RIGHT(S$1,2))</f>
        <v>144</v>
      </c>
      <c r="T12" s="16" cm="1">
        <f t="array" ref="T12">INDEX(_xlfn.ANCHORARRAY(_xlfn.XLOOKUP($C12,'-ref_Distribution'!$B$146:$B$150,'-ref_Distribution'!$G$146:$G$150)),RIGHT(T$1,2))</f>
        <v>142</v>
      </c>
      <c r="U12" s="16" cm="1">
        <f t="array" ref="U12">INDEX(_xlfn.ANCHORARRAY(_xlfn.XLOOKUP($C12,'-ref_Distribution'!$B$146:$B$150,'-ref_Distribution'!$G$146:$G$150)),RIGHT(U$1,2))</f>
        <v>135</v>
      </c>
      <c r="V12" s="16" cm="1">
        <f t="array" ref="V12">INDEX(_xlfn.ANCHORARRAY(_xlfn.XLOOKUP($C12,'-ref_Distribution'!$B$146:$B$150,'-ref_Distribution'!$G$146:$G$150)),RIGHT(V$1,2))</f>
        <v>125</v>
      </c>
      <c r="W12" s="16" cm="1">
        <f t="array" ref="W12">INDEX(_xlfn.ANCHORARRAY(_xlfn.XLOOKUP($C12,'-ref_Distribution'!$B$146:$B$150,'-ref_Distribution'!$G$146:$G$150)),RIGHT(W$1,2))</f>
        <v>111</v>
      </c>
      <c r="X12" s="16" cm="1">
        <f t="array" ref="X12">INDEX(_xlfn.ANCHORARRAY(_xlfn.XLOOKUP($C12,'-ref_Distribution'!$B$146:$B$150,'-ref_Distribution'!$G$146:$G$150)),RIGHT(X$1,2))</f>
        <v>4</v>
      </c>
      <c r="Y12" s="16" cm="1">
        <f t="array" ref="Y12">INDEX(_xlfn.ANCHORARRAY(_xlfn.XLOOKUP($C12,'-ref_Distribution'!$B$146:$B$150,'-ref_Distribution'!$G$146:$G$150)),RIGHT(Y$1,2))</f>
        <v>6</v>
      </c>
      <c r="Z12" s="16" cm="1">
        <f t="array" ref="Z12">INDEX(_xlfn.ANCHORARRAY(_xlfn.XLOOKUP($C12,'-ref_Distribution'!$B$146:$B$150,'-ref_Distribution'!$G$146:$G$150)),RIGHT(Z$1,2))</f>
        <v>9</v>
      </c>
      <c r="AA12" s="16" cm="1">
        <f t="array" ref="AA12">INDEX(_xlfn.ANCHORARRAY(_xlfn.XLOOKUP($C12,'-ref_Distribution'!$B$146:$B$150,'-ref_Distribution'!$G$146:$G$150)),RIGHT(AA$1,2))</f>
        <v>14</v>
      </c>
      <c r="AB12" s="16" cm="1">
        <f t="array" ref="AB12">INDEX(_xlfn.ANCHORARRAY(_xlfn.XLOOKUP($C12,'-ref_Distribution'!$B$146:$B$150,'-ref_Distribution'!$G$146:$G$150)),RIGHT(AB$1,2))</f>
        <v>20</v>
      </c>
      <c r="AC12" s="16" cm="1">
        <f t="array" ref="AC12">INDEX(_xlfn.ANCHORARRAY(_xlfn.XLOOKUP($C12,'-ref_Distribution'!$B$146:$B$150,'-ref_Distribution'!$G$146:$G$150)),RIGHT(AC$1,2))</f>
        <v>28</v>
      </c>
      <c r="AD12" s="16" cm="1">
        <f t="array" ref="AD12">INDEX(_xlfn.ANCHORARRAY(_xlfn.XLOOKUP($C12,'-ref_Distribution'!$B$146:$B$150,'-ref_Distribution'!$G$146:$G$150)),RIGHT(AD$1,2))</f>
        <v>38</v>
      </c>
      <c r="AE12" s="16" cm="1">
        <f t="array" ref="AE12">INDEX(_xlfn.ANCHORARRAY(_xlfn.XLOOKUP($C12,'-ref_Distribution'!$B$146:$B$150,'-ref_Distribution'!$G$146:$G$150)),RIGHT(AE$1,2))</f>
        <v>51</v>
      </c>
      <c r="AF12" s="16" cm="1">
        <f t="array" ref="AF12">INDEX(_xlfn.ANCHORARRAY(_xlfn.XLOOKUP($C12,'-ref_Distribution'!$B$146:$B$150,'-ref_Distribution'!$G$146:$G$150)),RIGHT(AF$1,2))</f>
        <v>65</v>
      </c>
      <c r="AG12" s="16" cm="1">
        <f t="array" ref="AG12">INDEX(_xlfn.ANCHORARRAY(_xlfn.XLOOKUP($C12,'-ref_Distribution'!$B$146:$B$150,'-ref_Distribution'!$G$146:$G$150)),RIGHT(AG$1,2))</f>
        <v>80</v>
      </c>
      <c r="AH12" s="16" cm="1">
        <f t="array" ref="AH12">INDEX(_xlfn.ANCHORARRAY(_xlfn.XLOOKUP($C12,'-ref_Distribution'!$B$146:$B$150,'-ref_Distribution'!$G$146:$G$150)),RIGHT(AH$1,2))</f>
        <v>96</v>
      </c>
      <c r="AI12" s="16" cm="1">
        <f t="array" ref="AI12">INDEX(_xlfn.ANCHORARRAY(_xlfn.XLOOKUP($C12,'-ref_Distribution'!$B$146:$B$150,'-ref_Distribution'!$G$146:$G$150)),RIGHT(AI$1,2))</f>
        <v>111</v>
      </c>
      <c r="AJ12" s="16" cm="1">
        <f t="array" ref="AJ12">INDEX(_xlfn.ANCHORARRAY(_xlfn.XLOOKUP($C12,'-ref_Distribution'!$B$146:$B$150,'-ref_Distribution'!$G$146:$G$150)),RIGHT(AJ$1,2))</f>
        <v>125</v>
      </c>
      <c r="AK12" s="16" cm="1">
        <f t="array" ref="AK12">INDEX(_xlfn.ANCHORARRAY(_xlfn.XLOOKUP($C12,'-ref_Distribution'!$B$146:$B$150,'-ref_Distribution'!$G$146:$G$150)),RIGHT(AK$1,2))</f>
        <v>135</v>
      </c>
      <c r="AL12" s="16" cm="1">
        <f t="array" ref="AL12">INDEX(_xlfn.ANCHORARRAY(_xlfn.XLOOKUP($C12,'-ref_Distribution'!$B$146:$B$150,'-ref_Distribution'!$G$146:$G$150)),RIGHT(AL$1,2))</f>
        <v>142</v>
      </c>
      <c r="AM12" s="16" cm="1">
        <f t="array" ref="AM12">INDEX(_xlfn.ANCHORARRAY(_xlfn.XLOOKUP($C12,'-ref_Distribution'!$B$146:$B$150,'-ref_Distribution'!$G$146:$G$150)),RIGHT(AM$1,2))</f>
        <v>144</v>
      </c>
      <c r="AN12" s="16" cm="1">
        <f t="array" ref="AN12">INDEX(_xlfn.ANCHORARRAY(_xlfn.XLOOKUP($C12,'-ref_Distribution'!$B$146:$B$150,'-ref_Distribution'!$G$146:$G$150)),RIGHT(AN$1,2))</f>
        <v>142</v>
      </c>
      <c r="AO12" s="16" cm="1">
        <f t="array" ref="AO12">INDEX(_xlfn.ANCHORARRAY(_xlfn.XLOOKUP($C12,'-ref_Distribution'!$B$146:$B$150,'-ref_Distribution'!$G$146:$G$150)),RIGHT(AO$1,2))</f>
        <v>135</v>
      </c>
      <c r="AP12" s="16" cm="1">
        <f t="array" ref="AP12">INDEX(_xlfn.ANCHORARRAY(_xlfn.XLOOKUP($C12,'-ref_Distribution'!$B$146:$B$150,'-ref_Distribution'!$G$146:$G$150)),RIGHT(AP$1,2))</f>
        <v>125</v>
      </c>
      <c r="AQ12" s="16" cm="1">
        <f t="array" ref="AQ12">INDEX(_xlfn.ANCHORARRAY(_xlfn.XLOOKUP($C12,'-ref_Distribution'!$B$146:$B$150,'-ref_Distribution'!$G$146:$G$150)),RIGHT(AQ$1,2))</f>
        <v>111</v>
      </c>
      <c r="AR12" s="16" cm="1">
        <f t="array" ref="AR12">INDEX(_xlfn.ANCHORARRAY(_xlfn.XLOOKUP($C12,'-ref_Distribution'!$B$146:$B$150,'-ref_Distribution'!$G$146:$G$150)),RIGHT(AR$1,2))</f>
        <v>4</v>
      </c>
      <c r="AS12" s="16" cm="1">
        <f t="array" ref="AS12">INDEX(_xlfn.ANCHORARRAY(_xlfn.XLOOKUP($C12,'-ref_Distribution'!$B$146:$B$150,'-ref_Distribution'!$G$146:$G$150)),RIGHT(AS$1,2))</f>
        <v>6</v>
      </c>
      <c r="AT12" s="16" cm="1">
        <f t="array" ref="AT12">INDEX(_xlfn.ANCHORARRAY(_xlfn.XLOOKUP($C12,'-ref_Distribution'!$B$146:$B$150,'-ref_Distribution'!$G$146:$G$150)),RIGHT(AT$1,2))</f>
        <v>9</v>
      </c>
      <c r="AU12" s="16" cm="1">
        <f t="array" ref="AU12">INDEX(_xlfn.ANCHORARRAY(_xlfn.XLOOKUP($C12,'-ref_Distribution'!$B$146:$B$150,'-ref_Distribution'!$G$146:$G$150)),RIGHT(AU$1,2))</f>
        <v>14</v>
      </c>
      <c r="AV12" s="16" cm="1">
        <f t="array" ref="AV12">INDEX(_xlfn.ANCHORARRAY(_xlfn.XLOOKUP($C12,'-ref_Distribution'!$B$146:$B$150,'-ref_Distribution'!$G$146:$G$150)),RIGHT(AV$1,2))</f>
        <v>20</v>
      </c>
      <c r="AW12" s="16" cm="1">
        <f t="array" ref="AW12">INDEX(_xlfn.ANCHORARRAY(_xlfn.XLOOKUP($C12,'-ref_Distribution'!$B$146:$B$150,'-ref_Distribution'!$G$146:$G$150)),RIGHT(AW$1,2))</f>
        <v>28</v>
      </c>
      <c r="AX12" s="16" cm="1">
        <f t="array" ref="AX12">INDEX(_xlfn.ANCHORARRAY(_xlfn.XLOOKUP($C12,'-ref_Distribution'!$B$146:$B$150,'-ref_Distribution'!$G$146:$G$150)),RIGHT(AX$1,2))</f>
        <v>38</v>
      </c>
      <c r="AY12" s="16" cm="1">
        <f t="array" ref="AY12">INDEX(_xlfn.ANCHORARRAY(_xlfn.XLOOKUP($C12,'-ref_Distribution'!$B$146:$B$150,'-ref_Distribution'!$G$146:$G$150)),RIGHT(AY$1,2))</f>
        <v>51</v>
      </c>
      <c r="AZ12" s="16" cm="1">
        <f t="array" ref="AZ12">INDEX(_xlfn.ANCHORARRAY(_xlfn.XLOOKUP($C12,'-ref_Distribution'!$B$146:$B$150,'-ref_Distribution'!$G$146:$G$150)),RIGHT(AZ$1,2))</f>
        <v>65</v>
      </c>
      <c r="BA12" s="16" cm="1">
        <f t="array" ref="BA12">INDEX(_xlfn.ANCHORARRAY(_xlfn.XLOOKUP($C12,'-ref_Distribution'!$B$146:$B$150,'-ref_Distribution'!$G$146:$G$150)),RIGHT(BA$1,2))</f>
        <v>80</v>
      </c>
      <c r="BB12" s="16" cm="1">
        <f t="array" ref="BB12">INDEX(_xlfn.ANCHORARRAY(_xlfn.XLOOKUP($C12,'-ref_Distribution'!$B$146:$B$150,'-ref_Distribution'!$G$146:$G$150)),RIGHT(BB$1,2))</f>
        <v>96</v>
      </c>
      <c r="BC12" s="16" cm="1">
        <f t="array" ref="BC12">INDEX(_xlfn.ANCHORARRAY(_xlfn.XLOOKUP($C12,'-ref_Distribution'!$B$146:$B$150,'-ref_Distribution'!$G$146:$G$150)),RIGHT(BC$1,2))</f>
        <v>111</v>
      </c>
      <c r="BD12" s="16" cm="1">
        <f t="array" ref="BD12">INDEX(_xlfn.ANCHORARRAY(_xlfn.XLOOKUP($C12,'-ref_Distribution'!$B$146:$B$150,'-ref_Distribution'!$G$146:$G$150)),RIGHT(BD$1,2))</f>
        <v>125</v>
      </c>
      <c r="BE12" s="16" cm="1">
        <f t="array" ref="BE12">INDEX(_xlfn.ANCHORARRAY(_xlfn.XLOOKUP($C12,'-ref_Distribution'!$B$146:$B$150,'-ref_Distribution'!$G$146:$G$150)),RIGHT(BE$1,2))</f>
        <v>135</v>
      </c>
      <c r="BF12" s="16" cm="1">
        <f t="array" ref="BF12">INDEX(_xlfn.ANCHORARRAY(_xlfn.XLOOKUP($C12,'-ref_Distribution'!$B$146:$B$150,'-ref_Distribution'!$G$146:$G$150)),RIGHT(BF$1,2))</f>
        <v>142</v>
      </c>
      <c r="BG12" s="16" cm="1">
        <f t="array" ref="BG12">INDEX(_xlfn.ANCHORARRAY(_xlfn.XLOOKUP($C12,'-ref_Distribution'!$B$146:$B$150,'-ref_Distribution'!$G$146:$G$150)),RIGHT(BG$1,2))</f>
        <v>144</v>
      </c>
      <c r="BH12" s="16" cm="1">
        <f t="array" ref="BH12">INDEX(_xlfn.ANCHORARRAY(_xlfn.XLOOKUP($C12,'-ref_Distribution'!$B$146:$B$150,'-ref_Distribution'!$G$146:$G$150)),RIGHT(BH$1,2))</f>
        <v>142</v>
      </c>
      <c r="BI12" s="16" cm="1">
        <f t="array" ref="BI12">INDEX(_xlfn.ANCHORARRAY(_xlfn.XLOOKUP($C12,'-ref_Distribution'!$B$146:$B$150,'-ref_Distribution'!$G$146:$G$150)),RIGHT(BI$1,2))</f>
        <v>135</v>
      </c>
      <c r="BJ12" s="16" cm="1">
        <f t="array" ref="BJ12">INDEX(_xlfn.ANCHORARRAY(_xlfn.XLOOKUP($C12,'-ref_Distribution'!$B$146:$B$150,'-ref_Distribution'!$G$146:$G$150)),RIGHT(BJ$1,2))</f>
        <v>125</v>
      </c>
      <c r="BK12" s="16" cm="1">
        <f t="array" ref="BK12">INDEX(_xlfn.ANCHORARRAY(_xlfn.XLOOKUP($C12,'-ref_Distribution'!$B$146:$B$150,'-ref_Distribution'!$G$146:$G$150)),RIGHT(BK$1,2))</f>
        <v>111</v>
      </c>
      <c r="BL12" s="16" cm="1">
        <f t="array" ref="BL12">INDEX(_xlfn.ANCHORARRAY(_xlfn.XLOOKUP($C12,'-ref_Distribution'!$B$146:$B$150,'-ref_Distribution'!$G$146:$G$150)),RIGHT(BL$1,2))</f>
        <v>4</v>
      </c>
      <c r="BM12" s="16" cm="1">
        <f t="array" ref="BM12">INDEX(_xlfn.ANCHORARRAY(_xlfn.XLOOKUP($C12,'-ref_Distribution'!$B$146:$B$150,'-ref_Distribution'!$G$146:$G$150)),RIGHT(BM$1,2))</f>
        <v>6</v>
      </c>
      <c r="BN12" s="16" cm="1">
        <f t="array" ref="BN12">INDEX(_xlfn.ANCHORARRAY(_xlfn.XLOOKUP($C12,'-ref_Distribution'!$B$146:$B$150,'-ref_Distribution'!$G$146:$G$150)),RIGHT(BN$1,2))</f>
        <v>9</v>
      </c>
      <c r="BO12" s="16" cm="1">
        <f t="array" ref="BO12">INDEX(_xlfn.ANCHORARRAY(_xlfn.XLOOKUP($C12,'-ref_Distribution'!$B$146:$B$150,'-ref_Distribution'!$G$146:$G$150)),RIGHT(BO$1,2))</f>
        <v>14</v>
      </c>
      <c r="BP12" s="16" cm="1">
        <f t="array" ref="BP12">INDEX(_xlfn.ANCHORARRAY(_xlfn.XLOOKUP($C12,'-ref_Distribution'!$B$146:$B$150,'-ref_Distribution'!$G$146:$G$150)),RIGHT(BP$1,2))</f>
        <v>20</v>
      </c>
      <c r="BQ12" s="16" cm="1">
        <f t="array" ref="BQ12">INDEX(_xlfn.ANCHORARRAY(_xlfn.XLOOKUP($C12,'-ref_Distribution'!$B$146:$B$150,'-ref_Distribution'!$G$146:$G$150)),RIGHT(BQ$1,2))</f>
        <v>28</v>
      </c>
      <c r="BR12" s="16" cm="1">
        <f t="array" ref="BR12">INDEX(_xlfn.ANCHORARRAY(_xlfn.XLOOKUP($C12,'-ref_Distribution'!$B$146:$B$150,'-ref_Distribution'!$G$146:$G$150)),RIGHT(BR$1,2))</f>
        <v>38</v>
      </c>
      <c r="BS12" s="16" cm="1">
        <f t="array" ref="BS12">INDEX(_xlfn.ANCHORARRAY(_xlfn.XLOOKUP($C12,'-ref_Distribution'!$B$146:$B$150,'-ref_Distribution'!$G$146:$G$150)),RIGHT(BS$1,2))</f>
        <v>51</v>
      </c>
      <c r="BT12" s="16" cm="1">
        <f t="array" ref="BT12">INDEX(_xlfn.ANCHORARRAY(_xlfn.XLOOKUP($C12,'-ref_Distribution'!$B$146:$B$150,'-ref_Distribution'!$G$146:$G$150)),RIGHT(BT$1,2))</f>
        <v>65</v>
      </c>
      <c r="BU12" s="16" cm="1">
        <f t="array" ref="BU12">INDEX(_xlfn.ANCHORARRAY(_xlfn.XLOOKUP($C12,'-ref_Distribution'!$B$146:$B$150,'-ref_Distribution'!$G$146:$G$150)),RIGHT(BU$1,2))</f>
        <v>80</v>
      </c>
      <c r="BV12" s="16" cm="1">
        <f t="array" ref="BV12">INDEX(_xlfn.ANCHORARRAY(_xlfn.XLOOKUP($C12,'-ref_Distribution'!$B$146:$B$150,'-ref_Distribution'!$G$146:$G$150)),RIGHT(BV$1,2))</f>
        <v>96</v>
      </c>
      <c r="BW12" s="16" cm="1">
        <f t="array" ref="BW12">INDEX(_xlfn.ANCHORARRAY(_xlfn.XLOOKUP($C12,'-ref_Distribution'!$B$146:$B$150,'-ref_Distribution'!$G$146:$G$150)),RIGHT(BW$1,2))</f>
        <v>111</v>
      </c>
      <c r="BX12" s="16" cm="1">
        <f t="array" ref="BX12">INDEX(_xlfn.ANCHORARRAY(_xlfn.XLOOKUP($C12,'-ref_Distribution'!$B$146:$B$150,'-ref_Distribution'!$G$146:$G$150)),RIGHT(BX$1,2))</f>
        <v>125</v>
      </c>
      <c r="BY12" s="16" cm="1">
        <f t="array" ref="BY12">INDEX(_xlfn.ANCHORARRAY(_xlfn.XLOOKUP($C12,'-ref_Distribution'!$B$146:$B$150,'-ref_Distribution'!$G$146:$G$150)),RIGHT(BY$1,2))</f>
        <v>135</v>
      </c>
      <c r="BZ12" s="16" cm="1">
        <f t="array" ref="BZ12">INDEX(_xlfn.ANCHORARRAY(_xlfn.XLOOKUP($C12,'-ref_Distribution'!$B$146:$B$150,'-ref_Distribution'!$G$146:$G$150)),RIGHT(BZ$1,2))</f>
        <v>142</v>
      </c>
      <c r="CA12" s="16" cm="1">
        <f t="array" ref="CA12">INDEX(_xlfn.ANCHORARRAY(_xlfn.XLOOKUP($C12,'-ref_Distribution'!$B$146:$B$150,'-ref_Distribution'!$G$146:$G$150)),RIGHT(CA$1,2))</f>
        <v>144</v>
      </c>
      <c r="CB12" s="16" cm="1">
        <f t="array" ref="CB12">INDEX(_xlfn.ANCHORARRAY(_xlfn.XLOOKUP($C12,'-ref_Distribution'!$B$146:$B$150,'-ref_Distribution'!$G$146:$G$150)),RIGHT(CB$1,2))</f>
        <v>142</v>
      </c>
      <c r="CC12" s="16" cm="1">
        <f t="array" ref="CC12">INDEX(_xlfn.ANCHORARRAY(_xlfn.XLOOKUP($C12,'-ref_Distribution'!$B$146:$B$150,'-ref_Distribution'!$G$146:$G$150)),RIGHT(CC$1,2))</f>
        <v>135</v>
      </c>
      <c r="CD12" s="16" cm="1">
        <f t="array" ref="CD12">INDEX(_xlfn.ANCHORARRAY(_xlfn.XLOOKUP($C12,'-ref_Distribution'!$B$146:$B$150,'-ref_Distribution'!$G$146:$G$150)),RIGHT(CD$1,2))</f>
        <v>125</v>
      </c>
      <c r="CE12" s="16" cm="1">
        <f t="array" ref="CE12">INDEX(_xlfn.ANCHORARRAY(_xlfn.XLOOKUP($C12,'-ref_Distribution'!$B$146:$B$150,'-ref_Distribution'!$G$146:$G$150)),RIGHT(CE$1,2))</f>
        <v>111</v>
      </c>
    </row>
    <row r="13" spans="1:83" customFormat="1" x14ac:dyDescent="0.2">
      <c r="A13" s="16">
        <v>300041</v>
      </c>
      <c r="B13" s="16" t="s">
        <v>202</v>
      </c>
      <c r="C13" s="16">
        <v>0</v>
      </c>
      <c r="D13" s="16" cm="1">
        <f t="array" ref="D13">INDEX(_xlfn.ANCHORARRAY(_xlfn.XLOOKUP($C13,'-ref_Distribution'!$B$146:$B$150,'-ref_Distribution'!$G$146:$G$150)),RIGHT(D$1,2))</f>
        <v>709</v>
      </c>
      <c r="E13" s="16" cm="1">
        <f t="array" ref="E13">INDEX(_xlfn.ANCHORARRAY(_xlfn.XLOOKUP($C13,'-ref_Distribution'!$B$146:$B$150,'-ref_Distribution'!$G$146:$G$150)),RIGHT(E$1,2))</f>
        <v>705</v>
      </c>
      <c r="F13" s="16" cm="1">
        <f t="array" ref="F13">INDEX(_xlfn.ANCHORARRAY(_xlfn.XLOOKUP($C13,'-ref_Distribution'!$B$146:$B$150,'-ref_Distribution'!$G$146:$G$150)),RIGHT(F$1,2))</f>
        <v>692</v>
      </c>
      <c r="G13" s="16" cm="1">
        <f t="array" ref="G13">INDEX(_xlfn.ANCHORARRAY(_xlfn.XLOOKUP($C13,'-ref_Distribution'!$B$146:$B$150,'-ref_Distribution'!$G$146:$G$150)),RIGHT(G$1,2))</f>
        <v>671</v>
      </c>
      <c r="H13" s="16" cm="1">
        <f t="array" ref="H13">INDEX(_xlfn.ANCHORARRAY(_xlfn.XLOOKUP($C13,'-ref_Distribution'!$B$146:$B$150,'-ref_Distribution'!$G$146:$G$150)),RIGHT(H$1,2))</f>
        <v>643</v>
      </c>
      <c r="I13" s="16" cm="1">
        <f t="array" ref="I13">INDEX(_xlfn.ANCHORARRAY(_xlfn.XLOOKUP($C13,'-ref_Distribution'!$B$146:$B$150,'-ref_Distribution'!$G$146:$G$150)),RIGHT(I$1,2))</f>
        <v>608</v>
      </c>
      <c r="J13" s="16" cm="1">
        <f t="array" ref="J13">INDEX(_xlfn.ANCHORARRAY(_xlfn.XLOOKUP($C13,'-ref_Distribution'!$B$146:$B$150,'-ref_Distribution'!$G$146:$G$150)),RIGHT(J$1,2))</f>
        <v>568</v>
      </c>
      <c r="K13" s="16" cm="1">
        <f t="array" ref="K13">INDEX(_xlfn.ANCHORARRAY(_xlfn.XLOOKUP($C13,'-ref_Distribution'!$B$146:$B$150,'-ref_Distribution'!$G$146:$G$150)),RIGHT(K$1,2))</f>
        <v>524</v>
      </c>
      <c r="L13" s="16" cm="1">
        <f t="array" ref="L13">INDEX(_xlfn.ANCHORARRAY(_xlfn.XLOOKUP($C13,'-ref_Distribution'!$B$146:$B$150,'-ref_Distribution'!$G$146:$G$150)),RIGHT(L$1,2))</f>
        <v>478</v>
      </c>
      <c r="M13" s="16" cm="1">
        <f t="array" ref="M13">INDEX(_xlfn.ANCHORARRAY(_xlfn.XLOOKUP($C13,'-ref_Distribution'!$B$146:$B$150,'-ref_Distribution'!$G$146:$G$150)),RIGHT(M$1,2))</f>
        <v>430</v>
      </c>
      <c r="N13" s="16" cm="1">
        <f t="array" ref="N13">INDEX(_xlfn.ANCHORARRAY(_xlfn.XLOOKUP($C13,'-ref_Distribution'!$B$146:$B$150,'-ref_Distribution'!$G$146:$G$150)),RIGHT(N$1,2))</f>
        <v>383</v>
      </c>
      <c r="O13" s="16" cm="1">
        <f t="array" ref="O13">INDEX(_xlfn.ANCHORARRAY(_xlfn.XLOOKUP($C13,'-ref_Distribution'!$B$146:$B$150,'-ref_Distribution'!$G$146:$G$150)),RIGHT(O$1,2))</f>
        <v>336</v>
      </c>
      <c r="P13" s="16" cm="1">
        <f t="array" ref="P13">INDEX(_xlfn.ANCHORARRAY(_xlfn.XLOOKUP($C13,'-ref_Distribution'!$B$146:$B$150,'-ref_Distribution'!$G$146:$G$150)),RIGHT(P$1,2))</f>
        <v>292</v>
      </c>
      <c r="Q13" s="16" cm="1">
        <f t="array" ref="Q13">INDEX(_xlfn.ANCHORARRAY(_xlfn.XLOOKUP($C13,'-ref_Distribution'!$B$146:$B$150,'-ref_Distribution'!$G$146:$G$150)),RIGHT(Q$1,2))</f>
        <v>250</v>
      </c>
      <c r="R13" s="16" cm="1">
        <f t="array" ref="R13">INDEX(_xlfn.ANCHORARRAY(_xlfn.XLOOKUP($C13,'-ref_Distribution'!$B$146:$B$150,'-ref_Distribution'!$G$146:$G$150)),RIGHT(R$1,2))</f>
        <v>212</v>
      </c>
      <c r="S13" s="16" cm="1">
        <f t="array" ref="S13">INDEX(_xlfn.ANCHORARRAY(_xlfn.XLOOKUP($C13,'-ref_Distribution'!$B$146:$B$150,'-ref_Distribution'!$G$146:$G$150)),RIGHT(S$1,2))</f>
        <v>177</v>
      </c>
      <c r="T13" s="16" cm="1">
        <f t="array" ref="T13">INDEX(_xlfn.ANCHORARRAY(_xlfn.XLOOKUP($C13,'-ref_Distribution'!$B$146:$B$150,'-ref_Distribution'!$G$146:$G$150)),RIGHT(T$1,2))</f>
        <v>146</v>
      </c>
      <c r="U13" s="16" cm="1">
        <f t="array" ref="U13">INDEX(_xlfn.ANCHORARRAY(_xlfn.XLOOKUP($C13,'-ref_Distribution'!$B$146:$B$150,'-ref_Distribution'!$G$146:$G$150)),RIGHT(U$1,2))</f>
        <v>119</v>
      </c>
      <c r="V13" s="16" cm="1">
        <f t="array" ref="V13">INDEX(_xlfn.ANCHORARRAY(_xlfn.XLOOKUP($C13,'-ref_Distribution'!$B$146:$B$150,'-ref_Distribution'!$G$146:$G$150)),RIGHT(V$1,2))</f>
        <v>96</v>
      </c>
      <c r="W13" s="16" cm="1">
        <f t="array" ref="W13">INDEX(_xlfn.ANCHORARRAY(_xlfn.XLOOKUP($C13,'-ref_Distribution'!$B$146:$B$150,'-ref_Distribution'!$G$146:$G$150)),RIGHT(W$1,2))</f>
        <v>76</v>
      </c>
      <c r="X13" s="16" cm="1">
        <f t="array" ref="X13">INDEX(_xlfn.ANCHORARRAY(_xlfn.XLOOKUP($C13,'-ref_Distribution'!$B$146:$B$150,'-ref_Distribution'!$G$146:$G$150)),RIGHT(X$1,2))</f>
        <v>709</v>
      </c>
      <c r="Y13" s="16" cm="1">
        <f t="array" ref="Y13">INDEX(_xlfn.ANCHORARRAY(_xlfn.XLOOKUP($C13,'-ref_Distribution'!$B$146:$B$150,'-ref_Distribution'!$G$146:$G$150)),RIGHT(Y$1,2))</f>
        <v>705</v>
      </c>
      <c r="Z13" s="16" cm="1">
        <f t="array" ref="Z13">INDEX(_xlfn.ANCHORARRAY(_xlfn.XLOOKUP($C13,'-ref_Distribution'!$B$146:$B$150,'-ref_Distribution'!$G$146:$G$150)),RIGHT(Z$1,2))</f>
        <v>692</v>
      </c>
      <c r="AA13" s="16" cm="1">
        <f t="array" ref="AA13">INDEX(_xlfn.ANCHORARRAY(_xlfn.XLOOKUP($C13,'-ref_Distribution'!$B$146:$B$150,'-ref_Distribution'!$G$146:$G$150)),RIGHT(AA$1,2))</f>
        <v>671</v>
      </c>
      <c r="AB13" s="16" cm="1">
        <f t="array" ref="AB13">INDEX(_xlfn.ANCHORARRAY(_xlfn.XLOOKUP($C13,'-ref_Distribution'!$B$146:$B$150,'-ref_Distribution'!$G$146:$G$150)),RIGHT(AB$1,2))</f>
        <v>643</v>
      </c>
      <c r="AC13" s="16" cm="1">
        <f t="array" ref="AC13">INDEX(_xlfn.ANCHORARRAY(_xlfn.XLOOKUP($C13,'-ref_Distribution'!$B$146:$B$150,'-ref_Distribution'!$G$146:$G$150)),RIGHT(AC$1,2))</f>
        <v>608</v>
      </c>
      <c r="AD13" s="16" cm="1">
        <f t="array" ref="AD13">INDEX(_xlfn.ANCHORARRAY(_xlfn.XLOOKUP($C13,'-ref_Distribution'!$B$146:$B$150,'-ref_Distribution'!$G$146:$G$150)),RIGHT(AD$1,2))</f>
        <v>568</v>
      </c>
      <c r="AE13" s="16" cm="1">
        <f t="array" ref="AE13">INDEX(_xlfn.ANCHORARRAY(_xlfn.XLOOKUP($C13,'-ref_Distribution'!$B$146:$B$150,'-ref_Distribution'!$G$146:$G$150)),RIGHT(AE$1,2))</f>
        <v>524</v>
      </c>
      <c r="AF13" s="16" cm="1">
        <f t="array" ref="AF13">INDEX(_xlfn.ANCHORARRAY(_xlfn.XLOOKUP($C13,'-ref_Distribution'!$B$146:$B$150,'-ref_Distribution'!$G$146:$G$150)),RIGHT(AF$1,2))</f>
        <v>478</v>
      </c>
      <c r="AG13" s="16" cm="1">
        <f t="array" ref="AG13">INDEX(_xlfn.ANCHORARRAY(_xlfn.XLOOKUP($C13,'-ref_Distribution'!$B$146:$B$150,'-ref_Distribution'!$G$146:$G$150)),RIGHT(AG$1,2))</f>
        <v>430</v>
      </c>
      <c r="AH13" s="16" cm="1">
        <f t="array" ref="AH13">INDEX(_xlfn.ANCHORARRAY(_xlfn.XLOOKUP($C13,'-ref_Distribution'!$B$146:$B$150,'-ref_Distribution'!$G$146:$G$150)),RIGHT(AH$1,2))</f>
        <v>383</v>
      </c>
      <c r="AI13" s="16" cm="1">
        <f t="array" ref="AI13">INDEX(_xlfn.ANCHORARRAY(_xlfn.XLOOKUP($C13,'-ref_Distribution'!$B$146:$B$150,'-ref_Distribution'!$G$146:$G$150)),RIGHT(AI$1,2))</f>
        <v>336</v>
      </c>
      <c r="AJ13" s="16" cm="1">
        <f t="array" ref="AJ13">INDEX(_xlfn.ANCHORARRAY(_xlfn.XLOOKUP($C13,'-ref_Distribution'!$B$146:$B$150,'-ref_Distribution'!$G$146:$G$150)),RIGHT(AJ$1,2))</f>
        <v>292</v>
      </c>
      <c r="AK13" s="16" cm="1">
        <f t="array" ref="AK13">INDEX(_xlfn.ANCHORARRAY(_xlfn.XLOOKUP($C13,'-ref_Distribution'!$B$146:$B$150,'-ref_Distribution'!$G$146:$G$150)),RIGHT(AK$1,2))</f>
        <v>250</v>
      </c>
      <c r="AL13" s="16" cm="1">
        <f t="array" ref="AL13">INDEX(_xlfn.ANCHORARRAY(_xlfn.XLOOKUP($C13,'-ref_Distribution'!$B$146:$B$150,'-ref_Distribution'!$G$146:$G$150)),RIGHT(AL$1,2))</f>
        <v>212</v>
      </c>
      <c r="AM13" s="16" cm="1">
        <f t="array" ref="AM13">INDEX(_xlfn.ANCHORARRAY(_xlfn.XLOOKUP($C13,'-ref_Distribution'!$B$146:$B$150,'-ref_Distribution'!$G$146:$G$150)),RIGHT(AM$1,2))</f>
        <v>177</v>
      </c>
      <c r="AN13" s="16" cm="1">
        <f t="array" ref="AN13">INDEX(_xlfn.ANCHORARRAY(_xlfn.XLOOKUP($C13,'-ref_Distribution'!$B$146:$B$150,'-ref_Distribution'!$G$146:$G$150)),RIGHT(AN$1,2))</f>
        <v>146</v>
      </c>
      <c r="AO13" s="16" cm="1">
        <f t="array" ref="AO13">INDEX(_xlfn.ANCHORARRAY(_xlfn.XLOOKUP($C13,'-ref_Distribution'!$B$146:$B$150,'-ref_Distribution'!$G$146:$G$150)),RIGHT(AO$1,2))</f>
        <v>119</v>
      </c>
      <c r="AP13" s="16" cm="1">
        <f t="array" ref="AP13">INDEX(_xlfn.ANCHORARRAY(_xlfn.XLOOKUP($C13,'-ref_Distribution'!$B$146:$B$150,'-ref_Distribution'!$G$146:$G$150)),RIGHT(AP$1,2))</f>
        <v>96</v>
      </c>
      <c r="AQ13" s="16" cm="1">
        <f t="array" ref="AQ13">INDEX(_xlfn.ANCHORARRAY(_xlfn.XLOOKUP($C13,'-ref_Distribution'!$B$146:$B$150,'-ref_Distribution'!$G$146:$G$150)),RIGHT(AQ$1,2))</f>
        <v>76</v>
      </c>
      <c r="AR13" s="16" cm="1">
        <f t="array" ref="AR13">INDEX(_xlfn.ANCHORARRAY(_xlfn.XLOOKUP($C13,'-ref_Distribution'!$B$146:$B$150,'-ref_Distribution'!$G$146:$G$150)),RIGHT(AR$1,2))</f>
        <v>709</v>
      </c>
      <c r="AS13" s="16" cm="1">
        <f t="array" ref="AS13">INDEX(_xlfn.ANCHORARRAY(_xlfn.XLOOKUP($C13,'-ref_Distribution'!$B$146:$B$150,'-ref_Distribution'!$G$146:$G$150)),RIGHT(AS$1,2))</f>
        <v>705</v>
      </c>
      <c r="AT13" s="16" cm="1">
        <f t="array" ref="AT13">INDEX(_xlfn.ANCHORARRAY(_xlfn.XLOOKUP($C13,'-ref_Distribution'!$B$146:$B$150,'-ref_Distribution'!$G$146:$G$150)),RIGHT(AT$1,2))</f>
        <v>692</v>
      </c>
      <c r="AU13" s="16" cm="1">
        <f t="array" ref="AU13">INDEX(_xlfn.ANCHORARRAY(_xlfn.XLOOKUP($C13,'-ref_Distribution'!$B$146:$B$150,'-ref_Distribution'!$G$146:$G$150)),RIGHT(AU$1,2))</f>
        <v>671</v>
      </c>
      <c r="AV13" s="16" cm="1">
        <f t="array" ref="AV13">INDEX(_xlfn.ANCHORARRAY(_xlfn.XLOOKUP($C13,'-ref_Distribution'!$B$146:$B$150,'-ref_Distribution'!$G$146:$G$150)),RIGHT(AV$1,2))</f>
        <v>643</v>
      </c>
      <c r="AW13" s="16" cm="1">
        <f t="array" ref="AW13">INDEX(_xlfn.ANCHORARRAY(_xlfn.XLOOKUP($C13,'-ref_Distribution'!$B$146:$B$150,'-ref_Distribution'!$G$146:$G$150)),RIGHT(AW$1,2))</f>
        <v>608</v>
      </c>
      <c r="AX13" s="16" cm="1">
        <f t="array" ref="AX13">INDEX(_xlfn.ANCHORARRAY(_xlfn.XLOOKUP($C13,'-ref_Distribution'!$B$146:$B$150,'-ref_Distribution'!$G$146:$G$150)),RIGHT(AX$1,2))</f>
        <v>568</v>
      </c>
      <c r="AY13" s="16" cm="1">
        <f t="array" ref="AY13">INDEX(_xlfn.ANCHORARRAY(_xlfn.XLOOKUP($C13,'-ref_Distribution'!$B$146:$B$150,'-ref_Distribution'!$G$146:$G$150)),RIGHT(AY$1,2))</f>
        <v>524</v>
      </c>
      <c r="AZ13" s="16" cm="1">
        <f t="array" ref="AZ13">INDEX(_xlfn.ANCHORARRAY(_xlfn.XLOOKUP($C13,'-ref_Distribution'!$B$146:$B$150,'-ref_Distribution'!$G$146:$G$150)),RIGHT(AZ$1,2))</f>
        <v>478</v>
      </c>
      <c r="BA13" s="16" cm="1">
        <f t="array" ref="BA13">INDEX(_xlfn.ANCHORARRAY(_xlfn.XLOOKUP($C13,'-ref_Distribution'!$B$146:$B$150,'-ref_Distribution'!$G$146:$G$150)),RIGHT(BA$1,2))</f>
        <v>430</v>
      </c>
      <c r="BB13" s="16" cm="1">
        <f t="array" ref="BB13">INDEX(_xlfn.ANCHORARRAY(_xlfn.XLOOKUP($C13,'-ref_Distribution'!$B$146:$B$150,'-ref_Distribution'!$G$146:$G$150)),RIGHT(BB$1,2))</f>
        <v>383</v>
      </c>
      <c r="BC13" s="16" cm="1">
        <f t="array" ref="BC13">INDEX(_xlfn.ANCHORARRAY(_xlfn.XLOOKUP($C13,'-ref_Distribution'!$B$146:$B$150,'-ref_Distribution'!$G$146:$G$150)),RIGHT(BC$1,2))</f>
        <v>336</v>
      </c>
      <c r="BD13" s="16" cm="1">
        <f t="array" ref="BD13">INDEX(_xlfn.ANCHORARRAY(_xlfn.XLOOKUP($C13,'-ref_Distribution'!$B$146:$B$150,'-ref_Distribution'!$G$146:$G$150)),RIGHT(BD$1,2))</f>
        <v>292</v>
      </c>
      <c r="BE13" s="16" cm="1">
        <f t="array" ref="BE13">INDEX(_xlfn.ANCHORARRAY(_xlfn.XLOOKUP($C13,'-ref_Distribution'!$B$146:$B$150,'-ref_Distribution'!$G$146:$G$150)),RIGHT(BE$1,2))</f>
        <v>250</v>
      </c>
      <c r="BF13" s="16" cm="1">
        <f t="array" ref="BF13">INDEX(_xlfn.ANCHORARRAY(_xlfn.XLOOKUP($C13,'-ref_Distribution'!$B$146:$B$150,'-ref_Distribution'!$G$146:$G$150)),RIGHT(BF$1,2))</f>
        <v>212</v>
      </c>
      <c r="BG13" s="16" cm="1">
        <f t="array" ref="BG13">INDEX(_xlfn.ANCHORARRAY(_xlfn.XLOOKUP($C13,'-ref_Distribution'!$B$146:$B$150,'-ref_Distribution'!$G$146:$G$150)),RIGHT(BG$1,2))</f>
        <v>177</v>
      </c>
      <c r="BH13" s="16" cm="1">
        <f t="array" ref="BH13">INDEX(_xlfn.ANCHORARRAY(_xlfn.XLOOKUP($C13,'-ref_Distribution'!$B$146:$B$150,'-ref_Distribution'!$G$146:$G$150)),RIGHT(BH$1,2))</f>
        <v>146</v>
      </c>
      <c r="BI13" s="16" cm="1">
        <f t="array" ref="BI13">INDEX(_xlfn.ANCHORARRAY(_xlfn.XLOOKUP($C13,'-ref_Distribution'!$B$146:$B$150,'-ref_Distribution'!$G$146:$G$150)),RIGHT(BI$1,2))</f>
        <v>119</v>
      </c>
      <c r="BJ13" s="16" cm="1">
        <f t="array" ref="BJ13">INDEX(_xlfn.ANCHORARRAY(_xlfn.XLOOKUP($C13,'-ref_Distribution'!$B$146:$B$150,'-ref_Distribution'!$G$146:$G$150)),RIGHT(BJ$1,2))</f>
        <v>96</v>
      </c>
      <c r="BK13" s="16" cm="1">
        <f t="array" ref="BK13">INDEX(_xlfn.ANCHORARRAY(_xlfn.XLOOKUP($C13,'-ref_Distribution'!$B$146:$B$150,'-ref_Distribution'!$G$146:$G$150)),RIGHT(BK$1,2))</f>
        <v>76</v>
      </c>
      <c r="BL13" s="16" cm="1">
        <f t="array" ref="BL13">INDEX(_xlfn.ANCHORARRAY(_xlfn.XLOOKUP($C13,'-ref_Distribution'!$B$146:$B$150,'-ref_Distribution'!$G$146:$G$150)),RIGHT(BL$1,2))</f>
        <v>709</v>
      </c>
      <c r="BM13" s="16" cm="1">
        <f t="array" ref="BM13">INDEX(_xlfn.ANCHORARRAY(_xlfn.XLOOKUP($C13,'-ref_Distribution'!$B$146:$B$150,'-ref_Distribution'!$G$146:$G$150)),RIGHT(BM$1,2))</f>
        <v>705</v>
      </c>
      <c r="BN13" s="16" cm="1">
        <f t="array" ref="BN13">INDEX(_xlfn.ANCHORARRAY(_xlfn.XLOOKUP($C13,'-ref_Distribution'!$B$146:$B$150,'-ref_Distribution'!$G$146:$G$150)),RIGHT(BN$1,2))</f>
        <v>692</v>
      </c>
      <c r="BO13" s="16" cm="1">
        <f t="array" ref="BO13">INDEX(_xlfn.ANCHORARRAY(_xlfn.XLOOKUP($C13,'-ref_Distribution'!$B$146:$B$150,'-ref_Distribution'!$G$146:$G$150)),RIGHT(BO$1,2))</f>
        <v>671</v>
      </c>
      <c r="BP13" s="16" cm="1">
        <f t="array" ref="BP13">INDEX(_xlfn.ANCHORARRAY(_xlfn.XLOOKUP($C13,'-ref_Distribution'!$B$146:$B$150,'-ref_Distribution'!$G$146:$G$150)),RIGHT(BP$1,2))</f>
        <v>643</v>
      </c>
      <c r="BQ13" s="16" cm="1">
        <f t="array" ref="BQ13">INDEX(_xlfn.ANCHORARRAY(_xlfn.XLOOKUP($C13,'-ref_Distribution'!$B$146:$B$150,'-ref_Distribution'!$G$146:$G$150)),RIGHT(BQ$1,2))</f>
        <v>608</v>
      </c>
      <c r="BR13" s="16" cm="1">
        <f t="array" ref="BR13">INDEX(_xlfn.ANCHORARRAY(_xlfn.XLOOKUP($C13,'-ref_Distribution'!$B$146:$B$150,'-ref_Distribution'!$G$146:$G$150)),RIGHT(BR$1,2))</f>
        <v>568</v>
      </c>
      <c r="BS13" s="16" cm="1">
        <f t="array" ref="BS13">INDEX(_xlfn.ANCHORARRAY(_xlfn.XLOOKUP($C13,'-ref_Distribution'!$B$146:$B$150,'-ref_Distribution'!$G$146:$G$150)),RIGHT(BS$1,2))</f>
        <v>524</v>
      </c>
      <c r="BT13" s="16" cm="1">
        <f t="array" ref="BT13">INDEX(_xlfn.ANCHORARRAY(_xlfn.XLOOKUP($C13,'-ref_Distribution'!$B$146:$B$150,'-ref_Distribution'!$G$146:$G$150)),RIGHT(BT$1,2))</f>
        <v>478</v>
      </c>
      <c r="BU13" s="16" cm="1">
        <f t="array" ref="BU13">INDEX(_xlfn.ANCHORARRAY(_xlfn.XLOOKUP($C13,'-ref_Distribution'!$B$146:$B$150,'-ref_Distribution'!$G$146:$G$150)),RIGHT(BU$1,2))</f>
        <v>430</v>
      </c>
      <c r="BV13" s="16" cm="1">
        <f t="array" ref="BV13">INDEX(_xlfn.ANCHORARRAY(_xlfn.XLOOKUP($C13,'-ref_Distribution'!$B$146:$B$150,'-ref_Distribution'!$G$146:$G$150)),RIGHT(BV$1,2))</f>
        <v>383</v>
      </c>
      <c r="BW13" s="16" cm="1">
        <f t="array" ref="BW13">INDEX(_xlfn.ANCHORARRAY(_xlfn.XLOOKUP($C13,'-ref_Distribution'!$B$146:$B$150,'-ref_Distribution'!$G$146:$G$150)),RIGHT(BW$1,2))</f>
        <v>336</v>
      </c>
      <c r="BX13" s="16" cm="1">
        <f t="array" ref="BX13">INDEX(_xlfn.ANCHORARRAY(_xlfn.XLOOKUP($C13,'-ref_Distribution'!$B$146:$B$150,'-ref_Distribution'!$G$146:$G$150)),RIGHT(BX$1,2))</f>
        <v>292</v>
      </c>
      <c r="BY13" s="16" cm="1">
        <f t="array" ref="BY13">INDEX(_xlfn.ANCHORARRAY(_xlfn.XLOOKUP($C13,'-ref_Distribution'!$B$146:$B$150,'-ref_Distribution'!$G$146:$G$150)),RIGHT(BY$1,2))</f>
        <v>250</v>
      </c>
      <c r="BZ13" s="16" cm="1">
        <f t="array" ref="BZ13">INDEX(_xlfn.ANCHORARRAY(_xlfn.XLOOKUP($C13,'-ref_Distribution'!$B$146:$B$150,'-ref_Distribution'!$G$146:$G$150)),RIGHT(BZ$1,2))</f>
        <v>212</v>
      </c>
      <c r="CA13" s="16" cm="1">
        <f t="array" ref="CA13">INDEX(_xlfn.ANCHORARRAY(_xlfn.XLOOKUP($C13,'-ref_Distribution'!$B$146:$B$150,'-ref_Distribution'!$G$146:$G$150)),RIGHT(CA$1,2))</f>
        <v>177</v>
      </c>
      <c r="CB13" s="16" cm="1">
        <f t="array" ref="CB13">INDEX(_xlfn.ANCHORARRAY(_xlfn.XLOOKUP($C13,'-ref_Distribution'!$B$146:$B$150,'-ref_Distribution'!$G$146:$G$150)),RIGHT(CB$1,2))</f>
        <v>146</v>
      </c>
      <c r="CC13" s="16" cm="1">
        <f t="array" ref="CC13">INDEX(_xlfn.ANCHORARRAY(_xlfn.XLOOKUP($C13,'-ref_Distribution'!$B$146:$B$150,'-ref_Distribution'!$G$146:$G$150)),RIGHT(CC$1,2))</f>
        <v>119</v>
      </c>
      <c r="CD13" s="16" cm="1">
        <f t="array" ref="CD13">INDEX(_xlfn.ANCHORARRAY(_xlfn.XLOOKUP($C13,'-ref_Distribution'!$B$146:$B$150,'-ref_Distribution'!$G$146:$G$150)),RIGHT(CD$1,2))</f>
        <v>96</v>
      </c>
      <c r="CE13" s="16" cm="1">
        <f t="array" ref="CE13">INDEX(_xlfn.ANCHORARRAY(_xlfn.XLOOKUP($C13,'-ref_Distribution'!$B$146:$B$150,'-ref_Distribution'!$G$146:$G$150)),RIGHT(CE$1,2))</f>
        <v>76</v>
      </c>
    </row>
    <row r="14" spans="1:83" customFormat="1" x14ac:dyDescent="0.2">
      <c r="A14" s="16">
        <v>300042</v>
      </c>
      <c r="B14" s="16" t="s">
        <v>202</v>
      </c>
      <c r="C14" s="16">
        <v>1</v>
      </c>
      <c r="D14" s="16" cm="1">
        <f t="array" ref="D14">INDEX(_xlfn.ANCHORARRAY(_xlfn.XLOOKUP($C14,'-ref_Distribution'!$B$146:$B$150,'-ref_Distribution'!$G$146:$G$150)),RIGHT(D$1,2))</f>
        <v>337</v>
      </c>
      <c r="E14" s="16" cm="1">
        <f t="array" ref="E14">INDEX(_xlfn.ANCHORARRAY(_xlfn.XLOOKUP($C14,'-ref_Distribution'!$B$146:$B$150,'-ref_Distribution'!$G$146:$G$150)),RIGHT(E$1,2))</f>
        <v>364</v>
      </c>
      <c r="F14" s="16" cm="1">
        <f t="array" ref="F14">INDEX(_xlfn.ANCHORARRAY(_xlfn.XLOOKUP($C14,'-ref_Distribution'!$B$146:$B$150,'-ref_Distribution'!$G$146:$G$150)),RIGHT(F$1,2))</f>
        <v>386</v>
      </c>
      <c r="G14" s="16" cm="1">
        <f t="array" ref="G14">INDEX(_xlfn.ANCHORARRAY(_xlfn.XLOOKUP($C14,'-ref_Distribution'!$B$146:$B$150,'-ref_Distribution'!$G$146:$G$150)),RIGHT(G$1,2))</f>
        <v>403</v>
      </c>
      <c r="H14" s="16" cm="1">
        <f t="array" ref="H14">INDEX(_xlfn.ANCHORARRAY(_xlfn.XLOOKUP($C14,'-ref_Distribution'!$B$146:$B$150,'-ref_Distribution'!$G$146:$G$150)),RIGHT(H$1,2))</f>
        <v>414</v>
      </c>
      <c r="I14" s="16" cm="1">
        <f t="array" ref="I14">INDEX(_xlfn.ANCHORARRAY(_xlfn.XLOOKUP($C14,'-ref_Distribution'!$B$146:$B$150,'-ref_Distribution'!$G$146:$G$150)),RIGHT(I$1,2))</f>
        <v>417</v>
      </c>
      <c r="J14" s="16" cm="1">
        <f t="array" ref="J14">INDEX(_xlfn.ANCHORARRAY(_xlfn.XLOOKUP($C14,'-ref_Distribution'!$B$146:$B$150,'-ref_Distribution'!$G$146:$G$150)),RIGHT(J$1,2))</f>
        <v>414</v>
      </c>
      <c r="K14" s="16" cm="1">
        <f t="array" ref="K14">INDEX(_xlfn.ANCHORARRAY(_xlfn.XLOOKUP($C14,'-ref_Distribution'!$B$146:$B$150,'-ref_Distribution'!$G$146:$G$150)),RIGHT(K$1,2))</f>
        <v>403</v>
      </c>
      <c r="L14" s="16" cm="1">
        <f t="array" ref="L14">INDEX(_xlfn.ANCHORARRAY(_xlfn.XLOOKUP($C14,'-ref_Distribution'!$B$146:$B$150,'-ref_Distribution'!$G$146:$G$150)),RIGHT(L$1,2))</f>
        <v>386</v>
      </c>
      <c r="M14" s="16" cm="1">
        <f t="array" ref="M14">INDEX(_xlfn.ANCHORARRAY(_xlfn.XLOOKUP($C14,'-ref_Distribution'!$B$146:$B$150,'-ref_Distribution'!$G$146:$G$150)),RIGHT(M$1,2))</f>
        <v>364</v>
      </c>
      <c r="N14" s="16" cm="1">
        <f t="array" ref="N14">INDEX(_xlfn.ANCHORARRAY(_xlfn.XLOOKUP($C14,'-ref_Distribution'!$B$146:$B$150,'-ref_Distribution'!$G$146:$G$150)),RIGHT(N$1,2))</f>
        <v>337</v>
      </c>
      <c r="O14" s="16" cm="1">
        <f t="array" ref="O14">INDEX(_xlfn.ANCHORARRAY(_xlfn.XLOOKUP($C14,'-ref_Distribution'!$B$146:$B$150,'-ref_Distribution'!$G$146:$G$150)),RIGHT(O$1,2))</f>
        <v>307</v>
      </c>
      <c r="P14" s="16" cm="1">
        <f t="array" ref="P14">INDEX(_xlfn.ANCHORARRAY(_xlfn.XLOOKUP($C14,'-ref_Distribution'!$B$146:$B$150,'-ref_Distribution'!$G$146:$G$150)),RIGHT(P$1,2))</f>
        <v>274</v>
      </c>
      <c r="Q14" s="16" cm="1">
        <f t="array" ref="Q14">INDEX(_xlfn.ANCHORARRAY(_xlfn.XLOOKUP($C14,'-ref_Distribution'!$B$146:$B$150,'-ref_Distribution'!$G$146:$G$150)),RIGHT(Q$1,2))</f>
        <v>241</v>
      </c>
      <c r="R14" s="16" cm="1">
        <f t="array" ref="R14">INDEX(_xlfn.ANCHORARRAY(_xlfn.XLOOKUP($C14,'-ref_Distribution'!$B$146:$B$150,'-ref_Distribution'!$G$146:$G$150)),RIGHT(R$1,2))</f>
        <v>209</v>
      </c>
      <c r="S14" s="16" cm="1">
        <f t="array" ref="S14">INDEX(_xlfn.ANCHORARRAY(_xlfn.XLOOKUP($C14,'-ref_Distribution'!$B$146:$B$150,'-ref_Distribution'!$G$146:$G$150)),RIGHT(S$1,2))</f>
        <v>178</v>
      </c>
      <c r="T14" s="16" cm="1">
        <f t="array" ref="T14">INDEX(_xlfn.ANCHORARRAY(_xlfn.XLOOKUP($C14,'-ref_Distribution'!$B$146:$B$150,'-ref_Distribution'!$G$146:$G$150)),RIGHT(T$1,2))</f>
        <v>148</v>
      </c>
      <c r="U14" s="16" cm="1">
        <f t="array" ref="U14">INDEX(_xlfn.ANCHORARRAY(_xlfn.XLOOKUP($C14,'-ref_Distribution'!$B$146:$B$150,'-ref_Distribution'!$G$146:$G$150)),RIGHT(U$1,2))</f>
        <v>122</v>
      </c>
      <c r="V14" s="16" cm="1">
        <f t="array" ref="V14">INDEX(_xlfn.ANCHORARRAY(_xlfn.XLOOKUP($C14,'-ref_Distribution'!$B$146:$B$150,'-ref_Distribution'!$G$146:$G$150)),RIGHT(V$1,2))</f>
        <v>98</v>
      </c>
      <c r="W14" s="16" cm="1">
        <f t="array" ref="W14">INDEX(_xlfn.ANCHORARRAY(_xlfn.XLOOKUP($C14,'-ref_Distribution'!$B$146:$B$150,'-ref_Distribution'!$G$146:$G$150)),RIGHT(W$1,2))</f>
        <v>78</v>
      </c>
      <c r="X14" s="16" cm="1">
        <f t="array" ref="X14">INDEX(_xlfn.ANCHORARRAY(_xlfn.XLOOKUP($C14,'-ref_Distribution'!$B$146:$B$150,'-ref_Distribution'!$G$146:$G$150)),RIGHT(X$1,2))</f>
        <v>337</v>
      </c>
      <c r="Y14" s="16" cm="1">
        <f t="array" ref="Y14">INDEX(_xlfn.ANCHORARRAY(_xlfn.XLOOKUP($C14,'-ref_Distribution'!$B$146:$B$150,'-ref_Distribution'!$G$146:$G$150)),RIGHT(Y$1,2))</f>
        <v>364</v>
      </c>
      <c r="Z14" s="16" cm="1">
        <f t="array" ref="Z14">INDEX(_xlfn.ANCHORARRAY(_xlfn.XLOOKUP($C14,'-ref_Distribution'!$B$146:$B$150,'-ref_Distribution'!$G$146:$G$150)),RIGHT(Z$1,2))</f>
        <v>386</v>
      </c>
      <c r="AA14" s="16" cm="1">
        <f t="array" ref="AA14">INDEX(_xlfn.ANCHORARRAY(_xlfn.XLOOKUP($C14,'-ref_Distribution'!$B$146:$B$150,'-ref_Distribution'!$G$146:$G$150)),RIGHT(AA$1,2))</f>
        <v>403</v>
      </c>
      <c r="AB14" s="16" cm="1">
        <f t="array" ref="AB14">INDEX(_xlfn.ANCHORARRAY(_xlfn.XLOOKUP($C14,'-ref_Distribution'!$B$146:$B$150,'-ref_Distribution'!$G$146:$G$150)),RIGHT(AB$1,2))</f>
        <v>414</v>
      </c>
      <c r="AC14" s="16" cm="1">
        <f t="array" ref="AC14">INDEX(_xlfn.ANCHORARRAY(_xlfn.XLOOKUP($C14,'-ref_Distribution'!$B$146:$B$150,'-ref_Distribution'!$G$146:$G$150)),RIGHT(AC$1,2))</f>
        <v>417</v>
      </c>
      <c r="AD14" s="16" cm="1">
        <f t="array" ref="AD14">INDEX(_xlfn.ANCHORARRAY(_xlfn.XLOOKUP($C14,'-ref_Distribution'!$B$146:$B$150,'-ref_Distribution'!$G$146:$G$150)),RIGHT(AD$1,2))</f>
        <v>414</v>
      </c>
      <c r="AE14" s="16" cm="1">
        <f t="array" ref="AE14">INDEX(_xlfn.ANCHORARRAY(_xlfn.XLOOKUP($C14,'-ref_Distribution'!$B$146:$B$150,'-ref_Distribution'!$G$146:$G$150)),RIGHT(AE$1,2))</f>
        <v>403</v>
      </c>
      <c r="AF14" s="16" cm="1">
        <f t="array" ref="AF14">INDEX(_xlfn.ANCHORARRAY(_xlfn.XLOOKUP($C14,'-ref_Distribution'!$B$146:$B$150,'-ref_Distribution'!$G$146:$G$150)),RIGHT(AF$1,2))</f>
        <v>386</v>
      </c>
      <c r="AG14" s="16" cm="1">
        <f t="array" ref="AG14">INDEX(_xlfn.ANCHORARRAY(_xlfn.XLOOKUP($C14,'-ref_Distribution'!$B$146:$B$150,'-ref_Distribution'!$G$146:$G$150)),RIGHT(AG$1,2))</f>
        <v>364</v>
      </c>
      <c r="AH14" s="16" cm="1">
        <f t="array" ref="AH14">INDEX(_xlfn.ANCHORARRAY(_xlfn.XLOOKUP($C14,'-ref_Distribution'!$B$146:$B$150,'-ref_Distribution'!$G$146:$G$150)),RIGHT(AH$1,2))</f>
        <v>337</v>
      </c>
      <c r="AI14" s="16" cm="1">
        <f t="array" ref="AI14">INDEX(_xlfn.ANCHORARRAY(_xlfn.XLOOKUP($C14,'-ref_Distribution'!$B$146:$B$150,'-ref_Distribution'!$G$146:$G$150)),RIGHT(AI$1,2))</f>
        <v>307</v>
      </c>
      <c r="AJ14" s="16" cm="1">
        <f t="array" ref="AJ14">INDEX(_xlfn.ANCHORARRAY(_xlfn.XLOOKUP($C14,'-ref_Distribution'!$B$146:$B$150,'-ref_Distribution'!$G$146:$G$150)),RIGHT(AJ$1,2))</f>
        <v>274</v>
      </c>
      <c r="AK14" s="16" cm="1">
        <f t="array" ref="AK14">INDEX(_xlfn.ANCHORARRAY(_xlfn.XLOOKUP($C14,'-ref_Distribution'!$B$146:$B$150,'-ref_Distribution'!$G$146:$G$150)),RIGHT(AK$1,2))</f>
        <v>241</v>
      </c>
      <c r="AL14" s="16" cm="1">
        <f t="array" ref="AL14">INDEX(_xlfn.ANCHORARRAY(_xlfn.XLOOKUP($C14,'-ref_Distribution'!$B$146:$B$150,'-ref_Distribution'!$G$146:$G$150)),RIGHT(AL$1,2))</f>
        <v>209</v>
      </c>
      <c r="AM14" s="16" cm="1">
        <f t="array" ref="AM14">INDEX(_xlfn.ANCHORARRAY(_xlfn.XLOOKUP($C14,'-ref_Distribution'!$B$146:$B$150,'-ref_Distribution'!$G$146:$G$150)),RIGHT(AM$1,2))</f>
        <v>178</v>
      </c>
      <c r="AN14" s="16" cm="1">
        <f t="array" ref="AN14">INDEX(_xlfn.ANCHORARRAY(_xlfn.XLOOKUP($C14,'-ref_Distribution'!$B$146:$B$150,'-ref_Distribution'!$G$146:$G$150)),RIGHT(AN$1,2))</f>
        <v>148</v>
      </c>
      <c r="AO14" s="16" cm="1">
        <f t="array" ref="AO14">INDEX(_xlfn.ANCHORARRAY(_xlfn.XLOOKUP($C14,'-ref_Distribution'!$B$146:$B$150,'-ref_Distribution'!$G$146:$G$150)),RIGHT(AO$1,2))</f>
        <v>122</v>
      </c>
      <c r="AP14" s="16" cm="1">
        <f t="array" ref="AP14">INDEX(_xlfn.ANCHORARRAY(_xlfn.XLOOKUP($C14,'-ref_Distribution'!$B$146:$B$150,'-ref_Distribution'!$G$146:$G$150)),RIGHT(AP$1,2))</f>
        <v>98</v>
      </c>
      <c r="AQ14" s="16" cm="1">
        <f t="array" ref="AQ14">INDEX(_xlfn.ANCHORARRAY(_xlfn.XLOOKUP($C14,'-ref_Distribution'!$B$146:$B$150,'-ref_Distribution'!$G$146:$G$150)),RIGHT(AQ$1,2))</f>
        <v>78</v>
      </c>
      <c r="AR14" s="16" cm="1">
        <f t="array" ref="AR14">INDEX(_xlfn.ANCHORARRAY(_xlfn.XLOOKUP($C14,'-ref_Distribution'!$B$146:$B$150,'-ref_Distribution'!$G$146:$G$150)),RIGHT(AR$1,2))</f>
        <v>337</v>
      </c>
      <c r="AS14" s="16" cm="1">
        <f t="array" ref="AS14">INDEX(_xlfn.ANCHORARRAY(_xlfn.XLOOKUP($C14,'-ref_Distribution'!$B$146:$B$150,'-ref_Distribution'!$G$146:$G$150)),RIGHT(AS$1,2))</f>
        <v>364</v>
      </c>
      <c r="AT14" s="16" cm="1">
        <f t="array" ref="AT14">INDEX(_xlfn.ANCHORARRAY(_xlfn.XLOOKUP($C14,'-ref_Distribution'!$B$146:$B$150,'-ref_Distribution'!$G$146:$G$150)),RIGHT(AT$1,2))</f>
        <v>386</v>
      </c>
      <c r="AU14" s="16" cm="1">
        <f t="array" ref="AU14">INDEX(_xlfn.ANCHORARRAY(_xlfn.XLOOKUP($C14,'-ref_Distribution'!$B$146:$B$150,'-ref_Distribution'!$G$146:$G$150)),RIGHT(AU$1,2))</f>
        <v>403</v>
      </c>
      <c r="AV14" s="16" cm="1">
        <f t="array" ref="AV14">INDEX(_xlfn.ANCHORARRAY(_xlfn.XLOOKUP($C14,'-ref_Distribution'!$B$146:$B$150,'-ref_Distribution'!$G$146:$G$150)),RIGHT(AV$1,2))</f>
        <v>414</v>
      </c>
      <c r="AW14" s="16" cm="1">
        <f t="array" ref="AW14">INDEX(_xlfn.ANCHORARRAY(_xlfn.XLOOKUP($C14,'-ref_Distribution'!$B$146:$B$150,'-ref_Distribution'!$G$146:$G$150)),RIGHT(AW$1,2))</f>
        <v>417</v>
      </c>
      <c r="AX14" s="16" cm="1">
        <f t="array" ref="AX14">INDEX(_xlfn.ANCHORARRAY(_xlfn.XLOOKUP($C14,'-ref_Distribution'!$B$146:$B$150,'-ref_Distribution'!$G$146:$G$150)),RIGHT(AX$1,2))</f>
        <v>414</v>
      </c>
      <c r="AY14" s="16" cm="1">
        <f t="array" ref="AY14">INDEX(_xlfn.ANCHORARRAY(_xlfn.XLOOKUP($C14,'-ref_Distribution'!$B$146:$B$150,'-ref_Distribution'!$G$146:$G$150)),RIGHT(AY$1,2))</f>
        <v>403</v>
      </c>
      <c r="AZ14" s="16" cm="1">
        <f t="array" ref="AZ14">INDEX(_xlfn.ANCHORARRAY(_xlfn.XLOOKUP($C14,'-ref_Distribution'!$B$146:$B$150,'-ref_Distribution'!$G$146:$G$150)),RIGHT(AZ$1,2))</f>
        <v>386</v>
      </c>
      <c r="BA14" s="16" cm="1">
        <f t="array" ref="BA14">INDEX(_xlfn.ANCHORARRAY(_xlfn.XLOOKUP($C14,'-ref_Distribution'!$B$146:$B$150,'-ref_Distribution'!$G$146:$G$150)),RIGHT(BA$1,2))</f>
        <v>364</v>
      </c>
      <c r="BB14" s="16" cm="1">
        <f t="array" ref="BB14">INDEX(_xlfn.ANCHORARRAY(_xlfn.XLOOKUP($C14,'-ref_Distribution'!$B$146:$B$150,'-ref_Distribution'!$G$146:$G$150)),RIGHT(BB$1,2))</f>
        <v>337</v>
      </c>
      <c r="BC14" s="16" cm="1">
        <f t="array" ref="BC14">INDEX(_xlfn.ANCHORARRAY(_xlfn.XLOOKUP($C14,'-ref_Distribution'!$B$146:$B$150,'-ref_Distribution'!$G$146:$G$150)),RIGHT(BC$1,2))</f>
        <v>307</v>
      </c>
      <c r="BD14" s="16" cm="1">
        <f t="array" ref="BD14">INDEX(_xlfn.ANCHORARRAY(_xlfn.XLOOKUP($C14,'-ref_Distribution'!$B$146:$B$150,'-ref_Distribution'!$G$146:$G$150)),RIGHT(BD$1,2))</f>
        <v>274</v>
      </c>
      <c r="BE14" s="16" cm="1">
        <f t="array" ref="BE14">INDEX(_xlfn.ANCHORARRAY(_xlfn.XLOOKUP($C14,'-ref_Distribution'!$B$146:$B$150,'-ref_Distribution'!$G$146:$G$150)),RIGHT(BE$1,2))</f>
        <v>241</v>
      </c>
      <c r="BF14" s="16" cm="1">
        <f t="array" ref="BF14">INDEX(_xlfn.ANCHORARRAY(_xlfn.XLOOKUP($C14,'-ref_Distribution'!$B$146:$B$150,'-ref_Distribution'!$G$146:$G$150)),RIGHT(BF$1,2))</f>
        <v>209</v>
      </c>
      <c r="BG14" s="16" cm="1">
        <f t="array" ref="BG14">INDEX(_xlfn.ANCHORARRAY(_xlfn.XLOOKUP($C14,'-ref_Distribution'!$B$146:$B$150,'-ref_Distribution'!$G$146:$G$150)),RIGHT(BG$1,2))</f>
        <v>178</v>
      </c>
      <c r="BH14" s="16" cm="1">
        <f t="array" ref="BH14">INDEX(_xlfn.ANCHORARRAY(_xlfn.XLOOKUP($C14,'-ref_Distribution'!$B$146:$B$150,'-ref_Distribution'!$G$146:$G$150)),RIGHT(BH$1,2))</f>
        <v>148</v>
      </c>
      <c r="BI14" s="16" cm="1">
        <f t="array" ref="BI14">INDEX(_xlfn.ANCHORARRAY(_xlfn.XLOOKUP($C14,'-ref_Distribution'!$B$146:$B$150,'-ref_Distribution'!$G$146:$G$150)),RIGHT(BI$1,2))</f>
        <v>122</v>
      </c>
      <c r="BJ14" s="16" cm="1">
        <f t="array" ref="BJ14">INDEX(_xlfn.ANCHORARRAY(_xlfn.XLOOKUP($C14,'-ref_Distribution'!$B$146:$B$150,'-ref_Distribution'!$G$146:$G$150)),RIGHT(BJ$1,2))</f>
        <v>98</v>
      </c>
      <c r="BK14" s="16" cm="1">
        <f t="array" ref="BK14">INDEX(_xlfn.ANCHORARRAY(_xlfn.XLOOKUP($C14,'-ref_Distribution'!$B$146:$B$150,'-ref_Distribution'!$G$146:$G$150)),RIGHT(BK$1,2))</f>
        <v>78</v>
      </c>
      <c r="BL14" s="16" cm="1">
        <f t="array" ref="BL14">INDEX(_xlfn.ANCHORARRAY(_xlfn.XLOOKUP($C14,'-ref_Distribution'!$B$146:$B$150,'-ref_Distribution'!$G$146:$G$150)),RIGHT(BL$1,2))</f>
        <v>337</v>
      </c>
      <c r="BM14" s="16" cm="1">
        <f t="array" ref="BM14">INDEX(_xlfn.ANCHORARRAY(_xlfn.XLOOKUP($C14,'-ref_Distribution'!$B$146:$B$150,'-ref_Distribution'!$G$146:$G$150)),RIGHT(BM$1,2))</f>
        <v>364</v>
      </c>
      <c r="BN14" s="16" cm="1">
        <f t="array" ref="BN14">INDEX(_xlfn.ANCHORARRAY(_xlfn.XLOOKUP($C14,'-ref_Distribution'!$B$146:$B$150,'-ref_Distribution'!$G$146:$G$150)),RIGHT(BN$1,2))</f>
        <v>386</v>
      </c>
      <c r="BO14" s="16" cm="1">
        <f t="array" ref="BO14">INDEX(_xlfn.ANCHORARRAY(_xlfn.XLOOKUP($C14,'-ref_Distribution'!$B$146:$B$150,'-ref_Distribution'!$G$146:$G$150)),RIGHT(BO$1,2))</f>
        <v>403</v>
      </c>
      <c r="BP14" s="16" cm="1">
        <f t="array" ref="BP14">INDEX(_xlfn.ANCHORARRAY(_xlfn.XLOOKUP($C14,'-ref_Distribution'!$B$146:$B$150,'-ref_Distribution'!$G$146:$G$150)),RIGHT(BP$1,2))</f>
        <v>414</v>
      </c>
      <c r="BQ14" s="16" cm="1">
        <f t="array" ref="BQ14">INDEX(_xlfn.ANCHORARRAY(_xlfn.XLOOKUP($C14,'-ref_Distribution'!$B$146:$B$150,'-ref_Distribution'!$G$146:$G$150)),RIGHT(BQ$1,2))</f>
        <v>417</v>
      </c>
      <c r="BR14" s="16" cm="1">
        <f t="array" ref="BR14">INDEX(_xlfn.ANCHORARRAY(_xlfn.XLOOKUP($C14,'-ref_Distribution'!$B$146:$B$150,'-ref_Distribution'!$G$146:$G$150)),RIGHT(BR$1,2))</f>
        <v>414</v>
      </c>
      <c r="BS14" s="16" cm="1">
        <f t="array" ref="BS14">INDEX(_xlfn.ANCHORARRAY(_xlfn.XLOOKUP($C14,'-ref_Distribution'!$B$146:$B$150,'-ref_Distribution'!$G$146:$G$150)),RIGHT(BS$1,2))</f>
        <v>403</v>
      </c>
      <c r="BT14" s="16" cm="1">
        <f t="array" ref="BT14">INDEX(_xlfn.ANCHORARRAY(_xlfn.XLOOKUP($C14,'-ref_Distribution'!$B$146:$B$150,'-ref_Distribution'!$G$146:$G$150)),RIGHT(BT$1,2))</f>
        <v>386</v>
      </c>
      <c r="BU14" s="16" cm="1">
        <f t="array" ref="BU14">INDEX(_xlfn.ANCHORARRAY(_xlfn.XLOOKUP($C14,'-ref_Distribution'!$B$146:$B$150,'-ref_Distribution'!$G$146:$G$150)),RIGHT(BU$1,2))</f>
        <v>364</v>
      </c>
      <c r="BV14" s="16" cm="1">
        <f t="array" ref="BV14">INDEX(_xlfn.ANCHORARRAY(_xlfn.XLOOKUP($C14,'-ref_Distribution'!$B$146:$B$150,'-ref_Distribution'!$G$146:$G$150)),RIGHT(BV$1,2))</f>
        <v>337</v>
      </c>
      <c r="BW14" s="16" cm="1">
        <f t="array" ref="BW14">INDEX(_xlfn.ANCHORARRAY(_xlfn.XLOOKUP($C14,'-ref_Distribution'!$B$146:$B$150,'-ref_Distribution'!$G$146:$G$150)),RIGHT(BW$1,2))</f>
        <v>307</v>
      </c>
      <c r="BX14" s="16" cm="1">
        <f t="array" ref="BX14">INDEX(_xlfn.ANCHORARRAY(_xlfn.XLOOKUP($C14,'-ref_Distribution'!$B$146:$B$150,'-ref_Distribution'!$G$146:$G$150)),RIGHT(BX$1,2))</f>
        <v>274</v>
      </c>
      <c r="BY14" s="16" cm="1">
        <f t="array" ref="BY14">INDEX(_xlfn.ANCHORARRAY(_xlfn.XLOOKUP($C14,'-ref_Distribution'!$B$146:$B$150,'-ref_Distribution'!$G$146:$G$150)),RIGHT(BY$1,2))</f>
        <v>241</v>
      </c>
      <c r="BZ14" s="16" cm="1">
        <f t="array" ref="BZ14">INDEX(_xlfn.ANCHORARRAY(_xlfn.XLOOKUP($C14,'-ref_Distribution'!$B$146:$B$150,'-ref_Distribution'!$G$146:$G$150)),RIGHT(BZ$1,2))</f>
        <v>209</v>
      </c>
      <c r="CA14" s="16" cm="1">
        <f t="array" ref="CA14">INDEX(_xlfn.ANCHORARRAY(_xlfn.XLOOKUP($C14,'-ref_Distribution'!$B$146:$B$150,'-ref_Distribution'!$G$146:$G$150)),RIGHT(CA$1,2))</f>
        <v>178</v>
      </c>
      <c r="CB14" s="16" cm="1">
        <f t="array" ref="CB14">INDEX(_xlfn.ANCHORARRAY(_xlfn.XLOOKUP($C14,'-ref_Distribution'!$B$146:$B$150,'-ref_Distribution'!$G$146:$G$150)),RIGHT(CB$1,2))</f>
        <v>148</v>
      </c>
      <c r="CC14" s="16" cm="1">
        <f t="array" ref="CC14">INDEX(_xlfn.ANCHORARRAY(_xlfn.XLOOKUP($C14,'-ref_Distribution'!$B$146:$B$150,'-ref_Distribution'!$G$146:$G$150)),RIGHT(CC$1,2))</f>
        <v>122</v>
      </c>
      <c r="CD14" s="16" cm="1">
        <f t="array" ref="CD14">INDEX(_xlfn.ANCHORARRAY(_xlfn.XLOOKUP($C14,'-ref_Distribution'!$B$146:$B$150,'-ref_Distribution'!$G$146:$G$150)),RIGHT(CD$1,2))</f>
        <v>98</v>
      </c>
      <c r="CE14" s="16" cm="1">
        <f t="array" ref="CE14">INDEX(_xlfn.ANCHORARRAY(_xlfn.XLOOKUP($C14,'-ref_Distribution'!$B$146:$B$150,'-ref_Distribution'!$G$146:$G$150)),RIGHT(CE$1,2))</f>
        <v>78</v>
      </c>
    </row>
    <row r="15" spans="1:83" customFormat="1" x14ac:dyDescent="0.2">
      <c r="A15" s="16">
        <v>300043</v>
      </c>
      <c r="B15" s="16" t="s">
        <v>202</v>
      </c>
      <c r="C15" s="16">
        <v>2</v>
      </c>
      <c r="D15" s="16" cm="1">
        <f t="array" ref="D15">INDEX(_xlfn.ANCHORARRAY(_xlfn.XLOOKUP($C15,'-ref_Distribution'!$B$146:$B$150,'-ref_Distribution'!$G$146:$G$150)),RIGHT(D$1,2))</f>
        <v>75</v>
      </c>
      <c r="E15" s="16" cm="1">
        <f t="array" ref="E15">INDEX(_xlfn.ANCHORARRAY(_xlfn.XLOOKUP($C15,'-ref_Distribution'!$B$146:$B$150,'-ref_Distribution'!$G$146:$G$150)),RIGHT(E$1,2))</f>
        <v>94</v>
      </c>
      <c r="F15" s="16" cm="1">
        <f t="array" ref="F15">INDEX(_xlfn.ANCHORARRAY(_xlfn.XLOOKUP($C15,'-ref_Distribution'!$B$146:$B$150,'-ref_Distribution'!$G$146:$G$150)),RIGHT(F$1,2))</f>
        <v>115</v>
      </c>
      <c r="G15" s="16" cm="1">
        <f t="array" ref="G15">INDEX(_xlfn.ANCHORARRAY(_xlfn.XLOOKUP($C15,'-ref_Distribution'!$B$146:$B$150,'-ref_Distribution'!$G$146:$G$150)),RIGHT(G$1,2))</f>
        <v>137</v>
      </c>
      <c r="H15" s="16" cm="1">
        <f t="array" ref="H15">INDEX(_xlfn.ANCHORARRAY(_xlfn.XLOOKUP($C15,'-ref_Distribution'!$B$146:$B$150,'-ref_Distribution'!$G$146:$G$150)),RIGHT(H$1,2))</f>
        <v>160</v>
      </c>
      <c r="I15" s="16" cm="1">
        <f t="array" ref="I15">INDEX(_xlfn.ANCHORARRAY(_xlfn.XLOOKUP($C15,'-ref_Distribution'!$B$146:$B$150,'-ref_Distribution'!$G$146:$G$150)),RIGHT(I$1,2))</f>
        <v>183</v>
      </c>
      <c r="J15" s="16" cm="1">
        <f t="array" ref="J15">INDEX(_xlfn.ANCHORARRAY(_xlfn.XLOOKUP($C15,'-ref_Distribution'!$B$146:$B$150,'-ref_Distribution'!$G$146:$G$150)),RIGHT(J$1,2))</f>
        <v>203</v>
      </c>
      <c r="K15" s="16" cm="1">
        <f t="array" ref="K15">INDEX(_xlfn.ANCHORARRAY(_xlfn.XLOOKUP($C15,'-ref_Distribution'!$B$146:$B$150,'-ref_Distribution'!$G$146:$G$150)),RIGHT(K$1,2))</f>
        <v>221</v>
      </c>
      <c r="L15" s="16" cm="1">
        <f t="array" ref="L15">INDEX(_xlfn.ANCHORARRAY(_xlfn.XLOOKUP($C15,'-ref_Distribution'!$B$146:$B$150,'-ref_Distribution'!$G$146:$G$150)),RIGHT(L$1,2))</f>
        <v>234</v>
      </c>
      <c r="M15" s="16" cm="1">
        <f t="array" ref="M15">INDEX(_xlfn.ANCHORARRAY(_xlfn.XLOOKUP($C15,'-ref_Distribution'!$B$146:$B$150,'-ref_Distribution'!$G$146:$G$150)),RIGHT(M$1,2))</f>
        <v>243</v>
      </c>
      <c r="N15" s="16" cm="1">
        <f t="array" ref="N15">INDEX(_xlfn.ANCHORARRAY(_xlfn.XLOOKUP($C15,'-ref_Distribution'!$B$146:$B$150,'-ref_Distribution'!$G$146:$G$150)),RIGHT(N$1,2))</f>
        <v>245</v>
      </c>
      <c r="O15" s="16" cm="1">
        <f t="array" ref="O15">INDEX(_xlfn.ANCHORARRAY(_xlfn.XLOOKUP($C15,'-ref_Distribution'!$B$146:$B$150,'-ref_Distribution'!$G$146:$G$150)),RIGHT(O$1,2))</f>
        <v>243</v>
      </c>
      <c r="P15" s="16" cm="1">
        <f t="array" ref="P15">INDEX(_xlfn.ANCHORARRAY(_xlfn.XLOOKUP($C15,'-ref_Distribution'!$B$146:$B$150,'-ref_Distribution'!$G$146:$G$150)),RIGHT(P$1,2))</f>
        <v>234</v>
      </c>
      <c r="Q15" s="16" cm="1">
        <f t="array" ref="Q15">INDEX(_xlfn.ANCHORARRAY(_xlfn.XLOOKUP($C15,'-ref_Distribution'!$B$146:$B$150,'-ref_Distribution'!$G$146:$G$150)),RIGHT(Q$1,2))</f>
        <v>221</v>
      </c>
      <c r="R15" s="16" cm="1">
        <f t="array" ref="R15">INDEX(_xlfn.ANCHORARRAY(_xlfn.XLOOKUP($C15,'-ref_Distribution'!$B$146:$B$150,'-ref_Distribution'!$G$146:$G$150)),RIGHT(R$1,2))</f>
        <v>203</v>
      </c>
      <c r="S15" s="16" cm="1">
        <f t="array" ref="S15">INDEX(_xlfn.ANCHORARRAY(_xlfn.XLOOKUP($C15,'-ref_Distribution'!$B$146:$B$150,'-ref_Distribution'!$G$146:$G$150)),RIGHT(S$1,2))</f>
        <v>183</v>
      </c>
      <c r="T15" s="16" cm="1">
        <f t="array" ref="T15">INDEX(_xlfn.ANCHORARRAY(_xlfn.XLOOKUP($C15,'-ref_Distribution'!$B$146:$B$150,'-ref_Distribution'!$G$146:$G$150)),RIGHT(T$1,2))</f>
        <v>160</v>
      </c>
      <c r="U15" s="16" cm="1">
        <f t="array" ref="U15">INDEX(_xlfn.ANCHORARRAY(_xlfn.XLOOKUP($C15,'-ref_Distribution'!$B$146:$B$150,'-ref_Distribution'!$G$146:$G$150)),RIGHT(U$1,2))</f>
        <v>137</v>
      </c>
      <c r="V15" s="16" cm="1">
        <f t="array" ref="V15">INDEX(_xlfn.ANCHORARRAY(_xlfn.XLOOKUP($C15,'-ref_Distribution'!$B$146:$B$150,'-ref_Distribution'!$G$146:$G$150)),RIGHT(V$1,2))</f>
        <v>115</v>
      </c>
      <c r="W15" s="16" cm="1">
        <f t="array" ref="W15">INDEX(_xlfn.ANCHORARRAY(_xlfn.XLOOKUP($C15,'-ref_Distribution'!$B$146:$B$150,'-ref_Distribution'!$G$146:$G$150)),RIGHT(W$1,2))</f>
        <v>94</v>
      </c>
      <c r="X15" s="16" cm="1">
        <f t="array" ref="X15">INDEX(_xlfn.ANCHORARRAY(_xlfn.XLOOKUP($C15,'-ref_Distribution'!$B$146:$B$150,'-ref_Distribution'!$G$146:$G$150)),RIGHT(X$1,2))</f>
        <v>75</v>
      </c>
      <c r="Y15" s="16" cm="1">
        <f t="array" ref="Y15">INDEX(_xlfn.ANCHORARRAY(_xlfn.XLOOKUP($C15,'-ref_Distribution'!$B$146:$B$150,'-ref_Distribution'!$G$146:$G$150)),RIGHT(Y$1,2))</f>
        <v>94</v>
      </c>
      <c r="Z15" s="16" cm="1">
        <f t="array" ref="Z15">INDEX(_xlfn.ANCHORARRAY(_xlfn.XLOOKUP($C15,'-ref_Distribution'!$B$146:$B$150,'-ref_Distribution'!$G$146:$G$150)),RIGHT(Z$1,2))</f>
        <v>115</v>
      </c>
      <c r="AA15" s="16" cm="1">
        <f t="array" ref="AA15">INDEX(_xlfn.ANCHORARRAY(_xlfn.XLOOKUP($C15,'-ref_Distribution'!$B$146:$B$150,'-ref_Distribution'!$G$146:$G$150)),RIGHT(AA$1,2))</f>
        <v>137</v>
      </c>
      <c r="AB15" s="16" cm="1">
        <f t="array" ref="AB15">INDEX(_xlfn.ANCHORARRAY(_xlfn.XLOOKUP($C15,'-ref_Distribution'!$B$146:$B$150,'-ref_Distribution'!$G$146:$G$150)),RIGHT(AB$1,2))</f>
        <v>160</v>
      </c>
      <c r="AC15" s="16" cm="1">
        <f t="array" ref="AC15">INDEX(_xlfn.ANCHORARRAY(_xlfn.XLOOKUP($C15,'-ref_Distribution'!$B$146:$B$150,'-ref_Distribution'!$G$146:$G$150)),RIGHT(AC$1,2))</f>
        <v>183</v>
      </c>
      <c r="AD15" s="16" cm="1">
        <f t="array" ref="AD15">INDEX(_xlfn.ANCHORARRAY(_xlfn.XLOOKUP($C15,'-ref_Distribution'!$B$146:$B$150,'-ref_Distribution'!$G$146:$G$150)),RIGHT(AD$1,2))</f>
        <v>203</v>
      </c>
      <c r="AE15" s="16" cm="1">
        <f t="array" ref="AE15">INDEX(_xlfn.ANCHORARRAY(_xlfn.XLOOKUP($C15,'-ref_Distribution'!$B$146:$B$150,'-ref_Distribution'!$G$146:$G$150)),RIGHT(AE$1,2))</f>
        <v>221</v>
      </c>
      <c r="AF15" s="16" cm="1">
        <f t="array" ref="AF15">INDEX(_xlfn.ANCHORARRAY(_xlfn.XLOOKUP($C15,'-ref_Distribution'!$B$146:$B$150,'-ref_Distribution'!$G$146:$G$150)),RIGHT(AF$1,2))</f>
        <v>234</v>
      </c>
      <c r="AG15" s="16" cm="1">
        <f t="array" ref="AG15">INDEX(_xlfn.ANCHORARRAY(_xlfn.XLOOKUP($C15,'-ref_Distribution'!$B$146:$B$150,'-ref_Distribution'!$G$146:$G$150)),RIGHT(AG$1,2))</f>
        <v>243</v>
      </c>
      <c r="AH15" s="16" cm="1">
        <f t="array" ref="AH15">INDEX(_xlfn.ANCHORARRAY(_xlfn.XLOOKUP($C15,'-ref_Distribution'!$B$146:$B$150,'-ref_Distribution'!$G$146:$G$150)),RIGHT(AH$1,2))</f>
        <v>245</v>
      </c>
      <c r="AI15" s="16" cm="1">
        <f t="array" ref="AI15">INDEX(_xlfn.ANCHORARRAY(_xlfn.XLOOKUP($C15,'-ref_Distribution'!$B$146:$B$150,'-ref_Distribution'!$G$146:$G$150)),RIGHT(AI$1,2))</f>
        <v>243</v>
      </c>
      <c r="AJ15" s="16" cm="1">
        <f t="array" ref="AJ15">INDEX(_xlfn.ANCHORARRAY(_xlfn.XLOOKUP($C15,'-ref_Distribution'!$B$146:$B$150,'-ref_Distribution'!$G$146:$G$150)),RIGHT(AJ$1,2))</f>
        <v>234</v>
      </c>
      <c r="AK15" s="16" cm="1">
        <f t="array" ref="AK15">INDEX(_xlfn.ANCHORARRAY(_xlfn.XLOOKUP($C15,'-ref_Distribution'!$B$146:$B$150,'-ref_Distribution'!$G$146:$G$150)),RIGHT(AK$1,2))</f>
        <v>221</v>
      </c>
      <c r="AL15" s="16" cm="1">
        <f t="array" ref="AL15">INDEX(_xlfn.ANCHORARRAY(_xlfn.XLOOKUP($C15,'-ref_Distribution'!$B$146:$B$150,'-ref_Distribution'!$G$146:$G$150)),RIGHT(AL$1,2))</f>
        <v>203</v>
      </c>
      <c r="AM15" s="16" cm="1">
        <f t="array" ref="AM15">INDEX(_xlfn.ANCHORARRAY(_xlfn.XLOOKUP($C15,'-ref_Distribution'!$B$146:$B$150,'-ref_Distribution'!$G$146:$G$150)),RIGHT(AM$1,2))</f>
        <v>183</v>
      </c>
      <c r="AN15" s="16" cm="1">
        <f t="array" ref="AN15">INDEX(_xlfn.ANCHORARRAY(_xlfn.XLOOKUP($C15,'-ref_Distribution'!$B$146:$B$150,'-ref_Distribution'!$G$146:$G$150)),RIGHT(AN$1,2))</f>
        <v>160</v>
      </c>
      <c r="AO15" s="16" cm="1">
        <f t="array" ref="AO15">INDEX(_xlfn.ANCHORARRAY(_xlfn.XLOOKUP($C15,'-ref_Distribution'!$B$146:$B$150,'-ref_Distribution'!$G$146:$G$150)),RIGHT(AO$1,2))</f>
        <v>137</v>
      </c>
      <c r="AP15" s="16" cm="1">
        <f t="array" ref="AP15">INDEX(_xlfn.ANCHORARRAY(_xlfn.XLOOKUP($C15,'-ref_Distribution'!$B$146:$B$150,'-ref_Distribution'!$G$146:$G$150)),RIGHT(AP$1,2))</f>
        <v>115</v>
      </c>
      <c r="AQ15" s="16" cm="1">
        <f t="array" ref="AQ15">INDEX(_xlfn.ANCHORARRAY(_xlfn.XLOOKUP($C15,'-ref_Distribution'!$B$146:$B$150,'-ref_Distribution'!$G$146:$G$150)),RIGHT(AQ$1,2))</f>
        <v>94</v>
      </c>
      <c r="AR15" s="16" cm="1">
        <f t="array" ref="AR15">INDEX(_xlfn.ANCHORARRAY(_xlfn.XLOOKUP($C15,'-ref_Distribution'!$B$146:$B$150,'-ref_Distribution'!$G$146:$G$150)),RIGHT(AR$1,2))</f>
        <v>75</v>
      </c>
      <c r="AS15" s="16" cm="1">
        <f t="array" ref="AS15">INDEX(_xlfn.ANCHORARRAY(_xlfn.XLOOKUP($C15,'-ref_Distribution'!$B$146:$B$150,'-ref_Distribution'!$G$146:$G$150)),RIGHT(AS$1,2))</f>
        <v>94</v>
      </c>
      <c r="AT15" s="16" cm="1">
        <f t="array" ref="AT15">INDEX(_xlfn.ANCHORARRAY(_xlfn.XLOOKUP($C15,'-ref_Distribution'!$B$146:$B$150,'-ref_Distribution'!$G$146:$G$150)),RIGHT(AT$1,2))</f>
        <v>115</v>
      </c>
      <c r="AU15" s="16" cm="1">
        <f t="array" ref="AU15">INDEX(_xlfn.ANCHORARRAY(_xlfn.XLOOKUP($C15,'-ref_Distribution'!$B$146:$B$150,'-ref_Distribution'!$G$146:$G$150)),RIGHT(AU$1,2))</f>
        <v>137</v>
      </c>
      <c r="AV15" s="16" cm="1">
        <f t="array" ref="AV15">INDEX(_xlfn.ANCHORARRAY(_xlfn.XLOOKUP($C15,'-ref_Distribution'!$B$146:$B$150,'-ref_Distribution'!$G$146:$G$150)),RIGHT(AV$1,2))</f>
        <v>160</v>
      </c>
      <c r="AW15" s="16" cm="1">
        <f t="array" ref="AW15">INDEX(_xlfn.ANCHORARRAY(_xlfn.XLOOKUP($C15,'-ref_Distribution'!$B$146:$B$150,'-ref_Distribution'!$G$146:$G$150)),RIGHT(AW$1,2))</f>
        <v>183</v>
      </c>
      <c r="AX15" s="16" cm="1">
        <f t="array" ref="AX15">INDEX(_xlfn.ANCHORARRAY(_xlfn.XLOOKUP($C15,'-ref_Distribution'!$B$146:$B$150,'-ref_Distribution'!$G$146:$G$150)),RIGHT(AX$1,2))</f>
        <v>203</v>
      </c>
      <c r="AY15" s="16" cm="1">
        <f t="array" ref="AY15">INDEX(_xlfn.ANCHORARRAY(_xlfn.XLOOKUP($C15,'-ref_Distribution'!$B$146:$B$150,'-ref_Distribution'!$G$146:$G$150)),RIGHT(AY$1,2))</f>
        <v>221</v>
      </c>
      <c r="AZ15" s="16" cm="1">
        <f t="array" ref="AZ15">INDEX(_xlfn.ANCHORARRAY(_xlfn.XLOOKUP($C15,'-ref_Distribution'!$B$146:$B$150,'-ref_Distribution'!$G$146:$G$150)),RIGHT(AZ$1,2))</f>
        <v>234</v>
      </c>
      <c r="BA15" s="16" cm="1">
        <f t="array" ref="BA15">INDEX(_xlfn.ANCHORARRAY(_xlfn.XLOOKUP($C15,'-ref_Distribution'!$B$146:$B$150,'-ref_Distribution'!$G$146:$G$150)),RIGHT(BA$1,2))</f>
        <v>243</v>
      </c>
      <c r="BB15" s="16" cm="1">
        <f t="array" ref="BB15">INDEX(_xlfn.ANCHORARRAY(_xlfn.XLOOKUP($C15,'-ref_Distribution'!$B$146:$B$150,'-ref_Distribution'!$G$146:$G$150)),RIGHT(BB$1,2))</f>
        <v>245</v>
      </c>
      <c r="BC15" s="16" cm="1">
        <f t="array" ref="BC15">INDEX(_xlfn.ANCHORARRAY(_xlfn.XLOOKUP($C15,'-ref_Distribution'!$B$146:$B$150,'-ref_Distribution'!$G$146:$G$150)),RIGHT(BC$1,2))</f>
        <v>243</v>
      </c>
      <c r="BD15" s="16" cm="1">
        <f t="array" ref="BD15">INDEX(_xlfn.ANCHORARRAY(_xlfn.XLOOKUP($C15,'-ref_Distribution'!$B$146:$B$150,'-ref_Distribution'!$G$146:$G$150)),RIGHT(BD$1,2))</f>
        <v>234</v>
      </c>
      <c r="BE15" s="16" cm="1">
        <f t="array" ref="BE15">INDEX(_xlfn.ANCHORARRAY(_xlfn.XLOOKUP($C15,'-ref_Distribution'!$B$146:$B$150,'-ref_Distribution'!$G$146:$G$150)),RIGHT(BE$1,2))</f>
        <v>221</v>
      </c>
      <c r="BF15" s="16" cm="1">
        <f t="array" ref="BF15">INDEX(_xlfn.ANCHORARRAY(_xlfn.XLOOKUP($C15,'-ref_Distribution'!$B$146:$B$150,'-ref_Distribution'!$G$146:$G$150)),RIGHT(BF$1,2))</f>
        <v>203</v>
      </c>
      <c r="BG15" s="16" cm="1">
        <f t="array" ref="BG15">INDEX(_xlfn.ANCHORARRAY(_xlfn.XLOOKUP($C15,'-ref_Distribution'!$B$146:$B$150,'-ref_Distribution'!$G$146:$G$150)),RIGHT(BG$1,2))</f>
        <v>183</v>
      </c>
      <c r="BH15" s="16" cm="1">
        <f t="array" ref="BH15">INDEX(_xlfn.ANCHORARRAY(_xlfn.XLOOKUP($C15,'-ref_Distribution'!$B$146:$B$150,'-ref_Distribution'!$G$146:$G$150)),RIGHT(BH$1,2))</f>
        <v>160</v>
      </c>
      <c r="BI15" s="16" cm="1">
        <f t="array" ref="BI15">INDEX(_xlfn.ANCHORARRAY(_xlfn.XLOOKUP($C15,'-ref_Distribution'!$B$146:$B$150,'-ref_Distribution'!$G$146:$G$150)),RIGHT(BI$1,2))</f>
        <v>137</v>
      </c>
      <c r="BJ15" s="16" cm="1">
        <f t="array" ref="BJ15">INDEX(_xlfn.ANCHORARRAY(_xlfn.XLOOKUP($C15,'-ref_Distribution'!$B$146:$B$150,'-ref_Distribution'!$G$146:$G$150)),RIGHT(BJ$1,2))</f>
        <v>115</v>
      </c>
      <c r="BK15" s="16" cm="1">
        <f t="array" ref="BK15">INDEX(_xlfn.ANCHORARRAY(_xlfn.XLOOKUP($C15,'-ref_Distribution'!$B$146:$B$150,'-ref_Distribution'!$G$146:$G$150)),RIGHT(BK$1,2))</f>
        <v>94</v>
      </c>
      <c r="BL15" s="16" cm="1">
        <f t="array" ref="BL15">INDEX(_xlfn.ANCHORARRAY(_xlfn.XLOOKUP($C15,'-ref_Distribution'!$B$146:$B$150,'-ref_Distribution'!$G$146:$G$150)),RIGHT(BL$1,2))</f>
        <v>75</v>
      </c>
      <c r="BM15" s="16" cm="1">
        <f t="array" ref="BM15">INDEX(_xlfn.ANCHORARRAY(_xlfn.XLOOKUP($C15,'-ref_Distribution'!$B$146:$B$150,'-ref_Distribution'!$G$146:$G$150)),RIGHT(BM$1,2))</f>
        <v>94</v>
      </c>
      <c r="BN15" s="16" cm="1">
        <f t="array" ref="BN15">INDEX(_xlfn.ANCHORARRAY(_xlfn.XLOOKUP($C15,'-ref_Distribution'!$B$146:$B$150,'-ref_Distribution'!$G$146:$G$150)),RIGHT(BN$1,2))</f>
        <v>115</v>
      </c>
      <c r="BO15" s="16" cm="1">
        <f t="array" ref="BO15">INDEX(_xlfn.ANCHORARRAY(_xlfn.XLOOKUP($C15,'-ref_Distribution'!$B$146:$B$150,'-ref_Distribution'!$G$146:$G$150)),RIGHT(BO$1,2))</f>
        <v>137</v>
      </c>
      <c r="BP15" s="16" cm="1">
        <f t="array" ref="BP15">INDEX(_xlfn.ANCHORARRAY(_xlfn.XLOOKUP($C15,'-ref_Distribution'!$B$146:$B$150,'-ref_Distribution'!$G$146:$G$150)),RIGHT(BP$1,2))</f>
        <v>160</v>
      </c>
      <c r="BQ15" s="16" cm="1">
        <f t="array" ref="BQ15">INDEX(_xlfn.ANCHORARRAY(_xlfn.XLOOKUP($C15,'-ref_Distribution'!$B$146:$B$150,'-ref_Distribution'!$G$146:$G$150)),RIGHT(BQ$1,2))</f>
        <v>183</v>
      </c>
      <c r="BR15" s="16" cm="1">
        <f t="array" ref="BR15">INDEX(_xlfn.ANCHORARRAY(_xlfn.XLOOKUP($C15,'-ref_Distribution'!$B$146:$B$150,'-ref_Distribution'!$G$146:$G$150)),RIGHT(BR$1,2))</f>
        <v>203</v>
      </c>
      <c r="BS15" s="16" cm="1">
        <f t="array" ref="BS15">INDEX(_xlfn.ANCHORARRAY(_xlfn.XLOOKUP($C15,'-ref_Distribution'!$B$146:$B$150,'-ref_Distribution'!$G$146:$G$150)),RIGHT(BS$1,2))</f>
        <v>221</v>
      </c>
      <c r="BT15" s="16" cm="1">
        <f t="array" ref="BT15">INDEX(_xlfn.ANCHORARRAY(_xlfn.XLOOKUP($C15,'-ref_Distribution'!$B$146:$B$150,'-ref_Distribution'!$G$146:$G$150)),RIGHT(BT$1,2))</f>
        <v>234</v>
      </c>
      <c r="BU15" s="16" cm="1">
        <f t="array" ref="BU15">INDEX(_xlfn.ANCHORARRAY(_xlfn.XLOOKUP($C15,'-ref_Distribution'!$B$146:$B$150,'-ref_Distribution'!$G$146:$G$150)),RIGHT(BU$1,2))</f>
        <v>243</v>
      </c>
      <c r="BV15" s="16" cm="1">
        <f t="array" ref="BV15">INDEX(_xlfn.ANCHORARRAY(_xlfn.XLOOKUP($C15,'-ref_Distribution'!$B$146:$B$150,'-ref_Distribution'!$G$146:$G$150)),RIGHT(BV$1,2))</f>
        <v>245</v>
      </c>
      <c r="BW15" s="16" cm="1">
        <f t="array" ref="BW15">INDEX(_xlfn.ANCHORARRAY(_xlfn.XLOOKUP($C15,'-ref_Distribution'!$B$146:$B$150,'-ref_Distribution'!$G$146:$G$150)),RIGHT(BW$1,2))</f>
        <v>243</v>
      </c>
      <c r="BX15" s="16" cm="1">
        <f t="array" ref="BX15">INDEX(_xlfn.ANCHORARRAY(_xlfn.XLOOKUP($C15,'-ref_Distribution'!$B$146:$B$150,'-ref_Distribution'!$G$146:$G$150)),RIGHT(BX$1,2))</f>
        <v>234</v>
      </c>
      <c r="BY15" s="16" cm="1">
        <f t="array" ref="BY15">INDEX(_xlfn.ANCHORARRAY(_xlfn.XLOOKUP($C15,'-ref_Distribution'!$B$146:$B$150,'-ref_Distribution'!$G$146:$G$150)),RIGHT(BY$1,2))</f>
        <v>221</v>
      </c>
      <c r="BZ15" s="16" cm="1">
        <f t="array" ref="BZ15">INDEX(_xlfn.ANCHORARRAY(_xlfn.XLOOKUP($C15,'-ref_Distribution'!$B$146:$B$150,'-ref_Distribution'!$G$146:$G$150)),RIGHT(BZ$1,2))</f>
        <v>203</v>
      </c>
      <c r="CA15" s="16" cm="1">
        <f t="array" ref="CA15">INDEX(_xlfn.ANCHORARRAY(_xlfn.XLOOKUP($C15,'-ref_Distribution'!$B$146:$B$150,'-ref_Distribution'!$G$146:$G$150)),RIGHT(CA$1,2))</f>
        <v>183</v>
      </c>
      <c r="CB15" s="16" cm="1">
        <f t="array" ref="CB15">INDEX(_xlfn.ANCHORARRAY(_xlfn.XLOOKUP($C15,'-ref_Distribution'!$B$146:$B$150,'-ref_Distribution'!$G$146:$G$150)),RIGHT(CB$1,2))</f>
        <v>160</v>
      </c>
      <c r="CC15" s="16" cm="1">
        <f t="array" ref="CC15">INDEX(_xlfn.ANCHORARRAY(_xlfn.XLOOKUP($C15,'-ref_Distribution'!$B$146:$B$150,'-ref_Distribution'!$G$146:$G$150)),RIGHT(CC$1,2))</f>
        <v>137</v>
      </c>
      <c r="CD15" s="16" cm="1">
        <f t="array" ref="CD15">INDEX(_xlfn.ANCHORARRAY(_xlfn.XLOOKUP($C15,'-ref_Distribution'!$B$146:$B$150,'-ref_Distribution'!$G$146:$G$150)),RIGHT(CD$1,2))</f>
        <v>115</v>
      </c>
      <c r="CE15" s="16" cm="1">
        <f t="array" ref="CE15">INDEX(_xlfn.ANCHORARRAY(_xlfn.XLOOKUP($C15,'-ref_Distribution'!$B$146:$B$150,'-ref_Distribution'!$G$146:$G$150)),RIGHT(CE$1,2))</f>
        <v>94</v>
      </c>
    </row>
    <row r="16" spans="1:83" customFormat="1" x14ac:dyDescent="0.2">
      <c r="A16" s="16">
        <v>300044</v>
      </c>
      <c r="B16" s="16" t="s">
        <v>202</v>
      </c>
      <c r="C16" s="16">
        <v>3</v>
      </c>
      <c r="D16" s="16" cm="1">
        <f t="array" ref="D16">INDEX(_xlfn.ANCHORARRAY(_xlfn.XLOOKUP($C16,'-ref_Distribution'!$B$146:$B$150,'-ref_Distribution'!$G$146:$G$150)),RIGHT(D$1,2))</f>
        <v>4</v>
      </c>
      <c r="E16" s="16" cm="1">
        <f t="array" ref="E16">INDEX(_xlfn.ANCHORARRAY(_xlfn.XLOOKUP($C16,'-ref_Distribution'!$B$146:$B$150,'-ref_Distribution'!$G$146:$G$150)),RIGHT(E$1,2))</f>
        <v>6</v>
      </c>
      <c r="F16" s="16" cm="1">
        <f t="array" ref="F16">INDEX(_xlfn.ANCHORARRAY(_xlfn.XLOOKUP($C16,'-ref_Distribution'!$B$146:$B$150,'-ref_Distribution'!$G$146:$G$150)),RIGHT(F$1,2))</f>
        <v>9</v>
      </c>
      <c r="G16" s="16" cm="1">
        <f t="array" ref="G16">INDEX(_xlfn.ANCHORARRAY(_xlfn.XLOOKUP($C16,'-ref_Distribution'!$B$146:$B$150,'-ref_Distribution'!$G$146:$G$150)),RIGHT(G$1,2))</f>
        <v>14</v>
      </c>
      <c r="H16" s="16" cm="1">
        <f t="array" ref="H16">INDEX(_xlfn.ANCHORARRAY(_xlfn.XLOOKUP($C16,'-ref_Distribution'!$B$146:$B$150,'-ref_Distribution'!$G$146:$G$150)),RIGHT(H$1,2))</f>
        <v>20</v>
      </c>
      <c r="I16" s="16" cm="1">
        <f t="array" ref="I16">INDEX(_xlfn.ANCHORARRAY(_xlfn.XLOOKUP($C16,'-ref_Distribution'!$B$146:$B$150,'-ref_Distribution'!$G$146:$G$150)),RIGHT(I$1,2))</f>
        <v>28</v>
      </c>
      <c r="J16" s="16" cm="1">
        <f t="array" ref="J16">INDEX(_xlfn.ANCHORARRAY(_xlfn.XLOOKUP($C16,'-ref_Distribution'!$B$146:$B$150,'-ref_Distribution'!$G$146:$G$150)),RIGHT(J$1,2))</f>
        <v>38</v>
      </c>
      <c r="K16" s="16" cm="1">
        <f t="array" ref="K16">INDEX(_xlfn.ANCHORARRAY(_xlfn.XLOOKUP($C16,'-ref_Distribution'!$B$146:$B$150,'-ref_Distribution'!$G$146:$G$150)),RIGHT(K$1,2))</f>
        <v>51</v>
      </c>
      <c r="L16" s="16" cm="1">
        <f t="array" ref="L16">INDEX(_xlfn.ANCHORARRAY(_xlfn.XLOOKUP($C16,'-ref_Distribution'!$B$146:$B$150,'-ref_Distribution'!$G$146:$G$150)),RIGHT(L$1,2))</f>
        <v>65</v>
      </c>
      <c r="M16" s="16" cm="1">
        <f t="array" ref="M16">INDEX(_xlfn.ANCHORARRAY(_xlfn.XLOOKUP($C16,'-ref_Distribution'!$B$146:$B$150,'-ref_Distribution'!$G$146:$G$150)),RIGHT(M$1,2))</f>
        <v>80</v>
      </c>
      <c r="N16" s="16" cm="1">
        <f t="array" ref="N16">INDEX(_xlfn.ANCHORARRAY(_xlfn.XLOOKUP($C16,'-ref_Distribution'!$B$146:$B$150,'-ref_Distribution'!$G$146:$G$150)),RIGHT(N$1,2))</f>
        <v>96</v>
      </c>
      <c r="O16" s="16" cm="1">
        <f t="array" ref="O16">INDEX(_xlfn.ANCHORARRAY(_xlfn.XLOOKUP($C16,'-ref_Distribution'!$B$146:$B$150,'-ref_Distribution'!$G$146:$G$150)),RIGHT(O$1,2))</f>
        <v>111</v>
      </c>
      <c r="P16" s="16" cm="1">
        <f t="array" ref="P16">INDEX(_xlfn.ANCHORARRAY(_xlfn.XLOOKUP($C16,'-ref_Distribution'!$B$146:$B$150,'-ref_Distribution'!$G$146:$G$150)),RIGHT(P$1,2))</f>
        <v>125</v>
      </c>
      <c r="Q16" s="16" cm="1">
        <f t="array" ref="Q16">INDEX(_xlfn.ANCHORARRAY(_xlfn.XLOOKUP($C16,'-ref_Distribution'!$B$146:$B$150,'-ref_Distribution'!$G$146:$G$150)),RIGHT(Q$1,2))</f>
        <v>135</v>
      </c>
      <c r="R16" s="16" cm="1">
        <f t="array" ref="R16">INDEX(_xlfn.ANCHORARRAY(_xlfn.XLOOKUP($C16,'-ref_Distribution'!$B$146:$B$150,'-ref_Distribution'!$G$146:$G$150)),RIGHT(R$1,2))</f>
        <v>142</v>
      </c>
      <c r="S16" s="16" cm="1">
        <f t="array" ref="S16">INDEX(_xlfn.ANCHORARRAY(_xlfn.XLOOKUP($C16,'-ref_Distribution'!$B$146:$B$150,'-ref_Distribution'!$G$146:$G$150)),RIGHT(S$1,2))</f>
        <v>144</v>
      </c>
      <c r="T16" s="16" cm="1">
        <f t="array" ref="T16">INDEX(_xlfn.ANCHORARRAY(_xlfn.XLOOKUP($C16,'-ref_Distribution'!$B$146:$B$150,'-ref_Distribution'!$G$146:$G$150)),RIGHT(T$1,2))</f>
        <v>142</v>
      </c>
      <c r="U16" s="16" cm="1">
        <f t="array" ref="U16">INDEX(_xlfn.ANCHORARRAY(_xlfn.XLOOKUP($C16,'-ref_Distribution'!$B$146:$B$150,'-ref_Distribution'!$G$146:$G$150)),RIGHT(U$1,2))</f>
        <v>135</v>
      </c>
      <c r="V16" s="16" cm="1">
        <f t="array" ref="V16">INDEX(_xlfn.ANCHORARRAY(_xlfn.XLOOKUP($C16,'-ref_Distribution'!$B$146:$B$150,'-ref_Distribution'!$G$146:$G$150)),RIGHT(V$1,2))</f>
        <v>125</v>
      </c>
      <c r="W16" s="16" cm="1">
        <f t="array" ref="W16">INDEX(_xlfn.ANCHORARRAY(_xlfn.XLOOKUP($C16,'-ref_Distribution'!$B$146:$B$150,'-ref_Distribution'!$G$146:$G$150)),RIGHT(W$1,2))</f>
        <v>111</v>
      </c>
      <c r="X16" s="16" cm="1">
        <f t="array" ref="X16">INDEX(_xlfn.ANCHORARRAY(_xlfn.XLOOKUP($C16,'-ref_Distribution'!$B$146:$B$150,'-ref_Distribution'!$G$146:$G$150)),RIGHT(X$1,2))</f>
        <v>4</v>
      </c>
      <c r="Y16" s="16" cm="1">
        <f t="array" ref="Y16">INDEX(_xlfn.ANCHORARRAY(_xlfn.XLOOKUP($C16,'-ref_Distribution'!$B$146:$B$150,'-ref_Distribution'!$G$146:$G$150)),RIGHT(Y$1,2))</f>
        <v>6</v>
      </c>
      <c r="Z16" s="16" cm="1">
        <f t="array" ref="Z16">INDEX(_xlfn.ANCHORARRAY(_xlfn.XLOOKUP($C16,'-ref_Distribution'!$B$146:$B$150,'-ref_Distribution'!$G$146:$G$150)),RIGHT(Z$1,2))</f>
        <v>9</v>
      </c>
      <c r="AA16" s="16" cm="1">
        <f t="array" ref="AA16">INDEX(_xlfn.ANCHORARRAY(_xlfn.XLOOKUP($C16,'-ref_Distribution'!$B$146:$B$150,'-ref_Distribution'!$G$146:$G$150)),RIGHT(AA$1,2))</f>
        <v>14</v>
      </c>
      <c r="AB16" s="16" cm="1">
        <f t="array" ref="AB16">INDEX(_xlfn.ANCHORARRAY(_xlfn.XLOOKUP($C16,'-ref_Distribution'!$B$146:$B$150,'-ref_Distribution'!$G$146:$G$150)),RIGHT(AB$1,2))</f>
        <v>20</v>
      </c>
      <c r="AC16" s="16" cm="1">
        <f t="array" ref="AC16">INDEX(_xlfn.ANCHORARRAY(_xlfn.XLOOKUP($C16,'-ref_Distribution'!$B$146:$B$150,'-ref_Distribution'!$G$146:$G$150)),RIGHT(AC$1,2))</f>
        <v>28</v>
      </c>
      <c r="AD16" s="16" cm="1">
        <f t="array" ref="AD16">INDEX(_xlfn.ANCHORARRAY(_xlfn.XLOOKUP($C16,'-ref_Distribution'!$B$146:$B$150,'-ref_Distribution'!$G$146:$G$150)),RIGHT(AD$1,2))</f>
        <v>38</v>
      </c>
      <c r="AE16" s="16" cm="1">
        <f t="array" ref="AE16">INDEX(_xlfn.ANCHORARRAY(_xlfn.XLOOKUP($C16,'-ref_Distribution'!$B$146:$B$150,'-ref_Distribution'!$G$146:$G$150)),RIGHT(AE$1,2))</f>
        <v>51</v>
      </c>
      <c r="AF16" s="16" cm="1">
        <f t="array" ref="AF16">INDEX(_xlfn.ANCHORARRAY(_xlfn.XLOOKUP($C16,'-ref_Distribution'!$B$146:$B$150,'-ref_Distribution'!$G$146:$G$150)),RIGHT(AF$1,2))</f>
        <v>65</v>
      </c>
      <c r="AG16" s="16" cm="1">
        <f t="array" ref="AG16">INDEX(_xlfn.ANCHORARRAY(_xlfn.XLOOKUP($C16,'-ref_Distribution'!$B$146:$B$150,'-ref_Distribution'!$G$146:$G$150)),RIGHT(AG$1,2))</f>
        <v>80</v>
      </c>
      <c r="AH16" s="16" cm="1">
        <f t="array" ref="AH16">INDEX(_xlfn.ANCHORARRAY(_xlfn.XLOOKUP($C16,'-ref_Distribution'!$B$146:$B$150,'-ref_Distribution'!$G$146:$G$150)),RIGHT(AH$1,2))</f>
        <v>96</v>
      </c>
      <c r="AI16" s="16" cm="1">
        <f t="array" ref="AI16">INDEX(_xlfn.ANCHORARRAY(_xlfn.XLOOKUP($C16,'-ref_Distribution'!$B$146:$B$150,'-ref_Distribution'!$G$146:$G$150)),RIGHT(AI$1,2))</f>
        <v>111</v>
      </c>
      <c r="AJ16" s="16" cm="1">
        <f t="array" ref="AJ16">INDEX(_xlfn.ANCHORARRAY(_xlfn.XLOOKUP($C16,'-ref_Distribution'!$B$146:$B$150,'-ref_Distribution'!$G$146:$G$150)),RIGHT(AJ$1,2))</f>
        <v>125</v>
      </c>
      <c r="AK16" s="16" cm="1">
        <f t="array" ref="AK16">INDEX(_xlfn.ANCHORARRAY(_xlfn.XLOOKUP($C16,'-ref_Distribution'!$B$146:$B$150,'-ref_Distribution'!$G$146:$G$150)),RIGHT(AK$1,2))</f>
        <v>135</v>
      </c>
      <c r="AL16" s="16" cm="1">
        <f t="array" ref="AL16">INDEX(_xlfn.ANCHORARRAY(_xlfn.XLOOKUP($C16,'-ref_Distribution'!$B$146:$B$150,'-ref_Distribution'!$G$146:$G$150)),RIGHT(AL$1,2))</f>
        <v>142</v>
      </c>
      <c r="AM16" s="16" cm="1">
        <f t="array" ref="AM16">INDEX(_xlfn.ANCHORARRAY(_xlfn.XLOOKUP($C16,'-ref_Distribution'!$B$146:$B$150,'-ref_Distribution'!$G$146:$G$150)),RIGHT(AM$1,2))</f>
        <v>144</v>
      </c>
      <c r="AN16" s="16" cm="1">
        <f t="array" ref="AN16">INDEX(_xlfn.ANCHORARRAY(_xlfn.XLOOKUP($C16,'-ref_Distribution'!$B$146:$B$150,'-ref_Distribution'!$G$146:$G$150)),RIGHT(AN$1,2))</f>
        <v>142</v>
      </c>
      <c r="AO16" s="16" cm="1">
        <f t="array" ref="AO16">INDEX(_xlfn.ANCHORARRAY(_xlfn.XLOOKUP($C16,'-ref_Distribution'!$B$146:$B$150,'-ref_Distribution'!$G$146:$G$150)),RIGHT(AO$1,2))</f>
        <v>135</v>
      </c>
      <c r="AP16" s="16" cm="1">
        <f t="array" ref="AP16">INDEX(_xlfn.ANCHORARRAY(_xlfn.XLOOKUP($C16,'-ref_Distribution'!$B$146:$B$150,'-ref_Distribution'!$G$146:$G$150)),RIGHT(AP$1,2))</f>
        <v>125</v>
      </c>
      <c r="AQ16" s="16" cm="1">
        <f t="array" ref="AQ16">INDEX(_xlfn.ANCHORARRAY(_xlfn.XLOOKUP($C16,'-ref_Distribution'!$B$146:$B$150,'-ref_Distribution'!$G$146:$G$150)),RIGHT(AQ$1,2))</f>
        <v>111</v>
      </c>
      <c r="AR16" s="16" cm="1">
        <f t="array" ref="AR16">INDEX(_xlfn.ANCHORARRAY(_xlfn.XLOOKUP($C16,'-ref_Distribution'!$B$146:$B$150,'-ref_Distribution'!$G$146:$G$150)),RIGHT(AR$1,2))</f>
        <v>4</v>
      </c>
      <c r="AS16" s="16" cm="1">
        <f t="array" ref="AS16">INDEX(_xlfn.ANCHORARRAY(_xlfn.XLOOKUP($C16,'-ref_Distribution'!$B$146:$B$150,'-ref_Distribution'!$G$146:$G$150)),RIGHT(AS$1,2))</f>
        <v>6</v>
      </c>
      <c r="AT16" s="16" cm="1">
        <f t="array" ref="AT16">INDEX(_xlfn.ANCHORARRAY(_xlfn.XLOOKUP($C16,'-ref_Distribution'!$B$146:$B$150,'-ref_Distribution'!$G$146:$G$150)),RIGHT(AT$1,2))</f>
        <v>9</v>
      </c>
      <c r="AU16" s="16" cm="1">
        <f t="array" ref="AU16">INDEX(_xlfn.ANCHORARRAY(_xlfn.XLOOKUP($C16,'-ref_Distribution'!$B$146:$B$150,'-ref_Distribution'!$G$146:$G$150)),RIGHT(AU$1,2))</f>
        <v>14</v>
      </c>
      <c r="AV16" s="16" cm="1">
        <f t="array" ref="AV16">INDEX(_xlfn.ANCHORARRAY(_xlfn.XLOOKUP($C16,'-ref_Distribution'!$B$146:$B$150,'-ref_Distribution'!$G$146:$G$150)),RIGHT(AV$1,2))</f>
        <v>20</v>
      </c>
      <c r="AW16" s="16" cm="1">
        <f t="array" ref="AW16">INDEX(_xlfn.ANCHORARRAY(_xlfn.XLOOKUP($C16,'-ref_Distribution'!$B$146:$B$150,'-ref_Distribution'!$G$146:$G$150)),RIGHT(AW$1,2))</f>
        <v>28</v>
      </c>
      <c r="AX16" s="16" cm="1">
        <f t="array" ref="AX16">INDEX(_xlfn.ANCHORARRAY(_xlfn.XLOOKUP($C16,'-ref_Distribution'!$B$146:$B$150,'-ref_Distribution'!$G$146:$G$150)),RIGHT(AX$1,2))</f>
        <v>38</v>
      </c>
      <c r="AY16" s="16" cm="1">
        <f t="array" ref="AY16">INDEX(_xlfn.ANCHORARRAY(_xlfn.XLOOKUP($C16,'-ref_Distribution'!$B$146:$B$150,'-ref_Distribution'!$G$146:$G$150)),RIGHT(AY$1,2))</f>
        <v>51</v>
      </c>
      <c r="AZ16" s="16" cm="1">
        <f t="array" ref="AZ16">INDEX(_xlfn.ANCHORARRAY(_xlfn.XLOOKUP($C16,'-ref_Distribution'!$B$146:$B$150,'-ref_Distribution'!$G$146:$G$150)),RIGHT(AZ$1,2))</f>
        <v>65</v>
      </c>
      <c r="BA16" s="16" cm="1">
        <f t="array" ref="BA16">INDEX(_xlfn.ANCHORARRAY(_xlfn.XLOOKUP($C16,'-ref_Distribution'!$B$146:$B$150,'-ref_Distribution'!$G$146:$G$150)),RIGHT(BA$1,2))</f>
        <v>80</v>
      </c>
      <c r="BB16" s="16" cm="1">
        <f t="array" ref="BB16">INDEX(_xlfn.ANCHORARRAY(_xlfn.XLOOKUP($C16,'-ref_Distribution'!$B$146:$B$150,'-ref_Distribution'!$G$146:$G$150)),RIGHT(BB$1,2))</f>
        <v>96</v>
      </c>
      <c r="BC16" s="16" cm="1">
        <f t="array" ref="BC16">INDEX(_xlfn.ANCHORARRAY(_xlfn.XLOOKUP($C16,'-ref_Distribution'!$B$146:$B$150,'-ref_Distribution'!$G$146:$G$150)),RIGHT(BC$1,2))</f>
        <v>111</v>
      </c>
      <c r="BD16" s="16" cm="1">
        <f t="array" ref="BD16">INDEX(_xlfn.ANCHORARRAY(_xlfn.XLOOKUP($C16,'-ref_Distribution'!$B$146:$B$150,'-ref_Distribution'!$G$146:$G$150)),RIGHT(BD$1,2))</f>
        <v>125</v>
      </c>
      <c r="BE16" s="16" cm="1">
        <f t="array" ref="BE16">INDEX(_xlfn.ANCHORARRAY(_xlfn.XLOOKUP($C16,'-ref_Distribution'!$B$146:$B$150,'-ref_Distribution'!$G$146:$G$150)),RIGHT(BE$1,2))</f>
        <v>135</v>
      </c>
      <c r="BF16" s="16" cm="1">
        <f t="array" ref="BF16">INDEX(_xlfn.ANCHORARRAY(_xlfn.XLOOKUP($C16,'-ref_Distribution'!$B$146:$B$150,'-ref_Distribution'!$G$146:$G$150)),RIGHT(BF$1,2))</f>
        <v>142</v>
      </c>
      <c r="BG16" s="16" cm="1">
        <f t="array" ref="BG16">INDEX(_xlfn.ANCHORARRAY(_xlfn.XLOOKUP($C16,'-ref_Distribution'!$B$146:$B$150,'-ref_Distribution'!$G$146:$G$150)),RIGHT(BG$1,2))</f>
        <v>144</v>
      </c>
      <c r="BH16" s="16" cm="1">
        <f t="array" ref="BH16">INDEX(_xlfn.ANCHORARRAY(_xlfn.XLOOKUP($C16,'-ref_Distribution'!$B$146:$B$150,'-ref_Distribution'!$G$146:$G$150)),RIGHT(BH$1,2))</f>
        <v>142</v>
      </c>
      <c r="BI16" s="16" cm="1">
        <f t="array" ref="BI16">INDEX(_xlfn.ANCHORARRAY(_xlfn.XLOOKUP($C16,'-ref_Distribution'!$B$146:$B$150,'-ref_Distribution'!$G$146:$G$150)),RIGHT(BI$1,2))</f>
        <v>135</v>
      </c>
      <c r="BJ16" s="16" cm="1">
        <f t="array" ref="BJ16">INDEX(_xlfn.ANCHORARRAY(_xlfn.XLOOKUP($C16,'-ref_Distribution'!$B$146:$B$150,'-ref_Distribution'!$G$146:$G$150)),RIGHT(BJ$1,2))</f>
        <v>125</v>
      </c>
      <c r="BK16" s="16" cm="1">
        <f t="array" ref="BK16">INDEX(_xlfn.ANCHORARRAY(_xlfn.XLOOKUP($C16,'-ref_Distribution'!$B$146:$B$150,'-ref_Distribution'!$G$146:$G$150)),RIGHT(BK$1,2))</f>
        <v>111</v>
      </c>
      <c r="BL16" s="16" cm="1">
        <f t="array" ref="BL16">INDEX(_xlfn.ANCHORARRAY(_xlfn.XLOOKUP($C16,'-ref_Distribution'!$B$146:$B$150,'-ref_Distribution'!$G$146:$G$150)),RIGHT(BL$1,2))</f>
        <v>4</v>
      </c>
      <c r="BM16" s="16" cm="1">
        <f t="array" ref="BM16">INDEX(_xlfn.ANCHORARRAY(_xlfn.XLOOKUP($C16,'-ref_Distribution'!$B$146:$B$150,'-ref_Distribution'!$G$146:$G$150)),RIGHT(BM$1,2))</f>
        <v>6</v>
      </c>
      <c r="BN16" s="16" cm="1">
        <f t="array" ref="BN16">INDEX(_xlfn.ANCHORARRAY(_xlfn.XLOOKUP($C16,'-ref_Distribution'!$B$146:$B$150,'-ref_Distribution'!$G$146:$G$150)),RIGHT(BN$1,2))</f>
        <v>9</v>
      </c>
      <c r="BO16" s="16" cm="1">
        <f t="array" ref="BO16">INDEX(_xlfn.ANCHORARRAY(_xlfn.XLOOKUP($C16,'-ref_Distribution'!$B$146:$B$150,'-ref_Distribution'!$G$146:$G$150)),RIGHT(BO$1,2))</f>
        <v>14</v>
      </c>
      <c r="BP16" s="16" cm="1">
        <f t="array" ref="BP16">INDEX(_xlfn.ANCHORARRAY(_xlfn.XLOOKUP($C16,'-ref_Distribution'!$B$146:$B$150,'-ref_Distribution'!$G$146:$G$150)),RIGHT(BP$1,2))</f>
        <v>20</v>
      </c>
      <c r="BQ16" s="16" cm="1">
        <f t="array" ref="BQ16">INDEX(_xlfn.ANCHORARRAY(_xlfn.XLOOKUP($C16,'-ref_Distribution'!$B$146:$B$150,'-ref_Distribution'!$G$146:$G$150)),RIGHT(BQ$1,2))</f>
        <v>28</v>
      </c>
      <c r="BR16" s="16" cm="1">
        <f t="array" ref="BR16">INDEX(_xlfn.ANCHORARRAY(_xlfn.XLOOKUP($C16,'-ref_Distribution'!$B$146:$B$150,'-ref_Distribution'!$G$146:$G$150)),RIGHT(BR$1,2))</f>
        <v>38</v>
      </c>
      <c r="BS16" s="16" cm="1">
        <f t="array" ref="BS16">INDEX(_xlfn.ANCHORARRAY(_xlfn.XLOOKUP($C16,'-ref_Distribution'!$B$146:$B$150,'-ref_Distribution'!$G$146:$G$150)),RIGHT(BS$1,2))</f>
        <v>51</v>
      </c>
      <c r="BT16" s="16" cm="1">
        <f t="array" ref="BT16">INDEX(_xlfn.ANCHORARRAY(_xlfn.XLOOKUP($C16,'-ref_Distribution'!$B$146:$B$150,'-ref_Distribution'!$G$146:$G$150)),RIGHT(BT$1,2))</f>
        <v>65</v>
      </c>
      <c r="BU16" s="16" cm="1">
        <f t="array" ref="BU16">INDEX(_xlfn.ANCHORARRAY(_xlfn.XLOOKUP($C16,'-ref_Distribution'!$B$146:$B$150,'-ref_Distribution'!$G$146:$G$150)),RIGHT(BU$1,2))</f>
        <v>80</v>
      </c>
      <c r="BV16" s="16" cm="1">
        <f t="array" ref="BV16">INDEX(_xlfn.ANCHORARRAY(_xlfn.XLOOKUP($C16,'-ref_Distribution'!$B$146:$B$150,'-ref_Distribution'!$G$146:$G$150)),RIGHT(BV$1,2))</f>
        <v>96</v>
      </c>
      <c r="BW16" s="16" cm="1">
        <f t="array" ref="BW16">INDEX(_xlfn.ANCHORARRAY(_xlfn.XLOOKUP($C16,'-ref_Distribution'!$B$146:$B$150,'-ref_Distribution'!$G$146:$G$150)),RIGHT(BW$1,2))</f>
        <v>111</v>
      </c>
      <c r="BX16" s="16" cm="1">
        <f t="array" ref="BX16">INDEX(_xlfn.ANCHORARRAY(_xlfn.XLOOKUP($C16,'-ref_Distribution'!$B$146:$B$150,'-ref_Distribution'!$G$146:$G$150)),RIGHT(BX$1,2))</f>
        <v>125</v>
      </c>
      <c r="BY16" s="16" cm="1">
        <f t="array" ref="BY16">INDEX(_xlfn.ANCHORARRAY(_xlfn.XLOOKUP($C16,'-ref_Distribution'!$B$146:$B$150,'-ref_Distribution'!$G$146:$G$150)),RIGHT(BY$1,2))</f>
        <v>135</v>
      </c>
      <c r="BZ16" s="16" cm="1">
        <f t="array" ref="BZ16">INDEX(_xlfn.ANCHORARRAY(_xlfn.XLOOKUP($C16,'-ref_Distribution'!$B$146:$B$150,'-ref_Distribution'!$G$146:$G$150)),RIGHT(BZ$1,2))</f>
        <v>142</v>
      </c>
      <c r="CA16" s="16" cm="1">
        <f t="array" ref="CA16">INDEX(_xlfn.ANCHORARRAY(_xlfn.XLOOKUP($C16,'-ref_Distribution'!$B$146:$B$150,'-ref_Distribution'!$G$146:$G$150)),RIGHT(CA$1,2))</f>
        <v>144</v>
      </c>
      <c r="CB16" s="16" cm="1">
        <f t="array" ref="CB16">INDEX(_xlfn.ANCHORARRAY(_xlfn.XLOOKUP($C16,'-ref_Distribution'!$B$146:$B$150,'-ref_Distribution'!$G$146:$G$150)),RIGHT(CB$1,2))</f>
        <v>142</v>
      </c>
      <c r="CC16" s="16" cm="1">
        <f t="array" ref="CC16">INDEX(_xlfn.ANCHORARRAY(_xlfn.XLOOKUP($C16,'-ref_Distribution'!$B$146:$B$150,'-ref_Distribution'!$G$146:$G$150)),RIGHT(CC$1,2))</f>
        <v>135</v>
      </c>
      <c r="CD16" s="16" cm="1">
        <f t="array" ref="CD16">INDEX(_xlfn.ANCHORARRAY(_xlfn.XLOOKUP($C16,'-ref_Distribution'!$B$146:$B$150,'-ref_Distribution'!$G$146:$G$150)),RIGHT(CD$1,2))</f>
        <v>125</v>
      </c>
      <c r="CE16" s="16" cm="1">
        <f t="array" ref="CE16">INDEX(_xlfn.ANCHORARRAY(_xlfn.XLOOKUP($C16,'-ref_Distribution'!$B$146:$B$150,'-ref_Distribution'!$G$146:$G$150)),RIGHT(CE$1,2))</f>
        <v>111</v>
      </c>
    </row>
    <row r="17" spans="1:83" customFormat="1" x14ac:dyDescent="0.2">
      <c r="A17" s="16">
        <v>300071</v>
      </c>
      <c r="B17" s="16" t="s">
        <v>280</v>
      </c>
      <c r="C17" s="16">
        <v>0</v>
      </c>
      <c r="D17" s="16" cm="1">
        <f t="array" ref="D17">INDEX(_xlfn.ANCHORARRAY(_xlfn.XLOOKUP($C17,'-ref_Distribution'!$B$146:$B$150,'-ref_Distribution'!$G$146:$G$150)),RIGHT(D$1,2))</f>
        <v>709</v>
      </c>
      <c r="E17" s="16" cm="1">
        <f t="array" ref="E17">INDEX(_xlfn.ANCHORARRAY(_xlfn.XLOOKUP($C17,'-ref_Distribution'!$B$146:$B$150,'-ref_Distribution'!$G$146:$G$150)),RIGHT(E$1,2))</f>
        <v>705</v>
      </c>
      <c r="F17" s="16" cm="1">
        <f t="array" ref="F17">INDEX(_xlfn.ANCHORARRAY(_xlfn.XLOOKUP($C17,'-ref_Distribution'!$B$146:$B$150,'-ref_Distribution'!$G$146:$G$150)),RIGHT(F$1,2))</f>
        <v>692</v>
      </c>
      <c r="G17" s="16" cm="1">
        <f t="array" ref="G17">INDEX(_xlfn.ANCHORARRAY(_xlfn.XLOOKUP($C17,'-ref_Distribution'!$B$146:$B$150,'-ref_Distribution'!$G$146:$G$150)),RIGHT(G$1,2))</f>
        <v>671</v>
      </c>
      <c r="H17" s="16" cm="1">
        <f t="array" ref="H17">INDEX(_xlfn.ANCHORARRAY(_xlfn.XLOOKUP($C17,'-ref_Distribution'!$B$146:$B$150,'-ref_Distribution'!$G$146:$G$150)),RIGHT(H$1,2))</f>
        <v>643</v>
      </c>
      <c r="I17" s="16" cm="1">
        <f t="array" ref="I17">INDEX(_xlfn.ANCHORARRAY(_xlfn.XLOOKUP($C17,'-ref_Distribution'!$B$146:$B$150,'-ref_Distribution'!$G$146:$G$150)),RIGHT(I$1,2))</f>
        <v>608</v>
      </c>
      <c r="J17" s="16" cm="1">
        <f t="array" ref="J17">INDEX(_xlfn.ANCHORARRAY(_xlfn.XLOOKUP($C17,'-ref_Distribution'!$B$146:$B$150,'-ref_Distribution'!$G$146:$G$150)),RIGHT(J$1,2))</f>
        <v>568</v>
      </c>
      <c r="K17" s="16" cm="1">
        <f t="array" ref="K17">INDEX(_xlfn.ANCHORARRAY(_xlfn.XLOOKUP($C17,'-ref_Distribution'!$B$146:$B$150,'-ref_Distribution'!$G$146:$G$150)),RIGHT(K$1,2))</f>
        <v>524</v>
      </c>
      <c r="L17" s="16" cm="1">
        <f t="array" ref="L17">INDEX(_xlfn.ANCHORARRAY(_xlfn.XLOOKUP($C17,'-ref_Distribution'!$B$146:$B$150,'-ref_Distribution'!$G$146:$G$150)),RIGHT(L$1,2))</f>
        <v>478</v>
      </c>
      <c r="M17" s="16" cm="1">
        <f t="array" ref="M17">INDEX(_xlfn.ANCHORARRAY(_xlfn.XLOOKUP($C17,'-ref_Distribution'!$B$146:$B$150,'-ref_Distribution'!$G$146:$G$150)),RIGHT(M$1,2))</f>
        <v>430</v>
      </c>
      <c r="N17" s="16" cm="1">
        <f t="array" ref="N17">INDEX(_xlfn.ANCHORARRAY(_xlfn.XLOOKUP($C17,'-ref_Distribution'!$B$146:$B$150,'-ref_Distribution'!$G$146:$G$150)),RIGHT(N$1,2))</f>
        <v>383</v>
      </c>
      <c r="O17" s="16" cm="1">
        <f t="array" ref="O17">INDEX(_xlfn.ANCHORARRAY(_xlfn.XLOOKUP($C17,'-ref_Distribution'!$B$146:$B$150,'-ref_Distribution'!$G$146:$G$150)),RIGHT(O$1,2))</f>
        <v>336</v>
      </c>
      <c r="P17" s="16" cm="1">
        <f t="array" ref="P17">INDEX(_xlfn.ANCHORARRAY(_xlfn.XLOOKUP($C17,'-ref_Distribution'!$B$146:$B$150,'-ref_Distribution'!$G$146:$G$150)),RIGHT(P$1,2))</f>
        <v>292</v>
      </c>
      <c r="Q17" s="16" cm="1">
        <f t="array" ref="Q17">INDEX(_xlfn.ANCHORARRAY(_xlfn.XLOOKUP($C17,'-ref_Distribution'!$B$146:$B$150,'-ref_Distribution'!$G$146:$G$150)),RIGHT(Q$1,2))</f>
        <v>250</v>
      </c>
      <c r="R17" s="16" cm="1">
        <f t="array" ref="R17">INDEX(_xlfn.ANCHORARRAY(_xlfn.XLOOKUP($C17,'-ref_Distribution'!$B$146:$B$150,'-ref_Distribution'!$G$146:$G$150)),RIGHT(R$1,2))</f>
        <v>212</v>
      </c>
      <c r="S17" s="16" cm="1">
        <f t="array" ref="S17">INDEX(_xlfn.ANCHORARRAY(_xlfn.XLOOKUP($C17,'-ref_Distribution'!$B$146:$B$150,'-ref_Distribution'!$G$146:$G$150)),RIGHT(S$1,2))</f>
        <v>177</v>
      </c>
      <c r="T17" s="16" cm="1">
        <f t="array" ref="T17">INDEX(_xlfn.ANCHORARRAY(_xlfn.XLOOKUP($C17,'-ref_Distribution'!$B$146:$B$150,'-ref_Distribution'!$G$146:$G$150)),RIGHT(T$1,2))</f>
        <v>146</v>
      </c>
      <c r="U17" s="16" cm="1">
        <f t="array" ref="U17">INDEX(_xlfn.ANCHORARRAY(_xlfn.XLOOKUP($C17,'-ref_Distribution'!$B$146:$B$150,'-ref_Distribution'!$G$146:$G$150)),RIGHT(U$1,2))</f>
        <v>119</v>
      </c>
      <c r="V17" s="16" cm="1">
        <f t="array" ref="V17">INDEX(_xlfn.ANCHORARRAY(_xlfn.XLOOKUP($C17,'-ref_Distribution'!$B$146:$B$150,'-ref_Distribution'!$G$146:$G$150)),RIGHT(V$1,2))</f>
        <v>96</v>
      </c>
      <c r="W17" s="16" cm="1">
        <f t="array" ref="W17">INDEX(_xlfn.ANCHORARRAY(_xlfn.XLOOKUP($C17,'-ref_Distribution'!$B$146:$B$150,'-ref_Distribution'!$G$146:$G$150)),RIGHT(W$1,2))</f>
        <v>76</v>
      </c>
      <c r="X17" s="16" cm="1">
        <f t="array" ref="X17">INDEX(_xlfn.ANCHORARRAY(_xlfn.XLOOKUP($C17,'-ref_Distribution'!$B$146:$B$150,'-ref_Distribution'!$G$146:$G$150)),RIGHT(X$1,2))</f>
        <v>709</v>
      </c>
      <c r="Y17" s="16" cm="1">
        <f t="array" ref="Y17">INDEX(_xlfn.ANCHORARRAY(_xlfn.XLOOKUP($C17,'-ref_Distribution'!$B$146:$B$150,'-ref_Distribution'!$G$146:$G$150)),RIGHT(Y$1,2))</f>
        <v>705</v>
      </c>
      <c r="Z17" s="16" cm="1">
        <f t="array" ref="Z17">INDEX(_xlfn.ANCHORARRAY(_xlfn.XLOOKUP($C17,'-ref_Distribution'!$B$146:$B$150,'-ref_Distribution'!$G$146:$G$150)),RIGHT(Z$1,2))</f>
        <v>692</v>
      </c>
      <c r="AA17" s="16" cm="1">
        <f t="array" ref="AA17">INDEX(_xlfn.ANCHORARRAY(_xlfn.XLOOKUP($C17,'-ref_Distribution'!$B$146:$B$150,'-ref_Distribution'!$G$146:$G$150)),RIGHT(AA$1,2))</f>
        <v>671</v>
      </c>
      <c r="AB17" s="16" cm="1">
        <f t="array" ref="AB17">INDEX(_xlfn.ANCHORARRAY(_xlfn.XLOOKUP($C17,'-ref_Distribution'!$B$146:$B$150,'-ref_Distribution'!$G$146:$G$150)),RIGHT(AB$1,2))</f>
        <v>643</v>
      </c>
      <c r="AC17" s="16" cm="1">
        <f t="array" ref="AC17">INDEX(_xlfn.ANCHORARRAY(_xlfn.XLOOKUP($C17,'-ref_Distribution'!$B$146:$B$150,'-ref_Distribution'!$G$146:$G$150)),RIGHT(AC$1,2))</f>
        <v>608</v>
      </c>
      <c r="AD17" s="16" cm="1">
        <f t="array" ref="AD17">INDEX(_xlfn.ANCHORARRAY(_xlfn.XLOOKUP($C17,'-ref_Distribution'!$B$146:$B$150,'-ref_Distribution'!$G$146:$G$150)),RIGHT(AD$1,2))</f>
        <v>568</v>
      </c>
      <c r="AE17" s="16" cm="1">
        <f t="array" ref="AE17">INDEX(_xlfn.ANCHORARRAY(_xlfn.XLOOKUP($C17,'-ref_Distribution'!$B$146:$B$150,'-ref_Distribution'!$G$146:$G$150)),RIGHT(AE$1,2))</f>
        <v>524</v>
      </c>
      <c r="AF17" s="16" cm="1">
        <f t="array" ref="AF17">INDEX(_xlfn.ANCHORARRAY(_xlfn.XLOOKUP($C17,'-ref_Distribution'!$B$146:$B$150,'-ref_Distribution'!$G$146:$G$150)),RIGHT(AF$1,2))</f>
        <v>478</v>
      </c>
      <c r="AG17" s="16" cm="1">
        <f t="array" ref="AG17">INDEX(_xlfn.ANCHORARRAY(_xlfn.XLOOKUP($C17,'-ref_Distribution'!$B$146:$B$150,'-ref_Distribution'!$G$146:$G$150)),RIGHT(AG$1,2))</f>
        <v>430</v>
      </c>
      <c r="AH17" s="16" cm="1">
        <f t="array" ref="AH17">INDEX(_xlfn.ANCHORARRAY(_xlfn.XLOOKUP($C17,'-ref_Distribution'!$B$146:$B$150,'-ref_Distribution'!$G$146:$G$150)),RIGHT(AH$1,2))</f>
        <v>383</v>
      </c>
      <c r="AI17" s="16" cm="1">
        <f t="array" ref="AI17">INDEX(_xlfn.ANCHORARRAY(_xlfn.XLOOKUP($C17,'-ref_Distribution'!$B$146:$B$150,'-ref_Distribution'!$G$146:$G$150)),RIGHT(AI$1,2))</f>
        <v>336</v>
      </c>
      <c r="AJ17" s="16" cm="1">
        <f t="array" ref="AJ17">INDEX(_xlfn.ANCHORARRAY(_xlfn.XLOOKUP($C17,'-ref_Distribution'!$B$146:$B$150,'-ref_Distribution'!$G$146:$G$150)),RIGHT(AJ$1,2))</f>
        <v>292</v>
      </c>
      <c r="AK17" s="16" cm="1">
        <f t="array" ref="AK17">INDEX(_xlfn.ANCHORARRAY(_xlfn.XLOOKUP($C17,'-ref_Distribution'!$B$146:$B$150,'-ref_Distribution'!$G$146:$G$150)),RIGHT(AK$1,2))</f>
        <v>250</v>
      </c>
      <c r="AL17" s="16" cm="1">
        <f t="array" ref="AL17">INDEX(_xlfn.ANCHORARRAY(_xlfn.XLOOKUP($C17,'-ref_Distribution'!$B$146:$B$150,'-ref_Distribution'!$G$146:$G$150)),RIGHT(AL$1,2))</f>
        <v>212</v>
      </c>
      <c r="AM17" s="16" cm="1">
        <f t="array" ref="AM17">INDEX(_xlfn.ANCHORARRAY(_xlfn.XLOOKUP($C17,'-ref_Distribution'!$B$146:$B$150,'-ref_Distribution'!$G$146:$G$150)),RIGHT(AM$1,2))</f>
        <v>177</v>
      </c>
      <c r="AN17" s="16" cm="1">
        <f t="array" ref="AN17">INDEX(_xlfn.ANCHORARRAY(_xlfn.XLOOKUP($C17,'-ref_Distribution'!$B$146:$B$150,'-ref_Distribution'!$G$146:$G$150)),RIGHT(AN$1,2))</f>
        <v>146</v>
      </c>
      <c r="AO17" s="16" cm="1">
        <f t="array" ref="AO17">INDEX(_xlfn.ANCHORARRAY(_xlfn.XLOOKUP($C17,'-ref_Distribution'!$B$146:$B$150,'-ref_Distribution'!$G$146:$G$150)),RIGHT(AO$1,2))</f>
        <v>119</v>
      </c>
      <c r="AP17" s="16" cm="1">
        <f t="array" ref="AP17">INDEX(_xlfn.ANCHORARRAY(_xlfn.XLOOKUP($C17,'-ref_Distribution'!$B$146:$B$150,'-ref_Distribution'!$G$146:$G$150)),RIGHT(AP$1,2))</f>
        <v>96</v>
      </c>
      <c r="AQ17" s="16" cm="1">
        <f t="array" ref="AQ17">INDEX(_xlfn.ANCHORARRAY(_xlfn.XLOOKUP($C17,'-ref_Distribution'!$B$146:$B$150,'-ref_Distribution'!$G$146:$G$150)),RIGHT(AQ$1,2))</f>
        <v>76</v>
      </c>
      <c r="AR17" s="16" cm="1">
        <f t="array" ref="AR17">INDEX(_xlfn.ANCHORARRAY(_xlfn.XLOOKUP($C17,'-ref_Distribution'!$B$146:$B$150,'-ref_Distribution'!$G$146:$G$150)),RIGHT(AR$1,2))</f>
        <v>709</v>
      </c>
      <c r="AS17" s="16" cm="1">
        <f t="array" ref="AS17">INDEX(_xlfn.ANCHORARRAY(_xlfn.XLOOKUP($C17,'-ref_Distribution'!$B$146:$B$150,'-ref_Distribution'!$G$146:$G$150)),RIGHT(AS$1,2))</f>
        <v>705</v>
      </c>
      <c r="AT17" s="16" cm="1">
        <f t="array" ref="AT17">INDEX(_xlfn.ANCHORARRAY(_xlfn.XLOOKUP($C17,'-ref_Distribution'!$B$146:$B$150,'-ref_Distribution'!$G$146:$G$150)),RIGHT(AT$1,2))</f>
        <v>692</v>
      </c>
      <c r="AU17" s="16" cm="1">
        <f t="array" ref="AU17">INDEX(_xlfn.ANCHORARRAY(_xlfn.XLOOKUP($C17,'-ref_Distribution'!$B$146:$B$150,'-ref_Distribution'!$G$146:$G$150)),RIGHT(AU$1,2))</f>
        <v>671</v>
      </c>
      <c r="AV17" s="16" cm="1">
        <f t="array" ref="AV17">INDEX(_xlfn.ANCHORARRAY(_xlfn.XLOOKUP($C17,'-ref_Distribution'!$B$146:$B$150,'-ref_Distribution'!$G$146:$G$150)),RIGHT(AV$1,2))</f>
        <v>643</v>
      </c>
      <c r="AW17" s="16" cm="1">
        <f t="array" ref="AW17">INDEX(_xlfn.ANCHORARRAY(_xlfn.XLOOKUP($C17,'-ref_Distribution'!$B$146:$B$150,'-ref_Distribution'!$G$146:$G$150)),RIGHT(AW$1,2))</f>
        <v>608</v>
      </c>
      <c r="AX17" s="16" cm="1">
        <f t="array" ref="AX17">INDEX(_xlfn.ANCHORARRAY(_xlfn.XLOOKUP($C17,'-ref_Distribution'!$B$146:$B$150,'-ref_Distribution'!$G$146:$G$150)),RIGHT(AX$1,2))</f>
        <v>568</v>
      </c>
      <c r="AY17" s="16" cm="1">
        <f t="array" ref="AY17">INDEX(_xlfn.ANCHORARRAY(_xlfn.XLOOKUP($C17,'-ref_Distribution'!$B$146:$B$150,'-ref_Distribution'!$G$146:$G$150)),RIGHT(AY$1,2))</f>
        <v>524</v>
      </c>
      <c r="AZ17" s="16" cm="1">
        <f t="array" ref="AZ17">INDEX(_xlfn.ANCHORARRAY(_xlfn.XLOOKUP($C17,'-ref_Distribution'!$B$146:$B$150,'-ref_Distribution'!$G$146:$G$150)),RIGHT(AZ$1,2))</f>
        <v>478</v>
      </c>
      <c r="BA17" s="16" cm="1">
        <f t="array" ref="BA17">INDEX(_xlfn.ANCHORARRAY(_xlfn.XLOOKUP($C17,'-ref_Distribution'!$B$146:$B$150,'-ref_Distribution'!$G$146:$G$150)),RIGHT(BA$1,2))</f>
        <v>430</v>
      </c>
      <c r="BB17" s="16" cm="1">
        <f t="array" ref="BB17">INDEX(_xlfn.ANCHORARRAY(_xlfn.XLOOKUP($C17,'-ref_Distribution'!$B$146:$B$150,'-ref_Distribution'!$G$146:$G$150)),RIGHT(BB$1,2))</f>
        <v>383</v>
      </c>
      <c r="BC17" s="16" cm="1">
        <f t="array" ref="BC17">INDEX(_xlfn.ANCHORARRAY(_xlfn.XLOOKUP($C17,'-ref_Distribution'!$B$146:$B$150,'-ref_Distribution'!$G$146:$G$150)),RIGHT(BC$1,2))</f>
        <v>336</v>
      </c>
      <c r="BD17" s="16" cm="1">
        <f t="array" ref="BD17">INDEX(_xlfn.ANCHORARRAY(_xlfn.XLOOKUP($C17,'-ref_Distribution'!$B$146:$B$150,'-ref_Distribution'!$G$146:$G$150)),RIGHT(BD$1,2))</f>
        <v>292</v>
      </c>
      <c r="BE17" s="16" cm="1">
        <f t="array" ref="BE17">INDEX(_xlfn.ANCHORARRAY(_xlfn.XLOOKUP($C17,'-ref_Distribution'!$B$146:$B$150,'-ref_Distribution'!$G$146:$G$150)),RIGHT(BE$1,2))</f>
        <v>250</v>
      </c>
      <c r="BF17" s="16" cm="1">
        <f t="array" ref="BF17">INDEX(_xlfn.ANCHORARRAY(_xlfn.XLOOKUP($C17,'-ref_Distribution'!$B$146:$B$150,'-ref_Distribution'!$G$146:$G$150)),RIGHT(BF$1,2))</f>
        <v>212</v>
      </c>
      <c r="BG17" s="16" cm="1">
        <f t="array" ref="BG17">INDEX(_xlfn.ANCHORARRAY(_xlfn.XLOOKUP($C17,'-ref_Distribution'!$B$146:$B$150,'-ref_Distribution'!$G$146:$G$150)),RIGHT(BG$1,2))</f>
        <v>177</v>
      </c>
      <c r="BH17" s="16" cm="1">
        <f t="array" ref="BH17">INDEX(_xlfn.ANCHORARRAY(_xlfn.XLOOKUP($C17,'-ref_Distribution'!$B$146:$B$150,'-ref_Distribution'!$G$146:$G$150)),RIGHT(BH$1,2))</f>
        <v>146</v>
      </c>
      <c r="BI17" s="16" cm="1">
        <f t="array" ref="BI17">INDEX(_xlfn.ANCHORARRAY(_xlfn.XLOOKUP($C17,'-ref_Distribution'!$B$146:$B$150,'-ref_Distribution'!$G$146:$G$150)),RIGHT(BI$1,2))</f>
        <v>119</v>
      </c>
      <c r="BJ17" s="16" cm="1">
        <f t="array" ref="BJ17">INDEX(_xlfn.ANCHORARRAY(_xlfn.XLOOKUP($C17,'-ref_Distribution'!$B$146:$B$150,'-ref_Distribution'!$G$146:$G$150)),RIGHT(BJ$1,2))</f>
        <v>96</v>
      </c>
      <c r="BK17" s="16" cm="1">
        <f t="array" ref="BK17">INDEX(_xlfn.ANCHORARRAY(_xlfn.XLOOKUP($C17,'-ref_Distribution'!$B$146:$B$150,'-ref_Distribution'!$G$146:$G$150)),RIGHT(BK$1,2))</f>
        <v>76</v>
      </c>
      <c r="BL17" s="16" cm="1">
        <f t="array" ref="BL17">INDEX(_xlfn.ANCHORARRAY(_xlfn.XLOOKUP($C17,'-ref_Distribution'!$B$146:$B$150,'-ref_Distribution'!$G$146:$G$150)),RIGHT(BL$1,2))</f>
        <v>709</v>
      </c>
      <c r="BM17" s="16" cm="1">
        <f t="array" ref="BM17">INDEX(_xlfn.ANCHORARRAY(_xlfn.XLOOKUP($C17,'-ref_Distribution'!$B$146:$B$150,'-ref_Distribution'!$G$146:$G$150)),RIGHT(BM$1,2))</f>
        <v>705</v>
      </c>
      <c r="BN17" s="16" cm="1">
        <f t="array" ref="BN17">INDEX(_xlfn.ANCHORARRAY(_xlfn.XLOOKUP($C17,'-ref_Distribution'!$B$146:$B$150,'-ref_Distribution'!$G$146:$G$150)),RIGHT(BN$1,2))</f>
        <v>692</v>
      </c>
      <c r="BO17" s="16" cm="1">
        <f t="array" ref="BO17">INDEX(_xlfn.ANCHORARRAY(_xlfn.XLOOKUP($C17,'-ref_Distribution'!$B$146:$B$150,'-ref_Distribution'!$G$146:$G$150)),RIGHT(BO$1,2))</f>
        <v>671</v>
      </c>
      <c r="BP17" s="16" cm="1">
        <f t="array" ref="BP17">INDEX(_xlfn.ANCHORARRAY(_xlfn.XLOOKUP($C17,'-ref_Distribution'!$B$146:$B$150,'-ref_Distribution'!$G$146:$G$150)),RIGHT(BP$1,2))</f>
        <v>643</v>
      </c>
      <c r="BQ17" s="16" cm="1">
        <f t="array" ref="BQ17">INDEX(_xlfn.ANCHORARRAY(_xlfn.XLOOKUP($C17,'-ref_Distribution'!$B$146:$B$150,'-ref_Distribution'!$G$146:$G$150)),RIGHT(BQ$1,2))</f>
        <v>608</v>
      </c>
      <c r="BR17" s="16" cm="1">
        <f t="array" ref="BR17">INDEX(_xlfn.ANCHORARRAY(_xlfn.XLOOKUP($C17,'-ref_Distribution'!$B$146:$B$150,'-ref_Distribution'!$G$146:$G$150)),RIGHT(BR$1,2))</f>
        <v>568</v>
      </c>
      <c r="BS17" s="16" cm="1">
        <f t="array" ref="BS17">INDEX(_xlfn.ANCHORARRAY(_xlfn.XLOOKUP($C17,'-ref_Distribution'!$B$146:$B$150,'-ref_Distribution'!$G$146:$G$150)),RIGHT(BS$1,2))</f>
        <v>524</v>
      </c>
      <c r="BT17" s="16" cm="1">
        <f t="array" ref="BT17">INDEX(_xlfn.ANCHORARRAY(_xlfn.XLOOKUP($C17,'-ref_Distribution'!$B$146:$B$150,'-ref_Distribution'!$G$146:$G$150)),RIGHT(BT$1,2))</f>
        <v>478</v>
      </c>
      <c r="BU17" s="16" cm="1">
        <f t="array" ref="BU17">INDEX(_xlfn.ANCHORARRAY(_xlfn.XLOOKUP($C17,'-ref_Distribution'!$B$146:$B$150,'-ref_Distribution'!$G$146:$G$150)),RIGHT(BU$1,2))</f>
        <v>430</v>
      </c>
      <c r="BV17" s="16" cm="1">
        <f t="array" ref="BV17">INDEX(_xlfn.ANCHORARRAY(_xlfn.XLOOKUP($C17,'-ref_Distribution'!$B$146:$B$150,'-ref_Distribution'!$G$146:$G$150)),RIGHT(BV$1,2))</f>
        <v>383</v>
      </c>
      <c r="BW17" s="16" cm="1">
        <f t="array" ref="BW17">INDEX(_xlfn.ANCHORARRAY(_xlfn.XLOOKUP($C17,'-ref_Distribution'!$B$146:$B$150,'-ref_Distribution'!$G$146:$G$150)),RIGHT(BW$1,2))</f>
        <v>336</v>
      </c>
      <c r="BX17" s="16" cm="1">
        <f t="array" ref="BX17">INDEX(_xlfn.ANCHORARRAY(_xlfn.XLOOKUP($C17,'-ref_Distribution'!$B$146:$B$150,'-ref_Distribution'!$G$146:$G$150)),RIGHT(BX$1,2))</f>
        <v>292</v>
      </c>
      <c r="BY17" s="16" cm="1">
        <f t="array" ref="BY17">INDEX(_xlfn.ANCHORARRAY(_xlfn.XLOOKUP($C17,'-ref_Distribution'!$B$146:$B$150,'-ref_Distribution'!$G$146:$G$150)),RIGHT(BY$1,2))</f>
        <v>250</v>
      </c>
      <c r="BZ17" s="16" cm="1">
        <f t="array" ref="BZ17">INDEX(_xlfn.ANCHORARRAY(_xlfn.XLOOKUP($C17,'-ref_Distribution'!$B$146:$B$150,'-ref_Distribution'!$G$146:$G$150)),RIGHT(BZ$1,2))</f>
        <v>212</v>
      </c>
      <c r="CA17" s="16" cm="1">
        <f t="array" ref="CA17">INDEX(_xlfn.ANCHORARRAY(_xlfn.XLOOKUP($C17,'-ref_Distribution'!$B$146:$B$150,'-ref_Distribution'!$G$146:$G$150)),RIGHT(CA$1,2))</f>
        <v>177</v>
      </c>
      <c r="CB17" s="16" cm="1">
        <f t="array" ref="CB17">INDEX(_xlfn.ANCHORARRAY(_xlfn.XLOOKUP($C17,'-ref_Distribution'!$B$146:$B$150,'-ref_Distribution'!$G$146:$G$150)),RIGHT(CB$1,2))</f>
        <v>146</v>
      </c>
      <c r="CC17" s="16" cm="1">
        <f t="array" ref="CC17">INDEX(_xlfn.ANCHORARRAY(_xlfn.XLOOKUP($C17,'-ref_Distribution'!$B$146:$B$150,'-ref_Distribution'!$G$146:$G$150)),RIGHT(CC$1,2))</f>
        <v>119</v>
      </c>
      <c r="CD17" s="16" cm="1">
        <f t="array" ref="CD17">INDEX(_xlfn.ANCHORARRAY(_xlfn.XLOOKUP($C17,'-ref_Distribution'!$B$146:$B$150,'-ref_Distribution'!$G$146:$G$150)),RIGHT(CD$1,2))</f>
        <v>96</v>
      </c>
      <c r="CE17" s="16" cm="1">
        <f t="array" ref="CE17">INDEX(_xlfn.ANCHORARRAY(_xlfn.XLOOKUP($C17,'-ref_Distribution'!$B$146:$B$150,'-ref_Distribution'!$G$146:$G$150)),RIGHT(CE$1,2))</f>
        <v>76</v>
      </c>
    </row>
    <row r="18" spans="1:83" customFormat="1" x14ac:dyDescent="0.2">
      <c r="A18" s="16">
        <v>300072</v>
      </c>
      <c r="B18" s="16" t="s">
        <v>280</v>
      </c>
      <c r="C18" s="16">
        <v>1</v>
      </c>
      <c r="D18" s="16" cm="1">
        <f t="array" ref="D18">INDEX(_xlfn.ANCHORARRAY(_xlfn.XLOOKUP($C18,'-ref_Distribution'!$B$146:$B$150,'-ref_Distribution'!$G$146:$G$150)),RIGHT(D$1,2))</f>
        <v>337</v>
      </c>
      <c r="E18" s="16" cm="1">
        <f t="array" ref="E18">INDEX(_xlfn.ANCHORARRAY(_xlfn.XLOOKUP($C18,'-ref_Distribution'!$B$146:$B$150,'-ref_Distribution'!$G$146:$G$150)),RIGHT(E$1,2))</f>
        <v>364</v>
      </c>
      <c r="F18" s="16" cm="1">
        <f t="array" ref="F18">INDEX(_xlfn.ANCHORARRAY(_xlfn.XLOOKUP($C18,'-ref_Distribution'!$B$146:$B$150,'-ref_Distribution'!$G$146:$G$150)),RIGHT(F$1,2))</f>
        <v>386</v>
      </c>
      <c r="G18" s="16" cm="1">
        <f t="array" ref="G18">INDEX(_xlfn.ANCHORARRAY(_xlfn.XLOOKUP($C18,'-ref_Distribution'!$B$146:$B$150,'-ref_Distribution'!$G$146:$G$150)),RIGHT(G$1,2))</f>
        <v>403</v>
      </c>
      <c r="H18" s="16" cm="1">
        <f t="array" ref="H18">INDEX(_xlfn.ANCHORARRAY(_xlfn.XLOOKUP($C18,'-ref_Distribution'!$B$146:$B$150,'-ref_Distribution'!$G$146:$G$150)),RIGHT(H$1,2))</f>
        <v>414</v>
      </c>
      <c r="I18" s="16" cm="1">
        <f t="array" ref="I18">INDEX(_xlfn.ANCHORARRAY(_xlfn.XLOOKUP($C18,'-ref_Distribution'!$B$146:$B$150,'-ref_Distribution'!$G$146:$G$150)),RIGHT(I$1,2))</f>
        <v>417</v>
      </c>
      <c r="J18" s="16" cm="1">
        <f t="array" ref="J18">INDEX(_xlfn.ANCHORARRAY(_xlfn.XLOOKUP($C18,'-ref_Distribution'!$B$146:$B$150,'-ref_Distribution'!$G$146:$G$150)),RIGHT(J$1,2))</f>
        <v>414</v>
      </c>
      <c r="K18" s="16" cm="1">
        <f t="array" ref="K18">INDEX(_xlfn.ANCHORARRAY(_xlfn.XLOOKUP($C18,'-ref_Distribution'!$B$146:$B$150,'-ref_Distribution'!$G$146:$G$150)),RIGHT(K$1,2))</f>
        <v>403</v>
      </c>
      <c r="L18" s="16" cm="1">
        <f t="array" ref="L18">INDEX(_xlfn.ANCHORARRAY(_xlfn.XLOOKUP($C18,'-ref_Distribution'!$B$146:$B$150,'-ref_Distribution'!$G$146:$G$150)),RIGHT(L$1,2))</f>
        <v>386</v>
      </c>
      <c r="M18" s="16" cm="1">
        <f t="array" ref="M18">INDEX(_xlfn.ANCHORARRAY(_xlfn.XLOOKUP($C18,'-ref_Distribution'!$B$146:$B$150,'-ref_Distribution'!$G$146:$G$150)),RIGHT(M$1,2))</f>
        <v>364</v>
      </c>
      <c r="N18" s="16" cm="1">
        <f t="array" ref="N18">INDEX(_xlfn.ANCHORARRAY(_xlfn.XLOOKUP($C18,'-ref_Distribution'!$B$146:$B$150,'-ref_Distribution'!$G$146:$G$150)),RIGHT(N$1,2))</f>
        <v>337</v>
      </c>
      <c r="O18" s="16" cm="1">
        <f t="array" ref="O18">INDEX(_xlfn.ANCHORARRAY(_xlfn.XLOOKUP($C18,'-ref_Distribution'!$B$146:$B$150,'-ref_Distribution'!$G$146:$G$150)),RIGHT(O$1,2))</f>
        <v>307</v>
      </c>
      <c r="P18" s="16" cm="1">
        <f t="array" ref="P18">INDEX(_xlfn.ANCHORARRAY(_xlfn.XLOOKUP($C18,'-ref_Distribution'!$B$146:$B$150,'-ref_Distribution'!$G$146:$G$150)),RIGHT(P$1,2))</f>
        <v>274</v>
      </c>
      <c r="Q18" s="16" cm="1">
        <f t="array" ref="Q18">INDEX(_xlfn.ANCHORARRAY(_xlfn.XLOOKUP($C18,'-ref_Distribution'!$B$146:$B$150,'-ref_Distribution'!$G$146:$G$150)),RIGHT(Q$1,2))</f>
        <v>241</v>
      </c>
      <c r="R18" s="16" cm="1">
        <f t="array" ref="R18">INDEX(_xlfn.ANCHORARRAY(_xlfn.XLOOKUP($C18,'-ref_Distribution'!$B$146:$B$150,'-ref_Distribution'!$G$146:$G$150)),RIGHT(R$1,2))</f>
        <v>209</v>
      </c>
      <c r="S18" s="16" cm="1">
        <f t="array" ref="S18">INDEX(_xlfn.ANCHORARRAY(_xlfn.XLOOKUP($C18,'-ref_Distribution'!$B$146:$B$150,'-ref_Distribution'!$G$146:$G$150)),RIGHT(S$1,2))</f>
        <v>178</v>
      </c>
      <c r="T18" s="16" cm="1">
        <f t="array" ref="T18">INDEX(_xlfn.ANCHORARRAY(_xlfn.XLOOKUP($C18,'-ref_Distribution'!$B$146:$B$150,'-ref_Distribution'!$G$146:$G$150)),RIGHT(T$1,2))</f>
        <v>148</v>
      </c>
      <c r="U18" s="16" cm="1">
        <f t="array" ref="U18">INDEX(_xlfn.ANCHORARRAY(_xlfn.XLOOKUP($C18,'-ref_Distribution'!$B$146:$B$150,'-ref_Distribution'!$G$146:$G$150)),RIGHT(U$1,2))</f>
        <v>122</v>
      </c>
      <c r="V18" s="16" cm="1">
        <f t="array" ref="V18">INDEX(_xlfn.ANCHORARRAY(_xlfn.XLOOKUP($C18,'-ref_Distribution'!$B$146:$B$150,'-ref_Distribution'!$G$146:$G$150)),RIGHT(V$1,2))</f>
        <v>98</v>
      </c>
      <c r="W18" s="16" cm="1">
        <f t="array" ref="W18">INDEX(_xlfn.ANCHORARRAY(_xlfn.XLOOKUP($C18,'-ref_Distribution'!$B$146:$B$150,'-ref_Distribution'!$G$146:$G$150)),RIGHT(W$1,2))</f>
        <v>78</v>
      </c>
      <c r="X18" s="16" cm="1">
        <f t="array" ref="X18">INDEX(_xlfn.ANCHORARRAY(_xlfn.XLOOKUP($C18,'-ref_Distribution'!$B$146:$B$150,'-ref_Distribution'!$G$146:$G$150)),RIGHT(X$1,2))</f>
        <v>337</v>
      </c>
      <c r="Y18" s="16" cm="1">
        <f t="array" ref="Y18">INDEX(_xlfn.ANCHORARRAY(_xlfn.XLOOKUP($C18,'-ref_Distribution'!$B$146:$B$150,'-ref_Distribution'!$G$146:$G$150)),RIGHT(Y$1,2))</f>
        <v>364</v>
      </c>
      <c r="Z18" s="16" cm="1">
        <f t="array" ref="Z18">INDEX(_xlfn.ANCHORARRAY(_xlfn.XLOOKUP($C18,'-ref_Distribution'!$B$146:$B$150,'-ref_Distribution'!$G$146:$G$150)),RIGHT(Z$1,2))</f>
        <v>386</v>
      </c>
      <c r="AA18" s="16" cm="1">
        <f t="array" ref="AA18">INDEX(_xlfn.ANCHORARRAY(_xlfn.XLOOKUP($C18,'-ref_Distribution'!$B$146:$B$150,'-ref_Distribution'!$G$146:$G$150)),RIGHT(AA$1,2))</f>
        <v>403</v>
      </c>
      <c r="AB18" s="16" cm="1">
        <f t="array" ref="AB18">INDEX(_xlfn.ANCHORARRAY(_xlfn.XLOOKUP($C18,'-ref_Distribution'!$B$146:$B$150,'-ref_Distribution'!$G$146:$G$150)),RIGHT(AB$1,2))</f>
        <v>414</v>
      </c>
      <c r="AC18" s="16" cm="1">
        <f t="array" ref="AC18">INDEX(_xlfn.ANCHORARRAY(_xlfn.XLOOKUP($C18,'-ref_Distribution'!$B$146:$B$150,'-ref_Distribution'!$G$146:$G$150)),RIGHT(AC$1,2))</f>
        <v>417</v>
      </c>
      <c r="AD18" s="16" cm="1">
        <f t="array" ref="AD18">INDEX(_xlfn.ANCHORARRAY(_xlfn.XLOOKUP($C18,'-ref_Distribution'!$B$146:$B$150,'-ref_Distribution'!$G$146:$G$150)),RIGHT(AD$1,2))</f>
        <v>414</v>
      </c>
      <c r="AE18" s="16" cm="1">
        <f t="array" ref="AE18">INDEX(_xlfn.ANCHORARRAY(_xlfn.XLOOKUP($C18,'-ref_Distribution'!$B$146:$B$150,'-ref_Distribution'!$G$146:$G$150)),RIGHT(AE$1,2))</f>
        <v>403</v>
      </c>
      <c r="AF18" s="16" cm="1">
        <f t="array" ref="AF18">INDEX(_xlfn.ANCHORARRAY(_xlfn.XLOOKUP($C18,'-ref_Distribution'!$B$146:$B$150,'-ref_Distribution'!$G$146:$G$150)),RIGHT(AF$1,2))</f>
        <v>386</v>
      </c>
      <c r="AG18" s="16" cm="1">
        <f t="array" ref="AG18">INDEX(_xlfn.ANCHORARRAY(_xlfn.XLOOKUP($C18,'-ref_Distribution'!$B$146:$B$150,'-ref_Distribution'!$G$146:$G$150)),RIGHT(AG$1,2))</f>
        <v>364</v>
      </c>
      <c r="AH18" s="16" cm="1">
        <f t="array" ref="AH18">INDEX(_xlfn.ANCHORARRAY(_xlfn.XLOOKUP($C18,'-ref_Distribution'!$B$146:$B$150,'-ref_Distribution'!$G$146:$G$150)),RIGHT(AH$1,2))</f>
        <v>337</v>
      </c>
      <c r="AI18" s="16" cm="1">
        <f t="array" ref="AI18">INDEX(_xlfn.ANCHORARRAY(_xlfn.XLOOKUP($C18,'-ref_Distribution'!$B$146:$B$150,'-ref_Distribution'!$G$146:$G$150)),RIGHT(AI$1,2))</f>
        <v>307</v>
      </c>
      <c r="AJ18" s="16" cm="1">
        <f t="array" ref="AJ18">INDEX(_xlfn.ANCHORARRAY(_xlfn.XLOOKUP($C18,'-ref_Distribution'!$B$146:$B$150,'-ref_Distribution'!$G$146:$G$150)),RIGHT(AJ$1,2))</f>
        <v>274</v>
      </c>
      <c r="AK18" s="16" cm="1">
        <f t="array" ref="AK18">INDEX(_xlfn.ANCHORARRAY(_xlfn.XLOOKUP($C18,'-ref_Distribution'!$B$146:$B$150,'-ref_Distribution'!$G$146:$G$150)),RIGHT(AK$1,2))</f>
        <v>241</v>
      </c>
      <c r="AL18" s="16" cm="1">
        <f t="array" ref="AL18">INDEX(_xlfn.ANCHORARRAY(_xlfn.XLOOKUP($C18,'-ref_Distribution'!$B$146:$B$150,'-ref_Distribution'!$G$146:$G$150)),RIGHT(AL$1,2))</f>
        <v>209</v>
      </c>
      <c r="AM18" s="16" cm="1">
        <f t="array" ref="AM18">INDEX(_xlfn.ANCHORARRAY(_xlfn.XLOOKUP($C18,'-ref_Distribution'!$B$146:$B$150,'-ref_Distribution'!$G$146:$G$150)),RIGHT(AM$1,2))</f>
        <v>178</v>
      </c>
      <c r="AN18" s="16" cm="1">
        <f t="array" ref="AN18">INDEX(_xlfn.ANCHORARRAY(_xlfn.XLOOKUP($C18,'-ref_Distribution'!$B$146:$B$150,'-ref_Distribution'!$G$146:$G$150)),RIGHT(AN$1,2))</f>
        <v>148</v>
      </c>
      <c r="AO18" s="16" cm="1">
        <f t="array" ref="AO18">INDEX(_xlfn.ANCHORARRAY(_xlfn.XLOOKUP($C18,'-ref_Distribution'!$B$146:$B$150,'-ref_Distribution'!$G$146:$G$150)),RIGHT(AO$1,2))</f>
        <v>122</v>
      </c>
      <c r="AP18" s="16" cm="1">
        <f t="array" ref="AP18">INDEX(_xlfn.ANCHORARRAY(_xlfn.XLOOKUP($C18,'-ref_Distribution'!$B$146:$B$150,'-ref_Distribution'!$G$146:$G$150)),RIGHT(AP$1,2))</f>
        <v>98</v>
      </c>
      <c r="AQ18" s="16" cm="1">
        <f t="array" ref="AQ18">INDEX(_xlfn.ANCHORARRAY(_xlfn.XLOOKUP($C18,'-ref_Distribution'!$B$146:$B$150,'-ref_Distribution'!$G$146:$G$150)),RIGHT(AQ$1,2))</f>
        <v>78</v>
      </c>
      <c r="AR18" s="16" cm="1">
        <f t="array" ref="AR18">INDEX(_xlfn.ANCHORARRAY(_xlfn.XLOOKUP($C18,'-ref_Distribution'!$B$146:$B$150,'-ref_Distribution'!$G$146:$G$150)),RIGHT(AR$1,2))</f>
        <v>337</v>
      </c>
      <c r="AS18" s="16" cm="1">
        <f t="array" ref="AS18">INDEX(_xlfn.ANCHORARRAY(_xlfn.XLOOKUP($C18,'-ref_Distribution'!$B$146:$B$150,'-ref_Distribution'!$G$146:$G$150)),RIGHT(AS$1,2))</f>
        <v>364</v>
      </c>
      <c r="AT18" s="16" cm="1">
        <f t="array" ref="AT18">INDEX(_xlfn.ANCHORARRAY(_xlfn.XLOOKUP($C18,'-ref_Distribution'!$B$146:$B$150,'-ref_Distribution'!$G$146:$G$150)),RIGHT(AT$1,2))</f>
        <v>386</v>
      </c>
      <c r="AU18" s="16" cm="1">
        <f t="array" ref="AU18">INDEX(_xlfn.ANCHORARRAY(_xlfn.XLOOKUP($C18,'-ref_Distribution'!$B$146:$B$150,'-ref_Distribution'!$G$146:$G$150)),RIGHT(AU$1,2))</f>
        <v>403</v>
      </c>
      <c r="AV18" s="16" cm="1">
        <f t="array" ref="AV18">INDEX(_xlfn.ANCHORARRAY(_xlfn.XLOOKUP($C18,'-ref_Distribution'!$B$146:$B$150,'-ref_Distribution'!$G$146:$G$150)),RIGHT(AV$1,2))</f>
        <v>414</v>
      </c>
      <c r="AW18" s="16" cm="1">
        <f t="array" ref="AW18">INDEX(_xlfn.ANCHORARRAY(_xlfn.XLOOKUP($C18,'-ref_Distribution'!$B$146:$B$150,'-ref_Distribution'!$G$146:$G$150)),RIGHT(AW$1,2))</f>
        <v>417</v>
      </c>
      <c r="AX18" s="16" cm="1">
        <f t="array" ref="AX18">INDEX(_xlfn.ANCHORARRAY(_xlfn.XLOOKUP($C18,'-ref_Distribution'!$B$146:$B$150,'-ref_Distribution'!$G$146:$G$150)),RIGHT(AX$1,2))</f>
        <v>414</v>
      </c>
      <c r="AY18" s="16" cm="1">
        <f t="array" ref="AY18">INDEX(_xlfn.ANCHORARRAY(_xlfn.XLOOKUP($C18,'-ref_Distribution'!$B$146:$B$150,'-ref_Distribution'!$G$146:$G$150)),RIGHT(AY$1,2))</f>
        <v>403</v>
      </c>
      <c r="AZ18" s="16" cm="1">
        <f t="array" ref="AZ18">INDEX(_xlfn.ANCHORARRAY(_xlfn.XLOOKUP($C18,'-ref_Distribution'!$B$146:$B$150,'-ref_Distribution'!$G$146:$G$150)),RIGHT(AZ$1,2))</f>
        <v>386</v>
      </c>
      <c r="BA18" s="16" cm="1">
        <f t="array" ref="BA18">INDEX(_xlfn.ANCHORARRAY(_xlfn.XLOOKUP($C18,'-ref_Distribution'!$B$146:$B$150,'-ref_Distribution'!$G$146:$G$150)),RIGHT(BA$1,2))</f>
        <v>364</v>
      </c>
      <c r="BB18" s="16" cm="1">
        <f t="array" ref="BB18">INDEX(_xlfn.ANCHORARRAY(_xlfn.XLOOKUP($C18,'-ref_Distribution'!$B$146:$B$150,'-ref_Distribution'!$G$146:$G$150)),RIGHT(BB$1,2))</f>
        <v>337</v>
      </c>
      <c r="BC18" s="16" cm="1">
        <f t="array" ref="BC18">INDEX(_xlfn.ANCHORARRAY(_xlfn.XLOOKUP($C18,'-ref_Distribution'!$B$146:$B$150,'-ref_Distribution'!$G$146:$G$150)),RIGHT(BC$1,2))</f>
        <v>307</v>
      </c>
      <c r="BD18" s="16" cm="1">
        <f t="array" ref="BD18">INDEX(_xlfn.ANCHORARRAY(_xlfn.XLOOKUP($C18,'-ref_Distribution'!$B$146:$B$150,'-ref_Distribution'!$G$146:$G$150)),RIGHT(BD$1,2))</f>
        <v>274</v>
      </c>
      <c r="BE18" s="16" cm="1">
        <f t="array" ref="BE18">INDEX(_xlfn.ANCHORARRAY(_xlfn.XLOOKUP($C18,'-ref_Distribution'!$B$146:$B$150,'-ref_Distribution'!$G$146:$G$150)),RIGHT(BE$1,2))</f>
        <v>241</v>
      </c>
      <c r="BF18" s="16" cm="1">
        <f t="array" ref="BF18">INDEX(_xlfn.ANCHORARRAY(_xlfn.XLOOKUP($C18,'-ref_Distribution'!$B$146:$B$150,'-ref_Distribution'!$G$146:$G$150)),RIGHT(BF$1,2))</f>
        <v>209</v>
      </c>
      <c r="BG18" s="16" cm="1">
        <f t="array" ref="BG18">INDEX(_xlfn.ANCHORARRAY(_xlfn.XLOOKUP($C18,'-ref_Distribution'!$B$146:$B$150,'-ref_Distribution'!$G$146:$G$150)),RIGHT(BG$1,2))</f>
        <v>178</v>
      </c>
      <c r="BH18" s="16" cm="1">
        <f t="array" ref="BH18">INDEX(_xlfn.ANCHORARRAY(_xlfn.XLOOKUP($C18,'-ref_Distribution'!$B$146:$B$150,'-ref_Distribution'!$G$146:$G$150)),RIGHT(BH$1,2))</f>
        <v>148</v>
      </c>
      <c r="BI18" s="16" cm="1">
        <f t="array" ref="BI18">INDEX(_xlfn.ANCHORARRAY(_xlfn.XLOOKUP($C18,'-ref_Distribution'!$B$146:$B$150,'-ref_Distribution'!$G$146:$G$150)),RIGHT(BI$1,2))</f>
        <v>122</v>
      </c>
      <c r="BJ18" s="16" cm="1">
        <f t="array" ref="BJ18">INDEX(_xlfn.ANCHORARRAY(_xlfn.XLOOKUP($C18,'-ref_Distribution'!$B$146:$B$150,'-ref_Distribution'!$G$146:$G$150)),RIGHT(BJ$1,2))</f>
        <v>98</v>
      </c>
      <c r="BK18" s="16" cm="1">
        <f t="array" ref="BK18">INDEX(_xlfn.ANCHORARRAY(_xlfn.XLOOKUP($C18,'-ref_Distribution'!$B$146:$B$150,'-ref_Distribution'!$G$146:$G$150)),RIGHT(BK$1,2))</f>
        <v>78</v>
      </c>
      <c r="BL18" s="16" cm="1">
        <f t="array" ref="BL18">INDEX(_xlfn.ANCHORARRAY(_xlfn.XLOOKUP($C18,'-ref_Distribution'!$B$146:$B$150,'-ref_Distribution'!$G$146:$G$150)),RIGHT(BL$1,2))</f>
        <v>337</v>
      </c>
      <c r="BM18" s="16" cm="1">
        <f t="array" ref="BM18">INDEX(_xlfn.ANCHORARRAY(_xlfn.XLOOKUP($C18,'-ref_Distribution'!$B$146:$B$150,'-ref_Distribution'!$G$146:$G$150)),RIGHT(BM$1,2))</f>
        <v>364</v>
      </c>
      <c r="BN18" s="16" cm="1">
        <f t="array" ref="BN18">INDEX(_xlfn.ANCHORARRAY(_xlfn.XLOOKUP($C18,'-ref_Distribution'!$B$146:$B$150,'-ref_Distribution'!$G$146:$G$150)),RIGHT(BN$1,2))</f>
        <v>386</v>
      </c>
      <c r="BO18" s="16" cm="1">
        <f t="array" ref="BO18">INDEX(_xlfn.ANCHORARRAY(_xlfn.XLOOKUP($C18,'-ref_Distribution'!$B$146:$B$150,'-ref_Distribution'!$G$146:$G$150)),RIGHT(BO$1,2))</f>
        <v>403</v>
      </c>
      <c r="BP18" s="16" cm="1">
        <f t="array" ref="BP18">INDEX(_xlfn.ANCHORARRAY(_xlfn.XLOOKUP($C18,'-ref_Distribution'!$B$146:$B$150,'-ref_Distribution'!$G$146:$G$150)),RIGHT(BP$1,2))</f>
        <v>414</v>
      </c>
      <c r="BQ18" s="16" cm="1">
        <f t="array" ref="BQ18">INDEX(_xlfn.ANCHORARRAY(_xlfn.XLOOKUP($C18,'-ref_Distribution'!$B$146:$B$150,'-ref_Distribution'!$G$146:$G$150)),RIGHT(BQ$1,2))</f>
        <v>417</v>
      </c>
      <c r="BR18" s="16" cm="1">
        <f t="array" ref="BR18">INDEX(_xlfn.ANCHORARRAY(_xlfn.XLOOKUP($C18,'-ref_Distribution'!$B$146:$B$150,'-ref_Distribution'!$G$146:$G$150)),RIGHT(BR$1,2))</f>
        <v>414</v>
      </c>
      <c r="BS18" s="16" cm="1">
        <f t="array" ref="BS18">INDEX(_xlfn.ANCHORARRAY(_xlfn.XLOOKUP($C18,'-ref_Distribution'!$B$146:$B$150,'-ref_Distribution'!$G$146:$G$150)),RIGHT(BS$1,2))</f>
        <v>403</v>
      </c>
      <c r="BT18" s="16" cm="1">
        <f t="array" ref="BT18">INDEX(_xlfn.ANCHORARRAY(_xlfn.XLOOKUP($C18,'-ref_Distribution'!$B$146:$B$150,'-ref_Distribution'!$G$146:$G$150)),RIGHT(BT$1,2))</f>
        <v>386</v>
      </c>
      <c r="BU18" s="16" cm="1">
        <f t="array" ref="BU18">INDEX(_xlfn.ANCHORARRAY(_xlfn.XLOOKUP($C18,'-ref_Distribution'!$B$146:$B$150,'-ref_Distribution'!$G$146:$G$150)),RIGHT(BU$1,2))</f>
        <v>364</v>
      </c>
      <c r="BV18" s="16" cm="1">
        <f t="array" ref="BV18">INDEX(_xlfn.ANCHORARRAY(_xlfn.XLOOKUP($C18,'-ref_Distribution'!$B$146:$B$150,'-ref_Distribution'!$G$146:$G$150)),RIGHT(BV$1,2))</f>
        <v>337</v>
      </c>
      <c r="BW18" s="16" cm="1">
        <f t="array" ref="BW18">INDEX(_xlfn.ANCHORARRAY(_xlfn.XLOOKUP($C18,'-ref_Distribution'!$B$146:$B$150,'-ref_Distribution'!$G$146:$G$150)),RIGHT(BW$1,2))</f>
        <v>307</v>
      </c>
      <c r="BX18" s="16" cm="1">
        <f t="array" ref="BX18">INDEX(_xlfn.ANCHORARRAY(_xlfn.XLOOKUP($C18,'-ref_Distribution'!$B$146:$B$150,'-ref_Distribution'!$G$146:$G$150)),RIGHT(BX$1,2))</f>
        <v>274</v>
      </c>
      <c r="BY18" s="16" cm="1">
        <f t="array" ref="BY18">INDEX(_xlfn.ANCHORARRAY(_xlfn.XLOOKUP($C18,'-ref_Distribution'!$B$146:$B$150,'-ref_Distribution'!$G$146:$G$150)),RIGHT(BY$1,2))</f>
        <v>241</v>
      </c>
      <c r="BZ18" s="16" cm="1">
        <f t="array" ref="BZ18">INDEX(_xlfn.ANCHORARRAY(_xlfn.XLOOKUP($C18,'-ref_Distribution'!$B$146:$B$150,'-ref_Distribution'!$G$146:$G$150)),RIGHT(BZ$1,2))</f>
        <v>209</v>
      </c>
      <c r="CA18" s="16" cm="1">
        <f t="array" ref="CA18">INDEX(_xlfn.ANCHORARRAY(_xlfn.XLOOKUP($C18,'-ref_Distribution'!$B$146:$B$150,'-ref_Distribution'!$G$146:$G$150)),RIGHT(CA$1,2))</f>
        <v>178</v>
      </c>
      <c r="CB18" s="16" cm="1">
        <f t="array" ref="CB18">INDEX(_xlfn.ANCHORARRAY(_xlfn.XLOOKUP($C18,'-ref_Distribution'!$B$146:$B$150,'-ref_Distribution'!$G$146:$G$150)),RIGHT(CB$1,2))</f>
        <v>148</v>
      </c>
      <c r="CC18" s="16" cm="1">
        <f t="array" ref="CC18">INDEX(_xlfn.ANCHORARRAY(_xlfn.XLOOKUP($C18,'-ref_Distribution'!$B$146:$B$150,'-ref_Distribution'!$G$146:$G$150)),RIGHT(CC$1,2))</f>
        <v>122</v>
      </c>
      <c r="CD18" s="16" cm="1">
        <f t="array" ref="CD18">INDEX(_xlfn.ANCHORARRAY(_xlfn.XLOOKUP($C18,'-ref_Distribution'!$B$146:$B$150,'-ref_Distribution'!$G$146:$G$150)),RIGHT(CD$1,2))</f>
        <v>98</v>
      </c>
      <c r="CE18" s="16" cm="1">
        <f t="array" ref="CE18">INDEX(_xlfn.ANCHORARRAY(_xlfn.XLOOKUP($C18,'-ref_Distribution'!$B$146:$B$150,'-ref_Distribution'!$G$146:$G$150)),RIGHT(CE$1,2))</f>
        <v>78</v>
      </c>
    </row>
    <row r="19" spans="1:83" customFormat="1" x14ac:dyDescent="0.2">
      <c r="A19" s="16">
        <v>300073</v>
      </c>
      <c r="B19" s="16" t="s">
        <v>280</v>
      </c>
      <c r="C19" s="16">
        <v>2</v>
      </c>
      <c r="D19" s="16" cm="1">
        <f t="array" ref="D19">INDEX(_xlfn.ANCHORARRAY(_xlfn.XLOOKUP($C19,'-ref_Distribution'!$B$146:$B$150,'-ref_Distribution'!$G$146:$G$150)),RIGHT(D$1,2))</f>
        <v>75</v>
      </c>
      <c r="E19" s="16" cm="1">
        <f t="array" ref="E19">INDEX(_xlfn.ANCHORARRAY(_xlfn.XLOOKUP($C19,'-ref_Distribution'!$B$146:$B$150,'-ref_Distribution'!$G$146:$G$150)),RIGHT(E$1,2))</f>
        <v>94</v>
      </c>
      <c r="F19" s="16" cm="1">
        <f t="array" ref="F19">INDEX(_xlfn.ANCHORARRAY(_xlfn.XLOOKUP($C19,'-ref_Distribution'!$B$146:$B$150,'-ref_Distribution'!$G$146:$G$150)),RIGHT(F$1,2))</f>
        <v>115</v>
      </c>
      <c r="G19" s="16" cm="1">
        <f t="array" ref="G19">INDEX(_xlfn.ANCHORARRAY(_xlfn.XLOOKUP($C19,'-ref_Distribution'!$B$146:$B$150,'-ref_Distribution'!$G$146:$G$150)),RIGHT(G$1,2))</f>
        <v>137</v>
      </c>
      <c r="H19" s="16" cm="1">
        <f t="array" ref="H19">INDEX(_xlfn.ANCHORARRAY(_xlfn.XLOOKUP($C19,'-ref_Distribution'!$B$146:$B$150,'-ref_Distribution'!$G$146:$G$150)),RIGHT(H$1,2))</f>
        <v>160</v>
      </c>
      <c r="I19" s="16" cm="1">
        <f t="array" ref="I19">INDEX(_xlfn.ANCHORARRAY(_xlfn.XLOOKUP($C19,'-ref_Distribution'!$B$146:$B$150,'-ref_Distribution'!$G$146:$G$150)),RIGHT(I$1,2))</f>
        <v>183</v>
      </c>
      <c r="J19" s="16" cm="1">
        <f t="array" ref="J19">INDEX(_xlfn.ANCHORARRAY(_xlfn.XLOOKUP($C19,'-ref_Distribution'!$B$146:$B$150,'-ref_Distribution'!$G$146:$G$150)),RIGHT(J$1,2))</f>
        <v>203</v>
      </c>
      <c r="K19" s="16" cm="1">
        <f t="array" ref="K19">INDEX(_xlfn.ANCHORARRAY(_xlfn.XLOOKUP($C19,'-ref_Distribution'!$B$146:$B$150,'-ref_Distribution'!$G$146:$G$150)),RIGHT(K$1,2))</f>
        <v>221</v>
      </c>
      <c r="L19" s="16" cm="1">
        <f t="array" ref="L19">INDEX(_xlfn.ANCHORARRAY(_xlfn.XLOOKUP($C19,'-ref_Distribution'!$B$146:$B$150,'-ref_Distribution'!$G$146:$G$150)),RIGHT(L$1,2))</f>
        <v>234</v>
      </c>
      <c r="M19" s="16" cm="1">
        <f t="array" ref="M19">INDEX(_xlfn.ANCHORARRAY(_xlfn.XLOOKUP($C19,'-ref_Distribution'!$B$146:$B$150,'-ref_Distribution'!$G$146:$G$150)),RIGHT(M$1,2))</f>
        <v>243</v>
      </c>
      <c r="N19" s="16" cm="1">
        <f t="array" ref="N19">INDEX(_xlfn.ANCHORARRAY(_xlfn.XLOOKUP($C19,'-ref_Distribution'!$B$146:$B$150,'-ref_Distribution'!$G$146:$G$150)),RIGHT(N$1,2))</f>
        <v>245</v>
      </c>
      <c r="O19" s="16" cm="1">
        <f t="array" ref="O19">INDEX(_xlfn.ANCHORARRAY(_xlfn.XLOOKUP($C19,'-ref_Distribution'!$B$146:$B$150,'-ref_Distribution'!$G$146:$G$150)),RIGHT(O$1,2))</f>
        <v>243</v>
      </c>
      <c r="P19" s="16" cm="1">
        <f t="array" ref="P19">INDEX(_xlfn.ANCHORARRAY(_xlfn.XLOOKUP($C19,'-ref_Distribution'!$B$146:$B$150,'-ref_Distribution'!$G$146:$G$150)),RIGHT(P$1,2))</f>
        <v>234</v>
      </c>
      <c r="Q19" s="16" cm="1">
        <f t="array" ref="Q19">INDEX(_xlfn.ANCHORARRAY(_xlfn.XLOOKUP($C19,'-ref_Distribution'!$B$146:$B$150,'-ref_Distribution'!$G$146:$G$150)),RIGHT(Q$1,2))</f>
        <v>221</v>
      </c>
      <c r="R19" s="16" cm="1">
        <f t="array" ref="R19">INDEX(_xlfn.ANCHORARRAY(_xlfn.XLOOKUP($C19,'-ref_Distribution'!$B$146:$B$150,'-ref_Distribution'!$G$146:$G$150)),RIGHT(R$1,2))</f>
        <v>203</v>
      </c>
      <c r="S19" s="16" cm="1">
        <f t="array" ref="S19">INDEX(_xlfn.ANCHORARRAY(_xlfn.XLOOKUP($C19,'-ref_Distribution'!$B$146:$B$150,'-ref_Distribution'!$G$146:$G$150)),RIGHT(S$1,2))</f>
        <v>183</v>
      </c>
      <c r="T19" s="16" cm="1">
        <f t="array" ref="T19">INDEX(_xlfn.ANCHORARRAY(_xlfn.XLOOKUP($C19,'-ref_Distribution'!$B$146:$B$150,'-ref_Distribution'!$G$146:$G$150)),RIGHT(T$1,2))</f>
        <v>160</v>
      </c>
      <c r="U19" s="16" cm="1">
        <f t="array" ref="U19">INDEX(_xlfn.ANCHORARRAY(_xlfn.XLOOKUP($C19,'-ref_Distribution'!$B$146:$B$150,'-ref_Distribution'!$G$146:$G$150)),RIGHT(U$1,2))</f>
        <v>137</v>
      </c>
      <c r="V19" s="16" cm="1">
        <f t="array" ref="V19">INDEX(_xlfn.ANCHORARRAY(_xlfn.XLOOKUP($C19,'-ref_Distribution'!$B$146:$B$150,'-ref_Distribution'!$G$146:$G$150)),RIGHT(V$1,2))</f>
        <v>115</v>
      </c>
      <c r="W19" s="16" cm="1">
        <f t="array" ref="W19">INDEX(_xlfn.ANCHORARRAY(_xlfn.XLOOKUP($C19,'-ref_Distribution'!$B$146:$B$150,'-ref_Distribution'!$G$146:$G$150)),RIGHT(W$1,2))</f>
        <v>94</v>
      </c>
      <c r="X19" s="16" cm="1">
        <f t="array" ref="X19">INDEX(_xlfn.ANCHORARRAY(_xlfn.XLOOKUP($C19,'-ref_Distribution'!$B$146:$B$150,'-ref_Distribution'!$G$146:$G$150)),RIGHT(X$1,2))</f>
        <v>75</v>
      </c>
      <c r="Y19" s="16" cm="1">
        <f t="array" ref="Y19">INDEX(_xlfn.ANCHORARRAY(_xlfn.XLOOKUP($C19,'-ref_Distribution'!$B$146:$B$150,'-ref_Distribution'!$G$146:$G$150)),RIGHT(Y$1,2))</f>
        <v>94</v>
      </c>
      <c r="Z19" s="16" cm="1">
        <f t="array" ref="Z19">INDEX(_xlfn.ANCHORARRAY(_xlfn.XLOOKUP($C19,'-ref_Distribution'!$B$146:$B$150,'-ref_Distribution'!$G$146:$G$150)),RIGHT(Z$1,2))</f>
        <v>115</v>
      </c>
      <c r="AA19" s="16" cm="1">
        <f t="array" ref="AA19">INDEX(_xlfn.ANCHORARRAY(_xlfn.XLOOKUP($C19,'-ref_Distribution'!$B$146:$B$150,'-ref_Distribution'!$G$146:$G$150)),RIGHT(AA$1,2))</f>
        <v>137</v>
      </c>
      <c r="AB19" s="16" cm="1">
        <f t="array" ref="AB19">INDEX(_xlfn.ANCHORARRAY(_xlfn.XLOOKUP($C19,'-ref_Distribution'!$B$146:$B$150,'-ref_Distribution'!$G$146:$G$150)),RIGHT(AB$1,2))</f>
        <v>160</v>
      </c>
      <c r="AC19" s="16" cm="1">
        <f t="array" ref="AC19">INDEX(_xlfn.ANCHORARRAY(_xlfn.XLOOKUP($C19,'-ref_Distribution'!$B$146:$B$150,'-ref_Distribution'!$G$146:$G$150)),RIGHT(AC$1,2))</f>
        <v>183</v>
      </c>
      <c r="AD19" s="16" cm="1">
        <f t="array" ref="AD19">INDEX(_xlfn.ANCHORARRAY(_xlfn.XLOOKUP($C19,'-ref_Distribution'!$B$146:$B$150,'-ref_Distribution'!$G$146:$G$150)),RIGHT(AD$1,2))</f>
        <v>203</v>
      </c>
      <c r="AE19" s="16" cm="1">
        <f t="array" ref="AE19">INDEX(_xlfn.ANCHORARRAY(_xlfn.XLOOKUP($C19,'-ref_Distribution'!$B$146:$B$150,'-ref_Distribution'!$G$146:$G$150)),RIGHT(AE$1,2))</f>
        <v>221</v>
      </c>
      <c r="AF19" s="16" cm="1">
        <f t="array" ref="AF19">INDEX(_xlfn.ANCHORARRAY(_xlfn.XLOOKUP($C19,'-ref_Distribution'!$B$146:$B$150,'-ref_Distribution'!$G$146:$G$150)),RIGHT(AF$1,2))</f>
        <v>234</v>
      </c>
      <c r="AG19" s="16" cm="1">
        <f t="array" ref="AG19">INDEX(_xlfn.ANCHORARRAY(_xlfn.XLOOKUP($C19,'-ref_Distribution'!$B$146:$B$150,'-ref_Distribution'!$G$146:$G$150)),RIGHT(AG$1,2))</f>
        <v>243</v>
      </c>
      <c r="AH19" s="16" cm="1">
        <f t="array" ref="AH19">INDEX(_xlfn.ANCHORARRAY(_xlfn.XLOOKUP($C19,'-ref_Distribution'!$B$146:$B$150,'-ref_Distribution'!$G$146:$G$150)),RIGHT(AH$1,2))</f>
        <v>245</v>
      </c>
      <c r="AI19" s="16" cm="1">
        <f t="array" ref="AI19">INDEX(_xlfn.ANCHORARRAY(_xlfn.XLOOKUP($C19,'-ref_Distribution'!$B$146:$B$150,'-ref_Distribution'!$G$146:$G$150)),RIGHT(AI$1,2))</f>
        <v>243</v>
      </c>
      <c r="AJ19" s="16" cm="1">
        <f t="array" ref="AJ19">INDEX(_xlfn.ANCHORARRAY(_xlfn.XLOOKUP($C19,'-ref_Distribution'!$B$146:$B$150,'-ref_Distribution'!$G$146:$G$150)),RIGHT(AJ$1,2))</f>
        <v>234</v>
      </c>
      <c r="AK19" s="16" cm="1">
        <f t="array" ref="AK19">INDEX(_xlfn.ANCHORARRAY(_xlfn.XLOOKUP($C19,'-ref_Distribution'!$B$146:$B$150,'-ref_Distribution'!$G$146:$G$150)),RIGHT(AK$1,2))</f>
        <v>221</v>
      </c>
      <c r="AL19" s="16" cm="1">
        <f t="array" ref="AL19">INDEX(_xlfn.ANCHORARRAY(_xlfn.XLOOKUP($C19,'-ref_Distribution'!$B$146:$B$150,'-ref_Distribution'!$G$146:$G$150)),RIGHT(AL$1,2))</f>
        <v>203</v>
      </c>
      <c r="AM19" s="16" cm="1">
        <f t="array" ref="AM19">INDEX(_xlfn.ANCHORARRAY(_xlfn.XLOOKUP($C19,'-ref_Distribution'!$B$146:$B$150,'-ref_Distribution'!$G$146:$G$150)),RIGHT(AM$1,2))</f>
        <v>183</v>
      </c>
      <c r="AN19" s="16" cm="1">
        <f t="array" ref="AN19">INDEX(_xlfn.ANCHORARRAY(_xlfn.XLOOKUP($C19,'-ref_Distribution'!$B$146:$B$150,'-ref_Distribution'!$G$146:$G$150)),RIGHT(AN$1,2))</f>
        <v>160</v>
      </c>
      <c r="AO19" s="16" cm="1">
        <f t="array" ref="AO19">INDEX(_xlfn.ANCHORARRAY(_xlfn.XLOOKUP($C19,'-ref_Distribution'!$B$146:$B$150,'-ref_Distribution'!$G$146:$G$150)),RIGHT(AO$1,2))</f>
        <v>137</v>
      </c>
      <c r="AP19" s="16" cm="1">
        <f t="array" ref="AP19">INDEX(_xlfn.ANCHORARRAY(_xlfn.XLOOKUP($C19,'-ref_Distribution'!$B$146:$B$150,'-ref_Distribution'!$G$146:$G$150)),RIGHT(AP$1,2))</f>
        <v>115</v>
      </c>
      <c r="AQ19" s="16" cm="1">
        <f t="array" ref="AQ19">INDEX(_xlfn.ANCHORARRAY(_xlfn.XLOOKUP($C19,'-ref_Distribution'!$B$146:$B$150,'-ref_Distribution'!$G$146:$G$150)),RIGHT(AQ$1,2))</f>
        <v>94</v>
      </c>
      <c r="AR19" s="16" cm="1">
        <f t="array" ref="AR19">INDEX(_xlfn.ANCHORARRAY(_xlfn.XLOOKUP($C19,'-ref_Distribution'!$B$146:$B$150,'-ref_Distribution'!$G$146:$G$150)),RIGHT(AR$1,2))</f>
        <v>75</v>
      </c>
      <c r="AS19" s="16" cm="1">
        <f t="array" ref="AS19">INDEX(_xlfn.ANCHORARRAY(_xlfn.XLOOKUP($C19,'-ref_Distribution'!$B$146:$B$150,'-ref_Distribution'!$G$146:$G$150)),RIGHT(AS$1,2))</f>
        <v>94</v>
      </c>
      <c r="AT19" s="16" cm="1">
        <f t="array" ref="AT19">INDEX(_xlfn.ANCHORARRAY(_xlfn.XLOOKUP($C19,'-ref_Distribution'!$B$146:$B$150,'-ref_Distribution'!$G$146:$G$150)),RIGHT(AT$1,2))</f>
        <v>115</v>
      </c>
      <c r="AU19" s="16" cm="1">
        <f t="array" ref="AU19">INDEX(_xlfn.ANCHORARRAY(_xlfn.XLOOKUP($C19,'-ref_Distribution'!$B$146:$B$150,'-ref_Distribution'!$G$146:$G$150)),RIGHT(AU$1,2))</f>
        <v>137</v>
      </c>
      <c r="AV19" s="16" cm="1">
        <f t="array" ref="AV19">INDEX(_xlfn.ANCHORARRAY(_xlfn.XLOOKUP($C19,'-ref_Distribution'!$B$146:$B$150,'-ref_Distribution'!$G$146:$G$150)),RIGHT(AV$1,2))</f>
        <v>160</v>
      </c>
      <c r="AW19" s="16" cm="1">
        <f t="array" ref="AW19">INDEX(_xlfn.ANCHORARRAY(_xlfn.XLOOKUP($C19,'-ref_Distribution'!$B$146:$B$150,'-ref_Distribution'!$G$146:$G$150)),RIGHT(AW$1,2))</f>
        <v>183</v>
      </c>
      <c r="AX19" s="16" cm="1">
        <f t="array" ref="AX19">INDEX(_xlfn.ANCHORARRAY(_xlfn.XLOOKUP($C19,'-ref_Distribution'!$B$146:$B$150,'-ref_Distribution'!$G$146:$G$150)),RIGHT(AX$1,2))</f>
        <v>203</v>
      </c>
      <c r="AY19" s="16" cm="1">
        <f t="array" ref="AY19">INDEX(_xlfn.ANCHORARRAY(_xlfn.XLOOKUP($C19,'-ref_Distribution'!$B$146:$B$150,'-ref_Distribution'!$G$146:$G$150)),RIGHT(AY$1,2))</f>
        <v>221</v>
      </c>
      <c r="AZ19" s="16" cm="1">
        <f t="array" ref="AZ19">INDEX(_xlfn.ANCHORARRAY(_xlfn.XLOOKUP($C19,'-ref_Distribution'!$B$146:$B$150,'-ref_Distribution'!$G$146:$G$150)),RIGHT(AZ$1,2))</f>
        <v>234</v>
      </c>
      <c r="BA19" s="16" cm="1">
        <f t="array" ref="BA19">INDEX(_xlfn.ANCHORARRAY(_xlfn.XLOOKUP($C19,'-ref_Distribution'!$B$146:$B$150,'-ref_Distribution'!$G$146:$G$150)),RIGHT(BA$1,2))</f>
        <v>243</v>
      </c>
      <c r="BB19" s="16" cm="1">
        <f t="array" ref="BB19">INDEX(_xlfn.ANCHORARRAY(_xlfn.XLOOKUP($C19,'-ref_Distribution'!$B$146:$B$150,'-ref_Distribution'!$G$146:$G$150)),RIGHT(BB$1,2))</f>
        <v>245</v>
      </c>
      <c r="BC19" s="16" cm="1">
        <f t="array" ref="BC19">INDEX(_xlfn.ANCHORARRAY(_xlfn.XLOOKUP($C19,'-ref_Distribution'!$B$146:$B$150,'-ref_Distribution'!$G$146:$G$150)),RIGHT(BC$1,2))</f>
        <v>243</v>
      </c>
      <c r="BD19" s="16" cm="1">
        <f t="array" ref="BD19">INDEX(_xlfn.ANCHORARRAY(_xlfn.XLOOKUP($C19,'-ref_Distribution'!$B$146:$B$150,'-ref_Distribution'!$G$146:$G$150)),RIGHT(BD$1,2))</f>
        <v>234</v>
      </c>
      <c r="BE19" s="16" cm="1">
        <f t="array" ref="BE19">INDEX(_xlfn.ANCHORARRAY(_xlfn.XLOOKUP($C19,'-ref_Distribution'!$B$146:$B$150,'-ref_Distribution'!$G$146:$G$150)),RIGHT(BE$1,2))</f>
        <v>221</v>
      </c>
      <c r="BF19" s="16" cm="1">
        <f t="array" ref="BF19">INDEX(_xlfn.ANCHORARRAY(_xlfn.XLOOKUP($C19,'-ref_Distribution'!$B$146:$B$150,'-ref_Distribution'!$G$146:$G$150)),RIGHT(BF$1,2))</f>
        <v>203</v>
      </c>
      <c r="BG19" s="16" cm="1">
        <f t="array" ref="BG19">INDEX(_xlfn.ANCHORARRAY(_xlfn.XLOOKUP($C19,'-ref_Distribution'!$B$146:$B$150,'-ref_Distribution'!$G$146:$G$150)),RIGHT(BG$1,2))</f>
        <v>183</v>
      </c>
      <c r="BH19" s="16" cm="1">
        <f t="array" ref="BH19">INDEX(_xlfn.ANCHORARRAY(_xlfn.XLOOKUP($C19,'-ref_Distribution'!$B$146:$B$150,'-ref_Distribution'!$G$146:$G$150)),RIGHT(BH$1,2))</f>
        <v>160</v>
      </c>
      <c r="BI19" s="16" cm="1">
        <f t="array" ref="BI19">INDEX(_xlfn.ANCHORARRAY(_xlfn.XLOOKUP($C19,'-ref_Distribution'!$B$146:$B$150,'-ref_Distribution'!$G$146:$G$150)),RIGHT(BI$1,2))</f>
        <v>137</v>
      </c>
      <c r="BJ19" s="16" cm="1">
        <f t="array" ref="BJ19">INDEX(_xlfn.ANCHORARRAY(_xlfn.XLOOKUP($C19,'-ref_Distribution'!$B$146:$B$150,'-ref_Distribution'!$G$146:$G$150)),RIGHT(BJ$1,2))</f>
        <v>115</v>
      </c>
      <c r="BK19" s="16" cm="1">
        <f t="array" ref="BK19">INDEX(_xlfn.ANCHORARRAY(_xlfn.XLOOKUP($C19,'-ref_Distribution'!$B$146:$B$150,'-ref_Distribution'!$G$146:$G$150)),RIGHT(BK$1,2))</f>
        <v>94</v>
      </c>
      <c r="BL19" s="16" cm="1">
        <f t="array" ref="BL19">INDEX(_xlfn.ANCHORARRAY(_xlfn.XLOOKUP($C19,'-ref_Distribution'!$B$146:$B$150,'-ref_Distribution'!$G$146:$G$150)),RIGHT(BL$1,2))</f>
        <v>75</v>
      </c>
      <c r="BM19" s="16" cm="1">
        <f t="array" ref="BM19">INDEX(_xlfn.ANCHORARRAY(_xlfn.XLOOKUP($C19,'-ref_Distribution'!$B$146:$B$150,'-ref_Distribution'!$G$146:$G$150)),RIGHT(BM$1,2))</f>
        <v>94</v>
      </c>
      <c r="BN19" s="16" cm="1">
        <f t="array" ref="BN19">INDEX(_xlfn.ANCHORARRAY(_xlfn.XLOOKUP($C19,'-ref_Distribution'!$B$146:$B$150,'-ref_Distribution'!$G$146:$G$150)),RIGHT(BN$1,2))</f>
        <v>115</v>
      </c>
      <c r="BO19" s="16" cm="1">
        <f t="array" ref="BO19">INDEX(_xlfn.ANCHORARRAY(_xlfn.XLOOKUP($C19,'-ref_Distribution'!$B$146:$B$150,'-ref_Distribution'!$G$146:$G$150)),RIGHT(BO$1,2))</f>
        <v>137</v>
      </c>
      <c r="BP19" s="16" cm="1">
        <f t="array" ref="BP19">INDEX(_xlfn.ANCHORARRAY(_xlfn.XLOOKUP($C19,'-ref_Distribution'!$B$146:$B$150,'-ref_Distribution'!$G$146:$G$150)),RIGHT(BP$1,2))</f>
        <v>160</v>
      </c>
      <c r="BQ19" s="16" cm="1">
        <f t="array" ref="BQ19">INDEX(_xlfn.ANCHORARRAY(_xlfn.XLOOKUP($C19,'-ref_Distribution'!$B$146:$B$150,'-ref_Distribution'!$G$146:$G$150)),RIGHT(BQ$1,2))</f>
        <v>183</v>
      </c>
      <c r="BR19" s="16" cm="1">
        <f t="array" ref="BR19">INDEX(_xlfn.ANCHORARRAY(_xlfn.XLOOKUP($C19,'-ref_Distribution'!$B$146:$B$150,'-ref_Distribution'!$G$146:$G$150)),RIGHT(BR$1,2))</f>
        <v>203</v>
      </c>
      <c r="BS19" s="16" cm="1">
        <f t="array" ref="BS19">INDEX(_xlfn.ANCHORARRAY(_xlfn.XLOOKUP($C19,'-ref_Distribution'!$B$146:$B$150,'-ref_Distribution'!$G$146:$G$150)),RIGHT(BS$1,2))</f>
        <v>221</v>
      </c>
      <c r="BT19" s="16" cm="1">
        <f t="array" ref="BT19">INDEX(_xlfn.ANCHORARRAY(_xlfn.XLOOKUP($C19,'-ref_Distribution'!$B$146:$B$150,'-ref_Distribution'!$G$146:$G$150)),RIGHT(BT$1,2))</f>
        <v>234</v>
      </c>
      <c r="BU19" s="16" cm="1">
        <f t="array" ref="BU19">INDEX(_xlfn.ANCHORARRAY(_xlfn.XLOOKUP($C19,'-ref_Distribution'!$B$146:$B$150,'-ref_Distribution'!$G$146:$G$150)),RIGHT(BU$1,2))</f>
        <v>243</v>
      </c>
      <c r="BV19" s="16" cm="1">
        <f t="array" ref="BV19">INDEX(_xlfn.ANCHORARRAY(_xlfn.XLOOKUP($C19,'-ref_Distribution'!$B$146:$B$150,'-ref_Distribution'!$G$146:$G$150)),RIGHT(BV$1,2))</f>
        <v>245</v>
      </c>
      <c r="BW19" s="16" cm="1">
        <f t="array" ref="BW19">INDEX(_xlfn.ANCHORARRAY(_xlfn.XLOOKUP($C19,'-ref_Distribution'!$B$146:$B$150,'-ref_Distribution'!$G$146:$G$150)),RIGHT(BW$1,2))</f>
        <v>243</v>
      </c>
      <c r="BX19" s="16" cm="1">
        <f t="array" ref="BX19">INDEX(_xlfn.ANCHORARRAY(_xlfn.XLOOKUP($C19,'-ref_Distribution'!$B$146:$B$150,'-ref_Distribution'!$G$146:$G$150)),RIGHT(BX$1,2))</f>
        <v>234</v>
      </c>
      <c r="BY19" s="16" cm="1">
        <f t="array" ref="BY19">INDEX(_xlfn.ANCHORARRAY(_xlfn.XLOOKUP($C19,'-ref_Distribution'!$B$146:$B$150,'-ref_Distribution'!$G$146:$G$150)),RIGHT(BY$1,2))</f>
        <v>221</v>
      </c>
      <c r="BZ19" s="16" cm="1">
        <f t="array" ref="BZ19">INDEX(_xlfn.ANCHORARRAY(_xlfn.XLOOKUP($C19,'-ref_Distribution'!$B$146:$B$150,'-ref_Distribution'!$G$146:$G$150)),RIGHT(BZ$1,2))</f>
        <v>203</v>
      </c>
      <c r="CA19" s="16" cm="1">
        <f t="array" ref="CA19">INDEX(_xlfn.ANCHORARRAY(_xlfn.XLOOKUP($C19,'-ref_Distribution'!$B$146:$B$150,'-ref_Distribution'!$G$146:$G$150)),RIGHT(CA$1,2))</f>
        <v>183</v>
      </c>
      <c r="CB19" s="16" cm="1">
        <f t="array" ref="CB19">INDEX(_xlfn.ANCHORARRAY(_xlfn.XLOOKUP($C19,'-ref_Distribution'!$B$146:$B$150,'-ref_Distribution'!$G$146:$G$150)),RIGHT(CB$1,2))</f>
        <v>160</v>
      </c>
      <c r="CC19" s="16" cm="1">
        <f t="array" ref="CC19">INDEX(_xlfn.ANCHORARRAY(_xlfn.XLOOKUP($C19,'-ref_Distribution'!$B$146:$B$150,'-ref_Distribution'!$G$146:$G$150)),RIGHT(CC$1,2))</f>
        <v>137</v>
      </c>
      <c r="CD19" s="16" cm="1">
        <f t="array" ref="CD19">INDEX(_xlfn.ANCHORARRAY(_xlfn.XLOOKUP($C19,'-ref_Distribution'!$B$146:$B$150,'-ref_Distribution'!$G$146:$G$150)),RIGHT(CD$1,2))</f>
        <v>115</v>
      </c>
      <c r="CE19" s="16" cm="1">
        <f t="array" ref="CE19">INDEX(_xlfn.ANCHORARRAY(_xlfn.XLOOKUP($C19,'-ref_Distribution'!$B$146:$B$150,'-ref_Distribution'!$G$146:$G$150)),RIGHT(CE$1,2))</f>
        <v>94</v>
      </c>
    </row>
    <row r="20" spans="1:83" customFormat="1" x14ac:dyDescent="0.2">
      <c r="A20" s="16">
        <v>300074</v>
      </c>
      <c r="B20" s="16" t="s">
        <v>280</v>
      </c>
      <c r="C20" s="16">
        <v>3</v>
      </c>
      <c r="D20" s="16" cm="1">
        <f t="array" ref="D20">INDEX(_xlfn.ANCHORARRAY(_xlfn.XLOOKUP($C20,'-ref_Distribution'!$B$146:$B$150,'-ref_Distribution'!$G$146:$G$150)),RIGHT(D$1,2))</f>
        <v>4</v>
      </c>
      <c r="E20" s="16" cm="1">
        <f t="array" ref="E20">INDEX(_xlfn.ANCHORARRAY(_xlfn.XLOOKUP($C20,'-ref_Distribution'!$B$146:$B$150,'-ref_Distribution'!$G$146:$G$150)),RIGHT(E$1,2))</f>
        <v>6</v>
      </c>
      <c r="F20" s="16" cm="1">
        <f t="array" ref="F20">INDEX(_xlfn.ANCHORARRAY(_xlfn.XLOOKUP($C20,'-ref_Distribution'!$B$146:$B$150,'-ref_Distribution'!$G$146:$G$150)),RIGHT(F$1,2))</f>
        <v>9</v>
      </c>
      <c r="G20" s="16" cm="1">
        <f t="array" ref="G20">INDEX(_xlfn.ANCHORARRAY(_xlfn.XLOOKUP($C20,'-ref_Distribution'!$B$146:$B$150,'-ref_Distribution'!$G$146:$G$150)),RIGHT(G$1,2))</f>
        <v>14</v>
      </c>
      <c r="H20" s="16" cm="1">
        <f t="array" ref="H20">INDEX(_xlfn.ANCHORARRAY(_xlfn.XLOOKUP($C20,'-ref_Distribution'!$B$146:$B$150,'-ref_Distribution'!$G$146:$G$150)),RIGHT(H$1,2))</f>
        <v>20</v>
      </c>
      <c r="I20" s="16" cm="1">
        <f t="array" ref="I20">INDEX(_xlfn.ANCHORARRAY(_xlfn.XLOOKUP($C20,'-ref_Distribution'!$B$146:$B$150,'-ref_Distribution'!$G$146:$G$150)),RIGHT(I$1,2))</f>
        <v>28</v>
      </c>
      <c r="J20" s="16" cm="1">
        <f t="array" ref="J20">INDEX(_xlfn.ANCHORARRAY(_xlfn.XLOOKUP($C20,'-ref_Distribution'!$B$146:$B$150,'-ref_Distribution'!$G$146:$G$150)),RIGHT(J$1,2))</f>
        <v>38</v>
      </c>
      <c r="K20" s="16" cm="1">
        <f t="array" ref="K20">INDEX(_xlfn.ANCHORARRAY(_xlfn.XLOOKUP($C20,'-ref_Distribution'!$B$146:$B$150,'-ref_Distribution'!$G$146:$G$150)),RIGHT(K$1,2))</f>
        <v>51</v>
      </c>
      <c r="L20" s="16" cm="1">
        <f t="array" ref="L20">INDEX(_xlfn.ANCHORARRAY(_xlfn.XLOOKUP($C20,'-ref_Distribution'!$B$146:$B$150,'-ref_Distribution'!$G$146:$G$150)),RIGHT(L$1,2))</f>
        <v>65</v>
      </c>
      <c r="M20" s="16" cm="1">
        <f t="array" ref="M20">INDEX(_xlfn.ANCHORARRAY(_xlfn.XLOOKUP($C20,'-ref_Distribution'!$B$146:$B$150,'-ref_Distribution'!$G$146:$G$150)),RIGHT(M$1,2))</f>
        <v>80</v>
      </c>
      <c r="N20" s="16" cm="1">
        <f t="array" ref="N20">INDEX(_xlfn.ANCHORARRAY(_xlfn.XLOOKUP($C20,'-ref_Distribution'!$B$146:$B$150,'-ref_Distribution'!$G$146:$G$150)),RIGHT(N$1,2))</f>
        <v>96</v>
      </c>
      <c r="O20" s="16" cm="1">
        <f t="array" ref="O20">INDEX(_xlfn.ANCHORARRAY(_xlfn.XLOOKUP($C20,'-ref_Distribution'!$B$146:$B$150,'-ref_Distribution'!$G$146:$G$150)),RIGHT(O$1,2))</f>
        <v>111</v>
      </c>
      <c r="P20" s="16" cm="1">
        <f t="array" ref="P20">INDEX(_xlfn.ANCHORARRAY(_xlfn.XLOOKUP($C20,'-ref_Distribution'!$B$146:$B$150,'-ref_Distribution'!$G$146:$G$150)),RIGHT(P$1,2))</f>
        <v>125</v>
      </c>
      <c r="Q20" s="16" cm="1">
        <f t="array" ref="Q20">INDEX(_xlfn.ANCHORARRAY(_xlfn.XLOOKUP($C20,'-ref_Distribution'!$B$146:$B$150,'-ref_Distribution'!$G$146:$G$150)),RIGHT(Q$1,2))</f>
        <v>135</v>
      </c>
      <c r="R20" s="16" cm="1">
        <f t="array" ref="R20">INDEX(_xlfn.ANCHORARRAY(_xlfn.XLOOKUP($C20,'-ref_Distribution'!$B$146:$B$150,'-ref_Distribution'!$G$146:$G$150)),RIGHT(R$1,2))</f>
        <v>142</v>
      </c>
      <c r="S20" s="16" cm="1">
        <f t="array" ref="S20">INDEX(_xlfn.ANCHORARRAY(_xlfn.XLOOKUP($C20,'-ref_Distribution'!$B$146:$B$150,'-ref_Distribution'!$G$146:$G$150)),RIGHT(S$1,2))</f>
        <v>144</v>
      </c>
      <c r="T20" s="16" cm="1">
        <f t="array" ref="T20">INDEX(_xlfn.ANCHORARRAY(_xlfn.XLOOKUP($C20,'-ref_Distribution'!$B$146:$B$150,'-ref_Distribution'!$G$146:$G$150)),RIGHT(T$1,2))</f>
        <v>142</v>
      </c>
      <c r="U20" s="16" cm="1">
        <f t="array" ref="U20">INDEX(_xlfn.ANCHORARRAY(_xlfn.XLOOKUP($C20,'-ref_Distribution'!$B$146:$B$150,'-ref_Distribution'!$G$146:$G$150)),RIGHT(U$1,2))</f>
        <v>135</v>
      </c>
      <c r="V20" s="16" cm="1">
        <f t="array" ref="V20">INDEX(_xlfn.ANCHORARRAY(_xlfn.XLOOKUP($C20,'-ref_Distribution'!$B$146:$B$150,'-ref_Distribution'!$G$146:$G$150)),RIGHT(V$1,2))</f>
        <v>125</v>
      </c>
      <c r="W20" s="16" cm="1">
        <f t="array" ref="W20">INDEX(_xlfn.ANCHORARRAY(_xlfn.XLOOKUP($C20,'-ref_Distribution'!$B$146:$B$150,'-ref_Distribution'!$G$146:$G$150)),RIGHT(W$1,2))</f>
        <v>111</v>
      </c>
      <c r="X20" s="16" cm="1">
        <f t="array" ref="X20">INDEX(_xlfn.ANCHORARRAY(_xlfn.XLOOKUP($C20,'-ref_Distribution'!$B$146:$B$150,'-ref_Distribution'!$G$146:$G$150)),RIGHT(X$1,2))</f>
        <v>4</v>
      </c>
      <c r="Y20" s="16" cm="1">
        <f t="array" ref="Y20">INDEX(_xlfn.ANCHORARRAY(_xlfn.XLOOKUP($C20,'-ref_Distribution'!$B$146:$B$150,'-ref_Distribution'!$G$146:$G$150)),RIGHT(Y$1,2))</f>
        <v>6</v>
      </c>
      <c r="Z20" s="16" cm="1">
        <f t="array" ref="Z20">INDEX(_xlfn.ANCHORARRAY(_xlfn.XLOOKUP($C20,'-ref_Distribution'!$B$146:$B$150,'-ref_Distribution'!$G$146:$G$150)),RIGHT(Z$1,2))</f>
        <v>9</v>
      </c>
      <c r="AA20" s="16" cm="1">
        <f t="array" ref="AA20">INDEX(_xlfn.ANCHORARRAY(_xlfn.XLOOKUP($C20,'-ref_Distribution'!$B$146:$B$150,'-ref_Distribution'!$G$146:$G$150)),RIGHT(AA$1,2))</f>
        <v>14</v>
      </c>
      <c r="AB20" s="16" cm="1">
        <f t="array" ref="AB20">INDEX(_xlfn.ANCHORARRAY(_xlfn.XLOOKUP($C20,'-ref_Distribution'!$B$146:$B$150,'-ref_Distribution'!$G$146:$G$150)),RIGHT(AB$1,2))</f>
        <v>20</v>
      </c>
      <c r="AC20" s="16" cm="1">
        <f t="array" ref="AC20">INDEX(_xlfn.ANCHORARRAY(_xlfn.XLOOKUP($C20,'-ref_Distribution'!$B$146:$B$150,'-ref_Distribution'!$G$146:$G$150)),RIGHT(AC$1,2))</f>
        <v>28</v>
      </c>
      <c r="AD20" s="16" cm="1">
        <f t="array" ref="AD20">INDEX(_xlfn.ANCHORARRAY(_xlfn.XLOOKUP($C20,'-ref_Distribution'!$B$146:$B$150,'-ref_Distribution'!$G$146:$G$150)),RIGHT(AD$1,2))</f>
        <v>38</v>
      </c>
      <c r="AE20" s="16" cm="1">
        <f t="array" ref="AE20">INDEX(_xlfn.ANCHORARRAY(_xlfn.XLOOKUP($C20,'-ref_Distribution'!$B$146:$B$150,'-ref_Distribution'!$G$146:$G$150)),RIGHT(AE$1,2))</f>
        <v>51</v>
      </c>
      <c r="AF20" s="16" cm="1">
        <f t="array" ref="AF20">INDEX(_xlfn.ANCHORARRAY(_xlfn.XLOOKUP($C20,'-ref_Distribution'!$B$146:$B$150,'-ref_Distribution'!$G$146:$G$150)),RIGHT(AF$1,2))</f>
        <v>65</v>
      </c>
      <c r="AG20" s="16" cm="1">
        <f t="array" ref="AG20">INDEX(_xlfn.ANCHORARRAY(_xlfn.XLOOKUP($C20,'-ref_Distribution'!$B$146:$B$150,'-ref_Distribution'!$G$146:$G$150)),RIGHT(AG$1,2))</f>
        <v>80</v>
      </c>
      <c r="AH20" s="16" cm="1">
        <f t="array" ref="AH20">INDEX(_xlfn.ANCHORARRAY(_xlfn.XLOOKUP($C20,'-ref_Distribution'!$B$146:$B$150,'-ref_Distribution'!$G$146:$G$150)),RIGHT(AH$1,2))</f>
        <v>96</v>
      </c>
      <c r="AI20" s="16" cm="1">
        <f t="array" ref="AI20">INDEX(_xlfn.ANCHORARRAY(_xlfn.XLOOKUP($C20,'-ref_Distribution'!$B$146:$B$150,'-ref_Distribution'!$G$146:$G$150)),RIGHT(AI$1,2))</f>
        <v>111</v>
      </c>
      <c r="AJ20" s="16" cm="1">
        <f t="array" ref="AJ20">INDEX(_xlfn.ANCHORARRAY(_xlfn.XLOOKUP($C20,'-ref_Distribution'!$B$146:$B$150,'-ref_Distribution'!$G$146:$G$150)),RIGHT(AJ$1,2))</f>
        <v>125</v>
      </c>
      <c r="AK20" s="16" cm="1">
        <f t="array" ref="AK20">INDEX(_xlfn.ANCHORARRAY(_xlfn.XLOOKUP($C20,'-ref_Distribution'!$B$146:$B$150,'-ref_Distribution'!$G$146:$G$150)),RIGHT(AK$1,2))</f>
        <v>135</v>
      </c>
      <c r="AL20" s="16" cm="1">
        <f t="array" ref="AL20">INDEX(_xlfn.ANCHORARRAY(_xlfn.XLOOKUP($C20,'-ref_Distribution'!$B$146:$B$150,'-ref_Distribution'!$G$146:$G$150)),RIGHT(AL$1,2))</f>
        <v>142</v>
      </c>
      <c r="AM20" s="16" cm="1">
        <f t="array" ref="AM20">INDEX(_xlfn.ANCHORARRAY(_xlfn.XLOOKUP($C20,'-ref_Distribution'!$B$146:$B$150,'-ref_Distribution'!$G$146:$G$150)),RIGHT(AM$1,2))</f>
        <v>144</v>
      </c>
      <c r="AN20" s="16" cm="1">
        <f t="array" ref="AN20">INDEX(_xlfn.ANCHORARRAY(_xlfn.XLOOKUP($C20,'-ref_Distribution'!$B$146:$B$150,'-ref_Distribution'!$G$146:$G$150)),RIGHT(AN$1,2))</f>
        <v>142</v>
      </c>
      <c r="AO20" s="16" cm="1">
        <f t="array" ref="AO20">INDEX(_xlfn.ANCHORARRAY(_xlfn.XLOOKUP($C20,'-ref_Distribution'!$B$146:$B$150,'-ref_Distribution'!$G$146:$G$150)),RIGHT(AO$1,2))</f>
        <v>135</v>
      </c>
      <c r="AP20" s="16" cm="1">
        <f t="array" ref="AP20">INDEX(_xlfn.ANCHORARRAY(_xlfn.XLOOKUP($C20,'-ref_Distribution'!$B$146:$B$150,'-ref_Distribution'!$G$146:$G$150)),RIGHT(AP$1,2))</f>
        <v>125</v>
      </c>
      <c r="AQ20" s="16" cm="1">
        <f t="array" ref="AQ20">INDEX(_xlfn.ANCHORARRAY(_xlfn.XLOOKUP($C20,'-ref_Distribution'!$B$146:$B$150,'-ref_Distribution'!$G$146:$G$150)),RIGHT(AQ$1,2))</f>
        <v>111</v>
      </c>
      <c r="AR20" s="16" cm="1">
        <f t="array" ref="AR20">INDEX(_xlfn.ANCHORARRAY(_xlfn.XLOOKUP($C20,'-ref_Distribution'!$B$146:$B$150,'-ref_Distribution'!$G$146:$G$150)),RIGHT(AR$1,2))</f>
        <v>4</v>
      </c>
      <c r="AS20" s="16" cm="1">
        <f t="array" ref="AS20">INDEX(_xlfn.ANCHORARRAY(_xlfn.XLOOKUP($C20,'-ref_Distribution'!$B$146:$B$150,'-ref_Distribution'!$G$146:$G$150)),RIGHT(AS$1,2))</f>
        <v>6</v>
      </c>
      <c r="AT20" s="16" cm="1">
        <f t="array" ref="AT20">INDEX(_xlfn.ANCHORARRAY(_xlfn.XLOOKUP($C20,'-ref_Distribution'!$B$146:$B$150,'-ref_Distribution'!$G$146:$G$150)),RIGHT(AT$1,2))</f>
        <v>9</v>
      </c>
      <c r="AU20" s="16" cm="1">
        <f t="array" ref="AU20">INDEX(_xlfn.ANCHORARRAY(_xlfn.XLOOKUP($C20,'-ref_Distribution'!$B$146:$B$150,'-ref_Distribution'!$G$146:$G$150)),RIGHT(AU$1,2))</f>
        <v>14</v>
      </c>
      <c r="AV20" s="16" cm="1">
        <f t="array" ref="AV20">INDEX(_xlfn.ANCHORARRAY(_xlfn.XLOOKUP($C20,'-ref_Distribution'!$B$146:$B$150,'-ref_Distribution'!$G$146:$G$150)),RIGHT(AV$1,2))</f>
        <v>20</v>
      </c>
      <c r="AW20" s="16" cm="1">
        <f t="array" ref="AW20">INDEX(_xlfn.ANCHORARRAY(_xlfn.XLOOKUP($C20,'-ref_Distribution'!$B$146:$B$150,'-ref_Distribution'!$G$146:$G$150)),RIGHT(AW$1,2))</f>
        <v>28</v>
      </c>
      <c r="AX20" s="16" cm="1">
        <f t="array" ref="AX20">INDEX(_xlfn.ANCHORARRAY(_xlfn.XLOOKUP($C20,'-ref_Distribution'!$B$146:$B$150,'-ref_Distribution'!$G$146:$G$150)),RIGHT(AX$1,2))</f>
        <v>38</v>
      </c>
      <c r="AY20" s="16" cm="1">
        <f t="array" ref="AY20">INDEX(_xlfn.ANCHORARRAY(_xlfn.XLOOKUP($C20,'-ref_Distribution'!$B$146:$B$150,'-ref_Distribution'!$G$146:$G$150)),RIGHT(AY$1,2))</f>
        <v>51</v>
      </c>
      <c r="AZ20" s="16" cm="1">
        <f t="array" ref="AZ20">INDEX(_xlfn.ANCHORARRAY(_xlfn.XLOOKUP($C20,'-ref_Distribution'!$B$146:$B$150,'-ref_Distribution'!$G$146:$G$150)),RIGHT(AZ$1,2))</f>
        <v>65</v>
      </c>
      <c r="BA20" s="16" cm="1">
        <f t="array" ref="BA20">INDEX(_xlfn.ANCHORARRAY(_xlfn.XLOOKUP($C20,'-ref_Distribution'!$B$146:$B$150,'-ref_Distribution'!$G$146:$G$150)),RIGHT(BA$1,2))</f>
        <v>80</v>
      </c>
      <c r="BB20" s="16" cm="1">
        <f t="array" ref="BB20">INDEX(_xlfn.ANCHORARRAY(_xlfn.XLOOKUP($C20,'-ref_Distribution'!$B$146:$B$150,'-ref_Distribution'!$G$146:$G$150)),RIGHT(BB$1,2))</f>
        <v>96</v>
      </c>
      <c r="BC20" s="16" cm="1">
        <f t="array" ref="BC20">INDEX(_xlfn.ANCHORARRAY(_xlfn.XLOOKUP($C20,'-ref_Distribution'!$B$146:$B$150,'-ref_Distribution'!$G$146:$G$150)),RIGHT(BC$1,2))</f>
        <v>111</v>
      </c>
      <c r="BD20" s="16" cm="1">
        <f t="array" ref="BD20">INDEX(_xlfn.ANCHORARRAY(_xlfn.XLOOKUP($C20,'-ref_Distribution'!$B$146:$B$150,'-ref_Distribution'!$G$146:$G$150)),RIGHT(BD$1,2))</f>
        <v>125</v>
      </c>
      <c r="BE20" s="16" cm="1">
        <f t="array" ref="BE20">INDEX(_xlfn.ANCHORARRAY(_xlfn.XLOOKUP($C20,'-ref_Distribution'!$B$146:$B$150,'-ref_Distribution'!$G$146:$G$150)),RIGHT(BE$1,2))</f>
        <v>135</v>
      </c>
      <c r="BF20" s="16" cm="1">
        <f t="array" ref="BF20">INDEX(_xlfn.ANCHORARRAY(_xlfn.XLOOKUP($C20,'-ref_Distribution'!$B$146:$B$150,'-ref_Distribution'!$G$146:$G$150)),RIGHT(BF$1,2))</f>
        <v>142</v>
      </c>
      <c r="BG20" s="16" cm="1">
        <f t="array" ref="BG20">INDEX(_xlfn.ANCHORARRAY(_xlfn.XLOOKUP($C20,'-ref_Distribution'!$B$146:$B$150,'-ref_Distribution'!$G$146:$G$150)),RIGHT(BG$1,2))</f>
        <v>144</v>
      </c>
      <c r="BH20" s="16" cm="1">
        <f t="array" ref="BH20">INDEX(_xlfn.ANCHORARRAY(_xlfn.XLOOKUP($C20,'-ref_Distribution'!$B$146:$B$150,'-ref_Distribution'!$G$146:$G$150)),RIGHT(BH$1,2))</f>
        <v>142</v>
      </c>
      <c r="BI20" s="16" cm="1">
        <f t="array" ref="BI20">INDEX(_xlfn.ANCHORARRAY(_xlfn.XLOOKUP($C20,'-ref_Distribution'!$B$146:$B$150,'-ref_Distribution'!$G$146:$G$150)),RIGHT(BI$1,2))</f>
        <v>135</v>
      </c>
      <c r="BJ20" s="16" cm="1">
        <f t="array" ref="BJ20">INDEX(_xlfn.ANCHORARRAY(_xlfn.XLOOKUP($C20,'-ref_Distribution'!$B$146:$B$150,'-ref_Distribution'!$G$146:$G$150)),RIGHT(BJ$1,2))</f>
        <v>125</v>
      </c>
      <c r="BK20" s="16" cm="1">
        <f t="array" ref="BK20">INDEX(_xlfn.ANCHORARRAY(_xlfn.XLOOKUP($C20,'-ref_Distribution'!$B$146:$B$150,'-ref_Distribution'!$G$146:$G$150)),RIGHT(BK$1,2))</f>
        <v>111</v>
      </c>
      <c r="BL20" s="16" cm="1">
        <f t="array" ref="BL20">INDEX(_xlfn.ANCHORARRAY(_xlfn.XLOOKUP($C20,'-ref_Distribution'!$B$146:$B$150,'-ref_Distribution'!$G$146:$G$150)),RIGHT(BL$1,2))</f>
        <v>4</v>
      </c>
      <c r="BM20" s="16" cm="1">
        <f t="array" ref="BM20">INDEX(_xlfn.ANCHORARRAY(_xlfn.XLOOKUP($C20,'-ref_Distribution'!$B$146:$B$150,'-ref_Distribution'!$G$146:$G$150)),RIGHT(BM$1,2))</f>
        <v>6</v>
      </c>
      <c r="BN20" s="16" cm="1">
        <f t="array" ref="BN20">INDEX(_xlfn.ANCHORARRAY(_xlfn.XLOOKUP($C20,'-ref_Distribution'!$B$146:$B$150,'-ref_Distribution'!$G$146:$G$150)),RIGHT(BN$1,2))</f>
        <v>9</v>
      </c>
      <c r="BO20" s="16" cm="1">
        <f t="array" ref="BO20">INDEX(_xlfn.ANCHORARRAY(_xlfn.XLOOKUP($C20,'-ref_Distribution'!$B$146:$B$150,'-ref_Distribution'!$G$146:$G$150)),RIGHT(BO$1,2))</f>
        <v>14</v>
      </c>
      <c r="BP20" s="16" cm="1">
        <f t="array" ref="BP20">INDEX(_xlfn.ANCHORARRAY(_xlfn.XLOOKUP($C20,'-ref_Distribution'!$B$146:$B$150,'-ref_Distribution'!$G$146:$G$150)),RIGHT(BP$1,2))</f>
        <v>20</v>
      </c>
      <c r="BQ20" s="16" cm="1">
        <f t="array" ref="BQ20">INDEX(_xlfn.ANCHORARRAY(_xlfn.XLOOKUP($C20,'-ref_Distribution'!$B$146:$B$150,'-ref_Distribution'!$G$146:$G$150)),RIGHT(BQ$1,2))</f>
        <v>28</v>
      </c>
      <c r="BR20" s="16" cm="1">
        <f t="array" ref="BR20">INDEX(_xlfn.ANCHORARRAY(_xlfn.XLOOKUP($C20,'-ref_Distribution'!$B$146:$B$150,'-ref_Distribution'!$G$146:$G$150)),RIGHT(BR$1,2))</f>
        <v>38</v>
      </c>
      <c r="BS20" s="16" cm="1">
        <f t="array" ref="BS20">INDEX(_xlfn.ANCHORARRAY(_xlfn.XLOOKUP($C20,'-ref_Distribution'!$B$146:$B$150,'-ref_Distribution'!$G$146:$G$150)),RIGHT(BS$1,2))</f>
        <v>51</v>
      </c>
      <c r="BT20" s="16" cm="1">
        <f t="array" ref="BT20">INDEX(_xlfn.ANCHORARRAY(_xlfn.XLOOKUP($C20,'-ref_Distribution'!$B$146:$B$150,'-ref_Distribution'!$G$146:$G$150)),RIGHT(BT$1,2))</f>
        <v>65</v>
      </c>
      <c r="BU20" s="16" cm="1">
        <f t="array" ref="BU20">INDEX(_xlfn.ANCHORARRAY(_xlfn.XLOOKUP($C20,'-ref_Distribution'!$B$146:$B$150,'-ref_Distribution'!$G$146:$G$150)),RIGHT(BU$1,2))</f>
        <v>80</v>
      </c>
      <c r="BV20" s="16" cm="1">
        <f t="array" ref="BV20">INDEX(_xlfn.ANCHORARRAY(_xlfn.XLOOKUP($C20,'-ref_Distribution'!$B$146:$B$150,'-ref_Distribution'!$G$146:$G$150)),RIGHT(BV$1,2))</f>
        <v>96</v>
      </c>
      <c r="BW20" s="16" cm="1">
        <f t="array" ref="BW20">INDEX(_xlfn.ANCHORARRAY(_xlfn.XLOOKUP($C20,'-ref_Distribution'!$B$146:$B$150,'-ref_Distribution'!$G$146:$G$150)),RIGHT(BW$1,2))</f>
        <v>111</v>
      </c>
      <c r="BX20" s="16" cm="1">
        <f t="array" ref="BX20">INDEX(_xlfn.ANCHORARRAY(_xlfn.XLOOKUP($C20,'-ref_Distribution'!$B$146:$B$150,'-ref_Distribution'!$G$146:$G$150)),RIGHT(BX$1,2))</f>
        <v>125</v>
      </c>
      <c r="BY20" s="16" cm="1">
        <f t="array" ref="BY20">INDEX(_xlfn.ANCHORARRAY(_xlfn.XLOOKUP($C20,'-ref_Distribution'!$B$146:$B$150,'-ref_Distribution'!$G$146:$G$150)),RIGHT(BY$1,2))</f>
        <v>135</v>
      </c>
      <c r="BZ20" s="16" cm="1">
        <f t="array" ref="BZ20">INDEX(_xlfn.ANCHORARRAY(_xlfn.XLOOKUP($C20,'-ref_Distribution'!$B$146:$B$150,'-ref_Distribution'!$G$146:$G$150)),RIGHT(BZ$1,2))</f>
        <v>142</v>
      </c>
      <c r="CA20" s="16" cm="1">
        <f t="array" ref="CA20">INDEX(_xlfn.ANCHORARRAY(_xlfn.XLOOKUP($C20,'-ref_Distribution'!$B$146:$B$150,'-ref_Distribution'!$G$146:$G$150)),RIGHT(CA$1,2))</f>
        <v>144</v>
      </c>
      <c r="CB20" s="16" cm="1">
        <f t="array" ref="CB20">INDEX(_xlfn.ANCHORARRAY(_xlfn.XLOOKUP($C20,'-ref_Distribution'!$B$146:$B$150,'-ref_Distribution'!$G$146:$G$150)),RIGHT(CB$1,2))</f>
        <v>142</v>
      </c>
      <c r="CC20" s="16" cm="1">
        <f t="array" ref="CC20">INDEX(_xlfn.ANCHORARRAY(_xlfn.XLOOKUP($C20,'-ref_Distribution'!$B$146:$B$150,'-ref_Distribution'!$G$146:$G$150)),RIGHT(CC$1,2))</f>
        <v>135</v>
      </c>
      <c r="CD20" s="16" cm="1">
        <f t="array" ref="CD20">INDEX(_xlfn.ANCHORARRAY(_xlfn.XLOOKUP($C20,'-ref_Distribution'!$B$146:$B$150,'-ref_Distribution'!$G$146:$G$150)),RIGHT(CD$1,2))</f>
        <v>125</v>
      </c>
      <c r="CE20" s="16" cm="1">
        <f t="array" ref="CE20">INDEX(_xlfn.ANCHORARRAY(_xlfn.XLOOKUP($C20,'-ref_Distribution'!$B$146:$B$150,'-ref_Distribution'!$G$146:$G$150)),RIGHT(CE$1,2))</f>
        <v>111</v>
      </c>
    </row>
    <row r="21" spans="1:83" customFormat="1" x14ac:dyDescent="0.2">
      <c r="A21" s="16">
        <v>300081</v>
      </c>
      <c r="B21" s="16" t="s">
        <v>203</v>
      </c>
      <c r="C21" s="16">
        <v>0</v>
      </c>
      <c r="D21" s="16" cm="1">
        <f t="array" ref="D21">INDEX(_xlfn.ANCHORARRAY(_xlfn.XLOOKUP($C21,'-ref_Distribution'!$B$146:$B$150,'-ref_Distribution'!$G$146:$G$150)),RIGHT(D$1,2))</f>
        <v>709</v>
      </c>
      <c r="E21" s="16" cm="1">
        <f t="array" ref="E21">INDEX(_xlfn.ANCHORARRAY(_xlfn.XLOOKUP($C21,'-ref_Distribution'!$B$146:$B$150,'-ref_Distribution'!$G$146:$G$150)),RIGHT(E$1,2))</f>
        <v>705</v>
      </c>
      <c r="F21" s="16" cm="1">
        <f t="array" ref="F21">INDEX(_xlfn.ANCHORARRAY(_xlfn.XLOOKUP($C21,'-ref_Distribution'!$B$146:$B$150,'-ref_Distribution'!$G$146:$G$150)),RIGHT(F$1,2))</f>
        <v>692</v>
      </c>
      <c r="G21" s="16" cm="1">
        <f t="array" ref="G21">INDEX(_xlfn.ANCHORARRAY(_xlfn.XLOOKUP($C21,'-ref_Distribution'!$B$146:$B$150,'-ref_Distribution'!$G$146:$G$150)),RIGHT(G$1,2))</f>
        <v>671</v>
      </c>
      <c r="H21" s="16" cm="1">
        <f t="array" ref="H21">INDEX(_xlfn.ANCHORARRAY(_xlfn.XLOOKUP($C21,'-ref_Distribution'!$B$146:$B$150,'-ref_Distribution'!$G$146:$G$150)),RIGHT(H$1,2))</f>
        <v>643</v>
      </c>
      <c r="I21" s="16" cm="1">
        <f t="array" ref="I21">INDEX(_xlfn.ANCHORARRAY(_xlfn.XLOOKUP($C21,'-ref_Distribution'!$B$146:$B$150,'-ref_Distribution'!$G$146:$G$150)),RIGHT(I$1,2))</f>
        <v>608</v>
      </c>
      <c r="J21" s="16" cm="1">
        <f t="array" ref="J21">INDEX(_xlfn.ANCHORARRAY(_xlfn.XLOOKUP($C21,'-ref_Distribution'!$B$146:$B$150,'-ref_Distribution'!$G$146:$G$150)),RIGHT(J$1,2))</f>
        <v>568</v>
      </c>
      <c r="K21" s="16" cm="1">
        <f t="array" ref="K21">INDEX(_xlfn.ANCHORARRAY(_xlfn.XLOOKUP($C21,'-ref_Distribution'!$B$146:$B$150,'-ref_Distribution'!$G$146:$G$150)),RIGHT(K$1,2))</f>
        <v>524</v>
      </c>
      <c r="L21" s="16" cm="1">
        <f t="array" ref="L21">INDEX(_xlfn.ANCHORARRAY(_xlfn.XLOOKUP($C21,'-ref_Distribution'!$B$146:$B$150,'-ref_Distribution'!$G$146:$G$150)),RIGHT(L$1,2))</f>
        <v>478</v>
      </c>
      <c r="M21" s="16" cm="1">
        <f t="array" ref="M21">INDEX(_xlfn.ANCHORARRAY(_xlfn.XLOOKUP($C21,'-ref_Distribution'!$B$146:$B$150,'-ref_Distribution'!$G$146:$G$150)),RIGHT(M$1,2))</f>
        <v>430</v>
      </c>
      <c r="N21" s="16" cm="1">
        <f t="array" ref="N21">INDEX(_xlfn.ANCHORARRAY(_xlfn.XLOOKUP($C21,'-ref_Distribution'!$B$146:$B$150,'-ref_Distribution'!$G$146:$G$150)),RIGHT(N$1,2))</f>
        <v>383</v>
      </c>
      <c r="O21" s="16" cm="1">
        <f t="array" ref="O21">INDEX(_xlfn.ANCHORARRAY(_xlfn.XLOOKUP($C21,'-ref_Distribution'!$B$146:$B$150,'-ref_Distribution'!$G$146:$G$150)),RIGHT(O$1,2))</f>
        <v>336</v>
      </c>
      <c r="P21" s="16" cm="1">
        <f t="array" ref="P21">INDEX(_xlfn.ANCHORARRAY(_xlfn.XLOOKUP($C21,'-ref_Distribution'!$B$146:$B$150,'-ref_Distribution'!$G$146:$G$150)),RIGHT(P$1,2))</f>
        <v>292</v>
      </c>
      <c r="Q21" s="16" cm="1">
        <f t="array" ref="Q21">INDEX(_xlfn.ANCHORARRAY(_xlfn.XLOOKUP($C21,'-ref_Distribution'!$B$146:$B$150,'-ref_Distribution'!$G$146:$G$150)),RIGHT(Q$1,2))</f>
        <v>250</v>
      </c>
      <c r="R21" s="16" cm="1">
        <f t="array" ref="R21">INDEX(_xlfn.ANCHORARRAY(_xlfn.XLOOKUP($C21,'-ref_Distribution'!$B$146:$B$150,'-ref_Distribution'!$G$146:$G$150)),RIGHT(R$1,2))</f>
        <v>212</v>
      </c>
      <c r="S21" s="16" cm="1">
        <f t="array" ref="S21">INDEX(_xlfn.ANCHORARRAY(_xlfn.XLOOKUP($C21,'-ref_Distribution'!$B$146:$B$150,'-ref_Distribution'!$G$146:$G$150)),RIGHT(S$1,2))</f>
        <v>177</v>
      </c>
      <c r="T21" s="16" cm="1">
        <f t="array" ref="T21">INDEX(_xlfn.ANCHORARRAY(_xlfn.XLOOKUP($C21,'-ref_Distribution'!$B$146:$B$150,'-ref_Distribution'!$G$146:$G$150)),RIGHT(T$1,2))</f>
        <v>146</v>
      </c>
      <c r="U21" s="16" cm="1">
        <f t="array" ref="U21">INDEX(_xlfn.ANCHORARRAY(_xlfn.XLOOKUP($C21,'-ref_Distribution'!$B$146:$B$150,'-ref_Distribution'!$G$146:$G$150)),RIGHT(U$1,2))</f>
        <v>119</v>
      </c>
      <c r="V21" s="16" cm="1">
        <f t="array" ref="V21">INDEX(_xlfn.ANCHORARRAY(_xlfn.XLOOKUP($C21,'-ref_Distribution'!$B$146:$B$150,'-ref_Distribution'!$G$146:$G$150)),RIGHT(V$1,2))</f>
        <v>96</v>
      </c>
      <c r="W21" s="16" cm="1">
        <f t="array" ref="W21">INDEX(_xlfn.ANCHORARRAY(_xlfn.XLOOKUP($C21,'-ref_Distribution'!$B$146:$B$150,'-ref_Distribution'!$G$146:$G$150)),RIGHT(W$1,2))</f>
        <v>76</v>
      </c>
      <c r="X21" s="16" cm="1">
        <f t="array" ref="X21">INDEX(_xlfn.ANCHORARRAY(_xlfn.XLOOKUP($C21,'-ref_Distribution'!$B$146:$B$150,'-ref_Distribution'!$G$146:$G$150)),RIGHT(X$1,2))</f>
        <v>709</v>
      </c>
      <c r="Y21" s="16" cm="1">
        <f t="array" ref="Y21">INDEX(_xlfn.ANCHORARRAY(_xlfn.XLOOKUP($C21,'-ref_Distribution'!$B$146:$B$150,'-ref_Distribution'!$G$146:$G$150)),RIGHT(Y$1,2))</f>
        <v>705</v>
      </c>
      <c r="Z21" s="16" cm="1">
        <f t="array" ref="Z21">INDEX(_xlfn.ANCHORARRAY(_xlfn.XLOOKUP($C21,'-ref_Distribution'!$B$146:$B$150,'-ref_Distribution'!$G$146:$G$150)),RIGHT(Z$1,2))</f>
        <v>692</v>
      </c>
      <c r="AA21" s="16" cm="1">
        <f t="array" ref="AA21">INDEX(_xlfn.ANCHORARRAY(_xlfn.XLOOKUP($C21,'-ref_Distribution'!$B$146:$B$150,'-ref_Distribution'!$G$146:$G$150)),RIGHT(AA$1,2))</f>
        <v>671</v>
      </c>
      <c r="AB21" s="16" cm="1">
        <f t="array" ref="AB21">INDEX(_xlfn.ANCHORARRAY(_xlfn.XLOOKUP($C21,'-ref_Distribution'!$B$146:$B$150,'-ref_Distribution'!$G$146:$G$150)),RIGHT(AB$1,2))</f>
        <v>643</v>
      </c>
      <c r="AC21" s="16" cm="1">
        <f t="array" ref="AC21">INDEX(_xlfn.ANCHORARRAY(_xlfn.XLOOKUP($C21,'-ref_Distribution'!$B$146:$B$150,'-ref_Distribution'!$G$146:$G$150)),RIGHT(AC$1,2))</f>
        <v>608</v>
      </c>
      <c r="AD21" s="16" cm="1">
        <f t="array" ref="AD21">INDEX(_xlfn.ANCHORARRAY(_xlfn.XLOOKUP($C21,'-ref_Distribution'!$B$146:$B$150,'-ref_Distribution'!$G$146:$G$150)),RIGHT(AD$1,2))</f>
        <v>568</v>
      </c>
      <c r="AE21" s="16" cm="1">
        <f t="array" ref="AE21">INDEX(_xlfn.ANCHORARRAY(_xlfn.XLOOKUP($C21,'-ref_Distribution'!$B$146:$B$150,'-ref_Distribution'!$G$146:$G$150)),RIGHT(AE$1,2))</f>
        <v>524</v>
      </c>
      <c r="AF21" s="16" cm="1">
        <f t="array" ref="AF21">INDEX(_xlfn.ANCHORARRAY(_xlfn.XLOOKUP($C21,'-ref_Distribution'!$B$146:$B$150,'-ref_Distribution'!$G$146:$G$150)),RIGHT(AF$1,2))</f>
        <v>478</v>
      </c>
      <c r="AG21" s="16" cm="1">
        <f t="array" ref="AG21">INDEX(_xlfn.ANCHORARRAY(_xlfn.XLOOKUP($C21,'-ref_Distribution'!$B$146:$B$150,'-ref_Distribution'!$G$146:$G$150)),RIGHT(AG$1,2))</f>
        <v>430</v>
      </c>
      <c r="AH21" s="16" cm="1">
        <f t="array" ref="AH21">INDEX(_xlfn.ANCHORARRAY(_xlfn.XLOOKUP($C21,'-ref_Distribution'!$B$146:$B$150,'-ref_Distribution'!$G$146:$G$150)),RIGHT(AH$1,2))</f>
        <v>383</v>
      </c>
      <c r="AI21" s="16" cm="1">
        <f t="array" ref="AI21">INDEX(_xlfn.ANCHORARRAY(_xlfn.XLOOKUP($C21,'-ref_Distribution'!$B$146:$B$150,'-ref_Distribution'!$G$146:$G$150)),RIGHT(AI$1,2))</f>
        <v>336</v>
      </c>
      <c r="AJ21" s="16" cm="1">
        <f t="array" ref="AJ21">INDEX(_xlfn.ANCHORARRAY(_xlfn.XLOOKUP($C21,'-ref_Distribution'!$B$146:$B$150,'-ref_Distribution'!$G$146:$G$150)),RIGHT(AJ$1,2))</f>
        <v>292</v>
      </c>
      <c r="AK21" s="16" cm="1">
        <f t="array" ref="AK21">INDEX(_xlfn.ANCHORARRAY(_xlfn.XLOOKUP($C21,'-ref_Distribution'!$B$146:$B$150,'-ref_Distribution'!$G$146:$G$150)),RIGHT(AK$1,2))</f>
        <v>250</v>
      </c>
      <c r="AL21" s="16" cm="1">
        <f t="array" ref="AL21">INDEX(_xlfn.ANCHORARRAY(_xlfn.XLOOKUP($C21,'-ref_Distribution'!$B$146:$B$150,'-ref_Distribution'!$G$146:$G$150)),RIGHT(AL$1,2))</f>
        <v>212</v>
      </c>
      <c r="AM21" s="16" cm="1">
        <f t="array" ref="AM21">INDEX(_xlfn.ANCHORARRAY(_xlfn.XLOOKUP($C21,'-ref_Distribution'!$B$146:$B$150,'-ref_Distribution'!$G$146:$G$150)),RIGHT(AM$1,2))</f>
        <v>177</v>
      </c>
      <c r="AN21" s="16" cm="1">
        <f t="array" ref="AN21">INDEX(_xlfn.ANCHORARRAY(_xlfn.XLOOKUP($C21,'-ref_Distribution'!$B$146:$B$150,'-ref_Distribution'!$G$146:$G$150)),RIGHT(AN$1,2))</f>
        <v>146</v>
      </c>
      <c r="AO21" s="16" cm="1">
        <f t="array" ref="AO21">INDEX(_xlfn.ANCHORARRAY(_xlfn.XLOOKUP($C21,'-ref_Distribution'!$B$146:$B$150,'-ref_Distribution'!$G$146:$G$150)),RIGHT(AO$1,2))</f>
        <v>119</v>
      </c>
      <c r="AP21" s="16" cm="1">
        <f t="array" ref="AP21">INDEX(_xlfn.ANCHORARRAY(_xlfn.XLOOKUP($C21,'-ref_Distribution'!$B$146:$B$150,'-ref_Distribution'!$G$146:$G$150)),RIGHT(AP$1,2))</f>
        <v>96</v>
      </c>
      <c r="AQ21" s="16" cm="1">
        <f t="array" ref="AQ21">INDEX(_xlfn.ANCHORARRAY(_xlfn.XLOOKUP($C21,'-ref_Distribution'!$B$146:$B$150,'-ref_Distribution'!$G$146:$G$150)),RIGHT(AQ$1,2))</f>
        <v>76</v>
      </c>
      <c r="AR21" s="16" cm="1">
        <f t="array" ref="AR21">INDEX(_xlfn.ANCHORARRAY(_xlfn.XLOOKUP($C21,'-ref_Distribution'!$B$146:$B$150,'-ref_Distribution'!$G$146:$G$150)),RIGHT(AR$1,2))</f>
        <v>709</v>
      </c>
      <c r="AS21" s="16" cm="1">
        <f t="array" ref="AS21">INDEX(_xlfn.ANCHORARRAY(_xlfn.XLOOKUP($C21,'-ref_Distribution'!$B$146:$B$150,'-ref_Distribution'!$G$146:$G$150)),RIGHT(AS$1,2))</f>
        <v>705</v>
      </c>
      <c r="AT21" s="16" cm="1">
        <f t="array" ref="AT21">INDEX(_xlfn.ANCHORARRAY(_xlfn.XLOOKUP($C21,'-ref_Distribution'!$B$146:$B$150,'-ref_Distribution'!$G$146:$G$150)),RIGHT(AT$1,2))</f>
        <v>692</v>
      </c>
      <c r="AU21" s="16" cm="1">
        <f t="array" ref="AU21">INDEX(_xlfn.ANCHORARRAY(_xlfn.XLOOKUP($C21,'-ref_Distribution'!$B$146:$B$150,'-ref_Distribution'!$G$146:$G$150)),RIGHT(AU$1,2))</f>
        <v>671</v>
      </c>
      <c r="AV21" s="16" cm="1">
        <f t="array" ref="AV21">INDEX(_xlfn.ANCHORARRAY(_xlfn.XLOOKUP($C21,'-ref_Distribution'!$B$146:$B$150,'-ref_Distribution'!$G$146:$G$150)),RIGHT(AV$1,2))</f>
        <v>643</v>
      </c>
      <c r="AW21" s="16" cm="1">
        <f t="array" ref="AW21">INDEX(_xlfn.ANCHORARRAY(_xlfn.XLOOKUP($C21,'-ref_Distribution'!$B$146:$B$150,'-ref_Distribution'!$G$146:$G$150)),RIGHT(AW$1,2))</f>
        <v>608</v>
      </c>
      <c r="AX21" s="16" cm="1">
        <f t="array" ref="AX21">INDEX(_xlfn.ANCHORARRAY(_xlfn.XLOOKUP($C21,'-ref_Distribution'!$B$146:$B$150,'-ref_Distribution'!$G$146:$G$150)),RIGHT(AX$1,2))</f>
        <v>568</v>
      </c>
      <c r="AY21" s="16" cm="1">
        <f t="array" ref="AY21">INDEX(_xlfn.ANCHORARRAY(_xlfn.XLOOKUP($C21,'-ref_Distribution'!$B$146:$B$150,'-ref_Distribution'!$G$146:$G$150)),RIGHT(AY$1,2))</f>
        <v>524</v>
      </c>
      <c r="AZ21" s="16" cm="1">
        <f t="array" ref="AZ21">INDEX(_xlfn.ANCHORARRAY(_xlfn.XLOOKUP($C21,'-ref_Distribution'!$B$146:$B$150,'-ref_Distribution'!$G$146:$G$150)),RIGHT(AZ$1,2))</f>
        <v>478</v>
      </c>
      <c r="BA21" s="16" cm="1">
        <f t="array" ref="BA21">INDEX(_xlfn.ANCHORARRAY(_xlfn.XLOOKUP($C21,'-ref_Distribution'!$B$146:$B$150,'-ref_Distribution'!$G$146:$G$150)),RIGHT(BA$1,2))</f>
        <v>430</v>
      </c>
      <c r="BB21" s="16" cm="1">
        <f t="array" ref="BB21">INDEX(_xlfn.ANCHORARRAY(_xlfn.XLOOKUP($C21,'-ref_Distribution'!$B$146:$B$150,'-ref_Distribution'!$G$146:$G$150)),RIGHT(BB$1,2))</f>
        <v>383</v>
      </c>
      <c r="BC21" s="16" cm="1">
        <f t="array" ref="BC21">INDEX(_xlfn.ANCHORARRAY(_xlfn.XLOOKUP($C21,'-ref_Distribution'!$B$146:$B$150,'-ref_Distribution'!$G$146:$G$150)),RIGHT(BC$1,2))</f>
        <v>336</v>
      </c>
      <c r="BD21" s="16" cm="1">
        <f t="array" ref="BD21">INDEX(_xlfn.ANCHORARRAY(_xlfn.XLOOKUP($C21,'-ref_Distribution'!$B$146:$B$150,'-ref_Distribution'!$G$146:$G$150)),RIGHT(BD$1,2))</f>
        <v>292</v>
      </c>
      <c r="BE21" s="16" cm="1">
        <f t="array" ref="BE21">INDEX(_xlfn.ANCHORARRAY(_xlfn.XLOOKUP($C21,'-ref_Distribution'!$B$146:$B$150,'-ref_Distribution'!$G$146:$G$150)),RIGHT(BE$1,2))</f>
        <v>250</v>
      </c>
      <c r="BF21" s="16" cm="1">
        <f t="array" ref="BF21">INDEX(_xlfn.ANCHORARRAY(_xlfn.XLOOKUP($C21,'-ref_Distribution'!$B$146:$B$150,'-ref_Distribution'!$G$146:$G$150)),RIGHT(BF$1,2))</f>
        <v>212</v>
      </c>
      <c r="BG21" s="16" cm="1">
        <f t="array" ref="BG21">INDEX(_xlfn.ANCHORARRAY(_xlfn.XLOOKUP($C21,'-ref_Distribution'!$B$146:$B$150,'-ref_Distribution'!$G$146:$G$150)),RIGHT(BG$1,2))</f>
        <v>177</v>
      </c>
      <c r="BH21" s="16" cm="1">
        <f t="array" ref="BH21">INDEX(_xlfn.ANCHORARRAY(_xlfn.XLOOKUP($C21,'-ref_Distribution'!$B$146:$B$150,'-ref_Distribution'!$G$146:$G$150)),RIGHT(BH$1,2))</f>
        <v>146</v>
      </c>
      <c r="BI21" s="16" cm="1">
        <f t="array" ref="BI21">INDEX(_xlfn.ANCHORARRAY(_xlfn.XLOOKUP($C21,'-ref_Distribution'!$B$146:$B$150,'-ref_Distribution'!$G$146:$G$150)),RIGHT(BI$1,2))</f>
        <v>119</v>
      </c>
      <c r="BJ21" s="16" cm="1">
        <f t="array" ref="BJ21">INDEX(_xlfn.ANCHORARRAY(_xlfn.XLOOKUP($C21,'-ref_Distribution'!$B$146:$B$150,'-ref_Distribution'!$G$146:$G$150)),RIGHT(BJ$1,2))</f>
        <v>96</v>
      </c>
      <c r="BK21" s="16" cm="1">
        <f t="array" ref="BK21">INDEX(_xlfn.ANCHORARRAY(_xlfn.XLOOKUP($C21,'-ref_Distribution'!$B$146:$B$150,'-ref_Distribution'!$G$146:$G$150)),RIGHT(BK$1,2))</f>
        <v>76</v>
      </c>
      <c r="BL21" s="16" cm="1">
        <f t="array" ref="BL21">INDEX(_xlfn.ANCHORARRAY(_xlfn.XLOOKUP($C21,'-ref_Distribution'!$B$146:$B$150,'-ref_Distribution'!$G$146:$G$150)),RIGHT(BL$1,2))</f>
        <v>709</v>
      </c>
      <c r="BM21" s="16" cm="1">
        <f t="array" ref="BM21">INDEX(_xlfn.ANCHORARRAY(_xlfn.XLOOKUP($C21,'-ref_Distribution'!$B$146:$B$150,'-ref_Distribution'!$G$146:$G$150)),RIGHT(BM$1,2))</f>
        <v>705</v>
      </c>
      <c r="BN21" s="16" cm="1">
        <f t="array" ref="BN21">INDEX(_xlfn.ANCHORARRAY(_xlfn.XLOOKUP($C21,'-ref_Distribution'!$B$146:$B$150,'-ref_Distribution'!$G$146:$G$150)),RIGHT(BN$1,2))</f>
        <v>692</v>
      </c>
      <c r="BO21" s="16" cm="1">
        <f t="array" ref="BO21">INDEX(_xlfn.ANCHORARRAY(_xlfn.XLOOKUP($C21,'-ref_Distribution'!$B$146:$B$150,'-ref_Distribution'!$G$146:$G$150)),RIGHT(BO$1,2))</f>
        <v>671</v>
      </c>
      <c r="BP21" s="16" cm="1">
        <f t="array" ref="BP21">INDEX(_xlfn.ANCHORARRAY(_xlfn.XLOOKUP($C21,'-ref_Distribution'!$B$146:$B$150,'-ref_Distribution'!$G$146:$G$150)),RIGHT(BP$1,2))</f>
        <v>643</v>
      </c>
      <c r="BQ21" s="16" cm="1">
        <f t="array" ref="BQ21">INDEX(_xlfn.ANCHORARRAY(_xlfn.XLOOKUP($C21,'-ref_Distribution'!$B$146:$B$150,'-ref_Distribution'!$G$146:$G$150)),RIGHT(BQ$1,2))</f>
        <v>608</v>
      </c>
      <c r="BR21" s="16" cm="1">
        <f t="array" ref="BR21">INDEX(_xlfn.ANCHORARRAY(_xlfn.XLOOKUP($C21,'-ref_Distribution'!$B$146:$B$150,'-ref_Distribution'!$G$146:$G$150)),RIGHT(BR$1,2))</f>
        <v>568</v>
      </c>
      <c r="BS21" s="16" cm="1">
        <f t="array" ref="BS21">INDEX(_xlfn.ANCHORARRAY(_xlfn.XLOOKUP($C21,'-ref_Distribution'!$B$146:$B$150,'-ref_Distribution'!$G$146:$G$150)),RIGHT(BS$1,2))</f>
        <v>524</v>
      </c>
      <c r="BT21" s="16" cm="1">
        <f t="array" ref="BT21">INDEX(_xlfn.ANCHORARRAY(_xlfn.XLOOKUP($C21,'-ref_Distribution'!$B$146:$B$150,'-ref_Distribution'!$G$146:$G$150)),RIGHT(BT$1,2))</f>
        <v>478</v>
      </c>
      <c r="BU21" s="16" cm="1">
        <f t="array" ref="BU21">INDEX(_xlfn.ANCHORARRAY(_xlfn.XLOOKUP($C21,'-ref_Distribution'!$B$146:$B$150,'-ref_Distribution'!$G$146:$G$150)),RIGHT(BU$1,2))</f>
        <v>430</v>
      </c>
      <c r="BV21" s="16" cm="1">
        <f t="array" ref="BV21">INDEX(_xlfn.ANCHORARRAY(_xlfn.XLOOKUP($C21,'-ref_Distribution'!$B$146:$B$150,'-ref_Distribution'!$G$146:$G$150)),RIGHT(BV$1,2))</f>
        <v>383</v>
      </c>
      <c r="BW21" s="16" cm="1">
        <f t="array" ref="BW21">INDEX(_xlfn.ANCHORARRAY(_xlfn.XLOOKUP($C21,'-ref_Distribution'!$B$146:$B$150,'-ref_Distribution'!$G$146:$G$150)),RIGHT(BW$1,2))</f>
        <v>336</v>
      </c>
      <c r="BX21" s="16" cm="1">
        <f t="array" ref="BX21">INDEX(_xlfn.ANCHORARRAY(_xlfn.XLOOKUP($C21,'-ref_Distribution'!$B$146:$B$150,'-ref_Distribution'!$G$146:$G$150)),RIGHT(BX$1,2))</f>
        <v>292</v>
      </c>
      <c r="BY21" s="16" cm="1">
        <f t="array" ref="BY21">INDEX(_xlfn.ANCHORARRAY(_xlfn.XLOOKUP($C21,'-ref_Distribution'!$B$146:$B$150,'-ref_Distribution'!$G$146:$G$150)),RIGHT(BY$1,2))</f>
        <v>250</v>
      </c>
      <c r="BZ21" s="16" cm="1">
        <f t="array" ref="BZ21">INDEX(_xlfn.ANCHORARRAY(_xlfn.XLOOKUP($C21,'-ref_Distribution'!$B$146:$B$150,'-ref_Distribution'!$G$146:$G$150)),RIGHT(BZ$1,2))</f>
        <v>212</v>
      </c>
      <c r="CA21" s="16" cm="1">
        <f t="array" ref="CA21">INDEX(_xlfn.ANCHORARRAY(_xlfn.XLOOKUP($C21,'-ref_Distribution'!$B$146:$B$150,'-ref_Distribution'!$G$146:$G$150)),RIGHT(CA$1,2))</f>
        <v>177</v>
      </c>
      <c r="CB21" s="16" cm="1">
        <f t="array" ref="CB21">INDEX(_xlfn.ANCHORARRAY(_xlfn.XLOOKUP($C21,'-ref_Distribution'!$B$146:$B$150,'-ref_Distribution'!$G$146:$G$150)),RIGHT(CB$1,2))</f>
        <v>146</v>
      </c>
      <c r="CC21" s="16" cm="1">
        <f t="array" ref="CC21">INDEX(_xlfn.ANCHORARRAY(_xlfn.XLOOKUP($C21,'-ref_Distribution'!$B$146:$B$150,'-ref_Distribution'!$G$146:$G$150)),RIGHT(CC$1,2))</f>
        <v>119</v>
      </c>
      <c r="CD21" s="16" cm="1">
        <f t="array" ref="CD21">INDEX(_xlfn.ANCHORARRAY(_xlfn.XLOOKUP($C21,'-ref_Distribution'!$B$146:$B$150,'-ref_Distribution'!$G$146:$G$150)),RIGHT(CD$1,2))</f>
        <v>96</v>
      </c>
      <c r="CE21" s="16" cm="1">
        <f t="array" ref="CE21">INDEX(_xlfn.ANCHORARRAY(_xlfn.XLOOKUP($C21,'-ref_Distribution'!$B$146:$B$150,'-ref_Distribution'!$G$146:$G$150)),RIGHT(CE$1,2))</f>
        <v>76</v>
      </c>
    </row>
    <row r="22" spans="1:83" customFormat="1" x14ac:dyDescent="0.2">
      <c r="A22" s="16">
        <v>300082</v>
      </c>
      <c r="B22" s="16" t="s">
        <v>203</v>
      </c>
      <c r="C22" s="16">
        <v>1</v>
      </c>
      <c r="D22" s="16" cm="1">
        <f t="array" ref="D22">INDEX(_xlfn.ANCHORARRAY(_xlfn.XLOOKUP($C22,'-ref_Distribution'!$B$146:$B$150,'-ref_Distribution'!$G$146:$G$150)),RIGHT(D$1,2))</f>
        <v>337</v>
      </c>
      <c r="E22" s="16" cm="1">
        <f t="array" ref="E22">INDEX(_xlfn.ANCHORARRAY(_xlfn.XLOOKUP($C22,'-ref_Distribution'!$B$146:$B$150,'-ref_Distribution'!$G$146:$G$150)),RIGHT(E$1,2))</f>
        <v>364</v>
      </c>
      <c r="F22" s="16" cm="1">
        <f t="array" ref="F22">INDEX(_xlfn.ANCHORARRAY(_xlfn.XLOOKUP($C22,'-ref_Distribution'!$B$146:$B$150,'-ref_Distribution'!$G$146:$G$150)),RIGHT(F$1,2))</f>
        <v>386</v>
      </c>
      <c r="G22" s="16" cm="1">
        <f t="array" ref="G22">INDEX(_xlfn.ANCHORARRAY(_xlfn.XLOOKUP($C22,'-ref_Distribution'!$B$146:$B$150,'-ref_Distribution'!$G$146:$G$150)),RIGHT(G$1,2))</f>
        <v>403</v>
      </c>
      <c r="H22" s="16" cm="1">
        <f t="array" ref="H22">INDEX(_xlfn.ANCHORARRAY(_xlfn.XLOOKUP($C22,'-ref_Distribution'!$B$146:$B$150,'-ref_Distribution'!$G$146:$G$150)),RIGHT(H$1,2))</f>
        <v>414</v>
      </c>
      <c r="I22" s="16" cm="1">
        <f t="array" ref="I22">INDEX(_xlfn.ANCHORARRAY(_xlfn.XLOOKUP($C22,'-ref_Distribution'!$B$146:$B$150,'-ref_Distribution'!$G$146:$G$150)),RIGHT(I$1,2))</f>
        <v>417</v>
      </c>
      <c r="J22" s="16" cm="1">
        <f t="array" ref="J22">INDEX(_xlfn.ANCHORARRAY(_xlfn.XLOOKUP($C22,'-ref_Distribution'!$B$146:$B$150,'-ref_Distribution'!$G$146:$G$150)),RIGHT(J$1,2))</f>
        <v>414</v>
      </c>
      <c r="K22" s="16" cm="1">
        <f t="array" ref="K22">INDEX(_xlfn.ANCHORARRAY(_xlfn.XLOOKUP($C22,'-ref_Distribution'!$B$146:$B$150,'-ref_Distribution'!$G$146:$G$150)),RIGHT(K$1,2))</f>
        <v>403</v>
      </c>
      <c r="L22" s="16" cm="1">
        <f t="array" ref="L22">INDEX(_xlfn.ANCHORARRAY(_xlfn.XLOOKUP($C22,'-ref_Distribution'!$B$146:$B$150,'-ref_Distribution'!$G$146:$G$150)),RIGHT(L$1,2))</f>
        <v>386</v>
      </c>
      <c r="M22" s="16" cm="1">
        <f t="array" ref="M22">INDEX(_xlfn.ANCHORARRAY(_xlfn.XLOOKUP($C22,'-ref_Distribution'!$B$146:$B$150,'-ref_Distribution'!$G$146:$G$150)),RIGHT(M$1,2))</f>
        <v>364</v>
      </c>
      <c r="N22" s="16" cm="1">
        <f t="array" ref="N22">INDEX(_xlfn.ANCHORARRAY(_xlfn.XLOOKUP($C22,'-ref_Distribution'!$B$146:$B$150,'-ref_Distribution'!$G$146:$G$150)),RIGHT(N$1,2))</f>
        <v>337</v>
      </c>
      <c r="O22" s="16" cm="1">
        <f t="array" ref="O22">INDEX(_xlfn.ANCHORARRAY(_xlfn.XLOOKUP($C22,'-ref_Distribution'!$B$146:$B$150,'-ref_Distribution'!$G$146:$G$150)),RIGHT(O$1,2))</f>
        <v>307</v>
      </c>
      <c r="P22" s="16" cm="1">
        <f t="array" ref="P22">INDEX(_xlfn.ANCHORARRAY(_xlfn.XLOOKUP($C22,'-ref_Distribution'!$B$146:$B$150,'-ref_Distribution'!$G$146:$G$150)),RIGHT(P$1,2))</f>
        <v>274</v>
      </c>
      <c r="Q22" s="16" cm="1">
        <f t="array" ref="Q22">INDEX(_xlfn.ANCHORARRAY(_xlfn.XLOOKUP($C22,'-ref_Distribution'!$B$146:$B$150,'-ref_Distribution'!$G$146:$G$150)),RIGHT(Q$1,2))</f>
        <v>241</v>
      </c>
      <c r="R22" s="16" cm="1">
        <f t="array" ref="R22">INDEX(_xlfn.ANCHORARRAY(_xlfn.XLOOKUP($C22,'-ref_Distribution'!$B$146:$B$150,'-ref_Distribution'!$G$146:$G$150)),RIGHT(R$1,2))</f>
        <v>209</v>
      </c>
      <c r="S22" s="16" cm="1">
        <f t="array" ref="S22">INDEX(_xlfn.ANCHORARRAY(_xlfn.XLOOKUP($C22,'-ref_Distribution'!$B$146:$B$150,'-ref_Distribution'!$G$146:$G$150)),RIGHT(S$1,2))</f>
        <v>178</v>
      </c>
      <c r="T22" s="16" cm="1">
        <f t="array" ref="T22">INDEX(_xlfn.ANCHORARRAY(_xlfn.XLOOKUP($C22,'-ref_Distribution'!$B$146:$B$150,'-ref_Distribution'!$G$146:$G$150)),RIGHT(T$1,2))</f>
        <v>148</v>
      </c>
      <c r="U22" s="16" cm="1">
        <f t="array" ref="U22">INDEX(_xlfn.ANCHORARRAY(_xlfn.XLOOKUP($C22,'-ref_Distribution'!$B$146:$B$150,'-ref_Distribution'!$G$146:$G$150)),RIGHT(U$1,2))</f>
        <v>122</v>
      </c>
      <c r="V22" s="16" cm="1">
        <f t="array" ref="V22">INDEX(_xlfn.ANCHORARRAY(_xlfn.XLOOKUP($C22,'-ref_Distribution'!$B$146:$B$150,'-ref_Distribution'!$G$146:$G$150)),RIGHT(V$1,2))</f>
        <v>98</v>
      </c>
      <c r="W22" s="16" cm="1">
        <f t="array" ref="W22">INDEX(_xlfn.ANCHORARRAY(_xlfn.XLOOKUP($C22,'-ref_Distribution'!$B$146:$B$150,'-ref_Distribution'!$G$146:$G$150)),RIGHT(W$1,2))</f>
        <v>78</v>
      </c>
      <c r="X22" s="16" cm="1">
        <f t="array" ref="X22">INDEX(_xlfn.ANCHORARRAY(_xlfn.XLOOKUP($C22,'-ref_Distribution'!$B$146:$B$150,'-ref_Distribution'!$G$146:$G$150)),RIGHT(X$1,2))</f>
        <v>337</v>
      </c>
      <c r="Y22" s="16" cm="1">
        <f t="array" ref="Y22">INDEX(_xlfn.ANCHORARRAY(_xlfn.XLOOKUP($C22,'-ref_Distribution'!$B$146:$B$150,'-ref_Distribution'!$G$146:$G$150)),RIGHT(Y$1,2))</f>
        <v>364</v>
      </c>
      <c r="Z22" s="16" cm="1">
        <f t="array" ref="Z22">INDEX(_xlfn.ANCHORARRAY(_xlfn.XLOOKUP($C22,'-ref_Distribution'!$B$146:$B$150,'-ref_Distribution'!$G$146:$G$150)),RIGHT(Z$1,2))</f>
        <v>386</v>
      </c>
      <c r="AA22" s="16" cm="1">
        <f t="array" ref="AA22">INDEX(_xlfn.ANCHORARRAY(_xlfn.XLOOKUP($C22,'-ref_Distribution'!$B$146:$B$150,'-ref_Distribution'!$G$146:$G$150)),RIGHT(AA$1,2))</f>
        <v>403</v>
      </c>
      <c r="AB22" s="16" cm="1">
        <f t="array" ref="AB22">INDEX(_xlfn.ANCHORARRAY(_xlfn.XLOOKUP($C22,'-ref_Distribution'!$B$146:$B$150,'-ref_Distribution'!$G$146:$G$150)),RIGHT(AB$1,2))</f>
        <v>414</v>
      </c>
      <c r="AC22" s="16" cm="1">
        <f t="array" ref="AC22">INDEX(_xlfn.ANCHORARRAY(_xlfn.XLOOKUP($C22,'-ref_Distribution'!$B$146:$B$150,'-ref_Distribution'!$G$146:$G$150)),RIGHT(AC$1,2))</f>
        <v>417</v>
      </c>
      <c r="AD22" s="16" cm="1">
        <f t="array" ref="AD22">INDEX(_xlfn.ANCHORARRAY(_xlfn.XLOOKUP($C22,'-ref_Distribution'!$B$146:$B$150,'-ref_Distribution'!$G$146:$G$150)),RIGHT(AD$1,2))</f>
        <v>414</v>
      </c>
      <c r="AE22" s="16" cm="1">
        <f t="array" ref="AE22">INDEX(_xlfn.ANCHORARRAY(_xlfn.XLOOKUP($C22,'-ref_Distribution'!$B$146:$B$150,'-ref_Distribution'!$G$146:$G$150)),RIGHT(AE$1,2))</f>
        <v>403</v>
      </c>
      <c r="AF22" s="16" cm="1">
        <f t="array" ref="AF22">INDEX(_xlfn.ANCHORARRAY(_xlfn.XLOOKUP($C22,'-ref_Distribution'!$B$146:$B$150,'-ref_Distribution'!$G$146:$G$150)),RIGHT(AF$1,2))</f>
        <v>386</v>
      </c>
      <c r="AG22" s="16" cm="1">
        <f t="array" ref="AG22">INDEX(_xlfn.ANCHORARRAY(_xlfn.XLOOKUP($C22,'-ref_Distribution'!$B$146:$B$150,'-ref_Distribution'!$G$146:$G$150)),RIGHT(AG$1,2))</f>
        <v>364</v>
      </c>
      <c r="AH22" s="16" cm="1">
        <f t="array" ref="AH22">INDEX(_xlfn.ANCHORARRAY(_xlfn.XLOOKUP($C22,'-ref_Distribution'!$B$146:$B$150,'-ref_Distribution'!$G$146:$G$150)),RIGHT(AH$1,2))</f>
        <v>337</v>
      </c>
      <c r="AI22" s="16" cm="1">
        <f t="array" ref="AI22">INDEX(_xlfn.ANCHORARRAY(_xlfn.XLOOKUP($C22,'-ref_Distribution'!$B$146:$B$150,'-ref_Distribution'!$G$146:$G$150)),RIGHT(AI$1,2))</f>
        <v>307</v>
      </c>
      <c r="AJ22" s="16" cm="1">
        <f t="array" ref="AJ22">INDEX(_xlfn.ANCHORARRAY(_xlfn.XLOOKUP($C22,'-ref_Distribution'!$B$146:$B$150,'-ref_Distribution'!$G$146:$G$150)),RIGHT(AJ$1,2))</f>
        <v>274</v>
      </c>
      <c r="AK22" s="16" cm="1">
        <f t="array" ref="AK22">INDEX(_xlfn.ANCHORARRAY(_xlfn.XLOOKUP($C22,'-ref_Distribution'!$B$146:$B$150,'-ref_Distribution'!$G$146:$G$150)),RIGHT(AK$1,2))</f>
        <v>241</v>
      </c>
      <c r="AL22" s="16" cm="1">
        <f t="array" ref="AL22">INDEX(_xlfn.ANCHORARRAY(_xlfn.XLOOKUP($C22,'-ref_Distribution'!$B$146:$B$150,'-ref_Distribution'!$G$146:$G$150)),RIGHT(AL$1,2))</f>
        <v>209</v>
      </c>
      <c r="AM22" s="16" cm="1">
        <f t="array" ref="AM22">INDEX(_xlfn.ANCHORARRAY(_xlfn.XLOOKUP($C22,'-ref_Distribution'!$B$146:$B$150,'-ref_Distribution'!$G$146:$G$150)),RIGHT(AM$1,2))</f>
        <v>178</v>
      </c>
      <c r="AN22" s="16" cm="1">
        <f t="array" ref="AN22">INDEX(_xlfn.ANCHORARRAY(_xlfn.XLOOKUP($C22,'-ref_Distribution'!$B$146:$B$150,'-ref_Distribution'!$G$146:$G$150)),RIGHT(AN$1,2))</f>
        <v>148</v>
      </c>
      <c r="AO22" s="16" cm="1">
        <f t="array" ref="AO22">INDEX(_xlfn.ANCHORARRAY(_xlfn.XLOOKUP($C22,'-ref_Distribution'!$B$146:$B$150,'-ref_Distribution'!$G$146:$G$150)),RIGHT(AO$1,2))</f>
        <v>122</v>
      </c>
      <c r="AP22" s="16" cm="1">
        <f t="array" ref="AP22">INDEX(_xlfn.ANCHORARRAY(_xlfn.XLOOKUP($C22,'-ref_Distribution'!$B$146:$B$150,'-ref_Distribution'!$G$146:$G$150)),RIGHT(AP$1,2))</f>
        <v>98</v>
      </c>
      <c r="AQ22" s="16" cm="1">
        <f t="array" ref="AQ22">INDEX(_xlfn.ANCHORARRAY(_xlfn.XLOOKUP($C22,'-ref_Distribution'!$B$146:$B$150,'-ref_Distribution'!$G$146:$G$150)),RIGHT(AQ$1,2))</f>
        <v>78</v>
      </c>
      <c r="AR22" s="16" cm="1">
        <f t="array" ref="AR22">INDEX(_xlfn.ANCHORARRAY(_xlfn.XLOOKUP($C22,'-ref_Distribution'!$B$146:$B$150,'-ref_Distribution'!$G$146:$G$150)),RIGHT(AR$1,2))</f>
        <v>337</v>
      </c>
      <c r="AS22" s="16" cm="1">
        <f t="array" ref="AS22">INDEX(_xlfn.ANCHORARRAY(_xlfn.XLOOKUP($C22,'-ref_Distribution'!$B$146:$B$150,'-ref_Distribution'!$G$146:$G$150)),RIGHT(AS$1,2))</f>
        <v>364</v>
      </c>
      <c r="AT22" s="16" cm="1">
        <f t="array" ref="AT22">INDEX(_xlfn.ANCHORARRAY(_xlfn.XLOOKUP($C22,'-ref_Distribution'!$B$146:$B$150,'-ref_Distribution'!$G$146:$G$150)),RIGHT(AT$1,2))</f>
        <v>386</v>
      </c>
      <c r="AU22" s="16" cm="1">
        <f t="array" ref="AU22">INDEX(_xlfn.ANCHORARRAY(_xlfn.XLOOKUP($C22,'-ref_Distribution'!$B$146:$B$150,'-ref_Distribution'!$G$146:$G$150)),RIGHT(AU$1,2))</f>
        <v>403</v>
      </c>
      <c r="AV22" s="16" cm="1">
        <f t="array" ref="AV22">INDEX(_xlfn.ANCHORARRAY(_xlfn.XLOOKUP($C22,'-ref_Distribution'!$B$146:$B$150,'-ref_Distribution'!$G$146:$G$150)),RIGHT(AV$1,2))</f>
        <v>414</v>
      </c>
      <c r="AW22" s="16" cm="1">
        <f t="array" ref="AW22">INDEX(_xlfn.ANCHORARRAY(_xlfn.XLOOKUP($C22,'-ref_Distribution'!$B$146:$B$150,'-ref_Distribution'!$G$146:$G$150)),RIGHT(AW$1,2))</f>
        <v>417</v>
      </c>
      <c r="AX22" s="16" cm="1">
        <f t="array" ref="AX22">INDEX(_xlfn.ANCHORARRAY(_xlfn.XLOOKUP($C22,'-ref_Distribution'!$B$146:$B$150,'-ref_Distribution'!$G$146:$G$150)),RIGHT(AX$1,2))</f>
        <v>414</v>
      </c>
      <c r="AY22" s="16" cm="1">
        <f t="array" ref="AY22">INDEX(_xlfn.ANCHORARRAY(_xlfn.XLOOKUP($C22,'-ref_Distribution'!$B$146:$B$150,'-ref_Distribution'!$G$146:$G$150)),RIGHT(AY$1,2))</f>
        <v>403</v>
      </c>
      <c r="AZ22" s="16" cm="1">
        <f t="array" ref="AZ22">INDEX(_xlfn.ANCHORARRAY(_xlfn.XLOOKUP($C22,'-ref_Distribution'!$B$146:$B$150,'-ref_Distribution'!$G$146:$G$150)),RIGHT(AZ$1,2))</f>
        <v>386</v>
      </c>
      <c r="BA22" s="16" cm="1">
        <f t="array" ref="BA22">INDEX(_xlfn.ANCHORARRAY(_xlfn.XLOOKUP($C22,'-ref_Distribution'!$B$146:$B$150,'-ref_Distribution'!$G$146:$G$150)),RIGHT(BA$1,2))</f>
        <v>364</v>
      </c>
      <c r="BB22" s="16" cm="1">
        <f t="array" ref="BB22">INDEX(_xlfn.ANCHORARRAY(_xlfn.XLOOKUP($C22,'-ref_Distribution'!$B$146:$B$150,'-ref_Distribution'!$G$146:$G$150)),RIGHT(BB$1,2))</f>
        <v>337</v>
      </c>
      <c r="BC22" s="16" cm="1">
        <f t="array" ref="BC22">INDEX(_xlfn.ANCHORARRAY(_xlfn.XLOOKUP($C22,'-ref_Distribution'!$B$146:$B$150,'-ref_Distribution'!$G$146:$G$150)),RIGHT(BC$1,2))</f>
        <v>307</v>
      </c>
      <c r="BD22" s="16" cm="1">
        <f t="array" ref="BD22">INDEX(_xlfn.ANCHORARRAY(_xlfn.XLOOKUP($C22,'-ref_Distribution'!$B$146:$B$150,'-ref_Distribution'!$G$146:$G$150)),RIGHT(BD$1,2))</f>
        <v>274</v>
      </c>
      <c r="BE22" s="16" cm="1">
        <f t="array" ref="BE22">INDEX(_xlfn.ANCHORARRAY(_xlfn.XLOOKUP($C22,'-ref_Distribution'!$B$146:$B$150,'-ref_Distribution'!$G$146:$G$150)),RIGHT(BE$1,2))</f>
        <v>241</v>
      </c>
      <c r="BF22" s="16" cm="1">
        <f t="array" ref="BF22">INDEX(_xlfn.ANCHORARRAY(_xlfn.XLOOKUP($C22,'-ref_Distribution'!$B$146:$B$150,'-ref_Distribution'!$G$146:$G$150)),RIGHT(BF$1,2))</f>
        <v>209</v>
      </c>
      <c r="BG22" s="16" cm="1">
        <f t="array" ref="BG22">INDEX(_xlfn.ANCHORARRAY(_xlfn.XLOOKUP($C22,'-ref_Distribution'!$B$146:$B$150,'-ref_Distribution'!$G$146:$G$150)),RIGHT(BG$1,2))</f>
        <v>178</v>
      </c>
      <c r="BH22" s="16" cm="1">
        <f t="array" ref="BH22">INDEX(_xlfn.ANCHORARRAY(_xlfn.XLOOKUP($C22,'-ref_Distribution'!$B$146:$B$150,'-ref_Distribution'!$G$146:$G$150)),RIGHT(BH$1,2))</f>
        <v>148</v>
      </c>
      <c r="BI22" s="16" cm="1">
        <f t="array" ref="BI22">INDEX(_xlfn.ANCHORARRAY(_xlfn.XLOOKUP($C22,'-ref_Distribution'!$B$146:$B$150,'-ref_Distribution'!$G$146:$G$150)),RIGHT(BI$1,2))</f>
        <v>122</v>
      </c>
      <c r="BJ22" s="16" cm="1">
        <f t="array" ref="BJ22">INDEX(_xlfn.ANCHORARRAY(_xlfn.XLOOKUP($C22,'-ref_Distribution'!$B$146:$B$150,'-ref_Distribution'!$G$146:$G$150)),RIGHT(BJ$1,2))</f>
        <v>98</v>
      </c>
      <c r="BK22" s="16" cm="1">
        <f t="array" ref="BK22">INDEX(_xlfn.ANCHORARRAY(_xlfn.XLOOKUP($C22,'-ref_Distribution'!$B$146:$B$150,'-ref_Distribution'!$G$146:$G$150)),RIGHT(BK$1,2))</f>
        <v>78</v>
      </c>
      <c r="BL22" s="16" cm="1">
        <f t="array" ref="BL22">INDEX(_xlfn.ANCHORARRAY(_xlfn.XLOOKUP($C22,'-ref_Distribution'!$B$146:$B$150,'-ref_Distribution'!$G$146:$G$150)),RIGHT(BL$1,2))</f>
        <v>337</v>
      </c>
      <c r="BM22" s="16" cm="1">
        <f t="array" ref="BM22">INDEX(_xlfn.ANCHORARRAY(_xlfn.XLOOKUP($C22,'-ref_Distribution'!$B$146:$B$150,'-ref_Distribution'!$G$146:$G$150)),RIGHT(BM$1,2))</f>
        <v>364</v>
      </c>
      <c r="BN22" s="16" cm="1">
        <f t="array" ref="BN22">INDEX(_xlfn.ANCHORARRAY(_xlfn.XLOOKUP($C22,'-ref_Distribution'!$B$146:$B$150,'-ref_Distribution'!$G$146:$G$150)),RIGHT(BN$1,2))</f>
        <v>386</v>
      </c>
      <c r="BO22" s="16" cm="1">
        <f t="array" ref="BO22">INDEX(_xlfn.ANCHORARRAY(_xlfn.XLOOKUP($C22,'-ref_Distribution'!$B$146:$B$150,'-ref_Distribution'!$G$146:$G$150)),RIGHT(BO$1,2))</f>
        <v>403</v>
      </c>
      <c r="BP22" s="16" cm="1">
        <f t="array" ref="BP22">INDEX(_xlfn.ANCHORARRAY(_xlfn.XLOOKUP($C22,'-ref_Distribution'!$B$146:$B$150,'-ref_Distribution'!$G$146:$G$150)),RIGHT(BP$1,2))</f>
        <v>414</v>
      </c>
      <c r="BQ22" s="16" cm="1">
        <f t="array" ref="BQ22">INDEX(_xlfn.ANCHORARRAY(_xlfn.XLOOKUP($C22,'-ref_Distribution'!$B$146:$B$150,'-ref_Distribution'!$G$146:$G$150)),RIGHT(BQ$1,2))</f>
        <v>417</v>
      </c>
      <c r="BR22" s="16" cm="1">
        <f t="array" ref="BR22">INDEX(_xlfn.ANCHORARRAY(_xlfn.XLOOKUP($C22,'-ref_Distribution'!$B$146:$B$150,'-ref_Distribution'!$G$146:$G$150)),RIGHT(BR$1,2))</f>
        <v>414</v>
      </c>
      <c r="BS22" s="16" cm="1">
        <f t="array" ref="BS22">INDEX(_xlfn.ANCHORARRAY(_xlfn.XLOOKUP($C22,'-ref_Distribution'!$B$146:$B$150,'-ref_Distribution'!$G$146:$G$150)),RIGHT(BS$1,2))</f>
        <v>403</v>
      </c>
      <c r="BT22" s="16" cm="1">
        <f t="array" ref="BT22">INDEX(_xlfn.ANCHORARRAY(_xlfn.XLOOKUP($C22,'-ref_Distribution'!$B$146:$B$150,'-ref_Distribution'!$G$146:$G$150)),RIGHT(BT$1,2))</f>
        <v>386</v>
      </c>
      <c r="BU22" s="16" cm="1">
        <f t="array" ref="BU22">INDEX(_xlfn.ANCHORARRAY(_xlfn.XLOOKUP($C22,'-ref_Distribution'!$B$146:$B$150,'-ref_Distribution'!$G$146:$G$150)),RIGHT(BU$1,2))</f>
        <v>364</v>
      </c>
      <c r="BV22" s="16" cm="1">
        <f t="array" ref="BV22">INDEX(_xlfn.ANCHORARRAY(_xlfn.XLOOKUP($C22,'-ref_Distribution'!$B$146:$B$150,'-ref_Distribution'!$G$146:$G$150)),RIGHT(BV$1,2))</f>
        <v>337</v>
      </c>
      <c r="BW22" s="16" cm="1">
        <f t="array" ref="BW22">INDEX(_xlfn.ANCHORARRAY(_xlfn.XLOOKUP($C22,'-ref_Distribution'!$B$146:$B$150,'-ref_Distribution'!$G$146:$G$150)),RIGHT(BW$1,2))</f>
        <v>307</v>
      </c>
      <c r="BX22" s="16" cm="1">
        <f t="array" ref="BX22">INDEX(_xlfn.ANCHORARRAY(_xlfn.XLOOKUP($C22,'-ref_Distribution'!$B$146:$B$150,'-ref_Distribution'!$G$146:$G$150)),RIGHT(BX$1,2))</f>
        <v>274</v>
      </c>
      <c r="BY22" s="16" cm="1">
        <f t="array" ref="BY22">INDEX(_xlfn.ANCHORARRAY(_xlfn.XLOOKUP($C22,'-ref_Distribution'!$B$146:$B$150,'-ref_Distribution'!$G$146:$G$150)),RIGHT(BY$1,2))</f>
        <v>241</v>
      </c>
      <c r="BZ22" s="16" cm="1">
        <f t="array" ref="BZ22">INDEX(_xlfn.ANCHORARRAY(_xlfn.XLOOKUP($C22,'-ref_Distribution'!$B$146:$B$150,'-ref_Distribution'!$G$146:$G$150)),RIGHT(BZ$1,2))</f>
        <v>209</v>
      </c>
      <c r="CA22" s="16" cm="1">
        <f t="array" ref="CA22">INDEX(_xlfn.ANCHORARRAY(_xlfn.XLOOKUP($C22,'-ref_Distribution'!$B$146:$B$150,'-ref_Distribution'!$G$146:$G$150)),RIGHT(CA$1,2))</f>
        <v>178</v>
      </c>
      <c r="CB22" s="16" cm="1">
        <f t="array" ref="CB22">INDEX(_xlfn.ANCHORARRAY(_xlfn.XLOOKUP($C22,'-ref_Distribution'!$B$146:$B$150,'-ref_Distribution'!$G$146:$G$150)),RIGHT(CB$1,2))</f>
        <v>148</v>
      </c>
      <c r="CC22" s="16" cm="1">
        <f t="array" ref="CC22">INDEX(_xlfn.ANCHORARRAY(_xlfn.XLOOKUP($C22,'-ref_Distribution'!$B$146:$B$150,'-ref_Distribution'!$G$146:$G$150)),RIGHT(CC$1,2))</f>
        <v>122</v>
      </c>
      <c r="CD22" s="16" cm="1">
        <f t="array" ref="CD22">INDEX(_xlfn.ANCHORARRAY(_xlfn.XLOOKUP($C22,'-ref_Distribution'!$B$146:$B$150,'-ref_Distribution'!$G$146:$G$150)),RIGHT(CD$1,2))</f>
        <v>98</v>
      </c>
      <c r="CE22" s="16" cm="1">
        <f t="array" ref="CE22">INDEX(_xlfn.ANCHORARRAY(_xlfn.XLOOKUP($C22,'-ref_Distribution'!$B$146:$B$150,'-ref_Distribution'!$G$146:$G$150)),RIGHT(CE$1,2))</f>
        <v>78</v>
      </c>
    </row>
    <row r="23" spans="1:83" customFormat="1" x14ac:dyDescent="0.2">
      <c r="A23" s="16">
        <v>300083</v>
      </c>
      <c r="B23" s="16" t="s">
        <v>203</v>
      </c>
      <c r="C23" s="16">
        <v>2</v>
      </c>
      <c r="D23" s="16" cm="1">
        <f t="array" ref="D23">INDEX(_xlfn.ANCHORARRAY(_xlfn.XLOOKUP($C23,'-ref_Distribution'!$B$146:$B$150,'-ref_Distribution'!$G$146:$G$150)),RIGHT(D$1,2))</f>
        <v>75</v>
      </c>
      <c r="E23" s="16" cm="1">
        <f t="array" ref="E23">INDEX(_xlfn.ANCHORARRAY(_xlfn.XLOOKUP($C23,'-ref_Distribution'!$B$146:$B$150,'-ref_Distribution'!$G$146:$G$150)),RIGHT(E$1,2))</f>
        <v>94</v>
      </c>
      <c r="F23" s="16" cm="1">
        <f t="array" ref="F23">INDEX(_xlfn.ANCHORARRAY(_xlfn.XLOOKUP($C23,'-ref_Distribution'!$B$146:$B$150,'-ref_Distribution'!$G$146:$G$150)),RIGHT(F$1,2))</f>
        <v>115</v>
      </c>
      <c r="G23" s="16" cm="1">
        <f t="array" ref="G23">INDEX(_xlfn.ANCHORARRAY(_xlfn.XLOOKUP($C23,'-ref_Distribution'!$B$146:$B$150,'-ref_Distribution'!$G$146:$G$150)),RIGHT(G$1,2))</f>
        <v>137</v>
      </c>
      <c r="H23" s="16" cm="1">
        <f t="array" ref="H23">INDEX(_xlfn.ANCHORARRAY(_xlfn.XLOOKUP($C23,'-ref_Distribution'!$B$146:$B$150,'-ref_Distribution'!$G$146:$G$150)),RIGHT(H$1,2))</f>
        <v>160</v>
      </c>
      <c r="I23" s="16" cm="1">
        <f t="array" ref="I23">INDEX(_xlfn.ANCHORARRAY(_xlfn.XLOOKUP($C23,'-ref_Distribution'!$B$146:$B$150,'-ref_Distribution'!$G$146:$G$150)),RIGHT(I$1,2))</f>
        <v>183</v>
      </c>
      <c r="J23" s="16" cm="1">
        <f t="array" ref="J23">INDEX(_xlfn.ANCHORARRAY(_xlfn.XLOOKUP($C23,'-ref_Distribution'!$B$146:$B$150,'-ref_Distribution'!$G$146:$G$150)),RIGHT(J$1,2))</f>
        <v>203</v>
      </c>
      <c r="K23" s="16" cm="1">
        <f t="array" ref="K23">INDEX(_xlfn.ANCHORARRAY(_xlfn.XLOOKUP($C23,'-ref_Distribution'!$B$146:$B$150,'-ref_Distribution'!$G$146:$G$150)),RIGHT(K$1,2))</f>
        <v>221</v>
      </c>
      <c r="L23" s="16" cm="1">
        <f t="array" ref="L23">INDEX(_xlfn.ANCHORARRAY(_xlfn.XLOOKUP($C23,'-ref_Distribution'!$B$146:$B$150,'-ref_Distribution'!$G$146:$G$150)),RIGHT(L$1,2))</f>
        <v>234</v>
      </c>
      <c r="M23" s="16" cm="1">
        <f t="array" ref="M23">INDEX(_xlfn.ANCHORARRAY(_xlfn.XLOOKUP($C23,'-ref_Distribution'!$B$146:$B$150,'-ref_Distribution'!$G$146:$G$150)),RIGHT(M$1,2))</f>
        <v>243</v>
      </c>
      <c r="N23" s="16" cm="1">
        <f t="array" ref="N23">INDEX(_xlfn.ANCHORARRAY(_xlfn.XLOOKUP($C23,'-ref_Distribution'!$B$146:$B$150,'-ref_Distribution'!$G$146:$G$150)),RIGHT(N$1,2))</f>
        <v>245</v>
      </c>
      <c r="O23" s="16" cm="1">
        <f t="array" ref="O23">INDEX(_xlfn.ANCHORARRAY(_xlfn.XLOOKUP($C23,'-ref_Distribution'!$B$146:$B$150,'-ref_Distribution'!$G$146:$G$150)),RIGHT(O$1,2))</f>
        <v>243</v>
      </c>
      <c r="P23" s="16" cm="1">
        <f t="array" ref="P23">INDEX(_xlfn.ANCHORARRAY(_xlfn.XLOOKUP($C23,'-ref_Distribution'!$B$146:$B$150,'-ref_Distribution'!$G$146:$G$150)),RIGHT(P$1,2))</f>
        <v>234</v>
      </c>
      <c r="Q23" s="16" cm="1">
        <f t="array" ref="Q23">INDEX(_xlfn.ANCHORARRAY(_xlfn.XLOOKUP($C23,'-ref_Distribution'!$B$146:$B$150,'-ref_Distribution'!$G$146:$G$150)),RIGHT(Q$1,2))</f>
        <v>221</v>
      </c>
      <c r="R23" s="16" cm="1">
        <f t="array" ref="R23">INDEX(_xlfn.ANCHORARRAY(_xlfn.XLOOKUP($C23,'-ref_Distribution'!$B$146:$B$150,'-ref_Distribution'!$G$146:$G$150)),RIGHT(R$1,2))</f>
        <v>203</v>
      </c>
      <c r="S23" s="16" cm="1">
        <f t="array" ref="S23">INDEX(_xlfn.ANCHORARRAY(_xlfn.XLOOKUP($C23,'-ref_Distribution'!$B$146:$B$150,'-ref_Distribution'!$G$146:$G$150)),RIGHT(S$1,2))</f>
        <v>183</v>
      </c>
      <c r="T23" s="16" cm="1">
        <f t="array" ref="T23">INDEX(_xlfn.ANCHORARRAY(_xlfn.XLOOKUP($C23,'-ref_Distribution'!$B$146:$B$150,'-ref_Distribution'!$G$146:$G$150)),RIGHT(T$1,2))</f>
        <v>160</v>
      </c>
      <c r="U23" s="16" cm="1">
        <f t="array" ref="U23">INDEX(_xlfn.ANCHORARRAY(_xlfn.XLOOKUP($C23,'-ref_Distribution'!$B$146:$B$150,'-ref_Distribution'!$G$146:$G$150)),RIGHT(U$1,2))</f>
        <v>137</v>
      </c>
      <c r="V23" s="16" cm="1">
        <f t="array" ref="V23">INDEX(_xlfn.ANCHORARRAY(_xlfn.XLOOKUP($C23,'-ref_Distribution'!$B$146:$B$150,'-ref_Distribution'!$G$146:$G$150)),RIGHT(V$1,2))</f>
        <v>115</v>
      </c>
      <c r="W23" s="16" cm="1">
        <f t="array" ref="W23">INDEX(_xlfn.ANCHORARRAY(_xlfn.XLOOKUP($C23,'-ref_Distribution'!$B$146:$B$150,'-ref_Distribution'!$G$146:$G$150)),RIGHT(W$1,2))</f>
        <v>94</v>
      </c>
      <c r="X23" s="16" cm="1">
        <f t="array" ref="X23">INDEX(_xlfn.ANCHORARRAY(_xlfn.XLOOKUP($C23,'-ref_Distribution'!$B$146:$B$150,'-ref_Distribution'!$G$146:$G$150)),RIGHT(X$1,2))</f>
        <v>75</v>
      </c>
      <c r="Y23" s="16" cm="1">
        <f t="array" ref="Y23">INDEX(_xlfn.ANCHORARRAY(_xlfn.XLOOKUP($C23,'-ref_Distribution'!$B$146:$B$150,'-ref_Distribution'!$G$146:$G$150)),RIGHT(Y$1,2))</f>
        <v>94</v>
      </c>
      <c r="Z23" s="16" cm="1">
        <f t="array" ref="Z23">INDEX(_xlfn.ANCHORARRAY(_xlfn.XLOOKUP($C23,'-ref_Distribution'!$B$146:$B$150,'-ref_Distribution'!$G$146:$G$150)),RIGHT(Z$1,2))</f>
        <v>115</v>
      </c>
      <c r="AA23" s="16" cm="1">
        <f t="array" ref="AA23">INDEX(_xlfn.ANCHORARRAY(_xlfn.XLOOKUP($C23,'-ref_Distribution'!$B$146:$B$150,'-ref_Distribution'!$G$146:$G$150)),RIGHT(AA$1,2))</f>
        <v>137</v>
      </c>
      <c r="AB23" s="16" cm="1">
        <f t="array" ref="AB23">INDEX(_xlfn.ANCHORARRAY(_xlfn.XLOOKUP($C23,'-ref_Distribution'!$B$146:$B$150,'-ref_Distribution'!$G$146:$G$150)),RIGHT(AB$1,2))</f>
        <v>160</v>
      </c>
      <c r="AC23" s="16" cm="1">
        <f t="array" ref="AC23">INDEX(_xlfn.ANCHORARRAY(_xlfn.XLOOKUP($C23,'-ref_Distribution'!$B$146:$B$150,'-ref_Distribution'!$G$146:$G$150)),RIGHT(AC$1,2))</f>
        <v>183</v>
      </c>
      <c r="AD23" s="16" cm="1">
        <f t="array" ref="AD23">INDEX(_xlfn.ANCHORARRAY(_xlfn.XLOOKUP($C23,'-ref_Distribution'!$B$146:$B$150,'-ref_Distribution'!$G$146:$G$150)),RIGHT(AD$1,2))</f>
        <v>203</v>
      </c>
      <c r="AE23" s="16" cm="1">
        <f t="array" ref="AE23">INDEX(_xlfn.ANCHORARRAY(_xlfn.XLOOKUP($C23,'-ref_Distribution'!$B$146:$B$150,'-ref_Distribution'!$G$146:$G$150)),RIGHT(AE$1,2))</f>
        <v>221</v>
      </c>
      <c r="AF23" s="16" cm="1">
        <f t="array" ref="AF23">INDEX(_xlfn.ANCHORARRAY(_xlfn.XLOOKUP($C23,'-ref_Distribution'!$B$146:$B$150,'-ref_Distribution'!$G$146:$G$150)),RIGHT(AF$1,2))</f>
        <v>234</v>
      </c>
      <c r="AG23" s="16" cm="1">
        <f t="array" ref="AG23">INDEX(_xlfn.ANCHORARRAY(_xlfn.XLOOKUP($C23,'-ref_Distribution'!$B$146:$B$150,'-ref_Distribution'!$G$146:$G$150)),RIGHT(AG$1,2))</f>
        <v>243</v>
      </c>
      <c r="AH23" s="16" cm="1">
        <f t="array" ref="AH23">INDEX(_xlfn.ANCHORARRAY(_xlfn.XLOOKUP($C23,'-ref_Distribution'!$B$146:$B$150,'-ref_Distribution'!$G$146:$G$150)),RIGHT(AH$1,2))</f>
        <v>245</v>
      </c>
      <c r="AI23" s="16" cm="1">
        <f t="array" ref="AI23">INDEX(_xlfn.ANCHORARRAY(_xlfn.XLOOKUP($C23,'-ref_Distribution'!$B$146:$B$150,'-ref_Distribution'!$G$146:$G$150)),RIGHT(AI$1,2))</f>
        <v>243</v>
      </c>
      <c r="AJ23" s="16" cm="1">
        <f t="array" ref="AJ23">INDEX(_xlfn.ANCHORARRAY(_xlfn.XLOOKUP($C23,'-ref_Distribution'!$B$146:$B$150,'-ref_Distribution'!$G$146:$G$150)),RIGHT(AJ$1,2))</f>
        <v>234</v>
      </c>
      <c r="AK23" s="16" cm="1">
        <f t="array" ref="AK23">INDEX(_xlfn.ANCHORARRAY(_xlfn.XLOOKUP($C23,'-ref_Distribution'!$B$146:$B$150,'-ref_Distribution'!$G$146:$G$150)),RIGHT(AK$1,2))</f>
        <v>221</v>
      </c>
      <c r="AL23" s="16" cm="1">
        <f t="array" ref="AL23">INDEX(_xlfn.ANCHORARRAY(_xlfn.XLOOKUP($C23,'-ref_Distribution'!$B$146:$B$150,'-ref_Distribution'!$G$146:$G$150)),RIGHT(AL$1,2))</f>
        <v>203</v>
      </c>
      <c r="AM23" s="16" cm="1">
        <f t="array" ref="AM23">INDEX(_xlfn.ANCHORARRAY(_xlfn.XLOOKUP($C23,'-ref_Distribution'!$B$146:$B$150,'-ref_Distribution'!$G$146:$G$150)),RIGHT(AM$1,2))</f>
        <v>183</v>
      </c>
      <c r="AN23" s="16" cm="1">
        <f t="array" ref="AN23">INDEX(_xlfn.ANCHORARRAY(_xlfn.XLOOKUP($C23,'-ref_Distribution'!$B$146:$B$150,'-ref_Distribution'!$G$146:$G$150)),RIGHT(AN$1,2))</f>
        <v>160</v>
      </c>
      <c r="AO23" s="16" cm="1">
        <f t="array" ref="AO23">INDEX(_xlfn.ANCHORARRAY(_xlfn.XLOOKUP($C23,'-ref_Distribution'!$B$146:$B$150,'-ref_Distribution'!$G$146:$G$150)),RIGHT(AO$1,2))</f>
        <v>137</v>
      </c>
      <c r="AP23" s="16" cm="1">
        <f t="array" ref="AP23">INDEX(_xlfn.ANCHORARRAY(_xlfn.XLOOKUP($C23,'-ref_Distribution'!$B$146:$B$150,'-ref_Distribution'!$G$146:$G$150)),RIGHT(AP$1,2))</f>
        <v>115</v>
      </c>
      <c r="AQ23" s="16" cm="1">
        <f t="array" ref="AQ23">INDEX(_xlfn.ANCHORARRAY(_xlfn.XLOOKUP($C23,'-ref_Distribution'!$B$146:$B$150,'-ref_Distribution'!$G$146:$G$150)),RIGHT(AQ$1,2))</f>
        <v>94</v>
      </c>
      <c r="AR23" s="16" cm="1">
        <f t="array" ref="AR23">INDEX(_xlfn.ANCHORARRAY(_xlfn.XLOOKUP($C23,'-ref_Distribution'!$B$146:$B$150,'-ref_Distribution'!$G$146:$G$150)),RIGHT(AR$1,2))</f>
        <v>75</v>
      </c>
      <c r="AS23" s="16" cm="1">
        <f t="array" ref="AS23">INDEX(_xlfn.ANCHORARRAY(_xlfn.XLOOKUP($C23,'-ref_Distribution'!$B$146:$B$150,'-ref_Distribution'!$G$146:$G$150)),RIGHT(AS$1,2))</f>
        <v>94</v>
      </c>
      <c r="AT23" s="16" cm="1">
        <f t="array" ref="AT23">INDEX(_xlfn.ANCHORARRAY(_xlfn.XLOOKUP($C23,'-ref_Distribution'!$B$146:$B$150,'-ref_Distribution'!$G$146:$G$150)),RIGHT(AT$1,2))</f>
        <v>115</v>
      </c>
      <c r="AU23" s="16" cm="1">
        <f t="array" ref="AU23">INDEX(_xlfn.ANCHORARRAY(_xlfn.XLOOKUP($C23,'-ref_Distribution'!$B$146:$B$150,'-ref_Distribution'!$G$146:$G$150)),RIGHT(AU$1,2))</f>
        <v>137</v>
      </c>
      <c r="AV23" s="16" cm="1">
        <f t="array" ref="AV23">INDEX(_xlfn.ANCHORARRAY(_xlfn.XLOOKUP($C23,'-ref_Distribution'!$B$146:$B$150,'-ref_Distribution'!$G$146:$G$150)),RIGHT(AV$1,2))</f>
        <v>160</v>
      </c>
      <c r="AW23" s="16" cm="1">
        <f t="array" ref="AW23">INDEX(_xlfn.ANCHORARRAY(_xlfn.XLOOKUP($C23,'-ref_Distribution'!$B$146:$B$150,'-ref_Distribution'!$G$146:$G$150)),RIGHT(AW$1,2))</f>
        <v>183</v>
      </c>
      <c r="AX23" s="16" cm="1">
        <f t="array" ref="AX23">INDEX(_xlfn.ANCHORARRAY(_xlfn.XLOOKUP($C23,'-ref_Distribution'!$B$146:$B$150,'-ref_Distribution'!$G$146:$G$150)),RIGHT(AX$1,2))</f>
        <v>203</v>
      </c>
      <c r="AY23" s="16" cm="1">
        <f t="array" ref="AY23">INDEX(_xlfn.ANCHORARRAY(_xlfn.XLOOKUP($C23,'-ref_Distribution'!$B$146:$B$150,'-ref_Distribution'!$G$146:$G$150)),RIGHT(AY$1,2))</f>
        <v>221</v>
      </c>
      <c r="AZ23" s="16" cm="1">
        <f t="array" ref="AZ23">INDEX(_xlfn.ANCHORARRAY(_xlfn.XLOOKUP($C23,'-ref_Distribution'!$B$146:$B$150,'-ref_Distribution'!$G$146:$G$150)),RIGHT(AZ$1,2))</f>
        <v>234</v>
      </c>
      <c r="BA23" s="16" cm="1">
        <f t="array" ref="BA23">INDEX(_xlfn.ANCHORARRAY(_xlfn.XLOOKUP($C23,'-ref_Distribution'!$B$146:$B$150,'-ref_Distribution'!$G$146:$G$150)),RIGHT(BA$1,2))</f>
        <v>243</v>
      </c>
      <c r="BB23" s="16" cm="1">
        <f t="array" ref="BB23">INDEX(_xlfn.ANCHORARRAY(_xlfn.XLOOKUP($C23,'-ref_Distribution'!$B$146:$B$150,'-ref_Distribution'!$G$146:$G$150)),RIGHT(BB$1,2))</f>
        <v>245</v>
      </c>
      <c r="BC23" s="16" cm="1">
        <f t="array" ref="BC23">INDEX(_xlfn.ANCHORARRAY(_xlfn.XLOOKUP($C23,'-ref_Distribution'!$B$146:$B$150,'-ref_Distribution'!$G$146:$G$150)),RIGHT(BC$1,2))</f>
        <v>243</v>
      </c>
      <c r="BD23" s="16" cm="1">
        <f t="array" ref="BD23">INDEX(_xlfn.ANCHORARRAY(_xlfn.XLOOKUP($C23,'-ref_Distribution'!$B$146:$B$150,'-ref_Distribution'!$G$146:$G$150)),RIGHT(BD$1,2))</f>
        <v>234</v>
      </c>
      <c r="BE23" s="16" cm="1">
        <f t="array" ref="BE23">INDEX(_xlfn.ANCHORARRAY(_xlfn.XLOOKUP($C23,'-ref_Distribution'!$B$146:$B$150,'-ref_Distribution'!$G$146:$G$150)),RIGHT(BE$1,2))</f>
        <v>221</v>
      </c>
      <c r="BF23" s="16" cm="1">
        <f t="array" ref="BF23">INDEX(_xlfn.ANCHORARRAY(_xlfn.XLOOKUP($C23,'-ref_Distribution'!$B$146:$B$150,'-ref_Distribution'!$G$146:$G$150)),RIGHT(BF$1,2))</f>
        <v>203</v>
      </c>
      <c r="BG23" s="16" cm="1">
        <f t="array" ref="BG23">INDEX(_xlfn.ANCHORARRAY(_xlfn.XLOOKUP($C23,'-ref_Distribution'!$B$146:$B$150,'-ref_Distribution'!$G$146:$G$150)),RIGHT(BG$1,2))</f>
        <v>183</v>
      </c>
      <c r="BH23" s="16" cm="1">
        <f t="array" ref="BH23">INDEX(_xlfn.ANCHORARRAY(_xlfn.XLOOKUP($C23,'-ref_Distribution'!$B$146:$B$150,'-ref_Distribution'!$G$146:$G$150)),RIGHT(BH$1,2))</f>
        <v>160</v>
      </c>
      <c r="BI23" s="16" cm="1">
        <f t="array" ref="BI23">INDEX(_xlfn.ANCHORARRAY(_xlfn.XLOOKUP($C23,'-ref_Distribution'!$B$146:$B$150,'-ref_Distribution'!$G$146:$G$150)),RIGHT(BI$1,2))</f>
        <v>137</v>
      </c>
      <c r="BJ23" s="16" cm="1">
        <f t="array" ref="BJ23">INDEX(_xlfn.ANCHORARRAY(_xlfn.XLOOKUP($C23,'-ref_Distribution'!$B$146:$B$150,'-ref_Distribution'!$G$146:$G$150)),RIGHT(BJ$1,2))</f>
        <v>115</v>
      </c>
      <c r="BK23" s="16" cm="1">
        <f t="array" ref="BK23">INDEX(_xlfn.ANCHORARRAY(_xlfn.XLOOKUP($C23,'-ref_Distribution'!$B$146:$B$150,'-ref_Distribution'!$G$146:$G$150)),RIGHT(BK$1,2))</f>
        <v>94</v>
      </c>
      <c r="BL23" s="16" cm="1">
        <f t="array" ref="BL23">INDEX(_xlfn.ANCHORARRAY(_xlfn.XLOOKUP($C23,'-ref_Distribution'!$B$146:$B$150,'-ref_Distribution'!$G$146:$G$150)),RIGHT(BL$1,2))</f>
        <v>75</v>
      </c>
      <c r="BM23" s="16" cm="1">
        <f t="array" ref="BM23">INDEX(_xlfn.ANCHORARRAY(_xlfn.XLOOKUP($C23,'-ref_Distribution'!$B$146:$B$150,'-ref_Distribution'!$G$146:$G$150)),RIGHT(BM$1,2))</f>
        <v>94</v>
      </c>
      <c r="BN23" s="16" cm="1">
        <f t="array" ref="BN23">INDEX(_xlfn.ANCHORARRAY(_xlfn.XLOOKUP($C23,'-ref_Distribution'!$B$146:$B$150,'-ref_Distribution'!$G$146:$G$150)),RIGHT(BN$1,2))</f>
        <v>115</v>
      </c>
      <c r="BO23" s="16" cm="1">
        <f t="array" ref="BO23">INDEX(_xlfn.ANCHORARRAY(_xlfn.XLOOKUP($C23,'-ref_Distribution'!$B$146:$B$150,'-ref_Distribution'!$G$146:$G$150)),RIGHT(BO$1,2))</f>
        <v>137</v>
      </c>
      <c r="BP23" s="16" cm="1">
        <f t="array" ref="BP23">INDEX(_xlfn.ANCHORARRAY(_xlfn.XLOOKUP($C23,'-ref_Distribution'!$B$146:$B$150,'-ref_Distribution'!$G$146:$G$150)),RIGHT(BP$1,2))</f>
        <v>160</v>
      </c>
      <c r="BQ23" s="16" cm="1">
        <f t="array" ref="BQ23">INDEX(_xlfn.ANCHORARRAY(_xlfn.XLOOKUP($C23,'-ref_Distribution'!$B$146:$B$150,'-ref_Distribution'!$G$146:$G$150)),RIGHT(BQ$1,2))</f>
        <v>183</v>
      </c>
      <c r="BR23" s="16" cm="1">
        <f t="array" ref="BR23">INDEX(_xlfn.ANCHORARRAY(_xlfn.XLOOKUP($C23,'-ref_Distribution'!$B$146:$B$150,'-ref_Distribution'!$G$146:$G$150)),RIGHT(BR$1,2))</f>
        <v>203</v>
      </c>
      <c r="BS23" s="16" cm="1">
        <f t="array" ref="BS23">INDEX(_xlfn.ANCHORARRAY(_xlfn.XLOOKUP($C23,'-ref_Distribution'!$B$146:$B$150,'-ref_Distribution'!$G$146:$G$150)),RIGHT(BS$1,2))</f>
        <v>221</v>
      </c>
      <c r="BT23" s="16" cm="1">
        <f t="array" ref="BT23">INDEX(_xlfn.ANCHORARRAY(_xlfn.XLOOKUP($C23,'-ref_Distribution'!$B$146:$B$150,'-ref_Distribution'!$G$146:$G$150)),RIGHT(BT$1,2))</f>
        <v>234</v>
      </c>
      <c r="BU23" s="16" cm="1">
        <f t="array" ref="BU23">INDEX(_xlfn.ANCHORARRAY(_xlfn.XLOOKUP($C23,'-ref_Distribution'!$B$146:$B$150,'-ref_Distribution'!$G$146:$G$150)),RIGHT(BU$1,2))</f>
        <v>243</v>
      </c>
      <c r="BV23" s="16" cm="1">
        <f t="array" ref="BV23">INDEX(_xlfn.ANCHORARRAY(_xlfn.XLOOKUP($C23,'-ref_Distribution'!$B$146:$B$150,'-ref_Distribution'!$G$146:$G$150)),RIGHT(BV$1,2))</f>
        <v>245</v>
      </c>
      <c r="BW23" s="16" cm="1">
        <f t="array" ref="BW23">INDEX(_xlfn.ANCHORARRAY(_xlfn.XLOOKUP($C23,'-ref_Distribution'!$B$146:$B$150,'-ref_Distribution'!$G$146:$G$150)),RIGHT(BW$1,2))</f>
        <v>243</v>
      </c>
      <c r="BX23" s="16" cm="1">
        <f t="array" ref="BX23">INDEX(_xlfn.ANCHORARRAY(_xlfn.XLOOKUP($C23,'-ref_Distribution'!$B$146:$B$150,'-ref_Distribution'!$G$146:$G$150)),RIGHT(BX$1,2))</f>
        <v>234</v>
      </c>
      <c r="BY23" s="16" cm="1">
        <f t="array" ref="BY23">INDEX(_xlfn.ANCHORARRAY(_xlfn.XLOOKUP($C23,'-ref_Distribution'!$B$146:$B$150,'-ref_Distribution'!$G$146:$G$150)),RIGHT(BY$1,2))</f>
        <v>221</v>
      </c>
      <c r="BZ23" s="16" cm="1">
        <f t="array" ref="BZ23">INDEX(_xlfn.ANCHORARRAY(_xlfn.XLOOKUP($C23,'-ref_Distribution'!$B$146:$B$150,'-ref_Distribution'!$G$146:$G$150)),RIGHT(BZ$1,2))</f>
        <v>203</v>
      </c>
      <c r="CA23" s="16" cm="1">
        <f t="array" ref="CA23">INDEX(_xlfn.ANCHORARRAY(_xlfn.XLOOKUP($C23,'-ref_Distribution'!$B$146:$B$150,'-ref_Distribution'!$G$146:$G$150)),RIGHT(CA$1,2))</f>
        <v>183</v>
      </c>
      <c r="CB23" s="16" cm="1">
        <f t="array" ref="CB23">INDEX(_xlfn.ANCHORARRAY(_xlfn.XLOOKUP($C23,'-ref_Distribution'!$B$146:$B$150,'-ref_Distribution'!$G$146:$G$150)),RIGHT(CB$1,2))</f>
        <v>160</v>
      </c>
      <c r="CC23" s="16" cm="1">
        <f t="array" ref="CC23">INDEX(_xlfn.ANCHORARRAY(_xlfn.XLOOKUP($C23,'-ref_Distribution'!$B$146:$B$150,'-ref_Distribution'!$G$146:$G$150)),RIGHT(CC$1,2))</f>
        <v>137</v>
      </c>
      <c r="CD23" s="16" cm="1">
        <f t="array" ref="CD23">INDEX(_xlfn.ANCHORARRAY(_xlfn.XLOOKUP($C23,'-ref_Distribution'!$B$146:$B$150,'-ref_Distribution'!$G$146:$G$150)),RIGHT(CD$1,2))</f>
        <v>115</v>
      </c>
      <c r="CE23" s="16" cm="1">
        <f t="array" ref="CE23">INDEX(_xlfn.ANCHORARRAY(_xlfn.XLOOKUP($C23,'-ref_Distribution'!$B$146:$B$150,'-ref_Distribution'!$G$146:$G$150)),RIGHT(CE$1,2))</f>
        <v>94</v>
      </c>
    </row>
    <row r="24" spans="1:83" customFormat="1" x14ac:dyDescent="0.2">
      <c r="A24" s="16">
        <v>300084</v>
      </c>
      <c r="B24" s="16" t="s">
        <v>203</v>
      </c>
      <c r="C24" s="16">
        <v>3</v>
      </c>
      <c r="D24" s="16" cm="1">
        <f t="array" ref="D24">INDEX(_xlfn.ANCHORARRAY(_xlfn.XLOOKUP($C24,'-ref_Distribution'!$B$146:$B$150,'-ref_Distribution'!$G$146:$G$150)),RIGHT(D$1,2))</f>
        <v>4</v>
      </c>
      <c r="E24" s="16" cm="1">
        <f t="array" ref="E24">INDEX(_xlfn.ANCHORARRAY(_xlfn.XLOOKUP($C24,'-ref_Distribution'!$B$146:$B$150,'-ref_Distribution'!$G$146:$G$150)),RIGHT(E$1,2))</f>
        <v>6</v>
      </c>
      <c r="F24" s="16" cm="1">
        <f t="array" ref="F24">INDEX(_xlfn.ANCHORARRAY(_xlfn.XLOOKUP($C24,'-ref_Distribution'!$B$146:$B$150,'-ref_Distribution'!$G$146:$G$150)),RIGHT(F$1,2))</f>
        <v>9</v>
      </c>
      <c r="G24" s="16" cm="1">
        <f t="array" ref="G24">INDEX(_xlfn.ANCHORARRAY(_xlfn.XLOOKUP($C24,'-ref_Distribution'!$B$146:$B$150,'-ref_Distribution'!$G$146:$G$150)),RIGHT(G$1,2))</f>
        <v>14</v>
      </c>
      <c r="H24" s="16" cm="1">
        <f t="array" ref="H24">INDEX(_xlfn.ANCHORARRAY(_xlfn.XLOOKUP($C24,'-ref_Distribution'!$B$146:$B$150,'-ref_Distribution'!$G$146:$G$150)),RIGHT(H$1,2))</f>
        <v>20</v>
      </c>
      <c r="I24" s="16" cm="1">
        <f t="array" ref="I24">INDEX(_xlfn.ANCHORARRAY(_xlfn.XLOOKUP($C24,'-ref_Distribution'!$B$146:$B$150,'-ref_Distribution'!$G$146:$G$150)),RIGHT(I$1,2))</f>
        <v>28</v>
      </c>
      <c r="J24" s="16" cm="1">
        <f t="array" ref="J24">INDEX(_xlfn.ANCHORARRAY(_xlfn.XLOOKUP($C24,'-ref_Distribution'!$B$146:$B$150,'-ref_Distribution'!$G$146:$G$150)),RIGHT(J$1,2))</f>
        <v>38</v>
      </c>
      <c r="K24" s="16" cm="1">
        <f t="array" ref="K24">INDEX(_xlfn.ANCHORARRAY(_xlfn.XLOOKUP($C24,'-ref_Distribution'!$B$146:$B$150,'-ref_Distribution'!$G$146:$G$150)),RIGHT(K$1,2))</f>
        <v>51</v>
      </c>
      <c r="L24" s="16" cm="1">
        <f t="array" ref="L24">INDEX(_xlfn.ANCHORARRAY(_xlfn.XLOOKUP($C24,'-ref_Distribution'!$B$146:$B$150,'-ref_Distribution'!$G$146:$G$150)),RIGHT(L$1,2))</f>
        <v>65</v>
      </c>
      <c r="M24" s="16" cm="1">
        <f t="array" ref="M24">INDEX(_xlfn.ANCHORARRAY(_xlfn.XLOOKUP($C24,'-ref_Distribution'!$B$146:$B$150,'-ref_Distribution'!$G$146:$G$150)),RIGHT(M$1,2))</f>
        <v>80</v>
      </c>
      <c r="N24" s="16" cm="1">
        <f t="array" ref="N24">INDEX(_xlfn.ANCHORARRAY(_xlfn.XLOOKUP($C24,'-ref_Distribution'!$B$146:$B$150,'-ref_Distribution'!$G$146:$G$150)),RIGHT(N$1,2))</f>
        <v>96</v>
      </c>
      <c r="O24" s="16" cm="1">
        <f t="array" ref="O24">INDEX(_xlfn.ANCHORARRAY(_xlfn.XLOOKUP($C24,'-ref_Distribution'!$B$146:$B$150,'-ref_Distribution'!$G$146:$G$150)),RIGHT(O$1,2))</f>
        <v>111</v>
      </c>
      <c r="P24" s="16" cm="1">
        <f t="array" ref="P24">INDEX(_xlfn.ANCHORARRAY(_xlfn.XLOOKUP($C24,'-ref_Distribution'!$B$146:$B$150,'-ref_Distribution'!$G$146:$G$150)),RIGHT(P$1,2))</f>
        <v>125</v>
      </c>
      <c r="Q24" s="16" cm="1">
        <f t="array" ref="Q24">INDEX(_xlfn.ANCHORARRAY(_xlfn.XLOOKUP($C24,'-ref_Distribution'!$B$146:$B$150,'-ref_Distribution'!$G$146:$G$150)),RIGHT(Q$1,2))</f>
        <v>135</v>
      </c>
      <c r="R24" s="16" cm="1">
        <f t="array" ref="R24">INDEX(_xlfn.ANCHORARRAY(_xlfn.XLOOKUP($C24,'-ref_Distribution'!$B$146:$B$150,'-ref_Distribution'!$G$146:$G$150)),RIGHT(R$1,2))</f>
        <v>142</v>
      </c>
      <c r="S24" s="16" cm="1">
        <f t="array" ref="S24">INDEX(_xlfn.ANCHORARRAY(_xlfn.XLOOKUP($C24,'-ref_Distribution'!$B$146:$B$150,'-ref_Distribution'!$G$146:$G$150)),RIGHT(S$1,2))</f>
        <v>144</v>
      </c>
      <c r="T24" s="16" cm="1">
        <f t="array" ref="T24">INDEX(_xlfn.ANCHORARRAY(_xlfn.XLOOKUP($C24,'-ref_Distribution'!$B$146:$B$150,'-ref_Distribution'!$G$146:$G$150)),RIGHT(T$1,2))</f>
        <v>142</v>
      </c>
      <c r="U24" s="16" cm="1">
        <f t="array" ref="U24">INDEX(_xlfn.ANCHORARRAY(_xlfn.XLOOKUP($C24,'-ref_Distribution'!$B$146:$B$150,'-ref_Distribution'!$G$146:$G$150)),RIGHT(U$1,2))</f>
        <v>135</v>
      </c>
      <c r="V24" s="16" cm="1">
        <f t="array" ref="V24">INDEX(_xlfn.ANCHORARRAY(_xlfn.XLOOKUP($C24,'-ref_Distribution'!$B$146:$B$150,'-ref_Distribution'!$G$146:$G$150)),RIGHT(V$1,2))</f>
        <v>125</v>
      </c>
      <c r="W24" s="16" cm="1">
        <f t="array" ref="W24">INDEX(_xlfn.ANCHORARRAY(_xlfn.XLOOKUP($C24,'-ref_Distribution'!$B$146:$B$150,'-ref_Distribution'!$G$146:$G$150)),RIGHT(W$1,2))</f>
        <v>111</v>
      </c>
      <c r="X24" s="16" cm="1">
        <f t="array" ref="X24">INDEX(_xlfn.ANCHORARRAY(_xlfn.XLOOKUP($C24,'-ref_Distribution'!$B$146:$B$150,'-ref_Distribution'!$G$146:$G$150)),RIGHT(X$1,2))</f>
        <v>4</v>
      </c>
      <c r="Y24" s="16" cm="1">
        <f t="array" ref="Y24">INDEX(_xlfn.ANCHORARRAY(_xlfn.XLOOKUP($C24,'-ref_Distribution'!$B$146:$B$150,'-ref_Distribution'!$G$146:$G$150)),RIGHT(Y$1,2))</f>
        <v>6</v>
      </c>
      <c r="Z24" s="16" cm="1">
        <f t="array" ref="Z24">INDEX(_xlfn.ANCHORARRAY(_xlfn.XLOOKUP($C24,'-ref_Distribution'!$B$146:$B$150,'-ref_Distribution'!$G$146:$G$150)),RIGHT(Z$1,2))</f>
        <v>9</v>
      </c>
      <c r="AA24" s="16" cm="1">
        <f t="array" ref="AA24">INDEX(_xlfn.ANCHORARRAY(_xlfn.XLOOKUP($C24,'-ref_Distribution'!$B$146:$B$150,'-ref_Distribution'!$G$146:$G$150)),RIGHT(AA$1,2))</f>
        <v>14</v>
      </c>
      <c r="AB24" s="16" cm="1">
        <f t="array" ref="AB24">INDEX(_xlfn.ANCHORARRAY(_xlfn.XLOOKUP($C24,'-ref_Distribution'!$B$146:$B$150,'-ref_Distribution'!$G$146:$G$150)),RIGHT(AB$1,2))</f>
        <v>20</v>
      </c>
      <c r="AC24" s="16" cm="1">
        <f t="array" ref="AC24">INDEX(_xlfn.ANCHORARRAY(_xlfn.XLOOKUP($C24,'-ref_Distribution'!$B$146:$B$150,'-ref_Distribution'!$G$146:$G$150)),RIGHT(AC$1,2))</f>
        <v>28</v>
      </c>
      <c r="AD24" s="16" cm="1">
        <f t="array" ref="AD24">INDEX(_xlfn.ANCHORARRAY(_xlfn.XLOOKUP($C24,'-ref_Distribution'!$B$146:$B$150,'-ref_Distribution'!$G$146:$G$150)),RIGHT(AD$1,2))</f>
        <v>38</v>
      </c>
      <c r="AE24" s="16" cm="1">
        <f t="array" ref="AE24">INDEX(_xlfn.ANCHORARRAY(_xlfn.XLOOKUP($C24,'-ref_Distribution'!$B$146:$B$150,'-ref_Distribution'!$G$146:$G$150)),RIGHT(AE$1,2))</f>
        <v>51</v>
      </c>
      <c r="AF24" s="16" cm="1">
        <f t="array" ref="AF24">INDEX(_xlfn.ANCHORARRAY(_xlfn.XLOOKUP($C24,'-ref_Distribution'!$B$146:$B$150,'-ref_Distribution'!$G$146:$G$150)),RIGHT(AF$1,2))</f>
        <v>65</v>
      </c>
      <c r="AG24" s="16" cm="1">
        <f t="array" ref="AG24">INDEX(_xlfn.ANCHORARRAY(_xlfn.XLOOKUP($C24,'-ref_Distribution'!$B$146:$B$150,'-ref_Distribution'!$G$146:$G$150)),RIGHT(AG$1,2))</f>
        <v>80</v>
      </c>
      <c r="AH24" s="16" cm="1">
        <f t="array" ref="AH24">INDEX(_xlfn.ANCHORARRAY(_xlfn.XLOOKUP($C24,'-ref_Distribution'!$B$146:$B$150,'-ref_Distribution'!$G$146:$G$150)),RIGHT(AH$1,2))</f>
        <v>96</v>
      </c>
      <c r="AI24" s="16" cm="1">
        <f t="array" ref="AI24">INDEX(_xlfn.ANCHORARRAY(_xlfn.XLOOKUP($C24,'-ref_Distribution'!$B$146:$B$150,'-ref_Distribution'!$G$146:$G$150)),RIGHT(AI$1,2))</f>
        <v>111</v>
      </c>
      <c r="AJ24" s="16" cm="1">
        <f t="array" ref="AJ24">INDEX(_xlfn.ANCHORARRAY(_xlfn.XLOOKUP($C24,'-ref_Distribution'!$B$146:$B$150,'-ref_Distribution'!$G$146:$G$150)),RIGHT(AJ$1,2))</f>
        <v>125</v>
      </c>
      <c r="AK24" s="16" cm="1">
        <f t="array" ref="AK24">INDEX(_xlfn.ANCHORARRAY(_xlfn.XLOOKUP($C24,'-ref_Distribution'!$B$146:$B$150,'-ref_Distribution'!$G$146:$G$150)),RIGHT(AK$1,2))</f>
        <v>135</v>
      </c>
      <c r="AL24" s="16" cm="1">
        <f t="array" ref="AL24">INDEX(_xlfn.ANCHORARRAY(_xlfn.XLOOKUP($C24,'-ref_Distribution'!$B$146:$B$150,'-ref_Distribution'!$G$146:$G$150)),RIGHT(AL$1,2))</f>
        <v>142</v>
      </c>
      <c r="AM24" s="16" cm="1">
        <f t="array" ref="AM24">INDEX(_xlfn.ANCHORARRAY(_xlfn.XLOOKUP($C24,'-ref_Distribution'!$B$146:$B$150,'-ref_Distribution'!$G$146:$G$150)),RIGHT(AM$1,2))</f>
        <v>144</v>
      </c>
      <c r="AN24" s="16" cm="1">
        <f t="array" ref="AN24">INDEX(_xlfn.ANCHORARRAY(_xlfn.XLOOKUP($C24,'-ref_Distribution'!$B$146:$B$150,'-ref_Distribution'!$G$146:$G$150)),RIGHT(AN$1,2))</f>
        <v>142</v>
      </c>
      <c r="AO24" s="16" cm="1">
        <f t="array" ref="AO24">INDEX(_xlfn.ANCHORARRAY(_xlfn.XLOOKUP($C24,'-ref_Distribution'!$B$146:$B$150,'-ref_Distribution'!$G$146:$G$150)),RIGHT(AO$1,2))</f>
        <v>135</v>
      </c>
      <c r="AP24" s="16" cm="1">
        <f t="array" ref="AP24">INDEX(_xlfn.ANCHORARRAY(_xlfn.XLOOKUP($C24,'-ref_Distribution'!$B$146:$B$150,'-ref_Distribution'!$G$146:$G$150)),RIGHT(AP$1,2))</f>
        <v>125</v>
      </c>
      <c r="AQ24" s="16" cm="1">
        <f t="array" ref="AQ24">INDEX(_xlfn.ANCHORARRAY(_xlfn.XLOOKUP($C24,'-ref_Distribution'!$B$146:$B$150,'-ref_Distribution'!$G$146:$G$150)),RIGHT(AQ$1,2))</f>
        <v>111</v>
      </c>
      <c r="AR24" s="16" cm="1">
        <f t="array" ref="AR24">INDEX(_xlfn.ANCHORARRAY(_xlfn.XLOOKUP($C24,'-ref_Distribution'!$B$146:$B$150,'-ref_Distribution'!$G$146:$G$150)),RIGHT(AR$1,2))</f>
        <v>4</v>
      </c>
      <c r="AS24" s="16" cm="1">
        <f t="array" ref="AS24">INDEX(_xlfn.ANCHORARRAY(_xlfn.XLOOKUP($C24,'-ref_Distribution'!$B$146:$B$150,'-ref_Distribution'!$G$146:$G$150)),RIGHT(AS$1,2))</f>
        <v>6</v>
      </c>
      <c r="AT24" s="16" cm="1">
        <f t="array" ref="AT24">INDEX(_xlfn.ANCHORARRAY(_xlfn.XLOOKUP($C24,'-ref_Distribution'!$B$146:$B$150,'-ref_Distribution'!$G$146:$G$150)),RIGHT(AT$1,2))</f>
        <v>9</v>
      </c>
      <c r="AU24" s="16" cm="1">
        <f t="array" ref="AU24">INDEX(_xlfn.ANCHORARRAY(_xlfn.XLOOKUP($C24,'-ref_Distribution'!$B$146:$B$150,'-ref_Distribution'!$G$146:$G$150)),RIGHT(AU$1,2))</f>
        <v>14</v>
      </c>
      <c r="AV24" s="16" cm="1">
        <f t="array" ref="AV24">INDEX(_xlfn.ANCHORARRAY(_xlfn.XLOOKUP($C24,'-ref_Distribution'!$B$146:$B$150,'-ref_Distribution'!$G$146:$G$150)),RIGHT(AV$1,2))</f>
        <v>20</v>
      </c>
      <c r="AW24" s="16" cm="1">
        <f t="array" ref="AW24">INDEX(_xlfn.ANCHORARRAY(_xlfn.XLOOKUP($C24,'-ref_Distribution'!$B$146:$B$150,'-ref_Distribution'!$G$146:$G$150)),RIGHT(AW$1,2))</f>
        <v>28</v>
      </c>
      <c r="AX24" s="16" cm="1">
        <f t="array" ref="AX24">INDEX(_xlfn.ANCHORARRAY(_xlfn.XLOOKUP($C24,'-ref_Distribution'!$B$146:$B$150,'-ref_Distribution'!$G$146:$G$150)),RIGHT(AX$1,2))</f>
        <v>38</v>
      </c>
      <c r="AY24" s="16" cm="1">
        <f t="array" ref="AY24">INDEX(_xlfn.ANCHORARRAY(_xlfn.XLOOKUP($C24,'-ref_Distribution'!$B$146:$B$150,'-ref_Distribution'!$G$146:$G$150)),RIGHT(AY$1,2))</f>
        <v>51</v>
      </c>
      <c r="AZ24" s="16" cm="1">
        <f t="array" ref="AZ24">INDEX(_xlfn.ANCHORARRAY(_xlfn.XLOOKUP($C24,'-ref_Distribution'!$B$146:$B$150,'-ref_Distribution'!$G$146:$G$150)),RIGHT(AZ$1,2))</f>
        <v>65</v>
      </c>
      <c r="BA24" s="16" cm="1">
        <f t="array" ref="BA24">INDEX(_xlfn.ANCHORARRAY(_xlfn.XLOOKUP($C24,'-ref_Distribution'!$B$146:$B$150,'-ref_Distribution'!$G$146:$G$150)),RIGHT(BA$1,2))</f>
        <v>80</v>
      </c>
      <c r="BB24" s="16" cm="1">
        <f t="array" ref="BB24">INDEX(_xlfn.ANCHORARRAY(_xlfn.XLOOKUP($C24,'-ref_Distribution'!$B$146:$B$150,'-ref_Distribution'!$G$146:$G$150)),RIGHT(BB$1,2))</f>
        <v>96</v>
      </c>
      <c r="BC24" s="16" cm="1">
        <f t="array" ref="BC24">INDEX(_xlfn.ANCHORARRAY(_xlfn.XLOOKUP($C24,'-ref_Distribution'!$B$146:$B$150,'-ref_Distribution'!$G$146:$G$150)),RIGHT(BC$1,2))</f>
        <v>111</v>
      </c>
      <c r="BD24" s="16" cm="1">
        <f t="array" ref="BD24">INDEX(_xlfn.ANCHORARRAY(_xlfn.XLOOKUP($C24,'-ref_Distribution'!$B$146:$B$150,'-ref_Distribution'!$G$146:$G$150)),RIGHT(BD$1,2))</f>
        <v>125</v>
      </c>
      <c r="BE24" s="16" cm="1">
        <f t="array" ref="BE24">INDEX(_xlfn.ANCHORARRAY(_xlfn.XLOOKUP($C24,'-ref_Distribution'!$B$146:$B$150,'-ref_Distribution'!$G$146:$G$150)),RIGHT(BE$1,2))</f>
        <v>135</v>
      </c>
      <c r="BF24" s="16" cm="1">
        <f t="array" ref="BF24">INDEX(_xlfn.ANCHORARRAY(_xlfn.XLOOKUP($C24,'-ref_Distribution'!$B$146:$B$150,'-ref_Distribution'!$G$146:$G$150)),RIGHT(BF$1,2))</f>
        <v>142</v>
      </c>
      <c r="BG24" s="16" cm="1">
        <f t="array" ref="BG24">INDEX(_xlfn.ANCHORARRAY(_xlfn.XLOOKUP($C24,'-ref_Distribution'!$B$146:$B$150,'-ref_Distribution'!$G$146:$G$150)),RIGHT(BG$1,2))</f>
        <v>144</v>
      </c>
      <c r="BH24" s="16" cm="1">
        <f t="array" ref="BH24">INDEX(_xlfn.ANCHORARRAY(_xlfn.XLOOKUP($C24,'-ref_Distribution'!$B$146:$B$150,'-ref_Distribution'!$G$146:$G$150)),RIGHT(BH$1,2))</f>
        <v>142</v>
      </c>
      <c r="BI24" s="16" cm="1">
        <f t="array" ref="BI24">INDEX(_xlfn.ANCHORARRAY(_xlfn.XLOOKUP($C24,'-ref_Distribution'!$B$146:$B$150,'-ref_Distribution'!$G$146:$G$150)),RIGHT(BI$1,2))</f>
        <v>135</v>
      </c>
      <c r="BJ24" s="16" cm="1">
        <f t="array" ref="BJ24">INDEX(_xlfn.ANCHORARRAY(_xlfn.XLOOKUP($C24,'-ref_Distribution'!$B$146:$B$150,'-ref_Distribution'!$G$146:$G$150)),RIGHT(BJ$1,2))</f>
        <v>125</v>
      </c>
      <c r="BK24" s="16" cm="1">
        <f t="array" ref="BK24">INDEX(_xlfn.ANCHORARRAY(_xlfn.XLOOKUP($C24,'-ref_Distribution'!$B$146:$B$150,'-ref_Distribution'!$G$146:$G$150)),RIGHT(BK$1,2))</f>
        <v>111</v>
      </c>
      <c r="BL24" s="16" cm="1">
        <f t="array" ref="BL24">INDEX(_xlfn.ANCHORARRAY(_xlfn.XLOOKUP($C24,'-ref_Distribution'!$B$146:$B$150,'-ref_Distribution'!$G$146:$G$150)),RIGHT(BL$1,2))</f>
        <v>4</v>
      </c>
      <c r="BM24" s="16" cm="1">
        <f t="array" ref="BM24">INDEX(_xlfn.ANCHORARRAY(_xlfn.XLOOKUP($C24,'-ref_Distribution'!$B$146:$B$150,'-ref_Distribution'!$G$146:$G$150)),RIGHT(BM$1,2))</f>
        <v>6</v>
      </c>
      <c r="BN24" s="16" cm="1">
        <f t="array" ref="BN24">INDEX(_xlfn.ANCHORARRAY(_xlfn.XLOOKUP($C24,'-ref_Distribution'!$B$146:$B$150,'-ref_Distribution'!$G$146:$G$150)),RIGHT(BN$1,2))</f>
        <v>9</v>
      </c>
      <c r="BO24" s="16" cm="1">
        <f t="array" ref="BO24">INDEX(_xlfn.ANCHORARRAY(_xlfn.XLOOKUP($C24,'-ref_Distribution'!$B$146:$B$150,'-ref_Distribution'!$G$146:$G$150)),RIGHT(BO$1,2))</f>
        <v>14</v>
      </c>
      <c r="BP24" s="16" cm="1">
        <f t="array" ref="BP24">INDEX(_xlfn.ANCHORARRAY(_xlfn.XLOOKUP($C24,'-ref_Distribution'!$B$146:$B$150,'-ref_Distribution'!$G$146:$G$150)),RIGHT(BP$1,2))</f>
        <v>20</v>
      </c>
      <c r="BQ24" s="16" cm="1">
        <f t="array" ref="BQ24">INDEX(_xlfn.ANCHORARRAY(_xlfn.XLOOKUP($C24,'-ref_Distribution'!$B$146:$B$150,'-ref_Distribution'!$G$146:$G$150)),RIGHT(BQ$1,2))</f>
        <v>28</v>
      </c>
      <c r="BR24" s="16" cm="1">
        <f t="array" ref="BR24">INDEX(_xlfn.ANCHORARRAY(_xlfn.XLOOKUP($C24,'-ref_Distribution'!$B$146:$B$150,'-ref_Distribution'!$G$146:$G$150)),RIGHT(BR$1,2))</f>
        <v>38</v>
      </c>
      <c r="BS24" s="16" cm="1">
        <f t="array" ref="BS24">INDEX(_xlfn.ANCHORARRAY(_xlfn.XLOOKUP($C24,'-ref_Distribution'!$B$146:$B$150,'-ref_Distribution'!$G$146:$G$150)),RIGHT(BS$1,2))</f>
        <v>51</v>
      </c>
      <c r="BT24" s="16" cm="1">
        <f t="array" ref="BT24">INDEX(_xlfn.ANCHORARRAY(_xlfn.XLOOKUP($C24,'-ref_Distribution'!$B$146:$B$150,'-ref_Distribution'!$G$146:$G$150)),RIGHT(BT$1,2))</f>
        <v>65</v>
      </c>
      <c r="BU24" s="16" cm="1">
        <f t="array" ref="BU24">INDEX(_xlfn.ANCHORARRAY(_xlfn.XLOOKUP($C24,'-ref_Distribution'!$B$146:$B$150,'-ref_Distribution'!$G$146:$G$150)),RIGHT(BU$1,2))</f>
        <v>80</v>
      </c>
      <c r="BV24" s="16" cm="1">
        <f t="array" ref="BV24">INDEX(_xlfn.ANCHORARRAY(_xlfn.XLOOKUP($C24,'-ref_Distribution'!$B$146:$B$150,'-ref_Distribution'!$G$146:$G$150)),RIGHT(BV$1,2))</f>
        <v>96</v>
      </c>
      <c r="BW24" s="16" cm="1">
        <f t="array" ref="BW24">INDEX(_xlfn.ANCHORARRAY(_xlfn.XLOOKUP($C24,'-ref_Distribution'!$B$146:$B$150,'-ref_Distribution'!$G$146:$G$150)),RIGHT(BW$1,2))</f>
        <v>111</v>
      </c>
      <c r="BX24" s="16" cm="1">
        <f t="array" ref="BX24">INDEX(_xlfn.ANCHORARRAY(_xlfn.XLOOKUP($C24,'-ref_Distribution'!$B$146:$B$150,'-ref_Distribution'!$G$146:$G$150)),RIGHT(BX$1,2))</f>
        <v>125</v>
      </c>
      <c r="BY24" s="16" cm="1">
        <f t="array" ref="BY24">INDEX(_xlfn.ANCHORARRAY(_xlfn.XLOOKUP($C24,'-ref_Distribution'!$B$146:$B$150,'-ref_Distribution'!$G$146:$G$150)),RIGHT(BY$1,2))</f>
        <v>135</v>
      </c>
      <c r="BZ24" s="16" cm="1">
        <f t="array" ref="BZ24">INDEX(_xlfn.ANCHORARRAY(_xlfn.XLOOKUP($C24,'-ref_Distribution'!$B$146:$B$150,'-ref_Distribution'!$G$146:$G$150)),RIGHT(BZ$1,2))</f>
        <v>142</v>
      </c>
      <c r="CA24" s="16" cm="1">
        <f t="array" ref="CA24">INDEX(_xlfn.ANCHORARRAY(_xlfn.XLOOKUP($C24,'-ref_Distribution'!$B$146:$B$150,'-ref_Distribution'!$G$146:$G$150)),RIGHT(CA$1,2))</f>
        <v>144</v>
      </c>
      <c r="CB24" s="16" cm="1">
        <f t="array" ref="CB24">INDEX(_xlfn.ANCHORARRAY(_xlfn.XLOOKUP($C24,'-ref_Distribution'!$B$146:$B$150,'-ref_Distribution'!$G$146:$G$150)),RIGHT(CB$1,2))</f>
        <v>142</v>
      </c>
      <c r="CC24" s="16" cm="1">
        <f t="array" ref="CC24">INDEX(_xlfn.ANCHORARRAY(_xlfn.XLOOKUP($C24,'-ref_Distribution'!$B$146:$B$150,'-ref_Distribution'!$G$146:$G$150)),RIGHT(CC$1,2))</f>
        <v>135</v>
      </c>
      <c r="CD24" s="16" cm="1">
        <f t="array" ref="CD24">INDEX(_xlfn.ANCHORARRAY(_xlfn.XLOOKUP($C24,'-ref_Distribution'!$B$146:$B$150,'-ref_Distribution'!$G$146:$G$150)),RIGHT(CD$1,2))</f>
        <v>125</v>
      </c>
      <c r="CE24" s="16" cm="1">
        <f t="array" ref="CE24">INDEX(_xlfn.ANCHORARRAY(_xlfn.XLOOKUP($C24,'-ref_Distribution'!$B$146:$B$150,'-ref_Distribution'!$G$146:$G$150)),RIGHT(CE$1,2))</f>
        <v>111</v>
      </c>
    </row>
    <row r="25" spans="1:83" customFormat="1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</row>
    <row r="26" spans="1:83" x14ac:dyDescent="0.2">
      <c r="A26" s="16">
        <v>301011</v>
      </c>
      <c r="B26" s="16" t="s">
        <v>371</v>
      </c>
      <c r="C26" s="16">
        <v>0</v>
      </c>
      <c r="D26" s="16" cm="1">
        <f t="array" ref="D26">INDEX(_xlfn.ANCHORARRAY(_xlfn.XLOOKUP($C26,'-ref_Distribution'!$B$146:$B$150,'-ref_Distribution'!$G$146:$G$150)),RIGHT(D$1,2))</f>
        <v>709</v>
      </c>
      <c r="E26" s="16" cm="1">
        <f t="array" ref="E26">INDEX(_xlfn.ANCHORARRAY(_xlfn.XLOOKUP($C26,'-ref_Distribution'!$B$146:$B$150,'-ref_Distribution'!$G$146:$G$150)),RIGHT(E$1,2))</f>
        <v>705</v>
      </c>
      <c r="F26" s="16" cm="1">
        <f t="array" ref="F26">INDEX(_xlfn.ANCHORARRAY(_xlfn.XLOOKUP($C26,'-ref_Distribution'!$B$146:$B$150,'-ref_Distribution'!$G$146:$G$150)),RIGHT(F$1,2))</f>
        <v>692</v>
      </c>
      <c r="G26" s="16" cm="1">
        <f t="array" ref="G26">INDEX(_xlfn.ANCHORARRAY(_xlfn.XLOOKUP($C26,'-ref_Distribution'!$B$146:$B$150,'-ref_Distribution'!$G$146:$G$150)),RIGHT(G$1,2))</f>
        <v>671</v>
      </c>
      <c r="H26" s="16" cm="1">
        <f t="array" ref="H26">INDEX(_xlfn.ANCHORARRAY(_xlfn.XLOOKUP($C26,'-ref_Distribution'!$B$146:$B$150,'-ref_Distribution'!$G$146:$G$150)),RIGHT(H$1,2))</f>
        <v>643</v>
      </c>
      <c r="I26" s="16" cm="1">
        <f t="array" ref="I26">INDEX(_xlfn.ANCHORARRAY(_xlfn.XLOOKUP($C26,'-ref_Distribution'!$B$146:$B$150,'-ref_Distribution'!$G$146:$G$150)),RIGHT(I$1,2))</f>
        <v>608</v>
      </c>
      <c r="J26" s="16" cm="1">
        <f t="array" ref="J26">INDEX(_xlfn.ANCHORARRAY(_xlfn.XLOOKUP($C26,'-ref_Distribution'!$B$146:$B$150,'-ref_Distribution'!$G$146:$G$150)),RIGHT(J$1,2))</f>
        <v>568</v>
      </c>
      <c r="K26" s="16" cm="1">
        <f t="array" ref="K26">INDEX(_xlfn.ANCHORARRAY(_xlfn.XLOOKUP($C26,'-ref_Distribution'!$B$146:$B$150,'-ref_Distribution'!$G$146:$G$150)),RIGHT(K$1,2))</f>
        <v>524</v>
      </c>
      <c r="L26" s="16" cm="1">
        <f t="array" ref="L26">INDEX(_xlfn.ANCHORARRAY(_xlfn.XLOOKUP($C26,'-ref_Distribution'!$B$146:$B$150,'-ref_Distribution'!$G$146:$G$150)),RIGHT(L$1,2))</f>
        <v>478</v>
      </c>
      <c r="M26" s="16" cm="1">
        <f t="array" ref="M26">INDEX(_xlfn.ANCHORARRAY(_xlfn.XLOOKUP($C26,'-ref_Distribution'!$B$146:$B$150,'-ref_Distribution'!$G$146:$G$150)),RIGHT(M$1,2))</f>
        <v>430</v>
      </c>
      <c r="N26" s="16" cm="1">
        <f t="array" ref="N26">INDEX(_xlfn.ANCHORARRAY(_xlfn.XLOOKUP($C26,'-ref_Distribution'!$B$146:$B$150,'-ref_Distribution'!$G$146:$G$150)),RIGHT(N$1,2))</f>
        <v>383</v>
      </c>
      <c r="O26" s="16" cm="1">
        <f t="array" ref="O26">INDEX(_xlfn.ANCHORARRAY(_xlfn.XLOOKUP($C26,'-ref_Distribution'!$B$146:$B$150,'-ref_Distribution'!$G$146:$G$150)),RIGHT(O$1,2))</f>
        <v>336</v>
      </c>
      <c r="P26" s="16" cm="1">
        <f t="array" ref="P26">INDEX(_xlfn.ANCHORARRAY(_xlfn.XLOOKUP($C26,'-ref_Distribution'!$B$146:$B$150,'-ref_Distribution'!$G$146:$G$150)),RIGHT(P$1,2))</f>
        <v>292</v>
      </c>
      <c r="Q26" s="16" cm="1">
        <f t="array" ref="Q26">INDEX(_xlfn.ANCHORARRAY(_xlfn.XLOOKUP($C26,'-ref_Distribution'!$B$146:$B$150,'-ref_Distribution'!$G$146:$G$150)),RIGHT(Q$1,2))</f>
        <v>250</v>
      </c>
      <c r="R26" s="16" cm="1">
        <f t="array" ref="R26">INDEX(_xlfn.ANCHORARRAY(_xlfn.XLOOKUP($C26,'-ref_Distribution'!$B$146:$B$150,'-ref_Distribution'!$G$146:$G$150)),RIGHT(R$1,2))</f>
        <v>212</v>
      </c>
      <c r="S26" s="16" cm="1">
        <f t="array" ref="S26">INDEX(_xlfn.ANCHORARRAY(_xlfn.XLOOKUP($C26,'-ref_Distribution'!$B$146:$B$150,'-ref_Distribution'!$G$146:$G$150)),RIGHT(S$1,2))</f>
        <v>177</v>
      </c>
      <c r="T26" s="16" cm="1">
        <f t="array" ref="T26">INDEX(_xlfn.ANCHORARRAY(_xlfn.XLOOKUP($C26,'-ref_Distribution'!$B$146:$B$150,'-ref_Distribution'!$G$146:$G$150)),RIGHT(T$1,2))</f>
        <v>146</v>
      </c>
      <c r="U26" s="16" cm="1">
        <f t="array" ref="U26">INDEX(_xlfn.ANCHORARRAY(_xlfn.XLOOKUP($C26,'-ref_Distribution'!$B$146:$B$150,'-ref_Distribution'!$G$146:$G$150)),RIGHT(U$1,2))</f>
        <v>119</v>
      </c>
      <c r="V26" s="16" cm="1">
        <f t="array" ref="V26">INDEX(_xlfn.ANCHORARRAY(_xlfn.XLOOKUP($C26,'-ref_Distribution'!$B$146:$B$150,'-ref_Distribution'!$G$146:$G$150)),RIGHT(V$1,2))</f>
        <v>96</v>
      </c>
      <c r="W26" s="16" cm="1">
        <f t="array" ref="W26">INDEX(_xlfn.ANCHORARRAY(_xlfn.XLOOKUP($C26,'-ref_Distribution'!$B$146:$B$150,'-ref_Distribution'!$G$146:$G$150)),RIGHT(W$1,2))</f>
        <v>76</v>
      </c>
      <c r="X26" s="16" cm="1">
        <f t="array" ref="X26">INDEX(_xlfn.ANCHORARRAY(_xlfn.XLOOKUP($C26,'-ref_Distribution'!$B$146:$B$150,'-ref_Distribution'!$G$146:$G$150)),RIGHT(X$1,2))</f>
        <v>709</v>
      </c>
      <c r="Y26" s="16" cm="1">
        <f t="array" ref="Y26">INDEX(_xlfn.ANCHORARRAY(_xlfn.XLOOKUP($C26,'-ref_Distribution'!$B$146:$B$150,'-ref_Distribution'!$G$146:$G$150)),RIGHT(Y$1,2))</f>
        <v>705</v>
      </c>
      <c r="Z26" s="16" cm="1">
        <f t="array" ref="Z26">INDEX(_xlfn.ANCHORARRAY(_xlfn.XLOOKUP($C26,'-ref_Distribution'!$B$146:$B$150,'-ref_Distribution'!$G$146:$G$150)),RIGHT(Z$1,2))</f>
        <v>692</v>
      </c>
      <c r="AA26" s="16" cm="1">
        <f t="array" ref="AA26">INDEX(_xlfn.ANCHORARRAY(_xlfn.XLOOKUP($C26,'-ref_Distribution'!$B$146:$B$150,'-ref_Distribution'!$G$146:$G$150)),RIGHT(AA$1,2))</f>
        <v>671</v>
      </c>
      <c r="AB26" s="16" cm="1">
        <f t="array" ref="AB26">INDEX(_xlfn.ANCHORARRAY(_xlfn.XLOOKUP($C26,'-ref_Distribution'!$B$146:$B$150,'-ref_Distribution'!$G$146:$G$150)),RIGHT(AB$1,2))</f>
        <v>643</v>
      </c>
      <c r="AC26" s="16" cm="1">
        <f t="array" ref="AC26">INDEX(_xlfn.ANCHORARRAY(_xlfn.XLOOKUP($C26,'-ref_Distribution'!$B$146:$B$150,'-ref_Distribution'!$G$146:$G$150)),RIGHT(AC$1,2))</f>
        <v>608</v>
      </c>
      <c r="AD26" s="16" cm="1">
        <f t="array" ref="AD26">INDEX(_xlfn.ANCHORARRAY(_xlfn.XLOOKUP($C26,'-ref_Distribution'!$B$146:$B$150,'-ref_Distribution'!$G$146:$G$150)),RIGHT(AD$1,2))</f>
        <v>568</v>
      </c>
      <c r="AE26" s="16" cm="1">
        <f t="array" ref="AE26">INDEX(_xlfn.ANCHORARRAY(_xlfn.XLOOKUP($C26,'-ref_Distribution'!$B$146:$B$150,'-ref_Distribution'!$G$146:$G$150)),RIGHT(AE$1,2))</f>
        <v>524</v>
      </c>
      <c r="AF26" s="16" cm="1">
        <f t="array" ref="AF26">INDEX(_xlfn.ANCHORARRAY(_xlfn.XLOOKUP($C26,'-ref_Distribution'!$B$146:$B$150,'-ref_Distribution'!$G$146:$G$150)),RIGHT(AF$1,2))</f>
        <v>478</v>
      </c>
      <c r="AG26" s="16" cm="1">
        <f t="array" ref="AG26">INDEX(_xlfn.ANCHORARRAY(_xlfn.XLOOKUP($C26,'-ref_Distribution'!$B$146:$B$150,'-ref_Distribution'!$G$146:$G$150)),RIGHT(AG$1,2))</f>
        <v>430</v>
      </c>
      <c r="AH26" s="16" cm="1">
        <f t="array" ref="AH26">INDEX(_xlfn.ANCHORARRAY(_xlfn.XLOOKUP($C26,'-ref_Distribution'!$B$146:$B$150,'-ref_Distribution'!$G$146:$G$150)),RIGHT(AH$1,2))</f>
        <v>383</v>
      </c>
      <c r="AI26" s="16" cm="1">
        <f t="array" ref="AI26">INDEX(_xlfn.ANCHORARRAY(_xlfn.XLOOKUP($C26,'-ref_Distribution'!$B$146:$B$150,'-ref_Distribution'!$G$146:$G$150)),RIGHT(AI$1,2))</f>
        <v>336</v>
      </c>
      <c r="AJ26" s="16" cm="1">
        <f t="array" ref="AJ26">INDEX(_xlfn.ANCHORARRAY(_xlfn.XLOOKUP($C26,'-ref_Distribution'!$B$146:$B$150,'-ref_Distribution'!$G$146:$G$150)),RIGHT(AJ$1,2))</f>
        <v>292</v>
      </c>
      <c r="AK26" s="16" cm="1">
        <f t="array" ref="AK26">INDEX(_xlfn.ANCHORARRAY(_xlfn.XLOOKUP($C26,'-ref_Distribution'!$B$146:$B$150,'-ref_Distribution'!$G$146:$G$150)),RIGHT(AK$1,2))</f>
        <v>250</v>
      </c>
      <c r="AL26" s="16" cm="1">
        <f t="array" ref="AL26">INDEX(_xlfn.ANCHORARRAY(_xlfn.XLOOKUP($C26,'-ref_Distribution'!$B$146:$B$150,'-ref_Distribution'!$G$146:$G$150)),RIGHT(AL$1,2))</f>
        <v>212</v>
      </c>
      <c r="AM26" s="16" cm="1">
        <f t="array" ref="AM26">INDEX(_xlfn.ANCHORARRAY(_xlfn.XLOOKUP($C26,'-ref_Distribution'!$B$146:$B$150,'-ref_Distribution'!$G$146:$G$150)),RIGHT(AM$1,2))</f>
        <v>177</v>
      </c>
      <c r="AN26" s="16" cm="1">
        <f t="array" ref="AN26">INDEX(_xlfn.ANCHORARRAY(_xlfn.XLOOKUP($C26,'-ref_Distribution'!$B$146:$B$150,'-ref_Distribution'!$G$146:$G$150)),RIGHT(AN$1,2))</f>
        <v>146</v>
      </c>
      <c r="AO26" s="16" cm="1">
        <f t="array" ref="AO26">INDEX(_xlfn.ANCHORARRAY(_xlfn.XLOOKUP($C26,'-ref_Distribution'!$B$146:$B$150,'-ref_Distribution'!$G$146:$G$150)),RIGHT(AO$1,2))</f>
        <v>119</v>
      </c>
      <c r="AP26" s="16" cm="1">
        <f t="array" ref="AP26">INDEX(_xlfn.ANCHORARRAY(_xlfn.XLOOKUP($C26,'-ref_Distribution'!$B$146:$B$150,'-ref_Distribution'!$G$146:$G$150)),RIGHT(AP$1,2))</f>
        <v>96</v>
      </c>
      <c r="AQ26" s="16" cm="1">
        <f t="array" ref="AQ26">INDEX(_xlfn.ANCHORARRAY(_xlfn.XLOOKUP($C26,'-ref_Distribution'!$B$146:$B$150,'-ref_Distribution'!$G$146:$G$150)),RIGHT(AQ$1,2))</f>
        <v>76</v>
      </c>
      <c r="AR26" s="16" cm="1">
        <f t="array" ref="AR26">INDEX(_xlfn.ANCHORARRAY(_xlfn.XLOOKUP($C26,'-ref_Distribution'!$B$146:$B$150,'-ref_Distribution'!$G$146:$G$150)),RIGHT(AR$1,2))</f>
        <v>709</v>
      </c>
      <c r="AS26" s="16" cm="1">
        <f t="array" ref="AS26">INDEX(_xlfn.ANCHORARRAY(_xlfn.XLOOKUP($C26,'-ref_Distribution'!$B$146:$B$150,'-ref_Distribution'!$G$146:$G$150)),RIGHT(AS$1,2))</f>
        <v>705</v>
      </c>
      <c r="AT26" s="16" cm="1">
        <f t="array" ref="AT26">INDEX(_xlfn.ANCHORARRAY(_xlfn.XLOOKUP($C26,'-ref_Distribution'!$B$146:$B$150,'-ref_Distribution'!$G$146:$G$150)),RIGHT(AT$1,2))</f>
        <v>692</v>
      </c>
      <c r="AU26" s="16" cm="1">
        <f t="array" ref="AU26">INDEX(_xlfn.ANCHORARRAY(_xlfn.XLOOKUP($C26,'-ref_Distribution'!$B$146:$B$150,'-ref_Distribution'!$G$146:$G$150)),RIGHT(AU$1,2))</f>
        <v>671</v>
      </c>
      <c r="AV26" s="16" cm="1">
        <f t="array" ref="AV26">INDEX(_xlfn.ANCHORARRAY(_xlfn.XLOOKUP($C26,'-ref_Distribution'!$B$146:$B$150,'-ref_Distribution'!$G$146:$G$150)),RIGHT(AV$1,2))</f>
        <v>643</v>
      </c>
      <c r="AW26" s="16" cm="1">
        <f t="array" ref="AW26">INDEX(_xlfn.ANCHORARRAY(_xlfn.XLOOKUP($C26,'-ref_Distribution'!$B$146:$B$150,'-ref_Distribution'!$G$146:$G$150)),RIGHT(AW$1,2))</f>
        <v>608</v>
      </c>
      <c r="AX26" s="16" cm="1">
        <f t="array" ref="AX26">INDEX(_xlfn.ANCHORARRAY(_xlfn.XLOOKUP($C26,'-ref_Distribution'!$B$146:$B$150,'-ref_Distribution'!$G$146:$G$150)),RIGHT(AX$1,2))</f>
        <v>568</v>
      </c>
      <c r="AY26" s="16" cm="1">
        <f t="array" ref="AY26">INDEX(_xlfn.ANCHORARRAY(_xlfn.XLOOKUP($C26,'-ref_Distribution'!$B$146:$B$150,'-ref_Distribution'!$G$146:$G$150)),RIGHT(AY$1,2))</f>
        <v>524</v>
      </c>
      <c r="AZ26" s="16" cm="1">
        <f t="array" ref="AZ26">INDEX(_xlfn.ANCHORARRAY(_xlfn.XLOOKUP($C26,'-ref_Distribution'!$B$146:$B$150,'-ref_Distribution'!$G$146:$G$150)),RIGHT(AZ$1,2))</f>
        <v>478</v>
      </c>
      <c r="BA26" s="16" cm="1">
        <f t="array" ref="BA26">INDEX(_xlfn.ANCHORARRAY(_xlfn.XLOOKUP($C26,'-ref_Distribution'!$B$146:$B$150,'-ref_Distribution'!$G$146:$G$150)),RIGHT(BA$1,2))</f>
        <v>430</v>
      </c>
      <c r="BB26" s="16" cm="1">
        <f t="array" ref="BB26">INDEX(_xlfn.ANCHORARRAY(_xlfn.XLOOKUP($C26,'-ref_Distribution'!$B$146:$B$150,'-ref_Distribution'!$G$146:$G$150)),RIGHT(BB$1,2))</f>
        <v>383</v>
      </c>
      <c r="BC26" s="16" cm="1">
        <f t="array" ref="BC26">INDEX(_xlfn.ANCHORARRAY(_xlfn.XLOOKUP($C26,'-ref_Distribution'!$B$146:$B$150,'-ref_Distribution'!$G$146:$G$150)),RIGHT(BC$1,2))</f>
        <v>336</v>
      </c>
      <c r="BD26" s="16" cm="1">
        <f t="array" ref="BD26">INDEX(_xlfn.ANCHORARRAY(_xlfn.XLOOKUP($C26,'-ref_Distribution'!$B$146:$B$150,'-ref_Distribution'!$G$146:$G$150)),RIGHT(BD$1,2))</f>
        <v>292</v>
      </c>
      <c r="BE26" s="16" cm="1">
        <f t="array" ref="BE26">INDEX(_xlfn.ANCHORARRAY(_xlfn.XLOOKUP($C26,'-ref_Distribution'!$B$146:$B$150,'-ref_Distribution'!$G$146:$G$150)),RIGHT(BE$1,2))</f>
        <v>250</v>
      </c>
      <c r="BF26" s="16" cm="1">
        <f t="array" ref="BF26">INDEX(_xlfn.ANCHORARRAY(_xlfn.XLOOKUP($C26,'-ref_Distribution'!$B$146:$B$150,'-ref_Distribution'!$G$146:$G$150)),RIGHT(BF$1,2))</f>
        <v>212</v>
      </c>
      <c r="BG26" s="16" cm="1">
        <f t="array" ref="BG26">INDEX(_xlfn.ANCHORARRAY(_xlfn.XLOOKUP($C26,'-ref_Distribution'!$B$146:$B$150,'-ref_Distribution'!$G$146:$G$150)),RIGHT(BG$1,2))</f>
        <v>177</v>
      </c>
      <c r="BH26" s="16" cm="1">
        <f t="array" ref="BH26">INDEX(_xlfn.ANCHORARRAY(_xlfn.XLOOKUP($C26,'-ref_Distribution'!$B$146:$B$150,'-ref_Distribution'!$G$146:$G$150)),RIGHT(BH$1,2))</f>
        <v>146</v>
      </c>
      <c r="BI26" s="16" cm="1">
        <f t="array" ref="BI26">INDEX(_xlfn.ANCHORARRAY(_xlfn.XLOOKUP($C26,'-ref_Distribution'!$B$146:$B$150,'-ref_Distribution'!$G$146:$G$150)),RIGHT(BI$1,2))</f>
        <v>119</v>
      </c>
      <c r="BJ26" s="16" cm="1">
        <f t="array" ref="BJ26">INDEX(_xlfn.ANCHORARRAY(_xlfn.XLOOKUP($C26,'-ref_Distribution'!$B$146:$B$150,'-ref_Distribution'!$G$146:$G$150)),RIGHT(BJ$1,2))</f>
        <v>96</v>
      </c>
      <c r="BK26" s="16" cm="1">
        <f t="array" ref="BK26">INDEX(_xlfn.ANCHORARRAY(_xlfn.XLOOKUP($C26,'-ref_Distribution'!$B$146:$B$150,'-ref_Distribution'!$G$146:$G$150)),RIGHT(BK$1,2))</f>
        <v>76</v>
      </c>
      <c r="BL26" s="16" cm="1">
        <f t="array" ref="BL26">INDEX(_xlfn.ANCHORARRAY(_xlfn.XLOOKUP($C26,'-ref_Distribution'!$B$146:$B$150,'-ref_Distribution'!$G$146:$G$150)),RIGHT(BL$1,2))</f>
        <v>709</v>
      </c>
      <c r="BM26" s="16" cm="1">
        <f t="array" ref="BM26">INDEX(_xlfn.ANCHORARRAY(_xlfn.XLOOKUP($C26,'-ref_Distribution'!$B$146:$B$150,'-ref_Distribution'!$G$146:$G$150)),RIGHT(BM$1,2))</f>
        <v>705</v>
      </c>
      <c r="BN26" s="16" cm="1">
        <f t="array" ref="BN26">INDEX(_xlfn.ANCHORARRAY(_xlfn.XLOOKUP($C26,'-ref_Distribution'!$B$146:$B$150,'-ref_Distribution'!$G$146:$G$150)),RIGHT(BN$1,2))</f>
        <v>692</v>
      </c>
      <c r="BO26" s="16" cm="1">
        <f t="array" ref="BO26">INDEX(_xlfn.ANCHORARRAY(_xlfn.XLOOKUP($C26,'-ref_Distribution'!$B$146:$B$150,'-ref_Distribution'!$G$146:$G$150)),RIGHT(BO$1,2))</f>
        <v>671</v>
      </c>
      <c r="BP26" s="16" cm="1">
        <f t="array" ref="BP26">INDEX(_xlfn.ANCHORARRAY(_xlfn.XLOOKUP($C26,'-ref_Distribution'!$B$146:$B$150,'-ref_Distribution'!$G$146:$G$150)),RIGHT(BP$1,2))</f>
        <v>643</v>
      </c>
      <c r="BQ26" s="16" cm="1">
        <f t="array" ref="BQ26">INDEX(_xlfn.ANCHORARRAY(_xlfn.XLOOKUP($C26,'-ref_Distribution'!$B$146:$B$150,'-ref_Distribution'!$G$146:$G$150)),RIGHT(BQ$1,2))</f>
        <v>608</v>
      </c>
      <c r="BR26" s="16" cm="1">
        <f t="array" ref="BR26">INDEX(_xlfn.ANCHORARRAY(_xlfn.XLOOKUP($C26,'-ref_Distribution'!$B$146:$B$150,'-ref_Distribution'!$G$146:$G$150)),RIGHT(BR$1,2))</f>
        <v>568</v>
      </c>
      <c r="BS26" s="16" cm="1">
        <f t="array" ref="BS26">INDEX(_xlfn.ANCHORARRAY(_xlfn.XLOOKUP($C26,'-ref_Distribution'!$B$146:$B$150,'-ref_Distribution'!$G$146:$G$150)),RIGHT(BS$1,2))</f>
        <v>524</v>
      </c>
      <c r="BT26" s="16" cm="1">
        <f t="array" ref="BT26">INDEX(_xlfn.ANCHORARRAY(_xlfn.XLOOKUP($C26,'-ref_Distribution'!$B$146:$B$150,'-ref_Distribution'!$G$146:$G$150)),RIGHT(BT$1,2))</f>
        <v>478</v>
      </c>
      <c r="BU26" s="16" cm="1">
        <f t="array" ref="BU26">INDEX(_xlfn.ANCHORARRAY(_xlfn.XLOOKUP($C26,'-ref_Distribution'!$B$146:$B$150,'-ref_Distribution'!$G$146:$G$150)),RIGHT(BU$1,2))</f>
        <v>430</v>
      </c>
      <c r="BV26" s="16" cm="1">
        <f t="array" ref="BV26">INDEX(_xlfn.ANCHORARRAY(_xlfn.XLOOKUP($C26,'-ref_Distribution'!$B$146:$B$150,'-ref_Distribution'!$G$146:$G$150)),RIGHT(BV$1,2))</f>
        <v>383</v>
      </c>
      <c r="BW26" s="16" cm="1">
        <f t="array" ref="BW26">INDEX(_xlfn.ANCHORARRAY(_xlfn.XLOOKUP($C26,'-ref_Distribution'!$B$146:$B$150,'-ref_Distribution'!$G$146:$G$150)),RIGHT(BW$1,2))</f>
        <v>336</v>
      </c>
      <c r="BX26" s="16" cm="1">
        <f t="array" ref="BX26">INDEX(_xlfn.ANCHORARRAY(_xlfn.XLOOKUP($C26,'-ref_Distribution'!$B$146:$B$150,'-ref_Distribution'!$G$146:$G$150)),RIGHT(BX$1,2))</f>
        <v>292</v>
      </c>
      <c r="BY26" s="16" cm="1">
        <f t="array" ref="BY26">INDEX(_xlfn.ANCHORARRAY(_xlfn.XLOOKUP($C26,'-ref_Distribution'!$B$146:$B$150,'-ref_Distribution'!$G$146:$G$150)),RIGHT(BY$1,2))</f>
        <v>250</v>
      </c>
      <c r="BZ26" s="16" cm="1">
        <f t="array" ref="BZ26">INDEX(_xlfn.ANCHORARRAY(_xlfn.XLOOKUP($C26,'-ref_Distribution'!$B$146:$B$150,'-ref_Distribution'!$G$146:$G$150)),RIGHT(BZ$1,2))</f>
        <v>212</v>
      </c>
      <c r="CA26" s="16" cm="1">
        <f t="array" ref="CA26">INDEX(_xlfn.ANCHORARRAY(_xlfn.XLOOKUP($C26,'-ref_Distribution'!$B$146:$B$150,'-ref_Distribution'!$G$146:$G$150)),RIGHT(CA$1,2))</f>
        <v>177</v>
      </c>
      <c r="CB26" s="16" cm="1">
        <f t="array" ref="CB26">INDEX(_xlfn.ANCHORARRAY(_xlfn.XLOOKUP($C26,'-ref_Distribution'!$B$146:$B$150,'-ref_Distribution'!$G$146:$G$150)),RIGHT(CB$1,2))</f>
        <v>146</v>
      </c>
      <c r="CC26" s="16" cm="1">
        <f t="array" ref="CC26">INDEX(_xlfn.ANCHORARRAY(_xlfn.XLOOKUP($C26,'-ref_Distribution'!$B$146:$B$150,'-ref_Distribution'!$G$146:$G$150)),RIGHT(CC$1,2))</f>
        <v>119</v>
      </c>
      <c r="CD26" s="16" cm="1">
        <f t="array" ref="CD26">INDEX(_xlfn.ANCHORARRAY(_xlfn.XLOOKUP($C26,'-ref_Distribution'!$B$146:$B$150,'-ref_Distribution'!$G$146:$G$150)),RIGHT(CD$1,2))</f>
        <v>96</v>
      </c>
      <c r="CE26" s="16" cm="1">
        <f t="array" ref="CE26">INDEX(_xlfn.ANCHORARRAY(_xlfn.XLOOKUP($C26,'-ref_Distribution'!$B$146:$B$150,'-ref_Distribution'!$G$146:$G$150)),RIGHT(CE$1,2))</f>
        <v>76</v>
      </c>
    </row>
    <row r="27" spans="1:83" x14ac:dyDescent="0.2">
      <c r="A27" s="16">
        <v>301012</v>
      </c>
      <c r="B27" s="16" t="s">
        <v>371</v>
      </c>
      <c r="C27" s="16">
        <v>1</v>
      </c>
      <c r="D27" s="16" cm="1">
        <f t="array" ref="D27">INDEX(_xlfn.ANCHORARRAY(_xlfn.XLOOKUP($C27,'-ref_Distribution'!$B$146:$B$150,'-ref_Distribution'!$G$146:$G$150)),RIGHT(D$1,2))</f>
        <v>337</v>
      </c>
      <c r="E27" s="16" cm="1">
        <f t="array" ref="E27">INDEX(_xlfn.ANCHORARRAY(_xlfn.XLOOKUP($C27,'-ref_Distribution'!$B$146:$B$150,'-ref_Distribution'!$G$146:$G$150)),RIGHT(E$1,2))</f>
        <v>364</v>
      </c>
      <c r="F27" s="16" cm="1">
        <f t="array" ref="F27">INDEX(_xlfn.ANCHORARRAY(_xlfn.XLOOKUP($C27,'-ref_Distribution'!$B$146:$B$150,'-ref_Distribution'!$G$146:$G$150)),RIGHT(F$1,2))</f>
        <v>386</v>
      </c>
      <c r="G27" s="16" cm="1">
        <f t="array" ref="G27">INDEX(_xlfn.ANCHORARRAY(_xlfn.XLOOKUP($C27,'-ref_Distribution'!$B$146:$B$150,'-ref_Distribution'!$G$146:$G$150)),RIGHT(G$1,2))</f>
        <v>403</v>
      </c>
      <c r="H27" s="16" cm="1">
        <f t="array" ref="H27">INDEX(_xlfn.ANCHORARRAY(_xlfn.XLOOKUP($C27,'-ref_Distribution'!$B$146:$B$150,'-ref_Distribution'!$G$146:$G$150)),RIGHT(H$1,2))</f>
        <v>414</v>
      </c>
      <c r="I27" s="16" cm="1">
        <f t="array" ref="I27">INDEX(_xlfn.ANCHORARRAY(_xlfn.XLOOKUP($C27,'-ref_Distribution'!$B$146:$B$150,'-ref_Distribution'!$G$146:$G$150)),RIGHT(I$1,2))</f>
        <v>417</v>
      </c>
      <c r="J27" s="16" cm="1">
        <f t="array" ref="J27">INDEX(_xlfn.ANCHORARRAY(_xlfn.XLOOKUP($C27,'-ref_Distribution'!$B$146:$B$150,'-ref_Distribution'!$G$146:$G$150)),RIGHT(J$1,2))</f>
        <v>414</v>
      </c>
      <c r="K27" s="16" cm="1">
        <f t="array" ref="K27">INDEX(_xlfn.ANCHORARRAY(_xlfn.XLOOKUP($C27,'-ref_Distribution'!$B$146:$B$150,'-ref_Distribution'!$G$146:$G$150)),RIGHT(K$1,2))</f>
        <v>403</v>
      </c>
      <c r="L27" s="16" cm="1">
        <f t="array" ref="L27">INDEX(_xlfn.ANCHORARRAY(_xlfn.XLOOKUP($C27,'-ref_Distribution'!$B$146:$B$150,'-ref_Distribution'!$G$146:$G$150)),RIGHT(L$1,2))</f>
        <v>386</v>
      </c>
      <c r="M27" s="16" cm="1">
        <f t="array" ref="M27">INDEX(_xlfn.ANCHORARRAY(_xlfn.XLOOKUP($C27,'-ref_Distribution'!$B$146:$B$150,'-ref_Distribution'!$G$146:$G$150)),RIGHT(M$1,2))</f>
        <v>364</v>
      </c>
      <c r="N27" s="16" cm="1">
        <f t="array" ref="N27">INDEX(_xlfn.ANCHORARRAY(_xlfn.XLOOKUP($C27,'-ref_Distribution'!$B$146:$B$150,'-ref_Distribution'!$G$146:$G$150)),RIGHT(N$1,2))</f>
        <v>337</v>
      </c>
      <c r="O27" s="16" cm="1">
        <f t="array" ref="O27">INDEX(_xlfn.ANCHORARRAY(_xlfn.XLOOKUP($C27,'-ref_Distribution'!$B$146:$B$150,'-ref_Distribution'!$G$146:$G$150)),RIGHT(O$1,2))</f>
        <v>307</v>
      </c>
      <c r="P27" s="16" cm="1">
        <f t="array" ref="P27">INDEX(_xlfn.ANCHORARRAY(_xlfn.XLOOKUP($C27,'-ref_Distribution'!$B$146:$B$150,'-ref_Distribution'!$G$146:$G$150)),RIGHT(P$1,2))</f>
        <v>274</v>
      </c>
      <c r="Q27" s="16" cm="1">
        <f t="array" ref="Q27">INDEX(_xlfn.ANCHORARRAY(_xlfn.XLOOKUP($C27,'-ref_Distribution'!$B$146:$B$150,'-ref_Distribution'!$G$146:$G$150)),RIGHT(Q$1,2))</f>
        <v>241</v>
      </c>
      <c r="R27" s="16" cm="1">
        <f t="array" ref="R27">INDEX(_xlfn.ANCHORARRAY(_xlfn.XLOOKUP($C27,'-ref_Distribution'!$B$146:$B$150,'-ref_Distribution'!$G$146:$G$150)),RIGHT(R$1,2))</f>
        <v>209</v>
      </c>
      <c r="S27" s="16" cm="1">
        <f t="array" ref="S27">INDEX(_xlfn.ANCHORARRAY(_xlfn.XLOOKUP($C27,'-ref_Distribution'!$B$146:$B$150,'-ref_Distribution'!$G$146:$G$150)),RIGHT(S$1,2))</f>
        <v>178</v>
      </c>
      <c r="T27" s="16" cm="1">
        <f t="array" ref="T27">INDEX(_xlfn.ANCHORARRAY(_xlfn.XLOOKUP($C27,'-ref_Distribution'!$B$146:$B$150,'-ref_Distribution'!$G$146:$G$150)),RIGHT(T$1,2))</f>
        <v>148</v>
      </c>
      <c r="U27" s="16" cm="1">
        <f t="array" ref="U27">INDEX(_xlfn.ANCHORARRAY(_xlfn.XLOOKUP($C27,'-ref_Distribution'!$B$146:$B$150,'-ref_Distribution'!$G$146:$G$150)),RIGHT(U$1,2))</f>
        <v>122</v>
      </c>
      <c r="V27" s="16" cm="1">
        <f t="array" ref="V27">INDEX(_xlfn.ANCHORARRAY(_xlfn.XLOOKUP($C27,'-ref_Distribution'!$B$146:$B$150,'-ref_Distribution'!$G$146:$G$150)),RIGHT(V$1,2))</f>
        <v>98</v>
      </c>
      <c r="W27" s="16" cm="1">
        <f t="array" ref="W27">INDEX(_xlfn.ANCHORARRAY(_xlfn.XLOOKUP($C27,'-ref_Distribution'!$B$146:$B$150,'-ref_Distribution'!$G$146:$G$150)),RIGHT(W$1,2))</f>
        <v>78</v>
      </c>
      <c r="X27" s="16" cm="1">
        <f t="array" ref="X27">INDEX(_xlfn.ANCHORARRAY(_xlfn.XLOOKUP($C27,'-ref_Distribution'!$B$146:$B$150,'-ref_Distribution'!$G$146:$G$150)),RIGHT(X$1,2))</f>
        <v>337</v>
      </c>
      <c r="Y27" s="16" cm="1">
        <f t="array" ref="Y27">INDEX(_xlfn.ANCHORARRAY(_xlfn.XLOOKUP($C27,'-ref_Distribution'!$B$146:$B$150,'-ref_Distribution'!$G$146:$G$150)),RIGHT(Y$1,2))</f>
        <v>364</v>
      </c>
      <c r="Z27" s="16" cm="1">
        <f t="array" ref="Z27">INDEX(_xlfn.ANCHORARRAY(_xlfn.XLOOKUP($C27,'-ref_Distribution'!$B$146:$B$150,'-ref_Distribution'!$G$146:$G$150)),RIGHT(Z$1,2))</f>
        <v>386</v>
      </c>
      <c r="AA27" s="16" cm="1">
        <f t="array" ref="AA27">INDEX(_xlfn.ANCHORARRAY(_xlfn.XLOOKUP($C27,'-ref_Distribution'!$B$146:$B$150,'-ref_Distribution'!$G$146:$G$150)),RIGHT(AA$1,2))</f>
        <v>403</v>
      </c>
      <c r="AB27" s="16" cm="1">
        <f t="array" ref="AB27">INDEX(_xlfn.ANCHORARRAY(_xlfn.XLOOKUP($C27,'-ref_Distribution'!$B$146:$B$150,'-ref_Distribution'!$G$146:$G$150)),RIGHT(AB$1,2))</f>
        <v>414</v>
      </c>
      <c r="AC27" s="16" cm="1">
        <f t="array" ref="AC27">INDEX(_xlfn.ANCHORARRAY(_xlfn.XLOOKUP($C27,'-ref_Distribution'!$B$146:$B$150,'-ref_Distribution'!$G$146:$G$150)),RIGHT(AC$1,2))</f>
        <v>417</v>
      </c>
      <c r="AD27" s="16" cm="1">
        <f t="array" ref="AD27">INDEX(_xlfn.ANCHORARRAY(_xlfn.XLOOKUP($C27,'-ref_Distribution'!$B$146:$B$150,'-ref_Distribution'!$G$146:$G$150)),RIGHT(AD$1,2))</f>
        <v>414</v>
      </c>
      <c r="AE27" s="16" cm="1">
        <f t="array" ref="AE27">INDEX(_xlfn.ANCHORARRAY(_xlfn.XLOOKUP($C27,'-ref_Distribution'!$B$146:$B$150,'-ref_Distribution'!$G$146:$G$150)),RIGHT(AE$1,2))</f>
        <v>403</v>
      </c>
      <c r="AF27" s="16" cm="1">
        <f t="array" ref="AF27">INDEX(_xlfn.ANCHORARRAY(_xlfn.XLOOKUP($C27,'-ref_Distribution'!$B$146:$B$150,'-ref_Distribution'!$G$146:$G$150)),RIGHT(AF$1,2))</f>
        <v>386</v>
      </c>
      <c r="AG27" s="16" cm="1">
        <f t="array" ref="AG27">INDEX(_xlfn.ANCHORARRAY(_xlfn.XLOOKUP($C27,'-ref_Distribution'!$B$146:$B$150,'-ref_Distribution'!$G$146:$G$150)),RIGHT(AG$1,2))</f>
        <v>364</v>
      </c>
      <c r="AH27" s="16" cm="1">
        <f t="array" ref="AH27">INDEX(_xlfn.ANCHORARRAY(_xlfn.XLOOKUP($C27,'-ref_Distribution'!$B$146:$B$150,'-ref_Distribution'!$G$146:$G$150)),RIGHT(AH$1,2))</f>
        <v>337</v>
      </c>
      <c r="AI27" s="16" cm="1">
        <f t="array" ref="AI27">INDEX(_xlfn.ANCHORARRAY(_xlfn.XLOOKUP($C27,'-ref_Distribution'!$B$146:$B$150,'-ref_Distribution'!$G$146:$G$150)),RIGHT(AI$1,2))</f>
        <v>307</v>
      </c>
      <c r="AJ27" s="16" cm="1">
        <f t="array" ref="AJ27">INDEX(_xlfn.ANCHORARRAY(_xlfn.XLOOKUP($C27,'-ref_Distribution'!$B$146:$B$150,'-ref_Distribution'!$G$146:$G$150)),RIGHT(AJ$1,2))</f>
        <v>274</v>
      </c>
      <c r="AK27" s="16" cm="1">
        <f t="array" ref="AK27">INDEX(_xlfn.ANCHORARRAY(_xlfn.XLOOKUP($C27,'-ref_Distribution'!$B$146:$B$150,'-ref_Distribution'!$G$146:$G$150)),RIGHT(AK$1,2))</f>
        <v>241</v>
      </c>
      <c r="AL27" s="16" cm="1">
        <f t="array" ref="AL27">INDEX(_xlfn.ANCHORARRAY(_xlfn.XLOOKUP($C27,'-ref_Distribution'!$B$146:$B$150,'-ref_Distribution'!$G$146:$G$150)),RIGHT(AL$1,2))</f>
        <v>209</v>
      </c>
      <c r="AM27" s="16" cm="1">
        <f t="array" ref="AM27">INDEX(_xlfn.ANCHORARRAY(_xlfn.XLOOKUP($C27,'-ref_Distribution'!$B$146:$B$150,'-ref_Distribution'!$G$146:$G$150)),RIGHT(AM$1,2))</f>
        <v>178</v>
      </c>
      <c r="AN27" s="16" cm="1">
        <f t="array" ref="AN27">INDEX(_xlfn.ANCHORARRAY(_xlfn.XLOOKUP($C27,'-ref_Distribution'!$B$146:$B$150,'-ref_Distribution'!$G$146:$G$150)),RIGHT(AN$1,2))</f>
        <v>148</v>
      </c>
      <c r="AO27" s="16" cm="1">
        <f t="array" ref="AO27">INDEX(_xlfn.ANCHORARRAY(_xlfn.XLOOKUP($C27,'-ref_Distribution'!$B$146:$B$150,'-ref_Distribution'!$G$146:$G$150)),RIGHT(AO$1,2))</f>
        <v>122</v>
      </c>
      <c r="AP27" s="16" cm="1">
        <f t="array" ref="AP27">INDEX(_xlfn.ANCHORARRAY(_xlfn.XLOOKUP($C27,'-ref_Distribution'!$B$146:$B$150,'-ref_Distribution'!$G$146:$G$150)),RIGHT(AP$1,2))</f>
        <v>98</v>
      </c>
      <c r="AQ27" s="16" cm="1">
        <f t="array" ref="AQ27">INDEX(_xlfn.ANCHORARRAY(_xlfn.XLOOKUP($C27,'-ref_Distribution'!$B$146:$B$150,'-ref_Distribution'!$G$146:$G$150)),RIGHT(AQ$1,2))</f>
        <v>78</v>
      </c>
      <c r="AR27" s="16" cm="1">
        <f t="array" ref="AR27">INDEX(_xlfn.ANCHORARRAY(_xlfn.XLOOKUP($C27,'-ref_Distribution'!$B$146:$B$150,'-ref_Distribution'!$G$146:$G$150)),RIGHT(AR$1,2))</f>
        <v>337</v>
      </c>
      <c r="AS27" s="16" cm="1">
        <f t="array" ref="AS27">INDEX(_xlfn.ANCHORARRAY(_xlfn.XLOOKUP($C27,'-ref_Distribution'!$B$146:$B$150,'-ref_Distribution'!$G$146:$G$150)),RIGHT(AS$1,2))</f>
        <v>364</v>
      </c>
      <c r="AT27" s="16" cm="1">
        <f t="array" ref="AT27">INDEX(_xlfn.ANCHORARRAY(_xlfn.XLOOKUP($C27,'-ref_Distribution'!$B$146:$B$150,'-ref_Distribution'!$G$146:$G$150)),RIGHT(AT$1,2))</f>
        <v>386</v>
      </c>
      <c r="AU27" s="16" cm="1">
        <f t="array" ref="AU27">INDEX(_xlfn.ANCHORARRAY(_xlfn.XLOOKUP($C27,'-ref_Distribution'!$B$146:$B$150,'-ref_Distribution'!$G$146:$G$150)),RIGHT(AU$1,2))</f>
        <v>403</v>
      </c>
      <c r="AV27" s="16" cm="1">
        <f t="array" ref="AV27">INDEX(_xlfn.ANCHORARRAY(_xlfn.XLOOKUP($C27,'-ref_Distribution'!$B$146:$B$150,'-ref_Distribution'!$G$146:$G$150)),RIGHT(AV$1,2))</f>
        <v>414</v>
      </c>
      <c r="AW27" s="16" cm="1">
        <f t="array" ref="AW27">INDEX(_xlfn.ANCHORARRAY(_xlfn.XLOOKUP($C27,'-ref_Distribution'!$B$146:$B$150,'-ref_Distribution'!$G$146:$G$150)),RIGHT(AW$1,2))</f>
        <v>417</v>
      </c>
      <c r="AX27" s="16" cm="1">
        <f t="array" ref="AX27">INDEX(_xlfn.ANCHORARRAY(_xlfn.XLOOKUP($C27,'-ref_Distribution'!$B$146:$B$150,'-ref_Distribution'!$G$146:$G$150)),RIGHT(AX$1,2))</f>
        <v>414</v>
      </c>
      <c r="AY27" s="16" cm="1">
        <f t="array" ref="AY27">INDEX(_xlfn.ANCHORARRAY(_xlfn.XLOOKUP($C27,'-ref_Distribution'!$B$146:$B$150,'-ref_Distribution'!$G$146:$G$150)),RIGHT(AY$1,2))</f>
        <v>403</v>
      </c>
      <c r="AZ27" s="16" cm="1">
        <f t="array" ref="AZ27">INDEX(_xlfn.ANCHORARRAY(_xlfn.XLOOKUP($C27,'-ref_Distribution'!$B$146:$B$150,'-ref_Distribution'!$G$146:$G$150)),RIGHT(AZ$1,2))</f>
        <v>386</v>
      </c>
      <c r="BA27" s="16" cm="1">
        <f t="array" ref="BA27">INDEX(_xlfn.ANCHORARRAY(_xlfn.XLOOKUP($C27,'-ref_Distribution'!$B$146:$B$150,'-ref_Distribution'!$G$146:$G$150)),RIGHT(BA$1,2))</f>
        <v>364</v>
      </c>
      <c r="BB27" s="16" cm="1">
        <f t="array" ref="BB27">INDEX(_xlfn.ANCHORARRAY(_xlfn.XLOOKUP($C27,'-ref_Distribution'!$B$146:$B$150,'-ref_Distribution'!$G$146:$G$150)),RIGHT(BB$1,2))</f>
        <v>337</v>
      </c>
      <c r="BC27" s="16" cm="1">
        <f t="array" ref="BC27">INDEX(_xlfn.ANCHORARRAY(_xlfn.XLOOKUP($C27,'-ref_Distribution'!$B$146:$B$150,'-ref_Distribution'!$G$146:$G$150)),RIGHT(BC$1,2))</f>
        <v>307</v>
      </c>
      <c r="BD27" s="16" cm="1">
        <f t="array" ref="BD27">INDEX(_xlfn.ANCHORARRAY(_xlfn.XLOOKUP($C27,'-ref_Distribution'!$B$146:$B$150,'-ref_Distribution'!$G$146:$G$150)),RIGHT(BD$1,2))</f>
        <v>274</v>
      </c>
      <c r="BE27" s="16" cm="1">
        <f t="array" ref="BE27">INDEX(_xlfn.ANCHORARRAY(_xlfn.XLOOKUP($C27,'-ref_Distribution'!$B$146:$B$150,'-ref_Distribution'!$G$146:$G$150)),RIGHT(BE$1,2))</f>
        <v>241</v>
      </c>
      <c r="BF27" s="16" cm="1">
        <f t="array" ref="BF27">INDEX(_xlfn.ANCHORARRAY(_xlfn.XLOOKUP($C27,'-ref_Distribution'!$B$146:$B$150,'-ref_Distribution'!$G$146:$G$150)),RIGHT(BF$1,2))</f>
        <v>209</v>
      </c>
      <c r="BG27" s="16" cm="1">
        <f t="array" ref="BG27">INDEX(_xlfn.ANCHORARRAY(_xlfn.XLOOKUP($C27,'-ref_Distribution'!$B$146:$B$150,'-ref_Distribution'!$G$146:$G$150)),RIGHT(BG$1,2))</f>
        <v>178</v>
      </c>
      <c r="BH27" s="16" cm="1">
        <f t="array" ref="BH27">INDEX(_xlfn.ANCHORARRAY(_xlfn.XLOOKUP($C27,'-ref_Distribution'!$B$146:$B$150,'-ref_Distribution'!$G$146:$G$150)),RIGHT(BH$1,2))</f>
        <v>148</v>
      </c>
      <c r="BI27" s="16" cm="1">
        <f t="array" ref="BI27">INDEX(_xlfn.ANCHORARRAY(_xlfn.XLOOKUP($C27,'-ref_Distribution'!$B$146:$B$150,'-ref_Distribution'!$G$146:$G$150)),RIGHT(BI$1,2))</f>
        <v>122</v>
      </c>
      <c r="BJ27" s="16" cm="1">
        <f t="array" ref="BJ27">INDEX(_xlfn.ANCHORARRAY(_xlfn.XLOOKUP($C27,'-ref_Distribution'!$B$146:$B$150,'-ref_Distribution'!$G$146:$G$150)),RIGHT(BJ$1,2))</f>
        <v>98</v>
      </c>
      <c r="BK27" s="16" cm="1">
        <f t="array" ref="BK27">INDEX(_xlfn.ANCHORARRAY(_xlfn.XLOOKUP($C27,'-ref_Distribution'!$B$146:$B$150,'-ref_Distribution'!$G$146:$G$150)),RIGHT(BK$1,2))</f>
        <v>78</v>
      </c>
      <c r="BL27" s="16" cm="1">
        <f t="array" ref="BL27">INDEX(_xlfn.ANCHORARRAY(_xlfn.XLOOKUP($C27,'-ref_Distribution'!$B$146:$B$150,'-ref_Distribution'!$G$146:$G$150)),RIGHT(BL$1,2))</f>
        <v>337</v>
      </c>
      <c r="BM27" s="16" cm="1">
        <f t="array" ref="BM27">INDEX(_xlfn.ANCHORARRAY(_xlfn.XLOOKUP($C27,'-ref_Distribution'!$B$146:$B$150,'-ref_Distribution'!$G$146:$G$150)),RIGHT(BM$1,2))</f>
        <v>364</v>
      </c>
      <c r="BN27" s="16" cm="1">
        <f t="array" ref="BN27">INDEX(_xlfn.ANCHORARRAY(_xlfn.XLOOKUP($C27,'-ref_Distribution'!$B$146:$B$150,'-ref_Distribution'!$G$146:$G$150)),RIGHT(BN$1,2))</f>
        <v>386</v>
      </c>
      <c r="BO27" s="16" cm="1">
        <f t="array" ref="BO27">INDEX(_xlfn.ANCHORARRAY(_xlfn.XLOOKUP($C27,'-ref_Distribution'!$B$146:$B$150,'-ref_Distribution'!$G$146:$G$150)),RIGHT(BO$1,2))</f>
        <v>403</v>
      </c>
      <c r="BP27" s="16" cm="1">
        <f t="array" ref="BP27">INDEX(_xlfn.ANCHORARRAY(_xlfn.XLOOKUP($C27,'-ref_Distribution'!$B$146:$B$150,'-ref_Distribution'!$G$146:$G$150)),RIGHT(BP$1,2))</f>
        <v>414</v>
      </c>
      <c r="BQ27" s="16" cm="1">
        <f t="array" ref="BQ27">INDEX(_xlfn.ANCHORARRAY(_xlfn.XLOOKUP($C27,'-ref_Distribution'!$B$146:$B$150,'-ref_Distribution'!$G$146:$G$150)),RIGHT(BQ$1,2))</f>
        <v>417</v>
      </c>
      <c r="BR27" s="16" cm="1">
        <f t="array" ref="BR27">INDEX(_xlfn.ANCHORARRAY(_xlfn.XLOOKUP($C27,'-ref_Distribution'!$B$146:$B$150,'-ref_Distribution'!$G$146:$G$150)),RIGHT(BR$1,2))</f>
        <v>414</v>
      </c>
      <c r="BS27" s="16" cm="1">
        <f t="array" ref="BS27">INDEX(_xlfn.ANCHORARRAY(_xlfn.XLOOKUP($C27,'-ref_Distribution'!$B$146:$B$150,'-ref_Distribution'!$G$146:$G$150)),RIGHT(BS$1,2))</f>
        <v>403</v>
      </c>
      <c r="BT27" s="16" cm="1">
        <f t="array" ref="BT27">INDEX(_xlfn.ANCHORARRAY(_xlfn.XLOOKUP($C27,'-ref_Distribution'!$B$146:$B$150,'-ref_Distribution'!$G$146:$G$150)),RIGHT(BT$1,2))</f>
        <v>386</v>
      </c>
      <c r="BU27" s="16" cm="1">
        <f t="array" ref="BU27">INDEX(_xlfn.ANCHORARRAY(_xlfn.XLOOKUP($C27,'-ref_Distribution'!$B$146:$B$150,'-ref_Distribution'!$G$146:$G$150)),RIGHT(BU$1,2))</f>
        <v>364</v>
      </c>
      <c r="BV27" s="16" cm="1">
        <f t="array" ref="BV27">INDEX(_xlfn.ANCHORARRAY(_xlfn.XLOOKUP($C27,'-ref_Distribution'!$B$146:$B$150,'-ref_Distribution'!$G$146:$G$150)),RIGHT(BV$1,2))</f>
        <v>337</v>
      </c>
      <c r="BW27" s="16" cm="1">
        <f t="array" ref="BW27">INDEX(_xlfn.ANCHORARRAY(_xlfn.XLOOKUP($C27,'-ref_Distribution'!$B$146:$B$150,'-ref_Distribution'!$G$146:$G$150)),RIGHT(BW$1,2))</f>
        <v>307</v>
      </c>
      <c r="BX27" s="16" cm="1">
        <f t="array" ref="BX27">INDEX(_xlfn.ANCHORARRAY(_xlfn.XLOOKUP($C27,'-ref_Distribution'!$B$146:$B$150,'-ref_Distribution'!$G$146:$G$150)),RIGHT(BX$1,2))</f>
        <v>274</v>
      </c>
      <c r="BY27" s="16" cm="1">
        <f t="array" ref="BY27">INDEX(_xlfn.ANCHORARRAY(_xlfn.XLOOKUP($C27,'-ref_Distribution'!$B$146:$B$150,'-ref_Distribution'!$G$146:$G$150)),RIGHT(BY$1,2))</f>
        <v>241</v>
      </c>
      <c r="BZ27" s="16" cm="1">
        <f t="array" ref="BZ27">INDEX(_xlfn.ANCHORARRAY(_xlfn.XLOOKUP($C27,'-ref_Distribution'!$B$146:$B$150,'-ref_Distribution'!$G$146:$G$150)),RIGHT(BZ$1,2))</f>
        <v>209</v>
      </c>
      <c r="CA27" s="16" cm="1">
        <f t="array" ref="CA27">INDEX(_xlfn.ANCHORARRAY(_xlfn.XLOOKUP($C27,'-ref_Distribution'!$B$146:$B$150,'-ref_Distribution'!$G$146:$G$150)),RIGHT(CA$1,2))</f>
        <v>178</v>
      </c>
      <c r="CB27" s="16" cm="1">
        <f t="array" ref="CB27">INDEX(_xlfn.ANCHORARRAY(_xlfn.XLOOKUP($C27,'-ref_Distribution'!$B$146:$B$150,'-ref_Distribution'!$G$146:$G$150)),RIGHT(CB$1,2))</f>
        <v>148</v>
      </c>
      <c r="CC27" s="16" cm="1">
        <f t="array" ref="CC27">INDEX(_xlfn.ANCHORARRAY(_xlfn.XLOOKUP($C27,'-ref_Distribution'!$B$146:$B$150,'-ref_Distribution'!$G$146:$G$150)),RIGHT(CC$1,2))</f>
        <v>122</v>
      </c>
      <c r="CD27" s="16" cm="1">
        <f t="array" ref="CD27">INDEX(_xlfn.ANCHORARRAY(_xlfn.XLOOKUP($C27,'-ref_Distribution'!$B$146:$B$150,'-ref_Distribution'!$G$146:$G$150)),RIGHT(CD$1,2))</f>
        <v>98</v>
      </c>
      <c r="CE27" s="16" cm="1">
        <f t="array" ref="CE27">INDEX(_xlfn.ANCHORARRAY(_xlfn.XLOOKUP($C27,'-ref_Distribution'!$B$146:$B$150,'-ref_Distribution'!$G$146:$G$150)),RIGHT(CE$1,2))</f>
        <v>78</v>
      </c>
    </row>
    <row r="28" spans="1:83" x14ac:dyDescent="0.2">
      <c r="A28" s="16">
        <v>301013</v>
      </c>
      <c r="B28" s="16" t="s">
        <v>371</v>
      </c>
      <c r="C28" s="16">
        <v>2</v>
      </c>
      <c r="D28" s="16" cm="1">
        <f t="array" ref="D28">INDEX(_xlfn.ANCHORARRAY(_xlfn.XLOOKUP($C28,'-ref_Distribution'!$B$146:$B$150,'-ref_Distribution'!$G$146:$G$150)),RIGHT(D$1,2))</f>
        <v>75</v>
      </c>
      <c r="E28" s="16" cm="1">
        <f t="array" ref="E28">INDEX(_xlfn.ANCHORARRAY(_xlfn.XLOOKUP($C28,'-ref_Distribution'!$B$146:$B$150,'-ref_Distribution'!$G$146:$G$150)),RIGHT(E$1,2))</f>
        <v>94</v>
      </c>
      <c r="F28" s="16" cm="1">
        <f t="array" ref="F28">INDEX(_xlfn.ANCHORARRAY(_xlfn.XLOOKUP($C28,'-ref_Distribution'!$B$146:$B$150,'-ref_Distribution'!$G$146:$G$150)),RIGHT(F$1,2))</f>
        <v>115</v>
      </c>
      <c r="G28" s="16" cm="1">
        <f t="array" ref="G28">INDEX(_xlfn.ANCHORARRAY(_xlfn.XLOOKUP($C28,'-ref_Distribution'!$B$146:$B$150,'-ref_Distribution'!$G$146:$G$150)),RIGHT(G$1,2))</f>
        <v>137</v>
      </c>
      <c r="H28" s="16" cm="1">
        <f t="array" ref="H28">INDEX(_xlfn.ANCHORARRAY(_xlfn.XLOOKUP($C28,'-ref_Distribution'!$B$146:$B$150,'-ref_Distribution'!$G$146:$G$150)),RIGHT(H$1,2))</f>
        <v>160</v>
      </c>
      <c r="I28" s="16" cm="1">
        <f t="array" ref="I28">INDEX(_xlfn.ANCHORARRAY(_xlfn.XLOOKUP($C28,'-ref_Distribution'!$B$146:$B$150,'-ref_Distribution'!$G$146:$G$150)),RIGHT(I$1,2))</f>
        <v>183</v>
      </c>
      <c r="J28" s="16" cm="1">
        <f t="array" ref="J28">INDEX(_xlfn.ANCHORARRAY(_xlfn.XLOOKUP($C28,'-ref_Distribution'!$B$146:$B$150,'-ref_Distribution'!$G$146:$G$150)),RIGHT(J$1,2))</f>
        <v>203</v>
      </c>
      <c r="K28" s="16" cm="1">
        <f t="array" ref="K28">INDEX(_xlfn.ANCHORARRAY(_xlfn.XLOOKUP($C28,'-ref_Distribution'!$B$146:$B$150,'-ref_Distribution'!$G$146:$G$150)),RIGHT(K$1,2))</f>
        <v>221</v>
      </c>
      <c r="L28" s="16" cm="1">
        <f t="array" ref="L28">INDEX(_xlfn.ANCHORARRAY(_xlfn.XLOOKUP($C28,'-ref_Distribution'!$B$146:$B$150,'-ref_Distribution'!$G$146:$G$150)),RIGHT(L$1,2))</f>
        <v>234</v>
      </c>
      <c r="M28" s="16" cm="1">
        <f t="array" ref="M28">INDEX(_xlfn.ANCHORARRAY(_xlfn.XLOOKUP($C28,'-ref_Distribution'!$B$146:$B$150,'-ref_Distribution'!$G$146:$G$150)),RIGHT(M$1,2))</f>
        <v>243</v>
      </c>
      <c r="N28" s="16" cm="1">
        <f t="array" ref="N28">INDEX(_xlfn.ANCHORARRAY(_xlfn.XLOOKUP($C28,'-ref_Distribution'!$B$146:$B$150,'-ref_Distribution'!$G$146:$G$150)),RIGHT(N$1,2))</f>
        <v>245</v>
      </c>
      <c r="O28" s="16" cm="1">
        <f t="array" ref="O28">INDEX(_xlfn.ANCHORARRAY(_xlfn.XLOOKUP($C28,'-ref_Distribution'!$B$146:$B$150,'-ref_Distribution'!$G$146:$G$150)),RIGHT(O$1,2))</f>
        <v>243</v>
      </c>
      <c r="P28" s="16" cm="1">
        <f t="array" ref="P28">INDEX(_xlfn.ANCHORARRAY(_xlfn.XLOOKUP($C28,'-ref_Distribution'!$B$146:$B$150,'-ref_Distribution'!$G$146:$G$150)),RIGHT(P$1,2))</f>
        <v>234</v>
      </c>
      <c r="Q28" s="16" cm="1">
        <f t="array" ref="Q28">INDEX(_xlfn.ANCHORARRAY(_xlfn.XLOOKUP($C28,'-ref_Distribution'!$B$146:$B$150,'-ref_Distribution'!$G$146:$G$150)),RIGHT(Q$1,2))</f>
        <v>221</v>
      </c>
      <c r="R28" s="16" cm="1">
        <f t="array" ref="R28">INDEX(_xlfn.ANCHORARRAY(_xlfn.XLOOKUP($C28,'-ref_Distribution'!$B$146:$B$150,'-ref_Distribution'!$G$146:$G$150)),RIGHT(R$1,2))</f>
        <v>203</v>
      </c>
      <c r="S28" s="16" cm="1">
        <f t="array" ref="S28">INDEX(_xlfn.ANCHORARRAY(_xlfn.XLOOKUP($C28,'-ref_Distribution'!$B$146:$B$150,'-ref_Distribution'!$G$146:$G$150)),RIGHT(S$1,2))</f>
        <v>183</v>
      </c>
      <c r="T28" s="16" cm="1">
        <f t="array" ref="T28">INDEX(_xlfn.ANCHORARRAY(_xlfn.XLOOKUP($C28,'-ref_Distribution'!$B$146:$B$150,'-ref_Distribution'!$G$146:$G$150)),RIGHT(T$1,2))</f>
        <v>160</v>
      </c>
      <c r="U28" s="16" cm="1">
        <f t="array" ref="U28">INDEX(_xlfn.ANCHORARRAY(_xlfn.XLOOKUP($C28,'-ref_Distribution'!$B$146:$B$150,'-ref_Distribution'!$G$146:$G$150)),RIGHT(U$1,2))</f>
        <v>137</v>
      </c>
      <c r="V28" s="16" cm="1">
        <f t="array" ref="V28">INDEX(_xlfn.ANCHORARRAY(_xlfn.XLOOKUP($C28,'-ref_Distribution'!$B$146:$B$150,'-ref_Distribution'!$G$146:$G$150)),RIGHT(V$1,2))</f>
        <v>115</v>
      </c>
      <c r="W28" s="16" cm="1">
        <f t="array" ref="W28">INDEX(_xlfn.ANCHORARRAY(_xlfn.XLOOKUP($C28,'-ref_Distribution'!$B$146:$B$150,'-ref_Distribution'!$G$146:$G$150)),RIGHT(W$1,2))</f>
        <v>94</v>
      </c>
      <c r="X28" s="16" cm="1">
        <f t="array" ref="X28">INDEX(_xlfn.ANCHORARRAY(_xlfn.XLOOKUP($C28,'-ref_Distribution'!$B$146:$B$150,'-ref_Distribution'!$G$146:$G$150)),RIGHT(X$1,2))</f>
        <v>75</v>
      </c>
      <c r="Y28" s="16" cm="1">
        <f t="array" ref="Y28">INDEX(_xlfn.ANCHORARRAY(_xlfn.XLOOKUP($C28,'-ref_Distribution'!$B$146:$B$150,'-ref_Distribution'!$G$146:$G$150)),RIGHT(Y$1,2))</f>
        <v>94</v>
      </c>
      <c r="Z28" s="16" cm="1">
        <f t="array" ref="Z28">INDEX(_xlfn.ANCHORARRAY(_xlfn.XLOOKUP($C28,'-ref_Distribution'!$B$146:$B$150,'-ref_Distribution'!$G$146:$G$150)),RIGHT(Z$1,2))</f>
        <v>115</v>
      </c>
      <c r="AA28" s="16" cm="1">
        <f t="array" ref="AA28">INDEX(_xlfn.ANCHORARRAY(_xlfn.XLOOKUP($C28,'-ref_Distribution'!$B$146:$B$150,'-ref_Distribution'!$G$146:$G$150)),RIGHT(AA$1,2))</f>
        <v>137</v>
      </c>
      <c r="AB28" s="16" cm="1">
        <f t="array" ref="AB28">INDEX(_xlfn.ANCHORARRAY(_xlfn.XLOOKUP($C28,'-ref_Distribution'!$B$146:$B$150,'-ref_Distribution'!$G$146:$G$150)),RIGHT(AB$1,2))</f>
        <v>160</v>
      </c>
      <c r="AC28" s="16" cm="1">
        <f t="array" ref="AC28">INDEX(_xlfn.ANCHORARRAY(_xlfn.XLOOKUP($C28,'-ref_Distribution'!$B$146:$B$150,'-ref_Distribution'!$G$146:$G$150)),RIGHT(AC$1,2))</f>
        <v>183</v>
      </c>
      <c r="AD28" s="16" cm="1">
        <f t="array" ref="AD28">INDEX(_xlfn.ANCHORARRAY(_xlfn.XLOOKUP($C28,'-ref_Distribution'!$B$146:$B$150,'-ref_Distribution'!$G$146:$G$150)),RIGHT(AD$1,2))</f>
        <v>203</v>
      </c>
      <c r="AE28" s="16" cm="1">
        <f t="array" ref="AE28">INDEX(_xlfn.ANCHORARRAY(_xlfn.XLOOKUP($C28,'-ref_Distribution'!$B$146:$B$150,'-ref_Distribution'!$G$146:$G$150)),RIGHT(AE$1,2))</f>
        <v>221</v>
      </c>
      <c r="AF28" s="16" cm="1">
        <f t="array" ref="AF28">INDEX(_xlfn.ANCHORARRAY(_xlfn.XLOOKUP($C28,'-ref_Distribution'!$B$146:$B$150,'-ref_Distribution'!$G$146:$G$150)),RIGHT(AF$1,2))</f>
        <v>234</v>
      </c>
      <c r="AG28" s="16" cm="1">
        <f t="array" ref="AG28">INDEX(_xlfn.ANCHORARRAY(_xlfn.XLOOKUP($C28,'-ref_Distribution'!$B$146:$B$150,'-ref_Distribution'!$G$146:$G$150)),RIGHT(AG$1,2))</f>
        <v>243</v>
      </c>
      <c r="AH28" s="16" cm="1">
        <f t="array" ref="AH28">INDEX(_xlfn.ANCHORARRAY(_xlfn.XLOOKUP($C28,'-ref_Distribution'!$B$146:$B$150,'-ref_Distribution'!$G$146:$G$150)),RIGHT(AH$1,2))</f>
        <v>245</v>
      </c>
      <c r="AI28" s="16" cm="1">
        <f t="array" ref="AI28">INDEX(_xlfn.ANCHORARRAY(_xlfn.XLOOKUP($C28,'-ref_Distribution'!$B$146:$B$150,'-ref_Distribution'!$G$146:$G$150)),RIGHT(AI$1,2))</f>
        <v>243</v>
      </c>
      <c r="AJ28" s="16" cm="1">
        <f t="array" ref="AJ28">INDEX(_xlfn.ANCHORARRAY(_xlfn.XLOOKUP($C28,'-ref_Distribution'!$B$146:$B$150,'-ref_Distribution'!$G$146:$G$150)),RIGHT(AJ$1,2))</f>
        <v>234</v>
      </c>
      <c r="AK28" s="16" cm="1">
        <f t="array" ref="AK28">INDEX(_xlfn.ANCHORARRAY(_xlfn.XLOOKUP($C28,'-ref_Distribution'!$B$146:$B$150,'-ref_Distribution'!$G$146:$G$150)),RIGHT(AK$1,2))</f>
        <v>221</v>
      </c>
      <c r="AL28" s="16" cm="1">
        <f t="array" ref="AL28">INDEX(_xlfn.ANCHORARRAY(_xlfn.XLOOKUP($C28,'-ref_Distribution'!$B$146:$B$150,'-ref_Distribution'!$G$146:$G$150)),RIGHT(AL$1,2))</f>
        <v>203</v>
      </c>
      <c r="AM28" s="16" cm="1">
        <f t="array" ref="AM28">INDEX(_xlfn.ANCHORARRAY(_xlfn.XLOOKUP($C28,'-ref_Distribution'!$B$146:$B$150,'-ref_Distribution'!$G$146:$G$150)),RIGHT(AM$1,2))</f>
        <v>183</v>
      </c>
      <c r="AN28" s="16" cm="1">
        <f t="array" ref="AN28">INDEX(_xlfn.ANCHORARRAY(_xlfn.XLOOKUP($C28,'-ref_Distribution'!$B$146:$B$150,'-ref_Distribution'!$G$146:$G$150)),RIGHT(AN$1,2))</f>
        <v>160</v>
      </c>
      <c r="AO28" s="16" cm="1">
        <f t="array" ref="AO28">INDEX(_xlfn.ANCHORARRAY(_xlfn.XLOOKUP($C28,'-ref_Distribution'!$B$146:$B$150,'-ref_Distribution'!$G$146:$G$150)),RIGHT(AO$1,2))</f>
        <v>137</v>
      </c>
      <c r="AP28" s="16" cm="1">
        <f t="array" ref="AP28">INDEX(_xlfn.ANCHORARRAY(_xlfn.XLOOKUP($C28,'-ref_Distribution'!$B$146:$B$150,'-ref_Distribution'!$G$146:$G$150)),RIGHT(AP$1,2))</f>
        <v>115</v>
      </c>
      <c r="AQ28" s="16" cm="1">
        <f t="array" ref="AQ28">INDEX(_xlfn.ANCHORARRAY(_xlfn.XLOOKUP($C28,'-ref_Distribution'!$B$146:$B$150,'-ref_Distribution'!$G$146:$G$150)),RIGHT(AQ$1,2))</f>
        <v>94</v>
      </c>
      <c r="AR28" s="16" cm="1">
        <f t="array" ref="AR28">INDEX(_xlfn.ANCHORARRAY(_xlfn.XLOOKUP($C28,'-ref_Distribution'!$B$146:$B$150,'-ref_Distribution'!$G$146:$G$150)),RIGHT(AR$1,2))</f>
        <v>75</v>
      </c>
      <c r="AS28" s="16" cm="1">
        <f t="array" ref="AS28">INDEX(_xlfn.ANCHORARRAY(_xlfn.XLOOKUP($C28,'-ref_Distribution'!$B$146:$B$150,'-ref_Distribution'!$G$146:$G$150)),RIGHT(AS$1,2))</f>
        <v>94</v>
      </c>
      <c r="AT28" s="16" cm="1">
        <f t="array" ref="AT28">INDEX(_xlfn.ANCHORARRAY(_xlfn.XLOOKUP($C28,'-ref_Distribution'!$B$146:$B$150,'-ref_Distribution'!$G$146:$G$150)),RIGHT(AT$1,2))</f>
        <v>115</v>
      </c>
      <c r="AU28" s="16" cm="1">
        <f t="array" ref="AU28">INDEX(_xlfn.ANCHORARRAY(_xlfn.XLOOKUP($C28,'-ref_Distribution'!$B$146:$B$150,'-ref_Distribution'!$G$146:$G$150)),RIGHT(AU$1,2))</f>
        <v>137</v>
      </c>
      <c r="AV28" s="16" cm="1">
        <f t="array" ref="AV28">INDEX(_xlfn.ANCHORARRAY(_xlfn.XLOOKUP($C28,'-ref_Distribution'!$B$146:$B$150,'-ref_Distribution'!$G$146:$G$150)),RIGHT(AV$1,2))</f>
        <v>160</v>
      </c>
      <c r="AW28" s="16" cm="1">
        <f t="array" ref="AW28">INDEX(_xlfn.ANCHORARRAY(_xlfn.XLOOKUP($C28,'-ref_Distribution'!$B$146:$B$150,'-ref_Distribution'!$G$146:$G$150)),RIGHT(AW$1,2))</f>
        <v>183</v>
      </c>
      <c r="AX28" s="16" cm="1">
        <f t="array" ref="AX28">INDEX(_xlfn.ANCHORARRAY(_xlfn.XLOOKUP($C28,'-ref_Distribution'!$B$146:$B$150,'-ref_Distribution'!$G$146:$G$150)),RIGHT(AX$1,2))</f>
        <v>203</v>
      </c>
      <c r="AY28" s="16" cm="1">
        <f t="array" ref="AY28">INDEX(_xlfn.ANCHORARRAY(_xlfn.XLOOKUP($C28,'-ref_Distribution'!$B$146:$B$150,'-ref_Distribution'!$G$146:$G$150)),RIGHT(AY$1,2))</f>
        <v>221</v>
      </c>
      <c r="AZ28" s="16" cm="1">
        <f t="array" ref="AZ28">INDEX(_xlfn.ANCHORARRAY(_xlfn.XLOOKUP($C28,'-ref_Distribution'!$B$146:$B$150,'-ref_Distribution'!$G$146:$G$150)),RIGHT(AZ$1,2))</f>
        <v>234</v>
      </c>
      <c r="BA28" s="16" cm="1">
        <f t="array" ref="BA28">INDEX(_xlfn.ANCHORARRAY(_xlfn.XLOOKUP($C28,'-ref_Distribution'!$B$146:$B$150,'-ref_Distribution'!$G$146:$G$150)),RIGHT(BA$1,2))</f>
        <v>243</v>
      </c>
      <c r="BB28" s="16" cm="1">
        <f t="array" ref="BB28">INDEX(_xlfn.ANCHORARRAY(_xlfn.XLOOKUP($C28,'-ref_Distribution'!$B$146:$B$150,'-ref_Distribution'!$G$146:$G$150)),RIGHT(BB$1,2))</f>
        <v>245</v>
      </c>
      <c r="BC28" s="16" cm="1">
        <f t="array" ref="BC28">INDEX(_xlfn.ANCHORARRAY(_xlfn.XLOOKUP($C28,'-ref_Distribution'!$B$146:$B$150,'-ref_Distribution'!$G$146:$G$150)),RIGHT(BC$1,2))</f>
        <v>243</v>
      </c>
      <c r="BD28" s="16" cm="1">
        <f t="array" ref="BD28">INDEX(_xlfn.ANCHORARRAY(_xlfn.XLOOKUP($C28,'-ref_Distribution'!$B$146:$B$150,'-ref_Distribution'!$G$146:$G$150)),RIGHT(BD$1,2))</f>
        <v>234</v>
      </c>
      <c r="BE28" s="16" cm="1">
        <f t="array" ref="BE28">INDEX(_xlfn.ANCHORARRAY(_xlfn.XLOOKUP($C28,'-ref_Distribution'!$B$146:$B$150,'-ref_Distribution'!$G$146:$G$150)),RIGHT(BE$1,2))</f>
        <v>221</v>
      </c>
      <c r="BF28" s="16" cm="1">
        <f t="array" ref="BF28">INDEX(_xlfn.ANCHORARRAY(_xlfn.XLOOKUP($C28,'-ref_Distribution'!$B$146:$B$150,'-ref_Distribution'!$G$146:$G$150)),RIGHT(BF$1,2))</f>
        <v>203</v>
      </c>
      <c r="BG28" s="16" cm="1">
        <f t="array" ref="BG28">INDEX(_xlfn.ANCHORARRAY(_xlfn.XLOOKUP($C28,'-ref_Distribution'!$B$146:$B$150,'-ref_Distribution'!$G$146:$G$150)),RIGHT(BG$1,2))</f>
        <v>183</v>
      </c>
      <c r="BH28" s="16" cm="1">
        <f t="array" ref="BH28">INDEX(_xlfn.ANCHORARRAY(_xlfn.XLOOKUP($C28,'-ref_Distribution'!$B$146:$B$150,'-ref_Distribution'!$G$146:$G$150)),RIGHT(BH$1,2))</f>
        <v>160</v>
      </c>
      <c r="BI28" s="16" cm="1">
        <f t="array" ref="BI28">INDEX(_xlfn.ANCHORARRAY(_xlfn.XLOOKUP($C28,'-ref_Distribution'!$B$146:$B$150,'-ref_Distribution'!$G$146:$G$150)),RIGHT(BI$1,2))</f>
        <v>137</v>
      </c>
      <c r="BJ28" s="16" cm="1">
        <f t="array" ref="BJ28">INDEX(_xlfn.ANCHORARRAY(_xlfn.XLOOKUP($C28,'-ref_Distribution'!$B$146:$B$150,'-ref_Distribution'!$G$146:$G$150)),RIGHT(BJ$1,2))</f>
        <v>115</v>
      </c>
      <c r="BK28" s="16" cm="1">
        <f t="array" ref="BK28">INDEX(_xlfn.ANCHORARRAY(_xlfn.XLOOKUP($C28,'-ref_Distribution'!$B$146:$B$150,'-ref_Distribution'!$G$146:$G$150)),RIGHT(BK$1,2))</f>
        <v>94</v>
      </c>
      <c r="BL28" s="16" cm="1">
        <f t="array" ref="BL28">INDEX(_xlfn.ANCHORARRAY(_xlfn.XLOOKUP($C28,'-ref_Distribution'!$B$146:$B$150,'-ref_Distribution'!$G$146:$G$150)),RIGHT(BL$1,2))</f>
        <v>75</v>
      </c>
      <c r="BM28" s="16" cm="1">
        <f t="array" ref="BM28">INDEX(_xlfn.ANCHORARRAY(_xlfn.XLOOKUP($C28,'-ref_Distribution'!$B$146:$B$150,'-ref_Distribution'!$G$146:$G$150)),RIGHT(BM$1,2))</f>
        <v>94</v>
      </c>
      <c r="BN28" s="16" cm="1">
        <f t="array" ref="BN28">INDEX(_xlfn.ANCHORARRAY(_xlfn.XLOOKUP($C28,'-ref_Distribution'!$B$146:$B$150,'-ref_Distribution'!$G$146:$G$150)),RIGHT(BN$1,2))</f>
        <v>115</v>
      </c>
      <c r="BO28" s="16" cm="1">
        <f t="array" ref="BO28">INDEX(_xlfn.ANCHORARRAY(_xlfn.XLOOKUP($C28,'-ref_Distribution'!$B$146:$B$150,'-ref_Distribution'!$G$146:$G$150)),RIGHT(BO$1,2))</f>
        <v>137</v>
      </c>
      <c r="BP28" s="16" cm="1">
        <f t="array" ref="BP28">INDEX(_xlfn.ANCHORARRAY(_xlfn.XLOOKUP($C28,'-ref_Distribution'!$B$146:$B$150,'-ref_Distribution'!$G$146:$G$150)),RIGHT(BP$1,2))</f>
        <v>160</v>
      </c>
      <c r="BQ28" s="16" cm="1">
        <f t="array" ref="BQ28">INDEX(_xlfn.ANCHORARRAY(_xlfn.XLOOKUP($C28,'-ref_Distribution'!$B$146:$B$150,'-ref_Distribution'!$G$146:$G$150)),RIGHT(BQ$1,2))</f>
        <v>183</v>
      </c>
      <c r="BR28" s="16" cm="1">
        <f t="array" ref="BR28">INDEX(_xlfn.ANCHORARRAY(_xlfn.XLOOKUP($C28,'-ref_Distribution'!$B$146:$B$150,'-ref_Distribution'!$G$146:$G$150)),RIGHT(BR$1,2))</f>
        <v>203</v>
      </c>
      <c r="BS28" s="16" cm="1">
        <f t="array" ref="BS28">INDEX(_xlfn.ANCHORARRAY(_xlfn.XLOOKUP($C28,'-ref_Distribution'!$B$146:$B$150,'-ref_Distribution'!$G$146:$G$150)),RIGHT(BS$1,2))</f>
        <v>221</v>
      </c>
      <c r="BT28" s="16" cm="1">
        <f t="array" ref="BT28">INDEX(_xlfn.ANCHORARRAY(_xlfn.XLOOKUP($C28,'-ref_Distribution'!$B$146:$B$150,'-ref_Distribution'!$G$146:$G$150)),RIGHT(BT$1,2))</f>
        <v>234</v>
      </c>
      <c r="BU28" s="16" cm="1">
        <f t="array" ref="BU28">INDEX(_xlfn.ANCHORARRAY(_xlfn.XLOOKUP($C28,'-ref_Distribution'!$B$146:$B$150,'-ref_Distribution'!$G$146:$G$150)),RIGHT(BU$1,2))</f>
        <v>243</v>
      </c>
      <c r="BV28" s="16" cm="1">
        <f t="array" ref="BV28">INDEX(_xlfn.ANCHORARRAY(_xlfn.XLOOKUP($C28,'-ref_Distribution'!$B$146:$B$150,'-ref_Distribution'!$G$146:$G$150)),RIGHT(BV$1,2))</f>
        <v>245</v>
      </c>
      <c r="BW28" s="16" cm="1">
        <f t="array" ref="BW28">INDEX(_xlfn.ANCHORARRAY(_xlfn.XLOOKUP($C28,'-ref_Distribution'!$B$146:$B$150,'-ref_Distribution'!$G$146:$G$150)),RIGHT(BW$1,2))</f>
        <v>243</v>
      </c>
      <c r="BX28" s="16" cm="1">
        <f t="array" ref="BX28">INDEX(_xlfn.ANCHORARRAY(_xlfn.XLOOKUP($C28,'-ref_Distribution'!$B$146:$B$150,'-ref_Distribution'!$G$146:$G$150)),RIGHT(BX$1,2))</f>
        <v>234</v>
      </c>
      <c r="BY28" s="16" cm="1">
        <f t="array" ref="BY28">INDEX(_xlfn.ANCHORARRAY(_xlfn.XLOOKUP($C28,'-ref_Distribution'!$B$146:$B$150,'-ref_Distribution'!$G$146:$G$150)),RIGHT(BY$1,2))</f>
        <v>221</v>
      </c>
      <c r="BZ28" s="16" cm="1">
        <f t="array" ref="BZ28">INDEX(_xlfn.ANCHORARRAY(_xlfn.XLOOKUP($C28,'-ref_Distribution'!$B$146:$B$150,'-ref_Distribution'!$G$146:$G$150)),RIGHT(BZ$1,2))</f>
        <v>203</v>
      </c>
      <c r="CA28" s="16" cm="1">
        <f t="array" ref="CA28">INDEX(_xlfn.ANCHORARRAY(_xlfn.XLOOKUP($C28,'-ref_Distribution'!$B$146:$B$150,'-ref_Distribution'!$G$146:$G$150)),RIGHT(CA$1,2))</f>
        <v>183</v>
      </c>
      <c r="CB28" s="16" cm="1">
        <f t="array" ref="CB28">INDEX(_xlfn.ANCHORARRAY(_xlfn.XLOOKUP($C28,'-ref_Distribution'!$B$146:$B$150,'-ref_Distribution'!$G$146:$G$150)),RIGHT(CB$1,2))</f>
        <v>160</v>
      </c>
      <c r="CC28" s="16" cm="1">
        <f t="array" ref="CC28">INDEX(_xlfn.ANCHORARRAY(_xlfn.XLOOKUP($C28,'-ref_Distribution'!$B$146:$B$150,'-ref_Distribution'!$G$146:$G$150)),RIGHT(CC$1,2))</f>
        <v>137</v>
      </c>
      <c r="CD28" s="16" cm="1">
        <f t="array" ref="CD28">INDEX(_xlfn.ANCHORARRAY(_xlfn.XLOOKUP($C28,'-ref_Distribution'!$B$146:$B$150,'-ref_Distribution'!$G$146:$G$150)),RIGHT(CD$1,2))</f>
        <v>115</v>
      </c>
      <c r="CE28" s="16" cm="1">
        <f t="array" ref="CE28">INDEX(_xlfn.ANCHORARRAY(_xlfn.XLOOKUP($C28,'-ref_Distribution'!$B$146:$B$150,'-ref_Distribution'!$G$146:$G$150)),RIGHT(CE$1,2))</f>
        <v>94</v>
      </c>
    </row>
    <row r="29" spans="1:83" x14ac:dyDescent="0.2">
      <c r="A29" s="16">
        <v>301014</v>
      </c>
      <c r="B29" s="16" t="s">
        <v>371</v>
      </c>
      <c r="C29" s="16">
        <v>3</v>
      </c>
      <c r="D29" s="16" cm="1">
        <f t="array" ref="D29">INDEX(_xlfn.ANCHORARRAY(_xlfn.XLOOKUP($C29,'-ref_Distribution'!$B$146:$B$150,'-ref_Distribution'!$G$146:$G$150)),RIGHT(D$1,2))</f>
        <v>4</v>
      </c>
      <c r="E29" s="16" cm="1">
        <f t="array" ref="E29">INDEX(_xlfn.ANCHORARRAY(_xlfn.XLOOKUP($C29,'-ref_Distribution'!$B$146:$B$150,'-ref_Distribution'!$G$146:$G$150)),RIGHT(E$1,2))</f>
        <v>6</v>
      </c>
      <c r="F29" s="16" cm="1">
        <f t="array" ref="F29">INDEX(_xlfn.ANCHORARRAY(_xlfn.XLOOKUP($C29,'-ref_Distribution'!$B$146:$B$150,'-ref_Distribution'!$G$146:$G$150)),RIGHT(F$1,2))</f>
        <v>9</v>
      </c>
      <c r="G29" s="16" cm="1">
        <f t="array" ref="G29">INDEX(_xlfn.ANCHORARRAY(_xlfn.XLOOKUP($C29,'-ref_Distribution'!$B$146:$B$150,'-ref_Distribution'!$G$146:$G$150)),RIGHT(G$1,2))</f>
        <v>14</v>
      </c>
      <c r="H29" s="16" cm="1">
        <f t="array" ref="H29">INDEX(_xlfn.ANCHORARRAY(_xlfn.XLOOKUP($C29,'-ref_Distribution'!$B$146:$B$150,'-ref_Distribution'!$G$146:$G$150)),RIGHT(H$1,2))</f>
        <v>20</v>
      </c>
      <c r="I29" s="16" cm="1">
        <f t="array" ref="I29">INDEX(_xlfn.ANCHORARRAY(_xlfn.XLOOKUP($C29,'-ref_Distribution'!$B$146:$B$150,'-ref_Distribution'!$G$146:$G$150)),RIGHT(I$1,2))</f>
        <v>28</v>
      </c>
      <c r="J29" s="16" cm="1">
        <f t="array" ref="J29">INDEX(_xlfn.ANCHORARRAY(_xlfn.XLOOKUP($C29,'-ref_Distribution'!$B$146:$B$150,'-ref_Distribution'!$G$146:$G$150)),RIGHT(J$1,2))</f>
        <v>38</v>
      </c>
      <c r="K29" s="16" cm="1">
        <f t="array" ref="K29">INDEX(_xlfn.ANCHORARRAY(_xlfn.XLOOKUP($C29,'-ref_Distribution'!$B$146:$B$150,'-ref_Distribution'!$G$146:$G$150)),RIGHT(K$1,2))</f>
        <v>51</v>
      </c>
      <c r="L29" s="16" cm="1">
        <f t="array" ref="L29">INDEX(_xlfn.ANCHORARRAY(_xlfn.XLOOKUP($C29,'-ref_Distribution'!$B$146:$B$150,'-ref_Distribution'!$G$146:$G$150)),RIGHT(L$1,2))</f>
        <v>65</v>
      </c>
      <c r="M29" s="16" cm="1">
        <f t="array" ref="M29">INDEX(_xlfn.ANCHORARRAY(_xlfn.XLOOKUP($C29,'-ref_Distribution'!$B$146:$B$150,'-ref_Distribution'!$G$146:$G$150)),RIGHT(M$1,2))</f>
        <v>80</v>
      </c>
      <c r="N29" s="16" cm="1">
        <f t="array" ref="N29">INDEX(_xlfn.ANCHORARRAY(_xlfn.XLOOKUP($C29,'-ref_Distribution'!$B$146:$B$150,'-ref_Distribution'!$G$146:$G$150)),RIGHT(N$1,2))</f>
        <v>96</v>
      </c>
      <c r="O29" s="16" cm="1">
        <f t="array" ref="O29">INDEX(_xlfn.ANCHORARRAY(_xlfn.XLOOKUP($C29,'-ref_Distribution'!$B$146:$B$150,'-ref_Distribution'!$G$146:$G$150)),RIGHT(O$1,2))</f>
        <v>111</v>
      </c>
      <c r="P29" s="16" cm="1">
        <f t="array" ref="P29">INDEX(_xlfn.ANCHORARRAY(_xlfn.XLOOKUP($C29,'-ref_Distribution'!$B$146:$B$150,'-ref_Distribution'!$G$146:$G$150)),RIGHT(P$1,2))</f>
        <v>125</v>
      </c>
      <c r="Q29" s="16" cm="1">
        <f t="array" ref="Q29">INDEX(_xlfn.ANCHORARRAY(_xlfn.XLOOKUP($C29,'-ref_Distribution'!$B$146:$B$150,'-ref_Distribution'!$G$146:$G$150)),RIGHT(Q$1,2))</f>
        <v>135</v>
      </c>
      <c r="R29" s="16" cm="1">
        <f t="array" ref="R29">INDEX(_xlfn.ANCHORARRAY(_xlfn.XLOOKUP($C29,'-ref_Distribution'!$B$146:$B$150,'-ref_Distribution'!$G$146:$G$150)),RIGHT(R$1,2))</f>
        <v>142</v>
      </c>
      <c r="S29" s="16" cm="1">
        <f t="array" ref="S29">INDEX(_xlfn.ANCHORARRAY(_xlfn.XLOOKUP($C29,'-ref_Distribution'!$B$146:$B$150,'-ref_Distribution'!$G$146:$G$150)),RIGHT(S$1,2))</f>
        <v>144</v>
      </c>
      <c r="T29" s="16" cm="1">
        <f t="array" ref="T29">INDEX(_xlfn.ANCHORARRAY(_xlfn.XLOOKUP($C29,'-ref_Distribution'!$B$146:$B$150,'-ref_Distribution'!$G$146:$G$150)),RIGHT(T$1,2))</f>
        <v>142</v>
      </c>
      <c r="U29" s="16" cm="1">
        <f t="array" ref="U29">INDEX(_xlfn.ANCHORARRAY(_xlfn.XLOOKUP($C29,'-ref_Distribution'!$B$146:$B$150,'-ref_Distribution'!$G$146:$G$150)),RIGHT(U$1,2))</f>
        <v>135</v>
      </c>
      <c r="V29" s="16" cm="1">
        <f t="array" ref="V29">INDEX(_xlfn.ANCHORARRAY(_xlfn.XLOOKUP($C29,'-ref_Distribution'!$B$146:$B$150,'-ref_Distribution'!$G$146:$G$150)),RIGHT(V$1,2))</f>
        <v>125</v>
      </c>
      <c r="W29" s="16" cm="1">
        <f t="array" ref="W29">INDEX(_xlfn.ANCHORARRAY(_xlfn.XLOOKUP($C29,'-ref_Distribution'!$B$146:$B$150,'-ref_Distribution'!$G$146:$G$150)),RIGHT(W$1,2))</f>
        <v>111</v>
      </c>
      <c r="X29" s="16" cm="1">
        <f t="array" ref="X29">INDEX(_xlfn.ANCHORARRAY(_xlfn.XLOOKUP($C29,'-ref_Distribution'!$B$146:$B$150,'-ref_Distribution'!$G$146:$G$150)),RIGHT(X$1,2))</f>
        <v>4</v>
      </c>
      <c r="Y29" s="16" cm="1">
        <f t="array" ref="Y29">INDEX(_xlfn.ANCHORARRAY(_xlfn.XLOOKUP($C29,'-ref_Distribution'!$B$146:$B$150,'-ref_Distribution'!$G$146:$G$150)),RIGHT(Y$1,2))</f>
        <v>6</v>
      </c>
      <c r="Z29" s="16" cm="1">
        <f t="array" ref="Z29">INDEX(_xlfn.ANCHORARRAY(_xlfn.XLOOKUP($C29,'-ref_Distribution'!$B$146:$B$150,'-ref_Distribution'!$G$146:$G$150)),RIGHT(Z$1,2))</f>
        <v>9</v>
      </c>
      <c r="AA29" s="16" cm="1">
        <f t="array" ref="AA29">INDEX(_xlfn.ANCHORARRAY(_xlfn.XLOOKUP($C29,'-ref_Distribution'!$B$146:$B$150,'-ref_Distribution'!$G$146:$G$150)),RIGHT(AA$1,2))</f>
        <v>14</v>
      </c>
      <c r="AB29" s="16" cm="1">
        <f t="array" ref="AB29">INDEX(_xlfn.ANCHORARRAY(_xlfn.XLOOKUP($C29,'-ref_Distribution'!$B$146:$B$150,'-ref_Distribution'!$G$146:$G$150)),RIGHT(AB$1,2))</f>
        <v>20</v>
      </c>
      <c r="AC29" s="16" cm="1">
        <f t="array" ref="AC29">INDEX(_xlfn.ANCHORARRAY(_xlfn.XLOOKUP($C29,'-ref_Distribution'!$B$146:$B$150,'-ref_Distribution'!$G$146:$G$150)),RIGHT(AC$1,2))</f>
        <v>28</v>
      </c>
      <c r="AD29" s="16" cm="1">
        <f t="array" ref="AD29">INDEX(_xlfn.ANCHORARRAY(_xlfn.XLOOKUP($C29,'-ref_Distribution'!$B$146:$B$150,'-ref_Distribution'!$G$146:$G$150)),RIGHT(AD$1,2))</f>
        <v>38</v>
      </c>
      <c r="AE29" s="16" cm="1">
        <f t="array" ref="AE29">INDEX(_xlfn.ANCHORARRAY(_xlfn.XLOOKUP($C29,'-ref_Distribution'!$B$146:$B$150,'-ref_Distribution'!$G$146:$G$150)),RIGHT(AE$1,2))</f>
        <v>51</v>
      </c>
      <c r="AF29" s="16" cm="1">
        <f t="array" ref="AF29">INDEX(_xlfn.ANCHORARRAY(_xlfn.XLOOKUP($C29,'-ref_Distribution'!$B$146:$B$150,'-ref_Distribution'!$G$146:$G$150)),RIGHT(AF$1,2))</f>
        <v>65</v>
      </c>
      <c r="AG29" s="16" cm="1">
        <f t="array" ref="AG29">INDEX(_xlfn.ANCHORARRAY(_xlfn.XLOOKUP($C29,'-ref_Distribution'!$B$146:$B$150,'-ref_Distribution'!$G$146:$G$150)),RIGHT(AG$1,2))</f>
        <v>80</v>
      </c>
      <c r="AH29" s="16" cm="1">
        <f t="array" ref="AH29">INDEX(_xlfn.ANCHORARRAY(_xlfn.XLOOKUP($C29,'-ref_Distribution'!$B$146:$B$150,'-ref_Distribution'!$G$146:$G$150)),RIGHT(AH$1,2))</f>
        <v>96</v>
      </c>
      <c r="AI29" s="16" cm="1">
        <f t="array" ref="AI29">INDEX(_xlfn.ANCHORARRAY(_xlfn.XLOOKUP($C29,'-ref_Distribution'!$B$146:$B$150,'-ref_Distribution'!$G$146:$G$150)),RIGHT(AI$1,2))</f>
        <v>111</v>
      </c>
      <c r="AJ29" s="16" cm="1">
        <f t="array" ref="AJ29">INDEX(_xlfn.ANCHORARRAY(_xlfn.XLOOKUP($C29,'-ref_Distribution'!$B$146:$B$150,'-ref_Distribution'!$G$146:$G$150)),RIGHT(AJ$1,2))</f>
        <v>125</v>
      </c>
      <c r="AK29" s="16" cm="1">
        <f t="array" ref="AK29">INDEX(_xlfn.ANCHORARRAY(_xlfn.XLOOKUP($C29,'-ref_Distribution'!$B$146:$B$150,'-ref_Distribution'!$G$146:$G$150)),RIGHT(AK$1,2))</f>
        <v>135</v>
      </c>
      <c r="AL29" s="16" cm="1">
        <f t="array" ref="AL29">INDEX(_xlfn.ANCHORARRAY(_xlfn.XLOOKUP($C29,'-ref_Distribution'!$B$146:$B$150,'-ref_Distribution'!$G$146:$G$150)),RIGHT(AL$1,2))</f>
        <v>142</v>
      </c>
      <c r="AM29" s="16" cm="1">
        <f t="array" ref="AM29">INDEX(_xlfn.ANCHORARRAY(_xlfn.XLOOKUP($C29,'-ref_Distribution'!$B$146:$B$150,'-ref_Distribution'!$G$146:$G$150)),RIGHT(AM$1,2))</f>
        <v>144</v>
      </c>
      <c r="AN29" s="16" cm="1">
        <f t="array" ref="AN29">INDEX(_xlfn.ANCHORARRAY(_xlfn.XLOOKUP($C29,'-ref_Distribution'!$B$146:$B$150,'-ref_Distribution'!$G$146:$G$150)),RIGHT(AN$1,2))</f>
        <v>142</v>
      </c>
      <c r="AO29" s="16" cm="1">
        <f t="array" ref="AO29">INDEX(_xlfn.ANCHORARRAY(_xlfn.XLOOKUP($C29,'-ref_Distribution'!$B$146:$B$150,'-ref_Distribution'!$G$146:$G$150)),RIGHT(AO$1,2))</f>
        <v>135</v>
      </c>
      <c r="AP29" s="16" cm="1">
        <f t="array" ref="AP29">INDEX(_xlfn.ANCHORARRAY(_xlfn.XLOOKUP($C29,'-ref_Distribution'!$B$146:$B$150,'-ref_Distribution'!$G$146:$G$150)),RIGHT(AP$1,2))</f>
        <v>125</v>
      </c>
      <c r="AQ29" s="16" cm="1">
        <f t="array" ref="AQ29">INDEX(_xlfn.ANCHORARRAY(_xlfn.XLOOKUP($C29,'-ref_Distribution'!$B$146:$B$150,'-ref_Distribution'!$G$146:$G$150)),RIGHT(AQ$1,2))</f>
        <v>111</v>
      </c>
      <c r="AR29" s="16" cm="1">
        <f t="array" ref="AR29">INDEX(_xlfn.ANCHORARRAY(_xlfn.XLOOKUP($C29,'-ref_Distribution'!$B$146:$B$150,'-ref_Distribution'!$G$146:$G$150)),RIGHT(AR$1,2))</f>
        <v>4</v>
      </c>
      <c r="AS29" s="16" cm="1">
        <f t="array" ref="AS29">INDEX(_xlfn.ANCHORARRAY(_xlfn.XLOOKUP($C29,'-ref_Distribution'!$B$146:$B$150,'-ref_Distribution'!$G$146:$G$150)),RIGHT(AS$1,2))</f>
        <v>6</v>
      </c>
      <c r="AT29" s="16" cm="1">
        <f t="array" ref="AT29">INDEX(_xlfn.ANCHORARRAY(_xlfn.XLOOKUP($C29,'-ref_Distribution'!$B$146:$B$150,'-ref_Distribution'!$G$146:$G$150)),RIGHT(AT$1,2))</f>
        <v>9</v>
      </c>
      <c r="AU29" s="16" cm="1">
        <f t="array" ref="AU29">INDEX(_xlfn.ANCHORARRAY(_xlfn.XLOOKUP($C29,'-ref_Distribution'!$B$146:$B$150,'-ref_Distribution'!$G$146:$G$150)),RIGHT(AU$1,2))</f>
        <v>14</v>
      </c>
      <c r="AV29" s="16" cm="1">
        <f t="array" ref="AV29">INDEX(_xlfn.ANCHORARRAY(_xlfn.XLOOKUP($C29,'-ref_Distribution'!$B$146:$B$150,'-ref_Distribution'!$G$146:$G$150)),RIGHT(AV$1,2))</f>
        <v>20</v>
      </c>
      <c r="AW29" s="16" cm="1">
        <f t="array" ref="AW29">INDEX(_xlfn.ANCHORARRAY(_xlfn.XLOOKUP($C29,'-ref_Distribution'!$B$146:$B$150,'-ref_Distribution'!$G$146:$G$150)),RIGHT(AW$1,2))</f>
        <v>28</v>
      </c>
      <c r="AX29" s="16" cm="1">
        <f t="array" ref="AX29">INDEX(_xlfn.ANCHORARRAY(_xlfn.XLOOKUP($C29,'-ref_Distribution'!$B$146:$B$150,'-ref_Distribution'!$G$146:$G$150)),RIGHT(AX$1,2))</f>
        <v>38</v>
      </c>
      <c r="AY29" s="16" cm="1">
        <f t="array" ref="AY29">INDEX(_xlfn.ANCHORARRAY(_xlfn.XLOOKUP($C29,'-ref_Distribution'!$B$146:$B$150,'-ref_Distribution'!$G$146:$G$150)),RIGHT(AY$1,2))</f>
        <v>51</v>
      </c>
      <c r="AZ29" s="16" cm="1">
        <f t="array" ref="AZ29">INDEX(_xlfn.ANCHORARRAY(_xlfn.XLOOKUP($C29,'-ref_Distribution'!$B$146:$B$150,'-ref_Distribution'!$G$146:$G$150)),RIGHT(AZ$1,2))</f>
        <v>65</v>
      </c>
      <c r="BA29" s="16" cm="1">
        <f t="array" ref="BA29">INDEX(_xlfn.ANCHORARRAY(_xlfn.XLOOKUP($C29,'-ref_Distribution'!$B$146:$B$150,'-ref_Distribution'!$G$146:$G$150)),RIGHT(BA$1,2))</f>
        <v>80</v>
      </c>
      <c r="BB29" s="16" cm="1">
        <f t="array" ref="BB29">INDEX(_xlfn.ANCHORARRAY(_xlfn.XLOOKUP($C29,'-ref_Distribution'!$B$146:$B$150,'-ref_Distribution'!$G$146:$G$150)),RIGHT(BB$1,2))</f>
        <v>96</v>
      </c>
      <c r="BC29" s="16" cm="1">
        <f t="array" ref="BC29">INDEX(_xlfn.ANCHORARRAY(_xlfn.XLOOKUP($C29,'-ref_Distribution'!$B$146:$B$150,'-ref_Distribution'!$G$146:$G$150)),RIGHT(BC$1,2))</f>
        <v>111</v>
      </c>
      <c r="BD29" s="16" cm="1">
        <f t="array" ref="BD29">INDEX(_xlfn.ANCHORARRAY(_xlfn.XLOOKUP($C29,'-ref_Distribution'!$B$146:$B$150,'-ref_Distribution'!$G$146:$G$150)),RIGHT(BD$1,2))</f>
        <v>125</v>
      </c>
      <c r="BE29" s="16" cm="1">
        <f t="array" ref="BE29">INDEX(_xlfn.ANCHORARRAY(_xlfn.XLOOKUP($C29,'-ref_Distribution'!$B$146:$B$150,'-ref_Distribution'!$G$146:$G$150)),RIGHT(BE$1,2))</f>
        <v>135</v>
      </c>
      <c r="BF29" s="16" cm="1">
        <f t="array" ref="BF29">INDEX(_xlfn.ANCHORARRAY(_xlfn.XLOOKUP($C29,'-ref_Distribution'!$B$146:$B$150,'-ref_Distribution'!$G$146:$G$150)),RIGHT(BF$1,2))</f>
        <v>142</v>
      </c>
      <c r="BG29" s="16" cm="1">
        <f t="array" ref="BG29">INDEX(_xlfn.ANCHORARRAY(_xlfn.XLOOKUP($C29,'-ref_Distribution'!$B$146:$B$150,'-ref_Distribution'!$G$146:$G$150)),RIGHT(BG$1,2))</f>
        <v>144</v>
      </c>
      <c r="BH29" s="16" cm="1">
        <f t="array" ref="BH29">INDEX(_xlfn.ANCHORARRAY(_xlfn.XLOOKUP($C29,'-ref_Distribution'!$B$146:$B$150,'-ref_Distribution'!$G$146:$G$150)),RIGHT(BH$1,2))</f>
        <v>142</v>
      </c>
      <c r="BI29" s="16" cm="1">
        <f t="array" ref="BI29">INDEX(_xlfn.ANCHORARRAY(_xlfn.XLOOKUP($C29,'-ref_Distribution'!$B$146:$B$150,'-ref_Distribution'!$G$146:$G$150)),RIGHT(BI$1,2))</f>
        <v>135</v>
      </c>
      <c r="BJ29" s="16" cm="1">
        <f t="array" ref="BJ29">INDEX(_xlfn.ANCHORARRAY(_xlfn.XLOOKUP($C29,'-ref_Distribution'!$B$146:$B$150,'-ref_Distribution'!$G$146:$G$150)),RIGHT(BJ$1,2))</f>
        <v>125</v>
      </c>
      <c r="BK29" s="16" cm="1">
        <f t="array" ref="BK29">INDEX(_xlfn.ANCHORARRAY(_xlfn.XLOOKUP($C29,'-ref_Distribution'!$B$146:$B$150,'-ref_Distribution'!$G$146:$G$150)),RIGHT(BK$1,2))</f>
        <v>111</v>
      </c>
      <c r="BL29" s="16" cm="1">
        <f t="array" ref="BL29">INDEX(_xlfn.ANCHORARRAY(_xlfn.XLOOKUP($C29,'-ref_Distribution'!$B$146:$B$150,'-ref_Distribution'!$G$146:$G$150)),RIGHT(BL$1,2))</f>
        <v>4</v>
      </c>
      <c r="BM29" s="16" cm="1">
        <f t="array" ref="BM29">INDEX(_xlfn.ANCHORARRAY(_xlfn.XLOOKUP($C29,'-ref_Distribution'!$B$146:$B$150,'-ref_Distribution'!$G$146:$G$150)),RIGHT(BM$1,2))</f>
        <v>6</v>
      </c>
      <c r="BN29" s="16" cm="1">
        <f t="array" ref="BN29">INDEX(_xlfn.ANCHORARRAY(_xlfn.XLOOKUP($C29,'-ref_Distribution'!$B$146:$B$150,'-ref_Distribution'!$G$146:$G$150)),RIGHT(BN$1,2))</f>
        <v>9</v>
      </c>
      <c r="BO29" s="16" cm="1">
        <f t="array" ref="BO29">INDEX(_xlfn.ANCHORARRAY(_xlfn.XLOOKUP($C29,'-ref_Distribution'!$B$146:$B$150,'-ref_Distribution'!$G$146:$G$150)),RIGHT(BO$1,2))</f>
        <v>14</v>
      </c>
      <c r="BP29" s="16" cm="1">
        <f t="array" ref="BP29">INDEX(_xlfn.ANCHORARRAY(_xlfn.XLOOKUP($C29,'-ref_Distribution'!$B$146:$B$150,'-ref_Distribution'!$G$146:$G$150)),RIGHT(BP$1,2))</f>
        <v>20</v>
      </c>
      <c r="BQ29" s="16" cm="1">
        <f t="array" ref="BQ29">INDEX(_xlfn.ANCHORARRAY(_xlfn.XLOOKUP($C29,'-ref_Distribution'!$B$146:$B$150,'-ref_Distribution'!$G$146:$G$150)),RIGHT(BQ$1,2))</f>
        <v>28</v>
      </c>
      <c r="BR29" s="16" cm="1">
        <f t="array" ref="BR29">INDEX(_xlfn.ANCHORARRAY(_xlfn.XLOOKUP($C29,'-ref_Distribution'!$B$146:$B$150,'-ref_Distribution'!$G$146:$G$150)),RIGHT(BR$1,2))</f>
        <v>38</v>
      </c>
      <c r="BS29" s="16" cm="1">
        <f t="array" ref="BS29">INDEX(_xlfn.ANCHORARRAY(_xlfn.XLOOKUP($C29,'-ref_Distribution'!$B$146:$B$150,'-ref_Distribution'!$G$146:$G$150)),RIGHT(BS$1,2))</f>
        <v>51</v>
      </c>
      <c r="BT29" s="16" cm="1">
        <f t="array" ref="BT29">INDEX(_xlfn.ANCHORARRAY(_xlfn.XLOOKUP($C29,'-ref_Distribution'!$B$146:$B$150,'-ref_Distribution'!$G$146:$G$150)),RIGHT(BT$1,2))</f>
        <v>65</v>
      </c>
      <c r="BU29" s="16" cm="1">
        <f t="array" ref="BU29">INDEX(_xlfn.ANCHORARRAY(_xlfn.XLOOKUP($C29,'-ref_Distribution'!$B$146:$B$150,'-ref_Distribution'!$G$146:$G$150)),RIGHT(BU$1,2))</f>
        <v>80</v>
      </c>
      <c r="BV29" s="16" cm="1">
        <f t="array" ref="BV29">INDEX(_xlfn.ANCHORARRAY(_xlfn.XLOOKUP($C29,'-ref_Distribution'!$B$146:$B$150,'-ref_Distribution'!$G$146:$G$150)),RIGHT(BV$1,2))</f>
        <v>96</v>
      </c>
      <c r="BW29" s="16" cm="1">
        <f t="array" ref="BW29">INDEX(_xlfn.ANCHORARRAY(_xlfn.XLOOKUP($C29,'-ref_Distribution'!$B$146:$B$150,'-ref_Distribution'!$G$146:$G$150)),RIGHT(BW$1,2))</f>
        <v>111</v>
      </c>
      <c r="BX29" s="16" cm="1">
        <f t="array" ref="BX29">INDEX(_xlfn.ANCHORARRAY(_xlfn.XLOOKUP($C29,'-ref_Distribution'!$B$146:$B$150,'-ref_Distribution'!$G$146:$G$150)),RIGHT(BX$1,2))</f>
        <v>125</v>
      </c>
      <c r="BY29" s="16" cm="1">
        <f t="array" ref="BY29">INDEX(_xlfn.ANCHORARRAY(_xlfn.XLOOKUP($C29,'-ref_Distribution'!$B$146:$B$150,'-ref_Distribution'!$G$146:$G$150)),RIGHT(BY$1,2))</f>
        <v>135</v>
      </c>
      <c r="BZ29" s="16" cm="1">
        <f t="array" ref="BZ29">INDEX(_xlfn.ANCHORARRAY(_xlfn.XLOOKUP($C29,'-ref_Distribution'!$B$146:$B$150,'-ref_Distribution'!$G$146:$G$150)),RIGHT(BZ$1,2))</f>
        <v>142</v>
      </c>
      <c r="CA29" s="16" cm="1">
        <f t="array" ref="CA29">INDEX(_xlfn.ANCHORARRAY(_xlfn.XLOOKUP($C29,'-ref_Distribution'!$B$146:$B$150,'-ref_Distribution'!$G$146:$G$150)),RIGHT(CA$1,2))</f>
        <v>144</v>
      </c>
      <c r="CB29" s="16" cm="1">
        <f t="array" ref="CB29">INDEX(_xlfn.ANCHORARRAY(_xlfn.XLOOKUP($C29,'-ref_Distribution'!$B$146:$B$150,'-ref_Distribution'!$G$146:$G$150)),RIGHT(CB$1,2))</f>
        <v>142</v>
      </c>
      <c r="CC29" s="16" cm="1">
        <f t="array" ref="CC29">INDEX(_xlfn.ANCHORARRAY(_xlfn.XLOOKUP($C29,'-ref_Distribution'!$B$146:$B$150,'-ref_Distribution'!$G$146:$G$150)),RIGHT(CC$1,2))</f>
        <v>135</v>
      </c>
      <c r="CD29" s="16" cm="1">
        <f t="array" ref="CD29">INDEX(_xlfn.ANCHORARRAY(_xlfn.XLOOKUP($C29,'-ref_Distribution'!$B$146:$B$150,'-ref_Distribution'!$G$146:$G$150)),RIGHT(CD$1,2))</f>
        <v>125</v>
      </c>
      <c r="CE29" s="16" cm="1">
        <f t="array" ref="CE29">INDEX(_xlfn.ANCHORARRAY(_xlfn.XLOOKUP($C29,'-ref_Distribution'!$B$146:$B$150,'-ref_Distribution'!$G$146:$G$150)),RIGHT(CE$1,2))</f>
        <v>111</v>
      </c>
    </row>
    <row r="30" spans="1:83" x14ac:dyDescent="0.2">
      <c r="A30" s="16">
        <v>301031</v>
      </c>
      <c r="B30" s="16" t="s">
        <v>219</v>
      </c>
      <c r="C30" s="16">
        <v>0</v>
      </c>
      <c r="D30" s="16" cm="1">
        <f t="array" ref="D30">INDEX(_xlfn.ANCHORARRAY(_xlfn.XLOOKUP($C30,'-ref_Distribution'!$B$146:$B$150,'-ref_Distribution'!$G$146:$G$150)),RIGHT(D$1,2))</f>
        <v>709</v>
      </c>
      <c r="E30" s="16" cm="1">
        <f t="array" ref="E30">INDEX(_xlfn.ANCHORARRAY(_xlfn.XLOOKUP($C30,'-ref_Distribution'!$B$146:$B$150,'-ref_Distribution'!$G$146:$G$150)),RIGHT(E$1,2))</f>
        <v>705</v>
      </c>
      <c r="F30" s="16" cm="1">
        <f t="array" ref="F30">INDEX(_xlfn.ANCHORARRAY(_xlfn.XLOOKUP($C30,'-ref_Distribution'!$B$146:$B$150,'-ref_Distribution'!$G$146:$G$150)),RIGHT(F$1,2))</f>
        <v>692</v>
      </c>
      <c r="G30" s="16" cm="1">
        <f t="array" ref="G30">INDEX(_xlfn.ANCHORARRAY(_xlfn.XLOOKUP($C30,'-ref_Distribution'!$B$146:$B$150,'-ref_Distribution'!$G$146:$G$150)),RIGHT(G$1,2))</f>
        <v>671</v>
      </c>
      <c r="H30" s="16" cm="1">
        <f t="array" ref="H30">INDEX(_xlfn.ANCHORARRAY(_xlfn.XLOOKUP($C30,'-ref_Distribution'!$B$146:$B$150,'-ref_Distribution'!$G$146:$G$150)),RIGHT(H$1,2))</f>
        <v>643</v>
      </c>
      <c r="I30" s="16" cm="1">
        <f t="array" ref="I30">INDEX(_xlfn.ANCHORARRAY(_xlfn.XLOOKUP($C30,'-ref_Distribution'!$B$146:$B$150,'-ref_Distribution'!$G$146:$G$150)),RIGHT(I$1,2))</f>
        <v>608</v>
      </c>
      <c r="J30" s="16" cm="1">
        <f t="array" ref="J30">INDEX(_xlfn.ANCHORARRAY(_xlfn.XLOOKUP($C30,'-ref_Distribution'!$B$146:$B$150,'-ref_Distribution'!$G$146:$G$150)),RIGHT(J$1,2))</f>
        <v>568</v>
      </c>
      <c r="K30" s="16" cm="1">
        <f t="array" ref="K30">INDEX(_xlfn.ANCHORARRAY(_xlfn.XLOOKUP($C30,'-ref_Distribution'!$B$146:$B$150,'-ref_Distribution'!$G$146:$G$150)),RIGHT(K$1,2))</f>
        <v>524</v>
      </c>
      <c r="L30" s="16" cm="1">
        <f t="array" ref="L30">INDEX(_xlfn.ANCHORARRAY(_xlfn.XLOOKUP($C30,'-ref_Distribution'!$B$146:$B$150,'-ref_Distribution'!$G$146:$G$150)),RIGHT(L$1,2))</f>
        <v>478</v>
      </c>
      <c r="M30" s="16" cm="1">
        <f t="array" ref="M30">INDEX(_xlfn.ANCHORARRAY(_xlfn.XLOOKUP($C30,'-ref_Distribution'!$B$146:$B$150,'-ref_Distribution'!$G$146:$G$150)),RIGHT(M$1,2))</f>
        <v>430</v>
      </c>
      <c r="N30" s="16" cm="1">
        <f t="array" ref="N30">INDEX(_xlfn.ANCHORARRAY(_xlfn.XLOOKUP($C30,'-ref_Distribution'!$B$146:$B$150,'-ref_Distribution'!$G$146:$G$150)),RIGHT(N$1,2))</f>
        <v>383</v>
      </c>
      <c r="O30" s="16" cm="1">
        <f t="array" ref="O30">INDEX(_xlfn.ANCHORARRAY(_xlfn.XLOOKUP($C30,'-ref_Distribution'!$B$146:$B$150,'-ref_Distribution'!$G$146:$G$150)),RIGHT(O$1,2))</f>
        <v>336</v>
      </c>
      <c r="P30" s="16" cm="1">
        <f t="array" ref="P30">INDEX(_xlfn.ANCHORARRAY(_xlfn.XLOOKUP($C30,'-ref_Distribution'!$B$146:$B$150,'-ref_Distribution'!$G$146:$G$150)),RIGHT(P$1,2))</f>
        <v>292</v>
      </c>
      <c r="Q30" s="16" cm="1">
        <f t="array" ref="Q30">INDEX(_xlfn.ANCHORARRAY(_xlfn.XLOOKUP($C30,'-ref_Distribution'!$B$146:$B$150,'-ref_Distribution'!$G$146:$G$150)),RIGHT(Q$1,2))</f>
        <v>250</v>
      </c>
      <c r="R30" s="16" cm="1">
        <f t="array" ref="R30">INDEX(_xlfn.ANCHORARRAY(_xlfn.XLOOKUP($C30,'-ref_Distribution'!$B$146:$B$150,'-ref_Distribution'!$G$146:$G$150)),RIGHT(R$1,2))</f>
        <v>212</v>
      </c>
      <c r="S30" s="16" cm="1">
        <f t="array" ref="S30">INDEX(_xlfn.ANCHORARRAY(_xlfn.XLOOKUP($C30,'-ref_Distribution'!$B$146:$B$150,'-ref_Distribution'!$G$146:$G$150)),RIGHT(S$1,2))</f>
        <v>177</v>
      </c>
      <c r="T30" s="16" cm="1">
        <f t="array" ref="T30">INDEX(_xlfn.ANCHORARRAY(_xlfn.XLOOKUP($C30,'-ref_Distribution'!$B$146:$B$150,'-ref_Distribution'!$G$146:$G$150)),RIGHT(T$1,2))</f>
        <v>146</v>
      </c>
      <c r="U30" s="16" cm="1">
        <f t="array" ref="U30">INDEX(_xlfn.ANCHORARRAY(_xlfn.XLOOKUP($C30,'-ref_Distribution'!$B$146:$B$150,'-ref_Distribution'!$G$146:$G$150)),RIGHT(U$1,2))</f>
        <v>119</v>
      </c>
      <c r="V30" s="16" cm="1">
        <f t="array" ref="V30">INDEX(_xlfn.ANCHORARRAY(_xlfn.XLOOKUP($C30,'-ref_Distribution'!$B$146:$B$150,'-ref_Distribution'!$G$146:$G$150)),RIGHT(V$1,2))</f>
        <v>96</v>
      </c>
      <c r="W30" s="16" cm="1">
        <f t="array" ref="W30">INDEX(_xlfn.ANCHORARRAY(_xlfn.XLOOKUP($C30,'-ref_Distribution'!$B$146:$B$150,'-ref_Distribution'!$G$146:$G$150)),RIGHT(W$1,2))</f>
        <v>76</v>
      </c>
      <c r="X30" s="16" cm="1">
        <f t="array" ref="X30">INDEX(_xlfn.ANCHORARRAY(_xlfn.XLOOKUP($C30,'-ref_Distribution'!$B$146:$B$150,'-ref_Distribution'!$G$146:$G$150)),RIGHT(X$1,2))</f>
        <v>709</v>
      </c>
      <c r="Y30" s="16" cm="1">
        <f t="array" ref="Y30">INDEX(_xlfn.ANCHORARRAY(_xlfn.XLOOKUP($C30,'-ref_Distribution'!$B$146:$B$150,'-ref_Distribution'!$G$146:$G$150)),RIGHT(Y$1,2))</f>
        <v>705</v>
      </c>
      <c r="Z30" s="16" cm="1">
        <f t="array" ref="Z30">INDEX(_xlfn.ANCHORARRAY(_xlfn.XLOOKUP($C30,'-ref_Distribution'!$B$146:$B$150,'-ref_Distribution'!$G$146:$G$150)),RIGHT(Z$1,2))</f>
        <v>692</v>
      </c>
      <c r="AA30" s="16" cm="1">
        <f t="array" ref="AA30">INDEX(_xlfn.ANCHORARRAY(_xlfn.XLOOKUP($C30,'-ref_Distribution'!$B$146:$B$150,'-ref_Distribution'!$G$146:$G$150)),RIGHT(AA$1,2))</f>
        <v>671</v>
      </c>
      <c r="AB30" s="16" cm="1">
        <f t="array" ref="AB30">INDEX(_xlfn.ANCHORARRAY(_xlfn.XLOOKUP($C30,'-ref_Distribution'!$B$146:$B$150,'-ref_Distribution'!$G$146:$G$150)),RIGHT(AB$1,2))</f>
        <v>643</v>
      </c>
      <c r="AC30" s="16" cm="1">
        <f t="array" ref="AC30">INDEX(_xlfn.ANCHORARRAY(_xlfn.XLOOKUP($C30,'-ref_Distribution'!$B$146:$B$150,'-ref_Distribution'!$G$146:$G$150)),RIGHT(AC$1,2))</f>
        <v>608</v>
      </c>
      <c r="AD30" s="16" cm="1">
        <f t="array" ref="AD30">INDEX(_xlfn.ANCHORARRAY(_xlfn.XLOOKUP($C30,'-ref_Distribution'!$B$146:$B$150,'-ref_Distribution'!$G$146:$G$150)),RIGHT(AD$1,2))</f>
        <v>568</v>
      </c>
      <c r="AE30" s="16" cm="1">
        <f t="array" ref="AE30">INDEX(_xlfn.ANCHORARRAY(_xlfn.XLOOKUP($C30,'-ref_Distribution'!$B$146:$B$150,'-ref_Distribution'!$G$146:$G$150)),RIGHT(AE$1,2))</f>
        <v>524</v>
      </c>
      <c r="AF30" s="16" cm="1">
        <f t="array" ref="AF30">INDEX(_xlfn.ANCHORARRAY(_xlfn.XLOOKUP($C30,'-ref_Distribution'!$B$146:$B$150,'-ref_Distribution'!$G$146:$G$150)),RIGHT(AF$1,2))</f>
        <v>478</v>
      </c>
      <c r="AG30" s="16" cm="1">
        <f t="array" ref="AG30">INDEX(_xlfn.ANCHORARRAY(_xlfn.XLOOKUP($C30,'-ref_Distribution'!$B$146:$B$150,'-ref_Distribution'!$G$146:$G$150)),RIGHT(AG$1,2))</f>
        <v>430</v>
      </c>
      <c r="AH30" s="16" cm="1">
        <f t="array" ref="AH30">INDEX(_xlfn.ANCHORARRAY(_xlfn.XLOOKUP($C30,'-ref_Distribution'!$B$146:$B$150,'-ref_Distribution'!$G$146:$G$150)),RIGHT(AH$1,2))</f>
        <v>383</v>
      </c>
      <c r="AI30" s="16" cm="1">
        <f t="array" ref="AI30">INDEX(_xlfn.ANCHORARRAY(_xlfn.XLOOKUP($C30,'-ref_Distribution'!$B$146:$B$150,'-ref_Distribution'!$G$146:$G$150)),RIGHT(AI$1,2))</f>
        <v>336</v>
      </c>
      <c r="AJ30" s="16" cm="1">
        <f t="array" ref="AJ30">INDEX(_xlfn.ANCHORARRAY(_xlfn.XLOOKUP($C30,'-ref_Distribution'!$B$146:$B$150,'-ref_Distribution'!$G$146:$G$150)),RIGHT(AJ$1,2))</f>
        <v>292</v>
      </c>
      <c r="AK30" s="16" cm="1">
        <f t="array" ref="AK30">INDEX(_xlfn.ANCHORARRAY(_xlfn.XLOOKUP($C30,'-ref_Distribution'!$B$146:$B$150,'-ref_Distribution'!$G$146:$G$150)),RIGHT(AK$1,2))</f>
        <v>250</v>
      </c>
      <c r="AL30" s="16" cm="1">
        <f t="array" ref="AL30">INDEX(_xlfn.ANCHORARRAY(_xlfn.XLOOKUP($C30,'-ref_Distribution'!$B$146:$B$150,'-ref_Distribution'!$G$146:$G$150)),RIGHT(AL$1,2))</f>
        <v>212</v>
      </c>
      <c r="AM30" s="16" cm="1">
        <f t="array" ref="AM30">INDEX(_xlfn.ANCHORARRAY(_xlfn.XLOOKUP($C30,'-ref_Distribution'!$B$146:$B$150,'-ref_Distribution'!$G$146:$G$150)),RIGHT(AM$1,2))</f>
        <v>177</v>
      </c>
      <c r="AN30" s="16" cm="1">
        <f t="array" ref="AN30">INDEX(_xlfn.ANCHORARRAY(_xlfn.XLOOKUP($C30,'-ref_Distribution'!$B$146:$B$150,'-ref_Distribution'!$G$146:$G$150)),RIGHT(AN$1,2))</f>
        <v>146</v>
      </c>
      <c r="AO30" s="16" cm="1">
        <f t="array" ref="AO30">INDEX(_xlfn.ANCHORARRAY(_xlfn.XLOOKUP($C30,'-ref_Distribution'!$B$146:$B$150,'-ref_Distribution'!$G$146:$G$150)),RIGHT(AO$1,2))</f>
        <v>119</v>
      </c>
      <c r="AP30" s="16" cm="1">
        <f t="array" ref="AP30">INDEX(_xlfn.ANCHORARRAY(_xlfn.XLOOKUP($C30,'-ref_Distribution'!$B$146:$B$150,'-ref_Distribution'!$G$146:$G$150)),RIGHT(AP$1,2))</f>
        <v>96</v>
      </c>
      <c r="AQ30" s="16" cm="1">
        <f t="array" ref="AQ30">INDEX(_xlfn.ANCHORARRAY(_xlfn.XLOOKUP($C30,'-ref_Distribution'!$B$146:$B$150,'-ref_Distribution'!$G$146:$G$150)),RIGHT(AQ$1,2))</f>
        <v>76</v>
      </c>
      <c r="AR30" s="16" cm="1">
        <f t="array" ref="AR30">INDEX(_xlfn.ANCHORARRAY(_xlfn.XLOOKUP($C30,'-ref_Distribution'!$B$146:$B$150,'-ref_Distribution'!$G$146:$G$150)),RIGHT(AR$1,2))</f>
        <v>709</v>
      </c>
      <c r="AS30" s="16" cm="1">
        <f t="array" ref="AS30">INDEX(_xlfn.ANCHORARRAY(_xlfn.XLOOKUP($C30,'-ref_Distribution'!$B$146:$B$150,'-ref_Distribution'!$G$146:$G$150)),RIGHT(AS$1,2))</f>
        <v>705</v>
      </c>
      <c r="AT30" s="16" cm="1">
        <f t="array" ref="AT30">INDEX(_xlfn.ANCHORARRAY(_xlfn.XLOOKUP($C30,'-ref_Distribution'!$B$146:$B$150,'-ref_Distribution'!$G$146:$G$150)),RIGHT(AT$1,2))</f>
        <v>692</v>
      </c>
      <c r="AU30" s="16" cm="1">
        <f t="array" ref="AU30">INDEX(_xlfn.ANCHORARRAY(_xlfn.XLOOKUP($C30,'-ref_Distribution'!$B$146:$B$150,'-ref_Distribution'!$G$146:$G$150)),RIGHT(AU$1,2))</f>
        <v>671</v>
      </c>
      <c r="AV30" s="16" cm="1">
        <f t="array" ref="AV30">INDEX(_xlfn.ANCHORARRAY(_xlfn.XLOOKUP($C30,'-ref_Distribution'!$B$146:$B$150,'-ref_Distribution'!$G$146:$G$150)),RIGHT(AV$1,2))</f>
        <v>643</v>
      </c>
      <c r="AW30" s="16" cm="1">
        <f t="array" ref="AW30">INDEX(_xlfn.ANCHORARRAY(_xlfn.XLOOKUP($C30,'-ref_Distribution'!$B$146:$B$150,'-ref_Distribution'!$G$146:$G$150)),RIGHT(AW$1,2))</f>
        <v>608</v>
      </c>
      <c r="AX30" s="16" cm="1">
        <f t="array" ref="AX30">INDEX(_xlfn.ANCHORARRAY(_xlfn.XLOOKUP($C30,'-ref_Distribution'!$B$146:$B$150,'-ref_Distribution'!$G$146:$G$150)),RIGHT(AX$1,2))</f>
        <v>568</v>
      </c>
      <c r="AY30" s="16" cm="1">
        <f t="array" ref="AY30">INDEX(_xlfn.ANCHORARRAY(_xlfn.XLOOKUP($C30,'-ref_Distribution'!$B$146:$B$150,'-ref_Distribution'!$G$146:$G$150)),RIGHT(AY$1,2))</f>
        <v>524</v>
      </c>
      <c r="AZ30" s="16" cm="1">
        <f t="array" ref="AZ30">INDEX(_xlfn.ANCHORARRAY(_xlfn.XLOOKUP($C30,'-ref_Distribution'!$B$146:$B$150,'-ref_Distribution'!$G$146:$G$150)),RIGHT(AZ$1,2))</f>
        <v>478</v>
      </c>
      <c r="BA30" s="16" cm="1">
        <f t="array" ref="BA30">INDEX(_xlfn.ANCHORARRAY(_xlfn.XLOOKUP($C30,'-ref_Distribution'!$B$146:$B$150,'-ref_Distribution'!$G$146:$G$150)),RIGHT(BA$1,2))</f>
        <v>430</v>
      </c>
      <c r="BB30" s="16" cm="1">
        <f t="array" ref="BB30">INDEX(_xlfn.ANCHORARRAY(_xlfn.XLOOKUP($C30,'-ref_Distribution'!$B$146:$B$150,'-ref_Distribution'!$G$146:$G$150)),RIGHT(BB$1,2))</f>
        <v>383</v>
      </c>
      <c r="BC30" s="16" cm="1">
        <f t="array" ref="BC30">INDEX(_xlfn.ANCHORARRAY(_xlfn.XLOOKUP($C30,'-ref_Distribution'!$B$146:$B$150,'-ref_Distribution'!$G$146:$G$150)),RIGHT(BC$1,2))</f>
        <v>336</v>
      </c>
      <c r="BD30" s="16" cm="1">
        <f t="array" ref="BD30">INDEX(_xlfn.ANCHORARRAY(_xlfn.XLOOKUP($C30,'-ref_Distribution'!$B$146:$B$150,'-ref_Distribution'!$G$146:$G$150)),RIGHT(BD$1,2))</f>
        <v>292</v>
      </c>
      <c r="BE30" s="16" cm="1">
        <f t="array" ref="BE30">INDEX(_xlfn.ANCHORARRAY(_xlfn.XLOOKUP($C30,'-ref_Distribution'!$B$146:$B$150,'-ref_Distribution'!$G$146:$G$150)),RIGHT(BE$1,2))</f>
        <v>250</v>
      </c>
      <c r="BF30" s="16" cm="1">
        <f t="array" ref="BF30">INDEX(_xlfn.ANCHORARRAY(_xlfn.XLOOKUP($C30,'-ref_Distribution'!$B$146:$B$150,'-ref_Distribution'!$G$146:$G$150)),RIGHT(BF$1,2))</f>
        <v>212</v>
      </c>
      <c r="BG30" s="16" cm="1">
        <f t="array" ref="BG30">INDEX(_xlfn.ANCHORARRAY(_xlfn.XLOOKUP($C30,'-ref_Distribution'!$B$146:$B$150,'-ref_Distribution'!$G$146:$G$150)),RIGHT(BG$1,2))</f>
        <v>177</v>
      </c>
      <c r="BH30" s="16" cm="1">
        <f t="array" ref="BH30">INDEX(_xlfn.ANCHORARRAY(_xlfn.XLOOKUP($C30,'-ref_Distribution'!$B$146:$B$150,'-ref_Distribution'!$G$146:$G$150)),RIGHT(BH$1,2))</f>
        <v>146</v>
      </c>
      <c r="BI30" s="16" cm="1">
        <f t="array" ref="BI30">INDEX(_xlfn.ANCHORARRAY(_xlfn.XLOOKUP($C30,'-ref_Distribution'!$B$146:$B$150,'-ref_Distribution'!$G$146:$G$150)),RIGHT(BI$1,2))</f>
        <v>119</v>
      </c>
      <c r="BJ30" s="16" cm="1">
        <f t="array" ref="BJ30">INDEX(_xlfn.ANCHORARRAY(_xlfn.XLOOKUP($C30,'-ref_Distribution'!$B$146:$B$150,'-ref_Distribution'!$G$146:$G$150)),RIGHT(BJ$1,2))</f>
        <v>96</v>
      </c>
      <c r="BK30" s="16" cm="1">
        <f t="array" ref="BK30">INDEX(_xlfn.ANCHORARRAY(_xlfn.XLOOKUP($C30,'-ref_Distribution'!$B$146:$B$150,'-ref_Distribution'!$G$146:$G$150)),RIGHT(BK$1,2))</f>
        <v>76</v>
      </c>
      <c r="BL30" s="16" cm="1">
        <f t="array" ref="BL30">INDEX(_xlfn.ANCHORARRAY(_xlfn.XLOOKUP($C30,'-ref_Distribution'!$B$146:$B$150,'-ref_Distribution'!$G$146:$G$150)),RIGHT(BL$1,2))</f>
        <v>709</v>
      </c>
      <c r="BM30" s="16" cm="1">
        <f t="array" ref="BM30">INDEX(_xlfn.ANCHORARRAY(_xlfn.XLOOKUP($C30,'-ref_Distribution'!$B$146:$B$150,'-ref_Distribution'!$G$146:$G$150)),RIGHT(BM$1,2))</f>
        <v>705</v>
      </c>
      <c r="BN30" s="16" cm="1">
        <f t="array" ref="BN30">INDEX(_xlfn.ANCHORARRAY(_xlfn.XLOOKUP($C30,'-ref_Distribution'!$B$146:$B$150,'-ref_Distribution'!$G$146:$G$150)),RIGHT(BN$1,2))</f>
        <v>692</v>
      </c>
      <c r="BO30" s="16" cm="1">
        <f t="array" ref="BO30">INDEX(_xlfn.ANCHORARRAY(_xlfn.XLOOKUP($C30,'-ref_Distribution'!$B$146:$B$150,'-ref_Distribution'!$G$146:$G$150)),RIGHT(BO$1,2))</f>
        <v>671</v>
      </c>
      <c r="BP30" s="16" cm="1">
        <f t="array" ref="BP30">INDEX(_xlfn.ANCHORARRAY(_xlfn.XLOOKUP($C30,'-ref_Distribution'!$B$146:$B$150,'-ref_Distribution'!$G$146:$G$150)),RIGHT(BP$1,2))</f>
        <v>643</v>
      </c>
      <c r="BQ30" s="16" cm="1">
        <f t="array" ref="BQ30">INDEX(_xlfn.ANCHORARRAY(_xlfn.XLOOKUP($C30,'-ref_Distribution'!$B$146:$B$150,'-ref_Distribution'!$G$146:$G$150)),RIGHT(BQ$1,2))</f>
        <v>608</v>
      </c>
      <c r="BR30" s="16" cm="1">
        <f t="array" ref="BR30">INDEX(_xlfn.ANCHORARRAY(_xlfn.XLOOKUP($C30,'-ref_Distribution'!$B$146:$B$150,'-ref_Distribution'!$G$146:$G$150)),RIGHT(BR$1,2))</f>
        <v>568</v>
      </c>
      <c r="BS30" s="16" cm="1">
        <f t="array" ref="BS30">INDEX(_xlfn.ANCHORARRAY(_xlfn.XLOOKUP($C30,'-ref_Distribution'!$B$146:$B$150,'-ref_Distribution'!$G$146:$G$150)),RIGHT(BS$1,2))</f>
        <v>524</v>
      </c>
      <c r="BT30" s="16" cm="1">
        <f t="array" ref="BT30">INDEX(_xlfn.ANCHORARRAY(_xlfn.XLOOKUP($C30,'-ref_Distribution'!$B$146:$B$150,'-ref_Distribution'!$G$146:$G$150)),RIGHT(BT$1,2))</f>
        <v>478</v>
      </c>
      <c r="BU30" s="16" cm="1">
        <f t="array" ref="BU30">INDEX(_xlfn.ANCHORARRAY(_xlfn.XLOOKUP($C30,'-ref_Distribution'!$B$146:$B$150,'-ref_Distribution'!$G$146:$G$150)),RIGHT(BU$1,2))</f>
        <v>430</v>
      </c>
      <c r="BV30" s="16" cm="1">
        <f t="array" ref="BV30">INDEX(_xlfn.ANCHORARRAY(_xlfn.XLOOKUP($C30,'-ref_Distribution'!$B$146:$B$150,'-ref_Distribution'!$G$146:$G$150)),RIGHT(BV$1,2))</f>
        <v>383</v>
      </c>
      <c r="BW30" s="16" cm="1">
        <f t="array" ref="BW30">INDEX(_xlfn.ANCHORARRAY(_xlfn.XLOOKUP($C30,'-ref_Distribution'!$B$146:$B$150,'-ref_Distribution'!$G$146:$G$150)),RIGHT(BW$1,2))</f>
        <v>336</v>
      </c>
      <c r="BX30" s="16" cm="1">
        <f t="array" ref="BX30">INDEX(_xlfn.ANCHORARRAY(_xlfn.XLOOKUP($C30,'-ref_Distribution'!$B$146:$B$150,'-ref_Distribution'!$G$146:$G$150)),RIGHT(BX$1,2))</f>
        <v>292</v>
      </c>
      <c r="BY30" s="16" cm="1">
        <f t="array" ref="BY30">INDEX(_xlfn.ANCHORARRAY(_xlfn.XLOOKUP($C30,'-ref_Distribution'!$B$146:$B$150,'-ref_Distribution'!$G$146:$G$150)),RIGHT(BY$1,2))</f>
        <v>250</v>
      </c>
      <c r="BZ30" s="16" cm="1">
        <f t="array" ref="BZ30">INDEX(_xlfn.ANCHORARRAY(_xlfn.XLOOKUP($C30,'-ref_Distribution'!$B$146:$B$150,'-ref_Distribution'!$G$146:$G$150)),RIGHT(BZ$1,2))</f>
        <v>212</v>
      </c>
      <c r="CA30" s="16" cm="1">
        <f t="array" ref="CA30">INDEX(_xlfn.ANCHORARRAY(_xlfn.XLOOKUP($C30,'-ref_Distribution'!$B$146:$B$150,'-ref_Distribution'!$G$146:$G$150)),RIGHT(CA$1,2))</f>
        <v>177</v>
      </c>
      <c r="CB30" s="16" cm="1">
        <f t="array" ref="CB30">INDEX(_xlfn.ANCHORARRAY(_xlfn.XLOOKUP($C30,'-ref_Distribution'!$B$146:$B$150,'-ref_Distribution'!$G$146:$G$150)),RIGHT(CB$1,2))</f>
        <v>146</v>
      </c>
      <c r="CC30" s="16" cm="1">
        <f t="array" ref="CC30">INDEX(_xlfn.ANCHORARRAY(_xlfn.XLOOKUP($C30,'-ref_Distribution'!$B$146:$B$150,'-ref_Distribution'!$G$146:$G$150)),RIGHT(CC$1,2))</f>
        <v>119</v>
      </c>
      <c r="CD30" s="16" cm="1">
        <f t="array" ref="CD30">INDEX(_xlfn.ANCHORARRAY(_xlfn.XLOOKUP($C30,'-ref_Distribution'!$B$146:$B$150,'-ref_Distribution'!$G$146:$G$150)),RIGHT(CD$1,2))</f>
        <v>96</v>
      </c>
      <c r="CE30" s="16" cm="1">
        <f t="array" ref="CE30">INDEX(_xlfn.ANCHORARRAY(_xlfn.XLOOKUP($C30,'-ref_Distribution'!$B$146:$B$150,'-ref_Distribution'!$G$146:$G$150)),RIGHT(CE$1,2))</f>
        <v>76</v>
      </c>
    </row>
    <row r="31" spans="1:83" x14ac:dyDescent="0.2">
      <c r="A31" s="16">
        <v>301032</v>
      </c>
      <c r="B31" s="16" t="s">
        <v>219</v>
      </c>
      <c r="C31" s="16">
        <v>1</v>
      </c>
      <c r="D31" s="16" cm="1">
        <f t="array" ref="D31">INDEX(_xlfn.ANCHORARRAY(_xlfn.XLOOKUP($C31,'-ref_Distribution'!$B$146:$B$150,'-ref_Distribution'!$G$146:$G$150)),RIGHT(D$1,2))</f>
        <v>337</v>
      </c>
      <c r="E31" s="16" cm="1">
        <f t="array" ref="E31">INDEX(_xlfn.ANCHORARRAY(_xlfn.XLOOKUP($C31,'-ref_Distribution'!$B$146:$B$150,'-ref_Distribution'!$G$146:$G$150)),RIGHT(E$1,2))</f>
        <v>364</v>
      </c>
      <c r="F31" s="16" cm="1">
        <f t="array" ref="F31">INDEX(_xlfn.ANCHORARRAY(_xlfn.XLOOKUP($C31,'-ref_Distribution'!$B$146:$B$150,'-ref_Distribution'!$G$146:$G$150)),RIGHT(F$1,2))</f>
        <v>386</v>
      </c>
      <c r="G31" s="16" cm="1">
        <f t="array" ref="G31">INDEX(_xlfn.ANCHORARRAY(_xlfn.XLOOKUP($C31,'-ref_Distribution'!$B$146:$B$150,'-ref_Distribution'!$G$146:$G$150)),RIGHT(G$1,2))</f>
        <v>403</v>
      </c>
      <c r="H31" s="16" cm="1">
        <f t="array" ref="H31">INDEX(_xlfn.ANCHORARRAY(_xlfn.XLOOKUP($C31,'-ref_Distribution'!$B$146:$B$150,'-ref_Distribution'!$G$146:$G$150)),RIGHT(H$1,2))</f>
        <v>414</v>
      </c>
      <c r="I31" s="16" cm="1">
        <f t="array" ref="I31">INDEX(_xlfn.ANCHORARRAY(_xlfn.XLOOKUP($C31,'-ref_Distribution'!$B$146:$B$150,'-ref_Distribution'!$G$146:$G$150)),RIGHT(I$1,2))</f>
        <v>417</v>
      </c>
      <c r="J31" s="16" cm="1">
        <f t="array" ref="J31">INDEX(_xlfn.ANCHORARRAY(_xlfn.XLOOKUP($C31,'-ref_Distribution'!$B$146:$B$150,'-ref_Distribution'!$G$146:$G$150)),RIGHT(J$1,2))</f>
        <v>414</v>
      </c>
      <c r="K31" s="16" cm="1">
        <f t="array" ref="K31">INDEX(_xlfn.ANCHORARRAY(_xlfn.XLOOKUP($C31,'-ref_Distribution'!$B$146:$B$150,'-ref_Distribution'!$G$146:$G$150)),RIGHT(K$1,2))</f>
        <v>403</v>
      </c>
      <c r="L31" s="16" cm="1">
        <f t="array" ref="L31">INDEX(_xlfn.ANCHORARRAY(_xlfn.XLOOKUP($C31,'-ref_Distribution'!$B$146:$B$150,'-ref_Distribution'!$G$146:$G$150)),RIGHT(L$1,2))</f>
        <v>386</v>
      </c>
      <c r="M31" s="16" cm="1">
        <f t="array" ref="M31">INDEX(_xlfn.ANCHORARRAY(_xlfn.XLOOKUP($C31,'-ref_Distribution'!$B$146:$B$150,'-ref_Distribution'!$G$146:$G$150)),RIGHT(M$1,2))</f>
        <v>364</v>
      </c>
      <c r="N31" s="16" cm="1">
        <f t="array" ref="N31">INDEX(_xlfn.ANCHORARRAY(_xlfn.XLOOKUP($C31,'-ref_Distribution'!$B$146:$B$150,'-ref_Distribution'!$G$146:$G$150)),RIGHT(N$1,2))</f>
        <v>337</v>
      </c>
      <c r="O31" s="16" cm="1">
        <f t="array" ref="O31">INDEX(_xlfn.ANCHORARRAY(_xlfn.XLOOKUP($C31,'-ref_Distribution'!$B$146:$B$150,'-ref_Distribution'!$G$146:$G$150)),RIGHT(O$1,2))</f>
        <v>307</v>
      </c>
      <c r="P31" s="16" cm="1">
        <f t="array" ref="P31">INDEX(_xlfn.ANCHORARRAY(_xlfn.XLOOKUP($C31,'-ref_Distribution'!$B$146:$B$150,'-ref_Distribution'!$G$146:$G$150)),RIGHT(P$1,2))</f>
        <v>274</v>
      </c>
      <c r="Q31" s="16" cm="1">
        <f t="array" ref="Q31">INDEX(_xlfn.ANCHORARRAY(_xlfn.XLOOKUP($C31,'-ref_Distribution'!$B$146:$B$150,'-ref_Distribution'!$G$146:$G$150)),RIGHT(Q$1,2))</f>
        <v>241</v>
      </c>
      <c r="R31" s="16" cm="1">
        <f t="array" ref="R31">INDEX(_xlfn.ANCHORARRAY(_xlfn.XLOOKUP($C31,'-ref_Distribution'!$B$146:$B$150,'-ref_Distribution'!$G$146:$G$150)),RIGHT(R$1,2))</f>
        <v>209</v>
      </c>
      <c r="S31" s="16" cm="1">
        <f t="array" ref="S31">INDEX(_xlfn.ANCHORARRAY(_xlfn.XLOOKUP($C31,'-ref_Distribution'!$B$146:$B$150,'-ref_Distribution'!$G$146:$G$150)),RIGHT(S$1,2))</f>
        <v>178</v>
      </c>
      <c r="T31" s="16" cm="1">
        <f t="array" ref="T31">INDEX(_xlfn.ANCHORARRAY(_xlfn.XLOOKUP($C31,'-ref_Distribution'!$B$146:$B$150,'-ref_Distribution'!$G$146:$G$150)),RIGHT(T$1,2))</f>
        <v>148</v>
      </c>
      <c r="U31" s="16" cm="1">
        <f t="array" ref="U31">INDEX(_xlfn.ANCHORARRAY(_xlfn.XLOOKUP($C31,'-ref_Distribution'!$B$146:$B$150,'-ref_Distribution'!$G$146:$G$150)),RIGHT(U$1,2))</f>
        <v>122</v>
      </c>
      <c r="V31" s="16" cm="1">
        <f t="array" ref="V31">INDEX(_xlfn.ANCHORARRAY(_xlfn.XLOOKUP($C31,'-ref_Distribution'!$B$146:$B$150,'-ref_Distribution'!$G$146:$G$150)),RIGHT(V$1,2))</f>
        <v>98</v>
      </c>
      <c r="W31" s="16" cm="1">
        <f t="array" ref="W31">INDEX(_xlfn.ANCHORARRAY(_xlfn.XLOOKUP($C31,'-ref_Distribution'!$B$146:$B$150,'-ref_Distribution'!$G$146:$G$150)),RIGHT(W$1,2))</f>
        <v>78</v>
      </c>
      <c r="X31" s="16" cm="1">
        <f t="array" ref="X31">INDEX(_xlfn.ANCHORARRAY(_xlfn.XLOOKUP($C31,'-ref_Distribution'!$B$146:$B$150,'-ref_Distribution'!$G$146:$G$150)),RIGHT(X$1,2))</f>
        <v>337</v>
      </c>
      <c r="Y31" s="16" cm="1">
        <f t="array" ref="Y31">INDEX(_xlfn.ANCHORARRAY(_xlfn.XLOOKUP($C31,'-ref_Distribution'!$B$146:$B$150,'-ref_Distribution'!$G$146:$G$150)),RIGHT(Y$1,2))</f>
        <v>364</v>
      </c>
      <c r="Z31" s="16" cm="1">
        <f t="array" ref="Z31">INDEX(_xlfn.ANCHORARRAY(_xlfn.XLOOKUP($C31,'-ref_Distribution'!$B$146:$B$150,'-ref_Distribution'!$G$146:$G$150)),RIGHT(Z$1,2))</f>
        <v>386</v>
      </c>
      <c r="AA31" s="16" cm="1">
        <f t="array" ref="AA31">INDEX(_xlfn.ANCHORARRAY(_xlfn.XLOOKUP($C31,'-ref_Distribution'!$B$146:$B$150,'-ref_Distribution'!$G$146:$G$150)),RIGHT(AA$1,2))</f>
        <v>403</v>
      </c>
      <c r="AB31" s="16" cm="1">
        <f t="array" ref="AB31">INDEX(_xlfn.ANCHORARRAY(_xlfn.XLOOKUP($C31,'-ref_Distribution'!$B$146:$B$150,'-ref_Distribution'!$G$146:$G$150)),RIGHT(AB$1,2))</f>
        <v>414</v>
      </c>
      <c r="AC31" s="16" cm="1">
        <f t="array" ref="AC31">INDEX(_xlfn.ANCHORARRAY(_xlfn.XLOOKUP($C31,'-ref_Distribution'!$B$146:$B$150,'-ref_Distribution'!$G$146:$G$150)),RIGHT(AC$1,2))</f>
        <v>417</v>
      </c>
      <c r="AD31" s="16" cm="1">
        <f t="array" ref="AD31">INDEX(_xlfn.ANCHORARRAY(_xlfn.XLOOKUP($C31,'-ref_Distribution'!$B$146:$B$150,'-ref_Distribution'!$G$146:$G$150)),RIGHT(AD$1,2))</f>
        <v>414</v>
      </c>
      <c r="AE31" s="16" cm="1">
        <f t="array" ref="AE31">INDEX(_xlfn.ANCHORARRAY(_xlfn.XLOOKUP($C31,'-ref_Distribution'!$B$146:$B$150,'-ref_Distribution'!$G$146:$G$150)),RIGHT(AE$1,2))</f>
        <v>403</v>
      </c>
      <c r="AF31" s="16" cm="1">
        <f t="array" ref="AF31">INDEX(_xlfn.ANCHORARRAY(_xlfn.XLOOKUP($C31,'-ref_Distribution'!$B$146:$B$150,'-ref_Distribution'!$G$146:$G$150)),RIGHT(AF$1,2))</f>
        <v>386</v>
      </c>
      <c r="AG31" s="16" cm="1">
        <f t="array" ref="AG31">INDEX(_xlfn.ANCHORARRAY(_xlfn.XLOOKUP($C31,'-ref_Distribution'!$B$146:$B$150,'-ref_Distribution'!$G$146:$G$150)),RIGHT(AG$1,2))</f>
        <v>364</v>
      </c>
      <c r="AH31" s="16" cm="1">
        <f t="array" ref="AH31">INDEX(_xlfn.ANCHORARRAY(_xlfn.XLOOKUP($C31,'-ref_Distribution'!$B$146:$B$150,'-ref_Distribution'!$G$146:$G$150)),RIGHT(AH$1,2))</f>
        <v>337</v>
      </c>
      <c r="AI31" s="16" cm="1">
        <f t="array" ref="AI31">INDEX(_xlfn.ANCHORARRAY(_xlfn.XLOOKUP($C31,'-ref_Distribution'!$B$146:$B$150,'-ref_Distribution'!$G$146:$G$150)),RIGHT(AI$1,2))</f>
        <v>307</v>
      </c>
      <c r="AJ31" s="16" cm="1">
        <f t="array" ref="AJ31">INDEX(_xlfn.ANCHORARRAY(_xlfn.XLOOKUP($C31,'-ref_Distribution'!$B$146:$B$150,'-ref_Distribution'!$G$146:$G$150)),RIGHT(AJ$1,2))</f>
        <v>274</v>
      </c>
      <c r="AK31" s="16" cm="1">
        <f t="array" ref="AK31">INDEX(_xlfn.ANCHORARRAY(_xlfn.XLOOKUP($C31,'-ref_Distribution'!$B$146:$B$150,'-ref_Distribution'!$G$146:$G$150)),RIGHT(AK$1,2))</f>
        <v>241</v>
      </c>
      <c r="AL31" s="16" cm="1">
        <f t="array" ref="AL31">INDEX(_xlfn.ANCHORARRAY(_xlfn.XLOOKUP($C31,'-ref_Distribution'!$B$146:$B$150,'-ref_Distribution'!$G$146:$G$150)),RIGHT(AL$1,2))</f>
        <v>209</v>
      </c>
      <c r="AM31" s="16" cm="1">
        <f t="array" ref="AM31">INDEX(_xlfn.ANCHORARRAY(_xlfn.XLOOKUP($C31,'-ref_Distribution'!$B$146:$B$150,'-ref_Distribution'!$G$146:$G$150)),RIGHT(AM$1,2))</f>
        <v>178</v>
      </c>
      <c r="AN31" s="16" cm="1">
        <f t="array" ref="AN31">INDEX(_xlfn.ANCHORARRAY(_xlfn.XLOOKUP($C31,'-ref_Distribution'!$B$146:$B$150,'-ref_Distribution'!$G$146:$G$150)),RIGHT(AN$1,2))</f>
        <v>148</v>
      </c>
      <c r="AO31" s="16" cm="1">
        <f t="array" ref="AO31">INDEX(_xlfn.ANCHORARRAY(_xlfn.XLOOKUP($C31,'-ref_Distribution'!$B$146:$B$150,'-ref_Distribution'!$G$146:$G$150)),RIGHT(AO$1,2))</f>
        <v>122</v>
      </c>
      <c r="AP31" s="16" cm="1">
        <f t="array" ref="AP31">INDEX(_xlfn.ANCHORARRAY(_xlfn.XLOOKUP($C31,'-ref_Distribution'!$B$146:$B$150,'-ref_Distribution'!$G$146:$G$150)),RIGHT(AP$1,2))</f>
        <v>98</v>
      </c>
      <c r="AQ31" s="16" cm="1">
        <f t="array" ref="AQ31">INDEX(_xlfn.ANCHORARRAY(_xlfn.XLOOKUP($C31,'-ref_Distribution'!$B$146:$B$150,'-ref_Distribution'!$G$146:$G$150)),RIGHT(AQ$1,2))</f>
        <v>78</v>
      </c>
      <c r="AR31" s="16" cm="1">
        <f t="array" ref="AR31">INDEX(_xlfn.ANCHORARRAY(_xlfn.XLOOKUP($C31,'-ref_Distribution'!$B$146:$B$150,'-ref_Distribution'!$G$146:$G$150)),RIGHT(AR$1,2))</f>
        <v>337</v>
      </c>
      <c r="AS31" s="16" cm="1">
        <f t="array" ref="AS31">INDEX(_xlfn.ANCHORARRAY(_xlfn.XLOOKUP($C31,'-ref_Distribution'!$B$146:$B$150,'-ref_Distribution'!$G$146:$G$150)),RIGHT(AS$1,2))</f>
        <v>364</v>
      </c>
      <c r="AT31" s="16" cm="1">
        <f t="array" ref="AT31">INDEX(_xlfn.ANCHORARRAY(_xlfn.XLOOKUP($C31,'-ref_Distribution'!$B$146:$B$150,'-ref_Distribution'!$G$146:$G$150)),RIGHT(AT$1,2))</f>
        <v>386</v>
      </c>
      <c r="AU31" s="16" cm="1">
        <f t="array" ref="AU31">INDEX(_xlfn.ANCHORARRAY(_xlfn.XLOOKUP($C31,'-ref_Distribution'!$B$146:$B$150,'-ref_Distribution'!$G$146:$G$150)),RIGHT(AU$1,2))</f>
        <v>403</v>
      </c>
      <c r="AV31" s="16" cm="1">
        <f t="array" ref="AV31">INDEX(_xlfn.ANCHORARRAY(_xlfn.XLOOKUP($C31,'-ref_Distribution'!$B$146:$B$150,'-ref_Distribution'!$G$146:$G$150)),RIGHT(AV$1,2))</f>
        <v>414</v>
      </c>
      <c r="AW31" s="16" cm="1">
        <f t="array" ref="AW31">INDEX(_xlfn.ANCHORARRAY(_xlfn.XLOOKUP($C31,'-ref_Distribution'!$B$146:$B$150,'-ref_Distribution'!$G$146:$G$150)),RIGHT(AW$1,2))</f>
        <v>417</v>
      </c>
      <c r="AX31" s="16" cm="1">
        <f t="array" ref="AX31">INDEX(_xlfn.ANCHORARRAY(_xlfn.XLOOKUP($C31,'-ref_Distribution'!$B$146:$B$150,'-ref_Distribution'!$G$146:$G$150)),RIGHT(AX$1,2))</f>
        <v>414</v>
      </c>
      <c r="AY31" s="16" cm="1">
        <f t="array" ref="AY31">INDEX(_xlfn.ANCHORARRAY(_xlfn.XLOOKUP($C31,'-ref_Distribution'!$B$146:$B$150,'-ref_Distribution'!$G$146:$G$150)),RIGHT(AY$1,2))</f>
        <v>403</v>
      </c>
      <c r="AZ31" s="16" cm="1">
        <f t="array" ref="AZ31">INDEX(_xlfn.ANCHORARRAY(_xlfn.XLOOKUP($C31,'-ref_Distribution'!$B$146:$B$150,'-ref_Distribution'!$G$146:$G$150)),RIGHT(AZ$1,2))</f>
        <v>386</v>
      </c>
      <c r="BA31" s="16" cm="1">
        <f t="array" ref="BA31">INDEX(_xlfn.ANCHORARRAY(_xlfn.XLOOKUP($C31,'-ref_Distribution'!$B$146:$B$150,'-ref_Distribution'!$G$146:$G$150)),RIGHT(BA$1,2))</f>
        <v>364</v>
      </c>
      <c r="BB31" s="16" cm="1">
        <f t="array" ref="BB31">INDEX(_xlfn.ANCHORARRAY(_xlfn.XLOOKUP($C31,'-ref_Distribution'!$B$146:$B$150,'-ref_Distribution'!$G$146:$G$150)),RIGHT(BB$1,2))</f>
        <v>337</v>
      </c>
      <c r="BC31" s="16" cm="1">
        <f t="array" ref="BC31">INDEX(_xlfn.ANCHORARRAY(_xlfn.XLOOKUP($C31,'-ref_Distribution'!$B$146:$B$150,'-ref_Distribution'!$G$146:$G$150)),RIGHT(BC$1,2))</f>
        <v>307</v>
      </c>
      <c r="BD31" s="16" cm="1">
        <f t="array" ref="BD31">INDEX(_xlfn.ANCHORARRAY(_xlfn.XLOOKUP($C31,'-ref_Distribution'!$B$146:$B$150,'-ref_Distribution'!$G$146:$G$150)),RIGHT(BD$1,2))</f>
        <v>274</v>
      </c>
      <c r="BE31" s="16" cm="1">
        <f t="array" ref="BE31">INDEX(_xlfn.ANCHORARRAY(_xlfn.XLOOKUP($C31,'-ref_Distribution'!$B$146:$B$150,'-ref_Distribution'!$G$146:$G$150)),RIGHT(BE$1,2))</f>
        <v>241</v>
      </c>
      <c r="BF31" s="16" cm="1">
        <f t="array" ref="BF31">INDEX(_xlfn.ANCHORARRAY(_xlfn.XLOOKUP($C31,'-ref_Distribution'!$B$146:$B$150,'-ref_Distribution'!$G$146:$G$150)),RIGHT(BF$1,2))</f>
        <v>209</v>
      </c>
      <c r="BG31" s="16" cm="1">
        <f t="array" ref="BG31">INDEX(_xlfn.ANCHORARRAY(_xlfn.XLOOKUP($C31,'-ref_Distribution'!$B$146:$B$150,'-ref_Distribution'!$G$146:$G$150)),RIGHT(BG$1,2))</f>
        <v>178</v>
      </c>
      <c r="BH31" s="16" cm="1">
        <f t="array" ref="BH31">INDEX(_xlfn.ANCHORARRAY(_xlfn.XLOOKUP($C31,'-ref_Distribution'!$B$146:$B$150,'-ref_Distribution'!$G$146:$G$150)),RIGHT(BH$1,2))</f>
        <v>148</v>
      </c>
      <c r="BI31" s="16" cm="1">
        <f t="array" ref="BI31">INDEX(_xlfn.ANCHORARRAY(_xlfn.XLOOKUP($C31,'-ref_Distribution'!$B$146:$B$150,'-ref_Distribution'!$G$146:$G$150)),RIGHT(BI$1,2))</f>
        <v>122</v>
      </c>
      <c r="BJ31" s="16" cm="1">
        <f t="array" ref="BJ31">INDEX(_xlfn.ANCHORARRAY(_xlfn.XLOOKUP($C31,'-ref_Distribution'!$B$146:$B$150,'-ref_Distribution'!$G$146:$G$150)),RIGHT(BJ$1,2))</f>
        <v>98</v>
      </c>
      <c r="BK31" s="16" cm="1">
        <f t="array" ref="BK31">INDEX(_xlfn.ANCHORARRAY(_xlfn.XLOOKUP($C31,'-ref_Distribution'!$B$146:$B$150,'-ref_Distribution'!$G$146:$G$150)),RIGHT(BK$1,2))</f>
        <v>78</v>
      </c>
      <c r="BL31" s="16" cm="1">
        <f t="array" ref="BL31">INDEX(_xlfn.ANCHORARRAY(_xlfn.XLOOKUP($C31,'-ref_Distribution'!$B$146:$B$150,'-ref_Distribution'!$G$146:$G$150)),RIGHT(BL$1,2))</f>
        <v>337</v>
      </c>
      <c r="BM31" s="16" cm="1">
        <f t="array" ref="BM31">INDEX(_xlfn.ANCHORARRAY(_xlfn.XLOOKUP($C31,'-ref_Distribution'!$B$146:$B$150,'-ref_Distribution'!$G$146:$G$150)),RIGHT(BM$1,2))</f>
        <v>364</v>
      </c>
      <c r="BN31" s="16" cm="1">
        <f t="array" ref="BN31">INDEX(_xlfn.ANCHORARRAY(_xlfn.XLOOKUP($C31,'-ref_Distribution'!$B$146:$B$150,'-ref_Distribution'!$G$146:$G$150)),RIGHT(BN$1,2))</f>
        <v>386</v>
      </c>
      <c r="BO31" s="16" cm="1">
        <f t="array" ref="BO31">INDEX(_xlfn.ANCHORARRAY(_xlfn.XLOOKUP($C31,'-ref_Distribution'!$B$146:$B$150,'-ref_Distribution'!$G$146:$G$150)),RIGHT(BO$1,2))</f>
        <v>403</v>
      </c>
      <c r="BP31" s="16" cm="1">
        <f t="array" ref="BP31">INDEX(_xlfn.ANCHORARRAY(_xlfn.XLOOKUP($C31,'-ref_Distribution'!$B$146:$B$150,'-ref_Distribution'!$G$146:$G$150)),RIGHT(BP$1,2))</f>
        <v>414</v>
      </c>
      <c r="BQ31" s="16" cm="1">
        <f t="array" ref="BQ31">INDEX(_xlfn.ANCHORARRAY(_xlfn.XLOOKUP($C31,'-ref_Distribution'!$B$146:$B$150,'-ref_Distribution'!$G$146:$G$150)),RIGHT(BQ$1,2))</f>
        <v>417</v>
      </c>
      <c r="BR31" s="16" cm="1">
        <f t="array" ref="BR31">INDEX(_xlfn.ANCHORARRAY(_xlfn.XLOOKUP($C31,'-ref_Distribution'!$B$146:$B$150,'-ref_Distribution'!$G$146:$G$150)),RIGHT(BR$1,2))</f>
        <v>414</v>
      </c>
      <c r="BS31" s="16" cm="1">
        <f t="array" ref="BS31">INDEX(_xlfn.ANCHORARRAY(_xlfn.XLOOKUP($C31,'-ref_Distribution'!$B$146:$B$150,'-ref_Distribution'!$G$146:$G$150)),RIGHT(BS$1,2))</f>
        <v>403</v>
      </c>
      <c r="BT31" s="16" cm="1">
        <f t="array" ref="BT31">INDEX(_xlfn.ANCHORARRAY(_xlfn.XLOOKUP($C31,'-ref_Distribution'!$B$146:$B$150,'-ref_Distribution'!$G$146:$G$150)),RIGHT(BT$1,2))</f>
        <v>386</v>
      </c>
      <c r="BU31" s="16" cm="1">
        <f t="array" ref="BU31">INDEX(_xlfn.ANCHORARRAY(_xlfn.XLOOKUP($C31,'-ref_Distribution'!$B$146:$B$150,'-ref_Distribution'!$G$146:$G$150)),RIGHT(BU$1,2))</f>
        <v>364</v>
      </c>
      <c r="BV31" s="16" cm="1">
        <f t="array" ref="BV31">INDEX(_xlfn.ANCHORARRAY(_xlfn.XLOOKUP($C31,'-ref_Distribution'!$B$146:$B$150,'-ref_Distribution'!$G$146:$G$150)),RIGHT(BV$1,2))</f>
        <v>337</v>
      </c>
      <c r="BW31" s="16" cm="1">
        <f t="array" ref="BW31">INDEX(_xlfn.ANCHORARRAY(_xlfn.XLOOKUP($C31,'-ref_Distribution'!$B$146:$B$150,'-ref_Distribution'!$G$146:$G$150)),RIGHT(BW$1,2))</f>
        <v>307</v>
      </c>
      <c r="BX31" s="16" cm="1">
        <f t="array" ref="BX31">INDEX(_xlfn.ANCHORARRAY(_xlfn.XLOOKUP($C31,'-ref_Distribution'!$B$146:$B$150,'-ref_Distribution'!$G$146:$G$150)),RIGHT(BX$1,2))</f>
        <v>274</v>
      </c>
      <c r="BY31" s="16" cm="1">
        <f t="array" ref="BY31">INDEX(_xlfn.ANCHORARRAY(_xlfn.XLOOKUP($C31,'-ref_Distribution'!$B$146:$B$150,'-ref_Distribution'!$G$146:$G$150)),RIGHT(BY$1,2))</f>
        <v>241</v>
      </c>
      <c r="BZ31" s="16" cm="1">
        <f t="array" ref="BZ31">INDEX(_xlfn.ANCHORARRAY(_xlfn.XLOOKUP($C31,'-ref_Distribution'!$B$146:$B$150,'-ref_Distribution'!$G$146:$G$150)),RIGHT(BZ$1,2))</f>
        <v>209</v>
      </c>
      <c r="CA31" s="16" cm="1">
        <f t="array" ref="CA31">INDEX(_xlfn.ANCHORARRAY(_xlfn.XLOOKUP($C31,'-ref_Distribution'!$B$146:$B$150,'-ref_Distribution'!$G$146:$G$150)),RIGHT(CA$1,2))</f>
        <v>178</v>
      </c>
      <c r="CB31" s="16" cm="1">
        <f t="array" ref="CB31">INDEX(_xlfn.ANCHORARRAY(_xlfn.XLOOKUP($C31,'-ref_Distribution'!$B$146:$B$150,'-ref_Distribution'!$G$146:$G$150)),RIGHT(CB$1,2))</f>
        <v>148</v>
      </c>
      <c r="CC31" s="16" cm="1">
        <f t="array" ref="CC31">INDEX(_xlfn.ANCHORARRAY(_xlfn.XLOOKUP($C31,'-ref_Distribution'!$B$146:$B$150,'-ref_Distribution'!$G$146:$G$150)),RIGHT(CC$1,2))</f>
        <v>122</v>
      </c>
      <c r="CD31" s="16" cm="1">
        <f t="array" ref="CD31">INDEX(_xlfn.ANCHORARRAY(_xlfn.XLOOKUP($C31,'-ref_Distribution'!$B$146:$B$150,'-ref_Distribution'!$G$146:$G$150)),RIGHT(CD$1,2))</f>
        <v>98</v>
      </c>
      <c r="CE31" s="16" cm="1">
        <f t="array" ref="CE31">INDEX(_xlfn.ANCHORARRAY(_xlfn.XLOOKUP($C31,'-ref_Distribution'!$B$146:$B$150,'-ref_Distribution'!$G$146:$G$150)),RIGHT(CE$1,2))</f>
        <v>78</v>
      </c>
    </row>
    <row r="32" spans="1:83" x14ac:dyDescent="0.2">
      <c r="A32" s="16">
        <v>301033</v>
      </c>
      <c r="B32" s="16" t="s">
        <v>219</v>
      </c>
      <c r="C32" s="16">
        <v>2</v>
      </c>
      <c r="D32" s="16" cm="1">
        <f t="array" ref="D32">INDEX(_xlfn.ANCHORARRAY(_xlfn.XLOOKUP($C32,'-ref_Distribution'!$B$146:$B$150,'-ref_Distribution'!$G$146:$G$150)),RIGHT(D$1,2))</f>
        <v>75</v>
      </c>
      <c r="E32" s="16" cm="1">
        <f t="array" ref="E32">INDEX(_xlfn.ANCHORARRAY(_xlfn.XLOOKUP($C32,'-ref_Distribution'!$B$146:$B$150,'-ref_Distribution'!$G$146:$G$150)),RIGHT(E$1,2))</f>
        <v>94</v>
      </c>
      <c r="F32" s="16" cm="1">
        <f t="array" ref="F32">INDEX(_xlfn.ANCHORARRAY(_xlfn.XLOOKUP($C32,'-ref_Distribution'!$B$146:$B$150,'-ref_Distribution'!$G$146:$G$150)),RIGHT(F$1,2))</f>
        <v>115</v>
      </c>
      <c r="G32" s="16" cm="1">
        <f t="array" ref="G32">INDEX(_xlfn.ANCHORARRAY(_xlfn.XLOOKUP($C32,'-ref_Distribution'!$B$146:$B$150,'-ref_Distribution'!$G$146:$G$150)),RIGHT(G$1,2))</f>
        <v>137</v>
      </c>
      <c r="H32" s="16" cm="1">
        <f t="array" ref="H32">INDEX(_xlfn.ANCHORARRAY(_xlfn.XLOOKUP($C32,'-ref_Distribution'!$B$146:$B$150,'-ref_Distribution'!$G$146:$G$150)),RIGHT(H$1,2))</f>
        <v>160</v>
      </c>
      <c r="I32" s="16" cm="1">
        <f t="array" ref="I32">INDEX(_xlfn.ANCHORARRAY(_xlfn.XLOOKUP($C32,'-ref_Distribution'!$B$146:$B$150,'-ref_Distribution'!$G$146:$G$150)),RIGHT(I$1,2))</f>
        <v>183</v>
      </c>
      <c r="J32" s="16" cm="1">
        <f t="array" ref="J32">INDEX(_xlfn.ANCHORARRAY(_xlfn.XLOOKUP($C32,'-ref_Distribution'!$B$146:$B$150,'-ref_Distribution'!$G$146:$G$150)),RIGHT(J$1,2))</f>
        <v>203</v>
      </c>
      <c r="K32" s="16" cm="1">
        <f t="array" ref="K32">INDEX(_xlfn.ANCHORARRAY(_xlfn.XLOOKUP($C32,'-ref_Distribution'!$B$146:$B$150,'-ref_Distribution'!$G$146:$G$150)),RIGHT(K$1,2))</f>
        <v>221</v>
      </c>
      <c r="L32" s="16" cm="1">
        <f t="array" ref="L32">INDEX(_xlfn.ANCHORARRAY(_xlfn.XLOOKUP($C32,'-ref_Distribution'!$B$146:$B$150,'-ref_Distribution'!$G$146:$G$150)),RIGHT(L$1,2))</f>
        <v>234</v>
      </c>
      <c r="M32" s="16" cm="1">
        <f t="array" ref="M32">INDEX(_xlfn.ANCHORARRAY(_xlfn.XLOOKUP($C32,'-ref_Distribution'!$B$146:$B$150,'-ref_Distribution'!$G$146:$G$150)),RIGHT(M$1,2))</f>
        <v>243</v>
      </c>
      <c r="N32" s="16" cm="1">
        <f t="array" ref="N32">INDEX(_xlfn.ANCHORARRAY(_xlfn.XLOOKUP($C32,'-ref_Distribution'!$B$146:$B$150,'-ref_Distribution'!$G$146:$G$150)),RIGHT(N$1,2))</f>
        <v>245</v>
      </c>
      <c r="O32" s="16" cm="1">
        <f t="array" ref="O32">INDEX(_xlfn.ANCHORARRAY(_xlfn.XLOOKUP($C32,'-ref_Distribution'!$B$146:$B$150,'-ref_Distribution'!$G$146:$G$150)),RIGHT(O$1,2))</f>
        <v>243</v>
      </c>
      <c r="P32" s="16" cm="1">
        <f t="array" ref="P32">INDEX(_xlfn.ANCHORARRAY(_xlfn.XLOOKUP($C32,'-ref_Distribution'!$B$146:$B$150,'-ref_Distribution'!$G$146:$G$150)),RIGHT(P$1,2))</f>
        <v>234</v>
      </c>
      <c r="Q32" s="16" cm="1">
        <f t="array" ref="Q32">INDEX(_xlfn.ANCHORARRAY(_xlfn.XLOOKUP($C32,'-ref_Distribution'!$B$146:$B$150,'-ref_Distribution'!$G$146:$G$150)),RIGHT(Q$1,2))</f>
        <v>221</v>
      </c>
      <c r="R32" s="16" cm="1">
        <f t="array" ref="R32">INDEX(_xlfn.ANCHORARRAY(_xlfn.XLOOKUP($C32,'-ref_Distribution'!$B$146:$B$150,'-ref_Distribution'!$G$146:$G$150)),RIGHT(R$1,2))</f>
        <v>203</v>
      </c>
      <c r="S32" s="16" cm="1">
        <f t="array" ref="S32">INDEX(_xlfn.ANCHORARRAY(_xlfn.XLOOKUP($C32,'-ref_Distribution'!$B$146:$B$150,'-ref_Distribution'!$G$146:$G$150)),RIGHT(S$1,2))</f>
        <v>183</v>
      </c>
      <c r="T32" s="16" cm="1">
        <f t="array" ref="T32">INDEX(_xlfn.ANCHORARRAY(_xlfn.XLOOKUP($C32,'-ref_Distribution'!$B$146:$B$150,'-ref_Distribution'!$G$146:$G$150)),RIGHT(T$1,2))</f>
        <v>160</v>
      </c>
      <c r="U32" s="16" cm="1">
        <f t="array" ref="U32">INDEX(_xlfn.ANCHORARRAY(_xlfn.XLOOKUP($C32,'-ref_Distribution'!$B$146:$B$150,'-ref_Distribution'!$G$146:$G$150)),RIGHT(U$1,2))</f>
        <v>137</v>
      </c>
      <c r="V32" s="16" cm="1">
        <f t="array" ref="V32">INDEX(_xlfn.ANCHORARRAY(_xlfn.XLOOKUP($C32,'-ref_Distribution'!$B$146:$B$150,'-ref_Distribution'!$G$146:$G$150)),RIGHT(V$1,2))</f>
        <v>115</v>
      </c>
      <c r="W32" s="16" cm="1">
        <f t="array" ref="W32">INDEX(_xlfn.ANCHORARRAY(_xlfn.XLOOKUP($C32,'-ref_Distribution'!$B$146:$B$150,'-ref_Distribution'!$G$146:$G$150)),RIGHT(W$1,2))</f>
        <v>94</v>
      </c>
      <c r="X32" s="16" cm="1">
        <f t="array" ref="X32">INDEX(_xlfn.ANCHORARRAY(_xlfn.XLOOKUP($C32,'-ref_Distribution'!$B$146:$B$150,'-ref_Distribution'!$G$146:$G$150)),RIGHT(X$1,2))</f>
        <v>75</v>
      </c>
      <c r="Y32" s="16" cm="1">
        <f t="array" ref="Y32">INDEX(_xlfn.ANCHORARRAY(_xlfn.XLOOKUP($C32,'-ref_Distribution'!$B$146:$B$150,'-ref_Distribution'!$G$146:$G$150)),RIGHT(Y$1,2))</f>
        <v>94</v>
      </c>
      <c r="Z32" s="16" cm="1">
        <f t="array" ref="Z32">INDEX(_xlfn.ANCHORARRAY(_xlfn.XLOOKUP($C32,'-ref_Distribution'!$B$146:$B$150,'-ref_Distribution'!$G$146:$G$150)),RIGHT(Z$1,2))</f>
        <v>115</v>
      </c>
      <c r="AA32" s="16" cm="1">
        <f t="array" ref="AA32">INDEX(_xlfn.ANCHORARRAY(_xlfn.XLOOKUP($C32,'-ref_Distribution'!$B$146:$B$150,'-ref_Distribution'!$G$146:$G$150)),RIGHT(AA$1,2))</f>
        <v>137</v>
      </c>
      <c r="AB32" s="16" cm="1">
        <f t="array" ref="AB32">INDEX(_xlfn.ANCHORARRAY(_xlfn.XLOOKUP($C32,'-ref_Distribution'!$B$146:$B$150,'-ref_Distribution'!$G$146:$G$150)),RIGHT(AB$1,2))</f>
        <v>160</v>
      </c>
      <c r="AC32" s="16" cm="1">
        <f t="array" ref="AC32">INDEX(_xlfn.ANCHORARRAY(_xlfn.XLOOKUP($C32,'-ref_Distribution'!$B$146:$B$150,'-ref_Distribution'!$G$146:$G$150)),RIGHT(AC$1,2))</f>
        <v>183</v>
      </c>
      <c r="AD32" s="16" cm="1">
        <f t="array" ref="AD32">INDEX(_xlfn.ANCHORARRAY(_xlfn.XLOOKUP($C32,'-ref_Distribution'!$B$146:$B$150,'-ref_Distribution'!$G$146:$G$150)),RIGHT(AD$1,2))</f>
        <v>203</v>
      </c>
      <c r="AE32" s="16" cm="1">
        <f t="array" ref="AE32">INDEX(_xlfn.ANCHORARRAY(_xlfn.XLOOKUP($C32,'-ref_Distribution'!$B$146:$B$150,'-ref_Distribution'!$G$146:$G$150)),RIGHT(AE$1,2))</f>
        <v>221</v>
      </c>
      <c r="AF32" s="16" cm="1">
        <f t="array" ref="AF32">INDEX(_xlfn.ANCHORARRAY(_xlfn.XLOOKUP($C32,'-ref_Distribution'!$B$146:$B$150,'-ref_Distribution'!$G$146:$G$150)),RIGHT(AF$1,2))</f>
        <v>234</v>
      </c>
      <c r="AG32" s="16" cm="1">
        <f t="array" ref="AG32">INDEX(_xlfn.ANCHORARRAY(_xlfn.XLOOKUP($C32,'-ref_Distribution'!$B$146:$B$150,'-ref_Distribution'!$G$146:$G$150)),RIGHT(AG$1,2))</f>
        <v>243</v>
      </c>
      <c r="AH32" s="16" cm="1">
        <f t="array" ref="AH32">INDEX(_xlfn.ANCHORARRAY(_xlfn.XLOOKUP($C32,'-ref_Distribution'!$B$146:$B$150,'-ref_Distribution'!$G$146:$G$150)),RIGHT(AH$1,2))</f>
        <v>245</v>
      </c>
      <c r="AI32" s="16" cm="1">
        <f t="array" ref="AI32">INDEX(_xlfn.ANCHORARRAY(_xlfn.XLOOKUP($C32,'-ref_Distribution'!$B$146:$B$150,'-ref_Distribution'!$G$146:$G$150)),RIGHT(AI$1,2))</f>
        <v>243</v>
      </c>
      <c r="AJ32" s="16" cm="1">
        <f t="array" ref="AJ32">INDEX(_xlfn.ANCHORARRAY(_xlfn.XLOOKUP($C32,'-ref_Distribution'!$B$146:$B$150,'-ref_Distribution'!$G$146:$G$150)),RIGHT(AJ$1,2))</f>
        <v>234</v>
      </c>
      <c r="AK32" s="16" cm="1">
        <f t="array" ref="AK32">INDEX(_xlfn.ANCHORARRAY(_xlfn.XLOOKUP($C32,'-ref_Distribution'!$B$146:$B$150,'-ref_Distribution'!$G$146:$G$150)),RIGHT(AK$1,2))</f>
        <v>221</v>
      </c>
      <c r="AL32" s="16" cm="1">
        <f t="array" ref="AL32">INDEX(_xlfn.ANCHORARRAY(_xlfn.XLOOKUP($C32,'-ref_Distribution'!$B$146:$B$150,'-ref_Distribution'!$G$146:$G$150)),RIGHT(AL$1,2))</f>
        <v>203</v>
      </c>
      <c r="AM32" s="16" cm="1">
        <f t="array" ref="AM32">INDEX(_xlfn.ANCHORARRAY(_xlfn.XLOOKUP($C32,'-ref_Distribution'!$B$146:$B$150,'-ref_Distribution'!$G$146:$G$150)),RIGHT(AM$1,2))</f>
        <v>183</v>
      </c>
      <c r="AN32" s="16" cm="1">
        <f t="array" ref="AN32">INDEX(_xlfn.ANCHORARRAY(_xlfn.XLOOKUP($C32,'-ref_Distribution'!$B$146:$B$150,'-ref_Distribution'!$G$146:$G$150)),RIGHT(AN$1,2))</f>
        <v>160</v>
      </c>
      <c r="AO32" s="16" cm="1">
        <f t="array" ref="AO32">INDEX(_xlfn.ANCHORARRAY(_xlfn.XLOOKUP($C32,'-ref_Distribution'!$B$146:$B$150,'-ref_Distribution'!$G$146:$G$150)),RIGHT(AO$1,2))</f>
        <v>137</v>
      </c>
      <c r="AP32" s="16" cm="1">
        <f t="array" ref="AP32">INDEX(_xlfn.ANCHORARRAY(_xlfn.XLOOKUP($C32,'-ref_Distribution'!$B$146:$B$150,'-ref_Distribution'!$G$146:$G$150)),RIGHT(AP$1,2))</f>
        <v>115</v>
      </c>
      <c r="AQ32" s="16" cm="1">
        <f t="array" ref="AQ32">INDEX(_xlfn.ANCHORARRAY(_xlfn.XLOOKUP($C32,'-ref_Distribution'!$B$146:$B$150,'-ref_Distribution'!$G$146:$G$150)),RIGHT(AQ$1,2))</f>
        <v>94</v>
      </c>
      <c r="AR32" s="16" cm="1">
        <f t="array" ref="AR32">INDEX(_xlfn.ANCHORARRAY(_xlfn.XLOOKUP($C32,'-ref_Distribution'!$B$146:$B$150,'-ref_Distribution'!$G$146:$G$150)),RIGHT(AR$1,2))</f>
        <v>75</v>
      </c>
      <c r="AS32" s="16" cm="1">
        <f t="array" ref="AS32">INDEX(_xlfn.ANCHORARRAY(_xlfn.XLOOKUP($C32,'-ref_Distribution'!$B$146:$B$150,'-ref_Distribution'!$G$146:$G$150)),RIGHT(AS$1,2))</f>
        <v>94</v>
      </c>
      <c r="AT32" s="16" cm="1">
        <f t="array" ref="AT32">INDEX(_xlfn.ANCHORARRAY(_xlfn.XLOOKUP($C32,'-ref_Distribution'!$B$146:$B$150,'-ref_Distribution'!$G$146:$G$150)),RIGHT(AT$1,2))</f>
        <v>115</v>
      </c>
      <c r="AU32" s="16" cm="1">
        <f t="array" ref="AU32">INDEX(_xlfn.ANCHORARRAY(_xlfn.XLOOKUP($C32,'-ref_Distribution'!$B$146:$B$150,'-ref_Distribution'!$G$146:$G$150)),RIGHT(AU$1,2))</f>
        <v>137</v>
      </c>
      <c r="AV32" s="16" cm="1">
        <f t="array" ref="AV32">INDEX(_xlfn.ANCHORARRAY(_xlfn.XLOOKUP($C32,'-ref_Distribution'!$B$146:$B$150,'-ref_Distribution'!$G$146:$G$150)),RIGHT(AV$1,2))</f>
        <v>160</v>
      </c>
      <c r="AW32" s="16" cm="1">
        <f t="array" ref="AW32">INDEX(_xlfn.ANCHORARRAY(_xlfn.XLOOKUP($C32,'-ref_Distribution'!$B$146:$B$150,'-ref_Distribution'!$G$146:$G$150)),RIGHT(AW$1,2))</f>
        <v>183</v>
      </c>
      <c r="AX32" s="16" cm="1">
        <f t="array" ref="AX32">INDEX(_xlfn.ANCHORARRAY(_xlfn.XLOOKUP($C32,'-ref_Distribution'!$B$146:$B$150,'-ref_Distribution'!$G$146:$G$150)),RIGHT(AX$1,2))</f>
        <v>203</v>
      </c>
      <c r="AY32" s="16" cm="1">
        <f t="array" ref="AY32">INDEX(_xlfn.ANCHORARRAY(_xlfn.XLOOKUP($C32,'-ref_Distribution'!$B$146:$B$150,'-ref_Distribution'!$G$146:$G$150)),RIGHT(AY$1,2))</f>
        <v>221</v>
      </c>
      <c r="AZ32" s="16" cm="1">
        <f t="array" ref="AZ32">INDEX(_xlfn.ANCHORARRAY(_xlfn.XLOOKUP($C32,'-ref_Distribution'!$B$146:$B$150,'-ref_Distribution'!$G$146:$G$150)),RIGHT(AZ$1,2))</f>
        <v>234</v>
      </c>
      <c r="BA32" s="16" cm="1">
        <f t="array" ref="BA32">INDEX(_xlfn.ANCHORARRAY(_xlfn.XLOOKUP($C32,'-ref_Distribution'!$B$146:$B$150,'-ref_Distribution'!$G$146:$G$150)),RIGHT(BA$1,2))</f>
        <v>243</v>
      </c>
      <c r="BB32" s="16" cm="1">
        <f t="array" ref="BB32">INDEX(_xlfn.ANCHORARRAY(_xlfn.XLOOKUP($C32,'-ref_Distribution'!$B$146:$B$150,'-ref_Distribution'!$G$146:$G$150)),RIGHT(BB$1,2))</f>
        <v>245</v>
      </c>
      <c r="BC32" s="16" cm="1">
        <f t="array" ref="BC32">INDEX(_xlfn.ANCHORARRAY(_xlfn.XLOOKUP($C32,'-ref_Distribution'!$B$146:$B$150,'-ref_Distribution'!$G$146:$G$150)),RIGHT(BC$1,2))</f>
        <v>243</v>
      </c>
      <c r="BD32" s="16" cm="1">
        <f t="array" ref="BD32">INDEX(_xlfn.ANCHORARRAY(_xlfn.XLOOKUP($C32,'-ref_Distribution'!$B$146:$B$150,'-ref_Distribution'!$G$146:$G$150)),RIGHT(BD$1,2))</f>
        <v>234</v>
      </c>
      <c r="BE32" s="16" cm="1">
        <f t="array" ref="BE32">INDEX(_xlfn.ANCHORARRAY(_xlfn.XLOOKUP($C32,'-ref_Distribution'!$B$146:$B$150,'-ref_Distribution'!$G$146:$G$150)),RIGHT(BE$1,2))</f>
        <v>221</v>
      </c>
      <c r="BF32" s="16" cm="1">
        <f t="array" ref="BF32">INDEX(_xlfn.ANCHORARRAY(_xlfn.XLOOKUP($C32,'-ref_Distribution'!$B$146:$B$150,'-ref_Distribution'!$G$146:$G$150)),RIGHT(BF$1,2))</f>
        <v>203</v>
      </c>
      <c r="BG32" s="16" cm="1">
        <f t="array" ref="BG32">INDEX(_xlfn.ANCHORARRAY(_xlfn.XLOOKUP($C32,'-ref_Distribution'!$B$146:$B$150,'-ref_Distribution'!$G$146:$G$150)),RIGHT(BG$1,2))</f>
        <v>183</v>
      </c>
      <c r="BH32" s="16" cm="1">
        <f t="array" ref="BH32">INDEX(_xlfn.ANCHORARRAY(_xlfn.XLOOKUP($C32,'-ref_Distribution'!$B$146:$B$150,'-ref_Distribution'!$G$146:$G$150)),RIGHT(BH$1,2))</f>
        <v>160</v>
      </c>
      <c r="BI32" s="16" cm="1">
        <f t="array" ref="BI32">INDEX(_xlfn.ANCHORARRAY(_xlfn.XLOOKUP($C32,'-ref_Distribution'!$B$146:$B$150,'-ref_Distribution'!$G$146:$G$150)),RIGHT(BI$1,2))</f>
        <v>137</v>
      </c>
      <c r="BJ32" s="16" cm="1">
        <f t="array" ref="BJ32">INDEX(_xlfn.ANCHORARRAY(_xlfn.XLOOKUP($C32,'-ref_Distribution'!$B$146:$B$150,'-ref_Distribution'!$G$146:$G$150)),RIGHT(BJ$1,2))</f>
        <v>115</v>
      </c>
      <c r="BK32" s="16" cm="1">
        <f t="array" ref="BK32">INDEX(_xlfn.ANCHORARRAY(_xlfn.XLOOKUP($C32,'-ref_Distribution'!$B$146:$B$150,'-ref_Distribution'!$G$146:$G$150)),RIGHT(BK$1,2))</f>
        <v>94</v>
      </c>
      <c r="BL32" s="16" cm="1">
        <f t="array" ref="BL32">INDEX(_xlfn.ANCHORARRAY(_xlfn.XLOOKUP($C32,'-ref_Distribution'!$B$146:$B$150,'-ref_Distribution'!$G$146:$G$150)),RIGHT(BL$1,2))</f>
        <v>75</v>
      </c>
      <c r="BM32" s="16" cm="1">
        <f t="array" ref="BM32">INDEX(_xlfn.ANCHORARRAY(_xlfn.XLOOKUP($C32,'-ref_Distribution'!$B$146:$B$150,'-ref_Distribution'!$G$146:$G$150)),RIGHT(BM$1,2))</f>
        <v>94</v>
      </c>
      <c r="BN32" s="16" cm="1">
        <f t="array" ref="BN32">INDEX(_xlfn.ANCHORARRAY(_xlfn.XLOOKUP($C32,'-ref_Distribution'!$B$146:$B$150,'-ref_Distribution'!$G$146:$G$150)),RIGHT(BN$1,2))</f>
        <v>115</v>
      </c>
      <c r="BO32" s="16" cm="1">
        <f t="array" ref="BO32">INDEX(_xlfn.ANCHORARRAY(_xlfn.XLOOKUP($C32,'-ref_Distribution'!$B$146:$B$150,'-ref_Distribution'!$G$146:$G$150)),RIGHT(BO$1,2))</f>
        <v>137</v>
      </c>
      <c r="BP32" s="16" cm="1">
        <f t="array" ref="BP32">INDEX(_xlfn.ANCHORARRAY(_xlfn.XLOOKUP($C32,'-ref_Distribution'!$B$146:$B$150,'-ref_Distribution'!$G$146:$G$150)),RIGHT(BP$1,2))</f>
        <v>160</v>
      </c>
      <c r="BQ32" s="16" cm="1">
        <f t="array" ref="BQ32">INDEX(_xlfn.ANCHORARRAY(_xlfn.XLOOKUP($C32,'-ref_Distribution'!$B$146:$B$150,'-ref_Distribution'!$G$146:$G$150)),RIGHT(BQ$1,2))</f>
        <v>183</v>
      </c>
      <c r="BR32" s="16" cm="1">
        <f t="array" ref="BR32">INDEX(_xlfn.ANCHORARRAY(_xlfn.XLOOKUP($C32,'-ref_Distribution'!$B$146:$B$150,'-ref_Distribution'!$G$146:$G$150)),RIGHT(BR$1,2))</f>
        <v>203</v>
      </c>
      <c r="BS32" s="16" cm="1">
        <f t="array" ref="BS32">INDEX(_xlfn.ANCHORARRAY(_xlfn.XLOOKUP($C32,'-ref_Distribution'!$B$146:$B$150,'-ref_Distribution'!$G$146:$G$150)),RIGHT(BS$1,2))</f>
        <v>221</v>
      </c>
      <c r="BT32" s="16" cm="1">
        <f t="array" ref="BT32">INDEX(_xlfn.ANCHORARRAY(_xlfn.XLOOKUP($C32,'-ref_Distribution'!$B$146:$B$150,'-ref_Distribution'!$G$146:$G$150)),RIGHT(BT$1,2))</f>
        <v>234</v>
      </c>
      <c r="BU32" s="16" cm="1">
        <f t="array" ref="BU32">INDEX(_xlfn.ANCHORARRAY(_xlfn.XLOOKUP($C32,'-ref_Distribution'!$B$146:$B$150,'-ref_Distribution'!$G$146:$G$150)),RIGHT(BU$1,2))</f>
        <v>243</v>
      </c>
      <c r="BV32" s="16" cm="1">
        <f t="array" ref="BV32">INDEX(_xlfn.ANCHORARRAY(_xlfn.XLOOKUP($C32,'-ref_Distribution'!$B$146:$B$150,'-ref_Distribution'!$G$146:$G$150)),RIGHT(BV$1,2))</f>
        <v>245</v>
      </c>
      <c r="BW32" s="16" cm="1">
        <f t="array" ref="BW32">INDEX(_xlfn.ANCHORARRAY(_xlfn.XLOOKUP($C32,'-ref_Distribution'!$B$146:$B$150,'-ref_Distribution'!$G$146:$G$150)),RIGHT(BW$1,2))</f>
        <v>243</v>
      </c>
      <c r="BX32" s="16" cm="1">
        <f t="array" ref="BX32">INDEX(_xlfn.ANCHORARRAY(_xlfn.XLOOKUP($C32,'-ref_Distribution'!$B$146:$B$150,'-ref_Distribution'!$G$146:$G$150)),RIGHT(BX$1,2))</f>
        <v>234</v>
      </c>
      <c r="BY32" s="16" cm="1">
        <f t="array" ref="BY32">INDEX(_xlfn.ANCHORARRAY(_xlfn.XLOOKUP($C32,'-ref_Distribution'!$B$146:$B$150,'-ref_Distribution'!$G$146:$G$150)),RIGHT(BY$1,2))</f>
        <v>221</v>
      </c>
      <c r="BZ32" s="16" cm="1">
        <f t="array" ref="BZ32">INDEX(_xlfn.ANCHORARRAY(_xlfn.XLOOKUP($C32,'-ref_Distribution'!$B$146:$B$150,'-ref_Distribution'!$G$146:$G$150)),RIGHT(BZ$1,2))</f>
        <v>203</v>
      </c>
      <c r="CA32" s="16" cm="1">
        <f t="array" ref="CA32">INDEX(_xlfn.ANCHORARRAY(_xlfn.XLOOKUP($C32,'-ref_Distribution'!$B$146:$B$150,'-ref_Distribution'!$G$146:$G$150)),RIGHT(CA$1,2))</f>
        <v>183</v>
      </c>
      <c r="CB32" s="16" cm="1">
        <f t="array" ref="CB32">INDEX(_xlfn.ANCHORARRAY(_xlfn.XLOOKUP($C32,'-ref_Distribution'!$B$146:$B$150,'-ref_Distribution'!$G$146:$G$150)),RIGHT(CB$1,2))</f>
        <v>160</v>
      </c>
      <c r="CC32" s="16" cm="1">
        <f t="array" ref="CC32">INDEX(_xlfn.ANCHORARRAY(_xlfn.XLOOKUP($C32,'-ref_Distribution'!$B$146:$B$150,'-ref_Distribution'!$G$146:$G$150)),RIGHT(CC$1,2))</f>
        <v>137</v>
      </c>
      <c r="CD32" s="16" cm="1">
        <f t="array" ref="CD32">INDEX(_xlfn.ANCHORARRAY(_xlfn.XLOOKUP($C32,'-ref_Distribution'!$B$146:$B$150,'-ref_Distribution'!$G$146:$G$150)),RIGHT(CD$1,2))</f>
        <v>115</v>
      </c>
      <c r="CE32" s="16" cm="1">
        <f t="array" ref="CE32">INDEX(_xlfn.ANCHORARRAY(_xlfn.XLOOKUP($C32,'-ref_Distribution'!$B$146:$B$150,'-ref_Distribution'!$G$146:$G$150)),RIGHT(CE$1,2))</f>
        <v>94</v>
      </c>
    </row>
    <row r="33" spans="1:83" x14ac:dyDescent="0.2">
      <c r="A33" s="16">
        <v>301034</v>
      </c>
      <c r="B33" s="16" t="s">
        <v>219</v>
      </c>
      <c r="C33" s="16">
        <v>3</v>
      </c>
      <c r="D33" s="16" cm="1">
        <f t="array" ref="D33">INDEX(_xlfn.ANCHORARRAY(_xlfn.XLOOKUP($C33,'-ref_Distribution'!$B$146:$B$150,'-ref_Distribution'!$G$146:$G$150)),RIGHT(D$1,2))</f>
        <v>4</v>
      </c>
      <c r="E33" s="16" cm="1">
        <f t="array" ref="E33">INDEX(_xlfn.ANCHORARRAY(_xlfn.XLOOKUP($C33,'-ref_Distribution'!$B$146:$B$150,'-ref_Distribution'!$G$146:$G$150)),RIGHT(E$1,2))</f>
        <v>6</v>
      </c>
      <c r="F33" s="16" cm="1">
        <f t="array" ref="F33">INDEX(_xlfn.ANCHORARRAY(_xlfn.XLOOKUP($C33,'-ref_Distribution'!$B$146:$B$150,'-ref_Distribution'!$G$146:$G$150)),RIGHT(F$1,2))</f>
        <v>9</v>
      </c>
      <c r="G33" s="16" cm="1">
        <f t="array" ref="G33">INDEX(_xlfn.ANCHORARRAY(_xlfn.XLOOKUP($C33,'-ref_Distribution'!$B$146:$B$150,'-ref_Distribution'!$G$146:$G$150)),RIGHT(G$1,2))</f>
        <v>14</v>
      </c>
      <c r="H33" s="16" cm="1">
        <f t="array" ref="H33">INDEX(_xlfn.ANCHORARRAY(_xlfn.XLOOKUP($C33,'-ref_Distribution'!$B$146:$B$150,'-ref_Distribution'!$G$146:$G$150)),RIGHT(H$1,2))</f>
        <v>20</v>
      </c>
      <c r="I33" s="16" cm="1">
        <f t="array" ref="I33">INDEX(_xlfn.ANCHORARRAY(_xlfn.XLOOKUP($C33,'-ref_Distribution'!$B$146:$B$150,'-ref_Distribution'!$G$146:$G$150)),RIGHT(I$1,2))</f>
        <v>28</v>
      </c>
      <c r="J33" s="16" cm="1">
        <f t="array" ref="J33">INDEX(_xlfn.ANCHORARRAY(_xlfn.XLOOKUP($C33,'-ref_Distribution'!$B$146:$B$150,'-ref_Distribution'!$G$146:$G$150)),RIGHT(J$1,2))</f>
        <v>38</v>
      </c>
      <c r="K33" s="16" cm="1">
        <f t="array" ref="K33">INDEX(_xlfn.ANCHORARRAY(_xlfn.XLOOKUP($C33,'-ref_Distribution'!$B$146:$B$150,'-ref_Distribution'!$G$146:$G$150)),RIGHT(K$1,2))</f>
        <v>51</v>
      </c>
      <c r="L33" s="16" cm="1">
        <f t="array" ref="L33">INDEX(_xlfn.ANCHORARRAY(_xlfn.XLOOKUP($C33,'-ref_Distribution'!$B$146:$B$150,'-ref_Distribution'!$G$146:$G$150)),RIGHT(L$1,2))</f>
        <v>65</v>
      </c>
      <c r="M33" s="16" cm="1">
        <f t="array" ref="M33">INDEX(_xlfn.ANCHORARRAY(_xlfn.XLOOKUP($C33,'-ref_Distribution'!$B$146:$B$150,'-ref_Distribution'!$G$146:$G$150)),RIGHT(M$1,2))</f>
        <v>80</v>
      </c>
      <c r="N33" s="16" cm="1">
        <f t="array" ref="N33">INDEX(_xlfn.ANCHORARRAY(_xlfn.XLOOKUP($C33,'-ref_Distribution'!$B$146:$B$150,'-ref_Distribution'!$G$146:$G$150)),RIGHT(N$1,2))</f>
        <v>96</v>
      </c>
      <c r="O33" s="16" cm="1">
        <f t="array" ref="O33">INDEX(_xlfn.ANCHORARRAY(_xlfn.XLOOKUP($C33,'-ref_Distribution'!$B$146:$B$150,'-ref_Distribution'!$G$146:$G$150)),RIGHT(O$1,2))</f>
        <v>111</v>
      </c>
      <c r="P33" s="16" cm="1">
        <f t="array" ref="P33">INDEX(_xlfn.ANCHORARRAY(_xlfn.XLOOKUP($C33,'-ref_Distribution'!$B$146:$B$150,'-ref_Distribution'!$G$146:$G$150)),RIGHT(P$1,2))</f>
        <v>125</v>
      </c>
      <c r="Q33" s="16" cm="1">
        <f t="array" ref="Q33">INDEX(_xlfn.ANCHORARRAY(_xlfn.XLOOKUP($C33,'-ref_Distribution'!$B$146:$B$150,'-ref_Distribution'!$G$146:$G$150)),RIGHT(Q$1,2))</f>
        <v>135</v>
      </c>
      <c r="R33" s="16" cm="1">
        <f t="array" ref="R33">INDEX(_xlfn.ANCHORARRAY(_xlfn.XLOOKUP($C33,'-ref_Distribution'!$B$146:$B$150,'-ref_Distribution'!$G$146:$G$150)),RIGHT(R$1,2))</f>
        <v>142</v>
      </c>
      <c r="S33" s="16" cm="1">
        <f t="array" ref="S33">INDEX(_xlfn.ANCHORARRAY(_xlfn.XLOOKUP($C33,'-ref_Distribution'!$B$146:$B$150,'-ref_Distribution'!$G$146:$G$150)),RIGHT(S$1,2))</f>
        <v>144</v>
      </c>
      <c r="T33" s="16" cm="1">
        <f t="array" ref="T33">INDEX(_xlfn.ANCHORARRAY(_xlfn.XLOOKUP($C33,'-ref_Distribution'!$B$146:$B$150,'-ref_Distribution'!$G$146:$G$150)),RIGHT(T$1,2))</f>
        <v>142</v>
      </c>
      <c r="U33" s="16" cm="1">
        <f t="array" ref="U33">INDEX(_xlfn.ANCHORARRAY(_xlfn.XLOOKUP($C33,'-ref_Distribution'!$B$146:$B$150,'-ref_Distribution'!$G$146:$G$150)),RIGHT(U$1,2))</f>
        <v>135</v>
      </c>
      <c r="V33" s="16" cm="1">
        <f t="array" ref="V33">INDEX(_xlfn.ANCHORARRAY(_xlfn.XLOOKUP($C33,'-ref_Distribution'!$B$146:$B$150,'-ref_Distribution'!$G$146:$G$150)),RIGHT(V$1,2))</f>
        <v>125</v>
      </c>
      <c r="W33" s="16" cm="1">
        <f t="array" ref="W33">INDEX(_xlfn.ANCHORARRAY(_xlfn.XLOOKUP($C33,'-ref_Distribution'!$B$146:$B$150,'-ref_Distribution'!$G$146:$G$150)),RIGHT(W$1,2))</f>
        <v>111</v>
      </c>
      <c r="X33" s="16" cm="1">
        <f t="array" ref="X33">INDEX(_xlfn.ANCHORARRAY(_xlfn.XLOOKUP($C33,'-ref_Distribution'!$B$146:$B$150,'-ref_Distribution'!$G$146:$G$150)),RIGHT(X$1,2))</f>
        <v>4</v>
      </c>
      <c r="Y33" s="16" cm="1">
        <f t="array" ref="Y33">INDEX(_xlfn.ANCHORARRAY(_xlfn.XLOOKUP($C33,'-ref_Distribution'!$B$146:$B$150,'-ref_Distribution'!$G$146:$G$150)),RIGHT(Y$1,2))</f>
        <v>6</v>
      </c>
      <c r="Z33" s="16" cm="1">
        <f t="array" ref="Z33">INDEX(_xlfn.ANCHORARRAY(_xlfn.XLOOKUP($C33,'-ref_Distribution'!$B$146:$B$150,'-ref_Distribution'!$G$146:$G$150)),RIGHT(Z$1,2))</f>
        <v>9</v>
      </c>
      <c r="AA33" s="16" cm="1">
        <f t="array" ref="AA33">INDEX(_xlfn.ANCHORARRAY(_xlfn.XLOOKUP($C33,'-ref_Distribution'!$B$146:$B$150,'-ref_Distribution'!$G$146:$G$150)),RIGHT(AA$1,2))</f>
        <v>14</v>
      </c>
      <c r="AB33" s="16" cm="1">
        <f t="array" ref="AB33">INDEX(_xlfn.ANCHORARRAY(_xlfn.XLOOKUP($C33,'-ref_Distribution'!$B$146:$B$150,'-ref_Distribution'!$G$146:$G$150)),RIGHT(AB$1,2))</f>
        <v>20</v>
      </c>
      <c r="AC33" s="16" cm="1">
        <f t="array" ref="AC33">INDEX(_xlfn.ANCHORARRAY(_xlfn.XLOOKUP($C33,'-ref_Distribution'!$B$146:$B$150,'-ref_Distribution'!$G$146:$G$150)),RIGHT(AC$1,2))</f>
        <v>28</v>
      </c>
      <c r="AD33" s="16" cm="1">
        <f t="array" ref="AD33">INDEX(_xlfn.ANCHORARRAY(_xlfn.XLOOKUP($C33,'-ref_Distribution'!$B$146:$B$150,'-ref_Distribution'!$G$146:$G$150)),RIGHT(AD$1,2))</f>
        <v>38</v>
      </c>
      <c r="AE33" s="16" cm="1">
        <f t="array" ref="AE33">INDEX(_xlfn.ANCHORARRAY(_xlfn.XLOOKUP($C33,'-ref_Distribution'!$B$146:$B$150,'-ref_Distribution'!$G$146:$G$150)),RIGHT(AE$1,2))</f>
        <v>51</v>
      </c>
      <c r="AF33" s="16" cm="1">
        <f t="array" ref="AF33">INDEX(_xlfn.ANCHORARRAY(_xlfn.XLOOKUP($C33,'-ref_Distribution'!$B$146:$B$150,'-ref_Distribution'!$G$146:$G$150)),RIGHT(AF$1,2))</f>
        <v>65</v>
      </c>
      <c r="AG33" s="16" cm="1">
        <f t="array" ref="AG33">INDEX(_xlfn.ANCHORARRAY(_xlfn.XLOOKUP($C33,'-ref_Distribution'!$B$146:$B$150,'-ref_Distribution'!$G$146:$G$150)),RIGHT(AG$1,2))</f>
        <v>80</v>
      </c>
      <c r="AH33" s="16" cm="1">
        <f t="array" ref="AH33">INDEX(_xlfn.ANCHORARRAY(_xlfn.XLOOKUP($C33,'-ref_Distribution'!$B$146:$B$150,'-ref_Distribution'!$G$146:$G$150)),RIGHT(AH$1,2))</f>
        <v>96</v>
      </c>
      <c r="AI33" s="16" cm="1">
        <f t="array" ref="AI33">INDEX(_xlfn.ANCHORARRAY(_xlfn.XLOOKUP($C33,'-ref_Distribution'!$B$146:$B$150,'-ref_Distribution'!$G$146:$G$150)),RIGHT(AI$1,2))</f>
        <v>111</v>
      </c>
      <c r="AJ33" s="16" cm="1">
        <f t="array" ref="AJ33">INDEX(_xlfn.ANCHORARRAY(_xlfn.XLOOKUP($C33,'-ref_Distribution'!$B$146:$B$150,'-ref_Distribution'!$G$146:$G$150)),RIGHT(AJ$1,2))</f>
        <v>125</v>
      </c>
      <c r="AK33" s="16" cm="1">
        <f t="array" ref="AK33">INDEX(_xlfn.ANCHORARRAY(_xlfn.XLOOKUP($C33,'-ref_Distribution'!$B$146:$B$150,'-ref_Distribution'!$G$146:$G$150)),RIGHT(AK$1,2))</f>
        <v>135</v>
      </c>
      <c r="AL33" s="16" cm="1">
        <f t="array" ref="AL33">INDEX(_xlfn.ANCHORARRAY(_xlfn.XLOOKUP($C33,'-ref_Distribution'!$B$146:$B$150,'-ref_Distribution'!$G$146:$G$150)),RIGHT(AL$1,2))</f>
        <v>142</v>
      </c>
      <c r="AM33" s="16" cm="1">
        <f t="array" ref="AM33">INDEX(_xlfn.ANCHORARRAY(_xlfn.XLOOKUP($C33,'-ref_Distribution'!$B$146:$B$150,'-ref_Distribution'!$G$146:$G$150)),RIGHT(AM$1,2))</f>
        <v>144</v>
      </c>
      <c r="AN33" s="16" cm="1">
        <f t="array" ref="AN33">INDEX(_xlfn.ANCHORARRAY(_xlfn.XLOOKUP($C33,'-ref_Distribution'!$B$146:$B$150,'-ref_Distribution'!$G$146:$G$150)),RIGHT(AN$1,2))</f>
        <v>142</v>
      </c>
      <c r="AO33" s="16" cm="1">
        <f t="array" ref="AO33">INDEX(_xlfn.ANCHORARRAY(_xlfn.XLOOKUP($C33,'-ref_Distribution'!$B$146:$B$150,'-ref_Distribution'!$G$146:$G$150)),RIGHT(AO$1,2))</f>
        <v>135</v>
      </c>
      <c r="AP33" s="16" cm="1">
        <f t="array" ref="AP33">INDEX(_xlfn.ANCHORARRAY(_xlfn.XLOOKUP($C33,'-ref_Distribution'!$B$146:$B$150,'-ref_Distribution'!$G$146:$G$150)),RIGHT(AP$1,2))</f>
        <v>125</v>
      </c>
      <c r="AQ33" s="16" cm="1">
        <f t="array" ref="AQ33">INDEX(_xlfn.ANCHORARRAY(_xlfn.XLOOKUP($C33,'-ref_Distribution'!$B$146:$B$150,'-ref_Distribution'!$G$146:$G$150)),RIGHT(AQ$1,2))</f>
        <v>111</v>
      </c>
      <c r="AR33" s="16" cm="1">
        <f t="array" ref="AR33">INDEX(_xlfn.ANCHORARRAY(_xlfn.XLOOKUP($C33,'-ref_Distribution'!$B$146:$B$150,'-ref_Distribution'!$G$146:$G$150)),RIGHT(AR$1,2))</f>
        <v>4</v>
      </c>
      <c r="AS33" s="16" cm="1">
        <f t="array" ref="AS33">INDEX(_xlfn.ANCHORARRAY(_xlfn.XLOOKUP($C33,'-ref_Distribution'!$B$146:$B$150,'-ref_Distribution'!$G$146:$G$150)),RIGHT(AS$1,2))</f>
        <v>6</v>
      </c>
      <c r="AT33" s="16" cm="1">
        <f t="array" ref="AT33">INDEX(_xlfn.ANCHORARRAY(_xlfn.XLOOKUP($C33,'-ref_Distribution'!$B$146:$B$150,'-ref_Distribution'!$G$146:$G$150)),RIGHT(AT$1,2))</f>
        <v>9</v>
      </c>
      <c r="AU33" s="16" cm="1">
        <f t="array" ref="AU33">INDEX(_xlfn.ANCHORARRAY(_xlfn.XLOOKUP($C33,'-ref_Distribution'!$B$146:$B$150,'-ref_Distribution'!$G$146:$G$150)),RIGHT(AU$1,2))</f>
        <v>14</v>
      </c>
      <c r="AV33" s="16" cm="1">
        <f t="array" ref="AV33">INDEX(_xlfn.ANCHORARRAY(_xlfn.XLOOKUP($C33,'-ref_Distribution'!$B$146:$B$150,'-ref_Distribution'!$G$146:$G$150)),RIGHT(AV$1,2))</f>
        <v>20</v>
      </c>
      <c r="AW33" s="16" cm="1">
        <f t="array" ref="AW33">INDEX(_xlfn.ANCHORARRAY(_xlfn.XLOOKUP($C33,'-ref_Distribution'!$B$146:$B$150,'-ref_Distribution'!$G$146:$G$150)),RIGHT(AW$1,2))</f>
        <v>28</v>
      </c>
      <c r="AX33" s="16" cm="1">
        <f t="array" ref="AX33">INDEX(_xlfn.ANCHORARRAY(_xlfn.XLOOKUP($C33,'-ref_Distribution'!$B$146:$B$150,'-ref_Distribution'!$G$146:$G$150)),RIGHT(AX$1,2))</f>
        <v>38</v>
      </c>
      <c r="AY33" s="16" cm="1">
        <f t="array" ref="AY33">INDEX(_xlfn.ANCHORARRAY(_xlfn.XLOOKUP($C33,'-ref_Distribution'!$B$146:$B$150,'-ref_Distribution'!$G$146:$G$150)),RIGHT(AY$1,2))</f>
        <v>51</v>
      </c>
      <c r="AZ33" s="16" cm="1">
        <f t="array" ref="AZ33">INDEX(_xlfn.ANCHORARRAY(_xlfn.XLOOKUP($C33,'-ref_Distribution'!$B$146:$B$150,'-ref_Distribution'!$G$146:$G$150)),RIGHT(AZ$1,2))</f>
        <v>65</v>
      </c>
      <c r="BA33" s="16" cm="1">
        <f t="array" ref="BA33">INDEX(_xlfn.ANCHORARRAY(_xlfn.XLOOKUP($C33,'-ref_Distribution'!$B$146:$B$150,'-ref_Distribution'!$G$146:$G$150)),RIGHT(BA$1,2))</f>
        <v>80</v>
      </c>
      <c r="BB33" s="16" cm="1">
        <f t="array" ref="BB33">INDEX(_xlfn.ANCHORARRAY(_xlfn.XLOOKUP($C33,'-ref_Distribution'!$B$146:$B$150,'-ref_Distribution'!$G$146:$G$150)),RIGHT(BB$1,2))</f>
        <v>96</v>
      </c>
      <c r="BC33" s="16" cm="1">
        <f t="array" ref="BC33">INDEX(_xlfn.ANCHORARRAY(_xlfn.XLOOKUP($C33,'-ref_Distribution'!$B$146:$B$150,'-ref_Distribution'!$G$146:$G$150)),RIGHT(BC$1,2))</f>
        <v>111</v>
      </c>
      <c r="BD33" s="16" cm="1">
        <f t="array" ref="BD33">INDEX(_xlfn.ANCHORARRAY(_xlfn.XLOOKUP($C33,'-ref_Distribution'!$B$146:$B$150,'-ref_Distribution'!$G$146:$G$150)),RIGHT(BD$1,2))</f>
        <v>125</v>
      </c>
      <c r="BE33" s="16" cm="1">
        <f t="array" ref="BE33">INDEX(_xlfn.ANCHORARRAY(_xlfn.XLOOKUP($C33,'-ref_Distribution'!$B$146:$B$150,'-ref_Distribution'!$G$146:$G$150)),RIGHT(BE$1,2))</f>
        <v>135</v>
      </c>
      <c r="BF33" s="16" cm="1">
        <f t="array" ref="BF33">INDEX(_xlfn.ANCHORARRAY(_xlfn.XLOOKUP($C33,'-ref_Distribution'!$B$146:$B$150,'-ref_Distribution'!$G$146:$G$150)),RIGHT(BF$1,2))</f>
        <v>142</v>
      </c>
      <c r="BG33" s="16" cm="1">
        <f t="array" ref="BG33">INDEX(_xlfn.ANCHORARRAY(_xlfn.XLOOKUP($C33,'-ref_Distribution'!$B$146:$B$150,'-ref_Distribution'!$G$146:$G$150)),RIGHT(BG$1,2))</f>
        <v>144</v>
      </c>
      <c r="BH33" s="16" cm="1">
        <f t="array" ref="BH33">INDEX(_xlfn.ANCHORARRAY(_xlfn.XLOOKUP($C33,'-ref_Distribution'!$B$146:$B$150,'-ref_Distribution'!$G$146:$G$150)),RIGHT(BH$1,2))</f>
        <v>142</v>
      </c>
      <c r="BI33" s="16" cm="1">
        <f t="array" ref="BI33">INDEX(_xlfn.ANCHORARRAY(_xlfn.XLOOKUP($C33,'-ref_Distribution'!$B$146:$B$150,'-ref_Distribution'!$G$146:$G$150)),RIGHT(BI$1,2))</f>
        <v>135</v>
      </c>
      <c r="BJ33" s="16" cm="1">
        <f t="array" ref="BJ33">INDEX(_xlfn.ANCHORARRAY(_xlfn.XLOOKUP($C33,'-ref_Distribution'!$B$146:$B$150,'-ref_Distribution'!$G$146:$G$150)),RIGHT(BJ$1,2))</f>
        <v>125</v>
      </c>
      <c r="BK33" s="16" cm="1">
        <f t="array" ref="BK33">INDEX(_xlfn.ANCHORARRAY(_xlfn.XLOOKUP($C33,'-ref_Distribution'!$B$146:$B$150,'-ref_Distribution'!$G$146:$G$150)),RIGHT(BK$1,2))</f>
        <v>111</v>
      </c>
      <c r="BL33" s="16" cm="1">
        <f t="array" ref="BL33">INDEX(_xlfn.ANCHORARRAY(_xlfn.XLOOKUP($C33,'-ref_Distribution'!$B$146:$B$150,'-ref_Distribution'!$G$146:$G$150)),RIGHT(BL$1,2))</f>
        <v>4</v>
      </c>
      <c r="BM33" s="16" cm="1">
        <f t="array" ref="BM33">INDEX(_xlfn.ANCHORARRAY(_xlfn.XLOOKUP($C33,'-ref_Distribution'!$B$146:$B$150,'-ref_Distribution'!$G$146:$G$150)),RIGHT(BM$1,2))</f>
        <v>6</v>
      </c>
      <c r="BN33" s="16" cm="1">
        <f t="array" ref="BN33">INDEX(_xlfn.ANCHORARRAY(_xlfn.XLOOKUP($C33,'-ref_Distribution'!$B$146:$B$150,'-ref_Distribution'!$G$146:$G$150)),RIGHT(BN$1,2))</f>
        <v>9</v>
      </c>
      <c r="BO33" s="16" cm="1">
        <f t="array" ref="BO33">INDEX(_xlfn.ANCHORARRAY(_xlfn.XLOOKUP($C33,'-ref_Distribution'!$B$146:$B$150,'-ref_Distribution'!$G$146:$G$150)),RIGHT(BO$1,2))</f>
        <v>14</v>
      </c>
      <c r="BP33" s="16" cm="1">
        <f t="array" ref="BP33">INDEX(_xlfn.ANCHORARRAY(_xlfn.XLOOKUP($C33,'-ref_Distribution'!$B$146:$B$150,'-ref_Distribution'!$G$146:$G$150)),RIGHT(BP$1,2))</f>
        <v>20</v>
      </c>
      <c r="BQ33" s="16" cm="1">
        <f t="array" ref="BQ33">INDEX(_xlfn.ANCHORARRAY(_xlfn.XLOOKUP($C33,'-ref_Distribution'!$B$146:$B$150,'-ref_Distribution'!$G$146:$G$150)),RIGHT(BQ$1,2))</f>
        <v>28</v>
      </c>
      <c r="BR33" s="16" cm="1">
        <f t="array" ref="BR33">INDEX(_xlfn.ANCHORARRAY(_xlfn.XLOOKUP($C33,'-ref_Distribution'!$B$146:$B$150,'-ref_Distribution'!$G$146:$G$150)),RIGHT(BR$1,2))</f>
        <v>38</v>
      </c>
      <c r="BS33" s="16" cm="1">
        <f t="array" ref="BS33">INDEX(_xlfn.ANCHORARRAY(_xlfn.XLOOKUP($C33,'-ref_Distribution'!$B$146:$B$150,'-ref_Distribution'!$G$146:$G$150)),RIGHT(BS$1,2))</f>
        <v>51</v>
      </c>
      <c r="BT33" s="16" cm="1">
        <f t="array" ref="BT33">INDEX(_xlfn.ANCHORARRAY(_xlfn.XLOOKUP($C33,'-ref_Distribution'!$B$146:$B$150,'-ref_Distribution'!$G$146:$G$150)),RIGHT(BT$1,2))</f>
        <v>65</v>
      </c>
      <c r="BU33" s="16" cm="1">
        <f t="array" ref="BU33">INDEX(_xlfn.ANCHORARRAY(_xlfn.XLOOKUP($C33,'-ref_Distribution'!$B$146:$B$150,'-ref_Distribution'!$G$146:$G$150)),RIGHT(BU$1,2))</f>
        <v>80</v>
      </c>
      <c r="BV33" s="16" cm="1">
        <f t="array" ref="BV33">INDEX(_xlfn.ANCHORARRAY(_xlfn.XLOOKUP($C33,'-ref_Distribution'!$B$146:$B$150,'-ref_Distribution'!$G$146:$G$150)),RIGHT(BV$1,2))</f>
        <v>96</v>
      </c>
      <c r="BW33" s="16" cm="1">
        <f t="array" ref="BW33">INDEX(_xlfn.ANCHORARRAY(_xlfn.XLOOKUP($C33,'-ref_Distribution'!$B$146:$B$150,'-ref_Distribution'!$G$146:$G$150)),RIGHT(BW$1,2))</f>
        <v>111</v>
      </c>
      <c r="BX33" s="16" cm="1">
        <f t="array" ref="BX33">INDEX(_xlfn.ANCHORARRAY(_xlfn.XLOOKUP($C33,'-ref_Distribution'!$B$146:$B$150,'-ref_Distribution'!$G$146:$G$150)),RIGHT(BX$1,2))</f>
        <v>125</v>
      </c>
      <c r="BY33" s="16" cm="1">
        <f t="array" ref="BY33">INDEX(_xlfn.ANCHORARRAY(_xlfn.XLOOKUP($C33,'-ref_Distribution'!$B$146:$B$150,'-ref_Distribution'!$G$146:$G$150)),RIGHT(BY$1,2))</f>
        <v>135</v>
      </c>
      <c r="BZ33" s="16" cm="1">
        <f t="array" ref="BZ33">INDEX(_xlfn.ANCHORARRAY(_xlfn.XLOOKUP($C33,'-ref_Distribution'!$B$146:$B$150,'-ref_Distribution'!$G$146:$G$150)),RIGHT(BZ$1,2))</f>
        <v>142</v>
      </c>
      <c r="CA33" s="16" cm="1">
        <f t="array" ref="CA33">INDEX(_xlfn.ANCHORARRAY(_xlfn.XLOOKUP($C33,'-ref_Distribution'!$B$146:$B$150,'-ref_Distribution'!$G$146:$G$150)),RIGHT(CA$1,2))</f>
        <v>144</v>
      </c>
      <c r="CB33" s="16" cm="1">
        <f t="array" ref="CB33">INDEX(_xlfn.ANCHORARRAY(_xlfn.XLOOKUP($C33,'-ref_Distribution'!$B$146:$B$150,'-ref_Distribution'!$G$146:$G$150)),RIGHT(CB$1,2))</f>
        <v>142</v>
      </c>
      <c r="CC33" s="16" cm="1">
        <f t="array" ref="CC33">INDEX(_xlfn.ANCHORARRAY(_xlfn.XLOOKUP($C33,'-ref_Distribution'!$B$146:$B$150,'-ref_Distribution'!$G$146:$G$150)),RIGHT(CC$1,2))</f>
        <v>135</v>
      </c>
      <c r="CD33" s="16" cm="1">
        <f t="array" ref="CD33">INDEX(_xlfn.ANCHORARRAY(_xlfn.XLOOKUP($C33,'-ref_Distribution'!$B$146:$B$150,'-ref_Distribution'!$G$146:$G$150)),RIGHT(CD$1,2))</f>
        <v>125</v>
      </c>
      <c r="CE33" s="16" cm="1">
        <f t="array" ref="CE33">INDEX(_xlfn.ANCHORARRAY(_xlfn.XLOOKUP($C33,'-ref_Distribution'!$B$146:$B$150,'-ref_Distribution'!$G$146:$G$150)),RIGHT(CE$1,2))</f>
        <v>111</v>
      </c>
    </row>
    <row r="34" spans="1:83" x14ac:dyDescent="0.2">
      <c r="A34" s="16">
        <v>301041</v>
      </c>
      <c r="B34" s="16" t="s">
        <v>220</v>
      </c>
      <c r="C34" s="16">
        <v>0</v>
      </c>
      <c r="D34" s="16" cm="1">
        <f t="array" ref="D34">INDEX(_xlfn.ANCHORARRAY(_xlfn.XLOOKUP($C34,'-ref_Distribution'!$B$146:$B$150,'-ref_Distribution'!$G$146:$G$150)),RIGHT(D$1,2))</f>
        <v>709</v>
      </c>
      <c r="E34" s="16" cm="1">
        <f t="array" ref="E34">INDEX(_xlfn.ANCHORARRAY(_xlfn.XLOOKUP($C34,'-ref_Distribution'!$B$146:$B$150,'-ref_Distribution'!$G$146:$G$150)),RIGHT(E$1,2))</f>
        <v>705</v>
      </c>
      <c r="F34" s="16" cm="1">
        <f t="array" ref="F34">INDEX(_xlfn.ANCHORARRAY(_xlfn.XLOOKUP($C34,'-ref_Distribution'!$B$146:$B$150,'-ref_Distribution'!$G$146:$G$150)),RIGHT(F$1,2))</f>
        <v>692</v>
      </c>
      <c r="G34" s="16" cm="1">
        <f t="array" ref="G34">INDEX(_xlfn.ANCHORARRAY(_xlfn.XLOOKUP($C34,'-ref_Distribution'!$B$146:$B$150,'-ref_Distribution'!$G$146:$G$150)),RIGHT(G$1,2))</f>
        <v>671</v>
      </c>
      <c r="H34" s="16" cm="1">
        <f t="array" ref="H34">INDEX(_xlfn.ANCHORARRAY(_xlfn.XLOOKUP($C34,'-ref_Distribution'!$B$146:$B$150,'-ref_Distribution'!$G$146:$G$150)),RIGHT(H$1,2))</f>
        <v>643</v>
      </c>
      <c r="I34" s="16" cm="1">
        <f t="array" ref="I34">INDEX(_xlfn.ANCHORARRAY(_xlfn.XLOOKUP($C34,'-ref_Distribution'!$B$146:$B$150,'-ref_Distribution'!$G$146:$G$150)),RIGHT(I$1,2))</f>
        <v>608</v>
      </c>
      <c r="J34" s="16" cm="1">
        <f t="array" ref="J34">INDEX(_xlfn.ANCHORARRAY(_xlfn.XLOOKUP($C34,'-ref_Distribution'!$B$146:$B$150,'-ref_Distribution'!$G$146:$G$150)),RIGHT(J$1,2))</f>
        <v>568</v>
      </c>
      <c r="K34" s="16" cm="1">
        <f t="array" ref="K34">INDEX(_xlfn.ANCHORARRAY(_xlfn.XLOOKUP($C34,'-ref_Distribution'!$B$146:$B$150,'-ref_Distribution'!$G$146:$G$150)),RIGHT(K$1,2))</f>
        <v>524</v>
      </c>
      <c r="L34" s="16" cm="1">
        <f t="array" ref="L34">INDEX(_xlfn.ANCHORARRAY(_xlfn.XLOOKUP($C34,'-ref_Distribution'!$B$146:$B$150,'-ref_Distribution'!$G$146:$G$150)),RIGHT(L$1,2))</f>
        <v>478</v>
      </c>
      <c r="M34" s="16" cm="1">
        <f t="array" ref="M34">INDEX(_xlfn.ANCHORARRAY(_xlfn.XLOOKUP($C34,'-ref_Distribution'!$B$146:$B$150,'-ref_Distribution'!$G$146:$G$150)),RIGHT(M$1,2))</f>
        <v>430</v>
      </c>
      <c r="N34" s="16" cm="1">
        <f t="array" ref="N34">INDEX(_xlfn.ANCHORARRAY(_xlfn.XLOOKUP($C34,'-ref_Distribution'!$B$146:$B$150,'-ref_Distribution'!$G$146:$G$150)),RIGHT(N$1,2))</f>
        <v>383</v>
      </c>
      <c r="O34" s="16" cm="1">
        <f t="array" ref="O34">INDEX(_xlfn.ANCHORARRAY(_xlfn.XLOOKUP($C34,'-ref_Distribution'!$B$146:$B$150,'-ref_Distribution'!$G$146:$G$150)),RIGHT(O$1,2))</f>
        <v>336</v>
      </c>
      <c r="P34" s="16" cm="1">
        <f t="array" ref="P34">INDEX(_xlfn.ANCHORARRAY(_xlfn.XLOOKUP($C34,'-ref_Distribution'!$B$146:$B$150,'-ref_Distribution'!$G$146:$G$150)),RIGHT(P$1,2))</f>
        <v>292</v>
      </c>
      <c r="Q34" s="16" cm="1">
        <f t="array" ref="Q34">INDEX(_xlfn.ANCHORARRAY(_xlfn.XLOOKUP($C34,'-ref_Distribution'!$B$146:$B$150,'-ref_Distribution'!$G$146:$G$150)),RIGHT(Q$1,2))</f>
        <v>250</v>
      </c>
      <c r="R34" s="16" cm="1">
        <f t="array" ref="R34">INDEX(_xlfn.ANCHORARRAY(_xlfn.XLOOKUP($C34,'-ref_Distribution'!$B$146:$B$150,'-ref_Distribution'!$G$146:$G$150)),RIGHT(R$1,2))</f>
        <v>212</v>
      </c>
      <c r="S34" s="16" cm="1">
        <f t="array" ref="S34">INDEX(_xlfn.ANCHORARRAY(_xlfn.XLOOKUP($C34,'-ref_Distribution'!$B$146:$B$150,'-ref_Distribution'!$G$146:$G$150)),RIGHT(S$1,2))</f>
        <v>177</v>
      </c>
      <c r="T34" s="16" cm="1">
        <f t="array" ref="T34">INDEX(_xlfn.ANCHORARRAY(_xlfn.XLOOKUP($C34,'-ref_Distribution'!$B$146:$B$150,'-ref_Distribution'!$G$146:$G$150)),RIGHT(T$1,2))</f>
        <v>146</v>
      </c>
      <c r="U34" s="16" cm="1">
        <f t="array" ref="U34">INDEX(_xlfn.ANCHORARRAY(_xlfn.XLOOKUP($C34,'-ref_Distribution'!$B$146:$B$150,'-ref_Distribution'!$G$146:$G$150)),RIGHT(U$1,2))</f>
        <v>119</v>
      </c>
      <c r="V34" s="16" cm="1">
        <f t="array" ref="V34">INDEX(_xlfn.ANCHORARRAY(_xlfn.XLOOKUP($C34,'-ref_Distribution'!$B$146:$B$150,'-ref_Distribution'!$G$146:$G$150)),RIGHT(V$1,2))</f>
        <v>96</v>
      </c>
      <c r="W34" s="16" cm="1">
        <f t="array" ref="W34">INDEX(_xlfn.ANCHORARRAY(_xlfn.XLOOKUP($C34,'-ref_Distribution'!$B$146:$B$150,'-ref_Distribution'!$G$146:$G$150)),RIGHT(W$1,2))</f>
        <v>76</v>
      </c>
      <c r="X34" s="16" cm="1">
        <f t="array" ref="X34">INDEX(_xlfn.ANCHORARRAY(_xlfn.XLOOKUP($C34,'-ref_Distribution'!$B$146:$B$150,'-ref_Distribution'!$G$146:$G$150)),RIGHT(X$1,2))</f>
        <v>709</v>
      </c>
      <c r="Y34" s="16" cm="1">
        <f t="array" ref="Y34">INDEX(_xlfn.ANCHORARRAY(_xlfn.XLOOKUP($C34,'-ref_Distribution'!$B$146:$B$150,'-ref_Distribution'!$G$146:$G$150)),RIGHT(Y$1,2))</f>
        <v>705</v>
      </c>
      <c r="Z34" s="16" cm="1">
        <f t="array" ref="Z34">INDEX(_xlfn.ANCHORARRAY(_xlfn.XLOOKUP($C34,'-ref_Distribution'!$B$146:$B$150,'-ref_Distribution'!$G$146:$G$150)),RIGHT(Z$1,2))</f>
        <v>692</v>
      </c>
      <c r="AA34" s="16" cm="1">
        <f t="array" ref="AA34">INDEX(_xlfn.ANCHORARRAY(_xlfn.XLOOKUP($C34,'-ref_Distribution'!$B$146:$B$150,'-ref_Distribution'!$G$146:$G$150)),RIGHT(AA$1,2))</f>
        <v>671</v>
      </c>
      <c r="AB34" s="16" cm="1">
        <f t="array" ref="AB34">INDEX(_xlfn.ANCHORARRAY(_xlfn.XLOOKUP($C34,'-ref_Distribution'!$B$146:$B$150,'-ref_Distribution'!$G$146:$G$150)),RIGHT(AB$1,2))</f>
        <v>643</v>
      </c>
      <c r="AC34" s="16" cm="1">
        <f t="array" ref="AC34">INDEX(_xlfn.ANCHORARRAY(_xlfn.XLOOKUP($C34,'-ref_Distribution'!$B$146:$B$150,'-ref_Distribution'!$G$146:$G$150)),RIGHT(AC$1,2))</f>
        <v>608</v>
      </c>
      <c r="AD34" s="16" cm="1">
        <f t="array" ref="AD34">INDEX(_xlfn.ANCHORARRAY(_xlfn.XLOOKUP($C34,'-ref_Distribution'!$B$146:$B$150,'-ref_Distribution'!$G$146:$G$150)),RIGHT(AD$1,2))</f>
        <v>568</v>
      </c>
      <c r="AE34" s="16" cm="1">
        <f t="array" ref="AE34">INDEX(_xlfn.ANCHORARRAY(_xlfn.XLOOKUP($C34,'-ref_Distribution'!$B$146:$B$150,'-ref_Distribution'!$G$146:$G$150)),RIGHT(AE$1,2))</f>
        <v>524</v>
      </c>
      <c r="AF34" s="16" cm="1">
        <f t="array" ref="AF34">INDEX(_xlfn.ANCHORARRAY(_xlfn.XLOOKUP($C34,'-ref_Distribution'!$B$146:$B$150,'-ref_Distribution'!$G$146:$G$150)),RIGHT(AF$1,2))</f>
        <v>478</v>
      </c>
      <c r="AG34" s="16" cm="1">
        <f t="array" ref="AG34">INDEX(_xlfn.ANCHORARRAY(_xlfn.XLOOKUP($C34,'-ref_Distribution'!$B$146:$B$150,'-ref_Distribution'!$G$146:$G$150)),RIGHT(AG$1,2))</f>
        <v>430</v>
      </c>
      <c r="AH34" s="16" cm="1">
        <f t="array" ref="AH34">INDEX(_xlfn.ANCHORARRAY(_xlfn.XLOOKUP($C34,'-ref_Distribution'!$B$146:$B$150,'-ref_Distribution'!$G$146:$G$150)),RIGHT(AH$1,2))</f>
        <v>383</v>
      </c>
      <c r="AI34" s="16" cm="1">
        <f t="array" ref="AI34">INDEX(_xlfn.ANCHORARRAY(_xlfn.XLOOKUP($C34,'-ref_Distribution'!$B$146:$B$150,'-ref_Distribution'!$G$146:$G$150)),RIGHT(AI$1,2))</f>
        <v>336</v>
      </c>
      <c r="AJ34" s="16" cm="1">
        <f t="array" ref="AJ34">INDEX(_xlfn.ANCHORARRAY(_xlfn.XLOOKUP($C34,'-ref_Distribution'!$B$146:$B$150,'-ref_Distribution'!$G$146:$G$150)),RIGHT(AJ$1,2))</f>
        <v>292</v>
      </c>
      <c r="AK34" s="16" cm="1">
        <f t="array" ref="AK34">INDEX(_xlfn.ANCHORARRAY(_xlfn.XLOOKUP($C34,'-ref_Distribution'!$B$146:$B$150,'-ref_Distribution'!$G$146:$G$150)),RIGHT(AK$1,2))</f>
        <v>250</v>
      </c>
      <c r="AL34" s="16" cm="1">
        <f t="array" ref="AL34">INDEX(_xlfn.ANCHORARRAY(_xlfn.XLOOKUP($C34,'-ref_Distribution'!$B$146:$B$150,'-ref_Distribution'!$G$146:$G$150)),RIGHT(AL$1,2))</f>
        <v>212</v>
      </c>
      <c r="AM34" s="16" cm="1">
        <f t="array" ref="AM34">INDEX(_xlfn.ANCHORARRAY(_xlfn.XLOOKUP($C34,'-ref_Distribution'!$B$146:$B$150,'-ref_Distribution'!$G$146:$G$150)),RIGHT(AM$1,2))</f>
        <v>177</v>
      </c>
      <c r="AN34" s="16" cm="1">
        <f t="array" ref="AN34">INDEX(_xlfn.ANCHORARRAY(_xlfn.XLOOKUP($C34,'-ref_Distribution'!$B$146:$B$150,'-ref_Distribution'!$G$146:$G$150)),RIGHT(AN$1,2))</f>
        <v>146</v>
      </c>
      <c r="AO34" s="16" cm="1">
        <f t="array" ref="AO34">INDEX(_xlfn.ANCHORARRAY(_xlfn.XLOOKUP($C34,'-ref_Distribution'!$B$146:$B$150,'-ref_Distribution'!$G$146:$G$150)),RIGHT(AO$1,2))</f>
        <v>119</v>
      </c>
      <c r="AP34" s="16" cm="1">
        <f t="array" ref="AP34">INDEX(_xlfn.ANCHORARRAY(_xlfn.XLOOKUP($C34,'-ref_Distribution'!$B$146:$B$150,'-ref_Distribution'!$G$146:$G$150)),RIGHT(AP$1,2))</f>
        <v>96</v>
      </c>
      <c r="AQ34" s="16" cm="1">
        <f t="array" ref="AQ34">INDEX(_xlfn.ANCHORARRAY(_xlfn.XLOOKUP($C34,'-ref_Distribution'!$B$146:$B$150,'-ref_Distribution'!$G$146:$G$150)),RIGHT(AQ$1,2))</f>
        <v>76</v>
      </c>
      <c r="AR34" s="16" cm="1">
        <f t="array" ref="AR34">INDEX(_xlfn.ANCHORARRAY(_xlfn.XLOOKUP($C34,'-ref_Distribution'!$B$146:$B$150,'-ref_Distribution'!$G$146:$G$150)),RIGHT(AR$1,2))</f>
        <v>709</v>
      </c>
      <c r="AS34" s="16" cm="1">
        <f t="array" ref="AS34">INDEX(_xlfn.ANCHORARRAY(_xlfn.XLOOKUP($C34,'-ref_Distribution'!$B$146:$B$150,'-ref_Distribution'!$G$146:$G$150)),RIGHT(AS$1,2))</f>
        <v>705</v>
      </c>
      <c r="AT34" s="16" cm="1">
        <f t="array" ref="AT34">INDEX(_xlfn.ANCHORARRAY(_xlfn.XLOOKUP($C34,'-ref_Distribution'!$B$146:$B$150,'-ref_Distribution'!$G$146:$G$150)),RIGHT(AT$1,2))</f>
        <v>692</v>
      </c>
      <c r="AU34" s="16" cm="1">
        <f t="array" ref="AU34">INDEX(_xlfn.ANCHORARRAY(_xlfn.XLOOKUP($C34,'-ref_Distribution'!$B$146:$B$150,'-ref_Distribution'!$G$146:$G$150)),RIGHT(AU$1,2))</f>
        <v>671</v>
      </c>
      <c r="AV34" s="16" cm="1">
        <f t="array" ref="AV34">INDEX(_xlfn.ANCHORARRAY(_xlfn.XLOOKUP($C34,'-ref_Distribution'!$B$146:$B$150,'-ref_Distribution'!$G$146:$G$150)),RIGHT(AV$1,2))</f>
        <v>643</v>
      </c>
      <c r="AW34" s="16" cm="1">
        <f t="array" ref="AW34">INDEX(_xlfn.ANCHORARRAY(_xlfn.XLOOKUP($C34,'-ref_Distribution'!$B$146:$B$150,'-ref_Distribution'!$G$146:$G$150)),RIGHT(AW$1,2))</f>
        <v>608</v>
      </c>
      <c r="AX34" s="16" cm="1">
        <f t="array" ref="AX34">INDEX(_xlfn.ANCHORARRAY(_xlfn.XLOOKUP($C34,'-ref_Distribution'!$B$146:$B$150,'-ref_Distribution'!$G$146:$G$150)),RIGHT(AX$1,2))</f>
        <v>568</v>
      </c>
      <c r="AY34" s="16" cm="1">
        <f t="array" ref="AY34">INDEX(_xlfn.ANCHORARRAY(_xlfn.XLOOKUP($C34,'-ref_Distribution'!$B$146:$B$150,'-ref_Distribution'!$G$146:$G$150)),RIGHT(AY$1,2))</f>
        <v>524</v>
      </c>
      <c r="AZ34" s="16" cm="1">
        <f t="array" ref="AZ34">INDEX(_xlfn.ANCHORARRAY(_xlfn.XLOOKUP($C34,'-ref_Distribution'!$B$146:$B$150,'-ref_Distribution'!$G$146:$G$150)),RIGHT(AZ$1,2))</f>
        <v>478</v>
      </c>
      <c r="BA34" s="16" cm="1">
        <f t="array" ref="BA34">INDEX(_xlfn.ANCHORARRAY(_xlfn.XLOOKUP($C34,'-ref_Distribution'!$B$146:$B$150,'-ref_Distribution'!$G$146:$G$150)),RIGHT(BA$1,2))</f>
        <v>430</v>
      </c>
      <c r="BB34" s="16" cm="1">
        <f t="array" ref="BB34">INDEX(_xlfn.ANCHORARRAY(_xlfn.XLOOKUP($C34,'-ref_Distribution'!$B$146:$B$150,'-ref_Distribution'!$G$146:$G$150)),RIGHT(BB$1,2))</f>
        <v>383</v>
      </c>
      <c r="BC34" s="16" cm="1">
        <f t="array" ref="BC34">INDEX(_xlfn.ANCHORARRAY(_xlfn.XLOOKUP($C34,'-ref_Distribution'!$B$146:$B$150,'-ref_Distribution'!$G$146:$G$150)),RIGHT(BC$1,2))</f>
        <v>336</v>
      </c>
      <c r="BD34" s="16" cm="1">
        <f t="array" ref="BD34">INDEX(_xlfn.ANCHORARRAY(_xlfn.XLOOKUP($C34,'-ref_Distribution'!$B$146:$B$150,'-ref_Distribution'!$G$146:$G$150)),RIGHT(BD$1,2))</f>
        <v>292</v>
      </c>
      <c r="BE34" s="16" cm="1">
        <f t="array" ref="BE34">INDEX(_xlfn.ANCHORARRAY(_xlfn.XLOOKUP($C34,'-ref_Distribution'!$B$146:$B$150,'-ref_Distribution'!$G$146:$G$150)),RIGHT(BE$1,2))</f>
        <v>250</v>
      </c>
      <c r="BF34" s="16" cm="1">
        <f t="array" ref="BF34">INDEX(_xlfn.ANCHORARRAY(_xlfn.XLOOKUP($C34,'-ref_Distribution'!$B$146:$B$150,'-ref_Distribution'!$G$146:$G$150)),RIGHT(BF$1,2))</f>
        <v>212</v>
      </c>
      <c r="BG34" s="16" cm="1">
        <f t="array" ref="BG34">INDEX(_xlfn.ANCHORARRAY(_xlfn.XLOOKUP($C34,'-ref_Distribution'!$B$146:$B$150,'-ref_Distribution'!$G$146:$G$150)),RIGHT(BG$1,2))</f>
        <v>177</v>
      </c>
      <c r="BH34" s="16" cm="1">
        <f t="array" ref="BH34">INDEX(_xlfn.ANCHORARRAY(_xlfn.XLOOKUP($C34,'-ref_Distribution'!$B$146:$B$150,'-ref_Distribution'!$G$146:$G$150)),RIGHT(BH$1,2))</f>
        <v>146</v>
      </c>
      <c r="BI34" s="16" cm="1">
        <f t="array" ref="BI34">INDEX(_xlfn.ANCHORARRAY(_xlfn.XLOOKUP($C34,'-ref_Distribution'!$B$146:$B$150,'-ref_Distribution'!$G$146:$G$150)),RIGHT(BI$1,2))</f>
        <v>119</v>
      </c>
      <c r="BJ34" s="16" cm="1">
        <f t="array" ref="BJ34">INDEX(_xlfn.ANCHORARRAY(_xlfn.XLOOKUP($C34,'-ref_Distribution'!$B$146:$B$150,'-ref_Distribution'!$G$146:$G$150)),RIGHT(BJ$1,2))</f>
        <v>96</v>
      </c>
      <c r="BK34" s="16" cm="1">
        <f t="array" ref="BK34">INDEX(_xlfn.ANCHORARRAY(_xlfn.XLOOKUP($C34,'-ref_Distribution'!$B$146:$B$150,'-ref_Distribution'!$G$146:$G$150)),RIGHT(BK$1,2))</f>
        <v>76</v>
      </c>
      <c r="BL34" s="16" cm="1">
        <f t="array" ref="BL34">INDEX(_xlfn.ANCHORARRAY(_xlfn.XLOOKUP($C34,'-ref_Distribution'!$B$146:$B$150,'-ref_Distribution'!$G$146:$G$150)),RIGHT(BL$1,2))</f>
        <v>709</v>
      </c>
      <c r="BM34" s="16" cm="1">
        <f t="array" ref="BM34">INDEX(_xlfn.ANCHORARRAY(_xlfn.XLOOKUP($C34,'-ref_Distribution'!$B$146:$B$150,'-ref_Distribution'!$G$146:$G$150)),RIGHT(BM$1,2))</f>
        <v>705</v>
      </c>
      <c r="BN34" s="16" cm="1">
        <f t="array" ref="BN34">INDEX(_xlfn.ANCHORARRAY(_xlfn.XLOOKUP($C34,'-ref_Distribution'!$B$146:$B$150,'-ref_Distribution'!$G$146:$G$150)),RIGHT(BN$1,2))</f>
        <v>692</v>
      </c>
      <c r="BO34" s="16" cm="1">
        <f t="array" ref="BO34">INDEX(_xlfn.ANCHORARRAY(_xlfn.XLOOKUP($C34,'-ref_Distribution'!$B$146:$B$150,'-ref_Distribution'!$G$146:$G$150)),RIGHT(BO$1,2))</f>
        <v>671</v>
      </c>
      <c r="BP34" s="16" cm="1">
        <f t="array" ref="BP34">INDEX(_xlfn.ANCHORARRAY(_xlfn.XLOOKUP($C34,'-ref_Distribution'!$B$146:$B$150,'-ref_Distribution'!$G$146:$G$150)),RIGHT(BP$1,2))</f>
        <v>643</v>
      </c>
      <c r="BQ34" s="16" cm="1">
        <f t="array" ref="BQ34">INDEX(_xlfn.ANCHORARRAY(_xlfn.XLOOKUP($C34,'-ref_Distribution'!$B$146:$B$150,'-ref_Distribution'!$G$146:$G$150)),RIGHT(BQ$1,2))</f>
        <v>608</v>
      </c>
      <c r="BR34" s="16" cm="1">
        <f t="array" ref="BR34">INDEX(_xlfn.ANCHORARRAY(_xlfn.XLOOKUP($C34,'-ref_Distribution'!$B$146:$B$150,'-ref_Distribution'!$G$146:$G$150)),RIGHT(BR$1,2))</f>
        <v>568</v>
      </c>
      <c r="BS34" s="16" cm="1">
        <f t="array" ref="BS34">INDEX(_xlfn.ANCHORARRAY(_xlfn.XLOOKUP($C34,'-ref_Distribution'!$B$146:$B$150,'-ref_Distribution'!$G$146:$G$150)),RIGHT(BS$1,2))</f>
        <v>524</v>
      </c>
      <c r="BT34" s="16" cm="1">
        <f t="array" ref="BT34">INDEX(_xlfn.ANCHORARRAY(_xlfn.XLOOKUP($C34,'-ref_Distribution'!$B$146:$B$150,'-ref_Distribution'!$G$146:$G$150)),RIGHT(BT$1,2))</f>
        <v>478</v>
      </c>
      <c r="BU34" s="16" cm="1">
        <f t="array" ref="BU34">INDEX(_xlfn.ANCHORARRAY(_xlfn.XLOOKUP($C34,'-ref_Distribution'!$B$146:$B$150,'-ref_Distribution'!$G$146:$G$150)),RIGHT(BU$1,2))</f>
        <v>430</v>
      </c>
      <c r="BV34" s="16" cm="1">
        <f t="array" ref="BV34">INDEX(_xlfn.ANCHORARRAY(_xlfn.XLOOKUP($C34,'-ref_Distribution'!$B$146:$B$150,'-ref_Distribution'!$G$146:$G$150)),RIGHT(BV$1,2))</f>
        <v>383</v>
      </c>
      <c r="BW34" s="16" cm="1">
        <f t="array" ref="BW34">INDEX(_xlfn.ANCHORARRAY(_xlfn.XLOOKUP($C34,'-ref_Distribution'!$B$146:$B$150,'-ref_Distribution'!$G$146:$G$150)),RIGHT(BW$1,2))</f>
        <v>336</v>
      </c>
      <c r="BX34" s="16" cm="1">
        <f t="array" ref="BX34">INDEX(_xlfn.ANCHORARRAY(_xlfn.XLOOKUP($C34,'-ref_Distribution'!$B$146:$B$150,'-ref_Distribution'!$G$146:$G$150)),RIGHT(BX$1,2))</f>
        <v>292</v>
      </c>
      <c r="BY34" s="16" cm="1">
        <f t="array" ref="BY34">INDEX(_xlfn.ANCHORARRAY(_xlfn.XLOOKUP($C34,'-ref_Distribution'!$B$146:$B$150,'-ref_Distribution'!$G$146:$G$150)),RIGHT(BY$1,2))</f>
        <v>250</v>
      </c>
      <c r="BZ34" s="16" cm="1">
        <f t="array" ref="BZ34">INDEX(_xlfn.ANCHORARRAY(_xlfn.XLOOKUP($C34,'-ref_Distribution'!$B$146:$B$150,'-ref_Distribution'!$G$146:$G$150)),RIGHT(BZ$1,2))</f>
        <v>212</v>
      </c>
      <c r="CA34" s="16" cm="1">
        <f t="array" ref="CA34">INDEX(_xlfn.ANCHORARRAY(_xlfn.XLOOKUP($C34,'-ref_Distribution'!$B$146:$B$150,'-ref_Distribution'!$G$146:$G$150)),RIGHT(CA$1,2))</f>
        <v>177</v>
      </c>
      <c r="CB34" s="16" cm="1">
        <f t="array" ref="CB34">INDEX(_xlfn.ANCHORARRAY(_xlfn.XLOOKUP($C34,'-ref_Distribution'!$B$146:$B$150,'-ref_Distribution'!$G$146:$G$150)),RIGHT(CB$1,2))</f>
        <v>146</v>
      </c>
      <c r="CC34" s="16" cm="1">
        <f t="array" ref="CC34">INDEX(_xlfn.ANCHORARRAY(_xlfn.XLOOKUP($C34,'-ref_Distribution'!$B$146:$B$150,'-ref_Distribution'!$G$146:$G$150)),RIGHT(CC$1,2))</f>
        <v>119</v>
      </c>
      <c r="CD34" s="16" cm="1">
        <f t="array" ref="CD34">INDEX(_xlfn.ANCHORARRAY(_xlfn.XLOOKUP($C34,'-ref_Distribution'!$B$146:$B$150,'-ref_Distribution'!$G$146:$G$150)),RIGHT(CD$1,2))</f>
        <v>96</v>
      </c>
      <c r="CE34" s="16" cm="1">
        <f t="array" ref="CE34">INDEX(_xlfn.ANCHORARRAY(_xlfn.XLOOKUP($C34,'-ref_Distribution'!$B$146:$B$150,'-ref_Distribution'!$G$146:$G$150)),RIGHT(CE$1,2))</f>
        <v>76</v>
      </c>
    </row>
    <row r="35" spans="1:83" x14ac:dyDescent="0.2">
      <c r="A35" s="16">
        <v>301042</v>
      </c>
      <c r="B35" s="16" t="s">
        <v>220</v>
      </c>
      <c r="C35" s="16">
        <v>1</v>
      </c>
      <c r="D35" s="16" cm="1">
        <f t="array" ref="D35">INDEX(_xlfn.ANCHORARRAY(_xlfn.XLOOKUP($C35,'-ref_Distribution'!$B$146:$B$150,'-ref_Distribution'!$G$146:$G$150)),RIGHT(D$1,2))</f>
        <v>337</v>
      </c>
      <c r="E35" s="16" cm="1">
        <f t="array" ref="E35">INDEX(_xlfn.ANCHORARRAY(_xlfn.XLOOKUP($C35,'-ref_Distribution'!$B$146:$B$150,'-ref_Distribution'!$G$146:$G$150)),RIGHT(E$1,2))</f>
        <v>364</v>
      </c>
      <c r="F35" s="16" cm="1">
        <f t="array" ref="F35">INDEX(_xlfn.ANCHORARRAY(_xlfn.XLOOKUP($C35,'-ref_Distribution'!$B$146:$B$150,'-ref_Distribution'!$G$146:$G$150)),RIGHT(F$1,2))</f>
        <v>386</v>
      </c>
      <c r="G35" s="16" cm="1">
        <f t="array" ref="G35">INDEX(_xlfn.ANCHORARRAY(_xlfn.XLOOKUP($C35,'-ref_Distribution'!$B$146:$B$150,'-ref_Distribution'!$G$146:$G$150)),RIGHT(G$1,2))</f>
        <v>403</v>
      </c>
      <c r="H35" s="16" cm="1">
        <f t="array" ref="H35">INDEX(_xlfn.ANCHORARRAY(_xlfn.XLOOKUP($C35,'-ref_Distribution'!$B$146:$B$150,'-ref_Distribution'!$G$146:$G$150)),RIGHT(H$1,2))</f>
        <v>414</v>
      </c>
      <c r="I35" s="16" cm="1">
        <f t="array" ref="I35">INDEX(_xlfn.ANCHORARRAY(_xlfn.XLOOKUP($C35,'-ref_Distribution'!$B$146:$B$150,'-ref_Distribution'!$G$146:$G$150)),RIGHT(I$1,2))</f>
        <v>417</v>
      </c>
      <c r="J35" s="16" cm="1">
        <f t="array" ref="J35">INDEX(_xlfn.ANCHORARRAY(_xlfn.XLOOKUP($C35,'-ref_Distribution'!$B$146:$B$150,'-ref_Distribution'!$G$146:$G$150)),RIGHT(J$1,2))</f>
        <v>414</v>
      </c>
      <c r="K35" s="16" cm="1">
        <f t="array" ref="K35">INDEX(_xlfn.ANCHORARRAY(_xlfn.XLOOKUP($C35,'-ref_Distribution'!$B$146:$B$150,'-ref_Distribution'!$G$146:$G$150)),RIGHT(K$1,2))</f>
        <v>403</v>
      </c>
      <c r="L35" s="16" cm="1">
        <f t="array" ref="L35">INDEX(_xlfn.ANCHORARRAY(_xlfn.XLOOKUP($C35,'-ref_Distribution'!$B$146:$B$150,'-ref_Distribution'!$G$146:$G$150)),RIGHT(L$1,2))</f>
        <v>386</v>
      </c>
      <c r="M35" s="16" cm="1">
        <f t="array" ref="M35">INDEX(_xlfn.ANCHORARRAY(_xlfn.XLOOKUP($C35,'-ref_Distribution'!$B$146:$B$150,'-ref_Distribution'!$G$146:$G$150)),RIGHT(M$1,2))</f>
        <v>364</v>
      </c>
      <c r="N35" s="16" cm="1">
        <f t="array" ref="N35">INDEX(_xlfn.ANCHORARRAY(_xlfn.XLOOKUP($C35,'-ref_Distribution'!$B$146:$B$150,'-ref_Distribution'!$G$146:$G$150)),RIGHT(N$1,2))</f>
        <v>337</v>
      </c>
      <c r="O35" s="16" cm="1">
        <f t="array" ref="O35">INDEX(_xlfn.ANCHORARRAY(_xlfn.XLOOKUP($C35,'-ref_Distribution'!$B$146:$B$150,'-ref_Distribution'!$G$146:$G$150)),RIGHT(O$1,2))</f>
        <v>307</v>
      </c>
      <c r="P35" s="16" cm="1">
        <f t="array" ref="P35">INDEX(_xlfn.ANCHORARRAY(_xlfn.XLOOKUP($C35,'-ref_Distribution'!$B$146:$B$150,'-ref_Distribution'!$G$146:$G$150)),RIGHT(P$1,2))</f>
        <v>274</v>
      </c>
      <c r="Q35" s="16" cm="1">
        <f t="array" ref="Q35">INDEX(_xlfn.ANCHORARRAY(_xlfn.XLOOKUP($C35,'-ref_Distribution'!$B$146:$B$150,'-ref_Distribution'!$G$146:$G$150)),RIGHT(Q$1,2))</f>
        <v>241</v>
      </c>
      <c r="R35" s="16" cm="1">
        <f t="array" ref="R35">INDEX(_xlfn.ANCHORARRAY(_xlfn.XLOOKUP($C35,'-ref_Distribution'!$B$146:$B$150,'-ref_Distribution'!$G$146:$G$150)),RIGHT(R$1,2))</f>
        <v>209</v>
      </c>
      <c r="S35" s="16" cm="1">
        <f t="array" ref="S35">INDEX(_xlfn.ANCHORARRAY(_xlfn.XLOOKUP($C35,'-ref_Distribution'!$B$146:$B$150,'-ref_Distribution'!$G$146:$G$150)),RIGHT(S$1,2))</f>
        <v>178</v>
      </c>
      <c r="T35" s="16" cm="1">
        <f t="array" ref="T35">INDEX(_xlfn.ANCHORARRAY(_xlfn.XLOOKUP($C35,'-ref_Distribution'!$B$146:$B$150,'-ref_Distribution'!$G$146:$G$150)),RIGHT(T$1,2))</f>
        <v>148</v>
      </c>
      <c r="U35" s="16" cm="1">
        <f t="array" ref="U35">INDEX(_xlfn.ANCHORARRAY(_xlfn.XLOOKUP($C35,'-ref_Distribution'!$B$146:$B$150,'-ref_Distribution'!$G$146:$G$150)),RIGHT(U$1,2))</f>
        <v>122</v>
      </c>
      <c r="V35" s="16" cm="1">
        <f t="array" ref="V35">INDEX(_xlfn.ANCHORARRAY(_xlfn.XLOOKUP($C35,'-ref_Distribution'!$B$146:$B$150,'-ref_Distribution'!$G$146:$G$150)),RIGHT(V$1,2))</f>
        <v>98</v>
      </c>
      <c r="W35" s="16" cm="1">
        <f t="array" ref="W35">INDEX(_xlfn.ANCHORARRAY(_xlfn.XLOOKUP($C35,'-ref_Distribution'!$B$146:$B$150,'-ref_Distribution'!$G$146:$G$150)),RIGHT(W$1,2))</f>
        <v>78</v>
      </c>
      <c r="X35" s="16" cm="1">
        <f t="array" ref="X35">INDEX(_xlfn.ANCHORARRAY(_xlfn.XLOOKUP($C35,'-ref_Distribution'!$B$146:$B$150,'-ref_Distribution'!$G$146:$G$150)),RIGHT(X$1,2))</f>
        <v>337</v>
      </c>
      <c r="Y35" s="16" cm="1">
        <f t="array" ref="Y35">INDEX(_xlfn.ANCHORARRAY(_xlfn.XLOOKUP($C35,'-ref_Distribution'!$B$146:$B$150,'-ref_Distribution'!$G$146:$G$150)),RIGHT(Y$1,2))</f>
        <v>364</v>
      </c>
      <c r="Z35" s="16" cm="1">
        <f t="array" ref="Z35">INDEX(_xlfn.ANCHORARRAY(_xlfn.XLOOKUP($C35,'-ref_Distribution'!$B$146:$B$150,'-ref_Distribution'!$G$146:$G$150)),RIGHT(Z$1,2))</f>
        <v>386</v>
      </c>
      <c r="AA35" s="16" cm="1">
        <f t="array" ref="AA35">INDEX(_xlfn.ANCHORARRAY(_xlfn.XLOOKUP($C35,'-ref_Distribution'!$B$146:$B$150,'-ref_Distribution'!$G$146:$G$150)),RIGHT(AA$1,2))</f>
        <v>403</v>
      </c>
      <c r="AB35" s="16" cm="1">
        <f t="array" ref="AB35">INDEX(_xlfn.ANCHORARRAY(_xlfn.XLOOKUP($C35,'-ref_Distribution'!$B$146:$B$150,'-ref_Distribution'!$G$146:$G$150)),RIGHT(AB$1,2))</f>
        <v>414</v>
      </c>
      <c r="AC35" s="16" cm="1">
        <f t="array" ref="AC35">INDEX(_xlfn.ANCHORARRAY(_xlfn.XLOOKUP($C35,'-ref_Distribution'!$B$146:$B$150,'-ref_Distribution'!$G$146:$G$150)),RIGHT(AC$1,2))</f>
        <v>417</v>
      </c>
      <c r="AD35" s="16" cm="1">
        <f t="array" ref="AD35">INDEX(_xlfn.ANCHORARRAY(_xlfn.XLOOKUP($C35,'-ref_Distribution'!$B$146:$B$150,'-ref_Distribution'!$G$146:$G$150)),RIGHT(AD$1,2))</f>
        <v>414</v>
      </c>
      <c r="AE35" s="16" cm="1">
        <f t="array" ref="AE35">INDEX(_xlfn.ANCHORARRAY(_xlfn.XLOOKUP($C35,'-ref_Distribution'!$B$146:$B$150,'-ref_Distribution'!$G$146:$G$150)),RIGHT(AE$1,2))</f>
        <v>403</v>
      </c>
      <c r="AF35" s="16" cm="1">
        <f t="array" ref="AF35">INDEX(_xlfn.ANCHORARRAY(_xlfn.XLOOKUP($C35,'-ref_Distribution'!$B$146:$B$150,'-ref_Distribution'!$G$146:$G$150)),RIGHT(AF$1,2))</f>
        <v>386</v>
      </c>
      <c r="AG35" s="16" cm="1">
        <f t="array" ref="AG35">INDEX(_xlfn.ANCHORARRAY(_xlfn.XLOOKUP($C35,'-ref_Distribution'!$B$146:$B$150,'-ref_Distribution'!$G$146:$G$150)),RIGHT(AG$1,2))</f>
        <v>364</v>
      </c>
      <c r="AH35" s="16" cm="1">
        <f t="array" ref="AH35">INDEX(_xlfn.ANCHORARRAY(_xlfn.XLOOKUP($C35,'-ref_Distribution'!$B$146:$B$150,'-ref_Distribution'!$G$146:$G$150)),RIGHT(AH$1,2))</f>
        <v>337</v>
      </c>
      <c r="AI35" s="16" cm="1">
        <f t="array" ref="AI35">INDEX(_xlfn.ANCHORARRAY(_xlfn.XLOOKUP($C35,'-ref_Distribution'!$B$146:$B$150,'-ref_Distribution'!$G$146:$G$150)),RIGHT(AI$1,2))</f>
        <v>307</v>
      </c>
      <c r="AJ35" s="16" cm="1">
        <f t="array" ref="AJ35">INDEX(_xlfn.ANCHORARRAY(_xlfn.XLOOKUP($C35,'-ref_Distribution'!$B$146:$B$150,'-ref_Distribution'!$G$146:$G$150)),RIGHT(AJ$1,2))</f>
        <v>274</v>
      </c>
      <c r="AK35" s="16" cm="1">
        <f t="array" ref="AK35">INDEX(_xlfn.ANCHORARRAY(_xlfn.XLOOKUP($C35,'-ref_Distribution'!$B$146:$B$150,'-ref_Distribution'!$G$146:$G$150)),RIGHT(AK$1,2))</f>
        <v>241</v>
      </c>
      <c r="AL35" s="16" cm="1">
        <f t="array" ref="AL35">INDEX(_xlfn.ANCHORARRAY(_xlfn.XLOOKUP($C35,'-ref_Distribution'!$B$146:$B$150,'-ref_Distribution'!$G$146:$G$150)),RIGHT(AL$1,2))</f>
        <v>209</v>
      </c>
      <c r="AM35" s="16" cm="1">
        <f t="array" ref="AM35">INDEX(_xlfn.ANCHORARRAY(_xlfn.XLOOKUP($C35,'-ref_Distribution'!$B$146:$B$150,'-ref_Distribution'!$G$146:$G$150)),RIGHT(AM$1,2))</f>
        <v>178</v>
      </c>
      <c r="AN35" s="16" cm="1">
        <f t="array" ref="AN35">INDEX(_xlfn.ANCHORARRAY(_xlfn.XLOOKUP($C35,'-ref_Distribution'!$B$146:$B$150,'-ref_Distribution'!$G$146:$G$150)),RIGHT(AN$1,2))</f>
        <v>148</v>
      </c>
      <c r="AO35" s="16" cm="1">
        <f t="array" ref="AO35">INDEX(_xlfn.ANCHORARRAY(_xlfn.XLOOKUP($C35,'-ref_Distribution'!$B$146:$B$150,'-ref_Distribution'!$G$146:$G$150)),RIGHT(AO$1,2))</f>
        <v>122</v>
      </c>
      <c r="AP35" s="16" cm="1">
        <f t="array" ref="AP35">INDEX(_xlfn.ANCHORARRAY(_xlfn.XLOOKUP($C35,'-ref_Distribution'!$B$146:$B$150,'-ref_Distribution'!$G$146:$G$150)),RIGHT(AP$1,2))</f>
        <v>98</v>
      </c>
      <c r="AQ35" s="16" cm="1">
        <f t="array" ref="AQ35">INDEX(_xlfn.ANCHORARRAY(_xlfn.XLOOKUP($C35,'-ref_Distribution'!$B$146:$B$150,'-ref_Distribution'!$G$146:$G$150)),RIGHT(AQ$1,2))</f>
        <v>78</v>
      </c>
      <c r="AR35" s="16" cm="1">
        <f t="array" ref="AR35">INDEX(_xlfn.ANCHORARRAY(_xlfn.XLOOKUP($C35,'-ref_Distribution'!$B$146:$B$150,'-ref_Distribution'!$G$146:$G$150)),RIGHT(AR$1,2))</f>
        <v>337</v>
      </c>
      <c r="AS35" s="16" cm="1">
        <f t="array" ref="AS35">INDEX(_xlfn.ANCHORARRAY(_xlfn.XLOOKUP($C35,'-ref_Distribution'!$B$146:$B$150,'-ref_Distribution'!$G$146:$G$150)),RIGHT(AS$1,2))</f>
        <v>364</v>
      </c>
      <c r="AT35" s="16" cm="1">
        <f t="array" ref="AT35">INDEX(_xlfn.ANCHORARRAY(_xlfn.XLOOKUP($C35,'-ref_Distribution'!$B$146:$B$150,'-ref_Distribution'!$G$146:$G$150)),RIGHT(AT$1,2))</f>
        <v>386</v>
      </c>
      <c r="AU35" s="16" cm="1">
        <f t="array" ref="AU35">INDEX(_xlfn.ANCHORARRAY(_xlfn.XLOOKUP($C35,'-ref_Distribution'!$B$146:$B$150,'-ref_Distribution'!$G$146:$G$150)),RIGHT(AU$1,2))</f>
        <v>403</v>
      </c>
      <c r="AV35" s="16" cm="1">
        <f t="array" ref="AV35">INDEX(_xlfn.ANCHORARRAY(_xlfn.XLOOKUP($C35,'-ref_Distribution'!$B$146:$B$150,'-ref_Distribution'!$G$146:$G$150)),RIGHT(AV$1,2))</f>
        <v>414</v>
      </c>
      <c r="AW35" s="16" cm="1">
        <f t="array" ref="AW35">INDEX(_xlfn.ANCHORARRAY(_xlfn.XLOOKUP($C35,'-ref_Distribution'!$B$146:$B$150,'-ref_Distribution'!$G$146:$G$150)),RIGHT(AW$1,2))</f>
        <v>417</v>
      </c>
      <c r="AX35" s="16" cm="1">
        <f t="array" ref="AX35">INDEX(_xlfn.ANCHORARRAY(_xlfn.XLOOKUP($C35,'-ref_Distribution'!$B$146:$B$150,'-ref_Distribution'!$G$146:$G$150)),RIGHT(AX$1,2))</f>
        <v>414</v>
      </c>
      <c r="AY35" s="16" cm="1">
        <f t="array" ref="AY35">INDEX(_xlfn.ANCHORARRAY(_xlfn.XLOOKUP($C35,'-ref_Distribution'!$B$146:$B$150,'-ref_Distribution'!$G$146:$G$150)),RIGHT(AY$1,2))</f>
        <v>403</v>
      </c>
      <c r="AZ35" s="16" cm="1">
        <f t="array" ref="AZ35">INDEX(_xlfn.ANCHORARRAY(_xlfn.XLOOKUP($C35,'-ref_Distribution'!$B$146:$B$150,'-ref_Distribution'!$G$146:$G$150)),RIGHT(AZ$1,2))</f>
        <v>386</v>
      </c>
      <c r="BA35" s="16" cm="1">
        <f t="array" ref="BA35">INDEX(_xlfn.ANCHORARRAY(_xlfn.XLOOKUP($C35,'-ref_Distribution'!$B$146:$B$150,'-ref_Distribution'!$G$146:$G$150)),RIGHT(BA$1,2))</f>
        <v>364</v>
      </c>
      <c r="BB35" s="16" cm="1">
        <f t="array" ref="BB35">INDEX(_xlfn.ANCHORARRAY(_xlfn.XLOOKUP($C35,'-ref_Distribution'!$B$146:$B$150,'-ref_Distribution'!$G$146:$G$150)),RIGHT(BB$1,2))</f>
        <v>337</v>
      </c>
      <c r="BC35" s="16" cm="1">
        <f t="array" ref="BC35">INDEX(_xlfn.ANCHORARRAY(_xlfn.XLOOKUP($C35,'-ref_Distribution'!$B$146:$B$150,'-ref_Distribution'!$G$146:$G$150)),RIGHT(BC$1,2))</f>
        <v>307</v>
      </c>
      <c r="BD35" s="16" cm="1">
        <f t="array" ref="BD35">INDEX(_xlfn.ANCHORARRAY(_xlfn.XLOOKUP($C35,'-ref_Distribution'!$B$146:$B$150,'-ref_Distribution'!$G$146:$G$150)),RIGHT(BD$1,2))</f>
        <v>274</v>
      </c>
      <c r="BE35" s="16" cm="1">
        <f t="array" ref="BE35">INDEX(_xlfn.ANCHORARRAY(_xlfn.XLOOKUP($C35,'-ref_Distribution'!$B$146:$B$150,'-ref_Distribution'!$G$146:$G$150)),RIGHT(BE$1,2))</f>
        <v>241</v>
      </c>
      <c r="BF35" s="16" cm="1">
        <f t="array" ref="BF35">INDEX(_xlfn.ANCHORARRAY(_xlfn.XLOOKUP($C35,'-ref_Distribution'!$B$146:$B$150,'-ref_Distribution'!$G$146:$G$150)),RIGHT(BF$1,2))</f>
        <v>209</v>
      </c>
      <c r="BG35" s="16" cm="1">
        <f t="array" ref="BG35">INDEX(_xlfn.ANCHORARRAY(_xlfn.XLOOKUP($C35,'-ref_Distribution'!$B$146:$B$150,'-ref_Distribution'!$G$146:$G$150)),RIGHT(BG$1,2))</f>
        <v>178</v>
      </c>
      <c r="BH35" s="16" cm="1">
        <f t="array" ref="BH35">INDEX(_xlfn.ANCHORARRAY(_xlfn.XLOOKUP($C35,'-ref_Distribution'!$B$146:$B$150,'-ref_Distribution'!$G$146:$G$150)),RIGHT(BH$1,2))</f>
        <v>148</v>
      </c>
      <c r="BI35" s="16" cm="1">
        <f t="array" ref="BI35">INDEX(_xlfn.ANCHORARRAY(_xlfn.XLOOKUP($C35,'-ref_Distribution'!$B$146:$B$150,'-ref_Distribution'!$G$146:$G$150)),RIGHT(BI$1,2))</f>
        <v>122</v>
      </c>
      <c r="BJ35" s="16" cm="1">
        <f t="array" ref="BJ35">INDEX(_xlfn.ANCHORARRAY(_xlfn.XLOOKUP($C35,'-ref_Distribution'!$B$146:$B$150,'-ref_Distribution'!$G$146:$G$150)),RIGHT(BJ$1,2))</f>
        <v>98</v>
      </c>
      <c r="BK35" s="16" cm="1">
        <f t="array" ref="BK35">INDEX(_xlfn.ANCHORARRAY(_xlfn.XLOOKUP($C35,'-ref_Distribution'!$B$146:$B$150,'-ref_Distribution'!$G$146:$G$150)),RIGHT(BK$1,2))</f>
        <v>78</v>
      </c>
      <c r="BL35" s="16" cm="1">
        <f t="array" ref="BL35">INDEX(_xlfn.ANCHORARRAY(_xlfn.XLOOKUP($C35,'-ref_Distribution'!$B$146:$B$150,'-ref_Distribution'!$G$146:$G$150)),RIGHT(BL$1,2))</f>
        <v>337</v>
      </c>
      <c r="BM35" s="16" cm="1">
        <f t="array" ref="BM35">INDEX(_xlfn.ANCHORARRAY(_xlfn.XLOOKUP($C35,'-ref_Distribution'!$B$146:$B$150,'-ref_Distribution'!$G$146:$G$150)),RIGHT(BM$1,2))</f>
        <v>364</v>
      </c>
      <c r="BN35" s="16" cm="1">
        <f t="array" ref="BN35">INDEX(_xlfn.ANCHORARRAY(_xlfn.XLOOKUP($C35,'-ref_Distribution'!$B$146:$B$150,'-ref_Distribution'!$G$146:$G$150)),RIGHT(BN$1,2))</f>
        <v>386</v>
      </c>
      <c r="BO35" s="16" cm="1">
        <f t="array" ref="BO35">INDEX(_xlfn.ANCHORARRAY(_xlfn.XLOOKUP($C35,'-ref_Distribution'!$B$146:$B$150,'-ref_Distribution'!$G$146:$G$150)),RIGHT(BO$1,2))</f>
        <v>403</v>
      </c>
      <c r="BP35" s="16" cm="1">
        <f t="array" ref="BP35">INDEX(_xlfn.ANCHORARRAY(_xlfn.XLOOKUP($C35,'-ref_Distribution'!$B$146:$B$150,'-ref_Distribution'!$G$146:$G$150)),RIGHT(BP$1,2))</f>
        <v>414</v>
      </c>
      <c r="BQ35" s="16" cm="1">
        <f t="array" ref="BQ35">INDEX(_xlfn.ANCHORARRAY(_xlfn.XLOOKUP($C35,'-ref_Distribution'!$B$146:$B$150,'-ref_Distribution'!$G$146:$G$150)),RIGHT(BQ$1,2))</f>
        <v>417</v>
      </c>
      <c r="BR35" s="16" cm="1">
        <f t="array" ref="BR35">INDEX(_xlfn.ANCHORARRAY(_xlfn.XLOOKUP($C35,'-ref_Distribution'!$B$146:$B$150,'-ref_Distribution'!$G$146:$G$150)),RIGHT(BR$1,2))</f>
        <v>414</v>
      </c>
      <c r="BS35" s="16" cm="1">
        <f t="array" ref="BS35">INDEX(_xlfn.ANCHORARRAY(_xlfn.XLOOKUP($C35,'-ref_Distribution'!$B$146:$B$150,'-ref_Distribution'!$G$146:$G$150)),RIGHT(BS$1,2))</f>
        <v>403</v>
      </c>
      <c r="BT35" s="16" cm="1">
        <f t="array" ref="BT35">INDEX(_xlfn.ANCHORARRAY(_xlfn.XLOOKUP($C35,'-ref_Distribution'!$B$146:$B$150,'-ref_Distribution'!$G$146:$G$150)),RIGHT(BT$1,2))</f>
        <v>386</v>
      </c>
      <c r="BU35" s="16" cm="1">
        <f t="array" ref="BU35">INDEX(_xlfn.ANCHORARRAY(_xlfn.XLOOKUP($C35,'-ref_Distribution'!$B$146:$B$150,'-ref_Distribution'!$G$146:$G$150)),RIGHT(BU$1,2))</f>
        <v>364</v>
      </c>
      <c r="BV35" s="16" cm="1">
        <f t="array" ref="BV35">INDEX(_xlfn.ANCHORARRAY(_xlfn.XLOOKUP($C35,'-ref_Distribution'!$B$146:$B$150,'-ref_Distribution'!$G$146:$G$150)),RIGHT(BV$1,2))</f>
        <v>337</v>
      </c>
      <c r="BW35" s="16" cm="1">
        <f t="array" ref="BW35">INDEX(_xlfn.ANCHORARRAY(_xlfn.XLOOKUP($C35,'-ref_Distribution'!$B$146:$B$150,'-ref_Distribution'!$G$146:$G$150)),RIGHT(BW$1,2))</f>
        <v>307</v>
      </c>
      <c r="BX35" s="16" cm="1">
        <f t="array" ref="BX35">INDEX(_xlfn.ANCHORARRAY(_xlfn.XLOOKUP($C35,'-ref_Distribution'!$B$146:$B$150,'-ref_Distribution'!$G$146:$G$150)),RIGHT(BX$1,2))</f>
        <v>274</v>
      </c>
      <c r="BY35" s="16" cm="1">
        <f t="array" ref="BY35">INDEX(_xlfn.ANCHORARRAY(_xlfn.XLOOKUP($C35,'-ref_Distribution'!$B$146:$B$150,'-ref_Distribution'!$G$146:$G$150)),RIGHT(BY$1,2))</f>
        <v>241</v>
      </c>
      <c r="BZ35" s="16" cm="1">
        <f t="array" ref="BZ35">INDEX(_xlfn.ANCHORARRAY(_xlfn.XLOOKUP($C35,'-ref_Distribution'!$B$146:$B$150,'-ref_Distribution'!$G$146:$G$150)),RIGHT(BZ$1,2))</f>
        <v>209</v>
      </c>
      <c r="CA35" s="16" cm="1">
        <f t="array" ref="CA35">INDEX(_xlfn.ANCHORARRAY(_xlfn.XLOOKUP($C35,'-ref_Distribution'!$B$146:$B$150,'-ref_Distribution'!$G$146:$G$150)),RIGHT(CA$1,2))</f>
        <v>178</v>
      </c>
      <c r="CB35" s="16" cm="1">
        <f t="array" ref="CB35">INDEX(_xlfn.ANCHORARRAY(_xlfn.XLOOKUP($C35,'-ref_Distribution'!$B$146:$B$150,'-ref_Distribution'!$G$146:$G$150)),RIGHT(CB$1,2))</f>
        <v>148</v>
      </c>
      <c r="CC35" s="16" cm="1">
        <f t="array" ref="CC35">INDEX(_xlfn.ANCHORARRAY(_xlfn.XLOOKUP($C35,'-ref_Distribution'!$B$146:$B$150,'-ref_Distribution'!$G$146:$G$150)),RIGHT(CC$1,2))</f>
        <v>122</v>
      </c>
      <c r="CD35" s="16" cm="1">
        <f t="array" ref="CD35">INDEX(_xlfn.ANCHORARRAY(_xlfn.XLOOKUP($C35,'-ref_Distribution'!$B$146:$B$150,'-ref_Distribution'!$G$146:$G$150)),RIGHT(CD$1,2))</f>
        <v>98</v>
      </c>
      <c r="CE35" s="16" cm="1">
        <f t="array" ref="CE35">INDEX(_xlfn.ANCHORARRAY(_xlfn.XLOOKUP($C35,'-ref_Distribution'!$B$146:$B$150,'-ref_Distribution'!$G$146:$G$150)),RIGHT(CE$1,2))</f>
        <v>78</v>
      </c>
    </row>
    <row r="36" spans="1:83" x14ac:dyDescent="0.2">
      <c r="A36" s="16">
        <v>301043</v>
      </c>
      <c r="B36" s="16" t="s">
        <v>220</v>
      </c>
      <c r="C36" s="16">
        <v>2</v>
      </c>
      <c r="D36" s="16" cm="1">
        <f t="array" ref="D36">INDEX(_xlfn.ANCHORARRAY(_xlfn.XLOOKUP($C36,'-ref_Distribution'!$B$146:$B$150,'-ref_Distribution'!$G$146:$G$150)),RIGHT(D$1,2))</f>
        <v>75</v>
      </c>
      <c r="E36" s="16" cm="1">
        <f t="array" ref="E36">INDEX(_xlfn.ANCHORARRAY(_xlfn.XLOOKUP($C36,'-ref_Distribution'!$B$146:$B$150,'-ref_Distribution'!$G$146:$G$150)),RIGHT(E$1,2))</f>
        <v>94</v>
      </c>
      <c r="F36" s="16" cm="1">
        <f t="array" ref="F36">INDEX(_xlfn.ANCHORARRAY(_xlfn.XLOOKUP($C36,'-ref_Distribution'!$B$146:$B$150,'-ref_Distribution'!$G$146:$G$150)),RIGHT(F$1,2))</f>
        <v>115</v>
      </c>
      <c r="G36" s="16" cm="1">
        <f t="array" ref="G36">INDEX(_xlfn.ANCHORARRAY(_xlfn.XLOOKUP($C36,'-ref_Distribution'!$B$146:$B$150,'-ref_Distribution'!$G$146:$G$150)),RIGHT(G$1,2))</f>
        <v>137</v>
      </c>
      <c r="H36" s="16" cm="1">
        <f t="array" ref="H36">INDEX(_xlfn.ANCHORARRAY(_xlfn.XLOOKUP($C36,'-ref_Distribution'!$B$146:$B$150,'-ref_Distribution'!$G$146:$G$150)),RIGHT(H$1,2))</f>
        <v>160</v>
      </c>
      <c r="I36" s="16" cm="1">
        <f t="array" ref="I36">INDEX(_xlfn.ANCHORARRAY(_xlfn.XLOOKUP($C36,'-ref_Distribution'!$B$146:$B$150,'-ref_Distribution'!$G$146:$G$150)),RIGHT(I$1,2))</f>
        <v>183</v>
      </c>
      <c r="J36" s="16" cm="1">
        <f t="array" ref="J36">INDEX(_xlfn.ANCHORARRAY(_xlfn.XLOOKUP($C36,'-ref_Distribution'!$B$146:$B$150,'-ref_Distribution'!$G$146:$G$150)),RIGHT(J$1,2))</f>
        <v>203</v>
      </c>
      <c r="K36" s="16" cm="1">
        <f t="array" ref="K36">INDEX(_xlfn.ANCHORARRAY(_xlfn.XLOOKUP($C36,'-ref_Distribution'!$B$146:$B$150,'-ref_Distribution'!$G$146:$G$150)),RIGHT(K$1,2))</f>
        <v>221</v>
      </c>
      <c r="L36" s="16" cm="1">
        <f t="array" ref="L36">INDEX(_xlfn.ANCHORARRAY(_xlfn.XLOOKUP($C36,'-ref_Distribution'!$B$146:$B$150,'-ref_Distribution'!$G$146:$G$150)),RIGHT(L$1,2))</f>
        <v>234</v>
      </c>
      <c r="M36" s="16" cm="1">
        <f t="array" ref="M36">INDEX(_xlfn.ANCHORARRAY(_xlfn.XLOOKUP($C36,'-ref_Distribution'!$B$146:$B$150,'-ref_Distribution'!$G$146:$G$150)),RIGHT(M$1,2))</f>
        <v>243</v>
      </c>
      <c r="N36" s="16" cm="1">
        <f t="array" ref="N36">INDEX(_xlfn.ANCHORARRAY(_xlfn.XLOOKUP($C36,'-ref_Distribution'!$B$146:$B$150,'-ref_Distribution'!$G$146:$G$150)),RIGHT(N$1,2))</f>
        <v>245</v>
      </c>
      <c r="O36" s="16" cm="1">
        <f t="array" ref="O36">INDEX(_xlfn.ANCHORARRAY(_xlfn.XLOOKUP($C36,'-ref_Distribution'!$B$146:$B$150,'-ref_Distribution'!$G$146:$G$150)),RIGHT(O$1,2))</f>
        <v>243</v>
      </c>
      <c r="P36" s="16" cm="1">
        <f t="array" ref="P36">INDEX(_xlfn.ANCHORARRAY(_xlfn.XLOOKUP($C36,'-ref_Distribution'!$B$146:$B$150,'-ref_Distribution'!$G$146:$G$150)),RIGHT(P$1,2))</f>
        <v>234</v>
      </c>
      <c r="Q36" s="16" cm="1">
        <f t="array" ref="Q36">INDEX(_xlfn.ANCHORARRAY(_xlfn.XLOOKUP($C36,'-ref_Distribution'!$B$146:$B$150,'-ref_Distribution'!$G$146:$G$150)),RIGHT(Q$1,2))</f>
        <v>221</v>
      </c>
      <c r="R36" s="16" cm="1">
        <f t="array" ref="R36">INDEX(_xlfn.ANCHORARRAY(_xlfn.XLOOKUP($C36,'-ref_Distribution'!$B$146:$B$150,'-ref_Distribution'!$G$146:$G$150)),RIGHT(R$1,2))</f>
        <v>203</v>
      </c>
      <c r="S36" s="16" cm="1">
        <f t="array" ref="S36">INDEX(_xlfn.ANCHORARRAY(_xlfn.XLOOKUP($C36,'-ref_Distribution'!$B$146:$B$150,'-ref_Distribution'!$G$146:$G$150)),RIGHT(S$1,2))</f>
        <v>183</v>
      </c>
      <c r="T36" s="16" cm="1">
        <f t="array" ref="T36">INDEX(_xlfn.ANCHORARRAY(_xlfn.XLOOKUP($C36,'-ref_Distribution'!$B$146:$B$150,'-ref_Distribution'!$G$146:$G$150)),RIGHT(T$1,2))</f>
        <v>160</v>
      </c>
      <c r="U36" s="16" cm="1">
        <f t="array" ref="U36">INDEX(_xlfn.ANCHORARRAY(_xlfn.XLOOKUP($C36,'-ref_Distribution'!$B$146:$B$150,'-ref_Distribution'!$G$146:$G$150)),RIGHT(U$1,2))</f>
        <v>137</v>
      </c>
      <c r="V36" s="16" cm="1">
        <f t="array" ref="V36">INDEX(_xlfn.ANCHORARRAY(_xlfn.XLOOKUP($C36,'-ref_Distribution'!$B$146:$B$150,'-ref_Distribution'!$G$146:$G$150)),RIGHT(V$1,2))</f>
        <v>115</v>
      </c>
      <c r="W36" s="16" cm="1">
        <f t="array" ref="W36">INDEX(_xlfn.ANCHORARRAY(_xlfn.XLOOKUP($C36,'-ref_Distribution'!$B$146:$B$150,'-ref_Distribution'!$G$146:$G$150)),RIGHT(W$1,2))</f>
        <v>94</v>
      </c>
      <c r="X36" s="16" cm="1">
        <f t="array" ref="X36">INDEX(_xlfn.ANCHORARRAY(_xlfn.XLOOKUP($C36,'-ref_Distribution'!$B$146:$B$150,'-ref_Distribution'!$G$146:$G$150)),RIGHT(X$1,2))</f>
        <v>75</v>
      </c>
      <c r="Y36" s="16" cm="1">
        <f t="array" ref="Y36">INDEX(_xlfn.ANCHORARRAY(_xlfn.XLOOKUP($C36,'-ref_Distribution'!$B$146:$B$150,'-ref_Distribution'!$G$146:$G$150)),RIGHT(Y$1,2))</f>
        <v>94</v>
      </c>
      <c r="Z36" s="16" cm="1">
        <f t="array" ref="Z36">INDEX(_xlfn.ANCHORARRAY(_xlfn.XLOOKUP($C36,'-ref_Distribution'!$B$146:$B$150,'-ref_Distribution'!$G$146:$G$150)),RIGHT(Z$1,2))</f>
        <v>115</v>
      </c>
      <c r="AA36" s="16" cm="1">
        <f t="array" ref="AA36">INDEX(_xlfn.ANCHORARRAY(_xlfn.XLOOKUP($C36,'-ref_Distribution'!$B$146:$B$150,'-ref_Distribution'!$G$146:$G$150)),RIGHT(AA$1,2))</f>
        <v>137</v>
      </c>
      <c r="AB36" s="16" cm="1">
        <f t="array" ref="AB36">INDEX(_xlfn.ANCHORARRAY(_xlfn.XLOOKUP($C36,'-ref_Distribution'!$B$146:$B$150,'-ref_Distribution'!$G$146:$G$150)),RIGHT(AB$1,2))</f>
        <v>160</v>
      </c>
      <c r="AC36" s="16" cm="1">
        <f t="array" ref="AC36">INDEX(_xlfn.ANCHORARRAY(_xlfn.XLOOKUP($C36,'-ref_Distribution'!$B$146:$B$150,'-ref_Distribution'!$G$146:$G$150)),RIGHT(AC$1,2))</f>
        <v>183</v>
      </c>
      <c r="AD36" s="16" cm="1">
        <f t="array" ref="AD36">INDEX(_xlfn.ANCHORARRAY(_xlfn.XLOOKUP($C36,'-ref_Distribution'!$B$146:$B$150,'-ref_Distribution'!$G$146:$G$150)),RIGHT(AD$1,2))</f>
        <v>203</v>
      </c>
      <c r="AE36" s="16" cm="1">
        <f t="array" ref="AE36">INDEX(_xlfn.ANCHORARRAY(_xlfn.XLOOKUP($C36,'-ref_Distribution'!$B$146:$B$150,'-ref_Distribution'!$G$146:$G$150)),RIGHT(AE$1,2))</f>
        <v>221</v>
      </c>
      <c r="AF36" s="16" cm="1">
        <f t="array" ref="AF36">INDEX(_xlfn.ANCHORARRAY(_xlfn.XLOOKUP($C36,'-ref_Distribution'!$B$146:$B$150,'-ref_Distribution'!$G$146:$G$150)),RIGHT(AF$1,2))</f>
        <v>234</v>
      </c>
      <c r="AG36" s="16" cm="1">
        <f t="array" ref="AG36">INDEX(_xlfn.ANCHORARRAY(_xlfn.XLOOKUP($C36,'-ref_Distribution'!$B$146:$B$150,'-ref_Distribution'!$G$146:$G$150)),RIGHT(AG$1,2))</f>
        <v>243</v>
      </c>
      <c r="AH36" s="16" cm="1">
        <f t="array" ref="AH36">INDEX(_xlfn.ANCHORARRAY(_xlfn.XLOOKUP($C36,'-ref_Distribution'!$B$146:$B$150,'-ref_Distribution'!$G$146:$G$150)),RIGHT(AH$1,2))</f>
        <v>245</v>
      </c>
      <c r="AI36" s="16" cm="1">
        <f t="array" ref="AI36">INDEX(_xlfn.ANCHORARRAY(_xlfn.XLOOKUP($C36,'-ref_Distribution'!$B$146:$B$150,'-ref_Distribution'!$G$146:$G$150)),RIGHT(AI$1,2))</f>
        <v>243</v>
      </c>
      <c r="AJ36" s="16" cm="1">
        <f t="array" ref="AJ36">INDEX(_xlfn.ANCHORARRAY(_xlfn.XLOOKUP($C36,'-ref_Distribution'!$B$146:$B$150,'-ref_Distribution'!$G$146:$G$150)),RIGHT(AJ$1,2))</f>
        <v>234</v>
      </c>
      <c r="AK36" s="16" cm="1">
        <f t="array" ref="AK36">INDEX(_xlfn.ANCHORARRAY(_xlfn.XLOOKUP($C36,'-ref_Distribution'!$B$146:$B$150,'-ref_Distribution'!$G$146:$G$150)),RIGHT(AK$1,2))</f>
        <v>221</v>
      </c>
      <c r="AL36" s="16" cm="1">
        <f t="array" ref="AL36">INDEX(_xlfn.ANCHORARRAY(_xlfn.XLOOKUP($C36,'-ref_Distribution'!$B$146:$B$150,'-ref_Distribution'!$G$146:$G$150)),RIGHT(AL$1,2))</f>
        <v>203</v>
      </c>
      <c r="AM36" s="16" cm="1">
        <f t="array" ref="AM36">INDEX(_xlfn.ANCHORARRAY(_xlfn.XLOOKUP($C36,'-ref_Distribution'!$B$146:$B$150,'-ref_Distribution'!$G$146:$G$150)),RIGHT(AM$1,2))</f>
        <v>183</v>
      </c>
      <c r="AN36" s="16" cm="1">
        <f t="array" ref="AN36">INDEX(_xlfn.ANCHORARRAY(_xlfn.XLOOKUP($C36,'-ref_Distribution'!$B$146:$B$150,'-ref_Distribution'!$G$146:$G$150)),RIGHT(AN$1,2))</f>
        <v>160</v>
      </c>
      <c r="AO36" s="16" cm="1">
        <f t="array" ref="AO36">INDEX(_xlfn.ANCHORARRAY(_xlfn.XLOOKUP($C36,'-ref_Distribution'!$B$146:$B$150,'-ref_Distribution'!$G$146:$G$150)),RIGHT(AO$1,2))</f>
        <v>137</v>
      </c>
      <c r="AP36" s="16" cm="1">
        <f t="array" ref="AP36">INDEX(_xlfn.ANCHORARRAY(_xlfn.XLOOKUP($C36,'-ref_Distribution'!$B$146:$B$150,'-ref_Distribution'!$G$146:$G$150)),RIGHT(AP$1,2))</f>
        <v>115</v>
      </c>
      <c r="AQ36" s="16" cm="1">
        <f t="array" ref="AQ36">INDEX(_xlfn.ANCHORARRAY(_xlfn.XLOOKUP($C36,'-ref_Distribution'!$B$146:$B$150,'-ref_Distribution'!$G$146:$G$150)),RIGHT(AQ$1,2))</f>
        <v>94</v>
      </c>
      <c r="AR36" s="16" cm="1">
        <f t="array" ref="AR36">INDEX(_xlfn.ANCHORARRAY(_xlfn.XLOOKUP($C36,'-ref_Distribution'!$B$146:$B$150,'-ref_Distribution'!$G$146:$G$150)),RIGHT(AR$1,2))</f>
        <v>75</v>
      </c>
      <c r="AS36" s="16" cm="1">
        <f t="array" ref="AS36">INDEX(_xlfn.ANCHORARRAY(_xlfn.XLOOKUP($C36,'-ref_Distribution'!$B$146:$B$150,'-ref_Distribution'!$G$146:$G$150)),RIGHT(AS$1,2))</f>
        <v>94</v>
      </c>
      <c r="AT36" s="16" cm="1">
        <f t="array" ref="AT36">INDEX(_xlfn.ANCHORARRAY(_xlfn.XLOOKUP($C36,'-ref_Distribution'!$B$146:$B$150,'-ref_Distribution'!$G$146:$G$150)),RIGHT(AT$1,2))</f>
        <v>115</v>
      </c>
      <c r="AU36" s="16" cm="1">
        <f t="array" ref="AU36">INDEX(_xlfn.ANCHORARRAY(_xlfn.XLOOKUP($C36,'-ref_Distribution'!$B$146:$B$150,'-ref_Distribution'!$G$146:$G$150)),RIGHT(AU$1,2))</f>
        <v>137</v>
      </c>
      <c r="AV36" s="16" cm="1">
        <f t="array" ref="AV36">INDEX(_xlfn.ANCHORARRAY(_xlfn.XLOOKUP($C36,'-ref_Distribution'!$B$146:$B$150,'-ref_Distribution'!$G$146:$G$150)),RIGHT(AV$1,2))</f>
        <v>160</v>
      </c>
      <c r="AW36" s="16" cm="1">
        <f t="array" ref="AW36">INDEX(_xlfn.ANCHORARRAY(_xlfn.XLOOKUP($C36,'-ref_Distribution'!$B$146:$B$150,'-ref_Distribution'!$G$146:$G$150)),RIGHT(AW$1,2))</f>
        <v>183</v>
      </c>
      <c r="AX36" s="16" cm="1">
        <f t="array" ref="AX36">INDEX(_xlfn.ANCHORARRAY(_xlfn.XLOOKUP($C36,'-ref_Distribution'!$B$146:$B$150,'-ref_Distribution'!$G$146:$G$150)),RIGHT(AX$1,2))</f>
        <v>203</v>
      </c>
      <c r="AY36" s="16" cm="1">
        <f t="array" ref="AY36">INDEX(_xlfn.ANCHORARRAY(_xlfn.XLOOKUP($C36,'-ref_Distribution'!$B$146:$B$150,'-ref_Distribution'!$G$146:$G$150)),RIGHT(AY$1,2))</f>
        <v>221</v>
      </c>
      <c r="AZ36" s="16" cm="1">
        <f t="array" ref="AZ36">INDEX(_xlfn.ANCHORARRAY(_xlfn.XLOOKUP($C36,'-ref_Distribution'!$B$146:$B$150,'-ref_Distribution'!$G$146:$G$150)),RIGHT(AZ$1,2))</f>
        <v>234</v>
      </c>
      <c r="BA36" s="16" cm="1">
        <f t="array" ref="BA36">INDEX(_xlfn.ANCHORARRAY(_xlfn.XLOOKUP($C36,'-ref_Distribution'!$B$146:$B$150,'-ref_Distribution'!$G$146:$G$150)),RIGHT(BA$1,2))</f>
        <v>243</v>
      </c>
      <c r="BB36" s="16" cm="1">
        <f t="array" ref="BB36">INDEX(_xlfn.ANCHORARRAY(_xlfn.XLOOKUP($C36,'-ref_Distribution'!$B$146:$B$150,'-ref_Distribution'!$G$146:$G$150)),RIGHT(BB$1,2))</f>
        <v>245</v>
      </c>
      <c r="BC36" s="16" cm="1">
        <f t="array" ref="BC36">INDEX(_xlfn.ANCHORARRAY(_xlfn.XLOOKUP($C36,'-ref_Distribution'!$B$146:$B$150,'-ref_Distribution'!$G$146:$G$150)),RIGHT(BC$1,2))</f>
        <v>243</v>
      </c>
      <c r="BD36" s="16" cm="1">
        <f t="array" ref="BD36">INDEX(_xlfn.ANCHORARRAY(_xlfn.XLOOKUP($C36,'-ref_Distribution'!$B$146:$B$150,'-ref_Distribution'!$G$146:$G$150)),RIGHT(BD$1,2))</f>
        <v>234</v>
      </c>
      <c r="BE36" s="16" cm="1">
        <f t="array" ref="BE36">INDEX(_xlfn.ANCHORARRAY(_xlfn.XLOOKUP($C36,'-ref_Distribution'!$B$146:$B$150,'-ref_Distribution'!$G$146:$G$150)),RIGHT(BE$1,2))</f>
        <v>221</v>
      </c>
      <c r="BF36" s="16" cm="1">
        <f t="array" ref="BF36">INDEX(_xlfn.ANCHORARRAY(_xlfn.XLOOKUP($C36,'-ref_Distribution'!$B$146:$B$150,'-ref_Distribution'!$G$146:$G$150)),RIGHT(BF$1,2))</f>
        <v>203</v>
      </c>
      <c r="BG36" s="16" cm="1">
        <f t="array" ref="BG36">INDEX(_xlfn.ANCHORARRAY(_xlfn.XLOOKUP($C36,'-ref_Distribution'!$B$146:$B$150,'-ref_Distribution'!$G$146:$G$150)),RIGHT(BG$1,2))</f>
        <v>183</v>
      </c>
      <c r="BH36" s="16" cm="1">
        <f t="array" ref="BH36">INDEX(_xlfn.ANCHORARRAY(_xlfn.XLOOKUP($C36,'-ref_Distribution'!$B$146:$B$150,'-ref_Distribution'!$G$146:$G$150)),RIGHT(BH$1,2))</f>
        <v>160</v>
      </c>
      <c r="BI36" s="16" cm="1">
        <f t="array" ref="BI36">INDEX(_xlfn.ANCHORARRAY(_xlfn.XLOOKUP($C36,'-ref_Distribution'!$B$146:$B$150,'-ref_Distribution'!$G$146:$G$150)),RIGHT(BI$1,2))</f>
        <v>137</v>
      </c>
      <c r="BJ36" s="16" cm="1">
        <f t="array" ref="BJ36">INDEX(_xlfn.ANCHORARRAY(_xlfn.XLOOKUP($C36,'-ref_Distribution'!$B$146:$B$150,'-ref_Distribution'!$G$146:$G$150)),RIGHT(BJ$1,2))</f>
        <v>115</v>
      </c>
      <c r="BK36" s="16" cm="1">
        <f t="array" ref="BK36">INDEX(_xlfn.ANCHORARRAY(_xlfn.XLOOKUP($C36,'-ref_Distribution'!$B$146:$B$150,'-ref_Distribution'!$G$146:$G$150)),RIGHT(BK$1,2))</f>
        <v>94</v>
      </c>
      <c r="BL36" s="16" cm="1">
        <f t="array" ref="BL36">INDEX(_xlfn.ANCHORARRAY(_xlfn.XLOOKUP($C36,'-ref_Distribution'!$B$146:$B$150,'-ref_Distribution'!$G$146:$G$150)),RIGHT(BL$1,2))</f>
        <v>75</v>
      </c>
      <c r="BM36" s="16" cm="1">
        <f t="array" ref="BM36">INDEX(_xlfn.ANCHORARRAY(_xlfn.XLOOKUP($C36,'-ref_Distribution'!$B$146:$B$150,'-ref_Distribution'!$G$146:$G$150)),RIGHT(BM$1,2))</f>
        <v>94</v>
      </c>
      <c r="BN36" s="16" cm="1">
        <f t="array" ref="BN36">INDEX(_xlfn.ANCHORARRAY(_xlfn.XLOOKUP($C36,'-ref_Distribution'!$B$146:$B$150,'-ref_Distribution'!$G$146:$G$150)),RIGHT(BN$1,2))</f>
        <v>115</v>
      </c>
      <c r="BO36" s="16" cm="1">
        <f t="array" ref="BO36">INDEX(_xlfn.ANCHORARRAY(_xlfn.XLOOKUP($C36,'-ref_Distribution'!$B$146:$B$150,'-ref_Distribution'!$G$146:$G$150)),RIGHT(BO$1,2))</f>
        <v>137</v>
      </c>
      <c r="BP36" s="16" cm="1">
        <f t="array" ref="BP36">INDEX(_xlfn.ANCHORARRAY(_xlfn.XLOOKUP($C36,'-ref_Distribution'!$B$146:$B$150,'-ref_Distribution'!$G$146:$G$150)),RIGHT(BP$1,2))</f>
        <v>160</v>
      </c>
      <c r="BQ36" s="16" cm="1">
        <f t="array" ref="BQ36">INDEX(_xlfn.ANCHORARRAY(_xlfn.XLOOKUP($C36,'-ref_Distribution'!$B$146:$B$150,'-ref_Distribution'!$G$146:$G$150)),RIGHT(BQ$1,2))</f>
        <v>183</v>
      </c>
      <c r="BR36" s="16" cm="1">
        <f t="array" ref="BR36">INDEX(_xlfn.ANCHORARRAY(_xlfn.XLOOKUP($C36,'-ref_Distribution'!$B$146:$B$150,'-ref_Distribution'!$G$146:$G$150)),RIGHT(BR$1,2))</f>
        <v>203</v>
      </c>
      <c r="BS36" s="16" cm="1">
        <f t="array" ref="BS36">INDEX(_xlfn.ANCHORARRAY(_xlfn.XLOOKUP($C36,'-ref_Distribution'!$B$146:$B$150,'-ref_Distribution'!$G$146:$G$150)),RIGHT(BS$1,2))</f>
        <v>221</v>
      </c>
      <c r="BT36" s="16" cm="1">
        <f t="array" ref="BT36">INDEX(_xlfn.ANCHORARRAY(_xlfn.XLOOKUP($C36,'-ref_Distribution'!$B$146:$B$150,'-ref_Distribution'!$G$146:$G$150)),RIGHT(BT$1,2))</f>
        <v>234</v>
      </c>
      <c r="BU36" s="16" cm="1">
        <f t="array" ref="BU36">INDEX(_xlfn.ANCHORARRAY(_xlfn.XLOOKUP($C36,'-ref_Distribution'!$B$146:$B$150,'-ref_Distribution'!$G$146:$G$150)),RIGHT(BU$1,2))</f>
        <v>243</v>
      </c>
      <c r="BV36" s="16" cm="1">
        <f t="array" ref="BV36">INDEX(_xlfn.ANCHORARRAY(_xlfn.XLOOKUP($C36,'-ref_Distribution'!$B$146:$B$150,'-ref_Distribution'!$G$146:$G$150)),RIGHT(BV$1,2))</f>
        <v>245</v>
      </c>
      <c r="BW36" s="16" cm="1">
        <f t="array" ref="BW36">INDEX(_xlfn.ANCHORARRAY(_xlfn.XLOOKUP($C36,'-ref_Distribution'!$B$146:$B$150,'-ref_Distribution'!$G$146:$G$150)),RIGHT(BW$1,2))</f>
        <v>243</v>
      </c>
      <c r="BX36" s="16" cm="1">
        <f t="array" ref="BX36">INDEX(_xlfn.ANCHORARRAY(_xlfn.XLOOKUP($C36,'-ref_Distribution'!$B$146:$B$150,'-ref_Distribution'!$G$146:$G$150)),RIGHT(BX$1,2))</f>
        <v>234</v>
      </c>
      <c r="BY36" s="16" cm="1">
        <f t="array" ref="BY36">INDEX(_xlfn.ANCHORARRAY(_xlfn.XLOOKUP($C36,'-ref_Distribution'!$B$146:$B$150,'-ref_Distribution'!$G$146:$G$150)),RIGHT(BY$1,2))</f>
        <v>221</v>
      </c>
      <c r="BZ36" s="16" cm="1">
        <f t="array" ref="BZ36">INDEX(_xlfn.ANCHORARRAY(_xlfn.XLOOKUP($C36,'-ref_Distribution'!$B$146:$B$150,'-ref_Distribution'!$G$146:$G$150)),RIGHT(BZ$1,2))</f>
        <v>203</v>
      </c>
      <c r="CA36" s="16" cm="1">
        <f t="array" ref="CA36">INDEX(_xlfn.ANCHORARRAY(_xlfn.XLOOKUP($C36,'-ref_Distribution'!$B$146:$B$150,'-ref_Distribution'!$G$146:$G$150)),RIGHT(CA$1,2))</f>
        <v>183</v>
      </c>
      <c r="CB36" s="16" cm="1">
        <f t="array" ref="CB36">INDEX(_xlfn.ANCHORARRAY(_xlfn.XLOOKUP($C36,'-ref_Distribution'!$B$146:$B$150,'-ref_Distribution'!$G$146:$G$150)),RIGHT(CB$1,2))</f>
        <v>160</v>
      </c>
      <c r="CC36" s="16" cm="1">
        <f t="array" ref="CC36">INDEX(_xlfn.ANCHORARRAY(_xlfn.XLOOKUP($C36,'-ref_Distribution'!$B$146:$B$150,'-ref_Distribution'!$G$146:$G$150)),RIGHT(CC$1,2))</f>
        <v>137</v>
      </c>
      <c r="CD36" s="16" cm="1">
        <f t="array" ref="CD36">INDEX(_xlfn.ANCHORARRAY(_xlfn.XLOOKUP($C36,'-ref_Distribution'!$B$146:$B$150,'-ref_Distribution'!$G$146:$G$150)),RIGHT(CD$1,2))</f>
        <v>115</v>
      </c>
      <c r="CE36" s="16" cm="1">
        <f t="array" ref="CE36">INDEX(_xlfn.ANCHORARRAY(_xlfn.XLOOKUP($C36,'-ref_Distribution'!$B$146:$B$150,'-ref_Distribution'!$G$146:$G$150)),RIGHT(CE$1,2))</f>
        <v>94</v>
      </c>
    </row>
    <row r="37" spans="1:83" x14ac:dyDescent="0.2">
      <c r="A37" s="16">
        <v>301044</v>
      </c>
      <c r="B37" s="16" t="s">
        <v>220</v>
      </c>
      <c r="C37" s="16">
        <v>3</v>
      </c>
      <c r="D37" s="16" cm="1">
        <f t="array" ref="D37">INDEX(_xlfn.ANCHORARRAY(_xlfn.XLOOKUP($C37,'-ref_Distribution'!$B$146:$B$150,'-ref_Distribution'!$G$146:$G$150)),RIGHT(D$1,2))</f>
        <v>4</v>
      </c>
      <c r="E37" s="16" cm="1">
        <f t="array" ref="E37">INDEX(_xlfn.ANCHORARRAY(_xlfn.XLOOKUP($C37,'-ref_Distribution'!$B$146:$B$150,'-ref_Distribution'!$G$146:$G$150)),RIGHT(E$1,2))</f>
        <v>6</v>
      </c>
      <c r="F37" s="16" cm="1">
        <f t="array" ref="F37">INDEX(_xlfn.ANCHORARRAY(_xlfn.XLOOKUP($C37,'-ref_Distribution'!$B$146:$B$150,'-ref_Distribution'!$G$146:$G$150)),RIGHT(F$1,2))</f>
        <v>9</v>
      </c>
      <c r="G37" s="16" cm="1">
        <f t="array" ref="G37">INDEX(_xlfn.ANCHORARRAY(_xlfn.XLOOKUP($C37,'-ref_Distribution'!$B$146:$B$150,'-ref_Distribution'!$G$146:$G$150)),RIGHT(G$1,2))</f>
        <v>14</v>
      </c>
      <c r="H37" s="16" cm="1">
        <f t="array" ref="H37">INDEX(_xlfn.ANCHORARRAY(_xlfn.XLOOKUP($C37,'-ref_Distribution'!$B$146:$B$150,'-ref_Distribution'!$G$146:$G$150)),RIGHT(H$1,2))</f>
        <v>20</v>
      </c>
      <c r="I37" s="16" cm="1">
        <f t="array" ref="I37">INDEX(_xlfn.ANCHORARRAY(_xlfn.XLOOKUP($C37,'-ref_Distribution'!$B$146:$B$150,'-ref_Distribution'!$G$146:$G$150)),RIGHT(I$1,2))</f>
        <v>28</v>
      </c>
      <c r="J37" s="16" cm="1">
        <f t="array" ref="J37">INDEX(_xlfn.ANCHORARRAY(_xlfn.XLOOKUP($C37,'-ref_Distribution'!$B$146:$B$150,'-ref_Distribution'!$G$146:$G$150)),RIGHT(J$1,2))</f>
        <v>38</v>
      </c>
      <c r="K37" s="16" cm="1">
        <f t="array" ref="K37">INDEX(_xlfn.ANCHORARRAY(_xlfn.XLOOKUP($C37,'-ref_Distribution'!$B$146:$B$150,'-ref_Distribution'!$G$146:$G$150)),RIGHT(K$1,2))</f>
        <v>51</v>
      </c>
      <c r="L37" s="16" cm="1">
        <f t="array" ref="L37">INDEX(_xlfn.ANCHORARRAY(_xlfn.XLOOKUP($C37,'-ref_Distribution'!$B$146:$B$150,'-ref_Distribution'!$G$146:$G$150)),RIGHT(L$1,2))</f>
        <v>65</v>
      </c>
      <c r="M37" s="16" cm="1">
        <f t="array" ref="M37">INDEX(_xlfn.ANCHORARRAY(_xlfn.XLOOKUP($C37,'-ref_Distribution'!$B$146:$B$150,'-ref_Distribution'!$G$146:$G$150)),RIGHT(M$1,2))</f>
        <v>80</v>
      </c>
      <c r="N37" s="16" cm="1">
        <f t="array" ref="N37">INDEX(_xlfn.ANCHORARRAY(_xlfn.XLOOKUP($C37,'-ref_Distribution'!$B$146:$B$150,'-ref_Distribution'!$G$146:$G$150)),RIGHT(N$1,2))</f>
        <v>96</v>
      </c>
      <c r="O37" s="16" cm="1">
        <f t="array" ref="O37">INDEX(_xlfn.ANCHORARRAY(_xlfn.XLOOKUP($C37,'-ref_Distribution'!$B$146:$B$150,'-ref_Distribution'!$G$146:$G$150)),RIGHT(O$1,2))</f>
        <v>111</v>
      </c>
      <c r="P37" s="16" cm="1">
        <f t="array" ref="P37">INDEX(_xlfn.ANCHORARRAY(_xlfn.XLOOKUP($C37,'-ref_Distribution'!$B$146:$B$150,'-ref_Distribution'!$G$146:$G$150)),RIGHT(P$1,2))</f>
        <v>125</v>
      </c>
      <c r="Q37" s="16" cm="1">
        <f t="array" ref="Q37">INDEX(_xlfn.ANCHORARRAY(_xlfn.XLOOKUP($C37,'-ref_Distribution'!$B$146:$B$150,'-ref_Distribution'!$G$146:$G$150)),RIGHT(Q$1,2))</f>
        <v>135</v>
      </c>
      <c r="R37" s="16" cm="1">
        <f t="array" ref="R37">INDEX(_xlfn.ANCHORARRAY(_xlfn.XLOOKUP($C37,'-ref_Distribution'!$B$146:$B$150,'-ref_Distribution'!$G$146:$G$150)),RIGHT(R$1,2))</f>
        <v>142</v>
      </c>
      <c r="S37" s="16" cm="1">
        <f t="array" ref="S37">INDEX(_xlfn.ANCHORARRAY(_xlfn.XLOOKUP($C37,'-ref_Distribution'!$B$146:$B$150,'-ref_Distribution'!$G$146:$G$150)),RIGHT(S$1,2))</f>
        <v>144</v>
      </c>
      <c r="T37" s="16" cm="1">
        <f t="array" ref="T37">INDEX(_xlfn.ANCHORARRAY(_xlfn.XLOOKUP($C37,'-ref_Distribution'!$B$146:$B$150,'-ref_Distribution'!$G$146:$G$150)),RIGHT(T$1,2))</f>
        <v>142</v>
      </c>
      <c r="U37" s="16" cm="1">
        <f t="array" ref="U37">INDEX(_xlfn.ANCHORARRAY(_xlfn.XLOOKUP($C37,'-ref_Distribution'!$B$146:$B$150,'-ref_Distribution'!$G$146:$G$150)),RIGHT(U$1,2))</f>
        <v>135</v>
      </c>
      <c r="V37" s="16" cm="1">
        <f t="array" ref="V37">INDEX(_xlfn.ANCHORARRAY(_xlfn.XLOOKUP($C37,'-ref_Distribution'!$B$146:$B$150,'-ref_Distribution'!$G$146:$G$150)),RIGHT(V$1,2))</f>
        <v>125</v>
      </c>
      <c r="W37" s="16" cm="1">
        <f t="array" ref="W37">INDEX(_xlfn.ANCHORARRAY(_xlfn.XLOOKUP($C37,'-ref_Distribution'!$B$146:$B$150,'-ref_Distribution'!$G$146:$G$150)),RIGHT(W$1,2))</f>
        <v>111</v>
      </c>
      <c r="X37" s="16" cm="1">
        <f t="array" ref="X37">INDEX(_xlfn.ANCHORARRAY(_xlfn.XLOOKUP($C37,'-ref_Distribution'!$B$146:$B$150,'-ref_Distribution'!$G$146:$G$150)),RIGHT(X$1,2))</f>
        <v>4</v>
      </c>
      <c r="Y37" s="16" cm="1">
        <f t="array" ref="Y37">INDEX(_xlfn.ANCHORARRAY(_xlfn.XLOOKUP($C37,'-ref_Distribution'!$B$146:$B$150,'-ref_Distribution'!$G$146:$G$150)),RIGHT(Y$1,2))</f>
        <v>6</v>
      </c>
      <c r="Z37" s="16" cm="1">
        <f t="array" ref="Z37">INDEX(_xlfn.ANCHORARRAY(_xlfn.XLOOKUP($C37,'-ref_Distribution'!$B$146:$B$150,'-ref_Distribution'!$G$146:$G$150)),RIGHT(Z$1,2))</f>
        <v>9</v>
      </c>
      <c r="AA37" s="16" cm="1">
        <f t="array" ref="AA37">INDEX(_xlfn.ANCHORARRAY(_xlfn.XLOOKUP($C37,'-ref_Distribution'!$B$146:$B$150,'-ref_Distribution'!$G$146:$G$150)),RIGHT(AA$1,2))</f>
        <v>14</v>
      </c>
      <c r="AB37" s="16" cm="1">
        <f t="array" ref="AB37">INDEX(_xlfn.ANCHORARRAY(_xlfn.XLOOKUP($C37,'-ref_Distribution'!$B$146:$B$150,'-ref_Distribution'!$G$146:$G$150)),RIGHT(AB$1,2))</f>
        <v>20</v>
      </c>
      <c r="AC37" s="16" cm="1">
        <f t="array" ref="AC37">INDEX(_xlfn.ANCHORARRAY(_xlfn.XLOOKUP($C37,'-ref_Distribution'!$B$146:$B$150,'-ref_Distribution'!$G$146:$G$150)),RIGHT(AC$1,2))</f>
        <v>28</v>
      </c>
      <c r="AD37" s="16" cm="1">
        <f t="array" ref="AD37">INDEX(_xlfn.ANCHORARRAY(_xlfn.XLOOKUP($C37,'-ref_Distribution'!$B$146:$B$150,'-ref_Distribution'!$G$146:$G$150)),RIGHT(AD$1,2))</f>
        <v>38</v>
      </c>
      <c r="AE37" s="16" cm="1">
        <f t="array" ref="AE37">INDEX(_xlfn.ANCHORARRAY(_xlfn.XLOOKUP($C37,'-ref_Distribution'!$B$146:$B$150,'-ref_Distribution'!$G$146:$G$150)),RIGHT(AE$1,2))</f>
        <v>51</v>
      </c>
      <c r="AF37" s="16" cm="1">
        <f t="array" ref="AF37">INDEX(_xlfn.ANCHORARRAY(_xlfn.XLOOKUP($C37,'-ref_Distribution'!$B$146:$B$150,'-ref_Distribution'!$G$146:$G$150)),RIGHT(AF$1,2))</f>
        <v>65</v>
      </c>
      <c r="AG37" s="16" cm="1">
        <f t="array" ref="AG37">INDEX(_xlfn.ANCHORARRAY(_xlfn.XLOOKUP($C37,'-ref_Distribution'!$B$146:$B$150,'-ref_Distribution'!$G$146:$G$150)),RIGHT(AG$1,2))</f>
        <v>80</v>
      </c>
      <c r="AH37" s="16" cm="1">
        <f t="array" ref="AH37">INDEX(_xlfn.ANCHORARRAY(_xlfn.XLOOKUP($C37,'-ref_Distribution'!$B$146:$B$150,'-ref_Distribution'!$G$146:$G$150)),RIGHT(AH$1,2))</f>
        <v>96</v>
      </c>
      <c r="AI37" s="16" cm="1">
        <f t="array" ref="AI37">INDEX(_xlfn.ANCHORARRAY(_xlfn.XLOOKUP($C37,'-ref_Distribution'!$B$146:$B$150,'-ref_Distribution'!$G$146:$G$150)),RIGHT(AI$1,2))</f>
        <v>111</v>
      </c>
      <c r="AJ37" s="16" cm="1">
        <f t="array" ref="AJ37">INDEX(_xlfn.ANCHORARRAY(_xlfn.XLOOKUP($C37,'-ref_Distribution'!$B$146:$B$150,'-ref_Distribution'!$G$146:$G$150)),RIGHT(AJ$1,2))</f>
        <v>125</v>
      </c>
      <c r="AK37" s="16" cm="1">
        <f t="array" ref="AK37">INDEX(_xlfn.ANCHORARRAY(_xlfn.XLOOKUP($C37,'-ref_Distribution'!$B$146:$B$150,'-ref_Distribution'!$G$146:$G$150)),RIGHT(AK$1,2))</f>
        <v>135</v>
      </c>
      <c r="AL37" s="16" cm="1">
        <f t="array" ref="AL37">INDEX(_xlfn.ANCHORARRAY(_xlfn.XLOOKUP($C37,'-ref_Distribution'!$B$146:$B$150,'-ref_Distribution'!$G$146:$G$150)),RIGHT(AL$1,2))</f>
        <v>142</v>
      </c>
      <c r="AM37" s="16" cm="1">
        <f t="array" ref="AM37">INDEX(_xlfn.ANCHORARRAY(_xlfn.XLOOKUP($C37,'-ref_Distribution'!$B$146:$B$150,'-ref_Distribution'!$G$146:$G$150)),RIGHT(AM$1,2))</f>
        <v>144</v>
      </c>
      <c r="AN37" s="16" cm="1">
        <f t="array" ref="AN37">INDEX(_xlfn.ANCHORARRAY(_xlfn.XLOOKUP($C37,'-ref_Distribution'!$B$146:$B$150,'-ref_Distribution'!$G$146:$G$150)),RIGHT(AN$1,2))</f>
        <v>142</v>
      </c>
      <c r="AO37" s="16" cm="1">
        <f t="array" ref="AO37">INDEX(_xlfn.ANCHORARRAY(_xlfn.XLOOKUP($C37,'-ref_Distribution'!$B$146:$B$150,'-ref_Distribution'!$G$146:$G$150)),RIGHT(AO$1,2))</f>
        <v>135</v>
      </c>
      <c r="AP37" s="16" cm="1">
        <f t="array" ref="AP37">INDEX(_xlfn.ANCHORARRAY(_xlfn.XLOOKUP($C37,'-ref_Distribution'!$B$146:$B$150,'-ref_Distribution'!$G$146:$G$150)),RIGHT(AP$1,2))</f>
        <v>125</v>
      </c>
      <c r="AQ37" s="16" cm="1">
        <f t="array" ref="AQ37">INDEX(_xlfn.ANCHORARRAY(_xlfn.XLOOKUP($C37,'-ref_Distribution'!$B$146:$B$150,'-ref_Distribution'!$G$146:$G$150)),RIGHT(AQ$1,2))</f>
        <v>111</v>
      </c>
      <c r="AR37" s="16" cm="1">
        <f t="array" ref="AR37">INDEX(_xlfn.ANCHORARRAY(_xlfn.XLOOKUP($C37,'-ref_Distribution'!$B$146:$B$150,'-ref_Distribution'!$G$146:$G$150)),RIGHT(AR$1,2))</f>
        <v>4</v>
      </c>
      <c r="AS37" s="16" cm="1">
        <f t="array" ref="AS37">INDEX(_xlfn.ANCHORARRAY(_xlfn.XLOOKUP($C37,'-ref_Distribution'!$B$146:$B$150,'-ref_Distribution'!$G$146:$G$150)),RIGHT(AS$1,2))</f>
        <v>6</v>
      </c>
      <c r="AT37" s="16" cm="1">
        <f t="array" ref="AT37">INDEX(_xlfn.ANCHORARRAY(_xlfn.XLOOKUP($C37,'-ref_Distribution'!$B$146:$B$150,'-ref_Distribution'!$G$146:$G$150)),RIGHT(AT$1,2))</f>
        <v>9</v>
      </c>
      <c r="AU37" s="16" cm="1">
        <f t="array" ref="AU37">INDEX(_xlfn.ANCHORARRAY(_xlfn.XLOOKUP($C37,'-ref_Distribution'!$B$146:$B$150,'-ref_Distribution'!$G$146:$G$150)),RIGHT(AU$1,2))</f>
        <v>14</v>
      </c>
      <c r="AV37" s="16" cm="1">
        <f t="array" ref="AV37">INDEX(_xlfn.ANCHORARRAY(_xlfn.XLOOKUP($C37,'-ref_Distribution'!$B$146:$B$150,'-ref_Distribution'!$G$146:$G$150)),RIGHT(AV$1,2))</f>
        <v>20</v>
      </c>
      <c r="AW37" s="16" cm="1">
        <f t="array" ref="AW37">INDEX(_xlfn.ANCHORARRAY(_xlfn.XLOOKUP($C37,'-ref_Distribution'!$B$146:$B$150,'-ref_Distribution'!$G$146:$G$150)),RIGHT(AW$1,2))</f>
        <v>28</v>
      </c>
      <c r="AX37" s="16" cm="1">
        <f t="array" ref="AX37">INDEX(_xlfn.ANCHORARRAY(_xlfn.XLOOKUP($C37,'-ref_Distribution'!$B$146:$B$150,'-ref_Distribution'!$G$146:$G$150)),RIGHT(AX$1,2))</f>
        <v>38</v>
      </c>
      <c r="AY37" s="16" cm="1">
        <f t="array" ref="AY37">INDEX(_xlfn.ANCHORARRAY(_xlfn.XLOOKUP($C37,'-ref_Distribution'!$B$146:$B$150,'-ref_Distribution'!$G$146:$G$150)),RIGHT(AY$1,2))</f>
        <v>51</v>
      </c>
      <c r="AZ37" s="16" cm="1">
        <f t="array" ref="AZ37">INDEX(_xlfn.ANCHORARRAY(_xlfn.XLOOKUP($C37,'-ref_Distribution'!$B$146:$B$150,'-ref_Distribution'!$G$146:$G$150)),RIGHT(AZ$1,2))</f>
        <v>65</v>
      </c>
      <c r="BA37" s="16" cm="1">
        <f t="array" ref="BA37">INDEX(_xlfn.ANCHORARRAY(_xlfn.XLOOKUP($C37,'-ref_Distribution'!$B$146:$B$150,'-ref_Distribution'!$G$146:$G$150)),RIGHT(BA$1,2))</f>
        <v>80</v>
      </c>
      <c r="BB37" s="16" cm="1">
        <f t="array" ref="BB37">INDEX(_xlfn.ANCHORARRAY(_xlfn.XLOOKUP($C37,'-ref_Distribution'!$B$146:$B$150,'-ref_Distribution'!$G$146:$G$150)),RIGHT(BB$1,2))</f>
        <v>96</v>
      </c>
      <c r="BC37" s="16" cm="1">
        <f t="array" ref="BC37">INDEX(_xlfn.ANCHORARRAY(_xlfn.XLOOKUP($C37,'-ref_Distribution'!$B$146:$B$150,'-ref_Distribution'!$G$146:$G$150)),RIGHT(BC$1,2))</f>
        <v>111</v>
      </c>
      <c r="BD37" s="16" cm="1">
        <f t="array" ref="BD37">INDEX(_xlfn.ANCHORARRAY(_xlfn.XLOOKUP($C37,'-ref_Distribution'!$B$146:$B$150,'-ref_Distribution'!$G$146:$G$150)),RIGHT(BD$1,2))</f>
        <v>125</v>
      </c>
      <c r="BE37" s="16" cm="1">
        <f t="array" ref="BE37">INDEX(_xlfn.ANCHORARRAY(_xlfn.XLOOKUP($C37,'-ref_Distribution'!$B$146:$B$150,'-ref_Distribution'!$G$146:$G$150)),RIGHT(BE$1,2))</f>
        <v>135</v>
      </c>
      <c r="BF37" s="16" cm="1">
        <f t="array" ref="BF37">INDEX(_xlfn.ANCHORARRAY(_xlfn.XLOOKUP($C37,'-ref_Distribution'!$B$146:$B$150,'-ref_Distribution'!$G$146:$G$150)),RIGHT(BF$1,2))</f>
        <v>142</v>
      </c>
      <c r="BG37" s="16" cm="1">
        <f t="array" ref="BG37">INDEX(_xlfn.ANCHORARRAY(_xlfn.XLOOKUP($C37,'-ref_Distribution'!$B$146:$B$150,'-ref_Distribution'!$G$146:$G$150)),RIGHT(BG$1,2))</f>
        <v>144</v>
      </c>
      <c r="BH37" s="16" cm="1">
        <f t="array" ref="BH37">INDEX(_xlfn.ANCHORARRAY(_xlfn.XLOOKUP($C37,'-ref_Distribution'!$B$146:$B$150,'-ref_Distribution'!$G$146:$G$150)),RIGHT(BH$1,2))</f>
        <v>142</v>
      </c>
      <c r="BI37" s="16" cm="1">
        <f t="array" ref="BI37">INDEX(_xlfn.ANCHORARRAY(_xlfn.XLOOKUP($C37,'-ref_Distribution'!$B$146:$B$150,'-ref_Distribution'!$G$146:$G$150)),RIGHT(BI$1,2))</f>
        <v>135</v>
      </c>
      <c r="BJ37" s="16" cm="1">
        <f t="array" ref="BJ37">INDEX(_xlfn.ANCHORARRAY(_xlfn.XLOOKUP($C37,'-ref_Distribution'!$B$146:$B$150,'-ref_Distribution'!$G$146:$G$150)),RIGHT(BJ$1,2))</f>
        <v>125</v>
      </c>
      <c r="BK37" s="16" cm="1">
        <f t="array" ref="BK37">INDEX(_xlfn.ANCHORARRAY(_xlfn.XLOOKUP($C37,'-ref_Distribution'!$B$146:$B$150,'-ref_Distribution'!$G$146:$G$150)),RIGHT(BK$1,2))</f>
        <v>111</v>
      </c>
      <c r="BL37" s="16" cm="1">
        <f t="array" ref="BL37">INDEX(_xlfn.ANCHORARRAY(_xlfn.XLOOKUP($C37,'-ref_Distribution'!$B$146:$B$150,'-ref_Distribution'!$G$146:$G$150)),RIGHT(BL$1,2))</f>
        <v>4</v>
      </c>
      <c r="BM37" s="16" cm="1">
        <f t="array" ref="BM37">INDEX(_xlfn.ANCHORARRAY(_xlfn.XLOOKUP($C37,'-ref_Distribution'!$B$146:$B$150,'-ref_Distribution'!$G$146:$G$150)),RIGHT(BM$1,2))</f>
        <v>6</v>
      </c>
      <c r="BN37" s="16" cm="1">
        <f t="array" ref="BN37">INDEX(_xlfn.ANCHORARRAY(_xlfn.XLOOKUP($C37,'-ref_Distribution'!$B$146:$B$150,'-ref_Distribution'!$G$146:$G$150)),RIGHT(BN$1,2))</f>
        <v>9</v>
      </c>
      <c r="BO37" s="16" cm="1">
        <f t="array" ref="BO37">INDEX(_xlfn.ANCHORARRAY(_xlfn.XLOOKUP($C37,'-ref_Distribution'!$B$146:$B$150,'-ref_Distribution'!$G$146:$G$150)),RIGHT(BO$1,2))</f>
        <v>14</v>
      </c>
      <c r="BP37" s="16" cm="1">
        <f t="array" ref="BP37">INDEX(_xlfn.ANCHORARRAY(_xlfn.XLOOKUP($C37,'-ref_Distribution'!$B$146:$B$150,'-ref_Distribution'!$G$146:$G$150)),RIGHT(BP$1,2))</f>
        <v>20</v>
      </c>
      <c r="BQ37" s="16" cm="1">
        <f t="array" ref="BQ37">INDEX(_xlfn.ANCHORARRAY(_xlfn.XLOOKUP($C37,'-ref_Distribution'!$B$146:$B$150,'-ref_Distribution'!$G$146:$G$150)),RIGHT(BQ$1,2))</f>
        <v>28</v>
      </c>
      <c r="BR37" s="16" cm="1">
        <f t="array" ref="BR37">INDEX(_xlfn.ANCHORARRAY(_xlfn.XLOOKUP($C37,'-ref_Distribution'!$B$146:$B$150,'-ref_Distribution'!$G$146:$G$150)),RIGHT(BR$1,2))</f>
        <v>38</v>
      </c>
      <c r="BS37" s="16" cm="1">
        <f t="array" ref="BS37">INDEX(_xlfn.ANCHORARRAY(_xlfn.XLOOKUP($C37,'-ref_Distribution'!$B$146:$B$150,'-ref_Distribution'!$G$146:$G$150)),RIGHT(BS$1,2))</f>
        <v>51</v>
      </c>
      <c r="BT37" s="16" cm="1">
        <f t="array" ref="BT37">INDEX(_xlfn.ANCHORARRAY(_xlfn.XLOOKUP($C37,'-ref_Distribution'!$B$146:$B$150,'-ref_Distribution'!$G$146:$G$150)),RIGHT(BT$1,2))</f>
        <v>65</v>
      </c>
      <c r="BU37" s="16" cm="1">
        <f t="array" ref="BU37">INDEX(_xlfn.ANCHORARRAY(_xlfn.XLOOKUP($C37,'-ref_Distribution'!$B$146:$B$150,'-ref_Distribution'!$G$146:$G$150)),RIGHT(BU$1,2))</f>
        <v>80</v>
      </c>
      <c r="BV37" s="16" cm="1">
        <f t="array" ref="BV37">INDEX(_xlfn.ANCHORARRAY(_xlfn.XLOOKUP($C37,'-ref_Distribution'!$B$146:$B$150,'-ref_Distribution'!$G$146:$G$150)),RIGHT(BV$1,2))</f>
        <v>96</v>
      </c>
      <c r="BW37" s="16" cm="1">
        <f t="array" ref="BW37">INDEX(_xlfn.ANCHORARRAY(_xlfn.XLOOKUP($C37,'-ref_Distribution'!$B$146:$B$150,'-ref_Distribution'!$G$146:$G$150)),RIGHT(BW$1,2))</f>
        <v>111</v>
      </c>
      <c r="BX37" s="16" cm="1">
        <f t="array" ref="BX37">INDEX(_xlfn.ANCHORARRAY(_xlfn.XLOOKUP($C37,'-ref_Distribution'!$B$146:$B$150,'-ref_Distribution'!$G$146:$G$150)),RIGHT(BX$1,2))</f>
        <v>125</v>
      </c>
      <c r="BY37" s="16" cm="1">
        <f t="array" ref="BY37">INDEX(_xlfn.ANCHORARRAY(_xlfn.XLOOKUP($C37,'-ref_Distribution'!$B$146:$B$150,'-ref_Distribution'!$G$146:$G$150)),RIGHT(BY$1,2))</f>
        <v>135</v>
      </c>
      <c r="BZ37" s="16" cm="1">
        <f t="array" ref="BZ37">INDEX(_xlfn.ANCHORARRAY(_xlfn.XLOOKUP($C37,'-ref_Distribution'!$B$146:$B$150,'-ref_Distribution'!$G$146:$G$150)),RIGHT(BZ$1,2))</f>
        <v>142</v>
      </c>
      <c r="CA37" s="16" cm="1">
        <f t="array" ref="CA37">INDEX(_xlfn.ANCHORARRAY(_xlfn.XLOOKUP($C37,'-ref_Distribution'!$B$146:$B$150,'-ref_Distribution'!$G$146:$G$150)),RIGHT(CA$1,2))</f>
        <v>144</v>
      </c>
      <c r="CB37" s="16" cm="1">
        <f t="array" ref="CB37">INDEX(_xlfn.ANCHORARRAY(_xlfn.XLOOKUP($C37,'-ref_Distribution'!$B$146:$B$150,'-ref_Distribution'!$G$146:$G$150)),RIGHT(CB$1,2))</f>
        <v>142</v>
      </c>
      <c r="CC37" s="16" cm="1">
        <f t="array" ref="CC37">INDEX(_xlfn.ANCHORARRAY(_xlfn.XLOOKUP($C37,'-ref_Distribution'!$B$146:$B$150,'-ref_Distribution'!$G$146:$G$150)),RIGHT(CC$1,2))</f>
        <v>135</v>
      </c>
      <c r="CD37" s="16" cm="1">
        <f t="array" ref="CD37">INDEX(_xlfn.ANCHORARRAY(_xlfn.XLOOKUP($C37,'-ref_Distribution'!$B$146:$B$150,'-ref_Distribution'!$G$146:$G$150)),RIGHT(CD$1,2))</f>
        <v>125</v>
      </c>
      <c r="CE37" s="16" cm="1">
        <f t="array" ref="CE37">INDEX(_xlfn.ANCHORARRAY(_xlfn.XLOOKUP($C37,'-ref_Distribution'!$B$146:$B$150,'-ref_Distribution'!$G$146:$G$150)),RIGHT(CE$1,2))</f>
        <v>111</v>
      </c>
    </row>
    <row r="38" spans="1:83" x14ac:dyDescent="0.2">
      <c r="A38" s="16">
        <v>301051</v>
      </c>
      <c r="B38" s="16" t="s">
        <v>221</v>
      </c>
      <c r="C38" s="16">
        <v>0</v>
      </c>
      <c r="D38" s="16" cm="1">
        <f t="array" ref="D38">INDEX(_xlfn.ANCHORARRAY(_xlfn.XLOOKUP($C38,'-ref_Distribution'!$B$146:$B$150,'-ref_Distribution'!$G$146:$G$150)),RIGHT(D$1,2))</f>
        <v>709</v>
      </c>
      <c r="E38" s="16" cm="1">
        <f t="array" ref="E38">INDEX(_xlfn.ANCHORARRAY(_xlfn.XLOOKUP($C38,'-ref_Distribution'!$B$146:$B$150,'-ref_Distribution'!$G$146:$G$150)),RIGHT(E$1,2))</f>
        <v>705</v>
      </c>
      <c r="F38" s="16" cm="1">
        <f t="array" ref="F38">INDEX(_xlfn.ANCHORARRAY(_xlfn.XLOOKUP($C38,'-ref_Distribution'!$B$146:$B$150,'-ref_Distribution'!$G$146:$G$150)),RIGHT(F$1,2))</f>
        <v>692</v>
      </c>
      <c r="G38" s="16" cm="1">
        <f t="array" ref="G38">INDEX(_xlfn.ANCHORARRAY(_xlfn.XLOOKUP($C38,'-ref_Distribution'!$B$146:$B$150,'-ref_Distribution'!$G$146:$G$150)),RIGHT(G$1,2))</f>
        <v>671</v>
      </c>
      <c r="H38" s="16" cm="1">
        <f t="array" ref="H38">INDEX(_xlfn.ANCHORARRAY(_xlfn.XLOOKUP($C38,'-ref_Distribution'!$B$146:$B$150,'-ref_Distribution'!$G$146:$G$150)),RIGHT(H$1,2))</f>
        <v>643</v>
      </c>
      <c r="I38" s="16" cm="1">
        <f t="array" ref="I38">INDEX(_xlfn.ANCHORARRAY(_xlfn.XLOOKUP($C38,'-ref_Distribution'!$B$146:$B$150,'-ref_Distribution'!$G$146:$G$150)),RIGHT(I$1,2))</f>
        <v>608</v>
      </c>
      <c r="J38" s="16" cm="1">
        <f t="array" ref="J38">INDEX(_xlfn.ANCHORARRAY(_xlfn.XLOOKUP($C38,'-ref_Distribution'!$B$146:$B$150,'-ref_Distribution'!$G$146:$G$150)),RIGHT(J$1,2))</f>
        <v>568</v>
      </c>
      <c r="K38" s="16" cm="1">
        <f t="array" ref="K38">INDEX(_xlfn.ANCHORARRAY(_xlfn.XLOOKUP($C38,'-ref_Distribution'!$B$146:$B$150,'-ref_Distribution'!$G$146:$G$150)),RIGHT(K$1,2))</f>
        <v>524</v>
      </c>
      <c r="L38" s="16" cm="1">
        <f t="array" ref="L38">INDEX(_xlfn.ANCHORARRAY(_xlfn.XLOOKUP($C38,'-ref_Distribution'!$B$146:$B$150,'-ref_Distribution'!$G$146:$G$150)),RIGHT(L$1,2))</f>
        <v>478</v>
      </c>
      <c r="M38" s="16" cm="1">
        <f t="array" ref="M38">INDEX(_xlfn.ANCHORARRAY(_xlfn.XLOOKUP($C38,'-ref_Distribution'!$B$146:$B$150,'-ref_Distribution'!$G$146:$G$150)),RIGHT(M$1,2))</f>
        <v>430</v>
      </c>
      <c r="N38" s="16" cm="1">
        <f t="array" ref="N38">INDEX(_xlfn.ANCHORARRAY(_xlfn.XLOOKUP($C38,'-ref_Distribution'!$B$146:$B$150,'-ref_Distribution'!$G$146:$G$150)),RIGHT(N$1,2))</f>
        <v>383</v>
      </c>
      <c r="O38" s="16" cm="1">
        <f t="array" ref="O38">INDEX(_xlfn.ANCHORARRAY(_xlfn.XLOOKUP($C38,'-ref_Distribution'!$B$146:$B$150,'-ref_Distribution'!$G$146:$G$150)),RIGHT(O$1,2))</f>
        <v>336</v>
      </c>
      <c r="P38" s="16" cm="1">
        <f t="array" ref="P38">INDEX(_xlfn.ANCHORARRAY(_xlfn.XLOOKUP($C38,'-ref_Distribution'!$B$146:$B$150,'-ref_Distribution'!$G$146:$G$150)),RIGHT(P$1,2))</f>
        <v>292</v>
      </c>
      <c r="Q38" s="16" cm="1">
        <f t="array" ref="Q38">INDEX(_xlfn.ANCHORARRAY(_xlfn.XLOOKUP($C38,'-ref_Distribution'!$B$146:$B$150,'-ref_Distribution'!$G$146:$G$150)),RIGHT(Q$1,2))</f>
        <v>250</v>
      </c>
      <c r="R38" s="16" cm="1">
        <f t="array" ref="R38">INDEX(_xlfn.ANCHORARRAY(_xlfn.XLOOKUP($C38,'-ref_Distribution'!$B$146:$B$150,'-ref_Distribution'!$G$146:$G$150)),RIGHT(R$1,2))</f>
        <v>212</v>
      </c>
      <c r="S38" s="16" cm="1">
        <f t="array" ref="S38">INDEX(_xlfn.ANCHORARRAY(_xlfn.XLOOKUP($C38,'-ref_Distribution'!$B$146:$B$150,'-ref_Distribution'!$G$146:$G$150)),RIGHT(S$1,2))</f>
        <v>177</v>
      </c>
      <c r="T38" s="16" cm="1">
        <f t="array" ref="T38">INDEX(_xlfn.ANCHORARRAY(_xlfn.XLOOKUP($C38,'-ref_Distribution'!$B$146:$B$150,'-ref_Distribution'!$G$146:$G$150)),RIGHT(T$1,2))</f>
        <v>146</v>
      </c>
      <c r="U38" s="16" cm="1">
        <f t="array" ref="U38">INDEX(_xlfn.ANCHORARRAY(_xlfn.XLOOKUP($C38,'-ref_Distribution'!$B$146:$B$150,'-ref_Distribution'!$G$146:$G$150)),RIGHT(U$1,2))</f>
        <v>119</v>
      </c>
      <c r="V38" s="16" cm="1">
        <f t="array" ref="V38">INDEX(_xlfn.ANCHORARRAY(_xlfn.XLOOKUP($C38,'-ref_Distribution'!$B$146:$B$150,'-ref_Distribution'!$G$146:$G$150)),RIGHT(V$1,2))</f>
        <v>96</v>
      </c>
      <c r="W38" s="16" cm="1">
        <f t="array" ref="W38">INDEX(_xlfn.ANCHORARRAY(_xlfn.XLOOKUP($C38,'-ref_Distribution'!$B$146:$B$150,'-ref_Distribution'!$G$146:$G$150)),RIGHT(W$1,2))</f>
        <v>76</v>
      </c>
      <c r="X38" s="16" cm="1">
        <f t="array" ref="X38">INDEX(_xlfn.ANCHORARRAY(_xlfn.XLOOKUP($C38,'-ref_Distribution'!$B$146:$B$150,'-ref_Distribution'!$G$146:$G$150)),RIGHT(X$1,2))</f>
        <v>709</v>
      </c>
      <c r="Y38" s="16" cm="1">
        <f t="array" ref="Y38">INDEX(_xlfn.ANCHORARRAY(_xlfn.XLOOKUP($C38,'-ref_Distribution'!$B$146:$B$150,'-ref_Distribution'!$G$146:$G$150)),RIGHT(Y$1,2))</f>
        <v>705</v>
      </c>
      <c r="Z38" s="16" cm="1">
        <f t="array" ref="Z38">INDEX(_xlfn.ANCHORARRAY(_xlfn.XLOOKUP($C38,'-ref_Distribution'!$B$146:$B$150,'-ref_Distribution'!$G$146:$G$150)),RIGHT(Z$1,2))</f>
        <v>692</v>
      </c>
      <c r="AA38" s="16" cm="1">
        <f t="array" ref="AA38">INDEX(_xlfn.ANCHORARRAY(_xlfn.XLOOKUP($C38,'-ref_Distribution'!$B$146:$B$150,'-ref_Distribution'!$G$146:$G$150)),RIGHT(AA$1,2))</f>
        <v>671</v>
      </c>
      <c r="AB38" s="16" cm="1">
        <f t="array" ref="AB38">INDEX(_xlfn.ANCHORARRAY(_xlfn.XLOOKUP($C38,'-ref_Distribution'!$B$146:$B$150,'-ref_Distribution'!$G$146:$G$150)),RIGHT(AB$1,2))</f>
        <v>643</v>
      </c>
      <c r="AC38" s="16" cm="1">
        <f t="array" ref="AC38">INDEX(_xlfn.ANCHORARRAY(_xlfn.XLOOKUP($C38,'-ref_Distribution'!$B$146:$B$150,'-ref_Distribution'!$G$146:$G$150)),RIGHT(AC$1,2))</f>
        <v>608</v>
      </c>
      <c r="AD38" s="16" cm="1">
        <f t="array" ref="AD38">INDEX(_xlfn.ANCHORARRAY(_xlfn.XLOOKUP($C38,'-ref_Distribution'!$B$146:$B$150,'-ref_Distribution'!$G$146:$G$150)),RIGHT(AD$1,2))</f>
        <v>568</v>
      </c>
      <c r="AE38" s="16" cm="1">
        <f t="array" ref="AE38">INDEX(_xlfn.ANCHORARRAY(_xlfn.XLOOKUP($C38,'-ref_Distribution'!$B$146:$B$150,'-ref_Distribution'!$G$146:$G$150)),RIGHT(AE$1,2))</f>
        <v>524</v>
      </c>
      <c r="AF38" s="16" cm="1">
        <f t="array" ref="AF38">INDEX(_xlfn.ANCHORARRAY(_xlfn.XLOOKUP($C38,'-ref_Distribution'!$B$146:$B$150,'-ref_Distribution'!$G$146:$G$150)),RIGHT(AF$1,2))</f>
        <v>478</v>
      </c>
      <c r="AG38" s="16" cm="1">
        <f t="array" ref="AG38">INDEX(_xlfn.ANCHORARRAY(_xlfn.XLOOKUP($C38,'-ref_Distribution'!$B$146:$B$150,'-ref_Distribution'!$G$146:$G$150)),RIGHT(AG$1,2))</f>
        <v>430</v>
      </c>
      <c r="AH38" s="16" cm="1">
        <f t="array" ref="AH38">INDEX(_xlfn.ANCHORARRAY(_xlfn.XLOOKUP($C38,'-ref_Distribution'!$B$146:$B$150,'-ref_Distribution'!$G$146:$G$150)),RIGHT(AH$1,2))</f>
        <v>383</v>
      </c>
      <c r="AI38" s="16" cm="1">
        <f t="array" ref="AI38">INDEX(_xlfn.ANCHORARRAY(_xlfn.XLOOKUP($C38,'-ref_Distribution'!$B$146:$B$150,'-ref_Distribution'!$G$146:$G$150)),RIGHT(AI$1,2))</f>
        <v>336</v>
      </c>
      <c r="AJ38" s="16" cm="1">
        <f t="array" ref="AJ38">INDEX(_xlfn.ANCHORARRAY(_xlfn.XLOOKUP($C38,'-ref_Distribution'!$B$146:$B$150,'-ref_Distribution'!$G$146:$G$150)),RIGHT(AJ$1,2))</f>
        <v>292</v>
      </c>
      <c r="AK38" s="16" cm="1">
        <f t="array" ref="AK38">INDEX(_xlfn.ANCHORARRAY(_xlfn.XLOOKUP($C38,'-ref_Distribution'!$B$146:$B$150,'-ref_Distribution'!$G$146:$G$150)),RIGHT(AK$1,2))</f>
        <v>250</v>
      </c>
      <c r="AL38" s="16" cm="1">
        <f t="array" ref="AL38">INDEX(_xlfn.ANCHORARRAY(_xlfn.XLOOKUP($C38,'-ref_Distribution'!$B$146:$B$150,'-ref_Distribution'!$G$146:$G$150)),RIGHT(AL$1,2))</f>
        <v>212</v>
      </c>
      <c r="AM38" s="16" cm="1">
        <f t="array" ref="AM38">INDEX(_xlfn.ANCHORARRAY(_xlfn.XLOOKUP($C38,'-ref_Distribution'!$B$146:$B$150,'-ref_Distribution'!$G$146:$G$150)),RIGHT(AM$1,2))</f>
        <v>177</v>
      </c>
      <c r="AN38" s="16" cm="1">
        <f t="array" ref="AN38">INDEX(_xlfn.ANCHORARRAY(_xlfn.XLOOKUP($C38,'-ref_Distribution'!$B$146:$B$150,'-ref_Distribution'!$G$146:$G$150)),RIGHT(AN$1,2))</f>
        <v>146</v>
      </c>
      <c r="AO38" s="16" cm="1">
        <f t="array" ref="AO38">INDEX(_xlfn.ANCHORARRAY(_xlfn.XLOOKUP($C38,'-ref_Distribution'!$B$146:$B$150,'-ref_Distribution'!$G$146:$G$150)),RIGHT(AO$1,2))</f>
        <v>119</v>
      </c>
      <c r="AP38" s="16" cm="1">
        <f t="array" ref="AP38">INDEX(_xlfn.ANCHORARRAY(_xlfn.XLOOKUP($C38,'-ref_Distribution'!$B$146:$B$150,'-ref_Distribution'!$G$146:$G$150)),RIGHT(AP$1,2))</f>
        <v>96</v>
      </c>
      <c r="AQ38" s="16" cm="1">
        <f t="array" ref="AQ38">INDEX(_xlfn.ANCHORARRAY(_xlfn.XLOOKUP($C38,'-ref_Distribution'!$B$146:$B$150,'-ref_Distribution'!$G$146:$G$150)),RIGHT(AQ$1,2))</f>
        <v>76</v>
      </c>
      <c r="AR38" s="16" cm="1">
        <f t="array" ref="AR38">INDEX(_xlfn.ANCHORARRAY(_xlfn.XLOOKUP($C38,'-ref_Distribution'!$B$146:$B$150,'-ref_Distribution'!$G$146:$G$150)),RIGHT(AR$1,2))</f>
        <v>709</v>
      </c>
      <c r="AS38" s="16" cm="1">
        <f t="array" ref="AS38">INDEX(_xlfn.ANCHORARRAY(_xlfn.XLOOKUP($C38,'-ref_Distribution'!$B$146:$B$150,'-ref_Distribution'!$G$146:$G$150)),RIGHT(AS$1,2))</f>
        <v>705</v>
      </c>
      <c r="AT38" s="16" cm="1">
        <f t="array" ref="AT38">INDEX(_xlfn.ANCHORARRAY(_xlfn.XLOOKUP($C38,'-ref_Distribution'!$B$146:$B$150,'-ref_Distribution'!$G$146:$G$150)),RIGHT(AT$1,2))</f>
        <v>692</v>
      </c>
      <c r="AU38" s="16" cm="1">
        <f t="array" ref="AU38">INDEX(_xlfn.ANCHORARRAY(_xlfn.XLOOKUP($C38,'-ref_Distribution'!$B$146:$B$150,'-ref_Distribution'!$G$146:$G$150)),RIGHT(AU$1,2))</f>
        <v>671</v>
      </c>
      <c r="AV38" s="16" cm="1">
        <f t="array" ref="AV38">INDEX(_xlfn.ANCHORARRAY(_xlfn.XLOOKUP($C38,'-ref_Distribution'!$B$146:$B$150,'-ref_Distribution'!$G$146:$G$150)),RIGHT(AV$1,2))</f>
        <v>643</v>
      </c>
      <c r="AW38" s="16" cm="1">
        <f t="array" ref="AW38">INDEX(_xlfn.ANCHORARRAY(_xlfn.XLOOKUP($C38,'-ref_Distribution'!$B$146:$B$150,'-ref_Distribution'!$G$146:$G$150)),RIGHT(AW$1,2))</f>
        <v>608</v>
      </c>
      <c r="AX38" s="16" cm="1">
        <f t="array" ref="AX38">INDEX(_xlfn.ANCHORARRAY(_xlfn.XLOOKUP($C38,'-ref_Distribution'!$B$146:$B$150,'-ref_Distribution'!$G$146:$G$150)),RIGHT(AX$1,2))</f>
        <v>568</v>
      </c>
      <c r="AY38" s="16" cm="1">
        <f t="array" ref="AY38">INDEX(_xlfn.ANCHORARRAY(_xlfn.XLOOKUP($C38,'-ref_Distribution'!$B$146:$B$150,'-ref_Distribution'!$G$146:$G$150)),RIGHT(AY$1,2))</f>
        <v>524</v>
      </c>
      <c r="AZ38" s="16" cm="1">
        <f t="array" ref="AZ38">INDEX(_xlfn.ANCHORARRAY(_xlfn.XLOOKUP($C38,'-ref_Distribution'!$B$146:$B$150,'-ref_Distribution'!$G$146:$G$150)),RIGHT(AZ$1,2))</f>
        <v>478</v>
      </c>
      <c r="BA38" s="16" cm="1">
        <f t="array" ref="BA38">INDEX(_xlfn.ANCHORARRAY(_xlfn.XLOOKUP($C38,'-ref_Distribution'!$B$146:$B$150,'-ref_Distribution'!$G$146:$G$150)),RIGHT(BA$1,2))</f>
        <v>430</v>
      </c>
      <c r="BB38" s="16" cm="1">
        <f t="array" ref="BB38">INDEX(_xlfn.ANCHORARRAY(_xlfn.XLOOKUP($C38,'-ref_Distribution'!$B$146:$B$150,'-ref_Distribution'!$G$146:$G$150)),RIGHT(BB$1,2))</f>
        <v>383</v>
      </c>
      <c r="BC38" s="16" cm="1">
        <f t="array" ref="BC38">INDEX(_xlfn.ANCHORARRAY(_xlfn.XLOOKUP($C38,'-ref_Distribution'!$B$146:$B$150,'-ref_Distribution'!$G$146:$G$150)),RIGHT(BC$1,2))</f>
        <v>336</v>
      </c>
      <c r="BD38" s="16" cm="1">
        <f t="array" ref="BD38">INDEX(_xlfn.ANCHORARRAY(_xlfn.XLOOKUP($C38,'-ref_Distribution'!$B$146:$B$150,'-ref_Distribution'!$G$146:$G$150)),RIGHT(BD$1,2))</f>
        <v>292</v>
      </c>
      <c r="BE38" s="16" cm="1">
        <f t="array" ref="BE38">INDEX(_xlfn.ANCHORARRAY(_xlfn.XLOOKUP($C38,'-ref_Distribution'!$B$146:$B$150,'-ref_Distribution'!$G$146:$G$150)),RIGHT(BE$1,2))</f>
        <v>250</v>
      </c>
      <c r="BF38" s="16" cm="1">
        <f t="array" ref="BF38">INDEX(_xlfn.ANCHORARRAY(_xlfn.XLOOKUP($C38,'-ref_Distribution'!$B$146:$B$150,'-ref_Distribution'!$G$146:$G$150)),RIGHT(BF$1,2))</f>
        <v>212</v>
      </c>
      <c r="BG38" s="16" cm="1">
        <f t="array" ref="BG38">INDEX(_xlfn.ANCHORARRAY(_xlfn.XLOOKUP($C38,'-ref_Distribution'!$B$146:$B$150,'-ref_Distribution'!$G$146:$G$150)),RIGHT(BG$1,2))</f>
        <v>177</v>
      </c>
      <c r="BH38" s="16" cm="1">
        <f t="array" ref="BH38">INDEX(_xlfn.ANCHORARRAY(_xlfn.XLOOKUP($C38,'-ref_Distribution'!$B$146:$B$150,'-ref_Distribution'!$G$146:$G$150)),RIGHT(BH$1,2))</f>
        <v>146</v>
      </c>
      <c r="BI38" s="16" cm="1">
        <f t="array" ref="BI38">INDEX(_xlfn.ANCHORARRAY(_xlfn.XLOOKUP($C38,'-ref_Distribution'!$B$146:$B$150,'-ref_Distribution'!$G$146:$G$150)),RIGHT(BI$1,2))</f>
        <v>119</v>
      </c>
      <c r="BJ38" s="16" cm="1">
        <f t="array" ref="BJ38">INDEX(_xlfn.ANCHORARRAY(_xlfn.XLOOKUP($C38,'-ref_Distribution'!$B$146:$B$150,'-ref_Distribution'!$G$146:$G$150)),RIGHT(BJ$1,2))</f>
        <v>96</v>
      </c>
      <c r="BK38" s="16" cm="1">
        <f t="array" ref="BK38">INDEX(_xlfn.ANCHORARRAY(_xlfn.XLOOKUP($C38,'-ref_Distribution'!$B$146:$B$150,'-ref_Distribution'!$G$146:$G$150)),RIGHT(BK$1,2))</f>
        <v>76</v>
      </c>
      <c r="BL38" s="16" cm="1">
        <f t="array" ref="BL38">INDEX(_xlfn.ANCHORARRAY(_xlfn.XLOOKUP($C38,'-ref_Distribution'!$B$146:$B$150,'-ref_Distribution'!$G$146:$G$150)),RIGHT(BL$1,2))</f>
        <v>709</v>
      </c>
      <c r="BM38" s="16" cm="1">
        <f t="array" ref="BM38">INDEX(_xlfn.ANCHORARRAY(_xlfn.XLOOKUP($C38,'-ref_Distribution'!$B$146:$B$150,'-ref_Distribution'!$G$146:$G$150)),RIGHT(BM$1,2))</f>
        <v>705</v>
      </c>
      <c r="BN38" s="16" cm="1">
        <f t="array" ref="BN38">INDEX(_xlfn.ANCHORARRAY(_xlfn.XLOOKUP($C38,'-ref_Distribution'!$B$146:$B$150,'-ref_Distribution'!$G$146:$G$150)),RIGHT(BN$1,2))</f>
        <v>692</v>
      </c>
      <c r="BO38" s="16" cm="1">
        <f t="array" ref="BO38">INDEX(_xlfn.ANCHORARRAY(_xlfn.XLOOKUP($C38,'-ref_Distribution'!$B$146:$B$150,'-ref_Distribution'!$G$146:$G$150)),RIGHT(BO$1,2))</f>
        <v>671</v>
      </c>
      <c r="BP38" s="16" cm="1">
        <f t="array" ref="BP38">INDEX(_xlfn.ANCHORARRAY(_xlfn.XLOOKUP($C38,'-ref_Distribution'!$B$146:$B$150,'-ref_Distribution'!$G$146:$G$150)),RIGHT(BP$1,2))</f>
        <v>643</v>
      </c>
      <c r="BQ38" s="16" cm="1">
        <f t="array" ref="BQ38">INDEX(_xlfn.ANCHORARRAY(_xlfn.XLOOKUP($C38,'-ref_Distribution'!$B$146:$B$150,'-ref_Distribution'!$G$146:$G$150)),RIGHT(BQ$1,2))</f>
        <v>608</v>
      </c>
      <c r="BR38" s="16" cm="1">
        <f t="array" ref="BR38">INDEX(_xlfn.ANCHORARRAY(_xlfn.XLOOKUP($C38,'-ref_Distribution'!$B$146:$B$150,'-ref_Distribution'!$G$146:$G$150)),RIGHT(BR$1,2))</f>
        <v>568</v>
      </c>
      <c r="BS38" s="16" cm="1">
        <f t="array" ref="BS38">INDEX(_xlfn.ANCHORARRAY(_xlfn.XLOOKUP($C38,'-ref_Distribution'!$B$146:$B$150,'-ref_Distribution'!$G$146:$G$150)),RIGHT(BS$1,2))</f>
        <v>524</v>
      </c>
      <c r="BT38" s="16" cm="1">
        <f t="array" ref="BT38">INDEX(_xlfn.ANCHORARRAY(_xlfn.XLOOKUP($C38,'-ref_Distribution'!$B$146:$B$150,'-ref_Distribution'!$G$146:$G$150)),RIGHT(BT$1,2))</f>
        <v>478</v>
      </c>
      <c r="BU38" s="16" cm="1">
        <f t="array" ref="BU38">INDEX(_xlfn.ANCHORARRAY(_xlfn.XLOOKUP($C38,'-ref_Distribution'!$B$146:$B$150,'-ref_Distribution'!$G$146:$G$150)),RIGHT(BU$1,2))</f>
        <v>430</v>
      </c>
      <c r="BV38" s="16" cm="1">
        <f t="array" ref="BV38">INDEX(_xlfn.ANCHORARRAY(_xlfn.XLOOKUP($C38,'-ref_Distribution'!$B$146:$B$150,'-ref_Distribution'!$G$146:$G$150)),RIGHT(BV$1,2))</f>
        <v>383</v>
      </c>
      <c r="BW38" s="16" cm="1">
        <f t="array" ref="BW38">INDEX(_xlfn.ANCHORARRAY(_xlfn.XLOOKUP($C38,'-ref_Distribution'!$B$146:$B$150,'-ref_Distribution'!$G$146:$G$150)),RIGHT(BW$1,2))</f>
        <v>336</v>
      </c>
      <c r="BX38" s="16" cm="1">
        <f t="array" ref="BX38">INDEX(_xlfn.ANCHORARRAY(_xlfn.XLOOKUP($C38,'-ref_Distribution'!$B$146:$B$150,'-ref_Distribution'!$G$146:$G$150)),RIGHT(BX$1,2))</f>
        <v>292</v>
      </c>
      <c r="BY38" s="16" cm="1">
        <f t="array" ref="BY38">INDEX(_xlfn.ANCHORARRAY(_xlfn.XLOOKUP($C38,'-ref_Distribution'!$B$146:$B$150,'-ref_Distribution'!$G$146:$G$150)),RIGHT(BY$1,2))</f>
        <v>250</v>
      </c>
      <c r="BZ38" s="16" cm="1">
        <f t="array" ref="BZ38">INDEX(_xlfn.ANCHORARRAY(_xlfn.XLOOKUP($C38,'-ref_Distribution'!$B$146:$B$150,'-ref_Distribution'!$G$146:$G$150)),RIGHT(BZ$1,2))</f>
        <v>212</v>
      </c>
      <c r="CA38" s="16" cm="1">
        <f t="array" ref="CA38">INDEX(_xlfn.ANCHORARRAY(_xlfn.XLOOKUP($C38,'-ref_Distribution'!$B$146:$B$150,'-ref_Distribution'!$G$146:$G$150)),RIGHT(CA$1,2))</f>
        <v>177</v>
      </c>
      <c r="CB38" s="16" cm="1">
        <f t="array" ref="CB38">INDEX(_xlfn.ANCHORARRAY(_xlfn.XLOOKUP($C38,'-ref_Distribution'!$B$146:$B$150,'-ref_Distribution'!$G$146:$G$150)),RIGHT(CB$1,2))</f>
        <v>146</v>
      </c>
      <c r="CC38" s="16" cm="1">
        <f t="array" ref="CC38">INDEX(_xlfn.ANCHORARRAY(_xlfn.XLOOKUP($C38,'-ref_Distribution'!$B$146:$B$150,'-ref_Distribution'!$G$146:$G$150)),RIGHT(CC$1,2))</f>
        <v>119</v>
      </c>
      <c r="CD38" s="16" cm="1">
        <f t="array" ref="CD38">INDEX(_xlfn.ANCHORARRAY(_xlfn.XLOOKUP($C38,'-ref_Distribution'!$B$146:$B$150,'-ref_Distribution'!$G$146:$G$150)),RIGHT(CD$1,2))</f>
        <v>96</v>
      </c>
      <c r="CE38" s="16" cm="1">
        <f t="array" ref="CE38">INDEX(_xlfn.ANCHORARRAY(_xlfn.XLOOKUP($C38,'-ref_Distribution'!$B$146:$B$150,'-ref_Distribution'!$G$146:$G$150)),RIGHT(CE$1,2))</f>
        <v>76</v>
      </c>
    </row>
    <row r="39" spans="1:83" x14ac:dyDescent="0.2">
      <c r="A39" s="16">
        <v>301052</v>
      </c>
      <c r="B39" s="16" t="s">
        <v>221</v>
      </c>
      <c r="C39" s="16">
        <v>1</v>
      </c>
      <c r="D39" s="16" cm="1">
        <f t="array" ref="D39">INDEX(_xlfn.ANCHORARRAY(_xlfn.XLOOKUP($C39,'-ref_Distribution'!$B$146:$B$150,'-ref_Distribution'!$G$146:$G$150)),RIGHT(D$1,2))</f>
        <v>337</v>
      </c>
      <c r="E39" s="16" cm="1">
        <f t="array" ref="E39">INDEX(_xlfn.ANCHORARRAY(_xlfn.XLOOKUP($C39,'-ref_Distribution'!$B$146:$B$150,'-ref_Distribution'!$G$146:$G$150)),RIGHT(E$1,2))</f>
        <v>364</v>
      </c>
      <c r="F39" s="16" cm="1">
        <f t="array" ref="F39">INDEX(_xlfn.ANCHORARRAY(_xlfn.XLOOKUP($C39,'-ref_Distribution'!$B$146:$B$150,'-ref_Distribution'!$G$146:$G$150)),RIGHT(F$1,2))</f>
        <v>386</v>
      </c>
      <c r="G39" s="16" cm="1">
        <f t="array" ref="G39">INDEX(_xlfn.ANCHORARRAY(_xlfn.XLOOKUP($C39,'-ref_Distribution'!$B$146:$B$150,'-ref_Distribution'!$G$146:$G$150)),RIGHT(G$1,2))</f>
        <v>403</v>
      </c>
      <c r="H39" s="16" cm="1">
        <f t="array" ref="H39">INDEX(_xlfn.ANCHORARRAY(_xlfn.XLOOKUP($C39,'-ref_Distribution'!$B$146:$B$150,'-ref_Distribution'!$G$146:$G$150)),RIGHT(H$1,2))</f>
        <v>414</v>
      </c>
      <c r="I39" s="16" cm="1">
        <f t="array" ref="I39">INDEX(_xlfn.ANCHORARRAY(_xlfn.XLOOKUP($C39,'-ref_Distribution'!$B$146:$B$150,'-ref_Distribution'!$G$146:$G$150)),RIGHT(I$1,2))</f>
        <v>417</v>
      </c>
      <c r="J39" s="16" cm="1">
        <f t="array" ref="J39">INDEX(_xlfn.ANCHORARRAY(_xlfn.XLOOKUP($C39,'-ref_Distribution'!$B$146:$B$150,'-ref_Distribution'!$G$146:$G$150)),RIGHT(J$1,2))</f>
        <v>414</v>
      </c>
      <c r="K39" s="16" cm="1">
        <f t="array" ref="K39">INDEX(_xlfn.ANCHORARRAY(_xlfn.XLOOKUP($C39,'-ref_Distribution'!$B$146:$B$150,'-ref_Distribution'!$G$146:$G$150)),RIGHT(K$1,2))</f>
        <v>403</v>
      </c>
      <c r="L39" s="16" cm="1">
        <f t="array" ref="L39">INDEX(_xlfn.ANCHORARRAY(_xlfn.XLOOKUP($C39,'-ref_Distribution'!$B$146:$B$150,'-ref_Distribution'!$G$146:$G$150)),RIGHT(L$1,2))</f>
        <v>386</v>
      </c>
      <c r="M39" s="16" cm="1">
        <f t="array" ref="M39">INDEX(_xlfn.ANCHORARRAY(_xlfn.XLOOKUP($C39,'-ref_Distribution'!$B$146:$B$150,'-ref_Distribution'!$G$146:$G$150)),RIGHT(M$1,2))</f>
        <v>364</v>
      </c>
      <c r="N39" s="16" cm="1">
        <f t="array" ref="N39">INDEX(_xlfn.ANCHORARRAY(_xlfn.XLOOKUP($C39,'-ref_Distribution'!$B$146:$B$150,'-ref_Distribution'!$G$146:$G$150)),RIGHT(N$1,2))</f>
        <v>337</v>
      </c>
      <c r="O39" s="16" cm="1">
        <f t="array" ref="O39">INDEX(_xlfn.ANCHORARRAY(_xlfn.XLOOKUP($C39,'-ref_Distribution'!$B$146:$B$150,'-ref_Distribution'!$G$146:$G$150)),RIGHT(O$1,2))</f>
        <v>307</v>
      </c>
      <c r="P39" s="16" cm="1">
        <f t="array" ref="P39">INDEX(_xlfn.ANCHORARRAY(_xlfn.XLOOKUP($C39,'-ref_Distribution'!$B$146:$B$150,'-ref_Distribution'!$G$146:$G$150)),RIGHT(P$1,2))</f>
        <v>274</v>
      </c>
      <c r="Q39" s="16" cm="1">
        <f t="array" ref="Q39">INDEX(_xlfn.ANCHORARRAY(_xlfn.XLOOKUP($C39,'-ref_Distribution'!$B$146:$B$150,'-ref_Distribution'!$G$146:$G$150)),RIGHT(Q$1,2))</f>
        <v>241</v>
      </c>
      <c r="R39" s="16" cm="1">
        <f t="array" ref="R39">INDEX(_xlfn.ANCHORARRAY(_xlfn.XLOOKUP($C39,'-ref_Distribution'!$B$146:$B$150,'-ref_Distribution'!$G$146:$G$150)),RIGHT(R$1,2))</f>
        <v>209</v>
      </c>
      <c r="S39" s="16" cm="1">
        <f t="array" ref="S39">INDEX(_xlfn.ANCHORARRAY(_xlfn.XLOOKUP($C39,'-ref_Distribution'!$B$146:$B$150,'-ref_Distribution'!$G$146:$G$150)),RIGHT(S$1,2))</f>
        <v>178</v>
      </c>
      <c r="T39" s="16" cm="1">
        <f t="array" ref="T39">INDEX(_xlfn.ANCHORARRAY(_xlfn.XLOOKUP($C39,'-ref_Distribution'!$B$146:$B$150,'-ref_Distribution'!$G$146:$G$150)),RIGHT(T$1,2))</f>
        <v>148</v>
      </c>
      <c r="U39" s="16" cm="1">
        <f t="array" ref="U39">INDEX(_xlfn.ANCHORARRAY(_xlfn.XLOOKUP($C39,'-ref_Distribution'!$B$146:$B$150,'-ref_Distribution'!$G$146:$G$150)),RIGHT(U$1,2))</f>
        <v>122</v>
      </c>
      <c r="V39" s="16" cm="1">
        <f t="array" ref="V39">INDEX(_xlfn.ANCHORARRAY(_xlfn.XLOOKUP($C39,'-ref_Distribution'!$B$146:$B$150,'-ref_Distribution'!$G$146:$G$150)),RIGHT(V$1,2))</f>
        <v>98</v>
      </c>
      <c r="W39" s="16" cm="1">
        <f t="array" ref="W39">INDEX(_xlfn.ANCHORARRAY(_xlfn.XLOOKUP($C39,'-ref_Distribution'!$B$146:$B$150,'-ref_Distribution'!$G$146:$G$150)),RIGHT(W$1,2))</f>
        <v>78</v>
      </c>
      <c r="X39" s="16" cm="1">
        <f t="array" ref="X39">INDEX(_xlfn.ANCHORARRAY(_xlfn.XLOOKUP($C39,'-ref_Distribution'!$B$146:$B$150,'-ref_Distribution'!$G$146:$G$150)),RIGHT(X$1,2))</f>
        <v>337</v>
      </c>
      <c r="Y39" s="16" cm="1">
        <f t="array" ref="Y39">INDEX(_xlfn.ANCHORARRAY(_xlfn.XLOOKUP($C39,'-ref_Distribution'!$B$146:$B$150,'-ref_Distribution'!$G$146:$G$150)),RIGHT(Y$1,2))</f>
        <v>364</v>
      </c>
      <c r="Z39" s="16" cm="1">
        <f t="array" ref="Z39">INDEX(_xlfn.ANCHORARRAY(_xlfn.XLOOKUP($C39,'-ref_Distribution'!$B$146:$B$150,'-ref_Distribution'!$G$146:$G$150)),RIGHT(Z$1,2))</f>
        <v>386</v>
      </c>
      <c r="AA39" s="16" cm="1">
        <f t="array" ref="AA39">INDEX(_xlfn.ANCHORARRAY(_xlfn.XLOOKUP($C39,'-ref_Distribution'!$B$146:$B$150,'-ref_Distribution'!$G$146:$G$150)),RIGHT(AA$1,2))</f>
        <v>403</v>
      </c>
      <c r="AB39" s="16" cm="1">
        <f t="array" ref="AB39">INDEX(_xlfn.ANCHORARRAY(_xlfn.XLOOKUP($C39,'-ref_Distribution'!$B$146:$B$150,'-ref_Distribution'!$G$146:$G$150)),RIGHT(AB$1,2))</f>
        <v>414</v>
      </c>
      <c r="AC39" s="16" cm="1">
        <f t="array" ref="AC39">INDEX(_xlfn.ANCHORARRAY(_xlfn.XLOOKUP($C39,'-ref_Distribution'!$B$146:$B$150,'-ref_Distribution'!$G$146:$G$150)),RIGHT(AC$1,2))</f>
        <v>417</v>
      </c>
      <c r="AD39" s="16" cm="1">
        <f t="array" ref="AD39">INDEX(_xlfn.ANCHORARRAY(_xlfn.XLOOKUP($C39,'-ref_Distribution'!$B$146:$B$150,'-ref_Distribution'!$G$146:$G$150)),RIGHT(AD$1,2))</f>
        <v>414</v>
      </c>
      <c r="AE39" s="16" cm="1">
        <f t="array" ref="AE39">INDEX(_xlfn.ANCHORARRAY(_xlfn.XLOOKUP($C39,'-ref_Distribution'!$B$146:$B$150,'-ref_Distribution'!$G$146:$G$150)),RIGHT(AE$1,2))</f>
        <v>403</v>
      </c>
      <c r="AF39" s="16" cm="1">
        <f t="array" ref="AF39">INDEX(_xlfn.ANCHORARRAY(_xlfn.XLOOKUP($C39,'-ref_Distribution'!$B$146:$B$150,'-ref_Distribution'!$G$146:$G$150)),RIGHT(AF$1,2))</f>
        <v>386</v>
      </c>
      <c r="AG39" s="16" cm="1">
        <f t="array" ref="AG39">INDEX(_xlfn.ANCHORARRAY(_xlfn.XLOOKUP($C39,'-ref_Distribution'!$B$146:$B$150,'-ref_Distribution'!$G$146:$G$150)),RIGHT(AG$1,2))</f>
        <v>364</v>
      </c>
      <c r="AH39" s="16" cm="1">
        <f t="array" ref="AH39">INDEX(_xlfn.ANCHORARRAY(_xlfn.XLOOKUP($C39,'-ref_Distribution'!$B$146:$B$150,'-ref_Distribution'!$G$146:$G$150)),RIGHT(AH$1,2))</f>
        <v>337</v>
      </c>
      <c r="AI39" s="16" cm="1">
        <f t="array" ref="AI39">INDEX(_xlfn.ANCHORARRAY(_xlfn.XLOOKUP($C39,'-ref_Distribution'!$B$146:$B$150,'-ref_Distribution'!$G$146:$G$150)),RIGHT(AI$1,2))</f>
        <v>307</v>
      </c>
      <c r="AJ39" s="16" cm="1">
        <f t="array" ref="AJ39">INDEX(_xlfn.ANCHORARRAY(_xlfn.XLOOKUP($C39,'-ref_Distribution'!$B$146:$B$150,'-ref_Distribution'!$G$146:$G$150)),RIGHT(AJ$1,2))</f>
        <v>274</v>
      </c>
      <c r="AK39" s="16" cm="1">
        <f t="array" ref="AK39">INDEX(_xlfn.ANCHORARRAY(_xlfn.XLOOKUP($C39,'-ref_Distribution'!$B$146:$B$150,'-ref_Distribution'!$G$146:$G$150)),RIGHT(AK$1,2))</f>
        <v>241</v>
      </c>
      <c r="AL39" s="16" cm="1">
        <f t="array" ref="AL39">INDEX(_xlfn.ANCHORARRAY(_xlfn.XLOOKUP($C39,'-ref_Distribution'!$B$146:$B$150,'-ref_Distribution'!$G$146:$G$150)),RIGHT(AL$1,2))</f>
        <v>209</v>
      </c>
      <c r="AM39" s="16" cm="1">
        <f t="array" ref="AM39">INDEX(_xlfn.ANCHORARRAY(_xlfn.XLOOKUP($C39,'-ref_Distribution'!$B$146:$B$150,'-ref_Distribution'!$G$146:$G$150)),RIGHT(AM$1,2))</f>
        <v>178</v>
      </c>
      <c r="AN39" s="16" cm="1">
        <f t="array" ref="AN39">INDEX(_xlfn.ANCHORARRAY(_xlfn.XLOOKUP($C39,'-ref_Distribution'!$B$146:$B$150,'-ref_Distribution'!$G$146:$G$150)),RIGHT(AN$1,2))</f>
        <v>148</v>
      </c>
      <c r="AO39" s="16" cm="1">
        <f t="array" ref="AO39">INDEX(_xlfn.ANCHORARRAY(_xlfn.XLOOKUP($C39,'-ref_Distribution'!$B$146:$B$150,'-ref_Distribution'!$G$146:$G$150)),RIGHT(AO$1,2))</f>
        <v>122</v>
      </c>
      <c r="AP39" s="16" cm="1">
        <f t="array" ref="AP39">INDEX(_xlfn.ANCHORARRAY(_xlfn.XLOOKUP($C39,'-ref_Distribution'!$B$146:$B$150,'-ref_Distribution'!$G$146:$G$150)),RIGHT(AP$1,2))</f>
        <v>98</v>
      </c>
      <c r="AQ39" s="16" cm="1">
        <f t="array" ref="AQ39">INDEX(_xlfn.ANCHORARRAY(_xlfn.XLOOKUP($C39,'-ref_Distribution'!$B$146:$B$150,'-ref_Distribution'!$G$146:$G$150)),RIGHT(AQ$1,2))</f>
        <v>78</v>
      </c>
      <c r="AR39" s="16" cm="1">
        <f t="array" ref="AR39">INDEX(_xlfn.ANCHORARRAY(_xlfn.XLOOKUP($C39,'-ref_Distribution'!$B$146:$B$150,'-ref_Distribution'!$G$146:$G$150)),RIGHT(AR$1,2))</f>
        <v>337</v>
      </c>
      <c r="AS39" s="16" cm="1">
        <f t="array" ref="AS39">INDEX(_xlfn.ANCHORARRAY(_xlfn.XLOOKUP($C39,'-ref_Distribution'!$B$146:$B$150,'-ref_Distribution'!$G$146:$G$150)),RIGHT(AS$1,2))</f>
        <v>364</v>
      </c>
      <c r="AT39" s="16" cm="1">
        <f t="array" ref="AT39">INDEX(_xlfn.ANCHORARRAY(_xlfn.XLOOKUP($C39,'-ref_Distribution'!$B$146:$B$150,'-ref_Distribution'!$G$146:$G$150)),RIGHT(AT$1,2))</f>
        <v>386</v>
      </c>
      <c r="AU39" s="16" cm="1">
        <f t="array" ref="AU39">INDEX(_xlfn.ANCHORARRAY(_xlfn.XLOOKUP($C39,'-ref_Distribution'!$B$146:$B$150,'-ref_Distribution'!$G$146:$G$150)),RIGHT(AU$1,2))</f>
        <v>403</v>
      </c>
      <c r="AV39" s="16" cm="1">
        <f t="array" ref="AV39">INDEX(_xlfn.ANCHORARRAY(_xlfn.XLOOKUP($C39,'-ref_Distribution'!$B$146:$B$150,'-ref_Distribution'!$G$146:$G$150)),RIGHT(AV$1,2))</f>
        <v>414</v>
      </c>
      <c r="AW39" s="16" cm="1">
        <f t="array" ref="AW39">INDEX(_xlfn.ANCHORARRAY(_xlfn.XLOOKUP($C39,'-ref_Distribution'!$B$146:$B$150,'-ref_Distribution'!$G$146:$G$150)),RIGHT(AW$1,2))</f>
        <v>417</v>
      </c>
      <c r="AX39" s="16" cm="1">
        <f t="array" ref="AX39">INDEX(_xlfn.ANCHORARRAY(_xlfn.XLOOKUP($C39,'-ref_Distribution'!$B$146:$B$150,'-ref_Distribution'!$G$146:$G$150)),RIGHT(AX$1,2))</f>
        <v>414</v>
      </c>
      <c r="AY39" s="16" cm="1">
        <f t="array" ref="AY39">INDEX(_xlfn.ANCHORARRAY(_xlfn.XLOOKUP($C39,'-ref_Distribution'!$B$146:$B$150,'-ref_Distribution'!$G$146:$G$150)),RIGHT(AY$1,2))</f>
        <v>403</v>
      </c>
      <c r="AZ39" s="16" cm="1">
        <f t="array" ref="AZ39">INDEX(_xlfn.ANCHORARRAY(_xlfn.XLOOKUP($C39,'-ref_Distribution'!$B$146:$B$150,'-ref_Distribution'!$G$146:$G$150)),RIGHT(AZ$1,2))</f>
        <v>386</v>
      </c>
      <c r="BA39" s="16" cm="1">
        <f t="array" ref="BA39">INDEX(_xlfn.ANCHORARRAY(_xlfn.XLOOKUP($C39,'-ref_Distribution'!$B$146:$B$150,'-ref_Distribution'!$G$146:$G$150)),RIGHT(BA$1,2))</f>
        <v>364</v>
      </c>
      <c r="BB39" s="16" cm="1">
        <f t="array" ref="BB39">INDEX(_xlfn.ANCHORARRAY(_xlfn.XLOOKUP($C39,'-ref_Distribution'!$B$146:$B$150,'-ref_Distribution'!$G$146:$G$150)),RIGHT(BB$1,2))</f>
        <v>337</v>
      </c>
      <c r="BC39" s="16" cm="1">
        <f t="array" ref="BC39">INDEX(_xlfn.ANCHORARRAY(_xlfn.XLOOKUP($C39,'-ref_Distribution'!$B$146:$B$150,'-ref_Distribution'!$G$146:$G$150)),RIGHT(BC$1,2))</f>
        <v>307</v>
      </c>
      <c r="BD39" s="16" cm="1">
        <f t="array" ref="BD39">INDEX(_xlfn.ANCHORARRAY(_xlfn.XLOOKUP($C39,'-ref_Distribution'!$B$146:$B$150,'-ref_Distribution'!$G$146:$G$150)),RIGHT(BD$1,2))</f>
        <v>274</v>
      </c>
      <c r="BE39" s="16" cm="1">
        <f t="array" ref="BE39">INDEX(_xlfn.ANCHORARRAY(_xlfn.XLOOKUP($C39,'-ref_Distribution'!$B$146:$B$150,'-ref_Distribution'!$G$146:$G$150)),RIGHT(BE$1,2))</f>
        <v>241</v>
      </c>
      <c r="BF39" s="16" cm="1">
        <f t="array" ref="BF39">INDEX(_xlfn.ANCHORARRAY(_xlfn.XLOOKUP($C39,'-ref_Distribution'!$B$146:$B$150,'-ref_Distribution'!$G$146:$G$150)),RIGHT(BF$1,2))</f>
        <v>209</v>
      </c>
      <c r="BG39" s="16" cm="1">
        <f t="array" ref="BG39">INDEX(_xlfn.ANCHORARRAY(_xlfn.XLOOKUP($C39,'-ref_Distribution'!$B$146:$B$150,'-ref_Distribution'!$G$146:$G$150)),RIGHT(BG$1,2))</f>
        <v>178</v>
      </c>
      <c r="BH39" s="16" cm="1">
        <f t="array" ref="BH39">INDEX(_xlfn.ANCHORARRAY(_xlfn.XLOOKUP($C39,'-ref_Distribution'!$B$146:$B$150,'-ref_Distribution'!$G$146:$G$150)),RIGHT(BH$1,2))</f>
        <v>148</v>
      </c>
      <c r="BI39" s="16" cm="1">
        <f t="array" ref="BI39">INDEX(_xlfn.ANCHORARRAY(_xlfn.XLOOKUP($C39,'-ref_Distribution'!$B$146:$B$150,'-ref_Distribution'!$G$146:$G$150)),RIGHT(BI$1,2))</f>
        <v>122</v>
      </c>
      <c r="BJ39" s="16" cm="1">
        <f t="array" ref="BJ39">INDEX(_xlfn.ANCHORARRAY(_xlfn.XLOOKUP($C39,'-ref_Distribution'!$B$146:$B$150,'-ref_Distribution'!$G$146:$G$150)),RIGHT(BJ$1,2))</f>
        <v>98</v>
      </c>
      <c r="BK39" s="16" cm="1">
        <f t="array" ref="BK39">INDEX(_xlfn.ANCHORARRAY(_xlfn.XLOOKUP($C39,'-ref_Distribution'!$B$146:$B$150,'-ref_Distribution'!$G$146:$G$150)),RIGHT(BK$1,2))</f>
        <v>78</v>
      </c>
      <c r="BL39" s="16" cm="1">
        <f t="array" ref="BL39">INDEX(_xlfn.ANCHORARRAY(_xlfn.XLOOKUP($C39,'-ref_Distribution'!$B$146:$B$150,'-ref_Distribution'!$G$146:$G$150)),RIGHT(BL$1,2))</f>
        <v>337</v>
      </c>
      <c r="BM39" s="16" cm="1">
        <f t="array" ref="BM39">INDEX(_xlfn.ANCHORARRAY(_xlfn.XLOOKUP($C39,'-ref_Distribution'!$B$146:$B$150,'-ref_Distribution'!$G$146:$G$150)),RIGHT(BM$1,2))</f>
        <v>364</v>
      </c>
      <c r="BN39" s="16" cm="1">
        <f t="array" ref="BN39">INDEX(_xlfn.ANCHORARRAY(_xlfn.XLOOKUP($C39,'-ref_Distribution'!$B$146:$B$150,'-ref_Distribution'!$G$146:$G$150)),RIGHT(BN$1,2))</f>
        <v>386</v>
      </c>
      <c r="BO39" s="16" cm="1">
        <f t="array" ref="BO39">INDEX(_xlfn.ANCHORARRAY(_xlfn.XLOOKUP($C39,'-ref_Distribution'!$B$146:$B$150,'-ref_Distribution'!$G$146:$G$150)),RIGHT(BO$1,2))</f>
        <v>403</v>
      </c>
      <c r="BP39" s="16" cm="1">
        <f t="array" ref="BP39">INDEX(_xlfn.ANCHORARRAY(_xlfn.XLOOKUP($C39,'-ref_Distribution'!$B$146:$B$150,'-ref_Distribution'!$G$146:$G$150)),RIGHT(BP$1,2))</f>
        <v>414</v>
      </c>
      <c r="BQ39" s="16" cm="1">
        <f t="array" ref="BQ39">INDEX(_xlfn.ANCHORARRAY(_xlfn.XLOOKUP($C39,'-ref_Distribution'!$B$146:$B$150,'-ref_Distribution'!$G$146:$G$150)),RIGHT(BQ$1,2))</f>
        <v>417</v>
      </c>
      <c r="BR39" s="16" cm="1">
        <f t="array" ref="BR39">INDEX(_xlfn.ANCHORARRAY(_xlfn.XLOOKUP($C39,'-ref_Distribution'!$B$146:$B$150,'-ref_Distribution'!$G$146:$G$150)),RIGHT(BR$1,2))</f>
        <v>414</v>
      </c>
      <c r="BS39" s="16" cm="1">
        <f t="array" ref="BS39">INDEX(_xlfn.ANCHORARRAY(_xlfn.XLOOKUP($C39,'-ref_Distribution'!$B$146:$B$150,'-ref_Distribution'!$G$146:$G$150)),RIGHT(BS$1,2))</f>
        <v>403</v>
      </c>
      <c r="BT39" s="16" cm="1">
        <f t="array" ref="BT39">INDEX(_xlfn.ANCHORARRAY(_xlfn.XLOOKUP($C39,'-ref_Distribution'!$B$146:$B$150,'-ref_Distribution'!$G$146:$G$150)),RIGHT(BT$1,2))</f>
        <v>386</v>
      </c>
      <c r="BU39" s="16" cm="1">
        <f t="array" ref="BU39">INDEX(_xlfn.ANCHORARRAY(_xlfn.XLOOKUP($C39,'-ref_Distribution'!$B$146:$B$150,'-ref_Distribution'!$G$146:$G$150)),RIGHT(BU$1,2))</f>
        <v>364</v>
      </c>
      <c r="BV39" s="16" cm="1">
        <f t="array" ref="BV39">INDEX(_xlfn.ANCHORARRAY(_xlfn.XLOOKUP($C39,'-ref_Distribution'!$B$146:$B$150,'-ref_Distribution'!$G$146:$G$150)),RIGHT(BV$1,2))</f>
        <v>337</v>
      </c>
      <c r="BW39" s="16" cm="1">
        <f t="array" ref="BW39">INDEX(_xlfn.ANCHORARRAY(_xlfn.XLOOKUP($C39,'-ref_Distribution'!$B$146:$B$150,'-ref_Distribution'!$G$146:$G$150)),RIGHT(BW$1,2))</f>
        <v>307</v>
      </c>
      <c r="BX39" s="16" cm="1">
        <f t="array" ref="BX39">INDEX(_xlfn.ANCHORARRAY(_xlfn.XLOOKUP($C39,'-ref_Distribution'!$B$146:$B$150,'-ref_Distribution'!$G$146:$G$150)),RIGHT(BX$1,2))</f>
        <v>274</v>
      </c>
      <c r="BY39" s="16" cm="1">
        <f t="array" ref="BY39">INDEX(_xlfn.ANCHORARRAY(_xlfn.XLOOKUP($C39,'-ref_Distribution'!$B$146:$B$150,'-ref_Distribution'!$G$146:$G$150)),RIGHT(BY$1,2))</f>
        <v>241</v>
      </c>
      <c r="BZ39" s="16" cm="1">
        <f t="array" ref="BZ39">INDEX(_xlfn.ANCHORARRAY(_xlfn.XLOOKUP($C39,'-ref_Distribution'!$B$146:$B$150,'-ref_Distribution'!$G$146:$G$150)),RIGHT(BZ$1,2))</f>
        <v>209</v>
      </c>
      <c r="CA39" s="16" cm="1">
        <f t="array" ref="CA39">INDEX(_xlfn.ANCHORARRAY(_xlfn.XLOOKUP($C39,'-ref_Distribution'!$B$146:$B$150,'-ref_Distribution'!$G$146:$G$150)),RIGHT(CA$1,2))</f>
        <v>178</v>
      </c>
      <c r="CB39" s="16" cm="1">
        <f t="array" ref="CB39">INDEX(_xlfn.ANCHORARRAY(_xlfn.XLOOKUP($C39,'-ref_Distribution'!$B$146:$B$150,'-ref_Distribution'!$G$146:$G$150)),RIGHT(CB$1,2))</f>
        <v>148</v>
      </c>
      <c r="CC39" s="16" cm="1">
        <f t="array" ref="CC39">INDEX(_xlfn.ANCHORARRAY(_xlfn.XLOOKUP($C39,'-ref_Distribution'!$B$146:$B$150,'-ref_Distribution'!$G$146:$G$150)),RIGHT(CC$1,2))</f>
        <v>122</v>
      </c>
      <c r="CD39" s="16" cm="1">
        <f t="array" ref="CD39">INDEX(_xlfn.ANCHORARRAY(_xlfn.XLOOKUP($C39,'-ref_Distribution'!$B$146:$B$150,'-ref_Distribution'!$G$146:$G$150)),RIGHT(CD$1,2))</f>
        <v>98</v>
      </c>
      <c r="CE39" s="16" cm="1">
        <f t="array" ref="CE39">INDEX(_xlfn.ANCHORARRAY(_xlfn.XLOOKUP($C39,'-ref_Distribution'!$B$146:$B$150,'-ref_Distribution'!$G$146:$G$150)),RIGHT(CE$1,2))</f>
        <v>78</v>
      </c>
    </row>
    <row r="40" spans="1:83" x14ac:dyDescent="0.2">
      <c r="A40" s="16">
        <v>301053</v>
      </c>
      <c r="B40" s="16" t="s">
        <v>221</v>
      </c>
      <c r="C40" s="16">
        <v>2</v>
      </c>
      <c r="D40" s="16" cm="1">
        <f t="array" ref="D40">INDEX(_xlfn.ANCHORARRAY(_xlfn.XLOOKUP($C40,'-ref_Distribution'!$B$146:$B$150,'-ref_Distribution'!$G$146:$G$150)),RIGHT(D$1,2))</f>
        <v>75</v>
      </c>
      <c r="E40" s="16" cm="1">
        <f t="array" ref="E40">INDEX(_xlfn.ANCHORARRAY(_xlfn.XLOOKUP($C40,'-ref_Distribution'!$B$146:$B$150,'-ref_Distribution'!$G$146:$G$150)),RIGHT(E$1,2))</f>
        <v>94</v>
      </c>
      <c r="F40" s="16" cm="1">
        <f t="array" ref="F40">INDEX(_xlfn.ANCHORARRAY(_xlfn.XLOOKUP($C40,'-ref_Distribution'!$B$146:$B$150,'-ref_Distribution'!$G$146:$G$150)),RIGHT(F$1,2))</f>
        <v>115</v>
      </c>
      <c r="G40" s="16" cm="1">
        <f t="array" ref="G40">INDEX(_xlfn.ANCHORARRAY(_xlfn.XLOOKUP($C40,'-ref_Distribution'!$B$146:$B$150,'-ref_Distribution'!$G$146:$G$150)),RIGHT(G$1,2))</f>
        <v>137</v>
      </c>
      <c r="H40" s="16" cm="1">
        <f t="array" ref="H40">INDEX(_xlfn.ANCHORARRAY(_xlfn.XLOOKUP($C40,'-ref_Distribution'!$B$146:$B$150,'-ref_Distribution'!$G$146:$G$150)),RIGHT(H$1,2))</f>
        <v>160</v>
      </c>
      <c r="I40" s="16" cm="1">
        <f t="array" ref="I40">INDEX(_xlfn.ANCHORARRAY(_xlfn.XLOOKUP($C40,'-ref_Distribution'!$B$146:$B$150,'-ref_Distribution'!$G$146:$G$150)),RIGHT(I$1,2))</f>
        <v>183</v>
      </c>
      <c r="J40" s="16" cm="1">
        <f t="array" ref="J40">INDEX(_xlfn.ANCHORARRAY(_xlfn.XLOOKUP($C40,'-ref_Distribution'!$B$146:$B$150,'-ref_Distribution'!$G$146:$G$150)),RIGHT(J$1,2))</f>
        <v>203</v>
      </c>
      <c r="K40" s="16" cm="1">
        <f t="array" ref="K40">INDEX(_xlfn.ANCHORARRAY(_xlfn.XLOOKUP($C40,'-ref_Distribution'!$B$146:$B$150,'-ref_Distribution'!$G$146:$G$150)),RIGHT(K$1,2))</f>
        <v>221</v>
      </c>
      <c r="L40" s="16" cm="1">
        <f t="array" ref="L40">INDEX(_xlfn.ANCHORARRAY(_xlfn.XLOOKUP($C40,'-ref_Distribution'!$B$146:$B$150,'-ref_Distribution'!$G$146:$G$150)),RIGHT(L$1,2))</f>
        <v>234</v>
      </c>
      <c r="M40" s="16" cm="1">
        <f t="array" ref="M40">INDEX(_xlfn.ANCHORARRAY(_xlfn.XLOOKUP($C40,'-ref_Distribution'!$B$146:$B$150,'-ref_Distribution'!$G$146:$G$150)),RIGHT(M$1,2))</f>
        <v>243</v>
      </c>
      <c r="N40" s="16" cm="1">
        <f t="array" ref="N40">INDEX(_xlfn.ANCHORARRAY(_xlfn.XLOOKUP($C40,'-ref_Distribution'!$B$146:$B$150,'-ref_Distribution'!$G$146:$G$150)),RIGHT(N$1,2))</f>
        <v>245</v>
      </c>
      <c r="O40" s="16" cm="1">
        <f t="array" ref="O40">INDEX(_xlfn.ANCHORARRAY(_xlfn.XLOOKUP($C40,'-ref_Distribution'!$B$146:$B$150,'-ref_Distribution'!$G$146:$G$150)),RIGHT(O$1,2))</f>
        <v>243</v>
      </c>
      <c r="P40" s="16" cm="1">
        <f t="array" ref="P40">INDEX(_xlfn.ANCHORARRAY(_xlfn.XLOOKUP($C40,'-ref_Distribution'!$B$146:$B$150,'-ref_Distribution'!$G$146:$G$150)),RIGHT(P$1,2))</f>
        <v>234</v>
      </c>
      <c r="Q40" s="16" cm="1">
        <f t="array" ref="Q40">INDEX(_xlfn.ANCHORARRAY(_xlfn.XLOOKUP($C40,'-ref_Distribution'!$B$146:$B$150,'-ref_Distribution'!$G$146:$G$150)),RIGHT(Q$1,2))</f>
        <v>221</v>
      </c>
      <c r="R40" s="16" cm="1">
        <f t="array" ref="R40">INDEX(_xlfn.ANCHORARRAY(_xlfn.XLOOKUP($C40,'-ref_Distribution'!$B$146:$B$150,'-ref_Distribution'!$G$146:$G$150)),RIGHT(R$1,2))</f>
        <v>203</v>
      </c>
      <c r="S40" s="16" cm="1">
        <f t="array" ref="S40">INDEX(_xlfn.ANCHORARRAY(_xlfn.XLOOKUP($C40,'-ref_Distribution'!$B$146:$B$150,'-ref_Distribution'!$G$146:$G$150)),RIGHT(S$1,2))</f>
        <v>183</v>
      </c>
      <c r="T40" s="16" cm="1">
        <f t="array" ref="T40">INDEX(_xlfn.ANCHORARRAY(_xlfn.XLOOKUP($C40,'-ref_Distribution'!$B$146:$B$150,'-ref_Distribution'!$G$146:$G$150)),RIGHT(T$1,2))</f>
        <v>160</v>
      </c>
      <c r="U40" s="16" cm="1">
        <f t="array" ref="U40">INDEX(_xlfn.ANCHORARRAY(_xlfn.XLOOKUP($C40,'-ref_Distribution'!$B$146:$B$150,'-ref_Distribution'!$G$146:$G$150)),RIGHT(U$1,2))</f>
        <v>137</v>
      </c>
      <c r="V40" s="16" cm="1">
        <f t="array" ref="V40">INDEX(_xlfn.ANCHORARRAY(_xlfn.XLOOKUP($C40,'-ref_Distribution'!$B$146:$B$150,'-ref_Distribution'!$G$146:$G$150)),RIGHT(V$1,2))</f>
        <v>115</v>
      </c>
      <c r="W40" s="16" cm="1">
        <f t="array" ref="W40">INDEX(_xlfn.ANCHORARRAY(_xlfn.XLOOKUP($C40,'-ref_Distribution'!$B$146:$B$150,'-ref_Distribution'!$G$146:$G$150)),RIGHT(W$1,2))</f>
        <v>94</v>
      </c>
      <c r="X40" s="16" cm="1">
        <f t="array" ref="X40">INDEX(_xlfn.ANCHORARRAY(_xlfn.XLOOKUP($C40,'-ref_Distribution'!$B$146:$B$150,'-ref_Distribution'!$G$146:$G$150)),RIGHT(X$1,2))</f>
        <v>75</v>
      </c>
      <c r="Y40" s="16" cm="1">
        <f t="array" ref="Y40">INDEX(_xlfn.ANCHORARRAY(_xlfn.XLOOKUP($C40,'-ref_Distribution'!$B$146:$B$150,'-ref_Distribution'!$G$146:$G$150)),RIGHT(Y$1,2))</f>
        <v>94</v>
      </c>
      <c r="Z40" s="16" cm="1">
        <f t="array" ref="Z40">INDEX(_xlfn.ANCHORARRAY(_xlfn.XLOOKUP($C40,'-ref_Distribution'!$B$146:$B$150,'-ref_Distribution'!$G$146:$G$150)),RIGHT(Z$1,2))</f>
        <v>115</v>
      </c>
      <c r="AA40" s="16" cm="1">
        <f t="array" ref="AA40">INDEX(_xlfn.ANCHORARRAY(_xlfn.XLOOKUP($C40,'-ref_Distribution'!$B$146:$B$150,'-ref_Distribution'!$G$146:$G$150)),RIGHT(AA$1,2))</f>
        <v>137</v>
      </c>
      <c r="AB40" s="16" cm="1">
        <f t="array" ref="AB40">INDEX(_xlfn.ANCHORARRAY(_xlfn.XLOOKUP($C40,'-ref_Distribution'!$B$146:$B$150,'-ref_Distribution'!$G$146:$G$150)),RIGHT(AB$1,2))</f>
        <v>160</v>
      </c>
      <c r="AC40" s="16" cm="1">
        <f t="array" ref="AC40">INDEX(_xlfn.ANCHORARRAY(_xlfn.XLOOKUP($C40,'-ref_Distribution'!$B$146:$B$150,'-ref_Distribution'!$G$146:$G$150)),RIGHT(AC$1,2))</f>
        <v>183</v>
      </c>
      <c r="AD40" s="16" cm="1">
        <f t="array" ref="AD40">INDEX(_xlfn.ANCHORARRAY(_xlfn.XLOOKUP($C40,'-ref_Distribution'!$B$146:$B$150,'-ref_Distribution'!$G$146:$G$150)),RIGHT(AD$1,2))</f>
        <v>203</v>
      </c>
      <c r="AE40" s="16" cm="1">
        <f t="array" ref="AE40">INDEX(_xlfn.ANCHORARRAY(_xlfn.XLOOKUP($C40,'-ref_Distribution'!$B$146:$B$150,'-ref_Distribution'!$G$146:$G$150)),RIGHT(AE$1,2))</f>
        <v>221</v>
      </c>
      <c r="AF40" s="16" cm="1">
        <f t="array" ref="AF40">INDEX(_xlfn.ANCHORARRAY(_xlfn.XLOOKUP($C40,'-ref_Distribution'!$B$146:$B$150,'-ref_Distribution'!$G$146:$G$150)),RIGHT(AF$1,2))</f>
        <v>234</v>
      </c>
      <c r="AG40" s="16" cm="1">
        <f t="array" ref="AG40">INDEX(_xlfn.ANCHORARRAY(_xlfn.XLOOKUP($C40,'-ref_Distribution'!$B$146:$B$150,'-ref_Distribution'!$G$146:$G$150)),RIGHT(AG$1,2))</f>
        <v>243</v>
      </c>
      <c r="AH40" s="16" cm="1">
        <f t="array" ref="AH40">INDEX(_xlfn.ANCHORARRAY(_xlfn.XLOOKUP($C40,'-ref_Distribution'!$B$146:$B$150,'-ref_Distribution'!$G$146:$G$150)),RIGHT(AH$1,2))</f>
        <v>245</v>
      </c>
      <c r="AI40" s="16" cm="1">
        <f t="array" ref="AI40">INDEX(_xlfn.ANCHORARRAY(_xlfn.XLOOKUP($C40,'-ref_Distribution'!$B$146:$B$150,'-ref_Distribution'!$G$146:$G$150)),RIGHT(AI$1,2))</f>
        <v>243</v>
      </c>
      <c r="AJ40" s="16" cm="1">
        <f t="array" ref="AJ40">INDEX(_xlfn.ANCHORARRAY(_xlfn.XLOOKUP($C40,'-ref_Distribution'!$B$146:$B$150,'-ref_Distribution'!$G$146:$G$150)),RIGHT(AJ$1,2))</f>
        <v>234</v>
      </c>
      <c r="AK40" s="16" cm="1">
        <f t="array" ref="AK40">INDEX(_xlfn.ANCHORARRAY(_xlfn.XLOOKUP($C40,'-ref_Distribution'!$B$146:$B$150,'-ref_Distribution'!$G$146:$G$150)),RIGHT(AK$1,2))</f>
        <v>221</v>
      </c>
      <c r="AL40" s="16" cm="1">
        <f t="array" ref="AL40">INDEX(_xlfn.ANCHORARRAY(_xlfn.XLOOKUP($C40,'-ref_Distribution'!$B$146:$B$150,'-ref_Distribution'!$G$146:$G$150)),RIGHT(AL$1,2))</f>
        <v>203</v>
      </c>
      <c r="AM40" s="16" cm="1">
        <f t="array" ref="AM40">INDEX(_xlfn.ANCHORARRAY(_xlfn.XLOOKUP($C40,'-ref_Distribution'!$B$146:$B$150,'-ref_Distribution'!$G$146:$G$150)),RIGHT(AM$1,2))</f>
        <v>183</v>
      </c>
      <c r="AN40" s="16" cm="1">
        <f t="array" ref="AN40">INDEX(_xlfn.ANCHORARRAY(_xlfn.XLOOKUP($C40,'-ref_Distribution'!$B$146:$B$150,'-ref_Distribution'!$G$146:$G$150)),RIGHT(AN$1,2))</f>
        <v>160</v>
      </c>
      <c r="AO40" s="16" cm="1">
        <f t="array" ref="AO40">INDEX(_xlfn.ANCHORARRAY(_xlfn.XLOOKUP($C40,'-ref_Distribution'!$B$146:$B$150,'-ref_Distribution'!$G$146:$G$150)),RIGHT(AO$1,2))</f>
        <v>137</v>
      </c>
      <c r="AP40" s="16" cm="1">
        <f t="array" ref="AP40">INDEX(_xlfn.ANCHORARRAY(_xlfn.XLOOKUP($C40,'-ref_Distribution'!$B$146:$B$150,'-ref_Distribution'!$G$146:$G$150)),RIGHT(AP$1,2))</f>
        <v>115</v>
      </c>
      <c r="AQ40" s="16" cm="1">
        <f t="array" ref="AQ40">INDEX(_xlfn.ANCHORARRAY(_xlfn.XLOOKUP($C40,'-ref_Distribution'!$B$146:$B$150,'-ref_Distribution'!$G$146:$G$150)),RIGHT(AQ$1,2))</f>
        <v>94</v>
      </c>
      <c r="AR40" s="16" cm="1">
        <f t="array" ref="AR40">INDEX(_xlfn.ANCHORARRAY(_xlfn.XLOOKUP($C40,'-ref_Distribution'!$B$146:$B$150,'-ref_Distribution'!$G$146:$G$150)),RIGHT(AR$1,2))</f>
        <v>75</v>
      </c>
      <c r="AS40" s="16" cm="1">
        <f t="array" ref="AS40">INDEX(_xlfn.ANCHORARRAY(_xlfn.XLOOKUP($C40,'-ref_Distribution'!$B$146:$B$150,'-ref_Distribution'!$G$146:$G$150)),RIGHT(AS$1,2))</f>
        <v>94</v>
      </c>
      <c r="AT40" s="16" cm="1">
        <f t="array" ref="AT40">INDEX(_xlfn.ANCHORARRAY(_xlfn.XLOOKUP($C40,'-ref_Distribution'!$B$146:$B$150,'-ref_Distribution'!$G$146:$G$150)),RIGHT(AT$1,2))</f>
        <v>115</v>
      </c>
      <c r="AU40" s="16" cm="1">
        <f t="array" ref="AU40">INDEX(_xlfn.ANCHORARRAY(_xlfn.XLOOKUP($C40,'-ref_Distribution'!$B$146:$B$150,'-ref_Distribution'!$G$146:$G$150)),RIGHT(AU$1,2))</f>
        <v>137</v>
      </c>
      <c r="AV40" s="16" cm="1">
        <f t="array" ref="AV40">INDEX(_xlfn.ANCHORARRAY(_xlfn.XLOOKUP($C40,'-ref_Distribution'!$B$146:$B$150,'-ref_Distribution'!$G$146:$G$150)),RIGHT(AV$1,2))</f>
        <v>160</v>
      </c>
      <c r="AW40" s="16" cm="1">
        <f t="array" ref="AW40">INDEX(_xlfn.ANCHORARRAY(_xlfn.XLOOKUP($C40,'-ref_Distribution'!$B$146:$B$150,'-ref_Distribution'!$G$146:$G$150)),RIGHT(AW$1,2))</f>
        <v>183</v>
      </c>
      <c r="AX40" s="16" cm="1">
        <f t="array" ref="AX40">INDEX(_xlfn.ANCHORARRAY(_xlfn.XLOOKUP($C40,'-ref_Distribution'!$B$146:$B$150,'-ref_Distribution'!$G$146:$G$150)),RIGHT(AX$1,2))</f>
        <v>203</v>
      </c>
      <c r="AY40" s="16" cm="1">
        <f t="array" ref="AY40">INDEX(_xlfn.ANCHORARRAY(_xlfn.XLOOKUP($C40,'-ref_Distribution'!$B$146:$B$150,'-ref_Distribution'!$G$146:$G$150)),RIGHT(AY$1,2))</f>
        <v>221</v>
      </c>
      <c r="AZ40" s="16" cm="1">
        <f t="array" ref="AZ40">INDEX(_xlfn.ANCHORARRAY(_xlfn.XLOOKUP($C40,'-ref_Distribution'!$B$146:$B$150,'-ref_Distribution'!$G$146:$G$150)),RIGHT(AZ$1,2))</f>
        <v>234</v>
      </c>
      <c r="BA40" s="16" cm="1">
        <f t="array" ref="BA40">INDEX(_xlfn.ANCHORARRAY(_xlfn.XLOOKUP($C40,'-ref_Distribution'!$B$146:$B$150,'-ref_Distribution'!$G$146:$G$150)),RIGHT(BA$1,2))</f>
        <v>243</v>
      </c>
      <c r="BB40" s="16" cm="1">
        <f t="array" ref="BB40">INDEX(_xlfn.ANCHORARRAY(_xlfn.XLOOKUP($C40,'-ref_Distribution'!$B$146:$B$150,'-ref_Distribution'!$G$146:$G$150)),RIGHT(BB$1,2))</f>
        <v>245</v>
      </c>
      <c r="BC40" s="16" cm="1">
        <f t="array" ref="BC40">INDEX(_xlfn.ANCHORARRAY(_xlfn.XLOOKUP($C40,'-ref_Distribution'!$B$146:$B$150,'-ref_Distribution'!$G$146:$G$150)),RIGHT(BC$1,2))</f>
        <v>243</v>
      </c>
      <c r="BD40" s="16" cm="1">
        <f t="array" ref="BD40">INDEX(_xlfn.ANCHORARRAY(_xlfn.XLOOKUP($C40,'-ref_Distribution'!$B$146:$B$150,'-ref_Distribution'!$G$146:$G$150)),RIGHT(BD$1,2))</f>
        <v>234</v>
      </c>
      <c r="BE40" s="16" cm="1">
        <f t="array" ref="BE40">INDEX(_xlfn.ANCHORARRAY(_xlfn.XLOOKUP($C40,'-ref_Distribution'!$B$146:$B$150,'-ref_Distribution'!$G$146:$G$150)),RIGHT(BE$1,2))</f>
        <v>221</v>
      </c>
      <c r="BF40" s="16" cm="1">
        <f t="array" ref="BF40">INDEX(_xlfn.ANCHORARRAY(_xlfn.XLOOKUP($C40,'-ref_Distribution'!$B$146:$B$150,'-ref_Distribution'!$G$146:$G$150)),RIGHT(BF$1,2))</f>
        <v>203</v>
      </c>
      <c r="BG40" s="16" cm="1">
        <f t="array" ref="BG40">INDEX(_xlfn.ANCHORARRAY(_xlfn.XLOOKUP($C40,'-ref_Distribution'!$B$146:$B$150,'-ref_Distribution'!$G$146:$G$150)),RIGHT(BG$1,2))</f>
        <v>183</v>
      </c>
      <c r="BH40" s="16" cm="1">
        <f t="array" ref="BH40">INDEX(_xlfn.ANCHORARRAY(_xlfn.XLOOKUP($C40,'-ref_Distribution'!$B$146:$B$150,'-ref_Distribution'!$G$146:$G$150)),RIGHT(BH$1,2))</f>
        <v>160</v>
      </c>
      <c r="BI40" s="16" cm="1">
        <f t="array" ref="BI40">INDEX(_xlfn.ANCHORARRAY(_xlfn.XLOOKUP($C40,'-ref_Distribution'!$B$146:$B$150,'-ref_Distribution'!$G$146:$G$150)),RIGHT(BI$1,2))</f>
        <v>137</v>
      </c>
      <c r="BJ40" s="16" cm="1">
        <f t="array" ref="BJ40">INDEX(_xlfn.ANCHORARRAY(_xlfn.XLOOKUP($C40,'-ref_Distribution'!$B$146:$B$150,'-ref_Distribution'!$G$146:$G$150)),RIGHT(BJ$1,2))</f>
        <v>115</v>
      </c>
      <c r="BK40" s="16" cm="1">
        <f t="array" ref="BK40">INDEX(_xlfn.ANCHORARRAY(_xlfn.XLOOKUP($C40,'-ref_Distribution'!$B$146:$B$150,'-ref_Distribution'!$G$146:$G$150)),RIGHT(BK$1,2))</f>
        <v>94</v>
      </c>
      <c r="BL40" s="16" cm="1">
        <f t="array" ref="BL40">INDEX(_xlfn.ANCHORARRAY(_xlfn.XLOOKUP($C40,'-ref_Distribution'!$B$146:$B$150,'-ref_Distribution'!$G$146:$G$150)),RIGHT(BL$1,2))</f>
        <v>75</v>
      </c>
      <c r="BM40" s="16" cm="1">
        <f t="array" ref="BM40">INDEX(_xlfn.ANCHORARRAY(_xlfn.XLOOKUP($C40,'-ref_Distribution'!$B$146:$B$150,'-ref_Distribution'!$G$146:$G$150)),RIGHT(BM$1,2))</f>
        <v>94</v>
      </c>
      <c r="BN40" s="16" cm="1">
        <f t="array" ref="BN40">INDEX(_xlfn.ANCHORARRAY(_xlfn.XLOOKUP($C40,'-ref_Distribution'!$B$146:$B$150,'-ref_Distribution'!$G$146:$G$150)),RIGHT(BN$1,2))</f>
        <v>115</v>
      </c>
      <c r="BO40" s="16" cm="1">
        <f t="array" ref="BO40">INDEX(_xlfn.ANCHORARRAY(_xlfn.XLOOKUP($C40,'-ref_Distribution'!$B$146:$B$150,'-ref_Distribution'!$G$146:$G$150)),RIGHT(BO$1,2))</f>
        <v>137</v>
      </c>
      <c r="BP40" s="16" cm="1">
        <f t="array" ref="BP40">INDEX(_xlfn.ANCHORARRAY(_xlfn.XLOOKUP($C40,'-ref_Distribution'!$B$146:$B$150,'-ref_Distribution'!$G$146:$G$150)),RIGHT(BP$1,2))</f>
        <v>160</v>
      </c>
      <c r="BQ40" s="16" cm="1">
        <f t="array" ref="BQ40">INDEX(_xlfn.ANCHORARRAY(_xlfn.XLOOKUP($C40,'-ref_Distribution'!$B$146:$B$150,'-ref_Distribution'!$G$146:$G$150)),RIGHT(BQ$1,2))</f>
        <v>183</v>
      </c>
      <c r="BR40" s="16" cm="1">
        <f t="array" ref="BR40">INDEX(_xlfn.ANCHORARRAY(_xlfn.XLOOKUP($C40,'-ref_Distribution'!$B$146:$B$150,'-ref_Distribution'!$G$146:$G$150)),RIGHT(BR$1,2))</f>
        <v>203</v>
      </c>
      <c r="BS40" s="16" cm="1">
        <f t="array" ref="BS40">INDEX(_xlfn.ANCHORARRAY(_xlfn.XLOOKUP($C40,'-ref_Distribution'!$B$146:$B$150,'-ref_Distribution'!$G$146:$G$150)),RIGHT(BS$1,2))</f>
        <v>221</v>
      </c>
      <c r="BT40" s="16" cm="1">
        <f t="array" ref="BT40">INDEX(_xlfn.ANCHORARRAY(_xlfn.XLOOKUP($C40,'-ref_Distribution'!$B$146:$B$150,'-ref_Distribution'!$G$146:$G$150)),RIGHT(BT$1,2))</f>
        <v>234</v>
      </c>
      <c r="BU40" s="16" cm="1">
        <f t="array" ref="BU40">INDEX(_xlfn.ANCHORARRAY(_xlfn.XLOOKUP($C40,'-ref_Distribution'!$B$146:$B$150,'-ref_Distribution'!$G$146:$G$150)),RIGHT(BU$1,2))</f>
        <v>243</v>
      </c>
      <c r="BV40" s="16" cm="1">
        <f t="array" ref="BV40">INDEX(_xlfn.ANCHORARRAY(_xlfn.XLOOKUP($C40,'-ref_Distribution'!$B$146:$B$150,'-ref_Distribution'!$G$146:$G$150)),RIGHT(BV$1,2))</f>
        <v>245</v>
      </c>
      <c r="BW40" s="16" cm="1">
        <f t="array" ref="BW40">INDEX(_xlfn.ANCHORARRAY(_xlfn.XLOOKUP($C40,'-ref_Distribution'!$B$146:$B$150,'-ref_Distribution'!$G$146:$G$150)),RIGHT(BW$1,2))</f>
        <v>243</v>
      </c>
      <c r="BX40" s="16" cm="1">
        <f t="array" ref="BX40">INDEX(_xlfn.ANCHORARRAY(_xlfn.XLOOKUP($C40,'-ref_Distribution'!$B$146:$B$150,'-ref_Distribution'!$G$146:$G$150)),RIGHT(BX$1,2))</f>
        <v>234</v>
      </c>
      <c r="BY40" s="16" cm="1">
        <f t="array" ref="BY40">INDEX(_xlfn.ANCHORARRAY(_xlfn.XLOOKUP($C40,'-ref_Distribution'!$B$146:$B$150,'-ref_Distribution'!$G$146:$G$150)),RIGHT(BY$1,2))</f>
        <v>221</v>
      </c>
      <c r="BZ40" s="16" cm="1">
        <f t="array" ref="BZ40">INDEX(_xlfn.ANCHORARRAY(_xlfn.XLOOKUP($C40,'-ref_Distribution'!$B$146:$B$150,'-ref_Distribution'!$G$146:$G$150)),RIGHT(BZ$1,2))</f>
        <v>203</v>
      </c>
      <c r="CA40" s="16" cm="1">
        <f t="array" ref="CA40">INDEX(_xlfn.ANCHORARRAY(_xlfn.XLOOKUP($C40,'-ref_Distribution'!$B$146:$B$150,'-ref_Distribution'!$G$146:$G$150)),RIGHT(CA$1,2))</f>
        <v>183</v>
      </c>
      <c r="CB40" s="16" cm="1">
        <f t="array" ref="CB40">INDEX(_xlfn.ANCHORARRAY(_xlfn.XLOOKUP($C40,'-ref_Distribution'!$B$146:$B$150,'-ref_Distribution'!$G$146:$G$150)),RIGHT(CB$1,2))</f>
        <v>160</v>
      </c>
      <c r="CC40" s="16" cm="1">
        <f t="array" ref="CC40">INDEX(_xlfn.ANCHORARRAY(_xlfn.XLOOKUP($C40,'-ref_Distribution'!$B$146:$B$150,'-ref_Distribution'!$G$146:$G$150)),RIGHT(CC$1,2))</f>
        <v>137</v>
      </c>
      <c r="CD40" s="16" cm="1">
        <f t="array" ref="CD40">INDEX(_xlfn.ANCHORARRAY(_xlfn.XLOOKUP($C40,'-ref_Distribution'!$B$146:$B$150,'-ref_Distribution'!$G$146:$G$150)),RIGHT(CD$1,2))</f>
        <v>115</v>
      </c>
      <c r="CE40" s="16" cm="1">
        <f t="array" ref="CE40">INDEX(_xlfn.ANCHORARRAY(_xlfn.XLOOKUP($C40,'-ref_Distribution'!$B$146:$B$150,'-ref_Distribution'!$G$146:$G$150)),RIGHT(CE$1,2))</f>
        <v>94</v>
      </c>
    </row>
    <row r="41" spans="1:83" x14ac:dyDescent="0.2">
      <c r="A41" s="16">
        <v>301054</v>
      </c>
      <c r="B41" s="16" t="s">
        <v>221</v>
      </c>
      <c r="C41" s="16">
        <v>3</v>
      </c>
      <c r="D41" s="16" cm="1">
        <f t="array" ref="D41">INDEX(_xlfn.ANCHORARRAY(_xlfn.XLOOKUP($C41,'-ref_Distribution'!$B$146:$B$150,'-ref_Distribution'!$G$146:$G$150)),RIGHT(D$1,2))</f>
        <v>4</v>
      </c>
      <c r="E41" s="16" cm="1">
        <f t="array" ref="E41">INDEX(_xlfn.ANCHORARRAY(_xlfn.XLOOKUP($C41,'-ref_Distribution'!$B$146:$B$150,'-ref_Distribution'!$G$146:$G$150)),RIGHT(E$1,2))</f>
        <v>6</v>
      </c>
      <c r="F41" s="16" cm="1">
        <f t="array" ref="F41">INDEX(_xlfn.ANCHORARRAY(_xlfn.XLOOKUP($C41,'-ref_Distribution'!$B$146:$B$150,'-ref_Distribution'!$G$146:$G$150)),RIGHT(F$1,2))</f>
        <v>9</v>
      </c>
      <c r="G41" s="16" cm="1">
        <f t="array" ref="G41">INDEX(_xlfn.ANCHORARRAY(_xlfn.XLOOKUP($C41,'-ref_Distribution'!$B$146:$B$150,'-ref_Distribution'!$G$146:$G$150)),RIGHT(G$1,2))</f>
        <v>14</v>
      </c>
      <c r="H41" s="16" cm="1">
        <f t="array" ref="H41">INDEX(_xlfn.ANCHORARRAY(_xlfn.XLOOKUP($C41,'-ref_Distribution'!$B$146:$B$150,'-ref_Distribution'!$G$146:$G$150)),RIGHT(H$1,2))</f>
        <v>20</v>
      </c>
      <c r="I41" s="16" cm="1">
        <f t="array" ref="I41">INDEX(_xlfn.ANCHORARRAY(_xlfn.XLOOKUP($C41,'-ref_Distribution'!$B$146:$B$150,'-ref_Distribution'!$G$146:$G$150)),RIGHT(I$1,2))</f>
        <v>28</v>
      </c>
      <c r="J41" s="16" cm="1">
        <f t="array" ref="J41">INDEX(_xlfn.ANCHORARRAY(_xlfn.XLOOKUP($C41,'-ref_Distribution'!$B$146:$B$150,'-ref_Distribution'!$G$146:$G$150)),RIGHT(J$1,2))</f>
        <v>38</v>
      </c>
      <c r="K41" s="16" cm="1">
        <f t="array" ref="K41">INDEX(_xlfn.ANCHORARRAY(_xlfn.XLOOKUP($C41,'-ref_Distribution'!$B$146:$B$150,'-ref_Distribution'!$G$146:$G$150)),RIGHT(K$1,2))</f>
        <v>51</v>
      </c>
      <c r="L41" s="16" cm="1">
        <f t="array" ref="L41">INDEX(_xlfn.ANCHORARRAY(_xlfn.XLOOKUP($C41,'-ref_Distribution'!$B$146:$B$150,'-ref_Distribution'!$G$146:$G$150)),RIGHT(L$1,2))</f>
        <v>65</v>
      </c>
      <c r="M41" s="16" cm="1">
        <f t="array" ref="M41">INDEX(_xlfn.ANCHORARRAY(_xlfn.XLOOKUP($C41,'-ref_Distribution'!$B$146:$B$150,'-ref_Distribution'!$G$146:$G$150)),RIGHT(M$1,2))</f>
        <v>80</v>
      </c>
      <c r="N41" s="16" cm="1">
        <f t="array" ref="N41">INDEX(_xlfn.ANCHORARRAY(_xlfn.XLOOKUP($C41,'-ref_Distribution'!$B$146:$B$150,'-ref_Distribution'!$G$146:$G$150)),RIGHT(N$1,2))</f>
        <v>96</v>
      </c>
      <c r="O41" s="16" cm="1">
        <f t="array" ref="O41">INDEX(_xlfn.ANCHORARRAY(_xlfn.XLOOKUP($C41,'-ref_Distribution'!$B$146:$B$150,'-ref_Distribution'!$G$146:$G$150)),RIGHT(O$1,2))</f>
        <v>111</v>
      </c>
      <c r="P41" s="16" cm="1">
        <f t="array" ref="P41">INDEX(_xlfn.ANCHORARRAY(_xlfn.XLOOKUP($C41,'-ref_Distribution'!$B$146:$B$150,'-ref_Distribution'!$G$146:$G$150)),RIGHT(P$1,2))</f>
        <v>125</v>
      </c>
      <c r="Q41" s="16" cm="1">
        <f t="array" ref="Q41">INDEX(_xlfn.ANCHORARRAY(_xlfn.XLOOKUP($C41,'-ref_Distribution'!$B$146:$B$150,'-ref_Distribution'!$G$146:$G$150)),RIGHT(Q$1,2))</f>
        <v>135</v>
      </c>
      <c r="R41" s="16" cm="1">
        <f t="array" ref="R41">INDEX(_xlfn.ANCHORARRAY(_xlfn.XLOOKUP($C41,'-ref_Distribution'!$B$146:$B$150,'-ref_Distribution'!$G$146:$G$150)),RIGHT(R$1,2))</f>
        <v>142</v>
      </c>
      <c r="S41" s="16" cm="1">
        <f t="array" ref="S41">INDEX(_xlfn.ANCHORARRAY(_xlfn.XLOOKUP($C41,'-ref_Distribution'!$B$146:$B$150,'-ref_Distribution'!$G$146:$G$150)),RIGHT(S$1,2))</f>
        <v>144</v>
      </c>
      <c r="T41" s="16" cm="1">
        <f t="array" ref="T41">INDEX(_xlfn.ANCHORARRAY(_xlfn.XLOOKUP($C41,'-ref_Distribution'!$B$146:$B$150,'-ref_Distribution'!$G$146:$G$150)),RIGHT(T$1,2))</f>
        <v>142</v>
      </c>
      <c r="U41" s="16" cm="1">
        <f t="array" ref="U41">INDEX(_xlfn.ANCHORARRAY(_xlfn.XLOOKUP($C41,'-ref_Distribution'!$B$146:$B$150,'-ref_Distribution'!$G$146:$G$150)),RIGHT(U$1,2))</f>
        <v>135</v>
      </c>
      <c r="V41" s="16" cm="1">
        <f t="array" ref="V41">INDEX(_xlfn.ANCHORARRAY(_xlfn.XLOOKUP($C41,'-ref_Distribution'!$B$146:$B$150,'-ref_Distribution'!$G$146:$G$150)),RIGHT(V$1,2))</f>
        <v>125</v>
      </c>
      <c r="W41" s="16" cm="1">
        <f t="array" ref="W41">INDEX(_xlfn.ANCHORARRAY(_xlfn.XLOOKUP($C41,'-ref_Distribution'!$B$146:$B$150,'-ref_Distribution'!$G$146:$G$150)),RIGHT(W$1,2))</f>
        <v>111</v>
      </c>
      <c r="X41" s="16" cm="1">
        <f t="array" ref="X41">INDEX(_xlfn.ANCHORARRAY(_xlfn.XLOOKUP($C41,'-ref_Distribution'!$B$146:$B$150,'-ref_Distribution'!$G$146:$G$150)),RIGHT(X$1,2))</f>
        <v>4</v>
      </c>
      <c r="Y41" s="16" cm="1">
        <f t="array" ref="Y41">INDEX(_xlfn.ANCHORARRAY(_xlfn.XLOOKUP($C41,'-ref_Distribution'!$B$146:$B$150,'-ref_Distribution'!$G$146:$G$150)),RIGHT(Y$1,2))</f>
        <v>6</v>
      </c>
      <c r="Z41" s="16" cm="1">
        <f t="array" ref="Z41">INDEX(_xlfn.ANCHORARRAY(_xlfn.XLOOKUP($C41,'-ref_Distribution'!$B$146:$B$150,'-ref_Distribution'!$G$146:$G$150)),RIGHT(Z$1,2))</f>
        <v>9</v>
      </c>
      <c r="AA41" s="16" cm="1">
        <f t="array" ref="AA41">INDEX(_xlfn.ANCHORARRAY(_xlfn.XLOOKUP($C41,'-ref_Distribution'!$B$146:$B$150,'-ref_Distribution'!$G$146:$G$150)),RIGHT(AA$1,2))</f>
        <v>14</v>
      </c>
      <c r="AB41" s="16" cm="1">
        <f t="array" ref="AB41">INDEX(_xlfn.ANCHORARRAY(_xlfn.XLOOKUP($C41,'-ref_Distribution'!$B$146:$B$150,'-ref_Distribution'!$G$146:$G$150)),RIGHT(AB$1,2))</f>
        <v>20</v>
      </c>
      <c r="AC41" s="16" cm="1">
        <f t="array" ref="AC41">INDEX(_xlfn.ANCHORARRAY(_xlfn.XLOOKUP($C41,'-ref_Distribution'!$B$146:$B$150,'-ref_Distribution'!$G$146:$G$150)),RIGHT(AC$1,2))</f>
        <v>28</v>
      </c>
      <c r="AD41" s="16" cm="1">
        <f t="array" ref="AD41">INDEX(_xlfn.ANCHORARRAY(_xlfn.XLOOKUP($C41,'-ref_Distribution'!$B$146:$B$150,'-ref_Distribution'!$G$146:$G$150)),RIGHT(AD$1,2))</f>
        <v>38</v>
      </c>
      <c r="AE41" s="16" cm="1">
        <f t="array" ref="AE41">INDEX(_xlfn.ANCHORARRAY(_xlfn.XLOOKUP($C41,'-ref_Distribution'!$B$146:$B$150,'-ref_Distribution'!$G$146:$G$150)),RIGHT(AE$1,2))</f>
        <v>51</v>
      </c>
      <c r="AF41" s="16" cm="1">
        <f t="array" ref="AF41">INDEX(_xlfn.ANCHORARRAY(_xlfn.XLOOKUP($C41,'-ref_Distribution'!$B$146:$B$150,'-ref_Distribution'!$G$146:$G$150)),RIGHT(AF$1,2))</f>
        <v>65</v>
      </c>
      <c r="AG41" s="16" cm="1">
        <f t="array" ref="AG41">INDEX(_xlfn.ANCHORARRAY(_xlfn.XLOOKUP($C41,'-ref_Distribution'!$B$146:$B$150,'-ref_Distribution'!$G$146:$G$150)),RIGHT(AG$1,2))</f>
        <v>80</v>
      </c>
      <c r="AH41" s="16" cm="1">
        <f t="array" ref="AH41">INDEX(_xlfn.ANCHORARRAY(_xlfn.XLOOKUP($C41,'-ref_Distribution'!$B$146:$B$150,'-ref_Distribution'!$G$146:$G$150)),RIGHT(AH$1,2))</f>
        <v>96</v>
      </c>
      <c r="AI41" s="16" cm="1">
        <f t="array" ref="AI41">INDEX(_xlfn.ANCHORARRAY(_xlfn.XLOOKUP($C41,'-ref_Distribution'!$B$146:$B$150,'-ref_Distribution'!$G$146:$G$150)),RIGHT(AI$1,2))</f>
        <v>111</v>
      </c>
      <c r="AJ41" s="16" cm="1">
        <f t="array" ref="AJ41">INDEX(_xlfn.ANCHORARRAY(_xlfn.XLOOKUP($C41,'-ref_Distribution'!$B$146:$B$150,'-ref_Distribution'!$G$146:$G$150)),RIGHT(AJ$1,2))</f>
        <v>125</v>
      </c>
      <c r="AK41" s="16" cm="1">
        <f t="array" ref="AK41">INDEX(_xlfn.ANCHORARRAY(_xlfn.XLOOKUP($C41,'-ref_Distribution'!$B$146:$B$150,'-ref_Distribution'!$G$146:$G$150)),RIGHT(AK$1,2))</f>
        <v>135</v>
      </c>
      <c r="AL41" s="16" cm="1">
        <f t="array" ref="AL41">INDEX(_xlfn.ANCHORARRAY(_xlfn.XLOOKUP($C41,'-ref_Distribution'!$B$146:$B$150,'-ref_Distribution'!$G$146:$G$150)),RIGHT(AL$1,2))</f>
        <v>142</v>
      </c>
      <c r="AM41" s="16" cm="1">
        <f t="array" ref="AM41">INDEX(_xlfn.ANCHORARRAY(_xlfn.XLOOKUP($C41,'-ref_Distribution'!$B$146:$B$150,'-ref_Distribution'!$G$146:$G$150)),RIGHT(AM$1,2))</f>
        <v>144</v>
      </c>
      <c r="AN41" s="16" cm="1">
        <f t="array" ref="AN41">INDEX(_xlfn.ANCHORARRAY(_xlfn.XLOOKUP($C41,'-ref_Distribution'!$B$146:$B$150,'-ref_Distribution'!$G$146:$G$150)),RIGHT(AN$1,2))</f>
        <v>142</v>
      </c>
      <c r="AO41" s="16" cm="1">
        <f t="array" ref="AO41">INDEX(_xlfn.ANCHORARRAY(_xlfn.XLOOKUP($C41,'-ref_Distribution'!$B$146:$B$150,'-ref_Distribution'!$G$146:$G$150)),RIGHT(AO$1,2))</f>
        <v>135</v>
      </c>
      <c r="AP41" s="16" cm="1">
        <f t="array" ref="AP41">INDEX(_xlfn.ANCHORARRAY(_xlfn.XLOOKUP($C41,'-ref_Distribution'!$B$146:$B$150,'-ref_Distribution'!$G$146:$G$150)),RIGHT(AP$1,2))</f>
        <v>125</v>
      </c>
      <c r="AQ41" s="16" cm="1">
        <f t="array" ref="AQ41">INDEX(_xlfn.ANCHORARRAY(_xlfn.XLOOKUP($C41,'-ref_Distribution'!$B$146:$B$150,'-ref_Distribution'!$G$146:$G$150)),RIGHT(AQ$1,2))</f>
        <v>111</v>
      </c>
      <c r="AR41" s="16" cm="1">
        <f t="array" ref="AR41">INDEX(_xlfn.ANCHORARRAY(_xlfn.XLOOKUP($C41,'-ref_Distribution'!$B$146:$B$150,'-ref_Distribution'!$G$146:$G$150)),RIGHT(AR$1,2))</f>
        <v>4</v>
      </c>
      <c r="AS41" s="16" cm="1">
        <f t="array" ref="AS41">INDEX(_xlfn.ANCHORARRAY(_xlfn.XLOOKUP($C41,'-ref_Distribution'!$B$146:$B$150,'-ref_Distribution'!$G$146:$G$150)),RIGHT(AS$1,2))</f>
        <v>6</v>
      </c>
      <c r="AT41" s="16" cm="1">
        <f t="array" ref="AT41">INDEX(_xlfn.ANCHORARRAY(_xlfn.XLOOKUP($C41,'-ref_Distribution'!$B$146:$B$150,'-ref_Distribution'!$G$146:$G$150)),RIGHT(AT$1,2))</f>
        <v>9</v>
      </c>
      <c r="AU41" s="16" cm="1">
        <f t="array" ref="AU41">INDEX(_xlfn.ANCHORARRAY(_xlfn.XLOOKUP($C41,'-ref_Distribution'!$B$146:$B$150,'-ref_Distribution'!$G$146:$G$150)),RIGHT(AU$1,2))</f>
        <v>14</v>
      </c>
      <c r="AV41" s="16" cm="1">
        <f t="array" ref="AV41">INDEX(_xlfn.ANCHORARRAY(_xlfn.XLOOKUP($C41,'-ref_Distribution'!$B$146:$B$150,'-ref_Distribution'!$G$146:$G$150)),RIGHT(AV$1,2))</f>
        <v>20</v>
      </c>
      <c r="AW41" s="16" cm="1">
        <f t="array" ref="AW41">INDEX(_xlfn.ANCHORARRAY(_xlfn.XLOOKUP($C41,'-ref_Distribution'!$B$146:$B$150,'-ref_Distribution'!$G$146:$G$150)),RIGHT(AW$1,2))</f>
        <v>28</v>
      </c>
      <c r="AX41" s="16" cm="1">
        <f t="array" ref="AX41">INDEX(_xlfn.ANCHORARRAY(_xlfn.XLOOKUP($C41,'-ref_Distribution'!$B$146:$B$150,'-ref_Distribution'!$G$146:$G$150)),RIGHT(AX$1,2))</f>
        <v>38</v>
      </c>
      <c r="AY41" s="16" cm="1">
        <f t="array" ref="AY41">INDEX(_xlfn.ANCHORARRAY(_xlfn.XLOOKUP($C41,'-ref_Distribution'!$B$146:$B$150,'-ref_Distribution'!$G$146:$G$150)),RIGHT(AY$1,2))</f>
        <v>51</v>
      </c>
      <c r="AZ41" s="16" cm="1">
        <f t="array" ref="AZ41">INDEX(_xlfn.ANCHORARRAY(_xlfn.XLOOKUP($C41,'-ref_Distribution'!$B$146:$B$150,'-ref_Distribution'!$G$146:$G$150)),RIGHT(AZ$1,2))</f>
        <v>65</v>
      </c>
      <c r="BA41" s="16" cm="1">
        <f t="array" ref="BA41">INDEX(_xlfn.ANCHORARRAY(_xlfn.XLOOKUP($C41,'-ref_Distribution'!$B$146:$B$150,'-ref_Distribution'!$G$146:$G$150)),RIGHT(BA$1,2))</f>
        <v>80</v>
      </c>
      <c r="BB41" s="16" cm="1">
        <f t="array" ref="BB41">INDEX(_xlfn.ANCHORARRAY(_xlfn.XLOOKUP($C41,'-ref_Distribution'!$B$146:$B$150,'-ref_Distribution'!$G$146:$G$150)),RIGHT(BB$1,2))</f>
        <v>96</v>
      </c>
      <c r="BC41" s="16" cm="1">
        <f t="array" ref="BC41">INDEX(_xlfn.ANCHORARRAY(_xlfn.XLOOKUP($C41,'-ref_Distribution'!$B$146:$B$150,'-ref_Distribution'!$G$146:$G$150)),RIGHT(BC$1,2))</f>
        <v>111</v>
      </c>
      <c r="BD41" s="16" cm="1">
        <f t="array" ref="BD41">INDEX(_xlfn.ANCHORARRAY(_xlfn.XLOOKUP($C41,'-ref_Distribution'!$B$146:$B$150,'-ref_Distribution'!$G$146:$G$150)),RIGHT(BD$1,2))</f>
        <v>125</v>
      </c>
      <c r="BE41" s="16" cm="1">
        <f t="array" ref="BE41">INDEX(_xlfn.ANCHORARRAY(_xlfn.XLOOKUP($C41,'-ref_Distribution'!$B$146:$B$150,'-ref_Distribution'!$G$146:$G$150)),RIGHT(BE$1,2))</f>
        <v>135</v>
      </c>
      <c r="BF41" s="16" cm="1">
        <f t="array" ref="BF41">INDEX(_xlfn.ANCHORARRAY(_xlfn.XLOOKUP($C41,'-ref_Distribution'!$B$146:$B$150,'-ref_Distribution'!$G$146:$G$150)),RIGHT(BF$1,2))</f>
        <v>142</v>
      </c>
      <c r="BG41" s="16" cm="1">
        <f t="array" ref="BG41">INDEX(_xlfn.ANCHORARRAY(_xlfn.XLOOKUP($C41,'-ref_Distribution'!$B$146:$B$150,'-ref_Distribution'!$G$146:$G$150)),RIGHT(BG$1,2))</f>
        <v>144</v>
      </c>
      <c r="BH41" s="16" cm="1">
        <f t="array" ref="BH41">INDEX(_xlfn.ANCHORARRAY(_xlfn.XLOOKUP($C41,'-ref_Distribution'!$B$146:$B$150,'-ref_Distribution'!$G$146:$G$150)),RIGHT(BH$1,2))</f>
        <v>142</v>
      </c>
      <c r="BI41" s="16" cm="1">
        <f t="array" ref="BI41">INDEX(_xlfn.ANCHORARRAY(_xlfn.XLOOKUP($C41,'-ref_Distribution'!$B$146:$B$150,'-ref_Distribution'!$G$146:$G$150)),RIGHT(BI$1,2))</f>
        <v>135</v>
      </c>
      <c r="BJ41" s="16" cm="1">
        <f t="array" ref="BJ41">INDEX(_xlfn.ANCHORARRAY(_xlfn.XLOOKUP($C41,'-ref_Distribution'!$B$146:$B$150,'-ref_Distribution'!$G$146:$G$150)),RIGHT(BJ$1,2))</f>
        <v>125</v>
      </c>
      <c r="BK41" s="16" cm="1">
        <f t="array" ref="BK41">INDEX(_xlfn.ANCHORARRAY(_xlfn.XLOOKUP($C41,'-ref_Distribution'!$B$146:$B$150,'-ref_Distribution'!$G$146:$G$150)),RIGHT(BK$1,2))</f>
        <v>111</v>
      </c>
      <c r="BL41" s="16" cm="1">
        <f t="array" ref="BL41">INDEX(_xlfn.ANCHORARRAY(_xlfn.XLOOKUP($C41,'-ref_Distribution'!$B$146:$B$150,'-ref_Distribution'!$G$146:$G$150)),RIGHT(BL$1,2))</f>
        <v>4</v>
      </c>
      <c r="BM41" s="16" cm="1">
        <f t="array" ref="BM41">INDEX(_xlfn.ANCHORARRAY(_xlfn.XLOOKUP($C41,'-ref_Distribution'!$B$146:$B$150,'-ref_Distribution'!$G$146:$G$150)),RIGHT(BM$1,2))</f>
        <v>6</v>
      </c>
      <c r="BN41" s="16" cm="1">
        <f t="array" ref="BN41">INDEX(_xlfn.ANCHORARRAY(_xlfn.XLOOKUP($C41,'-ref_Distribution'!$B$146:$B$150,'-ref_Distribution'!$G$146:$G$150)),RIGHT(BN$1,2))</f>
        <v>9</v>
      </c>
      <c r="BO41" s="16" cm="1">
        <f t="array" ref="BO41">INDEX(_xlfn.ANCHORARRAY(_xlfn.XLOOKUP($C41,'-ref_Distribution'!$B$146:$B$150,'-ref_Distribution'!$G$146:$G$150)),RIGHT(BO$1,2))</f>
        <v>14</v>
      </c>
      <c r="BP41" s="16" cm="1">
        <f t="array" ref="BP41">INDEX(_xlfn.ANCHORARRAY(_xlfn.XLOOKUP($C41,'-ref_Distribution'!$B$146:$B$150,'-ref_Distribution'!$G$146:$G$150)),RIGHT(BP$1,2))</f>
        <v>20</v>
      </c>
      <c r="BQ41" s="16" cm="1">
        <f t="array" ref="BQ41">INDEX(_xlfn.ANCHORARRAY(_xlfn.XLOOKUP($C41,'-ref_Distribution'!$B$146:$B$150,'-ref_Distribution'!$G$146:$G$150)),RIGHT(BQ$1,2))</f>
        <v>28</v>
      </c>
      <c r="BR41" s="16" cm="1">
        <f t="array" ref="BR41">INDEX(_xlfn.ANCHORARRAY(_xlfn.XLOOKUP($C41,'-ref_Distribution'!$B$146:$B$150,'-ref_Distribution'!$G$146:$G$150)),RIGHT(BR$1,2))</f>
        <v>38</v>
      </c>
      <c r="BS41" s="16" cm="1">
        <f t="array" ref="BS41">INDEX(_xlfn.ANCHORARRAY(_xlfn.XLOOKUP($C41,'-ref_Distribution'!$B$146:$B$150,'-ref_Distribution'!$G$146:$G$150)),RIGHT(BS$1,2))</f>
        <v>51</v>
      </c>
      <c r="BT41" s="16" cm="1">
        <f t="array" ref="BT41">INDEX(_xlfn.ANCHORARRAY(_xlfn.XLOOKUP($C41,'-ref_Distribution'!$B$146:$B$150,'-ref_Distribution'!$G$146:$G$150)),RIGHT(BT$1,2))</f>
        <v>65</v>
      </c>
      <c r="BU41" s="16" cm="1">
        <f t="array" ref="BU41">INDEX(_xlfn.ANCHORARRAY(_xlfn.XLOOKUP($C41,'-ref_Distribution'!$B$146:$B$150,'-ref_Distribution'!$G$146:$G$150)),RIGHT(BU$1,2))</f>
        <v>80</v>
      </c>
      <c r="BV41" s="16" cm="1">
        <f t="array" ref="BV41">INDEX(_xlfn.ANCHORARRAY(_xlfn.XLOOKUP($C41,'-ref_Distribution'!$B$146:$B$150,'-ref_Distribution'!$G$146:$G$150)),RIGHT(BV$1,2))</f>
        <v>96</v>
      </c>
      <c r="BW41" s="16" cm="1">
        <f t="array" ref="BW41">INDEX(_xlfn.ANCHORARRAY(_xlfn.XLOOKUP($C41,'-ref_Distribution'!$B$146:$B$150,'-ref_Distribution'!$G$146:$G$150)),RIGHT(BW$1,2))</f>
        <v>111</v>
      </c>
      <c r="BX41" s="16" cm="1">
        <f t="array" ref="BX41">INDEX(_xlfn.ANCHORARRAY(_xlfn.XLOOKUP($C41,'-ref_Distribution'!$B$146:$B$150,'-ref_Distribution'!$G$146:$G$150)),RIGHT(BX$1,2))</f>
        <v>125</v>
      </c>
      <c r="BY41" s="16" cm="1">
        <f t="array" ref="BY41">INDEX(_xlfn.ANCHORARRAY(_xlfn.XLOOKUP($C41,'-ref_Distribution'!$B$146:$B$150,'-ref_Distribution'!$G$146:$G$150)),RIGHT(BY$1,2))</f>
        <v>135</v>
      </c>
      <c r="BZ41" s="16" cm="1">
        <f t="array" ref="BZ41">INDEX(_xlfn.ANCHORARRAY(_xlfn.XLOOKUP($C41,'-ref_Distribution'!$B$146:$B$150,'-ref_Distribution'!$G$146:$G$150)),RIGHT(BZ$1,2))</f>
        <v>142</v>
      </c>
      <c r="CA41" s="16" cm="1">
        <f t="array" ref="CA41">INDEX(_xlfn.ANCHORARRAY(_xlfn.XLOOKUP($C41,'-ref_Distribution'!$B$146:$B$150,'-ref_Distribution'!$G$146:$G$150)),RIGHT(CA$1,2))</f>
        <v>144</v>
      </c>
      <c r="CB41" s="16" cm="1">
        <f t="array" ref="CB41">INDEX(_xlfn.ANCHORARRAY(_xlfn.XLOOKUP($C41,'-ref_Distribution'!$B$146:$B$150,'-ref_Distribution'!$G$146:$G$150)),RIGHT(CB$1,2))</f>
        <v>142</v>
      </c>
      <c r="CC41" s="16" cm="1">
        <f t="array" ref="CC41">INDEX(_xlfn.ANCHORARRAY(_xlfn.XLOOKUP($C41,'-ref_Distribution'!$B$146:$B$150,'-ref_Distribution'!$G$146:$G$150)),RIGHT(CC$1,2))</f>
        <v>135</v>
      </c>
      <c r="CD41" s="16" cm="1">
        <f t="array" ref="CD41">INDEX(_xlfn.ANCHORARRAY(_xlfn.XLOOKUP($C41,'-ref_Distribution'!$B$146:$B$150,'-ref_Distribution'!$G$146:$G$150)),RIGHT(CD$1,2))</f>
        <v>125</v>
      </c>
      <c r="CE41" s="16" cm="1">
        <f t="array" ref="CE41">INDEX(_xlfn.ANCHORARRAY(_xlfn.XLOOKUP($C41,'-ref_Distribution'!$B$146:$B$150,'-ref_Distribution'!$G$146:$G$150)),RIGHT(CE$1,2))</f>
        <v>111</v>
      </c>
    </row>
    <row r="42" spans="1:83" x14ac:dyDescent="0.2"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1:83" x14ac:dyDescent="0.2">
      <c r="A43" s="16">
        <v>302011</v>
      </c>
      <c r="B43" s="16" t="s">
        <v>372</v>
      </c>
      <c r="C43" s="16">
        <v>0</v>
      </c>
      <c r="D43" s="16" cm="1">
        <f t="array" ref="D43">INDEX(_xlfn.ANCHORARRAY(_xlfn.XLOOKUP($C43,'-ref_Distribution'!$B$146:$B$150,'-ref_Distribution'!$G$146:$G$150)),RIGHT(D$1,2))</f>
        <v>709</v>
      </c>
      <c r="E43" s="16" cm="1">
        <f t="array" ref="E43">INDEX(_xlfn.ANCHORARRAY(_xlfn.XLOOKUP($C43,'-ref_Distribution'!$B$146:$B$150,'-ref_Distribution'!$G$146:$G$150)),RIGHT(E$1,2))</f>
        <v>705</v>
      </c>
      <c r="F43" s="16" cm="1">
        <f t="array" ref="F43">INDEX(_xlfn.ANCHORARRAY(_xlfn.XLOOKUP($C43,'-ref_Distribution'!$B$146:$B$150,'-ref_Distribution'!$G$146:$G$150)),RIGHT(F$1,2))</f>
        <v>692</v>
      </c>
      <c r="G43" s="16" cm="1">
        <f t="array" ref="G43">INDEX(_xlfn.ANCHORARRAY(_xlfn.XLOOKUP($C43,'-ref_Distribution'!$B$146:$B$150,'-ref_Distribution'!$G$146:$G$150)),RIGHT(G$1,2))</f>
        <v>671</v>
      </c>
      <c r="H43" s="16" cm="1">
        <f t="array" ref="H43">INDEX(_xlfn.ANCHORARRAY(_xlfn.XLOOKUP($C43,'-ref_Distribution'!$B$146:$B$150,'-ref_Distribution'!$G$146:$G$150)),RIGHT(H$1,2))</f>
        <v>643</v>
      </c>
      <c r="I43" s="16" cm="1">
        <f t="array" ref="I43">INDEX(_xlfn.ANCHORARRAY(_xlfn.XLOOKUP($C43,'-ref_Distribution'!$B$146:$B$150,'-ref_Distribution'!$G$146:$G$150)),RIGHT(I$1,2))</f>
        <v>608</v>
      </c>
      <c r="J43" s="16" cm="1">
        <f t="array" ref="J43">INDEX(_xlfn.ANCHORARRAY(_xlfn.XLOOKUP($C43,'-ref_Distribution'!$B$146:$B$150,'-ref_Distribution'!$G$146:$G$150)),RIGHT(J$1,2))</f>
        <v>568</v>
      </c>
      <c r="K43" s="16" cm="1">
        <f t="array" ref="K43">INDEX(_xlfn.ANCHORARRAY(_xlfn.XLOOKUP($C43,'-ref_Distribution'!$B$146:$B$150,'-ref_Distribution'!$G$146:$G$150)),RIGHT(K$1,2))</f>
        <v>524</v>
      </c>
      <c r="L43" s="16" cm="1">
        <f t="array" ref="L43">INDEX(_xlfn.ANCHORARRAY(_xlfn.XLOOKUP($C43,'-ref_Distribution'!$B$146:$B$150,'-ref_Distribution'!$G$146:$G$150)),RIGHT(L$1,2))</f>
        <v>478</v>
      </c>
      <c r="M43" s="16" cm="1">
        <f t="array" ref="M43">INDEX(_xlfn.ANCHORARRAY(_xlfn.XLOOKUP($C43,'-ref_Distribution'!$B$146:$B$150,'-ref_Distribution'!$G$146:$G$150)),RIGHT(M$1,2))</f>
        <v>430</v>
      </c>
      <c r="N43" s="16" cm="1">
        <f t="array" ref="N43">INDEX(_xlfn.ANCHORARRAY(_xlfn.XLOOKUP($C43,'-ref_Distribution'!$B$146:$B$150,'-ref_Distribution'!$G$146:$G$150)),RIGHT(N$1,2))</f>
        <v>383</v>
      </c>
      <c r="O43" s="16" cm="1">
        <f t="array" ref="O43">INDEX(_xlfn.ANCHORARRAY(_xlfn.XLOOKUP($C43,'-ref_Distribution'!$B$146:$B$150,'-ref_Distribution'!$G$146:$G$150)),RIGHT(O$1,2))</f>
        <v>336</v>
      </c>
      <c r="P43" s="16" cm="1">
        <f t="array" ref="P43">INDEX(_xlfn.ANCHORARRAY(_xlfn.XLOOKUP($C43,'-ref_Distribution'!$B$146:$B$150,'-ref_Distribution'!$G$146:$G$150)),RIGHT(P$1,2))</f>
        <v>292</v>
      </c>
      <c r="Q43" s="16" cm="1">
        <f t="array" ref="Q43">INDEX(_xlfn.ANCHORARRAY(_xlfn.XLOOKUP($C43,'-ref_Distribution'!$B$146:$B$150,'-ref_Distribution'!$G$146:$G$150)),RIGHT(Q$1,2))</f>
        <v>250</v>
      </c>
      <c r="R43" s="16" cm="1">
        <f t="array" ref="R43">INDEX(_xlfn.ANCHORARRAY(_xlfn.XLOOKUP($C43,'-ref_Distribution'!$B$146:$B$150,'-ref_Distribution'!$G$146:$G$150)),RIGHT(R$1,2))</f>
        <v>212</v>
      </c>
      <c r="S43" s="16" cm="1">
        <f t="array" ref="S43">INDEX(_xlfn.ANCHORARRAY(_xlfn.XLOOKUP($C43,'-ref_Distribution'!$B$146:$B$150,'-ref_Distribution'!$G$146:$G$150)),RIGHT(S$1,2))</f>
        <v>177</v>
      </c>
      <c r="T43" s="16" cm="1">
        <f t="array" ref="T43">INDEX(_xlfn.ANCHORARRAY(_xlfn.XLOOKUP($C43,'-ref_Distribution'!$B$146:$B$150,'-ref_Distribution'!$G$146:$G$150)),RIGHT(T$1,2))</f>
        <v>146</v>
      </c>
      <c r="U43" s="16" cm="1">
        <f t="array" ref="U43">INDEX(_xlfn.ANCHORARRAY(_xlfn.XLOOKUP($C43,'-ref_Distribution'!$B$146:$B$150,'-ref_Distribution'!$G$146:$G$150)),RIGHT(U$1,2))</f>
        <v>119</v>
      </c>
      <c r="V43" s="16" cm="1">
        <f t="array" ref="V43">INDEX(_xlfn.ANCHORARRAY(_xlfn.XLOOKUP($C43,'-ref_Distribution'!$B$146:$B$150,'-ref_Distribution'!$G$146:$G$150)),RIGHT(V$1,2))</f>
        <v>96</v>
      </c>
      <c r="W43" s="16" cm="1">
        <f t="array" ref="W43">INDEX(_xlfn.ANCHORARRAY(_xlfn.XLOOKUP($C43,'-ref_Distribution'!$B$146:$B$150,'-ref_Distribution'!$G$146:$G$150)),RIGHT(W$1,2))</f>
        <v>76</v>
      </c>
      <c r="X43" s="16" cm="1">
        <f t="array" ref="X43">INDEX(_xlfn.ANCHORARRAY(_xlfn.XLOOKUP($C43,'-ref_Distribution'!$B$146:$B$150,'-ref_Distribution'!$G$146:$G$150)),RIGHT(X$1,2))</f>
        <v>709</v>
      </c>
      <c r="Y43" s="16" cm="1">
        <f t="array" ref="Y43">INDEX(_xlfn.ANCHORARRAY(_xlfn.XLOOKUP($C43,'-ref_Distribution'!$B$146:$B$150,'-ref_Distribution'!$G$146:$G$150)),RIGHT(Y$1,2))</f>
        <v>705</v>
      </c>
      <c r="Z43" s="16" cm="1">
        <f t="array" ref="Z43">INDEX(_xlfn.ANCHORARRAY(_xlfn.XLOOKUP($C43,'-ref_Distribution'!$B$146:$B$150,'-ref_Distribution'!$G$146:$G$150)),RIGHT(Z$1,2))</f>
        <v>692</v>
      </c>
      <c r="AA43" s="16" cm="1">
        <f t="array" ref="AA43">INDEX(_xlfn.ANCHORARRAY(_xlfn.XLOOKUP($C43,'-ref_Distribution'!$B$146:$B$150,'-ref_Distribution'!$G$146:$G$150)),RIGHT(AA$1,2))</f>
        <v>671</v>
      </c>
      <c r="AB43" s="16" cm="1">
        <f t="array" ref="AB43">INDEX(_xlfn.ANCHORARRAY(_xlfn.XLOOKUP($C43,'-ref_Distribution'!$B$146:$B$150,'-ref_Distribution'!$G$146:$G$150)),RIGHT(AB$1,2))</f>
        <v>643</v>
      </c>
      <c r="AC43" s="16" cm="1">
        <f t="array" ref="AC43">INDEX(_xlfn.ANCHORARRAY(_xlfn.XLOOKUP($C43,'-ref_Distribution'!$B$146:$B$150,'-ref_Distribution'!$G$146:$G$150)),RIGHT(AC$1,2))</f>
        <v>608</v>
      </c>
      <c r="AD43" s="16" cm="1">
        <f t="array" ref="AD43">INDEX(_xlfn.ANCHORARRAY(_xlfn.XLOOKUP($C43,'-ref_Distribution'!$B$146:$B$150,'-ref_Distribution'!$G$146:$G$150)),RIGHT(AD$1,2))</f>
        <v>568</v>
      </c>
      <c r="AE43" s="16" cm="1">
        <f t="array" ref="AE43">INDEX(_xlfn.ANCHORARRAY(_xlfn.XLOOKUP($C43,'-ref_Distribution'!$B$146:$B$150,'-ref_Distribution'!$G$146:$G$150)),RIGHT(AE$1,2))</f>
        <v>524</v>
      </c>
      <c r="AF43" s="16" cm="1">
        <f t="array" ref="AF43">INDEX(_xlfn.ANCHORARRAY(_xlfn.XLOOKUP($C43,'-ref_Distribution'!$B$146:$B$150,'-ref_Distribution'!$G$146:$G$150)),RIGHT(AF$1,2))</f>
        <v>478</v>
      </c>
      <c r="AG43" s="16" cm="1">
        <f t="array" ref="AG43">INDEX(_xlfn.ANCHORARRAY(_xlfn.XLOOKUP($C43,'-ref_Distribution'!$B$146:$B$150,'-ref_Distribution'!$G$146:$G$150)),RIGHT(AG$1,2))</f>
        <v>430</v>
      </c>
      <c r="AH43" s="16" cm="1">
        <f t="array" ref="AH43">INDEX(_xlfn.ANCHORARRAY(_xlfn.XLOOKUP($C43,'-ref_Distribution'!$B$146:$B$150,'-ref_Distribution'!$G$146:$G$150)),RIGHT(AH$1,2))</f>
        <v>383</v>
      </c>
      <c r="AI43" s="16" cm="1">
        <f t="array" ref="AI43">INDEX(_xlfn.ANCHORARRAY(_xlfn.XLOOKUP($C43,'-ref_Distribution'!$B$146:$B$150,'-ref_Distribution'!$G$146:$G$150)),RIGHT(AI$1,2))</f>
        <v>336</v>
      </c>
      <c r="AJ43" s="16" cm="1">
        <f t="array" ref="AJ43">INDEX(_xlfn.ANCHORARRAY(_xlfn.XLOOKUP($C43,'-ref_Distribution'!$B$146:$B$150,'-ref_Distribution'!$G$146:$G$150)),RIGHT(AJ$1,2))</f>
        <v>292</v>
      </c>
      <c r="AK43" s="16" cm="1">
        <f t="array" ref="AK43">INDEX(_xlfn.ANCHORARRAY(_xlfn.XLOOKUP($C43,'-ref_Distribution'!$B$146:$B$150,'-ref_Distribution'!$G$146:$G$150)),RIGHT(AK$1,2))</f>
        <v>250</v>
      </c>
      <c r="AL43" s="16" cm="1">
        <f t="array" ref="AL43">INDEX(_xlfn.ANCHORARRAY(_xlfn.XLOOKUP($C43,'-ref_Distribution'!$B$146:$B$150,'-ref_Distribution'!$G$146:$G$150)),RIGHT(AL$1,2))</f>
        <v>212</v>
      </c>
      <c r="AM43" s="16" cm="1">
        <f t="array" ref="AM43">INDEX(_xlfn.ANCHORARRAY(_xlfn.XLOOKUP($C43,'-ref_Distribution'!$B$146:$B$150,'-ref_Distribution'!$G$146:$G$150)),RIGHT(AM$1,2))</f>
        <v>177</v>
      </c>
      <c r="AN43" s="16" cm="1">
        <f t="array" ref="AN43">INDEX(_xlfn.ANCHORARRAY(_xlfn.XLOOKUP($C43,'-ref_Distribution'!$B$146:$B$150,'-ref_Distribution'!$G$146:$G$150)),RIGHT(AN$1,2))</f>
        <v>146</v>
      </c>
      <c r="AO43" s="16" cm="1">
        <f t="array" ref="AO43">INDEX(_xlfn.ANCHORARRAY(_xlfn.XLOOKUP($C43,'-ref_Distribution'!$B$146:$B$150,'-ref_Distribution'!$G$146:$G$150)),RIGHT(AO$1,2))</f>
        <v>119</v>
      </c>
      <c r="AP43" s="16" cm="1">
        <f t="array" ref="AP43">INDEX(_xlfn.ANCHORARRAY(_xlfn.XLOOKUP($C43,'-ref_Distribution'!$B$146:$B$150,'-ref_Distribution'!$G$146:$G$150)),RIGHT(AP$1,2))</f>
        <v>96</v>
      </c>
      <c r="AQ43" s="16" cm="1">
        <f t="array" ref="AQ43">INDEX(_xlfn.ANCHORARRAY(_xlfn.XLOOKUP($C43,'-ref_Distribution'!$B$146:$B$150,'-ref_Distribution'!$G$146:$G$150)),RIGHT(AQ$1,2))</f>
        <v>76</v>
      </c>
      <c r="AR43" s="16" cm="1">
        <f t="array" ref="AR43">INDEX(_xlfn.ANCHORARRAY(_xlfn.XLOOKUP($C43,'-ref_Distribution'!$B$146:$B$150,'-ref_Distribution'!$G$146:$G$150)),RIGHT(AR$1,2))</f>
        <v>709</v>
      </c>
      <c r="AS43" s="16" cm="1">
        <f t="array" ref="AS43">INDEX(_xlfn.ANCHORARRAY(_xlfn.XLOOKUP($C43,'-ref_Distribution'!$B$146:$B$150,'-ref_Distribution'!$G$146:$G$150)),RIGHT(AS$1,2))</f>
        <v>705</v>
      </c>
      <c r="AT43" s="16" cm="1">
        <f t="array" ref="AT43">INDEX(_xlfn.ANCHORARRAY(_xlfn.XLOOKUP($C43,'-ref_Distribution'!$B$146:$B$150,'-ref_Distribution'!$G$146:$G$150)),RIGHT(AT$1,2))</f>
        <v>692</v>
      </c>
      <c r="AU43" s="16" cm="1">
        <f t="array" ref="AU43">INDEX(_xlfn.ANCHORARRAY(_xlfn.XLOOKUP($C43,'-ref_Distribution'!$B$146:$B$150,'-ref_Distribution'!$G$146:$G$150)),RIGHT(AU$1,2))</f>
        <v>671</v>
      </c>
      <c r="AV43" s="16" cm="1">
        <f t="array" ref="AV43">INDEX(_xlfn.ANCHORARRAY(_xlfn.XLOOKUP($C43,'-ref_Distribution'!$B$146:$B$150,'-ref_Distribution'!$G$146:$G$150)),RIGHT(AV$1,2))</f>
        <v>643</v>
      </c>
      <c r="AW43" s="16" cm="1">
        <f t="array" ref="AW43">INDEX(_xlfn.ANCHORARRAY(_xlfn.XLOOKUP($C43,'-ref_Distribution'!$B$146:$B$150,'-ref_Distribution'!$G$146:$G$150)),RIGHT(AW$1,2))</f>
        <v>608</v>
      </c>
      <c r="AX43" s="16" cm="1">
        <f t="array" ref="AX43">INDEX(_xlfn.ANCHORARRAY(_xlfn.XLOOKUP($C43,'-ref_Distribution'!$B$146:$B$150,'-ref_Distribution'!$G$146:$G$150)),RIGHT(AX$1,2))</f>
        <v>568</v>
      </c>
      <c r="AY43" s="16" cm="1">
        <f t="array" ref="AY43">INDEX(_xlfn.ANCHORARRAY(_xlfn.XLOOKUP($C43,'-ref_Distribution'!$B$146:$B$150,'-ref_Distribution'!$G$146:$G$150)),RIGHT(AY$1,2))</f>
        <v>524</v>
      </c>
      <c r="AZ43" s="16" cm="1">
        <f t="array" ref="AZ43">INDEX(_xlfn.ANCHORARRAY(_xlfn.XLOOKUP($C43,'-ref_Distribution'!$B$146:$B$150,'-ref_Distribution'!$G$146:$G$150)),RIGHT(AZ$1,2))</f>
        <v>478</v>
      </c>
      <c r="BA43" s="16" cm="1">
        <f t="array" ref="BA43">INDEX(_xlfn.ANCHORARRAY(_xlfn.XLOOKUP($C43,'-ref_Distribution'!$B$146:$B$150,'-ref_Distribution'!$G$146:$G$150)),RIGHT(BA$1,2))</f>
        <v>430</v>
      </c>
      <c r="BB43" s="16" cm="1">
        <f t="array" ref="BB43">INDEX(_xlfn.ANCHORARRAY(_xlfn.XLOOKUP($C43,'-ref_Distribution'!$B$146:$B$150,'-ref_Distribution'!$G$146:$G$150)),RIGHT(BB$1,2))</f>
        <v>383</v>
      </c>
      <c r="BC43" s="16" cm="1">
        <f t="array" ref="BC43">INDEX(_xlfn.ANCHORARRAY(_xlfn.XLOOKUP($C43,'-ref_Distribution'!$B$146:$B$150,'-ref_Distribution'!$G$146:$G$150)),RIGHT(BC$1,2))</f>
        <v>336</v>
      </c>
      <c r="BD43" s="16" cm="1">
        <f t="array" ref="BD43">INDEX(_xlfn.ANCHORARRAY(_xlfn.XLOOKUP($C43,'-ref_Distribution'!$B$146:$B$150,'-ref_Distribution'!$G$146:$G$150)),RIGHT(BD$1,2))</f>
        <v>292</v>
      </c>
      <c r="BE43" s="16" cm="1">
        <f t="array" ref="BE43">INDEX(_xlfn.ANCHORARRAY(_xlfn.XLOOKUP($C43,'-ref_Distribution'!$B$146:$B$150,'-ref_Distribution'!$G$146:$G$150)),RIGHT(BE$1,2))</f>
        <v>250</v>
      </c>
      <c r="BF43" s="16" cm="1">
        <f t="array" ref="BF43">INDEX(_xlfn.ANCHORARRAY(_xlfn.XLOOKUP($C43,'-ref_Distribution'!$B$146:$B$150,'-ref_Distribution'!$G$146:$G$150)),RIGHT(BF$1,2))</f>
        <v>212</v>
      </c>
      <c r="BG43" s="16" cm="1">
        <f t="array" ref="BG43">INDEX(_xlfn.ANCHORARRAY(_xlfn.XLOOKUP($C43,'-ref_Distribution'!$B$146:$B$150,'-ref_Distribution'!$G$146:$G$150)),RIGHT(BG$1,2))</f>
        <v>177</v>
      </c>
      <c r="BH43" s="16" cm="1">
        <f t="array" ref="BH43">INDEX(_xlfn.ANCHORARRAY(_xlfn.XLOOKUP($C43,'-ref_Distribution'!$B$146:$B$150,'-ref_Distribution'!$G$146:$G$150)),RIGHT(BH$1,2))</f>
        <v>146</v>
      </c>
      <c r="BI43" s="16" cm="1">
        <f t="array" ref="BI43">INDEX(_xlfn.ANCHORARRAY(_xlfn.XLOOKUP($C43,'-ref_Distribution'!$B$146:$B$150,'-ref_Distribution'!$G$146:$G$150)),RIGHT(BI$1,2))</f>
        <v>119</v>
      </c>
      <c r="BJ43" s="16" cm="1">
        <f t="array" ref="BJ43">INDEX(_xlfn.ANCHORARRAY(_xlfn.XLOOKUP($C43,'-ref_Distribution'!$B$146:$B$150,'-ref_Distribution'!$G$146:$G$150)),RIGHT(BJ$1,2))</f>
        <v>96</v>
      </c>
      <c r="BK43" s="16" cm="1">
        <f t="array" ref="BK43">INDEX(_xlfn.ANCHORARRAY(_xlfn.XLOOKUP($C43,'-ref_Distribution'!$B$146:$B$150,'-ref_Distribution'!$G$146:$G$150)),RIGHT(BK$1,2))</f>
        <v>76</v>
      </c>
      <c r="BL43" s="16" cm="1">
        <f t="array" ref="BL43">INDEX(_xlfn.ANCHORARRAY(_xlfn.XLOOKUP($C43,'-ref_Distribution'!$B$146:$B$150,'-ref_Distribution'!$G$146:$G$150)),RIGHT(BL$1,2))</f>
        <v>709</v>
      </c>
      <c r="BM43" s="16" cm="1">
        <f t="array" ref="BM43">INDEX(_xlfn.ANCHORARRAY(_xlfn.XLOOKUP($C43,'-ref_Distribution'!$B$146:$B$150,'-ref_Distribution'!$G$146:$G$150)),RIGHT(BM$1,2))</f>
        <v>705</v>
      </c>
      <c r="BN43" s="16" cm="1">
        <f t="array" ref="BN43">INDEX(_xlfn.ANCHORARRAY(_xlfn.XLOOKUP($C43,'-ref_Distribution'!$B$146:$B$150,'-ref_Distribution'!$G$146:$G$150)),RIGHT(BN$1,2))</f>
        <v>692</v>
      </c>
      <c r="BO43" s="16" cm="1">
        <f t="array" ref="BO43">INDEX(_xlfn.ANCHORARRAY(_xlfn.XLOOKUP($C43,'-ref_Distribution'!$B$146:$B$150,'-ref_Distribution'!$G$146:$G$150)),RIGHT(BO$1,2))</f>
        <v>671</v>
      </c>
      <c r="BP43" s="16" cm="1">
        <f t="array" ref="BP43">INDEX(_xlfn.ANCHORARRAY(_xlfn.XLOOKUP($C43,'-ref_Distribution'!$B$146:$B$150,'-ref_Distribution'!$G$146:$G$150)),RIGHT(BP$1,2))</f>
        <v>643</v>
      </c>
      <c r="BQ43" s="16" cm="1">
        <f t="array" ref="BQ43">INDEX(_xlfn.ANCHORARRAY(_xlfn.XLOOKUP($C43,'-ref_Distribution'!$B$146:$B$150,'-ref_Distribution'!$G$146:$G$150)),RIGHT(BQ$1,2))</f>
        <v>608</v>
      </c>
      <c r="BR43" s="16" cm="1">
        <f t="array" ref="BR43">INDEX(_xlfn.ANCHORARRAY(_xlfn.XLOOKUP($C43,'-ref_Distribution'!$B$146:$B$150,'-ref_Distribution'!$G$146:$G$150)),RIGHT(BR$1,2))</f>
        <v>568</v>
      </c>
      <c r="BS43" s="16" cm="1">
        <f t="array" ref="BS43">INDEX(_xlfn.ANCHORARRAY(_xlfn.XLOOKUP($C43,'-ref_Distribution'!$B$146:$B$150,'-ref_Distribution'!$G$146:$G$150)),RIGHT(BS$1,2))</f>
        <v>524</v>
      </c>
      <c r="BT43" s="16" cm="1">
        <f t="array" ref="BT43">INDEX(_xlfn.ANCHORARRAY(_xlfn.XLOOKUP($C43,'-ref_Distribution'!$B$146:$B$150,'-ref_Distribution'!$G$146:$G$150)),RIGHT(BT$1,2))</f>
        <v>478</v>
      </c>
      <c r="BU43" s="16" cm="1">
        <f t="array" ref="BU43">INDEX(_xlfn.ANCHORARRAY(_xlfn.XLOOKUP($C43,'-ref_Distribution'!$B$146:$B$150,'-ref_Distribution'!$G$146:$G$150)),RIGHT(BU$1,2))</f>
        <v>430</v>
      </c>
      <c r="BV43" s="16" cm="1">
        <f t="array" ref="BV43">INDEX(_xlfn.ANCHORARRAY(_xlfn.XLOOKUP($C43,'-ref_Distribution'!$B$146:$B$150,'-ref_Distribution'!$G$146:$G$150)),RIGHT(BV$1,2))</f>
        <v>383</v>
      </c>
      <c r="BW43" s="16" cm="1">
        <f t="array" ref="BW43">INDEX(_xlfn.ANCHORARRAY(_xlfn.XLOOKUP($C43,'-ref_Distribution'!$B$146:$B$150,'-ref_Distribution'!$G$146:$G$150)),RIGHT(BW$1,2))</f>
        <v>336</v>
      </c>
      <c r="BX43" s="16" cm="1">
        <f t="array" ref="BX43">INDEX(_xlfn.ANCHORARRAY(_xlfn.XLOOKUP($C43,'-ref_Distribution'!$B$146:$B$150,'-ref_Distribution'!$G$146:$G$150)),RIGHT(BX$1,2))</f>
        <v>292</v>
      </c>
      <c r="BY43" s="16" cm="1">
        <f t="array" ref="BY43">INDEX(_xlfn.ANCHORARRAY(_xlfn.XLOOKUP($C43,'-ref_Distribution'!$B$146:$B$150,'-ref_Distribution'!$G$146:$G$150)),RIGHT(BY$1,2))</f>
        <v>250</v>
      </c>
      <c r="BZ43" s="16" cm="1">
        <f t="array" ref="BZ43">INDEX(_xlfn.ANCHORARRAY(_xlfn.XLOOKUP($C43,'-ref_Distribution'!$B$146:$B$150,'-ref_Distribution'!$G$146:$G$150)),RIGHT(BZ$1,2))</f>
        <v>212</v>
      </c>
      <c r="CA43" s="16" cm="1">
        <f t="array" ref="CA43">INDEX(_xlfn.ANCHORARRAY(_xlfn.XLOOKUP($C43,'-ref_Distribution'!$B$146:$B$150,'-ref_Distribution'!$G$146:$G$150)),RIGHT(CA$1,2))</f>
        <v>177</v>
      </c>
      <c r="CB43" s="16" cm="1">
        <f t="array" ref="CB43">INDEX(_xlfn.ANCHORARRAY(_xlfn.XLOOKUP($C43,'-ref_Distribution'!$B$146:$B$150,'-ref_Distribution'!$G$146:$G$150)),RIGHT(CB$1,2))</f>
        <v>146</v>
      </c>
      <c r="CC43" s="16" cm="1">
        <f t="array" ref="CC43">INDEX(_xlfn.ANCHORARRAY(_xlfn.XLOOKUP($C43,'-ref_Distribution'!$B$146:$B$150,'-ref_Distribution'!$G$146:$G$150)),RIGHT(CC$1,2))</f>
        <v>119</v>
      </c>
      <c r="CD43" s="16" cm="1">
        <f t="array" ref="CD43">INDEX(_xlfn.ANCHORARRAY(_xlfn.XLOOKUP($C43,'-ref_Distribution'!$B$146:$B$150,'-ref_Distribution'!$G$146:$G$150)),RIGHT(CD$1,2))</f>
        <v>96</v>
      </c>
      <c r="CE43" s="16" cm="1">
        <f t="array" ref="CE43">INDEX(_xlfn.ANCHORARRAY(_xlfn.XLOOKUP($C43,'-ref_Distribution'!$B$146:$B$150,'-ref_Distribution'!$G$146:$G$150)),RIGHT(CE$1,2))</f>
        <v>76</v>
      </c>
    </row>
    <row r="44" spans="1:83" x14ac:dyDescent="0.2">
      <c r="A44" s="16">
        <v>302012</v>
      </c>
      <c r="B44" s="16" t="s">
        <v>372</v>
      </c>
      <c r="C44" s="16">
        <v>1</v>
      </c>
      <c r="D44" s="16" cm="1">
        <f t="array" ref="D44">INDEX(_xlfn.ANCHORARRAY(_xlfn.XLOOKUP($C44,'-ref_Distribution'!$B$146:$B$150,'-ref_Distribution'!$G$146:$G$150)),RIGHT(D$1,2))</f>
        <v>337</v>
      </c>
      <c r="E44" s="16" cm="1">
        <f t="array" ref="E44">INDEX(_xlfn.ANCHORARRAY(_xlfn.XLOOKUP($C44,'-ref_Distribution'!$B$146:$B$150,'-ref_Distribution'!$G$146:$G$150)),RIGHT(E$1,2))</f>
        <v>364</v>
      </c>
      <c r="F44" s="16" cm="1">
        <f t="array" ref="F44">INDEX(_xlfn.ANCHORARRAY(_xlfn.XLOOKUP($C44,'-ref_Distribution'!$B$146:$B$150,'-ref_Distribution'!$G$146:$G$150)),RIGHT(F$1,2))</f>
        <v>386</v>
      </c>
      <c r="G44" s="16" cm="1">
        <f t="array" ref="G44">INDEX(_xlfn.ANCHORARRAY(_xlfn.XLOOKUP($C44,'-ref_Distribution'!$B$146:$B$150,'-ref_Distribution'!$G$146:$G$150)),RIGHT(G$1,2))</f>
        <v>403</v>
      </c>
      <c r="H44" s="16" cm="1">
        <f t="array" ref="H44">INDEX(_xlfn.ANCHORARRAY(_xlfn.XLOOKUP($C44,'-ref_Distribution'!$B$146:$B$150,'-ref_Distribution'!$G$146:$G$150)),RIGHT(H$1,2))</f>
        <v>414</v>
      </c>
      <c r="I44" s="16" cm="1">
        <f t="array" ref="I44">INDEX(_xlfn.ANCHORARRAY(_xlfn.XLOOKUP($C44,'-ref_Distribution'!$B$146:$B$150,'-ref_Distribution'!$G$146:$G$150)),RIGHT(I$1,2))</f>
        <v>417</v>
      </c>
      <c r="J44" s="16" cm="1">
        <f t="array" ref="J44">INDEX(_xlfn.ANCHORARRAY(_xlfn.XLOOKUP($C44,'-ref_Distribution'!$B$146:$B$150,'-ref_Distribution'!$G$146:$G$150)),RIGHT(J$1,2))</f>
        <v>414</v>
      </c>
      <c r="K44" s="16" cm="1">
        <f t="array" ref="K44">INDEX(_xlfn.ANCHORARRAY(_xlfn.XLOOKUP($C44,'-ref_Distribution'!$B$146:$B$150,'-ref_Distribution'!$G$146:$G$150)),RIGHT(K$1,2))</f>
        <v>403</v>
      </c>
      <c r="L44" s="16" cm="1">
        <f t="array" ref="L44">INDEX(_xlfn.ANCHORARRAY(_xlfn.XLOOKUP($C44,'-ref_Distribution'!$B$146:$B$150,'-ref_Distribution'!$G$146:$G$150)),RIGHT(L$1,2))</f>
        <v>386</v>
      </c>
      <c r="M44" s="16" cm="1">
        <f t="array" ref="M44">INDEX(_xlfn.ANCHORARRAY(_xlfn.XLOOKUP($C44,'-ref_Distribution'!$B$146:$B$150,'-ref_Distribution'!$G$146:$G$150)),RIGHT(M$1,2))</f>
        <v>364</v>
      </c>
      <c r="N44" s="16" cm="1">
        <f t="array" ref="N44">INDEX(_xlfn.ANCHORARRAY(_xlfn.XLOOKUP($C44,'-ref_Distribution'!$B$146:$B$150,'-ref_Distribution'!$G$146:$G$150)),RIGHT(N$1,2))</f>
        <v>337</v>
      </c>
      <c r="O44" s="16" cm="1">
        <f t="array" ref="O44">INDEX(_xlfn.ANCHORARRAY(_xlfn.XLOOKUP($C44,'-ref_Distribution'!$B$146:$B$150,'-ref_Distribution'!$G$146:$G$150)),RIGHT(O$1,2))</f>
        <v>307</v>
      </c>
      <c r="P44" s="16" cm="1">
        <f t="array" ref="P44">INDEX(_xlfn.ANCHORARRAY(_xlfn.XLOOKUP($C44,'-ref_Distribution'!$B$146:$B$150,'-ref_Distribution'!$G$146:$G$150)),RIGHT(P$1,2))</f>
        <v>274</v>
      </c>
      <c r="Q44" s="16" cm="1">
        <f t="array" ref="Q44">INDEX(_xlfn.ANCHORARRAY(_xlfn.XLOOKUP($C44,'-ref_Distribution'!$B$146:$B$150,'-ref_Distribution'!$G$146:$G$150)),RIGHT(Q$1,2))</f>
        <v>241</v>
      </c>
      <c r="R44" s="16" cm="1">
        <f t="array" ref="R44">INDEX(_xlfn.ANCHORARRAY(_xlfn.XLOOKUP($C44,'-ref_Distribution'!$B$146:$B$150,'-ref_Distribution'!$G$146:$G$150)),RIGHT(R$1,2))</f>
        <v>209</v>
      </c>
      <c r="S44" s="16" cm="1">
        <f t="array" ref="S44">INDEX(_xlfn.ANCHORARRAY(_xlfn.XLOOKUP($C44,'-ref_Distribution'!$B$146:$B$150,'-ref_Distribution'!$G$146:$G$150)),RIGHT(S$1,2))</f>
        <v>178</v>
      </c>
      <c r="T44" s="16" cm="1">
        <f t="array" ref="T44">INDEX(_xlfn.ANCHORARRAY(_xlfn.XLOOKUP($C44,'-ref_Distribution'!$B$146:$B$150,'-ref_Distribution'!$G$146:$G$150)),RIGHT(T$1,2))</f>
        <v>148</v>
      </c>
      <c r="U44" s="16" cm="1">
        <f t="array" ref="U44">INDEX(_xlfn.ANCHORARRAY(_xlfn.XLOOKUP($C44,'-ref_Distribution'!$B$146:$B$150,'-ref_Distribution'!$G$146:$G$150)),RIGHT(U$1,2))</f>
        <v>122</v>
      </c>
      <c r="V44" s="16" cm="1">
        <f t="array" ref="V44">INDEX(_xlfn.ANCHORARRAY(_xlfn.XLOOKUP($C44,'-ref_Distribution'!$B$146:$B$150,'-ref_Distribution'!$G$146:$G$150)),RIGHT(V$1,2))</f>
        <v>98</v>
      </c>
      <c r="W44" s="16" cm="1">
        <f t="array" ref="W44">INDEX(_xlfn.ANCHORARRAY(_xlfn.XLOOKUP($C44,'-ref_Distribution'!$B$146:$B$150,'-ref_Distribution'!$G$146:$G$150)),RIGHT(W$1,2))</f>
        <v>78</v>
      </c>
      <c r="X44" s="16" cm="1">
        <f t="array" ref="X44">INDEX(_xlfn.ANCHORARRAY(_xlfn.XLOOKUP($C44,'-ref_Distribution'!$B$146:$B$150,'-ref_Distribution'!$G$146:$G$150)),RIGHT(X$1,2))</f>
        <v>337</v>
      </c>
      <c r="Y44" s="16" cm="1">
        <f t="array" ref="Y44">INDEX(_xlfn.ANCHORARRAY(_xlfn.XLOOKUP($C44,'-ref_Distribution'!$B$146:$B$150,'-ref_Distribution'!$G$146:$G$150)),RIGHT(Y$1,2))</f>
        <v>364</v>
      </c>
      <c r="Z44" s="16" cm="1">
        <f t="array" ref="Z44">INDEX(_xlfn.ANCHORARRAY(_xlfn.XLOOKUP($C44,'-ref_Distribution'!$B$146:$B$150,'-ref_Distribution'!$G$146:$G$150)),RIGHT(Z$1,2))</f>
        <v>386</v>
      </c>
      <c r="AA44" s="16" cm="1">
        <f t="array" ref="AA44">INDEX(_xlfn.ANCHORARRAY(_xlfn.XLOOKUP($C44,'-ref_Distribution'!$B$146:$B$150,'-ref_Distribution'!$G$146:$G$150)),RIGHT(AA$1,2))</f>
        <v>403</v>
      </c>
      <c r="AB44" s="16" cm="1">
        <f t="array" ref="AB44">INDEX(_xlfn.ANCHORARRAY(_xlfn.XLOOKUP($C44,'-ref_Distribution'!$B$146:$B$150,'-ref_Distribution'!$G$146:$G$150)),RIGHT(AB$1,2))</f>
        <v>414</v>
      </c>
      <c r="AC44" s="16" cm="1">
        <f t="array" ref="AC44">INDEX(_xlfn.ANCHORARRAY(_xlfn.XLOOKUP($C44,'-ref_Distribution'!$B$146:$B$150,'-ref_Distribution'!$G$146:$G$150)),RIGHT(AC$1,2))</f>
        <v>417</v>
      </c>
      <c r="AD44" s="16" cm="1">
        <f t="array" ref="AD44">INDEX(_xlfn.ANCHORARRAY(_xlfn.XLOOKUP($C44,'-ref_Distribution'!$B$146:$B$150,'-ref_Distribution'!$G$146:$G$150)),RIGHT(AD$1,2))</f>
        <v>414</v>
      </c>
      <c r="AE44" s="16" cm="1">
        <f t="array" ref="AE44">INDEX(_xlfn.ANCHORARRAY(_xlfn.XLOOKUP($C44,'-ref_Distribution'!$B$146:$B$150,'-ref_Distribution'!$G$146:$G$150)),RIGHT(AE$1,2))</f>
        <v>403</v>
      </c>
      <c r="AF44" s="16" cm="1">
        <f t="array" ref="AF44">INDEX(_xlfn.ANCHORARRAY(_xlfn.XLOOKUP($C44,'-ref_Distribution'!$B$146:$B$150,'-ref_Distribution'!$G$146:$G$150)),RIGHT(AF$1,2))</f>
        <v>386</v>
      </c>
      <c r="AG44" s="16" cm="1">
        <f t="array" ref="AG44">INDEX(_xlfn.ANCHORARRAY(_xlfn.XLOOKUP($C44,'-ref_Distribution'!$B$146:$B$150,'-ref_Distribution'!$G$146:$G$150)),RIGHT(AG$1,2))</f>
        <v>364</v>
      </c>
      <c r="AH44" s="16" cm="1">
        <f t="array" ref="AH44">INDEX(_xlfn.ANCHORARRAY(_xlfn.XLOOKUP($C44,'-ref_Distribution'!$B$146:$B$150,'-ref_Distribution'!$G$146:$G$150)),RIGHT(AH$1,2))</f>
        <v>337</v>
      </c>
      <c r="AI44" s="16" cm="1">
        <f t="array" ref="AI44">INDEX(_xlfn.ANCHORARRAY(_xlfn.XLOOKUP($C44,'-ref_Distribution'!$B$146:$B$150,'-ref_Distribution'!$G$146:$G$150)),RIGHT(AI$1,2))</f>
        <v>307</v>
      </c>
      <c r="AJ44" s="16" cm="1">
        <f t="array" ref="AJ44">INDEX(_xlfn.ANCHORARRAY(_xlfn.XLOOKUP($C44,'-ref_Distribution'!$B$146:$B$150,'-ref_Distribution'!$G$146:$G$150)),RIGHT(AJ$1,2))</f>
        <v>274</v>
      </c>
      <c r="AK44" s="16" cm="1">
        <f t="array" ref="AK44">INDEX(_xlfn.ANCHORARRAY(_xlfn.XLOOKUP($C44,'-ref_Distribution'!$B$146:$B$150,'-ref_Distribution'!$G$146:$G$150)),RIGHT(AK$1,2))</f>
        <v>241</v>
      </c>
      <c r="AL44" s="16" cm="1">
        <f t="array" ref="AL44">INDEX(_xlfn.ANCHORARRAY(_xlfn.XLOOKUP($C44,'-ref_Distribution'!$B$146:$B$150,'-ref_Distribution'!$G$146:$G$150)),RIGHT(AL$1,2))</f>
        <v>209</v>
      </c>
      <c r="AM44" s="16" cm="1">
        <f t="array" ref="AM44">INDEX(_xlfn.ANCHORARRAY(_xlfn.XLOOKUP($C44,'-ref_Distribution'!$B$146:$B$150,'-ref_Distribution'!$G$146:$G$150)),RIGHT(AM$1,2))</f>
        <v>178</v>
      </c>
      <c r="AN44" s="16" cm="1">
        <f t="array" ref="AN44">INDEX(_xlfn.ANCHORARRAY(_xlfn.XLOOKUP($C44,'-ref_Distribution'!$B$146:$B$150,'-ref_Distribution'!$G$146:$G$150)),RIGHT(AN$1,2))</f>
        <v>148</v>
      </c>
      <c r="AO44" s="16" cm="1">
        <f t="array" ref="AO44">INDEX(_xlfn.ANCHORARRAY(_xlfn.XLOOKUP($C44,'-ref_Distribution'!$B$146:$B$150,'-ref_Distribution'!$G$146:$G$150)),RIGHT(AO$1,2))</f>
        <v>122</v>
      </c>
      <c r="AP44" s="16" cm="1">
        <f t="array" ref="AP44">INDEX(_xlfn.ANCHORARRAY(_xlfn.XLOOKUP($C44,'-ref_Distribution'!$B$146:$B$150,'-ref_Distribution'!$G$146:$G$150)),RIGHT(AP$1,2))</f>
        <v>98</v>
      </c>
      <c r="AQ44" s="16" cm="1">
        <f t="array" ref="AQ44">INDEX(_xlfn.ANCHORARRAY(_xlfn.XLOOKUP($C44,'-ref_Distribution'!$B$146:$B$150,'-ref_Distribution'!$G$146:$G$150)),RIGHT(AQ$1,2))</f>
        <v>78</v>
      </c>
      <c r="AR44" s="16" cm="1">
        <f t="array" ref="AR44">INDEX(_xlfn.ANCHORARRAY(_xlfn.XLOOKUP($C44,'-ref_Distribution'!$B$146:$B$150,'-ref_Distribution'!$G$146:$G$150)),RIGHT(AR$1,2))</f>
        <v>337</v>
      </c>
      <c r="AS44" s="16" cm="1">
        <f t="array" ref="AS44">INDEX(_xlfn.ANCHORARRAY(_xlfn.XLOOKUP($C44,'-ref_Distribution'!$B$146:$B$150,'-ref_Distribution'!$G$146:$G$150)),RIGHT(AS$1,2))</f>
        <v>364</v>
      </c>
      <c r="AT44" s="16" cm="1">
        <f t="array" ref="AT44">INDEX(_xlfn.ANCHORARRAY(_xlfn.XLOOKUP($C44,'-ref_Distribution'!$B$146:$B$150,'-ref_Distribution'!$G$146:$G$150)),RIGHT(AT$1,2))</f>
        <v>386</v>
      </c>
      <c r="AU44" s="16" cm="1">
        <f t="array" ref="AU44">INDEX(_xlfn.ANCHORARRAY(_xlfn.XLOOKUP($C44,'-ref_Distribution'!$B$146:$B$150,'-ref_Distribution'!$G$146:$G$150)),RIGHT(AU$1,2))</f>
        <v>403</v>
      </c>
      <c r="AV44" s="16" cm="1">
        <f t="array" ref="AV44">INDEX(_xlfn.ANCHORARRAY(_xlfn.XLOOKUP($C44,'-ref_Distribution'!$B$146:$B$150,'-ref_Distribution'!$G$146:$G$150)),RIGHT(AV$1,2))</f>
        <v>414</v>
      </c>
      <c r="AW44" s="16" cm="1">
        <f t="array" ref="AW44">INDEX(_xlfn.ANCHORARRAY(_xlfn.XLOOKUP($C44,'-ref_Distribution'!$B$146:$B$150,'-ref_Distribution'!$G$146:$G$150)),RIGHT(AW$1,2))</f>
        <v>417</v>
      </c>
      <c r="AX44" s="16" cm="1">
        <f t="array" ref="AX44">INDEX(_xlfn.ANCHORARRAY(_xlfn.XLOOKUP($C44,'-ref_Distribution'!$B$146:$B$150,'-ref_Distribution'!$G$146:$G$150)),RIGHT(AX$1,2))</f>
        <v>414</v>
      </c>
      <c r="AY44" s="16" cm="1">
        <f t="array" ref="AY44">INDEX(_xlfn.ANCHORARRAY(_xlfn.XLOOKUP($C44,'-ref_Distribution'!$B$146:$B$150,'-ref_Distribution'!$G$146:$G$150)),RIGHT(AY$1,2))</f>
        <v>403</v>
      </c>
      <c r="AZ44" s="16" cm="1">
        <f t="array" ref="AZ44">INDEX(_xlfn.ANCHORARRAY(_xlfn.XLOOKUP($C44,'-ref_Distribution'!$B$146:$B$150,'-ref_Distribution'!$G$146:$G$150)),RIGHT(AZ$1,2))</f>
        <v>386</v>
      </c>
      <c r="BA44" s="16" cm="1">
        <f t="array" ref="BA44">INDEX(_xlfn.ANCHORARRAY(_xlfn.XLOOKUP($C44,'-ref_Distribution'!$B$146:$B$150,'-ref_Distribution'!$G$146:$G$150)),RIGHT(BA$1,2))</f>
        <v>364</v>
      </c>
      <c r="BB44" s="16" cm="1">
        <f t="array" ref="BB44">INDEX(_xlfn.ANCHORARRAY(_xlfn.XLOOKUP($C44,'-ref_Distribution'!$B$146:$B$150,'-ref_Distribution'!$G$146:$G$150)),RIGHT(BB$1,2))</f>
        <v>337</v>
      </c>
      <c r="BC44" s="16" cm="1">
        <f t="array" ref="BC44">INDEX(_xlfn.ANCHORARRAY(_xlfn.XLOOKUP($C44,'-ref_Distribution'!$B$146:$B$150,'-ref_Distribution'!$G$146:$G$150)),RIGHT(BC$1,2))</f>
        <v>307</v>
      </c>
      <c r="BD44" s="16" cm="1">
        <f t="array" ref="BD44">INDEX(_xlfn.ANCHORARRAY(_xlfn.XLOOKUP($C44,'-ref_Distribution'!$B$146:$B$150,'-ref_Distribution'!$G$146:$G$150)),RIGHT(BD$1,2))</f>
        <v>274</v>
      </c>
      <c r="BE44" s="16" cm="1">
        <f t="array" ref="BE44">INDEX(_xlfn.ANCHORARRAY(_xlfn.XLOOKUP($C44,'-ref_Distribution'!$B$146:$B$150,'-ref_Distribution'!$G$146:$G$150)),RIGHT(BE$1,2))</f>
        <v>241</v>
      </c>
      <c r="BF44" s="16" cm="1">
        <f t="array" ref="BF44">INDEX(_xlfn.ANCHORARRAY(_xlfn.XLOOKUP($C44,'-ref_Distribution'!$B$146:$B$150,'-ref_Distribution'!$G$146:$G$150)),RIGHT(BF$1,2))</f>
        <v>209</v>
      </c>
      <c r="BG44" s="16" cm="1">
        <f t="array" ref="BG44">INDEX(_xlfn.ANCHORARRAY(_xlfn.XLOOKUP($C44,'-ref_Distribution'!$B$146:$B$150,'-ref_Distribution'!$G$146:$G$150)),RIGHT(BG$1,2))</f>
        <v>178</v>
      </c>
      <c r="BH44" s="16" cm="1">
        <f t="array" ref="BH44">INDEX(_xlfn.ANCHORARRAY(_xlfn.XLOOKUP($C44,'-ref_Distribution'!$B$146:$B$150,'-ref_Distribution'!$G$146:$G$150)),RIGHT(BH$1,2))</f>
        <v>148</v>
      </c>
      <c r="BI44" s="16" cm="1">
        <f t="array" ref="BI44">INDEX(_xlfn.ANCHORARRAY(_xlfn.XLOOKUP($C44,'-ref_Distribution'!$B$146:$B$150,'-ref_Distribution'!$G$146:$G$150)),RIGHT(BI$1,2))</f>
        <v>122</v>
      </c>
      <c r="BJ44" s="16" cm="1">
        <f t="array" ref="BJ44">INDEX(_xlfn.ANCHORARRAY(_xlfn.XLOOKUP($C44,'-ref_Distribution'!$B$146:$B$150,'-ref_Distribution'!$G$146:$G$150)),RIGHT(BJ$1,2))</f>
        <v>98</v>
      </c>
      <c r="BK44" s="16" cm="1">
        <f t="array" ref="BK44">INDEX(_xlfn.ANCHORARRAY(_xlfn.XLOOKUP($C44,'-ref_Distribution'!$B$146:$B$150,'-ref_Distribution'!$G$146:$G$150)),RIGHT(BK$1,2))</f>
        <v>78</v>
      </c>
      <c r="BL44" s="16" cm="1">
        <f t="array" ref="BL44">INDEX(_xlfn.ANCHORARRAY(_xlfn.XLOOKUP($C44,'-ref_Distribution'!$B$146:$B$150,'-ref_Distribution'!$G$146:$G$150)),RIGHT(BL$1,2))</f>
        <v>337</v>
      </c>
      <c r="BM44" s="16" cm="1">
        <f t="array" ref="BM44">INDEX(_xlfn.ANCHORARRAY(_xlfn.XLOOKUP($C44,'-ref_Distribution'!$B$146:$B$150,'-ref_Distribution'!$G$146:$G$150)),RIGHT(BM$1,2))</f>
        <v>364</v>
      </c>
      <c r="BN44" s="16" cm="1">
        <f t="array" ref="BN44">INDEX(_xlfn.ANCHORARRAY(_xlfn.XLOOKUP($C44,'-ref_Distribution'!$B$146:$B$150,'-ref_Distribution'!$G$146:$G$150)),RIGHT(BN$1,2))</f>
        <v>386</v>
      </c>
      <c r="BO44" s="16" cm="1">
        <f t="array" ref="BO44">INDEX(_xlfn.ANCHORARRAY(_xlfn.XLOOKUP($C44,'-ref_Distribution'!$B$146:$B$150,'-ref_Distribution'!$G$146:$G$150)),RIGHT(BO$1,2))</f>
        <v>403</v>
      </c>
      <c r="BP44" s="16" cm="1">
        <f t="array" ref="BP44">INDEX(_xlfn.ANCHORARRAY(_xlfn.XLOOKUP($C44,'-ref_Distribution'!$B$146:$B$150,'-ref_Distribution'!$G$146:$G$150)),RIGHT(BP$1,2))</f>
        <v>414</v>
      </c>
      <c r="BQ44" s="16" cm="1">
        <f t="array" ref="BQ44">INDEX(_xlfn.ANCHORARRAY(_xlfn.XLOOKUP($C44,'-ref_Distribution'!$B$146:$B$150,'-ref_Distribution'!$G$146:$G$150)),RIGHT(BQ$1,2))</f>
        <v>417</v>
      </c>
      <c r="BR44" s="16" cm="1">
        <f t="array" ref="BR44">INDEX(_xlfn.ANCHORARRAY(_xlfn.XLOOKUP($C44,'-ref_Distribution'!$B$146:$B$150,'-ref_Distribution'!$G$146:$G$150)),RIGHT(BR$1,2))</f>
        <v>414</v>
      </c>
      <c r="BS44" s="16" cm="1">
        <f t="array" ref="BS44">INDEX(_xlfn.ANCHORARRAY(_xlfn.XLOOKUP($C44,'-ref_Distribution'!$B$146:$B$150,'-ref_Distribution'!$G$146:$G$150)),RIGHT(BS$1,2))</f>
        <v>403</v>
      </c>
      <c r="BT44" s="16" cm="1">
        <f t="array" ref="BT44">INDEX(_xlfn.ANCHORARRAY(_xlfn.XLOOKUP($C44,'-ref_Distribution'!$B$146:$B$150,'-ref_Distribution'!$G$146:$G$150)),RIGHT(BT$1,2))</f>
        <v>386</v>
      </c>
      <c r="BU44" s="16" cm="1">
        <f t="array" ref="BU44">INDEX(_xlfn.ANCHORARRAY(_xlfn.XLOOKUP($C44,'-ref_Distribution'!$B$146:$B$150,'-ref_Distribution'!$G$146:$G$150)),RIGHT(BU$1,2))</f>
        <v>364</v>
      </c>
      <c r="BV44" s="16" cm="1">
        <f t="array" ref="BV44">INDEX(_xlfn.ANCHORARRAY(_xlfn.XLOOKUP($C44,'-ref_Distribution'!$B$146:$B$150,'-ref_Distribution'!$G$146:$G$150)),RIGHT(BV$1,2))</f>
        <v>337</v>
      </c>
      <c r="BW44" s="16" cm="1">
        <f t="array" ref="BW44">INDEX(_xlfn.ANCHORARRAY(_xlfn.XLOOKUP($C44,'-ref_Distribution'!$B$146:$B$150,'-ref_Distribution'!$G$146:$G$150)),RIGHT(BW$1,2))</f>
        <v>307</v>
      </c>
      <c r="BX44" s="16" cm="1">
        <f t="array" ref="BX44">INDEX(_xlfn.ANCHORARRAY(_xlfn.XLOOKUP($C44,'-ref_Distribution'!$B$146:$B$150,'-ref_Distribution'!$G$146:$G$150)),RIGHT(BX$1,2))</f>
        <v>274</v>
      </c>
      <c r="BY44" s="16" cm="1">
        <f t="array" ref="BY44">INDEX(_xlfn.ANCHORARRAY(_xlfn.XLOOKUP($C44,'-ref_Distribution'!$B$146:$B$150,'-ref_Distribution'!$G$146:$G$150)),RIGHT(BY$1,2))</f>
        <v>241</v>
      </c>
      <c r="BZ44" s="16" cm="1">
        <f t="array" ref="BZ44">INDEX(_xlfn.ANCHORARRAY(_xlfn.XLOOKUP($C44,'-ref_Distribution'!$B$146:$B$150,'-ref_Distribution'!$G$146:$G$150)),RIGHT(BZ$1,2))</f>
        <v>209</v>
      </c>
      <c r="CA44" s="16" cm="1">
        <f t="array" ref="CA44">INDEX(_xlfn.ANCHORARRAY(_xlfn.XLOOKUP($C44,'-ref_Distribution'!$B$146:$B$150,'-ref_Distribution'!$G$146:$G$150)),RIGHT(CA$1,2))</f>
        <v>178</v>
      </c>
      <c r="CB44" s="16" cm="1">
        <f t="array" ref="CB44">INDEX(_xlfn.ANCHORARRAY(_xlfn.XLOOKUP($C44,'-ref_Distribution'!$B$146:$B$150,'-ref_Distribution'!$G$146:$G$150)),RIGHT(CB$1,2))</f>
        <v>148</v>
      </c>
      <c r="CC44" s="16" cm="1">
        <f t="array" ref="CC44">INDEX(_xlfn.ANCHORARRAY(_xlfn.XLOOKUP($C44,'-ref_Distribution'!$B$146:$B$150,'-ref_Distribution'!$G$146:$G$150)),RIGHT(CC$1,2))</f>
        <v>122</v>
      </c>
      <c r="CD44" s="16" cm="1">
        <f t="array" ref="CD44">INDEX(_xlfn.ANCHORARRAY(_xlfn.XLOOKUP($C44,'-ref_Distribution'!$B$146:$B$150,'-ref_Distribution'!$G$146:$G$150)),RIGHT(CD$1,2))</f>
        <v>98</v>
      </c>
      <c r="CE44" s="16" cm="1">
        <f t="array" ref="CE44">INDEX(_xlfn.ANCHORARRAY(_xlfn.XLOOKUP($C44,'-ref_Distribution'!$B$146:$B$150,'-ref_Distribution'!$G$146:$G$150)),RIGHT(CE$1,2))</f>
        <v>78</v>
      </c>
    </row>
    <row r="45" spans="1:83" x14ac:dyDescent="0.2">
      <c r="A45" s="16">
        <v>302013</v>
      </c>
      <c r="B45" s="16" t="s">
        <v>372</v>
      </c>
      <c r="C45" s="16">
        <v>2</v>
      </c>
      <c r="D45" s="16" cm="1">
        <f t="array" ref="D45">INDEX(_xlfn.ANCHORARRAY(_xlfn.XLOOKUP($C45,'-ref_Distribution'!$B$146:$B$150,'-ref_Distribution'!$G$146:$G$150)),RIGHT(D$1,2))</f>
        <v>75</v>
      </c>
      <c r="E45" s="16" cm="1">
        <f t="array" ref="E45">INDEX(_xlfn.ANCHORARRAY(_xlfn.XLOOKUP($C45,'-ref_Distribution'!$B$146:$B$150,'-ref_Distribution'!$G$146:$G$150)),RIGHT(E$1,2))</f>
        <v>94</v>
      </c>
      <c r="F45" s="16" cm="1">
        <f t="array" ref="F45">INDEX(_xlfn.ANCHORARRAY(_xlfn.XLOOKUP($C45,'-ref_Distribution'!$B$146:$B$150,'-ref_Distribution'!$G$146:$G$150)),RIGHT(F$1,2))</f>
        <v>115</v>
      </c>
      <c r="G45" s="16" cm="1">
        <f t="array" ref="G45">INDEX(_xlfn.ANCHORARRAY(_xlfn.XLOOKUP($C45,'-ref_Distribution'!$B$146:$B$150,'-ref_Distribution'!$G$146:$G$150)),RIGHT(G$1,2))</f>
        <v>137</v>
      </c>
      <c r="H45" s="16" cm="1">
        <f t="array" ref="H45">INDEX(_xlfn.ANCHORARRAY(_xlfn.XLOOKUP($C45,'-ref_Distribution'!$B$146:$B$150,'-ref_Distribution'!$G$146:$G$150)),RIGHT(H$1,2))</f>
        <v>160</v>
      </c>
      <c r="I45" s="16" cm="1">
        <f t="array" ref="I45">INDEX(_xlfn.ANCHORARRAY(_xlfn.XLOOKUP($C45,'-ref_Distribution'!$B$146:$B$150,'-ref_Distribution'!$G$146:$G$150)),RIGHT(I$1,2))</f>
        <v>183</v>
      </c>
      <c r="J45" s="16" cm="1">
        <f t="array" ref="J45">INDEX(_xlfn.ANCHORARRAY(_xlfn.XLOOKUP($C45,'-ref_Distribution'!$B$146:$B$150,'-ref_Distribution'!$G$146:$G$150)),RIGHT(J$1,2))</f>
        <v>203</v>
      </c>
      <c r="K45" s="16" cm="1">
        <f t="array" ref="K45">INDEX(_xlfn.ANCHORARRAY(_xlfn.XLOOKUP($C45,'-ref_Distribution'!$B$146:$B$150,'-ref_Distribution'!$G$146:$G$150)),RIGHT(K$1,2))</f>
        <v>221</v>
      </c>
      <c r="L45" s="16" cm="1">
        <f t="array" ref="L45">INDEX(_xlfn.ANCHORARRAY(_xlfn.XLOOKUP($C45,'-ref_Distribution'!$B$146:$B$150,'-ref_Distribution'!$G$146:$G$150)),RIGHT(L$1,2))</f>
        <v>234</v>
      </c>
      <c r="M45" s="16" cm="1">
        <f t="array" ref="M45">INDEX(_xlfn.ANCHORARRAY(_xlfn.XLOOKUP($C45,'-ref_Distribution'!$B$146:$B$150,'-ref_Distribution'!$G$146:$G$150)),RIGHT(M$1,2))</f>
        <v>243</v>
      </c>
      <c r="N45" s="16" cm="1">
        <f t="array" ref="N45">INDEX(_xlfn.ANCHORARRAY(_xlfn.XLOOKUP($C45,'-ref_Distribution'!$B$146:$B$150,'-ref_Distribution'!$G$146:$G$150)),RIGHT(N$1,2))</f>
        <v>245</v>
      </c>
      <c r="O45" s="16" cm="1">
        <f t="array" ref="O45">INDEX(_xlfn.ANCHORARRAY(_xlfn.XLOOKUP($C45,'-ref_Distribution'!$B$146:$B$150,'-ref_Distribution'!$G$146:$G$150)),RIGHT(O$1,2))</f>
        <v>243</v>
      </c>
      <c r="P45" s="16" cm="1">
        <f t="array" ref="P45">INDEX(_xlfn.ANCHORARRAY(_xlfn.XLOOKUP($C45,'-ref_Distribution'!$B$146:$B$150,'-ref_Distribution'!$G$146:$G$150)),RIGHT(P$1,2))</f>
        <v>234</v>
      </c>
      <c r="Q45" s="16" cm="1">
        <f t="array" ref="Q45">INDEX(_xlfn.ANCHORARRAY(_xlfn.XLOOKUP($C45,'-ref_Distribution'!$B$146:$B$150,'-ref_Distribution'!$G$146:$G$150)),RIGHT(Q$1,2))</f>
        <v>221</v>
      </c>
      <c r="R45" s="16" cm="1">
        <f t="array" ref="R45">INDEX(_xlfn.ANCHORARRAY(_xlfn.XLOOKUP($C45,'-ref_Distribution'!$B$146:$B$150,'-ref_Distribution'!$G$146:$G$150)),RIGHT(R$1,2))</f>
        <v>203</v>
      </c>
      <c r="S45" s="16" cm="1">
        <f t="array" ref="S45">INDEX(_xlfn.ANCHORARRAY(_xlfn.XLOOKUP($C45,'-ref_Distribution'!$B$146:$B$150,'-ref_Distribution'!$G$146:$G$150)),RIGHT(S$1,2))</f>
        <v>183</v>
      </c>
      <c r="T45" s="16" cm="1">
        <f t="array" ref="T45">INDEX(_xlfn.ANCHORARRAY(_xlfn.XLOOKUP($C45,'-ref_Distribution'!$B$146:$B$150,'-ref_Distribution'!$G$146:$G$150)),RIGHT(T$1,2))</f>
        <v>160</v>
      </c>
      <c r="U45" s="16" cm="1">
        <f t="array" ref="U45">INDEX(_xlfn.ANCHORARRAY(_xlfn.XLOOKUP($C45,'-ref_Distribution'!$B$146:$B$150,'-ref_Distribution'!$G$146:$G$150)),RIGHT(U$1,2))</f>
        <v>137</v>
      </c>
      <c r="V45" s="16" cm="1">
        <f t="array" ref="V45">INDEX(_xlfn.ANCHORARRAY(_xlfn.XLOOKUP($C45,'-ref_Distribution'!$B$146:$B$150,'-ref_Distribution'!$G$146:$G$150)),RIGHT(V$1,2))</f>
        <v>115</v>
      </c>
      <c r="W45" s="16" cm="1">
        <f t="array" ref="W45">INDEX(_xlfn.ANCHORARRAY(_xlfn.XLOOKUP($C45,'-ref_Distribution'!$B$146:$B$150,'-ref_Distribution'!$G$146:$G$150)),RIGHT(W$1,2))</f>
        <v>94</v>
      </c>
      <c r="X45" s="16" cm="1">
        <f t="array" ref="X45">INDEX(_xlfn.ANCHORARRAY(_xlfn.XLOOKUP($C45,'-ref_Distribution'!$B$146:$B$150,'-ref_Distribution'!$G$146:$G$150)),RIGHT(X$1,2))</f>
        <v>75</v>
      </c>
      <c r="Y45" s="16" cm="1">
        <f t="array" ref="Y45">INDEX(_xlfn.ANCHORARRAY(_xlfn.XLOOKUP($C45,'-ref_Distribution'!$B$146:$B$150,'-ref_Distribution'!$G$146:$G$150)),RIGHT(Y$1,2))</f>
        <v>94</v>
      </c>
      <c r="Z45" s="16" cm="1">
        <f t="array" ref="Z45">INDEX(_xlfn.ANCHORARRAY(_xlfn.XLOOKUP($C45,'-ref_Distribution'!$B$146:$B$150,'-ref_Distribution'!$G$146:$G$150)),RIGHT(Z$1,2))</f>
        <v>115</v>
      </c>
      <c r="AA45" s="16" cm="1">
        <f t="array" ref="AA45">INDEX(_xlfn.ANCHORARRAY(_xlfn.XLOOKUP($C45,'-ref_Distribution'!$B$146:$B$150,'-ref_Distribution'!$G$146:$G$150)),RIGHT(AA$1,2))</f>
        <v>137</v>
      </c>
      <c r="AB45" s="16" cm="1">
        <f t="array" ref="AB45">INDEX(_xlfn.ANCHORARRAY(_xlfn.XLOOKUP($C45,'-ref_Distribution'!$B$146:$B$150,'-ref_Distribution'!$G$146:$G$150)),RIGHT(AB$1,2))</f>
        <v>160</v>
      </c>
      <c r="AC45" s="16" cm="1">
        <f t="array" ref="AC45">INDEX(_xlfn.ANCHORARRAY(_xlfn.XLOOKUP($C45,'-ref_Distribution'!$B$146:$B$150,'-ref_Distribution'!$G$146:$G$150)),RIGHT(AC$1,2))</f>
        <v>183</v>
      </c>
      <c r="AD45" s="16" cm="1">
        <f t="array" ref="AD45">INDEX(_xlfn.ANCHORARRAY(_xlfn.XLOOKUP($C45,'-ref_Distribution'!$B$146:$B$150,'-ref_Distribution'!$G$146:$G$150)),RIGHT(AD$1,2))</f>
        <v>203</v>
      </c>
      <c r="AE45" s="16" cm="1">
        <f t="array" ref="AE45">INDEX(_xlfn.ANCHORARRAY(_xlfn.XLOOKUP($C45,'-ref_Distribution'!$B$146:$B$150,'-ref_Distribution'!$G$146:$G$150)),RIGHT(AE$1,2))</f>
        <v>221</v>
      </c>
      <c r="AF45" s="16" cm="1">
        <f t="array" ref="AF45">INDEX(_xlfn.ANCHORARRAY(_xlfn.XLOOKUP($C45,'-ref_Distribution'!$B$146:$B$150,'-ref_Distribution'!$G$146:$G$150)),RIGHT(AF$1,2))</f>
        <v>234</v>
      </c>
      <c r="AG45" s="16" cm="1">
        <f t="array" ref="AG45">INDEX(_xlfn.ANCHORARRAY(_xlfn.XLOOKUP($C45,'-ref_Distribution'!$B$146:$B$150,'-ref_Distribution'!$G$146:$G$150)),RIGHT(AG$1,2))</f>
        <v>243</v>
      </c>
      <c r="AH45" s="16" cm="1">
        <f t="array" ref="AH45">INDEX(_xlfn.ANCHORARRAY(_xlfn.XLOOKUP($C45,'-ref_Distribution'!$B$146:$B$150,'-ref_Distribution'!$G$146:$G$150)),RIGHT(AH$1,2))</f>
        <v>245</v>
      </c>
      <c r="AI45" s="16" cm="1">
        <f t="array" ref="AI45">INDEX(_xlfn.ANCHORARRAY(_xlfn.XLOOKUP($C45,'-ref_Distribution'!$B$146:$B$150,'-ref_Distribution'!$G$146:$G$150)),RIGHT(AI$1,2))</f>
        <v>243</v>
      </c>
      <c r="AJ45" s="16" cm="1">
        <f t="array" ref="AJ45">INDEX(_xlfn.ANCHORARRAY(_xlfn.XLOOKUP($C45,'-ref_Distribution'!$B$146:$B$150,'-ref_Distribution'!$G$146:$G$150)),RIGHT(AJ$1,2))</f>
        <v>234</v>
      </c>
      <c r="AK45" s="16" cm="1">
        <f t="array" ref="AK45">INDEX(_xlfn.ANCHORARRAY(_xlfn.XLOOKUP($C45,'-ref_Distribution'!$B$146:$B$150,'-ref_Distribution'!$G$146:$G$150)),RIGHT(AK$1,2))</f>
        <v>221</v>
      </c>
      <c r="AL45" s="16" cm="1">
        <f t="array" ref="AL45">INDEX(_xlfn.ANCHORARRAY(_xlfn.XLOOKUP($C45,'-ref_Distribution'!$B$146:$B$150,'-ref_Distribution'!$G$146:$G$150)),RIGHT(AL$1,2))</f>
        <v>203</v>
      </c>
      <c r="AM45" s="16" cm="1">
        <f t="array" ref="AM45">INDEX(_xlfn.ANCHORARRAY(_xlfn.XLOOKUP($C45,'-ref_Distribution'!$B$146:$B$150,'-ref_Distribution'!$G$146:$G$150)),RIGHT(AM$1,2))</f>
        <v>183</v>
      </c>
      <c r="AN45" s="16" cm="1">
        <f t="array" ref="AN45">INDEX(_xlfn.ANCHORARRAY(_xlfn.XLOOKUP($C45,'-ref_Distribution'!$B$146:$B$150,'-ref_Distribution'!$G$146:$G$150)),RIGHT(AN$1,2))</f>
        <v>160</v>
      </c>
      <c r="AO45" s="16" cm="1">
        <f t="array" ref="AO45">INDEX(_xlfn.ANCHORARRAY(_xlfn.XLOOKUP($C45,'-ref_Distribution'!$B$146:$B$150,'-ref_Distribution'!$G$146:$G$150)),RIGHT(AO$1,2))</f>
        <v>137</v>
      </c>
      <c r="AP45" s="16" cm="1">
        <f t="array" ref="AP45">INDEX(_xlfn.ANCHORARRAY(_xlfn.XLOOKUP($C45,'-ref_Distribution'!$B$146:$B$150,'-ref_Distribution'!$G$146:$G$150)),RIGHT(AP$1,2))</f>
        <v>115</v>
      </c>
      <c r="AQ45" s="16" cm="1">
        <f t="array" ref="AQ45">INDEX(_xlfn.ANCHORARRAY(_xlfn.XLOOKUP($C45,'-ref_Distribution'!$B$146:$B$150,'-ref_Distribution'!$G$146:$G$150)),RIGHT(AQ$1,2))</f>
        <v>94</v>
      </c>
      <c r="AR45" s="16" cm="1">
        <f t="array" ref="AR45">INDEX(_xlfn.ANCHORARRAY(_xlfn.XLOOKUP($C45,'-ref_Distribution'!$B$146:$B$150,'-ref_Distribution'!$G$146:$G$150)),RIGHT(AR$1,2))</f>
        <v>75</v>
      </c>
      <c r="AS45" s="16" cm="1">
        <f t="array" ref="AS45">INDEX(_xlfn.ANCHORARRAY(_xlfn.XLOOKUP($C45,'-ref_Distribution'!$B$146:$B$150,'-ref_Distribution'!$G$146:$G$150)),RIGHT(AS$1,2))</f>
        <v>94</v>
      </c>
      <c r="AT45" s="16" cm="1">
        <f t="array" ref="AT45">INDEX(_xlfn.ANCHORARRAY(_xlfn.XLOOKUP($C45,'-ref_Distribution'!$B$146:$B$150,'-ref_Distribution'!$G$146:$G$150)),RIGHT(AT$1,2))</f>
        <v>115</v>
      </c>
      <c r="AU45" s="16" cm="1">
        <f t="array" ref="AU45">INDEX(_xlfn.ANCHORARRAY(_xlfn.XLOOKUP($C45,'-ref_Distribution'!$B$146:$B$150,'-ref_Distribution'!$G$146:$G$150)),RIGHT(AU$1,2))</f>
        <v>137</v>
      </c>
      <c r="AV45" s="16" cm="1">
        <f t="array" ref="AV45">INDEX(_xlfn.ANCHORARRAY(_xlfn.XLOOKUP($C45,'-ref_Distribution'!$B$146:$B$150,'-ref_Distribution'!$G$146:$G$150)),RIGHT(AV$1,2))</f>
        <v>160</v>
      </c>
      <c r="AW45" s="16" cm="1">
        <f t="array" ref="AW45">INDEX(_xlfn.ANCHORARRAY(_xlfn.XLOOKUP($C45,'-ref_Distribution'!$B$146:$B$150,'-ref_Distribution'!$G$146:$G$150)),RIGHT(AW$1,2))</f>
        <v>183</v>
      </c>
      <c r="AX45" s="16" cm="1">
        <f t="array" ref="AX45">INDEX(_xlfn.ANCHORARRAY(_xlfn.XLOOKUP($C45,'-ref_Distribution'!$B$146:$B$150,'-ref_Distribution'!$G$146:$G$150)),RIGHT(AX$1,2))</f>
        <v>203</v>
      </c>
      <c r="AY45" s="16" cm="1">
        <f t="array" ref="AY45">INDEX(_xlfn.ANCHORARRAY(_xlfn.XLOOKUP($C45,'-ref_Distribution'!$B$146:$B$150,'-ref_Distribution'!$G$146:$G$150)),RIGHT(AY$1,2))</f>
        <v>221</v>
      </c>
      <c r="AZ45" s="16" cm="1">
        <f t="array" ref="AZ45">INDEX(_xlfn.ANCHORARRAY(_xlfn.XLOOKUP($C45,'-ref_Distribution'!$B$146:$B$150,'-ref_Distribution'!$G$146:$G$150)),RIGHT(AZ$1,2))</f>
        <v>234</v>
      </c>
      <c r="BA45" s="16" cm="1">
        <f t="array" ref="BA45">INDEX(_xlfn.ANCHORARRAY(_xlfn.XLOOKUP($C45,'-ref_Distribution'!$B$146:$B$150,'-ref_Distribution'!$G$146:$G$150)),RIGHT(BA$1,2))</f>
        <v>243</v>
      </c>
      <c r="BB45" s="16" cm="1">
        <f t="array" ref="BB45">INDEX(_xlfn.ANCHORARRAY(_xlfn.XLOOKUP($C45,'-ref_Distribution'!$B$146:$B$150,'-ref_Distribution'!$G$146:$G$150)),RIGHT(BB$1,2))</f>
        <v>245</v>
      </c>
      <c r="BC45" s="16" cm="1">
        <f t="array" ref="BC45">INDEX(_xlfn.ANCHORARRAY(_xlfn.XLOOKUP($C45,'-ref_Distribution'!$B$146:$B$150,'-ref_Distribution'!$G$146:$G$150)),RIGHT(BC$1,2))</f>
        <v>243</v>
      </c>
      <c r="BD45" s="16" cm="1">
        <f t="array" ref="BD45">INDEX(_xlfn.ANCHORARRAY(_xlfn.XLOOKUP($C45,'-ref_Distribution'!$B$146:$B$150,'-ref_Distribution'!$G$146:$G$150)),RIGHT(BD$1,2))</f>
        <v>234</v>
      </c>
      <c r="BE45" s="16" cm="1">
        <f t="array" ref="BE45">INDEX(_xlfn.ANCHORARRAY(_xlfn.XLOOKUP($C45,'-ref_Distribution'!$B$146:$B$150,'-ref_Distribution'!$G$146:$G$150)),RIGHT(BE$1,2))</f>
        <v>221</v>
      </c>
      <c r="BF45" s="16" cm="1">
        <f t="array" ref="BF45">INDEX(_xlfn.ANCHORARRAY(_xlfn.XLOOKUP($C45,'-ref_Distribution'!$B$146:$B$150,'-ref_Distribution'!$G$146:$G$150)),RIGHT(BF$1,2))</f>
        <v>203</v>
      </c>
      <c r="BG45" s="16" cm="1">
        <f t="array" ref="BG45">INDEX(_xlfn.ANCHORARRAY(_xlfn.XLOOKUP($C45,'-ref_Distribution'!$B$146:$B$150,'-ref_Distribution'!$G$146:$G$150)),RIGHT(BG$1,2))</f>
        <v>183</v>
      </c>
      <c r="BH45" s="16" cm="1">
        <f t="array" ref="BH45">INDEX(_xlfn.ANCHORARRAY(_xlfn.XLOOKUP($C45,'-ref_Distribution'!$B$146:$B$150,'-ref_Distribution'!$G$146:$G$150)),RIGHT(BH$1,2))</f>
        <v>160</v>
      </c>
      <c r="BI45" s="16" cm="1">
        <f t="array" ref="BI45">INDEX(_xlfn.ANCHORARRAY(_xlfn.XLOOKUP($C45,'-ref_Distribution'!$B$146:$B$150,'-ref_Distribution'!$G$146:$G$150)),RIGHT(BI$1,2))</f>
        <v>137</v>
      </c>
      <c r="BJ45" s="16" cm="1">
        <f t="array" ref="BJ45">INDEX(_xlfn.ANCHORARRAY(_xlfn.XLOOKUP($C45,'-ref_Distribution'!$B$146:$B$150,'-ref_Distribution'!$G$146:$G$150)),RIGHT(BJ$1,2))</f>
        <v>115</v>
      </c>
      <c r="BK45" s="16" cm="1">
        <f t="array" ref="BK45">INDEX(_xlfn.ANCHORARRAY(_xlfn.XLOOKUP($C45,'-ref_Distribution'!$B$146:$B$150,'-ref_Distribution'!$G$146:$G$150)),RIGHT(BK$1,2))</f>
        <v>94</v>
      </c>
      <c r="BL45" s="16" cm="1">
        <f t="array" ref="BL45">INDEX(_xlfn.ANCHORARRAY(_xlfn.XLOOKUP($C45,'-ref_Distribution'!$B$146:$B$150,'-ref_Distribution'!$G$146:$G$150)),RIGHT(BL$1,2))</f>
        <v>75</v>
      </c>
      <c r="BM45" s="16" cm="1">
        <f t="array" ref="BM45">INDEX(_xlfn.ANCHORARRAY(_xlfn.XLOOKUP($C45,'-ref_Distribution'!$B$146:$B$150,'-ref_Distribution'!$G$146:$G$150)),RIGHT(BM$1,2))</f>
        <v>94</v>
      </c>
      <c r="BN45" s="16" cm="1">
        <f t="array" ref="BN45">INDEX(_xlfn.ANCHORARRAY(_xlfn.XLOOKUP($C45,'-ref_Distribution'!$B$146:$B$150,'-ref_Distribution'!$G$146:$G$150)),RIGHT(BN$1,2))</f>
        <v>115</v>
      </c>
      <c r="BO45" s="16" cm="1">
        <f t="array" ref="BO45">INDEX(_xlfn.ANCHORARRAY(_xlfn.XLOOKUP($C45,'-ref_Distribution'!$B$146:$B$150,'-ref_Distribution'!$G$146:$G$150)),RIGHT(BO$1,2))</f>
        <v>137</v>
      </c>
      <c r="BP45" s="16" cm="1">
        <f t="array" ref="BP45">INDEX(_xlfn.ANCHORARRAY(_xlfn.XLOOKUP($C45,'-ref_Distribution'!$B$146:$B$150,'-ref_Distribution'!$G$146:$G$150)),RIGHT(BP$1,2))</f>
        <v>160</v>
      </c>
      <c r="BQ45" s="16" cm="1">
        <f t="array" ref="BQ45">INDEX(_xlfn.ANCHORARRAY(_xlfn.XLOOKUP($C45,'-ref_Distribution'!$B$146:$B$150,'-ref_Distribution'!$G$146:$G$150)),RIGHT(BQ$1,2))</f>
        <v>183</v>
      </c>
      <c r="BR45" s="16" cm="1">
        <f t="array" ref="BR45">INDEX(_xlfn.ANCHORARRAY(_xlfn.XLOOKUP($C45,'-ref_Distribution'!$B$146:$B$150,'-ref_Distribution'!$G$146:$G$150)),RIGHT(BR$1,2))</f>
        <v>203</v>
      </c>
      <c r="BS45" s="16" cm="1">
        <f t="array" ref="BS45">INDEX(_xlfn.ANCHORARRAY(_xlfn.XLOOKUP($C45,'-ref_Distribution'!$B$146:$B$150,'-ref_Distribution'!$G$146:$G$150)),RIGHT(BS$1,2))</f>
        <v>221</v>
      </c>
      <c r="BT45" s="16" cm="1">
        <f t="array" ref="BT45">INDEX(_xlfn.ANCHORARRAY(_xlfn.XLOOKUP($C45,'-ref_Distribution'!$B$146:$B$150,'-ref_Distribution'!$G$146:$G$150)),RIGHT(BT$1,2))</f>
        <v>234</v>
      </c>
      <c r="BU45" s="16" cm="1">
        <f t="array" ref="BU45">INDEX(_xlfn.ANCHORARRAY(_xlfn.XLOOKUP($C45,'-ref_Distribution'!$B$146:$B$150,'-ref_Distribution'!$G$146:$G$150)),RIGHT(BU$1,2))</f>
        <v>243</v>
      </c>
      <c r="BV45" s="16" cm="1">
        <f t="array" ref="BV45">INDEX(_xlfn.ANCHORARRAY(_xlfn.XLOOKUP($C45,'-ref_Distribution'!$B$146:$B$150,'-ref_Distribution'!$G$146:$G$150)),RIGHT(BV$1,2))</f>
        <v>245</v>
      </c>
      <c r="BW45" s="16" cm="1">
        <f t="array" ref="BW45">INDEX(_xlfn.ANCHORARRAY(_xlfn.XLOOKUP($C45,'-ref_Distribution'!$B$146:$B$150,'-ref_Distribution'!$G$146:$G$150)),RIGHT(BW$1,2))</f>
        <v>243</v>
      </c>
      <c r="BX45" s="16" cm="1">
        <f t="array" ref="BX45">INDEX(_xlfn.ANCHORARRAY(_xlfn.XLOOKUP($C45,'-ref_Distribution'!$B$146:$B$150,'-ref_Distribution'!$G$146:$G$150)),RIGHT(BX$1,2))</f>
        <v>234</v>
      </c>
      <c r="BY45" s="16" cm="1">
        <f t="array" ref="BY45">INDEX(_xlfn.ANCHORARRAY(_xlfn.XLOOKUP($C45,'-ref_Distribution'!$B$146:$B$150,'-ref_Distribution'!$G$146:$G$150)),RIGHT(BY$1,2))</f>
        <v>221</v>
      </c>
      <c r="BZ45" s="16" cm="1">
        <f t="array" ref="BZ45">INDEX(_xlfn.ANCHORARRAY(_xlfn.XLOOKUP($C45,'-ref_Distribution'!$B$146:$B$150,'-ref_Distribution'!$G$146:$G$150)),RIGHT(BZ$1,2))</f>
        <v>203</v>
      </c>
      <c r="CA45" s="16" cm="1">
        <f t="array" ref="CA45">INDEX(_xlfn.ANCHORARRAY(_xlfn.XLOOKUP($C45,'-ref_Distribution'!$B$146:$B$150,'-ref_Distribution'!$G$146:$G$150)),RIGHT(CA$1,2))</f>
        <v>183</v>
      </c>
      <c r="CB45" s="16" cm="1">
        <f t="array" ref="CB45">INDEX(_xlfn.ANCHORARRAY(_xlfn.XLOOKUP($C45,'-ref_Distribution'!$B$146:$B$150,'-ref_Distribution'!$G$146:$G$150)),RIGHT(CB$1,2))</f>
        <v>160</v>
      </c>
      <c r="CC45" s="16" cm="1">
        <f t="array" ref="CC45">INDEX(_xlfn.ANCHORARRAY(_xlfn.XLOOKUP($C45,'-ref_Distribution'!$B$146:$B$150,'-ref_Distribution'!$G$146:$G$150)),RIGHT(CC$1,2))</f>
        <v>137</v>
      </c>
      <c r="CD45" s="16" cm="1">
        <f t="array" ref="CD45">INDEX(_xlfn.ANCHORARRAY(_xlfn.XLOOKUP($C45,'-ref_Distribution'!$B$146:$B$150,'-ref_Distribution'!$G$146:$G$150)),RIGHT(CD$1,2))</f>
        <v>115</v>
      </c>
      <c r="CE45" s="16" cm="1">
        <f t="array" ref="CE45">INDEX(_xlfn.ANCHORARRAY(_xlfn.XLOOKUP($C45,'-ref_Distribution'!$B$146:$B$150,'-ref_Distribution'!$G$146:$G$150)),RIGHT(CE$1,2))</f>
        <v>94</v>
      </c>
    </row>
    <row r="46" spans="1:83" x14ac:dyDescent="0.2">
      <c r="A46" s="16">
        <v>302014</v>
      </c>
      <c r="B46" s="16" t="s">
        <v>372</v>
      </c>
      <c r="C46" s="16">
        <v>3</v>
      </c>
      <c r="D46" s="16" cm="1">
        <f t="array" ref="D46">INDEX(_xlfn.ANCHORARRAY(_xlfn.XLOOKUP($C46,'-ref_Distribution'!$B$146:$B$150,'-ref_Distribution'!$G$146:$G$150)),RIGHT(D$1,2))</f>
        <v>4</v>
      </c>
      <c r="E46" s="16" cm="1">
        <f t="array" ref="E46">INDEX(_xlfn.ANCHORARRAY(_xlfn.XLOOKUP($C46,'-ref_Distribution'!$B$146:$B$150,'-ref_Distribution'!$G$146:$G$150)),RIGHT(E$1,2))</f>
        <v>6</v>
      </c>
      <c r="F46" s="16" cm="1">
        <f t="array" ref="F46">INDEX(_xlfn.ANCHORARRAY(_xlfn.XLOOKUP($C46,'-ref_Distribution'!$B$146:$B$150,'-ref_Distribution'!$G$146:$G$150)),RIGHT(F$1,2))</f>
        <v>9</v>
      </c>
      <c r="G46" s="16" cm="1">
        <f t="array" ref="G46">INDEX(_xlfn.ANCHORARRAY(_xlfn.XLOOKUP($C46,'-ref_Distribution'!$B$146:$B$150,'-ref_Distribution'!$G$146:$G$150)),RIGHT(G$1,2))</f>
        <v>14</v>
      </c>
      <c r="H46" s="16" cm="1">
        <f t="array" ref="H46">INDEX(_xlfn.ANCHORARRAY(_xlfn.XLOOKUP($C46,'-ref_Distribution'!$B$146:$B$150,'-ref_Distribution'!$G$146:$G$150)),RIGHT(H$1,2))</f>
        <v>20</v>
      </c>
      <c r="I46" s="16" cm="1">
        <f t="array" ref="I46">INDEX(_xlfn.ANCHORARRAY(_xlfn.XLOOKUP($C46,'-ref_Distribution'!$B$146:$B$150,'-ref_Distribution'!$G$146:$G$150)),RIGHT(I$1,2))</f>
        <v>28</v>
      </c>
      <c r="J46" s="16" cm="1">
        <f t="array" ref="J46">INDEX(_xlfn.ANCHORARRAY(_xlfn.XLOOKUP($C46,'-ref_Distribution'!$B$146:$B$150,'-ref_Distribution'!$G$146:$G$150)),RIGHT(J$1,2))</f>
        <v>38</v>
      </c>
      <c r="K46" s="16" cm="1">
        <f t="array" ref="K46">INDEX(_xlfn.ANCHORARRAY(_xlfn.XLOOKUP($C46,'-ref_Distribution'!$B$146:$B$150,'-ref_Distribution'!$G$146:$G$150)),RIGHT(K$1,2))</f>
        <v>51</v>
      </c>
      <c r="L46" s="16" cm="1">
        <f t="array" ref="L46">INDEX(_xlfn.ANCHORARRAY(_xlfn.XLOOKUP($C46,'-ref_Distribution'!$B$146:$B$150,'-ref_Distribution'!$G$146:$G$150)),RIGHT(L$1,2))</f>
        <v>65</v>
      </c>
      <c r="M46" s="16" cm="1">
        <f t="array" ref="M46">INDEX(_xlfn.ANCHORARRAY(_xlfn.XLOOKUP($C46,'-ref_Distribution'!$B$146:$B$150,'-ref_Distribution'!$G$146:$G$150)),RIGHT(M$1,2))</f>
        <v>80</v>
      </c>
      <c r="N46" s="16" cm="1">
        <f t="array" ref="N46">INDEX(_xlfn.ANCHORARRAY(_xlfn.XLOOKUP($C46,'-ref_Distribution'!$B$146:$B$150,'-ref_Distribution'!$G$146:$G$150)),RIGHT(N$1,2))</f>
        <v>96</v>
      </c>
      <c r="O46" s="16" cm="1">
        <f t="array" ref="O46">INDEX(_xlfn.ANCHORARRAY(_xlfn.XLOOKUP($C46,'-ref_Distribution'!$B$146:$B$150,'-ref_Distribution'!$G$146:$G$150)),RIGHT(O$1,2))</f>
        <v>111</v>
      </c>
      <c r="P46" s="16" cm="1">
        <f t="array" ref="P46">INDEX(_xlfn.ANCHORARRAY(_xlfn.XLOOKUP($C46,'-ref_Distribution'!$B$146:$B$150,'-ref_Distribution'!$G$146:$G$150)),RIGHT(P$1,2))</f>
        <v>125</v>
      </c>
      <c r="Q46" s="16" cm="1">
        <f t="array" ref="Q46">INDEX(_xlfn.ANCHORARRAY(_xlfn.XLOOKUP($C46,'-ref_Distribution'!$B$146:$B$150,'-ref_Distribution'!$G$146:$G$150)),RIGHT(Q$1,2))</f>
        <v>135</v>
      </c>
      <c r="R46" s="16" cm="1">
        <f t="array" ref="R46">INDEX(_xlfn.ANCHORARRAY(_xlfn.XLOOKUP($C46,'-ref_Distribution'!$B$146:$B$150,'-ref_Distribution'!$G$146:$G$150)),RIGHT(R$1,2))</f>
        <v>142</v>
      </c>
      <c r="S46" s="16" cm="1">
        <f t="array" ref="S46">INDEX(_xlfn.ANCHORARRAY(_xlfn.XLOOKUP($C46,'-ref_Distribution'!$B$146:$B$150,'-ref_Distribution'!$G$146:$G$150)),RIGHT(S$1,2))</f>
        <v>144</v>
      </c>
      <c r="T46" s="16" cm="1">
        <f t="array" ref="T46">INDEX(_xlfn.ANCHORARRAY(_xlfn.XLOOKUP($C46,'-ref_Distribution'!$B$146:$B$150,'-ref_Distribution'!$G$146:$G$150)),RIGHT(T$1,2))</f>
        <v>142</v>
      </c>
      <c r="U46" s="16" cm="1">
        <f t="array" ref="U46">INDEX(_xlfn.ANCHORARRAY(_xlfn.XLOOKUP($C46,'-ref_Distribution'!$B$146:$B$150,'-ref_Distribution'!$G$146:$G$150)),RIGHT(U$1,2))</f>
        <v>135</v>
      </c>
      <c r="V46" s="16" cm="1">
        <f t="array" ref="V46">INDEX(_xlfn.ANCHORARRAY(_xlfn.XLOOKUP($C46,'-ref_Distribution'!$B$146:$B$150,'-ref_Distribution'!$G$146:$G$150)),RIGHT(V$1,2))</f>
        <v>125</v>
      </c>
      <c r="W46" s="16" cm="1">
        <f t="array" ref="W46">INDEX(_xlfn.ANCHORARRAY(_xlfn.XLOOKUP($C46,'-ref_Distribution'!$B$146:$B$150,'-ref_Distribution'!$G$146:$G$150)),RIGHT(W$1,2))</f>
        <v>111</v>
      </c>
      <c r="X46" s="16" cm="1">
        <f t="array" ref="X46">INDEX(_xlfn.ANCHORARRAY(_xlfn.XLOOKUP($C46,'-ref_Distribution'!$B$146:$B$150,'-ref_Distribution'!$G$146:$G$150)),RIGHT(X$1,2))</f>
        <v>4</v>
      </c>
      <c r="Y46" s="16" cm="1">
        <f t="array" ref="Y46">INDEX(_xlfn.ANCHORARRAY(_xlfn.XLOOKUP($C46,'-ref_Distribution'!$B$146:$B$150,'-ref_Distribution'!$G$146:$G$150)),RIGHT(Y$1,2))</f>
        <v>6</v>
      </c>
      <c r="Z46" s="16" cm="1">
        <f t="array" ref="Z46">INDEX(_xlfn.ANCHORARRAY(_xlfn.XLOOKUP($C46,'-ref_Distribution'!$B$146:$B$150,'-ref_Distribution'!$G$146:$G$150)),RIGHT(Z$1,2))</f>
        <v>9</v>
      </c>
      <c r="AA46" s="16" cm="1">
        <f t="array" ref="AA46">INDEX(_xlfn.ANCHORARRAY(_xlfn.XLOOKUP($C46,'-ref_Distribution'!$B$146:$B$150,'-ref_Distribution'!$G$146:$G$150)),RIGHT(AA$1,2))</f>
        <v>14</v>
      </c>
      <c r="AB46" s="16" cm="1">
        <f t="array" ref="AB46">INDEX(_xlfn.ANCHORARRAY(_xlfn.XLOOKUP($C46,'-ref_Distribution'!$B$146:$B$150,'-ref_Distribution'!$G$146:$G$150)),RIGHT(AB$1,2))</f>
        <v>20</v>
      </c>
      <c r="AC46" s="16" cm="1">
        <f t="array" ref="AC46">INDEX(_xlfn.ANCHORARRAY(_xlfn.XLOOKUP($C46,'-ref_Distribution'!$B$146:$B$150,'-ref_Distribution'!$G$146:$G$150)),RIGHT(AC$1,2))</f>
        <v>28</v>
      </c>
      <c r="AD46" s="16" cm="1">
        <f t="array" ref="AD46">INDEX(_xlfn.ANCHORARRAY(_xlfn.XLOOKUP($C46,'-ref_Distribution'!$B$146:$B$150,'-ref_Distribution'!$G$146:$G$150)),RIGHT(AD$1,2))</f>
        <v>38</v>
      </c>
      <c r="AE46" s="16" cm="1">
        <f t="array" ref="AE46">INDEX(_xlfn.ANCHORARRAY(_xlfn.XLOOKUP($C46,'-ref_Distribution'!$B$146:$B$150,'-ref_Distribution'!$G$146:$G$150)),RIGHT(AE$1,2))</f>
        <v>51</v>
      </c>
      <c r="AF46" s="16" cm="1">
        <f t="array" ref="AF46">INDEX(_xlfn.ANCHORARRAY(_xlfn.XLOOKUP($C46,'-ref_Distribution'!$B$146:$B$150,'-ref_Distribution'!$G$146:$G$150)),RIGHT(AF$1,2))</f>
        <v>65</v>
      </c>
      <c r="AG46" s="16" cm="1">
        <f t="array" ref="AG46">INDEX(_xlfn.ANCHORARRAY(_xlfn.XLOOKUP($C46,'-ref_Distribution'!$B$146:$B$150,'-ref_Distribution'!$G$146:$G$150)),RIGHT(AG$1,2))</f>
        <v>80</v>
      </c>
      <c r="AH46" s="16" cm="1">
        <f t="array" ref="AH46">INDEX(_xlfn.ANCHORARRAY(_xlfn.XLOOKUP($C46,'-ref_Distribution'!$B$146:$B$150,'-ref_Distribution'!$G$146:$G$150)),RIGHT(AH$1,2))</f>
        <v>96</v>
      </c>
      <c r="AI46" s="16" cm="1">
        <f t="array" ref="AI46">INDEX(_xlfn.ANCHORARRAY(_xlfn.XLOOKUP($C46,'-ref_Distribution'!$B$146:$B$150,'-ref_Distribution'!$G$146:$G$150)),RIGHT(AI$1,2))</f>
        <v>111</v>
      </c>
      <c r="AJ46" s="16" cm="1">
        <f t="array" ref="AJ46">INDEX(_xlfn.ANCHORARRAY(_xlfn.XLOOKUP($C46,'-ref_Distribution'!$B$146:$B$150,'-ref_Distribution'!$G$146:$G$150)),RIGHT(AJ$1,2))</f>
        <v>125</v>
      </c>
      <c r="AK46" s="16" cm="1">
        <f t="array" ref="AK46">INDEX(_xlfn.ANCHORARRAY(_xlfn.XLOOKUP($C46,'-ref_Distribution'!$B$146:$B$150,'-ref_Distribution'!$G$146:$G$150)),RIGHT(AK$1,2))</f>
        <v>135</v>
      </c>
      <c r="AL46" s="16" cm="1">
        <f t="array" ref="AL46">INDEX(_xlfn.ANCHORARRAY(_xlfn.XLOOKUP($C46,'-ref_Distribution'!$B$146:$B$150,'-ref_Distribution'!$G$146:$G$150)),RIGHT(AL$1,2))</f>
        <v>142</v>
      </c>
      <c r="AM46" s="16" cm="1">
        <f t="array" ref="AM46">INDEX(_xlfn.ANCHORARRAY(_xlfn.XLOOKUP($C46,'-ref_Distribution'!$B$146:$B$150,'-ref_Distribution'!$G$146:$G$150)),RIGHT(AM$1,2))</f>
        <v>144</v>
      </c>
      <c r="AN46" s="16" cm="1">
        <f t="array" ref="AN46">INDEX(_xlfn.ANCHORARRAY(_xlfn.XLOOKUP($C46,'-ref_Distribution'!$B$146:$B$150,'-ref_Distribution'!$G$146:$G$150)),RIGHT(AN$1,2))</f>
        <v>142</v>
      </c>
      <c r="AO46" s="16" cm="1">
        <f t="array" ref="AO46">INDEX(_xlfn.ANCHORARRAY(_xlfn.XLOOKUP($C46,'-ref_Distribution'!$B$146:$B$150,'-ref_Distribution'!$G$146:$G$150)),RIGHT(AO$1,2))</f>
        <v>135</v>
      </c>
      <c r="AP46" s="16" cm="1">
        <f t="array" ref="AP46">INDEX(_xlfn.ANCHORARRAY(_xlfn.XLOOKUP($C46,'-ref_Distribution'!$B$146:$B$150,'-ref_Distribution'!$G$146:$G$150)),RIGHT(AP$1,2))</f>
        <v>125</v>
      </c>
      <c r="AQ46" s="16" cm="1">
        <f t="array" ref="AQ46">INDEX(_xlfn.ANCHORARRAY(_xlfn.XLOOKUP($C46,'-ref_Distribution'!$B$146:$B$150,'-ref_Distribution'!$G$146:$G$150)),RIGHT(AQ$1,2))</f>
        <v>111</v>
      </c>
      <c r="AR46" s="16" cm="1">
        <f t="array" ref="AR46">INDEX(_xlfn.ANCHORARRAY(_xlfn.XLOOKUP($C46,'-ref_Distribution'!$B$146:$B$150,'-ref_Distribution'!$G$146:$G$150)),RIGHT(AR$1,2))</f>
        <v>4</v>
      </c>
      <c r="AS46" s="16" cm="1">
        <f t="array" ref="AS46">INDEX(_xlfn.ANCHORARRAY(_xlfn.XLOOKUP($C46,'-ref_Distribution'!$B$146:$B$150,'-ref_Distribution'!$G$146:$G$150)),RIGHT(AS$1,2))</f>
        <v>6</v>
      </c>
      <c r="AT46" s="16" cm="1">
        <f t="array" ref="AT46">INDEX(_xlfn.ANCHORARRAY(_xlfn.XLOOKUP($C46,'-ref_Distribution'!$B$146:$B$150,'-ref_Distribution'!$G$146:$G$150)),RIGHT(AT$1,2))</f>
        <v>9</v>
      </c>
      <c r="AU46" s="16" cm="1">
        <f t="array" ref="AU46">INDEX(_xlfn.ANCHORARRAY(_xlfn.XLOOKUP($C46,'-ref_Distribution'!$B$146:$B$150,'-ref_Distribution'!$G$146:$G$150)),RIGHT(AU$1,2))</f>
        <v>14</v>
      </c>
      <c r="AV46" s="16" cm="1">
        <f t="array" ref="AV46">INDEX(_xlfn.ANCHORARRAY(_xlfn.XLOOKUP($C46,'-ref_Distribution'!$B$146:$B$150,'-ref_Distribution'!$G$146:$G$150)),RIGHT(AV$1,2))</f>
        <v>20</v>
      </c>
      <c r="AW46" s="16" cm="1">
        <f t="array" ref="AW46">INDEX(_xlfn.ANCHORARRAY(_xlfn.XLOOKUP($C46,'-ref_Distribution'!$B$146:$B$150,'-ref_Distribution'!$G$146:$G$150)),RIGHT(AW$1,2))</f>
        <v>28</v>
      </c>
      <c r="AX46" s="16" cm="1">
        <f t="array" ref="AX46">INDEX(_xlfn.ANCHORARRAY(_xlfn.XLOOKUP($C46,'-ref_Distribution'!$B$146:$B$150,'-ref_Distribution'!$G$146:$G$150)),RIGHT(AX$1,2))</f>
        <v>38</v>
      </c>
      <c r="AY46" s="16" cm="1">
        <f t="array" ref="AY46">INDEX(_xlfn.ANCHORARRAY(_xlfn.XLOOKUP($C46,'-ref_Distribution'!$B$146:$B$150,'-ref_Distribution'!$G$146:$G$150)),RIGHT(AY$1,2))</f>
        <v>51</v>
      </c>
      <c r="AZ46" s="16" cm="1">
        <f t="array" ref="AZ46">INDEX(_xlfn.ANCHORARRAY(_xlfn.XLOOKUP($C46,'-ref_Distribution'!$B$146:$B$150,'-ref_Distribution'!$G$146:$G$150)),RIGHT(AZ$1,2))</f>
        <v>65</v>
      </c>
      <c r="BA46" s="16" cm="1">
        <f t="array" ref="BA46">INDEX(_xlfn.ANCHORARRAY(_xlfn.XLOOKUP($C46,'-ref_Distribution'!$B$146:$B$150,'-ref_Distribution'!$G$146:$G$150)),RIGHT(BA$1,2))</f>
        <v>80</v>
      </c>
      <c r="BB46" s="16" cm="1">
        <f t="array" ref="BB46">INDEX(_xlfn.ANCHORARRAY(_xlfn.XLOOKUP($C46,'-ref_Distribution'!$B$146:$B$150,'-ref_Distribution'!$G$146:$G$150)),RIGHT(BB$1,2))</f>
        <v>96</v>
      </c>
      <c r="BC46" s="16" cm="1">
        <f t="array" ref="BC46">INDEX(_xlfn.ANCHORARRAY(_xlfn.XLOOKUP($C46,'-ref_Distribution'!$B$146:$B$150,'-ref_Distribution'!$G$146:$G$150)),RIGHT(BC$1,2))</f>
        <v>111</v>
      </c>
      <c r="BD46" s="16" cm="1">
        <f t="array" ref="BD46">INDEX(_xlfn.ANCHORARRAY(_xlfn.XLOOKUP($C46,'-ref_Distribution'!$B$146:$B$150,'-ref_Distribution'!$G$146:$G$150)),RIGHT(BD$1,2))</f>
        <v>125</v>
      </c>
      <c r="BE46" s="16" cm="1">
        <f t="array" ref="BE46">INDEX(_xlfn.ANCHORARRAY(_xlfn.XLOOKUP($C46,'-ref_Distribution'!$B$146:$B$150,'-ref_Distribution'!$G$146:$G$150)),RIGHT(BE$1,2))</f>
        <v>135</v>
      </c>
      <c r="BF46" s="16" cm="1">
        <f t="array" ref="BF46">INDEX(_xlfn.ANCHORARRAY(_xlfn.XLOOKUP($C46,'-ref_Distribution'!$B$146:$B$150,'-ref_Distribution'!$G$146:$G$150)),RIGHT(BF$1,2))</f>
        <v>142</v>
      </c>
      <c r="BG46" s="16" cm="1">
        <f t="array" ref="BG46">INDEX(_xlfn.ANCHORARRAY(_xlfn.XLOOKUP($C46,'-ref_Distribution'!$B$146:$B$150,'-ref_Distribution'!$G$146:$G$150)),RIGHT(BG$1,2))</f>
        <v>144</v>
      </c>
      <c r="BH46" s="16" cm="1">
        <f t="array" ref="BH46">INDEX(_xlfn.ANCHORARRAY(_xlfn.XLOOKUP($C46,'-ref_Distribution'!$B$146:$B$150,'-ref_Distribution'!$G$146:$G$150)),RIGHT(BH$1,2))</f>
        <v>142</v>
      </c>
      <c r="BI46" s="16" cm="1">
        <f t="array" ref="BI46">INDEX(_xlfn.ANCHORARRAY(_xlfn.XLOOKUP($C46,'-ref_Distribution'!$B$146:$B$150,'-ref_Distribution'!$G$146:$G$150)),RIGHT(BI$1,2))</f>
        <v>135</v>
      </c>
      <c r="BJ46" s="16" cm="1">
        <f t="array" ref="BJ46">INDEX(_xlfn.ANCHORARRAY(_xlfn.XLOOKUP($C46,'-ref_Distribution'!$B$146:$B$150,'-ref_Distribution'!$G$146:$G$150)),RIGHT(BJ$1,2))</f>
        <v>125</v>
      </c>
      <c r="BK46" s="16" cm="1">
        <f t="array" ref="BK46">INDEX(_xlfn.ANCHORARRAY(_xlfn.XLOOKUP($C46,'-ref_Distribution'!$B$146:$B$150,'-ref_Distribution'!$G$146:$G$150)),RIGHT(BK$1,2))</f>
        <v>111</v>
      </c>
      <c r="BL46" s="16" cm="1">
        <f t="array" ref="BL46">INDEX(_xlfn.ANCHORARRAY(_xlfn.XLOOKUP($C46,'-ref_Distribution'!$B$146:$B$150,'-ref_Distribution'!$G$146:$G$150)),RIGHT(BL$1,2))</f>
        <v>4</v>
      </c>
      <c r="BM46" s="16" cm="1">
        <f t="array" ref="BM46">INDEX(_xlfn.ANCHORARRAY(_xlfn.XLOOKUP($C46,'-ref_Distribution'!$B$146:$B$150,'-ref_Distribution'!$G$146:$G$150)),RIGHT(BM$1,2))</f>
        <v>6</v>
      </c>
      <c r="BN46" s="16" cm="1">
        <f t="array" ref="BN46">INDEX(_xlfn.ANCHORARRAY(_xlfn.XLOOKUP($C46,'-ref_Distribution'!$B$146:$B$150,'-ref_Distribution'!$G$146:$G$150)),RIGHT(BN$1,2))</f>
        <v>9</v>
      </c>
      <c r="BO46" s="16" cm="1">
        <f t="array" ref="BO46">INDEX(_xlfn.ANCHORARRAY(_xlfn.XLOOKUP($C46,'-ref_Distribution'!$B$146:$B$150,'-ref_Distribution'!$G$146:$G$150)),RIGHT(BO$1,2))</f>
        <v>14</v>
      </c>
      <c r="BP46" s="16" cm="1">
        <f t="array" ref="BP46">INDEX(_xlfn.ANCHORARRAY(_xlfn.XLOOKUP($C46,'-ref_Distribution'!$B$146:$B$150,'-ref_Distribution'!$G$146:$G$150)),RIGHT(BP$1,2))</f>
        <v>20</v>
      </c>
      <c r="BQ46" s="16" cm="1">
        <f t="array" ref="BQ46">INDEX(_xlfn.ANCHORARRAY(_xlfn.XLOOKUP($C46,'-ref_Distribution'!$B$146:$B$150,'-ref_Distribution'!$G$146:$G$150)),RIGHT(BQ$1,2))</f>
        <v>28</v>
      </c>
      <c r="BR46" s="16" cm="1">
        <f t="array" ref="BR46">INDEX(_xlfn.ANCHORARRAY(_xlfn.XLOOKUP($C46,'-ref_Distribution'!$B$146:$B$150,'-ref_Distribution'!$G$146:$G$150)),RIGHT(BR$1,2))</f>
        <v>38</v>
      </c>
      <c r="BS46" s="16" cm="1">
        <f t="array" ref="BS46">INDEX(_xlfn.ANCHORARRAY(_xlfn.XLOOKUP($C46,'-ref_Distribution'!$B$146:$B$150,'-ref_Distribution'!$G$146:$G$150)),RIGHT(BS$1,2))</f>
        <v>51</v>
      </c>
      <c r="BT46" s="16" cm="1">
        <f t="array" ref="BT46">INDEX(_xlfn.ANCHORARRAY(_xlfn.XLOOKUP($C46,'-ref_Distribution'!$B$146:$B$150,'-ref_Distribution'!$G$146:$G$150)),RIGHT(BT$1,2))</f>
        <v>65</v>
      </c>
      <c r="BU46" s="16" cm="1">
        <f t="array" ref="BU46">INDEX(_xlfn.ANCHORARRAY(_xlfn.XLOOKUP($C46,'-ref_Distribution'!$B$146:$B$150,'-ref_Distribution'!$G$146:$G$150)),RIGHT(BU$1,2))</f>
        <v>80</v>
      </c>
      <c r="BV46" s="16" cm="1">
        <f t="array" ref="BV46">INDEX(_xlfn.ANCHORARRAY(_xlfn.XLOOKUP($C46,'-ref_Distribution'!$B$146:$B$150,'-ref_Distribution'!$G$146:$G$150)),RIGHT(BV$1,2))</f>
        <v>96</v>
      </c>
      <c r="BW46" s="16" cm="1">
        <f t="array" ref="BW46">INDEX(_xlfn.ANCHORARRAY(_xlfn.XLOOKUP($C46,'-ref_Distribution'!$B$146:$B$150,'-ref_Distribution'!$G$146:$G$150)),RIGHT(BW$1,2))</f>
        <v>111</v>
      </c>
      <c r="BX46" s="16" cm="1">
        <f t="array" ref="BX46">INDEX(_xlfn.ANCHORARRAY(_xlfn.XLOOKUP($C46,'-ref_Distribution'!$B$146:$B$150,'-ref_Distribution'!$G$146:$G$150)),RIGHT(BX$1,2))</f>
        <v>125</v>
      </c>
      <c r="BY46" s="16" cm="1">
        <f t="array" ref="BY46">INDEX(_xlfn.ANCHORARRAY(_xlfn.XLOOKUP($C46,'-ref_Distribution'!$B$146:$B$150,'-ref_Distribution'!$G$146:$G$150)),RIGHT(BY$1,2))</f>
        <v>135</v>
      </c>
      <c r="BZ46" s="16" cm="1">
        <f t="array" ref="BZ46">INDEX(_xlfn.ANCHORARRAY(_xlfn.XLOOKUP($C46,'-ref_Distribution'!$B$146:$B$150,'-ref_Distribution'!$G$146:$G$150)),RIGHT(BZ$1,2))</f>
        <v>142</v>
      </c>
      <c r="CA46" s="16" cm="1">
        <f t="array" ref="CA46">INDEX(_xlfn.ANCHORARRAY(_xlfn.XLOOKUP($C46,'-ref_Distribution'!$B$146:$B$150,'-ref_Distribution'!$G$146:$G$150)),RIGHT(CA$1,2))</f>
        <v>144</v>
      </c>
      <c r="CB46" s="16" cm="1">
        <f t="array" ref="CB46">INDEX(_xlfn.ANCHORARRAY(_xlfn.XLOOKUP($C46,'-ref_Distribution'!$B$146:$B$150,'-ref_Distribution'!$G$146:$G$150)),RIGHT(CB$1,2))</f>
        <v>142</v>
      </c>
      <c r="CC46" s="16" cm="1">
        <f t="array" ref="CC46">INDEX(_xlfn.ANCHORARRAY(_xlfn.XLOOKUP($C46,'-ref_Distribution'!$B$146:$B$150,'-ref_Distribution'!$G$146:$G$150)),RIGHT(CC$1,2))</f>
        <v>135</v>
      </c>
      <c r="CD46" s="16" cm="1">
        <f t="array" ref="CD46">INDEX(_xlfn.ANCHORARRAY(_xlfn.XLOOKUP($C46,'-ref_Distribution'!$B$146:$B$150,'-ref_Distribution'!$G$146:$G$150)),RIGHT(CD$1,2))</f>
        <v>125</v>
      </c>
      <c r="CE46" s="16" cm="1">
        <f t="array" ref="CE46">INDEX(_xlfn.ANCHORARRAY(_xlfn.XLOOKUP($C46,'-ref_Distribution'!$B$146:$B$150,'-ref_Distribution'!$G$146:$G$150)),RIGHT(CE$1,2))</f>
        <v>111</v>
      </c>
    </row>
    <row r="47" spans="1:83" x14ac:dyDescent="0.2">
      <c r="A47" s="16">
        <v>302031</v>
      </c>
      <c r="B47" s="16" t="s">
        <v>222</v>
      </c>
      <c r="C47" s="16">
        <v>0</v>
      </c>
      <c r="D47" s="16" cm="1">
        <f t="array" ref="D47">INDEX(_xlfn.ANCHORARRAY(_xlfn.XLOOKUP($C47,'-ref_Distribution'!$B$146:$B$150,'-ref_Distribution'!$G$146:$G$150)),RIGHT(D$1,2))</f>
        <v>709</v>
      </c>
      <c r="E47" s="16" cm="1">
        <f t="array" ref="E47">INDEX(_xlfn.ANCHORARRAY(_xlfn.XLOOKUP($C47,'-ref_Distribution'!$B$146:$B$150,'-ref_Distribution'!$G$146:$G$150)),RIGHT(E$1,2))</f>
        <v>705</v>
      </c>
      <c r="F47" s="16" cm="1">
        <f t="array" ref="F47">INDEX(_xlfn.ANCHORARRAY(_xlfn.XLOOKUP($C47,'-ref_Distribution'!$B$146:$B$150,'-ref_Distribution'!$G$146:$G$150)),RIGHT(F$1,2))</f>
        <v>692</v>
      </c>
      <c r="G47" s="16" cm="1">
        <f t="array" ref="G47">INDEX(_xlfn.ANCHORARRAY(_xlfn.XLOOKUP($C47,'-ref_Distribution'!$B$146:$B$150,'-ref_Distribution'!$G$146:$G$150)),RIGHT(G$1,2))</f>
        <v>671</v>
      </c>
      <c r="H47" s="16" cm="1">
        <f t="array" ref="H47">INDEX(_xlfn.ANCHORARRAY(_xlfn.XLOOKUP($C47,'-ref_Distribution'!$B$146:$B$150,'-ref_Distribution'!$G$146:$G$150)),RIGHT(H$1,2))</f>
        <v>643</v>
      </c>
      <c r="I47" s="16" cm="1">
        <f t="array" ref="I47">INDEX(_xlfn.ANCHORARRAY(_xlfn.XLOOKUP($C47,'-ref_Distribution'!$B$146:$B$150,'-ref_Distribution'!$G$146:$G$150)),RIGHT(I$1,2))</f>
        <v>608</v>
      </c>
      <c r="J47" s="16" cm="1">
        <f t="array" ref="J47">INDEX(_xlfn.ANCHORARRAY(_xlfn.XLOOKUP($C47,'-ref_Distribution'!$B$146:$B$150,'-ref_Distribution'!$G$146:$G$150)),RIGHT(J$1,2))</f>
        <v>568</v>
      </c>
      <c r="K47" s="16" cm="1">
        <f t="array" ref="K47">INDEX(_xlfn.ANCHORARRAY(_xlfn.XLOOKUP($C47,'-ref_Distribution'!$B$146:$B$150,'-ref_Distribution'!$G$146:$G$150)),RIGHT(K$1,2))</f>
        <v>524</v>
      </c>
      <c r="L47" s="16" cm="1">
        <f t="array" ref="L47">INDEX(_xlfn.ANCHORARRAY(_xlfn.XLOOKUP($C47,'-ref_Distribution'!$B$146:$B$150,'-ref_Distribution'!$G$146:$G$150)),RIGHT(L$1,2))</f>
        <v>478</v>
      </c>
      <c r="M47" s="16" cm="1">
        <f t="array" ref="M47">INDEX(_xlfn.ANCHORARRAY(_xlfn.XLOOKUP($C47,'-ref_Distribution'!$B$146:$B$150,'-ref_Distribution'!$G$146:$G$150)),RIGHT(M$1,2))</f>
        <v>430</v>
      </c>
      <c r="N47" s="16" cm="1">
        <f t="array" ref="N47">INDEX(_xlfn.ANCHORARRAY(_xlfn.XLOOKUP($C47,'-ref_Distribution'!$B$146:$B$150,'-ref_Distribution'!$G$146:$G$150)),RIGHT(N$1,2))</f>
        <v>383</v>
      </c>
      <c r="O47" s="16" cm="1">
        <f t="array" ref="O47">INDEX(_xlfn.ANCHORARRAY(_xlfn.XLOOKUP($C47,'-ref_Distribution'!$B$146:$B$150,'-ref_Distribution'!$G$146:$G$150)),RIGHT(O$1,2))</f>
        <v>336</v>
      </c>
      <c r="P47" s="16" cm="1">
        <f t="array" ref="P47">INDEX(_xlfn.ANCHORARRAY(_xlfn.XLOOKUP($C47,'-ref_Distribution'!$B$146:$B$150,'-ref_Distribution'!$G$146:$G$150)),RIGHT(P$1,2))</f>
        <v>292</v>
      </c>
      <c r="Q47" s="16" cm="1">
        <f t="array" ref="Q47">INDEX(_xlfn.ANCHORARRAY(_xlfn.XLOOKUP($C47,'-ref_Distribution'!$B$146:$B$150,'-ref_Distribution'!$G$146:$G$150)),RIGHT(Q$1,2))</f>
        <v>250</v>
      </c>
      <c r="R47" s="16" cm="1">
        <f t="array" ref="R47">INDEX(_xlfn.ANCHORARRAY(_xlfn.XLOOKUP($C47,'-ref_Distribution'!$B$146:$B$150,'-ref_Distribution'!$G$146:$G$150)),RIGHT(R$1,2))</f>
        <v>212</v>
      </c>
      <c r="S47" s="16" cm="1">
        <f t="array" ref="S47">INDEX(_xlfn.ANCHORARRAY(_xlfn.XLOOKUP($C47,'-ref_Distribution'!$B$146:$B$150,'-ref_Distribution'!$G$146:$G$150)),RIGHT(S$1,2))</f>
        <v>177</v>
      </c>
      <c r="T47" s="16" cm="1">
        <f t="array" ref="T47">INDEX(_xlfn.ANCHORARRAY(_xlfn.XLOOKUP($C47,'-ref_Distribution'!$B$146:$B$150,'-ref_Distribution'!$G$146:$G$150)),RIGHT(T$1,2))</f>
        <v>146</v>
      </c>
      <c r="U47" s="16" cm="1">
        <f t="array" ref="U47">INDEX(_xlfn.ANCHORARRAY(_xlfn.XLOOKUP($C47,'-ref_Distribution'!$B$146:$B$150,'-ref_Distribution'!$G$146:$G$150)),RIGHT(U$1,2))</f>
        <v>119</v>
      </c>
      <c r="V47" s="16" cm="1">
        <f t="array" ref="V47">INDEX(_xlfn.ANCHORARRAY(_xlfn.XLOOKUP($C47,'-ref_Distribution'!$B$146:$B$150,'-ref_Distribution'!$G$146:$G$150)),RIGHT(V$1,2))</f>
        <v>96</v>
      </c>
      <c r="W47" s="16" cm="1">
        <f t="array" ref="W47">INDEX(_xlfn.ANCHORARRAY(_xlfn.XLOOKUP($C47,'-ref_Distribution'!$B$146:$B$150,'-ref_Distribution'!$G$146:$G$150)),RIGHT(W$1,2))</f>
        <v>76</v>
      </c>
      <c r="X47" s="16" cm="1">
        <f t="array" ref="X47">INDEX(_xlfn.ANCHORARRAY(_xlfn.XLOOKUP($C47,'-ref_Distribution'!$B$146:$B$150,'-ref_Distribution'!$G$146:$G$150)),RIGHT(X$1,2))</f>
        <v>709</v>
      </c>
      <c r="Y47" s="16" cm="1">
        <f t="array" ref="Y47">INDEX(_xlfn.ANCHORARRAY(_xlfn.XLOOKUP($C47,'-ref_Distribution'!$B$146:$B$150,'-ref_Distribution'!$G$146:$G$150)),RIGHT(Y$1,2))</f>
        <v>705</v>
      </c>
      <c r="Z47" s="16" cm="1">
        <f t="array" ref="Z47">INDEX(_xlfn.ANCHORARRAY(_xlfn.XLOOKUP($C47,'-ref_Distribution'!$B$146:$B$150,'-ref_Distribution'!$G$146:$G$150)),RIGHT(Z$1,2))</f>
        <v>692</v>
      </c>
      <c r="AA47" s="16" cm="1">
        <f t="array" ref="AA47">INDEX(_xlfn.ANCHORARRAY(_xlfn.XLOOKUP($C47,'-ref_Distribution'!$B$146:$B$150,'-ref_Distribution'!$G$146:$G$150)),RIGHT(AA$1,2))</f>
        <v>671</v>
      </c>
      <c r="AB47" s="16" cm="1">
        <f t="array" ref="AB47">INDEX(_xlfn.ANCHORARRAY(_xlfn.XLOOKUP($C47,'-ref_Distribution'!$B$146:$B$150,'-ref_Distribution'!$G$146:$G$150)),RIGHT(AB$1,2))</f>
        <v>643</v>
      </c>
      <c r="AC47" s="16" cm="1">
        <f t="array" ref="AC47">INDEX(_xlfn.ANCHORARRAY(_xlfn.XLOOKUP($C47,'-ref_Distribution'!$B$146:$B$150,'-ref_Distribution'!$G$146:$G$150)),RIGHT(AC$1,2))</f>
        <v>608</v>
      </c>
      <c r="AD47" s="16" cm="1">
        <f t="array" ref="AD47">INDEX(_xlfn.ANCHORARRAY(_xlfn.XLOOKUP($C47,'-ref_Distribution'!$B$146:$B$150,'-ref_Distribution'!$G$146:$G$150)),RIGHT(AD$1,2))</f>
        <v>568</v>
      </c>
      <c r="AE47" s="16" cm="1">
        <f t="array" ref="AE47">INDEX(_xlfn.ANCHORARRAY(_xlfn.XLOOKUP($C47,'-ref_Distribution'!$B$146:$B$150,'-ref_Distribution'!$G$146:$G$150)),RIGHT(AE$1,2))</f>
        <v>524</v>
      </c>
      <c r="AF47" s="16" cm="1">
        <f t="array" ref="AF47">INDEX(_xlfn.ANCHORARRAY(_xlfn.XLOOKUP($C47,'-ref_Distribution'!$B$146:$B$150,'-ref_Distribution'!$G$146:$G$150)),RIGHT(AF$1,2))</f>
        <v>478</v>
      </c>
      <c r="AG47" s="16" cm="1">
        <f t="array" ref="AG47">INDEX(_xlfn.ANCHORARRAY(_xlfn.XLOOKUP($C47,'-ref_Distribution'!$B$146:$B$150,'-ref_Distribution'!$G$146:$G$150)),RIGHT(AG$1,2))</f>
        <v>430</v>
      </c>
      <c r="AH47" s="16" cm="1">
        <f t="array" ref="AH47">INDEX(_xlfn.ANCHORARRAY(_xlfn.XLOOKUP($C47,'-ref_Distribution'!$B$146:$B$150,'-ref_Distribution'!$G$146:$G$150)),RIGHT(AH$1,2))</f>
        <v>383</v>
      </c>
      <c r="AI47" s="16" cm="1">
        <f t="array" ref="AI47">INDEX(_xlfn.ANCHORARRAY(_xlfn.XLOOKUP($C47,'-ref_Distribution'!$B$146:$B$150,'-ref_Distribution'!$G$146:$G$150)),RIGHT(AI$1,2))</f>
        <v>336</v>
      </c>
      <c r="AJ47" s="16" cm="1">
        <f t="array" ref="AJ47">INDEX(_xlfn.ANCHORARRAY(_xlfn.XLOOKUP($C47,'-ref_Distribution'!$B$146:$B$150,'-ref_Distribution'!$G$146:$G$150)),RIGHT(AJ$1,2))</f>
        <v>292</v>
      </c>
      <c r="AK47" s="16" cm="1">
        <f t="array" ref="AK47">INDEX(_xlfn.ANCHORARRAY(_xlfn.XLOOKUP($C47,'-ref_Distribution'!$B$146:$B$150,'-ref_Distribution'!$G$146:$G$150)),RIGHT(AK$1,2))</f>
        <v>250</v>
      </c>
      <c r="AL47" s="16" cm="1">
        <f t="array" ref="AL47">INDEX(_xlfn.ANCHORARRAY(_xlfn.XLOOKUP($C47,'-ref_Distribution'!$B$146:$B$150,'-ref_Distribution'!$G$146:$G$150)),RIGHT(AL$1,2))</f>
        <v>212</v>
      </c>
      <c r="AM47" s="16" cm="1">
        <f t="array" ref="AM47">INDEX(_xlfn.ANCHORARRAY(_xlfn.XLOOKUP($C47,'-ref_Distribution'!$B$146:$B$150,'-ref_Distribution'!$G$146:$G$150)),RIGHT(AM$1,2))</f>
        <v>177</v>
      </c>
      <c r="AN47" s="16" cm="1">
        <f t="array" ref="AN47">INDEX(_xlfn.ANCHORARRAY(_xlfn.XLOOKUP($C47,'-ref_Distribution'!$B$146:$B$150,'-ref_Distribution'!$G$146:$G$150)),RIGHT(AN$1,2))</f>
        <v>146</v>
      </c>
      <c r="AO47" s="16" cm="1">
        <f t="array" ref="AO47">INDEX(_xlfn.ANCHORARRAY(_xlfn.XLOOKUP($C47,'-ref_Distribution'!$B$146:$B$150,'-ref_Distribution'!$G$146:$G$150)),RIGHT(AO$1,2))</f>
        <v>119</v>
      </c>
      <c r="AP47" s="16" cm="1">
        <f t="array" ref="AP47">INDEX(_xlfn.ANCHORARRAY(_xlfn.XLOOKUP($C47,'-ref_Distribution'!$B$146:$B$150,'-ref_Distribution'!$G$146:$G$150)),RIGHT(AP$1,2))</f>
        <v>96</v>
      </c>
      <c r="AQ47" s="16" cm="1">
        <f t="array" ref="AQ47">INDEX(_xlfn.ANCHORARRAY(_xlfn.XLOOKUP($C47,'-ref_Distribution'!$B$146:$B$150,'-ref_Distribution'!$G$146:$G$150)),RIGHT(AQ$1,2))</f>
        <v>76</v>
      </c>
      <c r="AR47" s="16" cm="1">
        <f t="array" ref="AR47">INDEX(_xlfn.ANCHORARRAY(_xlfn.XLOOKUP($C47,'-ref_Distribution'!$B$146:$B$150,'-ref_Distribution'!$G$146:$G$150)),RIGHT(AR$1,2))</f>
        <v>709</v>
      </c>
      <c r="AS47" s="16" cm="1">
        <f t="array" ref="AS47">INDEX(_xlfn.ANCHORARRAY(_xlfn.XLOOKUP($C47,'-ref_Distribution'!$B$146:$B$150,'-ref_Distribution'!$G$146:$G$150)),RIGHT(AS$1,2))</f>
        <v>705</v>
      </c>
      <c r="AT47" s="16" cm="1">
        <f t="array" ref="AT47">INDEX(_xlfn.ANCHORARRAY(_xlfn.XLOOKUP($C47,'-ref_Distribution'!$B$146:$B$150,'-ref_Distribution'!$G$146:$G$150)),RIGHT(AT$1,2))</f>
        <v>692</v>
      </c>
      <c r="AU47" s="16" cm="1">
        <f t="array" ref="AU47">INDEX(_xlfn.ANCHORARRAY(_xlfn.XLOOKUP($C47,'-ref_Distribution'!$B$146:$B$150,'-ref_Distribution'!$G$146:$G$150)),RIGHT(AU$1,2))</f>
        <v>671</v>
      </c>
      <c r="AV47" s="16" cm="1">
        <f t="array" ref="AV47">INDEX(_xlfn.ANCHORARRAY(_xlfn.XLOOKUP($C47,'-ref_Distribution'!$B$146:$B$150,'-ref_Distribution'!$G$146:$G$150)),RIGHT(AV$1,2))</f>
        <v>643</v>
      </c>
      <c r="AW47" s="16" cm="1">
        <f t="array" ref="AW47">INDEX(_xlfn.ANCHORARRAY(_xlfn.XLOOKUP($C47,'-ref_Distribution'!$B$146:$B$150,'-ref_Distribution'!$G$146:$G$150)),RIGHT(AW$1,2))</f>
        <v>608</v>
      </c>
      <c r="AX47" s="16" cm="1">
        <f t="array" ref="AX47">INDEX(_xlfn.ANCHORARRAY(_xlfn.XLOOKUP($C47,'-ref_Distribution'!$B$146:$B$150,'-ref_Distribution'!$G$146:$G$150)),RIGHT(AX$1,2))</f>
        <v>568</v>
      </c>
      <c r="AY47" s="16" cm="1">
        <f t="array" ref="AY47">INDEX(_xlfn.ANCHORARRAY(_xlfn.XLOOKUP($C47,'-ref_Distribution'!$B$146:$B$150,'-ref_Distribution'!$G$146:$G$150)),RIGHT(AY$1,2))</f>
        <v>524</v>
      </c>
      <c r="AZ47" s="16" cm="1">
        <f t="array" ref="AZ47">INDEX(_xlfn.ANCHORARRAY(_xlfn.XLOOKUP($C47,'-ref_Distribution'!$B$146:$B$150,'-ref_Distribution'!$G$146:$G$150)),RIGHT(AZ$1,2))</f>
        <v>478</v>
      </c>
      <c r="BA47" s="16" cm="1">
        <f t="array" ref="BA47">INDEX(_xlfn.ANCHORARRAY(_xlfn.XLOOKUP($C47,'-ref_Distribution'!$B$146:$B$150,'-ref_Distribution'!$G$146:$G$150)),RIGHT(BA$1,2))</f>
        <v>430</v>
      </c>
      <c r="BB47" s="16" cm="1">
        <f t="array" ref="BB47">INDEX(_xlfn.ANCHORARRAY(_xlfn.XLOOKUP($C47,'-ref_Distribution'!$B$146:$B$150,'-ref_Distribution'!$G$146:$G$150)),RIGHT(BB$1,2))</f>
        <v>383</v>
      </c>
      <c r="BC47" s="16" cm="1">
        <f t="array" ref="BC47">INDEX(_xlfn.ANCHORARRAY(_xlfn.XLOOKUP($C47,'-ref_Distribution'!$B$146:$B$150,'-ref_Distribution'!$G$146:$G$150)),RIGHT(BC$1,2))</f>
        <v>336</v>
      </c>
      <c r="BD47" s="16" cm="1">
        <f t="array" ref="BD47">INDEX(_xlfn.ANCHORARRAY(_xlfn.XLOOKUP($C47,'-ref_Distribution'!$B$146:$B$150,'-ref_Distribution'!$G$146:$G$150)),RIGHT(BD$1,2))</f>
        <v>292</v>
      </c>
      <c r="BE47" s="16" cm="1">
        <f t="array" ref="BE47">INDEX(_xlfn.ANCHORARRAY(_xlfn.XLOOKUP($C47,'-ref_Distribution'!$B$146:$B$150,'-ref_Distribution'!$G$146:$G$150)),RIGHT(BE$1,2))</f>
        <v>250</v>
      </c>
      <c r="BF47" s="16" cm="1">
        <f t="array" ref="BF47">INDEX(_xlfn.ANCHORARRAY(_xlfn.XLOOKUP($C47,'-ref_Distribution'!$B$146:$B$150,'-ref_Distribution'!$G$146:$G$150)),RIGHT(BF$1,2))</f>
        <v>212</v>
      </c>
      <c r="BG47" s="16" cm="1">
        <f t="array" ref="BG47">INDEX(_xlfn.ANCHORARRAY(_xlfn.XLOOKUP($C47,'-ref_Distribution'!$B$146:$B$150,'-ref_Distribution'!$G$146:$G$150)),RIGHT(BG$1,2))</f>
        <v>177</v>
      </c>
      <c r="BH47" s="16" cm="1">
        <f t="array" ref="BH47">INDEX(_xlfn.ANCHORARRAY(_xlfn.XLOOKUP($C47,'-ref_Distribution'!$B$146:$B$150,'-ref_Distribution'!$G$146:$G$150)),RIGHT(BH$1,2))</f>
        <v>146</v>
      </c>
      <c r="BI47" s="16" cm="1">
        <f t="array" ref="BI47">INDEX(_xlfn.ANCHORARRAY(_xlfn.XLOOKUP($C47,'-ref_Distribution'!$B$146:$B$150,'-ref_Distribution'!$G$146:$G$150)),RIGHT(BI$1,2))</f>
        <v>119</v>
      </c>
      <c r="BJ47" s="16" cm="1">
        <f t="array" ref="BJ47">INDEX(_xlfn.ANCHORARRAY(_xlfn.XLOOKUP($C47,'-ref_Distribution'!$B$146:$B$150,'-ref_Distribution'!$G$146:$G$150)),RIGHT(BJ$1,2))</f>
        <v>96</v>
      </c>
      <c r="BK47" s="16" cm="1">
        <f t="array" ref="BK47">INDEX(_xlfn.ANCHORARRAY(_xlfn.XLOOKUP($C47,'-ref_Distribution'!$B$146:$B$150,'-ref_Distribution'!$G$146:$G$150)),RIGHT(BK$1,2))</f>
        <v>76</v>
      </c>
      <c r="BL47" s="16" cm="1">
        <f t="array" ref="BL47">INDEX(_xlfn.ANCHORARRAY(_xlfn.XLOOKUP($C47,'-ref_Distribution'!$B$146:$B$150,'-ref_Distribution'!$G$146:$G$150)),RIGHT(BL$1,2))</f>
        <v>709</v>
      </c>
      <c r="BM47" s="16" cm="1">
        <f t="array" ref="BM47">INDEX(_xlfn.ANCHORARRAY(_xlfn.XLOOKUP($C47,'-ref_Distribution'!$B$146:$B$150,'-ref_Distribution'!$G$146:$G$150)),RIGHT(BM$1,2))</f>
        <v>705</v>
      </c>
      <c r="BN47" s="16" cm="1">
        <f t="array" ref="BN47">INDEX(_xlfn.ANCHORARRAY(_xlfn.XLOOKUP($C47,'-ref_Distribution'!$B$146:$B$150,'-ref_Distribution'!$G$146:$G$150)),RIGHT(BN$1,2))</f>
        <v>692</v>
      </c>
      <c r="BO47" s="16" cm="1">
        <f t="array" ref="BO47">INDEX(_xlfn.ANCHORARRAY(_xlfn.XLOOKUP($C47,'-ref_Distribution'!$B$146:$B$150,'-ref_Distribution'!$G$146:$G$150)),RIGHT(BO$1,2))</f>
        <v>671</v>
      </c>
      <c r="BP47" s="16" cm="1">
        <f t="array" ref="BP47">INDEX(_xlfn.ANCHORARRAY(_xlfn.XLOOKUP($C47,'-ref_Distribution'!$B$146:$B$150,'-ref_Distribution'!$G$146:$G$150)),RIGHT(BP$1,2))</f>
        <v>643</v>
      </c>
      <c r="BQ47" s="16" cm="1">
        <f t="array" ref="BQ47">INDEX(_xlfn.ANCHORARRAY(_xlfn.XLOOKUP($C47,'-ref_Distribution'!$B$146:$B$150,'-ref_Distribution'!$G$146:$G$150)),RIGHT(BQ$1,2))</f>
        <v>608</v>
      </c>
      <c r="BR47" s="16" cm="1">
        <f t="array" ref="BR47">INDEX(_xlfn.ANCHORARRAY(_xlfn.XLOOKUP($C47,'-ref_Distribution'!$B$146:$B$150,'-ref_Distribution'!$G$146:$G$150)),RIGHT(BR$1,2))</f>
        <v>568</v>
      </c>
      <c r="BS47" s="16" cm="1">
        <f t="array" ref="BS47">INDEX(_xlfn.ANCHORARRAY(_xlfn.XLOOKUP($C47,'-ref_Distribution'!$B$146:$B$150,'-ref_Distribution'!$G$146:$G$150)),RIGHT(BS$1,2))</f>
        <v>524</v>
      </c>
      <c r="BT47" s="16" cm="1">
        <f t="array" ref="BT47">INDEX(_xlfn.ANCHORARRAY(_xlfn.XLOOKUP($C47,'-ref_Distribution'!$B$146:$B$150,'-ref_Distribution'!$G$146:$G$150)),RIGHT(BT$1,2))</f>
        <v>478</v>
      </c>
      <c r="BU47" s="16" cm="1">
        <f t="array" ref="BU47">INDEX(_xlfn.ANCHORARRAY(_xlfn.XLOOKUP($C47,'-ref_Distribution'!$B$146:$B$150,'-ref_Distribution'!$G$146:$G$150)),RIGHT(BU$1,2))</f>
        <v>430</v>
      </c>
      <c r="BV47" s="16" cm="1">
        <f t="array" ref="BV47">INDEX(_xlfn.ANCHORARRAY(_xlfn.XLOOKUP($C47,'-ref_Distribution'!$B$146:$B$150,'-ref_Distribution'!$G$146:$G$150)),RIGHT(BV$1,2))</f>
        <v>383</v>
      </c>
      <c r="BW47" s="16" cm="1">
        <f t="array" ref="BW47">INDEX(_xlfn.ANCHORARRAY(_xlfn.XLOOKUP($C47,'-ref_Distribution'!$B$146:$B$150,'-ref_Distribution'!$G$146:$G$150)),RIGHT(BW$1,2))</f>
        <v>336</v>
      </c>
      <c r="BX47" s="16" cm="1">
        <f t="array" ref="BX47">INDEX(_xlfn.ANCHORARRAY(_xlfn.XLOOKUP($C47,'-ref_Distribution'!$B$146:$B$150,'-ref_Distribution'!$G$146:$G$150)),RIGHT(BX$1,2))</f>
        <v>292</v>
      </c>
      <c r="BY47" s="16" cm="1">
        <f t="array" ref="BY47">INDEX(_xlfn.ANCHORARRAY(_xlfn.XLOOKUP($C47,'-ref_Distribution'!$B$146:$B$150,'-ref_Distribution'!$G$146:$G$150)),RIGHT(BY$1,2))</f>
        <v>250</v>
      </c>
      <c r="BZ47" s="16" cm="1">
        <f t="array" ref="BZ47">INDEX(_xlfn.ANCHORARRAY(_xlfn.XLOOKUP($C47,'-ref_Distribution'!$B$146:$B$150,'-ref_Distribution'!$G$146:$G$150)),RIGHT(BZ$1,2))</f>
        <v>212</v>
      </c>
      <c r="CA47" s="16" cm="1">
        <f t="array" ref="CA47">INDEX(_xlfn.ANCHORARRAY(_xlfn.XLOOKUP($C47,'-ref_Distribution'!$B$146:$B$150,'-ref_Distribution'!$G$146:$G$150)),RIGHT(CA$1,2))</f>
        <v>177</v>
      </c>
      <c r="CB47" s="16" cm="1">
        <f t="array" ref="CB47">INDEX(_xlfn.ANCHORARRAY(_xlfn.XLOOKUP($C47,'-ref_Distribution'!$B$146:$B$150,'-ref_Distribution'!$G$146:$G$150)),RIGHT(CB$1,2))</f>
        <v>146</v>
      </c>
      <c r="CC47" s="16" cm="1">
        <f t="array" ref="CC47">INDEX(_xlfn.ANCHORARRAY(_xlfn.XLOOKUP($C47,'-ref_Distribution'!$B$146:$B$150,'-ref_Distribution'!$G$146:$G$150)),RIGHT(CC$1,2))</f>
        <v>119</v>
      </c>
      <c r="CD47" s="16" cm="1">
        <f t="array" ref="CD47">INDEX(_xlfn.ANCHORARRAY(_xlfn.XLOOKUP($C47,'-ref_Distribution'!$B$146:$B$150,'-ref_Distribution'!$G$146:$G$150)),RIGHT(CD$1,2))</f>
        <v>96</v>
      </c>
      <c r="CE47" s="16" cm="1">
        <f t="array" ref="CE47">INDEX(_xlfn.ANCHORARRAY(_xlfn.XLOOKUP($C47,'-ref_Distribution'!$B$146:$B$150,'-ref_Distribution'!$G$146:$G$150)),RIGHT(CE$1,2))</f>
        <v>76</v>
      </c>
    </row>
    <row r="48" spans="1:83" x14ac:dyDescent="0.2">
      <c r="A48" s="16">
        <v>302032</v>
      </c>
      <c r="B48" s="16" t="s">
        <v>222</v>
      </c>
      <c r="C48" s="16">
        <v>1</v>
      </c>
      <c r="D48" s="16" cm="1">
        <f t="array" ref="D48">INDEX(_xlfn.ANCHORARRAY(_xlfn.XLOOKUP($C48,'-ref_Distribution'!$B$146:$B$150,'-ref_Distribution'!$G$146:$G$150)),RIGHT(D$1,2))</f>
        <v>337</v>
      </c>
      <c r="E48" s="16" cm="1">
        <f t="array" ref="E48">INDEX(_xlfn.ANCHORARRAY(_xlfn.XLOOKUP($C48,'-ref_Distribution'!$B$146:$B$150,'-ref_Distribution'!$G$146:$G$150)),RIGHT(E$1,2))</f>
        <v>364</v>
      </c>
      <c r="F48" s="16" cm="1">
        <f t="array" ref="F48">INDEX(_xlfn.ANCHORARRAY(_xlfn.XLOOKUP($C48,'-ref_Distribution'!$B$146:$B$150,'-ref_Distribution'!$G$146:$G$150)),RIGHT(F$1,2))</f>
        <v>386</v>
      </c>
      <c r="G48" s="16" cm="1">
        <f t="array" ref="G48">INDEX(_xlfn.ANCHORARRAY(_xlfn.XLOOKUP($C48,'-ref_Distribution'!$B$146:$B$150,'-ref_Distribution'!$G$146:$G$150)),RIGHT(G$1,2))</f>
        <v>403</v>
      </c>
      <c r="H48" s="16" cm="1">
        <f t="array" ref="H48">INDEX(_xlfn.ANCHORARRAY(_xlfn.XLOOKUP($C48,'-ref_Distribution'!$B$146:$B$150,'-ref_Distribution'!$G$146:$G$150)),RIGHT(H$1,2))</f>
        <v>414</v>
      </c>
      <c r="I48" s="16" cm="1">
        <f t="array" ref="I48">INDEX(_xlfn.ANCHORARRAY(_xlfn.XLOOKUP($C48,'-ref_Distribution'!$B$146:$B$150,'-ref_Distribution'!$G$146:$G$150)),RIGHT(I$1,2))</f>
        <v>417</v>
      </c>
      <c r="J48" s="16" cm="1">
        <f t="array" ref="J48">INDEX(_xlfn.ANCHORARRAY(_xlfn.XLOOKUP($C48,'-ref_Distribution'!$B$146:$B$150,'-ref_Distribution'!$G$146:$G$150)),RIGHT(J$1,2))</f>
        <v>414</v>
      </c>
      <c r="K48" s="16" cm="1">
        <f t="array" ref="K48">INDEX(_xlfn.ANCHORARRAY(_xlfn.XLOOKUP($C48,'-ref_Distribution'!$B$146:$B$150,'-ref_Distribution'!$G$146:$G$150)),RIGHT(K$1,2))</f>
        <v>403</v>
      </c>
      <c r="L48" s="16" cm="1">
        <f t="array" ref="L48">INDEX(_xlfn.ANCHORARRAY(_xlfn.XLOOKUP($C48,'-ref_Distribution'!$B$146:$B$150,'-ref_Distribution'!$G$146:$G$150)),RIGHT(L$1,2))</f>
        <v>386</v>
      </c>
      <c r="M48" s="16" cm="1">
        <f t="array" ref="M48">INDEX(_xlfn.ANCHORARRAY(_xlfn.XLOOKUP($C48,'-ref_Distribution'!$B$146:$B$150,'-ref_Distribution'!$G$146:$G$150)),RIGHT(M$1,2))</f>
        <v>364</v>
      </c>
      <c r="N48" s="16" cm="1">
        <f t="array" ref="N48">INDEX(_xlfn.ANCHORARRAY(_xlfn.XLOOKUP($C48,'-ref_Distribution'!$B$146:$B$150,'-ref_Distribution'!$G$146:$G$150)),RIGHT(N$1,2))</f>
        <v>337</v>
      </c>
      <c r="O48" s="16" cm="1">
        <f t="array" ref="O48">INDEX(_xlfn.ANCHORARRAY(_xlfn.XLOOKUP($C48,'-ref_Distribution'!$B$146:$B$150,'-ref_Distribution'!$G$146:$G$150)),RIGHT(O$1,2))</f>
        <v>307</v>
      </c>
      <c r="P48" s="16" cm="1">
        <f t="array" ref="P48">INDEX(_xlfn.ANCHORARRAY(_xlfn.XLOOKUP($C48,'-ref_Distribution'!$B$146:$B$150,'-ref_Distribution'!$G$146:$G$150)),RIGHT(P$1,2))</f>
        <v>274</v>
      </c>
      <c r="Q48" s="16" cm="1">
        <f t="array" ref="Q48">INDEX(_xlfn.ANCHORARRAY(_xlfn.XLOOKUP($C48,'-ref_Distribution'!$B$146:$B$150,'-ref_Distribution'!$G$146:$G$150)),RIGHT(Q$1,2))</f>
        <v>241</v>
      </c>
      <c r="R48" s="16" cm="1">
        <f t="array" ref="R48">INDEX(_xlfn.ANCHORARRAY(_xlfn.XLOOKUP($C48,'-ref_Distribution'!$B$146:$B$150,'-ref_Distribution'!$G$146:$G$150)),RIGHT(R$1,2))</f>
        <v>209</v>
      </c>
      <c r="S48" s="16" cm="1">
        <f t="array" ref="S48">INDEX(_xlfn.ANCHORARRAY(_xlfn.XLOOKUP($C48,'-ref_Distribution'!$B$146:$B$150,'-ref_Distribution'!$G$146:$G$150)),RIGHT(S$1,2))</f>
        <v>178</v>
      </c>
      <c r="T48" s="16" cm="1">
        <f t="array" ref="T48">INDEX(_xlfn.ANCHORARRAY(_xlfn.XLOOKUP($C48,'-ref_Distribution'!$B$146:$B$150,'-ref_Distribution'!$G$146:$G$150)),RIGHT(T$1,2))</f>
        <v>148</v>
      </c>
      <c r="U48" s="16" cm="1">
        <f t="array" ref="U48">INDEX(_xlfn.ANCHORARRAY(_xlfn.XLOOKUP($C48,'-ref_Distribution'!$B$146:$B$150,'-ref_Distribution'!$G$146:$G$150)),RIGHT(U$1,2))</f>
        <v>122</v>
      </c>
      <c r="V48" s="16" cm="1">
        <f t="array" ref="V48">INDEX(_xlfn.ANCHORARRAY(_xlfn.XLOOKUP($C48,'-ref_Distribution'!$B$146:$B$150,'-ref_Distribution'!$G$146:$G$150)),RIGHT(V$1,2))</f>
        <v>98</v>
      </c>
      <c r="W48" s="16" cm="1">
        <f t="array" ref="W48">INDEX(_xlfn.ANCHORARRAY(_xlfn.XLOOKUP($C48,'-ref_Distribution'!$B$146:$B$150,'-ref_Distribution'!$G$146:$G$150)),RIGHT(W$1,2))</f>
        <v>78</v>
      </c>
      <c r="X48" s="16" cm="1">
        <f t="array" ref="X48">INDEX(_xlfn.ANCHORARRAY(_xlfn.XLOOKUP($C48,'-ref_Distribution'!$B$146:$B$150,'-ref_Distribution'!$G$146:$G$150)),RIGHT(X$1,2))</f>
        <v>337</v>
      </c>
      <c r="Y48" s="16" cm="1">
        <f t="array" ref="Y48">INDEX(_xlfn.ANCHORARRAY(_xlfn.XLOOKUP($C48,'-ref_Distribution'!$B$146:$B$150,'-ref_Distribution'!$G$146:$G$150)),RIGHT(Y$1,2))</f>
        <v>364</v>
      </c>
      <c r="Z48" s="16" cm="1">
        <f t="array" ref="Z48">INDEX(_xlfn.ANCHORARRAY(_xlfn.XLOOKUP($C48,'-ref_Distribution'!$B$146:$B$150,'-ref_Distribution'!$G$146:$G$150)),RIGHT(Z$1,2))</f>
        <v>386</v>
      </c>
      <c r="AA48" s="16" cm="1">
        <f t="array" ref="AA48">INDEX(_xlfn.ANCHORARRAY(_xlfn.XLOOKUP($C48,'-ref_Distribution'!$B$146:$B$150,'-ref_Distribution'!$G$146:$G$150)),RIGHT(AA$1,2))</f>
        <v>403</v>
      </c>
      <c r="AB48" s="16" cm="1">
        <f t="array" ref="AB48">INDEX(_xlfn.ANCHORARRAY(_xlfn.XLOOKUP($C48,'-ref_Distribution'!$B$146:$B$150,'-ref_Distribution'!$G$146:$G$150)),RIGHT(AB$1,2))</f>
        <v>414</v>
      </c>
      <c r="AC48" s="16" cm="1">
        <f t="array" ref="AC48">INDEX(_xlfn.ANCHORARRAY(_xlfn.XLOOKUP($C48,'-ref_Distribution'!$B$146:$B$150,'-ref_Distribution'!$G$146:$G$150)),RIGHT(AC$1,2))</f>
        <v>417</v>
      </c>
      <c r="AD48" s="16" cm="1">
        <f t="array" ref="AD48">INDEX(_xlfn.ANCHORARRAY(_xlfn.XLOOKUP($C48,'-ref_Distribution'!$B$146:$B$150,'-ref_Distribution'!$G$146:$G$150)),RIGHT(AD$1,2))</f>
        <v>414</v>
      </c>
      <c r="AE48" s="16" cm="1">
        <f t="array" ref="AE48">INDEX(_xlfn.ANCHORARRAY(_xlfn.XLOOKUP($C48,'-ref_Distribution'!$B$146:$B$150,'-ref_Distribution'!$G$146:$G$150)),RIGHT(AE$1,2))</f>
        <v>403</v>
      </c>
      <c r="AF48" s="16" cm="1">
        <f t="array" ref="AF48">INDEX(_xlfn.ANCHORARRAY(_xlfn.XLOOKUP($C48,'-ref_Distribution'!$B$146:$B$150,'-ref_Distribution'!$G$146:$G$150)),RIGHT(AF$1,2))</f>
        <v>386</v>
      </c>
      <c r="AG48" s="16" cm="1">
        <f t="array" ref="AG48">INDEX(_xlfn.ANCHORARRAY(_xlfn.XLOOKUP($C48,'-ref_Distribution'!$B$146:$B$150,'-ref_Distribution'!$G$146:$G$150)),RIGHT(AG$1,2))</f>
        <v>364</v>
      </c>
      <c r="AH48" s="16" cm="1">
        <f t="array" ref="AH48">INDEX(_xlfn.ANCHORARRAY(_xlfn.XLOOKUP($C48,'-ref_Distribution'!$B$146:$B$150,'-ref_Distribution'!$G$146:$G$150)),RIGHT(AH$1,2))</f>
        <v>337</v>
      </c>
      <c r="AI48" s="16" cm="1">
        <f t="array" ref="AI48">INDEX(_xlfn.ANCHORARRAY(_xlfn.XLOOKUP($C48,'-ref_Distribution'!$B$146:$B$150,'-ref_Distribution'!$G$146:$G$150)),RIGHT(AI$1,2))</f>
        <v>307</v>
      </c>
      <c r="AJ48" s="16" cm="1">
        <f t="array" ref="AJ48">INDEX(_xlfn.ANCHORARRAY(_xlfn.XLOOKUP($C48,'-ref_Distribution'!$B$146:$B$150,'-ref_Distribution'!$G$146:$G$150)),RIGHT(AJ$1,2))</f>
        <v>274</v>
      </c>
      <c r="AK48" s="16" cm="1">
        <f t="array" ref="AK48">INDEX(_xlfn.ANCHORARRAY(_xlfn.XLOOKUP($C48,'-ref_Distribution'!$B$146:$B$150,'-ref_Distribution'!$G$146:$G$150)),RIGHT(AK$1,2))</f>
        <v>241</v>
      </c>
      <c r="AL48" s="16" cm="1">
        <f t="array" ref="AL48">INDEX(_xlfn.ANCHORARRAY(_xlfn.XLOOKUP($C48,'-ref_Distribution'!$B$146:$B$150,'-ref_Distribution'!$G$146:$G$150)),RIGHT(AL$1,2))</f>
        <v>209</v>
      </c>
      <c r="AM48" s="16" cm="1">
        <f t="array" ref="AM48">INDEX(_xlfn.ANCHORARRAY(_xlfn.XLOOKUP($C48,'-ref_Distribution'!$B$146:$B$150,'-ref_Distribution'!$G$146:$G$150)),RIGHT(AM$1,2))</f>
        <v>178</v>
      </c>
      <c r="AN48" s="16" cm="1">
        <f t="array" ref="AN48">INDEX(_xlfn.ANCHORARRAY(_xlfn.XLOOKUP($C48,'-ref_Distribution'!$B$146:$B$150,'-ref_Distribution'!$G$146:$G$150)),RIGHT(AN$1,2))</f>
        <v>148</v>
      </c>
      <c r="AO48" s="16" cm="1">
        <f t="array" ref="AO48">INDEX(_xlfn.ANCHORARRAY(_xlfn.XLOOKUP($C48,'-ref_Distribution'!$B$146:$B$150,'-ref_Distribution'!$G$146:$G$150)),RIGHT(AO$1,2))</f>
        <v>122</v>
      </c>
      <c r="AP48" s="16" cm="1">
        <f t="array" ref="AP48">INDEX(_xlfn.ANCHORARRAY(_xlfn.XLOOKUP($C48,'-ref_Distribution'!$B$146:$B$150,'-ref_Distribution'!$G$146:$G$150)),RIGHT(AP$1,2))</f>
        <v>98</v>
      </c>
      <c r="AQ48" s="16" cm="1">
        <f t="array" ref="AQ48">INDEX(_xlfn.ANCHORARRAY(_xlfn.XLOOKUP($C48,'-ref_Distribution'!$B$146:$B$150,'-ref_Distribution'!$G$146:$G$150)),RIGHT(AQ$1,2))</f>
        <v>78</v>
      </c>
      <c r="AR48" s="16" cm="1">
        <f t="array" ref="AR48">INDEX(_xlfn.ANCHORARRAY(_xlfn.XLOOKUP($C48,'-ref_Distribution'!$B$146:$B$150,'-ref_Distribution'!$G$146:$G$150)),RIGHT(AR$1,2))</f>
        <v>337</v>
      </c>
      <c r="AS48" s="16" cm="1">
        <f t="array" ref="AS48">INDEX(_xlfn.ANCHORARRAY(_xlfn.XLOOKUP($C48,'-ref_Distribution'!$B$146:$B$150,'-ref_Distribution'!$G$146:$G$150)),RIGHT(AS$1,2))</f>
        <v>364</v>
      </c>
      <c r="AT48" s="16" cm="1">
        <f t="array" ref="AT48">INDEX(_xlfn.ANCHORARRAY(_xlfn.XLOOKUP($C48,'-ref_Distribution'!$B$146:$B$150,'-ref_Distribution'!$G$146:$G$150)),RIGHT(AT$1,2))</f>
        <v>386</v>
      </c>
      <c r="AU48" s="16" cm="1">
        <f t="array" ref="AU48">INDEX(_xlfn.ANCHORARRAY(_xlfn.XLOOKUP($C48,'-ref_Distribution'!$B$146:$B$150,'-ref_Distribution'!$G$146:$G$150)),RIGHT(AU$1,2))</f>
        <v>403</v>
      </c>
      <c r="AV48" s="16" cm="1">
        <f t="array" ref="AV48">INDEX(_xlfn.ANCHORARRAY(_xlfn.XLOOKUP($C48,'-ref_Distribution'!$B$146:$B$150,'-ref_Distribution'!$G$146:$G$150)),RIGHT(AV$1,2))</f>
        <v>414</v>
      </c>
      <c r="AW48" s="16" cm="1">
        <f t="array" ref="AW48">INDEX(_xlfn.ANCHORARRAY(_xlfn.XLOOKUP($C48,'-ref_Distribution'!$B$146:$B$150,'-ref_Distribution'!$G$146:$G$150)),RIGHT(AW$1,2))</f>
        <v>417</v>
      </c>
      <c r="AX48" s="16" cm="1">
        <f t="array" ref="AX48">INDEX(_xlfn.ANCHORARRAY(_xlfn.XLOOKUP($C48,'-ref_Distribution'!$B$146:$B$150,'-ref_Distribution'!$G$146:$G$150)),RIGHT(AX$1,2))</f>
        <v>414</v>
      </c>
      <c r="AY48" s="16" cm="1">
        <f t="array" ref="AY48">INDEX(_xlfn.ANCHORARRAY(_xlfn.XLOOKUP($C48,'-ref_Distribution'!$B$146:$B$150,'-ref_Distribution'!$G$146:$G$150)),RIGHT(AY$1,2))</f>
        <v>403</v>
      </c>
      <c r="AZ48" s="16" cm="1">
        <f t="array" ref="AZ48">INDEX(_xlfn.ANCHORARRAY(_xlfn.XLOOKUP($C48,'-ref_Distribution'!$B$146:$B$150,'-ref_Distribution'!$G$146:$G$150)),RIGHT(AZ$1,2))</f>
        <v>386</v>
      </c>
      <c r="BA48" s="16" cm="1">
        <f t="array" ref="BA48">INDEX(_xlfn.ANCHORARRAY(_xlfn.XLOOKUP($C48,'-ref_Distribution'!$B$146:$B$150,'-ref_Distribution'!$G$146:$G$150)),RIGHT(BA$1,2))</f>
        <v>364</v>
      </c>
      <c r="BB48" s="16" cm="1">
        <f t="array" ref="BB48">INDEX(_xlfn.ANCHORARRAY(_xlfn.XLOOKUP($C48,'-ref_Distribution'!$B$146:$B$150,'-ref_Distribution'!$G$146:$G$150)),RIGHT(BB$1,2))</f>
        <v>337</v>
      </c>
      <c r="BC48" s="16" cm="1">
        <f t="array" ref="BC48">INDEX(_xlfn.ANCHORARRAY(_xlfn.XLOOKUP($C48,'-ref_Distribution'!$B$146:$B$150,'-ref_Distribution'!$G$146:$G$150)),RIGHT(BC$1,2))</f>
        <v>307</v>
      </c>
      <c r="BD48" s="16" cm="1">
        <f t="array" ref="BD48">INDEX(_xlfn.ANCHORARRAY(_xlfn.XLOOKUP($C48,'-ref_Distribution'!$B$146:$B$150,'-ref_Distribution'!$G$146:$G$150)),RIGHT(BD$1,2))</f>
        <v>274</v>
      </c>
      <c r="BE48" s="16" cm="1">
        <f t="array" ref="BE48">INDEX(_xlfn.ANCHORARRAY(_xlfn.XLOOKUP($C48,'-ref_Distribution'!$B$146:$B$150,'-ref_Distribution'!$G$146:$G$150)),RIGHT(BE$1,2))</f>
        <v>241</v>
      </c>
      <c r="BF48" s="16" cm="1">
        <f t="array" ref="BF48">INDEX(_xlfn.ANCHORARRAY(_xlfn.XLOOKUP($C48,'-ref_Distribution'!$B$146:$B$150,'-ref_Distribution'!$G$146:$G$150)),RIGHT(BF$1,2))</f>
        <v>209</v>
      </c>
      <c r="BG48" s="16" cm="1">
        <f t="array" ref="BG48">INDEX(_xlfn.ANCHORARRAY(_xlfn.XLOOKUP($C48,'-ref_Distribution'!$B$146:$B$150,'-ref_Distribution'!$G$146:$G$150)),RIGHT(BG$1,2))</f>
        <v>178</v>
      </c>
      <c r="BH48" s="16" cm="1">
        <f t="array" ref="BH48">INDEX(_xlfn.ANCHORARRAY(_xlfn.XLOOKUP($C48,'-ref_Distribution'!$B$146:$B$150,'-ref_Distribution'!$G$146:$G$150)),RIGHT(BH$1,2))</f>
        <v>148</v>
      </c>
      <c r="BI48" s="16" cm="1">
        <f t="array" ref="BI48">INDEX(_xlfn.ANCHORARRAY(_xlfn.XLOOKUP($C48,'-ref_Distribution'!$B$146:$B$150,'-ref_Distribution'!$G$146:$G$150)),RIGHT(BI$1,2))</f>
        <v>122</v>
      </c>
      <c r="BJ48" s="16" cm="1">
        <f t="array" ref="BJ48">INDEX(_xlfn.ANCHORARRAY(_xlfn.XLOOKUP($C48,'-ref_Distribution'!$B$146:$B$150,'-ref_Distribution'!$G$146:$G$150)),RIGHT(BJ$1,2))</f>
        <v>98</v>
      </c>
      <c r="BK48" s="16" cm="1">
        <f t="array" ref="BK48">INDEX(_xlfn.ANCHORARRAY(_xlfn.XLOOKUP($C48,'-ref_Distribution'!$B$146:$B$150,'-ref_Distribution'!$G$146:$G$150)),RIGHT(BK$1,2))</f>
        <v>78</v>
      </c>
      <c r="BL48" s="16" cm="1">
        <f t="array" ref="BL48">INDEX(_xlfn.ANCHORARRAY(_xlfn.XLOOKUP($C48,'-ref_Distribution'!$B$146:$B$150,'-ref_Distribution'!$G$146:$G$150)),RIGHT(BL$1,2))</f>
        <v>337</v>
      </c>
      <c r="BM48" s="16" cm="1">
        <f t="array" ref="BM48">INDEX(_xlfn.ANCHORARRAY(_xlfn.XLOOKUP($C48,'-ref_Distribution'!$B$146:$B$150,'-ref_Distribution'!$G$146:$G$150)),RIGHT(BM$1,2))</f>
        <v>364</v>
      </c>
      <c r="BN48" s="16" cm="1">
        <f t="array" ref="BN48">INDEX(_xlfn.ANCHORARRAY(_xlfn.XLOOKUP($C48,'-ref_Distribution'!$B$146:$B$150,'-ref_Distribution'!$G$146:$G$150)),RIGHT(BN$1,2))</f>
        <v>386</v>
      </c>
      <c r="BO48" s="16" cm="1">
        <f t="array" ref="BO48">INDEX(_xlfn.ANCHORARRAY(_xlfn.XLOOKUP($C48,'-ref_Distribution'!$B$146:$B$150,'-ref_Distribution'!$G$146:$G$150)),RIGHT(BO$1,2))</f>
        <v>403</v>
      </c>
      <c r="BP48" s="16" cm="1">
        <f t="array" ref="BP48">INDEX(_xlfn.ANCHORARRAY(_xlfn.XLOOKUP($C48,'-ref_Distribution'!$B$146:$B$150,'-ref_Distribution'!$G$146:$G$150)),RIGHT(BP$1,2))</f>
        <v>414</v>
      </c>
      <c r="BQ48" s="16" cm="1">
        <f t="array" ref="BQ48">INDEX(_xlfn.ANCHORARRAY(_xlfn.XLOOKUP($C48,'-ref_Distribution'!$B$146:$B$150,'-ref_Distribution'!$G$146:$G$150)),RIGHT(BQ$1,2))</f>
        <v>417</v>
      </c>
      <c r="BR48" s="16" cm="1">
        <f t="array" ref="BR48">INDEX(_xlfn.ANCHORARRAY(_xlfn.XLOOKUP($C48,'-ref_Distribution'!$B$146:$B$150,'-ref_Distribution'!$G$146:$G$150)),RIGHT(BR$1,2))</f>
        <v>414</v>
      </c>
      <c r="BS48" s="16" cm="1">
        <f t="array" ref="BS48">INDEX(_xlfn.ANCHORARRAY(_xlfn.XLOOKUP($C48,'-ref_Distribution'!$B$146:$B$150,'-ref_Distribution'!$G$146:$G$150)),RIGHT(BS$1,2))</f>
        <v>403</v>
      </c>
      <c r="BT48" s="16" cm="1">
        <f t="array" ref="BT48">INDEX(_xlfn.ANCHORARRAY(_xlfn.XLOOKUP($C48,'-ref_Distribution'!$B$146:$B$150,'-ref_Distribution'!$G$146:$G$150)),RIGHT(BT$1,2))</f>
        <v>386</v>
      </c>
      <c r="BU48" s="16" cm="1">
        <f t="array" ref="BU48">INDEX(_xlfn.ANCHORARRAY(_xlfn.XLOOKUP($C48,'-ref_Distribution'!$B$146:$B$150,'-ref_Distribution'!$G$146:$G$150)),RIGHT(BU$1,2))</f>
        <v>364</v>
      </c>
      <c r="BV48" s="16" cm="1">
        <f t="array" ref="BV48">INDEX(_xlfn.ANCHORARRAY(_xlfn.XLOOKUP($C48,'-ref_Distribution'!$B$146:$B$150,'-ref_Distribution'!$G$146:$G$150)),RIGHT(BV$1,2))</f>
        <v>337</v>
      </c>
      <c r="BW48" s="16" cm="1">
        <f t="array" ref="BW48">INDEX(_xlfn.ANCHORARRAY(_xlfn.XLOOKUP($C48,'-ref_Distribution'!$B$146:$B$150,'-ref_Distribution'!$G$146:$G$150)),RIGHT(BW$1,2))</f>
        <v>307</v>
      </c>
      <c r="BX48" s="16" cm="1">
        <f t="array" ref="BX48">INDEX(_xlfn.ANCHORARRAY(_xlfn.XLOOKUP($C48,'-ref_Distribution'!$B$146:$B$150,'-ref_Distribution'!$G$146:$G$150)),RIGHT(BX$1,2))</f>
        <v>274</v>
      </c>
      <c r="BY48" s="16" cm="1">
        <f t="array" ref="BY48">INDEX(_xlfn.ANCHORARRAY(_xlfn.XLOOKUP($C48,'-ref_Distribution'!$B$146:$B$150,'-ref_Distribution'!$G$146:$G$150)),RIGHT(BY$1,2))</f>
        <v>241</v>
      </c>
      <c r="BZ48" s="16" cm="1">
        <f t="array" ref="BZ48">INDEX(_xlfn.ANCHORARRAY(_xlfn.XLOOKUP($C48,'-ref_Distribution'!$B$146:$B$150,'-ref_Distribution'!$G$146:$G$150)),RIGHT(BZ$1,2))</f>
        <v>209</v>
      </c>
      <c r="CA48" s="16" cm="1">
        <f t="array" ref="CA48">INDEX(_xlfn.ANCHORARRAY(_xlfn.XLOOKUP($C48,'-ref_Distribution'!$B$146:$B$150,'-ref_Distribution'!$G$146:$G$150)),RIGHT(CA$1,2))</f>
        <v>178</v>
      </c>
      <c r="CB48" s="16" cm="1">
        <f t="array" ref="CB48">INDEX(_xlfn.ANCHORARRAY(_xlfn.XLOOKUP($C48,'-ref_Distribution'!$B$146:$B$150,'-ref_Distribution'!$G$146:$G$150)),RIGHT(CB$1,2))</f>
        <v>148</v>
      </c>
      <c r="CC48" s="16" cm="1">
        <f t="array" ref="CC48">INDEX(_xlfn.ANCHORARRAY(_xlfn.XLOOKUP($C48,'-ref_Distribution'!$B$146:$B$150,'-ref_Distribution'!$G$146:$G$150)),RIGHT(CC$1,2))</f>
        <v>122</v>
      </c>
      <c r="CD48" s="16" cm="1">
        <f t="array" ref="CD48">INDEX(_xlfn.ANCHORARRAY(_xlfn.XLOOKUP($C48,'-ref_Distribution'!$B$146:$B$150,'-ref_Distribution'!$G$146:$G$150)),RIGHT(CD$1,2))</f>
        <v>98</v>
      </c>
      <c r="CE48" s="16" cm="1">
        <f t="array" ref="CE48">INDEX(_xlfn.ANCHORARRAY(_xlfn.XLOOKUP($C48,'-ref_Distribution'!$B$146:$B$150,'-ref_Distribution'!$G$146:$G$150)),RIGHT(CE$1,2))</f>
        <v>78</v>
      </c>
    </row>
    <row r="49" spans="1:83" x14ac:dyDescent="0.2">
      <c r="A49" s="16">
        <v>302033</v>
      </c>
      <c r="B49" s="16" t="s">
        <v>222</v>
      </c>
      <c r="C49" s="16">
        <v>2</v>
      </c>
      <c r="D49" s="16" cm="1">
        <f t="array" ref="D49">INDEX(_xlfn.ANCHORARRAY(_xlfn.XLOOKUP($C49,'-ref_Distribution'!$B$146:$B$150,'-ref_Distribution'!$G$146:$G$150)),RIGHT(D$1,2))</f>
        <v>75</v>
      </c>
      <c r="E49" s="16" cm="1">
        <f t="array" ref="E49">INDEX(_xlfn.ANCHORARRAY(_xlfn.XLOOKUP($C49,'-ref_Distribution'!$B$146:$B$150,'-ref_Distribution'!$G$146:$G$150)),RIGHT(E$1,2))</f>
        <v>94</v>
      </c>
      <c r="F49" s="16" cm="1">
        <f t="array" ref="F49">INDEX(_xlfn.ANCHORARRAY(_xlfn.XLOOKUP($C49,'-ref_Distribution'!$B$146:$B$150,'-ref_Distribution'!$G$146:$G$150)),RIGHT(F$1,2))</f>
        <v>115</v>
      </c>
      <c r="G49" s="16" cm="1">
        <f t="array" ref="G49">INDEX(_xlfn.ANCHORARRAY(_xlfn.XLOOKUP($C49,'-ref_Distribution'!$B$146:$B$150,'-ref_Distribution'!$G$146:$G$150)),RIGHT(G$1,2))</f>
        <v>137</v>
      </c>
      <c r="H49" s="16" cm="1">
        <f t="array" ref="H49">INDEX(_xlfn.ANCHORARRAY(_xlfn.XLOOKUP($C49,'-ref_Distribution'!$B$146:$B$150,'-ref_Distribution'!$G$146:$G$150)),RIGHT(H$1,2))</f>
        <v>160</v>
      </c>
      <c r="I49" s="16" cm="1">
        <f t="array" ref="I49">INDEX(_xlfn.ANCHORARRAY(_xlfn.XLOOKUP($C49,'-ref_Distribution'!$B$146:$B$150,'-ref_Distribution'!$G$146:$G$150)),RIGHT(I$1,2))</f>
        <v>183</v>
      </c>
      <c r="J49" s="16" cm="1">
        <f t="array" ref="J49">INDEX(_xlfn.ANCHORARRAY(_xlfn.XLOOKUP($C49,'-ref_Distribution'!$B$146:$B$150,'-ref_Distribution'!$G$146:$G$150)),RIGHT(J$1,2))</f>
        <v>203</v>
      </c>
      <c r="K49" s="16" cm="1">
        <f t="array" ref="K49">INDEX(_xlfn.ANCHORARRAY(_xlfn.XLOOKUP($C49,'-ref_Distribution'!$B$146:$B$150,'-ref_Distribution'!$G$146:$G$150)),RIGHT(K$1,2))</f>
        <v>221</v>
      </c>
      <c r="L49" s="16" cm="1">
        <f t="array" ref="L49">INDEX(_xlfn.ANCHORARRAY(_xlfn.XLOOKUP($C49,'-ref_Distribution'!$B$146:$B$150,'-ref_Distribution'!$G$146:$G$150)),RIGHT(L$1,2))</f>
        <v>234</v>
      </c>
      <c r="M49" s="16" cm="1">
        <f t="array" ref="M49">INDEX(_xlfn.ANCHORARRAY(_xlfn.XLOOKUP($C49,'-ref_Distribution'!$B$146:$B$150,'-ref_Distribution'!$G$146:$G$150)),RIGHT(M$1,2))</f>
        <v>243</v>
      </c>
      <c r="N49" s="16" cm="1">
        <f t="array" ref="N49">INDEX(_xlfn.ANCHORARRAY(_xlfn.XLOOKUP($C49,'-ref_Distribution'!$B$146:$B$150,'-ref_Distribution'!$G$146:$G$150)),RIGHT(N$1,2))</f>
        <v>245</v>
      </c>
      <c r="O49" s="16" cm="1">
        <f t="array" ref="O49">INDEX(_xlfn.ANCHORARRAY(_xlfn.XLOOKUP($C49,'-ref_Distribution'!$B$146:$B$150,'-ref_Distribution'!$G$146:$G$150)),RIGHT(O$1,2))</f>
        <v>243</v>
      </c>
      <c r="P49" s="16" cm="1">
        <f t="array" ref="P49">INDEX(_xlfn.ANCHORARRAY(_xlfn.XLOOKUP($C49,'-ref_Distribution'!$B$146:$B$150,'-ref_Distribution'!$G$146:$G$150)),RIGHT(P$1,2))</f>
        <v>234</v>
      </c>
      <c r="Q49" s="16" cm="1">
        <f t="array" ref="Q49">INDEX(_xlfn.ANCHORARRAY(_xlfn.XLOOKUP($C49,'-ref_Distribution'!$B$146:$B$150,'-ref_Distribution'!$G$146:$G$150)),RIGHT(Q$1,2))</f>
        <v>221</v>
      </c>
      <c r="R49" s="16" cm="1">
        <f t="array" ref="R49">INDEX(_xlfn.ANCHORARRAY(_xlfn.XLOOKUP($C49,'-ref_Distribution'!$B$146:$B$150,'-ref_Distribution'!$G$146:$G$150)),RIGHT(R$1,2))</f>
        <v>203</v>
      </c>
      <c r="S49" s="16" cm="1">
        <f t="array" ref="S49">INDEX(_xlfn.ANCHORARRAY(_xlfn.XLOOKUP($C49,'-ref_Distribution'!$B$146:$B$150,'-ref_Distribution'!$G$146:$G$150)),RIGHT(S$1,2))</f>
        <v>183</v>
      </c>
      <c r="T49" s="16" cm="1">
        <f t="array" ref="T49">INDEX(_xlfn.ANCHORARRAY(_xlfn.XLOOKUP($C49,'-ref_Distribution'!$B$146:$B$150,'-ref_Distribution'!$G$146:$G$150)),RIGHT(T$1,2))</f>
        <v>160</v>
      </c>
      <c r="U49" s="16" cm="1">
        <f t="array" ref="U49">INDEX(_xlfn.ANCHORARRAY(_xlfn.XLOOKUP($C49,'-ref_Distribution'!$B$146:$B$150,'-ref_Distribution'!$G$146:$G$150)),RIGHT(U$1,2))</f>
        <v>137</v>
      </c>
      <c r="V49" s="16" cm="1">
        <f t="array" ref="V49">INDEX(_xlfn.ANCHORARRAY(_xlfn.XLOOKUP($C49,'-ref_Distribution'!$B$146:$B$150,'-ref_Distribution'!$G$146:$G$150)),RIGHT(V$1,2))</f>
        <v>115</v>
      </c>
      <c r="W49" s="16" cm="1">
        <f t="array" ref="W49">INDEX(_xlfn.ANCHORARRAY(_xlfn.XLOOKUP($C49,'-ref_Distribution'!$B$146:$B$150,'-ref_Distribution'!$G$146:$G$150)),RIGHT(W$1,2))</f>
        <v>94</v>
      </c>
      <c r="X49" s="16" cm="1">
        <f t="array" ref="X49">INDEX(_xlfn.ANCHORARRAY(_xlfn.XLOOKUP($C49,'-ref_Distribution'!$B$146:$B$150,'-ref_Distribution'!$G$146:$G$150)),RIGHT(X$1,2))</f>
        <v>75</v>
      </c>
      <c r="Y49" s="16" cm="1">
        <f t="array" ref="Y49">INDEX(_xlfn.ANCHORARRAY(_xlfn.XLOOKUP($C49,'-ref_Distribution'!$B$146:$B$150,'-ref_Distribution'!$G$146:$G$150)),RIGHT(Y$1,2))</f>
        <v>94</v>
      </c>
      <c r="Z49" s="16" cm="1">
        <f t="array" ref="Z49">INDEX(_xlfn.ANCHORARRAY(_xlfn.XLOOKUP($C49,'-ref_Distribution'!$B$146:$B$150,'-ref_Distribution'!$G$146:$G$150)),RIGHT(Z$1,2))</f>
        <v>115</v>
      </c>
      <c r="AA49" s="16" cm="1">
        <f t="array" ref="AA49">INDEX(_xlfn.ANCHORARRAY(_xlfn.XLOOKUP($C49,'-ref_Distribution'!$B$146:$B$150,'-ref_Distribution'!$G$146:$G$150)),RIGHT(AA$1,2))</f>
        <v>137</v>
      </c>
      <c r="AB49" s="16" cm="1">
        <f t="array" ref="AB49">INDEX(_xlfn.ANCHORARRAY(_xlfn.XLOOKUP($C49,'-ref_Distribution'!$B$146:$B$150,'-ref_Distribution'!$G$146:$G$150)),RIGHT(AB$1,2))</f>
        <v>160</v>
      </c>
      <c r="AC49" s="16" cm="1">
        <f t="array" ref="AC49">INDEX(_xlfn.ANCHORARRAY(_xlfn.XLOOKUP($C49,'-ref_Distribution'!$B$146:$B$150,'-ref_Distribution'!$G$146:$G$150)),RIGHT(AC$1,2))</f>
        <v>183</v>
      </c>
      <c r="AD49" s="16" cm="1">
        <f t="array" ref="AD49">INDEX(_xlfn.ANCHORARRAY(_xlfn.XLOOKUP($C49,'-ref_Distribution'!$B$146:$B$150,'-ref_Distribution'!$G$146:$G$150)),RIGHT(AD$1,2))</f>
        <v>203</v>
      </c>
      <c r="AE49" s="16" cm="1">
        <f t="array" ref="AE49">INDEX(_xlfn.ANCHORARRAY(_xlfn.XLOOKUP($C49,'-ref_Distribution'!$B$146:$B$150,'-ref_Distribution'!$G$146:$G$150)),RIGHT(AE$1,2))</f>
        <v>221</v>
      </c>
      <c r="AF49" s="16" cm="1">
        <f t="array" ref="AF49">INDEX(_xlfn.ANCHORARRAY(_xlfn.XLOOKUP($C49,'-ref_Distribution'!$B$146:$B$150,'-ref_Distribution'!$G$146:$G$150)),RIGHT(AF$1,2))</f>
        <v>234</v>
      </c>
      <c r="AG49" s="16" cm="1">
        <f t="array" ref="AG49">INDEX(_xlfn.ANCHORARRAY(_xlfn.XLOOKUP($C49,'-ref_Distribution'!$B$146:$B$150,'-ref_Distribution'!$G$146:$G$150)),RIGHT(AG$1,2))</f>
        <v>243</v>
      </c>
      <c r="AH49" s="16" cm="1">
        <f t="array" ref="AH49">INDEX(_xlfn.ANCHORARRAY(_xlfn.XLOOKUP($C49,'-ref_Distribution'!$B$146:$B$150,'-ref_Distribution'!$G$146:$G$150)),RIGHT(AH$1,2))</f>
        <v>245</v>
      </c>
      <c r="AI49" s="16" cm="1">
        <f t="array" ref="AI49">INDEX(_xlfn.ANCHORARRAY(_xlfn.XLOOKUP($C49,'-ref_Distribution'!$B$146:$B$150,'-ref_Distribution'!$G$146:$G$150)),RIGHT(AI$1,2))</f>
        <v>243</v>
      </c>
      <c r="AJ49" s="16" cm="1">
        <f t="array" ref="AJ49">INDEX(_xlfn.ANCHORARRAY(_xlfn.XLOOKUP($C49,'-ref_Distribution'!$B$146:$B$150,'-ref_Distribution'!$G$146:$G$150)),RIGHT(AJ$1,2))</f>
        <v>234</v>
      </c>
      <c r="AK49" s="16" cm="1">
        <f t="array" ref="AK49">INDEX(_xlfn.ANCHORARRAY(_xlfn.XLOOKUP($C49,'-ref_Distribution'!$B$146:$B$150,'-ref_Distribution'!$G$146:$G$150)),RIGHT(AK$1,2))</f>
        <v>221</v>
      </c>
      <c r="AL49" s="16" cm="1">
        <f t="array" ref="AL49">INDEX(_xlfn.ANCHORARRAY(_xlfn.XLOOKUP($C49,'-ref_Distribution'!$B$146:$B$150,'-ref_Distribution'!$G$146:$G$150)),RIGHT(AL$1,2))</f>
        <v>203</v>
      </c>
      <c r="AM49" s="16" cm="1">
        <f t="array" ref="AM49">INDEX(_xlfn.ANCHORARRAY(_xlfn.XLOOKUP($C49,'-ref_Distribution'!$B$146:$B$150,'-ref_Distribution'!$G$146:$G$150)),RIGHT(AM$1,2))</f>
        <v>183</v>
      </c>
      <c r="AN49" s="16" cm="1">
        <f t="array" ref="AN49">INDEX(_xlfn.ANCHORARRAY(_xlfn.XLOOKUP($C49,'-ref_Distribution'!$B$146:$B$150,'-ref_Distribution'!$G$146:$G$150)),RIGHT(AN$1,2))</f>
        <v>160</v>
      </c>
      <c r="AO49" s="16" cm="1">
        <f t="array" ref="AO49">INDEX(_xlfn.ANCHORARRAY(_xlfn.XLOOKUP($C49,'-ref_Distribution'!$B$146:$B$150,'-ref_Distribution'!$G$146:$G$150)),RIGHT(AO$1,2))</f>
        <v>137</v>
      </c>
      <c r="AP49" s="16" cm="1">
        <f t="array" ref="AP49">INDEX(_xlfn.ANCHORARRAY(_xlfn.XLOOKUP($C49,'-ref_Distribution'!$B$146:$B$150,'-ref_Distribution'!$G$146:$G$150)),RIGHT(AP$1,2))</f>
        <v>115</v>
      </c>
      <c r="AQ49" s="16" cm="1">
        <f t="array" ref="AQ49">INDEX(_xlfn.ANCHORARRAY(_xlfn.XLOOKUP($C49,'-ref_Distribution'!$B$146:$B$150,'-ref_Distribution'!$G$146:$G$150)),RIGHT(AQ$1,2))</f>
        <v>94</v>
      </c>
      <c r="AR49" s="16" cm="1">
        <f t="array" ref="AR49">INDEX(_xlfn.ANCHORARRAY(_xlfn.XLOOKUP($C49,'-ref_Distribution'!$B$146:$B$150,'-ref_Distribution'!$G$146:$G$150)),RIGHT(AR$1,2))</f>
        <v>75</v>
      </c>
      <c r="AS49" s="16" cm="1">
        <f t="array" ref="AS49">INDEX(_xlfn.ANCHORARRAY(_xlfn.XLOOKUP($C49,'-ref_Distribution'!$B$146:$B$150,'-ref_Distribution'!$G$146:$G$150)),RIGHT(AS$1,2))</f>
        <v>94</v>
      </c>
      <c r="AT49" s="16" cm="1">
        <f t="array" ref="AT49">INDEX(_xlfn.ANCHORARRAY(_xlfn.XLOOKUP($C49,'-ref_Distribution'!$B$146:$B$150,'-ref_Distribution'!$G$146:$G$150)),RIGHT(AT$1,2))</f>
        <v>115</v>
      </c>
      <c r="AU49" s="16" cm="1">
        <f t="array" ref="AU49">INDEX(_xlfn.ANCHORARRAY(_xlfn.XLOOKUP($C49,'-ref_Distribution'!$B$146:$B$150,'-ref_Distribution'!$G$146:$G$150)),RIGHT(AU$1,2))</f>
        <v>137</v>
      </c>
      <c r="AV49" s="16" cm="1">
        <f t="array" ref="AV49">INDEX(_xlfn.ANCHORARRAY(_xlfn.XLOOKUP($C49,'-ref_Distribution'!$B$146:$B$150,'-ref_Distribution'!$G$146:$G$150)),RIGHT(AV$1,2))</f>
        <v>160</v>
      </c>
      <c r="AW49" s="16" cm="1">
        <f t="array" ref="AW49">INDEX(_xlfn.ANCHORARRAY(_xlfn.XLOOKUP($C49,'-ref_Distribution'!$B$146:$B$150,'-ref_Distribution'!$G$146:$G$150)),RIGHT(AW$1,2))</f>
        <v>183</v>
      </c>
      <c r="AX49" s="16" cm="1">
        <f t="array" ref="AX49">INDEX(_xlfn.ANCHORARRAY(_xlfn.XLOOKUP($C49,'-ref_Distribution'!$B$146:$B$150,'-ref_Distribution'!$G$146:$G$150)),RIGHT(AX$1,2))</f>
        <v>203</v>
      </c>
      <c r="AY49" s="16" cm="1">
        <f t="array" ref="AY49">INDEX(_xlfn.ANCHORARRAY(_xlfn.XLOOKUP($C49,'-ref_Distribution'!$B$146:$B$150,'-ref_Distribution'!$G$146:$G$150)),RIGHT(AY$1,2))</f>
        <v>221</v>
      </c>
      <c r="AZ49" s="16" cm="1">
        <f t="array" ref="AZ49">INDEX(_xlfn.ANCHORARRAY(_xlfn.XLOOKUP($C49,'-ref_Distribution'!$B$146:$B$150,'-ref_Distribution'!$G$146:$G$150)),RIGHT(AZ$1,2))</f>
        <v>234</v>
      </c>
      <c r="BA49" s="16" cm="1">
        <f t="array" ref="BA49">INDEX(_xlfn.ANCHORARRAY(_xlfn.XLOOKUP($C49,'-ref_Distribution'!$B$146:$B$150,'-ref_Distribution'!$G$146:$G$150)),RIGHT(BA$1,2))</f>
        <v>243</v>
      </c>
      <c r="BB49" s="16" cm="1">
        <f t="array" ref="BB49">INDEX(_xlfn.ANCHORARRAY(_xlfn.XLOOKUP($C49,'-ref_Distribution'!$B$146:$B$150,'-ref_Distribution'!$G$146:$G$150)),RIGHT(BB$1,2))</f>
        <v>245</v>
      </c>
      <c r="BC49" s="16" cm="1">
        <f t="array" ref="BC49">INDEX(_xlfn.ANCHORARRAY(_xlfn.XLOOKUP($C49,'-ref_Distribution'!$B$146:$B$150,'-ref_Distribution'!$G$146:$G$150)),RIGHT(BC$1,2))</f>
        <v>243</v>
      </c>
      <c r="BD49" s="16" cm="1">
        <f t="array" ref="BD49">INDEX(_xlfn.ANCHORARRAY(_xlfn.XLOOKUP($C49,'-ref_Distribution'!$B$146:$B$150,'-ref_Distribution'!$G$146:$G$150)),RIGHT(BD$1,2))</f>
        <v>234</v>
      </c>
      <c r="BE49" s="16" cm="1">
        <f t="array" ref="BE49">INDEX(_xlfn.ANCHORARRAY(_xlfn.XLOOKUP($C49,'-ref_Distribution'!$B$146:$B$150,'-ref_Distribution'!$G$146:$G$150)),RIGHT(BE$1,2))</f>
        <v>221</v>
      </c>
      <c r="BF49" s="16" cm="1">
        <f t="array" ref="BF49">INDEX(_xlfn.ANCHORARRAY(_xlfn.XLOOKUP($C49,'-ref_Distribution'!$B$146:$B$150,'-ref_Distribution'!$G$146:$G$150)),RIGHT(BF$1,2))</f>
        <v>203</v>
      </c>
      <c r="BG49" s="16" cm="1">
        <f t="array" ref="BG49">INDEX(_xlfn.ANCHORARRAY(_xlfn.XLOOKUP($C49,'-ref_Distribution'!$B$146:$B$150,'-ref_Distribution'!$G$146:$G$150)),RIGHT(BG$1,2))</f>
        <v>183</v>
      </c>
      <c r="BH49" s="16" cm="1">
        <f t="array" ref="BH49">INDEX(_xlfn.ANCHORARRAY(_xlfn.XLOOKUP($C49,'-ref_Distribution'!$B$146:$B$150,'-ref_Distribution'!$G$146:$G$150)),RIGHT(BH$1,2))</f>
        <v>160</v>
      </c>
      <c r="BI49" s="16" cm="1">
        <f t="array" ref="BI49">INDEX(_xlfn.ANCHORARRAY(_xlfn.XLOOKUP($C49,'-ref_Distribution'!$B$146:$B$150,'-ref_Distribution'!$G$146:$G$150)),RIGHT(BI$1,2))</f>
        <v>137</v>
      </c>
      <c r="BJ49" s="16" cm="1">
        <f t="array" ref="BJ49">INDEX(_xlfn.ANCHORARRAY(_xlfn.XLOOKUP($C49,'-ref_Distribution'!$B$146:$B$150,'-ref_Distribution'!$G$146:$G$150)),RIGHT(BJ$1,2))</f>
        <v>115</v>
      </c>
      <c r="BK49" s="16" cm="1">
        <f t="array" ref="BK49">INDEX(_xlfn.ANCHORARRAY(_xlfn.XLOOKUP($C49,'-ref_Distribution'!$B$146:$B$150,'-ref_Distribution'!$G$146:$G$150)),RIGHT(BK$1,2))</f>
        <v>94</v>
      </c>
      <c r="BL49" s="16" cm="1">
        <f t="array" ref="BL49">INDEX(_xlfn.ANCHORARRAY(_xlfn.XLOOKUP($C49,'-ref_Distribution'!$B$146:$B$150,'-ref_Distribution'!$G$146:$G$150)),RIGHT(BL$1,2))</f>
        <v>75</v>
      </c>
      <c r="BM49" s="16" cm="1">
        <f t="array" ref="BM49">INDEX(_xlfn.ANCHORARRAY(_xlfn.XLOOKUP($C49,'-ref_Distribution'!$B$146:$B$150,'-ref_Distribution'!$G$146:$G$150)),RIGHT(BM$1,2))</f>
        <v>94</v>
      </c>
      <c r="BN49" s="16" cm="1">
        <f t="array" ref="BN49">INDEX(_xlfn.ANCHORARRAY(_xlfn.XLOOKUP($C49,'-ref_Distribution'!$B$146:$B$150,'-ref_Distribution'!$G$146:$G$150)),RIGHT(BN$1,2))</f>
        <v>115</v>
      </c>
      <c r="BO49" s="16" cm="1">
        <f t="array" ref="BO49">INDEX(_xlfn.ANCHORARRAY(_xlfn.XLOOKUP($C49,'-ref_Distribution'!$B$146:$B$150,'-ref_Distribution'!$G$146:$G$150)),RIGHT(BO$1,2))</f>
        <v>137</v>
      </c>
      <c r="BP49" s="16" cm="1">
        <f t="array" ref="BP49">INDEX(_xlfn.ANCHORARRAY(_xlfn.XLOOKUP($C49,'-ref_Distribution'!$B$146:$B$150,'-ref_Distribution'!$G$146:$G$150)),RIGHT(BP$1,2))</f>
        <v>160</v>
      </c>
      <c r="BQ49" s="16" cm="1">
        <f t="array" ref="BQ49">INDEX(_xlfn.ANCHORARRAY(_xlfn.XLOOKUP($C49,'-ref_Distribution'!$B$146:$B$150,'-ref_Distribution'!$G$146:$G$150)),RIGHT(BQ$1,2))</f>
        <v>183</v>
      </c>
      <c r="BR49" s="16" cm="1">
        <f t="array" ref="BR49">INDEX(_xlfn.ANCHORARRAY(_xlfn.XLOOKUP($C49,'-ref_Distribution'!$B$146:$B$150,'-ref_Distribution'!$G$146:$G$150)),RIGHT(BR$1,2))</f>
        <v>203</v>
      </c>
      <c r="BS49" s="16" cm="1">
        <f t="array" ref="BS49">INDEX(_xlfn.ANCHORARRAY(_xlfn.XLOOKUP($C49,'-ref_Distribution'!$B$146:$B$150,'-ref_Distribution'!$G$146:$G$150)),RIGHT(BS$1,2))</f>
        <v>221</v>
      </c>
      <c r="BT49" s="16" cm="1">
        <f t="array" ref="BT49">INDEX(_xlfn.ANCHORARRAY(_xlfn.XLOOKUP($C49,'-ref_Distribution'!$B$146:$B$150,'-ref_Distribution'!$G$146:$G$150)),RIGHT(BT$1,2))</f>
        <v>234</v>
      </c>
      <c r="BU49" s="16" cm="1">
        <f t="array" ref="BU49">INDEX(_xlfn.ANCHORARRAY(_xlfn.XLOOKUP($C49,'-ref_Distribution'!$B$146:$B$150,'-ref_Distribution'!$G$146:$G$150)),RIGHT(BU$1,2))</f>
        <v>243</v>
      </c>
      <c r="BV49" s="16" cm="1">
        <f t="array" ref="BV49">INDEX(_xlfn.ANCHORARRAY(_xlfn.XLOOKUP($C49,'-ref_Distribution'!$B$146:$B$150,'-ref_Distribution'!$G$146:$G$150)),RIGHT(BV$1,2))</f>
        <v>245</v>
      </c>
      <c r="BW49" s="16" cm="1">
        <f t="array" ref="BW49">INDEX(_xlfn.ANCHORARRAY(_xlfn.XLOOKUP($C49,'-ref_Distribution'!$B$146:$B$150,'-ref_Distribution'!$G$146:$G$150)),RIGHT(BW$1,2))</f>
        <v>243</v>
      </c>
      <c r="BX49" s="16" cm="1">
        <f t="array" ref="BX49">INDEX(_xlfn.ANCHORARRAY(_xlfn.XLOOKUP($C49,'-ref_Distribution'!$B$146:$B$150,'-ref_Distribution'!$G$146:$G$150)),RIGHT(BX$1,2))</f>
        <v>234</v>
      </c>
      <c r="BY49" s="16" cm="1">
        <f t="array" ref="BY49">INDEX(_xlfn.ANCHORARRAY(_xlfn.XLOOKUP($C49,'-ref_Distribution'!$B$146:$B$150,'-ref_Distribution'!$G$146:$G$150)),RIGHT(BY$1,2))</f>
        <v>221</v>
      </c>
      <c r="BZ49" s="16" cm="1">
        <f t="array" ref="BZ49">INDEX(_xlfn.ANCHORARRAY(_xlfn.XLOOKUP($C49,'-ref_Distribution'!$B$146:$B$150,'-ref_Distribution'!$G$146:$G$150)),RIGHT(BZ$1,2))</f>
        <v>203</v>
      </c>
      <c r="CA49" s="16" cm="1">
        <f t="array" ref="CA49">INDEX(_xlfn.ANCHORARRAY(_xlfn.XLOOKUP($C49,'-ref_Distribution'!$B$146:$B$150,'-ref_Distribution'!$G$146:$G$150)),RIGHT(CA$1,2))</f>
        <v>183</v>
      </c>
      <c r="CB49" s="16" cm="1">
        <f t="array" ref="CB49">INDEX(_xlfn.ANCHORARRAY(_xlfn.XLOOKUP($C49,'-ref_Distribution'!$B$146:$B$150,'-ref_Distribution'!$G$146:$G$150)),RIGHT(CB$1,2))</f>
        <v>160</v>
      </c>
      <c r="CC49" s="16" cm="1">
        <f t="array" ref="CC49">INDEX(_xlfn.ANCHORARRAY(_xlfn.XLOOKUP($C49,'-ref_Distribution'!$B$146:$B$150,'-ref_Distribution'!$G$146:$G$150)),RIGHT(CC$1,2))</f>
        <v>137</v>
      </c>
      <c r="CD49" s="16" cm="1">
        <f t="array" ref="CD49">INDEX(_xlfn.ANCHORARRAY(_xlfn.XLOOKUP($C49,'-ref_Distribution'!$B$146:$B$150,'-ref_Distribution'!$G$146:$G$150)),RIGHT(CD$1,2))</f>
        <v>115</v>
      </c>
      <c r="CE49" s="16" cm="1">
        <f t="array" ref="CE49">INDEX(_xlfn.ANCHORARRAY(_xlfn.XLOOKUP($C49,'-ref_Distribution'!$B$146:$B$150,'-ref_Distribution'!$G$146:$G$150)),RIGHT(CE$1,2))</f>
        <v>94</v>
      </c>
    </row>
    <row r="50" spans="1:83" x14ac:dyDescent="0.2">
      <c r="A50" s="16">
        <v>302034</v>
      </c>
      <c r="B50" s="16" t="s">
        <v>222</v>
      </c>
      <c r="C50" s="16">
        <v>3</v>
      </c>
      <c r="D50" s="16" cm="1">
        <f t="array" ref="D50">INDEX(_xlfn.ANCHORARRAY(_xlfn.XLOOKUP($C50,'-ref_Distribution'!$B$146:$B$150,'-ref_Distribution'!$G$146:$G$150)),RIGHT(D$1,2))</f>
        <v>4</v>
      </c>
      <c r="E50" s="16" cm="1">
        <f t="array" ref="E50">INDEX(_xlfn.ANCHORARRAY(_xlfn.XLOOKUP($C50,'-ref_Distribution'!$B$146:$B$150,'-ref_Distribution'!$G$146:$G$150)),RIGHT(E$1,2))</f>
        <v>6</v>
      </c>
      <c r="F50" s="16" cm="1">
        <f t="array" ref="F50">INDEX(_xlfn.ANCHORARRAY(_xlfn.XLOOKUP($C50,'-ref_Distribution'!$B$146:$B$150,'-ref_Distribution'!$G$146:$G$150)),RIGHT(F$1,2))</f>
        <v>9</v>
      </c>
      <c r="G50" s="16" cm="1">
        <f t="array" ref="G50">INDEX(_xlfn.ANCHORARRAY(_xlfn.XLOOKUP($C50,'-ref_Distribution'!$B$146:$B$150,'-ref_Distribution'!$G$146:$G$150)),RIGHT(G$1,2))</f>
        <v>14</v>
      </c>
      <c r="H50" s="16" cm="1">
        <f t="array" ref="H50">INDEX(_xlfn.ANCHORARRAY(_xlfn.XLOOKUP($C50,'-ref_Distribution'!$B$146:$B$150,'-ref_Distribution'!$G$146:$G$150)),RIGHT(H$1,2))</f>
        <v>20</v>
      </c>
      <c r="I50" s="16" cm="1">
        <f t="array" ref="I50">INDEX(_xlfn.ANCHORARRAY(_xlfn.XLOOKUP($C50,'-ref_Distribution'!$B$146:$B$150,'-ref_Distribution'!$G$146:$G$150)),RIGHT(I$1,2))</f>
        <v>28</v>
      </c>
      <c r="J50" s="16" cm="1">
        <f t="array" ref="J50">INDEX(_xlfn.ANCHORARRAY(_xlfn.XLOOKUP($C50,'-ref_Distribution'!$B$146:$B$150,'-ref_Distribution'!$G$146:$G$150)),RIGHT(J$1,2))</f>
        <v>38</v>
      </c>
      <c r="K50" s="16" cm="1">
        <f t="array" ref="K50">INDEX(_xlfn.ANCHORARRAY(_xlfn.XLOOKUP($C50,'-ref_Distribution'!$B$146:$B$150,'-ref_Distribution'!$G$146:$G$150)),RIGHT(K$1,2))</f>
        <v>51</v>
      </c>
      <c r="L50" s="16" cm="1">
        <f t="array" ref="L50">INDEX(_xlfn.ANCHORARRAY(_xlfn.XLOOKUP($C50,'-ref_Distribution'!$B$146:$B$150,'-ref_Distribution'!$G$146:$G$150)),RIGHT(L$1,2))</f>
        <v>65</v>
      </c>
      <c r="M50" s="16" cm="1">
        <f t="array" ref="M50">INDEX(_xlfn.ANCHORARRAY(_xlfn.XLOOKUP($C50,'-ref_Distribution'!$B$146:$B$150,'-ref_Distribution'!$G$146:$G$150)),RIGHT(M$1,2))</f>
        <v>80</v>
      </c>
      <c r="N50" s="16" cm="1">
        <f t="array" ref="N50">INDEX(_xlfn.ANCHORARRAY(_xlfn.XLOOKUP($C50,'-ref_Distribution'!$B$146:$B$150,'-ref_Distribution'!$G$146:$G$150)),RIGHT(N$1,2))</f>
        <v>96</v>
      </c>
      <c r="O50" s="16" cm="1">
        <f t="array" ref="O50">INDEX(_xlfn.ANCHORARRAY(_xlfn.XLOOKUP($C50,'-ref_Distribution'!$B$146:$B$150,'-ref_Distribution'!$G$146:$G$150)),RIGHT(O$1,2))</f>
        <v>111</v>
      </c>
      <c r="P50" s="16" cm="1">
        <f t="array" ref="P50">INDEX(_xlfn.ANCHORARRAY(_xlfn.XLOOKUP($C50,'-ref_Distribution'!$B$146:$B$150,'-ref_Distribution'!$G$146:$G$150)),RIGHT(P$1,2))</f>
        <v>125</v>
      </c>
      <c r="Q50" s="16" cm="1">
        <f t="array" ref="Q50">INDEX(_xlfn.ANCHORARRAY(_xlfn.XLOOKUP($C50,'-ref_Distribution'!$B$146:$B$150,'-ref_Distribution'!$G$146:$G$150)),RIGHT(Q$1,2))</f>
        <v>135</v>
      </c>
      <c r="R50" s="16" cm="1">
        <f t="array" ref="R50">INDEX(_xlfn.ANCHORARRAY(_xlfn.XLOOKUP($C50,'-ref_Distribution'!$B$146:$B$150,'-ref_Distribution'!$G$146:$G$150)),RIGHT(R$1,2))</f>
        <v>142</v>
      </c>
      <c r="S50" s="16" cm="1">
        <f t="array" ref="S50">INDEX(_xlfn.ANCHORARRAY(_xlfn.XLOOKUP($C50,'-ref_Distribution'!$B$146:$B$150,'-ref_Distribution'!$G$146:$G$150)),RIGHT(S$1,2))</f>
        <v>144</v>
      </c>
      <c r="T50" s="16" cm="1">
        <f t="array" ref="T50">INDEX(_xlfn.ANCHORARRAY(_xlfn.XLOOKUP($C50,'-ref_Distribution'!$B$146:$B$150,'-ref_Distribution'!$G$146:$G$150)),RIGHT(T$1,2))</f>
        <v>142</v>
      </c>
      <c r="U50" s="16" cm="1">
        <f t="array" ref="U50">INDEX(_xlfn.ANCHORARRAY(_xlfn.XLOOKUP($C50,'-ref_Distribution'!$B$146:$B$150,'-ref_Distribution'!$G$146:$G$150)),RIGHT(U$1,2))</f>
        <v>135</v>
      </c>
      <c r="V50" s="16" cm="1">
        <f t="array" ref="V50">INDEX(_xlfn.ANCHORARRAY(_xlfn.XLOOKUP($C50,'-ref_Distribution'!$B$146:$B$150,'-ref_Distribution'!$G$146:$G$150)),RIGHT(V$1,2))</f>
        <v>125</v>
      </c>
      <c r="W50" s="16" cm="1">
        <f t="array" ref="W50">INDEX(_xlfn.ANCHORARRAY(_xlfn.XLOOKUP($C50,'-ref_Distribution'!$B$146:$B$150,'-ref_Distribution'!$G$146:$G$150)),RIGHT(W$1,2))</f>
        <v>111</v>
      </c>
      <c r="X50" s="16" cm="1">
        <f t="array" ref="X50">INDEX(_xlfn.ANCHORARRAY(_xlfn.XLOOKUP($C50,'-ref_Distribution'!$B$146:$B$150,'-ref_Distribution'!$G$146:$G$150)),RIGHT(X$1,2))</f>
        <v>4</v>
      </c>
      <c r="Y50" s="16" cm="1">
        <f t="array" ref="Y50">INDEX(_xlfn.ANCHORARRAY(_xlfn.XLOOKUP($C50,'-ref_Distribution'!$B$146:$B$150,'-ref_Distribution'!$G$146:$G$150)),RIGHT(Y$1,2))</f>
        <v>6</v>
      </c>
      <c r="Z50" s="16" cm="1">
        <f t="array" ref="Z50">INDEX(_xlfn.ANCHORARRAY(_xlfn.XLOOKUP($C50,'-ref_Distribution'!$B$146:$B$150,'-ref_Distribution'!$G$146:$G$150)),RIGHT(Z$1,2))</f>
        <v>9</v>
      </c>
      <c r="AA50" s="16" cm="1">
        <f t="array" ref="AA50">INDEX(_xlfn.ANCHORARRAY(_xlfn.XLOOKUP($C50,'-ref_Distribution'!$B$146:$B$150,'-ref_Distribution'!$G$146:$G$150)),RIGHT(AA$1,2))</f>
        <v>14</v>
      </c>
      <c r="AB50" s="16" cm="1">
        <f t="array" ref="AB50">INDEX(_xlfn.ANCHORARRAY(_xlfn.XLOOKUP($C50,'-ref_Distribution'!$B$146:$B$150,'-ref_Distribution'!$G$146:$G$150)),RIGHT(AB$1,2))</f>
        <v>20</v>
      </c>
      <c r="AC50" s="16" cm="1">
        <f t="array" ref="AC50">INDEX(_xlfn.ANCHORARRAY(_xlfn.XLOOKUP($C50,'-ref_Distribution'!$B$146:$B$150,'-ref_Distribution'!$G$146:$G$150)),RIGHT(AC$1,2))</f>
        <v>28</v>
      </c>
      <c r="AD50" s="16" cm="1">
        <f t="array" ref="AD50">INDEX(_xlfn.ANCHORARRAY(_xlfn.XLOOKUP($C50,'-ref_Distribution'!$B$146:$B$150,'-ref_Distribution'!$G$146:$G$150)),RIGHT(AD$1,2))</f>
        <v>38</v>
      </c>
      <c r="AE50" s="16" cm="1">
        <f t="array" ref="AE50">INDEX(_xlfn.ANCHORARRAY(_xlfn.XLOOKUP($C50,'-ref_Distribution'!$B$146:$B$150,'-ref_Distribution'!$G$146:$G$150)),RIGHT(AE$1,2))</f>
        <v>51</v>
      </c>
      <c r="AF50" s="16" cm="1">
        <f t="array" ref="AF50">INDEX(_xlfn.ANCHORARRAY(_xlfn.XLOOKUP($C50,'-ref_Distribution'!$B$146:$B$150,'-ref_Distribution'!$G$146:$G$150)),RIGHT(AF$1,2))</f>
        <v>65</v>
      </c>
      <c r="AG50" s="16" cm="1">
        <f t="array" ref="AG50">INDEX(_xlfn.ANCHORARRAY(_xlfn.XLOOKUP($C50,'-ref_Distribution'!$B$146:$B$150,'-ref_Distribution'!$G$146:$G$150)),RIGHT(AG$1,2))</f>
        <v>80</v>
      </c>
      <c r="AH50" s="16" cm="1">
        <f t="array" ref="AH50">INDEX(_xlfn.ANCHORARRAY(_xlfn.XLOOKUP($C50,'-ref_Distribution'!$B$146:$B$150,'-ref_Distribution'!$G$146:$G$150)),RIGHT(AH$1,2))</f>
        <v>96</v>
      </c>
      <c r="AI50" s="16" cm="1">
        <f t="array" ref="AI50">INDEX(_xlfn.ANCHORARRAY(_xlfn.XLOOKUP($C50,'-ref_Distribution'!$B$146:$B$150,'-ref_Distribution'!$G$146:$G$150)),RIGHT(AI$1,2))</f>
        <v>111</v>
      </c>
      <c r="AJ50" s="16" cm="1">
        <f t="array" ref="AJ50">INDEX(_xlfn.ANCHORARRAY(_xlfn.XLOOKUP($C50,'-ref_Distribution'!$B$146:$B$150,'-ref_Distribution'!$G$146:$G$150)),RIGHT(AJ$1,2))</f>
        <v>125</v>
      </c>
      <c r="AK50" s="16" cm="1">
        <f t="array" ref="AK50">INDEX(_xlfn.ANCHORARRAY(_xlfn.XLOOKUP($C50,'-ref_Distribution'!$B$146:$B$150,'-ref_Distribution'!$G$146:$G$150)),RIGHT(AK$1,2))</f>
        <v>135</v>
      </c>
      <c r="AL50" s="16" cm="1">
        <f t="array" ref="AL50">INDEX(_xlfn.ANCHORARRAY(_xlfn.XLOOKUP($C50,'-ref_Distribution'!$B$146:$B$150,'-ref_Distribution'!$G$146:$G$150)),RIGHT(AL$1,2))</f>
        <v>142</v>
      </c>
      <c r="AM50" s="16" cm="1">
        <f t="array" ref="AM50">INDEX(_xlfn.ANCHORARRAY(_xlfn.XLOOKUP($C50,'-ref_Distribution'!$B$146:$B$150,'-ref_Distribution'!$G$146:$G$150)),RIGHT(AM$1,2))</f>
        <v>144</v>
      </c>
      <c r="AN50" s="16" cm="1">
        <f t="array" ref="AN50">INDEX(_xlfn.ANCHORARRAY(_xlfn.XLOOKUP($C50,'-ref_Distribution'!$B$146:$B$150,'-ref_Distribution'!$G$146:$G$150)),RIGHT(AN$1,2))</f>
        <v>142</v>
      </c>
      <c r="AO50" s="16" cm="1">
        <f t="array" ref="AO50">INDEX(_xlfn.ANCHORARRAY(_xlfn.XLOOKUP($C50,'-ref_Distribution'!$B$146:$B$150,'-ref_Distribution'!$G$146:$G$150)),RIGHT(AO$1,2))</f>
        <v>135</v>
      </c>
      <c r="AP50" s="16" cm="1">
        <f t="array" ref="AP50">INDEX(_xlfn.ANCHORARRAY(_xlfn.XLOOKUP($C50,'-ref_Distribution'!$B$146:$B$150,'-ref_Distribution'!$G$146:$G$150)),RIGHT(AP$1,2))</f>
        <v>125</v>
      </c>
      <c r="AQ50" s="16" cm="1">
        <f t="array" ref="AQ50">INDEX(_xlfn.ANCHORARRAY(_xlfn.XLOOKUP($C50,'-ref_Distribution'!$B$146:$B$150,'-ref_Distribution'!$G$146:$G$150)),RIGHT(AQ$1,2))</f>
        <v>111</v>
      </c>
      <c r="AR50" s="16" cm="1">
        <f t="array" ref="AR50">INDEX(_xlfn.ANCHORARRAY(_xlfn.XLOOKUP($C50,'-ref_Distribution'!$B$146:$B$150,'-ref_Distribution'!$G$146:$G$150)),RIGHT(AR$1,2))</f>
        <v>4</v>
      </c>
      <c r="AS50" s="16" cm="1">
        <f t="array" ref="AS50">INDEX(_xlfn.ANCHORARRAY(_xlfn.XLOOKUP($C50,'-ref_Distribution'!$B$146:$B$150,'-ref_Distribution'!$G$146:$G$150)),RIGHT(AS$1,2))</f>
        <v>6</v>
      </c>
      <c r="AT50" s="16" cm="1">
        <f t="array" ref="AT50">INDEX(_xlfn.ANCHORARRAY(_xlfn.XLOOKUP($C50,'-ref_Distribution'!$B$146:$B$150,'-ref_Distribution'!$G$146:$G$150)),RIGHT(AT$1,2))</f>
        <v>9</v>
      </c>
      <c r="AU50" s="16" cm="1">
        <f t="array" ref="AU50">INDEX(_xlfn.ANCHORARRAY(_xlfn.XLOOKUP($C50,'-ref_Distribution'!$B$146:$B$150,'-ref_Distribution'!$G$146:$G$150)),RIGHT(AU$1,2))</f>
        <v>14</v>
      </c>
      <c r="AV50" s="16" cm="1">
        <f t="array" ref="AV50">INDEX(_xlfn.ANCHORARRAY(_xlfn.XLOOKUP($C50,'-ref_Distribution'!$B$146:$B$150,'-ref_Distribution'!$G$146:$G$150)),RIGHT(AV$1,2))</f>
        <v>20</v>
      </c>
      <c r="AW50" s="16" cm="1">
        <f t="array" ref="AW50">INDEX(_xlfn.ANCHORARRAY(_xlfn.XLOOKUP($C50,'-ref_Distribution'!$B$146:$B$150,'-ref_Distribution'!$G$146:$G$150)),RIGHT(AW$1,2))</f>
        <v>28</v>
      </c>
      <c r="AX50" s="16" cm="1">
        <f t="array" ref="AX50">INDEX(_xlfn.ANCHORARRAY(_xlfn.XLOOKUP($C50,'-ref_Distribution'!$B$146:$B$150,'-ref_Distribution'!$G$146:$G$150)),RIGHT(AX$1,2))</f>
        <v>38</v>
      </c>
      <c r="AY50" s="16" cm="1">
        <f t="array" ref="AY50">INDEX(_xlfn.ANCHORARRAY(_xlfn.XLOOKUP($C50,'-ref_Distribution'!$B$146:$B$150,'-ref_Distribution'!$G$146:$G$150)),RIGHT(AY$1,2))</f>
        <v>51</v>
      </c>
      <c r="AZ50" s="16" cm="1">
        <f t="array" ref="AZ50">INDEX(_xlfn.ANCHORARRAY(_xlfn.XLOOKUP($C50,'-ref_Distribution'!$B$146:$B$150,'-ref_Distribution'!$G$146:$G$150)),RIGHT(AZ$1,2))</f>
        <v>65</v>
      </c>
      <c r="BA50" s="16" cm="1">
        <f t="array" ref="BA50">INDEX(_xlfn.ANCHORARRAY(_xlfn.XLOOKUP($C50,'-ref_Distribution'!$B$146:$B$150,'-ref_Distribution'!$G$146:$G$150)),RIGHT(BA$1,2))</f>
        <v>80</v>
      </c>
      <c r="BB50" s="16" cm="1">
        <f t="array" ref="BB50">INDEX(_xlfn.ANCHORARRAY(_xlfn.XLOOKUP($C50,'-ref_Distribution'!$B$146:$B$150,'-ref_Distribution'!$G$146:$G$150)),RIGHT(BB$1,2))</f>
        <v>96</v>
      </c>
      <c r="BC50" s="16" cm="1">
        <f t="array" ref="BC50">INDEX(_xlfn.ANCHORARRAY(_xlfn.XLOOKUP($C50,'-ref_Distribution'!$B$146:$B$150,'-ref_Distribution'!$G$146:$G$150)),RIGHT(BC$1,2))</f>
        <v>111</v>
      </c>
      <c r="BD50" s="16" cm="1">
        <f t="array" ref="BD50">INDEX(_xlfn.ANCHORARRAY(_xlfn.XLOOKUP($C50,'-ref_Distribution'!$B$146:$B$150,'-ref_Distribution'!$G$146:$G$150)),RIGHT(BD$1,2))</f>
        <v>125</v>
      </c>
      <c r="BE50" s="16" cm="1">
        <f t="array" ref="BE50">INDEX(_xlfn.ANCHORARRAY(_xlfn.XLOOKUP($C50,'-ref_Distribution'!$B$146:$B$150,'-ref_Distribution'!$G$146:$G$150)),RIGHT(BE$1,2))</f>
        <v>135</v>
      </c>
      <c r="BF50" s="16" cm="1">
        <f t="array" ref="BF50">INDEX(_xlfn.ANCHORARRAY(_xlfn.XLOOKUP($C50,'-ref_Distribution'!$B$146:$B$150,'-ref_Distribution'!$G$146:$G$150)),RIGHT(BF$1,2))</f>
        <v>142</v>
      </c>
      <c r="BG50" s="16" cm="1">
        <f t="array" ref="BG50">INDEX(_xlfn.ANCHORARRAY(_xlfn.XLOOKUP($C50,'-ref_Distribution'!$B$146:$B$150,'-ref_Distribution'!$G$146:$G$150)),RIGHT(BG$1,2))</f>
        <v>144</v>
      </c>
      <c r="BH50" s="16" cm="1">
        <f t="array" ref="BH50">INDEX(_xlfn.ANCHORARRAY(_xlfn.XLOOKUP($C50,'-ref_Distribution'!$B$146:$B$150,'-ref_Distribution'!$G$146:$G$150)),RIGHT(BH$1,2))</f>
        <v>142</v>
      </c>
      <c r="BI50" s="16" cm="1">
        <f t="array" ref="BI50">INDEX(_xlfn.ANCHORARRAY(_xlfn.XLOOKUP($C50,'-ref_Distribution'!$B$146:$B$150,'-ref_Distribution'!$G$146:$G$150)),RIGHT(BI$1,2))</f>
        <v>135</v>
      </c>
      <c r="BJ50" s="16" cm="1">
        <f t="array" ref="BJ50">INDEX(_xlfn.ANCHORARRAY(_xlfn.XLOOKUP($C50,'-ref_Distribution'!$B$146:$B$150,'-ref_Distribution'!$G$146:$G$150)),RIGHT(BJ$1,2))</f>
        <v>125</v>
      </c>
      <c r="BK50" s="16" cm="1">
        <f t="array" ref="BK50">INDEX(_xlfn.ANCHORARRAY(_xlfn.XLOOKUP($C50,'-ref_Distribution'!$B$146:$B$150,'-ref_Distribution'!$G$146:$G$150)),RIGHT(BK$1,2))</f>
        <v>111</v>
      </c>
      <c r="BL50" s="16" cm="1">
        <f t="array" ref="BL50">INDEX(_xlfn.ANCHORARRAY(_xlfn.XLOOKUP($C50,'-ref_Distribution'!$B$146:$B$150,'-ref_Distribution'!$G$146:$G$150)),RIGHT(BL$1,2))</f>
        <v>4</v>
      </c>
      <c r="BM50" s="16" cm="1">
        <f t="array" ref="BM50">INDEX(_xlfn.ANCHORARRAY(_xlfn.XLOOKUP($C50,'-ref_Distribution'!$B$146:$B$150,'-ref_Distribution'!$G$146:$G$150)),RIGHT(BM$1,2))</f>
        <v>6</v>
      </c>
      <c r="BN50" s="16" cm="1">
        <f t="array" ref="BN50">INDEX(_xlfn.ANCHORARRAY(_xlfn.XLOOKUP($C50,'-ref_Distribution'!$B$146:$B$150,'-ref_Distribution'!$G$146:$G$150)),RIGHT(BN$1,2))</f>
        <v>9</v>
      </c>
      <c r="BO50" s="16" cm="1">
        <f t="array" ref="BO50">INDEX(_xlfn.ANCHORARRAY(_xlfn.XLOOKUP($C50,'-ref_Distribution'!$B$146:$B$150,'-ref_Distribution'!$G$146:$G$150)),RIGHT(BO$1,2))</f>
        <v>14</v>
      </c>
      <c r="BP50" s="16" cm="1">
        <f t="array" ref="BP50">INDEX(_xlfn.ANCHORARRAY(_xlfn.XLOOKUP($C50,'-ref_Distribution'!$B$146:$B$150,'-ref_Distribution'!$G$146:$G$150)),RIGHT(BP$1,2))</f>
        <v>20</v>
      </c>
      <c r="BQ50" s="16" cm="1">
        <f t="array" ref="BQ50">INDEX(_xlfn.ANCHORARRAY(_xlfn.XLOOKUP($C50,'-ref_Distribution'!$B$146:$B$150,'-ref_Distribution'!$G$146:$G$150)),RIGHT(BQ$1,2))</f>
        <v>28</v>
      </c>
      <c r="BR50" s="16" cm="1">
        <f t="array" ref="BR50">INDEX(_xlfn.ANCHORARRAY(_xlfn.XLOOKUP($C50,'-ref_Distribution'!$B$146:$B$150,'-ref_Distribution'!$G$146:$G$150)),RIGHT(BR$1,2))</f>
        <v>38</v>
      </c>
      <c r="BS50" s="16" cm="1">
        <f t="array" ref="BS50">INDEX(_xlfn.ANCHORARRAY(_xlfn.XLOOKUP($C50,'-ref_Distribution'!$B$146:$B$150,'-ref_Distribution'!$G$146:$G$150)),RIGHT(BS$1,2))</f>
        <v>51</v>
      </c>
      <c r="BT50" s="16" cm="1">
        <f t="array" ref="BT50">INDEX(_xlfn.ANCHORARRAY(_xlfn.XLOOKUP($C50,'-ref_Distribution'!$B$146:$B$150,'-ref_Distribution'!$G$146:$G$150)),RIGHT(BT$1,2))</f>
        <v>65</v>
      </c>
      <c r="BU50" s="16" cm="1">
        <f t="array" ref="BU50">INDEX(_xlfn.ANCHORARRAY(_xlfn.XLOOKUP($C50,'-ref_Distribution'!$B$146:$B$150,'-ref_Distribution'!$G$146:$G$150)),RIGHT(BU$1,2))</f>
        <v>80</v>
      </c>
      <c r="BV50" s="16" cm="1">
        <f t="array" ref="BV50">INDEX(_xlfn.ANCHORARRAY(_xlfn.XLOOKUP($C50,'-ref_Distribution'!$B$146:$B$150,'-ref_Distribution'!$G$146:$G$150)),RIGHT(BV$1,2))</f>
        <v>96</v>
      </c>
      <c r="BW50" s="16" cm="1">
        <f t="array" ref="BW50">INDEX(_xlfn.ANCHORARRAY(_xlfn.XLOOKUP($C50,'-ref_Distribution'!$B$146:$B$150,'-ref_Distribution'!$G$146:$G$150)),RIGHT(BW$1,2))</f>
        <v>111</v>
      </c>
      <c r="BX50" s="16" cm="1">
        <f t="array" ref="BX50">INDEX(_xlfn.ANCHORARRAY(_xlfn.XLOOKUP($C50,'-ref_Distribution'!$B$146:$B$150,'-ref_Distribution'!$G$146:$G$150)),RIGHT(BX$1,2))</f>
        <v>125</v>
      </c>
      <c r="BY50" s="16" cm="1">
        <f t="array" ref="BY50">INDEX(_xlfn.ANCHORARRAY(_xlfn.XLOOKUP($C50,'-ref_Distribution'!$B$146:$B$150,'-ref_Distribution'!$G$146:$G$150)),RIGHT(BY$1,2))</f>
        <v>135</v>
      </c>
      <c r="BZ50" s="16" cm="1">
        <f t="array" ref="BZ50">INDEX(_xlfn.ANCHORARRAY(_xlfn.XLOOKUP($C50,'-ref_Distribution'!$B$146:$B$150,'-ref_Distribution'!$G$146:$G$150)),RIGHT(BZ$1,2))</f>
        <v>142</v>
      </c>
      <c r="CA50" s="16" cm="1">
        <f t="array" ref="CA50">INDEX(_xlfn.ANCHORARRAY(_xlfn.XLOOKUP($C50,'-ref_Distribution'!$B$146:$B$150,'-ref_Distribution'!$G$146:$G$150)),RIGHT(CA$1,2))</f>
        <v>144</v>
      </c>
      <c r="CB50" s="16" cm="1">
        <f t="array" ref="CB50">INDEX(_xlfn.ANCHORARRAY(_xlfn.XLOOKUP($C50,'-ref_Distribution'!$B$146:$B$150,'-ref_Distribution'!$G$146:$G$150)),RIGHT(CB$1,2))</f>
        <v>142</v>
      </c>
      <c r="CC50" s="16" cm="1">
        <f t="array" ref="CC50">INDEX(_xlfn.ANCHORARRAY(_xlfn.XLOOKUP($C50,'-ref_Distribution'!$B$146:$B$150,'-ref_Distribution'!$G$146:$G$150)),RIGHT(CC$1,2))</f>
        <v>135</v>
      </c>
      <c r="CD50" s="16" cm="1">
        <f t="array" ref="CD50">INDEX(_xlfn.ANCHORARRAY(_xlfn.XLOOKUP($C50,'-ref_Distribution'!$B$146:$B$150,'-ref_Distribution'!$G$146:$G$150)),RIGHT(CD$1,2))</f>
        <v>125</v>
      </c>
      <c r="CE50" s="16" cm="1">
        <f t="array" ref="CE50">INDEX(_xlfn.ANCHORARRAY(_xlfn.XLOOKUP($C50,'-ref_Distribution'!$B$146:$B$150,'-ref_Distribution'!$G$146:$G$150)),RIGHT(CE$1,2))</f>
        <v>111</v>
      </c>
    </row>
    <row r="51" spans="1:83" x14ac:dyDescent="0.2">
      <c r="A51" s="16">
        <v>302041</v>
      </c>
      <c r="B51" s="16" t="s">
        <v>223</v>
      </c>
      <c r="C51" s="16">
        <v>0</v>
      </c>
      <c r="D51" s="16" cm="1">
        <f t="array" ref="D51">INDEX(_xlfn.ANCHORARRAY(_xlfn.XLOOKUP($C51,'-ref_Distribution'!$B$146:$B$150,'-ref_Distribution'!$G$146:$G$150)),RIGHT(D$1,2))</f>
        <v>709</v>
      </c>
      <c r="E51" s="16" cm="1">
        <f t="array" ref="E51">INDEX(_xlfn.ANCHORARRAY(_xlfn.XLOOKUP($C51,'-ref_Distribution'!$B$146:$B$150,'-ref_Distribution'!$G$146:$G$150)),RIGHT(E$1,2))</f>
        <v>705</v>
      </c>
      <c r="F51" s="16" cm="1">
        <f t="array" ref="F51">INDEX(_xlfn.ANCHORARRAY(_xlfn.XLOOKUP($C51,'-ref_Distribution'!$B$146:$B$150,'-ref_Distribution'!$G$146:$G$150)),RIGHT(F$1,2))</f>
        <v>692</v>
      </c>
      <c r="G51" s="16" cm="1">
        <f t="array" ref="G51">INDEX(_xlfn.ANCHORARRAY(_xlfn.XLOOKUP($C51,'-ref_Distribution'!$B$146:$B$150,'-ref_Distribution'!$G$146:$G$150)),RIGHT(G$1,2))</f>
        <v>671</v>
      </c>
      <c r="H51" s="16" cm="1">
        <f t="array" ref="H51">INDEX(_xlfn.ANCHORARRAY(_xlfn.XLOOKUP($C51,'-ref_Distribution'!$B$146:$B$150,'-ref_Distribution'!$G$146:$G$150)),RIGHT(H$1,2))</f>
        <v>643</v>
      </c>
      <c r="I51" s="16" cm="1">
        <f t="array" ref="I51">INDEX(_xlfn.ANCHORARRAY(_xlfn.XLOOKUP($C51,'-ref_Distribution'!$B$146:$B$150,'-ref_Distribution'!$G$146:$G$150)),RIGHT(I$1,2))</f>
        <v>608</v>
      </c>
      <c r="J51" s="16" cm="1">
        <f t="array" ref="J51">INDEX(_xlfn.ANCHORARRAY(_xlfn.XLOOKUP($C51,'-ref_Distribution'!$B$146:$B$150,'-ref_Distribution'!$G$146:$G$150)),RIGHT(J$1,2))</f>
        <v>568</v>
      </c>
      <c r="K51" s="16" cm="1">
        <f t="array" ref="K51">INDEX(_xlfn.ANCHORARRAY(_xlfn.XLOOKUP($C51,'-ref_Distribution'!$B$146:$B$150,'-ref_Distribution'!$G$146:$G$150)),RIGHT(K$1,2))</f>
        <v>524</v>
      </c>
      <c r="L51" s="16" cm="1">
        <f t="array" ref="L51">INDEX(_xlfn.ANCHORARRAY(_xlfn.XLOOKUP($C51,'-ref_Distribution'!$B$146:$B$150,'-ref_Distribution'!$G$146:$G$150)),RIGHT(L$1,2))</f>
        <v>478</v>
      </c>
      <c r="M51" s="16" cm="1">
        <f t="array" ref="M51">INDEX(_xlfn.ANCHORARRAY(_xlfn.XLOOKUP($C51,'-ref_Distribution'!$B$146:$B$150,'-ref_Distribution'!$G$146:$G$150)),RIGHT(M$1,2))</f>
        <v>430</v>
      </c>
      <c r="N51" s="16" cm="1">
        <f t="array" ref="N51">INDEX(_xlfn.ANCHORARRAY(_xlfn.XLOOKUP($C51,'-ref_Distribution'!$B$146:$B$150,'-ref_Distribution'!$G$146:$G$150)),RIGHT(N$1,2))</f>
        <v>383</v>
      </c>
      <c r="O51" s="16" cm="1">
        <f t="array" ref="O51">INDEX(_xlfn.ANCHORARRAY(_xlfn.XLOOKUP($C51,'-ref_Distribution'!$B$146:$B$150,'-ref_Distribution'!$G$146:$G$150)),RIGHT(O$1,2))</f>
        <v>336</v>
      </c>
      <c r="P51" s="16" cm="1">
        <f t="array" ref="P51">INDEX(_xlfn.ANCHORARRAY(_xlfn.XLOOKUP($C51,'-ref_Distribution'!$B$146:$B$150,'-ref_Distribution'!$G$146:$G$150)),RIGHT(P$1,2))</f>
        <v>292</v>
      </c>
      <c r="Q51" s="16" cm="1">
        <f t="array" ref="Q51">INDEX(_xlfn.ANCHORARRAY(_xlfn.XLOOKUP($C51,'-ref_Distribution'!$B$146:$B$150,'-ref_Distribution'!$G$146:$G$150)),RIGHT(Q$1,2))</f>
        <v>250</v>
      </c>
      <c r="R51" s="16" cm="1">
        <f t="array" ref="R51">INDEX(_xlfn.ANCHORARRAY(_xlfn.XLOOKUP($C51,'-ref_Distribution'!$B$146:$B$150,'-ref_Distribution'!$G$146:$G$150)),RIGHT(R$1,2))</f>
        <v>212</v>
      </c>
      <c r="S51" s="16" cm="1">
        <f t="array" ref="S51">INDEX(_xlfn.ANCHORARRAY(_xlfn.XLOOKUP($C51,'-ref_Distribution'!$B$146:$B$150,'-ref_Distribution'!$G$146:$G$150)),RIGHT(S$1,2))</f>
        <v>177</v>
      </c>
      <c r="T51" s="16" cm="1">
        <f t="array" ref="T51">INDEX(_xlfn.ANCHORARRAY(_xlfn.XLOOKUP($C51,'-ref_Distribution'!$B$146:$B$150,'-ref_Distribution'!$G$146:$G$150)),RIGHT(T$1,2))</f>
        <v>146</v>
      </c>
      <c r="U51" s="16" cm="1">
        <f t="array" ref="U51">INDEX(_xlfn.ANCHORARRAY(_xlfn.XLOOKUP($C51,'-ref_Distribution'!$B$146:$B$150,'-ref_Distribution'!$G$146:$G$150)),RIGHT(U$1,2))</f>
        <v>119</v>
      </c>
      <c r="V51" s="16" cm="1">
        <f t="array" ref="V51">INDEX(_xlfn.ANCHORARRAY(_xlfn.XLOOKUP($C51,'-ref_Distribution'!$B$146:$B$150,'-ref_Distribution'!$G$146:$G$150)),RIGHT(V$1,2))</f>
        <v>96</v>
      </c>
      <c r="W51" s="16" cm="1">
        <f t="array" ref="W51">INDEX(_xlfn.ANCHORARRAY(_xlfn.XLOOKUP($C51,'-ref_Distribution'!$B$146:$B$150,'-ref_Distribution'!$G$146:$G$150)),RIGHT(W$1,2))</f>
        <v>76</v>
      </c>
      <c r="X51" s="16" cm="1">
        <f t="array" ref="X51">INDEX(_xlfn.ANCHORARRAY(_xlfn.XLOOKUP($C51,'-ref_Distribution'!$B$146:$B$150,'-ref_Distribution'!$G$146:$G$150)),RIGHT(X$1,2))</f>
        <v>709</v>
      </c>
      <c r="Y51" s="16" cm="1">
        <f t="array" ref="Y51">INDEX(_xlfn.ANCHORARRAY(_xlfn.XLOOKUP($C51,'-ref_Distribution'!$B$146:$B$150,'-ref_Distribution'!$G$146:$G$150)),RIGHT(Y$1,2))</f>
        <v>705</v>
      </c>
      <c r="Z51" s="16" cm="1">
        <f t="array" ref="Z51">INDEX(_xlfn.ANCHORARRAY(_xlfn.XLOOKUP($C51,'-ref_Distribution'!$B$146:$B$150,'-ref_Distribution'!$G$146:$G$150)),RIGHT(Z$1,2))</f>
        <v>692</v>
      </c>
      <c r="AA51" s="16" cm="1">
        <f t="array" ref="AA51">INDEX(_xlfn.ANCHORARRAY(_xlfn.XLOOKUP($C51,'-ref_Distribution'!$B$146:$B$150,'-ref_Distribution'!$G$146:$G$150)),RIGHT(AA$1,2))</f>
        <v>671</v>
      </c>
      <c r="AB51" s="16" cm="1">
        <f t="array" ref="AB51">INDEX(_xlfn.ANCHORARRAY(_xlfn.XLOOKUP($C51,'-ref_Distribution'!$B$146:$B$150,'-ref_Distribution'!$G$146:$G$150)),RIGHT(AB$1,2))</f>
        <v>643</v>
      </c>
      <c r="AC51" s="16" cm="1">
        <f t="array" ref="AC51">INDEX(_xlfn.ANCHORARRAY(_xlfn.XLOOKUP($C51,'-ref_Distribution'!$B$146:$B$150,'-ref_Distribution'!$G$146:$G$150)),RIGHT(AC$1,2))</f>
        <v>608</v>
      </c>
      <c r="AD51" s="16" cm="1">
        <f t="array" ref="AD51">INDEX(_xlfn.ANCHORARRAY(_xlfn.XLOOKUP($C51,'-ref_Distribution'!$B$146:$B$150,'-ref_Distribution'!$G$146:$G$150)),RIGHT(AD$1,2))</f>
        <v>568</v>
      </c>
      <c r="AE51" s="16" cm="1">
        <f t="array" ref="AE51">INDEX(_xlfn.ANCHORARRAY(_xlfn.XLOOKUP($C51,'-ref_Distribution'!$B$146:$B$150,'-ref_Distribution'!$G$146:$G$150)),RIGHT(AE$1,2))</f>
        <v>524</v>
      </c>
      <c r="AF51" s="16" cm="1">
        <f t="array" ref="AF51">INDEX(_xlfn.ANCHORARRAY(_xlfn.XLOOKUP($C51,'-ref_Distribution'!$B$146:$B$150,'-ref_Distribution'!$G$146:$G$150)),RIGHT(AF$1,2))</f>
        <v>478</v>
      </c>
      <c r="AG51" s="16" cm="1">
        <f t="array" ref="AG51">INDEX(_xlfn.ANCHORARRAY(_xlfn.XLOOKUP($C51,'-ref_Distribution'!$B$146:$B$150,'-ref_Distribution'!$G$146:$G$150)),RIGHT(AG$1,2))</f>
        <v>430</v>
      </c>
      <c r="AH51" s="16" cm="1">
        <f t="array" ref="AH51">INDEX(_xlfn.ANCHORARRAY(_xlfn.XLOOKUP($C51,'-ref_Distribution'!$B$146:$B$150,'-ref_Distribution'!$G$146:$G$150)),RIGHT(AH$1,2))</f>
        <v>383</v>
      </c>
      <c r="AI51" s="16" cm="1">
        <f t="array" ref="AI51">INDEX(_xlfn.ANCHORARRAY(_xlfn.XLOOKUP($C51,'-ref_Distribution'!$B$146:$B$150,'-ref_Distribution'!$G$146:$G$150)),RIGHT(AI$1,2))</f>
        <v>336</v>
      </c>
      <c r="AJ51" s="16" cm="1">
        <f t="array" ref="AJ51">INDEX(_xlfn.ANCHORARRAY(_xlfn.XLOOKUP($C51,'-ref_Distribution'!$B$146:$B$150,'-ref_Distribution'!$G$146:$G$150)),RIGHT(AJ$1,2))</f>
        <v>292</v>
      </c>
      <c r="AK51" s="16" cm="1">
        <f t="array" ref="AK51">INDEX(_xlfn.ANCHORARRAY(_xlfn.XLOOKUP($C51,'-ref_Distribution'!$B$146:$B$150,'-ref_Distribution'!$G$146:$G$150)),RIGHT(AK$1,2))</f>
        <v>250</v>
      </c>
      <c r="AL51" s="16" cm="1">
        <f t="array" ref="AL51">INDEX(_xlfn.ANCHORARRAY(_xlfn.XLOOKUP($C51,'-ref_Distribution'!$B$146:$B$150,'-ref_Distribution'!$G$146:$G$150)),RIGHT(AL$1,2))</f>
        <v>212</v>
      </c>
      <c r="AM51" s="16" cm="1">
        <f t="array" ref="AM51">INDEX(_xlfn.ANCHORARRAY(_xlfn.XLOOKUP($C51,'-ref_Distribution'!$B$146:$B$150,'-ref_Distribution'!$G$146:$G$150)),RIGHT(AM$1,2))</f>
        <v>177</v>
      </c>
      <c r="AN51" s="16" cm="1">
        <f t="array" ref="AN51">INDEX(_xlfn.ANCHORARRAY(_xlfn.XLOOKUP($C51,'-ref_Distribution'!$B$146:$B$150,'-ref_Distribution'!$G$146:$G$150)),RIGHT(AN$1,2))</f>
        <v>146</v>
      </c>
      <c r="AO51" s="16" cm="1">
        <f t="array" ref="AO51">INDEX(_xlfn.ANCHORARRAY(_xlfn.XLOOKUP($C51,'-ref_Distribution'!$B$146:$B$150,'-ref_Distribution'!$G$146:$G$150)),RIGHT(AO$1,2))</f>
        <v>119</v>
      </c>
      <c r="AP51" s="16" cm="1">
        <f t="array" ref="AP51">INDEX(_xlfn.ANCHORARRAY(_xlfn.XLOOKUP($C51,'-ref_Distribution'!$B$146:$B$150,'-ref_Distribution'!$G$146:$G$150)),RIGHT(AP$1,2))</f>
        <v>96</v>
      </c>
      <c r="AQ51" s="16" cm="1">
        <f t="array" ref="AQ51">INDEX(_xlfn.ANCHORARRAY(_xlfn.XLOOKUP($C51,'-ref_Distribution'!$B$146:$B$150,'-ref_Distribution'!$G$146:$G$150)),RIGHT(AQ$1,2))</f>
        <v>76</v>
      </c>
      <c r="AR51" s="16" cm="1">
        <f t="array" ref="AR51">INDEX(_xlfn.ANCHORARRAY(_xlfn.XLOOKUP($C51,'-ref_Distribution'!$B$146:$B$150,'-ref_Distribution'!$G$146:$G$150)),RIGHT(AR$1,2))</f>
        <v>709</v>
      </c>
      <c r="AS51" s="16" cm="1">
        <f t="array" ref="AS51">INDEX(_xlfn.ANCHORARRAY(_xlfn.XLOOKUP($C51,'-ref_Distribution'!$B$146:$B$150,'-ref_Distribution'!$G$146:$G$150)),RIGHT(AS$1,2))</f>
        <v>705</v>
      </c>
      <c r="AT51" s="16" cm="1">
        <f t="array" ref="AT51">INDEX(_xlfn.ANCHORARRAY(_xlfn.XLOOKUP($C51,'-ref_Distribution'!$B$146:$B$150,'-ref_Distribution'!$G$146:$G$150)),RIGHT(AT$1,2))</f>
        <v>692</v>
      </c>
      <c r="AU51" s="16" cm="1">
        <f t="array" ref="AU51">INDEX(_xlfn.ANCHORARRAY(_xlfn.XLOOKUP($C51,'-ref_Distribution'!$B$146:$B$150,'-ref_Distribution'!$G$146:$G$150)),RIGHT(AU$1,2))</f>
        <v>671</v>
      </c>
      <c r="AV51" s="16" cm="1">
        <f t="array" ref="AV51">INDEX(_xlfn.ANCHORARRAY(_xlfn.XLOOKUP($C51,'-ref_Distribution'!$B$146:$B$150,'-ref_Distribution'!$G$146:$G$150)),RIGHT(AV$1,2))</f>
        <v>643</v>
      </c>
      <c r="AW51" s="16" cm="1">
        <f t="array" ref="AW51">INDEX(_xlfn.ANCHORARRAY(_xlfn.XLOOKUP($C51,'-ref_Distribution'!$B$146:$B$150,'-ref_Distribution'!$G$146:$G$150)),RIGHT(AW$1,2))</f>
        <v>608</v>
      </c>
      <c r="AX51" s="16" cm="1">
        <f t="array" ref="AX51">INDEX(_xlfn.ANCHORARRAY(_xlfn.XLOOKUP($C51,'-ref_Distribution'!$B$146:$B$150,'-ref_Distribution'!$G$146:$G$150)),RIGHT(AX$1,2))</f>
        <v>568</v>
      </c>
      <c r="AY51" s="16" cm="1">
        <f t="array" ref="AY51">INDEX(_xlfn.ANCHORARRAY(_xlfn.XLOOKUP($C51,'-ref_Distribution'!$B$146:$B$150,'-ref_Distribution'!$G$146:$G$150)),RIGHT(AY$1,2))</f>
        <v>524</v>
      </c>
      <c r="AZ51" s="16" cm="1">
        <f t="array" ref="AZ51">INDEX(_xlfn.ANCHORARRAY(_xlfn.XLOOKUP($C51,'-ref_Distribution'!$B$146:$B$150,'-ref_Distribution'!$G$146:$G$150)),RIGHT(AZ$1,2))</f>
        <v>478</v>
      </c>
      <c r="BA51" s="16" cm="1">
        <f t="array" ref="BA51">INDEX(_xlfn.ANCHORARRAY(_xlfn.XLOOKUP($C51,'-ref_Distribution'!$B$146:$B$150,'-ref_Distribution'!$G$146:$G$150)),RIGHT(BA$1,2))</f>
        <v>430</v>
      </c>
      <c r="BB51" s="16" cm="1">
        <f t="array" ref="BB51">INDEX(_xlfn.ANCHORARRAY(_xlfn.XLOOKUP($C51,'-ref_Distribution'!$B$146:$B$150,'-ref_Distribution'!$G$146:$G$150)),RIGHT(BB$1,2))</f>
        <v>383</v>
      </c>
      <c r="BC51" s="16" cm="1">
        <f t="array" ref="BC51">INDEX(_xlfn.ANCHORARRAY(_xlfn.XLOOKUP($C51,'-ref_Distribution'!$B$146:$B$150,'-ref_Distribution'!$G$146:$G$150)),RIGHT(BC$1,2))</f>
        <v>336</v>
      </c>
      <c r="BD51" s="16" cm="1">
        <f t="array" ref="BD51">INDEX(_xlfn.ANCHORARRAY(_xlfn.XLOOKUP($C51,'-ref_Distribution'!$B$146:$B$150,'-ref_Distribution'!$G$146:$G$150)),RIGHT(BD$1,2))</f>
        <v>292</v>
      </c>
      <c r="BE51" s="16" cm="1">
        <f t="array" ref="BE51">INDEX(_xlfn.ANCHORARRAY(_xlfn.XLOOKUP($C51,'-ref_Distribution'!$B$146:$B$150,'-ref_Distribution'!$G$146:$G$150)),RIGHT(BE$1,2))</f>
        <v>250</v>
      </c>
      <c r="BF51" s="16" cm="1">
        <f t="array" ref="BF51">INDEX(_xlfn.ANCHORARRAY(_xlfn.XLOOKUP($C51,'-ref_Distribution'!$B$146:$B$150,'-ref_Distribution'!$G$146:$G$150)),RIGHT(BF$1,2))</f>
        <v>212</v>
      </c>
      <c r="BG51" s="16" cm="1">
        <f t="array" ref="BG51">INDEX(_xlfn.ANCHORARRAY(_xlfn.XLOOKUP($C51,'-ref_Distribution'!$B$146:$B$150,'-ref_Distribution'!$G$146:$G$150)),RIGHT(BG$1,2))</f>
        <v>177</v>
      </c>
      <c r="BH51" s="16" cm="1">
        <f t="array" ref="BH51">INDEX(_xlfn.ANCHORARRAY(_xlfn.XLOOKUP($C51,'-ref_Distribution'!$B$146:$B$150,'-ref_Distribution'!$G$146:$G$150)),RIGHT(BH$1,2))</f>
        <v>146</v>
      </c>
      <c r="BI51" s="16" cm="1">
        <f t="array" ref="BI51">INDEX(_xlfn.ANCHORARRAY(_xlfn.XLOOKUP($C51,'-ref_Distribution'!$B$146:$B$150,'-ref_Distribution'!$G$146:$G$150)),RIGHT(BI$1,2))</f>
        <v>119</v>
      </c>
      <c r="BJ51" s="16" cm="1">
        <f t="array" ref="BJ51">INDEX(_xlfn.ANCHORARRAY(_xlfn.XLOOKUP($C51,'-ref_Distribution'!$B$146:$B$150,'-ref_Distribution'!$G$146:$G$150)),RIGHT(BJ$1,2))</f>
        <v>96</v>
      </c>
      <c r="BK51" s="16" cm="1">
        <f t="array" ref="BK51">INDEX(_xlfn.ANCHORARRAY(_xlfn.XLOOKUP($C51,'-ref_Distribution'!$B$146:$B$150,'-ref_Distribution'!$G$146:$G$150)),RIGHT(BK$1,2))</f>
        <v>76</v>
      </c>
      <c r="BL51" s="16" cm="1">
        <f t="array" ref="BL51">INDEX(_xlfn.ANCHORARRAY(_xlfn.XLOOKUP($C51,'-ref_Distribution'!$B$146:$B$150,'-ref_Distribution'!$G$146:$G$150)),RIGHT(BL$1,2))</f>
        <v>709</v>
      </c>
      <c r="BM51" s="16" cm="1">
        <f t="array" ref="BM51">INDEX(_xlfn.ANCHORARRAY(_xlfn.XLOOKUP($C51,'-ref_Distribution'!$B$146:$B$150,'-ref_Distribution'!$G$146:$G$150)),RIGHT(BM$1,2))</f>
        <v>705</v>
      </c>
      <c r="BN51" s="16" cm="1">
        <f t="array" ref="BN51">INDEX(_xlfn.ANCHORARRAY(_xlfn.XLOOKUP($C51,'-ref_Distribution'!$B$146:$B$150,'-ref_Distribution'!$G$146:$G$150)),RIGHT(BN$1,2))</f>
        <v>692</v>
      </c>
      <c r="BO51" s="16" cm="1">
        <f t="array" ref="BO51">INDEX(_xlfn.ANCHORARRAY(_xlfn.XLOOKUP($C51,'-ref_Distribution'!$B$146:$B$150,'-ref_Distribution'!$G$146:$G$150)),RIGHT(BO$1,2))</f>
        <v>671</v>
      </c>
      <c r="BP51" s="16" cm="1">
        <f t="array" ref="BP51">INDEX(_xlfn.ANCHORARRAY(_xlfn.XLOOKUP($C51,'-ref_Distribution'!$B$146:$B$150,'-ref_Distribution'!$G$146:$G$150)),RIGHT(BP$1,2))</f>
        <v>643</v>
      </c>
      <c r="BQ51" s="16" cm="1">
        <f t="array" ref="BQ51">INDEX(_xlfn.ANCHORARRAY(_xlfn.XLOOKUP($C51,'-ref_Distribution'!$B$146:$B$150,'-ref_Distribution'!$G$146:$G$150)),RIGHT(BQ$1,2))</f>
        <v>608</v>
      </c>
      <c r="BR51" s="16" cm="1">
        <f t="array" ref="BR51">INDEX(_xlfn.ANCHORARRAY(_xlfn.XLOOKUP($C51,'-ref_Distribution'!$B$146:$B$150,'-ref_Distribution'!$G$146:$G$150)),RIGHT(BR$1,2))</f>
        <v>568</v>
      </c>
      <c r="BS51" s="16" cm="1">
        <f t="array" ref="BS51">INDEX(_xlfn.ANCHORARRAY(_xlfn.XLOOKUP($C51,'-ref_Distribution'!$B$146:$B$150,'-ref_Distribution'!$G$146:$G$150)),RIGHT(BS$1,2))</f>
        <v>524</v>
      </c>
      <c r="BT51" s="16" cm="1">
        <f t="array" ref="BT51">INDEX(_xlfn.ANCHORARRAY(_xlfn.XLOOKUP($C51,'-ref_Distribution'!$B$146:$B$150,'-ref_Distribution'!$G$146:$G$150)),RIGHT(BT$1,2))</f>
        <v>478</v>
      </c>
      <c r="BU51" s="16" cm="1">
        <f t="array" ref="BU51">INDEX(_xlfn.ANCHORARRAY(_xlfn.XLOOKUP($C51,'-ref_Distribution'!$B$146:$B$150,'-ref_Distribution'!$G$146:$G$150)),RIGHT(BU$1,2))</f>
        <v>430</v>
      </c>
      <c r="BV51" s="16" cm="1">
        <f t="array" ref="BV51">INDEX(_xlfn.ANCHORARRAY(_xlfn.XLOOKUP($C51,'-ref_Distribution'!$B$146:$B$150,'-ref_Distribution'!$G$146:$G$150)),RIGHT(BV$1,2))</f>
        <v>383</v>
      </c>
      <c r="BW51" s="16" cm="1">
        <f t="array" ref="BW51">INDEX(_xlfn.ANCHORARRAY(_xlfn.XLOOKUP($C51,'-ref_Distribution'!$B$146:$B$150,'-ref_Distribution'!$G$146:$G$150)),RIGHT(BW$1,2))</f>
        <v>336</v>
      </c>
      <c r="BX51" s="16" cm="1">
        <f t="array" ref="BX51">INDEX(_xlfn.ANCHORARRAY(_xlfn.XLOOKUP($C51,'-ref_Distribution'!$B$146:$B$150,'-ref_Distribution'!$G$146:$G$150)),RIGHT(BX$1,2))</f>
        <v>292</v>
      </c>
      <c r="BY51" s="16" cm="1">
        <f t="array" ref="BY51">INDEX(_xlfn.ANCHORARRAY(_xlfn.XLOOKUP($C51,'-ref_Distribution'!$B$146:$B$150,'-ref_Distribution'!$G$146:$G$150)),RIGHT(BY$1,2))</f>
        <v>250</v>
      </c>
      <c r="BZ51" s="16" cm="1">
        <f t="array" ref="BZ51">INDEX(_xlfn.ANCHORARRAY(_xlfn.XLOOKUP($C51,'-ref_Distribution'!$B$146:$B$150,'-ref_Distribution'!$G$146:$G$150)),RIGHT(BZ$1,2))</f>
        <v>212</v>
      </c>
      <c r="CA51" s="16" cm="1">
        <f t="array" ref="CA51">INDEX(_xlfn.ANCHORARRAY(_xlfn.XLOOKUP($C51,'-ref_Distribution'!$B$146:$B$150,'-ref_Distribution'!$G$146:$G$150)),RIGHT(CA$1,2))</f>
        <v>177</v>
      </c>
      <c r="CB51" s="16" cm="1">
        <f t="array" ref="CB51">INDEX(_xlfn.ANCHORARRAY(_xlfn.XLOOKUP($C51,'-ref_Distribution'!$B$146:$B$150,'-ref_Distribution'!$G$146:$G$150)),RIGHT(CB$1,2))</f>
        <v>146</v>
      </c>
      <c r="CC51" s="16" cm="1">
        <f t="array" ref="CC51">INDEX(_xlfn.ANCHORARRAY(_xlfn.XLOOKUP($C51,'-ref_Distribution'!$B$146:$B$150,'-ref_Distribution'!$G$146:$G$150)),RIGHT(CC$1,2))</f>
        <v>119</v>
      </c>
      <c r="CD51" s="16" cm="1">
        <f t="array" ref="CD51">INDEX(_xlfn.ANCHORARRAY(_xlfn.XLOOKUP($C51,'-ref_Distribution'!$B$146:$B$150,'-ref_Distribution'!$G$146:$G$150)),RIGHT(CD$1,2))</f>
        <v>96</v>
      </c>
      <c r="CE51" s="16" cm="1">
        <f t="array" ref="CE51">INDEX(_xlfn.ANCHORARRAY(_xlfn.XLOOKUP($C51,'-ref_Distribution'!$B$146:$B$150,'-ref_Distribution'!$G$146:$G$150)),RIGHT(CE$1,2))</f>
        <v>76</v>
      </c>
    </row>
    <row r="52" spans="1:83" x14ac:dyDescent="0.2">
      <c r="A52" s="16">
        <v>302042</v>
      </c>
      <c r="B52" s="16" t="s">
        <v>223</v>
      </c>
      <c r="C52" s="16">
        <v>1</v>
      </c>
      <c r="D52" s="16" cm="1">
        <f t="array" ref="D52">INDEX(_xlfn.ANCHORARRAY(_xlfn.XLOOKUP($C52,'-ref_Distribution'!$B$146:$B$150,'-ref_Distribution'!$G$146:$G$150)),RIGHT(D$1,2))</f>
        <v>337</v>
      </c>
      <c r="E52" s="16" cm="1">
        <f t="array" ref="E52">INDEX(_xlfn.ANCHORARRAY(_xlfn.XLOOKUP($C52,'-ref_Distribution'!$B$146:$B$150,'-ref_Distribution'!$G$146:$G$150)),RIGHT(E$1,2))</f>
        <v>364</v>
      </c>
      <c r="F52" s="16" cm="1">
        <f t="array" ref="F52">INDEX(_xlfn.ANCHORARRAY(_xlfn.XLOOKUP($C52,'-ref_Distribution'!$B$146:$B$150,'-ref_Distribution'!$G$146:$G$150)),RIGHT(F$1,2))</f>
        <v>386</v>
      </c>
      <c r="G52" s="16" cm="1">
        <f t="array" ref="G52">INDEX(_xlfn.ANCHORARRAY(_xlfn.XLOOKUP($C52,'-ref_Distribution'!$B$146:$B$150,'-ref_Distribution'!$G$146:$G$150)),RIGHT(G$1,2))</f>
        <v>403</v>
      </c>
      <c r="H52" s="16" cm="1">
        <f t="array" ref="H52">INDEX(_xlfn.ANCHORARRAY(_xlfn.XLOOKUP($C52,'-ref_Distribution'!$B$146:$B$150,'-ref_Distribution'!$G$146:$G$150)),RIGHT(H$1,2))</f>
        <v>414</v>
      </c>
      <c r="I52" s="16" cm="1">
        <f t="array" ref="I52">INDEX(_xlfn.ANCHORARRAY(_xlfn.XLOOKUP($C52,'-ref_Distribution'!$B$146:$B$150,'-ref_Distribution'!$G$146:$G$150)),RIGHT(I$1,2))</f>
        <v>417</v>
      </c>
      <c r="J52" s="16" cm="1">
        <f t="array" ref="J52">INDEX(_xlfn.ANCHORARRAY(_xlfn.XLOOKUP($C52,'-ref_Distribution'!$B$146:$B$150,'-ref_Distribution'!$G$146:$G$150)),RIGHT(J$1,2))</f>
        <v>414</v>
      </c>
      <c r="K52" s="16" cm="1">
        <f t="array" ref="K52">INDEX(_xlfn.ANCHORARRAY(_xlfn.XLOOKUP($C52,'-ref_Distribution'!$B$146:$B$150,'-ref_Distribution'!$G$146:$G$150)),RIGHT(K$1,2))</f>
        <v>403</v>
      </c>
      <c r="L52" s="16" cm="1">
        <f t="array" ref="L52">INDEX(_xlfn.ANCHORARRAY(_xlfn.XLOOKUP($C52,'-ref_Distribution'!$B$146:$B$150,'-ref_Distribution'!$G$146:$G$150)),RIGHT(L$1,2))</f>
        <v>386</v>
      </c>
      <c r="M52" s="16" cm="1">
        <f t="array" ref="M52">INDEX(_xlfn.ANCHORARRAY(_xlfn.XLOOKUP($C52,'-ref_Distribution'!$B$146:$B$150,'-ref_Distribution'!$G$146:$G$150)),RIGHT(M$1,2))</f>
        <v>364</v>
      </c>
      <c r="N52" s="16" cm="1">
        <f t="array" ref="N52">INDEX(_xlfn.ANCHORARRAY(_xlfn.XLOOKUP($C52,'-ref_Distribution'!$B$146:$B$150,'-ref_Distribution'!$G$146:$G$150)),RIGHT(N$1,2))</f>
        <v>337</v>
      </c>
      <c r="O52" s="16" cm="1">
        <f t="array" ref="O52">INDEX(_xlfn.ANCHORARRAY(_xlfn.XLOOKUP($C52,'-ref_Distribution'!$B$146:$B$150,'-ref_Distribution'!$G$146:$G$150)),RIGHT(O$1,2))</f>
        <v>307</v>
      </c>
      <c r="P52" s="16" cm="1">
        <f t="array" ref="P52">INDEX(_xlfn.ANCHORARRAY(_xlfn.XLOOKUP($C52,'-ref_Distribution'!$B$146:$B$150,'-ref_Distribution'!$G$146:$G$150)),RIGHT(P$1,2))</f>
        <v>274</v>
      </c>
      <c r="Q52" s="16" cm="1">
        <f t="array" ref="Q52">INDEX(_xlfn.ANCHORARRAY(_xlfn.XLOOKUP($C52,'-ref_Distribution'!$B$146:$B$150,'-ref_Distribution'!$G$146:$G$150)),RIGHT(Q$1,2))</f>
        <v>241</v>
      </c>
      <c r="R52" s="16" cm="1">
        <f t="array" ref="R52">INDEX(_xlfn.ANCHORARRAY(_xlfn.XLOOKUP($C52,'-ref_Distribution'!$B$146:$B$150,'-ref_Distribution'!$G$146:$G$150)),RIGHT(R$1,2))</f>
        <v>209</v>
      </c>
      <c r="S52" s="16" cm="1">
        <f t="array" ref="S52">INDEX(_xlfn.ANCHORARRAY(_xlfn.XLOOKUP($C52,'-ref_Distribution'!$B$146:$B$150,'-ref_Distribution'!$G$146:$G$150)),RIGHT(S$1,2))</f>
        <v>178</v>
      </c>
      <c r="T52" s="16" cm="1">
        <f t="array" ref="T52">INDEX(_xlfn.ANCHORARRAY(_xlfn.XLOOKUP($C52,'-ref_Distribution'!$B$146:$B$150,'-ref_Distribution'!$G$146:$G$150)),RIGHT(T$1,2))</f>
        <v>148</v>
      </c>
      <c r="U52" s="16" cm="1">
        <f t="array" ref="U52">INDEX(_xlfn.ANCHORARRAY(_xlfn.XLOOKUP($C52,'-ref_Distribution'!$B$146:$B$150,'-ref_Distribution'!$G$146:$G$150)),RIGHT(U$1,2))</f>
        <v>122</v>
      </c>
      <c r="V52" s="16" cm="1">
        <f t="array" ref="V52">INDEX(_xlfn.ANCHORARRAY(_xlfn.XLOOKUP($C52,'-ref_Distribution'!$B$146:$B$150,'-ref_Distribution'!$G$146:$G$150)),RIGHT(V$1,2))</f>
        <v>98</v>
      </c>
      <c r="W52" s="16" cm="1">
        <f t="array" ref="W52">INDEX(_xlfn.ANCHORARRAY(_xlfn.XLOOKUP($C52,'-ref_Distribution'!$B$146:$B$150,'-ref_Distribution'!$G$146:$G$150)),RIGHT(W$1,2))</f>
        <v>78</v>
      </c>
      <c r="X52" s="16" cm="1">
        <f t="array" ref="X52">INDEX(_xlfn.ANCHORARRAY(_xlfn.XLOOKUP($C52,'-ref_Distribution'!$B$146:$B$150,'-ref_Distribution'!$G$146:$G$150)),RIGHT(X$1,2))</f>
        <v>337</v>
      </c>
      <c r="Y52" s="16" cm="1">
        <f t="array" ref="Y52">INDEX(_xlfn.ANCHORARRAY(_xlfn.XLOOKUP($C52,'-ref_Distribution'!$B$146:$B$150,'-ref_Distribution'!$G$146:$G$150)),RIGHT(Y$1,2))</f>
        <v>364</v>
      </c>
      <c r="Z52" s="16" cm="1">
        <f t="array" ref="Z52">INDEX(_xlfn.ANCHORARRAY(_xlfn.XLOOKUP($C52,'-ref_Distribution'!$B$146:$B$150,'-ref_Distribution'!$G$146:$G$150)),RIGHT(Z$1,2))</f>
        <v>386</v>
      </c>
      <c r="AA52" s="16" cm="1">
        <f t="array" ref="AA52">INDEX(_xlfn.ANCHORARRAY(_xlfn.XLOOKUP($C52,'-ref_Distribution'!$B$146:$B$150,'-ref_Distribution'!$G$146:$G$150)),RIGHT(AA$1,2))</f>
        <v>403</v>
      </c>
      <c r="AB52" s="16" cm="1">
        <f t="array" ref="AB52">INDEX(_xlfn.ANCHORARRAY(_xlfn.XLOOKUP($C52,'-ref_Distribution'!$B$146:$B$150,'-ref_Distribution'!$G$146:$G$150)),RIGHT(AB$1,2))</f>
        <v>414</v>
      </c>
      <c r="AC52" s="16" cm="1">
        <f t="array" ref="AC52">INDEX(_xlfn.ANCHORARRAY(_xlfn.XLOOKUP($C52,'-ref_Distribution'!$B$146:$B$150,'-ref_Distribution'!$G$146:$G$150)),RIGHT(AC$1,2))</f>
        <v>417</v>
      </c>
      <c r="AD52" s="16" cm="1">
        <f t="array" ref="AD52">INDEX(_xlfn.ANCHORARRAY(_xlfn.XLOOKUP($C52,'-ref_Distribution'!$B$146:$B$150,'-ref_Distribution'!$G$146:$G$150)),RIGHT(AD$1,2))</f>
        <v>414</v>
      </c>
      <c r="AE52" s="16" cm="1">
        <f t="array" ref="AE52">INDEX(_xlfn.ANCHORARRAY(_xlfn.XLOOKUP($C52,'-ref_Distribution'!$B$146:$B$150,'-ref_Distribution'!$G$146:$G$150)),RIGHT(AE$1,2))</f>
        <v>403</v>
      </c>
      <c r="AF52" s="16" cm="1">
        <f t="array" ref="AF52">INDEX(_xlfn.ANCHORARRAY(_xlfn.XLOOKUP($C52,'-ref_Distribution'!$B$146:$B$150,'-ref_Distribution'!$G$146:$G$150)),RIGHT(AF$1,2))</f>
        <v>386</v>
      </c>
      <c r="AG52" s="16" cm="1">
        <f t="array" ref="AG52">INDEX(_xlfn.ANCHORARRAY(_xlfn.XLOOKUP($C52,'-ref_Distribution'!$B$146:$B$150,'-ref_Distribution'!$G$146:$G$150)),RIGHT(AG$1,2))</f>
        <v>364</v>
      </c>
      <c r="AH52" s="16" cm="1">
        <f t="array" ref="AH52">INDEX(_xlfn.ANCHORARRAY(_xlfn.XLOOKUP($C52,'-ref_Distribution'!$B$146:$B$150,'-ref_Distribution'!$G$146:$G$150)),RIGHT(AH$1,2))</f>
        <v>337</v>
      </c>
      <c r="AI52" s="16" cm="1">
        <f t="array" ref="AI52">INDEX(_xlfn.ANCHORARRAY(_xlfn.XLOOKUP($C52,'-ref_Distribution'!$B$146:$B$150,'-ref_Distribution'!$G$146:$G$150)),RIGHT(AI$1,2))</f>
        <v>307</v>
      </c>
      <c r="AJ52" s="16" cm="1">
        <f t="array" ref="AJ52">INDEX(_xlfn.ANCHORARRAY(_xlfn.XLOOKUP($C52,'-ref_Distribution'!$B$146:$B$150,'-ref_Distribution'!$G$146:$G$150)),RIGHT(AJ$1,2))</f>
        <v>274</v>
      </c>
      <c r="AK52" s="16" cm="1">
        <f t="array" ref="AK52">INDEX(_xlfn.ANCHORARRAY(_xlfn.XLOOKUP($C52,'-ref_Distribution'!$B$146:$B$150,'-ref_Distribution'!$G$146:$G$150)),RIGHT(AK$1,2))</f>
        <v>241</v>
      </c>
      <c r="AL52" s="16" cm="1">
        <f t="array" ref="AL52">INDEX(_xlfn.ANCHORARRAY(_xlfn.XLOOKUP($C52,'-ref_Distribution'!$B$146:$B$150,'-ref_Distribution'!$G$146:$G$150)),RIGHT(AL$1,2))</f>
        <v>209</v>
      </c>
      <c r="AM52" s="16" cm="1">
        <f t="array" ref="AM52">INDEX(_xlfn.ANCHORARRAY(_xlfn.XLOOKUP($C52,'-ref_Distribution'!$B$146:$B$150,'-ref_Distribution'!$G$146:$G$150)),RIGHT(AM$1,2))</f>
        <v>178</v>
      </c>
      <c r="AN52" s="16" cm="1">
        <f t="array" ref="AN52">INDEX(_xlfn.ANCHORARRAY(_xlfn.XLOOKUP($C52,'-ref_Distribution'!$B$146:$B$150,'-ref_Distribution'!$G$146:$G$150)),RIGHT(AN$1,2))</f>
        <v>148</v>
      </c>
      <c r="AO52" s="16" cm="1">
        <f t="array" ref="AO52">INDEX(_xlfn.ANCHORARRAY(_xlfn.XLOOKUP($C52,'-ref_Distribution'!$B$146:$B$150,'-ref_Distribution'!$G$146:$G$150)),RIGHT(AO$1,2))</f>
        <v>122</v>
      </c>
      <c r="AP52" s="16" cm="1">
        <f t="array" ref="AP52">INDEX(_xlfn.ANCHORARRAY(_xlfn.XLOOKUP($C52,'-ref_Distribution'!$B$146:$B$150,'-ref_Distribution'!$G$146:$G$150)),RIGHT(AP$1,2))</f>
        <v>98</v>
      </c>
      <c r="AQ52" s="16" cm="1">
        <f t="array" ref="AQ52">INDEX(_xlfn.ANCHORARRAY(_xlfn.XLOOKUP($C52,'-ref_Distribution'!$B$146:$B$150,'-ref_Distribution'!$G$146:$G$150)),RIGHT(AQ$1,2))</f>
        <v>78</v>
      </c>
      <c r="AR52" s="16" cm="1">
        <f t="array" ref="AR52">INDEX(_xlfn.ANCHORARRAY(_xlfn.XLOOKUP($C52,'-ref_Distribution'!$B$146:$B$150,'-ref_Distribution'!$G$146:$G$150)),RIGHT(AR$1,2))</f>
        <v>337</v>
      </c>
      <c r="AS52" s="16" cm="1">
        <f t="array" ref="AS52">INDEX(_xlfn.ANCHORARRAY(_xlfn.XLOOKUP($C52,'-ref_Distribution'!$B$146:$B$150,'-ref_Distribution'!$G$146:$G$150)),RIGHT(AS$1,2))</f>
        <v>364</v>
      </c>
      <c r="AT52" s="16" cm="1">
        <f t="array" ref="AT52">INDEX(_xlfn.ANCHORARRAY(_xlfn.XLOOKUP($C52,'-ref_Distribution'!$B$146:$B$150,'-ref_Distribution'!$G$146:$G$150)),RIGHT(AT$1,2))</f>
        <v>386</v>
      </c>
      <c r="AU52" s="16" cm="1">
        <f t="array" ref="AU52">INDEX(_xlfn.ANCHORARRAY(_xlfn.XLOOKUP($C52,'-ref_Distribution'!$B$146:$B$150,'-ref_Distribution'!$G$146:$G$150)),RIGHT(AU$1,2))</f>
        <v>403</v>
      </c>
      <c r="AV52" s="16" cm="1">
        <f t="array" ref="AV52">INDEX(_xlfn.ANCHORARRAY(_xlfn.XLOOKUP($C52,'-ref_Distribution'!$B$146:$B$150,'-ref_Distribution'!$G$146:$G$150)),RIGHT(AV$1,2))</f>
        <v>414</v>
      </c>
      <c r="AW52" s="16" cm="1">
        <f t="array" ref="AW52">INDEX(_xlfn.ANCHORARRAY(_xlfn.XLOOKUP($C52,'-ref_Distribution'!$B$146:$B$150,'-ref_Distribution'!$G$146:$G$150)),RIGHT(AW$1,2))</f>
        <v>417</v>
      </c>
      <c r="AX52" s="16" cm="1">
        <f t="array" ref="AX52">INDEX(_xlfn.ANCHORARRAY(_xlfn.XLOOKUP($C52,'-ref_Distribution'!$B$146:$B$150,'-ref_Distribution'!$G$146:$G$150)),RIGHT(AX$1,2))</f>
        <v>414</v>
      </c>
      <c r="AY52" s="16" cm="1">
        <f t="array" ref="AY52">INDEX(_xlfn.ANCHORARRAY(_xlfn.XLOOKUP($C52,'-ref_Distribution'!$B$146:$B$150,'-ref_Distribution'!$G$146:$G$150)),RIGHT(AY$1,2))</f>
        <v>403</v>
      </c>
      <c r="AZ52" s="16" cm="1">
        <f t="array" ref="AZ52">INDEX(_xlfn.ANCHORARRAY(_xlfn.XLOOKUP($C52,'-ref_Distribution'!$B$146:$B$150,'-ref_Distribution'!$G$146:$G$150)),RIGHT(AZ$1,2))</f>
        <v>386</v>
      </c>
      <c r="BA52" s="16" cm="1">
        <f t="array" ref="BA52">INDEX(_xlfn.ANCHORARRAY(_xlfn.XLOOKUP($C52,'-ref_Distribution'!$B$146:$B$150,'-ref_Distribution'!$G$146:$G$150)),RIGHT(BA$1,2))</f>
        <v>364</v>
      </c>
      <c r="BB52" s="16" cm="1">
        <f t="array" ref="BB52">INDEX(_xlfn.ANCHORARRAY(_xlfn.XLOOKUP($C52,'-ref_Distribution'!$B$146:$B$150,'-ref_Distribution'!$G$146:$G$150)),RIGHT(BB$1,2))</f>
        <v>337</v>
      </c>
      <c r="BC52" s="16" cm="1">
        <f t="array" ref="BC52">INDEX(_xlfn.ANCHORARRAY(_xlfn.XLOOKUP($C52,'-ref_Distribution'!$B$146:$B$150,'-ref_Distribution'!$G$146:$G$150)),RIGHT(BC$1,2))</f>
        <v>307</v>
      </c>
      <c r="BD52" s="16" cm="1">
        <f t="array" ref="BD52">INDEX(_xlfn.ANCHORARRAY(_xlfn.XLOOKUP($C52,'-ref_Distribution'!$B$146:$B$150,'-ref_Distribution'!$G$146:$G$150)),RIGHT(BD$1,2))</f>
        <v>274</v>
      </c>
      <c r="BE52" s="16" cm="1">
        <f t="array" ref="BE52">INDEX(_xlfn.ANCHORARRAY(_xlfn.XLOOKUP($C52,'-ref_Distribution'!$B$146:$B$150,'-ref_Distribution'!$G$146:$G$150)),RIGHT(BE$1,2))</f>
        <v>241</v>
      </c>
      <c r="BF52" s="16" cm="1">
        <f t="array" ref="BF52">INDEX(_xlfn.ANCHORARRAY(_xlfn.XLOOKUP($C52,'-ref_Distribution'!$B$146:$B$150,'-ref_Distribution'!$G$146:$G$150)),RIGHT(BF$1,2))</f>
        <v>209</v>
      </c>
      <c r="BG52" s="16" cm="1">
        <f t="array" ref="BG52">INDEX(_xlfn.ANCHORARRAY(_xlfn.XLOOKUP($C52,'-ref_Distribution'!$B$146:$B$150,'-ref_Distribution'!$G$146:$G$150)),RIGHT(BG$1,2))</f>
        <v>178</v>
      </c>
      <c r="BH52" s="16" cm="1">
        <f t="array" ref="BH52">INDEX(_xlfn.ANCHORARRAY(_xlfn.XLOOKUP($C52,'-ref_Distribution'!$B$146:$B$150,'-ref_Distribution'!$G$146:$G$150)),RIGHT(BH$1,2))</f>
        <v>148</v>
      </c>
      <c r="BI52" s="16" cm="1">
        <f t="array" ref="BI52">INDEX(_xlfn.ANCHORARRAY(_xlfn.XLOOKUP($C52,'-ref_Distribution'!$B$146:$B$150,'-ref_Distribution'!$G$146:$G$150)),RIGHT(BI$1,2))</f>
        <v>122</v>
      </c>
      <c r="BJ52" s="16" cm="1">
        <f t="array" ref="BJ52">INDEX(_xlfn.ANCHORARRAY(_xlfn.XLOOKUP($C52,'-ref_Distribution'!$B$146:$B$150,'-ref_Distribution'!$G$146:$G$150)),RIGHT(BJ$1,2))</f>
        <v>98</v>
      </c>
      <c r="BK52" s="16" cm="1">
        <f t="array" ref="BK52">INDEX(_xlfn.ANCHORARRAY(_xlfn.XLOOKUP($C52,'-ref_Distribution'!$B$146:$B$150,'-ref_Distribution'!$G$146:$G$150)),RIGHT(BK$1,2))</f>
        <v>78</v>
      </c>
      <c r="BL52" s="16" cm="1">
        <f t="array" ref="BL52">INDEX(_xlfn.ANCHORARRAY(_xlfn.XLOOKUP($C52,'-ref_Distribution'!$B$146:$B$150,'-ref_Distribution'!$G$146:$G$150)),RIGHT(BL$1,2))</f>
        <v>337</v>
      </c>
      <c r="BM52" s="16" cm="1">
        <f t="array" ref="BM52">INDEX(_xlfn.ANCHORARRAY(_xlfn.XLOOKUP($C52,'-ref_Distribution'!$B$146:$B$150,'-ref_Distribution'!$G$146:$G$150)),RIGHT(BM$1,2))</f>
        <v>364</v>
      </c>
      <c r="BN52" s="16" cm="1">
        <f t="array" ref="BN52">INDEX(_xlfn.ANCHORARRAY(_xlfn.XLOOKUP($C52,'-ref_Distribution'!$B$146:$B$150,'-ref_Distribution'!$G$146:$G$150)),RIGHT(BN$1,2))</f>
        <v>386</v>
      </c>
      <c r="BO52" s="16" cm="1">
        <f t="array" ref="BO52">INDEX(_xlfn.ANCHORARRAY(_xlfn.XLOOKUP($C52,'-ref_Distribution'!$B$146:$B$150,'-ref_Distribution'!$G$146:$G$150)),RIGHT(BO$1,2))</f>
        <v>403</v>
      </c>
      <c r="BP52" s="16" cm="1">
        <f t="array" ref="BP52">INDEX(_xlfn.ANCHORARRAY(_xlfn.XLOOKUP($C52,'-ref_Distribution'!$B$146:$B$150,'-ref_Distribution'!$G$146:$G$150)),RIGHT(BP$1,2))</f>
        <v>414</v>
      </c>
      <c r="BQ52" s="16" cm="1">
        <f t="array" ref="BQ52">INDEX(_xlfn.ANCHORARRAY(_xlfn.XLOOKUP($C52,'-ref_Distribution'!$B$146:$B$150,'-ref_Distribution'!$G$146:$G$150)),RIGHT(BQ$1,2))</f>
        <v>417</v>
      </c>
      <c r="BR52" s="16" cm="1">
        <f t="array" ref="BR52">INDEX(_xlfn.ANCHORARRAY(_xlfn.XLOOKUP($C52,'-ref_Distribution'!$B$146:$B$150,'-ref_Distribution'!$G$146:$G$150)),RIGHT(BR$1,2))</f>
        <v>414</v>
      </c>
      <c r="BS52" s="16" cm="1">
        <f t="array" ref="BS52">INDEX(_xlfn.ANCHORARRAY(_xlfn.XLOOKUP($C52,'-ref_Distribution'!$B$146:$B$150,'-ref_Distribution'!$G$146:$G$150)),RIGHT(BS$1,2))</f>
        <v>403</v>
      </c>
      <c r="BT52" s="16" cm="1">
        <f t="array" ref="BT52">INDEX(_xlfn.ANCHORARRAY(_xlfn.XLOOKUP($C52,'-ref_Distribution'!$B$146:$B$150,'-ref_Distribution'!$G$146:$G$150)),RIGHT(BT$1,2))</f>
        <v>386</v>
      </c>
      <c r="BU52" s="16" cm="1">
        <f t="array" ref="BU52">INDEX(_xlfn.ANCHORARRAY(_xlfn.XLOOKUP($C52,'-ref_Distribution'!$B$146:$B$150,'-ref_Distribution'!$G$146:$G$150)),RIGHT(BU$1,2))</f>
        <v>364</v>
      </c>
      <c r="BV52" s="16" cm="1">
        <f t="array" ref="BV52">INDEX(_xlfn.ANCHORARRAY(_xlfn.XLOOKUP($C52,'-ref_Distribution'!$B$146:$B$150,'-ref_Distribution'!$G$146:$G$150)),RIGHT(BV$1,2))</f>
        <v>337</v>
      </c>
      <c r="BW52" s="16" cm="1">
        <f t="array" ref="BW52">INDEX(_xlfn.ANCHORARRAY(_xlfn.XLOOKUP($C52,'-ref_Distribution'!$B$146:$B$150,'-ref_Distribution'!$G$146:$G$150)),RIGHT(BW$1,2))</f>
        <v>307</v>
      </c>
      <c r="BX52" s="16" cm="1">
        <f t="array" ref="BX52">INDEX(_xlfn.ANCHORARRAY(_xlfn.XLOOKUP($C52,'-ref_Distribution'!$B$146:$B$150,'-ref_Distribution'!$G$146:$G$150)),RIGHT(BX$1,2))</f>
        <v>274</v>
      </c>
      <c r="BY52" s="16" cm="1">
        <f t="array" ref="BY52">INDEX(_xlfn.ANCHORARRAY(_xlfn.XLOOKUP($C52,'-ref_Distribution'!$B$146:$B$150,'-ref_Distribution'!$G$146:$G$150)),RIGHT(BY$1,2))</f>
        <v>241</v>
      </c>
      <c r="BZ52" s="16" cm="1">
        <f t="array" ref="BZ52">INDEX(_xlfn.ANCHORARRAY(_xlfn.XLOOKUP($C52,'-ref_Distribution'!$B$146:$B$150,'-ref_Distribution'!$G$146:$G$150)),RIGHT(BZ$1,2))</f>
        <v>209</v>
      </c>
      <c r="CA52" s="16" cm="1">
        <f t="array" ref="CA52">INDEX(_xlfn.ANCHORARRAY(_xlfn.XLOOKUP($C52,'-ref_Distribution'!$B$146:$B$150,'-ref_Distribution'!$G$146:$G$150)),RIGHT(CA$1,2))</f>
        <v>178</v>
      </c>
      <c r="CB52" s="16" cm="1">
        <f t="array" ref="CB52">INDEX(_xlfn.ANCHORARRAY(_xlfn.XLOOKUP($C52,'-ref_Distribution'!$B$146:$B$150,'-ref_Distribution'!$G$146:$G$150)),RIGHT(CB$1,2))</f>
        <v>148</v>
      </c>
      <c r="CC52" s="16" cm="1">
        <f t="array" ref="CC52">INDEX(_xlfn.ANCHORARRAY(_xlfn.XLOOKUP($C52,'-ref_Distribution'!$B$146:$B$150,'-ref_Distribution'!$G$146:$G$150)),RIGHT(CC$1,2))</f>
        <v>122</v>
      </c>
      <c r="CD52" s="16" cm="1">
        <f t="array" ref="CD52">INDEX(_xlfn.ANCHORARRAY(_xlfn.XLOOKUP($C52,'-ref_Distribution'!$B$146:$B$150,'-ref_Distribution'!$G$146:$G$150)),RIGHT(CD$1,2))</f>
        <v>98</v>
      </c>
      <c r="CE52" s="16" cm="1">
        <f t="array" ref="CE52">INDEX(_xlfn.ANCHORARRAY(_xlfn.XLOOKUP($C52,'-ref_Distribution'!$B$146:$B$150,'-ref_Distribution'!$G$146:$G$150)),RIGHT(CE$1,2))</f>
        <v>78</v>
      </c>
    </row>
    <row r="53" spans="1:83" x14ac:dyDescent="0.2">
      <c r="A53" s="16">
        <v>302043</v>
      </c>
      <c r="B53" s="16" t="s">
        <v>223</v>
      </c>
      <c r="C53" s="16">
        <v>2</v>
      </c>
      <c r="D53" s="16" cm="1">
        <f t="array" ref="D53">INDEX(_xlfn.ANCHORARRAY(_xlfn.XLOOKUP($C53,'-ref_Distribution'!$B$146:$B$150,'-ref_Distribution'!$G$146:$G$150)),RIGHT(D$1,2))</f>
        <v>75</v>
      </c>
      <c r="E53" s="16" cm="1">
        <f t="array" ref="E53">INDEX(_xlfn.ANCHORARRAY(_xlfn.XLOOKUP($C53,'-ref_Distribution'!$B$146:$B$150,'-ref_Distribution'!$G$146:$G$150)),RIGHT(E$1,2))</f>
        <v>94</v>
      </c>
      <c r="F53" s="16" cm="1">
        <f t="array" ref="F53">INDEX(_xlfn.ANCHORARRAY(_xlfn.XLOOKUP($C53,'-ref_Distribution'!$B$146:$B$150,'-ref_Distribution'!$G$146:$G$150)),RIGHT(F$1,2))</f>
        <v>115</v>
      </c>
      <c r="G53" s="16" cm="1">
        <f t="array" ref="G53">INDEX(_xlfn.ANCHORARRAY(_xlfn.XLOOKUP($C53,'-ref_Distribution'!$B$146:$B$150,'-ref_Distribution'!$G$146:$G$150)),RIGHT(G$1,2))</f>
        <v>137</v>
      </c>
      <c r="H53" s="16" cm="1">
        <f t="array" ref="H53">INDEX(_xlfn.ANCHORARRAY(_xlfn.XLOOKUP($C53,'-ref_Distribution'!$B$146:$B$150,'-ref_Distribution'!$G$146:$G$150)),RIGHT(H$1,2))</f>
        <v>160</v>
      </c>
      <c r="I53" s="16" cm="1">
        <f t="array" ref="I53">INDEX(_xlfn.ANCHORARRAY(_xlfn.XLOOKUP($C53,'-ref_Distribution'!$B$146:$B$150,'-ref_Distribution'!$G$146:$G$150)),RIGHT(I$1,2))</f>
        <v>183</v>
      </c>
      <c r="J53" s="16" cm="1">
        <f t="array" ref="J53">INDEX(_xlfn.ANCHORARRAY(_xlfn.XLOOKUP($C53,'-ref_Distribution'!$B$146:$B$150,'-ref_Distribution'!$G$146:$G$150)),RIGHT(J$1,2))</f>
        <v>203</v>
      </c>
      <c r="K53" s="16" cm="1">
        <f t="array" ref="K53">INDEX(_xlfn.ANCHORARRAY(_xlfn.XLOOKUP($C53,'-ref_Distribution'!$B$146:$B$150,'-ref_Distribution'!$G$146:$G$150)),RIGHT(K$1,2))</f>
        <v>221</v>
      </c>
      <c r="L53" s="16" cm="1">
        <f t="array" ref="L53">INDEX(_xlfn.ANCHORARRAY(_xlfn.XLOOKUP($C53,'-ref_Distribution'!$B$146:$B$150,'-ref_Distribution'!$G$146:$G$150)),RIGHT(L$1,2))</f>
        <v>234</v>
      </c>
      <c r="M53" s="16" cm="1">
        <f t="array" ref="M53">INDEX(_xlfn.ANCHORARRAY(_xlfn.XLOOKUP($C53,'-ref_Distribution'!$B$146:$B$150,'-ref_Distribution'!$G$146:$G$150)),RIGHT(M$1,2))</f>
        <v>243</v>
      </c>
      <c r="N53" s="16" cm="1">
        <f t="array" ref="N53">INDEX(_xlfn.ANCHORARRAY(_xlfn.XLOOKUP($C53,'-ref_Distribution'!$B$146:$B$150,'-ref_Distribution'!$G$146:$G$150)),RIGHT(N$1,2))</f>
        <v>245</v>
      </c>
      <c r="O53" s="16" cm="1">
        <f t="array" ref="O53">INDEX(_xlfn.ANCHORARRAY(_xlfn.XLOOKUP($C53,'-ref_Distribution'!$B$146:$B$150,'-ref_Distribution'!$G$146:$G$150)),RIGHT(O$1,2))</f>
        <v>243</v>
      </c>
      <c r="P53" s="16" cm="1">
        <f t="array" ref="P53">INDEX(_xlfn.ANCHORARRAY(_xlfn.XLOOKUP($C53,'-ref_Distribution'!$B$146:$B$150,'-ref_Distribution'!$G$146:$G$150)),RIGHT(P$1,2))</f>
        <v>234</v>
      </c>
      <c r="Q53" s="16" cm="1">
        <f t="array" ref="Q53">INDEX(_xlfn.ANCHORARRAY(_xlfn.XLOOKUP($C53,'-ref_Distribution'!$B$146:$B$150,'-ref_Distribution'!$G$146:$G$150)),RIGHT(Q$1,2))</f>
        <v>221</v>
      </c>
      <c r="R53" s="16" cm="1">
        <f t="array" ref="R53">INDEX(_xlfn.ANCHORARRAY(_xlfn.XLOOKUP($C53,'-ref_Distribution'!$B$146:$B$150,'-ref_Distribution'!$G$146:$G$150)),RIGHT(R$1,2))</f>
        <v>203</v>
      </c>
      <c r="S53" s="16" cm="1">
        <f t="array" ref="S53">INDEX(_xlfn.ANCHORARRAY(_xlfn.XLOOKUP($C53,'-ref_Distribution'!$B$146:$B$150,'-ref_Distribution'!$G$146:$G$150)),RIGHT(S$1,2))</f>
        <v>183</v>
      </c>
      <c r="T53" s="16" cm="1">
        <f t="array" ref="T53">INDEX(_xlfn.ANCHORARRAY(_xlfn.XLOOKUP($C53,'-ref_Distribution'!$B$146:$B$150,'-ref_Distribution'!$G$146:$G$150)),RIGHT(T$1,2))</f>
        <v>160</v>
      </c>
      <c r="U53" s="16" cm="1">
        <f t="array" ref="U53">INDEX(_xlfn.ANCHORARRAY(_xlfn.XLOOKUP($C53,'-ref_Distribution'!$B$146:$B$150,'-ref_Distribution'!$G$146:$G$150)),RIGHT(U$1,2))</f>
        <v>137</v>
      </c>
      <c r="V53" s="16" cm="1">
        <f t="array" ref="V53">INDEX(_xlfn.ANCHORARRAY(_xlfn.XLOOKUP($C53,'-ref_Distribution'!$B$146:$B$150,'-ref_Distribution'!$G$146:$G$150)),RIGHT(V$1,2))</f>
        <v>115</v>
      </c>
      <c r="W53" s="16" cm="1">
        <f t="array" ref="W53">INDEX(_xlfn.ANCHORARRAY(_xlfn.XLOOKUP($C53,'-ref_Distribution'!$B$146:$B$150,'-ref_Distribution'!$G$146:$G$150)),RIGHT(W$1,2))</f>
        <v>94</v>
      </c>
      <c r="X53" s="16" cm="1">
        <f t="array" ref="X53">INDEX(_xlfn.ANCHORARRAY(_xlfn.XLOOKUP($C53,'-ref_Distribution'!$B$146:$B$150,'-ref_Distribution'!$G$146:$G$150)),RIGHT(X$1,2))</f>
        <v>75</v>
      </c>
      <c r="Y53" s="16" cm="1">
        <f t="array" ref="Y53">INDEX(_xlfn.ANCHORARRAY(_xlfn.XLOOKUP($C53,'-ref_Distribution'!$B$146:$B$150,'-ref_Distribution'!$G$146:$G$150)),RIGHT(Y$1,2))</f>
        <v>94</v>
      </c>
      <c r="Z53" s="16" cm="1">
        <f t="array" ref="Z53">INDEX(_xlfn.ANCHORARRAY(_xlfn.XLOOKUP($C53,'-ref_Distribution'!$B$146:$B$150,'-ref_Distribution'!$G$146:$G$150)),RIGHT(Z$1,2))</f>
        <v>115</v>
      </c>
      <c r="AA53" s="16" cm="1">
        <f t="array" ref="AA53">INDEX(_xlfn.ANCHORARRAY(_xlfn.XLOOKUP($C53,'-ref_Distribution'!$B$146:$B$150,'-ref_Distribution'!$G$146:$G$150)),RIGHT(AA$1,2))</f>
        <v>137</v>
      </c>
      <c r="AB53" s="16" cm="1">
        <f t="array" ref="AB53">INDEX(_xlfn.ANCHORARRAY(_xlfn.XLOOKUP($C53,'-ref_Distribution'!$B$146:$B$150,'-ref_Distribution'!$G$146:$G$150)),RIGHT(AB$1,2))</f>
        <v>160</v>
      </c>
      <c r="AC53" s="16" cm="1">
        <f t="array" ref="AC53">INDEX(_xlfn.ANCHORARRAY(_xlfn.XLOOKUP($C53,'-ref_Distribution'!$B$146:$B$150,'-ref_Distribution'!$G$146:$G$150)),RIGHT(AC$1,2))</f>
        <v>183</v>
      </c>
      <c r="AD53" s="16" cm="1">
        <f t="array" ref="AD53">INDEX(_xlfn.ANCHORARRAY(_xlfn.XLOOKUP($C53,'-ref_Distribution'!$B$146:$B$150,'-ref_Distribution'!$G$146:$G$150)),RIGHT(AD$1,2))</f>
        <v>203</v>
      </c>
      <c r="AE53" s="16" cm="1">
        <f t="array" ref="AE53">INDEX(_xlfn.ANCHORARRAY(_xlfn.XLOOKUP($C53,'-ref_Distribution'!$B$146:$B$150,'-ref_Distribution'!$G$146:$G$150)),RIGHT(AE$1,2))</f>
        <v>221</v>
      </c>
      <c r="AF53" s="16" cm="1">
        <f t="array" ref="AF53">INDEX(_xlfn.ANCHORARRAY(_xlfn.XLOOKUP($C53,'-ref_Distribution'!$B$146:$B$150,'-ref_Distribution'!$G$146:$G$150)),RIGHT(AF$1,2))</f>
        <v>234</v>
      </c>
      <c r="AG53" s="16" cm="1">
        <f t="array" ref="AG53">INDEX(_xlfn.ANCHORARRAY(_xlfn.XLOOKUP($C53,'-ref_Distribution'!$B$146:$B$150,'-ref_Distribution'!$G$146:$G$150)),RIGHT(AG$1,2))</f>
        <v>243</v>
      </c>
      <c r="AH53" s="16" cm="1">
        <f t="array" ref="AH53">INDEX(_xlfn.ANCHORARRAY(_xlfn.XLOOKUP($C53,'-ref_Distribution'!$B$146:$B$150,'-ref_Distribution'!$G$146:$G$150)),RIGHT(AH$1,2))</f>
        <v>245</v>
      </c>
      <c r="AI53" s="16" cm="1">
        <f t="array" ref="AI53">INDEX(_xlfn.ANCHORARRAY(_xlfn.XLOOKUP($C53,'-ref_Distribution'!$B$146:$B$150,'-ref_Distribution'!$G$146:$G$150)),RIGHT(AI$1,2))</f>
        <v>243</v>
      </c>
      <c r="AJ53" s="16" cm="1">
        <f t="array" ref="AJ53">INDEX(_xlfn.ANCHORARRAY(_xlfn.XLOOKUP($C53,'-ref_Distribution'!$B$146:$B$150,'-ref_Distribution'!$G$146:$G$150)),RIGHT(AJ$1,2))</f>
        <v>234</v>
      </c>
      <c r="AK53" s="16" cm="1">
        <f t="array" ref="AK53">INDEX(_xlfn.ANCHORARRAY(_xlfn.XLOOKUP($C53,'-ref_Distribution'!$B$146:$B$150,'-ref_Distribution'!$G$146:$G$150)),RIGHT(AK$1,2))</f>
        <v>221</v>
      </c>
      <c r="AL53" s="16" cm="1">
        <f t="array" ref="AL53">INDEX(_xlfn.ANCHORARRAY(_xlfn.XLOOKUP($C53,'-ref_Distribution'!$B$146:$B$150,'-ref_Distribution'!$G$146:$G$150)),RIGHT(AL$1,2))</f>
        <v>203</v>
      </c>
      <c r="AM53" s="16" cm="1">
        <f t="array" ref="AM53">INDEX(_xlfn.ANCHORARRAY(_xlfn.XLOOKUP($C53,'-ref_Distribution'!$B$146:$B$150,'-ref_Distribution'!$G$146:$G$150)),RIGHT(AM$1,2))</f>
        <v>183</v>
      </c>
      <c r="AN53" s="16" cm="1">
        <f t="array" ref="AN53">INDEX(_xlfn.ANCHORARRAY(_xlfn.XLOOKUP($C53,'-ref_Distribution'!$B$146:$B$150,'-ref_Distribution'!$G$146:$G$150)),RIGHT(AN$1,2))</f>
        <v>160</v>
      </c>
      <c r="AO53" s="16" cm="1">
        <f t="array" ref="AO53">INDEX(_xlfn.ANCHORARRAY(_xlfn.XLOOKUP($C53,'-ref_Distribution'!$B$146:$B$150,'-ref_Distribution'!$G$146:$G$150)),RIGHT(AO$1,2))</f>
        <v>137</v>
      </c>
      <c r="AP53" s="16" cm="1">
        <f t="array" ref="AP53">INDEX(_xlfn.ANCHORARRAY(_xlfn.XLOOKUP($C53,'-ref_Distribution'!$B$146:$B$150,'-ref_Distribution'!$G$146:$G$150)),RIGHT(AP$1,2))</f>
        <v>115</v>
      </c>
      <c r="AQ53" s="16" cm="1">
        <f t="array" ref="AQ53">INDEX(_xlfn.ANCHORARRAY(_xlfn.XLOOKUP($C53,'-ref_Distribution'!$B$146:$B$150,'-ref_Distribution'!$G$146:$G$150)),RIGHT(AQ$1,2))</f>
        <v>94</v>
      </c>
      <c r="AR53" s="16" cm="1">
        <f t="array" ref="AR53">INDEX(_xlfn.ANCHORARRAY(_xlfn.XLOOKUP($C53,'-ref_Distribution'!$B$146:$B$150,'-ref_Distribution'!$G$146:$G$150)),RIGHT(AR$1,2))</f>
        <v>75</v>
      </c>
      <c r="AS53" s="16" cm="1">
        <f t="array" ref="AS53">INDEX(_xlfn.ANCHORARRAY(_xlfn.XLOOKUP($C53,'-ref_Distribution'!$B$146:$B$150,'-ref_Distribution'!$G$146:$G$150)),RIGHT(AS$1,2))</f>
        <v>94</v>
      </c>
      <c r="AT53" s="16" cm="1">
        <f t="array" ref="AT53">INDEX(_xlfn.ANCHORARRAY(_xlfn.XLOOKUP($C53,'-ref_Distribution'!$B$146:$B$150,'-ref_Distribution'!$G$146:$G$150)),RIGHT(AT$1,2))</f>
        <v>115</v>
      </c>
      <c r="AU53" s="16" cm="1">
        <f t="array" ref="AU53">INDEX(_xlfn.ANCHORARRAY(_xlfn.XLOOKUP($C53,'-ref_Distribution'!$B$146:$B$150,'-ref_Distribution'!$G$146:$G$150)),RIGHT(AU$1,2))</f>
        <v>137</v>
      </c>
      <c r="AV53" s="16" cm="1">
        <f t="array" ref="AV53">INDEX(_xlfn.ANCHORARRAY(_xlfn.XLOOKUP($C53,'-ref_Distribution'!$B$146:$B$150,'-ref_Distribution'!$G$146:$G$150)),RIGHT(AV$1,2))</f>
        <v>160</v>
      </c>
      <c r="AW53" s="16" cm="1">
        <f t="array" ref="AW53">INDEX(_xlfn.ANCHORARRAY(_xlfn.XLOOKUP($C53,'-ref_Distribution'!$B$146:$B$150,'-ref_Distribution'!$G$146:$G$150)),RIGHT(AW$1,2))</f>
        <v>183</v>
      </c>
      <c r="AX53" s="16" cm="1">
        <f t="array" ref="AX53">INDEX(_xlfn.ANCHORARRAY(_xlfn.XLOOKUP($C53,'-ref_Distribution'!$B$146:$B$150,'-ref_Distribution'!$G$146:$G$150)),RIGHT(AX$1,2))</f>
        <v>203</v>
      </c>
      <c r="AY53" s="16" cm="1">
        <f t="array" ref="AY53">INDEX(_xlfn.ANCHORARRAY(_xlfn.XLOOKUP($C53,'-ref_Distribution'!$B$146:$B$150,'-ref_Distribution'!$G$146:$G$150)),RIGHT(AY$1,2))</f>
        <v>221</v>
      </c>
      <c r="AZ53" s="16" cm="1">
        <f t="array" ref="AZ53">INDEX(_xlfn.ANCHORARRAY(_xlfn.XLOOKUP($C53,'-ref_Distribution'!$B$146:$B$150,'-ref_Distribution'!$G$146:$G$150)),RIGHT(AZ$1,2))</f>
        <v>234</v>
      </c>
      <c r="BA53" s="16" cm="1">
        <f t="array" ref="BA53">INDEX(_xlfn.ANCHORARRAY(_xlfn.XLOOKUP($C53,'-ref_Distribution'!$B$146:$B$150,'-ref_Distribution'!$G$146:$G$150)),RIGHT(BA$1,2))</f>
        <v>243</v>
      </c>
      <c r="BB53" s="16" cm="1">
        <f t="array" ref="BB53">INDEX(_xlfn.ANCHORARRAY(_xlfn.XLOOKUP($C53,'-ref_Distribution'!$B$146:$B$150,'-ref_Distribution'!$G$146:$G$150)),RIGHT(BB$1,2))</f>
        <v>245</v>
      </c>
      <c r="BC53" s="16" cm="1">
        <f t="array" ref="BC53">INDEX(_xlfn.ANCHORARRAY(_xlfn.XLOOKUP($C53,'-ref_Distribution'!$B$146:$B$150,'-ref_Distribution'!$G$146:$G$150)),RIGHT(BC$1,2))</f>
        <v>243</v>
      </c>
      <c r="BD53" s="16" cm="1">
        <f t="array" ref="BD53">INDEX(_xlfn.ANCHORARRAY(_xlfn.XLOOKUP($C53,'-ref_Distribution'!$B$146:$B$150,'-ref_Distribution'!$G$146:$G$150)),RIGHT(BD$1,2))</f>
        <v>234</v>
      </c>
      <c r="BE53" s="16" cm="1">
        <f t="array" ref="BE53">INDEX(_xlfn.ANCHORARRAY(_xlfn.XLOOKUP($C53,'-ref_Distribution'!$B$146:$B$150,'-ref_Distribution'!$G$146:$G$150)),RIGHT(BE$1,2))</f>
        <v>221</v>
      </c>
      <c r="BF53" s="16" cm="1">
        <f t="array" ref="BF53">INDEX(_xlfn.ANCHORARRAY(_xlfn.XLOOKUP($C53,'-ref_Distribution'!$B$146:$B$150,'-ref_Distribution'!$G$146:$G$150)),RIGHT(BF$1,2))</f>
        <v>203</v>
      </c>
      <c r="BG53" s="16" cm="1">
        <f t="array" ref="BG53">INDEX(_xlfn.ANCHORARRAY(_xlfn.XLOOKUP($C53,'-ref_Distribution'!$B$146:$B$150,'-ref_Distribution'!$G$146:$G$150)),RIGHT(BG$1,2))</f>
        <v>183</v>
      </c>
      <c r="BH53" s="16" cm="1">
        <f t="array" ref="BH53">INDEX(_xlfn.ANCHORARRAY(_xlfn.XLOOKUP($C53,'-ref_Distribution'!$B$146:$B$150,'-ref_Distribution'!$G$146:$G$150)),RIGHT(BH$1,2))</f>
        <v>160</v>
      </c>
      <c r="BI53" s="16" cm="1">
        <f t="array" ref="BI53">INDEX(_xlfn.ANCHORARRAY(_xlfn.XLOOKUP($C53,'-ref_Distribution'!$B$146:$B$150,'-ref_Distribution'!$G$146:$G$150)),RIGHT(BI$1,2))</f>
        <v>137</v>
      </c>
      <c r="BJ53" s="16" cm="1">
        <f t="array" ref="BJ53">INDEX(_xlfn.ANCHORARRAY(_xlfn.XLOOKUP($C53,'-ref_Distribution'!$B$146:$B$150,'-ref_Distribution'!$G$146:$G$150)),RIGHT(BJ$1,2))</f>
        <v>115</v>
      </c>
      <c r="BK53" s="16" cm="1">
        <f t="array" ref="BK53">INDEX(_xlfn.ANCHORARRAY(_xlfn.XLOOKUP($C53,'-ref_Distribution'!$B$146:$B$150,'-ref_Distribution'!$G$146:$G$150)),RIGHT(BK$1,2))</f>
        <v>94</v>
      </c>
      <c r="BL53" s="16" cm="1">
        <f t="array" ref="BL53">INDEX(_xlfn.ANCHORARRAY(_xlfn.XLOOKUP($C53,'-ref_Distribution'!$B$146:$B$150,'-ref_Distribution'!$G$146:$G$150)),RIGHT(BL$1,2))</f>
        <v>75</v>
      </c>
      <c r="BM53" s="16" cm="1">
        <f t="array" ref="BM53">INDEX(_xlfn.ANCHORARRAY(_xlfn.XLOOKUP($C53,'-ref_Distribution'!$B$146:$B$150,'-ref_Distribution'!$G$146:$G$150)),RIGHT(BM$1,2))</f>
        <v>94</v>
      </c>
      <c r="BN53" s="16" cm="1">
        <f t="array" ref="BN53">INDEX(_xlfn.ANCHORARRAY(_xlfn.XLOOKUP($C53,'-ref_Distribution'!$B$146:$B$150,'-ref_Distribution'!$G$146:$G$150)),RIGHT(BN$1,2))</f>
        <v>115</v>
      </c>
      <c r="BO53" s="16" cm="1">
        <f t="array" ref="BO53">INDEX(_xlfn.ANCHORARRAY(_xlfn.XLOOKUP($C53,'-ref_Distribution'!$B$146:$B$150,'-ref_Distribution'!$G$146:$G$150)),RIGHT(BO$1,2))</f>
        <v>137</v>
      </c>
      <c r="BP53" s="16" cm="1">
        <f t="array" ref="BP53">INDEX(_xlfn.ANCHORARRAY(_xlfn.XLOOKUP($C53,'-ref_Distribution'!$B$146:$B$150,'-ref_Distribution'!$G$146:$G$150)),RIGHT(BP$1,2))</f>
        <v>160</v>
      </c>
      <c r="BQ53" s="16" cm="1">
        <f t="array" ref="BQ53">INDEX(_xlfn.ANCHORARRAY(_xlfn.XLOOKUP($C53,'-ref_Distribution'!$B$146:$B$150,'-ref_Distribution'!$G$146:$G$150)),RIGHT(BQ$1,2))</f>
        <v>183</v>
      </c>
      <c r="BR53" s="16" cm="1">
        <f t="array" ref="BR53">INDEX(_xlfn.ANCHORARRAY(_xlfn.XLOOKUP($C53,'-ref_Distribution'!$B$146:$B$150,'-ref_Distribution'!$G$146:$G$150)),RIGHT(BR$1,2))</f>
        <v>203</v>
      </c>
      <c r="BS53" s="16" cm="1">
        <f t="array" ref="BS53">INDEX(_xlfn.ANCHORARRAY(_xlfn.XLOOKUP($C53,'-ref_Distribution'!$B$146:$B$150,'-ref_Distribution'!$G$146:$G$150)),RIGHT(BS$1,2))</f>
        <v>221</v>
      </c>
      <c r="BT53" s="16" cm="1">
        <f t="array" ref="BT53">INDEX(_xlfn.ANCHORARRAY(_xlfn.XLOOKUP($C53,'-ref_Distribution'!$B$146:$B$150,'-ref_Distribution'!$G$146:$G$150)),RIGHT(BT$1,2))</f>
        <v>234</v>
      </c>
      <c r="BU53" s="16" cm="1">
        <f t="array" ref="BU53">INDEX(_xlfn.ANCHORARRAY(_xlfn.XLOOKUP($C53,'-ref_Distribution'!$B$146:$B$150,'-ref_Distribution'!$G$146:$G$150)),RIGHT(BU$1,2))</f>
        <v>243</v>
      </c>
      <c r="BV53" s="16" cm="1">
        <f t="array" ref="BV53">INDEX(_xlfn.ANCHORARRAY(_xlfn.XLOOKUP($C53,'-ref_Distribution'!$B$146:$B$150,'-ref_Distribution'!$G$146:$G$150)),RIGHT(BV$1,2))</f>
        <v>245</v>
      </c>
      <c r="BW53" s="16" cm="1">
        <f t="array" ref="BW53">INDEX(_xlfn.ANCHORARRAY(_xlfn.XLOOKUP($C53,'-ref_Distribution'!$B$146:$B$150,'-ref_Distribution'!$G$146:$G$150)),RIGHT(BW$1,2))</f>
        <v>243</v>
      </c>
      <c r="BX53" s="16" cm="1">
        <f t="array" ref="BX53">INDEX(_xlfn.ANCHORARRAY(_xlfn.XLOOKUP($C53,'-ref_Distribution'!$B$146:$B$150,'-ref_Distribution'!$G$146:$G$150)),RIGHT(BX$1,2))</f>
        <v>234</v>
      </c>
      <c r="BY53" s="16" cm="1">
        <f t="array" ref="BY53">INDEX(_xlfn.ANCHORARRAY(_xlfn.XLOOKUP($C53,'-ref_Distribution'!$B$146:$B$150,'-ref_Distribution'!$G$146:$G$150)),RIGHT(BY$1,2))</f>
        <v>221</v>
      </c>
      <c r="BZ53" s="16" cm="1">
        <f t="array" ref="BZ53">INDEX(_xlfn.ANCHORARRAY(_xlfn.XLOOKUP($C53,'-ref_Distribution'!$B$146:$B$150,'-ref_Distribution'!$G$146:$G$150)),RIGHT(BZ$1,2))</f>
        <v>203</v>
      </c>
      <c r="CA53" s="16" cm="1">
        <f t="array" ref="CA53">INDEX(_xlfn.ANCHORARRAY(_xlfn.XLOOKUP($C53,'-ref_Distribution'!$B$146:$B$150,'-ref_Distribution'!$G$146:$G$150)),RIGHT(CA$1,2))</f>
        <v>183</v>
      </c>
      <c r="CB53" s="16" cm="1">
        <f t="array" ref="CB53">INDEX(_xlfn.ANCHORARRAY(_xlfn.XLOOKUP($C53,'-ref_Distribution'!$B$146:$B$150,'-ref_Distribution'!$G$146:$G$150)),RIGHT(CB$1,2))</f>
        <v>160</v>
      </c>
      <c r="CC53" s="16" cm="1">
        <f t="array" ref="CC53">INDEX(_xlfn.ANCHORARRAY(_xlfn.XLOOKUP($C53,'-ref_Distribution'!$B$146:$B$150,'-ref_Distribution'!$G$146:$G$150)),RIGHT(CC$1,2))</f>
        <v>137</v>
      </c>
      <c r="CD53" s="16" cm="1">
        <f t="array" ref="CD53">INDEX(_xlfn.ANCHORARRAY(_xlfn.XLOOKUP($C53,'-ref_Distribution'!$B$146:$B$150,'-ref_Distribution'!$G$146:$G$150)),RIGHT(CD$1,2))</f>
        <v>115</v>
      </c>
      <c r="CE53" s="16" cm="1">
        <f t="array" ref="CE53">INDEX(_xlfn.ANCHORARRAY(_xlfn.XLOOKUP($C53,'-ref_Distribution'!$B$146:$B$150,'-ref_Distribution'!$G$146:$G$150)),RIGHT(CE$1,2))</f>
        <v>94</v>
      </c>
    </row>
    <row r="54" spans="1:83" x14ac:dyDescent="0.2">
      <c r="A54" s="16">
        <v>302044</v>
      </c>
      <c r="B54" s="16" t="s">
        <v>223</v>
      </c>
      <c r="C54" s="16">
        <v>3</v>
      </c>
      <c r="D54" s="16" cm="1">
        <f t="array" ref="D54">INDEX(_xlfn.ANCHORARRAY(_xlfn.XLOOKUP($C54,'-ref_Distribution'!$B$146:$B$150,'-ref_Distribution'!$G$146:$G$150)),RIGHT(D$1,2))</f>
        <v>4</v>
      </c>
      <c r="E54" s="16" cm="1">
        <f t="array" ref="E54">INDEX(_xlfn.ANCHORARRAY(_xlfn.XLOOKUP($C54,'-ref_Distribution'!$B$146:$B$150,'-ref_Distribution'!$G$146:$G$150)),RIGHT(E$1,2))</f>
        <v>6</v>
      </c>
      <c r="F54" s="16" cm="1">
        <f t="array" ref="F54">INDEX(_xlfn.ANCHORARRAY(_xlfn.XLOOKUP($C54,'-ref_Distribution'!$B$146:$B$150,'-ref_Distribution'!$G$146:$G$150)),RIGHT(F$1,2))</f>
        <v>9</v>
      </c>
      <c r="G54" s="16" cm="1">
        <f t="array" ref="G54">INDEX(_xlfn.ANCHORARRAY(_xlfn.XLOOKUP($C54,'-ref_Distribution'!$B$146:$B$150,'-ref_Distribution'!$G$146:$G$150)),RIGHT(G$1,2))</f>
        <v>14</v>
      </c>
      <c r="H54" s="16" cm="1">
        <f t="array" ref="H54">INDEX(_xlfn.ANCHORARRAY(_xlfn.XLOOKUP($C54,'-ref_Distribution'!$B$146:$B$150,'-ref_Distribution'!$G$146:$G$150)),RIGHT(H$1,2))</f>
        <v>20</v>
      </c>
      <c r="I54" s="16" cm="1">
        <f t="array" ref="I54">INDEX(_xlfn.ANCHORARRAY(_xlfn.XLOOKUP($C54,'-ref_Distribution'!$B$146:$B$150,'-ref_Distribution'!$G$146:$G$150)),RIGHT(I$1,2))</f>
        <v>28</v>
      </c>
      <c r="J54" s="16" cm="1">
        <f t="array" ref="J54">INDEX(_xlfn.ANCHORARRAY(_xlfn.XLOOKUP($C54,'-ref_Distribution'!$B$146:$B$150,'-ref_Distribution'!$G$146:$G$150)),RIGHT(J$1,2))</f>
        <v>38</v>
      </c>
      <c r="K54" s="16" cm="1">
        <f t="array" ref="K54">INDEX(_xlfn.ANCHORARRAY(_xlfn.XLOOKUP($C54,'-ref_Distribution'!$B$146:$B$150,'-ref_Distribution'!$G$146:$G$150)),RIGHT(K$1,2))</f>
        <v>51</v>
      </c>
      <c r="L54" s="16" cm="1">
        <f t="array" ref="L54">INDEX(_xlfn.ANCHORARRAY(_xlfn.XLOOKUP($C54,'-ref_Distribution'!$B$146:$B$150,'-ref_Distribution'!$G$146:$G$150)),RIGHT(L$1,2))</f>
        <v>65</v>
      </c>
      <c r="M54" s="16" cm="1">
        <f t="array" ref="M54">INDEX(_xlfn.ANCHORARRAY(_xlfn.XLOOKUP($C54,'-ref_Distribution'!$B$146:$B$150,'-ref_Distribution'!$G$146:$G$150)),RIGHT(M$1,2))</f>
        <v>80</v>
      </c>
      <c r="N54" s="16" cm="1">
        <f t="array" ref="N54">INDEX(_xlfn.ANCHORARRAY(_xlfn.XLOOKUP($C54,'-ref_Distribution'!$B$146:$B$150,'-ref_Distribution'!$G$146:$G$150)),RIGHT(N$1,2))</f>
        <v>96</v>
      </c>
      <c r="O54" s="16" cm="1">
        <f t="array" ref="O54">INDEX(_xlfn.ANCHORARRAY(_xlfn.XLOOKUP($C54,'-ref_Distribution'!$B$146:$B$150,'-ref_Distribution'!$G$146:$G$150)),RIGHT(O$1,2))</f>
        <v>111</v>
      </c>
      <c r="P54" s="16" cm="1">
        <f t="array" ref="P54">INDEX(_xlfn.ANCHORARRAY(_xlfn.XLOOKUP($C54,'-ref_Distribution'!$B$146:$B$150,'-ref_Distribution'!$G$146:$G$150)),RIGHT(P$1,2))</f>
        <v>125</v>
      </c>
      <c r="Q54" s="16" cm="1">
        <f t="array" ref="Q54">INDEX(_xlfn.ANCHORARRAY(_xlfn.XLOOKUP($C54,'-ref_Distribution'!$B$146:$B$150,'-ref_Distribution'!$G$146:$G$150)),RIGHT(Q$1,2))</f>
        <v>135</v>
      </c>
      <c r="R54" s="16" cm="1">
        <f t="array" ref="R54">INDEX(_xlfn.ANCHORARRAY(_xlfn.XLOOKUP($C54,'-ref_Distribution'!$B$146:$B$150,'-ref_Distribution'!$G$146:$G$150)),RIGHT(R$1,2))</f>
        <v>142</v>
      </c>
      <c r="S54" s="16" cm="1">
        <f t="array" ref="S54">INDEX(_xlfn.ANCHORARRAY(_xlfn.XLOOKUP($C54,'-ref_Distribution'!$B$146:$B$150,'-ref_Distribution'!$G$146:$G$150)),RIGHT(S$1,2))</f>
        <v>144</v>
      </c>
      <c r="T54" s="16" cm="1">
        <f t="array" ref="T54">INDEX(_xlfn.ANCHORARRAY(_xlfn.XLOOKUP($C54,'-ref_Distribution'!$B$146:$B$150,'-ref_Distribution'!$G$146:$G$150)),RIGHT(T$1,2))</f>
        <v>142</v>
      </c>
      <c r="U54" s="16" cm="1">
        <f t="array" ref="U54">INDEX(_xlfn.ANCHORARRAY(_xlfn.XLOOKUP($C54,'-ref_Distribution'!$B$146:$B$150,'-ref_Distribution'!$G$146:$G$150)),RIGHT(U$1,2))</f>
        <v>135</v>
      </c>
      <c r="V54" s="16" cm="1">
        <f t="array" ref="V54">INDEX(_xlfn.ANCHORARRAY(_xlfn.XLOOKUP($C54,'-ref_Distribution'!$B$146:$B$150,'-ref_Distribution'!$G$146:$G$150)),RIGHT(V$1,2))</f>
        <v>125</v>
      </c>
      <c r="W54" s="16" cm="1">
        <f t="array" ref="W54">INDEX(_xlfn.ANCHORARRAY(_xlfn.XLOOKUP($C54,'-ref_Distribution'!$B$146:$B$150,'-ref_Distribution'!$G$146:$G$150)),RIGHT(W$1,2))</f>
        <v>111</v>
      </c>
      <c r="X54" s="16" cm="1">
        <f t="array" ref="X54">INDEX(_xlfn.ANCHORARRAY(_xlfn.XLOOKUP($C54,'-ref_Distribution'!$B$146:$B$150,'-ref_Distribution'!$G$146:$G$150)),RIGHT(X$1,2))</f>
        <v>4</v>
      </c>
      <c r="Y54" s="16" cm="1">
        <f t="array" ref="Y54">INDEX(_xlfn.ANCHORARRAY(_xlfn.XLOOKUP($C54,'-ref_Distribution'!$B$146:$B$150,'-ref_Distribution'!$G$146:$G$150)),RIGHT(Y$1,2))</f>
        <v>6</v>
      </c>
      <c r="Z54" s="16" cm="1">
        <f t="array" ref="Z54">INDEX(_xlfn.ANCHORARRAY(_xlfn.XLOOKUP($C54,'-ref_Distribution'!$B$146:$B$150,'-ref_Distribution'!$G$146:$G$150)),RIGHT(Z$1,2))</f>
        <v>9</v>
      </c>
      <c r="AA54" s="16" cm="1">
        <f t="array" ref="AA54">INDEX(_xlfn.ANCHORARRAY(_xlfn.XLOOKUP($C54,'-ref_Distribution'!$B$146:$B$150,'-ref_Distribution'!$G$146:$G$150)),RIGHT(AA$1,2))</f>
        <v>14</v>
      </c>
      <c r="AB54" s="16" cm="1">
        <f t="array" ref="AB54">INDEX(_xlfn.ANCHORARRAY(_xlfn.XLOOKUP($C54,'-ref_Distribution'!$B$146:$B$150,'-ref_Distribution'!$G$146:$G$150)),RIGHT(AB$1,2))</f>
        <v>20</v>
      </c>
      <c r="AC54" s="16" cm="1">
        <f t="array" ref="AC54">INDEX(_xlfn.ANCHORARRAY(_xlfn.XLOOKUP($C54,'-ref_Distribution'!$B$146:$B$150,'-ref_Distribution'!$G$146:$G$150)),RIGHT(AC$1,2))</f>
        <v>28</v>
      </c>
      <c r="AD54" s="16" cm="1">
        <f t="array" ref="AD54">INDEX(_xlfn.ANCHORARRAY(_xlfn.XLOOKUP($C54,'-ref_Distribution'!$B$146:$B$150,'-ref_Distribution'!$G$146:$G$150)),RIGHT(AD$1,2))</f>
        <v>38</v>
      </c>
      <c r="AE54" s="16" cm="1">
        <f t="array" ref="AE54">INDEX(_xlfn.ANCHORARRAY(_xlfn.XLOOKUP($C54,'-ref_Distribution'!$B$146:$B$150,'-ref_Distribution'!$G$146:$G$150)),RIGHT(AE$1,2))</f>
        <v>51</v>
      </c>
      <c r="AF54" s="16" cm="1">
        <f t="array" ref="AF54">INDEX(_xlfn.ANCHORARRAY(_xlfn.XLOOKUP($C54,'-ref_Distribution'!$B$146:$B$150,'-ref_Distribution'!$G$146:$G$150)),RIGHT(AF$1,2))</f>
        <v>65</v>
      </c>
      <c r="AG54" s="16" cm="1">
        <f t="array" ref="AG54">INDEX(_xlfn.ANCHORARRAY(_xlfn.XLOOKUP($C54,'-ref_Distribution'!$B$146:$B$150,'-ref_Distribution'!$G$146:$G$150)),RIGHT(AG$1,2))</f>
        <v>80</v>
      </c>
      <c r="AH54" s="16" cm="1">
        <f t="array" ref="AH54">INDEX(_xlfn.ANCHORARRAY(_xlfn.XLOOKUP($C54,'-ref_Distribution'!$B$146:$B$150,'-ref_Distribution'!$G$146:$G$150)),RIGHT(AH$1,2))</f>
        <v>96</v>
      </c>
      <c r="AI54" s="16" cm="1">
        <f t="array" ref="AI54">INDEX(_xlfn.ANCHORARRAY(_xlfn.XLOOKUP($C54,'-ref_Distribution'!$B$146:$B$150,'-ref_Distribution'!$G$146:$G$150)),RIGHT(AI$1,2))</f>
        <v>111</v>
      </c>
      <c r="AJ54" s="16" cm="1">
        <f t="array" ref="AJ54">INDEX(_xlfn.ANCHORARRAY(_xlfn.XLOOKUP($C54,'-ref_Distribution'!$B$146:$B$150,'-ref_Distribution'!$G$146:$G$150)),RIGHT(AJ$1,2))</f>
        <v>125</v>
      </c>
      <c r="AK54" s="16" cm="1">
        <f t="array" ref="AK54">INDEX(_xlfn.ANCHORARRAY(_xlfn.XLOOKUP($C54,'-ref_Distribution'!$B$146:$B$150,'-ref_Distribution'!$G$146:$G$150)),RIGHT(AK$1,2))</f>
        <v>135</v>
      </c>
      <c r="AL54" s="16" cm="1">
        <f t="array" ref="AL54">INDEX(_xlfn.ANCHORARRAY(_xlfn.XLOOKUP($C54,'-ref_Distribution'!$B$146:$B$150,'-ref_Distribution'!$G$146:$G$150)),RIGHT(AL$1,2))</f>
        <v>142</v>
      </c>
      <c r="AM54" s="16" cm="1">
        <f t="array" ref="AM54">INDEX(_xlfn.ANCHORARRAY(_xlfn.XLOOKUP($C54,'-ref_Distribution'!$B$146:$B$150,'-ref_Distribution'!$G$146:$G$150)),RIGHT(AM$1,2))</f>
        <v>144</v>
      </c>
      <c r="AN54" s="16" cm="1">
        <f t="array" ref="AN54">INDEX(_xlfn.ANCHORARRAY(_xlfn.XLOOKUP($C54,'-ref_Distribution'!$B$146:$B$150,'-ref_Distribution'!$G$146:$G$150)),RIGHT(AN$1,2))</f>
        <v>142</v>
      </c>
      <c r="AO54" s="16" cm="1">
        <f t="array" ref="AO54">INDEX(_xlfn.ANCHORARRAY(_xlfn.XLOOKUP($C54,'-ref_Distribution'!$B$146:$B$150,'-ref_Distribution'!$G$146:$G$150)),RIGHT(AO$1,2))</f>
        <v>135</v>
      </c>
      <c r="AP54" s="16" cm="1">
        <f t="array" ref="AP54">INDEX(_xlfn.ANCHORARRAY(_xlfn.XLOOKUP($C54,'-ref_Distribution'!$B$146:$B$150,'-ref_Distribution'!$G$146:$G$150)),RIGHT(AP$1,2))</f>
        <v>125</v>
      </c>
      <c r="AQ54" s="16" cm="1">
        <f t="array" ref="AQ54">INDEX(_xlfn.ANCHORARRAY(_xlfn.XLOOKUP($C54,'-ref_Distribution'!$B$146:$B$150,'-ref_Distribution'!$G$146:$G$150)),RIGHT(AQ$1,2))</f>
        <v>111</v>
      </c>
      <c r="AR54" s="16" cm="1">
        <f t="array" ref="AR54">INDEX(_xlfn.ANCHORARRAY(_xlfn.XLOOKUP($C54,'-ref_Distribution'!$B$146:$B$150,'-ref_Distribution'!$G$146:$G$150)),RIGHT(AR$1,2))</f>
        <v>4</v>
      </c>
      <c r="AS54" s="16" cm="1">
        <f t="array" ref="AS54">INDEX(_xlfn.ANCHORARRAY(_xlfn.XLOOKUP($C54,'-ref_Distribution'!$B$146:$B$150,'-ref_Distribution'!$G$146:$G$150)),RIGHT(AS$1,2))</f>
        <v>6</v>
      </c>
      <c r="AT54" s="16" cm="1">
        <f t="array" ref="AT54">INDEX(_xlfn.ANCHORARRAY(_xlfn.XLOOKUP($C54,'-ref_Distribution'!$B$146:$B$150,'-ref_Distribution'!$G$146:$G$150)),RIGHT(AT$1,2))</f>
        <v>9</v>
      </c>
      <c r="AU54" s="16" cm="1">
        <f t="array" ref="AU54">INDEX(_xlfn.ANCHORARRAY(_xlfn.XLOOKUP($C54,'-ref_Distribution'!$B$146:$B$150,'-ref_Distribution'!$G$146:$G$150)),RIGHT(AU$1,2))</f>
        <v>14</v>
      </c>
      <c r="AV54" s="16" cm="1">
        <f t="array" ref="AV54">INDEX(_xlfn.ANCHORARRAY(_xlfn.XLOOKUP($C54,'-ref_Distribution'!$B$146:$B$150,'-ref_Distribution'!$G$146:$G$150)),RIGHT(AV$1,2))</f>
        <v>20</v>
      </c>
      <c r="AW54" s="16" cm="1">
        <f t="array" ref="AW54">INDEX(_xlfn.ANCHORARRAY(_xlfn.XLOOKUP($C54,'-ref_Distribution'!$B$146:$B$150,'-ref_Distribution'!$G$146:$G$150)),RIGHT(AW$1,2))</f>
        <v>28</v>
      </c>
      <c r="AX54" s="16" cm="1">
        <f t="array" ref="AX54">INDEX(_xlfn.ANCHORARRAY(_xlfn.XLOOKUP($C54,'-ref_Distribution'!$B$146:$B$150,'-ref_Distribution'!$G$146:$G$150)),RIGHT(AX$1,2))</f>
        <v>38</v>
      </c>
      <c r="AY54" s="16" cm="1">
        <f t="array" ref="AY54">INDEX(_xlfn.ANCHORARRAY(_xlfn.XLOOKUP($C54,'-ref_Distribution'!$B$146:$B$150,'-ref_Distribution'!$G$146:$G$150)),RIGHT(AY$1,2))</f>
        <v>51</v>
      </c>
      <c r="AZ54" s="16" cm="1">
        <f t="array" ref="AZ54">INDEX(_xlfn.ANCHORARRAY(_xlfn.XLOOKUP($C54,'-ref_Distribution'!$B$146:$B$150,'-ref_Distribution'!$G$146:$G$150)),RIGHT(AZ$1,2))</f>
        <v>65</v>
      </c>
      <c r="BA54" s="16" cm="1">
        <f t="array" ref="BA54">INDEX(_xlfn.ANCHORARRAY(_xlfn.XLOOKUP($C54,'-ref_Distribution'!$B$146:$B$150,'-ref_Distribution'!$G$146:$G$150)),RIGHT(BA$1,2))</f>
        <v>80</v>
      </c>
      <c r="BB54" s="16" cm="1">
        <f t="array" ref="BB54">INDEX(_xlfn.ANCHORARRAY(_xlfn.XLOOKUP($C54,'-ref_Distribution'!$B$146:$B$150,'-ref_Distribution'!$G$146:$G$150)),RIGHT(BB$1,2))</f>
        <v>96</v>
      </c>
      <c r="BC54" s="16" cm="1">
        <f t="array" ref="BC54">INDEX(_xlfn.ANCHORARRAY(_xlfn.XLOOKUP($C54,'-ref_Distribution'!$B$146:$B$150,'-ref_Distribution'!$G$146:$G$150)),RIGHT(BC$1,2))</f>
        <v>111</v>
      </c>
      <c r="BD54" s="16" cm="1">
        <f t="array" ref="BD54">INDEX(_xlfn.ANCHORARRAY(_xlfn.XLOOKUP($C54,'-ref_Distribution'!$B$146:$B$150,'-ref_Distribution'!$G$146:$G$150)),RIGHT(BD$1,2))</f>
        <v>125</v>
      </c>
      <c r="BE54" s="16" cm="1">
        <f t="array" ref="BE54">INDEX(_xlfn.ANCHORARRAY(_xlfn.XLOOKUP($C54,'-ref_Distribution'!$B$146:$B$150,'-ref_Distribution'!$G$146:$G$150)),RIGHT(BE$1,2))</f>
        <v>135</v>
      </c>
      <c r="BF54" s="16" cm="1">
        <f t="array" ref="BF54">INDEX(_xlfn.ANCHORARRAY(_xlfn.XLOOKUP($C54,'-ref_Distribution'!$B$146:$B$150,'-ref_Distribution'!$G$146:$G$150)),RIGHT(BF$1,2))</f>
        <v>142</v>
      </c>
      <c r="BG54" s="16" cm="1">
        <f t="array" ref="BG54">INDEX(_xlfn.ANCHORARRAY(_xlfn.XLOOKUP($C54,'-ref_Distribution'!$B$146:$B$150,'-ref_Distribution'!$G$146:$G$150)),RIGHT(BG$1,2))</f>
        <v>144</v>
      </c>
      <c r="BH54" s="16" cm="1">
        <f t="array" ref="BH54">INDEX(_xlfn.ANCHORARRAY(_xlfn.XLOOKUP($C54,'-ref_Distribution'!$B$146:$B$150,'-ref_Distribution'!$G$146:$G$150)),RIGHT(BH$1,2))</f>
        <v>142</v>
      </c>
      <c r="BI54" s="16" cm="1">
        <f t="array" ref="BI54">INDEX(_xlfn.ANCHORARRAY(_xlfn.XLOOKUP($C54,'-ref_Distribution'!$B$146:$B$150,'-ref_Distribution'!$G$146:$G$150)),RIGHT(BI$1,2))</f>
        <v>135</v>
      </c>
      <c r="BJ54" s="16" cm="1">
        <f t="array" ref="BJ54">INDEX(_xlfn.ANCHORARRAY(_xlfn.XLOOKUP($C54,'-ref_Distribution'!$B$146:$B$150,'-ref_Distribution'!$G$146:$G$150)),RIGHT(BJ$1,2))</f>
        <v>125</v>
      </c>
      <c r="BK54" s="16" cm="1">
        <f t="array" ref="BK54">INDEX(_xlfn.ANCHORARRAY(_xlfn.XLOOKUP($C54,'-ref_Distribution'!$B$146:$B$150,'-ref_Distribution'!$G$146:$G$150)),RIGHT(BK$1,2))</f>
        <v>111</v>
      </c>
      <c r="BL54" s="16" cm="1">
        <f t="array" ref="BL54">INDEX(_xlfn.ANCHORARRAY(_xlfn.XLOOKUP($C54,'-ref_Distribution'!$B$146:$B$150,'-ref_Distribution'!$G$146:$G$150)),RIGHT(BL$1,2))</f>
        <v>4</v>
      </c>
      <c r="BM54" s="16" cm="1">
        <f t="array" ref="BM54">INDEX(_xlfn.ANCHORARRAY(_xlfn.XLOOKUP($C54,'-ref_Distribution'!$B$146:$B$150,'-ref_Distribution'!$G$146:$G$150)),RIGHT(BM$1,2))</f>
        <v>6</v>
      </c>
      <c r="BN54" s="16" cm="1">
        <f t="array" ref="BN54">INDEX(_xlfn.ANCHORARRAY(_xlfn.XLOOKUP($C54,'-ref_Distribution'!$B$146:$B$150,'-ref_Distribution'!$G$146:$G$150)),RIGHT(BN$1,2))</f>
        <v>9</v>
      </c>
      <c r="BO54" s="16" cm="1">
        <f t="array" ref="BO54">INDEX(_xlfn.ANCHORARRAY(_xlfn.XLOOKUP($C54,'-ref_Distribution'!$B$146:$B$150,'-ref_Distribution'!$G$146:$G$150)),RIGHT(BO$1,2))</f>
        <v>14</v>
      </c>
      <c r="BP54" s="16" cm="1">
        <f t="array" ref="BP54">INDEX(_xlfn.ANCHORARRAY(_xlfn.XLOOKUP($C54,'-ref_Distribution'!$B$146:$B$150,'-ref_Distribution'!$G$146:$G$150)),RIGHT(BP$1,2))</f>
        <v>20</v>
      </c>
      <c r="BQ54" s="16" cm="1">
        <f t="array" ref="BQ54">INDEX(_xlfn.ANCHORARRAY(_xlfn.XLOOKUP($C54,'-ref_Distribution'!$B$146:$B$150,'-ref_Distribution'!$G$146:$G$150)),RIGHT(BQ$1,2))</f>
        <v>28</v>
      </c>
      <c r="BR54" s="16" cm="1">
        <f t="array" ref="BR54">INDEX(_xlfn.ANCHORARRAY(_xlfn.XLOOKUP($C54,'-ref_Distribution'!$B$146:$B$150,'-ref_Distribution'!$G$146:$G$150)),RIGHT(BR$1,2))</f>
        <v>38</v>
      </c>
      <c r="BS54" s="16" cm="1">
        <f t="array" ref="BS54">INDEX(_xlfn.ANCHORARRAY(_xlfn.XLOOKUP($C54,'-ref_Distribution'!$B$146:$B$150,'-ref_Distribution'!$G$146:$G$150)),RIGHT(BS$1,2))</f>
        <v>51</v>
      </c>
      <c r="BT54" s="16" cm="1">
        <f t="array" ref="BT54">INDEX(_xlfn.ANCHORARRAY(_xlfn.XLOOKUP($C54,'-ref_Distribution'!$B$146:$B$150,'-ref_Distribution'!$G$146:$G$150)),RIGHT(BT$1,2))</f>
        <v>65</v>
      </c>
      <c r="BU54" s="16" cm="1">
        <f t="array" ref="BU54">INDEX(_xlfn.ANCHORARRAY(_xlfn.XLOOKUP($C54,'-ref_Distribution'!$B$146:$B$150,'-ref_Distribution'!$G$146:$G$150)),RIGHT(BU$1,2))</f>
        <v>80</v>
      </c>
      <c r="BV54" s="16" cm="1">
        <f t="array" ref="BV54">INDEX(_xlfn.ANCHORARRAY(_xlfn.XLOOKUP($C54,'-ref_Distribution'!$B$146:$B$150,'-ref_Distribution'!$G$146:$G$150)),RIGHT(BV$1,2))</f>
        <v>96</v>
      </c>
      <c r="BW54" s="16" cm="1">
        <f t="array" ref="BW54">INDEX(_xlfn.ANCHORARRAY(_xlfn.XLOOKUP($C54,'-ref_Distribution'!$B$146:$B$150,'-ref_Distribution'!$G$146:$G$150)),RIGHT(BW$1,2))</f>
        <v>111</v>
      </c>
      <c r="BX54" s="16" cm="1">
        <f t="array" ref="BX54">INDEX(_xlfn.ANCHORARRAY(_xlfn.XLOOKUP($C54,'-ref_Distribution'!$B$146:$B$150,'-ref_Distribution'!$G$146:$G$150)),RIGHT(BX$1,2))</f>
        <v>125</v>
      </c>
      <c r="BY54" s="16" cm="1">
        <f t="array" ref="BY54">INDEX(_xlfn.ANCHORARRAY(_xlfn.XLOOKUP($C54,'-ref_Distribution'!$B$146:$B$150,'-ref_Distribution'!$G$146:$G$150)),RIGHT(BY$1,2))</f>
        <v>135</v>
      </c>
      <c r="BZ54" s="16" cm="1">
        <f t="array" ref="BZ54">INDEX(_xlfn.ANCHORARRAY(_xlfn.XLOOKUP($C54,'-ref_Distribution'!$B$146:$B$150,'-ref_Distribution'!$G$146:$G$150)),RIGHT(BZ$1,2))</f>
        <v>142</v>
      </c>
      <c r="CA54" s="16" cm="1">
        <f t="array" ref="CA54">INDEX(_xlfn.ANCHORARRAY(_xlfn.XLOOKUP($C54,'-ref_Distribution'!$B$146:$B$150,'-ref_Distribution'!$G$146:$G$150)),RIGHT(CA$1,2))</f>
        <v>144</v>
      </c>
      <c r="CB54" s="16" cm="1">
        <f t="array" ref="CB54">INDEX(_xlfn.ANCHORARRAY(_xlfn.XLOOKUP($C54,'-ref_Distribution'!$B$146:$B$150,'-ref_Distribution'!$G$146:$G$150)),RIGHT(CB$1,2))</f>
        <v>142</v>
      </c>
      <c r="CC54" s="16" cm="1">
        <f t="array" ref="CC54">INDEX(_xlfn.ANCHORARRAY(_xlfn.XLOOKUP($C54,'-ref_Distribution'!$B$146:$B$150,'-ref_Distribution'!$G$146:$G$150)),RIGHT(CC$1,2))</f>
        <v>135</v>
      </c>
      <c r="CD54" s="16" cm="1">
        <f t="array" ref="CD54">INDEX(_xlfn.ANCHORARRAY(_xlfn.XLOOKUP($C54,'-ref_Distribution'!$B$146:$B$150,'-ref_Distribution'!$G$146:$G$150)),RIGHT(CD$1,2))</f>
        <v>125</v>
      </c>
      <c r="CE54" s="16" cm="1">
        <f t="array" ref="CE54">INDEX(_xlfn.ANCHORARRAY(_xlfn.XLOOKUP($C54,'-ref_Distribution'!$B$146:$B$150,'-ref_Distribution'!$G$146:$G$150)),RIGHT(CE$1,2))</f>
        <v>111</v>
      </c>
    </row>
    <row r="55" spans="1:83" x14ac:dyDescent="0.2">
      <c r="A55" s="16">
        <v>302231</v>
      </c>
      <c r="B55" s="16" t="s">
        <v>204</v>
      </c>
      <c r="C55" s="16">
        <v>2</v>
      </c>
      <c r="D55" s="16" cm="1">
        <f t="array" ref="D55">INDEX(_xlfn.ANCHORARRAY(_xlfn.XLOOKUP($C55,'-ref_Distribution'!$B$146:$B$150,'-ref_Distribution'!$G$146:$G$150)),RIGHT(D$1,2))</f>
        <v>75</v>
      </c>
      <c r="E55" s="16" cm="1">
        <f t="array" ref="E55">INDEX(_xlfn.ANCHORARRAY(_xlfn.XLOOKUP($C55,'-ref_Distribution'!$B$146:$B$150,'-ref_Distribution'!$G$146:$G$150)),RIGHT(E$1,2))</f>
        <v>94</v>
      </c>
      <c r="F55" s="16" cm="1">
        <f t="array" ref="F55">INDEX(_xlfn.ANCHORARRAY(_xlfn.XLOOKUP($C55,'-ref_Distribution'!$B$146:$B$150,'-ref_Distribution'!$G$146:$G$150)),RIGHT(F$1,2))</f>
        <v>115</v>
      </c>
      <c r="G55" s="16" cm="1">
        <f t="array" ref="G55">INDEX(_xlfn.ANCHORARRAY(_xlfn.XLOOKUP($C55,'-ref_Distribution'!$B$146:$B$150,'-ref_Distribution'!$G$146:$G$150)),RIGHT(G$1,2))</f>
        <v>137</v>
      </c>
      <c r="H55" s="16" cm="1">
        <f t="array" ref="H55">INDEX(_xlfn.ANCHORARRAY(_xlfn.XLOOKUP($C55,'-ref_Distribution'!$B$146:$B$150,'-ref_Distribution'!$G$146:$G$150)),RIGHT(H$1,2))</f>
        <v>160</v>
      </c>
      <c r="I55" s="16" cm="1">
        <f t="array" ref="I55">INDEX(_xlfn.ANCHORARRAY(_xlfn.XLOOKUP($C55,'-ref_Distribution'!$B$146:$B$150,'-ref_Distribution'!$G$146:$G$150)),RIGHT(I$1,2))</f>
        <v>183</v>
      </c>
      <c r="J55" s="16" cm="1">
        <f t="array" ref="J55">INDEX(_xlfn.ANCHORARRAY(_xlfn.XLOOKUP($C55,'-ref_Distribution'!$B$146:$B$150,'-ref_Distribution'!$G$146:$G$150)),RIGHT(J$1,2))</f>
        <v>203</v>
      </c>
      <c r="K55" s="16" cm="1">
        <f t="array" ref="K55">INDEX(_xlfn.ANCHORARRAY(_xlfn.XLOOKUP($C55,'-ref_Distribution'!$B$146:$B$150,'-ref_Distribution'!$G$146:$G$150)),RIGHT(K$1,2))</f>
        <v>221</v>
      </c>
      <c r="L55" s="16" cm="1">
        <f t="array" ref="L55">INDEX(_xlfn.ANCHORARRAY(_xlfn.XLOOKUP($C55,'-ref_Distribution'!$B$146:$B$150,'-ref_Distribution'!$G$146:$G$150)),RIGHT(L$1,2))</f>
        <v>234</v>
      </c>
      <c r="M55" s="16" cm="1">
        <f t="array" ref="M55">INDEX(_xlfn.ANCHORARRAY(_xlfn.XLOOKUP($C55,'-ref_Distribution'!$B$146:$B$150,'-ref_Distribution'!$G$146:$G$150)),RIGHT(M$1,2))</f>
        <v>243</v>
      </c>
      <c r="N55" s="16" cm="1">
        <f t="array" ref="N55">INDEX(_xlfn.ANCHORARRAY(_xlfn.XLOOKUP($C55,'-ref_Distribution'!$B$146:$B$150,'-ref_Distribution'!$G$146:$G$150)),RIGHT(N$1,2))</f>
        <v>245</v>
      </c>
      <c r="O55" s="16" cm="1">
        <f t="array" ref="O55">INDEX(_xlfn.ANCHORARRAY(_xlfn.XLOOKUP($C55,'-ref_Distribution'!$B$146:$B$150,'-ref_Distribution'!$G$146:$G$150)),RIGHT(O$1,2))</f>
        <v>243</v>
      </c>
      <c r="P55" s="16" cm="1">
        <f t="array" ref="P55">INDEX(_xlfn.ANCHORARRAY(_xlfn.XLOOKUP($C55,'-ref_Distribution'!$B$146:$B$150,'-ref_Distribution'!$G$146:$G$150)),RIGHT(P$1,2))</f>
        <v>234</v>
      </c>
      <c r="Q55" s="16" cm="1">
        <f t="array" ref="Q55">INDEX(_xlfn.ANCHORARRAY(_xlfn.XLOOKUP($C55,'-ref_Distribution'!$B$146:$B$150,'-ref_Distribution'!$G$146:$G$150)),RIGHT(Q$1,2))</f>
        <v>221</v>
      </c>
      <c r="R55" s="16" cm="1">
        <f t="array" ref="R55">INDEX(_xlfn.ANCHORARRAY(_xlfn.XLOOKUP($C55,'-ref_Distribution'!$B$146:$B$150,'-ref_Distribution'!$G$146:$G$150)),RIGHT(R$1,2))</f>
        <v>203</v>
      </c>
      <c r="S55" s="16" cm="1">
        <f t="array" ref="S55">INDEX(_xlfn.ANCHORARRAY(_xlfn.XLOOKUP($C55,'-ref_Distribution'!$B$146:$B$150,'-ref_Distribution'!$G$146:$G$150)),RIGHT(S$1,2))</f>
        <v>183</v>
      </c>
      <c r="T55" s="16" cm="1">
        <f t="array" ref="T55">INDEX(_xlfn.ANCHORARRAY(_xlfn.XLOOKUP($C55,'-ref_Distribution'!$B$146:$B$150,'-ref_Distribution'!$G$146:$G$150)),RIGHT(T$1,2))</f>
        <v>160</v>
      </c>
      <c r="U55" s="16" cm="1">
        <f t="array" ref="U55">INDEX(_xlfn.ANCHORARRAY(_xlfn.XLOOKUP($C55,'-ref_Distribution'!$B$146:$B$150,'-ref_Distribution'!$G$146:$G$150)),RIGHT(U$1,2))</f>
        <v>137</v>
      </c>
      <c r="V55" s="16" cm="1">
        <f t="array" ref="V55">INDEX(_xlfn.ANCHORARRAY(_xlfn.XLOOKUP($C55,'-ref_Distribution'!$B$146:$B$150,'-ref_Distribution'!$G$146:$G$150)),RIGHT(V$1,2))</f>
        <v>115</v>
      </c>
      <c r="W55" s="16" cm="1">
        <f t="array" ref="W55">INDEX(_xlfn.ANCHORARRAY(_xlfn.XLOOKUP($C55,'-ref_Distribution'!$B$146:$B$150,'-ref_Distribution'!$G$146:$G$150)),RIGHT(W$1,2))</f>
        <v>94</v>
      </c>
      <c r="X55" s="16" cm="1">
        <f t="array" ref="X55">INDEX(_xlfn.ANCHORARRAY(_xlfn.XLOOKUP($C55,'-ref_Distribution'!$B$146:$B$150,'-ref_Distribution'!$G$146:$G$150)),RIGHT(X$1,2))</f>
        <v>75</v>
      </c>
      <c r="Y55" s="16" cm="1">
        <f t="array" ref="Y55">INDEX(_xlfn.ANCHORARRAY(_xlfn.XLOOKUP($C55,'-ref_Distribution'!$B$146:$B$150,'-ref_Distribution'!$G$146:$G$150)),RIGHT(Y$1,2))</f>
        <v>94</v>
      </c>
      <c r="Z55" s="16" cm="1">
        <f t="array" ref="Z55">INDEX(_xlfn.ANCHORARRAY(_xlfn.XLOOKUP($C55,'-ref_Distribution'!$B$146:$B$150,'-ref_Distribution'!$G$146:$G$150)),RIGHT(Z$1,2))</f>
        <v>115</v>
      </c>
      <c r="AA55" s="16" cm="1">
        <f t="array" ref="AA55">INDEX(_xlfn.ANCHORARRAY(_xlfn.XLOOKUP($C55,'-ref_Distribution'!$B$146:$B$150,'-ref_Distribution'!$G$146:$G$150)),RIGHT(AA$1,2))</f>
        <v>137</v>
      </c>
      <c r="AB55" s="16" cm="1">
        <f t="array" ref="AB55">INDEX(_xlfn.ANCHORARRAY(_xlfn.XLOOKUP($C55,'-ref_Distribution'!$B$146:$B$150,'-ref_Distribution'!$G$146:$G$150)),RIGHT(AB$1,2))</f>
        <v>160</v>
      </c>
      <c r="AC55" s="16" cm="1">
        <f t="array" ref="AC55">INDEX(_xlfn.ANCHORARRAY(_xlfn.XLOOKUP($C55,'-ref_Distribution'!$B$146:$B$150,'-ref_Distribution'!$G$146:$G$150)),RIGHT(AC$1,2))</f>
        <v>183</v>
      </c>
      <c r="AD55" s="16" cm="1">
        <f t="array" ref="AD55">INDEX(_xlfn.ANCHORARRAY(_xlfn.XLOOKUP($C55,'-ref_Distribution'!$B$146:$B$150,'-ref_Distribution'!$G$146:$G$150)),RIGHT(AD$1,2))</f>
        <v>203</v>
      </c>
      <c r="AE55" s="16" cm="1">
        <f t="array" ref="AE55">INDEX(_xlfn.ANCHORARRAY(_xlfn.XLOOKUP($C55,'-ref_Distribution'!$B$146:$B$150,'-ref_Distribution'!$G$146:$G$150)),RIGHT(AE$1,2))</f>
        <v>221</v>
      </c>
      <c r="AF55" s="16" cm="1">
        <f t="array" ref="AF55">INDEX(_xlfn.ANCHORARRAY(_xlfn.XLOOKUP($C55,'-ref_Distribution'!$B$146:$B$150,'-ref_Distribution'!$G$146:$G$150)),RIGHT(AF$1,2))</f>
        <v>234</v>
      </c>
      <c r="AG55" s="16" cm="1">
        <f t="array" ref="AG55">INDEX(_xlfn.ANCHORARRAY(_xlfn.XLOOKUP($C55,'-ref_Distribution'!$B$146:$B$150,'-ref_Distribution'!$G$146:$G$150)),RIGHT(AG$1,2))</f>
        <v>243</v>
      </c>
      <c r="AH55" s="16" cm="1">
        <f t="array" ref="AH55">INDEX(_xlfn.ANCHORARRAY(_xlfn.XLOOKUP($C55,'-ref_Distribution'!$B$146:$B$150,'-ref_Distribution'!$G$146:$G$150)),RIGHT(AH$1,2))</f>
        <v>245</v>
      </c>
      <c r="AI55" s="16" cm="1">
        <f t="array" ref="AI55">INDEX(_xlfn.ANCHORARRAY(_xlfn.XLOOKUP($C55,'-ref_Distribution'!$B$146:$B$150,'-ref_Distribution'!$G$146:$G$150)),RIGHT(AI$1,2))</f>
        <v>243</v>
      </c>
      <c r="AJ55" s="16" cm="1">
        <f t="array" ref="AJ55">INDEX(_xlfn.ANCHORARRAY(_xlfn.XLOOKUP($C55,'-ref_Distribution'!$B$146:$B$150,'-ref_Distribution'!$G$146:$G$150)),RIGHT(AJ$1,2))</f>
        <v>234</v>
      </c>
      <c r="AK55" s="16" cm="1">
        <f t="array" ref="AK55">INDEX(_xlfn.ANCHORARRAY(_xlfn.XLOOKUP($C55,'-ref_Distribution'!$B$146:$B$150,'-ref_Distribution'!$G$146:$G$150)),RIGHT(AK$1,2))</f>
        <v>221</v>
      </c>
      <c r="AL55" s="16" cm="1">
        <f t="array" ref="AL55">INDEX(_xlfn.ANCHORARRAY(_xlfn.XLOOKUP($C55,'-ref_Distribution'!$B$146:$B$150,'-ref_Distribution'!$G$146:$G$150)),RIGHT(AL$1,2))</f>
        <v>203</v>
      </c>
      <c r="AM55" s="16" cm="1">
        <f t="array" ref="AM55">INDEX(_xlfn.ANCHORARRAY(_xlfn.XLOOKUP($C55,'-ref_Distribution'!$B$146:$B$150,'-ref_Distribution'!$G$146:$G$150)),RIGHT(AM$1,2))</f>
        <v>183</v>
      </c>
      <c r="AN55" s="16" cm="1">
        <f t="array" ref="AN55">INDEX(_xlfn.ANCHORARRAY(_xlfn.XLOOKUP($C55,'-ref_Distribution'!$B$146:$B$150,'-ref_Distribution'!$G$146:$G$150)),RIGHT(AN$1,2))</f>
        <v>160</v>
      </c>
      <c r="AO55" s="16" cm="1">
        <f t="array" ref="AO55">INDEX(_xlfn.ANCHORARRAY(_xlfn.XLOOKUP($C55,'-ref_Distribution'!$B$146:$B$150,'-ref_Distribution'!$G$146:$G$150)),RIGHT(AO$1,2))</f>
        <v>137</v>
      </c>
      <c r="AP55" s="16" cm="1">
        <f t="array" ref="AP55">INDEX(_xlfn.ANCHORARRAY(_xlfn.XLOOKUP($C55,'-ref_Distribution'!$B$146:$B$150,'-ref_Distribution'!$G$146:$G$150)),RIGHT(AP$1,2))</f>
        <v>115</v>
      </c>
      <c r="AQ55" s="16" cm="1">
        <f t="array" ref="AQ55">INDEX(_xlfn.ANCHORARRAY(_xlfn.XLOOKUP($C55,'-ref_Distribution'!$B$146:$B$150,'-ref_Distribution'!$G$146:$G$150)),RIGHT(AQ$1,2))</f>
        <v>94</v>
      </c>
      <c r="AR55" s="16" cm="1">
        <f t="array" ref="AR55">INDEX(_xlfn.ANCHORARRAY(_xlfn.XLOOKUP($C55,'-ref_Distribution'!$B$146:$B$150,'-ref_Distribution'!$G$146:$G$150)),RIGHT(AR$1,2))</f>
        <v>75</v>
      </c>
      <c r="AS55" s="16" cm="1">
        <f t="array" ref="AS55">INDEX(_xlfn.ANCHORARRAY(_xlfn.XLOOKUP($C55,'-ref_Distribution'!$B$146:$B$150,'-ref_Distribution'!$G$146:$G$150)),RIGHT(AS$1,2))</f>
        <v>94</v>
      </c>
      <c r="AT55" s="16" cm="1">
        <f t="array" ref="AT55">INDEX(_xlfn.ANCHORARRAY(_xlfn.XLOOKUP($C55,'-ref_Distribution'!$B$146:$B$150,'-ref_Distribution'!$G$146:$G$150)),RIGHT(AT$1,2))</f>
        <v>115</v>
      </c>
      <c r="AU55" s="16" cm="1">
        <f t="array" ref="AU55">INDEX(_xlfn.ANCHORARRAY(_xlfn.XLOOKUP($C55,'-ref_Distribution'!$B$146:$B$150,'-ref_Distribution'!$G$146:$G$150)),RIGHT(AU$1,2))</f>
        <v>137</v>
      </c>
      <c r="AV55" s="16" cm="1">
        <f t="array" ref="AV55">INDEX(_xlfn.ANCHORARRAY(_xlfn.XLOOKUP($C55,'-ref_Distribution'!$B$146:$B$150,'-ref_Distribution'!$G$146:$G$150)),RIGHT(AV$1,2))</f>
        <v>160</v>
      </c>
      <c r="AW55" s="16" cm="1">
        <f t="array" ref="AW55">INDEX(_xlfn.ANCHORARRAY(_xlfn.XLOOKUP($C55,'-ref_Distribution'!$B$146:$B$150,'-ref_Distribution'!$G$146:$G$150)),RIGHT(AW$1,2))</f>
        <v>183</v>
      </c>
      <c r="AX55" s="16" cm="1">
        <f t="array" ref="AX55">INDEX(_xlfn.ANCHORARRAY(_xlfn.XLOOKUP($C55,'-ref_Distribution'!$B$146:$B$150,'-ref_Distribution'!$G$146:$G$150)),RIGHT(AX$1,2))</f>
        <v>203</v>
      </c>
      <c r="AY55" s="16" cm="1">
        <f t="array" ref="AY55">INDEX(_xlfn.ANCHORARRAY(_xlfn.XLOOKUP($C55,'-ref_Distribution'!$B$146:$B$150,'-ref_Distribution'!$G$146:$G$150)),RIGHT(AY$1,2))</f>
        <v>221</v>
      </c>
      <c r="AZ55" s="16" cm="1">
        <f t="array" ref="AZ55">INDEX(_xlfn.ANCHORARRAY(_xlfn.XLOOKUP($C55,'-ref_Distribution'!$B$146:$B$150,'-ref_Distribution'!$G$146:$G$150)),RIGHT(AZ$1,2))</f>
        <v>234</v>
      </c>
      <c r="BA55" s="16" cm="1">
        <f t="array" ref="BA55">INDEX(_xlfn.ANCHORARRAY(_xlfn.XLOOKUP($C55,'-ref_Distribution'!$B$146:$B$150,'-ref_Distribution'!$G$146:$G$150)),RIGHT(BA$1,2))</f>
        <v>243</v>
      </c>
      <c r="BB55" s="16" cm="1">
        <f t="array" ref="BB55">INDEX(_xlfn.ANCHORARRAY(_xlfn.XLOOKUP($C55,'-ref_Distribution'!$B$146:$B$150,'-ref_Distribution'!$G$146:$G$150)),RIGHT(BB$1,2))</f>
        <v>245</v>
      </c>
      <c r="BC55" s="16" cm="1">
        <f t="array" ref="BC55">INDEX(_xlfn.ANCHORARRAY(_xlfn.XLOOKUP($C55,'-ref_Distribution'!$B$146:$B$150,'-ref_Distribution'!$G$146:$G$150)),RIGHT(BC$1,2))</f>
        <v>243</v>
      </c>
      <c r="BD55" s="16" cm="1">
        <f t="array" ref="BD55">INDEX(_xlfn.ANCHORARRAY(_xlfn.XLOOKUP($C55,'-ref_Distribution'!$B$146:$B$150,'-ref_Distribution'!$G$146:$G$150)),RIGHT(BD$1,2))</f>
        <v>234</v>
      </c>
      <c r="BE55" s="16" cm="1">
        <f t="array" ref="BE55">INDEX(_xlfn.ANCHORARRAY(_xlfn.XLOOKUP($C55,'-ref_Distribution'!$B$146:$B$150,'-ref_Distribution'!$G$146:$G$150)),RIGHT(BE$1,2))</f>
        <v>221</v>
      </c>
      <c r="BF55" s="16" cm="1">
        <f t="array" ref="BF55">INDEX(_xlfn.ANCHORARRAY(_xlfn.XLOOKUP($C55,'-ref_Distribution'!$B$146:$B$150,'-ref_Distribution'!$G$146:$G$150)),RIGHT(BF$1,2))</f>
        <v>203</v>
      </c>
      <c r="BG55" s="16" cm="1">
        <f t="array" ref="BG55">INDEX(_xlfn.ANCHORARRAY(_xlfn.XLOOKUP($C55,'-ref_Distribution'!$B$146:$B$150,'-ref_Distribution'!$G$146:$G$150)),RIGHT(BG$1,2))</f>
        <v>183</v>
      </c>
      <c r="BH55" s="16" cm="1">
        <f t="array" ref="BH55">INDEX(_xlfn.ANCHORARRAY(_xlfn.XLOOKUP($C55,'-ref_Distribution'!$B$146:$B$150,'-ref_Distribution'!$G$146:$G$150)),RIGHT(BH$1,2))</f>
        <v>160</v>
      </c>
      <c r="BI55" s="16" cm="1">
        <f t="array" ref="BI55">INDEX(_xlfn.ANCHORARRAY(_xlfn.XLOOKUP($C55,'-ref_Distribution'!$B$146:$B$150,'-ref_Distribution'!$G$146:$G$150)),RIGHT(BI$1,2))</f>
        <v>137</v>
      </c>
      <c r="BJ55" s="16" cm="1">
        <f t="array" ref="BJ55">INDEX(_xlfn.ANCHORARRAY(_xlfn.XLOOKUP($C55,'-ref_Distribution'!$B$146:$B$150,'-ref_Distribution'!$G$146:$G$150)),RIGHT(BJ$1,2))</f>
        <v>115</v>
      </c>
      <c r="BK55" s="16" cm="1">
        <f t="array" ref="BK55">INDEX(_xlfn.ANCHORARRAY(_xlfn.XLOOKUP($C55,'-ref_Distribution'!$B$146:$B$150,'-ref_Distribution'!$G$146:$G$150)),RIGHT(BK$1,2))</f>
        <v>94</v>
      </c>
      <c r="BL55" s="16" cm="1">
        <f t="array" ref="BL55">INDEX(_xlfn.ANCHORARRAY(_xlfn.XLOOKUP($C55,'-ref_Distribution'!$B$146:$B$150,'-ref_Distribution'!$G$146:$G$150)),RIGHT(BL$1,2))</f>
        <v>75</v>
      </c>
      <c r="BM55" s="16" cm="1">
        <f t="array" ref="BM55">INDEX(_xlfn.ANCHORARRAY(_xlfn.XLOOKUP($C55,'-ref_Distribution'!$B$146:$B$150,'-ref_Distribution'!$G$146:$G$150)),RIGHT(BM$1,2))</f>
        <v>94</v>
      </c>
      <c r="BN55" s="16" cm="1">
        <f t="array" ref="BN55">INDEX(_xlfn.ANCHORARRAY(_xlfn.XLOOKUP($C55,'-ref_Distribution'!$B$146:$B$150,'-ref_Distribution'!$G$146:$G$150)),RIGHT(BN$1,2))</f>
        <v>115</v>
      </c>
      <c r="BO55" s="16" cm="1">
        <f t="array" ref="BO55">INDEX(_xlfn.ANCHORARRAY(_xlfn.XLOOKUP($C55,'-ref_Distribution'!$B$146:$B$150,'-ref_Distribution'!$G$146:$G$150)),RIGHT(BO$1,2))</f>
        <v>137</v>
      </c>
      <c r="BP55" s="16" cm="1">
        <f t="array" ref="BP55">INDEX(_xlfn.ANCHORARRAY(_xlfn.XLOOKUP($C55,'-ref_Distribution'!$B$146:$B$150,'-ref_Distribution'!$G$146:$G$150)),RIGHT(BP$1,2))</f>
        <v>160</v>
      </c>
      <c r="BQ55" s="16" cm="1">
        <f t="array" ref="BQ55">INDEX(_xlfn.ANCHORARRAY(_xlfn.XLOOKUP($C55,'-ref_Distribution'!$B$146:$B$150,'-ref_Distribution'!$G$146:$G$150)),RIGHT(BQ$1,2))</f>
        <v>183</v>
      </c>
      <c r="BR55" s="16" cm="1">
        <f t="array" ref="BR55">INDEX(_xlfn.ANCHORARRAY(_xlfn.XLOOKUP($C55,'-ref_Distribution'!$B$146:$B$150,'-ref_Distribution'!$G$146:$G$150)),RIGHT(BR$1,2))</f>
        <v>203</v>
      </c>
      <c r="BS55" s="16" cm="1">
        <f t="array" ref="BS55">INDEX(_xlfn.ANCHORARRAY(_xlfn.XLOOKUP($C55,'-ref_Distribution'!$B$146:$B$150,'-ref_Distribution'!$G$146:$G$150)),RIGHT(BS$1,2))</f>
        <v>221</v>
      </c>
      <c r="BT55" s="16" cm="1">
        <f t="array" ref="BT55">INDEX(_xlfn.ANCHORARRAY(_xlfn.XLOOKUP($C55,'-ref_Distribution'!$B$146:$B$150,'-ref_Distribution'!$G$146:$G$150)),RIGHT(BT$1,2))</f>
        <v>234</v>
      </c>
      <c r="BU55" s="16" cm="1">
        <f t="array" ref="BU55">INDEX(_xlfn.ANCHORARRAY(_xlfn.XLOOKUP($C55,'-ref_Distribution'!$B$146:$B$150,'-ref_Distribution'!$G$146:$G$150)),RIGHT(BU$1,2))</f>
        <v>243</v>
      </c>
      <c r="BV55" s="16" cm="1">
        <f t="array" ref="BV55">INDEX(_xlfn.ANCHORARRAY(_xlfn.XLOOKUP($C55,'-ref_Distribution'!$B$146:$B$150,'-ref_Distribution'!$G$146:$G$150)),RIGHT(BV$1,2))</f>
        <v>245</v>
      </c>
      <c r="BW55" s="16" cm="1">
        <f t="array" ref="BW55">INDEX(_xlfn.ANCHORARRAY(_xlfn.XLOOKUP($C55,'-ref_Distribution'!$B$146:$B$150,'-ref_Distribution'!$G$146:$G$150)),RIGHT(BW$1,2))</f>
        <v>243</v>
      </c>
      <c r="BX55" s="16" cm="1">
        <f t="array" ref="BX55">INDEX(_xlfn.ANCHORARRAY(_xlfn.XLOOKUP($C55,'-ref_Distribution'!$B$146:$B$150,'-ref_Distribution'!$G$146:$G$150)),RIGHT(BX$1,2))</f>
        <v>234</v>
      </c>
      <c r="BY55" s="16" cm="1">
        <f t="array" ref="BY55">INDEX(_xlfn.ANCHORARRAY(_xlfn.XLOOKUP($C55,'-ref_Distribution'!$B$146:$B$150,'-ref_Distribution'!$G$146:$G$150)),RIGHT(BY$1,2))</f>
        <v>221</v>
      </c>
      <c r="BZ55" s="16" cm="1">
        <f t="array" ref="BZ55">INDEX(_xlfn.ANCHORARRAY(_xlfn.XLOOKUP($C55,'-ref_Distribution'!$B$146:$B$150,'-ref_Distribution'!$G$146:$G$150)),RIGHT(BZ$1,2))</f>
        <v>203</v>
      </c>
      <c r="CA55" s="16" cm="1">
        <f t="array" ref="CA55">INDEX(_xlfn.ANCHORARRAY(_xlfn.XLOOKUP($C55,'-ref_Distribution'!$B$146:$B$150,'-ref_Distribution'!$G$146:$G$150)),RIGHT(CA$1,2))</f>
        <v>183</v>
      </c>
      <c r="CB55" s="16" cm="1">
        <f t="array" ref="CB55">INDEX(_xlfn.ANCHORARRAY(_xlfn.XLOOKUP($C55,'-ref_Distribution'!$B$146:$B$150,'-ref_Distribution'!$G$146:$G$150)),RIGHT(CB$1,2))</f>
        <v>160</v>
      </c>
      <c r="CC55" s="16" cm="1">
        <f t="array" ref="CC55">INDEX(_xlfn.ANCHORARRAY(_xlfn.XLOOKUP($C55,'-ref_Distribution'!$B$146:$B$150,'-ref_Distribution'!$G$146:$G$150)),RIGHT(CC$1,2))</f>
        <v>137</v>
      </c>
      <c r="CD55" s="16" cm="1">
        <f t="array" ref="CD55">INDEX(_xlfn.ANCHORARRAY(_xlfn.XLOOKUP($C55,'-ref_Distribution'!$B$146:$B$150,'-ref_Distribution'!$G$146:$G$150)),RIGHT(CD$1,2))</f>
        <v>115</v>
      </c>
      <c r="CE55" s="16" cm="1">
        <f t="array" ref="CE55">INDEX(_xlfn.ANCHORARRAY(_xlfn.XLOOKUP($C55,'-ref_Distribution'!$B$146:$B$150,'-ref_Distribution'!$G$146:$G$150)),RIGHT(CE$1,2))</f>
        <v>94</v>
      </c>
    </row>
    <row r="56" spans="1:83" x14ac:dyDescent="0.2">
      <c r="A56" s="16">
        <v>302232</v>
      </c>
      <c r="B56" s="16" t="s">
        <v>204</v>
      </c>
      <c r="C56" s="16">
        <v>3</v>
      </c>
      <c r="D56" s="16" cm="1">
        <f t="array" ref="D56">INDEX(_xlfn.ANCHORARRAY(_xlfn.XLOOKUP($C56,'-ref_Distribution'!$B$146:$B$150,'-ref_Distribution'!$G$146:$G$150)),RIGHT(D$1,2))</f>
        <v>4</v>
      </c>
      <c r="E56" s="16" cm="1">
        <f t="array" ref="E56">INDEX(_xlfn.ANCHORARRAY(_xlfn.XLOOKUP($C56,'-ref_Distribution'!$B$146:$B$150,'-ref_Distribution'!$G$146:$G$150)),RIGHT(E$1,2))</f>
        <v>6</v>
      </c>
      <c r="F56" s="16" cm="1">
        <f t="array" ref="F56">INDEX(_xlfn.ANCHORARRAY(_xlfn.XLOOKUP($C56,'-ref_Distribution'!$B$146:$B$150,'-ref_Distribution'!$G$146:$G$150)),RIGHT(F$1,2))</f>
        <v>9</v>
      </c>
      <c r="G56" s="16" cm="1">
        <f t="array" ref="G56">INDEX(_xlfn.ANCHORARRAY(_xlfn.XLOOKUP($C56,'-ref_Distribution'!$B$146:$B$150,'-ref_Distribution'!$G$146:$G$150)),RIGHT(G$1,2))</f>
        <v>14</v>
      </c>
      <c r="H56" s="16" cm="1">
        <f t="array" ref="H56">INDEX(_xlfn.ANCHORARRAY(_xlfn.XLOOKUP($C56,'-ref_Distribution'!$B$146:$B$150,'-ref_Distribution'!$G$146:$G$150)),RIGHT(H$1,2))</f>
        <v>20</v>
      </c>
      <c r="I56" s="16" cm="1">
        <f t="array" ref="I56">INDEX(_xlfn.ANCHORARRAY(_xlfn.XLOOKUP($C56,'-ref_Distribution'!$B$146:$B$150,'-ref_Distribution'!$G$146:$G$150)),RIGHT(I$1,2))</f>
        <v>28</v>
      </c>
      <c r="J56" s="16" cm="1">
        <f t="array" ref="J56">INDEX(_xlfn.ANCHORARRAY(_xlfn.XLOOKUP($C56,'-ref_Distribution'!$B$146:$B$150,'-ref_Distribution'!$G$146:$G$150)),RIGHT(J$1,2))</f>
        <v>38</v>
      </c>
      <c r="K56" s="16" cm="1">
        <f t="array" ref="K56">INDEX(_xlfn.ANCHORARRAY(_xlfn.XLOOKUP($C56,'-ref_Distribution'!$B$146:$B$150,'-ref_Distribution'!$G$146:$G$150)),RIGHT(K$1,2))</f>
        <v>51</v>
      </c>
      <c r="L56" s="16" cm="1">
        <f t="array" ref="L56">INDEX(_xlfn.ANCHORARRAY(_xlfn.XLOOKUP($C56,'-ref_Distribution'!$B$146:$B$150,'-ref_Distribution'!$G$146:$G$150)),RIGHT(L$1,2))</f>
        <v>65</v>
      </c>
      <c r="M56" s="16" cm="1">
        <f t="array" ref="M56">INDEX(_xlfn.ANCHORARRAY(_xlfn.XLOOKUP($C56,'-ref_Distribution'!$B$146:$B$150,'-ref_Distribution'!$G$146:$G$150)),RIGHT(M$1,2))</f>
        <v>80</v>
      </c>
      <c r="N56" s="16" cm="1">
        <f t="array" ref="N56">INDEX(_xlfn.ANCHORARRAY(_xlfn.XLOOKUP($C56,'-ref_Distribution'!$B$146:$B$150,'-ref_Distribution'!$G$146:$G$150)),RIGHT(N$1,2))</f>
        <v>96</v>
      </c>
      <c r="O56" s="16" cm="1">
        <f t="array" ref="O56">INDEX(_xlfn.ANCHORARRAY(_xlfn.XLOOKUP($C56,'-ref_Distribution'!$B$146:$B$150,'-ref_Distribution'!$G$146:$G$150)),RIGHT(O$1,2))</f>
        <v>111</v>
      </c>
      <c r="P56" s="16" cm="1">
        <f t="array" ref="P56">INDEX(_xlfn.ANCHORARRAY(_xlfn.XLOOKUP($C56,'-ref_Distribution'!$B$146:$B$150,'-ref_Distribution'!$G$146:$G$150)),RIGHT(P$1,2))</f>
        <v>125</v>
      </c>
      <c r="Q56" s="16" cm="1">
        <f t="array" ref="Q56">INDEX(_xlfn.ANCHORARRAY(_xlfn.XLOOKUP($C56,'-ref_Distribution'!$B$146:$B$150,'-ref_Distribution'!$G$146:$G$150)),RIGHT(Q$1,2))</f>
        <v>135</v>
      </c>
      <c r="R56" s="16" cm="1">
        <f t="array" ref="R56">INDEX(_xlfn.ANCHORARRAY(_xlfn.XLOOKUP($C56,'-ref_Distribution'!$B$146:$B$150,'-ref_Distribution'!$G$146:$G$150)),RIGHT(R$1,2))</f>
        <v>142</v>
      </c>
      <c r="S56" s="16" cm="1">
        <f t="array" ref="S56">INDEX(_xlfn.ANCHORARRAY(_xlfn.XLOOKUP($C56,'-ref_Distribution'!$B$146:$B$150,'-ref_Distribution'!$G$146:$G$150)),RIGHT(S$1,2))</f>
        <v>144</v>
      </c>
      <c r="T56" s="16" cm="1">
        <f t="array" ref="T56">INDEX(_xlfn.ANCHORARRAY(_xlfn.XLOOKUP($C56,'-ref_Distribution'!$B$146:$B$150,'-ref_Distribution'!$G$146:$G$150)),RIGHT(T$1,2))</f>
        <v>142</v>
      </c>
      <c r="U56" s="16" cm="1">
        <f t="array" ref="U56">INDEX(_xlfn.ANCHORARRAY(_xlfn.XLOOKUP($C56,'-ref_Distribution'!$B$146:$B$150,'-ref_Distribution'!$G$146:$G$150)),RIGHT(U$1,2))</f>
        <v>135</v>
      </c>
      <c r="V56" s="16" cm="1">
        <f t="array" ref="V56">INDEX(_xlfn.ANCHORARRAY(_xlfn.XLOOKUP($C56,'-ref_Distribution'!$B$146:$B$150,'-ref_Distribution'!$G$146:$G$150)),RIGHT(V$1,2))</f>
        <v>125</v>
      </c>
      <c r="W56" s="16" cm="1">
        <f t="array" ref="W56">INDEX(_xlfn.ANCHORARRAY(_xlfn.XLOOKUP($C56,'-ref_Distribution'!$B$146:$B$150,'-ref_Distribution'!$G$146:$G$150)),RIGHT(W$1,2))</f>
        <v>111</v>
      </c>
      <c r="X56" s="16" cm="1">
        <f t="array" ref="X56">INDEX(_xlfn.ANCHORARRAY(_xlfn.XLOOKUP($C56,'-ref_Distribution'!$B$146:$B$150,'-ref_Distribution'!$G$146:$G$150)),RIGHT(X$1,2))</f>
        <v>4</v>
      </c>
      <c r="Y56" s="16" cm="1">
        <f t="array" ref="Y56">INDEX(_xlfn.ANCHORARRAY(_xlfn.XLOOKUP($C56,'-ref_Distribution'!$B$146:$B$150,'-ref_Distribution'!$G$146:$G$150)),RIGHT(Y$1,2))</f>
        <v>6</v>
      </c>
      <c r="Z56" s="16" cm="1">
        <f t="array" ref="Z56">INDEX(_xlfn.ANCHORARRAY(_xlfn.XLOOKUP($C56,'-ref_Distribution'!$B$146:$B$150,'-ref_Distribution'!$G$146:$G$150)),RIGHT(Z$1,2))</f>
        <v>9</v>
      </c>
      <c r="AA56" s="16" cm="1">
        <f t="array" ref="AA56">INDEX(_xlfn.ANCHORARRAY(_xlfn.XLOOKUP($C56,'-ref_Distribution'!$B$146:$B$150,'-ref_Distribution'!$G$146:$G$150)),RIGHT(AA$1,2))</f>
        <v>14</v>
      </c>
      <c r="AB56" s="16" cm="1">
        <f t="array" ref="AB56">INDEX(_xlfn.ANCHORARRAY(_xlfn.XLOOKUP($C56,'-ref_Distribution'!$B$146:$B$150,'-ref_Distribution'!$G$146:$G$150)),RIGHT(AB$1,2))</f>
        <v>20</v>
      </c>
      <c r="AC56" s="16" cm="1">
        <f t="array" ref="AC56">INDEX(_xlfn.ANCHORARRAY(_xlfn.XLOOKUP($C56,'-ref_Distribution'!$B$146:$B$150,'-ref_Distribution'!$G$146:$G$150)),RIGHT(AC$1,2))</f>
        <v>28</v>
      </c>
      <c r="AD56" s="16" cm="1">
        <f t="array" ref="AD56">INDEX(_xlfn.ANCHORARRAY(_xlfn.XLOOKUP($C56,'-ref_Distribution'!$B$146:$B$150,'-ref_Distribution'!$G$146:$G$150)),RIGHT(AD$1,2))</f>
        <v>38</v>
      </c>
      <c r="AE56" s="16" cm="1">
        <f t="array" ref="AE56">INDEX(_xlfn.ANCHORARRAY(_xlfn.XLOOKUP($C56,'-ref_Distribution'!$B$146:$B$150,'-ref_Distribution'!$G$146:$G$150)),RIGHT(AE$1,2))</f>
        <v>51</v>
      </c>
      <c r="AF56" s="16" cm="1">
        <f t="array" ref="AF56">INDEX(_xlfn.ANCHORARRAY(_xlfn.XLOOKUP($C56,'-ref_Distribution'!$B$146:$B$150,'-ref_Distribution'!$G$146:$G$150)),RIGHT(AF$1,2))</f>
        <v>65</v>
      </c>
      <c r="AG56" s="16" cm="1">
        <f t="array" ref="AG56">INDEX(_xlfn.ANCHORARRAY(_xlfn.XLOOKUP($C56,'-ref_Distribution'!$B$146:$B$150,'-ref_Distribution'!$G$146:$G$150)),RIGHT(AG$1,2))</f>
        <v>80</v>
      </c>
      <c r="AH56" s="16" cm="1">
        <f t="array" ref="AH56">INDEX(_xlfn.ANCHORARRAY(_xlfn.XLOOKUP($C56,'-ref_Distribution'!$B$146:$B$150,'-ref_Distribution'!$G$146:$G$150)),RIGHT(AH$1,2))</f>
        <v>96</v>
      </c>
      <c r="AI56" s="16" cm="1">
        <f t="array" ref="AI56">INDEX(_xlfn.ANCHORARRAY(_xlfn.XLOOKUP($C56,'-ref_Distribution'!$B$146:$B$150,'-ref_Distribution'!$G$146:$G$150)),RIGHT(AI$1,2))</f>
        <v>111</v>
      </c>
      <c r="AJ56" s="16" cm="1">
        <f t="array" ref="AJ56">INDEX(_xlfn.ANCHORARRAY(_xlfn.XLOOKUP($C56,'-ref_Distribution'!$B$146:$B$150,'-ref_Distribution'!$G$146:$G$150)),RIGHT(AJ$1,2))</f>
        <v>125</v>
      </c>
      <c r="AK56" s="16" cm="1">
        <f t="array" ref="AK56">INDEX(_xlfn.ANCHORARRAY(_xlfn.XLOOKUP($C56,'-ref_Distribution'!$B$146:$B$150,'-ref_Distribution'!$G$146:$G$150)),RIGHT(AK$1,2))</f>
        <v>135</v>
      </c>
      <c r="AL56" s="16" cm="1">
        <f t="array" ref="AL56">INDEX(_xlfn.ANCHORARRAY(_xlfn.XLOOKUP($C56,'-ref_Distribution'!$B$146:$B$150,'-ref_Distribution'!$G$146:$G$150)),RIGHT(AL$1,2))</f>
        <v>142</v>
      </c>
      <c r="AM56" s="16" cm="1">
        <f t="array" ref="AM56">INDEX(_xlfn.ANCHORARRAY(_xlfn.XLOOKUP($C56,'-ref_Distribution'!$B$146:$B$150,'-ref_Distribution'!$G$146:$G$150)),RIGHT(AM$1,2))</f>
        <v>144</v>
      </c>
      <c r="AN56" s="16" cm="1">
        <f t="array" ref="AN56">INDEX(_xlfn.ANCHORARRAY(_xlfn.XLOOKUP($C56,'-ref_Distribution'!$B$146:$B$150,'-ref_Distribution'!$G$146:$G$150)),RIGHT(AN$1,2))</f>
        <v>142</v>
      </c>
      <c r="AO56" s="16" cm="1">
        <f t="array" ref="AO56">INDEX(_xlfn.ANCHORARRAY(_xlfn.XLOOKUP($C56,'-ref_Distribution'!$B$146:$B$150,'-ref_Distribution'!$G$146:$G$150)),RIGHT(AO$1,2))</f>
        <v>135</v>
      </c>
      <c r="AP56" s="16" cm="1">
        <f t="array" ref="AP56">INDEX(_xlfn.ANCHORARRAY(_xlfn.XLOOKUP($C56,'-ref_Distribution'!$B$146:$B$150,'-ref_Distribution'!$G$146:$G$150)),RIGHT(AP$1,2))</f>
        <v>125</v>
      </c>
      <c r="AQ56" s="16" cm="1">
        <f t="array" ref="AQ56">INDEX(_xlfn.ANCHORARRAY(_xlfn.XLOOKUP($C56,'-ref_Distribution'!$B$146:$B$150,'-ref_Distribution'!$G$146:$G$150)),RIGHT(AQ$1,2))</f>
        <v>111</v>
      </c>
      <c r="AR56" s="16" cm="1">
        <f t="array" ref="AR56">INDEX(_xlfn.ANCHORARRAY(_xlfn.XLOOKUP($C56,'-ref_Distribution'!$B$146:$B$150,'-ref_Distribution'!$G$146:$G$150)),RIGHT(AR$1,2))</f>
        <v>4</v>
      </c>
      <c r="AS56" s="16" cm="1">
        <f t="array" ref="AS56">INDEX(_xlfn.ANCHORARRAY(_xlfn.XLOOKUP($C56,'-ref_Distribution'!$B$146:$B$150,'-ref_Distribution'!$G$146:$G$150)),RIGHT(AS$1,2))</f>
        <v>6</v>
      </c>
      <c r="AT56" s="16" cm="1">
        <f t="array" ref="AT56">INDEX(_xlfn.ANCHORARRAY(_xlfn.XLOOKUP($C56,'-ref_Distribution'!$B$146:$B$150,'-ref_Distribution'!$G$146:$G$150)),RIGHT(AT$1,2))</f>
        <v>9</v>
      </c>
      <c r="AU56" s="16" cm="1">
        <f t="array" ref="AU56">INDEX(_xlfn.ANCHORARRAY(_xlfn.XLOOKUP($C56,'-ref_Distribution'!$B$146:$B$150,'-ref_Distribution'!$G$146:$G$150)),RIGHT(AU$1,2))</f>
        <v>14</v>
      </c>
      <c r="AV56" s="16" cm="1">
        <f t="array" ref="AV56">INDEX(_xlfn.ANCHORARRAY(_xlfn.XLOOKUP($C56,'-ref_Distribution'!$B$146:$B$150,'-ref_Distribution'!$G$146:$G$150)),RIGHT(AV$1,2))</f>
        <v>20</v>
      </c>
      <c r="AW56" s="16" cm="1">
        <f t="array" ref="AW56">INDEX(_xlfn.ANCHORARRAY(_xlfn.XLOOKUP($C56,'-ref_Distribution'!$B$146:$B$150,'-ref_Distribution'!$G$146:$G$150)),RIGHT(AW$1,2))</f>
        <v>28</v>
      </c>
      <c r="AX56" s="16" cm="1">
        <f t="array" ref="AX56">INDEX(_xlfn.ANCHORARRAY(_xlfn.XLOOKUP($C56,'-ref_Distribution'!$B$146:$B$150,'-ref_Distribution'!$G$146:$G$150)),RIGHT(AX$1,2))</f>
        <v>38</v>
      </c>
      <c r="AY56" s="16" cm="1">
        <f t="array" ref="AY56">INDEX(_xlfn.ANCHORARRAY(_xlfn.XLOOKUP($C56,'-ref_Distribution'!$B$146:$B$150,'-ref_Distribution'!$G$146:$G$150)),RIGHT(AY$1,2))</f>
        <v>51</v>
      </c>
      <c r="AZ56" s="16" cm="1">
        <f t="array" ref="AZ56">INDEX(_xlfn.ANCHORARRAY(_xlfn.XLOOKUP($C56,'-ref_Distribution'!$B$146:$B$150,'-ref_Distribution'!$G$146:$G$150)),RIGHT(AZ$1,2))</f>
        <v>65</v>
      </c>
      <c r="BA56" s="16" cm="1">
        <f t="array" ref="BA56">INDEX(_xlfn.ANCHORARRAY(_xlfn.XLOOKUP($C56,'-ref_Distribution'!$B$146:$B$150,'-ref_Distribution'!$G$146:$G$150)),RIGHT(BA$1,2))</f>
        <v>80</v>
      </c>
      <c r="BB56" s="16" cm="1">
        <f t="array" ref="BB56">INDEX(_xlfn.ANCHORARRAY(_xlfn.XLOOKUP($C56,'-ref_Distribution'!$B$146:$B$150,'-ref_Distribution'!$G$146:$G$150)),RIGHT(BB$1,2))</f>
        <v>96</v>
      </c>
      <c r="BC56" s="16" cm="1">
        <f t="array" ref="BC56">INDEX(_xlfn.ANCHORARRAY(_xlfn.XLOOKUP($C56,'-ref_Distribution'!$B$146:$B$150,'-ref_Distribution'!$G$146:$G$150)),RIGHT(BC$1,2))</f>
        <v>111</v>
      </c>
      <c r="BD56" s="16" cm="1">
        <f t="array" ref="BD56">INDEX(_xlfn.ANCHORARRAY(_xlfn.XLOOKUP($C56,'-ref_Distribution'!$B$146:$B$150,'-ref_Distribution'!$G$146:$G$150)),RIGHT(BD$1,2))</f>
        <v>125</v>
      </c>
      <c r="BE56" s="16" cm="1">
        <f t="array" ref="BE56">INDEX(_xlfn.ANCHORARRAY(_xlfn.XLOOKUP($C56,'-ref_Distribution'!$B$146:$B$150,'-ref_Distribution'!$G$146:$G$150)),RIGHT(BE$1,2))</f>
        <v>135</v>
      </c>
      <c r="BF56" s="16" cm="1">
        <f t="array" ref="BF56">INDEX(_xlfn.ANCHORARRAY(_xlfn.XLOOKUP($C56,'-ref_Distribution'!$B$146:$B$150,'-ref_Distribution'!$G$146:$G$150)),RIGHT(BF$1,2))</f>
        <v>142</v>
      </c>
      <c r="BG56" s="16" cm="1">
        <f t="array" ref="BG56">INDEX(_xlfn.ANCHORARRAY(_xlfn.XLOOKUP($C56,'-ref_Distribution'!$B$146:$B$150,'-ref_Distribution'!$G$146:$G$150)),RIGHT(BG$1,2))</f>
        <v>144</v>
      </c>
      <c r="BH56" s="16" cm="1">
        <f t="array" ref="BH56">INDEX(_xlfn.ANCHORARRAY(_xlfn.XLOOKUP($C56,'-ref_Distribution'!$B$146:$B$150,'-ref_Distribution'!$G$146:$G$150)),RIGHT(BH$1,2))</f>
        <v>142</v>
      </c>
      <c r="BI56" s="16" cm="1">
        <f t="array" ref="BI56">INDEX(_xlfn.ANCHORARRAY(_xlfn.XLOOKUP($C56,'-ref_Distribution'!$B$146:$B$150,'-ref_Distribution'!$G$146:$G$150)),RIGHT(BI$1,2))</f>
        <v>135</v>
      </c>
      <c r="BJ56" s="16" cm="1">
        <f t="array" ref="BJ56">INDEX(_xlfn.ANCHORARRAY(_xlfn.XLOOKUP($C56,'-ref_Distribution'!$B$146:$B$150,'-ref_Distribution'!$G$146:$G$150)),RIGHT(BJ$1,2))</f>
        <v>125</v>
      </c>
      <c r="BK56" s="16" cm="1">
        <f t="array" ref="BK56">INDEX(_xlfn.ANCHORARRAY(_xlfn.XLOOKUP($C56,'-ref_Distribution'!$B$146:$B$150,'-ref_Distribution'!$G$146:$G$150)),RIGHT(BK$1,2))</f>
        <v>111</v>
      </c>
      <c r="BL56" s="16" cm="1">
        <f t="array" ref="BL56">INDEX(_xlfn.ANCHORARRAY(_xlfn.XLOOKUP($C56,'-ref_Distribution'!$B$146:$B$150,'-ref_Distribution'!$G$146:$G$150)),RIGHT(BL$1,2))</f>
        <v>4</v>
      </c>
      <c r="BM56" s="16" cm="1">
        <f t="array" ref="BM56">INDEX(_xlfn.ANCHORARRAY(_xlfn.XLOOKUP($C56,'-ref_Distribution'!$B$146:$B$150,'-ref_Distribution'!$G$146:$G$150)),RIGHT(BM$1,2))</f>
        <v>6</v>
      </c>
      <c r="BN56" s="16" cm="1">
        <f t="array" ref="BN56">INDEX(_xlfn.ANCHORARRAY(_xlfn.XLOOKUP($C56,'-ref_Distribution'!$B$146:$B$150,'-ref_Distribution'!$G$146:$G$150)),RIGHT(BN$1,2))</f>
        <v>9</v>
      </c>
      <c r="BO56" s="16" cm="1">
        <f t="array" ref="BO56">INDEX(_xlfn.ANCHORARRAY(_xlfn.XLOOKUP($C56,'-ref_Distribution'!$B$146:$B$150,'-ref_Distribution'!$G$146:$G$150)),RIGHT(BO$1,2))</f>
        <v>14</v>
      </c>
      <c r="BP56" s="16" cm="1">
        <f t="array" ref="BP56">INDEX(_xlfn.ANCHORARRAY(_xlfn.XLOOKUP($C56,'-ref_Distribution'!$B$146:$B$150,'-ref_Distribution'!$G$146:$G$150)),RIGHT(BP$1,2))</f>
        <v>20</v>
      </c>
      <c r="BQ56" s="16" cm="1">
        <f t="array" ref="BQ56">INDEX(_xlfn.ANCHORARRAY(_xlfn.XLOOKUP($C56,'-ref_Distribution'!$B$146:$B$150,'-ref_Distribution'!$G$146:$G$150)),RIGHT(BQ$1,2))</f>
        <v>28</v>
      </c>
      <c r="BR56" s="16" cm="1">
        <f t="array" ref="BR56">INDEX(_xlfn.ANCHORARRAY(_xlfn.XLOOKUP($C56,'-ref_Distribution'!$B$146:$B$150,'-ref_Distribution'!$G$146:$G$150)),RIGHT(BR$1,2))</f>
        <v>38</v>
      </c>
      <c r="BS56" s="16" cm="1">
        <f t="array" ref="BS56">INDEX(_xlfn.ANCHORARRAY(_xlfn.XLOOKUP($C56,'-ref_Distribution'!$B$146:$B$150,'-ref_Distribution'!$G$146:$G$150)),RIGHT(BS$1,2))</f>
        <v>51</v>
      </c>
      <c r="BT56" s="16" cm="1">
        <f t="array" ref="BT56">INDEX(_xlfn.ANCHORARRAY(_xlfn.XLOOKUP($C56,'-ref_Distribution'!$B$146:$B$150,'-ref_Distribution'!$G$146:$G$150)),RIGHT(BT$1,2))</f>
        <v>65</v>
      </c>
      <c r="BU56" s="16" cm="1">
        <f t="array" ref="BU56">INDEX(_xlfn.ANCHORARRAY(_xlfn.XLOOKUP($C56,'-ref_Distribution'!$B$146:$B$150,'-ref_Distribution'!$G$146:$G$150)),RIGHT(BU$1,2))</f>
        <v>80</v>
      </c>
      <c r="BV56" s="16" cm="1">
        <f t="array" ref="BV56">INDEX(_xlfn.ANCHORARRAY(_xlfn.XLOOKUP($C56,'-ref_Distribution'!$B$146:$B$150,'-ref_Distribution'!$G$146:$G$150)),RIGHT(BV$1,2))</f>
        <v>96</v>
      </c>
      <c r="BW56" s="16" cm="1">
        <f t="array" ref="BW56">INDEX(_xlfn.ANCHORARRAY(_xlfn.XLOOKUP($C56,'-ref_Distribution'!$B$146:$B$150,'-ref_Distribution'!$G$146:$G$150)),RIGHT(BW$1,2))</f>
        <v>111</v>
      </c>
      <c r="BX56" s="16" cm="1">
        <f t="array" ref="BX56">INDEX(_xlfn.ANCHORARRAY(_xlfn.XLOOKUP($C56,'-ref_Distribution'!$B$146:$B$150,'-ref_Distribution'!$G$146:$G$150)),RIGHT(BX$1,2))</f>
        <v>125</v>
      </c>
      <c r="BY56" s="16" cm="1">
        <f t="array" ref="BY56">INDEX(_xlfn.ANCHORARRAY(_xlfn.XLOOKUP($C56,'-ref_Distribution'!$B$146:$B$150,'-ref_Distribution'!$G$146:$G$150)),RIGHT(BY$1,2))</f>
        <v>135</v>
      </c>
      <c r="BZ56" s="16" cm="1">
        <f t="array" ref="BZ56">INDEX(_xlfn.ANCHORARRAY(_xlfn.XLOOKUP($C56,'-ref_Distribution'!$B$146:$B$150,'-ref_Distribution'!$G$146:$G$150)),RIGHT(BZ$1,2))</f>
        <v>142</v>
      </c>
      <c r="CA56" s="16" cm="1">
        <f t="array" ref="CA56">INDEX(_xlfn.ANCHORARRAY(_xlfn.XLOOKUP($C56,'-ref_Distribution'!$B$146:$B$150,'-ref_Distribution'!$G$146:$G$150)),RIGHT(CA$1,2))</f>
        <v>144</v>
      </c>
      <c r="CB56" s="16" cm="1">
        <f t="array" ref="CB56">INDEX(_xlfn.ANCHORARRAY(_xlfn.XLOOKUP($C56,'-ref_Distribution'!$B$146:$B$150,'-ref_Distribution'!$G$146:$G$150)),RIGHT(CB$1,2))</f>
        <v>142</v>
      </c>
      <c r="CC56" s="16" cm="1">
        <f t="array" ref="CC56">INDEX(_xlfn.ANCHORARRAY(_xlfn.XLOOKUP($C56,'-ref_Distribution'!$B$146:$B$150,'-ref_Distribution'!$G$146:$G$150)),RIGHT(CC$1,2))</f>
        <v>135</v>
      </c>
      <c r="CD56" s="16" cm="1">
        <f t="array" ref="CD56">INDEX(_xlfn.ANCHORARRAY(_xlfn.XLOOKUP($C56,'-ref_Distribution'!$B$146:$B$150,'-ref_Distribution'!$G$146:$G$150)),RIGHT(CD$1,2))</f>
        <v>125</v>
      </c>
      <c r="CE56" s="16" cm="1">
        <f t="array" ref="CE56">INDEX(_xlfn.ANCHORARRAY(_xlfn.XLOOKUP($C56,'-ref_Distribution'!$B$146:$B$150,'-ref_Distribution'!$G$146:$G$150)),RIGHT(CE$1,2))</f>
        <v>111</v>
      </c>
    </row>
    <row r="57" spans="1:83" x14ac:dyDescent="0.2">
      <c r="A57" s="16">
        <v>302233</v>
      </c>
      <c r="B57" s="16" t="s">
        <v>204</v>
      </c>
      <c r="C57" s="16">
        <v>4</v>
      </c>
      <c r="D57" s="16" cm="1">
        <f t="array" ref="D57">INDEX(_xlfn.ANCHORARRAY(_xlfn.XLOOKUP($C57,'-ref_Distribution'!$B$146:$B$150,'-ref_Distribution'!$G$146:$G$150)),RIGHT(D$1,2))</f>
        <v>0</v>
      </c>
      <c r="E57" s="16" cm="1">
        <f t="array" ref="E57">INDEX(_xlfn.ANCHORARRAY(_xlfn.XLOOKUP($C57,'-ref_Distribution'!$B$146:$B$150,'-ref_Distribution'!$G$146:$G$150)),RIGHT(E$1,2))</f>
        <v>0</v>
      </c>
      <c r="F57" s="16" cm="1">
        <f t="array" ref="F57">INDEX(_xlfn.ANCHORARRAY(_xlfn.XLOOKUP($C57,'-ref_Distribution'!$B$146:$B$150,'-ref_Distribution'!$G$146:$G$150)),RIGHT(F$1,2))</f>
        <v>0</v>
      </c>
      <c r="G57" s="16" cm="1">
        <f t="array" ref="G57">INDEX(_xlfn.ANCHORARRAY(_xlfn.XLOOKUP($C57,'-ref_Distribution'!$B$146:$B$150,'-ref_Distribution'!$G$146:$G$150)),RIGHT(G$1,2))</f>
        <v>0</v>
      </c>
      <c r="H57" s="16" cm="1">
        <f t="array" ref="H57">INDEX(_xlfn.ANCHORARRAY(_xlfn.XLOOKUP($C57,'-ref_Distribution'!$B$146:$B$150,'-ref_Distribution'!$G$146:$G$150)),RIGHT(H$1,2))</f>
        <v>0</v>
      </c>
      <c r="I57" s="16" cm="1">
        <f t="array" ref="I57">INDEX(_xlfn.ANCHORARRAY(_xlfn.XLOOKUP($C57,'-ref_Distribution'!$B$146:$B$150,'-ref_Distribution'!$G$146:$G$150)),RIGHT(I$1,2))</f>
        <v>1</v>
      </c>
      <c r="J57" s="16" cm="1">
        <f t="array" ref="J57">INDEX(_xlfn.ANCHORARRAY(_xlfn.XLOOKUP($C57,'-ref_Distribution'!$B$146:$B$150,'-ref_Distribution'!$G$146:$G$150)),RIGHT(J$1,2))</f>
        <v>1</v>
      </c>
      <c r="K57" s="16" cm="1">
        <f t="array" ref="K57">INDEX(_xlfn.ANCHORARRAY(_xlfn.XLOOKUP($C57,'-ref_Distribution'!$B$146:$B$150,'-ref_Distribution'!$G$146:$G$150)),RIGHT(K$1,2))</f>
        <v>2</v>
      </c>
      <c r="L57" s="16" cm="1">
        <f t="array" ref="L57">INDEX(_xlfn.ANCHORARRAY(_xlfn.XLOOKUP($C57,'-ref_Distribution'!$B$146:$B$150,'-ref_Distribution'!$G$146:$G$150)),RIGHT(L$1,2))</f>
        <v>3</v>
      </c>
      <c r="M57" s="16" cm="1">
        <f t="array" ref="M57">INDEX(_xlfn.ANCHORARRAY(_xlfn.XLOOKUP($C57,'-ref_Distribution'!$B$146:$B$150,'-ref_Distribution'!$G$146:$G$150)),RIGHT(M$1,2))</f>
        <v>5</v>
      </c>
      <c r="N57" s="16" cm="1">
        <f t="array" ref="N57">INDEX(_xlfn.ANCHORARRAY(_xlfn.XLOOKUP($C57,'-ref_Distribution'!$B$146:$B$150,'-ref_Distribution'!$G$146:$G$150)),RIGHT(N$1,2))</f>
        <v>9</v>
      </c>
      <c r="O57" s="16" cm="1">
        <f t="array" ref="O57">INDEX(_xlfn.ANCHORARRAY(_xlfn.XLOOKUP($C57,'-ref_Distribution'!$B$146:$B$150,'-ref_Distribution'!$G$146:$G$150)),RIGHT(O$1,2))</f>
        <v>14</v>
      </c>
      <c r="P57" s="16" cm="1">
        <f t="array" ref="P57">INDEX(_xlfn.ANCHORARRAY(_xlfn.XLOOKUP($C57,'-ref_Distribution'!$B$146:$B$150,'-ref_Distribution'!$G$146:$G$150)),RIGHT(P$1,2))</f>
        <v>20</v>
      </c>
      <c r="Q57" s="16" cm="1">
        <f t="array" ref="Q57">INDEX(_xlfn.ANCHORARRAY(_xlfn.XLOOKUP($C57,'-ref_Distribution'!$B$146:$B$150,'-ref_Distribution'!$G$146:$G$150)),RIGHT(Q$1,2))</f>
        <v>28</v>
      </c>
      <c r="R57" s="16" cm="1">
        <f t="array" ref="R57">INDEX(_xlfn.ANCHORARRAY(_xlfn.XLOOKUP($C57,'-ref_Distribution'!$B$146:$B$150,'-ref_Distribution'!$G$146:$G$150)),RIGHT(R$1,2))</f>
        <v>38</v>
      </c>
      <c r="S57" s="16" cm="1">
        <f t="array" ref="S57">INDEX(_xlfn.ANCHORARRAY(_xlfn.XLOOKUP($C57,'-ref_Distribution'!$B$146:$B$150,'-ref_Distribution'!$G$146:$G$150)),RIGHT(S$1,2))</f>
        <v>48</v>
      </c>
      <c r="T57" s="16" cm="1">
        <f t="array" ref="T57">INDEX(_xlfn.ANCHORARRAY(_xlfn.XLOOKUP($C57,'-ref_Distribution'!$B$146:$B$150,'-ref_Distribution'!$G$146:$G$150)),RIGHT(T$1,2))</f>
        <v>59</v>
      </c>
      <c r="U57" s="16" cm="1">
        <f t="array" ref="U57">INDEX(_xlfn.ANCHORARRAY(_xlfn.XLOOKUP($C57,'-ref_Distribution'!$B$146:$B$150,'-ref_Distribution'!$G$146:$G$150)),RIGHT(U$1,2))</f>
        <v>69</v>
      </c>
      <c r="V57" s="16" cm="1">
        <f t="array" ref="V57">INDEX(_xlfn.ANCHORARRAY(_xlfn.XLOOKUP($C57,'-ref_Distribution'!$B$146:$B$150,'-ref_Distribution'!$G$146:$G$150)),RIGHT(V$1,2))</f>
        <v>78</v>
      </c>
      <c r="W57" s="16" cm="1">
        <f t="array" ref="W57">INDEX(_xlfn.ANCHORARRAY(_xlfn.XLOOKUP($C57,'-ref_Distribution'!$B$146:$B$150,'-ref_Distribution'!$G$146:$G$150)),RIGHT(W$1,2))</f>
        <v>83</v>
      </c>
      <c r="X57" s="16" cm="1">
        <f t="array" ref="X57">INDEX(_xlfn.ANCHORARRAY(_xlfn.XLOOKUP($C57,'-ref_Distribution'!$B$146:$B$150,'-ref_Distribution'!$G$146:$G$150)),RIGHT(X$1,2))</f>
        <v>0</v>
      </c>
      <c r="Y57" s="16" cm="1">
        <f t="array" ref="Y57">INDEX(_xlfn.ANCHORARRAY(_xlfn.XLOOKUP($C57,'-ref_Distribution'!$B$146:$B$150,'-ref_Distribution'!$G$146:$G$150)),RIGHT(Y$1,2))</f>
        <v>0</v>
      </c>
      <c r="Z57" s="16" cm="1">
        <f t="array" ref="Z57">INDEX(_xlfn.ANCHORARRAY(_xlfn.XLOOKUP($C57,'-ref_Distribution'!$B$146:$B$150,'-ref_Distribution'!$G$146:$G$150)),RIGHT(Z$1,2))</f>
        <v>0</v>
      </c>
      <c r="AA57" s="16" cm="1">
        <f t="array" ref="AA57">INDEX(_xlfn.ANCHORARRAY(_xlfn.XLOOKUP($C57,'-ref_Distribution'!$B$146:$B$150,'-ref_Distribution'!$G$146:$G$150)),RIGHT(AA$1,2))</f>
        <v>0</v>
      </c>
      <c r="AB57" s="16" cm="1">
        <f t="array" ref="AB57">INDEX(_xlfn.ANCHORARRAY(_xlfn.XLOOKUP($C57,'-ref_Distribution'!$B$146:$B$150,'-ref_Distribution'!$G$146:$G$150)),RIGHT(AB$1,2))</f>
        <v>0</v>
      </c>
      <c r="AC57" s="16" cm="1">
        <f t="array" ref="AC57">INDEX(_xlfn.ANCHORARRAY(_xlfn.XLOOKUP($C57,'-ref_Distribution'!$B$146:$B$150,'-ref_Distribution'!$G$146:$G$150)),RIGHT(AC$1,2))</f>
        <v>1</v>
      </c>
      <c r="AD57" s="16" cm="1">
        <f t="array" ref="AD57">INDEX(_xlfn.ANCHORARRAY(_xlfn.XLOOKUP($C57,'-ref_Distribution'!$B$146:$B$150,'-ref_Distribution'!$G$146:$G$150)),RIGHT(AD$1,2))</f>
        <v>1</v>
      </c>
      <c r="AE57" s="16" cm="1">
        <f t="array" ref="AE57">INDEX(_xlfn.ANCHORARRAY(_xlfn.XLOOKUP($C57,'-ref_Distribution'!$B$146:$B$150,'-ref_Distribution'!$G$146:$G$150)),RIGHT(AE$1,2))</f>
        <v>2</v>
      </c>
      <c r="AF57" s="16" cm="1">
        <f t="array" ref="AF57">INDEX(_xlfn.ANCHORARRAY(_xlfn.XLOOKUP($C57,'-ref_Distribution'!$B$146:$B$150,'-ref_Distribution'!$G$146:$G$150)),RIGHT(AF$1,2))</f>
        <v>3</v>
      </c>
      <c r="AG57" s="16" cm="1">
        <f t="array" ref="AG57">INDEX(_xlfn.ANCHORARRAY(_xlfn.XLOOKUP($C57,'-ref_Distribution'!$B$146:$B$150,'-ref_Distribution'!$G$146:$G$150)),RIGHT(AG$1,2))</f>
        <v>5</v>
      </c>
      <c r="AH57" s="16" cm="1">
        <f t="array" ref="AH57">INDEX(_xlfn.ANCHORARRAY(_xlfn.XLOOKUP($C57,'-ref_Distribution'!$B$146:$B$150,'-ref_Distribution'!$G$146:$G$150)),RIGHT(AH$1,2))</f>
        <v>9</v>
      </c>
      <c r="AI57" s="16" cm="1">
        <f t="array" ref="AI57">INDEX(_xlfn.ANCHORARRAY(_xlfn.XLOOKUP($C57,'-ref_Distribution'!$B$146:$B$150,'-ref_Distribution'!$G$146:$G$150)),RIGHT(AI$1,2))</f>
        <v>14</v>
      </c>
      <c r="AJ57" s="16" cm="1">
        <f t="array" ref="AJ57">INDEX(_xlfn.ANCHORARRAY(_xlfn.XLOOKUP($C57,'-ref_Distribution'!$B$146:$B$150,'-ref_Distribution'!$G$146:$G$150)),RIGHT(AJ$1,2))</f>
        <v>20</v>
      </c>
      <c r="AK57" s="16" cm="1">
        <f t="array" ref="AK57">INDEX(_xlfn.ANCHORARRAY(_xlfn.XLOOKUP($C57,'-ref_Distribution'!$B$146:$B$150,'-ref_Distribution'!$G$146:$G$150)),RIGHT(AK$1,2))</f>
        <v>28</v>
      </c>
      <c r="AL57" s="16" cm="1">
        <f t="array" ref="AL57">INDEX(_xlfn.ANCHORARRAY(_xlfn.XLOOKUP($C57,'-ref_Distribution'!$B$146:$B$150,'-ref_Distribution'!$G$146:$G$150)),RIGHT(AL$1,2))</f>
        <v>38</v>
      </c>
      <c r="AM57" s="16" cm="1">
        <f t="array" ref="AM57">INDEX(_xlfn.ANCHORARRAY(_xlfn.XLOOKUP($C57,'-ref_Distribution'!$B$146:$B$150,'-ref_Distribution'!$G$146:$G$150)),RIGHT(AM$1,2))</f>
        <v>48</v>
      </c>
      <c r="AN57" s="16" cm="1">
        <f t="array" ref="AN57">INDEX(_xlfn.ANCHORARRAY(_xlfn.XLOOKUP($C57,'-ref_Distribution'!$B$146:$B$150,'-ref_Distribution'!$G$146:$G$150)),RIGHT(AN$1,2))</f>
        <v>59</v>
      </c>
      <c r="AO57" s="16" cm="1">
        <f t="array" ref="AO57">INDEX(_xlfn.ANCHORARRAY(_xlfn.XLOOKUP($C57,'-ref_Distribution'!$B$146:$B$150,'-ref_Distribution'!$G$146:$G$150)),RIGHT(AO$1,2))</f>
        <v>69</v>
      </c>
      <c r="AP57" s="16" cm="1">
        <f t="array" ref="AP57">INDEX(_xlfn.ANCHORARRAY(_xlfn.XLOOKUP($C57,'-ref_Distribution'!$B$146:$B$150,'-ref_Distribution'!$G$146:$G$150)),RIGHT(AP$1,2))</f>
        <v>78</v>
      </c>
      <c r="AQ57" s="16" cm="1">
        <f t="array" ref="AQ57">INDEX(_xlfn.ANCHORARRAY(_xlfn.XLOOKUP($C57,'-ref_Distribution'!$B$146:$B$150,'-ref_Distribution'!$G$146:$G$150)),RIGHT(AQ$1,2))</f>
        <v>83</v>
      </c>
      <c r="AR57" s="16" cm="1">
        <f t="array" ref="AR57">INDEX(_xlfn.ANCHORARRAY(_xlfn.XLOOKUP($C57,'-ref_Distribution'!$B$146:$B$150,'-ref_Distribution'!$G$146:$G$150)),RIGHT(AR$1,2))</f>
        <v>0</v>
      </c>
      <c r="AS57" s="16" cm="1">
        <f t="array" ref="AS57">INDEX(_xlfn.ANCHORARRAY(_xlfn.XLOOKUP($C57,'-ref_Distribution'!$B$146:$B$150,'-ref_Distribution'!$G$146:$G$150)),RIGHT(AS$1,2))</f>
        <v>0</v>
      </c>
      <c r="AT57" s="16" cm="1">
        <f t="array" ref="AT57">INDEX(_xlfn.ANCHORARRAY(_xlfn.XLOOKUP($C57,'-ref_Distribution'!$B$146:$B$150,'-ref_Distribution'!$G$146:$G$150)),RIGHT(AT$1,2))</f>
        <v>0</v>
      </c>
      <c r="AU57" s="16" cm="1">
        <f t="array" ref="AU57">INDEX(_xlfn.ANCHORARRAY(_xlfn.XLOOKUP($C57,'-ref_Distribution'!$B$146:$B$150,'-ref_Distribution'!$G$146:$G$150)),RIGHT(AU$1,2))</f>
        <v>0</v>
      </c>
      <c r="AV57" s="16" cm="1">
        <f t="array" ref="AV57">INDEX(_xlfn.ANCHORARRAY(_xlfn.XLOOKUP($C57,'-ref_Distribution'!$B$146:$B$150,'-ref_Distribution'!$G$146:$G$150)),RIGHT(AV$1,2))</f>
        <v>0</v>
      </c>
      <c r="AW57" s="16" cm="1">
        <f t="array" ref="AW57">INDEX(_xlfn.ANCHORARRAY(_xlfn.XLOOKUP($C57,'-ref_Distribution'!$B$146:$B$150,'-ref_Distribution'!$G$146:$G$150)),RIGHT(AW$1,2))</f>
        <v>1</v>
      </c>
      <c r="AX57" s="16" cm="1">
        <f t="array" ref="AX57">INDEX(_xlfn.ANCHORARRAY(_xlfn.XLOOKUP($C57,'-ref_Distribution'!$B$146:$B$150,'-ref_Distribution'!$G$146:$G$150)),RIGHT(AX$1,2))</f>
        <v>1</v>
      </c>
      <c r="AY57" s="16" cm="1">
        <f t="array" ref="AY57">INDEX(_xlfn.ANCHORARRAY(_xlfn.XLOOKUP($C57,'-ref_Distribution'!$B$146:$B$150,'-ref_Distribution'!$G$146:$G$150)),RIGHT(AY$1,2))</f>
        <v>2</v>
      </c>
      <c r="AZ57" s="16" cm="1">
        <f t="array" ref="AZ57">INDEX(_xlfn.ANCHORARRAY(_xlfn.XLOOKUP($C57,'-ref_Distribution'!$B$146:$B$150,'-ref_Distribution'!$G$146:$G$150)),RIGHT(AZ$1,2))</f>
        <v>3</v>
      </c>
      <c r="BA57" s="16" cm="1">
        <f t="array" ref="BA57">INDEX(_xlfn.ANCHORARRAY(_xlfn.XLOOKUP($C57,'-ref_Distribution'!$B$146:$B$150,'-ref_Distribution'!$G$146:$G$150)),RIGHT(BA$1,2))</f>
        <v>5</v>
      </c>
      <c r="BB57" s="16" cm="1">
        <f t="array" ref="BB57">INDEX(_xlfn.ANCHORARRAY(_xlfn.XLOOKUP($C57,'-ref_Distribution'!$B$146:$B$150,'-ref_Distribution'!$G$146:$G$150)),RIGHT(BB$1,2))</f>
        <v>9</v>
      </c>
      <c r="BC57" s="16" cm="1">
        <f t="array" ref="BC57">INDEX(_xlfn.ANCHORARRAY(_xlfn.XLOOKUP($C57,'-ref_Distribution'!$B$146:$B$150,'-ref_Distribution'!$G$146:$G$150)),RIGHT(BC$1,2))</f>
        <v>14</v>
      </c>
      <c r="BD57" s="16" cm="1">
        <f t="array" ref="BD57">INDEX(_xlfn.ANCHORARRAY(_xlfn.XLOOKUP($C57,'-ref_Distribution'!$B$146:$B$150,'-ref_Distribution'!$G$146:$G$150)),RIGHT(BD$1,2))</f>
        <v>20</v>
      </c>
      <c r="BE57" s="16" cm="1">
        <f t="array" ref="BE57">INDEX(_xlfn.ANCHORARRAY(_xlfn.XLOOKUP($C57,'-ref_Distribution'!$B$146:$B$150,'-ref_Distribution'!$G$146:$G$150)),RIGHT(BE$1,2))</f>
        <v>28</v>
      </c>
      <c r="BF57" s="16" cm="1">
        <f t="array" ref="BF57">INDEX(_xlfn.ANCHORARRAY(_xlfn.XLOOKUP($C57,'-ref_Distribution'!$B$146:$B$150,'-ref_Distribution'!$G$146:$G$150)),RIGHT(BF$1,2))</f>
        <v>38</v>
      </c>
      <c r="BG57" s="16" cm="1">
        <f t="array" ref="BG57">INDEX(_xlfn.ANCHORARRAY(_xlfn.XLOOKUP($C57,'-ref_Distribution'!$B$146:$B$150,'-ref_Distribution'!$G$146:$G$150)),RIGHT(BG$1,2))</f>
        <v>48</v>
      </c>
      <c r="BH57" s="16" cm="1">
        <f t="array" ref="BH57">INDEX(_xlfn.ANCHORARRAY(_xlfn.XLOOKUP($C57,'-ref_Distribution'!$B$146:$B$150,'-ref_Distribution'!$G$146:$G$150)),RIGHT(BH$1,2))</f>
        <v>59</v>
      </c>
      <c r="BI57" s="16" cm="1">
        <f t="array" ref="BI57">INDEX(_xlfn.ANCHORARRAY(_xlfn.XLOOKUP($C57,'-ref_Distribution'!$B$146:$B$150,'-ref_Distribution'!$G$146:$G$150)),RIGHT(BI$1,2))</f>
        <v>69</v>
      </c>
      <c r="BJ57" s="16" cm="1">
        <f t="array" ref="BJ57">INDEX(_xlfn.ANCHORARRAY(_xlfn.XLOOKUP($C57,'-ref_Distribution'!$B$146:$B$150,'-ref_Distribution'!$G$146:$G$150)),RIGHT(BJ$1,2))</f>
        <v>78</v>
      </c>
      <c r="BK57" s="16" cm="1">
        <f t="array" ref="BK57">INDEX(_xlfn.ANCHORARRAY(_xlfn.XLOOKUP($C57,'-ref_Distribution'!$B$146:$B$150,'-ref_Distribution'!$G$146:$G$150)),RIGHT(BK$1,2))</f>
        <v>83</v>
      </c>
      <c r="BL57" s="16" cm="1">
        <f t="array" ref="BL57">INDEX(_xlfn.ANCHORARRAY(_xlfn.XLOOKUP($C57,'-ref_Distribution'!$B$146:$B$150,'-ref_Distribution'!$G$146:$G$150)),RIGHT(BL$1,2))</f>
        <v>0</v>
      </c>
      <c r="BM57" s="16" cm="1">
        <f t="array" ref="BM57">INDEX(_xlfn.ANCHORARRAY(_xlfn.XLOOKUP($C57,'-ref_Distribution'!$B$146:$B$150,'-ref_Distribution'!$G$146:$G$150)),RIGHT(BM$1,2))</f>
        <v>0</v>
      </c>
      <c r="BN57" s="16" cm="1">
        <f t="array" ref="BN57">INDEX(_xlfn.ANCHORARRAY(_xlfn.XLOOKUP($C57,'-ref_Distribution'!$B$146:$B$150,'-ref_Distribution'!$G$146:$G$150)),RIGHT(BN$1,2))</f>
        <v>0</v>
      </c>
      <c r="BO57" s="16" cm="1">
        <f t="array" ref="BO57">INDEX(_xlfn.ANCHORARRAY(_xlfn.XLOOKUP($C57,'-ref_Distribution'!$B$146:$B$150,'-ref_Distribution'!$G$146:$G$150)),RIGHT(BO$1,2))</f>
        <v>0</v>
      </c>
      <c r="BP57" s="16" cm="1">
        <f t="array" ref="BP57">INDEX(_xlfn.ANCHORARRAY(_xlfn.XLOOKUP($C57,'-ref_Distribution'!$B$146:$B$150,'-ref_Distribution'!$G$146:$G$150)),RIGHT(BP$1,2))</f>
        <v>0</v>
      </c>
      <c r="BQ57" s="16" cm="1">
        <f t="array" ref="BQ57">INDEX(_xlfn.ANCHORARRAY(_xlfn.XLOOKUP($C57,'-ref_Distribution'!$B$146:$B$150,'-ref_Distribution'!$G$146:$G$150)),RIGHT(BQ$1,2))</f>
        <v>1</v>
      </c>
      <c r="BR57" s="16" cm="1">
        <f t="array" ref="BR57">INDEX(_xlfn.ANCHORARRAY(_xlfn.XLOOKUP($C57,'-ref_Distribution'!$B$146:$B$150,'-ref_Distribution'!$G$146:$G$150)),RIGHT(BR$1,2))</f>
        <v>1</v>
      </c>
      <c r="BS57" s="16" cm="1">
        <f t="array" ref="BS57">INDEX(_xlfn.ANCHORARRAY(_xlfn.XLOOKUP($C57,'-ref_Distribution'!$B$146:$B$150,'-ref_Distribution'!$G$146:$G$150)),RIGHT(BS$1,2))</f>
        <v>2</v>
      </c>
      <c r="BT57" s="16" cm="1">
        <f t="array" ref="BT57">INDEX(_xlfn.ANCHORARRAY(_xlfn.XLOOKUP($C57,'-ref_Distribution'!$B$146:$B$150,'-ref_Distribution'!$G$146:$G$150)),RIGHT(BT$1,2))</f>
        <v>3</v>
      </c>
      <c r="BU57" s="16" cm="1">
        <f t="array" ref="BU57">INDEX(_xlfn.ANCHORARRAY(_xlfn.XLOOKUP($C57,'-ref_Distribution'!$B$146:$B$150,'-ref_Distribution'!$G$146:$G$150)),RIGHT(BU$1,2))</f>
        <v>5</v>
      </c>
      <c r="BV57" s="16" cm="1">
        <f t="array" ref="BV57">INDEX(_xlfn.ANCHORARRAY(_xlfn.XLOOKUP($C57,'-ref_Distribution'!$B$146:$B$150,'-ref_Distribution'!$G$146:$G$150)),RIGHT(BV$1,2))</f>
        <v>9</v>
      </c>
      <c r="BW57" s="16" cm="1">
        <f t="array" ref="BW57">INDEX(_xlfn.ANCHORARRAY(_xlfn.XLOOKUP($C57,'-ref_Distribution'!$B$146:$B$150,'-ref_Distribution'!$G$146:$G$150)),RIGHT(BW$1,2))</f>
        <v>14</v>
      </c>
      <c r="BX57" s="16" cm="1">
        <f t="array" ref="BX57">INDEX(_xlfn.ANCHORARRAY(_xlfn.XLOOKUP($C57,'-ref_Distribution'!$B$146:$B$150,'-ref_Distribution'!$G$146:$G$150)),RIGHT(BX$1,2))</f>
        <v>20</v>
      </c>
      <c r="BY57" s="16" cm="1">
        <f t="array" ref="BY57">INDEX(_xlfn.ANCHORARRAY(_xlfn.XLOOKUP($C57,'-ref_Distribution'!$B$146:$B$150,'-ref_Distribution'!$G$146:$G$150)),RIGHT(BY$1,2))</f>
        <v>28</v>
      </c>
      <c r="BZ57" s="16" cm="1">
        <f t="array" ref="BZ57">INDEX(_xlfn.ANCHORARRAY(_xlfn.XLOOKUP($C57,'-ref_Distribution'!$B$146:$B$150,'-ref_Distribution'!$G$146:$G$150)),RIGHT(BZ$1,2))</f>
        <v>38</v>
      </c>
      <c r="CA57" s="16" cm="1">
        <f t="array" ref="CA57">INDEX(_xlfn.ANCHORARRAY(_xlfn.XLOOKUP($C57,'-ref_Distribution'!$B$146:$B$150,'-ref_Distribution'!$G$146:$G$150)),RIGHT(CA$1,2))</f>
        <v>48</v>
      </c>
      <c r="CB57" s="16" cm="1">
        <f t="array" ref="CB57">INDEX(_xlfn.ANCHORARRAY(_xlfn.XLOOKUP($C57,'-ref_Distribution'!$B$146:$B$150,'-ref_Distribution'!$G$146:$G$150)),RIGHT(CB$1,2))</f>
        <v>59</v>
      </c>
      <c r="CC57" s="16" cm="1">
        <f t="array" ref="CC57">INDEX(_xlfn.ANCHORARRAY(_xlfn.XLOOKUP($C57,'-ref_Distribution'!$B$146:$B$150,'-ref_Distribution'!$G$146:$G$150)),RIGHT(CC$1,2))</f>
        <v>69</v>
      </c>
      <c r="CD57" s="16" cm="1">
        <f t="array" ref="CD57">INDEX(_xlfn.ANCHORARRAY(_xlfn.XLOOKUP($C57,'-ref_Distribution'!$B$146:$B$150,'-ref_Distribution'!$G$146:$G$150)),RIGHT(CD$1,2))</f>
        <v>78</v>
      </c>
      <c r="CE57" s="16" cm="1">
        <f t="array" ref="CE57">INDEX(_xlfn.ANCHORARRAY(_xlfn.XLOOKUP($C57,'-ref_Distribution'!$B$146:$B$150,'-ref_Distribution'!$G$146:$G$150)),RIGHT(CE$1,2))</f>
        <v>83</v>
      </c>
    </row>
    <row r="58" spans="1:83" x14ac:dyDescent="0.2">
      <c r="A58" s="16">
        <v>302321</v>
      </c>
      <c r="B58" s="16" t="s">
        <v>205</v>
      </c>
      <c r="C58" s="16">
        <v>0</v>
      </c>
      <c r="D58" s="16" cm="1">
        <f t="array" ref="D58">INDEX(_xlfn.ANCHORARRAY(_xlfn.XLOOKUP($C58,'-ref_Distribution'!$B$146:$B$150,'-ref_Distribution'!$G$146:$G$150)),RIGHT(D$1,2))</f>
        <v>709</v>
      </c>
      <c r="E58" s="16" cm="1">
        <f t="array" ref="E58">INDEX(_xlfn.ANCHORARRAY(_xlfn.XLOOKUP($C58,'-ref_Distribution'!$B$146:$B$150,'-ref_Distribution'!$G$146:$G$150)),RIGHT(E$1,2))</f>
        <v>705</v>
      </c>
      <c r="F58" s="16" cm="1">
        <f t="array" ref="F58">INDEX(_xlfn.ANCHORARRAY(_xlfn.XLOOKUP($C58,'-ref_Distribution'!$B$146:$B$150,'-ref_Distribution'!$G$146:$G$150)),RIGHT(F$1,2))</f>
        <v>692</v>
      </c>
      <c r="G58" s="16" cm="1">
        <f t="array" ref="G58">INDEX(_xlfn.ANCHORARRAY(_xlfn.XLOOKUP($C58,'-ref_Distribution'!$B$146:$B$150,'-ref_Distribution'!$G$146:$G$150)),RIGHT(G$1,2))</f>
        <v>671</v>
      </c>
      <c r="H58" s="16" cm="1">
        <f t="array" ref="H58">INDEX(_xlfn.ANCHORARRAY(_xlfn.XLOOKUP($C58,'-ref_Distribution'!$B$146:$B$150,'-ref_Distribution'!$G$146:$G$150)),RIGHT(H$1,2))</f>
        <v>643</v>
      </c>
      <c r="I58" s="16" cm="1">
        <f t="array" ref="I58">INDEX(_xlfn.ANCHORARRAY(_xlfn.XLOOKUP($C58,'-ref_Distribution'!$B$146:$B$150,'-ref_Distribution'!$G$146:$G$150)),RIGHT(I$1,2))</f>
        <v>608</v>
      </c>
      <c r="J58" s="16" cm="1">
        <f t="array" ref="J58">INDEX(_xlfn.ANCHORARRAY(_xlfn.XLOOKUP($C58,'-ref_Distribution'!$B$146:$B$150,'-ref_Distribution'!$G$146:$G$150)),RIGHT(J$1,2))</f>
        <v>568</v>
      </c>
      <c r="K58" s="16" cm="1">
        <f t="array" ref="K58">INDEX(_xlfn.ANCHORARRAY(_xlfn.XLOOKUP($C58,'-ref_Distribution'!$B$146:$B$150,'-ref_Distribution'!$G$146:$G$150)),RIGHT(K$1,2))</f>
        <v>524</v>
      </c>
      <c r="L58" s="16" cm="1">
        <f t="array" ref="L58">INDEX(_xlfn.ANCHORARRAY(_xlfn.XLOOKUP($C58,'-ref_Distribution'!$B$146:$B$150,'-ref_Distribution'!$G$146:$G$150)),RIGHT(L$1,2))</f>
        <v>478</v>
      </c>
      <c r="M58" s="16" cm="1">
        <f t="array" ref="M58">INDEX(_xlfn.ANCHORARRAY(_xlfn.XLOOKUP($C58,'-ref_Distribution'!$B$146:$B$150,'-ref_Distribution'!$G$146:$G$150)),RIGHT(M$1,2))</f>
        <v>430</v>
      </c>
      <c r="N58" s="16" cm="1">
        <f t="array" ref="N58">INDEX(_xlfn.ANCHORARRAY(_xlfn.XLOOKUP($C58,'-ref_Distribution'!$B$146:$B$150,'-ref_Distribution'!$G$146:$G$150)),RIGHT(N$1,2))</f>
        <v>383</v>
      </c>
      <c r="O58" s="16" cm="1">
        <f t="array" ref="O58">INDEX(_xlfn.ANCHORARRAY(_xlfn.XLOOKUP($C58,'-ref_Distribution'!$B$146:$B$150,'-ref_Distribution'!$G$146:$G$150)),RIGHT(O$1,2))</f>
        <v>336</v>
      </c>
      <c r="P58" s="16" cm="1">
        <f t="array" ref="P58">INDEX(_xlfn.ANCHORARRAY(_xlfn.XLOOKUP($C58,'-ref_Distribution'!$B$146:$B$150,'-ref_Distribution'!$G$146:$G$150)),RIGHT(P$1,2))</f>
        <v>292</v>
      </c>
      <c r="Q58" s="16" cm="1">
        <f t="array" ref="Q58">INDEX(_xlfn.ANCHORARRAY(_xlfn.XLOOKUP($C58,'-ref_Distribution'!$B$146:$B$150,'-ref_Distribution'!$G$146:$G$150)),RIGHT(Q$1,2))</f>
        <v>250</v>
      </c>
      <c r="R58" s="16" cm="1">
        <f t="array" ref="R58">INDEX(_xlfn.ANCHORARRAY(_xlfn.XLOOKUP($C58,'-ref_Distribution'!$B$146:$B$150,'-ref_Distribution'!$G$146:$G$150)),RIGHT(R$1,2))</f>
        <v>212</v>
      </c>
      <c r="S58" s="16" cm="1">
        <f t="array" ref="S58">INDEX(_xlfn.ANCHORARRAY(_xlfn.XLOOKUP($C58,'-ref_Distribution'!$B$146:$B$150,'-ref_Distribution'!$G$146:$G$150)),RIGHT(S$1,2))</f>
        <v>177</v>
      </c>
      <c r="T58" s="16" cm="1">
        <f t="array" ref="T58">INDEX(_xlfn.ANCHORARRAY(_xlfn.XLOOKUP($C58,'-ref_Distribution'!$B$146:$B$150,'-ref_Distribution'!$G$146:$G$150)),RIGHT(T$1,2))</f>
        <v>146</v>
      </c>
      <c r="U58" s="16" cm="1">
        <f t="array" ref="U58">INDEX(_xlfn.ANCHORARRAY(_xlfn.XLOOKUP($C58,'-ref_Distribution'!$B$146:$B$150,'-ref_Distribution'!$G$146:$G$150)),RIGHT(U$1,2))</f>
        <v>119</v>
      </c>
      <c r="V58" s="16" cm="1">
        <f t="array" ref="V58">INDEX(_xlfn.ANCHORARRAY(_xlfn.XLOOKUP($C58,'-ref_Distribution'!$B$146:$B$150,'-ref_Distribution'!$G$146:$G$150)),RIGHT(V$1,2))</f>
        <v>96</v>
      </c>
      <c r="W58" s="16" cm="1">
        <f t="array" ref="W58">INDEX(_xlfn.ANCHORARRAY(_xlfn.XLOOKUP($C58,'-ref_Distribution'!$B$146:$B$150,'-ref_Distribution'!$G$146:$G$150)),RIGHT(W$1,2))</f>
        <v>76</v>
      </c>
      <c r="X58" s="16" cm="1">
        <f t="array" ref="X58">INDEX(_xlfn.ANCHORARRAY(_xlfn.XLOOKUP($C58,'-ref_Distribution'!$B$146:$B$150,'-ref_Distribution'!$G$146:$G$150)),RIGHT(X$1,2))</f>
        <v>709</v>
      </c>
      <c r="Y58" s="16" cm="1">
        <f t="array" ref="Y58">INDEX(_xlfn.ANCHORARRAY(_xlfn.XLOOKUP($C58,'-ref_Distribution'!$B$146:$B$150,'-ref_Distribution'!$G$146:$G$150)),RIGHT(Y$1,2))</f>
        <v>705</v>
      </c>
      <c r="Z58" s="16" cm="1">
        <f t="array" ref="Z58">INDEX(_xlfn.ANCHORARRAY(_xlfn.XLOOKUP($C58,'-ref_Distribution'!$B$146:$B$150,'-ref_Distribution'!$G$146:$G$150)),RIGHT(Z$1,2))</f>
        <v>692</v>
      </c>
      <c r="AA58" s="16" cm="1">
        <f t="array" ref="AA58">INDEX(_xlfn.ANCHORARRAY(_xlfn.XLOOKUP($C58,'-ref_Distribution'!$B$146:$B$150,'-ref_Distribution'!$G$146:$G$150)),RIGHT(AA$1,2))</f>
        <v>671</v>
      </c>
      <c r="AB58" s="16" cm="1">
        <f t="array" ref="AB58">INDEX(_xlfn.ANCHORARRAY(_xlfn.XLOOKUP($C58,'-ref_Distribution'!$B$146:$B$150,'-ref_Distribution'!$G$146:$G$150)),RIGHT(AB$1,2))</f>
        <v>643</v>
      </c>
      <c r="AC58" s="16" cm="1">
        <f t="array" ref="AC58">INDEX(_xlfn.ANCHORARRAY(_xlfn.XLOOKUP($C58,'-ref_Distribution'!$B$146:$B$150,'-ref_Distribution'!$G$146:$G$150)),RIGHT(AC$1,2))</f>
        <v>608</v>
      </c>
      <c r="AD58" s="16" cm="1">
        <f t="array" ref="AD58">INDEX(_xlfn.ANCHORARRAY(_xlfn.XLOOKUP($C58,'-ref_Distribution'!$B$146:$B$150,'-ref_Distribution'!$G$146:$G$150)),RIGHT(AD$1,2))</f>
        <v>568</v>
      </c>
      <c r="AE58" s="16" cm="1">
        <f t="array" ref="AE58">INDEX(_xlfn.ANCHORARRAY(_xlfn.XLOOKUP($C58,'-ref_Distribution'!$B$146:$B$150,'-ref_Distribution'!$G$146:$G$150)),RIGHT(AE$1,2))</f>
        <v>524</v>
      </c>
      <c r="AF58" s="16" cm="1">
        <f t="array" ref="AF58">INDEX(_xlfn.ANCHORARRAY(_xlfn.XLOOKUP($C58,'-ref_Distribution'!$B$146:$B$150,'-ref_Distribution'!$G$146:$G$150)),RIGHT(AF$1,2))</f>
        <v>478</v>
      </c>
      <c r="AG58" s="16" cm="1">
        <f t="array" ref="AG58">INDEX(_xlfn.ANCHORARRAY(_xlfn.XLOOKUP($C58,'-ref_Distribution'!$B$146:$B$150,'-ref_Distribution'!$G$146:$G$150)),RIGHT(AG$1,2))</f>
        <v>430</v>
      </c>
      <c r="AH58" s="16" cm="1">
        <f t="array" ref="AH58">INDEX(_xlfn.ANCHORARRAY(_xlfn.XLOOKUP($C58,'-ref_Distribution'!$B$146:$B$150,'-ref_Distribution'!$G$146:$G$150)),RIGHT(AH$1,2))</f>
        <v>383</v>
      </c>
      <c r="AI58" s="16" cm="1">
        <f t="array" ref="AI58">INDEX(_xlfn.ANCHORARRAY(_xlfn.XLOOKUP($C58,'-ref_Distribution'!$B$146:$B$150,'-ref_Distribution'!$G$146:$G$150)),RIGHT(AI$1,2))</f>
        <v>336</v>
      </c>
      <c r="AJ58" s="16" cm="1">
        <f t="array" ref="AJ58">INDEX(_xlfn.ANCHORARRAY(_xlfn.XLOOKUP($C58,'-ref_Distribution'!$B$146:$B$150,'-ref_Distribution'!$G$146:$G$150)),RIGHT(AJ$1,2))</f>
        <v>292</v>
      </c>
      <c r="AK58" s="16" cm="1">
        <f t="array" ref="AK58">INDEX(_xlfn.ANCHORARRAY(_xlfn.XLOOKUP($C58,'-ref_Distribution'!$B$146:$B$150,'-ref_Distribution'!$G$146:$G$150)),RIGHT(AK$1,2))</f>
        <v>250</v>
      </c>
      <c r="AL58" s="16" cm="1">
        <f t="array" ref="AL58">INDEX(_xlfn.ANCHORARRAY(_xlfn.XLOOKUP($C58,'-ref_Distribution'!$B$146:$B$150,'-ref_Distribution'!$G$146:$G$150)),RIGHT(AL$1,2))</f>
        <v>212</v>
      </c>
      <c r="AM58" s="16" cm="1">
        <f t="array" ref="AM58">INDEX(_xlfn.ANCHORARRAY(_xlfn.XLOOKUP($C58,'-ref_Distribution'!$B$146:$B$150,'-ref_Distribution'!$G$146:$G$150)),RIGHT(AM$1,2))</f>
        <v>177</v>
      </c>
      <c r="AN58" s="16" cm="1">
        <f t="array" ref="AN58">INDEX(_xlfn.ANCHORARRAY(_xlfn.XLOOKUP($C58,'-ref_Distribution'!$B$146:$B$150,'-ref_Distribution'!$G$146:$G$150)),RIGHT(AN$1,2))</f>
        <v>146</v>
      </c>
      <c r="AO58" s="16" cm="1">
        <f t="array" ref="AO58">INDEX(_xlfn.ANCHORARRAY(_xlfn.XLOOKUP($C58,'-ref_Distribution'!$B$146:$B$150,'-ref_Distribution'!$G$146:$G$150)),RIGHT(AO$1,2))</f>
        <v>119</v>
      </c>
      <c r="AP58" s="16" cm="1">
        <f t="array" ref="AP58">INDEX(_xlfn.ANCHORARRAY(_xlfn.XLOOKUP($C58,'-ref_Distribution'!$B$146:$B$150,'-ref_Distribution'!$G$146:$G$150)),RIGHT(AP$1,2))</f>
        <v>96</v>
      </c>
      <c r="AQ58" s="16" cm="1">
        <f t="array" ref="AQ58">INDEX(_xlfn.ANCHORARRAY(_xlfn.XLOOKUP($C58,'-ref_Distribution'!$B$146:$B$150,'-ref_Distribution'!$G$146:$G$150)),RIGHT(AQ$1,2))</f>
        <v>76</v>
      </c>
      <c r="AR58" s="16" cm="1">
        <f t="array" ref="AR58">INDEX(_xlfn.ANCHORARRAY(_xlfn.XLOOKUP($C58,'-ref_Distribution'!$B$146:$B$150,'-ref_Distribution'!$G$146:$G$150)),RIGHT(AR$1,2))</f>
        <v>709</v>
      </c>
      <c r="AS58" s="16" cm="1">
        <f t="array" ref="AS58">INDEX(_xlfn.ANCHORARRAY(_xlfn.XLOOKUP($C58,'-ref_Distribution'!$B$146:$B$150,'-ref_Distribution'!$G$146:$G$150)),RIGHT(AS$1,2))</f>
        <v>705</v>
      </c>
      <c r="AT58" s="16" cm="1">
        <f t="array" ref="AT58">INDEX(_xlfn.ANCHORARRAY(_xlfn.XLOOKUP($C58,'-ref_Distribution'!$B$146:$B$150,'-ref_Distribution'!$G$146:$G$150)),RIGHT(AT$1,2))</f>
        <v>692</v>
      </c>
      <c r="AU58" s="16" cm="1">
        <f t="array" ref="AU58">INDEX(_xlfn.ANCHORARRAY(_xlfn.XLOOKUP($C58,'-ref_Distribution'!$B$146:$B$150,'-ref_Distribution'!$G$146:$G$150)),RIGHT(AU$1,2))</f>
        <v>671</v>
      </c>
      <c r="AV58" s="16" cm="1">
        <f t="array" ref="AV58">INDEX(_xlfn.ANCHORARRAY(_xlfn.XLOOKUP($C58,'-ref_Distribution'!$B$146:$B$150,'-ref_Distribution'!$G$146:$G$150)),RIGHT(AV$1,2))</f>
        <v>643</v>
      </c>
      <c r="AW58" s="16" cm="1">
        <f t="array" ref="AW58">INDEX(_xlfn.ANCHORARRAY(_xlfn.XLOOKUP($C58,'-ref_Distribution'!$B$146:$B$150,'-ref_Distribution'!$G$146:$G$150)),RIGHT(AW$1,2))</f>
        <v>608</v>
      </c>
      <c r="AX58" s="16" cm="1">
        <f t="array" ref="AX58">INDEX(_xlfn.ANCHORARRAY(_xlfn.XLOOKUP($C58,'-ref_Distribution'!$B$146:$B$150,'-ref_Distribution'!$G$146:$G$150)),RIGHT(AX$1,2))</f>
        <v>568</v>
      </c>
      <c r="AY58" s="16" cm="1">
        <f t="array" ref="AY58">INDEX(_xlfn.ANCHORARRAY(_xlfn.XLOOKUP($C58,'-ref_Distribution'!$B$146:$B$150,'-ref_Distribution'!$G$146:$G$150)),RIGHT(AY$1,2))</f>
        <v>524</v>
      </c>
      <c r="AZ58" s="16" cm="1">
        <f t="array" ref="AZ58">INDEX(_xlfn.ANCHORARRAY(_xlfn.XLOOKUP($C58,'-ref_Distribution'!$B$146:$B$150,'-ref_Distribution'!$G$146:$G$150)),RIGHT(AZ$1,2))</f>
        <v>478</v>
      </c>
      <c r="BA58" s="16" cm="1">
        <f t="array" ref="BA58">INDEX(_xlfn.ANCHORARRAY(_xlfn.XLOOKUP($C58,'-ref_Distribution'!$B$146:$B$150,'-ref_Distribution'!$G$146:$G$150)),RIGHT(BA$1,2))</f>
        <v>430</v>
      </c>
      <c r="BB58" s="16" cm="1">
        <f t="array" ref="BB58">INDEX(_xlfn.ANCHORARRAY(_xlfn.XLOOKUP($C58,'-ref_Distribution'!$B$146:$B$150,'-ref_Distribution'!$G$146:$G$150)),RIGHT(BB$1,2))</f>
        <v>383</v>
      </c>
      <c r="BC58" s="16" cm="1">
        <f t="array" ref="BC58">INDEX(_xlfn.ANCHORARRAY(_xlfn.XLOOKUP($C58,'-ref_Distribution'!$B$146:$B$150,'-ref_Distribution'!$G$146:$G$150)),RIGHT(BC$1,2))</f>
        <v>336</v>
      </c>
      <c r="BD58" s="16" cm="1">
        <f t="array" ref="BD58">INDEX(_xlfn.ANCHORARRAY(_xlfn.XLOOKUP($C58,'-ref_Distribution'!$B$146:$B$150,'-ref_Distribution'!$G$146:$G$150)),RIGHT(BD$1,2))</f>
        <v>292</v>
      </c>
      <c r="BE58" s="16" cm="1">
        <f t="array" ref="BE58">INDEX(_xlfn.ANCHORARRAY(_xlfn.XLOOKUP($C58,'-ref_Distribution'!$B$146:$B$150,'-ref_Distribution'!$G$146:$G$150)),RIGHT(BE$1,2))</f>
        <v>250</v>
      </c>
      <c r="BF58" s="16" cm="1">
        <f t="array" ref="BF58">INDEX(_xlfn.ANCHORARRAY(_xlfn.XLOOKUP($C58,'-ref_Distribution'!$B$146:$B$150,'-ref_Distribution'!$G$146:$G$150)),RIGHT(BF$1,2))</f>
        <v>212</v>
      </c>
      <c r="BG58" s="16" cm="1">
        <f t="array" ref="BG58">INDEX(_xlfn.ANCHORARRAY(_xlfn.XLOOKUP($C58,'-ref_Distribution'!$B$146:$B$150,'-ref_Distribution'!$G$146:$G$150)),RIGHT(BG$1,2))</f>
        <v>177</v>
      </c>
      <c r="BH58" s="16" cm="1">
        <f t="array" ref="BH58">INDEX(_xlfn.ANCHORARRAY(_xlfn.XLOOKUP($C58,'-ref_Distribution'!$B$146:$B$150,'-ref_Distribution'!$G$146:$G$150)),RIGHT(BH$1,2))</f>
        <v>146</v>
      </c>
      <c r="BI58" s="16" cm="1">
        <f t="array" ref="BI58">INDEX(_xlfn.ANCHORARRAY(_xlfn.XLOOKUP($C58,'-ref_Distribution'!$B$146:$B$150,'-ref_Distribution'!$G$146:$G$150)),RIGHT(BI$1,2))</f>
        <v>119</v>
      </c>
      <c r="BJ58" s="16" cm="1">
        <f t="array" ref="BJ58">INDEX(_xlfn.ANCHORARRAY(_xlfn.XLOOKUP($C58,'-ref_Distribution'!$B$146:$B$150,'-ref_Distribution'!$G$146:$G$150)),RIGHT(BJ$1,2))</f>
        <v>96</v>
      </c>
      <c r="BK58" s="16" cm="1">
        <f t="array" ref="BK58">INDEX(_xlfn.ANCHORARRAY(_xlfn.XLOOKUP($C58,'-ref_Distribution'!$B$146:$B$150,'-ref_Distribution'!$G$146:$G$150)),RIGHT(BK$1,2))</f>
        <v>76</v>
      </c>
      <c r="BL58" s="16" cm="1">
        <f t="array" ref="BL58">INDEX(_xlfn.ANCHORARRAY(_xlfn.XLOOKUP($C58,'-ref_Distribution'!$B$146:$B$150,'-ref_Distribution'!$G$146:$G$150)),RIGHT(BL$1,2))</f>
        <v>709</v>
      </c>
      <c r="BM58" s="16" cm="1">
        <f t="array" ref="BM58">INDEX(_xlfn.ANCHORARRAY(_xlfn.XLOOKUP($C58,'-ref_Distribution'!$B$146:$B$150,'-ref_Distribution'!$G$146:$G$150)),RIGHT(BM$1,2))</f>
        <v>705</v>
      </c>
      <c r="BN58" s="16" cm="1">
        <f t="array" ref="BN58">INDEX(_xlfn.ANCHORARRAY(_xlfn.XLOOKUP($C58,'-ref_Distribution'!$B$146:$B$150,'-ref_Distribution'!$G$146:$G$150)),RIGHT(BN$1,2))</f>
        <v>692</v>
      </c>
      <c r="BO58" s="16" cm="1">
        <f t="array" ref="BO58">INDEX(_xlfn.ANCHORARRAY(_xlfn.XLOOKUP($C58,'-ref_Distribution'!$B$146:$B$150,'-ref_Distribution'!$G$146:$G$150)),RIGHT(BO$1,2))</f>
        <v>671</v>
      </c>
      <c r="BP58" s="16" cm="1">
        <f t="array" ref="BP58">INDEX(_xlfn.ANCHORARRAY(_xlfn.XLOOKUP($C58,'-ref_Distribution'!$B$146:$B$150,'-ref_Distribution'!$G$146:$G$150)),RIGHT(BP$1,2))</f>
        <v>643</v>
      </c>
      <c r="BQ58" s="16" cm="1">
        <f t="array" ref="BQ58">INDEX(_xlfn.ANCHORARRAY(_xlfn.XLOOKUP($C58,'-ref_Distribution'!$B$146:$B$150,'-ref_Distribution'!$G$146:$G$150)),RIGHT(BQ$1,2))</f>
        <v>608</v>
      </c>
      <c r="BR58" s="16" cm="1">
        <f t="array" ref="BR58">INDEX(_xlfn.ANCHORARRAY(_xlfn.XLOOKUP($C58,'-ref_Distribution'!$B$146:$B$150,'-ref_Distribution'!$G$146:$G$150)),RIGHT(BR$1,2))</f>
        <v>568</v>
      </c>
      <c r="BS58" s="16" cm="1">
        <f t="array" ref="BS58">INDEX(_xlfn.ANCHORARRAY(_xlfn.XLOOKUP($C58,'-ref_Distribution'!$B$146:$B$150,'-ref_Distribution'!$G$146:$G$150)),RIGHT(BS$1,2))</f>
        <v>524</v>
      </c>
      <c r="BT58" s="16" cm="1">
        <f t="array" ref="BT58">INDEX(_xlfn.ANCHORARRAY(_xlfn.XLOOKUP($C58,'-ref_Distribution'!$B$146:$B$150,'-ref_Distribution'!$G$146:$G$150)),RIGHT(BT$1,2))</f>
        <v>478</v>
      </c>
      <c r="BU58" s="16" cm="1">
        <f t="array" ref="BU58">INDEX(_xlfn.ANCHORARRAY(_xlfn.XLOOKUP($C58,'-ref_Distribution'!$B$146:$B$150,'-ref_Distribution'!$G$146:$G$150)),RIGHT(BU$1,2))</f>
        <v>430</v>
      </c>
      <c r="BV58" s="16" cm="1">
        <f t="array" ref="BV58">INDEX(_xlfn.ANCHORARRAY(_xlfn.XLOOKUP($C58,'-ref_Distribution'!$B$146:$B$150,'-ref_Distribution'!$G$146:$G$150)),RIGHT(BV$1,2))</f>
        <v>383</v>
      </c>
      <c r="BW58" s="16" cm="1">
        <f t="array" ref="BW58">INDEX(_xlfn.ANCHORARRAY(_xlfn.XLOOKUP($C58,'-ref_Distribution'!$B$146:$B$150,'-ref_Distribution'!$G$146:$G$150)),RIGHT(BW$1,2))</f>
        <v>336</v>
      </c>
      <c r="BX58" s="16" cm="1">
        <f t="array" ref="BX58">INDEX(_xlfn.ANCHORARRAY(_xlfn.XLOOKUP($C58,'-ref_Distribution'!$B$146:$B$150,'-ref_Distribution'!$G$146:$G$150)),RIGHT(BX$1,2))</f>
        <v>292</v>
      </c>
      <c r="BY58" s="16" cm="1">
        <f t="array" ref="BY58">INDEX(_xlfn.ANCHORARRAY(_xlfn.XLOOKUP($C58,'-ref_Distribution'!$B$146:$B$150,'-ref_Distribution'!$G$146:$G$150)),RIGHT(BY$1,2))</f>
        <v>250</v>
      </c>
      <c r="BZ58" s="16" cm="1">
        <f t="array" ref="BZ58">INDEX(_xlfn.ANCHORARRAY(_xlfn.XLOOKUP($C58,'-ref_Distribution'!$B$146:$B$150,'-ref_Distribution'!$G$146:$G$150)),RIGHT(BZ$1,2))</f>
        <v>212</v>
      </c>
      <c r="CA58" s="16" cm="1">
        <f t="array" ref="CA58">INDEX(_xlfn.ANCHORARRAY(_xlfn.XLOOKUP($C58,'-ref_Distribution'!$B$146:$B$150,'-ref_Distribution'!$G$146:$G$150)),RIGHT(CA$1,2))</f>
        <v>177</v>
      </c>
      <c r="CB58" s="16" cm="1">
        <f t="array" ref="CB58">INDEX(_xlfn.ANCHORARRAY(_xlfn.XLOOKUP($C58,'-ref_Distribution'!$B$146:$B$150,'-ref_Distribution'!$G$146:$G$150)),RIGHT(CB$1,2))</f>
        <v>146</v>
      </c>
      <c r="CC58" s="16" cm="1">
        <f t="array" ref="CC58">INDEX(_xlfn.ANCHORARRAY(_xlfn.XLOOKUP($C58,'-ref_Distribution'!$B$146:$B$150,'-ref_Distribution'!$G$146:$G$150)),RIGHT(CC$1,2))</f>
        <v>119</v>
      </c>
      <c r="CD58" s="16" cm="1">
        <f t="array" ref="CD58">INDEX(_xlfn.ANCHORARRAY(_xlfn.XLOOKUP($C58,'-ref_Distribution'!$B$146:$B$150,'-ref_Distribution'!$G$146:$G$150)),RIGHT(CD$1,2))</f>
        <v>96</v>
      </c>
      <c r="CE58" s="16" cm="1">
        <f t="array" ref="CE58">INDEX(_xlfn.ANCHORARRAY(_xlfn.XLOOKUP($C58,'-ref_Distribution'!$B$146:$B$150,'-ref_Distribution'!$G$146:$G$150)),RIGHT(CE$1,2))</f>
        <v>76</v>
      </c>
    </row>
    <row r="59" spans="1:83" x14ac:dyDescent="0.2">
      <c r="A59" s="16">
        <v>302322</v>
      </c>
      <c r="B59" s="16" t="s">
        <v>205</v>
      </c>
      <c r="C59" s="16">
        <v>1</v>
      </c>
      <c r="D59" s="16" cm="1">
        <f t="array" ref="D59">INDEX(_xlfn.ANCHORARRAY(_xlfn.XLOOKUP($C59,'-ref_Distribution'!$B$146:$B$150,'-ref_Distribution'!$G$146:$G$150)),RIGHT(D$1,2))</f>
        <v>337</v>
      </c>
      <c r="E59" s="16" cm="1">
        <f t="array" ref="E59">INDEX(_xlfn.ANCHORARRAY(_xlfn.XLOOKUP($C59,'-ref_Distribution'!$B$146:$B$150,'-ref_Distribution'!$G$146:$G$150)),RIGHT(E$1,2))</f>
        <v>364</v>
      </c>
      <c r="F59" s="16" cm="1">
        <f t="array" ref="F59">INDEX(_xlfn.ANCHORARRAY(_xlfn.XLOOKUP($C59,'-ref_Distribution'!$B$146:$B$150,'-ref_Distribution'!$G$146:$G$150)),RIGHT(F$1,2))</f>
        <v>386</v>
      </c>
      <c r="G59" s="16" cm="1">
        <f t="array" ref="G59">INDEX(_xlfn.ANCHORARRAY(_xlfn.XLOOKUP($C59,'-ref_Distribution'!$B$146:$B$150,'-ref_Distribution'!$G$146:$G$150)),RIGHT(G$1,2))</f>
        <v>403</v>
      </c>
      <c r="H59" s="16" cm="1">
        <f t="array" ref="H59">INDEX(_xlfn.ANCHORARRAY(_xlfn.XLOOKUP($C59,'-ref_Distribution'!$B$146:$B$150,'-ref_Distribution'!$G$146:$G$150)),RIGHT(H$1,2))</f>
        <v>414</v>
      </c>
      <c r="I59" s="16" cm="1">
        <f t="array" ref="I59">INDEX(_xlfn.ANCHORARRAY(_xlfn.XLOOKUP($C59,'-ref_Distribution'!$B$146:$B$150,'-ref_Distribution'!$G$146:$G$150)),RIGHT(I$1,2))</f>
        <v>417</v>
      </c>
      <c r="J59" s="16" cm="1">
        <f t="array" ref="J59">INDEX(_xlfn.ANCHORARRAY(_xlfn.XLOOKUP($C59,'-ref_Distribution'!$B$146:$B$150,'-ref_Distribution'!$G$146:$G$150)),RIGHT(J$1,2))</f>
        <v>414</v>
      </c>
      <c r="K59" s="16" cm="1">
        <f t="array" ref="K59">INDEX(_xlfn.ANCHORARRAY(_xlfn.XLOOKUP($C59,'-ref_Distribution'!$B$146:$B$150,'-ref_Distribution'!$G$146:$G$150)),RIGHT(K$1,2))</f>
        <v>403</v>
      </c>
      <c r="L59" s="16" cm="1">
        <f t="array" ref="L59">INDEX(_xlfn.ANCHORARRAY(_xlfn.XLOOKUP($C59,'-ref_Distribution'!$B$146:$B$150,'-ref_Distribution'!$G$146:$G$150)),RIGHT(L$1,2))</f>
        <v>386</v>
      </c>
      <c r="M59" s="16" cm="1">
        <f t="array" ref="M59">INDEX(_xlfn.ANCHORARRAY(_xlfn.XLOOKUP($C59,'-ref_Distribution'!$B$146:$B$150,'-ref_Distribution'!$G$146:$G$150)),RIGHT(M$1,2))</f>
        <v>364</v>
      </c>
      <c r="N59" s="16" cm="1">
        <f t="array" ref="N59">INDEX(_xlfn.ANCHORARRAY(_xlfn.XLOOKUP($C59,'-ref_Distribution'!$B$146:$B$150,'-ref_Distribution'!$G$146:$G$150)),RIGHT(N$1,2))</f>
        <v>337</v>
      </c>
      <c r="O59" s="16" cm="1">
        <f t="array" ref="O59">INDEX(_xlfn.ANCHORARRAY(_xlfn.XLOOKUP($C59,'-ref_Distribution'!$B$146:$B$150,'-ref_Distribution'!$G$146:$G$150)),RIGHT(O$1,2))</f>
        <v>307</v>
      </c>
      <c r="P59" s="16" cm="1">
        <f t="array" ref="P59">INDEX(_xlfn.ANCHORARRAY(_xlfn.XLOOKUP($C59,'-ref_Distribution'!$B$146:$B$150,'-ref_Distribution'!$G$146:$G$150)),RIGHT(P$1,2))</f>
        <v>274</v>
      </c>
      <c r="Q59" s="16" cm="1">
        <f t="array" ref="Q59">INDEX(_xlfn.ANCHORARRAY(_xlfn.XLOOKUP($C59,'-ref_Distribution'!$B$146:$B$150,'-ref_Distribution'!$G$146:$G$150)),RIGHT(Q$1,2))</f>
        <v>241</v>
      </c>
      <c r="R59" s="16" cm="1">
        <f t="array" ref="R59">INDEX(_xlfn.ANCHORARRAY(_xlfn.XLOOKUP($C59,'-ref_Distribution'!$B$146:$B$150,'-ref_Distribution'!$G$146:$G$150)),RIGHT(R$1,2))</f>
        <v>209</v>
      </c>
      <c r="S59" s="16" cm="1">
        <f t="array" ref="S59">INDEX(_xlfn.ANCHORARRAY(_xlfn.XLOOKUP($C59,'-ref_Distribution'!$B$146:$B$150,'-ref_Distribution'!$G$146:$G$150)),RIGHT(S$1,2))</f>
        <v>178</v>
      </c>
      <c r="T59" s="16" cm="1">
        <f t="array" ref="T59">INDEX(_xlfn.ANCHORARRAY(_xlfn.XLOOKUP($C59,'-ref_Distribution'!$B$146:$B$150,'-ref_Distribution'!$G$146:$G$150)),RIGHT(T$1,2))</f>
        <v>148</v>
      </c>
      <c r="U59" s="16" cm="1">
        <f t="array" ref="U59">INDEX(_xlfn.ANCHORARRAY(_xlfn.XLOOKUP($C59,'-ref_Distribution'!$B$146:$B$150,'-ref_Distribution'!$G$146:$G$150)),RIGHT(U$1,2))</f>
        <v>122</v>
      </c>
      <c r="V59" s="16" cm="1">
        <f t="array" ref="V59">INDEX(_xlfn.ANCHORARRAY(_xlfn.XLOOKUP($C59,'-ref_Distribution'!$B$146:$B$150,'-ref_Distribution'!$G$146:$G$150)),RIGHT(V$1,2))</f>
        <v>98</v>
      </c>
      <c r="W59" s="16" cm="1">
        <f t="array" ref="W59">INDEX(_xlfn.ANCHORARRAY(_xlfn.XLOOKUP($C59,'-ref_Distribution'!$B$146:$B$150,'-ref_Distribution'!$G$146:$G$150)),RIGHT(W$1,2))</f>
        <v>78</v>
      </c>
      <c r="X59" s="16" cm="1">
        <f t="array" ref="X59">INDEX(_xlfn.ANCHORARRAY(_xlfn.XLOOKUP($C59,'-ref_Distribution'!$B$146:$B$150,'-ref_Distribution'!$G$146:$G$150)),RIGHT(X$1,2))</f>
        <v>337</v>
      </c>
      <c r="Y59" s="16" cm="1">
        <f t="array" ref="Y59">INDEX(_xlfn.ANCHORARRAY(_xlfn.XLOOKUP($C59,'-ref_Distribution'!$B$146:$B$150,'-ref_Distribution'!$G$146:$G$150)),RIGHT(Y$1,2))</f>
        <v>364</v>
      </c>
      <c r="Z59" s="16" cm="1">
        <f t="array" ref="Z59">INDEX(_xlfn.ANCHORARRAY(_xlfn.XLOOKUP($C59,'-ref_Distribution'!$B$146:$B$150,'-ref_Distribution'!$G$146:$G$150)),RIGHT(Z$1,2))</f>
        <v>386</v>
      </c>
      <c r="AA59" s="16" cm="1">
        <f t="array" ref="AA59">INDEX(_xlfn.ANCHORARRAY(_xlfn.XLOOKUP($C59,'-ref_Distribution'!$B$146:$B$150,'-ref_Distribution'!$G$146:$G$150)),RIGHT(AA$1,2))</f>
        <v>403</v>
      </c>
      <c r="AB59" s="16" cm="1">
        <f t="array" ref="AB59">INDEX(_xlfn.ANCHORARRAY(_xlfn.XLOOKUP($C59,'-ref_Distribution'!$B$146:$B$150,'-ref_Distribution'!$G$146:$G$150)),RIGHT(AB$1,2))</f>
        <v>414</v>
      </c>
      <c r="AC59" s="16" cm="1">
        <f t="array" ref="AC59">INDEX(_xlfn.ANCHORARRAY(_xlfn.XLOOKUP($C59,'-ref_Distribution'!$B$146:$B$150,'-ref_Distribution'!$G$146:$G$150)),RIGHT(AC$1,2))</f>
        <v>417</v>
      </c>
      <c r="AD59" s="16" cm="1">
        <f t="array" ref="AD59">INDEX(_xlfn.ANCHORARRAY(_xlfn.XLOOKUP($C59,'-ref_Distribution'!$B$146:$B$150,'-ref_Distribution'!$G$146:$G$150)),RIGHT(AD$1,2))</f>
        <v>414</v>
      </c>
      <c r="AE59" s="16" cm="1">
        <f t="array" ref="AE59">INDEX(_xlfn.ANCHORARRAY(_xlfn.XLOOKUP($C59,'-ref_Distribution'!$B$146:$B$150,'-ref_Distribution'!$G$146:$G$150)),RIGHT(AE$1,2))</f>
        <v>403</v>
      </c>
      <c r="AF59" s="16" cm="1">
        <f t="array" ref="AF59">INDEX(_xlfn.ANCHORARRAY(_xlfn.XLOOKUP($C59,'-ref_Distribution'!$B$146:$B$150,'-ref_Distribution'!$G$146:$G$150)),RIGHT(AF$1,2))</f>
        <v>386</v>
      </c>
      <c r="AG59" s="16" cm="1">
        <f t="array" ref="AG59">INDEX(_xlfn.ANCHORARRAY(_xlfn.XLOOKUP($C59,'-ref_Distribution'!$B$146:$B$150,'-ref_Distribution'!$G$146:$G$150)),RIGHT(AG$1,2))</f>
        <v>364</v>
      </c>
      <c r="AH59" s="16" cm="1">
        <f t="array" ref="AH59">INDEX(_xlfn.ANCHORARRAY(_xlfn.XLOOKUP($C59,'-ref_Distribution'!$B$146:$B$150,'-ref_Distribution'!$G$146:$G$150)),RIGHT(AH$1,2))</f>
        <v>337</v>
      </c>
      <c r="AI59" s="16" cm="1">
        <f t="array" ref="AI59">INDEX(_xlfn.ANCHORARRAY(_xlfn.XLOOKUP($C59,'-ref_Distribution'!$B$146:$B$150,'-ref_Distribution'!$G$146:$G$150)),RIGHT(AI$1,2))</f>
        <v>307</v>
      </c>
      <c r="AJ59" s="16" cm="1">
        <f t="array" ref="AJ59">INDEX(_xlfn.ANCHORARRAY(_xlfn.XLOOKUP($C59,'-ref_Distribution'!$B$146:$B$150,'-ref_Distribution'!$G$146:$G$150)),RIGHT(AJ$1,2))</f>
        <v>274</v>
      </c>
      <c r="AK59" s="16" cm="1">
        <f t="array" ref="AK59">INDEX(_xlfn.ANCHORARRAY(_xlfn.XLOOKUP($C59,'-ref_Distribution'!$B$146:$B$150,'-ref_Distribution'!$G$146:$G$150)),RIGHT(AK$1,2))</f>
        <v>241</v>
      </c>
      <c r="AL59" s="16" cm="1">
        <f t="array" ref="AL59">INDEX(_xlfn.ANCHORARRAY(_xlfn.XLOOKUP($C59,'-ref_Distribution'!$B$146:$B$150,'-ref_Distribution'!$G$146:$G$150)),RIGHT(AL$1,2))</f>
        <v>209</v>
      </c>
      <c r="AM59" s="16" cm="1">
        <f t="array" ref="AM59">INDEX(_xlfn.ANCHORARRAY(_xlfn.XLOOKUP($C59,'-ref_Distribution'!$B$146:$B$150,'-ref_Distribution'!$G$146:$G$150)),RIGHT(AM$1,2))</f>
        <v>178</v>
      </c>
      <c r="AN59" s="16" cm="1">
        <f t="array" ref="AN59">INDEX(_xlfn.ANCHORARRAY(_xlfn.XLOOKUP($C59,'-ref_Distribution'!$B$146:$B$150,'-ref_Distribution'!$G$146:$G$150)),RIGHT(AN$1,2))</f>
        <v>148</v>
      </c>
      <c r="AO59" s="16" cm="1">
        <f t="array" ref="AO59">INDEX(_xlfn.ANCHORARRAY(_xlfn.XLOOKUP($C59,'-ref_Distribution'!$B$146:$B$150,'-ref_Distribution'!$G$146:$G$150)),RIGHT(AO$1,2))</f>
        <v>122</v>
      </c>
      <c r="AP59" s="16" cm="1">
        <f t="array" ref="AP59">INDEX(_xlfn.ANCHORARRAY(_xlfn.XLOOKUP($C59,'-ref_Distribution'!$B$146:$B$150,'-ref_Distribution'!$G$146:$G$150)),RIGHT(AP$1,2))</f>
        <v>98</v>
      </c>
      <c r="AQ59" s="16" cm="1">
        <f t="array" ref="AQ59">INDEX(_xlfn.ANCHORARRAY(_xlfn.XLOOKUP($C59,'-ref_Distribution'!$B$146:$B$150,'-ref_Distribution'!$G$146:$G$150)),RIGHT(AQ$1,2))</f>
        <v>78</v>
      </c>
      <c r="AR59" s="16" cm="1">
        <f t="array" ref="AR59">INDEX(_xlfn.ANCHORARRAY(_xlfn.XLOOKUP($C59,'-ref_Distribution'!$B$146:$B$150,'-ref_Distribution'!$G$146:$G$150)),RIGHT(AR$1,2))</f>
        <v>337</v>
      </c>
      <c r="AS59" s="16" cm="1">
        <f t="array" ref="AS59">INDEX(_xlfn.ANCHORARRAY(_xlfn.XLOOKUP($C59,'-ref_Distribution'!$B$146:$B$150,'-ref_Distribution'!$G$146:$G$150)),RIGHT(AS$1,2))</f>
        <v>364</v>
      </c>
      <c r="AT59" s="16" cm="1">
        <f t="array" ref="AT59">INDEX(_xlfn.ANCHORARRAY(_xlfn.XLOOKUP($C59,'-ref_Distribution'!$B$146:$B$150,'-ref_Distribution'!$G$146:$G$150)),RIGHT(AT$1,2))</f>
        <v>386</v>
      </c>
      <c r="AU59" s="16" cm="1">
        <f t="array" ref="AU59">INDEX(_xlfn.ANCHORARRAY(_xlfn.XLOOKUP($C59,'-ref_Distribution'!$B$146:$B$150,'-ref_Distribution'!$G$146:$G$150)),RIGHT(AU$1,2))</f>
        <v>403</v>
      </c>
      <c r="AV59" s="16" cm="1">
        <f t="array" ref="AV59">INDEX(_xlfn.ANCHORARRAY(_xlfn.XLOOKUP($C59,'-ref_Distribution'!$B$146:$B$150,'-ref_Distribution'!$G$146:$G$150)),RIGHT(AV$1,2))</f>
        <v>414</v>
      </c>
      <c r="AW59" s="16" cm="1">
        <f t="array" ref="AW59">INDEX(_xlfn.ANCHORARRAY(_xlfn.XLOOKUP($C59,'-ref_Distribution'!$B$146:$B$150,'-ref_Distribution'!$G$146:$G$150)),RIGHT(AW$1,2))</f>
        <v>417</v>
      </c>
      <c r="AX59" s="16" cm="1">
        <f t="array" ref="AX59">INDEX(_xlfn.ANCHORARRAY(_xlfn.XLOOKUP($C59,'-ref_Distribution'!$B$146:$B$150,'-ref_Distribution'!$G$146:$G$150)),RIGHT(AX$1,2))</f>
        <v>414</v>
      </c>
      <c r="AY59" s="16" cm="1">
        <f t="array" ref="AY59">INDEX(_xlfn.ANCHORARRAY(_xlfn.XLOOKUP($C59,'-ref_Distribution'!$B$146:$B$150,'-ref_Distribution'!$G$146:$G$150)),RIGHT(AY$1,2))</f>
        <v>403</v>
      </c>
      <c r="AZ59" s="16" cm="1">
        <f t="array" ref="AZ59">INDEX(_xlfn.ANCHORARRAY(_xlfn.XLOOKUP($C59,'-ref_Distribution'!$B$146:$B$150,'-ref_Distribution'!$G$146:$G$150)),RIGHT(AZ$1,2))</f>
        <v>386</v>
      </c>
      <c r="BA59" s="16" cm="1">
        <f t="array" ref="BA59">INDEX(_xlfn.ANCHORARRAY(_xlfn.XLOOKUP($C59,'-ref_Distribution'!$B$146:$B$150,'-ref_Distribution'!$G$146:$G$150)),RIGHT(BA$1,2))</f>
        <v>364</v>
      </c>
      <c r="BB59" s="16" cm="1">
        <f t="array" ref="BB59">INDEX(_xlfn.ANCHORARRAY(_xlfn.XLOOKUP($C59,'-ref_Distribution'!$B$146:$B$150,'-ref_Distribution'!$G$146:$G$150)),RIGHT(BB$1,2))</f>
        <v>337</v>
      </c>
      <c r="BC59" s="16" cm="1">
        <f t="array" ref="BC59">INDEX(_xlfn.ANCHORARRAY(_xlfn.XLOOKUP($C59,'-ref_Distribution'!$B$146:$B$150,'-ref_Distribution'!$G$146:$G$150)),RIGHT(BC$1,2))</f>
        <v>307</v>
      </c>
      <c r="BD59" s="16" cm="1">
        <f t="array" ref="BD59">INDEX(_xlfn.ANCHORARRAY(_xlfn.XLOOKUP($C59,'-ref_Distribution'!$B$146:$B$150,'-ref_Distribution'!$G$146:$G$150)),RIGHT(BD$1,2))</f>
        <v>274</v>
      </c>
      <c r="BE59" s="16" cm="1">
        <f t="array" ref="BE59">INDEX(_xlfn.ANCHORARRAY(_xlfn.XLOOKUP($C59,'-ref_Distribution'!$B$146:$B$150,'-ref_Distribution'!$G$146:$G$150)),RIGHT(BE$1,2))</f>
        <v>241</v>
      </c>
      <c r="BF59" s="16" cm="1">
        <f t="array" ref="BF59">INDEX(_xlfn.ANCHORARRAY(_xlfn.XLOOKUP($C59,'-ref_Distribution'!$B$146:$B$150,'-ref_Distribution'!$G$146:$G$150)),RIGHT(BF$1,2))</f>
        <v>209</v>
      </c>
      <c r="BG59" s="16" cm="1">
        <f t="array" ref="BG59">INDEX(_xlfn.ANCHORARRAY(_xlfn.XLOOKUP($C59,'-ref_Distribution'!$B$146:$B$150,'-ref_Distribution'!$G$146:$G$150)),RIGHT(BG$1,2))</f>
        <v>178</v>
      </c>
      <c r="BH59" s="16" cm="1">
        <f t="array" ref="BH59">INDEX(_xlfn.ANCHORARRAY(_xlfn.XLOOKUP($C59,'-ref_Distribution'!$B$146:$B$150,'-ref_Distribution'!$G$146:$G$150)),RIGHT(BH$1,2))</f>
        <v>148</v>
      </c>
      <c r="BI59" s="16" cm="1">
        <f t="array" ref="BI59">INDEX(_xlfn.ANCHORARRAY(_xlfn.XLOOKUP($C59,'-ref_Distribution'!$B$146:$B$150,'-ref_Distribution'!$G$146:$G$150)),RIGHT(BI$1,2))</f>
        <v>122</v>
      </c>
      <c r="BJ59" s="16" cm="1">
        <f t="array" ref="BJ59">INDEX(_xlfn.ANCHORARRAY(_xlfn.XLOOKUP($C59,'-ref_Distribution'!$B$146:$B$150,'-ref_Distribution'!$G$146:$G$150)),RIGHT(BJ$1,2))</f>
        <v>98</v>
      </c>
      <c r="BK59" s="16" cm="1">
        <f t="array" ref="BK59">INDEX(_xlfn.ANCHORARRAY(_xlfn.XLOOKUP($C59,'-ref_Distribution'!$B$146:$B$150,'-ref_Distribution'!$G$146:$G$150)),RIGHT(BK$1,2))</f>
        <v>78</v>
      </c>
      <c r="BL59" s="16" cm="1">
        <f t="array" ref="BL59">INDEX(_xlfn.ANCHORARRAY(_xlfn.XLOOKUP($C59,'-ref_Distribution'!$B$146:$B$150,'-ref_Distribution'!$G$146:$G$150)),RIGHT(BL$1,2))</f>
        <v>337</v>
      </c>
      <c r="BM59" s="16" cm="1">
        <f t="array" ref="BM59">INDEX(_xlfn.ANCHORARRAY(_xlfn.XLOOKUP($C59,'-ref_Distribution'!$B$146:$B$150,'-ref_Distribution'!$G$146:$G$150)),RIGHT(BM$1,2))</f>
        <v>364</v>
      </c>
      <c r="BN59" s="16" cm="1">
        <f t="array" ref="BN59">INDEX(_xlfn.ANCHORARRAY(_xlfn.XLOOKUP($C59,'-ref_Distribution'!$B$146:$B$150,'-ref_Distribution'!$G$146:$G$150)),RIGHT(BN$1,2))</f>
        <v>386</v>
      </c>
      <c r="BO59" s="16" cm="1">
        <f t="array" ref="BO59">INDEX(_xlfn.ANCHORARRAY(_xlfn.XLOOKUP($C59,'-ref_Distribution'!$B$146:$B$150,'-ref_Distribution'!$G$146:$G$150)),RIGHT(BO$1,2))</f>
        <v>403</v>
      </c>
      <c r="BP59" s="16" cm="1">
        <f t="array" ref="BP59">INDEX(_xlfn.ANCHORARRAY(_xlfn.XLOOKUP($C59,'-ref_Distribution'!$B$146:$B$150,'-ref_Distribution'!$G$146:$G$150)),RIGHT(BP$1,2))</f>
        <v>414</v>
      </c>
      <c r="BQ59" s="16" cm="1">
        <f t="array" ref="BQ59">INDEX(_xlfn.ANCHORARRAY(_xlfn.XLOOKUP($C59,'-ref_Distribution'!$B$146:$B$150,'-ref_Distribution'!$G$146:$G$150)),RIGHT(BQ$1,2))</f>
        <v>417</v>
      </c>
      <c r="BR59" s="16" cm="1">
        <f t="array" ref="BR59">INDEX(_xlfn.ANCHORARRAY(_xlfn.XLOOKUP($C59,'-ref_Distribution'!$B$146:$B$150,'-ref_Distribution'!$G$146:$G$150)),RIGHT(BR$1,2))</f>
        <v>414</v>
      </c>
      <c r="BS59" s="16" cm="1">
        <f t="array" ref="BS59">INDEX(_xlfn.ANCHORARRAY(_xlfn.XLOOKUP($C59,'-ref_Distribution'!$B$146:$B$150,'-ref_Distribution'!$G$146:$G$150)),RIGHT(BS$1,2))</f>
        <v>403</v>
      </c>
      <c r="BT59" s="16" cm="1">
        <f t="array" ref="BT59">INDEX(_xlfn.ANCHORARRAY(_xlfn.XLOOKUP($C59,'-ref_Distribution'!$B$146:$B$150,'-ref_Distribution'!$G$146:$G$150)),RIGHT(BT$1,2))</f>
        <v>386</v>
      </c>
      <c r="BU59" s="16" cm="1">
        <f t="array" ref="BU59">INDEX(_xlfn.ANCHORARRAY(_xlfn.XLOOKUP($C59,'-ref_Distribution'!$B$146:$B$150,'-ref_Distribution'!$G$146:$G$150)),RIGHT(BU$1,2))</f>
        <v>364</v>
      </c>
      <c r="BV59" s="16" cm="1">
        <f t="array" ref="BV59">INDEX(_xlfn.ANCHORARRAY(_xlfn.XLOOKUP($C59,'-ref_Distribution'!$B$146:$B$150,'-ref_Distribution'!$G$146:$G$150)),RIGHT(BV$1,2))</f>
        <v>337</v>
      </c>
      <c r="BW59" s="16" cm="1">
        <f t="array" ref="BW59">INDEX(_xlfn.ANCHORARRAY(_xlfn.XLOOKUP($C59,'-ref_Distribution'!$B$146:$B$150,'-ref_Distribution'!$G$146:$G$150)),RIGHT(BW$1,2))</f>
        <v>307</v>
      </c>
      <c r="BX59" s="16" cm="1">
        <f t="array" ref="BX59">INDEX(_xlfn.ANCHORARRAY(_xlfn.XLOOKUP($C59,'-ref_Distribution'!$B$146:$B$150,'-ref_Distribution'!$G$146:$G$150)),RIGHT(BX$1,2))</f>
        <v>274</v>
      </c>
      <c r="BY59" s="16" cm="1">
        <f t="array" ref="BY59">INDEX(_xlfn.ANCHORARRAY(_xlfn.XLOOKUP($C59,'-ref_Distribution'!$B$146:$B$150,'-ref_Distribution'!$G$146:$G$150)),RIGHT(BY$1,2))</f>
        <v>241</v>
      </c>
      <c r="BZ59" s="16" cm="1">
        <f t="array" ref="BZ59">INDEX(_xlfn.ANCHORARRAY(_xlfn.XLOOKUP($C59,'-ref_Distribution'!$B$146:$B$150,'-ref_Distribution'!$G$146:$G$150)),RIGHT(BZ$1,2))</f>
        <v>209</v>
      </c>
      <c r="CA59" s="16" cm="1">
        <f t="array" ref="CA59">INDEX(_xlfn.ANCHORARRAY(_xlfn.XLOOKUP($C59,'-ref_Distribution'!$B$146:$B$150,'-ref_Distribution'!$G$146:$G$150)),RIGHT(CA$1,2))</f>
        <v>178</v>
      </c>
      <c r="CB59" s="16" cm="1">
        <f t="array" ref="CB59">INDEX(_xlfn.ANCHORARRAY(_xlfn.XLOOKUP($C59,'-ref_Distribution'!$B$146:$B$150,'-ref_Distribution'!$G$146:$G$150)),RIGHT(CB$1,2))</f>
        <v>148</v>
      </c>
      <c r="CC59" s="16" cm="1">
        <f t="array" ref="CC59">INDEX(_xlfn.ANCHORARRAY(_xlfn.XLOOKUP($C59,'-ref_Distribution'!$B$146:$B$150,'-ref_Distribution'!$G$146:$G$150)),RIGHT(CC$1,2))</f>
        <v>122</v>
      </c>
      <c r="CD59" s="16" cm="1">
        <f t="array" ref="CD59">INDEX(_xlfn.ANCHORARRAY(_xlfn.XLOOKUP($C59,'-ref_Distribution'!$B$146:$B$150,'-ref_Distribution'!$G$146:$G$150)),RIGHT(CD$1,2))</f>
        <v>98</v>
      </c>
      <c r="CE59" s="16" cm="1">
        <f t="array" ref="CE59">INDEX(_xlfn.ANCHORARRAY(_xlfn.XLOOKUP($C59,'-ref_Distribution'!$B$146:$B$150,'-ref_Distribution'!$G$146:$G$150)),RIGHT(CE$1,2))</f>
        <v>78</v>
      </c>
    </row>
    <row r="60" spans="1:83" x14ac:dyDescent="0.2">
      <c r="A60" s="16">
        <v>302323</v>
      </c>
      <c r="B60" s="16" t="s">
        <v>205</v>
      </c>
      <c r="C60" s="16">
        <v>2</v>
      </c>
      <c r="D60" s="16" cm="1">
        <f t="array" ref="D60">INDEX(_xlfn.ANCHORARRAY(_xlfn.XLOOKUP($C60,'-ref_Distribution'!$B$146:$B$150,'-ref_Distribution'!$G$146:$G$150)),RIGHT(D$1,2))</f>
        <v>75</v>
      </c>
      <c r="E60" s="16" cm="1">
        <f t="array" ref="E60">INDEX(_xlfn.ANCHORARRAY(_xlfn.XLOOKUP($C60,'-ref_Distribution'!$B$146:$B$150,'-ref_Distribution'!$G$146:$G$150)),RIGHT(E$1,2))</f>
        <v>94</v>
      </c>
      <c r="F60" s="16" cm="1">
        <f t="array" ref="F60">INDEX(_xlfn.ANCHORARRAY(_xlfn.XLOOKUP($C60,'-ref_Distribution'!$B$146:$B$150,'-ref_Distribution'!$G$146:$G$150)),RIGHT(F$1,2))</f>
        <v>115</v>
      </c>
      <c r="G60" s="16" cm="1">
        <f t="array" ref="G60">INDEX(_xlfn.ANCHORARRAY(_xlfn.XLOOKUP($C60,'-ref_Distribution'!$B$146:$B$150,'-ref_Distribution'!$G$146:$G$150)),RIGHT(G$1,2))</f>
        <v>137</v>
      </c>
      <c r="H60" s="16" cm="1">
        <f t="array" ref="H60">INDEX(_xlfn.ANCHORARRAY(_xlfn.XLOOKUP($C60,'-ref_Distribution'!$B$146:$B$150,'-ref_Distribution'!$G$146:$G$150)),RIGHT(H$1,2))</f>
        <v>160</v>
      </c>
      <c r="I60" s="16" cm="1">
        <f t="array" ref="I60">INDEX(_xlfn.ANCHORARRAY(_xlfn.XLOOKUP($C60,'-ref_Distribution'!$B$146:$B$150,'-ref_Distribution'!$G$146:$G$150)),RIGHT(I$1,2))</f>
        <v>183</v>
      </c>
      <c r="J60" s="16" cm="1">
        <f t="array" ref="J60">INDEX(_xlfn.ANCHORARRAY(_xlfn.XLOOKUP($C60,'-ref_Distribution'!$B$146:$B$150,'-ref_Distribution'!$G$146:$G$150)),RIGHT(J$1,2))</f>
        <v>203</v>
      </c>
      <c r="K60" s="16" cm="1">
        <f t="array" ref="K60">INDEX(_xlfn.ANCHORARRAY(_xlfn.XLOOKUP($C60,'-ref_Distribution'!$B$146:$B$150,'-ref_Distribution'!$G$146:$G$150)),RIGHT(K$1,2))</f>
        <v>221</v>
      </c>
      <c r="L60" s="16" cm="1">
        <f t="array" ref="L60">INDEX(_xlfn.ANCHORARRAY(_xlfn.XLOOKUP($C60,'-ref_Distribution'!$B$146:$B$150,'-ref_Distribution'!$G$146:$G$150)),RIGHT(L$1,2))</f>
        <v>234</v>
      </c>
      <c r="M60" s="16" cm="1">
        <f t="array" ref="M60">INDEX(_xlfn.ANCHORARRAY(_xlfn.XLOOKUP($C60,'-ref_Distribution'!$B$146:$B$150,'-ref_Distribution'!$G$146:$G$150)),RIGHT(M$1,2))</f>
        <v>243</v>
      </c>
      <c r="N60" s="16" cm="1">
        <f t="array" ref="N60">INDEX(_xlfn.ANCHORARRAY(_xlfn.XLOOKUP($C60,'-ref_Distribution'!$B$146:$B$150,'-ref_Distribution'!$G$146:$G$150)),RIGHT(N$1,2))</f>
        <v>245</v>
      </c>
      <c r="O60" s="16" cm="1">
        <f t="array" ref="O60">INDEX(_xlfn.ANCHORARRAY(_xlfn.XLOOKUP($C60,'-ref_Distribution'!$B$146:$B$150,'-ref_Distribution'!$G$146:$G$150)),RIGHT(O$1,2))</f>
        <v>243</v>
      </c>
      <c r="P60" s="16" cm="1">
        <f t="array" ref="P60">INDEX(_xlfn.ANCHORARRAY(_xlfn.XLOOKUP($C60,'-ref_Distribution'!$B$146:$B$150,'-ref_Distribution'!$G$146:$G$150)),RIGHT(P$1,2))</f>
        <v>234</v>
      </c>
      <c r="Q60" s="16" cm="1">
        <f t="array" ref="Q60">INDEX(_xlfn.ANCHORARRAY(_xlfn.XLOOKUP($C60,'-ref_Distribution'!$B$146:$B$150,'-ref_Distribution'!$G$146:$G$150)),RIGHT(Q$1,2))</f>
        <v>221</v>
      </c>
      <c r="R60" s="16" cm="1">
        <f t="array" ref="R60">INDEX(_xlfn.ANCHORARRAY(_xlfn.XLOOKUP($C60,'-ref_Distribution'!$B$146:$B$150,'-ref_Distribution'!$G$146:$G$150)),RIGHT(R$1,2))</f>
        <v>203</v>
      </c>
      <c r="S60" s="16" cm="1">
        <f t="array" ref="S60">INDEX(_xlfn.ANCHORARRAY(_xlfn.XLOOKUP($C60,'-ref_Distribution'!$B$146:$B$150,'-ref_Distribution'!$G$146:$G$150)),RIGHT(S$1,2))</f>
        <v>183</v>
      </c>
      <c r="T60" s="16" cm="1">
        <f t="array" ref="T60">INDEX(_xlfn.ANCHORARRAY(_xlfn.XLOOKUP($C60,'-ref_Distribution'!$B$146:$B$150,'-ref_Distribution'!$G$146:$G$150)),RIGHT(T$1,2))</f>
        <v>160</v>
      </c>
      <c r="U60" s="16" cm="1">
        <f t="array" ref="U60">INDEX(_xlfn.ANCHORARRAY(_xlfn.XLOOKUP($C60,'-ref_Distribution'!$B$146:$B$150,'-ref_Distribution'!$G$146:$G$150)),RIGHT(U$1,2))</f>
        <v>137</v>
      </c>
      <c r="V60" s="16" cm="1">
        <f t="array" ref="V60">INDEX(_xlfn.ANCHORARRAY(_xlfn.XLOOKUP($C60,'-ref_Distribution'!$B$146:$B$150,'-ref_Distribution'!$G$146:$G$150)),RIGHT(V$1,2))</f>
        <v>115</v>
      </c>
      <c r="W60" s="16" cm="1">
        <f t="array" ref="W60">INDEX(_xlfn.ANCHORARRAY(_xlfn.XLOOKUP($C60,'-ref_Distribution'!$B$146:$B$150,'-ref_Distribution'!$G$146:$G$150)),RIGHT(W$1,2))</f>
        <v>94</v>
      </c>
      <c r="X60" s="16" cm="1">
        <f t="array" ref="X60">INDEX(_xlfn.ANCHORARRAY(_xlfn.XLOOKUP($C60,'-ref_Distribution'!$B$146:$B$150,'-ref_Distribution'!$G$146:$G$150)),RIGHT(X$1,2))</f>
        <v>75</v>
      </c>
      <c r="Y60" s="16" cm="1">
        <f t="array" ref="Y60">INDEX(_xlfn.ANCHORARRAY(_xlfn.XLOOKUP($C60,'-ref_Distribution'!$B$146:$B$150,'-ref_Distribution'!$G$146:$G$150)),RIGHT(Y$1,2))</f>
        <v>94</v>
      </c>
      <c r="Z60" s="16" cm="1">
        <f t="array" ref="Z60">INDEX(_xlfn.ANCHORARRAY(_xlfn.XLOOKUP($C60,'-ref_Distribution'!$B$146:$B$150,'-ref_Distribution'!$G$146:$G$150)),RIGHT(Z$1,2))</f>
        <v>115</v>
      </c>
      <c r="AA60" s="16" cm="1">
        <f t="array" ref="AA60">INDEX(_xlfn.ANCHORARRAY(_xlfn.XLOOKUP($C60,'-ref_Distribution'!$B$146:$B$150,'-ref_Distribution'!$G$146:$G$150)),RIGHT(AA$1,2))</f>
        <v>137</v>
      </c>
      <c r="AB60" s="16" cm="1">
        <f t="array" ref="AB60">INDEX(_xlfn.ANCHORARRAY(_xlfn.XLOOKUP($C60,'-ref_Distribution'!$B$146:$B$150,'-ref_Distribution'!$G$146:$G$150)),RIGHT(AB$1,2))</f>
        <v>160</v>
      </c>
      <c r="AC60" s="16" cm="1">
        <f t="array" ref="AC60">INDEX(_xlfn.ANCHORARRAY(_xlfn.XLOOKUP($C60,'-ref_Distribution'!$B$146:$B$150,'-ref_Distribution'!$G$146:$G$150)),RIGHT(AC$1,2))</f>
        <v>183</v>
      </c>
      <c r="AD60" s="16" cm="1">
        <f t="array" ref="AD60">INDEX(_xlfn.ANCHORARRAY(_xlfn.XLOOKUP($C60,'-ref_Distribution'!$B$146:$B$150,'-ref_Distribution'!$G$146:$G$150)),RIGHT(AD$1,2))</f>
        <v>203</v>
      </c>
      <c r="AE60" s="16" cm="1">
        <f t="array" ref="AE60">INDEX(_xlfn.ANCHORARRAY(_xlfn.XLOOKUP($C60,'-ref_Distribution'!$B$146:$B$150,'-ref_Distribution'!$G$146:$G$150)),RIGHT(AE$1,2))</f>
        <v>221</v>
      </c>
      <c r="AF60" s="16" cm="1">
        <f t="array" ref="AF60">INDEX(_xlfn.ANCHORARRAY(_xlfn.XLOOKUP($C60,'-ref_Distribution'!$B$146:$B$150,'-ref_Distribution'!$G$146:$G$150)),RIGHT(AF$1,2))</f>
        <v>234</v>
      </c>
      <c r="AG60" s="16" cm="1">
        <f t="array" ref="AG60">INDEX(_xlfn.ANCHORARRAY(_xlfn.XLOOKUP($C60,'-ref_Distribution'!$B$146:$B$150,'-ref_Distribution'!$G$146:$G$150)),RIGHT(AG$1,2))</f>
        <v>243</v>
      </c>
      <c r="AH60" s="16" cm="1">
        <f t="array" ref="AH60">INDEX(_xlfn.ANCHORARRAY(_xlfn.XLOOKUP($C60,'-ref_Distribution'!$B$146:$B$150,'-ref_Distribution'!$G$146:$G$150)),RIGHT(AH$1,2))</f>
        <v>245</v>
      </c>
      <c r="AI60" s="16" cm="1">
        <f t="array" ref="AI60">INDEX(_xlfn.ANCHORARRAY(_xlfn.XLOOKUP($C60,'-ref_Distribution'!$B$146:$B$150,'-ref_Distribution'!$G$146:$G$150)),RIGHT(AI$1,2))</f>
        <v>243</v>
      </c>
      <c r="AJ60" s="16" cm="1">
        <f t="array" ref="AJ60">INDEX(_xlfn.ANCHORARRAY(_xlfn.XLOOKUP($C60,'-ref_Distribution'!$B$146:$B$150,'-ref_Distribution'!$G$146:$G$150)),RIGHT(AJ$1,2))</f>
        <v>234</v>
      </c>
      <c r="AK60" s="16" cm="1">
        <f t="array" ref="AK60">INDEX(_xlfn.ANCHORARRAY(_xlfn.XLOOKUP($C60,'-ref_Distribution'!$B$146:$B$150,'-ref_Distribution'!$G$146:$G$150)),RIGHT(AK$1,2))</f>
        <v>221</v>
      </c>
      <c r="AL60" s="16" cm="1">
        <f t="array" ref="AL60">INDEX(_xlfn.ANCHORARRAY(_xlfn.XLOOKUP($C60,'-ref_Distribution'!$B$146:$B$150,'-ref_Distribution'!$G$146:$G$150)),RIGHT(AL$1,2))</f>
        <v>203</v>
      </c>
      <c r="AM60" s="16" cm="1">
        <f t="array" ref="AM60">INDEX(_xlfn.ANCHORARRAY(_xlfn.XLOOKUP($C60,'-ref_Distribution'!$B$146:$B$150,'-ref_Distribution'!$G$146:$G$150)),RIGHT(AM$1,2))</f>
        <v>183</v>
      </c>
      <c r="AN60" s="16" cm="1">
        <f t="array" ref="AN60">INDEX(_xlfn.ANCHORARRAY(_xlfn.XLOOKUP($C60,'-ref_Distribution'!$B$146:$B$150,'-ref_Distribution'!$G$146:$G$150)),RIGHT(AN$1,2))</f>
        <v>160</v>
      </c>
      <c r="AO60" s="16" cm="1">
        <f t="array" ref="AO60">INDEX(_xlfn.ANCHORARRAY(_xlfn.XLOOKUP($C60,'-ref_Distribution'!$B$146:$B$150,'-ref_Distribution'!$G$146:$G$150)),RIGHT(AO$1,2))</f>
        <v>137</v>
      </c>
      <c r="AP60" s="16" cm="1">
        <f t="array" ref="AP60">INDEX(_xlfn.ANCHORARRAY(_xlfn.XLOOKUP($C60,'-ref_Distribution'!$B$146:$B$150,'-ref_Distribution'!$G$146:$G$150)),RIGHT(AP$1,2))</f>
        <v>115</v>
      </c>
      <c r="AQ60" s="16" cm="1">
        <f t="array" ref="AQ60">INDEX(_xlfn.ANCHORARRAY(_xlfn.XLOOKUP($C60,'-ref_Distribution'!$B$146:$B$150,'-ref_Distribution'!$G$146:$G$150)),RIGHT(AQ$1,2))</f>
        <v>94</v>
      </c>
      <c r="AR60" s="16" cm="1">
        <f t="array" ref="AR60">INDEX(_xlfn.ANCHORARRAY(_xlfn.XLOOKUP($C60,'-ref_Distribution'!$B$146:$B$150,'-ref_Distribution'!$G$146:$G$150)),RIGHT(AR$1,2))</f>
        <v>75</v>
      </c>
      <c r="AS60" s="16" cm="1">
        <f t="array" ref="AS60">INDEX(_xlfn.ANCHORARRAY(_xlfn.XLOOKUP($C60,'-ref_Distribution'!$B$146:$B$150,'-ref_Distribution'!$G$146:$G$150)),RIGHT(AS$1,2))</f>
        <v>94</v>
      </c>
      <c r="AT60" s="16" cm="1">
        <f t="array" ref="AT60">INDEX(_xlfn.ANCHORARRAY(_xlfn.XLOOKUP($C60,'-ref_Distribution'!$B$146:$B$150,'-ref_Distribution'!$G$146:$G$150)),RIGHT(AT$1,2))</f>
        <v>115</v>
      </c>
      <c r="AU60" s="16" cm="1">
        <f t="array" ref="AU60">INDEX(_xlfn.ANCHORARRAY(_xlfn.XLOOKUP($C60,'-ref_Distribution'!$B$146:$B$150,'-ref_Distribution'!$G$146:$G$150)),RIGHT(AU$1,2))</f>
        <v>137</v>
      </c>
      <c r="AV60" s="16" cm="1">
        <f t="array" ref="AV60">INDEX(_xlfn.ANCHORARRAY(_xlfn.XLOOKUP($C60,'-ref_Distribution'!$B$146:$B$150,'-ref_Distribution'!$G$146:$G$150)),RIGHT(AV$1,2))</f>
        <v>160</v>
      </c>
      <c r="AW60" s="16" cm="1">
        <f t="array" ref="AW60">INDEX(_xlfn.ANCHORARRAY(_xlfn.XLOOKUP($C60,'-ref_Distribution'!$B$146:$B$150,'-ref_Distribution'!$G$146:$G$150)),RIGHT(AW$1,2))</f>
        <v>183</v>
      </c>
      <c r="AX60" s="16" cm="1">
        <f t="array" ref="AX60">INDEX(_xlfn.ANCHORARRAY(_xlfn.XLOOKUP($C60,'-ref_Distribution'!$B$146:$B$150,'-ref_Distribution'!$G$146:$G$150)),RIGHT(AX$1,2))</f>
        <v>203</v>
      </c>
      <c r="AY60" s="16" cm="1">
        <f t="array" ref="AY60">INDEX(_xlfn.ANCHORARRAY(_xlfn.XLOOKUP($C60,'-ref_Distribution'!$B$146:$B$150,'-ref_Distribution'!$G$146:$G$150)),RIGHT(AY$1,2))</f>
        <v>221</v>
      </c>
      <c r="AZ60" s="16" cm="1">
        <f t="array" ref="AZ60">INDEX(_xlfn.ANCHORARRAY(_xlfn.XLOOKUP($C60,'-ref_Distribution'!$B$146:$B$150,'-ref_Distribution'!$G$146:$G$150)),RIGHT(AZ$1,2))</f>
        <v>234</v>
      </c>
      <c r="BA60" s="16" cm="1">
        <f t="array" ref="BA60">INDEX(_xlfn.ANCHORARRAY(_xlfn.XLOOKUP($C60,'-ref_Distribution'!$B$146:$B$150,'-ref_Distribution'!$G$146:$G$150)),RIGHT(BA$1,2))</f>
        <v>243</v>
      </c>
      <c r="BB60" s="16" cm="1">
        <f t="array" ref="BB60">INDEX(_xlfn.ANCHORARRAY(_xlfn.XLOOKUP($C60,'-ref_Distribution'!$B$146:$B$150,'-ref_Distribution'!$G$146:$G$150)),RIGHT(BB$1,2))</f>
        <v>245</v>
      </c>
      <c r="BC60" s="16" cm="1">
        <f t="array" ref="BC60">INDEX(_xlfn.ANCHORARRAY(_xlfn.XLOOKUP($C60,'-ref_Distribution'!$B$146:$B$150,'-ref_Distribution'!$G$146:$G$150)),RIGHT(BC$1,2))</f>
        <v>243</v>
      </c>
      <c r="BD60" s="16" cm="1">
        <f t="array" ref="BD60">INDEX(_xlfn.ANCHORARRAY(_xlfn.XLOOKUP($C60,'-ref_Distribution'!$B$146:$B$150,'-ref_Distribution'!$G$146:$G$150)),RIGHT(BD$1,2))</f>
        <v>234</v>
      </c>
      <c r="BE60" s="16" cm="1">
        <f t="array" ref="BE60">INDEX(_xlfn.ANCHORARRAY(_xlfn.XLOOKUP($C60,'-ref_Distribution'!$B$146:$B$150,'-ref_Distribution'!$G$146:$G$150)),RIGHT(BE$1,2))</f>
        <v>221</v>
      </c>
      <c r="BF60" s="16" cm="1">
        <f t="array" ref="BF60">INDEX(_xlfn.ANCHORARRAY(_xlfn.XLOOKUP($C60,'-ref_Distribution'!$B$146:$B$150,'-ref_Distribution'!$G$146:$G$150)),RIGHT(BF$1,2))</f>
        <v>203</v>
      </c>
      <c r="BG60" s="16" cm="1">
        <f t="array" ref="BG60">INDEX(_xlfn.ANCHORARRAY(_xlfn.XLOOKUP($C60,'-ref_Distribution'!$B$146:$B$150,'-ref_Distribution'!$G$146:$G$150)),RIGHT(BG$1,2))</f>
        <v>183</v>
      </c>
      <c r="BH60" s="16" cm="1">
        <f t="array" ref="BH60">INDEX(_xlfn.ANCHORARRAY(_xlfn.XLOOKUP($C60,'-ref_Distribution'!$B$146:$B$150,'-ref_Distribution'!$G$146:$G$150)),RIGHT(BH$1,2))</f>
        <v>160</v>
      </c>
      <c r="BI60" s="16" cm="1">
        <f t="array" ref="BI60">INDEX(_xlfn.ANCHORARRAY(_xlfn.XLOOKUP($C60,'-ref_Distribution'!$B$146:$B$150,'-ref_Distribution'!$G$146:$G$150)),RIGHT(BI$1,2))</f>
        <v>137</v>
      </c>
      <c r="BJ60" s="16" cm="1">
        <f t="array" ref="BJ60">INDEX(_xlfn.ANCHORARRAY(_xlfn.XLOOKUP($C60,'-ref_Distribution'!$B$146:$B$150,'-ref_Distribution'!$G$146:$G$150)),RIGHT(BJ$1,2))</f>
        <v>115</v>
      </c>
      <c r="BK60" s="16" cm="1">
        <f t="array" ref="BK60">INDEX(_xlfn.ANCHORARRAY(_xlfn.XLOOKUP($C60,'-ref_Distribution'!$B$146:$B$150,'-ref_Distribution'!$G$146:$G$150)),RIGHT(BK$1,2))</f>
        <v>94</v>
      </c>
      <c r="BL60" s="16" cm="1">
        <f t="array" ref="BL60">INDEX(_xlfn.ANCHORARRAY(_xlfn.XLOOKUP($C60,'-ref_Distribution'!$B$146:$B$150,'-ref_Distribution'!$G$146:$G$150)),RIGHT(BL$1,2))</f>
        <v>75</v>
      </c>
      <c r="BM60" s="16" cm="1">
        <f t="array" ref="BM60">INDEX(_xlfn.ANCHORARRAY(_xlfn.XLOOKUP($C60,'-ref_Distribution'!$B$146:$B$150,'-ref_Distribution'!$G$146:$G$150)),RIGHT(BM$1,2))</f>
        <v>94</v>
      </c>
      <c r="BN60" s="16" cm="1">
        <f t="array" ref="BN60">INDEX(_xlfn.ANCHORARRAY(_xlfn.XLOOKUP($C60,'-ref_Distribution'!$B$146:$B$150,'-ref_Distribution'!$G$146:$G$150)),RIGHT(BN$1,2))</f>
        <v>115</v>
      </c>
      <c r="BO60" s="16" cm="1">
        <f t="array" ref="BO60">INDEX(_xlfn.ANCHORARRAY(_xlfn.XLOOKUP($C60,'-ref_Distribution'!$B$146:$B$150,'-ref_Distribution'!$G$146:$G$150)),RIGHT(BO$1,2))</f>
        <v>137</v>
      </c>
      <c r="BP60" s="16" cm="1">
        <f t="array" ref="BP60">INDEX(_xlfn.ANCHORARRAY(_xlfn.XLOOKUP($C60,'-ref_Distribution'!$B$146:$B$150,'-ref_Distribution'!$G$146:$G$150)),RIGHT(BP$1,2))</f>
        <v>160</v>
      </c>
      <c r="BQ60" s="16" cm="1">
        <f t="array" ref="BQ60">INDEX(_xlfn.ANCHORARRAY(_xlfn.XLOOKUP($C60,'-ref_Distribution'!$B$146:$B$150,'-ref_Distribution'!$G$146:$G$150)),RIGHT(BQ$1,2))</f>
        <v>183</v>
      </c>
      <c r="BR60" s="16" cm="1">
        <f t="array" ref="BR60">INDEX(_xlfn.ANCHORARRAY(_xlfn.XLOOKUP($C60,'-ref_Distribution'!$B$146:$B$150,'-ref_Distribution'!$G$146:$G$150)),RIGHT(BR$1,2))</f>
        <v>203</v>
      </c>
      <c r="BS60" s="16" cm="1">
        <f t="array" ref="BS60">INDEX(_xlfn.ANCHORARRAY(_xlfn.XLOOKUP($C60,'-ref_Distribution'!$B$146:$B$150,'-ref_Distribution'!$G$146:$G$150)),RIGHT(BS$1,2))</f>
        <v>221</v>
      </c>
      <c r="BT60" s="16" cm="1">
        <f t="array" ref="BT60">INDEX(_xlfn.ANCHORARRAY(_xlfn.XLOOKUP($C60,'-ref_Distribution'!$B$146:$B$150,'-ref_Distribution'!$G$146:$G$150)),RIGHT(BT$1,2))</f>
        <v>234</v>
      </c>
      <c r="BU60" s="16" cm="1">
        <f t="array" ref="BU60">INDEX(_xlfn.ANCHORARRAY(_xlfn.XLOOKUP($C60,'-ref_Distribution'!$B$146:$B$150,'-ref_Distribution'!$G$146:$G$150)),RIGHT(BU$1,2))</f>
        <v>243</v>
      </c>
      <c r="BV60" s="16" cm="1">
        <f t="array" ref="BV60">INDEX(_xlfn.ANCHORARRAY(_xlfn.XLOOKUP($C60,'-ref_Distribution'!$B$146:$B$150,'-ref_Distribution'!$G$146:$G$150)),RIGHT(BV$1,2))</f>
        <v>245</v>
      </c>
      <c r="BW60" s="16" cm="1">
        <f t="array" ref="BW60">INDEX(_xlfn.ANCHORARRAY(_xlfn.XLOOKUP($C60,'-ref_Distribution'!$B$146:$B$150,'-ref_Distribution'!$G$146:$G$150)),RIGHT(BW$1,2))</f>
        <v>243</v>
      </c>
      <c r="BX60" s="16" cm="1">
        <f t="array" ref="BX60">INDEX(_xlfn.ANCHORARRAY(_xlfn.XLOOKUP($C60,'-ref_Distribution'!$B$146:$B$150,'-ref_Distribution'!$G$146:$G$150)),RIGHT(BX$1,2))</f>
        <v>234</v>
      </c>
      <c r="BY60" s="16" cm="1">
        <f t="array" ref="BY60">INDEX(_xlfn.ANCHORARRAY(_xlfn.XLOOKUP($C60,'-ref_Distribution'!$B$146:$B$150,'-ref_Distribution'!$G$146:$G$150)),RIGHT(BY$1,2))</f>
        <v>221</v>
      </c>
      <c r="BZ60" s="16" cm="1">
        <f t="array" ref="BZ60">INDEX(_xlfn.ANCHORARRAY(_xlfn.XLOOKUP($C60,'-ref_Distribution'!$B$146:$B$150,'-ref_Distribution'!$G$146:$G$150)),RIGHT(BZ$1,2))</f>
        <v>203</v>
      </c>
      <c r="CA60" s="16" cm="1">
        <f t="array" ref="CA60">INDEX(_xlfn.ANCHORARRAY(_xlfn.XLOOKUP($C60,'-ref_Distribution'!$B$146:$B$150,'-ref_Distribution'!$G$146:$G$150)),RIGHT(CA$1,2))</f>
        <v>183</v>
      </c>
      <c r="CB60" s="16" cm="1">
        <f t="array" ref="CB60">INDEX(_xlfn.ANCHORARRAY(_xlfn.XLOOKUP($C60,'-ref_Distribution'!$B$146:$B$150,'-ref_Distribution'!$G$146:$G$150)),RIGHT(CB$1,2))</f>
        <v>160</v>
      </c>
      <c r="CC60" s="16" cm="1">
        <f t="array" ref="CC60">INDEX(_xlfn.ANCHORARRAY(_xlfn.XLOOKUP($C60,'-ref_Distribution'!$B$146:$B$150,'-ref_Distribution'!$G$146:$G$150)),RIGHT(CC$1,2))</f>
        <v>137</v>
      </c>
      <c r="CD60" s="16" cm="1">
        <f t="array" ref="CD60">INDEX(_xlfn.ANCHORARRAY(_xlfn.XLOOKUP($C60,'-ref_Distribution'!$B$146:$B$150,'-ref_Distribution'!$G$146:$G$150)),RIGHT(CD$1,2))</f>
        <v>115</v>
      </c>
      <c r="CE60" s="16" cm="1">
        <f t="array" ref="CE60">INDEX(_xlfn.ANCHORARRAY(_xlfn.XLOOKUP($C60,'-ref_Distribution'!$B$146:$B$150,'-ref_Distribution'!$G$146:$G$150)),RIGHT(CE$1,2))</f>
        <v>94</v>
      </c>
    </row>
    <row r="61" spans="1:83" x14ac:dyDescent="0.2"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</row>
    <row r="62" spans="1:83" x14ac:dyDescent="0.2">
      <c r="A62" s="16">
        <v>310203</v>
      </c>
      <c r="B62" s="16" t="s">
        <v>373</v>
      </c>
      <c r="C62" s="16">
        <v>0</v>
      </c>
      <c r="D62" s="16" cm="1">
        <f t="array" ref="D62">INDEX(_xlfn.ANCHORARRAY(_xlfn.XLOOKUP($C62,'-ref_Distribution'!$B$146:$B$150,'-ref_Distribution'!$G$146:$G$150)),RIGHT(D$1,2))</f>
        <v>709</v>
      </c>
      <c r="E62" s="16" cm="1">
        <f t="array" ref="E62">INDEX(_xlfn.ANCHORARRAY(_xlfn.XLOOKUP($C62,'-ref_Distribution'!$B$146:$B$150,'-ref_Distribution'!$G$146:$G$150)),RIGHT(E$1,2))</f>
        <v>705</v>
      </c>
      <c r="F62" s="16" cm="1">
        <f t="array" ref="F62">INDEX(_xlfn.ANCHORARRAY(_xlfn.XLOOKUP($C62,'-ref_Distribution'!$B$146:$B$150,'-ref_Distribution'!$G$146:$G$150)),RIGHT(F$1,2))</f>
        <v>692</v>
      </c>
      <c r="G62" s="16" cm="1">
        <f t="array" ref="G62">INDEX(_xlfn.ANCHORARRAY(_xlfn.XLOOKUP($C62,'-ref_Distribution'!$B$146:$B$150,'-ref_Distribution'!$G$146:$G$150)),RIGHT(G$1,2))</f>
        <v>671</v>
      </c>
      <c r="H62" s="16" cm="1">
        <f t="array" ref="H62">INDEX(_xlfn.ANCHORARRAY(_xlfn.XLOOKUP($C62,'-ref_Distribution'!$B$146:$B$150,'-ref_Distribution'!$G$146:$G$150)),RIGHT(H$1,2))</f>
        <v>643</v>
      </c>
      <c r="I62" s="16" cm="1">
        <f t="array" ref="I62">INDEX(_xlfn.ANCHORARRAY(_xlfn.XLOOKUP($C62,'-ref_Distribution'!$B$146:$B$150,'-ref_Distribution'!$G$146:$G$150)),RIGHT(I$1,2))</f>
        <v>608</v>
      </c>
      <c r="J62" s="16" cm="1">
        <f t="array" ref="J62">INDEX(_xlfn.ANCHORARRAY(_xlfn.XLOOKUP($C62,'-ref_Distribution'!$B$146:$B$150,'-ref_Distribution'!$G$146:$G$150)),RIGHT(J$1,2))</f>
        <v>568</v>
      </c>
      <c r="K62" s="16" cm="1">
        <f t="array" ref="K62">INDEX(_xlfn.ANCHORARRAY(_xlfn.XLOOKUP($C62,'-ref_Distribution'!$B$146:$B$150,'-ref_Distribution'!$G$146:$G$150)),RIGHT(K$1,2))</f>
        <v>524</v>
      </c>
      <c r="L62" s="16" cm="1">
        <f t="array" ref="L62">INDEX(_xlfn.ANCHORARRAY(_xlfn.XLOOKUP($C62,'-ref_Distribution'!$B$146:$B$150,'-ref_Distribution'!$G$146:$G$150)),RIGHT(L$1,2))</f>
        <v>478</v>
      </c>
      <c r="M62" s="16" cm="1">
        <f t="array" ref="M62">INDEX(_xlfn.ANCHORARRAY(_xlfn.XLOOKUP($C62,'-ref_Distribution'!$B$146:$B$150,'-ref_Distribution'!$G$146:$G$150)),RIGHT(M$1,2))</f>
        <v>430</v>
      </c>
      <c r="N62" s="16" cm="1">
        <f t="array" ref="N62">INDEX(_xlfn.ANCHORARRAY(_xlfn.XLOOKUP($C62,'-ref_Distribution'!$B$146:$B$150,'-ref_Distribution'!$G$146:$G$150)),RIGHT(N$1,2))</f>
        <v>383</v>
      </c>
      <c r="O62" s="16" cm="1">
        <f t="array" ref="O62">INDEX(_xlfn.ANCHORARRAY(_xlfn.XLOOKUP($C62,'-ref_Distribution'!$B$146:$B$150,'-ref_Distribution'!$G$146:$G$150)),RIGHT(O$1,2))</f>
        <v>336</v>
      </c>
      <c r="P62" s="16" cm="1">
        <f t="array" ref="P62">INDEX(_xlfn.ANCHORARRAY(_xlfn.XLOOKUP($C62,'-ref_Distribution'!$B$146:$B$150,'-ref_Distribution'!$G$146:$G$150)),RIGHT(P$1,2))</f>
        <v>292</v>
      </c>
      <c r="Q62" s="16" cm="1">
        <f t="array" ref="Q62">INDEX(_xlfn.ANCHORARRAY(_xlfn.XLOOKUP($C62,'-ref_Distribution'!$B$146:$B$150,'-ref_Distribution'!$G$146:$G$150)),RIGHT(Q$1,2))</f>
        <v>250</v>
      </c>
      <c r="R62" s="16" cm="1">
        <f t="array" ref="R62">INDEX(_xlfn.ANCHORARRAY(_xlfn.XLOOKUP($C62,'-ref_Distribution'!$B$146:$B$150,'-ref_Distribution'!$G$146:$G$150)),RIGHT(R$1,2))</f>
        <v>212</v>
      </c>
      <c r="S62" s="16" cm="1">
        <f t="array" ref="S62">INDEX(_xlfn.ANCHORARRAY(_xlfn.XLOOKUP($C62,'-ref_Distribution'!$B$146:$B$150,'-ref_Distribution'!$G$146:$G$150)),RIGHT(S$1,2))</f>
        <v>177</v>
      </c>
      <c r="T62" s="16" cm="1">
        <f t="array" ref="T62">INDEX(_xlfn.ANCHORARRAY(_xlfn.XLOOKUP($C62,'-ref_Distribution'!$B$146:$B$150,'-ref_Distribution'!$G$146:$G$150)),RIGHT(T$1,2))</f>
        <v>146</v>
      </c>
      <c r="U62" s="16" cm="1">
        <f t="array" ref="U62">INDEX(_xlfn.ANCHORARRAY(_xlfn.XLOOKUP($C62,'-ref_Distribution'!$B$146:$B$150,'-ref_Distribution'!$G$146:$G$150)),RIGHT(U$1,2))</f>
        <v>119</v>
      </c>
      <c r="V62" s="16" cm="1">
        <f t="array" ref="V62">INDEX(_xlfn.ANCHORARRAY(_xlfn.XLOOKUP($C62,'-ref_Distribution'!$B$146:$B$150,'-ref_Distribution'!$G$146:$G$150)),RIGHT(V$1,2))</f>
        <v>96</v>
      </c>
      <c r="W62" s="16" cm="1">
        <f t="array" ref="W62">INDEX(_xlfn.ANCHORARRAY(_xlfn.XLOOKUP($C62,'-ref_Distribution'!$B$146:$B$150,'-ref_Distribution'!$G$146:$G$150)),RIGHT(W$1,2))</f>
        <v>76</v>
      </c>
      <c r="X62" s="16" cm="1">
        <f t="array" ref="X62">INDEX(_xlfn.ANCHORARRAY(_xlfn.XLOOKUP($C62,'-ref_Distribution'!$B$146:$B$150,'-ref_Distribution'!$G$146:$G$150)),RIGHT(X$1,2))</f>
        <v>709</v>
      </c>
      <c r="Y62" s="16" cm="1">
        <f t="array" ref="Y62">INDEX(_xlfn.ANCHORARRAY(_xlfn.XLOOKUP($C62,'-ref_Distribution'!$B$146:$B$150,'-ref_Distribution'!$G$146:$G$150)),RIGHT(Y$1,2))</f>
        <v>705</v>
      </c>
      <c r="Z62" s="16" cm="1">
        <f t="array" ref="Z62">INDEX(_xlfn.ANCHORARRAY(_xlfn.XLOOKUP($C62,'-ref_Distribution'!$B$146:$B$150,'-ref_Distribution'!$G$146:$G$150)),RIGHT(Z$1,2))</f>
        <v>692</v>
      </c>
      <c r="AA62" s="16" cm="1">
        <f t="array" ref="AA62">INDEX(_xlfn.ANCHORARRAY(_xlfn.XLOOKUP($C62,'-ref_Distribution'!$B$146:$B$150,'-ref_Distribution'!$G$146:$G$150)),RIGHT(AA$1,2))</f>
        <v>671</v>
      </c>
      <c r="AB62" s="16" cm="1">
        <f t="array" ref="AB62">INDEX(_xlfn.ANCHORARRAY(_xlfn.XLOOKUP($C62,'-ref_Distribution'!$B$146:$B$150,'-ref_Distribution'!$G$146:$G$150)),RIGHT(AB$1,2))</f>
        <v>643</v>
      </c>
      <c r="AC62" s="16" cm="1">
        <f t="array" ref="AC62">INDEX(_xlfn.ANCHORARRAY(_xlfn.XLOOKUP($C62,'-ref_Distribution'!$B$146:$B$150,'-ref_Distribution'!$G$146:$G$150)),RIGHT(AC$1,2))</f>
        <v>608</v>
      </c>
      <c r="AD62" s="16" cm="1">
        <f t="array" ref="AD62">INDEX(_xlfn.ANCHORARRAY(_xlfn.XLOOKUP($C62,'-ref_Distribution'!$B$146:$B$150,'-ref_Distribution'!$G$146:$G$150)),RIGHT(AD$1,2))</f>
        <v>568</v>
      </c>
      <c r="AE62" s="16" cm="1">
        <f t="array" ref="AE62">INDEX(_xlfn.ANCHORARRAY(_xlfn.XLOOKUP($C62,'-ref_Distribution'!$B$146:$B$150,'-ref_Distribution'!$G$146:$G$150)),RIGHT(AE$1,2))</f>
        <v>524</v>
      </c>
      <c r="AF62" s="16" cm="1">
        <f t="array" ref="AF62">INDEX(_xlfn.ANCHORARRAY(_xlfn.XLOOKUP($C62,'-ref_Distribution'!$B$146:$B$150,'-ref_Distribution'!$G$146:$G$150)),RIGHT(AF$1,2))</f>
        <v>478</v>
      </c>
      <c r="AG62" s="16" cm="1">
        <f t="array" ref="AG62">INDEX(_xlfn.ANCHORARRAY(_xlfn.XLOOKUP($C62,'-ref_Distribution'!$B$146:$B$150,'-ref_Distribution'!$G$146:$G$150)),RIGHT(AG$1,2))</f>
        <v>430</v>
      </c>
      <c r="AH62" s="16" cm="1">
        <f t="array" ref="AH62">INDEX(_xlfn.ANCHORARRAY(_xlfn.XLOOKUP($C62,'-ref_Distribution'!$B$146:$B$150,'-ref_Distribution'!$G$146:$G$150)),RIGHT(AH$1,2))</f>
        <v>383</v>
      </c>
      <c r="AI62" s="16" cm="1">
        <f t="array" ref="AI62">INDEX(_xlfn.ANCHORARRAY(_xlfn.XLOOKUP($C62,'-ref_Distribution'!$B$146:$B$150,'-ref_Distribution'!$G$146:$G$150)),RIGHT(AI$1,2))</f>
        <v>336</v>
      </c>
      <c r="AJ62" s="16" cm="1">
        <f t="array" ref="AJ62">INDEX(_xlfn.ANCHORARRAY(_xlfn.XLOOKUP($C62,'-ref_Distribution'!$B$146:$B$150,'-ref_Distribution'!$G$146:$G$150)),RIGHT(AJ$1,2))</f>
        <v>292</v>
      </c>
      <c r="AK62" s="16" cm="1">
        <f t="array" ref="AK62">INDEX(_xlfn.ANCHORARRAY(_xlfn.XLOOKUP($C62,'-ref_Distribution'!$B$146:$B$150,'-ref_Distribution'!$G$146:$G$150)),RIGHT(AK$1,2))</f>
        <v>250</v>
      </c>
      <c r="AL62" s="16" cm="1">
        <f t="array" ref="AL62">INDEX(_xlfn.ANCHORARRAY(_xlfn.XLOOKUP($C62,'-ref_Distribution'!$B$146:$B$150,'-ref_Distribution'!$G$146:$G$150)),RIGHT(AL$1,2))</f>
        <v>212</v>
      </c>
      <c r="AM62" s="16" cm="1">
        <f t="array" ref="AM62">INDEX(_xlfn.ANCHORARRAY(_xlfn.XLOOKUP($C62,'-ref_Distribution'!$B$146:$B$150,'-ref_Distribution'!$G$146:$G$150)),RIGHT(AM$1,2))</f>
        <v>177</v>
      </c>
      <c r="AN62" s="16" cm="1">
        <f t="array" ref="AN62">INDEX(_xlfn.ANCHORARRAY(_xlfn.XLOOKUP($C62,'-ref_Distribution'!$B$146:$B$150,'-ref_Distribution'!$G$146:$G$150)),RIGHT(AN$1,2))</f>
        <v>146</v>
      </c>
      <c r="AO62" s="16" cm="1">
        <f t="array" ref="AO62">INDEX(_xlfn.ANCHORARRAY(_xlfn.XLOOKUP($C62,'-ref_Distribution'!$B$146:$B$150,'-ref_Distribution'!$G$146:$G$150)),RIGHT(AO$1,2))</f>
        <v>119</v>
      </c>
      <c r="AP62" s="16" cm="1">
        <f t="array" ref="AP62">INDEX(_xlfn.ANCHORARRAY(_xlfn.XLOOKUP($C62,'-ref_Distribution'!$B$146:$B$150,'-ref_Distribution'!$G$146:$G$150)),RIGHT(AP$1,2))</f>
        <v>96</v>
      </c>
      <c r="AQ62" s="16" cm="1">
        <f t="array" ref="AQ62">INDEX(_xlfn.ANCHORARRAY(_xlfn.XLOOKUP($C62,'-ref_Distribution'!$B$146:$B$150,'-ref_Distribution'!$G$146:$G$150)),RIGHT(AQ$1,2))</f>
        <v>76</v>
      </c>
      <c r="AR62" s="16" cm="1">
        <f t="array" ref="AR62">INDEX(_xlfn.ANCHORARRAY(_xlfn.XLOOKUP($C62,'-ref_Distribution'!$B$146:$B$150,'-ref_Distribution'!$G$146:$G$150)),RIGHT(AR$1,2))</f>
        <v>709</v>
      </c>
      <c r="AS62" s="16" cm="1">
        <f t="array" ref="AS62">INDEX(_xlfn.ANCHORARRAY(_xlfn.XLOOKUP($C62,'-ref_Distribution'!$B$146:$B$150,'-ref_Distribution'!$G$146:$G$150)),RIGHT(AS$1,2))</f>
        <v>705</v>
      </c>
      <c r="AT62" s="16" cm="1">
        <f t="array" ref="AT62">INDEX(_xlfn.ANCHORARRAY(_xlfn.XLOOKUP($C62,'-ref_Distribution'!$B$146:$B$150,'-ref_Distribution'!$G$146:$G$150)),RIGHT(AT$1,2))</f>
        <v>692</v>
      </c>
      <c r="AU62" s="16" cm="1">
        <f t="array" ref="AU62">INDEX(_xlfn.ANCHORARRAY(_xlfn.XLOOKUP($C62,'-ref_Distribution'!$B$146:$B$150,'-ref_Distribution'!$G$146:$G$150)),RIGHT(AU$1,2))</f>
        <v>671</v>
      </c>
      <c r="AV62" s="16" cm="1">
        <f t="array" ref="AV62">INDEX(_xlfn.ANCHORARRAY(_xlfn.XLOOKUP($C62,'-ref_Distribution'!$B$146:$B$150,'-ref_Distribution'!$G$146:$G$150)),RIGHT(AV$1,2))</f>
        <v>643</v>
      </c>
      <c r="AW62" s="16" cm="1">
        <f t="array" ref="AW62">INDEX(_xlfn.ANCHORARRAY(_xlfn.XLOOKUP($C62,'-ref_Distribution'!$B$146:$B$150,'-ref_Distribution'!$G$146:$G$150)),RIGHT(AW$1,2))</f>
        <v>608</v>
      </c>
      <c r="AX62" s="16" cm="1">
        <f t="array" ref="AX62">INDEX(_xlfn.ANCHORARRAY(_xlfn.XLOOKUP($C62,'-ref_Distribution'!$B$146:$B$150,'-ref_Distribution'!$G$146:$G$150)),RIGHT(AX$1,2))</f>
        <v>568</v>
      </c>
      <c r="AY62" s="16" cm="1">
        <f t="array" ref="AY62">INDEX(_xlfn.ANCHORARRAY(_xlfn.XLOOKUP($C62,'-ref_Distribution'!$B$146:$B$150,'-ref_Distribution'!$G$146:$G$150)),RIGHT(AY$1,2))</f>
        <v>524</v>
      </c>
      <c r="AZ62" s="16" cm="1">
        <f t="array" ref="AZ62">INDEX(_xlfn.ANCHORARRAY(_xlfn.XLOOKUP($C62,'-ref_Distribution'!$B$146:$B$150,'-ref_Distribution'!$G$146:$G$150)),RIGHT(AZ$1,2))</f>
        <v>478</v>
      </c>
      <c r="BA62" s="16" cm="1">
        <f t="array" ref="BA62">INDEX(_xlfn.ANCHORARRAY(_xlfn.XLOOKUP($C62,'-ref_Distribution'!$B$146:$B$150,'-ref_Distribution'!$G$146:$G$150)),RIGHT(BA$1,2))</f>
        <v>430</v>
      </c>
      <c r="BB62" s="16" cm="1">
        <f t="array" ref="BB62">INDEX(_xlfn.ANCHORARRAY(_xlfn.XLOOKUP($C62,'-ref_Distribution'!$B$146:$B$150,'-ref_Distribution'!$G$146:$G$150)),RIGHT(BB$1,2))</f>
        <v>383</v>
      </c>
      <c r="BC62" s="16" cm="1">
        <f t="array" ref="BC62">INDEX(_xlfn.ANCHORARRAY(_xlfn.XLOOKUP($C62,'-ref_Distribution'!$B$146:$B$150,'-ref_Distribution'!$G$146:$G$150)),RIGHT(BC$1,2))</f>
        <v>336</v>
      </c>
      <c r="BD62" s="16" cm="1">
        <f t="array" ref="BD62">INDEX(_xlfn.ANCHORARRAY(_xlfn.XLOOKUP($C62,'-ref_Distribution'!$B$146:$B$150,'-ref_Distribution'!$G$146:$G$150)),RIGHT(BD$1,2))</f>
        <v>292</v>
      </c>
      <c r="BE62" s="16" cm="1">
        <f t="array" ref="BE62">INDEX(_xlfn.ANCHORARRAY(_xlfn.XLOOKUP($C62,'-ref_Distribution'!$B$146:$B$150,'-ref_Distribution'!$G$146:$G$150)),RIGHT(BE$1,2))</f>
        <v>250</v>
      </c>
      <c r="BF62" s="16" cm="1">
        <f t="array" ref="BF62">INDEX(_xlfn.ANCHORARRAY(_xlfn.XLOOKUP($C62,'-ref_Distribution'!$B$146:$B$150,'-ref_Distribution'!$G$146:$G$150)),RIGHT(BF$1,2))</f>
        <v>212</v>
      </c>
      <c r="BG62" s="16" cm="1">
        <f t="array" ref="BG62">INDEX(_xlfn.ANCHORARRAY(_xlfn.XLOOKUP($C62,'-ref_Distribution'!$B$146:$B$150,'-ref_Distribution'!$G$146:$G$150)),RIGHT(BG$1,2))</f>
        <v>177</v>
      </c>
      <c r="BH62" s="16" cm="1">
        <f t="array" ref="BH62">INDEX(_xlfn.ANCHORARRAY(_xlfn.XLOOKUP($C62,'-ref_Distribution'!$B$146:$B$150,'-ref_Distribution'!$G$146:$G$150)),RIGHT(BH$1,2))</f>
        <v>146</v>
      </c>
      <c r="BI62" s="16" cm="1">
        <f t="array" ref="BI62">INDEX(_xlfn.ANCHORARRAY(_xlfn.XLOOKUP($C62,'-ref_Distribution'!$B$146:$B$150,'-ref_Distribution'!$G$146:$G$150)),RIGHT(BI$1,2))</f>
        <v>119</v>
      </c>
      <c r="BJ62" s="16" cm="1">
        <f t="array" ref="BJ62">INDEX(_xlfn.ANCHORARRAY(_xlfn.XLOOKUP($C62,'-ref_Distribution'!$B$146:$B$150,'-ref_Distribution'!$G$146:$G$150)),RIGHT(BJ$1,2))</f>
        <v>96</v>
      </c>
      <c r="BK62" s="16" cm="1">
        <f t="array" ref="BK62">INDEX(_xlfn.ANCHORARRAY(_xlfn.XLOOKUP($C62,'-ref_Distribution'!$B$146:$B$150,'-ref_Distribution'!$G$146:$G$150)),RIGHT(BK$1,2))</f>
        <v>76</v>
      </c>
      <c r="BL62" s="16" cm="1">
        <f t="array" ref="BL62">INDEX(_xlfn.ANCHORARRAY(_xlfn.XLOOKUP($C62,'-ref_Distribution'!$B$146:$B$150,'-ref_Distribution'!$G$146:$G$150)),RIGHT(BL$1,2))</f>
        <v>709</v>
      </c>
      <c r="BM62" s="16" cm="1">
        <f t="array" ref="BM62">INDEX(_xlfn.ANCHORARRAY(_xlfn.XLOOKUP($C62,'-ref_Distribution'!$B$146:$B$150,'-ref_Distribution'!$G$146:$G$150)),RIGHT(BM$1,2))</f>
        <v>705</v>
      </c>
      <c r="BN62" s="16" cm="1">
        <f t="array" ref="BN62">INDEX(_xlfn.ANCHORARRAY(_xlfn.XLOOKUP($C62,'-ref_Distribution'!$B$146:$B$150,'-ref_Distribution'!$G$146:$G$150)),RIGHT(BN$1,2))</f>
        <v>692</v>
      </c>
      <c r="BO62" s="16" cm="1">
        <f t="array" ref="BO62">INDEX(_xlfn.ANCHORARRAY(_xlfn.XLOOKUP($C62,'-ref_Distribution'!$B$146:$B$150,'-ref_Distribution'!$G$146:$G$150)),RIGHT(BO$1,2))</f>
        <v>671</v>
      </c>
      <c r="BP62" s="16" cm="1">
        <f t="array" ref="BP62">INDEX(_xlfn.ANCHORARRAY(_xlfn.XLOOKUP($C62,'-ref_Distribution'!$B$146:$B$150,'-ref_Distribution'!$G$146:$G$150)),RIGHT(BP$1,2))</f>
        <v>643</v>
      </c>
      <c r="BQ62" s="16" cm="1">
        <f t="array" ref="BQ62">INDEX(_xlfn.ANCHORARRAY(_xlfn.XLOOKUP($C62,'-ref_Distribution'!$B$146:$B$150,'-ref_Distribution'!$G$146:$G$150)),RIGHT(BQ$1,2))</f>
        <v>608</v>
      </c>
      <c r="BR62" s="16" cm="1">
        <f t="array" ref="BR62">INDEX(_xlfn.ANCHORARRAY(_xlfn.XLOOKUP($C62,'-ref_Distribution'!$B$146:$B$150,'-ref_Distribution'!$G$146:$G$150)),RIGHT(BR$1,2))</f>
        <v>568</v>
      </c>
      <c r="BS62" s="16" cm="1">
        <f t="array" ref="BS62">INDEX(_xlfn.ANCHORARRAY(_xlfn.XLOOKUP($C62,'-ref_Distribution'!$B$146:$B$150,'-ref_Distribution'!$G$146:$G$150)),RIGHT(BS$1,2))</f>
        <v>524</v>
      </c>
      <c r="BT62" s="16" cm="1">
        <f t="array" ref="BT62">INDEX(_xlfn.ANCHORARRAY(_xlfn.XLOOKUP($C62,'-ref_Distribution'!$B$146:$B$150,'-ref_Distribution'!$G$146:$G$150)),RIGHT(BT$1,2))</f>
        <v>478</v>
      </c>
      <c r="BU62" s="16" cm="1">
        <f t="array" ref="BU62">INDEX(_xlfn.ANCHORARRAY(_xlfn.XLOOKUP($C62,'-ref_Distribution'!$B$146:$B$150,'-ref_Distribution'!$G$146:$G$150)),RIGHT(BU$1,2))</f>
        <v>430</v>
      </c>
      <c r="BV62" s="16" cm="1">
        <f t="array" ref="BV62">INDEX(_xlfn.ANCHORARRAY(_xlfn.XLOOKUP($C62,'-ref_Distribution'!$B$146:$B$150,'-ref_Distribution'!$G$146:$G$150)),RIGHT(BV$1,2))</f>
        <v>383</v>
      </c>
      <c r="BW62" s="16" cm="1">
        <f t="array" ref="BW62">INDEX(_xlfn.ANCHORARRAY(_xlfn.XLOOKUP($C62,'-ref_Distribution'!$B$146:$B$150,'-ref_Distribution'!$G$146:$G$150)),RIGHT(BW$1,2))</f>
        <v>336</v>
      </c>
      <c r="BX62" s="16" cm="1">
        <f t="array" ref="BX62">INDEX(_xlfn.ANCHORARRAY(_xlfn.XLOOKUP($C62,'-ref_Distribution'!$B$146:$B$150,'-ref_Distribution'!$G$146:$G$150)),RIGHT(BX$1,2))</f>
        <v>292</v>
      </c>
      <c r="BY62" s="16" cm="1">
        <f t="array" ref="BY62">INDEX(_xlfn.ANCHORARRAY(_xlfn.XLOOKUP($C62,'-ref_Distribution'!$B$146:$B$150,'-ref_Distribution'!$G$146:$G$150)),RIGHT(BY$1,2))</f>
        <v>250</v>
      </c>
      <c r="BZ62" s="16" cm="1">
        <f t="array" ref="BZ62">INDEX(_xlfn.ANCHORARRAY(_xlfn.XLOOKUP($C62,'-ref_Distribution'!$B$146:$B$150,'-ref_Distribution'!$G$146:$G$150)),RIGHT(BZ$1,2))</f>
        <v>212</v>
      </c>
      <c r="CA62" s="16" cm="1">
        <f t="array" ref="CA62">INDEX(_xlfn.ANCHORARRAY(_xlfn.XLOOKUP($C62,'-ref_Distribution'!$B$146:$B$150,'-ref_Distribution'!$G$146:$G$150)),RIGHT(CA$1,2))</f>
        <v>177</v>
      </c>
      <c r="CB62" s="16" cm="1">
        <f t="array" ref="CB62">INDEX(_xlfn.ANCHORARRAY(_xlfn.XLOOKUP($C62,'-ref_Distribution'!$B$146:$B$150,'-ref_Distribution'!$G$146:$G$150)),RIGHT(CB$1,2))</f>
        <v>146</v>
      </c>
      <c r="CC62" s="16" cm="1">
        <f t="array" ref="CC62">INDEX(_xlfn.ANCHORARRAY(_xlfn.XLOOKUP($C62,'-ref_Distribution'!$B$146:$B$150,'-ref_Distribution'!$G$146:$G$150)),RIGHT(CC$1,2))</f>
        <v>119</v>
      </c>
      <c r="CD62" s="16" cm="1">
        <f t="array" ref="CD62">INDEX(_xlfn.ANCHORARRAY(_xlfn.XLOOKUP($C62,'-ref_Distribution'!$B$146:$B$150,'-ref_Distribution'!$G$146:$G$150)),RIGHT(CD$1,2))</f>
        <v>96</v>
      </c>
      <c r="CE62" s="16" cm="1">
        <f t="array" ref="CE62">INDEX(_xlfn.ANCHORARRAY(_xlfn.XLOOKUP($C62,'-ref_Distribution'!$B$146:$B$150,'-ref_Distribution'!$G$146:$G$150)),RIGHT(CE$1,2))</f>
        <v>76</v>
      </c>
    </row>
    <row r="63" spans="1:83" x14ac:dyDescent="0.2">
      <c r="A63" s="16">
        <v>310204</v>
      </c>
      <c r="B63" s="16" t="s">
        <v>374</v>
      </c>
      <c r="C63" s="16">
        <v>1</v>
      </c>
      <c r="D63" s="16" cm="1">
        <f t="array" ref="D63">INDEX(_xlfn.ANCHORARRAY(_xlfn.XLOOKUP($C63,'-ref_Distribution'!$B$146:$B$150,'-ref_Distribution'!$G$146:$G$150)),RIGHT(D$1,2))</f>
        <v>337</v>
      </c>
      <c r="E63" s="16" cm="1">
        <f t="array" ref="E63">INDEX(_xlfn.ANCHORARRAY(_xlfn.XLOOKUP($C63,'-ref_Distribution'!$B$146:$B$150,'-ref_Distribution'!$G$146:$G$150)),RIGHT(E$1,2))</f>
        <v>364</v>
      </c>
      <c r="F63" s="16" cm="1">
        <f t="array" ref="F63">INDEX(_xlfn.ANCHORARRAY(_xlfn.XLOOKUP($C63,'-ref_Distribution'!$B$146:$B$150,'-ref_Distribution'!$G$146:$G$150)),RIGHT(F$1,2))</f>
        <v>386</v>
      </c>
      <c r="G63" s="16" cm="1">
        <f t="array" ref="G63">INDEX(_xlfn.ANCHORARRAY(_xlfn.XLOOKUP($C63,'-ref_Distribution'!$B$146:$B$150,'-ref_Distribution'!$G$146:$G$150)),RIGHT(G$1,2))</f>
        <v>403</v>
      </c>
      <c r="H63" s="16" cm="1">
        <f t="array" ref="H63">INDEX(_xlfn.ANCHORARRAY(_xlfn.XLOOKUP($C63,'-ref_Distribution'!$B$146:$B$150,'-ref_Distribution'!$G$146:$G$150)),RIGHT(H$1,2))</f>
        <v>414</v>
      </c>
      <c r="I63" s="16" cm="1">
        <f t="array" ref="I63">INDEX(_xlfn.ANCHORARRAY(_xlfn.XLOOKUP($C63,'-ref_Distribution'!$B$146:$B$150,'-ref_Distribution'!$G$146:$G$150)),RIGHT(I$1,2))</f>
        <v>417</v>
      </c>
      <c r="J63" s="16" cm="1">
        <f t="array" ref="J63">INDEX(_xlfn.ANCHORARRAY(_xlfn.XLOOKUP($C63,'-ref_Distribution'!$B$146:$B$150,'-ref_Distribution'!$G$146:$G$150)),RIGHT(J$1,2))</f>
        <v>414</v>
      </c>
      <c r="K63" s="16" cm="1">
        <f t="array" ref="K63">INDEX(_xlfn.ANCHORARRAY(_xlfn.XLOOKUP($C63,'-ref_Distribution'!$B$146:$B$150,'-ref_Distribution'!$G$146:$G$150)),RIGHT(K$1,2))</f>
        <v>403</v>
      </c>
      <c r="L63" s="16" cm="1">
        <f t="array" ref="L63">INDEX(_xlfn.ANCHORARRAY(_xlfn.XLOOKUP($C63,'-ref_Distribution'!$B$146:$B$150,'-ref_Distribution'!$G$146:$G$150)),RIGHT(L$1,2))</f>
        <v>386</v>
      </c>
      <c r="M63" s="16" cm="1">
        <f t="array" ref="M63">INDEX(_xlfn.ANCHORARRAY(_xlfn.XLOOKUP($C63,'-ref_Distribution'!$B$146:$B$150,'-ref_Distribution'!$G$146:$G$150)),RIGHT(M$1,2))</f>
        <v>364</v>
      </c>
      <c r="N63" s="16" cm="1">
        <f t="array" ref="N63">INDEX(_xlfn.ANCHORARRAY(_xlfn.XLOOKUP($C63,'-ref_Distribution'!$B$146:$B$150,'-ref_Distribution'!$G$146:$G$150)),RIGHT(N$1,2))</f>
        <v>337</v>
      </c>
      <c r="O63" s="16" cm="1">
        <f t="array" ref="O63">INDEX(_xlfn.ANCHORARRAY(_xlfn.XLOOKUP($C63,'-ref_Distribution'!$B$146:$B$150,'-ref_Distribution'!$G$146:$G$150)),RIGHT(O$1,2))</f>
        <v>307</v>
      </c>
      <c r="P63" s="16" cm="1">
        <f t="array" ref="P63">INDEX(_xlfn.ANCHORARRAY(_xlfn.XLOOKUP($C63,'-ref_Distribution'!$B$146:$B$150,'-ref_Distribution'!$G$146:$G$150)),RIGHT(P$1,2))</f>
        <v>274</v>
      </c>
      <c r="Q63" s="16" cm="1">
        <f t="array" ref="Q63">INDEX(_xlfn.ANCHORARRAY(_xlfn.XLOOKUP($C63,'-ref_Distribution'!$B$146:$B$150,'-ref_Distribution'!$G$146:$G$150)),RIGHT(Q$1,2))</f>
        <v>241</v>
      </c>
      <c r="R63" s="16" cm="1">
        <f t="array" ref="R63">INDEX(_xlfn.ANCHORARRAY(_xlfn.XLOOKUP($C63,'-ref_Distribution'!$B$146:$B$150,'-ref_Distribution'!$G$146:$G$150)),RIGHT(R$1,2))</f>
        <v>209</v>
      </c>
      <c r="S63" s="16" cm="1">
        <f t="array" ref="S63">INDEX(_xlfn.ANCHORARRAY(_xlfn.XLOOKUP($C63,'-ref_Distribution'!$B$146:$B$150,'-ref_Distribution'!$G$146:$G$150)),RIGHT(S$1,2))</f>
        <v>178</v>
      </c>
      <c r="T63" s="16" cm="1">
        <f t="array" ref="T63">INDEX(_xlfn.ANCHORARRAY(_xlfn.XLOOKUP($C63,'-ref_Distribution'!$B$146:$B$150,'-ref_Distribution'!$G$146:$G$150)),RIGHT(T$1,2))</f>
        <v>148</v>
      </c>
      <c r="U63" s="16" cm="1">
        <f t="array" ref="U63">INDEX(_xlfn.ANCHORARRAY(_xlfn.XLOOKUP($C63,'-ref_Distribution'!$B$146:$B$150,'-ref_Distribution'!$G$146:$G$150)),RIGHT(U$1,2))</f>
        <v>122</v>
      </c>
      <c r="V63" s="16" cm="1">
        <f t="array" ref="V63">INDEX(_xlfn.ANCHORARRAY(_xlfn.XLOOKUP($C63,'-ref_Distribution'!$B$146:$B$150,'-ref_Distribution'!$G$146:$G$150)),RIGHT(V$1,2))</f>
        <v>98</v>
      </c>
      <c r="W63" s="16" cm="1">
        <f t="array" ref="W63">INDEX(_xlfn.ANCHORARRAY(_xlfn.XLOOKUP($C63,'-ref_Distribution'!$B$146:$B$150,'-ref_Distribution'!$G$146:$G$150)),RIGHT(W$1,2))</f>
        <v>78</v>
      </c>
      <c r="X63" s="16" cm="1">
        <f t="array" ref="X63">INDEX(_xlfn.ANCHORARRAY(_xlfn.XLOOKUP($C63,'-ref_Distribution'!$B$146:$B$150,'-ref_Distribution'!$G$146:$G$150)),RIGHT(X$1,2))</f>
        <v>337</v>
      </c>
      <c r="Y63" s="16" cm="1">
        <f t="array" ref="Y63">INDEX(_xlfn.ANCHORARRAY(_xlfn.XLOOKUP($C63,'-ref_Distribution'!$B$146:$B$150,'-ref_Distribution'!$G$146:$G$150)),RIGHT(Y$1,2))</f>
        <v>364</v>
      </c>
      <c r="Z63" s="16" cm="1">
        <f t="array" ref="Z63">INDEX(_xlfn.ANCHORARRAY(_xlfn.XLOOKUP($C63,'-ref_Distribution'!$B$146:$B$150,'-ref_Distribution'!$G$146:$G$150)),RIGHT(Z$1,2))</f>
        <v>386</v>
      </c>
      <c r="AA63" s="16" cm="1">
        <f t="array" ref="AA63">INDEX(_xlfn.ANCHORARRAY(_xlfn.XLOOKUP($C63,'-ref_Distribution'!$B$146:$B$150,'-ref_Distribution'!$G$146:$G$150)),RIGHT(AA$1,2))</f>
        <v>403</v>
      </c>
      <c r="AB63" s="16" cm="1">
        <f t="array" ref="AB63">INDEX(_xlfn.ANCHORARRAY(_xlfn.XLOOKUP($C63,'-ref_Distribution'!$B$146:$B$150,'-ref_Distribution'!$G$146:$G$150)),RIGHT(AB$1,2))</f>
        <v>414</v>
      </c>
      <c r="AC63" s="16" cm="1">
        <f t="array" ref="AC63">INDEX(_xlfn.ANCHORARRAY(_xlfn.XLOOKUP($C63,'-ref_Distribution'!$B$146:$B$150,'-ref_Distribution'!$G$146:$G$150)),RIGHT(AC$1,2))</f>
        <v>417</v>
      </c>
      <c r="AD63" s="16" cm="1">
        <f t="array" ref="AD63">INDEX(_xlfn.ANCHORARRAY(_xlfn.XLOOKUP($C63,'-ref_Distribution'!$B$146:$B$150,'-ref_Distribution'!$G$146:$G$150)),RIGHT(AD$1,2))</f>
        <v>414</v>
      </c>
      <c r="AE63" s="16" cm="1">
        <f t="array" ref="AE63">INDEX(_xlfn.ANCHORARRAY(_xlfn.XLOOKUP($C63,'-ref_Distribution'!$B$146:$B$150,'-ref_Distribution'!$G$146:$G$150)),RIGHT(AE$1,2))</f>
        <v>403</v>
      </c>
      <c r="AF63" s="16" cm="1">
        <f t="array" ref="AF63">INDEX(_xlfn.ANCHORARRAY(_xlfn.XLOOKUP($C63,'-ref_Distribution'!$B$146:$B$150,'-ref_Distribution'!$G$146:$G$150)),RIGHT(AF$1,2))</f>
        <v>386</v>
      </c>
      <c r="AG63" s="16" cm="1">
        <f t="array" ref="AG63">INDEX(_xlfn.ANCHORARRAY(_xlfn.XLOOKUP($C63,'-ref_Distribution'!$B$146:$B$150,'-ref_Distribution'!$G$146:$G$150)),RIGHT(AG$1,2))</f>
        <v>364</v>
      </c>
      <c r="AH63" s="16" cm="1">
        <f t="array" ref="AH63">INDEX(_xlfn.ANCHORARRAY(_xlfn.XLOOKUP($C63,'-ref_Distribution'!$B$146:$B$150,'-ref_Distribution'!$G$146:$G$150)),RIGHT(AH$1,2))</f>
        <v>337</v>
      </c>
      <c r="AI63" s="16" cm="1">
        <f t="array" ref="AI63">INDEX(_xlfn.ANCHORARRAY(_xlfn.XLOOKUP($C63,'-ref_Distribution'!$B$146:$B$150,'-ref_Distribution'!$G$146:$G$150)),RIGHT(AI$1,2))</f>
        <v>307</v>
      </c>
      <c r="AJ63" s="16" cm="1">
        <f t="array" ref="AJ63">INDEX(_xlfn.ANCHORARRAY(_xlfn.XLOOKUP($C63,'-ref_Distribution'!$B$146:$B$150,'-ref_Distribution'!$G$146:$G$150)),RIGHT(AJ$1,2))</f>
        <v>274</v>
      </c>
      <c r="AK63" s="16" cm="1">
        <f t="array" ref="AK63">INDEX(_xlfn.ANCHORARRAY(_xlfn.XLOOKUP($C63,'-ref_Distribution'!$B$146:$B$150,'-ref_Distribution'!$G$146:$G$150)),RIGHT(AK$1,2))</f>
        <v>241</v>
      </c>
      <c r="AL63" s="16" cm="1">
        <f t="array" ref="AL63">INDEX(_xlfn.ANCHORARRAY(_xlfn.XLOOKUP($C63,'-ref_Distribution'!$B$146:$B$150,'-ref_Distribution'!$G$146:$G$150)),RIGHT(AL$1,2))</f>
        <v>209</v>
      </c>
      <c r="AM63" s="16" cm="1">
        <f t="array" ref="AM63">INDEX(_xlfn.ANCHORARRAY(_xlfn.XLOOKUP($C63,'-ref_Distribution'!$B$146:$B$150,'-ref_Distribution'!$G$146:$G$150)),RIGHT(AM$1,2))</f>
        <v>178</v>
      </c>
      <c r="AN63" s="16" cm="1">
        <f t="array" ref="AN63">INDEX(_xlfn.ANCHORARRAY(_xlfn.XLOOKUP($C63,'-ref_Distribution'!$B$146:$B$150,'-ref_Distribution'!$G$146:$G$150)),RIGHT(AN$1,2))</f>
        <v>148</v>
      </c>
      <c r="AO63" s="16" cm="1">
        <f t="array" ref="AO63">INDEX(_xlfn.ANCHORARRAY(_xlfn.XLOOKUP($C63,'-ref_Distribution'!$B$146:$B$150,'-ref_Distribution'!$G$146:$G$150)),RIGHT(AO$1,2))</f>
        <v>122</v>
      </c>
      <c r="AP63" s="16" cm="1">
        <f t="array" ref="AP63">INDEX(_xlfn.ANCHORARRAY(_xlfn.XLOOKUP($C63,'-ref_Distribution'!$B$146:$B$150,'-ref_Distribution'!$G$146:$G$150)),RIGHT(AP$1,2))</f>
        <v>98</v>
      </c>
      <c r="AQ63" s="16" cm="1">
        <f t="array" ref="AQ63">INDEX(_xlfn.ANCHORARRAY(_xlfn.XLOOKUP($C63,'-ref_Distribution'!$B$146:$B$150,'-ref_Distribution'!$G$146:$G$150)),RIGHT(AQ$1,2))</f>
        <v>78</v>
      </c>
      <c r="AR63" s="16" cm="1">
        <f t="array" ref="AR63">INDEX(_xlfn.ANCHORARRAY(_xlfn.XLOOKUP($C63,'-ref_Distribution'!$B$146:$B$150,'-ref_Distribution'!$G$146:$G$150)),RIGHT(AR$1,2))</f>
        <v>337</v>
      </c>
      <c r="AS63" s="16" cm="1">
        <f t="array" ref="AS63">INDEX(_xlfn.ANCHORARRAY(_xlfn.XLOOKUP($C63,'-ref_Distribution'!$B$146:$B$150,'-ref_Distribution'!$G$146:$G$150)),RIGHT(AS$1,2))</f>
        <v>364</v>
      </c>
      <c r="AT63" s="16" cm="1">
        <f t="array" ref="AT63">INDEX(_xlfn.ANCHORARRAY(_xlfn.XLOOKUP($C63,'-ref_Distribution'!$B$146:$B$150,'-ref_Distribution'!$G$146:$G$150)),RIGHT(AT$1,2))</f>
        <v>386</v>
      </c>
      <c r="AU63" s="16" cm="1">
        <f t="array" ref="AU63">INDEX(_xlfn.ANCHORARRAY(_xlfn.XLOOKUP($C63,'-ref_Distribution'!$B$146:$B$150,'-ref_Distribution'!$G$146:$G$150)),RIGHT(AU$1,2))</f>
        <v>403</v>
      </c>
      <c r="AV63" s="16" cm="1">
        <f t="array" ref="AV63">INDEX(_xlfn.ANCHORARRAY(_xlfn.XLOOKUP($C63,'-ref_Distribution'!$B$146:$B$150,'-ref_Distribution'!$G$146:$G$150)),RIGHT(AV$1,2))</f>
        <v>414</v>
      </c>
      <c r="AW63" s="16" cm="1">
        <f t="array" ref="AW63">INDEX(_xlfn.ANCHORARRAY(_xlfn.XLOOKUP($C63,'-ref_Distribution'!$B$146:$B$150,'-ref_Distribution'!$G$146:$G$150)),RIGHT(AW$1,2))</f>
        <v>417</v>
      </c>
      <c r="AX63" s="16" cm="1">
        <f t="array" ref="AX63">INDEX(_xlfn.ANCHORARRAY(_xlfn.XLOOKUP($C63,'-ref_Distribution'!$B$146:$B$150,'-ref_Distribution'!$G$146:$G$150)),RIGHT(AX$1,2))</f>
        <v>414</v>
      </c>
      <c r="AY63" s="16" cm="1">
        <f t="array" ref="AY63">INDEX(_xlfn.ANCHORARRAY(_xlfn.XLOOKUP($C63,'-ref_Distribution'!$B$146:$B$150,'-ref_Distribution'!$G$146:$G$150)),RIGHT(AY$1,2))</f>
        <v>403</v>
      </c>
      <c r="AZ63" s="16" cm="1">
        <f t="array" ref="AZ63">INDEX(_xlfn.ANCHORARRAY(_xlfn.XLOOKUP($C63,'-ref_Distribution'!$B$146:$B$150,'-ref_Distribution'!$G$146:$G$150)),RIGHT(AZ$1,2))</f>
        <v>386</v>
      </c>
      <c r="BA63" s="16" cm="1">
        <f t="array" ref="BA63">INDEX(_xlfn.ANCHORARRAY(_xlfn.XLOOKUP($C63,'-ref_Distribution'!$B$146:$B$150,'-ref_Distribution'!$G$146:$G$150)),RIGHT(BA$1,2))</f>
        <v>364</v>
      </c>
      <c r="BB63" s="16" cm="1">
        <f t="array" ref="BB63">INDEX(_xlfn.ANCHORARRAY(_xlfn.XLOOKUP($C63,'-ref_Distribution'!$B$146:$B$150,'-ref_Distribution'!$G$146:$G$150)),RIGHT(BB$1,2))</f>
        <v>337</v>
      </c>
      <c r="BC63" s="16" cm="1">
        <f t="array" ref="BC63">INDEX(_xlfn.ANCHORARRAY(_xlfn.XLOOKUP($C63,'-ref_Distribution'!$B$146:$B$150,'-ref_Distribution'!$G$146:$G$150)),RIGHT(BC$1,2))</f>
        <v>307</v>
      </c>
      <c r="BD63" s="16" cm="1">
        <f t="array" ref="BD63">INDEX(_xlfn.ANCHORARRAY(_xlfn.XLOOKUP($C63,'-ref_Distribution'!$B$146:$B$150,'-ref_Distribution'!$G$146:$G$150)),RIGHT(BD$1,2))</f>
        <v>274</v>
      </c>
      <c r="BE63" s="16" cm="1">
        <f t="array" ref="BE63">INDEX(_xlfn.ANCHORARRAY(_xlfn.XLOOKUP($C63,'-ref_Distribution'!$B$146:$B$150,'-ref_Distribution'!$G$146:$G$150)),RIGHT(BE$1,2))</f>
        <v>241</v>
      </c>
      <c r="BF63" s="16" cm="1">
        <f t="array" ref="BF63">INDEX(_xlfn.ANCHORARRAY(_xlfn.XLOOKUP($C63,'-ref_Distribution'!$B$146:$B$150,'-ref_Distribution'!$G$146:$G$150)),RIGHT(BF$1,2))</f>
        <v>209</v>
      </c>
      <c r="BG63" s="16" cm="1">
        <f t="array" ref="BG63">INDEX(_xlfn.ANCHORARRAY(_xlfn.XLOOKUP($C63,'-ref_Distribution'!$B$146:$B$150,'-ref_Distribution'!$G$146:$G$150)),RIGHT(BG$1,2))</f>
        <v>178</v>
      </c>
      <c r="BH63" s="16" cm="1">
        <f t="array" ref="BH63">INDEX(_xlfn.ANCHORARRAY(_xlfn.XLOOKUP($C63,'-ref_Distribution'!$B$146:$B$150,'-ref_Distribution'!$G$146:$G$150)),RIGHT(BH$1,2))</f>
        <v>148</v>
      </c>
      <c r="BI63" s="16" cm="1">
        <f t="array" ref="BI63">INDEX(_xlfn.ANCHORARRAY(_xlfn.XLOOKUP($C63,'-ref_Distribution'!$B$146:$B$150,'-ref_Distribution'!$G$146:$G$150)),RIGHT(BI$1,2))</f>
        <v>122</v>
      </c>
      <c r="BJ63" s="16" cm="1">
        <f t="array" ref="BJ63">INDEX(_xlfn.ANCHORARRAY(_xlfn.XLOOKUP($C63,'-ref_Distribution'!$B$146:$B$150,'-ref_Distribution'!$G$146:$G$150)),RIGHT(BJ$1,2))</f>
        <v>98</v>
      </c>
      <c r="BK63" s="16" cm="1">
        <f t="array" ref="BK63">INDEX(_xlfn.ANCHORARRAY(_xlfn.XLOOKUP($C63,'-ref_Distribution'!$B$146:$B$150,'-ref_Distribution'!$G$146:$G$150)),RIGHT(BK$1,2))</f>
        <v>78</v>
      </c>
      <c r="BL63" s="16" cm="1">
        <f t="array" ref="BL63">INDEX(_xlfn.ANCHORARRAY(_xlfn.XLOOKUP($C63,'-ref_Distribution'!$B$146:$B$150,'-ref_Distribution'!$G$146:$G$150)),RIGHT(BL$1,2))</f>
        <v>337</v>
      </c>
      <c r="BM63" s="16" cm="1">
        <f t="array" ref="BM63">INDEX(_xlfn.ANCHORARRAY(_xlfn.XLOOKUP($C63,'-ref_Distribution'!$B$146:$B$150,'-ref_Distribution'!$G$146:$G$150)),RIGHT(BM$1,2))</f>
        <v>364</v>
      </c>
      <c r="BN63" s="16" cm="1">
        <f t="array" ref="BN63">INDEX(_xlfn.ANCHORARRAY(_xlfn.XLOOKUP($C63,'-ref_Distribution'!$B$146:$B$150,'-ref_Distribution'!$G$146:$G$150)),RIGHT(BN$1,2))</f>
        <v>386</v>
      </c>
      <c r="BO63" s="16" cm="1">
        <f t="array" ref="BO63">INDEX(_xlfn.ANCHORARRAY(_xlfn.XLOOKUP($C63,'-ref_Distribution'!$B$146:$B$150,'-ref_Distribution'!$G$146:$G$150)),RIGHT(BO$1,2))</f>
        <v>403</v>
      </c>
      <c r="BP63" s="16" cm="1">
        <f t="array" ref="BP63">INDEX(_xlfn.ANCHORARRAY(_xlfn.XLOOKUP($C63,'-ref_Distribution'!$B$146:$B$150,'-ref_Distribution'!$G$146:$G$150)),RIGHT(BP$1,2))</f>
        <v>414</v>
      </c>
      <c r="BQ63" s="16" cm="1">
        <f t="array" ref="BQ63">INDEX(_xlfn.ANCHORARRAY(_xlfn.XLOOKUP($C63,'-ref_Distribution'!$B$146:$B$150,'-ref_Distribution'!$G$146:$G$150)),RIGHT(BQ$1,2))</f>
        <v>417</v>
      </c>
      <c r="BR63" s="16" cm="1">
        <f t="array" ref="BR63">INDEX(_xlfn.ANCHORARRAY(_xlfn.XLOOKUP($C63,'-ref_Distribution'!$B$146:$B$150,'-ref_Distribution'!$G$146:$G$150)),RIGHT(BR$1,2))</f>
        <v>414</v>
      </c>
      <c r="BS63" s="16" cm="1">
        <f t="array" ref="BS63">INDEX(_xlfn.ANCHORARRAY(_xlfn.XLOOKUP($C63,'-ref_Distribution'!$B$146:$B$150,'-ref_Distribution'!$G$146:$G$150)),RIGHT(BS$1,2))</f>
        <v>403</v>
      </c>
      <c r="BT63" s="16" cm="1">
        <f t="array" ref="BT63">INDEX(_xlfn.ANCHORARRAY(_xlfn.XLOOKUP($C63,'-ref_Distribution'!$B$146:$B$150,'-ref_Distribution'!$G$146:$G$150)),RIGHT(BT$1,2))</f>
        <v>386</v>
      </c>
      <c r="BU63" s="16" cm="1">
        <f t="array" ref="BU63">INDEX(_xlfn.ANCHORARRAY(_xlfn.XLOOKUP($C63,'-ref_Distribution'!$B$146:$B$150,'-ref_Distribution'!$G$146:$G$150)),RIGHT(BU$1,2))</f>
        <v>364</v>
      </c>
      <c r="BV63" s="16" cm="1">
        <f t="array" ref="BV63">INDEX(_xlfn.ANCHORARRAY(_xlfn.XLOOKUP($C63,'-ref_Distribution'!$B$146:$B$150,'-ref_Distribution'!$G$146:$G$150)),RIGHT(BV$1,2))</f>
        <v>337</v>
      </c>
      <c r="BW63" s="16" cm="1">
        <f t="array" ref="BW63">INDEX(_xlfn.ANCHORARRAY(_xlfn.XLOOKUP($C63,'-ref_Distribution'!$B$146:$B$150,'-ref_Distribution'!$G$146:$G$150)),RIGHT(BW$1,2))</f>
        <v>307</v>
      </c>
      <c r="BX63" s="16" cm="1">
        <f t="array" ref="BX63">INDEX(_xlfn.ANCHORARRAY(_xlfn.XLOOKUP($C63,'-ref_Distribution'!$B$146:$B$150,'-ref_Distribution'!$G$146:$G$150)),RIGHT(BX$1,2))</f>
        <v>274</v>
      </c>
      <c r="BY63" s="16" cm="1">
        <f t="array" ref="BY63">INDEX(_xlfn.ANCHORARRAY(_xlfn.XLOOKUP($C63,'-ref_Distribution'!$B$146:$B$150,'-ref_Distribution'!$G$146:$G$150)),RIGHT(BY$1,2))</f>
        <v>241</v>
      </c>
      <c r="BZ63" s="16" cm="1">
        <f t="array" ref="BZ63">INDEX(_xlfn.ANCHORARRAY(_xlfn.XLOOKUP($C63,'-ref_Distribution'!$B$146:$B$150,'-ref_Distribution'!$G$146:$G$150)),RIGHT(BZ$1,2))</f>
        <v>209</v>
      </c>
      <c r="CA63" s="16" cm="1">
        <f t="array" ref="CA63">INDEX(_xlfn.ANCHORARRAY(_xlfn.XLOOKUP($C63,'-ref_Distribution'!$B$146:$B$150,'-ref_Distribution'!$G$146:$G$150)),RIGHT(CA$1,2))</f>
        <v>178</v>
      </c>
      <c r="CB63" s="16" cm="1">
        <f t="array" ref="CB63">INDEX(_xlfn.ANCHORARRAY(_xlfn.XLOOKUP($C63,'-ref_Distribution'!$B$146:$B$150,'-ref_Distribution'!$G$146:$G$150)),RIGHT(CB$1,2))</f>
        <v>148</v>
      </c>
      <c r="CC63" s="16" cm="1">
        <f t="array" ref="CC63">INDEX(_xlfn.ANCHORARRAY(_xlfn.XLOOKUP($C63,'-ref_Distribution'!$B$146:$B$150,'-ref_Distribution'!$G$146:$G$150)),RIGHT(CC$1,2))</f>
        <v>122</v>
      </c>
      <c r="CD63" s="16" cm="1">
        <f t="array" ref="CD63">INDEX(_xlfn.ANCHORARRAY(_xlfn.XLOOKUP($C63,'-ref_Distribution'!$B$146:$B$150,'-ref_Distribution'!$G$146:$G$150)),RIGHT(CD$1,2))</f>
        <v>98</v>
      </c>
      <c r="CE63" s="16" cm="1">
        <f t="array" ref="CE63">INDEX(_xlfn.ANCHORARRAY(_xlfn.XLOOKUP($C63,'-ref_Distribution'!$B$146:$B$150,'-ref_Distribution'!$G$146:$G$150)),RIGHT(CE$1,2))</f>
        <v>78</v>
      </c>
    </row>
    <row r="64" spans="1:83" x14ac:dyDescent="0.2">
      <c r="A64" s="16">
        <v>310205</v>
      </c>
      <c r="B64" s="16" t="s">
        <v>375</v>
      </c>
      <c r="C64" s="16">
        <v>2</v>
      </c>
      <c r="D64" s="16" cm="1">
        <f t="array" ref="D64">INDEX(_xlfn.ANCHORARRAY(_xlfn.XLOOKUP($C64,'-ref_Distribution'!$B$146:$B$150,'-ref_Distribution'!$G$146:$G$150)),RIGHT(D$1,2))</f>
        <v>75</v>
      </c>
      <c r="E64" s="16" cm="1">
        <f t="array" ref="E64">INDEX(_xlfn.ANCHORARRAY(_xlfn.XLOOKUP($C64,'-ref_Distribution'!$B$146:$B$150,'-ref_Distribution'!$G$146:$G$150)),RIGHT(E$1,2))</f>
        <v>94</v>
      </c>
      <c r="F64" s="16" cm="1">
        <f t="array" ref="F64">INDEX(_xlfn.ANCHORARRAY(_xlfn.XLOOKUP($C64,'-ref_Distribution'!$B$146:$B$150,'-ref_Distribution'!$G$146:$G$150)),RIGHT(F$1,2))</f>
        <v>115</v>
      </c>
      <c r="G64" s="16" cm="1">
        <f t="array" ref="G64">INDEX(_xlfn.ANCHORARRAY(_xlfn.XLOOKUP($C64,'-ref_Distribution'!$B$146:$B$150,'-ref_Distribution'!$G$146:$G$150)),RIGHT(G$1,2))</f>
        <v>137</v>
      </c>
      <c r="H64" s="16" cm="1">
        <f t="array" ref="H64">INDEX(_xlfn.ANCHORARRAY(_xlfn.XLOOKUP($C64,'-ref_Distribution'!$B$146:$B$150,'-ref_Distribution'!$G$146:$G$150)),RIGHT(H$1,2))</f>
        <v>160</v>
      </c>
      <c r="I64" s="16" cm="1">
        <f t="array" ref="I64">INDEX(_xlfn.ANCHORARRAY(_xlfn.XLOOKUP($C64,'-ref_Distribution'!$B$146:$B$150,'-ref_Distribution'!$G$146:$G$150)),RIGHT(I$1,2))</f>
        <v>183</v>
      </c>
      <c r="J64" s="16" cm="1">
        <f t="array" ref="J64">INDEX(_xlfn.ANCHORARRAY(_xlfn.XLOOKUP($C64,'-ref_Distribution'!$B$146:$B$150,'-ref_Distribution'!$G$146:$G$150)),RIGHT(J$1,2))</f>
        <v>203</v>
      </c>
      <c r="K64" s="16" cm="1">
        <f t="array" ref="K64">INDEX(_xlfn.ANCHORARRAY(_xlfn.XLOOKUP($C64,'-ref_Distribution'!$B$146:$B$150,'-ref_Distribution'!$G$146:$G$150)),RIGHT(K$1,2))</f>
        <v>221</v>
      </c>
      <c r="L64" s="16" cm="1">
        <f t="array" ref="L64">INDEX(_xlfn.ANCHORARRAY(_xlfn.XLOOKUP($C64,'-ref_Distribution'!$B$146:$B$150,'-ref_Distribution'!$G$146:$G$150)),RIGHT(L$1,2))</f>
        <v>234</v>
      </c>
      <c r="M64" s="16" cm="1">
        <f t="array" ref="M64">INDEX(_xlfn.ANCHORARRAY(_xlfn.XLOOKUP($C64,'-ref_Distribution'!$B$146:$B$150,'-ref_Distribution'!$G$146:$G$150)),RIGHT(M$1,2))</f>
        <v>243</v>
      </c>
      <c r="N64" s="16" cm="1">
        <f t="array" ref="N64">INDEX(_xlfn.ANCHORARRAY(_xlfn.XLOOKUP($C64,'-ref_Distribution'!$B$146:$B$150,'-ref_Distribution'!$G$146:$G$150)),RIGHT(N$1,2))</f>
        <v>245</v>
      </c>
      <c r="O64" s="16" cm="1">
        <f t="array" ref="O64">INDEX(_xlfn.ANCHORARRAY(_xlfn.XLOOKUP($C64,'-ref_Distribution'!$B$146:$B$150,'-ref_Distribution'!$G$146:$G$150)),RIGHT(O$1,2))</f>
        <v>243</v>
      </c>
      <c r="P64" s="16" cm="1">
        <f t="array" ref="P64">INDEX(_xlfn.ANCHORARRAY(_xlfn.XLOOKUP($C64,'-ref_Distribution'!$B$146:$B$150,'-ref_Distribution'!$G$146:$G$150)),RIGHT(P$1,2))</f>
        <v>234</v>
      </c>
      <c r="Q64" s="16" cm="1">
        <f t="array" ref="Q64">INDEX(_xlfn.ANCHORARRAY(_xlfn.XLOOKUP($C64,'-ref_Distribution'!$B$146:$B$150,'-ref_Distribution'!$G$146:$G$150)),RIGHT(Q$1,2))</f>
        <v>221</v>
      </c>
      <c r="R64" s="16" cm="1">
        <f t="array" ref="R64">INDEX(_xlfn.ANCHORARRAY(_xlfn.XLOOKUP($C64,'-ref_Distribution'!$B$146:$B$150,'-ref_Distribution'!$G$146:$G$150)),RIGHT(R$1,2))</f>
        <v>203</v>
      </c>
      <c r="S64" s="16" cm="1">
        <f t="array" ref="S64">INDEX(_xlfn.ANCHORARRAY(_xlfn.XLOOKUP($C64,'-ref_Distribution'!$B$146:$B$150,'-ref_Distribution'!$G$146:$G$150)),RIGHT(S$1,2))</f>
        <v>183</v>
      </c>
      <c r="T64" s="16" cm="1">
        <f t="array" ref="T64">INDEX(_xlfn.ANCHORARRAY(_xlfn.XLOOKUP($C64,'-ref_Distribution'!$B$146:$B$150,'-ref_Distribution'!$G$146:$G$150)),RIGHT(T$1,2))</f>
        <v>160</v>
      </c>
      <c r="U64" s="16" cm="1">
        <f t="array" ref="U64">INDEX(_xlfn.ANCHORARRAY(_xlfn.XLOOKUP($C64,'-ref_Distribution'!$B$146:$B$150,'-ref_Distribution'!$G$146:$G$150)),RIGHT(U$1,2))</f>
        <v>137</v>
      </c>
      <c r="V64" s="16" cm="1">
        <f t="array" ref="V64">INDEX(_xlfn.ANCHORARRAY(_xlfn.XLOOKUP($C64,'-ref_Distribution'!$B$146:$B$150,'-ref_Distribution'!$G$146:$G$150)),RIGHT(V$1,2))</f>
        <v>115</v>
      </c>
      <c r="W64" s="16" cm="1">
        <f t="array" ref="W64">INDEX(_xlfn.ANCHORARRAY(_xlfn.XLOOKUP($C64,'-ref_Distribution'!$B$146:$B$150,'-ref_Distribution'!$G$146:$G$150)),RIGHT(W$1,2))</f>
        <v>94</v>
      </c>
      <c r="X64" s="16" cm="1">
        <f t="array" ref="X64">INDEX(_xlfn.ANCHORARRAY(_xlfn.XLOOKUP($C64,'-ref_Distribution'!$B$146:$B$150,'-ref_Distribution'!$G$146:$G$150)),RIGHT(X$1,2))</f>
        <v>75</v>
      </c>
      <c r="Y64" s="16" cm="1">
        <f t="array" ref="Y64">INDEX(_xlfn.ANCHORARRAY(_xlfn.XLOOKUP($C64,'-ref_Distribution'!$B$146:$B$150,'-ref_Distribution'!$G$146:$G$150)),RIGHT(Y$1,2))</f>
        <v>94</v>
      </c>
      <c r="Z64" s="16" cm="1">
        <f t="array" ref="Z64">INDEX(_xlfn.ANCHORARRAY(_xlfn.XLOOKUP($C64,'-ref_Distribution'!$B$146:$B$150,'-ref_Distribution'!$G$146:$G$150)),RIGHT(Z$1,2))</f>
        <v>115</v>
      </c>
      <c r="AA64" s="16" cm="1">
        <f t="array" ref="AA64">INDEX(_xlfn.ANCHORARRAY(_xlfn.XLOOKUP($C64,'-ref_Distribution'!$B$146:$B$150,'-ref_Distribution'!$G$146:$G$150)),RIGHT(AA$1,2))</f>
        <v>137</v>
      </c>
      <c r="AB64" s="16" cm="1">
        <f t="array" ref="AB64">INDEX(_xlfn.ANCHORARRAY(_xlfn.XLOOKUP($C64,'-ref_Distribution'!$B$146:$B$150,'-ref_Distribution'!$G$146:$G$150)),RIGHT(AB$1,2))</f>
        <v>160</v>
      </c>
      <c r="AC64" s="16" cm="1">
        <f t="array" ref="AC64">INDEX(_xlfn.ANCHORARRAY(_xlfn.XLOOKUP($C64,'-ref_Distribution'!$B$146:$B$150,'-ref_Distribution'!$G$146:$G$150)),RIGHT(AC$1,2))</f>
        <v>183</v>
      </c>
      <c r="AD64" s="16" cm="1">
        <f t="array" ref="AD64">INDEX(_xlfn.ANCHORARRAY(_xlfn.XLOOKUP($C64,'-ref_Distribution'!$B$146:$B$150,'-ref_Distribution'!$G$146:$G$150)),RIGHT(AD$1,2))</f>
        <v>203</v>
      </c>
      <c r="AE64" s="16" cm="1">
        <f t="array" ref="AE64">INDEX(_xlfn.ANCHORARRAY(_xlfn.XLOOKUP($C64,'-ref_Distribution'!$B$146:$B$150,'-ref_Distribution'!$G$146:$G$150)),RIGHT(AE$1,2))</f>
        <v>221</v>
      </c>
      <c r="AF64" s="16" cm="1">
        <f t="array" ref="AF64">INDEX(_xlfn.ANCHORARRAY(_xlfn.XLOOKUP($C64,'-ref_Distribution'!$B$146:$B$150,'-ref_Distribution'!$G$146:$G$150)),RIGHT(AF$1,2))</f>
        <v>234</v>
      </c>
      <c r="AG64" s="16" cm="1">
        <f t="array" ref="AG64">INDEX(_xlfn.ANCHORARRAY(_xlfn.XLOOKUP($C64,'-ref_Distribution'!$B$146:$B$150,'-ref_Distribution'!$G$146:$G$150)),RIGHT(AG$1,2))</f>
        <v>243</v>
      </c>
      <c r="AH64" s="16" cm="1">
        <f t="array" ref="AH64">INDEX(_xlfn.ANCHORARRAY(_xlfn.XLOOKUP($C64,'-ref_Distribution'!$B$146:$B$150,'-ref_Distribution'!$G$146:$G$150)),RIGHT(AH$1,2))</f>
        <v>245</v>
      </c>
      <c r="AI64" s="16" cm="1">
        <f t="array" ref="AI64">INDEX(_xlfn.ANCHORARRAY(_xlfn.XLOOKUP($C64,'-ref_Distribution'!$B$146:$B$150,'-ref_Distribution'!$G$146:$G$150)),RIGHT(AI$1,2))</f>
        <v>243</v>
      </c>
      <c r="AJ64" s="16" cm="1">
        <f t="array" ref="AJ64">INDEX(_xlfn.ANCHORARRAY(_xlfn.XLOOKUP($C64,'-ref_Distribution'!$B$146:$B$150,'-ref_Distribution'!$G$146:$G$150)),RIGHT(AJ$1,2))</f>
        <v>234</v>
      </c>
      <c r="AK64" s="16" cm="1">
        <f t="array" ref="AK64">INDEX(_xlfn.ANCHORARRAY(_xlfn.XLOOKUP($C64,'-ref_Distribution'!$B$146:$B$150,'-ref_Distribution'!$G$146:$G$150)),RIGHT(AK$1,2))</f>
        <v>221</v>
      </c>
      <c r="AL64" s="16" cm="1">
        <f t="array" ref="AL64">INDEX(_xlfn.ANCHORARRAY(_xlfn.XLOOKUP($C64,'-ref_Distribution'!$B$146:$B$150,'-ref_Distribution'!$G$146:$G$150)),RIGHT(AL$1,2))</f>
        <v>203</v>
      </c>
      <c r="AM64" s="16" cm="1">
        <f t="array" ref="AM64">INDEX(_xlfn.ANCHORARRAY(_xlfn.XLOOKUP($C64,'-ref_Distribution'!$B$146:$B$150,'-ref_Distribution'!$G$146:$G$150)),RIGHT(AM$1,2))</f>
        <v>183</v>
      </c>
      <c r="AN64" s="16" cm="1">
        <f t="array" ref="AN64">INDEX(_xlfn.ANCHORARRAY(_xlfn.XLOOKUP($C64,'-ref_Distribution'!$B$146:$B$150,'-ref_Distribution'!$G$146:$G$150)),RIGHT(AN$1,2))</f>
        <v>160</v>
      </c>
      <c r="AO64" s="16" cm="1">
        <f t="array" ref="AO64">INDEX(_xlfn.ANCHORARRAY(_xlfn.XLOOKUP($C64,'-ref_Distribution'!$B$146:$B$150,'-ref_Distribution'!$G$146:$G$150)),RIGHT(AO$1,2))</f>
        <v>137</v>
      </c>
      <c r="AP64" s="16" cm="1">
        <f t="array" ref="AP64">INDEX(_xlfn.ANCHORARRAY(_xlfn.XLOOKUP($C64,'-ref_Distribution'!$B$146:$B$150,'-ref_Distribution'!$G$146:$G$150)),RIGHT(AP$1,2))</f>
        <v>115</v>
      </c>
      <c r="AQ64" s="16" cm="1">
        <f t="array" ref="AQ64">INDEX(_xlfn.ANCHORARRAY(_xlfn.XLOOKUP($C64,'-ref_Distribution'!$B$146:$B$150,'-ref_Distribution'!$G$146:$G$150)),RIGHT(AQ$1,2))</f>
        <v>94</v>
      </c>
      <c r="AR64" s="16" cm="1">
        <f t="array" ref="AR64">INDEX(_xlfn.ANCHORARRAY(_xlfn.XLOOKUP($C64,'-ref_Distribution'!$B$146:$B$150,'-ref_Distribution'!$G$146:$G$150)),RIGHT(AR$1,2))</f>
        <v>75</v>
      </c>
      <c r="AS64" s="16" cm="1">
        <f t="array" ref="AS64">INDEX(_xlfn.ANCHORARRAY(_xlfn.XLOOKUP($C64,'-ref_Distribution'!$B$146:$B$150,'-ref_Distribution'!$G$146:$G$150)),RIGHT(AS$1,2))</f>
        <v>94</v>
      </c>
      <c r="AT64" s="16" cm="1">
        <f t="array" ref="AT64">INDEX(_xlfn.ANCHORARRAY(_xlfn.XLOOKUP($C64,'-ref_Distribution'!$B$146:$B$150,'-ref_Distribution'!$G$146:$G$150)),RIGHT(AT$1,2))</f>
        <v>115</v>
      </c>
      <c r="AU64" s="16" cm="1">
        <f t="array" ref="AU64">INDEX(_xlfn.ANCHORARRAY(_xlfn.XLOOKUP($C64,'-ref_Distribution'!$B$146:$B$150,'-ref_Distribution'!$G$146:$G$150)),RIGHT(AU$1,2))</f>
        <v>137</v>
      </c>
      <c r="AV64" s="16" cm="1">
        <f t="array" ref="AV64">INDEX(_xlfn.ANCHORARRAY(_xlfn.XLOOKUP($C64,'-ref_Distribution'!$B$146:$B$150,'-ref_Distribution'!$G$146:$G$150)),RIGHT(AV$1,2))</f>
        <v>160</v>
      </c>
      <c r="AW64" s="16" cm="1">
        <f t="array" ref="AW64">INDEX(_xlfn.ANCHORARRAY(_xlfn.XLOOKUP($C64,'-ref_Distribution'!$B$146:$B$150,'-ref_Distribution'!$G$146:$G$150)),RIGHT(AW$1,2))</f>
        <v>183</v>
      </c>
      <c r="AX64" s="16" cm="1">
        <f t="array" ref="AX64">INDEX(_xlfn.ANCHORARRAY(_xlfn.XLOOKUP($C64,'-ref_Distribution'!$B$146:$B$150,'-ref_Distribution'!$G$146:$G$150)),RIGHT(AX$1,2))</f>
        <v>203</v>
      </c>
      <c r="AY64" s="16" cm="1">
        <f t="array" ref="AY64">INDEX(_xlfn.ANCHORARRAY(_xlfn.XLOOKUP($C64,'-ref_Distribution'!$B$146:$B$150,'-ref_Distribution'!$G$146:$G$150)),RIGHT(AY$1,2))</f>
        <v>221</v>
      </c>
      <c r="AZ64" s="16" cm="1">
        <f t="array" ref="AZ64">INDEX(_xlfn.ANCHORARRAY(_xlfn.XLOOKUP($C64,'-ref_Distribution'!$B$146:$B$150,'-ref_Distribution'!$G$146:$G$150)),RIGHT(AZ$1,2))</f>
        <v>234</v>
      </c>
      <c r="BA64" s="16" cm="1">
        <f t="array" ref="BA64">INDEX(_xlfn.ANCHORARRAY(_xlfn.XLOOKUP($C64,'-ref_Distribution'!$B$146:$B$150,'-ref_Distribution'!$G$146:$G$150)),RIGHT(BA$1,2))</f>
        <v>243</v>
      </c>
      <c r="BB64" s="16" cm="1">
        <f t="array" ref="BB64">INDEX(_xlfn.ANCHORARRAY(_xlfn.XLOOKUP($C64,'-ref_Distribution'!$B$146:$B$150,'-ref_Distribution'!$G$146:$G$150)),RIGHT(BB$1,2))</f>
        <v>245</v>
      </c>
      <c r="BC64" s="16" cm="1">
        <f t="array" ref="BC64">INDEX(_xlfn.ANCHORARRAY(_xlfn.XLOOKUP($C64,'-ref_Distribution'!$B$146:$B$150,'-ref_Distribution'!$G$146:$G$150)),RIGHT(BC$1,2))</f>
        <v>243</v>
      </c>
      <c r="BD64" s="16" cm="1">
        <f t="array" ref="BD64">INDEX(_xlfn.ANCHORARRAY(_xlfn.XLOOKUP($C64,'-ref_Distribution'!$B$146:$B$150,'-ref_Distribution'!$G$146:$G$150)),RIGHT(BD$1,2))</f>
        <v>234</v>
      </c>
      <c r="BE64" s="16" cm="1">
        <f t="array" ref="BE64">INDEX(_xlfn.ANCHORARRAY(_xlfn.XLOOKUP($C64,'-ref_Distribution'!$B$146:$B$150,'-ref_Distribution'!$G$146:$G$150)),RIGHT(BE$1,2))</f>
        <v>221</v>
      </c>
      <c r="BF64" s="16" cm="1">
        <f t="array" ref="BF64">INDEX(_xlfn.ANCHORARRAY(_xlfn.XLOOKUP($C64,'-ref_Distribution'!$B$146:$B$150,'-ref_Distribution'!$G$146:$G$150)),RIGHT(BF$1,2))</f>
        <v>203</v>
      </c>
      <c r="BG64" s="16" cm="1">
        <f t="array" ref="BG64">INDEX(_xlfn.ANCHORARRAY(_xlfn.XLOOKUP($C64,'-ref_Distribution'!$B$146:$B$150,'-ref_Distribution'!$G$146:$G$150)),RIGHT(BG$1,2))</f>
        <v>183</v>
      </c>
      <c r="BH64" s="16" cm="1">
        <f t="array" ref="BH64">INDEX(_xlfn.ANCHORARRAY(_xlfn.XLOOKUP($C64,'-ref_Distribution'!$B$146:$B$150,'-ref_Distribution'!$G$146:$G$150)),RIGHT(BH$1,2))</f>
        <v>160</v>
      </c>
      <c r="BI64" s="16" cm="1">
        <f t="array" ref="BI64">INDEX(_xlfn.ANCHORARRAY(_xlfn.XLOOKUP($C64,'-ref_Distribution'!$B$146:$B$150,'-ref_Distribution'!$G$146:$G$150)),RIGHT(BI$1,2))</f>
        <v>137</v>
      </c>
      <c r="BJ64" s="16" cm="1">
        <f t="array" ref="BJ64">INDEX(_xlfn.ANCHORARRAY(_xlfn.XLOOKUP($C64,'-ref_Distribution'!$B$146:$B$150,'-ref_Distribution'!$G$146:$G$150)),RIGHT(BJ$1,2))</f>
        <v>115</v>
      </c>
      <c r="BK64" s="16" cm="1">
        <f t="array" ref="BK64">INDEX(_xlfn.ANCHORARRAY(_xlfn.XLOOKUP($C64,'-ref_Distribution'!$B$146:$B$150,'-ref_Distribution'!$G$146:$G$150)),RIGHT(BK$1,2))</f>
        <v>94</v>
      </c>
      <c r="BL64" s="16" cm="1">
        <f t="array" ref="BL64">INDEX(_xlfn.ANCHORARRAY(_xlfn.XLOOKUP($C64,'-ref_Distribution'!$B$146:$B$150,'-ref_Distribution'!$G$146:$G$150)),RIGHT(BL$1,2))</f>
        <v>75</v>
      </c>
      <c r="BM64" s="16" cm="1">
        <f t="array" ref="BM64">INDEX(_xlfn.ANCHORARRAY(_xlfn.XLOOKUP($C64,'-ref_Distribution'!$B$146:$B$150,'-ref_Distribution'!$G$146:$G$150)),RIGHT(BM$1,2))</f>
        <v>94</v>
      </c>
      <c r="BN64" s="16" cm="1">
        <f t="array" ref="BN64">INDEX(_xlfn.ANCHORARRAY(_xlfn.XLOOKUP($C64,'-ref_Distribution'!$B$146:$B$150,'-ref_Distribution'!$G$146:$G$150)),RIGHT(BN$1,2))</f>
        <v>115</v>
      </c>
      <c r="BO64" s="16" cm="1">
        <f t="array" ref="BO64">INDEX(_xlfn.ANCHORARRAY(_xlfn.XLOOKUP($C64,'-ref_Distribution'!$B$146:$B$150,'-ref_Distribution'!$G$146:$G$150)),RIGHT(BO$1,2))</f>
        <v>137</v>
      </c>
      <c r="BP64" s="16" cm="1">
        <f t="array" ref="BP64">INDEX(_xlfn.ANCHORARRAY(_xlfn.XLOOKUP($C64,'-ref_Distribution'!$B$146:$B$150,'-ref_Distribution'!$G$146:$G$150)),RIGHT(BP$1,2))</f>
        <v>160</v>
      </c>
      <c r="BQ64" s="16" cm="1">
        <f t="array" ref="BQ64">INDEX(_xlfn.ANCHORARRAY(_xlfn.XLOOKUP($C64,'-ref_Distribution'!$B$146:$B$150,'-ref_Distribution'!$G$146:$G$150)),RIGHT(BQ$1,2))</f>
        <v>183</v>
      </c>
      <c r="BR64" s="16" cm="1">
        <f t="array" ref="BR64">INDEX(_xlfn.ANCHORARRAY(_xlfn.XLOOKUP($C64,'-ref_Distribution'!$B$146:$B$150,'-ref_Distribution'!$G$146:$G$150)),RIGHT(BR$1,2))</f>
        <v>203</v>
      </c>
      <c r="BS64" s="16" cm="1">
        <f t="array" ref="BS64">INDEX(_xlfn.ANCHORARRAY(_xlfn.XLOOKUP($C64,'-ref_Distribution'!$B$146:$B$150,'-ref_Distribution'!$G$146:$G$150)),RIGHT(BS$1,2))</f>
        <v>221</v>
      </c>
      <c r="BT64" s="16" cm="1">
        <f t="array" ref="BT64">INDEX(_xlfn.ANCHORARRAY(_xlfn.XLOOKUP($C64,'-ref_Distribution'!$B$146:$B$150,'-ref_Distribution'!$G$146:$G$150)),RIGHT(BT$1,2))</f>
        <v>234</v>
      </c>
      <c r="BU64" s="16" cm="1">
        <f t="array" ref="BU64">INDEX(_xlfn.ANCHORARRAY(_xlfn.XLOOKUP($C64,'-ref_Distribution'!$B$146:$B$150,'-ref_Distribution'!$G$146:$G$150)),RIGHT(BU$1,2))</f>
        <v>243</v>
      </c>
      <c r="BV64" s="16" cm="1">
        <f t="array" ref="BV64">INDEX(_xlfn.ANCHORARRAY(_xlfn.XLOOKUP($C64,'-ref_Distribution'!$B$146:$B$150,'-ref_Distribution'!$G$146:$G$150)),RIGHT(BV$1,2))</f>
        <v>245</v>
      </c>
      <c r="BW64" s="16" cm="1">
        <f t="array" ref="BW64">INDEX(_xlfn.ANCHORARRAY(_xlfn.XLOOKUP($C64,'-ref_Distribution'!$B$146:$B$150,'-ref_Distribution'!$G$146:$G$150)),RIGHT(BW$1,2))</f>
        <v>243</v>
      </c>
      <c r="BX64" s="16" cm="1">
        <f t="array" ref="BX64">INDEX(_xlfn.ANCHORARRAY(_xlfn.XLOOKUP($C64,'-ref_Distribution'!$B$146:$B$150,'-ref_Distribution'!$G$146:$G$150)),RIGHT(BX$1,2))</f>
        <v>234</v>
      </c>
      <c r="BY64" s="16" cm="1">
        <f t="array" ref="BY64">INDEX(_xlfn.ANCHORARRAY(_xlfn.XLOOKUP($C64,'-ref_Distribution'!$B$146:$B$150,'-ref_Distribution'!$G$146:$G$150)),RIGHT(BY$1,2))</f>
        <v>221</v>
      </c>
      <c r="BZ64" s="16" cm="1">
        <f t="array" ref="BZ64">INDEX(_xlfn.ANCHORARRAY(_xlfn.XLOOKUP($C64,'-ref_Distribution'!$B$146:$B$150,'-ref_Distribution'!$G$146:$G$150)),RIGHT(BZ$1,2))</f>
        <v>203</v>
      </c>
      <c r="CA64" s="16" cm="1">
        <f t="array" ref="CA64">INDEX(_xlfn.ANCHORARRAY(_xlfn.XLOOKUP($C64,'-ref_Distribution'!$B$146:$B$150,'-ref_Distribution'!$G$146:$G$150)),RIGHT(CA$1,2))</f>
        <v>183</v>
      </c>
      <c r="CB64" s="16" cm="1">
        <f t="array" ref="CB64">INDEX(_xlfn.ANCHORARRAY(_xlfn.XLOOKUP($C64,'-ref_Distribution'!$B$146:$B$150,'-ref_Distribution'!$G$146:$G$150)),RIGHT(CB$1,2))</f>
        <v>160</v>
      </c>
      <c r="CC64" s="16" cm="1">
        <f t="array" ref="CC64">INDEX(_xlfn.ANCHORARRAY(_xlfn.XLOOKUP($C64,'-ref_Distribution'!$B$146:$B$150,'-ref_Distribution'!$G$146:$G$150)),RIGHT(CC$1,2))</f>
        <v>137</v>
      </c>
      <c r="CD64" s="16" cm="1">
        <f t="array" ref="CD64">INDEX(_xlfn.ANCHORARRAY(_xlfn.XLOOKUP($C64,'-ref_Distribution'!$B$146:$B$150,'-ref_Distribution'!$G$146:$G$150)),RIGHT(CD$1,2))</f>
        <v>115</v>
      </c>
      <c r="CE64" s="16" cm="1">
        <f t="array" ref="CE64">INDEX(_xlfn.ANCHORARRAY(_xlfn.XLOOKUP($C64,'-ref_Distribution'!$B$146:$B$150,'-ref_Distribution'!$G$146:$G$150)),RIGHT(CE$1,2))</f>
        <v>94</v>
      </c>
    </row>
    <row r="65" spans="1:83" x14ac:dyDescent="0.2">
      <c r="A65" s="16">
        <v>310206</v>
      </c>
      <c r="B65" s="16" t="s">
        <v>395</v>
      </c>
      <c r="C65" s="16">
        <v>4</v>
      </c>
      <c r="D65" s="16" cm="1">
        <f t="array" ref="D65">INDEX(_xlfn.ANCHORARRAY(_xlfn.XLOOKUP($C65,'-ref_Distribution'!$B$146:$B$150,'-ref_Distribution'!$G$146:$G$150)),RIGHT(D$1,2))</f>
        <v>0</v>
      </c>
      <c r="E65" s="16" cm="1">
        <f t="array" ref="E65">INDEX(_xlfn.ANCHORARRAY(_xlfn.XLOOKUP($C65,'-ref_Distribution'!$B$146:$B$150,'-ref_Distribution'!$G$146:$G$150)),RIGHT(E$1,2))</f>
        <v>0</v>
      </c>
      <c r="F65" s="16" cm="1">
        <f t="array" ref="F65">INDEX(_xlfn.ANCHORARRAY(_xlfn.XLOOKUP($C65,'-ref_Distribution'!$B$146:$B$150,'-ref_Distribution'!$G$146:$G$150)),RIGHT(F$1,2))</f>
        <v>0</v>
      </c>
      <c r="G65" s="16" cm="1">
        <f t="array" ref="G65">INDEX(_xlfn.ANCHORARRAY(_xlfn.XLOOKUP($C65,'-ref_Distribution'!$B$146:$B$150,'-ref_Distribution'!$G$146:$G$150)),RIGHT(G$1,2))</f>
        <v>0</v>
      </c>
      <c r="H65" s="16" cm="1">
        <f t="array" ref="H65">INDEX(_xlfn.ANCHORARRAY(_xlfn.XLOOKUP($C65,'-ref_Distribution'!$B$146:$B$150,'-ref_Distribution'!$G$146:$G$150)),RIGHT(H$1,2))</f>
        <v>0</v>
      </c>
      <c r="I65" s="16" cm="1">
        <f t="array" ref="I65">INDEX(_xlfn.ANCHORARRAY(_xlfn.XLOOKUP($C65,'-ref_Distribution'!$B$146:$B$150,'-ref_Distribution'!$G$146:$G$150)),RIGHT(I$1,2))</f>
        <v>1</v>
      </c>
      <c r="J65" s="16" cm="1">
        <f t="array" ref="J65">INDEX(_xlfn.ANCHORARRAY(_xlfn.XLOOKUP($C65,'-ref_Distribution'!$B$146:$B$150,'-ref_Distribution'!$G$146:$G$150)),RIGHT(J$1,2))</f>
        <v>1</v>
      </c>
      <c r="K65" s="16" cm="1">
        <f t="array" ref="K65">INDEX(_xlfn.ANCHORARRAY(_xlfn.XLOOKUP($C65,'-ref_Distribution'!$B$146:$B$150,'-ref_Distribution'!$G$146:$G$150)),RIGHT(K$1,2))</f>
        <v>2</v>
      </c>
      <c r="L65" s="16" cm="1">
        <f t="array" ref="L65">INDEX(_xlfn.ANCHORARRAY(_xlfn.XLOOKUP($C65,'-ref_Distribution'!$B$146:$B$150,'-ref_Distribution'!$G$146:$G$150)),RIGHT(L$1,2))</f>
        <v>3</v>
      </c>
      <c r="M65" s="16" cm="1">
        <f t="array" ref="M65">INDEX(_xlfn.ANCHORARRAY(_xlfn.XLOOKUP($C65,'-ref_Distribution'!$B$146:$B$150,'-ref_Distribution'!$G$146:$G$150)),RIGHT(M$1,2))</f>
        <v>5</v>
      </c>
      <c r="N65" s="16" cm="1">
        <f t="array" ref="N65">INDEX(_xlfn.ANCHORARRAY(_xlfn.XLOOKUP($C65,'-ref_Distribution'!$B$146:$B$150,'-ref_Distribution'!$G$146:$G$150)),RIGHT(N$1,2))</f>
        <v>9</v>
      </c>
      <c r="O65" s="16" cm="1">
        <f t="array" ref="O65">INDEX(_xlfn.ANCHORARRAY(_xlfn.XLOOKUP($C65,'-ref_Distribution'!$B$146:$B$150,'-ref_Distribution'!$G$146:$G$150)),RIGHT(O$1,2))</f>
        <v>14</v>
      </c>
      <c r="P65" s="16" cm="1">
        <f t="array" ref="P65">INDEX(_xlfn.ANCHORARRAY(_xlfn.XLOOKUP($C65,'-ref_Distribution'!$B$146:$B$150,'-ref_Distribution'!$G$146:$G$150)),RIGHT(P$1,2))</f>
        <v>20</v>
      </c>
      <c r="Q65" s="16" cm="1">
        <f t="array" ref="Q65">INDEX(_xlfn.ANCHORARRAY(_xlfn.XLOOKUP($C65,'-ref_Distribution'!$B$146:$B$150,'-ref_Distribution'!$G$146:$G$150)),RIGHT(Q$1,2))</f>
        <v>28</v>
      </c>
      <c r="R65" s="16" cm="1">
        <f t="array" ref="R65">INDEX(_xlfn.ANCHORARRAY(_xlfn.XLOOKUP($C65,'-ref_Distribution'!$B$146:$B$150,'-ref_Distribution'!$G$146:$G$150)),RIGHT(R$1,2))</f>
        <v>38</v>
      </c>
      <c r="S65" s="16" cm="1">
        <f t="array" ref="S65">INDEX(_xlfn.ANCHORARRAY(_xlfn.XLOOKUP($C65,'-ref_Distribution'!$B$146:$B$150,'-ref_Distribution'!$G$146:$G$150)),RIGHT(S$1,2))</f>
        <v>48</v>
      </c>
      <c r="T65" s="16" cm="1">
        <f t="array" ref="T65">INDEX(_xlfn.ANCHORARRAY(_xlfn.XLOOKUP($C65,'-ref_Distribution'!$B$146:$B$150,'-ref_Distribution'!$G$146:$G$150)),RIGHT(T$1,2))</f>
        <v>59</v>
      </c>
      <c r="U65" s="16" cm="1">
        <f t="array" ref="U65">INDEX(_xlfn.ANCHORARRAY(_xlfn.XLOOKUP($C65,'-ref_Distribution'!$B$146:$B$150,'-ref_Distribution'!$G$146:$G$150)),RIGHT(U$1,2))</f>
        <v>69</v>
      </c>
      <c r="V65" s="16" cm="1">
        <f t="array" ref="V65">INDEX(_xlfn.ANCHORARRAY(_xlfn.XLOOKUP($C65,'-ref_Distribution'!$B$146:$B$150,'-ref_Distribution'!$G$146:$G$150)),RIGHT(V$1,2))</f>
        <v>78</v>
      </c>
      <c r="W65" s="16" cm="1">
        <f t="array" ref="W65">INDEX(_xlfn.ANCHORARRAY(_xlfn.XLOOKUP($C65,'-ref_Distribution'!$B$146:$B$150,'-ref_Distribution'!$G$146:$G$150)),RIGHT(W$1,2))</f>
        <v>83</v>
      </c>
      <c r="X65" s="16" cm="1">
        <f t="array" ref="X65">INDEX(_xlfn.ANCHORARRAY(_xlfn.XLOOKUP($C65,'-ref_Distribution'!$B$146:$B$150,'-ref_Distribution'!$G$146:$G$150)),RIGHT(X$1,2))</f>
        <v>0</v>
      </c>
      <c r="Y65" s="16" cm="1">
        <f t="array" ref="Y65">INDEX(_xlfn.ANCHORARRAY(_xlfn.XLOOKUP($C65,'-ref_Distribution'!$B$146:$B$150,'-ref_Distribution'!$G$146:$G$150)),RIGHT(Y$1,2))</f>
        <v>0</v>
      </c>
      <c r="Z65" s="16" cm="1">
        <f t="array" ref="Z65">INDEX(_xlfn.ANCHORARRAY(_xlfn.XLOOKUP($C65,'-ref_Distribution'!$B$146:$B$150,'-ref_Distribution'!$G$146:$G$150)),RIGHT(Z$1,2))</f>
        <v>0</v>
      </c>
      <c r="AA65" s="16" cm="1">
        <f t="array" ref="AA65">INDEX(_xlfn.ANCHORARRAY(_xlfn.XLOOKUP($C65,'-ref_Distribution'!$B$146:$B$150,'-ref_Distribution'!$G$146:$G$150)),RIGHT(AA$1,2))</f>
        <v>0</v>
      </c>
      <c r="AB65" s="16" cm="1">
        <f t="array" ref="AB65">INDEX(_xlfn.ANCHORARRAY(_xlfn.XLOOKUP($C65,'-ref_Distribution'!$B$146:$B$150,'-ref_Distribution'!$G$146:$G$150)),RIGHT(AB$1,2))</f>
        <v>0</v>
      </c>
      <c r="AC65" s="16" cm="1">
        <f t="array" ref="AC65">INDEX(_xlfn.ANCHORARRAY(_xlfn.XLOOKUP($C65,'-ref_Distribution'!$B$146:$B$150,'-ref_Distribution'!$G$146:$G$150)),RIGHT(AC$1,2))</f>
        <v>1</v>
      </c>
      <c r="AD65" s="16" cm="1">
        <f t="array" ref="AD65">INDEX(_xlfn.ANCHORARRAY(_xlfn.XLOOKUP($C65,'-ref_Distribution'!$B$146:$B$150,'-ref_Distribution'!$G$146:$G$150)),RIGHT(AD$1,2))</f>
        <v>1</v>
      </c>
      <c r="AE65" s="16" cm="1">
        <f t="array" ref="AE65">INDEX(_xlfn.ANCHORARRAY(_xlfn.XLOOKUP($C65,'-ref_Distribution'!$B$146:$B$150,'-ref_Distribution'!$G$146:$G$150)),RIGHT(AE$1,2))</f>
        <v>2</v>
      </c>
      <c r="AF65" s="16" cm="1">
        <f t="array" ref="AF65">INDEX(_xlfn.ANCHORARRAY(_xlfn.XLOOKUP($C65,'-ref_Distribution'!$B$146:$B$150,'-ref_Distribution'!$G$146:$G$150)),RIGHT(AF$1,2))</f>
        <v>3</v>
      </c>
      <c r="AG65" s="16" cm="1">
        <f t="array" ref="AG65">INDEX(_xlfn.ANCHORARRAY(_xlfn.XLOOKUP($C65,'-ref_Distribution'!$B$146:$B$150,'-ref_Distribution'!$G$146:$G$150)),RIGHT(AG$1,2))</f>
        <v>5</v>
      </c>
      <c r="AH65" s="16" cm="1">
        <f t="array" ref="AH65">INDEX(_xlfn.ANCHORARRAY(_xlfn.XLOOKUP($C65,'-ref_Distribution'!$B$146:$B$150,'-ref_Distribution'!$G$146:$G$150)),RIGHT(AH$1,2))</f>
        <v>9</v>
      </c>
      <c r="AI65" s="16" cm="1">
        <f t="array" ref="AI65">INDEX(_xlfn.ANCHORARRAY(_xlfn.XLOOKUP($C65,'-ref_Distribution'!$B$146:$B$150,'-ref_Distribution'!$G$146:$G$150)),RIGHT(AI$1,2))</f>
        <v>14</v>
      </c>
      <c r="AJ65" s="16" cm="1">
        <f t="array" ref="AJ65">INDEX(_xlfn.ANCHORARRAY(_xlfn.XLOOKUP($C65,'-ref_Distribution'!$B$146:$B$150,'-ref_Distribution'!$G$146:$G$150)),RIGHT(AJ$1,2))</f>
        <v>20</v>
      </c>
      <c r="AK65" s="16" cm="1">
        <f t="array" ref="AK65">INDEX(_xlfn.ANCHORARRAY(_xlfn.XLOOKUP($C65,'-ref_Distribution'!$B$146:$B$150,'-ref_Distribution'!$G$146:$G$150)),RIGHT(AK$1,2))</f>
        <v>28</v>
      </c>
      <c r="AL65" s="16" cm="1">
        <f t="array" ref="AL65">INDEX(_xlfn.ANCHORARRAY(_xlfn.XLOOKUP($C65,'-ref_Distribution'!$B$146:$B$150,'-ref_Distribution'!$G$146:$G$150)),RIGHT(AL$1,2))</f>
        <v>38</v>
      </c>
      <c r="AM65" s="16" cm="1">
        <f t="array" ref="AM65">INDEX(_xlfn.ANCHORARRAY(_xlfn.XLOOKUP($C65,'-ref_Distribution'!$B$146:$B$150,'-ref_Distribution'!$G$146:$G$150)),RIGHT(AM$1,2))</f>
        <v>48</v>
      </c>
      <c r="AN65" s="16" cm="1">
        <f t="array" ref="AN65">INDEX(_xlfn.ANCHORARRAY(_xlfn.XLOOKUP($C65,'-ref_Distribution'!$B$146:$B$150,'-ref_Distribution'!$G$146:$G$150)),RIGHT(AN$1,2))</f>
        <v>59</v>
      </c>
      <c r="AO65" s="16" cm="1">
        <f t="array" ref="AO65">INDEX(_xlfn.ANCHORARRAY(_xlfn.XLOOKUP($C65,'-ref_Distribution'!$B$146:$B$150,'-ref_Distribution'!$G$146:$G$150)),RIGHT(AO$1,2))</f>
        <v>69</v>
      </c>
      <c r="AP65" s="16" cm="1">
        <f t="array" ref="AP65">INDEX(_xlfn.ANCHORARRAY(_xlfn.XLOOKUP($C65,'-ref_Distribution'!$B$146:$B$150,'-ref_Distribution'!$G$146:$G$150)),RIGHT(AP$1,2))</f>
        <v>78</v>
      </c>
      <c r="AQ65" s="16" cm="1">
        <f t="array" ref="AQ65">INDEX(_xlfn.ANCHORARRAY(_xlfn.XLOOKUP($C65,'-ref_Distribution'!$B$146:$B$150,'-ref_Distribution'!$G$146:$G$150)),RIGHT(AQ$1,2))</f>
        <v>83</v>
      </c>
      <c r="AR65" s="16" cm="1">
        <f t="array" ref="AR65">INDEX(_xlfn.ANCHORARRAY(_xlfn.XLOOKUP($C65,'-ref_Distribution'!$B$146:$B$150,'-ref_Distribution'!$G$146:$G$150)),RIGHT(AR$1,2))</f>
        <v>0</v>
      </c>
      <c r="AS65" s="16" cm="1">
        <f t="array" ref="AS65">INDEX(_xlfn.ANCHORARRAY(_xlfn.XLOOKUP($C65,'-ref_Distribution'!$B$146:$B$150,'-ref_Distribution'!$G$146:$G$150)),RIGHT(AS$1,2))</f>
        <v>0</v>
      </c>
      <c r="AT65" s="16" cm="1">
        <f t="array" ref="AT65">INDEX(_xlfn.ANCHORARRAY(_xlfn.XLOOKUP($C65,'-ref_Distribution'!$B$146:$B$150,'-ref_Distribution'!$G$146:$G$150)),RIGHT(AT$1,2))</f>
        <v>0</v>
      </c>
      <c r="AU65" s="16" cm="1">
        <f t="array" ref="AU65">INDEX(_xlfn.ANCHORARRAY(_xlfn.XLOOKUP($C65,'-ref_Distribution'!$B$146:$B$150,'-ref_Distribution'!$G$146:$G$150)),RIGHT(AU$1,2))</f>
        <v>0</v>
      </c>
      <c r="AV65" s="16" cm="1">
        <f t="array" ref="AV65">INDEX(_xlfn.ANCHORARRAY(_xlfn.XLOOKUP($C65,'-ref_Distribution'!$B$146:$B$150,'-ref_Distribution'!$G$146:$G$150)),RIGHT(AV$1,2))</f>
        <v>0</v>
      </c>
      <c r="AW65" s="16" cm="1">
        <f t="array" ref="AW65">INDEX(_xlfn.ANCHORARRAY(_xlfn.XLOOKUP($C65,'-ref_Distribution'!$B$146:$B$150,'-ref_Distribution'!$G$146:$G$150)),RIGHT(AW$1,2))</f>
        <v>1</v>
      </c>
      <c r="AX65" s="16" cm="1">
        <f t="array" ref="AX65">INDEX(_xlfn.ANCHORARRAY(_xlfn.XLOOKUP($C65,'-ref_Distribution'!$B$146:$B$150,'-ref_Distribution'!$G$146:$G$150)),RIGHT(AX$1,2))</f>
        <v>1</v>
      </c>
      <c r="AY65" s="16" cm="1">
        <f t="array" ref="AY65">INDEX(_xlfn.ANCHORARRAY(_xlfn.XLOOKUP($C65,'-ref_Distribution'!$B$146:$B$150,'-ref_Distribution'!$G$146:$G$150)),RIGHT(AY$1,2))</f>
        <v>2</v>
      </c>
      <c r="AZ65" s="16" cm="1">
        <f t="array" ref="AZ65">INDEX(_xlfn.ANCHORARRAY(_xlfn.XLOOKUP($C65,'-ref_Distribution'!$B$146:$B$150,'-ref_Distribution'!$G$146:$G$150)),RIGHT(AZ$1,2))</f>
        <v>3</v>
      </c>
      <c r="BA65" s="16" cm="1">
        <f t="array" ref="BA65">INDEX(_xlfn.ANCHORARRAY(_xlfn.XLOOKUP($C65,'-ref_Distribution'!$B$146:$B$150,'-ref_Distribution'!$G$146:$G$150)),RIGHT(BA$1,2))</f>
        <v>5</v>
      </c>
      <c r="BB65" s="16" cm="1">
        <f t="array" ref="BB65">INDEX(_xlfn.ANCHORARRAY(_xlfn.XLOOKUP($C65,'-ref_Distribution'!$B$146:$B$150,'-ref_Distribution'!$G$146:$G$150)),RIGHT(BB$1,2))</f>
        <v>9</v>
      </c>
      <c r="BC65" s="16" cm="1">
        <f t="array" ref="BC65">INDEX(_xlfn.ANCHORARRAY(_xlfn.XLOOKUP($C65,'-ref_Distribution'!$B$146:$B$150,'-ref_Distribution'!$G$146:$G$150)),RIGHT(BC$1,2))</f>
        <v>14</v>
      </c>
      <c r="BD65" s="16" cm="1">
        <f t="array" ref="BD65">INDEX(_xlfn.ANCHORARRAY(_xlfn.XLOOKUP($C65,'-ref_Distribution'!$B$146:$B$150,'-ref_Distribution'!$G$146:$G$150)),RIGHT(BD$1,2))</f>
        <v>20</v>
      </c>
      <c r="BE65" s="16" cm="1">
        <f t="array" ref="BE65">INDEX(_xlfn.ANCHORARRAY(_xlfn.XLOOKUP($C65,'-ref_Distribution'!$B$146:$B$150,'-ref_Distribution'!$G$146:$G$150)),RIGHT(BE$1,2))</f>
        <v>28</v>
      </c>
      <c r="BF65" s="16" cm="1">
        <f t="array" ref="BF65">INDEX(_xlfn.ANCHORARRAY(_xlfn.XLOOKUP($C65,'-ref_Distribution'!$B$146:$B$150,'-ref_Distribution'!$G$146:$G$150)),RIGHT(BF$1,2))</f>
        <v>38</v>
      </c>
      <c r="BG65" s="16" cm="1">
        <f t="array" ref="BG65">INDEX(_xlfn.ANCHORARRAY(_xlfn.XLOOKUP($C65,'-ref_Distribution'!$B$146:$B$150,'-ref_Distribution'!$G$146:$G$150)),RIGHT(BG$1,2))</f>
        <v>48</v>
      </c>
      <c r="BH65" s="16" cm="1">
        <f t="array" ref="BH65">INDEX(_xlfn.ANCHORARRAY(_xlfn.XLOOKUP($C65,'-ref_Distribution'!$B$146:$B$150,'-ref_Distribution'!$G$146:$G$150)),RIGHT(BH$1,2))</f>
        <v>59</v>
      </c>
      <c r="BI65" s="16" cm="1">
        <f t="array" ref="BI65">INDEX(_xlfn.ANCHORARRAY(_xlfn.XLOOKUP($C65,'-ref_Distribution'!$B$146:$B$150,'-ref_Distribution'!$G$146:$G$150)),RIGHT(BI$1,2))</f>
        <v>69</v>
      </c>
      <c r="BJ65" s="16" cm="1">
        <f t="array" ref="BJ65">INDEX(_xlfn.ANCHORARRAY(_xlfn.XLOOKUP($C65,'-ref_Distribution'!$B$146:$B$150,'-ref_Distribution'!$G$146:$G$150)),RIGHT(BJ$1,2))</f>
        <v>78</v>
      </c>
      <c r="BK65" s="16" cm="1">
        <f t="array" ref="BK65">INDEX(_xlfn.ANCHORARRAY(_xlfn.XLOOKUP($C65,'-ref_Distribution'!$B$146:$B$150,'-ref_Distribution'!$G$146:$G$150)),RIGHT(BK$1,2))</f>
        <v>83</v>
      </c>
      <c r="BL65" s="16" cm="1">
        <f t="array" ref="BL65">INDEX(_xlfn.ANCHORARRAY(_xlfn.XLOOKUP($C65,'-ref_Distribution'!$B$146:$B$150,'-ref_Distribution'!$G$146:$G$150)),RIGHT(BL$1,2))</f>
        <v>0</v>
      </c>
      <c r="BM65" s="16" cm="1">
        <f t="array" ref="BM65">INDEX(_xlfn.ANCHORARRAY(_xlfn.XLOOKUP($C65,'-ref_Distribution'!$B$146:$B$150,'-ref_Distribution'!$G$146:$G$150)),RIGHT(BM$1,2))</f>
        <v>0</v>
      </c>
      <c r="BN65" s="16" cm="1">
        <f t="array" ref="BN65">INDEX(_xlfn.ANCHORARRAY(_xlfn.XLOOKUP($C65,'-ref_Distribution'!$B$146:$B$150,'-ref_Distribution'!$G$146:$G$150)),RIGHT(BN$1,2))</f>
        <v>0</v>
      </c>
      <c r="BO65" s="16" cm="1">
        <f t="array" ref="BO65">INDEX(_xlfn.ANCHORARRAY(_xlfn.XLOOKUP($C65,'-ref_Distribution'!$B$146:$B$150,'-ref_Distribution'!$G$146:$G$150)),RIGHT(BO$1,2))</f>
        <v>0</v>
      </c>
      <c r="BP65" s="16" cm="1">
        <f t="array" ref="BP65">INDEX(_xlfn.ANCHORARRAY(_xlfn.XLOOKUP($C65,'-ref_Distribution'!$B$146:$B$150,'-ref_Distribution'!$G$146:$G$150)),RIGHT(BP$1,2))</f>
        <v>0</v>
      </c>
      <c r="BQ65" s="16" cm="1">
        <f t="array" ref="BQ65">INDEX(_xlfn.ANCHORARRAY(_xlfn.XLOOKUP($C65,'-ref_Distribution'!$B$146:$B$150,'-ref_Distribution'!$G$146:$G$150)),RIGHT(BQ$1,2))</f>
        <v>1</v>
      </c>
      <c r="BR65" s="16" cm="1">
        <f t="array" ref="BR65">INDEX(_xlfn.ANCHORARRAY(_xlfn.XLOOKUP($C65,'-ref_Distribution'!$B$146:$B$150,'-ref_Distribution'!$G$146:$G$150)),RIGHT(BR$1,2))</f>
        <v>1</v>
      </c>
      <c r="BS65" s="16" cm="1">
        <f t="array" ref="BS65">INDEX(_xlfn.ANCHORARRAY(_xlfn.XLOOKUP($C65,'-ref_Distribution'!$B$146:$B$150,'-ref_Distribution'!$G$146:$G$150)),RIGHT(BS$1,2))</f>
        <v>2</v>
      </c>
      <c r="BT65" s="16" cm="1">
        <f t="array" ref="BT65">INDEX(_xlfn.ANCHORARRAY(_xlfn.XLOOKUP($C65,'-ref_Distribution'!$B$146:$B$150,'-ref_Distribution'!$G$146:$G$150)),RIGHT(BT$1,2))</f>
        <v>3</v>
      </c>
      <c r="BU65" s="16" cm="1">
        <f t="array" ref="BU65">INDEX(_xlfn.ANCHORARRAY(_xlfn.XLOOKUP($C65,'-ref_Distribution'!$B$146:$B$150,'-ref_Distribution'!$G$146:$G$150)),RIGHT(BU$1,2))</f>
        <v>5</v>
      </c>
      <c r="BV65" s="16" cm="1">
        <f t="array" ref="BV65">INDEX(_xlfn.ANCHORARRAY(_xlfn.XLOOKUP($C65,'-ref_Distribution'!$B$146:$B$150,'-ref_Distribution'!$G$146:$G$150)),RIGHT(BV$1,2))</f>
        <v>9</v>
      </c>
      <c r="BW65" s="16" cm="1">
        <f t="array" ref="BW65">INDEX(_xlfn.ANCHORARRAY(_xlfn.XLOOKUP($C65,'-ref_Distribution'!$B$146:$B$150,'-ref_Distribution'!$G$146:$G$150)),RIGHT(BW$1,2))</f>
        <v>14</v>
      </c>
      <c r="BX65" s="16" cm="1">
        <f t="array" ref="BX65">INDEX(_xlfn.ANCHORARRAY(_xlfn.XLOOKUP($C65,'-ref_Distribution'!$B$146:$B$150,'-ref_Distribution'!$G$146:$G$150)),RIGHT(BX$1,2))</f>
        <v>20</v>
      </c>
      <c r="BY65" s="16" cm="1">
        <f t="array" ref="BY65">INDEX(_xlfn.ANCHORARRAY(_xlfn.XLOOKUP($C65,'-ref_Distribution'!$B$146:$B$150,'-ref_Distribution'!$G$146:$G$150)),RIGHT(BY$1,2))</f>
        <v>28</v>
      </c>
      <c r="BZ65" s="16" cm="1">
        <f t="array" ref="BZ65">INDEX(_xlfn.ANCHORARRAY(_xlfn.XLOOKUP($C65,'-ref_Distribution'!$B$146:$B$150,'-ref_Distribution'!$G$146:$G$150)),RIGHT(BZ$1,2))</f>
        <v>38</v>
      </c>
      <c r="CA65" s="16" cm="1">
        <f t="array" ref="CA65">INDEX(_xlfn.ANCHORARRAY(_xlfn.XLOOKUP($C65,'-ref_Distribution'!$B$146:$B$150,'-ref_Distribution'!$G$146:$G$150)),RIGHT(CA$1,2))</f>
        <v>48</v>
      </c>
      <c r="CB65" s="16" cm="1">
        <f t="array" ref="CB65">INDEX(_xlfn.ANCHORARRAY(_xlfn.XLOOKUP($C65,'-ref_Distribution'!$B$146:$B$150,'-ref_Distribution'!$G$146:$G$150)),RIGHT(CB$1,2))</f>
        <v>59</v>
      </c>
      <c r="CC65" s="16" cm="1">
        <f t="array" ref="CC65">INDEX(_xlfn.ANCHORARRAY(_xlfn.XLOOKUP($C65,'-ref_Distribution'!$B$146:$B$150,'-ref_Distribution'!$G$146:$G$150)),RIGHT(CC$1,2))</f>
        <v>69</v>
      </c>
      <c r="CD65" s="16" cm="1">
        <f t="array" ref="CD65">INDEX(_xlfn.ANCHORARRAY(_xlfn.XLOOKUP($C65,'-ref_Distribution'!$B$146:$B$150,'-ref_Distribution'!$G$146:$G$150)),RIGHT(CD$1,2))</f>
        <v>78</v>
      </c>
      <c r="CE65" s="16" cm="1">
        <f t="array" ref="CE65">INDEX(_xlfn.ANCHORARRAY(_xlfn.XLOOKUP($C65,'-ref_Distribution'!$B$146:$B$150,'-ref_Distribution'!$G$146:$G$150)),RIGHT(CE$1,2))</f>
        <v>83</v>
      </c>
    </row>
    <row r="66" spans="1:83" x14ac:dyDescent="0.2">
      <c r="A66" s="16">
        <v>310207</v>
      </c>
      <c r="B66" s="16" t="s">
        <v>396</v>
      </c>
      <c r="C66" s="16">
        <v>4</v>
      </c>
      <c r="D66" s="16" cm="1">
        <f t="array" ref="D66">INDEX(_xlfn.ANCHORARRAY(_xlfn.XLOOKUP($C66,'-ref_Distribution'!$B$146:$B$150,'-ref_Distribution'!$G$146:$G$150)),RIGHT(D$1,2))</f>
        <v>0</v>
      </c>
      <c r="E66" s="16" cm="1">
        <f t="array" ref="E66">INDEX(_xlfn.ANCHORARRAY(_xlfn.XLOOKUP($C66,'-ref_Distribution'!$B$146:$B$150,'-ref_Distribution'!$G$146:$G$150)),RIGHT(E$1,2))</f>
        <v>0</v>
      </c>
      <c r="F66" s="16" cm="1">
        <f t="array" ref="F66">INDEX(_xlfn.ANCHORARRAY(_xlfn.XLOOKUP($C66,'-ref_Distribution'!$B$146:$B$150,'-ref_Distribution'!$G$146:$G$150)),RIGHT(F$1,2))</f>
        <v>0</v>
      </c>
      <c r="G66" s="16" cm="1">
        <f t="array" ref="G66">INDEX(_xlfn.ANCHORARRAY(_xlfn.XLOOKUP($C66,'-ref_Distribution'!$B$146:$B$150,'-ref_Distribution'!$G$146:$G$150)),RIGHT(G$1,2))</f>
        <v>0</v>
      </c>
      <c r="H66" s="16" cm="1">
        <f t="array" ref="H66">INDEX(_xlfn.ANCHORARRAY(_xlfn.XLOOKUP($C66,'-ref_Distribution'!$B$146:$B$150,'-ref_Distribution'!$G$146:$G$150)),RIGHT(H$1,2))</f>
        <v>0</v>
      </c>
      <c r="I66" s="16" cm="1">
        <f t="array" ref="I66">INDEX(_xlfn.ANCHORARRAY(_xlfn.XLOOKUP($C66,'-ref_Distribution'!$B$146:$B$150,'-ref_Distribution'!$G$146:$G$150)),RIGHT(I$1,2))</f>
        <v>1</v>
      </c>
      <c r="J66" s="16" cm="1">
        <f t="array" ref="J66">INDEX(_xlfn.ANCHORARRAY(_xlfn.XLOOKUP($C66,'-ref_Distribution'!$B$146:$B$150,'-ref_Distribution'!$G$146:$G$150)),RIGHT(J$1,2))</f>
        <v>1</v>
      </c>
      <c r="K66" s="16" cm="1">
        <f t="array" ref="K66">INDEX(_xlfn.ANCHORARRAY(_xlfn.XLOOKUP($C66,'-ref_Distribution'!$B$146:$B$150,'-ref_Distribution'!$G$146:$G$150)),RIGHT(K$1,2))</f>
        <v>2</v>
      </c>
      <c r="L66" s="16" cm="1">
        <f t="array" ref="L66">INDEX(_xlfn.ANCHORARRAY(_xlfn.XLOOKUP($C66,'-ref_Distribution'!$B$146:$B$150,'-ref_Distribution'!$G$146:$G$150)),RIGHT(L$1,2))</f>
        <v>3</v>
      </c>
      <c r="M66" s="16" cm="1">
        <f t="array" ref="M66">INDEX(_xlfn.ANCHORARRAY(_xlfn.XLOOKUP($C66,'-ref_Distribution'!$B$146:$B$150,'-ref_Distribution'!$G$146:$G$150)),RIGHT(M$1,2))</f>
        <v>5</v>
      </c>
      <c r="N66" s="16" cm="1">
        <f t="array" ref="N66">INDEX(_xlfn.ANCHORARRAY(_xlfn.XLOOKUP($C66,'-ref_Distribution'!$B$146:$B$150,'-ref_Distribution'!$G$146:$G$150)),RIGHT(N$1,2))</f>
        <v>9</v>
      </c>
      <c r="O66" s="16" cm="1">
        <f t="array" ref="O66">INDEX(_xlfn.ANCHORARRAY(_xlfn.XLOOKUP($C66,'-ref_Distribution'!$B$146:$B$150,'-ref_Distribution'!$G$146:$G$150)),RIGHT(O$1,2))</f>
        <v>14</v>
      </c>
      <c r="P66" s="16" cm="1">
        <f t="array" ref="P66">INDEX(_xlfn.ANCHORARRAY(_xlfn.XLOOKUP($C66,'-ref_Distribution'!$B$146:$B$150,'-ref_Distribution'!$G$146:$G$150)),RIGHT(P$1,2))</f>
        <v>20</v>
      </c>
      <c r="Q66" s="16" cm="1">
        <f t="array" ref="Q66">INDEX(_xlfn.ANCHORARRAY(_xlfn.XLOOKUP($C66,'-ref_Distribution'!$B$146:$B$150,'-ref_Distribution'!$G$146:$G$150)),RIGHT(Q$1,2))</f>
        <v>28</v>
      </c>
      <c r="R66" s="16" cm="1">
        <f t="array" ref="R66">INDEX(_xlfn.ANCHORARRAY(_xlfn.XLOOKUP($C66,'-ref_Distribution'!$B$146:$B$150,'-ref_Distribution'!$G$146:$G$150)),RIGHT(R$1,2))</f>
        <v>38</v>
      </c>
      <c r="S66" s="16" cm="1">
        <f t="array" ref="S66">INDEX(_xlfn.ANCHORARRAY(_xlfn.XLOOKUP($C66,'-ref_Distribution'!$B$146:$B$150,'-ref_Distribution'!$G$146:$G$150)),RIGHT(S$1,2))</f>
        <v>48</v>
      </c>
      <c r="T66" s="16" cm="1">
        <f t="array" ref="T66">INDEX(_xlfn.ANCHORARRAY(_xlfn.XLOOKUP($C66,'-ref_Distribution'!$B$146:$B$150,'-ref_Distribution'!$G$146:$G$150)),RIGHT(T$1,2))</f>
        <v>59</v>
      </c>
      <c r="U66" s="16" cm="1">
        <f t="array" ref="U66">INDEX(_xlfn.ANCHORARRAY(_xlfn.XLOOKUP($C66,'-ref_Distribution'!$B$146:$B$150,'-ref_Distribution'!$G$146:$G$150)),RIGHT(U$1,2))</f>
        <v>69</v>
      </c>
      <c r="V66" s="16" cm="1">
        <f t="array" ref="V66">INDEX(_xlfn.ANCHORARRAY(_xlfn.XLOOKUP($C66,'-ref_Distribution'!$B$146:$B$150,'-ref_Distribution'!$G$146:$G$150)),RIGHT(V$1,2))</f>
        <v>78</v>
      </c>
      <c r="W66" s="16" cm="1">
        <f t="array" ref="W66">INDEX(_xlfn.ANCHORARRAY(_xlfn.XLOOKUP($C66,'-ref_Distribution'!$B$146:$B$150,'-ref_Distribution'!$G$146:$G$150)),RIGHT(W$1,2))</f>
        <v>83</v>
      </c>
      <c r="X66" s="16" cm="1">
        <f t="array" ref="X66">INDEX(_xlfn.ANCHORARRAY(_xlfn.XLOOKUP($C66,'-ref_Distribution'!$B$146:$B$150,'-ref_Distribution'!$G$146:$G$150)),RIGHT(X$1,2))</f>
        <v>0</v>
      </c>
      <c r="Y66" s="16" cm="1">
        <f t="array" ref="Y66">INDEX(_xlfn.ANCHORARRAY(_xlfn.XLOOKUP($C66,'-ref_Distribution'!$B$146:$B$150,'-ref_Distribution'!$G$146:$G$150)),RIGHT(Y$1,2))</f>
        <v>0</v>
      </c>
      <c r="Z66" s="16" cm="1">
        <f t="array" ref="Z66">INDEX(_xlfn.ANCHORARRAY(_xlfn.XLOOKUP($C66,'-ref_Distribution'!$B$146:$B$150,'-ref_Distribution'!$G$146:$G$150)),RIGHT(Z$1,2))</f>
        <v>0</v>
      </c>
      <c r="AA66" s="16" cm="1">
        <f t="array" ref="AA66">INDEX(_xlfn.ANCHORARRAY(_xlfn.XLOOKUP($C66,'-ref_Distribution'!$B$146:$B$150,'-ref_Distribution'!$G$146:$G$150)),RIGHT(AA$1,2))</f>
        <v>0</v>
      </c>
      <c r="AB66" s="16" cm="1">
        <f t="array" ref="AB66">INDEX(_xlfn.ANCHORARRAY(_xlfn.XLOOKUP($C66,'-ref_Distribution'!$B$146:$B$150,'-ref_Distribution'!$G$146:$G$150)),RIGHT(AB$1,2))</f>
        <v>0</v>
      </c>
      <c r="AC66" s="16" cm="1">
        <f t="array" ref="AC66">INDEX(_xlfn.ANCHORARRAY(_xlfn.XLOOKUP($C66,'-ref_Distribution'!$B$146:$B$150,'-ref_Distribution'!$G$146:$G$150)),RIGHT(AC$1,2))</f>
        <v>1</v>
      </c>
      <c r="AD66" s="16" cm="1">
        <f t="array" ref="AD66">INDEX(_xlfn.ANCHORARRAY(_xlfn.XLOOKUP($C66,'-ref_Distribution'!$B$146:$B$150,'-ref_Distribution'!$G$146:$G$150)),RIGHT(AD$1,2))</f>
        <v>1</v>
      </c>
      <c r="AE66" s="16" cm="1">
        <f t="array" ref="AE66">INDEX(_xlfn.ANCHORARRAY(_xlfn.XLOOKUP($C66,'-ref_Distribution'!$B$146:$B$150,'-ref_Distribution'!$G$146:$G$150)),RIGHT(AE$1,2))</f>
        <v>2</v>
      </c>
      <c r="AF66" s="16" cm="1">
        <f t="array" ref="AF66">INDEX(_xlfn.ANCHORARRAY(_xlfn.XLOOKUP($C66,'-ref_Distribution'!$B$146:$B$150,'-ref_Distribution'!$G$146:$G$150)),RIGHT(AF$1,2))</f>
        <v>3</v>
      </c>
      <c r="AG66" s="16" cm="1">
        <f t="array" ref="AG66">INDEX(_xlfn.ANCHORARRAY(_xlfn.XLOOKUP($C66,'-ref_Distribution'!$B$146:$B$150,'-ref_Distribution'!$G$146:$G$150)),RIGHT(AG$1,2))</f>
        <v>5</v>
      </c>
      <c r="AH66" s="16" cm="1">
        <f t="array" ref="AH66">INDEX(_xlfn.ANCHORARRAY(_xlfn.XLOOKUP($C66,'-ref_Distribution'!$B$146:$B$150,'-ref_Distribution'!$G$146:$G$150)),RIGHT(AH$1,2))</f>
        <v>9</v>
      </c>
      <c r="AI66" s="16" cm="1">
        <f t="array" ref="AI66">INDEX(_xlfn.ANCHORARRAY(_xlfn.XLOOKUP($C66,'-ref_Distribution'!$B$146:$B$150,'-ref_Distribution'!$G$146:$G$150)),RIGHT(AI$1,2))</f>
        <v>14</v>
      </c>
      <c r="AJ66" s="16" cm="1">
        <f t="array" ref="AJ66">INDEX(_xlfn.ANCHORARRAY(_xlfn.XLOOKUP($C66,'-ref_Distribution'!$B$146:$B$150,'-ref_Distribution'!$G$146:$G$150)),RIGHT(AJ$1,2))</f>
        <v>20</v>
      </c>
      <c r="AK66" s="16" cm="1">
        <f t="array" ref="AK66">INDEX(_xlfn.ANCHORARRAY(_xlfn.XLOOKUP($C66,'-ref_Distribution'!$B$146:$B$150,'-ref_Distribution'!$G$146:$G$150)),RIGHT(AK$1,2))</f>
        <v>28</v>
      </c>
      <c r="AL66" s="16" cm="1">
        <f t="array" ref="AL66">INDEX(_xlfn.ANCHORARRAY(_xlfn.XLOOKUP($C66,'-ref_Distribution'!$B$146:$B$150,'-ref_Distribution'!$G$146:$G$150)),RIGHT(AL$1,2))</f>
        <v>38</v>
      </c>
      <c r="AM66" s="16" cm="1">
        <f t="array" ref="AM66">INDEX(_xlfn.ANCHORARRAY(_xlfn.XLOOKUP($C66,'-ref_Distribution'!$B$146:$B$150,'-ref_Distribution'!$G$146:$G$150)),RIGHT(AM$1,2))</f>
        <v>48</v>
      </c>
      <c r="AN66" s="16" cm="1">
        <f t="array" ref="AN66">INDEX(_xlfn.ANCHORARRAY(_xlfn.XLOOKUP($C66,'-ref_Distribution'!$B$146:$B$150,'-ref_Distribution'!$G$146:$G$150)),RIGHT(AN$1,2))</f>
        <v>59</v>
      </c>
      <c r="AO66" s="16" cm="1">
        <f t="array" ref="AO66">INDEX(_xlfn.ANCHORARRAY(_xlfn.XLOOKUP($C66,'-ref_Distribution'!$B$146:$B$150,'-ref_Distribution'!$G$146:$G$150)),RIGHT(AO$1,2))</f>
        <v>69</v>
      </c>
      <c r="AP66" s="16" cm="1">
        <f t="array" ref="AP66">INDEX(_xlfn.ANCHORARRAY(_xlfn.XLOOKUP($C66,'-ref_Distribution'!$B$146:$B$150,'-ref_Distribution'!$G$146:$G$150)),RIGHT(AP$1,2))</f>
        <v>78</v>
      </c>
      <c r="AQ66" s="16" cm="1">
        <f t="array" ref="AQ66">INDEX(_xlfn.ANCHORARRAY(_xlfn.XLOOKUP($C66,'-ref_Distribution'!$B$146:$B$150,'-ref_Distribution'!$G$146:$G$150)),RIGHT(AQ$1,2))</f>
        <v>83</v>
      </c>
      <c r="AR66" s="16" cm="1">
        <f t="array" ref="AR66">INDEX(_xlfn.ANCHORARRAY(_xlfn.XLOOKUP($C66,'-ref_Distribution'!$B$146:$B$150,'-ref_Distribution'!$G$146:$G$150)),RIGHT(AR$1,2))</f>
        <v>0</v>
      </c>
      <c r="AS66" s="16" cm="1">
        <f t="array" ref="AS66">INDEX(_xlfn.ANCHORARRAY(_xlfn.XLOOKUP($C66,'-ref_Distribution'!$B$146:$B$150,'-ref_Distribution'!$G$146:$G$150)),RIGHT(AS$1,2))</f>
        <v>0</v>
      </c>
      <c r="AT66" s="16" cm="1">
        <f t="array" ref="AT66">INDEX(_xlfn.ANCHORARRAY(_xlfn.XLOOKUP($C66,'-ref_Distribution'!$B$146:$B$150,'-ref_Distribution'!$G$146:$G$150)),RIGHT(AT$1,2))</f>
        <v>0</v>
      </c>
      <c r="AU66" s="16" cm="1">
        <f t="array" ref="AU66">INDEX(_xlfn.ANCHORARRAY(_xlfn.XLOOKUP($C66,'-ref_Distribution'!$B$146:$B$150,'-ref_Distribution'!$G$146:$G$150)),RIGHT(AU$1,2))</f>
        <v>0</v>
      </c>
      <c r="AV66" s="16" cm="1">
        <f t="array" ref="AV66">INDEX(_xlfn.ANCHORARRAY(_xlfn.XLOOKUP($C66,'-ref_Distribution'!$B$146:$B$150,'-ref_Distribution'!$G$146:$G$150)),RIGHT(AV$1,2))</f>
        <v>0</v>
      </c>
      <c r="AW66" s="16" cm="1">
        <f t="array" ref="AW66">INDEX(_xlfn.ANCHORARRAY(_xlfn.XLOOKUP($C66,'-ref_Distribution'!$B$146:$B$150,'-ref_Distribution'!$G$146:$G$150)),RIGHT(AW$1,2))</f>
        <v>1</v>
      </c>
      <c r="AX66" s="16" cm="1">
        <f t="array" ref="AX66">INDEX(_xlfn.ANCHORARRAY(_xlfn.XLOOKUP($C66,'-ref_Distribution'!$B$146:$B$150,'-ref_Distribution'!$G$146:$G$150)),RIGHT(AX$1,2))</f>
        <v>1</v>
      </c>
      <c r="AY66" s="16" cm="1">
        <f t="array" ref="AY66">INDEX(_xlfn.ANCHORARRAY(_xlfn.XLOOKUP($C66,'-ref_Distribution'!$B$146:$B$150,'-ref_Distribution'!$G$146:$G$150)),RIGHT(AY$1,2))</f>
        <v>2</v>
      </c>
      <c r="AZ66" s="16" cm="1">
        <f t="array" ref="AZ66">INDEX(_xlfn.ANCHORARRAY(_xlfn.XLOOKUP($C66,'-ref_Distribution'!$B$146:$B$150,'-ref_Distribution'!$G$146:$G$150)),RIGHT(AZ$1,2))</f>
        <v>3</v>
      </c>
      <c r="BA66" s="16" cm="1">
        <f t="array" ref="BA66">INDEX(_xlfn.ANCHORARRAY(_xlfn.XLOOKUP($C66,'-ref_Distribution'!$B$146:$B$150,'-ref_Distribution'!$G$146:$G$150)),RIGHT(BA$1,2))</f>
        <v>5</v>
      </c>
      <c r="BB66" s="16" cm="1">
        <f t="array" ref="BB66">INDEX(_xlfn.ANCHORARRAY(_xlfn.XLOOKUP($C66,'-ref_Distribution'!$B$146:$B$150,'-ref_Distribution'!$G$146:$G$150)),RIGHT(BB$1,2))</f>
        <v>9</v>
      </c>
      <c r="BC66" s="16" cm="1">
        <f t="array" ref="BC66">INDEX(_xlfn.ANCHORARRAY(_xlfn.XLOOKUP($C66,'-ref_Distribution'!$B$146:$B$150,'-ref_Distribution'!$G$146:$G$150)),RIGHT(BC$1,2))</f>
        <v>14</v>
      </c>
      <c r="BD66" s="16" cm="1">
        <f t="array" ref="BD66">INDEX(_xlfn.ANCHORARRAY(_xlfn.XLOOKUP($C66,'-ref_Distribution'!$B$146:$B$150,'-ref_Distribution'!$G$146:$G$150)),RIGHT(BD$1,2))</f>
        <v>20</v>
      </c>
      <c r="BE66" s="16" cm="1">
        <f t="array" ref="BE66">INDEX(_xlfn.ANCHORARRAY(_xlfn.XLOOKUP($C66,'-ref_Distribution'!$B$146:$B$150,'-ref_Distribution'!$G$146:$G$150)),RIGHT(BE$1,2))</f>
        <v>28</v>
      </c>
      <c r="BF66" s="16" cm="1">
        <f t="array" ref="BF66">INDEX(_xlfn.ANCHORARRAY(_xlfn.XLOOKUP($C66,'-ref_Distribution'!$B$146:$B$150,'-ref_Distribution'!$G$146:$G$150)),RIGHT(BF$1,2))</f>
        <v>38</v>
      </c>
      <c r="BG66" s="16" cm="1">
        <f t="array" ref="BG66">INDEX(_xlfn.ANCHORARRAY(_xlfn.XLOOKUP($C66,'-ref_Distribution'!$B$146:$B$150,'-ref_Distribution'!$G$146:$G$150)),RIGHT(BG$1,2))</f>
        <v>48</v>
      </c>
      <c r="BH66" s="16" cm="1">
        <f t="array" ref="BH66">INDEX(_xlfn.ANCHORARRAY(_xlfn.XLOOKUP($C66,'-ref_Distribution'!$B$146:$B$150,'-ref_Distribution'!$G$146:$G$150)),RIGHT(BH$1,2))</f>
        <v>59</v>
      </c>
      <c r="BI66" s="16" cm="1">
        <f t="array" ref="BI66">INDEX(_xlfn.ANCHORARRAY(_xlfn.XLOOKUP($C66,'-ref_Distribution'!$B$146:$B$150,'-ref_Distribution'!$G$146:$G$150)),RIGHT(BI$1,2))</f>
        <v>69</v>
      </c>
      <c r="BJ66" s="16" cm="1">
        <f t="array" ref="BJ66">INDEX(_xlfn.ANCHORARRAY(_xlfn.XLOOKUP($C66,'-ref_Distribution'!$B$146:$B$150,'-ref_Distribution'!$G$146:$G$150)),RIGHT(BJ$1,2))</f>
        <v>78</v>
      </c>
      <c r="BK66" s="16" cm="1">
        <f t="array" ref="BK66">INDEX(_xlfn.ANCHORARRAY(_xlfn.XLOOKUP($C66,'-ref_Distribution'!$B$146:$B$150,'-ref_Distribution'!$G$146:$G$150)),RIGHT(BK$1,2))</f>
        <v>83</v>
      </c>
      <c r="BL66" s="16" cm="1">
        <f t="array" ref="BL66">INDEX(_xlfn.ANCHORARRAY(_xlfn.XLOOKUP($C66,'-ref_Distribution'!$B$146:$B$150,'-ref_Distribution'!$G$146:$G$150)),RIGHT(BL$1,2))</f>
        <v>0</v>
      </c>
      <c r="BM66" s="16" cm="1">
        <f t="array" ref="BM66">INDEX(_xlfn.ANCHORARRAY(_xlfn.XLOOKUP($C66,'-ref_Distribution'!$B$146:$B$150,'-ref_Distribution'!$G$146:$G$150)),RIGHT(BM$1,2))</f>
        <v>0</v>
      </c>
      <c r="BN66" s="16" cm="1">
        <f t="array" ref="BN66">INDEX(_xlfn.ANCHORARRAY(_xlfn.XLOOKUP($C66,'-ref_Distribution'!$B$146:$B$150,'-ref_Distribution'!$G$146:$G$150)),RIGHT(BN$1,2))</f>
        <v>0</v>
      </c>
      <c r="BO66" s="16" cm="1">
        <f t="array" ref="BO66">INDEX(_xlfn.ANCHORARRAY(_xlfn.XLOOKUP($C66,'-ref_Distribution'!$B$146:$B$150,'-ref_Distribution'!$G$146:$G$150)),RIGHT(BO$1,2))</f>
        <v>0</v>
      </c>
      <c r="BP66" s="16" cm="1">
        <f t="array" ref="BP66">INDEX(_xlfn.ANCHORARRAY(_xlfn.XLOOKUP($C66,'-ref_Distribution'!$B$146:$B$150,'-ref_Distribution'!$G$146:$G$150)),RIGHT(BP$1,2))</f>
        <v>0</v>
      </c>
      <c r="BQ66" s="16" cm="1">
        <f t="array" ref="BQ66">INDEX(_xlfn.ANCHORARRAY(_xlfn.XLOOKUP($C66,'-ref_Distribution'!$B$146:$B$150,'-ref_Distribution'!$G$146:$G$150)),RIGHT(BQ$1,2))</f>
        <v>1</v>
      </c>
      <c r="BR66" s="16" cm="1">
        <f t="array" ref="BR66">INDEX(_xlfn.ANCHORARRAY(_xlfn.XLOOKUP($C66,'-ref_Distribution'!$B$146:$B$150,'-ref_Distribution'!$G$146:$G$150)),RIGHT(BR$1,2))</f>
        <v>1</v>
      </c>
      <c r="BS66" s="16" cm="1">
        <f t="array" ref="BS66">INDEX(_xlfn.ANCHORARRAY(_xlfn.XLOOKUP($C66,'-ref_Distribution'!$B$146:$B$150,'-ref_Distribution'!$G$146:$G$150)),RIGHT(BS$1,2))</f>
        <v>2</v>
      </c>
      <c r="BT66" s="16" cm="1">
        <f t="array" ref="BT66">INDEX(_xlfn.ANCHORARRAY(_xlfn.XLOOKUP($C66,'-ref_Distribution'!$B$146:$B$150,'-ref_Distribution'!$G$146:$G$150)),RIGHT(BT$1,2))</f>
        <v>3</v>
      </c>
      <c r="BU66" s="16" cm="1">
        <f t="array" ref="BU66">INDEX(_xlfn.ANCHORARRAY(_xlfn.XLOOKUP($C66,'-ref_Distribution'!$B$146:$B$150,'-ref_Distribution'!$G$146:$G$150)),RIGHT(BU$1,2))</f>
        <v>5</v>
      </c>
      <c r="BV66" s="16" cm="1">
        <f t="array" ref="BV66">INDEX(_xlfn.ANCHORARRAY(_xlfn.XLOOKUP($C66,'-ref_Distribution'!$B$146:$B$150,'-ref_Distribution'!$G$146:$G$150)),RIGHT(BV$1,2))</f>
        <v>9</v>
      </c>
      <c r="BW66" s="16" cm="1">
        <f t="array" ref="BW66">INDEX(_xlfn.ANCHORARRAY(_xlfn.XLOOKUP($C66,'-ref_Distribution'!$B$146:$B$150,'-ref_Distribution'!$G$146:$G$150)),RIGHT(BW$1,2))</f>
        <v>14</v>
      </c>
      <c r="BX66" s="16" cm="1">
        <f t="array" ref="BX66">INDEX(_xlfn.ANCHORARRAY(_xlfn.XLOOKUP($C66,'-ref_Distribution'!$B$146:$B$150,'-ref_Distribution'!$G$146:$G$150)),RIGHT(BX$1,2))</f>
        <v>20</v>
      </c>
      <c r="BY66" s="16" cm="1">
        <f t="array" ref="BY66">INDEX(_xlfn.ANCHORARRAY(_xlfn.XLOOKUP($C66,'-ref_Distribution'!$B$146:$B$150,'-ref_Distribution'!$G$146:$G$150)),RIGHT(BY$1,2))</f>
        <v>28</v>
      </c>
      <c r="BZ66" s="16" cm="1">
        <f t="array" ref="BZ66">INDEX(_xlfn.ANCHORARRAY(_xlfn.XLOOKUP($C66,'-ref_Distribution'!$B$146:$B$150,'-ref_Distribution'!$G$146:$G$150)),RIGHT(BZ$1,2))</f>
        <v>38</v>
      </c>
      <c r="CA66" s="16" cm="1">
        <f t="array" ref="CA66">INDEX(_xlfn.ANCHORARRAY(_xlfn.XLOOKUP($C66,'-ref_Distribution'!$B$146:$B$150,'-ref_Distribution'!$G$146:$G$150)),RIGHT(CA$1,2))</f>
        <v>48</v>
      </c>
      <c r="CB66" s="16" cm="1">
        <f t="array" ref="CB66">INDEX(_xlfn.ANCHORARRAY(_xlfn.XLOOKUP($C66,'-ref_Distribution'!$B$146:$B$150,'-ref_Distribution'!$G$146:$G$150)),RIGHT(CB$1,2))</f>
        <v>59</v>
      </c>
      <c r="CC66" s="16" cm="1">
        <f t="array" ref="CC66">INDEX(_xlfn.ANCHORARRAY(_xlfn.XLOOKUP($C66,'-ref_Distribution'!$B$146:$B$150,'-ref_Distribution'!$G$146:$G$150)),RIGHT(CC$1,2))</f>
        <v>69</v>
      </c>
      <c r="CD66" s="16" cm="1">
        <f t="array" ref="CD66">INDEX(_xlfn.ANCHORARRAY(_xlfn.XLOOKUP($C66,'-ref_Distribution'!$B$146:$B$150,'-ref_Distribution'!$G$146:$G$150)),RIGHT(CD$1,2))</f>
        <v>78</v>
      </c>
      <c r="CE66" s="16" cm="1">
        <f t="array" ref="CE66">INDEX(_xlfn.ANCHORARRAY(_xlfn.XLOOKUP($C66,'-ref_Distribution'!$B$146:$B$150,'-ref_Distribution'!$G$146:$G$150)),RIGHT(CE$1,2))</f>
        <v>83</v>
      </c>
    </row>
    <row r="67" spans="1:83" x14ac:dyDescent="0.2">
      <c r="A67" s="16">
        <v>310208</v>
      </c>
      <c r="B67" s="16" t="s">
        <v>397</v>
      </c>
      <c r="C67" s="16">
        <v>3</v>
      </c>
      <c r="D67" s="16" cm="1">
        <f t="array" ref="D67">INDEX(_xlfn.ANCHORARRAY(_xlfn.XLOOKUP($C67,'-ref_Distribution'!$B$146:$B$150,'-ref_Distribution'!$G$146:$G$150)),RIGHT(D$1,2))</f>
        <v>4</v>
      </c>
      <c r="E67" s="16" cm="1">
        <f t="array" ref="E67">INDEX(_xlfn.ANCHORARRAY(_xlfn.XLOOKUP($C67,'-ref_Distribution'!$B$146:$B$150,'-ref_Distribution'!$G$146:$G$150)),RIGHT(E$1,2))</f>
        <v>6</v>
      </c>
      <c r="F67" s="16" cm="1">
        <f t="array" ref="F67">INDEX(_xlfn.ANCHORARRAY(_xlfn.XLOOKUP($C67,'-ref_Distribution'!$B$146:$B$150,'-ref_Distribution'!$G$146:$G$150)),RIGHT(F$1,2))</f>
        <v>9</v>
      </c>
      <c r="G67" s="16" cm="1">
        <f t="array" ref="G67">INDEX(_xlfn.ANCHORARRAY(_xlfn.XLOOKUP($C67,'-ref_Distribution'!$B$146:$B$150,'-ref_Distribution'!$G$146:$G$150)),RIGHT(G$1,2))</f>
        <v>14</v>
      </c>
      <c r="H67" s="16" cm="1">
        <f t="array" ref="H67">INDEX(_xlfn.ANCHORARRAY(_xlfn.XLOOKUP($C67,'-ref_Distribution'!$B$146:$B$150,'-ref_Distribution'!$G$146:$G$150)),RIGHT(H$1,2))</f>
        <v>20</v>
      </c>
      <c r="I67" s="16" cm="1">
        <f t="array" ref="I67">INDEX(_xlfn.ANCHORARRAY(_xlfn.XLOOKUP($C67,'-ref_Distribution'!$B$146:$B$150,'-ref_Distribution'!$G$146:$G$150)),RIGHT(I$1,2))</f>
        <v>28</v>
      </c>
      <c r="J67" s="16" cm="1">
        <f t="array" ref="J67">INDEX(_xlfn.ANCHORARRAY(_xlfn.XLOOKUP($C67,'-ref_Distribution'!$B$146:$B$150,'-ref_Distribution'!$G$146:$G$150)),RIGHT(J$1,2))</f>
        <v>38</v>
      </c>
      <c r="K67" s="16" cm="1">
        <f t="array" ref="K67">INDEX(_xlfn.ANCHORARRAY(_xlfn.XLOOKUP($C67,'-ref_Distribution'!$B$146:$B$150,'-ref_Distribution'!$G$146:$G$150)),RIGHT(K$1,2))</f>
        <v>51</v>
      </c>
      <c r="L67" s="16" cm="1">
        <f t="array" ref="L67">INDEX(_xlfn.ANCHORARRAY(_xlfn.XLOOKUP($C67,'-ref_Distribution'!$B$146:$B$150,'-ref_Distribution'!$G$146:$G$150)),RIGHT(L$1,2))</f>
        <v>65</v>
      </c>
      <c r="M67" s="16" cm="1">
        <f t="array" ref="M67">INDEX(_xlfn.ANCHORARRAY(_xlfn.XLOOKUP($C67,'-ref_Distribution'!$B$146:$B$150,'-ref_Distribution'!$G$146:$G$150)),RIGHT(M$1,2))</f>
        <v>80</v>
      </c>
      <c r="N67" s="16" cm="1">
        <f t="array" ref="N67">INDEX(_xlfn.ANCHORARRAY(_xlfn.XLOOKUP($C67,'-ref_Distribution'!$B$146:$B$150,'-ref_Distribution'!$G$146:$G$150)),RIGHT(N$1,2))</f>
        <v>96</v>
      </c>
      <c r="O67" s="16" cm="1">
        <f t="array" ref="O67">INDEX(_xlfn.ANCHORARRAY(_xlfn.XLOOKUP($C67,'-ref_Distribution'!$B$146:$B$150,'-ref_Distribution'!$G$146:$G$150)),RIGHT(O$1,2))</f>
        <v>111</v>
      </c>
      <c r="P67" s="16" cm="1">
        <f t="array" ref="P67">INDEX(_xlfn.ANCHORARRAY(_xlfn.XLOOKUP($C67,'-ref_Distribution'!$B$146:$B$150,'-ref_Distribution'!$G$146:$G$150)),RIGHT(P$1,2))</f>
        <v>125</v>
      </c>
      <c r="Q67" s="16" cm="1">
        <f t="array" ref="Q67">INDEX(_xlfn.ANCHORARRAY(_xlfn.XLOOKUP($C67,'-ref_Distribution'!$B$146:$B$150,'-ref_Distribution'!$G$146:$G$150)),RIGHT(Q$1,2))</f>
        <v>135</v>
      </c>
      <c r="R67" s="16" cm="1">
        <f t="array" ref="R67">INDEX(_xlfn.ANCHORARRAY(_xlfn.XLOOKUP($C67,'-ref_Distribution'!$B$146:$B$150,'-ref_Distribution'!$G$146:$G$150)),RIGHT(R$1,2))</f>
        <v>142</v>
      </c>
      <c r="S67" s="16" cm="1">
        <f t="array" ref="S67">INDEX(_xlfn.ANCHORARRAY(_xlfn.XLOOKUP($C67,'-ref_Distribution'!$B$146:$B$150,'-ref_Distribution'!$G$146:$G$150)),RIGHT(S$1,2))</f>
        <v>144</v>
      </c>
      <c r="T67" s="16" cm="1">
        <f t="array" ref="T67">INDEX(_xlfn.ANCHORARRAY(_xlfn.XLOOKUP($C67,'-ref_Distribution'!$B$146:$B$150,'-ref_Distribution'!$G$146:$G$150)),RIGHT(T$1,2))</f>
        <v>142</v>
      </c>
      <c r="U67" s="16" cm="1">
        <f t="array" ref="U67">INDEX(_xlfn.ANCHORARRAY(_xlfn.XLOOKUP($C67,'-ref_Distribution'!$B$146:$B$150,'-ref_Distribution'!$G$146:$G$150)),RIGHT(U$1,2))</f>
        <v>135</v>
      </c>
      <c r="V67" s="16" cm="1">
        <f t="array" ref="V67">INDEX(_xlfn.ANCHORARRAY(_xlfn.XLOOKUP($C67,'-ref_Distribution'!$B$146:$B$150,'-ref_Distribution'!$G$146:$G$150)),RIGHT(V$1,2))</f>
        <v>125</v>
      </c>
      <c r="W67" s="16" cm="1">
        <f t="array" ref="W67">INDEX(_xlfn.ANCHORARRAY(_xlfn.XLOOKUP($C67,'-ref_Distribution'!$B$146:$B$150,'-ref_Distribution'!$G$146:$G$150)),RIGHT(W$1,2))</f>
        <v>111</v>
      </c>
      <c r="X67" s="16" cm="1">
        <f t="array" ref="X67">INDEX(_xlfn.ANCHORARRAY(_xlfn.XLOOKUP($C67,'-ref_Distribution'!$B$146:$B$150,'-ref_Distribution'!$G$146:$G$150)),RIGHT(X$1,2))</f>
        <v>4</v>
      </c>
      <c r="Y67" s="16" cm="1">
        <f t="array" ref="Y67">INDEX(_xlfn.ANCHORARRAY(_xlfn.XLOOKUP($C67,'-ref_Distribution'!$B$146:$B$150,'-ref_Distribution'!$G$146:$G$150)),RIGHT(Y$1,2))</f>
        <v>6</v>
      </c>
      <c r="Z67" s="16" cm="1">
        <f t="array" ref="Z67">INDEX(_xlfn.ANCHORARRAY(_xlfn.XLOOKUP($C67,'-ref_Distribution'!$B$146:$B$150,'-ref_Distribution'!$G$146:$G$150)),RIGHT(Z$1,2))</f>
        <v>9</v>
      </c>
      <c r="AA67" s="16" cm="1">
        <f t="array" ref="AA67">INDEX(_xlfn.ANCHORARRAY(_xlfn.XLOOKUP($C67,'-ref_Distribution'!$B$146:$B$150,'-ref_Distribution'!$G$146:$G$150)),RIGHT(AA$1,2))</f>
        <v>14</v>
      </c>
      <c r="AB67" s="16" cm="1">
        <f t="array" ref="AB67">INDEX(_xlfn.ANCHORARRAY(_xlfn.XLOOKUP($C67,'-ref_Distribution'!$B$146:$B$150,'-ref_Distribution'!$G$146:$G$150)),RIGHT(AB$1,2))</f>
        <v>20</v>
      </c>
      <c r="AC67" s="16" cm="1">
        <f t="array" ref="AC67">INDEX(_xlfn.ANCHORARRAY(_xlfn.XLOOKUP($C67,'-ref_Distribution'!$B$146:$B$150,'-ref_Distribution'!$G$146:$G$150)),RIGHT(AC$1,2))</f>
        <v>28</v>
      </c>
      <c r="AD67" s="16" cm="1">
        <f t="array" ref="AD67">INDEX(_xlfn.ANCHORARRAY(_xlfn.XLOOKUP($C67,'-ref_Distribution'!$B$146:$B$150,'-ref_Distribution'!$G$146:$G$150)),RIGHT(AD$1,2))</f>
        <v>38</v>
      </c>
      <c r="AE67" s="16" cm="1">
        <f t="array" ref="AE67">INDEX(_xlfn.ANCHORARRAY(_xlfn.XLOOKUP($C67,'-ref_Distribution'!$B$146:$B$150,'-ref_Distribution'!$G$146:$G$150)),RIGHT(AE$1,2))</f>
        <v>51</v>
      </c>
      <c r="AF67" s="16" cm="1">
        <f t="array" ref="AF67">INDEX(_xlfn.ANCHORARRAY(_xlfn.XLOOKUP($C67,'-ref_Distribution'!$B$146:$B$150,'-ref_Distribution'!$G$146:$G$150)),RIGHT(AF$1,2))</f>
        <v>65</v>
      </c>
      <c r="AG67" s="16" cm="1">
        <f t="array" ref="AG67">INDEX(_xlfn.ANCHORARRAY(_xlfn.XLOOKUP($C67,'-ref_Distribution'!$B$146:$B$150,'-ref_Distribution'!$G$146:$G$150)),RIGHT(AG$1,2))</f>
        <v>80</v>
      </c>
      <c r="AH67" s="16" cm="1">
        <f t="array" ref="AH67">INDEX(_xlfn.ANCHORARRAY(_xlfn.XLOOKUP($C67,'-ref_Distribution'!$B$146:$B$150,'-ref_Distribution'!$G$146:$G$150)),RIGHT(AH$1,2))</f>
        <v>96</v>
      </c>
      <c r="AI67" s="16" cm="1">
        <f t="array" ref="AI67">INDEX(_xlfn.ANCHORARRAY(_xlfn.XLOOKUP($C67,'-ref_Distribution'!$B$146:$B$150,'-ref_Distribution'!$G$146:$G$150)),RIGHT(AI$1,2))</f>
        <v>111</v>
      </c>
      <c r="AJ67" s="16" cm="1">
        <f t="array" ref="AJ67">INDEX(_xlfn.ANCHORARRAY(_xlfn.XLOOKUP($C67,'-ref_Distribution'!$B$146:$B$150,'-ref_Distribution'!$G$146:$G$150)),RIGHT(AJ$1,2))</f>
        <v>125</v>
      </c>
      <c r="AK67" s="16" cm="1">
        <f t="array" ref="AK67">INDEX(_xlfn.ANCHORARRAY(_xlfn.XLOOKUP($C67,'-ref_Distribution'!$B$146:$B$150,'-ref_Distribution'!$G$146:$G$150)),RIGHT(AK$1,2))</f>
        <v>135</v>
      </c>
      <c r="AL67" s="16" cm="1">
        <f t="array" ref="AL67">INDEX(_xlfn.ANCHORARRAY(_xlfn.XLOOKUP($C67,'-ref_Distribution'!$B$146:$B$150,'-ref_Distribution'!$G$146:$G$150)),RIGHT(AL$1,2))</f>
        <v>142</v>
      </c>
      <c r="AM67" s="16" cm="1">
        <f t="array" ref="AM67">INDEX(_xlfn.ANCHORARRAY(_xlfn.XLOOKUP($C67,'-ref_Distribution'!$B$146:$B$150,'-ref_Distribution'!$G$146:$G$150)),RIGHT(AM$1,2))</f>
        <v>144</v>
      </c>
      <c r="AN67" s="16" cm="1">
        <f t="array" ref="AN67">INDEX(_xlfn.ANCHORARRAY(_xlfn.XLOOKUP($C67,'-ref_Distribution'!$B$146:$B$150,'-ref_Distribution'!$G$146:$G$150)),RIGHT(AN$1,2))</f>
        <v>142</v>
      </c>
      <c r="AO67" s="16" cm="1">
        <f t="array" ref="AO67">INDEX(_xlfn.ANCHORARRAY(_xlfn.XLOOKUP($C67,'-ref_Distribution'!$B$146:$B$150,'-ref_Distribution'!$G$146:$G$150)),RIGHT(AO$1,2))</f>
        <v>135</v>
      </c>
      <c r="AP67" s="16" cm="1">
        <f t="array" ref="AP67">INDEX(_xlfn.ANCHORARRAY(_xlfn.XLOOKUP($C67,'-ref_Distribution'!$B$146:$B$150,'-ref_Distribution'!$G$146:$G$150)),RIGHT(AP$1,2))</f>
        <v>125</v>
      </c>
      <c r="AQ67" s="16" cm="1">
        <f t="array" ref="AQ67">INDEX(_xlfn.ANCHORARRAY(_xlfn.XLOOKUP($C67,'-ref_Distribution'!$B$146:$B$150,'-ref_Distribution'!$G$146:$G$150)),RIGHT(AQ$1,2))</f>
        <v>111</v>
      </c>
      <c r="AR67" s="16" cm="1">
        <f t="array" ref="AR67">INDEX(_xlfn.ANCHORARRAY(_xlfn.XLOOKUP($C67,'-ref_Distribution'!$B$146:$B$150,'-ref_Distribution'!$G$146:$G$150)),RIGHT(AR$1,2))</f>
        <v>4</v>
      </c>
      <c r="AS67" s="16" cm="1">
        <f t="array" ref="AS67">INDEX(_xlfn.ANCHORARRAY(_xlfn.XLOOKUP($C67,'-ref_Distribution'!$B$146:$B$150,'-ref_Distribution'!$G$146:$G$150)),RIGHT(AS$1,2))</f>
        <v>6</v>
      </c>
      <c r="AT67" s="16" cm="1">
        <f t="array" ref="AT67">INDEX(_xlfn.ANCHORARRAY(_xlfn.XLOOKUP($C67,'-ref_Distribution'!$B$146:$B$150,'-ref_Distribution'!$G$146:$G$150)),RIGHT(AT$1,2))</f>
        <v>9</v>
      </c>
      <c r="AU67" s="16" cm="1">
        <f t="array" ref="AU67">INDEX(_xlfn.ANCHORARRAY(_xlfn.XLOOKUP($C67,'-ref_Distribution'!$B$146:$B$150,'-ref_Distribution'!$G$146:$G$150)),RIGHT(AU$1,2))</f>
        <v>14</v>
      </c>
      <c r="AV67" s="16" cm="1">
        <f t="array" ref="AV67">INDEX(_xlfn.ANCHORARRAY(_xlfn.XLOOKUP($C67,'-ref_Distribution'!$B$146:$B$150,'-ref_Distribution'!$G$146:$G$150)),RIGHT(AV$1,2))</f>
        <v>20</v>
      </c>
      <c r="AW67" s="16" cm="1">
        <f t="array" ref="AW67">INDEX(_xlfn.ANCHORARRAY(_xlfn.XLOOKUP($C67,'-ref_Distribution'!$B$146:$B$150,'-ref_Distribution'!$G$146:$G$150)),RIGHT(AW$1,2))</f>
        <v>28</v>
      </c>
      <c r="AX67" s="16" cm="1">
        <f t="array" ref="AX67">INDEX(_xlfn.ANCHORARRAY(_xlfn.XLOOKUP($C67,'-ref_Distribution'!$B$146:$B$150,'-ref_Distribution'!$G$146:$G$150)),RIGHT(AX$1,2))</f>
        <v>38</v>
      </c>
      <c r="AY67" s="16" cm="1">
        <f t="array" ref="AY67">INDEX(_xlfn.ANCHORARRAY(_xlfn.XLOOKUP($C67,'-ref_Distribution'!$B$146:$B$150,'-ref_Distribution'!$G$146:$G$150)),RIGHT(AY$1,2))</f>
        <v>51</v>
      </c>
      <c r="AZ67" s="16" cm="1">
        <f t="array" ref="AZ67">INDEX(_xlfn.ANCHORARRAY(_xlfn.XLOOKUP($C67,'-ref_Distribution'!$B$146:$B$150,'-ref_Distribution'!$G$146:$G$150)),RIGHT(AZ$1,2))</f>
        <v>65</v>
      </c>
      <c r="BA67" s="16" cm="1">
        <f t="array" ref="BA67">INDEX(_xlfn.ANCHORARRAY(_xlfn.XLOOKUP($C67,'-ref_Distribution'!$B$146:$B$150,'-ref_Distribution'!$G$146:$G$150)),RIGHT(BA$1,2))</f>
        <v>80</v>
      </c>
      <c r="BB67" s="16" cm="1">
        <f t="array" ref="BB67">INDEX(_xlfn.ANCHORARRAY(_xlfn.XLOOKUP($C67,'-ref_Distribution'!$B$146:$B$150,'-ref_Distribution'!$G$146:$G$150)),RIGHT(BB$1,2))</f>
        <v>96</v>
      </c>
      <c r="BC67" s="16" cm="1">
        <f t="array" ref="BC67">INDEX(_xlfn.ANCHORARRAY(_xlfn.XLOOKUP($C67,'-ref_Distribution'!$B$146:$B$150,'-ref_Distribution'!$G$146:$G$150)),RIGHT(BC$1,2))</f>
        <v>111</v>
      </c>
      <c r="BD67" s="16" cm="1">
        <f t="array" ref="BD67">INDEX(_xlfn.ANCHORARRAY(_xlfn.XLOOKUP($C67,'-ref_Distribution'!$B$146:$B$150,'-ref_Distribution'!$G$146:$G$150)),RIGHT(BD$1,2))</f>
        <v>125</v>
      </c>
      <c r="BE67" s="16" cm="1">
        <f t="array" ref="BE67">INDEX(_xlfn.ANCHORARRAY(_xlfn.XLOOKUP($C67,'-ref_Distribution'!$B$146:$B$150,'-ref_Distribution'!$G$146:$G$150)),RIGHT(BE$1,2))</f>
        <v>135</v>
      </c>
      <c r="BF67" s="16" cm="1">
        <f t="array" ref="BF67">INDEX(_xlfn.ANCHORARRAY(_xlfn.XLOOKUP($C67,'-ref_Distribution'!$B$146:$B$150,'-ref_Distribution'!$G$146:$G$150)),RIGHT(BF$1,2))</f>
        <v>142</v>
      </c>
      <c r="BG67" s="16" cm="1">
        <f t="array" ref="BG67">INDEX(_xlfn.ANCHORARRAY(_xlfn.XLOOKUP($C67,'-ref_Distribution'!$B$146:$B$150,'-ref_Distribution'!$G$146:$G$150)),RIGHT(BG$1,2))</f>
        <v>144</v>
      </c>
      <c r="BH67" s="16" cm="1">
        <f t="array" ref="BH67">INDEX(_xlfn.ANCHORARRAY(_xlfn.XLOOKUP($C67,'-ref_Distribution'!$B$146:$B$150,'-ref_Distribution'!$G$146:$G$150)),RIGHT(BH$1,2))</f>
        <v>142</v>
      </c>
      <c r="BI67" s="16" cm="1">
        <f t="array" ref="BI67">INDEX(_xlfn.ANCHORARRAY(_xlfn.XLOOKUP($C67,'-ref_Distribution'!$B$146:$B$150,'-ref_Distribution'!$G$146:$G$150)),RIGHT(BI$1,2))</f>
        <v>135</v>
      </c>
      <c r="BJ67" s="16" cm="1">
        <f t="array" ref="BJ67">INDEX(_xlfn.ANCHORARRAY(_xlfn.XLOOKUP($C67,'-ref_Distribution'!$B$146:$B$150,'-ref_Distribution'!$G$146:$G$150)),RIGHT(BJ$1,2))</f>
        <v>125</v>
      </c>
      <c r="BK67" s="16" cm="1">
        <f t="array" ref="BK67">INDEX(_xlfn.ANCHORARRAY(_xlfn.XLOOKUP($C67,'-ref_Distribution'!$B$146:$B$150,'-ref_Distribution'!$G$146:$G$150)),RIGHT(BK$1,2))</f>
        <v>111</v>
      </c>
      <c r="BL67" s="16" cm="1">
        <f t="array" ref="BL67">INDEX(_xlfn.ANCHORARRAY(_xlfn.XLOOKUP($C67,'-ref_Distribution'!$B$146:$B$150,'-ref_Distribution'!$G$146:$G$150)),RIGHT(BL$1,2))</f>
        <v>4</v>
      </c>
      <c r="BM67" s="16" cm="1">
        <f t="array" ref="BM67">INDEX(_xlfn.ANCHORARRAY(_xlfn.XLOOKUP($C67,'-ref_Distribution'!$B$146:$B$150,'-ref_Distribution'!$G$146:$G$150)),RIGHT(BM$1,2))</f>
        <v>6</v>
      </c>
      <c r="BN67" s="16" cm="1">
        <f t="array" ref="BN67">INDEX(_xlfn.ANCHORARRAY(_xlfn.XLOOKUP($C67,'-ref_Distribution'!$B$146:$B$150,'-ref_Distribution'!$G$146:$G$150)),RIGHT(BN$1,2))</f>
        <v>9</v>
      </c>
      <c r="BO67" s="16" cm="1">
        <f t="array" ref="BO67">INDEX(_xlfn.ANCHORARRAY(_xlfn.XLOOKUP($C67,'-ref_Distribution'!$B$146:$B$150,'-ref_Distribution'!$G$146:$G$150)),RIGHT(BO$1,2))</f>
        <v>14</v>
      </c>
      <c r="BP67" s="16" cm="1">
        <f t="array" ref="BP67">INDEX(_xlfn.ANCHORARRAY(_xlfn.XLOOKUP($C67,'-ref_Distribution'!$B$146:$B$150,'-ref_Distribution'!$G$146:$G$150)),RIGHT(BP$1,2))</f>
        <v>20</v>
      </c>
      <c r="BQ67" s="16" cm="1">
        <f t="array" ref="BQ67">INDEX(_xlfn.ANCHORARRAY(_xlfn.XLOOKUP($C67,'-ref_Distribution'!$B$146:$B$150,'-ref_Distribution'!$G$146:$G$150)),RIGHT(BQ$1,2))</f>
        <v>28</v>
      </c>
      <c r="BR67" s="16" cm="1">
        <f t="array" ref="BR67">INDEX(_xlfn.ANCHORARRAY(_xlfn.XLOOKUP($C67,'-ref_Distribution'!$B$146:$B$150,'-ref_Distribution'!$G$146:$G$150)),RIGHT(BR$1,2))</f>
        <v>38</v>
      </c>
      <c r="BS67" s="16" cm="1">
        <f t="array" ref="BS67">INDEX(_xlfn.ANCHORARRAY(_xlfn.XLOOKUP($C67,'-ref_Distribution'!$B$146:$B$150,'-ref_Distribution'!$G$146:$G$150)),RIGHT(BS$1,2))</f>
        <v>51</v>
      </c>
      <c r="BT67" s="16" cm="1">
        <f t="array" ref="BT67">INDEX(_xlfn.ANCHORARRAY(_xlfn.XLOOKUP($C67,'-ref_Distribution'!$B$146:$B$150,'-ref_Distribution'!$G$146:$G$150)),RIGHT(BT$1,2))</f>
        <v>65</v>
      </c>
      <c r="BU67" s="16" cm="1">
        <f t="array" ref="BU67">INDEX(_xlfn.ANCHORARRAY(_xlfn.XLOOKUP($C67,'-ref_Distribution'!$B$146:$B$150,'-ref_Distribution'!$G$146:$G$150)),RIGHT(BU$1,2))</f>
        <v>80</v>
      </c>
      <c r="BV67" s="16" cm="1">
        <f t="array" ref="BV67">INDEX(_xlfn.ANCHORARRAY(_xlfn.XLOOKUP($C67,'-ref_Distribution'!$B$146:$B$150,'-ref_Distribution'!$G$146:$G$150)),RIGHT(BV$1,2))</f>
        <v>96</v>
      </c>
      <c r="BW67" s="16" cm="1">
        <f t="array" ref="BW67">INDEX(_xlfn.ANCHORARRAY(_xlfn.XLOOKUP($C67,'-ref_Distribution'!$B$146:$B$150,'-ref_Distribution'!$G$146:$G$150)),RIGHT(BW$1,2))</f>
        <v>111</v>
      </c>
      <c r="BX67" s="16" cm="1">
        <f t="array" ref="BX67">INDEX(_xlfn.ANCHORARRAY(_xlfn.XLOOKUP($C67,'-ref_Distribution'!$B$146:$B$150,'-ref_Distribution'!$G$146:$G$150)),RIGHT(BX$1,2))</f>
        <v>125</v>
      </c>
      <c r="BY67" s="16" cm="1">
        <f t="array" ref="BY67">INDEX(_xlfn.ANCHORARRAY(_xlfn.XLOOKUP($C67,'-ref_Distribution'!$B$146:$B$150,'-ref_Distribution'!$G$146:$G$150)),RIGHT(BY$1,2))</f>
        <v>135</v>
      </c>
      <c r="BZ67" s="16" cm="1">
        <f t="array" ref="BZ67">INDEX(_xlfn.ANCHORARRAY(_xlfn.XLOOKUP($C67,'-ref_Distribution'!$B$146:$B$150,'-ref_Distribution'!$G$146:$G$150)),RIGHT(BZ$1,2))</f>
        <v>142</v>
      </c>
      <c r="CA67" s="16" cm="1">
        <f t="array" ref="CA67">INDEX(_xlfn.ANCHORARRAY(_xlfn.XLOOKUP($C67,'-ref_Distribution'!$B$146:$B$150,'-ref_Distribution'!$G$146:$G$150)),RIGHT(CA$1,2))</f>
        <v>144</v>
      </c>
      <c r="CB67" s="16" cm="1">
        <f t="array" ref="CB67">INDEX(_xlfn.ANCHORARRAY(_xlfn.XLOOKUP($C67,'-ref_Distribution'!$B$146:$B$150,'-ref_Distribution'!$G$146:$G$150)),RIGHT(CB$1,2))</f>
        <v>142</v>
      </c>
      <c r="CC67" s="16" cm="1">
        <f t="array" ref="CC67">INDEX(_xlfn.ANCHORARRAY(_xlfn.XLOOKUP($C67,'-ref_Distribution'!$B$146:$B$150,'-ref_Distribution'!$G$146:$G$150)),RIGHT(CC$1,2))</f>
        <v>135</v>
      </c>
      <c r="CD67" s="16" cm="1">
        <f t="array" ref="CD67">INDEX(_xlfn.ANCHORARRAY(_xlfn.XLOOKUP($C67,'-ref_Distribution'!$B$146:$B$150,'-ref_Distribution'!$G$146:$G$150)),RIGHT(CD$1,2))</f>
        <v>125</v>
      </c>
      <c r="CE67" s="16" cm="1">
        <f t="array" ref="CE67">INDEX(_xlfn.ANCHORARRAY(_xlfn.XLOOKUP($C67,'-ref_Distribution'!$B$146:$B$150,'-ref_Distribution'!$G$146:$G$150)),RIGHT(CE$1,2))</f>
        <v>111</v>
      </c>
    </row>
    <row r="68" spans="1:83" x14ac:dyDescent="0.2">
      <c r="A68" s="16">
        <v>310217</v>
      </c>
      <c r="B68" s="16" t="s">
        <v>415</v>
      </c>
      <c r="C68" s="16">
        <v>4</v>
      </c>
      <c r="D68" s="16" cm="1">
        <f t="array" ref="D68">INDEX(_xlfn.ANCHORARRAY(_xlfn.XLOOKUP($C68,'-ref_Distribution'!$B$146:$B$150,'-ref_Distribution'!$G$146:$G$150)),RIGHT(D$1,2))</f>
        <v>0</v>
      </c>
      <c r="E68" s="16" cm="1">
        <f t="array" ref="E68">INDEX(_xlfn.ANCHORARRAY(_xlfn.XLOOKUP($C68,'-ref_Distribution'!$B$146:$B$150,'-ref_Distribution'!$G$146:$G$150)),RIGHT(E$1,2))</f>
        <v>0</v>
      </c>
      <c r="F68" s="16" cm="1">
        <f t="array" ref="F68">INDEX(_xlfn.ANCHORARRAY(_xlfn.XLOOKUP($C68,'-ref_Distribution'!$B$146:$B$150,'-ref_Distribution'!$G$146:$G$150)),RIGHT(F$1,2))</f>
        <v>0</v>
      </c>
      <c r="G68" s="16" cm="1">
        <f t="array" ref="G68">INDEX(_xlfn.ANCHORARRAY(_xlfn.XLOOKUP($C68,'-ref_Distribution'!$B$146:$B$150,'-ref_Distribution'!$G$146:$G$150)),RIGHT(G$1,2))</f>
        <v>0</v>
      </c>
      <c r="H68" s="16" cm="1">
        <f t="array" ref="H68">INDEX(_xlfn.ANCHORARRAY(_xlfn.XLOOKUP($C68,'-ref_Distribution'!$B$146:$B$150,'-ref_Distribution'!$G$146:$G$150)),RIGHT(H$1,2))</f>
        <v>0</v>
      </c>
      <c r="I68" s="16" cm="1">
        <f t="array" ref="I68">INDEX(_xlfn.ANCHORARRAY(_xlfn.XLOOKUP($C68,'-ref_Distribution'!$B$146:$B$150,'-ref_Distribution'!$G$146:$G$150)),RIGHT(I$1,2))</f>
        <v>1</v>
      </c>
      <c r="J68" s="16" cm="1">
        <f t="array" ref="J68">INDEX(_xlfn.ANCHORARRAY(_xlfn.XLOOKUP($C68,'-ref_Distribution'!$B$146:$B$150,'-ref_Distribution'!$G$146:$G$150)),RIGHT(J$1,2))</f>
        <v>1</v>
      </c>
      <c r="K68" s="16" cm="1">
        <f t="array" ref="K68">INDEX(_xlfn.ANCHORARRAY(_xlfn.XLOOKUP($C68,'-ref_Distribution'!$B$146:$B$150,'-ref_Distribution'!$G$146:$G$150)),RIGHT(K$1,2))</f>
        <v>2</v>
      </c>
      <c r="L68" s="16" cm="1">
        <f t="array" ref="L68">INDEX(_xlfn.ANCHORARRAY(_xlfn.XLOOKUP($C68,'-ref_Distribution'!$B$146:$B$150,'-ref_Distribution'!$G$146:$G$150)),RIGHT(L$1,2))</f>
        <v>3</v>
      </c>
      <c r="M68" s="16" cm="1">
        <f t="array" ref="M68">INDEX(_xlfn.ANCHORARRAY(_xlfn.XLOOKUP($C68,'-ref_Distribution'!$B$146:$B$150,'-ref_Distribution'!$G$146:$G$150)),RIGHT(M$1,2))</f>
        <v>5</v>
      </c>
      <c r="N68" s="16" cm="1">
        <f t="array" ref="N68">INDEX(_xlfn.ANCHORARRAY(_xlfn.XLOOKUP($C68,'-ref_Distribution'!$B$146:$B$150,'-ref_Distribution'!$G$146:$G$150)),RIGHT(N$1,2))</f>
        <v>9</v>
      </c>
      <c r="O68" s="16" cm="1">
        <f t="array" ref="O68">INDEX(_xlfn.ANCHORARRAY(_xlfn.XLOOKUP($C68,'-ref_Distribution'!$B$146:$B$150,'-ref_Distribution'!$G$146:$G$150)),RIGHT(O$1,2))</f>
        <v>14</v>
      </c>
      <c r="P68" s="16" cm="1">
        <f t="array" ref="P68">INDEX(_xlfn.ANCHORARRAY(_xlfn.XLOOKUP($C68,'-ref_Distribution'!$B$146:$B$150,'-ref_Distribution'!$G$146:$G$150)),RIGHT(P$1,2))</f>
        <v>20</v>
      </c>
      <c r="Q68" s="16" cm="1">
        <f t="array" ref="Q68">INDEX(_xlfn.ANCHORARRAY(_xlfn.XLOOKUP($C68,'-ref_Distribution'!$B$146:$B$150,'-ref_Distribution'!$G$146:$G$150)),RIGHT(Q$1,2))</f>
        <v>28</v>
      </c>
      <c r="R68" s="16" cm="1">
        <f t="array" ref="R68">INDEX(_xlfn.ANCHORARRAY(_xlfn.XLOOKUP($C68,'-ref_Distribution'!$B$146:$B$150,'-ref_Distribution'!$G$146:$G$150)),RIGHT(R$1,2))</f>
        <v>38</v>
      </c>
      <c r="S68" s="16" cm="1">
        <f t="array" ref="S68">INDEX(_xlfn.ANCHORARRAY(_xlfn.XLOOKUP($C68,'-ref_Distribution'!$B$146:$B$150,'-ref_Distribution'!$G$146:$G$150)),RIGHT(S$1,2))</f>
        <v>48</v>
      </c>
      <c r="T68" s="16" cm="1">
        <f t="array" ref="T68">INDEX(_xlfn.ANCHORARRAY(_xlfn.XLOOKUP($C68,'-ref_Distribution'!$B$146:$B$150,'-ref_Distribution'!$G$146:$G$150)),RIGHT(T$1,2))</f>
        <v>59</v>
      </c>
      <c r="U68" s="16" cm="1">
        <f t="array" ref="U68">INDEX(_xlfn.ANCHORARRAY(_xlfn.XLOOKUP($C68,'-ref_Distribution'!$B$146:$B$150,'-ref_Distribution'!$G$146:$G$150)),RIGHT(U$1,2))</f>
        <v>69</v>
      </c>
      <c r="V68" s="16" cm="1">
        <f t="array" ref="V68">INDEX(_xlfn.ANCHORARRAY(_xlfn.XLOOKUP($C68,'-ref_Distribution'!$B$146:$B$150,'-ref_Distribution'!$G$146:$G$150)),RIGHT(V$1,2))</f>
        <v>78</v>
      </c>
      <c r="W68" s="16" cm="1">
        <f t="array" ref="W68">INDEX(_xlfn.ANCHORARRAY(_xlfn.XLOOKUP($C68,'-ref_Distribution'!$B$146:$B$150,'-ref_Distribution'!$G$146:$G$150)),RIGHT(W$1,2))</f>
        <v>83</v>
      </c>
      <c r="X68" s="16" cm="1">
        <f t="array" ref="X68">INDEX(_xlfn.ANCHORARRAY(_xlfn.XLOOKUP($C68,'-ref_Distribution'!$B$146:$B$150,'-ref_Distribution'!$G$146:$G$150)),RIGHT(X$1,2))</f>
        <v>0</v>
      </c>
      <c r="Y68" s="16" cm="1">
        <f t="array" ref="Y68">INDEX(_xlfn.ANCHORARRAY(_xlfn.XLOOKUP($C68,'-ref_Distribution'!$B$146:$B$150,'-ref_Distribution'!$G$146:$G$150)),RIGHT(Y$1,2))</f>
        <v>0</v>
      </c>
      <c r="Z68" s="16" cm="1">
        <f t="array" ref="Z68">INDEX(_xlfn.ANCHORARRAY(_xlfn.XLOOKUP($C68,'-ref_Distribution'!$B$146:$B$150,'-ref_Distribution'!$G$146:$G$150)),RIGHT(Z$1,2))</f>
        <v>0</v>
      </c>
      <c r="AA68" s="16" cm="1">
        <f t="array" ref="AA68">INDEX(_xlfn.ANCHORARRAY(_xlfn.XLOOKUP($C68,'-ref_Distribution'!$B$146:$B$150,'-ref_Distribution'!$G$146:$G$150)),RIGHT(AA$1,2))</f>
        <v>0</v>
      </c>
      <c r="AB68" s="16" cm="1">
        <f t="array" ref="AB68">INDEX(_xlfn.ANCHORARRAY(_xlfn.XLOOKUP($C68,'-ref_Distribution'!$B$146:$B$150,'-ref_Distribution'!$G$146:$G$150)),RIGHT(AB$1,2))</f>
        <v>0</v>
      </c>
      <c r="AC68" s="16" cm="1">
        <f t="array" ref="AC68">INDEX(_xlfn.ANCHORARRAY(_xlfn.XLOOKUP($C68,'-ref_Distribution'!$B$146:$B$150,'-ref_Distribution'!$G$146:$G$150)),RIGHT(AC$1,2))</f>
        <v>1</v>
      </c>
      <c r="AD68" s="16" cm="1">
        <f t="array" ref="AD68">INDEX(_xlfn.ANCHORARRAY(_xlfn.XLOOKUP($C68,'-ref_Distribution'!$B$146:$B$150,'-ref_Distribution'!$G$146:$G$150)),RIGHT(AD$1,2))</f>
        <v>1</v>
      </c>
      <c r="AE68" s="16" cm="1">
        <f t="array" ref="AE68">INDEX(_xlfn.ANCHORARRAY(_xlfn.XLOOKUP($C68,'-ref_Distribution'!$B$146:$B$150,'-ref_Distribution'!$G$146:$G$150)),RIGHT(AE$1,2))</f>
        <v>2</v>
      </c>
      <c r="AF68" s="16" cm="1">
        <f t="array" ref="AF68">INDEX(_xlfn.ANCHORARRAY(_xlfn.XLOOKUP($C68,'-ref_Distribution'!$B$146:$B$150,'-ref_Distribution'!$G$146:$G$150)),RIGHT(AF$1,2))</f>
        <v>3</v>
      </c>
      <c r="AG68" s="16" cm="1">
        <f t="array" ref="AG68">INDEX(_xlfn.ANCHORARRAY(_xlfn.XLOOKUP($C68,'-ref_Distribution'!$B$146:$B$150,'-ref_Distribution'!$G$146:$G$150)),RIGHT(AG$1,2))</f>
        <v>5</v>
      </c>
      <c r="AH68" s="16" cm="1">
        <f t="array" ref="AH68">INDEX(_xlfn.ANCHORARRAY(_xlfn.XLOOKUP($C68,'-ref_Distribution'!$B$146:$B$150,'-ref_Distribution'!$G$146:$G$150)),RIGHT(AH$1,2))</f>
        <v>9</v>
      </c>
      <c r="AI68" s="16" cm="1">
        <f t="array" ref="AI68">INDEX(_xlfn.ANCHORARRAY(_xlfn.XLOOKUP($C68,'-ref_Distribution'!$B$146:$B$150,'-ref_Distribution'!$G$146:$G$150)),RIGHT(AI$1,2))</f>
        <v>14</v>
      </c>
      <c r="AJ68" s="16" cm="1">
        <f t="array" ref="AJ68">INDEX(_xlfn.ANCHORARRAY(_xlfn.XLOOKUP($C68,'-ref_Distribution'!$B$146:$B$150,'-ref_Distribution'!$G$146:$G$150)),RIGHT(AJ$1,2))</f>
        <v>20</v>
      </c>
      <c r="AK68" s="16" cm="1">
        <f t="array" ref="AK68">INDEX(_xlfn.ANCHORARRAY(_xlfn.XLOOKUP($C68,'-ref_Distribution'!$B$146:$B$150,'-ref_Distribution'!$G$146:$G$150)),RIGHT(AK$1,2))</f>
        <v>28</v>
      </c>
      <c r="AL68" s="16" cm="1">
        <f t="array" ref="AL68">INDEX(_xlfn.ANCHORARRAY(_xlfn.XLOOKUP($C68,'-ref_Distribution'!$B$146:$B$150,'-ref_Distribution'!$G$146:$G$150)),RIGHT(AL$1,2))</f>
        <v>38</v>
      </c>
      <c r="AM68" s="16" cm="1">
        <f t="array" ref="AM68">INDEX(_xlfn.ANCHORARRAY(_xlfn.XLOOKUP($C68,'-ref_Distribution'!$B$146:$B$150,'-ref_Distribution'!$G$146:$G$150)),RIGHT(AM$1,2))</f>
        <v>48</v>
      </c>
      <c r="AN68" s="16" cm="1">
        <f t="array" ref="AN68">INDEX(_xlfn.ANCHORARRAY(_xlfn.XLOOKUP($C68,'-ref_Distribution'!$B$146:$B$150,'-ref_Distribution'!$G$146:$G$150)),RIGHT(AN$1,2))</f>
        <v>59</v>
      </c>
      <c r="AO68" s="16" cm="1">
        <f t="array" ref="AO68">INDEX(_xlfn.ANCHORARRAY(_xlfn.XLOOKUP($C68,'-ref_Distribution'!$B$146:$B$150,'-ref_Distribution'!$G$146:$G$150)),RIGHT(AO$1,2))</f>
        <v>69</v>
      </c>
      <c r="AP68" s="16" cm="1">
        <f t="array" ref="AP68">INDEX(_xlfn.ANCHORARRAY(_xlfn.XLOOKUP($C68,'-ref_Distribution'!$B$146:$B$150,'-ref_Distribution'!$G$146:$G$150)),RIGHT(AP$1,2))</f>
        <v>78</v>
      </c>
      <c r="AQ68" s="16" cm="1">
        <f t="array" ref="AQ68">INDEX(_xlfn.ANCHORARRAY(_xlfn.XLOOKUP($C68,'-ref_Distribution'!$B$146:$B$150,'-ref_Distribution'!$G$146:$G$150)),RIGHT(AQ$1,2))</f>
        <v>83</v>
      </c>
      <c r="AR68" s="16" cm="1">
        <f t="array" ref="AR68">INDEX(_xlfn.ANCHORARRAY(_xlfn.XLOOKUP($C68,'-ref_Distribution'!$B$146:$B$150,'-ref_Distribution'!$G$146:$G$150)),RIGHT(AR$1,2))</f>
        <v>0</v>
      </c>
      <c r="AS68" s="16" cm="1">
        <f t="array" ref="AS68">INDEX(_xlfn.ANCHORARRAY(_xlfn.XLOOKUP($C68,'-ref_Distribution'!$B$146:$B$150,'-ref_Distribution'!$G$146:$G$150)),RIGHT(AS$1,2))</f>
        <v>0</v>
      </c>
      <c r="AT68" s="16" cm="1">
        <f t="array" ref="AT68">INDEX(_xlfn.ANCHORARRAY(_xlfn.XLOOKUP($C68,'-ref_Distribution'!$B$146:$B$150,'-ref_Distribution'!$G$146:$G$150)),RIGHT(AT$1,2))</f>
        <v>0</v>
      </c>
      <c r="AU68" s="16" cm="1">
        <f t="array" ref="AU68">INDEX(_xlfn.ANCHORARRAY(_xlfn.XLOOKUP($C68,'-ref_Distribution'!$B$146:$B$150,'-ref_Distribution'!$G$146:$G$150)),RIGHT(AU$1,2))</f>
        <v>0</v>
      </c>
      <c r="AV68" s="16" cm="1">
        <f t="array" ref="AV68">INDEX(_xlfn.ANCHORARRAY(_xlfn.XLOOKUP($C68,'-ref_Distribution'!$B$146:$B$150,'-ref_Distribution'!$G$146:$G$150)),RIGHT(AV$1,2))</f>
        <v>0</v>
      </c>
      <c r="AW68" s="16" cm="1">
        <f t="array" ref="AW68">INDEX(_xlfn.ANCHORARRAY(_xlfn.XLOOKUP($C68,'-ref_Distribution'!$B$146:$B$150,'-ref_Distribution'!$G$146:$G$150)),RIGHT(AW$1,2))</f>
        <v>1</v>
      </c>
      <c r="AX68" s="16" cm="1">
        <f t="array" ref="AX68">INDEX(_xlfn.ANCHORARRAY(_xlfn.XLOOKUP($C68,'-ref_Distribution'!$B$146:$B$150,'-ref_Distribution'!$G$146:$G$150)),RIGHT(AX$1,2))</f>
        <v>1</v>
      </c>
      <c r="AY68" s="16" cm="1">
        <f t="array" ref="AY68">INDEX(_xlfn.ANCHORARRAY(_xlfn.XLOOKUP($C68,'-ref_Distribution'!$B$146:$B$150,'-ref_Distribution'!$G$146:$G$150)),RIGHT(AY$1,2))</f>
        <v>2</v>
      </c>
      <c r="AZ68" s="16" cm="1">
        <f t="array" ref="AZ68">INDEX(_xlfn.ANCHORARRAY(_xlfn.XLOOKUP($C68,'-ref_Distribution'!$B$146:$B$150,'-ref_Distribution'!$G$146:$G$150)),RIGHT(AZ$1,2))</f>
        <v>3</v>
      </c>
      <c r="BA68" s="16" cm="1">
        <f t="array" ref="BA68">INDEX(_xlfn.ANCHORARRAY(_xlfn.XLOOKUP($C68,'-ref_Distribution'!$B$146:$B$150,'-ref_Distribution'!$G$146:$G$150)),RIGHT(BA$1,2))</f>
        <v>5</v>
      </c>
      <c r="BB68" s="16" cm="1">
        <f t="array" ref="BB68">INDEX(_xlfn.ANCHORARRAY(_xlfn.XLOOKUP($C68,'-ref_Distribution'!$B$146:$B$150,'-ref_Distribution'!$G$146:$G$150)),RIGHT(BB$1,2))</f>
        <v>9</v>
      </c>
      <c r="BC68" s="16" cm="1">
        <f t="array" ref="BC68">INDEX(_xlfn.ANCHORARRAY(_xlfn.XLOOKUP($C68,'-ref_Distribution'!$B$146:$B$150,'-ref_Distribution'!$G$146:$G$150)),RIGHT(BC$1,2))</f>
        <v>14</v>
      </c>
      <c r="BD68" s="16" cm="1">
        <f t="array" ref="BD68">INDEX(_xlfn.ANCHORARRAY(_xlfn.XLOOKUP($C68,'-ref_Distribution'!$B$146:$B$150,'-ref_Distribution'!$G$146:$G$150)),RIGHT(BD$1,2))</f>
        <v>20</v>
      </c>
      <c r="BE68" s="16" cm="1">
        <f t="array" ref="BE68">INDEX(_xlfn.ANCHORARRAY(_xlfn.XLOOKUP($C68,'-ref_Distribution'!$B$146:$B$150,'-ref_Distribution'!$G$146:$G$150)),RIGHT(BE$1,2))</f>
        <v>28</v>
      </c>
      <c r="BF68" s="16" cm="1">
        <f t="array" ref="BF68">INDEX(_xlfn.ANCHORARRAY(_xlfn.XLOOKUP($C68,'-ref_Distribution'!$B$146:$B$150,'-ref_Distribution'!$G$146:$G$150)),RIGHT(BF$1,2))</f>
        <v>38</v>
      </c>
      <c r="BG68" s="16" cm="1">
        <f t="array" ref="BG68">INDEX(_xlfn.ANCHORARRAY(_xlfn.XLOOKUP($C68,'-ref_Distribution'!$B$146:$B$150,'-ref_Distribution'!$G$146:$G$150)),RIGHT(BG$1,2))</f>
        <v>48</v>
      </c>
      <c r="BH68" s="16" cm="1">
        <f t="array" ref="BH68">INDEX(_xlfn.ANCHORARRAY(_xlfn.XLOOKUP($C68,'-ref_Distribution'!$B$146:$B$150,'-ref_Distribution'!$G$146:$G$150)),RIGHT(BH$1,2))</f>
        <v>59</v>
      </c>
      <c r="BI68" s="16" cm="1">
        <f t="array" ref="BI68">INDEX(_xlfn.ANCHORARRAY(_xlfn.XLOOKUP($C68,'-ref_Distribution'!$B$146:$B$150,'-ref_Distribution'!$G$146:$G$150)),RIGHT(BI$1,2))</f>
        <v>69</v>
      </c>
      <c r="BJ68" s="16" cm="1">
        <f t="array" ref="BJ68">INDEX(_xlfn.ANCHORARRAY(_xlfn.XLOOKUP($C68,'-ref_Distribution'!$B$146:$B$150,'-ref_Distribution'!$G$146:$G$150)),RIGHT(BJ$1,2))</f>
        <v>78</v>
      </c>
      <c r="BK68" s="16" cm="1">
        <f t="array" ref="BK68">INDEX(_xlfn.ANCHORARRAY(_xlfn.XLOOKUP($C68,'-ref_Distribution'!$B$146:$B$150,'-ref_Distribution'!$G$146:$G$150)),RIGHT(BK$1,2))</f>
        <v>83</v>
      </c>
      <c r="BL68" s="16" cm="1">
        <f t="array" ref="BL68">INDEX(_xlfn.ANCHORARRAY(_xlfn.XLOOKUP($C68,'-ref_Distribution'!$B$146:$B$150,'-ref_Distribution'!$G$146:$G$150)),RIGHT(BL$1,2))</f>
        <v>0</v>
      </c>
      <c r="BM68" s="16" cm="1">
        <f t="array" ref="BM68">INDEX(_xlfn.ANCHORARRAY(_xlfn.XLOOKUP($C68,'-ref_Distribution'!$B$146:$B$150,'-ref_Distribution'!$G$146:$G$150)),RIGHT(BM$1,2))</f>
        <v>0</v>
      </c>
      <c r="BN68" s="16" cm="1">
        <f t="array" ref="BN68">INDEX(_xlfn.ANCHORARRAY(_xlfn.XLOOKUP($C68,'-ref_Distribution'!$B$146:$B$150,'-ref_Distribution'!$G$146:$G$150)),RIGHT(BN$1,2))</f>
        <v>0</v>
      </c>
      <c r="BO68" s="16" cm="1">
        <f t="array" ref="BO68">INDEX(_xlfn.ANCHORARRAY(_xlfn.XLOOKUP($C68,'-ref_Distribution'!$B$146:$B$150,'-ref_Distribution'!$G$146:$G$150)),RIGHT(BO$1,2))</f>
        <v>0</v>
      </c>
      <c r="BP68" s="16" cm="1">
        <f t="array" ref="BP68">INDEX(_xlfn.ANCHORARRAY(_xlfn.XLOOKUP($C68,'-ref_Distribution'!$B$146:$B$150,'-ref_Distribution'!$G$146:$G$150)),RIGHT(BP$1,2))</f>
        <v>0</v>
      </c>
      <c r="BQ68" s="16" cm="1">
        <f t="array" ref="BQ68">INDEX(_xlfn.ANCHORARRAY(_xlfn.XLOOKUP($C68,'-ref_Distribution'!$B$146:$B$150,'-ref_Distribution'!$G$146:$G$150)),RIGHT(BQ$1,2))</f>
        <v>1</v>
      </c>
      <c r="BR68" s="16" cm="1">
        <f t="array" ref="BR68">INDEX(_xlfn.ANCHORARRAY(_xlfn.XLOOKUP($C68,'-ref_Distribution'!$B$146:$B$150,'-ref_Distribution'!$G$146:$G$150)),RIGHT(BR$1,2))</f>
        <v>1</v>
      </c>
      <c r="BS68" s="16" cm="1">
        <f t="array" ref="BS68">INDEX(_xlfn.ANCHORARRAY(_xlfn.XLOOKUP($C68,'-ref_Distribution'!$B$146:$B$150,'-ref_Distribution'!$G$146:$G$150)),RIGHT(BS$1,2))</f>
        <v>2</v>
      </c>
      <c r="BT68" s="16" cm="1">
        <f t="array" ref="BT68">INDEX(_xlfn.ANCHORARRAY(_xlfn.XLOOKUP($C68,'-ref_Distribution'!$B$146:$B$150,'-ref_Distribution'!$G$146:$G$150)),RIGHT(BT$1,2))</f>
        <v>3</v>
      </c>
      <c r="BU68" s="16" cm="1">
        <f t="array" ref="BU68">INDEX(_xlfn.ANCHORARRAY(_xlfn.XLOOKUP($C68,'-ref_Distribution'!$B$146:$B$150,'-ref_Distribution'!$G$146:$G$150)),RIGHT(BU$1,2))</f>
        <v>5</v>
      </c>
      <c r="BV68" s="16" cm="1">
        <f t="array" ref="BV68">INDEX(_xlfn.ANCHORARRAY(_xlfn.XLOOKUP($C68,'-ref_Distribution'!$B$146:$B$150,'-ref_Distribution'!$G$146:$G$150)),RIGHT(BV$1,2))</f>
        <v>9</v>
      </c>
      <c r="BW68" s="16" cm="1">
        <f t="array" ref="BW68">INDEX(_xlfn.ANCHORARRAY(_xlfn.XLOOKUP($C68,'-ref_Distribution'!$B$146:$B$150,'-ref_Distribution'!$G$146:$G$150)),RIGHT(BW$1,2))</f>
        <v>14</v>
      </c>
      <c r="BX68" s="16" cm="1">
        <f t="array" ref="BX68">INDEX(_xlfn.ANCHORARRAY(_xlfn.XLOOKUP($C68,'-ref_Distribution'!$B$146:$B$150,'-ref_Distribution'!$G$146:$G$150)),RIGHT(BX$1,2))</f>
        <v>20</v>
      </c>
      <c r="BY68" s="16" cm="1">
        <f t="array" ref="BY68">INDEX(_xlfn.ANCHORARRAY(_xlfn.XLOOKUP($C68,'-ref_Distribution'!$B$146:$B$150,'-ref_Distribution'!$G$146:$G$150)),RIGHT(BY$1,2))</f>
        <v>28</v>
      </c>
      <c r="BZ68" s="16" cm="1">
        <f t="array" ref="BZ68">INDEX(_xlfn.ANCHORARRAY(_xlfn.XLOOKUP($C68,'-ref_Distribution'!$B$146:$B$150,'-ref_Distribution'!$G$146:$G$150)),RIGHT(BZ$1,2))</f>
        <v>38</v>
      </c>
      <c r="CA68" s="16" cm="1">
        <f t="array" ref="CA68">INDEX(_xlfn.ANCHORARRAY(_xlfn.XLOOKUP($C68,'-ref_Distribution'!$B$146:$B$150,'-ref_Distribution'!$G$146:$G$150)),RIGHT(CA$1,2))</f>
        <v>48</v>
      </c>
      <c r="CB68" s="16" cm="1">
        <f t="array" ref="CB68">INDEX(_xlfn.ANCHORARRAY(_xlfn.XLOOKUP($C68,'-ref_Distribution'!$B$146:$B$150,'-ref_Distribution'!$G$146:$G$150)),RIGHT(CB$1,2))</f>
        <v>59</v>
      </c>
      <c r="CC68" s="16" cm="1">
        <f t="array" ref="CC68">INDEX(_xlfn.ANCHORARRAY(_xlfn.XLOOKUP($C68,'-ref_Distribution'!$B$146:$B$150,'-ref_Distribution'!$G$146:$G$150)),RIGHT(CC$1,2))</f>
        <v>69</v>
      </c>
      <c r="CD68" s="16" cm="1">
        <f t="array" ref="CD68">INDEX(_xlfn.ANCHORARRAY(_xlfn.XLOOKUP($C68,'-ref_Distribution'!$B$146:$B$150,'-ref_Distribution'!$G$146:$G$150)),RIGHT(CD$1,2))</f>
        <v>78</v>
      </c>
      <c r="CE68" s="16" cm="1">
        <f t="array" ref="CE68">INDEX(_xlfn.ANCHORARRAY(_xlfn.XLOOKUP($C68,'-ref_Distribution'!$B$146:$B$150,'-ref_Distribution'!$G$146:$G$150)),RIGHT(CE$1,2))</f>
        <v>83</v>
      </c>
    </row>
    <row r="69" spans="1:83" x14ac:dyDescent="0.2">
      <c r="A69" s="16">
        <v>310218</v>
      </c>
      <c r="B69" s="16" t="s">
        <v>416</v>
      </c>
      <c r="C69" s="16">
        <v>3</v>
      </c>
      <c r="D69" s="16" cm="1">
        <f t="array" ref="D69">INDEX(_xlfn.ANCHORARRAY(_xlfn.XLOOKUP($C69,'-ref_Distribution'!$B$146:$B$150,'-ref_Distribution'!$G$146:$G$150)),RIGHT(D$1,2))</f>
        <v>4</v>
      </c>
      <c r="E69" s="16" cm="1">
        <f t="array" ref="E69">INDEX(_xlfn.ANCHORARRAY(_xlfn.XLOOKUP($C69,'-ref_Distribution'!$B$146:$B$150,'-ref_Distribution'!$G$146:$G$150)),RIGHT(E$1,2))</f>
        <v>6</v>
      </c>
      <c r="F69" s="16" cm="1">
        <f t="array" ref="F69">INDEX(_xlfn.ANCHORARRAY(_xlfn.XLOOKUP($C69,'-ref_Distribution'!$B$146:$B$150,'-ref_Distribution'!$G$146:$G$150)),RIGHT(F$1,2))</f>
        <v>9</v>
      </c>
      <c r="G69" s="16" cm="1">
        <f t="array" ref="G69">INDEX(_xlfn.ANCHORARRAY(_xlfn.XLOOKUP($C69,'-ref_Distribution'!$B$146:$B$150,'-ref_Distribution'!$G$146:$G$150)),RIGHT(G$1,2))</f>
        <v>14</v>
      </c>
      <c r="H69" s="16" cm="1">
        <f t="array" ref="H69">INDEX(_xlfn.ANCHORARRAY(_xlfn.XLOOKUP($C69,'-ref_Distribution'!$B$146:$B$150,'-ref_Distribution'!$G$146:$G$150)),RIGHT(H$1,2))</f>
        <v>20</v>
      </c>
      <c r="I69" s="16" cm="1">
        <f t="array" ref="I69">INDEX(_xlfn.ANCHORARRAY(_xlfn.XLOOKUP($C69,'-ref_Distribution'!$B$146:$B$150,'-ref_Distribution'!$G$146:$G$150)),RIGHT(I$1,2))</f>
        <v>28</v>
      </c>
      <c r="J69" s="16" cm="1">
        <f t="array" ref="J69">INDEX(_xlfn.ANCHORARRAY(_xlfn.XLOOKUP($C69,'-ref_Distribution'!$B$146:$B$150,'-ref_Distribution'!$G$146:$G$150)),RIGHT(J$1,2))</f>
        <v>38</v>
      </c>
      <c r="K69" s="16" cm="1">
        <f t="array" ref="K69">INDEX(_xlfn.ANCHORARRAY(_xlfn.XLOOKUP($C69,'-ref_Distribution'!$B$146:$B$150,'-ref_Distribution'!$G$146:$G$150)),RIGHT(K$1,2))</f>
        <v>51</v>
      </c>
      <c r="L69" s="16" cm="1">
        <f t="array" ref="L69">INDEX(_xlfn.ANCHORARRAY(_xlfn.XLOOKUP($C69,'-ref_Distribution'!$B$146:$B$150,'-ref_Distribution'!$G$146:$G$150)),RIGHT(L$1,2))</f>
        <v>65</v>
      </c>
      <c r="M69" s="16" cm="1">
        <f t="array" ref="M69">INDEX(_xlfn.ANCHORARRAY(_xlfn.XLOOKUP($C69,'-ref_Distribution'!$B$146:$B$150,'-ref_Distribution'!$G$146:$G$150)),RIGHT(M$1,2))</f>
        <v>80</v>
      </c>
      <c r="N69" s="16" cm="1">
        <f t="array" ref="N69">INDEX(_xlfn.ANCHORARRAY(_xlfn.XLOOKUP($C69,'-ref_Distribution'!$B$146:$B$150,'-ref_Distribution'!$G$146:$G$150)),RIGHT(N$1,2))</f>
        <v>96</v>
      </c>
      <c r="O69" s="16" cm="1">
        <f t="array" ref="O69">INDEX(_xlfn.ANCHORARRAY(_xlfn.XLOOKUP($C69,'-ref_Distribution'!$B$146:$B$150,'-ref_Distribution'!$G$146:$G$150)),RIGHT(O$1,2))</f>
        <v>111</v>
      </c>
      <c r="P69" s="16" cm="1">
        <f t="array" ref="P69">INDEX(_xlfn.ANCHORARRAY(_xlfn.XLOOKUP($C69,'-ref_Distribution'!$B$146:$B$150,'-ref_Distribution'!$G$146:$G$150)),RIGHT(P$1,2))</f>
        <v>125</v>
      </c>
      <c r="Q69" s="16" cm="1">
        <f t="array" ref="Q69">INDEX(_xlfn.ANCHORARRAY(_xlfn.XLOOKUP($C69,'-ref_Distribution'!$B$146:$B$150,'-ref_Distribution'!$G$146:$G$150)),RIGHT(Q$1,2))</f>
        <v>135</v>
      </c>
      <c r="R69" s="16" cm="1">
        <f t="array" ref="R69">INDEX(_xlfn.ANCHORARRAY(_xlfn.XLOOKUP($C69,'-ref_Distribution'!$B$146:$B$150,'-ref_Distribution'!$G$146:$G$150)),RIGHT(R$1,2))</f>
        <v>142</v>
      </c>
      <c r="S69" s="16" cm="1">
        <f t="array" ref="S69">INDEX(_xlfn.ANCHORARRAY(_xlfn.XLOOKUP($C69,'-ref_Distribution'!$B$146:$B$150,'-ref_Distribution'!$G$146:$G$150)),RIGHT(S$1,2))</f>
        <v>144</v>
      </c>
      <c r="T69" s="16" cm="1">
        <f t="array" ref="T69">INDEX(_xlfn.ANCHORARRAY(_xlfn.XLOOKUP($C69,'-ref_Distribution'!$B$146:$B$150,'-ref_Distribution'!$G$146:$G$150)),RIGHT(T$1,2))</f>
        <v>142</v>
      </c>
      <c r="U69" s="16" cm="1">
        <f t="array" ref="U69">INDEX(_xlfn.ANCHORARRAY(_xlfn.XLOOKUP($C69,'-ref_Distribution'!$B$146:$B$150,'-ref_Distribution'!$G$146:$G$150)),RIGHT(U$1,2))</f>
        <v>135</v>
      </c>
      <c r="V69" s="16" cm="1">
        <f t="array" ref="V69">INDEX(_xlfn.ANCHORARRAY(_xlfn.XLOOKUP($C69,'-ref_Distribution'!$B$146:$B$150,'-ref_Distribution'!$G$146:$G$150)),RIGHT(V$1,2))</f>
        <v>125</v>
      </c>
      <c r="W69" s="16" cm="1">
        <f t="array" ref="W69">INDEX(_xlfn.ANCHORARRAY(_xlfn.XLOOKUP($C69,'-ref_Distribution'!$B$146:$B$150,'-ref_Distribution'!$G$146:$G$150)),RIGHT(W$1,2))</f>
        <v>111</v>
      </c>
      <c r="X69" s="16" cm="1">
        <f t="array" ref="X69">INDEX(_xlfn.ANCHORARRAY(_xlfn.XLOOKUP($C69,'-ref_Distribution'!$B$146:$B$150,'-ref_Distribution'!$G$146:$G$150)),RIGHT(X$1,2))</f>
        <v>4</v>
      </c>
      <c r="Y69" s="16" cm="1">
        <f t="array" ref="Y69">INDEX(_xlfn.ANCHORARRAY(_xlfn.XLOOKUP($C69,'-ref_Distribution'!$B$146:$B$150,'-ref_Distribution'!$G$146:$G$150)),RIGHT(Y$1,2))</f>
        <v>6</v>
      </c>
      <c r="Z69" s="16" cm="1">
        <f t="array" ref="Z69">INDEX(_xlfn.ANCHORARRAY(_xlfn.XLOOKUP($C69,'-ref_Distribution'!$B$146:$B$150,'-ref_Distribution'!$G$146:$G$150)),RIGHT(Z$1,2))</f>
        <v>9</v>
      </c>
      <c r="AA69" s="16" cm="1">
        <f t="array" ref="AA69">INDEX(_xlfn.ANCHORARRAY(_xlfn.XLOOKUP($C69,'-ref_Distribution'!$B$146:$B$150,'-ref_Distribution'!$G$146:$G$150)),RIGHT(AA$1,2))</f>
        <v>14</v>
      </c>
      <c r="AB69" s="16" cm="1">
        <f t="array" ref="AB69">INDEX(_xlfn.ANCHORARRAY(_xlfn.XLOOKUP($C69,'-ref_Distribution'!$B$146:$B$150,'-ref_Distribution'!$G$146:$G$150)),RIGHT(AB$1,2))</f>
        <v>20</v>
      </c>
      <c r="AC69" s="16" cm="1">
        <f t="array" ref="AC69">INDEX(_xlfn.ANCHORARRAY(_xlfn.XLOOKUP($C69,'-ref_Distribution'!$B$146:$B$150,'-ref_Distribution'!$G$146:$G$150)),RIGHT(AC$1,2))</f>
        <v>28</v>
      </c>
      <c r="AD69" s="16" cm="1">
        <f t="array" ref="AD69">INDEX(_xlfn.ANCHORARRAY(_xlfn.XLOOKUP($C69,'-ref_Distribution'!$B$146:$B$150,'-ref_Distribution'!$G$146:$G$150)),RIGHT(AD$1,2))</f>
        <v>38</v>
      </c>
      <c r="AE69" s="16" cm="1">
        <f t="array" ref="AE69">INDEX(_xlfn.ANCHORARRAY(_xlfn.XLOOKUP($C69,'-ref_Distribution'!$B$146:$B$150,'-ref_Distribution'!$G$146:$G$150)),RIGHT(AE$1,2))</f>
        <v>51</v>
      </c>
      <c r="AF69" s="16" cm="1">
        <f t="array" ref="AF69">INDEX(_xlfn.ANCHORARRAY(_xlfn.XLOOKUP($C69,'-ref_Distribution'!$B$146:$B$150,'-ref_Distribution'!$G$146:$G$150)),RIGHT(AF$1,2))</f>
        <v>65</v>
      </c>
      <c r="AG69" s="16" cm="1">
        <f t="array" ref="AG69">INDEX(_xlfn.ANCHORARRAY(_xlfn.XLOOKUP($C69,'-ref_Distribution'!$B$146:$B$150,'-ref_Distribution'!$G$146:$G$150)),RIGHT(AG$1,2))</f>
        <v>80</v>
      </c>
      <c r="AH69" s="16" cm="1">
        <f t="array" ref="AH69">INDEX(_xlfn.ANCHORARRAY(_xlfn.XLOOKUP($C69,'-ref_Distribution'!$B$146:$B$150,'-ref_Distribution'!$G$146:$G$150)),RIGHT(AH$1,2))</f>
        <v>96</v>
      </c>
      <c r="AI69" s="16" cm="1">
        <f t="array" ref="AI69">INDEX(_xlfn.ANCHORARRAY(_xlfn.XLOOKUP($C69,'-ref_Distribution'!$B$146:$B$150,'-ref_Distribution'!$G$146:$G$150)),RIGHT(AI$1,2))</f>
        <v>111</v>
      </c>
      <c r="AJ69" s="16" cm="1">
        <f t="array" ref="AJ69">INDEX(_xlfn.ANCHORARRAY(_xlfn.XLOOKUP($C69,'-ref_Distribution'!$B$146:$B$150,'-ref_Distribution'!$G$146:$G$150)),RIGHT(AJ$1,2))</f>
        <v>125</v>
      </c>
      <c r="AK69" s="16" cm="1">
        <f t="array" ref="AK69">INDEX(_xlfn.ANCHORARRAY(_xlfn.XLOOKUP($C69,'-ref_Distribution'!$B$146:$B$150,'-ref_Distribution'!$G$146:$G$150)),RIGHT(AK$1,2))</f>
        <v>135</v>
      </c>
      <c r="AL69" s="16" cm="1">
        <f t="array" ref="AL69">INDEX(_xlfn.ANCHORARRAY(_xlfn.XLOOKUP($C69,'-ref_Distribution'!$B$146:$B$150,'-ref_Distribution'!$G$146:$G$150)),RIGHT(AL$1,2))</f>
        <v>142</v>
      </c>
      <c r="AM69" s="16" cm="1">
        <f t="array" ref="AM69">INDEX(_xlfn.ANCHORARRAY(_xlfn.XLOOKUP($C69,'-ref_Distribution'!$B$146:$B$150,'-ref_Distribution'!$G$146:$G$150)),RIGHT(AM$1,2))</f>
        <v>144</v>
      </c>
      <c r="AN69" s="16" cm="1">
        <f t="array" ref="AN69">INDEX(_xlfn.ANCHORARRAY(_xlfn.XLOOKUP($C69,'-ref_Distribution'!$B$146:$B$150,'-ref_Distribution'!$G$146:$G$150)),RIGHT(AN$1,2))</f>
        <v>142</v>
      </c>
      <c r="AO69" s="16" cm="1">
        <f t="array" ref="AO69">INDEX(_xlfn.ANCHORARRAY(_xlfn.XLOOKUP($C69,'-ref_Distribution'!$B$146:$B$150,'-ref_Distribution'!$G$146:$G$150)),RIGHT(AO$1,2))</f>
        <v>135</v>
      </c>
      <c r="AP69" s="16" cm="1">
        <f t="array" ref="AP69">INDEX(_xlfn.ANCHORARRAY(_xlfn.XLOOKUP($C69,'-ref_Distribution'!$B$146:$B$150,'-ref_Distribution'!$G$146:$G$150)),RIGHT(AP$1,2))</f>
        <v>125</v>
      </c>
      <c r="AQ69" s="16" cm="1">
        <f t="array" ref="AQ69">INDEX(_xlfn.ANCHORARRAY(_xlfn.XLOOKUP($C69,'-ref_Distribution'!$B$146:$B$150,'-ref_Distribution'!$G$146:$G$150)),RIGHT(AQ$1,2))</f>
        <v>111</v>
      </c>
      <c r="AR69" s="16" cm="1">
        <f t="array" ref="AR69">INDEX(_xlfn.ANCHORARRAY(_xlfn.XLOOKUP($C69,'-ref_Distribution'!$B$146:$B$150,'-ref_Distribution'!$G$146:$G$150)),RIGHT(AR$1,2))</f>
        <v>4</v>
      </c>
      <c r="AS69" s="16" cm="1">
        <f t="array" ref="AS69">INDEX(_xlfn.ANCHORARRAY(_xlfn.XLOOKUP($C69,'-ref_Distribution'!$B$146:$B$150,'-ref_Distribution'!$G$146:$G$150)),RIGHT(AS$1,2))</f>
        <v>6</v>
      </c>
      <c r="AT69" s="16" cm="1">
        <f t="array" ref="AT69">INDEX(_xlfn.ANCHORARRAY(_xlfn.XLOOKUP($C69,'-ref_Distribution'!$B$146:$B$150,'-ref_Distribution'!$G$146:$G$150)),RIGHT(AT$1,2))</f>
        <v>9</v>
      </c>
      <c r="AU69" s="16" cm="1">
        <f t="array" ref="AU69">INDEX(_xlfn.ANCHORARRAY(_xlfn.XLOOKUP($C69,'-ref_Distribution'!$B$146:$B$150,'-ref_Distribution'!$G$146:$G$150)),RIGHT(AU$1,2))</f>
        <v>14</v>
      </c>
      <c r="AV69" s="16" cm="1">
        <f t="array" ref="AV69">INDEX(_xlfn.ANCHORARRAY(_xlfn.XLOOKUP($C69,'-ref_Distribution'!$B$146:$B$150,'-ref_Distribution'!$G$146:$G$150)),RIGHT(AV$1,2))</f>
        <v>20</v>
      </c>
      <c r="AW69" s="16" cm="1">
        <f t="array" ref="AW69">INDEX(_xlfn.ANCHORARRAY(_xlfn.XLOOKUP($C69,'-ref_Distribution'!$B$146:$B$150,'-ref_Distribution'!$G$146:$G$150)),RIGHT(AW$1,2))</f>
        <v>28</v>
      </c>
      <c r="AX69" s="16" cm="1">
        <f t="array" ref="AX69">INDEX(_xlfn.ANCHORARRAY(_xlfn.XLOOKUP($C69,'-ref_Distribution'!$B$146:$B$150,'-ref_Distribution'!$G$146:$G$150)),RIGHT(AX$1,2))</f>
        <v>38</v>
      </c>
      <c r="AY69" s="16" cm="1">
        <f t="array" ref="AY69">INDEX(_xlfn.ANCHORARRAY(_xlfn.XLOOKUP($C69,'-ref_Distribution'!$B$146:$B$150,'-ref_Distribution'!$G$146:$G$150)),RIGHT(AY$1,2))</f>
        <v>51</v>
      </c>
      <c r="AZ69" s="16" cm="1">
        <f t="array" ref="AZ69">INDEX(_xlfn.ANCHORARRAY(_xlfn.XLOOKUP($C69,'-ref_Distribution'!$B$146:$B$150,'-ref_Distribution'!$G$146:$G$150)),RIGHT(AZ$1,2))</f>
        <v>65</v>
      </c>
      <c r="BA69" s="16" cm="1">
        <f t="array" ref="BA69">INDEX(_xlfn.ANCHORARRAY(_xlfn.XLOOKUP($C69,'-ref_Distribution'!$B$146:$B$150,'-ref_Distribution'!$G$146:$G$150)),RIGHT(BA$1,2))</f>
        <v>80</v>
      </c>
      <c r="BB69" s="16" cm="1">
        <f t="array" ref="BB69">INDEX(_xlfn.ANCHORARRAY(_xlfn.XLOOKUP($C69,'-ref_Distribution'!$B$146:$B$150,'-ref_Distribution'!$G$146:$G$150)),RIGHT(BB$1,2))</f>
        <v>96</v>
      </c>
      <c r="BC69" s="16" cm="1">
        <f t="array" ref="BC69">INDEX(_xlfn.ANCHORARRAY(_xlfn.XLOOKUP($C69,'-ref_Distribution'!$B$146:$B$150,'-ref_Distribution'!$G$146:$G$150)),RIGHT(BC$1,2))</f>
        <v>111</v>
      </c>
      <c r="BD69" s="16" cm="1">
        <f t="array" ref="BD69">INDEX(_xlfn.ANCHORARRAY(_xlfn.XLOOKUP($C69,'-ref_Distribution'!$B$146:$B$150,'-ref_Distribution'!$G$146:$G$150)),RIGHT(BD$1,2))</f>
        <v>125</v>
      </c>
      <c r="BE69" s="16" cm="1">
        <f t="array" ref="BE69">INDEX(_xlfn.ANCHORARRAY(_xlfn.XLOOKUP($C69,'-ref_Distribution'!$B$146:$B$150,'-ref_Distribution'!$G$146:$G$150)),RIGHT(BE$1,2))</f>
        <v>135</v>
      </c>
      <c r="BF69" s="16" cm="1">
        <f t="array" ref="BF69">INDEX(_xlfn.ANCHORARRAY(_xlfn.XLOOKUP($C69,'-ref_Distribution'!$B$146:$B$150,'-ref_Distribution'!$G$146:$G$150)),RIGHT(BF$1,2))</f>
        <v>142</v>
      </c>
      <c r="BG69" s="16" cm="1">
        <f t="array" ref="BG69">INDEX(_xlfn.ANCHORARRAY(_xlfn.XLOOKUP($C69,'-ref_Distribution'!$B$146:$B$150,'-ref_Distribution'!$G$146:$G$150)),RIGHT(BG$1,2))</f>
        <v>144</v>
      </c>
      <c r="BH69" s="16" cm="1">
        <f t="array" ref="BH69">INDEX(_xlfn.ANCHORARRAY(_xlfn.XLOOKUP($C69,'-ref_Distribution'!$B$146:$B$150,'-ref_Distribution'!$G$146:$G$150)),RIGHT(BH$1,2))</f>
        <v>142</v>
      </c>
      <c r="BI69" s="16" cm="1">
        <f t="array" ref="BI69">INDEX(_xlfn.ANCHORARRAY(_xlfn.XLOOKUP($C69,'-ref_Distribution'!$B$146:$B$150,'-ref_Distribution'!$G$146:$G$150)),RIGHT(BI$1,2))</f>
        <v>135</v>
      </c>
      <c r="BJ69" s="16" cm="1">
        <f t="array" ref="BJ69">INDEX(_xlfn.ANCHORARRAY(_xlfn.XLOOKUP($C69,'-ref_Distribution'!$B$146:$B$150,'-ref_Distribution'!$G$146:$G$150)),RIGHT(BJ$1,2))</f>
        <v>125</v>
      </c>
      <c r="BK69" s="16" cm="1">
        <f t="array" ref="BK69">INDEX(_xlfn.ANCHORARRAY(_xlfn.XLOOKUP($C69,'-ref_Distribution'!$B$146:$B$150,'-ref_Distribution'!$G$146:$G$150)),RIGHT(BK$1,2))</f>
        <v>111</v>
      </c>
      <c r="BL69" s="16" cm="1">
        <f t="array" ref="BL69">INDEX(_xlfn.ANCHORARRAY(_xlfn.XLOOKUP($C69,'-ref_Distribution'!$B$146:$B$150,'-ref_Distribution'!$G$146:$G$150)),RIGHT(BL$1,2))</f>
        <v>4</v>
      </c>
      <c r="BM69" s="16" cm="1">
        <f t="array" ref="BM69">INDEX(_xlfn.ANCHORARRAY(_xlfn.XLOOKUP($C69,'-ref_Distribution'!$B$146:$B$150,'-ref_Distribution'!$G$146:$G$150)),RIGHT(BM$1,2))</f>
        <v>6</v>
      </c>
      <c r="BN69" s="16" cm="1">
        <f t="array" ref="BN69">INDEX(_xlfn.ANCHORARRAY(_xlfn.XLOOKUP($C69,'-ref_Distribution'!$B$146:$B$150,'-ref_Distribution'!$G$146:$G$150)),RIGHT(BN$1,2))</f>
        <v>9</v>
      </c>
      <c r="BO69" s="16" cm="1">
        <f t="array" ref="BO69">INDEX(_xlfn.ANCHORARRAY(_xlfn.XLOOKUP($C69,'-ref_Distribution'!$B$146:$B$150,'-ref_Distribution'!$G$146:$G$150)),RIGHT(BO$1,2))</f>
        <v>14</v>
      </c>
      <c r="BP69" s="16" cm="1">
        <f t="array" ref="BP69">INDEX(_xlfn.ANCHORARRAY(_xlfn.XLOOKUP($C69,'-ref_Distribution'!$B$146:$B$150,'-ref_Distribution'!$G$146:$G$150)),RIGHT(BP$1,2))</f>
        <v>20</v>
      </c>
      <c r="BQ69" s="16" cm="1">
        <f t="array" ref="BQ69">INDEX(_xlfn.ANCHORARRAY(_xlfn.XLOOKUP($C69,'-ref_Distribution'!$B$146:$B$150,'-ref_Distribution'!$G$146:$G$150)),RIGHT(BQ$1,2))</f>
        <v>28</v>
      </c>
      <c r="BR69" s="16" cm="1">
        <f t="array" ref="BR69">INDEX(_xlfn.ANCHORARRAY(_xlfn.XLOOKUP($C69,'-ref_Distribution'!$B$146:$B$150,'-ref_Distribution'!$G$146:$G$150)),RIGHT(BR$1,2))</f>
        <v>38</v>
      </c>
      <c r="BS69" s="16" cm="1">
        <f t="array" ref="BS69">INDEX(_xlfn.ANCHORARRAY(_xlfn.XLOOKUP($C69,'-ref_Distribution'!$B$146:$B$150,'-ref_Distribution'!$G$146:$G$150)),RIGHT(BS$1,2))</f>
        <v>51</v>
      </c>
      <c r="BT69" s="16" cm="1">
        <f t="array" ref="BT69">INDEX(_xlfn.ANCHORARRAY(_xlfn.XLOOKUP($C69,'-ref_Distribution'!$B$146:$B$150,'-ref_Distribution'!$G$146:$G$150)),RIGHT(BT$1,2))</f>
        <v>65</v>
      </c>
      <c r="BU69" s="16" cm="1">
        <f t="array" ref="BU69">INDEX(_xlfn.ANCHORARRAY(_xlfn.XLOOKUP($C69,'-ref_Distribution'!$B$146:$B$150,'-ref_Distribution'!$G$146:$G$150)),RIGHT(BU$1,2))</f>
        <v>80</v>
      </c>
      <c r="BV69" s="16" cm="1">
        <f t="array" ref="BV69">INDEX(_xlfn.ANCHORARRAY(_xlfn.XLOOKUP($C69,'-ref_Distribution'!$B$146:$B$150,'-ref_Distribution'!$G$146:$G$150)),RIGHT(BV$1,2))</f>
        <v>96</v>
      </c>
      <c r="BW69" s="16" cm="1">
        <f t="array" ref="BW69">INDEX(_xlfn.ANCHORARRAY(_xlfn.XLOOKUP($C69,'-ref_Distribution'!$B$146:$B$150,'-ref_Distribution'!$G$146:$G$150)),RIGHT(BW$1,2))</f>
        <v>111</v>
      </c>
      <c r="BX69" s="16" cm="1">
        <f t="array" ref="BX69">INDEX(_xlfn.ANCHORARRAY(_xlfn.XLOOKUP($C69,'-ref_Distribution'!$B$146:$B$150,'-ref_Distribution'!$G$146:$G$150)),RIGHT(BX$1,2))</f>
        <v>125</v>
      </c>
      <c r="BY69" s="16" cm="1">
        <f t="array" ref="BY69">INDEX(_xlfn.ANCHORARRAY(_xlfn.XLOOKUP($C69,'-ref_Distribution'!$B$146:$B$150,'-ref_Distribution'!$G$146:$G$150)),RIGHT(BY$1,2))</f>
        <v>135</v>
      </c>
      <c r="BZ69" s="16" cm="1">
        <f t="array" ref="BZ69">INDEX(_xlfn.ANCHORARRAY(_xlfn.XLOOKUP($C69,'-ref_Distribution'!$B$146:$B$150,'-ref_Distribution'!$G$146:$G$150)),RIGHT(BZ$1,2))</f>
        <v>142</v>
      </c>
      <c r="CA69" s="16" cm="1">
        <f t="array" ref="CA69">INDEX(_xlfn.ANCHORARRAY(_xlfn.XLOOKUP($C69,'-ref_Distribution'!$B$146:$B$150,'-ref_Distribution'!$G$146:$G$150)),RIGHT(CA$1,2))</f>
        <v>144</v>
      </c>
      <c r="CB69" s="16" cm="1">
        <f t="array" ref="CB69">INDEX(_xlfn.ANCHORARRAY(_xlfn.XLOOKUP($C69,'-ref_Distribution'!$B$146:$B$150,'-ref_Distribution'!$G$146:$G$150)),RIGHT(CB$1,2))</f>
        <v>142</v>
      </c>
      <c r="CC69" s="16" cm="1">
        <f t="array" ref="CC69">INDEX(_xlfn.ANCHORARRAY(_xlfn.XLOOKUP($C69,'-ref_Distribution'!$B$146:$B$150,'-ref_Distribution'!$G$146:$G$150)),RIGHT(CC$1,2))</f>
        <v>135</v>
      </c>
      <c r="CD69" s="16" cm="1">
        <f t="array" ref="CD69">INDEX(_xlfn.ANCHORARRAY(_xlfn.XLOOKUP($C69,'-ref_Distribution'!$B$146:$B$150,'-ref_Distribution'!$G$146:$G$150)),RIGHT(CD$1,2))</f>
        <v>125</v>
      </c>
      <c r="CE69" s="16" cm="1">
        <f t="array" ref="CE69">INDEX(_xlfn.ANCHORARRAY(_xlfn.XLOOKUP($C69,'-ref_Distribution'!$B$146:$B$150,'-ref_Distribution'!$G$146:$G$150)),RIGHT(CE$1,2))</f>
        <v>111</v>
      </c>
    </row>
    <row r="70" spans="1:83" x14ac:dyDescent="0.2">
      <c r="A70" s="16">
        <v>310219</v>
      </c>
      <c r="B70" s="16" t="s">
        <v>417</v>
      </c>
      <c r="C70" s="16">
        <v>3</v>
      </c>
      <c r="D70" s="16" cm="1">
        <f t="array" ref="D70">INDEX(_xlfn.ANCHORARRAY(_xlfn.XLOOKUP($C70,'-ref_Distribution'!$B$146:$B$150,'-ref_Distribution'!$G$146:$G$150)),RIGHT(D$1,2))</f>
        <v>4</v>
      </c>
      <c r="E70" s="16" cm="1">
        <f t="array" ref="E70">INDEX(_xlfn.ANCHORARRAY(_xlfn.XLOOKUP($C70,'-ref_Distribution'!$B$146:$B$150,'-ref_Distribution'!$G$146:$G$150)),RIGHT(E$1,2))</f>
        <v>6</v>
      </c>
      <c r="F70" s="16" cm="1">
        <f t="array" ref="F70">INDEX(_xlfn.ANCHORARRAY(_xlfn.XLOOKUP($C70,'-ref_Distribution'!$B$146:$B$150,'-ref_Distribution'!$G$146:$G$150)),RIGHT(F$1,2))</f>
        <v>9</v>
      </c>
      <c r="G70" s="16" cm="1">
        <f t="array" ref="G70">INDEX(_xlfn.ANCHORARRAY(_xlfn.XLOOKUP($C70,'-ref_Distribution'!$B$146:$B$150,'-ref_Distribution'!$G$146:$G$150)),RIGHT(G$1,2))</f>
        <v>14</v>
      </c>
      <c r="H70" s="16" cm="1">
        <f t="array" ref="H70">INDEX(_xlfn.ANCHORARRAY(_xlfn.XLOOKUP($C70,'-ref_Distribution'!$B$146:$B$150,'-ref_Distribution'!$G$146:$G$150)),RIGHT(H$1,2))</f>
        <v>20</v>
      </c>
      <c r="I70" s="16" cm="1">
        <f t="array" ref="I70">INDEX(_xlfn.ANCHORARRAY(_xlfn.XLOOKUP($C70,'-ref_Distribution'!$B$146:$B$150,'-ref_Distribution'!$G$146:$G$150)),RIGHT(I$1,2))</f>
        <v>28</v>
      </c>
      <c r="J70" s="16" cm="1">
        <f t="array" ref="J70">INDEX(_xlfn.ANCHORARRAY(_xlfn.XLOOKUP($C70,'-ref_Distribution'!$B$146:$B$150,'-ref_Distribution'!$G$146:$G$150)),RIGHT(J$1,2))</f>
        <v>38</v>
      </c>
      <c r="K70" s="16" cm="1">
        <f t="array" ref="K70">INDEX(_xlfn.ANCHORARRAY(_xlfn.XLOOKUP($C70,'-ref_Distribution'!$B$146:$B$150,'-ref_Distribution'!$G$146:$G$150)),RIGHT(K$1,2))</f>
        <v>51</v>
      </c>
      <c r="L70" s="16" cm="1">
        <f t="array" ref="L70">INDEX(_xlfn.ANCHORARRAY(_xlfn.XLOOKUP($C70,'-ref_Distribution'!$B$146:$B$150,'-ref_Distribution'!$G$146:$G$150)),RIGHT(L$1,2))</f>
        <v>65</v>
      </c>
      <c r="M70" s="16" cm="1">
        <f t="array" ref="M70">INDEX(_xlfn.ANCHORARRAY(_xlfn.XLOOKUP($C70,'-ref_Distribution'!$B$146:$B$150,'-ref_Distribution'!$G$146:$G$150)),RIGHT(M$1,2))</f>
        <v>80</v>
      </c>
      <c r="N70" s="16" cm="1">
        <f t="array" ref="N70">INDEX(_xlfn.ANCHORARRAY(_xlfn.XLOOKUP($C70,'-ref_Distribution'!$B$146:$B$150,'-ref_Distribution'!$G$146:$G$150)),RIGHT(N$1,2))</f>
        <v>96</v>
      </c>
      <c r="O70" s="16" cm="1">
        <f t="array" ref="O70">INDEX(_xlfn.ANCHORARRAY(_xlfn.XLOOKUP($C70,'-ref_Distribution'!$B$146:$B$150,'-ref_Distribution'!$G$146:$G$150)),RIGHT(O$1,2))</f>
        <v>111</v>
      </c>
      <c r="P70" s="16" cm="1">
        <f t="array" ref="P70">INDEX(_xlfn.ANCHORARRAY(_xlfn.XLOOKUP($C70,'-ref_Distribution'!$B$146:$B$150,'-ref_Distribution'!$G$146:$G$150)),RIGHT(P$1,2))</f>
        <v>125</v>
      </c>
      <c r="Q70" s="16" cm="1">
        <f t="array" ref="Q70">INDEX(_xlfn.ANCHORARRAY(_xlfn.XLOOKUP($C70,'-ref_Distribution'!$B$146:$B$150,'-ref_Distribution'!$G$146:$G$150)),RIGHT(Q$1,2))</f>
        <v>135</v>
      </c>
      <c r="R70" s="16" cm="1">
        <f t="array" ref="R70">INDEX(_xlfn.ANCHORARRAY(_xlfn.XLOOKUP($C70,'-ref_Distribution'!$B$146:$B$150,'-ref_Distribution'!$G$146:$G$150)),RIGHT(R$1,2))</f>
        <v>142</v>
      </c>
      <c r="S70" s="16" cm="1">
        <f t="array" ref="S70">INDEX(_xlfn.ANCHORARRAY(_xlfn.XLOOKUP($C70,'-ref_Distribution'!$B$146:$B$150,'-ref_Distribution'!$G$146:$G$150)),RIGHT(S$1,2))</f>
        <v>144</v>
      </c>
      <c r="T70" s="16" cm="1">
        <f t="array" ref="T70">INDEX(_xlfn.ANCHORARRAY(_xlfn.XLOOKUP($C70,'-ref_Distribution'!$B$146:$B$150,'-ref_Distribution'!$G$146:$G$150)),RIGHT(T$1,2))</f>
        <v>142</v>
      </c>
      <c r="U70" s="16" cm="1">
        <f t="array" ref="U70">INDEX(_xlfn.ANCHORARRAY(_xlfn.XLOOKUP($C70,'-ref_Distribution'!$B$146:$B$150,'-ref_Distribution'!$G$146:$G$150)),RIGHT(U$1,2))</f>
        <v>135</v>
      </c>
      <c r="V70" s="16" cm="1">
        <f t="array" ref="V70">INDEX(_xlfn.ANCHORARRAY(_xlfn.XLOOKUP($C70,'-ref_Distribution'!$B$146:$B$150,'-ref_Distribution'!$G$146:$G$150)),RIGHT(V$1,2))</f>
        <v>125</v>
      </c>
      <c r="W70" s="16" cm="1">
        <f t="array" ref="W70">INDEX(_xlfn.ANCHORARRAY(_xlfn.XLOOKUP($C70,'-ref_Distribution'!$B$146:$B$150,'-ref_Distribution'!$G$146:$G$150)),RIGHT(W$1,2))</f>
        <v>111</v>
      </c>
      <c r="X70" s="16" cm="1">
        <f t="array" ref="X70">INDEX(_xlfn.ANCHORARRAY(_xlfn.XLOOKUP($C70,'-ref_Distribution'!$B$146:$B$150,'-ref_Distribution'!$G$146:$G$150)),RIGHT(X$1,2))</f>
        <v>4</v>
      </c>
      <c r="Y70" s="16" cm="1">
        <f t="array" ref="Y70">INDEX(_xlfn.ANCHORARRAY(_xlfn.XLOOKUP($C70,'-ref_Distribution'!$B$146:$B$150,'-ref_Distribution'!$G$146:$G$150)),RIGHT(Y$1,2))</f>
        <v>6</v>
      </c>
      <c r="Z70" s="16" cm="1">
        <f t="array" ref="Z70">INDEX(_xlfn.ANCHORARRAY(_xlfn.XLOOKUP($C70,'-ref_Distribution'!$B$146:$B$150,'-ref_Distribution'!$G$146:$G$150)),RIGHT(Z$1,2))</f>
        <v>9</v>
      </c>
      <c r="AA70" s="16" cm="1">
        <f t="array" ref="AA70">INDEX(_xlfn.ANCHORARRAY(_xlfn.XLOOKUP($C70,'-ref_Distribution'!$B$146:$B$150,'-ref_Distribution'!$G$146:$G$150)),RIGHT(AA$1,2))</f>
        <v>14</v>
      </c>
      <c r="AB70" s="16" cm="1">
        <f t="array" ref="AB70">INDEX(_xlfn.ANCHORARRAY(_xlfn.XLOOKUP($C70,'-ref_Distribution'!$B$146:$B$150,'-ref_Distribution'!$G$146:$G$150)),RIGHT(AB$1,2))</f>
        <v>20</v>
      </c>
      <c r="AC70" s="16" cm="1">
        <f t="array" ref="AC70">INDEX(_xlfn.ANCHORARRAY(_xlfn.XLOOKUP($C70,'-ref_Distribution'!$B$146:$B$150,'-ref_Distribution'!$G$146:$G$150)),RIGHT(AC$1,2))</f>
        <v>28</v>
      </c>
      <c r="AD70" s="16" cm="1">
        <f t="array" ref="AD70">INDEX(_xlfn.ANCHORARRAY(_xlfn.XLOOKUP($C70,'-ref_Distribution'!$B$146:$B$150,'-ref_Distribution'!$G$146:$G$150)),RIGHT(AD$1,2))</f>
        <v>38</v>
      </c>
      <c r="AE70" s="16" cm="1">
        <f t="array" ref="AE70">INDEX(_xlfn.ANCHORARRAY(_xlfn.XLOOKUP($C70,'-ref_Distribution'!$B$146:$B$150,'-ref_Distribution'!$G$146:$G$150)),RIGHT(AE$1,2))</f>
        <v>51</v>
      </c>
      <c r="AF70" s="16" cm="1">
        <f t="array" ref="AF70">INDEX(_xlfn.ANCHORARRAY(_xlfn.XLOOKUP($C70,'-ref_Distribution'!$B$146:$B$150,'-ref_Distribution'!$G$146:$G$150)),RIGHT(AF$1,2))</f>
        <v>65</v>
      </c>
      <c r="AG70" s="16" cm="1">
        <f t="array" ref="AG70">INDEX(_xlfn.ANCHORARRAY(_xlfn.XLOOKUP($C70,'-ref_Distribution'!$B$146:$B$150,'-ref_Distribution'!$G$146:$G$150)),RIGHT(AG$1,2))</f>
        <v>80</v>
      </c>
      <c r="AH70" s="16" cm="1">
        <f t="array" ref="AH70">INDEX(_xlfn.ANCHORARRAY(_xlfn.XLOOKUP($C70,'-ref_Distribution'!$B$146:$B$150,'-ref_Distribution'!$G$146:$G$150)),RIGHT(AH$1,2))</f>
        <v>96</v>
      </c>
      <c r="AI70" s="16" cm="1">
        <f t="array" ref="AI70">INDEX(_xlfn.ANCHORARRAY(_xlfn.XLOOKUP($C70,'-ref_Distribution'!$B$146:$B$150,'-ref_Distribution'!$G$146:$G$150)),RIGHT(AI$1,2))</f>
        <v>111</v>
      </c>
      <c r="AJ70" s="16" cm="1">
        <f t="array" ref="AJ70">INDEX(_xlfn.ANCHORARRAY(_xlfn.XLOOKUP($C70,'-ref_Distribution'!$B$146:$B$150,'-ref_Distribution'!$G$146:$G$150)),RIGHT(AJ$1,2))</f>
        <v>125</v>
      </c>
      <c r="AK70" s="16" cm="1">
        <f t="array" ref="AK70">INDEX(_xlfn.ANCHORARRAY(_xlfn.XLOOKUP($C70,'-ref_Distribution'!$B$146:$B$150,'-ref_Distribution'!$G$146:$G$150)),RIGHT(AK$1,2))</f>
        <v>135</v>
      </c>
      <c r="AL70" s="16" cm="1">
        <f t="array" ref="AL70">INDEX(_xlfn.ANCHORARRAY(_xlfn.XLOOKUP($C70,'-ref_Distribution'!$B$146:$B$150,'-ref_Distribution'!$G$146:$G$150)),RIGHT(AL$1,2))</f>
        <v>142</v>
      </c>
      <c r="AM70" s="16" cm="1">
        <f t="array" ref="AM70">INDEX(_xlfn.ANCHORARRAY(_xlfn.XLOOKUP($C70,'-ref_Distribution'!$B$146:$B$150,'-ref_Distribution'!$G$146:$G$150)),RIGHT(AM$1,2))</f>
        <v>144</v>
      </c>
      <c r="AN70" s="16" cm="1">
        <f t="array" ref="AN70">INDEX(_xlfn.ANCHORARRAY(_xlfn.XLOOKUP($C70,'-ref_Distribution'!$B$146:$B$150,'-ref_Distribution'!$G$146:$G$150)),RIGHT(AN$1,2))</f>
        <v>142</v>
      </c>
      <c r="AO70" s="16" cm="1">
        <f t="array" ref="AO70">INDEX(_xlfn.ANCHORARRAY(_xlfn.XLOOKUP($C70,'-ref_Distribution'!$B$146:$B$150,'-ref_Distribution'!$G$146:$G$150)),RIGHT(AO$1,2))</f>
        <v>135</v>
      </c>
      <c r="AP70" s="16" cm="1">
        <f t="array" ref="AP70">INDEX(_xlfn.ANCHORARRAY(_xlfn.XLOOKUP($C70,'-ref_Distribution'!$B$146:$B$150,'-ref_Distribution'!$G$146:$G$150)),RIGHT(AP$1,2))</f>
        <v>125</v>
      </c>
      <c r="AQ70" s="16" cm="1">
        <f t="array" ref="AQ70">INDEX(_xlfn.ANCHORARRAY(_xlfn.XLOOKUP($C70,'-ref_Distribution'!$B$146:$B$150,'-ref_Distribution'!$G$146:$G$150)),RIGHT(AQ$1,2))</f>
        <v>111</v>
      </c>
      <c r="AR70" s="16" cm="1">
        <f t="array" ref="AR70">INDEX(_xlfn.ANCHORARRAY(_xlfn.XLOOKUP($C70,'-ref_Distribution'!$B$146:$B$150,'-ref_Distribution'!$G$146:$G$150)),RIGHT(AR$1,2))</f>
        <v>4</v>
      </c>
      <c r="AS70" s="16" cm="1">
        <f t="array" ref="AS70">INDEX(_xlfn.ANCHORARRAY(_xlfn.XLOOKUP($C70,'-ref_Distribution'!$B$146:$B$150,'-ref_Distribution'!$G$146:$G$150)),RIGHT(AS$1,2))</f>
        <v>6</v>
      </c>
      <c r="AT70" s="16" cm="1">
        <f t="array" ref="AT70">INDEX(_xlfn.ANCHORARRAY(_xlfn.XLOOKUP($C70,'-ref_Distribution'!$B$146:$B$150,'-ref_Distribution'!$G$146:$G$150)),RIGHT(AT$1,2))</f>
        <v>9</v>
      </c>
      <c r="AU70" s="16" cm="1">
        <f t="array" ref="AU70">INDEX(_xlfn.ANCHORARRAY(_xlfn.XLOOKUP($C70,'-ref_Distribution'!$B$146:$B$150,'-ref_Distribution'!$G$146:$G$150)),RIGHT(AU$1,2))</f>
        <v>14</v>
      </c>
      <c r="AV70" s="16" cm="1">
        <f t="array" ref="AV70">INDEX(_xlfn.ANCHORARRAY(_xlfn.XLOOKUP($C70,'-ref_Distribution'!$B$146:$B$150,'-ref_Distribution'!$G$146:$G$150)),RIGHT(AV$1,2))</f>
        <v>20</v>
      </c>
      <c r="AW70" s="16" cm="1">
        <f t="array" ref="AW70">INDEX(_xlfn.ANCHORARRAY(_xlfn.XLOOKUP($C70,'-ref_Distribution'!$B$146:$B$150,'-ref_Distribution'!$G$146:$G$150)),RIGHT(AW$1,2))</f>
        <v>28</v>
      </c>
      <c r="AX70" s="16" cm="1">
        <f t="array" ref="AX70">INDEX(_xlfn.ANCHORARRAY(_xlfn.XLOOKUP($C70,'-ref_Distribution'!$B$146:$B$150,'-ref_Distribution'!$G$146:$G$150)),RIGHT(AX$1,2))</f>
        <v>38</v>
      </c>
      <c r="AY70" s="16" cm="1">
        <f t="array" ref="AY70">INDEX(_xlfn.ANCHORARRAY(_xlfn.XLOOKUP($C70,'-ref_Distribution'!$B$146:$B$150,'-ref_Distribution'!$G$146:$G$150)),RIGHT(AY$1,2))</f>
        <v>51</v>
      </c>
      <c r="AZ70" s="16" cm="1">
        <f t="array" ref="AZ70">INDEX(_xlfn.ANCHORARRAY(_xlfn.XLOOKUP($C70,'-ref_Distribution'!$B$146:$B$150,'-ref_Distribution'!$G$146:$G$150)),RIGHT(AZ$1,2))</f>
        <v>65</v>
      </c>
      <c r="BA70" s="16" cm="1">
        <f t="array" ref="BA70">INDEX(_xlfn.ANCHORARRAY(_xlfn.XLOOKUP($C70,'-ref_Distribution'!$B$146:$B$150,'-ref_Distribution'!$G$146:$G$150)),RIGHT(BA$1,2))</f>
        <v>80</v>
      </c>
      <c r="BB70" s="16" cm="1">
        <f t="array" ref="BB70">INDEX(_xlfn.ANCHORARRAY(_xlfn.XLOOKUP($C70,'-ref_Distribution'!$B$146:$B$150,'-ref_Distribution'!$G$146:$G$150)),RIGHT(BB$1,2))</f>
        <v>96</v>
      </c>
      <c r="BC70" s="16" cm="1">
        <f t="array" ref="BC70">INDEX(_xlfn.ANCHORARRAY(_xlfn.XLOOKUP($C70,'-ref_Distribution'!$B$146:$B$150,'-ref_Distribution'!$G$146:$G$150)),RIGHT(BC$1,2))</f>
        <v>111</v>
      </c>
      <c r="BD70" s="16" cm="1">
        <f t="array" ref="BD70">INDEX(_xlfn.ANCHORARRAY(_xlfn.XLOOKUP($C70,'-ref_Distribution'!$B$146:$B$150,'-ref_Distribution'!$G$146:$G$150)),RIGHT(BD$1,2))</f>
        <v>125</v>
      </c>
      <c r="BE70" s="16" cm="1">
        <f t="array" ref="BE70">INDEX(_xlfn.ANCHORARRAY(_xlfn.XLOOKUP($C70,'-ref_Distribution'!$B$146:$B$150,'-ref_Distribution'!$G$146:$G$150)),RIGHT(BE$1,2))</f>
        <v>135</v>
      </c>
      <c r="BF70" s="16" cm="1">
        <f t="array" ref="BF70">INDEX(_xlfn.ANCHORARRAY(_xlfn.XLOOKUP($C70,'-ref_Distribution'!$B$146:$B$150,'-ref_Distribution'!$G$146:$G$150)),RIGHT(BF$1,2))</f>
        <v>142</v>
      </c>
      <c r="BG70" s="16" cm="1">
        <f t="array" ref="BG70">INDEX(_xlfn.ANCHORARRAY(_xlfn.XLOOKUP($C70,'-ref_Distribution'!$B$146:$B$150,'-ref_Distribution'!$G$146:$G$150)),RIGHT(BG$1,2))</f>
        <v>144</v>
      </c>
      <c r="BH70" s="16" cm="1">
        <f t="array" ref="BH70">INDEX(_xlfn.ANCHORARRAY(_xlfn.XLOOKUP($C70,'-ref_Distribution'!$B$146:$B$150,'-ref_Distribution'!$G$146:$G$150)),RIGHT(BH$1,2))</f>
        <v>142</v>
      </c>
      <c r="BI70" s="16" cm="1">
        <f t="array" ref="BI70">INDEX(_xlfn.ANCHORARRAY(_xlfn.XLOOKUP($C70,'-ref_Distribution'!$B$146:$B$150,'-ref_Distribution'!$G$146:$G$150)),RIGHT(BI$1,2))</f>
        <v>135</v>
      </c>
      <c r="BJ70" s="16" cm="1">
        <f t="array" ref="BJ70">INDEX(_xlfn.ANCHORARRAY(_xlfn.XLOOKUP($C70,'-ref_Distribution'!$B$146:$B$150,'-ref_Distribution'!$G$146:$G$150)),RIGHT(BJ$1,2))</f>
        <v>125</v>
      </c>
      <c r="BK70" s="16" cm="1">
        <f t="array" ref="BK70">INDEX(_xlfn.ANCHORARRAY(_xlfn.XLOOKUP($C70,'-ref_Distribution'!$B$146:$B$150,'-ref_Distribution'!$G$146:$G$150)),RIGHT(BK$1,2))</f>
        <v>111</v>
      </c>
      <c r="BL70" s="16" cm="1">
        <f t="array" ref="BL70">INDEX(_xlfn.ANCHORARRAY(_xlfn.XLOOKUP($C70,'-ref_Distribution'!$B$146:$B$150,'-ref_Distribution'!$G$146:$G$150)),RIGHT(BL$1,2))</f>
        <v>4</v>
      </c>
      <c r="BM70" s="16" cm="1">
        <f t="array" ref="BM70">INDEX(_xlfn.ANCHORARRAY(_xlfn.XLOOKUP($C70,'-ref_Distribution'!$B$146:$B$150,'-ref_Distribution'!$G$146:$G$150)),RIGHT(BM$1,2))</f>
        <v>6</v>
      </c>
      <c r="BN70" s="16" cm="1">
        <f t="array" ref="BN70">INDEX(_xlfn.ANCHORARRAY(_xlfn.XLOOKUP($C70,'-ref_Distribution'!$B$146:$B$150,'-ref_Distribution'!$G$146:$G$150)),RIGHT(BN$1,2))</f>
        <v>9</v>
      </c>
      <c r="BO70" s="16" cm="1">
        <f t="array" ref="BO70">INDEX(_xlfn.ANCHORARRAY(_xlfn.XLOOKUP($C70,'-ref_Distribution'!$B$146:$B$150,'-ref_Distribution'!$G$146:$G$150)),RIGHT(BO$1,2))</f>
        <v>14</v>
      </c>
      <c r="BP70" s="16" cm="1">
        <f t="array" ref="BP70">INDEX(_xlfn.ANCHORARRAY(_xlfn.XLOOKUP($C70,'-ref_Distribution'!$B$146:$B$150,'-ref_Distribution'!$G$146:$G$150)),RIGHT(BP$1,2))</f>
        <v>20</v>
      </c>
      <c r="BQ70" s="16" cm="1">
        <f t="array" ref="BQ70">INDEX(_xlfn.ANCHORARRAY(_xlfn.XLOOKUP($C70,'-ref_Distribution'!$B$146:$B$150,'-ref_Distribution'!$G$146:$G$150)),RIGHT(BQ$1,2))</f>
        <v>28</v>
      </c>
      <c r="BR70" s="16" cm="1">
        <f t="array" ref="BR70">INDEX(_xlfn.ANCHORARRAY(_xlfn.XLOOKUP($C70,'-ref_Distribution'!$B$146:$B$150,'-ref_Distribution'!$G$146:$G$150)),RIGHT(BR$1,2))</f>
        <v>38</v>
      </c>
      <c r="BS70" s="16" cm="1">
        <f t="array" ref="BS70">INDEX(_xlfn.ANCHORARRAY(_xlfn.XLOOKUP($C70,'-ref_Distribution'!$B$146:$B$150,'-ref_Distribution'!$G$146:$G$150)),RIGHT(BS$1,2))</f>
        <v>51</v>
      </c>
      <c r="BT70" s="16" cm="1">
        <f t="array" ref="BT70">INDEX(_xlfn.ANCHORARRAY(_xlfn.XLOOKUP($C70,'-ref_Distribution'!$B$146:$B$150,'-ref_Distribution'!$G$146:$G$150)),RIGHT(BT$1,2))</f>
        <v>65</v>
      </c>
      <c r="BU70" s="16" cm="1">
        <f t="array" ref="BU70">INDEX(_xlfn.ANCHORARRAY(_xlfn.XLOOKUP($C70,'-ref_Distribution'!$B$146:$B$150,'-ref_Distribution'!$G$146:$G$150)),RIGHT(BU$1,2))</f>
        <v>80</v>
      </c>
      <c r="BV70" s="16" cm="1">
        <f t="array" ref="BV70">INDEX(_xlfn.ANCHORARRAY(_xlfn.XLOOKUP($C70,'-ref_Distribution'!$B$146:$B$150,'-ref_Distribution'!$G$146:$G$150)),RIGHT(BV$1,2))</f>
        <v>96</v>
      </c>
      <c r="BW70" s="16" cm="1">
        <f t="array" ref="BW70">INDEX(_xlfn.ANCHORARRAY(_xlfn.XLOOKUP($C70,'-ref_Distribution'!$B$146:$B$150,'-ref_Distribution'!$G$146:$G$150)),RIGHT(BW$1,2))</f>
        <v>111</v>
      </c>
      <c r="BX70" s="16" cm="1">
        <f t="array" ref="BX70">INDEX(_xlfn.ANCHORARRAY(_xlfn.XLOOKUP($C70,'-ref_Distribution'!$B$146:$B$150,'-ref_Distribution'!$G$146:$G$150)),RIGHT(BX$1,2))</f>
        <v>125</v>
      </c>
      <c r="BY70" s="16" cm="1">
        <f t="array" ref="BY70">INDEX(_xlfn.ANCHORARRAY(_xlfn.XLOOKUP($C70,'-ref_Distribution'!$B$146:$B$150,'-ref_Distribution'!$G$146:$G$150)),RIGHT(BY$1,2))</f>
        <v>135</v>
      </c>
      <c r="BZ70" s="16" cm="1">
        <f t="array" ref="BZ70">INDEX(_xlfn.ANCHORARRAY(_xlfn.XLOOKUP($C70,'-ref_Distribution'!$B$146:$B$150,'-ref_Distribution'!$G$146:$G$150)),RIGHT(BZ$1,2))</f>
        <v>142</v>
      </c>
      <c r="CA70" s="16" cm="1">
        <f t="array" ref="CA70">INDEX(_xlfn.ANCHORARRAY(_xlfn.XLOOKUP($C70,'-ref_Distribution'!$B$146:$B$150,'-ref_Distribution'!$G$146:$G$150)),RIGHT(CA$1,2))</f>
        <v>144</v>
      </c>
      <c r="CB70" s="16" cm="1">
        <f t="array" ref="CB70">INDEX(_xlfn.ANCHORARRAY(_xlfn.XLOOKUP($C70,'-ref_Distribution'!$B$146:$B$150,'-ref_Distribution'!$G$146:$G$150)),RIGHT(CB$1,2))</f>
        <v>142</v>
      </c>
      <c r="CC70" s="16" cm="1">
        <f t="array" ref="CC70">INDEX(_xlfn.ANCHORARRAY(_xlfn.XLOOKUP($C70,'-ref_Distribution'!$B$146:$B$150,'-ref_Distribution'!$G$146:$G$150)),RIGHT(CC$1,2))</f>
        <v>135</v>
      </c>
      <c r="CD70" s="16" cm="1">
        <f t="array" ref="CD70">INDEX(_xlfn.ANCHORARRAY(_xlfn.XLOOKUP($C70,'-ref_Distribution'!$B$146:$B$150,'-ref_Distribution'!$G$146:$G$150)),RIGHT(CD$1,2))</f>
        <v>125</v>
      </c>
      <c r="CE70" s="16" cm="1">
        <f t="array" ref="CE70">INDEX(_xlfn.ANCHORARRAY(_xlfn.XLOOKUP($C70,'-ref_Distribution'!$B$146:$B$150,'-ref_Distribution'!$G$146:$G$150)),RIGHT(CE$1,2))</f>
        <v>111</v>
      </c>
    </row>
    <row r="71" spans="1:83" x14ac:dyDescent="0.2">
      <c r="A71" s="16">
        <v>310223</v>
      </c>
      <c r="B71" s="16" t="s">
        <v>376</v>
      </c>
      <c r="C71" s="16">
        <v>3</v>
      </c>
      <c r="D71" s="16" cm="1">
        <f t="array" ref="D71">INDEX(_xlfn.ANCHORARRAY(_xlfn.XLOOKUP($C71,'-ref_Distribution'!$B$146:$B$150,'-ref_Distribution'!$G$146:$G$150)),RIGHT(D$1,2))</f>
        <v>4</v>
      </c>
      <c r="E71" s="16" cm="1">
        <f t="array" ref="E71">INDEX(_xlfn.ANCHORARRAY(_xlfn.XLOOKUP($C71,'-ref_Distribution'!$B$146:$B$150,'-ref_Distribution'!$G$146:$G$150)),RIGHT(E$1,2))</f>
        <v>6</v>
      </c>
      <c r="F71" s="16" cm="1">
        <f t="array" ref="F71">INDEX(_xlfn.ANCHORARRAY(_xlfn.XLOOKUP($C71,'-ref_Distribution'!$B$146:$B$150,'-ref_Distribution'!$G$146:$G$150)),RIGHT(F$1,2))</f>
        <v>9</v>
      </c>
      <c r="G71" s="16" cm="1">
        <f t="array" ref="G71">INDEX(_xlfn.ANCHORARRAY(_xlfn.XLOOKUP($C71,'-ref_Distribution'!$B$146:$B$150,'-ref_Distribution'!$G$146:$G$150)),RIGHT(G$1,2))</f>
        <v>14</v>
      </c>
      <c r="H71" s="16" cm="1">
        <f t="array" ref="H71">INDEX(_xlfn.ANCHORARRAY(_xlfn.XLOOKUP($C71,'-ref_Distribution'!$B$146:$B$150,'-ref_Distribution'!$G$146:$G$150)),RIGHT(H$1,2))</f>
        <v>20</v>
      </c>
      <c r="I71" s="16" cm="1">
        <f t="array" ref="I71">INDEX(_xlfn.ANCHORARRAY(_xlfn.XLOOKUP($C71,'-ref_Distribution'!$B$146:$B$150,'-ref_Distribution'!$G$146:$G$150)),RIGHT(I$1,2))</f>
        <v>28</v>
      </c>
      <c r="J71" s="16" cm="1">
        <f t="array" ref="J71">INDEX(_xlfn.ANCHORARRAY(_xlfn.XLOOKUP($C71,'-ref_Distribution'!$B$146:$B$150,'-ref_Distribution'!$G$146:$G$150)),RIGHT(J$1,2))</f>
        <v>38</v>
      </c>
      <c r="K71" s="16" cm="1">
        <f t="array" ref="K71">INDEX(_xlfn.ANCHORARRAY(_xlfn.XLOOKUP($C71,'-ref_Distribution'!$B$146:$B$150,'-ref_Distribution'!$G$146:$G$150)),RIGHT(K$1,2))</f>
        <v>51</v>
      </c>
      <c r="L71" s="16" cm="1">
        <f t="array" ref="L71">INDEX(_xlfn.ANCHORARRAY(_xlfn.XLOOKUP($C71,'-ref_Distribution'!$B$146:$B$150,'-ref_Distribution'!$G$146:$G$150)),RIGHT(L$1,2))</f>
        <v>65</v>
      </c>
      <c r="M71" s="16" cm="1">
        <f t="array" ref="M71">INDEX(_xlfn.ANCHORARRAY(_xlfn.XLOOKUP($C71,'-ref_Distribution'!$B$146:$B$150,'-ref_Distribution'!$G$146:$G$150)),RIGHT(M$1,2))</f>
        <v>80</v>
      </c>
      <c r="N71" s="16" cm="1">
        <f t="array" ref="N71">INDEX(_xlfn.ANCHORARRAY(_xlfn.XLOOKUP($C71,'-ref_Distribution'!$B$146:$B$150,'-ref_Distribution'!$G$146:$G$150)),RIGHT(N$1,2))</f>
        <v>96</v>
      </c>
      <c r="O71" s="16" cm="1">
        <f t="array" ref="O71">INDEX(_xlfn.ANCHORARRAY(_xlfn.XLOOKUP($C71,'-ref_Distribution'!$B$146:$B$150,'-ref_Distribution'!$G$146:$G$150)),RIGHT(O$1,2))</f>
        <v>111</v>
      </c>
      <c r="P71" s="16" cm="1">
        <f t="array" ref="P71">INDEX(_xlfn.ANCHORARRAY(_xlfn.XLOOKUP($C71,'-ref_Distribution'!$B$146:$B$150,'-ref_Distribution'!$G$146:$G$150)),RIGHT(P$1,2))</f>
        <v>125</v>
      </c>
      <c r="Q71" s="16" cm="1">
        <f t="array" ref="Q71">INDEX(_xlfn.ANCHORARRAY(_xlfn.XLOOKUP($C71,'-ref_Distribution'!$B$146:$B$150,'-ref_Distribution'!$G$146:$G$150)),RIGHT(Q$1,2))</f>
        <v>135</v>
      </c>
      <c r="R71" s="16" cm="1">
        <f t="array" ref="R71">INDEX(_xlfn.ANCHORARRAY(_xlfn.XLOOKUP($C71,'-ref_Distribution'!$B$146:$B$150,'-ref_Distribution'!$G$146:$G$150)),RIGHT(R$1,2))</f>
        <v>142</v>
      </c>
      <c r="S71" s="16" cm="1">
        <f t="array" ref="S71">INDEX(_xlfn.ANCHORARRAY(_xlfn.XLOOKUP($C71,'-ref_Distribution'!$B$146:$B$150,'-ref_Distribution'!$G$146:$G$150)),RIGHT(S$1,2))</f>
        <v>144</v>
      </c>
      <c r="T71" s="16" cm="1">
        <f t="array" ref="T71">INDEX(_xlfn.ANCHORARRAY(_xlfn.XLOOKUP($C71,'-ref_Distribution'!$B$146:$B$150,'-ref_Distribution'!$G$146:$G$150)),RIGHT(T$1,2))</f>
        <v>142</v>
      </c>
      <c r="U71" s="16" cm="1">
        <f t="array" ref="U71">INDEX(_xlfn.ANCHORARRAY(_xlfn.XLOOKUP($C71,'-ref_Distribution'!$B$146:$B$150,'-ref_Distribution'!$G$146:$G$150)),RIGHT(U$1,2))</f>
        <v>135</v>
      </c>
      <c r="V71" s="16" cm="1">
        <f t="array" ref="V71">INDEX(_xlfn.ANCHORARRAY(_xlfn.XLOOKUP($C71,'-ref_Distribution'!$B$146:$B$150,'-ref_Distribution'!$G$146:$G$150)),RIGHT(V$1,2))</f>
        <v>125</v>
      </c>
      <c r="W71" s="16" cm="1">
        <f t="array" ref="W71">INDEX(_xlfn.ANCHORARRAY(_xlfn.XLOOKUP($C71,'-ref_Distribution'!$B$146:$B$150,'-ref_Distribution'!$G$146:$G$150)),RIGHT(W$1,2))</f>
        <v>111</v>
      </c>
      <c r="X71" s="16" cm="1">
        <f t="array" ref="X71">INDEX(_xlfn.ANCHORARRAY(_xlfn.XLOOKUP($C71,'-ref_Distribution'!$B$146:$B$150,'-ref_Distribution'!$G$146:$G$150)),RIGHT(X$1,2))</f>
        <v>4</v>
      </c>
      <c r="Y71" s="16" cm="1">
        <f t="array" ref="Y71">INDEX(_xlfn.ANCHORARRAY(_xlfn.XLOOKUP($C71,'-ref_Distribution'!$B$146:$B$150,'-ref_Distribution'!$G$146:$G$150)),RIGHT(Y$1,2))</f>
        <v>6</v>
      </c>
      <c r="Z71" s="16" cm="1">
        <f t="array" ref="Z71">INDEX(_xlfn.ANCHORARRAY(_xlfn.XLOOKUP($C71,'-ref_Distribution'!$B$146:$B$150,'-ref_Distribution'!$G$146:$G$150)),RIGHT(Z$1,2))</f>
        <v>9</v>
      </c>
      <c r="AA71" s="16" cm="1">
        <f t="array" ref="AA71">INDEX(_xlfn.ANCHORARRAY(_xlfn.XLOOKUP($C71,'-ref_Distribution'!$B$146:$B$150,'-ref_Distribution'!$G$146:$G$150)),RIGHT(AA$1,2))</f>
        <v>14</v>
      </c>
      <c r="AB71" s="16" cm="1">
        <f t="array" ref="AB71">INDEX(_xlfn.ANCHORARRAY(_xlfn.XLOOKUP($C71,'-ref_Distribution'!$B$146:$B$150,'-ref_Distribution'!$G$146:$G$150)),RIGHT(AB$1,2))</f>
        <v>20</v>
      </c>
      <c r="AC71" s="16" cm="1">
        <f t="array" ref="AC71">INDEX(_xlfn.ANCHORARRAY(_xlfn.XLOOKUP($C71,'-ref_Distribution'!$B$146:$B$150,'-ref_Distribution'!$G$146:$G$150)),RIGHT(AC$1,2))</f>
        <v>28</v>
      </c>
      <c r="AD71" s="16" cm="1">
        <f t="array" ref="AD71">INDEX(_xlfn.ANCHORARRAY(_xlfn.XLOOKUP($C71,'-ref_Distribution'!$B$146:$B$150,'-ref_Distribution'!$G$146:$G$150)),RIGHT(AD$1,2))</f>
        <v>38</v>
      </c>
      <c r="AE71" s="16" cm="1">
        <f t="array" ref="AE71">INDEX(_xlfn.ANCHORARRAY(_xlfn.XLOOKUP($C71,'-ref_Distribution'!$B$146:$B$150,'-ref_Distribution'!$G$146:$G$150)),RIGHT(AE$1,2))</f>
        <v>51</v>
      </c>
      <c r="AF71" s="16" cm="1">
        <f t="array" ref="AF71">INDEX(_xlfn.ANCHORARRAY(_xlfn.XLOOKUP($C71,'-ref_Distribution'!$B$146:$B$150,'-ref_Distribution'!$G$146:$G$150)),RIGHT(AF$1,2))</f>
        <v>65</v>
      </c>
      <c r="AG71" s="16" cm="1">
        <f t="array" ref="AG71">INDEX(_xlfn.ANCHORARRAY(_xlfn.XLOOKUP($C71,'-ref_Distribution'!$B$146:$B$150,'-ref_Distribution'!$G$146:$G$150)),RIGHT(AG$1,2))</f>
        <v>80</v>
      </c>
      <c r="AH71" s="16" cm="1">
        <f t="array" ref="AH71">INDEX(_xlfn.ANCHORARRAY(_xlfn.XLOOKUP($C71,'-ref_Distribution'!$B$146:$B$150,'-ref_Distribution'!$G$146:$G$150)),RIGHT(AH$1,2))</f>
        <v>96</v>
      </c>
      <c r="AI71" s="16" cm="1">
        <f t="array" ref="AI71">INDEX(_xlfn.ANCHORARRAY(_xlfn.XLOOKUP($C71,'-ref_Distribution'!$B$146:$B$150,'-ref_Distribution'!$G$146:$G$150)),RIGHT(AI$1,2))</f>
        <v>111</v>
      </c>
      <c r="AJ71" s="16" cm="1">
        <f t="array" ref="AJ71">INDEX(_xlfn.ANCHORARRAY(_xlfn.XLOOKUP($C71,'-ref_Distribution'!$B$146:$B$150,'-ref_Distribution'!$G$146:$G$150)),RIGHT(AJ$1,2))</f>
        <v>125</v>
      </c>
      <c r="AK71" s="16" cm="1">
        <f t="array" ref="AK71">INDEX(_xlfn.ANCHORARRAY(_xlfn.XLOOKUP($C71,'-ref_Distribution'!$B$146:$B$150,'-ref_Distribution'!$G$146:$G$150)),RIGHT(AK$1,2))</f>
        <v>135</v>
      </c>
      <c r="AL71" s="16" cm="1">
        <f t="array" ref="AL71">INDEX(_xlfn.ANCHORARRAY(_xlfn.XLOOKUP($C71,'-ref_Distribution'!$B$146:$B$150,'-ref_Distribution'!$G$146:$G$150)),RIGHT(AL$1,2))</f>
        <v>142</v>
      </c>
      <c r="AM71" s="16" cm="1">
        <f t="array" ref="AM71">INDEX(_xlfn.ANCHORARRAY(_xlfn.XLOOKUP($C71,'-ref_Distribution'!$B$146:$B$150,'-ref_Distribution'!$G$146:$G$150)),RIGHT(AM$1,2))</f>
        <v>144</v>
      </c>
      <c r="AN71" s="16" cm="1">
        <f t="array" ref="AN71">INDEX(_xlfn.ANCHORARRAY(_xlfn.XLOOKUP($C71,'-ref_Distribution'!$B$146:$B$150,'-ref_Distribution'!$G$146:$G$150)),RIGHT(AN$1,2))</f>
        <v>142</v>
      </c>
      <c r="AO71" s="16" cm="1">
        <f t="array" ref="AO71">INDEX(_xlfn.ANCHORARRAY(_xlfn.XLOOKUP($C71,'-ref_Distribution'!$B$146:$B$150,'-ref_Distribution'!$G$146:$G$150)),RIGHT(AO$1,2))</f>
        <v>135</v>
      </c>
      <c r="AP71" s="16" cm="1">
        <f t="array" ref="AP71">INDEX(_xlfn.ANCHORARRAY(_xlfn.XLOOKUP($C71,'-ref_Distribution'!$B$146:$B$150,'-ref_Distribution'!$G$146:$G$150)),RIGHT(AP$1,2))</f>
        <v>125</v>
      </c>
      <c r="AQ71" s="16" cm="1">
        <f t="array" ref="AQ71">INDEX(_xlfn.ANCHORARRAY(_xlfn.XLOOKUP($C71,'-ref_Distribution'!$B$146:$B$150,'-ref_Distribution'!$G$146:$G$150)),RIGHT(AQ$1,2))</f>
        <v>111</v>
      </c>
      <c r="AR71" s="16" cm="1">
        <f t="array" ref="AR71">INDEX(_xlfn.ANCHORARRAY(_xlfn.XLOOKUP($C71,'-ref_Distribution'!$B$146:$B$150,'-ref_Distribution'!$G$146:$G$150)),RIGHT(AR$1,2))</f>
        <v>4</v>
      </c>
      <c r="AS71" s="16" cm="1">
        <f t="array" ref="AS71">INDEX(_xlfn.ANCHORARRAY(_xlfn.XLOOKUP($C71,'-ref_Distribution'!$B$146:$B$150,'-ref_Distribution'!$G$146:$G$150)),RIGHT(AS$1,2))</f>
        <v>6</v>
      </c>
      <c r="AT71" s="16" cm="1">
        <f t="array" ref="AT71">INDEX(_xlfn.ANCHORARRAY(_xlfn.XLOOKUP($C71,'-ref_Distribution'!$B$146:$B$150,'-ref_Distribution'!$G$146:$G$150)),RIGHT(AT$1,2))</f>
        <v>9</v>
      </c>
      <c r="AU71" s="16" cm="1">
        <f t="array" ref="AU71">INDEX(_xlfn.ANCHORARRAY(_xlfn.XLOOKUP($C71,'-ref_Distribution'!$B$146:$B$150,'-ref_Distribution'!$G$146:$G$150)),RIGHT(AU$1,2))</f>
        <v>14</v>
      </c>
      <c r="AV71" s="16" cm="1">
        <f t="array" ref="AV71">INDEX(_xlfn.ANCHORARRAY(_xlfn.XLOOKUP($C71,'-ref_Distribution'!$B$146:$B$150,'-ref_Distribution'!$G$146:$G$150)),RIGHT(AV$1,2))</f>
        <v>20</v>
      </c>
      <c r="AW71" s="16" cm="1">
        <f t="array" ref="AW71">INDEX(_xlfn.ANCHORARRAY(_xlfn.XLOOKUP($C71,'-ref_Distribution'!$B$146:$B$150,'-ref_Distribution'!$G$146:$G$150)),RIGHT(AW$1,2))</f>
        <v>28</v>
      </c>
      <c r="AX71" s="16" cm="1">
        <f t="array" ref="AX71">INDEX(_xlfn.ANCHORARRAY(_xlfn.XLOOKUP($C71,'-ref_Distribution'!$B$146:$B$150,'-ref_Distribution'!$G$146:$G$150)),RIGHT(AX$1,2))</f>
        <v>38</v>
      </c>
      <c r="AY71" s="16" cm="1">
        <f t="array" ref="AY71">INDEX(_xlfn.ANCHORARRAY(_xlfn.XLOOKUP($C71,'-ref_Distribution'!$B$146:$B$150,'-ref_Distribution'!$G$146:$G$150)),RIGHT(AY$1,2))</f>
        <v>51</v>
      </c>
      <c r="AZ71" s="16" cm="1">
        <f t="array" ref="AZ71">INDEX(_xlfn.ANCHORARRAY(_xlfn.XLOOKUP($C71,'-ref_Distribution'!$B$146:$B$150,'-ref_Distribution'!$G$146:$G$150)),RIGHT(AZ$1,2))</f>
        <v>65</v>
      </c>
      <c r="BA71" s="16" cm="1">
        <f t="array" ref="BA71">INDEX(_xlfn.ANCHORARRAY(_xlfn.XLOOKUP($C71,'-ref_Distribution'!$B$146:$B$150,'-ref_Distribution'!$G$146:$G$150)),RIGHT(BA$1,2))</f>
        <v>80</v>
      </c>
      <c r="BB71" s="16" cm="1">
        <f t="array" ref="BB71">INDEX(_xlfn.ANCHORARRAY(_xlfn.XLOOKUP($C71,'-ref_Distribution'!$B$146:$B$150,'-ref_Distribution'!$G$146:$G$150)),RIGHT(BB$1,2))</f>
        <v>96</v>
      </c>
      <c r="BC71" s="16" cm="1">
        <f t="array" ref="BC71">INDEX(_xlfn.ANCHORARRAY(_xlfn.XLOOKUP($C71,'-ref_Distribution'!$B$146:$B$150,'-ref_Distribution'!$G$146:$G$150)),RIGHT(BC$1,2))</f>
        <v>111</v>
      </c>
      <c r="BD71" s="16" cm="1">
        <f t="array" ref="BD71">INDEX(_xlfn.ANCHORARRAY(_xlfn.XLOOKUP($C71,'-ref_Distribution'!$B$146:$B$150,'-ref_Distribution'!$G$146:$G$150)),RIGHT(BD$1,2))</f>
        <v>125</v>
      </c>
      <c r="BE71" s="16" cm="1">
        <f t="array" ref="BE71">INDEX(_xlfn.ANCHORARRAY(_xlfn.XLOOKUP($C71,'-ref_Distribution'!$B$146:$B$150,'-ref_Distribution'!$G$146:$G$150)),RIGHT(BE$1,2))</f>
        <v>135</v>
      </c>
      <c r="BF71" s="16" cm="1">
        <f t="array" ref="BF71">INDEX(_xlfn.ANCHORARRAY(_xlfn.XLOOKUP($C71,'-ref_Distribution'!$B$146:$B$150,'-ref_Distribution'!$G$146:$G$150)),RIGHT(BF$1,2))</f>
        <v>142</v>
      </c>
      <c r="BG71" s="16" cm="1">
        <f t="array" ref="BG71">INDEX(_xlfn.ANCHORARRAY(_xlfn.XLOOKUP($C71,'-ref_Distribution'!$B$146:$B$150,'-ref_Distribution'!$G$146:$G$150)),RIGHT(BG$1,2))</f>
        <v>144</v>
      </c>
      <c r="BH71" s="16" cm="1">
        <f t="array" ref="BH71">INDEX(_xlfn.ANCHORARRAY(_xlfn.XLOOKUP($C71,'-ref_Distribution'!$B$146:$B$150,'-ref_Distribution'!$G$146:$G$150)),RIGHT(BH$1,2))</f>
        <v>142</v>
      </c>
      <c r="BI71" s="16" cm="1">
        <f t="array" ref="BI71">INDEX(_xlfn.ANCHORARRAY(_xlfn.XLOOKUP($C71,'-ref_Distribution'!$B$146:$B$150,'-ref_Distribution'!$G$146:$G$150)),RIGHT(BI$1,2))</f>
        <v>135</v>
      </c>
      <c r="BJ71" s="16" cm="1">
        <f t="array" ref="BJ71">INDEX(_xlfn.ANCHORARRAY(_xlfn.XLOOKUP($C71,'-ref_Distribution'!$B$146:$B$150,'-ref_Distribution'!$G$146:$G$150)),RIGHT(BJ$1,2))</f>
        <v>125</v>
      </c>
      <c r="BK71" s="16" cm="1">
        <f t="array" ref="BK71">INDEX(_xlfn.ANCHORARRAY(_xlfn.XLOOKUP($C71,'-ref_Distribution'!$B$146:$B$150,'-ref_Distribution'!$G$146:$G$150)),RIGHT(BK$1,2))</f>
        <v>111</v>
      </c>
      <c r="BL71" s="16" cm="1">
        <f t="array" ref="BL71">INDEX(_xlfn.ANCHORARRAY(_xlfn.XLOOKUP($C71,'-ref_Distribution'!$B$146:$B$150,'-ref_Distribution'!$G$146:$G$150)),RIGHT(BL$1,2))</f>
        <v>4</v>
      </c>
      <c r="BM71" s="16" cm="1">
        <f t="array" ref="BM71">INDEX(_xlfn.ANCHORARRAY(_xlfn.XLOOKUP($C71,'-ref_Distribution'!$B$146:$B$150,'-ref_Distribution'!$G$146:$G$150)),RIGHT(BM$1,2))</f>
        <v>6</v>
      </c>
      <c r="BN71" s="16" cm="1">
        <f t="array" ref="BN71">INDEX(_xlfn.ANCHORARRAY(_xlfn.XLOOKUP($C71,'-ref_Distribution'!$B$146:$B$150,'-ref_Distribution'!$G$146:$G$150)),RIGHT(BN$1,2))</f>
        <v>9</v>
      </c>
      <c r="BO71" s="16" cm="1">
        <f t="array" ref="BO71">INDEX(_xlfn.ANCHORARRAY(_xlfn.XLOOKUP($C71,'-ref_Distribution'!$B$146:$B$150,'-ref_Distribution'!$G$146:$G$150)),RIGHT(BO$1,2))</f>
        <v>14</v>
      </c>
      <c r="BP71" s="16" cm="1">
        <f t="array" ref="BP71">INDEX(_xlfn.ANCHORARRAY(_xlfn.XLOOKUP($C71,'-ref_Distribution'!$B$146:$B$150,'-ref_Distribution'!$G$146:$G$150)),RIGHT(BP$1,2))</f>
        <v>20</v>
      </c>
      <c r="BQ71" s="16" cm="1">
        <f t="array" ref="BQ71">INDEX(_xlfn.ANCHORARRAY(_xlfn.XLOOKUP($C71,'-ref_Distribution'!$B$146:$B$150,'-ref_Distribution'!$G$146:$G$150)),RIGHT(BQ$1,2))</f>
        <v>28</v>
      </c>
      <c r="BR71" s="16" cm="1">
        <f t="array" ref="BR71">INDEX(_xlfn.ANCHORARRAY(_xlfn.XLOOKUP($C71,'-ref_Distribution'!$B$146:$B$150,'-ref_Distribution'!$G$146:$G$150)),RIGHT(BR$1,2))</f>
        <v>38</v>
      </c>
      <c r="BS71" s="16" cm="1">
        <f t="array" ref="BS71">INDEX(_xlfn.ANCHORARRAY(_xlfn.XLOOKUP($C71,'-ref_Distribution'!$B$146:$B$150,'-ref_Distribution'!$G$146:$G$150)),RIGHT(BS$1,2))</f>
        <v>51</v>
      </c>
      <c r="BT71" s="16" cm="1">
        <f t="array" ref="BT71">INDEX(_xlfn.ANCHORARRAY(_xlfn.XLOOKUP($C71,'-ref_Distribution'!$B$146:$B$150,'-ref_Distribution'!$G$146:$G$150)),RIGHT(BT$1,2))</f>
        <v>65</v>
      </c>
      <c r="BU71" s="16" cm="1">
        <f t="array" ref="BU71">INDEX(_xlfn.ANCHORARRAY(_xlfn.XLOOKUP($C71,'-ref_Distribution'!$B$146:$B$150,'-ref_Distribution'!$G$146:$G$150)),RIGHT(BU$1,2))</f>
        <v>80</v>
      </c>
      <c r="BV71" s="16" cm="1">
        <f t="array" ref="BV71">INDEX(_xlfn.ANCHORARRAY(_xlfn.XLOOKUP($C71,'-ref_Distribution'!$B$146:$B$150,'-ref_Distribution'!$G$146:$G$150)),RIGHT(BV$1,2))</f>
        <v>96</v>
      </c>
      <c r="BW71" s="16" cm="1">
        <f t="array" ref="BW71">INDEX(_xlfn.ANCHORARRAY(_xlfn.XLOOKUP($C71,'-ref_Distribution'!$B$146:$B$150,'-ref_Distribution'!$G$146:$G$150)),RIGHT(BW$1,2))</f>
        <v>111</v>
      </c>
      <c r="BX71" s="16" cm="1">
        <f t="array" ref="BX71">INDEX(_xlfn.ANCHORARRAY(_xlfn.XLOOKUP($C71,'-ref_Distribution'!$B$146:$B$150,'-ref_Distribution'!$G$146:$G$150)),RIGHT(BX$1,2))</f>
        <v>125</v>
      </c>
      <c r="BY71" s="16" cm="1">
        <f t="array" ref="BY71">INDEX(_xlfn.ANCHORARRAY(_xlfn.XLOOKUP($C71,'-ref_Distribution'!$B$146:$B$150,'-ref_Distribution'!$G$146:$G$150)),RIGHT(BY$1,2))</f>
        <v>135</v>
      </c>
      <c r="BZ71" s="16" cm="1">
        <f t="array" ref="BZ71">INDEX(_xlfn.ANCHORARRAY(_xlfn.XLOOKUP($C71,'-ref_Distribution'!$B$146:$B$150,'-ref_Distribution'!$G$146:$G$150)),RIGHT(BZ$1,2))</f>
        <v>142</v>
      </c>
      <c r="CA71" s="16" cm="1">
        <f t="array" ref="CA71">INDEX(_xlfn.ANCHORARRAY(_xlfn.XLOOKUP($C71,'-ref_Distribution'!$B$146:$B$150,'-ref_Distribution'!$G$146:$G$150)),RIGHT(CA$1,2))</f>
        <v>144</v>
      </c>
      <c r="CB71" s="16" cm="1">
        <f t="array" ref="CB71">INDEX(_xlfn.ANCHORARRAY(_xlfn.XLOOKUP($C71,'-ref_Distribution'!$B$146:$B$150,'-ref_Distribution'!$G$146:$G$150)),RIGHT(CB$1,2))</f>
        <v>142</v>
      </c>
      <c r="CC71" s="16" cm="1">
        <f t="array" ref="CC71">INDEX(_xlfn.ANCHORARRAY(_xlfn.XLOOKUP($C71,'-ref_Distribution'!$B$146:$B$150,'-ref_Distribution'!$G$146:$G$150)),RIGHT(CC$1,2))</f>
        <v>135</v>
      </c>
      <c r="CD71" s="16" cm="1">
        <f t="array" ref="CD71">INDEX(_xlfn.ANCHORARRAY(_xlfn.XLOOKUP($C71,'-ref_Distribution'!$B$146:$B$150,'-ref_Distribution'!$G$146:$G$150)),RIGHT(CD$1,2))</f>
        <v>125</v>
      </c>
      <c r="CE71" s="16" cm="1">
        <f t="array" ref="CE71">INDEX(_xlfn.ANCHORARRAY(_xlfn.XLOOKUP($C71,'-ref_Distribution'!$B$146:$B$150,'-ref_Distribution'!$G$146:$G$150)),RIGHT(CE$1,2))</f>
        <v>111</v>
      </c>
    </row>
    <row r="72" spans="1:83" x14ac:dyDescent="0.2">
      <c r="A72" s="16">
        <v>310224</v>
      </c>
      <c r="B72" s="16" t="s">
        <v>377</v>
      </c>
      <c r="C72" s="16">
        <v>4</v>
      </c>
      <c r="D72" s="16" cm="1">
        <f t="array" ref="D72">INDEX(_xlfn.ANCHORARRAY(_xlfn.XLOOKUP($C72,'-ref_Distribution'!$B$146:$B$150,'-ref_Distribution'!$G$146:$G$150)),RIGHT(D$1,2))</f>
        <v>0</v>
      </c>
      <c r="E72" s="16" cm="1">
        <f t="array" ref="E72">INDEX(_xlfn.ANCHORARRAY(_xlfn.XLOOKUP($C72,'-ref_Distribution'!$B$146:$B$150,'-ref_Distribution'!$G$146:$G$150)),RIGHT(E$1,2))</f>
        <v>0</v>
      </c>
      <c r="F72" s="16" cm="1">
        <f t="array" ref="F72">INDEX(_xlfn.ANCHORARRAY(_xlfn.XLOOKUP($C72,'-ref_Distribution'!$B$146:$B$150,'-ref_Distribution'!$G$146:$G$150)),RIGHT(F$1,2))</f>
        <v>0</v>
      </c>
      <c r="G72" s="16" cm="1">
        <f t="array" ref="G72">INDEX(_xlfn.ANCHORARRAY(_xlfn.XLOOKUP($C72,'-ref_Distribution'!$B$146:$B$150,'-ref_Distribution'!$G$146:$G$150)),RIGHT(G$1,2))</f>
        <v>0</v>
      </c>
      <c r="H72" s="16" cm="1">
        <f t="array" ref="H72">INDEX(_xlfn.ANCHORARRAY(_xlfn.XLOOKUP($C72,'-ref_Distribution'!$B$146:$B$150,'-ref_Distribution'!$G$146:$G$150)),RIGHT(H$1,2))</f>
        <v>0</v>
      </c>
      <c r="I72" s="16" cm="1">
        <f t="array" ref="I72">INDEX(_xlfn.ANCHORARRAY(_xlfn.XLOOKUP($C72,'-ref_Distribution'!$B$146:$B$150,'-ref_Distribution'!$G$146:$G$150)),RIGHT(I$1,2))</f>
        <v>1</v>
      </c>
      <c r="J72" s="16" cm="1">
        <f t="array" ref="J72">INDEX(_xlfn.ANCHORARRAY(_xlfn.XLOOKUP($C72,'-ref_Distribution'!$B$146:$B$150,'-ref_Distribution'!$G$146:$G$150)),RIGHT(J$1,2))</f>
        <v>1</v>
      </c>
      <c r="K72" s="16" cm="1">
        <f t="array" ref="K72">INDEX(_xlfn.ANCHORARRAY(_xlfn.XLOOKUP($C72,'-ref_Distribution'!$B$146:$B$150,'-ref_Distribution'!$G$146:$G$150)),RIGHT(K$1,2))</f>
        <v>2</v>
      </c>
      <c r="L72" s="16" cm="1">
        <f t="array" ref="L72">INDEX(_xlfn.ANCHORARRAY(_xlfn.XLOOKUP($C72,'-ref_Distribution'!$B$146:$B$150,'-ref_Distribution'!$G$146:$G$150)),RIGHT(L$1,2))</f>
        <v>3</v>
      </c>
      <c r="M72" s="16" cm="1">
        <f t="array" ref="M72">INDEX(_xlfn.ANCHORARRAY(_xlfn.XLOOKUP($C72,'-ref_Distribution'!$B$146:$B$150,'-ref_Distribution'!$G$146:$G$150)),RIGHT(M$1,2))</f>
        <v>5</v>
      </c>
      <c r="N72" s="16" cm="1">
        <f t="array" ref="N72">INDEX(_xlfn.ANCHORARRAY(_xlfn.XLOOKUP($C72,'-ref_Distribution'!$B$146:$B$150,'-ref_Distribution'!$G$146:$G$150)),RIGHT(N$1,2))</f>
        <v>9</v>
      </c>
      <c r="O72" s="16" cm="1">
        <f t="array" ref="O72">INDEX(_xlfn.ANCHORARRAY(_xlfn.XLOOKUP($C72,'-ref_Distribution'!$B$146:$B$150,'-ref_Distribution'!$G$146:$G$150)),RIGHT(O$1,2))</f>
        <v>14</v>
      </c>
      <c r="P72" s="16" cm="1">
        <f t="array" ref="P72">INDEX(_xlfn.ANCHORARRAY(_xlfn.XLOOKUP($C72,'-ref_Distribution'!$B$146:$B$150,'-ref_Distribution'!$G$146:$G$150)),RIGHT(P$1,2))</f>
        <v>20</v>
      </c>
      <c r="Q72" s="16" cm="1">
        <f t="array" ref="Q72">INDEX(_xlfn.ANCHORARRAY(_xlfn.XLOOKUP($C72,'-ref_Distribution'!$B$146:$B$150,'-ref_Distribution'!$G$146:$G$150)),RIGHT(Q$1,2))</f>
        <v>28</v>
      </c>
      <c r="R72" s="16" cm="1">
        <f t="array" ref="R72">INDEX(_xlfn.ANCHORARRAY(_xlfn.XLOOKUP($C72,'-ref_Distribution'!$B$146:$B$150,'-ref_Distribution'!$G$146:$G$150)),RIGHT(R$1,2))</f>
        <v>38</v>
      </c>
      <c r="S72" s="16" cm="1">
        <f t="array" ref="S72">INDEX(_xlfn.ANCHORARRAY(_xlfn.XLOOKUP($C72,'-ref_Distribution'!$B$146:$B$150,'-ref_Distribution'!$G$146:$G$150)),RIGHT(S$1,2))</f>
        <v>48</v>
      </c>
      <c r="T72" s="16" cm="1">
        <f t="array" ref="T72">INDEX(_xlfn.ANCHORARRAY(_xlfn.XLOOKUP($C72,'-ref_Distribution'!$B$146:$B$150,'-ref_Distribution'!$G$146:$G$150)),RIGHT(T$1,2))</f>
        <v>59</v>
      </c>
      <c r="U72" s="16" cm="1">
        <f t="array" ref="U72">INDEX(_xlfn.ANCHORARRAY(_xlfn.XLOOKUP($C72,'-ref_Distribution'!$B$146:$B$150,'-ref_Distribution'!$G$146:$G$150)),RIGHT(U$1,2))</f>
        <v>69</v>
      </c>
      <c r="V72" s="16" cm="1">
        <f t="array" ref="V72">INDEX(_xlfn.ANCHORARRAY(_xlfn.XLOOKUP($C72,'-ref_Distribution'!$B$146:$B$150,'-ref_Distribution'!$G$146:$G$150)),RIGHT(V$1,2))</f>
        <v>78</v>
      </c>
      <c r="W72" s="16" cm="1">
        <f t="array" ref="W72">INDEX(_xlfn.ANCHORARRAY(_xlfn.XLOOKUP($C72,'-ref_Distribution'!$B$146:$B$150,'-ref_Distribution'!$G$146:$G$150)),RIGHT(W$1,2))</f>
        <v>83</v>
      </c>
      <c r="X72" s="16" cm="1">
        <f t="array" ref="X72">INDEX(_xlfn.ANCHORARRAY(_xlfn.XLOOKUP($C72,'-ref_Distribution'!$B$146:$B$150,'-ref_Distribution'!$G$146:$G$150)),RIGHT(X$1,2))</f>
        <v>0</v>
      </c>
      <c r="Y72" s="16" cm="1">
        <f t="array" ref="Y72">INDEX(_xlfn.ANCHORARRAY(_xlfn.XLOOKUP($C72,'-ref_Distribution'!$B$146:$B$150,'-ref_Distribution'!$G$146:$G$150)),RIGHT(Y$1,2))</f>
        <v>0</v>
      </c>
      <c r="Z72" s="16" cm="1">
        <f t="array" ref="Z72">INDEX(_xlfn.ANCHORARRAY(_xlfn.XLOOKUP($C72,'-ref_Distribution'!$B$146:$B$150,'-ref_Distribution'!$G$146:$G$150)),RIGHT(Z$1,2))</f>
        <v>0</v>
      </c>
      <c r="AA72" s="16" cm="1">
        <f t="array" ref="AA72">INDEX(_xlfn.ANCHORARRAY(_xlfn.XLOOKUP($C72,'-ref_Distribution'!$B$146:$B$150,'-ref_Distribution'!$G$146:$G$150)),RIGHT(AA$1,2))</f>
        <v>0</v>
      </c>
      <c r="AB72" s="16" cm="1">
        <f t="array" ref="AB72">INDEX(_xlfn.ANCHORARRAY(_xlfn.XLOOKUP($C72,'-ref_Distribution'!$B$146:$B$150,'-ref_Distribution'!$G$146:$G$150)),RIGHT(AB$1,2))</f>
        <v>0</v>
      </c>
      <c r="AC72" s="16" cm="1">
        <f t="array" ref="AC72">INDEX(_xlfn.ANCHORARRAY(_xlfn.XLOOKUP($C72,'-ref_Distribution'!$B$146:$B$150,'-ref_Distribution'!$G$146:$G$150)),RIGHT(AC$1,2))</f>
        <v>1</v>
      </c>
      <c r="AD72" s="16" cm="1">
        <f t="array" ref="AD72">INDEX(_xlfn.ANCHORARRAY(_xlfn.XLOOKUP($C72,'-ref_Distribution'!$B$146:$B$150,'-ref_Distribution'!$G$146:$G$150)),RIGHT(AD$1,2))</f>
        <v>1</v>
      </c>
      <c r="AE72" s="16" cm="1">
        <f t="array" ref="AE72">INDEX(_xlfn.ANCHORARRAY(_xlfn.XLOOKUP($C72,'-ref_Distribution'!$B$146:$B$150,'-ref_Distribution'!$G$146:$G$150)),RIGHT(AE$1,2))</f>
        <v>2</v>
      </c>
      <c r="AF72" s="16" cm="1">
        <f t="array" ref="AF72">INDEX(_xlfn.ANCHORARRAY(_xlfn.XLOOKUP($C72,'-ref_Distribution'!$B$146:$B$150,'-ref_Distribution'!$G$146:$G$150)),RIGHT(AF$1,2))</f>
        <v>3</v>
      </c>
      <c r="AG72" s="16" cm="1">
        <f t="array" ref="AG72">INDEX(_xlfn.ANCHORARRAY(_xlfn.XLOOKUP($C72,'-ref_Distribution'!$B$146:$B$150,'-ref_Distribution'!$G$146:$G$150)),RIGHT(AG$1,2))</f>
        <v>5</v>
      </c>
      <c r="AH72" s="16" cm="1">
        <f t="array" ref="AH72">INDEX(_xlfn.ANCHORARRAY(_xlfn.XLOOKUP($C72,'-ref_Distribution'!$B$146:$B$150,'-ref_Distribution'!$G$146:$G$150)),RIGHT(AH$1,2))</f>
        <v>9</v>
      </c>
      <c r="AI72" s="16" cm="1">
        <f t="array" ref="AI72">INDEX(_xlfn.ANCHORARRAY(_xlfn.XLOOKUP($C72,'-ref_Distribution'!$B$146:$B$150,'-ref_Distribution'!$G$146:$G$150)),RIGHT(AI$1,2))</f>
        <v>14</v>
      </c>
      <c r="AJ72" s="16" cm="1">
        <f t="array" ref="AJ72">INDEX(_xlfn.ANCHORARRAY(_xlfn.XLOOKUP($C72,'-ref_Distribution'!$B$146:$B$150,'-ref_Distribution'!$G$146:$G$150)),RIGHT(AJ$1,2))</f>
        <v>20</v>
      </c>
      <c r="AK72" s="16" cm="1">
        <f t="array" ref="AK72">INDEX(_xlfn.ANCHORARRAY(_xlfn.XLOOKUP($C72,'-ref_Distribution'!$B$146:$B$150,'-ref_Distribution'!$G$146:$G$150)),RIGHT(AK$1,2))</f>
        <v>28</v>
      </c>
      <c r="AL72" s="16" cm="1">
        <f t="array" ref="AL72">INDEX(_xlfn.ANCHORARRAY(_xlfn.XLOOKUP($C72,'-ref_Distribution'!$B$146:$B$150,'-ref_Distribution'!$G$146:$G$150)),RIGHT(AL$1,2))</f>
        <v>38</v>
      </c>
      <c r="AM72" s="16" cm="1">
        <f t="array" ref="AM72">INDEX(_xlfn.ANCHORARRAY(_xlfn.XLOOKUP($C72,'-ref_Distribution'!$B$146:$B$150,'-ref_Distribution'!$G$146:$G$150)),RIGHT(AM$1,2))</f>
        <v>48</v>
      </c>
      <c r="AN72" s="16" cm="1">
        <f t="array" ref="AN72">INDEX(_xlfn.ANCHORARRAY(_xlfn.XLOOKUP($C72,'-ref_Distribution'!$B$146:$B$150,'-ref_Distribution'!$G$146:$G$150)),RIGHT(AN$1,2))</f>
        <v>59</v>
      </c>
      <c r="AO72" s="16" cm="1">
        <f t="array" ref="AO72">INDEX(_xlfn.ANCHORARRAY(_xlfn.XLOOKUP($C72,'-ref_Distribution'!$B$146:$B$150,'-ref_Distribution'!$G$146:$G$150)),RIGHT(AO$1,2))</f>
        <v>69</v>
      </c>
      <c r="AP72" s="16" cm="1">
        <f t="array" ref="AP72">INDEX(_xlfn.ANCHORARRAY(_xlfn.XLOOKUP($C72,'-ref_Distribution'!$B$146:$B$150,'-ref_Distribution'!$G$146:$G$150)),RIGHT(AP$1,2))</f>
        <v>78</v>
      </c>
      <c r="AQ72" s="16" cm="1">
        <f t="array" ref="AQ72">INDEX(_xlfn.ANCHORARRAY(_xlfn.XLOOKUP($C72,'-ref_Distribution'!$B$146:$B$150,'-ref_Distribution'!$G$146:$G$150)),RIGHT(AQ$1,2))</f>
        <v>83</v>
      </c>
      <c r="AR72" s="16" cm="1">
        <f t="array" ref="AR72">INDEX(_xlfn.ANCHORARRAY(_xlfn.XLOOKUP($C72,'-ref_Distribution'!$B$146:$B$150,'-ref_Distribution'!$G$146:$G$150)),RIGHT(AR$1,2))</f>
        <v>0</v>
      </c>
      <c r="AS72" s="16" cm="1">
        <f t="array" ref="AS72">INDEX(_xlfn.ANCHORARRAY(_xlfn.XLOOKUP($C72,'-ref_Distribution'!$B$146:$B$150,'-ref_Distribution'!$G$146:$G$150)),RIGHT(AS$1,2))</f>
        <v>0</v>
      </c>
      <c r="AT72" s="16" cm="1">
        <f t="array" ref="AT72">INDEX(_xlfn.ANCHORARRAY(_xlfn.XLOOKUP($C72,'-ref_Distribution'!$B$146:$B$150,'-ref_Distribution'!$G$146:$G$150)),RIGHT(AT$1,2))</f>
        <v>0</v>
      </c>
      <c r="AU72" s="16" cm="1">
        <f t="array" ref="AU72">INDEX(_xlfn.ANCHORARRAY(_xlfn.XLOOKUP($C72,'-ref_Distribution'!$B$146:$B$150,'-ref_Distribution'!$G$146:$G$150)),RIGHT(AU$1,2))</f>
        <v>0</v>
      </c>
      <c r="AV72" s="16" cm="1">
        <f t="array" ref="AV72">INDEX(_xlfn.ANCHORARRAY(_xlfn.XLOOKUP($C72,'-ref_Distribution'!$B$146:$B$150,'-ref_Distribution'!$G$146:$G$150)),RIGHT(AV$1,2))</f>
        <v>0</v>
      </c>
      <c r="AW72" s="16" cm="1">
        <f t="array" ref="AW72">INDEX(_xlfn.ANCHORARRAY(_xlfn.XLOOKUP($C72,'-ref_Distribution'!$B$146:$B$150,'-ref_Distribution'!$G$146:$G$150)),RIGHT(AW$1,2))</f>
        <v>1</v>
      </c>
      <c r="AX72" s="16" cm="1">
        <f t="array" ref="AX72">INDEX(_xlfn.ANCHORARRAY(_xlfn.XLOOKUP($C72,'-ref_Distribution'!$B$146:$B$150,'-ref_Distribution'!$G$146:$G$150)),RIGHT(AX$1,2))</f>
        <v>1</v>
      </c>
      <c r="AY72" s="16" cm="1">
        <f t="array" ref="AY72">INDEX(_xlfn.ANCHORARRAY(_xlfn.XLOOKUP($C72,'-ref_Distribution'!$B$146:$B$150,'-ref_Distribution'!$G$146:$G$150)),RIGHT(AY$1,2))</f>
        <v>2</v>
      </c>
      <c r="AZ72" s="16" cm="1">
        <f t="array" ref="AZ72">INDEX(_xlfn.ANCHORARRAY(_xlfn.XLOOKUP($C72,'-ref_Distribution'!$B$146:$B$150,'-ref_Distribution'!$G$146:$G$150)),RIGHT(AZ$1,2))</f>
        <v>3</v>
      </c>
      <c r="BA72" s="16" cm="1">
        <f t="array" ref="BA72">INDEX(_xlfn.ANCHORARRAY(_xlfn.XLOOKUP($C72,'-ref_Distribution'!$B$146:$B$150,'-ref_Distribution'!$G$146:$G$150)),RIGHT(BA$1,2))</f>
        <v>5</v>
      </c>
      <c r="BB72" s="16" cm="1">
        <f t="array" ref="BB72">INDEX(_xlfn.ANCHORARRAY(_xlfn.XLOOKUP($C72,'-ref_Distribution'!$B$146:$B$150,'-ref_Distribution'!$G$146:$G$150)),RIGHT(BB$1,2))</f>
        <v>9</v>
      </c>
      <c r="BC72" s="16" cm="1">
        <f t="array" ref="BC72">INDEX(_xlfn.ANCHORARRAY(_xlfn.XLOOKUP($C72,'-ref_Distribution'!$B$146:$B$150,'-ref_Distribution'!$G$146:$G$150)),RIGHT(BC$1,2))</f>
        <v>14</v>
      </c>
      <c r="BD72" s="16" cm="1">
        <f t="array" ref="BD72">INDEX(_xlfn.ANCHORARRAY(_xlfn.XLOOKUP($C72,'-ref_Distribution'!$B$146:$B$150,'-ref_Distribution'!$G$146:$G$150)),RIGHT(BD$1,2))</f>
        <v>20</v>
      </c>
      <c r="BE72" s="16" cm="1">
        <f t="array" ref="BE72">INDEX(_xlfn.ANCHORARRAY(_xlfn.XLOOKUP($C72,'-ref_Distribution'!$B$146:$B$150,'-ref_Distribution'!$G$146:$G$150)),RIGHT(BE$1,2))</f>
        <v>28</v>
      </c>
      <c r="BF72" s="16" cm="1">
        <f t="array" ref="BF72">INDEX(_xlfn.ANCHORARRAY(_xlfn.XLOOKUP($C72,'-ref_Distribution'!$B$146:$B$150,'-ref_Distribution'!$G$146:$G$150)),RIGHT(BF$1,2))</f>
        <v>38</v>
      </c>
      <c r="BG72" s="16" cm="1">
        <f t="array" ref="BG72">INDEX(_xlfn.ANCHORARRAY(_xlfn.XLOOKUP($C72,'-ref_Distribution'!$B$146:$B$150,'-ref_Distribution'!$G$146:$G$150)),RIGHT(BG$1,2))</f>
        <v>48</v>
      </c>
      <c r="BH72" s="16" cm="1">
        <f t="array" ref="BH72">INDEX(_xlfn.ANCHORARRAY(_xlfn.XLOOKUP($C72,'-ref_Distribution'!$B$146:$B$150,'-ref_Distribution'!$G$146:$G$150)),RIGHT(BH$1,2))</f>
        <v>59</v>
      </c>
      <c r="BI72" s="16" cm="1">
        <f t="array" ref="BI72">INDEX(_xlfn.ANCHORARRAY(_xlfn.XLOOKUP($C72,'-ref_Distribution'!$B$146:$B$150,'-ref_Distribution'!$G$146:$G$150)),RIGHT(BI$1,2))</f>
        <v>69</v>
      </c>
      <c r="BJ72" s="16" cm="1">
        <f t="array" ref="BJ72">INDEX(_xlfn.ANCHORARRAY(_xlfn.XLOOKUP($C72,'-ref_Distribution'!$B$146:$B$150,'-ref_Distribution'!$G$146:$G$150)),RIGHT(BJ$1,2))</f>
        <v>78</v>
      </c>
      <c r="BK72" s="16" cm="1">
        <f t="array" ref="BK72">INDEX(_xlfn.ANCHORARRAY(_xlfn.XLOOKUP($C72,'-ref_Distribution'!$B$146:$B$150,'-ref_Distribution'!$G$146:$G$150)),RIGHT(BK$1,2))</f>
        <v>83</v>
      </c>
      <c r="BL72" s="16" cm="1">
        <f t="array" ref="BL72">INDEX(_xlfn.ANCHORARRAY(_xlfn.XLOOKUP($C72,'-ref_Distribution'!$B$146:$B$150,'-ref_Distribution'!$G$146:$G$150)),RIGHT(BL$1,2))</f>
        <v>0</v>
      </c>
      <c r="BM72" s="16" cm="1">
        <f t="array" ref="BM72">INDEX(_xlfn.ANCHORARRAY(_xlfn.XLOOKUP($C72,'-ref_Distribution'!$B$146:$B$150,'-ref_Distribution'!$G$146:$G$150)),RIGHT(BM$1,2))</f>
        <v>0</v>
      </c>
      <c r="BN72" s="16" cm="1">
        <f t="array" ref="BN72">INDEX(_xlfn.ANCHORARRAY(_xlfn.XLOOKUP($C72,'-ref_Distribution'!$B$146:$B$150,'-ref_Distribution'!$G$146:$G$150)),RIGHT(BN$1,2))</f>
        <v>0</v>
      </c>
      <c r="BO72" s="16" cm="1">
        <f t="array" ref="BO72">INDEX(_xlfn.ANCHORARRAY(_xlfn.XLOOKUP($C72,'-ref_Distribution'!$B$146:$B$150,'-ref_Distribution'!$G$146:$G$150)),RIGHT(BO$1,2))</f>
        <v>0</v>
      </c>
      <c r="BP72" s="16" cm="1">
        <f t="array" ref="BP72">INDEX(_xlfn.ANCHORARRAY(_xlfn.XLOOKUP($C72,'-ref_Distribution'!$B$146:$B$150,'-ref_Distribution'!$G$146:$G$150)),RIGHT(BP$1,2))</f>
        <v>0</v>
      </c>
      <c r="BQ72" s="16" cm="1">
        <f t="array" ref="BQ72">INDEX(_xlfn.ANCHORARRAY(_xlfn.XLOOKUP($C72,'-ref_Distribution'!$B$146:$B$150,'-ref_Distribution'!$G$146:$G$150)),RIGHT(BQ$1,2))</f>
        <v>1</v>
      </c>
      <c r="BR72" s="16" cm="1">
        <f t="array" ref="BR72">INDEX(_xlfn.ANCHORARRAY(_xlfn.XLOOKUP($C72,'-ref_Distribution'!$B$146:$B$150,'-ref_Distribution'!$G$146:$G$150)),RIGHT(BR$1,2))</f>
        <v>1</v>
      </c>
      <c r="BS72" s="16" cm="1">
        <f t="array" ref="BS72">INDEX(_xlfn.ANCHORARRAY(_xlfn.XLOOKUP($C72,'-ref_Distribution'!$B$146:$B$150,'-ref_Distribution'!$G$146:$G$150)),RIGHT(BS$1,2))</f>
        <v>2</v>
      </c>
      <c r="BT72" s="16" cm="1">
        <f t="array" ref="BT72">INDEX(_xlfn.ANCHORARRAY(_xlfn.XLOOKUP($C72,'-ref_Distribution'!$B$146:$B$150,'-ref_Distribution'!$G$146:$G$150)),RIGHT(BT$1,2))</f>
        <v>3</v>
      </c>
      <c r="BU72" s="16" cm="1">
        <f t="array" ref="BU72">INDEX(_xlfn.ANCHORARRAY(_xlfn.XLOOKUP($C72,'-ref_Distribution'!$B$146:$B$150,'-ref_Distribution'!$G$146:$G$150)),RIGHT(BU$1,2))</f>
        <v>5</v>
      </c>
      <c r="BV72" s="16" cm="1">
        <f t="array" ref="BV72">INDEX(_xlfn.ANCHORARRAY(_xlfn.XLOOKUP($C72,'-ref_Distribution'!$B$146:$B$150,'-ref_Distribution'!$G$146:$G$150)),RIGHT(BV$1,2))</f>
        <v>9</v>
      </c>
      <c r="BW72" s="16" cm="1">
        <f t="array" ref="BW72">INDEX(_xlfn.ANCHORARRAY(_xlfn.XLOOKUP($C72,'-ref_Distribution'!$B$146:$B$150,'-ref_Distribution'!$G$146:$G$150)),RIGHT(BW$1,2))</f>
        <v>14</v>
      </c>
      <c r="BX72" s="16" cm="1">
        <f t="array" ref="BX72">INDEX(_xlfn.ANCHORARRAY(_xlfn.XLOOKUP($C72,'-ref_Distribution'!$B$146:$B$150,'-ref_Distribution'!$G$146:$G$150)),RIGHT(BX$1,2))</f>
        <v>20</v>
      </c>
      <c r="BY72" s="16" cm="1">
        <f t="array" ref="BY72">INDEX(_xlfn.ANCHORARRAY(_xlfn.XLOOKUP($C72,'-ref_Distribution'!$B$146:$B$150,'-ref_Distribution'!$G$146:$G$150)),RIGHT(BY$1,2))</f>
        <v>28</v>
      </c>
      <c r="BZ72" s="16" cm="1">
        <f t="array" ref="BZ72">INDEX(_xlfn.ANCHORARRAY(_xlfn.XLOOKUP($C72,'-ref_Distribution'!$B$146:$B$150,'-ref_Distribution'!$G$146:$G$150)),RIGHT(BZ$1,2))</f>
        <v>38</v>
      </c>
      <c r="CA72" s="16" cm="1">
        <f t="array" ref="CA72">INDEX(_xlfn.ANCHORARRAY(_xlfn.XLOOKUP($C72,'-ref_Distribution'!$B$146:$B$150,'-ref_Distribution'!$G$146:$G$150)),RIGHT(CA$1,2))</f>
        <v>48</v>
      </c>
      <c r="CB72" s="16" cm="1">
        <f t="array" ref="CB72">INDEX(_xlfn.ANCHORARRAY(_xlfn.XLOOKUP($C72,'-ref_Distribution'!$B$146:$B$150,'-ref_Distribution'!$G$146:$G$150)),RIGHT(CB$1,2))</f>
        <v>59</v>
      </c>
      <c r="CC72" s="16" cm="1">
        <f t="array" ref="CC72">INDEX(_xlfn.ANCHORARRAY(_xlfn.XLOOKUP($C72,'-ref_Distribution'!$B$146:$B$150,'-ref_Distribution'!$G$146:$G$150)),RIGHT(CC$1,2))</f>
        <v>69</v>
      </c>
      <c r="CD72" s="16" cm="1">
        <f t="array" ref="CD72">INDEX(_xlfn.ANCHORARRAY(_xlfn.XLOOKUP($C72,'-ref_Distribution'!$B$146:$B$150,'-ref_Distribution'!$G$146:$G$150)),RIGHT(CD$1,2))</f>
        <v>78</v>
      </c>
      <c r="CE72" s="16" cm="1">
        <f t="array" ref="CE72">INDEX(_xlfn.ANCHORARRAY(_xlfn.XLOOKUP($C72,'-ref_Distribution'!$B$146:$B$150,'-ref_Distribution'!$G$146:$G$150)),RIGHT(CE$1,2))</f>
        <v>83</v>
      </c>
    </row>
    <row r="73" spans="1:83" x14ac:dyDescent="0.2">
      <c r="A73" s="16">
        <v>310225</v>
      </c>
      <c r="B73" s="16" t="s">
        <v>378</v>
      </c>
      <c r="C73" s="16">
        <v>4</v>
      </c>
      <c r="D73" s="16" cm="1">
        <f t="array" ref="D73">INDEX(_xlfn.ANCHORARRAY(_xlfn.XLOOKUP($C73,'-ref_Distribution'!$B$146:$B$150,'-ref_Distribution'!$G$146:$G$150)),RIGHT(D$1,2))</f>
        <v>0</v>
      </c>
      <c r="E73" s="16" cm="1">
        <f t="array" ref="E73">INDEX(_xlfn.ANCHORARRAY(_xlfn.XLOOKUP($C73,'-ref_Distribution'!$B$146:$B$150,'-ref_Distribution'!$G$146:$G$150)),RIGHT(E$1,2))</f>
        <v>0</v>
      </c>
      <c r="F73" s="16" cm="1">
        <f t="array" ref="F73">INDEX(_xlfn.ANCHORARRAY(_xlfn.XLOOKUP($C73,'-ref_Distribution'!$B$146:$B$150,'-ref_Distribution'!$G$146:$G$150)),RIGHT(F$1,2))</f>
        <v>0</v>
      </c>
      <c r="G73" s="16" cm="1">
        <f t="array" ref="G73">INDEX(_xlfn.ANCHORARRAY(_xlfn.XLOOKUP($C73,'-ref_Distribution'!$B$146:$B$150,'-ref_Distribution'!$G$146:$G$150)),RIGHT(G$1,2))</f>
        <v>0</v>
      </c>
      <c r="H73" s="16" cm="1">
        <f t="array" ref="H73">INDEX(_xlfn.ANCHORARRAY(_xlfn.XLOOKUP($C73,'-ref_Distribution'!$B$146:$B$150,'-ref_Distribution'!$G$146:$G$150)),RIGHT(H$1,2))</f>
        <v>0</v>
      </c>
      <c r="I73" s="16" cm="1">
        <f t="array" ref="I73">INDEX(_xlfn.ANCHORARRAY(_xlfn.XLOOKUP($C73,'-ref_Distribution'!$B$146:$B$150,'-ref_Distribution'!$G$146:$G$150)),RIGHT(I$1,2))</f>
        <v>1</v>
      </c>
      <c r="J73" s="16" cm="1">
        <f t="array" ref="J73">INDEX(_xlfn.ANCHORARRAY(_xlfn.XLOOKUP($C73,'-ref_Distribution'!$B$146:$B$150,'-ref_Distribution'!$G$146:$G$150)),RIGHT(J$1,2))</f>
        <v>1</v>
      </c>
      <c r="K73" s="16" cm="1">
        <f t="array" ref="K73">INDEX(_xlfn.ANCHORARRAY(_xlfn.XLOOKUP($C73,'-ref_Distribution'!$B$146:$B$150,'-ref_Distribution'!$G$146:$G$150)),RIGHT(K$1,2))</f>
        <v>2</v>
      </c>
      <c r="L73" s="16" cm="1">
        <f t="array" ref="L73">INDEX(_xlfn.ANCHORARRAY(_xlfn.XLOOKUP($C73,'-ref_Distribution'!$B$146:$B$150,'-ref_Distribution'!$G$146:$G$150)),RIGHT(L$1,2))</f>
        <v>3</v>
      </c>
      <c r="M73" s="16" cm="1">
        <f t="array" ref="M73">INDEX(_xlfn.ANCHORARRAY(_xlfn.XLOOKUP($C73,'-ref_Distribution'!$B$146:$B$150,'-ref_Distribution'!$G$146:$G$150)),RIGHT(M$1,2))</f>
        <v>5</v>
      </c>
      <c r="N73" s="16" cm="1">
        <f t="array" ref="N73">INDEX(_xlfn.ANCHORARRAY(_xlfn.XLOOKUP($C73,'-ref_Distribution'!$B$146:$B$150,'-ref_Distribution'!$G$146:$G$150)),RIGHT(N$1,2))</f>
        <v>9</v>
      </c>
      <c r="O73" s="16" cm="1">
        <f t="array" ref="O73">INDEX(_xlfn.ANCHORARRAY(_xlfn.XLOOKUP($C73,'-ref_Distribution'!$B$146:$B$150,'-ref_Distribution'!$G$146:$G$150)),RIGHT(O$1,2))</f>
        <v>14</v>
      </c>
      <c r="P73" s="16" cm="1">
        <f t="array" ref="P73">INDEX(_xlfn.ANCHORARRAY(_xlfn.XLOOKUP($C73,'-ref_Distribution'!$B$146:$B$150,'-ref_Distribution'!$G$146:$G$150)),RIGHT(P$1,2))</f>
        <v>20</v>
      </c>
      <c r="Q73" s="16" cm="1">
        <f t="array" ref="Q73">INDEX(_xlfn.ANCHORARRAY(_xlfn.XLOOKUP($C73,'-ref_Distribution'!$B$146:$B$150,'-ref_Distribution'!$G$146:$G$150)),RIGHT(Q$1,2))</f>
        <v>28</v>
      </c>
      <c r="R73" s="16" cm="1">
        <f t="array" ref="R73">INDEX(_xlfn.ANCHORARRAY(_xlfn.XLOOKUP($C73,'-ref_Distribution'!$B$146:$B$150,'-ref_Distribution'!$G$146:$G$150)),RIGHT(R$1,2))</f>
        <v>38</v>
      </c>
      <c r="S73" s="16" cm="1">
        <f t="array" ref="S73">INDEX(_xlfn.ANCHORARRAY(_xlfn.XLOOKUP($C73,'-ref_Distribution'!$B$146:$B$150,'-ref_Distribution'!$G$146:$G$150)),RIGHT(S$1,2))</f>
        <v>48</v>
      </c>
      <c r="T73" s="16" cm="1">
        <f t="array" ref="T73">INDEX(_xlfn.ANCHORARRAY(_xlfn.XLOOKUP($C73,'-ref_Distribution'!$B$146:$B$150,'-ref_Distribution'!$G$146:$G$150)),RIGHT(T$1,2))</f>
        <v>59</v>
      </c>
      <c r="U73" s="16" cm="1">
        <f t="array" ref="U73">INDEX(_xlfn.ANCHORARRAY(_xlfn.XLOOKUP($C73,'-ref_Distribution'!$B$146:$B$150,'-ref_Distribution'!$G$146:$G$150)),RIGHT(U$1,2))</f>
        <v>69</v>
      </c>
      <c r="V73" s="16" cm="1">
        <f t="array" ref="V73">INDEX(_xlfn.ANCHORARRAY(_xlfn.XLOOKUP($C73,'-ref_Distribution'!$B$146:$B$150,'-ref_Distribution'!$G$146:$G$150)),RIGHT(V$1,2))</f>
        <v>78</v>
      </c>
      <c r="W73" s="16" cm="1">
        <f t="array" ref="W73">INDEX(_xlfn.ANCHORARRAY(_xlfn.XLOOKUP($C73,'-ref_Distribution'!$B$146:$B$150,'-ref_Distribution'!$G$146:$G$150)),RIGHT(W$1,2))</f>
        <v>83</v>
      </c>
      <c r="X73" s="16" cm="1">
        <f t="array" ref="X73">INDEX(_xlfn.ANCHORARRAY(_xlfn.XLOOKUP($C73,'-ref_Distribution'!$B$146:$B$150,'-ref_Distribution'!$G$146:$G$150)),RIGHT(X$1,2))</f>
        <v>0</v>
      </c>
      <c r="Y73" s="16" cm="1">
        <f t="array" ref="Y73">INDEX(_xlfn.ANCHORARRAY(_xlfn.XLOOKUP($C73,'-ref_Distribution'!$B$146:$B$150,'-ref_Distribution'!$G$146:$G$150)),RIGHT(Y$1,2))</f>
        <v>0</v>
      </c>
      <c r="Z73" s="16" cm="1">
        <f t="array" ref="Z73">INDEX(_xlfn.ANCHORARRAY(_xlfn.XLOOKUP($C73,'-ref_Distribution'!$B$146:$B$150,'-ref_Distribution'!$G$146:$G$150)),RIGHT(Z$1,2))</f>
        <v>0</v>
      </c>
      <c r="AA73" s="16" cm="1">
        <f t="array" ref="AA73">INDEX(_xlfn.ANCHORARRAY(_xlfn.XLOOKUP($C73,'-ref_Distribution'!$B$146:$B$150,'-ref_Distribution'!$G$146:$G$150)),RIGHT(AA$1,2))</f>
        <v>0</v>
      </c>
      <c r="AB73" s="16" cm="1">
        <f t="array" ref="AB73">INDEX(_xlfn.ANCHORARRAY(_xlfn.XLOOKUP($C73,'-ref_Distribution'!$B$146:$B$150,'-ref_Distribution'!$G$146:$G$150)),RIGHT(AB$1,2))</f>
        <v>0</v>
      </c>
      <c r="AC73" s="16" cm="1">
        <f t="array" ref="AC73">INDEX(_xlfn.ANCHORARRAY(_xlfn.XLOOKUP($C73,'-ref_Distribution'!$B$146:$B$150,'-ref_Distribution'!$G$146:$G$150)),RIGHT(AC$1,2))</f>
        <v>1</v>
      </c>
      <c r="AD73" s="16" cm="1">
        <f t="array" ref="AD73">INDEX(_xlfn.ANCHORARRAY(_xlfn.XLOOKUP($C73,'-ref_Distribution'!$B$146:$B$150,'-ref_Distribution'!$G$146:$G$150)),RIGHT(AD$1,2))</f>
        <v>1</v>
      </c>
      <c r="AE73" s="16" cm="1">
        <f t="array" ref="AE73">INDEX(_xlfn.ANCHORARRAY(_xlfn.XLOOKUP($C73,'-ref_Distribution'!$B$146:$B$150,'-ref_Distribution'!$G$146:$G$150)),RIGHT(AE$1,2))</f>
        <v>2</v>
      </c>
      <c r="AF73" s="16" cm="1">
        <f t="array" ref="AF73">INDEX(_xlfn.ANCHORARRAY(_xlfn.XLOOKUP($C73,'-ref_Distribution'!$B$146:$B$150,'-ref_Distribution'!$G$146:$G$150)),RIGHT(AF$1,2))</f>
        <v>3</v>
      </c>
      <c r="AG73" s="16" cm="1">
        <f t="array" ref="AG73">INDEX(_xlfn.ANCHORARRAY(_xlfn.XLOOKUP($C73,'-ref_Distribution'!$B$146:$B$150,'-ref_Distribution'!$G$146:$G$150)),RIGHT(AG$1,2))</f>
        <v>5</v>
      </c>
      <c r="AH73" s="16" cm="1">
        <f t="array" ref="AH73">INDEX(_xlfn.ANCHORARRAY(_xlfn.XLOOKUP($C73,'-ref_Distribution'!$B$146:$B$150,'-ref_Distribution'!$G$146:$G$150)),RIGHT(AH$1,2))</f>
        <v>9</v>
      </c>
      <c r="AI73" s="16" cm="1">
        <f t="array" ref="AI73">INDEX(_xlfn.ANCHORARRAY(_xlfn.XLOOKUP($C73,'-ref_Distribution'!$B$146:$B$150,'-ref_Distribution'!$G$146:$G$150)),RIGHT(AI$1,2))</f>
        <v>14</v>
      </c>
      <c r="AJ73" s="16" cm="1">
        <f t="array" ref="AJ73">INDEX(_xlfn.ANCHORARRAY(_xlfn.XLOOKUP($C73,'-ref_Distribution'!$B$146:$B$150,'-ref_Distribution'!$G$146:$G$150)),RIGHT(AJ$1,2))</f>
        <v>20</v>
      </c>
      <c r="AK73" s="16" cm="1">
        <f t="array" ref="AK73">INDEX(_xlfn.ANCHORARRAY(_xlfn.XLOOKUP($C73,'-ref_Distribution'!$B$146:$B$150,'-ref_Distribution'!$G$146:$G$150)),RIGHT(AK$1,2))</f>
        <v>28</v>
      </c>
      <c r="AL73" s="16" cm="1">
        <f t="array" ref="AL73">INDEX(_xlfn.ANCHORARRAY(_xlfn.XLOOKUP($C73,'-ref_Distribution'!$B$146:$B$150,'-ref_Distribution'!$G$146:$G$150)),RIGHT(AL$1,2))</f>
        <v>38</v>
      </c>
      <c r="AM73" s="16" cm="1">
        <f t="array" ref="AM73">INDEX(_xlfn.ANCHORARRAY(_xlfn.XLOOKUP($C73,'-ref_Distribution'!$B$146:$B$150,'-ref_Distribution'!$G$146:$G$150)),RIGHT(AM$1,2))</f>
        <v>48</v>
      </c>
      <c r="AN73" s="16" cm="1">
        <f t="array" ref="AN73">INDEX(_xlfn.ANCHORARRAY(_xlfn.XLOOKUP($C73,'-ref_Distribution'!$B$146:$B$150,'-ref_Distribution'!$G$146:$G$150)),RIGHT(AN$1,2))</f>
        <v>59</v>
      </c>
      <c r="AO73" s="16" cm="1">
        <f t="array" ref="AO73">INDEX(_xlfn.ANCHORARRAY(_xlfn.XLOOKUP($C73,'-ref_Distribution'!$B$146:$B$150,'-ref_Distribution'!$G$146:$G$150)),RIGHT(AO$1,2))</f>
        <v>69</v>
      </c>
      <c r="AP73" s="16" cm="1">
        <f t="array" ref="AP73">INDEX(_xlfn.ANCHORARRAY(_xlfn.XLOOKUP($C73,'-ref_Distribution'!$B$146:$B$150,'-ref_Distribution'!$G$146:$G$150)),RIGHT(AP$1,2))</f>
        <v>78</v>
      </c>
      <c r="AQ73" s="16" cm="1">
        <f t="array" ref="AQ73">INDEX(_xlfn.ANCHORARRAY(_xlfn.XLOOKUP($C73,'-ref_Distribution'!$B$146:$B$150,'-ref_Distribution'!$G$146:$G$150)),RIGHT(AQ$1,2))</f>
        <v>83</v>
      </c>
      <c r="AR73" s="16" cm="1">
        <f t="array" ref="AR73">INDEX(_xlfn.ANCHORARRAY(_xlfn.XLOOKUP($C73,'-ref_Distribution'!$B$146:$B$150,'-ref_Distribution'!$G$146:$G$150)),RIGHT(AR$1,2))</f>
        <v>0</v>
      </c>
      <c r="AS73" s="16" cm="1">
        <f t="array" ref="AS73">INDEX(_xlfn.ANCHORARRAY(_xlfn.XLOOKUP($C73,'-ref_Distribution'!$B$146:$B$150,'-ref_Distribution'!$G$146:$G$150)),RIGHT(AS$1,2))</f>
        <v>0</v>
      </c>
      <c r="AT73" s="16" cm="1">
        <f t="array" ref="AT73">INDEX(_xlfn.ANCHORARRAY(_xlfn.XLOOKUP($C73,'-ref_Distribution'!$B$146:$B$150,'-ref_Distribution'!$G$146:$G$150)),RIGHT(AT$1,2))</f>
        <v>0</v>
      </c>
      <c r="AU73" s="16" cm="1">
        <f t="array" ref="AU73">INDEX(_xlfn.ANCHORARRAY(_xlfn.XLOOKUP($C73,'-ref_Distribution'!$B$146:$B$150,'-ref_Distribution'!$G$146:$G$150)),RIGHT(AU$1,2))</f>
        <v>0</v>
      </c>
      <c r="AV73" s="16" cm="1">
        <f t="array" ref="AV73">INDEX(_xlfn.ANCHORARRAY(_xlfn.XLOOKUP($C73,'-ref_Distribution'!$B$146:$B$150,'-ref_Distribution'!$G$146:$G$150)),RIGHT(AV$1,2))</f>
        <v>0</v>
      </c>
      <c r="AW73" s="16" cm="1">
        <f t="array" ref="AW73">INDEX(_xlfn.ANCHORARRAY(_xlfn.XLOOKUP($C73,'-ref_Distribution'!$B$146:$B$150,'-ref_Distribution'!$G$146:$G$150)),RIGHT(AW$1,2))</f>
        <v>1</v>
      </c>
      <c r="AX73" s="16" cm="1">
        <f t="array" ref="AX73">INDEX(_xlfn.ANCHORARRAY(_xlfn.XLOOKUP($C73,'-ref_Distribution'!$B$146:$B$150,'-ref_Distribution'!$G$146:$G$150)),RIGHT(AX$1,2))</f>
        <v>1</v>
      </c>
      <c r="AY73" s="16" cm="1">
        <f t="array" ref="AY73">INDEX(_xlfn.ANCHORARRAY(_xlfn.XLOOKUP($C73,'-ref_Distribution'!$B$146:$B$150,'-ref_Distribution'!$G$146:$G$150)),RIGHT(AY$1,2))</f>
        <v>2</v>
      </c>
      <c r="AZ73" s="16" cm="1">
        <f t="array" ref="AZ73">INDEX(_xlfn.ANCHORARRAY(_xlfn.XLOOKUP($C73,'-ref_Distribution'!$B$146:$B$150,'-ref_Distribution'!$G$146:$G$150)),RIGHT(AZ$1,2))</f>
        <v>3</v>
      </c>
      <c r="BA73" s="16" cm="1">
        <f t="array" ref="BA73">INDEX(_xlfn.ANCHORARRAY(_xlfn.XLOOKUP($C73,'-ref_Distribution'!$B$146:$B$150,'-ref_Distribution'!$G$146:$G$150)),RIGHT(BA$1,2))</f>
        <v>5</v>
      </c>
      <c r="BB73" s="16" cm="1">
        <f t="array" ref="BB73">INDEX(_xlfn.ANCHORARRAY(_xlfn.XLOOKUP($C73,'-ref_Distribution'!$B$146:$B$150,'-ref_Distribution'!$G$146:$G$150)),RIGHT(BB$1,2))</f>
        <v>9</v>
      </c>
      <c r="BC73" s="16" cm="1">
        <f t="array" ref="BC73">INDEX(_xlfn.ANCHORARRAY(_xlfn.XLOOKUP($C73,'-ref_Distribution'!$B$146:$B$150,'-ref_Distribution'!$G$146:$G$150)),RIGHT(BC$1,2))</f>
        <v>14</v>
      </c>
      <c r="BD73" s="16" cm="1">
        <f t="array" ref="BD73">INDEX(_xlfn.ANCHORARRAY(_xlfn.XLOOKUP($C73,'-ref_Distribution'!$B$146:$B$150,'-ref_Distribution'!$G$146:$G$150)),RIGHT(BD$1,2))</f>
        <v>20</v>
      </c>
      <c r="BE73" s="16" cm="1">
        <f t="array" ref="BE73">INDEX(_xlfn.ANCHORARRAY(_xlfn.XLOOKUP($C73,'-ref_Distribution'!$B$146:$B$150,'-ref_Distribution'!$G$146:$G$150)),RIGHT(BE$1,2))</f>
        <v>28</v>
      </c>
      <c r="BF73" s="16" cm="1">
        <f t="array" ref="BF73">INDEX(_xlfn.ANCHORARRAY(_xlfn.XLOOKUP($C73,'-ref_Distribution'!$B$146:$B$150,'-ref_Distribution'!$G$146:$G$150)),RIGHT(BF$1,2))</f>
        <v>38</v>
      </c>
      <c r="BG73" s="16" cm="1">
        <f t="array" ref="BG73">INDEX(_xlfn.ANCHORARRAY(_xlfn.XLOOKUP($C73,'-ref_Distribution'!$B$146:$B$150,'-ref_Distribution'!$G$146:$G$150)),RIGHT(BG$1,2))</f>
        <v>48</v>
      </c>
      <c r="BH73" s="16" cm="1">
        <f t="array" ref="BH73">INDEX(_xlfn.ANCHORARRAY(_xlfn.XLOOKUP($C73,'-ref_Distribution'!$B$146:$B$150,'-ref_Distribution'!$G$146:$G$150)),RIGHT(BH$1,2))</f>
        <v>59</v>
      </c>
      <c r="BI73" s="16" cm="1">
        <f t="array" ref="BI73">INDEX(_xlfn.ANCHORARRAY(_xlfn.XLOOKUP($C73,'-ref_Distribution'!$B$146:$B$150,'-ref_Distribution'!$G$146:$G$150)),RIGHT(BI$1,2))</f>
        <v>69</v>
      </c>
      <c r="BJ73" s="16" cm="1">
        <f t="array" ref="BJ73">INDEX(_xlfn.ANCHORARRAY(_xlfn.XLOOKUP($C73,'-ref_Distribution'!$B$146:$B$150,'-ref_Distribution'!$G$146:$G$150)),RIGHT(BJ$1,2))</f>
        <v>78</v>
      </c>
      <c r="BK73" s="16" cm="1">
        <f t="array" ref="BK73">INDEX(_xlfn.ANCHORARRAY(_xlfn.XLOOKUP($C73,'-ref_Distribution'!$B$146:$B$150,'-ref_Distribution'!$G$146:$G$150)),RIGHT(BK$1,2))</f>
        <v>83</v>
      </c>
      <c r="BL73" s="16" cm="1">
        <f t="array" ref="BL73">INDEX(_xlfn.ANCHORARRAY(_xlfn.XLOOKUP($C73,'-ref_Distribution'!$B$146:$B$150,'-ref_Distribution'!$G$146:$G$150)),RIGHT(BL$1,2))</f>
        <v>0</v>
      </c>
      <c r="BM73" s="16" cm="1">
        <f t="array" ref="BM73">INDEX(_xlfn.ANCHORARRAY(_xlfn.XLOOKUP($C73,'-ref_Distribution'!$B$146:$B$150,'-ref_Distribution'!$G$146:$G$150)),RIGHT(BM$1,2))</f>
        <v>0</v>
      </c>
      <c r="BN73" s="16" cm="1">
        <f t="array" ref="BN73">INDEX(_xlfn.ANCHORARRAY(_xlfn.XLOOKUP($C73,'-ref_Distribution'!$B$146:$B$150,'-ref_Distribution'!$G$146:$G$150)),RIGHT(BN$1,2))</f>
        <v>0</v>
      </c>
      <c r="BO73" s="16" cm="1">
        <f t="array" ref="BO73">INDEX(_xlfn.ANCHORARRAY(_xlfn.XLOOKUP($C73,'-ref_Distribution'!$B$146:$B$150,'-ref_Distribution'!$G$146:$G$150)),RIGHT(BO$1,2))</f>
        <v>0</v>
      </c>
      <c r="BP73" s="16" cm="1">
        <f t="array" ref="BP73">INDEX(_xlfn.ANCHORARRAY(_xlfn.XLOOKUP($C73,'-ref_Distribution'!$B$146:$B$150,'-ref_Distribution'!$G$146:$G$150)),RIGHT(BP$1,2))</f>
        <v>0</v>
      </c>
      <c r="BQ73" s="16" cm="1">
        <f t="array" ref="BQ73">INDEX(_xlfn.ANCHORARRAY(_xlfn.XLOOKUP($C73,'-ref_Distribution'!$B$146:$B$150,'-ref_Distribution'!$G$146:$G$150)),RIGHT(BQ$1,2))</f>
        <v>1</v>
      </c>
      <c r="BR73" s="16" cm="1">
        <f t="array" ref="BR73">INDEX(_xlfn.ANCHORARRAY(_xlfn.XLOOKUP($C73,'-ref_Distribution'!$B$146:$B$150,'-ref_Distribution'!$G$146:$G$150)),RIGHT(BR$1,2))</f>
        <v>1</v>
      </c>
      <c r="BS73" s="16" cm="1">
        <f t="array" ref="BS73">INDEX(_xlfn.ANCHORARRAY(_xlfn.XLOOKUP($C73,'-ref_Distribution'!$B$146:$B$150,'-ref_Distribution'!$G$146:$G$150)),RIGHT(BS$1,2))</f>
        <v>2</v>
      </c>
      <c r="BT73" s="16" cm="1">
        <f t="array" ref="BT73">INDEX(_xlfn.ANCHORARRAY(_xlfn.XLOOKUP($C73,'-ref_Distribution'!$B$146:$B$150,'-ref_Distribution'!$G$146:$G$150)),RIGHT(BT$1,2))</f>
        <v>3</v>
      </c>
      <c r="BU73" s="16" cm="1">
        <f t="array" ref="BU73">INDEX(_xlfn.ANCHORARRAY(_xlfn.XLOOKUP($C73,'-ref_Distribution'!$B$146:$B$150,'-ref_Distribution'!$G$146:$G$150)),RIGHT(BU$1,2))</f>
        <v>5</v>
      </c>
      <c r="BV73" s="16" cm="1">
        <f t="array" ref="BV73">INDEX(_xlfn.ANCHORARRAY(_xlfn.XLOOKUP($C73,'-ref_Distribution'!$B$146:$B$150,'-ref_Distribution'!$G$146:$G$150)),RIGHT(BV$1,2))</f>
        <v>9</v>
      </c>
      <c r="BW73" s="16" cm="1">
        <f t="array" ref="BW73">INDEX(_xlfn.ANCHORARRAY(_xlfn.XLOOKUP($C73,'-ref_Distribution'!$B$146:$B$150,'-ref_Distribution'!$G$146:$G$150)),RIGHT(BW$1,2))</f>
        <v>14</v>
      </c>
      <c r="BX73" s="16" cm="1">
        <f t="array" ref="BX73">INDEX(_xlfn.ANCHORARRAY(_xlfn.XLOOKUP($C73,'-ref_Distribution'!$B$146:$B$150,'-ref_Distribution'!$G$146:$G$150)),RIGHT(BX$1,2))</f>
        <v>20</v>
      </c>
      <c r="BY73" s="16" cm="1">
        <f t="array" ref="BY73">INDEX(_xlfn.ANCHORARRAY(_xlfn.XLOOKUP($C73,'-ref_Distribution'!$B$146:$B$150,'-ref_Distribution'!$G$146:$G$150)),RIGHT(BY$1,2))</f>
        <v>28</v>
      </c>
      <c r="BZ73" s="16" cm="1">
        <f t="array" ref="BZ73">INDEX(_xlfn.ANCHORARRAY(_xlfn.XLOOKUP($C73,'-ref_Distribution'!$B$146:$B$150,'-ref_Distribution'!$G$146:$G$150)),RIGHT(BZ$1,2))</f>
        <v>38</v>
      </c>
      <c r="CA73" s="16" cm="1">
        <f t="array" ref="CA73">INDEX(_xlfn.ANCHORARRAY(_xlfn.XLOOKUP($C73,'-ref_Distribution'!$B$146:$B$150,'-ref_Distribution'!$G$146:$G$150)),RIGHT(CA$1,2))</f>
        <v>48</v>
      </c>
      <c r="CB73" s="16" cm="1">
        <f t="array" ref="CB73">INDEX(_xlfn.ANCHORARRAY(_xlfn.XLOOKUP($C73,'-ref_Distribution'!$B$146:$B$150,'-ref_Distribution'!$G$146:$G$150)),RIGHT(CB$1,2))</f>
        <v>59</v>
      </c>
      <c r="CC73" s="16" cm="1">
        <f t="array" ref="CC73">INDEX(_xlfn.ANCHORARRAY(_xlfn.XLOOKUP($C73,'-ref_Distribution'!$B$146:$B$150,'-ref_Distribution'!$G$146:$G$150)),RIGHT(CC$1,2))</f>
        <v>69</v>
      </c>
      <c r="CD73" s="16" cm="1">
        <f t="array" ref="CD73">INDEX(_xlfn.ANCHORARRAY(_xlfn.XLOOKUP($C73,'-ref_Distribution'!$B$146:$B$150,'-ref_Distribution'!$G$146:$G$150)),RIGHT(CD$1,2))</f>
        <v>78</v>
      </c>
      <c r="CE73" s="16" cm="1">
        <f t="array" ref="CE73">INDEX(_xlfn.ANCHORARRAY(_xlfn.XLOOKUP($C73,'-ref_Distribution'!$B$146:$B$150,'-ref_Distribution'!$G$146:$G$150)),RIGHT(CE$1,2))</f>
        <v>83</v>
      </c>
    </row>
    <row r="74" spans="1:83" x14ac:dyDescent="0.2"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</row>
    <row r="75" spans="1:83" x14ac:dyDescent="0.2">
      <c r="A75" s="16">
        <v>310407</v>
      </c>
      <c r="B75" s="16" t="s">
        <v>394</v>
      </c>
      <c r="C75" s="16">
        <v>1</v>
      </c>
      <c r="D75" s="16" cm="1">
        <f t="array" ref="D75">INDEX(_xlfn.ANCHORARRAY(_xlfn.XLOOKUP($C75,'-ref_Distribution'!$B$146:$B$150,'-ref_Distribution'!$G$146:$G$150)),RIGHT(D$1,2))</f>
        <v>337</v>
      </c>
      <c r="E75" s="16" cm="1">
        <f t="array" ref="E75">INDEX(_xlfn.ANCHORARRAY(_xlfn.XLOOKUP($C75,'-ref_Distribution'!$B$146:$B$150,'-ref_Distribution'!$G$146:$G$150)),RIGHT(E$1,2))</f>
        <v>364</v>
      </c>
      <c r="F75" s="16" cm="1">
        <f t="array" ref="F75">INDEX(_xlfn.ANCHORARRAY(_xlfn.XLOOKUP($C75,'-ref_Distribution'!$B$146:$B$150,'-ref_Distribution'!$G$146:$G$150)),RIGHT(F$1,2))</f>
        <v>386</v>
      </c>
      <c r="G75" s="16" cm="1">
        <f t="array" ref="G75">INDEX(_xlfn.ANCHORARRAY(_xlfn.XLOOKUP($C75,'-ref_Distribution'!$B$146:$B$150,'-ref_Distribution'!$G$146:$G$150)),RIGHT(G$1,2))</f>
        <v>403</v>
      </c>
      <c r="H75" s="16" cm="1">
        <f t="array" ref="H75">INDEX(_xlfn.ANCHORARRAY(_xlfn.XLOOKUP($C75,'-ref_Distribution'!$B$146:$B$150,'-ref_Distribution'!$G$146:$G$150)),RIGHT(H$1,2))</f>
        <v>414</v>
      </c>
      <c r="I75" s="16" cm="1">
        <f t="array" ref="I75">INDEX(_xlfn.ANCHORARRAY(_xlfn.XLOOKUP($C75,'-ref_Distribution'!$B$146:$B$150,'-ref_Distribution'!$G$146:$G$150)),RIGHT(I$1,2))</f>
        <v>417</v>
      </c>
      <c r="J75" s="16" cm="1">
        <f t="array" ref="J75">INDEX(_xlfn.ANCHORARRAY(_xlfn.XLOOKUP($C75,'-ref_Distribution'!$B$146:$B$150,'-ref_Distribution'!$G$146:$G$150)),RIGHT(J$1,2))</f>
        <v>414</v>
      </c>
      <c r="K75" s="16" cm="1">
        <f t="array" ref="K75">INDEX(_xlfn.ANCHORARRAY(_xlfn.XLOOKUP($C75,'-ref_Distribution'!$B$146:$B$150,'-ref_Distribution'!$G$146:$G$150)),RIGHT(K$1,2))</f>
        <v>403</v>
      </c>
      <c r="L75" s="16" cm="1">
        <f t="array" ref="L75">INDEX(_xlfn.ANCHORARRAY(_xlfn.XLOOKUP($C75,'-ref_Distribution'!$B$146:$B$150,'-ref_Distribution'!$G$146:$G$150)),RIGHT(L$1,2))</f>
        <v>386</v>
      </c>
      <c r="M75" s="16" cm="1">
        <f t="array" ref="M75">INDEX(_xlfn.ANCHORARRAY(_xlfn.XLOOKUP($C75,'-ref_Distribution'!$B$146:$B$150,'-ref_Distribution'!$G$146:$G$150)),RIGHT(M$1,2))</f>
        <v>364</v>
      </c>
      <c r="N75" s="16" cm="1">
        <f t="array" ref="N75">INDEX(_xlfn.ANCHORARRAY(_xlfn.XLOOKUP($C75,'-ref_Distribution'!$B$146:$B$150,'-ref_Distribution'!$G$146:$G$150)),RIGHT(N$1,2))</f>
        <v>337</v>
      </c>
      <c r="O75" s="16" cm="1">
        <f t="array" ref="O75">INDEX(_xlfn.ANCHORARRAY(_xlfn.XLOOKUP($C75,'-ref_Distribution'!$B$146:$B$150,'-ref_Distribution'!$G$146:$G$150)),RIGHT(O$1,2))</f>
        <v>307</v>
      </c>
      <c r="P75" s="16" cm="1">
        <f t="array" ref="P75">INDEX(_xlfn.ANCHORARRAY(_xlfn.XLOOKUP($C75,'-ref_Distribution'!$B$146:$B$150,'-ref_Distribution'!$G$146:$G$150)),RIGHT(P$1,2))</f>
        <v>274</v>
      </c>
      <c r="Q75" s="16" cm="1">
        <f t="array" ref="Q75">INDEX(_xlfn.ANCHORARRAY(_xlfn.XLOOKUP($C75,'-ref_Distribution'!$B$146:$B$150,'-ref_Distribution'!$G$146:$G$150)),RIGHT(Q$1,2))</f>
        <v>241</v>
      </c>
      <c r="R75" s="16" cm="1">
        <f t="array" ref="R75">INDEX(_xlfn.ANCHORARRAY(_xlfn.XLOOKUP($C75,'-ref_Distribution'!$B$146:$B$150,'-ref_Distribution'!$G$146:$G$150)),RIGHT(R$1,2))</f>
        <v>209</v>
      </c>
      <c r="S75" s="16" cm="1">
        <f t="array" ref="S75">INDEX(_xlfn.ANCHORARRAY(_xlfn.XLOOKUP($C75,'-ref_Distribution'!$B$146:$B$150,'-ref_Distribution'!$G$146:$G$150)),RIGHT(S$1,2))</f>
        <v>178</v>
      </c>
      <c r="T75" s="16" cm="1">
        <f t="array" ref="T75">INDEX(_xlfn.ANCHORARRAY(_xlfn.XLOOKUP($C75,'-ref_Distribution'!$B$146:$B$150,'-ref_Distribution'!$G$146:$G$150)),RIGHT(T$1,2))</f>
        <v>148</v>
      </c>
      <c r="U75" s="16" cm="1">
        <f t="array" ref="U75">INDEX(_xlfn.ANCHORARRAY(_xlfn.XLOOKUP($C75,'-ref_Distribution'!$B$146:$B$150,'-ref_Distribution'!$G$146:$G$150)),RIGHT(U$1,2))</f>
        <v>122</v>
      </c>
      <c r="V75" s="16" cm="1">
        <f t="array" ref="V75">INDEX(_xlfn.ANCHORARRAY(_xlfn.XLOOKUP($C75,'-ref_Distribution'!$B$146:$B$150,'-ref_Distribution'!$G$146:$G$150)),RIGHT(V$1,2))</f>
        <v>98</v>
      </c>
      <c r="W75" s="16" cm="1">
        <f t="array" ref="W75">INDEX(_xlfn.ANCHORARRAY(_xlfn.XLOOKUP($C75,'-ref_Distribution'!$B$146:$B$150,'-ref_Distribution'!$G$146:$G$150)),RIGHT(W$1,2))</f>
        <v>78</v>
      </c>
      <c r="X75" s="16" cm="1">
        <f t="array" ref="X75">INDEX(_xlfn.ANCHORARRAY(_xlfn.XLOOKUP($C75,'-ref_Distribution'!$B$146:$B$150,'-ref_Distribution'!$G$146:$G$150)),RIGHT(X$1,2))</f>
        <v>337</v>
      </c>
      <c r="Y75" s="16" cm="1">
        <f t="array" ref="Y75">INDEX(_xlfn.ANCHORARRAY(_xlfn.XLOOKUP($C75,'-ref_Distribution'!$B$146:$B$150,'-ref_Distribution'!$G$146:$G$150)),RIGHT(Y$1,2))</f>
        <v>364</v>
      </c>
      <c r="Z75" s="16" cm="1">
        <f t="array" ref="Z75">INDEX(_xlfn.ANCHORARRAY(_xlfn.XLOOKUP($C75,'-ref_Distribution'!$B$146:$B$150,'-ref_Distribution'!$G$146:$G$150)),RIGHT(Z$1,2))</f>
        <v>386</v>
      </c>
      <c r="AA75" s="16" cm="1">
        <f t="array" ref="AA75">INDEX(_xlfn.ANCHORARRAY(_xlfn.XLOOKUP($C75,'-ref_Distribution'!$B$146:$B$150,'-ref_Distribution'!$G$146:$G$150)),RIGHT(AA$1,2))</f>
        <v>403</v>
      </c>
      <c r="AB75" s="16" cm="1">
        <f t="array" ref="AB75">INDEX(_xlfn.ANCHORARRAY(_xlfn.XLOOKUP($C75,'-ref_Distribution'!$B$146:$B$150,'-ref_Distribution'!$G$146:$G$150)),RIGHT(AB$1,2))</f>
        <v>414</v>
      </c>
      <c r="AC75" s="16" cm="1">
        <f t="array" ref="AC75">INDEX(_xlfn.ANCHORARRAY(_xlfn.XLOOKUP($C75,'-ref_Distribution'!$B$146:$B$150,'-ref_Distribution'!$G$146:$G$150)),RIGHT(AC$1,2))</f>
        <v>417</v>
      </c>
      <c r="AD75" s="16" cm="1">
        <f t="array" ref="AD75">INDEX(_xlfn.ANCHORARRAY(_xlfn.XLOOKUP($C75,'-ref_Distribution'!$B$146:$B$150,'-ref_Distribution'!$G$146:$G$150)),RIGHT(AD$1,2))</f>
        <v>414</v>
      </c>
      <c r="AE75" s="16" cm="1">
        <f t="array" ref="AE75">INDEX(_xlfn.ANCHORARRAY(_xlfn.XLOOKUP($C75,'-ref_Distribution'!$B$146:$B$150,'-ref_Distribution'!$G$146:$G$150)),RIGHT(AE$1,2))</f>
        <v>403</v>
      </c>
      <c r="AF75" s="16" cm="1">
        <f t="array" ref="AF75">INDEX(_xlfn.ANCHORARRAY(_xlfn.XLOOKUP($C75,'-ref_Distribution'!$B$146:$B$150,'-ref_Distribution'!$G$146:$G$150)),RIGHT(AF$1,2))</f>
        <v>386</v>
      </c>
      <c r="AG75" s="16" cm="1">
        <f t="array" ref="AG75">INDEX(_xlfn.ANCHORARRAY(_xlfn.XLOOKUP($C75,'-ref_Distribution'!$B$146:$B$150,'-ref_Distribution'!$G$146:$G$150)),RIGHT(AG$1,2))</f>
        <v>364</v>
      </c>
      <c r="AH75" s="16" cm="1">
        <f t="array" ref="AH75">INDEX(_xlfn.ANCHORARRAY(_xlfn.XLOOKUP($C75,'-ref_Distribution'!$B$146:$B$150,'-ref_Distribution'!$G$146:$G$150)),RIGHT(AH$1,2))</f>
        <v>337</v>
      </c>
      <c r="AI75" s="16" cm="1">
        <f t="array" ref="AI75">INDEX(_xlfn.ANCHORARRAY(_xlfn.XLOOKUP($C75,'-ref_Distribution'!$B$146:$B$150,'-ref_Distribution'!$G$146:$G$150)),RIGHT(AI$1,2))</f>
        <v>307</v>
      </c>
      <c r="AJ75" s="16" cm="1">
        <f t="array" ref="AJ75">INDEX(_xlfn.ANCHORARRAY(_xlfn.XLOOKUP($C75,'-ref_Distribution'!$B$146:$B$150,'-ref_Distribution'!$G$146:$G$150)),RIGHT(AJ$1,2))</f>
        <v>274</v>
      </c>
      <c r="AK75" s="16" cm="1">
        <f t="array" ref="AK75">INDEX(_xlfn.ANCHORARRAY(_xlfn.XLOOKUP($C75,'-ref_Distribution'!$B$146:$B$150,'-ref_Distribution'!$G$146:$G$150)),RIGHT(AK$1,2))</f>
        <v>241</v>
      </c>
      <c r="AL75" s="16" cm="1">
        <f t="array" ref="AL75">INDEX(_xlfn.ANCHORARRAY(_xlfn.XLOOKUP($C75,'-ref_Distribution'!$B$146:$B$150,'-ref_Distribution'!$G$146:$G$150)),RIGHT(AL$1,2))</f>
        <v>209</v>
      </c>
      <c r="AM75" s="16" cm="1">
        <f t="array" ref="AM75">INDEX(_xlfn.ANCHORARRAY(_xlfn.XLOOKUP($C75,'-ref_Distribution'!$B$146:$B$150,'-ref_Distribution'!$G$146:$G$150)),RIGHT(AM$1,2))</f>
        <v>178</v>
      </c>
      <c r="AN75" s="16" cm="1">
        <f t="array" ref="AN75">INDEX(_xlfn.ANCHORARRAY(_xlfn.XLOOKUP($C75,'-ref_Distribution'!$B$146:$B$150,'-ref_Distribution'!$G$146:$G$150)),RIGHT(AN$1,2))</f>
        <v>148</v>
      </c>
      <c r="AO75" s="16" cm="1">
        <f t="array" ref="AO75">INDEX(_xlfn.ANCHORARRAY(_xlfn.XLOOKUP($C75,'-ref_Distribution'!$B$146:$B$150,'-ref_Distribution'!$G$146:$G$150)),RIGHT(AO$1,2))</f>
        <v>122</v>
      </c>
      <c r="AP75" s="16" cm="1">
        <f t="array" ref="AP75">INDEX(_xlfn.ANCHORARRAY(_xlfn.XLOOKUP($C75,'-ref_Distribution'!$B$146:$B$150,'-ref_Distribution'!$G$146:$G$150)),RIGHT(AP$1,2))</f>
        <v>98</v>
      </c>
      <c r="AQ75" s="16" cm="1">
        <f t="array" ref="AQ75">INDEX(_xlfn.ANCHORARRAY(_xlfn.XLOOKUP($C75,'-ref_Distribution'!$B$146:$B$150,'-ref_Distribution'!$G$146:$G$150)),RIGHT(AQ$1,2))</f>
        <v>78</v>
      </c>
      <c r="AR75" s="16" cm="1">
        <f t="array" ref="AR75">INDEX(_xlfn.ANCHORARRAY(_xlfn.XLOOKUP($C75,'-ref_Distribution'!$B$146:$B$150,'-ref_Distribution'!$G$146:$G$150)),RIGHT(AR$1,2))</f>
        <v>337</v>
      </c>
      <c r="AS75" s="16" cm="1">
        <f t="array" ref="AS75">INDEX(_xlfn.ANCHORARRAY(_xlfn.XLOOKUP($C75,'-ref_Distribution'!$B$146:$B$150,'-ref_Distribution'!$G$146:$G$150)),RIGHT(AS$1,2))</f>
        <v>364</v>
      </c>
      <c r="AT75" s="16" cm="1">
        <f t="array" ref="AT75">INDEX(_xlfn.ANCHORARRAY(_xlfn.XLOOKUP($C75,'-ref_Distribution'!$B$146:$B$150,'-ref_Distribution'!$G$146:$G$150)),RIGHT(AT$1,2))</f>
        <v>386</v>
      </c>
      <c r="AU75" s="16" cm="1">
        <f t="array" ref="AU75">INDEX(_xlfn.ANCHORARRAY(_xlfn.XLOOKUP($C75,'-ref_Distribution'!$B$146:$B$150,'-ref_Distribution'!$G$146:$G$150)),RIGHT(AU$1,2))</f>
        <v>403</v>
      </c>
      <c r="AV75" s="16" cm="1">
        <f t="array" ref="AV75">INDEX(_xlfn.ANCHORARRAY(_xlfn.XLOOKUP($C75,'-ref_Distribution'!$B$146:$B$150,'-ref_Distribution'!$G$146:$G$150)),RIGHT(AV$1,2))</f>
        <v>414</v>
      </c>
      <c r="AW75" s="16" cm="1">
        <f t="array" ref="AW75">INDEX(_xlfn.ANCHORARRAY(_xlfn.XLOOKUP($C75,'-ref_Distribution'!$B$146:$B$150,'-ref_Distribution'!$G$146:$G$150)),RIGHT(AW$1,2))</f>
        <v>417</v>
      </c>
      <c r="AX75" s="16" cm="1">
        <f t="array" ref="AX75">INDEX(_xlfn.ANCHORARRAY(_xlfn.XLOOKUP($C75,'-ref_Distribution'!$B$146:$B$150,'-ref_Distribution'!$G$146:$G$150)),RIGHT(AX$1,2))</f>
        <v>414</v>
      </c>
      <c r="AY75" s="16" cm="1">
        <f t="array" ref="AY75">INDEX(_xlfn.ANCHORARRAY(_xlfn.XLOOKUP($C75,'-ref_Distribution'!$B$146:$B$150,'-ref_Distribution'!$G$146:$G$150)),RIGHT(AY$1,2))</f>
        <v>403</v>
      </c>
      <c r="AZ75" s="16" cm="1">
        <f t="array" ref="AZ75">INDEX(_xlfn.ANCHORARRAY(_xlfn.XLOOKUP($C75,'-ref_Distribution'!$B$146:$B$150,'-ref_Distribution'!$G$146:$G$150)),RIGHT(AZ$1,2))</f>
        <v>386</v>
      </c>
      <c r="BA75" s="16" cm="1">
        <f t="array" ref="BA75">INDEX(_xlfn.ANCHORARRAY(_xlfn.XLOOKUP($C75,'-ref_Distribution'!$B$146:$B$150,'-ref_Distribution'!$G$146:$G$150)),RIGHT(BA$1,2))</f>
        <v>364</v>
      </c>
      <c r="BB75" s="16" cm="1">
        <f t="array" ref="BB75">INDEX(_xlfn.ANCHORARRAY(_xlfn.XLOOKUP($C75,'-ref_Distribution'!$B$146:$B$150,'-ref_Distribution'!$G$146:$G$150)),RIGHT(BB$1,2))</f>
        <v>337</v>
      </c>
      <c r="BC75" s="16" cm="1">
        <f t="array" ref="BC75">INDEX(_xlfn.ANCHORARRAY(_xlfn.XLOOKUP($C75,'-ref_Distribution'!$B$146:$B$150,'-ref_Distribution'!$G$146:$G$150)),RIGHT(BC$1,2))</f>
        <v>307</v>
      </c>
      <c r="BD75" s="16" cm="1">
        <f t="array" ref="BD75">INDEX(_xlfn.ANCHORARRAY(_xlfn.XLOOKUP($C75,'-ref_Distribution'!$B$146:$B$150,'-ref_Distribution'!$G$146:$G$150)),RIGHT(BD$1,2))</f>
        <v>274</v>
      </c>
      <c r="BE75" s="16" cm="1">
        <f t="array" ref="BE75">INDEX(_xlfn.ANCHORARRAY(_xlfn.XLOOKUP($C75,'-ref_Distribution'!$B$146:$B$150,'-ref_Distribution'!$G$146:$G$150)),RIGHT(BE$1,2))</f>
        <v>241</v>
      </c>
      <c r="BF75" s="16" cm="1">
        <f t="array" ref="BF75">INDEX(_xlfn.ANCHORARRAY(_xlfn.XLOOKUP($C75,'-ref_Distribution'!$B$146:$B$150,'-ref_Distribution'!$G$146:$G$150)),RIGHT(BF$1,2))</f>
        <v>209</v>
      </c>
      <c r="BG75" s="16" cm="1">
        <f t="array" ref="BG75">INDEX(_xlfn.ANCHORARRAY(_xlfn.XLOOKUP($C75,'-ref_Distribution'!$B$146:$B$150,'-ref_Distribution'!$G$146:$G$150)),RIGHT(BG$1,2))</f>
        <v>178</v>
      </c>
      <c r="BH75" s="16" cm="1">
        <f t="array" ref="BH75">INDEX(_xlfn.ANCHORARRAY(_xlfn.XLOOKUP($C75,'-ref_Distribution'!$B$146:$B$150,'-ref_Distribution'!$G$146:$G$150)),RIGHT(BH$1,2))</f>
        <v>148</v>
      </c>
      <c r="BI75" s="16" cm="1">
        <f t="array" ref="BI75">INDEX(_xlfn.ANCHORARRAY(_xlfn.XLOOKUP($C75,'-ref_Distribution'!$B$146:$B$150,'-ref_Distribution'!$G$146:$G$150)),RIGHT(BI$1,2))</f>
        <v>122</v>
      </c>
      <c r="BJ75" s="16" cm="1">
        <f t="array" ref="BJ75">INDEX(_xlfn.ANCHORARRAY(_xlfn.XLOOKUP($C75,'-ref_Distribution'!$B$146:$B$150,'-ref_Distribution'!$G$146:$G$150)),RIGHT(BJ$1,2))</f>
        <v>98</v>
      </c>
      <c r="BK75" s="16" cm="1">
        <f t="array" ref="BK75">INDEX(_xlfn.ANCHORARRAY(_xlfn.XLOOKUP($C75,'-ref_Distribution'!$B$146:$B$150,'-ref_Distribution'!$G$146:$G$150)),RIGHT(BK$1,2))</f>
        <v>78</v>
      </c>
      <c r="BL75" s="16" cm="1">
        <f t="array" ref="BL75">INDEX(_xlfn.ANCHORARRAY(_xlfn.XLOOKUP($C75,'-ref_Distribution'!$B$146:$B$150,'-ref_Distribution'!$G$146:$G$150)),RIGHT(BL$1,2))</f>
        <v>337</v>
      </c>
      <c r="BM75" s="16" cm="1">
        <f t="array" ref="BM75">INDEX(_xlfn.ANCHORARRAY(_xlfn.XLOOKUP($C75,'-ref_Distribution'!$B$146:$B$150,'-ref_Distribution'!$G$146:$G$150)),RIGHT(BM$1,2))</f>
        <v>364</v>
      </c>
      <c r="BN75" s="16" cm="1">
        <f t="array" ref="BN75">INDEX(_xlfn.ANCHORARRAY(_xlfn.XLOOKUP($C75,'-ref_Distribution'!$B$146:$B$150,'-ref_Distribution'!$G$146:$G$150)),RIGHT(BN$1,2))</f>
        <v>386</v>
      </c>
      <c r="BO75" s="16" cm="1">
        <f t="array" ref="BO75">INDEX(_xlfn.ANCHORARRAY(_xlfn.XLOOKUP($C75,'-ref_Distribution'!$B$146:$B$150,'-ref_Distribution'!$G$146:$G$150)),RIGHT(BO$1,2))</f>
        <v>403</v>
      </c>
      <c r="BP75" s="16" cm="1">
        <f t="array" ref="BP75">INDEX(_xlfn.ANCHORARRAY(_xlfn.XLOOKUP($C75,'-ref_Distribution'!$B$146:$B$150,'-ref_Distribution'!$G$146:$G$150)),RIGHT(BP$1,2))</f>
        <v>414</v>
      </c>
      <c r="BQ75" s="16" cm="1">
        <f t="array" ref="BQ75">INDEX(_xlfn.ANCHORARRAY(_xlfn.XLOOKUP($C75,'-ref_Distribution'!$B$146:$B$150,'-ref_Distribution'!$G$146:$G$150)),RIGHT(BQ$1,2))</f>
        <v>417</v>
      </c>
      <c r="BR75" s="16" cm="1">
        <f t="array" ref="BR75">INDEX(_xlfn.ANCHORARRAY(_xlfn.XLOOKUP($C75,'-ref_Distribution'!$B$146:$B$150,'-ref_Distribution'!$G$146:$G$150)),RIGHT(BR$1,2))</f>
        <v>414</v>
      </c>
      <c r="BS75" s="16" cm="1">
        <f t="array" ref="BS75">INDEX(_xlfn.ANCHORARRAY(_xlfn.XLOOKUP($C75,'-ref_Distribution'!$B$146:$B$150,'-ref_Distribution'!$G$146:$G$150)),RIGHT(BS$1,2))</f>
        <v>403</v>
      </c>
      <c r="BT75" s="16" cm="1">
        <f t="array" ref="BT75">INDEX(_xlfn.ANCHORARRAY(_xlfn.XLOOKUP($C75,'-ref_Distribution'!$B$146:$B$150,'-ref_Distribution'!$G$146:$G$150)),RIGHT(BT$1,2))</f>
        <v>386</v>
      </c>
      <c r="BU75" s="16" cm="1">
        <f t="array" ref="BU75">INDEX(_xlfn.ANCHORARRAY(_xlfn.XLOOKUP($C75,'-ref_Distribution'!$B$146:$B$150,'-ref_Distribution'!$G$146:$G$150)),RIGHT(BU$1,2))</f>
        <v>364</v>
      </c>
      <c r="BV75" s="16" cm="1">
        <f t="array" ref="BV75">INDEX(_xlfn.ANCHORARRAY(_xlfn.XLOOKUP($C75,'-ref_Distribution'!$B$146:$B$150,'-ref_Distribution'!$G$146:$G$150)),RIGHT(BV$1,2))</f>
        <v>337</v>
      </c>
      <c r="BW75" s="16" cm="1">
        <f t="array" ref="BW75">INDEX(_xlfn.ANCHORARRAY(_xlfn.XLOOKUP($C75,'-ref_Distribution'!$B$146:$B$150,'-ref_Distribution'!$G$146:$G$150)),RIGHT(BW$1,2))</f>
        <v>307</v>
      </c>
      <c r="BX75" s="16" cm="1">
        <f t="array" ref="BX75">INDEX(_xlfn.ANCHORARRAY(_xlfn.XLOOKUP($C75,'-ref_Distribution'!$B$146:$B$150,'-ref_Distribution'!$G$146:$G$150)),RIGHT(BX$1,2))</f>
        <v>274</v>
      </c>
      <c r="BY75" s="16" cm="1">
        <f t="array" ref="BY75">INDEX(_xlfn.ANCHORARRAY(_xlfn.XLOOKUP($C75,'-ref_Distribution'!$B$146:$B$150,'-ref_Distribution'!$G$146:$G$150)),RIGHT(BY$1,2))</f>
        <v>241</v>
      </c>
      <c r="BZ75" s="16" cm="1">
        <f t="array" ref="BZ75">INDEX(_xlfn.ANCHORARRAY(_xlfn.XLOOKUP($C75,'-ref_Distribution'!$B$146:$B$150,'-ref_Distribution'!$G$146:$G$150)),RIGHT(BZ$1,2))</f>
        <v>209</v>
      </c>
      <c r="CA75" s="16" cm="1">
        <f t="array" ref="CA75">INDEX(_xlfn.ANCHORARRAY(_xlfn.XLOOKUP($C75,'-ref_Distribution'!$B$146:$B$150,'-ref_Distribution'!$G$146:$G$150)),RIGHT(CA$1,2))</f>
        <v>178</v>
      </c>
      <c r="CB75" s="16" cm="1">
        <f t="array" ref="CB75">INDEX(_xlfn.ANCHORARRAY(_xlfn.XLOOKUP($C75,'-ref_Distribution'!$B$146:$B$150,'-ref_Distribution'!$G$146:$G$150)),RIGHT(CB$1,2))</f>
        <v>148</v>
      </c>
      <c r="CC75" s="16" cm="1">
        <f t="array" ref="CC75">INDEX(_xlfn.ANCHORARRAY(_xlfn.XLOOKUP($C75,'-ref_Distribution'!$B$146:$B$150,'-ref_Distribution'!$G$146:$G$150)),RIGHT(CC$1,2))</f>
        <v>122</v>
      </c>
      <c r="CD75" s="16" cm="1">
        <f t="array" ref="CD75">INDEX(_xlfn.ANCHORARRAY(_xlfn.XLOOKUP($C75,'-ref_Distribution'!$B$146:$B$150,'-ref_Distribution'!$G$146:$G$150)),RIGHT(CD$1,2))</f>
        <v>98</v>
      </c>
      <c r="CE75" s="16" cm="1">
        <f t="array" ref="CE75">INDEX(_xlfn.ANCHORARRAY(_xlfn.XLOOKUP($C75,'-ref_Distribution'!$B$146:$B$150,'-ref_Distribution'!$G$146:$G$150)),RIGHT(CE$1,2))</f>
        <v>78</v>
      </c>
    </row>
    <row r="76" spans="1:83" x14ac:dyDescent="0.2">
      <c r="A76" s="16">
        <v>310408</v>
      </c>
      <c r="B76" s="16" t="s">
        <v>389</v>
      </c>
      <c r="C76" s="16">
        <v>2</v>
      </c>
      <c r="D76" s="16" cm="1">
        <f t="array" ref="D76">INDEX(_xlfn.ANCHORARRAY(_xlfn.XLOOKUP($C76,'-ref_Distribution'!$B$146:$B$150,'-ref_Distribution'!$G$146:$G$150)),RIGHT(D$1,2))</f>
        <v>75</v>
      </c>
      <c r="E76" s="16" cm="1">
        <f t="array" ref="E76">INDEX(_xlfn.ANCHORARRAY(_xlfn.XLOOKUP($C76,'-ref_Distribution'!$B$146:$B$150,'-ref_Distribution'!$G$146:$G$150)),RIGHT(E$1,2))</f>
        <v>94</v>
      </c>
      <c r="F76" s="16" cm="1">
        <f t="array" ref="F76">INDEX(_xlfn.ANCHORARRAY(_xlfn.XLOOKUP($C76,'-ref_Distribution'!$B$146:$B$150,'-ref_Distribution'!$G$146:$G$150)),RIGHT(F$1,2))</f>
        <v>115</v>
      </c>
      <c r="G76" s="16" cm="1">
        <f t="array" ref="G76">INDEX(_xlfn.ANCHORARRAY(_xlfn.XLOOKUP($C76,'-ref_Distribution'!$B$146:$B$150,'-ref_Distribution'!$G$146:$G$150)),RIGHT(G$1,2))</f>
        <v>137</v>
      </c>
      <c r="H76" s="16" cm="1">
        <f t="array" ref="H76">INDEX(_xlfn.ANCHORARRAY(_xlfn.XLOOKUP($C76,'-ref_Distribution'!$B$146:$B$150,'-ref_Distribution'!$G$146:$G$150)),RIGHT(H$1,2))</f>
        <v>160</v>
      </c>
      <c r="I76" s="16" cm="1">
        <f t="array" ref="I76">INDEX(_xlfn.ANCHORARRAY(_xlfn.XLOOKUP($C76,'-ref_Distribution'!$B$146:$B$150,'-ref_Distribution'!$G$146:$G$150)),RIGHT(I$1,2))</f>
        <v>183</v>
      </c>
      <c r="J76" s="16" cm="1">
        <f t="array" ref="J76">INDEX(_xlfn.ANCHORARRAY(_xlfn.XLOOKUP($C76,'-ref_Distribution'!$B$146:$B$150,'-ref_Distribution'!$G$146:$G$150)),RIGHT(J$1,2))</f>
        <v>203</v>
      </c>
      <c r="K76" s="16" cm="1">
        <f t="array" ref="K76">INDEX(_xlfn.ANCHORARRAY(_xlfn.XLOOKUP($C76,'-ref_Distribution'!$B$146:$B$150,'-ref_Distribution'!$G$146:$G$150)),RIGHT(K$1,2))</f>
        <v>221</v>
      </c>
      <c r="L76" s="16" cm="1">
        <f t="array" ref="L76">INDEX(_xlfn.ANCHORARRAY(_xlfn.XLOOKUP($C76,'-ref_Distribution'!$B$146:$B$150,'-ref_Distribution'!$G$146:$G$150)),RIGHT(L$1,2))</f>
        <v>234</v>
      </c>
      <c r="M76" s="16" cm="1">
        <f t="array" ref="M76">INDEX(_xlfn.ANCHORARRAY(_xlfn.XLOOKUP($C76,'-ref_Distribution'!$B$146:$B$150,'-ref_Distribution'!$G$146:$G$150)),RIGHT(M$1,2))</f>
        <v>243</v>
      </c>
      <c r="N76" s="16" cm="1">
        <f t="array" ref="N76">INDEX(_xlfn.ANCHORARRAY(_xlfn.XLOOKUP($C76,'-ref_Distribution'!$B$146:$B$150,'-ref_Distribution'!$G$146:$G$150)),RIGHT(N$1,2))</f>
        <v>245</v>
      </c>
      <c r="O76" s="16" cm="1">
        <f t="array" ref="O76">INDEX(_xlfn.ANCHORARRAY(_xlfn.XLOOKUP($C76,'-ref_Distribution'!$B$146:$B$150,'-ref_Distribution'!$G$146:$G$150)),RIGHT(O$1,2))</f>
        <v>243</v>
      </c>
      <c r="P76" s="16" cm="1">
        <f t="array" ref="P76">INDEX(_xlfn.ANCHORARRAY(_xlfn.XLOOKUP($C76,'-ref_Distribution'!$B$146:$B$150,'-ref_Distribution'!$G$146:$G$150)),RIGHT(P$1,2))</f>
        <v>234</v>
      </c>
      <c r="Q76" s="16" cm="1">
        <f t="array" ref="Q76">INDEX(_xlfn.ANCHORARRAY(_xlfn.XLOOKUP($C76,'-ref_Distribution'!$B$146:$B$150,'-ref_Distribution'!$G$146:$G$150)),RIGHT(Q$1,2))</f>
        <v>221</v>
      </c>
      <c r="R76" s="16" cm="1">
        <f t="array" ref="R76">INDEX(_xlfn.ANCHORARRAY(_xlfn.XLOOKUP($C76,'-ref_Distribution'!$B$146:$B$150,'-ref_Distribution'!$G$146:$G$150)),RIGHT(R$1,2))</f>
        <v>203</v>
      </c>
      <c r="S76" s="16" cm="1">
        <f t="array" ref="S76">INDEX(_xlfn.ANCHORARRAY(_xlfn.XLOOKUP($C76,'-ref_Distribution'!$B$146:$B$150,'-ref_Distribution'!$G$146:$G$150)),RIGHT(S$1,2))</f>
        <v>183</v>
      </c>
      <c r="T76" s="16" cm="1">
        <f t="array" ref="T76">INDEX(_xlfn.ANCHORARRAY(_xlfn.XLOOKUP($C76,'-ref_Distribution'!$B$146:$B$150,'-ref_Distribution'!$G$146:$G$150)),RIGHT(T$1,2))</f>
        <v>160</v>
      </c>
      <c r="U76" s="16" cm="1">
        <f t="array" ref="U76">INDEX(_xlfn.ANCHORARRAY(_xlfn.XLOOKUP($C76,'-ref_Distribution'!$B$146:$B$150,'-ref_Distribution'!$G$146:$G$150)),RIGHT(U$1,2))</f>
        <v>137</v>
      </c>
      <c r="V76" s="16" cm="1">
        <f t="array" ref="V76">INDEX(_xlfn.ANCHORARRAY(_xlfn.XLOOKUP($C76,'-ref_Distribution'!$B$146:$B$150,'-ref_Distribution'!$G$146:$G$150)),RIGHT(V$1,2))</f>
        <v>115</v>
      </c>
      <c r="W76" s="16" cm="1">
        <f t="array" ref="W76">INDEX(_xlfn.ANCHORARRAY(_xlfn.XLOOKUP($C76,'-ref_Distribution'!$B$146:$B$150,'-ref_Distribution'!$G$146:$G$150)),RIGHT(W$1,2))</f>
        <v>94</v>
      </c>
      <c r="X76" s="16" cm="1">
        <f t="array" ref="X76">INDEX(_xlfn.ANCHORARRAY(_xlfn.XLOOKUP($C76,'-ref_Distribution'!$B$146:$B$150,'-ref_Distribution'!$G$146:$G$150)),RIGHT(X$1,2))</f>
        <v>75</v>
      </c>
      <c r="Y76" s="16" cm="1">
        <f t="array" ref="Y76">INDEX(_xlfn.ANCHORARRAY(_xlfn.XLOOKUP($C76,'-ref_Distribution'!$B$146:$B$150,'-ref_Distribution'!$G$146:$G$150)),RIGHT(Y$1,2))</f>
        <v>94</v>
      </c>
      <c r="Z76" s="16" cm="1">
        <f t="array" ref="Z76">INDEX(_xlfn.ANCHORARRAY(_xlfn.XLOOKUP($C76,'-ref_Distribution'!$B$146:$B$150,'-ref_Distribution'!$G$146:$G$150)),RIGHT(Z$1,2))</f>
        <v>115</v>
      </c>
      <c r="AA76" s="16" cm="1">
        <f t="array" ref="AA76">INDEX(_xlfn.ANCHORARRAY(_xlfn.XLOOKUP($C76,'-ref_Distribution'!$B$146:$B$150,'-ref_Distribution'!$G$146:$G$150)),RIGHT(AA$1,2))</f>
        <v>137</v>
      </c>
      <c r="AB76" s="16" cm="1">
        <f t="array" ref="AB76">INDEX(_xlfn.ANCHORARRAY(_xlfn.XLOOKUP($C76,'-ref_Distribution'!$B$146:$B$150,'-ref_Distribution'!$G$146:$G$150)),RIGHT(AB$1,2))</f>
        <v>160</v>
      </c>
      <c r="AC76" s="16" cm="1">
        <f t="array" ref="AC76">INDEX(_xlfn.ANCHORARRAY(_xlfn.XLOOKUP($C76,'-ref_Distribution'!$B$146:$B$150,'-ref_Distribution'!$G$146:$G$150)),RIGHT(AC$1,2))</f>
        <v>183</v>
      </c>
      <c r="AD76" s="16" cm="1">
        <f t="array" ref="AD76">INDEX(_xlfn.ANCHORARRAY(_xlfn.XLOOKUP($C76,'-ref_Distribution'!$B$146:$B$150,'-ref_Distribution'!$G$146:$G$150)),RIGHT(AD$1,2))</f>
        <v>203</v>
      </c>
      <c r="AE76" s="16" cm="1">
        <f t="array" ref="AE76">INDEX(_xlfn.ANCHORARRAY(_xlfn.XLOOKUP($C76,'-ref_Distribution'!$B$146:$B$150,'-ref_Distribution'!$G$146:$G$150)),RIGHT(AE$1,2))</f>
        <v>221</v>
      </c>
      <c r="AF76" s="16" cm="1">
        <f t="array" ref="AF76">INDEX(_xlfn.ANCHORARRAY(_xlfn.XLOOKUP($C76,'-ref_Distribution'!$B$146:$B$150,'-ref_Distribution'!$G$146:$G$150)),RIGHT(AF$1,2))</f>
        <v>234</v>
      </c>
      <c r="AG76" s="16" cm="1">
        <f t="array" ref="AG76">INDEX(_xlfn.ANCHORARRAY(_xlfn.XLOOKUP($C76,'-ref_Distribution'!$B$146:$B$150,'-ref_Distribution'!$G$146:$G$150)),RIGHT(AG$1,2))</f>
        <v>243</v>
      </c>
      <c r="AH76" s="16" cm="1">
        <f t="array" ref="AH76">INDEX(_xlfn.ANCHORARRAY(_xlfn.XLOOKUP($C76,'-ref_Distribution'!$B$146:$B$150,'-ref_Distribution'!$G$146:$G$150)),RIGHT(AH$1,2))</f>
        <v>245</v>
      </c>
      <c r="AI76" s="16" cm="1">
        <f t="array" ref="AI76">INDEX(_xlfn.ANCHORARRAY(_xlfn.XLOOKUP($C76,'-ref_Distribution'!$B$146:$B$150,'-ref_Distribution'!$G$146:$G$150)),RIGHT(AI$1,2))</f>
        <v>243</v>
      </c>
      <c r="AJ76" s="16" cm="1">
        <f t="array" ref="AJ76">INDEX(_xlfn.ANCHORARRAY(_xlfn.XLOOKUP($C76,'-ref_Distribution'!$B$146:$B$150,'-ref_Distribution'!$G$146:$G$150)),RIGHT(AJ$1,2))</f>
        <v>234</v>
      </c>
      <c r="AK76" s="16" cm="1">
        <f t="array" ref="AK76">INDEX(_xlfn.ANCHORARRAY(_xlfn.XLOOKUP($C76,'-ref_Distribution'!$B$146:$B$150,'-ref_Distribution'!$G$146:$G$150)),RIGHT(AK$1,2))</f>
        <v>221</v>
      </c>
      <c r="AL76" s="16" cm="1">
        <f t="array" ref="AL76">INDEX(_xlfn.ANCHORARRAY(_xlfn.XLOOKUP($C76,'-ref_Distribution'!$B$146:$B$150,'-ref_Distribution'!$G$146:$G$150)),RIGHT(AL$1,2))</f>
        <v>203</v>
      </c>
      <c r="AM76" s="16" cm="1">
        <f t="array" ref="AM76">INDEX(_xlfn.ANCHORARRAY(_xlfn.XLOOKUP($C76,'-ref_Distribution'!$B$146:$B$150,'-ref_Distribution'!$G$146:$G$150)),RIGHT(AM$1,2))</f>
        <v>183</v>
      </c>
      <c r="AN76" s="16" cm="1">
        <f t="array" ref="AN76">INDEX(_xlfn.ANCHORARRAY(_xlfn.XLOOKUP($C76,'-ref_Distribution'!$B$146:$B$150,'-ref_Distribution'!$G$146:$G$150)),RIGHT(AN$1,2))</f>
        <v>160</v>
      </c>
      <c r="AO76" s="16" cm="1">
        <f t="array" ref="AO76">INDEX(_xlfn.ANCHORARRAY(_xlfn.XLOOKUP($C76,'-ref_Distribution'!$B$146:$B$150,'-ref_Distribution'!$G$146:$G$150)),RIGHT(AO$1,2))</f>
        <v>137</v>
      </c>
      <c r="AP76" s="16" cm="1">
        <f t="array" ref="AP76">INDEX(_xlfn.ANCHORARRAY(_xlfn.XLOOKUP($C76,'-ref_Distribution'!$B$146:$B$150,'-ref_Distribution'!$G$146:$G$150)),RIGHT(AP$1,2))</f>
        <v>115</v>
      </c>
      <c r="AQ76" s="16" cm="1">
        <f t="array" ref="AQ76">INDEX(_xlfn.ANCHORARRAY(_xlfn.XLOOKUP($C76,'-ref_Distribution'!$B$146:$B$150,'-ref_Distribution'!$G$146:$G$150)),RIGHT(AQ$1,2))</f>
        <v>94</v>
      </c>
      <c r="AR76" s="16" cm="1">
        <f t="array" ref="AR76">INDEX(_xlfn.ANCHORARRAY(_xlfn.XLOOKUP($C76,'-ref_Distribution'!$B$146:$B$150,'-ref_Distribution'!$G$146:$G$150)),RIGHT(AR$1,2))</f>
        <v>75</v>
      </c>
      <c r="AS76" s="16" cm="1">
        <f t="array" ref="AS76">INDEX(_xlfn.ANCHORARRAY(_xlfn.XLOOKUP($C76,'-ref_Distribution'!$B$146:$B$150,'-ref_Distribution'!$G$146:$G$150)),RIGHT(AS$1,2))</f>
        <v>94</v>
      </c>
      <c r="AT76" s="16" cm="1">
        <f t="array" ref="AT76">INDEX(_xlfn.ANCHORARRAY(_xlfn.XLOOKUP($C76,'-ref_Distribution'!$B$146:$B$150,'-ref_Distribution'!$G$146:$G$150)),RIGHT(AT$1,2))</f>
        <v>115</v>
      </c>
      <c r="AU76" s="16" cm="1">
        <f t="array" ref="AU76">INDEX(_xlfn.ANCHORARRAY(_xlfn.XLOOKUP($C76,'-ref_Distribution'!$B$146:$B$150,'-ref_Distribution'!$G$146:$G$150)),RIGHT(AU$1,2))</f>
        <v>137</v>
      </c>
      <c r="AV76" s="16" cm="1">
        <f t="array" ref="AV76">INDEX(_xlfn.ANCHORARRAY(_xlfn.XLOOKUP($C76,'-ref_Distribution'!$B$146:$B$150,'-ref_Distribution'!$G$146:$G$150)),RIGHT(AV$1,2))</f>
        <v>160</v>
      </c>
      <c r="AW76" s="16" cm="1">
        <f t="array" ref="AW76">INDEX(_xlfn.ANCHORARRAY(_xlfn.XLOOKUP($C76,'-ref_Distribution'!$B$146:$B$150,'-ref_Distribution'!$G$146:$G$150)),RIGHT(AW$1,2))</f>
        <v>183</v>
      </c>
      <c r="AX76" s="16" cm="1">
        <f t="array" ref="AX76">INDEX(_xlfn.ANCHORARRAY(_xlfn.XLOOKUP($C76,'-ref_Distribution'!$B$146:$B$150,'-ref_Distribution'!$G$146:$G$150)),RIGHT(AX$1,2))</f>
        <v>203</v>
      </c>
      <c r="AY76" s="16" cm="1">
        <f t="array" ref="AY76">INDEX(_xlfn.ANCHORARRAY(_xlfn.XLOOKUP($C76,'-ref_Distribution'!$B$146:$B$150,'-ref_Distribution'!$G$146:$G$150)),RIGHT(AY$1,2))</f>
        <v>221</v>
      </c>
      <c r="AZ76" s="16" cm="1">
        <f t="array" ref="AZ76">INDEX(_xlfn.ANCHORARRAY(_xlfn.XLOOKUP($C76,'-ref_Distribution'!$B$146:$B$150,'-ref_Distribution'!$G$146:$G$150)),RIGHT(AZ$1,2))</f>
        <v>234</v>
      </c>
      <c r="BA76" s="16" cm="1">
        <f t="array" ref="BA76">INDEX(_xlfn.ANCHORARRAY(_xlfn.XLOOKUP($C76,'-ref_Distribution'!$B$146:$B$150,'-ref_Distribution'!$G$146:$G$150)),RIGHT(BA$1,2))</f>
        <v>243</v>
      </c>
      <c r="BB76" s="16" cm="1">
        <f t="array" ref="BB76">INDEX(_xlfn.ANCHORARRAY(_xlfn.XLOOKUP($C76,'-ref_Distribution'!$B$146:$B$150,'-ref_Distribution'!$G$146:$G$150)),RIGHT(BB$1,2))</f>
        <v>245</v>
      </c>
      <c r="BC76" s="16" cm="1">
        <f t="array" ref="BC76">INDEX(_xlfn.ANCHORARRAY(_xlfn.XLOOKUP($C76,'-ref_Distribution'!$B$146:$B$150,'-ref_Distribution'!$G$146:$G$150)),RIGHT(BC$1,2))</f>
        <v>243</v>
      </c>
      <c r="BD76" s="16" cm="1">
        <f t="array" ref="BD76">INDEX(_xlfn.ANCHORARRAY(_xlfn.XLOOKUP($C76,'-ref_Distribution'!$B$146:$B$150,'-ref_Distribution'!$G$146:$G$150)),RIGHT(BD$1,2))</f>
        <v>234</v>
      </c>
      <c r="BE76" s="16" cm="1">
        <f t="array" ref="BE76">INDEX(_xlfn.ANCHORARRAY(_xlfn.XLOOKUP($C76,'-ref_Distribution'!$B$146:$B$150,'-ref_Distribution'!$G$146:$G$150)),RIGHT(BE$1,2))</f>
        <v>221</v>
      </c>
      <c r="BF76" s="16" cm="1">
        <f t="array" ref="BF76">INDEX(_xlfn.ANCHORARRAY(_xlfn.XLOOKUP($C76,'-ref_Distribution'!$B$146:$B$150,'-ref_Distribution'!$G$146:$G$150)),RIGHT(BF$1,2))</f>
        <v>203</v>
      </c>
      <c r="BG76" s="16" cm="1">
        <f t="array" ref="BG76">INDEX(_xlfn.ANCHORARRAY(_xlfn.XLOOKUP($C76,'-ref_Distribution'!$B$146:$B$150,'-ref_Distribution'!$G$146:$G$150)),RIGHT(BG$1,2))</f>
        <v>183</v>
      </c>
      <c r="BH76" s="16" cm="1">
        <f t="array" ref="BH76">INDEX(_xlfn.ANCHORARRAY(_xlfn.XLOOKUP($C76,'-ref_Distribution'!$B$146:$B$150,'-ref_Distribution'!$G$146:$G$150)),RIGHT(BH$1,2))</f>
        <v>160</v>
      </c>
      <c r="BI76" s="16" cm="1">
        <f t="array" ref="BI76">INDEX(_xlfn.ANCHORARRAY(_xlfn.XLOOKUP($C76,'-ref_Distribution'!$B$146:$B$150,'-ref_Distribution'!$G$146:$G$150)),RIGHT(BI$1,2))</f>
        <v>137</v>
      </c>
      <c r="BJ76" s="16" cm="1">
        <f t="array" ref="BJ76">INDEX(_xlfn.ANCHORARRAY(_xlfn.XLOOKUP($C76,'-ref_Distribution'!$B$146:$B$150,'-ref_Distribution'!$G$146:$G$150)),RIGHT(BJ$1,2))</f>
        <v>115</v>
      </c>
      <c r="BK76" s="16" cm="1">
        <f t="array" ref="BK76">INDEX(_xlfn.ANCHORARRAY(_xlfn.XLOOKUP($C76,'-ref_Distribution'!$B$146:$B$150,'-ref_Distribution'!$G$146:$G$150)),RIGHT(BK$1,2))</f>
        <v>94</v>
      </c>
      <c r="BL76" s="16" cm="1">
        <f t="array" ref="BL76">INDEX(_xlfn.ANCHORARRAY(_xlfn.XLOOKUP($C76,'-ref_Distribution'!$B$146:$B$150,'-ref_Distribution'!$G$146:$G$150)),RIGHT(BL$1,2))</f>
        <v>75</v>
      </c>
      <c r="BM76" s="16" cm="1">
        <f t="array" ref="BM76">INDEX(_xlfn.ANCHORARRAY(_xlfn.XLOOKUP($C76,'-ref_Distribution'!$B$146:$B$150,'-ref_Distribution'!$G$146:$G$150)),RIGHT(BM$1,2))</f>
        <v>94</v>
      </c>
      <c r="BN76" s="16" cm="1">
        <f t="array" ref="BN76">INDEX(_xlfn.ANCHORARRAY(_xlfn.XLOOKUP($C76,'-ref_Distribution'!$B$146:$B$150,'-ref_Distribution'!$G$146:$G$150)),RIGHT(BN$1,2))</f>
        <v>115</v>
      </c>
      <c r="BO76" s="16" cm="1">
        <f t="array" ref="BO76">INDEX(_xlfn.ANCHORARRAY(_xlfn.XLOOKUP($C76,'-ref_Distribution'!$B$146:$B$150,'-ref_Distribution'!$G$146:$G$150)),RIGHT(BO$1,2))</f>
        <v>137</v>
      </c>
      <c r="BP76" s="16" cm="1">
        <f t="array" ref="BP76">INDEX(_xlfn.ANCHORARRAY(_xlfn.XLOOKUP($C76,'-ref_Distribution'!$B$146:$B$150,'-ref_Distribution'!$G$146:$G$150)),RIGHT(BP$1,2))</f>
        <v>160</v>
      </c>
      <c r="BQ76" s="16" cm="1">
        <f t="array" ref="BQ76">INDEX(_xlfn.ANCHORARRAY(_xlfn.XLOOKUP($C76,'-ref_Distribution'!$B$146:$B$150,'-ref_Distribution'!$G$146:$G$150)),RIGHT(BQ$1,2))</f>
        <v>183</v>
      </c>
      <c r="BR76" s="16" cm="1">
        <f t="array" ref="BR76">INDEX(_xlfn.ANCHORARRAY(_xlfn.XLOOKUP($C76,'-ref_Distribution'!$B$146:$B$150,'-ref_Distribution'!$G$146:$G$150)),RIGHT(BR$1,2))</f>
        <v>203</v>
      </c>
      <c r="BS76" s="16" cm="1">
        <f t="array" ref="BS76">INDEX(_xlfn.ANCHORARRAY(_xlfn.XLOOKUP($C76,'-ref_Distribution'!$B$146:$B$150,'-ref_Distribution'!$G$146:$G$150)),RIGHT(BS$1,2))</f>
        <v>221</v>
      </c>
      <c r="BT76" s="16" cm="1">
        <f t="array" ref="BT76">INDEX(_xlfn.ANCHORARRAY(_xlfn.XLOOKUP($C76,'-ref_Distribution'!$B$146:$B$150,'-ref_Distribution'!$G$146:$G$150)),RIGHT(BT$1,2))</f>
        <v>234</v>
      </c>
      <c r="BU76" s="16" cm="1">
        <f t="array" ref="BU76">INDEX(_xlfn.ANCHORARRAY(_xlfn.XLOOKUP($C76,'-ref_Distribution'!$B$146:$B$150,'-ref_Distribution'!$G$146:$G$150)),RIGHT(BU$1,2))</f>
        <v>243</v>
      </c>
      <c r="BV76" s="16" cm="1">
        <f t="array" ref="BV76">INDEX(_xlfn.ANCHORARRAY(_xlfn.XLOOKUP($C76,'-ref_Distribution'!$B$146:$B$150,'-ref_Distribution'!$G$146:$G$150)),RIGHT(BV$1,2))</f>
        <v>245</v>
      </c>
      <c r="BW76" s="16" cm="1">
        <f t="array" ref="BW76">INDEX(_xlfn.ANCHORARRAY(_xlfn.XLOOKUP($C76,'-ref_Distribution'!$B$146:$B$150,'-ref_Distribution'!$G$146:$G$150)),RIGHT(BW$1,2))</f>
        <v>243</v>
      </c>
      <c r="BX76" s="16" cm="1">
        <f t="array" ref="BX76">INDEX(_xlfn.ANCHORARRAY(_xlfn.XLOOKUP($C76,'-ref_Distribution'!$B$146:$B$150,'-ref_Distribution'!$G$146:$G$150)),RIGHT(BX$1,2))</f>
        <v>234</v>
      </c>
      <c r="BY76" s="16" cm="1">
        <f t="array" ref="BY76">INDEX(_xlfn.ANCHORARRAY(_xlfn.XLOOKUP($C76,'-ref_Distribution'!$B$146:$B$150,'-ref_Distribution'!$G$146:$G$150)),RIGHT(BY$1,2))</f>
        <v>221</v>
      </c>
      <c r="BZ76" s="16" cm="1">
        <f t="array" ref="BZ76">INDEX(_xlfn.ANCHORARRAY(_xlfn.XLOOKUP($C76,'-ref_Distribution'!$B$146:$B$150,'-ref_Distribution'!$G$146:$G$150)),RIGHT(BZ$1,2))</f>
        <v>203</v>
      </c>
      <c r="CA76" s="16" cm="1">
        <f t="array" ref="CA76">INDEX(_xlfn.ANCHORARRAY(_xlfn.XLOOKUP($C76,'-ref_Distribution'!$B$146:$B$150,'-ref_Distribution'!$G$146:$G$150)),RIGHT(CA$1,2))</f>
        <v>183</v>
      </c>
      <c r="CB76" s="16" cm="1">
        <f t="array" ref="CB76">INDEX(_xlfn.ANCHORARRAY(_xlfn.XLOOKUP($C76,'-ref_Distribution'!$B$146:$B$150,'-ref_Distribution'!$G$146:$G$150)),RIGHT(CB$1,2))</f>
        <v>160</v>
      </c>
      <c r="CC76" s="16" cm="1">
        <f t="array" ref="CC76">INDEX(_xlfn.ANCHORARRAY(_xlfn.XLOOKUP($C76,'-ref_Distribution'!$B$146:$B$150,'-ref_Distribution'!$G$146:$G$150)),RIGHT(CC$1,2))</f>
        <v>137</v>
      </c>
      <c r="CD76" s="16" cm="1">
        <f t="array" ref="CD76">INDEX(_xlfn.ANCHORARRAY(_xlfn.XLOOKUP($C76,'-ref_Distribution'!$B$146:$B$150,'-ref_Distribution'!$G$146:$G$150)),RIGHT(CD$1,2))</f>
        <v>115</v>
      </c>
      <c r="CE76" s="16" cm="1">
        <f t="array" ref="CE76">INDEX(_xlfn.ANCHORARRAY(_xlfn.XLOOKUP($C76,'-ref_Distribution'!$B$146:$B$150,'-ref_Distribution'!$G$146:$G$150)),RIGHT(CE$1,2))</f>
        <v>94</v>
      </c>
    </row>
    <row r="77" spans="1:83" x14ac:dyDescent="0.2">
      <c r="A77" s="16">
        <v>310409</v>
      </c>
      <c r="B77" s="16" t="s">
        <v>390</v>
      </c>
      <c r="C77" s="16">
        <v>3</v>
      </c>
      <c r="D77" s="16" cm="1">
        <f t="array" ref="D77">INDEX(_xlfn.ANCHORARRAY(_xlfn.XLOOKUP($C77,'-ref_Distribution'!$B$146:$B$150,'-ref_Distribution'!$G$146:$G$150)),RIGHT(D$1,2))</f>
        <v>4</v>
      </c>
      <c r="E77" s="16" cm="1">
        <f t="array" ref="E77">INDEX(_xlfn.ANCHORARRAY(_xlfn.XLOOKUP($C77,'-ref_Distribution'!$B$146:$B$150,'-ref_Distribution'!$G$146:$G$150)),RIGHT(E$1,2))</f>
        <v>6</v>
      </c>
      <c r="F77" s="16" cm="1">
        <f t="array" ref="F77">INDEX(_xlfn.ANCHORARRAY(_xlfn.XLOOKUP($C77,'-ref_Distribution'!$B$146:$B$150,'-ref_Distribution'!$G$146:$G$150)),RIGHT(F$1,2))</f>
        <v>9</v>
      </c>
      <c r="G77" s="16" cm="1">
        <f t="array" ref="G77">INDEX(_xlfn.ANCHORARRAY(_xlfn.XLOOKUP($C77,'-ref_Distribution'!$B$146:$B$150,'-ref_Distribution'!$G$146:$G$150)),RIGHT(G$1,2))</f>
        <v>14</v>
      </c>
      <c r="H77" s="16" cm="1">
        <f t="array" ref="H77">INDEX(_xlfn.ANCHORARRAY(_xlfn.XLOOKUP($C77,'-ref_Distribution'!$B$146:$B$150,'-ref_Distribution'!$G$146:$G$150)),RIGHT(H$1,2))</f>
        <v>20</v>
      </c>
      <c r="I77" s="16" cm="1">
        <f t="array" ref="I77">INDEX(_xlfn.ANCHORARRAY(_xlfn.XLOOKUP($C77,'-ref_Distribution'!$B$146:$B$150,'-ref_Distribution'!$G$146:$G$150)),RIGHT(I$1,2))</f>
        <v>28</v>
      </c>
      <c r="J77" s="16" cm="1">
        <f t="array" ref="J77">INDEX(_xlfn.ANCHORARRAY(_xlfn.XLOOKUP($C77,'-ref_Distribution'!$B$146:$B$150,'-ref_Distribution'!$G$146:$G$150)),RIGHT(J$1,2))</f>
        <v>38</v>
      </c>
      <c r="K77" s="16" cm="1">
        <f t="array" ref="K77">INDEX(_xlfn.ANCHORARRAY(_xlfn.XLOOKUP($C77,'-ref_Distribution'!$B$146:$B$150,'-ref_Distribution'!$G$146:$G$150)),RIGHT(K$1,2))</f>
        <v>51</v>
      </c>
      <c r="L77" s="16" cm="1">
        <f t="array" ref="L77">INDEX(_xlfn.ANCHORARRAY(_xlfn.XLOOKUP($C77,'-ref_Distribution'!$B$146:$B$150,'-ref_Distribution'!$G$146:$G$150)),RIGHT(L$1,2))</f>
        <v>65</v>
      </c>
      <c r="M77" s="16" cm="1">
        <f t="array" ref="M77">INDEX(_xlfn.ANCHORARRAY(_xlfn.XLOOKUP($C77,'-ref_Distribution'!$B$146:$B$150,'-ref_Distribution'!$G$146:$G$150)),RIGHT(M$1,2))</f>
        <v>80</v>
      </c>
      <c r="N77" s="16" cm="1">
        <f t="array" ref="N77">INDEX(_xlfn.ANCHORARRAY(_xlfn.XLOOKUP($C77,'-ref_Distribution'!$B$146:$B$150,'-ref_Distribution'!$G$146:$G$150)),RIGHT(N$1,2))</f>
        <v>96</v>
      </c>
      <c r="O77" s="16" cm="1">
        <f t="array" ref="O77">INDEX(_xlfn.ANCHORARRAY(_xlfn.XLOOKUP($C77,'-ref_Distribution'!$B$146:$B$150,'-ref_Distribution'!$G$146:$G$150)),RIGHT(O$1,2))</f>
        <v>111</v>
      </c>
      <c r="P77" s="16" cm="1">
        <f t="array" ref="P77">INDEX(_xlfn.ANCHORARRAY(_xlfn.XLOOKUP($C77,'-ref_Distribution'!$B$146:$B$150,'-ref_Distribution'!$G$146:$G$150)),RIGHT(P$1,2))</f>
        <v>125</v>
      </c>
      <c r="Q77" s="16" cm="1">
        <f t="array" ref="Q77">INDEX(_xlfn.ANCHORARRAY(_xlfn.XLOOKUP($C77,'-ref_Distribution'!$B$146:$B$150,'-ref_Distribution'!$G$146:$G$150)),RIGHT(Q$1,2))</f>
        <v>135</v>
      </c>
      <c r="R77" s="16" cm="1">
        <f t="array" ref="R77">INDEX(_xlfn.ANCHORARRAY(_xlfn.XLOOKUP($C77,'-ref_Distribution'!$B$146:$B$150,'-ref_Distribution'!$G$146:$G$150)),RIGHT(R$1,2))</f>
        <v>142</v>
      </c>
      <c r="S77" s="16" cm="1">
        <f t="array" ref="S77">INDEX(_xlfn.ANCHORARRAY(_xlfn.XLOOKUP($C77,'-ref_Distribution'!$B$146:$B$150,'-ref_Distribution'!$G$146:$G$150)),RIGHT(S$1,2))</f>
        <v>144</v>
      </c>
      <c r="T77" s="16" cm="1">
        <f t="array" ref="T77">INDEX(_xlfn.ANCHORARRAY(_xlfn.XLOOKUP($C77,'-ref_Distribution'!$B$146:$B$150,'-ref_Distribution'!$G$146:$G$150)),RIGHT(T$1,2))</f>
        <v>142</v>
      </c>
      <c r="U77" s="16" cm="1">
        <f t="array" ref="U77">INDEX(_xlfn.ANCHORARRAY(_xlfn.XLOOKUP($C77,'-ref_Distribution'!$B$146:$B$150,'-ref_Distribution'!$G$146:$G$150)),RIGHT(U$1,2))</f>
        <v>135</v>
      </c>
      <c r="V77" s="16" cm="1">
        <f t="array" ref="V77">INDEX(_xlfn.ANCHORARRAY(_xlfn.XLOOKUP($C77,'-ref_Distribution'!$B$146:$B$150,'-ref_Distribution'!$G$146:$G$150)),RIGHT(V$1,2))</f>
        <v>125</v>
      </c>
      <c r="W77" s="16" cm="1">
        <f t="array" ref="W77">INDEX(_xlfn.ANCHORARRAY(_xlfn.XLOOKUP($C77,'-ref_Distribution'!$B$146:$B$150,'-ref_Distribution'!$G$146:$G$150)),RIGHT(W$1,2))</f>
        <v>111</v>
      </c>
      <c r="X77" s="16" cm="1">
        <f t="array" ref="X77">INDEX(_xlfn.ANCHORARRAY(_xlfn.XLOOKUP($C77,'-ref_Distribution'!$B$146:$B$150,'-ref_Distribution'!$G$146:$G$150)),RIGHT(X$1,2))</f>
        <v>4</v>
      </c>
      <c r="Y77" s="16" cm="1">
        <f t="array" ref="Y77">INDEX(_xlfn.ANCHORARRAY(_xlfn.XLOOKUP($C77,'-ref_Distribution'!$B$146:$B$150,'-ref_Distribution'!$G$146:$G$150)),RIGHT(Y$1,2))</f>
        <v>6</v>
      </c>
      <c r="Z77" s="16" cm="1">
        <f t="array" ref="Z77">INDEX(_xlfn.ANCHORARRAY(_xlfn.XLOOKUP($C77,'-ref_Distribution'!$B$146:$B$150,'-ref_Distribution'!$G$146:$G$150)),RIGHT(Z$1,2))</f>
        <v>9</v>
      </c>
      <c r="AA77" s="16" cm="1">
        <f t="array" ref="AA77">INDEX(_xlfn.ANCHORARRAY(_xlfn.XLOOKUP($C77,'-ref_Distribution'!$B$146:$B$150,'-ref_Distribution'!$G$146:$G$150)),RIGHT(AA$1,2))</f>
        <v>14</v>
      </c>
      <c r="AB77" s="16" cm="1">
        <f t="array" ref="AB77">INDEX(_xlfn.ANCHORARRAY(_xlfn.XLOOKUP($C77,'-ref_Distribution'!$B$146:$B$150,'-ref_Distribution'!$G$146:$G$150)),RIGHT(AB$1,2))</f>
        <v>20</v>
      </c>
      <c r="AC77" s="16" cm="1">
        <f t="array" ref="AC77">INDEX(_xlfn.ANCHORARRAY(_xlfn.XLOOKUP($C77,'-ref_Distribution'!$B$146:$B$150,'-ref_Distribution'!$G$146:$G$150)),RIGHT(AC$1,2))</f>
        <v>28</v>
      </c>
      <c r="AD77" s="16" cm="1">
        <f t="array" ref="AD77">INDEX(_xlfn.ANCHORARRAY(_xlfn.XLOOKUP($C77,'-ref_Distribution'!$B$146:$B$150,'-ref_Distribution'!$G$146:$G$150)),RIGHT(AD$1,2))</f>
        <v>38</v>
      </c>
      <c r="AE77" s="16" cm="1">
        <f t="array" ref="AE77">INDEX(_xlfn.ANCHORARRAY(_xlfn.XLOOKUP($C77,'-ref_Distribution'!$B$146:$B$150,'-ref_Distribution'!$G$146:$G$150)),RIGHT(AE$1,2))</f>
        <v>51</v>
      </c>
      <c r="AF77" s="16" cm="1">
        <f t="array" ref="AF77">INDEX(_xlfn.ANCHORARRAY(_xlfn.XLOOKUP($C77,'-ref_Distribution'!$B$146:$B$150,'-ref_Distribution'!$G$146:$G$150)),RIGHT(AF$1,2))</f>
        <v>65</v>
      </c>
      <c r="AG77" s="16" cm="1">
        <f t="array" ref="AG77">INDEX(_xlfn.ANCHORARRAY(_xlfn.XLOOKUP($C77,'-ref_Distribution'!$B$146:$B$150,'-ref_Distribution'!$G$146:$G$150)),RIGHT(AG$1,2))</f>
        <v>80</v>
      </c>
      <c r="AH77" s="16" cm="1">
        <f t="array" ref="AH77">INDEX(_xlfn.ANCHORARRAY(_xlfn.XLOOKUP($C77,'-ref_Distribution'!$B$146:$B$150,'-ref_Distribution'!$G$146:$G$150)),RIGHT(AH$1,2))</f>
        <v>96</v>
      </c>
      <c r="AI77" s="16" cm="1">
        <f t="array" ref="AI77">INDEX(_xlfn.ANCHORARRAY(_xlfn.XLOOKUP($C77,'-ref_Distribution'!$B$146:$B$150,'-ref_Distribution'!$G$146:$G$150)),RIGHT(AI$1,2))</f>
        <v>111</v>
      </c>
      <c r="AJ77" s="16" cm="1">
        <f t="array" ref="AJ77">INDEX(_xlfn.ANCHORARRAY(_xlfn.XLOOKUP($C77,'-ref_Distribution'!$B$146:$B$150,'-ref_Distribution'!$G$146:$G$150)),RIGHT(AJ$1,2))</f>
        <v>125</v>
      </c>
      <c r="AK77" s="16" cm="1">
        <f t="array" ref="AK77">INDEX(_xlfn.ANCHORARRAY(_xlfn.XLOOKUP($C77,'-ref_Distribution'!$B$146:$B$150,'-ref_Distribution'!$G$146:$G$150)),RIGHT(AK$1,2))</f>
        <v>135</v>
      </c>
      <c r="AL77" s="16" cm="1">
        <f t="array" ref="AL77">INDEX(_xlfn.ANCHORARRAY(_xlfn.XLOOKUP($C77,'-ref_Distribution'!$B$146:$B$150,'-ref_Distribution'!$G$146:$G$150)),RIGHT(AL$1,2))</f>
        <v>142</v>
      </c>
      <c r="AM77" s="16" cm="1">
        <f t="array" ref="AM77">INDEX(_xlfn.ANCHORARRAY(_xlfn.XLOOKUP($C77,'-ref_Distribution'!$B$146:$B$150,'-ref_Distribution'!$G$146:$G$150)),RIGHT(AM$1,2))</f>
        <v>144</v>
      </c>
      <c r="AN77" s="16" cm="1">
        <f t="array" ref="AN77">INDEX(_xlfn.ANCHORARRAY(_xlfn.XLOOKUP($C77,'-ref_Distribution'!$B$146:$B$150,'-ref_Distribution'!$G$146:$G$150)),RIGHT(AN$1,2))</f>
        <v>142</v>
      </c>
      <c r="AO77" s="16" cm="1">
        <f t="array" ref="AO77">INDEX(_xlfn.ANCHORARRAY(_xlfn.XLOOKUP($C77,'-ref_Distribution'!$B$146:$B$150,'-ref_Distribution'!$G$146:$G$150)),RIGHT(AO$1,2))</f>
        <v>135</v>
      </c>
      <c r="AP77" s="16" cm="1">
        <f t="array" ref="AP77">INDEX(_xlfn.ANCHORARRAY(_xlfn.XLOOKUP($C77,'-ref_Distribution'!$B$146:$B$150,'-ref_Distribution'!$G$146:$G$150)),RIGHT(AP$1,2))</f>
        <v>125</v>
      </c>
      <c r="AQ77" s="16" cm="1">
        <f t="array" ref="AQ77">INDEX(_xlfn.ANCHORARRAY(_xlfn.XLOOKUP($C77,'-ref_Distribution'!$B$146:$B$150,'-ref_Distribution'!$G$146:$G$150)),RIGHT(AQ$1,2))</f>
        <v>111</v>
      </c>
      <c r="AR77" s="16" cm="1">
        <f t="array" ref="AR77">INDEX(_xlfn.ANCHORARRAY(_xlfn.XLOOKUP($C77,'-ref_Distribution'!$B$146:$B$150,'-ref_Distribution'!$G$146:$G$150)),RIGHT(AR$1,2))</f>
        <v>4</v>
      </c>
      <c r="AS77" s="16" cm="1">
        <f t="array" ref="AS77">INDEX(_xlfn.ANCHORARRAY(_xlfn.XLOOKUP($C77,'-ref_Distribution'!$B$146:$B$150,'-ref_Distribution'!$G$146:$G$150)),RIGHT(AS$1,2))</f>
        <v>6</v>
      </c>
      <c r="AT77" s="16" cm="1">
        <f t="array" ref="AT77">INDEX(_xlfn.ANCHORARRAY(_xlfn.XLOOKUP($C77,'-ref_Distribution'!$B$146:$B$150,'-ref_Distribution'!$G$146:$G$150)),RIGHT(AT$1,2))</f>
        <v>9</v>
      </c>
      <c r="AU77" s="16" cm="1">
        <f t="array" ref="AU77">INDEX(_xlfn.ANCHORARRAY(_xlfn.XLOOKUP($C77,'-ref_Distribution'!$B$146:$B$150,'-ref_Distribution'!$G$146:$G$150)),RIGHT(AU$1,2))</f>
        <v>14</v>
      </c>
      <c r="AV77" s="16" cm="1">
        <f t="array" ref="AV77">INDEX(_xlfn.ANCHORARRAY(_xlfn.XLOOKUP($C77,'-ref_Distribution'!$B$146:$B$150,'-ref_Distribution'!$G$146:$G$150)),RIGHT(AV$1,2))</f>
        <v>20</v>
      </c>
      <c r="AW77" s="16" cm="1">
        <f t="array" ref="AW77">INDEX(_xlfn.ANCHORARRAY(_xlfn.XLOOKUP($C77,'-ref_Distribution'!$B$146:$B$150,'-ref_Distribution'!$G$146:$G$150)),RIGHT(AW$1,2))</f>
        <v>28</v>
      </c>
      <c r="AX77" s="16" cm="1">
        <f t="array" ref="AX77">INDEX(_xlfn.ANCHORARRAY(_xlfn.XLOOKUP($C77,'-ref_Distribution'!$B$146:$B$150,'-ref_Distribution'!$G$146:$G$150)),RIGHT(AX$1,2))</f>
        <v>38</v>
      </c>
      <c r="AY77" s="16" cm="1">
        <f t="array" ref="AY77">INDEX(_xlfn.ANCHORARRAY(_xlfn.XLOOKUP($C77,'-ref_Distribution'!$B$146:$B$150,'-ref_Distribution'!$G$146:$G$150)),RIGHT(AY$1,2))</f>
        <v>51</v>
      </c>
      <c r="AZ77" s="16" cm="1">
        <f t="array" ref="AZ77">INDEX(_xlfn.ANCHORARRAY(_xlfn.XLOOKUP($C77,'-ref_Distribution'!$B$146:$B$150,'-ref_Distribution'!$G$146:$G$150)),RIGHT(AZ$1,2))</f>
        <v>65</v>
      </c>
      <c r="BA77" s="16" cm="1">
        <f t="array" ref="BA77">INDEX(_xlfn.ANCHORARRAY(_xlfn.XLOOKUP($C77,'-ref_Distribution'!$B$146:$B$150,'-ref_Distribution'!$G$146:$G$150)),RIGHT(BA$1,2))</f>
        <v>80</v>
      </c>
      <c r="BB77" s="16" cm="1">
        <f t="array" ref="BB77">INDEX(_xlfn.ANCHORARRAY(_xlfn.XLOOKUP($C77,'-ref_Distribution'!$B$146:$B$150,'-ref_Distribution'!$G$146:$G$150)),RIGHT(BB$1,2))</f>
        <v>96</v>
      </c>
      <c r="BC77" s="16" cm="1">
        <f t="array" ref="BC77">INDEX(_xlfn.ANCHORARRAY(_xlfn.XLOOKUP($C77,'-ref_Distribution'!$B$146:$B$150,'-ref_Distribution'!$G$146:$G$150)),RIGHT(BC$1,2))</f>
        <v>111</v>
      </c>
      <c r="BD77" s="16" cm="1">
        <f t="array" ref="BD77">INDEX(_xlfn.ANCHORARRAY(_xlfn.XLOOKUP($C77,'-ref_Distribution'!$B$146:$B$150,'-ref_Distribution'!$G$146:$G$150)),RIGHT(BD$1,2))</f>
        <v>125</v>
      </c>
      <c r="BE77" s="16" cm="1">
        <f t="array" ref="BE77">INDEX(_xlfn.ANCHORARRAY(_xlfn.XLOOKUP($C77,'-ref_Distribution'!$B$146:$B$150,'-ref_Distribution'!$G$146:$G$150)),RIGHT(BE$1,2))</f>
        <v>135</v>
      </c>
      <c r="BF77" s="16" cm="1">
        <f t="array" ref="BF77">INDEX(_xlfn.ANCHORARRAY(_xlfn.XLOOKUP($C77,'-ref_Distribution'!$B$146:$B$150,'-ref_Distribution'!$G$146:$G$150)),RIGHT(BF$1,2))</f>
        <v>142</v>
      </c>
      <c r="BG77" s="16" cm="1">
        <f t="array" ref="BG77">INDEX(_xlfn.ANCHORARRAY(_xlfn.XLOOKUP($C77,'-ref_Distribution'!$B$146:$B$150,'-ref_Distribution'!$G$146:$G$150)),RIGHT(BG$1,2))</f>
        <v>144</v>
      </c>
      <c r="BH77" s="16" cm="1">
        <f t="array" ref="BH77">INDEX(_xlfn.ANCHORARRAY(_xlfn.XLOOKUP($C77,'-ref_Distribution'!$B$146:$B$150,'-ref_Distribution'!$G$146:$G$150)),RIGHT(BH$1,2))</f>
        <v>142</v>
      </c>
      <c r="BI77" s="16" cm="1">
        <f t="array" ref="BI77">INDEX(_xlfn.ANCHORARRAY(_xlfn.XLOOKUP($C77,'-ref_Distribution'!$B$146:$B$150,'-ref_Distribution'!$G$146:$G$150)),RIGHT(BI$1,2))</f>
        <v>135</v>
      </c>
      <c r="BJ77" s="16" cm="1">
        <f t="array" ref="BJ77">INDEX(_xlfn.ANCHORARRAY(_xlfn.XLOOKUP($C77,'-ref_Distribution'!$B$146:$B$150,'-ref_Distribution'!$G$146:$G$150)),RIGHT(BJ$1,2))</f>
        <v>125</v>
      </c>
      <c r="BK77" s="16" cm="1">
        <f t="array" ref="BK77">INDEX(_xlfn.ANCHORARRAY(_xlfn.XLOOKUP($C77,'-ref_Distribution'!$B$146:$B$150,'-ref_Distribution'!$G$146:$G$150)),RIGHT(BK$1,2))</f>
        <v>111</v>
      </c>
      <c r="BL77" s="16" cm="1">
        <f t="array" ref="BL77">INDEX(_xlfn.ANCHORARRAY(_xlfn.XLOOKUP($C77,'-ref_Distribution'!$B$146:$B$150,'-ref_Distribution'!$G$146:$G$150)),RIGHT(BL$1,2))</f>
        <v>4</v>
      </c>
      <c r="BM77" s="16" cm="1">
        <f t="array" ref="BM77">INDEX(_xlfn.ANCHORARRAY(_xlfn.XLOOKUP($C77,'-ref_Distribution'!$B$146:$B$150,'-ref_Distribution'!$G$146:$G$150)),RIGHT(BM$1,2))</f>
        <v>6</v>
      </c>
      <c r="BN77" s="16" cm="1">
        <f t="array" ref="BN77">INDEX(_xlfn.ANCHORARRAY(_xlfn.XLOOKUP($C77,'-ref_Distribution'!$B$146:$B$150,'-ref_Distribution'!$G$146:$G$150)),RIGHT(BN$1,2))</f>
        <v>9</v>
      </c>
      <c r="BO77" s="16" cm="1">
        <f t="array" ref="BO77">INDEX(_xlfn.ANCHORARRAY(_xlfn.XLOOKUP($C77,'-ref_Distribution'!$B$146:$B$150,'-ref_Distribution'!$G$146:$G$150)),RIGHT(BO$1,2))</f>
        <v>14</v>
      </c>
      <c r="BP77" s="16" cm="1">
        <f t="array" ref="BP77">INDEX(_xlfn.ANCHORARRAY(_xlfn.XLOOKUP($C77,'-ref_Distribution'!$B$146:$B$150,'-ref_Distribution'!$G$146:$G$150)),RIGHT(BP$1,2))</f>
        <v>20</v>
      </c>
      <c r="BQ77" s="16" cm="1">
        <f t="array" ref="BQ77">INDEX(_xlfn.ANCHORARRAY(_xlfn.XLOOKUP($C77,'-ref_Distribution'!$B$146:$B$150,'-ref_Distribution'!$G$146:$G$150)),RIGHT(BQ$1,2))</f>
        <v>28</v>
      </c>
      <c r="BR77" s="16" cm="1">
        <f t="array" ref="BR77">INDEX(_xlfn.ANCHORARRAY(_xlfn.XLOOKUP($C77,'-ref_Distribution'!$B$146:$B$150,'-ref_Distribution'!$G$146:$G$150)),RIGHT(BR$1,2))</f>
        <v>38</v>
      </c>
      <c r="BS77" s="16" cm="1">
        <f t="array" ref="BS77">INDEX(_xlfn.ANCHORARRAY(_xlfn.XLOOKUP($C77,'-ref_Distribution'!$B$146:$B$150,'-ref_Distribution'!$G$146:$G$150)),RIGHT(BS$1,2))</f>
        <v>51</v>
      </c>
      <c r="BT77" s="16" cm="1">
        <f t="array" ref="BT77">INDEX(_xlfn.ANCHORARRAY(_xlfn.XLOOKUP($C77,'-ref_Distribution'!$B$146:$B$150,'-ref_Distribution'!$G$146:$G$150)),RIGHT(BT$1,2))</f>
        <v>65</v>
      </c>
      <c r="BU77" s="16" cm="1">
        <f t="array" ref="BU77">INDEX(_xlfn.ANCHORARRAY(_xlfn.XLOOKUP($C77,'-ref_Distribution'!$B$146:$B$150,'-ref_Distribution'!$G$146:$G$150)),RIGHT(BU$1,2))</f>
        <v>80</v>
      </c>
      <c r="BV77" s="16" cm="1">
        <f t="array" ref="BV77">INDEX(_xlfn.ANCHORARRAY(_xlfn.XLOOKUP($C77,'-ref_Distribution'!$B$146:$B$150,'-ref_Distribution'!$G$146:$G$150)),RIGHT(BV$1,2))</f>
        <v>96</v>
      </c>
      <c r="BW77" s="16" cm="1">
        <f t="array" ref="BW77">INDEX(_xlfn.ANCHORARRAY(_xlfn.XLOOKUP($C77,'-ref_Distribution'!$B$146:$B$150,'-ref_Distribution'!$G$146:$G$150)),RIGHT(BW$1,2))</f>
        <v>111</v>
      </c>
      <c r="BX77" s="16" cm="1">
        <f t="array" ref="BX77">INDEX(_xlfn.ANCHORARRAY(_xlfn.XLOOKUP($C77,'-ref_Distribution'!$B$146:$B$150,'-ref_Distribution'!$G$146:$G$150)),RIGHT(BX$1,2))</f>
        <v>125</v>
      </c>
      <c r="BY77" s="16" cm="1">
        <f t="array" ref="BY77">INDEX(_xlfn.ANCHORARRAY(_xlfn.XLOOKUP($C77,'-ref_Distribution'!$B$146:$B$150,'-ref_Distribution'!$G$146:$G$150)),RIGHT(BY$1,2))</f>
        <v>135</v>
      </c>
      <c r="BZ77" s="16" cm="1">
        <f t="array" ref="BZ77">INDEX(_xlfn.ANCHORARRAY(_xlfn.XLOOKUP($C77,'-ref_Distribution'!$B$146:$B$150,'-ref_Distribution'!$G$146:$G$150)),RIGHT(BZ$1,2))</f>
        <v>142</v>
      </c>
      <c r="CA77" s="16" cm="1">
        <f t="array" ref="CA77">INDEX(_xlfn.ANCHORARRAY(_xlfn.XLOOKUP($C77,'-ref_Distribution'!$B$146:$B$150,'-ref_Distribution'!$G$146:$G$150)),RIGHT(CA$1,2))</f>
        <v>144</v>
      </c>
      <c r="CB77" s="16" cm="1">
        <f t="array" ref="CB77">INDEX(_xlfn.ANCHORARRAY(_xlfn.XLOOKUP($C77,'-ref_Distribution'!$B$146:$B$150,'-ref_Distribution'!$G$146:$G$150)),RIGHT(CB$1,2))</f>
        <v>142</v>
      </c>
      <c r="CC77" s="16" cm="1">
        <f t="array" ref="CC77">INDEX(_xlfn.ANCHORARRAY(_xlfn.XLOOKUP($C77,'-ref_Distribution'!$B$146:$B$150,'-ref_Distribution'!$G$146:$G$150)),RIGHT(CC$1,2))</f>
        <v>135</v>
      </c>
      <c r="CD77" s="16" cm="1">
        <f t="array" ref="CD77">INDEX(_xlfn.ANCHORARRAY(_xlfn.XLOOKUP($C77,'-ref_Distribution'!$B$146:$B$150,'-ref_Distribution'!$G$146:$G$150)),RIGHT(CD$1,2))</f>
        <v>125</v>
      </c>
      <c r="CE77" s="16" cm="1">
        <f t="array" ref="CE77">INDEX(_xlfn.ANCHORARRAY(_xlfn.XLOOKUP($C77,'-ref_Distribution'!$B$146:$B$150,'-ref_Distribution'!$G$146:$G$150)),RIGHT(CE$1,2))</f>
        <v>111</v>
      </c>
    </row>
    <row r="78" spans="1:83" x14ac:dyDescent="0.2"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</row>
    <row r="79" spans="1:83" x14ac:dyDescent="0.2">
      <c r="A79" s="16">
        <v>310501</v>
      </c>
      <c r="B79" s="16" t="s">
        <v>381</v>
      </c>
      <c r="C79" s="16">
        <v>2</v>
      </c>
      <c r="D79" s="16" cm="1">
        <f t="array" ref="D79">INDEX(_xlfn.ANCHORARRAY(_xlfn.XLOOKUP($C79,'-ref_Distribution'!$B$146:$B$150,'-ref_Distribution'!$G$146:$G$150)),RIGHT(D$1,2))</f>
        <v>75</v>
      </c>
      <c r="E79" s="16" cm="1">
        <f t="array" ref="E79">INDEX(_xlfn.ANCHORARRAY(_xlfn.XLOOKUP($C79,'-ref_Distribution'!$B$146:$B$150,'-ref_Distribution'!$G$146:$G$150)),RIGHT(E$1,2))</f>
        <v>94</v>
      </c>
      <c r="F79" s="16" cm="1">
        <f t="array" ref="F79">INDEX(_xlfn.ANCHORARRAY(_xlfn.XLOOKUP($C79,'-ref_Distribution'!$B$146:$B$150,'-ref_Distribution'!$G$146:$G$150)),RIGHT(F$1,2))</f>
        <v>115</v>
      </c>
      <c r="G79" s="16" cm="1">
        <f t="array" ref="G79">INDEX(_xlfn.ANCHORARRAY(_xlfn.XLOOKUP($C79,'-ref_Distribution'!$B$146:$B$150,'-ref_Distribution'!$G$146:$G$150)),RIGHT(G$1,2))</f>
        <v>137</v>
      </c>
      <c r="H79" s="16" cm="1">
        <f t="array" ref="H79">INDEX(_xlfn.ANCHORARRAY(_xlfn.XLOOKUP($C79,'-ref_Distribution'!$B$146:$B$150,'-ref_Distribution'!$G$146:$G$150)),RIGHT(H$1,2))</f>
        <v>160</v>
      </c>
      <c r="I79" s="16" cm="1">
        <f t="array" ref="I79">INDEX(_xlfn.ANCHORARRAY(_xlfn.XLOOKUP($C79,'-ref_Distribution'!$B$146:$B$150,'-ref_Distribution'!$G$146:$G$150)),RIGHT(I$1,2))</f>
        <v>183</v>
      </c>
      <c r="J79" s="16" cm="1">
        <f t="array" ref="J79">INDEX(_xlfn.ANCHORARRAY(_xlfn.XLOOKUP($C79,'-ref_Distribution'!$B$146:$B$150,'-ref_Distribution'!$G$146:$G$150)),RIGHT(J$1,2))</f>
        <v>203</v>
      </c>
      <c r="K79" s="16" cm="1">
        <f t="array" ref="K79">INDEX(_xlfn.ANCHORARRAY(_xlfn.XLOOKUP($C79,'-ref_Distribution'!$B$146:$B$150,'-ref_Distribution'!$G$146:$G$150)),RIGHT(K$1,2))</f>
        <v>221</v>
      </c>
      <c r="L79" s="16" cm="1">
        <f t="array" ref="L79">INDEX(_xlfn.ANCHORARRAY(_xlfn.XLOOKUP($C79,'-ref_Distribution'!$B$146:$B$150,'-ref_Distribution'!$G$146:$G$150)),RIGHT(L$1,2))</f>
        <v>234</v>
      </c>
      <c r="M79" s="16" cm="1">
        <f t="array" ref="M79">INDEX(_xlfn.ANCHORARRAY(_xlfn.XLOOKUP($C79,'-ref_Distribution'!$B$146:$B$150,'-ref_Distribution'!$G$146:$G$150)),RIGHT(M$1,2))</f>
        <v>243</v>
      </c>
      <c r="N79" s="16" cm="1">
        <f t="array" ref="N79">INDEX(_xlfn.ANCHORARRAY(_xlfn.XLOOKUP($C79,'-ref_Distribution'!$B$146:$B$150,'-ref_Distribution'!$G$146:$G$150)),RIGHT(N$1,2))</f>
        <v>245</v>
      </c>
      <c r="O79" s="16" cm="1">
        <f t="array" ref="O79">INDEX(_xlfn.ANCHORARRAY(_xlfn.XLOOKUP($C79,'-ref_Distribution'!$B$146:$B$150,'-ref_Distribution'!$G$146:$G$150)),RIGHT(O$1,2))</f>
        <v>243</v>
      </c>
      <c r="P79" s="16" cm="1">
        <f t="array" ref="P79">INDEX(_xlfn.ANCHORARRAY(_xlfn.XLOOKUP($C79,'-ref_Distribution'!$B$146:$B$150,'-ref_Distribution'!$G$146:$G$150)),RIGHT(P$1,2))</f>
        <v>234</v>
      </c>
      <c r="Q79" s="16" cm="1">
        <f t="array" ref="Q79">INDEX(_xlfn.ANCHORARRAY(_xlfn.XLOOKUP($C79,'-ref_Distribution'!$B$146:$B$150,'-ref_Distribution'!$G$146:$G$150)),RIGHT(Q$1,2))</f>
        <v>221</v>
      </c>
      <c r="R79" s="16" cm="1">
        <f t="array" ref="R79">INDEX(_xlfn.ANCHORARRAY(_xlfn.XLOOKUP($C79,'-ref_Distribution'!$B$146:$B$150,'-ref_Distribution'!$G$146:$G$150)),RIGHT(R$1,2))</f>
        <v>203</v>
      </c>
      <c r="S79" s="16" cm="1">
        <f t="array" ref="S79">INDEX(_xlfn.ANCHORARRAY(_xlfn.XLOOKUP($C79,'-ref_Distribution'!$B$146:$B$150,'-ref_Distribution'!$G$146:$G$150)),RIGHT(S$1,2))</f>
        <v>183</v>
      </c>
      <c r="T79" s="16" cm="1">
        <f t="array" ref="T79">INDEX(_xlfn.ANCHORARRAY(_xlfn.XLOOKUP($C79,'-ref_Distribution'!$B$146:$B$150,'-ref_Distribution'!$G$146:$G$150)),RIGHT(T$1,2))</f>
        <v>160</v>
      </c>
      <c r="U79" s="16" cm="1">
        <f t="array" ref="U79">INDEX(_xlfn.ANCHORARRAY(_xlfn.XLOOKUP($C79,'-ref_Distribution'!$B$146:$B$150,'-ref_Distribution'!$G$146:$G$150)),RIGHT(U$1,2))</f>
        <v>137</v>
      </c>
      <c r="V79" s="16" cm="1">
        <f t="array" ref="V79">INDEX(_xlfn.ANCHORARRAY(_xlfn.XLOOKUP($C79,'-ref_Distribution'!$B$146:$B$150,'-ref_Distribution'!$G$146:$G$150)),RIGHT(V$1,2))</f>
        <v>115</v>
      </c>
      <c r="W79" s="16" cm="1">
        <f t="array" ref="W79">INDEX(_xlfn.ANCHORARRAY(_xlfn.XLOOKUP($C79,'-ref_Distribution'!$B$146:$B$150,'-ref_Distribution'!$G$146:$G$150)),RIGHT(W$1,2))</f>
        <v>94</v>
      </c>
      <c r="X79" s="16" cm="1">
        <f t="array" ref="X79">INDEX(_xlfn.ANCHORARRAY(_xlfn.XLOOKUP($C79,'-ref_Distribution'!$B$146:$B$150,'-ref_Distribution'!$G$146:$G$150)),RIGHT(X$1,2))</f>
        <v>75</v>
      </c>
      <c r="Y79" s="16" cm="1">
        <f t="array" ref="Y79">INDEX(_xlfn.ANCHORARRAY(_xlfn.XLOOKUP($C79,'-ref_Distribution'!$B$146:$B$150,'-ref_Distribution'!$G$146:$G$150)),RIGHT(Y$1,2))</f>
        <v>94</v>
      </c>
      <c r="Z79" s="16" cm="1">
        <f t="array" ref="Z79">INDEX(_xlfn.ANCHORARRAY(_xlfn.XLOOKUP($C79,'-ref_Distribution'!$B$146:$B$150,'-ref_Distribution'!$G$146:$G$150)),RIGHT(Z$1,2))</f>
        <v>115</v>
      </c>
      <c r="AA79" s="16" cm="1">
        <f t="array" ref="AA79">INDEX(_xlfn.ANCHORARRAY(_xlfn.XLOOKUP($C79,'-ref_Distribution'!$B$146:$B$150,'-ref_Distribution'!$G$146:$G$150)),RIGHT(AA$1,2))</f>
        <v>137</v>
      </c>
      <c r="AB79" s="16" cm="1">
        <f t="array" ref="AB79">INDEX(_xlfn.ANCHORARRAY(_xlfn.XLOOKUP($C79,'-ref_Distribution'!$B$146:$B$150,'-ref_Distribution'!$G$146:$G$150)),RIGHT(AB$1,2))</f>
        <v>160</v>
      </c>
      <c r="AC79" s="16" cm="1">
        <f t="array" ref="AC79">INDEX(_xlfn.ANCHORARRAY(_xlfn.XLOOKUP($C79,'-ref_Distribution'!$B$146:$B$150,'-ref_Distribution'!$G$146:$G$150)),RIGHT(AC$1,2))</f>
        <v>183</v>
      </c>
      <c r="AD79" s="16" cm="1">
        <f t="array" ref="AD79">INDEX(_xlfn.ANCHORARRAY(_xlfn.XLOOKUP($C79,'-ref_Distribution'!$B$146:$B$150,'-ref_Distribution'!$G$146:$G$150)),RIGHT(AD$1,2))</f>
        <v>203</v>
      </c>
      <c r="AE79" s="16" cm="1">
        <f t="array" ref="AE79">INDEX(_xlfn.ANCHORARRAY(_xlfn.XLOOKUP($C79,'-ref_Distribution'!$B$146:$B$150,'-ref_Distribution'!$G$146:$G$150)),RIGHT(AE$1,2))</f>
        <v>221</v>
      </c>
      <c r="AF79" s="16" cm="1">
        <f t="array" ref="AF79">INDEX(_xlfn.ANCHORARRAY(_xlfn.XLOOKUP($C79,'-ref_Distribution'!$B$146:$B$150,'-ref_Distribution'!$G$146:$G$150)),RIGHT(AF$1,2))</f>
        <v>234</v>
      </c>
      <c r="AG79" s="16" cm="1">
        <f t="array" ref="AG79">INDEX(_xlfn.ANCHORARRAY(_xlfn.XLOOKUP($C79,'-ref_Distribution'!$B$146:$B$150,'-ref_Distribution'!$G$146:$G$150)),RIGHT(AG$1,2))</f>
        <v>243</v>
      </c>
      <c r="AH79" s="16" cm="1">
        <f t="array" ref="AH79">INDEX(_xlfn.ANCHORARRAY(_xlfn.XLOOKUP($C79,'-ref_Distribution'!$B$146:$B$150,'-ref_Distribution'!$G$146:$G$150)),RIGHT(AH$1,2))</f>
        <v>245</v>
      </c>
      <c r="AI79" s="16" cm="1">
        <f t="array" ref="AI79">INDEX(_xlfn.ANCHORARRAY(_xlfn.XLOOKUP($C79,'-ref_Distribution'!$B$146:$B$150,'-ref_Distribution'!$G$146:$G$150)),RIGHT(AI$1,2))</f>
        <v>243</v>
      </c>
      <c r="AJ79" s="16" cm="1">
        <f t="array" ref="AJ79">INDEX(_xlfn.ANCHORARRAY(_xlfn.XLOOKUP($C79,'-ref_Distribution'!$B$146:$B$150,'-ref_Distribution'!$G$146:$G$150)),RIGHT(AJ$1,2))</f>
        <v>234</v>
      </c>
      <c r="AK79" s="16" cm="1">
        <f t="array" ref="AK79">INDEX(_xlfn.ANCHORARRAY(_xlfn.XLOOKUP($C79,'-ref_Distribution'!$B$146:$B$150,'-ref_Distribution'!$G$146:$G$150)),RIGHT(AK$1,2))</f>
        <v>221</v>
      </c>
      <c r="AL79" s="16" cm="1">
        <f t="array" ref="AL79">INDEX(_xlfn.ANCHORARRAY(_xlfn.XLOOKUP($C79,'-ref_Distribution'!$B$146:$B$150,'-ref_Distribution'!$G$146:$G$150)),RIGHT(AL$1,2))</f>
        <v>203</v>
      </c>
      <c r="AM79" s="16" cm="1">
        <f t="array" ref="AM79">INDEX(_xlfn.ANCHORARRAY(_xlfn.XLOOKUP($C79,'-ref_Distribution'!$B$146:$B$150,'-ref_Distribution'!$G$146:$G$150)),RIGHT(AM$1,2))</f>
        <v>183</v>
      </c>
      <c r="AN79" s="16" cm="1">
        <f t="array" ref="AN79">INDEX(_xlfn.ANCHORARRAY(_xlfn.XLOOKUP($C79,'-ref_Distribution'!$B$146:$B$150,'-ref_Distribution'!$G$146:$G$150)),RIGHT(AN$1,2))</f>
        <v>160</v>
      </c>
      <c r="AO79" s="16" cm="1">
        <f t="array" ref="AO79">INDEX(_xlfn.ANCHORARRAY(_xlfn.XLOOKUP($C79,'-ref_Distribution'!$B$146:$B$150,'-ref_Distribution'!$G$146:$G$150)),RIGHT(AO$1,2))</f>
        <v>137</v>
      </c>
      <c r="AP79" s="16" cm="1">
        <f t="array" ref="AP79">INDEX(_xlfn.ANCHORARRAY(_xlfn.XLOOKUP($C79,'-ref_Distribution'!$B$146:$B$150,'-ref_Distribution'!$G$146:$G$150)),RIGHT(AP$1,2))</f>
        <v>115</v>
      </c>
      <c r="AQ79" s="16" cm="1">
        <f t="array" ref="AQ79">INDEX(_xlfn.ANCHORARRAY(_xlfn.XLOOKUP($C79,'-ref_Distribution'!$B$146:$B$150,'-ref_Distribution'!$G$146:$G$150)),RIGHT(AQ$1,2))</f>
        <v>94</v>
      </c>
      <c r="AR79" s="16" cm="1">
        <f t="array" ref="AR79">INDEX(_xlfn.ANCHORARRAY(_xlfn.XLOOKUP($C79,'-ref_Distribution'!$B$146:$B$150,'-ref_Distribution'!$G$146:$G$150)),RIGHT(AR$1,2))</f>
        <v>75</v>
      </c>
      <c r="AS79" s="16" cm="1">
        <f t="array" ref="AS79">INDEX(_xlfn.ANCHORARRAY(_xlfn.XLOOKUP($C79,'-ref_Distribution'!$B$146:$B$150,'-ref_Distribution'!$G$146:$G$150)),RIGHT(AS$1,2))</f>
        <v>94</v>
      </c>
      <c r="AT79" s="16" cm="1">
        <f t="array" ref="AT79">INDEX(_xlfn.ANCHORARRAY(_xlfn.XLOOKUP($C79,'-ref_Distribution'!$B$146:$B$150,'-ref_Distribution'!$G$146:$G$150)),RIGHT(AT$1,2))</f>
        <v>115</v>
      </c>
      <c r="AU79" s="16" cm="1">
        <f t="array" ref="AU79">INDEX(_xlfn.ANCHORARRAY(_xlfn.XLOOKUP($C79,'-ref_Distribution'!$B$146:$B$150,'-ref_Distribution'!$G$146:$G$150)),RIGHT(AU$1,2))</f>
        <v>137</v>
      </c>
      <c r="AV79" s="16" cm="1">
        <f t="array" ref="AV79">INDEX(_xlfn.ANCHORARRAY(_xlfn.XLOOKUP($C79,'-ref_Distribution'!$B$146:$B$150,'-ref_Distribution'!$G$146:$G$150)),RIGHT(AV$1,2))</f>
        <v>160</v>
      </c>
      <c r="AW79" s="16" cm="1">
        <f t="array" ref="AW79">INDEX(_xlfn.ANCHORARRAY(_xlfn.XLOOKUP($C79,'-ref_Distribution'!$B$146:$B$150,'-ref_Distribution'!$G$146:$G$150)),RIGHT(AW$1,2))</f>
        <v>183</v>
      </c>
      <c r="AX79" s="16" cm="1">
        <f t="array" ref="AX79">INDEX(_xlfn.ANCHORARRAY(_xlfn.XLOOKUP($C79,'-ref_Distribution'!$B$146:$B$150,'-ref_Distribution'!$G$146:$G$150)),RIGHT(AX$1,2))</f>
        <v>203</v>
      </c>
      <c r="AY79" s="16" cm="1">
        <f t="array" ref="AY79">INDEX(_xlfn.ANCHORARRAY(_xlfn.XLOOKUP($C79,'-ref_Distribution'!$B$146:$B$150,'-ref_Distribution'!$G$146:$G$150)),RIGHT(AY$1,2))</f>
        <v>221</v>
      </c>
      <c r="AZ79" s="16" cm="1">
        <f t="array" ref="AZ79">INDEX(_xlfn.ANCHORARRAY(_xlfn.XLOOKUP($C79,'-ref_Distribution'!$B$146:$B$150,'-ref_Distribution'!$G$146:$G$150)),RIGHT(AZ$1,2))</f>
        <v>234</v>
      </c>
      <c r="BA79" s="16" cm="1">
        <f t="array" ref="BA79">INDEX(_xlfn.ANCHORARRAY(_xlfn.XLOOKUP($C79,'-ref_Distribution'!$B$146:$B$150,'-ref_Distribution'!$G$146:$G$150)),RIGHT(BA$1,2))</f>
        <v>243</v>
      </c>
      <c r="BB79" s="16" cm="1">
        <f t="array" ref="BB79">INDEX(_xlfn.ANCHORARRAY(_xlfn.XLOOKUP($C79,'-ref_Distribution'!$B$146:$B$150,'-ref_Distribution'!$G$146:$G$150)),RIGHT(BB$1,2))</f>
        <v>245</v>
      </c>
      <c r="BC79" s="16" cm="1">
        <f t="array" ref="BC79">INDEX(_xlfn.ANCHORARRAY(_xlfn.XLOOKUP($C79,'-ref_Distribution'!$B$146:$B$150,'-ref_Distribution'!$G$146:$G$150)),RIGHT(BC$1,2))</f>
        <v>243</v>
      </c>
      <c r="BD79" s="16" cm="1">
        <f t="array" ref="BD79">INDEX(_xlfn.ANCHORARRAY(_xlfn.XLOOKUP($C79,'-ref_Distribution'!$B$146:$B$150,'-ref_Distribution'!$G$146:$G$150)),RIGHT(BD$1,2))</f>
        <v>234</v>
      </c>
      <c r="BE79" s="16" cm="1">
        <f t="array" ref="BE79">INDEX(_xlfn.ANCHORARRAY(_xlfn.XLOOKUP($C79,'-ref_Distribution'!$B$146:$B$150,'-ref_Distribution'!$G$146:$G$150)),RIGHT(BE$1,2))</f>
        <v>221</v>
      </c>
      <c r="BF79" s="16" cm="1">
        <f t="array" ref="BF79">INDEX(_xlfn.ANCHORARRAY(_xlfn.XLOOKUP($C79,'-ref_Distribution'!$B$146:$B$150,'-ref_Distribution'!$G$146:$G$150)),RIGHT(BF$1,2))</f>
        <v>203</v>
      </c>
      <c r="BG79" s="16" cm="1">
        <f t="array" ref="BG79">INDEX(_xlfn.ANCHORARRAY(_xlfn.XLOOKUP($C79,'-ref_Distribution'!$B$146:$B$150,'-ref_Distribution'!$G$146:$G$150)),RIGHT(BG$1,2))</f>
        <v>183</v>
      </c>
      <c r="BH79" s="16" cm="1">
        <f t="array" ref="BH79">INDEX(_xlfn.ANCHORARRAY(_xlfn.XLOOKUP($C79,'-ref_Distribution'!$B$146:$B$150,'-ref_Distribution'!$G$146:$G$150)),RIGHT(BH$1,2))</f>
        <v>160</v>
      </c>
      <c r="BI79" s="16" cm="1">
        <f t="array" ref="BI79">INDEX(_xlfn.ANCHORARRAY(_xlfn.XLOOKUP($C79,'-ref_Distribution'!$B$146:$B$150,'-ref_Distribution'!$G$146:$G$150)),RIGHT(BI$1,2))</f>
        <v>137</v>
      </c>
      <c r="BJ79" s="16" cm="1">
        <f t="array" ref="BJ79">INDEX(_xlfn.ANCHORARRAY(_xlfn.XLOOKUP($C79,'-ref_Distribution'!$B$146:$B$150,'-ref_Distribution'!$G$146:$G$150)),RIGHT(BJ$1,2))</f>
        <v>115</v>
      </c>
      <c r="BK79" s="16" cm="1">
        <f t="array" ref="BK79">INDEX(_xlfn.ANCHORARRAY(_xlfn.XLOOKUP($C79,'-ref_Distribution'!$B$146:$B$150,'-ref_Distribution'!$G$146:$G$150)),RIGHT(BK$1,2))</f>
        <v>94</v>
      </c>
      <c r="BL79" s="16" cm="1">
        <f t="array" ref="BL79">INDEX(_xlfn.ANCHORARRAY(_xlfn.XLOOKUP($C79,'-ref_Distribution'!$B$146:$B$150,'-ref_Distribution'!$G$146:$G$150)),RIGHT(BL$1,2))</f>
        <v>75</v>
      </c>
      <c r="BM79" s="16" cm="1">
        <f t="array" ref="BM79">INDEX(_xlfn.ANCHORARRAY(_xlfn.XLOOKUP($C79,'-ref_Distribution'!$B$146:$B$150,'-ref_Distribution'!$G$146:$G$150)),RIGHT(BM$1,2))</f>
        <v>94</v>
      </c>
      <c r="BN79" s="16" cm="1">
        <f t="array" ref="BN79">INDEX(_xlfn.ANCHORARRAY(_xlfn.XLOOKUP($C79,'-ref_Distribution'!$B$146:$B$150,'-ref_Distribution'!$G$146:$G$150)),RIGHT(BN$1,2))</f>
        <v>115</v>
      </c>
      <c r="BO79" s="16" cm="1">
        <f t="array" ref="BO79">INDEX(_xlfn.ANCHORARRAY(_xlfn.XLOOKUP($C79,'-ref_Distribution'!$B$146:$B$150,'-ref_Distribution'!$G$146:$G$150)),RIGHT(BO$1,2))</f>
        <v>137</v>
      </c>
      <c r="BP79" s="16" cm="1">
        <f t="array" ref="BP79">INDEX(_xlfn.ANCHORARRAY(_xlfn.XLOOKUP($C79,'-ref_Distribution'!$B$146:$B$150,'-ref_Distribution'!$G$146:$G$150)),RIGHT(BP$1,2))</f>
        <v>160</v>
      </c>
      <c r="BQ79" s="16" cm="1">
        <f t="array" ref="BQ79">INDEX(_xlfn.ANCHORARRAY(_xlfn.XLOOKUP($C79,'-ref_Distribution'!$B$146:$B$150,'-ref_Distribution'!$G$146:$G$150)),RIGHT(BQ$1,2))</f>
        <v>183</v>
      </c>
      <c r="BR79" s="16" cm="1">
        <f t="array" ref="BR79">INDEX(_xlfn.ANCHORARRAY(_xlfn.XLOOKUP($C79,'-ref_Distribution'!$B$146:$B$150,'-ref_Distribution'!$G$146:$G$150)),RIGHT(BR$1,2))</f>
        <v>203</v>
      </c>
      <c r="BS79" s="16" cm="1">
        <f t="array" ref="BS79">INDEX(_xlfn.ANCHORARRAY(_xlfn.XLOOKUP($C79,'-ref_Distribution'!$B$146:$B$150,'-ref_Distribution'!$G$146:$G$150)),RIGHT(BS$1,2))</f>
        <v>221</v>
      </c>
      <c r="BT79" s="16" cm="1">
        <f t="array" ref="BT79">INDEX(_xlfn.ANCHORARRAY(_xlfn.XLOOKUP($C79,'-ref_Distribution'!$B$146:$B$150,'-ref_Distribution'!$G$146:$G$150)),RIGHT(BT$1,2))</f>
        <v>234</v>
      </c>
      <c r="BU79" s="16" cm="1">
        <f t="array" ref="BU79">INDEX(_xlfn.ANCHORARRAY(_xlfn.XLOOKUP($C79,'-ref_Distribution'!$B$146:$B$150,'-ref_Distribution'!$G$146:$G$150)),RIGHT(BU$1,2))</f>
        <v>243</v>
      </c>
      <c r="BV79" s="16" cm="1">
        <f t="array" ref="BV79">INDEX(_xlfn.ANCHORARRAY(_xlfn.XLOOKUP($C79,'-ref_Distribution'!$B$146:$B$150,'-ref_Distribution'!$G$146:$G$150)),RIGHT(BV$1,2))</f>
        <v>245</v>
      </c>
      <c r="BW79" s="16" cm="1">
        <f t="array" ref="BW79">INDEX(_xlfn.ANCHORARRAY(_xlfn.XLOOKUP($C79,'-ref_Distribution'!$B$146:$B$150,'-ref_Distribution'!$G$146:$G$150)),RIGHT(BW$1,2))</f>
        <v>243</v>
      </c>
      <c r="BX79" s="16" cm="1">
        <f t="array" ref="BX79">INDEX(_xlfn.ANCHORARRAY(_xlfn.XLOOKUP($C79,'-ref_Distribution'!$B$146:$B$150,'-ref_Distribution'!$G$146:$G$150)),RIGHT(BX$1,2))</f>
        <v>234</v>
      </c>
      <c r="BY79" s="16" cm="1">
        <f t="array" ref="BY79">INDEX(_xlfn.ANCHORARRAY(_xlfn.XLOOKUP($C79,'-ref_Distribution'!$B$146:$B$150,'-ref_Distribution'!$G$146:$G$150)),RIGHT(BY$1,2))</f>
        <v>221</v>
      </c>
      <c r="BZ79" s="16" cm="1">
        <f t="array" ref="BZ79">INDEX(_xlfn.ANCHORARRAY(_xlfn.XLOOKUP($C79,'-ref_Distribution'!$B$146:$B$150,'-ref_Distribution'!$G$146:$G$150)),RIGHT(BZ$1,2))</f>
        <v>203</v>
      </c>
      <c r="CA79" s="16" cm="1">
        <f t="array" ref="CA79">INDEX(_xlfn.ANCHORARRAY(_xlfn.XLOOKUP($C79,'-ref_Distribution'!$B$146:$B$150,'-ref_Distribution'!$G$146:$G$150)),RIGHT(CA$1,2))</f>
        <v>183</v>
      </c>
      <c r="CB79" s="16" cm="1">
        <f t="array" ref="CB79">INDEX(_xlfn.ANCHORARRAY(_xlfn.XLOOKUP($C79,'-ref_Distribution'!$B$146:$B$150,'-ref_Distribution'!$G$146:$G$150)),RIGHT(CB$1,2))</f>
        <v>160</v>
      </c>
      <c r="CC79" s="16" cm="1">
        <f t="array" ref="CC79">INDEX(_xlfn.ANCHORARRAY(_xlfn.XLOOKUP($C79,'-ref_Distribution'!$B$146:$B$150,'-ref_Distribution'!$G$146:$G$150)),RIGHT(CC$1,2))</f>
        <v>137</v>
      </c>
      <c r="CD79" s="16" cm="1">
        <f t="array" ref="CD79">INDEX(_xlfn.ANCHORARRAY(_xlfn.XLOOKUP($C79,'-ref_Distribution'!$B$146:$B$150,'-ref_Distribution'!$G$146:$G$150)),RIGHT(CD$1,2))</f>
        <v>115</v>
      </c>
      <c r="CE79" s="16" cm="1">
        <f t="array" ref="CE79">INDEX(_xlfn.ANCHORARRAY(_xlfn.XLOOKUP($C79,'-ref_Distribution'!$B$146:$B$150,'-ref_Distribution'!$G$146:$G$150)),RIGHT(CE$1,2))</f>
        <v>94</v>
      </c>
    </row>
    <row r="80" spans="1:83" x14ac:dyDescent="0.2">
      <c r="A80" s="16">
        <v>310502</v>
      </c>
      <c r="B80" s="16" t="s">
        <v>382</v>
      </c>
      <c r="C80" s="16">
        <v>3</v>
      </c>
      <c r="D80" s="16" cm="1">
        <f t="array" ref="D80">INDEX(_xlfn.ANCHORARRAY(_xlfn.XLOOKUP($C80,'-ref_Distribution'!$B$146:$B$150,'-ref_Distribution'!$G$146:$G$150)),RIGHT(D$1,2))</f>
        <v>4</v>
      </c>
      <c r="E80" s="16" cm="1">
        <f t="array" ref="E80">INDEX(_xlfn.ANCHORARRAY(_xlfn.XLOOKUP($C80,'-ref_Distribution'!$B$146:$B$150,'-ref_Distribution'!$G$146:$G$150)),RIGHT(E$1,2))</f>
        <v>6</v>
      </c>
      <c r="F80" s="16" cm="1">
        <f t="array" ref="F80">INDEX(_xlfn.ANCHORARRAY(_xlfn.XLOOKUP($C80,'-ref_Distribution'!$B$146:$B$150,'-ref_Distribution'!$G$146:$G$150)),RIGHT(F$1,2))</f>
        <v>9</v>
      </c>
      <c r="G80" s="16" cm="1">
        <f t="array" ref="G80">INDEX(_xlfn.ANCHORARRAY(_xlfn.XLOOKUP($C80,'-ref_Distribution'!$B$146:$B$150,'-ref_Distribution'!$G$146:$G$150)),RIGHT(G$1,2))</f>
        <v>14</v>
      </c>
      <c r="H80" s="16" cm="1">
        <f t="array" ref="H80">INDEX(_xlfn.ANCHORARRAY(_xlfn.XLOOKUP($C80,'-ref_Distribution'!$B$146:$B$150,'-ref_Distribution'!$G$146:$G$150)),RIGHT(H$1,2))</f>
        <v>20</v>
      </c>
      <c r="I80" s="16" cm="1">
        <f t="array" ref="I80">INDEX(_xlfn.ANCHORARRAY(_xlfn.XLOOKUP($C80,'-ref_Distribution'!$B$146:$B$150,'-ref_Distribution'!$G$146:$G$150)),RIGHT(I$1,2))</f>
        <v>28</v>
      </c>
      <c r="J80" s="16" cm="1">
        <f t="array" ref="J80">INDEX(_xlfn.ANCHORARRAY(_xlfn.XLOOKUP($C80,'-ref_Distribution'!$B$146:$B$150,'-ref_Distribution'!$G$146:$G$150)),RIGHT(J$1,2))</f>
        <v>38</v>
      </c>
      <c r="K80" s="16" cm="1">
        <f t="array" ref="K80">INDEX(_xlfn.ANCHORARRAY(_xlfn.XLOOKUP($C80,'-ref_Distribution'!$B$146:$B$150,'-ref_Distribution'!$G$146:$G$150)),RIGHT(K$1,2))</f>
        <v>51</v>
      </c>
      <c r="L80" s="16" cm="1">
        <f t="array" ref="L80">INDEX(_xlfn.ANCHORARRAY(_xlfn.XLOOKUP($C80,'-ref_Distribution'!$B$146:$B$150,'-ref_Distribution'!$G$146:$G$150)),RIGHT(L$1,2))</f>
        <v>65</v>
      </c>
      <c r="M80" s="16" cm="1">
        <f t="array" ref="M80">INDEX(_xlfn.ANCHORARRAY(_xlfn.XLOOKUP($C80,'-ref_Distribution'!$B$146:$B$150,'-ref_Distribution'!$G$146:$G$150)),RIGHT(M$1,2))</f>
        <v>80</v>
      </c>
      <c r="N80" s="16" cm="1">
        <f t="array" ref="N80">INDEX(_xlfn.ANCHORARRAY(_xlfn.XLOOKUP($C80,'-ref_Distribution'!$B$146:$B$150,'-ref_Distribution'!$G$146:$G$150)),RIGHT(N$1,2))</f>
        <v>96</v>
      </c>
      <c r="O80" s="16" cm="1">
        <f t="array" ref="O80">INDEX(_xlfn.ANCHORARRAY(_xlfn.XLOOKUP($C80,'-ref_Distribution'!$B$146:$B$150,'-ref_Distribution'!$G$146:$G$150)),RIGHT(O$1,2))</f>
        <v>111</v>
      </c>
      <c r="P80" s="16" cm="1">
        <f t="array" ref="P80">INDEX(_xlfn.ANCHORARRAY(_xlfn.XLOOKUP($C80,'-ref_Distribution'!$B$146:$B$150,'-ref_Distribution'!$G$146:$G$150)),RIGHT(P$1,2))</f>
        <v>125</v>
      </c>
      <c r="Q80" s="16" cm="1">
        <f t="array" ref="Q80">INDEX(_xlfn.ANCHORARRAY(_xlfn.XLOOKUP($C80,'-ref_Distribution'!$B$146:$B$150,'-ref_Distribution'!$G$146:$G$150)),RIGHT(Q$1,2))</f>
        <v>135</v>
      </c>
      <c r="R80" s="16" cm="1">
        <f t="array" ref="R80">INDEX(_xlfn.ANCHORARRAY(_xlfn.XLOOKUP($C80,'-ref_Distribution'!$B$146:$B$150,'-ref_Distribution'!$G$146:$G$150)),RIGHT(R$1,2))</f>
        <v>142</v>
      </c>
      <c r="S80" s="16" cm="1">
        <f t="array" ref="S80">INDEX(_xlfn.ANCHORARRAY(_xlfn.XLOOKUP($C80,'-ref_Distribution'!$B$146:$B$150,'-ref_Distribution'!$G$146:$G$150)),RIGHT(S$1,2))</f>
        <v>144</v>
      </c>
      <c r="T80" s="16" cm="1">
        <f t="array" ref="T80">INDEX(_xlfn.ANCHORARRAY(_xlfn.XLOOKUP($C80,'-ref_Distribution'!$B$146:$B$150,'-ref_Distribution'!$G$146:$G$150)),RIGHT(T$1,2))</f>
        <v>142</v>
      </c>
      <c r="U80" s="16" cm="1">
        <f t="array" ref="U80">INDEX(_xlfn.ANCHORARRAY(_xlfn.XLOOKUP($C80,'-ref_Distribution'!$B$146:$B$150,'-ref_Distribution'!$G$146:$G$150)),RIGHT(U$1,2))</f>
        <v>135</v>
      </c>
      <c r="V80" s="16" cm="1">
        <f t="array" ref="V80">INDEX(_xlfn.ANCHORARRAY(_xlfn.XLOOKUP($C80,'-ref_Distribution'!$B$146:$B$150,'-ref_Distribution'!$G$146:$G$150)),RIGHT(V$1,2))</f>
        <v>125</v>
      </c>
      <c r="W80" s="16" cm="1">
        <f t="array" ref="W80">INDEX(_xlfn.ANCHORARRAY(_xlfn.XLOOKUP($C80,'-ref_Distribution'!$B$146:$B$150,'-ref_Distribution'!$G$146:$G$150)),RIGHT(W$1,2))</f>
        <v>111</v>
      </c>
      <c r="X80" s="16" cm="1">
        <f t="array" ref="X80">INDEX(_xlfn.ANCHORARRAY(_xlfn.XLOOKUP($C80,'-ref_Distribution'!$B$146:$B$150,'-ref_Distribution'!$G$146:$G$150)),RIGHT(X$1,2))</f>
        <v>4</v>
      </c>
      <c r="Y80" s="16" cm="1">
        <f t="array" ref="Y80">INDEX(_xlfn.ANCHORARRAY(_xlfn.XLOOKUP($C80,'-ref_Distribution'!$B$146:$B$150,'-ref_Distribution'!$G$146:$G$150)),RIGHT(Y$1,2))</f>
        <v>6</v>
      </c>
      <c r="Z80" s="16" cm="1">
        <f t="array" ref="Z80">INDEX(_xlfn.ANCHORARRAY(_xlfn.XLOOKUP($C80,'-ref_Distribution'!$B$146:$B$150,'-ref_Distribution'!$G$146:$G$150)),RIGHT(Z$1,2))</f>
        <v>9</v>
      </c>
      <c r="AA80" s="16" cm="1">
        <f t="array" ref="AA80">INDEX(_xlfn.ANCHORARRAY(_xlfn.XLOOKUP($C80,'-ref_Distribution'!$B$146:$B$150,'-ref_Distribution'!$G$146:$G$150)),RIGHT(AA$1,2))</f>
        <v>14</v>
      </c>
      <c r="AB80" s="16" cm="1">
        <f t="array" ref="AB80">INDEX(_xlfn.ANCHORARRAY(_xlfn.XLOOKUP($C80,'-ref_Distribution'!$B$146:$B$150,'-ref_Distribution'!$G$146:$G$150)),RIGHT(AB$1,2))</f>
        <v>20</v>
      </c>
      <c r="AC80" s="16" cm="1">
        <f t="array" ref="AC80">INDEX(_xlfn.ANCHORARRAY(_xlfn.XLOOKUP($C80,'-ref_Distribution'!$B$146:$B$150,'-ref_Distribution'!$G$146:$G$150)),RIGHT(AC$1,2))</f>
        <v>28</v>
      </c>
      <c r="AD80" s="16" cm="1">
        <f t="array" ref="AD80">INDEX(_xlfn.ANCHORARRAY(_xlfn.XLOOKUP($C80,'-ref_Distribution'!$B$146:$B$150,'-ref_Distribution'!$G$146:$G$150)),RIGHT(AD$1,2))</f>
        <v>38</v>
      </c>
      <c r="AE80" s="16" cm="1">
        <f t="array" ref="AE80">INDEX(_xlfn.ANCHORARRAY(_xlfn.XLOOKUP($C80,'-ref_Distribution'!$B$146:$B$150,'-ref_Distribution'!$G$146:$G$150)),RIGHT(AE$1,2))</f>
        <v>51</v>
      </c>
      <c r="AF80" s="16" cm="1">
        <f t="array" ref="AF80">INDEX(_xlfn.ANCHORARRAY(_xlfn.XLOOKUP($C80,'-ref_Distribution'!$B$146:$B$150,'-ref_Distribution'!$G$146:$G$150)),RIGHT(AF$1,2))</f>
        <v>65</v>
      </c>
      <c r="AG80" s="16" cm="1">
        <f t="array" ref="AG80">INDEX(_xlfn.ANCHORARRAY(_xlfn.XLOOKUP($C80,'-ref_Distribution'!$B$146:$B$150,'-ref_Distribution'!$G$146:$G$150)),RIGHT(AG$1,2))</f>
        <v>80</v>
      </c>
      <c r="AH80" s="16" cm="1">
        <f t="array" ref="AH80">INDEX(_xlfn.ANCHORARRAY(_xlfn.XLOOKUP($C80,'-ref_Distribution'!$B$146:$B$150,'-ref_Distribution'!$G$146:$G$150)),RIGHT(AH$1,2))</f>
        <v>96</v>
      </c>
      <c r="AI80" s="16" cm="1">
        <f t="array" ref="AI80">INDEX(_xlfn.ANCHORARRAY(_xlfn.XLOOKUP($C80,'-ref_Distribution'!$B$146:$B$150,'-ref_Distribution'!$G$146:$G$150)),RIGHT(AI$1,2))</f>
        <v>111</v>
      </c>
      <c r="AJ80" s="16" cm="1">
        <f t="array" ref="AJ80">INDEX(_xlfn.ANCHORARRAY(_xlfn.XLOOKUP($C80,'-ref_Distribution'!$B$146:$B$150,'-ref_Distribution'!$G$146:$G$150)),RIGHT(AJ$1,2))</f>
        <v>125</v>
      </c>
      <c r="AK80" s="16" cm="1">
        <f t="array" ref="AK80">INDEX(_xlfn.ANCHORARRAY(_xlfn.XLOOKUP($C80,'-ref_Distribution'!$B$146:$B$150,'-ref_Distribution'!$G$146:$G$150)),RIGHT(AK$1,2))</f>
        <v>135</v>
      </c>
      <c r="AL80" s="16" cm="1">
        <f t="array" ref="AL80">INDEX(_xlfn.ANCHORARRAY(_xlfn.XLOOKUP($C80,'-ref_Distribution'!$B$146:$B$150,'-ref_Distribution'!$G$146:$G$150)),RIGHT(AL$1,2))</f>
        <v>142</v>
      </c>
      <c r="AM80" s="16" cm="1">
        <f t="array" ref="AM80">INDEX(_xlfn.ANCHORARRAY(_xlfn.XLOOKUP($C80,'-ref_Distribution'!$B$146:$B$150,'-ref_Distribution'!$G$146:$G$150)),RIGHT(AM$1,2))</f>
        <v>144</v>
      </c>
      <c r="AN80" s="16" cm="1">
        <f t="array" ref="AN80">INDEX(_xlfn.ANCHORARRAY(_xlfn.XLOOKUP($C80,'-ref_Distribution'!$B$146:$B$150,'-ref_Distribution'!$G$146:$G$150)),RIGHT(AN$1,2))</f>
        <v>142</v>
      </c>
      <c r="AO80" s="16" cm="1">
        <f t="array" ref="AO80">INDEX(_xlfn.ANCHORARRAY(_xlfn.XLOOKUP($C80,'-ref_Distribution'!$B$146:$B$150,'-ref_Distribution'!$G$146:$G$150)),RIGHT(AO$1,2))</f>
        <v>135</v>
      </c>
      <c r="AP80" s="16" cm="1">
        <f t="array" ref="AP80">INDEX(_xlfn.ANCHORARRAY(_xlfn.XLOOKUP($C80,'-ref_Distribution'!$B$146:$B$150,'-ref_Distribution'!$G$146:$G$150)),RIGHT(AP$1,2))</f>
        <v>125</v>
      </c>
      <c r="AQ80" s="16" cm="1">
        <f t="array" ref="AQ80">INDEX(_xlfn.ANCHORARRAY(_xlfn.XLOOKUP($C80,'-ref_Distribution'!$B$146:$B$150,'-ref_Distribution'!$G$146:$G$150)),RIGHT(AQ$1,2))</f>
        <v>111</v>
      </c>
      <c r="AR80" s="16" cm="1">
        <f t="array" ref="AR80">INDEX(_xlfn.ANCHORARRAY(_xlfn.XLOOKUP($C80,'-ref_Distribution'!$B$146:$B$150,'-ref_Distribution'!$G$146:$G$150)),RIGHT(AR$1,2))</f>
        <v>4</v>
      </c>
      <c r="AS80" s="16" cm="1">
        <f t="array" ref="AS80">INDEX(_xlfn.ANCHORARRAY(_xlfn.XLOOKUP($C80,'-ref_Distribution'!$B$146:$B$150,'-ref_Distribution'!$G$146:$G$150)),RIGHT(AS$1,2))</f>
        <v>6</v>
      </c>
      <c r="AT80" s="16" cm="1">
        <f t="array" ref="AT80">INDEX(_xlfn.ANCHORARRAY(_xlfn.XLOOKUP($C80,'-ref_Distribution'!$B$146:$B$150,'-ref_Distribution'!$G$146:$G$150)),RIGHT(AT$1,2))</f>
        <v>9</v>
      </c>
      <c r="AU80" s="16" cm="1">
        <f t="array" ref="AU80">INDEX(_xlfn.ANCHORARRAY(_xlfn.XLOOKUP($C80,'-ref_Distribution'!$B$146:$B$150,'-ref_Distribution'!$G$146:$G$150)),RIGHT(AU$1,2))</f>
        <v>14</v>
      </c>
      <c r="AV80" s="16" cm="1">
        <f t="array" ref="AV80">INDEX(_xlfn.ANCHORARRAY(_xlfn.XLOOKUP($C80,'-ref_Distribution'!$B$146:$B$150,'-ref_Distribution'!$G$146:$G$150)),RIGHT(AV$1,2))</f>
        <v>20</v>
      </c>
      <c r="AW80" s="16" cm="1">
        <f t="array" ref="AW80">INDEX(_xlfn.ANCHORARRAY(_xlfn.XLOOKUP($C80,'-ref_Distribution'!$B$146:$B$150,'-ref_Distribution'!$G$146:$G$150)),RIGHT(AW$1,2))</f>
        <v>28</v>
      </c>
      <c r="AX80" s="16" cm="1">
        <f t="array" ref="AX80">INDEX(_xlfn.ANCHORARRAY(_xlfn.XLOOKUP($C80,'-ref_Distribution'!$B$146:$B$150,'-ref_Distribution'!$G$146:$G$150)),RIGHT(AX$1,2))</f>
        <v>38</v>
      </c>
      <c r="AY80" s="16" cm="1">
        <f t="array" ref="AY80">INDEX(_xlfn.ANCHORARRAY(_xlfn.XLOOKUP($C80,'-ref_Distribution'!$B$146:$B$150,'-ref_Distribution'!$G$146:$G$150)),RIGHT(AY$1,2))</f>
        <v>51</v>
      </c>
      <c r="AZ80" s="16" cm="1">
        <f t="array" ref="AZ80">INDEX(_xlfn.ANCHORARRAY(_xlfn.XLOOKUP($C80,'-ref_Distribution'!$B$146:$B$150,'-ref_Distribution'!$G$146:$G$150)),RIGHT(AZ$1,2))</f>
        <v>65</v>
      </c>
      <c r="BA80" s="16" cm="1">
        <f t="array" ref="BA80">INDEX(_xlfn.ANCHORARRAY(_xlfn.XLOOKUP($C80,'-ref_Distribution'!$B$146:$B$150,'-ref_Distribution'!$G$146:$G$150)),RIGHT(BA$1,2))</f>
        <v>80</v>
      </c>
      <c r="BB80" s="16" cm="1">
        <f t="array" ref="BB80">INDEX(_xlfn.ANCHORARRAY(_xlfn.XLOOKUP($C80,'-ref_Distribution'!$B$146:$B$150,'-ref_Distribution'!$G$146:$G$150)),RIGHT(BB$1,2))</f>
        <v>96</v>
      </c>
      <c r="BC80" s="16" cm="1">
        <f t="array" ref="BC80">INDEX(_xlfn.ANCHORARRAY(_xlfn.XLOOKUP($C80,'-ref_Distribution'!$B$146:$B$150,'-ref_Distribution'!$G$146:$G$150)),RIGHT(BC$1,2))</f>
        <v>111</v>
      </c>
      <c r="BD80" s="16" cm="1">
        <f t="array" ref="BD80">INDEX(_xlfn.ANCHORARRAY(_xlfn.XLOOKUP($C80,'-ref_Distribution'!$B$146:$B$150,'-ref_Distribution'!$G$146:$G$150)),RIGHT(BD$1,2))</f>
        <v>125</v>
      </c>
      <c r="BE80" s="16" cm="1">
        <f t="array" ref="BE80">INDEX(_xlfn.ANCHORARRAY(_xlfn.XLOOKUP($C80,'-ref_Distribution'!$B$146:$B$150,'-ref_Distribution'!$G$146:$G$150)),RIGHT(BE$1,2))</f>
        <v>135</v>
      </c>
      <c r="BF80" s="16" cm="1">
        <f t="array" ref="BF80">INDEX(_xlfn.ANCHORARRAY(_xlfn.XLOOKUP($C80,'-ref_Distribution'!$B$146:$B$150,'-ref_Distribution'!$G$146:$G$150)),RIGHT(BF$1,2))</f>
        <v>142</v>
      </c>
      <c r="BG80" s="16" cm="1">
        <f t="array" ref="BG80">INDEX(_xlfn.ANCHORARRAY(_xlfn.XLOOKUP($C80,'-ref_Distribution'!$B$146:$B$150,'-ref_Distribution'!$G$146:$G$150)),RIGHT(BG$1,2))</f>
        <v>144</v>
      </c>
      <c r="BH80" s="16" cm="1">
        <f t="array" ref="BH80">INDEX(_xlfn.ANCHORARRAY(_xlfn.XLOOKUP($C80,'-ref_Distribution'!$B$146:$B$150,'-ref_Distribution'!$G$146:$G$150)),RIGHT(BH$1,2))</f>
        <v>142</v>
      </c>
      <c r="BI80" s="16" cm="1">
        <f t="array" ref="BI80">INDEX(_xlfn.ANCHORARRAY(_xlfn.XLOOKUP($C80,'-ref_Distribution'!$B$146:$B$150,'-ref_Distribution'!$G$146:$G$150)),RIGHT(BI$1,2))</f>
        <v>135</v>
      </c>
      <c r="BJ80" s="16" cm="1">
        <f t="array" ref="BJ80">INDEX(_xlfn.ANCHORARRAY(_xlfn.XLOOKUP($C80,'-ref_Distribution'!$B$146:$B$150,'-ref_Distribution'!$G$146:$G$150)),RIGHT(BJ$1,2))</f>
        <v>125</v>
      </c>
      <c r="BK80" s="16" cm="1">
        <f t="array" ref="BK80">INDEX(_xlfn.ANCHORARRAY(_xlfn.XLOOKUP($C80,'-ref_Distribution'!$B$146:$B$150,'-ref_Distribution'!$G$146:$G$150)),RIGHT(BK$1,2))</f>
        <v>111</v>
      </c>
      <c r="BL80" s="16" cm="1">
        <f t="array" ref="BL80">INDEX(_xlfn.ANCHORARRAY(_xlfn.XLOOKUP($C80,'-ref_Distribution'!$B$146:$B$150,'-ref_Distribution'!$G$146:$G$150)),RIGHT(BL$1,2))</f>
        <v>4</v>
      </c>
      <c r="BM80" s="16" cm="1">
        <f t="array" ref="BM80">INDEX(_xlfn.ANCHORARRAY(_xlfn.XLOOKUP($C80,'-ref_Distribution'!$B$146:$B$150,'-ref_Distribution'!$G$146:$G$150)),RIGHT(BM$1,2))</f>
        <v>6</v>
      </c>
      <c r="BN80" s="16" cm="1">
        <f t="array" ref="BN80">INDEX(_xlfn.ANCHORARRAY(_xlfn.XLOOKUP($C80,'-ref_Distribution'!$B$146:$B$150,'-ref_Distribution'!$G$146:$G$150)),RIGHT(BN$1,2))</f>
        <v>9</v>
      </c>
      <c r="BO80" s="16" cm="1">
        <f t="array" ref="BO80">INDEX(_xlfn.ANCHORARRAY(_xlfn.XLOOKUP($C80,'-ref_Distribution'!$B$146:$B$150,'-ref_Distribution'!$G$146:$G$150)),RIGHT(BO$1,2))</f>
        <v>14</v>
      </c>
      <c r="BP80" s="16" cm="1">
        <f t="array" ref="BP80">INDEX(_xlfn.ANCHORARRAY(_xlfn.XLOOKUP($C80,'-ref_Distribution'!$B$146:$B$150,'-ref_Distribution'!$G$146:$G$150)),RIGHT(BP$1,2))</f>
        <v>20</v>
      </c>
      <c r="BQ80" s="16" cm="1">
        <f t="array" ref="BQ80">INDEX(_xlfn.ANCHORARRAY(_xlfn.XLOOKUP($C80,'-ref_Distribution'!$B$146:$B$150,'-ref_Distribution'!$G$146:$G$150)),RIGHT(BQ$1,2))</f>
        <v>28</v>
      </c>
      <c r="BR80" s="16" cm="1">
        <f t="array" ref="BR80">INDEX(_xlfn.ANCHORARRAY(_xlfn.XLOOKUP($C80,'-ref_Distribution'!$B$146:$B$150,'-ref_Distribution'!$G$146:$G$150)),RIGHT(BR$1,2))</f>
        <v>38</v>
      </c>
      <c r="BS80" s="16" cm="1">
        <f t="array" ref="BS80">INDEX(_xlfn.ANCHORARRAY(_xlfn.XLOOKUP($C80,'-ref_Distribution'!$B$146:$B$150,'-ref_Distribution'!$G$146:$G$150)),RIGHT(BS$1,2))</f>
        <v>51</v>
      </c>
      <c r="BT80" s="16" cm="1">
        <f t="array" ref="BT80">INDEX(_xlfn.ANCHORARRAY(_xlfn.XLOOKUP($C80,'-ref_Distribution'!$B$146:$B$150,'-ref_Distribution'!$G$146:$G$150)),RIGHT(BT$1,2))</f>
        <v>65</v>
      </c>
      <c r="BU80" s="16" cm="1">
        <f t="array" ref="BU80">INDEX(_xlfn.ANCHORARRAY(_xlfn.XLOOKUP($C80,'-ref_Distribution'!$B$146:$B$150,'-ref_Distribution'!$G$146:$G$150)),RIGHT(BU$1,2))</f>
        <v>80</v>
      </c>
      <c r="BV80" s="16" cm="1">
        <f t="array" ref="BV80">INDEX(_xlfn.ANCHORARRAY(_xlfn.XLOOKUP($C80,'-ref_Distribution'!$B$146:$B$150,'-ref_Distribution'!$G$146:$G$150)),RIGHT(BV$1,2))</f>
        <v>96</v>
      </c>
      <c r="BW80" s="16" cm="1">
        <f t="array" ref="BW80">INDEX(_xlfn.ANCHORARRAY(_xlfn.XLOOKUP($C80,'-ref_Distribution'!$B$146:$B$150,'-ref_Distribution'!$G$146:$G$150)),RIGHT(BW$1,2))</f>
        <v>111</v>
      </c>
      <c r="BX80" s="16" cm="1">
        <f t="array" ref="BX80">INDEX(_xlfn.ANCHORARRAY(_xlfn.XLOOKUP($C80,'-ref_Distribution'!$B$146:$B$150,'-ref_Distribution'!$G$146:$G$150)),RIGHT(BX$1,2))</f>
        <v>125</v>
      </c>
      <c r="BY80" s="16" cm="1">
        <f t="array" ref="BY80">INDEX(_xlfn.ANCHORARRAY(_xlfn.XLOOKUP($C80,'-ref_Distribution'!$B$146:$B$150,'-ref_Distribution'!$G$146:$G$150)),RIGHT(BY$1,2))</f>
        <v>135</v>
      </c>
      <c r="BZ80" s="16" cm="1">
        <f t="array" ref="BZ80">INDEX(_xlfn.ANCHORARRAY(_xlfn.XLOOKUP($C80,'-ref_Distribution'!$B$146:$B$150,'-ref_Distribution'!$G$146:$G$150)),RIGHT(BZ$1,2))</f>
        <v>142</v>
      </c>
      <c r="CA80" s="16" cm="1">
        <f t="array" ref="CA80">INDEX(_xlfn.ANCHORARRAY(_xlfn.XLOOKUP($C80,'-ref_Distribution'!$B$146:$B$150,'-ref_Distribution'!$G$146:$G$150)),RIGHT(CA$1,2))</f>
        <v>144</v>
      </c>
      <c r="CB80" s="16" cm="1">
        <f t="array" ref="CB80">INDEX(_xlfn.ANCHORARRAY(_xlfn.XLOOKUP($C80,'-ref_Distribution'!$B$146:$B$150,'-ref_Distribution'!$G$146:$G$150)),RIGHT(CB$1,2))</f>
        <v>142</v>
      </c>
      <c r="CC80" s="16" cm="1">
        <f t="array" ref="CC80">INDEX(_xlfn.ANCHORARRAY(_xlfn.XLOOKUP($C80,'-ref_Distribution'!$B$146:$B$150,'-ref_Distribution'!$G$146:$G$150)),RIGHT(CC$1,2))</f>
        <v>135</v>
      </c>
      <c r="CD80" s="16" cm="1">
        <f t="array" ref="CD80">INDEX(_xlfn.ANCHORARRAY(_xlfn.XLOOKUP($C80,'-ref_Distribution'!$B$146:$B$150,'-ref_Distribution'!$G$146:$G$150)),RIGHT(CD$1,2))</f>
        <v>125</v>
      </c>
      <c r="CE80" s="16" cm="1">
        <f t="array" ref="CE80">INDEX(_xlfn.ANCHORARRAY(_xlfn.XLOOKUP($C80,'-ref_Distribution'!$B$146:$B$150,'-ref_Distribution'!$G$146:$G$150)),RIGHT(CE$1,2))</f>
        <v>111</v>
      </c>
    </row>
    <row r="81" spans="1:83" x14ac:dyDescent="0.2">
      <c r="A81" s="16">
        <v>310503</v>
      </c>
      <c r="B81" s="16" t="s">
        <v>383</v>
      </c>
      <c r="C81" s="16">
        <v>4</v>
      </c>
      <c r="D81" s="16" cm="1">
        <f t="array" ref="D81">INDEX(_xlfn.ANCHORARRAY(_xlfn.XLOOKUP($C81,'-ref_Distribution'!$B$146:$B$150,'-ref_Distribution'!$G$146:$G$150)),RIGHT(D$1,2))</f>
        <v>0</v>
      </c>
      <c r="E81" s="16" cm="1">
        <f t="array" ref="E81">INDEX(_xlfn.ANCHORARRAY(_xlfn.XLOOKUP($C81,'-ref_Distribution'!$B$146:$B$150,'-ref_Distribution'!$G$146:$G$150)),RIGHT(E$1,2))</f>
        <v>0</v>
      </c>
      <c r="F81" s="16" cm="1">
        <f t="array" ref="F81">INDEX(_xlfn.ANCHORARRAY(_xlfn.XLOOKUP($C81,'-ref_Distribution'!$B$146:$B$150,'-ref_Distribution'!$G$146:$G$150)),RIGHT(F$1,2))</f>
        <v>0</v>
      </c>
      <c r="G81" s="16" cm="1">
        <f t="array" ref="G81">INDEX(_xlfn.ANCHORARRAY(_xlfn.XLOOKUP($C81,'-ref_Distribution'!$B$146:$B$150,'-ref_Distribution'!$G$146:$G$150)),RIGHT(G$1,2))</f>
        <v>0</v>
      </c>
      <c r="H81" s="16" cm="1">
        <f t="array" ref="H81">INDEX(_xlfn.ANCHORARRAY(_xlfn.XLOOKUP($C81,'-ref_Distribution'!$B$146:$B$150,'-ref_Distribution'!$G$146:$G$150)),RIGHT(H$1,2))</f>
        <v>0</v>
      </c>
      <c r="I81" s="16" cm="1">
        <f t="array" ref="I81">INDEX(_xlfn.ANCHORARRAY(_xlfn.XLOOKUP($C81,'-ref_Distribution'!$B$146:$B$150,'-ref_Distribution'!$G$146:$G$150)),RIGHT(I$1,2))</f>
        <v>1</v>
      </c>
      <c r="J81" s="16" cm="1">
        <f t="array" ref="J81">INDEX(_xlfn.ANCHORARRAY(_xlfn.XLOOKUP($C81,'-ref_Distribution'!$B$146:$B$150,'-ref_Distribution'!$G$146:$G$150)),RIGHT(J$1,2))</f>
        <v>1</v>
      </c>
      <c r="K81" s="16" cm="1">
        <f t="array" ref="K81">INDEX(_xlfn.ANCHORARRAY(_xlfn.XLOOKUP($C81,'-ref_Distribution'!$B$146:$B$150,'-ref_Distribution'!$G$146:$G$150)),RIGHT(K$1,2))</f>
        <v>2</v>
      </c>
      <c r="L81" s="16" cm="1">
        <f t="array" ref="L81">INDEX(_xlfn.ANCHORARRAY(_xlfn.XLOOKUP($C81,'-ref_Distribution'!$B$146:$B$150,'-ref_Distribution'!$G$146:$G$150)),RIGHT(L$1,2))</f>
        <v>3</v>
      </c>
      <c r="M81" s="16" cm="1">
        <f t="array" ref="M81">INDEX(_xlfn.ANCHORARRAY(_xlfn.XLOOKUP($C81,'-ref_Distribution'!$B$146:$B$150,'-ref_Distribution'!$G$146:$G$150)),RIGHT(M$1,2))</f>
        <v>5</v>
      </c>
      <c r="N81" s="16" cm="1">
        <f t="array" ref="N81">INDEX(_xlfn.ANCHORARRAY(_xlfn.XLOOKUP($C81,'-ref_Distribution'!$B$146:$B$150,'-ref_Distribution'!$G$146:$G$150)),RIGHT(N$1,2))</f>
        <v>9</v>
      </c>
      <c r="O81" s="16" cm="1">
        <f t="array" ref="O81">INDEX(_xlfn.ANCHORARRAY(_xlfn.XLOOKUP($C81,'-ref_Distribution'!$B$146:$B$150,'-ref_Distribution'!$G$146:$G$150)),RIGHT(O$1,2))</f>
        <v>14</v>
      </c>
      <c r="P81" s="16" cm="1">
        <f t="array" ref="P81">INDEX(_xlfn.ANCHORARRAY(_xlfn.XLOOKUP($C81,'-ref_Distribution'!$B$146:$B$150,'-ref_Distribution'!$G$146:$G$150)),RIGHT(P$1,2))</f>
        <v>20</v>
      </c>
      <c r="Q81" s="16" cm="1">
        <f t="array" ref="Q81">INDEX(_xlfn.ANCHORARRAY(_xlfn.XLOOKUP($C81,'-ref_Distribution'!$B$146:$B$150,'-ref_Distribution'!$G$146:$G$150)),RIGHT(Q$1,2))</f>
        <v>28</v>
      </c>
      <c r="R81" s="16" cm="1">
        <f t="array" ref="R81">INDEX(_xlfn.ANCHORARRAY(_xlfn.XLOOKUP($C81,'-ref_Distribution'!$B$146:$B$150,'-ref_Distribution'!$G$146:$G$150)),RIGHT(R$1,2))</f>
        <v>38</v>
      </c>
      <c r="S81" s="16" cm="1">
        <f t="array" ref="S81">INDEX(_xlfn.ANCHORARRAY(_xlfn.XLOOKUP($C81,'-ref_Distribution'!$B$146:$B$150,'-ref_Distribution'!$G$146:$G$150)),RIGHT(S$1,2))</f>
        <v>48</v>
      </c>
      <c r="T81" s="16" cm="1">
        <f t="array" ref="T81">INDEX(_xlfn.ANCHORARRAY(_xlfn.XLOOKUP($C81,'-ref_Distribution'!$B$146:$B$150,'-ref_Distribution'!$G$146:$G$150)),RIGHT(T$1,2))</f>
        <v>59</v>
      </c>
      <c r="U81" s="16" cm="1">
        <f t="array" ref="U81">INDEX(_xlfn.ANCHORARRAY(_xlfn.XLOOKUP($C81,'-ref_Distribution'!$B$146:$B$150,'-ref_Distribution'!$G$146:$G$150)),RIGHT(U$1,2))</f>
        <v>69</v>
      </c>
      <c r="V81" s="16" cm="1">
        <f t="array" ref="V81">INDEX(_xlfn.ANCHORARRAY(_xlfn.XLOOKUP($C81,'-ref_Distribution'!$B$146:$B$150,'-ref_Distribution'!$G$146:$G$150)),RIGHT(V$1,2))</f>
        <v>78</v>
      </c>
      <c r="W81" s="16" cm="1">
        <f t="array" ref="W81">INDEX(_xlfn.ANCHORARRAY(_xlfn.XLOOKUP($C81,'-ref_Distribution'!$B$146:$B$150,'-ref_Distribution'!$G$146:$G$150)),RIGHT(W$1,2))</f>
        <v>83</v>
      </c>
      <c r="X81" s="16" cm="1">
        <f t="array" ref="X81">INDEX(_xlfn.ANCHORARRAY(_xlfn.XLOOKUP($C81,'-ref_Distribution'!$B$146:$B$150,'-ref_Distribution'!$G$146:$G$150)),RIGHT(X$1,2))</f>
        <v>0</v>
      </c>
      <c r="Y81" s="16" cm="1">
        <f t="array" ref="Y81">INDEX(_xlfn.ANCHORARRAY(_xlfn.XLOOKUP($C81,'-ref_Distribution'!$B$146:$B$150,'-ref_Distribution'!$G$146:$G$150)),RIGHT(Y$1,2))</f>
        <v>0</v>
      </c>
      <c r="Z81" s="16" cm="1">
        <f t="array" ref="Z81">INDEX(_xlfn.ANCHORARRAY(_xlfn.XLOOKUP($C81,'-ref_Distribution'!$B$146:$B$150,'-ref_Distribution'!$G$146:$G$150)),RIGHT(Z$1,2))</f>
        <v>0</v>
      </c>
      <c r="AA81" s="16" cm="1">
        <f t="array" ref="AA81">INDEX(_xlfn.ANCHORARRAY(_xlfn.XLOOKUP($C81,'-ref_Distribution'!$B$146:$B$150,'-ref_Distribution'!$G$146:$G$150)),RIGHT(AA$1,2))</f>
        <v>0</v>
      </c>
      <c r="AB81" s="16" cm="1">
        <f t="array" ref="AB81">INDEX(_xlfn.ANCHORARRAY(_xlfn.XLOOKUP($C81,'-ref_Distribution'!$B$146:$B$150,'-ref_Distribution'!$G$146:$G$150)),RIGHT(AB$1,2))</f>
        <v>0</v>
      </c>
      <c r="AC81" s="16" cm="1">
        <f t="array" ref="AC81">INDEX(_xlfn.ANCHORARRAY(_xlfn.XLOOKUP($C81,'-ref_Distribution'!$B$146:$B$150,'-ref_Distribution'!$G$146:$G$150)),RIGHT(AC$1,2))</f>
        <v>1</v>
      </c>
      <c r="AD81" s="16" cm="1">
        <f t="array" ref="AD81">INDEX(_xlfn.ANCHORARRAY(_xlfn.XLOOKUP($C81,'-ref_Distribution'!$B$146:$B$150,'-ref_Distribution'!$G$146:$G$150)),RIGHT(AD$1,2))</f>
        <v>1</v>
      </c>
      <c r="AE81" s="16" cm="1">
        <f t="array" ref="AE81">INDEX(_xlfn.ANCHORARRAY(_xlfn.XLOOKUP($C81,'-ref_Distribution'!$B$146:$B$150,'-ref_Distribution'!$G$146:$G$150)),RIGHT(AE$1,2))</f>
        <v>2</v>
      </c>
      <c r="AF81" s="16" cm="1">
        <f t="array" ref="AF81">INDEX(_xlfn.ANCHORARRAY(_xlfn.XLOOKUP($C81,'-ref_Distribution'!$B$146:$B$150,'-ref_Distribution'!$G$146:$G$150)),RIGHT(AF$1,2))</f>
        <v>3</v>
      </c>
      <c r="AG81" s="16" cm="1">
        <f t="array" ref="AG81">INDEX(_xlfn.ANCHORARRAY(_xlfn.XLOOKUP($C81,'-ref_Distribution'!$B$146:$B$150,'-ref_Distribution'!$G$146:$G$150)),RIGHT(AG$1,2))</f>
        <v>5</v>
      </c>
      <c r="AH81" s="16" cm="1">
        <f t="array" ref="AH81">INDEX(_xlfn.ANCHORARRAY(_xlfn.XLOOKUP($C81,'-ref_Distribution'!$B$146:$B$150,'-ref_Distribution'!$G$146:$G$150)),RIGHT(AH$1,2))</f>
        <v>9</v>
      </c>
      <c r="AI81" s="16" cm="1">
        <f t="array" ref="AI81">INDEX(_xlfn.ANCHORARRAY(_xlfn.XLOOKUP($C81,'-ref_Distribution'!$B$146:$B$150,'-ref_Distribution'!$G$146:$G$150)),RIGHT(AI$1,2))</f>
        <v>14</v>
      </c>
      <c r="AJ81" s="16" cm="1">
        <f t="array" ref="AJ81">INDEX(_xlfn.ANCHORARRAY(_xlfn.XLOOKUP($C81,'-ref_Distribution'!$B$146:$B$150,'-ref_Distribution'!$G$146:$G$150)),RIGHT(AJ$1,2))</f>
        <v>20</v>
      </c>
      <c r="AK81" s="16" cm="1">
        <f t="array" ref="AK81">INDEX(_xlfn.ANCHORARRAY(_xlfn.XLOOKUP($C81,'-ref_Distribution'!$B$146:$B$150,'-ref_Distribution'!$G$146:$G$150)),RIGHT(AK$1,2))</f>
        <v>28</v>
      </c>
      <c r="AL81" s="16" cm="1">
        <f t="array" ref="AL81">INDEX(_xlfn.ANCHORARRAY(_xlfn.XLOOKUP($C81,'-ref_Distribution'!$B$146:$B$150,'-ref_Distribution'!$G$146:$G$150)),RIGHT(AL$1,2))</f>
        <v>38</v>
      </c>
      <c r="AM81" s="16" cm="1">
        <f t="array" ref="AM81">INDEX(_xlfn.ANCHORARRAY(_xlfn.XLOOKUP($C81,'-ref_Distribution'!$B$146:$B$150,'-ref_Distribution'!$G$146:$G$150)),RIGHT(AM$1,2))</f>
        <v>48</v>
      </c>
      <c r="AN81" s="16" cm="1">
        <f t="array" ref="AN81">INDEX(_xlfn.ANCHORARRAY(_xlfn.XLOOKUP($C81,'-ref_Distribution'!$B$146:$B$150,'-ref_Distribution'!$G$146:$G$150)),RIGHT(AN$1,2))</f>
        <v>59</v>
      </c>
      <c r="AO81" s="16" cm="1">
        <f t="array" ref="AO81">INDEX(_xlfn.ANCHORARRAY(_xlfn.XLOOKUP($C81,'-ref_Distribution'!$B$146:$B$150,'-ref_Distribution'!$G$146:$G$150)),RIGHT(AO$1,2))</f>
        <v>69</v>
      </c>
      <c r="AP81" s="16" cm="1">
        <f t="array" ref="AP81">INDEX(_xlfn.ANCHORARRAY(_xlfn.XLOOKUP($C81,'-ref_Distribution'!$B$146:$B$150,'-ref_Distribution'!$G$146:$G$150)),RIGHT(AP$1,2))</f>
        <v>78</v>
      </c>
      <c r="AQ81" s="16" cm="1">
        <f t="array" ref="AQ81">INDEX(_xlfn.ANCHORARRAY(_xlfn.XLOOKUP($C81,'-ref_Distribution'!$B$146:$B$150,'-ref_Distribution'!$G$146:$G$150)),RIGHT(AQ$1,2))</f>
        <v>83</v>
      </c>
      <c r="AR81" s="16" cm="1">
        <f t="array" ref="AR81">INDEX(_xlfn.ANCHORARRAY(_xlfn.XLOOKUP($C81,'-ref_Distribution'!$B$146:$B$150,'-ref_Distribution'!$G$146:$G$150)),RIGHT(AR$1,2))</f>
        <v>0</v>
      </c>
      <c r="AS81" s="16" cm="1">
        <f t="array" ref="AS81">INDEX(_xlfn.ANCHORARRAY(_xlfn.XLOOKUP($C81,'-ref_Distribution'!$B$146:$B$150,'-ref_Distribution'!$G$146:$G$150)),RIGHT(AS$1,2))</f>
        <v>0</v>
      </c>
      <c r="AT81" s="16" cm="1">
        <f t="array" ref="AT81">INDEX(_xlfn.ANCHORARRAY(_xlfn.XLOOKUP($C81,'-ref_Distribution'!$B$146:$B$150,'-ref_Distribution'!$G$146:$G$150)),RIGHT(AT$1,2))</f>
        <v>0</v>
      </c>
      <c r="AU81" s="16" cm="1">
        <f t="array" ref="AU81">INDEX(_xlfn.ANCHORARRAY(_xlfn.XLOOKUP($C81,'-ref_Distribution'!$B$146:$B$150,'-ref_Distribution'!$G$146:$G$150)),RIGHT(AU$1,2))</f>
        <v>0</v>
      </c>
      <c r="AV81" s="16" cm="1">
        <f t="array" ref="AV81">INDEX(_xlfn.ANCHORARRAY(_xlfn.XLOOKUP($C81,'-ref_Distribution'!$B$146:$B$150,'-ref_Distribution'!$G$146:$G$150)),RIGHT(AV$1,2))</f>
        <v>0</v>
      </c>
      <c r="AW81" s="16" cm="1">
        <f t="array" ref="AW81">INDEX(_xlfn.ANCHORARRAY(_xlfn.XLOOKUP($C81,'-ref_Distribution'!$B$146:$B$150,'-ref_Distribution'!$G$146:$G$150)),RIGHT(AW$1,2))</f>
        <v>1</v>
      </c>
      <c r="AX81" s="16" cm="1">
        <f t="array" ref="AX81">INDEX(_xlfn.ANCHORARRAY(_xlfn.XLOOKUP($C81,'-ref_Distribution'!$B$146:$B$150,'-ref_Distribution'!$G$146:$G$150)),RIGHT(AX$1,2))</f>
        <v>1</v>
      </c>
      <c r="AY81" s="16" cm="1">
        <f t="array" ref="AY81">INDEX(_xlfn.ANCHORARRAY(_xlfn.XLOOKUP($C81,'-ref_Distribution'!$B$146:$B$150,'-ref_Distribution'!$G$146:$G$150)),RIGHT(AY$1,2))</f>
        <v>2</v>
      </c>
      <c r="AZ81" s="16" cm="1">
        <f t="array" ref="AZ81">INDEX(_xlfn.ANCHORARRAY(_xlfn.XLOOKUP($C81,'-ref_Distribution'!$B$146:$B$150,'-ref_Distribution'!$G$146:$G$150)),RIGHT(AZ$1,2))</f>
        <v>3</v>
      </c>
      <c r="BA81" s="16" cm="1">
        <f t="array" ref="BA81">INDEX(_xlfn.ANCHORARRAY(_xlfn.XLOOKUP($C81,'-ref_Distribution'!$B$146:$B$150,'-ref_Distribution'!$G$146:$G$150)),RIGHT(BA$1,2))</f>
        <v>5</v>
      </c>
      <c r="BB81" s="16" cm="1">
        <f t="array" ref="BB81">INDEX(_xlfn.ANCHORARRAY(_xlfn.XLOOKUP($C81,'-ref_Distribution'!$B$146:$B$150,'-ref_Distribution'!$G$146:$G$150)),RIGHT(BB$1,2))</f>
        <v>9</v>
      </c>
      <c r="BC81" s="16" cm="1">
        <f t="array" ref="BC81">INDEX(_xlfn.ANCHORARRAY(_xlfn.XLOOKUP($C81,'-ref_Distribution'!$B$146:$B$150,'-ref_Distribution'!$G$146:$G$150)),RIGHT(BC$1,2))</f>
        <v>14</v>
      </c>
      <c r="BD81" s="16" cm="1">
        <f t="array" ref="BD81">INDEX(_xlfn.ANCHORARRAY(_xlfn.XLOOKUP($C81,'-ref_Distribution'!$B$146:$B$150,'-ref_Distribution'!$G$146:$G$150)),RIGHT(BD$1,2))</f>
        <v>20</v>
      </c>
      <c r="BE81" s="16" cm="1">
        <f t="array" ref="BE81">INDEX(_xlfn.ANCHORARRAY(_xlfn.XLOOKUP($C81,'-ref_Distribution'!$B$146:$B$150,'-ref_Distribution'!$G$146:$G$150)),RIGHT(BE$1,2))</f>
        <v>28</v>
      </c>
      <c r="BF81" s="16" cm="1">
        <f t="array" ref="BF81">INDEX(_xlfn.ANCHORARRAY(_xlfn.XLOOKUP($C81,'-ref_Distribution'!$B$146:$B$150,'-ref_Distribution'!$G$146:$G$150)),RIGHT(BF$1,2))</f>
        <v>38</v>
      </c>
      <c r="BG81" s="16" cm="1">
        <f t="array" ref="BG81">INDEX(_xlfn.ANCHORARRAY(_xlfn.XLOOKUP($C81,'-ref_Distribution'!$B$146:$B$150,'-ref_Distribution'!$G$146:$G$150)),RIGHT(BG$1,2))</f>
        <v>48</v>
      </c>
      <c r="BH81" s="16" cm="1">
        <f t="array" ref="BH81">INDEX(_xlfn.ANCHORARRAY(_xlfn.XLOOKUP($C81,'-ref_Distribution'!$B$146:$B$150,'-ref_Distribution'!$G$146:$G$150)),RIGHT(BH$1,2))</f>
        <v>59</v>
      </c>
      <c r="BI81" s="16" cm="1">
        <f t="array" ref="BI81">INDEX(_xlfn.ANCHORARRAY(_xlfn.XLOOKUP($C81,'-ref_Distribution'!$B$146:$B$150,'-ref_Distribution'!$G$146:$G$150)),RIGHT(BI$1,2))</f>
        <v>69</v>
      </c>
      <c r="BJ81" s="16" cm="1">
        <f t="array" ref="BJ81">INDEX(_xlfn.ANCHORARRAY(_xlfn.XLOOKUP($C81,'-ref_Distribution'!$B$146:$B$150,'-ref_Distribution'!$G$146:$G$150)),RIGHT(BJ$1,2))</f>
        <v>78</v>
      </c>
      <c r="BK81" s="16" cm="1">
        <f t="array" ref="BK81">INDEX(_xlfn.ANCHORARRAY(_xlfn.XLOOKUP($C81,'-ref_Distribution'!$B$146:$B$150,'-ref_Distribution'!$G$146:$G$150)),RIGHT(BK$1,2))</f>
        <v>83</v>
      </c>
      <c r="BL81" s="16" cm="1">
        <f t="array" ref="BL81">INDEX(_xlfn.ANCHORARRAY(_xlfn.XLOOKUP($C81,'-ref_Distribution'!$B$146:$B$150,'-ref_Distribution'!$G$146:$G$150)),RIGHT(BL$1,2))</f>
        <v>0</v>
      </c>
      <c r="BM81" s="16" cm="1">
        <f t="array" ref="BM81">INDEX(_xlfn.ANCHORARRAY(_xlfn.XLOOKUP($C81,'-ref_Distribution'!$B$146:$B$150,'-ref_Distribution'!$G$146:$G$150)),RIGHT(BM$1,2))</f>
        <v>0</v>
      </c>
      <c r="BN81" s="16" cm="1">
        <f t="array" ref="BN81">INDEX(_xlfn.ANCHORARRAY(_xlfn.XLOOKUP($C81,'-ref_Distribution'!$B$146:$B$150,'-ref_Distribution'!$G$146:$G$150)),RIGHT(BN$1,2))</f>
        <v>0</v>
      </c>
      <c r="BO81" s="16" cm="1">
        <f t="array" ref="BO81">INDEX(_xlfn.ANCHORARRAY(_xlfn.XLOOKUP($C81,'-ref_Distribution'!$B$146:$B$150,'-ref_Distribution'!$G$146:$G$150)),RIGHT(BO$1,2))</f>
        <v>0</v>
      </c>
      <c r="BP81" s="16" cm="1">
        <f t="array" ref="BP81">INDEX(_xlfn.ANCHORARRAY(_xlfn.XLOOKUP($C81,'-ref_Distribution'!$B$146:$B$150,'-ref_Distribution'!$G$146:$G$150)),RIGHT(BP$1,2))</f>
        <v>0</v>
      </c>
      <c r="BQ81" s="16" cm="1">
        <f t="array" ref="BQ81">INDEX(_xlfn.ANCHORARRAY(_xlfn.XLOOKUP($C81,'-ref_Distribution'!$B$146:$B$150,'-ref_Distribution'!$G$146:$G$150)),RIGHT(BQ$1,2))</f>
        <v>1</v>
      </c>
      <c r="BR81" s="16" cm="1">
        <f t="array" ref="BR81">INDEX(_xlfn.ANCHORARRAY(_xlfn.XLOOKUP($C81,'-ref_Distribution'!$B$146:$B$150,'-ref_Distribution'!$G$146:$G$150)),RIGHT(BR$1,2))</f>
        <v>1</v>
      </c>
      <c r="BS81" s="16" cm="1">
        <f t="array" ref="BS81">INDEX(_xlfn.ANCHORARRAY(_xlfn.XLOOKUP($C81,'-ref_Distribution'!$B$146:$B$150,'-ref_Distribution'!$G$146:$G$150)),RIGHT(BS$1,2))</f>
        <v>2</v>
      </c>
      <c r="BT81" s="16" cm="1">
        <f t="array" ref="BT81">INDEX(_xlfn.ANCHORARRAY(_xlfn.XLOOKUP($C81,'-ref_Distribution'!$B$146:$B$150,'-ref_Distribution'!$G$146:$G$150)),RIGHT(BT$1,2))</f>
        <v>3</v>
      </c>
      <c r="BU81" s="16" cm="1">
        <f t="array" ref="BU81">INDEX(_xlfn.ANCHORARRAY(_xlfn.XLOOKUP($C81,'-ref_Distribution'!$B$146:$B$150,'-ref_Distribution'!$G$146:$G$150)),RIGHT(BU$1,2))</f>
        <v>5</v>
      </c>
      <c r="BV81" s="16" cm="1">
        <f t="array" ref="BV81">INDEX(_xlfn.ANCHORARRAY(_xlfn.XLOOKUP($C81,'-ref_Distribution'!$B$146:$B$150,'-ref_Distribution'!$G$146:$G$150)),RIGHT(BV$1,2))</f>
        <v>9</v>
      </c>
      <c r="BW81" s="16" cm="1">
        <f t="array" ref="BW81">INDEX(_xlfn.ANCHORARRAY(_xlfn.XLOOKUP($C81,'-ref_Distribution'!$B$146:$B$150,'-ref_Distribution'!$G$146:$G$150)),RIGHT(BW$1,2))</f>
        <v>14</v>
      </c>
      <c r="BX81" s="16" cm="1">
        <f t="array" ref="BX81">INDEX(_xlfn.ANCHORARRAY(_xlfn.XLOOKUP($C81,'-ref_Distribution'!$B$146:$B$150,'-ref_Distribution'!$G$146:$G$150)),RIGHT(BX$1,2))</f>
        <v>20</v>
      </c>
      <c r="BY81" s="16" cm="1">
        <f t="array" ref="BY81">INDEX(_xlfn.ANCHORARRAY(_xlfn.XLOOKUP($C81,'-ref_Distribution'!$B$146:$B$150,'-ref_Distribution'!$G$146:$G$150)),RIGHT(BY$1,2))</f>
        <v>28</v>
      </c>
      <c r="BZ81" s="16" cm="1">
        <f t="array" ref="BZ81">INDEX(_xlfn.ANCHORARRAY(_xlfn.XLOOKUP($C81,'-ref_Distribution'!$B$146:$B$150,'-ref_Distribution'!$G$146:$G$150)),RIGHT(BZ$1,2))</f>
        <v>38</v>
      </c>
      <c r="CA81" s="16" cm="1">
        <f t="array" ref="CA81">INDEX(_xlfn.ANCHORARRAY(_xlfn.XLOOKUP($C81,'-ref_Distribution'!$B$146:$B$150,'-ref_Distribution'!$G$146:$G$150)),RIGHT(CA$1,2))</f>
        <v>48</v>
      </c>
      <c r="CB81" s="16" cm="1">
        <f t="array" ref="CB81">INDEX(_xlfn.ANCHORARRAY(_xlfn.XLOOKUP($C81,'-ref_Distribution'!$B$146:$B$150,'-ref_Distribution'!$G$146:$G$150)),RIGHT(CB$1,2))</f>
        <v>59</v>
      </c>
      <c r="CC81" s="16" cm="1">
        <f t="array" ref="CC81">INDEX(_xlfn.ANCHORARRAY(_xlfn.XLOOKUP($C81,'-ref_Distribution'!$B$146:$B$150,'-ref_Distribution'!$G$146:$G$150)),RIGHT(CC$1,2))</f>
        <v>69</v>
      </c>
      <c r="CD81" s="16" cm="1">
        <f t="array" ref="CD81">INDEX(_xlfn.ANCHORARRAY(_xlfn.XLOOKUP($C81,'-ref_Distribution'!$B$146:$B$150,'-ref_Distribution'!$G$146:$G$150)),RIGHT(CD$1,2))</f>
        <v>78</v>
      </c>
      <c r="CE81" s="16" cm="1">
        <f t="array" ref="CE81">INDEX(_xlfn.ANCHORARRAY(_xlfn.XLOOKUP($C81,'-ref_Distribution'!$B$146:$B$150,'-ref_Distribution'!$G$146:$G$150)),RIGHT(CE$1,2))</f>
        <v>83</v>
      </c>
    </row>
    <row r="82" spans="1:83" x14ac:dyDescent="0.2">
      <c r="A82" s="16">
        <v>310504</v>
      </c>
      <c r="B82" s="16" t="s">
        <v>384</v>
      </c>
      <c r="C82" s="16">
        <v>2</v>
      </c>
      <c r="D82" s="16" cm="1">
        <f t="array" ref="D82">INDEX(_xlfn.ANCHORARRAY(_xlfn.XLOOKUP($C82,'-ref_Distribution'!$B$146:$B$150,'-ref_Distribution'!$G$146:$G$150)),RIGHT(D$1,2))</f>
        <v>75</v>
      </c>
      <c r="E82" s="16" cm="1">
        <f t="array" ref="E82">INDEX(_xlfn.ANCHORARRAY(_xlfn.XLOOKUP($C82,'-ref_Distribution'!$B$146:$B$150,'-ref_Distribution'!$G$146:$G$150)),RIGHT(E$1,2))</f>
        <v>94</v>
      </c>
      <c r="F82" s="16" cm="1">
        <f t="array" ref="F82">INDEX(_xlfn.ANCHORARRAY(_xlfn.XLOOKUP($C82,'-ref_Distribution'!$B$146:$B$150,'-ref_Distribution'!$G$146:$G$150)),RIGHT(F$1,2))</f>
        <v>115</v>
      </c>
      <c r="G82" s="16" cm="1">
        <f t="array" ref="G82">INDEX(_xlfn.ANCHORARRAY(_xlfn.XLOOKUP($C82,'-ref_Distribution'!$B$146:$B$150,'-ref_Distribution'!$G$146:$G$150)),RIGHT(G$1,2))</f>
        <v>137</v>
      </c>
      <c r="H82" s="16" cm="1">
        <f t="array" ref="H82">INDEX(_xlfn.ANCHORARRAY(_xlfn.XLOOKUP($C82,'-ref_Distribution'!$B$146:$B$150,'-ref_Distribution'!$G$146:$G$150)),RIGHT(H$1,2))</f>
        <v>160</v>
      </c>
      <c r="I82" s="16" cm="1">
        <f t="array" ref="I82">INDEX(_xlfn.ANCHORARRAY(_xlfn.XLOOKUP($C82,'-ref_Distribution'!$B$146:$B$150,'-ref_Distribution'!$G$146:$G$150)),RIGHT(I$1,2))</f>
        <v>183</v>
      </c>
      <c r="J82" s="16" cm="1">
        <f t="array" ref="J82">INDEX(_xlfn.ANCHORARRAY(_xlfn.XLOOKUP($C82,'-ref_Distribution'!$B$146:$B$150,'-ref_Distribution'!$G$146:$G$150)),RIGHT(J$1,2))</f>
        <v>203</v>
      </c>
      <c r="K82" s="16" cm="1">
        <f t="array" ref="K82">INDEX(_xlfn.ANCHORARRAY(_xlfn.XLOOKUP($C82,'-ref_Distribution'!$B$146:$B$150,'-ref_Distribution'!$G$146:$G$150)),RIGHT(K$1,2))</f>
        <v>221</v>
      </c>
      <c r="L82" s="16" cm="1">
        <f t="array" ref="L82">INDEX(_xlfn.ANCHORARRAY(_xlfn.XLOOKUP($C82,'-ref_Distribution'!$B$146:$B$150,'-ref_Distribution'!$G$146:$G$150)),RIGHT(L$1,2))</f>
        <v>234</v>
      </c>
      <c r="M82" s="16" cm="1">
        <f t="array" ref="M82">INDEX(_xlfn.ANCHORARRAY(_xlfn.XLOOKUP($C82,'-ref_Distribution'!$B$146:$B$150,'-ref_Distribution'!$G$146:$G$150)),RIGHT(M$1,2))</f>
        <v>243</v>
      </c>
      <c r="N82" s="16" cm="1">
        <f t="array" ref="N82">INDEX(_xlfn.ANCHORARRAY(_xlfn.XLOOKUP($C82,'-ref_Distribution'!$B$146:$B$150,'-ref_Distribution'!$G$146:$G$150)),RIGHT(N$1,2))</f>
        <v>245</v>
      </c>
      <c r="O82" s="16" cm="1">
        <f t="array" ref="O82">INDEX(_xlfn.ANCHORARRAY(_xlfn.XLOOKUP($C82,'-ref_Distribution'!$B$146:$B$150,'-ref_Distribution'!$G$146:$G$150)),RIGHT(O$1,2))</f>
        <v>243</v>
      </c>
      <c r="P82" s="16" cm="1">
        <f t="array" ref="P82">INDEX(_xlfn.ANCHORARRAY(_xlfn.XLOOKUP($C82,'-ref_Distribution'!$B$146:$B$150,'-ref_Distribution'!$G$146:$G$150)),RIGHT(P$1,2))</f>
        <v>234</v>
      </c>
      <c r="Q82" s="16" cm="1">
        <f t="array" ref="Q82">INDEX(_xlfn.ANCHORARRAY(_xlfn.XLOOKUP($C82,'-ref_Distribution'!$B$146:$B$150,'-ref_Distribution'!$G$146:$G$150)),RIGHT(Q$1,2))</f>
        <v>221</v>
      </c>
      <c r="R82" s="16" cm="1">
        <f t="array" ref="R82">INDEX(_xlfn.ANCHORARRAY(_xlfn.XLOOKUP($C82,'-ref_Distribution'!$B$146:$B$150,'-ref_Distribution'!$G$146:$G$150)),RIGHT(R$1,2))</f>
        <v>203</v>
      </c>
      <c r="S82" s="16" cm="1">
        <f t="array" ref="S82">INDEX(_xlfn.ANCHORARRAY(_xlfn.XLOOKUP($C82,'-ref_Distribution'!$B$146:$B$150,'-ref_Distribution'!$G$146:$G$150)),RIGHT(S$1,2))</f>
        <v>183</v>
      </c>
      <c r="T82" s="16" cm="1">
        <f t="array" ref="T82">INDEX(_xlfn.ANCHORARRAY(_xlfn.XLOOKUP($C82,'-ref_Distribution'!$B$146:$B$150,'-ref_Distribution'!$G$146:$G$150)),RIGHT(T$1,2))</f>
        <v>160</v>
      </c>
      <c r="U82" s="16" cm="1">
        <f t="array" ref="U82">INDEX(_xlfn.ANCHORARRAY(_xlfn.XLOOKUP($C82,'-ref_Distribution'!$B$146:$B$150,'-ref_Distribution'!$G$146:$G$150)),RIGHT(U$1,2))</f>
        <v>137</v>
      </c>
      <c r="V82" s="16" cm="1">
        <f t="array" ref="V82">INDEX(_xlfn.ANCHORARRAY(_xlfn.XLOOKUP($C82,'-ref_Distribution'!$B$146:$B$150,'-ref_Distribution'!$G$146:$G$150)),RIGHT(V$1,2))</f>
        <v>115</v>
      </c>
      <c r="W82" s="16" cm="1">
        <f t="array" ref="W82">INDEX(_xlfn.ANCHORARRAY(_xlfn.XLOOKUP($C82,'-ref_Distribution'!$B$146:$B$150,'-ref_Distribution'!$G$146:$G$150)),RIGHT(W$1,2))</f>
        <v>94</v>
      </c>
      <c r="X82" s="16" cm="1">
        <f t="array" ref="X82">INDEX(_xlfn.ANCHORARRAY(_xlfn.XLOOKUP($C82,'-ref_Distribution'!$B$146:$B$150,'-ref_Distribution'!$G$146:$G$150)),RIGHT(X$1,2))</f>
        <v>75</v>
      </c>
      <c r="Y82" s="16" cm="1">
        <f t="array" ref="Y82">INDEX(_xlfn.ANCHORARRAY(_xlfn.XLOOKUP($C82,'-ref_Distribution'!$B$146:$B$150,'-ref_Distribution'!$G$146:$G$150)),RIGHT(Y$1,2))</f>
        <v>94</v>
      </c>
      <c r="Z82" s="16" cm="1">
        <f t="array" ref="Z82">INDEX(_xlfn.ANCHORARRAY(_xlfn.XLOOKUP($C82,'-ref_Distribution'!$B$146:$B$150,'-ref_Distribution'!$G$146:$G$150)),RIGHT(Z$1,2))</f>
        <v>115</v>
      </c>
      <c r="AA82" s="16" cm="1">
        <f t="array" ref="AA82">INDEX(_xlfn.ANCHORARRAY(_xlfn.XLOOKUP($C82,'-ref_Distribution'!$B$146:$B$150,'-ref_Distribution'!$G$146:$G$150)),RIGHT(AA$1,2))</f>
        <v>137</v>
      </c>
      <c r="AB82" s="16" cm="1">
        <f t="array" ref="AB82">INDEX(_xlfn.ANCHORARRAY(_xlfn.XLOOKUP($C82,'-ref_Distribution'!$B$146:$B$150,'-ref_Distribution'!$G$146:$G$150)),RIGHT(AB$1,2))</f>
        <v>160</v>
      </c>
      <c r="AC82" s="16" cm="1">
        <f t="array" ref="AC82">INDEX(_xlfn.ANCHORARRAY(_xlfn.XLOOKUP($C82,'-ref_Distribution'!$B$146:$B$150,'-ref_Distribution'!$G$146:$G$150)),RIGHT(AC$1,2))</f>
        <v>183</v>
      </c>
      <c r="AD82" s="16" cm="1">
        <f t="array" ref="AD82">INDEX(_xlfn.ANCHORARRAY(_xlfn.XLOOKUP($C82,'-ref_Distribution'!$B$146:$B$150,'-ref_Distribution'!$G$146:$G$150)),RIGHT(AD$1,2))</f>
        <v>203</v>
      </c>
      <c r="AE82" s="16" cm="1">
        <f t="array" ref="AE82">INDEX(_xlfn.ANCHORARRAY(_xlfn.XLOOKUP($C82,'-ref_Distribution'!$B$146:$B$150,'-ref_Distribution'!$G$146:$G$150)),RIGHT(AE$1,2))</f>
        <v>221</v>
      </c>
      <c r="AF82" s="16" cm="1">
        <f t="array" ref="AF82">INDEX(_xlfn.ANCHORARRAY(_xlfn.XLOOKUP($C82,'-ref_Distribution'!$B$146:$B$150,'-ref_Distribution'!$G$146:$G$150)),RIGHT(AF$1,2))</f>
        <v>234</v>
      </c>
      <c r="AG82" s="16" cm="1">
        <f t="array" ref="AG82">INDEX(_xlfn.ANCHORARRAY(_xlfn.XLOOKUP($C82,'-ref_Distribution'!$B$146:$B$150,'-ref_Distribution'!$G$146:$G$150)),RIGHT(AG$1,2))</f>
        <v>243</v>
      </c>
      <c r="AH82" s="16" cm="1">
        <f t="array" ref="AH82">INDEX(_xlfn.ANCHORARRAY(_xlfn.XLOOKUP($C82,'-ref_Distribution'!$B$146:$B$150,'-ref_Distribution'!$G$146:$G$150)),RIGHT(AH$1,2))</f>
        <v>245</v>
      </c>
      <c r="AI82" s="16" cm="1">
        <f t="array" ref="AI82">INDEX(_xlfn.ANCHORARRAY(_xlfn.XLOOKUP($C82,'-ref_Distribution'!$B$146:$B$150,'-ref_Distribution'!$G$146:$G$150)),RIGHT(AI$1,2))</f>
        <v>243</v>
      </c>
      <c r="AJ82" s="16" cm="1">
        <f t="array" ref="AJ82">INDEX(_xlfn.ANCHORARRAY(_xlfn.XLOOKUP($C82,'-ref_Distribution'!$B$146:$B$150,'-ref_Distribution'!$G$146:$G$150)),RIGHT(AJ$1,2))</f>
        <v>234</v>
      </c>
      <c r="AK82" s="16" cm="1">
        <f t="array" ref="AK82">INDEX(_xlfn.ANCHORARRAY(_xlfn.XLOOKUP($C82,'-ref_Distribution'!$B$146:$B$150,'-ref_Distribution'!$G$146:$G$150)),RIGHT(AK$1,2))</f>
        <v>221</v>
      </c>
      <c r="AL82" s="16" cm="1">
        <f t="array" ref="AL82">INDEX(_xlfn.ANCHORARRAY(_xlfn.XLOOKUP($C82,'-ref_Distribution'!$B$146:$B$150,'-ref_Distribution'!$G$146:$G$150)),RIGHT(AL$1,2))</f>
        <v>203</v>
      </c>
      <c r="AM82" s="16" cm="1">
        <f t="array" ref="AM82">INDEX(_xlfn.ANCHORARRAY(_xlfn.XLOOKUP($C82,'-ref_Distribution'!$B$146:$B$150,'-ref_Distribution'!$G$146:$G$150)),RIGHT(AM$1,2))</f>
        <v>183</v>
      </c>
      <c r="AN82" s="16" cm="1">
        <f t="array" ref="AN82">INDEX(_xlfn.ANCHORARRAY(_xlfn.XLOOKUP($C82,'-ref_Distribution'!$B$146:$B$150,'-ref_Distribution'!$G$146:$G$150)),RIGHT(AN$1,2))</f>
        <v>160</v>
      </c>
      <c r="AO82" s="16" cm="1">
        <f t="array" ref="AO82">INDEX(_xlfn.ANCHORARRAY(_xlfn.XLOOKUP($C82,'-ref_Distribution'!$B$146:$B$150,'-ref_Distribution'!$G$146:$G$150)),RIGHT(AO$1,2))</f>
        <v>137</v>
      </c>
      <c r="AP82" s="16" cm="1">
        <f t="array" ref="AP82">INDEX(_xlfn.ANCHORARRAY(_xlfn.XLOOKUP($C82,'-ref_Distribution'!$B$146:$B$150,'-ref_Distribution'!$G$146:$G$150)),RIGHT(AP$1,2))</f>
        <v>115</v>
      </c>
      <c r="AQ82" s="16" cm="1">
        <f t="array" ref="AQ82">INDEX(_xlfn.ANCHORARRAY(_xlfn.XLOOKUP($C82,'-ref_Distribution'!$B$146:$B$150,'-ref_Distribution'!$G$146:$G$150)),RIGHT(AQ$1,2))</f>
        <v>94</v>
      </c>
      <c r="AR82" s="16" cm="1">
        <f t="array" ref="AR82">INDEX(_xlfn.ANCHORARRAY(_xlfn.XLOOKUP($C82,'-ref_Distribution'!$B$146:$B$150,'-ref_Distribution'!$G$146:$G$150)),RIGHT(AR$1,2))</f>
        <v>75</v>
      </c>
      <c r="AS82" s="16" cm="1">
        <f t="array" ref="AS82">INDEX(_xlfn.ANCHORARRAY(_xlfn.XLOOKUP($C82,'-ref_Distribution'!$B$146:$B$150,'-ref_Distribution'!$G$146:$G$150)),RIGHT(AS$1,2))</f>
        <v>94</v>
      </c>
      <c r="AT82" s="16" cm="1">
        <f t="array" ref="AT82">INDEX(_xlfn.ANCHORARRAY(_xlfn.XLOOKUP($C82,'-ref_Distribution'!$B$146:$B$150,'-ref_Distribution'!$G$146:$G$150)),RIGHT(AT$1,2))</f>
        <v>115</v>
      </c>
      <c r="AU82" s="16" cm="1">
        <f t="array" ref="AU82">INDEX(_xlfn.ANCHORARRAY(_xlfn.XLOOKUP($C82,'-ref_Distribution'!$B$146:$B$150,'-ref_Distribution'!$G$146:$G$150)),RIGHT(AU$1,2))</f>
        <v>137</v>
      </c>
      <c r="AV82" s="16" cm="1">
        <f t="array" ref="AV82">INDEX(_xlfn.ANCHORARRAY(_xlfn.XLOOKUP($C82,'-ref_Distribution'!$B$146:$B$150,'-ref_Distribution'!$G$146:$G$150)),RIGHT(AV$1,2))</f>
        <v>160</v>
      </c>
      <c r="AW82" s="16" cm="1">
        <f t="array" ref="AW82">INDEX(_xlfn.ANCHORARRAY(_xlfn.XLOOKUP($C82,'-ref_Distribution'!$B$146:$B$150,'-ref_Distribution'!$G$146:$G$150)),RIGHT(AW$1,2))</f>
        <v>183</v>
      </c>
      <c r="AX82" s="16" cm="1">
        <f t="array" ref="AX82">INDEX(_xlfn.ANCHORARRAY(_xlfn.XLOOKUP($C82,'-ref_Distribution'!$B$146:$B$150,'-ref_Distribution'!$G$146:$G$150)),RIGHT(AX$1,2))</f>
        <v>203</v>
      </c>
      <c r="AY82" s="16" cm="1">
        <f t="array" ref="AY82">INDEX(_xlfn.ANCHORARRAY(_xlfn.XLOOKUP($C82,'-ref_Distribution'!$B$146:$B$150,'-ref_Distribution'!$G$146:$G$150)),RIGHT(AY$1,2))</f>
        <v>221</v>
      </c>
      <c r="AZ82" s="16" cm="1">
        <f t="array" ref="AZ82">INDEX(_xlfn.ANCHORARRAY(_xlfn.XLOOKUP($C82,'-ref_Distribution'!$B$146:$B$150,'-ref_Distribution'!$G$146:$G$150)),RIGHT(AZ$1,2))</f>
        <v>234</v>
      </c>
      <c r="BA82" s="16" cm="1">
        <f t="array" ref="BA82">INDEX(_xlfn.ANCHORARRAY(_xlfn.XLOOKUP($C82,'-ref_Distribution'!$B$146:$B$150,'-ref_Distribution'!$G$146:$G$150)),RIGHT(BA$1,2))</f>
        <v>243</v>
      </c>
      <c r="BB82" s="16" cm="1">
        <f t="array" ref="BB82">INDEX(_xlfn.ANCHORARRAY(_xlfn.XLOOKUP($C82,'-ref_Distribution'!$B$146:$B$150,'-ref_Distribution'!$G$146:$G$150)),RIGHT(BB$1,2))</f>
        <v>245</v>
      </c>
      <c r="BC82" s="16" cm="1">
        <f t="array" ref="BC82">INDEX(_xlfn.ANCHORARRAY(_xlfn.XLOOKUP($C82,'-ref_Distribution'!$B$146:$B$150,'-ref_Distribution'!$G$146:$G$150)),RIGHT(BC$1,2))</f>
        <v>243</v>
      </c>
      <c r="BD82" s="16" cm="1">
        <f t="array" ref="BD82">INDEX(_xlfn.ANCHORARRAY(_xlfn.XLOOKUP($C82,'-ref_Distribution'!$B$146:$B$150,'-ref_Distribution'!$G$146:$G$150)),RIGHT(BD$1,2))</f>
        <v>234</v>
      </c>
      <c r="BE82" s="16" cm="1">
        <f t="array" ref="BE82">INDEX(_xlfn.ANCHORARRAY(_xlfn.XLOOKUP($C82,'-ref_Distribution'!$B$146:$B$150,'-ref_Distribution'!$G$146:$G$150)),RIGHT(BE$1,2))</f>
        <v>221</v>
      </c>
      <c r="BF82" s="16" cm="1">
        <f t="array" ref="BF82">INDEX(_xlfn.ANCHORARRAY(_xlfn.XLOOKUP($C82,'-ref_Distribution'!$B$146:$B$150,'-ref_Distribution'!$G$146:$G$150)),RIGHT(BF$1,2))</f>
        <v>203</v>
      </c>
      <c r="BG82" s="16" cm="1">
        <f t="array" ref="BG82">INDEX(_xlfn.ANCHORARRAY(_xlfn.XLOOKUP($C82,'-ref_Distribution'!$B$146:$B$150,'-ref_Distribution'!$G$146:$G$150)),RIGHT(BG$1,2))</f>
        <v>183</v>
      </c>
      <c r="BH82" s="16" cm="1">
        <f t="array" ref="BH82">INDEX(_xlfn.ANCHORARRAY(_xlfn.XLOOKUP($C82,'-ref_Distribution'!$B$146:$B$150,'-ref_Distribution'!$G$146:$G$150)),RIGHT(BH$1,2))</f>
        <v>160</v>
      </c>
      <c r="BI82" s="16" cm="1">
        <f t="array" ref="BI82">INDEX(_xlfn.ANCHORARRAY(_xlfn.XLOOKUP($C82,'-ref_Distribution'!$B$146:$B$150,'-ref_Distribution'!$G$146:$G$150)),RIGHT(BI$1,2))</f>
        <v>137</v>
      </c>
      <c r="BJ82" s="16" cm="1">
        <f t="array" ref="BJ82">INDEX(_xlfn.ANCHORARRAY(_xlfn.XLOOKUP($C82,'-ref_Distribution'!$B$146:$B$150,'-ref_Distribution'!$G$146:$G$150)),RIGHT(BJ$1,2))</f>
        <v>115</v>
      </c>
      <c r="BK82" s="16" cm="1">
        <f t="array" ref="BK82">INDEX(_xlfn.ANCHORARRAY(_xlfn.XLOOKUP($C82,'-ref_Distribution'!$B$146:$B$150,'-ref_Distribution'!$G$146:$G$150)),RIGHT(BK$1,2))</f>
        <v>94</v>
      </c>
      <c r="BL82" s="16" cm="1">
        <f t="array" ref="BL82">INDEX(_xlfn.ANCHORARRAY(_xlfn.XLOOKUP($C82,'-ref_Distribution'!$B$146:$B$150,'-ref_Distribution'!$G$146:$G$150)),RIGHT(BL$1,2))</f>
        <v>75</v>
      </c>
      <c r="BM82" s="16" cm="1">
        <f t="array" ref="BM82">INDEX(_xlfn.ANCHORARRAY(_xlfn.XLOOKUP($C82,'-ref_Distribution'!$B$146:$B$150,'-ref_Distribution'!$G$146:$G$150)),RIGHT(BM$1,2))</f>
        <v>94</v>
      </c>
      <c r="BN82" s="16" cm="1">
        <f t="array" ref="BN82">INDEX(_xlfn.ANCHORARRAY(_xlfn.XLOOKUP($C82,'-ref_Distribution'!$B$146:$B$150,'-ref_Distribution'!$G$146:$G$150)),RIGHT(BN$1,2))</f>
        <v>115</v>
      </c>
      <c r="BO82" s="16" cm="1">
        <f t="array" ref="BO82">INDEX(_xlfn.ANCHORARRAY(_xlfn.XLOOKUP($C82,'-ref_Distribution'!$B$146:$B$150,'-ref_Distribution'!$G$146:$G$150)),RIGHT(BO$1,2))</f>
        <v>137</v>
      </c>
      <c r="BP82" s="16" cm="1">
        <f t="array" ref="BP82">INDEX(_xlfn.ANCHORARRAY(_xlfn.XLOOKUP($C82,'-ref_Distribution'!$B$146:$B$150,'-ref_Distribution'!$G$146:$G$150)),RIGHT(BP$1,2))</f>
        <v>160</v>
      </c>
      <c r="BQ82" s="16" cm="1">
        <f t="array" ref="BQ82">INDEX(_xlfn.ANCHORARRAY(_xlfn.XLOOKUP($C82,'-ref_Distribution'!$B$146:$B$150,'-ref_Distribution'!$G$146:$G$150)),RIGHT(BQ$1,2))</f>
        <v>183</v>
      </c>
      <c r="BR82" s="16" cm="1">
        <f t="array" ref="BR82">INDEX(_xlfn.ANCHORARRAY(_xlfn.XLOOKUP($C82,'-ref_Distribution'!$B$146:$B$150,'-ref_Distribution'!$G$146:$G$150)),RIGHT(BR$1,2))</f>
        <v>203</v>
      </c>
      <c r="BS82" s="16" cm="1">
        <f t="array" ref="BS82">INDEX(_xlfn.ANCHORARRAY(_xlfn.XLOOKUP($C82,'-ref_Distribution'!$B$146:$B$150,'-ref_Distribution'!$G$146:$G$150)),RIGHT(BS$1,2))</f>
        <v>221</v>
      </c>
      <c r="BT82" s="16" cm="1">
        <f t="array" ref="BT82">INDEX(_xlfn.ANCHORARRAY(_xlfn.XLOOKUP($C82,'-ref_Distribution'!$B$146:$B$150,'-ref_Distribution'!$G$146:$G$150)),RIGHT(BT$1,2))</f>
        <v>234</v>
      </c>
      <c r="BU82" s="16" cm="1">
        <f t="array" ref="BU82">INDEX(_xlfn.ANCHORARRAY(_xlfn.XLOOKUP($C82,'-ref_Distribution'!$B$146:$B$150,'-ref_Distribution'!$G$146:$G$150)),RIGHT(BU$1,2))</f>
        <v>243</v>
      </c>
      <c r="BV82" s="16" cm="1">
        <f t="array" ref="BV82">INDEX(_xlfn.ANCHORARRAY(_xlfn.XLOOKUP($C82,'-ref_Distribution'!$B$146:$B$150,'-ref_Distribution'!$G$146:$G$150)),RIGHT(BV$1,2))</f>
        <v>245</v>
      </c>
      <c r="BW82" s="16" cm="1">
        <f t="array" ref="BW82">INDEX(_xlfn.ANCHORARRAY(_xlfn.XLOOKUP($C82,'-ref_Distribution'!$B$146:$B$150,'-ref_Distribution'!$G$146:$G$150)),RIGHT(BW$1,2))</f>
        <v>243</v>
      </c>
      <c r="BX82" s="16" cm="1">
        <f t="array" ref="BX82">INDEX(_xlfn.ANCHORARRAY(_xlfn.XLOOKUP($C82,'-ref_Distribution'!$B$146:$B$150,'-ref_Distribution'!$G$146:$G$150)),RIGHT(BX$1,2))</f>
        <v>234</v>
      </c>
      <c r="BY82" s="16" cm="1">
        <f t="array" ref="BY82">INDEX(_xlfn.ANCHORARRAY(_xlfn.XLOOKUP($C82,'-ref_Distribution'!$B$146:$B$150,'-ref_Distribution'!$G$146:$G$150)),RIGHT(BY$1,2))</f>
        <v>221</v>
      </c>
      <c r="BZ82" s="16" cm="1">
        <f t="array" ref="BZ82">INDEX(_xlfn.ANCHORARRAY(_xlfn.XLOOKUP($C82,'-ref_Distribution'!$B$146:$B$150,'-ref_Distribution'!$G$146:$G$150)),RIGHT(BZ$1,2))</f>
        <v>203</v>
      </c>
      <c r="CA82" s="16" cm="1">
        <f t="array" ref="CA82">INDEX(_xlfn.ANCHORARRAY(_xlfn.XLOOKUP($C82,'-ref_Distribution'!$B$146:$B$150,'-ref_Distribution'!$G$146:$G$150)),RIGHT(CA$1,2))</f>
        <v>183</v>
      </c>
      <c r="CB82" s="16" cm="1">
        <f t="array" ref="CB82">INDEX(_xlfn.ANCHORARRAY(_xlfn.XLOOKUP($C82,'-ref_Distribution'!$B$146:$B$150,'-ref_Distribution'!$G$146:$G$150)),RIGHT(CB$1,2))</f>
        <v>160</v>
      </c>
      <c r="CC82" s="16" cm="1">
        <f t="array" ref="CC82">INDEX(_xlfn.ANCHORARRAY(_xlfn.XLOOKUP($C82,'-ref_Distribution'!$B$146:$B$150,'-ref_Distribution'!$G$146:$G$150)),RIGHT(CC$1,2))</f>
        <v>137</v>
      </c>
      <c r="CD82" s="16" cm="1">
        <f t="array" ref="CD82">INDEX(_xlfn.ANCHORARRAY(_xlfn.XLOOKUP($C82,'-ref_Distribution'!$B$146:$B$150,'-ref_Distribution'!$G$146:$G$150)),RIGHT(CD$1,2))</f>
        <v>115</v>
      </c>
      <c r="CE82" s="16" cm="1">
        <f t="array" ref="CE82">INDEX(_xlfn.ANCHORARRAY(_xlfn.XLOOKUP($C82,'-ref_Distribution'!$B$146:$B$150,'-ref_Distribution'!$G$146:$G$150)),RIGHT(CE$1,2))</f>
        <v>94</v>
      </c>
    </row>
    <row r="83" spans="1:83" x14ac:dyDescent="0.2">
      <c r="A83" s="16">
        <v>310505</v>
      </c>
      <c r="B83" s="16" t="s">
        <v>385</v>
      </c>
      <c r="C83" s="16">
        <v>3</v>
      </c>
      <c r="D83" s="16" cm="1">
        <f t="array" ref="D83">INDEX(_xlfn.ANCHORARRAY(_xlfn.XLOOKUP($C83,'-ref_Distribution'!$B$146:$B$150,'-ref_Distribution'!$G$146:$G$150)),RIGHT(D$1,2))</f>
        <v>4</v>
      </c>
      <c r="E83" s="16" cm="1">
        <f t="array" ref="E83">INDEX(_xlfn.ANCHORARRAY(_xlfn.XLOOKUP($C83,'-ref_Distribution'!$B$146:$B$150,'-ref_Distribution'!$G$146:$G$150)),RIGHT(E$1,2))</f>
        <v>6</v>
      </c>
      <c r="F83" s="16" cm="1">
        <f t="array" ref="F83">INDEX(_xlfn.ANCHORARRAY(_xlfn.XLOOKUP($C83,'-ref_Distribution'!$B$146:$B$150,'-ref_Distribution'!$G$146:$G$150)),RIGHT(F$1,2))</f>
        <v>9</v>
      </c>
      <c r="G83" s="16" cm="1">
        <f t="array" ref="G83">INDEX(_xlfn.ANCHORARRAY(_xlfn.XLOOKUP($C83,'-ref_Distribution'!$B$146:$B$150,'-ref_Distribution'!$G$146:$G$150)),RIGHT(G$1,2))</f>
        <v>14</v>
      </c>
      <c r="H83" s="16" cm="1">
        <f t="array" ref="H83">INDEX(_xlfn.ANCHORARRAY(_xlfn.XLOOKUP($C83,'-ref_Distribution'!$B$146:$B$150,'-ref_Distribution'!$G$146:$G$150)),RIGHT(H$1,2))</f>
        <v>20</v>
      </c>
      <c r="I83" s="16" cm="1">
        <f t="array" ref="I83">INDEX(_xlfn.ANCHORARRAY(_xlfn.XLOOKUP($C83,'-ref_Distribution'!$B$146:$B$150,'-ref_Distribution'!$G$146:$G$150)),RIGHT(I$1,2))</f>
        <v>28</v>
      </c>
      <c r="J83" s="16" cm="1">
        <f t="array" ref="J83">INDEX(_xlfn.ANCHORARRAY(_xlfn.XLOOKUP($C83,'-ref_Distribution'!$B$146:$B$150,'-ref_Distribution'!$G$146:$G$150)),RIGHT(J$1,2))</f>
        <v>38</v>
      </c>
      <c r="K83" s="16" cm="1">
        <f t="array" ref="K83">INDEX(_xlfn.ANCHORARRAY(_xlfn.XLOOKUP($C83,'-ref_Distribution'!$B$146:$B$150,'-ref_Distribution'!$G$146:$G$150)),RIGHT(K$1,2))</f>
        <v>51</v>
      </c>
      <c r="L83" s="16" cm="1">
        <f t="array" ref="L83">INDEX(_xlfn.ANCHORARRAY(_xlfn.XLOOKUP($C83,'-ref_Distribution'!$B$146:$B$150,'-ref_Distribution'!$G$146:$G$150)),RIGHT(L$1,2))</f>
        <v>65</v>
      </c>
      <c r="M83" s="16" cm="1">
        <f t="array" ref="M83">INDEX(_xlfn.ANCHORARRAY(_xlfn.XLOOKUP($C83,'-ref_Distribution'!$B$146:$B$150,'-ref_Distribution'!$G$146:$G$150)),RIGHT(M$1,2))</f>
        <v>80</v>
      </c>
      <c r="N83" s="16" cm="1">
        <f t="array" ref="N83">INDEX(_xlfn.ANCHORARRAY(_xlfn.XLOOKUP($C83,'-ref_Distribution'!$B$146:$B$150,'-ref_Distribution'!$G$146:$G$150)),RIGHT(N$1,2))</f>
        <v>96</v>
      </c>
      <c r="O83" s="16" cm="1">
        <f t="array" ref="O83">INDEX(_xlfn.ANCHORARRAY(_xlfn.XLOOKUP($C83,'-ref_Distribution'!$B$146:$B$150,'-ref_Distribution'!$G$146:$G$150)),RIGHT(O$1,2))</f>
        <v>111</v>
      </c>
      <c r="P83" s="16" cm="1">
        <f t="array" ref="P83">INDEX(_xlfn.ANCHORARRAY(_xlfn.XLOOKUP($C83,'-ref_Distribution'!$B$146:$B$150,'-ref_Distribution'!$G$146:$G$150)),RIGHT(P$1,2))</f>
        <v>125</v>
      </c>
      <c r="Q83" s="16" cm="1">
        <f t="array" ref="Q83">INDEX(_xlfn.ANCHORARRAY(_xlfn.XLOOKUP($C83,'-ref_Distribution'!$B$146:$B$150,'-ref_Distribution'!$G$146:$G$150)),RIGHT(Q$1,2))</f>
        <v>135</v>
      </c>
      <c r="R83" s="16" cm="1">
        <f t="array" ref="R83">INDEX(_xlfn.ANCHORARRAY(_xlfn.XLOOKUP($C83,'-ref_Distribution'!$B$146:$B$150,'-ref_Distribution'!$G$146:$G$150)),RIGHT(R$1,2))</f>
        <v>142</v>
      </c>
      <c r="S83" s="16" cm="1">
        <f t="array" ref="S83">INDEX(_xlfn.ANCHORARRAY(_xlfn.XLOOKUP($C83,'-ref_Distribution'!$B$146:$B$150,'-ref_Distribution'!$G$146:$G$150)),RIGHT(S$1,2))</f>
        <v>144</v>
      </c>
      <c r="T83" s="16" cm="1">
        <f t="array" ref="T83">INDEX(_xlfn.ANCHORARRAY(_xlfn.XLOOKUP($C83,'-ref_Distribution'!$B$146:$B$150,'-ref_Distribution'!$G$146:$G$150)),RIGHT(T$1,2))</f>
        <v>142</v>
      </c>
      <c r="U83" s="16" cm="1">
        <f t="array" ref="U83">INDEX(_xlfn.ANCHORARRAY(_xlfn.XLOOKUP($C83,'-ref_Distribution'!$B$146:$B$150,'-ref_Distribution'!$G$146:$G$150)),RIGHT(U$1,2))</f>
        <v>135</v>
      </c>
      <c r="V83" s="16" cm="1">
        <f t="array" ref="V83">INDEX(_xlfn.ANCHORARRAY(_xlfn.XLOOKUP($C83,'-ref_Distribution'!$B$146:$B$150,'-ref_Distribution'!$G$146:$G$150)),RIGHT(V$1,2))</f>
        <v>125</v>
      </c>
      <c r="W83" s="16" cm="1">
        <f t="array" ref="W83">INDEX(_xlfn.ANCHORARRAY(_xlfn.XLOOKUP($C83,'-ref_Distribution'!$B$146:$B$150,'-ref_Distribution'!$G$146:$G$150)),RIGHT(W$1,2))</f>
        <v>111</v>
      </c>
      <c r="X83" s="16" cm="1">
        <f t="array" ref="X83">INDEX(_xlfn.ANCHORARRAY(_xlfn.XLOOKUP($C83,'-ref_Distribution'!$B$146:$B$150,'-ref_Distribution'!$G$146:$G$150)),RIGHT(X$1,2))</f>
        <v>4</v>
      </c>
      <c r="Y83" s="16" cm="1">
        <f t="array" ref="Y83">INDEX(_xlfn.ANCHORARRAY(_xlfn.XLOOKUP($C83,'-ref_Distribution'!$B$146:$B$150,'-ref_Distribution'!$G$146:$G$150)),RIGHT(Y$1,2))</f>
        <v>6</v>
      </c>
      <c r="Z83" s="16" cm="1">
        <f t="array" ref="Z83">INDEX(_xlfn.ANCHORARRAY(_xlfn.XLOOKUP($C83,'-ref_Distribution'!$B$146:$B$150,'-ref_Distribution'!$G$146:$G$150)),RIGHT(Z$1,2))</f>
        <v>9</v>
      </c>
      <c r="AA83" s="16" cm="1">
        <f t="array" ref="AA83">INDEX(_xlfn.ANCHORARRAY(_xlfn.XLOOKUP($C83,'-ref_Distribution'!$B$146:$B$150,'-ref_Distribution'!$G$146:$G$150)),RIGHT(AA$1,2))</f>
        <v>14</v>
      </c>
      <c r="AB83" s="16" cm="1">
        <f t="array" ref="AB83">INDEX(_xlfn.ANCHORARRAY(_xlfn.XLOOKUP($C83,'-ref_Distribution'!$B$146:$B$150,'-ref_Distribution'!$G$146:$G$150)),RIGHT(AB$1,2))</f>
        <v>20</v>
      </c>
      <c r="AC83" s="16" cm="1">
        <f t="array" ref="AC83">INDEX(_xlfn.ANCHORARRAY(_xlfn.XLOOKUP($C83,'-ref_Distribution'!$B$146:$B$150,'-ref_Distribution'!$G$146:$G$150)),RIGHT(AC$1,2))</f>
        <v>28</v>
      </c>
      <c r="AD83" s="16" cm="1">
        <f t="array" ref="AD83">INDEX(_xlfn.ANCHORARRAY(_xlfn.XLOOKUP($C83,'-ref_Distribution'!$B$146:$B$150,'-ref_Distribution'!$G$146:$G$150)),RIGHT(AD$1,2))</f>
        <v>38</v>
      </c>
      <c r="AE83" s="16" cm="1">
        <f t="array" ref="AE83">INDEX(_xlfn.ANCHORARRAY(_xlfn.XLOOKUP($C83,'-ref_Distribution'!$B$146:$B$150,'-ref_Distribution'!$G$146:$G$150)),RIGHT(AE$1,2))</f>
        <v>51</v>
      </c>
      <c r="AF83" s="16" cm="1">
        <f t="array" ref="AF83">INDEX(_xlfn.ANCHORARRAY(_xlfn.XLOOKUP($C83,'-ref_Distribution'!$B$146:$B$150,'-ref_Distribution'!$G$146:$G$150)),RIGHT(AF$1,2))</f>
        <v>65</v>
      </c>
      <c r="AG83" s="16" cm="1">
        <f t="array" ref="AG83">INDEX(_xlfn.ANCHORARRAY(_xlfn.XLOOKUP($C83,'-ref_Distribution'!$B$146:$B$150,'-ref_Distribution'!$G$146:$G$150)),RIGHT(AG$1,2))</f>
        <v>80</v>
      </c>
      <c r="AH83" s="16" cm="1">
        <f t="array" ref="AH83">INDEX(_xlfn.ANCHORARRAY(_xlfn.XLOOKUP($C83,'-ref_Distribution'!$B$146:$B$150,'-ref_Distribution'!$G$146:$G$150)),RIGHT(AH$1,2))</f>
        <v>96</v>
      </c>
      <c r="AI83" s="16" cm="1">
        <f t="array" ref="AI83">INDEX(_xlfn.ANCHORARRAY(_xlfn.XLOOKUP($C83,'-ref_Distribution'!$B$146:$B$150,'-ref_Distribution'!$G$146:$G$150)),RIGHT(AI$1,2))</f>
        <v>111</v>
      </c>
      <c r="AJ83" s="16" cm="1">
        <f t="array" ref="AJ83">INDEX(_xlfn.ANCHORARRAY(_xlfn.XLOOKUP($C83,'-ref_Distribution'!$B$146:$B$150,'-ref_Distribution'!$G$146:$G$150)),RIGHT(AJ$1,2))</f>
        <v>125</v>
      </c>
      <c r="AK83" s="16" cm="1">
        <f t="array" ref="AK83">INDEX(_xlfn.ANCHORARRAY(_xlfn.XLOOKUP($C83,'-ref_Distribution'!$B$146:$B$150,'-ref_Distribution'!$G$146:$G$150)),RIGHT(AK$1,2))</f>
        <v>135</v>
      </c>
      <c r="AL83" s="16" cm="1">
        <f t="array" ref="AL83">INDEX(_xlfn.ANCHORARRAY(_xlfn.XLOOKUP($C83,'-ref_Distribution'!$B$146:$B$150,'-ref_Distribution'!$G$146:$G$150)),RIGHT(AL$1,2))</f>
        <v>142</v>
      </c>
      <c r="AM83" s="16" cm="1">
        <f t="array" ref="AM83">INDEX(_xlfn.ANCHORARRAY(_xlfn.XLOOKUP($C83,'-ref_Distribution'!$B$146:$B$150,'-ref_Distribution'!$G$146:$G$150)),RIGHT(AM$1,2))</f>
        <v>144</v>
      </c>
      <c r="AN83" s="16" cm="1">
        <f t="array" ref="AN83">INDEX(_xlfn.ANCHORARRAY(_xlfn.XLOOKUP($C83,'-ref_Distribution'!$B$146:$B$150,'-ref_Distribution'!$G$146:$G$150)),RIGHT(AN$1,2))</f>
        <v>142</v>
      </c>
      <c r="AO83" s="16" cm="1">
        <f t="array" ref="AO83">INDEX(_xlfn.ANCHORARRAY(_xlfn.XLOOKUP($C83,'-ref_Distribution'!$B$146:$B$150,'-ref_Distribution'!$G$146:$G$150)),RIGHT(AO$1,2))</f>
        <v>135</v>
      </c>
      <c r="AP83" s="16" cm="1">
        <f t="array" ref="AP83">INDEX(_xlfn.ANCHORARRAY(_xlfn.XLOOKUP($C83,'-ref_Distribution'!$B$146:$B$150,'-ref_Distribution'!$G$146:$G$150)),RIGHT(AP$1,2))</f>
        <v>125</v>
      </c>
      <c r="AQ83" s="16" cm="1">
        <f t="array" ref="AQ83">INDEX(_xlfn.ANCHORARRAY(_xlfn.XLOOKUP($C83,'-ref_Distribution'!$B$146:$B$150,'-ref_Distribution'!$G$146:$G$150)),RIGHT(AQ$1,2))</f>
        <v>111</v>
      </c>
      <c r="AR83" s="16" cm="1">
        <f t="array" ref="AR83">INDEX(_xlfn.ANCHORARRAY(_xlfn.XLOOKUP($C83,'-ref_Distribution'!$B$146:$B$150,'-ref_Distribution'!$G$146:$G$150)),RIGHT(AR$1,2))</f>
        <v>4</v>
      </c>
      <c r="AS83" s="16" cm="1">
        <f t="array" ref="AS83">INDEX(_xlfn.ANCHORARRAY(_xlfn.XLOOKUP($C83,'-ref_Distribution'!$B$146:$B$150,'-ref_Distribution'!$G$146:$G$150)),RIGHT(AS$1,2))</f>
        <v>6</v>
      </c>
      <c r="AT83" s="16" cm="1">
        <f t="array" ref="AT83">INDEX(_xlfn.ANCHORARRAY(_xlfn.XLOOKUP($C83,'-ref_Distribution'!$B$146:$B$150,'-ref_Distribution'!$G$146:$G$150)),RIGHT(AT$1,2))</f>
        <v>9</v>
      </c>
      <c r="AU83" s="16" cm="1">
        <f t="array" ref="AU83">INDEX(_xlfn.ANCHORARRAY(_xlfn.XLOOKUP($C83,'-ref_Distribution'!$B$146:$B$150,'-ref_Distribution'!$G$146:$G$150)),RIGHT(AU$1,2))</f>
        <v>14</v>
      </c>
      <c r="AV83" s="16" cm="1">
        <f t="array" ref="AV83">INDEX(_xlfn.ANCHORARRAY(_xlfn.XLOOKUP($C83,'-ref_Distribution'!$B$146:$B$150,'-ref_Distribution'!$G$146:$G$150)),RIGHT(AV$1,2))</f>
        <v>20</v>
      </c>
      <c r="AW83" s="16" cm="1">
        <f t="array" ref="AW83">INDEX(_xlfn.ANCHORARRAY(_xlfn.XLOOKUP($C83,'-ref_Distribution'!$B$146:$B$150,'-ref_Distribution'!$G$146:$G$150)),RIGHT(AW$1,2))</f>
        <v>28</v>
      </c>
      <c r="AX83" s="16" cm="1">
        <f t="array" ref="AX83">INDEX(_xlfn.ANCHORARRAY(_xlfn.XLOOKUP($C83,'-ref_Distribution'!$B$146:$B$150,'-ref_Distribution'!$G$146:$G$150)),RIGHT(AX$1,2))</f>
        <v>38</v>
      </c>
      <c r="AY83" s="16" cm="1">
        <f t="array" ref="AY83">INDEX(_xlfn.ANCHORARRAY(_xlfn.XLOOKUP($C83,'-ref_Distribution'!$B$146:$B$150,'-ref_Distribution'!$G$146:$G$150)),RIGHT(AY$1,2))</f>
        <v>51</v>
      </c>
      <c r="AZ83" s="16" cm="1">
        <f t="array" ref="AZ83">INDEX(_xlfn.ANCHORARRAY(_xlfn.XLOOKUP($C83,'-ref_Distribution'!$B$146:$B$150,'-ref_Distribution'!$G$146:$G$150)),RIGHT(AZ$1,2))</f>
        <v>65</v>
      </c>
      <c r="BA83" s="16" cm="1">
        <f t="array" ref="BA83">INDEX(_xlfn.ANCHORARRAY(_xlfn.XLOOKUP($C83,'-ref_Distribution'!$B$146:$B$150,'-ref_Distribution'!$G$146:$G$150)),RIGHT(BA$1,2))</f>
        <v>80</v>
      </c>
      <c r="BB83" s="16" cm="1">
        <f t="array" ref="BB83">INDEX(_xlfn.ANCHORARRAY(_xlfn.XLOOKUP($C83,'-ref_Distribution'!$B$146:$B$150,'-ref_Distribution'!$G$146:$G$150)),RIGHT(BB$1,2))</f>
        <v>96</v>
      </c>
      <c r="BC83" s="16" cm="1">
        <f t="array" ref="BC83">INDEX(_xlfn.ANCHORARRAY(_xlfn.XLOOKUP($C83,'-ref_Distribution'!$B$146:$B$150,'-ref_Distribution'!$G$146:$G$150)),RIGHT(BC$1,2))</f>
        <v>111</v>
      </c>
      <c r="BD83" s="16" cm="1">
        <f t="array" ref="BD83">INDEX(_xlfn.ANCHORARRAY(_xlfn.XLOOKUP($C83,'-ref_Distribution'!$B$146:$B$150,'-ref_Distribution'!$G$146:$G$150)),RIGHT(BD$1,2))</f>
        <v>125</v>
      </c>
      <c r="BE83" s="16" cm="1">
        <f t="array" ref="BE83">INDEX(_xlfn.ANCHORARRAY(_xlfn.XLOOKUP($C83,'-ref_Distribution'!$B$146:$B$150,'-ref_Distribution'!$G$146:$G$150)),RIGHT(BE$1,2))</f>
        <v>135</v>
      </c>
      <c r="BF83" s="16" cm="1">
        <f t="array" ref="BF83">INDEX(_xlfn.ANCHORARRAY(_xlfn.XLOOKUP($C83,'-ref_Distribution'!$B$146:$B$150,'-ref_Distribution'!$G$146:$G$150)),RIGHT(BF$1,2))</f>
        <v>142</v>
      </c>
      <c r="BG83" s="16" cm="1">
        <f t="array" ref="BG83">INDEX(_xlfn.ANCHORARRAY(_xlfn.XLOOKUP($C83,'-ref_Distribution'!$B$146:$B$150,'-ref_Distribution'!$G$146:$G$150)),RIGHT(BG$1,2))</f>
        <v>144</v>
      </c>
      <c r="BH83" s="16" cm="1">
        <f t="array" ref="BH83">INDEX(_xlfn.ANCHORARRAY(_xlfn.XLOOKUP($C83,'-ref_Distribution'!$B$146:$B$150,'-ref_Distribution'!$G$146:$G$150)),RIGHT(BH$1,2))</f>
        <v>142</v>
      </c>
      <c r="BI83" s="16" cm="1">
        <f t="array" ref="BI83">INDEX(_xlfn.ANCHORARRAY(_xlfn.XLOOKUP($C83,'-ref_Distribution'!$B$146:$B$150,'-ref_Distribution'!$G$146:$G$150)),RIGHT(BI$1,2))</f>
        <v>135</v>
      </c>
      <c r="BJ83" s="16" cm="1">
        <f t="array" ref="BJ83">INDEX(_xlfn.ANCHORARRAY(_xlfn.XLOOKUP($C83,'-ref_Distribution'!$B$146:$B$150,'-ref_Distribution'!$G$146:$G$150)),RIGHT(BJ$1,2))</f>
        <v>125</v>
      </c>
      <c r="BK83" s="16" cm="1">
        <f t="array" ref="BK83">INDEX(_xlfn.ANCHORARRAY(_xlfn.XLOOKUP($C83,'-ref_Distribution'!$B$146:$B$150,'-ref_Distribution'!$G$146:$G$150)),RIGHT(BK$1,2))</f>
        <v>111</v>
      </c>
      <c r="BL83" s="16" cm="1">
        <f t="array" ref="BL83">INDEX(_xlfn.ANCHORARRAY(_xlfn.XLOOKUP($C83,'-ref_Distribution'!$B$146:$B$150,'-ref_Distribution'!$G$146:$G$150)),RIGHT(BL$1,2))</f>
        <v>4</v>
      </c>
      <c r="BM83" s="16" cm="1">
        <f t="array" ref="BM83">INDEX(_xlfn.ANCHORARRAY(_xlfn.XLOOKUP($C83,'-ref_Distribution'!$B$146:$B$150,'-ref_Distribution'!$G$146:$G$150)),RIGHT(BM$1,2))</f>
        <v>6</v>
      </c>
      <c r="BN83" s="16" cm="1">
        <f t="array" ref="BN83">INDEX(_xlfn.ANCHORARRAY(_xlfn.XLOOKUP($C83,'-ref_Distribution'!$B$146:$B$150,'-ref_Distribution'!$G$146:$G$150)),RIGHT(BN$1,2))</f>
        <v>9</v>
      </c>
      <c r="BO83" s="16" cm="1">
        <f t="array" ref="BO83">INDEX(_xlfn.ANCHORARRAY(_xlfn.XLOOKUP($C83,'-ref_Distribution'!$B$146:$B$150,'-ref_Distribution'!$G$146:$G$150)),RIGHT(BO$1,2))</f>
        <v>14</v>
      </c>
      <c r="BP83" s="16" cm="1">
        <f t="array" ref="BP83">INDEX(_xlfn.ANCHORARRAY(_xlfn.XLOOKUP($C83,'-ref_Distribution'!$B$146:$B$150,'-ref_Distribution'!$G$146:$G$150)),RIGHT(BP$1,2))</f>
        <v>20</v>
      </c>
      <c r="BQ83" s="16" cm="1">
        <f t="array" ref="BQ83">INDEX(_xlfn.ANCHORARRAY(_xlfn.XLOOKUP($C83,'-ref_Distribution'!$B$146:$B$150,'-ref_Distribution'!$G$146:$G$150)),RIGHT(BQ$1,2))</f>
        <v>28</v>
      </c>
      <c r="BR83" s="16" cm="1">
        <f t="array" ref="BR83">INDEX(_xlfn.ANCHORARRAY(_xlfn.XLOOKUP($C83,'-ref_Distribution'!$B$146:$B$150,'-ref_Distribution'!$G$146:$G$150)),RIGHT(BR$1,2))</f>
        <v>38</v>
      </c>
      <c r="BS83" s="16" cm="1">
        <f t="array" ref="BS83">INDEX(_xlfn.ANCHORARRAY(_xlfn.XLOOKUP($C83,'-ref_Distribution'!$B$146:$B$150,'-ref_Distribution'!$G$146:$G$150)),RIGHT(BS$1,2))</f>
        <v>51</v>
      </c>
      <c r="BT83" s="16" cm="1">
        <f t="array" ref="BT83">INDEX(_xlfn.ANCHORARRAY(_xlfn.XLOOKUP($C83,'-ref_Distribution'!$B$146:$B$150,'-ref_Distribution'!$G$146:$G$150)),RIGHT(BT$1,2))</f>
        <v>65</v>
      </c>
      <c r="BU83" s="16" cm="1">
        <f t="array" ref="BU83">INDEX(_xlfn.ANCHORARRAY(_xlfn.XLOOKUP($C83,'-ref_Distribution'!$B$146:$B$150,'-ref_Distribution'!$G$146:$G$150)),RIGHT(BU$1,2))</f>
        <v>80</v>
      </c>
      <c r="BV83" s="16" cm="1">
        <f t="array" ref="BV83">INDEX(_xlfn.ANCHORARRAY(_xlfn.XLOOKUP($C83,'-ref_Distribution'!$B$146:$B$150,'-ref_Distribution'!$G$146:$G$150)),RIGHT(BV$1,2))</f>
        <v>96</v>
      </c>
      <c r="BW83" s="16" cm="1">
        <f t="array" ref="BW83">INDEX(_xlfn.ANCHORARRAY(_xlfn.XLOOKUP($C83,'-ref_Distribution'!$B$146:$B$150,'-ref_Distribution'!$G$146:$G$150)),RIGHT(BW$1,2))</f>
        <v>111</v>
      </c>
      <c r="BX83" s="16" cm="1">
        <f t="array" ref="BX83">INDEX(_xlfn.ANCHORARRAY(_xlfn.XLOOKUP($C83,'-ref_Distribution'!$B$146:$B$150,'-ref_Distribution'!$G$146:$G$150)),RIGHT(BX$1,2))</f>
        <v>125</v>
      </c>
      <c r="BY83" s="16" cm="1">
        <f t="array" ref="BY83">INDEX(_xlfn.ANCHORARRAY(_xlfn.XLOOKUP($C83,'-ref_Distribution'!$B$146:$B$150,'-ref_Distribution'!$G$146:$G$150)),RIGHT(BY$1,2))</f>
        <v>135</v>
      </c>
      <c r="BZ83" s="16" cm="1">
        <f t="array" ref="BZ83">INDEX(_xlfn.ANCHORARRAY(_xlfn.XLOOKUP($C83,'-ref_Distribution'!$B$146:$B$150,'-ref_Distribution'!$G$146:$G$150)),RIGHT(BZ$1,2))</f>
        <v>142</v>
      </c>
      <c r="CA83" s="16" cm="1">
        <f t="array" ref="CA83">INDEX(_xlfn.ANCHORARRAY(_xlfn.XLOOKUP($C83,'-ref_Distribution'!$B$146:$B$150,'-ref_Distribution'!$G$146:$G$150)),RIGHT(CA$1,2))</f>
        <v>144</v>
      </c>
      <c r="CB83" s="16" cm="1">
        <f t="array" ref="CB83">INDEX(_xlfn.ANCHORARRAY(_xlfn.XLOOKUP($C83,'-ref_Distribution'!$B$146:$B$150,'-ref_Distribution'!$G$146:$G$150)),RIGHT(CB$1,2))</f>
        <v>142</v>
      </c>
      <c r="CC83" s="16" cm="1">
        <f t="array" ref="CC83">INDEX(_xlfn.ANCHORARRAY(_xlfn.XLOOKUP($C83,'-ref_Distribution'!$B$146:$B$150,'-ref_Distribution'!$G$146:$G$150)),RIGHT(CC$1,2))</f>
        <v>135</v>
      </c>
      <c r="CD83" s="16" cm="1">
        <f t="array" ref="CD83">INDEX(_xlfn.ANCHORARRAY(_xlfn.XLOOKUP($C83,'-ref_Distribution'!$B$146:$B$150,'-ref_Distribution'!$G$146:$G$150)),RIGHT(CD$1,2))</f>
        <v>125</v>
      </c>
      <c r="CE83" s="16" cm="1">
        <f t="array" ref="CE83">INDEX(_xlfn.ANCHORARRAY(_xlfn.XLOOKUP($C83,'-ref_Distribution'!$B$146:$B$150,'-ref_Distribution'!$G$146:$G$150)),RIGHT(CE$1,2))</f>
        <v>111</v>
      </c>
    </row>
    <row r="84" spans="1:83" x14ac:dyDescent="0.2">
      <c r="A84" s="16">
        <v>310506</v>
      </c>
      <c r="B84" s="16" t="s">
        <v>386</v>
      </c>
      <c r="C84" s="16">
        <v>4</v>
      </c>
      <c r="D84" s="16" cm="1">
        <f t="array" ref="D84">INDEX(_xlfn.ANCHORARRAY(_xlfn.XLOOKUP($C84,'-ref_Distribution'!$B$146:$B$150,'-ref_Distribution'!$G$146:$G$150)),RIGHT(D$1,2))</f>
        <v>0</v>
      </c>
      <c r="E84" s="16" cm="1">
        <f t="array" ref="E84">INDEX(_xlfn.ANCHORARRAY(_xlfn.XLOOKUP($C84,'-ref_Distribution'!$B$146:$B$150,'-ref_Distribution'!$G$146:$G$150)),RIGHT(E$1,2))</f>
        <v>0</v>
      </c>
      <c r="F84" s="16" cm="1">
        <f t="array" ref="F84">INDEX(_xlfn.ANCHORARRAY(_xlfn.XLOOKUP($C84,'-ref_Distribution'!$B$146:$B$150,'-ref_Distribution'!$G$146:$G$150)),RIGHT(F$1,2))</f>
        <v>0</v>
      </c>
      <c r="G84" s="16" cm="1">
        <f t="array" ref="G84">INDEX(_xlfn.ANCHORARRAY(_xlfn.XLOOKUP($C84,'-ref_Distribution'!$B$146:$B$150,'-ref_Distribution'!$G$146:$G$150)),RIGHT(G$1,2))</f>
        <v>0</v>
      </c>
      <c r="H84" s="16" cm="1">
        <f t="array" ref="H84">INDEX(_xlfn.ANCHORARRAY(_xlfn.XLOOKUP($C84,'-ref_Distribution'!$B$146:$B$150,'-ref_Distribution'!$G$146:$G$150)),RIGHT(H$1,2))</f>
        <v>0</v>
      </c>
      <c r="I84" s="16" cm="1">
        <f t="array" ref="I84">INDEX(_xlfn.ANCHORARRAY(_xlfn.XLOOKUP($C84,'-ref_Distribution'!$B$146:$B$150,'-ref_Distribution'!$G$146:$G$150)),RIGHT(I$1,2))</f>
        <v>1</v>
      </c>
      <c r="J84" s="16" cm="1">
        <f t="array" ref="J84">INDEX(_xlfn.ANCHORARRAY(_xlfn.XLOOKUP($C84,'-ref_Distribution'!$B$146:$B$150,'-ref_Distribution'!$G$146:$G$150)),RIGHT(J$1,2))</f>
        <v>1</v>
      </c>
      <c r="K84" s="16" cm="1">
        <f t="array" ref="K84">INDEX(_xlfn.ANCHORARRAY(_xlfn.XLOOKUP($C84,'-ref_Distribution'!$B$146:$B$150,'-ref_Distribution'!$G$146:$G$150)),RIGHT(K$1,2))</f>
        <v>2</v>
      </c>
      <c r="L84" s="16" cm="1">
        <f t="array" ref="L84">INDEX(_xlfn.ANCHORARRAY(_xlfn.XLOOKUP($C84,'-ref_Distribution'!$B$146:$B$150,'-ref_Distribution'!$G$146:$G$150)),RIGHT(L$1,2))</f>
        <v>3</v>
      </c>
      <c r="M84" s="16" cm="1">
        <f t="array" ref="M84">INDEX(_xlfn.ANCHORARRAY(_xlfn.XLOOKUP($C84,'-ref_Distribution'!$B$146:$B$150,'-ref_Distribution'!$G$146:$G$150)),RIGHT(M$1,2))</f>
        <v>5</v>
      </c>
      <c r="N84" s="16" cm="1">
        <f t="array" ref="N84">INDEX(_xlfn.ANCHORARRAY(_xlfn.XLOOKUP($C84,'-ref_Distribution'!$B$146:$B$150,'-ref_Distribution'!$G$146:$G$150)),RIGHT(N$1,2))</f>
        <v>9</v>
      </c>
      <c r="O84" s="16" cm="1">
        <f t="array" ref="O84">INDEX(_xlfn.ANCHORARRAY(_xlfn.XLOOKUP($C84,'-ref_Distribution'!$B$146:$B$150,'-ref_Distribution'!$G$146:$G$150)),RIGHT(O$1,2))</f>
        <v>14</v>
      </c>
      <c r="P84" s="16" cm="1">
        <f t="array" ref="P84">INDEX(_xlfn.ANCHORARRAY(_xlfn.XLOOKUP($C84,'-ref_Distribution'!$B$146:$B$150,'-ref_Distribution'!$G$146:$G$150)),RIGHT(P$1,2))</f>
        <v>20</v>
      </c>
      <c r="Q84" s="16" cm="1">
        <f t="array" ref="Q84">INDEX(_xlfn.ANCHORARRAY(_xlfn.XLOOKUP($C84,'-ref_Distribution'!$B$146:$B$150,'-ref_Distribution'!$G$146:$G$150)),RIGHT(Q$1,2))</f>
        <v>28</v>
      </c>
      <c r="R84" s="16" cm="1">
        <f t="array" ref="R84">INDEX(_xlfn.ANCHORARRAY(_xlfn.XLOOKUP($C84,'-ref_Distribution'!$B$146:$B$150,'-ref_Distribution'!$G$146:$G$150)),RIGHT(R$1,2))</f>
        <v>38</v>
      </c>
      <c r="S84" s="16" cm="1">
        <f t="array" ref="S84">INDEX(_xlfn.ANCHORARRAY(_xlfn.XLOOKUP($C84,'-ref_Distribution'!$B$146:$B$150,'-ref_Distribution'!$G$146:$G$150)),RIGHT(S$1,2))</f>
        <v>48</v>
      </c>
      <c r="T84" s="16" cm="1">
        <f t="array" ref="T84">INDEX(_xlfn.ANCHORARRAY(_xlfn.XLOOKUP($C84,'-ref_Distribution'!$B$146:$B$150,'-ref_Distribution'!$G$146:$G$150)),RIGHT(T$1,2))</f>
        <v>59</v>
      </c>
      <c r="U84" s="16" cm="1">
        <f t="array" ref="U84">INDEX(_xlfn.ANCHORARRAY(_xlfn.XLOOKUP($C84,'-ref_Distribution'!$B$146:$B$150,'-ref_Distribution'!$G$146:$G$150)),RIGHT(U$1,2))</f>
        <v>69</v>
      </c>
      <c r="V84" s="16" cm="1">
        <f t="array" ref="V84">INDEX(_xlfn.ANCHORARRAY(_xlfn.XLOOKUP($C84,'-ref_Distribution'!$B$146:$B$150,'-ref_Distribution'!$G$146:$G$150)),RIGHT(V$1,2))</f>
        <v>78</v>
      </c>
      <c r="W84" s="16" cm="1">
        <f t="array" ref="W84">INDEX(_xlfn.ANCHORARRAY(_xlfn.XLOOKUP($C84,'-ref_Distribution'!$B$146:$B$150,'-ref_Distribution'!$G$146:$G$150)),RIGHT(W$1,2))</f>
        <v>83</v>
      </c>
      <c r="X84" s="16" cm="1">
        <f t="array" ref="X84">INDEX(_xlfn.ANCHORARRAY(_xlfn.XLOOKUP($C84,'-ref_Distribution'!$B$146:$B$150,'-ref_Distribution'!$G$146:$G$150)),RIGHT(X$1,2))</f>
        <v>0</v>
      </c>
      <c r="Y84" s="16" cm="1">
        <f t="array" ref="Y84">INDEX(_xlfn.ANCHORARRAY(_xlfn.XLOOKUP($C84,'-ref_Distribution'!$B$146:$B$150,'-ref_Distribution'!$G$146:$G$150)),RIGHT(Y$1,2))</f>
        <v>0</v>
      </c>
      <c r="Z84" s="16" cm="1">
        <f t="array" ref="Z84">INDEX(_xlfn.ANCHORARRAY(_xlfn.XLOOKUP($C84,'-ref_Distribution'!$B$146:$B$150,'-ref_Distribution'!$G$146:$G$150)),RIGHT(Z$1,2))</f>
        <v>0</v>
      </c>
      <c r="AA84" s="16" cm="1">
        <f t="array" ref="AA84">INDEX(_xlfn.ANCHORARRAY(_xlfn.XLOOKUP($C84,'-ref_Distribution'!$B$146:$B$150,'-ref_Distribution'!$G$146:$G$150)),RIGHT(AA$1,2))</f>
        <v>0</v>
      </c>
      <c r="AB84" s="16" cm="1">
        <f t="array" ref="AB84">INDEX(_xlfn.ANCHORARRAY(_xlfn.XLOOKUP($C84,'-ref_Distribution'!$B$146:$B$150,'-ref_Distribution'!$G$146:$G$150)),RIGHT(AB$1,2))</f>
        <v>0</v>
      </c>
      <c r="AC84" s="16" cm="1">
        <f t="array" ref="AC84">INDEX(_xlfn.ANCHORARRAY(_xlfn.XLOOKUP($C84,'-ref_Distribution'!$B$146:$B$150,'-ref_Distribution'!$G$146:$G$150)),RIGHT(AC$1,2))</f>
        <v>1</v>
      </c>
      <c r="AD84" s="16" cm="1">
        <f t="array" ref="AD84">INDEX(_xlfn.ANCHORARRAY(_xlfn.XLOOKUP($C84,'-ref_Distribution'!$B$146:$B$150,'-ref_Distribution'!$G$146:$G$150)),RIGHT(AD$1,2))</f>
        <v>1</v>
      </c>
      <c r="AE84" s="16" cm="1">
        <f t="array" ref="AE84">INDEX(_xlfn.ANCHORARRAY(_xlfn.XLOOKUP($C84,'-ref_Distribution'!$B$146:$B$150,'-ref_Distribution'!$G$146:$G$150)),RIGHT(AE$1,2))</f>
        <v>2</v>
      </c>
      <c r="AF84" s="16" cm="1">
        <f t="array" ref="AF84">INDEX(_xlfn.ANCHORARRAY(_xlfn.XLOOKUP($C84,'-ref_Distribution'!$B$146:$B$150,'-ref_Distribution'!$G$146:$G$150)),RIGHT(AF$1,2))</f>
        <v>3</v>
      </c>
      <c r="AG84" s="16" cm="1">
        <f t="array" ref="AG84">INDEX(_xlfn.ANCHORARRAY(_xlfn.XLOOKUP($C84,'-ref_Distribution'!$B$146:$B$150,'-ref_Distribution'!$G$146:$G$150)),RIGHT(AG$1,2))</f>
        <v>5</v>
      </c>
      <c r="AH84" s="16" cm="1">
        <f t="array" ref="AH84">INDEX(_xlfn.ANCHORARRAY(_xlfn.XLOOKUP($C84,'-ref_Distribution'!$B$146:$B$150,'-ref_Distribution'!$G$146:$G$150)),RIGHT(AH$1,2))</f>
        <v>9</v>
      </c>
      <c r="AI84" s="16" cm="1">
        <f t="array" ref="AI84">INDEX(_xlfn.ANCHORARRAY(_xlfn.XLOOKUP($C84,'-ref_Distribution'!$B$146:$B$150,'-ref_Distribution'!$G$146:$G$150)),RIGHT(AI$1,2))</f>
        <v>14</v>
      </c>
      <c r="AJ84" s="16" cm="1">
        <f t="array" ref="AJ84">INDEX(_xlfn.ANCHORARRAY(_xlfn.XLOOKUP($C84,'-ref_Distribution'!$B$146:$B$150,'-ref_Distribution'!$G$146:$G$150)),RIGHT(AJ$1,2))</f>
        <v>20</v>
      </c>
      <c r="AK84" s="16" cm="1">
        <f t="array" ref="AK84">INDEX(_xlfn.ANCHORARRAY(_xlfn.XLOOKUP($C84,'-ref_Distribution'!$B$146:$B$150,'-ref_Distribution'!$G$146:$G$150)),RIGHT(AK$1,2))</f>
        <v>28</v>
      </c>
      <c r="AL84" s="16" cm="1">
        <f t="array" ref="AL84">INDEX(_xlfn.ANCHORARRAY(_xlfn.XLOOKUP($C84,'-ref_Distribution'!$B$146:$B$150,'-ref_Distribution'!$G$146:$G$150)),RIGHT(AL$1,2))</f>
        <v>38</v>
      </c>
      <c r="AM84" s="16" cm="1">
        <f t="array" ref="AM84">INDEX(_xlfn.ANCHORARRAY(_xlfn.XLOOKUP($C84,'-ref_Distribution'!$B$146:$B$150,'-ref_Distribution'!$G$146:$G$150)),RIGHT(AM$1,2))</f>
        <v>48</v>
      </c>
      <c r="AN84" s="16" cm="1">
        <f t="array" ref="AN84">INDEX(_xlfn.ANCHORARRAY(_xlfn.XLOOKUP($C84,'-ref_Distribution'!$B$146:$B$150,'-ref_Distribution'!$G$146:$G$150)),RIGHT(AN$1,2))</f>
        <v>59</v>
      </c>
      <c r="AO84" s="16" cm="1">
        <f t="array" ref="AO84">INDEX(_xlfn.ANCHORARRAY(_xlfn.XLOOKUP($C84,'-ref_Distribution'!$B$146:$B$150,'-ref_Distribution'!$G$146:$G$150)),RIGHT(AO$1,2))</f>
        <v>69</v>
      </c>
      <c r="AP84" s="16" cm="1">
        <f t="array" ref="AP84">INDEX(_xlfn.ANCHORARRAY(_xlfn.XLOOKUP($C84,'-ref_Distribution'!$B$146:$B$150,'-ref_Distribution'!$G$146:$G$150)),RIGHT(AP$1,2))</f>
        <v>78</v>
      </c>
      <c r="AQ84" s="16" cm="1">
        <f t="array" ref="AQ84">INDEX(_xlfn.ANCHORARRAY(_xlfn.XLOOKUP($C84,'-ref_Distribution'!$B$146:$B$150,'-ref_Distribution'!$G$146:$G$150)),RIGHT(AQ$1,2))</f>
        <v>83</v>
      </c>
      <c r="AR84" s="16" cm="1">
        <f t="array" ref="AR84">INDEX(_xlfn.ANCHORARRAY(_xlfn.XLOOKUP($C84,'-ref_Distribution'!$B$146:$B$150,'-ref_Distribution'!$G$146:$G$150)),RIGHT(AR$1,2))</f>
        <v>0</v>
      </c>
      <c r="AS84" s="16" cm="1">
        <f t="array" ref="AS84">INDEX(_xlfn.ANCHORARRAY(_xlfn.XLOOKUP($C84,'-ref_Distribution'!$B$146:$B$150,'-ref_Distribution'!$G$146:$G$150)),RIGHT(AS$1,2))</f>
        <v>0</v>
      </c>
      <c r="AT84" s="16" cm="1">
        <f t="array" ref="AT84">INDEX(_xlfn.ANCHORARRAY(_xlfn.XLOOKUP($C84,'-ref_Distribution'!$B$146:$B$150,'-ref_Distribution'!$G$146:$G$150)),RIGHT(AT$1,2))</f>
        <v>0</v>
      </c>
      <c r="AU84" s="16" cm="1">
        <f t="array" ref="AU84">INDEX(_xlfn.ANCHORARRAY(_xlfn.XLOOKUP($C84,'-ref_Distribution'!$B$146:$B$150,'-ref_Distribution'!$G$146:$G$150)),RIGHT(AU$1,2))</f>
        <v>0</v>
      </c>
      <c r="AV84" s="16" cm="1">
        <f t="array" ref="AV84">INDEX(_xlfn.ANCHORARRAY(_xlfn.XLOOKUP($C84,'-ref_Distribution'!$B$146:$B$150,'-ref_Distribution'!$G$146:$G$150)),RIGHT(AV$1,2))</f>
        <v>0</v>
      </c>
      <c r="AW84" s="16" cm="1">
        <f t="array" ref="AW84">INDEX(_xlfn.ANCHORARRAY(_xlfn.XLOOKUP($C84,'-ref_Distribution'!$B$146:$B$150,'-ref_Distribution'!$G$146:$G$150)),RIGHT(AW$1,2))</f>
        <v>1</v>
      </c>
      <c r="AX84" s="16" cm="1">
        <f t="array" ref="AX84">INDEX(_xlfn.ANCHORARRAY(_xlfn.XLOOKUP($C84,'-ref_Distribution'!$B$146:$B$150,'-ref_Distribution'!$G$146:$G$150)),RIGHT(AX$1,2))</f>
        <v>1</v>
      </c>
      <c r="AY84" s="16" cm="1">
        <f t="array" ref="AY84">INDEX(_xlfn.ANCHORARRAY(_xlfn.XLOOKUP($C84,'-ref_Distribution'!$B$146:$B$150,'-ref_Distribution'!$G$146:$G$150)),RIGHT(AY$1,2))</f>
        <v>2</v>
      </c>
      <c r="AZ84" s="16" cm="1">
        <f t="array" ref="AZ84">INDEX(_xlfn.ANCHORARRAY(_xlfn.XLOOKUP($C84,'-ref_Distribution'!$B$146:$B$150,'-ref_Distribution'!$G$146:$G$150)),RIGHT(AZ$1,2))</f>
        <v>3</v>
      </c>
      <c r="BA84" s="16" cm="1">
        <f t="array" ref="BA84">INDEX(_xlfn.ANCHORARRAY(_xlfn.XLOOKUP($C84,'-ref_Distribution'!$B$146:$B$150,'-ref_Distribution'!$G$146:$G$150)),RIGHT(BA$1,2))</f>
        <v>5</v>
      </c>
      <c r="BB84" s="16" cm="1">
        <f t="array" ref="BB84">INDEX(_xlfn.ANCHORARRAY(_xlfn.XLOOKUP($C84,'-ref_Distribution'!$B$146:$B$150,'-ref_Distribution'!$G$146:$G$150)),RIGHT(BB$1,2))</f>
        <v>9</v>
      </c>
      <c r="BC84" s="16" cm="1">
        <f t="array" ref="BC84">INDEX(_xlfn.ANCHORARRAY(_xlfn.XLOOKUP($C84,'-ref_Distribution'!$B$146:$B$150,'-ref_Distribution'!$G$146:$G$150)),RIGHT(BC$1,2))</f>
        <v>14</v>
      </c>
      <c r="BD84" s="16" cm="1">
        <f t="array" ref="BD84">INDEX(_xlfn.ANCHORARRAY(_xlfn.XLOOKUP($C84,'-ref_Distribution'!$B$146:$B$150,'-ref_Distribution'!$G$146:$G$150)),RIGHT(BD$1,2))</f>
        <v>20</v>
      </c>
      <c r="BE84" s="16" cm="1">
        <f t="array" ref="BE84">INDEX(_xlfn.ANCHORARRAY(_xlfn.XLOOKUP($C84,'-ref_Distribution'!$B$146:$B$150,'-ref_Distribution'!$G$146:$G$150)),RIGHT(BE$1,2))</f>
        <v>28</v>
      </c>
      <c r="BF84" s="16" cm="1">
        <f t="array" ref="BF84">INDEX(_xlfn.ANCHORARRAY(_xlfn.XLOOKUP($C84,'-ref_Distribution'!$B$146:$B$150,'-ref_Distribution'!$G$146:$G$150)),RIGHT(BF$1,2))</f>
        <v>38</v>
      </c>
      <c r="BG84" s="16" cm="1">
        <f t="array" ref="BG84">INDEX(_xlfn.ANCHORARRAY(_xlfn.XLOOKUP($C84,'-ref_Distribution'!$B$146:$B$150,'-ref_Distribution'!$G$146:$G$150)),RIGHT(BG$1,2))</f>
        <v>48</v>
      </c>
      <c r="BH84" s="16" cm="1">
        <f t="array" ref="BH84">INDEX(_xlfn.ANCHORARRAY(_xlfn.XLOOKUP($C84,'-ref_Distribution'!$B$146:$B$150,'-ref_Distribution'!$G$146:$G$150)),RIGHT(BH$1,2))</f>
        <v>59</v>
      </c>
      <c r="BI84" s="16" cm="1">
        <f t="array" ref="BI84">INDEX(_xlfn.ANCHORARRAY(_xlfn.XLOOKUP($C84,'-ref_Distribution'!$B$146:$B$150,'-ref_Distribution'!$G$146:$G$150)),RIGHT(BI$1,2))</f>
        <v>69</v>
      </c>
      <c r="BJ84" s="16" cm="1">
        <f t="array" ref="BJ84">INDEX(_xlfn.ANCHORARRAY(_xlfn.XLOOKUP($C84,'-ref_Distribution'!$B$146:$B$150,'-ref_Distribution'!$G$146:$G$150)),RIGHT(BJ$1,2))</f>
        <v>78</v>
      </c>
      <c r="BK84" s="16" cm="1">
        <f t="array" ref="BK84">INDEX(_xlfn.ANCHORARRAY(_xlfn.XLOOKUP($C84,'-ref_Distribution'!$B$146:$B$150,'-ref_Distribution'!$G$146:$G$150)),RIGHT(BK$1,2))</f>
        <v>83</v>
      </c>
      <c r="BL84" s="16" cm="1">
        <f t="array" ref="BL84">INDEX(_xlfn.ANCHORARRAY(_xlfn.XLOOKUP($C84,'-ref_Distribution'!$B$146:$B$150,'-ref_Distribution'!$G$146:$G$150)),RIGHT(BL$1,2))</f>
        <v>0</v>
      </c>
      <c r="BM84" s="16" cm="1">
        <f t="array" ref="BM84">INDEX(_xlfn.ANCHORARRAY(_xlfn.XLOOKUP($C84,'-ref_Distribution'!$B$146:$B$150,'-ref_Distribution'!$G$146:$G$150)),RIGHT(BM$1,2))</f>
        <v>0</v>
      </c>
      <c r="BN84" s="16" cm="1">
        <f t="array" ref="BN84">INDEX(_xlfn.ANCHORARRAY(_xlfn.XLOOKUP($C84,'-ref_Distribution'!$B$146:$B$150,'-ref_Distribution'!$G$146:$G$150)),RIGHT(BN$1,2))</f>
        <v>0</v>
      </c>
      <c r="BO84" s="16" cm="1">
        <f t="array" ref="BO84">INDEX(_xlfn.ANCHORARRAY(_xlfn.XLOOKUP($C84,'-ref_Distribution'!$B$146:$B$150,'-ref_Distribution'!$G$146:$G$150)),RIGHT(BO$1,2))</f>
        <v>0</v>
      </c>
      <c r="BP84" s="16" cm="1">
        <f t="array" ref="BP84">INDEX(_xlfn.ANCHORARRAY(_xlfn.XLOOKUP($C84,'-ref_Distribution'!$B$146:$B$150,'-ref_Distribution'!$G$146:$G$150)),RIGHT(BP$1,2))</f>
        <v>0</v>
      </c>
      <c r="BQ84" s="16" cm="1">
        <f t="array" ref="BQ84">INDEX(_xlfn.ANCHORARRAY(_xlfn.XLOOKUP($C84,'-ref_Distribution'!$B$146:$B$150,'-ref_Distribution'!$G$146:$G$150)),RIGHT(BQ$1,2))</f>
        <v>1</v>
      </c>
      <c r="BR84" s="16" cm="1">
        <f t="array" ref="BR84">INDEX(_xlfn.ANCHORARRAY(_xlfn.XLOOKUP($C84,'-ref_Distribution'!$B$146:$B$150,'-ref_Distribution'!$G$146:$G$150)),RIGHT(BR$1,2))</f>
        <v>1</v>
      </c>
      <c r="BS84" s="16" cm="1">
        <f t="array" ref="BS84">INDEX(_xlfn.ANCHORARRAY(_xlfn.XLOOKUP($C84,'-ref_Distribution'!$B$146:$B$150,'-ref_Distribution'!$G$146:$G$150)),RIGHT(BS$1,2))</f>
        <v>2</v>
      </c>
      <c r="BT84" s="16" cm="1">
        <f t="array" ref="BT84">INDEX(_xlfn.ANCHORARRAY(_xlfn.XLOOKUP($C84,'-ref_Distribution'!$B$146:$B$150,'-ref_Distribution'!$G$146:$G$150)),RIGHT(BT$1,2))</f>
        <v>3</v>
      </c>
      <c r="BU84" s="16" cm="1">
        <f t="array" ref="BU84">INDEX(_xlfn.ANCHORARRAY(_xlfn.XLOOKUP($C84,'-ref_Distribution'!$B$146:$B$150,'-ref_Distribution'!$G$146:$G$150)),RIGHT(BU$1,2))</f>
        <v>5</v>
      </c>
      <c r="BV84" s="16" cm="1">
        <f t="array" ref="BV84">INDEX(_xlfn.ANCHORARRAY(_xlfn.XLOOKUP($C84,'-ref_Distribution'!$B$146:$B$150,'-ref_Distribution'!$G$146:$G$150)),RIGHT(BV$1,2))</f>
        <v>9</v>
      </c>
      <c r="BW84" s="16" cm="1">
        <f t="array" ref="BW84">INDEX(_xlfn.ANCHORARRAY(_xlfn.XLOOKUP($C84,'-ref_Distribution'!$B$146:$B$150,'-ref_Distribution'!$G$146:$G$150)),RIGHT(BW$1,2))</f>
        <v>14</v>
      </c>
      <c r="BX84" s="16" cm="1">
        <f t="array" ref="BX84">INDEX(_xlfn.ANCHORARRAY(_xlfn.XLOOKUP($C84,'-ref_Distribution'!$B$146:$B$150,'-ref_Distribution'!$G$146:$G$150)),RIGHT(BX$1,2))</f>
        <v>20</v>
      </c>
      <c r="BY84" s="16" cm="1">
        <f t="array" ref="BY84">INDEX(_xlfn.ANCHORARRAY(_xlfn.XLOOKUP($C84,'-ref_Distribution'!$B$146:$B$150,'-ref_Distribution'!$G$146:$G$150)),RIGHT(BY$1,2))</f>
        <v>28</v>
      </c>
      <c r="BZ84" s="16" cm="1">
        <f t="array" ref="BZ84">INDEX(_xlfn.ANCHORARRAY(_xlfn.XLOOKUP($C84,'-ref_Distribution'!$B$146:$B$150,'-ref_Distribution'!$G$146:$G$150)),RIGHT(BZ$1,2))</f>
        <v>38</v>
      </c>
      <c r="CA84" s="16" cm="1">
        <f t="array" ref="CA84">INDEX(_xlfn.ANCHORARRAY(_xlfn.XLOOKUP($C84,'-ref_Distribution'!$B$146:$B$150,'-ref_Distribution'!$G$146:$G$150)),RIGHT(CA$1,2))</f>
        <v>48</v>
      </c>
      <c r="CB84" s="16" cm="1">
        <f t="array" ref="CB84">INDEX(_xlfn.ANCHORARRAY(_xlfn.XLOOKUP($C84,'-ref_Distribution'!$B$146:$B$150,'-ref_Distribution'!$G$146:$G$150)),RIGHT(CB$1,2))</f>
        <v>59</v>
      </c>
      <c r="CC84" s="16" cm="1">
        <f t="array" ref="CC84">INDEX(_xlfn.ANCHORARRAY(_xlfn.XLOOKUP($C84,'-ref_Distribution'!$B$146:$B$150,'-ref_Distribution'!$G$146:$G$150)),RIGHT(CC$1,2))</f>
        <v>69</v>
      </c>
      <c r="CD84" s="16" cm="1">
        <f t="array" ref="CD84">INDEX(_xlfn.ANCHORARRAY(_xlfn.XLOOKUP($C84,'-ref_Distribution'!$B$146:$B$150,'-ref_Distribution'!$G$146:$G$150)),RIGHT(CD$1,2))</f>
        <v>78</v>
      </c>
      <c r="CE84" s="16" cm="1">
        <f t="array" ref="CE84">INDEX(_xlfn.ANCHORARRAY(_xlfn.XLOOKUP($C84,'-ref_Distribution'!$B$146:$B$150,'-ref_Distribution'!$G$146:$G$150)),RIGHT(CE$1,2))</f>
        <v>83</v>
      </c>
    </row>
    <row r="85" spans="1:83" x14ac:dyDescent="0.2">
      <c r="A85" s="16">
        <v>310507</v>
      </c>
      <c r="B85" s="16" t="s">
        <v>387</v>
      </c>
      <c r="C85" s="16">
        <v>2</v>
      </c>
      <c r="D85" s="16" cm="1">
        <f t="array" ref="D85">INDEX(_xlfn.ANCHORARRAY(_xlfn.XLOOKUP($C85,'-ref_Distribution'!$B$146:$B$150,'-ref_Distribution'!$G$146:$G$150)),RIGHT(D$1,2))</f>
        <v>75</v>
      </c>
      <c r="E85" s="16" cm="1">
        <f t="array" ref="E85">INDEX(_xlfn.ANCHORARRAY(_xlfn.XLOOKUP($C85,'-ref_Distribution'!$B$146:$B$150,'-ref_Distribution'!$G$146:$G$150)),RIGHT(E$1,2))</f>
        <v>94</v>
      </c>
      <c r="F85" s="16" cm="1">
        <f t="array" ref="F85">INDEX(_xlfn.ANCHORARRAY(_xlfn.XLOOKUP($C85,'-ref_Distribution'!$B$146:$B$150,'-ref_Distribution'!$G$146:$G$150)),RIGHT(F$1,2))</f>
        <v>115</v>
      </c>
      <c r="G85" s="16" cm="1">
        <f t="array" ref="G85">INDEX(_xlfn.ANCHORARRAY(_xlfn.XLOOKUP($C85,'-ref_Distribution'!$B$146:$B$150,'-ref_Distribution'!$G$146:$G$150)),RIGHT(G$1,2))</f>
        <v>137</v>
      </c>
      <c r="H85" s="16" cm="1">
        <f t="array" ref="H85">INDEX(_xlfn.ANCHORARRAY(_xlfn.XLOOKUP($C85,'-ref_Distribution'!$B$146:$B$150,'-ref_Distribution'!$G$146:$G$150)),RIGHT(H$1,2))</f>
        <v>160</v>
      </c>
      <c r="I85" s="16" cm="1">
        <f t="array" ref="I85">INDEX(_xlfn.ANCHORARRAY(_xlfn.XLOOKUP($C85,'-ref_Distribution'!$B$146:$B$150,'-ref_Distribution'!$G$146:$G$150)),RIGHT(I$1,2))</f>
        <v>183</v>
      </c>
      <c r="J85" s="16" cm="1">
        <f t="array" ref="J85">INDEX(_xlfn.ANCHORARRAY(_xlfn.XLOOKUP($C85,'-ref_Distribution'!$B$146:$B$150,'-ref_Distribution'!$G$146:$G$150)),RIGHT(J$1,2))</f>
        <v>203</v>
      </c>
      <c r="K85" s="16" cm="1">
        <f t="array" ref="K85">INDEX(_xlfn.ANCHORARRAY(_xlfn.XLOOKUP($C85,'-ref_Distribution'!$B$146:$B$150,'-ref_Distribution'!$G$146:$G$150)),RIGHT(K$1,2))</f>
        <v>221</v>
      </c>
      <c r="L85" s="16" cm="1">
        <f t="array" ref="L85">INDEX(_xlfn.ANCHORARRAY(_xlfn.XLOOKUP($C85,'-ref_Distribution'!$B$146:$B$150,'-ref_Distribution'!$G$146:$G$150)),RIGHT(L$1,2))</f>
        <v>234</v>
      </c>
      <c r="M85" s="16" cm="1">
        <f t="array" ref="M85">INDEX(_xlfn.ANCHORARRAY(_xlfn.XLOOKUP($C85,'-ref_Distribution'!$B$146:$B$150,'-ref_Distribution'!$G$146:$G$150)),RIGHT(M$1,2))</f>
        <v>243</v>
      </c>
      <c r="N85" s="16" cm="1">
        <f t="array" ref="N85">INDEX(_xlfn.ANCHORARRAY(_xlfn.XLOOKUP($C85,'-ref_Distribution'!$B$146:$B$150,'-ref_Distribution'!$G$146:$G$150)),RIGHT(N$1,2))</f>
        <v>245</v>
      </c>
      <c r="O85" s="16" cm="1">
        <f t="array" ref="O85">INDEX(_xlfn.ANCHORARRAY(_xlfn.XLOOKUP($C85,'-ref_Distribution'!$B$146:$B$150,'-ref_Distribution'!$G$146:$G$150)),RIGHT(O$1,2))</f>
        <v>243</v>
      </c>
      <c r="P85" s="16" cm="1">
        <f t="array" ref="P85">INDEX(_xlfn.ANCHORARRAY(_xlfn.XLOOKUP($C85,'-ref_Distribution'!$B$146:$B$150,'-ref_Distribution'!$G$146:$G$150)),RIGHT(P$1,2))</f>
        <v>234</v>
      </c>
      <c r="Q85" s="16" cm="1">
        <f t="array" ref="Q85">INDEX(_xlfn.ANCHORARRAY(_xlfn.XLOOKUP($C85,'-ref_Distribution'!$B$146:$B$150,'-ref_Distribution'!$G$146:$G$150)),RIGHT(Q$1,2))</f>
        <v>221</v>
      </c>
      <c r="R85" s="16" cm="1">
        <f t="array" ref="R85">INDEX(_xlfn.ANCHORARRAY(_xlfn.XLOOKUP($C85,'-ref_Distribution'!$B$146:$B$150,'-ref_Distribution'!$G$146:$G$150)),RIGHT(R$1,2))</f>
        <v>203</v>
      </c>
      <c r="S85" s="16" cm="1">
        <f t="array" ref="S85">INDEX(_xlfn.ANCHORARRAY(_xlfn.XLOOKUP($C85,'-ref_Distribution'!$B$146:$B$150,'-ref_Distribution'!$G$146:$G$150)),RIGHT(S$1,2))</f>
        <v>183</v>
      </c>
      <c r="T85" s="16" cm="1">
        <f t="array" ref="T85">INDEX(_xlfn.ANCHORARRAY(_xlfn.XLOOKUP($C85,'-ref_Distribution'!$B$146:$B$150,'-ref_Distribution'!$G$146:$G$150)),RIGHT(T$1,2))</f>
        <v>160</v>
      </c>
      <c r="U85" s="16" cm="1">
        <f t="array" ref="U85">INDEX(_xlfn.ANCHORARRAY(_xlfn.XLOOKUP($C85,'-ref_Distribution'!$B$146:$B$150,'-ref_Distribution'!$G$146:$G$150)),RIGHT(U$1,2))</f>
        <v>137</v>
      </c>
      <c r="V85" s="16" cm="1">
        <f t="array" ref="V85">INDEX(_xlfn.ANCHORARRAY(_xlfn.XLOOKUP($C85,'-ref_Distribution'!$B$146:$B$150,'-ref_Distribution'!$G$146:$G$150)),RIGHT(V$1,2))</f>
        <v>115</v>
      </c>
      <c r="W85" s="16" cm="1">
        <f t="array" ref="W85">INDEX(_xlfn.ANCHORARRAY(_xlfn.XLOOKUP($C85,'-ref_Distribution'!$B$146:$B$150,'-ref_Distribution'!$G$146:$G$150)),RIGHT(W$1,2))</f>
        <v>94</v>
      </c>
      <c r="X85" s="16" cm="1">
        <f t="array" ref="X85">INDEX(_xlfn.ANCHORARRAY(_xlfn.XLOOKUP($C85,'-ref_Distribution'!$B$146:$B$150,'-ref_Distribution'!$G$146:$G$150)),RIGHT(X$1,2))</f>
        <v>75</v>
      </c>
      <c r="Y85" s="16" cm="1">
        <f t="array" ref="Y85">INDEX(_xlfn.ANCHORARRAY(_xlfn.XLOOKUP($C85,'-ref_Distribution'!$B$146:$B$150,'-ref_Distribution'!$G$146:$G$150)),RIGHT(Y$1,2))</f>
        <v>94</v>
      </c>
      <c r="Z85" s="16" cm="1">
        <f t="array" ref="Z85">INDEX(_xlfn.ANCHORARRAY(_xlfn.XLOOKUP($C85,'-ref_Distribution'!$B$146:$B$150,'-ref_Distribution'!$G$146:$G$150)),RIGHT(Z$1,2))</f>
        <v>115</v>
      </c>
      <c r="AA85" s="16" cm="1">
        <f t="array" ref="AA85">INDEX(_xlfn.ANCHORARRAY(_xlfn.XLOOKUP($C85,'-ref_Distribution'!$B$146:$B$150,'-ref_Distribution'!$G$146:$G$150)),RIGHT(AA$1,2))</f>
        <v>137</v>
      </c>
      <c r="AB85" s="16" cm="1">
        <f t="array" ref="AB85">INDEX(_xlfn.ANCHORARRAY(_xlfn.XLOOKUP($C85,'-ref_Distribution'!$B$146:$B$150,'-ref_Distribution'!$G$146:$G$150)),RIGHT(AB$1,2))</f>
        <v>160</v>
      </c>
      <c r="AC85" s="16" cm="1">
        <f t="array" ref="AC85">INDEX(_xlfn.ANCHORARRAY(_xlfn.XLOOKUP($C85,'-ref_Distribution'!$B$146:$B$150,'-ref_Distribution'!$G$146:$G$150)),RIGHT(AC$1,2))</f>
        <v>183</v>
      </c>
      <c r="AD85" s="16" cm="1">
        <f t="array" ref="AD85">INDEX(_xlfn.ANCHORARRAY(_xlfn.XLOOKUP($C85,'-ref_Distribution'!$B$146:$B$150,'-ref_Distribution'!$G$146:$G$150)),RIGHT(AD$1,2))</f>
        <v>203</v>
      </c>
      <c r="AE85" s="16" cm="1">
        <f t="array" ref="AE85">INDEX(_xlfn.ANCHORARRAY(_xlfn.XLOOKUP($C85,'-ref_Distribution'!$B$146:$B$150,'-ref_Distribution'!$G$146:$G$150)),RIGHT(AE$1,2))</f>
        <v>221</v>
      </c>
      <c r="AF85" s="16" cm="1">
        <f t="array" ref="AF85">INDEX(_xlfn.ANCHORARRAY(_xlfn.XLOOKUP($C85,'-ref_Distribution'!$B$146:$B$150,'-ref_Distribution'!$G$146:$G$150)),RIGHT(AF$1,2))</f>
        <v>234</v>
      </c>
      <c r="AG85" s="16" cm="1">
        <f t="array" ref="AG85">INDEX(_xlfn.ANCHORARRAY(_xlfn.XLOOKUP($C85,'-ref_Distribution'!$B$146:$B$150,'-ref_Distribution'!$G$146:$G$150)),RIGHT(AG$1,2))</f>
        <v>243</v>
      </c>
      <c r="AH85" s="16" cm="1">
        <f t="array" ref="AH85">INDEX(_xlfn.ANCHORARRAY(_xlfn.XLOOKUP($C85,'-ref_Distribution'!$B$146:$B$150,'-ref_Distribution'!$G$146:$G$150)),RIGHT(AH$1,2))</f>
        <v>245</v>
      </c>
      <c r="AI85" s="16" cm="1">
        <f t="array" ref="AI85">INDEX(_xlfn.ANCHORARRAY(_xlfn.XLOOKUP($C85,'-ref_Distribution'!$B$146:$B$150,'-ref_Distribution'!$G$146:$G$150)),RIGHT(AI$1,2))</f>
        <v>243</v>
      </c>
      <c r="AJ85" s="16" cm="1">
        <f t="array" ref="AJ85">INDEX(_xlfn.ANCHORARRAY(_xlfn.XLOOKUP($C85,'-ref_Distribution'!$B$146:$B$150,'-ref_Distribution'!$G$146:$G$150)),RIGHT(AJ$1,2))</f>
        <v>234</v>
      </c>
      <c r="AK85" s="16" cm="1">
        <f t="array" ref="AK85">INDEX(_xlfn.ANCHORARRAY(_xlfn.XLOOKUP($C85,'-ref_Distribution'!$B$146:$B$150,'-ref_Distribution'!$G$146:$G$150)),RIGHT(AK$1,2))</f>
        <v>221</v>
      </c>
      <c r="AL85" s="16" cm="1">
        <f t="array" ref="AL85">INDEX(_xlfn.ANCHORARRAY(_xlfn.XLOOKUP($C85,'-ref_Distribution'!$B$146:$B$150,'-ref_Distribution'!$G$146:$G$150)),RIGHT(AL$1,2))</f>
        <v>203</v>
      </c>
      <c r="AM85" s="16" cm="1">
        <f t="array" ref="AM85">INDEX(_xlfn.ANCHORARRAY(_xlfn.XLOOKUP($C85,'-ref_Distribution'!$B$146:$B$150,'-ref_Distribution'!$G$146:$G$150)),RIGHT(AM$1,2))</f>
        <v>183</v>
      </c>
      <c r="AN85" s="16" cm="1">
        <f t="array" ref="AN85">INDEX(_xlfn.ANCHORARRAY(_xlfn.XLOOKUP($C85,'-ref_Distribution'!$B$146:$B$150,'-ref_Distribution'!$G$146:$G$150)),RIGHT(AN$1,2))</f>
        <v>160</v>
      </c>
      <c r="AO85" s="16" cm="1">
        <f t="array" ref="AO85">INDEX(_xlfn.ANCHORARRAY(_xlfn.XLOOKUP($C85,'-ref_Distribution'!$B$146:$B$150,'-ref_Distribution'!$G$146:$G$150)),RIGHT(AO$1,2))</f>
        <v>137</v>
      </c>
      <c r="AP85" s="16" cm="1">
        <f t="array" ref="AP85">INDEX(_xlfn.ANCHORARRAY(_xlfn.XLOOKUP($C85,'-ref_Distribution'!$B$146:$B$150,'-ref_Distribution'!$G$146:$G$150)),RIGHT(AP$1,2))</f>
        <v>115</v>
      </c>
      <c r="AQ85" s="16" cm="1">
        <f t="array" ref="AQ85">INDEX(_xlfn.ANCHORARRAY(_xlfn.XLOOKUP($C85,'-ref_Distribution'!$B$146:$B$150,'-ref_Distribution'!$G$146:$G$150)),RIGHT(AQ$1,2))</f>
        <v>94</v>
      </c>
      <c r="AR85" s="16" cm="1">
        <f t="array" ref="AR85">INDEX(_xlfn.ANCHORARRAY(_xlfn.XLOOKUP($C85,'-ref_Distribution'!$B$146:$B$150,'-ref_Distribution'!$G$146:$G$150)),RIGHT(AR$1,2))</f>
        <v>75</v>
      </c>
      <c r="AS85" s="16" cm="1">
        <f t="array" ref="AS85">INDEX(_xlfn.ANCHORARRAY(_xlfn.XLOOKUP($C85,'-ref_Distribution'!$B$146:$B$150,'-ref_Distribution'!$G$146:$G$150)),RIGHT(AS$1,2))</f>
        <v>94</v>
      </c>
      <c r="AT85" s="16" cm="1">
        <f t="array" ref="AT85">INDEX(_xlfn.ANCHORARRAY(_xlfn.XLOOKUP($C85,'-ref_Distribution'!$B$146:$B$150,'-ref_Distribution'!$G$146:$G$150)),RIGHT(AT$1,2))</f>
        <v>115</v>
      </c>
      <c r="AU85" s="16" cm="1">
        <f t="array" ref="AU85">INDEX(_xlfn.ANCHORARRAY(_xlfn.XLOOKUP($C85,'-ref_Distribution'!$B$146:$B$150,'-ref_Distribution'!$G$146:$G$150)),RIGHT(AU$1,2))</f>
        <v>137</v>
      </c>
      <c r="AV85" s="16" cm="1">
        <f t="array" ref="AV85">INDEX(_xlfn.ANCHORARRAY(_xlfn.XLOOKUP($C85,'-ref_Distribution'!$B$146:$B$150,'-ref_Distribution'!$G$146:$G$150)),RIGHT(AV$1,2))</f>
        <v>160</v>
      </c>
      <c r="AW85" s="16" cm="1">
        <f t="array" ref="AW85">INDEX(_xlfn.ANCHORARRAY(_xlfn.XLOOKUP($C85,'-ref_Distribution'!$B$146:$B$150,'-ref_Distribution'!$G$146:$G$150)),RIGHT(AW$1,2))</f>
        <v>183</v>
      </c>
      <c r="AX85" s="16" cm="1">
        <f t="array" ref="AX85">INDEX(_xlfn.ANCHORARRAY(_xlfn.XLOOKUP($C85,'-ref_Distribution'!$B$146:$B$150,'-ref_Distribution'!$G$146:$G$150)),RIGHT(AX$1,2))</f>
        <v>203</v>
      </c>
      <c r="AY85" s="16" cm="1">
        <f t="array" ref="AY85">INDEX(_xlfn.ANCHORARRAY(_xlfn.XLOOKUP($C85,'-ref_Distribution'!$B$146:$B$150,'-ref_Distribution'!$G$146:$G$150)),RIGHT(AY$1,2))</f>
        <v>221</v>
      </c>
      <c r="AZ85" s="16" cm="1">
        <f t="array" ref="AZ85">INDEX(_xlfn.ANCHORARRAY(_xlfn.XLOOKUP($C85,'-ref_Distribution'!$B$146:$B$150,'-ref_Distribution'!$G$146:$G$150)),RIGHT(AZ$1,2))</f>
        <v>234</v>
      </c>
      <c r="BA85" s="16" cm="1">
        <f t="array" ref="BA85">INDEX(_xlfn.ANCHORARRAY(_xlfn.XLOOKUP($C85,'-ref_Distribution'!$B$146:$B$150,'-ref_Distribution'!$G$146:$G$150)),RIGHT(BA$1,2))</f>
        <v>243</v>
      </c>
      <c r="BB85" s="16" cm="1">
        <f t="array" ref="BB85">INDEX(_xlfn.ANCHORARRAY(_xlfn.XLOOKUP($C85,'-ref_Distribution'!$B$146:$B$150,'-ref_Distribution'!$G$146:$G$150)),RIGHT(BB$1,2))</f>
        <v>245</v>
      </c>
      <c r="BC85" s="16" cm="1">
        <f t="array" ref="BC85">INDEX(_xlfn.ANCHORARRAY(_xlfn.XLOOKUP($C85,'-ref_Distribution'!$B$146:$B$150,'-ref_Distribution'!$G$146:$G$150)),RIGHT(BC$1,2))</f>
        <v>243</v>
      </c>
      <c r="BD85" s="16" cm="1">
        <f t="array" ref="BD85">INDEX(_xlfn.ANCHORARRAY(_xlfn.XLOOKUP($C85,'-ref_Distribution'!$B$146:$B$150,'-ref_Distribution'!$G$146:$G$150)),RIGHT(BD$1,2))</f>
        <v>234</v>
      </c>
      <c r="BE85" s="16" cm="1">
        <f t="array" ref="BE85">INDEX(_xlfn.ANCHORARRAY(_xlfn.XLOOKUP($C85,'-ref_Distribution'!$B$146:$B$150,'-ref_Distribution'!$G$146:$G$150)),RIGHT(BE$1,2))</f>
        <v>221</v>
      </c>
      <c r="BF85" s="16" cm="1">
        <f t="array" ref="BF85">INDEX(_xlfn.ANCHORARRAY(_xlfn.XLOOKUP($C85,'-ref_Distribution'!$B$146:$B$150,'-ref_Distribution'!$G$146:$G$150)),RIGHT(BF$1,2))</f>
        <v>203</v>
      </c>
      <c r="BG85" s="16" cm="1">
        <f t="array" ref="BG85">INDEX(_xlfn.ANCHORARRAY(_xlfn.XLOOKUP($C85,'-ref_Distribution'!$B$146:$B$150,'-ref_Distribution'!$G$146:$G$150)),RIGHT(BG$1,2))</f>
        <v>183</v>
      </c>
      <c r="BH85" s="16" cm="1">
        <f t="array" ref="BH85">INDEX(_xlfn.ANCHORARRAY(_xlfn.XLOOKUP($C85,'-ref_Distribution'!$B$146:$B$150,'-ref_Distribution'!$G$146:$G$150)),RIGHT(BH$1,2))</f>
        <v>160</v>
      </c>
      <c r="BI85" s="16" cm="1">
        <f t="array" ref="BI85">INDEX(_xlfn.ANCHORARRAY(_xlfn.XLOOKUP($C85,'-ref_Distribution'!$B$146:$B$150,'-ref_Distribution'!$G$146:$G$150)),RIGHT(BI$1,2))</f>
        <v>137</v>
      </c>
      <c r="BJ85" s="16" cm="1">
        <f t="array" ref="BJ85">INDEX(_xlfn.ANCHORARRAY(_xlfn.XLOOKUP($C85,'-ref_Distribution'!$B$146:$B$150,'-ref_Distribution'!$G$146:$G$150)),RIGHT(BJ$1,2))</f>
        <v>115</v>
      </c>
      <c r="BK85" s="16" cm="1">
        <f t="array" ref="BK85">INDEX(_xlfn.ANCHORARRAY(_xlfn.XLOOKUP($C85,'-ref_Distribution'!$B$146:$B$150,'-ref_Distribution'!$G$146:$G$150)),RIGHT(BK$1,2))</f>
        <v>94</v>
      </c>
      <c r="BL85" s="16" cm="1">
        <f t="array" ref="BL85">INDEX(_xlfn.ANCHORARRAY(_xlfn.XLOOKUP($C85,'-ref_Distribution'!$B$146:$B$150,'-ref_Distribution'!$G$146:$G$150)),RIGHT(BL$1,2))</f>
        <v>75</v>
      </c>
      <c r="BM85" s="16" cm="1">
        <f t="array" ref="BM85">INDEX(_xlfn.ANCHORARRAY(_xlfn.XLOOKUP($C85,'-ref_Distribution'!$B$146:$B$150,'-ref_Distribution'!$G$146:$G$150)),RIGHT(BM$1,2))</f>
        <v>94</v>
      </c>
      <c r="BN85" s="16" cm="1">
        <f t="array" ref="BN85">INDEX(_xlfn.ANCHORARRAY(_xlfn.XLOOKUP($C85,'-ref_Distribution'!$B$146:$B$150,'-ref_Distribution'!$G$146:$G$150)),RIGHT(BN$1,2))</f>
        <v>115</v>
      </c>
      <c r="BO85" s="16" cm="1">
        <f t="array" ref="BO85">INDEX(_xlfn.ANCHORARRAY(_xlfn.XLOOKUP($C85,'-ref_Distribution'!$B$146:$B$150,'-ref_Distribution'!$G$146:$G$150)),RIGHT(BO$1,2))</f>
        <v>137</v>
      </c>
      <c r="BP85" s="16" cm="1">
        <f t="array" ref="BP85">INDEX(_xlfn.ANCHORARRAY(_xlfn.XLOOKUP($C85,'-ref_Distribution'!$B$146:$B$150,'-ref_Distribution'!$G$146:$G$150)),RIGHT(BP$1,2))</f>
        <v>160</v>
      </c>
      <c r="BQ85" s="16" cm="1">
        <f t="array" ref="BQ85">INDEX(_xlfn.ANCHORARRAY(_xlfn.XLOOKUP($C85,'-ref_Distribution'!$B$146:$B$150,'-ref_Distribution'!$G$146:$G$150)),RIGHT(BQ$1,2))</f>
        <v>183</v>
      </c>
      <c r="BR85" s="16" cm="1">
        <f t="array" ref="BR85">INDEX(_xlfn.ANCHORARRAY(_xlfn.XLOOKUP($C85,'-ref_Distribution'!$B$146:$B$150,'-ref_Distribution'!$G$146:$G$150)),RIGHT(BR$1,2))</f>
        <v>203</v>
      </c>
      <c r="BS85" s="16" cm="1">
        <f t="array" ref="BS85">INDEX(_xlfn.ANCHORARRAY(_xlfn.XLOOKUP($C85,'-ref_Distribution'!$B$146:$B$150,'-ref_Distribution'!$G$146:$G$150)),RIGHT(BS$1,2))</f>
        <v>221</v>
      </c>
      <c r="BT85" s="16" cm="1">
        <f t="array" ref="BT85">INDEX(_xlfn.ANCHORARRAY(_xlfn.XLOOKUP($C85,'-ref_Distribution'!$B$146:$B$150,'-ref_Distribution'!$G$146:$G$150)),RIGHT(BT$1,2))</f>
        <v>234</v>
      </c>
      <c r="BU85" s="16" cm="1">
        <f t="array" ref="BU85">INDEX(_xlfn.ANCHORARRAY(_xlfn.XLOOKUP($C85,'-ref_Distribution'!$B$146:$B$150,'-ref_Distribution'!$G$146:$G$150)),RIGHT(BU$1,2))</f>
        <v>243</v>
      </c>
      <c r="BV85" s="16" cm="1">
        <f t="array" ref="BV85">INDEX(_xlfn.ANCHORARRAY(_xlfn.XLOOKUP($C85,'-ref_Distribution'!$B$146:$B$150,'-ref_Distribution'!$G$146:$G$150)),RIGHT(BV$1,2))</f>
        <v>245</v>
      </c>
      <c r="BW85" s="16" cm="1">
        <f t="array" ref="BW85">INDEX(_xlfn.ANCHORARRAY(_xlfn.XLOOKUP($C85,'-ref_Distribution'!$B$146:$B$150,'-ref_Distribution'!$G$146:$G$150)),RIGHT(BW$1,2))</f>
        <v>243</v>
      </c>
      <c r="BX85" s="16" cm="1">
        <f t="array" ref="BX85">INDEX(_xlfn.ANCHORARRAY(_xlfn.XLOOKUP($C85,'-ref_Distribution'!$B$146:$B$150,'-ref_Distribution'!$G$146:$G$150)),RIGHT(BX$1,2))</f>
        <v>234</v>
      </c>
      <c r="BY85" s="16" cm="1">
        <f t="array" ref="BY85">INDEX(_xlfn.ANCHORARRAY(_xlfn.XLOOKUP($C85,'-ref_Distribution'!$B$146:$B$150,'-ref_Distribution'!$G$146:$G$150)),RIGHT(BY$1,2))</f>
        <v>221</v>
      </c>
      <c r="BZ85" s="16" cm="1">
        <f t="array" ref="BZ85">INDEX(_xlfn.ANCHORARRAY(_xlfn.XLOOKUP($C85,'-ref_Distribution'!$B$146:$B$150,'-ref_Distribution'!$G$146:$G$150)),RIGHT(BZ$1,2))</f>
        <v>203</v>
      </c>
      <c r="CA85" s="16" cm="1">
        <f t="array" ref="CA85">INDEX(_xlfn.ANCHORARRAY(_xlfn.XLOOKUP($C85,'-ref_Distribution'!$B$146:$B$150,'-ref_Distribution'!$G$146:$G$150)),RIGHT(CA$1,2))</f>
        <v>183</v>
      </c>
      <c r="CB85" s="16" cm="1">
        <f t="array" ref="CB85">INDEX(_xlfn.ANCHORARRAY(_xlfn.XLOOKUP($C85,'-ref_Distribution'!$B$146:$B$150,'-ref_Distribution'!$G$146:$G$150)),RIGHT(CB$1,2))</f>
        <v>160</v>
      </c>
      <c r="CC85" s="16" cm="1">
        <f t="array" ref="CC85">INDEX(_xlfn.ANCHORARRAY(_xlfn.XLOOKUP($C85,'-ref_Distribution'!$B$146:$B$150,'-ref_Distribution'!$G$146:$G$150)),RIGHT(CC$1,2))</f>
        <v>137</v>
      </c>
      <c r="CD85" s="16" cm="1">
        <f t="array" ref="CD85">INDEX(_xlfn.ANCHORARRAY(_xlfn.XLOOKUP($C85,'-ref_Distribution'!$B$146:$B$150,'-ref_Distribution'!$G$146:$G$150)),RIGHT(CD$1,2))</f>
        <v>115</v>
      </c>
      <c r="CE85" s="16" cm="1">
        <f t="array" ref="CE85">INDEX(_xlfn.ANCHORARRAY(_xlfn.XLOOKUP($C85,'-ref_Distribution'!$B$146:$B$150,'-ref_Distribution'!$G$146:$G$150)),RIGHT(CE$1,2))</f>
        <v>94</v>
      </c>
    </row>
    <row r="92" spans="1:83" x14ac:dyDescent="0.2">
      <c r="C92" s="15" t="s">
        <v>409</v>
      </c>
      <c r="D92" cm="1">
        <f t="array" ref="D92:CE92">_xlfn.BYCOL(_xlfn._xlws.FILTER(tb_relic_drop[[地宫-01]:[大湖-20]],tb_relic_drop[rank]=VALUE(MID(C92,3,1))),_xleta.SUM)</f>
        <v>9926</v>
      </c>
      <c r="E92">
        <v>9870</v>
      </c>
      <c r="F92">
        <v>9688</v>
      </c>
      <c r="G92">
        <v>9394</v>
      </c>
      <c r="H92">
        <v>9002</v>
      </c>
      <c r="I92">
        <v>8512</v>
      </c>
      <c r="J92">
        <v>7952</v>
      </c>
      <c r="K92">
        <v>7336</v>
      </c>
      <c r="L92">
        <v>6692</v>
      </c>
      <c r="M92">
        <v>6020</v>
      </c>
      <c r="N92">
        <v>5362</v>
      </c>
      <c r="O92">
        <v>4704</v>
      </c>
      <c r="P92">
        <v>4088</v>
      </c>
      <c r="Q92">
        <v>3500</v>
      </c>
      <c r="R92">
        <v>2968</v>
      </c>
      <c r="S92">
        <v>2478</v>
      </c>
      <c r="T92">
        <v>2044</v>
      </c>
      <c r="U92">
        <v>1666</v>
      </c>
      <c r="V92">
        <v>1344</v>
      </c>
      <c r="W92">
        <v>1064</v>
      </c>
      <c r="X92">
        <v>9926</v>
      </c>
      <c r="Y92">
        <v>9870</v>
      </c>
      <c r="Z92">
        <v>9688</v>
      </c>
      <c r="AA92">
        <v>9394</v>
      </c>
      <c r="AB92">
        <v>9002</v>
      </c>
      <c r="AC92">
        <v>8512</v>
      </c>
      <c r="AD92">
        <v>7952</v>
      </c>
      <c r="AE92">
        <v>7336</v>
      </c>
      <c r="AF92">
        <v>6692</v>
      </c>
      <c r="AG92">
        <v>6020</v>
      </c>
      <c r="AH92">
        <v>5362</v>
      </c>
      <c r="AI92">
        <v>4704</v>
      </c>
      <c r="AJ92">
        <v>4088</v>
      </c>
      <c r="AK92">
        <v>3500</v>
      </c>
      <c r="AL92">
        <v>2968</v>
      </c>
      <c r="AM92">
        <v>2478</v>
      </c>
      <c r="AN92">
        <v>2044</v>
      </c>
      <c r="AO92">
        <v>1666</v>
      </c>
      <c r="AP92">
        <v>1344</v>
      </c>
      <c r="AQ92" s="16">
        <v>1064</v>
      </c>
      <c r="AR92" s="16">
        <v>9926</v>
      </c>
      <c r="AS92" s="16">
        <v>9870</v>
      </c>
      <c r="AT92" s="16">
        <v>9688</v>
      </c>
      <c r="AU92" s="16">
        <v>9394</v>
      </c>
      <c r="AV92" s="16">
        <v>9002</v>
      </c>
      <c r="AW92" s="16">
        <v>8512</v>
      </c>
      <c r="AX92" s="16">
        <v>7952</v>
      </c>
      <c r="AY92" s="16">
        <v>7336</v>
      </c>
      <c r="AZ92" s="16">
        <v>6692</v>
      </c>
      <c r="BA92" s="16">
        <v>6020</v>
      </c>
      <c r="BB92" s="16">
        <v>5362</v>
      </c>
      <c r="BC92" s="16">
        <v>4704</v>
      </c>
      <c r="BD92" s="16">
        <v>4088</v>
      </c>
      <c r="BE92" s="16">
        <v>3500</v>
      </c>
      <c r="BF92" s="16">
        <v>2968</v>
      </c>
      <c r="BG92" s="16">
        <v>2478</v>
      </c>
      <c r="BH92" s="16">
        <v>2044</v>
      </c>
      <c r="BI92" s="16">
        <v>1666</v>
      </c>
      <c r="BJ92" s="16">
        <v>1344</v>
      </c>
      <c r="BK92" s="16">
        <v>1064</v>
      </c>
      <c r="BL92" s="16">
        <v>9926</v>
      </c>
      <c r="BM92" s="16">
        <v>9870</v>
      </c>
      <c r="BN92" s="16">
        <v>9688</v>
      </c>
      <c r="BO92" s="16">
        <v>9394</v>
      </c>
      <c r="BP92" s="16">
        <v>9002</v>
      </c>
      <c r="BQ92" s="16">
        <v>8512</v>
      </c>
      <c r="BR92" s="16">
        <v>7952</v>
      </c>
      <c r="BS92" s="16">
        <v>7336</v>
      </c>
      <c r="BT92" s="16">
        <v>6692</v>
      </c>
      <c r="BU92" s="16">
        <v>6020</v>
      </c>
      <c r="BV92" s="16">
        <v>5362</v>
      </c>
      <c r="BW92" s="16">
        <v>4704</v>
      </c>
      <c r="BX92" s="16">
        <v>4088</v>
      </c>
      <c r="BY92" s="16">
        <v>3500</v>
      </c>
      <c r="BZ92" s="16">
        <v>2968</v>
      </c>
      <c r="CA92" s="16">
        <v>2478</v>
      </c>
      <c r="CB92" s="16">
        <v>2044</v>
      </c>
      <c r="CC92" s="16">
        <v>1666</v>
      </c>
      <c r="CD92" s="16">
        <v>1344</v>
      </c>
      <c r="CE92" s="16">
        <v>1064</v>
      </c>
    </row>
    <row r="93" spans="1:83" x14ac:dyDescent="0.2">
      <c r="C93" s="15" t="s">
        <v>405</v>
      </c>
      <c r="D93" cm="1">
        <f t="array" ref="D93:CE93">_xlfn.BYCOL(_xlfn._xlws.FILTER(tb_relic_drop[[地宫-01]:[大湖-20]],tb_relic_drop[rank]=VALUE(MID(C93,3,1))),_xleta.SUM)</f>
        <v>5392</v>
      </c>
      <c r="E93">
        <v>5824</v>
      </c>
      <c r="F93">
        <v>6176</v>
      </c>
      <c r="G93">
        <v>6448</v>
      </c>
      <c r="H93">
        <v>6624</v>
      </c>
      <c r="I93">
        <v>6672</v>
      </c>
      <c r="J93">
        <v>6624</v>
      </c>
      <c r="K93">
        <v>6448</v>
      </c>
      <c r="L93">
        <v>6176</v>
      </c>
      <c r="M93">
        <v>5824</v>
      </c>
      <c r="N93">
        <v>5392</v>
      </c>
      <c r="O93">
        <v>4912</v>
      </c>
      <c r="P93">
        <v>4384</v>
      </c>
      <c r="Q93">
        <v>3856</v>
      </c>
      <c r="R93">
        <v>3344</v>
      </c>
      <c r="S93">
        <v>2848</v>
      </c>
      <c r="T93">
        <v>2368</v>
      </c>
      <c r="U93">
        <v>1952</v>
      </c>
      <c r="V93">
        <v>1568</v>
      </c>
      <c r="W93">
        <v>1248</v>
      </c>
      <c r="X93">
        <v>5392</v>
      </c>
      <c r="Y93">
        <v>5824</v>
      </c>
      <c r="Z93">
        <v>6176</v>
      </c>
      <c r="AA93">
        <v>6448</v>
      </c>
      <c r="AB93">
        <v>6624</v>
      </c>
      <c r="AC93">
        <v>6672</v>
      </c>
      <c r="AD93">
        <v>6624</v>
      </c>
      <c r="AE93">
        <v>6448</v>
      </c>
      <c r="AF93">
        <v>6176</v>
      </c>
      <c r="AG93">
        <v>5824</v>
      </c>
      <c r="AH93">
        <v>5392</v>
      </c>
      <c r="AI93">
        <v>4912</v>
      </c>
      <c r="AJ93">
        <v>4384</v>
      </c>
      <c r="AK93">
        <v>3856</v>
      </c>
      <c r="AL93">
        <v>3344</v>
      </c>
      <c r="AM93">
        <v>2848</v>
      </c>
      <c r="AN93">
        <v>2368</v>
      </c>
      <c r="AO93">
        <v>1952</v>
      </c>
      <c r="AP93">
        <v>1568</v>
      </c>
      <c r="AQ93" s="16">
        <v>1248</v>
      </c>
      <c r="AR93" s="16">
        <v>5392</v>
      </c>
      <c r="AS93" s="16">
        <v>5824</v>
      </c>
      <c r="AT93" s="16">
        <v>6176</v>
      </c>
      <c r="AU93" s="16">
        <v>6448</v>
      </c>
      <c r="AV93" s="16">
        <v>6624</v>
      </c>
      <c r="AW93" s="16">
        <v>6672</v>
      </c>
      <c r="AX93" s="16">
        <v>6624</v>
      </c>
      <c r="AY93" s="16">
        <v>6448</v>
      </c>
      <c r="AZ93" s="16">
        <v>6176</v>
      </c>
      <c r="BA93" s="16">
        <v>5824</v>
      </c>
      <c r="BB93" s="16">
        <v>5392</v>
      </c>
      <c r="BC93" s="16">
        <v>4912</v>
      </c>
      <c r="BD93" s="16">
        <v>4384</v>
      </c>
      <c r="BE93" s="16">
        <v>3856</v>
      </c>
      <c r="BF93" s="16">
        <v>3344</v>
      </c>
      <c r="BG93" s="16">
        <v>2848</v>
      </c>
      <c r="BH93" s="16">
        <v>2368</v>
      </c>
      <c r="BI93" s="16">
        <v>1952</v>
      </c>
      <c r="BJ93" s="16">
        <v>1568</v>
      </c>
      <c r="BK93" s="16">
        <v>1248</v>
      </c>
      <c r="BL93" s="16">
        <v>5392</v>
      </c>
      <c r="BM93" s="16">
        <v>5824</v>
      </c>
      <c r="BN93" s="16">
        <v>6176</v>
      </c>
      <c r="BO93" s="16">
        <v>6448</v>
      </c>
      <c r="BP93" s="16">
        <v>6624</v>
      </c>
      <c r="BQ93" s="16">
        <v>6672</v>
      </c>
      <c r="BR93" s="16">
        <v>6624</v>
      </c>
      <c r="BS93" s="16">
        <v>6448</v>
      </c>
      <c r="BT93" s="16">
        <v>6176</v>
      </c>
      <c r="BU93" s="16">
        <v>5824</v>
      </c>
      <c r="BV93" s="16">
        <v>5392</v>
      </c>
      <c r="BW93" s="16">
        <v>4912</v>
      </c>
      <c r="BX93" s="16">
        <v>4384</v>
      </c>
      <c r="BY93" s="16">
        <v>3856</v>
      </c>
      <c r="BZ93" s="16">
        <v>3344</v>
      </c>
      <c r="CA93" s="16">
        <v>2848</v>
      </c>
      <c r="CB93" s="16">
        <v>2368</v>
      </c>
      <c r="CC93" s="16">
        <v>1952</v>
      </c>
      <c r="CD93" s="16">
        <v>1568</v>
      </c>
      <c r="CE93" s="16">
        <v>1248</v>
      </c>
    </row>
    <row r="94" spans="1:83" x14ac:dyDescent="0.2">
      <c r="C94" s="15" t="s">
        <v>406</v>
      </c>
      <c r="D94" cm="1">
        <f t="array" ref="D94:CE94">_xlfn.BYCOL(_xlfn._xlws.FILTER(tb_relic_drop[[地宫-01]:[大湖-20]],tb_relic_drop[rank]=VALUE(MID(C94,3,1))),_xleta.SUM)</f>
        <v>1500</v>
      </c>
      <c r="E94">
        <v>1880</v>
      </c>
      <c r="F94">
        <v>2300</v>
      </c>
      <c r="G94">
        <v>2740</v>
      </c>
      <c r="H94">
        <v>3200</v>
      </c>
      <c r="I94">
        <v>3660</v>
      </c>
      <c r="J94">
        <v>4060</v>
      </c>
      <c r="K94">
        <v>4420</v>
      </c>
      <c r="L94">
        <v>4680</v>
      </c>
      <c r="M94">
        <v>4860</v>
      </c>
      <c r="N94">
        <v>4900</v>
      </c>
      <c r="O94">
        <v>4860</v>
      </c>
      <c r="P94">
        <v>4680</v>
      </c>
      <c r="Q94">
        <v>4420</v>
      </c>
      <c r="R94">
        <v>4060</v>
      </c>
      <c r="S94">
        <v>3660</v>
      </c>
      <c r="T94">
        <v>3200</v>
      </c>
      <c r="U94">
        <v>2740</v>
      </c>
      <c r="V94">
        <v>2300</v>
      </c>
      <c r="W94">
        <v>1880</v>
      </c>
      <c r="X94">
        <v>1500</v>
      </c>
      <c r="Y94">
        <v>1880</v>
      </c>
      <c r="Z94">
        <v>2300</v>
      </c>
      <c r="AA94">
        <v>2740</v>
      </c>
      <c r="AB94">
        <v>3200</v>
      </c>
      <c r="AC94">
        <v>3660</v>
      </c>
      <c r="AD94">
        <v>4060</v>
      </c>
      <c r="AE94">
        <v>4420</v>
      </c>
      <c r="AF94">
        <v>4680</v>
      </c>
      <c r="AG94">
        <v>4860</v>
      </c>
      <c r="AH94">
        <v>4900</v>
      </c>
      <c r="AI94">
        <v>4860</v>
      </c>
      <c r="AJ94">
        <v>4680</v>
      </c>
      <c r="AK94">
        <v>4420</v>
      </c>
      <c r="AL94">
        <v>4060</v>
      </c>
      <c r="AM94">
        <v>3660</v>
      </c>
      <c r="AN94">
        <v>3200</v>
      </c>
      <c r="AO94">
        <v>2740</v>
      </c>
      <c r="AP94">
        <v>2300</v>
      </c>
      <c r="AQ94" s="16">
        <v>1880</v>
      </c>
      <c r="AR94" s="16">
        <v>1500</v>
      </c>
      <c r="AS94" s="16">
        <v>1880</v>
      </c>
      <c r="AT94" s="16">
        <v>2300</v>
      </c>
      <c r="AU94" s="16">
        <v>2740</v>
      </c>
      <c r="AV94" s="16">
        <v>3200</v>
      </c>
      <c r="AW94" s="16">
        <v>3660</v>
      </c>
      <c r="AX94" s="16">
        <v>4060</v>
      </c>
      <c r="AY94" s="16">
        <v>4420</v>
      </c>
      <c r="AZ94" s="16">
        <v>4680</v>
      </c>
      <c r="BA94" s="16">
        <v>4860</v>
      </c>
      <c r="BB94" s="16">
        <v>4900</v>
      </c>
      <c r="BC94" s="16">
        <v>4860</v>
      </c>
      <c r="BD94" s="16">
        <v>4680</v>
      </c>
      <c r="BE94" s="16">
        <v>4420</v>
      </c>
      <c r="BF94" s="16">
        <v>4060</v>
      </c>
      <c r="BG94" s="16">
        <v>3660</v>
      </c>
      <c r="BH94" s="16">
        <v>3200</v>
      </c>
      <c r="BI94" s="16">
        <v>2740</v>
      </c>
      <c r="BJ94" s="16">
        <v>2300</v>
      </c>
      <c r="BK94" s="16">
        <v>1880</v>
      </c>
      <c r="BL94" s="16">
        <v>1500</v>
      </c>
      <c r="BM94" s="16">
        <v>1880</v>
      </c>
      <c r="BN94" s="16">
        <v>2300</v>
      </c>
      <c r="BO94" s="16">
        <v>2740</v>
      </c>
      <c r="BP94" s="16">
        <v>3200</v>
      </c>
      <c r="BQ94" s="16">
        <v>3660</v>
      </c>
      <c r="BR94" s="16">
        <v>4060</v>
      </c>
      <c r="BS94" s="16">
        <v>4420</v>
      </c>
      <c r="BT94" s="16">
        <v>4680</v>
      </c>
      <c r="BU94" s="16">
        <v>4860</v>
      </c>
      <c r="BV94" s="16">
        <v>4900</v>
      </c>
      <c r="BW94" s="16">
        <v>4860</v>
      </c>
      <c r="BX94" s="16">
        <v>4680</v>
      </c>
      <c r="BY94" s="16">
        <v>4420</v>
      </c>
      <c r="BZ94" s="16">
        <v>4060</v>
      </c>
      <c r="CA94" s="16">
        <v>3660</v>
      </c>
      <c r="CB94" s="16">
        <v>3200</v>
      </c>
      <c r="CC94" s="16">
        <v>2740</v>
      </c>
      <c r="CD94" s="16">
        <v>2300</v>
      </c>
      <c r="CE94" s="16">
        <v>1880</v>
      </c>
    </row>
    <row r="95" spans="1:83" x14ac:dyDescent="0.2">
      <c r="C95" s="15" t="s">
        <v>407</v>
      </c>
      <c r="D95" cm="1">
        <f t="array" ref="D95:CE95">_xlfn.BYCOL(_xlfn._xlws.FILTER(tb_relic_drop[[地宫-01]:[大湖-20]],tb_relic_drop[rank]=VALUE(MID(C95,3,1))),_xleta.SUM)</f>
        <v>84</v>
      </c>
      <c r="E95">
        <v>126</v>
      </c>
      <c r="F95">
        <v>189</v>
      </c>
      <c r="G95">
        <v>294</v>
      </c>
      <c r="H95">
        <v>420</v>
      </c>
      <c r="I95">
        <v>588</v>
      </c>
      <c r="J95">
        <v>798</v>
      </c>
      <c r="K95">
        <v>1071</v>
      </c>
      <c r="L95">
        <v>1365</v>
      </c>
      <c r="M95">
        <v>1680</v>
      </c>
      <c r="N95">
        <v>2016</v>
      </c>
      <c r="O95">
        <v>2331</v>
      </c>
      <c r="P95">
        <v>2625</v>
      </c>
      <c r="Q95">
        <v>2835</v>
      </c>
      <c r="R95">
        <v>2982</v>
      </c>
      <c r="S95">
        <v>3024</v>
      </c>
      <c r="T95">
        <v>2982</v>
      </c>
      <c r="U95">
        <v>2835</v>
      </c>
      <c r="V95">
        <v>2625</v>
      </c>
      <c r="W95">
        <v>2331</v>
      </c>
      <c r="X95">
        <v>84</v>
      </c>
      <c r="Y95">
        <v>126</v>
      </c>
      <c r="Z95">
        <v>189</v>
      </c>
      <c r="AA95">
        <v>294</v>
      </c>
      <c r="AB95">
        <v>420</v>
      </c>
      <c r="AC95">
        <v>588</v>
      </c>
      <c r="AD95">
        <v>798</v>
      </c>
      <c r="AE95">
        <v>1071</v>
      </c>
      <c r="AF95">
        <v>1365</v>
      </c>
      <c r="AG95">
        <v>1680</v>
      </c>
      <c r="AH95">
        <v>2016</v>
      </c>
      <c r="AI95">
        <v>2331</v>
      </c>
      <c r="AJ95">
        <v>2625</v>
      </c>
      <c r="AK95">
        <v>2835</v>
      </c>
      <c r="AL95">
        <v>2982</v>
      </c>
      <c r="AM95">
        <v>3024</v>
      </c>
      <c r="AN95">
        <v>2982</v>
      </c>
      <c r="AO95">
        <v>2835</v>
      </c>
      <c r="AP95">
        <v>2625</v>
      </c>
      <c r="AQ95" s="16">
        <v>2331</v>
      </c>
      <c r="AR95" s="16">
        <v>84</v>
      </c>
      <c r="AS95" s="16">
        <v>126</v>
      </c>
      <c r="AT95" s="16">
        <v>189</v>
      </c>
      <c r="AU95" s="16">
        <v>294</v>
      </c>
      <c r="AV95" s="16">
        <v>420</v>
      </c>
      <c r="AW95" s="16">
        <v>588</v>
      </c>
      <c r="AX95" s="16">
        <v>798</v>
      </c>
      <c r="AY95" s="16">
        <v>1071</v>
      </c>
      <c r="AZ95" s="16">
        <v>1365</v>
      </c>
      <c r="BA95" s="16">
        <v>1680</v>
      </c>
      <c r="BB95" s="16">
        <v>2016</v>
      </c>
      <c r="BC95" s="16">
        <v>2331</v>
      </c>
      <c r="BD95" s="16">
        <v>2625</v>
      </c>
      <c r="BE95" s="16">
        <v>2835</v>
      </c>
      <c r="BF95" s="16">
        <v>2982</v>
      </c>
      <c r="BG95" s="16">
        <v>3024</v>
      </c>
      <c r="BH95" s="16">
        <v>2982</v>
      </c>
      <c r="BI95" s="16">
        <v>2835</v>
      </c>
      <c r="BJ95" s="16">
        <v>2625</v>
      </c>
      <c r="BK95" s="16">
        <v>2331</v>
      </c>
      <c r="BL95" s="16">
        <v>84</v>
      </c>
      <c r="BM95" s="16">
        <v>126</v>
      </c>
      <c r="BN95" s="16">
        <v>189</v>
      </c>
      <c r="BO95" s="16">
        <v>294</v>
      </c>
      <c r="BP95" s="16">
        <v>420</v>
      </c>
      <c r="BQ95" s="16">
        <v>588</v>
      </c>
      <c r="BR95" s="16">
        <v>798</v>
      </c>
      <c r="BS95" s="16">
        <v>1071</v>
      </c>
      <c r="BT95" s="16">
        <v>1365</v>
      </c>
      <c r="BU95" s="16">
        <v>1680</v>
      </c>
      <c r="BV95" s="16">
        <v>2016</v>
      </c>
      <c r="BW95" s="16">
        <v>2331</v>
      </c>
      <c r="BX95" s="16">
        <v>2625</v>
      </c>
      <c r="BY95" s="16">
        <v>2835</v>
      </c>
      <c r="BZ95" s="16">
        <v>2982</v>
      </c>
      <c r="CA95" s="16">
        <v>3024</v>
      </c>
      <c r="CB95" s="16">
        <v>2982</v>
      </c>
      <c r="CC95" s="16">
        <v>2835</v>
      </c>
      <c r="CD95" s="16">
        <v>2625</v>
      </c>
      <c r="CE95" s="16">
        <v>2331</v>
      </c>
    </row>
    <row r="96" spans="1:83" x14ac:dyDescent="0.2">
      <c r="C96" s="15" t="s">
        <v>408</v>
      </c>
      <c r="D96" cm="1">
        <f t="array" ref="D96:CE96">_xlfn.BYCOL(_xlfn._xlws.FILTER(tb_relic_drop[[地宫-01]:[大湖-20]],tb_relic_drop[rank]=VALUE(MID(C96,3,1))),_xleta.SUM)</f>
        <v>0</v>
      </c>
      <c r="E96">
        <v>0</v>
      </c>
      <c r="F96">
        <v>0</v>
      </c>
      <c r="G96">
        <v>0</v>
      </c>
      <c r="H96">
        <v>0</v>
      </c>
      <c r="I96">
        <v>8</v>
      </c>
      <c r="J96">
        <v>8</v>
      </c>
      <c r="K96">
        <v>16</v>
      </c>
      <c r="L96">
        <v>24</v>
      </c>
      <c r="M96">
        <v>40</v>
      </c>
      <c r="N96">
        <v>72</v>
      </c>
      <c r="O96">
        <v>112</v>
      </c>
      <c r="P96">
        <v>160</v>
      </c>
      <c r="Q96">
        <v>224</v>
      </c>
      <c r="R96">
        <v>304</v>
      </c>
      <c r="S96">
        <v>384</v>
      </c>
      <c r="T96">
        <v>472</v>
      </c>
      <c r="U96">
        <v>552</v>
      </c>
      <c r="V96">
        <v>624</v>
      </c>
      <c r="W96">
        <v>664</v>
      </c>
      <c r="X96">
        <v>0</v>
      </c>
      <c r="Y96">
        <v>0</v>
      </c>
      <c r="Z96">
        <v>0</v>
      </c>
      <c r="AA96">
        <v>0</v>
      </c>
      <c r="AB96">
        <v>0</v>
      </c>
      <c r="AC96">
        <v>8</v>
      </c>
      <c r="AD96">
        <v>8</v>
      </c>
      <c r="AE96">
        <v>16</v>
      </c>
      <c r="AF96">
        <v>24</v>
      </c>
      <c r="AG96">
        <v>40</v>
      </c>
      <c r="AH96">
        <v>72</v>
      </c>
      <c r="AI96">
        <v>112</v>
      </c>
      <c r="AJ96">
        <v>160</v>
      </c>
      <c r="AK96">
        <v>224</v>
      </c>
      <c r="AL96">
        <v>304</v>
      </c>
      <c r="AM96">
        <v>384</v>
      </c>
      <c r="AN96">
        <v>472</v>
      </c>
      <c r="AO96">
        <v>552</v>
      </c>
      <c r="AP96">
        <v>624</v>
      </c>
      <c r="AQ96" s="16">
        <v>664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8</v>
      </c>
      <c r="AX96" s="16">
        <v>8</v>
      </c>
      <c r="AY96" s="16">
        <v>16</v>
      </c>
      <c r="AZ96" s="16">
        <v>24</v>
      </c>
      <c r="BA96" s="16">
        <v>40</v>
      </c>
      <c r="BB96" s="16">
        <v>72</v>
      </c>
      <c r="BC96" s="16">
        <v>112</v>
      </c>
      <c r="BD96" s="16">
        <v>160</v>
      </c>
      <c r="BE96" s="16">
        <v>224</v>
      </c>
      <c r="BF96" s="16">
        <v>304</v>
      </c>
      <c r="BG96" s="16">
        <v>384</v>
      </c>
      <c r="BH96" s="16">
        <v>472</v>
      </c>
      <c r="BI96" s="16">
        <v>552</v>
      </c>
      <c r="BJ96" s="16">
        <v>624</v>
      </c>
      <c r="BK96" s="16">
        <v>664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8</v>
      </c>
      <c r="BR96" s="16">
        <v>8</v>
      </c>
      <c r="BS96" s="16">
        <v>16</v>
      </c>
      <c r="BT96" s="16">
        <v>24</v>
      </c>
      <c r="BU96" s="16">
        <v>40</v>
      </c>
      <c r="BV96" s="16">
        <v>72</v>
      </c>
      <c r="BW96" s="16">
        <v>112</v>
      </c>
      <c r="BX96" s="16">
        <v>160</v>
      </c>
      <c r="BY96" s="16">
        <v>224</v>
      </c>
      <c r="BZ96" s="16">
        <v>304</v>
      </c>
      <c r="CA96" s="16">
        <v>384</v>
      </c>
      <c r="CB96" s="16">
        <v>472</v>
      </c>
      <c r="CC96" s="16">
        <v>552</v>
      </c>
      <c r="CD96" s="16">
        <v>624</v>
      </c>
      <c r="CE96" s="16">
        <v>664</v>
      </c>
    </row>
    <row r="98" spans="3:83" x14ac:dyDescent="0.2">
      <c r="C98" s="15" t="s">
        <v>410</v>
      </c>
      <c r="D98" s="46" cm="1">
        <f t="array" ref="D98:CE102">_xlfn.LET(_xlpm._all,_xlfn.ANCHORARRAY(D92):_xlfn.ANCHORARRAY(D96),
_xlpm._all/_xlfn.BYCOL(_xlpm._all,_xleta.SUM))</f>
        <v>0.58726777896106974</v>
      </c>
      <c r="E98" s="46">
        <v>0.55762711864406778</v>
      </c>
      <c r="F98" s="46">
        <v>0.52787010298043913</v>
      </c>
      <c r="G98" s="46">
        <v>0.49766899766899769</v>
      </c>
      <c r="H98" s="46">
        <v>0.46773355502442066</v>
      </c>
      <c r="I98" s="46">
        <v>0.43786008230452678</v>
      </c>
      <c r="J98" s="46">
        <v>0.40901141857833556</v>
      </c>
      <c r="K98" s="46">
        <v>0.38028096003317607</v>
      </c>
      <c r="L98" s="46">
        <v>0.35338226751861435</v>
      </c>
      <c r="M98" s="46">
        <v>0.32674772036474165</v>
      </c>
      <c r="N98" s="46">
        <v>0.30222071919738475</v>
      </c>
      <c r="O98" s="46">
        <v>0.27803061646669425</v>
      </c>
      <c r="P98" s="46">
        <v>0.25651000815711866</v>
      </c>
      <c r="Q98" s="46">
        <v>0.23592854735422986</v>
      </c>
      <c r="R98" s="46">
        <v>0.21730853712110118</v>
      </c>
      <c r="S98" s="46">
        <v>0.1999354526383734</v>
      </c>
      <c r="T98" s="46">
        <v>0.18470992228447497</v>
      </c>
      <c r="U98" s="46">
        <v>0.17095946639302206</v>
      </c>
      <c r="V98" s="46">
        <v>0.15884647204822125</v>
      </c>
      <c r="W98" s="46">
        <v>0.14804508139696673</v>
      </c>
      <c r="X98" s="46">
        <v>0.58726777896106974</v>
      </c>
      <c r="Y98" s="46">
        <v>0.55762711864406778</v>
      </c>
      <c r="Z98" s="46">
        <v>0.52787010298043913</v>
      </c>
      <c r="AA98" s="46">
        <v>0.49766899766899769</v>
      </c>
      <c r="AB98" s="46">
        <v>0.46773355502442066</v>
      </c>
      <c r="AC98" s="46">
        <v>0.43786008230452678</v>
      </c>
      <c r="AD98" s="46">
        <v>0.40901141857833556</v>
      </c>
      <c r="AE98" s="46">
        <v>0.38028096003317607</v>
      </c>
      <c r="AF98" s="46">
        <v>0.35338226751861435</v>
      </c>
      <c r="AG98" s="46">
        <v>0.32674772036474165</v>
      </c>
      <c r="AH98" s="46">
        <v>0.30222071919738475</v>
      </c>
      <c r="AI98" s="46">
        <v>0.27803061646669425</v>
      </c>
      <c r="AJ98" s="46">
        <v>0.25651000815711866</v>
      </c>
      <c r="AK98" s="46">
        <v>0.23592854735422986</v>
      </c>
      <c r="AL98" s="46">
        <v>0.21730853712110118</v>
      </c>
      <c r="AM98" s="46">
        <v>0.1999354526383734</v>
      </c>
      <c r="AN98" s="46">
        <v>0.18470992228447497</v>
      </c>
      <c r="AO98" s="46">
        <v>0.17095946639302206</v>
      </c>
      <c r="AP98" s="46">
        <v>0.15884647204822125</v>
      </c>
      <c r="AQ98" s="21">
        <v>0.14804508139696673</v>
      </c>
      <c r="AR98" s="21">
        <v>0.58726777896106974</v>
      </c>
      <c r="AS98" s="21">
        <v>0.55762711864406778</v>
      </c>
      <c r="AT98" s="21">
        <v>0.52787010298043913</v>
      </c>
      <c r="AU98" s="21">
        <v>0.49766899766899769</v>
      </c>
      <c r="AV98" s="21">
        <v>0.46773355502442066</v>
      </c>
      <c r="AW98" s="21">
        <v>0.43786008230452678</v>
      </c>
      <c r="AX98" s="21">
        <v>0.40901141857833556</v>
      </c>
      <c r="AY98" s="21">
        <v>0.38028096003317607</v>
      </c>
      <c r="AZ98" s="21">
        <v>0.35338226751861435</v>
      </c>
      <c r="BA98" s="21">
        <v>0.32674772036474165</v>
      </c>
      <c r="BB98" s="21">
        <v>0.30222071919738475</v>
      </c>
      <c r="BC98" s="21">
        <v>0.27803061646669425</v>
      </c>
      <c r="BD98" s="21">
        <v>0.25651000815711866</v>
      </c>
      <c r="BE98" s="21">
        <v>0.23592854735422986</v>
      </c>
      <c r="BF98" s="21">
        <v>0.21730853712110118</v>
      </c>
      <c r="BG98" s="21">
        <v>0.1999354526383734</v>
      </c>
      <c r="BH98" s="21">
        <v>0.18470992228447497</v>
      </c>
      <c r="BI98" s="21">
        <v>0.17095946639302206</v>
      </c>
      <c r="BJ98" s="21">
        <v>0.15884647204822125</v>
      </c>
      <c r="BK98" s="21">
        <v>0.14804508139696673</v>
      </c>
      <c r="BL98" s="21">
        <v>0.58726777896106974</v>
      </c>
      <c r="BM98" s="21">
        <v>0.55762711864406778</v>
      </c>
      <c r="BN98" s="21">
        <v>0.52787010298043913</v>
      </c>
      <c r="BO98" s="21">
        <v>0.49766899766899769</v>
      </c>
      <c r="BP98" s="21">
        <v>0.46773355502442066</v>
      </c>
      <c r="BQ98" s="21">
        <v>0.43786008230452678</v>
      </c>
      <c r="BR98" s="21">
        <v>0.40901141857833556</v>
      </c>
      <c r="BS98" s="21">
        <v>0.38028096003317607</v>
      </c>
      <c r="BT98" s="21">
        <v>0.35338226751861435</v>
      </c>
      <c r="BU98" s="21">
        <v>0.32674772036474165</v>
      </c>
      <c r="BV98" s="21">
        <v>0.30222071919738475</v>
      </c>
      <c r="BW98" s="21">
        <v>0.27803061646669425</v>
      </c>
      <c r="BX98" s="21">
        <v>0.25651000815711866</v>
      </c>
      <c r="BY98" s="21">
        <v>0.23592854735422986</v>
      </c>
      <c r="BZ98" s="21">
        <v>0.21730853712110118</v>
      </c>
      <c r="CA98" s="21">
        <v>0.1999354526383734</v>
      </c>
      <c r="CB98" s="21">
        <v>0.18470992228447497</v>
      </c>
      <c r="CC98" s="21">
        <v>0.17095946639302206</v>
      </c>
      <c r="CD98" s="21">
        <v>0.15884647204822125</v>
      </c>
      <c r="CE98" s="21">
        <v>0.14804508139696673</v>
      </c>
    </row>
    <row r="99" spans="3:83" x14ac:dyDescent="0.2">
      <c r="C99" s="15" t="s">
        <v>411</v>
      </c>
      <c r="D99" s="46">
        <v>0.3190155011241273</v>
      </c>
      <c r="E99" s="46">
        <v>0.32903954802259888</v>
      </c>
      <c r="F99" s="46">
        <v>0.33651174194954503</v>
      </c>
      <c r="G99" s="46">
        <v>0.3415977961432507</v>
      </c>
      <c r="H99" s="46">
        <v>0.34417541307284633</v>
      </c>
      <c r="I99" s="46">
        <v>0.34320987654320989</v>
      </c>
      <c r="J99" s="46">
        <v>0.34070568871515278</v>
      </c>
      <c r="K99" s="46">
        <v>0.3342491317194547</v>
      </c>
      <c r="L99" s="46">
        <v>0.32613402334055025</v>
      </c>
      <c r="M99" s="46">
        <v>0.3161094224924012</v>
      </c>
      <c r="N99" s="46">
        <v>0.30391162213955586</v>
      </c>
      <c r="O99" s="46">
        <v>0.2903244872628406</v>
      </c>
      <c r="P99" s="46">
        <v>0.27508313986321137</v>
      </c>
      <c r="Q99" s="46">
        <v>0.25992585102797439</v>
      </c>
      <c r="R99" s="46">
        <v>0.24483819007175281</v>
      </c>
      <c r="S99" s="46">
        <v>0.22978860739067292</v>
      </c>
      <c r="T99" s="46">
        <v>0.21398879450569311</v>
      </c>
      <c r="U99" s="46">
        <v>0.20030785017957928</v>
      </c>
      <c r="V99" s="46">
        <v>0.18532088405625813</v>
      </c>
      <c r="W99" s="46">
        <v>0.17364686239042715</v>
      </c>
      <c r="X99" s="46">
        <v>0.3190155011241273</v>
      </c>
      <c r="Y99" s="46">
        <v>0.32903954802259888</v>
      </c>
      <c r="Z99" s="46">
        <v>0.33651174194954503</v>
      </c>
      <c r="AA99" s="46">
        <v>0.3415977961432507</v>
      </c>
      <c r="AB99" s="46">
        <v>0.34417541307284633</v>
      </c>
      <c r="AC99" s="46">
        <v>0.34320987654320989</v>
      </c>
      <c r="AD99" s="46">
        <v>0.34070568871515278</v>
      </c>
      <c r="AE99" s="46">
        <v>0.3342491317194547</v>
      </c>
      <c r="AF99" s="46">
        <v>0.32613402334055025</v>
      </c>
      <c r="AG99" s="46">
        <v>0.3161094224924012</v>
      </c>
      <c r="AH99" s="46">
        <v>0.30391162213955586</v>
      </c>
      <c r="AI99" s="46">
        <v>0.2903244872628406</v>
      </c>
      <c r="AJ99" s="46">
        <v>0.27508313986321137</v>
      </c>
      <c r="AK99" s="46">
        <v>0.25992585102797439</v>
      </c>
      <c r="AL99" s="46">
        <v>0.24483819007175281</v>
      </c>
      <c r="AM99" s="46">
        <v>0.22978860739067292</v>
      </c>
      <c r="AN99" s="46">
        <v>0.21398879450569311</v>
      </c>
      <c r="AO99" s="46">
        <v>0.20030785017957928</v>
      </c>
      <c r="AP99" s="46">
        <v>0.18532088405625813</v>
      </c>
      <c r="AQ99" s="21">
        <v>0.17364686239042715</v>
      </c>
      <c r="AR99" s="21">
        <v>0.3190155011241273</v>
      </c>
      <c r="AS99" s="21">
        <v>0.32903954802259888</v>
      </c>
      <c r="AT99" s="21">
        <v>0.33651174194954503</v>
      </c>
      <c r="AU99" s="21">
        <v>0.3415977961432507</v>
      </c>
      <c r="AV99" s="21">
        <v>0.34417541307284633</v>
      </c>
      <c r="AW99" s="21">
        <v>0.34320987654320989</v>
      </c>
      <c r="AX99" s="21">
        <v>0.34070568871515278</v>
      </c>
      <c r="AY99" s="21">
        <v>0.3342491317194547</v>
      </c>
      <c r="AZ99" s="21">
        <v>0.32613402334055025</v>
      </c>
      <c r="BA99" s="21">
        <v>0.3161094224924012</v>
      </c>
      <c r="BB99" s="21">
        <v>0.30391162213955586</v>
      </c>
      <c r="BC99" s="21">
        <v>0.2903244872628406</v>
      </c>
      <c r="BD99" s="21">
        <v>0.27508313986321137</v>
      </c>
      <c r="BE99" s="21">
        <v>0.25992585102797439</v>
      </c>
      <c r="BF99" s="21">
        <v>0.24483819007175281</v>
      </c>
      <c r="BG99" s="21">
        <v>0.22978860739067292</v>
      </c>
      <c r="BH99" s="21">
        <v>0.21398879450569311</v>
      </c>
      <c r="BI99" s="21">
        <v>0.20030785017957928</v>
      </c>
      <c r="BJ99" s="21">
        <v>0.18532088405625813</v>
      </c>
      <c r="BK99" s="21">
        <v>0.17364686239042715</v>
      </c>
      <c r="BL99" s="21">
        <v>0.3190155011241273</v>
      </c>
      <c r="BM99" s="21">
        <v>0.32903954802259888</v>
      </c>
      <c r="BN99" s="21">
        <v>0.33651174194954503</v>
      </c>
      <c r="BO99" s="21">
        <v>0.3415977961432507</v>
      </c>
      <c r="BP99" s="21">
        <v>0.34417541307284633</v>
      </c>
      <c r="BQ99" s="21">
        <v>0.34320987654320989</v>
      </c>
      <c r="BR99" s="21">
        <v>0.34070568871515278</v>
      </c>
      <c r="BS99" s="21">
        <v>0.3342491317194547</v>
      </c>
      <c r="BT99" s="21">
        <v>0.32613402334055025</v>
      </c>
      <c r="BU99" s="21">
        <v>0.3161094224924012</v>
      </c>
      <c r="BV99" s="21">
        <v>0.30391162213955586</v>
      </c>
      <c r="BW99" s="21">
        <v>0.2903244872628406</v>
      </c>
      <c r="BX99" s="21">
        <v>0.27508313986321137</v>
      </c>
      <c r="BY99" s="21">
        <v>0.25992585102797439</v>
      </c>
      <c r="BZ99" s="21">
        <v>0.24483819007175281</v>
      </c>
      <c r="CA99" s="21">
        <v>0.22978860739067292</v>
      </c>
      <c r="CB99" s="21">
        <v>0.21398879450569311</v>
      </c>
      <c r="CC99" s="21">
        <v>0.20030785017957928</v>
      </c>
      <c r="CD99" s="21">
        <v>0.18532088405625813</v>
      </c>
      <c r="CE99" s="21">
        <v>0.17364686239042715</v>
      </c>
    </row>
    <row r="100" spans="3:83" x14ac:dyDescent="0.2">
      <c r="C100" s="15" t="s">
        <v>412</v>
      </c>
      <c r="D100" s="46">
        <v>8.874689385871494E-2</v>
      </c>
      <c r="E100" s="46">
        <v>0.10621468926553672</v>
      </c>
      <c r="F100" s="46">
        <v>0.1253201111534899</v>
      </c>
      <c r="G100" s="46">
        <v>0.14515787243059972</v>
      </c>
      <c r="H100" s="46">
        <v>0.16626831549412865</v>
      </c>
      <c r="I100" s="46">
        <v>0.18827160493827161</v>
      </c>
      <c r="J100" s="46">
        <v>0.20882625244316427</v>
      </c>
      <c r="K100" s="46">
        <v>0.22912238867865845</v>
      </c>
      <c r="L100" s="46">
        <v>0.2471352378940698</v>
      </c>
      <c r="M100" s="46">
        <v>0.26378636561007379</v>
      </c>
      <c r="N100" s="46">
        <v>0.27618081388794952</v>
      </c>
      <c r="O100" s="46">
        <v>0.287251019563804</v>
      </c>
      <c r="P100" s="46">
        <v>0.29365627156930413</v>
      </c>
      <c r="Q100" s="46">
        <v>0.29794405123019885</v>
      </c>
      <c r="R100" s="46">
        <v>0.29726167813735538</v>
      </c>
      <c r="S100" s="46">
        <v>0.29530417944166532</v>
      </c>
      <c r="T100" s="46">
        <v>0.28917404662931501</v>
      </c>
      <c r="U100" s="46">
        <v>0.28116983068240126</v>
      </c>
      <c r="V100" s="46">
        <v>0.27183548043966432</v>
      </c>
      <c r="W100" s="46">
        <v>0.26158341449839989</v>
      </c>
      <c r="X100" s="46">
        <v>8.874689385871494E-2</v>
      </c>
      <c r="Y100" s="46">
        <v>0.10621468926553672</v>
      </c>
      <c r="Z100" s="46">
        <v>0.1253201111534899</v>
      </c>
      <c r="AA100" s="46">
        <v>0.14515787243059972</v>
      </c>
      <c r="AB100" s="46">
        <v>0.16626831549412865</v>
      </c>
      <c r="AC100" s="46">
        <v>0.18827160493827161</v>
      </c>
      <c r="AD100" s="46">
        <v>0.20882625244316427</v>
      </c>
      <c r="AE100" s="46">
        <v>0.22912238867865845</v>
      </c>
      <c r="AF100" s="46">
        <v>0.2471352378940698</v>
      </c>
      <c r="AG100" s="46">
        <v>0.26378636561007379</v>
      </c>
      <c r="AH100" s="46">
        <v>0.27618081388794952</v>
      </c>
      <c r="AI100" s="46">
        <v>0.287251019563804</v>
      </c>
      <c r="AJ100" s="46">
        <v>0.29365627156930413</v>
      </c>
      <c r="AK100" s="46">
        <v>0.29794405123019885</v>
      </c>
      <c r="AL100" s="46">
        <v>0.29726167813735538</v>
      </c>
      <c r="AM100" s="46">
        <v>0.29530417944166532</v>
      </c>
      <c r="AN100" s="46">
        <v>0.28917404662931501</v>
      </c>
      <c r="AO100" s="46">
        <v>0.28116983068240126</v>
      </c>
      <c r="AP100" s="46">
        <v>0.27183548043966432</v>
      </c>
      <c r="AQ100" s="21">
        <v>0.26158341449839989</v>
      </c>
      <c r="AR100" s="21">
        <v>8.874689385871494E-2</v>
      </c>
      <c r="AS100" s="21">
        <v>0.10621468926553672</v>
      </c>
      <c r="AT100" s="21">
        <v>0.1253201111534899</v>
      </c>
      <c r="AU100" s="21">
        <v>0.14515787243059972</v>
      </c>
      <c r="AV100" s="21">
        <v>0.16626831549412865</v>
      </c>
      <c r="AW100" s="21">
        <v>0.18827160493827161</v>
      </c>
      <c r="AX100" s="21">
        <v>0.20882625244316427</v>
      </c>
      <c r="AY100" s="21">
        <v>0.22912238867865845</v>
      </c>
      <c r="AZ100" s="21">
        <v>0.2471352378940698</v>
      </c>
      <c r="BA100" s="21">
        <v>0.26378636561007379</v>
      </c>
      <c r="BB100" s="21">
        <v>0.27618081388794952</v>
      </c>
      <c r="BC100" s="21">
        <v>0.287251019563804</v>
      </c>
      <c r="BD100" s="21">
        <v>0.29365627156930413</v>
      </c>
      <c r="BE100" s="21">
        <v>0.29794405123019885</v>
      </c>
      <c r="BF100" s="21">
        <v>0.29726167813735538</v>
      </c>
      <c r="BG100" s="21">
        <v>0.29530417944166532</v>
      </c>
      <c r="BH100" s="21">
        <v>0.28917404662931501</v>
      </c>
      <c r="BI100" s="21">
        <v>0.28116983068240126</v>
      </c>
      <c r="BJ100" s="21">
        <v>0.27183548043966432</v>
      </c>
      <c r="BK100" s="21">
        <v>0.26158341449839989</v>
      </c>
      <c r="BL100" s="21">
        <v>8.874689385871494E-2</v>
      </c>
      <c r="BM100" s="21">
        <v>0.10621468926553672</v>
      </c>
      <c r="BN100" s="21">
        <v>0.1253201111534899</v>
      </c>
      <c r="BO100" s="21">
        <v>0.14515787243059972</v>
      </c>
      <c r="BP100" s="21">
        <v>0.16626831549412865</v>
      </c>
      <c r="BQ100" s="21">
        <v>0.18827160493827161</v>
      </c>
      <c r="BR100" s="21">
        <v>0.20882625244316427</v>
      </c>
      <c r="BS100" s="21">
        <v>0.22912238867865845</v>
      </c>
      <c r="BT100" s="21">
        <v>0.2471352378940698</v>
      </c>
      <c r="BU100" s="21">
        <v>0.26378636561007379</v>
      </c>
      <c r="BV100" s="21">
        <v>0.27618081388794952</v>
      </c>
      <c r="BW100" s="21">
        <v>0.287251019563804</v>
      </c>
      <c r="BX100" s="21">
        <v>0.29365627156930413</v>
      </c>
      <c r="BY100" s="21">
        <v>0.29794405123019885</v>
      </c>
      <c r="BZ100" s="21">
        <v>0.29726167813735538</v>
      </c>
      <c r="CA100" s="21">
        <v>0.29530417944166532</v>
      </c>
      <c r="CB100" s="21">
        <v>0.28917404662931501</v>
      </c>
      <c r="CC100" s="21">
        <v>0.28116983068240126</v>
      </c>
      <c r="CD100" s="21">
        <v>0.27183548043966432</v>
      </c>
      <c r="CE100" s="21">
        <v>0.26158341449839989</v>
      </c>
    </row>
    <row r="101" spans="3:83" x14ac:dyDescent="0.2">
      <c r="C101" s="15" t="s">
        <v>413</v>
      </c>
      <c r="D101" s="46">
        <v>4.9698260560880371E-3</v>
      </c>
      <c r="E101" s="46">
        <v>7.1186440677966098E-3</v>
      </c>
      <c r="F101" s="46">
        <v>1.0298043916525909E-2</v>
      </c>
      <c r="G101" s="46">
        <v>1.5575333757151939E-2</v>
      </c>
      <c r="H101" s="46">
        <v>2.1822716408604385E-2</v>
      </c>
      <c r="I101" s="46">
        <v>3.0246913580246913E-2</v>
      </c>
      <c r="J101" s="46">
        <v>4.1045159962966773E-2</v>
      </c>
      <c r="K101" s="46">
        <v>5.5518117256751855E-2</v>
      </c>
      <c r="L101" s="46">
        <v>7.208111105243703E-2</v>
      </c>
      <c r="M101" s="46">
        <v>9.1185410334346503E-2</v>
      </c>
      <c r="N101" s="46">
        <v>0.11362867771389923</v>
      </c>
      <c r="O101" s="46">
        <v>0.13777410012412081</v>
      </c>
      <c r="P101" s="46">
        <v>0.16471104975842379</v>
      </c>
      <c r="Q101" s="46">
        <v>0.1911021233569262</v>
      </c>
      <c r="R101" s="46">
        <v>0.21833357739054035</v>
      </c>
      <c r="S101" s="46">
        <v>0.24398902694852348</v>
      </c>
      <c r="T101" s="46">
        <v>0.26947406470269292</v>
      </c>
      <c r="U101" s="46">
        <v>0.2909184197024115</v>
      </c>
      <c r="V101" s="46">
        <v>0.31024701571918212</v>
      </c>
      <c r="W101" s="46">
        <v>0.32433560595519689</v>
      </c>
      <c r="X101" s="46">
        <v>4.9698260560880371E-3</v>
      </c>
      <c r="Y101" s="46">
        <v>7.1186440677966098E-3</v>
      </c>
      <c r="Z101" s="46">
        <v>1.0298043916525909E-2</v>
      </c>
      <c r="AA101" s="46">
        <v>1.5575333757151939E-2</v>
      </c>
      <c r="AB101" s="46">
        <v>2.1822716408604385E-2</v>
      </c>
      <c r="AC101" s="46">
        <v>3.0246913580246913E-2</v>
      </c>
      <c r="AD101" s="46">
        <v>4.1045159962966773E-2</v>
      </c>
      <c r="AE101" s="46">
        <v>5.5518117256751855E-2</v>
      </c>
      <c r="AF101" s="46">
        <v>7.208111105243703E-2</v>
      </c>
      <c r="AG101" s="46">
        <v>9.1185410334346503E-2</v>
      </c>
      <c r="AH101" s="46">
        <v>0.11362867771389923</v>
      </c>
      <c r="AI101" s="46">
        <v>0.13777410012412081</v>
      </c>
      <c r="AJ101" s="46">
        <v>0.16471104975842379</v>
      </c>
      <c r="AK101" s="46">
        <v>0.1911021233569262</v>
      </c>
      <c r="AL101" s="46">
        <v>0.21833357739054035</v>
      </c>
      <c r="AM101" s="46">
        <v>0.24398902694852348</v>
      </c>
      <c r="AN101" s="46">
        <v>0.26947406470269292</v>
      </c>
      <c r="AO101" s="46">
        <v>0.2909184197024115</v>
      </c>
      <c r="AP101" s="46">
        <v>0.31024701571918212</v>
      </c>
      <c r="AQ101" s="21">
        <v>0.32433560595519689</v>
      </c>
      <c r="AR101" s="21">
        <v>4.9698260560880371E-3</v>
      </c>
      <c r="AS101" s="21">
        <v>7.1186440677966098E-3</v>
      </c>
      <c r="AT101" s="21">
        <v>1.0298043916525909E-2</v>
      </c>
      <c r="AU101" s="21">
        <v>1.5575333757151939E-2</v>
      </c>
      <c r="AV101" s="21">
        <v>2.1822716408604385E-2</v>
      </c>
      <c r="AW101" s="21">
        <v>3.0246913580246913E-2</v>
      </c>
      <c r="AX101" s="21">
        <v>4.1045159962966773E-2</v>
      </c>
      <c r="AY101" s="21">
        <v>5.5518117256751855E-2</v>
      </c>
      <c r="AZ101" s="21">
        <v>7.208111105243703E-2</v>
      </c>
      <c r="BA101" s="21">
        <v>9.1185410334346503E-2</v>
      </c>
      <c r="BB101" s="21">
        <v>0.11362867771389923</v>
      </c>
      <c r="BC101" s="21">
        <v>0.13777410012412081</v>
      </c>
      <c r="BD101" s="21">
        <v>0.16471104975842379</v>
      </c>
      <c r="BE101" s="21">
        <v>0.1911021233569262</v>
      </c>
      <c r="BF101" s="21">
        <v>0.21833357739054035</v>
      </c>
      <c r="BG101" s="21">
        <v>0.24398902694852348</v>
      </c>
      <c r="BH101" s="21">
        <v>0.26947406470269292</v>
      </c>
      <c r="BI101" s="21">
        <v>0.2909184197024115</v>
      </c>
      <c r="BJ101" s="21">
        <v>0.31024701571918212</v>
      </c>
      <c r="BK101" s="21">
        <v>0.32433560595519689</v>
      </c>
      <c r="BL101" s="21">
        <v>4.9698260560880371E-3</v>
      </c>
      <c r="BM101" s="21">
        <v>7.1186440677966098E-3</v>
      </c>
      <c r="BN101" s="21">
        <v>1.0298043916525909E-2</v>
      </c>
      <c r="BO101" s="21">
        <v>1.5575333757151939E-2</v>
      </c>
      <c r="BP101" s="21">
        <v>2.1822716408604385E-2</v>
      </c>
      <c r="BQ101" s="21">
        <v>3.0246913580246913E-2</v>
      </c>
      <c r="BR101" s="21">
        <v>4.1045159962966773E-2</v>
      </c>
      <c r="BS101" s="21">
        <v>5.5518117256751855E-2</v>
      </c>
      <c r="BT101" s="21">
        <v>7.208111105243703E-2</v>
      </c>
      <c r="BU101" s="21">
        <v>9.1185410334346503E-2</v>
      </c>
      <c r="BV101" s="21">
        <v>0.11362867771389923</v>
      </c>
      <c r="BW101" s="21">
        <v>0.13777410012412081</v>
      </c>
      <c r="BX101" s="21">
        <v>0.16471104975842379</v>
      </c>
      <c r="BY101" s="21">
        <v>0.1911021233569262</v>
      </c>
      <c r="BZ101" s="21">
        <v>0.21833357739054035</v>
      </c>
      <c r="CA101" s="21">
        <v>0.24398902694852348</v>
      </c>
      <c r="CB101" s="21">
        <v>0.26947406470269292</v>
      </c>
      <c r="CC101" s="21">
        <v>0.2909184197024115</v>
      </c>
      <c r="CD101" s="21">
        <v>0.31024701571918212</v>
      </c>
      <c r="CE101" s="21">
        <v>0.32433560595519689</v>
      </c>
    </row>
    <row r="102" spans="3:83" x14ac:dyDescent="0.2">
      <c r="C102" s="15" t="s">
        <v>414</v>
      </c>
      <c r="D102" s="46">
        <v>0</v>
      </c>
      <c r="E102" s="46">
        <v>0</v>
      </c>
      <c r="F102" s="46">
        <v>0</v>
      </c>
      <c r="G102" s="46">
        <v>0</v>
      </c>
      <c r="H102" s="46">
        <v>0</v>
      </c>
      <c r="I102" s="46">
        <v>4.1152263374485596E-4</v>
      </c>
      <c r="J102" s="46">
        <v>4.1148030038061929E-4</v>
      </c>
      <c r="K102" s="46">
        <v>8.294023119589446E-4</v>
      </c>
      <c r="L102" s="46">
        <v>1.2673601943285632E-3</v>
      </c>
      <c r="M102" s="46">
        <v>2.1710811984368217E-3</v>
      </c>
      <c r="N102" s="46">
        <v>4.0581670612106864E-3</v>
      </c>
      <c r="O102" s="46">
        <v>6.6197765825403388E-3</v>
      </c>
      <c r="P102" s="46">
        <v>1.0039530651942023E-2</v>
      </c>
      <c r="Q102" s="46">
        <v>1.5099427030670711E-2</v>
      </c>
      <c r="R102" s="46">
        <v>2.2258017279250256E-2</v>
      </c>
      <c r="S102" s="46">
        <v>3.0982733580764886E-2</v>
      </c>
      <c r="T102" s="46">
        <v>4.2653171877823963E-2</v>
      </c>
      <c r="U102" s="46">
        <v>5.6644433042585943E-2</v>
      </c>
      <c r="V102" s="46">
        <v>7.3750147736674154E-2</v>
      </c>
      <c r="W102" s="46">
        <v>9.2389035759009322E-2</v>
      </c>
      <c r="X102" s="46">
        <v>0</v>
      </c>
      <c r="Y102" s="46">
        <v>0</v>
      </c>
      <c r="Z102" s="46">
        <v>0</v>
      </c>
      <c r="AA102" s="46">
        <v>0</v>
      </c>
      <c r="AB102" s="46">
        <v>0</v>
      </c>
      <c r="AC102" s="46">
        <v>4.1152263374485596E-4</v>
      </c>
      <c r="AD102" s="46">
        <v>4.1148030038061929E-4</v>
      </c>
      <c r="AE102" s="46">
        <v>8.294023119589446E-4</v>
      </c>
      <c r="AF102" s="46">
        <v>1.2673601943285632E-3</v>
      </c>
      <c r="AG102" s="46">
        <v>2.1710811984368217E-3</v>
      </c>
      <c r="AH102" s="46">
        <v>4.0581670612106864E-3</v>
      </c>
      <c r="AI102" s="46">
        <v>6.6197765825403388E-3</v>
      </c>
      <c r="AJ102" s="46">
        <v>1.0039530651942023E-2</v>
      </c>
      <c r="AK102" s="46">
        <v>1.5099427030670711E-2</v>
      </c>
      <c r="AL102" s="46">
        <v>2.2258017279250256E-2</v>
      </c>
      <c r="AM102" s="46">
        <v>3.0982733580764886E-2</v>
      </c>
      <c r="AN102" s="46">
        <v>4.2653171877823963E-2</v>
      </c>
      <c r="AO102" s="46">
        <v>5.6644433042585943E-2</v>
      </c>
      <c r="AP102" s="46">
        <v>7.3750147736674154E-2</v>
      </c>
      <c r="AQ102" s="21">
        <v>9.2389035759009322E-2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4.1152263374485596E-4</v>
      </c>
      <c r="AX102" s="21">
        <v>4.1148030038061929E-4</v>
      </c>
      <c r="AY102" s="21">
        <v>8.294023119589446E-4</v>
      </c>
      <c r="AZ102" s="21">
        <v>1.2673601943285632E-3</v>
      </c>
      <c r="BA102" s="21">
        <v>2.1710811984368217E-3</v>
      </c>
      <c r="BB102" s="21">
        <v>4.0581670612106864E-3</v>
      </c>
      <c r="BC102" s="21">
        <v>6.6197765825403388E-3</v>
      </c>
      <c r="BD102" s="21">
        <v>1.0039530651942023E-2</v>
      </c>
      <c r="BE102" s="21">
        <v>1.5099427030670711E-2</v>
      </c>
      <c r="BF102" s="21">
        <v>2.2258017279250256E-2</v>
      </c>
      <c r="BG102" s="21">
        <v>3.0982733580764886E-2</v>
      </c>
      <c r="BH102" s="21">
        <v>4.2653171877823963E-2</v>
      </c>
      <c r="BI102" s="21">
        <v>5.6644433042585943E-2</v>
      </c>
      <c r="BJ102" s="21">
        <v>7.3750147736674154E-2</v>
      </c>
      <c r="BK102" s="21">
        <v>9.2389035759009322E-2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4.1152263374485596E-4</v>
      </c>
      <c r="BR102" s="21">
        <v>4.1148030038061929E-4</v>
      </c>
      <c r="BS102" s="21">
        <v>8.294023119589446E-4</v>
      </c>
      <c r="BT102" s="21">
        <v>1.2673601943285632E-3</v>
      </c>
      <c r="BU102" s="21">
        <v>2.1710811984368217E-3</v>
      </c>
      <c r="BV102" s="21">
        <v>4.0581670612106864E-3</v>
      </c>
      <c r="BW102" s="21">
        <v>6.6197765825403388E-3</v>
      </c>
      <c r="BX102" s="21">
        <v>1.0039530651942023E-2</v>
      </c>
      <c r="BY102" s="21">
        <v>1.5099427030670711E-2</v>
      </c>
      <c r="BZ102" s="21">
        <v>2.2258017279250256E-2</v>
      </c>
      <c r="CA102" s="21">
        <v>3.0982733580764886E-2</v>
      </c>
      <c r="CB102" s="21">
        <v>4.2653171877823963E-2</v>
      </c>
      <c r="CC102" s="21">
        <v>5.6644433042585943E-2</v>
      </c>
      <c r="CD102" s="21">
        <v>7.3750147736674154E-2</v>
      </c>
      <c r="CE102" s="21">
        <v>9.2389035759009322E-2</v>
      </c>
    </row>
  </sheetData>
  <phoneticPr fontId="7" type="noConversion"/>
  <conditionalFormatting sqref="C1:C1048576">
    <cfRule type="colorScale" priority="3">
      <colorScale>
        <cfvo type="min"/>
        <cfvo type="max"/>
        <color theme="9" tint="0.59999389629810485"/>
        <color theme="7" tint="0.59999389629810485"/>
      </colorScale>
    </cfRule>
  </conditionalFormatting>
  <conditionalFormatting sqref="D2:CE85">
    <cfRule type="expression" dxfId="3" priority="13">
      <formula>AND(D2&lt;&gt;"",D2=0)</formula>
    </cfRule>
  </conditionalFormatting>
  <conditionalFormatting sqref="D98:CE10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{99927EAF-904B-41C8-B0E1-94FF02B98697}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927EAF-904B-41C8-B0E1-94FF02B986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D98:CE102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F171-3731-44E8-B7B6-E58291B86CA4}">
  <sheetPr>
    <tabColor rgb="FFA7DBEB"/>
  </sheetPr>
  <dimension ref="A1:CQ101"/>
  <sheetViews>
    <sheetView workbookViewId="0">
      <pane xSplit="3" ySplit="1" topLeftCell="BD2" activePane="bottomRight" state="frozen"/>
      <selection activeCell="CI19" sqref="CI19"/>
      <selection pane="topRight" activeCell="CI19" sqref="CI19"/>
      <selection pane="bottomLeft" activeCell="CI19" sqref="CI19"/>
      <selection pane="bottomRight" activeCell="BS89" sqref="BS89"/>
    </sheetView>
  </sheetViews>
  <sheetFormatPr defaultColWidth="9.625" defaultRowHeight="14.25" x14ac:dyDescent="0.2"/>
  <cols>
    <col min="1" max="1" width="8.5" style="16" bestFit="1" customWidth="1"/>
    <col min="2" max="2" width="11.5" style="16" bestFit="1" customWidth="1"/>
    <col min="3" max="3" width="9.375" style="16" bestFit="1" customWidth="1"/>
    <col min="43" max="83" width="9.625" style="16"/>
    <col min="96" max="16384" width="9.625" style="16"/>
  </cols>
  <sheetData>
    <row r="1" spans="1:95" s="27" customFormat="1" x14ac:dyDescent="0.2">
      <c r="A1" s="17" t="s">
        <v>92</v>
      </c>
      <c r="B1" s="17" t="s">
        <v>93</v>
      </c>
      <c r="C1" s="17" t="s">
        <v>398</v>
      </c>
      <c r="D1" s="30" t="s">
        <v>156</v>
      </c>
      <c r="E1" s="30" t="s">
        <v>157</v>
      </c>
      <c r="F1" s="30" t="s">
        <v>158</v>
      </c>
      <c r="G1" s="30" t="s">
        <v>159</v>
      </c>
      <c r="H1" s="30" t="s">
        <v>160</v>
      </c>
      <c r="I1" s="30" t="s">
        <v>161</v>
      </c>
      <c r="J1" s="30" t="s">
        <v>162</v>
      </c>
      <c r="K1" s="30" t="s">
        <v>163</v>
      </c>
      <c r="L1" s="30" t="s">
        <v>164</v>
      </c>
      <c r="M1" s="30" t="s">
        <v>165</v>
      </c>
      <c r="N1" s="30" t="s">
        <v>166</v>
      </c>
      <c r="O1" s="30" t="s">
        <v>167</v>
      </c>
      <c r="P1" s="30" t="s">
        <v>168</v>
      </c>
      <c r="Q1" s="30" t="s">
        <v>169</v>
      </c>
      <c r="R1" s="30" t="s">
        <v>170</v>
      </c>
      <c r="S1" s="30" t="s">
        <v>171</v>
      </c>
      <c r="T1" s="30" t="s">
        <v>172</v>
      </c>
      <c r="U1" s="30" t="s">
        <v>173</v>
      </c>
      <c r="V1" s="30" t="s">
        <v>174</v>
      </c>
      <c r="W1" s="30" t="s">
        <v>175</v>
      </c>
      <c r="X1" s="26" t="s">
        <v>136</v>
      </c>
      <c r="Y1" s="26" t="s">
        <v>137</v>
      </c>
      <c r="Z1" s="26" t="s">
        <v>138</v>
      </c>
      <c r="AA1" s="26" t="s">
        <v>139</v>
      </c>
      <c r="AB1" s="26" t="s">
        <v>140</v>
      </c>
      <c r="AC1" s="26" t="s">
        <v>141</v>
      </c>
      <c r="AD1" s="26" t="s">
        <v>142</v>
      </c>
      <c r="AE1" s="26" t="s">
        <v>143</v>
      </c>
      <c r="AF1" s="26" t="s">
        <v>144</v>
      </c>
      <c r="AG1" s="26" t="s">
        <v>145</v>
      </c>
      <c r="AH1" s="26" t="s">
        <v>146</v>
      </c>
      <c r="AI1" s="26" t="s">
        <v>147</v>
      </c>
      <c r="AJ1" s="26" t="s">
        <v>148</v>
      </c>
      <c r="AK1" s="26" t="s">
        <v>149</v>
      </c>
      <c r="AL1" s="26" t="s">
        <v>150</v>
      </c>
      <c r="AM1" s="26" t="s">
        <v>151</v>
      </c>
      <c r="AN1" s="26" t="s">
        <v>152</v>
      </c>
      <c r="AO1" s="26" t="s">
        <v>153</v>
      </c>
      <c r="AP1" s="26" t="s">
        <v>154</v>
      </c>
      <c r="AQ1" s="26" t="s">
        <v>155</v>
      </c>
      <c r="AR1" s="29" t="s">
        <v>116</v>
      </c>
      <c r="AS1" s="29" t="s">
        <v>117</v>
      </c>
      <c r="AT1" s="29" t="s">
        <v>118</v>
      </c>
      <c r="AU1" s="29" t="s">
        <v>119</v>
      </c>
      <c r="AV1" s="29" t="s">
        <v>120</v>
      </c>
      <c r="AW1" s="29" t="s">
        <v>121</v>
      </c>
      <c r="AX1" s="29" t="s">
        <v>122</v>
      </c>
      <c r="AY1" s="29" t="s">
        <v>123</v>
      </c>
      <c r="AZ1" s="29" t="s">
        <v>124</v>
      </c>
      <c r="BA1" s="29" t="s">
        <v>125</v>
      </c>
      <c r="BB1" s="29" t="s">
        <v>126</v>
      </c>
      <c r="BC1" s="29" t="s">
        <v>127</v>
      </c>
      <c r="BD1" s="29" t="s">
        <v>128</v>
      </c>
      <c r="BE1" s="29" t="s">
        <v>129</v>
      </c>
      <c r="BF1" s="29" t="s">
        <v>130</v>
      </c>
      <c r="BG1" s="29" t="s">
        <v>131</v>
      </c>
      <c r="BH1" s="29" t="s">
        <v>132</v>
      </c>
      <c r="BI1" s="29" t="s">
        <v>133</v>
      </c>
      <c r="BJ1" s="29" t="s">
        <v>134</v>
      </c>
      <c r="BK1" s="29" t="s">
        <v>135</v>
      </c>
      <c r="BL1" s="28" t="s">
        <v>94</v>
      </c>
      <c r="BM1" s="28" t="s">
        <v>95</v>
      </c>
      <c r="BN1" s="28" t="s">
        <v>96</v>
      </c>
      <c r="BO1" s="28" t="s">
        <v>97</v>
      </c>
      <c r="BP1" s="28" t="s">
        <v>98</v>
      </c>
      <c r="BQ1" s="28" t="s">
        <v>99</v>
      </c>
      <c r="BR1" s="28" t="s">
        <v>100</v>
      </c>
      <c r="BS1" s="28" t="s">
        <v>101</v>
      </c>
      <c r="BT1" s="28" t="s">
        <v>102</v>
      </c>
      <c r="BU1" s="28" t="s">
        <v>103</v>
      </c>
      <c r="BV1" s="28" t="s">
        <v>104</v>
      </c>
      <c r="BW1" s="28" t="s">
        <v>105</v>
      </c>
      <c r="BX1" s="28" t="s">
        <v>106</v>
      </c>
      <c r="BY1" s="28" t="s">
        <v>107</v>
      </c>
      <c r="BZ1" s="28" t="s">
        <v>108</v>
      </c>
      <c r="CA1" s="28" t="s">
        <v>109</v>
      </c>
      <c r="CB1" s="28" t="s">
        <v>110</v>
      </c>
      <c r="CC1" s="28" t="s">
        <v>111</v>
      </c>
      <c r="CD1" s="28" t="s">
        <v>112</v>
      </c>
      <c r="CE1" s="28" t="s">
        <v>113</v>
      </c>
    </row>
    <row r="2" spans="1:95" x14ac:dyDescent="0.2">
      <c r="A2" s="16">
        <v>300011</v>
      </c>
      <c r="B2" s="16" t="s">
        <v>200</v>
      </c>
      <c r="C2" s="16">
        <v>0</v>
      </c>
      <c r="D2" s="16" cm="1">
        <f t="array" ref="D2">IFERROR(INDEX(_xlfn.ANCHORARRAY(_xlfn.XLOOKUP($C2,'-ref_Distribution'!$B$146:$B$150,'-ref_Distribution'!$G$146:$G$150)),RIGHT(D$1,2)),"")</f>
        <v>709</v>
      </c>
      <c r="E2" s="16" cm="1">
        <f t="array" ref="E2">IFERROR(INDEX(_xlfn.ANCHORARRAY(_xlfn.XLOOKUP($C2,'-ref_Distribution'!$B$146:$B$150,'-ref_Distribution'!$G$146:$G$150)),RIGHT(E$1,2)),"")</f>
        <v>705</v>
      </c>
      <c r="F2" s="16" cm="1">
        <f t="array" ref="F2">IFERROR(INDEX(_xlfn.ANCHORARRAY(_xlfn.XLOOKUP($C2,'-ref_Distribution'!$B$146:$B$150,'-ref_Distribution'!$G$146:$G$150)),RIGHT(F$1,2)),"")</f>
        <v>692</v>
      </c>
      <c r="G2" s="16" cm="1">
        <f t="array" ref="G2">IFERROR(INDEX(_xlfn.ANCHORARRAY(_xlfn.XLOOKUP($C2,'-ref_Distribution'!$B$146:$B$150,'-ref_Distribution'!$G$146:$G$150)),RIGHT(G$1,2)),"")</f>
        <v>671</v>
      </c>
      <c r="H2" s="16" cm="1">
        <f t="array" ref="H2">IFERROR(INDEX(_xlfn.ANCHORARRAY(_xlfn.XLOOKUP($C2,'-ref_Distribution'!$B$146:$B$150,'-ref_Distribution'!$G$146:$G$150)),RIGHT(H$1,2)),"")</f>
        <v>643</v>
      </c>
      <c r="I2" s="16" cm="1">
        <f t="array" ref="I2">IFERROR(INDEX(_xlfn.ANCHORARRAY(_xlfn.XLOOKUP($C2,'-ref_Distribution'!$B$146:$B$150,'-ref_Distribution'!$G$146:$G$150)),RIGHT(I$1,2)),"")</f>
        <v>608</v>
      </c>
      <c r="J2" s="16" cm="1">
        <f t="array" ref="J2">IFERROR(INDEX(_xlfn.ANCHORARRAY(_xlfn.XLOOKUP($C2,'-ref_Distribution'!$B$146:$B$150,'-ref_Distribution'!$G$146:$G$150)),RIGHT(J$1,2)),"")</f>
        <v>568</v>
      </c>
      <c r="K2" s="16" cm="1">
        <f t="array" ref="K2">IFERROR(INDEX(_xlfn.ANCHORARRAY(_xlfn.XLOOKUP($C2,'-ref_Distribution'!$B$146:$B$150,'-ref_Distribution'!$G$146:$G$150)),RIGHT(K$1,2)),"")</f>
        <v>524</v>
      </c>
      <c r="L2" s="16" cm="1">
        <f t="array" ref="L2">IFERROR(INDEX(_xlfn.ANCHORARRAY(_xlfn.XLOOKUP($C2,'-ref_Distribution'!$B$146:$B$150,'-ref_Distribution'!$G$146:$G$150)),RIGHT(L$1,2)),"")</f>
        <v>478</v>
      </c>
      <c r="M2" s="16" cm="1">
        <f t="array" ref="M2">IFERROR(INDEX(_xlfn.ANCHORARRAY(_xlfn.XLOOKUP($C2,'-ref_Distribution'!$B$146:$B$150,'-ref_Distribution'!$G$146:$G$150)),RIGHT(M$1,2)),"")</f>
        <v>430</v>
      </c>
      <c r="N2" s="16" cm="1">
        <f t="array" ref="N2">IFERROR(INDEX(_xlfn.ANCHORARRAY(_xlfn.XLOOKUP($C2,'-ref_Distribution'!$B$146:$B$150,'-ref_Distribution'!$G$146:$G$150)),RIGHT(N$1,2)),"")</f>
        <v>383</v>
      </c>
      <c r="O2" s="16" cm="1">
        <f t="array" ref="O2">IFERROR(INDEX(_xlfn.ANCHORARRAY(_xlfn.XLOOKUP($C2,'-ref_Distribution'!$B$146:$B$150,'-ref_Distribution'!$G$146:$G$150)),RIGHT(O$1,2)),"")</f>
        <v>336</v>
      </c>
      <c r="P2" s="16" cm="1">
        <f t="array" ref="P2">IFERROR(INDEX(_xlfn.ANCHORARRAY(_xlfn.XLOOKUP($C2,'-ref_Distribution'!$B$146:$B$150,'-ref_Distribution'!$G$146:$G$150)),RIGHT(P$1,2)),"")</f>
        <v>292</v>
      </c>
      <c r="Q2" s="16" cm="1">
        <f t="array" ref="Q2">IFERROR(INDEX(_xlfn.ANCHORARRAY(_xlfn.XLOOKUP($C2,'-ref_Distribution'!$B$146:$B$150,'-ref_Distribution'!$G$146:$G$150)),RIGHT(Q$1,2)),"")</f>
        <v>250</v>
      </c>
      <c r="R2" s="16" cm="1">
        <f t="array" ref="R2">IFERROR(INDEX(_xlfn.ANCHORARRAY(_xlfn.XLOOKUP($C2,'-ref_Distribution'!$B$146:$B$150,'-ref_Distribution'!$G$146:$G$150)),RIGHT(R$1,2)),"")</f>
        <v>212</v>
      </c>
      <c r="S2" s="16" cm="1">
        <f t="array" ref="S2">IFERROR(INDEX(_xlfn.ANCHORARRAY(_xlfn.XLOOKUP($C2,'-ref_Distribution'!$B$146:$B$150,'-ref_Distribution'!$G$146:$G$150)),RIGHT(S$1,2)),"")</f>
        <v>177</v>
      </c>
      <c r="T2" s="16" cm="1">
        <f t="array" ref="T2">IFERROR(INDEX(_xlfn.ANCHORARRAY(_xlfn.XLOOKUP($C2,'-ref_Distribution'!$B$146:$B$150,'-ref_Distribution'!$G$146:$G$150)),RIGHT(T$1,2)),"")</f>
        <v>146</v>
      </c>
      <c r="U2" s="16" cm="1">
        <f t="array" ref="U2">IFERROR(INDEX(_xlfn.ANCHORARRAY(_xlfn.XLOOKUP($C2,'-ref_Distribution'!$B$146:$B$150,'-ref_Distribution'!$G$146:$G$150)),RIGHT(U$1,2)),"")</f>
        <v>119</v>
      </c>
      <c r="V2" s="16" cm="1">
        <f t="array" ref="V2">IFERROR(INDEX(_xlfn.ANCHORARRAY(_xlfn.XLOOKUP($C2,'-ref_Distribution'!$B$146:$B$150,'-ref_Distribution'!$G$146:$G$150)),RIGHT(V$1,2)),"")</f>
        <v>96</v>
      </c>
      <c r="W2" s="16" cm="1">
        <f t="array" ref="W2">IFERROR(INDEX(_xlfn.ANCHORARRAY(_xlfn.XLOOKUP($C2,'-ref_Distribution'!$B$146:$B$150,'-ref_Distribution'!$G$146:$G$150)),RIGHT(W$1,2)),"")</f>
        <v>76</v>
      </c>
      <c r="X2" s="16" cm="1">
        <f t="array" ref="X2">IFERROR(INDEX(_xlfn.ANCHORARRAY(_xlfn.XLOOKUP($C2,'-ref_Distribution'!$B$146:$B$150,'-ref_Distribution'!$G$146:$G$150)),RIGHT(X$1,2)),"")</f>
        <v>709</v>
      </c>
      <c r="Y2" s="16" cm="1">
        <f t="array" ref="Y2">IFERROR(INDEX(_xlfn.ANCHORARRAY(_xlfn.XLOOKUP($C2,'-ref_Distribution'!$B$146:$B$150,'-ref_Distribution'!$G$146:$G$150)),RIGHT(Y$1,2)),"")</f>
        <v>705</v>
      </c>
      <c r="Z2" s="16" cm="1">
        <f t="array" ref="Z2">IFERROR(INDEX(_xlfn.ANCHORARRAY(_xlfn.XLOOKUP($C2,'-ref_Distribution'!$B$146:$B$150,'-ref_Distribution'!$G$146:$G$150)),RIGHT(Z$1,2)),"")</f>
        <v>692</v>
      </c>
      <c r="AA2" s="16" cm="1">
        <f t="array" ref="AA2">IFERROR(INDEX(_xlfn.ANCHORARRAY(_xlfn.XLOOKUP($C2,'-ref_Distribution'!$B$146:$B$150,'-ref_Distribution'!$G$146:$G$150)),RIGHT(AA$1,2)),"")</f>
        <v>671</v>
      </c>
      <c r="AB2" s="16" cm="1">
        <f t="array" ref="AB2">IFERROR(INDEX(_xlfn.ANCHORARRAY(_xlfn.XLOOKUP($C2,'-ref_Distribution'!$B$146:$B$150,'-ref_Distribution'!$G$146:$G$150)),RIGHT(AB$1,2)),"")</f>
        <v>643</v>
      </c>
      <c r="AC2" s="16" cm="1">
        <f t="array" ref="AC2">IFERROR(INDEX(_xlfn.ANCHORARRAY(_xlfn.XLOOKUP($C2,'-ref_Distribution'!$B$146:$B$150,'-ref_Distribution'!$G$146:$G$150)),RIGHT(AC$1,2)),"")</f>
        <v>608</v>
      </c>
      <c r="AD2" s="16" cm="1">
        <f t="array" ref="AD2">IFERROR(INDEX(_xlfn.ANCHORARRAY(_xlfn.XLOOKUP($C2,'-ref_Distribution'!$B$146:$B$150,'-ref_Distribution'!$G$146:$G$150)),RIGHT(AD$1,2)),"")</f>
        <v>568</v>
      </c>
      <c r="AE2" s="16" cm="1">
        <f t="array" ref="AE2">IFERROR(INDEX(_xlfn.ANCHORARRAY(_xlfn.XLOOKUP($C2,'-ref_Distribution'!$B$146:$B$150,'-ref_Distribution'!$G$146:$G$150)),RIGHT(AE$1,2)),"")</f>
        <v>524</v>
      </c>
      <c r="AF2" s="16" cm="1">
        <f t="array" ref="AF2">IFERROR(INDEX(_xlfn.ANCHORARRAY(_xlfn.XLOOKUP($C2,'-ref_Distribution'!$B$146:$B$150,'-ref_Distribution'!$G$146:$G$150)),RIGHT(AF$1,2)),"")</f>
        <v>478</v>
      </c>
      <c r="AG2" s="16" cm="1">
        <f t="array" ref="AG2">IFERROR(INDEX(_xlfn.ANCHORARRAY(_xlfn.XLOOKUP($C2,'-ref_Distribution'!$B$146:$B$150,'-ref_Distribution'!$G$146:$G$150)),RIGHT(AG$1,2)),"")</f>
        <v>430</v>
      </c>
      <c r="AH2" s="16" cm="1">
        <f t="array" ref="AH2">IFERROR(INDEX(_xlfn.ANCHORARRAY(_xlfn.XLOOKUP($C2,'-ref_Distribution'!$B$146:$B$150,'-ref_Distribution'!$G$146:$G$150)),RIGHT(AH$1,2)),"")</f>
        <v>383</v>
      </c>
      <c r="AI2" s="16" cm="1">
        <f t="array" ref="AI2">IFERROR(INDEX(_xlfn.ANCHORARRAY(_xlfn.XLOOKUP($C2,'-ref_Distribution'!$B$146:$B$150,'-ref_Distribution'!$G$146:$G$150)),RIGHT(AI$1,2)),"")</f>
        <v>336</v>
      </c>
      <c r="AJ2" s="16" cm="1">
        <f t="array" ref="AJ2">IFERROR(INDEX(_xlfn.ANCHORARRAY(_xlfn.XLOOKUP($C2,'-ref_Distribution'!$B$146:$B$150,'-ref_Distribution'!$G$146:$G$150)),RIGHT(AJ$1,2)),"")</f>
        <v>292</v>
      </c>
      <c r="AK2" s="16" cm="1">
        <f t="array" ref="AK2">IFERROR(INDEX(_xlfn.ANCHORARRAY(_xlfn.XLOOKUP($C2,'-ref_Distribution'!$B$146:$B$150,'-ref_Distribution'!$G$146:$G$150)),RIGHT(AK$1,2)),"")</f>
        <v>250</v>
      </c>
      <c r="AL2" s="16" cm="1">
        <f t="array" ref="AL2">IFERROR(INDEX(_xlfn.ANCHORARRAY(_xlfn.XLOOKUP($C2,'-ref_Distribution'!$B$146:$B$150,'-ref_Distribution'!$G$146:$G$150)),RIGHT(AL$1,2)),"")</f>
        <v>212</v>
      </c>
      <c r="AM2" s="16" cm="1">
        <f t="array" ref="AM2">IFERROR(INDEX(_xlfn.ANCHORARRAY(_xlfn.XLOOKUP($C2,'-ref_Distribution'!$B$146:$B$150,'-ref_Distribution'!$G$146:$G$150)),RIGHT(AM$1,2)),"")</f>
        <v>177</v>
      </c>
      <c r="AN2" s="16" cm="1">
        <f t="array" ref="AN2">IFERROR(INDEX(_xlfn.ANCHORARRAY(_xlfn.XLOOKUP($C2,'-ref_Distribution'!$B$146:$B$150,'-ref_Distribution'!$G$146:$G$150)),RIGHT(AN$1,2)),"")</f>
        <v>146</v>
      </c>
      <c r="AO2" s="16" cm="1">
        <f t="array" ref="AO2">IFERROR(INDEX(_xlfn.ANCHORARRAY(_xlfn.XLOOKUP($C2,'-ref_Distribution'!$B$146:$B$150,'-ref_Distribution'!$G$146:$G$150)),RIGHT(AO$1,2)),"")</f>
        <v>119</v>
      </c>
      <c r="AP2" s="16" cm="1">
        <f t="array" ref="AP2">IFERROR(INDEX(_xlfn.ANCHORARRAY(_xlfn.XLOOKUP($C2,'-ref_Distribution'!$B$146:$B$150,'-ref_Distribution'!$G$146:$G$150)),RIGHT(AP$1,2)),"")</f>
        <v>96</v>
      </c>
      <c r="AQ2" s="16" cm="1">
        <f t="array" ref="AQ2">IFERROR(INDEX(_xlfn.ANCHORARRAY(_xlfn.XLOOKUP($C2,'-ref_Distribution'!$B$146:$B$150,'-ref_Distribution'!$G$146:$G$150)),RIGHT(AQ$1,2)),"")</f>
        <v>76</v>
      </c>
      <c r="AR2" s="16" cm="1">
        <f t="array" ref="AR2">IFERROR(INDEX(_xlfn.ANCHORARRAY(_xlfn.XLOOKUP($C2,'-ref_Distribution'!$B$146:$B$150,'-ref_Distribution'!$G$146:$G$150)),RIGHT(AR$1,2)),"")</f>
        <v>709</v>
      </c>
      <c r="AS2" s="16" cm="1">
        <f t="array" ref="AS2">IFERROR(INDEX(_xlfn.ANCHORARRAY(_xlfn.XLOOKUP($C2,'-ref_Distribution'!$B$146:$B$150,'-ref_Distribution'!$G$146:$G$150)),RIGHT(AS$1,2)),"")</f>
        <v>705</v>
      </c>
      <c r="AT2" s="16" cm="1">
        <f t="array" ref="AT2">IFERROR(INDEX(_xlfn.ANCHORARRAY(_xlfn.XLOOKUP($C2,'-ref_Distribution'!$B$146:$B$150,'-ref_Distribution'!$G$146:$G$150)),RIGHT(AT$1,2)),"")</f>
        <v>692</v>
      </c>
      <c r="AU2" s="16" cm="1">
        <f t="array" ref="AU2">IFERROR(INDEX(_xlfn.ANCHORARRAY(_xlfn.XLOOKUP($C2,'-ref_Distribution'!$B$146:$B$150,'-ref_Distribution'!$G$146:$G$150)),RIGHT(AU$1,2)),"")</f>
        <v>671</v>
      </c>
      <c r="AV2" s="16" cm="1">
        <f t="array" ref="AV2">IFERROR(INDEX(_xlfn.ANCHORARRAY(_xlfn.XLOOKUP($C2,'-ref_Distribution'!$B$146:$B$150,'-ref_Distribution'!$G$146:$G$150)),RIGHT(AV$1,2)),"")</f>
        <v>643</v>
      </c>
      <c r="AW2" s="16" cm="1">
        <f t="array" ref="AW2">IFERROR(INDEX(_xlfn.ANCHORARRAY(_xlfn.XLOOKUP($C2,'-ref_Distribution'!$B$146:$B$150,'-ref_Distribution'!$G$146:$G$150)),RIGHT(AW$1,2)),"")</f>
        <v>608</v>
      </c>
      <c r="AX2" s="16" cm="1">
        <f t="array" ref="AX2">IFERROR(INDEX(_xlfn.ANCHORARRAY(_xlfn.XLOOKUP($C2,'-ref_Distribution'!$B$146:$B$150,'-ref_Distribution'!$G$146:$G$150)),RIGHT(AX$1,2)),"")</f>
        <v>568</v>
      </c>
      <c r="AY2" s="16" cm="1">
        <f t="array" ref="AY2">IFERROR(INDEX(_xlfn.ANCHORARRAY(_xlfn.XLOOKUP($C2,'-ref_Distribution'!$B$146:$B$150,'-ref_Distribution'!$G$146:$G$150)),RIGHT(AY$1,2)),"")</f>
        <v>524</v>
      </c>
      <c r="AZ2" s="16" cm="1">
        <f t="array" ref="AZ2">IFERROR(INDEX(_xlfn.ANCHORARRAY(_xlfn.XLOOKUP($C2,'-ref_Distribution'!$B$146:$B$150,'-ref_Distribution'!$G$146:$G$150)),RIGHT(AZ$1,2)),"")</f>
        <v>478</v>
      </c>
      <c r="BA2" s="16" cm="1">
        <f t="array" ref="BA2">IFERROR(INDEX(_xlfn.ANCHORARRAY(_xlfn.XLOOKUP($C2,'-ref_Distribution'!$B$146:$B$150,'-ref_Distribution'!$G$146:$G$150)),RIGHT(BA$1,2)),"")</f>
        <v>430</v>
      </c>
      <c r="BB2" s="16" cm="1">
        <f t="array" ref="BB2">IFERROR(INDEX(_xlfn.ANCHORARRAY(_xlfn.XLOOKUP($C2,'-ref_Distribution'!$B$146:$B$150,'-ref_Distribution'!$G$146:$G$150)),RIGHT(BB$1,2)),"")</f>
        <v>383</v>
      </c>
      <c r="BC2" s="16" cm="1">
        <f t="array" ref="BC2">IFERROR(INDEX(_xlfn.ANCHORARRAY(_xlfn.XLOOKUP($C2,'-ref_Distribution'!$B$146:$B$150,'-ref_Distribution'!$G$146:$G$150)),RIGHT(BC$1,2)),"")</f>
        <v>336</v>
      </c>
      <c r="BD2" s="16" cm="1">
        <f t="array" ref="BD2">IFERROR(INDEX(_xlfn.ANCHORARRAY(_xlfn.XLOOKUP($C2,'-ref_Distribution'!$B$146:$B$150,'-ref_Distribution'!$G$146:$G$150)),RIGHT(BD$1,2)),"")</f>
        <v>292</v>
      </c>
      <c r="BE2" s="16" cm="1">
        <f t="array" ref="BE2">IFERROR(INDEX(_xlfn.ANCHORARRAY(_xlfn.XLOOKUP($C2,'-ref_Distribution'!$B$146:$B$150,'-ref_Distribution'!$G$146:$G$150)),RIGHT(BE$1,2)),"")</f>
        <v>250</v>
      </c>
      <c r="BF2" s="16" cm="1">
        <f t="array" ref="BF2">IFERROR(INDEX(_xlfn.ANCHORARRAY(_xlfn.XLOOKUP($C2,'-ref_Distribution'!$B$146:$B$150,'-ref_Distribution'!$G$146:$G$150)),RIGHT(BF$1,2)),"")</f>
        <v>212</v>
      </c>
      <c r="BG2" s="16" cm="1">
        <f t="array" ref="BG2">IFERROR(INDEX(_xlfn.ANCHORARRAY(_xlfn.XLOOKUP($C2,'-ref_Distribution'!$B$146:$B$150,'-ref_Distribution'!$G$146:$G$150)),RIGHT(BG$1,2)),"")</f>
        <v>177</v>
      </c>
      <c r="BH2" s="16" cm="1">
        <f t="array" ref="BH2">IFERROR(INDEX(_xlfn.ANCHORARRAY(_xlfn.XLOOKUP($C2,'-ref_Distribution'!$B$146:$B$150,'-ref_Distribution'!$G$146:$G$150)),RIGHT(BH$1,2)),"")</f>
        <v>146</v>
      </c>
      <c r="BI2" s="16" cm="1">
        <f t="array" ref="BI2">IFERROR(INDEX(_xlfn.ANCHORARRAY(_xlfn.XLOOKUP($C2,'-ref_Distribution'!$B$146:$B$150,'-ref_Distribution'!$G$146:$G$150)),RIGHT(BI$1,2)),"")</f>
        <v>119</v>
      </c>
      <c r="BJ2" s="16" cm="1">
        <f t="array" ref="BJ2">IFERROR(INDEX(_xlfn.ANCHORARRAY(_xlfn.XLOOKUP($C2,'-ref_Distribution'!$B$146:$B$150,'-ref_Distribution'!$G$146:$G$150)),RIGHT(BJ$1,2)),"")</f>
        <v>96</v>
      </c>
      <c r="BK2" s="16" cm="1">
        <f t="array" ref="BK2">IFERROR(INDEX(_xlfn.ANCHORARRAY(_xlfn.XLOOKUP($C2,'-ref_Distribution'!$B$146:$B$150,'-ref_Distribution'!$G$146:$G$150)),RIGHT(BK$1,2)),"")</f>
        <v>76</v>
      </c>
      <c r="BL2" s="16" cm="1">
        <f t="array" ref="BL2">IFERROR(INDEX(_xlfn.ANCHORARRAY(_xlfn.XLOOKUP($C2,'-ref_Distribution'!$B$146:$B$150,'-ref_Distribution'!$G$146:$G$150)),RIGHT(BL$1,2)),"")</f>
        <v>709</v>
      </c>
      <c r="BM2" s="16" cm="1">
        <f t="array" ref="BM2">IFERROR(INDEX(_xlfn.ANCHORARRAY(_xlfn.XLOOKUP($C2,'-ref_Distribution'!$B$146:$B$150,'-ref_Distribution'!$G$146:$G$150)),RIGHT(BM$1,2)),"")</f>
        <v>705</v>
      </c>
      <c r="BN2" s="16" cm="1">
        <f t="array" ref="BN2">IFERROR(INDEX(_xlfn.ANCHORARRAY(_xlfn.XLOOKUP($C2,'-ref_Distribution'!$B$146:$B$150,'-ref_Distribution'!$G$146:$G$150)),RIGHT(BN$1,2)),"")</f>
        <v>692</v>
      </c>
      <c r="BO2" s="16" cm="1">
        <f t="array" ref="BO2">IFERROR(INDEX(_xlfn.ANCHORARRAY(_xlfn.XLOOKUP($C2,'-ref_Distribution'!$B$146:$B$150,'-ref_Distribution'!$G$146:$G$150)),RIGHT(BO$1,2)),"")</f>
        <v>671</v>
      </c>
      <c r="BP2" s="16" cm="1">
        <f t="array" ref="BP2">IFERROR(INDEX(_xlfn.ANCHORARRAY(_xlfn.XLOOKUP($C2,'-ref_Distribution'!$B$146:$B$150,'-ref_Distribution'!$G$146:$G$150)),RIGHT(BP$1,2)),"")</f>
        <v>643</v>
      </c>
      <c r="BQ2" s="16" cm="1">
        <f t="array" ref="BQ2">IFERROR(INDEX(_xlfn.ANCHORARRAY(_xlfn.XLOOKUP($C2,'-ref_Distribution'!$B$146:$B$150,'-ref_Distribution'!$G$146:$G$150)),RIGHT(BQ$1,2)),"")</f>
        <v>608</v>
      </c>
      <c r="BR2" s="16" cm="1">
        <f t="array" ref="BR2">IFERROR(INDEX(_xlfn.ANCHORARRAY(_xlfn.XLOOKUP($C2,'-ref_Distribution'!$B$146:$B$150,'-ref_Distribution'!$G$146:$G$150)),RIGHT(BR$1,2)),"")</f>
        <v>568</v>
      </c>
      <c r="BS2" s="16" cm="1">
        <f t="array" ref="BS2">IFERROR(INDEX(_xlfn.ANCHORARRAY(_xlfn.XLOOKUP($C2,'-ref_Distribution'!$B$146:$B$150,'-ref_Distribution'!$G$146:$G$150)),RIGHT(BS$1,2)),"")</f>
        <v>524</v>
      </c>
      <c r="BT2" s="16" cm="1">
        <f t="array" ref="BT2">IFERROR(INDEX(_xlfn.ANCHORARRAY(_xlfn.XLOOKUP($C2,'-ref_Distribution'!$B$146:$B$150,'-ref_Distribution'!$G$146:$G$150)),RIGHT(BT$1,2)),"")</f>
        <v>478</v>
      </c>
      <c r="BU2" s="16" cm="1">
        <f t="array" ref="BU2">IFERROR(INDEX(_xlfn.ANCHORARRAY(_xlfn.XLOOKUP($C2,'-ref_Distribution'!$B$146:$B$150,'-ref_Distribution'!$G$146:$G$150)),RIGHT(BU$1,2)),"")</f>
        <v>430</v>
      </c>
      <c r="BV2" s="16" cm="1">
        <f t="array" ref="BV2">IFERROR(INDEX(_xlfn.ANCHORARRAY(_xlfn.XLOOKUP($C2,'-ref_Distribution'!$B$146:$B$150,'-ref_Distribution'!$G$146:$G$150)),RIGHT(BV$1,2)),"")</f>
        <v>383</v>
      </c>
      <c r="BW2" s="16" cm="1">
        <f t="array" ref="BW2">IFERROR(INDEX(_xlfn.ANCHORARRAY(_xlfn.XLOOKUP($C2,'-ref_Distribution'!$B$146:$B$150,'-ref_Distribution'!$G$146:$G$150)),RIGHT(BW$1,2)),"")</f>
        <v>336</v>
      </c>
      <c r="BX2" s="16" cm="1">
        <f t="array" ref="BX2">IFERROR(INDEX(_xlfn.ANCHORARRAY(_xlfn.XLOOKUP($C2,'-ref_Distribution'!$B$146:$B$150,'-ref_Distribution'!$G$146:$G$150)),RIGHT(BX$1,2)),"")</f>
        <v>292</v>
      </c>
      <c r="BY2" s="16" cm="1">
        <f t="array" ref="BY2">IFERROR(INDEX(_xlfn.ANCHORARRAY(_xlfn.XLOOKUP($C2,'-ref_Distribution'!$B$146:$B$150,'-ref_Distribution'!$G$146:$G$150)),RIGHT(BY$1,2)),"")</f>
        <v>250</v>
      </c>
      <c r="BZ2" s="16" cm="1">
        <f t="array" ref="BZ2">IFERROR(INDEX(_xlfn.ANCHORARRAY(_xlfn.XLOOKUP($C2,'-ref_Distribution'!$B$146:$B$150,'-ref_Distribution'!$G$146:$G$150)),RIGHT(BZ$1,2)),"")</f>
        <v>212</v>
      </c>
      <c r="CA2" s="16" cm="1">
        <f t="array" ref="CA2">IFERROR(INDEX(_xlfn.ANCHORARRAY(_xlfn.XLOOKUP($C2,'-ref_Distribution'!$B$146:$B$150,'-ref_Distribution'!$G$146:$G$150)),RIGHT(CA$1,2)),"")</f>
        <v>177</v>
      </c>
      <c r="CB2" s="16" cm="1">
        <f t="array" ref="CB2">IFERROR(INDEX(_xlfn.ANCHORARRAY(_xlfn.XLOOKUP($C2,'-ref_Distribution'!$B$146:$B$150,'-ref_Distribution'!$G$146:$G$150)),RIGHT(CB$1,2)),"")</f>
        <v>146</v>
      </c>
      <c r="CC2" s="16" cm="1">
        <f t="array" ref="CC2">IFERROR(INDEX(_xlfn.ANCHORARRAY(_xlfn.XLOOKUP($C2,'-ref_Distribution'!$B$146:$B$150,'-ref_Distribution'!$G$146:$G$150)),RIGHT(CC$1,2)),"")</f>
        <v>119</v>
      </c>
      <c r="CD2" s="16" cm="1">
        <f t="array" ref="CD2">IFERROR(INDEX(_xlfn.ANCHORARRAY(_xlfn.XLOOKUP($C2,'-ref_Distribution'!$B$146:$B$150,'-ref_Distribution'!$G$146:$G$150)),RIGHT(CD$1,2)),"")</f>
        <v>96</v>
      </c>
      <c r="CE2" s="16" cm="1">
        <f t="array" ref="CE2">IFERROR(INDEX(_xlfn.ANCHORARRAY(_xlfn.XLOOKUP($C2,'-ref_Distribution'!$B$146:$B$150,'-ref_Distribution'!$G$146:$G$150)),RIGHT(CE$1,2)),"")</f>
        <v>76</v>
      </c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</row>
    <row r="3" spans="1:95" x14ac:dyDescent="0.2">
      <c r="A3" s="16">
        <v>300012</v>
      </c>
      <c r="B3" s="16" t="s">
        <v>200</v>
      </c>
      <c r="C3" s="16">
        <v>1</v>
      </c>
      <c r="D3" s="16" cm="1">
        <f t="array" ref="D3">IFERROR(INDEX(_xlfn.ANCHORARRAY(_xlfn.XLOOKUP($C3,'-ref_Distribution'!$B$146:$B$150,'-ref_Distribution'!$G$146:$G$150)),RIGHT(D$1,2)),"")</f>
        <v>337</v>
      </c>
      <c r="E3" s="16" cm="1">
        <f t="array" ref="E3">IFERROR(INDEX(_xlfn.ANCHORARRAY(_xlfn.XLOOKUP($C3,'-ref_Distribution'!$B$146:$B$150,'-ref_Distribution'!$G$146:$G$150)),RIGHT(E$1,2)),"")</f>
        <v>364</v>
      </c>
      <c r="F3" s="16" cm="1">
        <f t="array" ref="F3">IFERROR(INDEX(_xlfn.ANCHORARRAY(_xlfn.XLOOKUP($C3,'-ref_Distribution'!$B$146:$B$150,'-ref_Distribution'!$G$146:$G$150)),RIGHT(F$1,2)),"")</f>
        <v>386</v>
      </c>
      <c r="G3" s="16" cm="1">
        <f t="array" ref="G3">IFERROR(INDEX(_xlfn.ANCHORARRAY(_xlfn.XLOOKUP($C3,'-ref_Distribution'!$B$146:$B$150,'-ref_Distribution'!$G$146:$G$150)),RIGHT(G$1,2)),"")</f>
        <v>403</v>
      </c>
      <c r="H3" s="16" cm="1">
        <f t="array" ref="H3">IFERROR(INDEX(_xlfn.ANCHORARRAY(_xlfn.XLOOKUP($C3,'-ref_Distribution'!$B$146:$B$150,'-ref_Distribution'!$G$146:$G$150)),RIGHT(H$1,2)),"")</f>
        <v>414</v>
      </c>
      <c r="I3" s="16" cm="1">
        <f t="array" ref="I3">IFERROR(INDEX(_xlfn.ANCHORARRAY(_xlfn.XLOOKUP($C3,'-ref_Distribution'!$B$146:$B$150,'-ref_Distribution'!$G$146:$G$150)),RIGHT(I$1,2)),"")</f>
        <v>417</v>
      </c>
      <c r="J3" s="16" cm="1">
        <f t="array" ref="J3">IFERROR(INDEX(_xlfn.ANCHORARRAY(_xlfn.XLOOKUP($C3,'-ref_Distribution'!$B$146:$B$150,'-ref_Distribution'!$G$146:$G$150)),RIGHT(J$1,2)),"")</f>
        <v>414</v>
      </c>
      <c r="K3" s="16" cm="1">
        <f t="array" ref="K3">IFERROR(INDEX(_xlfn.ANCHORARRAY(_xlfn.XLOOKUP($C3,'-ref_Distribution'!$B$146:$B$150,'-ref_Distribution'!$G$146:$G$150)),RIGHT(K$1,2)),"")</f>
        <v>403</v>
      </c>
      <c r="L3" s="16" cm="1">
        <f t="array" ref="L3">IFERROR(INDEX(_xlfn.ANCHORARRAY(_xlfn.XLOOKUP($C3,'-ref_Distribution'!$B$146:$B$150,'-ref_Distribution'!$G$146:$G$150)),RIGHT(L$1,2)),"")</f>
        <v>386</v>
      </c>
      <c r="M3" s="16" cm="1">
        <f t="array" ref="M3">IFERROR(INDEX(_xlfn.ANCHORARRAY(_xlfn.XLOOKUP($C3,'-ref_Distribution'!$B$146:$B$150,'-ref_Distribution'!$G$146:$G$150)),RIGHT(M$1,2)),"")</f>
        <v>364</v>
      </c>
      <c r="N3" s="16" cm="1">
        <f t="array" ref="N3">IFERROR(INDEX(_xlfn.ANCHORARRAY(_xlfn.XLOOKUP($C3,'-ref_Distribution'!$B$146:$B$150,'-ref_Distribution'!$G$146:$G$150)),RIGHT(N$1,2)),"")</f>
        <v>337</v>
      </c>
      <c r="O3" s="16" cm="1">
        <f t="array" ref="O3">IFERROR(INDEX(_xlfn.ANCHORARRAY(_xlfn.XLOOKUP($C3,'-ref_Distribution'!$B$146:$B$150,'-ref_Distribution'!$G$146:$G$150)),RIGHT(O$1,2)),"")</f>
        <v>307</v>
      </c>
      <c r="P3" s="16" cm="1">
        <f t="array" ref="P3">IFERROR(INDEX(_xlfn.ANCHORARRAY(_xlfn.XLOOKUP($C3,'-ref_Distribution'!$B$146:$B$150,'-ref_Distribution'!$G$146:$G$150)),RIGHT(P$1,2)),"")</f>
        <v>274</v>
      </c>
      <c r="Q3" s="16" cm="1">
        <f t="array" ref="Q3">IFERROR(INDEX(_xlfn.ANCHORARRAY(_xlfn.XLOOKUP($C3,'-ref_Distribution'!$B$146:$B$150,'-ref_Distribution'!$G$146:$G$150)),RIGHT(Q$1,2)),"")</f>
        <v>241</v>
      </c>
      <c r="R3" s="16" cm="1">
        <f t="array" ref="R3">IFERROR(INDEX(_xlfn.ANCHORARRAY(_xlfn.XLOOKUP($C3,'-ref_Distribution'!$B$146:$B$150,'-ref_Distribution'!$G$146:$G$150)),RIGHT(R$1,2)),"")</f>
        <v>209</v>
      </c>
      <c r="S3" s="16" cm="1">
        <f t="array" ref="S3">IFERROR(INDEX(_xlfn.ANCHORARRAY(_xlfn.XLOOKUP($C3,'-ref_Distribution'!$B$146:$B$150,'-ref_Distribution'!$G$146:$G$150)),RIGHT(S$1,2)),"")</f>
        <v>178</v>
      </c>
      <c r="T3" s="16" cm="1">
        <f t="array" ref="T3">IFERROR(INDEX(_xlfn.ANCHORARRAY(_xlfn.XLOOKUP($C3,'-ref_Distribution'!$B$146:$B$150,'-ref_Distribution'!$G$146:$G$150)),RIGHT(T$1,2)),"")</f>
        <v>148</v>
      </c>
      <c r="U3" s="16" cm="1">
        <f t="array" ref="U3">IFERROR(INDEX(_xlfn.ANCHORARRAY(_xlfn.XLOOKUP($C3,'-ref_Distribution'!$B$146:$B$150,'-ref_Distribution'!$G$146:$G$150)),RIGHT(U$1,2)),"")</f>
        <v>122</v>
      </c>
      <c r="V3" s="16" cm="1">
        <f t="array" ref="V3">IFERROR(INDEX(_xlfn.ANCHORARRAY(_xlfn.XLOOKUP($C3,'-ref_Distribution'!$B$146:$B$150,'-ref_Distribution'!$G$146:$G$150)),RIGHT(V$1,2)),"")</f>
        <v>98</v>
      </c>
      <c r="W3" s="16" cm="1">
        <f t="array" ref="W3">IFERROR(INDEX(_xlfn.ANCHORARRAY(_xlfn.XLOOKUP($C3,'-ref_Distribution'!$B$146:$B$150,'-ref_Distribution'!$G$146:$G$150)),RIGHT(W$1,2)),"")</f>
        <v>78</v>
      </c>
      <c r="X3" s="16" cm="1">
        <f t="array" ref="X3">IFERROR(INDEX(_xlfn.ANCHORARRAY(_xlfn.XLOOKUP($C3,'-ref_Distribution'!$B$146:$B$150,'-ref_Distribution'!$G$146:$G$150)),RIGHT(X$1,2)),"")</f>
        <v>337</v>
      </c>
      <c r="Y3" s="16" cm="1">
        <f t="array" ref="Y3">IFERROR(INDEX(_xlfn.ANCHORARRAY(_xlfn.XLOOKUP($C3,'-ref_Distribution'!$B$146:$B$150,'-ref_Distribution'!$G$146:$G$150)),RIGHT(Y$1,2)),"")</f>
        <v>364</v>
      </c>
      <c r="Z3" s="16" cm="1">
        <f t="array" ref="Z3">IFERROR(INDEX(_xlfn.ANCHORARRAY(_xlfn.XLOOKUP($C3,'-ref_Distribution'!$B$146:$B$150,'-ref_Distribution'!$G$146:$G$150)),RIGHT(Z$1,2)),"")</f>
        <v>386</v>
      </c>
      <c r="AA3" s="16" cm="1">
        <f t="array" ref="AA3">IFERROR(INDEX(_xlfn.ANCHORARRAY(_xlfn.XLOOKUP($C3,'-ref_Distribution'!$B$146:$B$150,'-ref_Distribution'!$G$146:$G$150)),RIGHT(AA$1,2)),"")</f>
        <v>403</v>
      </c>
      <c r="AB3" s="16" cm="1">
        <f t="array" ref="AB3">IFERROR(INDEX(_xlfn.ANCHORARRAY(_xlfn.XLOOKUP($C3,'-ref_Distribution'!$B$146:$B$150,'-ref_Distribution'!$G$146:$G$150)),RIGHT(AB$1,2)),"")</f>
        <v>414</v>
      </c>
      <c r="AC3" s="16" cm="1">
        <f t="array" ref="AC3">IFERROR(INDEX(_xlfn.ANCHORARRAY(_xlfn.XLOOKUP($C3,'-ref_Distribution'!$B$146:$B$150,'-ref_Distribution'!$G$146:$G$150)),RIGHT(AC$1,2)),"")</f>
        <v>417</v>
      </c>
      <c r="AD3" s="16" cm="1">
        <f t="array" ref="AD3">IFERROR(INDEX(_xlfn.ANCHORARRAY(_xlfn.XLOOKUP($C3,'-ref_Distribution'!$B$146:$B$150,'-ref_Distribution'!$G$146:$G$150)),RIGHT(AD$1,2)),"")</f>
        <v>414</v>
      </c>
      <c r="AE3" s="16" cm="1">
        <f t="array" ref="AE3">IFERROR(INDEX(_xlfn.ANCHORARRAY(_xlfn.XLOOKUP($C3,'-ref_Distribution'!$B$146:$B$150,'-ref_Distribution'!$G$146:$G$150)),RIGHT(AE$1,2)),"")</f>
        <v>403</v>
      </c>
      <c r="AF3" s="16" cm="1">
        <f t="array" ref="AF3">IFERROR(INDEX(_xlfn.ANCHORARRAY(_xlfn.XLOOKUP($C3,'-ref_Distribution'!$B$146:$B$150,'-ref_Distribution'!$G$146:$G$150)),RIGHT(AF$1,2)),"")</f>
        <v>386</v>
      </c>
      <c r="AG3" s="16" cm="1">
        <f t="array" ref="AG3">IFERROR(INDEX(_xlfn.ANCHORARRAY(_xlfn.XLOOKUP($C3,'-ref_Distribution'!$B$146:$B$150,'-ref_Distribution'!$G$146:$G$150)),RIGHT(AG$1,2)),"")</f>
        <v>364</v>
      </c>
      <c r="AH3" s="16" cm="1">
        <f t="array" ref="AH3">IFERROR(INDEX(_xlfn.ANCHORARRAY(_xlfn.XLOOKUP($C3,'-ref_Distribution'!$B$146:$B$150,'-ref_Distribution'!$G$146:$G$150)),RIGHT(AH$1,2)),"")</f>
        <v>337</v>
      </c>
      <c r="AI3" s="16" cm="1">
        <f t="array" ref="AI3">IFERROR(INDEX(_xlfn.ANCHORARRAY(_xlfn.XLOOKUP($C3,'-ref_Distribution'!$B$146:$B$150,'-ref_Distribution'!$G$146:$G$150)),RIGHT(AI$1,2)),"")</f>
        <v>307</v>
      </c>
      <c r="AJ3" s="16" cm="1">
        <f t="array" ref="AJ3">IFERROR(INDEX(_xlfn.ANCHORARRAY(_xlfn.XLOOKUP($C3,'-ref_Distribution'!$B$146:$B$150,'-ref_Distribution'!$G$146:$G$150)),RIGHT(AJ$1,2)),"")</f>
        <v>274</v>
      </c>
      <c r="AK3" s="16" cm="1">
        <f t="array" ref="AK3">IFERROR(INDEX(_xlfn.ANCHORARRAY(_xlfn.XLOOKUP($C3,'-ref_Distribution'!$B$146:$B$150,'-ref_Distribution'!$G$146:$G$150)),RIGHT(AK$1,2)),"")</f>
        <v>241</v>
      </c>
      <c r="AL3" s="16" cm="1">
        <f t="array" ref="AL3">IFERROR(INDEX(_xlfn.ANCHORARRAY(_xlfn.XLOOKUP($C3,'-ref_Distribution'!$B$146:$B$150,'-ref_Distribution'!$G$146:$G$150)),RIGHT(AL$1,2)),"")</f>
        <v>209</v>
      </c>
      <c r="AM3" s="16" cm="1">
        <f t="array" ref="AM3">IFERROR(INDEX(_xlfn.ANCHORARRAY(_xlfn.XLOOKUP($C3,'-ref_Distribution'!$B$146:$B$150,'-ref_Distribution'!$G$146:$G$150)),RIGHT(AM$1,2)),"")</f>
        <v>178</v>
      </c>
      <c r="AN3" s="16" cm="1">
        <f t="array" ref="AN3">IFERROR(INDEX(_xlfn.ANCHORARRAY(_xlfn.XLOOKUP($C3,'-ref_Distribution'!$B$146:$B$150,'-ref_Distribution'!$G$146:$G$150)),RIGHT(AN$1,2)),"")</f>
        <v>148</v>
      </c>
      <c r="AO3" s="16" cm="1">
        <f t="array" ref="AO3">IFERROR(INDEX(_xlfn.ANCHORARRAY(_xlfn.XLOOKUP($C3,'-ref_Distribution'!$B$146:$B$150,'-ref_Distribution'!$G$146:$G$150)),RIGHT(AO$1,2)),"")</f>
        <v>122</v>
      </c>
      <c r="AP3" s="16" cm="1">
        <f t="array" ref="AP3">IFERROR(INDEX(_xlfn.ANCHORARRAY(_xlfn.XLOOKUP($C3,'-ref_Distribution'!$B$146:$B$150,'-ref_Distribution'!$G$146:$G$150)),RIGHT(AP$1,2)),"")</f>
        <v>98</v>
      </c>
      <c r="AQ3" s="16" cm="1">
        <f t="array" ref="AQ3">IFERROR(INDEX(_xlfn.ANCHORARRAY(_xlfn.XLOOKUP($C3,'-ref_Distribution'!$B$146:$B$150,'-ref_Distribution'!$G$146:$G$150)),RIGHT(AQ$1,2)),"")</f>
        <v>78</v>
      </c>
      <c r="AR3" s="16" cm="1">
        <f t="array" ref="AR3">IFERROR(INDEX(_xlfn.ANCHORARRAY(_xlfn.XLOOKUP($C3,'-ref_Distribution'!$B$146:$B$150,'-ref_Distribution'!$G$146:$G$150)),RIGHT(AR$1,2)),"")</f>
        <v>337</v>
      </c>
      <c r="AS3" s="16" cm="1">
        <f t="array" ref="AS3">IFERROR(INDEX(_xlfn.ANCHORARRAY(_xlfn.XLOOKUP($C3,'-ref_Distribution'!$B$146:$B$150,'-ref_Distribution'!$G$146:$G$150)),RIGHT(AS$1,2)),"")</f>
        <v>364</v>
      </c>
      <c r="AT3" s="16" cm="1">
        <f t="array" ref="AT3">IFERROR(INDEX(_xlfn.ANCHORARRAY(_xlfn.XLOOKUP($C3,'-ref_Distribution'!$B$146:$B$150,'-ref_Distribution'!$G$146:$G$150)),RIGHT(AT$1,2)),"")</f>
        <v>386</v>
      </c>
      <c r="AU3" s="16" cm="1">
        <f t="array" ref="AU3">IFERROR(INDEX(_xlfn.ANCHORARRAY(_xlfn.XLOOKUP($C3,'-ref_Distribution'!$B$146:$B$150,'-ref_Distribution'!$G$146:$G$150)),RIGHT(AU$1,2)),"")</f>
        <v>403</v>
      </c>
      <c r="AV3" s="16" cm="1">
        <f t="array" ref="AV3">IFERROR(INDEX(_xlfn.ANCHORARRAY(_xlfn.XLOOKUP($C3,'-ref_Distribution'!$B$146:$B$150,'-ref_Distribution'!$G$146:$G$150)),RIGHT(AV$1,2)),"")</f>
        <v>414</v>
      </c>
      <c r="AW3" s="16" cm="1">
        <f t="array" ref="AW3">IFERROR(INDEX(_xlfn.ANCHORARRAY(_xlfn.XLOOKUP($C3,'-ref_Distribution'!$B$146:$B$150,'-ref_Distribution'!$G$146:$G$150)),RIGHT(AW$1,2)),"")</f>
        <v>417</v>
      </c>
      <c r="AX3" s="16" cm="1">
        <f t="array" ref="AX3">IFERROR(INDEX(_xlfn.ANCHORARRAY(_xlfn.XLOOKUP($C3,'-ref_Distribution'!$B$146:$B$150,'-ref_Distribution'!$G$146:$G$150)),RIGHT(AX$1,2)),"")</f>
        <v>414</v>
      </c>
      <c r="AY3" s="16" cm="1">
        <f t="array" ref="AY3">IFERROR(INDEX(_xlfn.ANCHORARRAY(_xlfn.XLOOKUP($C3,'-ref_Distribution'!$B$146:$B$150,'-ref_Distribution'!$G$146:$G$150)),RIGHT(AY$1,2)),"")</f>
        <v>403</v>
      </c>
      <c r="AZ3" s="16" cm="1">
        <f t="array" ref="AZ3">IFERROR(INDEX(_xlfn.ANCHORARRAY(_xlfn.XLOOKUP($C3,'-ref_Distribution'!$B$146:$B$150,'-ref_Distribution'!$G$146:$G$150)),RIGHT(AZ$1,2)),"")</f>
        <v>386</v>
      </c>
      <c r="BA3" s="16" cm="1">
        <f t="array" ref="BA3">IFERROR(INDEX(_xlfn.ANCHORARRAY(_xlfn.XLOOKUP($C3,'-ref_Distribution'!$B$146:$B$150,'-ref_Distribution'!$G$146:$G$150)),RIGHT(BA$1,2)),"")</f>
        <v>364</v>
      </c>
      <c r="BB3" s="16" cm="1">
        <f t="array" ref="BB3">IFERROR(INDEX(_xlfn.ANCHORARRAY(_xlfn.XLOOKUP($C3,'-ref_Distribution'!$B$146:$B$150,'-ref_Distribution'!$G$146:$G$150)),RIGHT(BB$1,2)),"")</f>
        <v>337</v>
      </c>
      <c r="BC3" s="16" cm="1">
        <f t="array" ref="BC3">IFERROR(INDEX(_xlfn.ANCHORARRAY(_xlfn.XLOOKUP($C3,'-ref_Distribution'!$B$146:$B$150,'-ref_Distribution'!$G$146:$G$150)),RIGHT(BC$1,2)),"")</f>
        <v>307</v>
      </c>
      <c r="BD3" s="16" cm="1">
        <f t="array" ref="BD3">IFERROR(INDEX(_xlfn.ANCHORARRAY(_xlfn.XLOOKUP($C3,'-ref_Distribution'!$B$146:$B$150,'-ref_Distribution'!$G$146:$G$150)),RIGHT(BD$1,2)),"")</f>
        <v>274</v>
      </c>
      <c r="BE3" s="16" cm="1">
        <f t="array" ref="BE3">IFERROR(INDEX(_xlfn.ANCHORARRAY(_xlfn.XLOOKUP($C3,'-ref_Distribution'!$B$146:$B$150,'-ref_Distribution'!$G$146:$G$150)),RIGHT(BE$1,2)),"")</f>
        <v>241</v>
      </c>
      <c r="BF3" s="16" cm="1">
        <f t="array" ref="BF3">IFERROR(INDEX(_xlfn.ANCHORARRAY(_xlfn.XLOOKUP($C3,'-ref_Distribution'!$B$146:$B$150,'-ref_Distribution'!$G$146:$G$150)),RIGHT(BF$1,2)),"")</f>
        <v>209</v>
      </c>
      <c r="BG3" s="16" cm="1">
        <f t="array" ref="BG3">IFERROR(INDEX(_xlfn.ANCHORARRAY(_xlfn.XLOOKUP($C3,'-ref_Distribution'!$B$146:$B$150,'-ref_Distribution'!$G$146:$G$150)),RIGHT(BG$1,2)),"")</f>
        <v>178</v>
      </c>
      <c r="BH3" s="16" cm="1">
        <f t="array" ref="BH3">IFERROR(INDEX(_xlfn.ANCHORARRAY(_xlfn.XLOOKUP($C3,'-ref_Distribution'!$B$146:$B$150,'-ref_Distribution'!$G$146:$G$150)),RIGHT(BH$1,2)),"")</f>
        <v>148</v>
      </c>
      <c r="BI3" s="16" cm="1">
        <f t="array" ref="BI3">IFERROR(INDEX(_xlfn.ANCHORARRAY(_xlfn.XLOOKUP($C3,'-ref_Distribution'!$B$146:$B$150,'-ref_Distribution'!$G$146:$G$150)),RIGHT(BI$1,2)),"")</f>
        <v>122</v>
      </c>
      <c r="BJ3" s="16" cm="1">
        <f t="array" ref="BJ3">IFERROR(INDEX(_xlfn.ANCHORARRAY(_xlfn.XLOOKUP($C3,'-ref_Distribution'!$B$146:$B$150,'-ref_Distribution'!$G$146:$G$150)),RIGHT(BJ$1,2)),"")</f>
        <v>98</v>
      </c>
      <c r="BK3" s="16" cm="1">
        <f t="array" ref="BK3">IFERROR(INDEX(_xlfn.ANCHORARRAY(_xlfn.XLOOKUP($C3,'-ref_Distribution'!$B$146:$B$150,'-ref_Distribution'!$G$146:$G$150)),RIGHT(BK$1,2)),"")</f>
        <v>78</v>
      </c>
      <c r="BL3" s="16" cm="1">
        <f t="array" ref="BL3">IFERROR(INDEX(_xlfn.ANCHORARRAY(_xlfn.XLOOKUP($C3,'-ref_Distribution'!$B$146:$B$150,'-ref_Distribution'!$G$146:$G$150)),RIGHT(BL$1,2)),"")</f>
        <v>337</v>
      </c>
      <c r="BM3" s="16" cm="1">
        <f t="array" ref="BM3">IFERROR(INDEX(_xlfn.ANCHORARRAY(_xlfn.XLOOKUP($C3,'-ref_Distribution'!$B$146:$B$150,'-ref_Distribution'!$G$146:$G$150)),RIGHT(BM$1,2)),"")</f>
        <v>364</v>
      </c>
      <c r="BN3" s="16" cm="1">
        <f t="array" ref="BN3">IFERROR(INDEX(_xlfn.ANCHORARRAY(_xlfn.XLOOKUP($C3,'-ref_Distribution'!$B$146:$B$150,'-ref_Distribution'!$G$146:$G$150)),RIGHT(BN$1,2)),"")</f>
        <v>386</v>
      </c>
      <c r="BO3" s="16" cm="1">
        <f t="array" ref="BO3">IFERROR(INDEX(_xlfn.ANCHORARRAY(_xlfn.XLOOKUP($C3,'-ref_Distribution'!$B$146:$B$150,'-ref_Distribution'!$G$146:$G$150)),RIGHT(BO$1,2)),"")</f>
        <v>403</v>
      </c>
      <c r="BP3" s="16" cm="1">
        <f t="array" ref="BP3">IFERROR(INDEX(_xlfn.ANCHORARRAY(_xlfn.XLOOKUP($C3,'-ref_Distribution'!$B$146:$B$150,'-ref_Distribution'!$G$146:$G$150)),RIGHT(BP$1,2)),"")</f>
        <v>414</v>
      </c>
      <c r="BQ3" s="16" cm="1">
        <f t="array" ref="BQ3">IFERROR(INDEX(_xlfn.ANCHORARRAY(_xlfn.XLOOKUP($C3,'-ref_Distribution'!$B$146:$B$150,'-ref_Distribution'!$G$146:$G$150)),RIGHT(BQ$1,2)),"")</f>
        <v>417</v>
      </c>
      <c r="BR3" s="16" cm="1">
        <f t="array" ref="BR3">IFERROR(INDEX(_xlfn.ANCHORARRAY(_xlfn.XLOOKUP($C3,'-ref_Distribution'!$B$146:$B$150,'-ref_Distribution'!$G$146:$G$150)),RIGHT(BR$1,2)),"")</f>
        <v>414</v>
      </c>
      <c r="BS3" s="16" cm="1">
        <f t="array" ref="BS3">IFERROR(INDEX(_xlfn.ANCHORARRAY(_xlfn.XLOOKUP($C3,'-ref_Distribution'!$B$146:$B$150,'-ref_Distribution'!$G$146:$G$150)),RIGHT(BS$1,2)),"")</f>
        <v>403</v>
      </c>
      <c r="BT3" s="16" cm="1">
        <f t="array" ref="BT3">IFERROR(INDEX(_xlfn.ANCHORARRAY(_xlfn.XLOOKUP($C3,'-ref_Distribution'!$B$146:$B$150,'-ref_Distribution'!$G$146:$G$150)),RIGHT(BT$1,2)),"")</f>
        <v>386</v>
      </c>
      <c r="BU3" s="16" cm="1">
        <f t="array" ref="BU3">IFERROR(INDEX(_xlfn.ANCHORARRAY(_xlfn.XLOOKUP($C3,'-ref_Distribution'!$B$146:$B$150,'-ref_Distribution'!$G$146:$G$150)),RIGHT(BU$1,2)),"")</f>
        <v>364</v>
      </c>
      <c r="BV3" s="16" cm="1">
        <f t="array" ref="BV3">IFERROR(INDEX(_xlfn.ANCHORARRAY(_xlfn.XLOOKUP($C3,'-ref_Distribution'!$B$146:$B$150,'-ref_Distribution'!$G$146:$G$150)),RIGHT(BV$1,2)),"")</f>
        <v>337</v>
      </c>
      <c r="BW3" s="16" cm="1">
        <f t="array" ref="BW3">IFERROR(INDEX(_xlfn.ANCHORARRAY(_xlfn.XLOOKUP($C3,'-ref_Distribution'!$B$146:$B$150,'-ref_Distribution'!$G$146:$G$150)),RIGHT(BW$1,2)),"")</f>
        <v>307</v>
      </c>
      <c r="BX3" s="16" cm="1">
        <f t="array" ref="BX3">IFERROR(INDEX(_xlfn.ANCHORARRAY(_xlfn.XLOOKUP($C3,'-ref_Distribution'!$B$146:$B$150,'-ref_Distribution'!$G$146:$G$150)),RIGHT(BX$1,2)),"")</f>
        <v>274</v>
      </c>
      <c r="BY3" s="16" cm="1">
        <f t="array" ref="BY3">IFERROR(INDEX(_xlfn.ANCHORARRAY(_xlfn.XLOOKUP($C3,'-ref_Distribution'!$B$146:$B$150,'-ref_Distribution'!$G$146:$G$150)),RIGHT(BY$1,2)),"")</f>
        <v>241</v>
      </c>
      <c r="BZ3" s="16" cm="1">
        <f t="array" ref="BZ3">IFERROR(INDEX(_xlfn.ANCHORARRAY(_xlfn.XLOOKUP($C3,'-ref_Distribution'!$B$146:$B$150,'-ref_Distribution'!$G$146:$G$150)),RIGHT(BZ$1,2)),"")</f>
        <v>209</v>
      </c>
      <c r="CA3" s="16" cm="1">
        <f t="array" ref="CA3">IFERROR(INDEX(_xlfn.ANCHORARRAY(_xlfn.XLOOKUP($C3,'-ref_Distribution'!$B$146:$B$150,'-ref_Distribution'!$G$146:$G$150)),RIGHT(CA$1,2)),"")</f>
        <v>178</v>
      </c>
      <c r="CB3" s="16" cm="1">
        <f t="array" ref="CB3">IFERROR(INDEX(_xlfn.ANCHORARRAY(_xlfn.XLOOKUP($C3,'-ref_Distribution'!$B$146:$B$150,'-ref_Distribution'!$G$146:$G$150)),RIGHT(CB$1,2)),"")</f>
        <v>148</v>
      </c>
      <c r="CC3" s="16" cm="1">
        <f t="array" ref="CC3">IFERROR(INDEX(_xlfn.ANCHORARRAY(_xlfn.XLOOKUP($C3,'-ref_Distribution'!$B$146:$B$150,'-ref_Distribution'!$G$146:$G$150)),RIGHT(CC$1,2)),"")</f>
        <v>122</v>
      </c>
      <c r="CD3" s="16" cm="1">
        <f t="array" ref="CD3">IFERROR(INDEX(_xlfn.ANCHORARRAY(_xlfn.XLOOKUP($C3,'-ref_Distribution'!$B$146:$B$150,'-ref_Distribution'!$G$146:$G$150)),RIGHT(CD$1,2)),"")</f>
        <v>98</v>
      </c>
      <c r="CE3" s="16" cm="1">
        <f t="array" ref="CE3">IFERROR(INDEX(_xlfn.ANCHORARRAY(_xlfn.XLOOKUP($C3,'-ref_Distribution'!$B$146:$B$150,'-ref_Distribution'!$G$146:$G$150)),RIGHT(CE$1,2)),"")</f>
        <v>78</v>
      </c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</row>
    <row r="4" spans="1:95" x14ac:dyDescent="0.2">
      <c r="A4" s="16">
        <v>300013</v>
      </c>
      <c r="B4" s="16" t="s">
        <v>200</v>
      </c>
      <c r="C4" s="16">
        <v>2</v>
      </c>
      <c r="D4" s="16" cm="1">
        <f t="array" ref="D4">IFERROR(INDEX(_xlfn.ANCHORARRAY(_xlfn.XLOOKUP($C4,'-ref_Distribution'!$B$146:$B$150,'-ref_Distribution'!$G$146:$G$150)),RIGHT(D$1,2)),"")</f>
        <v>75</v>
      </c>
      <c r="E4" s="16" cm="1">
        <f t="array" ref="E4">IFERROR(INDEX(_xlfn.ANCHORARRAY(_xlfn.XLOOKUP($C4,'-ref_Distribution'!$B$146:$B$150,'-ref_Distribution'!$G$146:$G$150)),RIGHT(E$1,2)),"")</f>
        <v>94</v>
      </c>
      <c r="F4" s="16" cm="1">
        <f t="array" ref="F4">IFERROR(INDEX(_xlfn.ANCHORARRAY(_xlfn.XLOOKUP($C4,'-ref_Distribution'!$B$146:$B$150,'-ref_Distribution'!$G$146:$G$150)),RIGHT(F$1,2)),"")</f>
        <v>115</v>
      </c>
      <c r="G4" s="16" cm="1">
        <f t="array" ref="G4">IFERROR(INDEX(_xlfn.ANCHORARRAY(_xlfn.XLOOKUP($C4,'-ref_Distribution'!$B$146:$B$150,'-ref_Distribution'!$G$146:$G$150)),RIGHT(G$1,2)),"")</f>
        <v>137</v>
      </c>
      <c r="H4" s="16" cm="1">
        <f t="array" ref="H4">IFERROR(INDEX(_xlfn.ANCHORARRAY(_xlfn.XLOOKUP($C4,'-ref_Distribution'!$B$146:$B$150,'-ref_Distribution'!$G$146:$G$150)),RIGHT(H$1,2)),"")</f>
        <v>160</v>
      </c>
      <c r="I4" s="16" cm="1">
        <f t="array" ref="I4">IFERROR(INDEX(_xlfn.ANCHORARRAY(_xlfn.XLOOKUP($C4,'-ref_Distribution'!$B$146:$B$150,'-ref_Distribution'!$G$146:$G$150)),RIGHT(I$1,2)),"")</f>
        <v>183</v>
      </c>
      <c r="J4" s="16" cm="1">
        <f t="array" ref="J4">IFERROR(INDEX(_xlfn.ANCHORARRAY(_xlfn.XLOOKUP($C4,'-ref_Distribution'!$B$146:$B$150,'-ref_Distribution'!$G$146:$G$150)),RIGHT(J$1,2)),"")</f>
        <v>203</v>
      </c>
      <c r="K4" s="16" cm="1">
        <f t="array" ref="K4">IFERROR(INDEX(_xlfn.ANCHORARRAY(_xlfn.XLOOKUP($C4,'-ref_Distribution'!$B$146:$B$150,'-ref_Distribution'!$G$146:$G$150)),RIGHT(K$1,2)),"")</f>
        <v>221</v>
      </c>
      <c r="L4" s="16" cm="1">
        <f t="array" ref="L4">IFERROR(INDEX(_xlfn.ANCHORARRAY(_xlfn.XLOOKUP($C4,'-ref_Distribution'!$B$146:$B$150,'-ref_Distribution'!$G$146:$G$150)),RIGHT(L$1,2)),"")</f>
        <v>234</v>
      </c>
      <c r="M4" s="16" cm="1">
        <f t="array" ref="M4">IFERROR(INDEX(_xlfn.ANCHORARRAY(_xlfn.XLOOKUP($C4,'-ref_Distribution'!$B$146:$B$150,'-ref_Distribution'!$G$146:$G$150)),RIGHT(M$1,2)),"")</f>
        <v>243</v>
      </c>
      <c r="N4" s="16" cm="1">
        <f t="array" ref="N4">IFERROR(INDEX(_xlfn.ANCHORARRAY(_xlfn.XLOOKUP($C4,'-ref_Distribution'!$B$146:$B$150,'-ref_Distribution'!$G$146:$G$150)),RIGHT(N$1,2)),"")</f>
        <v>245</v>
      </c>
      <c r="O4" s="16" cm="1">
        <f t="array" ref="O4">IFERROR(INDEX(_xlfn.ANCHORARRAY(_xlfn.XLOOKUP($C4,'-ref_Distribution'!$B$146:$B$150,'-ref_Distribution'!$G$146:$G$150)),RIGHT(O$1,2)),"")</f>
        <v>243</v>
      </c>
      <c r="P4" s="16" cm="1">
        <f t="array" ref="P4">IFERROR(INDEX(_xlfn.ANCHORARRAY(_xlfn.XLOOKUP($C4,'-ref_Distribution'!$B$146:$B$150,'-ref_Distribution'!$G$146:$G$150)),RIGHT(P$1,2)),"")</f>
        <v>234</v>
      </c>
      <c r="Q4" s="16" cm="1">
        <f t="array" ref="Q4">IFERROR(INDEX(_xlfn.ANCHORARRAY(_xlfn.XLOOKUP($C4,'-ref_Distribution'!$B$146:$B$150,'-ref_Distribution'!$G$146:$G$150)),RIGHT(Q$1,2)),"")</f>
        <v>221</v>
      </c>
      <c r="R4" s="16" cm="1">
        <f t="array" ref="R4">IFERROR(INDEX(_xlfn.ANCHORARRAY(_xlfn.XLOOKUP($C4,'-ref_Distribution'!$B$146:$B$150,'-ref_Distribution'!$G$146:$G$150)),RIGHT(R$1,2)),"")</f>
        <v>203</v>
      </c>
      <c r="S4" s="16" cm="1">
        <f t="array" ref="S4">IFERROR(INDEX(_xlfn.ANCHORARRAY(_xlfn.XLOOKUP($C4,'-ref_Distribution'!$B$146:$B$150,'-ref_Distribution'!$G$146:$G$150)),RIGHT(S$1,2)),"")</f>
        <v>183</v>
      </c>
      <c r="T4" s="16" cm="1">
        <f t="array" ref="T4">IFERROR(INDEX(_xlfn.ANCHORARRAY(_xlfn.XLOOKUP($C4,'-ref_Distribution'!$B$146:$B$150,'-ref_Distribution'!$G$146:$G$150)),RIGHT(T$1,2)),"")</f>
        <v>160</v>
      </c>
      <c r="U4" s="16" cm="1">
        <f t="array" ref="U4">IFERROR(INDEX(_xlfn.ANCHORARRAY(_xlfn.XLOOKUP($C4,'-ref_Distribution'!$B$146:$B$150,'-ref_Distribution'!$G$146:$G$150)),RIGHT(U$1,2)),"")</f>
        <v>137</v>
      </c>
      <c r="V4" s="16" cm="1">
        <f t="array" ref="V4">IFERROR(INDEX(_xlfn.ANCHORARRAY(_xlfn.XLOOKUP($C4,'-ref_Distribution'!$B$146:$B$150,'-ref_Distribution'!$G$146:$G$150)),RIGHT(V$1,2)),"")</f>
        <v>115</v>
      </c>
      <c r="W4" s="16" cm="1">
        <f t="array" ref="W4">IFERROR(INDEX(_xlfn.ANCHORARRAY(_xlfn.XLOOKUP($C4,'-ref_Distribution'!$B$146:$B$150,'-ref_Distribution'!$G$146:$G$150)),RIGHT(W$1,2)),"")</f>
        <v>94</v>
      </c>
      <c r="X4" s="16" cm="1">
        <f t="array" ref="X4">IFERROR(INDEX(_xlfn.ANCHORARRAY(_xlfn.XLOOKUP($C4,'-ref_Distribution'!$B$146:$B$150,'-ref_Distribution'!$G$146:$G$150)),RIGHT(X$1,2)),"")</f>
        <v>75</v>
      </c>
      <c r="Y4" s="16" cm="1">
        <f t="array" ref="Y4">IFERROR(INDEX(_xlfn.ANCHORARRAY(_xlfn.XLOOKUP($C4,'-ref_Distribution'!$B$146:$B$150,'-ref_Distribution'!$G$146:$G$150)),RIGHT(Y$1,2)),"")</f>
        <v>94</v>
      </c>
      <c r="Z4" s="16" cm="1">
        <f t="array" ref="Z4">IFERROR(INDEX(_xlfn.ANCHORARRAY(_xlfn.XLOOKUP($C4,'-ref_Distribution'!$B$146:$B$150,'-ref_Distribution'!$G$146:$G$150)),RIGHT(Z$1,2)),"")</f>
        <v>115</v>
      </c>
      <c r="AA4" s="16" cm="1">
        <f t="array" ref="AA4">IFERROR(INDEX(_xlfn.ANCHORARRAY(_xlfn.XLOOKUP($C4,'-ref_Distribution'!$B$146:$B$150,'-ref_Distribution'!$G$146:$G$150)),RIGHT(AA$1,2)),"")</f>
        <v>137</v>
      </c>
      <c r="AB4" s="16" cm="1">
        <f t="array" ref="AB4">IFERROR(INDEX(_xlfn.ANCHORARRAY(_xlfn.XLOOKUP($C4,'-ref_Distribution'!$B$146:$B$150,'-ref_Distribution'!$G$146:$G$150)),RIGHT(AB$1,2)),"")</f>
        <v>160</v>
      </c>
      <c r="AC4" s="16" cm="1">
        <f t="array" ref="AC4">IFERROR(INDEX(_xlfn.ANCHORARRAY(_xlfn.XLOOKUP($C4,'-ref_Distribution'!$B$146:$B$150,'-ref_Distribution'!$G$146:$G$150)),RIGHT(AC$1,2)),"")</f>
        <v>183</v>
      </c>
      <c r="AD4" s="16" cm="1">
        <f t="array" ref="AD4">IFERROR(INDEX(_xlfn.ANCHORARRAY(_xlfn.XLOOKUP($C4,'-ref_Distribution'!$B$146:$B$150,'-ref_Distribution'!$G$146:$G$150)),RIGHT(AD$1,2)),"")</f>
        <v>203</v>
      </c>
      <c r="AE4" s="16" cm="1">
        <f t="array" ref="AE4">IFERROR(INDEX(_xlfn.ANCHORARRAY(_xlfn.XLOOKUP($C4,'-ref_Distribution'!$B$146:$B$150,'-ref_Distribution'!$G$146:$G$150)),RIGHT(AE$1,2)),"")</f>
        <v>221</v>
      </c>
      <c r="AF4" s="16" cm="1">
        <f t="array" ref="AF4">IFERROR(INDEX(_xlfn.ANCHORARRAY(_xlfn.XLOOKUP($C4,'-ref_Distribution'!$B$146:$B$150,'-ref_Distribution'!$G$146:$G$150)),RIGHT(AF$1,2)),"")</f>
        <v>234</v>
      </c>
      <c r="AG4" s="16" cm="1">
        <f t="array" ref="AG4">IFERROR(INDEX(_xlfn.ANCHORARRAY(_xlfn.XLOOKUP($C4,'-ref_Distribution'!$B$146:$B$150,'-ref_Distribution'!$G$146:$G$150)),RIGHT(AG$1,2)),"")</f>
        <v>243</v>
      </c>
      <c r="AH4" s="16" cm="1">
        <f t="array" ref="AH4">IFERROR(INDEX(_xlfn.ANCHORARRAY(_xlfn.XLOOKUP($C4,'-ref_Distribution'!$B$146:$B$150,'-ref_Distribution'!$G$146:$G$150)),RIGHT(AH$1,2)),"")</f>
        <v>245</v>
      </c>
      <c r="AI4" s="16" cm="1">
        <f t="array" ref="AI4">IFERROR(INDEX(_xlfn.ANCHORARRAY(_xlfn.XLOOKUP($C4,'-ref_Distribution'!$B$146:$B$150,'-ref_Distribution'!$G$146:$G$150)),RIGHT(AI$1,2)),"")</f>
        <v>243</v>
      </c>
      <c r="AJ4" s="16" cm="1">
        <f t="array" ref="AJ4">IFERROR(INDEX(_xlfn.ANCHORARRAY(_xlfn.XLOOKUP($C4,'-ref_Distribution'!$B$146:$B$150,'-ref_Distribution'!$G$146:$G$150)),RIGHT(AJ$1,2)),"")</f>
        <v>234</v>
      </c>
      <c r="AK4" s="16" cm="1">
        <f t="array" ref="AK4">IFERROR(INDEX(_xlfn.ANCHORARRAY(_xlfn.XLOOKUP($C4,'-ref_Distribution'!$B$146:$B$150,'-ref_Distribution'!$G$146:$G$150)),RIGHT(AK$1,2)),"")</f>
        <v>221</v>
      </c>
      <c r="AL4" s="16" cm="1">
        <f t="array" ref="AL4">IFERROR(INDEX(_xlfn.ANCHORARRAY(_xlfn.XLOOKUP($C4,'-ref_Distribution'!$B$146:$B$150,'-ref_Distribution'!$G$146:$G$150)),RIGHT(AL$1,2)),"")</f>
        <v>203</v>
      </c>
      <c r="AM4" s="16" cm="1">
        <f t="array" ref="AM4">IFERROR(INDEX(_xlfn.ANCHORARRAY(_xlfn.XLOOKUP($C4,'-ref_Distribution'!$B$146:$B$150,'-ref_Distribution'!$G$146:$G$150)),RIGHT(AM$1,2)),"")</f>
        <v>183</v>
      </c>
      <c r="AN4" s="16" cm="1">
        <f t="array" ref="AN4">IFERROR(INDEX(_xlfn.ANCHORARRAY(_xlfn.XLOOKUP($C4,'-ref_Distribution'!$B$146:$B$150,'-ref_Distribution'!$G$146:$G$150)),RIGHT(AN$1,2)),"")</f>
        <v>160</v>
      </c>
      <c r="AO4" s="16" cm="1">
        <f t="array" ref="AO4">IFERROR(INDEX(_xlfn.ANCHORARRAY(_xlfn.XLOOKUP($C4,'-ref_Distribution'!$B$146:$B$150,'-ref_Distribution'!$G$146:$G$150)),RIGHT(AO$1,2)),"")</f>
        <v>137</v>
      </c>
      <c r="AP4" s="16" cm="1">
        <f t="array" ref="AP4">IFERROR(INDEX(_xlfn.ANCHORARRAY(_xlfn.XLOOKUP($C4,'-ref_Distribution'!$B$146:$B$150,'-ref_Distribution'!$G$146:$G$150)),RIGHT(AP$1,2)),"")</f>
        <v>115</v>
      </c>
      <c r="AQ4" s="16" cm="1">
        <f t="array" ref="AQ4">IFERROR(INDEX(_xlfn.ANCHORARRAY(_xlfn.XLOOKUP($C4,'-ref_Distribution'!$B$146:$B$150,'-ref_Distribution'!$G$146:$G$150)),RIGHT(AQ$1,2)),"")</f>
        <v>94</v>
      </c>
      <c r="AR4" s="16" cm="1">
        <f t="array" ref="AR4">IFERROR(INDEX(_xlfn.ANCHORARRAY(_xlfn.XLOOKUP($C4,'-ref_Distribution'!$B$146:$B$150,'-ref_Distribution'!$G$146:$G$150)),RIGHT(AR$1,2)),"")</f>
        <v>75</v>
      </c>
      <c r="AS4" s="16" cm="1">
        <f t="array" ref="AS4">IFERROR(INDEX(_xlfn.ANCHORARRAY(_xlfn.XLOOKUP($C4,'-ref_Distribution'!$B$146:$B$150,'-ref_Distribution'!$G$146:$G$150)),RIGHT(AS$1,2)),"")</f>
        <v>94</v>
      </c>
      <c r="AT4" s="16" cm="1">
        <f t="array" ref="AT4">IFERROR(INDEX(_xlfn.ANCHORARRAY(_xlfn.XLOOKUP($C4,'-ref_Distribution'!$B$146:$B$150,'-ref_Distribution'!$G$146:$G$150)),RIGHT(AT$1,2)),"")</f>
        <v>115</v>
      </c>
      <c r="AU4" s="16" cm="1">
        <f t="array" ref="AU4">IFERROR(INDEX(_xlfn.ANCHORARRAY(_xlfn.XLOOKUP($C4,'-ref_Distribution'!$B$146:$B$150,'-ref_Distribution'!$G$146:$G$150)),RIGHT(AU$1,2)),"")</f>
        <v>137</v>
      </c>
      <c r="AV4" s="16" cm="1">
        <f t="array" ref="AV4">IFERROR(INDEX(_xlfn.ANCHORARRAY(_xlfn.XLOOKUP($C4,'-ref_Distribution'!$B$146:$B$150,'-ref_Distribution'!$G$146:$G$150)),RIGHT(AV$1,2)),"")</f>
        <v>160</v>
      </c>
      <c r="AW4" s="16" cm="1">
        <f t="array" ref="AW4">IFERROR(INDEX(_xlfn.ANCHORARRAY(_xlfn.XLOOKUP($C4,'-ref_Distribution'!$B$146:$B$150,'-ref_Distribution'!$G$146:$G$150)),RIGHT(AW$1,2)),"")</f>
        <v>183</v>
      </c>
      <c r="AX4" s="16" cm="1">
        <f t="array" ref="AX4">IFERROR(INDEX(_xlfn.ANCHORARRAY(_xlfn.XLOOKUP($C4,'-ref_Distribution'!$B$146:$B$150,'-ref_Distribution'!$G$146:$G$150)),RIGHT(AX$1,2)),"")</f>
        <v>203</v>
      </c>
      <c r="AY4" s="16" cm="1">
        <f t="array" ref="AY4">IFERROR(INDEX(_xlfn.ANCHORARRAY(_xlfn.XLOOKUP($C4,'-ref_Distribution'!$B$146:$B$150,'-ref_Distribution'!$G$146:$G$150)),RIGHT(AY$1,2)),"")</f>
        <v>221</v>
      </c>
      <c r="AZ4" s="16" cm="1">
        <f t="array" ref="AZ4">IFERROR(INDEX(_xlfn.ANCHORARRAY(_xlfn.XLOOKUP($C4,'-ref_Distribution'!$B$146:$B$150,'-ref_Distribution'!$G$146:$G$150)),RIGHT(AZ$1,2)),"")</f>
        <v>234</v>
      </c>
      <c r="BA4" s="16" cm="1">
        <f t="array" ref="BA4">IFERROR(INDEX(_xlfn.ANCHORARRAY(_xlfn.XLOOKUP($C4,'-ref_Distribution'!$B$146:$B$150,'-ref_Distribution'!$G$146:$G$150)),RIGHT(BA$1,2)),"")</f>
        <v>243</v>
      </c>
      <c r="BB4" s="16" cm="1">
        <f t="array" ref="BB4">IFERROR(INDEX(_xlfn.ANCHORARRAY(_xlfn.XLOOKUP($C4,'-ref_Distribution'!$B$146:$B$150,'-ref_Distribution'!$G$146:$G$150)),RIGHT(BB$1,2)),"")</f>
        <v>245</v>
      </c>
      <c r="BC4" s="16" cm="1">
        <f t="array" ref="BC4">IFERROR(INDEX(_xlfn.ANCHORARRAY(_xlfn.XLOOKUP($C4,'-ref_Distribution'!$B$146:$B$150,'-ref_Distribution'!$G$146:$G$150)),RIGHT(BC$1,2)),"")</f>
        <v>243</v>
      </c>
      <c r="BD4" s="16" cm="1">
        <f t="array" ref="BD4">IFERROR(INDEX(_xlfn.ANCHORARRAY(_xlfn.XLOOKUP($C4,'-ref_Distribution'!$B$146:$B$150,'-ref_Distribution'!$G$146:$G$150)),RIGHT(BD$1,2)),"")</f>
        <v>234</v>
      </c>
      <c r="BE4" s="16" cm="1">
        <f t="array" ref="BE4">IFERROR(INDEX(_xlfn.ANCHORARRAY(_xlfn.XLOOKUP($C4,'-ref_Distribution'!$B$146:$B$150,'-ref_Distribution'!$G$146:$G$150)),RIGHT(BE$1,2)),"")</f>
        <v>221</v>
      </c>
      <c r="BF4" s="16" cm="1">
        <f t="array" ref="BF4">IFERROR(INDEX(_xlfn.ANCHORARRAY(_xlfn.XLOOKUP($C4,'-ref_Distribution'!$B$146:$B$150,'-ref_Distribution'!$G$146:$G$150)),RIGHT(BF$1,2)),"")</f>
        <v>203</v>
      </c>
      <c r="BG4" s="16" cm="1">
        <f t="array" ref="BG4">IFERROR(INDEX(_xlfn.ANCHORARRAY(_xlfn.XLOOKUP($C4,'-ref_Distribution'!$B$146:$B$150,'-ref_Distribution'!$G$146:$G$150)),RIGHT(BG$1,2)),"")</f>
        <v>183</v>
      </c>
      <c r="BH4" s="16" cm="1">
        <f t="array" ref="BH4">IFERROR(INDEX(_xlfn.ANCHORARRAY(_xlfn.XLOOKUP($C4,'-ref_Distribution'!$B$146:$B$150,'-ref_Distribution'!$G$146:$G$150)),RIGHT(BH$1,2)),"")</f>
        <v>160</v>
      </c>
      <c r="BI4" s="16" cm="1">
        <f t="array" ref="BI4">IFERROR(INDEX(_xlfn.ANCHORARRAY(_xlfn.XLOOKUP($C4,'-ref_Distribution'!$B$146:$B$150,'-ref_Distribution'!$G$146:$G$150)),RIGHT(BI$1,2)),"")</f>
        <v>137</v>
      </c>
      <c r="BJ4" s="16" cm="1">
        <f t="array" ref="BJ4">IFERROR(INDEX(_xlfn.ANCHORARRAY(_xlfn.XLOOKUP($C4,'-ref_Distribution'!$B$146:$B$150,'-ref_Distribution'!$G$146:$G$150)),RIGHT(BJ$1,2)),"")</f>
        <v>115</v>
      </c>
      <c r="BK4" s="16" cm="1">
        <f t="array" ref="BK4">IFERROR(INDEX(_xlfn.ANCHORARRAY(_xlfn.XLOOKUP($C4,'-ref_Distribution'!$B$146:$B$150,'-ref_Distribution'!$G$146:$G$150)),RIGHT(BK$1,2)),"")</f>
        <v>94</v>
      </c>
      <c r="BL4" s="16" cm="1">
        <f t="array" ref="BL4">IFERROR(INDEX(_xlfn.ANCHORARRAY(_xlfn.XLOOKUP($C4,'-ref_Distribution'!$B$146:$B$150,'-ref_Distribution'!$G$146:$G$150)),RIGHT(BL$1,2)),"")</f>
        <v>75</v>
      </c>
      <c r="BM4" s="16" cm="1">
        <f t="array" ref="BM4">IFERROR(INDEX(_xlfn.ANCHORARRAY(_xlfn.XLOOKUP($C4,'-ref_Distribution'!$B$146:$B$150,'-ref_Distribution'!$G$146:$G$150)),RIGHT(BM$1,2)),"")</f>
        <v>94</v>
      </c>
      <c r="BN4" s="16" cm="1">
        <f t="array" ref="BN4">IFERROR(INDEX(_xlfn.ANCHORARRAY(_xlfn.XLOOKUP($C4,'-ref_Distribution'!$B$146:$B$150,'-ref_Distribution'!$G$146:$G$150)),RIGHT(BN$1,2)),"")</f>
        <v>115</v>
      </c>
      <c r="BO4" s="16" cm="1">
        <f t="array" ref="BO4">IFERROR(INDEX(_xlfn.ANCHORARRAY(_xlfn.XLOOKUP($C4,'-ref_Distribution'!$B$146:$B$150,'-ref_Distribution'!$G$146:$G$150)),RIGHT(BO$1,2)),"")</f>
        <v>137</v>
      </c>
      <c r="BP4" s="16" cm="1">
        <f t="array" ref="BP4">IFERROR(INDEX(_xlfn.ANCHORARRAY(_xlfn.XLOOKUP($C4,'-ref_Distribution'!$B$146:$B$150,'-ref_Distribution'!$G$146:$G$150)),RIGHT(BP$1,2)),"")</f>
        <v>160</v>
      </c>
      <c r="BQ4" s="16" cm="1">
        <f t="array" ref="BQ4">IFERROR(INDEX(_xlfn.ANCHORARRAY(_xlfn.XLOOKUP($C4,'-ref_Distribution'!$B$146:$B$150,'-ref_Distribution'!$G$146:$G$150)),RIGHT(BQ$1,2)),"")</f>
        <v>183</v>
      </c>
      <c r="BR4" s="16" cm="1">
        <f t="array" ref="BR4">IFERROR(INDEX(_xlfn.ANCHORARRAY(_xlfn.XLOOKUP($C4,'-ref_Distribution'!$B$146:$B$150,'-ref_Distribution'!$G$146:$G$150)),RIGHT(BR$1,2)),"")</f>
        <v>203</v>
      </c>
      <c r="BS4" s="16" cm="1">
        <f t="array" ref="BS4">IFERROR(INDEX(_xlfn.ANCHORARRAY(_xlfn.XLOOKUP($C4,'-ref_Distribution'!$B$146:$B$150,'-ref_Distribution'!$G$146:$G$150)),RIGHT(BS$1,2)),"")</f>
        <v>221</v>
      </c>
      <c r="BT4" s="16" cm="1">
        <f t="array" ref="BT4">IFERROR(INDEX(_xlfn.ANCHORARRAY(_xlfn.XLOOKUP($C4,'-ref_Distribution'!$B$146:$B$150,'-ref_Distribution'!$G$146:$G$150)),RIGHT(BT$1,2)),"")</f>
        <v>234</v>
      </c>
      <c r="BU4" s="16" cm="1">
        <f t="array" ref="BU4">IFERROR(INDEX(_xlfn.ANCHORARRAY(_xlfn.XLOOKUP($C4,'-ref_Distribution'!$B$146:$B$150,'-ref_Distribution'!$G$146:$G$150)),RIGHT(BU$1,2)),"")</f>
        <v>243</v>
      </c>
      <c r="BV4" s="16" cm="1">
        <f t="array" ref="BV4">IFERROR(INDEX(_xlfn.ANCHORARRAY(_xlfn.XLOOKUP($C4,'-ref_Distribution'!$B$146:$B$150,'-ref_Distribution'!$G$146:$G$150)),RIGHT(BV$1,2)),"")</f>
        <v>245</v>
      </c>
      <c r="BW4" s="16" cm="1">
        <f t="array" ref="BW4">IFERROR(INDEX(_xlfn.ANCHORARRAY(_xlfn.XLOOKUP($C4,'-ref_Distribution'!$B$146:$B$150,'-ref_Distribution'!$G$146:$G$150)),RIGHT(BW$1,2)),"")</f>
        <v>243</v>
      </c>
      <c r="BX4" s="16" cm="1">
        <f t="array" ref="BX4">IFERROR(INDEX(_xlfn.ANCHORARRAY(_xlfn.XLOOKUP($C4,'-ref_Distribution'!$B$146:$B$150,'-ref_Distribution'!$G$146:$G$150)),RIGHT(BX$1,2)),"")</f>
        <v>234</v>
      </c>
      <c r="BY4" s="16" cm="1">
        <f t="array" ref="BY4">IFERROR(INDEX(_xlfn.ANCHORARRAY(_xlfn.XLOOKUP($C4,'-ref_Distribution'!$B$146:$B$150,'-ref_Distribution'!$G$146:$G$150)),RIGHT(BY$1,2)),"")</f>
        <v>221</v>
      </c>
      <c r="BZ4" s="16" cm="1">
        <f t="array" ref="BZ4">IFERROR(INDEX(_xlfn.ANCHORARRAY(_xlfn.XLOOKUP($C4,'-ref_Distribution'!$B$146:$B$150,'-ref_Distribution'!$G$146:$G$150)),RIGHT(BZ$1,2)),"")</f>
        <v>203</v>
      </c>
      <c r="CA4" s="16" cm="1">
        <f t="array" ref="CA4">IFERROR(INDEX(_xlfn.ANCHORARRAY(_xlfn.XLOOKUP($C4,'-ref_Distribution'!$B$146:$B$150,'-ref_Distribution'!$G$146:$G$150)),RIGHT(CA$1,2)),"")</f>
        <v>183</v>
      </c>
      <c r="CB4" s="16" cm="1">
        <f t="array" ref="CB4">IFERROR(INDEX(_xlfn.ANCHORARRAY(_xlfn.XLOOKUP($C4,'-ref_Distribution'!$B$146:$B$150,'-ref_Distribution'!$G$146:$G$150)),RIGHT(CB$1,2)),"")</f>
        <v>160</v>
      </c>
      <c r="CC4" s="16" cm="1">
        <f t="array" ref="CC4">IFERROR(INDEX(_xlfn.ANCHORARRAY(_xlfn.XLOOKUP($C4,'-ref_Distribution'!$B$146:$B$150,'-ref_Distribution'!$G$146:$G$150)),RIGHT(CC$1,2)),"")</f>
        <v>137</v>
      </c>
      <c r="CD4" s="16" cm="1">
        <f t="array" ref="CD4">IFERROR(INDEX(_xlfn.ANCHORARRAY(_xlfn.XLOOKUP($C4,'-ref_Distribution'!$B$146:$B$150,'-ref_Distribution'!$G$146:$G$150)),RIGHT(CD$1,2)),"")</f>
        <v>115</v>
      </c>
      <c r="CE4" s="16" cm="1">
        <f t="array" ref="CE4">IFERROR(INDEX(_xlfn.ANCHORARRAY(_xlfn.XLOOKUP($C4,'-ref_Distribution'!$B$146:$B$150,'-ref_Distribution'!$G$146:$G$150)),RIGHT(CE$1,2)),"")</f>
        <v>94</v>
      </c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</row>
    <row r="5" spans="1:95" x14ac:dyDescent="0.2">
      <c r="A5" s="16">
        <v>300014</v>
      </c>
      <c r="B5" s="16" t="s">
        <v>200</v>
      </c>
      <c r="C5" s="16">
        <v>3</v>
      </c>
      <c r="D5" s="16" cm="1">
        <f t="array" ref="D5">IFERROR(INDEX(_xlfn.ANCHORARRAY(_xlfn.XLOOKUP($C5,'-ref_Distribution'!$B$146:$B$150,'-ref_Distribution'!$G$146:$G$150)),RIGHT(D$1,2)),"")</f>
        <v>4</v>
      </c>
      <c r="E5" s="16" cm="1">
        <f t="array" ref="E5">IFERROR(INDEX(_xlfn.ANCHORARRAY(_xlfn.XLOOKUP($C5,'-ref_Distribution'!$B$146:$B$150,'-ref_Distribution'!$G$146:$G$150)),RIGHT(E$1,2)),"")</f>
        <v>6</v>
      </c>
      <c r="F5" s="16" cm="1">
        <f t="array" ref="F5">IFERROR(INDEX(_xlfn.ANCHORARRAY(_xlfn.XLOOKUP($C5,'-ref_Distribution'!$B$146:$B$150,'-ref_Distribution'!$G$146:$G$150)),RIGHT(F$1,2)),"")</f>
        <v>9</v>
      </c>
      <c r="G5" s="16" cm="1">
        <f t="array" ref="G5">IFERROR(INDEX(_xlfn.ANCHORARRAY(_xlfn.XLOOKUP($C5,'-ref_Distribution'!$B$146:$B$150,'-ref_Distribution'!$G$146:$G$150)),RIGHT(G$1,2)),"")</f>
        <v>14</v>
      </c>
      <c r="H5" s="16" cm="1">
        <f t="array" ref="H5">IFERROR(INDEX(_xlfn.ANCHORARRAY(_xlfn.XLOOKUP($C5,'-ref_Distribution'!$B$146:$B$150,'-ref_Distribution'!$G$146:$G$150)),RIGHT(H$1,2)),"")</f>
        <v>20</v>
      </c>
      <c r="I5" s="16" cm="1">
        <f t="array" ref="I5">IFERROR(INDEX(_xlfn.ANCHORARRAY(_xlfn.XLOOKUP($C5,'-ref_Distribution'!$B$146:$B$150,'-ref_Distribution'!$G$146:$G$150)),RIGHT(I$1,2)),"")</f>
        <v>28</v>
      </c>
      <c r="J5" s="16" cm="1">
        <f t="array" ref="J5">IFERROR(INDEX(_xlfn.ANCHORARRAY(_xlfn.XLOOKUP($C5,'-ref_Distribution'!$B$146:$B$150,'-ref_Distribution'!$G$146:$G$150)),RIGHT(J$1,2)),"")</f>
        <v>38</v>
      </c>
      <c r="K5" s="16" cm="1">
        <f t="array" ref="K5">IFERROR(INDEX(_xlfn.ANCHORARRAY(_xlfn.XLOOKUP($C5,'-ref_Distribution'!$B$146:$B$150,'-ref_Distribution'!$G$146:$G$150)),RIGHT(K$1,2)),"")</f>
        <v>51</v>
      </c>
      <c r="L5" s="16" cm="1">
        <f t="array" ref="L5">IFERROR(INDEX(_xlfn.ANCHORARRAY(_xlfn.XLOOKUP($C5,'-ref_Distribution'!$B$146:$B$150,'-ref_Distribution'!$G$146:$G$150)),RIGHT(L$1,2)),"")</f>
        <v>65</v>
      </c>
      <c r="M5" s="16" cm="1">
        <f t="array" ref="M5">IFERROR(INDEX(_xlfn.ANCHORARRAY(_xlfn.XLOOKUP($C5,'-ref_Distribution'!$B$146:$B$150,'-ref_Distribution'!$G$146:$G$150)),RIGHT(M$1,2)),"")</f>
        <v>80</v>
      </c>
      <c r="N5" s="16" cm="1">
        <f t="array" ref="N5">IFERROR(INDEX(_xlfn.ANCHORARRAY(_xlfn.XLOOKUP($C5,'-ref_Distribution'!$B$146:$B$150,'-ref_Distribution'!$G$146:$G$150)),RIGHT(N$1,2)),"")</f>
        <v>96</v>
      </c>
      <c r="O5" s="16" cm="1">
        <f t="array" ref="O5">IFERROR(INDEX(_xlfn.ANCHORARRAY(_xlfn.XLOOKUP($C5,'-ref_Distribution'!$B$146:$B$150,'-ref_Distribution'!$G$146:$G$150)),RIGHT(O$1,2)),"")</f>
        <v>111</v>
      </c>
      <c r="P5" s="16" cm="1">
        <f t="array" ref="P5">IFERROR(INDEX(_xlfn.ANCHORARRAY(_xlfn.XLOOKUP($C5,'-ref_Distribution'!$B$146:$B$150,'-ref_Distribution'!$G$146:$G$150)),RIGHT(P$1,2)),"")</f>
        <v>125</v>
      </c>
      <c r="Q5" s="16" cm="1">
        <f t="array" ref="Q5">IFERROR(INDEX(_xlfn.ANCHORARRAY(_xlfn.XLOOKUP($C5,'-ref_Distribution'!$B$146:$B$150,'-ref_Distribution'!$G$146:$G$150)),RIGHT(Q$1,2)),"")</f>
        <v>135</v>
      </c>
      <c r="R5" s="16" cm="1">
        <f t="array" ref="R5">IFERROR(INDEX(_xlfn.ANCHORARRAY(_xlfn.XLOOKUP($C5,'-ref_Distribution'!$B$146:$B$150,'-ref_Distribution'!$G$146:$G$150)),RIGHT(R$1,2)),"")</f>
        <v>142</v>
      </c>
      <c r="S5" s="16" cm="1">
        <f t="array" ref="S5">IFERROR(INDEX(_xlfn.ANCHORARRAY(_xlfn.XLOOKUP($C5,'-ref_Distribution'!$B$146:$B$150,'-ref_Distribution'!$G$146:$G$150)),RIGHT(S$1,2)),"")</f>
        <v>144</v>
      </c>
      <c r="T5" s="16" cm="1">
        <f t="array" ref="T5">IFERROR(INDEX(_xlfn.ANCHORARRAY(_xlfn.XLOOKUP($C5,'-ref_Distribution'!$B$146:$B$150,'-ref_Distribution'!$G$146:$G$150)),RIGHT(T$1,2)),"")</f>
        <v>142</v>
      </c>
      <c r="U5" s="16" cm="1">
        <f t="array" ref="U5">IFERROR(INDEX(_xlfn.ANCHORARRAY(_xlfn.XLOOKUP($C5,'-ref_Distribution'!$B$146:$B$150,'-ref_Distribution'!$G$146:$G$150)),RIGHT(U$1,2)),"")</f>
        <v>135</v>
      </c>
      <c r="V5" s="16" cm="1">
        <f t="array" ref="V5">IFERROR(INDEX(_xlfn.ANCHORARRAY(_xlfn.XLOOKUP($C5,'-ref_Distribution'!$B$146:$B$150,'-ref_Distribution'!$G$146:$G$150)),RIGHT(V$1,2)),"")</f>
        <v>125</v>
      </c>
      <c r="W5" s="16" cm="1">
        <f t="array" ref="W5">IFERROR(INDEX(_xlfn.ANCHORARRAY(_xlfn.XLOOKUP($C5,'-ref_Distribution'!$B$146:$B$150,'-ref_Distribution'!$G$146:$G$150)),RIGHT(W$1,2)),"")</f>
        <v>111</v>
      </c>
      <c r="X5" s="16" cm="1">
        <f t="array" ref="X5">IFERROR(INDEX(_xlfn.ANCHORARRAY(_xlfn.XLOOKUP($C5,'-ref_Distribution'!$B$146:$B$150,'-ref_Distribution'!$G$146:$G$150)),RIGHT(X$1,2)),"")</f>
        <v>4</v>
      </c>
      <c r="Y5" s="16" cm="1">
        <f t="array" ref="Y5">IFERROR(INDEX(_xlfn.ANCHORARRAY(_xlfn.XLOOKUP($C5,'-ref_Distribution'!$B$146:$B$150,'-ref_Distribution'!$G$146:$G$150)),RIGHT(Y$1,2)),"")</f>
        <v>6</v>
      </c>
      <c r="Z5" s="16" cm="1">
        <f t="array" ref="Z5">IFERROR(INDEX(_xlfn.ANCHORARRAY(_xlfn.XLOOKUP($C5,'-ref_Distribution'!$B$146:$B$150,'-ref_Distribution'!$G$146:$G$150)),RIGHT(Z$1,2)),"")</f>
        <v>9</v>
      </c>
      <c r="AA5" s="16" cm="1">
        <f t="array" ref="AA5">IFERROR(INDEX(_xlfn.ANCHORARRAY(_xlfn.XLOOKUP($C5,'-ref_Distribution'!$B$146:$B$150,'-ref_Distribution'!$G$146:$G$150)),RIGHT(AA$1,2)),"")</f>
        <v>14</v>
      </c>
      <c r="AB5" s="16" cm="1">
        <f t="array" ref="AB5">IFERROR(INDEX(_xlfn.ANCHORARRAY(_xlfn.XLOOKUP($C5,'-ref_Distribution'!$B$146:$B$150,'-ref_Distribution'!$G$146:$G$150)),RIGHT(AB$1,2)),"")</f>
        <v>20</v>
      </c>
      <c r="AC5" s="16" cm="1">
        <f t="array" ref="AC5">IFERROR(INDEX(_xlfn.ANCHORARRAY(_xlfn.XLOOKUP($C5,'-ref_Distribution'!$B$146:$B$150,'-ref_Distribution'!$G$146:$G$150)),RIGHT(AC$1,2)),"")</f>
        <v>28</v>
      </c>
      <c r="AD5" s="16" cm="1">
        <f t="array" ref="AD5">IFERROR(INDEX(_xlfn.ANCHORARRAY(_xlfn.XLOOKUP($C5,'-ref_Distribution'!$B$146:$B$150,'-ref_Distribution'!$G$146:$G$150)),RIGHT(AD$1,2)),"")</f>
        <v>38</v>
      </c>
      <c r="AE5" s="16" cm="1">
        <f t="array" ref="AE5">IFERROR(INDEX(_xlfn.ANCHORARRAY(_xlfn.XLOOKUP($C5,'-ref_Distribution'!$B$146:$B$150,'-ref_Distribution'!$G$146:$G$150)),RIGHT(AE$1,2)),"")</f>
        <v>51</v>
      </c>
      <c r="AF5" s="16" cm="1">
        <f t="array" ref="AF5">IFERROR(INDEX(_xlfn.ANCHORARRAY(_xlfn.XLOOKUP($C5,'-ref_Distribution'!$B$146:$B$150,'-ref_Distribution'!$G$146:$G$150)),RIGHT(AF$1,2)),"")</f>
        <v>65</v>
      </c>
      <c r="AG5" s="16" cm="1">
        <f t="array" ref="AG5">IFERROR(INDEX(_xlfn.ANCHORARRAY(_xlfn.XLOOKUP($C5,'-ref_Distribution'!$B$146:$B$150,'-ref_Distribution'!$G$146:$G$150)),RIGHT(AG$1,2)),"")</f>
        <v>80</v>
      </c>
      <c r="AH5" s="16" cm="1">
        <f t="array" ref="AH5">IFERROR(INDEX(_xlfn.ANCHORARRAY(_xlfn.XLOOKUP($C5,'-ref_Distribution'!$B$146:$B$150,'-ref_Distribution'!$G$146:$G$150)),RIGHT(AH$1,2)),"")</f>
        <v>96</v>
      </c>
      <c r="AI5" s="16" cm="1">
        <f t="array" ref="AI5">IFERROR(INDEX(_xlfn.ANCHORARRAY(_xlfn.XLOOKUP($C5,'-ref_Distribution'!$B$146:$B$150,'-ref_Distribution'!$G$146:$G$150)),RIGHT(AI$1,2)),"")</f>
        <v>111</v>
      </c>
      <c r="AJ5" s="16" cm="1">
        <f t="array" ref="AJ5">IFERROR(INDEX(_xlfn.ANCHORARRAY(_xlfn.XLOOKUP($C5,'-ref_Distribution'!$B$146:$B$150,'-ref_Distribution'!$G$146:$G$150)),RIGHT(AJ$1,2)),"")</f>
        <v>125</v>
      </c>
      <c r="AK5" s="16" cm="1">
        <f t="array" ref="AK5">IFERROR(INDEX(_xlfn.ANCHORARRAY(_xlfn.XLOOKUP($C5,'-ref_Distribution'!$B$146:$B$150,'-ref_Distribution'!$G$146:$G$150)),RIGHT(AK$1,2)),"")</f>
        <v>135</v>
      </c>
      <c r="AL5" s="16" cm="1">
        <f t="array" ref="AL5">IFERROR(INDEX(_xlfn.ANCHORARRAY(_xlfn.XLOOKUP($C5,'-ref_Distribution'!$B$146:$B$150,'-ref_Distribution'!$G$146:$G$150)),RIGHT(AL$1,2)),"")</f>
        <v>142</v>
      </c>
      <c r="AM5" s="16" cm="1">
        <f t="array" ref="AM5">IFERROR(INDEX(_xlfn.ANCHORARRAY(_xlfn.XLOOKUP($C5,'-ref_Distribution'!$B$146:$B$150,'-ref_Distribution'!$G$146:$G$150)),RIGHT(AM$1,2)),"")</f>
        <v>144</v>
      </c>
      <c r="AN5" s="16" cm="1">
        <f t="array" ref="AN5">IFERROR(INDEX(_xlfn.ANCHORARRAY(_xlfn.XLOOKUP($C5,'-ref_Distribution'!$B$146:$B$150,'-ref_Distribution'!$G$146:$G$150)),RIGHT(AN$1,2)),"")</f>
        <v>142</v>
      </c>
      <c r="AO5" s="16" cm="1">
        <f t="array" ref="AO5">IFERROR(INDEX(_xlfn.ANCHORARRAY(_xlfn.XLOOKUP($C5,'-ref_Distribution'!$B$146:$B$150,'-ref_Distribution'!$G$146:$G$150)),RIGHT(AO$1,2)),"")</f>
        <v>135</v>
      </c>
      <c r="AP5" s="16" cm="1">
        <f t="array" ref="AP5">IFERROR(INDEX(_xlfn.ANCHORARRAY(_xlfn.XLOOKUP($C5,'-ref_Distribution'!$B$146:$B$150,'-ref_Distribution'!$G$146:$G$150)),RIGHT(AP$1,2)),"")</f>
        <v>125</v>
      </c>
      <c r="AQ5" s="16" cm="1">
        <f t="array" ref="AQ5">IFERROR(INDEX(_xlfn.ANCHORARRAY(_xlfn.XLOOKUP($C5,'-ref_Distribution'!$B$146:$B$150,'-ref_Distribution'!$G$146:$G$150)),RIGHT(AQ$1,2)),"")</f>
        <v>111</v>
      </c>
      <c r="AR5" s="16" cm="1">
        <f t="array" ref="AR5">IFERROR(INDEX(_xlfn.ANCHORARRAY(_xlfn.XLOOKUP($C5,'-ref_Distribution'!$B$146:$B$150,'-ref_Distribution'!$G$146:$G$150)),RIGHT(AR$1,2)),"")</f>
        <v>4</v>
      </c>
      <c r="AS5" s="16" cm="1">
        <f t="array" ref="AS5">IFERROR(INDEX(_xlfn.ANCHORARRAY(_xlfn.XLOOKUP($C5,'-ref_Distribution'!$B$146:$B$150,'-ref_Distribution'!$G$146:$G$150)),RIGHT(AS$1,2)),"")</f>
        <v>6</v>
      </c>
      <c r="AT5" s="16" cm="1">
        <f t="array" ref="AT5">IFERROR(INDEX(_xlfn.ANCHORARRAY(_xlfn.XLOOKUP($C5,'-ref_Distribution'!$B$146:$B$150,'-ref_Distribution'!$G$146:$G$150)),RIGHT(AT$1,2)),"")</f>
        <v>9</v>
      </c>
      <c r="AU5" s="16" cm="1">
        <f t="array" ref="AU5">IFERROR(INDEX(_xlfn.ANCHORARRAY(_xlfn.XLOOKUP($C5,'-ref_Distribution'!$B$146:$B$150,'-ref_Distribution'!$G$146:$G$150)),RIGHT(AU$1,2)),"")</f>
        <v>14</v>
      </c>
      <c r="AV5" s="16" cm="1">
        <f t="array" ref="AV5">IFERROR(INDEX(_xlfn.ANCHORARRAY(_xlfn.XLOOKUP($C5,'-ref_Distribution'!$B$146:$B$150,'-ref_Distribution'!$G$146:$G$150)),RIGHT(AV$1,2)),"")</f>
        <v>20</v>
      </c>
      <c r="AW5" s="16" cm="1">
        <f t="array" ref="AW5">IFERROR(INDEX(_xlfn.ANCHORARRAY(_xlfn.XLOOKUP($C5,'-ref_Distribution'!$B$146:$B$150,'-ref_Distribution'!$G$146:$G$150)),RIGHT(AW$1,2)),"")</f>
        <v>28</v>
      </c>
      <c r="AX5" s="16" cm="1">
        <f t="array" ref="AX5">IFERROR(INDEX(_xlfn.ANCHORARRAY(_xlfn.XLOOKUP($C5,'-ref_Distribution'!$B$146:$B$150,'-ref_Distribution'!$G$146:$G$150)),RIGHT(AX$1,2)),"")</f>
        <v>38</v>
      </c>
      <c r="AY5" s="16" cm="1">
        <f t="array" ref="AY5">IFERROR(INDEX(_xlfn.ANCHORARRAY(_xlfn.XLOOKUP($C5,'-ref_Distribution'!$B$146:$B$150,'-ref_Distribution'!$G$146:$G$150)),RIGHT(AY$1,2)),"")</f>
        <v>51</v>
      </c>
      <c r="AZ5" s="16" cm="1">
        <f t="array" ref="AZ5">IFERROR(INDEX(_xlfn.ANCHORARRAY(_xlfn.XLOOKUP($C5,'-ref_Distribution'!$B$146:$B$150,'-ref_Distribution'!$G$146:$G$150)),RIGHT(AZ$1,2)),"")</f>
        <v>65</v>
      </c>
      <c r="BA5" s="16" cm="1">
        <f t="array" ref="BA5">IFERROR(INDEX(_xlfn.ANCHORARRAY(_xlfn.XLOOKUP($C5,'-ref_Distribution'!$B$146:$B$150,'-ref_Distribution'!$G$146:$G$150)),RIGHT(BA$1,2)),"")</f>
        <v>80</v>
      </c>
      <c r="BB5" s="16" cm="1">
        <f t="array" ref="BB5">IFERROR(INDEX(_xlfn.ANCHORARRAY(_xlfn.XLOOKUP($C5,'-ref_Distribution'!$B$146:$B$150,'-ref_Distribution'!$G$146:$G$150)),RIGHT(BB$1,2)),"")</f>
        <v>96</v>
      </c>
      <c r="BC5" s="16" cm="1">
        <f t="array" ref="BC5">IFERROR(INDEX(_xlfn.ANCHORARRAY(_xlfn.XLOOKUP($C5,'-ref_Distribution'!$B$146:$B$150,'-ref_Distribution'!$G$146:$G$150)),RIGHT(BC$1,2)),"")</f>
        <v>111</v>
      </c>
      <c r="BD5" s="16" cm="1">
        <f t="array" ref="BD5">IFERROR(INDEX(_xlfn.ANCHORARRAY(_xlfn.XLOOKUP($C5,'-ref_Distribution'!$B$146:$B$150,'-ref_Distribution'!$G$146:$G$150)),RIGHT(BD$1,2)),"")</f>
        <v>125</v>
      </c>
      <c r="BE5" s="16" cm="1">
        <f t="array" ref="BE5">IFERROR(INDEX(_xlfn.ANCHORARRAY(_xlfn.XLOOKUP($C5,'-ref_Distribution'!$B$146:$B$150,'-ref_Distribution'!$G$146:$G$150)),RIGHT(BE$1,2)),"")</f>
        <v>135</v>
      </c>
      <c r="BF5" s="16" cm="1">
        <f t="array" ref="BF5">IFERROR(INDEX(_xlfn.ANCHORARRAY(_xlfn.XLOOKUP($C5,'-ref_Distribution'!$B$146:$B$150,'-ref_Distribution'!$G$146:$G$150)),RIGHT(BF$1,2)),"")</f>
        <v>142</v>
      </c>
      <c r="BG5" s="16" cm="1">
        <f t="array" ref="BG5">IFERROR(INDEX(_xlfn.ANCHORARRAY(_xlfn.XLOOKUP($C5,'-ref_Distribution'!$B$146:$B$150,'-ref_Distribution'!$G$146:$G$150)),RIGHT(BG$1,2)),"")</f>
        <v>144</v>
      </c>
      <c r="BH5" s="16" cm="1">
        <f t="array" ref="BH5">IFERROR(INDEX(_xlfn.ANCHORARRAY(_xlfn.XLOOKUP($C5,'-ref_Distribution'!$B$146:$B$150,'-ref_Distribution'!$G$146:$G$150)),RIGHT(BH$1,2)),"")</f>
        <v>142</v>
      </c>
      <c r="BI5" s="16" cm="1">
        <f t="array" ref="BI5">IFERROR(INDEX(_xlfn.ANCHORARRAY(_xlfn.XLOOKUP($C5,'-ref_Distribution'!$B$146:$B$150,'-ref_Distribution'!$G$146:$G$150)),RIGHT(BI$1,2)),"")</f>
        <v>135</v>
      </c>
      <c r="BJ5" s="16" cm="1">
        <f t="array" ref="BJ5">IFERROR(INDEX(_xlfn.ANCHORARRAY(_xlfn.XLOOKUP($C5,'-ref_Distribution'!$B$146:$B$150,'-ref_Distribution'!$G$146:$G$150)),RIGHT(BJ$1,2)),"")</f>
        <v>125</v>
      </c>
      <c r="BK5" s="16" cm="1">
        <f t="array" ref="BK5">IFERROR(INDEX(_xlfn.ANCHORARRAY(_xlfn.XLOOKUP($C5,'-ref_Distribution'!$B$146:$B$150,'-ref_Distribution'!$G$146:$G$150)),RIGHT(BK$1,2)),"")</f>
        <v>111</v>
      </c>
      <c r="BL5" s="16" cm="1">
        <f t="array" ref="BL5">IFERROR(INDEX(_xlfn.ANCHORARRAY(_xlfn.XLOOKUP($C5,'-ref_Distribution'!$B$146:$B$150,'-ref_Distribution'!$G$146:$G$150)),RIGHT(BL$1,2)),"")</f>
        <v>4</v>
      </c>
      <c r="BM5" s="16" cm="1">
        <f t="array" ref="BM5">IFERROR(INDEX(_xlfn.ANCHORARRAY(_xlfn.XLOOKUP($C5,'-ref_Distribution'!$B$146:$B$150,'-ref_Distribution'!$G$146:$G$150)),RIGHT(BM$1,2)),"")</f>
        <v>6</v>
      </c>
      <c r="BN5" s="16" cm="1">
        <f t="array" ref="BN5">IFERROR(INDEX(_xlfn.ANCHORARRAY(_xlfn.XLOOKUP($C5,'-ref_Distribution'!$B$146:$B$150,'-ref_Distribution'!$G$146:$G$150)),RIGHT(BN$1,2)),"")</f>
        <v>9</v>
      </c>
      <c r="BO5" s="16" cm="1">
        <f t="array" ref="BO5">IFERROR(INDEX(_xlfn.ANCHORARRAY(_xlfn.XLOOKUP($C5,'-ref_Distribution'!$B$146:$B$150,'-ref_Distribution'!$G$146:$G$150)),RIGHT(BO$1,2)),"")</f>
        <v>14</v>
      </c>
      <c r="BP5" s="16" cm="1">
        <f t="array" ref="BP5">IFERROR(INDEX(_xlfn.ANCHORARRAY(_xlfn.XLOOKUP($C5,'-ref_Distribution'!$B$146:$B$150,'-ref_Distribution'!$G$146:$G$150)),RIGHT(BP$1,2)),"")</f>
        <v>20</v>
      </c>
      <c r="BQ5" s="16" cm="1">
        <f t="array" ref="BQ5">IFERROR(INDEX(_xlfn.ANCHORARRAY(_xlfn.XLOOKUP($C5,'-ref_Distribution'!$B$146:$B$150,'-ref_Distribution'!$G$146:$G$150)),RIGHT(BQ$1,2)),"")</f>
        <v>28</v>
      </c>
      <c r="BR5" s="16" cm="1">
        <f t="array" ref="BR5">IFERROR(INDEX(_xlfn.ANCHORARRAY(_xlfn.XLOOKUP($C5,'-ref_Distribution'!$B$146:$B$150,'-ref_Distribution'!$G$146:$G$150)),RIGHT(BR$1,2)),"")</f>
        <v>38</v>
      </c>
      <c r="BS5" s="16" cm="1">
        <f t="array" ref="BS5">IFERROR(INDEX(_xlfn.ANCHORARRAY(_xlfn.XLOOKUP($C5,'-ref_Distribution'!$B$146:$B$150,'-ref_Distribution'!$G$146:$G$150)),RIGHT(BS$1,2)),"")</f>
        <v>51</v>
      </c>
      <c r="BT5" s="16" cm="1">
        <f t="array" ref="BT5">IFERROR(INDEX(_xlfn.ANCHORARRAY(_xlfn.XLOOKUP($C5,'-ref_Distribution'!$B$146:$B$150,'-ref_Distribution'!$G$146:$G$150)),RIGHT(BT$1,2)),"")</f>
        <v>65</v>
      </c>
      <c r="BU5" s="16" cm="1">
        <f t="array" ref="BU5">IFERROR(INDEX(_xlfn.ANCHORARRAY(_xlfn.XLOOKUP($C5,'-ref_Distribution'!$B$146:$B$150,'-ref_Distribution'!$G$146:$G$150)),RIGHT(BU$1,2)),"")</f>
        <v>80</v>
      </c>
      <c r="BV5" s="16" cm="1">
        <f t="array" ref="BV5">IFERROR(INDEX(_xlfn.ANCHORARRAY(_xlfn.XLOOKUP($C5,'-ref_Distribution'!$B$146:$B$150,'-ref_Distribution'!$G$146:$G$150)),RIGHT(BV$1,2)),"")</f>
        <v>96</v>
      </c>
      <c r="BW5" s="16" cm="1">
        <f t="array" ref="BW5">IFERROR(INDEX(_xlfn.ANCHORARRAY(_xlfn.XLOOKUP($C5,'-ref_Distribution'!$B$146:$B$150,'-ref_Distribution'!$G$146:$G$150)),RIGHT(BW$1,2)),"")</f>
        <v>111</v>
      </c>
      <c r="BX5" s="16" cm="1">
        <f t="array" ref="BX5">IFERROR(INDEX(_xlfn.ANCHORARRAY(_xlfn.XLOOKUP($C5,'-ref_Distribution'!$B$146:$B$150,'-ref_Distribution'!$G$146:$G$150)),RIGHT(BX$1,2)),"")</f>
        <v>125</v>
      </c>
      <c r="BY5" s="16" cm="1">
        <f t="array" ref="BY5">IFERROR(INDEX(_xlfn.ANCHORARRAY(_xlfn.XLOOKUP($C5,'-ref_Distribution'!$B$146:$B$150,'-ref_Distribution'!$G$146:$G$150)),RIGHT(BY$1,2)),"")</f>
        <v>135</v>
      </c>
      <c r="BZ5" s="16" cm="1">
        <f t="array" ref="BZ5">IFERROR(INDEX(_xlfn.ANCHORARRAY(_xlfn.XLOOKUP($C5,'-ref_Distribution'!$B$146:$B$150,'-ref_Distribution'!$G$146:$G$150)),RIGHT(BZ$1,2)),"")</f>
        <v>142</v>
      </c>
      <c r="CA5" s="16" cm="1">
        <f t="array" ref="CA5">IFERROR(INDEX(_xlfn.ANCHORARRAY(_xlfn.XLOOKUP($C5,'-ref_Distribution'!$B$146:$B$150,'-ref_Distribution'!$G$146:$G$150)),RIGHT(CA$1,2)),"")</f>
        <v>144</v>
      </c>
      <c r="CB5" s="16" cm="1">
        <f t="array" ref="CB5">IFERROR(INDEX(_xlfn.ANCHORARRAY(_xlfn.XLOOKUP($C5,'-ref_Distribution'!$B$146:$B$150,'-ref_Distribution'!$G$146:$G$150)),RIGHT(CB$1,2)),"")</f>
        <v>142</v>
      </c>
      <c r="CC5" s="16" cm="1">
        <f t="array" ref="CC5">IFERROR(INDEX(_xlfn.ANCHORARRAY(_xlfn.XLOOKUP($C5,'-ref_Distribution'!$B$146:$B$150,'-ref_Distribution'!$G$146:$G$150)),RIGHT(CC$1,2)),"")</f>
        <v>135</v>
      </c>
      <c r="CD5" s="16" cm="1">
        <f t="array" ref="CD5">IFERROR(INDEX(_xlfn.ANCHORARRAY(_xlfn.XLOOKUP($C5,'-ref_Distribution'!$B$146:$B$150,'-ref_Distribution'!$G$146:$G$150)),RIGHT(CD$1,2)),"")</f>
        <v>125</v>
      </c>
      <c r="CE5" s="16" cm="1">
        <f t="array" ref="CE5">IFERROR(INDEX(_xlfn.ANCHORARRAY(_xlfn.XLOOKUP($C5,'-ref_Distribution'!$B$146:$B$150,'-ref_Distribution'!$G$146:$G$150)),RIGHT(CE$1,2)),"")</f>
        <v>111</v>
      </c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</row>
    <row r="6" spans="1:95" x14ac:dyDescent="0.2">
      <c r="A6" s="16">
        <v>300021</v>
      </c>
      <c r="B6" s="16" t="s">
        <v>418</v>
      </c>
      <c r="C6" s="16">
        <v>1</v>
      </c>
      <c r="D6" s="16" cm="1">
        <f t="array" ref="D6">IFERROR(INDEX(_xlfn.ANCHORARRAY(_xlfn.XLOOKUP($C6,'-ref_Distribution'!$B$146:$B$150,'-ref_Distribution'!$G$146:$G$150)),RIGHT(D$1,2)),"")</f>
        <v>337</v>
      </c>
      <c r="E6" s="16" cm="1">
        <f t="array" ref="E6">IFERROR(INDEX(_xlfn.ANCHORARRAY(_xlfn.XLOOKUP($C6,'-ref_Distribution'!$B$146:$B$150,'-ref_Distribution'!$G$146:$G$150)),RIGHT(E$1,2)),"")</f>
        <v>364</v>
      </c>
      <c r="F6" s="16" cm="1">
        <f t="array" ref="F6">IFERROR(INDEX(_xlfn.ANCHORARRAY(_xlfn.XLOOKUP($C6,'-ref_Distribution'!$B$146:$B$150,'-ref_Distribution'!$G$146:$G$150)),RIGHT(F$1,2)),"")</f>
        <v>386</v>
      </c>
      <c r="G6" s="16" cm="1">
        <f t="array" ref="G6">IFERROR(INDEX(_xlfn.ANCHORARRAY(_xlfn.XLOOKUP($C6,'-ref_Distribution'!$B$146:$B$150,'-ref_Distribution'!$G$146:$G$150)),RIGHT(G$1,2)),"")</f>
        <v>403</v>
      </c>
      <c r="H6" s="16" cm="1">
        <f t="array" ref="H6">IFERROR(INDEX(_xlfn.ANCHORARRAY(_xlfn.XLOOKUP($C6,'-ref_Distribution'!$B$146:$B$150,'-ref_Distribution'!$G$146:$G$150)),RIGHT(H$1,2)),"")</f>
        <v>414</v>
      </c>
      <c r="I6" s="16" cm="1">
        <f t="array" ref="I6">IFERROR(INDEX(_xlfn.ANCHORARRAY(_xlfn.XLOOKUP($C6,'-ref_Distribution'!$B$146:$B$150,'-ref_Distribution'!$G$146:$G$150)),RIGHT(I$1,2)),"")</f>
        <v>417</v>
      </c>
      <c r="J6" s="16" cm="1">
        <f t="array" ref="J6">IFERROR(INDEX(_xlfn.ANCHORARRAY(_xlfn.XLOOKUP($C6,'-ref_Distribution'!$B$146:$B$150,'-ref_Distribution'!$G$146:$G$150)),RIGHT(J$1,2)),"")</f>
        <v>414</v>
      </c>
      <c r="K6" s="16" cm="1">
        <f t="array" ref="K6">IFERROR(INDEX(_xlfn.ANCHORARRAY(_xlfn.XLOOKUP($C6,'-ref_Distribution'!$B$146:$B$150,'-ref_Distribution'!$G$146:$G$150)),RIGHT(K$1,2)),"")</f>
        <v>403</v>
      </c>
      <c r="L6" s="16" cm="1">
        <f t="array" ref="L6">IFERROR(INDEX(_xlfn.ANCHORARRAY(_xlfn.XLOOKUP($C6,'-ref_Distribution'!$B$146:$B$150,'-ref_Distribution'!$G$146:$G$150)),RIGHT(L$1,2)),"")</f>
        <v>386</v>
      </c>
      <c r="M6" s="16" cm="1">
        <f t="array" ref="M6">IFERROR(INDEX(_xlfn.ANCHORARRAY(_xlfn.XLOOKUP($C6,'-ref_Distribution'!$B$146:$B$150,'-ref_Distribution'!$G$146:$G$150)),RIGHT(M$1,2)),"")</f>
        <v>364</v>
      </c>
      <c r="N6" s="16" cm="1">
        <f t="array" ref="N6">IFERROR(INDEX(_xlfn.ANCHORARRAY(_xlfn.XLOOKUP($C6,'-ref_Distribution'!$B$146:$B$150,'-ref_Distribution'!$G$146:$G$150)),RIGHT(N$1,2)),"")</f>
        <v>337</v>
      </c>
      <c r="O6" s="16" cm="1">
        <f t="array" ref="O6">IFERROR(INDEX(_xlfn.ANCHORARRAY(_xlfn.XLOOKUP($C6,'-ref_Distribution'!$B$146:$B$150,'-ref_Distribution'!$G$146:$G$150)),RIGHT(O$1,2)),"")</f>
        <v>307</v>
      </c>
      <c r="P6" s="16" cm="1">
        <f t="array" ref="P6">IFERROR(INDEX(_xlfn.ANCHORARRAY(_xlfn.XLOOKUP($C6,'-ref_Distribution'!$B$146:$B$150,'-ref_Distribution'!$G$146:$G$150)),RIGHT(P$1,2)),"")</f>
        <v>274</v>
      </c>
      <c r="Q6" s="16" cm="1">
        <f t="array" ref="Q6">IFERROR(INDEX(_xlfn.ANCHORARRAY(_xlfn.XLOOKUP($C6,'-ref_Distribution'!$B$146:$B$150,'-ref_Distribution'!$G$146:$G$150)),RIGHT(Q$1,2)),"")</f>
        <v>241</v>
      </c>
      <c r="R6" s="16" cm="1">
        <f t="array" ref="R6">IFERROR(INDEX(_xlfn.ANCHORARRAY(_xlfn.XLOOKUP($C6,'-ref_Distribution'!$B$146:$B$150,'-ref_Distribution'!$G$146:$G$150)),RIGHT(R$1,2)),"")</f>
        <v>209</v>
      </c>
      <c r="S6" s="16" cm="1">
        <f t="array" ref="S6">IFERROR(INDEX(_xlfn.ANCHORARRAY(_xlfn.XLOOKUP($C6,'-ref_Distribution'!$B$146:$B$150,'-ref_Distribution'!$G$146:$G$150)),RIGHT(S$1,2)),"")</f>
        <v>178</v>
      </c>
      <c r="T6" s="16" cm="1">
        <f t="array" ref="T6">IFERROR(INDEX(_xlfn.ANCHORARRAY(_xlfn.XLOOKUP($C6,'-ref_Distribution'!$B$146:$B$150,'-ref_Distribution'!$G$146:$G$150)),RIGHT(T$1,2)),"")</f>
        <v>148</v>
      </c>
      <c r="U6" s="16" cm="1">
        <f t="array" ref="U6">IFERROR(INDEX(_xlfn.ANCHORARRAY(_xlfn.XLOOKUP($C6,'-ref_Distribution'!$B$146:$B$150,'-ref_Distribution'!$G$146:$G$150)),RIGHT(U$1,2)),"")</f>
        <v>122</v>
      </c>
      <c r="V6" s="16" cm="1">
        <f t="array" ref="V6">IFERROR(INDEX(_xlfn.ANCHORARRAY(_xlfn.XLOOKUP($C6,'-ref_Distribution'!$B$146:$B$150,'-ref_Distribution'!$G$146:$G$150)),RIGHT(V$1,2)),"")</f>
        <v>98</v>
      </c>
      <c r="W6" s="16" cm="1">
        <f t="array" ref="W6">IFERROR(INDEX(_xlfn.ANCHORARRAY(_xlfn.XLOOKUP($C6,'-ref_Distribution'!$B$146:$B$150,'-ref_Distribution'!$G$146:$G$150)),RIGHT(W$1,2)),"")</f>
        <v>78</v>
      </c>
      <c r="X6" s="16" cm="1">
        <f t="array" ref="X6">IFERROR(INDEX(_xlfn.ANCHORARRAY(_xlfn.XLOOKUP($C6,'-ref_Distribution'!$B$146:$B$150,'-ref_Distribution'!$G$146:$G$150)),RIGHT(X$1,2)),"")</f>
        <v>337</v>
      </c>
      <c r="Y6" s="16" cm="1">
        <f t="array" ref="Y6">IFERROR(INDEX(_xlfn.ANCHORARRAY(_xlfn.XLOOKUP($C6,'-ref_Distribution'!$B$146:$B$150,'-ref_Distribution'!$G$146:$G$150)),RIGHT(Y$1,2)),"")</f>
        <v>364</v>
      </c>
      <c r="Z6" s="16" cm="1">
        <f t="array" ref="Z6">IFERROR(INDEX(_xlfn.ANCHORARRAY(_xlfn.XLOOKUP($C6,'-ref_Distribution'!$B$146:$B$150,'-ref_Distribution'!$G$146:$G$150)),RIGHT(Z$1,2)),"")</f>
        <v>386</v>
      </c>
      <c r="AA6" s="16" cm="1">
        <f t="array" ref="AA6">IFERROR(INDEX(_xlfn.ANCHORARRAY(_xlfn.XLOOKUP($C6,'-ref_Distribution'!$B$146:$B$150,'-ref_Distribution'!$G$146:$G$150)),RIGHT(AA$1,2)),"")</f>
        <v>403</v>
      </c>
      <c r="AB6" s="16" cm="1">
        <f t="array" ref="AB6">IFERROR(INDEX(_xlfn.ANCHORARRAY(_xlfn.XLOOKUP($C6,'-ref_Distribution'!$B$146:$B$150,'-ref_Distribution'!$G$146:$G$150)),RIGHT(AB$1,2)),"")</f>
        <v>414</v>
      </c>
      <c r="AC6" s="16" cm="1">
        <f t="array" ref="AC6">IFERROR(INDEX(_xlfn.ANCHORARRAY(_xlfn.XLOOKUP($C6,'-ref_Distribution'!$B$146:$B$150,'-ref_Distribution'!$G$146:$G$150)),RIGHT(AC$1,2)),"")</f>
        <v>417</v>
      </c>
      <c r="AD6" s="16" cm="1">
        <f t="array" ref="AD6">IFERROR(INDEX(_xlfn.ANCHORARRAY(_xlfn.XLOOKUP($C6,'-ref_Distribution'!$B$146:$B$150,'-ref_Distribution'!$G$146:$G$150)),RIGHT(AD$1,2)),"")</f>
        <v>414</v>
      </c>
      <c r="AE6" s="16" cm="1">
        <f t="array" ref="AE6">IFERROR(INDEX(_xlfn.ANCHORARRAY(_xlfn.XLOOKUP($C6,'-ref_Distribution'!$B$146:$B$150,'-ref_Distribution'!$G$146:$G$150)),RIGHT(AE$1,2)),"")</f>
        <v>403</v>
      </c>
      <c r="AF6" s="16" cm="1">
        <f t="array" ref="AF6">IFERROR(INDEX(_xlfn.ANCHORARRAY(_xlfn.XLOOKUP($C6,'-ref_Distribution'!$B$146:$B$150,'-ref_Distribution'!$G$146:$G$150)),RIGHT(AF$1,2)),"")</f>
        <v>386</v>
      </c>
      <c r="AG6" s="16" cm="1">
        <f t="array" ref="AG6">IFERROR(INDEX(_xlfn.ANCHORARRAY(_xlfn.XLOOKUP($C6,'-ref_Distribution'!$B$146:$B$150,'-ref_Distribution'!$G$146:$G$150)),RIGHT(AG$1,2)),"")</f>
        <v>364</v>
      </c>
      <c r="AH6" s="16" cm="1">
        <f t="array" ref="AH6">IFERROR(INDEX(_xlfn.ANCHORARRAY(_xlfn.XLOOKUP($C6,'-ref_Distribution'!$B$146:$B$150,'-ref_Distribution'!$G$146:$G$150)),RIGHT(AH$1,2)),"")</f>
        <v>337</v>
      </c>
      <c r="AI6" s="16" cm="1">
        <f t="array" ref="AI6">IFERROR(INDEX(_xlfn.ANCHORARRAY(_xlfn.XLOOKUP($C6,'-ref_Distribution'!$B$146:$B$150,'-ref_Distribution'!$G$146:$G$150)),RIGHT(AI$1,2)),"")</f>
        <v>307</v>
      </c>
      <c r="AJ6" s="16" cm="1">
        <f t="array" ref="AJ6">IFERROR(INDEX(_xlfn.ANCHORARRAY(_xlfn.XLOOKUP($C6,'-ref_Distribution'!$B$146:$B$150,'-ref_Distribution'!$G$146:$G$150)),RIGHT(AJ$1,2)),"")</f>
        <v>274</v>
      </c>
      <c r="AK6" s="16" cm="1">
        <f t="array" ref="AK6">IFERROR(INDEX(_xlfn.ANCHORARRAY(_xlfn.XLOOKUP($C6,'-ref_Distribution'!$B$146:$B$150,'-ref_Distribution'!$G$146:$G$150)),RIGHT(AK$1,2)),"")</f>
        <v>241</v>
      </c>
      <c r="AL6" s="16" cm="1">
        <f t="array" ref="AL6">IFERROR(INDEX(_xlfn.ANCHORARRAY(_xlfn.XLOOKUP($C6,'-ref_Distribution'!$B$146:$B$150,'-ref_Distribution'!$G$146:$G$150)),RIGHT(AL$1,2)),"")</f>
        <v>209</v>
      </c>
      <c r="AM6" s="16" cm="1">
        <f t="array" ref="AM6">IFERROR(INDEX(_xlfn.ANCHORARRAY(_xlfn.XLOOKUP($C6,'-ref_Distribution'!$B$146:$B$150,'-ref_Distribution'!$G$146:$G$150)),RIGHT(AM$1,2)),"")</f>
        <v>178</v>
      </c>
      <c r="AN6" s="16" cm="1">
        <f t="array" ref="AN6">IFERROR(INDEX(_xlfn.ANCHORARRAY(_xlfn.XLOOKUP($C6,'-ref_Distribution'!$B$146:$B$150,'-ref_Distribution'!$G$146:$G$150)),RIGHT(AN$1,2)),"")</f>
        <v>148</v>
      </c>
      <c r="AO6" s="16" cm="1">
        <f t="array" ref="AO6">IFERROR(INDEX(_xlfn.ANCHORARRAY(_xlfn.XLOOKUP($C6,'-ref_Distribution'!$B$146:$B$150,'-ref_Distribution'!$G$146:$G$150)),RIGHT(AO$1,2)),"")</f>
        <v>122</v>
      </c>
      <c r="AP6" s="16" cm="1">
        <f t="array" ref="AP6">IFERROR(INDEX(_xlfn.ANCHORARRAY(_xlfn.XLOOKUP($C6,'-ref_Distribution'!$B$146:$B$150,'-ref_Distribution'!$G$146:$G$150)),RIGHT(AP$1,2)),"")</f>
        <v>98</v>
      </c>
      <c r="AQ6" s="16" cm="1">
        <f t="array" ref="AQ6">IFERROR(INDEX(_xlfn.ANCHORARRAY(_xlfn.XLOOKUP($C6,'-ref_Distribution'!$B$146:$B$150,'-ref_Distribution'!$G$146:$G$150)),RIGHT(AQ$1,2)),"")</f>
        <v>78</v>
      </c>
      <c r="AR6" s="16" cm="1">
        <f t="array" ref="AR6">IFERROR(INDEX(_xlfn.ANCHORARRAY(_xlfn.XLOOKUP($C6,'-ref_Distribution'!$B$146:$B$150,'-ref_Distribution'!$G$146:$G$150)),RIGHT(AR$1,2)),"")</f>
        <v>337</v>
      </c>
      <c r="AS6" s="16" cm="1">
        <f t="array" ref="AS6">IFERROR(INDEX(_xlfn.ANCHORARRAY(_xlfn.XLOOKUP($C6,'-ref_Distribution'!$B$146:$B$150,'-ref_Distribution'!$G$146:$G$150)),RIGHT(AS$1,2)),"")</f>
        <v>364</v>
      </c>
      <c r="AT6" s="16" cm="1">
        <f t="array" ref="AT6">IFERROR(INDEX(_xlfn.ANCHORARRAY(_xlfn.XLOOKUP($C6,'-ref_Distribution'!$B$146:$B$150,'-ref_Distribution'!$G$146:$G$150)),RIGHT(AT$1,2)),"")</f>
        <v>386</v>
      </c>
      <c r="AU6" s="16" cm="1">
        <f t="array" ref="AU6">IFERROR(INDEX(_xlfn.ANCHORARRAY(_xlfn.XLOOKUP($C6,'-ref_Distribution'!$B$146:$B$150,'-ref_Distribution'!$G$146:$G$150)),RIGHT(AU$1,2)),"")</f>
        <v>403</v>
      </c>
      <c r="AV6" s="16" cm="1">
        <f t="array" ref="AV6">IFERROR(INDEX(_xlfn.ANCHORARRAY(_xlfn.XLOOKUP($C6,'-ref_Distribution'!$B$146:$B$150,'-ref_Distribution'!$G$146:$G$150)),RIGHT(AV$1,2)),"")</f>
        <v>414</v>
      </c>
      <c r="AW6" s="16" cm="1">
        <f t="array" ref="AW6">IFERROR(INDEX(_xlfn.ANCHORARRAY(_xlfn.XLOOKUP($C6,'-ref_Distribution'!$B$146:$B$150,'-ref_Distribution'!$G$146:$G$150)),RIGHT(AW$1,2)),"")</f>
        <v>417</v>
      </c>
      <c r="AX6" s="16" cm="1">
        <f t="array" ref="AX6">IFERROR(INDEX(_xlfn.ANCHORARRAY(_xlfn.XLOOKUP($C6,'-ref_Distribution'!$B$146:$B$150,'-ref_Distribution'!$G$146:$G$150)),RIGHT(AX$1,2)),"")</f>
        <v>414</v>
      </c>
      <c r="AY6" s="16" cm="1">
        <f t="array" ref="AY6">IFERROR(INDEX(_xlfn.ANCHORARRAY(_xlfn.XLOOKUP($C6,'-ref_Distribution'!$B$146:$B$150,'-ref_Distribution'!$G$146:$G$150)),RIGHT(AY$1,2)),"")</f>
        <v>403</v>
      </c>
      <c r="AZ6" s="16" cm="1">
        <f t="array" ref="AZ6">IFERROR(INDEX(_xlfn.ANCHORARRAY(_xlfn.XLOOKUP($C6,'-ref_Distribution'!$B$146:$B$150,'-ref_Distribution'!$G$146:$G$150)),RIGHT(AZ$1,2)),"")</f>
        <v>386</v>
      </c>
      <c r="BA6" s="16" cm="1">
        <f t="array" ref="BA6">IFERROR(INDEX(_xlfn.ANCHORARRAY(_xlfn.XLOOKUP($C6,'-ref_Distribution'!$B$146:$B$150,'-ref_Distribution'!$G$146:$G$150)),RIGHT(BA$1,2)),"")</f>
        <v>364</v>
      </c>
      <c r="BB6" s="16" cm="1">
        <f t="array" ref="BB6">IFERROR(INDEX(_xlfn.ANCHORARRAY(_xlfn.XLOOKUP($C6,'-ref_Distribution'!$B$146:$B$150,'-ref_Distribution'!$G$146:$G$150)),RIGHT(BB$1,2)),"")</f>
        <v>337</v>
      </c>
      <c r="BC6" s="16" cm="1">
        <f t="array" ref="BC6">IFERROR(INDEX(_xlfn.ANCHORARRAY(_xlfn.XLOOKUP($C6,'-ref_Distribution'!$B$146:$B$150,'-ref_Distribution'!$G$146:$G$150)),RIGHT(BC$1,2)),"")</f>
        <v>307</v>
      </c>
      <c r="BD6" s="16" cm="1">
        <f t="array" ref="BD6">IFERROR(INDEX(_xlfn.ANCHORARRAY(_xlfn.XLOOKUP($C6,'-ref_Distribution'!$B$146:$B$150,'-ref_Distribution'!$G$146:$G$150)),RIGHT(BD$1,2)),"")</f>
        <v>274</v>
      </c>
      <c r="BE6" s="16" cm="1">
        <f t="array" ref="BE6">IFERROR(INDEX(_xlfn.ANCHORARRAY(_xlfn.XLOOKUP($C6,'-ref_Distribution'!$B$146:$B$150,'-ref_Distribution'!$G$146:$G$150)),RIGHT(BE$1,2)),"")</f>
        <v>241</v>
      </c>
      <c r="BF6" s="16" cm="1">
        <f t="array" ref="BF6">IFERROR(INDEX(_xlfn.ANCHORARRAY(_xlfn.XLOOKUP($C6,'-ref_Distribution'!$B$146:$B$150,'-ref_Distribution'!$G$146:$G$150)),RIGHT(BF$1,2)),"")</f>
        <v>209</v>
      </c>
      <c r="BG6" s="16" cm="1">
        <f t="array" ref="BG6">IFERROR(INDEX(_xlfn.ANCHORARRAY(_xlfn.XLOOKUP($C6,'-ref_Distribution'!$B$146:$B$150,'-ref_Distribution'!$G$146:$G$150)),RIGHT(BG$1,2)),"")</f>
        <v>178</v>
      </c>
      <c r="BH6" s="16" cm="1">
        <f t="array" ref="BH6">IFERROR(INDEX(_xlfn.ANCHORARRAY(_xlfn.XLOOKUP($C6,'-ref_Distribution'!$B$146:$B$150,'-ref_Distribution'!$G$146:$G$150)),RIGHT(BH$1,2)),"")</f>
        <v>148</v>
      </c>
      <c r="BI6" s="16" cm="1">
        <f t="array" ref="BI6">IFERROR(INDEX(_xlfn.ANCHORARRAY(_xlfn.XLOOKUP($C6,'-ref_Distribution'!$B$146:$B$150,'-ref_Distribution'!$G$146:$G$150)),RIGHT(BI$1,2)),"")</f>
        <v>122</v>
      </c>
      <c r="BJ6" s="16" cm="1">
        <f t="array" ref="BJ6">IFERROR(INDEX(_xlfn.ANCHORARRAY(_xlfn.XLOOKUP($C6,'-ref_Distribution'!$B$146:$B$150,'-ref_Distribution'!$G$146:$G$150)),RIGHT(BJ$1,2)),"")</f>
        <v>98</v>
      </c>
      <c r="BK6" s="16" cm="1">
        <f t="array" ref="BK6">IFERROR(INDEX(_xlfn.ANCHORARRAY(_xlfn.XLOOKUP($C6,'-ref_Distribution'!$B$146:$B$150,'-ref_Distribution'!$G$146:$G$150)),RIGHT(BK$1,2)),"")</f>
        <v>78</v>
      </c>
      <c r="BL6" s="16" cm="1">
        <f t="array" ref="BL6">IFERROR(INDEX(_xlfn.ANCHORARRAY(_xlfn.XLOOKUP($C6,'-ref_Distribution'!$B$146:$B$150,'-ref_Distribution'!$G$146:$G$150)),RIGHT(BL$1,2)),"")</f>
        <v>337</v>
      </c>
      <c r="BM6" s="16" cm="1">
        <f t="array" ref="BM6">IFERROR(INDEX(_xlfn.ANCHORARRAY(_xlfn.XLOOKUP($C6,'-ref_Distribution'!$B$146:$B$150,'-ref_Distribution'!$G$146:$G$150)),RIGHT(BM$1,2)),"")</f>
        <v>364</v>
      </c>
      <c r="BN6" s="16" cm="1">
        <f t="array" ref="BN6">IFERROR(INDEX(_xlfn.ANCHORARRAY(_xlfn.XLOOKUP($C6,'-ref_Distribution'!$B$146:$B$150,'-ref_Distribution'!$G$146:$G$150)),RIGHT(BN$1,2)),"")</f>
        <v>386</v>
      </c>
      <c r="BO6" s="16" cm="1">
        <f t="array" ref="BO6">IFERROR(INDEX(_xlfn.ANCHORARRAY(_xlfn.XLOOKUP($C6,'-ref_Distribution'!$B$146:$B$150,'-ref_Distribution'!$G$146:$G$150)),RIGHT(BO$1,2)),"")</f>
        <v>403</v>
      </c>
      <c r="BP6" s="16" cm="1">
        <f t="array" ref="BP6">IFERROR(INDEX(_xlfn.ANCHORARRAY(_xlfn.XLOOKUP($C6,'-ref_Distribution'!$B$146:$B$150,'-ref_Distribution'!$G$146:$G$150)),RIGHT(BP$1,2)),"")</f>
        <v>414</v>
      </c>
      <c r="BQ6" s="16" cm="1">
        <f t="array" ref="BQ6">IFERROR(INDEX(_xlfn.ANCHORARRAY(_xlfn.XLOOKUP($C6,'-ref_Distribution'!$B$146:$B$150,'-ref_Distribution'!$G$146:$G$150)),RIGHT(BQ$1,2)),"")</f>
        <v>417</v>
      </c>
      <c r="BR6" s="16" cm="1">
        <f t="array" ref="BR6">IFERROR(INDEX(_xlfn.ANCHORARRAY(_xlfn.XLOOKUP($C6,'-ref_Distribution'!$B$146:$B$150,'-ref_Distribution'!$G$146:$G$150)),RIGHT(BR$1,2)),"")</f>
        <v>414</v>
      </c>
      <c r="BS6" s="16" cm="1">
        <f t="array" ref="BS6">IFERROR(INDEX(_xlfn.ANCHORARRAY(_xlfn.XLOOKUP($C6,'-ref_Distribution'!$B$146:$B$150,'-ref_Distribution'!$G$146:$G$150)),RIGHT(BS$1,2)),"")</f>
        <v>403</v>
      </c>
      <c r="BT6" s="16" cm="1">
        <f t="array" ref="BT6">IFERROR(INDEX(_xlfn.ANCHORARRAY(_xlfn.XLOOKUP($C6,'-ref_Distribution'!$B$146:$B$150,'-ref_Distribution'!$G$146:$G$150)),RIGHT(BT$1,2)),"")</f>
        <v>386</v>
      </c>
      <c r="BU6" s="16" cm="1">
        <f t="array" ref="BU6">IFERROR(INDEX(_xlfn.ANCHORARRAY(_xlfn.XLOOKUP($C6,'-ref_Distribution'!$B$146:$B$150,'-ref_Distribution'!$G$146:$G$150)),RIGHT(BU$1,2)),"")</f>
        <v>364</v>
      </c>
      <c r="BV6" s="16" cm="1">
        <f t="array" ref="BV6">IFERROR(INDEX(_xlfn.ANCHORARRAY(_xlfn.XLOOKUP($C6,'-ref_Distribution'!$B$146:$B$150,'-ref_Distribution'!$G$146:$G$150)),RIGHT(BV$1,2)),"")</f>
        <v>337</v>
      </c>
      <c r="BW6" s="16" cm="1">
        <f t="array" ref="BW6">IFERROR(INDEX(_xlfn.ANCHORARRAY(_xlfn.XLOOKUP($C6,'-ref_Distribution'!$B$146:$B$150,'-ref_Distribution'!$G$146:$G$150)),RIGHT(BW$1,2)),"")</f>
        <v>307</v>
      </c>
      <c r="BX6" s="16" cm="1">
        <f t="array" ref="BX6">IFERROR(INDEX(_xlfn.ANCHORARRAY(_xlfn.XLOOKUP($C6,'-ref_Distribution'!$B$146:$B$150,'-ref_Distribution'!$G$146:$G$150)),RIGHT(BX$1,2)),"")</f>
        <v>274</v>
      </c>
      <c r="BY6" s="16" cm="1">
        <f t="array" ref="BY6">IFERROR(INDEX(_xlfn.ANCHORARRAY(_xlfn.XLOOKUP($C6,'-ref_Distribution'!$B$146:$B$150,'-ref_Distribution'!$G$146:$G$150)),RIGHT(BY$1,2)),"")</f>
        <v>241</v>
      </c>
      <c r="BZ6" s="16" cm="1">
        <f t="array" ref="BZ6">IFERROR(INDEX(_xlfn.ANCHORARRAY(_xlfn.XLOOKUP($C6,'-ref_Distribution'!$B$146:$B$150,'-ref_Distribution'!$G$146:$G$150)),RIGHT(BZ$1,2)),"")</f>
        <v>209</v>
      </c>
      <c r="CA6" s="16" cm="1">
        <f t="array" ref="CA6">IFERROR(INDEX(_xlfn.ANCHORARRAY(_xlfn.XLOOKUP($C6,'-ref_Distribution'!$B$146:$B$150,'-ref_Distribution'!$G$146:$G$150)),RIGHT(CA$1,2)),"")</f>
        <v>178</v>
      </c>
      <c r="CB6" s="16" cm="1">
        <f t="array" ref="CB6">IFERROR(INDEX(_xlfn.ANCHORARRAY(_xlfn.XLOOKUP($C6,'-ref_Distribution'!$B$146:$B$150,'-ref_Distribution'!$G$146:$G$150)),RIGHT(CB$1,2)),"")</f>
        <v>148</v>
      </c>
      <c r="CC6" s="16" cm="1">
        <f t="array" ref="CC6">IFERROR(INDEX(_xlfn.ANCHORARRAY(_xlfn.XLOOKUP($C6,'-ref_Distribution'!$B$146:$B$150,'-ref_Distribution'!$G$146:$G$150)),RIGHT(CC$1,2)),"")</f>
        <v>122</v>
      </c>
      <c r="CD6" s="16" cm="1">
        <f t="array" ref="CD6">IFERROR(INDEX(_xlfn.ANCHORARRAY(_xlfn.XLOOKUP($C6,'-ref_Distribution'!$B$146:$B$150,'-ref_Distribution'!$G$146:$G$150)),RIGHT(CD$1,2)),"")</f>
        <v>98</v>
      </c>
      <c r="CE6" s="16" cm="1">
        <f t="array" ref="CE6">IFERROR(INDEX(_xlfn.ANCHORARRAY(_xlfn.XLOOKUP($C6,'-ref_Distribution'!$B$146:$B$150,'-ref_Distribution'!$G$146:$G$150)),RIGHT(CE$1,2)),"")</f>
        <v>78</v>
      </c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</row>
    <row r="7" spans="1:95" x14ac:dyDescent="0.2">
      <c r="A7" s="16">
        <v>300022</v>
      </c>
      <c r="B7" s="16" t="s">
        <v>418</v>
      </c>
      <c r="C7" s="16">
        <v>2</v>
      </c>
      <c r="D7" s="16" cm="1">
        <f t="array" ref="D7">IFERROR(INDEX(_xlfn.ANCHORARRAY(_xlfn.XLOOKUP($C7,'-ref_Distribution'!$B$146:$B$150,'-ref_Distribution'!$G$146:$G$150)),RIGHT(D$1,2)),"")</f>
        <v>75</v>
      </c>
      <c r="E7" s="16" cm="1">
        <f t="array" ref="E7">IFERROR(INDEX(_xlfn.ANCHORARRAY(_xlfn.XLOOKUP($C7,'-ref_Distribution'!$B$146:$B$150,'-ref_Distribution'!$G$146:$G$150)),RIGHT(E$1,2)),"")</f>
        <v>94</v>
      </c>
      <c r="F7" s="16" cm="1">
        <f t="array" ref="F7">IFERROR(INDEX(_xlfn.ANCHORARRAY(_xlfn.XLOOKUP($C7,'-ref_Distribution'!$B$146:$B$150,'-ref_Distribution'!$G$146:$G$150)),RIGHT(F$1,2)),"")</f>
        <v>115</v>
      </c>
      <c r="G7" s="16" cm="1">
        <f t="array" ref="G7">IFERROR(INDEX(_xlfn.ANCHORARRAY(_xlfn.XLOOKUP($C7,'-ref_Distribution'!$B$146:$B$150,'-ref_Distribution'!$G$146:$G$150)),RIGHT(G$1,2)),"")</f>
        <v>137</v>
      </c>
      <c r="H7" s="16" cm="1">
        <f t="array" ref="H7">IFERROR(INDEX(_xlfn.ANCHORARRAY(_xlfn.XLOOKUP($C7,'-ref_Distribution'!$B$146:$B$150,'-ref_Distribution'!$G$146:$G$150)),RIGHT(H$1,2)),"")</f>
        <v>160</v>
      </c>
      <c r="I7" s="16" cm="1">
        <f t="array" ref="I7">IFERROR(INDEX(_xlfn.ANCHORARRAY(_xlfn.XLOOKUP($C7,'-ref_Distribution'!$B$146:$B$150,'-ref_Distribution'!$G$146:$G$150)),RIGHT(I$1,2)),"")</f>
        <v>183</v>
      </c>
      <c r="J7" s="16" cm="1">
        <f t="array" ref="J7">IFERROR(INDEX(_xlfn.ANCHORARRAY(_xlfn.XLOOKUP($C7,'-ref_Distribution'!$B$146:$B$150,'-ref_Distribution'!$G$146:$G$150)),RIGHT(J$1,2)),"")</f>
        <v>203</v>
      </c>
      <c r="K7" s="16" cm="1">
        <f t="array" ref="K7">IFERROR(INDEX(_xlfn.ANCHORARRAY(_xlfn.XLOOKUP($C7,'-ref_Distribution'!$B$146:$B$150,'-ref_Distribution'!$G$146:$G$150)),RIGHT(K$1,2)),"")</f>
        <v>221</v>
      </c>
      <c r="L7" s="16" cm="1">
        <f t="array" ref="L7">IFERROR(INDEX(_xlfn.ANCHORARRAY(_xlfn.XLOOKUP($C7,'-ref_Distribution'!$B$146:$B$150,'-ref_Distribution'!$G$146:$G$150)),RIGHT(L$1,2)),"")</f>
        <v>234</v>
      </c>
      <c r="M7" s="16" cm="1">
        <f t="array" ref="M7">IFERROR(INDEX(_xlfn.ANCHORARRAY(_xlfn.XLOOKUP($C7,'-ref_Distribution'!$B$146:$B$150,'-ref_Distribution'!$G$146:$G$150)),RIGHT(M$1,2)),"")</f>
        <v>243</v>
      </c>
      <c r="N7" s="16" cm="1">
        <f t="array" ref="N7">IFERROR(INDEX(_xlfn.ANCHORARRAY(_xlfn.XLOOKUP($C7,'-ref_Distribution'!$B$146:$B$150,'-ref_Distribution'!$G$146:$G$150)),RIGHT(N$1,2)),"")</f>
        <v>245</v>
      </c>
      <c r="O7" s="16" cm="1">
        <f t="array" ref="O7">IFERROR(INDEX(_xlfn.ANCHORARRAY(_xlfn.XLOOKUP($C7,'-ref_Distribution'!$B$146:$B$150,'-ref_Distribution'!$G$146:$G$150)),RIGHT(O$1,2)),"")</f>
        <v>243</v>
      </c>
      <c r="P7" s="16" cm="1">
        <f t="array" ref="P7">IFERROR(INDEX(_xlfn.ANCHORARRAY(_xlfn.XLOOKUP($C7,'-ref_Distribution'!$B$146:$B$150,'-ref_Distribution'!$G$146:$G$150)),RIGHT(P$1,2)),"")</f>
        <v>234</v>
      </c>
      <c r="Q7" s="16" cm="1">
        <f t="array" ref="Q7">IFERROR(INDEX(_xlfn.ANCHORARRAY(_xlfn.XLOOKUP($C7,'-ref_Distribution'!$B$146:$B$150,'-ref_Distribution'!$G$146:$G$150)),RIGHT(Q$1,2)),"")</f>
        <v>221</v>
      </c>
      <c r="R7" s="16" cm="1">
        <f t="array" ref="R7">IFERROR(INDEX(_xlfn.ANCHORARRAY(_xlfn.XLOOKUP($C7,'-ref_Distribution'!$B$146:$B$150,'-ref_Distribution'!$G$146:$G$150)),RIGHT(R$1,2)),"")</f>
        <v>203</v>
      </c>
      <c r="S7" s="16" cm="1">
        <f t="array" ref="S7">IFERROR(INDEX(_xlfn.ANCHORARRAY(_xlfn.XLOOKUP($C7,'-ref_Distribution'!$B$146:$B$150,'-ref_Distribution'!$G$146:$G$150)),RIGHT(S$1,2)),"")</f>
        <v>183</v>
      </c>
      <c r="T7" s="16" cm="1">
        <f t="array" ref="T7">IFERROR(INDEX(_xlfn.ANCHORARRAY(_xlfn.XLOOKUP($C7,'-ref_Distribution'!$B$146:$B$150,'-ref_Distribution'!$G$146:$G$150)),RIGHT(T$1,2)),"")</f>
        <v>160</v>
      </c>
      <c r="U7" s="16" cm="1">
        <f t="array" ref="U7">IFERROR(INDEX(_xlfn.ANCHORARRAY(_xlfn.XLOOKUP($C7,'-ref_Distribution'!$B$146:$B$150,'-ref_Distribution'!$G$146:$G$150)),RIGHT(U$1,2)),"")</f>
        <v>137</v>
      </c>
      <c r="V7" s="16" cm="1">
        <f t="array" ref="V7">IFERROR(INDEX(_xlfn.ANCHORARRAY(_xlfn.XLOOKUP($C7,'-ref_Distribution'!$B$146:$B$150,'-ref_Distribution'!$G$146:$G$150)),RIGHT(V$1,2)),"")</f>
        <v>115</v>
      </c>
      <c r="W7" s="16" cm="1">
        <f t="array" ref="W7">IFERROR(INDEX(_xlfn.ANCHORARRAY(_xlfn.XLOOKUP($C7,'-ref_Distribution'!$B$146:$B$150,'-ref_Distribution'!$G$146:$G$150)),RIGHT(W$1,2)),"")</f>
        <v>94</v>
      </c>
      <c r="X7" s="16" cm="1">
        <f t="array" ref="X7">IFERROR(INDEX(_xlfn.ANCHORARRAY(_xlfn.XLOOKUP($C7,'-ref_Distribution'!$B$146:$B$150,'-ref_Distribution'!$G$146:$G$150)),RIGHT(X$1,2)),"")</f>
        <v>75</v>
      </c>
      <c r="Y7" s="16" cm="1">
        <f t="array" ref="Y7">IFERROR(INDEX(_xlfn.ANCHORARRAY(_xlfn.XLOOKUP($C7,'-ref_Distribution'!$B$146:$B$150,'-ref_Distribution'!$G$146:$G$150)),RIGHT(Y$1,2)),"")</f>
        <v>94</v>
      </c>
      <c r="Z7" s="16" cm="1">
        <f t="array" ref="Z7">IFERROR(INDEX(_xlfn.ANCHORARRAY(_xlfn.XLOOKUP($C7,'-ref_Distribution'!$B$146:$B$150,'-ref_Distribution'!$G$146:$G$150)),RIGHT(Z$1,2)),"")</f>
        <v>115</v>
      </c>
      <c r="AA7" s="16" cm="1">
        <f t="array" ref="AA7">IFERROR(INDEX(_xlfn.ANCHORARRAY(_xlfn.XLOOKUP($C7,'-ref_Distribution'!$B$146:$B$150,'-ref_Distribution'!$G$146:$G$150)),RIGHT(AA$1,2)),"")</f>
        <v>137</v>
      </c>
      <c r="AB7" s="16" cm="1">
        <f t="array" ref="AB7">IFERROR(INDEX(_xlfn.ANCHORARRAY(_xlfn.XLOOKUP($C7,'-ref_Distribution'!$B$146:$B$150,'-ref_Distribution'!$G$146:$G$150)),RIGHT(AB$1,2)),"")</f>
        <v>160</v>
      </c>
      <c r="AC7" s="16" cm="1">
        <f t="array" ref="AC7">IFERROR(INDEX(_xlfn.ANCHORARRAY(_xlfn.XLOOKUP($C7,'-ref_Distribution'!$B$146:$B$150,'-ref_Distribution'!$G$146:$G$150)),RIGHT(AC$1,2)),"")</f>
        <v>183</v>
      </c>
      <c r="AD7" s="16" cm="1">
        <f t="array" ref="AD7">IFERROR(INDEX(_xlfn.ANCHORARRAY(_xlfn.XLOOKUP($C7,'-ref_Distribution'!$B$146:$B$150,'-ref_Distribution'!$G$146:$G$150)),RIGHT(AD$1,2)),"")</f>
        <v>203</v>
      </c>
      <c r="AE7" s="16" cm="1">
        <f t="array" ref="AE7">IFERROR(INDEX(_xlfn.ANCHORARRAY(_xlfn.XLOOKUP($C7,'-ref_Distribution'!$B$146:$B$150,'-ref_Distribution'!$G$146:$G$150)),RIGHT(AE$1,2)),"")</f>
        <v>221</v>
      </c>
      <c r="AF7" s="16" cm="1">
        <f t="array" ref="AF7">IFERROR(INDEX(_xlfn.ANCHORARRAY(_xlfn.XLOOKUP($C7,'-ref_Distribution'!$B$146:$B$150,'-ref_Distribution'!$G$146:$G$150)),RIGHT(AF$1,2)),"")</f>
        <v>234</v>
      </c>
      <c r="AG7" s="16" cm="1">
        <f t="array" ref="AG7">IFERROR(INDEX(_xlfn.ANCHORARRAY(_xlfn.XLOOKUP($C7,'-ref_Distribution'!$B$146:$B$150,'-ref_Distribution'!$G$146:$G$150)),RIGHT(AG$1,2)),"")</f>
        <v>243</v>
      </c>
      <c r="AH7" s="16" cm="1">
        <f t="array" ref="AH7">IFERROR(INDEX(_xlfn.ANCHORARRAY(_xlfn.XLOOKUP($C7,'-ref_Distribution'!$B$146:$B$150,'-ref_Distribution'!$G$146:$G$150)),RIGHT(AH$1,2)),"")</f>
        <v>245</v>
      </c>
      <c r="AI7" s="16" cm="1">
        <f t="array" ref="AI7">IFERROR(INDEX(_xlfn.ANCHORARRAY(_xlfn.XLOOKUP($C7,'-ref_Distribution'!$B$146:$B$150,'-ref_Distribution'!$G$146:$G$150)),RIGHT(AI$1,2)),"")</f>
        <v>243</v>
      </c>
      <c r="AJ7" s="16" cm="1">
        <f t="array" ref="AJ7">IFERROR(INDEX(_xlfn.ANCHORARRAY(_xlfn.XLOOKUP($C7,'-ref_Distribution'!$B$146:$B$150,'-ref_Distribution'!$G$146:$G$150)),RIGHT(AJ$1,2)),"")</f>
        <v>234</v>
      </c>
      <c r="AK7" s="16" cm="1">
        <f t="array" ref="AK7">IFERROR(INDEX(_xlfn.ANCHORARRAY(_xlfn.XLOOKUP($C7,'-ref_Distribution'!$B$146:$B$150,'-ref_Distribution'!$G$146:$G$150)),RIGHT(AK$1,2)),"")</f>
        <v>221</v>
      </c>
      <c r="AL7" s="16" cm="1">
        <f t="array" ref="AL7">IFERROR(INDEX(_xlfn.ANCHORARRAY(_xlfn.XLOOKUP($C7,'-ref_Distribution'!$B$146:$B$150,'-ref_Distribution'!$G$146:$G$150)),RIGHT(AL$1,2)),"")</f>
        <v>203</v>
      </c>
      <c r="AM7" s="16" cm="1">
        <f t="array" ref="AM7">IFERROR(INDEX(_xlfn.ANCHORARRAY(_xlfn.XLOOKUP($C7,'-ref_Distribution'!$B$146:$B$150,'-ref_Distribution'!$G$146:$G$150)),RIGHT(AM$1,2)),"")</f>
        <v>183</v>
      </c>
      <c r="AN7" s="16" cm="1">
        <f t="array" ref="AN7">IFERROR(INDEX(_xlfn.ANCHORARRAY(_xlfn.XLOOKUP($C7,'-ref_Distribution'!$B$146:$B$150,'-ref_Distribution'!$G$146:$G$150)),RIGHT(AN$1,2)),"")</f>
        <v>160</v>
      </c>
      <c r="AO7" s="16" cm="1">
        <f t="array" ref="AO7">IFERROR(INDEX(_xlfn.ANCHORARRAY(_xlfn.XLOOKUP($C7,'-ref_Distribution'!$B$146:$B$150,'-ref_Distribution'!$G$146:$G$150)),RIGHT(AO$1,2)),"")</f>
        <v>137</v>
      </c>
      <c r="AP7" s="16" cm="1">
        <f t="array" ref="AP7">IFERROR(INDEX(_xlfn.ANCHORARRAY(_xlfn.XLOOKUP($C7,'-ref_Distribution'!$B$146:$B$150,'-ref_Distribution'!$G$146:$G$150)),RIGHT(AP$1,2)),"")</f>
        <v>115</v>
      </c>
      <c r="AQ7" s="16" cm="1">
        <f t="array" ref="AQ7">IFERROR(INDEX(_xlfn.ANCHORARRAY(_xlfn.XLOOKUP($C7,'-ref_Distribution'!$B$146:$B$150,'-ref_Distribution'!$G$146:$G$150)),RIGHT(AQ$1,2)),"")</f>
        <v>94</v>
      </c>
      <c r="AR7" s="16" cm="1">
        <f t="array" ref="AR7">IFERROR(INDEX(_xlfn.ANCHORARRAY(_xlfn.XLOOKUP($C7,'-ref_Distribution'!$B$146:$B$150,'-ref_Distribution'!$G$146:$G$150)),RIGHT(AR$1,2)),"")</f>
        <v>75</v>
      </c>
      <c r="AS7" s="16" cm="1">
        <f t="array" ref="AS7">IFERROR(INDEX(_xlfn.ANCHORARRAY(_xlfn.XLOOKUP($C7,'-ref_Distribution'!$B$146:$B$150,'-ref_Distribution'!$G$146:$G$150)),RIGHT(AS$1,2)),"")</f>
        <v>94</v>
      </c>
      <c r="AT7" s="16" cm="1">
        <f t="array" ref="AT7">IFERROR(INDEX(_xlfn.ANCHORARRAY(_xlfn.XLOOKUP($C7,'-ref_Distribution'!$B$146:$B$150,'-ref_Distribution'!$G$146:$G$150)),RIGHT(AT$1,2)),"")</f>
        <v>115</v>
      </c>
      <c r="AU7" s="16" cm="1">
        <f t="array" ref="AU7">IFERROR(INDEX(_xlfn.ANCHORARRAY(_xlfn.XLOOKUP($C7,'-ref_Distribution'!$B$146:$B$150,'-ref_Distribution'!$G$146:$G$150)),RIGHT(AU$1,2)),"")</f>
        <v>137</v>
      </c>
      <c r="AV7" s="16" cm="1">
        <f t="array" ref="AV7">IFERROR(INDEX(_xlfn.ANCHORARRAY(_xlfn.XLOOKUP($C7,'-ref_Distribution'!$B$146:$B$150,'-ref_Distribution'!$G$146:$G$150)),RIGHT(AV$1,2)),"")</f>
        <v>160</v>
      </c>
      <c r="AW7" s="16" cm="1">
        <f t="array" ref="AW7">IFERROR(INDEX(_xlfn.ANCHORARRAY(_xlfn.XLOOKUP($C7,'-ref_Distribution'!$B$146:$B$150,'-ref_Distribution'!$G$146:$G$150)),RIGHT(AW$1,2)),"")</f>
        <v>183</v>
      </c>
      <c r="AX7" s="16" cm="1">
        <f t="array" ref="AX7">IFERROR(INDEX(_xlfn.ANCHORARRAY(_xlfn.XLOOKUP($C7,'-ref_Distribution'!$B$146:$B$150,'-ref_Distribution'!$G$146:$G$150)),RIGHT(AX$1,2)),"")</f>
        <v>203</v>
      </c>
      <c r="AY7" s="16" cm="1">
        <f t="array" ref="AY7">IFERROR(INDEX(_xlfn.ANCHORARRAY(_xlfn.XLOOKUP($C7,'-ref_Distribution'!$B$146:$B$150,'-ref_Distribution'!$G$146:$G$150)),RIGHT(AY$1,2)),"")</f>
        <v>221</v>
      </c>
      <c r="AZ7" s="16" cm="1">
        <f t="array" ref="AZ7">IFERROR(INDEX(_xlfn.ANCHORARRAY(_xlfn.XLOOKUP($C7,'-ref_Distribution'!$B$146:$B$150,'-ref_Distribution'!$G$146:$G$150)),RIGHT(AZ$1,2)),"")</f>
        <v>234</v>
      </c>
      <c r="BA7" s="16" cm="1">
        <f t="array" ref="BA7">IFERROR(INDEX(_xlfn.ANCHORARRAY(_xlfn.XLOOKUP($C7,'-ref_Distribution'!$B$146:$B$150,'-ref_Distribution'!$G$146:$G$150)),RIGHT(BA$1,2)),"")</f>
        <v>243</v>
      </c>
      <c r="BB7" s="16" cm="1">
        <f t="array" ref="BB7">IFERROR(INDEX(_xlfn.ANCHORARRAY(_xlfn.XLOOKUP($C7,'-ref_Distribution'!$B$146:$B$150,'-ref_Distribution'!$G$146:$G$150)),RIGHT(BB$1,2)),"")</f>
        <v>245</v>
      </c>
      <c r="BC7" s="16" cm="1">
        <f t="array" ref="BC7">IFERROR(INDEX(_xlfn.ANCHORARRAY(_xlfn.XLOOKUP($C7,'-ref_Distribution'!$B$146:$B$150,'-ref_Distribution'!$G$146:$G$150)),RIGHT(BC$1,2)),"")</f>
        <v>243</v>
      </c>
      <c r="BD7" s="16" cm="1">
        <f t="array" ref="BD7">IFERROR(INDEX(_xlfn.ANCHORARRAY(_xlfn.XLOOKUP($C7,'-ref_Distribution'!$B$146:$B$150,'-ref_Distribution'!$G$146:$G$150)),RIGHT(BD$1,2)),"")</f>
        <v>234</v>
      </c>
      <c r="BE7" s="16" cm="1">
        <f t="array" ref="BE7">IFERROR(INDEX(_xlfn.ANCHORARRAY(_xlfn.XLOOKUP($C7,'-ref_Distribution'!$B$146:$B$150,'-ref_Distribution'!$G$146:$G$150)),RIGHT(BE$1,2)),"")</f>
        <v>221</v>
      </c>
      <c r="BF7" s="16" cm="1">
        <f t="array" ref="BF7">IFERROR(INDEX(_xlfn.ANCHORARRAY(_xlfn.XLOOKUP($C7,'-ref_Distribution'!$B$146:$B$150,'-ref_Distribution'!$G$146:$G$150)),RIGHT(BF$1,2)),"")</f>
        <v>203</v>
      </c>
      <c r="BG7" s="16" cm="1">
        <f t="array" ref="BG7">IFERROR(INDEX(_xlfn.ANCHORARRAY(_xlfn.XLOOKUP($C7,'-ref_Distribution'!$B$146:$B$150,'-ref_Distribution'!$G$146:$G$150)),RIGHT(BG$1,2)),"")</f>
        <v>183</v>
      </c>
      <c r="BH7" s="16" cm="1">
        <f t="array" ref="BH7">IFERROR(INDEX(_xlfn.ANCHORARRAY(_xlfn.XLOOKUP($C7,'-ref_Distribution'!$B$146:$B$150,'-ref_Distribution'!$G$146:$G$150)),RIGHT(BH$1,2)),"")</f>
        <v>160</v>
      </c>
      <c r="BI7" s="16" cm="1">
        <f t="array" ref="BI7">IFERROR(INDEX(_xlfn.ANCHORARRAY(_xlfn.XLOOKUP($C7,'-ref_Distribution'!$B$146:$B$150,'-ref_Distribution'!$G$146:$G$150)),RIGHT(BI$1,2)),"")</f>
        <v>137</v>
      </c>
      <c r="BJ7" s="16" cm="1">
        <f t="array" ref="BJ7">IFERROR(INDEX(_xlfn.ANCHORARRAY(_xlfn.XLOOKUP($C7,'-ref_Distribution'!$B$146:$B$150,'-ref_Distribution'!$G$146:$G$150)),RIGHT(BJ$1,2)),"")</f>
        <v>115</v>
      </c>
      <c r="BK7" s="16" cm="1">
        <f t="array" ref="BK7">IFERROR(INDEX(_xlfn.ANCHORARRAY(_xlfn.XLOOKUP($C7,'-ref_Distribution'!$B$146:$B$150,'-ref_Distribution'!$G$146:$G$150)),RIGHT(BK$1,2)),"")</f>
        <v>94</v>
      </c>
      <c r="BL7" s="16" cm="1">
        <f t="array" ref="BL7">IFERROR(INDEX(_xlfn.ANCHORARRAY(_xlfn.XLOOKUP($C7,'-ref_Distribution'!$B$146:$B$150,'-ref_Distribution'!$G$146:$G$150)),RIGHT(BL$1,2)),"")</f>
        <v>75</v>
      </c>
      <c r="BM7" s="16" cm="1">
        <f t="array" ref="BM7">IFERROR(INDEX(_xlfn.ANCHORARRAY(_xlfn.XLOOKUP($C7,'-ref_Distribution'!$B$146:$B$150,'-ref_Distribution'!$G$146:$G$150)),RIGHT(BM$1,2)),"")</f>
        <v>94</v>
      </c>
      <c r="BN7" s="16" cm="1">
        <f t="array" ref="BN7">IFERROR(INDEX(_xlfn.ANCHORARRAY(_xlfn.XLOOKUP($C7,'-ref_Distribution'!$B$146:$B$150,'-ref_Distribution'!$G$146:$G$150)),RIGHT(BN$1,2)),"")</f>
        <v>115</v>
      </c>
      <c r="BO7" s="16" cm="1">
        <f t="array" ref="BO7">IFERROR(INDEX(_xlfn.ANCHORARRAY(_xlfn.XLOOKUP($C7,'-ref_Distribution'!$B$146:$B$150,'-ref_Distribution'!$G$146:$G$150)),RIGHT(BO$1,2)),"")</f>
        <v>137</v>
      </c>
      <c r="BP7" s="16" cm="1">
        <f t="array" ref="BP7">IFERROR(INDEX(_xlfn.ANCHORARRAY(_xlfn.XLOOKUP($C7,'-ref_Distribution'!$B$146:$B$150,'-ref_Distribution'!$G$146:$G$150)),RIGHT(BP$1,2)),"")</f>
        <v>160</v>
      </c>
      <c r="BQ7" s="16" cm="1">
        <f t="array" ref="BQ7">IFERROR(INDEX(_xlfn.ANCHORARRAY(_xlfn.XLOOKUP($C7,'-ref_Distribution'!$B$146:$B$150,'-ref_Distribution'!$G$146:$G$150)),RIGHT(BQ$1,2)),"")</f>
        <v>183</v>
      </c>
      <c r="BR7" s="16" cm="1">
        <f t="array" ref="BR7">IFERROR(INDEX(_xlfn.ANCHORARRAY(_xlfn.XLOOKUP($C7,'-ref_Distribution'!$B$146:$B$150,'-ref_Distribution'!$G$146:$G$150)),RIGHT(BR$1,2)),"")</f>
        <v>203</v>
      </c>
      <c r="BS7" s="16" cm="1">
        <f t="array" ref="BS7">IFERROR(INDEX(_xlfn.ANCHORARRAY(_xlfn.XLOOKUP($C7,'-ref_Distribution'!$B$146:$B$150,'-ref_Distribution'!$G$146:$G$150)),RIGHT(BS$1,2)),"")</f>
        <v>221</v>
      </c>
      <c r="BT7" s="16" cm="1">
        <f t="array" ref="BT7">IFERROR(INDEX(_xlfn.ANCHORARRAY(_xlfn.XLOOKUP($C7,'-ref_Distribution'!$B$146:$B$150,'-ref_Distribution'!$G$146:$G$150)),RIGHT(BT$1,2)),"")</f>
        <v>234</v>
      </c>
      <c r="BU7" s="16" cm="1">
        <f t="array" ref="BU7">IFERROR(INDEX(_xlfn.ANCHORARRAY(_xlfn.XLOOKUP($C7,'-ref_Distribution'!$B$146:$B$150,'-ref_Distribution'!$G$146:$G$150)),RIGHT(BU$1,2)),"")</f>
        <v>243</v>
      </c>
      <c r="BV7" s="16" cm="1">
        <f t="array" ref="BV7">IFERROR(INDEX(_xlfn.ANCHORARRAY(_xlfn.XLOOKUP($C7,'-ref_Distribution'!$B$146:$B$150,'-ref_Distribution'!$G$146:$G$150)),RIGHT(BV$1,2)),"")</f>
        <v>245</v>
      </c>
      <c r="BW7" s="16" cm="1">
        <f t="array" ref="BW7">IFERROR(INDEX(_xlfn.ANCHORARRAY(_xlfn.XLOOKUP($C7,'-ref_Distribution'!$B$146:$B$150,'-ref_Distribution'!$G$146:$G$150)),RIGHT(BW$1,2)),"")</f>
        <v>243</v>
      </c>
      <c r="BX7" s="16" cm="1">
        <f t="array" ref="BX7">IFERROR(INDEX(_xlfn.ANCHORARRAY(_xlfn.XLOOKUP($C7,'-ref_Distribution'!$B$146:$B$150,'-ref_Distribution'!$G$146:$G$150)),RIGHT(BX$1,2)),"")</f>
        <v>234</v>
      </c>
      <c r="BY7" s="16" cm="1">
        <f t="array" ref="BY7">IFERROR(INDEX(_xlfn.ANCHORARRAY(_xlfn.XLOOKUP($C7,'-ref_Distribution'!$B$146:$B$150,'-ref_Distribution'!$G$146:$G$150)),RIGHT(BY$1,2)),"")</f>
        <v>221</v>
      </c>
      <c r="BZ7" s="16" cm="1">
        <f t="array" ref="BZ7">IFERROR(INDEX(_xlfn.ANCHORARRAY(_xlfn.XLOOKUP($C7,'-ref_Distribution'!$B$146:$B$150,'-ref_Distribution'!$G$146:$G$150)),RIGHT(BZ$1,2)),"")</f>
        <v>203</v>
      </c>
      <c r="CA7" s="16" cm="1">
        <f t="array" ref="CA7">IFERROR(INDEX(_xlfn.ANCHORARRAY(_xlfn.XLOOKUP($C7,'-ref_Distribution'!$B$146:$B$150,'-ref_Distribution'!$G$146:$G$150)),RIGHT(CA$1,2)),"")</f>
        <v>183</v>
      </c>
      <c r="CB7" s="16" cm="1">
        <f t="array" ref="CB7">IFERROR(INDEX(_xlfn.ANCHORARRAY(_xlfn.XLOOKUP($C7,'-ref_Distribution'!$B$146:$B$150,'-ref_Distribution'!$G$146:$G$150)),RIGHT(CB$1,2)),"")</f>
        <v>160</v>
      </c>
      <c r="CC7" s="16" cm="1">
        <f t="array" ref="CC7">IFERROR(INDEX(_xlfn.ANCHORARRAY(_xlfn.XLOOKUP($C7,'-ref_Distribution'!$B$146:$B$150,'-ref_Distribution'!$G$146:$G$150)),RIGHT(CC$1,2)),"")</f>
        <v>137</v>
      </c>
      <c r="CD7" s="16" cm="1">
        <f t="array" ref="CD7">IFERROR(INDEX(_xlfn.ANCHORARRAY(_xlfn.XLOOKUP($C7,'-ref_Distribution'!$B$146:$B$150,'-ref_Distribution'!$G$146:$G$150)),RIGHT(CD$1,2)),"")</f>
        <v>115</v>
      </c>
      <c r="CE7" s="16" cm="1">
        <f t="array" ref="CE7">IFERROR(INDEX(_xlfn.ANCHORARRAY(_xlfn.XLOOKUP($C7,'-ref_Distribution'!$B$146:$B$150,'-ref_Distribution'!$G$146:$G$150)),RIGHT(CE$1,2)),"")</f>
        <v>94</v>
      </c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</row>
    <row r="8" spans="1:95" x14ac:dyDescent="0.2">
      <c r="A8" s="16">
        <v>300023</v>
      </c>
      <c r="B8" s="16" t="s">
        <v>418</v>
      </c>
      <c r="C8" s="16">
        <v>3</v>
      </c>
      <c r="D8" s="16" cm="1">
        <f t="array" ref="D8">IFERROR(INDEX(_xlfn.ANCHORARRAY(_xlfn.XLOOKUP($C8,'-ref_Distribution'!$B$146:$B$150,'-ref_Distribution'!$G$146:$G$150)),RIGHT(D$1,2)),"")</f>
        <v>4</v>
      </c>
      <c r="E8" s="16" cm="1">
        <f t="array" ref="E8">IFERROR(INDEX(_xlfn.ANCHORARRAY(_xlfn.XLOOKUP($C8,'-ref_Distribution'!$B$146:$B$150,'-ref_Distribution'!$G$146:$G$150)),RIGHT(E$1,2)),"")</f>
        <v>6</v>
      </c>
      <c r="F8" s="16" cm="1">
        <f t="array" ref="F8">IFERROR(INDEX(_xlfn.ANCHORARRAY(_xlfn.XLOOKUP($C8,'-ref_Distribution'!$B$146:$B$150,'-ref_Distribution'!$G$146:$G$150)),RIGHT(F$1,2)),"")</f>
        <v>9</v>
      </c>
      <c r="G8" s="16" cm="1">
        <f t="array" ref="G8">IFERROR(INDEX(_xlfn.ANCHORARRAY(_xlfn.XLOOKUP($C8,'-ref_Distribution'!$B$146:$B$150,'-ref_Distribution'!$G$146:$G$150)),RIGHT(G$1,2)),"")</f>
        <v>14</v>
      </c>
      <c r="H8" s="16" cm="1">
        <f t="array" ref="H8">IFERROR(INDEX(_xlfn.ANCHORARRAY(_xlfn.XLOOKUP($C8,'-ref_Distribution'!$B$146:$B$150,'-ref_Distribution'!$G$146:$G$150)),RIGHT(H$1,2)),"")</f>
        <v>20</v>
      </c>
      <c r="I8" s="16" cm="1">
        <f t="array" ref="I8">IFERROR(INDEX(_xlfn.ANCHORARRAY(_xlfn.XLOOKUP($C8,'-ref_Distribution'!$B$146:$B$150,'-ref_Distribution'!$G$146:$G$150)),RIGHT(I$1,2)),"")</f>
        <v>28</v>
      </c>
      <c r="J8" s="16" cm="1">
        <f t="array" ref="J8">IFERROR(INDEX(_xlfn.ANCHORARRAY(_xlfn.XLOOKUP($C8,'-ref_Distribution'!$B$146:$B$150,'-ref_Distribution'!$G$146:$G$150)),RIGHT(J$1,2)),"")</f>
        <v>38</v>
      </c>
      <c r="K8" s="16" cm="1">
        <f t="array" ref="K8">IFERROR(INDEX(_xlfn.ANCHORARRAY(_xlfn.XLOOKUP($C8,'-ref_Distribution'!$B$146:$B$150,'-ref_Distribution'!$G$146:$G$150)),RIGHT(K$1,2)),"")</f>
        <v>51</v>
      </c>
      <c r="L8" s="16" cm="1">
        <f t="array" ref="L8">IFERROR(INDEX(_xlfn.ANCHORARRAY(_xlfn.XLOOKUP($C8,'-ref_Distribution'!$B$146:$B$150,'-ref_Distribution'!$G$146:$G$150)),RIGHT(L$1,2)),"")</f>
        <v>65</v>
      </c>
      <c r="M8" s="16" cm="1">
        <f t="array" ref="M8">IFERROR(INDEX(_xlfn.ANCHORARRAY(_xlfn.XLOOKUP($C8,'-ref_Distribution'!$B$146:$B$150,'-ref_Distribution'!$G$146:$G$150)),RIGHT(M$1,2)),"")</f>
        <v>80</v>
      </c>
      <c r="N8" s="16" cm="1">
        <f t="array" ref="N8">IFERROR(INDEX(_xlfn.ANCHORARRAY(_xlfn.XLOOKUP($C8,'-ref_Distribution'!$B$146:$B$150,'-ref_Distribution'!$G$146:$G$150)),RIGHT(N$1,2)),"")</f>
        <v>96</v>
      </c>
      <c r="O8" s="16" cm="1">
        <f t="array" ref="O8">IFERROR(INDEX(_xlfn.ANCHORARRAY(_xlfn.XLOOKUP($C8,'-ref_Distribution'!$B$146:$B$150,'-ref_Distribution'!$G$146:$G$150)),RIGHT(O$1,2)),"")</f>
        <v>111</v>
      </c>
      <c r="P8" s="16" cm="1">
        <f t="array" ref="P8">IFERROR(INDEX(_xlfn.ANCHORARRAY(_xlfn.XLOOKUP($C8,'-ref_Distribution'!$B$146:$B$150,'-ref_Distribution'!$G$146:$G$150)),RIGHT(P$1,2)),"")</f>
        <v>125</v>
      </c>
      <c r="Q8" s="16" cm="1">
        <f t="array" ref="Q8">IFERROR(INDEX(_xlfn.ANCHORARRAY(_xlfn.XLOOKUP($C8,'-ref_Distribution'!$B$146:$B$150,'-ref_Distribution'!$G$146:$G$150)),RIGHT(Q$1,2)),"")</f>
        <v>135</v>
      </c>
      <c r="R8" s="16" cm="1">
        <f t="array" ref="R8">IFERROR(INDEX(_xlfn.ANCHORARRAY(_xlfn.XLOOKUP($C8,'-ref_Distribution'!$B$146:$B$150,'-ref_Distribution'!$G$146:$G$150)),RIGHT(R$1,2)),"")</f>
        <v>142</v>
      </c>
      <c r="S8" s="16" cm="1">
        <f t="array" ref="S8">IFERROR(INDEX(_xlfn.ANCHORARRAY(_xlfn.XLOOKUP($C8,'-ref_Distribution'!$B$146:$B$150,'-ref_Distribution'!$G$146:$G$150)),RIGHT(S$1,2)),"")</f>
        <v>144</v>
      </c>
      <c r="T8" s="16" cm="1">
        <f t="array" ref="T8">IFERROR(INDEX(_xlfn.ANCHORARRAY(_xlfn.XLOOKUP($C8,'-ref_Distribution'!$B$146:$B$150,'-ref_Distribution'!$G$146:$G$150)),RIGHT(T$1,2)),"")</f>
        <v>142</v>
      </c>
      <c r="U8" s="16" cm="1">
        <f t="array" ref="U8">IFERROR(INDEX(_xlfn.ANCHORARRAY(_xlfn.XLOOKUP($C8,'-ref_Distribution'!$B$146:$B$150,'-ref_Distribution'!$G$146:$G$150)),RIGHT(U$1,2)),"")</f>
        <v>135</v>
      </c>
      <c r="V8" s="16" cm="1">
        <f t="array" ref="V8">IFERROR(INDEX(_xlfn.ANCHORARRAY(_xlfn.XLOOKUP($C8,'-ref_Distribution'!$B$146:$B$150,'-ref_Distribution'!$G$146:$G$150)),RIGHT(V$1,2)),"")</f>
        <v>125</v>
      </c>
      <c r="W8" s="16" cm="1">
        <f t="array" ref="W8">IFERROR(INDEX(_xlfn.ANCHORARRAY(_xlfn.XLOOKUP($C8,'-ref_Distribution'!$B$146:$B$150,'-ref_Distribution'!$G$146:$G$150)),RIGHT(W$1,2)),"")</f>
        <v>111</v>
      </c>
      <c r="X8" s="16" cm="1">
        <f t="array" ref="X8">IFERROR(INDEX(_xlfn.ANCHORARRAY(_xlfn.XLOOKUP($C8,'-ref_Distribution'!$B$146:$B$150,'-ref_Distribution'!$G$146:$G$150)),RIGHT(X$1,2)),"")</f>
        <v>4</v>
      </c>
      <c r="Y8" s="16" cm="1">
        <f t="array" ref="Y8">IFERROR(INDEX(_xlfn.ANCHORARRAY(_xlfn.XLOOKUP($C8,'-ref_Distribution'!$B$146:$B$150,'-ref_Distribution'!$G$146:$G$150)),RIGHT(Y$1,2)),"")</f>
        <v>6</v>
      </c>
      <c r="Z8" s="16" cm="1">
        <f t="array" ref="Z8">IFERROR(INDEX(_xlfn.ANCHORARRAY(_xlfn.XLOOKUP($C8,'-ref_Distribution'!$B$146:$B$150,'-ref_Distribution'!$G$146:$G$150)),RIGHT(Z$1,2)),"")</f>
        <v>9</v>
      </c>
      <c r="AA8" s="16" cm="1">
        <f t="array" ref="AA8">IFERROR(INDEX(_xlfn.ANCHORARRAY(_xlfn.XLOOKUP($C8,'-ref_Distribution'!$B$146:$B$150,'-ref_Distribution'!$G$146:$G$150)),RIGHT(AA$1,2)),"")</f>
        <v>14</v>
      </c>
      <c r="AB8" s="16" cm="1">
        <f t="array" ref="AB8">IFERROR(INDEX(_xlfn.ANCHORARRAY(_xlfn.XLOOKUP($C8,'-ref_Distribution'!$B$146:$B$150,'-ref_Distribution'!$G$146:$G$150)),RIGHT(AB$1,2)),"")</f>
        <v>20</v>
      </c>
      <c r="AC8" s="16" cm="1">
        <f t="array" ref="AC8">IFERROR(INDEX(_xlfn.ANCHORARRAY(_xlfn.XLOOKUP($C8,'-ref_Distribution'!$B$146:$B$150,'-ref_Distribution'!$G$146:$G$150)),RIGHT(AC$1,2)),"")</f>
        <v>28</v>
      </c>
      <c r="AD8" s="16" cm="1">
        <f t="array" ref="AD8">IFERROR(INDEX(_xlfn.ANCHORARRAY(_xlfn.XLOOKUP($C8,'-ref_Distribution'!$B$146:$B$150,'-ref_Distribution'!$G$146:$G$150)),RIGHT(AD$1,2)),"")</f>
        <v>38</v>
      </c>
      <c r="AE8" s="16" cm="1">
        <f t="array" ref="AE8">IFERROR(INDEX(_xlfn.ANCHORARRAY(_xlfn.XLOOKUP($C8,'-ref_Distribution'!$B$146:$B$150,'-ref_Distribution'!$G$146:$G$150)),RIGHT(AE$1,2)),"")</f>
        <v>51</v>
      </c>
      <c r="AF8" s="16" cm="1">
        <f t="array" ref="AF8">IFERROR(INDEX(_xlfn.ANCHORARRAY(_xlfn.XLOOKUP($C8,'-ref_Distribution'!$B$146:$B$150,'-ref_Distribution'!$G$146:$G$150)),RIGHT(AF$1,2)),"")</f>
        <v>65</v>
      </c>
      <c r="AG8" s="16" cm="1">
        <f t="array" ref="AG8">IFERROR(INDEX(_xlfn.ANCHORARRAY(_xlfn.XLOOKUP($C8,'-ref_Distribution'!$B$146:$B$150,'-ref_Distribution'!$G$146:$G$150)),RIGHT(AG$1,2)),"")</f>
        <v>80</v>
      </c>
      <c r="AH8" s="16" cm="1">
        <f t="array" ref="AH8">IFERROR(INDEX(_xlfn.ANCHORARRAY(_xlfn.XLOOKUP($C8,'-ref_Distribution'!$B$146:$B$150,'-ref_Distribution'!$G$146:$G$150)),RIGHT(AH$1,2)),"")</f>
        <v>96</v>
      </c>
      <c r="AI8" s="16" cm="1">
        <f t="array" ref="AI8">IFERROR(INDEX(_xlfn.ANCHORARRAY(_xlfn.XLOOKUP($C8,'-ref_Distribution'!$B$146:$B$150,'-ref_Distribution'!$G$146:$G$150)),RIGHT(AI$1,2)),"")</f>
        <v>111</v>
      </c>
      <c r="AJ8" s="16" cm="1">
        <f t="array" ref="AJ8">IFERROR(INDEX(_xlfn.ANCHORARRAY(_xlfn.XLOOKUP($C8,'-ref_Distribution'!$B$146:$B$150,'-ref_Distribution'!$G$146:$G$150)),RIGHT(AJ$1,2)),"")</f>
        <v>125</v>
      </c>
      <c r="AK8" s="16" cm="1">
        <f t="array" ref="AK8">IFERROR(INDEX(_xlfn.ANCHORARRAY(_xlfn.XLOOKUP($C8,'-ref_Distribution'!$B$146:$B$150,'-ref_Distribution'!$G$146:$G$150)),RIGHT(AK$1,2)),"")</f>
        <v>135</v>
      </c>
      <c r="AL8" s="16" cm="1">
        <f t="array" ref="AL8">IFERROR(INDEX(_xlfn.ANCHORARRAY(_xlfn.XLOOKUP($C8,'-ref_Distribution'!$B$146:$B$150,'-ref_Distribution'!$G$146:$G$150)),RIGHT(AL$1,2)),"")</f>
        <v>142</v>
      </c>
      <c r="AM8" s="16" cm="1">
        <f t="array" ref="AM8">IFERROR(INDEX(_xlfn.ANCHORARRAY(_xlfn.XLOOKUP($C8,'-ref_Distribution'!$B$146:$B$150,'-ref_Distribution'!$G$146:$G$150)),RIGHT(AM$1,2)),"")</f>
        <v>144</v>
      </c>
      <c r="AN8" s="16" cm="1">
        <f t="array" ref="AN8">IFERROR(INDEX(_xlfn.ANCHORARRAY(_xlfn.XLOOKUP($C8,'-ref_Distribution'!$B$146:$B$150,'-ref_Distribution'!$G$146:$G$150)),RIGHT(AN$1,2)),"")</f>
        <v>142</v>
      </c>
      <c r="AO8" s="16" cm="1">
        <f t="array" ref="AO8">IFERROR(INDEX(_xlfn.ANCHORARRAY(_xlfn.XLOOKUP($C8,'-ref_Distribution'!$B$146:$B$150,'-ref_Distribution'!$G$146:$G$150)),RIGHT(AO$1,2)),"")</f>
        <v>135</v>
      </c>
      <c r="AP8" s="16" cm="1">
        <f t="array" ref="AP8">IFERROR(INDEX(_xlfn.ANCHORARRAY(_xlfn.XLOOKUP($C8,'-ref_Distribution'!$B$146:$B$150,'-ref_Distribution'!$G$146:$G$150)),RIGHT(AP$1,2)),"")</f>
        <v>125</v>
      </c>
      <c r="AQ8" s="16" cm="1">
        <f t="array" ref="AQ8">IFERROR(INDEX(_xlfn.ANCHORARRAY(_xlfn.XLOOKUP($C8,'-ref_Distribution'!$B$146:$B$150,'-ref_Distribution'!$G$146:$G$150)),RIGHT(AQ$1,2)),"")</f>
        <v>111</v>
      </c>
      <c r="AR8" s="16" cm="1">
        <f t="array" ref="AR8">IFERROR(INDEX(_xlfn.ANCHORARRAY(_xlfn.XLOOKUP($C8,'-ref_Distribution'!$B$146:$B$150,'-ref_Distribution'!$G$146:$G$150)),RIGHT(AR$1,2)),"")</f>
        <v>4</v>
      </c>
      <c r="AS8" s="16" cm="1">
        <f t="array" ref="AS8">IFERROR(INDEX(_xlfn.ANCHORARRAY(_xlfn.XLOOKUP($C8,'-ref_Distribution'!$B$146:$B$150,'-ref_Distribution'!$G$146:$G$150)),RIGHT(AS$1,2)),"")</f>
        <v>6</v>
      </c>
      <c r="AT8" s="16" cm="1">
        <f t="array" ref="AT8">IFERROR(INDEX(_xlfn.ANCHORARRAY(_xlfn.XLOOKUP($C8,'-ref_Distribution'!$B$146:$B$150,'-ref_Distribution'!$G$146:$G$150)),RIGHT(AT$1,2)),"")</f>
        <v>9</v>
      </c>
      <c r="AU8" s="16" cm="1">
        <f t="array" ref="AU8">IFERROR(INDEX(_xlfn.ANCHORARRAY(_xlfn.XLOOKUP($C8,'-ref_Distribution'!$B$146:$B$150,'-ref_Distribution'!$G$146:$G$150)),RIGHT(AU$1,2)),"")</f>
        <v>14</v>
      </c>
      <c r="AV8" s="16" cm="1">
        <f t="array" ref="AV8">IFERROR(INDEX(_xlfn.ANCHORARRAY(_xlfn.XLOOKUP($C8,'-ref_Distribution'!$B$146:$B$150,'-ref_Distribution'!$G$146:$G$150)),RIGHT(AV$1,2)),"")</f>
        <v>20</v>
      </c>
      <c r="AW8" s="16" cm="1">
        <f t="array" ref="AW8">IFERROR(INDEX(_xlfn.ANCHORARRAY(_xlfn.XLOOKUP($C8,'-ref_Distribution'!$B$146:$B$150,'-ref_Distribution'!$G$146:$G$150)),RIGHT(AW$1,2)),"")</f>
        <v>28</v>
      </c>
      <c r="AX8" s="16" cm="1">
        <f t="array" ref="AX8">IFERROR(INDEX(_xlfn.ANCHORARRAY(_xlfn.XLOOKUP($C8,'-ref_Distribution'!$B$146:$B$150,'-ref_Distribution'!$G$146:$G$150)),RIGHT(AX$1,2)),"")</f>
        <v>38</v>
      </c>
      <c r="AY8" s="16" cm="1">
        <f t="array" ref="AY8">IFERROR(INDEX(_xlfn.ANCHORARRAY(_xlfn.XLOOKUP($C8,'-ref_Distribution'!$B$146:$B$150,'-ref_Distribution'!$G$146:$G$150)),RIGHT(AY$1,2)),"")</f>
        <v>51</v>
      </c>
      <c r="AZ8" s="16" cm="1">
        <f t="array" ref="AZ8">IFERROR(INDEX(_xlfn.ANCHORARRAY(_xlfn.XLOOKUP($C8,'-ref_Distribution'!$B$146:$B$150,'-ref_Distribution'!$G$146:$G$150)),RIGHT(AZ$1,2)),"")</f>
        <v>65</v>
      </c>
      <c r="BA8" s="16" cm="1">
        <f t="array" ref="BA8">IFERROR(INDEX(_xlfn.ANCHORARRAY(_xlfn.XLOOKUP($C8,'-ref_Distribution'!$B$146:$B$150,'-ref_Distribution'!$G$146:$G$150)),RIGHT(BA$1,2)),"")</f>
        <v>80</v>
      </c>
      <c r="BB8" s="16" cm="1">
        <f t="array" ref="BB8">IFERROR(INDEX(_xlfn.ANCHORARRAY(_xlfn.XLOOKUP($C8,'-ref_Distribution'!$B$146:$B$150,'-ref_Distribution'!$G$146:$G$150)),RIGHT(BB$1,2)),"")</f>
        <v>96</v>
      </c>
      <c r="BC8" s="16" cm="1">
        <f t="array" ref="BC8">IFERROR(INDEX(_xlfn.ANCHORARRAY(_xlfn.XLOOKUP($C8,'-ref_Distribution'!$B$146:$B$150,'-ref_Distribution'!$G$146:$G$150)),RIGHT(BC$1,2)),"")</f>
        <v>111</v>
      </c>
      <c r="BD8" s="16" cm="1">
        <f t="array" ref="BD8">IFERROR(INDEX(_xlfn.ANCHORARRAY(_xlfn.XLOOKUP($C8,'-ref_Distribution'!$B$146:$B$150,'-ref_Distribution'!$G$146:$G$150)),RIGHT(BD$1,2)),"")</f>
        <v>125</v>
      </c>
      <c r="BE8" s="16" cm="1">
        <f t="array" ref="BE8">IFERROR(INDEX(_xlfn.ANCHORARRAY(_xlfn.XLOOKUP($C8,'-ref_Distribution'!$B$146:$B$150,'-ref_Distribution'!$G$146:$G$150)),RIGHT(BE$1,2)),"")</f>
        <v>135</v>
      </c>
      <c r="BF8" s="16" cm="1">
        <f t="array" ref="BF8">IFERROR(INDEX(_xlfn.ANCHORARRAY(_xlfn.XLOOKUP($C8,'-ref_Distribution'!$B$146:$B$150,'-ref_Distribution'!$G$146:$G$150)),RIGHT(BF$1,2)),"")</f>
        <v>142</v>
      </c>
      <c r="BG8" s="16" cm="1">
        <f t="array" ref="BG8">IFERROR(INDEX(_xlfn.ANCHORARRAY(_xlfn.XLOOKUP($C8,'-ref_Distribution'!$B$146:$B$150,'-ref_Distribution'!$G$146:$G$150)),RIGHT(BG$1,2)),"")</f>
        <v>144</v>
      </c>
      <c r="BH8" s="16" cm="1">
        <f t="array" ref="BH8">IFERROR(INDEX(_xlfn.ANCHORARRAY(_xlfn.XLOOKUP($C8,'-ref_Distribution'!$B$146:$B$150,'-ref_Distribution'!$G$146:$G$150)),RIGHT(BH$1,2)),"")</f>
        <v>142</v>
      </c>
      <c r="BI8" s="16" cm="1">
        <f t="array" ref="BI8">IFERROR(INDEX(_xlfn.ANCHORARRAY(_xlfn.XLOOKUP($C8,'-ref_Distribution'!$B$146:$B$150,'-ref_Distribution'!$G$146:$G$150)),RIGHT(BI$1,2)),"")</f>
        <v>135</v>
      </c>
      <c r="BJ8" s="16" cm="1">
        <f t="array" ref="BJ8">IFERROR(INDEX(_xlfn.ANCHORARRAY(_xlfn.XLOOKUP($C8,'-ref_Distribution'!$B$146:$B$150,'-ref_Distribution'!$G$146:$G$150)),RIGHT(BJ$1,2)),"")</f>
        <v>125</v>
      </c>
      <c r="BK8" s="16" cm="1">
        <f t="array" ref="BK8">IFERROR(INDEX(_xlfn.ANCHORARRAY(_xlfn.XLOOKUP($C8,'-ref_Distribution'!$B$146:$B$150,'-ref_Distribution'!$G$146:$G$150)),RIGHT(BK$1,2)),"")</f>
        <v>111</v>
      </c>
      <c r="BL8" s="16" cm="1">
        <f t="array" ref="BL8">IFERROR(INDEX(_xlfn.ANCHORARRAY(_xlfn.XLOOKUP($C8,'-ref_Distribution'!$B$146:$B$150,'-ref_Distribution'!$G$146:$G$150)),RIGHT(BL$1,2)),"")</f>
        <v>4</v>
      </c>
      <c r="BM8" s="16" cm="1">
        <f t="array" ref="BM8">IFERROR(INDEX(_xlfn.ANCHORARRAY(_xlfn.XLOOKUP($C8,'-ref_Distribution'!$B$146:$B$150,'-ref_Distribution'!$G$146:$G$150)),RIGHT(BM$1,2)),"")</f>
        <v>6</v>
      </c>
      <c r="BN8" s="16" cm="1">
        <f t="array" ref="BN8">IFERROR(INDEX(_xlfn.ANCHORARRAY(_xlfn.XLOOKUP($C8,'-ref_Distribution'!$B$146:$B$150,'-ref_Distribution'!$G$146:$G$150)),RIGHT(BN$1,2)),"")</f>
        <v>9</v>
      </c>
      <c r="BO8" s="16" cm="1">
        <f t="array" ref="BO8">IFERROR(INDEX(_xlfn.ANCHORARRAY(_xlfn.XLOOKUP($C8,'-ref_Distribution'!$B$146:$B$150,'-ref_Distribution'!$G$146:$G$150)),RIGHT(BO$1,2)),"")</f>
        <v>14</v>
      </c>
      <c r="BP8" s="16" cm="1">
        <f t="array" ref="BP8">IFERROR(INDEX(_xlfn.ANCHORARRAY(_xlfn.XLOOKUP($C8,'-ref_Distribution'!$B$146:$B$150,'-ref_Distribution'!$G$146:$G$150)),RIGHT(BP$1,2)),"")</f>
        <v>20</v>
      </c>
      <c r="BQ8" s="16" cm="1">
        <f t="array" ref="BQ8">IFERROR(INDEX(_xlfn.ANCHORARRAY(_xlfn.XLOOKUP($C8,'-ref_Distribution'!$B$146:$B$150,'-ref_Distribution'!$G$146:$G$150)),RIGHT(BQ$1,2)),"")</f>
        <v>28</v>
      </c>
      <c r="BR8" s="16" cm="1">
        <f t="array" ref="BR8">IFERROR(INDEX(_xlfn.ANCHORARRAY(_xlfn.XLOOKUP($C8,'-ref_Distribution'!$B$146:$B$150,'-ref_Distribution'!$G$146:$G$150)),RIGHT(BR$1,2)),"")</f>
        <v>38</v>
      </c>
      <c r="BS8" s="16" cm="1">
        <f t="array" ref="BS8">IFERROR(INDEX(_xlfn.ANCHORARRAY(_xlfn.XLOOKUP($C8,'-ref_Distribution'!$B$146:$B$150,'-ref_Distribution'!$G$146:$G$150)),RIGHT(BS$1,2)),"")</f>
        <v>51</v>
      </c>
      <c r="BT8" s="16" cm="1">
        <f t="array" ref="BT8">IFERROR(INDEX(_xlfn.ANCHORARRAY(_xlfn.XLOOKUP($C8,'-ref_Distribution'!$B$146:$B$150,'-ref_Distribution'!$G$146:$G$150)),RIGHT(BT$1,2)),"")</f>
        <v>65</v>
      </c>
      <c r="BU8" s="16" cm="1">
        <f t="array" ref="BU8">IFERROR(INDEX(_xlfn.ANCHORARRAY(_xlfn.XLOOKUP($C8,'-ref_Distribution'!$B$146:$B$150,'-ref_Distribution'!$G$146:$G$150)),RIGHT(BU$1,2)),"")</f>
        <v>80</v>
      </c>
      <c r="BV8" s="16" cm="1">
        <f t="array" ref="BV8">IFERROR(INDEX(_xlfn.ANCHORARRAY(_xlfn.XLOOKUP($C8,'-ref_Distribution'!$B$146:$B$150,'-ref_Distribution'!$G$146:$G$150)),RIGHT(BV$1,2)),"")</f>
        <v>96</v>
      </c>
      <c r="BW8" s="16" cm="1">
        <f t="array" ref="BW8">IFERROR(INDEX(_xlfn.ANCHORARRAY(_xlfn.XLOOKUP($C8,'-ref_Distribution'!$B$146:$B$150,'-ref_Distribution'!$G$146:$G$150)),RIGHT(BW$1,2)),"")</f>
        <v>111</v>
      </c>
      <c r="BX8" s="16" cm="1">
        <f t="array" ref="BX8">IFERROR(INDEX(_xlfn.ANCHORARRAY(_xlfn.XLOOKUP($C8,'-ref_Distribution'!$B$146:$B$150,'-ref_Distribution'!$G$146:$G$150)),RIGHT(BX$1,2)),"")</f>
        <v>125</v>
      </c>
      <c r="BY8" s="16" cm="1">
        <f t="array" ref="BY8">IFERROR(INDEX(_xlfn.ANCHORARRAY(_xlfn.XLOOKUP($C8,'-ref_Distribution'!$B$146:$B$150,'-ref_Distribution'!$G$146:$G$150)),RIGHT(BY$1,2)),"")</f>
        <v>135</v>
      </c>
      <c r="BZ8" s="16" cm="1">
        <f t="array" ref="BZ8">IFERROR(INDEX(_xlfn.ANCHORARRAY(_xlfn.XLOOKUP($C8,'-ref_Distribution'!$B$146:$B$150,'-ref_Distribution'!$G$146:$G$150)),RIGHT(BZ$1,2)),"")</f>
        <v>142</v>
      </c>
      <c r="CA8" s="16" cm="1">
        <f t="array" ref="CA8">IFERROR(INDEX(_xlfn.ANCHORARRAY(_xlfn.XLOOKUP($C8,'-ref_Distribution'!$B$146:$B$150,'-ref_Distribution'!$G$146:$G$150)),RIGHT(CA$1,2)),"")</f>
        <v>144</v>
      </c>
      <c r="CB8" s="16" cm="1">
        <f t="array" ref="CB8">IFERROR(INDEX(_xlfn.ANCHORARRAY(_xlfn.XLOOKUP($C8,'-ref_Distribution'!$B$146:$B$150,'-ref_Distribution'!$G$146:$G$150)),RIGHT(CB$1,2)),"")</f>
        <v>142</v>
      </c>
      <c r="CC8" s="16" cm="1">
        <f t="array" ref="CC8">IFERROR(INDEX(_xlfn.ANCHORARRAY(_xlfn.XLOOKUP($C8,'-ref_Distribution'!$B$146:$B$150,'-ref_Distribution'!$G$146:$G$150)),RIGHT(CC$1,2)),"")</f>
        <v>135</v>
      </c>
      <c r="CD8" s="16" cm="1">
        <f t="array" ref="CD8">IFERROR(INDEX(_xlfn.ANCHORARRAY(_xlfn.XLOOKUP($C8,'-ref_Distribution'!$B$146:$B$150,'-ref_Distribution'!$G$146:$G$150)),RIGHT(CD$1,2)),"")</f>
        <v>125</v>
      </c>
      <c r="CE8" s="16" cm="1">
        <f t="array" ref="CE8">IFERROR(INDEX(_xlfn.ANCHORARRAY(_xlfn.XLOOKUP($C8,'-ref_Distribution'!$B$146:$B$150,'-ref_Distribution'!$G$146:$G$150)),RIGHT(CE$1,2)),"")</f>
        <v>111</v>
      </c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</row>
    <row r="9" spans="1:95" x14ac:dyDescent="0.2">
      <c r="A9" s="16">
        <v>300031</v>
      </c>
      <c r="B9" s="16" t="s">
        <v>201</v>
      </c>
      <c r="C9" s="16">
        <v>0</v>
      </c>
      <c r="D9" s="16" cm="1">
        <f t="array" ref="D9">IFERROR(INDEX(_xlfn.ANCHORARRAY(_xlfn.XLOOKUP($C9,'-ref_Distribution'!$B$146:$B$150,'-ref_Distribution'!$G$146:$G$150)),RIGHT(D$1,2)),"")</f>
        <v>709</v>
      </c>
      <c r="E9" s="16" cm="1">
        <f t="array" ref="E9">IFERROR(INDEX(_xlfn.ANCHORARRAY(_xlfn.XLOOKUP($C9,'-ref_Distribution'!$B$146:$B$150,'-ref_Distribution'!$G$146:$G$150)),RIGHT(E$1,2)),"")</f>
        <v>705</v>
      </c>
      <c r="F9" s="16" cm="1">
        <f t="array" ref="F9">IFERROR(INDEX(_xlfn.ANCHORARRAY(_xlfn.XLOOKUP($C9,'-ref_Distribution'!$B$146:$B$150,'-ref_Distribution'!$G$146:$G$150)),RIGHT(F$1,2)),"")</f>
        <v>692</v>
      </c>
      <c r="G9" s="16" cm="1">
        <f t="array" ref="G9">IFERROR(INDEX(_xlfn.ANCHORARRAY(_xlfn.XLOOKUP($C9,'-ref_Distribution'!$B$146:$B$150,'-ref_Distribution'!$G$146:$G$150)),RIGHT(G$1,2)),"")</f>
        <v>671</v>
      </c>
      <c r="H9" s="16" cm="1">
        <f t="array" ref="H9">IFERROR(INDEX(_xlfn.ANCHORARRAY(_xlfn.XLOOKUP($C9,'-ref_Distribution'!$B$146:$B$150,'-ref_Distribution'!$G$146:$G$150)),RIGHT(H$1,2)),"")</f>
        <v>643</v>
      </c>
      <c r="I9" s="16" cm="1">
        <f t="array" ref="I9">IFERROR(INDEX(_xlfn.ANCHORARRAY(_xlfn.XLOOKUP($C9,'-ref_Distribution'!$B$146:$B$150,'-ref_Distribution'!$G$146:$G$150)),RIGHT(I$1,2)),"")</f>
        <v>608</v>
      </c>
      <c r="J9" s="16" cm="1">
        <f t="array" ref="J9">IFERROR(INDEX(_xlfn.ANCHORARRAY(_xlfn.XLOOKUP($C9,'-ref_Distribution'!$B$146:$B$150,'-ref_Distribution'!$G$146:$G$150)),RIGHT(J$1,2)),"")</f>
        <v>568</v>
      </c>
      <c r="K9" s="16" cm="1">
        <f t="array" ref="K9">IFERROR(INDEX(_xlfn.ANCHORARRAY(_xlfn.XLOOKUP($C9,'-ref_Distribution'!$B$146:$B$150,'-ref_Distribution'!$G$146:$G$150)),RIGHT(K$1,2)),"")</f>
        <v>524</v>
      </c>
      <c r="L9" s="16" cm="1">
        <f t="array" ref="L9">IFERROR(INDEX(_xlfn.ANCHORARRAY(_xlfn.XLOOKUP($C9,'-ref_Distribution'!$B$146:$B$150,'-ref_Distribution'!$G$146:$G$150)),RIGHT(L$1,2)),"")</f>
        <v>478</v>
      </c>
      <c r="M9" s="16" cm="1">
        <f t="array" ref="M9">IFERROR(INDEX(_xlfn.ANCHORARRAY(_xlfn.XLOOKUP($C9,'-ref_Distribution'!$B$146:$B$150,'-ref_Distribution'!$G$146:$G$150)),RIGHT(M$1,2)),"")</f>
        <v>430</v>
      </c>
      <c r="N9" s="16" cm="1">
        <f t="array" ref="N9">IFERROR(INDEX(_xlfn.ANCHORARRAY(_xlfn.XLOOKUP($C9,'-ref_Distribution'!$B$146:$B$150,'-ref_Distribution'!$G$146:$G$150)),RIGHT(N$1,2)),"")</f>
        <v>383</v>
      </c>
      <c r="O9" s="16" cm="1">
        <f t="array" ref="O9">IFERROR(INDEX(_xlfn.ANCHORARRAY(_xlfn.XLOOKUP($C9,'-ref_Distribution'!$B$146:$B$150,'-ref_Distribution'!$G$146:$G$150)),RIGHT(O$1,2)),"")</f>
        <v>336</v>
      </c>
      <c r="P9" s="16" cm="1">
        <f t="array" ref="P9">IFERROR(INDEX(_xlfn.ANCHORARRAY(_xlfn.XLOOKUP($C9,'-ref_Distribution'!$B$146:$B$150,'-ref_Distribution'!$G$146:$G$150)),RIGHT(P$1,2)),"")</f>
        <v>292</v>
      </c>
      <c r="Q9" s="16" cm="1">
        <f t="array" ref="Q9">IFERROR(INDEX(_xlfn.ANCHORARRAY(_xlfn.XLOOKUP($C9,'-ref_Distribution'!$B$146:$B$150,'-ref_Distribution'!$G$146:$G$150)),RIGHT(Q$1,2)),"")</f>
        <v>250</v>
      </c>
      <c r="R9" s="16" cm="1">
        <f t="array" ref="R9">IFERROR(INDEX(_xlfn.ANCHORARRAY(_xlfn.XLOOKUP($C9,'-ref_Distribution'!$B$146:$B$150,'-ref_Distribution'!$G$146:$G$150)),RIGHT(R$1,2)),"")</f>
        <v>212</v>
      </c>
      <c r="S9" s="16" cm="1">
        <f t="array" ref="S9">IFERROR(INDEX(_xlfn.ANCHORARRAY(_xlfn.XLOOKUP($C9,'-ref_Distribution'!$B$146:$B$150,'-ref_Distribution'!$G$146:$G$150)),RIGHT(S$1,2)),"")</f>
        <v>177</v>
      </c>
      <c r="T9" s="16" cm="1">
        <f t="array" ref="T9">IFERROR(INDEX(_xlfn.ANCHORARRAY(_xlfn.XLOOKUP($C9,'-ref_Distribution'!$B$146:$B$150,'-ref_Distribution'!$G$146:$G$150)),RIGHT(T$1,2)),"")</f>
        <v>146</v>
      </c>
      <c r="U9" s="16" cm="1">
        <f t="array" ref="U9">IFERROR(INDEX(_xlfn.ANCHORARRAY(_xlfn.XLOOKUP($C9,'-ref_Distribution'!$B$146:$B$150,'-ref_Distribution'!$G$146:$G$150)),RIGHT(U$1,2)),"")</f>
        <v>119</v>
      </c>
      <c r="V9" s="16" cm="1">
        <f t="array" ref="V9">IFERROR(INDEX(_xlfn.ANCHORARRAY(_xlfn.XLOOKUP($C9,'-ref_Distribution'!$B$146:$B$150,'-ref_Distribution'!$G$146:$G$150)),RIGHT(V$1,2)),"")</f>
        <v>96</v>
      </c>
      <c r="W9" s="16" cm="1">
        <f t="array" ref="W9">IFERROR(INDEX(_xlfn.ANCHORARRAY(_xlfn.XLOOKUP($C9,'-ref_Distribution'!$B$146:$B$150,'-ref_Distribution'!$G$146:$G$150)),RIGHT(W$1,2)),"")</f>
        <v>76</v>
      </c>
      <c r="X9" s="16" cm="1">
        <f t="array" ref="X9">IFERROR(INDEX(_xlfn.ANCHORARRAY(_xlfn.XLOOKUP($C9,'-ref_Distribution'!$B$146:$B$150,'-ref_Distribution'!$G$146:$G$150)),RIGHT(X$1,2)),"")</f>
        <v>709</v>
      </c>
      <c r="Y9" s="16" cm="1">
        <f t="array" ref="Y9">IFERROR(INDEX(_xlfn.ANCHORARRAY(_xlfn.XLOOKUP($C9,'-ref_Distribution'!$B$146:$B$150,'-ref_Distribution'!$G$146:$G$150)),RIGHT(Y$1,2)),"")</f>
        <v>705</v>
      </c>
      <c r="Z9" s="16" cm="1">
        <f t="array" ref="Z9">IFERROR(INDEX(_xlfn.ANCHORARRAY(_xlfn.XLOOKUP($C9,'-ref_Distribution'!$B$146:$B$150,'-ref_Distribution'!$G$146:$G$150)),RIGHT(Z$1,2)),"")</f>
        <v>692</v>
      </c>
      <c r="AA9" s="16" cm="1">
        <f t="array" ref="AA9">IFERROR(INDEX(_xlfn.ANCHORARRAY(_xlfn.XLOOKUP($C9,'-ref_Distribution'!$B$146:$B$150,'-ref_Distribution'!$G$146:$G$150)),RIGHT(AA$1,2)),"")</f>
        <v>671</v>
      </c>
      <c r="AB9" s="16" cm="1">
        <f t="array" ref="AB9">IFERROR(INDEX(_xlfn.ANCHORARRAY(_xlfn.XLOOKUP($C9,'-ref_Distribution'!$B$146:$B$150,'-ref_Distribution'!$G$146:$G$150)),RIGHT(AB$1,2)),"")</f>
        <v>643</v>
      </c>
      <c r="AC9" s="16" cm="1">
        <f t="array" ref="AC9">IFERROR(INDEX(_xlfn.ANCHORARRAY(_xlfn.XLOOKUP($C9,'-ref_Distribution'!$B$146:$B$150,'-ref_Distribution'!$G$146:$G$150)),RIGHT(AC$1,2)),"")</f>
        <v>608</v>
      </c>
      <c r="AD9" s="16" cm="1">
        <f t="array" ref="AD9">IFERROR(INDEX(_xlfn.ANCHORARRAY(_xlfn.XLOOKUP($C9,'-ref_Distribution'!$B$146:$B$150,'-ref_Distribution'!$G$146:$G$150)),RIGHT(AD$1,2)),"")</f>
        <v>568</v>
      </c>
      <c r="AE9" s="16" cm="1">
        <f t="array" ref="AE9">IFERROR(INDEX(_xlfn.ANCHORARRAY(_xlfn.XLOOKUP($C9,'-ref_Distribution'!$B$146:$B$150,'-ref_Distribution'!$G$146:$G$150)),RIGHT(AE$1,2)),"")</f>
        <v>524</v>
      </c>
      <c r="AF9" s="16" cm="1">
        <f t="array" ref="AF9">IFERROR(INDEX(_xlfn.ANCHORARRAY(_xlfn.XLOOKUP($C9,'-ref_Distribution'!$B$146:$B$150,'-ref_Distribution'!$G$146:$G$150)),RIGHT(AF$1,2)),"")</f>
        <v>478</v>
      </c>
      <c r="AG9" s="16" cm="1">
        <f t="array" ref="AG9">IFERROR(INDEX(_xlfn.ANCHORARRAY(_xlfn.XLOOKUP($C9,'-ref_Distribution'!$B$146:$B$150,'-ref_Distribution'!$G$146:$G$150)),RIGHT(AG$1,2)),"")</f>
        <v>430</v>
      </c>
      <c r="AH9" s="16" cm="1">
        <f t="array" ref="AH9">IFERROR(INDEX(_xlfn.ANCHORARRAY(_xlfn.XLOOKUP($C9,'-ref_Distribution'!$B$146:$B$150,'-ref_Distribution'!$G$146:$G$150)),RIGHT(AH$1,2)),"")</f>
        <v>383</v>
      </c>
      <c r="AI9" s="16" cm="1">
        <f t="array" ref="AI9">IFERROR(INDEX(_xlfn.ANCHORARRAY(_xlfn.XLOOKUP($C9,'-ref_Distribution'!$B$146:$B$150,'-ref_Distribution'!$G$146:$G$150)),RIGHT(AI$1,2)),"")</f>
        <v>336</v>
      </c>
      <c r="AJ9" s="16" cm="1">
        <f t="array" ref="AJ9">IFERROR(INDEX(_xlfn.ANCHORARRAY(_xlfn.XLOOKUP($C9,'-ref_Distribution'!$B$146:$B$150,'-ref_Distribution'!$G$146:$G$150)),RIGHT(AJ$1,2)),"")</f>
        <v>292</v>
      </c>
      <c r="AK9" s="16" cm="1">
        <f t="array" ref="AK9">IFERROR(INDEX(_xlfn.ANCHORARRAY(_xlfn.XLOOKUP($C9,'-ref_Distribution'!$B$146:$B$150,'-ref_Distribution'!$G$146:$G$150)),RIGHT(AK$1,2)),"")</f>
        <v>250</v>
      </c>
      <c r="AL9" s="16" cm="1">
        <f t="array" ref="AL9">IFERROR(INDEX(_xlfn.ANCHORARRAY(_xlfn.XLOOKUP($C9,'-ref_Distribution'!$B$146:$B$150,'-ref_Distribution'!$G$146:$G$150)),RIGHT(AL$1,2)),"")</f>
        <v>212</v>
      </c>
      <c r="AM9" s="16" cm="1">
        <f t="array" ref="AM9">IFERROR(INDEX(_xlfn.ANCHORARRAY(_xlfn.XLOOKUP($C9,'-ref_Distribution'!$B$146:$B$150,'-ref_Distribution'!$G$146:$G$150)),RIGHT(AM$1,2)),"")</f>
        <v>177</v>
      </c>
      <c r="AN9" s="16" cm="1">
        <f t="array" ref="AN9">IFERROR(INDEX(_xlfn.ANCHORARRAY(_xlfn.XLOOKUP($C9,'-ref_Distribution'!$B$146:$B$150,'-ref_Distribution'!$G$146:$G$150)),RIGHT(AN$1,2)),"")</f>
        <v>146</v>
      </c>
      <c r="AO9" s="16" cm="1">
        <f t="array" ref="AO9">IFERROR(INDEX(_xlfn.ANCHORARRAY(_xlfn.XLOOKUP($C9,'-ref_Distribution'!$B$146:$B$150,'-ref_Distribution'!$G$146:$G$150)),RIGHT(AO$1,2)),"")</f>
        <v>119</v>
      </c>
      <c r="AP9" s="16" cm="1">
        <f t="array" ref="AP9">IFERROR(INDEX(_xlfn.ANCHORARRAY(_xlfn.XLOOKUP($C9,'-ref_Distribution'!$B$146:$B$150,'-ref_Distribution'!$G$146:$G$150)),RIGHT(AP$1,2)),"")</f>
        <v>96</v>
      </c>
      <c r="AQ9" s="16" cm="1">
        <f t="array" ref="AQ9">IFERROR(INDEX(_xlfn.ANCHORARRAY(_xlfn.XLOOKUP($C9,'-ref_Distribution'!$B$146:$B$150,'-ref_Distribution'!$G$146:$G$150)),RIGHT(AQ$1,2)),"")</f>
        <v>76</v>
      </c>
      <c r="AR9" s="16" cm="1">
        <f t="array" ref="AR9">IFERROR(INDEX(_xlfn.ANCHORARRAY(_xlfn.XLOOKUP($C9,'-ref_Distribution'!$B$146:$B$150,'-ref_Distribution'!$G$146:$G$150)),RIGHT(AR$1,2)),"")</f>
        <v>709</v>
      </c>
      <c r="AS9" s="16" cm="1">
        <f t="array" ref="AS9">IFERROR(INDEX(_xlfn.ANCHORARRAY(_xlfn.XLOOKUP($C9,'-ref_Distribution'!$B$146:$B$150,'-ref_Distribution'!$G$146:$G$150)),RIGHT(AS$1,2)),"")</f>
        <v>705</v>
      </c>
      <c r="AT9" s="16" cm="1">
        <f t="array" ref="AT9">IFERROR(INDEX(_xlfn.ANCHORARRAY(_xlfn.XLOOKUP($C9,'-ref_Distribution'!$B$146:$B$150,'-ref_Distribution'!$G$146:$G$150)),RIGHT(AT$1,2)),"")</f>
        <v>692</v>
      </c>
      <c r="AU9" s="16" cm="1">
        <f t="array" ref="AU9">IFERROR(INDEX(_xlfn.ANCHORARRAY(_xlfn.XLOOKUP($C9,'-ref_Distribution'!$B$146:$B$150,'-ref_Distribution'!$G$146:$G$150)),RIGHT(AU$1,2)),"")</f>
        <v>671</v>
      </c>
      <c r="AV9" s="16" cm="1">
        <f t="array" ref="AV9">IFERROR(INDEX(_xlfn.ANCHORARRAY(_xlfn.XLOOKUP($C9,'-ref_Distribution'!$B$146:$B$150,'-ref_Distribution'!$G$146:$G$150)),RIGHT(AV$1,2)),"")</f>
        <v>643</v>
      </c>
      <c r="AW9" s="16" cm="1">
        <f t="array" ref="AW9">IFERROR(INDEX(_xlfn.ANCHORARRAY(_xlfn.XLOOKUP($C9,'-ref_Distribution'!$B$146:$B$150,'-ref_Distribution'!$G$146:$G$150)),RIGHT(AW$1,2)),"")</f>
        <v>608</v>
      </c>
      <c r="AX9" s="16" cm="1">
        <f t="array" ref="AX9">IFERROR(INDEX(_xlfn.ANCHORARRAY(_xlfn.XLOOKUP($C9,'-ref_Distribution'!$B$146:$B$150,'-ref_Distribution'!$G$146:$G$150)),RIGHT(AX$1,2)),"")</f>
        <v>568</v>
      </c>
      <c r="AY9" s="16" cm="1">
        <f t="array" ref="AY9">IFERROR(INDEX(_xlfn.ANCHORARRAY(_xlfn.XLOOKUP($C9,'-ref_Distribution'!$B$146:$B$150,'-ref_Distribution'!$G$146:$G$150)),RIGHT(AY$1,2)),"")</f>
        <v>524</v>
      </c>
      <c r="AZ9" s="16" cm="1">
        <f t="array" ref="AZ9">IFERROR(INDEX(_xlfn.ANCHORARRAY(_xlfn.XLOOKUP($C9,'-ref_Distribution'!$B$146:$B$150,'-ref_Distribution'!$G$146:$G$150)),RIGHT(AZ$1,2)),"")</f>
        <v>478</v>
      </c>
      <c r="BA9" s="16" cm="1">
        <f t="array" ref="BA9">IFERROR(INDEX(_xlfn.ANCHORARRAY(_xlfn.XLOOKUP($C9,'-ref_Distribution'!$B$146:$B$150,'-ref_Distribution'!$G$146:$G$150)),RIGHT(BA$1,2)),"")</f>
        <v>430</v>
      </c>
      <c r="BB9" s="16" cm="1">
        <f t="array" ref="BB9">IFERROR(INDEX(_xlfn.ANCHORARRAY(_xlfn.XLOOKUP($C9,'-ref_Distribution'!$B$146:$B$150,'-ref_Distribution'!$G$146:$G$150)),RIGHT(BB$1,2)),"")</f>
        <v>383</v>
      </c>
      <c r="BC9" s="16" cm="1">
        <f t="array" ref="BC9">IFERROR(INDEX(_xlfn.ANCHORARRAY(_xlfn.XLOOKUP($C9,'-ref_Distribution'!$B$146:$B$150,'-ref_Distribution'!$G$146:$G$150)),RIGHT(BC$1,2)),"")</f>
        <v>336</v>
      </c>
      <c r="BD9" s="16" cm="1">
        <f t="array" ref="BD9">IFERROR(INDEX(_xlfn.ANCHORARRAY(_xlfn.XLOOKUP($C9,'-ref_Distribution'!$B$146:$B$150,'-ref_Distribution'!$G$146:$G$150)),RIGHT(BD$1,2)),"")</f>
        <v>292</v>
      </c>
      <c r="BE9" s="16" cm="1">
        <f t="array" ref="BE9">IFERROR(INDEX(_xlfn.ANCHORARRAY(_xlfn.XLOOKUP($C9,'-ref_Distribution'!$B$146:$B$150,'-ref_Distribution'!$G$146:$G$150)),RIGHT(BE$1,2)),"")</f>
        <v>250</v>
      </c>
      <c r="BF9" s="16" cm="1">
        <f t="array" ref="BF9">IFERROR(INDEX(_xlfn.ANCHORARRAY(_xlfn.XLOOKUP($C9,'-ref_Distribution'!$B$146:$B$150,'-ref_Distribution'!$G$146:$G$150)),RIGHT(BF$1,2)),"")</f>
        <v>212</v>
      </c>
      <c r="BG9" s="16" cm="1">
        <f t="array" ref="BG9">IFERROR(INDEX(_xlfn.ANCHORARRAY(_xlfn.XLOOKUP($C9,'-ref_Distribution'!$B$146:$B$150,'-ref_Distribution'!$G$146:$G$150)),RIGHT(BG$1,2)),"")</f>
        <v>177</v>
      </c>
      <c r="BH9" s="16" cm="1">
        <f t="array" ref="BH9">IFERROR(INDEX(_xlfn.ANCHORARRAY(_xlfn.XLOOKUP($C9,'-ref_Distribution'!$B$146:$B$150,'-ref_Distribution'!$G$146:$G$150)),RIGHT(BH$1,2)),"")</f>
        <v>146</v>
      </c>
      <c r="BI9" s="16" cm="1">
        <f t="array" ref="BI9">IFERROR(INDEX(_xlfn.ANCHORARRAY(_xlfn.XLOOKUP($C9,'-ref_Distribution'!$B$146:$B$150,'-ref_Distribution'!$G$146:$G$150)),RIGHT(BI$1,2)),"")</f>
        <v>119</v>
      </c>
      <c r="BJ9" s="16" cm="1">
        <f t="array" ref="BJ9">IFERROR(INDEX(_xlfn.ANCHORARRAY(_xlfn.XLOOKUP($C9,'-ref_Distribution'!$B$146:$B$150,'-ref_Distribution'!$G$146:$G$150)),RIGHT(BJ$1,2)),"")</f>
        <v>96</v>
      </c>
      <c r="BK9" s="16" cm="1">
        <f t="array" ref="BK9">IFERROR(INDEX(_xlfn.ANCHORARRAY(_xlfn.XLOOKUP($C9,'-ref_Distribution'!$B$146:$B$150,'-ref_Distribution'!$G$146:$G$150)),RIGHT(BK$1,2)),"")</f>
        <v>76</v>
      </c>
      <c r="BL9" s="16" cm="1">
        <f t="array" ref="BL9">IFERROR(INDEX(_xlfn.ANCHORARRAY(_xlfn.XLOOKUP($C9,'-ref_Distribution'!$B$146:$B$150,'-ref_Distribution'!$G$146:$G$150)),RIGHT(BL$1,2)),"")</f>
        <v>709</v>
      </c>
      <c r="BM9" s="16" cm="1">
        <f t="array" ref="BM9">IFERROR(INDEX(_xlfn.ANCHORARRAY(_xlfn.XLOOKUP($C9,'-ref_Distribution'!$B$146:$B$150,'-ref_Distribution'!$G$146:$G$150)),RIGHT(BM$1,2)),"")</f>
        <v>705</v>
      </c>
      <c r="BN9" s="16" cm="1">
        <f t="array" ref="BN9">IFERROR(INDEX(_xlfn.ANCHORARRAY(_xlfn.XLOOKUP($C9,'-ref_Distribution'!$B$146:$B$150,'-ref_Distribution'!$G$146:$G$150)),RIGHT(BN$1,2)),"")</f>
        <v>692</v>
      </c>
      <c r="BO9" s="16" cm="1">
        <f t="array" ref="BO9">IFERROR(INDEX(_xlfn.ANCHORARRAY(_xlfn.XLOOKUP($C9,'-ref_Distribution'!$B$146:$B$150,'-ref_Distribution'!$G$146:$G$150)),RIGHT(BO$1,2)),"")</f>
        <v>671</v>
      </c>
      <c r="BP9" s="16" cm="1">
        <f t="array" ref="BP9">IFERROR(INDEX(_xlfn.ANCHORARRAY(_xlfn.XLOOKUP($C9,'-ref_Distribution'!$B$146:$B$150,'-ref_Distribution'!$G$146:$G$150)),RIGHT(BP$1,2)),"")</f>
        <v>643</v>
      </c>
      <c r="BQ9" s="16" cm="1">
        <f t="array" ref="BQ9">IFERROR(INDEX(_xlfn.ANCHORARRAY(_xlfn.XLOOKUP($C9,'-ref_Distribution'!$B$146:$B$150,'-ref_Distribution'!$G$146:$G$150)),RIGHT(BQ$1,2)),"")</f>
        <v>608</v>
      </c>
      <c r="BR9" s="16" cm="1">
        <f t="array" ref="BR9">IFERROR(INDEX(_xlfn.ANCHORARRAY(_xlfn.XLOOKUP($C9,'-ref_Distribution'!$B$146:$B$150,'-ref_Distribution'!$G$146:$G$150)),RIGHT(BR$1,2)),"")</f>
        <v>568</v>
      </c>
      <c r="BS9" s="16" cm="1">
        <f t="array" ref="BS9">IFERROR(INDEX(_xlfn.ANCHORARRAY(_xlfn.XLOOKUP($C9,'-ref_Distribution'!$B$146:$B$150,'-ref_Distribution'!$G$146:$G$150)),RIGHT(BS$1,2)),"")</f>
        <v>524</v>
      </c>
      <c r="BT9" s="16" cm="1">
        <f t="array" ref="BT9">IFERROR(INDEX(_xlfn.ANCHORARRAY(_xlfn.XLOOKUP($C9,'-ref_Distribution'!$B$146:$B$150,'-ref_Distribution'!$G$146:$G$150)),RIGHT(BT$1,2)),"")</f>
        <v>478</v>
      </c>
      <c r="BU9" s="16" cm="1">
        <f t="array" ref="BU9">IFERROR(INDEX(_xlfn.ANCHORARRAY(_xlfn.XLOOKUP($C9,'-ref_Distribution'!$B$146:$B$150,'-ref_Distribution'!$G$146:$G$150)),RIGHT(BU$1,2)),"")</f>
        <v>430</v>
      </c>
      <c r="BV9" s="16" cm="1">
        <f t="array" ref="BV9">IFERROR(INDEX(_xlfn.ANCHORARRAY(_xlfn.XLOOKUP($C9,'-ref_Distribution'!$B$146:$B$150,'-ref_Distribution'!$G$146:$G$150)),RIGHT(BV$1,2)),"")</f>
        <v>383</v>
      </c>
      <c r="BW9" s="16" cm="1">
        <f t="array" ref="BW9">IFERROR(INDEX(_xlfn.ANCHORARRAY(_xlfn.XLOOKUP($C9,'-ref_Distribution'!$B$146:$B$150,'-ref_Distribution'!$G$146:$G$150)),RIGHT(BW$1,2)),"")</f>
        <v>336</v>
      </c>
      <c r="BX9" s="16" cm="1">
        <f t="array" ref="BX9">IFERROR(INDEX(_xlfn.ANCHORARRAY(_xlfn.XLOOKUP($C9,'-ref_Distribution'!$B$146:$B$150,'-ref_Distribution'!$G$146:$G$150)),RIGHT(BX$1,2)),"")</f>
        <v>292</v>
      </c>
      <c r="BY9" s="16" cm="1">
        <f t="array" ref="BY9">IFERROR(INDEX(_xlfn.ANCHORARRAY(_xlfn.XLOOKUP($C9,'-ref_Distribution'!$B$146:$B$150,'-ref_Distribution'!$G$146:$G$150)),RIGHT(BY$1,2)),"")</f>
        <v>250</v>
      </c>
      <c r="BZ9" s="16" cm="1">
        <f t="array" ref="BZ9">IFERROR(INDEX(_xlfn.ANCHORARRAY(_xlfn.XLOOKUP($C9,'-ref_Distribution'!$B$146:$B$150,'-ref_Distribution'!$G$146:$G$150)),RIGHT(BZ$1,2)),"")</f>
        <v>212</v>
      </c>
      <c r="CA9" s="16" cm="1">
        <f t="array" ref="CA9">IFERROR(INDEX(_xlfn.ANCHORARRAY(_xlfn.XLOOKUP($C9,'-ref_Distribution'!$B$146:$B$150,'-ref_Distribution'!$G$146:$G$150)),RIGHT(CA$1,2)),"")</f>
        <v>177</v>
      </c>
      <c r="CB9" s="16" cm="1">
        <f t="array" ref="CB9">IFERROR(INDEX(_xlfn.ANCHORARRAY(_xlfn.XLOOKUP($C9,'-ref_Distribution'!$B$146:$B$150,'-ref_Distribution'!$G$146:$G$150)),RIGHT(CB$1,2)),"")</f>
        <v>146</v>
      </c>
      <c r="CC9" s="16" cm="1">
        <f t="array" ref="CC9">IFERROR(INDEX(_xlfn.ANCHORARRAY(_xlfn.XLOOKUP($C9,'-ref_Distribution'!$B$146:$B$150,'-ref_Distribution'!$G$146:$G$150)),RIGHT(CC$1,2)),"")</f>
        <v>119</v>
      </c>
      <c r="CD9" s="16" cm="1">
        <f t="array" ref="CD9">IFERROR(INDEX(_xlfn.ANCHORARRAY(_xlfn.XLOOKUP($C9,'-ref_Distribution'!$B$146:$B$150,'-ref_Distribution'!$G$146:$G$150)),RIGHT(CD$1,2)),"")</f>
        <v>96</v>
      </c>
      <c r="CE9" s="16" cm="1">
        <f t="array" ref="CE9">IFERROR(INDEX(_xlfn.ANCHORARRAY(_xlfn.XLOOKUP($C9,'-ref_Distribution'!$B$146:$B$150,'-ref_Distribution'!$G$146:$G$150)),RIGHT(CE$1,2)),"")</f>
        <v>76</v>
      </c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</row>
    <row r="10" spans="1:95" x14ac:dyDescent="0.2">
      <c r="A10" s="16">
        <v>300032</v>
      </c>
      <c r="B10" s="16" t="s">
        <v>201</v>
      </c>
      <c r="C10" s="16">
        <v>1</v>
      </c>
      <c r="D10" s="16" cm="1">
        <f t="array" ref="D10">IFERROR(INDEX(_xlfn.ANCHORARRAY(_xlfn.XLOOKUP($C10,'-ref_Distribution'!$B$146:$B$150,'-ref_Distribution'!$G$146:$G$150)),RIGHT(D$1,2)),"")</f>
        <v>337</v>
      </c>
      <c r="E10" s="16" cm="1">
        <f t="array" ref="E10">IFERROR(INDEX(_xlfn.ANCHORARRAY(_xlfn.XLOOKUP($C10,'-ref_Distribution'!$B$146:$B$150,'-ref_Distribution'!$G$146:$G$150)),RIGHT(E$1,2)),"")</f>
        <v>364</v>
      </c>
      <c r="F10" s="16" cm="1">
        <f t="array" ref="F10">IFERROR(INDEX(_xlfn.ANCHORARRAY(_xlfn.XLOOKUP($C10,'-ref_Distribution'!$B$146:$B$150,'-ref_Distribution'!$G$146:$G$150)),RIGHT(F$1,2)),"")</f>
        <v>386</v>
      </c>
      <c r="G10" s="16" cm="1">
        <f t="array" ref="G10">IFERROR(INDEX(_xlfn.ANCHORARRAY(_xlfn.XLOOKUP($C10,'-ref_Distribution'!$B$146:$B$150,'-ref_Distribution'!$G$146:$G$150)),RIGHT(G$1,2)),"")</f>
        <v>403</v>
      </c>
      <c r="H10" s="16" cm="1">
        <f t="array" ref="H10">IFERROR(INDEX(_xlfn.ANCHORARRAY(_xlfn.XLOOKUP($C10,'-ref_Distribution'!$B$146:$B$150,'-ref_Distribution'!$G$146:$G$150)),RIGHT(H$1,2)),"")</f>
        <v>414</v>
      </c>
      <c r="I10" s="16" cm="1">
        <f t="array" ref="I10">IFERROR(INDEX(_xlfn.ANCHORARRAY(_xlfn.XLOOKUP($C10,'-ref_Distribution'!$B$146:$B$150,'-ref_Distribution'!$G$146:$G$150)),RIGHT(I$1,2)),"")</f>
        <v>417</v>
      </c>
      <c r="J10" s="16" cm="1">
        <f t="array" ref="J10">IFERROR(INDEX(_xlfn.ANCHORARRAY(_xlfn.XLOOKUP($C10,'-ref_Distribution'!$B$146:$B$150,'-ref_Distribution'!$G$146:$G$150)),RIGHT(J$1,2)),"")</f>
        <v>414</v>
      </c>
      <c r="K10" s="16" cm="1">
        <f t="array" ref="K10">IFERROR(INDEX(_xlfn.ANCHORARRAY(_xlfn.XLOOKUP($C10,'-ref_Distribution'!$B$146:$B$150,'-ref_Distribution'!$G$146:$G$150)),RIGHT(K$1,2)),"")</f>
        <v>403</v>
      </c>
      <c r="L10" s="16" cm="1">
        <f t="array" ref="L10">IFERROR(INDEX(_xlfn.ANCHORARRAY(_xlfn.XLOOKUP($C10,'-ref_Distribution'!$B$146:$B$150,'-ref_Distribution'!$G$146:$G$150)),RIGHT(L$1,2)),"")</f>
        <v>386</v>
      </c>
      <c r="M10" s="16" cm="1">
        <f t="array" ref="M10">IFERROR(INDEX(_xlfn.ANCHORARRAY(_xlfn.XLOOKUP($C10,'-ref_Distribution'!$B$146:$B$150,'-ref_Distribution'!$G$146:$G$150)),RIGHT(M$1,2)),"")</f>
        <v>364</v>
      </c>
      <c r="N10" s="16" cm="1">
        <f t="array" ref="N10">IFERROR(INDEX(_xlfn.ANCHORARRAY(_xlfn.XLOOKUP($C10,'-ref_Distribution'!$B$146:$B$150,'-ref_Distribution'!$G$146:$G$150)),RIGHT(N$1,2)),"")</f>
        <v>337</v>
      </c>
      <c r="O10" s="16" cm="1">
        <f t="array" ref="O10">IFERROR(INDEX(_xlfn.ANCHORARRAY(_xlfn.XLOOKUP($C10,'-ref_Distribution'!$B$146:$B$150,'-ref_Distribution'!$G$146:$G$150)),RIGHT(O$1,2)),"")</f>
        <v>307</v>
      </c>
      <c r="P10" s="16" cm="1">
        <f t="array" ref="P10">IFERROR(INDEX(_xlfn.ANCHORARRAY(_xlfn.XLOOKUP($C10,'-ref_Distribution'!$B$146:$B$150,'-ref_Distribution'!$G$146:$G$150)),RIGHT(P$1,2)),"")</f>
        <v>274</v>
      </c>
      <c r="Q10" s="16" cm="1">
        <f t="array" ref="Q10">IFERROR(INDEX(_xlfn.ANCHORARRAY(_xlfn.XLOOKUP($C10,'-ref_Distribution'!$B$146:$B$150,'-ref_Distribution'!$G$146:$G$150)),RIGHT(Q$1,2)),"")</f>
        <v>241</v>
      </c>
      <c r="R10" s="16" cm="1">
        <f t="array" ref="R10">IFERROR(INDEX(_xlfn.ANCHORARRAY(_xlfn.XLOOKUP($C10,'-ref_Distribution'!$B$146:$B$150,'-ref_Distribution'!$G$146:$G$150)),RIGHT(R$1,2)),"")</f>
        <v>209</v>
      </c>
      <c r="S10" s="16" cm="1">
        <f t="array" ref="S10">IFERROR(INDEX(_xlfn.ANCHORARRAY(_xlfn.XLOOKUP($C10,'-ref_Distribution'!$B$146:$B$150,'-ref_Distribution'!$G$146:$G$150)),RIGHT(S$1,2)),"")</f>
        <v>178</v>
      </c>
      <c r="T10" s="16" cm="1">
        <f t="array" ref="T10">IFERROR(INDEX(_xlfn.ANCHORARRAY(_xlfn.XLOOKUP($C10,'-ref_Distribution'!$B$146:$B$150,'-ref_Distribution'!$G$146:$G$150)),RIGHT(T$1,2)),"")</f>
        <v>148</v>
      </c>
      <c r="U10" s="16" cm="1">
        <f t="array" ref="U10">IFERROR(INDEX(_xlfn.ANCHORARRAY(_xlfn.XLOOKUP($C10,'-ref_Distribution'!$B$146:$B$150,'-ref_Distribution'!$G$146:$G$150)),RIGHT(U$1,2)),"")</f>
        <v>122</v>
      </c>
      <c r="V10" s="16" cm="1">
        <f t="array" ref="V10">IFERROR(INDEX(_xlfn.ANCHORARRAY(_xlfn.XLOOKUP($C10,'-ref_Distribution'!$B$146:$B$150,'-ref_Distribution'!$G$146:$G$150)),RIGHT(V$1,2)),"")</f>
        <v>98</v>
      </c>
      <c r="W10" s="16" cm="1">
        <f t="array" ref="W10">IFERROR(INDEX(_xlfn.ANCHORARRAY(_xlfn.XLOOKUP($C10,'-ref_Distribution'!$B$146:$B$150,'-ref_Distribution'!$G$146:$G$150)),RIGHT(W$1,2)),"")</f>
        <v>78</v>
      </c>
      <c r="X10" s="16" cm="1">
        <f t="array" ref="X10">IFERROR(INDEX(_xlfn.ANCHORARRAY(_xlfn.XLOOKUP($C10,'-ref_Distribution'!$B$146:$B$150,'-ref_Distribution'!$G$146:$G$150)),RIGHT(X$1,2)),"")</f>
        <v>337</v>
      </c>
      <c r="Y10" s="16" cm="1">
        <f t="array" ref="Y10">IFERROR(INDEX(_xlfn.ANCHORARRAY(_xlfn.XLOOKUP($C10,'-ref_Distribution'!$B$146:$B$150,'-ref_Distribution'!$G$146:$G$150)),RIGHT(Y$1,2)),"")</f>
        <v>364</v>
      </c>
      <c r="Z10" s="16" cm="1">
        <f t="array" ref="Z10">IFERROR(INDEX(_xlfn.ANCHORARRAY(_xlfn.XLOOKUP($C10,'-ref_Distribution'!$B$146:$B$150,'-ref_Distribution'!$G$146:$G$150)),RIGHT(Z$1,2)),"")</f>
        <v>386</v>
      </c>
      <c r="AA10" s="16" cm="1">
        <f t="array" ref="AA10">IFERROR(INDEX(_xlfn.ANCHORARRAY(_xlfn.XLOOKUP($C10,'-ref_Distribution'!$B$146:$B$150,'-ref_Distribution'!$G$146:$G$150)),RIGHT(AA$1,2)),"")</f>
        <v>403</v>
      </c>
      <c r="AB10" s="16" cm="1">
        <f t="array" ref="AB10">IFERROR(INDEX(_xlfn.ANCHORARRAY(_xlfn.XLOOKUP($C10,'-ref_Distribution'!$B$146:$B$150,'-ref_Distribution'!$G$146:$G$150)),RIGHT(AB$1,2)),"")</f>
        <v>414</v>
      </c>
      <c r="AC10" s="16" cm="1">
        <f t="array" ref="AC10">IFERROR(INDEX(_xlfn.ANCHORARRAY(_xlfn.XLOOKUP($C10,'-ref_Distribution'!$B$146:$B$150,'-ref_Distribution'!$G$146:$G$150)),RIGHT(AC$1,2)),"")</f>
        <v>417</v>
      </c>
      <c r="AD10" s="16" cm="1">
        <f t="array" ref="AD10">IFERROR(INDEX(_xlfn.ANCHORARRAY(_xlfn.XLOOKUP($C10,'-ref_Distribution'!$B$146:$B$150,'-ref_Distribution'!$G$146:$G$150)),RIGHT(AD$1,2)),"")</f>
        <v>414</v>
      </c>
      <c r="AE10" s="16" cm="1">
        <f t="array" ref="AE10">IFERROR(INDEX(_xlfn.ANCHORARRAY(_xlfn.XLOOKUP($C10,'-ref_Distribution'!$B$146:$B$150,'-ref_Distribution'!$G$146:$G$150)),RIGHT(AE$1,2)),"")</f>
        <v>403</v>
      </c>
      <c r="AF10" s="16" cm="1">
        <f t="array" ref="AF10">IFERROR(INDEX(_xlfn.ANCHORARRAY(_xlfn.XLOOKUP($C10,'-ref_Distribution'!$B$146:$B$150,'-ref_Distribution'!$G$146:$G$150)),RIGHT(AF$1,2)),"")</f>
        <v>386</v>
      </c>
      <c r="AG10" s="16" cm="1">
        <f t="array" ref="AG10">IFERROR(INDEX(_xlfn.ANCHORARRAY(_xlfn.XLOOKUP($C10,'-ref_Distribution'!$B$146:$B$150,'-ref_Distribution'!$G$146:$G$150)),RIGHT(AG$1,2)),"")</f>
        <v>364</v>
      </c>
      <c r="AH10" s="16" cm="1">
        <f t="array" ref="AH10">IFERROR(INDEX(_xlfn.ANCHORARRAY(_xlfn.XLOOKUP($C10,'-ref_Distribution'!$B$146:$B$150,'-ref_Distribution'!$G$146:$G$150)),RIGHT(AH$1,2)),"")</f>
        <v>337</v>
      </c>
      <c r="AI10" s="16" cm="1">
        <f t="array" ref="AI10">IFERROR(INDEX(_xlfn.ANCHORARRAY(_xlfn.XLOOKUP($C10,'-ref_Distribution'!$B$146:$B$150,'-ref_Distribution'!$G$146:$G$150)),RIGHT(AI$1,2)),"")</f>
        <v>307</v>
      </c>
      <c r="AJ10" s="16" cm="1">
        <f t="array" ref="AJ10">IFERROR(INDEX(_xlfn.ANCHORARRAY(_xlfn.XLOOKUP($C10,'-ref_Distribution'!$B$146:$B$150,'-ref_Distribution'!$G$146:$G$150)),RIGHT(AJ$1,2)),"")</f>
        <v>274</v>
      </c>
      <c r="AK10" s="16" cm="1">
        <f t="array" ref="AK10">IFERROR(INDEX(_xlfn.ANCHORARRAY(_xlfn.XLOOKUP($C10,'-ref_Distribution'!$B$146:$B$150,'-ref_Distribution'!$G$146:$G$150)),RIGHT(AK$1,2)),"")</f>
        <v>241</v>
      </c>
      <c r="AL10" s="16" cm="1">
        <f t="array" ref="AL10">IFERROR(INDEX(_xlfn.ANCHORARRAY(_xlfn.XLOOKUP($C10,'-ref_Distribution'!$B$146:$B$150,'-ref_Distribution'!$G$146:$G$150)),RIGHT(AL$1,2)),"")</f>
        <v>209</v>
      </c>
      <c r="AM10" s="16" cm="1">
        <f t="array" ref="AM10">IFERROR(INDEX(_xlfn.ANCHORARRAY(_xlfn.XLOOKUP($C10,'-ref_Distribution'!$B$146:$B$150,'-ref_Distribution'!$G$146:$G$150)),RIGHT(AM$1,2)),"")</f>
        <v>178</v>
      </c>
      <c r="AN10" s="16" cm="1">
        <f t="array" ref="AN10">IFERROR(INDEX(_xlfn.ANCHORARRAY(_xlfn.XLOOKUP($C10,'-ref_Distribution'!$B$146:$B$150,'-ref_Distribution'!$G$146:$G$150)),RIGHT(AN$1,2)),"")</f>
        <v>148</v>
      </c>
      <c r="AO10" s="16" cm="1">
        <f t="array" ref="AO10">IFERROR(INDEX(_xlfn.ANCHORARRAY(_xlfn.XLOOKUP($C10,'-ref_Distribution'!$B$146:$B$150,'-ref_Distribution'!$G$146:$G$150)),RIGHT(AO$1,2)),"")</f>
        <v>122</v>
      </c>
      <c r="AP10" s="16" cm="1">
        <f t="array" ref="AP10">IFERROR(INDEX(_xlfn.ANCHORARRAY(_xlfn.XLOOKUP($C10,'-ref_Distribution'!$B$146:$B$150,'-ref_Distribution'!$G$146:$G$150)),RIGHT(AP$1,2)),"")</f>
        <v>98</v>
      </c>
      <c r="AQ10" s="16" cm="1">
        <f t="array" ref="AQ10">IFERROR(INDEX(_xlfn.ANCHORARRAY(_xlfn.XLOOKUP($C10,'-ref_Distribution'!$B$146:$B$150,'-ref_Distribution'!$G$146:$G$150)),RIGHT(AQ$1,2)),"")</f>
        <v>78</v>
      </c>
      <c r="AR10" s="16" cm="1">
        <f t="array" ref="AR10">IFERROR(INDEX(_xlfn.ANCHORARRAY(_xlfn.XLOOKUP($C10,'-ref_Distribution'!$B$146:$B$150,'-ref_Distribution'!$G$146:$G$150)),RIGHT(AR$1,2)),"")</f>
        <v>337</v>
      </c>
      <c r="AS10" s="16" cm="1">
        <f t="array" ref="AS10">IFERROR(INDEX(_xlfn.ANCHORARRAY(_xlfn.XLOOKUP($C10,'-ref_Distribution'!$B$146:$B$150,'-ref_Distribution'!$G$146:$G$150)),RIGHT(AS$1,2)),"")</f>
        <v>364</v>
      </c>
      <c r="AT10" s="16" cm="1">
        <f t="array" ref="AT10">IFERROR(INDEX(_xlfn.ANCHORARRAY(_xlfn.XLOOKUP($C10,'-ref_Distribution'!$B$146:$B$150,'-ref_Distribution'!$G$146:$G$150)),RIGHT(AT$1,2)),"")</f>
        <v>386</v>
      </c>
      <c r="AU10" s="16" cm="1">
        <f t="array" ref="AU10">IFERROR(INDEX(_xlfn.ANCHORARRAY(_xlfn.XLOOKUP($C10,'-ref_Distribution'!$B$146:$B$150,'-ref_Distribution'!$G$146:$G$150)),RIGHT(AU$1,2)),"")</f>
        <v>403</v>
      </c>
      <c r="AV10" s="16" cm="1">
        <f t="array" ref="AV10">IFERROR(INDEX(_xlfn.ANCHORARRAY(_xlfn.XLOOKUP($C10,'-ref_Distribution'!$B$146:$B$150,'-ref_Distribution'!$G$146:$G$150)),RIGHT(AV$1,2)),"")</f>
        <v>414</v>
      </c>
      <c r="AW10" s="16" cm="1">
        <f t="array" ref="AW10">IFERROR(INDEX(_xlfn.ANCHORARRAY(_xlfn.XLOOKUP($C10,'-ref_Distribution'!$B$146:$B$150,'-ref_Distribution'!$G$146:$G$150)),RIGHT(AW$1,2)),"")</f>
        <v>417</v>
      </c>
      <c r="AX10" s="16" cm="1">
        <f t="array" ref="AX10">IFERROR(INDEX(_xlfn.ANCHORARRAY(_xlfn.XLOOKUP($C10,'-ref_Distribution'!$B$146:$B$150,'-ref_Distribution'!$G$146:$G$150)),RIGHT(AX$1,2)),"")</f>
        <v>414</v>
      </c>
      <c r="AY10" s="16" cm="1">
        <f t="array" ref="AY10">IFERROR(INDEX(_xlfn.ANCHORARRAY(_xlfn.XLOOKUP($C10,'-ref_Distribution'!$B$146:$B$150,'-ref_Distribution'!$G$146:$G$150)),RIGHT(AY$1,2)),"")</f>
        <v>403</v>
      </c>
      <c r="AZ10" s="16" cm="1">
        <f t="array" ref="AZ10">IFERROR(INDEX(_xlfn.ANCHORARRAY(_xlfn.XLOOKUP($C10,'-ref_Distribution'!$B$146:$B$150,'-ref_Distribution'!$G$146:$G$150)),RIGHT(AZ$1,2)),"")</f>
        <v>386</v>
      </c>
      <c r="BA10" s="16" cm="1">
        <f t="array" ref="BA10">IFERROR(INDEX(_xlfn.ANCHORARRAY(_xlfn.XLOOKUP($C10,'-ref_Distribution'!$B$146:$B$150,'-ref_Distribution'!$G$146:$G$150)),RIGHT(BA$1,2)),"")</f>
        <v>364</v>
      </c>
      <c r="BB10" s="16" cm="1">
        <f t="array" ref="BB10">IFERROR(INDEX(_xlfn.ANCHORARRAY(_xlfn.XLOOKUP($C10,'-ref_Distribution'!$B$146:$B$150,'-ref_Distribution'!$G$146:$G$150)),RIGHT(BB$1,2)),"")</f>
        <v>337</v>
      </c>
      <c r="BC10" s="16" cm="1">
        <f t="array" ref="BC10">IFERROR(INDEX(_xlfn.ANCHORARRAY(_xlfn.XLOOKUP($C10,'-ref_Distribution'!$B$146:$B$150,'-ref_Distribution'!$G$146:$G$150)),RIGHT(BC$1,2)),"")</f>
        <v>307</v>
      </c>
      <c r="BD10" s="16" cm="1">
        <f t="array" ref="BD10">IFERROR(INDEX(_xlfn.ANCHORARRAY(_xlfn.XLOOKUP($C10,'-ref_Distribution'!$B$146:$B$150,'-ref_Distribution'!$G$146:$G$150)),RIGHT(BD$1,2)),"")</f>
        <v>274</v>
      </c>
      <c r="BE10" s="16" cm="1">
        <f t="array" ref="BE10">IFERROR(INDEX(_xlfn.ANCHORARRAY(_xlfn.XLOOKUP($C10,'-ref_Distribution'!$B$146:$B$150,'-ref_Distribution'!$G$146:$G$150)),RIGHT(BE$1,2)),"")</f>
        <v>241</v>
      </c>
      <c r="BF10" s="16" cm="1">
        <f t="array" ref="BF10">IFERROR(INDEX(_xlfn.ANCHORARRAY(_xlfn.XLOOKUP($C10,'-ref_Distribution'!$B$146:$B$150,'-ref_Distribution'!$G$146:$G$150)),RIGHT(BF$1,2)),"")</f>
        <v>209</v>
      </c>
      <c r="BG10" s="16" cm="1">
        <f t="array" ref="BG10">IFERROR(INDEX(_xlfn.ANCHORARRAY(_xlfn.XLOOKUP($C10,'-ref_Distribution'!$B$146:$B$150,'-ref_Distribution'!$G$146:$G$150)),RIGHT(BG$1,2)),"")</f>
        <v>178</v>
      </c>
      <c r="BH10" s="16" cm="1">
        <f t="array" ref="BH10">IFERROR(INDEX(_xlfn.ANCHORARRAY(_xlfn.XLOOKUP($C10,'-ref_Distribution'!$B$146:$B$150,'-ref_Distribution'!$G$146:$G$150)),RIGHT(BH$1,2)),"")</f>
        <v>148</v>
      </c>
      <c r="BI10" s="16" cm="1">
        <f t="array" ref="BI10">IFERROR(INDEX(_xlfn.ANCHORARRAY(_xlfn.XLOOKUP($C10,'-ref_Distribution'!$B$146:$B$150,'-ref_Distribution'!$G$146:$G$150)),RIGHT(BI$1,2)),"")</f>
        <v>122</v>
      </c>
      <c r="BJ10" s="16" cm="1">
        <f t="array" ref="BJ10">IFERROR(INDEX(_xlfn.ANCHORARRAY(_xlfn.XLOOKUP($C10,'-ref_Distribution'!$B$146:$B$150,'-ref_Distribution'!$G$146:$G$150)),RIGHT(BJ$1,2)),"")</f>
        <v>98</v>
      </c>
      <c r="BK10" s="16" cm="1">
        <f t="array" ref="BK10">IFERROR(INDEX(_xlfn.ANCHORARRAY(_xlfn.XLOOKUP($C10,'-ref_Distribution'!$B$146:$B$150,'-ref_Distribution'!$G$146:$G$150)),RIGHT(BK$1,2)),"")</f>
        <v>78</v>
      </c>
      <c r="BL10" s="16" cm="1">
        <f t="array" ref="BL10">IFERROR(INDEX(_xlfn.ANCHORARRAY(_xlfn.XLOOKUP($C10,'-ref_Distribution'!$B$146:$B$150,'-ref_Distribution'!$G$146:$G$150)),RIGHT(BL$1,2)),"")</f>
        <v>337</v>
      </c>
      <c r="BM10" s="16" cm="1">
        <f t="array" ref="BM10">IFERROR(INDEX(_xlfn.ANCHORARRAY(_xlfn.XLOOKUP($C10,'-ref_Distribution'!$B$146:$B$150,'-ref_Distribution'!$G$146:$G$150)),RIGHT(BM$1,2)),"")</f>
        <v>364</v>
      </c>
      <c r="BN10" s="16" cm="1">
        <f t="array" ref="BN10">IFERROR(INDEX(_xlfn.ANCHORARRAY(_xlfn.XLOOKUP($C10,'-ref_Distribution'!$B$146:$B$150,'-ref_Distribution'!$G$146:$G$150)),RIGHT(BN$1,2)),"")</f>
        <v>386</v>
      </c>
      <c r="BO10" s="16" cm="1">
        <f t="array" ref="BO10">IFERROR(INDEX(_xlfn.ANCHORARRAY(_xlfn.XLOOKUP($C10,'-ref_Distribution'!$B$146:$B$150,'-ref_Distribution'!$G$146:$G$150)),RIGHT(BO$1,2)),"")</f>
        <v>403</v>
      </c>
      <c r="BP10" s="16" cm="1">
        <f t="array" ref="BP10">IFERROR(INDEX(_xlfn.ANCHORARRAY(_xlfn.XLOOKUP($C10,'-ref_Distribution'!$B$146:$B$150,'-ref_Distribution'!$G$146:$G$150)),RIGHT(BP$1,2)),"")</f>
        <v>414</v>
      </c>
      <c r="BQ10" s="16" cm="1">
        <f t="array" ref="BQ10">IFERROR(INDEX(_xlfn.ANCHORARRAY(_xlfn.XLOOKUP($C10,'-ref_Distribution'!$B$146:$B$150,'-ref_Distribution'!$G$146:$G$150)),RIGHT(BQ$1,2)),"")</f>
        <v>417</v>
      </c>
      <c r="BR10" s="16" cm="1">
        <f t="array" ref="BR10">IFERROR(INDEX(_xlfn.ANCHORARRAY(_xlfn.XLOOKUP($C10,'-ref_Distribution'!$B$146:$B$150,'-ref_Distribution'!$G$146:$G$150)),RIGHT(BR$1,2)),"")</f>
        <v>414</v>
      </c>
      <c r="BS10" s="16" cm="1">
        <f t="array" ref="BS10">IFERROR(INDEX(_xlfn.ANCHORARRAY(_xlfn.XLOOKUP($C10,'-ref_Distribution'!$B$146:$B$150,'-ref_Distribution'!$G$146:$G$150)),RIGHT(BS$1,2)),"")</f>
        <v>403</v>
      </c>
      <c r="BT10" s="16" cm="1">
        <f t="array" ref="BT10">IFERROR(INDEX(_xlfn.ANCHORARRAY(_xlfn.XLOOKUP($C10,'-ref_Distribution'!$B$146:$B$150,'-ref_Distribution'!$G$146:$G$150)),RIGHT(BT$1,2)),"")</f>
        <v>386</v>
      </c>
      <c r="BU10" s="16" cm="1">
        <f t="array" ref="BU10">IFERROR(INDEX(_xlfn.ANCHORARRAY(_xlfn.XLOOKUP($C10,'-ref_Distribution'!$B$146:$B$150,'-ref_Distribution'!$G$146:$G$150)),RIGHT(BU$1,2)),"")</f>
        <v>364</v>
      </c>
      <c r="BV10" s="16" cm="1">
        <f t="array" ref="BV10">IFERROR(INDEX(_xlfn.ANCHORARRAY(_xlfn.XLOOKUP($C10,'-ref_Distribution'!$B$146:$B$150,'-ref_Distribution'!$G$146:$G$150)),RIGHT(BV$1,2)),"")</f>
        <v>337</v>
      </c>
      <c r="BW10" s="16" cm="1">
        <f t="array" ref="BW10">IFERROR(INDEX(_xlfn.ANCHORARRAY(_xlfn.XLOOKUP($C10,'-ref_Distribution'!$B$146:$B$150,'-ref_Distribution'!$G$146:$G$150)),RIGHT(BW$1,2)),"")</f>
        <v>307</v>
      </c>
      <c r="BX10" s="16" cm="1">
        <f t="array" ref="BX10">IFERROR(INDEX(_xlfn.ANCHORARRAY(_xlfn.XLOOKUP($C10,'-ref_Distribution'!$B$146:$B$150,'-ref_Distribution'!$G$146:$G$150)),RIGHT(BX$1,2)),"")</f>
        <v>274</v>
      </c>
      <c r="BY10" s="16" cm="1">
        <f t="array" ref="BY10">IFERROR(INDEX(_xlfn.ANCHORARRAY(_xlfn.XLOOKUP($C10,'-ref_Distribution'!$B$146:$B$150,'-ref_Distribution'!$G$146:$G$150)),RIGHT(BY$1,2)),"")</f>
        <v>241</v>
      </c>
      <c r="BZ10" s="16" cm="1">
        <f t="array" ref="BZ10">IFERROR(INDEX(_xlfn.ANCHORARRAY(_xlfn.XLOOKUP($C10,'-ref_Distribution'!$B$146:$B$150,'-ref_Distribution'!$G$146:$G$150)),RIGHT(BZ$1,2)),"")</f>
        <v>209</v>
      </c>
      <c r="CA10" s="16" cm="1">
        <f t="array" ref="CA10">IFERROR(INDEX(_xlfn.ANCHORARRAY(_xlfn.XLOOKUP($C10,'-ref_Distribution'!$B$146:$B$150,'-ref_Distribution'!$G$146:$G$150)),RIGHT(CA$1,2)),"")</f>
        <v>178</v>
      </c>
      <c r="CB10" s="16" cm="1">
        <f t="array" ref="CB10">IFERROR(INDEX(_xlfn.ANCHORARRAY(_xlfn.XLOOKUP($C10,'-ref_Distribution'!$B$146:$B$150,'-ref_Distribution'!$G$146:$G$150)),RIGHT(CB$1,2)),"")</f>
        <v>148</v>
      </c>
      <c r="CC10" s="16" cm="1">
        <f t="array" ref="CC10">IFERROR(INDEX(_xlfn.ANCHORARRAY(_xlfn.XLOOKUP($C10,'-ref_Distribution'!$B$146:$B$150,'-ref_Distribution'!$G$146:$G$150)),RIGHT(CC$1,2)),"")</f>
        <v>122</v>
      </c>
      <c r="CD10" s="16" cm="1">
        <f t="array" ref="CD10">IFERROR(INDEX(_xlfn.ANCHORARRAY(_xlfn.XLOOKUP($C10,'-ref_Distribution'!$B$146:$B$150,'-ref_Distribution'!$G$146:$G$150)),RIGHT(CD$1,2)),"")</f>
        <v>98</v>
      </c>
      <c r="CE10" s="16" cm="1">
        <f t="array" ref="CE10">IFERROR(INDEX(_xlfn.ANCHORARRAY(_xlfn.XLOOKUP($C10,'-ref_Distribution'!$B$146:$B$150,'-ref_Distribution'!$G$146:$G$150)),RIGHT(CE$1,2)),"")</f>
        <v>78</v>
      </c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</row>
    <row r="11" spans="1:95" x14ac:dyDescent="0.2">
      <c r="A11" s="16">
        <v>300033</v>
      </c>
      <c r="B11" s="16" t="s">
        <v>201</v>
      </c>
      <c r="C11" s="16">
        <v>2</v>
      </c>
      <c r="D11" s="16" cm="1">
        <f t="array" ref="D11">IFERROR(INDEX(_xlfn.ANCHORARRAY(_xlfn.XLOOKUP($C11,'-ref_Distribution'!$B$146:$B$150,'-ref_Distribution'!$G$146:$G$150)),RIGHT(D$1,2)),"")</f>
        <v>75</v>
      </c>
      <c r="E11" s="16" cm="1">
        <f t="array" ref="E11">IFERROR(INDEX(_xlfn.ANCHORARRAY(_xlfn.XLOOKUP($C11,'-ref_Distribution'!$B$146:$B$150,'-ref_Distribution'!$G$146:$G$150)),RIGHT(E$1,2)),"")</f>
        <v>94</v>
      </c>
      <c r="F11" s="16" cm="1">
        <f t="array" ref="F11">IFERROR(INDEX(_xlfn.ANCHORARRAY(_xlfn.XLOOKUP($C11,'-ref_Distribution'!$B$146:$B$150,'-ref_Distribution'!$G$146:$G$150)),RIGHT(F$1,2)),"")</f>
        <v>115</v>
      </c>
      <c r="G11" s="16" cm="1">
        <f t="array" ref="G11">IFERROR(INDEX(_xlfn.ANCHORARRAY(_xlfn.XLOOKUP($C11,'-ref_Distribution'!$B$146:$B$150,'-ref_Distribution'!$G$146:$G$150)),RIGHT(G$1,2)),"")</f>
        <v>137</v>
      </c>
      <c r="H11" s="16" cm="1">
        <f t="array" ref="H11">IFERROR(INDEX(_xlfn.ANCHORARRAY(_xlfn.XLOOKUP($C11,'-ref_Distribution'!$B$146:$B$150,'-ref_Distribution'!$G$146:$G$150)),RIGHT(H$1,2)),"")</f>
        <v>160</v>
      </c>
      <c r="I11" s="16" cm="1">
        <f t="array" ref="I11">IFERROR(INDEX(_xlfn.ANCHORARRAY(_xlfn.XLOOKUP($C11,'-ref_Distribution'!$B$146:$B$150,'-ref_Distribution'!$G$146:$G$150)),RIGHT(I$1,2)),"")</f>
        <v>183</v>
      </c>
      <c r="J11" s="16" cm="1">
        <f t="array" ref="J11">IFERROR(INDEX(_xlfn.ANCHORARRAY(_xlfn.XLOOKUP($C11,'-ref_Distribution'!$B$146:$B$150,'-ref_Distribution'!$G$146:$G$150)),RIGHT(J$1,2)),"")</f>
        <v>203</v>
      </c>
      <c r="K11" s="16" cm="1">
        <f t="array" ref="K11">IFERROR(INDEX(_xlfn.ANCHORARRAY(_xlfn.XLOOKUP($C11,'-ref_Distribution'!$B$146:$B$150,'-ref_Distribution'!$G$146:$G$150)),RIGHT(K$1,2)),"")</f>
        <v>221</v>
      </c>
      <c r="L11" s="16" cm="1">
        <f t="array" ref="L11">IFERROR(INDEX(_xlfn.ANCHORARRAY(_xlfn.XLOOKUP($C11,'-ref_Distribution'!$B$146:$B$150,'-ref_Distribution'!$G$146:$G$150)),RIGHT(L$1,2)),"")</f>
        <v>234</v>
      </c>
      <c r="M11" s="16" cm="1">
        <f t="array" ref="M11">IFERROR(INDEX(_xlfn.ANCHORARRAY(_xlfn.XLOOKUP($C11,'-ref_Distribution'!$B$146:$B$150,'-ref_Distribution'!$G$146:$G$150)),RIGHT(M$1,2)),"")</f>
        <v>243</v>
      </c>
      <c r="N11" s="16" cm="1">
        <f t="array" ref="N11">IFERROR(INDEX(_xlfn.ANCHORARRAY(_xlfn.XLOOKUP($C11,'-ref_Distribution'!$B$146:$B$150,'-ref_Distribution'!$G$146:$G$150)),RIGHT(N$1,2)),"")</f>
        <v>245</v>
      </c>
      <c r="O11" s="16" cm="1">
        <f t="array" ref="O11">IFERROR(INDEX(_xlfn.ANCHORARRAY(_xlfn.XLOOKUP($C11,'-ref_Distribution'!$B$146:$B$150,'-ref_Distribution'!$G$146:$G$150)),RIGHT(O$1,2)),"")</f>
        <v>243</v>
      </c>
      <c r="P11" s="16" cm="1">
        <f t="array" ref="P11">IFERROR(INDEX(_xlfn.ANCHORARRAY(_xlfn.XLOOKUP($C11,'-ref_Distribution'!$B$146:$B$150,'-ref_Distribution'!$G$146:$G$150)),RIGHT(P$1,2)),"")</f>
        <v>234</v>
      </c>
      <c r="Q11" s="16" cm="1">
        <f t="array" ref="Q11">IFERROR(INDEX(_xlfn.ANCHORARRAY(_xlfn.XLOOKUP($C11,'-ref_Distribution'!$B$146:$B$150,'-ref_Distribution'!$G$146:$G$150)),RIGHT(Q$1,2)),"")</f>
        <v>221</v>
      </c>
      <c r="R11" s="16" cm="1">
        <f t="array" ref="R11">IFERROR(INDEX(_xlfn.ANCHORARRAY(_xlfn.XLOOKUP($C11,'-ref_Distribution'!$B$146:$B$150,'-ref_Distribution'!$G$146:$G$150)),RIGHT(R$1,2)),"")</f>
        <v>203</v>
      </c>
      <c r="S11" s="16" cm="1">
        <f t="array" ref="S11">IFERROR(INDEX(_xlfn.ANCHORARRAY(_xlfn.XLOOKUP($C11,'-ref_Distribution'!$B$146:$B$150,'-ref_Distribution'!$G$146:$G$150)),RIGHT(S$1,2)),"")</f>
        <v>183</v>
      </c>
      <c r="T11" s="16" cm="1">
        <f t="array" ref="T11">IFERROR(INDEX(_xlfn.ANCHORARRAY(_xlfn.XLOOKUP($C11,'-ref_Distribution'!$B$146:$B$150,'-ref_Distribution'!$G$146:$G$150)),RIGHT(T$1,2)),"")</f>
        <v>160</v>
      </c>
      <c r="U11" s="16" cm="1">
        <f t="array" ref="U11">IFERROR(INDEX(_xlfn.ANCHORARRAY(_xlfn.XLOOKUP($C11,'-ref_Distribution'!$B$146:$B$150,'-ref_Distribution'!$G$146:$G$150)),RIGHT(U$1,2)),"")</f>
        <v>137</v>
      </c>
      <c r="V11" s="16" cm="1">
        <f t="array" ref="V11">IFERROR(INDEX(_xlfn.ANCHORARRAY(_xlfn.XLOOKUP($C11,'-ref_Distribution'!$B$146:$B$150,'-ref_Distribution'!$G$146:$G$150)),RIGHT(V$1,2)),"")</f>
        <v>115</v>
      </c>
      <c r="W11" s="16" cm="1">
        <f t="array" ref="W11">IFERROR(INDEX(_xlfn.ANCHORARRAY(_xlfn.XLOOKUP($C11,'-ref_Distribution'!$B$146:$B$150,'-ref_Distribution'!$G$146:$G$150)),RIGHT(W$1,2)),"")</f>
        <v>94</v>
      </c>
      <c r="X11" s="16" cm="1">
        <f t="array" ref="X11">IFERROR(INDEX(_xlfn.ANCHORARRAY(_xlfn.XLOOKUP($C11,'-ref_Distribution'!$B$146:$B$150,'-ref_Distribution'!$G$146:$G$150)),RIGHT(X$1,2)),"")</f>
        <v>75</v>
      </c>
      <c r="Y11" s="16" cm="1">
        <f t="array" ref="Y11">IFERROR(INDEX(_xlfn.ANCHORARRAY(_xlfn.XLOOKUP($C11,'-ref_Distribution'!$B$146:$B$150,'-ref_Distribution'!$G$146:$G$150)),RIGHT(Y$1,2)),"")</f>
        <v>94</v>
      </c>
      <c r="Z11" s="16" cm="1">
        <f t="array" ref="Z11">IFERROR(INDEX(_xlfn.ANCHORARRAY(_xlfn.XLOOKUP($C11,'-ref_Distribution'!$B$146:$B$150,'-ref_Distribution'!$G$146:$G$150)),RIGHT(Z$1,2)),"")</f>
        <v>115</v>
      </c>
      <c r="AA11" s="16" cm="1">
        <f t="array" ref="AA11">IFERROR(INDEX(_xlfn.ANCHORARRAY(_xlfn.XLOOKUP($C11,'-ref_Distribution'!$B$146:$B$150,'-ref_Distribution'!$G$146:$G$150)),RIGHT(AA$1,2)),"")</f>
        <v>137</v>
      </c>
      <c r="AB11" s="16" cm="1">
        <f t="array" ref="AB11">IFERROR(INDEX(_xlfn.ANCHORARRAY(_xlfn.XLOOKUP($C11,'-ref_Distribution'!$B$146:$B$150,'-ref_Distribution'!$G$146:$G$150)),RIGHT(AB$1,2)),"")</f>
        <v>160</v>
      </c>
      <c r="AC11" s="16" cm="1">
        <f t="array" ref="AC11">IFERROR(INDEX(_xlfn.ANCHORARRAY(_xlfn.XLOOKUP($C11,'-ref_Distribution'!$B$146:$B$150,'-ref_Distribution'!$G$146:$G$150)),RIGHT(AC$1,2)),"")</f>
        <v>183</v>
      </c>
      <c r="AD11" s="16" cm="1">
        <f t="array" ref="AD11">IFERROR(INDEX(_xlfn.ANCHORARRAY(_xlfn.XLOOKUP($C11,'-ref_Distribution'!$B$146:$B$150,'-ref_Distribution'!$G$146:$G$150)),RIGHT(AD$1,2)),"")</f>
        <v>203</v>
      </c>
      <c r="AE11" s="16" cm="1">
        <f t="array" ref="AE11">IFERROR(INDEX(_xlfn.ANCHORARRAY(_xlfn.XLOOKUP($C11,'-ref_Distribution'!$B$146:$B$150,'-ref_Distribution'!$G$146:$G$150)),RIGHT(AE$1,2)),"")</f>
        <v>221</v>
      </c>
      <c r="AF11" s="16" cm="1">
        <f t="array" ref="AF11">IFERROR(INDEX(_xlfn.ANCHORARRAY(_xlfn.XLOOKUP($C11,'-ref_Distribution'!$B$146:$B$150,'-ref_Distribution'!$G$146:$G$150)),RIGHT(AF$1,2)),"")</f>
        <v>234</v>
      </c>
      <c r="AG11" s="16" cm="1">
        <f t="array" ref="AG11">IFERROR(INDEX(_xlfn.ANCHORARRAY(_xlfn.XLOOKUP($C11,'-ref_Distribution'!$B$146:$B$150,'-ref_Distribution'!$G$146:$G$150)),RIGHT(AG$1,2)),"")</f>
        <v>243</v>
      </c>
      <c r="AH11" s="16" cm="1">
        <f t="array" ref="AH11">IFERROR(INDEX(_xlfn.ANCHORARRAY(_xlfn.XLOOKUP($C11,'-ref_Distribution'!$B$146:$B$150,'-ref_Distribution'!$G$146:$G$150)),RIGHT(AH$1,2)),"")</f>
        <v>245</v>
      </c>
      <c r="AI11" s="16" cm="1">
        <f t="array" ref="AI11">IFERROR(INDEX(_xlfn.ANCHORARRAY(_xlfn.XLOOKUP($C11,'-ref_Distribution'!$B$146:$B$150,'-ref_Distribution'!$G$146:$G$150)),RIGHT(AI$1,2)),"")</f>
        <v>243</v>
      </c>
      <c r="AJ11" s="16" cm="1">
        <f t="array" ref="AJ11">IFERROR(INDEX(_xlfn.ANCHORARRAY(_xlfn.XLOOKUP($C11,'-ref_Distribution'!$B$146:$B$150,'-ref_Distribution'!$G$146:$G$150)),RIGHT(AJ$1,2)),"")</f>
        <v>234</v>
      </c>
      <c r="AK11" s="16" cm="1">
        <f t="array" ref="AK11">IFERROR(INDEX(_xlfn.ANCHORARRAY(_xlfn.XLOOKUP($C11,'-ref_Distribution'!$B$146:$B$150,'-ref_Distribution'!$G$146:$G$150)),RIGHT(AK$1,2)),"")</f>
        <v>221</v>
      </c>
      <c r="AL11" s="16" cm="1">
        <f t="array" ref="AL11">IFERROR(INDEX(_xlfn.ANCHORARRAY(_xlfn.XLOOKUP($C11,'-ref_Distribution'!$B$146:$B$150,'-ref_Distribution'!$G$146:$G$150)),RIGHT(AL$1,2)),"")</f>
        <v>203</v>
      </c>
      <c r="AM11" s="16" cm="1">
        <f t="array" ref="AM11">IFERROR(INDEX(_xlfn.ANCHORARRAY(_xlfn.XLOOKUP($C11,'-ref_Distribution'!$B$146:$B$150,'-ref_Distribution'!$G$146:$G$150)),RIGHT(AM$1,2)),"")</f>
        <v>183</v>
      </c>
      <c r="AN11" s="16" cm="1">
        <f t="array" ref="AN11">IFERROR(INDEX(_xlfn.ANCHORARRAY(_xlfn.XLOOKUP($C11,'-ref_Distribution'!$B$146:$B$150,'-ref_Distribution'!$G$146:$G$150)),RIGHT(AN$1,2)),"")</f>
        <v>160</v>
      </c>
      <c r="AO11" s="16" cm="1">
        <f t="array" ref="AO11">IFERROR(INDEX(_xlfn.ANCHORARRAY(_xlfn.XLOOKUP($C11,'-ref_Distribution'!$B$146:$B$150,'-ref_Distribution'!$G$146:$G$150)),RIGHT(AO$1,2)),"")</f>
        <v>137</v>
      </c>
      <c r="AP11" s="16" cm="1">
        <f t="array" ref="AP11">IFERROR(INDEX(_xlfn.ANCHORARRAY(_xlfn.XLOOKUP($C11,'-ref_Distribution'!$B$146:$B$150,'-ref_Distribution'!$G$146:$G$150)),RIGHT(AP$1,2)),"")</f>
        <v>115</v>
      </c>
      <c r="AQ11" s="16" cm="1">
        <f t="array" ref="AQ11">IFERROR(INDEX(_xlfn.ANCHORARRAY(_xlfn.XLOOKUP($C11,'-ref_Distribution'!$B$146:$B$150,'-ref_Distribution'!$G$146:$G$150)),RIGHT(AQ$1,2)),"")</f>
        <v>94</v>
      </c>
      <c r="AR11" s="16" cm="1">
        <f t="array" ref="AR11">IFERROR(INDEX(_xlfn.ANCHORARRAY(_xlfn.XLOOKUP($C11,'-ref_Distribution'!$B$146:$B$150,'-ref_Distribution'!$G$146:$G$150)),RIGHT(AR$1,2)),"")</f>
        <v>75</v>
      </c>
      <c r="AS11" s="16" cm="1">
        <f t="array" ref="AS11">IFERROR(INDEX(_xlfn.ANCHORARRAY(_xlfn.XLOOKUP($C11,'-ref_Distribution'!$B$146:$B$150,'-ref_Distribution'!$G$146:$G$150)),RIGHT(AS$1,2)),"")</f>
        <v>94</v>
      </c>
      <c r="AT11" s="16" cm="1">
        <f t="array" ref="AT11">IFERROR(INDEX(_xlfn.ANCHORARRAY(_xlfn.XLOOKUP($C11,'-ref_Distribution'!$B$146:$B$150,'-ref_Distribution'!$G$146:$G$150)),RIGHT(AT$1,2)),"")</f>
        <v>115</v>
      </c>
      <c r="AU11" s="16" cm="1">
        <f t="array" ref="AU11">IFERROR(INDEX(_xlfn.ANCHORARRAY(_xlfn.XLOOKUP($C11,'-ref_Distribution'!$B$146:$B$150,'-ref_Distribution'!$G$146:$G$150)),RIGHT(AU$1,2)),"")</f>
        <v>137</v>
      </c>
      <c r="AV11" s="16" cm="1">
        <f t="array" ref="AV11">IFERROR(INDEX(_xlfn.ANCHORARRAY(_xlfn.XLOOKUP($C11,'-ref_Distribution'!$B$146:$B$150,'-ref_Distribution'!$G$146:$G$150)),RIGHT(AV$1,2)),"")</f>
        <v>160</v>
      </c>
      <c r="AW11" s="16" cm="1">
        <f t="array" ref="AW11">IFERROR(INDEX(_xlfn.ANCHORARRAY(_xlfn.XLOOKUP($C11,'-ref_Distribution'!$B$146:$B$150,'-ref_Distribution'!$G$146:$G$150)),RIGHT(AW$1,2)),"")</f>
        <v>183</v>
      </c>
      <c r="AX11" s="16" cm="1">
        <f t="array" ref="AX11">IFERROR(INDEX(_xlfn.ANCHORARRAY(_xlfn.XLOOKUP($C11,'-ref_Distribution'!$B$146:$B$150,'-ref_Distribution'!$G$146:$G$150)),RIGHT(AX$1,2)),"")</f>
        <v>203</v>
      </c>
      <c r="AY11" s="16" cm="1">
        <f t="array" ref="AY11">IFERROR(INDEX(_xlfn.ANCHORARRAY(_xlfn.XLOOKUP($C11,'-ref_Distribution'!$B$146:$B$150,'-ref_Distribution'!$G$146:$G$150)),RIGHT(AY$1,2)),"")</f>
        <v>221</v>
      </c>
      <c r="AZ11" s="16" cm="1">
        <f t="array" ref="AZ11">IFERROR(INDEX(_xlfn.ANCHORARRAY(_xlfn.XLOOKUP($C11,'-ref_Distribution'!$B$146:$B$150,'-ref_Distribution'!$G$146:$G$150)),RIGHT(AZ$1,2)),"")</f>
        <v>234</v>
      </c>
      <c r="BA11" s="16" cm="1">
        <f t="array" ref="BA11">IFERROR(INDEX(_xlfn.ANCHORARRAY(_xlfn.XLOOKUP($C11,'-ref_Distribution'!$B$146:$B$150,'-ref_Distribution'!$G$146:$G$150)),RIGHT(BA$1,2)),"")</f>
        <v>243</v>
      </c>
      <c r="BB11" s="16" cm="1">
        <f t="array" ref="BB11">IFERROR(INDEX(_xlfn.ANCHORARRAY(_xlfn.XLOOKUP($C11,'-ref_Distribution'!$B$146:$B$150,'-ref_Distribution'!$G$146:$G$150)),RIGHT(BB$1,2)),"")</f>
        <v>245</v>
      </c>
      <c r="BC11" s="16" cm="1">
        <f t="array" ref="BC11">IFERROR(INDEX(_xlfn.ANCHORARRAY(_xlfn.XLOOKUP($C11,'-ref_Distribution'!$B$146:$B$150,'-ref_Distribution'!$G$146:$G$150)),RIGHT(BC$1,2)),"")</f>
        <v>243</v>
      </c>
      <c r="BD11" s="16" cm="1">
        <f t="array" ref="BD11">IFERROR(INDEX(_xlfn.ANCHORARRAY(_xlfn.XLOOKUP($C11,'-ref_Distribution'!$B$146:$B$150,'-ref_Distribution'!$G$146:$G$150)),RIGHT(BD$1,2)),"")</f>
        <v>234</v>
      </c>
      <c r="BE11" s="16" cm="1">
        <f t="array" ref="BE11">IFERROR(INDEX(_xlfn.ANCHORARRAY(_xlfn.XLOOKUP($C11,'-ref_Distribution'!$B$146:$B$150,'-ref_Distribution'!$G$146:$G$150)),RIGHT(BE$1,2)),"")</f>
        <v>221</v>
      </c>
      <c r="BF11" s="16" cm="1">
        <f t="array" ref="BF11">IFERROR(INDEX(_xlfn.ANCHORARRAY(_xlfn.XLOOKUP($C11,'-ref_Distribution'!$B$146:$B$150,'-ref_Distribution'!$G$146:$G$150)),RIGHT(BF$1,2)),"")</f>
        <v>203</v>
      </c>
      <c r="BG11" s="16" cm="1">
        <f t="array" ref="BG11">IFERROR(INDEX(_xlfn.ANCHORARRAY(_xlfn.XLOOKUP($C11,'-ref_Distribution'!$B$146:$B$150,'-ref_Distribution'!$G$146:$G$150)),RIGHT(BG$1,2)),"")</f>
        <v>183</v>
      </c>
      <c r="BH11" s="16" cm="1">
        <f t="array" ref="BH11">IFERROR(INDEX(_xlfn.ANCHORARRAY(_xlfn.XLOOKUP($C11,'-ref_Distribution'!$B$146:$B$150,'-ref_Distribution'!$G$146:$G$150)),RIGHT(BH$1,2)),"")</f>
        <v>160</v>
      </c>
      <c r="BI11" s="16" cm="1">
        <f t="array" ref="BI11">IFERROR(INDEX(_xlfn.ANCHORARRAY(_xlfn.XLOOKUP($C11,'-ref_Distribution'!$B$146:$B$150,'-ref_Distribution'!$G$146:$G$150)),RIGHT(BI$1,2)),"")</f>
        <v>137</v>
      </c>
      <c r="BJ11" s="16" cm="1">
        <f t="array" ref="BJ11">IFERROR(INDEX(_xlfn.ANCHORARRAY(_xlfn.XLOOKUP($C11,'-ref_Distribution'!$B$146:$B$150,'-ref_Distribution'!$G$146:$G$150)),RIGHT(BJ$1,2)),"")</f>
        <v>115</v>
      </c>
      <c r="BK11" s="16" cm="1">
        <f t="array" ref="BK11">IFERROR(INDEX(_xlfn.ANCHORARRAY(_xlfn.XLOOKUP($C11,'-ref_Distribution'!$B$146:$B$150,'-ref_Distribution'!$G$146:$G$150)),RIGHT(BK$1,2)),"")</f>
        <v>94</v>
      </c>
      <c r="BL11" s="16" cm="1">
        <f t="array" ref="BL11">IFERROR(INDEX(_xlfn.ANCHORARRAY(_xlfn.XLOOKUP($C11,'-ref_Distribution'!$B$146:$B$150,'-ref_Distribution'!$G$146:$G$150)),RIGHT(BL$1,2)),"")</f>
        <v>75</v>
      </c>
      <c r="BM11" s="16" cm="1">
        <f t="array" ref="BM11">IFERROR(INDEX(_xlfn.ANCHORARRAY(_xlfn.XLOOKUP($C11,'-ref_Distribution'!$B$146:$B$150,'-ref_Distribution'!$G$146:$G$150)),RIGHT(BM$1,2)),"")</f>
        <v>94</v>
      </c>
      <c r="BN11" s="16" cm="1">
        <f t="array" ref="BN11">IFERROR(INDEX(_xlfn.ANCHORARRAY(_xlfn.XLOOKUP($C11,'-ref_Distribution'!$B$146:$B$150,'-ref_Distribution'!$G$146:$G$150)),RIGHT(BN$1,2)),"")</f>
        <v>115</v>
      </c>
      <c r="BO11" s="16" cm="1">
        <f t="array" ref="BO11">IFERROR(INDEX(_xlfn.ANCHORARRAY(_xlfn.XLOOKUP($C11,'-ref_Distribution'!$B$146:$B$150,'-ref_Distribution'!$G$146:$G$150)),RIGHT(BO$1,2)),"")</f>
        <v>137</v>
      </c>
      <c r="BP11" s="16" cm="1">
        <f t="array" ref="BP11">IFERROR(INDEX(_xlfn.ANCHORARRAY(_xlfn.XLOOKUP($C11,'-ref_Distribution'!$B$146:$B$150,'-ref_Distribution'!$G$146:$G$150)),RIGHT(BP$1,2)),"")</f>
        <v>160</v>
      </c>
      <c r="BQ11" s="16" cm="1">
        <f t="array" ref="BQ11">IFERROR(INDEX(_xlfn.ANCHORARRAY(_xlfn.XLOOKUP($C11,'-ref_Distribution'!$B$146:$B$150,'-ref_Distribution'!$G$146:$G$150)),RIGHT(BQ$1,2)),"")</f>
        <v>183</v>
      </c>
      <c r="BR11" s="16" cm="1">
        <f t="array" ref="BR11">IFERROR(INDEX(_xlfn.ANCHORARRAY(_xlfn.XLOOKUP($C11,'-ref_Distribution'!$B$146:$B$150,'-ref_Distribution'!$G$146:$G$150)),RIGHT(BR$1,2)),"")</f>
        <v>203</v>
      </c>
      <c r="BS11" s="16" cm="1">
        <f t="array" ref="BS11">IFERROR(INDEX(_xlfn.ANCHORARRAY(_xlfn.XLOOKUP($C11,'-ref_Distribution'!$B$146:$B$150,'-ref_Distribution'!$G$146:$G$150)),RIGHT(BS$1,2)),"")</f>
        <v>221</v>
      </c>
      <c r="BT11" s="16" cm="1">
        <f t="array" ref="BT11">IFERROR(INDEX(_xlfn.ANCHORARRAY(_xlfn.XLOOKUP($C11,'-ref_Distribution'!$B$146:$B$150,'-ref_Distribution'!$G$146:$G$150)),RIGHT(BT$1,2)),"")</f>
        <v>234</v>
      </c>
      <c r="BU11" s="16" cm="1">
        <f t="array" ref="BU11">IFERROR(INDEX(_xlfn.ANCHORARRAY(_xlfn.XLOOKUP($C11,'-ref_Distribution'!$B$146:$B$150,'-ref_Distribution'!$G$146:$G$150)),RIGHT(BU$1,2)),"")</f>
        <v>243</v>
      </c>
      <c r="BV11" s="16" cm="1">
        <f t="array" ref="BV11">IFERROR(INDEX(_xlfn.ANCHORARRAY(_xlfn.XLOOKUP($C11,'-ref_Distribution'!$B$146:$B$150,'-ref_Distribution'!$G$146:$G$150)),RIGHT(BV$1,2)),"")</f>
        <v>245</v>
      </c>
      <c r="BW11" s="16" cm="1">
        <f t="array" ref="BW11">IFERROR(INDEX(_xlfn.ANCHORARRAY(_xlfn.XLOOKUP($C11,'-ref_Distribution'!$B$146:$B$150,'-ref_Distribution'!$G$146:$G$150)),RIGHT(BW$1,2)),"")</f>
        <v>243</v>
      </c>
      <c r="BX11" s="16" cm="1">
        <f t="array" ref="BX11">IFERROR(INDEX(_xlfn.ANCHORARRAY(_xlfn.XLOOKUP($C11,'-ref_Distribution'!$B$146:$B$150,'-ref_Distribution'!$G$146:$G$150)),RIGHT(BX$1,2)),"")</f>
        <v>234</v>
      </c>
      <c r="BY11" s="16" cm="1">
        <f t="array" ref="BY11">IFERROR(INDEX(_xlfn.ANCHORARRAY(_xlfn.XLOOKUP($C11,'-ref_Distribution'!$B$146:$B$150,'-ref_Distribution'!$G$146:$G$150)),RIGHT(BY$1,2)),"")</f>
        <v>221</v>
      </c>
      <c r="BZ11" s="16" cm="1">
        <f t="array" ref="BZ11">IFERROR(INDEX(_xlfn.ANCHORARRAY(_xlfn.XLOOKUP($C11,'-ref_Distribution'!$B$146:$B$150,'-ref_Distribution'!$G$146:$G$150)),RIGHT(BZ$1,2)),"")</f>
        <v>203</v>
      </c>
      <c r="CA11" s="16" cm="1">
        <f t="array" ref="CA11">IFERROR(INDEX(_xlfn.ANCHORARRAY(_xlfn.XLOOKUP($C11,'-ref_Distribution'!$B$146:$B$150,'-ref_Distribution'!$G$146:$G$150)),RIGHT(CA$1,2)),"")</f>
        <v>183</v>
      </c>
      <c r="CB11" s="16" cm="1">
        <f t="array" ref="CB11">IFERROR(INDEX(_xlfn.ANCHORARRAY(_xlfn.XLOOKUP($C11,'-ref_Distribution'!$B$146:$B$150,'-ref_Distribution'!$G$146:$G$150)),RIGHT(CB$1,2)),"")</f>
        <v>160</v>
      </c>
      <c r="CC11" s="16" cm="1">
        <f t="array" ref="CC11">IFERROR(INDEX(_xlfn.ANCHORARRAY(_xlfn.XLOOKUP($C11,'-ref_Distribution'!$B$146:$B$150,'-ref_Distribution'!$G$146:$G$150)),RIGHT(CC$1,2)),"")</f>
        <v>137</v>
      </c>
      <c r="CD11" s="16" cm="1">
        <f t="array" ref="CD11">IFERROR(INDEX(_xlfn.ANCHORARRAY(_xlfn.XLOOKUP($C11,'-ref_Distribution'!$B$146:$B$150,'-ref_Distribution'!$G$146:$G$150)),RIGHT(CD$1,2)),"")</f>
        <v>115</v>
      </c>
      <c r="CE11" s="16" cm="1">
        <f t="array" ref="CE11">IFERROR(INDEX(_xlfn.ANCHORARRAY(_xlfn.XLOOKUP($C11,'-ref_Distribution'!$B$146:$B$150,'-ref_Distribution'!$G$146:$G$150)),RIGHT(CE$1,2)),"")</f>
        <v>94</v>
      </c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</row>
    <row r="12" spans="1:95" x14ac:dyDescent="0.2">
      <c r="A12" s="16">
        <v>300034</v>
      </c>
      <c r="B12" s="16" t="s">
        <v>201</v>
      </c>
      <c r="C12" s="16">
        <v>3</v>
      </c>
      <c r="D12" s="16" cm="1">
        <f t="array" ref="D12">IFERROR(INDEX(_xlfn.ANCHORARRAY(_xlfn.XLOOKUP($C12,'-ref_Distribution'!$B$146:$B$150,'-ref_Distribution'!$G$146:$G$150)),RIGHT(D$1,2)),"")</f>
        <v>4</v>
      </c>
      <c r="E12" s="16" cm="1">
        <f t="array" ref="E12">IFERROR(INDEX(_xlfn.ANCHORARRAY(_xlfn.XLOOKUP($C12,'-ref_Distribution'!$B$146:$B$150,'-ref_Distribution'!$G$146:$G$150)),RIGHT(E$1,2)),"")</f>
        <v>6</v>
      </c>
      <c r="F12" s="16" cm="1">
        <f t="array" ref="F12">IFERROR(INDEX(_xlfn.ANCHORARRAY(_xlfn.XLOOKUP($C12,'-ref_Distribution'!$B$146:$B$150,'-ref_Distribution'!$G$146:$G$150)),RIGHT(F$1,2)),"")</f>
        <v>9</v>
      </c>
      <c r="G12" s="16" cm="1">
        <f t="array" ref="G12">IFERROR(INDEX(_xlfn.ANCHORARRAY(_xlfn.XLOOKUP($C12,'-ref_Distribution'!$B$146:$B$150,'-ref_Distribution'!$G$146:$G$150)),RIGHT(G$1,2)),"")</f>
        <v>14</v>
      </c>
      <c r="H12" s="16" cm="1">
        <f t="array" ref="H12">IFERROR(INDEX(_xlfn.ANCHORARRAY(_xlfn.XLOOKUP($C12,'-ref_Distribution'!$B$146:$B$150,'-ref_Distribution'!$G$146:$G$150)),RIGHT(H$1,2)),"")</f>
        <v>20</v>
      </c>
      <c r="I12" s="16" cm="1">
        <f t="array" ref="I12">IFERROR(INDEX(_xlfn.ANCHORARRAY(_xlfn.XLOOKUP($C12,'-ref_Distribution'!$B$146:$B$150,'-ref_Distribution'!$G$146:$G$150)),RIGHT(I$1,2)),"")</f>
        <v>28</v>
      </c>
      <c r="J12" s="16" cm="1">
        <f t="array" ref="J12">IFERROR(INDEX(_xlfn.ANCHORARRAY(_xlfn.XLOOKUP($C12,'-ref_Distribution'!$B$146:$B$150,'-ref_Distribution'!$G$146:$G$150)),RIGHT(J$1,2)),"")</f>
        <v>38</v>
      </c>
      <c r="K12" s="16" cm="1">
        <f t="array" ref="K12">IFERROR(INDEX(_xlfn.ANCHORARRAY(_xlfn.XLOOKUP($C12,'-ref_Distribution'!$B$146:$B$150,'-ref_Distribution'!$G$146:$G$150)),RIGHT(K$1,2)),"")</f>
        <v>51</v>
      </c>
      <c r="L12" s="16" cm="1">
        <f t="array" ref="L12">IFERROR(INDEX(_xlfn.ANCHORARRAY(_xlfn.XLOOKUP($C12,'-ref_Distribution'!$B$146:$B$150,'-ref_Distribution'!$G$146:$G$150)),RIGHT(L$1,2)),"")</f>
        <v>65</v>
      </c>
      <c r="M12" s="16" cm="1">
        <f t="array" ref="M12">IFERROR(INDEX(_xlfn.ANCHORARRAY(_xlfn.XLOOKUP($C12,'-ref_Distribution'!$B$146:$B$150,'-ref_Distribution'!$G$146:$G$150)),RIGHT(M$1,2)),"")</f>
        <v>80</v>
      </c>
      <c r="N12" s="16" cm="1">
        <f t="array" ref="N12">IFERROR(INDEX(_xlfn.ANCHORARRAY(_xlfn.XLOOKUP($C12,'-ref_Distribution'!$B$146:$B$150,'-ref_Distribution'!$G$146:$G$150)),RIGHT(N$1,2)),"")</f>
        <v>96</v>
      </c>
      <c r="O12" s="16" cm="1">
        <f t="array" ref="O12">IFERROR(INDEX(_xlfn.ANCHORARRAY(_xlfn.XLOOKUP($C12,'-ref_Distribution'!$B$146:$B$150,'-ref_Distribution'!$G$146:$G$150)),RIGHT(O$1,2)),"")</f>
        <v>111</v>
      </c>
      <c r="P12" s="16" cm="1">
        <f t="array" ref="P12">IFERROR(INDEX(_xlfn.ANCHORARRAY(_xlfn.XLOOKUP($C12,'-ref_Distribution'!$B$146:$B$150,'-ref_Distribution'!$G$146:$G$150)),RIGHT(P$1,2)),"")</f>
        <v>125</v>
      </c>
      <c r="Q12" s="16" cm="1">
        <f t="array" ref="Q12">IFERROR(INDEX(_xlfn.ANCHORARRAY(_xlfn.XLOOKUP($C12,'-ref_Distribution'!$B$146:$B$150,'-ref_Distribution'!$G$146:$G$150)),RIGHT(Q$1,2)),"")</f>
        <v>135</v>
      </c>
      <c r="R12" s="16" cm="1">
        <f t="array" ref="R12">IFERROR(INDEX(_xlfn.ANCHORARRAY(_xlfn.XLOOKUP($C12,'-ref_Distribution'!$B$146:$B$150,'-ref_Distribution'!$G$146:$G$150)),RIGHT(R$1,2)),"")</f>
        <v>142</v>
      </c>
      <c r="S12" s="16" cm="1">
        <f t="array" ref="S12">IFERROR(INDEX(_xlfn.ANCHORARRAY(_xlfn.XLOOKUP($C12,'-ref_Distribution'!$B$146:$B$150,'-ref_Distribution'!$G$146:$G$150)),RIGHT(S$1,2)),"")</f>
        <v>144</v>
      </c>
      <c r="T12" s="16" cm="1">
        <f t="array" ref="T12">IFERROR(INDEX(_xlfn.ANCHORARRAY(_xlfn.XLOOKUP($C12,'-ref_Distribution'!$B$146:$B$150,'-ref_Distribution'!$G$146:$G$150)),RIGHT(T$1,2)),"")</f>
        <v>142</v>
      </c>
      <c r="U12" s="16" cm="1">
        <f t="array" ref="U12">IFERROR(INDEX(_xlfn.ANCHORARRAY(_xlfn.XLOOKUP($C12,'-ref_Distribution'!$B$146:$B$150,'-ref_Distribution'!$G$146:$G$150)),RIGHT(U$1,2)),"")</f>
        <v>135</v>
      </c>
      <c r="V12" s="16" cm="1">
        <f t="array" ref="V12">IFERROR(INDEX(_xlfn.ANCHORARRAY(_xlfn.XLOOKUP($C12,'-ref_Distribution'!$B$146:$B$150,'-ref_Distribution'!$G$146:$G$150)),RIGHT(V$1,2)),"")</f>
        <v>125</v>
      </c>
      <c r="W12" s="16" cm="1">
        <f t="array" ref="W12">IFERROR(INDEX(_xlfn.ANCHORARRAY(_xlfn.XLOOKUP($C12,'-ref_Distribution'!$B$146:$B$150,'-ref_Distribution'!$G$146:$G$150)),RIGHT(W$1,2)),"")</f>
        <v>111</v>
      </c>
      <c r="X12" s="16" cm="1">
        <f t="array" ref="X12">IFERROR(INDEX(_xlfn.ANCHORARRAY(_xlfn.XLOOKUP($C12,'-ref_Distribution'!$B$146:$B$150,'-ref_Distribution'!$G$146:$G$150)),RIGHT(X$1,2)),"")</f>
        <v>4</v>
      </c>
      <c r="Y12" s="16" cm="1">
        <f t="array" ref="Y12">IFERROR(INDEX(_xlfn.ANCHORARRAY(_xlfn.XLOOKUP($C12,'-ref_Distribution'!$B$146:$B$150,'-ref_Distribution'!$G$146:$G$150)),RIGHT(Y$1,2)),"")</f>
        <v>6</v>
      </c>
      <c r="Z12" s="16" cm="1">
        <f t="array" ref="Z12">IFERROR(INDEX(_xlfn.ANCHORARRAY(_xlfn.XLOOKUP($C12,'-ref_Distribution'!$B$146:$B$150,'-ref_Distribution'!$G$146:$G$150)),RIGHT(Z$1,2)),"")</f>
        <v>9</v>
      </c>
      <c r="AA12" s="16" cm="1">
        <f t="array" ref="AA12">IFERROR(INDEX(_xlfn.ANCHORARRAY(_xlfn.XLOOKUP($C12,'-ref_Distribution'!$B$146:$B$150,'-ref_Distribution'!$G$146:$G$150)),RIGHT(AA$1,2)),"")</f>
        <v>14</v>
      </c>
      <c r="AB12" s="16" cm="1">
        <f t="array" ref="AB12">IFERROR(INDEX(_xlfn.ANCHORARRAY(_xlfn.XLOOKUP($C12,'-ref_Distribution'!$B$146:$B$150,'-ref_Distribution'!$G$146:$G$150)),RIGHT(AB$1,2)),"")</f>
        <v>20</v>
      </c>
      <c r="AC12" s="16" cm="1">
        <f t="array" ref="AC12">IFERROR(INDEX(_xlfn.ANCHORARRAY(_xlfn.XLOOKUP($C12,'-ref_Distribution'!$B$146:$B$150,'-ref_Distribution'!$G$146:$G$150)),RIGHT(AC$1,2)),"")</f>
        <v>28</v>
      </c>
      <c r="AD12" s="16" cm="1">
        <f t="array" ref="AD12">IFERROR(INDEX(_xlfn.ANCHORARRAY(_xlfn.XLOOKUP($C12,'-ref_Distribution'!$B$146:$B$150,'-ref_Distribution'!$G$146:$G$150)),RIGHT(AD$1,2)),"")</f>
        <v>38</v>
      </c>
      <c r="AE12" s="16" cm="1">
        <f t="array" ref="AE12">IFERROR(INDEX(_xlfn.ANCHORARRAY(_xlfn.XLOOKUP($C12,'-ref_Distribution'!$B$146:$B$150,'-ref_Distribution'!$G$146:$G$150)),RIGHT(AE$1,2)),"")</f>
        <v>51</v>
      </c>
      <c r="AF12" s="16" cm="1">
        <f t="array" ref="AF12">IFERROR(INDEX(_xlfn.ANCHORARRAY(_xlfn.XLOOKUP($C12,'-ref_Distribution'!$B$146:$B$150,'-ref_Distribution'!$G$146:$G$150)),RIGHT(AF$1,2)),"")</f>
        <v>65</v>
      </c>
      <c r="AG12" s="16" cm="1">
        <f t="array" ref="AG12">IFERROR(INDEX(_xlfn.ANCHORARRAY(_xlfn.XLOOKUP($C12,'-ref_Distribution'!$B$146:$B$150,'-ref_Distribution'!$G$146:$G$150)),RIGHT(AG$1,2)),"")</f>
        <v>80</v>
      </c>
      <c r="AH12" s="16" cm="1">
        <f t="array" ref="AH12">IFERROR(INDEX(_xlfn.ANCHORARRAY(_xlfn.XLOOKUP($C12,'-ref_Distribution'!$B$146:$B$150,'-ref_Distribution'!$G$146:$G$150)),RIGHT(AH$1,2)),"")</f>
        <v>96</v>
      </c>
      <c r="AI12" s="16" cm="1">
        <f t="array" ref="AI12">IFERROR(INDEX(_xlfn.ANCHORARRAY(_xlfn.XLOOKUP($C12,'-ref_Distribution'!$B$146:$B$150,'-ref_Distribution'!$G$146:$G$150)),RIGHT(AI$1,2)),"")</f>
        <v>111</v>
      </c>
      <c r="AJ12" s="16" cm="1">
        <f t="array" ref="AJ12">IFERROR(INDEX(_xlfn.ANCHORARRAY(_xlfn.XLOOKUP($C12,'-ref_Distribution'!$B$146:$B$150,'-ref_Distribution'!$G$146:$G$150)),RIGHT(AJ$1,2)),"")</f>
        <v>125</v>
      </c>
      <c r="AK12" s="16" cm="1">
        <f t="array" ref="AK12">IFERROR(INDEX(_xlfn.ANCHORARRAY(_xlfn.XLOOKUP($C12,'-ref_Distribution'!$B$146:$B$150,'-ref_Distribution'!$G$146:$G$150)),RIGHT(AK$1,2)),"")</f>
        <v>135</v>
      </c>
      <c r="AL12" s="16" cm="1">
        <f t="array" ref="AL12">IFERROR(INDEX(_xlfn.ANCHORARRAY(_xlfn.XLOOKUP($C12,'-ref_Distribution'!$B$146:$B$150,'-ref_Distribution'!$G$146:$G$150)),RIGHT(AL$1,2)),"")</f>
        <v>142</v>
      </c>
      <c r="AM12" s="16" cm="1">
        <f t="array" ref="AM12">IFERROR(INDEX(_xlfn.ANCHORARRAY(_xlfn.XLOOKUP($C12,'-ref_Distribution'!$B$146:$B$150,'-ref_Distribution'!$G$146:$G$150)),RIGHT(AM$1,2)),"")</f>
        <v>144</v>
      </c>
      <c r="AN12" s="16" cm="1">
        <f t="array" ref="AN12">IFERROR(INDEX(_xlfn.ANCHORARRAY(_xlfn.XLOOKUP($C12,'-ref_Distribution'!$B$146:$B$150,'-ref_Distribution'!$G$146:$G$150)),RIGHT(AN$1,2)),"")</f>
        <v>142</v>
      </c>
      <c r="AO12" s="16" cm="1">
        <f t="array" ref="AO12">IFERROR(INDEX(_xlfn.ANCHORARRAY(_xlfn.XLOOKUP($C12,'-ref_Distribution'!$B$146:$B$150,'-ref_Distribution'!$G$146:$G$150)),RIGHT(AO$1,2)),"")</f>
        <v>135</v>
      </c>
      <c r="AP12" s="16" cm="1">
        <f t="array" ref="AP12">IFERROR(INDEX(_xlfn.ANCHORARRAY(_xlfn.XLOOKUP($C12,'-ref_Distribution'!$B$146:$B$150,'-ref_Distribution'!$G$146:$G$150)),RIGHT(AP$1,2)),"")</f>
        <v>125</v>
      </c>
      <c r="AQ12" s="16" cm="1">
        <f t="array" ref="AQ12">IFERROR(INDEX(_xlfn.ANCHORARRAY(_xlfn.XLOOKUP($C12,'-ref_Distribution'!$B$146:$B$150,'-ref_Distribution'!$G$146:$G$150)),RIGHT(AQ$1,2)),"")</f>
        <v>111</v>
      </c>
      <c r="AR12" s="16" cm="1">
        <f t="array" ref="AR12">IFERROR(INDEX(_xlfn.ANCHORARRAY(_xlfn.XLOOKUP($C12,'-ref_Distribution'!$B$146:$B$150,'-ref_Distribution'!$G$146:$G$150)),RIGHT(AR$1,2)),"")</f>
        <v>4</v>
      </c>
      <c r="AS12" s="16" cm="1">
        <f t="array" ref="AS12">IFERROR(INDEX(_xlfn.ANCHORARRAY(_xlfn.XLOOKUP($C12,'-ref_Distribution'!$B$146:$B$150,'-ref_Distribution'!$G$146:$G$150)),RIGHT(AS$1,2)),"")</f>
        <v>6</v>
      </c>
      <c r="AT12" s="16" cm="1">
        <f t="array" ref="AT12">IFERROR(INDEX(_xlfn.ANCHORARRAY(_xlfn.XLOOKUP($C12,'-ref_Distribution'!$B$146:$B$150,'-ref_Distribution'!$G$146:$G$150)),RIGHT(AT$1,2)),"")</f>
        <v>9</v>
      </c>
      <c r="AU12" s="16" cm="1">
        <f t="array" ref="AU12">IFERROR(INDEX(_xlfn.ANCHORARRAY(_xlfn.XLOOKUP($C12,'-ref_Distribution'!$B$146:$B$150,'-ref_Distribution'!$G$146:$G$150)),RIGHT(AU$1,2)),"")</f>
        <v>14</v>
      </c>
      <c r="AV12" s="16" cm="1">
        <f t="array" ref="AV12">IFERROR(INDEX(_xlfn.ANCHORARRAY(_xlfn.XLOOKUP($C12,'-ref_Distribution'!$B$146:$B$150,'-ref_Distribution'!$G$146:$G$150)),RIGHT(AV$1,2)),"")</f>
        <v>20</v>
      </c>
      <c r="AW12" s="16" cm="1">
        <f t="array" ref="AW12">IFERROR(INDEX(_xlfn.ANCHORARRAY(_xlfn.XLOOKUP($C12,'-ref_Distribution'!$B$146:$B$150,'-ref_Distribution'!$G$146:$G$150)),RIGHT(AW$1,2)),"")</f>
        <v>28</v>
      </c>
      <c r="AX12" s="16" cm="1">
        <f t="array" ref="AX12">IFERROR(INDEX(_xlfn.ANCHORARRAY(_xlfn.XLOOKUP($C12,'-ref_Distribution'!$B$146:$B$150,'-ref_Distribution'!$G$146:$G$150)),RIGHT(AX$1,2)),"")</f>
        <v>38</v>
      </c>
      <c r="AY12" s="16" cm="1">
        <f t="array" ref="AY12">IFERROR(INDEX(_xlfn.ANCHORARRAY(_xlfn.XLOOKUP($C12,'-ref_Distribution'!$B$146:$B$150,'-ref_Distribution'!$G$146:$G$150)),RIGHT(AY$1,2)),"")</f>
        <v>51</v>
      </c>
      <c r="AZ12" s="16" cm="1">
        <f t="array" ref="AZ12">IFERROR(INDEX(_xlfn.ANCHORARRAY(_xlfn.XLOOKUP($C12,'-ref_Distribution'!$B$146:$B$150,'-ref_Distribution'!$G$146:$G$150)),RIGHT(AZ$1,2)),"")</f>
        <v>65</v>
      </c>
      <c r="BA12" s="16" cm="1">
        <f t="array" ref="BA12">IFERROR(INDEX(_xlfn.ANCHORARRAY(_xlfn.XLOOKUP($C12,'-ref_Distribution'!$B$146:$B$150,'-ref_Distribution'!$G$146:$G$150)),RIGHT(BA$1,2)),"")</f>
        <v>80</v>
      </c>
      <c r="BB12" s="16" cm="1">
        <f t="array" ref="BB12">IFERROR(INDEX(_xlfn.ANCHORARRAY(_xlfn.XLOOKUP($C12,'-ref_Distribution'!$B$146:$B$150,'-ref_Distribution'!$G$146:$G$150)),RIGHT(BB$1,2)),"")</f>
        <v>96</v>
      </c>
      <c r="BC12" s="16" cm="1">
        <f t="array" ref="BC12">IFERROR(INDEX(_xlfn.ANCHORARRAY(_xlfn.XLOOKUP($C12,'-ref_Distribution'!$B$146:$B$150,'-ref_Distribution'!$G$146:$G$150)),RIGHT(BC$1,2)),"")</f>
        <v>111</v>
      </c>
      <c r="BD12" s="16" cm="1">
        <f t="array" ref="BD12">IFERROR(INDEX(_xlfn.ANCHORARRAY(_xlfn.XLOOKUP($C12,'-ref_Distribution'!$B$146:$B$150,'-ref_Distribution'!$G$146:$G$150)),RIGHT(BD$1,2)),"")</f>
        <v>125</v>
      </c>
      <c r="BE12" s="16" cm="1">
        <f t="array" ref="BE12">IFERROR(INDEX(_xlfn.ANCHORARRAY(_xlfn.XLOOKUP($C12,'-ref_Distribution'!$B$146:$B$150,'-ref_Distribution'!$G$146:$G$150)),RIGHT(BE$1,2)),"")</f>
        <v>135</v>
      </c>
      <c r="BF12" s="16" cm="1">
        <f t="array" ref="BF12">IFERROR(INDEX(_xlfn.ANCHORARRAY(_xlfn.XLOOKUP($C12,'-ref_Distribution'!$B$146:$B$150,'-ref_Distribution'!$G$146:$G$150)),RIGHT(BF$1,2)),"")</f>
        <v>142</v>
      </c>
      <c r="BG12" s="16" cm="1">
        <f t="array" ref="BG12">IFERROR(INDEX(_xlfn.ANCHORARRAY(_xlfn.XLOOKUP($C12,'-ref_Distribution'!$B$146:$B$150,'-ref_Distribution'!$G$146:$G$150)),RIGHT(BG$1,2)),"")</f>
        <v>144</v>
      </c>
      <c r="BH12" s="16" cm="1">
        <f t="array" ref="BH12">IFERROR(INDEX(_xlfn.ANCHORARRAY(_xlfn.XLOOKUP($C12,'-ref_Distribution'!$B$146:$B$150,'-ref_Distribution'!$G$146:$G$150)),RIGHT(BH$1,2)),"")</f>
        <v>142</v>
      </c>
      <c r="BI12" s="16" cm="1">
        <f t="array" ref="BI12">IFERROR(INDEX(_xlfn.ANCHORARRAY(_xlfn.XLOOKUP($C12,'-ref_Distribution'!$B$146:$B$150,'-ref_Distribution'!$G$146:$G$150)),RIGHT(BI$1,2)),"")</f>
        <v>135</v>
      </c>
      <c r="BJ12" s="16" cm="1">
        <f t="array" ref="BJ12">IFERROR(INDEX(_xlfn.ANCHORARRAY(_xlfn.XLOOKUP($C12,'-ref_Distribution'!$B$146:$B$150,'-ref_Distribution'!$G$146:$G$150)),RIGHT(BJ$1,2)),"")</f>
        <v>125</v>
      </c>
      <c r="BK12" s="16" cm="1">
        <f t="array" ref="BK12">IFERROR(INDEX(_xlfn.ANCHORARRAY(_xlfn.XLOOKUP($C12,'-ref_Distribution'!$B$146:$B$150,'-ref_Distribution'!$G$146:$G$150)),RIGHT(BK$1,2)),"")</f>
        <v>111</v>
      </c>
      <c r="BL12" s="16" cm="1">
        <f t="array" ref="BL12">IFERROR(INDEX(_xlfn.ANCHORARRAY(_xlfn.XLOOKUP($C12,'-ref_Distribution'!$B$146:$B$150,'-ref_Distribution'!$G$146:$G$150)),RIGHT(BL$1,2)),"")</f>
        <v>4</v>
      </c>
      <c r="BM12" s="16" cm="1">
        <f t="array" ref="BM12">IFERROR(INDEX(_xlfn.ANCHORARRAY(_xlfn.XLOOKUP($C12,'-ref_Distribution'!$B$146:$B$150,'-ref_Distribution'!$G$146:$G$150)),RIGHT(BM$1,2)),"")</f>
        <v>6</v>
      </c>
      <c r="BN12" s="16" cm="1">
        <f t="array" ref="BN12">IFERROR(INDEX(_xlfn.ANCHORARRAY(_xlfn.XLOOKUP($C12,'-ref_Distribution'!$B$146:$B$150,'-ref_Distribution'!$G$146:$G$150)),RIGHT(BN$1,2)),"")</f>
        <v>9</v>
      </c>
      <c r="BO12" s="16" cm="1">
        <f t="array" ref="BO12">IFERROR(INDEX(_xlfn.ANCHORARRAY(_xlfn.XLOOKUP($C12,'-ref_Distribution'!$B$146:$B$150,'-ref_Distribution'!$G$146:$G$150)),RIGHT(BO$1,2)),"")</f>
        <v>14</v>
      </c>
      <c r="BP12" s="16" cm="1">
        <f t="array" ref="BP12">IFERROR(INDEX(_xlfn.ANCHORARRAY(_xlfn.XLOOKUP($C12,'-ref_Distribution'!$B$146:$B$150,'-ref_Distribution'!$G$146:$G$150)),RIGHT(BP$1,2)),"")</f>
        <v>20</v>
      </c>
      <c r="BQ12" s="16" cm="1">
        <f t="array" ref="BQ12">IFERROR(INDEX(_xlfn.ANCHORARRAY(_xlfn.XLOOKUP($C12,'-ref_Distribution'!$B$146:$B$150,'-ref_Distribution'!$G$146:$G$150)),RIGHT(BQ$1,2)),"")</f>
        <v>28</v>
      </c>
      <c r="BR12" s="16" cm="1">
        <f t="array" ref="BR12">IFERROR(INDEX(_xlfn.ANCHORARRAY(_xlfn.XLOOKUP($C12,'-ref_Distribution'!$B$146:$B$150,'-ref_Distribution'!$G$146:$G$150)),RIGHT(BR$1,2)),"")</f>
        <v>38</v>
      </c>
      <c r="BS12" s="16" cm="1">
        <f t="array" ref="BS12">IFERROR(INDEX(_xlfn.ANCHORARRAY(_xlfn.XLOOKUP($C12,'-ref_Distribution'!$B$146:$B$150,'-ref_Distribution'!$G$146:$G$150)),RIGHT(BS$1,2)),"")</f>
        <v>51</v>
      </c>
      <c r="BT12" s="16" cm="1">
        <f t="array" ref="BT12">IFERROR(INDEX(_xlfn.ANCHORARRAY(_xlfn.XLOOKUP($C12,'-ref_Distribution'!$B$146:$B$150,'-ref_Distribution'!$G$146:$G$150)),RIGHT(BT$1,2)),"")</f>
        <v>65</v>
      </c>
      <c r="BU12" s="16" cm="1">
        <f t="array" ref="BU12">IFERROR(INDEX(_xlfn.ANCHORARRAY(_xlfn.XLOOKUP($C12,'-ref_Distribution'!$B$146:$B$150,'-ref_Distribution'!$G$146:$G$150)),RIGHT(BU$1,2)),"")</f>
        <v>80</v>
      </c>
      <c r="BV12" s="16" cm="1">
        <f t="array" ref="BV12">IFERROR(INDEX(_xlfn.ANCHORARRAY(_xlfn.XLOOKUP($C12,'-ref_Distribution'!$B$146:$B$150,'-ref_Distribution'!$G$146:$G$150)),RIGHT(BV$1,2)),"")</f>
        <v>96</v>
      </c>
      <c r="BW12" s="16" cm="1">
        <f t="array" ref="BW12">IFERROR(INDEX(_xlfn.ANCHORARRAY(_xlfn.XLOOKUP($C12,'-ref_Distribution'!$B$146:$B$150,'-ref_Distribution'!$G$146:$G$150)),RIGHT(BW$1,2)),"")</f>
        <v>111</v>
      </c>
      <c r="BX12" s="16" cm="1">
        <f t="array" ref="BX12">IFERROR(INDEX(_xlfn.ANCHORARRAY(_xlfn.XLOOKUP($C12,'-ref_Distribution'!$B$146:$B$150,'-ref_Distribution'!$G$146:$G$150)),RIGHT(BX$1,2)),"")</f>
        <v>125</v>
      </c>
      <c r="BY12" s="16" cm="1">
        <f t="array" ref="BY12">IFERROR(INDEX(_xlfn.ANCHORARRAY(_xlfn.XLOOKUP($C12,'-ref_Distribution'!$B$146:$B$150,'-ref_Distribution'!$G$146:$G$150)),RIGHT(BY$1,2)),"")</f>
        <v>135</v>
      </c>
      <c r="BZ12" s="16" cm="1">
        <f t="array" ref="BZ12">IFERROR(INDEX(_xlfn.ANCHORARRAY(_xlfn.XLOOKUP($C12,'-ref_Distribution'!$B$146:$B$150,'-ref_Distribution'!$G$146:$G$150)),RIGHT(BZ$1,2)),"")</f>
        <v>142</v>
      </c>
      <c r="CA12" s="16" cm="1">
        <f t="array" ref="CA12">IFERROR(INDEX(_xlfn.ANCHORARRAY(_xlfn.XLOOKUP($C12,'-ref_Distribution'!$B$146:$B$150,'-ref_Distribution'!$G$146:$G$150)),RIGHT(CA$1,2)),"")</f>
        <v>144</v>
      </c>
      <c r="CB12" s="16" cm="1">
        <f t="array" ref="CB12">IFERROR(INDEX(_xlfn.ANCHORARRAY(_xlfn.XLOOKUP($C12,'-ref_Distribution'!$B$146:$B$150,'-ref_Distribution'!$G$146:$G$150)),RIGHT(CB$1,2)),"")</f>
        <v>142</v>
      </c>
      <c r="CC12" s="16" cm="1">
        <f t="array" ref="CC12">IFERROR(INDEX(_xlfn.ANCHORARRAY(_xlfn.XLOOKUP($C12,'-ref_Distribution'!$B$146:$B$150,'-ref_Distribution'!$G$146:$G$150)),RIGHT(CC$1,2)),"")</f>
        <v>135</v>
      </c>
      <c r="CD12" s="16" cm="1">
        <f t="array" ref="CD12">IFERROR(INDEX(_xlfn.ANCHORARRAY(_xlfn.XLOOKUP($C12,'-ref_Distribution'!$B$146:$B$150,'-ref_Distribution'!$G$146:$G$150)),RIGHT(CD$1,2)),"")</f>
        <v>125</v>
      </c>
      <c r="CE12" s="16" cm="1">
        <f t="array" ref="CE12">IFERROR(INDEX(_xlfn.ANCHORARRAY(_xlfn.XLOOKUP($C12,'-ref_Distribution'!$B$146:$B$150,'-ref_Distribution'!$G$146:$G$150)),RIGHT(CE$1,2)),"")</f>
        <v>111</v>
      </c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</row>
    <row r="13" spans="1:95" x14ac:dyDescent="0.2">
      <c r="A13" s="16">
        <v>300041</v>
      </c>
      <c r="B13" s="16" t="s">
        <v>202</v>
      </c>
      <c r="C13" s="16">
        <v>0</v>
      </c>
      <c r="D13" s="16" cm="1">
        <f t="array" ref="D13">IFERROR(INDEX(_xlfn.ANCHORARRAY(_xlfn.XLOOKUP($C13,'-ref_Distribution'!$B$146:$B$150,'-ref_Distribution'!$G$146:$G$150)),RIGHT(D$1,2)),"")</f>
        <v>709</v>
      </c>
      <c r="E13" s="16" cm="1">
        <f t="array" ref="E13">IFERROR(INDEX(_xlfn.ANCHORARRAY(_xlfn.XLOOKUP($C13,'-ref_Distribution'!$B$146:$B$150,'-ref_Distribution'!$G$146:$G$150)),RIGHT(E$1,2)),"")</f>
        <v>705</v>
      </c>
      <c r="F13" s="16" cm="1">
        <f t="array" ref="F13">IFERROR(INDEX(_xlfn.ANCHORARRAY(_xlfn.XLOOKUP($C13,'-ref_Distribution'!$B$146:$B$150,'-ref_Distribution'!$G$146:$G$150)),RIGHT(F$1,2)),"")</f>
        <v>692</v>
      </c>
      <c r="G13" s="16" cm="1">
        <f t="array" ref="G13">IFERROR(INDEX(_xlfn.ANCHORARRAY(_xlfn.XLOOKUP($C13,'-ref_Distribution'!$B$146:$B$150,'-ref_Distribution'!$G$146:$G$150)),RIGHT(G$1,2)),"")</f>
        <v>671</v>
      </c>
      <c r="H13" s="16" cm="1">
        <f t="array" ref="H13">IFERROR(INDEX(_xlfn.ANCHORARRAY(_xlfn.XLOOKUP($C13,'-ref_Distribution'!$B$146:$B$150,'-ref_Distribution'!$G$146:$G$150)),RIGHT(H$1,2)),"")</f>
        <v>643</v>
      </c>
      <c r="I13" s="16" cm="1">
        <f t="array" ref="I13">IFERROR(INDEX(_xlfn.ANCHORARRAY(_xlfn.XLOOKUP($C13,'-ref_Distribution'!$B$146:$B$150,'-ref_Distribution'!$G$146:$G$150)),RIGHT(I$1,2)),"")</f>
        <v>608</v>
      </c>
      <c r="J13" s="16" cm="1">
        <f t="array" ref="J13">IFERROR(INDEX(_xlfn.ANCHORARRAY(_xlfn.XLOOKUP($C13,'-ref_Distribution'!$B$146:$B$150,'-ref_Distribution'!$G$146:$G$150)),RIGHT(J$1,2)),"")</f>
        <v>568</v>
      </c>
      <c r="K13" s="16" cm="1">
        <f t="array" ref="K13">IFERROR(INDEX(_xlfn.ANCHORARRAY(_xlfn.XLOOKUP($C13,'-ref_Distribution'!$B$146:$B$150,'-ref_Distribution'!$G$146:$G$150)),RIGHT(K$1,2)),"")</f>
        <v>524</v>
      </c>
      <c r="L13" s="16" cm="1">
        <f t="array" ref="L13">IFERROR(INDEX(_xlfn.ANCHORARRAY(_xlfn.XLOOKUP($C13,'-ref_Distribution'!$B$146:$B$150,'-ref_Distribution'!$G$146:$G$150)),RIGHT(L$1,2)),"")</f>
        <v>478</v>
      </c>
      <c r="M13" s="16" cm="1">
        <f t="array" ref="M13">IFERROR(INDEX(_xlfn.ANCHORARRAY(_xlfn.XLOOKUP($C13,'-ref_Distribution'!$B$146:$B$150,'-ref_Distribution'!$G$146:$G$150)),RIGHT(M$1,2)),"")</f>
        <v>430</v>
      </c>
      <c r="N13" s="16" cm="1">
        <f t="array" ref="N13">IFERROR(INDEX(_xlfn.ANCHORARRAY(_xlfn.XLOOKUP($C13,'-ref_Distribution'!$B$146:$B$150,'-ref_Distribution'!$G$146:$G$150)),RIGHT(N$1,2)),"")</f>
        <v>383</v>
      </c>
      <c r="O13" s="16" cm="1">
        <f t="array" ref="O13">IFERROR(INDEX(_xlfn.ANCHORARRAY(_xlfn.XLOOKUP($C13,'-ref_Distribution'!$B$146:$B$150,'-ref_Distribution'!$G$146:$G$150)),RIGHT(O$1,2)),"")</f>
        <v>336</v>
      </c>
      <c r="P13" s="16" cm="1">
        <f t="array" ref="P13">IFERROR(INDEX(_xlfn.ANCHORARRAY(_xlfn.XLOOKUP($C13,'-ref_Distribution'!$B$146:$B$150,'-ref_Distribution'!$G$146:$G$150)),RIGHT(P$1,2)),"")</f>
        <v>292</v>
      </c>
      <c r="Q13" s="16" cm="1">
        <f t="array" ref="Q13">IFERROR(INDEX(_xlfn.ANCHORARRAY(_xlfn.XLOOKUP($C13,'-ref_Distribution'!$B$146:$B$150,'-ref_Distribution'!$G$146:$G$150)),RIGHT(Q$1,2)),"")</f>
        <v>250</v>
      </c>
      <c r="R13" s="16" cm="1">
        <f t="array" ref="R13">IFERROR(INDEX(_xlfn.ANCHORARRAY(_xlfn.XLOOKUP($C13,'-ref_Distribution'!$B$146:$B$150,'-ref_Distribution'!$G$146:$G$150)),RIGHT(R$1,2)),"")</f>
        <v>212</v>
      </c>
      <c r="S13" s="16" cm="1">
        <f t="array" ref="S13">IFERROR(INDEX(_xlfn.ANCHORARRAY(_xlfn.XLOOKUP($C13,'-ref_Distribution'!$B$146:$B$150,'-ref_Distribution'!$G$146:$G$150)),RIGHT(S$1,2)),"")</f>
        <v>177</v>
      </c>
      <c r="T13" s="16" cm="1">
        <f t="array" ref="T13">IFERROR(INDEX(_xlfn.ANCHORARRAY(_xlfn.XLOOKUP($C13,'-ref_Distribution'!$B$146:$B$150,'-ref_Distribution'!$G$146:$G$150)),RIGHT(T$1,2)),"")</f>
        <v>146</v>
      </c>
      <c r="U13" s="16" cm="1">
        <f t="array" ref="U13">IFERROR(INDEX(_xlfn.ANCHORARRAY(_xlfn.XLOOKUP($C13,'-ref_Distribution'!$B$146:$B$150,'-ref_Distribution'!$G$146:$G$150)),RIGHT(U$1,2)),"")</f>
        <v>119</v>
      </c>
      <c r="V13" s="16" cm="1">
        <f t="array" ref="V13">IFERROR(INDEX(_xlfn.ANCHORARRAY(_xlfn.XLOOKUP($C13,'-ref_Distribution'!$B$146:$B$150,'-ref_Distribution'!$G$146:$G$150)),RIGHT(V$1,2)),"")</f>
        <v>96</v>
      </c>
      <c r="W13" s="16" cm="1">
        <f t="array" ref="W13">IFERROR(INDEX(_xlfn.ANCHORARRAY(_xlfn.XLOOKUP($C13,'-ref_Distribution'!$B$146:$B$150,'-ref_Distribution'!$G$146:$G$150)),RIGHT(W$1,2)),"")</f>
        <v>76</v>
      </c>
      <c r="X13" s="16" cm="1">
        <f t="array" ref="X13">IFERROR(INDEX(_xlfn.ANCHORARRAY(_xlfn.XLOOKUP($C13,'-ref_Distribution'!$B$146:$B$150,'-ref_Distribution'!$G$146:$G$150)),RIGHT(X$1,2)),"")</f>
        <v>709</v>
      </c>
      <c r="Y13" s="16" cm="1">
        <f t="array" ref="Y13">IFERROR(INDEX(_xlfn.ANCHORARRAY(_xlfn.XLOOKUP($C13,'-ref_Distribution'!$B$146:$B$150,'-ref_Distribution'!$G$146:$G$150)),RIGHT(Y$1,2)),"")</f>
        <v>705</v>
      </c>
      <c r="Z13" s="16" cm="1">
        <f t="array" ref="Z13">IFERROR(INDEX(_xlfn.ANCHORARRAY(_xlfn.XLOOKUP($C13,'-ref_Distribution'!$B$146:$B$150,'-ref_Distribution'!$G$146:$G$150)),RIGHT(Z$1,2)),"")</f>
        <v>692</v>
      </c>
      <c r="AA13" s="16" cm="1">
        <f t="array" ref="AA13">IFERROR(INDEX(_xlfn.ANCHORARRAY(_xlfn.XLOOKUP($C13,'-ref_Distribution'!$B$146:$B$150,'-ref_Distribution'!$G$146:$G$150)),RIGHT(AA$1,2)),"")</f>
        <v>671</v>
      </c>
      <c r="AB13" s="16" cm="1">
        <f t="array" ref="AB13">IFERROR(INDEX(_xlfn.ANCHORARRAY(_xlfn.XLOOKUP($C13,'-ref_Distribution'!$B$146:$B$150,'-ref_Distribution'!$G$146:$G$150)),RIGHT(AB$1,2)),"")</f>
        <v>643</v>
      </c>
      <c r="AC13" s="16" cm="1">
        <f t="array" ref="AC13">IFERROR(INDEX(_xlfn.ANCHORARRAY(_xlfn.XLOOKUP($C13,'-ref_Distribution'!$B$146:$B$150,'-ref_Distribution'!$G$146:$G$150)),RIGHT(AC$1,2)),"")</f>
        <v>608</v>
      </c>
      <c r="AD13" s="16" cm="1">
        <f t="array" ref="AD13">IFERROR(INDEX(_xlfn.ANCHORARRAY(_xlfn.XLOOKUP($C13,'-ref_Distribution'!$B$146:$B$150,'-ref_Distribution'!$G$146:$G$150)),RIGHT(AD$1,2)),"")</f>
        <v>568</v>
      </c>
      <c r="AE13" s="16" cm="1">
        <f t="array" ref="AE13">IFERROR(INDEX(_xlfn.ANCHORARRAY(_xlfn.XLOOKUP($C13,'-ref_Distribution'!$B$146:$B$150,'-ref_Distribution'!$G$146:$G$150)),RIGHT(AE$1,2)),"")</f>
        <v>524</v>
      </c>
      <c r="AF13" s="16" cm="1">
        <f t="array" ref="AF13">IFERROR(INDEX(_xlfn.ANCHORARRAY(_xlfn.XLOOKUP($C13,'-ref_Distribution'!$B$146:$B$150,'-ref_Distribution'!$G$146:$G$150)),RIGHT(AF$1,2)),"")</f>
        <v>478</v>
      </c>
      <c r="AG13" s="16" cm="1">
        <f t="array" ref="AG13">IFERROR(INDEX(_xlfn.ANCHORARRAY(_xlfn.XLOOKUP($C13,'-ref_Distribution'!$B$146:$B$150,'-ref_Distribution'!$G$146:$G$150)),RIGHT(AG$1,2)),"")</f>
        <v>430</v>
      </c>
      <c r="AH13" s="16" cm="1">
        <f t="array" ref="AH13">IFERROR(INDEX(_xlfn.ANCHORARRAY(_xlfn.XLOOKUP($C13,'-ref_Distribution'!$B$146:$B$150,'-ref_Distribution'!$G$146:$G$150)),RIGHT(AH$1,2)),"")</f>
        <v>383</v>
      </c>
      <c r="AI13" s="16" cm="1">
        <f t="array" ref="AI13">IFERROR(INDEX(_xlfn.ANCHORARRAY(_xlfn.XLOOKUP($C13,'-ref_Distribution'!$B$146:$B$150,'-ref_Distribution'!$G$146:$G$150)),RIGHT(AI$1,2)),"")</f>
        <v>336</v>
      </c>
      <c r="AJ13" s="16" cm="1">
        <f t="array" ref="AJ13">IFERROR(INDEX(_xlfn.ANCHORARRAY(_xlfn.XLOOKUP($C13,'-ref_Distribution'!$B$146:$B$150,'-ref_Distribution'!$G$146:$G$150)),RIGHT(AJ$1,2)),"")</f>
        <v>292</v>
      </c>
      <c r="AK13" s="16" cm="1">
        <f t="array" ref="AK13">IFERROR(INDEX(_xlfn.ANCHORARRAY(_xlfn.XLOOKUP($C13,'-ref_Distribution'!$B$146:$B$150,'-ref_Distribution'!$G$146:$G$150)),RIGHT(AK$1,2)),"")</f>
        <v>250</v>
      </c>
      <c r="AL13" s="16" cm="1">
        <f t="array" ref="AL13">IFERROR(INDEX(_xlfn.ANCHORARRAY(_xlfn.XLOOKUP($C13,'-ref_Distribution'!$B$146:$B$150,'-ref_Distribution'!$G$146:$G$150)),RIGHT(AL$1,2)),"")</f>
        <v>212</v>
      </c>
      <c r="AM13" s="16" cm="1">
        <f t="array" ref="AM13">IFERROR(INDEX(_xlfn.ANCHORARRAY(_xlfn.XLOOKUP($C13,'-ref_Distribution'!$B$146:$B$150,'-ref_Distribution'!$G$146:$G$150)),RIGHT(AM$1,2)),"")</f>
        <v>177</v>
      </c>
      <c r="AN13" s="16" cm="1">
        <f t="array" ref="AN13">IFERROR(INDEX(_xlfn.ANCHORARRAY(_xlfn.XLOOKUP($C13,'-ref_Distribution'!$B$146:$B$150,'-ref_Distribution'!$G$146:$G$150)),RIGHT(AN$1,2)),"")</f>
        <v>146</v>
      </c>
      <c r="AO13" s="16" cm="1">
        <f t="array" ref="AO13">IFERROR(INDEX(_xlfn.ANCHORARRAY(_xlfn.XLOOKUP($C13,'-ref_Distribution'!$B$146:$B$150,'-ref_Distribution'!$G$146:$G$150)),RIGHT(AO$1,2)),"")</f>
        <v>119</v>
      </c>
      <c r="AP13" s="16" cm="1">
        <f t="array" ref="AP13">IFERROR(INDEX(_xlfn.ANCHORARRAY(_xlfn.XLOOKUP($C13,'-ref_Distribution'!$B$146:$B$150,'-ref_Distribution'!$G$146:$G$150)),RIGHT(AP$1,2)),"")</f>
        <v>96</v>
      </c>
      <c r="AQ13" s="16" cm="1">
        <f t="array" ref="AQ13">IFERROR(INDEX(_xlfn.ANCHORARRAY(_xlfn.XLOOKUP($C13,'-ref_Distribution'!$B$146:$B$150,'-ref_Distribution'!$G$146:$G$150)),RIGHT(AQ$1,2)),"")</f>
        <v>76</v>
      </c>
      <c r="AR13" s="16" cm="1">
        <f t="array" ref="AR13">IFERROR(INDEX(_xlfn.ANCHORARRAY(_xlfn.XLOOKUP($C13,'-ref_Distribution'!$B$146:$B$150,'-ref_Distribution'!$G$146:$G$150)),RIGHT(AR$1,2)),"")</f>
        <v>709</v>
      </c>
      <c r="AS13" s="16" cm="1">
        <f t="array" ref="AS13">IFERROR(INDEX(_xlfn.ANCHORARRAY(_xlfn.XLOOKUP($C13,'-ref_Distribution'!$B$146:$B$150,'-ref_Distribution'!$G$146:$G$150)),RIGHT(AS$1,2)),"")</f>
        <v>705</v>
      </c>
      <c r="AT13" s="16" cm="1">
        <f t="array" ref="AT13">IFERROR(INDEX(_xlfn.ANCHORARRAY(_xlfn.XLOOKUP($C13,'-ref_Distribution'!$B$146:$B$150,'-ref_Distribution'!$G$146:$G$150)),RIGHT(AT$1,2)),"")</f>
        <v>692</v>
      </c>
      <c r="AU13" s="16" cm="1">
        <f t="array" ref="AU13">IFERROR(INDEX(_xlfn.ANCHORARRAY(_xlfn.XLOOKUP($C13,'-ref_Distribution'!$B$146:$B$150,'-ref_Distribution'!$G$146:$G$150)),RIGHT(AU$1,2)),"")</f>
        <v>671</v>
      </c>
      <c r="AV13" s="16" cm="1">
        <f t="array" ref="AV13">IFERROR(INDEX(_xlfn.ANCHORARRAY(_xlfn.XLOOKUP($C13,'-ref_Distribution'!$B$146:$B$150,'-ref_Distribution'!$G$146:$G$150)),RIGHT(AV$1,2)),"")</f>
        <v>643</v>
      </c>
      <c r="AW13" s="16" cm="1">
        <f t="array" ref="AW13">IFERROR(INDEX(_xlfn.ANCHORARRAY(_xlfn.XLOOKUP($C13,'-ref_Distribution'!$B$146:$B$150,'-ref_Distribution'!$G$146:$G$150)),RIGHT(AW$1,2)),"")</f>
        <v>608</v>
      </c>
      <c r="AX13" s="16" cm="1">
        <f t="array" ref="AX13">IFERROR(INDEX(_xlfn.ANCHORARRAY(_xlfn.XLOOKUP($C13,'-ref_Distribution'!$B$146:$B$150,'-ref_Distribution'!$G$146:$G$150)),RIGHT(AX$1,2)),"")</f>
        <v>568</v>
      </c>
      <c r="AY13" s="16" cm="1">
        <f t="array" ref="AY13">IFERROR(INDEX(_xlfn.ANCHORARRAY(_xlfn.XLOOKUP($C13,'-ref_Distribution'!$B$146:$B$150,'-ref_Distribution'!$G$146:$G$150)),RIGHT(AY$1,2)),"")</f>
        <v>524</v>
      </c>
      <c r="AZ13" s="16" cm="1">
        <f t="array" ref="AZ13">IFERROR(INDEX(_xlfn.ANCHORARRAY(_xlfn.XLOOKUP($C13,'-ref_Distribution'!$B$146:$B$150,'-ref_Distribution'!$G$146:$G$150)),RIGHT(AZ$1,2)),"")</f>
        <v>478</v>
      </c>
      <c r="BA13" s="16" cm="1">
        <f t="array" ref="BA13">IFERROR(INDEX(_xlfn.ANCHORARRAY(_xlfn.XLOOKUP($C13,'-ref_Distribution'!$B$146:$B$150,'-ref_Distribution'!$G$146:$G$150)),RIGHT(BA$1,2)),"")</f>
        <v>430</v>
      </c>
      <c r="BB13" s="16" cm="1">
        <f t="array" ref="BB13">IFERROR(INDEX(_xlfn.ANCHORARRAY(_xlfn.XLOOKUP($C13,'-ref_Distribution'!$B$146:$B$150,'-ref_Distribution'!$G$146:$G$150)),RIGHT(BB$1,2)),"")</f>
        <v>383</v>
      </c>
      <c r="BC13" s="16" cm="1">
        <f t="array" ref="BC13">IFERROR(INDEX(_xlfn.ANCHORARRAY(_xlfn.XLOOKUP($C13,'-ref_Distribution'!$B$146:$B$150,'-ref_Distribution'!$G$146:$G$150)),RIGHT(BC$1,2)),"")</f>
        <v>336</v>
      </c>
      <c r="BD13" s="16" cm="1">
        <f t="array" ref="BD13">IFERROR(INDEX(_xlfn.ANCHORARRAY(_xlfn.XLOOKUP($C13,'-ref_Distribution'!$B$146:$B$150,'-ref_Distribution'!$G$146:$G$150)),RIGHT(BD$1,2)),"")</f>
        <v>292</v>
      </c>
      <c r="BE13" s="16" cm="1">
        <f t="array" ref="BE13">IFERROR(INDEX(_xlfn.ANCHORARRAY(_xlfn.XLOOKUP($C13,'-ref_Distribution'!$B$146:$B$150,'-ref_Distribution'!$G$146:$G$150)),RIGHT(BE$1,2)),"")</f>
        <v>250</v>
      </c>
      <c r="BF13" s="16" cm="1">
        <f t="array" ref="BF13">IFERROR(INDEX(_xlfn.ANCHORARRAY(_xlfn.XLOOKUP($C13,'-ref_Distribution'!$B$146:$B$150,'-ref_Distribution'!$G$146:$G$150)),RIGHT(BF$1,2)),"")</f>
        <v>212</v>
      </c>
      <c r="BG13" s="16" cm="1">
        <f t="array" ref="BG13">IFERROR(INDEX(_xlfn.ANCHORARRAY(_xlfn.XLOOKUP($C13,'-ref_Distribution'!$B$146:$B$150,'-ref_Distribution'!$G$146:$G$150)),RIGHT(BG$1,2)),"")</f>
        <v>177</v>
      </c>
      <c r="BH13" s="16" cm="1">
        <f t="array" ref="BH13">IFERROR(INDEX(_xlfn.ANCHORARRAY(_xlfn.XLOOKUP($C13,'-ref_Distribution'!$B$146:$B$150,'-ref_Distribution'!$G$146:$G$150)),RIGHT(BH$1,2)),"")</f>
        <v>146</v>
      </c>
      <c r="BI13" s="16" cm="1">
        <f t="array" ref="BI13">IFERROR(INDEX(_xlfn.ANCHORARRAY(_xlfn.XLOOKUP($C13,'-ref_Distribution'!$B$146:$B$150,'-ref_Distribution'!$G$146:$G$150)),RIGHT(BI$1,2)),"")</f>
        <v>119</v>
      </c>
      <c r="BJ13" s="16" cm="1">
        <f t="array" ref="BJ13">IFERROR(INDEX(_xlfn.ANCHORARRAY(_xlfn.XLOOKUP($C13,'-ref_Distribution'!$B$146:$B$150,'-ref_Distribution'!$G$146:$G$150)),RIGHT(BJ$1,2)),"")</f>
        <v>96</v>
      </c>
      <c r="BK13" s="16" cm="1">
        <f t="array" ref="BK13">IFERROR(INDEX(_xlfn.ANCHORARRAY(_xlfn.XLOOKUP($C13,'-ref_Distribution'!$B$146:$B$150,'-ref_Distribution'!$G$146:$G$150)),RIGHT(BK$1,2)),"")</f>
        <v>76</v>
      </c>
      <c r="BL13" s="16" cm="1">
        <f t="array" ref="BL13">IFERROR(INDEX(_xlfn.ANCHORARRAY(_xlfn.XLOOKUP($C13,'-ref_Distribution'!$B$146:$B$150,'-ref_Distribution'!$G$146:$G$150)),RIGHT(BL$1,2)),"")</f>
        <v>709</v>
      </c>
      <c r="BM13" s="16" cm="1">
        <f t="array" ref="BM13">IFERROR(INDEX(_xlfn.ANCHORARRAY(_xlfn.XLOOKUP($C13,'-ref_Distribution'!$B$146:$B$150,'-ref_Distribution'!$G$146:$G$150)),RIGHT(BM$1,2)),"")</f>
        <v>705</v>
      </c>
      <c r="BN13" s="16" cm="1">
        <f t="array" ref="BN13">IFERROR(INDEX(_xlfn.ANCHORARRAY(_xlfn.XLOOKUP($C13,'-ref_Distribution'!$B$146:$B$150,'-ref_Distribution'!$G$146:$G$150)),RIGHT(BN$1,2)),"")</f>
        <v>692</v>
      </c>
      <c r="BO13" s="16" cm="1">
        <f t="array" ref="BO13">IFERROR(INDEX(_xlfn.ANCHORARRAY(_xlfn.XLOOKUP($C13,'-ref_Distribution'!$B$146:$B$150,'-ref_Distribution'!$G$146:$G$150)),RIGHT(BO$1,2)),"")</f>
        <v>671</v>
      </c>
      <c r="BP13" s="16" cm="1">
        <f t="array" ref="BP13">IFERROR(INDEX(_xlfn.ANCHORARRAY(_xlfn.XLOOKUP($C13,'-ref_Distribution'!$B$146:$B$150,'-ref_Distribution'!$G$146:$G$150)),RIGHT(BP$1,2)),"")</f>
        <v>643</v>
      </c>
      <c r="BQ13" s="16" cm="1">
        <f t="array" ref="BQ13">IFERROR(INDEX(_xlfn.ANCHORARRAY(_xlfn.XLOOKUP($C13,'-ref_Distribution'!$B$146:$B$150,'-ref_Distribution'!$G$146:$G$150)),RIGHT(BQ$1,2)),"")</f>
        <v>608</v>
      </c>
      <c r="BR13" s="16" cm="1">
        <f t="array" ref="BR13">IFERROR(INDEX(_xlfn.ANCHORARRAY(_xlfn.XLOOKUP($C13,'-ref_Distribution'!$B$146:$B$150,'-ref_Distribution'!$G$146:$G$150)),RIGHT(BR$1,2)),"")</f>
        <v>568</v>
      </c>
      <c r="BS13" s="16" cm="1">
        <f t="array" ref="BS13">IFERROR(INDEX(_xlfn.ANCHORARRAY(_xlfn.XLOOKUP($C13,'-ref_Distribution'!$B$146:$B$150,'-ref_Distribution'!$G$146:$G$150)),RIGHT(BS$1,2)),"")</f>
        <v>524</v>
      </c>
      <c r="BT13" s="16" cm="1">
        <f t="array" ref="BT13">IFERROR(INDEX(_xlfn.ANCHORARRAY(_xlfn.XLOOKUP($C13,'-ref_Distribution'!$B$146:$B$150,'-ref_Distribution'!$G$146:$G$150)),RIGHT(BT$1,2)),"")</f>
        <v>478</v>
      </c>
      <c r="BU13" s="16" cm="1">
        <f t="array" ref="BU13">IFERROR(INDEX(_xlfn.ANCHORARRAY(_xlfn.XLOOKUP($C13,'-ref_Distribution'!$B$146:$B$150,'-ref_Distribution'!$G$146:$G$150)),RIGHT(BU$1,2)),"")</f>
        <v>430</v>
      </c>
      <c r="BV13" s="16" cm="1">
        <f t="array" ref="BV13">IFERROR(INDEX(_xlfn.ANCHORARRAY(_xlfn.XLOOKUP($C13,'-ref_Distribution'!$B$146:$B$150,'-ref_Distribution'!$G$146:$G$150)),RIGHT(BV$1,2)),"")</f>
        <v>383</v>
      </c>
      <c r="BW13" s="16" cm="1">
        <f t="array" ref="BW13">IFERROR(INDEX(_xlfn.ANCHORARRAY(_xlfn.XLOOKUP($C13,'-ref_Distribution'!$B$146:$B$150,'-ref_Distribution'!$G$146:$G$150)),RIGHT(BW$1,2)),"")</f>
        <v>336</v>
      </c>
      <c r="BX13" s="16" cm="1">
        <f t="array" ref="BX13">IFERROR(INDEX(_xlfn.ANCHORARRAY(_xlfn.XLOOKUP($C13,'-ref_Distribution'!$B$146:$B$150,'-ref_Distribution'!$G$146:$G$150)),RIGHT(BX$1,2)),"")</f>
        <v>292</v>
      </c>
      <c r="BY13" s="16" cm="1">
        <f t="array" ref="BY13">IFERROR(INDEX(_xlfn.ANCHORARRAY(_xlfn.XLOOKUP($C13,'-ref_Distribution'!$B$146:$B$150,'-ref_Distribution'!$G$146:$G$150)),RIGHT(BY$1,2)),"")</f>
        <v>250</v>
      </c>
      <c r="BZ13" s="16" cm="1">
        <f t="array" ref="BZ13">IFERROR(INDEX(_xlfn.ANCHORARRAY(_xlfn.XLOOKUP($C13,'-ref_Distribution'!$B$146:$B$150,'-ref_Distribution'!$G$146:$G$150)),RIGHT(BZ$1,2)),"")</f>
        <v>212</v>
      </c>
      <c r="CA13" s="16" cm="1">
        <f t="array" ref="CA13">IFERROR(INDEX(_xlfn.ANCHORARRAY(_xlfn.XLOOKUP($C13,'-ref_Distribution'!$B$146:$B$150,'-ref_Distribution'!$G$146:$G$150)),RIGHT(CA$1,2)),"")</f>
        <v>177</v>
      </c>
      <c r="CB13" s="16" cm="1">
        <f t="array" ref="CB13">IFERROR(INDEX(_xlfn.ANCHORARRAY(_xlfn.XLOOKUP($C13,'-ref_Distribution'!$B$146:$B$150,'-ref_Distribution'!$G$146:$G$150)),RIGHT(CB$1,2)),"")</f>
        <v>146</v>
      </c>
      <c r="CC13" s="16" cm="1">
        <f t="array" ref="CC13">IFERROR(INDEX(_xlfn.ANCHORARRAY(_xlfn.XLOOKUP($C13,'-ref_Distribution'!$B$146:$B$150,'-ref_Distribution'!$G$146:$G$150)),RIGHT(CC$1,2)),"")</f>
        <v>119</v>
      </c>
      <c r="CD13" s="16" cm="1">
        <f t="array" ref="CD13">IFERROR(INDEX(_xlfn.ANCHORARRAY(_xlfn.XLOOKUP($C13,'-ref_Distribution'!$B$146:$B$150,'-ref_Distribution'!$G$146:$G$150)),RIGHT(CD$1,2)),"")</f>
        <v>96</v>
      </c>
      <c r="CE13" s="16" cm="1">
        <f t="array" ref="CE13">IFERROR(INDEX(_xlfn.ANCHORARRAY(_xlfn.XLOOKUP($C13,'-ref_Distribution'!$B$146:$B$150,'-ref_Distribution'!$G$146:$G$150)),RIGHT(CE$1,2)),"")</f>
        <v>76</v>
      </c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</row>
    <row r="14" spans="1:95" x14ac:dyDescent="0.2">
      <c r="A14" s="16">
        <v>300042</v>
      </c>
      <c r="B14" s="16" t="s">
        <v>202</v>
      </c>
      <c r="C14" s="16">
        <v>1</v>
      </c>
      <c r="D14" s="16" cm="1">
        <f t="array" ref="D14">IFERROR(INDEX(_xlfn.ANCHORARRAY(_xlfn.XLOOKUP($C14,'-ref_Distribution'!$B$146:$B$150,'-ref_Distribution'!$G$146:$G$150)),RIGHT(D$1,2)),"")</f>
        <v>337</v>
      </c>
      <c r="E14" s="16" cm="1">
        <f t="array" ref="E14">IFERROR(INDEX(_xlfn.ANCHORARRAY(_xlfn.XLOOKUP($C14,'-ref_Distribution'!$B$146:$B$150,'-ref_Distribution'!$G$146:$G$150)),RIGHT(E$1,2)),"")</f>
        <v>364</v>
      </c>
      <c r="F14" s="16" cm="1">
        <f t="array" ref="F14">IFERROR(INDEX(_xlfn.ANCHORARRAY(_xlfn.XLOOKUP($C14,'-ref_Distribution'!$B$146:$B$150,'-ref_Distribution'!$G$146:$G$150)),RIGHT(F$1,2)),"")</f>
        <v>386</v>
      </c>
      <c r="G14" s="16" cm="1">
        <f t="array" ref="G14">IFERROR(INDEX(_xlfn.ANCHORARRAY(_xlfn.XLOOKUP($C14,'-ref_Distribution'!$B$146:$B$150,'-ref_Distribution'!$G$146:$G$150)),RIGHT(G$1,2)),"")</f>
        <v>403</v>
      </c>
      <c r="H14" s="16" cm="1">
        <f t="array" ref="H14">IFERROR(INDEX(_xlfn.ANCHORARRAY(_xlfn.XLOOKUP($C14,'-ref_Distribution'!$B$146:$B$150,'-ref_Distribution'!$G$146:$G$150)),RIGHT(H$1,2)),"")</f>
        <v>414</v>
      </c>
      <c r="I14" s="16" cm="1">
        <f t="array" ref="I14">IFERROR(INDEX(_xlfn.ANCHORARRAY(_xlfn.XLOOKUP($C14,'-ref_Distribution'!$B$146:$B$150,'-ref_Distribution'!$G$146:$G$150)),RIGHT(I$1,2)),"")</f>
        <v>417</v>
      </c>
      <c r="J14" s="16" cm="1">
        <f t="array" ref="J14">IFERROR(INDEX(_xlfn.ANCHORARRAY(_xlfn.XLOOKUP($C14,'-ref_Distribution'!$B$146:$B$150,'-ref_Distribution'!$G$146:$G$150)),RIGHT(J$1,2)),"")</f>
        <v>414</v>
      </c>
      <c r="K14" s="16" cm="1">
        <f t="array" ref="K14">IFERROR(INDEX(_xlfn.ANCHORARRAY(_xlfn.XLOOKUP($C14,'-ref_Distribution'!$B$146:$B$150,'-ref_Distribution'!$G$146:$G$150)),RIGHT(K$1,2)),"")</f>
        <v>403</v>
      </c>
      <c r="L14" s="16" cm="1">
        <f t="array" ref="L14">IFERROR(INDEX(_xlfn.ANCHORARRAY(_xlfn.XLOOKUP($C14,'-ref_Distribution'!$B$146:$B$150,'-ref_Distribution'!$G$146:$G$150)),RIGHT(L$1,2)),"")</f>
        <v>386</v>
      </c>
      <c r="M14" s="16" cm="1">
        <f t="array" ref="M14">IFERROR(INDEX(_xlfn.ANCHORARRAY(_xlfn.XLOOKUP($C14,'-ref_Distribution'!$B$146:$B$150,'-ref_Distribution'!$G$146:$G$150)),RIGHT(M$1,2)),"")</f>
        <v>364</v>
      </c>
      <c r="N14" s="16" cm="1">
        <f t="array" ref="N14">IFERROR(INDEX(_xlfn.ANCHORARRAY(_xlfn.XLOOKUP($C14,'-ref_Distribution'!$B$146:$B$150,'-ref_Distribution'!$G$146:$G$150)),RIGHT(N$1,2)),"")</f>
        <v>337</v>
      </c>
      <c r="O14" s="16" cm="1">
        <f t="array" ref="O14">IFERROR(INDEX(_xlfn.ANCHORARRAY(_xlfn.XLOOKUP($C14,'-ref_Distribution'!$B$146:$B$150,'-ref_Distribution'!$G$146:$G$150)),RIGHT(O$1,2)),"")</f>
        <v>307</v>
      </c>
      <c r="P14" s="16" cm="1">
        <f t="array" ref="P14">IFERROR(INDEX(_xlfn.ANCHORARRAY(_xlfn.XLOOKUP($C14,'-ref_Distribution'!$B$146:$B$150,'-ref_Distribution'!$G$146:$G$150)),RIGHT(P$1,2)),"")</f>
        <v>274</v>
      </c>
      <c r="Q14" s="16" cm="1">
        <f t="array" ref="Q14">IFERROR(INDEX(_xlfn.ANCHORARRAY(_xlfn.XLOOKUP($C14,'-ref_Distribution'!$B$146:$B$150,'-ref_Distribution'!$G$146:$G$150)),RIGHT(Q$1,2)),"")</f>
        <v>241</v>
      </c>
      <c r="R14" s="16" cm="1">
        <f t="array" ref="R14">IFERROR(INDEX(_xlfn.ANCHORARRAY(_xlfn.XLOOKUP($C14,'-ref_Distribution'!$B$146:$B$150,'-ref_Distribution'!$G$146:$G$150)),RIGHT(R$1,2)),"")</f>
        <v>209</v>
      </c>
      <c r="S14" s="16" cm="1">
        <f t="array" ref="S14">IFERROR(INDEX(_xlfn.ANCHORARRAY(_xlfn.XLOOKUP($C14,'-ref_Distribution'!$B$146:$B$150,'-ref_Distribution'!$G$146:$G$150)),RIGHT(S$1,2)),"")</f>
        <v>178</v>
      </c>
      <c r="T14" s="16" cm="1">
        <f t="array" ref="T14">IFERROR(INDEX(_xlfn.ANCHORARRAY(_xlfn.XLOOKUP($C14,'-ref_Distribution'!$B$146:$B$150,'-ref_Distribution'!$G$146:$G$150)),RIGHT(T$1,2)),"")</f>
        <v>148</v>
      </c>
      <c r="U14" s="16" cm="1">
        <f t="array" ref="U14">IFERROR(INDEX(_xlfn.ANCHORARRAY(_xlfn.XLOOKUP($C14,'-ref_Distribution'!$B$146:$B$150,'-ref_Distribution'!$G$146:$G$150)),RIGHT(U$1,2)),"")</f>
        <v>122</v>
      </c>
      <c r="V14" s="16" cm="1">
        <f t="array" ref="V14">IFERROR(INDEX(_xlfn.ANCHORARRAY(_xlfn.XLOOKUP($C14,'-ref_Distribution'!$B$146:$B$150,'-ref_Distribution'!$G$146:$G$150)),RIGHT(V$1,2)),"")</f>
        <v>98</v>
      </c>
      <c r="W14" s="16" cm="1">
        <f t="array" ref="W14">IFERROR(INDEX(_xlfn.ANCHORARRAY(_xlfn.XLOOKUP($C14,'-ref_Distribution'!$B$146:$B$150,'-ref_Distribution'!$G$146:$G$150)),RIGHT(W$1,2)),"")</f>
        <v>78</v>
      </c>
      <c r="X14" s="16" cm="1">
        <f t="array" ref="X14">IFERROR(INDEX(_xlfn.ANCHORARRAY(_xlfn.XLOOKUP($C14,'-ref_Distribution'!$B$146:$B$150,'-ref_Distribution'!$G$146:$G$150)),RIGHT(X$1,2)),"")</f>
        <v>337</v>
      </c>
      <c r="Y14" s="16" cm="1">
        <f t="array" ref="Y14">IFERROR(INDEX(_xlfn.ANCHORARRAY(_xlfn.XLOOKUP($C14,'-ref_Distribution'!$B$146:$B$150,'-ref_Distribution'!$G$146:$G$150)),RIGHT(Y$1,2)),"")</f>
        <v>364</v>
      </c>
      <c r="Z14" s="16" cm="1">
        <f t="array" ref="Z14">IFERROR(INDEX(_xlfn.ANCHORARRAY(_xlfn.XLOOKUP($C14,'-ref_Distribution'!$B$146:$B$150,'-ref_Distribution'!$G$146:$G$150)),RIGHT(Z$1,2)),"")</f>
        <v>386</v>
      </c>
      <c r="AA14" s="16" cm="1">
        <f t="array" ref="AA14">IFERROR(INDEX(_xlfn.ANCHORARRAY(_xlfn.XLOOKUP($C14,'-ref_Distribution'!$B$146:$B$150,'-ref_Distribution'!$G$146:$G$150)),RIGHT(AA$1,2)),"")</f>
        <v>403</v>
      </c>
      <c r="AB14" s="16" cm="1">
        <f t="array" ref="AB14">IFERROR(INDEX(_xlfn.ANCHORARRAY(_xlfn.XLOOKUP($C14,'-ref_Distribution'!$B$146:$B$150,'-ref_Distribution'!$G$146:$G$150)),RIGHT(AB$1,2)),"")</f>
        <v>414</v>
      </c>
      <c r="AC14" s="16" cm="1">
        <f t="array" ref="AC14">IFERROR(INDEX(_xlfn.ANCHORARRAY(_xlfn.XLOOKUP($C14,'-ref_Distribution'!$B$146:$B$150,'-ref_Distribution'!$G$146:$G$150)),RIGHT(AC$1,2)),"")</f>
        <v>417</v>
      </c>
      <c r="AD14" s="16" cm="1">
        <f t="array" ref="AD14">IFERROR(INDEX(_xlfn.ANCHORARRAY(_xlfn.XLOOKUP($C14,'-ref_Distribution'!$B$146:$B$150,'-ref_Distribution'!$G$146:$G$150)),RIGHT(AD$1,2)),"")</f>
        <v>414</v>
      </c>
      <c r="AE14" s="16" cm="1">
        <f t="array" ref="AE14">IFERROR(INDEX(_xlfn.ANCHORARRAY(_xlfn.XLOOKUP($C14,'-ref_Distribution'!$B$146:$B$150,'-ref_Distribution'!$G$146:$G$150)),RIGHT(AE$1,2)),"")</f>
        <v>403</v>
      </c>
      <c r="AF14" s="16" cm="1">
        <f t="array" ref="AF14">IFERROR(INDEX(_xlfn.ANCHORARRAY(_xlfn.XLOOKUP($C14,'-ref_Distribution'!$B$146:$B$150,'-ref_Distribution'!$G$146:$G$150)),RIGHT(AF$1,2)),"")</f>
        <v>386</v>
      </c>
      <c r="AG14" s="16" cm="1">
        <f t="array" ref="AG14">IFERROR(INDEX(_xlfn.ANCHORARRAY(_xlfn.XLOOKUP($C14,'-ref_Distribution'!$B$146:$B$150,'-ref_Distribution'!$G$146:$G$150)),RIGHT(AG$1,2)),"")</f>
        <v>364</v>
      </c>
      <c r="AH14" s="16" cm="1">
        <f t="array" ref="AH14">IFERROR(INDEX(_xlfn.ANCHORARRAY(_xlfn.XLOOKUP($C14,'-ref_Distribution'!$B$146:$B$150,'-ref_Distribution'!$G$146:$G$150)),RIGHT(AH$1,2)),"")</f>
        <v>337</v>
      </c>
      <c r="AI14" s="16" cm="1">
        <f t="array" ref="AI14">IFERROR(INDEX(_xlfn.ANCHORARRAY(_xlfn.XLOOKUP($C14,'-ref_Distribution'!$B$146:$B$150,'-ref_Distribution'!$G$146:$G$150)),RIGHT(AI$1,2)),"")</f>
        <v>307</v>
      </c>
      <c r="AJ14" s="16" cm="1">
        <f t="array" ref="AJ14">IFERROR(INDEX(_xlfn.ANCHORARRAY(_xlfn.XLOOKUP($C14,'-ref_Distribution'!$B$146:$B$150,'-ref_Distribution'!$G$146:$G$150)),RIGHT(AJ$1,2)),"")</f>
        <v>274</v>
      </c>
      <c r="AK14" s="16" cm="1">
        <f t="array" ref="AK14">IFERROR(INDEX(_xlfn.ANCHORARRAY(_xlfn.XLOOKUP($C14,'-ref_Distribution'!$B$146:$B$150,'-ref_Distribution'!$G$146:$G$150)),RIGHT(AK$1,2)),"")</f>
        <v>241</v>
      </c>
      <c r="AL14" s="16" cm="1">
        <f t="array" ref="AL14">IFERROR(INDEX(_xlfn.ANCHORARRAY(_xlfn.XLOOKUP($C14,'-ref_Distribution'!$B$146:$B$150,'-ref_Distribution'!$G$146:$G$150)),RIGHT(AL$1,2)),"")</f>
        <v>209</v>
      </c>
      <c r="AM14" s="16" cm="1">
        <f t="array" ref="AM14">IFERROR(INDEX(_xlfn.ANCHORARRAY(_xlfn.XLOOKUP($C14,'-ref_Distribution'!$B$146:$B$150,'-ref_Distribution'!$G$146:$G$150)),RIGHT(AM$1,2)),"")</f>
        <v>178</v>
      </c>
      <c r="AN14" s="16" cm="1">
        <f t="array" ref="AN14">IFERROR(INDEX(_xlfn.ANCHORARRAY(_xlfn.XLOOKUP($C14,'-ref_Distribution'!$B$146:$B$150,'-ref_Distribution'!$G$146:$G$150)),RIGHT(AN$1,2)),"")</f>
        <v>148</v>
      </c>
      <c r="AO14" s="16" cm="1">
        <f t="array" ref="AO14">IFERROR(INDEX(_xlfn.ANCHORARRAY(_xlfn.XLOOKUP($C14,'-ref_Distribution'!$B$146:$B$150,'-ref_Distribution'!$G$146:$G$150)),RIGHT(AO$1,2)),"")</f>
        <v>122</v>
      </c>
      <c r="AP14" s="16" cm="1">
        <f t="array" ref="AP14">IFERROR(INDEX(_xlfn.ANCHORARRAY(_xlfn.XLOOKUP($C14,'-ref_Distribution'!$B$146:$B$150,'-ref_Distribution'!$G$146:$G$150)),RIGHT(AP$1,2)),"")</f>
        <v>98</v>
      </c>
      <c r="AQ14" s="16" cm="1">
        <f t="array" ref="AQ14">IFERROR(INDEX(_xlfn.ANCHORARRAY(_xlfn.XLOOKUP($C14,'-ref_Distribution'!$B$146:$B$150,'-ref_Distribution'!$G$146:$G$150)),RIGHT(AQ$1,2)),"")</f>
        <v>78</v>
      </c>
      <c r="AR14" s="16" cm="1">
        <f t="array" ref="AR14">IFERROR(INDEX(_xlfn.ANCHORARRAY(_xlfn.XLOOKUP($C14,'-ref_Distribution'!$B$146:$B$150,'-ref_Distribution'!$G$146:$G$150)),RIGHT(AR$1,2)),"")</f>
        <v>337</v>
      </c>
      <c r="AS14" s="16" cm="1">
        <f t="array" ref="AS14">IFERROR(INDEX(_xlfn.ANCHORARRAY(_xlfn.XLOOKUP($C14,'-ref_Distribution'!$B$146:$B$150,'-ref_Distribution'!$G$146:$G$150)),RIGHT(AS$1,2)),"")</f>
        <v>364</v>
      </c>
      <c r="AT14" s="16" cm="1">
        <f t="array" ref="AT14">IFERROR(INDEX(_xlfn.ANCHORARRAY(_xlfn.XLOOKUP($C14,'-ref_Distribution'!$B$146:$B$150,'-ref_Distribution'!$G$146:$G$150)),RIGHT(AT$1,2)),"")</f>
        <v>386</v>
      </c>
      <c r="AU14" s="16" cm="1">
        <f t="array" ref="AU14">IFERROR(INDEX(_xlfn.ANCHORARRAY(_xlfn.XLOOKUP($C14,'-ref_Distribution'!$B$146:$B$150,'-ref_Distribution'!$G$146:$G$150)),RIGHT(AU$1,2)),"")</f>
        <v>403</v>
      </c>
      <c r="AV14" s="16" cm="1">
        <f t="array" ref="AV14">IFERROR(INDEX(_xlfn.ANCHORARRAY(_xlfn.XLOOKUP($C14,'-ref_Distribution'!$B$146:$B$150,'-ref_Distribution'!$G$146:$G$150)),RIGHT(AV$1,2)),"")</f>
        <v>414</v>
      </c>
      <c r="AW14" s="16" cm="1">
        <f t="array" ref="AW14">IFERROR(INDEX(_xlfn.ANCHORARRAY(_xlfn.XLOOKUP($C14,'-ref_Distribution'!$B$146:$B$150,'-ref_Distribution'!$G$146:$G$150)),RIGHT(AW$1,2)),"")</f>
        <v>417</v>
      </c>
      <c r="AX14" s="16" cm="1">
        <f t="array" ref="AX14">IFERROR(INDEX(_xlfn.ANCHORARRAY(_xlfn.XLOOKUP($C14,'-ref_Distribution'!$B$146:$B$150,'-ref_Distribution'!$G$146:$G$150)),RIGHT(AX$1,2)),"")</f>
        <v>414</v>
      </c>
      <c r="AY14" s="16" cm="1">
        <f t="array" ref="AY14">IFERROR(INDEX(_xlfn.ANCHORARRAY(_xlfn.XLOOKUP($C14,'-ref_Distribution'!$B$146:$B$150,'-ref_Distribution'!$G$146:$G$150)),RIGHT(AY$1,2)),"")</f>
        <v>403</v>
      </c>
      <c r="AZ14" s="16" cm="1">
        <f t="array" ref="AZ14">IFERROR(INDEX(_xlfn.ANCHORARRAY(_xlfn.XLOOKUP($C14,'-ref_Distribution'!$B$146:$B$150,'-ref_Distribution'!$G$146:$G$150)),RIGHT(AZ$1,2)),"")</f>
        <v>386</v>
      </c>
      <c r="BA14" s="16" cm="1">
        <f t="array" ref="BA14">IFERROR(INDEX(_xlfn.ANCHORARRAY(_xlfn.XLOOKUP($C14,'-ref_Distribution'!$B$146:$B$150,'-ref_Distribution'!$G$146:$G$150)),RIGHT(BA$1,2)),"")</f>
        <v>364</v>
      </c>
      <c r="BB14" s="16" cm="1">
        <f t="array" ref="BB14">IFERROR(INDEX(_xlfn.ANCHORARRAY(_xlfn.XLOOKUP($C14,'-ref_Distribution'!$B$146:$B$150,'-ref_Distribution'!$G$146:$G$150)),RIGHT(BB$1,2)),"")</f>
        <v>337</v>
      </c>
      <c r="BC14" s="16" cm="1">
        <f t="array" ref="BC14">IFERROR(INDEX(_xlfn.ANCHORARRAY(_xlfn.XLOOKUP($C14,'-ref_Distribution'!$B$146:$B$150,'-ref_Distribution'!$G$146:$G$150)),RIGHT(BC$1,2)),"")</f>
        <v>307</v>
      </c>
      <c r="BD14" s="16" cm="1">
        <f t="array" ref="BD14">IFERROR(INDEX(_xlfn.ANCHORARRAY(_xlfn.XLOOKUP($C14,'-ref_Distribution'!$B$146:$B$150,'-ref_Distribution'!$G$146:$G$150)),RIGHT(BD$1,2)),"")</f>
        <v>274</v>
      </c>
      <c r="BE14" s="16" cm="1">
        <f t="array" ref="BE14">IFERROR(INDEX(_xlfn.ANCHORARRAY(_xlfn.XLOOKUP($C14,'-ref_Distribution'!$B$146:$B$150,'-ref_Distribution'!$G$146:$G$150)),RIGHT(BE$1,2)),"")</f>
        <v>241</v>
      </c>
      <c r="BF14" s="16" cm="1">
        <f t="array" ref="BF14">IFERROR(INDEX(_xlfn.ANCHORARRAY(_xlfn.XLOOKUP($C14,'-ref_Distribution'!$B$146:$B$150,'-ref_Distribution'!$G$146:$G$150)),RIGHT(BF$1,2)),"")</f>
        <v>209</v>
      </c>
      <c r="BG14" s="16" cm="1">
        <f t="array" ref="BG14">IFERROR(INDEX(_xlfn.ANCHORARRAY(_xlfn.XLOOKUP($C14,'-ref_Distribution'!$B$146:$B$150,'-ref_Distribution'!$G$146:$G$150)),RIGHT(BG$1,2)),"")</f>
        <v>178</v>
      </c>
      <c r="BH14" s="16" cm="1">
        <f t="array" ref="BH14">IFERROR(INDEX(_xlfn.ANCHORARRAY(_xlfn.XLOOKUP($C14,'-ref_Distribution'!$B$146:$B$150,'-ref_Distribution'!$G$146:$G$150)),RIGHT(BH$1,2)),"")</f>
        <v>148</v>
      </c>
      <c r="BI14" s="16" cm="1">
        <f t="array" ref="BI14">IFERROR(INDEX(_xlfn.ANCHORARRAY(_xlfn.XLOOKUP($C14,'-ref_Distribution'!$B$146:$B$150,'-ref_Distribution'!$G$146:$G$150)),RIGHT(BI$1,2)),"")</f>
        <v>122</v>
      </c>
      <c r="BJ14" s="16" cm="1">
        <f t="array" ref="BJ14">IFERROR(INDEX(_xlfn.ANCHORARRAY(_xlfn.XLOOKUP($C14,'-ref_Distribution'!$B$146:$B$150,'-ref_Distribution'!$G$146:$G$150)),RIGHT(BJ$1,2)),"")</f>
        <v>98</v>
      </c>
      <c r="BK14" s="16" cm="1">
        <f t="array" ref="BK14">IFERROR(INDEX(_xlfn.ANCHORARRAY(_xlfn.XLOOKUP($C14,'-ref_Distribution'!$B$146:$B$150,'-ref_Distribution'!$G$146:$G$150)),RIGHT(BK$1,2)),"")</f>
        <v>78</v>
      </c>
      <c r="BL14" s="16" cm="1">
        <f t="array" ref="BL14">IFERROR(INDEX(_xlfn.ANCHORARRAY(_xlfn.XLOOKUP($C14,'-ref_Distribution'!$B$146:$B$150,'-ref_Distribution'!$G$146:$G$150)),RIGHT(BL$1,2)),"")</f>
        <v>337</v>
      </c>
      <c r="BM14" s="16" cm="1">
        <f t="array" ref="BM14">IFERROR(INDEX(_xlfn.ANCHORARRAY(_xlfn.XLOOKUP($C14,'-ref_Distribution'!$B$146:$B$150,'-ref_Distribution'!$G$146:$G$150)),RIGHT(BM$1,2)),"")</f>
        <v>364</v>
      </c>
      <c r="BN14" s="16" cm="1">
        <f t="array" ref="BN14">IFERROR(INDEX(_xlfn.ANCHORARRAY(_xlfn.XLOOKUP($C14,'-ref_Distribution'!$B$146:$B$150,'-ref_Distribution'!$G$146:$G$150)),RIGHT(BN$1,2)),"")</f>
        <v>386</v>
      </c>
      <c r="BO14" s="16" cm="1">
        <f t="array" ref="BO14">IFERROR(INDEX(_xlfn.ANCHORARRAY(_xlfn.XLOOKUP($C14,'-ref_Distribution'!$B$146:$B$150,'-ref_Distribution'!$G$146:$G$150)),RIGHT(BO$1,2)),"")</f>
        <v>403</v>
      </c>
      <c r="BP14" s="16" cm="1">
        <f t="array" ref="BP14">IFERROR(INDEX(_xlfn.ANCHORARRAY(_xlfn.XLOOKUP($C14,'-ref_Distribution'!$B$146:$B$150,'-ref_Distribution'!$G$146:$G$150)),RIGHT(BP$1,2)),"")</f>
        <v>414</v>
      </c>
      <c r="BQ14" s="16" cm="1">
        <f t="array" ref="BQ14">IFERROR(INDEX(_xlfn.ANCHORARRAY(_xlfn.XLOOKUP($C14,'-ref_Distribution'!$B$146:$B$150,'-ref_Distribution'!$G$146:$G$150)),RIGHT(BQ$1,2)),"")</f>
        <v>417</v>
      </c>
      <c r="BR14" s="16" cm="1">
        <f t="array" ref="BR14">IFERROR(INDEX(_xlfn.ANCHORARRAY(_xlfn.XLOOKUP($C14,'-ref_Distribution'!$B$146:$B$150,'-ref_Distribution'!$G$146:$G$150)),RIGHT(BR$1,2)),"")</f>
        <v>414</v>
      </c>
      <c r="BS14" s="16" cm="1">
        <f t="array" ref="BS14">IFERROR(INDEX(_xlfn.ANCHORARRAY(_xlfn.XLOOKUP($C14,'-ref_Distribution'!$B$146:$B$150,'-ref_Distribution'!$G$146:$G$150)),RIGHT(BS$1,2)),"")</f>
        <v>403</v>
      </c>
      <c r="BT14" s="16" cm="1">
        <f t="array" ref="BT14">IFERROR(INDEX(_xlfn.ANCHORARRAY(_xlfn.XLOOKUP($C14,'-ref_Distribution'!$B$146:$B$150,'-ref_Distribution'!$G$146:$G$150)),RIGHT(BT$1,2)),"")</f>
        <v>386</v>
      </c>
      <c r="BU14" s="16" cm="1">
        <f t="array" ref="BU14">IFERROR(INDEX(_xlfn.ANCHORARRAY(_xlfn.XLOOKUP($C14,'-ref_Distribution'!$B$146:$B$150,'-ref_Distribution'!$G$146:$G$150)),RIGHT(BU$1,2)),"")</f>
        <v>364</v>
      </c>
      <c r="BV14" s="16" cm="1">
        <f t="array" ref="BV14">IFERROR(INDEX(_xlfn.ANCHORARRAY(_xlfn.XLOOKUP($C14,'-ref_Distribution'!$B$146:$B$150,'-ref_Distribution'!$G$146:$G$150)),RIGHT(BV$1,2)),"")</f>
        <v>337</v>
      </c>
      <c r="BW14" s="16" cm="1">
        <f t="array" ref="BW14">IFERROR(INDEX(_xlfn.ANCHORARRAY(_xlfn.XLOOKUP($C14,'-ref_Distribution'!$B$146:$B$150,'-ref_Distribution'!$G$146:$G$150)),RIGHT(BW$1,2)),"")</f>
        <v>307</v>
      </c>
      <c r="BX14" s="16" cm="1">
        <f t="array" ref="BX14">IFERROR(INDEX(_xlfn.ANCHORARRAY(_xlfn.XLOOKUP($C14,'-ref_Distribution'!$B$146:$B$150,'-ref_Distribution'!$G$146:$G$150)),RIGHT(BX$1,2)),"")</f>
        <v>274</v>
      </c>
      <c r="BY14" s="16" cm="1">
        <f t="array" ref="BY14">IFERROR(INDEX(_xlfn.ANCHORARRAY(_xlfn.XLOOKUP($C14,'-ref_Distribution'!$B$146:$B$150,'-ref_Distribution'!$G$146:$G$150)),RIGHT(BY$1,2)),"")</f>
        <v>241</v>
      </c>
      <c r="BZ14" s="16" cm="1">
        <f t="array" ref="BZ14">IFERROR(INDEX(_xlfn.ANCHORARRAY(_xlfn.XLOOKUP($C14,'-ref_Distribution'!$B$146:$B$150,'-ref_Distribution'!$G$146:$G$150)),RIGHT(BZ$1,2)),"")</f>
        <v>209</v>
      </c>
      <c r="CA14" s="16" cm="1">
        <f t="array" ref="CA14">IFERROR(INDEX(_xlfn.ANCHORARRAY(_xlfn.XLOOKUP($C14,'-ref_Distribution'!$B$146:$B$150,'-ref_Distribution'!$G$146:$G$150)),RIGHT(CA$1,2)),"")</f>
        <v>178</v>
      </c>
      <c r="CB14" s="16" cm="1">
        <f t="array" ref="CB14">IFERROR(INDEX(_xlfn.ANCHORARRAY(_xlfn.XLOOKUP($C14,'-ref_Distribution'!$B$146:$B$150,'-ref_Distribution'!$G$146:$G$150)),RIGHT(CB$1,2)),"")</f>
        <v>148</v>
      </c>
      <c r="CC14" s="16" cm="1">
        <f t="array" ref="CC14">IFERROR(INDEX(_xlfn.ANCHORARRAY(_xlfn.XLOOKUP($C14,'-ref_Distribution'!$B$146:$B$150,'-ref_Distribution'!$G$146:$G$150)),RIGHT(CC$1,2)),"")</f>
        <v>122</v>
      </c>
      <c r="CD14" s="16" cm="1">
        <f t="array" ref="CD14">IFERROR(INDEX(_xlfn.ANCHORARRAY(_xlfn.XLOOKUP($C14,'-ref_Distribution'!$B$146:$B$150,'-ref_Distribution'!$G$146:$G$150)),RIGHT(CD$1,2)),"")</f>
        <v>98</v>
      </c>
      <c r="CE14" s="16" cm="1">
        <f t="array" ref="CE14">IFERROR(INDEX(_xlfn.ANCHORARRAY(_xlfn.XLOOKUP($C14,'-ref_Distribution'!$B$146:$B$150,'-ref_Distribution'!$G$146:$G$150)),RIGHT(CE$1,2)),"")</f>
        <v>78</v>
      </c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</row>
    <row r="15" spans="1:95" x14ac:dyDescent="0.2">
      <c r="A15" s="16">
        <v>300043</v>
      </c>
      <c r="B15" s="16" t="s">
        <v>202</v>
      </c>
      <c r="C15" s="16">
        <v>2</v>
      </c>
      <c r="D15" s="16" cm="1">
        <f t="array" ref="D15">IFERROR(INDEX(_xlfn.ANCHORARRAY(_xlfn.XLOOKUP($C15,'-ref_Distribution'!$B$146:$B$150,'-ref_Distribution'!$G$146:$G$150)),RIGHT(D$1,2)),"")</f>
        <v>75</v>
      </c>
      <c r="E15" s="16" cm="1">
        <f t="array" ref="E15">IFERROR(INDEX(_xlfn.ANCHORARRAY(_xlfn.XLOOKUP($C15,'-ref_Distribution'!$B$146:$B$150,'-ref_Distribution'!$G$146:$G$150)),RIGHT(E$1,2)),"")</f>
        <v>94</v>
      </c>
      <c r="F15" s="16" cm="1">
        <f t="array" ref="F15">IFERROR(INDEX(_xlfn.ANCHORARRAY(_xlfn.XLOOKUP($C15,'-ref_Distribution'!$B$146:$B$150,'-ref_Distribution'!$G$146:$G$150)),RIGHT(F$1,2)),"")</f>
        <v>115</v>
      </c>
      <c r="G15" s="16" cm="1">
        <f t="array" ref="G15">IFERROR(INDEX(_xlfn.ANCHORARRAY(_xlfn.XLOOKUP($C15,'-ref_Distribution'!$B$146:$B$150,'-ref_Distribution'!$G$146:$G$150)),RIGHT(G$1,2)),"")</f>
        <v>137</v>
      </c>
      <c r="H15" s="16" cm="1">
        <f t="array" ref="H15">IFERROR(INDEX(_xlfn.ANCHORARRAY(_xlfn.XLOOKUP($C15,'-ref_Distribution'!$B$146:$B$150,'-ref_Distribution'!$G$146:$G$150)),RIGHT(H$1,2)),"")</f>
        <v>160</v>
      </c>
      <c r="I15" s="16" cm="1">
        <f t="array" ref="I15">IFERROR(INDEX(_xlfn.ANCHORARRAY(_xlfn.XLOOKUP($C15,'-ref_Distribution'!$B$146:$B$150,'-ref_Distribution'!$G$146:$G$150)),RIGHT(I$1,2)),"")</f>
        <v>183</v>
      </c>
      <c r="J15" s="16" cm="1">
        <f t="array" ref="J15">IFERROR(INDEX(_xlfn.ANCHORARRAY(_xlfn.XLOOKUP($C15,'-ref_Distribution'!$B$146:$B$150,'-ref_Distribution'!$G$146:$G$150)),RIGHT(J$1,2)),"")</f>
        <v>203</v>
      </c>
      <c r="K15" s="16" cm="1">
        <f t="array" ref="K15">IFERROR(INDEX(_xlfn.ANCHORARRAY(_xlfn.XLOOKUP($C15,'-ref_Distribution'!$B$146:$B$150,'-ref_Distribution'!$G$146:$G$150)),RIGHT(K$1,2)),"")</f>
        <v>221</v>
      </c>
      <c r="L15" s="16" cm="1">
        <f t="array" ref="L15">IFERROR(INDEX(_xlfn.ANCHORARRAY(_xlfn.XLOOKUP($C15,'-ref_Distribution'!$B$146:$B$150,'-ref_Distribution'!$G$146:$G$150)),RIGHT(L$1,2)),"")</f>
        <v>234</v>
      </c>
      <c r="M15" s="16" cm="1">
        <f t="array" ref="M15">IFERROR(INDEX(_xlfn.ANCHORARRAY(_xlfn.XLOOKUP($C15,'-ref_Distribution'!$B$146:$B$150,'-ref_Distribution'!$G$146:$G$150)),RIGHT(M$1,2)),"")</f>
        <v>243</v>
      </c>
      <c r="N15" s="16" cm="1">
        <f t="array" ref="N15">IFERROR(INDEX(_xlfn.ANCHORARRAY(_xlfn.XLOOKUP($C15,'-ref_Distribution'!$B$146:$B$150,'-ref_Distribution'!$G$146:$G$150)),RIGHT(N$1,2)),"")</f>
        <v>245</v>
      </c>
      <c r="O15" s="16" cm="1">
        <f t="array" ref="O15">IFERROR(INDEX(_xlfn.ANCHORARRAY(_xlfn.XLOOKUP($C15,'-ref_Distribution'!$B$146:$B$150,'-ref_Distribution'!$G$146:$G$150)),RIGHT(O$1,2)),"")</f>
        <v>243</v>
      </c>
      <c r="P15" s="16" cm="1">
        <f t="array" ref="P15">IFERROR(INDEX(_xlfn.ANCHORARRAY(_xlfn.XLOOKUP($C15,'-ref_Distribution'!$B$146:$B$150,'-ref_Distribution'!$G$146:$G$150)),RIGHT(P$1,2)),"")</f>
        <v>234</v>
      </c>
      <c r="Q15" s="16" cm="1">
        <f t="array" ref="Q15">IFERROR(INDEX(_xlfn.ANCHORARRAY(_xlfn.XLOOKUP($C15,'-ref_Distribution'!$B$146:$B$150,'-ref_Distribution'!$G$146:$G$150)),RIGHT(Q$1,2)),"")</f>
        <v>221</v>
      </c>
      <c r="R15" s="16" cm="1">
        <f t="array" ref="R15">IFERROR(INDEX(_xlfn.ANCHORARRAY(_xlfn.XLOOKUP($C15,'-ref_Distribution'!$B$146:$B$150,'-ref_Distribution'!$G$146:$G$150)),RIGHT(R$1,2)),"")</f>
        <v>203</v>
      </c>
      <c r="S15" s="16" cm="1">
        <f t="array" ref="S15">IFERROR(INDEX(_xlfn.ANCHORARRAY(_xlfn.XLOOKUP($C15,'-ref_Distribution'!$B$146:$B$150,'-ref_Distribution'!$G$146:$G$150)),RIGHT(S$1,2)),"")</f>
        <v>183</v>
      </c>
      <c r="T15" s="16" cm="1">
        <f t="array" ref="T15">IFERROR(INDEX(_xlfn.ANCHORARRAY(_xlfn.XLOOKUP($C15,'-ref_Distribution'!$B$146:$B$150,'-ref_Distribution'!$G$146:$G$150)),RIGHT(T$1,2)),"")</f>
        <v>160</v>
      </c>
      <c r="U15" s="16" cm="1">
        <f t="array" ref="U15">IFERROR(INDEX(_xlfn.ANCHORARRAY(_xlfn.XLOOKUP($C15,'-ref_Distribution'!$B$146:$B$150,'-ref_Distribution'!$G$146:$G$150)),RIGHT(U$1,2)),"")</f>
        <v>137</v>
      </c>
      <c r="V15" s="16" cm="1">
        <f t="array" ref="V15">IFERROR(INDEX(_xlfn.ANCHORARRAY(_xlfn.XLOOKUP($C15,'-ref_Distribution'!$B$146:$B$150,'-ref_Distribution'!$G$146:$G$150)),RIGHT(V$1,2)),"")</f>
        <v>115</v>
      </c>
      <c r="W15" s="16" cm="1">
        <f t="array" ref="W15">IFERROR(INDEX(_xlfn.ANCHORARRAY(_xlfn.XLOOKUP($C15,'-ref_Distribution'!$B$146:$B$150,'-ref_Distribution'!$G$146:$G$150)),RIGHT(W$1,2)),"")</f>
        <v>94</v>
      </c>
      <c r="X15" s="16" cm="1">
        <f t="array" ref="X15">IFERROR(INDEX(_xlfn.ANCHORARRAY(_xlfn.XLOOKUP($C15,'-ref_Distribution'!$B$146:$B$150,'-ref_Distribution'!$G$146:$G$150)),RIGHT(X$1,2)),"")</f>
        <v>75</v>
      </c>
      <c r="Y15" s="16" cm="1">
        <f t="array" ref="Y15">IFERROR(INDEX(_xlfn.ANCHORARRAY(_xlfn.XLOOKUP($C15,'-ref_Distribution'!$B$146:$B$150,'-ref_Distribution'!$G$146:$G$150)),RIGHT(Y$1,2)),"")</f>
        <v>94</v>
      </c>
      <c r="Z15" s="16" cm="1">
        <f t="array" ref="Z15">IFERROR(INDEX(_xlfn.ANCHORARRAY(_xlfn.XLOOKUP($C15,'-ref_Distribution'!$B$146:$B$150,'-ref_Distribution'!$G$146:$G$150)),RIGHT(Z$1,2)),"")</f>
        <v>115</v>
      </c>
      <c r="AA15" s="16" cm="1">
        <f t="array" ref="AA15">IFERROR(INDEX(_xlfn.ANCHORARRAY(_xlfn.XLOOKUP($C15,'-ref_Distribution'!$B$146:$B$150,'-ref_Distribution'!$G$146:$G$150)),RIGHT(AA$1,2)),"")</f>
        <v>137</v>
      </c>
      <c r="AB15" s="16" cm="1">
        <f t="array" ref="AB15">IFERROR(INDEX(_xlfn.ANCHORARRAY(_xlfn.XLOOKUP($C15,'-ref_Distribution'!$B$146:$B$150,'-ref_Distribution'!$G$146:$G$150)),RIGHT(AB$1,2)),"")</f>
        <v>160</v>
      </c>
      <c r="AC15" s="16" cm="1">
        <f t="array" ref="AC15">IFERROR(INDEX(_xlfn.ANCHORARRAY(_xlfn.XLOOKUP($C15,'-ref_Distribution'!$B$146:$B$150,'-ref_Distribution'!$G$146:$G$150)),RIGHT(AC$1,2)),"")</f>
        <v>183</v>
      </c>
      <c r="AD15" s="16" cm="1">
        <f t="array" ref="AD15">IFERROR(INDEX(_xlfn.ANCHORARRAY(_xlfn.XLOOKUP($C15,'-ref_Distribution'!$B$146:$B$150,'-ref_Distribution'!$G$146:$G$150)),RIGHT(AD$1,2)),"")</f>
        <v>203</v>
      </c>
      <c r="AE15" s="16" cm="1">
        <f t="array" ref="AE15">IFERROR(INDEX(_xlfn.ANCHORARRAY(_xlfn.XLOOKUP($C15,'-ref_Distribution'!$B$146:$B$150,'-ref_Distribution'!$G$146:$G$150)),RIGHT(AE$1,2)),"")</f>
        <v>221</v>
      </c>
      <c r="AF15" s="16" cm="1">
        <f t="array" ref="AF15">IFERROR(INDEX(_xlfn.ANCHORARRAY(_xlfn.XLOOKUP($C15,'-ref_Distribution'!$B$146:$B$150,'-ref_Distribution'!$G$146:$G$150)),RIGHT(AF$1,2)),"")</f>
        <v>234</v>
      </c>
      <c r="AG15" s="16" cm="1">
        <f t="array" ref="AG15">IFERROR(INDEX(_xlfn.ANCHORARRAY(_xlfn.XLOOKUP($C15,'-ref_Distribution'!$B$146:$B$150,'-ref_Distribution'!$G$146:$G$150)),RIGHT(AG$1,2)),"")</f>
        <v>243</v>
      </c>
      <c r="AH15" s="16" cm="1">
        <f t="array" ref="AH15">IFERROR(INDEX(_xlfn.ANCHORARRAY(_xlfn.XLOOKUP($C15,'-ref_Distribution'!$B$146:$B$150,'-ref_Distribution'!$G$146:$G$150)),RIGHT(AH$1,2)),"")</f>
        <v>245</v>
      </c>
      <c r="AI15" s="16" cm="1">
        <f t="array" ref="AI15">IFERROR(INDEX(_xlfn.ANCHORARRAY(_xlfn.XLOOKUP($C15,'-ref_Distribution'!$B$146:$B$150,'-ref_Distribution'!$G$146:$G$150)),RIGHT(AI$1,2)),"")</f>
        <v>243</v>
      </c>
      <c r="AJ15" s="16" cm="1">
        <f t="array" ref="AJ15">IFERROR(INDEX(_xlfn.ANCHORARRAY(_xlfn.XLOOKUP($C15,'-ref_Distribution'!$B$146:$B$150,'-ref_Distribution'!$G$146:$G$150)),RIGHT(AJ$1,2)),"")</f>
        <v>234</v>
      </c>
      <c r="AK15" s="16" cm="1">
        <f t="array" ref="AK15">IFERROR(INDEX(_xlfn.ANCHORARRAY(_xlfn.XLOOKUP($C15,'-ref_Distribution'!$B$146:$B$150,'-ref_Distribution'!$G$146:$G$150)),RIGHT(AK$1,2)),"")</f>
        <v>221</v>
      </c>
      <c r="AL15" s="16" cm="1">
        <f t="array" ref="AL15">IFERROR(INDEX(_xlfn.ANCHORARRAY(_xlfn.XLOOKUP($C15,'-ref_Distribution'!$B$146:$B$150,'-ref_Distribution'!$G$146:$G$150)),RIGHT(AL$1,2)),"")</f>
        <v>203</v>
      </c>
      <c r="AM15" s="16" cm="1">
        <f t="array" ref="AM15">IFERROR(INDEX(_xlfn.ANCHORARRAY(_xlfn.XLOOKUP($C15,'-ref_Distribution'!$B$146:$B$150,'-ref_Distribution'!$G$146:$G$150)),RIGHT(AM$1,2)),"")</f>
        <v>183</v>
      </c>
      <c r="AN15" s="16" cm="1">
        <f t="array" ref="AN15">IFERROR(INDEX(_xlfn.ANCHORARRAY(_xlfn.XLOOKUP($C15,'-ref_Distribution'!$B$146:$B$150,'-ref_Distribution'!$G$146:$G$150)),RIGHT(AN$1,2)),"")</f>
        <v>160</v>
      </c>
      <c r="AO15" s="16" cm="1">
        <f t="array" ref="AO15">IFERROR(INDEX(_xlfn.ANCHORARRAY(_xlfn.XLOOKUP($C15,'-ref_Distribution'!$B$146:$B$150,'-ref_Distribution'!$G$146:$G$150)),RIGHT(AO$1,2)),"")</f>
        <v>137</v>
      </c>
      <c r="AP15" s="16" cm="1">
        <f t="array" ref="AP15">IFERROR(INDEX(_xlfn.ANCHORARRAY(_xlfn.XLOOKUP($C15,'-ref_Distribution'!$B$146:$B$150,'-ref_Distribution'!$G$146:$G$150)),RIGHT(AP$1,2)),"")</f>
        <v>115</v>
      </c>
      <c r="AQ15" s="16" cm="1">
        <f t="array" ref="AQ15">IFERROR(INDEX(_xlfn.ANCHORARRAY(_xlfn.XLOOKUP($C15,'-ref_Distribution'!$B$146:$B$150,'-ref_Distribution'!$G$146:$G$150)),RIGHT(AQ$1,2)),"")</f>
        <v>94</v>
      </c>
      <c r="AR15" s="16" cm="1">
        <f t="array" ref="AR15">IFERROR(INDEX(_xlfn.ANCHORARRAY(_xlfn.XLOOKUP($C15,'-ref_Distribution'!$B$146:$B$150,'-ref_Distribution'!$G$146:$G$150)),RIGHT(AR$1,2)),"")</f>
        <v>75</v>
      </c>
      <c r="AS15" s="16" cm="1">
        <f t="array" ref="AS15">IFERROR(INDEX(_xlfn.ANCHORARRAY(_xlfn.XLOOKUP($C15,'-ref_Distribution'!$B$146:$B$150,'-ref_Distribution'!$G$146:$G$150)),RIGHT(AS$1,2)),"")</f>
        <v>94</v>
      </c>
      <c r="AT15" s="16" cm="1">
        <f t="array" ref="AT15">IFERROR(INDEX(_xlfn.ANCHORARRAY(_xlfn.XLOOKUP($C15,'-ref_Distribution'!$B$146:$B$150,'-ref_Distribution'!$G$146:$G$150)),RIGHT(AT$1,2)),"")</f>
        <v>115</v>
      </c>
      <c r="AU15" s="16" cm="1">
        <f t="array" ref="AU15">IFERROR(INDEX(_xlfn.ANCHORARRAY(_xlfn.XLOOKUP($C15,'-ref_Distribution'!$B$146:$B$150,'-ref_Distribution'!$G$146:$G$150)),RIGHT(AU$1,2)),"")</f>
        <v>137</v>
      </c>
      <c r="AV15" s="16" cm="1">
        <f t="array" ref="AV15">IFERROR(INDEX(_xlfn.ANCHORARRAY(_xlfn.XLOOKUP($C15,'-ref_Distribution'!$B$146:$B$150,'-ref_Distribution'!$G$146:$G$150)),RIGHT(AV$1,2)),"")</f>
        <v>160</v>
      </c>
      <c r="AW15" s="16" cm="1">
        <f t="array" ref="AW15">IFERROR(INDEX(_xlfn.ANCHORARRAY(_xlfn.XLOOKUP($C15,'-ref_Distribution'!$B$146:$B$150,'-ref_Distribution'!$G$146:$G$150)),RIGHT(AW$1,2)),"")</f>
        <v>183</v>
      </c>
      <c r="AX15" s="16" cm="1">
        <f t="array" ref="AX15">IFERROR(INDEX(_xlfn.ANCHORARRAY(_xlfn.XLOOKUP($C15,'-ref_Distribution'!$B$146:$B$150,'-ref_Distribution'!$G$146:$G$150)),RIGHT(AX$1,2)),"")</f>
        <v>203</v>
      </c>
      <c r="AY15" s="16" cm="1">
        <f t="array" ref="AY15">IFERROR(INDEX(_xlfn.ANCHORARRAY(_xlfn.XLOOKUP($C15,'-ref_Distribution'!$B$146:$B$150,'-ref_Distribution'!$G$146:$G$150)),RIGHT(AY$1,2)),"")</f>
        <v>221</v>
      </c>
      <c r="AZ15" s="16" cm="1">
        <f t="array" ref="AZ15">IFERROR(INDEX(_xlfn.ANCHORARRAY(_xlfn.XLOOKUP($C15,'-ref_Distribution'!$B$146:$B$150,'-ref_Distribution'!$G$146:$G$150)),RIGHT(AZ$1,2)),"")</f>
        <v>234</v>
      </c>
      <c r="BA15" s="16" cm="1">
        <f t="array" ref="BA15">IFERROR(INDEX(_xlfn.ANCHORARRAY(_xlfn.XLOOKUP($C15,'-ref_Distribution'!$B$146:$B$150,'-ref_Distribution'!$G$146:$G$150)),RIGHT(BA$1,2)),"")</f>
        <v>243</v>
      </c>
      <c r="BB15" s="16" cm="1">
        <f t="array" ref="BB15">IFERROR(INDEX(_xlfn.ANCHORARRAY(_xlfn.XLOOKUP($C15,'-ref_Distribution'!$B$146:$B$150,'-ref_Distribution'!$G$146:$G$150)),RIGHT(BB$1,2)),"")</f>
        <v>245</v>
      </c>
      <c r="BC15" s="16" cm="1">
        <f t="array" ref="BC15">IFERROR(INDEX(_xlfn.ANCHORARRAY(_xlfn.XLOOKUP($C15,'-ref_Distribution'!$B$146:$B$150,'-ref_Distribution'!$G$146:$G$150)),RIGHT(BC$1,2)),"")</f>
        <v>243</v>
      </c>
      <c r="BD15" s="16" cm="1">
        <f t="array" ref="BD15">IFERROR(INDEX(_xlfn.ANCHORARRAY(_xlfn.XLOOKUP($C15,'-ref_Distribution'!$B$146:$B$150,'-ref_Distribution'!$G$146:$G$150)),RIGHT(BD$1,2)),"")</f>
        <v>234</v>
      </c>
      <c r="BE15" s="16" cm="1">
        <f t="array" ref="BE15">IFERROR(INDEX(_xlfn.ANCHORARRAY(_xlfn.XLOOKUP($C15,'-ref_Distribution'!$B$146:$B$150,'-ref_Distribution'!$G$146:$G$150)),RIGHT(BE$1,2)),"")</f>
        <v>221</v>
      </c>
      <c r="BF15" s="16" cm="1">
        <f t="array" ref="BF15">IFERROR(INDEX(_xlfn.ANCHORARRAY(_xlfn.XLOOKUP($C15,'-ref_Distribution'!$B$146:$B$150,'-ref_Distribution'!$G$146:$G$150)),RIGHT(BF$1,2)),"")</f>
        <v>203</v>
      </c>
      <c r="BG15" s="16" cm="1">
        <f t="array" ref="BG15">IFERROR(INDEX(_xlfn.ANCHORARRAY(_xlfn.XLOOKUP($C15,'-ref_Distribution'!$B$146:$B$150,'-ref_Distribution'!$G$146:$G$150)),RIGHT(BG$1,2)),"")</f>
        <v>183</v>
      </c>
      <c r="BH15" s="16" cm="1">
        <f t="array" ref="BH15">IFERROR(INDEX(_xlfn.ANCHORARRAY(_xlfn.XLOOKUP($C15,'-ref_Distribution'!$B$146:$B$150,'-ref_Distribution'!$G$146:$G$150)),RIGHT(BH$1,2)),"")</f>
        <v>160</v>
      </c>
      <c r="BI15" s="16" cm="1">
        <f t="array" ref="BI15">IFERROR(INDEX(_xlfn.ANCHORARRAY(_xlfn.XLOOKUP($C15,'-ref_Distribution'!$B$146:$B$150,'-ref_Distribution'!$G$146:$G$150)),RIGHT(BI$1,2)),"")</f>
        <v>137</v>
      </c>
      <c r="BJ15" s="16" cm="1">
        <f t="array" ref="BJ15">IFERROR(INDEX(_xlfn.ANCHORARRAY(_xlfn.XLOOKUP($C15,'-ref_Distribution'!$B$146:$B$150,'-ref_Distribution'!$G$146:$G$150)),RIGHT(BJ$1,2)),"")</f>
        <v>115</v>
      </c>
      <c r="BK15" s="16" cm="1">
        <f t="array" ref="BK15">IFERROR(INDEX(_xlfn.ANCHORARRAY(_xlfn.XLOOKUP($C15,'-ref_Distribution'!$B$146:$B$150,'-ref_Distribution'!$G$146:$G$150)),RIGHT(BK$1,2)),"")</f>
        <v>94</v>
      </c>
      <c r="BL15" s="16" cm="1">
        <f t="array" ref="BL15">IFERROR(INDEX(_xlfn.ANCHORARRAY(_xlfn.XLOOKUP($C15,'-ref_Distribution'!$B$146:$B$150,'-ref_Distribution'!$G$146:$G$150)),RIGHT(BL$1,2)),"")</f>
        <v>75</v>
      </c>
      <c r="BM15" s="16" cm="1">
        <f t="array" ref="BM15">IFERROR(INDEX(_xlfn.ANCHORARRAY(_xlfn.XLOOKUP($C15,'-ref_Distribution'!$B$146:$B$150,'-ref_Distribution'!$G$146:$G$150)),RIGHT(BM$1,2)),"")</f>
        <v>94</v>
      </c>
      <c r="BN15" s="16" cm="1">
        <f t="array" ref="BN15">IFERROR(INDEX(_xlfn.ANCHORARRAY(_xlfn.XLOOKUP($C15,'-ref_Distribution'!$B$146:$B$150,'-ref_Distribution'!$G$146:$G$150)),RIGHT(BN$1,2)),"")</f>
        <v>115</v>
      </c>
      <c r="BO15" s="16" cm="1">
        <f t="array" ref="BO15">IFERROR(INDEX(_xlfn.ANCHORARRAY(_xlfn.XLOOKUP($C15,'-ref_Distribution'!$B$146:$B$150,'-ref_Distribution'!$G$146:$G$150)),RIGHT(BO$1,2)),"")</f>
        <v>137</v>
      </c>
      <c r="BP15" s="16" cm="1">
        <f t="array" ref="BP15">IFERROR(INDEX(_xlfn.ANCHORARRAY(_xlfn.XLOOKUP($C15,'-ref_Distribution'!$B$146:$B$150,'-ref_Distribution'!$G$146:$G$150)),RIGHT(BP$1,2)),"")</f>
        <v>160</v>
      </c>
      <c r="BQ15" s="16" cm="1">
        <f t="array" ref="BQ15">IFERROR(INDEX(_xlfn.ANCHORARRAY(_xlfn.XLOOKUP($C15,'-ref_Distribution'!$B$146:$B$150,'-ref_Distribution'!$G$146:$G$150)),RIGHT(BQ$1,2)),"")</f>
        <v>183</v>
      </c>
      <c r="BR15" s="16" cm="1">
        <f t="array" ref="BR15">IFERROR(INDEX(_xlfn.ANCHORARRAY(_xlfn.XLOOKUP($C15,'-ref_Distribution'!$B$146:$B$150,'-ref_Distribution'!$G$146:$G$150)),RIGHT(BR$1,2)),"")</f>
        <v>203</v>
      </c>
      <c r="BS15" s="16" cm="1">
        <f t="array" ref="BS15">IFERROR(INDEX(_xlfn.ANCHORARRAY(_xlfn.XLOOKUP($C15,'-ref_Distribution'!$B$146:$B$150,'-ref_Distribution'!$G$146:$G$150)),RIGHT(BS$1,2)),"")</f>
        <v>221</v>
      </c>
      <c r="BT15" s="16" cm="1">
        <f t="array" ref="BT15">IFERROR(INDEX(_xlfn.ANCHORARRAY(_xlfn.XLOOKUP($C15,'-ref_Distribution'!$B$146:$B$150,'-ref_Distribution'!$G$146:$G$150)),RIGHT(BT$1,2)),"")</f>
        <v>234</v>
      </c>
      <c r="BU15" s="16" cm="1">
        <f t="array" ref="BU15">IFERROR(INDEX(_xlfn.ANCHORARRAY(_xlfn.XLOOKUP($C15,'-ref_Distribution'!$B$146:$B$150,'-ref_Distribution'!$G$146:$G$150)),RIGHT(BU$1,2)),"")</f>
        <v>243</v>
      </c>
      <c r="BV15" s="16" cm="1">
        <f t="array" ref="BV15">IFERROR(INDEX(_xlfn.ANCHORARRAY(_xlfn.XLOOKUP($C15,'-ref_Distribution'!$B$146:$B$150,'-ref_Distribution'!$G$146:$G$150)),RIGHT(BV$1,2)),"")</f>
        <v>245</v>
      </c>
      <c r="BW15" s="16" cm="1">
        <f t="array" ref="BW15">IFERROR(INDEX(_xlfn.ANCHORARRAY(_xlfn.XLOOKUP($C15,'-ref_Distribution'!$B$146:$B$150,'-ref_Distribution'!$G$146:$G$150)),RIGHT(BW$1,2)),"")</f>
        <v>243</v>
      </c>
      <c r="BX15" s="16" cm="1">
        <f t="array" ref="BX15">IFERROR(INDEX(_xlfn.ANCHORARRAY(_xlfn.XLOOKUP($C15,'-ref_Distribution'!$B$146:$B$150,'-ref_Distribution'!$G$146:$G$150)),RIGHT(BX$1,2)),"")</f>
        <v>234</v>
      </c>
      <c r="BY15" s="16" cm="1">
        <f t="array" ref="BY15">IFERROR(INDEX(_xlfn.ANCHORARRAY(_xlfn.XLOOKUP($C15,'-ref_Distribution'!$B$146:$B$150,'-ref_Distribution'!$G$146:$G$150)),RIGHT(BY$1,2)),"")</f>
        <v>221</v>
      </c>
      <c r="BZ15" s="16" cm="1">
        <f t="array" ref="BZ15">IFERROR(INDEX(_xlfn.ANCHORARRAY(_xlfn.XLOOKUP($C15,'-ref_Distribution'!$B$146:$B$150,'-ref_Distribution'!$G$146:$G$150)),RIGHT(BZ$1,2)),"")</f>
        <v>203</v>
      </c>
      <c r="CA15" s="16" cm="1">
        <f t="array" ref="CA15">IFERROR(INDEX(_xlfn.ANCHORARRAY(_xlfn.XLOOKUP($C15,'-ref_Distribution'!$B$146:$B$150,'-ref_Distribution'!$G$146:$G$150)),RIGHT(CA$1,2)),"")</f>
        <v>183</v>
      </c>
      <c r="CB15" s="16" cm="1">
        <f t="array" ref="CB15">IFERROR(INDEX(_xlfn.ANCHORARRAY(_xlfn.XLOOKUP($C15,'-ref_Distribution'!$B$146:$B$150,'-ref_Distribution'!$G$146:$G$150)),RIGHT(CB$1,2)),"")</f>
        <v>160</v>
      </c>
      <c r="CC15" s="16" cm="1">
        <f t="array" ref="CC15">IFERROR(INDEX(_xlfn.ANCHORARRAY(_xlfn.XLOOKUP($C15,'-ref_Distribution'!$B$146:$B$150,'-ref_Distribution'!$G$146:$G$150)),RIGHT(CC$1,2)),"")</f>
        <v>137</v>
      </c>
      <c r="CD15" s="16" cm="1">
        <f t="array" ref="CD15">IFERROR(INDEX(_xlfn.ANCHORARRAY(_xlfn.XLOOKUP($C15,'-ref_Distribution'!$B$146:$B$150,'-ref_Distribution'!$G$146:$G$150)),RIGHT(CD$1,2)),"")</f>
        <v>115</v>
      </c>
      <c r="CE15" s="16" cm="1">
        <f t="array" ref="CE15">IFERROR(INDEX(_xlfn.ANCHORARRAY(_xlfn.XLOOKUP($C15,'-ref_Distribution'!$B$146:$B$150,'-ref_Distribution'!$G$146:$G$150)),RIGHT(CE$1,2)),"")</f>
        <v>94</v>
      </c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</row>
    <row r="16" spans="1:95" x14ac:dyDescent="0.2">
      <c r="A16" s="16">
        <v>300044</v>
      </c>
      <c r="B16" s="16" t="s">
        <v>202</v>
      </c>
      <c r="C16" s="16">
        <v>3</v>
      </c>
      <c r="D16" s="16" cm="1">
        <f t="array" ref="D16">IFERROR(INDEX(_xlfn.ANCHORARRAY(_xlfn.XLOOKUP($C16,'-ref_Distribution'!$B$146:$B$150,'-ref_Distribution'!$G$146:$G$150)),RIGHT(D$1,2)),"")</f>
        <v>4</v>
      </c>
      <c r="E16" s="16" cm="1">
        <f t="array" ref="E16">IFERROR(INDEX(_xlfn.ANCHORARRAY(_xlfn.XLOOKUP($C16,'-ref_Distribution'!$B$146:$B$150,'-ref_Distribution'!$G$146:$G$150)),RIGHT(E$1,2)),"")</f>
        <v>6</v>
      </c>
      <c r="F16" s="16" cm="1">
        <f t="array" ref="F16">IFERROR(INDEX(_xlfn.ANCHORARRAY(_xlfn.XLOOKUP($C16,'-ref_Distribution'!$B$146:$B$150,'-ref_Distribution'!$G$146:$G$150)),RIGHT(F$1,2)),"")</f>
        <v>9</v>
      </c>
      <c r="G16" s="16" cm="1">
        <f t="array" ref="G16">IFERROR(INDEX(_xlfn.ANCHORARRAY(_xlfn.XLOOKUP($C16,'-ref_Distribution'!$B$146:$B$150,'-ref_Distribution'!$G$146:$G$150)),RIGHT(G$1,2)),"")</f>
        <v>14</v>
      </c>
      <c r="H16" s="16" cm="1">
        <f t="array" ref="H16">IFERROR(INDEX(_xlfn.ANCHORARRAY(_xlfn.XLOOKUP($C16,'-ref_Distribution'!$B$146:$B$150,'-ref_Distribution'!$G$146:$G$150)),RIGHT(H$1,2)),"")</f>
        <v>20</v>
      </c>
      <c r="I16" s="16" cm="1">
        <f t="array" ref="I16">IFERROR(INDEX(_xlfn.ANCHORARRAY(_xlfn.XLOOKUP($C16,'-ref_Distribution'!$B$146:$B$150,'-ref_Distribution'!$G$146:$G$150)),RIGHT(I$1,2)),"")</f>
        <v>28</v>
      </c>
      <c r="J16" s="16" cm="1">
        <f t="array" ref="J16">IFERROR(INDEX(_xlfn.ANCHORARRAY(_xlfn.XLOOKUP($C16,'-ref_Distribution'!$B$146:$B$150,'-ref_Distribution'!$G$146:$G$150)),RIGHT(J$1,2)),"")</f>
        <v>38</v>
      </c>
      <c r="K16" s="16" cm="1">
        <f t="array" ref="K16">IFERROR(INDEX(_xlfn.ANCHORARRAY(_xlfn.XLOOKUP($C16,'-ref_Distribution'!$B$146:$B$150,'-ref_Distribution'!$G$146:$G$150)),RIGHT(K$1,2)),"")</f>
        <v>51</v>
      </c>
      <c r="L16" s="16" cm="1">
        <f t="array" ref="L16">IFERROR(INDEX(_xlfn.ANCHORARRAY(_xlfn.XLOOKUP($C16,'-ref_Distribution'!$B$146:$B$150,'-ref_Distribution'!$G$146:$G$150)),RIGHT(L$1,2)),"")</f>
        <v>65</v>
      </c>
      <c r="M16" s="16" cm="1">
        <f t="array" ref="M16">IFERROR(INDEX(_xlfn.ANCHORARRAY(_xlfn.XLOOKUP($C16,'-ref_Distribution'!$B$146:$B$150,'-ref_Distribution'!$G$146:$G$150)),RIGHT(M$1,2)),"")</f>
        <v>80</v>
      </c>
      <c r="N16" s="16" cm="1">
        <f t="array" ref="N16">IFERROR(INDEX(_xlfn.ANCHORARRAY(_xlfn.XLOOKUP($C16,'-ref_Distribution'!$B$146:$B$150,'-ref_Distribution'!$G$146:$G$150)),RIGHT(N$1,2)),"")</f>
        <v>96</v>
      </c>
      <c r="O16" s="16" cm="1">
        <f t="array" ref="O16">IFERROR(INDEX(_xlfn.ANCHORARRAY(_xlfn.XLOOKUP($C16,'-ref_Distribution'!$B$146:$B$150,'-ref_Distribution'!$G$146:$G$150)),RIGHT(O$1,2)),"")</f>
        <v>111</v>
      </c>
      <c r="P16" s="16" cm="1">
        <f t="array" ref="P16">IFERROR(INDEX(_xlfn.ANCHORARRAY(_xlfn.XLOOKUP($C16,'-ref_Distribution'!$B$146:$B$150,'-ref_Distribution'!$G$146:$G$150)),RIGHT(P$1,2)),"")</f>
        <v>125</v>
      </c>
      <c r="Q16" s="16" cm="1">
        <f t="array" ref="Q16">IFERROR(INDEX(_xlfn.ANCHORARRAY(_xlfn.XLOOKUP($C16,'-ref_Distribution'!$B$146:$B$150,'-ref_Distribution'!$G$146:$G$150)),RIGHT(Q$1,2)),"")</f>
        <v>135</v>
      </c>
      <c r="R16" s="16" cm="1">
        <f t="array" ref="R16">IFERROR(INDEX(_xlfn.ANCHORARRAY(_xlfn.XLOOKUP($C16,'-ref_Distribution'!$B$146:$B$150,'-ref_Distribution'!$G$146:$G$150)),RIGHT(R$1,2)),"")</f>
        <v>142</v>
      </c>
      <c r="S16" s="16" cm="1">
        <f t="array" ref="S16">IFERROR(INDEX(_xlfn.ANCHORARRAY(_xlfn.XLOOKUP($C16,'-ref_Distribution'!$B$146:$B$150,'-ref_Distribution'!$G$146:$G$150)),RIGHT(S$1,2)),"")</f>
        <v>144</v>
      </c>
      <c r="T16" s="16" cm="1">
        <f t="array" ref="T16">IFERROR(INDEX(_xlfn.ANCHORARRAY(_xlfn.XLOOKUP($C16,'-ref_Distribution'!$B$146:$B$150,'-ref_Distribution'!$G$146:$G$150)),RIGHT(T$1,2)),"")</f>
        <v>142</v>
      </c>
      <c r="U16" s="16" cm="1">
        <f t="array" ref="U16">IFERROR(INDEX(_xlfn.ANCHORARRAY(_xlfn.XLOOKUP($C16,'-ref_Distribution'!$B$146:$B$150,'-ref_Distribution'!$G$146:$G$150)),RIGHT(U$1,2)),"")</f>
        <v>135</v>
      </c>
      <c r="V16" s="16" cm="1">
        <f t="array" ref="V16">IFERROR(INDEX(_xlfn.ANCHORARRAY(_xlfn.XLOOKUP($C16,'-ref_Distribution'!$B$146:$B$150,'-ref_Distribution'!$G$146:$G$150)),RIGHT(V$1,2)),"")</f>
        <v>125</v>
      </c>
      <c r="W16" s="16" cm="1">
        <f t="array" ref="W16">IFERROR(INDEX(_xlfn.ANCHORARRAY(_xlfn.XLOOKUP($C16,'-ref_Distribution'!$B$146:$B$150,'-ref_Distribution'!$G$146:$G$150)),RIGHT(W$1,2)),"")</f>
        <v>111</v>
      </c>
      <c r="X16" s="16" cm="1">
        <f t="array" ref="X16">IFERROR(INDEX(_xlfn.ANCHORARRAY(_xlfn.XLOOKUP($C16,'-ref_Distribution'!$B$146:$B$150,'-ref_Distribution'!$G$146:$G$150)),RIGHT(X$1,2)),"")</f>
        <v>4</v>
      </c>
      <c r="Y16" s="16" cm="1">
        <f t="array" ref="Y16">IFERROR(INDEX(_xlfn.ANCHORARRAY(_xlfn.XLOOKUP($C16,'-ref_Distribution'!$B$146:$B$150,'-ref_Distribution'!$G$146:$G$150)),RIGHT(Y$1,2)),"")</f>
        <v>6</v>
      </c>
      <c r="Z16" s="16" cm="1">
        <f t="array" ref="Z16">IFERROR(INDEX(_xlfn.ANCHORARRAY(_xlfn.XLOOKUP($C16,'-ref_Distribution'!$B$146:$B$150,'-ref_Distribution'!$G$146:$G$150)),RIGHT(Z$1,2)),"")</f>
        <v>9</v>
      </c>
      <c r="AA16" s="16" cm="1">
        <f t="array" ref="AA16">IFERROR(INDEX(_xlfn.ANCHORARRAY(_xlfn.XLOOKUP($C16,'-ref_Distribution'!$B$146:$B$150,'-ref_Distribution'!$G$146:$G$150)),RIGHT(AA$1,2)),"")</f>
        <v>14</v>
      </c>
      <c r="AB16" s="16" cm="1">
        <f t="array" ref="AB16">IFERROR(INDEX(_xlfn.ANCHORARRAY(_xlfn.XLOOKUP($C16,'-ref_Distribution'!$B$146:$B$150,'-ref_Distribution'!$G$146:$G$150)),RIGHT(AB$1,2)),"")</f>
        <v>20</v>
      </c>
      <c r="AC16" s="16" cm="1">
        <f t="array" ref="AC16">IFERROR(INDEX(_xlfn.ANCHORARRAY(_xlfn.XLOOKUP($C16,'-ref_Distribution'!$B$146:$B$150,'-ref_Distribution'!$G$146:$G$150)),RIGHT(AC$1,2)),"")</f>
        <v>28</v>
      </c>
      <c r="AD16" s="16" cm="1">
        <f t="array" ref="AD16">IFERROR(INDEX(_xlfn.ANCHORARRAY(_xlfn.XLOOKUP($C16,'-ref_Distribution'!$B$146:$B$150,'-ref_Distribution'!$G$146:$G$150)),RIGHT(AD$1,2)),"")</f>
        <v>38</v>
      </c>
      <c r="AE16" s="16" cm="1">
        <f t="array" ref="AE16">IFERROR(INDEX(_xlfn.ANCHORARRAY(_xlfn.XLOOKUP($C16,'-ref_Distribution'!$B$146:$B$150,'-ref_Distribution'!$G$146:$G$150)),RIGHT(AE$1,2)),"")</f>
        <v>51</v>
      </c>
      <c r="AF16" s="16" cm="1">
        <f t="array" ref="AF16">IFERROR(INDEX(_xlfn.ANCHORARRAY(_xlfn.XLOOKUP($C16,'-ref_Distribution'!$B$146:$B$150,'-ref_Distribution'!$G$146:$G$150)),RIGHT(AF$1,2)),"")</f>
        <v>65</v>
      </c>
      <c r="AG16" s="16" cm="1">
        <f t="array" ref="AG16">IFERROR(INDEX(_xlfn.ANCHORARRAY(_xlfn.XLOOKUP($C16,'-ref_Distribution'!$B$146:$B$150,'-ref_Distribution'!$G$146:$G$150)),RIGHT(AG$1,2)),"")</f>
        <v>80</v>
      </c>
      <c r="AH16" s="16" cm="1">
        <f t="array" ref="AH16">IFERROR(INDEX(_xlfn.ANCHORARRAY(_xlfn.XLOOKUP($C16,'-ref_Distribution'!$B$146:$B$150,'-ref_Distribution'!$G$146:$G$150)),RIGHT(AH$1,2)),"")</f>
        <v>96</v>
      </c>
      <c r="AI16" s="16" cm="1">
        <f t="array" ref="AI16">IFERROR(INDEX(_xlfn.ANCHORARRAY(_xlfn.XLOOKUP($C16,'-ref_Distribution'!$B$146:$B$150,'-ref_Distribution'!$G$146:$G$150)),RIGHT(AI$1,2)),"")</f>
        <v>111</v>
      </c>
      <c r="AJ16" s="16" cm="1">
        <f t="array" ref="AJ16">IFERROR(INDEX(_xlfn.ANCHORARRAY(_xlfn.XLOOKUP($C16,'-ref_Distribution'!$B$146:$B$150,'-ref_Distribution'!$G$146:$G$150)),RIGHT(AJ$1,2)),"")</f>
        <v>125</v>
      </c>
      <c r="AK16" s="16" cm="1">
        <f t="array" ref="AK16">IFERROR(INDEX(_xlfn.ANCHORARRAY(_xlfn.XLOOKUP($C16,'-ref_Distribution'!$B$146:$B$150,'-ref_Distribution'!$G$146:$G$150)),RIGHT(AK$1,2)),"")</f>
        <v>135</v>
      </c>
      <c r="AL16" s="16" cm="1">
        <f t="array" ref="AL16">IFERROR(INDEX(_xlfn.ANCHORARRAY(_xlfn.XLOOKUP($C16,'-ref_Distribution'!$B$146:$B$150,'-ref_Distribution'!$G$146:$G$150)),RIGHT(AL$1,2)),"")</f>
        <v>142</v>
      </c>
      <c r="AM16" s="16" cm="1">
        <f t="array" ref="AM16">IFERROR(INDEX(_xlfn.ANCHORARRAY(_xlfn.XLOOKUP($C16,'-ref_Distribution'!$B$146:$B$150,'-ref_Distribution'!$G$146:$G$150)),RIGHT(AM$1,2)),"")</f>
        <v>144</v>
      </c>
      <c r="AN16" s="16" cm="1">
        <f t="array" ref="AN16">IFERROR(INDEX(_xlfn.ANCHORARRAY(_xlfn.XLOOKUP($C16,'-ref_Distribution'!$B$146:$B$150,'-ref_Distribution'!$G$146:$G$150)),RIGHT(AN$1,2)),"")</f>
        <v>142</v>
      </c>
      <c r="AO16" s="16" cm="1">
        <f t="array" ref="AO16">IFERROR(INDEX(_xlfn.ANCHORARRAY(_xlfn.XLOOKUP($C16,'-ref_Distribution'!$B$146:$B$150,'-ref_Distribution'!$G$146:$G$150)),RIGHT(AO$1,2)),"")</f>
        <v>135</v>
      </c>
      <c r="AP16" s="16" cm="1">
        <f t="array" ref="AP16">IFERROR(INDEX(_xlfn.ANCHORARRAY(_xlfn.XLOOKUP($C16,'-ref_Distribution'!$B$146:$B$150,'-ref_Distribution'!$G$146:$G$150)),RIGHT(AP$1,2)),"")</f>
        <v>125</v>
      </c>
      <c r="AQ16" s="16" cm="1">
        <f t="array" ref="AQ16">IFERROR(INDEX(_xlfn.ANCHORARRAY(_xlfn.XLOOKUP($C16,'-ref_Distribution'!$B$146:$B$150,'-ref_Distribution'!$G$146:$G$150)),RIGHT(AQ$1,2)),"")</f>
        <v>111</v>
      </c>
      <c r="AR16" s="16" cm="1">
        <f t="array" ref="AR16">IFERROR(INDEX(_xlfn.ANCHORARRAY(_xlfn.XLOOKUP($C16,'-ref_Distribution'!$B$146:$B$150,'-ref_Distribution'!$G$146:$G$150)),RIGHT(AR$1,2)),"")</f>
        <v>4</v>
      </c>
      <c r="AS16" s="16" cm="1">
        <f t="array" ref="AS16">IFERROR(INDEX(_xlfn.ANCHORARRAY(_xlfn.XLOOKUP($C16,'-ref_Distribution'!$B$146:$B$150,'-ref_Distribution'!$G$146:$G$150)),RIGHT(AS$1,2)),"")</f>
        <v>6</v>
      </c>
      <c r="AT16" s="16" cm="1">
        <f t="array" ref="AT16">IFERROR(INDEX(_xlfn.ANCHORARRAY(_xlfn.XLOOKUP($C16,'-ref_Distribution'!$B$146:$B$150,'-ref_Distribution'!$G$146:$G$150)),RIGHT(AT$1,2)),"")</f>
        <v>9</v>
      </c>
      <c r="AU16" s="16" cm="1">
        <f t="array" ref="AU16">IFERROR(INDEX(_xlfn.ANCHORARRAY(_xlfn.XLOOKUP($C16,'-ref_Distribution'!$B$146:$B$150,'-ref_Distribution'!$G$146:$G$150)),RIGHT(AU$1,2)),"")</f>
        <v>14</v>
      </c>
      <c r="AV16" s="16" cm="1">
        <f t="array" ref="AV16">IFERROR(INDEX(_xlfn.ANCHORARRAY(_xlfn.XLOOKUP($C16,'-ref_Distribution'!$B$146:$B$150,'-ref_Distribution'!$G$146:$G$150)),RIGHT(AV$1,2)),"")</f>
        <v>20</v>
      </c>
      <c r="AW16" s="16" cm="1">
        <f t="array" ref="AW16">IFERROR(INDEX(_xlfn.ANCHORARRAY(_xlfn.XLOOKUP($C16,'-ref_Distribution'!$B$146:$B$150,'-ref_Distribution'!$G$146:$G$150)),RIGHT(AW$1,2)),"")</f>
        <v>28</v>
      </c>
      <c r="AX16" s="16" cm="1">
        <f t="array" ref="AX16">IFERROR(INDEX(_xlfn.ANCHORARRAY(_xlfn.XLOOKUP($C16,'-ref_Distribution'!$B$146:$B$150,'-ref_Distribution'!$G$146:$G$150)),RIGHT(AX$1,2)),"")</f>
        <v>38</v>
      </c>
      <c r="AY16" s="16" cm="1">
        <f t="array" ref="AY16">IFERROR(INDEX(_xlfn.ANCHORARRAY(_xlfn.XLOOKUP($C16,'-ref_Distribution'!$B$146:$B$150,'-ref_Distribution'!$G$146:$G$150)),RIGHT(AY$1,2)),"")</f>
        <v>51</v>
      </c>
      <c r="AZ16" s="16" cm="1">
        <f t="array" ref="AZ16">IFERROR(INDEX(_xlfn.ANCHORARRAY(_xlfn.XLOOKUP($C16,'-ref_Distribution'!$B$146:$B$150,'-ref_Distribution'!$G$146:$G$150)),RIGHT(AZ$1,2)),"")</f>
        <v>65</v>
      </c>
      <c r="BA16" s="16" cm="1">
        <f t="array" ref="BA16">IFERROR(INDEX(_xlfn.ANCHORARRAY(_xlfn.XLOOKUP($C16,'-ref_Distribution'!$B$146:$B$150,'-ref_Distribution'!$G$146:$G$150)),RIGHT(BA$1,2)),"")</f>
        <v>80</v>
      </c>
      <c r="BB16" s="16" cm="1">
        <f t="array" ref="BB16">IFERROR(INDEX(_xlfn.ANCHORARRAY(_xlfn.XLOOKUP($C16,'-ref_Distribution'!$B$146:$B$150,'-ref_Distribution'!$G$146:$G$150)),RIGHT(BB$1,2)),"")</f>
        <v>96</v>
      </c>
      <c r="BC16" s="16" cm="1">
        <f t="array" ref="BC16">IFERROR(INDEX(_xlfn.ANCHORARRAY(_xlfn.XLOOKUP($C16,'-ref_Distribution'!$B$146:$B$150,'-ref_Distribution'!$G$146:$G$150)),RIGHT(BC$1,2)),"")</f>
        <v>111</v>
      </c>
      <c r="BD16" s="16" cm="1">
        <f t="array" ref="BD16">IFERROR(INDEX(_xlfn.ANCHORARRAY(_xlfn.XLOOKUP($C16,'-ref_Distribution'!$B$146:$B$150,'-ref_Distribution'!$G$146:$G$150)),RIGHT(BD$1,2)),"")</f>
        <v>125</v>
      </c>
      <c r="BE16" s="16" cm="1">
        <f t="array" ref="BE16">IFERROR(INDEX(_xlfn.ANCHORARRAY(_xlfn.XLOOKUP($C16,'-ref_Distribution'!$B$146:$B$150,'-ref_Distribution'!$G$146:$G$150)),RIGHT(BE$1,2)),"")</f>
        <v>135</v>
      </c>
      <c r="BF16" s="16" cm="1">
        <f t="array" ref="BF16">IFERROR(INDEX(_xlfn.ANCHORARRAY(_xlfn.XLOOKUP($C16,'-ref_Distribution'!$B$146:$B$150,'-ref_Distribution'!$G$146:$G$150)),RIGHT(BF$1,2)),"")</f>
        <v>142</v>
      </c>
      <c r="BG16" s="16" cm="1">
        <f t="array" ref="BG16">IFERROR(INDEX(_xlfn.ANCHORARRAY(_xlfn.XLOOKUP($C16,'-ref_Distribution'!$B$146:$B$150,'-ref_Distribution'!$G$146:$G$150)),RIGHT(BG$1,2)),"")</f>
        <v>144</v>
      </c>
      <c r="BH16" s="16" cm="1">
        <f t="array" ref="BH16">IFERROR(INDEX(_xlfn.ANCHORARRAY(_xlfn.XLOOKUP($C16,'-ref_Distribution'!$B$146:$B$150,'-ref_Distribution'!$G$146:$G$150)),RIGHT(BH$1,2)),"")</f>
        <v>142</v>
      </c>
      <c r="BI16" s="16" cm="1">
        <f t="array" ref="BI16">IFERROR(INDEX(_xlfn.ANCHORARRAY(_xlfn.XLOOKUP($C16,'-ref_Distribution'!$B$146:$B$150,'-ref_Distribution'!$G$146:$G$150)),RIGHT(BI$1,2)),"")</f>
        <v>135</v>
      </c>
      <c r="BJ16" s="16" cm="1">
        <f t="array" ref="BJ16">IFERROR(INDEX(_xlfn.ANCHORARRAY(_xlfn.XLOOKUP($C16,'-ref_Distribution'!$B$146:$B$150,'-ref_Distribution'!$G$146:$G$150)),RIGHT(BJ$1,2)),"")</f>
        <v>125</v>
      </c>
      <c r="BK16" s="16" cm="1">
        <f t="array" ref="BK16">IFERROR(INDEX(_xlfn.ANCHORARRAY(_xlfn.XLOOKUP($C16,'-ref_Distribution'!$B$146:$B$150,'-ref_Distribution'!$G$146:$G$150)),RIGHT(BK$1,2)),"")</f>
        <v>111</v>
      </c>
      <c r="BL16" s="16" cm="1">
        <f t="array" ref="BL16">IFERROR(INDEX(_xlfn.ANCHORARRAY(_xlfn.XLOOKUP($C16,'-ref_Distribution'!$B$146:$B$150,'-ref_Distribution'!$G$146:$G$150)),RIGHT(BL$1,2)),"")</f>
        <v>4</v>
      </c>
      <c r="BM16" s="16" cm="1">
        <f t="array" ref="BM16">IFERROR(INDEX(_xlfn.ANCHORARRAY(_xlfn.XLOOKUP($C16,'-ref_Distribution'!$B$146:$B$150,'-ref_Distribution'!$G$146:$G$150)),RIGHT(BM$1,2)),"")</f>
        <v>6</v>
      </c>
      <c r="BN16" s="16" cm="1">
        <f t="array" ref="BN16">IFERROR(INDEX(_xlfn.ANCHORARRAY(_xlfn.XLOOKUP($C16,'-ref_Distribution'!$B$146:$B$150,'-ref_Distribution'!$G$146:$G$150)),RIGHT(BN$1,2)),"")</f>
        <v>9</v>
      </c>
      <c r="BO16" s="16" cm="1">
        <f t="array" ref="BO16">IFERROR(INDEX(_xlfn.ANCHORARRAY(_xlfn.XLOOKUP($C16,'-ref_Distribution'!$B$146:$B$150,'-ref_Distribution'!$G$146:$G$150)),RIGHT(BO$1,2)),"")</f>
        <v>14</v>
      </c>
      <c r="BP16" s="16" cm="1">
        <f t="array" ref="BP16">IFERROR(INDEX(_xlfn.ANCHORARRAY(_xlfn.XLOOKUP($C16,'-ref_Distribution'!$B$146:$B$150,'-ref_Distribution'!$G$146:$G$150)),RIGHT(BP$1,2)),"")</f>
        <v>20</v>
      </c>
      <c r="BQ16" s="16" cm="1">
        <f t="array" ref="BQ16">IFERROR(INDEX(_xlfn.ANCHORARRAY(_xlfn.XLOOKUP($C16,'-ref_Distribution'!$B$146:$B$150,'-ref_Distribution'!$G$146:$G$150)),RIGHT(BQ$1,2)),"")</f>
        <v>28</v>
      </c>
      <c r="BR16" s="16" cm="1">
        <f t="array" ref="BR16">IFERROR(INDEX(_xlfn.ANCHORARRAY(_xlfn.XLOOKUP($C16,'-ref_Distribution'!$B$146:$B$150,'-ref_Distribution'!$G$146:$G$150)),RIGHT(BR$1,2)),"")</f>
        <v>38</v>
      </c>
      <c r="BS16" s="16" cm="1">
        <f t="array" ref="BS16">IFERROR(INDEX(_xlfn.ANCHORARRAY(_xlfn.XLOOKUP($C16,'-ref_Distribution'!$B$146:$B$150,'-ref_Distribution'!$G$146:$G$150)),RIGHT(BS$1,2)),"")</f>
        <v>51</v>
      </c>
      <c r="BT16" s="16" cm="1">
        <f t="array" ref="BT16">IFERROR(INDEX(_xlfn.ANCHORARRAY(_xlfn.XLOOKUP($C16,'-ref_Distribution'!$B$146:$B$150,'-ref_Distribution'!$G$146:$G$150)),RIGHT(BT$1,2)),"")</f>
        <v>65</v>
      </c>
      <c r="BU16" s="16" cm="1">
        <f t="array" ref="BU16">IFERROR(INDEX(_xlfn.ANCHORARRAY(_xlfn.XLOOKUP($C16,'-ref_Distribution'!$B$146:$B$150,'-ref_Distribution'!$G$146:$G$150)),RIGHT(BU$1,2)),"")</f>
        <v>80</v>
      </c>
      <c r="BV16" s="16" cm="1">
        <f t="array" ref="BV16">IFERROR(INDEX(_xlfn.ANCHORARRAY(_xlfn.XLOOKUP($C16,'-ref_Distribution'!$B$146:$B$150,'-ref_Distribution'!$G$146:$G$150)),RIGHT(BV$1,2)),"")</f>
        <v>96</v>
      </c>
      <c r="BW16" s="16" cm="1">
        <f t="array" ref="BW16">IFERROR(INDEX(_xlfn.ANCHORARRAY(_xlfn.XLOOKUP($C16,'-ref_Distribution'!$B$146:$B$150,'-ref_Distribution'!$G$146:$G$150)),RIGHT(BW$1,2)),"")</f>
        <v>111</v>
      </c>
      <c r="BX16" s="16" cm="1">
        <f t="array" ref="BX16">IFERROR(INDEX(_xlfn.ANCHORARRAY(_xlfn.XLOOKUP($C16,'-ref_Distribution'!$B$146:$B$150,'-ref_Distribution'!$G$146:$G$150)),RIGHT(BX$1,2)),"")</f>
        <v>125</v>
      </c>
      <c r="BY16" s="16" cm="1">
        <f t="array" ref="BY16">IFERROR(INDEX(_xlfn.ANCHORARRAY(_xlfn.XLOOKUP($C16,'-ref_Distribution'!$B$146:$B$150,'-ref_Distribution'!$G$146:$G$150)),RIGHT(BY$1,2)),"")</f>
        <v>135</v>
      </c>
      <c r="BZ16" s="16" cm="1">
        <f t="array" ref="BZ16">IFERROR(INDEX(_xlfn.ANCHORARRAY(_xlfn.XLOOKUP($C16,'-ref_Distribution'!$B$146:$B$150,'-ref_Distribution'!$G$146:$G$150)),RIGHT(BZ$1,2)),"")</f>
        <v>142</v>
      </c>
      <c r="CA16" s="16" cm="1">
        <f t="array" ref="CA16">IFERROR(INDEX(_xlfn.ANCHORARRAY(_xlfn.XLOOKUP($C16,'-ref_Distribution'!$B$146:$B$150,'-ref_Distribution'!$G$146:$G$150)),RIGHT(CA$1,2)),"")</f>
        <v>144</v>
      </c>
      <c r="CB16" s="16" cm="1">
        <f t="array" ref="CB16">IFERROR(INDEX(_xlfn.ANCHORARRAY(_xlfn.XLOOKUP($C16,'-ref_Distribution'!$B$146:$B$150,'-ref_Distribution'!$G$146:$G$150)),RIGHT(CB$1,2)),"")</f>
        <v>142</v>
      </c>
      <c r="CC16" s="16" cm="1">
        <f t="array" ref="CC16">IFERROR(INDEX(_xlfn.ANCHORARRAY(_xlfn.XLOOKUP($C16,'-ref_Distribution'!$B$146:$B$150,'-ref_Distribution'!$G$146:$G$150)),RIGHT(CC$1,2)),"")</f>
        <v>135</v>
      </c>
      <c r="CD16" s="16" cm="1">
        <f t="array" ref="CD16">IFERROR(INDEX(_xlfn.ANCHORARRAY(_xlfn.XLOOKUP($C16,'-ref_Distribution'!$B$146:$B$150,'-ref_Distribution'!$G$146:$G$150)),RIGHT(CD$1,2)),"")</f>
        <v>125</v>
      </c>
      <c r="CE16" s="16" cm="1">
        <f t="array" ref="CE16">IFERROR(INDEX(_xlfn.ANCHORARRAY(_xlfn.XLOOKUP($C16,'-ref_Distribution'!$B$146:$B$150,'-ref_Distribution'!$G$146:$G$150)),RIGHT(CE$1,2)),"")</f>
        <v>111</v>
      </c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</row>
    <row r="17" spans="1:95" x14ac:dyDescent="0.2">
      <c r="A17" s="16">
        <v>300071</v>
      </c>
      <c r="B17" s="16" t="s">
        <v>280</v>
      </c>
      <c r="C17" s="16">
        <v>0</v>
      </c>
      <c r="D17" s="16" cm="1">
        <f t="array" ref="D17">IFERROR(INDEX(_xlfn.ANCHORARRAY(_xlfn.XLOOKUP($C17,'-ref_Distribution'!$B$146:$B$150,'-ref_Distribution'!$G$146:$G$150)),RIGHT(D$1,2)),"")</f>
        <v>709</v>
      </c>
      <c r="E17" s="16" cm="1">
        <f t="array" ref="E17">IFERROR(INDEX(_xlfn.ANCHORARRAY(_xlfn.XLOOKUP($C17,'-ref_Distribution'!$B$146:$B$150,'-ref_Distribution'!$G$146:$G$150)),RIGHT(E$1,2)),"")</f>
        <v>705</v>
      </c>
      <c r="F17" s="16" cm="1">
        <f t="array" ref="F17">IFERROR(INDEX(_xlfn.ANCHORARRAY(_xlfn.XLOOKUP($C17,'-ref_Distribution'!$B$146:$B$150,'-ref_Distribution'!$G$146:$G$150)),RIGHT(F$1,2)),"")</f>
        <v>692</v>
      </c>
      <c r="G17" s="16" cm="1">
        <f t="array" ref="G17">IFERROR(INDEX(_xlfn.ANCHORARRAY(_xlfn.XLOOKUP($C17,'-ref_Distribution'!$B$146:$B$150,'-ref_Distribution'!$G$146:$G$150)),RIGHT(G$1,2)),"")</f>
        <v>671</v>
      </c>
      <c r="H17" s="16" cm="1">
        <f t="array" ref="H17">IFERROR(INDEX(_xlfn.ANCHORARRAY(_xlfn.XLOOKUP($C17,'-ref_Distribution'!$B$146:$B$150,'-ref_Distribution'!$G$146:$G$150)),RIGHT(H$1,2)),"")</f>
        <v>643</v>
      </c>
      <c r="I17" s="16" cm="1">
        <f t="array" ref="I17">IFERROR(INDEX(_xlfn.ANCHORARRAY(_xlfn.XLOOKUP($C17,'-ref_Distribution'!$B$146:$B$150,'-ref_Distribution'!$G$146:$G$150)),RIGHT(I$1,2)),"")</f>
        <v>608</v>
      </c>
      <c r="J17" s="16" cm="1">
        <f t="array" ref="J17">IFERROR(INDEX(_xlfn.ANCHORARRAY(_xlfn.XLOOKUP($C17,'-ref_Distribution'!$B$146:$B$150,'-ref_Distribution'!$G$146:$G$150)),RIGHT(J$1,2)),"")</f>
        <v>568</v>
      </c>
      <c r="K17" s="16" cm="1">
        <f t="array" ref="K17">IFERROR(INDEX(_xlfn.ANCHORARRAY(_xlfn.XLOOKUP($C17,'-ref_Distribution'!$B$146:$B$150,'-ref_Distribution'!$G$146:$G$150)),RIGHT(K$1,2)),"")</f>
        <v>524</v>
      </c>
      <c r="L17" s="16" cm="1">
        <f t="array" ref="L17">IFERROR(INDEX(_xlfn.ANCHORARRAY(_xlfn.XLOOKUP($C17,'-ref_Distribution'!$B$146:$B$150,'-ref_Distribution'!$G$146:$G$150)),RIGHT(L$1,2)),"")</f>
        <v>478</v>
      </c>
      <c r="M17" s="16" cm="1">
        <f t="array" ref="M17">IFERROR(INDEX(_xlfn.ANCHORARRAY(_xlfn.XLOOKUP($C17,'-ref_Distribution'!$B$146:$B$150,'-ref_Distribution'!$G$146:$G$150)),RIGHT(M$1,2)),"")</f>
        <v>430</v>
      </c>
      <c r="N17" s="16" cm="1">
        <f t="array" ref="N17">IFERROR(INDEX(_xlfn.ANCHORARRAY(_xlfn.XLOOKUP($C17,'-ref_Distribution'!$B$146:$B$150,'-ref_Distribution'!$G$146:$G$150)),RIGHT(N$1,2)),"")</f>
        <v>383</v>
      </c>
      <c r="O17" s="16" cm="1">
        <f t="array" ref="O17">IFERROR(INDEX(_xlfn.ANCHORARRAY(_xlfn.XLOOKUP($C17,'-ref_Distribution'!$B$146:$B$150,'-ref_Distribution'!$G$146:$G$150)),RIGHT(O$1,2)),"")</f>
        <v>336</v>
      </c>
      <c r="P17" s="16" cm="1">
        <f t="array" ref="P17">IFERROR(INDEX(_xlfn.ANCHORARRAY(_xlfn.XLOOKUP($C17,'-ref_Distribution'!$B$146:$B$150,'-ref_Distribution'!$G$146:$G$150)),RIGHT(P$1,2)),"")</f>
        <v>292</v>
      </c>
      <c r="Q17" s="16" cm="1">
        <f t="array" ref="Q17">IFERROR(INDEX(_xlfn.ANCHORARRAY(_xlfn.XLOOKUP($C17,'-ref_Distribution'!$B$146:$B$150,'-ref_Distribution'!$G$146:$G$150)),RIGHT(Q$1,2)),"")</f>
        <v>250</v>
      </c>
      <c r="R17" s="16" cm="1">
        <f t="array" ref="R17">IFERROR(INDEX(_xlfn.ANCHORARRAY(_xlfn.XLOOKUP($C17,'-ref_Distribution'!$B$146:$B$150,'-ref_Distribution'!$G$146:$G$150)),RIGHT(R$1,2)),"")</f>
        <v>212</v>
      </c>
      <c r="S17" s="16" cm="1">
        <f t="array" ref="S17">IFERROR(INDEX(_xlfn.ANCHORARRAY(_xlfn.XLOOKUP($C17,'-ref_Distribution'!$B$146:$B$150,'-ref_Distribution'!$G$146:$G$150)),RIGHT(S$1,2)),"")</f>
        <v>177</v>
      </c>
      <c r="T17" s="16" cm="1">
        <f t="array" ref="T17">IFERROR(INDEX(_xlfn.ANCHORARRAY(_xlfn.XLOOKUP($C17,'-ref_Distribution'!$B$146:$B$150,'-ref_Distribution'!$G$146:$G$150)),RIGHT(T$1,2)),"")</f>
        <v>146</v>
      </c>
      <c r="U17" s="16" cm="1">
        <f t="array" ref="U17">IFERROR(INDEX(_xlfn.ANCHORARRAY(_xlfn.XLOOKUP($C17,'-ref_Distribution'!$B$146:$B$150,'-ref_Distribution'!$G$146:$G$150)),RIGHT(U$1,2)),"")</f>
        <v>119</v>
      </c>
      <c r="V17" s="16" cm="1">
        <f t="array" ref="V17">IFERROR(INDEX(_xlfn.ANCHORARRAY(_xlfn.XLOOKUP($C17,'-ref_Distribution'!$B$146:$B$150,'-ref_Distribution'!$G$146:$G$150)),RIGHT(V$1,2)),"")</f>
        <v>96</v>
      </c>
      <c r="W17" s="16" cm="1">
        <f t="array" ref="W17">IFERROR(INDEX(_xlfn.ANCHORARRAY(_xlfn.XLOOKUP($C17,'-ref_Distribution'!$B$146:$B$150,'-ref_Distribution'!$G$146:$G$150)),RIGHT(W$1,2)),"")</f>
        <v>76</v>
      </c>
      <c r="X17" s="16" cm="1">
        <f t="array" ref="X17">IFERROR(INDEX(_xlfn.ANCHORARRAY(_xlfn.XLOOKUP($C17,'-ref_Distribution'!$B$146:$B$150,'-ref_Distribution'!$G$146:$G$150)),RIGHT(X$1,2)),"")</f>
        <v>709</v>
      </c>
      <c r="Y17" s="16" cm="1">
        <f t="array" ref="Y17">IFERROR(INDEX(_xlfn.ANCHORARRAY(_xlfn.XLOOKUP($C17,'-ref_Distribution'!$B$146:$B$150,'-ref_Distribution'!$G$146:$G$150)),RIGHT(Y$1,2)),"")</f>
        <v>705</v>
      </c>
      <c r="Z17" s="16" cm="1">
        <f t="array" ref="Z17">IFERROR(INDEX(_xlfn.ANCHORARRAY(_xlfn.XLOOKUP($C17,'-ref_Distribution'!$B$146:$B$150,'-ref_Distribution'!$G$146:$G$150)),RIGHT(Z$1,2)),"")</f>
        <v>692</v>
      </c>
      <c r="AA17" s="16" cm="1">
        <f t="array" ref="AA17">IFERROR(INDEX(_xlfn.ANCHORARRAY(_xlfn.XLOOKUP($C17,'-ref_Distribution'!$B$146:$B$150,'-ref_Distribution'!$G$146:$G$150)),RIGHT(AA$1,2)),"")</f>
        <v>671</v>
      </c>
      <c r="AB17" s="16" cm="1">
        <f t="array" ref="AB17">IFERROR(INDEX(_xlfn.ANCHORARRAY(_xlfn.XLOOKUP($C17,'-ref_Distribution'!$B$146:$B$150,'-ref_Distribution'!$G$146:$G$150)),RIGHT(AB$1,2)),"")</f>
        <v>643</v>
      </c>
      <c r="AC17" s="16" cm="1">
        <f t="array" ref="AC17">IFERROR(INDEX(_xlfn.ANCHORARRAY(_xlfn.XLOOKUP($C17,'-ref_Distribution'!$B$146:$B$150,'-ref_Distribution'!$G$146:$G$150)),RIGHT(AC$1,2)),"")</f>
        <v>608</v>
      </c>
      <c r="AD17" s="16" cm="1">
        <f t="array" ref="AD17">IFERROR(INDEX(_xlfn.ANCHORARRAY(_xlfn.XLOOKUP($C17,'-ref_Distribution'!$B$146:$B$150,'-ref_Distribution'!$G$146:$G$150)),RIGHT(AD$1,2)),"")</f>
        <v>568</v>
      </c>
      <c r="AE17" s="16" cm="1">
        <f t="array" ref="AE17">IFERROR(INDEX(_xlfn.ANCHORARRAY(_xlfn.XLOOKUP($C17,'-ref_Distribution'!$B$146:$B$150,'-ref_Distribution'!$G$146:$G$150)),RIGHT(AE$1,2)),"")</f>
        <v>524</v>
      </c>
      <c r="AF17" s="16" cm="1">
        <f t="array" ref="AF17">IFERROR(INDEX(_xlfn.ANCHORARRAY(_xlfn.XLOOKUP($C17,'-ref_Distribution'!$B$146:$B$150,'-ref_Distribution'!$G$146:$G$150)),RIGHT(AF$1,2)),"")</f>
        <v>478</v>
      </c>
      <c r="AG17" s="16" cm="1">
        <f t="array" ref="AG17">IFERROR(INDEX(_xlfn.ANCHORARRAY(_xlfn.XLOOKUP($C17,'-ref_Distribution'!$B$146:$B$150,'-ref_Distribution'!$G$146:$G$150)),RIGHT(AG$1,2)),"")</f>
        <v>430</v>
      </c>
      <c r="AH17" s="16" cm="1">
        <f t="array" ref="AH17">IFERROR(INDEX(_xlfn.ANCHORARRAY(_xlfn.XLOOKUP($C17,'-ref_Distribution'!$B$146:$B$150,'-ref_Distribution'!$G$146:$G$150)),RIGHT(AH$1,2)),"")</f>
        <v>383</v>
      </c>
      <c r="AI17" s="16" cm="1">
        <f t="array" ref="AI17">IFERROR(INDEX(_xlfn.ANCHORARRAY(_xlfn.XLOOKUP($C17,'-ref_Distribution'!$B$146:$B$150,'-ref_Distribution'!$G$146:$G$150)),RIGHT(AI$1,2)),"")</f>
        <v>336</v>
      </c>
      <c r="AJ17" s="16" cm="1">
        <f t="array" ref="AJ17">IFERROR(INDEX(_xlfn.ANCHORARRAY(_xlfn.XLOOKUP($C17,'-ref_Distribution'!$B$146:$B$150,'-ref_Distribution'!$G$146:$G$150)),RIGHT(AJ$1,2)),"")</f>
        <v>292</v>
      </c>
      <c r="AK17" s="16" cm="1">
        <f t="array" ref="AK17">IFERROR(INDEX(_xlfn.ANCHORARRAY(_xlfn.XLOOKUP($C17,'-ref_Distribution'!$B$146:$B$150,'-ref_Distribution'!$G$146:$G$150)),RIGHT(AK$1,2)),"")</f>
        <v>250</v>
      </c>
      <c r="AL17" s="16" cm="1">
        <f t="array" ref="AL17">IFERROR(INDEX(_xlfn.ANCHORARRAY(_xlfn.XLOOKUP($C17,'-ref_Distribution'!$B$146:$B$150,'-ref_Distribution'!$G$146:$G$150)),RIGHT(AL$1,2)),"")</f>
        <v>212</v>
      </c>
      <c r="AM17" s="16" cm="1">
        <f t="array" ref="AM17">IFERROR(INDEX(_xlfn.ANCHORARRAY(_xlfn.XLOOKUP($C17,'-ref_Distribution'!$B$146:$B$150,'-ref_Distribution'!$G$146:$G$150)),RIGHT(AM$1,2)),"")</f>
        <v>177</v>
      </c>
      <c r="AN17" s="16" cm="1">
        <f t="array" ref="AN17">IFERROR(INDEX(_xlfn.ANCHORARRAY(_xlfn.XLOOKUP($C17,'-ref_Distribution'!$B$146:$B$150,'-ref_Distribution'!$G$146:$G$150)),RIGHT(AN$1,2)),"")</f>
        <v>146</v>
      </c>
      <c r="AO17" s="16" cm="1">
        <f t="array" ref="AO17">IFERROR(INDEX(_xlfn.ANCHORARRAY(_xlfn.XLOOKUP($C17,'-ref_Distribution'!$B$146:$B$150,'-ref_Distribution'!$G$146:$G$150)),RIGHT(AO$1,2)),"")</f>
        <v>119</v>
      </c>
      <c r="AP17" s="16" cm="1">
        <f t="array" ref="AP17">IFERROR(INDEX(_xlfn.ANCHORARRAY(_xlfn.XLOOKUP($C17,'-ref_Distribution'!$B$146:$B$150,'-ref_Distribution'!$G$146:$G$150)),RIGHT(AP$1,2)),"")</f>
        <v>96</v>
      </c>
      <c r="AQ17" s="16" cm="1">
        <f t="array" ref="AQ17">IFERROR(INDEX(_xlfn.ANCHORARRAY(_xlfn.XLOOKUP($C17,'-ref_Distribution'!$B$146:$B$150,'-ref_Distribution'!$G$146:$G$150)),RIGHT(AQ$1,2)),"")</f>
        <v>76</v>
      </c>
      <c r="AR17" s="16" cm="1">
        <f t="array" ref="AR17">IFERROR(INDEX(_xlfn.ANCHORARRAY(_xlfn.XLOOKUP($C17,'-ref_Distribution'!$B$146:$B$150,'-ref_Distribution'!$G$146:$G$150)),RIGHT(AR$1,2)),"")</f>
        <v>709</v>
      </c>
      <c r="AS17" s="16" cm="1">
        <f t="array" ref="AS17">IFERROR(INDEX(_xlfn.ANCHORARRAY(_xlfn.XLOOKUP($C17,'-ref_Distribution'!$B$146:$B$150,'-ref_Distribution'!$G$146:$G$150)),RIGHT(AS$1,2)),"")</f>
        <v>705</v>
      </c>
      <c r="AT17" s="16" cm="1">
        <f t="array" ref="AT17">IFERROR(INDEX(_xlfn.ANCHORARRAY(_xlfn.XLOOKUP($C17,'-ref_Distribution'!$B$146:$B$150,'-ref_Distribution'!$G$146:$G$150)),RIGHT(AT$1,2)),"")</f>
        <v>692</v>
      </c>
      <c r="AU17" s="16" cm="1">
        <f t="array" ref="AU17">IFERROR(INDEX(_xlfn.ANCHORARRAY(_xlfn.XLOOKUP($C17,'-ref_Distribution'!$B$146:$B$150,'-ref_Distribution'!$G$146:$G$150)),RIGHT(AU$1,2)),"")</f>
        <v>671</v>
      </c>
      <c r="AV17" s="16" cm="1">
        <f t="array" ref="AV17">IFERROR(INDEX(_xlfn.ANCHORARRAY(_xlfn.XLOOKUP($C17,'-ref_Distribution'!$B$146:$B$150,'-ref_Distribution'!$G$146:$G$150)),RIGHT(AV$1,2)),"")</f>
        <v>643</v>
      </c>
      <c r="AW17" s="16" cm="1">
        <f t="array" ref="AW17">IFERROR(INDEX(_xlfn.ANCHORARRAY(_xlfn.XLOOKUP($C17,'-ref_Distribution'!$B$146:$B$150,'-ref_Distribution'!$G$146:$G$150)),RIGHT(AW$1,2)),"")</f>
        <v>608</v>
      </c>
      <c r="AX17" s="16" cm="1">
        <f t="array" ref="AX17">IFERROR(INDEX(_xlfn.ANCHORARRAY(_xlfn.XLOOKUP($C17,'-ref_Distribution'!$B$146:$B$150,'-ref_Distribution'!$G$146:$G$150)),RIGHT(AX$1,2)),"")</f>
        <v>568</v>
      </c>
      <c r="AY17" s="16" cm="1">
        <f t="array" ref="AY17">IFERROR(INDEX(_xlfn.ANCHORARRAY(_xlfn.XLOOKUP($C17,'-ref_Distribution'!$B$146:$B$150,'-ref_Distribution'!$G$146:$G$150)),RIGHT(AY$1,2)),"")</f>
        <v>524</v>
      </c>
      <c r="AZ17" s="16" cm="1">
        <f t="array" ref="AZ17">IFERROR(INDEX(_xlfn.ANCHORARRAY(_xlfn.XLOOKUP($C17,'-ref_Distribution'!$B$146:$B$150,'-ref_Distribution'!$G$146:$G$150)),RIGHT(AZ$1,2)),"")</f>
        <v>478</v>
      </c>
      <c r="BA17" s="16" cm="1">
        <f t="array" ref="BA17">IFERROR(INDEX(_xlfn.ANCHORARRAY(_xlfn.XLOOKUP($C17,'-ref_Distribution'!$B$146:$B$150,'-ref_Distribution'!$G$146:$G$150)),RIGHT(BA$1,2)),"")</f>
        <v>430</v>
      </c>
      <c r="BB17" s="16" cm="1">
        <f t="array" ref="BB17">IFERROR(INDEX(_xlfn.ANCHORARRAY(_xlfn.XLOOKUP($C17,'-ref_Distribution'!$B$146:$B$150,'-ref_Distribution'!$G$146:$G$150)),RIGHT(BB$1,2)),"")</f>
        <v>383</v>
      </c>
      <c r="BC17" s="16" cm="1">
        <f t="array" ref="BC17">IFERROR(INDEX(_xlfn.ANCHORARRAY(_xlfn.XLOOKUP($C17,'-ref_Distribution'!$B$146:$B$150,'-ref_Distribution'!$G$146:$G$150)),RIGHT(BC$1,2)),"")</f>
        <v>336</v>
      </c>
      <c r="BD17" s="16" cm="1">
        <f t="array" ref="BD17">IFERROR(INDEX(_xlfn.ANCHORARRAY(_xlfn.XLOOKUP($C17,'-ref_Distribution'!$B$146:$B$150,'-ref_Distribution'!$G$146:$G$150)),RIGHT(BD$1,2)),"")</f>
        <v>292</v>
      </c>
      <c r="BE17" s="16" cm="1">
        <f t="array" ref="BE17">IFERROR(INDEX(_xlfn.ANCHORARRAY(_xlfn.XLOOKUP($C17,'-ref_Distribution'!$B$146:$B$150,'-ref_Distribution'!$G$146:$G$150)),RIGHT(BE$1,2)),"")</f>
        <v>250</v>
      </c>
      <c r="BF17" s="16" cm="1">
        <f t="array" ref="BF17">IFERROR(INDEX(_xlfn.ANCHORARRAY(_xlfn.XLOOKUP($C17,'-ref_Distribution'!$B$146:$B$150,'-ref_Distribution'!$G$146:$G$150)),RIGHT(BF$1,2)),"")</f>
        <v>212</v>
      </c>
      <c r="BG17" s="16" cm="1">
        <f t="array" ref="BG17">IFERROR(INDEX(_xlfn.ANCHORARRAY(_xlfn.XLOOKUP($C17,'-ref_Distribution'!$B$146:$B$150,'-ref_Distribution'!$G$146:$G$150)),RIGHT(BG$1,2)),"")</f>
        <v>177</v>
      </c>
      <c r="BH17" s="16" cm="1">
        <f t="array" ref="BH17">IFERROR(INDEX(_xlfn.ANCHORARRAY(_xlfn.XLOOKUP($C17,'-ref_Distribution'!$B$146:$B$150,'-ref_Distribution'!$G$146:$G$150)),RIGHT(BH$1,2)),"")</f>
        <v>146</v>
      </c>
      <c r="BI17" s="16" cm="1">
        <f t="array" ref="BI17">IFERROR(INDEX(_xlfn.ANCHORARRAY(_xlfn.XLOOKUP($C17,'-ref_Distribution'!$B$146:$B$150,'-ref_Distribution'!$G$146:$G$150)),RIGHT(BI$1,2)),"")</f>
        <v>119</v>
      </c>
      <c r="BJ17" s="16" cm="1">
        <f t="array" ref="BJ17">IFERROR(INDEX(_xlfn.ANCHORARRAY(_xlfn.XLOOKUP($C17,'-ref_Distribution'!$B$146:$B$150,'-ref_Distribution'!$G$146:$G$150)),RIGHT(BJ$1,2)),"")</f>
        <v>96</v>
      </c>
      <c r="BK17" s="16" cm="1">
        <f t="array" ref="BK17">IFERROR(INDEX(_xlfn.ANCHORARRAY(_xlfn.XLOOKUP($C17,'-ref_Distribution'!$B$146:$B$150,'-ref_Distribution'!$G$146:$G$150)),RIGHT(BK$1,2)),"")</f>
        <v>76</v>
      </c>
      <c r="BL17" s="16" cm="1">
        <f t="array" ref="BL17">IFERROR(INDEX(_xlfn.ANCHORARRAY(_xlfn.XLOOKUP($C17,'-ref_Distribution'!$B$146:$B$150,'-ref_Distribution'!$G$146:$G$150)),RIGHT(BL$1,2)),"")</f>
        <v>709</v>
      </c>
      <c r="BM17" s="16" cm="1">
        <f t="array" ref="BM17">IFERROR(INDEX(_xlfn.ANCHORARRAY(_xlfn.XLOOKUP($C17,'-ref_Distribution'!$B$146:$B$150,'-ref_Distribution'!$G$146:$G$150)),RIGHT(BM$1,2)),"")</f>
        <v>705</v>
      </c>
      <c r="BN17" s="16" cm="1">
        <f t="array" ref="BN17">IFERROR(INDEX(_xlfn.ANCHORARRAY(_xlfn.XLOOKUP($C17,'-ref_Distribution'!$B$146:$B$150,'-ref_Distribution'!$G$146:$G$150)),RIGHT(BN$1,2)),"")</f>
        <v>692</v>
      </c>
      <c r="BO17" s="16" cm="1">
        <f t="array" ref="BO17">IFERROR(INDEX(_xlfn.ANCHORARRAY(_xlfn.XLOOKUP($C17,'-ref_Distribution'!$B$146:$B$150,'-ref_Distribution'!$G$146:$G$150)),RIGHT(BO$1,2)),"")</f>
        <v>671</v>
      </c>
      <c r="BP17" s="16" cm="1">
        <f t="array" ref="BP17">IFERROR(INDEX(_xlfn.ANCHORARRAY(_xlfn.XLOOKUP($C17,'-ref_Distribution'!$B$146:$B$150,'-ref_Distribution'!$G$146:$G$150)),RIGHT(BP$1,2)),"")</f>
        <v>643</v>
      </c>
      <c r="BQ17" s="16" cm="1">
        <f t="array" ref="BQ17">IFERROR(INDEX(_xlfn.ANCHORARRAY(_xlfn.XLOOKUP($C17,'-ref_Distribution'!$B$146:$B$150,'-ref_Distribution'!$G$146:$G$150)),RIGHT(BQ$1,2)),"")</f>
        <v>608</v>
      </c>
      <c r="BR17" s="16" cm="1">
        <f t="array" ref="BR17">IFERROR(INDEX(_xlfn.ANCHORARRAY(_xlfn.XLOOKUP($C17,'-ref_Distribution'!$B$146:$B$150,'-ref_Distribution'!$G$146:$G$150)),RIGHT(BR$1,2)),"")</f>
        <v>568</v>
      </c>
      <c r="BS17" s="16" cm="1">
        <f t="array" ref="BS17">IFERROR(INDEX(_xlfn.ANCHORARRAY(_xlfn.XLOOKUP($C17,'-ref_Distribution'!$B$146:$B$150,'-ref_Distribution'!$G$146:$G$150)),RIGHT(BS$1,2)),"")</f>
        <v>524</v>
      </c>
      <c r="BT17" s="16" cm="1">
        <f t="array" ref="BT17">IFERROR(INDEX(_xlfn.ANCHORARRAY(_xlfn.XLOOKUP($C17,'-ref_Distribution'!$B$146:$B$150,'-ref_Distribution'!$G$146:$G$150)),RIGHT(BT$1,2)),"")</f>
        <v>478</v>
      </c>
      <c r="BU17" s="16" cm="1">
        <f t="array" ref="BU17">IFERROR(INDEX(_xlfn.ANCHORARRAY(_xlfn.XLOOKUP($C17,'-ref_Distribution'!$B$146:$B$150,'-ref_Distribution'!$G$146:$G$150)),RIGHT(BU$1,2)),"")</f>
        <v>430</v>
      </c>
      <c r="BV17" s="16" cm="1">
        <f t="array" ref="BV17">IFERROR(INDEX(_xlfn.ANCHORARRAY(_xlfn.XLOOKUP($C17,'-ref_Distribution'!$B$146:$B$150,'-ref_Distribution'!$G$146:$G$150)),RIGHT(BV$1,2)),"")</f>
        <v>383</v>
      </c>
      <c r="BW17" s="16" cm="1">
        <f t="array" ref="BW17">IFERROR(INDEX(_xlfn.ANCHORARRAY(_xlfn.XLOOKUP($C17,'-ref_Distribution'!$B$146:$B$150,'-ref_Distribution'!$G$146:$G$150)),RIGHT(BW$1,2)),"")</f>
        <v>336</v>
      </c>
      <c r="BX17" s="16" cm="1">
        <f t="array" ref="BX17">IFERROR(INDEX(_xlfn.ANCHORARRAY(_xlfn.XLOOKUP($C17,'-ref_Distribution'!$B$146:$B$150,'-ref_Distribution'!$G$146:$G$150)),RIGHT(BX$1,2)),"")</f>
        <v>292</v>
      </c>
      <c r="BY17" s="16" cm="1">
        <f t="array" ref="BY17">IFERROR(INDEX(_xlfn.ANCHORARRAY(_xlfn.XLOOKUP($C17,'-ref_Distribution'!$B$146:$B$150,'-ref_Distribution'!$G$146:$G$150)),RIGHT(BY$1,2)),"")</f>
        <v>250</v>
      </c>
      <c r="BZ17" s="16" cm="1">
        <f t="array" ref="BZ17">IFERROR(INDEX(_xlfn.ANCHORARRAY(_xlfn.XLOOKUP($C17,'-ref_Distribution'!$B$146:$B$150,'-ref_Distribution'!$G$146:$G$150)),RIGHT(BZ$1,2)),"")</f>
        <v>212</v>
      </c>
      <c r="CA17" s="16" cm="1">
        <f t="array" ref="CA17">IFERROR(INDEX(_xlfn.ANCHORARRAY(_xlfn.XLOOKUP($C17,'-ref_Distribution'!$B$146:$B$150,'-ref_Distribution'!$G$146:$G$150)),RIGHT(CA$1,2)),"")</f>
        <v>177</v>
      </c>
      <c r="CB17" s="16" cm="1">
        <f t="array" ref="CB17">IFERROR(INDEX(_xlfn.ANCHORARRAY(_xlfn.XLOOKUP($C17,'-ref_Distribution'!$B$146:$B$150,'-ref_Distribution'!$G$146:$G$150)),RIGHT(CB$1,2)),"")</f>
        <v>146</v>
      </c>
      <c r="CC17" s="16" cm="1">
        <f t="array" ref="CC17">IFERROR(INDEX(_xlfn.ANCHORARRAY(_xlfn.XLOOKUP($C17,'-ref_Distribution'!$B$146:$B$150,'-ref_Distribution'!$G$146:$G$150)),RIGHT(CC$1,2)),"")</f>
        <v>119</v>
      </c>
      <c r="CD17" s="16" cm="1">
        <f t="array" ref="CD17">IFERROR(INDEX(_xlfn.ANCHORARRAY(_xlfn.XLOOKUP($C17,'-ref_Distribution'!$B$146:$B$150,'-ref_Distribution'!$G$146:$G$150)),RIGHT(CD$1,2)),"")</f>
        <v>96</v>
      </c>
      <c r="CE17" s="16" cm="1">
        <f t="array" ref="CE17">IFERROR(INDEX(_xlfn.ANCHORARRAY(_xlfn.XLOOKUP($C17,'-ref_Distribution'!$B$146:$B$150,'-ref_Distribution'!$G$146:$G$150)),RIGHT(CE$1,2)),"")</f>
        <v>76</v>
      </c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</row>
    <row r="18" spans="1:95" x14ac:dyDescent="0.2">
      <c r="A18" s="16">
        <v>300072</v>
      </c>
      <c r="B18" s="16" t="s">
        <v>280</v>
      </c>
      <c r="C18" s="16">
        <v>1</v>
      </c>
      <c r="D18" s="16" cm="1">
        <f t="array" ref="D18">IFERROR(INDEX(_xlfn.ANCHORARRAY(_xlfn.XLOOKUP($C18,'-ref_Distribution'!$B$146:$B$150,'-ref_Distribution'!$G$146:$G$150)),RIGHT(D$1,2)),"")</f>
        <v>337</v>
      </c>
      <c r="E18" s="16" cm="1">
        <f t="array" ref="E18">IFERROR(INDEX(_xlfn.ANCHORARRAY(_xlfn.XLOOKUP($C18,'-ref_Distribution'!$B$146:$B$150,'-ref_Distribution'!$G$146:$G$150)),RIGHT(E$1,2)),"")</f>
        <v>364</v>
      </c>
      <c r="F18" s="16" cm="1">
        <f t="array" ref="F18">IFERROR(INDEX(_xlfn.ANCHORARRAY(_xlfn.XLOOKUP($C18,'-ref_Distribution'!$B$146:$B$150,'-ref_Distribution'!$G$146:$G$150)),RIGHT(F$1,2)),"")</f>
        <v>386</v>
      </c>
      <c r="G18" s="16" cm="1">
        <f t="array" ref="G18">IFERROR(INDEX(_xlfn.ANCHORARRAY(_xlfn.XLOOKUP($C18,'-ref_Distribution'!$B$146:$B$150,'-ref_Distribution'!$G$146:$G$150)),RIGHT(G$1,2)),"")</f>
        <v>403</v>
      </c>
      <c r="H18" s="16" cm="1">
        <f t="array" ref="H18">IFERROR(INDEX(_xlfn.ANCHORARRAY(_xlfn.XLOOKUP($C18,'-ref_Distribution'!$B$146:$B$150,'-ref_Distribution'!$G$146:$G$150)),RIGHT(H$1,2)),"")</f>
        <v>414</v>
      </c>
      <c r="I18" s="16" cm="1">
        <f t="array" ref="I18">IFERROR(INDEX(_xlfn.ANCHORARRAY(_xlfn.XLOOKUP($C18,'-ref_Distribution'!$B$146:$B$150,'-ref_Distribution'!$G$146:$G$150)),RIGHT(I$1,2)),"")</f>
        <v>417</v>
      </c>
      <c r="J18" s="16" cm="1">
        <f t="array" ref="J18">IFERROR(INDEX(_xlfn.ANCHORARRAY(_xlfn.XLOOKUP($C18,'-ref_Distribution'!$B$146:$B$150,'-ref_Distribution'!$G$146:$G$150)),RIGHT(J$1,2)),"")</f>
        <v>414</v>
      </c>
      <c r="K18" s="16" cm="1">
        <f t="array" ref="K18">IFERROR(INDEX(_xlfn.ANCHORARRAY(_xlfn.XLOOKUP($C18,'-ref_Distribution'!$B$146:$B$150,'-ref_Distribution'!$G$146:$G$150)),RIGHT(K$1,2)),"")</f>
        <v>403</v>
      </c>
      <c r="L18" s="16" cm="1">
        <f t="array" ref="L18">IFERROR(INDEX(_xlfn.ANCHORARRAY(_xlfn.XLOOKUP($C18,'-ref_Distribution'!$B$146:$B$150,'-ref_Distribution'!$G$146:$G$150)),RIGHT(L$1,2)),"")</f>
        <v>386</v>
      </c>
      <c r="M18" s="16" cm="1">
        <f t="array" ref="M18">IFERROR(INDEX(_xlfn.ANCHORARRAY(_xlfn.XLOOKUP($C18,'-ref_Distribution'!$B$146:$B$150,'-ref_Distribution'!$G$146:$G$150)),RIGHT(M$1,2)),"")</f>
        <v>364</v>
      </c>
      <c r="N18" s="16" cm="1">
        <f t="array" ref="N18">IFERROR(INDEX(_xlfn.ANCHORARRAY(_xlfn.XLOOKUP($C18,'-ref_Distribution'!$B$146:$B$150,'-ref_Distribution'!$G$146:$G$150)),RIGHT(N$1,2)),"")</f>
        <v>337</v>
      </c>
      <c r="O18" s="16" cm="1">
        <f t="array" ref="O18">IFERROR(INDEX(_xlfn.ANCHORARRAY(_xlfn.XLOOKUP($C18,'-ref_Distribution'!$B$146:$B$150,'-ref_Distribution'!$G$146:$G$150)),RIGHT(O$1,2)),"")</f>
        <v>307</v>
      </c>
      <c r="P18" s="16" cm="1">
        <f t="array" ref="P18">IFERROR(INDEX(_xlfn.ANCHORARRAY(_xlfn.XLOOKUP($C18,'-ref_Distribution'!$B$146:$B$150,'-ref_Distribution'!$G$146:$G$150)),RIGHT(P$1,2)),"")</f>
        <v>274</v>
      </c>
      <c r="Q18" s="16" cm="1">
        <f t="array" ref="Q18">IFERROR(INDEX(_xlfn.ANCHORARRAY(_xlfn.XLOOKUP($C18,'-ref_Distribution'!$B$146:$B$150,'-ref_Distribution'!$G$146:$G$150)),RIGHT(Q$1,2)),"")</f>
        <v>241</v>
      </c>
      <c r="R18" s="16" cm="1">
        <f t="array" ref="R18">IFERROR(INDEX(_xlfn.ANCHORARRAY(_xlfn.XLOOKUP($C18,'-ref_Distribution'!$B$146:$B$150,'-ref_Distribution'!$G$146:$G$150)),RIGHT(R$1,2)),"")</f>
        <v>209</v>
      </c>
      <c r="S18" s="16" cm="1">
        <f t="array" ref="S18">IFERROR(INDEX(_xlfn.ANCHORARRAY(_xlfn.XLOOKUP($C18,'-ref_Distribution'!$B$146:$B$150,'-ref_Distribution'!$G$146:$G$150)),RIGHT(S$1,2)),"")</f>
        <v>178</v>
      </c>
      <c r="T18" s="16" cm="1">
        <f t="array" ref="T18">IFERROR(INDEX(_xlfn.ANCHORARRAY(_xlfn.XLOOKUP($C18,'-ref_Distribution'!$B$146:$B$150,'-ref_Distribution'!$G$146:$G$150)),RIGHT(T$1,2)),"")</f>
        <v>148</v>
      </c>
      <c r="U18" s="16" cm="1">
        <f t="array" ref="U18">IFERROR(INDEX(_xlfn.ANCHORARRAY(_xlfn.XLOOKUP($C18,'-ref_Distribution'!$B$146:$B$150,'-ref_Distribution'!$G$146:$G$150)),RIGHT(U$1,2)),"")</f>
        <v>122</v>
      </c>
      <c r="V18" s="16" cm="1">
        <f t="array" ref="V18">IFERROR(INDEX(_xlfn.ANCHORARRAY(_xlfn.XLOOKUP($C18,'-ref_Distribution'!$B$146:$B$150,'-ref_Distribution'!$G$146:$G$150)),RIGHT(V$1,2)),"")</f>
        <v>98</v>
      </c>
      <c r="W18" s="16" cm="1">
        <f t="array" ref="W18">IFERROR(INDEX(_xlfn.ANCHORARRAY(_xlfn.XLOOKUP($C18,'-ref_Distribution'!$B$146:$B$150,'-ref_Distribution'!$G$146:$G$150)),RIGHT(W$1,2)),"")</f>
        <v>78</v>
      </c>
      <c r="X18" s="16" cm="1">
        <f t="array" ref="X18">IFERROR(INDEX(_xlfn.ANCHORARRAY(_xlfn.XLOOKUP($C18,'-ref_Distribution'!$B$146:$B$150,'-ref_Distribution'!$G$146:$G$150)),RIGHT(X$1,2)),"")</f>
        <v>337</v>
      </c>
      <c r="Y18" s="16" cm="1">
        <f t="array" ref="Y18">IFERROR(INDEX(_xlfn.ANCHORARRAY(_xlfn.XLOOKUP($C18,'-ref_Distribution'!$B$146:$B$150,'-ref_Distribution'!$G$146:$G$150)),RIGHT(Y$1,2)),"")</f>
        <v>364</v>
      </c>
      <c r="Z18" s="16" cm="1">
        <f t="array" ref="Z18">IFERROR(INDEX(_xlfn.ANCHORARRAY(_xlfn.XLOOKUP($C18,'-ref_Distribution'!$B$146:$B$150,'-ref_Distribution'!$G$146:$G$150)),RIGHT(Z$1,2)),"")</f>
        <v>386</v>
      </c>
      <c r="AA18" s="16" cm="1">
        <f t="array" ref="AA18">IFERROR(INDEX(_xlfn.ANCHORARRAY(_xlfn.XLOOKUP($C18,'-ref_Distribution'!$B$146:$B$150,'-ref_Distribution'!$G$146:$G$150)),RIGHT(AA$1,2)),"")</f>
        <v>403</v>
      </c>
      <c r="AB18" s="16" cm="1">
        <f t="array" ref="AB18">IFERROR(INDEX(_xlfn.ANCHORARRAY(_xlfn.XLOOKUP($C18,'-ref_Distribution'!$B$146:$B$150,'-ref_Distribution'!$G$146:$G$150)),RIGHT(AB$1,2)),"")</f>
        <v>414</v>
      </c>
      <c r="AC18" s="16" cm="1">
        <f t="array" ref="AC18">IFERROR(INDEX(_xlfn.ANCHORARRAY(_xlfn.XLOOKUP($C18,'-ref_Distribution'!$B$146:$B$150,'-ref_Distribution'!$G$146:$G$150)),RIGHT(AC$1,2)),"")</f>
        <v>417</v>
      </c>
      <c r="AD18" s="16" cm="1">
        <f t="array" ref="AD18">IFERROR(INDEX(_xlfn.ANCHORARRAY(_xlfn.XLOOKUP($C18,'-ref_Distribution'!$B$146:$B$150,'-ref_Distribution'!$G$146:$G$150)),RIGHT(AD$1,2)),"")</f>
        <v>414</v>
      </c>
      <c r="AE18" s="16" cm="1">
        <f t="array" ref="AE18">IFERROR(INDEX(_xlfn.ANCHORARRAY(_xlfn.XLOOKUP($C18,'-ref_Distribution'!$B$146:$B$150,'-ref_Distribution'!$G$146:$G$150)),RIGHT(AE$1,2)),"")</f>
        <v>403</v>
      </c>
      <c r="AF18" s="16" cm="1">
        <f t="array" ref="AF18">IFERROR(INDEX(_xlfn.ANCHORARRAY(_xlfn.XLOOKUP($C18,'-ref_Distribution'!$B$146:$B$150,'-ref_Distribution'!$G$146:$G$150)),RIGHT(AF$1,2)),"")</f>
        <v>386</v>
      </c>
      <c r="AG18" s="16" cm="1">
        <f t="array" ref="AG18">IFERROR(INDEX(_xlfn.ANCHORARRAY(_xlfn.XLOOKUP($C18,'-ref_Distribution'!$B$146:$B$150,'-ref_Distribution'!$G$146:$G$150)),RIGHT(AG$1,2)),"")</f>
        <v>364</v>
      </c>
      <c r="AH18" s="16" cm="1">
        <f t="array" ref="AH18">IFERROR(INDEX(_xlfn.ANCHORARRAY(_xlfn.XLOOKUP($C18,'-ref_Distribution'!$B$146:$B$150,'-ref_Distribution'!$G$146:$G$150)),RIGHT(AH$1,2)),"")</f>
        <v>337</v>
      </c>
      <c r="AI18" s="16" cm="1">
        <f t="array" ref="AI18">IFERROR(INDEX(_xlfn.ANCHORARRAY(_xlfn.XLOOKUP($C18,'-ref_Distribution'!$B$146:$B$150,'-ref_Distribution'!$G$146:$G$150)),RIGHT(AI$1,2)),"")</f>
        <v>307</v>
      </c>
      <c r="AJ18" s="16" cm="1">
        <f t="array" ref="AJ18">IFERROR(INDEX(_xlfn.ANCHORARRAY(_xlfn.XLOOKUP($C18,'-ref_Distribution'!$B$146:$B$150,'-ref_Distribution'!$G$146:$G$150)),RIGHT(AJ$1,2)),"")</f>
        <v>274</v>
      </c>
      <c r="AK18" s="16" cm="1">
        <f t="array" ref="AK18">IFERROR(INDEX(_xlfn.ANCHORARRAY(_xlfn.XLOOKUP($C18,'-ref_Distribution'!$B$146:$B$150,'-ref_Distribution'!$G$146:$G$150)),RIGHT(AK$1,2)),"")</f>
        <v>241</v>
      </c>
      <c r="AL18" s="16" cm="1">
        <f t="array" ref="AL18">IFERROR(INDEX(_xlfn.ANCHORARRAY(_xlfn.XLOOKUP($C18,'-ref_Distribution'!$B$146:$B$150,'-ref_Distribution'!$G$146:$G$150)),RIGHT(AL$1,2)),"")</f>
        <v>209</v>
      </c>
      <c r="AM18" s="16" cm="1">
        <f t="array" ref="AM18">IFERROR(INDEX(_xlfn.ANCHORARRAY(_xlfn.XLOOKUP($C18,'-ref_Distribution'!$B$146:$B$150,'-ref_Distribution'!$G$146:$G$150)),RIGHT(AM$1,2)),"")</f>
        <v>178</v>
      </c>
      <c r="AN18" s="16" cm="1">
        <f t="array" ref="AN18">IFERROR(INDEX(_xlfn.ANCHORARRAY(_xlfn.XLOOKUP($C18,'-ref_Distribution'!$B$146:$B$150,'-ref_Distribution'!$G$146:$G$150)),RIGHT(AN$1,2)),"")</f>
        <v>148</v>
      </c>
      <c r="AO18" s="16" cm="1">
        <f t="array" ref="AO18">IFERROR(INDEX(_xlfn.ANCHORARRAY(_xlfn.XLOOKUP($C18,'-ref_Distribution'!$B$146:$B$150,'-ref_Distribution'!$G$146:$G$150)),RIGHT(AO$1,2)),"")</f>
        <v>122</v>
      </c>
      <c r="AP18" s="16" cm="1">
        <f t="array" ref="AP18">IFERROR(INDEX(_xlfn.ANCHORARRAY(_xlfn.XLOOKUP($C18,'-ref_Distribution'!$B$146:$B$150,'-ref_Distribution'!$G$146:$G$150)),RIGHT(AP$1,2)),"")</f>
        <v>98</v>
      </c>
      <c r="AQ18" s="16" cm="1">
        <f t="array" ref="AQ18">IFERROR(INDEX(_xlfn.ANCHORARRAY(_xlfn.XLOOKUP($C18,'-ref_Distribution'!$B$146:$B$150,'-ref_Distribution'!$G$146:$G$150)),RIGHT(AQ$1,2)),"")</f>
        <v>78</v>
      </c>
      <c r="AR18" s="16" cm="1">
        <f t="array" ref="AR18">IFERROR(INDEX(_xlfn.ANCHORARRAY(_xlfn.XLOOKUP($C18,'-ref_Distribution'!$B$146:$B$150,'-ref_Distribution'!$G$146:$G$150)),RIGHT(AR$1,2)),"")</f>
        <v>337</v>
      </c>
      <c r="AS18" s="16" cm="1">
        <f t="array" ref="AS18">IFERROR(INDEX(_xlfn.ANCHORARRAY(_xlfn.XLOOKUP($C18,'-ref_Distribution'!$B$146:$B$150,'-ref_Distribution'!$G$146:$G$150)),RIGHT(AS$1,2)),"")</f>
        <v>364</v>
      </c>
      <c r="AT18" s="16" cm="1">
        <f t="array" ref="AT18">IFERROR(INDEX(_xlfn.ANCHORARRAY(_xlfn.XLOOKUP($C18,'-ref_Distribution'!$B$146:$B$150,'-ref_Distribution'!$G$146:$G$150)),RIGHT(AT$1,2)),"")</f>
        <v>386</v>
      </c>
      <c r="AU18" s="16" cm="1">
        <f t="array" ref="AU18">IFERROR(INDEX(_xlfn.ANCHORARRAY(_xlfn.XLOOKUP($C18,'-ref_Distribution'!$B$146:$B$150,'-ref_Distribution'!$G$146:$G$150)),RIGHT(AU$1,2)),"")</f>
        <v>403</v>
      </c>
      <c r="AV18" s="16" cm="1">
        <f t="array" ref="AV18">IFERROR(INDEX(_xlfn.ANCHORARRAY(_xlfn.XLOOKUP($C18,'-ref_Distribution'!$B$146:$B$150,'-ref_Distribution'!$G$146:$G$150)),RIGHT(AV$1,2)),"")</f>
        <v>414</v>
      </c>
      <c r="AW18" s="16" cm="1">
        <f t="array" ref="AW18">IFERROR(INDEX(_xlfn.ANCHORARRAY(_xlfn.XLOOKUP($C18,'-ref_Distribution'!$B$146:$B$150,'-ref_Distribution'!$G$146:$G$150)),RIGHT(AW$1,2)),"")</f>
        <v>417</v>
      </c>
      <c r="AX18" s="16" cm="1">
        <f t="array" ref="AX18">IFERROR(INDEX(_xlfn.ANCHORARRAY(_xlfn.XLOOKUP($C18,'-ref_Distribution'!$B$146:$B$150,'-ref_Distribution'!$G$146:$G$150)),RIGHT(AX$1,2)),"")</f>
        <v>414</v>
      </c>
      <c r="AY18" s="16" cm="1">
        <f t="array" ref="AY18">IFERROR(INDEX(_xlfn.ANCHORARRAY(_xlfn.XLOOKUP($C18,'-ref_Distribution'!$B$146:$B$150,'-ref_Distribution'!$G$146:$G$150)),RIGHT(AY$1,2)),"")</f>
        <v>403</v>
      </c>
      <c r="AZ18" s="16" cm="1">
        <f t="array" ref="AZ18">IFERROR(INDEX(_xlfn.ANCHORARRAY(_xlfn.XLOOKUP($C18,'-ref_Distribution'!$B$146:$B$150,'-ref_Distribution'!$G$146:$G$150)),RIGHT(AZ$1,2)),"")</f>
        <v>386</v>
      </c>
      <c r="BA18" s="16" cm="1">
        <f t="array" ref="BA18">IFERROR(INDEX(_xlfn.ANCHORARRAY(_xlfn.XLOOKUP($C18,'-ref_Distribution'!$B$146:$B$150,'-ref_Distribution'!$G$146:$G$150)),RIGHT(BA$1,2)),"")</f>
        <v>364</v>
      </c>
      <c r="BB18" s="16" cm="1">
        <f t="array" ref="BB18">IFERROR(INDEX(_xlfn.ANCHORARRAY(_xlfn.XLOOKUP($C18,'-ref_Distribution'!$B$146:$B$150,'-ref_Distribution'!$G$146:$G$150)),RIGHT(BB$1,2)),"")</f>
        <v>337</v>
      </c>
      <c r="BC18" s="16" cm="1">
        <f t="array" ref="BC18">IFERROR(INDEX(_xlfn.ANCHORARRAY(_xlfn.XLOOKUP($C18,'-ref_Distribution'!$B$146:$B$150,'-ref_Distribution'!$G$146:$G$150)),RIGHT(BC$1,2)),"")</f>
        <v>307</v>
      </c>
      <c r="BD18" s="16" cm="1">
        <f t="array" ref="BD18">IFERROR(INDEX(_xlfn.ANCHORARRAY(_xlfn.XLOOKUP($C18,'-ref_Distribution'!$B$146:$B$150,'-ref_Distribution'!$G$146:$G$150)),RIGHT(BD$1,2)),"")</f>
        <v>274</v>
      </c>
      <c r="BE18" s="16" cm="1">
        <f t="array" ref="BE18">IFERROR(INDEX(_xlfn.ANCHORARRAY(_xlfn.XLOOKUP($C18,'-ref_Distribution'!$B$146:$B$150,'-ref_Distribution'!$G$146:$G$150)),RIGHT(BE$1,2)),"")</f>
        <v>241</v>
      </c>
      <c r="BF18" s="16" cm="1">
        <f t="array" ref="BF18">IFERROR(INDEX(_xlfn.ANCHORARRAY(_xlfn.XLOOKUP($C18,'-ref_Distribution'!$B$146:$B$150,'-ref_Distribution'!$G$146:$G$150)),RIGHT(BF$1,2)),"")</f>
        <v>209</v>
      </c>
      <c r="BG18" s="16" cm="1">
        <f t="array" ref="BG18">IFERROR(INDEX(_xlfn.ANCHORARRAY(_xlfn.XLOOKUP($C18,'-ref_Distribution'!$B$146:$B$150,'-ref_Distribution'!$G$146:$G$150)),RIGHT(BG$1,2)),"")</f>
        <v>178</v>
      </c>
      <c r="BH18" s="16" cm="1">
        <f t="array" ref="BH18">IFERROR(INDEX(_xlfn.ANCHORARRAY(_xlfn.XLOOKUP($C18,'-ref_Distribution'!$B$146:$B$150,'-ref_Distribution'!$G$146:$G$150)),RIGHT(BH$1,2)),"")</f>
        <v>148</v>
      </c>
      <c r="BI18" s="16" cm="1">
        <f t="array" ref="BI18">IFERROR(INDEX(_xlfn.ANCHORARRAY(_xlfn.XLOOKUP($C18,'-ref_Distribution'!$B$146:$B$150,'-ref_Distribution'!$G$146:$G$150)),RIGHT(BI$1,2)),"")</f>
        <v>122</v>
      </c>
      <c r="BJ18" s="16" cm="1">
        <f t="array" ref="BJ18">IFERROR(INDEX(_xlfn.ANCHORARRAY(_xlfn.XLOOKUP($C18,'-ref_Distribution'!$B$146:$B$150,'-ref_Distribution'!$G$146:$G$150)),RIGHT(BJ$1,2)),"")</f>
        <v>98</v>
      </c>
      <c r="BK18" s="16" cm="1">
        <f t="array" ref="BK18">IFERROR(INDEX(_xlfn.ANCHORARRAY(_xlfn.XLOOKUP($C18,'-ref_Distribution'!$B$146:$B$150,'-ref_Distribution'!$G$146:$G$150)),RIGHT(BK$1,2)),"")</f>
        <v>78</v>
      </c>
      <c r="BL18" s="16" cm="1">
        <f t="array" ref="BL18">IFERROR(INDEX(_xlfn.ANCHORARRAY(_xlfn.XLOOKUP($C18,'-ref_Distribution'!$B$146:$B$150,'-ref_Distribution'!$G$146:$G$150)),RIGHT(BL$1,2)),"")</f>
        <v>337</v>
      </c>
      <c r="BM18" s="16" cm="1">
        <f t="array" ref="BM18">IFERROR(INDEX(_xlfn.ANCHORARRAY(_xlfn.XLOOKUP($C18,'-ref_Distribution'!$B$146:$B$150,'-ref_Distribution'!$G$146:$G$150)),RIGHT(BM$1,2)),"")</f>
        <v>364</v>
      </c>
      <c r="BN18" s="16" cm="1">
        <f t="array" ref="BN18">IFERROR(INDEX(_xlfn.ANCHORARRAY(_xlfn.XLOOKUP($C18,'-ref_Distribution'!$B$146:$B$150,'-ref_Distribution'!$G$146:$G$150)),RIGHT(BN$1,2)),"")</f>
        <v>386</v>
      </c>
      <c r="BO18" s="16" cm="1">
        <f t="array" ref="BO18">IFERROR(INDEX(_xlfn.ANCHORARRAY(_xlfn.XLOOKUP($C18,'-ref_Distribution'!$B$146:$B$150,'-ref_Distribution'!$G$146:$G$150)),RIGHT(BO$1,2)),"")</f>
        <v>403</v>
      </c>
      <c r="BP18" s="16" cm="1">
        <f t="array" ref="BP18">IFERROR(INDEX(_xlfn.ANCHORARRAY(_xlfn.XLOOKUP($C18,'-ref_Distribution'!$B$146:$B$150,'-ref_Distribution'!$G$146:$G$150)),RIGHT(BP$1,2)),"")</f>
        <v>414</v>
      </c>
      <c r="BQ18" s="16" cm="1">
        <f t="array" ref="BQ18">IFERROR(INDEX(_xlfn.ANCHORARRAY(_xlfn.XLOOKUP($C18,'-ref_Distribution'!$B$146:$B$150,'-ref_Distribution'!$G$146:$G$150)),RIGHT(BQ$1,2)),"")</f>
        <v>417</v>
      </c>
      <c r="BR18" s="16" cm="1">
        <f t="array" ref="BR18">IFERROR(INDEX(_xlfn.ANCHORARRAY(_xlfn.XLOOKUP($C18,'-ref_Distribution'!$B$146:$B$150,'-ref_Distribution'!$G$146:$G$150)),RIGHT(BR$1,2)),"")</f>
        <v>414</v>
      </c>
      <c r="BS18" s="16" cm="1">
        <f t="array" ref="BS18">IFERROR(INDEX(_xlfn.ANCHORARRAY(_xlfn.XLOOKUP($C18,'-ref_Distribution'!$B$146:$B$150,'-ref_Distribution'!$G$146:$G$150)),RIGHT(BS$1,2)),"")</f>
        <v>403</v>
      </c>
      <c r="BT18" s="16" cm="1">
        <f t="array" ref="BT18">IFERROR(INDEX(_xlfn.ANCHORARRAY(_xlfn.XLOOKUP($C18,'-ref_Distribution'!$B$146:$B$150,'-ref_Distribution'!$G$146:$G$150)),RIGHT(BT$1,2)),"")</f>
        <v>386</v>
      </c>
      <c r="BU18" s="16" cm="1">
        <f t="array" ref="BU18">IFERROR(INDEX(_xlfn.ANCHORARRAY(_xlfn.XLOOKUP($C18,'-ref_Distribution'!$B$146:$B$150,'-ref_Distribution'!$G$146:$G$150)),RIGHT(BU$1,2)),"")</f>
        <v>364</v>
      </c>
      <c r="BV18" s="16" cm="1">
        <f t="array" ref="BV18">IFERROR(INDEX(_xlfn.ANCHORARRAY(_xlfn.XLOOKUP($C18,'-ref_Distribution'!$B$146:$B$150,'-ref_Distribution'!$G$146:$G$150)),RIGHT(BV$1,2)),"")</f>
        <v>337</v>
      </c>
      <c r="BW18" s="16" cm="1">
        <f t="array" ref="BW18">IFERROR(INDEX(_xlfn.ANCHORARRAY(_xlfn.XLOOKUP($C18,'-ref_Distribution'!$B$146:$B$150,'-ref_Distribution'!$G$146:$G$150)),RIGHT(BW$1,2)),"")</f>
        <v>307</v>
      </c>
      <c r="BX18" s="16" cm="1">
        <f t="array" ref="BX18">IFERROR(INDEX(_xlfn.ANCHORARRAY(_xlfn.XLOOKUP($C18,'-ref_Distribution'!$B$146:$B$150,'-ref_Distribution'!$G$146:$G$150)),RIGHT(BX$1,2)),"")</f>
        <v>274</v>
      </c>
      <c r="BY18" s="16" cm="1">
        <f t="array" ref="BY18">IFERROR(INDEX(_xlfn.ANCHORARRAY(_xlfn.XLOOKUP($C18,'-ref_Distribution'!$B$146:$B$150,'-ref_Distribution'!$G$146:$G$150)),RIGHT(BY$1,2)),"")</f>
        <v>241</v>
      </c>
      <c r="BZ18" s="16" cm="1">
        <f t="array" ref="BZ18">IFERROR(INDEX(_xlfn.ANCHORARRAY(_xlfn.XLOOKUP($C18,'-ref_Distribution'!$B$146:$B$150,'-ref_Distribution'!$G$146:$G$150)),RIGHT(BZ$1,2)),"")</f>
        <v>209</v>
      </c>
      <c r="CA18" s="16" cm="1">
        <f t="array" ref="CA18">IFERROR(INDEX(_xlfn.ANCHORARRAY(_xlfn.XLOOKUP($C18,'-ref_Distribution'!$B$146:$B$150,'-ref_Distribution'!$G$146:$G$150)),RIGHT(CA$1,2)),"")</f>
        <v>178</v>
      </c>
      <c r="CB18" s="16" cm="1">
        <f t="array" ref="CB18">IFERROR(INDEX(_xlfn.ANCHORARRAY(_xlfn.XLOOKUP($C18,'-ref_Distribution'!$B$146:$B$150,'-ref_Distribution'!$G$146:$G$150)),RIGHT(CB$1,2)),"")</f>
        <v>148</v>
      </c>
      <c r="CC18" s="16" cm="1">
        <f t="array" ref="CC18">IFERROR(INDEX(_xlfn.ANCHORARRAY(_xlfn.XLOOKUP($C18,'-ref_Distribution'!$B$146:$B$150,'-ref_Distribution'!$G$146:$G$150)),RIGHT(CC$1,2)),"")</f>
        <v>122</v>
      </c>
      <c r="CD18" s="16" cm="1">
        <f t="array" ref="CD18">IFERROR(INDEX(_xlfn.ANCHORARRAY(_xlfn.XLOOKUP($C18,'-ref_Distribution'!$B$146:$B$150,'-ref_Distribution'!$G$146:$G$150)),RIGHT(CD$1,2)),"")</f>
        <v>98</v>
      </c>
      <c r="CE18" s="16" cm="1">
        <f t="array" ref="CE18">IFERROR(INDEX(_xlfn.ANCHORARRAY(_xlfn.XLOOKUP($C18,'-ref_Distribution'!$B$146:$B$150,'-ref_Distribution'!$G$146:$G$150)),RIGHT(CE$1,2)),"")</f>
        <v>78</v>
      </c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</row>
    <row r="19" spans="1:95" x14ac:dyDescent="0.2">
      <c r="A19" s="16">
        <v>300073</v>
      </c>
      <c r="B19" s="16" t="s">
        <v>280</v>
      </c>
      <c r="C19" s="16">
        <v>2</v>
      </c>
      <c r="D19" s="16" cm="1">
        <f t="array" ref="D19">IFERROR(INDEX(_xlfn.ANCHORARRAY(_xlfn.XLOOKUP($C19,'-ref_Distribution'!$B$146:$B$150,'-ref_Distribution'!$G$146:$G$150)),RIGHT(D$1,2)),"")</f>
        <v>75</v>
      </c>
      <c r="E19" s="16" cm="1">
        <f t="array" ref="E19">IFERROR(INDEX(_xlfn.ANCHORARRAY(_xlfn.XLOOKUP($C19,'-ref_Distribution'!$B$146:$B$150,'-ref_Distribution'!$G$146:$G$150)),RIGHT(E$1,2)),"")</f>
        <v>94</v>
      </c>
      <c r="F19" s="16" cm="1">
        <f t="array" ref="F19">IFERROR(INDEX(_xlfn.ANCHORARRAY(_xlfn.XLOOKUP($C19,'-ref_Distribution'!$B$146:$B$150,'-ref_Distribution'!$G$146:$G$150)),RIGHT(F$1,2)),"")</f>
        <v>115</v>
      </c>
      <c r="G19" s="16" cm="1">
        <f t="array" ref="G19">IFERROR(INDEX(_xlfn.ANCHORARRAY(_xlfn.XLOOKUP($C19,'-ref_Distribution'!$B$146:$B$150,'-ref_Distribution'!$G$146:$G$150)),RIGHT(G$1,2)),"")</f>
        <v>137</v>
      </c>
      <c r="H19" s="16" cm="1">
        <f t="array" ref="H19">IFERROR(INDEX(_xlfn.ANCHORARRAY(_xlfn.XLOOKUP($C19,'-ref_Distribution'!$B$146:$B$150,'-ref_Distribution'!$G$146:$G$150)),RIGHT(H$1,2)),"")</f>
        <v>160</v>
      </c>
      <c r="I19" s="16" cm="1">
        <f t="array" ref="I19">IFERROR(INDEX(_xlfn.ANCHORARRAY(_xlfn.XLOOKUP($C19,'-ref_Distribution'!$B$146:$B$150,'-ref_Distribution'!$G$146:$G$150)),RIGHT(I$1,2)),"")</f>
        <v>183</v>
      </c>
      <c r="J19" s="16" cm="1">
        <f t="array" ref="J19">IFERROR(INDEX(_xlfn.ANCHORARRAY(_xlfn.XLOOKUP($C19,'-ref_Distribution'!$B$146:$B$150,'-ref_Distribution'!$G$146:$G$150)),RIGHT(J$1,2)),"")</f>
        <v>203</v>
      </c>
      <c r="K19" s="16" cm="1">
        <f t="array" ref="K19">IFERROR(INDEX(_xlfn.ANCHORARRAY(_xlfn.XLOOKUP($C19,'-ref_Distribution'!$B$146:$B$150,'-ref_Distribution'!$G$146:$G$150)),RIGHT(K$1,2)),"")</f>
        <v>221</v>
      </c>
      <c r="L19" s="16" cm="1">
        <f t="array" ref="L19">IFERROR(INDEX(_xlfn.ANCHORARRAY(_xlfn.XLOOKUP($C19,'-ref_Distribution'!$B$146:$B$150,'-ref_Distribution'!$G$146:$G$150)),RIGHT(L$1,2)),"")</f>
        <v>234</v>
      </c>
      <c r="M19" s="16" cm="1">
        <f t="array" ref="M19">IFERROR(INDEX(_xlfn.ANCHORARRAY(_xlfn.XLOOKUP($C19,'-ref_Distribution'!$B$146:$B$150,'-ref_Distribution'!$G$146:$G$150)),RIGHT(M$1,2)),"")</f>
        <v>243</v>
      </c>
      <c r="N19" s="16" cm="1">
        <f t="array" ref="N19">IFERROR(INDEX(_xlfn.ANCHORARRAY(_xlfn.XLOOKUP($C19,'-ref_Distribution'!$B$146:$B$150,'-ref_Distribution'!$G$146:$G$150)),RIGHT(N$1,2)),"")</f>
        <v>245</v>
      </c>
      <c r="O19" s="16" cm="1">
        <f t="array" ref="O19">IFERROR(INDEX(_xlfn.ANCHORARRAY(_xlfn.XLOOKUP($C19,'-ref_Distribution'!$B$146:$B$150,'-ref_Distribution'!$G$146:$G$150)),RIGHT(O$1,2)),"")</f>
        <v>243</v>
      </c>
      <c r="P19" s="16" cm="1">
        <f t="array" ref="P19">IFERROR(INDEX(_xlfn.ANCHORARRAY(_xlfn.XLOOKUP($C19,'-ref_Distribution'!$B$146:$B$150,'-ref_Distribution'!$G$146:$G$150)),RIGHT(P$1,2)),"")</f>
        <v>234</v>
      </c>
      <c r="Q19" s="16" cm="1">
        <f t="array" ref="Q19">IFERROR(INDEX(_xlfn.ANCHORARRAY(_xlfn.XLOOKUP($C19,'-ref_Distribution'!$B$146:$B$150,'-ref_Distribution'!$G$146:$G$150)),RIGHT(Q$1,2)),"")</f>
        <v>221</v>
      </c>
      <c r="R19" s="16" cm="1">
        <f t="array" ref="R19">IFERROR(INDEX(_xlfn.ANCHORARRAY(_xlfn.XLOOKUP($C19,'-ref_Distribution'!$B$146:$B$150,'-ref_Distribution'!$G$146:$G$150)),RIGHT(R$1,2)),"")</f>
        <v>203</v>
      </c>
      <c r="S19" s="16" cm="1">
        <f t="array" ref="S19">IFERROR(INDEX(_xlfn.ANCHORARRAY(_xlfn.XLOOKUP($C19,'-ref_Distribution'!$B$146:$B$150,'-ref_Distribution'!$G$146:$G$150)),RIGHT(S$1,2)),"")</f>
        <v>183</v>
      </c>
      <c r="T19" s="16" cm="1">
        <f t="array" ref="T19">IFERROR(INDEX(_xlfn.ANCHORARRAY(_xlfn.XLOOKUP($C19,'-ref_Distribution'!$B$146:$B$150,'-ref_Distribution'!$G$146:$G$150)),RIGHT(T$1,2)),"")</f>
        <v>160</v>
      </c>
      <c r="U19" s="16" cm="1">
        <f t="array" ref="U19">IFERROR(INDEX(_xlfn.ANCHORARRAY(_xlfn.XLOOKUP($C19,'-ref_Distribution'!$B$146:$B$150,'-ref_Distribution'!$G$146:$G$150)),RIGHT(U$1,2)),"")</f>
        <v>137</v>
      </c>
      <c r="V19" s="16" cm="1">
        <f t="array" ref="V19">IFERROR(INDEX(_xlfn.ANCHORARRAY(_xlfn.XLOOKUP($C19,'-ref_Distribution'!$B$146:$B$150,'-ref_Distribution'!$G$146:$G$150)),RIGHT(V$1,2)),"")</f>
        <v>115</v>
      </c>
      <c r="W19" s="16" cm="1">
        <f t="array" ref="W19">IFERROR(INDEX(_xlfn.ANCHORARRAY(_xlfn.XLOOKUP($C19,'-ref_Distribution'!$B$146:$B$150,'-ref_Distribution'!$G$146:$G$150)),RIGHT(W$1,2)),"")</f>
        <v>94</v>
      </c>
      <c r="X19" s="16" cm="1">
        <f t="array" ref="X19">IFERROR(INDEX(_xlfn.ANCHORARRAY(_xlfn.XLOOKUP($C19,'-ref_Distribution'!$B$146:$B$150,'-ref_Distribution'!$G$146:$G$150)),RIGHT(X$1,2)),"")</f>
        <v>75</v>
      </c>
      <c r="Y19" s="16" cm="1">
        <f t="array" ref="Y19">IFERROR(INDEX(_xlfn.ANCHORARRAY(_xlfn.XLOOKUP($C19,'-ref_Distribution'!$B$146:$B$150,'-ref_Distribution'!$G$146:$G$150)),RIGHT(Y$1,2)),"")</f>
        <v>94</v>
      </c>
      <c r="Z19" s="16" cm="1">
        <f t="array" ref="Z19">IFERROR(INDEX(_xlfn.ANCHORARRAY(_xlfn.XLOOKUP($C19,'-ref_Distribution'!$B$146:$B$150,'-ref_Distribution'!$G$146:$G$150)),RIGHT(Z$1,2)),"")</f>
        <v>115</v>
      </c>
      <c r="AA19" s="16" cm="1">
        <f t="array" ref="AA19">IFERROR(INDEX(_xlfn.ANCHORARRAY(_xlfn.XLOOKUP($C19,'-ref_Distribution'!$B$146:$B$150,'-ref_Distribution'!$G$146:$G$150)),RIGHT(AA$1,2)),"")</f>
        <v>137</v>
      </c>
      <c r="AB19" s="16" cm="1">
        <f t="array" ref="AB19">IFERROR(INDEX(_xlfn.ANCHORARRAY(_xlfn.XLOOKUP($C19,'-ref_Distribution'!$B$146:$B$150,'-ref_Distribution'!$G$146:$G$150)),RIGHT(AB$1,2)),"")</f>
        <v>160</v>
      </c>
      <c r="AC19" s="16" cm="1">
        <f t="array" ref="AC19">IFERROR(INDEX(_xlfn.ANCHORARRAY(_xlfn.XLOOKUP($C19,'-ref_Distribution'!$B$146:$B$150,'-ref_Distribution'!$G$146:$G$150)),RIGHT(AC$1,2)),"")</f>
        <v>183</v>
      </c>
      <c r="AD19" s="16" cm="1">
        <f t="array" ref="AD19">IFERROR(INDEX(_xlfn.ANCHORARRAY(_xlfn.XLOOKUP($C19,'-ref_Distribution'!$B$146:$B$150,'-ref_Distribution'!$G$146:$G$150)),RIGHT(AD$1,2)),"")</f>
        <v>203</v>
      </c>
      <c r="AE19" s="16" cm="1">
        <f t="array" ref="AE19">IFERROR(INDEX(_xlfn.ANCHORARRAY(_xlfn.XLOOKUP($C19,'-ref_Distribution'!$B$146:$B$150,'-ref_Distribution'!$G$146:$G$150)),RIGHT(AE$1,2)),"")</f>
        <v>221</v>
      </c>
      <c r="AF19" s="16" cm="1">
        <f t="array" ref="AF19">IFERROR(INDEX(_xlfn.ANCHORARRAY(_xlfn.XLOOKUP($C19,'-ref_Distribution'!$B$146:$B$150,'-ref_Distribution'!$G$146:$G$150)),RIGHT(AF$1,2)),"")</f>
        <v>234</v>
      </c>
      <c r="AG19" s="16" cm="1">
        <f t="array" ref="AG19">IFERROR(INDEX(_xlfn.ANCHORARRAY(_xlfn.XLOOKUP($C19,'-ref_Distribution'!$B$146:$B$150,'-ref_Distribution'!$G$146:$G$150)),RIGHT(AG$1,2)),"")</f>
        <v>243</v>
      </c>
      <c r="AH19" s="16" cm="1">
        <f t="array" ref="AH19">IFERROR(INDEX(_xlfn.ANCHORARRAY(_xlfn.XLOOKUP($C19,'-ref_Distribution'!$B$146:$B$150,'-ref_Distribution'!$G$146:$G$150)),RIGHT(AH$1,2)),"")</f>
        <v>245</v>
      </c>
      <c r="AI19" s="16" cm="1">
        <f t="array" ref="AI19">IFERROR(INDEX(_xlfn.ANCHORARRAY(_xlfn.XLOOKUP($C19,'-ref_Distribution'!$B$146:$B$150,'-ref_Distribution'!$G$146:$G$150)),RIGHT(AI$1,2)),"")</f>
        <v>243</v>
      </c>
      <c r="AJ19" s="16" cm="1">
        <f t="array" ref="AJ19">IFERROR(INDEX(_xlfn.ANCHORARRAY(_xlfn.XLOOKUP($C19,'-ref_Distribution'!$B$146:$B$150,'-ref_Distribution'!$G$146:$G$150)),RIGHT(AJ$1,2)),"")</f>
        <v>234</v>
      </c>
      <c r="AK19" s="16" cm="1">
        <f t="array" ref="AK19">IFERROR(INDEX(_xlfn.ANCHORARRAY(_xlfn.XLOOKUP($C19,'-ref_Distribution'!$B$146:$B$150,'-ref_Distribution'!$G$146:$G$150)),RIGHT(AK$1,2)),"")</f>
        <v>221</v>
      </c>
      <c r="AL19" s="16" cm="1">
        <f t="array" ref="AL19">IFERROR(INDEX(_xlfn.ANCHORARRAY(_xlfn.XLOOKUP($C19,'-ref_Distribution'!$B$146:$B$150,'-ref_Distribution'!$G$146:$G$150)),RIGHT(AL$1,2)),"")</f>
        <v>203</v>
      </c>
      <c r="AM19" s="16" cm="1">
        <f t="array" ref="AM19">IFERROR(INDEX(_xlfn.ANCHORARRAY(_xlfn.XLOOKUP($C19,'-ref_Distribution'!$B$146:$B$150,'-ref_Distribution'!$G$146:$G$150)),RIGHT(AM$1,2)),"")</f>
        <v>183</v>
      </c>
      <c r="AN19" s="16" cm="1">
        <f t="array" ref="AN19">IFERROR(INDEX(_xlfn.ANCHORARRAY(_xlfn.XLOOKUP($C19,'-ref_Distribution'!$B$146:$B$150,'-ref_Distribution'!$G$146:$G$150)),RIGHT(AN$1,2)),"")</f>
        <v>160</v>
      </c>
      <c r="AO19" s="16" cm="1">
        <f t="array" ref="AO19">IFERROR(INDEX(_xlfn.ANCHORARRAY(_xlfn.XLOOKUP($C19,'-ref_Distribution'!$B$146:$B$150,'-ref_Distribution'!$G$146:$G$150)),RIGHT(AO$1,2)),"")</f>
        <v>137</v>
      </c>
      <c r="AP19" s="16" cm="1">
        <f t="array" ref="AP19">IFERROR(INDEX(_xlfn.ANCHORARRAY(_xlfn.XLOOKUP($C19,'-ref_Distribution'!$B$146:$B$150,'-ref_Distribution'!$G$146:$G$150)),RIGHT(AP$1,2)),"")</f>
        <v>115</v>
      </c>
      <c r="AQ19" s="16" cm="1">
        <f t="array" ref="AQ19">IFERROR(INDEX(_xlfn.ANCHORARRAY(_xlfn.XLOOKUP($C19,'-ref_Distribution'!$B$146:$B$150,'-ref_Distribution'!$G$146:$G$150)),RIGHT(AQ$1,2)),"")</f>
        <v>94</v>
      </c>
      <c r="AR19" s="16" cm="1">
        <f t="array" ref="AR19">IFERROR(INDEX(_xlfn.ANCHORARRAY(_xlfn.XLOOKUP($C19,'-ref_Distribution'!$B$146:$B$150,'-ref_Distribution'!$G$146:$G$150)),RIGHT(AR$1,2)),"")</f>
        <v>75</v>
      </c>
      <c r="AS19" s="16" cm="1">
        <f t="array" ref="AS19">IFERROR(INDEX(_xlfn.ANCHORARRAY(_xlfn.XLOOKUP($C19,'-ref_Distribution'!$B$146:$B$150,'-ref_Distribution'!$G$146:$G$150)),RIGHT(AS$1,2)),"")</f>
        <v>94</v>
      </c>
      <c r="AT19" s="16" cm="1">
        <f t="array" ref="AT19">IFERROR(INDEX(_xlfn.ANCHORARRAY(_xlfn.XLOOKUP($C19,'-ref_Distribution'!$B$146:$B$150,'-ref_Distribution'!$G$146:$G$150)),RIGHT(AT$1,2)),"")</f>
        <v>115</v>
      </c>
      <c r="AU19" s="16" cm="1">
        <f t="array" ref="AU19">IFERROR(INDEX(_xlfn.ANCHORARRAY(_xlfn.XLOOKUP($C19,'-ref_Distribution'!$B$146:$B$150,'-ref_Distribution'!$G$146:$G$150)),RIGHT(AU$1,2)),"")</f>
        <v>137</v>
      </c>
      <c r="AV19" s="16" cm="1">
        <f t="array" ref="AV19">IFERROR(INDEX(_xlfn.ANCHORARRAY(_xlfn.XLOOKUP($C19,'-ref_Distribution'!$B$146:$B$150,'-ref_Distribution'!$G$146:$G$150)),RIGHT(AV$1,2)),"")</f>
        <v>160</v>
      </c>
      <c r="AW19" s="16" cm="1">
        <f t="array" ref="AW19">IFERROR(INDEX(_xlfn.ANCHORARRAY(_xlfn.XLOOKUP($C19,'-ref_Distribution'!$B$146:$B$150,'-ref_Distribution'!$G$146:$G$150)),RIGHT(AW$1,2)),"")</f>
        <v>183</v>
      </c>
      <c r="AX19" s="16" cm="1">
        <f t="array" ref="AX19">IFERROR(INDEX(_xlfn.ANCHORARRAY(_xlfn.XLOOKUP($C19,'-ref_Distribution'!$B$146:$B$150,'-ref_Distribution'!$G$146:$G$150)),RIGHT(AX$1,2)),"")</f>
        <v>203</v>
      </c>
      <c r="AY19" s="16" cm="1">
        <f t="array" ref="AY19">IFERROR(INDEX(_xlfn.ANCHORARRAY(_xlfn.XLOOKUP($C19,'-ref_Distribution'!$B$146:$B$150,'-ref_Distribution'!$G$146:$G$150)),RIGHT(AY$1,2)),"")</f>
        <v>221</v>
      </c>
      <c r="AZ19" s="16" cm="1">
        <f t="array" ref="AZ19">IFERROR(INDEX(_xlfn.ANCHORARRAY(_xlfn.XLOOKUP($C19,'-ref_Distribution'!$B$146:$B$150,'-ref_Distribution'!$G$146:$G$150)),RIGHT(AZ$1,2)),"")</f>
        <v>234</v>
      </c>
      <c r="BA19" s="16" cm="1">
        <f t="array" ref="BA19">IFERROR(INDEX(_xlfn.ANCHORARRAY(_xlfn.XLOOKUP($C19,'-ref_Distribution'!$B$146:$B$150,'-ref_Distribution'!$G$146:$G$150)),RIGHT(BA$1,2)),"")</f>
        <v>243</v>
      </c>
      <c r="BB19" s="16" cm="1">
        <f t="array" ref="BB19">IFERROR(INDEX(_xlfn.ANCHORARRAY(_xlfn.XLOOKUP($C19,'-ref_Distribution'!$B$146:$B$150,'-ref_Distribution'!$G$146:$G$150)),RIGHT(BB$1,2)),"")</f>
        <v>245</v>
      </c>
      <c r="BC19" s="16" cm="1">
        <f t="array" ref="BC19">IFERROR(INDEX(_xlfn.ANCHORARRAY(_xlfn.XLOOKUP($C19,'-ref_Distribution'!$B$146:$B$150,'-ref_Distribution'!$G$146:$G$150)),RIGHT(BC$1,2)),"")</f>
        <v>243</v>
      </c>
      <c r="BD19" s="16" cm="1">
        <f t="array" ref="BD19">IFERROR(INDEX(_xlfn.ANCHORARRAY(_xlfn.XLOOKUP($C19,'-ref_Distribution'!$B$146:$B$150,'-ref_Distribution'!$G$146:$G$150)),RIGHT(BD$1,2)),"")</f>
        <v>234</v>
      </c>
      <c r="BE19" s="16" cm="1">
        <f t="array" ref="BE19">IFERROR(INDEX(_xlfn.ANCHORARRAY(_xlfn.XLOOKUP($C19,'-ref_Distribution'!$B$146:$B$150,'-ref_Distribution'!$G$146:$G$150)),RIGHT(BE$1,2)),"")</f>
        <v>221</v>
      </c>
      <c r="BF19" s="16" cm="1">
        <f t="array" ref="BF19">IFERROR(INDEX(_xlfn.ANCHORARRAY(_xlfn.XLOOKUP($C19,'-ref_Distribution'!$B$146:$B$150,'-ref_Distribution'!$G$146:$G$150)),RIGHT(BF$1,2)),"")</f>
        <v>203</v>
      </c>
      <c r="BG19" s="16" cm="1">
        <f t="array" ref="BG19">IFERROR(INDEX(_xlfn.ANCHORARRAY(_xlfn.XLOOKUP($C19,'-ref_Distribution'!$B$146:$B$150,'-ref_Distribution'!$G$146:$G$150)),RIGHT(BG$1,2)),"")</f>
        <v>183</v>
      </c>
      <c r="BH19" s="16" cm="1">
        <f t="array" ref="BH19">IFERROR(INDEX(_xlfn.ANCHORARRAY(_xlfn.XLOOKUP($C19,'-ref_Distribution'!$B$146:$B$150,'-ref_Distribution'!$G$146:$G$150)),RIGHT(BH$1,2)),"")</f>
        <v>160</v>
      </c>
      <c r="BI19" s="16" cm="1">
        <f t="array" ref="BI19">IFERROR(INDEX(_xlfn.ANCHORARRAY(_xlfn.XLOOKUP($C19,'-ref_Distribution'!$B$146:$B$150,'-ref_Distribution'!$G$146:$G$150)),RIGHT(BI$1,2)),"")</f>
        <v>137</v>
      </c>
      <c r="BJ19" s="16" cm="1">
        <f t="array" ref="BJ19">IFERROR(INDEX(_xlfn.ANCHORARRAY(_xlfn.XLOOKUP($C19,'-ref_Distribution'!$B$146:$B$150,'-ref_Distribution'!$G$146:$G$150)),RIGHT(BJ$1,2)),"")</f>
        <v>115</v>
      </c>
      <c r="BK19" s="16" cm="1">
        <f t="array" ref="BK19">IFERROR(INDEX(_xlfn.ANCHORARRAY(_xlfn.XLOOKUP($C19,'-ref_Distribution'!$B$146:$B$150,'-ref_Distribution'!$G$146:$G$150)),RIGHT(BK$1,2)),"")</f>
        <v>94</v>
      </c>
      <c r="BL19" s="16" cm="1">
        <f t="array" ref="BL19">IFERROR(INDEX(_xlfn.ANCHORARRAY(_xlfn.XLOOKUP($C19,'-ref_Distribution'!$B$146:$B$150,'-ref_Distribution'!$G$146:$G$150)),RIGHT(BL$1,2)),"")</f>
        <v>75</v>
      </c>
      <c r="BM19" s="16" cm="1">
        <f t="array" ref="BM19">IFERROR(INDEX(_xlfn.ANCHORARRAY(_xlfn.XLOOKUP($C19,'-ref_Distribution'!$B$146:$B$150,'-ref_Distribution'!$G$146:$G$150)),RIGHT(BM$1,2)),"")</f>
        <v>94</v>
      </c>
      <c r="BN19" s="16" cm="1">
        <f t="array" ref="BN19">IFERROR(INDEX(_xlfn.ANCHORARRAY(_xlfn.XLOOKUP($C19,'-ref_Distribution'!$B$146:$B$150,'-ref_Distribution'!$G$146:$G$150)),RIGHT(BN$1,2)),"")</f>
        <v>115</v>
      </c>
      <c r="BO19" s="16" cm="1">
        <f t="array" ref="BO19">IFERROR(INDEX(_xlfn.ANCHORARRAY(_xlfn.XLOOKUP($C19,'-ref_Distribution'!$B$146:$B$150,'-ref_Distribution'!$G$146:$G$150)),RIGHT(BO$1,2)),"")</f>
        <v>137</v>
      </c>
      <c r="BP19" s="16" cm="1">
        <f t="array" ref="BP19">IFERROR(INDEX(_xlfn.ANCHORARRAY(_xlfn.XLOOKUP($C19,'-ref_Distribution'!$B$146:$B$150,'-ref_Distribution'!$G$146:$G$150)),RIGHT(BP$1,2)),"")</f>
        <v>160</v>
      </c>
      <c r="BQ19" s="16" cm="1">
        <f t="array" ref="BQ19">IFERROR(INDEX(_xlfn.ANCHORARRAY(_xlfn.XLOOKUP($C19,'-ref_Distribution'!$B$146:$B$150,'-ref_Distribution'!$G$146:$G$150)),RIGHT(BQ$1,2)),"")</f>
        <v>183</v>
      </c>
      <c r="BR19" s="16" cm="1">
        <f t="array" ref="BR19">IFERROR(INDEX(_xlfn.ANCHORARRAY(_xlfn.XLOOKUP($C19,'-ref_Distribution'!$B$146:$B$150,'-ref_Distribution'!$G$146:$G$150)),RIGHT(BR$1,2)),"")</f>
        <v>203</v>
      </c>
      <c r="BS19" s="16" cm="1">
        <f t="array" ref="BS19">IFERROR(INDEX(_xlfn.ANCHORARRAY(_xlfn.XLOOKUP($C19,'-ref_Distribution'!$B$146:$B$150,'-ref_Distribution'!$G$146:$G$150)),RIGHT(BS$1,2)),"")</f>
        <v>221</v>
      </c>
      <c r="BT19" s="16" cm="1">
        <f t="array" ref="BT19">IFERROR(INDEX(_xlfn.ANCHORARRAY(_xlfn.XLOOKUP($C19,'-ref_Distribution'!$B$146:$B$150,'-ref_Distribution'!$G$146:$G$150)),RIGHT(BT$1,2)),"")</f>
        <v>234</v>
      </c>
      <c r="BU19" s="16" cm="1">
        <f t="array" ref="BU19">IFERROR(INDEX(_xlfn.ANCHORARRAY(_xlfn.XLOOKUP($C19,'-ref_Distribution'!$B$146:$B$150,'-ref_Distribution'!$G$146:$G$150)),RIGHT(BU$1,2)),"")</f>
        <v>243</v>
      </c>
      <c r="BV19" s="16" cm="1">
        <f t="array" ref="BV19">IFERROR(INDEX(_xlfn.ANCHORARRAY(_xlfn.XLOOKUP($C19,'-ref_Distribution'!$B$146:$B$150,'-ref_Distribution'!$G$146:$G$150)),RIGHT(BV$1,2)),"")</f>
        <v>245</v>
      </c>
      <c r="BW19" s="16" cm="1">
        <f t="array" ref="BW19">IFERROR(INDEX(_xlfn.ANCHORARRAY(_xlfn.XLOOKUP($C19,'-ref_Distribution'!$B$146:$B$150,'-ref_Distribution'!$G$146:$G$150)),RIGHT(BW$1,2)),"")</f>
        <v>243</v>
      </c>
      <c r="BX19" s="16" cm="1">
        <f t="array" ref="BX19">IFERROR(INDEX(_xlfn.ANCHORARRAY(_xlfn.XLOOKUP($C19,'-ref_Distribution'!$B$146:$B$150,'-ref_Distribution'!$G$146:$G$150)),RIGHT(BX$1,2)),"")</f>
        <v>234</v>
      </c>
      <c r="BY19" s="16" cm="1">
        <f t="array" ref="BY19">IFERROR(INDEX(_xlfn.ANCHORARRAY(_xlfn.XLOOKUP($C19,'-ref_Distribution'!$B$146:$B$150,'-ref_Distribution'!$G$146:$G$150)),RIGHT(BY$1,2)),"")</f>
        <v>221</v>
      </c>
      <c r="BZ19" s="16" cm="1">
        <f t="array" ref="BZ19">IFERROR(INDEX(_xlfn.ANCHORARRAY(_xlfn.XLOOKUP($C19,'-ref_Distribution'!$B$146:$B$150,'-ref_Distribution'!$G$146:$G$150)),RIGHT(BZ$1,2)),"")</f>
        <v>203</v>
      </c>
      <c r="CA19" s="16" cm="1">
        <f t="array" ref="CA19">IFERROR(INDEX(_xlfn.ANCHORARRAY(_xlfn.XLOOKUP($C19,'-ref_Distribution'!$B$146:$B$150,'-ref_Distribution'!$G$146:$G$150)),RIGHT(CA$1,2)),"")</f>
        <v>183</v>
      </c>
      <c r="CB19" s="16" cm="1">
        <f t="array" ref="CB19">IFERROR(INDEX(_xlfn.ANCHORARRAY(_xlfn.XLOOKUP($C19,'-ref_Distribution'!$B$146:$B$150,'-ref_Distribution'!$G$146:$G$150)),RIGHT(CB$1,2)),"")</f>
        <v>160</v>
      </c>
      <c r="CC19" s="16" cm="1">
        <f t="array" ref="CC19">IFERROR(INDEX(_xlfn.ANCHORARRAY(_xlfn.XLOOKUP($C19,'-ref_Distribution'!$B$146:$B$150,'-ref_Distribution'!$G$146:$G$150)),RIGHT(CC$1,2)),"")</f>
        <v>137</v>
      </c>
      <c r="CD19" s="16" cm="1">
        <f t="array" ref="CD19">IFERROR(INDEX(_xlfn.ANCHORARRAY(_xlfn.XLOOKUP($C19,'-ref_Distribution'!$B$146:$B$150,'-ref_Distribution'!$G$146:$G$150)),RIGHT(CD$1,2)),"")</f>
        <v>115</v>
      </c>
      <c r="CE19" s="16" cm="1">
        <f t="array" ref="CE19">IFERROR(INDEX(_xlfn.ANCHORARRAY(_xlfn.XLOOKUP($C19,'-ref_Distribution'!$B$146:$B$150,'-ref_Distribution'!$G$146:$G$150)),RIGHT(CE$1,2)),"")</f>
        <v>94</v>
      </c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</row>
    <row r="20" spans="1:95" x14ac:dyDescent="0.2">
      <c r="A20" s="16">
        <v>300074</v>
      </c>
      <c r="B20" s="16" t="s">
        <v>280</v>
      </c>
      <c r="C20" s="16">
        <v>3</v>
      </c>
      <c r="D20" s="16" cm="1">
        <f t="array" ref="D20">IFERROR(INDEX(_xlfn.ANCHORARRAY(_xlfn.XLOOKUP($C20,'-ref_Distribution'!$B$146:$B$150,'-ref_Distribution'!$G$146:$G$150)),RIGHT(D$1,2)),"")</f>
        <v>4</v>
      </c>
      <c r="E20" s="16" cm="1">
        <f t="array" ref="E20">IFERROR(INDEX(_xlfn.ANCHORARRAY(_xlfn.XLOOKUP($C20,'-ref_Distribution'!$B$146:$B$150,'-ref_Distribution'!$G$146:$G$150)),RIGHT(E$1,2)),"")</f>
        <v>6</v>
      </c>
      <c r="F20" s="16" cm="1">
        <f t="array" ref="F20">IFERROR(INDEX(_xlfn.ANCHORARRAY(_xlfn.XLOOKUP($C20,'-ref_Distribution'!$B$146:$B$150,'-ref_Distribution'!$G$146:$G$150)),RIGHT(F$1,2)),"")</f>
        <v>9</v>
      </c>
      <c r="G20" s="16" cm="1">
        <f t="array" ref="G20">IFERROR(INDEX(_xlfn.ANCHORARRAY(_xlfn.XLOOKUP($C20,'-ref_Distribution'!$B$146:$B$150,'-ref_Distribution'!$G$146:$G$150)),RIGHT(G$1,2)),"")</f>
        <v>14</v>
      </c>
      <c r="H20" s="16" cm="1">
        <f t="array" ref="H20">IFERROR(INDEX(_xlfn.ANCHORARRAY(_xlfn.XLOOKUP($C20,'-ref_Distribution'!$B$146:$B$150,'-ref_Distribution'!$G$146:$G$150)),RIGHT(H$1,2)),"")</f>
        <v>20</v>
      </c>
      <c r="I20" s="16" cm="1">
        <f t="array" ref="I20">IFERROR(INDEX(_xlfn.ANCHORARRAY(_xlfn.XLOOKUP($C20,'-ref_Distribution'!$B$146:$B$150,'-ref_Distribution'!$G$146:$G$150)),RIGHT(I$1,2)),"")</f>
        <v>28</v>
      </c>
      <c r="J20" s="16" cm="1">
        <f t="array" ref="J20">IFERROR(INDEX(_xlfn.ANCHORARRAY(_xlfn.XLOOKUP($C20,'-ref_Distribution'!$B$146:$B$150,'-ref_Distribution'!$G$146:$G$150)),RIGHT(J$1,2)),"")</f>
        <v>38</v>
      </c>
      <c r="K20" s="16" cm="1">
        <f t="array" ref="K20">IFERROR(INDEX(_xlfn.ANCHORARRAY(_xlfn.XLOOKUP($C20,'-ref_Distribution'!$B$146:$B$150,'-ref_Distribution'!$G$146:$G$150)),RIGHT(K$1,2)),"")</f>
        <v>51</v>
      </c>
      <c r="L20" s="16" cm="1">
        <f t="array" ref="L20">IFERROR(INDEX(_xlfn.ANCHORARRAY(_xlfn.XLOOKUP($C20,'-ref_Distribution'!$B$146:$B$150,'-ref_Distribution'!$G$146:$G$150)),RIGHT(L$1,2)),"")</f>
        <v>65</v>
      </c>
      <c r="M20" s="16" cm="1">
        <f t="array" ref="M20">IFERROR(INDEX(_xlfn.ANCHORARRAY(_xlfn.XLOOKUP($C20,'-ref_Distribution'!$B$146:$B$150,'-ref_Distribution'!$G$146:$G$150)),RIGHT(M$1,2)),"")</f>
        <v>80</v>
      </c>
      <c r="N20" s="16" cm="1">
        <f t="array" ref="N20">IFERROR(INDEX(_xlfn.ANCHORARRAY(_xlfn.XLOOKUP($C20,'-ref_Distribution'!$B$146:$B$150,'-ref_Distribution'!$G$146:$G$150)),RIGHT(N$1,2)),"")</f>
        <v>96</v>
      </c>
      <c r="O20" s="16" cm="1">
        <f t="array" ref="O20">IFERROR(INDEX(_xlfn.ANCHORARRAY(_xlfn.XLOOKUP($C20,'-ref_Distribution'!$B$146:$B$150,'-ref_Distribution'!$G$146:$G$150)),RIGHT(O$1,2)),"")</f>
        <v>111</v>
      </c>
      <c r="P20" s="16" cm="1">
        <f t="array" ref="P20">IFERROR(INDEX(_xlfn.ANCHORARRAY(_xlfn.XLOOKUP($C20,'-ref_Distribution'!$B$146:$B$150,'-ref_Distribution'!$G$146:$G$150)),RIGHT(P$1,2)),"")</f>
        <v>125</v>
      </c>
      <c r="Q20" s="16" cm="1">
        <f t="array" ref="Q20">IFERROR(INDEX(_xlfn.ANCHORARRAY(_xlfn.XLOOKUP($C20,'-ref_Distribution'!$B$146:$B$150,'-ref_Distribution'!$G$146:$G$150)),RIGHT(Q$1,2)),"")</f>
        <v>135</v>
      </c>
      <c r="R20" s="16" cm="1">
        <f t="array" ref="R20">IFERROR(INDEX(_xlfn.ANCHORARRAY(_xlfn.XLOOKUP($C20,'-ref_Distribution'!$B$146:$B$150,'-ref_Distribution'!$G$146:$G$150)),RIGHT(R$1,2)),"")</f>
        <v>142</v>
      </c>
      <c r="S20" s="16" cm="1">
        <f t="array" ref="S20">IFERROR(INDEX(_xlfn.ANCHORARRAY(_xlfn.XLOOKUP($C20,'-ref_Distribution'!$B$146:$B$150,'-ref_Distribution'!$G$146:$G$150)),RIGHT(S$1,2)),"")</f>
        <v>144</v>
      </c>
      <c r="T20" s="16" cm="1">
        <f t="array" ref="T20">IFERROR(INDEX(_xlfn.ANCHORARRAY(_xlfn.XLOOKUP($C20,'-ref_Distribution'!$B$146:$B$150,'-ref_Distribution'!$G$146:$G$150)),RIGHT(T$1,2)),"")</f>
        <v>142</v>
      </c>
      <c r="U20" s="16" cm="1">
        <f t="array" ref="U20">IFERROR(INDEX(_xlfn.ANCHORARRAY(_xlfn.XLOOKUP($C20,'-ref_Distribution'!$B$146:$B$150,'-ref_Distribution'!$G$146:$G$150)),RIGHT(U$1,2)),"")</f>
        <v>135</v>
      </c>
      <c r="V20" s="16" cm="1">
        <f t="array" ref="V20">IFERROR(INDEX(_xlfn.ANCHORARRAY(_xlfn.XLOOKUP($C20,'-ref_Distribution'!$B$146:$B$150,'-ref_Distribution'!$G$146:$G$150)),RIGHT(V$1,2)),"")</f>
        <v>125</v>
      </c>
      <c r="W20" s="16" cm="1">
        <f t="array" ref="W20">IFERROR(INDEX(_xlfn.ANCHORARRAY(_xlfn.XLOOKUP($C20,'-ref_Distribution'!$B$146:$B$150,'-ref_Distribution'!$G$146:$G$150)),RIGHT(W$1,2)),"")</f>
        <v>111</v>
      </c>
      <c r="X20" s="16" cm="1">
        <f t="array" ref="X20">IFERROR(INDEX(_xlfn.ANCHORARRAY(_xlfn.XLOOKUP($C20,'-ref_Distribution'!$B$146:$B$150,'-ref_Distribution'!$G$146:$G$150)),RIGHT(X$1,2)),"")</f>
        <v>4</v>
      </c>
      <c r="Y20" s="16" cm="1">
        <f t="array" ref="Y20">IFERROR(INDEX(_xlfn.ANCHORARRAY(_xlfn.XLOOKUP($C20,'-ref_Distribution'!$B$146:$B$150,'-ref_Distribution'!$G$146:$G$150)),RIGHT(Y$1,2)),"")</f>
        <v>6</v>
      </c>
      <c r="Z20" s="16" cm="1">
        <f t="array" ref="Z20">IFERROR(INDEX(_xlfn.ANCHORARRAY(_xlfn.XLOOKUP($C20,'-ref_Distribution'!$B$146:$B$150,'-ref_Distribution'!$G$146:$G$150)),RIGHT(Z$1,2)),"")</f>
        <v>9</v>
      </c>
      <c r="AA20" s="16" cm="1">
        <f t="array" ref="AA20">IFERROR(INDEX(_xlfn.ANCHORARRAY(_xlfn.XLOOKUP($C20,'-ref_Distribution'!$B$146:$B$150,'-ref_Distribution'!$G$146:$G$150)),RIGHT(AA$1,2)),"")</f>
        <v>14</v>
      </c>
      <c r="AB20" s="16" cm="1">
        <f t="array" ref="AB20">IFERROR(INDEX(_xlfn.ANCHORARRAY(_xlfn.XLOOKUP($C20,'-ref_Distribution'!$B$146:$B$150,'-ref_Distribution'!$G$146:$G$150)),RIGHT(AB$1,2)),"")</f>
        <v>20</v>
      </c>
      <c r="AC20" s="16" cm="1">
        <f t="array" ref="AC20">IFERROR(INDEX(_xlfn.ANCHORARRAY(_xlfn.XLOOKUP($C20,'-ref_Distribution'!$B$146:$B$150,'-ref_Distribution'!$G$146:$G$150)),RIGHT(AC$1,2)),"")</f>
        <v>28</v>
      </c>
      <c r="AD20" s="16" cm="1">
        <f t="array" ref="AD20">IFERROR(INDEX(_xlfn.ANCHORARRAY(_xlfn.XLOOKUP($C20,'-ref_Distribution'!$B$146:$B$150,'-ref_Distribution'!$G$146:$G$150)),RIGHT(AD$1,2)),"")</f>
        <v>38</v>
      </c>
      <c r="AE20" s="16" cm="1">
        <f t="array" ref="AE20">IFERROR(INDEX(_xlfn.ANCHORARRAY(_xlfn.XLOOKUP($C20,'-ref_Distribution'!$B$146:$B$150,'-ref_Distribution'!$G$146:$G$150)),RIGHT(AE$1,2)),"")</f>
        <v>51</v>
      </c>
      <c r="AF20" s="16" cm="1">
        <f t="array" ref="AF20">IFERROR(INDEX(_xlfn.ANCHORARRAY(_xlfn.XLOOKUP($C20,'-ref_Distribution'!$B$146:$B$150,'-ref_Distribution'!$G$146:$G$150)),RIGHT(AF$1,2)),"")</f>
        <v>65</v>
      </c>
      <c r="AG20" s="16" cm="1">
        <f t="array" ref="AG20">IFERROR(INDEX(_xlfn.ANCHORARRAY(_xlfn.XLOOKUP($C20,'-ref_Distribution'!$B$146:$B$150,'-ref_Distribution'!$G$146:$G$150)),RIGHT(AG$1,2)),"")</f>
        <v>80</v>
      </c>
      <c r="AH20" s="16" cm="1">
        <f t="array" ref="AH20">IFERROR(INDEX(_xlfn.ANCHORARRAY(_xlfn.XLOOKUP($C20,'-ref_Distribution'!$B$146:$B$150,'-ref_Distribution'!$G$146:$G$150)),RIGHT(AH$1,2)),"")</f>
        <v>96</v>
      </c>
      <c r="AI20" s="16" cm="1">
        <f t="array" ref="AI20">IFERROR(INDEX(_xlfn.ANCHORARRAY(_xlfn.XLOOKUP($C20,'-ref_Distribution'!$B$146:$B$150,'-ref_Distribution'!$G$146:$G$150)),RIGHT(AI$1,2)),"")</f>
        <v>111</v>
      </c>
      <c r="AJ20" s="16" cm="1">
        <f t="array" ref="AJ20">IFERROR(INDEX(_xlfn.ANCHORARRAY(_xlfn.XLOOKUP($C20,'-ref_Distribution'!$B$146:$B$150,'-ref_Distribution'!$G$146:$G$150)),RIGHT(AJ$1,2)),"")</f>
        <v>125</v>
      </c>
      <c r="AK20" s="16" cm="1">
        <f t="array" ref="AK20">IFERROR(INDEX(_xlfn.ANCHORARRAY(_xlfn.XLOOKUP($C20,'-ref_Distribution'!$B$146:$B$150,'-ref_Distribution'!$G$146:$G$150)),RIGHT(AK$1,2)),"")</f>
        <v>135</v>
      </c>
      <c r="AL20" s="16" cm="1">
        <f t="array" ref="AL20">IFERROR(INDEX(_xlfn.ANCHORARRAY(_xlfn.XLOOKUP($C20,'-ref_Distribution'!$B$146:$B$150,'-ref_Distribution'!$G$146:$G$150)),RIGHT(AL$1,2)),"")</f>
        <v>142</v>
      </c>
      <c r="AM20" s="16" cm="1">
        <f t="array" ref="AM20">IFERROR(INDEX(_xlfn.ANCHORARRAY(_xlfn.XLOOKUP($C20,'-ref_Distribution'!$B$146:$B$150,'-ref_Distribution'!$G$146:$G$150)),RIGHT(AM$1,2)),"")</f>
        <v>144</v>
      </c>
      <c r="AN20" s="16" cm="1">
        <f t="array" ref="AN20">IFERROR(INDEX(_xlfn.ANCHORARRAY(_xlfn.XLOOKUP($C20,'-ref_Distribution'!$B$146:$B$150,'-ref_Distribution'!$G$146:$G$150)),RIGHT(AN$1,2)),"")</f>
        <v>142</v>
      </c>
      <c r="AO20" s="16" cm="1">
        <f t="array" ref="AO20">IFERROR(INDEX(_xlfn.ANCHORARRAY(_xlfn.XLOOKUP($C20,'-ref_Distribution'!$B$146:$B$150,'-ref_Distribution'!$G$146:$G$150)),RIGHT(AO$1,2)),"")</f>
        <v>135</v>
      </c>
      <c r="AP20" s="16" cm="1">
        <f t="array" ref="AP20">IFERROR(INDEX(_xlfn.ANCHORARRAY(_xlfn.XLOOKUP($C20,'-ref_Distribution'!$B$146:$B$150,'-ref_Distribution'!$G$146:$G$150)),RIGHT(AP$1,2)),"")</f>
        <v>125</v>
      </c>
      <c r="AQ20" s="16" cm="1">
        <f t="array" ref="AQ20">IFERROR(INDEX(_xlfn.ANCHORARRAY(_xlfn.XLOOKUP($C20,'-ref_Distribution'!$B$146:$B$150,'-ref_Distribution'!$G$146:$G$150)),RIGHT(AQ$1,2)),"")</f>
        <v>111</v>
      </c>
      <c r="AR20" s="16" cm="1">
        <f t="array" ref="AR20">IFERROR(INDEX(_xlfn.ANCHORARRAY(_xlfn.XLOOKUP($C20,'-ref_Distribution'!$B$146:$B$150,'-ref_Distribution'!$G$146:$G$150)),RIGHT(AR$1,2)),"")</f>
        <v>4</v>
      </c>
      <c r="AS20" s="16" cm="1">
        <f t="array" ref="AS20">IFERROR(INDEX(_xlfn.ANCHORARRAY(_xlfn.XLOOKUP($C20,'-ref_Distribution'!$B$146:$B$150,'-ref_Distribution'!$G$146:$G$150)),RIGHT(AS$1,2)),"")</f>
        <v>6</v>
      </c>
      <c r="AT20" s="16" cm="1">
        <f t="array" ref="AT20">IFERROR(INDEX(_xlfn.ANCHORARRAY(_xlfn.XLOOKUP($C20,'-ref_Distribution'!$B$146:$B$150,'-ref_Distribution'!$G$146:$G$150)),RIGHT(AT$1,2)),"")</f>
        <v>9</v>
      </c>
      <c r="AU20" s="16" cm="1">
        <f t="array" ref="AU20">IFERROR(INDEX(_xlfn.ANCHORARRAY(_xlfn.XLOOKUP($C20,'-ref_Distribution'!$B$146:$B$150,'-ref_Distribution'!$G$146:$G$150)),RIGHT(AU$1,2)),"")</f>
        <v>14</v>
      </c>
      <c r="AV20" s="16" cm="1">
        <f t="array" ref="AV20">IFERROR(INDEX(_xlfn.ANCHORARRAY(_xlfn.XLOOKUP($C20,'-ref_Distribution'!$B$146:$B$150,'-ref_Distribution'!$G$146:$G$150)),RIGHT(AV$1,2)),"")</f>
        <v>20</v>
      </c>
      <c r="AW20" s="16" cm="1">
        <f t="array" ref="AW20">IFERROR(INDEX(_xlfn.ANCHORARRAY(_xlfn.XLOOKUP($C20,'-ref_Distribution'!$B$146:$B$150,'-ref_Distribution'!$G$146:$G$150)),RIGHT(AW$1,2)),"")</f>
        <v>28</v>
      </c>
      <c r="AX20" s="16" cm="1">
        <f t="array" ref="AX20">IFERROR(INDEX(_xlfn.ANCHORARRAY(_xlfn.XLOOKUP($C20,'-ref_Distribution'!$B$146:$B$150,'-ref_Distribution'!$G$146:$G$150)),RIGHT(AX$1,2)),"")</f>
        <v>38</v>
      </c>
      <c r="AY20" s="16" cm="1">
        <f t="array" ref="AY20">IFERROR(INDEX(_xlfn.ANCHORARRAY(_xlfn.XLOOKUP($C20,'-ref_Distribution'!$B$146:$B$150,'-ref_Distribution'!$G$146:$G$150)),RIGHT(AY$1,2)),"")</f>
        <v>51</v>
      </c>
      <c r="AZ20" s="16" cm="1">
        <f t="array" ref="AZ20">IFERROR(INDEX(_xlfn.ANCHORARRAY(_xlfn.XLOOKUP($C20,'-ref_Distribution'!$B$146:$B$150,'-ref_Distribution'!$G$146:$G$150)),RIGHT(AZ$1,2)),"")</f>
        <v>65</v>
      </c>
      <c r="BA20" s="16" cm="1">
        <f t="array" ref="BA20">IFERROR(INDEX(_xlfn.ANCHORARRAY(_xlfn.XLOOKUP($C20,'-ref_Distribution'!$B$146:$B$150,'-ref_Distribution'!$G$146:$G$150)),RIGHT(BA$1,2)),"")</f>
        <v>80</v>
      </c>
      <c r="BB20" s="16" cm="1">
        <f t="array" ref="BB20">IFERROR(INDEX(_xlfn.ANCHORARRAY(_xlfn.XLOOKUP($C20,'-ref_Distribution'!$B$146:$B$150,'-ref_Distribution'!$G$146:$G$150)),RIGHT(BB$1,2)),"")</f>
        <v>96</v>
      </c>
      <c r="BC20" s="16" cm="1">
        <f t="array" ref="BC20">IFERROR(INDEX(_xlfn.ANCHORARRAY(_xlfn.XLOOKUP($C20,'-ref_Distribution'!$B$146:$B$150,'-ref_Distribution'!$G$146:$G$150)),RIGHT(BC$1,2)),"")</f>
        <v>111</v>
      </c>
      <c r="BD20" s="16" cm="1">
        <f t="array" ref="BD20">IFERROR(INDEX(_xlfn.ANCHORARRAY(_xlfn.XLOOKUP($C20,'-ref_Distribution'!$B$146:$B$150,'-ref_Distribution'!$G$146:$G$150)),RIGHT(BD$1,2)),"")</f>
        <v>125</v>
      </c>
      <c r="BE20" s="16" cm="1">
        <f t="array" ref="BE20">IFERROR(INDEX(_xlfn.ANCHORARRAY(_xlfn.XLOOKUP($C20,'-ref_Distribution'!$B$146:$B$150,'-ref_Distribution'!$G$146:$G$150)),RIGHT(BE$1,2)),"")</f>
        <v>135</v>
      </c>
      <c r="BF20" s="16" cm="1">
        <f t="array" ref="BF20">IFERROR(INDEX(_xlfn.ANCHORARRAY(_xlfn.XLOOKUP($C20,'-ref_Distribution'!$B$146:$B$150,'-ref_Distribution'!$G$146:$G$150)),RIGHT(BF$1,2)),"")</f>
        <v>142</v>
      </c>
      <c r="BG20" s="16" cm="1">
        <f t="array" ref="BG20">IFERROR(INDEX(_xlfn.ANCHORARRAY(_xlfn.XLOOKUP($C20,'-ref_Distribution'!$B$146:$B$150,'-ref_Distribution'!$G$146:$G$150)),RIGHT(BG$1,2)),"")</f>
        <v>144</v>
      </c>
      <c r="BH20" s="16" cm="1">
        <f t="array" ref="BH20">IFERROR(INDEX(_xlfn.ANCHORARRAY(_xlfn.XLOOKUP($C20,'-ref_Distribution'!$B$146:$B$150,'-ref_Distribution'!$G$146:$G$150)),RIGHT(BH$1,2)),"")</f>
        <v>142</v>
      </c>
      <c r="BI20" s="16" cm="1">
        <f t="array" ref="BI20">IFERROR(INDEX(_xlfn.ANCHORARRAY(_xlfn.XLOOKUP($C20,'-ref_Distribution'!$B$146:$B$150,'-ref_Distribution'!$G$146:$G$150)),RIGHT(BI$1,2)),"")</f>
        <v>135</v>
      </c>
      <c r="BJ20" s="16" cm="1">
        <f t="array" ref="BJ20">IFERROR(INDEX(_xlfn.ANCHORARRAY(_xlfn.XLOOKUP($C20,'-ref_Distribution'!$B$146:$B$150,'-ref_Distribution'!$G$146:$G$150)),RIGHT(BJ$1,2)),"")</f>
        <v>125</v>
      </c>
      <c r="BK20" s="16" cm="1">
        <f t="array" ref="BK20">IFERROR(INDEX(_xlfn.ANCHORARRAY(_xlfn.XLOOKUP($C20,'-ref_Distribution'!$B$146:$B$150,'-ref_Distribution'!$G$146:$G$150)),RIGHT(BK$1,2)),"")</f>
        <v>111</v>
      </c>
      <c r="BL20" s="16" cm="1">
        <f t="array" ref="BL20">IFERROR(INDEX(_xlfn.ANCHORARRAY(_xlfn.XLOOKUP($C20,'-ref_Distribution'!$B$146:$B$150,'-ref_Distribution'!$G$146:$G$150)),RIGHT(BL$1,2)),"")</f>
        <v>4</v>
      </c>
      <c r="BM20" s="16" cm="1">
        <f t="array" ref="BM20">IFERROR(INDEX(_xlfn.ANCHORARRAY(_xlfn.XLOOKUP($C20,'-ref_Distribution'!$B$146:$B$150,'-ref_Distribution'!$G$146:$G$150)),RIGHT(BM$1,2)),"")</f>
        <v>6</v>
      </c>
      <c r="BN20" s="16" cm="1">
        <f t="array" ref="BN20">IFERROR(INDEX(_xlfn.ANCHORARRAY(_xlfn.XLOOKUP($C20,'-ref_Distribution'!$B$146:$B$150,'-ref_Distribution'!$G$146:$G$150)),RIGHT(BN$1,2)),"")</f>
        <v>9</v>
      </c>
      <c r="BO20" s="16" cm="1">
        <f t="array" ref="BO20">IFERROR(INDEX(_xlfn.ANCHORARRAY(_xlfn.XLOOKUP($C20,'-ref_Distribution'!$B$146:$B$150,'-ref_Distribution'!$G$146:$G$150)),RIGHT(BO$1,2)),"")</f>
        <v>14</v>
      </c>
      <c r="BP20" s="16" cm="1">
        <f t="array" ref="BP20">IFERROR(INDEX(_xlfn.ANCHORARRAY(_xlfn.XLOOKUP($C20,'-ref_Distribution'!$B$146:$B$150,'-ref_Distribution'!$G$146:$G$150)),RIGHT(BP$1,2)),"")</f>
        <v>20</v>
      </c>
      <c r="BQ20" s="16" cm="1">
        <f t="array" ref="BQ20">IFERROR(INDEX(_xlfn.ANCHORARRAY(_xlfn.XLOOKUP($C20,'-ref_Distribution'!$B$146:$B$150,'-ref_Distribution'!$G$146:$G$150)),RIGHT(BQ$1,2)),"")</f>
        <v>28</v>
      </c>
      <c r="BR20" s="16" cm="1">
        <f t="array" ref="BR20">IFERROR(INDEX(_xlfn.ANCHORARRAY(_xlfn.XLOOKUP($C20,'-ref_Distribution'!$B$146:$B$150,'-ref_Distribution'!$G$146:$G$150)),RIGHT(BR$1,2)),"")</f>
        <v>38</v>
      </c>
      <c r="BS20" s="16" cm="1">
        <f t="array" ref="BS20">IFERROR(INDEX(_xlfn.ANCHORARRAY(_xlfn.XLOOKUP($C20,'-ref_Distribution'!$B$146:$B$150,'-ref_Distribution'!$G$146:$G$150)),RIGHT(BS$1,2)),"")</f>
        <v>51</v>
      </c>
      <c r="BT20" s="16" cm="1">
        <f t="array" ref="BT20">IFERROR(INDEX(_xlfn.ANCHORARRAY(_xlfn.XLOOKUP($C20,'-ref_Distribution'!$B$146:$B$150,'-ref_Distribution'!$G$146:$G$150)),RIGHT(BT$1,2)),"")</f>
        <v>65</v>
      </c>
      <c r="BU20" s="16" cm="1">
        <f t="array" ref="BU20">IFERROR(INDEX(_xlfn.ANCHORARRAY(_xlfn.XLOOKUP($C20,'-ref_Distribution'!$B$146:$B$150,'-ref_Distribution'!$G$146:$G$150)),RIGHT(BU$1,2)),"")</f>
        <v>80</v>
      </c>
      <c r="BV20" s="16" cm="1">
        <f t="array" ref="BV20">IFERROR(INDEX(_xlfn.ANCHORARRAY(_xlfn.XLOOKUP($C20,'-ref_Distribution'!$B$146:$B$150,'-ref_Distribution'!$G$146:$G$150)),RIGHT(BV$1,2)),"")</f>
        <v>96</v>
      </c>
      <c r="BW20" s="16" cm="1">
        <f t="array" ref="BW20">IFERROR(INDEX(_xlfn.ANCHORARRAY(_xlfn.XLOOKUP($C20,'-ref_Distribution'!$B$146:$B$150,'-ref_Distribution'!$G$146:$G$150)),RIGHT(BW$1,2)),"")</f>
        <v>111</v>
      </c>
      <c r="BX20" s="16" cm="1">
        <f t="array" ref="BX20">IFERROR(INDEX(_xlfn.ANCHORARRAY(_xlfn.XLOOKUP($C20,'-ref_Distribution'!$B$146:$B$150,'-ref_Distribution'!$G$146:$G$150)),RIGHT(BX$1,2)),"")</f>
        <v>125</v>
      </c>
      <c r="BY20" s="16" cm="1">
        <f t="array" ref="BY20">IFERROR(INDEX(_xlfn.ANCHORARRAY(_xlfn.XLOOKUP($C20,'-ref_Distribution'!$B$146:$B$150,'-ref_Distribution'!$G$146:$G$150)),RIGHT(BY$1,2)),"")</f>
        <v>135</v>
      </c>
      <c r="BZ20" s="16" cm="1">
        <f t="array" ref="BZ20">IFERROR(INDEX(_xlfn.ANCHORARRAY(_xlfn.XLOOKUP($C20,'-ref_Distribution'!$B$146:$B$150,'-ref_Distribution'!$G$146:$G$150)),RIGHT(BZ$1,2)),"")</f>
        <v>142</v>
      </c>
      <c r="CA20" s="16" cm="1">
        <f t="array" ref="CA20">IFERROR(INDEX(_xlfn.ANCHORARRAY(_xlfn.XLOOKUP($C20,'-ref_Distribution'!$B$146:$B$150,'-ref_Distribution'!$G$146:$G$150)),RIGHT(CA$1,2)),"")</f>
        <v>144</v>
      </c>
      <c r="CB20" s="16" cm="1">
        <f t="array" ref="CB20">IFERROR(INDEX(_xlfn.ANCHORARRAY(_xlfn.XLOOKUP($C20,'-ref_Distribution'!$B$146:$B$150,'-ref_Distribution'!$G$146:$G$150)),RIGHT(CB$1,2)),"")</f>
        <v>142</v>
      </c>
      <c r="CC20" s="16" cm="1">
        <f t="array" ref="CC20">IFERROR(INDEX(_xlfn.ANCHORARRAY(_xlfn.XLOOKUP($C20,'-ref_Distribution'!$B$146:$B$150,'-ref_Distribution'!$G$146:$G$150)),RIGHT(CC$1,2)),"")</f>
        <v>135</v>
      </c>
      <c r="CD20" s="16" cm="1">
        <f t="array" ref="CD20">IFERROR(INDEX(_xlfn.ANCHORARRAY(_xlfn.XLOOKUP($C20,'-ref_Distribution'!$B$146:$B$150,'-ref_Distribution'!$G$146:$G$150)),RIGHT(CD$1,2)),"")</f>
        <v>125</v>
      </c>
      <c r="CE20" s="16" cm="1">
        <f t="array" ref="CE20">IFERROR(INDEX(_xlfn.ANCHORARRAY(_xlfn.XLOOKUP($C20,'-ref_Distribution'!$B$146:$B$150,'-ref_Distribution'!$G$146:$G$150)),RIGHT(CE$1,2)),"")</f>
        <v>111</v>
      </c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</row>
    <row r="21" spans="1:95" x14ac:dyDescent="0.2">
      <c r="A21" s="16">
        <v>300081</v>
      </c>
      <c r="B21" s="16" t="s">
        <v>203</v>
      </c>
      <c r="C21" s="16">
        <v>0</v>
      </c>
      <c r="D21" s="16" cm="1">
        <f t="array" ref="D21">IFERROR(INDEX(_xlfn.ANCHORARRAY(_xlfn.XLOOKUP($C21,'-ref_Distribution'!$B$146:$B$150,'-ref_Distribution'!$G$146:$G$150)),RIGHT(D$1,2)),"")</f>
        <v>709</v>
      </c>
      <c r="E21" s="16" cm="1">
        <f t="array" ref="E21">IFERROR(INDEX(_xlfn.ANCHORARRAY(_xlfn.XLOOKUP($C21,'-ref_Distribution'!$B$146:$B$150,'-ref_Distribution'!$G$146:$G$150)),RIGHT(E$1,2)),"")</f>
        <v>705</v>
      </c>
      <c r="F21" s="16" cm="1">
        <f t="array" ref="F21">IFERROR(INDEX(_xlfn.ANCHORARRAY(_xlfn.XLOOKUP($C21,'-ref_Distribution'!$B$146:$B$150,'-ref_Distribution'!$G$146:$G$150)),RIGHT(F$1,2)),"")</f>
        <v>692</v>
      </c>
      <c r="G21" s="16" cm="1">
        <f t="array" ref="G21">IFERROR(INDEX(_xlfn.ANCHORARRAY(_xlfn.XLOOKUP($C21,'-ref_Distribution'!$B$146:$B$150,'-ref_Distribution'!$G$146:$G$150)),RIGHT(G$1,2)),"")</f>
        <v>671</v>
      </c>
      <c r="H21" s="16" cm="1">
        <f t="array" ref="H21">IFERROR(INDEX(_xlfn.ANCHORARRAY(_xlfn.XLOOKUP($C21,'-ref_Distribution'!$B$146:$B$150,'-ref_Distribution'!$G$146:$G$150)),RIGHT(H$1,2)),"")</f>
        <v>643</v>
      </c>
      <c r="I21" s="16" cm="1">
        <f t="array" ref="I21">IFERROR(INDEX(_xlfn.ANCHORARRAY(_xlfn.XLOOKUP($C21,'-ref_Distribution'!$B$146:$B$150,'-ref_Distribution'!$G$146:$G$150)),RIGHT(I$1,2)),"")</f>
        <v>608</v>
      </c>
      <c r="J21" s="16" cm="1">
        <f t="array" ref="J21">IFERROR(INDEX(_xlfn.ANCHORARRAY(_xlfn.XLOOKUP($C21,'-ref_Distribution'!$B$146:$B$150,'-ref_Distribution'!$G$146:$G$150)),RIGHT(J$1,2)),"")</f>
        <v>568</v>
      </c>
      <c r="K21" s="16" cm="1">
        <f t="array" ref="K21">IFERROR(INDEX(_xlfn.ANCHORARRAY(_xlfn.XLOOKUP($C21,'-ref_Distribution'!$B$146:$B$150,'-ref_Distribution'!$G$146:$G$150)),RIGHT(K$1,2)),"")</f>
        <v>524</v>
      </c>
      <c r="L21" s="16" cm="1">
        <f t="array" ref="L21">IFERROR(INDEX(_xlfn.ANCHORARRAY(_xlfn.XLOOKUP($C21,'-ref_Distribution'!$B$146:$B$150,'-ref_Distribution'!$G$146:$G$150)),RIGHT(L$1,2)),"")</f>
        <v>478</v>
      </c>
      <c r="M21" s="16" cm="1">
        <f t="array" ref="M21">IFERROR(INDEX(_xlfn.ANCHORARRAY(_xlfn.XLOOKUP($C21,'-ref_Distribution'!$B$146:$B$150,'-ref_Distribution'!$G$146:$G$150)),RIGHT(M$1,2)),"")</f>
        <v>430</v>
      </c>
      <c r="N21" s="16" cm="1">
        <f t="array" ref="N21">IFERROR(INDEX(_xlfn.ANCHORARRAY(_xlfn.XLOOKUP($C21,'-ref_Distribution'!$B$146:$B$150,'-ref_Distribution'!$G$146:$G$150)),RIGHT(N$1,2)),"")</f>
        <v>383</v>
      </c>
      <c r="O21" s="16" cm="1">
        <f t="array" ref="O21">IFERROR(INDEX(_xlfn.ANCHORARRAY(_xlfn.XLOOKUP($C21,'-ref_Distribution'!$B$146:$B$150,'-ref_Distribution'!$G$146:$G$150)),RIGHT(O$1,2)),"")</f>
        <v>336</v>
      </c>
      <c r="P21" s="16" cm="1">
        <f t="array" ref="P21">IFERROR(INDEX(_xlfn.ANCHORARRAY(_xlfn.XLOOKUP($C21,'-ref_Distribution'!$B$146:$B$150,'-ref_Distribution'!$G$146:$G$150)),RIGHT(P$1,2)),"")</f>
        <v>292</v>
      </c>
      <c r="Q21" s="16" cm="1">
        <f t="array" ref="Q21">IFERROR(INDEX(_xlfn.ANCHORARRAY(_xlfn.XLOOKUP($C21,'-ref_Distribution'!$B$146:$B$150,'-ref_Distribution'!$G$146:$G$150)),RIGHT(Q$1,2)),"")</f>
        <v>250</v>
      </c>
      <c r="R21" s="16" cm="1">
        <f t="array" ref="R21">IFERROR(INDEX(_xlfn.ANCHORARRAY(_xlfn.XLOOKUP($C21,'-ref_Distribution'!$B$146:$B$150,'-ref_Distribution'!$G$146:$G$150)),RIGHT(R$1,2)),"")</f>
        <v>212</v>
      </c>
      <c r="S21" s="16" cm="1">
        <f t="array" ref="S21">IFERROR(INDEX(_xlfn.ANCHORARRAY(_xlfn.XLOOKUP($C21,'-ref_Distribution'!$B$146:$B$150,'-ref_Distribution'!$G$146:$G$150)),RIGHT(S$1,2)),"")</f>
        <v>177</v>
      </c>
      <c r="T21" s="16" cm="1">
        <f t="array" ref="T21">IFERROR(INDEX(_xlfn.ANCHORARRAY(_xlfn.XLOOKUP($C21,'-ref_Distribution'!$B$146:$B$150,'-ref_Distribution'!$G$146:$G$150)),RIGHT(T$1,2)),"")</f>
        <v>146</v>
      </c>
      <c r="U21" s="16" cm="1">
        <f t="array" ref="U21">IFERROR(INDEX(_xlfn.ANCHORARRAY(_xlfn.XLOOKUP($C21,'-ref_Distribution'!$B$146:$B$150,'-ref_Distribution'!$G$146:$G$150)),RIGHT(U$1,2)),"")</f>
        <v>119</v>
      </c>
      <c r="V21" s="16" cm="1">
        <f t="array" ref="V21">IFERROR(INDEX(_xlfn.ANCHORARRAY(_xlfn.XLOOKUP($C21,'-ref_Distribution'!$B$146:$B$150,'-ref_Distribution'!$G$146:$G$150)),RIGHT(V$1,2)),"")</f>
        <v>96</v>
      </c>
      <c r="W21" s="16" cm="1">
        <f t="array" ref="W21">IFERROR(INDEX(_xlfn.ANCHORARRAY(_xlfn.XLOOKUP($C21,'-ref_Distribution'!$B$146:$B$150,'-ref_Distribution'!$G$146:$G$150)),RIGHT(W$1,2)),"")</f>
        <v>76</v>
      </c>
      <c r="X21" s="16" cm="1">
        <f t="array" ref="X21">IFERROR(INDEX(_xlfn.ANCHORARRAY(_xlfn.XLOOKUP($C21,'-ref_Distribution'!$B$146:$B$150,'-ref_Distribution'!$G$146:$G$150)),RIGHT(X$1,2)),"")</f>
        <v>709</v>
      </c>
      <c r="Y21" s="16" cm="1">
        <f t="array" ref="Y21">IFERROR(INDEX(_xlfn.ANCHORARRAY(_xlfn.XLOOKUP($C21,'-ref_Distribution'!$B$146:$B$150,'-ref_Distribution'!$G$146:$G$150)),RIGHT(Y$1,2)),"")</f>
        <v>705</v>
      </c>
      <c r="Z21" s="16" cm="1">
        <f t="array" ref="Z21">IFERROR(INDEX(_xlfn.ANCHORARRAY(_xlfn.XLOOKUP($C21,'-ref_Distribution'!$B$146:$B$150,'-ref_Distribution'!$G$146:$G$150)),RIGHT(Z$1,2)),"")</f>
        <v>692</v>
      </c>
      <c r="AA21" s="16" cm="1">
        <f t="array" ref="AA21">IFERROR(INDEX(_xlfn.ANCHORARRAY(_xlfn.XLOOKUP($C21,'-ref_Distribution'!$B$146:$B$150,'-ref_Distribution'!$G$146:$G$150)),RIGHT(AA$1,2)),"")</f>
        <v>671</v>
      </c>
      <c r="AB21" s="16" cm="1">
        <f t="array" ref="AB21">IFERROR(INDEX(_xlfn.ANCHORARRAY(_xlfn.XLOOKUP($C21,'-ref_Distribution'!$B$146:$B$150,'-ref_Distribution'!$G$146:$G$150)),RIGHT(AB$1,2)),"")</f>
        <v>643</v>
      </c>
      <c r="AC21" s="16" cm="1">
        <f t="array" ref="AC21">IFERROR(INDEX(_xlfn.ANCHORARRAY(_xlfn.XLOOKUP($C21,'-ref_Distribution'!$B$146:$B$150,'-ref_Distribution'!$G$146:$G$150)),RIGHT(AC$1,2)),"")</f>
        <v>608</v>
      </c>
      <c r="AD21" s="16" cm="1">
        <f t="array" ref="AD21">IFERROR(INDEX(_xlfn.ANCHORARRAY(_xlfn.XLOOKUP($C21,'-ref_Distribution'!$B$146:$B$150,'-ref_Distribution'!$G$146:$G$150)),RIGHT(AD$1,2)),"")</f>
        <v>568</v>
      </c>
      <c r="AE21" s="16" cm="1">
        <f t="array" ref="AE21">IFERROR(INDEX(_xlfn.ANCHORARRAY(_xlfn.XLOOKUP($C21,'-ref_Distribution'!$B$146:$B$150,'-ref_Distribution'!$G$146:$G$150)),RIGHT(AE$1,2)),"")</f>
        <v>524</v>
      </c>
      <c r="AF21" s="16" cm="1">
        <f t="array" ref="AF21">IFERROR(INDEX(_xlfn.ANCHORARRAY(_xlfn.XLOOKUP($C21,'-ref_Distribution'!$B$146:$B$150,'-ref_Distribution'!$G$146:$G$150)),RIGHT(AF$1,2)),"")</f>
        <v>478</v>
      </c>
      <c r="AG21" s="16" cm="1">
        <f t="array" ref="AG21">IFERROR(INDEX(_xlfn.ANCHORARRAY(_xlfn.XLOOKUP($C21,'-ref_Distribution'!$B$146:$B$150,'-ref_Distribution'!$G$146:$G$150)),RIGHT(AG$1,2)),"")</f>
        <v>430</v>
      </c>
      <c r="AH21" s="16" cm="1">
        <f t="array" ref="AH21">IFERROR(INDEX(_xlfn.ANCHORARRAY(_xlfn.XLOOKUP($C21,'-ref_Distribution'!$B$146:$B$150,'-ref_Distribution'!$G$146:$G$150)),RIGHT(AH$1,2)),"")</f>
        <v>383</v>
      </c>
      <c r="AI21" s="16" cm="1">
        <f t="array" ref="AI21">IFERROR(INDEX(_xlfn.ANCHORARRAY(_xlfn.XLOOKUP($C21,'-ref_Distribution'!$B$146:$B$150,'-ref_Distribution'!$G$146:$G$150)),RIGHT(AI$1,2)),"")</f>
        <v>336</v>
      </c>
      <c r="AJ21" s="16" cm="1">
        <f t="array" ref="AJ21">IFERROR(INDEX(_xlfn.ANCHORARRAY(_xlfn.XLOOKUP($C21,'-ref_Distribution'!$B$146:$B$150,'-ref_Distribution'!$G$146:$G$150)),RIGHT(AJ$1,2)),"")</f>
        <v>292</v>
      </c>
      <c r="AK21" s="16" cm="1">
        <f t="array" ref="AK21">IFERROR(INDEX(_xlfn.ANCHORARRAY(_xlfn.XLOOKUP($C21,'-ref_Distribution'!$B$146:$B$150,'-ref_Distribution'!$G$146:$G$150)),RIGHT(AK$1,2)),"")</f>
        <v>250</v>
      </c>
      <c r="AL21" s="16" cm="1">
        <f t="array" ref="AL21">IFERROR(INDEX(_xlfn.ANCHORARRAY(_xlfn.XLOOKUP($C21,'-ref_Distribution'!$B$146:$B$150,'-ref_Distribution'!$G$146:$G$150)),RIGHT(AL$1,2)),"")</f>
        <v>212</v>
      </c>
      <c r="AM21" s="16" cm="1">
        <f t="array" ref="AM21">IFERROR(INDEX(_xlfn.ANCHORARRAY(_xlfn.XLOOKUP($C21,'-ref_Distribution'!$B$146:$B$150,'-ref_Distribution'!$G$146:$G$150)),RIGHT(AM$1,2)),"")</f>
        <v>177</v>
      </c>
      <c r="AN21" s="16" cm="1">
        <f t="array" ref="AN21">IFERROR(INDEX(_xlfn.ANCHORARRAY(_xlfn.XLOOKUP($C21,'-ref_Distribution'!$B$146:$B$150,'-ref_Distribution'!$G$146:$G$150)),RIGHT(AN$1,2)),"")</f>
        <v>146</v>
      </c>
      <c r="AO21" s="16" cm="1">
        <f t="array" ref="AO21">IFERROR(INDEX(_xlfn.ANCHORARRAY(_xlfn.XLOOKUP($C21,'-ref_Distribution'!$B$146:$B$150,'-ref_Distribution'!$G$146:$G$150)),RIGHT(AO$1,2)),"")</f>
        <v>119</v>
      </c>
      <c r="AP21" s="16" cm="1">
        <f t="array" ref="AP21">IFERROR(INDEX(_xlfn.ANCHORARRAY(_xlfn.XLOOKUP($C21,'-ref_Distribution'!$B$146:$B$150,'-ref_Distribution'!$G$146:$G$150)),RIGHT(AP$1,2)),"")</f>
        <v>96</v>
      </c>
      <c r="AQ21" s="16" cm="1">
        <f t="array" ref="AQ21">IFERROR(INDEX(_xlfn.ANCHORARRAY(_xlfn.XLOOKUP($C21,'-ref_Distribution'!$B$146:$B$150,'-ref_Distribution'!$G$146:$G$150)),RIGHT(AQ$1,2)),"")</f>
        <v>76</v>
      </c>
      <c r="AR21" s="16" cm="1">
        <f t="array" ref="AR21">IFERROR(INDEX(_xlfn.ANCHORARRAY(_xlfn.XLOOKUP($C21,'-ref_Distribution'!$B$146:$B$150,'-ref_Distribution'!$G$146:$G$150)),RIGHT(AR$1,2)),"")</f>
        <v>709</v>
      </c>
      <c r="AS21" s="16" cm="1">
        <f t="array" ref="AS21">IFERROR(INDEX(_xlfn.ANCHORARRAY(_xlfn.XLOOKUP($C21,'-ref_Distribution'!$B$146:$B$150,'-ref_Distribution'!$G$146:$G$150)),RIGHT(AS$1,2)),"")</f>
        <v>705</v>
      </c>
      <c r="AT21" s="16" cm="1">
        <f t="array" ref="AT21">IFERROR(INDEX(_xlfn.ANCHORARRAY(_xlfn.XLOOKUP($C21,'-ref_Distribution'!$B$146:$B$150,'-ref_Distribution'!$G$146:$G$150)),RIGHT(AT$1,2)),"")</f>
        <v>692</v>
      </c>
      <c r="AU21" s="16" cm="1">
        <f t="array" ref="AU21">IFERROR(INDEX(_xlfn.ANCHORARRAY(_xlfn.XLOOKUP($C21,'-ref_Distribution'!$B$146:$B$150,'-ref_Distribution'!$G$146:$G$150)),RIGHT(AU$1,2)),"")</f>
        <v>671</v>
      </c>
      <c r="AV21" s="16" cm="1">
        <f t="array" ref="AV21">IFERROR(INDEX(_xlfn.ANCHORARRAY(_xlfn.XLOOKUP($C21,'-ref_Distribution'!$B$146:$B$150,'-ref_Distribution'!$G$146:$G$150)),RIGHT(AV$1,2)),"")</f>
        <v>643</v>
      </c>
      <c r="AW21" s="16" cm="1">
        <f t="array" ref="AW21">IFERROR(INDEX(_xlfn.ANCHORARRAY(_xlfn.XLOOKUP($C21,'-ref_Distribution'!$B$146:$B$150,'-ref_Distribution'!$G$146:$G$150)),RIGHT(AW$1,2)),"")</f>
        <v>608</v>
      </c>
      <c r="AX21" s="16" cm="1">
        <f t="array" ref="AX21">IFERROR(INDEX(_xlfn.ANCHORARRAY(_xlfn.XLOOKUP($C21,'-ref_Distribution'!$B$146:$B$150,'-ref_Distribution'!$G$146:$G$150)),RIGHT(AX$1,2)),"")</f>
        <v>568</v>
      </c>
      <c r="AY21" s="16" cm="1">
        <f t="array" ref="AY21">IFERROR(INDEX(_xlfn.ANCHORARRAY(_xlfn.XLOOKUP($C21,'-ref_Distribution'!$B$146:$B$150,'-ref_Distribution'!$G$146:$G$150)),RIGHT(AY$1,2)),"")</f>
        <v>524</v>
      </c>
      <c r="AZ21" s="16" cm="1">
        <f t="array" ref="AZ21">IFERROR(INDEX(_xlfn.ANCHORARRAY(_xlfn.XLOOKUP($C21,'-ref_Distribution'!$B$146:$B$150,'-ref_Distribution'!$G$146:$G$150)),RIGHT(AZ$1,2)),"")</f>
        <v>478</v>
      </c>
      <c r="BA21" s="16" cm="1">
        <f t="array" ref="BA21">IFERROR(INDEX(_xlfn.ANCHORARRAY(_xlfn.XLOOKUP($C21,'-ref_Distribution'!$B$146:$B$150,'-ref_Distribution'!$G$146:$G$150)),RIGHT(BA$1,2)),"")</f>
        <v>430</v>
      </c>
      <c r="BB21" s="16" cm="1">
        <f t="array" ref="BB21">IFERROR(INDEX(_xlfn.ANCHORARRAY(_xlfn.XLOOKUP($C21,'-ref_Distribution'!$B$146:$B$150,'-ref_Distribution'!$G$146:$G$150)),RIGHT(BB$1,2)),"")</f>
        <v>383</v>
      </c>
      <c r="BC21" s="16" cm="1">
        <f t="array" ref="BC21">IFERROR(INDEX(_xlfn.ANCHORARRAY(_xlfn.XLOOKUP($C21,'-ref_Distribution'!$B$146:$B$150,'-ref_Distribution'!$G$146:$G$150)),RIGHT(BC$1,2)),"")</f>
        <v>336</v>
      </c>
      <c r="BD21" s="16" cm="1">
        <f t="array" ref="BD21">IFERROR(INDEX(_xlfn.ANCHORARRAY(_xlfn.XLOOKUP($C21,'-ref_Distribution'!$B$146:$B$150,'-ref_Distribution'!$G$146:$G$150)),RIGHT(BD$1,2)),"")</f>
        <v>292</v>
      </c>
      <c r="BE21" s="16" cm="1">
        <f t="array" ref="BE21">IFERROR(INDEX(_xlfn.ANCHORARRAY(_xlfn.XLOOKUP($C21,'-ref_Distribution'!$B$146:$B$150,'-ref_Distribution'!$G$146:$G$150)),RIGHT(BE$1,2)),"")</f>
        <v>250</v>
      </c>
      <c r="BF21" s="16" cm="1">
        <f t="array" ref="BF21">IFERROR(INDEX(_xlfn.ANCHORARRAY(_xlfn.XLOOKUP($C21,'-ref_Distribution'!$B$146:$B$150,'-ref_Distribution'!$G$146:$G$150)),RIGHT(BF$1,2)),"")</f>
        <v>212</v>
      </c>
      <c r="BG21" s="16" cm="1">
        <f t="array" ref="BG21">IFERROR(INDEX(_xlfn.ANCHORARRAY(_xlfn.XLOOKUP($C21,'-ref_Distribution'!$B$146:$B$150,'-ref_Distribution'!$G$146:$G$150)),RIGHT(BG$1,2)),"")</f>
        <v>177</v>
      </c>
      <c r="BH21" s="16" cm="1">
        <f t="array" ref="BH21">IFERROR(INDEX(_xlfn.ANCHORARRAY(_xlfn.XLOOKUP($C21,'-ref_Distribution'!$B$146:$B$150,'-ref_Distribution'!$G$146:$G$150)),RIGHT(BH$1,2)),"")</f>
        <v>146</v>
      </c>
      <c r="BI21" s="16" cm="1">
        <f t="array" ref="BI21">IFERROR(INDEX(_xlfn.ANCHORARRAY(_xlfn.XLOOKUP($C21,'-ref_Distribution'!$B$146:$B$150,'-ref_Distribution'!$G$146:$G$150)),RIGHT(BI$1,2)),"")</f>
        <v>119</v>
      </c>
      <c r="BJ21" s="16" cm="1">
        <f t="array" ref="BJ21">IFERROR(INDEX(_xlfn.ANCHORARRAY(_xlfn.XLOOKUP($C21,'-ref_Distribution'!$B$146:$B$150,'-ref_Distribution'!$G$146:$G$150)),RIGHT(BJ$1,2)),"")</f>
        <v>96</v>
      </c>
      <c r="BK21" s="16" cm="1">
        <f t="array" ref="BK21">IFERROR(INDEX(_xlfn.ANCHORARRAY(_xlfn.XLOOKUP($C21,'-ref_Distribution'!$B$146:$B$150,'-ref_Distribution'!$G$146:$G$150)),RIGHT(BK$1,2)),"")</f>
        <v>76</v>
      </c>
      <c r="BL21" s="16" cm="1">
        <f t="array" ref="BL21">IFERROR(INDEX(_xlfn.ANCHORARRAY(_xlfn.XLOOKUP($C21,'-ref_Distribution'!$B$146:$B$150,'-ref_Distribution'!$G$146:$G$150)),RIGHT(BL$1,2)),"")</f>
        <v>709</v>
      </c>
      <c r="BM21" s="16" cm="1">
        <f t="array" ref="BM21">IFERROR(INDEX(_xlfn.ANCHORARRAY(_xlfn.XLOOKUP($C21,'-ref_Distribution'!$B$146:$B$150,'-ref_Distribution'!$G$146:$G$150)),RIGHT(BM$1,2)),"")</f>
        <v>705</v>
      </c>
      <c r="BN21" s="16" cm="1">
        <f t="array" ref="BN21">IFERROR(INDEX(_xlfn.ANCHORARRAY(_xlfn.XLOOKUP($C21,'-ref_Distribution'!$B$146:$B$150,'-ref_Distribution'!$G$146:$G$150)),RIGHT(BN$1,2)),"")</f>
        <v>692</v>
      </c>
      <c r="BO21" s="16" cm="1">
        <f t="array" ref="BO21">IFERROR(INDEX(_xlfn.ANCHORARRAY(_xlfn.XLOOKUP($C21,'-ref_Distribution'!$B$146:$B$150,'-ref_Distribution'!$G$146:$G$150)),RIGHT(BO$1,2)),"")</f>
        <v>671</v>
      </c>
      <c r="BP21" s="16" cm="1">
        <f t="array" ref="BP21">IFERROR(INDEX(_xlfn.ANCHORARRAY(_xlfn.XLOOKUP($C21,'-ref_Distribution'!$B$146:$B$150,'-ref_Distribution'!$G$146:$G$150)),RIGHT(BP$1,2)),"")</f>
        <v>643</v>
      </c>
      <c r="BQ21" s="16" cm="1">
        <f t="array" ref="BQ21">IFERROR(INDEX(_xlfn.ANCHORARRAY(_xlfn.XLOOKUP($C21,'-ref_Distribution'!$B$146:$B$150,'-ref_Distribution'!$G$146:$G$150)),RIGHT(BQ$1,2)),"")</f>
        <v>608</v>
      </c>
      <c r="BR21" s="16" cm="1">
        <f t="array" ref="BR21">IFERROR(INDEX(_xlfn.ANCHORARRAY(_xlfn.XLOOKUP($C21,'-ref_Distribution'!$B$146:$B$150,'-ref_Distribution'!$G$146:$G$150)),RIGHT(BR$1,2)),"")</f>
        <v>568</v>
      </c>
      <c r="BS21" s="16" cm="1">
        <f t="array" ref="BS21">IFERROR(INDEX(_xlfn.ANCHORARRAY(_xlfn.XLOOKUP($C21,'-ref_Distribution'!$B$146:$B$150,'-ref_Distribution'!$G$146:$G$150)),RIGHT(BS$1,2)),"")</f>
        <v>524</v>
      </c>
      <c r="BT21" s="16" cm="1">
        <f t="array" ref="BT21">IFERROR(INDEX(_xlfn.ANCHORARRAY(_xlfn.XLOOKUP($C21,'-ref_Distribution'!$B$146:$B$150,'-ref_Distribution'!$G$146:$G$150)),RIGHT(BT$1,2)),"")</f>
        <v>478</v>
      </c>
      <c r="BU21" s="16" cm="1">
        <f t="array" ref="BU21">IFERROR(INDEX(_xlfn.ANCHORARRAY(_xlfn.XLOOKUP($C21,'-ref_Distribution'!$B$146:$B$150,'-ref_Distribution'!$G$146:$G$150)),RIGHT(BU$1,2)),"")</f>
        <v>430</v>
      </c>
      <c r="BV21" s="16" cm="1">
        <f t="array" ref="BV21">IFERROR(INDEX(_xlfn.ANCHORARRAY(_xlfn.XLOOKUP($C21,'-ref_Distribution'!$B$146:$B$150,'-ref_Distribution'!$G$146:$G$150)),RIGHT(BV$1,2)),"")</f>
        <v>383</v>
      </c>
      <c r="BW21" s="16" cm="1">
        <f t="array" ref="BW21">IFERROR(INDEX(_xlfn.ANCHORARRAY(_xlfn.XLOOKUP($C21,'-ref_Distribution'!$B$146:$B$150,'-ref_Distribution'!$G$146:$G$150)),RIGHT(BW$1,2)),"")</f>
        <v>336</v>
      </c>
      <c r="BX21" s="16" cm="1">
        <f t="array" ref="BX21">IFERROR(INDEX(_xlfn.ANCHORARRAY(_xlfn.XLOOKUP($C21,'-ref_Distribution'!$B$146:$B$150,'-ref_Distribution'!$G$146:$G$150)),RIGHT(BX$1,2)),"")</f>
        <v>292</v>
      </c>
      <c r="BY21" s="16" cm="1">
        <f t="array" ref="BY21">IFERROR(INDEX(_xlfn.ANCHORARRAY(_xlfn.XLOOKUP($C21,'-ref_Distribution'!$B$146:$B$150,'-ref_Distribution'!$G$146:$G$150)),RIGHT(BY$1,2)),"")</f>
        <v>250</v>
      </c>
      <c r="BZ21" s="16" cm="1">
        <f t="array" ref="BZ21">IFERROR(INDEX(_xlfn.ANCHORARRAY(_xlfn.XLOOKUP($C21,'-ref_Distribution'!$B$146:$B$150,'-ref_Distribution'!$G$146:$G$150)),RIGHT(BZ$1,2)),"")</f>
        <v>212</v>
      </c>
      <c r="CA21" s="16" cm="1">
        <f t="array" ref="CA21">IFERROR(INDEX(_xlfn.ANCHORARRAY(_xlfn.XLOOKUP($C21,'-ref_Distribution'!$B$146:$B$150,'-ref_Distribution'!$G$146:$G$150)),RIGHT(CA$1,2)),"")</f>
        <v>177</v>
      </c>
      <c r="CB21" s="16" cm="1">
        <f t="array" ref="CB21">IFERROR(INDEX(_xlfn.ANCHORARRAY(_xlfn.XLOOKUP($C21,'-ref_Distribution'!$B$146:$B$150,'-ref_Distribution'!$G$146:$G$150)),RIGHT(CB$1,2)),"")</f>
        <v>146</v>
      </c>
      <c r="CC21" s="16" cm="1">
        <f t="array" ref="CC21">IFERROR(INDEX(_xlfn.ANCHORARRAY(_xlfn.XLOOKUP($C21,'-ref_Distribution'!$B$146:$B$150,'-ref_Distribution'!$G$146:$G$150)),RIGHT(CC$1,2)),"")</f>
        <v>119</v>
      </c>
      <c r="CD21" s="16" cm="1">
        <f t="array" ref="CD21">IFERROR(INDEX(_xlfn.ANCHORARRAY(_xlfn.XLOOKUP($C21,'-ref_Distribution'!$B$146:$B$150,'-ref_Distribution'!$G$146:$G$150)),RIGHT(CD$1,2)),"")</f>
        <v>96</v>
      </c>
      <c r="CE21" s="16" cm="1">
        <f t="array" ref="CE21">IFERROR(INDEX(_xlfn.ANCHORARRAY(_xlfn.XLOOKUP($C21,'-ref_Distribution'!$B$146:$B$150,'-ref_Distribution'!$G$146:$G$150)),RIGHT(CE$1,2)),"")</f>
        <v>76</v>
      </c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</row>
    <row r="22" spans="1:95" x14ac:dyDescent="0.2">
      <c r="A22" s="16">
        <v>300082</v>
      </c>
      <c r="B22" s="16" t="s">
        <v>203</v>
      </c>
      <c r="C22" s="16">
        <v>1</v>
      </c>
      <c r="D22" s="16" cm="1">
        <f t="array" ref="D22">IFERROR(INDEX(_xlfn.ANCHORARRAY(_xlfn.XLOOKUP($C22,'-ref_Distribution'!$B$146:$B$150,'-ref_Distribution'!$G$146:$G$150)),RIGHT(D$1,2)),"")</f>
        <v>337</v>
      </c>
      <c r="E22" s="16" cm="1">
        <f t="array" ref="E22">IFERROR(INDEX(_xlfn.ANCHORARRAY(_xlfn.XLOOKUP($C22,'-ref_Distribution'!$B$146:$B$150,'-ref_Distribution'!$G$146:$G$150)),RIGHT(E$1,2)),"")</f>
        <v>364</v>
      </c>
      <c r="F22" s="16" cm="1">
        <f t="array" ref="F22">IFERROR(INDEX(_xlfn.ANCHORARRAY(_xlfn.XLOOKUP($C22,'-ref_Distribution'!$B$146:$B$150,'-ref_Distribution'!$G$146:$G$150)),RIGHT(F$1,2)),"")</f>
        <v>386</v>
      </c>
      <c r="G22" s="16" cm="1">
        <f t="array" ref="G22">IFERROR(INDEX(_xlfn.ANCHORARRAY(_xlfn.XLOOKUP($C22,'-ref_Distribution'!$B$146:$B$150,'-ref_Distribution'!$G$146:$G$150)),RIGHT(G$1,2)),"")</f>
        <v>403</v>
      </c>
      <c r="H22" s="16" cm="1">
        <f t="array" ref="H22">IFERROR(INDEX(_xlfn.ANCHORARRAY(_xlfn.XLOOKUP($C22,'-ref_Distribution'!$B$146:$B$150,'-ref_Distribution'!$G$146:$G$150)),RIGHT(H$1,2)),"")</f>
        <v>414</v>
      </c>
      <c r="I22" s="16" cm="1">
        <f t="array" ref="I22">IFERROR(INDEX(_xlfn.ANCHORARRAY(_xlfn.XLOOKUP($C22,'-ref_Distribution'!$B$146:$B$150,'-ref_Distribution'!$G$146:$G$150)),RIGHT(I$1,2)),"")</f>
        <v>417</v>
      </c>
      <c r="J22" s="16" cm="1">
        <f t="array" ref="J22">IFERROR(INDEX(_xlfn.ANCHORARRAY(_xlfn.XLOOKUP($C22,'-ref_Distribution'!$B$146:$B$150,'-ref_Distribution'!$G$146:$G$150)),RIGHT(J$1,2)),"")</f>
        <v>414</v>
      </c>
      <c r="K22" s="16" cm="1">
        <f t="array" ref="K22">IFERROR(INDEX(_xlfn.ANCHORARRAY(_xlfn.XLOOKUP($C22,'-ref_Distribution'!$B$146:$B$150,'-ref_Distribution'!$G$146:$G$150)),RIGHT(K$1,2)),"")</f>
        <v>403</v>
      </c>
      <c r="L22" s="16" cm="1">
        <f t="array" ref="L22">IFERROR(INDEX(_xlfn.ANCHORARRAY(_xlfn.XLOOKUP($C22,'-ref_Distribution'!$B$146:$B$150,'-ref_Distribution'!$G$146:$G$150)),RIGHT(L$1,2)),"")</f>
        <v>386</v>
      </c>
      <c r="M22" s="16" cm="1">
        <f t="array" ref="M22">IFERROR(INDEX(_xlfn.ANCHORARRAY(_xlfn.XLOOKUP($C22,'-ref_Distribution'!$B$146:$B$150,'-ref_Distribution'!$G$146:$G$150)),RIGHT(M$1,2)),"")</f>
        <v>364</v>
      </c>
      <c r="N22" s="16" cm="1">
        <f t="array" ref="N22">IFERROR(INDEX(_xlfn.ANCHORARRAY(_xlfn.XLOOKUP($C22,'-ref_Distribution'!$B$146:$B$150,'-ref_Distribution'!$G$146:$G$150)),RIGHT(N$1,2)),"")</f>
        <v>337</v>
      </c>
      <c r="O22" s="16" cm="1">
        <f t="array" ref="O22">IFERROR(INDEX(_xlfn.ANCHORARRAY(_xlfn.XLOOKUP($C22,'-ref_Distribution'!$B$146:$B$150,'-ref_Distribution'!$G$146:$G$150)),RIGHT(O$1,2)),"")</f>
        <v>307</v>
      </c>
      <c r="P22" s="16" cm="1">
        <f t="array" ref="P22">IFERROR(INDEX(_xlfn.ANCHORARRAY(_xlfn.XLOOKUP($C22,'-ref_Distribution'!$B$146:$B$150,'-ref_Distribution'!$G$146:$G$150)),RIGHT(P$1,2)),"")</f>
        <v>274</v>
      </c>
      <c r="Q22" s="16" cm="1">
        <f t="array" ref="Q22">IFERROR(INDEX(_xlfn.ANCHORARRAY(_xlfn.XLOOKUP($C22,'-ref_Distribution'!$B$146:$B$150,'-ref_Distribution'!$G$146:$G$150)),RIGHT(Q$1,2)),"")</f>
        <v>241</v>
      </c>
      <c r="R22" s="16" cm="1">
        <f t="array" ref="R22">IFERROR(INDEX(_xlfn.ANCHORARRAY(_xlfn.XLOOKUP($C22,'-ref_Distribution'!$B$146:$B$150,'-ref_Distribution'!$G$146:$G$150)),RIGHT(R$1,2)),"")</f>
        <v>209</v>
      </c>
      <c r="S22" s="16" cm="1">
        <f t="array" ref="S22">IFERROR(INDEX(_xlfn.ANCHORARRAY(_xlfn.XLOOKUP($C22,'-ref_Distribution'!$B$146:$B$150,'-ref_Distribution'!$G$146:$G$150)),RIGHT(S$1,2)),"")</f>
        <v>178</v>
      </c>
      <c r="T22" s="16" cm="1">
        <f t="array" ref="T22">IFERROR(INDEX(_xlfn.ANCHORARRAY(_xlfn.XLOOKUP($C22,'-ref_Distribution'!$B$146:$B$150,'-ref_Distribution'!$G$146:$G$150)),RIGHT(T$1,2)),"")</f>
        <v>148</v>
      </c>
      <c r="U22" s="16" cm="1">
        <f t="array" ref="U22">IFERROR(INDEX(_xlfn.ANCHORARRAY(_xlfn.XLOOKUP($C22,'-ref_Distribution'!$B$146:$B$150,'-ref_Distribution'!$G$146:$G$150)),RIGHT(U$1,2)),"")</f>
        <v>122</v>
      </c>
      <c r="V22" s="16" cm="1">
        <f t="array" ref="V22">IFERROR(INDEX(_xlfn.ANCHORARRAY(_xlfn.XLOOKUP($C22,'-ref_Distribution'!$B$146:$B$150,'-ref_Distribution'!$G$146:$G$150)),RIGHT(V$1,2)),"")</f>
        <v>98</v>
      </c>
      <c r="W22" s="16" cm="1">
        <f t="array" ref="W22">IFERROR(INDEX(_xlfn.ANCHORARRAY(_xlfn.XLOOKUP($C22,'-ref_Distribution'!$B$146:$B$150,'-ref_Distribution'!$G$146:$G$150)),RIGHT(W$1,2)),"")</f>
        <v>78</v>
      </c>
      <c r="X22" s="16" cm="1">
        <f t="array" ref="X22">IFERROR(INDEX(_xlfn.ANCHORARRAY(_xlfn.XLOOKUP($C22,'-ref_Distribution'!$B$146:$B$150,'-ref_Distribution'!$G$146:$G$150)),RIGHT(X$1,2)),"")</f>
        <v>337</v>
      </c>
      <c r="Y22" s="16" cm="1">
        <f t="array" ref="Y22">IFERROR(INDEX(_xlfn.ANCHORARRAY(_xlfn.XLOOKUP($C22,'-ref_Distribution'!$B$146:$B$150,'-ref_Distribution'!$G$146:$G$150)),RIGHT(Y$1,2)),"")</f>
        <v>364</v>
      </c>
      <c r="Z22" s="16" cm="1">
        <f t="array" ref="Z22">IFERROR(INDEX(_xlfn.ANCHORARRAY(_xlfn.XLOOKUP($C22,'-ref_Distribution'!$B$146:$B$150,'-ref_Distribution'!$G$146:$G$150)),RIGHT(Z$1,2)),"")</f>
        <v>386</v>
      </c>
      <c r="AA22" s="16" cm="1">
        <f t="array" ref="AA22">IFERROR(INDEX(_xlfn.ANCHORARRAY(_xlfn.XLOOKUP($C22,'-ref_Distribution'!$B$146:$B$150,'-ref_Distribution'!$G$146:$G$150)),RIGHT(AA$1,2)),"")</f>
        <v>403</v>
      </c>
      <c r="AB22" s="16" cm="1">
        <f t="array" ref="AB22">IFERROR(INDEX(_xlfn.ANCHORARRAY(_xlfn.XLOOKUP($C22,'-ref_Distribution'!$B$146:$B$150,'-ref_Distribution'!$G$146:$G$150)),RIGHT(AB$1,2)),"")</f>
        <v>414</v>
      </c>
      <c r="AC22" s="16" cm="1">
        <f t="array" ref="AC22">IFERROR(INDEX(_xlfn.ANCHORARRAY(_xlfn.XLOOKUP($C22,'-ref_Distribution'!$B$146:$B$150,'-ref_Distribution'!$G$146:$G$150)),RIGHT(AC$1,2)),"")</f>
        <v>417</v>
      </c>
      <c r="AD22" s="16" cm="1">
        <f t="array" ref="AD22">IFERROR(INDEX(_xlfn.ANCHORARRAY(_xlfn.XLOOKUP($C22,'-ref_Distribution'!$B$146:$B$150,'-ref_Distribution'!$G$146:$G$150)),RIGHT(AD$1,2)),"")</f>
        <v>414</v>
      </c>
      <c r="AE22" s="16" cm="1">
        <f t="array" ref="AE22">IFERROR(INDEX(_xlfn.ANCHORARRAY(_xlfn.XLOOKUP($C22,'-ref_Distribution'!$B$146:$B$150,'-ref_Distribution'!$G$146:$G$150)),RIGHT(AE$1,2)),"")</f>
        <v>403</v>
      </c>
      <c r="AF22" s="16" cm="1">
        <f t="array" ref="AF22">IFERROR(INDEX(_xlfn.ANCHORARRAY(_xlfn.XLOOKUP($C22,'-ref_Distribution'!$B$146:$B$150,'-ref_Distribution'!$G$146:$G$150)),RIGHT(AF$1,2)),"")</f>
        <v>386</v>
      </c>
      <c r="AG22" s="16" cm="1">
        <f t="array" ref="AG22">IFERROR(INDEX(_xlfn.ANCHORARRAY(_xlfn.XLOOKUP($C22,'-ref_Distribution'!$B$146:$B$150,'-ref_Distribution'!$G$146:$G$150)),RIGHT(AG$1,2)),"")</f>
        <v>364</v>
      </c>
      <c r="AH22" s="16" cm="1">
        <f t="array" ref="AH22">IFERROR(INDEX(_xlfn.ANCHORARRAY(_xlfn.XLOOKUP($C22,'-ref_Distribution'!$B$146:$B$150,'-ref_Distribution'!$G$146:$G$150)),RIGHT(AH$1,2)),"")</f>
        <v>337</v>
      </c>
      <c r="AI22" s="16" cm="1">
        <f t="array" ref="AI22">IFERROR(INDEX(_xlfn.ANCHORARRAY(_xlfn.XLOOKUP($C22,'-ref_Distribution'!$B$146:$B$150,'-ref_Distribution'!$G$146:$G$150)),RIGHT(AI$1,2)),"")</f>
        <v>307</v>
      </c>
      <c r="AJ22" s="16" cm="1">
        <f t="array" ref="AJ22">IFERROR(INDEX(_xlfn.ANCHORARRAY(_xlfn.XLOOKUP($C22,'-ref_Distribution'!$B$146:$B$150,'-ref_Distribution'!$G$146:$G$150)),RIGHT(AJ$1,2)),"")</f>
        <v>274</v>
      </c>
      <c r="AK22" s="16" cm="1">
        <f t="array" ref="AK22">IFERROR(INDEX(_xlfn.ANCHORARRAY(_xlfn.XLOOKUP($C22,'-ref_Distribution'!$B$146:$B$150,'-ref_Distribution'!$G$146:$G$150)),RIGHT(AK$1,2)),"")</f>
        <v>241</v>
      </c>
      <c r="AL22" s="16" cm="1">
        <f t="array" ref="AL22">IFERROR(INDEX(_xlfn.ANCHORARRAY(_xlfn.XLOOKUP($C22,'-ref_Distribution'!$B$146:$B$150,'-ref_Distribution'!$G$146:$G$150)),RIGHT(AL$1,2)),"")</f>
        <v>209</v>
      </c>
      <c r="AM22" s="16" cm="1">
        <f t="array" ref="AM22">IFERROR(INDEX(_xlfn.ANCHORARRAY(_xlfn.XLOOKUP($C22,'-ref_Distribution'!$B$146:$B$150,'-ref_Distribution'!$G$146:$G$150)),RIGHT(AM$1,2)),"")</f>
        <v>178</v>
      </c>
      <c r="AN22" s="16" cm="1">
        <f t="array" ref="AN22">IFERROR(INDEX(_xlfn.ANCHORARRAY(_xlfn.XLOOKUP($C22,'-ref_Distribution'!$B$146:$B$150,'-ref_Distribution'!$G$146:$G$150)),RIGHT(AN$1,2)),"")</f>
        <v>148</v>
      </c>
      <c r="AO22" s="16" cm="1">
        <f t="array" ref="AO22">IFERROR(INDEX(_xlfn.ANCHORARRAY(_xlfn.XLOOKUP($C22,'-ref_Distribution'!$B$146:$B$150,'-ref_Distribution'!$G$146:$G$150)),RIGHT(AO$1,2)),"")</f>
        <v>122</v>
      </c>
      <c r="AP22" s="16" cm="1">
        <f t="array" ref="AP22">IFERROR(INDEX(_xlfn.ANCHORARRAY(_xlfn.XLOOKUP($C22,'-ref_Distribution'!$B$146:$B$150,'-ref_Distribution'!$G$146:$G$150)),RIGHT(AP$1,2)),"")</f>
        <v>98</v>
      </c>
      <c r="AQ22" s="16" cm="1">
        <f t="array" ref="AQ22">IFERROR(INDEX(_xlfn.ANCHORARRAY(_xlfn.XLOOKUP($C22,'-ref_Distribution'!$B$146:$B$150,'-ref_Distribution'!$G$146:$G$150)),RIGHT(AQ$1,2)),"")</f>
        <v>78</v>
      </c>
      <c r="AR22" s="16" cm="1">
        <f t="array" ref="AR22">IFERROR(INDEX(_xlfn.ANCHORARRAY(_xlfn.XLOOKUP($C22,'-ref_Distribution'!$B$146:$B$150,'-ref_Distribution'!$G$146:$G$150)),RIGHT(AR$1,2)),"")</f>
        <v>337</v>
      </c>
      <c r="AS22" s="16" cm="1">
        <f t="array" ref="AS22">IFERROR(INDEX(_xlfn.ANCHORARRAY(_xlfn.XLOOKUP($C22,'-ref_Distribution'!$B$146:$B$150,'-ref_Distribution'!$G$146:$G$150)),RIGHT(AS$1,2)),"")</f>
        <v>364</v>
      </c>
      <c r="AT22" s="16" cm="1">
        <f t="array" ref="AT22">IFERROR(INDEX(_xlfn.ANCHORARRAY(_xlfn.XLOOKUP($C22,'-ref_Distribution'!$B$146:$B$150,'-ref_Distribution'!$G$146:$G$150)),RIGHT(AT$1,2)),"")</f>
        <v>386</v>
      </c>
      <c r="AU22" s="16" cm="1">
        <f t="array" ref="AU22">IFERROR(INDEX(_xlfn.ANCHORARRAY(_xlfn.XLOOKUP($C22,'-ref_Distribution'!$B$146:$B$150,'-ref_Distribution'!$G$146:$G$150)),RIGHT(AU$1,2)),"")</f>
        <v>403</v>
      </c>
      <c r="AV22" s="16" cm="1">
        <f t="array" ref="AV22">IFERROR(INDEX(_xlfn.ANCHORARRAY(_xlfn.XLOOKUP($C22,'-ref_Distribution'!$B$146:$B$150,'-ref_Distribution'!$G$146:$G$150)),RIGHT(AV$1,2)),"")</f>
        <v>414</v>
      </c>
      <c r="AW22" s="16" cm="1">
        <f t="array" ref="AW22">IFERROR(INDEX(_xlfn.ANCHORARRAY(_xlfn.XLOOKUP($C22,'-ref_Distribution'!$B$146:$B$150,'-ref_Distribution'!$G$146:$G$150)),RIGHT(AW$1,2)),"")</f>
        <v>417</v>
      </c>
      <c r="AX22" s="16" cm="1">
        <f t="array" ref="AX22">IFERROR(INDEX(_xlfn.ANCHORARRAY(_xlfn.XLOOKUP($C22,'-ref_Distribution'!$B$146:$B$150,'-ref_Distribution'!$G$146:$G$150)),RIGHT(AX$1,2)),"")</f>
        <v>414</v>
      </c>
      <c r="AY22" s="16" cm="1">
        <f t="array" ref="AY22">IFERROR(INDEX(_xlfn.ANCHORARRAY(_xlfn.XLOOKUP($C22,'-ref_Distribution'!$B$146:$B$150,'-ref_Distribution'!$G$146:$G$150)),RIGHT(AY$1,2)),"")</f>
        <v>403</v>
      </c>
      <c r="AZ22" s="16" cm="1">
        <f t="array" ref="AZ22">IFERROR(INDEX(_xlfn.ANCHORARRAY(_xlfn.XLOOKUP($C22,'-ref_Distribution'!$B$146:$B$150,'-ref_Distribution'!$G$146:$G$150)),RIGHT(AZ$1,2)),"")</f>
        <v>386</v>
      </c>
      <c r="BA22" s="16" cm="1">
        <f t="array" ref="BA22">IFERROR(INDEX(_xlfn.ANCHORARRAY(_xlfn.XLOOKUP($C22,'-ref_Distribution'!$B$146:$B$150,'-ref_Distribution'!$G$146:$G$150)),RIGHT(BA$1,2)),"")</f>
        <v>364</v>
      </c>
      <c r="BB22" s="16" cm="1">
        <f t="array" ref="BB22">IFERROR(INDEX(_xlfn.ANCHORARRAY(_xlfn.XLOOKUP($C22,'-ref_Distribution'!$B$146:$B$150,'-ref_Distribution'!$G$146:$G$150)),RIGHT(BB$1,2)),"")</f>
        <v>337</v>
      </c>
      <c r="BC22" s="16" cm="1">
        <f t="array" ref="BC22">IFERROR(INDEX(_xlfn.ANCHORARRAY(_xlfn.XLOOKUP($C22,'-ref_Distribution'!$B$146:$B$150,'-ref_Distribution'!$G$146:$G$150)),RIGHT(BC$1,2)),"")</f>
        <v>307</v>
      </c>
      <c r="BD22" s="16" cm="1">
        <f t="array" ref="BD22">IFERROR(INDEX(_xlfn.ANCHORARRAY(_xlfn.XLOOKUP($C22,'-ref_Distribution'!$B$146:$B$150,'-ref_Distribution'!$G$146:$G$150)),RIGHT(BD$1,2)),"")</f>
        <v>274</v>
      </c>
      <c r="BE22" s="16" cm="1">
        <f t="array" ref="BE22">IFERROR(INDEX(_xlfn.ANCHORARRAY(_xlfn.XLOOKUP($C22,'-ref_Distribution'!$B$146:$B$150,'-ref_Distribution'!$G$146:$G$150)),RIGHT(BE$1,2)),"")</f>
        <v>241</v>
      </c>
      <c r="BF22" s="16" cm="1">
        <f t="array" ref="BF22">IFERROR(INDEX(_xlfn.ANCHORARRAY(_xlfn.XLOOKUP($C22,'-ref_Distribution'!$B$146:$B$150,'-ref_Distribution'!$G$146:$G$150)),RIGHT(BF$1,2)),"")</f>
        <v>209</v>
      </c>
      <c r="BG22" s="16" cm="1">
        <f t="array" ref="BG22">IFERROR(INDEX(_xlfn.ANCHORARRAY(_xlfn.XLOOKUP($C22,'-ref_Distribution'!$B$146:$B$150,'-ref_Distribution'!$G$146:$G$150)),RIGHT(BG$1,2)),"")</f>
        <v>178</v>
      </c>
      <c r="BH22" s="16" cm="1">
        <f t="array" ref="BH22">IFERROR(INDEX(_xlfn.ANCHORARRAY(_xlfn.XLOOKUP($C22,'-ref_Distribution'!$B$146:$B$150,'-ref_Distribution'!$G$146:$G$150)),RIGHT(BH$1,2)),"")</f>
        <v>148</v>
      </c>
      <c r="BI22" s="16" cm="1">
        <f t="array" ref="BI22">IFERROR(INDEX(_xlfn.ANCHORARRAY(_xlfn.XLOOKUP($C22,'-ref_Distribution'!$B$146:$B$150,'-ref_Distribution'!$G$146:$G$150)),RIGHT(BI$1,2)),"")</f>
        <v>122</v>
      </c>
      <c r="BJ22" s="16" cm="1">
        <f t="array" ref="BJ22">IFERROR(INDEX(_xlfn.ANCHORARRAY(_xlfn.XLOOKUP($C22,'-ref_Distribution'!$B$146:$B$150,'-ref_Distribution'!$G$146:$G$150)),RIGHT(BJ$1,2)),"")</f>
        <v>98</v>
      </c>
      <c r="BK22" s="16" cm="1">
        <f t="array" ref="BK22">IFERROR(INDEX(_xlfn.ANCHORARRAY(_xlfn.XLOOKUP($C22,'-ref_Distribution'!$B$146:$B$150,'-ref_Distribution'!$G$146:$G$150)),RIGHT(BK$1,2)),"")</f>
        <v>78</v>
      </c>
      <c r="BL22" s="16" cm="1">
        <f t="array" ref="BL22">IFERROR(INDEX(_xlfn.ANCHORARRAY(_xlfn.XLOOKUP($C22,'-ref_Distribution'!$B$146:$B$150,'-ref_Distribution'!$G$146:$G$150)),RIGHT(BL$1,2)),"")</f>
        <v>337</v>
      </c>
      <c r="BM22" s="16" cm="1">
        <f t="array" ref="BM22">IFERROR(INDEX(_xlfn.ANCHORARRAY(_xlfn.XLOOKUP($C22,'-ref_Distribution'!$B$146:$B$150,'-ref_Distribution'!$G$146:$G$150)),RIGHT(BM$1,2)),"")</f>
        <v>364</v>
      </c>
      <c r="BN22" s="16" cm="1">
        <f t="array" ref="BN22">IFERROR(INDEX(_xlfn.ANCHORARRAY(_xlfn.XLOOKUP($C22,'-ref_Distribution'!$B$146:$B$150,'-ref_Distribution'!$G$146:$G$150)),RIGHT(BN$1,2)),"")</f>
        <v>386</v>
      </c>
      <c r="BO22" s="16" cm="1">
        <f t="array" ref="BO22">IFERROR(INDEX(_xlfn.ANCHORARRAY(_xlfn.XLOOKUP($C22,'-ref_Distribution'!$B$146:$B$150,'-ref_Distribution'!$G$146:$G$150)),RIGHT(BO$1,2)),"")</f>
        <v>403</v>
      </c>
      <c r="BP22" s="16" cm="1">
        <f t="array" ref="BP22">IFERROR(INDEX(_xlfn.ANCHORARRAY(_xlfn.XLOOKUP($C22,'-ref_Distribution'!$B$146:$B$150,'-ref_Distribution'!$G$146:$G$150)),RIGHT(BP$1,2)),"")</f>
        <v>414</v>
      </c>
      <c r="BQ22" s="16" cm="1">
        <f t="array" ref="BQ22">IFERROR(INDEX(_xlfn.ANCHORARRAY(_xlfn.XLOOKUP($C22,'-ref_Distribution'!$B$146:$B$150,'-ref_Distribution'!$G$146:$G$150)),RIGHT(BQ$1,2)),"")</f>
        <v>417</v>
      </c>
      <c r="BR22" s="16" cm="1">
        <f t="array" ref="BR22">IFERROR(INDEX(_xlfn.ANCHORARRAY(_xlfn.XLOOKUP($C22,'-ref_Distribution'!$B$146:$B$150,'-ref_Distribution'!$G$146:$G$150)),RIGHT(BR$1,2)),"")</f>
        <v>414</v>
      </c>
      <c r="BS22" s="16" cm="1">
        <f t="array" ref="BS22">IFERROR(INDEX(_xlfn.ANCHORARRAY(_xlfn.XLOOKUP($C22,'-ref_Distribution'!$B$146:$B$150,'-ref_Distribution'!$G$146:$G$150)),RIGHT(BS$1,2)),"")</f>
        <v>403</v>
      </c>
      <c r="BT22" s="16" cm="1">
        <f t="array" ref="BT22">IFERROR(INDEX(_xlfn.ANCHORARRAY(_xlfn.XLOOKUP($C22,'-ref_Distribution'!$B$146:$B$150,'-ref_Distribution'!$G$146:$G$150)),RIGHT(BT$1,2)),"")</f>
        <v>386</v>
      </c>
      <c r="BU22" s="16" cm="1">
        <f t="array" ref="BU22">IFERROR(INDEX(_xlfn.ANCHORARRAY(_xlfn.XLOOKUP($C22,'-ref_Distribution'!$B$146:$B$150,'-ref_Distribution'!$G$146:$G$150)),RIGHT(BU$1,2)),"")</f>
        <v>364</v>
      </c>
      <c r="BV22" s="16" cm="1">
        <f t="array" ref="BV22">IFERROR(INDEX(_xlfn.ANCHORARRAY(_xlfn.XLOOKUP($C22,'-ref_Distribution'!$B$146:$B$150,'-ref_Distribution'!$G$146:$G$150)),RIGHT(BV$1,2)),"")</f>
        <v>337</v>
      </c>
      <c r="BW22" s="16" cm="1">
        <f t="array" ref="BW22">IFERROR(INDEX(_xlfn.ANCHORARRAY(_xlfn.XLOOKUP($C22,'-ref_Distribution'!$B$146:$B$150,'-ref_Distribution'!$G$146:$G$150)),RIGHT(BW$1,2)),"")</f>
        <v>307</v>
      </c>
      <c r="BX22" s="16" cm="1">
        <f t="array" ref="BX22">IFERROR(INDEX(_xlfn.ANCHORARRAY(_xlfn.XLOOKUP($C22,'-ref_Distribution'!$B$146:$B$150,'-ref_Distribution'!$G$146:$G$150)),RIGHT(BX$1,2)),"")</f>
        <v>274</v>
      </c>
      <c r="BY22" s="16" cm="1">
        <f t="array" ref="BY22">IFERROR(INDEX(_xlfn.ANCHORARRAY(_xlfn.XLOOKUP($C22,'-ref_Distribution'!$B$146:$B$150,'-ref_Distribution'!$G$146:$G$150)),RIGHT(BY$1,2)),"")</f>
        <v>241</v>
      </c>
      <c r="BZ22" s="16" cm="1">
        <f t="array" ref="BZ22">IFERROR(INDEX(_xlfn.ANCHORARRAY(_xlfn.XLOOKUP($C22,'-ref_Distribution'!$B$146:$B$150,'-ref_Distribution'!$G$146:$G$150)),RIGHT(BZ$1,2)),"")</f>
        <v>209</v>
      </c>
      <c r="CA22" s="16" cm="1">
        <f t="array" ref="CA22">IFERROR(INDEX(_xlfn.ANCHORARRAY(_xlfn.XLOOKUP($C22,'-ref_Distribution'!$B$146:$B$150,'-ref_Distribution'!$G$146:$G$150)),RIGHT(CA$1,2)),"")</f>
        <v>178</v>
      </c>
      <c r="CB22" s="16" cm="1">
        <f t="array" ref="CB22">IFERROR(INDEX(_xlfn.ANCHORARRAY(_xlfn.XLOOKUP($C22,'-ref_Distribution'!$B$146:$B$150,'-ref_Distribution'!$G$146:$G$150)),RIGHT(CB$1,2)),"")</f>
        <v>148</v>
      </c>
      <c r="CC22" s="16" cm="1">
        <f t="array" ref="CC22">IFERROR(INDEX(_xlfn.ANCHORARRAY(_xlfn.XLOOKUP($C22,'-ref_Distribution'!$B$146:$B$150,'-ref_Distribution'!$G$146:$G$150)),RIGHT(CC$1,2)),"")</f>
        <v>122</v>
      </c>
      <c r="CD22" s="16" cm="1">
        <f t="array" ref="CD22">IFERROR(INDEX(_xlfn.ANCHORARRAY(_xlfn.XLOOKUP($C22,'-ref_Distribution'!$B$146:$B$150,'-ref_Distribution'!$G$146:$G$150)),RIGHT(CD$1,2)),"")</f>
        <v>98</v>
      </c>
      <c r="CE22" s="16" cm="1">
        <f t="array" ref="CE22">IFERROR(INDEX(_xlfn.ANCHORARRAY(_xlfn.XLOOKUP($C22,'-ref_Distribution'!$B$146:$B$150,'-ref_Distribution'!$G$146:$G$150)),RIGHT(CE$1,2)),"")</f>
        <v>78</v>
      </c>
    </row>
    <row r="23" spans="1:95" x14ac:dyDescent="0.2">
      <c r="A23" s="16">
        <v>300083</v>
      </c>
      <c r="B23" s="16" t="s">
        <v>203</v>
      </c>
      <c r="C23" s="16">
        <v>2</v>
      </c>
      <c r="D23" s="16" cm="1">
        <f t="array" ref="D23">IFERROR(INDEX(_xlfn.ANCHORARRAY(_xlfn.XLOOKUP($C23,'-ref_Distribution'!$B$146:$B$150,'-ref_Distribution'!$G$146:$G$150)),RIGHT(D$1,2)),"")</f>
        <v>75</v>
      </c>
      <c r="E23" s="16" cm="1">
        <f t="array" ref="E23">IFERROR(INDEX(_xlfn.ANCHORARRAY(_xlfn.XLOOKUP($C23,'-ref_Distribution'!$B$146:$B$150,'-ref_Distribution'!$G$146:$G$150)),RIGHT(E$1,2)),"")</f>
        <v>94</v>
      </c>
      <c r="F23" s="16" cm="1">
        <f t="array" ref="F23">IFERROR(INDEX(_xlfn.ANCHORARRAY(_xlfn.XLOOKUP($C23,'-ref_Distribution'!$B$146:$B$150,'-ref_Distribution'!$G$146:$G$150)),RIGHT(F$1,2)),"")</f>
        <v>115</v>
      </c>
      <c r="G23" s="16" cm="1">
        <f t="array" ref="G23">IFERROR(INDEX(_xlfn.ANCHORARRAY(_xlfn.XLOOKUP($C23,'-ref_Distribution'!$B$146:$B$150,'-ref_Distribution'!$G$146:$G$150)),RIGHT(G$1,2)),"")</f>
        <v>137</v>
      </c>
      <c r="H23" s="16" cm="1">
        <f t="array" ref="H23">IFERROR(INDEX(_xlfn.ANCHORARRAY(_xlfn.XLOOKUP($C23,'-ref_Distribution'!$B$146:$B$150,'-ref_Distribution'!$G$146:$G$150)),RIGHT(H$1,2)),"")</f>
        <v>160</v>
      </c>
      <c r="I23" s="16" cm="1">
        <f t="array" ref="I23">IFERROR(INDEX(_xlfn.ANCHORARRAY(_xlfn.XLOOKUP($C23,'-ref_Distribution'!$B$146:$B$150,'-ref_Distribution'!$G$146:$G$150)),RIGHT(I$1,2)),"")</f>
        <v>183</v>
      </c>
      <c r="J23" s="16" cm="1">
        <f t="array" ref="J23">IFERROR(INDEX(_xlfn.ANCHORARRAY(_xlfn.XLOOKUP($C23,'-ref_Distribution'!$B$146:$B$150,'-ref_Distribution'!$G$146:$G$150)),RIGHT(J$1,2)),"")</f>
        <v>203</v>
      </c>
      <c r="K23" s="16" cm="1">
        <f t="array" ref="K23">IFERROR(INDEX(_xlfn.ANCHORARRAY(_xlfn.XLOOKUP($C23,'-ref_Distribution'!$B$146:$B$150,'-ref_Distribution'!$G$146:$G$150)),RIGHT(K$1,2)),"")</f>
        <v>221</v>
      </c>
      <c r="L23" s="16" cm="1">
        <f t="array" ref="L23">IFERROR(INDEX(_xlfn.ANCHORARRAY(_xlfn.XLOOKUP($C23,'-ref_Distribution'!$B$146:$B$150,'-ref_Distribution'!$G$146:$G$150)),RIGHT(L$1,2)),"")</f>
        <v>234</v>
      </c>
      <c r="M23" s="16" cm="1">
        <f t="array" ref="M23">IFERROR(INDEX(_xlfn.ANCHORARRAY(_xlfn.XLOOKUP($C23,'-ref_Distribution'!$B$146:$B$150,'-ref_Distribution'!$G$146:$G$150)),RIGHT(M$1,2)),"")</f>
        <v>243</v>
      </c>
      <c r="N23" s="16" cm="1">
        <f t="array" ref="N23">IFERROR(INDEX(_xlfn.ANCHORARRAY(_xlfn.XLOOKUP($C23,'-ref_Distribution'!$B$146:$B$150,'-ref_Distribution'!$G$146:$G$150)),RIGHT(N$1,2)),"")</f>
        <v>245</v>
      </c>
      <c r="O23" s="16" cm="1">
        <f t="array" ref="O23">IFERROR(INDEX(_xlfn.ANCHORARRAY(_xlfn.XLOOKUP($C23,'-ref_Distribution'!$B$146:$B$150,'-ref_Distribution'!$G$146:$G$150)),RIGHT(O$1,2)),"")</f>
        <v>243</v>
      </c>
      <c r="P23" s="16" cm="1">
        <f t="array" ref="P23">IFERROR(INDEX(_xlfn.ANCHORARRAY(_xlfn.XLOOKUP($C23,'-ref_Distribution'!$B$146:$B$150,'-ref_Distribution'!$G$146:$G$150)),RIGHT(P$1,2)),"")</f>
        <v>234</v>
      </c>
      <c r="Q23" s="16" cm="1">
        <f t="array" ref="Q23">IFERROR(INDEX(_xlfn.ANCHORARRAY(_xlfn.XLOOKUP($C23,'-ref_Distribution'!$B$146:$B$150,'-ref_Distribution'!$G$146:$G$150)),RIGHT(Q$1,2)),"")</f>
        <v>221</v>
      </c>
      <c r="R23" s="16" cm="1">
        <f t="array" ref="R23">IFERROR(INDEX(_xlfn.ANCHORARRAY(_xlfn.XLOOKUP($C23,'-ref_Distribution'!$B$146:$B$150,'-ref_Distribution'!$G$146:$G$150)),RIGHT(R$1,2)),"")</f>
        <v>203</v>
      </c>
      <c r="S23" s="16" cm="1">
        <f t="array" ref="S23">IFERROR(INDEX(_xlfn.ANCHORARRAY(_xlfn.XLOOKUP($C23,'-ref_Distribution'!$B$146:$B$150,'-ref_Distribution'!$G$146:$G$150)),RIGHT(S$1,2)),"")</f>
        <v>183</v>
      </c>
      <c r="T23" s="16" cm="1">
        <f t="array" ref="T23">IFERROR(INDEX(_xlfn.ANCHORARRAY(_xlfn.XLOOKUP($C23,'-ref_Distribution'!$B$146:$B$150,'-ref_Distribution'!$G$146:$G$150)),RIGHT(T$1,2)),"")</f>
        <v>160</v>
      </c>
      <c r="U23" s="16" cm="1">
        <f t="array" ref="U23">IFERROR(INDEX(_xlfn.ANCHORARRAY(_xlfn.XLOOKUP($C23,'-ref_Distribution'!$B$146:$B$150,'-ref_Distribution'!$G$146:$G$150)),RIGHT(U$1,2)),"")</f>
        <v>137</v>
      </c>
      <c r="V23" s="16" cm="1">
        <f t="array" ref="V23">IFERROR(INDEX(_xlfn.ANCHORARRAY(_xlfn.XLOOKUP($C23,'-ref_Distribution'!$B$146:$B$150,'-ref_Distribution'!$G$146:$G$150)),RIGHT(V$1,2)),"")</f>
        <v>115</v>
      </c>
      <c r="W23" s="16" cm="1">
        <f t="array" ref="W23">IFERROR(INDEX(_xlfn.ANCHORARRAY(_xlfn.XLOOKUP($C23,'-ref_Distribution'!$B$146:$B$150,'-ref_Distribution'!$G$146:$G$150)),RIGHT(W$1,2)),"")</f>
        <v>94</v>
      </c>
      <c r="X23" s="16" cm="1">
        <f t="array" ref="X23">IFERROR(INDEX(_xlfn.ANCHORARRAY(_xlfn.XLOOKUP($C23,'-ref_Distribution'!$B$146:$B$150,'-ref_Distribution'!$G$146:$G$150)),RIGHT(X$1,2)),"")</f>
        <v>75</v>
      </c>
      <c r="Y23" s="16" cm="1">
        <f t="array" ref="Y23">IFERROR(INDEX(_xlfn.ANCHORARRAY(_xlfn.XLOOKUP($C23,'-ref_Distribution'!$B$146:$B$150,'-ref_Distribution'!$G$146:$G$150)),RIGHT(Y$1,2)),"")</f>
        <v>94</v>
      </c>
      <c r="Z23" s="16" cm="1">
        <f t="array" ref="Z23">IFERROR(INDEX(_xlfn.ANCHORARRAY(_xlfn.XLOOKUP($C23,'-ref_Distribution'!$B$146:$B$150,'-ref_Distribution'!$G$146:$G$150)),RIGHT(Z$1,2)),"")</f>
        <v>115</v>
      </c>
      <c r="AA23" s="16" cm="1">
        <f t="array" ref="AA23">IFERROR(INDEX(_xlfn.ANCHORARRAY(_xlfn.XLOOKUP($C23,'-ref_Distribution'!$B$146:$B$150,'-ref_Distribution'!$G$146:$G$150)),RIGHT(AA$1,2)),"")</f>
        <v>137</v>
      </c>
      <c r="AB23" s="16" cm="1">
        <f t="array" ref="AB23">IFERROR(INDEX(_xlfn.ANCHORARRAY(_xlfn.XLOOKUP($C23,'-ref_Distribution'!$B$146:$B$150,'-ref_Distribution'!$G$146:$G$150)),RIGHT(AB$1,2)),"")</f>
        <v>160</v>
      </c>
      <c r="AC23" s="16" cm="1">
        <f t="array" ref="AC23">IFERROR(INDEX(_xlfn.ANCHORARRAY(_xlfn.XLOOKUP($C23,'-ref_Distribution'!$B$146:$B$150,'-ref_Distribution'!$G$146:$G$150)),RIGHT(AC$1,2)),"")</f>
        <v>183</v>
      </c>
      <c r="AD23" s="16" cm="1">
        <f t="array" ref="AD23">IFERROR(INDEX(_xlfn.ANCHORARRAY(_xlfn.XLOOKUP($C23,'-ref_Distribution'!$B$146:$B$150,'-ref_Distribution'!$G$146:$G$150)),RIGHT(AD$1,2)),"")</f>
        <v>203</v>
      </c>
      <c r="AE23" s="16" cm="1">
        <f t="array" ref="AE23">IFERROR(INDEX(_xlfn.ANCHORARRAY(_xlfn.XLOOKUP($C23,'-ref_Distribution'!$B$146:$B$150,'-ref_Distribution'!$G$146:$G$150)),RIGHT(AE$1,2)),"")</f>
        <v>221</v>
      </c>
      <c r="AF23" s="16" cm="1">
        <f t="array" ref="AF23">IFERROR(INDEX(_xlfn.ANCHORARRAY(_xlfn.XLOOKUP($C23,'-ref_Distribution'!$B$146:$B$150,'-ref_Distribution'!$G$146:$G$150)),RIGHT(AF$1,2)),"")</f>
        <v>234</v>
      </c>
      <c r="AG23" s="16" cm="1">
        <f t="array" ref="AG23">IFERROR(INDEX(_xlfn.ANCHORARRAY(_xlfn.XLOOKUP($C23,'-ref_Distribution'!$B$146:$B$150,'-ref_Distribution'!$G$146:$G$150)),RIGHT(AG$1,2)),"")</f>
        <v>243</v>
      </c>
      <c r="AH23" s="16" cm="1">
        <f t="array" ref="AH23">IFERROR(INDEX(_xlfn.ANCHORARRAY(_xlfn.XLOOKUP($C23,'-ref_Distribution'!$B$146:$B$150,'-ref_Distribution'!$G$146:$G$150)),RIGHT(AH$1,2)),"")</f>
        <v>245</v>
      </c>
      <c r="AI23" s="16" cm="1">
        <f t="array" ref="AI23">IFERROR(INDEX(_xlfn.ANCHORARRAY(_xlfn.XLOOKUP($C23,'-ref_Distribution'!$B$146:$B$150,'-ref_Distribution'!$G$146:$G$150)),RIGHT(AI$1,2)),"")</f>
        <v>243</v>
      </c>
      <c r="AJ23" s="16" cm="1">
        <f t="array" ref="AJ23">IFERROR(INDEX(_xlfn.ANCHORARRAY(_xlfn.XLOOKUP($C23,'-ref_Distribution'!$B$146:$B$150,'-ref_Distribution'!$G$146:$G$150)),RIGHT(AJ$1,2)),"")</f>
        <v>234</v>
      </c>
      <c r="AK23" s="16" cm="1">
        <f t="array" ref="AK23">IFERROR(INDEX(_xlfn.ANCHORARRAY(_xlfn.XLOOKUP($C23,'-ref_Distribution'!$B$146:$B$150,'-ref_Distribution'!$G$146:$G$150)),RIGHT(AK$1,2)),"")</f>
        <v>221</v>
      </c>
      <c r="AL23" s="16" cm="1">
        <f t="array" ref="AL23">IFERROR(INDEX(_xlfn.ANCHORARRAY(_xlfn.XLOOKUP($C23,'-ref_Distribution'!$B$146:$B$150,'-ref_Distribution'!$G$146:$G$150)),RIGHT(AL$1,2)),"")</f>
        <v>203</v>
      </c>
      <c r="AM23" s="16" cm="1">
        <f t="array" ref="AM23">IFERROR(INDEX(_xlfn.ANCHORARRAY(_xlfn.XLOOKUP($C23,'-ref_Distribution'!$B$146:$B$150,'-ref_Distribution'!$G$146:$G$150)),RIGHT(AM$1,2)),"")</f>
        <v>183</v>
      </c>
      <c r="AN23" s="16" cm="1">
        <f t="array" ref="AN23">IFERROR(INDEX(_xlfn.ANCHORARRAY(_xlfn.XLOOKUP($C23,'-ref_Distribution'!$B$146:$B$150,'-ref_Distribution'!$G$146:$G$150)),RIGHT(AN$1,2)),"")</f>
        <v>160</v>
      </c>
      <c r="AO23" s="16" cm="1">
        <f t="array" ref="AO23">IFERROR(INDEX(_xlfn.ANCHORARRAY(_xlfn.XLOOKUP($C23,'-ref_Distribution'!$B$146:$B$150,'-ref_Distribution'!$G$146:$G$150)),RIGHT(AO$1,2)),"")</f>
        <v>137</v>
      </c>
      <c r="AP23" s="16" cm="1">
        <f t="array" ref="AP23">IFERROR(INDEX(_xlfn.ANCHORARRAY(_xlfn.XLOOKUP($C23,'-ref_Distribution'!$B$146:$B$150,'-ref_Distribution'!$G$146:$G$150)),RIGHT(AP$1,2)),"")</f>
        <v>115</v>
      </c>
      <c r="AQ23" s="16" cm="1">
        <f t="array" ref="AQ23">IFERROR(INDEX(_xlfn.ANCHORARRAY(_xlfn.XLOOKUP($C23,'-ref_Distribution'!$B$146:$B$150,'-ref_Distribution'!$G$146:$G$150)),RIGHT(AQ$1,2)),"")</f>
        <v>94</v>
      </c>
      <c r="AR23" s="16" cm="1">
        <f t="array" ref="AR23">IFERROR(INDEX(_xlfn.ANCHORARRAY(_xlfn.XLOOKUP($C23,'-ref_Distribution'!$B$146:$B$150,'-ref_Distribution'!$G$146:$G$150)),RIGHT(AR$1,2)),"")</f>
        <v>75</v>
      </c>
      <c r="AS23" s="16" cm="1">
        <f t="array" ref="AS23">IFERROR(INDEX(_xlfn.ANCHORARRAY(_xlfn.XLOOKUP($C23,'-ref_Distribution'!$B$146:$B$150,'-ref_Distribution'!$G$146:$G$150)),RIGHT(AS$1,2)),"")</f>
        <v>94</v>
      </c>
      <c r="AT23" s="16" cm="1">
        <f t="array" ref="AT23">IFERROR(INDEX(_xlfn.ANCHORARRAY(_xlfn.XLOOKUP($C23,'-ref_Distribution'!$B$146:$B$150,'-ref_Distribution'!$G$146:$G$150)),RIGHT(AT$1,2)),"")</f>
        <v>115</v>
      </c>
      <c r="AU23" s="16" cm="1">
        <f t="array" ref="AU23">IFERROR(INDEX(_xlfn.ANCHORARRAY(_xlfn.XLOOKUP($C23,'-ref_Distribution'!$B$146:$B$150,'-ref_Distribution'!$G$146:$G$150)),RIGHT(AU$1,2)),"")</f>
        <v>137</v>
      </c>
      <c r="AV23" s="16" cm="1">
        <f t="array" ref="AV23">IFERROR(INDEX(_xlfn.ANCHORARRAY(_xlfn.XLOOKUP($C23,'-ref_Distribution'!$B$146:$B$150,'-ref_Distribution'!$G$146:$G$150)),RIGHT(AV$1,2)),"")</f>
        <v>160</v>
      </c>
      <c r="AW23" s="16" cm="1">
        <f t="array" ref="AW23">IFERROR(INDEX(_xlfn.ANCHORARRAY(_xlfn.XLOOKUP($C23,'-ref_Distribution'!$B$146:$B$150,'-ref_Distribution'!$G$146:$G$150)),RIGHT(AW$1,2)),"")</f>
        <v>183</v>
      </c>
      <c r="AX23" s="16" cm="1">
        <f t="array" ref="AX23">IFERROR(INDEX(_xlfn.ANCHORARRAY(_xlfn.XLOOKUP($C23,'-ref_Distribution'!$B$146:$B$150,'-ref_Distribution'!$G$146:$G$150)),RIGHT(AX$1,2)),"")</f>
        <v>203</v>
      </c>
      <c r="AY23" s="16" cm="1">
        <f t="array" ref="AY23">IFERROR(INDEX(_xlfn.ANCHORARRAY(_xlfn.XLOOKUP($C23,'-ref_Distribution'!$B$146:$B$150,'-ref_Distribution'!$G$146:$G$150)),RIGHT(AY$1,2)),"")</f>
        <v>221</v>
      </c>
      <c r="AZ23" s="16" cm="1">
        <f t="array" ref="AZ23">IFERROR(INDEX(_xlfn.ANCHORARRAY(_xlfn.XLOOKUP($C23,'-ref_Distribution'!$B$146:$B$150,'-ref_Distribution'!$G$146:$G$150)),RIGHT(AZ$1,2)),"")</f>
        <v>234</v>
      </c>
      <c r="BA23" s="16" cm="1">
        <f t="array" ref="BA23">IFERROR(INDEX(_xlfn.ANCHORARRAY(_xlfn.XLOOKUP($C23,'-ref_Distribution'!$B$146:$B$150,'-ref_Distribution'!$G$146:$G$150)),RIGHT(BA$1,2)),"")</f>
        <v>243</v>
      </c>
      <c r="BB23" s="16" cm="1">
        <f t="array" ref="BB23">IFERROR(INDEX(_xlfn.ANCHORARRAY(_xlfn.XLOOKUP($C23,'-ref_Distribution'!$B$146:$B$150,'-ref_Distribution'!$G$146:$G$150)),RIGHT(BB$1,2)),"")</f>
        <v>245</v>
      </c>
      <c r="BC23" s="16" cm="1">
        <f t="array" ref="BC23">IFERROR(INDEX(_xlfn.ANCHORARRAY(_xlfn.XLOOKUP($C23,'-ref_Distribution'!$B$146:$B$150,'-ref_Distribution'!$G$146:$G$150)),RIGHT(BC$1,2)),"")</f>
        <v>243</v>
      </c>
      <c r="BD23" s="16" cm="1">
        <f t="array" ref="BD23">IFERROR(INDEX(_xlfn.ANCHORARRAY(_xlfn.XLOOKUP($C23,'-ref_Distribution'!$B$146:$B$150,'-ref_Distribution'!$G$146:$G$150)),RIGHT(BD$1,2)),"")</f>
        <v>234</v>
      </c>
      <c r="BE23" s="16" cm="1">
        <f t="array" ref="BE23">IFERROR(INDEX(_xlfn.ANCHORARRAY(_xlfn.XLOOKUP($C23,'-ref_Distribution'!$B$146:$B$150,'-ref_Distribution'!$G$146:$G$150)),RIGHT(BE$1,2)),"")</f>
        <v>221</v>
      </c>
      <c r="BF23" s="16" cm="1">
        <f t="array" ref="BF23">IFERROR(INDEX(_xlfn.ANCHORARRAY(_xlfn.XLOOKUP($C23,'-ref_Distribution'!$B$146:$B$150,'-ref_Distribution'!$G$146:$G$150)),RIGHT(BF$1,2)),"")</f>
        <v>203</v>
      </c>
      <c r="BG23" s="16" cm="1">
        <f t="array" ref="BG23">IFERROR(INDEX(_xlfn.ANCHORARRAY(_xlfn.XLOOKUP($C23,'-ref_Distribution'!$B$146:$B$150,'-ref_Distribution'!$G$146:$G$150)),RIGHT(BG$1,2)),"")</f>
        <v>183</v>
      </c>
      <c r="BH23" s="16" cm="1">
        <f t="array" ref="BH23">IFERROR(INDEX(_xlfn.ANCHORARRAY(_xlfn.XLOOKUP($C23,'-ref_Distribution'!$B$146:$B$150,'-ref_Distribution'!$G$146:$G$150)),RIGHT(BH$1,2)),"")</f>
        <v>160</v>
      </c>
      <c r="BI23" s="16" cm="1">
        <f t="array" ref="BI23">IFERROR(INDEX(_xlfn.ANCHORARRAY(_xlfn.XLOOKUP($C23,'-ref_Distribution'!$B$146:$B$150,'-ref_Distribution'!$G$146:$G$150)),RIGHT(BI$1,2)),"")</f>
        <v>137</v>
      </c>
      <c r="BJ23" s="16" cm="1">
        <f t="array" ref="BJ23">IFERROR(INDEX(_xlfn.ANCHORARRAY(_xlfn.XLOOKUP($C23,'-ref_Distribution'!$B$146:$B$150,'-ref_Distribution'!$G$146:$G$150)),RIGHT(BJ$1,2)),"")</f>
        <v>115</v>
      </c>
      <c r="BK23" s="16" cm="1">
        <f t="array" ref="BK23">IFERROR(INDEX(_xlfn.ANCHORARRAY(_xlfn.XLOOKUP($C23,'-ref_Distribution'!$B$146:$B$150,'-ref_Distribution'!$G$146:$G$150)),RIGHT(BK$1,2)),"")</f>
        <v>94</v>
      </c>
      <c r="BL23" s="16" cm="1">
        <f t="array" ref="BL23">IFERROR(INDEX(_xlfn.ANCHORARRAY(_xlfn.XLOOKUP($C23,'-ref_Distribution'!$B$146:$B$150,'-ref_Distribution'!$G$146:$G$150)),RIGHT(BL$1,2)),"")</f>
        <v>75</v>
      </c>
      <c r="BM23" s="16" cm="1">
        <f t="array" ref="BM23">IFERROR(INDEX(_xlfn.ANCHORARRAY(_xlfn.XLOOKUP($C23,'-ref_Distribution'!$B$146:$B$150,'-ref_Distribution'!$G$146:$G$150)),RIGHT(BM$1,2)),"")</f>
        <v>94</v>
      </c>
      <c r="BN23" s="16" cm="1">
        <f t="array" ref="BN23">IFERROR(INDEX(_xlfn.ANCHORARRAY(_xlfn.XLOOKUP($C23,'-ref_Distribution'!$B$146:$B$150,'-ref_Distribution'!$G$146:$G$150)),RIGHT(BN$1,2)),"")</f>
        <v>115</v>
      </c>
      <c r="BO23" s="16" cm="1">
        <f t="array" ref="BO23">IFERROR(INDEX(_xlfn.ANCHORARRAY(_xlfn.XLOOKUP($C23,'-ref_Distribution'!$B$146:$B$150,'-ref_Distribution'!$G$146:$G$150)),RIGHT(BO$1,2)),"")</f>
        <v>137</v>
      </c>
      <c r="BP23" s="16" cm="1">
        <f t="array" ref="BP23">IFERROR(INDEX(_xlfn.ANCHORARRAY(_xlfn.XLOOKUP($C23,'-ref_Distribution'!$B$146:$B$150,'-ref_Distribution'!$G$146:$G$150)),RIGHT(BP$1,2)),"")</f>
        <v>160</v>
      </c>
      <c r="BQ23" s="16" cm="1">
        <f t="array" ref="BQ23">IFERROR(INDEX(_xlfn.ANCHORARRAY(_xlfn.XLOOKUP($C23,'-ref_Distribution'!$B$146:$B$150,'-ref_Distribution'!$G$146:$G$150)),RIGHT(BQ$1,2)),"")</f>
        <v>183</v>
      </c>
      <c r="BR23" s="16" cm="1">
        <f t="array" ref="BR23">IFERROR(INDEX(_xlfn.ANCHORARRAY(_xlfn.XLOOKUP($C23,'-ref_Distribution'!$B$146:$B$150,'-ref_Distribution'!$G$146:$G$150)),RIGHT(BR$1,2)),"")</f>
        <v>203</v>
      </c>
      <c r="BS23" s="16" cm="1">
        <f t="array" ref="BS23">IFERROR(INDEX(_xlfn.ANCHORARRAY(_xlfn.XLOOKUP($C23,'-ref_Distribution'!$B$146:$B$150,'-ref_Distribution'!$G$146:$G$150)),RIGHT(BS$1,2)),"")</f>
        <v>221</v>
      </c>
      <c r="BT23" s="16" cm="1">
        <f t="array" ref="BT23">IFERROR(INDEX(_xlfn.ANCHORARRAY(_xlfn.XLOOKUP($C23,'-ref_Distribution'!$B$146:$B$150,'-ref_Distribution'!$G$146:$G$150)),RIGHT(BT$1,2)),"")</f>
        <v>234</v>
      </c>
      <c r="BU23" s="16" cm="1">
        <f t="array" ref="BU23">IFERROR(INDEX(_xlfn.ANCHORARRAY(_xlfn.XLOOKUP($C23,'-ref_Distribution'!$B$146:$B$150,'-ref_Distribution'!$G$146:$G$150)),RIGHT(BU$1,2)),"")</f>
        <v>243</v>
      </c>
      <c r="BV23" s="16" cm="1">
        <f t="array" ref="BV23">IFERROR(INDEX(_xlfn.ANCHORARRAY(_xlfn.XLOOKUP($C23,'-ref_Distribution'!$B$146:$B$150,'-ref_Distribution'!$G$146:$G$150)),RIGHT(BV$1,2)),"")</f>
        <v>245</v>
      </c>
      <c r="BW23" s="16" cm="1">
        <f t="array" ref="BW23">IFERROR(INDEX(_xlfn.ANCHORARRAY(_xlfn.XLOOKUP($C23,'-ref_Distribution'!$B$146:$B$150,'-ref_Distribution'!$G$146:$G$150)),RIGHT(BW$1,2)),"")</f>
        <v>243</v>
      </c>
      <c r="BX23" s="16" cm="1">
        <f t="array" ref="BX23">IFERROR(INDEX(_xlfn.ANCHORARRAY(_xlfn.XLOOKUP($C23,'-ref_Distribution'!$B$146:$B$150,'-ref_Distribution'!$G$146:$G$150)),RIGHT(BX$1,2)),"")</f>
        <v>234</v>
      </c>
      <c r="BY23" s="16" cm="1">
        <f t="array" ref="BY23">IFERROR(INDEX(_xlfn.ANCHORARRAY(_xlfn.XLOOKUP($C23,'-ref_Distribution'!$B$146:$B$150,'-ref_Distribution'!$G$146:$G$150)),RIGHT(BY$1,2)),"")</f>
        <v>221</v>
      </c>
      <c r="BZ23" s="16" cm="1">
        <f t="array" ref="BZ23">IFERROR(INDEX(_xlfn.ANCHORARRAY(_xlfn.XLOOKUP($C23,'-ref_Distribution'!$B$146:$B$150,'-ref_Distribution'!$G$146:$G$150)),RIGHT(BZ$1,2)),"")</f>
        <v>203</v>
      </c>
      <c r="CA23" s="16" cm="1">
        <f t="array" ref="CA23">IFERROR(INDEX(_xlfn.ANCHORARRAY(_xlfn.XLOOKUP($C23,'-ref_Distribution'!$B$146:$B$150,'-ref_Distribution'!$G$146:$G$150)),RIGHT(CA$1,2)),"")</f>
        <v>183</v>
      </c>
      <c r="CB23" s="16" cm="1">
        <f t="array" ref="CB23">IFERROR(INDEX(_xlfn.ANCHORARRAY(_xlfn.XLOOKUP($C23,'-ref_Distribution'!$B$146:$B$150,'-ref_Distribution'!$G$146:$G$150)),RIGHT(CB$1,2)),"")</f>
        <v>160</v>
      </c>
      <c r="CC23" s="16" cm="1">
        <f t="array" ref="CC23">IFERROR(INDEX(_xlfn.ANCHORARRAY(_xlfn.XLOOKUP($C23,'-ref_Distribution'!$B$146:$B$150,'-ref_Distribution'!$G$146:$G$150)),RIGHT(CC$1,2)),"")</f>
        <v>137</v>
      </c>
      <c r="CD23" s="16" cm="1">
        <f t="array" ref="CD23">IFERROR(INDEX(_xlfn.ANCHORARRAY(_xlfn.XLOOKUP($C23,'-ref_Distribution'!$B$146:$B$150,'-ref_Distribution'!$G$146:$G$150)),RIGHT(CD$1,2)),"")</f>
        <v>115</v>
      </c>
      <c r="CE23" s="16" cm="1">
        <f t="array" ref="CE23">IFERROR(INDEX(_xlfn.ANCHORARRAY(_xlfn.XLOOKUP($C23,'-ref_Distribution'!$B$146:$B$150,'-ref_Distribution'!$G$146:$G$150)),RIGHT(CE$1,2)),"")</f>
        <v>94</v>
      </c>
    </row>
    <row r="24" spans="1:95" x14ac:dyDescent="0.2">
      <c r="A24" s="16">
        <v>300084</v>
      </c>
      <c r="B24" s="16" t="s">
        <v>203</v>
      </c>
      <c r="C24" s="16">
        <v>3</v>
      </c>
      <c r="D24" s="16" cm="1">
        <f t="array" ref="D24">IFERROR(INDEX(_xlfn.ANCHORARRAY(_xlfn.XLOOKUP($C24,'-ref_Distribution'!$B$146:$B$150,'-ref_Distribution'!$G$146:$G$150)),RIGHT(D$1,2)),"")</f>
        <v>4</v>
      </c>
      <c r="E24" s="16" cm="1">
        <f t="array" ref="E24">IFERROR(INDEX(_xlfn.ANCHORARRAY(_xlfn.XLOOKUP($C24,'-ref_Distribution'!$B$146:$B$150,'-ref_Distribution'!$G$146:$G$150)),RIGHT(E$1,2)),"")</f>
        <v>6</v>
      </c>
      <c r="F24" s="16" cm="1">
        <f t="array" ref="F24">IFERROR(INDEX(_xlfn.ANCHORARRAY(_xlfn.XLOOKUP($C24,'-ref_Distribution'!$B$146:$B$150,'-ref_Distribution'!$G$146:$G$150)),RIGHT(F$1,2)),"")</f>
        <v>9</v>
      </c>
      <c r="G24" s="16" cm="1">
        <f t="array" ref="G24">IFERROR(INDEX(_xlfn.ANCHORARRAY(_xlfn.XLOOKUP($C24,'-ref_Distribution'!$B$146:$B$150,'-ref_Distribution'!$G$146:$G$150)),RIGHT(G$1,2)),"")</f>
        <v>14</v>
      </c>
      <c r="H24" s="16" cm="1">
        <f t="array" ref="H24">IFERROR(INDEX(_xlfn.ANCHORARRAY(_xlfn.XLOOKUP($C24,'-ref_Distribution'!$B$146:$B$150,'-ref_Distribution'!$G$146:$G$150)),RIGHT(H$1,2)),"")</f>
        <v>20</v>
      </c>
      <c r="I24" s="16" cm="1">
        <f t="array" ref="I24">IFERROR(INDEX(_xlfn.ANCHORARRAY(_xlfn.XLOOKUP($C24,'-ref_Distribution'!$B$146:$B$150,'-ref_Distribution'!$G$146:$G$150)),RIGHT(I$1,2)),"")</f>
        <v>28</v>
      </c>
      <c r="J24" s="16" cm="1">
        <f t="array" ref="J24">IFERROR(INDEX(_xlfn.ANCHORARRAY(_xlfn.XLOOKUP($C24,'-ref_Distribution'!$B$146:$B$150,'-ref_Distribution'!$G$146:$G$150)),RIGHT(J$1,2)),"")</f>
        <v>38</v>
      </c>
      <c r="K24" s="16" cm="1">
        <f t="array" ref="K24">IFERROR(INDEX(_xlfn.ANCHORARRAY(_xlfn.XLOOKUP($C24,'-ref_Distribution'!$B$146:$B$150,'-ref_Distribution'!$G$146:$G$150)),RIGHT(K$1,2)),"")</f>
        <v>51</v>
      </c>
      <c r="L24" s="16" cm="1">
        <f t="array" ref="L24">IFERROR(INDEX(_xlfn.ANCHORARRAY(_xlfn.XLOOKUP($C24,'-ref_Distribution'!$B$146:$B$150,'-ref_Distribution'!$G$146:$G$150)),RIGHT(L$1,2)),"")</f>
        <v>65</v>
      </c>
      <c r="M24" s="16" cm="1">
        <f t="array" ref="M24">IFERROR(INDEX(_xlfn.ANCHORARRAY(_xlfn.XLOOKUP($C24,'-ref_Distribution'!$B$146:$B$150,'-ref_Distribution'!$G$146:$G$150)),RIGHT(M$1,2)),"")</f>
        <v>80</v>
      </c>
      <c r="N24" s="16" cm="1">
        <f t="array" ref="N24">IFERROR(INDEX(_xlfn.ANCHORARRAY(_xlfn.XLOOKUP($C24,'-ref_Distribution'!$B$146:$B$150,'-ref_Distribution'!$G$146:$G$150)),RIGHT(N$1,2)),"")</f>
        <v>96</v>
      </c>
      <c r="O24" s="16" cm="1">
        <f t="array" ref="O24">IFERROR(INDEX(_xlfn.ANCHORARRAY(_xlfn.XLOOKUP($C24,'-ref_Distribution'!$B$146:$B$150,'-ref_Distribution'!$G$146:$G$150)),RIGHT(O$1,2)),"")</f>
        <v>111</v>
      </c>
      <c r="P24" s="16" cm="1">
        <f t="array" ref="P24">IFERROR(INDEX(_xlfn.ANCHORARRAY(_xlfn.XLOOKUP($C24,'-ref_Distribution'!$B$146:$B$150,'-ref_Distribution'!$G$146:$G$150)),RIGHT(P$1,2)),"")</f>
        <v>125</v>
      </c>
      <c r="Q24" s="16" cm="1">
        <f t="array" ref="Q24">IFERROR(INDEX(_xlfn.ANCHORARRAY(_xlfn.XLOOKUP($C24,'-ref_Distribution'!$B$146:$B$150,'-ref_Distribution'!$G$146:$G$150)),RIGHT(Q$1,2)),"")</f>
        <v>135</v>
      </c>
      <c r="R24" s="16" cm="1">
        <f t="array" ref="R24">IFERROR(INDEX(_xlfn.ANCHORARRAY(_xlfn.XLOOKUP($C24,'-ref_Distribution'!$B$146:$B$150,'-ref_Distribution'!$G$146:$G$150)),RIGHT(R$1,2)),"")</f>
        <v>142</v>
      </c>
      <c r="S24" s="16" cm="1">
        <f t="array" ref="S24">IFERROR(INDEX(_xlfn.ANCHORARRAY(_xlfn.XLOOKUP($C24,'-ref_Distribution'!$B$146:$B$150,'-ref_Distribution'!$G$146:$G$150)),RIGHT(S$1,2)),"")</f>
        <v>144</v>
      </c>
      <c r="T24" s="16" cm="1">
        <f t="array" ref="T24">IFERROR(INDEX(_xlfn.ANCHORARRAY(_xlfn.XLOOKUP($C24,'-ref_Distribution'!$B$146:$B$150,'-ref_Distribution'!$G$146:$G$150)),RIGHT(T$1,2)),"")</f>
        <v>142</v>
      </c>
      <c r="U24" s="16" cm="1">
        <f t="array" ref="U24">IFERROR(INDEX(_xlfn.ANCHORARRAY(_xlfn.XLOOKUP($C24,'-ref_Distribution'!$B$146:$B$150,'-ref_Distribution'!$G$146:$G$150)),RIGHT(U$1,2)),"")</f>
        <v>135</v>
      </c>
      <c r="V24" s="16" cm="1">
        <f t="array" ref="V24">IFERROR(INDEX(_xlfn.ANCHORARRAY(_xlfn.XLOOKUP($C24,'-ref_Distribution'!$B$146:$B$150,'-ref_Distribution'!$G$146:$G$150)),RIGHT(V$1,2)),"")</f>
        <v>125</v>
      </c>
      <c r="W24" s="16" cm="1">
        <f t="array" ref="W24">IFERROR(INDEX(_xlfn.ANCHORARRAY(_xlfn.XLOOKUP($C24,'-ref_Distribution'!$B$146:$B$150,'-ref_Distribution'!$G$146:$G$150)),RIGHT(W$1,2)),"")</f>
        <v>111</v>
      </c>
      <c r="X24" s="16" cm="1">
        <f t="array" ref="X24">IFERROR(INDEX(_xlfn.ANCHORARRAY(_xlfn.XLOOKUP($C24,'-ref_Distribution'!$B$146:$B$150,'-ref_Distribution'!$G$146:$G$150)),RIGHT(X$1,2)),"")</f>
        <v>4</v>
      </c>
      <c r="Y24" s="16" cm="1">
        <f t="array" ref="Y24">IFERROR(INDEX(_xlfn.ANCHORARRAY(_xlfn.XLOOKUP($C24,'-ref_Distribution'!$B$146:$B$150,'-ref_Distribution'!$G$146:$G$150)),RIGHT(Y$1,2)),"")</f>
        <v>6</v>
      </c>
      <c r="Z24" s="16" cm="1">
        <f t="array" ref="Z24">IFERROR(INDEX(_xlfn.ANCHORARRAY(_xlfn.XLOOKUP($C24,'-ref_Distribution'!$B$146:$B$150,'-ref_Distribution'!$G$146:$G$150)),RIGHT(Z$1,2)),"")</f>
        <v>9</v>
      </c>
      <c r="AA24" s="16" cm="1">
        <f t="array" ref="AA24">IFERROR(INDEX(_xlfn.ANCHORARRAY(_xlfn.XLOOKUP($C24,'-ref_Distribution'!$B$146:$B$150,'-ref_Distribution'!$G$146:$G$150)),RIGHT(AA$1,2)),"")</f>
        <v>14</v>
      </c>
      <c r="AB24" s="16" cm="1">
        <f t="array" ref="AB24">IFERROR(INDEX(_xlfn.ANCHORARRAY(_xlfn.XLOOKUP($C24,'-ref_Distribution'!$B$146:$B$150,'-ref_Distribution'!$G$146:$G$150)),RIGHT(AB$1,2)),"")</f>
        <v>20</v>
      </c>
      <c r="AC24" s="16" cm="1">
        <f t="array" ref="AC24">IFERROR(INDEX(_xlfn.ANCHORARRAY(_xlfn.XLOOKUP($C24,'-ref_Distribution'!$B$146:$B$150,'-ref_Distribution'!$G$146:$G$150)),RIGHT(AC$1,2)),"")</f>
        <v>28</v>
      </c>
      <c r="AD24" s="16" cm="1">
        <f t="array" ref="AD24">IFERROR(INDEX(_xlfn.ANCHORARRAY(_xlfn.XLOOKUP($C24,'-ref_Distribution'!$B$146:$B$150,'-ref_Distribution'!$G$146:$G$150)),RIGHT(AD$1,2)),"")</f>
        <v>38</v>
      </c>
      <c r="AE24" s="16" cm="1">
        <f t="array" ref="AE24">IFERROR(INDEX(_xlfn.ANCHORARRAY(_xlfn.XLOOKUP($C24,'-ref_Distribution'!$B$146:$B$150,'-ref_Distribution'!$G$146:$G$150)),RIGHT(AE$1,2)),"")</f>
        <v>51</v>
      </c>
      <c r="AF24" s="16" cm="1">
        <f t="array" ref="AF24">IFERROR(INDEX(_xlfn.ANCHORARRAY(_xlfn.XLOOKUP($C24,'-ref_Distribution'!$B$146:$B$150,'-ref_Distribution'!$G$146:$G$150)),RIGHT(AF$1,2)),"")</f>
        <v>65</v>
      </c>
      <c r="AG24" s="16" cm="1">
        <f t="array" ref="AG24">IFERROR(INDEX(_xlfn.ANCHORARRAY(_xlfn.XLOOKUP($C24,'-ref_Distribution'!$B$146:$B$150,'-ref_Distribution'!$G$146:$G$150)),RIGHT(AG$1,2)),"")</f>
        <v>80</v>
      </c>
      <c r="AH24" s="16" cm="1">
        <f t="array" ref="AH24">IFERROR(INDEX(_xlfn.ANCHORARRAY(_xlfn.XLOOKUP($C24,'-ref_Distribution'!$B$146:$B$150,'-ref_Distribution'!$G$146:$G$150)),RIGHT(AH$1,2)),"")</f>
        <v>96</v>
      </c>
      <c r="AI24" s="16" cm="1">
        <f t="array" ref="AI24">IFERROR(INDEX(_xlfn.ANCHORARRAY(_xlfn.XLOOKUP($C24,'-ref_Distribution'!$B$146:$B$150,'-ref_Distribution'!$G$146:$G$150)),RIGHT(AI$1,2)),"")</f>
        <v>111</v>
      </c>
      <c r="AJ24" s="16" cm="1">
        <f t="array" ref="AJ24">IFERROR(INDEX(_xlfn.ANCHORARRAY(_xlfn.XLOOKUP($C24,'-ref_Distribution'!$B$146:$B$150,'-ref_Distribution'!$G$146:$G$150)),RIGHT(AJ$1,2)),"")</f>
        <v>125</v>
      </c>
      <c r="AK24" s="16" cm="1">
        <f t="array" ref="AK24">IFERROR(INDEX(_xlfn.ANCHORARRAY(_xlfn.XLOOKUP($C24,'-ref_Distribution'!$B$146:$B$150,'-ref_Distribution'!$G$146:$G$150)),RIGHT(AK$1,2)),"")</f>
        <v>135</v>
      </c>
      <c r="AL24" s="16" cm="1">
        <f t="array" ref="AL24">IFERROR(INDEX(_xlfn.ANCHORARRAY(_xlfn.XLOOKUP($C24,'-ref_Distribution'!$B$146:$B$150,'-ref_Distribution'!$G$146:$G$150)),RIGHT(AL$1,2)),"")</f>
        <v>142</v>
      </c>
      <c r="AM24" s="16" cm="1">
        <f t="array" ref="AM24">IFERROR(INDEX(_xlfn.ANCHORARRAY(_xlfn.XLOOKUP($C24,'-ref_Distribution'!$B$146:$B$150,'-ref_Distribution'!$G$146:$G$150)),RIGHT(AM$1,2)),"")</f>
        <v>144</v>
      </c>
      <c r="AN24" s="16" cm="1">
        <f t="array" ref="AN24">IFERROR(INDEX(_xlfn.ANCHORARRAY(_xlfn.XLOOKUP($C24,'-ref_Distribution'!$B$146:$B$150,'-ref_Distribution'!$G$146:$G$150)),RIGHT(AN$1,2)),"")</f>
        <v>142</v>
      </c>
      <c r="AO24" s="16" cm="1">
        <f t="array" ref="AO24">IFERROR(INDEX(_xlfn.ANCHORARRAY(_xlfn.XLOOKUP($C24,'-ref_Distribution'!$B$146:$B$150,'-ref_Distribution'!$G$146:$G$150)),RIGHT(AO$1,2)),"")</f>
        <v>135</v>
      </c>
      <c r="AP24" s="16" cm="1">
        <f t="array" ref="AP24">IFERROR(INDEX(_xlfn.ANCHORARRAY(_xlfn.XLOOKUP($C24,'-ref_Distribution'!$B$146:$B$150,'-ref_Distribution'!$G$146:$G$150)),RIGHT(AP$1,2)),"")</f>
        <v>125</v>
      </c>
      <c r="AQ24" s="16" cm="1">
        <f t="array" ref="AQ24">IFERROR(INDEX(_xlfn.ANCHORARRAY(_xlfn.XLOOKUP($C24,'-ref_Distribution'!$B$146:$B$150,'-ref_Distribution'!$G$146:$G$150)),RIGHT(AQ$1,2)),"")</f>
        <v>111</v>
      </c>
      <c r="AR24" s="16" cm="1">
        <f t="array" ref="AR24">IFERROR(INDEX(_xlfn.ANCHORARRAY(_xlfn.XLOOKUP($C24,'-ref_Distribution'!$B$146:$B$150,'-ref_Distribution'!$G$146:$G$150)),RIGHT(AR$1,2)),"")</f>
        <v>4</v>
      </c>
      <c r="AS24" s="16" cm="1">
        <f t="array" ref="AS24">IFERROR(INDEX(_xlfn.ANCHORARRAY(_xlfn.XLOOKUP($C24,'-ref_Distribution'!$B$146:$B$150,'-ref_Distribution'!$G$146:$G$150)),RIGHT(AS$1,2)),"")</f>
        <v>6</v>
      </c>
      <c r="AT24" s="16" cm="1">
        <f t="array" ref="AT24">IFERROR(INDEX(_xlfn.ANCHORARRAY(_xlfn.XLOOKUP($C24,'-ref_Distribution'!$B$146:$B$150,'-ref_Distribution'!$G$146:$G$150)),RIGHT(AT$1,2)),"")</f>
        <v>9</v>
      </c>
      <c r="AU24" s="16" cm="1">
        <f t="array" ref="AU24">IFERROR(INDEX(_xlfn.ANCHORARRAY(_xlfn.XLOOKUP($C24,'-ref_Distribution'!$B$146:$B$150,'-ref_Distribution'!$G$146:$G$150)),RIGHT(AU$1,2)),"")</f>
        <v>14</v>
      </c>
      <c r="AV24" s="16" cm="1">
        <f t="array" ref="AV24">IFERROR(INDEX(_xlfn.ANCHORARRAY(_xlfn.XLOOKUP($C24,'-ref_Distribution'!$B$146:$B$150,'-ref_Distribution'!$G$146:$G$150)),RIGHT(AV$1,2)),"")</f>
        <v>20</v>
      </c>
      <c r="AW24" s="16" cm="1">
        <f t="array" ref="AW24">IFERROR(INDEX(_xlfn.ANCHORARRAY(_xlfn.XLOOKUP($C24,'-ref_Distribution'!$B$146:$B$150,'-ref_Distribution'!$G$146:$G$150)),RIGHT(AW$1,2)),"")</f>
        <v>28</v>
      </c>
      <c r="AX24" s="16" cm="1">
        <f t="array" ref="AX24">IFERROR(INDEX(_xlfn.ANCHORARRAY(_xlfn.XLOOKUP($C24,'-ref_Distribution'!$B$146:$B$150,'-ref_Distribution'!$G$146:$G$150)),RIGHT(AX$1,2)),"")</f>
        <v>38</v>
      </c>
      <c r="AY24" s="16" cm="1">
        <f t="array" ref="AY24">IFERROR(INDEX(_xlfn.ANCHORARRAY(_xlfn.XLOOKUP($C24,'-ref_Distribution'!$B$146:$B$150,'-ref_Distribution'!$G$146:$G$150)),RIGHT(AY$1,2)),"")</f>
        <v>51</v>
      </c>
      <c r="AZ24" s="16" cm="1">
        <f t="array" ref="AZ24">IFERROR(INDEX(_xlfn.ANCHORARRAY(_xlfn.XLOOKUP($C24,'-ref_Distribution'!$B$146:$B$150,'-ref_Distribution'!$G$146:$G$150)),RIGHT(AZ$1,2)),"")</f>
        <v>65</v>
      </c>
      <c r="BA24" s="16" cm="1">
        <f t="array" ref="BA24">IFERROR(INDEX(_xlfn.ANCHORARRAY(_xlfn.XLOOKUP($C24,'-ref_Distribution'!$B$146:$B$150,'-ref_Distribution'!$G$146:$G$150)),RIGHT(BA$1,2)),"")</f>
        <v>80</v>
      </c>
      <c r="BB24" s="16" cm="1">
        <f t="array" ref="BB24">IFERROR(INDEX(_xlfn.ANCHORARRAY(_xlfn.XLOOKUP($C24,'-ref_Distribution'!$B$146:$B$150,'-ref_Distribution'!$G$146:$G$150)),RIGHT(BB$1,2)),"")</f>
        <v>96</v>
      </c>
      <c r="BC24" s="16" cm="1">
        <f t="array" ref="BC24">IFERROR(INDEX(_xlfn.ANCHORARRAY(_xlfn.XLOOKUP($C24,'-ref_Distribution'!$B$146:$B$150,'-ref_Distribution'!$G$146:$G$150)),RIGHT(BC$1,2)),"")</f>
        <v>111</v>
      </c>
      <c r="BD24" s="16" cm="1">
        <f t="array" ref="BD24">IFERROR(INDEX(_xlfn.ANCHORARRAY(_xlfn.XLOOKUP($C24,'-ref_Distribution'!$B$146:$B$150,'-ref_Distribution'!$G$146:$G$150)),RIGHT(BD$1,2)),"")</f>
        <v>125</v>
      </c>
      <c r="BE24" s="16" cm="1">
        <f t="array" ref="BE24">IFERROR(INDEX(_xlfn.ANCHORARRAY(_xlfn.XLOOKUP($C24,'-ref_Distribution'!$B$146:$B$150,'-ref_Distribution'!$G$146:$G$150)),RIGHT(BE$1,2)),"")</f>
        <v>135</v>
      </c>
      <c r="BF24" s="16" cm="1">
        <f t="array" ref="BF24">IFERROR(INDEX(_xlfn.ANCHORARRAY(_xlfn.XLOOKUP($C24,'-ref_Distribution'!$B$146:$B$150,'-ref_Distribution'!$G$146:$G$150)),RIGHT(BF$1,2)),"")</f>
        <v>142</v>
      </c>
      <c r="BG24" s="16" cm="1">
        <f t="array" ref="BG24">IFERROR(INDEX(_xlfn.ANCHORARRAY(_xlfn.XLOOKUP($C24,'-ref_Distribution'!$B$146:$B$150,'-ref_Distribution'!$G$146:$G$150)),RIGHT(BG$1,2)),"")</f>
        <v>144</v>
      </c>
      <c r="BH24" s="16" cm="1">
        <f t="array" ref="BH24">IFERROR(INDEX(_xlfn.ANCHORARRAY(_xlfn.XLOOKUP($C24,'-ref_Distribution'!$B$146:$B$150,'-ref_Distribution'!$G$146:$G$150)),RIGHT(BH$1,2)),"")</f>
        <v>142</v>
      </c>
      <c r="BI24" s="16" cm="1">
        <f t="array" ref="BI24">IFERROR(INDEX(_xlfn.ANCHORARRAY(_xlfn.XLOOKUP($C24,'-ref_Distribution'!$B$146:$B$150,'-ref_Distribution'!$G$146:$G$150)),RIGHT(BI$1,2)),"")</f>
        <v>135</v>
      </c>
      <c r="BJ24" s="16" cm="1">
        <f t="array" ref="BJ24">IFERROR(INDEX(_xlfn.ANCHORARRAY(_xlfn.XLOOKUP($C24,'-ref_Distribution'!$B$146:$B$150,'-ref_Distribution'!$G$146:$G$150)),RIGHT(BJ$1,2)),"")</f>
        <v>125</v>
      </c>
      <c r="BK24" s="16" cm="1">
        <f t="array" ref="BK24">IFERROR(INDEX(_xlfn.ANCHORARRAY(_xlfn.XLOOKUP($C24,'-ref_Distribution'!$B$146:$B$150,'-ref_Distribution'!$G$146:$G$150)),RIGHT(BK$1,2)),"")</f>
        <v>111</v>
      </c>
      <c r="BL24" s="16" cm="1">
        <f t="array" ref="BL24">IFERROR(INDEX(_xlfn.ANCHORARRAY(_xlfn.XLOOKUP($C24,'-ref_Distribution'!$B$146:$B$150,'-ref_Distribution'!$G$146:$G$150)),RIGHT(BL$1,2)),"")</f>
        <v>4</v>
      </c>
      <c r="BM24" s="16" cm="1">
        <f t="array" ref="BM24">IFERROR(INDEX(_xlfn.ANCHORARRAY(_xlfn.XLOOKUP($C24,'-ref_Distribution'!$B$146:$B$150,'-ref_Distribution'!$G$146:$G$150)),RIGHT(BM$1,2)),"")</f>
        <v>6</v>
      </c>
      <c r="BN24" s="16" cm="1">
        <f t="array" ref="BN24">IFERROR(INDEX(_xlfn.ANCHORARRAY(_xlfn.XLOOKUP($C24,'-ref_Distribution'!$B$146:$B$150,'-ref_Distribution'!$G$146:$G$150)),RIGHT(BN$1,2)),"")</f>
        <v>9</v>
      </c>
      <c r="BO24" s="16" cm="1">
        <f t="array" ref="BO24">IFERROR(INDEX(_xlfn.ANCHORARRAY(_xlfn.XLOOKUP($C24,'-ref_Distribution'!$B$146:$B$150,'-ref_Distribution'!$G$146:$G$150)),RIGHT(BO$1,2)),"")</f>
        <v>14</v>
      </c>
      <c r="BP24" s="16" cm="1">
        <f t="array" ref="BP24">IFERROR(INDEX(_xlfn.ANCHORARRAY(_xlfn.XLOOKUP($C24,'-ref_Distribution'!$B$146:$B$150,'-ref_Distribution'!$G$146:$G$150)),RIGHT(BP$1,2)),"")</f>
        <v>20</v>
      </c>
      <c r="BQ24" s="16" cm="1">
        <f t="array" ref="BQ24">IFERROR(INDEX(_xlfn.ANCHORARRAY(_xlfn.XLOOKUP($C24,'-ref_Distribution'!$B$146:$B$150,'-ref_Distribution'!$G$146:$G$150)),RIGHT(BQ$1,2)),"")</f>
        <v>28</v>
      </c>
      <c r="BR24" s="16" cm="1">
        <f t="array" ref="BR24">IFERROR(INDEX(_xlfn.ANCHORARRAY(_xlfn.XLOOKUP($C24,'-ref_Distribution'!$B$146:$B$150,'-ref_Distribution'!$G$146:$G$150)),RIGHT(BR$1,2)),"")</f>
        <v>38</v>
      </c>
      <c r="BS24" s="16" cm="1">
        <f t="array" ref="BS24">IFERROR(INDEX(_xlfn.ANCHORARRAY(_xlfn.XLOOKUP($C24,'-ref_Distribution'!$B$146:$B$150,'-ref_Distribution'!$G$146:$G$150)),RIGHT(BS$1,2)),"")</f>
        <v>51</v>
      </c>
      <c r="BT24" s="16" cm="1">
        <f t="array" ref="BT24">IFERROR(INDEX(_xlfn.ANCHORARRAY(_xlfn.XLOOKUP($C24,'-ref_Distribution'!$B$146:$B$150,'-ref_Distribution'!$G$146:$G$150)),RIGHT(BT$1,2)),"")</f>
        <v>65</v>
      </c>
      <c r="BU24" s="16" cm="1">
        <f t="array" ref="BU24">IFERROR(INDEX(_xlfn.ANCHORARRAY(_xlfn.XLOOKUP($C24,'-ref_Distribution'!$B$146:$B$150,'-ref_Distribution'!$G$146:$G$150)),RIGHT(BU$1,2)),"")</f>
        <v>80</v>
      </c>
      <c r="BV24" s="16" cm="1">
        <f t="array" ref="BV24">IFERROR(INDEX(_xlfn.ANCHORARRAY(_xlfn.XLOOKUP($C24,'-ref_Distribution'!$B$146:$B$150,'-ref_Distribution'!$G$146:$G$150)),RIGHT(BV$1,2)),"")</f>
        <v>96</v>
      </c>
      <c r="BW24" s="16" cm="1">
        <f t="array" ref="BW24">IFERROR(INDEX(_xlfn.ANCHORARRAY(_xlfn.XLOOKUP($C24,'-ref_Distribution'!$B$146:$B$150,'-ref_Distribution'!$G$146:$G$150)),RIGHT(BW$1,2)),"")</f>
        <v>111</v>
      </c>
      <c r="BX24" s="16" cm="1">
        <f t="array" ref="BX24">IFERROR(INDEX(_xlfn.ANCHORARRAY(_xlfn.XLOOKUP($C24,'-ref_Distribution'!$B$146:$B$150,'-ref_Distribution'!$G$146:$G$150)),RIGHT(BX$1,2)),"")</f>
        <v>125</v>
      </c>
      <c r="BY24" s="16" cm="1">
        <f t="array" ref="BY24">IFERROR(INDEX(_xlfn.ANCHORARRAY(_xlfn.XLOOKUP($C24,'-ref_Distribution'!$B$146:$B$150,'-ref_Distribution'!$G$146:$G$150)),RIGHT(BY$1,2)),"")</f>
        <v>135</v>
      </c>
      <c r="BZ24" s="16" cm="1">
        <f t="array" ref="BZ24">IFERROR(INDEX(_xlfn.ANCHORARRAY(_xlfn.XLOOKUP($C24,'-ref_Distribution'!$B$146:$B$150,'-ref_Distribution'!$G$146:$G$150)),RIGHT(BZ$1,2)),"")</f>
        <v>142</v>
      </c>
      <c r="CA24" s="16" cm="1">
        <f t="array" ref="CA24">IFERROR(INDEX(_xlfn.ANCHORARRAY(_xlfn.XLOOKUP($C24,'-ref_Distribution'!$B$146:$B$150,'-ref_Distribution'!$G$146:$G$150)),RIGHT(CA$1,2)),"")</f>
        <v>144</v>
      </c>
      <c r="CB24" s="16" cm="1">
        <f t="array" ref="CB24">IFERROR(INDEX(_xlfn.ANCHORARRAY(_xlfn.XLOOKUP($C24,'-ref_Distribution'!$B$146:$B$150,'-ref_Distribution'!$G$146:$G$150)),RIGHT(CB$1,2)),"")</f>
        <v>142</v>
      </c>
      <c r="CC24" s="16" cm="1">
        <f t="array" ref="CC24">IFERROR(INDEX(_xlfn.ANCHORARRAY(_xlfn.XLOOKUP($C24,'-ref_Distribution'!$B$146:$B$150,'-ref_Distribution'!$G$146:$G$150)),RIGHT(CC$1,2)),"")</f>
        <v>135</v>
      </c>
      <c r="CD24" s="16" cm="1">
        <f t="array" ref="CD24">IFERROR(INDEX(_xlfn.ANCHORARRAY(_xlfn.XLOOKUP($C24,'-ref_Distribution'!$B$146:$B$150,'-ref_Distribution'!$G$146:$G$150)),RIGHT(CD$1,2)),"")</f>
        <v>125</v>
      </c>
      <c r="CE24" s="16" cm="1">
        <f t="array" ref="CE24">IFERROR(INDEX(_xlfn.ANCHORARRAY(_xlfn.XLOOKUP($C24,'-ref_Distribution'!$B$146:$B$150,'-ref_Distribution'!$G$146:$G$150)),RIGHT(CE$1,2)),"")</f>
        <v>111</v>
      </c>
    </row>
    <row r="25" spans="1:95" x14ac:dyDescent="0.2">
      <c r="D25" s="16" t="str" cm="1">
        <f t="array" ref="D25">IFERROR(INDEX(_xlfn.ANCHORARRAY(_xlfn.XLOOKUP($C25,'-ref_Distribution'!$B$146:$B$150,'-ref_Distribution'!$G$146:$G$150)),RIGHT(D$1,2)),"")</f>
        <v/>
      </c>
      <c r="E25" s="16" t="str" cm="1">
        <f t="array" ref="E25">IFERROR(INDEX(_xlfn.ANCHORARRAY(_xlfn.XLOOKUP($C25,'-ref_Distribution'!$B$146:$B$150,'-ref_Distribution'!$G$146:$G$150)),RIGHT(E$1,2)),"")</f>
        <v/>
      </c>
      <c r="F25" s="16" t="str" cm="1">
        <f t="array" ref="F25">IFERROR(INDEX(_xlfn.ANCHORARRAY(_xlfn.XLOOKUP($C25,'-ref_Distribution'!$B$146:$B$150,'-ref_Distribution'!$G$146:$G$150)),RIGHT(F$1,2)),"")</f>
        <v/>
      </c>
      <c r="G25" s="16" t="str" cm="1">
        <f t="array" ref="G25">IFERROR(INDEX(_xlfn.ANCHORARRAY(_xlfn.XLOOKUP($C25,'-ref_Distribution'!$B$146:$B$150,'-ref_Distribution'!$G$146:$G$150)),RIGHT(G$1,2)),"")</f>
        <v/>
      </c>
      <c r="H25" s="16" t="str" cm="1">
        <f t="array" ref="H25">IFERROR(INDEX(_xlfn.ANCHORARRAY(_xlfn.XLOOKUP($C25,'-ref_Distribution'!$B$146:$B$150,'-ref_Distribution'!$G$146:$G$150)),RIGHT(H$1,2)),"")</f>
        <v/>
      </c>
      <c r="I25" s="16" t="str" cm="1">
        <f t="array" ref="I25">IFERROR(INDEX(_xlfn.ANCHORARRAY(_xlfn.XLOOKUP($C25,'-ref_Distribution'!$B$146:$B$150,'-ref_Distribution'!$G$146:$G$150)),RIGHT(I$1,2)),"")</f>
        <v/>
      </c>
      <c r="J25" s="16" t="str" cm="1">
        <f t="array" ref="J25">IFERROR(INDEX(_xlfn.ANCHORARRAY(_xlfn.XLOOKUP($C25,'-ref_Distribution'!$B$146:$B$150,'-ref_Distribution'!$G$146:$G$150)),RIGHT(J$1,2)),"")</f>
        <v/>
      </c>
      <c r="K25" s="16" t="str" cm="1">
        <f t="array" ref="K25">IFERROR(INDEX(_xlfn.ANCHORARRAY(_xlfn.XLOOKUP($C25,'-ref_Distribution'!$B$146:$B$150,'-ref_Distribution'!$G$146:$G$150)),RIGHT(K$1,2)),"")</f>
        <v/>
      </c>
      <c r="L25" s="16" t="str" cm="1">
        <f t="array" ref="L25">IFERROR(INDEX(_xlfn.ANCHORARRAY(_xlfn.XLOOKUP($C25,'-ref_Distribution'!$B$146:$B$150,'-ref_Distribution'!$G$146:$G$150)),RIGHT(L$1,2)),"")</f>
        <v/>
      </c>
      <c r="M25" s="16" t="str" cm="1">
        <f t="array" ref="M25">IFERROR(INDEX(_xlfn.ANCHORARRAY(_xlfn.XLOOKUP($C25,'-ref_Distribution'!$B$146:$B$150,'-ref_Distribution'!$G$146:$G$150)),RIGHT(M$1,2)),"")</f>
        <v/>
      </c>
      <c r="N25" s="16" t="str" cm="1">
        <f t="array" ref="N25">IFERROR(INDEX(_xlfn.ANCHORARRAY(_xlfn.XLOOKUP($C25,'-ref_Distribution'!$B$146:$B$150,'-ref_Distribution'!$G$146:$G$150)),RIGHT(N$1,2)),"")</f>
        <v/>
      </c>
      <c r="O25" s="16" t="str" cm="1">
        <f t="array" ref="O25">IFERROR(INDEX(_xlfn.ANCHORARRAY(_xlfn.XLOOKUP($C25,'-ref_Distribution'!$B$146:$B$150,'-ref_Distribution'!$G$146:$G$150)),RIGHT(O$1,2)),"")</f>
        <v/>
      </c>
      <c r="P25" s="16" t="str" cm="1">
        <f t="array" ref="P25">IFERROR(INDEX(_xlfn.ANCHORARRAY(_xlfn.XLOOKUP($C25,'-ref_Distribution'!$B$146:$B$150,'-ref_Distribution'!$G$146:$G$150)),RIGHT(P$1,2)),"")</f>
        <v/>
      </c>
      <c r="Q25" s="16" t="str" cm="1">
        <f t="array" ref="Q25">IFERROR(INDEX(_xlfn.ANCHORARRAY(_xlfn.XLOOKUP($C25,'-ref_Distribution'!$B$146:$B$150,'-ref_Distribution'!$G$146:$G$150)),RIGHT(Q$1,2)),"")</f>
        <v/>
      </c>
      <c r="R25" s="16" t="str" cm="1">
        <f t="array" ref="R25">IFERROR(INDEX(_xlfn.ANCHORARRAY(_xlfn.XLOOKUP($C25,'-ref_Distribution'!$B$146:$B$150,'-ref_Distribution'!$G$146:$G$150)),RIGHT(R$1,2)),"")</f>
        <v/>
      </c>
      <c r="S25" s="16" t="str" cm="1">
        <f t="array" ref="S25">IFERROR(INDEX(_xlfn.ANCHORARRAY(_xlfn.XLOOKUP($C25,'-ref_Distribution'!$B$146:$B$150,'-ref_Distribution'!$G$146:$G$150)),RIGHT(S$1,2)),"")</f>
        <v/>
      </c>
      <c r="T25" s="16" t="str" cm="1">
        <f t="array" ref="T25">IFERROR(INDEX(_xlfn.ANCHORARRAY(_xlfn.XLOOKUP($C25,'-ref_Distribution'!$B$146:$B$150,'-ref_Distribution'!$G$146:$G$150)),RIGHT(T$1,2)),"")</f>
        <v/>
      </c>
      <c r="U25" s="16" t="str" cm="1">
        <f t="array" ref="U25">IFERROR(INDEX(_xlfn.ANCHORARRAY(_xlfn.XLOOKUP($C25,'-ref_Distribution'!$B$146:$B$150,'-ref_Distribution'!$G$146:$G$150)),RIGHT(U$1,2)),"")</f>
        <v/>
      </c>
      <c r="V25" s="16" t="str" cm="1">
        <f t="array" ref="V25">IFERROR(INDEX(_xlfn.ANCHORARRAY(_xlfn.XLOOKUP($C25,'-ref_Distribution'!$B$146:$B$150,'-ref_Distribution'!$G$146:$G$150)),RIGHT(V$1,2)),"")</f>
        <v/>
      </c>
      <c r="W25" s="16" t="str" cm="1">
        <f t="array" ref="W25">IFERROR(INDEX(_xlfn.ANCHORARRAY(_xlfn.XLOOKUP($C25,'-ref_Distribution'!$B$146:$B$150,'-ref_Distribution'!$G$146:$G$150)),RIGHT(W$1,2)),"")</f>
        <v/>
      </c>
      <c r="X25" s="16" t="str" cm="1">
        <f t="array" ref="X25">IFERROR(INDEX(_xlfn.ANCHORARRAY(_xlfn.XLOOKUP($C25,'-ref_Distribution'!$B$146:$B$150,'-ref_Distribution'!$G$146:$G$150)),RIGHT(X$1,2)),"")</f>
        <v/>
      </c>
      <c r="Y25" s="16" t="str" cm="1">
        <f t="array" ref="Y25">IFERROR(INDEX(_xlfn.ANCHORARRAY(_xlfn.XLOOKUP($C25,'-ref_Distribution'!$B$146:$B$150,'-ref_Distribution'!$G$146:$G$150)),RIGHT(Y$1,2)),"")</f>
        <v/>
      </c>
      <c r="Z25" s="16" t="str" cm="1">
        <f t="array" ref="Z25">IFERROR(INDEX(_xlfn.ANCHORARRAY(_xlfn.XLOOKUP($C25,'-ref_Distribution'!$B$146:$B$150,'-ref_Distribution'!$G$146:$G$150)),RIGHT(Z$1,2)),"")</f>
        <v/>
      </c>
      <c r="AA25" s="16" t="str" cm="1">
        <f t="array" ref="AA25">IFERROR(INDEX(_xlfn.ANCHORARRAY(_xlfn.XLOOKUP($C25,'-ref_Distribution'!$B$146:$B$150,'-ref_Distribution'!$G$146:$G$150)),RIGHT(AA$1,2)),"")</f>
        <v/>
      </c>
      <c r="AB25" s="16" t="str" cm="1">
        <f t="array" ref="AB25">IFERROR(INDEX(_xlfn.ANCHORARRAY(_xlfn.XLOOKUP($C25,'-ref_Distribution'!$B$146:$B$150,'-ref_Distribution'!$G$146:$G$150)),RIGHT(AB$1,2)),"")</f>
        <v/>
      </c>
      <c r="AC25" s="16" t="str" cm="1">
        <f t="array" ref="AC25">IFERROR(INDEX(_xlfn.ANCHORARRAY(_xlfn.XLOOKUP($C25,'-ref_Distribution'!$B$146:$B$150,'-ref_Distribution'!$G$146:$G$150)),RIGHT(AC$1,2)),"")</f>
        <v/>
      </c>
      <c r="AD25" s="16" t="str" cm="1">
        <f t="array" ref="AD25">IFERROR(INDEX(_xlfn.ANCHORARRAY(_xlfn.XLOOKUP($C25,'-ref_Distribution'!$B$146:$B$150,'-ref_Distribution'!$G$146:$G$150)),RIGHT(AD$1,2)),"")</f>
        <v/>
      </c>
      <c r="AE25" s="16" t="str" cm="1">
        <f t="array" ref="AE25">IFERROR(INDEX(_xlfn.ANCHORARRAY(_xlfn.XLOOKUP($C25,'-ref_Distribution'!$B$146:$B$150,'-ref_Distribution'!$G$146:$G$150)),RIGHT(AE$1,2)),"")</f>
        <v/>
      </c>
      <c r="AF25" s="16" t="str" cm="1">
        <f t="array" ref="AF25">IFERROR(INDEX(_xlfn.ANCHORARRAY(_xlfn.XLOOKUP($C25,'-ref_Distribution'!$B$146:$B$150,'-ref_Distribution'!$G$146:$G$150)),RIGHT(AF$1,2)),"")</f>
        <v/>
      </c>
      <c r="AG25" s="16" t="str" cm="1">
        <f t="array" ref="AG25">IFERROR(INDEX(_xlfn.ANCHORARRAY(_xlfn.XLOOKUP($C25,'-ref_Distribution'!$B$146:$B$150,'-ref_Distribution'!$G$146:$G$150)),RIGHT(AG$1,2)),"")</f>
        <v/>
      </c>
      <c r="AH25" s="16" t="str" cm="1">
        <f t="array" ref="AH25">IFERROR(INDEX(_xlfn.ANCHORARRAY(_xlfn.XLOOKUP($C25,'-ref_Distribution'!$B$146:$B$150,'-ref_Distribution'!$G$146:$G$150)),RIGHT(AH$1,2)),"")</f>
        <v/>
      </c>
      <c r="AI25" s="16" t="str" cm="1">
        <f t="array" ref="AI25">IFERROR(INDEX(_xlfn.ANCHORARRAY(_xlfn.XLOOKUP($C25,'-ref_Distribution'!$B$146:$B$150,'-ref_Distribution'!$G$146:$G$150)),RIGHT(AI$1,2)),"")</f>
        <v/>
      </c>
      <c r="AJ25" s="16" t="str" cm="1">
        <f t="array" ref="AJ25">IFERROR(INDEX(_xlfn.ANCHORARRAY(_xlfn.XLOOKUP($C25,'-ref_Distribution'!$B$146:$B$150,'-ref_Distribution'!$G$146:$G$150)),RIGHT(AJ$1,2)),"")</f>
        <v/>
      </c>
      <c r="AK25" s="16" t="str" cm="1">
        <f t="array" ref="AK25">IFERROR(INDEX(_xlfn.ANCHORARRAY(_xlfn.XLOOKUP($C25,'-ref_Distribution'!$B$146:$B$150,'-ref_Distribution'!$G$146:$G$150)),RIGHT(AK$1,2)),"")</f>
        <v/>
      </c>
      <c r="AL25" s="16" t="str" cm="1">
        <f t="array" ref="AL25">IFERROR(INDEX(_xlfn.ANCHORARRAY(_xlfn.XLOOKUP($C25,'-ref_Distribution'!$B$146:$B$150,'-ref_Distribution'!$G$146:$G$150)),RIGHT(AL$1,2)),"")</f>
        <v/>
      </c>
      <c r="AM25" s="16" t="str" cm="1">
        <f t="array" ref="AM25">IFERROR(INDEX(_xlfn.ANCHORARRAY(_xlfn.XLOOKUP($C25,'-ref_Distribution'!$B$146:$B$150,'-ref_Distribution'!$G$146:$G$150)),RIGHT(AM$1,2)),"")</f>
        <v/>
      </c>
      <c r="AN25" s="16" t="str" cm="1">
        <f t="array" ref="AN25">IFERROR(INDEX(_xlfn.ANCHORARRAY(_xlfn.XLOOKUP($C25,'-ref_Distribution'!$B$146:$B$150,'-ref_Distribution'!$G$146:$G$150)),RIGHT(AN$1,2)),"")</f>
        <v/>
      </c>
      <c r="AO25" s="16" t="str" cm="1">
        <f t="array" ref="AO25">IFERROR(INDEX(_xlfn.ANCHORARRAY(_xlfn.XLOOKUP($C25,'-ref_Distribution'!$B$146:$B$150,'-ref_Distribution'!$G$146:$G$150)),RIGHT(AO$1,2)),"")</f>
        <v/>
      </c>
      <c r="AP25" s="16" t="str" cm="1">
        <f t="array" ref="AP25">IFERROR(INDEX(_xlfn.ANCHORARRAY(_xlfn.XLOOKUP($C25,'-ref_Distribution'!$B$146:$B$150,'-ref_Distribution'!$G$146:$G$150)),RIGHT(AP$1,2)),"")</f>
        <v/>
      </c>
      <c r="AQ25" s="16" t="str" cm="1">
        <f t="array" ref="AQ25">IFERROR(INDEX(_xlfn.ANCHORARRAY(_xlfn.XLOOKUP($C25,'-ref_Distribution'!$B$146:$B$150,'-ref_Distribution'!$G$146:$G$150)),RIGHT(AQ$1,2)),"")</f>
        <v/>
      </c>
      <c r="AR25" s="16" t="str" cm="1">
        <f t="array" ref="AR25">IFERROR(INDEX(_xlfn.ANCHORARRAY(_xlfn.XLOOKUP($C25,'-ref_Distribution'!$B$146:$B$150,'-ref_Distribution'!$G$146:$G$150)),RIGHT(AR$1,2)),"")</f>
        <v/>
      </c>
      <c r="AS25" s="16" t="str" cm="1">
        <f t="array" ref="AS25">IFERROR(INDEX(_xlfn.ANCHORARRAY(_xlfn.XLOOKUP($C25,'-ref_Distribution'!$B$146:$B$150,'-ref_Distribution'!$G$146:$G$150)),RIGHT(AS$1,2)),"")</f>
        <v/>
      </c>
      <c r="AT25" s="16" t="str" cm="1">
        <f t="array" ref="AT25">IFERROR(INDEX(_xlfn.ANCHORARRAY(_xlfn.XLOOKUP($C25,'-ref_Distribution'!$B$146:$B$150,'-ref_Distribution'!$G$146:$G$150)),RIGHT(AT$1,2)),"")</f>
        <v/>
      </c>
      <c r="AU25" s="16" t="str" cm="1">
        <f t="array" ref="AU25">IFERROR(INDEX(_xlfn.ANCHORARRAY(_xlfn.XLOOKUP($C25,'-ref_Distribution'!$B$146:$B$150,'-ref_Distribution'!$G$146:$G$150)),RIGHT(AU$1,2)),"")</f>
        <v/>
      </c>
      <c r="AV25" s="16" t="str" cm="1">
        <f t="array" ref="AV25">IFERROR(INDEX(_xlfn.ANCHORARRAY(_xlfn.XLOOKUP($C25,'-ref_Distribution'!$B$146:$B$150,'-ref_Distribution'!$G$146:$G$150)),RIGHT(AV$1,2)),"")</f>
        <v/>
      </c>
      <c r="AW25" s="16" t="str" cm="1">
        <f t="array" ref="AW25">IFERROR(INDEX(_xlfn.ANCHORARRAY(_xlfn.XLOOKUP($C25,'-ref_Distribution'!$B$146:$B$150,'-ref_Distribution'!$G$146:$G$150)),RIGHT(AW$1,2)),"")</f>
        <v/>
      </c>
      <c r="AX25" s="16" t="str" cm="1">
        <f t="array" ref="AX25">IFERROR(INDEX(_xlfn.ANCHORARRAY(_xlfn.XLOOKUP($C25,'-ref_Distribution'!$B$146:$B$150,'-ref_Distribution'!$G$146:$G$150)),RIGHT(AX$1,2)),"")</f>
        <v/>
      </c>
      <c r="AY25" s="16" t="str" cm="1">
        <f t="array" ref="AY25">IFERROR(INDEX(_xlfn.ANCHORARRAY(_xlfn.XLOOKUP($C25,'-ref_Distribution'!$B$146:$B$150,'-ref_Distribution'!$G$146:$G$150)),RIGHT(AY$1,2)),"")</f>
        <v/>
      </c>
      <c r="AZ25" s="16" t="str" cm="1">
        <f t="array" ref="AZ25">IFERROR(INDEX(_xlfn.ANCHORARRAY(_xlfn.XLOOKUP($C25,'-ref_Distribution'!$B$146:$B$150,'-ref_Distribution'!$G$146:$G$150)),RIGHT(AZ$1,2)),"")</f>
        <v/>
      </c>
      <c r="BA25" s="16" t="str" cm="1">
        <f t="array" ref="BA25">IFERROR(INDEX(_xlfn.ANCHORARRAY(_xlfn.XLOOKUP($C25,'-ref_Distribution'!$B$146:$B$150,'-ref_Distribution'!$G$146:$G$150)),RIGHT(BA$1,2)),"")</f>
        <v/>
      </c>
      <c r="BB25" s="16" t="str" cm="1">
        <f t="array" ref="BB25">IFERROR(INDEX(_xlfn.ANCHORARRAY(_xlfn.XLOOKUP($C25,'-ref_Distribution'!$B$146:$B$150,'-ref_Distribution'!$G$146:$G$150)),RIGHT(BB$1,2)),"")</f>
        <v/>
      </c>
      <c r="BC25" s="16" t="str" cm="1">
        <f t="array" ref="BC25">IFERROR(INDEX(_xlfn.ANCHORARRAY(_xlfn.XLOOKUP($C25,'-ref_Distribution'!$B$146:$B$150,'-ref_Distribution'!$G$146:$G$150)),RIGHT(BC$1,2)),"")</f>
        <v/>
      </c>
      <c r="BD25" s="16" t="str" cm="1">
        <f t="array" ref="BD25">IFERROR(INDEX(_xlfn.ANCHORARRAY(_xlfn.XLOOKUP($C25,'-ref_Distribution'!$B$146:$B$150,'-ref_Distribution'!$G$146:$G$150)),RIGHT(BD$1,2)),"")</f>
        <v/>
      </c>
      <c r="BE25" s="16" t="str" cm="1">
        <f t="array" ref="BE25">IFERROR(INDEX(_xlfn.ANCHORARRAY(_xlfn.XLOOKUP($C25,'-ref_Distribution'!$B$146:$B$150,'-ref_Distribution'!$G$146:$G$150)),RIGHT(BE$1,2)),"")</f>
        <v/>
      </c>
      <c r="BF25" s="16" t="str" cm="1">
        <f t="array" ref="BF25">IFERROR(INDEX(_xlfn.ANCHORARRAY(_xlfn.XLOOKUP($C25,'-ref_Distribution'!$B$146:$B$150,'-ref_Distribution'!$G$146:$G$150)),RIGHT(BF$1,2)),"")</f>
        <v/>
      </c>
      <c r="BG25" s="16" t="str" cm="1">
        <f t="array" ref="BG25">IFERROR(INDEX(_xlfn.ANCHORARRAY(_xlfn.XLOOKUP($C25,'-ref_Distribution'!$B$146:$B$150,'-ref_Distribution'!$G$146:$G$150)),RIGHT(BG$1,2)),"")</f>
        <v/>
      </c>
      <c r="BH25" s="16" t="str" cm="1">
        <f t="array" ref="BH25">IFERROR(INDEX(_xlfn.ANCHORARRAY(_xlfn.XLOOKUP($C25,'-ref_Distribution'!$B$146:$B$150,'-ref_Distribution'!$G$146:$G$150)),RIGHT(BH$1,2)),"")</f>
        <v/>
      </c>
      <c r="BI25" s="16" t="str" cm="1">
        <f t="array" ref="BI25">IFERROR(INDEX(_xlfn.ANCHORARRAY(_xlfn.XLOOKUP($C25,'-ref_Distribution'!$B$146:$B$150,'-ref_Distribution'!$G$146:$G$150)),RIGHT(BI$1,2)),"")</f>
        <v/>
      </c>
      <c r="BJ25" s="16" t="str" cm="1">
        <f t="array" ref="BJ25">IFERROR(INDEX(_xlfn.ANCHORARRAY(_xlfn.XLOOKUP($C25,'-ref_Distribution'!$B$146:$B$150,'-ref_Distribution'!$G$146:$G$150)),RIGHT(BJ$1,2)),"")</f>
        <v/>
      </c>
      <c r="BK25" s="16" t="str" cm="1">
        <f t="array" ref="BK25">IFERROR(INDEX(_xlfn.ANCHORARRAY(_xlfn.XLOOKUP($C25,'-ref_Distribution'!$B$146:$B$150,'-ref_Distribution'!$G$146:$G$150)),RIGHT(BK$1,2)),"")</f>
        <v/>
      </c>
      <c r="BL25" s="16" t="str" cm="1">
        <f t="array" ref="BL25">IFERROR(INDEX(_xlfn.ANCHORARRAY(_xlfn.XLOOKUP($C25,'-ref_Distribution'!$B$146:$B$150,'-ref_Distribution'!$G$146:$G$150)),RIGHT(BL$1,2)),"")</f>
        <v/>
      </c>
      <c r="BM25" s="16" t="str" cm="1">
        <f t="array" ref="BM25">IFERROR(INDEX(_xlfn.ANCHORARRAY(_xlfn.XLOOKUP($C25,'-ref_Distribution'!$B$146:$B$150,'-ref_Distribution'!$G$146:$G$150)),RIGHT(BM$1,2)),"")</f>
        <v/>
      </c>
      <c r="BN25" s="16" t="str" cm="1">
        <f t="array" ref="BN25">IFERROR(INDEX(_xlfn.ANCHORARRAY(_xlfn.XLOOKUP($C25,'-ref_Distribution'!$B$146:$B$150,'-ref_Distribution'!$G$146:$G$150)),RIGHT(BN$1,2)),"")</f>
        <v/>
      </c>
      <c r="BO25" s="16" t="str" cm="1">
        <f t="array" ref="BO25">IFERROR(INDEX(_xlfn.ANCHORARRAY(_xlfn.XLOOKUP($C25,'-ref_Distribution'!$B$146:$B$150,'-ref_Distribution'!$G$146:$G$150)),RIGHT(BO$1,2)),"")</f>
        <v/>
      </c>
      <c r="BP25" s="16" t="str" cm="1">
        <f t="array" ref="BP25">IFERROR(INDEX(_xlfn.ANCHORARRAY(_xlfn.XLOOKUP($C25,'-ref_Distribution'!$B$146:$B$150,'-ref_Distribution'!$G$146:$G$150)),RIGHT(BP$1,2)),"")</f>
        <v/>
      </c>
      <c r="BQ25" s="16" t="str" cm="1">
        <f t="array" ref="BQ25">IFERROR(INDEX(_xlfn.ANCHORARRAY(_xlfn.XLOOKUP($C25,'-ref_Distribution'!$B$146:$B$150,'-ref_Distribution'!$G$146:$G$150)),RIGHT(BQ$1,2)),"")</f>
        <v/>
      </c>
      <c r="BR25" s="16" t="str" cm="1">
        <f t="array" ref="BR25">IFERROR(INDEX(_xlfn.ANCHORARRAY(_xlfn.XLOOKUP($C25,'-ref_Distribution'!$B$146:$B$150,'-ref_Distribution'!$G$146:$G$150)),RIGHT(BR$1,2)),"")</f>
        <v/>
      </c>
      <c r="BS25" s="16" t="str" cm="1">
        <f t="array" ref="BS25">IFERROR(INDEX(_xlfn.ANCHORARRAY(_xlfn.XLOOKUP($C25,'-ref_Distribution'!$B$146:$B$150,'-ref_Distribution'!$G$146:$G$150)),RIGHT(BS$1,2)),"")</f>
        <v/>
      </c>
      <c r="BT25" s="16" t="str" cm="1">
        <f t="array" ref="BT25">IFERROR(INDEX(_xlfn.ANCHORARRAY(_xlfn.XLOOKUP($C25,'-ref_Distribution'!$B$146:$B$150,'-ref_Distribution'!$G$146:$G$150)),RIGHT(BT$1,2)),"")</f>
        <v/>
      </c>
      <c r="BU25" s="16" t="str" cm="1">
        <f t="array" ref="BU25">IFERROR(INDEX(_xlfn.ANCHORARRAY(_xlfn.XLOOKUP($C25,'-ref_Distribution'!$B$146:$B$150,'-ref_Distribution'!$G$146:$G$150)),RIGHT(BU$1,2)),"")</f>
        <v/>
      </c>
      <c r="BV25" s="16" t="str" cm="1">
        <f t="array" ref="BV25">IFERROR(INDEX(_xlfn.ANCHORARRAY(_xlfn.XLOOKUP($C25,'-ref_Distribution'!$B$146:$B$150,'-ref_Distribution'!$G$146:$G$150)),RIGHT(BV$1,2)),"")</f>
        <v/>
      </c>
      <c r="BW25" s="16" t="str" cm="1">
        <f t="array" ref="BW25">IFERROR(INDEX(_xlfn.ANCHORARRAY(_xlfn.XLOOKUP($C25,'-ref_Distribution'!$B$146:$B$150,'-ref_Distribution'!$G$146:$G$150)),RIGHT(BW$1,2)),"")</f>
        <v/>
      </c>
      <c r="BX25" s="16" t="str" cm="1">
        <f t="array" ref="BX25">IFERROR(INDEX(_xlfn.ANCHORARRAY(_xlfn.XLOOKUP($C25,'-ref_Distribution'!$B$146:$B$150,'-ref_Distribution'!$G$146:$G$150)),RIGHT(BX$1,2)),"")</f>
        <v/>
      </c>
      <c r="BY25" s="16" t="str" cm="1">
        <f t="array" ref="BY25">IFERROR(INDEX(_xlfn.ANCHORARRAY(_xlfn.XLOOKUP($C25,'-ref_Distribution'!$B$146:$B$150,'-ref_Distribution'!$G$146:$G$150)),RIGHT(BY$1,2)),"")</f>
        <v/>
      </c>
      <c r="BZ25" s="16" t="str" cm="1">
        <f t="array" ref="BZ25">IFERROR(INDEX(_xlfn.ANCHORARRAY(_xlfn.XLOOKUP($C25,'-ref_Distribution'!$B$146:$B$150,'-ref_Distribution'!$G$146:$G$150)),RIGHT(BZ$1,2)),"")</f>
        <v/>
      </c>
      <c r="CA25" s="16" t="str" cm="1">
        <f t="array" ref="CA25">IFERROR(INDEX(_xlfn.ANCHORARRAY(_xlfn.XLOOKUP($C25,'-ref_Distribution'!$B$146:$B$150,'-ref_Distribution'!$G$146:$G$150)),RIGHT(CA$1,2)),"")</f>
        <v/>
      </c>
      <c r="CB25" s="16" t="str" cm="1">
        <f t="array" ref="CB25">IFERROR(INDEX(_xlfn.ANCHORARRAY(_xlfn.XLOOKUP($C25,'-ref_Distribution'!$B$146:$B$150,'-ref_Distribution'!$G$146:$G$150)),RIGHT(CB$1,2)),"")</f>
        <v/>
      </c>
      <c r="CC25" s="16" t="str" cm="1">
        <f t="array" ref="CC25">IFERROR(INDEX(_xlfn.ANCHORARRAY(_xlfn.XLOOKUP($C25,'-ref_Distribution'!$B$146:$B$150,'-ref_Distribution'!$G$146:$G$150)),RIGHT(CC$1,2)),"")</f>
        <v/>
      </c>
      <c r="CD25" s="16" t="str" cm="1">
        <f t="array" ref="CD25">IFERROR(INDEX(_xlfn.ANCHORARRAY(_xlfn.XLOOKUP($C25,'-ref_Distribution'!$B$146:$B$150,'-ref_Distribution'!$G$146:$G$150)),RIGHT(CD$1,2)),"")</f>
        <v/>
      </c>
      <c r="CE25" s="16" t="str" cm="1">
        <f t="array" ref="CE25">IFERROR(INDEX(_xlfn.ANCHORARRAY(_xlfn.XLOOKUP($C25,'-ref_Distribution'!$B$146:$B$150,'-ref_Distribution'!$G$146:$G$150)),RIGHT(CE$1,2)),"")</f>
        <v/>
      </c>
    </row>
    <row r="26" spans="1:95" x14ac:dyDescent="0.2">
      <c r="A26" s="16">
        <v>301011</v>
      </c>
      <c r="B26" s="16" t="s">
        <v>371</v>
      </c>
      <c r="C26" s="16">
        <v>0</v>
      </c>
      <c r="D26" s="16" cm="1">
        <f t="array" ref="D26">IFERROR(INDEX(_xlfn.ANCHORARRAY(_xlfn.XLOOKUP($C26,'-ref_Distribution'!$B$146:$B$150,'-ref_Distribution'!$G$146:$G$150)),RIGHT(D$1,2)),"")</f>
        <v>709</v>
      </c>
      <c r="E26" s="16" cm="1">
        <f t="array" ref="E26">IFERROR(INDEX(_xlfn.ANCHORARRAY(_xlfn.XLOOKUP($C26,'-ref_Distribution'!$B$146:$B$150,'-ref_Distribution'!$G$146:$G$150)),RIGHT(E$1,2)),"")</f>
        <v>705</v>
      </c>
      <c r="F26" s="16" cm="1">
        <f t="array" ref="F26">IFERROR(INDEX(_xlfn.ANCHORARRAY(_xlfn.XLOOKUP($C26,'-ref_Distribution'!$B$146:$B$150,'-ref_Distribution'!$G$146:$G$150)),RIGHT(F$1,2)),"")</f>
        <v>692</v>
      </c>
      <c r="G26" s="16" cm="1">
        <f t="array" ref="G26">IFERROR(INDEX(_xlfn.ANCHORARRAY(_xlfn.XLOOKUP($C26,'-ref_Distribution'!$B$146:$B$150,'-ref_Distribution'!$G$146:$G$150)),RIGHT(G$1,2)),"")</f>
        <v>671</v>
      </c>
      <c r="H26" s="16" cm="1">
        <f t="array" ref="H26">IFERROR(INDEX(_xlfn.ANCHORARRAY(_xlfn.XLOOKUP($C26,'-ref_Distribution'!$B$146:$B$150,'-ref_Distribution'!$G$146:$G$150)),RIGHT(H$1,2)),"")</f>
        <v>643</v>
      </c>
      <c r="I26" s="16" cm="1">
        <f t="array" ref="I26">IFERROR(INDEX(_xlfn.ANCHORARRAY(_xlfn.XLOOKUP($C26,'-ref_Distribution'!$B$146:$B$150,'-ref_Distribution'!$G$146:$G$150)),RIGHT(I$1,2)),"")</f>
        <v>608</v>
      </c>
      <c r="J26" s="16" cm="1">
        <f t="array" ref="J26">IFERROR(INDEX(_xlfn.ANCHORARRAY(_xlfn.XLOOKUP($C26,'-ref_Distribution'!$B$146:$B$150,'-ref_Distribution'!$G$146:$G$150)),RIGHT(J$1,2)),"")</f>
        <v>568</v>
      </c>
      <c r="K26" s="16" cm="1">
        <f t="array" ref="K26">IFERROR(INDEX(_xlfn.ANCHORARRAY(_xlfn.XLOOKUP($C26,'-ref_Distribution'!$B$146:$B$150,'-ref_Distribution'!$G$146:$G$150)),RIGHT(K$1,2)),"")</f>
        <v>524</v>
      </c>
      <c r="L26" s="16" cm="1">
        <f t="array" ref="L26">IFERROR(INDEX(_xlfn.ANCHORARRAY(_xlfn.XLOOKUP($C26,'-ref_Distribution'!$B$146:$B$150,'-ref_Distribution'!$G$146:$G$150)),RIGHT(L$1,2)),"")</f>
        <v>478</v>
      </c>
      <c r="M26" s="16" cm="1">
        <f t="array" ref="M26">IFERROR(INDEX(_xlfn.ANCHORARRAY(_xlfn.XLOOKUP($C26,'-ref_Distribution'!$B$146:$B$150,'-ref_Distribution'!$G$146:$G$150)),RIGHT(M$1,2)),"")</f>
        <v>430</v>
      </c>
      <c r="N26" s="16" cm="1">
        <f t="array" ref="N26">IFERROR(INDEX(_xlfn.ANCHORARRAY(_xlfn.XLOOKUP($C26,'-ref_Distribution'!$B$146:$B$150,'-ref_Distribution'!$G$146:$G$150)),RIGHT(N$1,2)),"")</f>
        <v>383</v>
      </c>
      <c r="O26" s="16" cm="1">
        <f t="array" ref="O26">IFERROR(INDEX(_xlfn.ANCHORARRAY(_xlfn.XLOOKUP($C26,'-ref_Distribution'!$B$146:$B$150,'-ref_Distribution'!$G$146:$G$150)),RIGHT(O$1,2)),"")</f>
        <v>336</v>
      </c>
      <c r="P26" s="16" cm="1">
        <f t="array" ref="P26">IFERROR(INDEX(_xlfn.ANCHORARRAY(_xlfn.XLOOKUP($C26,'-ref_Distribution'!$B$146:$B$150,'-ref_Distribution'!$G$146:$G$150)),RIGHT(P$1,2)),"")</f>
        <v>292</v>
      </c>
      <c r="Q26" s="16" cm="1">
        <f t="array" ref="Q26">IFERROR(INDEX(_xlfn.ANCHORARRAY(_xlfn.XLOOKUP($C26,'-ref_Distribution'!$B$146:$B$150,'-ref_Distribution'!$G$146:$G$150)),RIGHT(Q$1,2)),"")</f>
        <v>250</v>
      </c>
      <c r="R26" s="16" cm="1">
        <f t="array" ref="R26">IFERROR(INDEX(_xlfn.ANCHORARRAY(_xlfn.XLOOKUP($C26,'-ref_Distribution'!$B$146:$B$150,'-ref_Distribution'!$G$146:$G$150)),RIGHT(R$1,2)),"")</f>
        <v>212</v>
      </c>
      <c r="S26" s="16" cm="1">
        <f t="array" ref="S26">IFERROR(INDEX(_xlfn.ANCHORARRAY(_xlfn.XLOOKUP($C26,'-ref_Distribution'!$B$146:$B$150,'-ref_Distribution'!$G$146:$G$150)),RIGHT(S$1,2)),"")</f>
        <v>177</v>
      </c>
      <c r="T26" s="16" cm="1">
        <f t="array" ref="T26">IFERROR(INDEX(_xlfn.ANCHORARRAY(_xlfn.XLOOKUP($C26,'-ref_Distribution'!$B$146:$B$150,'-ref_Distribution'!$G$146:$G$150)),RIGHT(T$1,2)),"")</f>
        <v>146</v>
      </c>
      <c r="U26" s="16" cm="1">
        <f t="array" ref="U26">IFERROR(INDEX(_xlfn.ANCHORARRAY(_xlfn.XLOOKUP($C26,'-ref_Distribution'!$B$146:$B$150,'-ref_Distribution'!$G$146:$G$150)),RIGHT(U$1,2)),"")</f>
        <v>119</v>
      </c>
      <c r="V26" s="16" cm="1">
        <f t="array" ref="V26">IFERROR(INDEX(_xlfn.ANCHORARRAY(_xlfn.XLOOKUP($C26,'-ref_Distribution'!$B$146:$B$150,'-ref_Distribution'!$G$146:$G$150)),RIGHT(V$1,2)),"")</f>
        <v>96</v>
      </c>
      <c r="W26" s="16" cm="1">
        <f t="array" ref="W26">IFERROR(INDEX(_xlfn.ANCHORARRAY(_xlfn.XLOOKUP($C26,'-ref_Distribution'!$B$146:$B$150,'-ref_Distribution'!$G$146:$G$150)),RIGHT(W$1,2)),"")</f>
        <v>76</v>
      </c>
      <c r="X26" s="16" cm="1">
        <f t="array" ref="X26">IFERROR(INDEX(_xlfn.ANCHORARRAY(_xlfn.XLOOKUP($C26,'-ref_Distribution'!$B$146:$B$150,'-ref_Distribution'!$G$146:$G$150)),RIGHT(X$1,2)),"")</f>
        <v>709</v>
      </c>
      <c r="Y26" s="16" cm="1">
        <f t="array" ref="Y26">IFERROR(INDEX(_xlfn.ANCHORARRAY(_xlfn.XLOOKUP($C26,'-ref_Distribution'!$B$146:$B$150,'-ref_Distribution'!$G$146:$G$150)),RIGHT(Y$1,2)),"")</f>
        <v>705</v>
      </c>
      <c r="Z26" s="16" cm="1">
        <f t="array" ref="Z26">IFERROR(INDEX(_xlfn.ANCHORARRAY(_xlfn.XLOOKUP($C26,'-ref_Distribution'!$B$146:$B$150,'-ref_Distribution'!$G$146:$G$150)),RIGHT(Z$1,2)),"")</f>
        <v>692</v>
      </c>
      <c r="AA26" s="16" cm="1">
        <f t="array" ref="AA26">IFERROR(INDEX(_xlfn.ANCHORARRAY(_xlfn.XLOOKUP($C26,'-ref_Distribution'!$B$146:$B$150,'-ref_Distribution'!$G$146:$G$150)),RIGHT(AA$1,2)),"")</f>
        <v>671</v>
      </c>
      <c r="AB26" s="16" cm="1">
        <f t="array" ref="AB26">IFERROR(INDEX(_xlfn.ANCHORARRAY(_xlfn.XLOOKUP($C26,'-ref_Distribution'!$B$146:$B$150,'-ref_Distribution'!$G$146:$G$150)),RIGHT(AB$1,2)),"")</f>
        <v>643</v>
      </c>
      <c r="AC26" s="16" cm="1">
        <f t="array" ref="AC26">IFERROR(INDEX(_xlfn.ANCHORARRAY(_xlfn.XLOOKUP($C26,'-ref_Distribution'!$B$146:$B$150,'-ref_Distribution'!$G$146:$G$150)),RIGHT(AC$1,2)),"")</f>
        <v>608</v>
      </c>
      <c r="AD26" s="16" cm="1">
        <f t="array" ref="AD26">IFERROR(INDEX(_xlfn.ANCHORARRAY(_xlfn.XLOOKUP($C26,'-ref_Distribution'!$B$146:$B$150,'-ref_Distribution'!$G$146:$G$150)),RIGHT(AD$1,2)),"")</f>
        <v>568</v>
      </c>
      <c r="AE26" s="16" cm="1">
        <f t="array" ref="AE26">IFERROR(INDEX(_xlfn.ANCHORARRAY(_xlfn.XLOOKUP($C26,'-ref_Distribution'!$B$146:$B$150,'-ref_Distribution'!$G$146:$G$150)),RIGHT(AE$1,2)),"")</f>
        <v>524</v>
      </c>
      <c r="AF26" s="16" cm="1">
        <f t="array" ref="AF26">IFERROR(INDEX(_xlfn.ANCHORARRAY(_xlfn.XLOOKUP($C26,'-ref_Distribution'!$B$146:$B$150,'-ref_Distribution'!$G$146:$G$150)),RIGHT(AF$1,2)),"")</f>
        <v>478</v>
      </c>
      <c r="AG26" s="16" cm="1">
        <f t="array" ref="AG26">IFERROR(INDEX(_xlfn.ANCHORARRAY(_xlfn.XLOOKUP($C26,'-ref_Distribution'!$B$146:$B$150,'-ref_Distribution'!$G$146:$G$150)),RIGHT(AG$1,2)),"")</f>
        <v>430</v>
      </c>
      <c r="AH26" s="16" cm="1">
        <f t="array" ref="AH26">IFERROR(INDEX(_xlfn.ANCHORARRAY(_xlfn.XLOOKUP($C26,'-ref_Distribution'!$B$146:$B$150,'-ref_Distribution'!$G$146:$G$150)),RIGHT(AH$1,2)),"")</f>
        <v>383</v>
      </c>
      <c r="AI26" s="16" cm="1">
        <f t="array" ref="AI26">IFERROR(INDEX(_xlfn.ANCHORARRAY(_xlfn.XLOOKUP($C26,'-ref_Distribution'!$B$146:$B$150,'-ref_Distribution'!$G$146:$G$150)),RIGHT(AI$1,2)),"")</f>
        <v>336</v>
      </c>
      <c r="AJ26" s="16" cm="1">
        <f t="array" ref="AJ26">IFERROR(INDEX(_xlfn.ANCHORARRAY(_xlfn.XLOOKUP($C26,'-ref_Distribution'!$B$146:$B$150,'-ref_Distribution'!$G$146:$G$150)),RIGHT(AJ$1,2)),"")</f>
        <v>292</v>
      </c>
      <c r="AK26" s="16" cm="1">
        <f t="array" ref="AK26">IFERROR(INDEX(_xlfn.ANCHORARRAY(_xlfn.XLOOKUP($C26,'-ref_Distribution'!$B$146:$B$150,'-ref_Distribution'!$G$146:$G$150)),RIGHT(AK$1,2)),"")</f>
        <v>250</v>
      </c>
      <c r="AL26" s="16" cm="1">
        <f t="array" ref="AL26">IFERROR(INDEX(_xlfn.ANCHORARRAY(_xlfn.XLOOKUP($C26,'-ref_Distribution'!$B$146:$B$150,'-ref_Distribution'!$G$146:$G$150)),RIGHT(AL$1,2)),"")</f>
        <v>212</v>
      </c>
      <c r="AM26" s="16" cm="1">
        <f t="array" ref="AM26">IFERROR(INDEX(_xlfn.ANCHORARRAY(_xlfn.XLOOKUP($C26,'-ref_Distribution'!$B$146:$B$150,'-ref_Distribution'!$G$146:$G$150)),RIGHT(AM$1,2)),"")</f>
        <v>177</v>
      </c>
      <c r="AN26" s="16" cm="1">
        <f t="array" ref="AN26">IFERROR(INDEX(_xlfn.ANCHORARRAY(_xlfn.XLOOKUP($C26,'-ref_Distribution'!$B$146:$B$150,'-ref_Distribution'!$G$146:$G$150)),RIGHT(AN$1,2)),"")</f>
        <v>146</v>
      </c>
      <c r="AO26" s="16" cm="1">
        <f t="array" ref="AO26">IFERROR(INDEX(_xlfn.ANCHORARRAY(_xlfn.XLOOKUP($C26,'-ref_Distribution'!$B$146:$B$150,'-ref_Distribution'!$G$146:$G$150)),RIGHT(AO$1,2)),"")</f>
        <v>119</v>
      </c>
      <c r="AP26" s="16" cm="1">
        <f t="array" ref="AP26">IFERROR(INDEX(_xlfn.ANCHORARRAY(_xlfn.XLOOKUP($C26,'-ref_Distribution'!$B$146:$B$150,'-ref_Distribution'!$G$146:$G$150)),RIGHT(AP$1,2)),"")</f>
        <v>96</v>
      </c>
      <c r="AQ26" s="16" cm="1">
        <f t="array" ref="AQ26">IFERROR(INDEX(_xlfn.ANCHORARRAY(_xlfn.XLOOKUP($C26,'-ref_Distribution'!$B$146:$B$150,'-ref_Distribution'!$G$146:$G$150)),RIGHT(AQ$1,2)),"")</f>
        <v>76</v>
      </c>
      <c r="AR26" s="16" cm="1">
        <f t="array" ref="AR26">IFERROR(INDEX(_xlfn.ANCHORARRAY(_xlfn.XLOOKUP($C26,'-ref_Distribution'!$B$146:$B$150,'-ref_Distribution'!$G$146:$G$150)),RIGHT(AR$1,2)),"")</f>
        <v>709</v>
      </c>
      <c r="AS26" s="16" cm="1">
        <f t="array" ref="AS26">IFERROR(INDEX(_xlfn.ANCHORARRAY(_xlfn.XLOOKUP($C26,'-ref_Distribution'!$B$146:$B$150,'-ref_Distribution'!$G$146:$G$150)),RIGHT(AS$1,2)),"")</f>
        <v>705</v>
      </c>
      <c r="AT26" s="16" cm="1">
        <f t="array" ref="AT26">IFERROR(INDEX(_xlfn.ANCHORARRAY(_xlfn.XLOOKUP($C26,'-ref_Distribution'!$B$146:$B$150,'-ref_Distribution'!$G$146:$G$150)),RIGHT(AT$1,2)),"")</f>
        <v>692</v>
      </c>
      <c r="AU26" s="16" cm="1">
        <f t="array" ref="AU26">IFERROR(INDEX(_xlfn.ANCHORARRAY(_xlfn.XLOOKUP($C26,'-ref_Distribution'!$B$146:$B$150,'-ref_Distribution'!$G$146:$G$150)),RIGHT(AU$1,2)),"")</f>
        <v>671</v>
      </c>
      <c r="AV26" s="16" cm="1">
        <f t="array" ref="AV26">IFERROR(INDEX(_xlfn.ANCHORARRAY(_xlfn.XLOOKUP($C26,'-ref_Distribution'!$B$146:$B$150,'-ref_Distribution'!$G$146:$G$150)),RIGHT(AV$1,2)),"")</f>
        <v>643</v>
      </c>
      <c r="AW26" s="16" cm="1">
        <f t="array" ref="AW26">IFERROR(INDEX(_xlfn.ANCHORARRAY(_xlfn.XLOOKUP($C26,'-ref_Distribution'!$B$146:$B$150,'-ref_Distribution'!$G$146:$G$150)),RIGHT(AW$1,2)),"")</f>
        <v>608</v>
      </c>
      <c r="AX26" s="16" cm="1">
        <f t="array" ref="AX26">IFERROR(INDEX(_xlfn.ANCHORARRAY(_xlfn.XLOOKUP($C26,'-ref_Distribution'!$B$146:$B$150,'-ref_Distribution'!$G$146:$G$150)),RIGHT(AX$1,2)),"")</f>
        <v>568</v>
      </c>
      <c r="AY26" s="16" cm="1">
        <f t="array" ref="AY26">IFERROR(INDEX(_xlfn.ANCHORARRAY(_xlfn.XLOOKUP($C26,'-ref_Distribution'!$B$146:$B$150,'-ref_Distribution'!$G$146:$G$150)),RIGHT(AY$1,2)),"")</f>
        <v>524</v>
      </c>
      <c r="AZ26" s="16" cm="1">
        <f t="array" ref="AZ26">IFERROR(INDEX(_xlfn.ANCHORARRAY(_xlfn.XLOOKUP($C26,'-ref_Distribution'!$B$146:$B$150,'-ref_Distribution'!$G$146:$G$150)),RIGHT(AZ$1,2)),"")</f>
        <v>478</v>
      </c>
      <c r="BA26" s="16" cm="1">
        <f t="array" ref="BA26">IFERROR(INDEX(_xlfn.ANCHORARRAY(_xlfn.XLOOKUP($C26,'-ref_Distribution'!$B$146:$B$150,'-ref_Distribution'!$G$146:$G$150)),RIGHT(BA$1,2)),"")</f>
        <v>430</v>
      </c>
      <c r="BB26" s="16" cm="1">
        <f t="array" ref="BB26">IFERROR(INDEX(_xlfn.ANCHORARRAY(_xlfn.XLOOKUP($C26,'-ref_Distribution'!$B$146:$B$150,'-ref_Distribution'!$G$146:$G$150)),RIGHT(BB$1,2)),"")</f>
        <v>383</v>
      </c>
      <c r="BC26" s="16" cm="1">
        <f t="array" ref="BC26">IFERROR(INDEX(_xlfn.ANCHORARRAY(_xlfn.XLOOKUP($C26,'-ref_Distribution'!$B$146:$B$150,'-ref_Distribution'!$G$146:$G$150)),RIGHT(BC$1,2)),"")</f>
        <v>336</v>
      </c>
      <c r="BD26" s="16" cm="1">
        <f t="array" ref="BD26">IFERROR(INDEX(_xlfn.ANCHORARRAY(_xlfn.XLOOKUP($C26,'-ref_Distribution'!$B$146:$B$150,'-ref_Distribution'!$G$146:$G$150)),RIGHT(BD$1,2)),"")</f>
        <v>292</v>
      </c>
      <c r="BE26" s="16" cm="1">
        <f t="array" ref="BE26">IFERROR(INDEX(_xlfn.ANCHORARRAY(_xlfn.XLOOKUP($C26,'-ref_Distribution'!$B$146:$B$150,'-ref_Distribution'!$G$146:$G$150)),RIGHT(BE$1,2)),"")</f>
        <v>250</v>
      </c>
      <c r="BF26" s="16" cm="1">
        <f t="array" ref="BF26">IFERROR(INDEX(_xlfn.ANCHORARRAY(_xlfn.XLOOKUP($C26,'-ref_Distribution'!$B$146:$B$150,'-ref_Distribution'!$G$146:$G$150)),RIGHT(BF$1,2)),"")</f>
        <v>212</v>
      </c>
      <c r="BG26" s="16" cm="1">
        <f t="array" ref="BG26">IFERROR(INDEX(_xlfn.ANCHORARRAY(_xlfn.XLOOKUP($C26,'-ref_Distribution'!$B$146:$B$150,'-ref_Distribution'!$G$146:$G$150)),RIGHT(BG$1,2)),"")</f>
        <v>177</v>
      </c>
      <c r="BH26" s="16" cm="1">
        <f t="array" ref="BH26">IFERROR(INDEX(_xlfn.ANCHORARRAY(_xlfn.XLOOKUP($C26,'-ref_Distribution'!$B$146:$B$150,'-ref_Distribution'!$G$146:$G$150)),RIGHT(BH$1,2)),"")</f>
        <v>146</v>
      </c>
      <c r="BI26" s="16" cm="1">
        <f t="array" ref="BI26">IFERROR(INDEX(_xlfn.ANCHORARRAY(_xlfn.XLOOKUP($C26,'-ref_Distribution'!$B$146:$B$150,'-ref_Distribution'!$G$146:$G$150)),RIGHT(BI$1,2)),"")</f>
        <v>119</v>
      </c>
      <c r="BJ26" s="16" cm="1">
        <f t="array" ref="BJ26">IFERROR(INDEX(_xlfn.ANCHORARRAY(_xlfn.XLOOKUP($C26,'-ref_Distribution'!$B$146:$B$150,'-ref_Distribution'!$G$146:$G$150)),RIGHT(BJ$1,2)),"")</f>
        <v>96</v>
      </c>
      <c r="BK26" s="16" cm="1">
        <f t="array" ref="BK26">IFERROR(INDEX(_xlfn.ANCHORARRAY(_xlfn.XLOOKUP($C26,'-ref_Distribution'!$B$146:$B$150,'-ref_Distribution'!$G$146:$G$150)),RIGHT(BK$1,2)),"")</f>
        <v>76</v>
      </c>
      <c r="BL26" s="16" cm="1">
        <f t="array" ref="BL26">IFERROR(INDEX(_xlfn.ANCHORARRAY(_xlfn.XLOOKUP($C26,'-ref_Distribution'!$B$146:$B$150,'-ref_Distribution'!$G$146:$G$150)),RIGHT(BL$1,2)),"")</f>
        <v>709</v>
      </c>
      <c r="BM26" s="16" cm="1">
        <f t="array" ref="BM26">IFERROR(INDEX(_xlfn.ANCHORARRAY(_xlfn.XLOOKUP($C26,'-ref_Distribution'!$B$146:$B$150,'-ref_Distribution'!$G$146:$G$150)),RIGHT(BM$1,2)),"")</f>
        <v>705</v>
      </c>
      <c r="BN26" s="16" cm="1">
        <f t="array" ref="BN26">IFERROR(INDEX(_xlfn.ANCHORARRAY(_xlfn.XLOOKUP($C26,'-ref_Distribution'!$B$146:$B$150,'-ref_Distribution'!$G$146:$G$150)),RIGHT(BN$1,2)),"")</f>
        <v>692</v>
      </c>
      <c r="BO26" s="16" cm="1">
        <f t="array" ref="BO26">IFERROR(INDEX(_xlfn.ANCHORARRAY(_xlfn.XLOOKUP($C26,'-ref_Distribution'!$B$146:$B$150,'-ref_Distribution'!$G$146:$G$150)),RIGHT(BO$1,2)),"")</f>
        <v>671</v>
      </c>
      <c r="BP26" s="16" cm="1">
        <f t="array" ref="BP26">IFERROR(INDEX(_xlfn.ANCHORARRAY(_xlfn.XLOOKUP($C26,'-ref_Distribution'!$B$146:$B$150,'-ref_Distribution'!$G$146:$G$150)),RIGHT(BP$1,2)),"")</f>
        <v>643</v>
      </c>
      <c r="BQ26" s="16" cm="1">
        <f t="array" ref="BQ26">IFERROR(INDEX(_xlfn.ANCHORARRAY(_xlfn.XLOOKUP($C26,'-ref_Distribution'!$B$146:$B$150,'-ref_Distribution'!$G$146:$G$150)),RIGHT(BQ$1,2)),"")</f>
        <v>608</v>
      </c>
      <c r="BR26" s="16" cm="1">
        <f t="array" ref="BR26">IFERROR(INDEX(_xlfn.ANCHORARRAY(_xlfn.XLOOKUP($C26,'-ref_Distribution'!$B$146:$B$150,'-ref_Distribution'!$G$146:$G$150)),RIGHT(BR$1,2)),"")</f>
        <v>568</v>
      </c>
      <c r="BS26" s="16" cm="1">
        <f t="array" ref="BS26">IFERROR(INDEX(_xlfn.ANCHORARRAY(_xlfn.XLOOKUP($C26,'-ref_Distribution'!$B$146:$B$150,'-ref_Distribution'!$G$146:$G$150)),RIGHT(BS$1,2)),"")</f>
        <v>524</v>
      </c>
      <c r="BT26" s="16" cm="1">
        <f t="array" ref="BT26">IFERROR(INDEX(_xlfn.ANCHORARRAY(_xlfn.XLOOKUP($C26,'-ref_Distribution'!$B$146:$B$150,'-ref_Distribution'!$G$146:$G$150)),RIGHT(BT$1,2)),"")</f>
        <v>478</v>
      </c>
      <c r="BU26" s="16" cm="1">
        <f t="array" ref="BU26">IFERROR(INDEX(_xlfn.ANCHORARRAY(_xlfn.XLOOKUP($C26,'-ref_Distribution'!$B$146:$B$150,'-ref_Distribution'!$G$146:$G$150)),RIGHT(BU$1,2)),"")</f>
        <v>430</v>
      </c>
      <c r="BV26" s="16" cm="1">
        <f t="array" ref="BV26">IFERROR(INDEX(_xlfn.ANCHORARRAY(_xlfn.XLOOKUP($C26,'-ref_Distribution'!$B$146:$B$150,'-ref_Distribution'!$G$146:$G$150)),RIGHT(BV$1,2)),"")</f>
        <v>383</v>
      </c>
      <c r="BW26" s="16" cm="1">
        <f t="array" ref="BW26">IFERROR(INDEX(_xlfn.ANCHORARRAY(_xlfn.XLOOKUP($C26,'-ref_Distribution'!$B$146:$B$150,'-ref_Distribution'!$G$146:$G$150)),RIGHT(BW$1,2)),"")</f>
        <v>336</v>
      </c>
      <c r="BX26" s="16" cm="1">
        <f t="array" ref="BX26">IFERROR(INDEX(_xlfn.ANCHORARRAY(_xlfn.XLOOKUP($C26,'-ref_Distribution'!$B$146:$B$150,'-ref_Distribution'!$G$146:$G$150)),RIGHT(BX$1,2)),"")</f>
        <v>292</v>
      </c>
      <c r="BY26" s="16" cm="1">
        <f t="array" ref="BY26">IFERROR(INDEX(_xlfn.ANCHORARRAY(_xlfn.XLOOKUP($C26,'-ref_Distribution'!$B$146:$B$150,'-ref_Distribution'!$G$146:$G$150)),RIGHT(BY$1,2)),"")</f>
        <v>250</v>
      </c>
      <c r="BZ26" s="16" cm="1">
        <f t="array" ref="BZ26">IFERROR(INDEX(_xlfn.ANCHORARRAY(_xlfn.XLOOKUP($C26,'-ref_Distribution'!$B$146:$B$150,'-ref_Distribution'!$G$146:$G$150)),RIGHT(BZ$1,2)),"")</f>
        <v>212</v>
      </c>
      <c r="CA26" s="16" cm="1">
        <f t="array" ref="CA26">IFERROR(INDEX(_xlfn.ANCHORARRAY(_xlfn.XLOOKUP($C26,'-ref_Distribution'!$B$146:$B$150,'-ref_Distribution'!$G$146:$G$150)),RIGHT(CA$1,2)),"")</f>
        <v>177</v>
      </c>
      <c r="CB26" s="16" cm="1">
        <f t="array" ref="CB26">IFERROR(INDEX(_xlfn.ANCHORARRAY(_xlfn.XLOOKUP($C26,'-ref_Distribution'!$B$146:$B$150,'-ref_Distribution'!$G$146:$G$150)),RIGHT(CB$1,2)),"")</f>
        <v>146</v>
      </c>
      <c r="CC26" s="16" cm="1">
        <f t="array" ref="CC26">IFERROR(INDEX(_xlfn.ANCHORARRAY(_xlfn.XLOOKUP($C26,'-ref_Distribution'!$B$146:$B$150,'-ref_Distribution'!$G$146:$G$150)),RIGHT(CC$1,2)),"")</f>
        <v>119</v>
      </c>
      <c r="CD26" s="16" cm="1">
        <f t="array" ref="CD26">IFERROR(INDEX(_xlfn.ANCHORARRAY(_xlfn.XLOOKUP($C26,'-ref_Distribution'!$B$146:$B$150,'-ref_Distribution'!$G$146:$G$150)),RIGHT(CD$1,2)),"")</f>
        <v>96</v>
      </c>
      <c r="CE26" s="16" cm="1">
        <f t="array" ref="CE26">IFERROR(INDEX(_xlfn.ANCHORARRAY(_xlfn.XLOOKUP($C26,'-ref_Distribution'!$B$146:$B$150,'-ref_Distribution'!$G$146:$G$150)),RIGHT(CE$1,2)),"")</f>
        <v>76</v>
      </c>
    </row>
    <row r="27" spans="1:95" x14ac:dyDescent="0.2">
      <c r="A27" s="16">
        <v>301012</v>
      </c>
      <c r="B27" s="16" t="s">
        <v>371</v>
      </c>
      <c r="C27" s="16">
        <v>1</v>
      </c>
      <c r="D27" s="16" cm="1">
        <f t="array" ref="D27">IFERROR(INDEX(_xlfn.ANCHORARRAY(_xlfn.XLOOKUP($C27,'-ref_Distribution'!$B$146:$B$150,'-ref_Distribution'!$G$146:$G$150)),RIGHT(D$1,2)),"")</f>
        <v>337</v>
      </c>
      <c r="E27" s="16" cm="1">
        <f t="array" ref="E27">IFERROR(INDEX(_xlfn.ANCHORARRAY(_xlfn.XLOOKUP($C27,'-ref_Distribution'!$B$146:$B$150,'-ref_Distribution'!$G$146:$G$150)),RIGHT(E$1,2)),"")</f>
        <v>364</v>
      </c>
      <c r="F27" s="16" cm="1">
        <f t="array" ref="F27">IFERROR(INDEX(_xlfn.ANCHORARRAY(_xlfn.XLOOKUP($C27,'-ref_Distribution'!$B$146:$B$150,'-ref_Distribution'!$G$146:$G$150)),RIGHT(F$1,2)),"")</f>
        <v>386</v>
      </c>
      <c r="G27" s="16" cm="1">
        <f t="array" ref="G27">IFERROR(INDEX(_xlfn.ANCHORARRAY(_xlfn.XLOOKUP($C27,'-ref_Distribution'!$B$146:$B$150,'-ref_Distribution'!$G$146:$G$150)),RIGHT(G$1,2)),"")</f>
        <v>403</v>
      </c>
      <c r="H27" s="16" cm="1">
        <f t="array" ref="H27">IFERROR(INDEX(_xlfn.ANCHORARRAY(_xlfn.XLOOKUP($C27,'-ref_Distribution'!$B$146:$B$150,'-ref_Distribution'!$G$146:$G$150)),RIGHT(H$1,2)),"")</f>
        <v>414</v>
      </c>
      <c r="I27" s="16" cm="1">
        <f t="array" ref="I27">IFERROR(INDEX(_xlfn.ANCHORARRAY(_xlfn.XLOOKUP($C27,'-ref_Distribution'!$B$146:$B$150,'-ref_Distribution'!$G$146:$G$150)),RIGHT(I$1,2)),"")</f>
        <v>417</v>
      </c>
      <c r="J27" s="16" cm="1">
        <f t="array" ref="J27">IFERROR(INDEX(_xlfn.ANCHORARRAY(_xlfn.XLOOKUP($C27,'-ref_Distribution'!$B$146:$B$150,'-ref_Distribution'!$G$146:$G$150)),RIGHT(J$1,2)),"")</f>
        <v>414</v>
      </c>
      <c r="K27" s="16" cm="1">
        <f t="array" ref="K27">IFERROR(INDEX(_xlfn.ANCHORARRAY(_xlfn.XLOOKUP($C27,'-ref_Distribution'!$B$146:$B$150,'-ref_Distribution'!$G$146:$G$150)),RIGHT(K$1,2)),"")</f>
        <v>403</v>
      </c>
      <c r="L27" s="16" cm="1">
        <f t="array" ref="L27">IFERROR(INDEX(_xlfn.ANCHORARRAY(_xlfn.XLOOKUP($C27,'-ref_Distribution'!$B$146:$B$150,'-ref_Distribution'!$G$146:$G$150)),RIGHT(L$1,2)),"")</f>
        <v>386</v>
      </c>
      <c r="M27" s="16" cm="1">
        <f t="array" ref="M27">IFERROR(INDEX(_xlfn.ANCHORARRAY(_xlfn.XLOOKUP($C27,'-ref_Distribution'!$B$146:$B$150,'-ref_Distribution'!$G$146:$G$150)),RIGHT(M$1,2)),"")</f>
        <v>364</v>
      </c>
      <c r="N27" s="16" cm="1">
        <f t="array" ref="N27">IFERROR(INDEX(_xlfn.ANCHORARRAY(_xlfn.XLOOKUP($C27,'-ref_Distribution'!$B$146:$B$150,'-ref_Distribution'!$G$146:$G$150)),RIGHT(N$1,2)),"")</f>
        <v>337</v>
      </c>
      <c r="O27" s="16" cm="1">
        <f t="array" ref="O27">IFERROR(INDEX(_xlfn.ANCHORARRAY(_xlfn.XLOOKUP($C27,'-ref_Distribution'!$B$146:$B$150,'-ref_Distribution'!$G$146:$G$150)),RIGHT(O$1,2)),"")</f>
        <v>307</v>
      </c>
      <c r="P27" s="16" cm="1">
        <f t="array" ref="P27">IFERROR(INDEX(_xlfn.ANCHORARRAY(_xlfn.XLOOKUP($C27,'-ref_Distribution'!$B$146:$B$150,'-ref_Distribution'!$G$146:$G$150)),RIGHT(P$1,2)),"")</f>
        <v>274</v>
      </c>
      <c r="Q27" s="16" cm="1">
        <f t="array" ref="Q27">IFERROR(INDEX(_xlfn.ANCHORARRAY(_xlfn.XLOOKUP($C27,'-ref_Distribution'!$B$146:$B$150,'-ref_Distribution'!$G$146:$G$150)),RIGHT(Q$1,2)),"")</f>
        <v>241</v>
      </c>
      <c r="R27" s="16" cm="1">
        <f t="array" ref="R27">IFERROR(INDEX(_xlfn.ANCHORARRAY(_xlfn.XLOOKUP($C27,'-ref_Distribution'!$B$146:$B$150,'-ref_Distribution'!$G$146:$G$150)),RIGHT(R$1,2)),"")</f>
        <v>209</v>
      </c>
      <c r="S27" s="16" cm="1">
        <f t="array" ref="S27">IFERROR(INDEX(_xlfn.ANCHORARRAY(_xlfn.XLOOKUP($C27,'-ref_Distribution'!$B$146:$B$150,'-ref_Distribution'!$G$146:$G$150)),RIGHT(S$1,2)),"")</f>
        <v>178</v>
      </c>
      <c r="T27" s="16" cm="1">
        <f t="array" ref="T27">IFERROR(INDEX(_xlfn.ANCHORARRAY(_xlfn.XLOOKUP($C27,'-ref_Distribution'!$B$146:$B$150,'-ref_Distribution'!$G$146:$G$150)),RIGHT(T$1,2)),"")</f>
        <v>148</v>
      </c>
      <c r="U27" s="16" cm="1">
        <f t="array" ref="U27">IFERROR(INDEX(_xlfn.ANCHORARRAY(_xlfn.XLOOKUP($C27,'-ref_Distribution'!$B$146:$B$150,'-ref_Distribution'!$G$146:$G$150)),RIGHT(U$1,2)),"")</f>
        <v>122</v>
      </c>
      <c r="V27" s="16" cm="1">
        <f t="array" ref="V27">IFERROR(INDEX(_xlfn.ANCHORARRAY(_xlfn.XLOOKUP($C27,'-ref_Distribution'!$B$146:$B$150,'-ref_Distribution'!$G$146:$G$150)),RIGHT(V$1,2)),"")</f>
        <v>98</v>
      </c>
      <c r="W27" s="16" cm="1">
        <f t="array" ref="W27">IFERROR(INDEX(_xlfn.ANCHORARRAY(_xlfn.XLOOKUP($C27,'-ref_Distribution'!$B$146:$B$150,'-ref_Distribution'!$G$146:$G$150)),RIGHT(W$1,2)),"")</f>
        <v>78</v>
      </c>
      <c r="X27" s="16" cm="1">
        <f t="array" ref="X27">IFERROR(INDEX(_xlfn.ANCHORARRAY(_xlfn.XLOOKUP($C27,'-ref_Distribution'!$B$146:$B$150,'-ref_Distribution'!$G$146:$G$150)),RIGHT(X$1,2)),"")</f>
        <v>337</v>
      </c>
      <c r="Y27" s="16" cm="1">
        <f t="array" ref="Y27">IFERROR(INDEX(_xlfn.ANCHORARRAY(_xlfn.XLOOKUP($C27,'-ref_Distribution'!$B$146:$B$150,'-ref_Distribution'!$G$146:$G$150)),RIGHT(Y$1,2)),"")</f>
        <v>364</v>
      </c>
      <c r="Z27" s="16" cm="1">
        <f t="array" ref="Z27">IFERROR(INDEX(_xlfn.ANCHORARRAY(_xlfn.XLOOKUP($C27,'-ref_Distribution'!$B$146:$B$150,'-ref_Distribution'!$G$146:$G$150)),RIGHT(Z$1,2)),"")</f>
        <v>386</v>
      </c>
      <c r="AA27" s="16" cm="1">
        <f t="array" ref="AA27">IFERROR(INDEX(_xlfn.ANCHORARRAY(_xlfn.XLOOKUP($C27,'-ref_Distribution'!$B$146:$B$150,'-ref_Distribution'!$G$146:$G$150)),RIGHT(AA$1,2)),"")</f>
        <v>403</v>
      </c>
      <c r="AB27" s="16" cm="1">
        <f t="array" ref="AB27">IFERROR(INDEX(_xlfn.ANCHORARRAY(_xlfn.XLOOKUP($C27,'-ref_Distribution'!$B$146:$B$150,'-ref_Distribution'!$G$146:$G$150)),RIGHT(AB$1,2)),"")</f>
        <v>414</v>
      </c>
      <c r="AC27" s="16" cm="1">
        <f t="array" ref="AC27">IFERROR(INDEX(_xlfn.ANCHORARRAY(_xlfn.XLOOKUP($C27,'-ref_Distribution'!$B$146:$B$150,'-ref_Distribution'!$G$146:$G$150)),RIGHT(AC$1,2)),"")</f>
        <v>417</v>
      </c>
      <c r="AD27" s="16" cm="1">
        <f t="array" ref="AD27">IFERROR(INDEX(_xlfn.ANCHORARRAY(_xlfn.XLOOKUP($C27,'-ref_Distribution'!$B$146:$B$150,'-ref_Distribution'!$G$146:$G$150)),RIGHT(AD$1,2)),"")</f>
        <v>414</v>
      </c>
      <c r="AE27" s="16" cm="1">
        <f t="array" ref="AE27">IFERROR(INDEX(_xlfn.ANCHORARRAY(_xlfn.XLOOKUP($C27,'-ref_Distribution'!$B$146:$B$150,'-ref_Distribution'!$G$146:$G$150)),RIGHT(AE$1,2)),"")</f>
        <v>403</v>
      </c>
      <c r="AF27" s="16" cm="1">
        <f t="array" ref="AF27">IFERROR(INDEX(_xlfn.ANCHORARRAY(_xlfn.XLOOKUP($C27,'-ref_Distribution'!$B$146:$B$150,'-ref_Distribution'!$G$146:$G$150)),RIGHT(AF$1,2)),"")</f>
        <v>386</v>
      </c>
      <c r="AG27" s="16" cm="1">
        <f t="array" ref="AG27">IFERROR(INDEX(_xlfn.ANCHORARRAY(_xlfn.XLOOKUP($C27,'-ref_Distribution'!$B$146:$B$150,'-ref_Distribution'!$G$146:$G$150)),RIGHT(AG$1,2)),"")</f>
        <v>364</v>
      </c>
      <c r="AH27" s="16" cm="1">
        <f t="array" ref="AH27">IFERROR(INDEX(_xlfn.ANCHORARRAY(_xlfn.XLOOKUP($C27,'-ref_Distribution'!$B$146:$B$150,'-ref_Distribution'!$G$146:$G$150)),RIGHT(AH$1,2)),"")</f>
        <v>337</v>
      </c>
      <c r="AI27" s="16" cm="1">
        <f t="array" ref="AI27">IFERROR(INDEX(_xlfn.ANCHORARRAY(_xlfn.XLOOKUP($C27,'-ref_Distribution'!$B$146:$B$150,'-ref_Distribution'!$G$146:$G$150)),RIGHT(AI$1,2)),"")</f>
        <v>307</v>
      </c>
      <c r="AJ27" s="16" cm="1">
        <f t="array" ref="AJ27">IFERROR(INDEX(_xlfn.ANCHORARRAY(_xlfn.XLOOKUP($C27,'-ref_Distribution'!$B$146:$B$150,'-ref_Distribution'!$G$146:$G$150)),RIGHT(AJ$1,2)),"")</f>
        <v>274</v>
      </c>
      <c r="AK27" s="16" cm="1">
        <f t="array" ref="AK27">IFERROR(INDEX(_xlfn.ANCHORARRAY(_xlfn.XLOOKUP($C27,'-ref_Distribution'!$B$146:$B$150,'-ref_Distribution'!$G$146:$G$150)),RIGHT(AK$1,2)),"")</f>
        <v>241</v>
      </c>
      <c r="AL27" s="16" cm="1">
        <f t="array" ref="AL27">IFERROR(INDEX(_xlfn.ANCHORARRAY(_xlfn.XLOOKUP($C27,'-ref_Distribution'!$B$146:$B$150,'-ref_Distribution'!$G$146:$G$150)),RIGHT(AL$1,2)),"")</f>
        <v>209</v>
      </c>
      <c r="AM27" s="16" cm="1">
        <f t="array" ref="AM27">IFERROR(INDEX(_xlfn.ANCHORARRAY(_xlfn.XLOOKUP($C27,'-ref_Distribution'!$B$146:$B$150,'-ref_Distribution'!$G$146:$G$150)),RIGHT(AM$1,2)),"")</f>
        <v>178</v>
      </c>
      <c r="AN27" s="16" cm="1">
        <f t="array" ref="AN27">IFERROR(INDEX(_xlfn.ANCHORARRAY(_xlfn.XLOOKUP($C27,'-ref_Distribution'!$B$146:$B$150,'-ref_Distribution'!$G$146:$G$150)),RIGHT(AN$1,2)),"")</f>
        <v>148</v>
      </c>
      <c r="AO27" s="16" cm="1">
        <f t="array" ref="AO27">IFERROR(INDEX(_xlfn.ANCHORARRAY(_xlfn.XLOOKUP($C27,'-ref_Distribution'!$B$146:$B$150,'-ref_Distribution'!$G$146:$G$150)),RIGHT(AO$1,2)),"")</f>
        <v>122</v>
      </c>
      <c r="AP27" s="16" cm="1">
        <f t="array" ref="AP27">IFERROR(INDEX(_xlfn.ANCHORARRAY(_xlfn.XLOOKUP($C27,'-ref_Distribution'!$B$146:$B$150,'-ref_Distribution'!$G$146:$G$150)),RIGHT(AP$1,2)),"")</f>
        <v>98</v>
      </c>
      <c r="AQ27" s="16" cm="1">
        <f t="array" ref="AQ27">IFERROR(INDEX(_xlfn.ANCHORARRAY(_xlfn.XLOOKUP($C27,'-ref_Distribution'!$B$146:$B$150,'-ref_Distribution'!$G$146:$G$150)),RIGHT(AQ$1,2)),"")</f>
        <v>78</v>
      </c>
      <c r="AR27" s="16" cm="1">
        <f t="array" ref="AR27">IFERROR(INDEX(_xlfn.ANCHORARRAY(_xlfn.XLOOKUP($C27,'-ref_Distribution'!$B$146:$B$150,'-ref_Distribution'!$G$146:$G$150)),RIGHT(AR$1,2)),"")</f>
        <v>337</v>
      </c>
      <c r="AS27" s="16" cm="1">
        <f t="array" ref="AS27">IFERROR(INDEX(_xlfn.ANCHORARRAY(_xlfn.XLOOKUP($C27,'-ref_Distribution'!$B$146:$B$150,'-ref_Distribution'!$G$146:$G$150)),RIGHT(AS$1,2)),"")</f>
        <v>364</v>
      </c>
      <c r="AT27" s="16" cm="1">
        <f t="array" ref="AT27">IFERROR(INDEX(_xlfn.ANCHORARRAY(_xlfn.XLOOKUP($C27,'-ref_Distribution'!$B$146:$B$150,'-ref_Distribution'!$G$146:$G$150)),RIGHT(AT$1,2)),"")</f>
        <v>386</v>
      </c>
      <c r="AU27" s="16" cm="1">
        <f t="array" ref="AU27">IFERROR(INDEX(_xlfn.ANCHORARRAY(_xlfn.XLOOKUP($C27,'-ref_Distribution'!$B$146:$B$150,'-ref_Distribution'!$G$146:$G$150)),RIGHT(AU$1,2)),"")</f>
        <v>403</v>
      </c>
      <c r="AV27" s="16" cm="1">
        <f t="array" ref="AV27">IFERROR(INDEX(_xlfn.ANCHORARRAY(_xlfn.XLOOKUP($C27,'-ref_Distribution'!$B$146:$B$150,'-ref_Distribution'!$G$146:$G$150)),RIGHT(AV$1,2)),"")</f>
        <v>414</v>
      </c>
      <c r="AW27" s="16" cm="1">
        <f t="array" ref="AW27">IFERROR(INDEX(_xlfn.ANCHORARRAY(_xlfn.XLOOKUP($C27,'-ref_Distribution'!$B$146:$B$150,'-ref_Distribution'!$G$146:$G$150)),RIGHT(AW$1,2)),"")</f>
        <v>417</v>
      </c>
      <c r="AX27" s="16" cm="1">
        <f t="array" ref="AX27">IFERROR(INDEX(_xlfn.ANCHORARRAY(_xlfn.XLOOKUP($C27,'-ref_Distribution'!$B$146:$B$150,'-ref_Distribution'!$G$146:$G$150)),RIGHT(AX$1,2)),"")</f>
        <v>414</v>
      </c>
      <c r="AY27" s="16" cm="1">
        <f t="array" ref="AY27">IFERROR(INDEX(_xlfn.ANCHORARRAY(_xlfn.XLOOKUP($C27,'-ref_Distribution'!$B$146:$B$150,'-ref_Distribution'!$G$146:$G$150)),RIGHT(AY$1,2)),"")</f>
        <v>403</v>
      </c>
      <c r="AZ27" s="16" cm="1">
        <f t="array" ref="AZ27">IFERROR(INDEX(_xlfn.ANCHORARRAY(_xlfn.XLOOKUP($C27,'-ref_Distribution'!$B$146:$B$150,'-ref_Distribution'!$G$146:$G$150)),RIGHT(AZ$1,2)),"")</f>
        <v>386</v>
      </c>
      <c r="BA27" s="16" cm="1">
        <f t="array" ref="BA27">IFERROR(INDEX(_xlfn.ANCHORARRAY(_xlfn.XLOOKUP($C27,'-ref_Distribution'!$B$146:$B$150,'-ref_Distribution'!$G$146:$G$150)),RIGHT(BA$1,2)),"")</f>
        <v>364</v>
      </c>
      <c r="BB27" s="16" cm="1">
        <f t="array" ref="BB27">IFERROR(INDEX(_xlfn.ANCHORARRAY(_xlfn.XLOOKUP($C27,'-ref_Distribution'!$B$146:$B$150,'-ref_Distribution'!$G$146:$G$150)),RIGHT(BB$1,2)),"")</f>
        <v>337</v>
      </c>
      <c r="BC27" s="16" cm="1">
        <f t="array" ref="BC27">IFERROR(INDEX(_xlfn.ANCHORARRAY(_xlfn.XLOOKUP($C27,'-ref_Distribution'!$B$146:$B$150,'-ref_Distribution'!$G$146:$G$150)),RIGHT(BC$1,2)),"")</f>
        <v>307</v>
      </c>
      <c r="BD27" s="16" cm="1">
        <f t="array" ref="BD27">IFERROR(INDEX(_xlfn.ANCHORARRAY(_xlfn.XLOOKUP($C27,'-ref_Distribution'!$B$146:$B$150,'-ref_Distribution'!$G$146:$G$150)),RIGHT(BD$1,2)),"")</f>
        <v>274</v>
      </c>
      <c r="BE27" s="16" cm="1">
        <f t="array" ref="BE27">IFERROR(INDEX(_xlfn.ANCHORARRAY(_xlfn.XLOOKUP($C27,'-ref_Distribution'!$B$146:$B$150,'-ref_Distribution'!$G$146:$G$150)),RIGHT(BE$1,2)),"")</f>
        <v>241</v>
      </c>
      <c r="BF27" s="16" cm="1">
        <f t="array" ref="BF27">IFERROR(INDEX(_xlfn.ANCHORARRAY(_xlfn.XLOOKUP($C27,'-ref_Distribution'!$B$146:$B$150,'-ref_Distribution'!$G$146:$G$150)),RIGHT(BF$1,2)),"")</f>
        <v>209</v>
      </c>
      <c r="BG27" s="16" cm="1">
        <f t="array" ref="BG27">IFERROR(INDEX(_xlfn.ANCHORARRAY(_xlfn.XLOOKUP($C27,'-ref_Distribution'!$B$146:$B$150,'-ref_Distribution'!$G$146:$G$150)),RIGHT(BG$1,2)),"")</f>
        <v>178</v>
      </c>
      <c r="BH27" s="16" cm="1">
        <f t="array" ref="BH27">IFERROR(INDEX(_xlfn.ANCHORARRAY(_xlfn.XLOOKUP($C27,'-ref_Distribution'!$B$146:$B$150,'-ref_Distribution'!$G$146:$G$150)),RIGHT(BH$1,2)),"")</f>
        <v>148</v>
      </c>
      <c r="BI27" s="16" cm="1">
        <f t="array" ref="BI27">IFERROR(INDEX(_xlfn.ANCHORARRAY(_xlfn.XLOOKUP($C27,'-ref_Distribution'!$B$146:$B$150,'-ref_Distribution'!$G$146:$G$150)),RIGHT(BI$1,2)),"")</f>
        <v>122</v>
      </c>
      <c r="BJ27" s="16" cm="1">
        <f t="array" ref="BJ27">IFERROR(INDEX(_xlfn.ANCHORARRAY(_xlfn.XLOOKUP($C27,'-ref_Distribution'!$B$146:$B$150,'-ref_Distribution'!$G$146:$G$150)),RIGHT(BJ$1,2)),"")</f>
        <v>98</v>
      </c>
      <c r="BK27" s="16" cm="1">
        <f t="array" ref="BK27">IFERROR(INDEX(_xlfn.ANCHORARRAY(_xlfn.XLOOKUP($C27,'-ref_Distribution'!$B$146:$B$150,'-ref_Distribution'!$G$146:$G$150)),RIGHT(BK$1,2)),"")</f>
        <v>78</v>
      </c>
      <c r="BL27" s="16" cm="1">
        <f t="array" ref="BL27">IFERROR(INDEX(_xlfn.ANCHORARRAY(_xlfn.XLOOKUP($C27,'-ref_Distribution'!$B$146:$B$150,'-ref_Distribution'!$G$146:$G$150)),RIGHT(BL$1,2)),"")</f>
        <v>337</v>
      </c>
      <c r="BM27" s="16" cm="1">
        <f t="array" ref="BM27">IFERROR(INDEX(_xlfn.ANCHORARRAY(_xlfn.XLOOKUP($C27,'-ref_Distribution'!$B$146:$B$150,'-ref_Distribution'!$G$146:$G$150)),RIGHT(BM$1,2)),"")</f>
        <v>364</v>
      </c>
      <c r="BN27" s="16" cm="1">
        <f t="array" ref="BN27">IFERROR(INDEX(_xlfn.ANCHORARRAY(_xlfn.XLOOKUP($C27,'-ref_Distribution'!$B$146:$B$150,'-ref_Distribution'!$G$146:$G$150)),RIGHT(BN$1,2)),"")</f>
        <v>386</v>
      </c>
      <c r="BO27" s="16" cm="1">
        <f t="array" ref="BO27">IFERROR(INDEX(_xlfn.ANCHORARRAY(_xlfn.XLOOKUP($C27,'-ref_Distribution'!$B$146:$B$150,'-ref_Distribution'!$G$146:$G$150)),RIGHT(BO$1,2)),"")</f>
        <v>403</v>
      </c>
      <c r="BP27" s="16" cm="1">
        <f t="array" ref="BP27">IFERROR(INDEX(_xlfn.ANCHORARRAY(_xlfn.XLOOKUP($C27,'-ref_Distribution'!$B$146:$B$150,'-ref_Distribution'!$G$146:$G$150)),RIGHT(BP$1,2)),"")</f>
        <v>414</v>
      </c>
      <c r="BQ27" s="16" cm="1">
        <f t="array" ref="BQ27">IFERROR(INDEX(_xlfn.ANCHORARRAY(_xlfn.XLOOKUP($C27,'-ref_Distribution'!$B$146:$B$150,'-ref_Distribution'!$G$146:$G$150)),RIGHT(BQ$1,2)),"")</f>
        <v>417</v>
      </c>
      <c r="BR27" s="16" cm="1">
        <f t="array" ref="BR27">IFERROR(INDEX(_xlfn.ANCHORARRAY(_xlfn.XLOOKUP($C27,'-ref_Distribution'!$B$146:$B$150,'-ref_Distribution'!$G$146:$G$150)),RIGHT(BR$1,2)),"")</f>
        <v>414</v>
      </c>
      <c r="BS27" s="16" cm="1">
        <f t="array" ref="BS27">IFERROR(INDEX(_xlfn.ANCHORARRAY(_xlfn.XLOOKUP($C27,'-ref_Distribution'!$B$146:$B$150,'-ref_Distribution'!$G$146:$G$150)),RIGHT(BS$1,2)),"")</f>
        <v>403</v>
      </c>
      <c r="BT27" s="16" cm="1">
        <f t="array" ref="BT27">IFERROR(INDEX(_xlfn.ANCHORARRAY(_xlfn.XLOOKUP($C27,'-ref_Distribution'!$B$146:$B$150,'-ref_Distribution'!$G$146:$G$150)),RIGHT(BT$1,2)),"")</f>
        <v>386</v>
      </c>
      <c r="BU27" s="16" cm="1">
        <f t="array" ref="BU27">IFERROR(INDEX(_xlfn.ANCHORARRAY(_xlfn.XLOOKUP($C27,'-ref_Distribution'!$B$146:$B$150,'-ref_Distribution'!$G$146:$G$150)),RIGHT(BU$1,2)),"")</f>
        <v>364</v>
      </c>
      <c r="BV27" s="16" cm="1">
        <f t="array" ref="BV27">IFERROR(INDEX(_xlfn.ANCHORARRAY(_xlfn.XLOOKUP($C27,'-ref_Distribution'!$B$146:$B$150,'-ref_Distribution'!$G$146:$G$150)),RIGHT(BV$1,2)),"")</f>
        <v>337</v>
      </c>
      <c r="BW27" s="16" cm="1">
        <f t="array" ref="BW27">IFERROR(INDEX(_xlfn.ANCHORARRAY(_xlfn.XLOOKUP($C27,'-ref_Distribution'!$B$146:$B$150,'-ref_Distribution'!$G$146:$G$150)),RIGHT(BW$1,2)),"")</f>
        <v>307</v>
      </c>
      <c r="BX27" s="16" cm="1">
        <f t="array" ref="BX27">IFERROR(INDEX(_xlfn.ANCHORARRAY(_xlfn.XLOOKUP($C27,'-ref_Distribution'!$B$146:$B$150,'-ref_Distribution'!$G$146:$G$150)),RIGHT(BX$1,2)),"")</f>
        <v>274</v>
      </c>
      <c r="BY27" s="16" cm="1">
        <f t="array" ref="BY27">IFERROR(INDEX(_xlfn.ANCHORARRAY(_xlfn.XLOOKUP($C27,'-ref_Distribution'!$B$146:$B$150,'-ref_Distribution'!$G$146:$G$150)),RIGHT(BY$1,2)),"")</f>
        <v>241</v>
      </c>
      <c r="BZ27" s="16" cm="1">
        <f t="array" ref="BZ27">IFERROR(INDEX(_xlfn.ANCHORARRAY(_xlfn.XLOOKUP($C27,'-ref_Distribution'!$B$146:$B$150,'-ref_Distribution'!$G$146:$G$150)),RIGHT(BZ$1,2)),"")</f>
        <v>209</v>
      </c>
      <c r="CA27" s="16" cm="1">
        <f t="array" ref="CA27">IFERROR(INDEX(_xlfn.ANCHORARRAY(_xlfn.XLOOKUP($C27,'-ref_Distribution'!$B$146:$B$150,'-ref_Distribution'!$G$146:$G$150)),RIGHT(CA$1,2)),"")</f>
        <v>178</v>
      </c>
      <c r="CB27" s="16" cm="1">
        <f t="array" ref="CB27">IFERROR(INDEX(_xlfn.ANCHORARRAY(_xlfn.XLOOKUP($C27,'-ref_Distribution'!$B$146:$B$150,'-ref_Distribution'!$G$146:$G$150)),RIGHT(CB$1,2)),"")</f>
        <v>148</v>
      </c>
      <c r="CC27" s="16" cm="1">
        <f t="array" ref="CC27">IFERROR(INDEX(_xlfn.ANCHORARRAY(_xlfn.XLOOKUP($C27,'-ref_Distribution'!$B$146:$B$150,'-ref_Distribution'!$G$146:$G$150)),RIGHT(CC$1,2)),"")</f>
        <v>122</v>
      </c>
      <c r="CD27" s="16" cm="1">
        <f t="array" ref="CD27">IFERROR(INDEX(_xlfn.ANCHORARRAY(_xlfn.XLOOKUP($C27,'-ref_Distribution'!$B$146:$B$150,'-ref_Distribution'!$G$146:$G$150)),RIGHT(CD$1,2)),"")</f>
        <v>98</v>
      </c>
      <c r="CE27" s="16" cm="1">
        <f t="array" ref="CE27">IFERROR(INDEX(_xlfn.ANCHORARRAY(_xlfn.XLOOKUP($C27,'-ref_Distribution'!$B$146:$B$150,'-ref_Distribution'!$G$146:$G$150)),RIGHT(CE$1,2)),"")</f>
        <v>78</v>
      </c>
    </row>
    <row r="28" spans="1:95" x14ac:dyDescent="0.2">
      <c r="A28" s="16">
        <v>301013</v>
      </c>
      <c r="B28" s="16" t="s">
        <v>371</v>
      </c>
      <c r="C28" s="16">
        <v>2</v>
      </c>
      <c r="D28" s="16" cm="1">
        <f t="array" ref="D28">IFERROR(INDEX(_xlfn.ANCHORARRAY(_xlfn.XLOOKUP($C28,'-ref_Distribution'!$B$146:$B$150,'-ref_Distribution'!$G$146:$G$150)),RIGHT(D$1,2)),"")</f>
        <v>75</v>
      </c>
      <c r="E28" s="16" cm="1">
        <f t="array" ref="E28">IFERROR(INDEX(_xlfn.ANCHORARRAY(_xlfn.XLOOKUP($C28,'-ref_Distribution'!$B$146:$B$150,'-ref_Distribution'!$G$146:$G$150)),RIGHT(E$1,2)),"")</f>
        <v>94</v>
      </c>
      <c r="F28" s="16" cm="1">
        <f t="array" ref="F28">IFERROR(INDEX(_xlfn.ANCHORARRAY(_xlfn.XLOOKUP($C28,'-ref_Distribution'!$B$146:$B$150,'-ref_Distribution'!$G$146:$G$150)),RIGHT(F$1,2)),"")</f>
        <v>115</v>
      </c>
      <c r="G28" s="16" cm="1">
        <f t="array" ref="G28">IFERROR(INDEX(_xlfn.ANCHORARRAY(_xlfn.XLOOKUP($C28,'-ref_Distribution'!$B$146:$B$150,'-ref_Distribution'!$G$146:$G$150)),RIGHT(G$1,2)),"")</f>
        <v>137</v>
      </c>
      <c r="H28" s="16" cm="1">
        <f t="array" ref="H28">IFERROR(INDEX(_xlfn.ANCHORARRAY(_xlfn.XLOOKUP($C28,'-ref_Distribution'!$B$146:$B$150,'-ref_Distribution'!$G$146:$G$150)),RIGHT(H$1,2)),"")</f>
        <v>160</v>
      </c>
      <c r="I28" s="16" cm="1">
        <f t="array" ref="I28">IFERROR(INDEX(_xlfn.ANCHORARRAY(_xlfn.XLOOKUP($C28,'-ref_Distribution'!$B$146:$B$150,'-ref_Distribution'!$G$146:$G$150)),RIGHT(I$1,2)),"")</f>
        <v>183</v>
      </c>
      <c r="J28" s="16" cm="1">
        <f t="array" ref="J28">IFERROR(INDEX(_xlfn.ANCHORARRAY(_xlfn.XLOOKUP($C28,'-ref_Distribution'!$B$146:$B$150,'-ref_Distribution'!$G$146:$G$150)),RIGHT(J$1,2)),"")</f>
        <v>203</v>
      </c>
      <c r="K28" s="16" cm="1">
        <f t="array" ref="K28">IFERROR(INDEX(_xlfn.ANCHORARRAY(_xlfn.XLOOKUP($C28,'-ref_Distribution'!$B$146:$B$150,'-ref_Distribution'!$G$146:$G$150)),RIGHT(K$1,2)),"")</f>
        <v>221</v>
      </c>
      <c r="L28" s="16" cm="1">
        <f t="array" ref="L28">IFERROR(INDEX(_xlfn.ANCHORARRAY(_xlfn.XLOOKUP($C28,'-ref_Distribution'!$B$146:$B$150,'-ref_Distribution'!$G$146:$G$150)),RIGHT(L$1,2)),"")</f>
        <v>234</v>
      </c>
      <c r="M28" s="16" cm="1">
        <f t="array" ref="M28">IFERROR(INDEX(_xlfn.ANCHORARRAY(_xlfn.XLOOKUP($C28,'-ref_Distribution'!$B$146:$B$150,'-ref_Distribution'!$G$146:$G$150)),RIGHT(M$1,2)),"")</f>
        <v>243</v>
      </c>
      <c r="N28" s="16" cm="1">
        <f t="array" ref="N28">IFERROR(INDEX(_xlfn.ANCHORARRAY(_xlfn.XLOOKUP($C28,'-ref_Distribution'!$B$146:$B$150,'-ref_Distribution'!$G$146:$G$150)),RIGHT(N$1,2)),"")</f>
        <v>245</v>
      </c>
      <c r="O28" s="16" cm="1">
        <f t="array" ref="O28">IFERROR(INDEX(_xlfn.ANCHORARRAY(_xlfn.XLOOKUP($C28,'-ref_Distribution'!$B$146:$B$150,'-ref_Distribution'!$G$146:$G$150)),RIGHT(O$1,2)),"")</f>
        <v>243</v>
      </c>
      <c r="P28" s="16" cm="1">
        <f t="array" ref="P28">IFERROR(INDEX(_xlfn.ANCHORARRAY(_xlfn.XLOOKUP($C28,'-ref_Distribution'!$B$146:$B$150,'-ref_Distribution'!$G$146:$G$150)),RIGHT(P$1,2)),"")</f>
        <v>234</v>
      </c>
      <c r="Q28" s="16" cm="1">
        <f t="array" ref="Q28">IFERROR(INDEX(_xlfn.ANCHORARRAY(_xlfn.XLOOKUP($C28,'-ref_Distribution'!$B$146:$B$150,'-ref_Distribution'!$G$146:$G$150)),RIGHT(Q$1,2)),"")</f>
        <v>221</v>
      </c>
      <c r="R28" s="16" cm="1">
        <f t="array" ref="R28">IFERROR(INDEX(_xlfn.ANCHORARRAY(_xlfn.XLOOKUP($C28,'-ref_Distribution'!$B$146:$B$150,'-ref_Distribution'!$G$146:$G$150)),RIGHT(R$1,2)),"")</f>
        <v>203</v>
      </c>
      <c r="S28" s="16" cm="1">
        <f t="array" ref="S28">IFERROR(INDEX(_xlfn.ANCHORARRAY(_xlfn.XLOOKUP($C28,'-ref_Distribution'!$B$146:$B$150,'-ref_Distribution'!$G$146:$G$150)),RIGHT(S$1,2)),"")</f>
        <v>183</v>
      </c>
      <c r="T28" s="16" cm="1">
        <f t="array" ref="T28">IFERROR(INDEX(_xlfn.ANCHORARRAY(_xlfn.XLOOKUP($C28,'-ref_Distribution'!$B$146:$B$150,'-ref_Distribution'!$G$146:$G$150)),RIGHT(T$1,2)),"")</f>
        <v>160</v>
      </c>
      <c r="U28" s="16" cm="1">
        <f t="array" ref="U28">IFERROR(INDEX(_xlfn.ANCHORARRAY(_xlfn.XLOOKUP($C28,'-ref_Distribution'!$B$146:$B$150,'-ref_Distribution'!$G$146:$G$150)),RIGHT(U$1,2)),"")</f>
        <v>137</v>
      </c>
      <c r="V28" s="16" cm="1">
        <f t="array" ref="V28">IFERROR(INDEX(_xlfn.ANCHORARRAY(_xlfn.XLOOKUP($C28,'-ref_Distribution'!$B$146:$B$150,'-ref_Distribution'!$G$146:$G$150)),RIGHT(V$1,2)),"")</f>
        <v>115</v>
      </c>
      <c r="W28" s="16" cm="1">
        <f t="array" ref="W28">IFERROR(INDEX(_xlfn.ANCHORARRAY(_xlfn.XLOOKUP($C28,'-ref_Distribution'!$B$146:$B$150,'-ref_Distribution'!$G$146:$G$150)),RIGHT(W$1,2)),"")</f>
        <v>94</v>
      </c>
      <c r="X28" s="16" cm="1">
        <f t="array" ref="X28">IFERROR(INDEX(_xlfn.ANCHORARRAY(_xlfn.XLOOKUP($C28,'-ref_Distribution'!$B$146:$B$150,'-ref_Distribution'!$G$146:$G$150)),RIGHT(X$1,2)),"")</f>
        <v>75</v>
      </c>
      <c r="Y28" s="16" cm="1">
        <f t="array" ref="Y28">IFERROR(INDEX(_xlfn.ANCHORARRAY(_xlfn.XLOOKUP($C28,'-ref_Distribution'!$B$146:$B$150,'-ref_Distribution'!$G$146:$G$150)),RIGHT(Y$1,2)),"")</f>
        <v>94</v>
      </c>
      <c r="Z28" s="16" cm="1">
        <f t="array" ref="Z28">IFERROR(INDEX(_xlfn.ANCHORARRAY(_xlfn.XLOOKUP($C28,'-ref_Distribution'!$B$146:$B$150,'-ref_Distribution'!$G$146:$G$150)),RIGHT(Z$1,2)),"")</f>
        <v>115</v>
      </c>
      <c r="AA28" s="16" cm="1">
        <f t="array" ref="AA28">IFERROR(INDEX(_xlfn.ANCHORARRAY(_xlfn.XLOOKUP($C28,'-ref_Distribution'!$B$146:$B$150,'-ref_Distribution'!$G$146:$G$150)),RIGHT(AA$1,2)),"")</f>
        <v>137</v>
      </c>
      <c r="AB28" s="16" cm="1">
        <f t="array" ref="AB28">IFERROR(INDEX(_xlfn.ANCHORARRAY(_xlfn.XLOOKUP($C28,'-ref_Distribution'!$B$146:$B$150,'-ref_Distribution'!$G$146:$G$150)),RIGHT(AB$1,2)),"")</f>
        <v>160</v>
      </c>
      <c r="AC28" s="16" cm="1">
        <f t="array" ref="AC28">IFERROR(INDEX(_xlfn.ANCHORARRAY(_xlfn.XLOOKUP($C28,'-ref_Distribution'!$B$146:$B$150,'-ref_Distribution'!$G$146:$G$150)),RIGHT(AC$1,2)),"")</f>
        <v>183</v>
      </c>
      <c r="AD28" s="16" cm="1">
        <f t="array" ref="AD28">IFERROR(INDEX(_xlfn.ANCHORARRAY(_xlfn.XLOOKUP($C28,'-ref_Distribution'!$B$146:$B$150,'-ref_Distribution'!$G$146:$G$150)),RIGHT(AD$1,2)),"")</f>
        <v>203</v>
      </c>
      <c r="AE28" s="16" cm="1">
        <f t="array" ref="AE28">IFERROR(INDEX(_xlfn.ANCHORARRAY(_xlfn.XLOOKUP($C28,'-ref_Distribution'!$B$146:$B$150,'-ref_Distribution'!$G$146:$G$150)),RIGHT(AE$1,2)),"")</f>
        <v>221</v>
      </c>
      <c r="AF28" s="16" cm="1">
        <f t="array" ref="AF28">IFERROR(INDEX(_xlfn.ANCHORARRAY(_xlfn.XLOOKUP($C28,'-ref_Distribution'!$B$146:$B$150,'-ref_Distribution'!$G$146:$G$150)),RIGHT(AF$1,2)),"")</f>
        <v>234</v>
      </c>
      <c r="AG28" s="16" cm="1">
        <f t="array" ref="AG28">IFERROR(INDEX(_xlfn.ANCHORARRAY(_xlfn.XLOOKUP($C28,'-ref_Distribution'!$B$146:$B$150,'-ref_Distribution'!$G$146:$G$150)),RIGHT(AG$1,2)),"")</f>
        <v>243</v>
      </c>
      <c r="AH28" s="16" cm="1">
        <f t="array" ref="AH28">IFERROR(INDEX(_xlfn.ANCHORARRAY(_xlfn.XLOOKUP($C28,'-ref_Distribution'!$B$146:$B$150,'-ref_Distribution'!$G$146:$G$150)),RIGHT(AH$1,2)),"")</f>
        <v>245</v>
      </c>
      <c r="AI28" s="16" cm="1">
        <f t="array" ref="AI28">IFERROR(INDEX(_xlfn.ANCHORARRAY(_xlfn.XLOOKUP($C28,'-ref_Distribution'!$B$146:$B$150,'-ref_Distribution'!$G$146:$G$150)),RIGHT(AI$1,2)),"")</f>
        <v>243</v>
      </c>
      <c r="AJ28" s="16" cm="1">
        <f t="array" ref="AJ28">IFERROR(INDEX(_xlfn.ANCHORARRAY(_xlfn.XLOOKUP($C28,'-ref_Distribution'!$B$146:$B$150,'-ref_Distribution'!$G$146:$G$150)),RIGHT(AJ$1,2)),"")</f>
        <v>234</v>
      </c>
      <c r="AK28" s="16" cm="1">
        <f t="array" ref="AK28">IFERROR(INDEX(_xlfn.ANCHORARRAY(_xlfn.XLOOKUP($C28,'-ref_Distribution'!$B$146:$B$150,'-ref_Distribution'!$G$146:$G$150)),RIGHT(AK$1,2)),"")</f>
        <v>221</v>
      </c>
      <c r="AL28" s="16" cm="1">
        <f t="array" ref="AL28">IFERROR(INDEX(_xlfn.ANCHORARRAY(_xlfn.XLOOKUP($C28,'-ref_Distribution'!$B$146:$B$150,'-ref_Distribution'!$G$146:$G$150)),RIGHT(AL$1,2)),"")</f>
        <v>203</v>
      </c>
      <c r="AM28" s="16" cm="1">
        <f t="array" ref="AM28">IFERROR(INDEX(_xlfn.ANCHORARRAY(_xlfn.XLOOKUP($C28,'-ref_Distribution'!$B$146:$B$150,'-ref_Distribution'!$G$146:$G$150)),RIGHT(AM$1,2)),"")</f>
        <v>183</v>
      </c>
      <c r="AN28" s="16" cm="1">
        <f t="array" ref="AN28">IFERROR(INDEX(_xlfn.ANCHORARRAY(_xlfn.XLOOKUP($C28,'-ref_Distribution'!$B$146:$B$150,'-ref_Distribution'!$G$146:$G$150)),RIGHT(AN$1,2)),"")</f>
        <v>160</v>
      </c>
      <c r="AO28" s="16" cm="1">
        <f t="array" ref="AO28">IFERROR(INDEX(_xlfn.ANCHORARRAY(_xlfn.XLOOKUP($C28,'-ref_Distribution'!$B$146:$B$150,'-ref_Distribution'!$G$146:$G$150)),RIGHT(AO$1,2)),"")</f>
        <v>137</v>
      </c>
      <c r="AP28" s="16" cm="1">
        <f t="array" ref="AP28">IFERROR(INDEX(_xlfn.ANCHORARRAY(_xlfn.XLOOKUP($C28,'-ref_Distribution'!$B$146:$B$150,'-ref_Distribution'!$G$146:$G$150)),RIGHT(AP$1,2)),"")</f>
        <v>115</v>
      </c>
      <c r="AQ28" s="16" cm="1">
        <f t="array" ref="AQ28">IFERROR(INDEX(_xlfn.ANCHORARRAY(_xlfn.XLOOKUP($C28,'-ref_Distribution'!$B$146:$B$150,'-ref_Distribution'!$G$146:$G$150)),RIGHT(AQ$1,2)),"")</f>
        <v>94</v>
      </c>
      <c r="AR28" s="16" cm="1">
        <f t="array" ref="AR28">IFERROR(INDEX(_xlfn.ANCHORARRAY(_xlfn.XLOOKUP($C28,'-ref_Distribution'!$B$146:$B$150,'-ref_Distribution'!$G$146:$G$150)),RIGHT(AR$1,2)),"")</f>
        <v>75</v>
      </c>
      <c r="AS28" s="16" cm="1">
        <f t="array" ref="AS28">IFERROR(INDEX(_xlfn.ANCHORARRAY(_xlfn.XLOOKUP($C28,'-ref_Distribution'!$B$146:$B$150,'-ref_Distribution'!$G$146:$G$150)),RIGHT(AS$1,2)),"")</f>
        <v>94</v>
      </c>
      <c r="AT28" s="16" cm="1">
        <f t="array" ref="AT28">IFERROR(INDEX(_xlfn.ANCHORARRAY(_xlfn.XLOOKUP($C28,'-ref_Distribution'!$B$146:$B$150,'-ref_Distribution'!$G$146:$G$150)),RIGHT(AT$1,2)),"")</f>
        <v>115</v>
      </c>
      <c r="AU28" s="16" cm="1">
        <f t="array" ref="AU28">IFERROR(INDEX(_xlfn.ANCHORARRAY(_xlfn.XLOOKUP($C28,'-ref_Distribution'!$B$146:$B$150,'-ref_Distribution'!$G$146:$G$150)),RIGHT(AU$1,2)),"")</f>
        <v>137</v>
      </c>
      <c r="AV28" s="16" cm="1">
        <f t="array" ref="AV28">IFERROR(INDEX(_xlfn.ANCHORARRAY(_xlfn.XLOOKUP($C28,'-ref_Distribution'!$B$146:$B$150,'-ref_Distribution'!$G$146:$G$150)),RIGHT(AV$1,2)),"")</f>
        <v>160</v>
      </c>
      <c r="AW28" s="16" cm="1">
        <f t="array" ref="AW28">IFERROR(INDEX(_xlfn.ANCHORARRAY(_xlfn.XLOOKUP($C28,'-ref_Distribution'!$B$146:$B$150,'-ref_Distribution'!$G$146:$G$150)),RIGHT(AW$1,2)),"")</f>
        <v>183</v>
      </c>
      <c r="AX28" s="16" cm="1">
        <f t="array" ref="AX28">IFERROR(INDEX(_xlfn.ANCHORARRAY(_xlfn.XLOOKUP($C28,'-ref_Distribution'!$B$146:$B$150,'-ref_Distribution'!$G$146:$G$150)),RIGHT(AX$1,2)),"")</f>
        <v>203</v>
      </c>
      <c r="AY28" s="16" cm="1">
        <f t="array" ref="AY28">IFERROR(INDEX(_xlfn.ANCHORARRAY(_xlfn.XLOOKUP($C28,'-ref_Distribution'!$B$146:$B$150,'-ref_Distribution'!$G$146:$G$150)),RIGHT(AY$1,2)),"")</f>
        <v>221</v>
      </c>
      <c r="AZ28" s="16" cm="1">
        <f t="array" ref="AZ28">IFERROR(INDEX(_xlfn.ANCHORARRAY(_xlfn.XLOOKUP($C28,'-ref_Distribution'!$B$146:$B$150,'-ref_Distribution'!$G$146:$G$150)),RIGHT(AZ$1,2)),"")</f>
        <v>234</v>
      </c>
      <c r="BA28" s="16" cm="1">
        <f t="array" ref="BA28">IFERROR(INDEX(_xlfn.ANCHORARRAY(_xlfn.XLOOKUP($C28,'-ref_Distribution'!$B$146:$B$150,'-ref_Distribution'!$G$146:$G$150)),RIGHT(BA$1,2)),"")</f>
        <v>243</v>
      </c>
      <c r="BB28" s="16" cm="1">
        <f t="array" ref="BB28">IFERROR(INDEX(_xlfn.ANCHORARRAY(_xlfn.XLOOKUP($C28,'-ref_Distribution'!$B$146:$B$150,'-ref_Distribution'!$G$146:$G$150)),RIGHT(BB$1,2)),"")</f>
        <v>245</v>
      </c>
      <c r="BC28" s="16" cm="1">
        <f t="array" ref="BC28">IFERROR(INDEX(_xlfn.ANCHORARRAY(_xlfn.XLOOKUP($C28,'-ref_Distribution'!$B$146:$B$150,'-ref_Distribution'!$G$146:$G$150)),RIGHT(BC$1,2)),"")</f>
        <v>243</v>
      </c>
      <c r="BD28" s="16" cm="1">
        <f t="array" ref="BD28">IFERROR(INDEX(_xlfn.ANCHORARRAY(_xlfn.XLOOKUP($C28,'-ref_Distribution'!$B$146:$B$150,'-ref_Distribution'!$G$146:$G$150)),RIGHT(BD$1,2)),"")</f>
        <v>234</v>
      </c>
      <c r="BE28" s="16" cm="1">
        <f t="array" ref="BE28">IFERROR(INDEX(_xlfn.ANCHORARRAY(_xlfn.XLOOKUP($C28,'-ref_Distribution'!$B$146:$B$150,'-ref_Distribution'!$G$146:$G$150)),RIGHT(BE$1,2)),"")</f>
        <v>221</v>
      </c>
      <c r="BF28" s="16" cm="1">
        <f t="array" ref="BF28">IFERROR(INDEX(_xlfn.ANCHORARRAY(_xlfn.XLOOKUP($C28,'-ref_Distribution'!$B$146:$B$150,'-ref_Distribution'!$G$146:$G$150)),RIGHT(BF$1,2)),"")</f>
        <v>203</v>
      </c>
      <c r="BG28" s="16" cm="1">
        <f t="array" ref="BG28">IFERROR(INDEX(_xlfn.ANCHORARRAY(_xlfn.XLOOKUP($C28,'-ref_Distribution'!$B$146:$B$150,'-ref_Distribution'!$G$146:$G$150)),RIGHT(BG$1,2)),"")</f>
        <v>183</v>
      </c>
      <c r="BH28" s="16" cm="1">
        <f t="array" ref="BH28">IFERROR(INDEX(_xlfn.ANCHORARRAY(_xlfn.XLOOKUP($C28,'-ref_Distribution'!$B$146:$B$150,'-ref_Distribution'!$G$146:$G$150)),RIGHT(BH$1,2)),"")</f>
        <v>160</v>
      </c>
      <c r="BI28" s="16" cm="1">
        <f t="array" ref="BI28">IFERROR(INDEX(_xlfn.ANCHORARRAY(_xlfn.XLOOKUP($C28,'-ref_Distribution'!$B$146:$B$150,'-ref_Distribution'!$G$146:$G$150)),RIGHT(BI$1,2)),"")</f>
        <v>137</v>
      </c>
      <c r="BJ28" s="16" cm="1">
        <f t="array" ref="BJ28">IFERROR(INDEX(_xlfn.ANCHORARRAY(_xlfn.XLOOKUP($C28,'-ref_Distribution'!$B$146:$B$150,'-ref_Distribution'!$G$146:$G$150)),RIGHT(BJ$1,2)),"")</f>
        <v>115</v>
      </c>
      <c r="BK28" s="16" cm="1">
        <f t="array" ref="BK28">IFERROR(INDEX(_xlfn.ANCHORARRAY(_xlfn.XLOOKUP($C28,'-ref_Distribution'!$B$146:$B$150,'-ref_Distribution'!$G$146:$G$150)),RIGHT(BK$1,2)),"")</f>
        <v>94</v>
      </c>
      <c r="BL28" s="16" cm="1">
        <f t="array" ref="BL28">IFERROR(INDEX(_xlfn.ANCHORARRAY(_xlfn.XLOOKUP($C28,'-ref_Distribution'!$B$146:$B$150,'-ref_Distribution'!$G$146:$G$150)),RIGHT(BL$1,2)),"")</f>
        <v>75</v>
      </c>
      <c r="BM28" s="16" cm="1">
        <f t="array" ref="BM28">IFERROR(INDEX(_xlfn.ANCHORARRAY(_xlfn.XLOOKUP($C28,'-ref_Distribution'!$B$146:$B$150,'-ref_Distribution'!$G$146:$G$150)),RIGHT(BM$1,2)),"")</f>
        <v>94</v>
      </c>
      <c r="BN28" s="16" cm="1">
        <f t="array" ref="BN28">IFERROR(INDEX(_xlfn.ANCHORARRAY(_xlfn.XLOOKUP($C28,'-ref_Distribution'!$B$146:$B$150,'-ref_Distribution'!$G$146:$G$150)),RIGHT(BN$1,2)),"")</f>
        <v>115</v>
      </c>
      <c r="BO28" s="16" cm="1">
        <f t="array" ref="BO28">IFERROR(INDEX(_xlfn.ANCHORARRAY(_xlfn.XLOOKUP($C28,'-ref_Distribution'!$B$146:$B$150,'-ref_Distribution'!$G$146:$G$150)),RIGHT(BO$1,2)),"")</f>
        <v>137</v>
      </c>
      <c r="BP28" s="16" cm="1">
        <f t="array" ref="BP28">IFERROR(INDEX(_xlfn.ANCHORARRAY(_xlfn.XLOOKUP($C28,'-ref_Distribution'!$B$146:$B$150,'-ref_Distribution'!$G$146:$G$150)),RIGHT(BP$1,2)),"")</f>
        <v>160</v>
      </c>
      <c r="BQ28" s="16" cm="1">
        <f t="array" ref="BQ28">IFERROR(INDEX(_xlfn.ANCHORARRAY(_xlfn.XLOOKUP($C28,'-ref_Distribution'!$B$146:$B$150,'-ref_Distribution'!$G$146:$G$150)),RIGHT(BQ$1,2)),"")</f>
        <v>183</v>
      </c>
      <c r="BR28" s="16" cm="1">
        <f t="array" ref="BR28">IFERROR(INDEX(_xlfn.ANCHORARRAY(_xlfn.XLOOKUP($C28,'-ref_Distribution'!$B$146:$B$150,'-ref_Distribution'!$G$146:$G$150)),RIGHT(BR$1,2)),"")</f>
        <v>203</v>
      </c>
      <c r="BS28" s="16" cm="1">
        <f t="array" ref="BS28">IFERROR(INDEX(_xlfn.ANCHORARRAY(_xlfn.XLOOKUP($C28,'-ref_Distribution'!$B$146:$B$150,'-ref_Distribution'!$G$146:$G$150)),RIGHT(BS$1,2)),"")</f>
        <v>221</v>
      </c>
      <c r="BT28" s="16" cm="1">
        <f t="array" ref="BT28">IFERROR(INDEX(_xlfn.ANCHORARRAY(_xlfn.XLOOKUP($C28,'-ref_Distribution'!$B$146:$B$150,'-ref_Distribution'!$G$146:$G$150)),RIGHT(BT$1,2)),"")</f>
        <v>234</v>
      </c>
      <c r="BU28" s="16" cm="1">
        <f t="array" ref="BU28">IFERROR(INDEX(_xlfn.ANCHORARRAY(_xlfn.XLOOKUP($C28,'-ref_Distribution'!$B$146:$B$150,'-ref_Distribution'!$G$146:$G$150)),RIGHT(BU$1,2)),"")</f>
        <v>243</v>
      </c>
      <c r="BV28" s="16" cm="1">
        <f t="array" ref="BV28">IFERROR(INDEX(_xlfn.ANCHORARRAY(_xlfn.XLOOKUP($C28,'-ref_Distribution'!$B$146:$B$150,'-ref_Distribution'!$G$146:$G$150)),RIGHT(BV$1,2)),"")</f>
        <v>245</v>
      </c>
      <c r="BW28" s="16" cm="1">
        <f t="array" ref="BW28">IFERROR(INDEX(_xlfn.ANCHORARRAY(_xlfn.XLOOKUP($C28,'-ref_Distribution'!$B$146:$B$150,'-ref_Distribution'!$G$146:$G$150)),RIGHT(BW$1,2)),"")</f>
        <v>243</v>
      </c>
      <c r="BX28" s="16" cm="1">
        <f t="array" ref="BX28">IFERROR(INDEX(_xlfn.ANCHORARRAY(_xlfn.XLOOKUP($C28,'-ref_Distribution'!$B$146:$B$150,'-ref_Distribution'!$G$146:$G$150)),RIGHT(BX$1,2)),"")</f>
        <v>234</v>
      </c>
      <c r="BY28" s="16" cm="1">
        <f t="array" ref="BY28">IFERROR(INDEX(_xlfn.ANCHORARRAY(_xlfn.XLOOKUP($C28,'-ref_Distribution'!$B$146:$B$150,'-ref_Distribution'!$G$146:$G$150)),RIGHT(BY$1,2)),"")</f>
        <v>221</v>
      </c>
      <c r="BZ28" s="16" cm="1">
        <f t="array" ref="BZ28">IFERROR(INDEX(_xlfn.ANCHORARRAY(_xlfn.XLOOKUP($C28,'-ref_Distribution'!$B$146:$B$150,'-ref_Distribution'!$G$146:$G$150)),RIGHT(BZ$1,2)),"")</f>
        <v>203</v>
      </c>
      <c r="CA28" s="16" cm="1">
        <f t="array" ref="CA28">IFERROR(INDEX(_xlfn.ANCHORARRAY(_xlfn.XLOOKUP($C28,'-ref_Distribution'!$B$146:$B$150,'-ref_Distribution'!$G$146:$G$150)),RIGHT(CA$1,2)),"")</f>
        <v>183</v>
      </c>
      <c r="CB28" s="16" cm="1">
        <f t="array" ref="CB28">IFERROR(INDEX(_xlfn.ANCHORARRAY(_xlfn.XLOOKUP($C28,'-ref_Distribution'!$B$146:$B$150,'-ref_Distribution'!$G$146:$G$150)),RIGHT(CB$1,2)),"")</f>
        <v>160</v>
      </c>
      <c r="CC28" s="16" cm="1">
        <f t="array" ref="CC28">IFERROR(INDEX(_xlfn.ANCHORARRAY(_xlfn.XLOOKUP($C28,'-ref_Distribution'!$B$146:$B$150,'-ref_Distribution'!$G$146:$G$150)),RIGHT(CC$1,2)),"")</f>
        <v>137</v>
      </c>
      <c r="CD28" s="16" cm="1">
        <f t="array" ref="CD28">IFERROR(INDEX(_xlfn.ANCHORARRAY(_xlfn.XLOOKUP($C28,'-ref_Distribution'!$B$146:$B$150,'-ref_Distribution'!$G$146:$G$150)),RIGHT(CD$1,2)),"")</f>
        <v>115</v>
      </c>
      <c r="CE28" s="16" cm="1">
        <f t="array" ref="CE28">IFERROR(INDEX(_xlfn.ANCHORARRAY(_xlfn.XLOOKUP($C28,'-ref_Distribution'!$B$146:$B$150,'-ref_Distribution'!$G$146:$G$150)),RIGHT(CE$1,2)),"")</f>
        <v>94</v>
      </c>
    </row>
    <row r="29" spans="1:95" x14ac:dyDescent="0.2">
      <c r="A29" s="16">
        <v>301014</v>
      </c>
      <c r="B29" s="16" t="s">
        <v>371</v>
      </c>
      <c r="C29" s="16">
        <v>3</v>
      </c>
      <c r="D29" s="16" cm="1">
        <f t="array" ref="D29">IFERROR(INDEX(_xlfn.ANCHORARRAY(_xlfn.XLOOKUP($C29,'-ref_Distribution'!$B$146:$B$150,'-ref_Distribution'!$G$146:$G$150)),RIGHT(D$1,2)),"")</f>
        <v>4</v>
      </c>
      <c r="E29" s="16" cm="1">
        <f t="array" ref="E29">IFERROR(INDEX(_xlfn.ANCHORARRAY(_xlfn.XLOOKUP($C29,'-ref_Distribution'!$B$146:$B$150,'-ref_Distribution'!$G$146:$G$150)),RIGHT(E$1,2)),"")</f>
        <v>6</v>
      </c>
      <c r="F29" s="16" cm="1">
        <f t="array" ref="F29">IFERROR(INDEX(_xlfn.ANCHORARRAY(_xlfn.XLOOKUP($C29,'-ref_Distribution'!$B$146:$B$150,'-ref_Distribution'!$G$146:$G$150)),RIGHT(F$1,2)),"")</f>
        <v>9</v>
      </c>
      <c r="G29" s="16" cm="1">
        <f t="array" ref="G29">IFERROR(INDEX(_xlfn.ANCHORARRAY(_xlfn.XLOOKUP($C29,'-ref_Distribution'!$B$146:$B$150,'-ref_Distribution'!$G$146:$G$150)),RIGHT(G$1,2)),"")</f>
        <v>14</v>
      </c>
      <c r="H29" s="16" cm="1">
        <f t="array" ref="H29">IFERROR(INDEX(_xlfn.ANCHORARRAY(_xlfn.XLOOKUP($C29,'-ref_Distribution'!$B$146:$B$150,'-ref_Distribution'!$G$146:$G$150)),RIGHT(H$1,2)),"")</f>
        <v>20</v>
      </c>
      <c r="I29" s="16" cm="1">
        <f t="array" ref="I29">IFERROR(INDEX(_xlfn.ANCHORARRAY(_xlfn.XLOOKUP($C29,'-ref_Distribution'!$B$146:$B$150,'-ref_Distribution'!$G$146:$G$150)),RIGHT(I$1,2)),"")</f>
        <v>28</v>
      </c>
      <c r="J29" s="16" cm="1">
        <f t="array" ref="J29">IFERROR(INDEX(_xlfn.ANCHORARRAY(_xlfn.XLOOKUP($C29,'-ref_Distribution'!$B$146:$B$150,'-ref_Distribution'!$G$146:$G$150)),RIGHT(J$1,2)),"")</f>
        <v>38</v>
      </c>
      <c r="K29" s="16" cm="1">
        <f t="array" ref="K29">IFERROR(INDEX(_xlfn.ANCHORARRAY(_xlfn.XLOOKUP($C29,'-ref_Distribution'!$B$146:$B$150,'-ref_Distribution'!$G$146:$G$150)),RIGHT(K$1,2)),"")</f>
        <v>51</v>
      </c>
      <c r="L29" s="16" cm="1">
        <f t="array" ref="L29">IFERROR(INDEX(_xlfn.ANCHORARRAY(_xlfn.XLOOKUP($C29,'-ref_Distribution'!$B$146:$B$150,'-ref_Distribution'!$G$146:$G$150)),RIGHT(L$1,2)),"")</f>
        <v>65</v>
      </c>
      <c r="M29" s="16" cm="1">
        <f t="array" ref="M29">IFERROR(INDEX(_xlfn.ANCHORARRAY(_xlfn.XLOOKUP($C29,'-ref_Distribution'!$B$146:$B$150,'-ref_Distribution'!$G$146:$G$150)),RIGHT(M$1,2)),"")</f>
        <v>80</v>
      </c>
      <c r="N29" s="16" cm="1">
        <f t="array" ref="N29">IFERROR(INDEX(_xlfn.ANCHORARRAY(_xlfn.XLOOKUP($C29,'-ref_Distribution'!$B$146:$B$150,'-ref_Distribution'!$G$146:$G$150)),RIGHT(N$1,2)),"")</f>
        <v>96</v>
      </c>
      <c r="O29" s="16" cm="1">
        <f t="array" ref="O29">IFERROR(INDEX(_xlfn.ANCHORARRAY(_xlfn.XLOOKUP($C29,'-ref_Distribution'!$B$146:$B$150,'-ref_Distribution'!$G$146:$G$150)),RIGHT(O$1,2)),"")</f>
        <v>111</v>
      </c>
      <c r="P29" s="16" cm="1">
        <f t="array" ref="P29">IFERROR(INDEX(_xlfn.ANCHORARRAY(_xlfn.XLOOKUP($C29,'-ref_Distribution'!$B$146:$B$150,'-ref_Distribution'!$G$146:$G$150)),RIGHT(P$1,2)),"")</f>
        <v>125</v>
      </c>
      <c r="Q29" s="16" cm="1">
        <f t="array" ref="Q29">IFERROR(INDEX(_xlfn.ANCHORARRAY(_xlfn.XLOOKUP($C29,'-ref_Distribution'!$B$146:$B$150,'-ref_Distribution'!$G$146:$G$150)),RIGHT(Q$1,2)),"")</f>
        <v>135</v>
      </c>
      <c r="R29" s="16" cm="1">
        <f t="array" ref="R29">IFERROR(INDEX(_xlfn.ANCHORARRAY(_xlfn.XLOOKUP($C29,'-ref_Distribution'!$B$146:$B$150,'-ref_Distribution'!$G$146:$G$150)),RIGHT(R$1,2)),"")</f>
        <v>142</v>
      </c>
      <c r="S29" s="16" cm="1">
        <f t="array" ref="S29">IFERROR(INDEX(_xlfn.ANCHORARRAY(_xlfn.XLOOKUP($C29,'-ref_Distribution'!$B$146:$B$150,'-ref_Distribution'!$G$146:$G$150)),RIGHT(S$1,2)),"")</f>
        <v>144</v>
      </c>
      <c r="T29" s="16" cm="1">
        <f t="array" ref="T29">IFERROR(INDEX(_xlfn.ANCHORARRAY(_xlfn.XLOOKUP($C29,'-ref_Distribution'!$B$146:$B$150,'-ref_Distribution'!$G$146:$G$150)),RIGHT(T$1,2)),"")</f>
        <v>142</v>
      </c>
      <c r="U29" s="16" cm="1">
        <f t="array" ref="U29">IFERROR(INDEX(_xlfn.ANCHORARRAY(_xlfn.XLOOKUP($C29,'-ref_Distribution'!$B$146:$B$150,'-ref_Distribution'!$G$146:$G$150)),RIGHT(U$1,2)),"")</f>
        <v>135</v>
      </c>
      <c r="V29" s="16" cm="1">
        <f t="array" ref="V29">IFERROR(INDEX(_xlfn.ANCHORARRAY(_xlfn.XLOOKUP($C29,'-ref_Distribution'!$B$146:$B$150,'-ref_Distribution'!$G$146:$G$150)),RIGHT(V$1,2)),"")</f>
        <v>125</v>
      </c>
      <c r="W29" s="16" cm="1">
        <f t="array" ref="W29">IFERROR(INDEX(_xlfn.ANCHORARRAY(_xlfn.XLOOKUP($C29,'-ref_Distribution'!$B$146:$B$150,'-ref_Distribution'!$G$146:$G$150)),RIGHT(W$1,2)),"")</f>
        <v>111</v>
      </c>
      <c r="X29" s="16" cm="1">
        <f t="array" ref="X29">IFERROR(INDEX(_xlfn.ANCHORARRAY(_xlfn.XLOOKUP($C29,'-ref_Distribution'!$B$146:$B$150,'-ref_Distribution'!$G$146:$G$150)),RIGHT(X$1,2)),"")</f>
        <v>4</v>
      </c>
      <c r="Y29" s="16" cm="1">
        <f t="array" ref="Y29">IFERROR(INDEX(_xlfn.ANCHORARRAY(_xlfn.XLOOKUP($C29,'-ref_Distribution'!$B$146:$B$150,'-ref_Distribution'!$G$146:$G$150)),RIGHT(Y$1,2)),"")</f>
        <v>6</v>
      </c>
      <c r="Z29" s="16" cm="1">
        <f t="array" ref="Z29">IFERROR(INDEX(_xlfn.ANCHORARRAY(_xlfn.XLOOKUP($C29,'-ref_Distribution'!$B$146:$B$150,'-ref_Distribution'!$G$146:$G$150)),RIGHT(Z$1,2)),"")</f>
        <v>9</v>
      </c>
      <c r="AA29" s="16" cm="1">
        <f t="array" ref="AA29">IFERROR(INDEX(_xlfn.ANCHORARRAY(_xlfn.XLOOKUP($C29,'-ref_Distribution'!$B$146:$B$150,'-ref_Distribution'!$G$146:$G$150)),RIGHT(AA$1,2)),"")</f>
        <v>14</v>
      </c>
      <c r="AB29" s="16" cm="1">
        <f t="array" ref="AB29">IFERROR(INDEX(_xlfn.ANCHORARRAY(_xlfn.XLOOKUP($C29,'-ref_Distribution'!$B$146:$B$150,'-ref_Distribution'!$G$146:$G$150)),RIGHT(AB$1,2)),"")</f>
        <v>20</v>
      </c>
      <c r="AC29" s="16" cm="1">
        <f t="array" ref="AC29">IFERROR(INDEX(_xlfn.ANCHORARRAY(_xlfn.XLOOKUP($C29,'-ref_Distribution'!$B$146:$B$150,'-ref_Distribution'!$G$146:$G$150)),RIGHT(AC$1,2)),"")</f>
        <v>28</v>
      </c>
      <c r="AD29" s="16" cm="1">
        <f t="array" ref="AD29">IFERROR(INDEX(_xlfn.ANCHORARRAY(_xlfn.XLOOKUP($C29,'-ref_Distribution'!$B$146:$B$150,'-ref_Distribution'!$G$146:$G$150)),RIGHT(AD$1,2)),"")</f>
        <v>38</v>
      </c>
      <c r="AE29" s="16" cm="1">
        <f t="array" ref="AE29">IFERROR(INDEX(_xlfn.ANCHORARRAY(_xlfn.XLOOKUP($C29,'-ref_Distribution'!$B$146:$B$150,'-ref_Distribution'!$G$146:$G$150)),RIGHT(AE$1,2)),"")</f>
        <v>51</v>
      </c>
      <c r="AF29" s="16" cm="1">
        <f t="array" ref="AF29">IFERROR(INDEX(_xlfn.ANCHORARRAY(_xlfn.XLOOKUP($C29,'-ref_Distribution'!$B$146:$B$150,'-ref_Distribution'!$G$146:$G$150)),RIGHT(AF$1,2)),"")</f>
        <v>65</v>
      </c>
      <c r="AG29" s="16" cm="1">
        <f t="array" ref="AG29">IFERROR(INDEX(_xlfn.ANCHORARRAY(_xlfn.XLOOKUP($C29,'-ref_Distribution'!$B$146:$B$150,'-ref_Distribution'!$G$146:$G$150)),RIGHT(AG$1,2)),"")</f>
        <v>80</v>
      </c>
      <c r="AH29" s="16" cm="1">
        <f t="array" ref="AH29">IFERROR(INDEX(_xlfn.ANCHORARRAY(_xlfn.XLOOKUP($C29,'-ref_Distribution'!$B$146:$B$150,'-ref_Distribution'!$G$146:$G$150)),RIGHT(AH$1,2)),"")</f>
        <v>96</v>
      </c>
      <c r="AI29" s="16" cm="1">
        <f t="array" ref="AI29">IFERROR(INDEX(_xlfn.ANCHORARRAY(_xlfn.XLOOKUP($C29,'-ref_Distribution'!$B$146:$B$150,'-ref_Distribution'!$G$146:$G$150)),RIGHT(AI$1,2)),"")</f>
        <v>111</v>
      </c>
      <c r="AJ29" s="16" cm="1">
        <f t="array" ref="AJ29">IFERROR(INDEX(_xlfn.ANCHORARRAY(_xlfn.XLOOKUP($C29,'-ref_Distribution'!$B$146:$B$150,'-ref_Distribution'!$G$146:$G$150)),RIGHT(AJ$1,2)),"")</f>
        <v>125</v>
      </c>
      <c r="AK29" s="16" cm="1">
        <f t="array" ref="AK29">IFERROR(INDEX(_xlfn.ANCHORARRAY(_xlfn.XLOOKUP($C29,'-ref_Distribution'!$B$146:$B$150,'-ref_Distribution'!$G$146:$G$150)),RIGHT(AK$1,2)),"")</f>
        <v>135</v>
      </c>
      <c r="AL29" s="16" cm="1">
        <f t="array" ref="AL29">IFERROR(INDEX(_xlfn.ANCHORARRAY(_xlfn.XLOOKUP($C29,'-ref_Distribution'!$B$146:$B$150,'-ref_Distribution'!$G$146:$G$150)),RIGHT(AL$1,2)),"")</f>
        <v>142</v>
      </c>
      <c r="AM29" s="16" cm="1">
        <f t="array" ref="AM29">IFERROR(INDEX(_xlfn.ANCHORARRAY(_xlfn.XLOOKUP($C29,'-ref_Distribution'!$B$146:$B$150,'-ref_Distribution'!$G$146:$G$150)),RIGHT(AM$1,2)),"")</f>
        <v>144</v>
      </c>
      <c r="AN29" s="16" cm="1">
        <f t="array" ref="AN29">IFERROR(INDEX(_xlfn.ANCHORARRAY(_xlfn.XLOOKUP($C29,'-ref_Distribution'!$B$146:$B$150,'-ref_Distribution'!$G$146:$G$150)),RIGHT(AN$1,2)),"")</f>
        <v>142</v>
      </c>
      <c r="AO29" s="16" cm="1">
        <f t="array" ref="AO29">IFERROR(INDEX(_xlfn.ANCHORARRAY(_xlfn.XLOOKUP($C29,'-ref_Distribution'!$B$146:$B$150,'-ref_Distribution'!$G$146:$G$150)),RIGHT(AO$1,2)),"")</f>
        <v>135</v>
      </c>
      <c r="AP29" s="16" cm="1">
        <f t="array" ref="AP29">IFERROR(INDEX(_xlfn.ANCHORARRAY(_xlfn.XLOOKUP($C29,'-ref_Distribution'!$B$146:$B$150,'-ref_Distribution'!$G$146:$G$150)),RIGHT(AP$1,2)),"")</f>
        <v>125</v>
      </c>
      <c r="AQ29" s="16" cm="1">
        <f t="array" ref="AQ29">IFERROR(INDEX(_xlfn.ANCHORARRAY(_xlfn.XLOOKUP($C29,'-ref_Distribution'!$B$146:$B$150,'-ref_Distribution'!$G$146:$G$150)),RIGHT(AQ$1,2)),"")</f>
        <v>111</v>
      </c>
      <c r="AR29" s="16" cm="1">
        <f t="array" ref="AR29">IFERROR(INDEX(_xlfn.ANCHORARRAY(_xlfn.XLOOKUP($C29,'-ref_Distribution'!$B$146:$B$150,'-ref_Distribution'!$G$146:$G$150)),RIGHT(AR$1,2)),"")</f>
        <v>4</v>
      </c>
      <c r="AS29" s="16" cm="1">
        <f t="array" ref="AS29">IFERROR(INDEX(_xlfn.ANCHORARRAY(_xlfn.XLOOKUP($C29,'-ref_Distribution'!$B$146:$B$150,'-ref_Distribution'!$G$146:$G$150)),RIGHT(AS$1,2)),"")</f>
        <v>6</v>
      </c>
      <c r="AT29" s="16" cm="1">
        <f t="array" ref="AT29">IFERROR(INDEX(_xlfn.ANCHORARRAY(_xlfn.XLOOKUP($C29,'-ref_Distribution'!$B$146:$B$150,'-ref_Distribution'!$G$146:$G$150)),RIGHT(AT$1,2)),"")</f>
        <v>9</v>
      </c>
      <c r="AU29" s="16" cm="1">
        <f t="array" ref="AU29">IFERROR(INDEX(_xlfn.ANCHORARRAY(_xlfn.XLOOKUP($C29,'-ref_Distribution'!$B$146:$B$150,'-ref_Distribution'!$G$146:$G$150)),RIGHT(AU$1,2)),"")</f>
        <v>14</v>
      </c>
      <c r="AV29" s="16" cm="1">
        <f t="array" ref="AV29">IFERROR(INDEX(_xlfn.ANCHORARRAY(_xlfn.XLOOKUP($C29,'-ref_Distribution'!$B$146:$B$150,'-ref_Distribution'!$G$146:$G$150)),RIGHT(AV$1,2)),"")</f>
        <v>20</v>
      </c>
      <c r="AW29" s="16" cm="1">
        <f t="array" ref="AW29">IFERROR(INDEX(_xlfn.ANCHORARRAY(_xlfn.XLOOKUP($C29,'-ref_Distribution'!$B$146:$B$150,'-ref_Distribution'!$G$146:$G$150)),RIGHT(AW$1,2)),"")</f>
        <v>28</v>
      </c>
      <c r="AX29" s="16" cm="1">
        <f t="array" ref="AX29">IFERROR(INDEX(_xlfn.ANCHORARRAY(_xlfn.XLOOKUP($C29,'-ref_Distribution'!$B$146:$B$150,'-ref_Distribution'!$G$146:$G$150)),RIGHT(AX$1,2)),"")</f>
        <v>38</v>
      </c>
      <c r="AY29" s="16" cm="1">
        <f t="array" ref="AY29">IFERROR(INDEX(_xlfn.ANCHORARRAY(_xlfn.XLOOKUP($C29,'-ref_Distribution'!$B$146:$B$150,'-ref_Distribution'!$G$146:$G$150)),RIGHT(AY$1,2)),"")</f>
        <v>51</v>
      </c>
      <c r="AZ29" s="16" cm="1">
        <f t="array" ref="AZ29">IFERROR(INDEX(_xlfn.ANCHORARRAY(_xlfn.XLOOKUP($C29,'-ref_Distribution'!$B$146:$B$150,'-ref_Distribution'!$G$146:$G$150)),RIGHT(AZ$1,2)),"")</f>
        <v>65</v>
      </c>
      <c r="BA29" s="16" cm="1">
        <f t="array" ref="BA29">IFERROR(INDEX(_xlfn.ANCHORARRAY(_xlfn.XLOOKUP($C29,'-ref_Distribution'!$B$146:$B$150,'-ref_Distribution'!$G$146:$G$150)),RIGHT(BA$1,2)),"")</f>
        <v>80</v>
      </c>
      <c r="BB29" s="16" cm="1">
        <f t="array" ref="BB29">IFERROR(INDEX(_xlfn.ANCHORARRAY(_xlfn.XLOOKUP($C29,'-ref_Distribution'!$B$146:$B$150,'-ref_Distribution'!$G$146:$G$150)),RIGHT(BB$1,2)),"")</f>
        <v>96</v>
      </c>
      <c r="BC29" s="16" cm="1">
        <f t="array" ref="BC29">IFERROR(INDEX(_xlfn.ANCHORARRAY(_xlfn.XLOOKUP($C29,'-ref_Distribution'!$B$146:$B$150,'-ref_Distribution'!$G$146:$G$150)),RIGHT(BC$1,2)),"")</f>
        <v>111</v>
      </c>
      <c r="BD29" s="16" cm="1">
        <f t="array" ref="BD29">IFERROR(INDEX(_xlfn.ANCHORARRAY(_xlfn.XLOOKUP($C29,'-ref_Distribution'!$B$146:$B$150,'-ref_Distribution'!$G$146:$G$150)),RIGHT(BD$1,2)),"")</f>
        <v>125</v>
      </c>
      <c r="BE29" s="16" cm="1">
        <f t="array" ref="BE29">IFERROR(INDEX(_xlfn.ANCHORARRAY(_xlfn.XLOOKUP($C29,'-ref_Distribution'!$B$146:$B$150,'-ref_Distribution'!$G$146:$G$150)),RIGHT(BE$1,2)),"")</f>
        <v>135</v>
      </c>
      <c r="BF29" s="16" cm="1">
        <f t="array" ref="BF29">IFERROR(INDEX(_xlfn.ANCHORARRAY(_xlfn.XLOOKUP($C29,'-ref_Distribution'!$B$146:$B$150,'-ref_Distribution'!$G$146:$G$150)),RIGHT(BF$1,2)),"")</f>
        <v>142</v>
      </c>
      <c r="BG29" s="16" cm="1">
        <f t="array" ref="BG29">IFERROR(INDEX(_xlfn.ANCHORARRAY(_xlfn.XLOOKUP($C29,'-ref_Distribution'!$B$146:$B$150,'-ref_Distribution'!$G$146:$G$150)),RIGHT(BG$1,2)),"")</f>
        <v>144</v>
      </c>
      <c r="BH29" s="16" cm="1">
        <f t="array" ref="BH29">IFERROR(INDEX(_xlfn.ANCHORARRAY(_xlfn.XLOOKUP($C29,'-ref_Distribution'!$B$146:$B$150,'-ref_Distribution'!$G$146:$G$150)),RIGHT(BH$1,2)),"")</f>
        <v>142</v>
      </c>
      <c r="BI29" s="16" cm="1">
        <f t="array" ref="BI29">IFERROR(INDEX(_xlfn.ANCHORARRAY(_xlfn.XLOOKUP($C29,'-ref_Distribution'!$B$146:$B$150,'-ref_Distribution'!$G$146:$G$150)),RIGHT(BI$1,2)),"")</f>
        <v>135</v>
      </c>
      <c r="BJ29" s="16" cm="1">
        <f t="array" ref="BJ29">IFERROR(INDEX(_xlfn.ANCHORARRAY(_xlfn.XLOOKUP($C29,'-ref_Distribution'!$B$146:$B$150,'-ref_Distribution'!$G$146:$G$150)),RIGHT(BJ$1,2)),"")</f>
        <v>125</v>
      </c>
      <c r="BK29" s="16" cm="1">
        <f t="array" ref="BK29">IFERROR(INDEX(_xlfn.ANCHORARRAY(_xlfn.XLOOKUP($C29,'-ref_Distribution'!$B$146:$B$150,'-ref_Distribution'!$G$146:$G$150)),RIGHT(BK$1,2)),"")</f>
        <v>111</v>
      </c>
      <c r="BL29" s="16" cm="1">
        <f t="array" ref="BL29">IFERROR(INDEX(_xlfn.ANCHORARRAY(_xlfn.XLOOKUP($C29,'-ref_Distribution'!$B$146:$B$150,'-ref_Distribution'!$G$146:$G$150)),RIGHT(BL$1,2)),"")</f>
        <v>4</v>
      </c>
      <c r="BM29" s="16" cm="1">
        <f t="array" ref="BM29">IFERROR(INDEX(_xlfn.ANCHORARRAY(_xlfn.XLOOKUP($C29,'-ref_Distribution'!$B$146:$B$150,'-ref_Distribution'!$G$146:$G$150)),RIGHT(BM$1,2)),"")</f>
        <v>6</v>
      </c>
      <c r="BN29" s="16" cm="1">
        <f t="array" ref="BN29">IFERROR(INDEX(_xlfn.ANCHORARRAY(_xlfn.XLOOKUP($C29,'-ref_Distribution'!$B$146:$B$150,'-ref_Distribution'!$G$146:$G$150)),RIGHT(BN$1,2)),"")</f>
        <v>9</v>
      </c>
      <c r="BO29" s="16" cm="1">
        <f t="array" ref="BO29">IFERROR(INDEX(_xlfn.ANCHORARRAY(_xlfn.XLOOKUP($C29,'-ref_Distribution'!$B$146:$B$150,'-ref_Distribution'!$G$146:$G$150)),RIGHT(BO$1,2)),"")</f>
        <v>14</v>
      </c>
      <c r="BP29" s="16" cm="1">
        <f t="array" ref="BP29">IFERROR(INDEX(_xlfn.ANCHORARRAY(_xlfn.XLOOKUP($C29,'-ref_Distribution'!$B$146:$B$150,'-ref_Distribution'!$G$146:$G$150)),RIGHT(BP$1,2)),"")</f>
        <v>20</v>
      </c>
      <c r="BQ29" s="16" cm="1">
        <f t="array" ref="BQ29">IFERROR(INDEX(_xlfn.ANCHORARRAY(_xlfn.XLOOKUP($C29,'-ref_Distribution'!$B$146:$B$150,'-ref_Distribution'!$G$146:$G$150)),RIGHT(BQ$1,2)),"")</f>
        <v>28</v>
      </c>
      <c r="BR29" s="16" cm="1">
        <f t="array" ref="BR29">IFERROR(INDEX(_xlfn.ANCHORARRAY(_xlfn.XLOOKUP($C29,'-ref_Distribution'!$B$146:$B$150,'-ref_Distribution'!$G$146:$G$150)),RIGHT(BR$1,2)),"")</f>
        <v>38</v>
      </c>
      <c r="BS29" s="16" cm="1">
        <f t="array" ref="BS29">IFERROR(INDEX(_xlfn.ANCHORARRAY(_xlfn.XLOOKUP($C29,'-ref_Distribution'!$B$146:$B$150,'-ref_Distribution'!$G$146:$G$150)),RIGHT(BS$1,2)),"")</f>
        <v>51</v>
      </c>
      <c r="BT29" s="16" cm="1">
        <f t="array" ref="BT29">IFERROR(INDEX(_xlfn.ANCHORARRAY(_xlfn.XLOOKUP($C29,'-ref_Distribution'!$B$146:$B$150,'-ref_Distribution'!$G$146:$G$150)),RIGHT(BT$1,2)),"")</f>
        <v>65</v>
      </c>
      <c r="BU29" s="16" cm="1">
        <f t="array" ref="BU29">IFERROR(INDEX(_xlfn.ANCHORARRAY(_xlfn.XLOOKUP($C29,'-ref_Distribution'!$B$146:$B$150,'-ref_Distribution'!$G$146:$G$150)),RIGHT(BU$1,2)),"")</f>
        <v>80</v>
      </c>
      <c r="BV29" s="16" cm="1">
        <f t="array" ref="BV29">IFERROR(INDEX(_xlfn.ANCHORARRAY(_xlfn.XLOOKUP($C29,'-ref_Distribution'!$B$146:$B$150,'-ref_Distribution'!$G$146:$G$150)),RIGHT(BV$1,2)),"")</f>
        <v>96</v>
      </c>
      <c r="BW29" s="16" cm="1">
        <f t="array" ref="BW29">IFERROR(INDEX(_xlfn.ANCHORARRAY(_xlfn.XLOOKUP($C29,'-ref_Distribution'!$B$146:$B$150,'-ref_Distribution'!$G$146:$G$150)),RIGHT(BW$1,2)),"")</f>
        <v>111</v>
      </c>
      <c r="BX29" s="16" cm="1">
        <f t="array" ref="BX29">IFERROR(INDEX(_xlfn.ANCHORARRAY(_xlfn.XLOOKUP($C29,'-ref_Distribution'!$B$146:$B$150,'-ref_Distribution'!$G$146:$G$150)),RIGHT(BX$1,2)),"")</f>
        <v>125</v>
      </c>
      <c r="BY29" s="16" cm="1">
        <f t="array" ref="BY29">IFERROR(INDEX(_xlfn.ANCHORARRAY(_xlfn.XLOOKUP($C29,'-ref_Distribution'!$B$146:$B$150,'-ref_Distribution'!$G$146:$G$150)),RIGHT(BY$1,2)),"")</f>
        <v>135</v>
      </c>
      <c r="BZ29" s="16" cm="1">
        <f t="array" ref="BZ29">IFERROR(INDEX(_xlfn.ANCHORARRAY(_xlfn.XLOOKUP($C29,'-ref_Distribution'!$B$146:$B$150,'-ref_Distribution'!$G$146:$G$150)),RIGHT(BZ$1,2)),"")</f>
        <v>142</v>
      </c>
      <c r="CA29" s="16" cm="1">
        <f t="array" ref="CA29">IFERROR(INDEX(_xlfn.ANCHORARRAY(_xlfn.XLOOKUP($C29,'-ref_Distribution'!$B$146:$B$150,'-ref_Distribution'!$G$146:$G$150)),RIGHT(CA$1,2)),"")</f>
        <v>144</v>
      </c>
      <c r="CB29" s="16" cm="1">
        <f t="array" ref="CB29">IFERROR(INDEX(_xlfn.ANCHORARRAY(_xlfn.XLOOKUP($C29,'-ref_Distribution'!$B$146:$B$150,'-ref_Distribution'!$G$146:$G$150)),RIGHT(CB$1,2)),"")</f>
        <v>142</v>
      </c>
      <c r="CC29" s="16" cm="1">
        <f t="array" ref="CC29">IFERROR(INDEX(_xlfn.ANCHORARRAY(_xlfn.XLOOKUP($C29,'-ref_Distribution'!$B$146:$B$150,'-ref_Distribution'!$G$146:$G$150)),RIGHT(CC$1,2)),"")</f>
        <v>135</v>
      </c>
      <c r="CD29" s="16" cm="1">
        <f t="array" ref="CD29">IFERROR(INDEX(_xlfn.ANCHORARRAY(_xlfn.XLOOKUP($C29,'-ref_Distribution'!$B$146:$B$150,'-ref_Distribution'!$G$146:$G$150)),RIGHT(CD$1,2)),"")</f>
        <v>125</v>
      </c>
      <c r="CE29" s="16" cm="1">
        <f t="array" ref="CE29">IFERROR(INDEX(_xlfn.ANCHORARRAY(_xlfn.XLOOKUP($C29,'-ref_Distribution'!$B$146:$B$150,'-ref_Distribution'!$G$146:$G$150)),RIGHT(CE$1,2)),"")</f>
        <v>111</v>
      </c>
    </row>
    <row r="30" spans="1:95" x14ac:dyDescent="0.2">
      <c r="A30" s="16">
        <v>301031</v>
      </c>
      <c r="B30" s="16" t="s">
        <v>219</v>
      </c>
      <c r="C30" s="16">
        <v>0</v>
      </c>
      <c r="D30" s="16" cm="1">
        <f t="array" ref="D30">IFERROR(INDEX(_xlfn.ANCHORARRAY(_xlfn.XLOOKUP($C30,'-ref_Distribution'!$B$146:$B$150,'-ref_Distribution'!$G$146:$G$150)),RIGHT(D$1,2)),"")</f>
        <v>709</v>
      </c>
      <c r="E30" s="16" cm="1">
        <f t="array" ref="E30">IFERROR(INDEX(_xlfn.ANCHORARRAY(_xlfn.XLOOKUP($C30,'-ref_Distribution'!$B$146:$B$150,'-ref_Distribution'!$G$146:$G$150)),RIGHT(E$1,2)),"")</f>
        <v>705</v>
      </c>
      <c r="F30" s="16" cm="1">
        <f t="array" ref="F30">IFERROR(INDEX(_xlfn.ANCHORARRAY(_xlfn.XLOOKUP($C30,'-ref_Distribution'!$B$146:$B$150,'-ref_Distribution'!$G$146:$G$150)),RIGHT(F$1,2)),"")</f>
        <v>692</v>
      </c>
      <c r="G30" s="16" cm="1">
        <f t="array" ref="G30">IFERROR(INDEX(_xlfn.ANCHORARRAY(_xlfn.XLOOKUP($C30,'-ref_Distribution'!$B$146:$B$150,'-ref_Distribution'!$G$146:$G$150)),RIGHT(G$1,2)),"")</f>
        <v>671</v>
      </c>
      <c r="H30" s="16" cm="1">
        <f t="array" ref="H30">IFERROR(INDEX(_xlfn.ANCHORARRAY(_xlfn.XLOOKUP($C30,'-ref_Distribution'!$B$146:$B$150,'-ref_Distribution'!$G$146:$G$150)),RIGHT(H$1,2)),"")</f>
        <v>643</v>
      </c>
      <c r="I30" s="16" cm="1">
        <f t="array" ref="I30">IFERROR(INDEX(_xlfn.ANCHORARRAY(_xlfn.XLOOKUP($C30,'-ref_Distribution'!$B$146:$B$150,'-ref_Distribution'!$G$146:$G$150)),RIGHT(I$1,2)),"")</f>
        <v>608</v>
      </c>
      <c r="J30" s="16" cm="1">
        <f t="array" ref="J30">IFERROR(INDEX(_xlfn.ANCHORARRAY(_xlfn.XLOOKUP($C30,'-ref_Distribution'!$B$146:$B$150,'-ref_Distribution'!$G$146:$G$150)),RIGHT(J$1,2)),"")</f>
        <v>568</v>
      </c>
      <c r="K30" s="16" cm="1">
        <f t="array" ref="K30">IFERROR(INDEX(_xlfn.ANCHORARRAY(_xlfn.XLOOKUP($C30,'-ref_Distribution'!$B$146:$B$150,'-ref_Distribution'!$G$146:$G$150)),RIGHT(K$1,2)),"")</f>
        <v>524</v>
      </c>
      <c r="L30" s="16" cm="1">
        <f t="array" ref="L30">IFERROR(INDEX(_xlfn.ANCHORARRAY(_xlfn.XLOOKUP($C30,'-ref_Distribution'!$B$146:$B$150,'-ref_Distribution'!$G$146:$G$150)),RIGHT(L$1,2)),"")</f>
        <v>478</v>
      </c>
      <c r="M30" s="16" cm="1">
        <f t="array" ref="M30">IFERROR(INDEX(_xlfn.ANCHORARRAY(_xlfn.XLOOKUP($C30,'-ref_Distribution'!$B$146:$B$150,'-ref_Distribution'!$G$146:$G$150)),RIGHT(M$1,2)),"")</f>
        <v>430</v>
      </c>
      <c r="N30" s="16" cm="1">
        <f t="array" ref="N30">IFERROR(INDEX(_xlfn.ANCHORARRAY(_xlfn.XLOOKUP($C30,'-ref_Distribution'!$B$146:$B$150,'-ref_Distribution'!$G$146:$G$150)),RIGHT(N$1,2)),"")</f>
        <v>383</v>
      </c>
      <c r="O30" s="16" cm="1">
        <f t="array" ref="O30">IFERROR(INDEX(_xlfn.ANCHORARRAY(_xlfn.XLOOKUP($C30,'-ref_Distribution'!$B$146:$B$150,'-ref_Distribution'!$G$146:$G$150)),RIGHT(O$1,2)),"")</f>
        <v>336</v>
      </c>
      <c r="P30" s="16" cm="1">
        <f t="array" ref="P30">IFERROR(INDEX(_xlfn.ANCHORARRAY(_xlfn.XLOOKUP($C30,'-ref_Distribution'!$B$146:$B$150,'-ref_Distribution'!$G$146:$G$150)),RIGHT(P$1,2)),"")</f>
        <v>292</v>
      </c>
      <c r="Q30" s="16" cm="1">
        <f t="array" ref="Q30">IFERROR(INDEX(_xlfn.ANCHORARRAY(_xlfn.XLOOKUP($C30,'-ref_Distribution'!$B$146:$B$150,'-ref_Distribution'!$G$146:$G$150)),RIGHT(Q$1,2)),"")</f>
        <v>250</v>
      </c>
      <c r="R30" s="16" cm="1">
        <f t="array" ref="R30">IFERROR(INDEX(_xlfn.ANCHORARRAY(_xlfn.XLOOKUP($C30,'-ref_Distribution'!$B$146:$B$150,'-ref_Distribution'!$G$146:$G$150)),RIGHT(R$1,2)),"")</f>
        <v>212</v>
      </c>
      <c r="S30" s="16" cm="1">
        <f t="array" ref="S30">IFERROR(INDEX(_xlfn.ANCHORARRAY(_xlfn.XLOOKUP($C30,'-ref_Distribution'!$B$146:$B$150,'-ref_Distribution'!$G$146:$G$150)),RIGHT(S$1,2)),"")</f>
        <v>177</v>
      </c>
      <c r="T30" s="16" cm="1">
        <f t="array" ref="T30">IFERROR(INDEX(_xlfn.ANCHORARRAY(_xlfn.XLOOKUP($C30,'-ref_Distribution'!$B$146:$B$150,'-ref_Distribution'!$G$146:$G$150)),RIGHT(T$1,2)),"")</f>
        <v>146</v>
      </c>
      <c r="U30" s="16" cm="1">
        <f t="array" ref="U30">IFERROR(INDEX(_xlfn.ANCHORARRAY(_xlfn.XLOOKUP($C30,'-ref_Distribution'!$B$146:$B$150,'-ref_Distribution'!$G$146:$G$150)),RIGHT(U$1,2)),"")</f>
        <v>119</v>
      </c>
      <c r="V30" s="16" cm="1">
        <f t="array" ref="V30">IFERROR(INDEX(_xlfn.ANCHORARRAY(_xlfn.XLOOKUP($C30,'-ref_Distribution'!$B$146:$B$150,'-ref_Distribution'!$G$146:$G$150)),RIGHT(V$1,2)),"")</f>
        <v>96</v>
      </c>
      <c r="W30" s="16" cm="1">
        <f t="array" ref="W30">IFERROR(INDEX(_xlfn.ANCHORARRAY(_xlfn.XLOOKUP($C30,'-ref_Distribution'!$B$146:$B$150,'-ref_Distribution'!$G$146:$G$150)),RIGHT(W$1,2)),"")</f>
        <v>76</v>
      </c>
      <c r="X30" s="16" cm="1">
        <f t="array" ref="X30">IFERROR(INDEX(_xlfn.ANCHORARRAY(_xlfn.XLOOKUP($C30,'-ref_Distribution'!$B$146:$B$150,'-ref_Distribution'!$G$146:$G$150)),RIGHT(X$1,2)),"")</f>
        <v>709</v>
      </c>
      <c r="Y30" s="16" cm="1">
        <f t="array" ref="Y30">IFERROR(INDEX(_xlfn.ANCHORARRAY(_xlfn.XLOOKUP($C30,'-ref_Distribution'!$B$146:$B$150,'-ref_Distribution'!$G$146:$G$150)),RIGHT(Y$1,2)),"")</f>
        <v>705</v>
      </c>
      <c r="Z30" s="16" cm="1">
        <f t="array" ref="Z30">IFERROR(INDEX(_xlfn.ANCHORARRAY(_xlfn.XLOOKUP($C30,'-ref_Distribution'!$B$146:$B$150,'-ref_Distribution'!$G$146:$G$150)),RIGHT(Z$1,2)),"")</f>
        <v>692</v>
      </c>
      <c r="AA30" s="16" cm="1">
        <f t="array" ref="AA30">IFERROR(INDEX(_xlfn.ANCHORARRAY(_xlfn.XLOOKUP($C30,'-ref_Distribution'!$B$146:$B$150,'-ref_Distribution'!$G$146:$G$150)),RIGHT(AA$1,2)),"")</f>
        <v>671</v>
      </c>
      <c r="AB30" s="16" cm="1">
        <f t="array" ref="AB30">IFERROR(INDEX(_xlfn.ANCHORARRAY(_xlfn.XLOOKUP($C30,'-ref_Distribution'!$B$146:$B$150,'-ref_Distribution'!$G$146:$G$150)),RIGHT(AB$1,2)),"")</f>
        <v>643</v>
      </c>
      <c r="AC30" s="16" cm="1">
        <f t="array" ref="AC30">IFERROR(INDEX(_xlfn.ANCHORARRAY(_xlfn.XLOOKUP($C30,'-ref_Distribution'!$B$146:$B$150,'-ref_Distribution'!$G$146:$G$150)),RIGHT(AC$1,2)),"")</f>
        <v>608</v>
      </c>
      <c r="AD30" s="16" cm="1">
        <f t="array" ref="AD30">IFERROR(INDEX(_xlfn.ANCHORARRAY(_xlfn.XLOOKUP($C30,'-ref_Distribution'!$B$146:$B$150,'-ref_Distribution'!$G$146:$G$150)),RIGHT(AD$1,2)),"")</f>
        <v>568</v>
      </c>
      <c r="AE30" s="16" cm="1">
        <f t="array" ref="AE30">IFERROR(INDEX(_xlfn.ANCHORARRAY(_xlfn.XLOOKUP($C30,'-ref_Distribution'!$B$146:$B$150,'-ref_Distribution'!$G$146:$G$150)),RIGHT(AE$1,2)),"")</f>
        <v>524</v>
      </c>
      <c r="AF30" s="16" cm="1">
        <f t="array" ref="AF30">IFERROR(INDEX(_xlfn.ANCHORARRAY(_xlfn.XLOOKUP($C30,'-ref_Distribution'!$B$146:$B$150,'-ref_Distribution'!$G$146:$G$150)),RIGHT(AF$1,2)),"")</f>
        <v>478</v>
      </c>
      <c r="AG30" s="16" cm="1">
        <f t="array" ref="AG30">IFERROR(INDEX(_xlfn.ANCHORARRAY(_xlfn.XLOOKUP($C30,'-ref_Distribution'!$B$146:$B$150,'-ref_Distribution'!$G$146:$G$150)),RIGHT(AG$1,2)),"")</f>
        <v>430</v>
      </c>
      <c r="AH30" s="16" cm="1">
        <f t="array" ref="AH30">IFERROR(INDEX(_xlfn.ANCHORARRAY(_xlfn.XLOOKUP($C30,'-ref_Distribution'!$B$146:$B$150,'-ref_Distribution'!$G$146:$G$150)),RIGHT(AH$1,2)),"")</f>
        <v>383</v>
      </c>
      <c r="AI30" s="16" cm="1">
        <f t="array" ref="AI30">IFERROR(INDEX(_xlfn.ANCHORARRAY(_xlfn.XLOOKUP($C30,'-ref_Distribution'!$B$146:$B$150,'-ref_Distribution'!$G$146:$G$150)),RIGHT(AI$1,2)),"")</f>
        <v>336</v>
      </c>
      <c r="AJ30" s="16" cm="1">
        <f t="array" ref="AJ30">IFERROR(INDEX(_xlfn.ANCHORARRAY(_xlfn.XLOOKUP($C30,'-ref_Distribution'!$B$146:$B$150,'-ref_Distribution'!$G$146:$G$150)),RIGHT(AJ$1,2)),"")</f>
        <v>292</v>
      </c>
      <c r="AK30" s="16" cm="1">
        <f t="array" ref="AK30">IFERROR(INDEX(_xlfn.ANCHORARRAY(_xlfn.XLOOKUP($C30,'-ref_Distribution'!$B$146:$B$150,'-ref_Distribution'!$G$146:$G$150)),RIGHT(AK$1,2)),"")</f>
        <v>250</v>
      </c>
      <c r="AL30" s="16" cm="1">
        <f t="array" ref="AL30">IFERROR(INDEX(_xlfn.ANCHORARRAY(_xlfn.XLOOKUP($C30,'-ref_Distribution'!$B$146:$B$150,'-ref_Distribution'!$G$146:$G$150)),RIGHT(AL$1,2)),"")</f>
        <v>212</v>
      </c>
      <c r="AM30" s="16" cm="1">
        <f t="array" ref="AM30">IFERROR(INDEX(_xlfn.ANCHORARRAY(_xlfn.XLOOKUP($C30,'-ref_Distribution'!$B$146:$B$150,'-ref_Distribution'!$G$146:$G$150)),RIGHT(AM$1,2)),"")</f>
        <v>177</v>
      </c>
      <c r="AN30" s="16" cm="1">
        <f t="array" ref="AN30">IFERROR(INDEX(_xlfn.ANCHORARRAY(_xlfn.XLOOKUP($C30,'-ref_Distribution'!$B$146:$B$150,'-ref_Distribution'!$G$146:$G$150)),RIGHT(AN$1,2)),"")</f>
        <v>146</v>
      </c>
      <c r="AO30" s="16" cm="1">
        <f t="array" ref="AO30">IFERROR(INDEX(_xlfn.ANCHORARRAY(_xlfn.XLOOKUP($C30,'-ref_Distribution'!$B$146:$B$150,'-ref_Distribution'!$G$146:$G$150)),RIGHT(AO$1,2)),"")</f>
        <v>119</v>
      </c>
      <c r="AP30" s="16" cm="1">
        <f t="array" ref="AP30">IFERROR(INDEX(_xlfn.ANCHORARRAY(_xlfn.XLOOKUP($C30,'-ref_Distribution'!$B$146:$B$150,'-ref_Distribution'!$G$146:$G$150)),RIGHT(AP$1,2)),"")</f>
        <v>96</v>
      </c>
      <c r="AQ30" s="16" cm="1">
        <f t="array" ref="AQ30">IFERROR(INDEX(_xlfn.ANCHORARRAY(_xlfn.XLOOKUP($C30,'-ref_Distribution'!$B$146:$B$150,'-ref_Distribution'!$G$146:$G$150)),RIGHT(AQ$1,2)),"")</f>
        <v>76</v>
      </c>
      <c r="AR30" s="16" cm="1">
        <f t="array" ref="AR30">IFERROR(INDEX(_xlfn.ANCHORARRAY(_xlfn.XLOOKUP($C30,'-ref_Distribution'!$B$146:$B$150,'-ref_Distribution'!$G$146:$G$150)),RIGHT(AR$1,2)),"")</f>
        <v>709</v>
      </c>
      <c r="AS30" s="16" cm="1">
        <f t="array" ref="AS30">IFERROR(INDEX(_xlfn.ANCHORARRAY(_xlfn.XLOOKUP($C30,'-ref_Distribution'!$B$146:$B$150,'-ref_Distribution'!$G$146:$G$150)),RIGHT(AS$1,2)),"")</f>
        <v>705</v>
      </c>
      <c r="AT30" s="16" cm="1">
        <f t="array" ref="AT30">IFERROR(INDEX(_xlfn.ANCHORARRAY(_xlfn.XLOOKUP($C30,'-ref_Distribution'!$B$146:$B$150,'-ref_Distribution'!$G$146:$G$150)),RIGHT(AT$1,2)),"")</f>
        <v>692</v>
      </c>
      <c r="AU30" s="16" cm="1">
        <f t="array" ref="AU30">IFERROR(INDEX(_xlfn.ANCHORARRAY(_xlfn.XLOOKUP($C30,'-ref_Distribution'!$B$146:$B$150,'-ref_Distribution'!$G$146:$G$150)),RIGHT(AU$1,2)),"")</f>
        <v>671</v>
      </c>
      <c r="AV30" s="16" cm="1">
        <f t="array" ref="AV30">IFERROR(INDEX(_xlfn.ANCHORARRAY(_xlfn.XLOOKUP($C30,'-ref_Distribution'!$B$146:$B$150,'-ref_Distribution'!$G$146:$G$150)),RIGHT(AV$1,2)),"")</f>
        <v>643</v>
      </c>
      <c r="AW30" s="16" cm="1">
        <f t="array" ref="AW30">IFERROR(INDEX(_xlfn.ANCHORARRAY(_xlfn.XLOOKUP($C30,'-ref_Distribution'!$B$146:$B$150,'-ref_Distribution'!$G$146:$G$150)),RIGHT(AW$1,2)),"")</f>
        <v>608</v>
      </c>
      <c r="AX30" s="16" cm="1">
        <f t="array" ref="AX30">IFERROR(INDEX(_xlfn.ANCHORARRAY(_xlfn.XLOOKUP($C30,'-ref_Distribution'!$B$146:$B$150,'-ref_Distribution'!$G$146:$G$150)),RIGHT(AX$1,2)),"")</f>
        <v>568</v>
      </c>
      <c r="AY30" s="16" cm="1">
        <f t="array" ref="AY30">IFERROR(INDEX(_xlfn.ANCHORARRAY(_xlfn.XLOOKUP($C30,'-ref_Distribution'!$B$146:$B$150,'-ref_Distribution'!$G$146:$G$150)),RIGHT(AY$1,2)),"")</f>
        <v>524</v>
      </c>
      <c r="AZ30" s="16" cm="1">
        <f t="array" ref="AZ30">IFERROR(INDEX(_xlfn.ANCHORARRAY(_xlfn.XLOOKUP($C30,'-ref_Distribution'!$B$146:$B$150,'-ref_Distribution'!$G$146:$G$150)),RIGHT(AZ$1,2)),"")</f>
        <v>478</v>
      </c>
      <c r="BA30" s="16" cm="1">
        <f t="array" ref="BA30">IFERROR(INDEX(_xlfn.ANCHORARRAY(_xlfn.XLOOKUP($C30,'-ref_Distribution'!$B$146:$B$150,'-ref_Distribution'!$G$146:$G$150)),RIGHT(BA$1,2)),"")</f>
        <v>430</v>
      </c>
      <c r="BB30" s="16" cm="1">
        <f t="array" ref="BB30">IFERROR(INDEX(_xlfn.ANCHORARRAY(_xlfn.XLOOKUP($C30,'-ref_Distribution'!$B$146:$B$150,'-ref_Distribution'!$G$146:$G$150)),RIGHT(BB$1,2)),"")</f>
        <v>383</v>
      </c>
      <c r="BC30" s="16" cm="1">
        <f t="array" ref="BC30">IFERROR(INDEX(_xlfn.ANCHORARRAY(_xlfn.XLOOKUP($C30,'-ref_Distribution'!$B$146:$B$150,'-ref_Distribution'!$G$146:$G$150)),RIGHT(BC$1,2)),"")</f>
        <v>336</v>
      </c>
      <c r="BD30" s="16" cm="1">
        <f t="array" ref="BD30">IFERROR(INDEX(_xlfn.ANCHORARRAY(_xlfn.XLOOKUP($C30,'-ref_Distribution'!$B$146:$B$150,'-ref_Distribution'!$G$146:$G$150)),RIGHT(BD$1,2)),"")</f>
        <v>292</v>
      </c>
      <c r="BE30" s="16" cm="1">
        <f t="array" ref="BE30">IFERROR(INDEX(_xlfn.ANCHORARRAY(_xlfn.XLOOKUP($C30,'-ref_Distribution'!$B$146:$B$150,'-ref_Distribution'!$G$146:$G$150)),RIGHT(BE$1,2)),"")</f>
        <v>250</v>
      </c>
      <c r="BF30" s="16" cm="1">
        <f t="array" ref="BF30">IFERROR(INDEX(_xlfn.ANCHORARRAY(_xlfn.XLOOKUP($C30,'-ref_Distribution'!$B$146:$B$150,'-ref_Distribution'!$G$146:$G$150)),RIGHT(BF$1,2)),"")</f>
        <v>212</v>
      </c>
      <c r="BG30" s="16" cm="1">
        <f t="array" ref="BG30">IFERROR(INDEX(_xlfn.ANCHORARRAY(_xlfn.XLOOKUP($C30,'-ref_Distribution'!$B$146:$B$150,'-ref_Distribution'!$G$146:$G$150)),RIGHT(BG$1,2)),"")</f>
        <v>177</v>
      </c>
      <c r="BH30" s="16" cm="1">
        <f t="array" ref="BH30">IFERROR(INDEX(_xlfn.ANCHORARRAY(_xlfn.XLOOKUP($C30,'-ref_Distribution'!$B$146:$B$150,'-ref_Distribution'!$G$146:$G$150)),RIGHT(BH$1,2)),"")</f>
        <v>146</v>
      </c>
      <c r="BI30" s="16" cm="1">
        <f t="array" ref="BI30">IFERROR(INDEX(_xlfn.ANCHORARRAY(_xlfn.XLOOKUP($C30,'-ref_Distribution'!$B$146:$B$150,'-ref_Distribution'!$G$146:$G$150)),RIGHT(BI$1,2)),"")</f>
        <v>119</v>
      </c>
      <c r="BJ30" s="16" cm="1">
        <f t="array" ref="BJ30">IFERROR(INDEX(_xlfn.ANCHORARRAY(_xlfn.XLOOKUP($C30,'-ref_Distribution'!$B$146:$B$150,'-ref_Distribution'!$G$146:$G$150)),RIGHT(BJ$1,2)),"")</f>
        <v>96</v>
      </c>
      <c r="BK30" s="16" cm="1">
        <f t="array" ref="BK30">IFERROR(INDEX(_xlfn.ANCHORARRAY(_xlfn.XLOOKUP($C30,'-ref_Distribution'!$B$146:$B$150,'-ref_Distribution'!$G$146:$G$150)),RIGHT(BK$1,2)),"")</f>
        <v>76</v>
      </c>
      <c r="BL30" s="16" cm="1">
        <f t="array" ref="BL30">IFERROR(INDEX(_xlfn.ANCHORARRAY(_xlfn.XLOOKUP($C30,'-ref_Distribution'!$B$146:$B$150,'-ref_Distribution'!$G$146:$G$150)),RIGHT(BL$1,2)),"")</f>
        <v>709</v>
      </c>
      <c r="BM30" s="16" cm="1">
        <f t="array" ref="BM30">IFERROR(INDEX(_xlfn.ANCHORARRAY(_xlfn.XLOOKUP($C30,'-ref_Distribution'!$B$146:$B$150,'-ref_Distribution'!$G$146:$G$150)),RIGHT(BM$1,2)),"")</f>
        <v>705</v>
      </c>
      <c r="BN30" s="16" cm="1">
        <f t="array" ref="BN30">IFERROR(INDEX(_xlfn.ANCHORARRAY(_xlfn.XLOOKUP($C30,'-ref_Distribution'!$B$146:$B$150,'-ref_Distribution'!$G$146:$G$150)),RIGHT(BN$1,2)),"")</f>
        <v>692</v>
      </c>
      <c r="BO30" s="16" cm="1">
        <f t="array" ref="BO30">IFERROR(INDEX(_xlfn.ANCHORARRAY(_xlfn.XLOOKUP($C30,'-ref_Distribution'!$B$146:$B$150,'-ref_Distribution'!$G$146:$G$150)),RIGHT(BO$1,2)),"")</f>
        <v>671</v>
      </c>
      <c r="BP30" s="16" cm="1">
        <f t="array" ref="BP30">IFERROR(INDEX(_xlfn.ANCHORARRAY(_xlfn.XLOOKUP($C30,'-ref_Distribution'!$B$146:$B$150,'-ref_Distribution'!$G$146:$G$150)),RIGHT(BP$1,2)),"")</f>
        <v>643</v>
      </c>
      <c r="BQ30" s="16" cm="1">
        <f t="array" ref="BQ30">IFERROR(INDEX(_xlfn.ANCHORARRAY(_xlfn.XLOOKUP($C30,'-ref_Distribution'!$B$146:$B$150,'-ref_Distribution'!$G$146:$G$150)),RIGHT(BQ$1,2)),"")</f>
        <v>608</v>
      </c>
      <c r="BR30" s="16" cm="1">
        <f t="array" ref="BR30">IFERROR(INDEX(_xlfn.ANCHORARRAY(_xlfn.XLOOKUP($C30,'-ref_Distribution'!$B$146:$B$150,'-ref_Distribution'!$G$146:$G$150)),RIGHT(BR$1,2)),"")</f>
        <v>568</v>
      </c>
      <c r="BS30" s="16" cm="1">
        <f t="array" ref="BS30">IFERROR(INDEX(_xlfn.ANCHORARRAY(_xlfn.XLOOKUP($C30,'-ref_Distribution'!$B$146:$B$150,'-ref_Distribution'!$G$146:$G$150)),RIGHT(BS$1,2)),"")</f>
        <v>524</v>
      </c>
      <c r="BT30" s="16" cm="1">
        <f t="array" ref="BT30">IFERROR(INDEX(_xlfn.ANCHORARRAY(_xlfn.XLOOKUP($C30,'-ref_Distribution'!$B$146:$B$150,'-ref_Distribution'!$G$146:$G$150)),RIGHT(BT$1,2)),"")</f>
        <v>478</v>
      </c>
      <c r="BU30" s="16" cm="1">
        <f t="array" ref="BU30">IFERROR(INDEX(_xlfn.ANCHORARRAY(_xlfn.XLOOKUP($C30,'-ref_Distribution'!$B$146:$B$150,'-ref_Distribution'!$G$146:$G$150)),RIGHT(BU$1,2)),"")</f>
        <v>430</v>
      </c>
      <c r="BV30" s="16" cm="1">
        <f t="array" ref="BV30">IFERROR(INDEX(_xlfn.ANCHORARRAY(_xlfn.XLOOKUP($C30,'-ref_Distribution'!$B$146:$B$150,'-ref_Distribution'!$G$146:$G$150)),RIGHT(BV$1,2)),"")</f>
        <v>383</v>
      </c>
      <c r="BW30" s="16" cm="1">
        <f t="array" ref="BW30">IFERROR(INDEX(_xlfn.ANCHORARRAY(_xlfn.XLOOKUP($C30,'-ref_Distribution'!$B$146:$B$150,'-ref_Distribution'!$G$146:$G$150)),RIGHT(BW$1,2)),"")</f>
        <v>336</v>
      </c>
      <c r="BX30" s="16" cm="1">
        <f t="array" ref="BX30">IFERROR(INDEX(_xlfn.ANCHORARRAY(_xlfn.XLOOKUP($C30,'-ref_Distribution'!$B$146:$B$150,'-ref_Distribution'!$G$146:$G$150)),RIGHT(BX$1,2)),"")</f>
        <v>292</v>
      </c>
      <c r="BY30" s="16" cm="1">
        <f t="array" ref="BY30">IFERROR(INDEX(_xlfn.ANCHORARRAY(_xlfn.XLOOKUP($C30,'-ref_Distribution'!$B$146:$B$150,'-ref_Distribution'!$G$146:$G$150)),RIGHT(BY$1,2)),"")</f>
        <v>250</v>
      </c>
      <c r="BZ30" s="16" cm="1">
        <f t="array" ref="BZ30">IFERROR(INDEX(_xlfn.ANCHORARRAY(_xlfn.XLOOKUP($C30,'-ref_Distribution'!$B$146:$B$150,'-ref_Distribution'!$G$146:$G$150)),RIGHT(BZ$1,2)),"")</f>
        <v>212</v>
      </c>
      <c r="CA30" s="16" cm="1">
        <f t="array" ref="CA30">IFERROR(INDEX(_xlfn.ANCHORARRAY(_xlfn.XLOOKUP($C30,'-ref_Distribution'!$B$146:$B$150,'-ref_Distribution'!$G$146:$G$150)),RIGHT(CA$1,2)),"")</f>
        <v>177</v>
      </c>
      <c r="CB30" s="16" cm="1">
        <f t="array" ref="CB30">IFERROR(INDEX(_xlfn.ANCHORARRAY(_xlfn.XLOOKUP($C30,'-ref_Distribution'!$B$146:$B$150,'-ref_Distribution'!$G$146:$G$150)),RIGHT(CB$1,2)),"")</f>
        <v>146</v>
      </c>
      <c r="CC30" s="16" cm="1">
        <f t="array" ref="CC30">IFERROR(INDEX(_xlfn.ANCHORARRAY(_xlfn.XLOOKUP($C30,'-ref_Distribution'!$B$146:$B$150,'-ref_Distribution'!$G$146:$G$150)),RIGHT(CC$1,2)),"")</f>
        <v>119</v>
      </c>
      <c r="CD30" s="16" cm="1">
        <f t="array" ref="CD30">IFERROR(INDEX(_xlfn.ANCHORARRAY(_xlfn.XLOOKUP($C30,'-ref_Distribution'!$B$146:$B$150,'-ref_Distribution'!$G$146:$G$150)),RIGHT(CD$1,2)),"")</f>
        <v>96</v>
      </c>
      <c r="CE30" s="16" cm="1">
        <f t="array" ref="CE30">IFERROR(INDEX(_xlfn.ANCHORARRAY(_xlfn.XLOOKUP($C30,'-ref_Distribution'!$B$146:$B$150,'-ref_Distribution'!$G$146:$G$150)),RIGHT(CE$1,2)),"")</f>
        <v>76</v>
      </c>
    </row>
    <row r="31" spans="1:95" x14ac:dyDescent="0.2">
      <c r="A31" s="16">
        <v>301032</v>
      </c>
      <c r="B31" s="16" t="s">
        <v>219</v>
      </c>
      <c r="C31" s="16">
        <v>1</v>
      </c>
      <c r="D31" s="16" cm="1">
        <f t="array" ref="D31">IFERROR(INDEX(_xlfn.ANCHORARRAY(_xlfn.XLOOKUP($C31,'-ref_Distribution'!$B$146:$B$150,'-ref_Distribution'!$G$146:$G$150)),RIGHT(D$1,2)),"")</f>
        <v>337</v>
      </c>
      <c r="E31" s="16" cm="1">
        <f t="array" ref="E31">IFERROR(INDEX(_xlfn.ANCHORARRAY(_xlfn.XLOOKUP($C31,'-ref_Distribution'!$B$146:$B$150,'-ref_Distribution'!$G$146:$G$150)),RIGHT(E$1,2)),"")</f>
        <v>364</v>
      </c>
      <c r="F31" s="16" cm="1">
        <f t="array" ref="F31">IFERROR(INDEX(_xlfn.ANCHORARRAY(_xlfn.XLOOKUP($C31,'-ref_Distribution'!$B$146:$B$150,'-ref_Distribution'!$G$146:$G$150)),RIGHT(F$1,2)),"")</f>
        <v>386</v>
      </c>
      <c r="G31" s="16" cm="1">
        <f t="array" ref="G31">IFERROR(INDEX(_xlfn.ANCHORARRAY(_xlfn.XLOOKUP($C31,'-ref_Distribution'!$B$146:$B$150,'-ref_Distribution'!$G$146:$G$150)),RIGHT(G$1,2)),"")</f>
        <v>403</v>
      </c>
      <c r="H31" s="16" cm="1">
        <f t="array" ref="H31">IFERROR(INDEX(_xlfn.ANCHORARRAY(_xlfn.XLOOKUP($C31,'-ref_Distribution'!$B$146:$B$150,'-ref_Distribution'!$G$146:$G$150)),RIGHT(H$1,2)),"")</f>
        <v>414</v>
      </c>
      <c r="I31" s="16" cm="1">
        <f t="array" ref="I31">IFERROR(INDEX(_xlfn.ANCHORARRAY(_xlfn.XLOOKUP($C31,'-ref_Distribution'!$B$146:$B$150,'-ref_Distribution'!$G$146:$G$150)),RIGHT(I$1,2)),"")</f>
        <v>417</v>
      </c>
      <c r="J31" s="16" cm="1">
        <f t="array" ref="J31">IFERROR(INDEX(_xlfn.ANCHORARRAY(_xlfn.XLOOKUP($C31,'-ref_Distribution'!$B$146:$B$150,'-ref_Distribution'!$G$146:$G$150)),RIGHT(J$1,2)),"")</f>
        <v>414</v>
      </c>
      <c r="K31" s="16" cm="1">
        <f t="array" ref="K31">IFERROR(INDEX(_xlfn.ANCHORARRAY(_xlfn.XLOOKUP($C31,'-ref_Distribution'!$B$146:$B$150,'-ref_Distribution'!$G$146:$G$150)),RIGHT(K$1,2)),"")</f>
        <v>403</v>
      </c>
      <c r="L31" s="16" cm="1">
        <f t="array" ref="L31">IFERROR(INDEX(_xlfn.ANCHORARRAY(_xlfn.XLOOKUP($C31,'-ref_Distribution'!$B$146:$B$150,'-ref_Distribution'!$G$146:$G$150)),RIGHT(L$1,2)),"")</f>
        <v>386</v>
      </c>
      <c r="M31" s="16" cm="1">
        <f t="array" ref="M31">IFERROR(INDEX(_xlfn.ANCHORARRAY(_xlfn.XLOOKUP($C31,'-ref_Distribution'!$B$146:$B$150,'-ref_Distribution'!$G$146:$G$150)),RIGHT(M$1,2)),"")</f>
        <v>364</v>
      </c>
      <c r="N31" s="16" cm="1">
        <f t="array" ref="N31">IFERROR(INDEX(_xlfn.ANCHORARRAY(_xlfn.XLOOKUP($C31,'-ref_Distribution'!$B$146:$B$150,'-ref_Distribution'!$G$146:$G$150)),RIGHT(N$1,2)),"")</f>
        <v>337</v>
      </c>
      <c r="O31" s="16" cm="1">
        <f t="array" ref="O31">IFERROR(INDEX(_xlfn.ANCHORARRAY(_xlfn.XLOOKUP($C31,'-ref_Distribution'!$B$146:$B$150,'-ref_Distribution'!$G$146:$G$150)),RIGHT(O$1,2)),"")</f>
        <v>307</v>
      </c>
      <c r="P31" s="16" cm="1">
        <f t="array" ref="P31">IFERROR(INDEX(_xlfn.ANCHORARRAY(_xlfn.XLOOKUP($C31,'-ref_Distribution'!$B$146:$B$150,'-ref_Distribution'!$G$146:$G$150)),RIGHT(P$1,2)),"")</f>
        <v>274</v>
      </c>
      <c r="Q31" s="16" cm="1">
        <f t="array" ref="Q31">IFERROR(INDEX(_xlfn.ANCHORARRAY(_xlfn.XLOOKUP($C31,'-ref_Distribution'!$B$146:$B$150,'-ref_Distribution'!$G$146:$G$150)),RIGHT(Q$1,2)),"")</f>
        <v>241</v>
      </c>
      <c r="R31" s="16" cm="1">
        <f t="array" ref="R31">IFERROR(INDEX(_xlfn.ANCHORARRAY(_xlfn.XLOOKUP($C31,'-ref_Distribution'!$B$146:$B$150,'-ref_Distribution'!$G$146:$G$150)),RIGHT(R$1,2)),"")</f>
        <v>209</v>
      </c>
      <c r="S31" s="16" cm="1">
        <f t="array" ref="S31">IFERROR(INDEX(_xlfn.ANCHORARRAY(_xlfn.XLOOKUP($C31,'-ref_Distribution'!$B$146:$B$150,'-ref_Distribution'!$G$146:$G$150)),RIGHT(S$1,2)),"")</f>
        <v>178</v>
      </c>
      <c r="T31" s="16" cm="1">
        <f t="array" ref="T31">IFERROR(INDEX(_xlfn.ANCHORARRAY(_xlfn.XLOOKUP($C31,'-ref_Distribution'!$B$146:$B$150,'-ref_Distribution'!$G$146:$G$150)),RIGHT(T$1,2)),"")</f>
        <v>148</v>
      </c>
      <c r="U31" s="16" cm="1">
        <f t="array" ref="U31">IFERROR(INDEX(_xlfn.ANCHORARRAY(_xlfn.XLOOKUP($C31,'-ref_Distribution'!$B$146:$B$150,'-ref_Distribution'!$G$146:$G$150)),RIGHT(U$1,2)),"")</f>
        <v>122</v>
      </c>
      <c r="V31" s="16" cm="1">
        <f t="array" ref="V31">IFERROR(INDEX(_xlfn.ANCHORARRAY(_xlfn.XLOOKUP($C31,'-ref_Distribution'!$B$146:$B$150,'-ref_Distribution'!$G$146:$G$150)),RIGHT(V$1,2)),"")</f>
        <v>98</v>
      </c>
      <c r="W31" s="16" cm="1">
        <f t="array" ref="W31">IFERROR(INDEX(_xlfn.ANCHORARRAY(_xlfn.XLOOKUP($C31,'-ref_Distribution'!$B$146:$B$150,'-ref_Distribution'!$G$146:$G$150)),RIGHT(W$1,2)),"")</f>
        <v>78</v>
      </c>
      <c r="X31" s="16" cm="1">
        <f t="array" ref="X31">IFERROR(INDEX(_xlfn.ANCHORARRAY(_xlfn.XLOOKUP($C31,'-ref_Distribution'!$B$146:$B$150,'-ref_Distribution'!$G$146:$G$150)),RIGHT(X$1,2)),"")</f>
        <v>337</v>
      </c>
      <c r="Y31" s="16" cm="1">
        <f t="array" ref="Y31">IFERROR(INDEX(_xlfn.ANCHORARRAY(_xlfn.XLOOKUP($C31,'-ref_Distribution'!$B$146:$B$150,'-ref_Distribution'!$G$146:$G$150)),RIGHT(Y$1,2)),"")</f>
        <v>364</v>
      </c>
      <c r="Z31" s="16" cm="1">
        <f t="array" ref="Z31">IFERROR(INDEX(_xlfn.ANCHORARRAY(_xlfn.XLOOKUP($C31,'-ref_Distribution'!$B$146:$B$150,'-ref_Distribution'!$G$146:$G$150)),RIGHT(Z$1,2)),"")</f>
        <v>386</v>
      </c>
      <c r="AA31" s="16" cm="1">
        <f t="array" ref="AA31">IFERROR(INDEX(_xlfn.ANCHORARRAY(_xlfn.XLOOKUP($C31,'-ref_Distribution'!$B$146:$B$150,'-ref_Distribution'!$G$146:$G$150)),RIGHT(AA$1,2)),"")</f>
        <v>403</v>
      </c>
      <c r="AB31" s="16" cm="1">
        <f t="array" ref="AB31">IFERROR(INDEX(_xlfn.ANCHORARRAY(_xlfn.XLOOKUP($C31,'-ref_Distribution'!$B$146:$B$150,'-ref_Distribution'!$G$146:$G$150)),RIGHT(AB$1,2)),"")</f>
        <v>414</v>
      </c>
      <c r="AC31" s="16" cm="1">
        <f t="array" ref="AC31">IFERROR(INDEX(_xlfn.ANCHORARRAY(_xlfn.XLOOKUP($C31,'-ref_Distribution'!$B$146:$B$150,'-ref_Distribution'!$G$146:$G$150)),RIGHT(AC$1,2)),"")</f>
        <v>417</v>
      </c>
      <c r="AD31" s="16" cm="1">
        <f t="array" ref="AD31">IFERROR(INDEX(_xlfn.ANCHORARRAY(_xlfn.XLOOKUP($C31,'-ref_Distribution'!$B$146:$B$150,'-ref_Distribution'!$G$146:$G$150)),RIGHT(AD$1,2)),"")</f>
        <v>414</v>
      </c>
      <c r="AE31" s="16" cm="1">
        <f t="array" ref="AE31">IFERROR(INDEX(_xlfn.ANCHORARRAY(_xlfn.XLOOKUP($C31,'-ref_Distribution'!$B$146:$B$150,'-ref_Distribution'!$G$146:$G$150)),RIGHT(AE$1,2)),"")</f>
        <v>403</v>
      </c>
      <c r="AF31" s="16" cm="1">
        <f t="array" ref="AF31">IFERROR(INDEX(_xlfn.ANCHORARRAY(_xlfn.XLOOKUP($C31,'-ref_Distribution'!$B$146:$B$150,'-ref_Distribution'!$G$146:$G$150)),RIGHT(AF$1,2)),"")</f>
        <v>386</v>
      </c>
      <c r="AG31" s="16" cm="1">
        <f t="array" ref="AG31">IFERROR(INDEX(_xlfn.ANCHORARRAY(_xlfn.XLOOKUP($C31,'-ref_Distribution'!$B$146:$B$150,'-ref_Distribution'!$G$146:$G$150)),RIGHT(AG$1,2)),"")</f>
        <v>364</v>
      </c>
      <c r="AH31" s="16" cm="1">
        <f t="array" ref="AH31">IFERROR(INDEX(_xlfn.ANCHORARRAY(_xlfn.XLOOKUP($C31,'-ref_Distribution'!$B$146:$B$150,'-ref_Distribution'!$G$146:$G$150)),RIGHT(AH$1,2)),"")</f>
        <v>337</v>
      </c>
      <c r="AI31" s="16" cm="1">
        <f t="array" ref="AI31">IFERROR(INDEX(_xlfn.ANCHORARRAY(_xlfn.XLOOKUP($C31,'-ref_Distribution'!$B$146:$B$150,'-ref_Distribution'!$G$146:$G$150)),RIGHT(AI$1,2)),"")</f>
        <v>307</v>
      </c>
      <c r="AJ31" s="16" cm="1">
        <f t="array" ref="AJ31">IFERROR(INDEX(_xlfn.ANCHORARRAY(_xlfn.XLOOKUP($C31,'-ref_Distribution'!$B$146:$B$150,'-ref_Distribution'!$G$146:$G$150)),RIGHT(AJ$1,2)),"")</f>
        <v>274</v>
      </c>
      <c r="AK31" s="16" cm="1">
        <f t="array" ref="AK31">IFERROR(INDEX(_xlfn.ANCHORARRAY(_xlfn.XLOOKUP($C31,'-ref_Distribution'!$B$146:$B$150,'-ref_Distribution'!$G$146:$G$150)),RIGHT(AK$1,2)),"")</f>
        <v>241</v>
      </c>
      <c r="AL31" s="16" cm="1">
        <f t="array" ref="AL31">IFERROR(INDEX(_xlfn.ANCHORARRAY(_xlfn.XLOOKUP($C31,'-ref_Distribution'!$B$146:$B$150,'-ref_Distribution'!$G$146:$G$150)),RIGHT(AL$1,2)),"")</f>
        <v>209</v>
      </c>
      <c r="AM31" s="16" cm="1">
        <f t="array" ref="AM31">IFERROR(INDEX(_xlfn.ANCHORARRAY(_xlfn.XLOOKUP($C31,'-ref_Distribution'!$B$146:$B$150,'-ref_Distribution'!$G$146:$G$150)),RIGHT(AM$1,2)),"")</f>
        <v>178</v>
      </c>
      <c r="AN31" s="16" cm="1">
        <f t="array" ref="AN31">IFERROR(INDEX(_xlfn.ANCHORARRAY(_xlfn.XLOOKUP($C31,'-ref_Distribution'!$B$146:$B$150,'-ref_Distribution'!$G$146:$G$150)),RIGHT(AN$1,2)),"")</f>
        <v>148</v>
      </c>
      <c r="AO31" s="16" cm="1">
        <f t="array" ref="AO31">IFERROR(INDEX(_xlfn.ANCHORARRAY(_xlfn.XLOOKUP($C31,'-ref_Distribution'!$B$146:$B$150,'-ref_Distribution'!$G$146:$G$150)),RIGHT(AO$1,2)),"")</f>
        <v>122</v>
      </c>
      <c r="AP31" s="16" cm="1">
        <f t="array" ref="AP31">IFERROR(INDEX(_xlfn.ANCHORARRAY(_xlfn.XLOOKUP($C31,'-ref_Distribution'!$B$146:$B$150,'-ref_Distribution'!$G$146:$G$150)),RIGHT(AP$1,2)),"")</f>
        <v>98</v>
      </c>
      <c r="AQ31" s="16" cm="1">
        <f t="array" ref="AQ31">IFERROR(INDEX(_xlfn.ANCHORARRAY(_xlfn.XLOOKUP($C31,'-ref_Distribution'!$B$146:$B$150,'-ref_Distribution'!$G$146:$G$150)),RIGHT(AQ$1,2)),"")</f>
        <v>78</v>
      </c>
      <c r="AR31" s="16" cm="1">
        <f t="array" ref="AR31">IFERROR(INDEX(_xlfn.ANCHORARRAY(_xlfn.XLOOKUP($C31,'-ref_Distribution'!$B$146:$B$150,'-ref_Distribution'!$G$146:$G$150)),RIGHT(AR$1,2)),"")</f>
        <v>337</v>
      </c>
      <c r="AS31" s="16" cm="1">
        <f t="array" ref="AS31">IFERROR(INDEX(_xlfn.ANCHORARRAY(_xlfn.XLOOKUP($C31,'-ref_Distribution'!$B$146:$B$150,'-ref_Distribution'!$G$146:$G$150)),RIGHT(AS$1,2)),"")</f>
        <v>364</v>
      </c>
      <c r="AT31" s="16" cm="1">
        <f t="array" ref="AT31">IFERROR(INDEX(_xlfn.ANCHORARRAY(_xlfn.XLOOKUP($C31,'-ref_Distribution'!$B$146:$B$150,'-ref_Distribution'!$G$146:$G$150)),RIGHT(AT$1,2)),"")</f>
        <v>386</v>
      </c>
      <c r="AU31" s="16" cm="1">
        <f t="array" ref="AU31">IFERROR(INDEX(_xlfn.ANCHORARRAY(_xlfn.XLOOKUP($C31,'-ref_Distribution'!$B$146:$B$150,'-ref_Distribution'!$G$146:$G$150)),RIGHT(AU$1,2)),"")</f>
        <v>403</v>
      </c>
      <c r="AV31" s="16" cm="1">
        <f t="array" ref="AV31">IFERROR(INDEX(_xlfn.ANCHORARRAY(_xlfn.XLOOKUP($C31,'-ref_Distribution'!$B$146:$B$150,'-ref_Distribution'!$G$146:$G$150)),RIGHT(AV$1,2)),"")</f>
        <v>414</v>
      </c>
      <c r="AW31" s="16" cm="1">
        <f t="array" ref="AW31">IFERROR(INDEX(_xlfn.ANCHORARRAY(_xlfn.XLOOKUP($C31,'-ref_Distribution'!$B$146:$B$150,'-ref_Distribution'!$G$146:$G$150)),RIGHT(AW$1,2)),"")</f>
        <v>417</v>
      </c>
      <c r="AX31" s="16" cm="1">
        <f t="array" ref="AX31">IFERROR(INDEX(_xlfn.ANCHORARRAY(_xlfn.XLOOKUP($C31,'-ref_Distribution'!$B$146:$B$150,'-ref_Distribution'!$G$146:$G$150)),RIGHT(AX$1,2)),"")</f>
        <v>414</v>
      </c>
      <c r="AY31" s="16" cm="1">
        <f t="array" ref="AY31">IFERROR(INDEX(_xlfn.ANCHORARRAY(_xlfn.XLOOKUP($C31,'-ref_Distribution'!$B$146:$B$150,'-ref_Distribution'!$G$146:$G$150)),RIGHT(AY$1,2)),"")</f>
        <v>403</v>
      </c>
      <c r="AZ31" s="16" cm="1">
        <f t="array" ref="AZ31">IFERROR(INDEX(_xlfn.ANCHORARRAY(_xlfn.XLOOKUP($C31,'-ref_Distribution'!$B$146:$B$150,'-ref_Distribution'!$G$146:$G$150)),RIGHT(AZ$1,2)),"")</f>
        <v>386</v>
      </c>
      <c r="BA31" s="16" cm="1">
        <f t="array" ref="BA31">IFERROR(INDEX(_xlfn.ANCHORARRAY(_xlfn.XLOOKUP($C31,'-ref_Distribution'!$B$146:$B$150,'-ref_Distribution'!$G$146:$G$150)),RIGHT(BA$1,2)),"")</f>
        <v>364</v>
      </c>
      <c r="BB31" s="16" cm="1">
        <f t="array" ref="BB31">IFERROR(INDEX(_xlfn.ANCHORARRAY(_xlfn.XLOOKUP($C31,'-ref_Distribution'!$B$146:$B$150,'-ref_Distribution'!$G$146:$G$150)),RIGHT(BB$1,2)),"")</f>
        <v>337</v>
      </c>
      <c r="BC31" s="16" cm="1">
        <f t="array" ref="BC31">IFERROR(INDEX(_xlfn.ANCHORARRAY(_xlfn.XLOOKUP($C31,'-ref_Distribution'!$B$146:$B$150,'-ref_Distribution'!$G$146:$G$150)),RIGHT(BC$1,2)),"")</f>
        <v>307</v>
      </c>
      <c r="BD31" s="16" cm="1">
        <f t="array" ref="BD31">IFERROR(INDEX(_xlfn.ANCHORARRAY(_xlfn.XLOOKUP($C31,'-ref_Distribution'!$B$146:$B$150,'-ref_Distribution'!$G$146:$G$150)),RIGHT(BD$1,2)),"")</f>
        <v>274</v>
      </c>
      <c r="BE31" s="16" cm="1">
        <f t="array" ref="BE31">IFERROR(INDEX(_xlfn.ANCHORARRAY(_xlfn.XLOOKUP($C31,'-ref_Distribution'!$B$146:$B$150,'-ref_Distribution'!$G$146:$G$150)),RIGHT(BE$1,2)),"")</f>
        <v>241</v>
      </c>
      <c r="BF31" s="16" cm="1">
        <f t="array" ref="BF31">IFERROR(INDEX(_xlfn.ANCHORARRAY(_xlfn.XLOOKUP($C31,'-ref_Distribution'!$B$146:$B$150,'-ref_Distribution'!$G$146:$G$150)),RIGHT(BF$1,2)),"")</f>
        <v>209</v>
      </c>
      <c r="BG31" s="16" cm="1">
        <f t="array" ref="BG31">IFERROR(INDEX(_xlfn.ANCHORARRAY(_xlfn.XLOOKUP($C31,'-ref_Distribution'!$B$146:$B$150,'-ref_Distribution'!$G$146:$G$150)),RIGHT(BG$1,2)),"")</f>
        <v>178</v>
      </c>
      <c r="BH31" s="16" cm="1">
        <f t="array" ref="BH31">IFERROR(INDEX(_xlfn.ANCHORARRAY(_xlfn.XLOOKUP($C31,'-ref_Distribution'!$B$146:$B$150,'-ref_Distribution'!$G$146:$G$150)),RIGHT(BH$1,2)),"")</f>
        <v>148</v>
      </c>
      <c r="BI31" s="16" cm="1">
        <f t="array" ref="BI31">IFERROR(INDEX(_xlfn.ANCHORARRAY(_xlfn.XLOOKUP($C31,'-ref_Distribution'!$B$146:$B$150,'-ref_Distribution'!$G$146:$G$150)),RIGHT(BI$1,2)),"")</f>
        <v>122</v>
      </c>
      <c r="BJ31" s="16" cm="1">
        <f t="array" ref="BJ31">IFERROR(INDEX(_xlfn.ANCHORARRAY(_xlfn.XLOOKUP($C31,'-ref_Distribution'!$B$146:$B$150,'-ref_Distribution'!$G$146:$G$150)),RIGHT(BJ$1,2)),"")</f>
        <v>98</v>
      </c>
      <c r="BK31" s="16" cm="1">
        <f t="array" ref="BK31">IFERROR(INDEX(_xlfn.ANCHORARRAY(_xlfn.XLOOKUP($C31,'-ref_Distribution'!$B$146:$B$150,'-ref_Distribution'!$G$146:$G$150)),RIGHT(BK$1,2)),"")</f>
        <v>78</v>
      </c>
      <c r="BL31" s="16" cm="1">
        <f t="array" ref="BL31">IFERROR(INDEX(_xlfn.ANCHORARRAY(_xlfn.XLOOKUP($C31,'-ref_Distribution'!$B$146:$B$150,'-ref_Distribution'!$G$146:$G$150)),RIGHT(BL$1,2)),"")</f>
        <v>337</v>
      </c>
      <c r="BM31" s="16" cm="1">
        <f t="array" ref="BM31">IFERROR(INDEX(_xlfn.ANCHORARRAY(_xlfn.XLOOKUP($C31,'-ref_Distribution'!$B$146:$B$150,'-ref_Distribution'!$G$146:$G$150)),RIGHT(BM$1,2)),"")</f>
        <v>364</v>
      </c>
      <c r="BN31" s="16" cm="1">
        <f t="array" ref="BN31">IFERROR(INDEX(_xlfn.ANCHORARRAY(_xlfn.XLOOKUP($C31,'-ref_Distribution'!$B$146:$B$150,'-ref_Distribution'!$G$146:$G$150)),RIGHT(BN$1,2)),"")</f>
        <v>386</v>
      </c>
      <c r="BO31" s="16" cm="1">
        <f t="array" ref="BO31">IFERROR(INDEX(_xlfn.ANCHORARRAY(_xlfn.XLOOKUP($C31,'-ref_Distribution'!$B$146:$B$150,'-ref_Distribution'!$G$146:$G$150)),RIGHT(BO$1,2)),"")</f>
        <v>403</v>
      </c>
      <c r="BP31" s="16" cm="1">
        <f t="array" ref="BP31">IFERROR(INDEX(_xlfn.ANCHORARRAY(_xlfn.XLOOKUP($C31,'-ref_Distribution'!$B$146:$B$150,'-ref_Distribution'!$G$146:$G$150)),RIGHT(BP$1,2)),"")</f>
        <v>414</v>
      </c>
      <c r="BQ31" s="16" cm="1">
        <f t="array" ref="BQ31">IFERROR(INDEX(_xlfn.ANCHORARRAY(_xlfn.XLOOKUP($C31,'-ref_Distribution'!$B$146:$B$150,'-ref_Distribution'!$G$146:$G$150)),RIGHT(BQ$1,2)),"")</f>
        <v>417</v>
      </c>
      <c r="BR31" s="16" cm="1">
        <f t="array" ref="BR31">IFERROR(INDEX(_xlfn.ANCHORARRAY(_xlfn.XLOOKUP($C31,'-ref_Distribution'!$B$146:$B$150,'-ref_Distribution'!$G$146:$G$150)),RIGHT(BR$1,2)),"")</f>
        <v>414</v>
      </c>
      <c r="BS31" s="16" cm="1">
        <f t="array" ref="BS31">IFERROR(INDEX(_xlfn.ANCHORARRAY(_xlfn.XLOOKUP($C31,'-ref_Distribution'!$B$146:$B$150,'-ref_Distribution'!$G$146:$G$150)),RIGHT(BS$1,2)),"")</f>
        <v>403</v>
      </c>
      <c r="BT31" s="16" cm="1">
        <f t="array" ref="BT31">IFERROR(INDEX(_xlfn.ANCHORARRAY(_xlfn.XLOOKUP($C31,'-ref_Distribution'!$B$146:$B$150,'-ref_Distribution'!$G$146:$G$150)),RIGHT(BT$1,2)),"")</f>
        <v>386</v>
      </c>
      <c r="BU31" s="16" cm="1">
        <f t="array" ref="BU31">IFERROR(INDEX(_xlfn.ANCHORARRAY(_xlfn.XLOOKUP($C31,'-ref_Distribution'!$B$146:$B$150,'-ref_Distribution'!$G$146:$G$150)),RIGHT(BU$1,2)),"")</f>
        <v>364</v>
      </c>
      <c r="BV31" s="16" cm="1">
        <f t="array" ref="BV31">IFERROR(INDEX(_xlfn.ANCHORARRAY(_xlfn.XLOOKUP($C31,'-ref_Distribution'!$B$146:$B$150,'-ref_Distribution'!$G$146:$G$150)),RIGHT(BV$1,2)),"")</f>
        <v>337</v>
      </c>
      <c r="BW31" s="16" cm="1">
        <f t="array" ref="BW31">IFERROR(INDEX(_xlfn.ANCHORARRAY(_xlfn.XLOOKUP($C31,'-ref_Distribution'!$B$146:$B$150,'-ref_Distribution'!$G$146:$G$150)),RIGHT(BW$1,2)),"")</f>
        <v>307</v>
      </c>
      <c r="BX31" s="16" cm="1">
        <f t="array" ref="BX31">IFERROR(INDEX(_xlfn.ANCHORARRAY(_xlfn.XLOOKUP($C31,'-ref_Distribution'!$B$146:$B$150,'-ref_Distribution'!$G$146:$G$150)),RIGHT(BX$1,2)),"")</f>
        <v>274</v>
      </c>
      <c r="BY31" s="16" cm="1">
        <f t="array" ref="BY31">IFERROR(INDEX(_xlfn.ANCHORARRAY(_xlfn.XLOOKUP($C31,'-ref_Distribution'!$B$146:$B$150,'-ref_Distribution'!$G$146:$G$150)),RIGHT(BY$1,2)),"")</f>
        <v>241</v>
      </c>
      <c r="BZ31" s="16" cm="1">
        <f t="array" ref="BZ31">IFERROR(INDEX(_xlfn.ANCHORARRAY(_xlfn.XLOOKUP($C31,'-ref_Distribution'!$B$146:$B$150,'-ref_Distribution'!$G$146:$G$150)),RIGHT(BZ$1,2)),"")</f>
        <v>209</v>
      </c>
      <c r="CA31" s="16" cm="1">
        <f t="array" ref="CA31">IFERROR(INDEX(_xlfn.ANCHORARRAY(_xlfn.XLOOKUP($C31,'-ref_Distribution'!$B$146:$B$150,'-ref_Distribution'!$G$146:$G$150)),RIGHT(CA$1,2)),"")</f>
        <v>178</v>
      </c>
      <c r="CB31" s="16" cm="1">
        <f t="array" ref="CB31">IFERROR(INDEX(_xlfn.ANCHORARRAY(_xlfn.XLOOKUP($C31,'-ref_Distribution'!$B$146:$B$150,'-ref_Distribution'!$G$146:$G$150)),RIGHT(CB$1,2)),"")</f>
        <v>148</v>
      </c>
      <c r="CC31" s="16" cm="1">
        <f t="array" ref="CC31">IFERROR(INDEX(_xlfn.ANCHORARRAY(_xlfn.XLOOKUP($C31,'-ref_Distribution'!$B$146:$B$150,'-ref_Distribution'!$G$146:$G$150)),RIGHT(CC$1,2)),"")</f>
        <v>122</v>
      </c>
      <c r="CD31" s="16" cm="1">
        <f t="array" ref="CD31">IFERROR(INDEX(_xlfn.ANCHORARRAY(_xlfn.XLOOKUP($C31,'-ref_Distribution'!$B$146:$B$150,'-ref_Distribution'!$G$146:$G$150)),RIGHT(CD$1,2)),"")</f>
        <v>98</v>
      </c>
      <c r="CE31" s="16" cm="1">
        <f t="array" ref="CE31">IFERROR(INDEX(_xlfn.ANCHORARRAY(_xlfn.XLOOKUP($C31,'-ref_Distribution'!$B$146:$B$150,'-ref_Distribution'!$G$146:$G$150)),RIGHT(CE$1,2)),"")</f>
        <v>78</v>
      </c>
    </row>
    <row r="32" spans="1:95" x14ac:dyDescent="0.2">
      <c r="A32" s="16">
        <v>301033</v>
      </c>
      <c r="B32" s="16" t="s">
        <v>219</v>
      </c>
      <c r="C32" s="16">
        <v>2</v>
      </c>
      <c r="D32" s="16" cm="1">
        <f t="array" ref="D32">IFERROR(INDEX(_xlfn.ANCHORARRAY(_xlfn.XLOOKUP($C32,'-ref_Distribution'!$B$146:$B$150,'-ref_Distribution'!$G$146:$G$150)),RIGHT(D$1,2)),"")</f>
        <v>75</v>
      </c>
      <c r="E32" s="16" cm="1">
        <f t="array" ref="E32">IFERROR(INDEX(_xlfn.ANCHORARRAY(_xlfn.XLOOKUP($C32,'-ref_Distribution'!$B$146:$B$150,'-ref_Distribution'!$G$146:$G$150)),RIGHT(E$1,2)),"")</f>
        <v>94</v>
      </c>
      <c r="F32" s="16" cm="1">
        <f t="array" ref="F32">IFERROR(INDEX(_xlfn.ANCHORARRAY(_xlfn.XLOOKUP($C32,'-ref_Distribution'!$B$146:$B$150,'-ref_Distribution'!$G$146:$G$150)),RIGHT(F$1,2)),"")</f>
        <v>115</v>
      </c>
      <c r="G32" s="16" cm="1">
        <f t="array" ref="G32">IFERROR(INDEX(_xlfn.ANCHORARRAY(_xlfn.XLOOKUP($C32,'-ref_Distribution'!$B$146:$B$150,'-ref_Distribution'!$G$146:$G$150)),RIGHT(G$1,2)),"")</f>
        <v>137</v>
      </c>
      <c r="H32" s="16" cm="1">
        <f t="array" ref="H32">IFERROR(INDEX(_xlfn.ANCHORARRAY(_xlfn.XLOOKUP($C32,'-ref_Distribution'!$B$146:$B$150,'-ref_Distribution'!$G$146:$G$150)),RIGHT(H$1,2)),"")</f>
        <v>160</v>
      </c>
      <c r="I32" s="16" cm="1">
        <f t="array" ref="I32">IFERROR(INDEX(_xlfn.ANCHORARRAY(_xlfn.XLOOKUP($C32,'-ref_Distribution'!$B$146:$B$150,'-ref_Distribution'!$G$146:$G$150)),RIGHT(I$1,2)),"")</f>
        <v>183</v>
      </c>
      <c r="J32" s="16" cm="1">
        <f t="array" ref="J32">IFERROR(INDEX(_xlfn.ANCHORARRAY(_xlfn.XLOOKUP($C32,'-ref_Distribution'!$B$146:$B$150,'-ref_Distribution'!$G$146:$G$150)),RIGHT(J$1,2)),"")</f>
        <v>203</v>
      </c>
      <c r="K32" s="16" cm="1">
        <f t="array" ref="K32">IFERROR(INDEX(_xlfn.ANCHORARRAY(_xlfn.XLOOKUP($C32,'-ref_Distribution'!$B$146:$B$150,'-ref_Distribution'!$G$146:$G$150)),RIGHT(K$1,2)),"")</f>
        <v>221</v>
      </c>
      <c r="L32" s="16" cm="1">
        <f t="array" ref="L32">IFERROR(INDEX(_xlfn.ANCHORARRAY(_xlfn.XLOOKUP($C32,'-ref_Distribution'!$B$146:$B$150,'-ref_Distribution'!$G$146:$G$150)),RIGHT(L$1,2)),"")</f>
        <v>234</v>
      </c>
      <c r="M32" s="16" cm="1">
        <f t="array" ref="M32">IFERROR(INDEX(_xlfn.ANCHORARRAY(_xlfn.XLOOKUP($C32,'-ref_Distribution'!$B$146:$B$150,'-ref_Distribution'!$G$146:$G$150)),RIGHT(M$1,2)),"")</f>
        <v>243</v>
      </c>
      <c r="N32" s="16" cm="1">
        <f t="array" ref="N32">IFERROR(INDEX(_xlfn.ANCHORARRAY(_xlfn.XLOOKUP($C32,'-ref_Distribution'!$B$146:$B$150,'-ref_Distribution'!$G$146:$G$150)),RIGHT(N$1,2)),"")</f>
        <v>245</v>
      </c>
      <c r="O32" s="16" cm="1">
        <f t="array" ref="O32">IFERROR(INDEX(_xlfn.ANCHORARRAY(_xlfn.XLOOKUP($C32,'-ref_Distribution'!$B$146:$B$150,'-ref_Distribution'!$G$146:$G$150)),RIGHT(O$1,2)),"")</f>
        <v>243</v>
      </c>
      <c r="P32" s="16" cm="1">
        <f t="array" ref="P32">IFERROR(INDEX(_xlfn.ANCHORARRAY(_xlfn.XLOOKUP($C32,'-ref_Distribution'!$B$146:$B$150,'-ref_Distribution'!$G$146:$G$150)),RIGHT(P$1,2)),"")</f>
        <v>234</v>
      </c>
      <c r="Q32" s="16" cm="1">
        <f t="array" ref="Q32">IFERROR(INDEX(_xlfn.ANCHORARRAY(_xlfn.XLOOKUP($C32,'-ref_Distribution'!$B$146:$B$150,'-ref_Distribution'!$G$146:$G$150)),RIGHT(Q$1,2)),"")</f>
        <v>221</v>
      </c>
      <c r="R32" s="16" cm="1">
        <f t="array" ref="R32">IFERROR(INDEX(_xlfn.ANCHORARRAY(_xlfn.XLOOKUP($C32,'-ref_Distribution'!$B$146:$B$150,'-ref_Distribution'!$G$146:$G$150)),RIGHT(R$1,2)),"")</f>
        <v>203</v>
      </c>
      <c r="S32" s="16" cm="1">
        <f t="array" ref="S32">IFERROR(INDEX(_xlfn.ANCHORARRAY(_xlfn.XLOOKUP($C32,'-ref_Distribution'!$B$146:$B$150,'-ref_Distribution'!$G$146:$G$150)),RIGHT(S$1,2)),"")</f>
        <v>183</v>
      </c>
      <c r="T32" s="16" cm="1">
        <f t="array" ref="T32">IFERROR(INDEX(_xlfn.ANCHORARRAY(_xlfn.XLOOKUP($C32,'-ref_Distribution'!$B$146:$B$150,'-ref_Distribution'!$G$146:$G$150)),RIGHT(T$1,2)),"")</f>
        <v>160</v>
      </c>
      <c r="U32" s="16" cm="1">
        <f t="array" ref="U32">IFERROR(INDEX(_xlfn.ANCHORARRAY(_xlfn.XLOOKUP($C32,'-ref_Distribution'!$B$146:$B$150,'-ref_Distribution'!$G$146:$G$150)),RIGHT(U$1,2)),"")</f>
        <v>137</v>
      </c>
      <c r="V32" s="16" cm="1">
        <f t="array" ref="V32">IFERROR(INDEX(_xlfn.ANCHORARRAY(_xlfn.XLOOKUP($C32,'-ref_Distribution'!$B$146:$B$150,'-ref_Distribution'!$G$146:$G$150)),RIGHT(V$1,2)),"")</f>
        <v>115</v>
      </c>
      <c r="W32" s="16" cm="1">
        <f t="array" ref="W32">IFERROR(INDEX(_xlfn.ANCHORARRAY(_xlfn.XLOOKUP($C32,'-ref_Distribution'!$B$146:$B$150,'-ref_Distribution'!$G$146:$G$150)),RIGHT(W$1,2)),"")</f>
        <v>94</v>
      </c>
      <c r="X32" s="16" cm="1">
        <f t="array" ref="X32">IFERROR(INDEX(_xlfn.ANCHORARRAY(_xlfn.XLOOKUP($C32,'-ref_Distribution'!$B$146:$B$150,'-ref_Distribution'!$G$146:$G$150)),RIGHT(X$1,2)),"")</f>
        <v>75</v>
      </c>
      <c r="Y32" s="16" cm="1">
        <f t="array" ref="Y32">IFERROR(INDEX(_xlfn.ANCHORARRAY(_xlfn.XLOOKUP($C32,'-ref_Distribution'!$B$146:$B$150,'-ref_Distribution'!$G$146:$G$150)),RIGHT(Y$1,2)),"")</f>
        <v>94</v>
      </c>
      <c r="Z32" s="16" cm="1">
        <f t="array" ref="Z32">IFERROR(INDEX(_xlfn.ANCHORARRAY(_xlfn.XLOOKUP($C32,'-ref_Distribution'!$B$146:$B$150,'-ref_Distribution'!$G$146:$G$150)),RIGHT(Z$1,2)),"")</f>
        <v>115</v>
      </c>
      <c r="AA32" s="16" cm="1">
        <f t="array" ref="AA32">IFERROR(INDEX(_xlfn.ANCHORARRAY(_xlfn.XLOOKUP($C32,'-ref_Distribution'!$B$146:$B$150,'-ref_Distribution'!$G$146:$G$150)),RIGHT(AA$1,2)),"")</f>
        <v>137</v>
      </c>
      <c r="AB32" s="16" cm="1">
        <f t="array" ref="AB32">IFERROR(INDEX(_xlfn.ANCHORARRAY(_xlfn.XLOOKUP($C32,'-ref_Distribution'!$B$146:$B$150,'-ref_Distribution'!$G$146:$G$150)),RIGHT(AB$1,2)),"")</f>
        <v>160</v>
      </c>
      <c r="AC32" s="16" cm="1">
        <f t="array" ref="AC32">IFERROR(INDEX(_xlfn.ANCHORARRAY(_xlfn.XLOOKUP($C32,'-ref_Distribution'!$B$146:$B$150,'-ref_Distribution'!$G$146:$G$150)),RIGHT(AC$1,2)),"")</f>
        <v>183</v>
      </c>
      <c r="AD32" s="16" cm="1">
        <f t="array" ref="AD32">IFERROR(INDEX(_xlfn.ANCHORARRAY(_xlfn.XLOOKUP($C32,'-ref_Distribution'!$B$146:$B$150,'-ref_Distribution'!$G$146:$G$150)),RIGHT(AD$1,2)),"")</f>
        <v>203</v>
      </c>
      <c r="AE32" s="16" cm="1">
        <f t="array" ref="AE32">IFERROR(INDEX(_xlfn.ANCHORARRAY(_xlfn.XLOOKUP($C32,'-ref_Distribution'!$B$146:$B$150,'-ref_Distribution'!$G$146:$G$150)),RIGHT(AE$1,2)),"")</f>
        <v>221</v>
      </c>
      <c r="AF32" s="16" cm="1">
        <f t="array" ref="AF32">IFERROR(INDEX(_xlfn.ANCHORARRAY(_xlfn.XLOOKUP($C32,'-ref_Distribution'!$B$146:$B$150,'-ref_Distribution'!$G$146:$G$150)),RIGHT(AF$1,2)),"")</f>
        <v>234</v>
      </c>
      <c r="AG32" s="16" cm="1">
        <f t="array" ref="AG32">IFERROR(INDEX(_xlfn.ANCHORARRAY(_xlfn.XLOOKUP($C32,'-ref_Distribution'!$B$146:$B$150,'-ref_Distribution'!$G$146:$G$150)),RIGHT(AG$1,2)),"")</f>
        <v>243</v>
      </c>
      <c r="AH32" s="16" cm="1">
        <f t="array" ref="AH32">IFERROR(INDEX(_xlfn.ANCHORARRAY(_xlfn.XLOOKUP($C32,'-ref_Distribution'!$B$146:$B$150,'-ref_Distribution'!$G$146:$G$150)),RIGHT(AH$1,2)),"")</f>
        <v>245</v>
      </c>
      <c r="AI32" s="16" cm="1">
        <f t="array" ref="AI32">IFERROR(INDEX(_xlfn.ANCHORARRAY(_xlfn.XLOOKUP($C32,'-ref_Distribution'!$B$146:$B$150,'-ref_Distribution'!$G$146:$G$150)),RIGHT(AI$1,2)),"")</f>
        <v>243</v>
      </c>
      <c r="AJ32" s="16" cm="1">
        <f t="array" ref="AJ32">IFERROR(INDEX(_xlfn.ANCHORARRAY(_xlfn.XLOOKUP($C32,'-ref_Distribution'!$B$146:$B$150,'-ref_Distribution'!$G$146:$G$150)),RIGHT(AJ$1,2)),"")</f>
        <v>234</v>
      </c>
      <c r="AK32" s="16" cm="1">
        <f t="array" ref="AK32">IFERROR(INDEX(_xlfn.ANCHORARRAY(_xlfn.XLOOKUP($C32,'-ref_Distribution'!$B$146:$B$150,'-ref_Distribution'!$G$146:$G$150)),RIGHT(AK$1,2)),"")</f>
        <v>221</v>
      </c>
      <c r="AL32" s="16" cm="1">
        <f t="array" ref="AL32">IFERROR(INDEX(_xlfn.ANCHORARRAY(_xlfn.XLOOKUP($C32,'-ref_Distribution'!$B$146:$B$150,'-ref_Distribution'!$G$146:$G$150)),RIGHT(AL$1,2)),"")</f>
        <v>203</v>
      </c>
      <c r="AM32" s="16" cm="1">
        <f t="array" ref="AM32">IFERROR(INDEX(_xlfn.ANCHORARRAY(_xlfn.XLOOKUP($C32,'-ref_Distribution'!$B$146:$B$150,'-ref_Distribution'!$G$146:$G$150)),RIGHT(AM$1,2)),"")</f>
        <v>183</v>
      </c>
      <c r="AN32" s="16" cm="1">
        <f t="array" ref="AN32">IFERROR(INDEX(_xlfn.ANCHORARRAY(_xlfn.XLOOKUP($C32,'-ref_Distribution'!$B$146:$B$150,'-ref_Distribution'!$G$146:$G$150)),RIGHT(AN$1,2)),"")</f>
        <v>160</v>
      </c>
      <c r="AO32" s="16" cm="1">
        <f t="array" ref="AO32">IFERROR(INDEX(_xlfn.ANCHORARRAY(_xlfn.XLOOKUP($C32,'-ref_Distribution'!$B$146:$B$150,'-ref_Distribution'!$G$146:$G$150)),RIGHT(AO$1,2)),"")</f>
        <v>137</v>
      </c>
      <c r="AP32" s="16" cm="1">
        <f t="array" ref="AP32">IFERROR(INDEX(_xlfn.ANCHORARRAY(_xlfn.XLOOKUP($C32,'-ref_Distribution'!$B$146:$B$150,'-ref_Distribution'!$G$146:$G$150)),RIGHT(AP$1,2)),"")</f>
        <v>115</v>
      </c>
      <c r="AQ32" s="16" cm="1">
        <f t="array" ref="AQ32">IFERROR(INDEX(_xlfn.ANCHORARRAY(_xlfn.XLOOKUP($C32,'-ref_Distribution'!$B$146:$B$150,'-ref_Distribution'!$G$146:$G$150)),RIGHT(AQ$1,2)),"")</f>
        <v>94</v>
      </c>
      <c r="AR32" s="16" cm="1">
        <f t="array" ref="AR32">IFERROR(INDEX(_xlfn.ANCHORARRAY(_xlfn.XLOOKUP($C32,'-ref_Distribution'!$B$146:$B$150,'-ref_Distribution'!$G$146:$G$150)),RIGHT(AR$1,2)),"")</f>
        <v>75</v>
      </c>
      <c r="AS32" s="16" cm="1">
        <f t="array" ref="AS32">IFERROR(INDEX(_xlfn.ANCHORARRAY(_xlfn.XLOOKUP($C32,'-ref_Distribution'!$B$146:$B$150,'-ref_Distribution'!$G$146:$G$150)),RIGHT(AS$1,2)),"")</f>
        <v>94</v>
      </c>
      <c r="AT32" s="16" cm="1">
        <f t="array" ref="AT32">IFERROR(INDEX(_xlfn.ANCHORARRAY(_xlfn.XLOOKUP($C32,'-ref_Distribution'!$B$146:$B$150,'-ref_Distribution'!$G$146:$G$150)),RIGHT(AT$1,2)),"")</f>
        <v>115</v>
      </c>
      <c r="AU32" s="16" cm="1">
        <f t="array" ref="AU32">IFERROR(INDEX(_xlfn.ANCHORARRAY(_xlfn.XLOOKUP($C32,'-ref_Distribution'!$B$146:$B$150,'-ref_Distribution'!$G$146:$G$150)),RIGHT(AU$1,2)),"")</f>
        <v>137</v>
      </c>
      <c r="AV32" s="16" cm="1">
        <f t="array" ref="AV32">IFERROR(INDEX(_xlfn.ANCHORARRAY(_xlfn.XLOOKUP($C32,'-ref_Distribution'!$B$146:$B$150,'-ref_Distribution'!$G$146:$G$150)),RIGHT(AV$1,2)),"")</f>
        <v>160</v>
      </c>
      <c r="AW32" s="16" cm="1">
        <f t="array" ref="AW32">IFERROR(INDEX(_xlfn.ANCHORARRAY(_xlfn.XLOOKUP($C32,'-ref_Distribution'!$B$146:$B$150,'-ref_Distribution'!$G$146:$G$150)),RIGHT(AW$1,2)),"")</f>
        <v>183</v>
      </c>
      <c r="AX32" s="16" cm="1">
        <f t="array" ref="AX32">IFERROR(INDEX(_xlfn.ANCHORARRAY(_xlfn.XLOOKUP($C32,'-ref_Distribution'!$B$146:$B$150,'-ref_Distribution'!$G$146:$G$150)),RIGHT(AX$1,2)),"")</f>
        <v>203</v>
      </c>
      <c r="AY32" s="16" cm="1">
        <f t="array" ref="AY32">IFERROR(INDEX(_xlfn.ANCHORARRAY(_xlfn.XLOOKUP($C32,'-ref_Distribution'!$B$146:$B$150,'-ref_Distribution'!$G$146:$G$150)),RIGHT(AY$1,2)),"")</f>
        <v>221</v>
      </c>
      <c r="AZ32" s="16" cm="1">
        <f t="array" ref="AZ32">IFERROR(INDEX(_xlfn.ANCHORARRAY(_xlfn.XLOOKUP($C32,'-ref_Distribution'!$B$146:$B$150,'-ref_Distribution'!$G$146:$G$150)),RIGHT(AZ$1,2)),"")</f>
        <v>234</v>
      </c>
      <c r="BA32" s="16" cm="1">
        <f t="array" ref="BA32">IFERROR(INDEX(_xlfn.ANCHORARRAY(_xlfn.XLOOKUP($C32,'-ref_Distribution'!$B$146:$B$150,'-ref_Distribution'!$G$146:$G$150)),RIGHT(BA$1,2)),"")</f>
        <v>243</v>
      </c>
      <c r="BB32" s="16" cm="1">
        <f t="array" ref="BB32">IFERROR(INDEX(_xlfn.ANCHORARRAY(_xlfn.XLOOKUP($C32,'-ref_Distribution'!$B$146:$B$150,'-ref_Distribution'!$G$146:$G$150)),RIGHT(BB$1,2)),"")</f>
        <v>245</v>
      </c>
      <c r="BC32" s="16" cm="1">
        <f t="array" ref="BC32">IFERROR(INDEX(_xlfn.ANCHORARRAY(_xlfn.XLOOKUP($C32,'-ref_Distribution'!$B$146:$B$150,'-ref_Distribution'!$G$146:$G$150)),RIGHT(BC$1,2)),"")</f>
        <v>243</v>
      </c>
      <c r="BD32" s="16" cm="1">
        <f t="array" ref="BD32">IFERROR(INDEX(_xlfn.ANCHORARRAY(_xlfn.XLOOKUP($C32,'-ref_Distribution'!$B$146:$B$150,'-ref_Distribution'!$G$146:$G$150)),RIGHT(BD$1,2)),"")</f>
        <v>234</v>
      </c>
      <c r="BE32" s="16" cm="1">
        <f t="array" ref="BE32">IFERROR(INDEX(_xlfn.ANCHORARRAY(_xlfn.XLOOKUP($C32,'-ref_Distribution'!$B$146:$B$150,'-ref_Distribution'!$G$146:$G$150)),RIGHT(BE$1,2)),"")</f>
        <v>221</v>
      </c>
      <c r="BF32" s="16" cm="1">
        <f t="array" ref="BF32">IFERROR(INDEX(_xlfn.ANCHORARRAY(_xlfn.XLOOKUP($C32,'-ref_Distribution'!$B$146:$B$150,'-ref_Distribution'!$G$146:$G$150)),RIGHT(BF$1,2)),"")</f>
        <v>203</v>
      </c>
      <c r="BG32" s="16" cm="1">
        <f t="array" ref="BG32">IFERROR(INDEX(_xlfn.ANCHORARRAY(_xlfn.XLOOKUP($C32,'-ref_Distribution'!$B$146:$B$150,'-ref_Distribution'!$G$146:$G$150)),RIGHT(BG$1,2)),"")</f>
        <v>183</v>
      </c>
      <c r="BH32" s="16" cm="1">
        <f t="array" ref="BH32">IFERROR(INDEX(_xlfn.ANCHORARRAY(_xlfn.XLOOKUP($C32,'-ref_Distribution'!$B$146:$B$150,'-ref_Distribution'!$G$146:$G$150)),RIGHT(BH$1,2)),"")</f>
        <v>160</v>
      </c>
      <c r="BI32" s="16" cm="1">
        <f t="array" ref="BI32">IFERROR(INDEX(_xlfn.ANCHORARRAY(_xlfn.XLOOKUP($C32,'-ref_Distribution'!$B$146:$B$150,'-ref_Distribution'!$G$146:$G$150)),RIGHT(BI$1,2)),"")</f>
        <v>137</v>
      </c>
      <c r="BJ32" s="16" cm="1">
        <f t="array" ref="BJ32">IFERROR(INDEX(_xlfn.ANCHORARRAY(_xlfn.XLOOKUP($C32,'-ref_Distribution'!$B$146:$B$150,'-ref_Distribution'!$G$146:$G$150)),RIGHT(BJ$1,2)),"")</f>
        <v>115</v>
      </c>
      <c r="BK32" s="16" cm="1">
        <f t="array" ref="BK32">IFERROR(INDEX(_xlfn.ANCHORARRAY(_xlfn.XLOOKUP($C32,'-ref_Distribution'!$B$146:$B$150,'-ref_Distribution'!$G$146:$G$150)),RIGHT(BK$1,2)),"")</f>
        <v>94</v>
      </c>
      <c r="BL32" s="16" cm="1">
        <f t="array" ref="BL32">IFERROR(INDEX(_xlfn.ANCHORARRAY(_xlfn.XLOOKUP($C32,'-ref_Distribution'!$B$146:$B$150,'-ref_Distribution'!$G$146:$G$150)),RIGHT(BL$1,2)),"")</f>
        <v>75</v>
      </c>
      <c r="BM32" s="16" cm="1">
        <f t="array" ref="BM32">IFERROR(INDEX(_xlfn.ANCHORARRAY(_xlfn.XLOOKUP($C32,'-ref_Distribution'!$B$146:$B$150,'-ref_Distribution'!$G$146:$G$150)),RIGHT(BM$1,2)),"")</f>
        <v>94</v>
      </c>
      <c r="BN32" s="16" cm="1">
        <f t="array" ref="BN32">IFERROR(INDEX(_xlfn.ANCHORARRAY(_xlfn.XLOOKUP($C32,'-ref_Distribution'!$B$146:$B$150,'-ref_Distribution'!$G$146:$G$150)),RIGHT(BN$1,2)),"")</f>
        <v>115</v>
      </c>
      <c r="BO32" s="16" cm="1">
        <f t="array" ref="BO32">IFERROR(INDEX(_xlfn.ANCHORARRAY(_xlfn.XLOOKUP($C32,'-ref_Distribution'!$B$146:$B$150,'-ref_Distribution'!$G$146:$G$150)),RIGHT(BO$1,2)),"")</f>
        <v>137</v>
      </c>
      <c r="BP32" s="16" cm="1">
        <f t="array" ref="BP32">IFERROR(INDEX(_xlfn.ANCHORARRAY(_xlfn.XLOOKUP($C32,'-ref_Distribution'!$B$146:$B$150,'-ref_Distribution'!$G$146:$G$150)),RIGHT(BP$1,2)),"")</f>
        <v>160</v>
      </c>
      <c r="BQ32" s="16" cm="1">
        <f t="array" ref="BQ32">IFERROR(INDEX(_xlfn.ANCHORARRAY(_xlfn.XLOOKUP($C32,'-ref_Distribution'!$B$146:$B$150,'-ref_Distribution'!$G$146:$G$150)),RIGHT(BQ$1,2)),"")</f>
        <v>183</v>
      </c>
      <c r="BR32" s="16" cm="1">
        <f t="array" ref="BR32">IFERROR(INDEX(_xlfn.ANCHORARRAY(_xlfn.XLOOKUP($C32,'-ref_Distribution'!$B$146:$B$150,'-ref_Distribution'!$G$146:$G$150)),RIGHT(BR$1,2)),"")</f>
        <v>203</v>
      </c>
      <c r="BS32" s="16" cm="1">
        <f t="array" ref="BS32">IFERROR(INDEX(_xlfn.ANCHORARRAY(_xlfn.XLOOKUP($C32,'-ref_Distribution'!$B$146:$B$150,'-ref_Distribution'!$G$146:$G$150)),RIGHT(BS$1,2)),"")</f>
        <v>221</v>
      </c>
      <c r="BT32" s="16" cm="1">
        <f t="array" ref="BT32">IFERROR(INDEX(_xlfn.ANCHORARRAY(_xlfn.XLOOKUP($C32,'-ref_Distribution'!$B$146:$B$150,'-ref_Distribution'!$G$146:$G$150)),RIGHT(BT$1,2)),"")</f>
        <v>234</v>
      </c>
      <c r="BU32" s="16" cm="1">
        <f t="array" ref="BU32">IFERROR(INDEX(_xlfn.ANCHORARRAY(_xlfn.XLOOKUP($C32,'-ref_Distribution'!$B$146:$B$150,'-ref_Distribution'!$G$146:$G$150)),RIGHT(BU$1,2)),"")</f>
        <v>243</v>
      </c>
      <c r="BV32" s="16" cm="1">
        <f t="array" ref="BV32">IFERROR(INDEX(_xlfn.ANCHORARRAY(_xlfn.XLOOKUP($C32,'-ref_Distribution'!$B$146:$B$150,'-ref_Distribution'!$G$146:$G$150)),RIGHT(BV$1,2)),"")</f>
        <v>245</v>
      </c>
      <c r="BW32" s="16" cm="1">
        <f t="array" ref="BW32">IFERROR(INDEX(_xlfn.ANCHORARRAY(_xlfn.XLOOKUP($C32,'-ref_Distribution'!$B$146:$B$150,'-ref_Distribution'!$G$146:$G$150)),RIGHT(BW$1,2)),"")</f>
        <v>243</v>
      </c>
      <c r="BX32" s="16" cm="1">
        <f t="array" ref="BX32">IFERROR(INDEX(_xlfn.ANCHORARRAY(_xlfn.XLOOKUP($C32,'-ref_Distribution'!$B$146:$B$150,'-ref_Distribution'!$G$146:$G$150)),RIGHT(BX$1,2)),"")</f>
        <v>234</v>
      </c>
      <c r="BY32" s="16" cm="1">
        <f t="array" ref="BY32">IFERROR(INDEX(_xlfn.ANCHORARRAY(_xlfn.XLOOKUP($C32,'-ref_Distribution'!$B$146:$B$150,'-ref_Distribution'!$G$146:$G$150)),RIGHT(BY$1,2)),"")</f>
        <v>221</v>
      </c>
      <c r="BZ32" s="16" cm="1">
        <f t="array" ref="BZ32">IFERROR(INDEX(_xlfn.ANCHORARRAY(_xlfn.XLOOKUP($C32,'-ref_Distribution'!$B$146:$B$150,'-ref_Distribution'!$G$146:$G$150)),RIGHT(BZ$1,2)),"")</f>
        <v>203</v>
      </c>
      <c r="CA32" s="16" cm="1">
        <f t="array" ref="CA32">IFERROR(INDEX(_xlfn.ANCHORARRAY(_xlfn.XLOOKUP($C32,'-ref_Distribution'!$B$146:$B$150,'-ref_Distribution'!$G$146:$G$150)),RIGHT(CA$1,2)),"")</f>
        <v>183</v>
      </c>
      <c r="CB32" s="16" cm="1">
        <f t="array" ref="CB32">IFERROR(INDEX(_xlfn.ANCHORARRAY(_xlfn.XLOOKUP($C32,'-ref_Distribution'!$B$146:$B$150,'-ref_Distribution'!$G$146:$G$150)),RIGHT(CB$1,2)),"")</f>
        <v>160</v>
      </c>
      <c r="CC32" s="16" cm="1">
        <f t="array" ref="CC32">IFERROR(INDEX(_xlfn.ANCHORARRAY(_xlfn.XLOOKUP($C32,'-ref_Distribution'!$B$146:$B$150,'-ref_Distribution'!$G$146:$G$150)),RIGHT(CC$1,2)),"")</f>
        <v>137</v>
      </c>
      <c r="CD32" s="16" cm="1">
        <f t="array" ref="CD32">IFERROR(INDEX(_xlfn.ANCHORARRAY(_xlfn.XLOOKUP($C32,'-ref_Distribution'!$B$146:$B$150,'-ref_Distribution'!$G$146:$G$150)),RIGHT(CD$1,2)),"")</f>
        <v>115</v>
      </c>
      <c r="CE32" s="16" cm="1">
        <f t="array" ref="CE32">IFERROR(INDEX(_xlfn.ANCHORARRAY(_xlfn.XLOOKUP($C32,'-ref_Distribution'!$B$146:$B$150,'-ref_Distribution'!$G$146:$G$150)),RIGHT(CE$1,2)),"")</f>
        <v>94</v>
      </c>
    </row>
    <row r="33" spans="1:83" x14ac:dyDescent="0.2">
      <c r="A33" s="16">
        <v>301034</v>
      </c>
      <c r="B33" s="16" t="s">
        <v>219</v>
      </c>
      <c r="C33" s="16">
        <v>3</v>
      </c>
      <c r="D33" s="16" cm="1">
        <f t="array" ref="D33">IFERROR(INDEX(_xlfn.ANCHORARRAY(_xlfn.XLOOKUP($C33,'-ref_Distribution'!$B$146:$B$150,'-ref_Distribution'!$G$146:$G$150)),RIGHT(D$1,2)),"")</f>
        <v>4</v>
      </c>
      <c r="E33" s="16" cm="1">
        <f t="array" ref="E33">IFERROR(INDEX(_xlfn.ANCHORARRAY(_xlfn.XLOOKUP($C33,'-ref_Distribution'!$B$146:$B$150,'-ref_Distribution'!$G$146:$G$150)),RIGHT(E$1,2)),"")</f>
        <v>6</v>
      </c>
      <c r="F33" s="16" cm="1">
        <f t="array" ref="F33">IFERROR(INDEX(_xlfn.ANCHORARRAY(_xlfn.XLOOKUP($C33,'-ref_Distribution'!$B$146:$B$150,'-ref_Distribution'!$G$146:$G$150)),RIGHT(F$1,2)),"")</f>
        <v>9</v>
      </c>
      <c r="G33" s="16" cm="1">
        <f t="array" ref="G33">IFERROR(INDEX(_xlfn.ANCHORARRAY(_xlfn.XLOOKUP($C33,'-ref_Distribution'!$B$146:$B$150,'-ref_Distribution'!$G$146:$G$150)),RIGHT(G$1,2)),"")</f>
        <v>14</v>
      </c>
      <c r="H33" s="16" cm="1">
        <f t="array" ref="H33">IFERROR(INDEX(_xlfn.ANCHORARRAY(_xlfn.XLOOKUP($C33,'-ref_Distribution'!$B$146:$B$150,'-ref_Distribution'!$G$146:$G$150)),RIGHT(H$1,2)),"")</f>
        <v>20</v>
      </c>
      <c r="I33" s="16" cm="1">
        <f t="array" ref="I33">IFERROR(INDEX(_xlfn.ANCHORARRAY(_xlfn.XLOOKUP($C33,'-ref_Distribution'!$B$146:$B$150,'-ref_Distribution'!$G$146:$G$150)),RIGHT(I$1,2)),"")</f>
        <v>28</v>
      </c>
      <c r="J33" s="16" cm="1">
        <f t="array" ref="J33">IFERROR(INDEX(_xlfn.ANCHORARRAY(_xlfn.XLOOKUP($C33,'-ref_Distribution'!$B$146:$B$150,'-ref_Distribution'!$G$146:$G$150)),RIGHT(J$1,2)),"")</f>
        <v>38</v>
      </c>
      <c r="K33" s="16" cm="1">
        <f t="array" ref="K33">IFERROR(INDEX(_xlfn.ANCHORARRAY(_xlfn.XLOOKUP($C33,'-ref_Distribution'!$B$146:$B$150,'-ref_Distribution'!$G$146:$G$150)),RIGHT(K$1,2)),"")</f>
        <v>51</v>
      </c>
      <c r="L33" s="16" cm="1">
        <f t="array" ref="L33">IFERROR(INDEX(_xlfn.ANCHORARRAY(_xlfn.XLOOKUP($C33,'-ref_Distribution'!$B$146:$B$150,'-ref_Distribution'!$G$146:$G$150)),RIGHT(L$1,2)),"")</f>
        <v>65</v>
      </c>
      <c r="M33" s="16" cm="1">
        <f t="array" ref="M33">IFERROR(INDEX(_xlfn.ANCHORARRAY(_xlfn.XLOOKUP($C33,'-ref_Distribution'!$B$146:$B$150,'-ref_Distribution'!$G$146:$G$150)),RIGHT(M$1,2)),"")</f>
        <v>80</v>
      </c>
      <c r="N33" s="16" cm="1">
        <f t="array" ref="N33">IFERROR(INDEX(_xlfn.ANCHORARRAY(_xlfn.XLOOKUP($C33,'-ref_Distribution'!$B$146:$B$150,'-ref_Distribution'!$G$146:$G$150)),RIGHT(N$1,2)),"")</f>
        <v>96</v>
      </c>
      <c r="O33" s="16" cm="1">
        <f t="array" ref="O33">IFERROR(INDEX(_xlfn.ANCHORARRAY(_xlfn.XLOOKUP($C33,'-ref_Distribution'!$B$146:$B$150,'-ref_Distribution'!$G$146:$G$150)),RIGHT(O$1,2)),"")</f>
        <v>111</v>
      </c>
      <c r="P33" s="16" cm="1">
        <f t="array" ref="P33">IFERROR(INDEX(_xlfn.ANCHORARRAY(_xlfn.XLOOKUP($C33,'-ref_Distribution'!$B$146:$B$150,'-ref_Distribution'!$G$146:$G$150)),RIGHT(P$1,2)),"")</f>
        <v>125</v>
      </c>
      <c r="Q33" s="16" cm="1">
        <f t="array" ref="Q33">IFERROR(INDEX(_xlfn.ANCHORARRAY(_xlfn.XLOOKUP($C33,'-ref_Distribution'!$B$146:$B$150,'-ref_Distribution'!$G$146:$G$150)),RIGHT(Q$1,2)),"")</f>
        <v>135</v>
      </c>
      <c r="R33" s="16" cm="1">
        <f t="array" ref="R33">IFERROR(INDEX(_xlfn.ANCHORARRAY(_xlfn.XLOOKUP($C33,'-ref_Distribution'!$B$146:$B$150,'-ref_Distribution'!$G$146:$G$150)),RIGHT(R$1,2)),"")</f>
        <v>142</v>
      </c>
      <c r="S33" s="16" cm="1">
        <f t="array" ref="S33">IFERROR(INDEX(_xlfn.ANCHORARRAY(_xlfn.XLOOKUP($C33,'-ref_Distribution'!$B$146:$B$150,'-ref_Distribution'!$G$146:$G$150)),RIGHT(S$1,2)),"")</f>
        <v>144</v>
      </c>
      <c r="T33" s="16" cm="1">
        <f t="array" ref="T33">IFERROR(INDEX(_xlfn.ANCHORARRAY(_xlfn.XLOOKUP($C33,'-ref_Distribution'!$B$146:$B$150,'-ref_Distribution'!$G$146:$G$150)),RIGHT(T$1,2)),"")</f>
        <v>142</v>
      </c>
      <c r="U33" s="16" cm="1">
        <f t="array" ref="U33">IFERROR(INDEX(_xlfn.ANCHORARRAY(_xlfn.XLOOKUP($C33,'-ref_Distribution'!$B$146:$B$150,'-ref_Distribution'!$G$146:$G$150)),RIGHT(U$1,2)),"")</f>
        <v>135</v>
      </c>
      <c r="V33" s="16" cm="1">
        <f t="array" ref="V33">IFERROR(INDEX(_xlfn.ANCHORARRAY(_xlfn.XLOOKUP($C33,'-ref_Distribution'!$B$146:$B$150,'-ref_Distribution'!$G$146:$G$150)),RIGHT(V$1,2)),"")</f>
        <v>125</v>
      </c>
      <c r="W33" s="16" cm="1">
        <f t="array" ref="W33">IFERROR(INDEX(_xlfn.ANCHORARRAY(_xlfn.XLOOKUP($C33,'-ref_Distribution'!$B$146:$B$150,'-ref_Distribution'!$G$146:$G$150)),RIGHT(W$1,2)),"")</f>
        <v>111</v>
      </c>
      <c r="X33" s="16" cm="1">
        <f t="array" ref="X33">IFERROR(INDEX(_xlfn.ANCHORARRAY(_xlfn.XLOOKUP($C33,'-ref_Distribution'!$B$146:$B$150,'-ref_Distribution'!$G$146:$G$150)),RIGHT(X$1,2)),"")</f>
        <v>4</v>
      </c>
      <c r="Y33" s="16" cm="1">
        <f t="array" ref="Y33">IFERROR(INDEX(_xlfn.ANCHORARRAY(_xlfn.XLOOKUP($C33,'-ref_Distribution'!$B$146:$B$150,'-ref_Distribution'!$G$146:$G$150)),RIGHT(Y$1,2)),"")</f>
        <v>6</v>
      </c>
      <c r="Z33" s="16" cm="1">
        <f t="array" ref="Z33">IFERROR(INDEX(_xlfn.ANCHORARRAY(_xlfn.XLOOKUP($C33,'-ref_Distribution'!$B$146:$B$150,'-ref_Distribution'!$G$146:$G$150)),RIGHT(Z$1,2)),"")</f>
        <v>9</v>
      </c>
      <c r="AA33" s="16" cm="1">
        <f t="array" ref="AA33">IFERROR(INDEX(_xlfn.ANCHORARRAY(_xlfn.XLOOKUP($C33,'-ref_Distribution'!$B$146:$B$150,'-ref_Distribution'!$G$146:$G$150)),RIGHT(AA$1,2)),"")</f>
        <v>14</v>
      </c>
      <c r="AB33" s="16" cm="1">
        <f t="array" ref="AB33">IFERROR(INDEX(_xlfn.ANCHORARRAY(_xlfn.XLOOKUP($C33,'-ref_Distribution'!$B$146:$B$150,'-ref_Distribution'!$G$146:$G$150)),RIGHT(AB$1,2)),"")</f>
        <v>20</v>
      </c>
      <c r="AC33" s="16" cm="1">
        <f t="array" ref="AC33">IFERROR(INDEX(_xlfn.ANCHORARRAY(_xlfn.XLOOKUP($C33,'-ref_Distribution'!$B$146:$B$150,'-ref_Distribution'!$G$146:$G$150)),RIGHT(AC$1,2)),"")</f>
        <v>28</v>
      </c>
      <c r="AD33" s="16" cm="1">
        <f t="array" ref="AD33">IFERROR(INDEX(_xlfn.ANCHORARRAY(_xlfn.XLOOKUP($C33,'-ref_Distribution'!$B$146:$B$150,'-ref_Distribution'!$G$146:$G$150)),RIGHT(AD$1,2)),"")</f>
        <v>38</v>
      </c>
      <c r="AE33" s="16" cm="1">
        <f t="array" ref="AE33">IFERROR(INDEX(_xlfn.ANCHORARRAY(_xlfn.XLOOKUP($C33,'-ref_Distribution'!$B$146:$B$150,'-ref_Distribution'!$G$146:$G$150)),RIGHT(AE$1,2)),"")</f>
        <v>51</v>
      </c>
      <c r="AF33" s="16" cm="1">
        <f t="array" ref="AF33">IFERROR(INDEX(_xlfn.ANCHORARRAY(_xlfn.XLOOKUP($C33,'-ref_Distribution'!$B$146:$B$150,'-ref_Distribution'!$G$146:$G$150)),RIGHT(AF$1,2)),"")</f>
        <v>65</v>
      </c>
      <c r="AG33" s="16" cm="1">
        <f t="array" ref="AG33">IFERROR(INDEX(_xlfn.ANCHORARRAY(_xlfn.XLOOKUP($C33,'-ref_Distribution'!$B$146:$B$150,'-ref_Distribution'!$G$146:$G$150)),RIGHT(AG$1,2)),"")</f>
        <v>80</v>
      </c>
      <c r="AH33" s="16" cm="1">
        <f t="array" ref="AH33">IFERROR(INDEX(_xlfn.ANCHORARRAY(_xlfn.XLOOKUP($C33,'-ref_Distribution'!$B$146:$B$150,'-ref_Distribution'!$G$146:$G$150)),RIGHT(AH$1,2)),"")</f>
        <v>96</v>
      </c>
      <c r="AI33" s="16" cm="1">
        <f t="array" ref="AI33">IFERROR(INDEX(_xlfn.ANCHORARRAY(_xlfn.XLOOKUP($C33,'-ref_Distribution'!$B$146:$B$150,'-ref_Distribution'!$G$146:$G$150)),RIGHT(AI$1,2)),"")</f>
        <v>111</v>
      </c>
      <c r="AJ33" s="16" cm="1">
        <f t="array" ref="AJ33">IFERROR(INDEX(_xlfn.ANCHORARRAY(_xlfn.XLOOKUP($C33,'-ref_Distribution'!$B$146:$B$150,'-ref_Distribution'!$G$146:$G$150)),RIGHT(AJ$1,2)),"")</f>
        <v>125</v>
      </c>
      <c r="AK33" s="16" cm="1">
        <f t="array" ref="AK33">IFERROR(INDEX(_xlfn.ANCHORARRAY(_xlfn.XLOOKUP($C33,'-ref_Distribution'!$B$146:$B$150,'-ref_Distribution'!$G$146:$G$150)),RIGHT(AK$1,2)),"")</f>
        <v>135</v>
      </c>
      <c r="AL33" s="16" cm="1">
        <f t="array" ref="AL33">IFERROR(INDEX(_xlfn.ANCHORARRAY(_xlfn.XLOOKUP($C33,'-ref_Distribution'!$B$146:$B$150,'-ref_Distribution'!$G$146:$G$150)),RIGHT(AL$1,2)),"")</f>
        <v>142</v>
      </c>
      <c r="AM33" s="16" cm="1">
        <f t="array" ref="AM33">IFERROR(INDEX(_xlfn.ANCHORARRAY(_xlfn.XLOOKUP($C33,'-ref_Distribution'!$B$146:$B$150,'-ref_Distribution'!$G$146:$G$150)),RIGHT(AM$1,2)),"")</f>
        <v>144</v>
      </c>
      <c r="AN33" s="16" cm="1">
        <f t="array" ref="AN33">IFERROR(INDEX(_xlfn.ANCHORARRAY(_xlfn.XLOOKUP($C33,'-ref_Distribution'!$B$146:$B$150,'-ref_Distribution'!$G$146:$G$150)),RIGHT(AN$1,2)),"")</f>
        <v>142</v>
      </c>
      <c r="AO33" s="16" cm="1">
        <f t="array" ref="AO33">IFERROR(INDEX(_xlfn.ANCHORARRAY(_xlfn.XLOOKUP($C33,'-ref_Distribution'!$B$146:$B$150,'-ref_Distribution'!$G$146:$G$150)),RIGHT(AO$1,2)),"")</f>
        <v>135</v>
      </c>
      <c r="AP33" s="16" cm="1">
        <f t="array" ref="AP33">IFERROR(INDEX(_xlfn.ANCHORARRAY(_xlfn.XLOOKUP($C33,'-ref_Distribution'!$B$146:$B$150,'-ref_Distribution'!$G$146:$G$150)),RIGHT(AP$1,2)),"")</f>
        <v>125</v>
      </c>
      <c r="AQ33" s="16" cm="1">
        <f t="array" ref="AQ33">IFERROR(INDEX(_xlfn.ANCHORARRAY(_xlfn.XLOOKUP($C33,'-ref_Distribution'!$B$146:$B$150,'-ref_Distribution'!$G$146:$G$150)),RIGHT(AQ$1,2)),"")</f>
        <v>111</v>
      </c>
      <c r="AR33" s="16" cm="1">
        <f t="array" ref="AR33">IFERROR(INDEX(_xlfn.ANCHORARRAY(_xlfn.XLOOKUP($C33,'-ref_Distribution'!$B$146:$B$150,'-ref_Distribution'!$G$146:$G$150)),RIGHT(AR$1,2)),"")</f>
        <v>4</v>
      </c>
      <c r="AS33" s="16" cm="1">
        <f t="array" ref="AS33">IFERROR(INDEX(_xlfn.ANCHORARRAY(_xlfn.XLOOKUP($C33,'-ref_Distribution'!$B$146:$B$150,'-ref_Distribution'!$G$146:$G$150)),RIGHT(AS$1,2)),"")</f>
        <v>6</v>
      </c>
      <c r="AT33" s="16" cm="1">
        <f t="array" ref="AT33">IFERROR(INDEX(_xlfn.ANCHORARRAY(_xlfn.XLOOKUP($C33,'-ref_Distribution'!$B$146:$B$150,'-ref_Distribution'!$G$146:$G$150)),RIGHT(AT$1,2)),"")</f>
        <v>9</v>
      </c>
      <c r="AU33" s="16" cm="1">
        <f t="array" ref="AU33">IFERROR(INDEX(_xlfn.ANCHORARRAY(_xlfn.XLOOKUP($C33,'-ref_Distribution'!$B$146:$B$150,'-ref_Distribution'!$G$146:$G$150)),RIGHT(AU$1,2)),"")</f>
        <v>14</v>
      </c>
      <c r="AV33" s="16" cm="1">
        <f t="array" ref="AV33">IFERROR(INDEX(_xlfn.ANCHORARRAY(_xlfn.XLOOKUP($C33,'-ref_Distribution'!$B$146:$B$150,'-ref_Distribution'!$G$146:$G$150)),RIGHT(AV$1,2)),"")</f>
        <v>20</v>
      </c>
      <c r="AW33" s="16" cm="1">
        <f t="array" ref="AW33">IFERROR(INDEX(_xlfn.ANCHORARRAY(_xlfn.XLOOKUP($C33,'-ref_Distribution'!$B$146:$B$150,'-ref_Distribution'!$G$146:$G$150)),RIGHT(AW$1,2)),"")</f>
        <v>28</v>
      </c>
      <c r="AX33" s="16" cm="1">
        <f t="array" ref="AX33">IFERROR(INDEX(_xlfn.ANCHORARRAY(_xlfn.XLOOKUP($C33,'-ref_Distribution'!$B$146:$B$150,'-ref_Distribution'!$G$146:$G$150)),RIGHT(AX$1,2)),"")</f>
        <v>38</v>
      </c>
      <c r="AY33" s="16" cm="1">
        <f t="array" ref="AY33">IFERROR(INDEX(_xlfn.ANCHORARRAY(_xlfn.XLOOKUP($C33,'-ref_Distribution'!$B$146:$B$150,'-ref_Distribution'!$G$146:$G$150)),RIGHT(AY$1,2)),"")</f>
        <v>51</v>
      </c>
      <c r="AZ33" s="16" cm="1">
        <f t="array" ref="AZ33">IFERROR(INDEX(_xlfn.ANCHORARRAY(_xlfn.XLOOKUP($C33,'-ref_Distribution'!$B$146:$B$150,'-ref_Distribution'!$G$146:$G$150)),RIGHT(AZ$1,2)),"")</f>
        <v>65</v>
      </c>
      <c r="BA33" s="16" cm="1">
        <f t="array" ref="BA33">IFERROR(INDEX(_xlfn.ANCHORARRAY(_xlfn.XLOOKUP($C33,'-ref_Distribution'!$B$146:$B$150,'-ref_Distribution'!$G$146:$G$150)),RIGHT(BA$1,2)),"")</f>
        <v>80</v>
      </c>
      <c r="BB33" s="16" cm="1">
        <f t="array" ref="BB33">IFERROR(INDEX(_xlfn.ANCHORARRAY(_xlfn.XLOOKUP($C33,'-ref_Distribution'!$B$146:$B$150,'-ref_Distribution'!$G$146:$G$150)),RIGHT(BB$1,2)),"")</f>
        <v>96</v>
      </c>
      <c r="BC33" s="16" cm="1">
        <f t="array" ref="BC33">IFERROR(INDEX(_xlfn.ANCHORARRAY(_xlfn.XLOOKUP($C33,'-ref_Distribution'!$B$146:$B$150,'-ref_Distribution'!$G$146:$G$150)),RIGHT(BC$1,2)),"")</f>
        <v>111</v>
      </c>
      <c r="BD33" s="16" cm="1">
        <f t="array" ref="BD33">IFERROR(INDEX(_xlfn.ANCHORARRAY(_xlfn.XLOOKUP($C33,'-ref_Distribution'!$B$146:$B$150,'-ref_Distribution'!$G$146:$G$150)),RIGHT(BD$1,2)),"")</f>
        <v>125</v>
      </c>
      <c r="BE33" s="16" cm="1">
        <f t="array" ref="BE33">IFERROR(INDEX(_xlfn.ANCHORARRAY(_xlfn.XLOOKUP($C33,'-ref_Distribution'!$B$146:$B$150,'-ref_Distribution'!$G$146:$G$150)),RIGHT(BE$1,2)),"")</f>
        <v>135</v>
      </c>
      <c r="BF33" s="16" cm="1">
        <f t="array" ref="BF33">IFERROR(INDEX(_xlfn.ANCHORARRAY(_xlfn.XLOOKUP($C33,'-ref_Distribution'!$B$146:$B$150,'-ref_Distribution'!$G$146:$G$150)),RIGHT(BF$1,2)),"")</f>
        <v>142</v>
      </c>
      <c r="BG33" s="16" cm="1">
        <f t="array" ref="BG33">IFERROR(INDEX(_xlfn.ANCHORARRAY(_xlfn.XLOOKUP($C33,'-ref_Distribution'!$B$146:$B$150,'-ref_Distribution'!$G$146:$G$150)),RIGHT(BG$1,2)),"")</f>
        <v>144</v>
      </c>
      <c r="BH33" s="16" cm="1">
        <f t="array" ref="BH33">IFERROR(INDEX(_xlfn.ANCHORARRAY(_xlfn.XLOOKUP($C33,'-ref_Distribution'!$B$146:$B$150,'-ref_Distribution'!$G$146:$G$150)),RIGHT(BH$1,2)),"")</f>
        <v>142</v>
      </c>
      <c r="BI33" s="16" cm="1">
        <f t="array" ref="BI33">IFERROR(INDEX(_xlfn.ANCHORARRAY(_xlfn.XLOOKUP($C33,'-ref_Distribution'!$B$146:$B$150,'-ref_Distribution'!$G$146:$G$150)),RIGHT(BI$1,2)),"")</f>
        <v>135</v>
      </c>
      <c r="BJ33" s="16" cm="1">
        <f t="array" ref="BJ33">IFERROR(INDEX(_xlfn.ANCHORARRAY(_xlfn.XLOOKUP($C33,'-ref_Distribution'!$B$146:$B$150,'-ref_Distribution'!$G$146:$G$150)),RIGHT(BJ$1,2)),"")</f>
        <v>125</v>
      </c>
      <c r="BK33" s="16" cm="1">
        <f t="array" ref="BK33">IFERROR(INDEX(_xlfn.ANCHORARRAY(_xlfn.XLOOKUP($C33,'-ref_Distribution'!$B$146:$B$150,'-ref_Distribution'!$G$146:$G$150)),RIGHT(BK$1,2)),"")</f>
        <v>111</v>
      </c>
      <c r="BL33" s="16" cm="1">
        <f t="array" ref="BL33">IFERROR(INDEX(_xlfn.ANCHORARRAY(_xlfn.XLOOKUP($C33,'-ref_Distribution'!$B$146:$B$150,'-ref_Distribution'!$G$146:$G$150)),RIGHT(BL$1,2)),"")</f>
        <v>4</v>
      </c>
      <c r="BM33" s="16" cm="1">
        <f t="array" ref="BM33">IFERROR(INDEX(_xlfn.ANCHORARRAY(_xlfn.XLOOKUP($C33,'-ref_Distribution'!$B$146:$B$150,'-ref_Distribution'!$G$146:$G$150)),RIGHT(BM$1,2)),"")</f>
        <v>6</v>
      </c>
      <c r="BN33" s="16" cm="1">
        <f t="array" ref="BN33">IFERROR(INDEX(_xlfn.ANCHORARRAY(_xlfn.XLOOKUP($C33,'-ref_Distribution'!$B$146:$B$150,'-ref_Distribution'!$G$146:$G$150)),RIGHT(BN$1,2)),"")</f>
        <v>9</v>
      </c>
      <c r="BO33" s="16" cm="1">
        <f t="array" ref="BO33">IFERROR(INDEX(_xlfn.ANCHORARRAY(_xlfn.XLOOKUP($C33,'-ref_Distribution'!$B$146:$B$150,'-ref_Distribution'!$G$146:$G$150)),RIGHT(BO$1,2)),"")</f>
        <v>14</v>
      </c>
      <c r="BP33" s="16" cm="1">
        <f t="array" ref="BP33">IFERROR(INDEX(_xlfn.ANCHORARRAY(_xlfn.XLOOKUP($C33,'-ref_Distribution'!$B$146:$B$150,'-ref_Distribution'!$G$146:$G$150)),RIGHT(BP$1,2)),"")</f>
        <v>20</v>
      </c>
      <c r="BQ33" s="16" cm="1">
        <f t="array" ref="BQ33">IFERROR(INDEX(_xlfn.ANCHORARRAY(_xlfn.XLOOKUP($C33,'-ref_Distribution'!$B$146:$B$150,'-ref_Distribution'!$G$146:$G$150)),RIGHT(BQ$1,2)),"")</f>
        <v>28</v>
      </c>
      <c r="BR33" s="16" cm="1">
        <f t="array" ref="BR33">IFERROR(INDEX(_xlfn.ANCHORARRAY(_xlfn.XLOOKUP($C33,'-ref_Distribution'!$B$146:$B$150,'-ref_Distribution'!$G$146:$G$150)),RIGHT(BR$1,2)),"")</f>
        <v>38</v>
      </c>
      <c r="BS33" s="16" cm="1">
        <f t="array" ref="BS33">IFERROR(INDEX(_xlfn.ANCHORARRAY(_xlfn.XLOOKUP($C33,'-ref_Distribution'!$B$146:$B$150,'-ref_Distribution'!$G$146:$G$150)),RIGHT(BS$1,2)),"")</f>
        <v>51</v>
      </c>
      <c r="BT33" s="16" cm="1">
        <f t="array" ref="BT33">IFERROR(INDEX(_xlfn.ANCHORARRAY(_xlfn.XLOOKUP($C33,'-ref_Distribution'!$B$146:$B$150,'-ref_Distribution'!$G$146:$G$150)),RIGHT(BT$1,2)),"")</f>
        <v>65</v>
      </c>
      <c r="BU33" s="16" cm="1">
        <f t="array" ref="BU33">IFERROR(INDEX(_xlfn.ANCHORARRAY(_xlfn.XLOOKUP($C33,'-ref_Distribution'!$B$146:$B$150,'-ref_Distribution'!$G$146:$G$150)),RIGHT(BU$1,2)),"")</f>
        <v>80</v>
      </c>
      <c r="BV33" s="16" cm="1">
        <f t="array" ref="BV33">IFERROR(INDEX(_xlfn.ANCHORARRAY(_xlfn.XLOOKUP($C33,'-ref_Distribution'!$B$146:$B$150,'-ref_Distribution'!$G$146:$G$150)),RIGHT(BV$1,2)),"")</f>
        <v>96</v>
      </c>
      <c r="BW33" s="16" cm="1">
        <f t="array" ref="BW33">IFERROR(INDEX(_xlfn.ANCHORARRAY(_xlfn.XLOOKUP($C33,'-ref_Distribution'!$B$146:$B$150,'-ref_Distribution'!$G$146:$G$150)),RIGHT(BW$1,2)),"")</f>
        <v>111</v>
      </c>
      <c r="BX33" s="16" cm="1">
        <f t="array" ref="BX33">IFERROR(INDEX(_xlfn.ANCHORARRAY(_xlfn.XLOOKUP($C33,'-ref_Distribution'!$B$146:$B$150,'-ref_Distribution'!$G$146:$G$150)),RIGHT(BX$1,2)),"")</f>
        <v>125</v>
      </c>
      <c r="BY33" s="16" cm="1">
        <f t="array" ref="BY33">IFERROR(INDEX(_xlfn.ANCHORARRAY(_xlfn.XLOOKUP($C33,'-ref_Distribution'!$B$146:$B$150,'-ref_Distribution'!$G$146:$G$150)),RIGHT(BY$1,2)),"")</f>
        <v>135</v>
      </c>
      <c r="BZ33" s="16" cm="1">
        <f t="array" ref="BZ33">IFERROR(INDEX(_xlfn.ANCHORARRAY(_xlfn.XLOOKUP($C33,'-ref_Distribution'!$B$146:$B$150,'-ref_Distribution'!$G$146:$G$150)),RIGHT(BZ$1,2)),"")</f>
        <v>142</v>
      </c>
      <c r="CA33" s="16" cm="1">
        <f t="array" ref="CA33">IFERROR(INDEX(_xlfn.ANCHORARRAY(_xlfn.XLOOKUP($C33,'-ref_Distribution'!$B$146:$B$150,'-ref_Distribution'!$G$146:$G$150)),RIGHT(CA$1,2)),"")</f>
        <v>144</v>
      </c>
      <c r="CB33" s="16" cm="1">
        <f t="array" ref="CB33">IFERROR(INDEX(_xlfn.ANCHORARRAY(_xlfn.XLOOKUP($C33,'-ref_Distribution'!$B$146:$B$150,'-ref_Distribution'!$G$146:$G$150)),RIGHT(CB$1,2)),"")</f>
        <v>142</v>
      </c>
      <c r="CC33" s="16" cm="1">
        <f t="array" ref="CC33">IFERROR(INDEX(_xlfn.ANCHORARRAY(_xlfn.XLOOKUP($C33,'-ref_Distribution'!$B$146:$B$150,'-ref_Distribution'!$G$146:$G$150)),RIGHT(CC$1,2)),"")</f>
        <v>135</v>
      </c>
      <c r="CD33" s="16" cm="1">
        <f t="array" ref="CD33">IFERROR(INDEX(_xlfn.ANCHORARRAY(_xlfn.XLOOKUP($C33,'-ref_Distribution'!$B$146:$B$150,'-ref_Distribution'!$G$146:$G$150)),RIGHT(CD$1,2)),"")</f>
        <v>125</v>
      </c>
      <c r="CE33" s="16" cm="1">
        <f t="array" ref="CE33">IFERROR(INDEX(_xlfn.ANCHORARRAY(_xlfn.XLOOKUP($C33,'-ref_Distribution'!$B$146:$B$150,'-ref_Distribution'!$G$146:$G$150)),RIGHT(CE$1,2)),"")</f>
        <v>111</v>
      </c>
    </row>
    <row r="34" spans="1:83" x14ac:dyDescent="0.2">
      <c r="A34" s="16">
        <v>301041</v>
      </c>
      <c r="B34" s="16" t="s">
        <v>220</v>
      </c>
      <c r="C34" s="16">
        <v>0</v>
      </c>
      <c r="D34" s="16" cm="1">
        <f t="array" ref="D34">IFERROR(INDEX(_xlfn.ANCHORARRAY(_xlfn.XLOOKUP($C34,'-ref_Distribution'!$B$146:$B$150,'-ref_Distribution'!$G$146:$G$150)),RIGHT(D$1,2)),"")</f>
        <v>709</v>
      </c>
      <c r="E34" s="16" cm="1">
        <f t="array" ref="E34">IFERROR(INDEX(_xlfn.ANCHORARRAY(_xlfn.XLOOKUP($C34,'-ref_Distribution'!$B$146:$B$150,'-ref_Distribution'!$G$146:$G$150)),RIGHT(E$1,2)),"")</f>
        <v>705</v>
      </c>
      <c r="F34" s="16" cm="1">
        <f t="array" ref="F34">IFERROR(INDEX(_xlfn.ANCHORARRAY(_xlfn.XLOOKUP($C34,'-ref_Distribution'!$B$146:$B$150,'-ref_Distribution'!$G$146:$G$150)),RIGHT(F$1,2)),"")</f>
        <v>692</v>
      </c>
      <c r="G34" s="16" cm="1">
        <f t="array" ref="G34">IFERROR(INDEX(_xlfn.ANCHORARRAY(_xlfn.XLOOKUP($C34,'-ref_Distribution'!$B$146:$B$150,'-ref_Distribution'!$G$146:$G$150)),RIGHT(G$1,2)),"")</f>
        <v>671</v>
      </c>
      <c r="H34" s="16" cm="1">
        <f t="array" ref="H34">IFERROR(INDEX(_xlfn.ANCHORARRAY(_xlfn.XLOOKUP($C34,'-ref_Distribution'!$B$146:$B$150,'-ref_Distribution'!$G$146:$G$150)),RIGHT(H$1,2)),"")</f>
        <v>643</v>
      </c>
      <c r="I34" s="16" cm="1">
        <f t="array" ref="I34">IFERROR(INDEX(_xlfn.ANCHORARRAY(_xlfn.XLOOKUP($C34,'-ref_Distribution'!$B$146:$B$150,'-ref_Distribution'!$G$146:$G$150)),RIGHT(I$1,2)),"")</f>
        <v>608</v>
      </c>
      <c r="J34" s="16" cm="1">
        <f t="array" ref="J34">IFERROR(INDEX(_xlfn.ANCHORARRAY(_xlfn.XLOOKUP($C34,'-ref_Distribution'!$B$146:$B$150,'-ref_Distribution'!$G$146:$G$150)),RIGHT(J$1,2)),"")</f>
        <v>568</v>
      </c>
      <c r="K34" s="16" cm="1">
        <f t="array" ref="K34">IFERROR(INDEX(_xlfn.ANCHORARRAY(_xlfn.XLOOKUP($C34,'-ref_Distribution'!$B$146:$B$150,'-ref_Distribution'!$G$146:$G$150)),RIGHT(K$1,2)),"")</f>
        <v>524</v>
      </c>
      <c r="L34" s="16" cm="1">
        <f t="array" ref="L34">IFERROR(INDEX(_xlfn.ANCHORARRAY(_xlfn.XLOOKUP($C34,'-ref_Distribution'!$B$146:$B$150,'-ref_Distribution'!$G$146:$G$150)),RIGHT(L$1,2)),"")</f>
        <v>478</v>
      </c>
      <c r="M34" s="16" cm="1">
        <f t="array" ref="M34">IFERROR(INDEX(_xlfn.ANCHORARRAY(_xlfn.XLOOKUP($C34,'-ref_Distribution'!$B$146:$B$150,'-ref_Distribution'!$G$146:$G$150)),RIGHT(M$1,2)),"")</f>
        <v>430</v>
      </c>
      <c r="N34" s="16" cm="1">
        <f t="array" ref="N34">IFERROR(INDEX(_xlfn.ANCHORARRAY(_xlfn.XLOOKUP($C34,'-ref_Distribution'!$B$146:$B$150,'-ref_Distribution'!$G$146:$G$150)),RIGHT(N$1,2)),"")</f>
        <v>383</v>
      </c>
      <c r="O34" s="16" cm="1">
        <f t="array" ref="O34">IFERROR(INDEX(_xlfn.ANCHORARRAY(_xlfn.XLOOKUP($C34,'-ref_Distribution'!$B$146:$B$150,'-ref_Distribution'!$G$146:$G$150)),RIGHT(O$1,2)),"")</f>
        <v>336</v>
      </c>
      <c r="P34" s="16" cm="1">
        <f t="array" ref="P34">IFERROR(INDEX(_xlfn.ANCHORARRAY(_xlfn.XLOOKUP($C34,'-ref_Distribution'!$B$146:$B$150,'-ref_Distribution'!$G$146:$G$150)),RIGHT(P$1,2)),"")</f>
        <v>292</v>
      </c>
      <c r="Q34" s="16" cm="1">
        <f t="array" ref="Q34">IFERROR(INDEX(_xlfn.ANCHORARRAY(_xlfn.XLOOKUP($C34,'-ref_Distribution'!$B$146:$B$150,'-ref_Distribution'!$G$146:$G$150)),RIGHT(Q$1,2)),"")</f>
        <v>250</v>
      </c>
      <c r="R34" s="16" cm="1">
        <f t="array" ref="R34">IFERROR(INDEX(_xlfn.ANCHORARRAY(_xlfn.XLOOKUP($C34,'-ref_Distribution'!$B$146:$B$150,'-ref_Distribution'!$G$146:$G$150)),RIGHT(R$1,2)),"")</f>
        <v>212</v>
      </c>
      <c r="S34" s="16" cm="1">
        <f t="array" ref="S34">IFERROR(INDEX(_xlfn.ANCHORARRAY(_xlfn.XLOOKUP($C34,'-ref_Distribution'!$B$146:$B$150,'-ref_Distribution'!$G$146:$G$150)),RIGHT(S$1,2)),"")</f>
        <v>177</v>
      </c>
      <c r="T34" s="16" cm="1">
        <f t="array" ref="T34">IFERROR(INDEX(_xlfn.ANCHORARRAY(_xlfn.XLOOKUP($C34,'-ref_Distribution'!$B$146:$B$150,'-ref_Distribution'!$G$146:$G$150)),RIGHT(T$1,2)),"")</f>
        <v>146</v>
      </c>
      <c r="U34" s="16" cm="1">
        <f t="array" ref="U34">IFERROR(INDEX(_xlfn.ANCHORARRAY(_xlfn.XLOOKUP($C34,'-ref_Distribution'!$B$146:$B$150,'-ref_Distribution'!$G$146:$G$150)),RIGHT(U$1,2)),"")</f>
        <v>119</v>
      </c>
      <c r="V34" s="16" cm="1">
        <f t="array" ref="V34">IFERROR(INDEX(_xlfn.ANCHORARRAY(_xlfn.XLOOKUP($C34,'-ref_Distribution'!$B$146:$B$150,'-ref_Distribution'!$G$146:$G$150)),RIGHT(V$1,2)),"")</f>
        <v>96</v>
      </c>
      <c r="W34" s="16" cm="1">
        <f t="array" ref="W34">IFERROR(INDEX(_xlfn.ANCHORARRAY(_xlfn.XLOOKUP($C34,'-ref_Distribution'!$B$146:$B$150,'-ref_Distribution'!$G$146:$G$150)),RIGHT(W$1,2)),"")</f>
        <v>76</v>
      </c>
      <c r="X34" s="16" cm="1">
        <f t="array" ref="X34">IFERROR(INDEX(_xlfn.ANCHORARRAY(_xlfn.XLOOKUP($C34,'-ref_Distribution'!$B$146:$B$150,'-ref_Distribution'!$G$146:$G$150)),RIGHT(X$1,2)),"")</f>
        <v>709</v>
      </c>
      <c r="Y34" s="16" cm="1">
        <f t="array" ref="Y34">IFERROR(INDEX(_xlfn.ANCHORARRAY(_xlfn.XLOOKUP($C34,'-ref_Distribution'!$B$146:$B$150,'-ref_Distribution'!$G$146:$G$150)),RIGHT(Y$1,2)),"")</f>
        <v>705</v>
      </c>
      <c r="Z34" s="16" cm="1">
        <f t="array" ref="Z34">IFERROR(INDEX(_xlfn.ANCHORARRAY(_xlfn.XLOOKUP($C34,'-ref_Distribution'!$B$146:$B$150,'-ref_Distribution'!$G$146:$G$150)),RIGHT(Z$1,2)),"")</f>
        <v>692</v>
      </c>
      <c r="AA34" s="16" cm="1">
        <f t="array" ref="AA34">IFERROR(INDEX(_xlfn.ANCHORARRAY(_xlfn.XLOOKUP($C34,'-ref_Distribution'!$B$146:$B$150,'-ref_Distribution'!$G$146:$G$150)),RIGHT(AA$1,2)),"")</f>
        <v>671</v>
      </c>
      <c r="AB34" s="16" cm="1">
        <f t="array" ref="AB34">IFERROR(INDEX(_xlfn.ANCHORARRAY(_xlfn.XLOOKUP($C34,'-ref_Distribution'!$B$146:$B$150,'-ref_Distribution'!$G$146:$G$150)),RIGHT(AB$1,2)),"")</f>
        <v>643</v>
      </c>
      <c r="AC34" s="16" cm="1">
        <f t="array" ref="AC34">IFERROR(INDEX(_xlfn.ANCHORARRAY(_xlfn.XLOOKUP($C34,'-ref_Distribution'!$B$146:$B$150,'-ref_Distribution'!$G$146:$G$150)),RIGHT(AC$1,2)),"")</f>
        <v>608</v>
      </c>
      <c r="AD34" s="16" cm="1">
        <f t="array" ref="AD34">IFERROR(INDEX(_xlfn.ANCHORARRAY(_xlfn.XLOOKUP($C34,'-ref_Distribution'!$B$146:$B$150,'-ref_Distribution'!$G$146:$G$150)),RIGHT(AD$1,2)),"")</f>
        <v>568</v>
      </c>
      <c r="AE34" s="16" cm="1">
        <f t="array" ref="AE34">IFERROR(INDEX(_xlfn.ANCHORARRAY(_xlfn.XLOOKUP($C34,'-ref_Distribution'!$B$146:$B$150,'-ref_Distribution'!$G$146:$G$150)),RIGHT(AE$1,2)),"")</f>
        <v>524</v>
      </c>
      <c r="AF34" s="16" cm="1">
        <f t="array" ref="AF34">IFERROR(INDEX(_xlfn.ANCHORARRAY(_xlfn.XLOOKUP($C34,'-ref_Distribution'!$B$146:$B$150,'-ref_Distribution'!$G$146:$G$150)),RIGHT(AF$1,2)),"")</f>
        <v>478</v>
      </c>
      <c r="AG34" s="16" cm="1">
        <f t="array" ref="AG34">IFERROR(INDEX(_xlfn.ANCHORARRAY(_xlfn.XLOOKUP($C34,'-ref_Distribution'!$B$146:$B$150,'-ref_Distribution'!$G$146:$G$150)),RIGHT(AG$1,2)),"")</f>
        <v>430</v>
      </c>
      <c r="AH34" s="16" cm="1">
        <f t="array" ref="AH34">IFERROR(INDEX(_xlfn.ANCHORARRAY(_xlfn.XLOOKUP($C34,'-ref_Distribution'!$B$146:$B$150,'-ref_Distribution'!$G$146:$G$150)),RIGHT(AH$1,2)),"")</f>
        <v>383</v>
      </c>
      <c r="AI34" s="16" cm="1">
        <f t="array" ref="AI34">IFERROR(INDEX(_xlfn.ANCHORARRAY(_xlfn.XLOOKUP($C34,'-ref_Distribution'!$B$146:$B$150,'-ref_Distribution'!$G$146:$G$150)),RIGHT(AI$1,2)),"")</f>
        <v>336</v>
      </c>
      <c r="AJ34" s="16" cm="1">
        <f t="array" ref="AJ34">IFERROR(INDEX(_xlfn.ANCHORARRAY(_xlfn.XLOOKUP($C34,'-ref_Distribution'!$B$146:$B$150,'-ref_Distribution'!$G$146:$G$150)),RIGHT(AJ$1,2)),"")</f>
        <v>292</v>
      </c>
      <c r="AK34" s="16" cm="1">
        <f t="array" ref="AK34">IFERROR(INDEX(_xlfn.ANCHORARRAY(_xlfn.XLOOKUP($C34,'-ref_Distribution'!$B$146:$B$150,'-ref_Distribution'!$G$146:$G$150)),RIGHT(AK$1,2)),"")</f>
        <v>250</v>
      </c>
      <c r="AL34" s="16" cm="1">
        <f t="array" ref="AL34">IFERROR(INDEX(_xlfn.ANCHORARRAY(_xlfn.XLOOKUP($C34,'-ref_Distribution'!$B$146:$B$150,'-ref_Distribution'!$G$146:$G$150)),RIGHT(AL$1,2)),"")</f>
        <v>212</v>
      </c>
      <c r="AM34" s="16" cm="1">
        <f t="array" ref="AM34">IFERROR(INDEX(_xlfn.ANCHORARRAY(_xlfn.XLOOKUP($C34,'-ref_Distribution'!$B$146:$B$150,'-ref_Distribution'!$G$146:$G$150)),RIGHT(AM$1,2)),"")</f>
        <v>177</v>
      </c>
      <c r="AN34" s="16" cm="1">
        <f t="array" ref="AN34">IFERROR(INDEX(_xlfn.ANCHORARRAY(_xlfn.XLOOKUP($C34,'-ref_Distribution'!$B$146:$B$150,'-ref_Distribution'!$G$146:$G$150)),RIGHT(AN$1,2)),"")</f>
        <v>146</v>
      </c>
      <c r="AO34" s="16" cm="1">
        <f t="array" ref="AO34">IFERROR(INDEX(_xlfn.ANCHORARRAY(_xlfn.XLOOKUP($C34,'-ref_Distribution'!$B$146:$B$150,'-ref_Distribution'!$G$146:$G$150)),RIGHT(AO$1,2)),"")</f>
        <v>119</v>
      </c>
      <c r="AP34" s="16" cm="1">
        <f t="array" ref="AP34">IFERROR(INDEX(_xlfn.ANCHORARRAY(_xlfn.XLOOKUP($C34,'-ref_Distribution'!$B$146:$B$150,'-ref_Distribution'!$G$146:$G$150)),RIGHT(AP$1,2)),"")</f>
        <v>96</v>
      </c>
      <c r="AQ34" s="16" cm="1">
        <f t="array" ref="AQ34">IFERROR(INDEX(_xlfn.ANCHORARRAY(_xlfn.XLOOKUP($C34,'-ref_Distribution'!$B$146:$B$150,'-ref_Distribution'!$G$146:$G$150)),RIGHT(AQ$1,2)),"")</f>
        <v>76</v>
      </c>
      <c r="AR34" s="16" cm="1">
        <f t="array" ref="AR34">IFERROR(INDEX(_xlfn.ANCHORARRAY(_xlfn.XLOOKUP($C34,'-ref_Distribution'!$B$146:$B$150,'-ref_Distribution'!$G$146:$G$150)),RIGHT(AR$1,2)),"")</f>
        <v>709</v>
      </c>
      <c r="AS34" s="16" cm="1">
        <f t="array" ref="AS34">IFERROR(INDEX(_xlfn.ANCHORARRAY(_xlfn.XLOOKUP($C34,'-ref_Distribution'!$B$146:$B$150,'-ref_Distribution'!$G$146:$G$150)),RIGHT(AS$1,2)),"")</f>
        <v>705</v>
      </c>
      <c r="AT34" s="16" cm="1">
        <f t="array" ref="AT34">IFERROR(INDEX(_xlfn.ANCHORARRAY(_xlfn.XLOOKUP($C34,'-ref_Distribution'!$B$146:$B$150,'-ref_Distribution'!$G$146:$G$150)),RIGHT(AT$1,2)),"")</f>
        <v>692</v>
      </c>
      <c r="AU34" s="16" cm="1">
        <f t="array" ref="AU34">IFERROR(INDEX(_xlfn.ANCHORARRAY(_xlfn.XLOOKUP($C34,'-ref_Distribution'!$B$146:$B$150,'-ref_Distribution'!$G$146:$G$150)),RIGHT(AU$1,2)),"")</f>
        <v>671</v>
      </c>
      <c r="AV34" s="16" cm="1">
        <f t="array" ref="AV34">IFERROR(INDEX(_xlfn.ANCHORARRAY(_xlfn.XLOOKUP($C34,'-ref_Distribution'!$B$146:$B$150,'-ref_Distribution'!$G$146:$G$150)),RIGHT(AV$1,2)),"")</f>
        <v>643</v>
      </c>
      <c r="AW34" s="16" cm="1">
        <f t="array" ref="AW34">IFERROR(INDEX(_xlfn.ANCHORARRAY(_xlfn.XLOOKUP($C34,'-ref_Distribution'!$B$146:$B$150,'-ref_Distribution'!$G$146:$G$150)),RIGHT(AW$1,2)),"")</f>
        <v>608</v>
      </c>
      <c r="AX34" s="16" cm="1">
        <f t="array" ref="AX34">IFERROR(INDEX(_xlfn.ANCHORARRAY(_xlfn.XLOOKUP($C34,'-ref_Distribution'!$B$146:$B$150,'-ref_Distribution'!$G$146:$G$150)),RIGHT(AX$1,2)),"")</f>
        <v>568</v>
      </c>
      <c r="AY34" s="16" cm="1">
        <f t="array" ref="AY34">IFERROR(INDEX(_xlfn.ANCHORARRAY(_xlfn.XLOOKUP($C34,'-ref_Distribution'!$B$146:$B$150,'-ref_Distribution'!$G$146:$G$150)),RIGHT(AY$1,2)),"")</f>
        <v>524</v>
      </c>
      <c r="AZ34" s="16" cm="1">
        <f t="array" ref="AZ34">IFERROR(INDEX(_xlfn.ANCHORARRAY(_xlfn.XLOOKUP($C34,'-ref_Distribution'!$B$146:$B$150,'-ref_Distribution'!$G$146:$G$150)),RIGHT(AZ$1,2)),"")</f>
        <v>478</v>
      </c>
      <c r="BA34" s="16" cm="1">
        <f t="array" ref="BA34">IFERROR(INDEX(_xlfn.ANCHORARRAY(_xlfn.XLOOKUP($C34,'-ref_Distribution'!$B$146:$B$150,'-ref_Distribution'!$G$146:$G$150)),RIGHT(BA$1,2)),"")</f>
        <v>430</v>
      </c>
      <c r="BB34" s="16" cm="1">
        <f t="array" ref="BB34">IFERROR(INDEX(_xlfn.ANCHORARRAY(_xlfn.XLOOKUP($C34,'-ref_Distribution'!$B$146:$B$150,'-ref_Distribution'!$G$146:$G$150)),RIGHT(BB$1,2)),"")</f>
        <v>383</v>
      </c>
      <c r="BC34" s="16" cm="1">
        <f t="array" ref="BC34">IFERROR(INDEX(_xlfn.ANCHORARRAY(_xlfn.XLOOKUP($C34,'-ref_Distribution'!$B$146:$B$150,'-ref_Distribution'!$G$146:$G$150)),RIGHT(BC$1,2)),"")</f>
        <v>336</v>
      </c>
      <c r="BD34" s="16" cm="1">
        <f t="array" ref="BD34">IFERROR(INDEX(_xlfn.ANCHORARRAY(_xlfn.XLOOKUP($C34,'-ref_Distribution'!$B$146:$B$150,'-ref_Distribution'!$G$146:$G$150)),RIGHT(BD$1,2)),"")</f>
        <v>292</v>
      </c>
      <c r="BE34" s="16" cm="1">
        <f t="array" ref="BE34">IFERROR(INDEX(_xlfn.ANCHORARRAY(_xlfn.XLOOKUP($C34,'-ref_Distribution'!$B$146:$B$150,'-ref_Distribution'!$G$146:$G$150)),RIGHT(BE$1,2)),"")</f>
        <v>250</v>
      </c>
      <c r="BF34" s="16" cm="1">
        <f t="array" ref="BF34">IFERROR(INDEX(_xlfn.ANCHORARRAY(_xlfn.XLOOKUP($C34,'-ref_Distribution'!$B$146:$B$150,'-ref_Distribution'!$G$146:$G$150)),RIGHT(BF$1,2)),"")</f>
        <v>212</v>
      </c>
      <c r="BG34" s="16" cm="1">
        <f t="array" ref="BG34">IFERROR(INDEX(_xlfn.ANCHORARRAY(_xlfn.XLOOKUP($C34,'-ref_Distribution'!$B$146:$B$150,'-ref_Distribution'!$G$146:$G$150)),RIGHT(BG$1,2)),"")</f>
        <v>177</v>
      </c>
      <c r="BH34" s="16" cm="1">
        <f t="array" ref="BH34">IFERROR(INDEX(_xlfn.ANCHORARRAY(_xlfn.XLOOKUP($C34,'-ref_Distribution'!$B$146:$B$150,'-ref_Distribution'!$G$146:$G$150)),RIGHT(BH$1,2)),"")</f>
        <v>146</v>
      </c>
      <c r="BI34" s="16" cm="1">
        <f t="array" ref="BI34">IFERROR(INDEX(_xlfn.ANCHORARRAY(_xlfn.XLOOKUP($C34,'-ref_Distribution'!$B$146:$B$150,'-ref_Distribution'!$G$146:$G$150)),RIGHT(BI$1,2)),"")</f>
        <v>119</v>
      </c>
      <c r="BJ34" s="16" cm="1">
        <f t="array" ref="BJ34">IFERROR(INDEX(_xlfn.ANCHORARRAY(_xlfn.XLOOKUP($C34,'-ref_Distribution'!$B$146:$B$150,'-ref_Distribution'!$G$146:$G$150)),RIGHT(BJ$1,2)),"")</f>
        <v>96</v>
      </c>
      <c r="BK34" s="16" cm="1">
        <f t="array" ref="BK34">IFERROR(INDEX(_xlfn.ANCHORARRAY(_xlfn.XLOOKUP($C34,'-ref_Distribution'!$B$146:$B$150,'-ref_Distribution'!$G$146:$G$150)),RIGHT(BK$1,2)),"")</f>
        <v>76</v>
      </c>
      <c r="BL34" s="16" cm="1">
        <f t="array" ref="BL34">IFERROR(INDEX(_xlfn.ANCHORARRAY(_xlfn.XLOOKUP($C34,'-ref_Distribution'!$B$146:$B$150,'-ref_Distribution'!$G$146:$G$150)),RIGHT(BL$1,2)),"")</f>
        <v>709</v>
      </c>
      <c r="BM34" s="16" cm="1">
        <f t="array" ref="BM34">IFERROR(INDEX(_xlfn.ANCHORARRAY(_xlfn.XLOOKUP($C34,'-ref_Distribution'!$B$146:$B$150,'-ref_Distribution'!$G$146:$G$150)),RIGHT(BM$1,2)),"")</f>
        <v>705</v>
      </c>
      <c r="BN34" s="16" cm="1">
        <f t="array" ref="BN34">IFERROR(INDEX(_xlfn.ANCHORARRAY(_xlfn.XLOOKUP($C34,'-ref_Distribution'!$B$146:$B$150,'-ref_Distribution'!$G$146:$G$150)),RIGHT(BN$1,2)),"")</f>
        <v>692</v>
      </c>
      <c r="BO34" s="16" cm="1">
        <f t="array" ref="BO34">IFERROR(INDEX(_xlfn.ANCHORARRAY(_xlfn.XLOOKUP($C34,'-ref_Distribution'!$B$146:$B$150,'-ref_Distribution'!$G$146:$G$150)),RIGHT(BO$1,2)),"")</f>
        <v>671</v>
      </c>
      <c r="BP34" s="16" cm="1">
        <f t="array" ref="BP34">IFERROR(INDEX(_xlfn.ANCHORARRAY(_xlfn.XLOOKUP($C34,'-ref_Distribution'!$B$146:$B$150,'-ref_Distribution'!$G$146:$G$150)),RIGHT(BP$1,2)),"")</f>
        <v>643</v>
      </c>
      <c r="BQ34" s="16" cm="1">
        <f t="array" ref="BQ34">IFERROR(INDEX(_xlfn.ANCHORARRAY(_xlfn.XLOOKUP($C34,'-ref_Distribution'!$B$146:$B$150,'-ref_Distribution'!$G$146:$G$150)),RIGHT(BQ$1,2)),"")</f>
        <v>608</v>
      </c>
      <c r="BR34" s="16" cm="1">
        <f t="array" ref="BR34">IFERROR(INDEX(_xlfn.ANCHORARRAY(_xlfn.XLOOKUP($C34,'-ref_Distribution'!$B$146:$B$150,'-ref_Distribution'!$G$146:$G$150)),RIGHT(BR$1,2)),"")</f>
        <v>568</v>
      </c>
      <c r="BS34" s="16" cm="1">
        <f t="array" ref="BS34">IFERROR(INDEX(_xlfn.ANCHORARRAY(_xlfn.XLOOKUP($C34,'-ref_Distribution'!$B$146:$B$150,'-ref_Distribution'!$G$146:$G$150)),RIGHT(BS$1,2)),"")</f>
        <v>524</v>
      </c>
      <c r="BT34" s="16" cm="1">
        <f t="array" ref="BT34">IFERROR(INDEX(_xlfn.ANCHORARRAY(_xlfn.XLOOKUP($C34,'-ref_Distribution'!$B$146:$B$150,'-ref_Distribution'!$G$146:$G$150)),RIGHT(BT$1,2)),"")</f>
        <v>478</v>
      </c>
      <c r="BU34" s="16" cm="1">
        <f t="array" ref="BU34">IFERROR(INDEX(_xlfn.ANCHORARRAY(_xlfn.XLOOKUP($C34,'-ref_Distribution'!$B$146:$B$150,'-ref_Distribution'!$G$146:$G$150)),RIGHT(BU$1,2)),"")</f>
        <v>430</v>
      </c>
      <c r="BV34" s="16" cm="1">
        <f t="array" ref="BV34">IFERROR(INDEX(_xlfn.ANCHORARRAY(_xlfn.XLOOKUP($C34,'-ref_Distribution'!$B$146:$B$150,'-ref_Distribution'!$G$146:$G$150)),RIGHT(BV$1,2)),"")</f>
        <v>383</v>
      </c>
      <c r="BW34" s="16" cm="1">
        <f t="array" ref="BW34">IFERROR(INDEX(_xlfn.ANCHORARRAY(_xlfn.XLOOKUP($C34,'-ref_Distribution'!$B$146:$B$150,'-ref_Distribution'!$G$146:$G$150)),RIGHT(BW$1,2)),"")</f>
        <v>336</v>
      </c>
      <c r="BX34" s="16" cm="1">
        <f t="array" ref="BX34">IFERROR(INDEX(_xlfn.ANCHORARRAY(_xlfn.XLOOKUP($C34,'-ref_Distribution'!$B$146:$B$150,'-ref_Distribution'!$G$146:$G$150)),RIGHT(BX$1,2)),"")</f>
        <v>292</v>
      </c>
      <c r="BY34" s="16" cm="1">
        <f t="array" ref="BY34">IFERROR(INDEX(_xlfn.ANCHORARRAY(_xlfn.XLOOKUP($C34,'-ref_Distribution'!$B$146:$B$150,'-ref_Distribution'!$G$146:$G$150)),RIGHT(BY$1,2)),"")</f>
        <v>250</v>
      </c>
      <c r="BZ34" s="16" cm="1">
        <f t="array" ref="BZ34">IFERROR(INDEX(_xlfn.ANCHORARRAY(_xlfn.XLOOKUP($C34,'-ref_Distribution'!$B$146:$B$150,'-ref_Distribution'!$G$146:$G$150)),RIGHT(BZ$1,2)),"")</f>
        <v>212</v>
      </c>
      <c r="CA34" s="16" cm="1">
        <f t="array" ref="CA34">IFERROR(INDEX(_xlfn.ANCHORARRAY(_xlfn.XLOOKUP($C34,'-ref_Distribution'!$B$146:$B$150,'-ref_Distribution'!$G$146:$G$150)),RIGHT(CA$1,2)),"")</f>
        <v>177</v>
      </c>
      <c r="CB34" s="16" cm="1">
        <f t="array" ref="CB34">IFERROR(INDEX(_xlfn.ANCHORARRAY(_xlfn.XLOOKUP($C34,'-ref_Distribution'!$B$146:$B$150,'-ref_Distribution'!$G$146:$G$150)),RIGHT(CB$1,2)),"")</f>
        <v>146</v>
      </c>
      <c r="CC34" s="16" cm="1">
        <f t="array" ref="CC34">IFERROR(INDEX(_xlfn.ANCHORARRAY(_xlfn.XLOOKUP($C34,'-ref_Distribution'!$B$146:$B$150,'-ref_Distribution'!$G$146:$G$150)),RIGHT(CC$1,2)),"")</f>
        <v>119</v>
      </c>
      <c r="CD34" s="16" cm="1">
        <f t="array" ref="CD34">IFERROR(INDEX(_xlfn.ANCHORARRAY(_xlfn.XLOOKUP($C34,'-ref_Distribution'!$B$146:$B$150,'-ref_Distribution'!$G$146:$G$150)),RIGHT(CD$1,2)),"")</f>
        <v>96</v>
      </c>
      <c r="CE34" s="16" cm="1">
        <f t="array" ref="CE34">IFERROR(INDEX(_xlfn.ANCHORARRAY(_xlfn.XLOOKUP($C34,'-ref_Distribution'!$B$146:$B$150,'-ref_Distribution'!$G$146:$G$150)),RIGHT(CE$1,2)),"")</f>
        <v>76</v>
      </c>
    </row>
    <row r="35" spans="1:83" x14ac:dyDescent="0.2">
      <c r="A35" s="16">
        <v>301042</v>
      </c>
      <c r="B35" s="16" t="s">
        <v>220</v>
      </c>
      <c r="C35" s="16">
        <v>1</v>
      </c>
      <c r="D35" s="16" cm="1">
        <f t="array" ref="D35">IFERROR(INDEX(_xlfn.ANCHORARRAY(_xlfn.XLOOKUP($C35,'-ref_Distribution'!$B$146:$B$150,'-ref_Distribution'!$G$146:$G$150)),RIGHT(D$1,2)),"")</f>
        <v>337</v>
      </c>
      <c r="E35" s="16" cm="1">
        <f t="array" ref="E35">IFERROR(INDEX(_xlfn.ANCHORARRAY(_xlfn.XLOOKUP($C35,'-ref_Distribution'!$B$146:$B$150,'-ref_Distribution'!$G$146:$G$150)),RIGHT(E$1,2)),"")</f>
        <v>364</v>
      </c>
      <c r="F35" s="16" cm="1">
        <f t="array" ref="F35">IFERROR(INDEX(_xlfn.ANCHORARRAY(_xlfn.XLOOKUP($C35,'-ref_Distribution'!$B$146:$B$150,'-ref_Distribution'!$G$146:$G$150)),RIGHT(F$1,2)),"")</f>
        <v>386</v>
      </c>
      <c r="G35" s="16" cm="1">
        <f t="array" ref="G35">IFERROR(INDEX(_xlfn.ANCHORARRAY(_xlfn.XLOOKUP($C35,'-ref_Distribution'!$B$146:$B$150,'-ref_Distribution'!$G$146:$G$150)),RIGHT(G$1,2)),"")</f>
        <v>403</v>
      </c>
      <c r="H35" s="16" cm="1">
        <f t="array" ref="H35">IFERROR(INDEX(_xlfn.ANCHORARRAY(_xlfn.XLOOKUP($C35,'-ref_Distribution'!$B$146:$B$150,'-ref_Distribution'!$G$146:$G$150)),RIGHT(H$1,2)),"")</f>
        <v>414</v>
      </c>
      <c r="I35" s="16" cm="1">
        <f t="array" ref="I35">IFERROR(INDEX(_xlfn.ANCHORARRAY(_xlfn.XLOOKUP($C35,'-ref_Distribution'!$B$146:$B$150,'-ref_Distribution'!$G$146:$G$150)),RIGHT(I$1,2)),"")</f>
        <v>417</v>
      </c>
      <c r="J35" s="16" cm="1">
        <f t="array" ref="J35">IFERROR(INDEX(_xlfn.ANCHORARRAY(_xlfn.XLOOKUP($C35,'-ref_Distribution'!$B$146:$B$150,'-ref_Distribution'!$G$146:$G$150)),RIGHT(J$1,2)),"")</f>
        <v>414</v>
      </c>
      <c r="K35" s="16" cm="1">
        <f t="array" ref="K35">IFERROR(INDEX(_xlfn.ANCHORARRAY(_xlfn.XLOOKUP($C35,'-ref_Distribution'!$B$146:$B$150,'-ref_Distribution'!$G$146:$G$150)),RIGHT(K$1,2)),"")</f>
        <v>403</v>
      </c>
      <c r="L35" s="16" cm="1">
        <f t="array" ref="L35">IFERROR(INDEX(_xlfn.ANCHORARRAY(_xlfn.XLOOKUP($C35,'-ref_Distribution'!$B$146:$B$150,'-ref_Distribution'!$G$146:$G$150)),RIGHT(L$1,2)),"")</f>
        <v>386</v>
      </c>
      <c r="M35" s="16" cm="1">
        <f t="array" ref="M35">IFERROR(INDEX(_xlfn.ANCHORARRAY(_xlfn.XLOOKUP($C35,'-ref_Distribution'!$B$146:$B$150,'-ref_Distribution'!$G$146:$G$150)),RIGHT(M$1,2)),"")</f>
        <v>364</v>
      </c>
      <c r="N35" s="16" cm="1">
        <f t="array" ref="N35">IFERROR(INDEX(_xlfn.ANCHORARRAY(_xlfn.XLOOKUP($C35,'-ref_Distribution'!$B$146:$B$150,'-ref_Distribution'!$G$146:$G$150)),RIGHT(N$1,2)),"")</f>
        <v>337</v>
      </c>
      <c r="O35" s="16" cm="1">
        <f t="array" ref="O35">IFERROR(INDEX(_xlfn.ANCHORARRAY(_xlfn.XLOOKUP($C35,'-ref_Distribution'!$B$146:$B$150,'-ref_Distribution'!$G$146:$G$150)),RIGHT(O$1,2)),"")</f>
        <v>307</v>
      </c>
      <c r="P35" s="16" cm="1">
        <f t="array" ref="P35">IFERROR(INDEX(_xlfn.ANCHORARRAY(_xlfn.XLOOKUP($C35,'-ref_Distribution'!$B$146:$B$150,'-ref_Distribution'!$G$146:$G$150)),RIGHT(P$1,2)),"")</f>
        <v>274</v>
      </c>
      <c r="Q35" s="16" cm="1">
        <f t="array" ref="Q35">IFERROR(INDEX(_xlfn.ANCHORARRAY(_xlfn.XLOOKUP($C35,'-ref_Distribution'!$B$146:$B$150,'-ref_Distribution'!$G$146:$G$150)),RIGHT(Q$1,2)),"")</f>
        <v>241</v>
      </c>
      <c r="R35" s="16" cm="1">
        <f t="array" ref="R35">IFERROR(INDEX(_xlfn.ANCHORARRAY(_xlfn.XLOOKUP($C35,'-ref_Distribution'!$B$146:$B$150,'-ref_Distribution'!$G$146:$G$150)),RIGHT(R$1,2)),"")</f>
        <v>209</v>
      </c>
      <c r="S35" s="16" cm="1">
        <f t="array" ref="S35">IFERROR(INDEX(_xlfn.ANCHORARRAY(_xlfn.XLOOKUP($C35,'-ref_Distribution'!$B$146:$B$150,'-ref_Distribution'!$G$146:$G$150)),RIGHT(S$1,2)),"")</f>
        <v>178</v>
      </c>
      <c r="T35" s="16" cm="1">
        <f t="array" ref="T35">IFERROR(INDEX(_xlfn.ANCHORARRAY(_xlfn.XLOOKUP($C35,'-ref_Distribution'!$B$146:$B$150,'-ref_Distribution'!$G$146:$G$150)),RIGHT(T$1,2)),"")</f>
        <v>148</v>
      </c>
      <c r="U35" s="16" cm="1">
        <f t="array" ref="U35">IFERROR(INDEX(_xlfn.ANCHORARRAY(_xlfn.XLOOKUP($C35,'-ref_Distribution'!$B$146:$B$150,'-ref_Distribution'!$G$146:$G$150)),RIGHT(U$1,2)),"")</f>
        <v>122</v>
      </c>
      <c r="V35" s="16" cm="1">
        <f t="array" ref="V35">IFERROR(INDEX(_xlfn.ANCHORARRAY(_xlfn.XLOOKUP($C35,'-ref_Distribution'!$B$146:$B$150,'-ref_Distribution'!$G$146:$G$150)),RIGHT(V$1,2)),"")</f>
        <v>98</v>
      </c>
      <c r="W35" s="16" cm="1">
        <f t="array" ref="W35">IFERROR(INDEX(_xlfn.ANCHORARRAY(_xlfn.XLOOKUP($C35,'-ref_Distribution'!$B$146:$B$150,'-ref_Distribution'!$G$146:$G$150)),RIGHT(W$1,2)),"")</f>
        <v>78</v>
      </c>
      <c r="X35" s="16" cm="1">
        <f t="array" ref="X35">IFERROR(INDEX(_xlfn.ANCHORARRAY(_xlfn.XLOOKUP($C35,'-ref_Distribution'!$B$146:$B$150,'-ref_Distribution'!$G$146:$G$150)),RIGHT(X$1,2)),"")</f>
        <v>337</v>
      </c>
      <c r="Y35" s="16" cm="1">
        <f t="array" ref="Y35">IFERROR(INDEX(_xlfn.ANCHORARRAY(_xlfn.XLOOKUP($C35,'-ref_Distribution'!$B$146:$B$150,'-ref_Distribution'!$G$146:$G$150)),RIGHT(Y$1,2)),"")</f>
        <v>364</v>
      </c>
      <c r="Z35" s="16" cm="1">
        <f t="array" ref="Z35">IFERROR(INDEX(_xlfn.ANCHORARRAY(_xlfn.XLOOKUP($C35,'-ref_Distribution'!$B$146:$B$150,'-ref_Distribution'!$G$146:$G$150)),RIGHT(Z$1,2)),"")</f>
        <v>386</v>
      </c>
      <c r="AA35" s="16" cm="1">
        <f t="array" ref="AA35">IFERROR(INDEX(_xlfn.ANCHORARRAY(_xlfn.XLOOKUP($C35,'-ref_Distribution'!$B$146:$B$150,'-ref_Distribution'!$G$146:$G$150)),RIGHT(AA$1,2)),"")</f>
        <v>403</v>
      </c>
      <c r="AB35" s="16" cm="1">
        <f t="array" ref="AB35">IFERROR(INDEX(_xlfn.ANCHORARRAY(_xlfn.XLOOKUP($C35,'-ref_Distribution'!$B$146:$B$150,'-ref_Distribution'!$G$146:$G$150)),RIGHT(AB$1,2)),"")</f>
        <v>414</v>
      </c>
      <c r="AC35" s="16" cm="1">
        <f t="array" ref="AC35">IFERROR(INDEX(_xlfn.ANCHORARRAY(_xlfn.XLOOKUP($C35,'-ref_Distribution'!$B$146:$B$150,'-ref_Distribution'!$G$146:$G$150)),RIGHT(AC$1,2)),"")</f>
        <v>417</v>
      </c>
      <c r="AD35" s="16" cm="1">
        <f t="array" ref="AD35">IFERROR(INDEX(_xlfn.ANCHORARRAY(_xlfn.XLOOKUP($C35,'-ref_Distribution'!$B$146:$B$150,'-ref_Distribution'!$G$146:$G$150)),RIGHT(AD$1,2)),"")</f>
        <v>414</v>
      </c>
      <c r="AE35" s="16" cm="1">
        <f t="array" ref="AE35">IFERROR(INDEX(_xlfn.ANCHORARRAY(_xlfn.XLOOKUP($C35,'-ref_Distribution'!$B$146:$B$150,'-ref_Distribution'!$G$146:$G$150)),RIGHT(AE$1,2)),"")</f>
        <v>403</v>
      </c>
      <c r="AF35" s="16" cm="1">
        <f t="array" ref="AF35">IFERROR(INDEX(_xlfn.ANCHORARRAY(_xlfn.XLOOKUP($C35,'-ref_Distribution'!$B$146:$B$150,'-ref_Distribution'!$G$146:$G$150)),RIGHT(AF$1,2)),"")</f>
        <v>386</v>
      </c>
      <c r="AG35" s="16" cm="1">
        <f t="array" ref="AG35">IFERROR(INDEX(_xlfn.ANCHORARRAY(_xlfn.XLOOKUP($C35,'-ref_Distribution'!$B$146:$B$150,'-ref_Distribution'!$G$146:$G$150)),RIGHT(AG$1,2)),"")</f>
        <v>364</v>
      </c>
      <c r="AH35" s="16" cm="1">
        <f t="array" ref="AH35">IFERROR(INDEX(_xlfn.ANCHORARRAY(_xlfn.XLOOKUP($C35,'-ref_Distribution'!$B$146:$B$150,'-ref_Distribution'!$G$146:$G$150)),RIGHT(AH$1,2)),"")</f>
        <v>337</v>
      </c>
      <c r="AI35" s="16" cm="1">
        <f t="array" ref="AI35">IFERROR(INDEX(_xlfn.ANCHORARRAY(_xlfn.XLOOKUP($C35,'-ref_Distribution'!$B$146:$B$150,'-ref_Distribution'!$G$146:$G$150)),RIGHT(AI$1,2)),"")</f>
        <v>307</v>
      </c>
      <c r="AJ35" s="16" cm="1">
        <f t="array" ref="AJ35">IFERROR(INDEX(_xlfn.ANCHORARRAY(_xlfn.XLOOKUP($C35,'-ref_Distribution'!$B$146:$B$150,'-ref_Distribution'!$G$146:$G$150)),RIGHT(AJ$1,2)),"")</f>
        <v>274</v>
      </c>
      <c r="AK35" s="16" cm="1">
        <f t="array" ref="AK35">IFERROR(INDEX(_xlfn.ANCHORARRAY(_xlfn.XLOOKUP($C35,'-ref_Distribution'!$B$146:$B$150,'-ref_Distribution'!$G$146:$G$150)),RIGHT(AK$1,2)),"")</f>
        <v>241</v>
      </c>
      <c r="AL35" s="16" cm="1">
        <f t="array" ref="AL35">IFERROR(INDEX(_xlfn.ANCHORARRAY(_xlfn.XLOOKUP($C35,'-ref_Distribution'!$B$146:$B$150,'-ref_Distribution'!$G$146:$G$150)),RIGHT(AL$1,2)),"")</f>
        <v>209</v>
      </c>
      <c r="AM35" s="16" cm="1">
        <f t="array" ref="AM35">IFERROR(INDEX(_xlfn.ANCHORARRAY(_xlfn.XLOOKUP($C35,'-ref_Distribution'!$B$146:$B$150,'-ref_Distribution'!$G$146:$G$150)),RIGHT(AM$1,2)),"")</f>
        <v>178</v>
      </c>
      <c r="AN35" s="16" cm="1">
        <f t="array" ref="AN35">IFERROR(INDEX(_xlfn.ANCHORARRAY(_xlfn.XLOOKUP($C35,'-ref_Distribution'!$B$146:$B$150,'-ref_Distribution'!$G$146:$G$150)),RIGHT(AN$1,2)),"")</f>
        <v>148</v>
      </c>
      <c r="AO35" s="16" cm="1">
        <f t="array" ref="AO35">IFERROR(INDEX(_xlfn.ANCHORARRAY(_xlfn.XLOOKUP($C35,'-ref_Distribution'!$B$146:$B$150,'-ref_Distribution'!$G$146:$G$150)),RIGHT(AO$1,2)),"")</f>
        <v>122</v>
      </c>
      <c r="AP35" s="16" cm="1">
        <f t="array" ref="AP35">IFERROR(INDEX(_xlfn.ANCHORARRAY(_xlfn.XLOOKUP($C35,'-ref_Distribution'!$B$146:$B$150,'-ref_Distribution'!$G$146:$G$150)),RIGHT(AP$1,2)),"")</f>
        <v>98</v>
      </c>
      <c r="AQ35" s="16" cm="1">
        <f t="array" ref="AQ35">IFERROR(INDEX(_xlfn.ANCHORARRAY(_xlfn.XLOOKUP($C35,'-ref_Distribution'!$B$146:$B$150,'-ref_Distribution'!$G$146:$G$150)),RIGHT(AQ$1,2)),"")</f>
        <v>78</v>
      </c>
      <c r="AR35" s="16" cm="1">
        <f t="array" ref="AR35">IFERROR(INDEX(_xlfn.ANCHORARRAY(_xlfn.XLOOKUP($C35,'-ref_Distribution'!$B$146:$B$150,'-ref_Distribution'!$G$146:$G$150)),RIGHT(AR$1,2)),"")</f>
        <v>337</v>
      </c>
      <c r="AS35" s="16" cm="1">
        <f t="array" ref="AS35">IFERROR(INDEX(_xlfn.ANCHORARRAY(_xlfn.XLOOKUP($C35,'-ref_Distribution'!$B$146:$B$150,'-ref_Distribution'!$G$146:$G$150)),RIGHT(AS$1,2)),"")</f>
        <v>364</v>
      </c>
      <c r="AT35" s="16" cm="1">
        <f t="array" ref="AT35">IFERROR(INDEX(_xlfn.ANCHORARRAY(_xlfn.XLOOKUP($C35,'-ref_Distribution'!$B$146:$B$150,'-ref_Distribution'!$G$146:$G$150)),RIGHT(AT$1,2)),"")</f>
        <v>386</v>
      </c>
      <c r="AU35" s="16" cm="1">
        <f t="array" ref="AU35">IFERROR(INDEX(_xlfn.ANCHORARRAY(_xlfn.XLOOKUP($C35,'-ref_Distribution'!$B$146:$B$150,'-ref_Distribution'!$G$146:$G$150)),RIGHT(AU$1,2)),"")</f>
        <v>403</v>
      </c>
      <c r="AV35" s="16" cm="1">
        <f t="array" ref="AV35">IFERROR(INDEX(_xlfn.ANCHORARRAY(_xlfn.XLOOKUP($C35,'-ref_Distribution'!$B$146:$B$150,'-ref_Distribution'!$G$146:$G$150)),RIGHT(AV$1,2)),"")</f>
        <v>414</v>
      </c>
      <c r="AW35" s="16" cm="1">
        <f t="array" ref="AW35">IFERROR(INDEX(_xlfn.ANCHORARRAY(_xlfn.XLOOKUP($C35,'-ref_Distribution'!$B$146:$B$150,'-ref_Distribution'!$G$146:$G$150)),RIGHT(AW$1,2)),"")</f>
        <v>417</v>
      </c>
      <c r="AX35" s="16" cm="1">
        <f t="array" ref="AX35">IFERROR(INDEX(_xlfn.ANCHORARRAY(_xlfn.XLOOKUP($C35,'-ref_Distribution'!$B$146:$B$150,'-ref_Distribution'!$G$146:$G$150)),RIGHT(AX$1,2)),"")</f>
        <v>414</v>
      </c>
      <c r="AY35" s="16" cm="1">
        <f t="array" ref="AY35">IFERROR(INDEX(_xlfn.ANCHORARRAY(_xlfn.XLOOKUP($C35,'-ref_Distribution'!$B$146:$B$150,'-ref_Distribution'!$G$146:$G$150)),RIGHT(AY$1,2)),"")</f>
        <v>403</v>
      </c>
      <c r="AZ35" s="16" cm="1">
        <f t="array" ref="AZ35">IFERROR(INDEX(_xlfn.ANCHORARRAY(_xlfn.XLOOKUP($C35,'-ref_Distribution'!$B$146:$B$150,'-ref_Distribution'!$G$146:$G$150)),RIGHT(AZ$1,2)),"")</f>
        <v>386</v>
      </c>
      <c r="BA35" s="16" cm="1">
        <f t="array" ref="BA35">IFERROR(INDEX(_xlfn.ANCHORARRAY(_xlfn.XLOOKUP($C35,'-ref_Distribution'!$B$146:$B$150,'-ref_Distribution'!$G$146:$G$150)),RIGHT(BA$1,2)),"")</f>
        <v>364</v>
      </c>
      <c r="BB35" s="16" cm="1">
        <f t="array" ref="BB35">IFERROR(INDEX(_xlfn.ANCHORARRAY(_xlfn.XLOOKUP($C35,'-ref_Distribution'!$B$146:$B$150,'-ref_Distribution'!$G$146:$G$150)),RIGHT(BB$1,2)),"")</f>
        <v>337</v>
      </c>
      <c r="BC35" s="16" cm="1">
        <f t="array" ref="BC35">IFERROR(INDEX(_xlfn.ANCHORARRAY(_xlfn.XLOOKUP($C35,'-ref_Distribution'!$B$146:$B$150,'-ref_Distribution'!$G$146:$G$150)),RIGHT(BC$1,2)),"")</f>
        <v>307</v>
      </c>
      <c r="BD35" s="16" cm="1">
        <f t="array" ref="BD35">IFERROR(INDEX(_xlfn.ANCHORARRAY(_xlfn.XLOOKUP($C35,'-ref_Distribution'!$B$146:$B$150,'-ref_Distribution'!$G$146:$G$150)),RIGHT(BD$1,2)),"")</f>
        <v>274</v>
      </c>
      <c r="BE35" s="16" cm="1">
        <f t="array" ref="BE35">IFERROR(INDEX(_xlfn.ANCHORARRAY(_xlfn.XLOOKUP($C35,'-ref_Distribution'!$B$146:$B$150,'-ref_Distribution'!$G$146:$G$150)),RIGHT(BE$1,2)),"")</f>
        <v>241</v>
      </c>
      <c r="BF35" s="16" cm="1">
        <f t="array" ref="BF35">IFERROR(INDEX(_xlfn.ANCHORARRAY(_xlfn.XLOOKUP($C35,'-ref_Distribution'!$B$146:$B$150,'-ref_Distribution'!$G$146:$G$150)),RIGHT(BF$1,2)),"")</f>
        <v>209</v>
      </c>
      <c r="BG35" s="16" cm="1">
        <f t="array" ref="BG35">IFERROR(INDEX(_xlfn.ANCHORARRAY(_xlfn.XLOOKUP($C35,'-ref_Distribution'!$B$146:$B$150,'-ref_Distribution'!$G$146:$G$150)),RIGHT(BG$1,2)),"")</f>
        <v>178</v>
      </c>
      <c r="BH35" s="16" cm="1">
        <f t="array" ref="BH35">IFERROR(INDEX(_xlfn.ANCHORARRAY(_xlfn.XLOOKUP($C35,'-ref_Distribution'!$B$146:$B$150,'-ref_Distribution'!$G$146:$G$150)),RIGHT(BH$1,2)),"")</f>
        <v>148</v>
      </c>
      <c r="BI35" s="16" cm="1">
        <f t="array" ref="BI35">IFERROR(INDEX(_xlfn.ANCHORARRAY(_xlfn.XLOOKUP($C35,'-ref_Distribution'!$B$146:$B$150,'-ref_Distribution'!$G$146:$G$150)),RIGHT(BI$1,2)),"")</f>
        <v>122</v>
      </c>
      <c r="BJ35" s="16" cm="1">
        <f t="array" ref="BJ35">IFERROR(INDEX(_xlfn.ANCHORARRAY(_xlfn.XLOOKUP($C35,'-ref_Distribution'!$B$146:$B$150,'-ref_Distribution'!$G$146:$G$150)),RIGHT(BJ$1,2)),"")</f>
        <v>98</v>
      </c>
      <c r="BK35" s="16" cm="1">
        <f t="array" ref="BK35">IFERROR(INDEX(_xlfn.ANCHORARRAY(_xlfn.XLOOKUP($C35,'-ref_Distribution'!$B$146:$B$150,'-ref_Distribution'!$G$146:$G$150)),RIGHT(BK$1,2)),"")</f>
        <v>78</v>
      </c>
      <c r="BL35" s="16" cm="1">
        <f t="array" ref="BL35">IFERROR(INDEX(_xlfn.ANCHORARRAY(_xlfn.XLOOKUP($C35,'-ref_Distribution'!$B$146:$B$150,'-ref_Distribution'!$G$146:$G$150)),RIGHT(BL$1,2)),"")</f>
        <v>337</v>
      </c>
      <c r="BM35" s="16" cm="1">
        <f t="array" ref="BM35">IFERROR(INDEX(_xlfn.ANCHORARRAY(_xlfn.XLOOKUP($C35,'-ref_Distribution'!$B$146:$B$150,'-ref_Distribution'!$G$146:$G$150)),RIGHT(BM$1,2)),"")</f>
        <v>364</v>
      </c>
      <c r="BN35" s="16" cm="1">
        <f t="array" ref="BN35">IFERROR(INDEX(_xlfn.ANCHORARRAY(_xlfn.XLOOKUP($C35,'-ref_Distribution'!$B$146:$B$150,'-ref_Distribution'!$G$146:$G$150)),RIGHT(BN$1,2)),"")</f>
        <v>386</v>
      </c>
      <c r="BO35" s="16" cm="1">
        <f t="array" ref="BO35">IFERROR(INDEX(_xlfn.ANCHORARRAY(_xlfn.XLOOKUP($C35,'-ref_Distribution'!$B$146:$B$150,'-ref_Distribution'!$G$146:$G$150)),RIGHT(BO$1,2)),"")</f>
        <v>403</v>
      </c>
      <c r="BP35" s="16" cm="1">
        <f t="array" ref="BP35">IFERROR(INDEX(_xlfn.ANCHORARRAY(_xlfn.XLOOKUP($C35,'-ref_Distribution'!$B$146:$B$150,'-ref_Distribution'!$G$146:$G$150)),RIGHT(BP$1,2)),"")</f>
        <v>414</v>
      </c>
      <c r="BQ35" s="16" cm="1">
        <f t="array" ref="BQ35">IFERROR(INDEX(_xlfn.ANCHORARRAY(_xlfn.XLOOKUP($C35,'-ref_Distribution'!$B$146:$B$150,'-ref_Distribution'!$G$146:$G$150)),RIGHT(BQ$1,2)),"")</f>
        <v>417</v>
      </c>
      <c r="BR35" s="16" cm="1">
        <f t="array" ref="BR35">IFERROR(INDEX(_xlfn.ANCHORARRAY(_xlfn.XLOOKUP($C35,'-ref_Distribution'!$B$146:$B$150,'-ref_Distribution'!$G$146:$G$150)),RIGHT(BR$1,2)),"")</f>
        <v>414</v>
      </c>
      <c r="BS35" s="16" cm="1">
        <f t="array" ref="BS35">IFERROR(INDEX(_xlfn.ANCHORARRAY(_xlfn.XLOOKUP($C35,'-ref_Distribution'!$B$146:$B$150,'-ref_Distribution'!$G$146:$G$150)),RIGHT(BS$1,2)),"")</f>
        <v>403</v>
      </c>
      <c r="BT35" s="16" cm="1">
        <f t="array" ref="BT35">IFERROR(INDEX(_xlfn.ANCHORARRAY(_xlfn.XLOOKUP($C35,'-ref_Distribution'!$B$146:$B$150,'-ref_Distribution'!$G$146:$G$150)),RIGHT(BT$1,2)),"")</f>
        <v>386</v>
      </c>
      <c r="BU35" s="16" cm="1">
        <f t="array" ref="BU35">IFERROR(INDEX(_xlfn.ANCHORARRAY(_xlfn.XLOOKUP($C35,'-ref_Distribution'!$B$146:$B$150,'-ref_Distribution'!$G$146:$G$150)),RIGHT(BU$1,2)),"")</f>
        <v>364</v>
      </c>
      <c r="BV35" s="16" cm="1">
        <f t="array" ref="BV35">IFERROR(INDEX(_xlfn.ANCHORARRAY(_xlfn.XLOOKUP($C35,'-ref_Distribution'!$B$146:$B$150,'-ref_Distribution'!$G$146:$G$150)),RIGHT(BV$1,2)),"")</f>
        <v>337</v>
      </c>
      <c r="BW35" s="16" cm="1">
        <f t="array" ref="BW35">IFERROR(INDEX(_xlfn.ANCHORARRAY(_xlfn.XLOOKUP($C35,'-ref_Distribution'!$B$146:$B$150,'-ref_Distribution'!$G$146:$G$150)),RIGHT(BW$1,2)),"")</f>
        <v>307</v>
      </c>
      <c r="BX35" s="16" cm="1">
        <f t="array" ref="BX35">IFERROR(INDEX(_xlfn.ANCHORARRAY(_xlfn.XLOOKUP($C35,'-ref_Distribution'!$B$146:$B$150,'-ref_Distribution'!$G$146:$G$150)),RIGHT(BX$1,2)),"")</f>
        <v>274</v>
      </c>
      <c r="BY35" s="16" cm="1">
        <f t="array" ref="BY35">IFERROR(INDEX(_xlfn.ANCHORARRAY(_xlfn.XLOOKUP($C35,'-ref_Distribution'!$B$146:$B$150,'-ref_Distribution'!$G$146:$G$150)),RIGHT(BY$1,2)),"")</f>
        <v>241</v>
      </c>
      <c r="BZ35" s="16" cm="1">
        <f t="array" ref="BZ35">IFERROR(INDEX(_xlfn.ANCHORARRAY(_xlfn.XLOOKUP($C35,'-ref_Distribution'!$B$146:$B$150,'-ref_Distribution'!$G$146:$G$150)),RIGHT(BZ$1,2)),"")</f>
        <v>209</v>
      </c>
      <c r="CA35" s="16" cm="1">
        <f t="array" ref="CA35">IFERROR(INDEX(_xlfn.ANCHORARRAY(_xlfn.XLOOKUP($C35,'-ref_Distribution'!$B$146:$B$150,'-ref_Distribution'!$G$146:$G$150)),RIGHT(CA$1,2)),"")</f>
        <v>178</v>
      </c>
      <c r="CB35" s="16" cm="1">
        <f t="array" ref="CB35">IFERROR(INDEX(_xlfn.ANCHORARRAY(_xlfn.XLOOKUP($C35,'-ref_Distribution'!$B$146:$B$150,'-ref_Distribution'!$G$146:$G$150)),RIGHT(CB$1,2)),"")</f>
        <v>148</v>
      </c>
      <c r="CC35" s="16" cm="1">
        <f t="array" ref="CC35">IFERROR(INDEX(_xlfn.ANCHORARRAY(_xlfn.XLOOKUP($C35,'-ref_Distribution'!$B$146:$B$150,'-ref_Distribution'!$G$146:$G$150)),RIGHT(CC$1,2)),"")</f>
        <v>122</v>
      </c>
      <c r="CD35" s="16" cm="1">
        <f t="array" ref="CD35">IFERROR(INDEX(_xlfn.ANCHORARRAY(_xlfn.XLOOKUP($C35,'-ref_Distribution'!$B$146:$B$150,'-ref_Distribution'!$G$146:$G$150)),RIGHT(CD$1,2)),"")</f>
        <v>98</v>
      </c>
      <c r="CE35" s="16" cm="1">
        <f t="array" ref="CE35">IFERROR(INDEX(_xlfn.ANCHORARRAY(_xlfn.XLOOKUP($C35,'-ref_Distribution'!$B$146:$B$150,'-ref_Distribution'!$G$146:$G$150)),RIGHT(CE$1,2)),"")</f>
        <v>78</v>
      </c>
    </row>
    <row r="36" spans="1:83" x14ac:dyDescent="0.2">
      <c r="A36" s="16">
        <v>301043</v>
      </c>
      <c r="B36" s="16" t="s">
        <v>220</v>
      </c>
      <c r="C36" s="16">
        <v>2</v>
      </c>
      <c r="D36" s="16" cm="1">
        <f t="array" ref="D36">IFERROR(INDEX(_xlfn.ANCHORARRAY(_xlfn.XLOOKUP($C36,'-ref_Distribution'!$B$146:$B$150,'-ref_Distribution'!$G$146:$G$150)),RIGHT(D$1,2)),"")</f>
        <v>75</v>
      </c>
      <c r="E36" s="16" cm="1">
        <f t="array" ref="E36">IFERROR(INDEX(_xlfn.ANCHORARRAY(_xlfn.XLOOKUP($C36,'-ref_Distribution'!$B$146:$B$150,'-ref_Distribution'!$G$146:$G$150)),RIGHT(E$1,2)),"")</f>
        <v>94</v>
      </c>
      <c r="F36" s="16" cm="1">
        <f t="array" ref="F36">IFERROR(INDEX(_xlfn.ANCHORARRAY(_xlfn.XLOOKUP($C36,'-ref_Distribution'!$B$146:$B$150,'-ref_Distribution'!$G$146:$G$150)),RIGHT(F$1,2)),"")</f>
        <v>115</v>
      </c>
      <c r="G36" s="16" cm="1">
        <f t="array" ref="G36">IFERROR(INDEX(_xlfn.ANCHORARRAY(_xlfn.XLOOKUP($C36,'-ref_Distribution'!$B$146:$B$150,'-ref_Distribution'!$G$146:$G$150)),RIGHT(G$1,2)),"")</f>
        <v>137</v>
      </c>
      <c r="H36" s="16" cm="1">
        <f t="array" ref="H36">IFERROR(INDEX(_xlfn.ANCHORARRAY(_xlfn.XLOOKUP($C36,'-ref_Distribution'!$B$146:$B$150,'-ref_Distribution'!$G$146:$G$150)),RIGHT(H$1,2)),"")</f>
        <v>160</v>
      </c>
      <c r="I36" s="16" cm="1">
        <f t="array" ref="I36">IFERROR(INDEX(_xlfn.ANCHORARRAY(_xlfn.XLOOKUP($C36,'-ref_Distribution'!$B$146:$B$150,'-ref_Distribution'!$G$146:$G$150)),RIGHT(I$1,2)),"")</f>
        <v>183</v>
      </c>
      <c r="J36" s="16" cm="1">
        <f t="array" ref="J36">IFERROR(INDEX(_xlfn.ANCHORARRAY(_xlfn.XLOOKUP($C36,'-ref_Distribution'!$B$146:$B$150,'-ref_Distribution'!$G$146:$G$150)),RIGHT(J$1,2)),"")</f>
        <v>203</v>
      </c>
      <c r="K36" s="16" cm="1">
        <f t="array" ref="K36">IFERROR(INDEX(_xlfn.ANCHORARRAY(_xlfn.XLOOKUP($C36,'-ref_Distribution'!$B$146:$B$150,'-ref_Distribution'!$G$146:$G$150)),RIGHT(K$1,2)),"")</f>
        <v>221</v>
      </c>
      <c r="L36" s="16" cm="1">
        <f t="array" ref="L36">IFERROR(INDEX(_xlfn.ANCHORARRAY(_xlfn.XLOOKUP($C36,'-ref_Distribution'!$B$146:$B$150,'-ref_Distribution'!$G$146:$G$150)),RIGHT(L$1,2)),"")</f>
        <v>234</v>
      </c>
      <c r="M36" s="16" cm="1">
        <f t="array" ref="M36">IFERROR(INDEX(_xlfn.ANCHORARRAY(_xlfn.XLOOKUP($C36,'-ref_Distribution'!$B$146:$B$150,'-ref_Distribution'!$G$146:$G$150)),RIGHT(M$1,2)),"")</f>
        <v>243</v>
      </c>
      <c r="N36" s="16" cm="1">
        <f t="array" ref="N36">IFERROR(INDEX(_xlfn.ANCHORARRAY(_xlfn.XLOOKUP($C36,'-ref_Distribution'!$B$146:$B$150,'-ref_Distribution'!$G$146:$G$150)),RIGHT(N$1,2)),"")</f>
        <v>245</v>
      </c>
      <c r="O36" s="16" cm="1">
        <f t="array" ref="O36">IFERROR(INDEX(_xlfn.ANCHORARRAY(_xlfn.XLOOKUP($C36,'-ref_Distribution'!$B$146:$B$150,'-ref_Distribution'!$G$146:$G$150)),RIGHT(O$1,2)),"")</f>
        <v>243</v>
      </c>
      <c r="P36" s="16" cm="1">
        <f t="array" ref="P36">IFERROR(INDEX(_xlfn.ANCHORARRAY(_xlfn.XLOOKUP($C36,'-ref_Distribution'!$B$146:$B$150,'-ref_Distribution'!$G$146:$G$150)),RIGHT(P$1,2)),"")</f>
        <v>234</v>
      </c>
      <c r="Q36" s="16" cm="1">
        <f t="array" ref="Q36">IFERROR(INDEX(_xlfn.ANCHORARRAY(_xlfn.XLOOKUP($C36,'-ref_Distribution'!$B$146:$B$150,'-ref_Distribution'!$G$146:$G$150)),RIGHT(Q$1,2)),"")</f>
        <v>221</v>
      </c>
      <c r="R36" s="16" cm="1">
        <f t="array" ref="R36">IFERROR(INDEX(_xlfn.ANCHORARRAY(_xlfn.XLOOKUP($C36,'-ref_Distribution'!$B$146:$B$150,'-ref_Distribution'!$G$146:$G$150)),RIGHT(R$1,2)),"")</f>
        <v>203</v>
      </c>
      <c r="S36" s="16" cm="1">
        <f t="array" ref="S36">IFERROR(INDEX(_xlfn.ANCHORARRAY(_xlfn.XLOOKUP($C36,'-ref_Distribution'!$B$146:$B$150,'-ref_Distribution'!$G$146:$G$150)),RIGHT(S$1,2)),"")</f>
        <v>183</v>
      </c>
      <c r="T36" s="16" cm="1">
        <f t="array" ref="T36">IFERROR(INDEX(_xlfn.ANCHORARRAY(_xlfn.XLOOKUP($C36,'-ref_Distribution'!$B$146:$B$150,'-ref_Distribution'!$G$146:$G$150)),RIGHT(T$1,2)),"")</f>
        <v>160</v>
      </c>
      <c r="U36" s="16" cm="1">
        <f t="array" ref="U36">IFERROR(INDEX(_xlfn.ANCHORARRAY(_xlfn.XLOOKUP($C36,'-ref_Distribution'!$B$146:$B$150,'-ref_Distribution'!$G$146:$G$150)),RIGHT(U$1,2)),"")</f>
        <v>137</v>
      </c>
      <c r="V36" s="16" cm="1">
        <f t="array" ref="V36">IFERROR(INDEX(_xlfn.ANCHORARRAY(_xlfn.XLOOKUP($C36,'-ref_Distribution'!$B$146:$B$150,'-ref_Distribution'!$G$146:$G$150)),RIGHT(V$1,2)),"")</f>
        <v>115</v>
      </c>
      <c r="W36" s="16" cm="1">
        <f t="array" ref="W36">IFERROR(INDEX(_xlfn.ANCHORARRAY(_xlfn.XLOOKUP($C36,'-ref_Distribution'!$B$146:$B$150,'-ref_Distribution'!$G$146:$G$150)),RIGHT(W$1,2)),"")</f>
        <v>94</v>
      </c>
      <c r="X36" s="16" cm="1">
        <f t="array" ref="X36">IFERROR(INDEX(_xlfn.ANCHORARRAY(_xlfn.XLOOKUP($C36,'-ref_Distribution'!$B$146:$B$150,'-ref_Distribution'!$G$146:$G$150)),RIGHT(X$1,2)),"")</f>
        <v>75</v>
      </c>
      <c r="Y36" s="16" cm="1">
        <f t="array" ref="Y36">IFERROR(INDEX(_xlfn.ANCHORARRAY(_xlfn.XLOOKUP($C36,'-ref_Distribution'!$B$146:$B$150,'-ref_Distribution'!$G$146:$G$150)),RIGHT(Y$1,2)),"")</f>
        <v>94</v>
      </c>
      <c r="Z36" s="16" cm="1">
        <f t="array" ref="Z36">IFERROR(INDEX(_xlfn.ANCHORARRAY(_xlfn.XLOOKUP($C36,'-ref_Distribution'!$B$146:$B$150,'-ref_Distribution'!$G$146:$G$150)),RIGHT(Z$1,2)),"")</f>
        <v>115</v>
      </c>
      <c r="AA36" s="16" cm="1">
        <f t="array" ref="AA36">IFERROR(INDEX(_xlfn.ANCHORARRAY(_xlfn.XLOOKUP($C36,'-ref_Distribution'!$B$146:$B$150,'-ref_Distribution'!$G$146:$G$150)),RIGHT(AA$1,2)),"")</f>
        <v>137</v>
      </c>
      <c r="AB36" s="16" cm="1">
        <f t="array" ref="AB36">IFERROR(INDEX(_xlfn.ANCHORARRAY(_xlfn.XLOOKUP($C36,'-ref_Distribution'!$B$146:$B$150,'-ref_Distribution'!$G$146:$G$150)),RIGHT(AB$1,2)),"")</f>
        <v>160</v>
      </c>
      <c r="AC36" s="16" cm="1">
        <f t="array" ref="AC36">IFERROR(INDEX(_xlfn.ANCHORARRAY(_xlfn.XLOOKUP($C36,'-ref_Distribution'!$B$146:$B$150,'-ref_Distribution'!$G$146:$G$150)),RIGHT(AC$1,2)),"")</f>
        <v>183</v>
      </c>
      <c r="AD36" s="16" cm="1">
        <f t="array" ref="AD36">IFERROR(INDEX(_xlfn.ANCHORARRAY(_xlfn.XLOOKUP($C36,'-ref_Distribution'!$B$146:$B$150,'-ref_Distribution'!$G$146:$G$150)),RIGHT(AD$1,2)),"")</f>
        <v>203</v>
      </c>
      <c r="AE36" s="16" cm="1">
        <f t="array" ref="AE36">IFERROR(INDEX(_xlfn.ANCHORARRAY(_xlfn.XLOOKUP($C36,'-ref_Distribution'!$B$146:$B$150,'-ref_Distribution'!$G$146:$G$150)),RIGHT(AE$1,2)),"")</f>
        <v>221</v>
      </c>
      <c r="AF36" s="16" cm="1">
        <f t="array" ref="AF36">IFERROR(INDEX(_xlfn.ANCHORARRAY(_xlfn.XLOOKUP($C36,'-ref_Distribution'!$B$146:$B$150,'-ref_Distribution'!$G$146:$G$150)),RIGHT(AF$1,2)),"")</f>
        <v>234</v>
      </c>
      <c r="AG36" s="16" cm="1">
        <f t="array" ref="AG36">IFERROR(INDEX(_xlfn.ANCHORARRAY(_xlfn.XLOOKUP($C36,'-ref_Distribution'!$B$146:$B$150,'-ref_Distribution'!$G$146:$G$150)),RIGHT(AG$1,2)),"")</f>
        <v>243</v>
      </c>
      <c r="AH36" s="16" cm="1">
        <f t="array" ref="AH36">IFERROR(INDEX(_xlfn.ANCHORARRAY(_xlfn.XLOOKUP($C36,'-ref_Distribution'!$B$146:$B$150,'-ref_Distribution'!$G$146:$G$150)),RIGHT(AH$1,2)),"")</f>
        <v>245</v>
      </c>
      <c r="AI36" s="16" cm="1">
        <f t="array" ref="AI36">IFERROR(INDEX(_xlfn.ANCHORARRAY(_xlfn.XLOOKUP($C36,'-ref_Distribution'!$B$146:$B$150,'-ref_Distribution'!$G$146:$G$150)),RIGHT(AI$1,2)),"")</f>
        <v>243</v>
      </c>
      <c r="AJ36" s="16" cm="1">
        <f t="array" ref="AJ36">IFERROR(INDEX(_xlfn.ANCHORARRAY(_xlfn.XLOOKUP($C36,'-ref_Distribution'!$B$146:$B$150,'-ref_Distribution'!$G$146:$G$150)),RIGHT(AJ$1,2)),"")</f>
        <v>234</v>
      </c>
      <c r="AK36" s="16" cm="1">
        <f t="array" ref="AK36">IFERROR(INDEX(_xlfn.ANCHORARRAY(_xlfn.XLOOKUP($C36,'-ref_Distribution'!$B$146:$B$150,'-ref_Distribution'!$G$146:$G$150)),RIGHT(AK$1,2)),"")</f>
        <v>221</v>
      </c>
      <c r="AL36" s="16" cm="1">
        <f t="array" ref="AL36">IFERROR(INDEX(_xlfn.ANCHORARRAY(_xlfn.XLOOKUP($C36,'-ref_Distribution'!$B$146:$B$150,'-ref_Distribution'!$G$146:$G$150)),RIGHT(AL$1,2)),"")</f>
        <v>203</v>
      </c>
      <c r="AM36" s="16" cm="1">
        <f t="array" ref="AM36">IFERROR(INDEX(_xlfn.ANCHORARRAY(_xlfn.XLOOKUP($C36,'-ref_Distribution'!$B$146:$B$150,'-ref_Distribution'!$G$146:$G$150)),RIGHT(AM$1,2)),"")</f>
        <v>183</v>
      </c>
      <c r="AN36" s="16" cm="1">
        <f t="array" ref="AN36">IFERROR(INDEX(_xlfn.ANCHORARRAY(_xlfn.XLOOKUP($C36,'-ref_Distribution'!$B$146:$B$150,'-ref_Distribution'!$G$146:$G$150)),RIGHT(AN$1,2)),"")</f>
        <v>160</v>
      </c>
      <c r="AO36" s="16" cm="1">
        <f t="array" ref="AO36">IFERROR(INDEX(_xlfn.ANCHORARRAY(_xlfn.XLOOKUP($C36,'-ref_Distribution'!$B$146:$B$150,'-ref_Distribution'!$G$146:$G$150)),RIGHT(AO$1,2)),"")</f>
        <v>137</v>
      </c>
      <c r="AP36" s="16" cm="1">
        <f t="array" ref="AP36">IFERROR(INDEX(_xlfn.ANCHORARRAY(_xlfn.XLOOKUP($C36,'-ref_Distribution'!$B$146:$B$150,'-ref_Distribution'!$G$146:$G$150)),RIGHT(AP$1,2)),"")</f>
        <v>115</v>
      </c>
      <c r="AQ36" s="16" cm="1">
        <f t="array" ref="AQ36">IFERROR(INDEX(_xlfn.ANCHORARRAY(_xlfn.XLOOKUP($C36,'-ref_Distribution'!$B$146:$B$150,'-ref_Distribution'!$G$146:$G$150)),RIGHT(AQ$1,2)),"")</f>
        <v>94</v>
      </c>
      <c r="AR36" s="16" cm="1">
        <f t="array" ref="AR36">IFERROR(INDEX(_xlfn.ANCHORARRAY(_xlfn.XLOOKUP($C36,'-ref_Distribution'!$B$146:$B$150,'-ref_Distribution'!$G$146:$G$150)),RIGHT(AR$1,2)),"")</f>
        <v>75</v>
      </c>
      <c r="AS36" s="16" cm="1">
        <f t="array" ref="AS36">IFERROR(INDEX(_xlfn.ANCHORARRAY(_xlfn.XLOOKUP($C36,'-ref_Distribution'!$B$146:$B$150,'-ref_Distribution'!$G$146:$G$150)),RIGHT(AS$1,2)),"")</f>
        <v>94</v>
      </c>
      <c r="AT36" s="16" cm="1">
        <f t="array" ref="AT36">IFERROR(INDEX(_xlfn.ANCHORARRAY(_xlfn.XLOOKUP($C36,'-ref_Distribution'!$B$146:$B$150,'-ref_Distribution'!$G$146:$G$150)),RIGHT(AT$1,2)),"")</f>
        <v>115</v>
      </c>
      <c r="AU36" s="16" cm="1">
        <f t="array" ref="AU36">IFERROR(INDEX(_xlfn.ANCHORARRAY(_xlfn.XLOOKUP($C36,'-ref_Distribution'!$B$146:$B$150,'-ref_Distribution'!$G$146:$G$150)),RIGHT(AU$1,2)),"")</f>
        <v>137</v>
      </c>
      <c r="AV36" s="16" cm="1">
        <f t="array" ref="AV36">IFERROR(INDEX(_xlfn.ANCHORARRAY(_xlfn.XLOOKUP($C36,'-ref_Distribution'!$B$146:$B$150,'-ref_Distribution'!$G$146:$G$150)),RIGHT(AV$1,2)),"")</f>
        <v>160</v>
      </c>
      <c r="AW36" s="16" cm="1">
        <f t="array" ref="AW36">IFERROR(INDEX(_xlfn.ANCHORARRAY(_xlfn.XLOOKUP($C36,'-ref_Distribution'!$B$146:$B$150,'-ref_Distribution'!$G$146:$G$150)),RIGHT(AW$1,2)),"")</f>
        <v>183</v>
      </c>
      <c r="AX36" s="16" cm="1">
        <f t="array" ref="AX36">IFERROR(INDEX(_xlfn.ANCHORARRAY(_xlfn.XLOOKUP($C36,'-ref_Distribution'!$B$146:$B$150,'-ref_Distribution'!$G$146:$G$150)),RIGHT(AX$1,2)),"")</f>
        <v>203</v>
      </c>
      <c r="AY36" s="16" cm="1">
        <f t="array" ref="AY36">IFERROR(INDEX(_xlfn.ANCHORARRAY(_xlfn.XLOOKUP($C36,'-ref_Distribution'!$B$146:$B$150,'-ref_Distribution'!$G$146:$G$150)),RIGHT(AY$1,2)),"")</f>
        <v>221</v>
      </c>
      <c r="AZ36" s="16" cm="1">
        <f t="array" ref="AZ36">IFERROR(INDEX(_xlfn.ANCHORARRAY(_xlfn.XLOOKUP($C36,'-ref_Distribution'!$B$146:$B$150,'-ref_Distribution'!$G$146:$G$150)),RIGHT(AZ$1,2)),"")</f>
        <v>234</v>
      </c>
      <c r="BA36" s="16" cm="1">
        <f t="array" ref="BA36">IFERROR(INDEX(_xlfn.ANCHORARRAY(_xlfn.XLOOKUP($C36,'-ref_Distribution'!$B$146:$B$150,'-ref_Distribution'!$G$146:$G$150)),RIGHT(BA$1,2)),"")</f>
        <v>243</v>
      </c>
      <c r="BB36" s="16" cm="1">
        <f t="array" ref="BB36">IFERROR(INDEX(_xlfn.ANCHORARRAY(_xlfn.XLOOKUP($C36,'-ref_Distribution'!$B$146:$B$150,'-ref_Distribution'!$G$146:$G$150)),RIGHT(BB$1,2)),"")</f>
        <v>245</v>
      </c>
      <c r="BC36" s="16" cm="1">
        <f t="array" ref="BC36">IFERROR(INDEX(_xlfn.ANCHORARRAY(_xlfn.XLOOKUP($C36,'-ref_Distribution'!$B$146:$B$150,'-ref_Distribution'!$G$146:$G$150)),RIGHT(BC$1,2)),"")</f>
        <v>243</v>
      </c>
      <c r="BD36" s="16" cm="1">
        <f t="array" ref="BD36">IFERROR(INDEX(_xlfn.ANCHORARRAY(_xlfn.XLOOKUP($C36,'-ref_Distribution'!$B$146:$B$150,'-ref_Distribution'!$G$146:$G$150)),RIGHT(BD$1,2)),"")</f>
        <v>234</v>
      </c>
      <c r="BE36" s="16" cm="1">
        <f t="array" ref="BE36">IFERROR(INDEX(_xlfn.ANCHORARRAY(_xlfn.XLOOKUP($C36,'-ref_Distribution'!$B$146:$B$150,'-ref_Distribution'!$G$146:$G$150)),RIGHT(BE$1,2)),"")</f>
        <v>221</v>
      </c>
      <c r="BF36" s="16" cm="1">
        <f t="array" ref="BF36">IFERROR(INDEX(_xlfn.ANCHORARRAY(_xlfn.XLOOKUP($C36,'-ref_Distribution'!$B$146:$B$150,'-ref_Distribution'!$G$146:$G$150)),RIGHT(BF$1,2)),"")</f>
        <v>203</v>
      </c>
      <c r="BG36" s="16" cm="1">
        <f t="array" ref="BG36">IFERROR(INDEX(_xlfn.ANCHORARRAY(_xlfn.XLOOKUP($C36,'-ref_Distribution'!$B$146:$B$150,'-ref_Distribution'!$G$146:$G$150)),RIGHT(BG$1,2)),"")</f>
        <v>183</v>
      </c>
      <c r="BH36" s="16" cm="1">
        <f t="array" ref="BH36">IFERROR(INDEX(_xlfn.ANCHORARRAY(_xlfn.XLOOKUP($C36,'-ref_Distribution'!$B$146:$B$150,'-ref_Distribution'!$G$146:$G$150)),RIGHT(BH$1,2)),"")</f>
        <v>160</v>
      </c>
      <c r="BI36" s="16" cm="1">
        <f t="array" ref="BI36">IFERROR(INDEX(_xlfn.ANCHORARRAY(_xlfn.XLOOKUP($C36,'-ref_Distribution'!$B$146:$B$150,'-ref_Distribution'!$G$146:$G$150)),RIGHT(BI$1,2)),"")</f>
        <v>137</v>
      </c>
      <c r="BJ36" s="16" cm="1">
        <f t="array" ref="BJ36">IFERROR(INDEX(_xlfn.ANCHORARRAY(_xlfn.XLOOKUP($C36,'-ref_Distribution'!$B$146:$B$150,'-ref_Distribution'!$G$146:$G$150)),RIGHT(BJ$1,2)),"")</f>
        <v>115</v>
      </c>
      <c r="BK36" s="16" cm="1">
        <f t="array" ref="BK36">IFERROR(INDEX(_xlfn.ANCHORARRAY(_xlfn.XLOOKUP($C36,'-ref_Distribution'!$B$146:$B$150,'-ref_Distribution'!$G$146:$G$150)),RIGHT(BK$1,2)),"")</f>
        <v>94</v>
      </c>
      <c r="BL36" s="16" cm="1">
        <f t="array" ref="BL36">IFERROR(INDEX(_xlfn.ANCHORARRAY(_xlfn.XLOOKUP($C36,'-ref_Distribution'!$B$146:$B$150,'-ref_Distribution'!$G$146:$G$150)),RIGHT(BL$1,2)),"")</f>
        <v>75</v>
      </c>
      <c r="BM36" s="16" cm="1">
        <f t="array" ref="BM36">IFERROR(INDEX(_xlfn.ANCHORARRAY(_xlfn.XLOOKUP($C36,'-ref_Distribution'!$B$146:$B$150,'-ref_Distribution'!$G$146:$G$150)),RIGHT(BM$1,2)),"")</f>
        <v>94</v>
      </c>
      <c r="BN36" s="16" cm="1">
        <f t="array" ref="BN36">IFERROR(INDEX(_xlfn.ANCHORARRAY(_xlfn.XLOOKUP($C36,'-ref_Distribution'!$B$146:$B$150,'-ref_Distribution'!$G$146:$G$150)),RIGHT(BN$1,2)),"")</f>
        <v>115</v>
      </c>
      <c r="BO36" s="16" cm="1">
        <f t="array" ref="BO36">IFERROR(INDEX(_xlfn.ANCHORARRAY(_xlfn.XLOOKUP($C36,'-ref_Distribution'!$B$146:$B$150,'-ref_Distribution'!$G$146:$G$150)),RIGHT(BO$1,2)),"")</f>
        <v>137</v>
      </c>
      <c r="BP36" s="16" cm="1">
        <f t="array" ref="BP36">IFERROR(INDEX(_xlfn.ANCHORARRAY(_xlfn.XLOOKUP($C36,'-ref_Distribution'!$B$146:$B$150,'-ref_Distribution'!$G$146:$G$150)),RIGHT(BP$1,2)),"")</f>
        <v>160</v>
      </c>
      <c r="BQ36" s="16" cm="1">
        <f t="array" ref="BQ36">IFERROR(INDEX(_xlfn.ANCHORARRAY(_xlfn.XLOOKUP($C36,'-ref_Distribution'!$B$146:$B$150,'-ref_Distribution'!$G$146:$G$150)),RIGHT(BQ$1,2)),"")</f>
        <v>183</v>
      </c>
      <c r="BR36" s="16" cm="1">
        <f t="array" ref="BR36">IFERROR(INDEX(_xlfn.ANCHORARRAY(_xlfn.XLOOKUP($C36,'-ref_Distribution'!$B$146:$B$150,'-ref_Distribution'!$G$146:$G$150)),RIGHT(BR$1,2)),"")</f>
        <v>203</v>
      </c>
      <c r="BS36" s="16" cm="1">
        <f t="array" ref="BS36">IFERROR(INDEX(_xlfn.ANCHORARRAY(_xlfn.XLOOKUP($C36,'-ref_Distribution'!$B$146:$B$150,'-ref_Distribution'!$G$146:$G$150)),RIGHT(BS$1,2)),"")</f>
        <v>221</v>
      </c>
      <c r="BT36" s="16" cm="1">
        <f t="array" ref="BT36">IFERROR(INDEX(_xlfn.ANCHORARRAY(_xlfn.XLOOKUP($C36,'-ref_Distribution'!$B$146:$B$150,'-ref_Distribution'!$G$146:$G$150)),RIGHT(BT$1,2)),"")</f>
        <v>234</v>
      </c>
      <c r="BU36" s="16" cm="1">
        <f t="array" ref="BU36">IFERROR(INDEX(_xlfn.ANCHORARRAY(_xlfn.XLOOKUP($C36,'-ref_Distribution'!$B$146:$B$150,'-ref_Distribution'!$G$146:$G$150)),RIGHT(BU$1,2)),"")</f>
        <v>243</v>
      </c>
      <c r="BV36" s="16" cm="1">
        <f t="array" ref="BV36">IFERROR(INDEX(_xlfn.ANCHORARRAY(_xlfn.XLOOKUP($C36,'-ref_Distribution'!$B$146:$B$150,'-ref_Distribution'!$G$146:$G$150)),RIGHT(BV$1,2)),"")</f>
        <v>245</v>
      </c>
      <c r="BW36" s="16" cm="1">
        <f t="array" ref="BW36">IFERROR(INDEX(_xlfn.ANCHORARRAY(_xlfn.XLOOKUP($C36,'-ref_Distribution'!$B$146:$B$150,'-ref_Distribution'!$G$146:$G$150)),RIGHT(BW$1,2)),"")</f>
        <v>243</v>
      </c>
      <c r="BX36" s="16" cm="1">
        <f t="array" ref="BX36">IFERROR(INDEX(_xlfn.ANCHORARRAY(_xlfn.XLOOKUP($C36,'-ref_Distribution'!$B$146:$B$150,'-ref_Distribution'!$G$146:$G$150)),RIGHT(BX$1,2)),"")</f>
        <v>234</v>
      </c>
      <c r="BY36" s="16" cm="1">
        <f t="array" ref="BY36">IFERROR(INDEX(_xlfn.ANCHORARRAY(_xlfn.XLOOKUP($C36,'-ref_Distribution'!$B$146:$B$150,'-ref_Distribution'!$G$146:$G$150)),RIGHT(BY$1,2)),"")</f>
        <v>221</v>
      </c>
      <c r="BZ36" s="16" cm="1">
        <f t="array" ref="BZ36">IFERROR(INDEX(_xlfn.ANCHORARRAY(_xlfn.XLOOKUP($C36,'-ref_Distribution'!$B$146:$B$150,'-ref_Distribution'!$G$146:$G$150)),RIGHT(BZ$1,2)),"")</f>
        <v>203</v>
      </c>
      <c r="CA36" s="16" cm="1">
        <f t="array" ref="CA36">IFERROR(INDEX(_xlfn.ANCHORARRAY(_xlfn.XLOOKUP($C36,'-ref_Distribution'!$B$146:$B$150,'-ref_Distribution'!$G$146:$G$150)),RIGHT(CA$1,2)),"")</f>
        <v>183</v>
      </c>
      <c r="CB36" s="16" cm="1">
        <f t="array" ref="CB36">IFERROR(INDEX(_xlfn.ANCHORARRAY(_xlfn.XLOOKUP($C36,'-ref_Distribution'!$B$146:$B$150,'-ref_Distribution'!$G$146:$G$150)),RIGHT(CB$1,2)),"")</f>
        <v>160</v>
      </c>
      <c r="CC36" s="16" cm="1">
        <f t="array" ref="CC36">IFERROR(INDEX(_xlfn.ANCHORARRAY(_xlfn.XLOOKUP($C36,'-ref_Distribution'!$B$146:$B$150,'-ref_Distribution'!$G$146:$G$150)),RIGHT(CC$1,2)),"")</f>
        <v>137</v>
      </c>
      <c r="CD36" s="16" cm="1">
        <f t="array" ref="CD36">IFERROR(INDEX(_xlfn.ANCHORARRAY(_xlfn.XLOOKUP($C36,'-ref_Distribution'!$B$146:$B$150,'-ref_Distribution'!$G$146:$G$150)),RIGHT(CD$1,2)),"")</f>
        <v>115</v>
      </c>
      <c r="CE36" s="16" cm="1">
        <f t="array" ref="CE36">IFERROR(INDEX(_xlfn.ANCHORARRAY(_xlfn.XLOOKUP($C36,'-ref_Distribution'!$B$146:$B$150,'-ref_Distribution'!$G$146:$G$150)),RIGHT(CE$1,2)),"")</f>
        <v>94</v>
      </c>
    </row>
    <row r="37" spans="1:83" x14ac:dyDescent="0.2">
      <c r="A37" s="16">
        <v>301044</v>
      </c>
      <c r="B37" s="16" t="s">
        <v>220</v>
      </c>
      <c r="C37" s="16">
        <v>3</v>
      </c>
      <c r="D37" s="16" cm="1">
        <f t="array" ref="D37">IFERROR(INDEX(_xlfn.ANCHORARRAY(_xlfn.XLOOKUP($C37,'-ref_Distribution'!$B$146:$B$150,'-ref_Distribution'!$G$146:$G$150)),RIGHT(D$1,2)),"")</f>
        <v>4</v>
      </c>
      <c r="E37" s="16" cm="1">
        <f t="array" ref="E37">IFERROR(INDEX(_xlfn.ANCHORARRAY(_xlfn.XLOOKUP($C37,'-ref_Distribution'!$B$146:$B$150,'-ref_Distribution'!$G$146:$G$150)),RIGHT(E$1,2)),"")</f>
        <v>6</v>
      </c>
      <c r="F37" s="16" cm="1">
        <f t="array" ref="F37">IFERROR(INDEX(_xlfn.ANCHORARRAY(_xlfn.XLOOKUP($C37,'-ref_Distribution'!$B$146:$B$150,'-ref_Distribution'!$G$146:$G$150)),RIGHT(F$1,2)),"")</f>
        <v>9</v>
      </c>
      <c r="G37" s="16" cm="1">
        <f t="array" ref="G37">IFERROR(INDEX(_xlfn.ANCHORARRAY(_xlfn.XLOOKUP($C37,'-ref_Distribution'!$B$146:$B$150,'-ref_Distribution'!$G$146:$G$150)),RIGHT(G$1,2)),"")</f>
        <v>14</v>
      </c>
      <c r="H37" s="16" cm="1">
        <f t="array" ref="H37">IFERROR(INDEX(_xlfn.ANCHORARRAY(_xlfn.XLOOKUP($C37,'-ref_Distribution'!$B$146:$B$150,'-ref_Distribution'!$G$146:$G$150)),RIGHT(H$1,2)),"")</f>
        <v>20</v>
      </c>
      <c r="I37" s="16" cm="1">
        <f t="array" ref="I37">IFERROR(INDEX(_xlfn.ANCHORARRAY(_xlfn.XLOOKUP($C37,'-ref_Distribution'!$B$146:$B$150,'-ref_Distribution'!$G$146:$G$150)),RIGHT(I$1,2)),"")</f>
        <v>28</v>
      </c>
      <c r="J37" s="16" cm="1">
        <f t="array" ref="J37">IFERROR(INDEX(_xlfn.ANCHORARRAY(_xlfn.XLOOKUP($C37,'-ref_Distribution'!$B$146:$B$150,'-ref_Distribution'!$G$146:$G$150)),RIGHT(J$1,2)),"")</f>
        <v>38</v>
      </c>
      <c r="K37" s="16" cm="1">
        <f t="array" ref="K37">IFERROR(INDEX(_xlfn.ANCHORARRAY(_xlfn.XLOOKUP($C37,'-ref_Distribution'!$B$146:$B$150,'-ref_Distribution'!$G$146:$G$150)),RIGHT(K$1,2)),"")</f>
        <v>51</v>
      </c>
      <c r="L37" s="16" cm="1">
        <f t="array" ref="L37">IFERROR(INDEX(_xlfn.ANCHORARRAY(_xlfn.XLOOKUP($C37,'-ref_Distribution'!$B$146:$B$150,'-ref_Distribution'!$G$146:$G$150)),RIGHT(L$1,2)),"")</f>
        <v>65</v>
      </c>
      <c r="M37" s="16" cm="1">
        <f t="array" ref="M37">IFERROR(INDEX(_xlfn.ANCHORARRAY(_xlfn.XLOOKUP($C37,'-ref_Distribution'!$B$146:$B$150,'-ref_Distribution'!$G$146:$G$150)),RIGHT(M$1,2)),"")</f>
        <v>80</v>
      </c>
      <c r="N37" s="16" cm="1">
        <f t="array" ref="N37">IFERROR(INDEX(_xlfn.ANCHORARRAY(_xlfn.XLOOKUP($C37,'-ref_Distribution'!$B$146:$B$150,'-ref_Distribution'!$G$146:$G$150)),RIGHT(N$1,2)),"")</f>
        <v>96</v>
      </c>
      <c r="O37" s="16" cm="1">
        <f t="array" ref="O37">IFERROR(INDEX(_xlfn.ANCHORARRAY(_xlfn.XLOOKUP($C37,'-ref_Distribution'!$B$146:$B$150,'-ref_Distribution'!$G$146:$G$150)),RIGHT(O$1,2)),"")</f>
        <v>111</v>
      </c>
      <c r="P37" s="16" cm="1">
        <f t="array" ref="P37">IFERROR(INDEX(_xlfn.ANCHORARRAY(_xlfn.XLOOKUP($C37,'-ref_Distribution'!$B$146:$B$150,'-ref_Distribution'!$G$146:$G$150)),RIGHT(P$1,2)),"")</f>
        <v>125</v>
      </c>
      <c r="Q37" s="16" cm="1">
        <f t="array" ref="Q37">IFERROR(INDEX(_xlfn.ANCHORARRAY(_xlfn.XLOOKUP($C37,'-ref_Distribution'!$B$146:$B$150,'-ref_Distribution'!$G$146:$G$150)),RIGHT(Q$1,2)),"")</f>
        <v>135</v>
      </c>
      <c r="R37" s="16" cm="1">
        <f t="array" ref="R37">IFERROR(INDEX(_xlfn.ANCHORARRAY(_xlfn.XLOOKUP($C37,'-ref_Distribution'!$B$146:$B$150,'-ref_Distribution'!$G$146:$G$150)),RIGHT(R$1,2)),"")</f>
        <v>142</v>
      </c>
      <c r="S37" s="16" cm="1">
        <f t="array" ref="S37">IFERROR(INDEX(_xlfn.ANCHORARRAY(_xlfn.XLOOKUP($C37,'-ref_Distribution'!$B$146:$B$150,'-ref_Distribution'!$G$146:$G$150)),RIGHT(S$1,2)),"")</f>
        <v>144</v>
      </c>
      <c r="T37" s="16" cm="1">
        <f t="array" ref="T37">IFERROR(INDEX(_xlfn.ANCHORARRAY(_xlfn.XLOOKUP($C37,'-ref_Distribution'!$B$146:$B$150,'-ref_Distribution'!$G$146:$G$150)),RIGHT(T$1,2)),"")</f>
        <v>142</v>
      </c>
      <c r="U37" s="16" cm="1">
        <f t="array" ref="U37">IFERROR(INDEX(_xlfn.ANCHORARRAY(_xlfn.XLOOKUP($C37,'-ref_Distribution'!$B$146:$B$150,'-ref_Distribution'!$G$146:$G$150)),RIGHT(U$1,2)),"")</f>
        <v>135</v>
      </c>
      <c r="V37" s="16" cm="1">
        <f t="array" ref="V37">IFERROR(INDEX(_xlfn.ANCHORARRAY(_xlfn.XLOOKUP($C37,'-ref_Distribution'!$B$146:$B$150,'-ref_Distribution'!$G$146:$G$150)),RIGHT(V$1,2)),"")</f>
        <v>125</v>
      </c>
      <c r="W37" s="16" cm="1">
        <f t="array" ref="W37">IFERROR(INDEX(_xlfn.ANCHORARRAY(_xlfn.XLOOKUP($C37,'-ref_Distribution'!$B$146:$B$150,'-ref_Distribution'!$G$146:$G$150)),RIGHT(W$1,2)),"")</f>
        <v>111</v>
      </c>
      <c r="X37" s="16" cm="1">
        <f t="array" ref="X37">IFERROR(INDEX(_xlfn.ANCHORARRAY(_xlfn.XLOOKUP($C37,'-ref_Distribution'!$B$146:$B$150,'-ref_Distribution'!$G$146:$G$150)),RIGHT(X$1,2)),"")</f>
        <v>4</v>
      </c>
      <c r="Y37" s="16" cm="1">
        <f t="array" ref="Y37">IFERROR(INDEX(_xlfn.ANCHORARRAY(_xlfn.XLOOKUP($C37,'-ref_Distribution'!$B$146:$B$150,'-ref_Distribution'!$G$146:$G$150)),RIGHT(Y$1,2)),"")</f>
        <v>6</v>
      </c>
      <c r="Z37" s="16" cm="1">
        <f t="array" ref="Z37">IFERROR(INDEX(_xlfn.ANCHORARRAY(_xlfn.XLOOKUP($C37,'-ref_Distribution'!$B$146:$B$150,'-ref_Distribution'!$G$146:$G$150)),RIGHT(Z$1,2)),"")</f>
        <v>9</v>
      </c>
      <c r="AA37" s="16" cm="1">
        <f t="array" ref="AA37">IFERROR(INDEX(_xlfn.ANCHORARRAY(_xlfn.XLOOKUP($C37,'-ref_Distribution'!$B$146:$B$150,'-ref_Distribution'!$G$146:$G$150)),RIGHT(AA$1,2)),"")</f>
        <v>14</v>
      </c>
      <c r="AB37" s="16" cm="1">
        <f t="array" ref="AB37">IFERROR(INDEX(_xlfn.ANCHORARRAY(_xlfn.XLOOKUP($C37,'-ref_Distribution'!$B$146:$B$150,'-ref_Distribution'!$G$146:$G$150)),RIGHT(AB$1,2)),"")</f>
        <v>20</v>
      </c>
      <c r="AC37" s="16" cm="1">
        <f t="array" ref="AC37">IFERROR(INDEX(_xlfn.ANCHORARRAY(_xlfn.XLOOKUP($C37,'-ref_Distribution'!$B$146:$B$150,'-ref_Distribution'!$G$146:$G$150)),RIGHT(AC$1,2)),"")</f>
        <v>28</v>
      </c>
      <c r="AD37" s="16" cm="1">
        <f t="array" ref="AD37">IFERROR(INDEX(_xlfn.ANCHORARRAY(_xlfn.XLOOKUP($C37,'-ref_Distribution'!$B$146:$B$150,'-ref_Distribution'!$G$146:$G$150)),RIGHT(AD$1,2)),"")</f>
        <v>38</v>
      </c>
      <c r="AE37" s="16" cm="1">
        <f t="array" ref="AE37">IFERROR(INDEX(_xlfn.ANCHORARRAY(_xlfn.XLOOKUP($C37,'-ref_Distribution'!$B$146:$B$150,'-ref_Distribution'!$G$146:$G$150)),RIGHT(AE$1,2)),"")</f>
        <v>51</v>
      </c>
      <c r="AF37" s="16" cm="1">
        <f t="array" ref="AF37">IFERROR(INDEX(_xlfn.ANCHORARRAY(_xlfn.XLOOKUP($C37,'-ref_Distribution'!$B$146:$B$150,'-ref_Distribution'!$G$146:$G$150)),RIGHT(AF$1,2)),"")</f>
        <v>65</v>
      </c>
      <c r="AG37" s="16" cm="1">
        <f t="array" ref="AG37">IFERROR(INDEX(_xlfn.ANCHORARRAY(_xlfn.XLOOKUP($C37,'-ref_Distribution'!$B$146:$B$150,'-ref_Distribution'!$G$146:$G$150)),RIGHT(AG$1,2)),"")</f>
        <v>80</v>
      </c>
      <c r="AH37" s="16" cm="1">
        <f t="array" ref="AH37">IFERROR(INDEX(_xlfn.ANCHORARRAY(_xlfn.XLOOKUP($C37,'-ref_Distribution'!$B$146:$B$150,'-ref_Distribution'!$G$146:$G$150)),RIGHT(AH$1,2)),"")</f>
        <v>96</v>
      </c>
      <c r="AI37" s="16" cm="1">
        <f t="array" ref="AI37">IFERROR(INDEX(_xlfn.ANCHORARRAY(_xlfn.XLOOKUP($C37,'-ref_Distribution'!$B$146:$B$150,'-ref_Distribution'!$G$146:$G$150)),RIGHT(AI$1,2)),"")</f>
        <v>111</v>
      </c>
      <c r="AJ37" s="16" cm="1">
        <f t="array" ref="AJ37">IFERROR(INDEX(_xlfn.ANCHORARRAY(_xlfn.XLOOKUP($C37,'-ref_Distribution'!$B$146:$B$150,'-ref_Distribution'!$G$146:$G$150)),RIGHT(AJ$1,2)),"")</f>
        <v>125</v>
      </c>
      <c r="AK37" s="16" cm="1">
        <f t="array" ref="AK37">IFERROR(INDEX(_xlfn.ANCHORARRAY(_xlfn.XLOOKUP($C37,'-ref_Distribution'!$B$146:$B$150,'-ref_Distribution'!$G$146:$G$150)),RIGHT(AK$1,2)),"")</f>
        <v>135</v>
      </c>
      <c r="AL37" s="16" cm="1">
        <f t="array" ref="AL37">IFERROR(INDEX(_xlfn.ANCHORARRAY(_xlfn.XLOOKUP($C37,'-ref_Distribution'!$B$146:$B$150,'-ref_Distribution'!$G$146:$G$150)),RIGHT(AL$1,2)),"")</f>
        <v>142</v>
      </c>
      <c r="AM37" s="16" cm="1">
        <f t="array" ref="AM37">IFERROR(INDEX(_xlfn.ANCHORARRAY(_xlfn.XLOOKUP($C37,'-ref_Distribution'!$B$146:$B$150,'-ref_Distribution'!$G$146:$G$150)),RIGHT(AM$1,2)),"")</f>
        <v>144</v>
      </c>
      <c r="AN37" s="16" cm="1">
        <f t="array" ref="AN37">IFERROR(INDEX(_xlfn.ANCHORARRAY(_xlfn.XLOOKUP($C37,'-ref_Distribution'!$B$146:$B$150,'-ref_Distribution'!$G$146:$G$150)),RIGHT(AN$1,2)),"")</f>
        <v>142</v>
      </c>
      <c r="AO37" s="16" cm="1">
        <f t="array" ref="AO37">IFERROR(INDEX(_xlfn.ANCHORARRAY(_xlfn.XLOOKUP($C37,'-ref_Distribution'!$B$146:$B$150,'-ref_Distribution'!$G$146:$G$150)),RIGHT(AO$1,2)),"")</f>
        <v>135</v>
      </c>
      <c r="AP37" s="16" cm="1">
        <f t="array" ref="AP37">IFERROR(INDEX(_xlfn.ANCHORARRAY(_xlfn.XLOOKUP($C37,'-ref_Distribution'!$B$146:$B$150,'-ref_Distribution'!$G$146:$G$150)),RIGHT(AP$1,2)),"")</f>
        <v>125</v>
      </c>
      <c r="AQ37" s="16" cm="1">
        <f t="array" ref="AQ37">IFERROR(INDEX(_xlfn.ANCHORARRAY(_xlfn.XLOOKUP($C37,'-ref_Distribution'!$B$146:$B$150,'-ref_Distribution'!$G$146:$G$150)),RIGHT(AQ$1,2)),"")</f>
        <v>111</v>
      </c>
      <c r="AR37" s="16" cm="1">
        <f t="array" ref="AR37">IFERROR(INDEX(_xlfn.ANCHORARRAY(_xlfn.XLOOKUP($C37,'-ref_Distribution'!$B$146:$B$150,'-ref_Distribution'!$G$146:$G$150)),RIGHT(AR$1,2)),"")</f>
        <v>4</v>
      </c>
      <c r="AS37" s="16" cm="1">
        <f t="array" ref="AS37">IFERROR(INDEX(_xlfn.ANCHORARRAY(_xlfn.XLOOKUP($C37,'-ref_Distribution'!$B$146:$B$150,'-ref_Distribution'!$G$146:$G$150)),RIGHT(AS$1,2)),"")</f>
        <v>6</v>
      </c>
      <c r="AT37" s="16" cm="1">
        <f t="array" ref="AT37">IFERROR(INDEX(_xlfn.ANCHORARRAY(_xlfn.XLOOKUP($C37,'-ref_Distribution'!$B$146:$B$150,'-ref_Distribution'!$G$146:$G$150)),RIGHT(AT$1,2)),"")</f>
        <v>9</v>
      </c>
      <c r="AU37" s="16" cm="1">
        <f t="array" ref="AU37">IFERROR(INDEX(_xlfn.ANCHORARRAY(_xlfn.XLOOKUP($C37,'-ref_Distribution'!$B$146:$B$150,'-ref_Distribution'!$G$146:$G$150)),RIGHT(AU$1,2)),"")</f>
        <v>14</v>
      </c>
      <c r="AV37" s="16" cm="1">
        <f t="array" ref="AV37">IFERROR(INDEX(_xlfn.ANCHORARRAY(_xlfn.XLOOKUP($C37,'-ref_Distribution'!$B$146:$B$150,'-ref_Distribution'!$G$146:$G$150)),RIGHT(AV$1,2)),"")</f>
        <v>20</v>
      </c>
      <c r="AW37" s="16" cm="1">
        <f t="array" ref="AW37">IFERROR(INDEX(_xlfn.ANCHORARRAY(_xlfn.XLOOKUP($C37,'-ref_Distribution'!$B$146:$B$150,'-ref_Distribution'!$G$146:$G$150)),RIGHT(AW$1,2)),"")</f>
        <v>28</v>
      </c>
      <c r="AX37" s="16" cm="1">
        <f t="array" ref="AX37">IFERROR(INDEX(_xlfn.ANCHORARRAY(_xlfn.XLOOKUP($C37,'-ref_Distribution'!$B$146:$B$150,'-ref_Distribution'!$G$146:$G$150)),RIGHT(AX$1,2)),"")</f>
        <v>38</v>
      </c>
      <c r="AY37" s="16" cm="1">
        <f t="array" ref="AY37">IFERROR(INDEX(_xlfn.ANCHORARRAY(_xlfn.XLOOKUP($C37,'-ref_Distribution'!$B$146:$B$150,'-ref_Distribution'!$G$146:$G$150)),RIGHT(AY$1,2)),"")</f>
        <v>51</v>
      </c>
      <c r="AZ37" s="16" cm="1">
        <f t="array" ref="AZ37">IFERROR(INDEX(_xlfn.ANCHORARRAY(_xlfn.XLOOKUP($C37,'-ref_Distribution'!$B$146:$B$150,'-ref_Distribution'!$G$146:$G$150)),RIGHT(AZ$1,2)),"")</f>
        <v>65</v>
      </c>
      <c r="BA37" s="16" cm="1">
        <f t="array" ref="BA37">IFERROR(INDEX(_xlfn.ANCHORARRAY(_xlfn.XLOOKUP($C37,'-ref_Distribution'!$B$146:$B$150,'-ref_Distribution'!$G$146:$G$150)),RIGHT(BA$1,2)),"")</f>
        <v>80</v>
      </c>
      <c r="BB37" s="16" cm="1">
        <f t="array" ref="BB37">IFERROR(INDEX(_xlfn.ANCHORARRAY(_xlfn.XLOOKUP($C37,'-ref_Distribution'!$B$146:$B$150,'-ref_Distribution'!$G$146:$G$150)),RIGHT(BB$1,2)),"")</f>
        <v>96</v>
      </c>
      <c r="BC37" s="16" cm="1">
        <f t="array" ref="BC37">IFERROR(INDEX(_xlfn.ANCHORARRAY(_xlfn.XLOOKUP($C37,'-ref_Distribution'!$B$146:$B$150,'-ref_Distribution'!$G$146:$G$150)),RIGHT(BC$1,2)),"")</f>
        <v>111</v>
      </c>
      <c r="BD37" s="16" cm="1">
        <f t="array" ref="BD37">IFERROR(INDEX(_xlfn.ANCHORARRAY(_xlfn.XLOOKUP($C37,'-ref_Distribution'!$B$146:$B$150,'-ref_Distribution'!$G$146:$G$150)),RIGHT(BD$1,2)),"")</f>
        <v>125</v>
      </c>
      <c r="BE37" s="16" cm="1">
        <f t="array" ref="BE37">IFERROR(INDEX(_xlfn.ANCHORARRAY(_xlfn.XLOOKUP($C37,'-ref_Distribution'!$B$146:$B$150,'-ref_Distribution'!$G$146:$G$150)),RIGHT(BE$1,2)),"")</f>
        <v>135</v>
      </c>
      <c r="BF37" s="16" cm="1">
        <f t="array" ref="BF37">IFERROR(INDEX(_xlfn.ANCHORARRAY(_xlfn.XLOOKUP($C37,'-ref_Distribution'!$B$146:$B$150,'-ref_Distribution'!$G$146:$G$150)),RIGHT(BF$1,2)),"")</f>
        <v>142</v>
      </c>
      <c r="BG37" s="16" cm="1">
        <f t="array" ref="BG37">IFERROR(INDEX(_xlfn.ANCHORARRAY(_xlfn.XLOOKUP($C37,'-ref_Distribution'!$B$146:$B$150,'-ref_Distribution'!$G$146:$G$150)),RIGHT(BG$1,2)),"")</f>
        <v>144</v>
      </c>
      <c r="BH37" s="16" cm="1">
        <f t="array" ref="BH37">IFERROR(INDEX(_xlfn.ANCHORARRAY(_xlfn.XLOOKUP($C37,'-ref_Distribution'!$B$146:$B$150,'-ref_Distribution'!$G$146:$G$150)),RIGHT(BH$1,2)),"")</f>
        <v>142</v>
      </c>
      <c r="BI37" s="16" cm="1">
        <f t="array" ref="BI37">IFERROR(INDEX(_xlfn.ANCHORARRAY(_xlfn.XLOOKUP($C37,'-ref_Distribution'!$B$146:$B$150,'-ref_Distribution'!$G$146:$G$150)),RIGHT(BI$1,2)),"")</f>
        <v>135</v>
      </c>
      <c r="BJ37" s="16" cm="1">
        <f t="array" ref="BJ37">IFERROR(INDEX(_xlfn.ANCHORARRAY(_xlfn.XLOOKUP($C37,'-ref_Distribution'!$B$146:$B$150,'-ref_Distribution'!$G$146:$G$150)),RIGHT(BJ$1,2)),"")</f>
        <v>125</v>
      </c>
      <c r="BK37" s="16" cm="1">
        <f t="array" ref="BK37">IFERROR(INDEX(_xlfn.ANCHORARRAY(_xlfn.XLOOKUP($C37,'-ref_Distribution'!$B$146:$B$150,'-ref_Distribution'!$G$146:$G$150)),RIGHT(BK$1,2)),"")</f>
        <v>111</v>
      </c>
      <c r="BL37" s="16" cm="1">
        <f t="array" ref="BL37">IFERROR(INDEX(_xlfn.ANCHORARRAY(_xlfn.XLOOKUP($C37,'-ref_Distribution'!$B$146:$B$150,'-ref_Distribution'!$G$146:$G$150)),RIGHT(BL$1,2)),"")</f>
        <v>4</v>
      </c>
      <c r="BM37" s="16" cm="1">
        <f t="array" ref="BM37">IFERROR(INDEX(_xlfn.ANCHORARRAY(_xlfn.XLOOKUP($C37,'-ref_Distribution'!$B$146:$B$150,'-ref_Distribution'!$G$146:$G$150)),RIGHT(BM$1,2)),"")</f>
        <v>6</v>
      </c>
      <c r="BN37" s="16" cm="1">
        <f t="array" ref="BN37">IFERROR(INDEX(_xlfn.ANCHORARRAY(_xlfn.XLOOKUP($C37,'-ref_Distribution'!$B$146:$B$150,'-ref_Distribution'!$G$146:$G$150)),RIGHT(BN$1,2)),"")</f>
        <v>9</v>
      </c>
      <c r="BO37" s="16" cm="1">
        <f t="array" ref="BO37">IFERROR(INDEX(_xlfn.ANCHORARRAY(_xlfn.XLOOKUP($C37,'-ref_Distribution'!$B$146:$B$150,'-ref_Distribution'!$G$146:$G$150)),RIGHT(BO$1,2)),"")</f>
        <v>14</v>
      </c>
      <c r="BP37" s="16" cm="1">
        <f t="array" ref="BP37">IFERROR(INDEX(_xlfn.ANCHORARRAY(_xlfn.XLOOKUP($C37,'-ref_Distribution'!$B$146:$B$150,'-ref_Distribution'!$G$146:$G$150)),RIGHT(BP$1,2)),"")</f>
        <v>20</v>
      </c>
      <c r="BQ37" s="16" cm="1">
        <f t="array" ref="BQ37">IFERROR(INDEX(_xlfn.ANCHORARRAY(_xlfn.XLOOKUP($C37,'-ref_Distribution'!$B$146:$B$150,'-ref_Distribution'!$G$146:$G$150)),RIGHT(BQ$1,2)),"")</f>
        <v>28</v>
      </c>
      <c r="BR37" s="16" cm="1">
        <f t="array" ref="BR37">IFERROR(INDEX(_xlfn.ANCHORARRAY(_xlfn.XLOOKUP($C37,'-ref_Distribution'!$B$146:$B$150,'-ref_Distribution'!$G$146:$G$150)),RIGHT(BR$1,2)),"")</f>
        <v>38</v>
      </c>
      <c r="BS37" s="16" cm="1">
        <f t="array" ref="BS37">IFERROR(INDEX(_xlfn.ANCHORARRAY(_xlfn.XLOOKUP($C37,'-ref_Distribution'!$B$146:$B$150,'-ref_Distribution'!$G$146:$G$150)),RIGHT(BS$1,2)),"")</f>
        <v>51</v>
      </c>
      <c r="BT37" s="16" cm="1">
        <f t="array" ref="BT37">IFERROR(INDEX(_xlfn.ANCHORARRAY(_xlfn.XLOOKUP($C37,'-ref_Distribution'!$B$146:$B$150,'-ref_Distribution'!$G$146:$G$150)),RIGHT(BT$1,2)),"")</f>
        <v>65</v>
      </c>
      <c r="BU37" s="16" cm="1">
        <f t="array" ref="BU37">IFERROR(INDEX(_xlfn.ANCHORARRAY(_xlfn.XLOOKUP($C37,'-ref_Distribution'!$B$146:$B$150,'-ref_Distribution'!$G$146:$G$150)),RIGHT(BU$1,2)),"")</f>
        <v>80</v>
      </c>
      <c r="BV37" s="16" cm="1">
        <f t="array" ref="BV37">IFERROR(INDEX(_xlfn.ANCHORARRAY(_xlfn.XLOOKUP($C37,'-ref_Distribution'!$B$146:$B$150,'-ref_Distribution'!$G$146:$G$150)),RIGHT(BV$1,2)),"")</f>
        <v>96</v>
      </c>
      <c r="BW37" s="16" cm="1">
        <f t="array" ref="BW37">IFERROR(INDEX(_xlfn.ANCHORARRAY(_xlfn.XLOOKUP($C37,'-ref_Distribution'!$B$146:$B$150,'-ref_Distribution'!$G$146:$G$150)),RIGHT(BW$1,2)),"")</f>
        <v>111</v>
      </c>
      <c r="BX37" s="16" cm="1">
        <f t="array" ref="BX37">IFERROR(INDEX(_xlfn.ANCHORARRAY(_xlfn.XLOOKUP($C37,'-ref_Distribution'!$B$146:$B$150,'-ref_Distribution'!$G$146:$G$150)),RIGHT(BX$1,2)),"")</f>
        <v>125</v>
      </c>
      <c r="BY37" s="16" cm="1">
        <f t="array" ref="BY37">IFERROR(INDEX(_xlfn.ANCHORARRAY(_xlfn.XLOOKUP($C37,'-ref_Distribution'!$B$146:$B$150,'-ref_Distribution'!$G$146:$G$150)),RIGHT(BY$1,2)),"")</f>
        <v>135</v>
      </c>
      <c r="BZ37" s="16" cm="1">
        <f t="array" ref="BZ37">IFERROR(INDEX(_xlfn.ANCHORARRAY(_xlfn.XLOOKUP($C37,'-ref_Distribution'!$B$146:$B$150,'-ref_Distribution'!$G$146:$G$150)),RIGHT(BZ$1,2)),"")</f>
        <v>142</v>
      </c>
      <c r="CA37" s="16" cm="1">
        <f t="array" ref="CA37">IFERROR(INDEX(_xlfn.ANCHORARRAY(_xlfn.XLOOKUP($C37,'-ref_Distribution'!$B$146:$B$150,'-ref_Distribution'!$G$146:$G$150)),RIGHT(CA$1,2)),"")</f>
        <v>144</v>
      </c>
      <c r="CB37" s="16" cm="1">
        <f t="array" ref="CB37">IFERROR(INDEX(_xlfn.ANCHORARRAY(_xlfn.XLOOKUP($C37,'-ref_Distribution'!$B$146:$B$150,'-ref_Distribution'!$G$146:$G$150)),RIGHT(CB$1,2)),"")</f>
        <v>142</v>
      </c>
      <c r="CC37" s="16" cm="1">
        <f t="array" ref="CC37">IFERROR(INDEX(_xlfn.ANCHORARRAY(_xlfn.XLOOKUP($C37,'-ref_Distribution'!$B$146:$B$150,'-ref_Distribution'!$G$146:$G$150)),RIGHT(CC$1,2)),"")</f>
        <v>135</v>
      </c>
      <c r="CD37" s="16" cm="1">
        <f t="array" ref="CD37">IFERROR(INDEX(_xlfn.ANCHORARRAY(_xlfn.XLOOKUP($C37,'-ref_Distribution'!$B$146:$B$150,'-ref_Distribution'!$G$146:$G$150)),RIGHT(CD$1,2)),"")</f>
        <v>125</v>
      </c>
      <c r="CE37" s="16" cm="1">
        <f t="array" ref="CE37">IFERROR(INDEX(_xlfn.ANCHORARRAY(_xlfn.XLOOKUP($C37,'-ref_Distribution'!$B$146:$B$150,'-ref_Distribution'!$G$146:$G$150)),RIGHT(CE$1,2)),"")</f>
        <v>111</v>
      </c>
    </row>
    <row r="38" spans="1:83" x14ac:dyDescent="0.2">
      <c r="A38" s="16">
        <v>301051</v>
      </c>
      <c r="B38" s="16" t="s">
        <v>221</v>
      </c>
      <c r="C38" s="16">
        <v>0</v>
      </c>
      <c r="D38" s="16" cm="1">
        <f t="array" ref="D38">IFERROR(INDEX(_xlfn.ANCHORARRAY(_xlfn.XLOOKUP($C38,'-ref_Distribution'!$B$146:$B$150,'-ref_Distribution'!$G$146:$G$150)),RIGHT(D$1,2)),"")</f>
        <v>709</v>
      </c>
      <c r="E38" s="16" cm="1">
        <f t="array" ref="E38">IFERROR(INDEX(_xlfn.ANCHORARRAY(_xlfn.XLOOKUP($C38,'-ref_Distribution'!$B$146:$B$150,'-ref_Distribution'!$G$146:$G$150)),RIGHT(E$1,2)),"")</f>
        <v>705</v>
      </c>
      <c r="F38" s="16" cm="1">
        <f t="array" ref="F38">IFERROR(INDEX(_xlfn.ANCHORARRAY(_xlfn.XLOOKUP($C38,'-ref_Distribution'!$B$146:$B$150,'-ref_Distribution'!$G$146:$G$150)),RIGHT(F$1,2)),"")</f>
        <v>692</v>
      </c>
      <c r="G38" s="16" cm="1">
        <f t="array" ref="G38">IFERROR(INDEX(_xlfn.ANCHORARRAY(_xlfn.XLOOKUP($C38,'-ref_Distribution'!$B$146:$B$150,'-ref_Distribution'!$G$146:$G$150)),RIGHT(G$1,2)),"")</f>
        <v>671</v>
      </c>
      <c r="H38" s="16" cm="1">
        <f t="array" ref="H38">IFERROR(INDEX(_xlfn.ANCHORARRAY(_xlfn.XLOOKUP($C38,'-ref_Distribution'!$B$146:$B$150,'-ref_Distribution'!$G$146:$G$150)),RIGHT(H$1,2)),"")</f>
        <v>643</v>
      </c>
      <c r="I38" s="16" cm="1">
        <f t="array" ref="I38">IFERROR(INDEX(_xlfn.ANCHORARRAY(_xlfn.XLOOKUP($C38,'-ref_Distribution'!$B$146:$B$150,'-ref_Distribution'!$G$146:$G$150)),RIGHT(I$1,2)),"")</f>
        <v>608</v>
      </c>
      <c r="J38" s="16" cm="1">
        <f t="array" ref="J38">IFERROR(INDEX(_xlfn.ANCHORARRAY(_xlfn.XLOOKUP($C38,'-ref_Distribution'!$B$146:$B$150,'-ref_Distribution'!$G$146:$G$150)),RIGHT(J$1,2)),"")</f>
        <v>568</v>
      </c>
      <c r="K38" s="16" cm="1">
        <f t="array" ref="K38">IFERROR(INDEX(_xlfn.ANCHORARRAY(_xlfn.XLOOKUP($C38,'-ref_Distribution'!$B$146:$B$150,'-ref_Distribution'!$G$146:$G$150)),RIGHT(K$1,2)),"")</f>
        <v>524</v>
      </c>
      <c r="L38" s="16" cm="1">
        <f t="array" ref="L38">IFERROR(INDEX(_xlfn.ANCHORARRAY(_xlfn.XLOOKUP($C38,'-ref_Distribution'!$B$146:$B$150,'-ref_Distribution'!$G$146:$G$150)),RIGHT(L$1,2)),"")</f>
        <v>478</v>
      </c>
      <c r="M38" s="16" cm="1">
        <f t="array" ref="M38">IFERROR(INDEX(_xlfn.ANCHORARRAY(_xlfn.XLOOKUP($C38,'-ref_Distribution'!$B$146:$B$150,'-ref_Distribution'!$G$146:$G$150)),RIGHT(M$1,2)),"")</f>
        <v>430</v>
      </c>
      <c r="N38" s="16" cm="1">
        <f t="array" ref="N38">IFERROR(INDEX(_xlfn.ANCHORARRAY(_xlfn.XLOOKUP($C38,'-ref_Distribution'!$B$146:$B$150,'-ref_Distribution'!$G$146:$G$150)),RIGHT(N$1,2)),"")</f>
        <v>383</v>
      </c>
      <c r="O38" s="16" cm="1">
        <f t="array" ref="O38">IFERROR(INDEX(_xlfn.ANCHORARRAY(_xlfn.XLOOKUP($C38,'-ref_Distribution'!$B$146:$B$150,'-ref_Distribution'!$G$146:$G$150)),RIGHT(O$1,2)),"")</f>
        <v>336</v>
      </c>
      <c r="P38" s="16" cm="1">
        <f t="array" ref="P38">IFERROR(INDEX(_xlfn.ANCHORARRAY(_xlfn.XLOOKUP($C38,'-ref_Distribution'!$B$146:$B$150,'-ref_Distribution'!$G$146:$G$150)),RIGHT(P$1,2)),"")</f>
        <v>292</v>
      </c>
      <c r="Q38" s="16" cm="1">
        <f t="array" ref="Q38">IFERROR(INDEX(_xlfn.ANCHORARRAY(_xlfn.XLOOKUP($C38,'-ref_Distribution'!$B$146:$B$150,'-ref_Distribution'!$G$146:$G$150)),RIGHT(Q$1,2)),"")</f>
        <v>250</v>
      </c>
      <c r="R38" s="16" cm="1">
        <f t="array" ref="R38">IFERROR(INDEX(_xlfn.ANCHORARRAY(_xlfn.XLOOKUP($C38,'-ref_Distribution'!$B$146:$B$150,'-ref_Distribution'!$G$146:$G$150)),RIGHT(R$1,2)),"")</f>
        <v>212</v>
      </c>
      <c r="S38" s="16" cm="1">
        <f t="array" ref="S38">IFERROR(INDEX(_xlfn.ANCHORARRAY(_xlfn.XLOOKUP($C38,'-ref_Distribution'!$B$146:$B$150,'-ref_Distribution'!$G$146:$G$150)),RIGHT(S$1,2)),"")</f>
        <v>177</v>
      </c>
      <c r="T38" s="16" cm="1">
        <f t="array" ref="T38">IFERROR(INDEX(_xlfn.ANCHORARRAY(_xlfn.XLOOKUP($C38,'-ref_Distribution'!$B$146:$B$150,'-ref_Distribution'!$G$146:$G$150)),RIGHT(T$1,2)),"")</f>
        <v>146</v>
      </c>
      <c r="U38" s="16" cm="1">
        <f t="array" ref="U38">IFERROR(INDEX(_xlfn.ANCHORARRAY(_xlfn.XLOOKUP($C38,'-ref_Distribution'!$B$146:$B$150,'-ref_Distribution'!$G$146:$G$150)),RIGHT(U$1,2)),"")</f>
        <v>119</v>
      </c>
      <c r="V38" s="16" cm="1">
        <f t="array" ref="V38">IFERROR(INDEX(_xlfn.ANCHORARRAY(_xlfn.XLOOKUP($C38,'-ref_Distribution'!$B$146:$B$150,'-ref_Distribution'!$G$146:$G$150)),RIGHT(V$1,2)),"")</f>
        <v>96</v>
      </c>
      <c r="W38" s="16" cm="1">
        <f t="array" ref="W38">IFERROR(INDEX(_xlfn.ANCHORARRAY(_xlfn.XLOOKUP($C38,'-ref_Distribution'!$B$146:$B$150,'-ref_Distribution'!$G$146:$G$150)),RIGHT(W$1,2)),"")</f>
        <v>76</v>
      </c>
      <c r="X38" s="16" cm="1">
        <f t="array" ref="X38">IFERROR(INDEX(_xlfn.ANCHORARRAY(_xlfn.XLOOKUP($C38,'-ref_Distribution'!$B$146:$B$150,'-ref_Distribution'!$G$146:$G$150)),RIGHT(X$1,2)),"")</f>
        <v>709</v>
      </c>
      <c r="Y38" s="16" cm="1">
        <f t="array" ref="Y38">IFERROR(INDEX(_xlfn.ANCHORARRAY(_xlfn.XLOOKUP($C38,'-ref_Distribution'!$B$146:$B$150,'-ref_Distribution'!$G$146:$G$150)),RIGHT(Y$1,2)),"")</f>
        <v>705</v>
      </c>
      <c r="Z38" s="16" cm="1">
        <f t="array" ref="Z38">IFERROR(INDEX(_xlfn.ANCHORARRAY(_xlfn.XLOOKUP($C38,'-ref_Distribution'!$B$146:$B$150,'-ref_Distribution'!$G$146:$G$150)),RIGHT(Z$1,2)),"")</f>
        <v>692</v>
      </c>
      <c r="AA38" s="16" cm="1">
        <f t="array" ref="AA38">IFERROR(INDEX(_xlfn.ANCHORARRAY(_xlfn.XLOOKUP($C38,'-ref_Distribution'!$B$146:$B$150,'-ref_Distribution'!$G$146:$G$150)),RIGHT(AA$1,2)),"")</f>
        <v>671</v>
      </c>
      <c r="AB38" s="16" cm="1">
        <f t="array" ref="AB38">IFERROR(INDEX(_xlfn.ANCHORARRAY(_xlfn.XLOOKUP($C38,'-ref_Distribution'!$B$146:$B$150,'-ref_Distribution'!$G$146:$G$150)),RIGHT(AB$1,2)),"")</f>
        <v>643</v>
      </c>
      <c r="AC38" s="16" cm="1">
        <f t="array" ref="AC38">IFERROR(INDEX(_xlfn.ANCHORARRAY(_xlfn.XLOOKUP($C38,'-ref_Distribution'!$B$146:$B$150,'-ref_Distribution'!$G$146:$G$150)),RIGHT(AC$1,2)),"")</f>
        <v>608</v>
      </c>
      <c r="AD38" s="16" cm="1">
        <f t="array" ref="AD38">IFERROR(INDEX(_xlfn.ANCHORARRAY(_xlfn.XLOOKUP($C38,'-ref_Distribution'!$B$146:$B$150,'-ref_Distribution'!$G$146:$G$150)),RIGHT(AD$1,2)),"")</f>
        <v>568</v>
      </c>
      <c r="AE38" s="16" cm="1">
        <f t="array" ref="AE38">IFERROR(INDEX(_xlfn.ANCHORARRAY(_xlfn.XLOOKUP($C38,'-ref_Distribution'!$B$146:$B$150,'-ref_Distribution'!$G$146:$G$150)),RIGHT(AE$1,2)),"")</f>
        <v>524</v>
      </c>
      <c r="AF38" s="16" cm="1">
        <f t="array" ref="AF38">IFERROR(INDEX(_xlfn.ANCHORARRAY(_xlfn.XLOOKUP($C38,'-ref_Distribution'!$B$146:$B$150,'-ref_Distribution'!$G$146:$G$150)),RIGHT(AF$1,2)),"")</f>
        <v>478</v>
      </c>
      <c r="AG38" s="16" cm="1">
        <f t="array" ref="AG38">IFERROR(INDEX(_xlfn.ANCHORARRAY(_xlfn.XLOOKUP($C38,'-ref_Distribution'!$B$146:$B$150,'-ref_Distribution'!$G$146:$G$150)),RIGHT(AG$1,2)),"")</f>
        <v>430</v>
      </c>
      <c r="AH38" s="16" cm="1">
        <f t="array" ref="AH38">IFERROR(INDEX(_xlfn.ANCHORARRAY(_xlfn.XLOOKUP($C38,'-ref_Distribution'!$B$146:$B$150,'-ref_Distribution'!$G$146:$G$150)),RIGHT(AH$1,2)),"")</f>
        <v>383</v>
      </c>
      <c r="AI38" s="16" cm="1">
        <f t="array" ref="AI38">IFERROR(INDEX(_xlfn.ANCHORARRAY(_xlfn.XLOOKUP($C38,'-ref_Distribution'!$B$146:$B$150,'-ref_Distribution'!$G$146:$G$150)),RIGHT(AI$1,2)),"")</f>
        <v>336</v>
      </c>
      <c r="AJ38" s="16" cm="1">
        <f t="array" ref="AJ38">IFERROR(INDEX(_xlfn.ANCHORARRAY(_xlfn.XLOOKUP($C38,'-ref_Distribution'!$B$146:$B$150,'-ref_Distribution'!$G$146:$G$150)),RIGHT(AJ$1,2)),"")</f>
        <v>292</v>
      </c>
      <c r="AK38" s="16" cm="1">
        <f t="array" ref="AK38">IFERROR(INDEX(_xlfn.ANCHORARRAY(_xlfn.XLOOKUP($C38,'-ref_Distribution'!$B$146:$B$150,'-ref_Distribution'!$G$146:$G$150)),RIGHT(AK$1,2)),"")</f>
        <v>250</v>
      </c>
      <c r="AL38" s="16" cm="1">
        <f t="array" ref="AL38">IFERROR(INDEX(_xlfn.ANCHORARRAY(_xlfn.XLOOKUP($C38,'-ref_Distribution'!$B$146:$B$150,'-ref_Distribution'!$G$146:$G$150)),RIGHT(AL$1,2)),"")</f>
        <v>212</v>
      </c>
      <c r="AM38" s="16" cm="1">
        <f t="array" ref="AM38">IFERROR(INDEX(_xlfn.ANCHORARRAY(_xlfn.XLOOKUP($C38,'-ref_Distribution'!$B$146:$B$150,'-ref_Distribution'!$G$146:$G$150)),RIGHT(AM$1,2)),"")</f>
        <v>177</v>
      </c>
      <c r="AN38" s="16" cm="1">
        <f t="array" ref="AN38">IFERROR(INDEX(_xlfn.ANCHORARRAY(_xlfn.XLOOKUP($C38,'-ref_Distribution'!$B$146:$B$150,'-ref_Distribution'!$G$146:$G$150)),RIGHT(AN$1,2)),"")</f>
        <v>146</v>
      </c>
      <c r="AO38" s="16" cm="1">
        <f t="array" ref="AO38">IFERROR(INDEX(_xlfn.ANCHORARRAY(_xlfn.XLOOKUP($C38,'-ref_Distribution'!$B$146:$B$150,'-ref_Distribution'!$G$146:$G$150)),RIGHT(AO$1,2)),"")</f>
        <v>119</v>
      </c>
      <c r="AP38" s="16" cm="1">
        <f t="array" ref="AP38">IFERROR(INDEX(_xlfn.ANCHORARRAY(_xlfn.XLOOKUP($C38,'-ref_Distribution'!$B$146:$B$150,'-ref_Distribution'!$G$146:$G$150)),RIGHT(AP$1,2)),"")</f>
        <v>96</v>
      </c>
      <c r="AQ38" s="16" cm="1">
        <f t="array" ref="AQ38">IFERROR(INDEX(_xlfn.ANCHORARRAY(_xlfn.XLOOKUP($C38,'-ref_Distribution'!$B$146:$B$150,'-ref_Distribution'!$G$146:$G$150)),RIGHT(AQ$1,2)),"")</f>
        <v>76</v>
      </c>
      <c r="AR38" s="16" cm="1">
        <f t="array" ref="AR38">IFERROR(INDEX(_xlfn.ANCHORARRAY(_xlfn.XLOOKUP($C38,'-ref_Distribution'!$B$146:$B$150,'-ref_Distribution'!$G$146:$G$150)),RIGHT(AR$1,2)),"")</f>
        <v>709</v>
      </c>
      <c r="AS38" s="16" cm="1">
        <f t="array" ref="AS38">IFERROR(INDEX(_xlfn.ANCHORARRAY(_xlfn.XLOOKUP($C38,'-ref_Distribution'!$B$146:$B$150,'-ref_Distribution'!$G$146:$G$150)),RIGHT(AS$1,2)),"")</f>
        <v>705</v>
      </c>
      <c r="AT38" s="16" cm="1">
        <f t="array" ref="AT38">IFERROR(INDEX(_xlfn.ANCHORARRAY(_xlfn.XLOOKUP($C38,'-ref_Distribution'!$B$146:$B$150,'-ref_Distribution'!$G$146:$G$150)),RIGHT(AT$1,2)),"")</f>
        <v>692</v>
      </c>
      <c r="AU38" s="16" cm="1">
        <f t="array" ref="AU38">IFERROR(INDEX(_xlfn.ANCHORARRAY(_xlfn.XLOOKUP($C38,'-ref_Distribution'!$B$146:$B$150,'-ref_Distribution'!$G$146:$G$150)),RIGHT(AU$1,2)),"")</f>
        <v>671</v>
      </c>
      <c r="AV38" s="16" cm="1">
        <f t="array" ref="AV38">IFERROR(INDEX(_xlfn.ANCHORARRAY(_xlfn.XLOOKUP($C38,'-ref_Distribution'!$B$146:$B$150,'-ref_Distribution'!$G$146:$G$150)),RIGHT(AV$1,2)),"")</f>
        <v>643</v>
      </c>
      <c r="AW38" s="16" cm="1">
        <f t="array" ref="AW38">IFERROR(INDEX(_xlfn.ANCHORARRAY(_xlfn.XLOOKUP($C38,'-ref_Distribution'!$B$146:$B$150,'-ref_Distribution'!$G$146:$G$150)),RIGHT(AW$1,2)),"")</f>
        <v>608</v>
      </c>
      <c r="AX38" s="16" cm="1">
        <f t="array" ref="AX38">IFERROR(INDEX(_xlfn.ANCHORARRAY(_xlfn.XLOOKUP($C38,'-ref_Distribution'!$B$146:$B$150,'-ref_Distribution'!$G$146:$G$150)),RIGHT(AX$1,2)),"")</f>
        <v>568</v>
      </c>
      <c r="AY38" s="16" cm="1">
        <f t="array" ref="AY38">IFERROR(INDEX(_xlfn.ANCHORARRAY(_xlfn.XLOOKUP($C38,'-ref_Distribution'!$B$146:$B$150,'-ref_Distribution'!$G$146:$G$150)),RIGHT(AY$1,2)),"")</f>
        <v>524</v>
      </c>
      <c r="AZ38" s="16" cm="1">
        <f t="array" ref="AZ38">IFERROR(INDEX(_xlfn.ANCHORARRAY(_xlfn.XLOOKUP($C38,'-ref_Distribution'!$B$146:$B$150,'-ref_Distribution'!$G$146:$G$150)),RIGHT(AZ$1,2)),"")</f>
        <v>478</v>
      </c>
      <c r="BA38" s="16" cm="1">
        <f t="array" ref="BA38">IFERROR(INDEX(_xlfn.ANCHORARRAY(_xlfn.XLOOKUP($C38,'-ref_Distribution'!$B$146:$B$150,'-ref_Distribution'!$G$146:$G$150)),RIGHT(BA$1,2)),"")</f>
        <v>430</v>
      </c>
      <c r="BB38" s="16" cm="1">
        <f t="array" ref="BB38">IFERROR(INDEX(_xlfn.ANCHORARRAY(_xlfn.XLOOKUP($C38,'-ref_Distribution'!$B$146:$B$150,'-ref_Distribution'!$G$146:$G$150)),RIGHT(BB$1,2)),"")</f>
        <v>383</v>
      </c>
      <c r="BC38" s="16" cm="1">
        <f t="array" ref="BC38">IFERROR(INDEX(_xlfn.ANCHORARRAY(_xlfn.XLOOKUP($C38,'-ref_Distribution'!$B$146:$B$150,'-ref_Distribution'!$G$146:$G$150)),RIGHT(BC$1,2)),"")</f>
        <v>336</v>
      </c>
      <c r="BD38" s="16" cm="1">
        <f t="array" ref="BD38">IFERROR(INDEX(_xlfn.ANCHORARRAY(_xlfn.XLOOKUP($C38,'-ref_Distribution'!$B$146:$B$150,'-ref_Distribution'!$G$146:$G$150)),RIGHT(BD$1,2)),"")</f>
        <v>292</v>
      </c>
      <c r="BE38" s="16" cm="1">
        <f t="array" ref="BE38">IFERROR(INDEX(_xlfn.ANCHORARRAY(_xlfn.XLOOKUP($C38,'-ref_Distribution'!$B$146:$B$150,'-ref_Distribution'!$G$146:$G$150)),RIGHT(BE$1,2)),"")</f>
        <v>250</v>
      </c>
      <c r="BF38" s="16" cm="1">
        <f t="array" ref="BF38">IFERROR(INDEX(_xlfn.ANCHORARRAY(_xlfn.XLOOKUP($C38,'-ref_Distribution'!$B$146:$B$150,'-ref_Distribution'!$G$146:$G$150)),RIGHT(BF$1,2)),"")</f>
        <v>212</v>
      </c>
      <c r="BG38" s="16" cm="1">
        <f t="array" ref="BG38">IFERROR(INDEX(_xlfn.ANCHORARRAY(_xlfn.XLOOKUP($C38,'-ref_Distribution'!$B$146:$B$150,'-ref_Distribution'!$G$146:$G$150)),RIGHT(BG$1,2)),"")</f>
        <v>177</v>
      </c>
      <c r="BH38" s="16" cm="1">
        <f t="array" ref="BH38">IFERROR(INDEX(_xlfn.ANCHORARRAY(_xlfn.XLOOKUP($C38,'-ref_Distribution'!$B$146:$B$150,'-ref_Distribution'!$G$146:$G$150)),RIGHT(BH$1,2)),"")</f>
        <v>146</v>
      </c>
      <c r="BI38" s="16" cm="1">
        <f t="array" ref="BI38">IFERROR(INDEX(_xlfn.ANCHORARRAY(_xlfn.XLOOKUP($C38,'-ref_Distribution'!$B$146:$B$150,'-ref_Distribution'!$G$146:$G$150)),RIGHT(BI$1,2)),"")</f>
        <v>119</v>
      </c>
      <c r="BJ38" s="16" cm="1">
        <f t="array" ref="BJ38">IFERROR(INDEX(_xlfn.ANCHORARRAY(_xlfn.XLOOKUP($C38,'-ref_Distribution'!$B$146:$B$150,'-ref_Distribution'!$G$146:$G$150)),RIGHT(BJ$1,2)),"")</f>
        <v>96</v>
      </c>
      <c r="BK38" s="16" cm="1">
        <f t="array" ref="BK38">IFERROR(INDEX(_xlfn.ANCHORARRAY(_xlfn.XLOOKUP($C38,'-ref_Distribution'!$B$146:$B$150,'-ref_Distribution'!$G$146:$G$150)),RIGHT(BK$1,2)),"")</f>
        <v>76</v>
      </c>
      <c r="BL38" s="16" cm="1">
        <f t="array" ref="BL38">IFERROR(INDEX(_xlfn.ANCHORARRAY(_xlfn.XLOOKUP($C38,'-ref_Distribution'!$B$146:$B$150,'-ref_Distribution'!$G$146:$G$150)),RIGHT(BL$1,2)),"")</f>
        <v>709</v>
      </c>
      <c r="BM38" s="16" cm="1">
        <f t="array" ref="BM38">IFERROR(INDEX(_xlfn.ANCHORARRAY(_xlfn.XLOOKUP($C38,'-ref_Distribution'!$B$146:$B$150,'-ref_Distribution'!$G$146:$G$150)),RIGHT(BM$1,2)),"")</f>
        <v>705</v>
      </c>
      <c r="BN38" s="16" cm="1">
        <f t="array" ref="BN38">IFERROR(INDEX(_xlfn.ANCHORARRAY(_xlfn.XLOOKUP($C38,'-ref_Distribution'!$B$146:$B$150,'-ref_Distribution'!$G$146:$G$150)),RIGHT(BN$1,2)),"")</f>
        <v>692</v>
      </c>
      <c r="BO38" s="16" cm="1">
        <f t="array" ref="BO38">IFERROR(INDEX(_xlfn.ANCHORARRAY(_xlfn.XLOOKUP($C38,'-ref_Distribution'!$B$146:$B$150,'-ref_Distribution'!$G$146:$G$150)),RIGHT(BO$1,2)),"")</f>
        <v>671</v>
      </c>
      <c r="BP38" s="16" cm="1">
        <f t="array" ref="BP38">IFERROR(INDEX(_xlfn.ANCHORARRAY(_xlfn.XLOOKUP($C38,'-ref_Distribution'!$B$146:$B$150,'-ref_Distribution'!$G$146:$G$150)),RIGHT(BP$1,2)),"")</f>
        <v>643</v>
      </c>
      <c r="BQ38" s="16" cm="1">
        <f t="array" ref="BQ38">IFERROR(INDEX(_xlfn.ANCHORARRAY(_xlfn.XLOOKUP($C38,'-ref_Distribution'!$B$146:$B$150,'-ref_Distribution'!$G$146:$G$150)),RIGHT(BQ$1,2)),"")</f>
        <v>608</v>
      </c>
      <c r="BR38" s="16" cm="1">
        <f t="array" ref="BR38">IFERROR(INDEX(_xlfn.ANCHORARRAY(_xlfn.XLOOKUP($C38,'-ref_Distribution'!$B$146:$B$150,'-ref_Distribution'!$G$146:$G$150)),RIGHT(BR$1,2)),"")</f>
        <v>568</v>
      </c>
      <c r="BS38" s="16" cm="1">
        <f t="array" ref="BS38">IFERROR(INDEX(_xlfn.ANCHORARRAY(_xlfn.XLOOKUP($C38,'-ref_Distribution'!$B$146:$B$150,'-ref_Distribution'!$G$146:$G$150)),RIGHT(BS$1,2)),"")</f>
        <v>524</v>
      </c>
      <c r="BT38" s="16" cm="1">
        <f t="array" ref="BT38">IFERROR(INDEX(_xlfn.ANCHORARRAY(_xlfn.XLOOKUP($C38,'-ref_Distribution'!$B$146:$B$150,'-ref_Distribution'!$G$146:$G$150)),RIGHT(BT$1,2)),"")</f>
        <v>478</v>
      </c>
      <c r="BU38" s="16" cm="1">
        <f t="array" ref="BU38">IFERROR(INDEX(_xlfn.ANCHORARRAY(_xlfn.XLOOKUP($C38,'-ref_Distribution'!$B$146:$B$150,'-ref_Distribution'!$G$146:$G$150)),RIGHT(BU$1,2)),"")</f>
        <v>430</v>
      </c>
      <c r="BV38" s="16" cm="1">
        <f t="array" ref="BV38">IFERROR(INDEX(_xlfn.ANCHORARRAY(_xlfn.XLOOKUP($C38,'-ref_Distribution'!$B$146:$B$150,'-ref_Distribution'!$G$146:$G$150)),RIGHT(BV$1,2)),"")</f>
        <v>383</v>
      </c>
      <c r="BW38" s="16" cm="1">
        <f t="array" ref="BW38">IFERROR(INDEX(_xlfn.ANCHORARRAY(_xlfn.XLOOKUP($C38,'-ref_Distribution'!$B$146:$B$150,'-ref_Distribution'!$G$146:$G$150)),RIGHT(BW$1,2)),"")</f>
        <v>336</v>
      </c>
      <c r="BX38" s="16" cm="1">
        <f t="array" ref="BX38">IFERROR(INDEX(_xlfn.ANCHORARRAY(_xlfn.XLOOKUP($C38,'-ref_Distribution'!$B$146:$B$150,'-ref_Distribution'!$G$146:$G$150)),RIGHT(BX$1,2)),"")</f>
        <v>292</v>
      </c>
      <c r="BY38" s="16" cm="1">
        <f t="array" ref="BY38">IFERROR(INDEX(_xlfn.ANCHORARRAY(_xlfn.XLOOKUP($C38,'-ref_Distribution'!$B$146:$B$150,'-ref_Distribution'!$G$146:$G$150)),RIGHT(BY$1,2)),"")</f>
        <v>250</v>
      </c>
      <c r="BZ38" s="16" cm="1">
        <f t="array" ref="BZ38">IFERROR(INDEX(_xlfn.ANCHORARRAY(_xlfn.XLOOKUP($C38,'-ref_Distribution'!$B$146:$B$150,'-ref_Distribution'!$G$146:$G$150)),RIGHT(BZ$1,2)),"")</f>
        <v>212</v>
      </c>
      <c r="CA38" s="16" cm="1">
        <f t="array" ref="CA38">IFERROR(INDEX(_xlfn.ANCHORARRAY(_xlfn.XLOOKUP($C38,'-ref_Distribution'!$B$146:$B$150,'-ref_Distribution'!$G$146:$G$150)),RIGHT(CA$1,2)),"")</f>
        <v>177</v>
      </c>
      <c r="CB38" s="16" cm="1">
        <f t="array" ref="CB38">IFERROR(INDEX(_xlfn.ANCHORARRAY(_xlfn.XLOOKUP($C38,'-ref_Distribution'!$B$146:$B$150,'-ref_Distribution'!$G$146:$G$150)),RIGHT(CB$1,2)),"")</f>
        <v>146</v>
      </c>
      <c r="CC38" s="16" cm="1">
        <f t="array" ref="CC38">IFERROR(INDEX(_xlfn.ANCHORARRAY(_xlfn.XLOOKUP($C38,'-ref_Distribution'!$B$146:$B$150,'-ref_Distribution'!$G$146:$G$150)),RIGHT(CC$1,2)),"")</f>
        <v>119</v>
      </c>
      <c r="CD38" s="16" cm="1">
        <f t="array" ref="CD38">IFERROR(INDEX(_xlfn.ANCHORARRAY(_xlfn.XLOOKUP($C38,'-ref_Distribution'!$B$146:$B$150,'-ref_Distribution'!$G$146:$G$150)),RIGHT(CD$1,2)),"")</f>
        <v>96</v>
      </c>
      <c r="CE38" s="16" cm="1">
        <f t="array" ref="CE38">IFERROR(INDEX(_xlfn.ANCHORARRAY(_xlfn.XLOOKUP($C38,'-ref_Distribution'!$B$146:$B$150,'-ref_Distribution'!$G$146:$G$150)),RIGHT(CE$1,2)),"")</f>
        <v>76</v>
      </c>
    </row>
    <row r="39" spans="1:83" x14ac:dyDescent="0.2">
      <c r="A39" s="16">
        <v>301052</v>
      </c>
      <c r="B39" s="16" t="s">
        <v>221</v>
      </c>
      <c r="C39" s="16">
        <v>1</v>
      </c>
      <c r="D39" s="16" cm="1">
        <f t="array" ref="D39">IFERROR(INDEX(_xlfn.ANCHORARRAY(_xlfn.XLOOKUP($C39,'-ref_Distribution'!$B$146:$B$150,'-ref_Distribution'!$G$146:$G$150)),RIGHT(D$1,2)),"")</f>
        <v>337</v>
      </c>
      <c r="E39" s="16" cm="1">
        <f t="array" ref="E39">IFERROR(INDEX(_xlfn.ANCHORARRAY(_xlfn.XLOOKUP($C39,'-ref_Distribution'!$B$146:$B$150,'-ref_Distribution'!$G$146:$G$150)),RIGHT(E$1,2)),"")</f>
        <v>364</v>
      </c>
      <c r="F39" s="16" cm="1">
        <f t="array" ref="F39">IFERROR(INDEX(_xlfn.ANCHORARRAY(_xlfn.XLOOKUP($C39,'-ref_Distribution'!$B$146:$B$150,'-ref_Distribution'!$G$146:$G$150)),RIGHT(F$1,2)),"")</f>
        <v>386</v>
      </c>
      <c r="G39" s="16" cm="1">
        <f t="array" ref="G39">IFERROR(INDEX(_xlfn.ANCHORARRAY(_xlfn.XLOOKUP($C39,'-ref_Distribution'!$B$146:$B$150,'-ref_Distribution'!$G$146:$G$150)),RIGHT(G$1,2)),"")</f>
        <v>403</v>
      </c>
      <c r="H39" s="16" cm="1">
        <f t="array" ref="H39">IFERROR(INDEX(_xlfn.ANCHORARRAY(_xlfn.XLOOKUP($C39,'-ref_Distribution'!$B$146:$B$150,'-ref_Distribution'!$G$146:$G$150)),RIGHT(H$1,2)),"")</f>
        <v>414</v>
      </c>
      <c r="I39" s="16" cm="1">
        <f t="array" ref="I39">IFERROR(INDEX(_xlfn.ANCHORARRAY(_xlfn.XLOOKUP($C39,'-ref_Distribution'!$B$146:$B$150,'-ref_Distribution'!$G$146:$G$150)),RIGHT(I$1,2)),"")</f>
        <v>417</v>
      </c>
      <c r="J39" s="16" cm="1">
        <f t="array" ref="J39">IFERROR(INDEX(_xlfn.ANCHORARRAY(_xlfn.XLOOKUP($C39,'-ref_Distribution'!$B$146:$B$150,'-ref_Distribution'!$G$146:$G$150)),RIGHT(J$1,2)),"")</f>
        <v>414</v>
      </c>
      <c r="K39" s="16" cm="1">
        <f t="array" ref="K39">IFERROR(INDEX(_xlfn.ANCHORARRAY(_xlfn.XLOOKUP($C39,'-ref_Distribution'!$B$146:$B$150,'-ref_Distribution'!$G$146:$G$150)),RIGHT(K$1,2)),"")</f>
        <v>403</v>
      </c>
      <c r="L39" s="16" cm="1">
        <f t="array" ref="L39">IFERROR(INDEX(_xlfn.ANCHORARRAY(_xlfn.XLOOKUP($C39,'-ref_Distribution'!$B$146:$B$150,'-ref_Distribution'!$G$146:$G$150)),RIGHT(L$1,2)),"")</f>
        <v>386</v>
      </c>
      <c r="M39" s="16" cm="1">
        <f t="array" ref="M39">IFERROR(INDEX(_xlfn.ANCHORARRAY(_xlfn.XLOOKUP($C39,'-ref_Distribution'!$B$146:$B$150,'-ref_Distribution'!$G$146:$G$150)),RIGHT(M$1,2)),"")</f>
        <v>364</v>
      </c>
      <c r="N39" s="16" cm="1">
        <f t="array" ref="N39">IFERROR(INDEX(_xlfn.ANCHORARRAY(_xlfn.XLOOKUP($C39,'-ref_Distribution'!$B$146:$B$150,'-ref_Distribution'!$G$146:$G$150)),RIGHT(N$1,2)),"")</f>
        <v>337</v>
      </c>
      <c r="O39" s="16" cm="1">
        <f t="array" ref="O39">IFERROR(INDEX(_xlfn.ANCHORARRAY(_xlfn.XLOOKUP($C39,'-ref_Distribution'!$B$146:$B$150,'-ref_Distribution'!$G$146:$G$150)),RIGHT(O$1,2)),"")</f>
        <v>307</v>
      </c>
      <c r="P39" s="16" cm="1">
        <f t="array" ref="P39">IFERROR(INDEX(_xlfn.ANCHORARRAY(_xlfn.XLOOKUP($C39,'-ref_Distribution'!$B$146:$B$150,'-ref_Distribution'!$G$146:$G$150)),RIGHT(P$1,2)),"")</f>
        <v>274</v>
      </c>
      <c r="Q39" s="16" cm="1">
        <f t="array" ref="Q39">IFERROR(INDEX(_xlfn.ANCHORARRAY(_xlfn.XLOOKUP($C39,'-ref_Distribution'!$B$146:$B$150,'-ref_Distribution'!$G$146:$G$150)),RIGHT(Q$1,2)),"")</f>
        <v>241</v>
      </c>
      <c r="R39" s="16" cm="1">
        <f t="array" ref="R39">IFERROR(INDEX(_xlfn.ANCHORARRAY(_xlfn.XLOOKUP($C39,'-ref_Distribution'!$B$146:$B$150,'-ref_Distribution'!$G$146:$G$150)),RIGHT(R$1,2)),"")</f>
        <v>209</v>
      </c>
      <c r="S39" s="16" cm="1">
        <f t="array" ref="S39">IFERROR(INDEX(_xlfn.ANCHORARRAY(_xlfn.XLOOKUP($C39,'-ref_Distribution'!$B$146:$B$150,'-ref_Distribution'!$G$146:$G$150)),RIGHT(S$1,2)),"")</f>
        <v>178</v>
      </c>
      <c r="T39" s="16" cm="1">
        <f t="array" ref="T39">IFERROR(INDEX(_xlfn.ANCHORARRAY(_xlfn.XLOOKUP($C39,'-ref_Distribution'!$B$146:$B$150,'-ref_Distribution'!$G$146:$G$150)),RIGHT(T$1,2)),"")</f>
        <v>148</v>
      </c>
      <c r="U39" s="16" cm="1">
        <f t="array" ref="U39">IFERROR(INDEX(_xlfn.ANCHORARRAY(_xlfn.XLOOKUP($C39,'-ref_Distribution'!$B$146:$B$150,'-ref_Distribution'!$G$146:$G$150)),RIGHT(U$1,2)),"")</f>
        <v>122</v>
      </c>
      <c r="V39" s="16" cm="1">
        <f t="array" ref="V39">IFERROR(INDEX(_xlfn.ANCHORARRAY(_xlfn.XLOOKUP($C39,'-ref_Distribution'!$B$146:$B$150,'-ref_Distribution'!$G$146:$G$150)),RIGHT(V$1,2)),"")</f>
        <v>98</v>
      </c>
      <c r="W39" s="16" cm="1">
        <f t="array" ref="W39">IFERROR(INDEX(_xlfn.ANCHORARRAY(_xlfn.XLOOKUP($C39,'-ref_Distribution'!$B$146:$B$150,'-ref_Distribution'!$G$146:$G$150)),RIGHT(W$1,2)),"")</f>
        <v>78</v>
      </c>
      <c r="X39" s="16" cm="1">
        <f t="array" ref="X39">IFERROR(INDEX(_xlfn.ANCHORARRAY(_xlfn.XLOOKUP($C39,'-ref_Distribution'!$B$146:$B$150,'-ref_Distribution'!$G$146:$G$150)),RIGHT(X$1,2)),"")</f>
        <v>337</v>
      </c>
      <c r="Y39" s="16" cm="1">
        <f t="array" ref="Y39">IFERROR(INDEX(_xlfn.ANCHORARRAY(_xlfn.XLOOKUP($C39,'-ref_Distribution'!$B$146:$B$150,'-ref_Distribution'!$G$146:$G$150)),RIGHT(Y$1,2)),"")</f>
        <v>364</v>
      </c>
      <c r="Z39" s="16" cm="1">
        <f t="array" ref="Z39">IFERROR(INDEX(_xlfn.ANCHORARRAY(_xlfn.XLOOKUP($C39,'-ref_Distribution'!$B$146:$B$150,'-ref_Distribution'!$G$146:$G$150)),RIGHT(Z$1,2)),"")</f>
        <v>386</v>
      </c>
      <c r="AA39" s="16" cm="1">
        <f t="array" ref="AA39">IFERROR(INDEX(_xlfn.ANCHORARRAY(_xlfn.XLOOKUP($C39,'-ref_Distribution'!$B$146:$B$150,'-ref_Distribution'!$G$146:$G$150)),RIGHT(AA$1,2)),"")</f>
        <v>403</v>
      </c>
      <c r="AB39" s="16" cm="1">
        <f t="array" ref="AB39">IFERROR(INDEX(_xlfn.ANCHORARRAY(_xlfn.XLOOKUP($C39,'-ref_Distribution'!$B$146:$B$150,'-ref_Distribution'!$G$146:$G$150)),RIGHT(AB$1,2)),"")</f>
        <v>414</v>
      </c>
      <c r="AC39" s="16" cm="1">
        <f t="array" ref="AC39">IFERROR(INDEX(_xlfn.ANCHORARRAY(_xlfn.XLOOKUP($C39,'-ref_Distribution'!$B$146:$B$150,'-ref_Distribution'!$G$146:$G$150)),RIGHT(AC$1,2)),"")</f>
        <v>417</v>
      </c>
      <c r="AD39" s="16" cm="1">
        <f t="array" ref="AD39">IFERROR(INDEX(_xlfn.ANCHORARRAY(_xlfn.XLOOKUP($C39,'-ref_Distribution'!$B$146:$B$150,'-ref_Distribution'!$G$146:$G$150)),RIGHT(AD$1,2)),"")</f>
        <v>414</v>
      </c>
      <c r="AE39" s="16" cm="1">
        <f t="array" ref="AE39">IFERROR(INDEX(_xlfn.ANCHORARRAY(_xlfn.XLOOKUP($C39,'-ref_Distribution'!$B$146:$B$150,'-ref_Distribution'!$G$146:$G$150)),RIGHT(AE$1,2)),"")</f>
        <v>403</v>
      </c>
      <c r="AF39" s="16" cm="1">
        <f t="array" ref="AF39">IFERROR(INDEX(_xlfn.ANCHORARRAY(_xlfn.XLOOKUP($C39,'-ref_Distribution'!$B$146:$B$150,'-ref_Distribution'!$G$146:$G$150)),RIGHT(AF$1,2)),"")</f>
        <v>386</v>
      </c>
      <c r="AG39" s="16" cm="1">
        <f t="array" ref="AG39">IFERROR(INDEX(_xlfn.ANCHORARRAY(_xlfn.XLOOKUP($C39,'-ref_Distribution'!$B$146:$B$150,'-ref_Distribution'!$G$146:$G$150)),RIGHT(AG$1,2)),"")</f>
        <v>364</v>
      </c>
      <c r="AH39" s="16" cm="1">
        <f t="array" ref="AH39">IFERROR(INDEX(_xlfn.ANCHORARRAY(_xlfn.XLOOKUP($C39,'-ref_Distribution'!$B$146:$B$150,'-ref_Distribution'!$G$146:$G$150)),RIGHT(AH$1,2)),"")</f>
        <v>337</v>
      </c>
      <c r="AI39" s="16" cm="1">
        <f t="array" ref="AI39">IFERROR(INDEX(_xlfn.ANCHORARRAY(_xlfn.XLOOKUP($C39,'-ref_Distribution'!$B$146:$B$150,'-ref_Distribution'!$G$146:$G$150)),RIGHT(AI$1,2)),"")</f>
        <v>307</v>
      </c>
      <c r="AJ39" s="16" cm="1">
        <f t="array" ref="AJ39">IFERROR(INDEX(_xlfn.ANCHORARRAY(_xlfn.XLOOKUP($C39,'-ref_Distribution'!$B$146:$B$150,'-ref_Distribution'!$G$146:$G$150)),RIGHT(AJ$1,2)),"")</f>
        <v>274</v>
      </c>
      <c r="AK39" s="16" cm="1">
        <f t="array" ref="AK39">IFERROR(INDEX(_xlfn.ANCHORARRAY(_xlfn.XLOOKUP($C39,'-ref_Distribution'!$B$146:$B$150,'-ref_Distribution'!$G$146:$G$150)),RIGHT(AK$1,2)),"")</f>
        <v>241</v>
      </c>
      <c r="AL39" s="16" cm="1">
        <f t="array" ref="AL39">IFERROR(INDEX(_xlfn.ANCHORARRAY(_xlfn.XLOOKUP($C39,'-ref_Distribution'!$B$146:$B$150,'-ref_Distribution'!$G$146:$G$150)),RIGHT(AL$1,2)),"")</f>
        <v>209</v>
      </c>
      <c r="AM39" s="16" cm="1">
        <f t="array" ref="AM39">IFERROR(INDEX(_xlfn.ANCHORARRAY(_xlfn.XLOOKUP($C39,'-ref_Distribution'!$B$146:$B$150,'-ref_Distribution'!$G$146:$G$150)),RIGHT(AM$1,2)),"")</f>
        <v>178</v>
      </c>
      <c r="AN39" s="16" cm="1">
        <f t="array" ref="AN39">IFERROR(INDEX(_xlfn.ANCHORARRAY(_xlfn.XLOOKUP($C39,'-ref_Distribution'!$B$146:$B$150,'-ref_Distribution'!$G$146:$G$150)),RIGHT(AN$1,2)),"")</f>
        <v>148</v>
      </c>
      <c r="AO39" s="16" cm="1">
        <f t="array" ref="AO39">IFERROR(INDEX(_xlfn.ANCHORARRAY(_xlfn.XLOOKUP($C39,'-ref_Distribution'!$B$146:$B$150,'-ref_Distribution'!$G$146:$G$150)),RIGHT(AO$1,2)),"")</f>
        <v>122</v>
      </c>
      <c r="AP39" s="16" cm="1">
        <f t="array" ref="AP39">IFERROR(INDEX(_xlfn.ANCHORARRAY(_xlfn.XLOOKUP($C39,'-ref_Distribution'!$B$146:$B$150,'-ref_Distribution'!$G$146:$G$150)),RIGHT(AP$1,2)),"")</f>
        <v>98</v>
      </c>
      <c r="AQ39" s="16" cm="1">
        <f t="array" ref="AQ39">IFERROR(INDEX(_xlfn.ANCHORARRAY(_xlfn.XLOOKUP($C39,'-ref_Distribution'!$B$146:$B$150,'-ref_Distribution'!$G$146:$G$150)),RIGHT(AQ$1,2)),"")</f>
        <v>78</v>
      </c>
      <c r="AR39" s="16" cm="1">
        <f t="array" ref="AR39">IFERROR(INDEX(_xlfn.ANCHORARRAY(_xlfn.XLOOKUP($C39,'-ref_Distribution'!$B$146:$B$150,'-ref_Distribution'!$G$146:$G$150)),RIGHT(AR$1,2)),"")</f>
        <v>337</v>
      </c>
      <c r="AS39" s="16" cm="1">
        <f t="array" ref="AS39">IFERROR(INDEX(_xlfn.ANCHORARRAY(_xlfn.XLOOKUP($C39,'-ref_Distribution'!$B$146:$B$150,'-ref_Distribution'!$G$146:$G$150)),RIGHT(AS$1,2)),"")</f>
        <v>364</v>
      </c>
      <c r="AT39" s="16" cm="1">
        <f t="array" ref="AT39">IFERROR(INDEX(_xlfn.ANCHORARRAY(_xlfn.XLOOKUP($C39,'-ref_Distribution'!$B$146:$B$150,'-ref_Distribution'!$G$146:$G$150)),RIGHT(AT$1,2)),"")</f>
        <v>386</v>
      </c>
      <c r="AU39" s="16" cm="1">
        <f t="array" ref="AU39">IFERROR(INDEX(_xlfn.ANCHORARRAY(_xlfn.XLOOKUP($C39,'-ref_Distribution'!$B$146:$B$150,'-ref_Distribution'!$G$146:$G$150)),RIGHT(AU$1,2)),"")</f>
        <v>403</v>
      </c>
      <c r="AV39" s="16" cm="1">
        <f t="array" ref="AV39">IFERROR(INDEX(_xlfn.ANCHORARRAY(_xlfn.XLOOKUP($C39,'-ref_Distribution'!$B$146:$B$150,'-ref_Distribution'!$G$146:$G$150)),RIGHT(AV$1,2)),"")</f>
        <v>414</v>
      </c>
      <c r="AW39" s="16" cm="1">
        <f t="array" ref="AW39">IFERROR(INDEX(_xlfn.ANCHORARRAY(_xlfn.XLOOKUP($C39,'-ref_Distribution'!$B$146:$B$150,'-ref_Distribution'!$G$146:$G$150)),RIGHT(AW$1,2)),"")</f>
        <v>417</v>
      </c>
      <c r="AX39" s="16" cm="1">
        <f t="array" ref="AX39">IFERROR(INDEX(_xlfn.ANCHORARRAY(_xlfn.XLOOKUP($C39,'-ref_Distribution'!$B$146:$B$150,'-ref_Distribution'!$G$146:$G$150)),RIGHT(AX$1,2)),"")</f>
        <v>414</v>
      </c>
      <c r="AY39" s="16" cm="1">
        <f t="array" ref="AY39">IFERROR(INDEX(_xlfn.ANCHORARRAY(_xlfn.XLOOKUP($C39,'-ref_Distribution'!$B$146:$B$150,'-ref_Distribution'!$G$146:$G$150)),RIGHT(AY$1,2)),"")</f>
        <v>403</v>
      </c>
      <c r="AZ39" s="16" cm="1">
        <f t="array" ref="AZ39">IFERROR(INDEX(_xlfn.ANCHORARRAY(_xlfn.XLOOKUP($C39,'-ref_Distribution'!$B$146:$B$150,'-ref_Distribution'!$G$146:$G$150)),RIGHT(AZ$1,2)),"")</f>
        <v>386</v>
      </c>
      <c r="BA39" s="16" cm="1">
        <f t="array" ref="BA39">IFERROR(INDEX(_xlfn.ANCHORARRAY(_xlfn.XLOOKUP($C39,'-ref_Distribution'!$B$146:$B$150,'-ref_Distribution'!$G$146:$G$150)),RIGHT(BA$1,2)),"")</f>
        <v>364</v>
      </c>
      <c r="BB39" s="16" cm="1">
        <f t="array" ref="BB39">IFERROR(INDEX(_xlfn.ANCHORARRAY(_xlfn.XLOOKUP($C39,'-ref_Distribution'!$B$146:$B$150,'-ref_Distribution'!$G$146:$G$150)),RIGHT(BB$1,2)),"")</f>
        <v>337</v>
      </c>
      <c r="BC39" s="16" cm="1">
        <f t="array" ref="BC39">IFERROR(INDEX(_xlfn.ANCHORARRAY(_xlfn.XLOOKUP($C39,'-ref_Distribution'!$B$146:$B$150,'-ref_Distribution'!$G$146:$G$150)),RIGHT(BC$1,2)),"")</f>
        <v>307</v>
      </c>
      <c r="BD39" s="16" cm="1">
        <f t="array" ref="BD39">IFERROR(INDEX(_xlfn.ANCHORARRAY(_xlfn.XLOOKUP($C39,'-ref_Distribution'!$B$146:$B$150,'-ref_Distribution'!$G$146:$G$150)),RIGHT(BD$1,2)),"")</f>
        <v>274</v>
      </c>
      <c r="BE39" s="16" cm="1">
        <f t="array" ref="BE39">IFERROR(INDEX(_xlfn.ANCHORARRAY(_xlfn.XLOOKUP($C39,'-ref_Distribution'!$B$146:$B$150,'-ref_Distribution'!$G$146:$G$150)),RIGHT(BE$1,2)),"")</f>
        <v>241</v>
      </c>
      <c r="BF39" s="16" cm="1">
        <f t="array" ref="BF39">IFERROR(INDEX(_xlfn.ANCHORARRAY(_xlfn.XLOOKUP($C39,'-ref_Distribution'!$B$146:$B$150,'-ref_Distribution'!$G$146:$G$150)),RIGHT(BF$1,2)),"")</f>
        <v>209</v>
      </c>
      <c r="BG39" s="16" cm="1">
        <f t="array" ref="BG39">IFERROR(INDEX(_xlfn.ANCHORARRAY(_xlfn.XLOOKUP($C39,'-ref_Distribution'!$B$146:$B$150,'-ref_Distribution'!$G$146:$G$150)),RIGHT(BG$1,2)),"")</f>
        <v>178</v>
      </c>
      <c r="BH39" s="16" cm="1">
        <f t="array" ref="BH39">IFERROR(INDEX(_xlfn.ANCHORARRAY(_xlfn.XLOOKUP($C39,'-ref_Distribution'!$B$146:$B$150,'-ref_Distribution'!$G$146:$G$150)),RIGHT(BH$1,2)),"")</f>
        <v>148</v>
      </c>
      <c r="BI39" s="16" cm="1">
        <f t="array" ref="BI39">IFERROR(INDEX(_xlfn.ANCHORARRAY(_xlfn.XLOOKUP($C39,'-ref_Distribution'!$B$146:$B$150,'-ref_Distribution'!$G$146:$G$150)),RIGHT(BI$1,2)),"")</f>
        <v>122</v>
      </c>
      <c r="BJ39" s="16" cm="1">
        <f t="array" ref="BJ39">IFERROR(INDEX(_xlfn.ANCHORARRAY(_xlfn.XLOOKUP($C39,'-ref_Distribution'!$B$146:$B$150,'-ref_Distribution'!$G$146:$G$150)),RIGHT(BJ$1,2)),"")</f>
        <v>98</v>
      </c>
      <c r="BK39" s="16" cm="1">
        <f t="array" ref="BK39">IFERROR(INDEX(_xlfn.ANCHORARRAY(_xlfn.XLOOKUP($C39,'-ref_Distribution'!$B$146:$B$150,'-ref_Distribution'!$G$146:$G$150)),RIGHT(BK$1,2)),"")</f>
        <v>78</v>
      </c>
      <c r="BL39" s="16" cm="1">
        <f t="array" ref="BL39">IFERROR(INDEX(_xlfn.ANCHORARRAY(_xlfn.XLOOKUP($C39,'-ref_Distribution'!$B$146:$B$150,'-ref_Distribution'!$G$146:$G$150)),RIGHT(BL$1,2)),"")</f>
        <v>337</v>
      </c>
      <c r="BM39" s="16" cm="1">
        <f t="array" ref="BM39">IFERROR(INDEX(_xlfn.ANCHORARRAY(_xlfn.XLOOKUP($C39,'-ref_Distribution'!$B$146:$B$150,'-ref_Distribution'!$G$146:$G$150)),RIGHT(BM$1,2)),"")</f>
        <v>364</v>
      </c>
      <c r="BN39" s="16" cm="1">
        <f t="array" ref="BN39">IFERROR(INDEX(_xlfn.ANCHORARRAY(_xlfn.XLOOKUP($C39,'-ref_Distribution'!$B$146:$B$150,'-ref_Distribution'!$G$146:$G$150)),RIGHT(BN$1,2)),"")</f>
        <v>386</v>
      </c>
      <c r="BO39" s="16" cm="1">
        <f t="array" ref="BO39">IFERROR(INDEX(_xlfn.ANCHORARRAY(_xlfn.XLOOKUP($C39,'-ref_Distribution'!$B$146:$B$150,'-ref_Distribution'!$G$146:$G$150)),RIGHT(BO$1,2)),"")</f>
        <v>403</v>
      </c>
      <c r="BP39" s="16" cm="1">
        <f t="array" ref="BP39">IFERROR(INDEX(_xlfn.ANCHORARRAY(_xlfn.XLOOKUP($C39,'-ref_Distribution'!$B$146:$B$150,'-ref_Distribution'!$G$146:$G$150)),RIGHT(BP$1,2)),"")</f>
        <v>414</v>
      </c>
      <c r="BQ39" s="16" cm="1">
        <f t="array" ref="BQ39">IFERROR(INDEX(_xlfn.ANCHORARRAY(_xlfn.XLOOKUP($C39,'-ref_Distribution'!$B$146:$B$150,'-ref_Distribution'!$G$146:$G$150)),RIGHT(BQ$1,2)),"")</f>
        <v>417</v>
      </c>
      <c r="BR39" s="16" cm="1">
        <f t="array" ref="BR39">IFERROR(INDEX(_xlfn.ANCHORARRAY(_xlfn.XLOOKUP($C39,'-ref_Distribution'!$B$146:$B$150,'-ref_Distribution'!$G$146:$G$150)),RIGHT(BR$1,2)),"")</f>
        <v>414</v>
      </c>
      <c r="BS39" s="16" cm="1">
        <f t="array" ref="BS39">IFERROR(INDEX(_xlfn.ANCHORARRAY(_xlfn.XLOOKUP($C39,'-ref_Distribution'!$B$146:$B$150,'-ref_Distribution'!$G$146:$G$150)),RIGHT(BS$1,2)),"")</f>
        <v>403</v>
      </c>
      <c r="BT39" s="16" cm="1">
        <f t="array" ref="BT39">IFERROR(INDEX(_xlfn.ANCHORARRAY(_xlfn.XLOOKUP($C39,'-ref_Distribution'!$B$146:$B$150,'-ref_Distribution'!$G$146:$G$150)),RIGHT(BT$1,2)),"")</f>
        <v>386</v>
      </c>
      <c r="BU39" s="16" cm="1">
        <f t="array" ref="BU39">IFERROR(INDEX(_xlfn.ANCHORARRAY(_xlfn.XLOOKUP($C39,'-ref_Distribution'!$B$146:$B$150,'-ref_Distribution'!$G$146:$G$150)),RIGHT(BU$1,2)),"")</f>
        <v>364</v>
      </c>
      <c r="BV39" s="16" cm="1">
        <f t="array" ref="BV39">IFERROR(INDEX(_xlfn.ANCHORARRAY(_xlfn.XLOOKUP($C39,'-ref_Distribution'!$B$146:$B$150,'-ref_Distribution'!$G$146:$G$150)),RIGHT(BV$1,2)),"")</f>
        <v>337</v>
      </c>
      <c r="BW39" s="16" cm="1">
        <f t="array" ref="BW39">IFERROR(INDEX(_xlfn.ANCHORARRAY(_xlfn.XLOOKUP($C39,'-ref_Distribution'!$B$146:$B$150,'-ref_Distribution'!$G$146:$G$150)),RIGHT(BW$1,2)),"")</f>
        <v>307</v>
      </c>
      <c r="BX39" s="16" cm="1">
        <f t="array" ref="BX39">IFERROR(INDEX(_xlfn.ANCHORARRAY(_xlfn.XLOOKUP($C39,'-ref_Distribution'!$B$146:$B$150,'-ref_Distribution'!$G$146:$G$150)),RIGHT(BX$1,2)),"")</f>
        <v>274</v>
      </c>
      <c r="BY39" s="16" cm="1">
        <f t="array" ref="BY39">IFERROR(INDEX(_xlfn.ANCHORARRAY(_xlfn.XLOOKUP($C39,'-ref_Distribution'!$B$146:$B$150,'-ref_Distribution'!$G$146:$G$150)),RIGHT(BY$1,2)),"")</f>
        <v>241</v>
      </c>
      <c r="BZ39" s="16" cm="1">
        <f t="array" ref="BZ39">IFERROR(INDEX(_xlfn.ANCHORARRAY(_xlfn.XLOOKUP($C39,'-ref_Distribution'!$B$146:$B$150,'-ref_Distribution'!$G$146:$G$150)),RIGHT(BZ$1,2)),"")</f>
        <v>209</v>
      </c>
      <c r="CA39" s="16" cm="1">
        <f t="array" ref="CA39">IFERROR(INDEX(_xlfn.ANCHORARRAY(_xlfn.XLOOKUP($C39,'-ref_Distribution'!$B$146:$B$150,'-ref_Distribution'!$G$146:$G$150)),RIGHT(CA$1,2)),"")</f>
        <v>178</v>
      </c>
      <c r="CB39" s="16" cm="1">
        <f t="array" ref="CB39">IFERROR(INDEX(_xlfn.ANCHORARRAY(_xlfn.XLOOKUP($C39,'-ref_Distribution'!$B$146:$B$150,'-ref_Distribution'!$G$146:$G$150)),RIGHT(CB$1,2)),"")</f>
        <v>148</v>
      </c>
      <c r="CC39" s="16" cm="1">
        <f t="array" ref="CC39">IFERROR(INDEX(_xlfn.ANCHORARRAY(_xlfn.XLOOKUP($C39,'-ref_Distribution'!$B$146:$B$150,'-ref_Distribution'!$G$146:$G$150)),RIGHT(CC$1,2)),"")</f>
        <v>122</v>
      </c>
      <c r="CD39" s="16" cm="1">
        <f t="array" ref="CD39">IFERROR(INDEX(_xlfn.ANCHORARRAY(_xlfn.XLOOKUP($C39,'-ref_Distribution'!$B$146:$B$150,'-ref_Distribution'!$G$146:$G$150)),RIGHT(CD$1,2)),"")</f>
        <v>98</v>
      </c>
      <c r="CE39" s="16" cm="1">
        <f t="array" ref="CE39">IFERROR(INDEX(_xlfn.ANCHORARRAY(_xlfn.XLOOKUP($C39,'-ref_Distribution'!$B$146:$B$150,'-ref_Distribution'!$G$146:$G$150)),RIGHT(CE$1,2)),"")</f>
        <v>78</v>
      </c>
    </row>
    <row r="40" spans="1:83" x14ac:dyDescent="0.2">
      <c r="A40" s="16">
        <v>301053</v>
      </c>
      <c r="B40" s="16" t="s">
        <v>221</v>
      </c>
      <c r="C40" s="16">
        <v>2</v>
      </c>
      <c r="D40" s="16" cm="1">
        <f t="array" ref="D40">IFERROR(INDEX(_xlfn.ANCHORARRAY(_xlfn.XLOOKUP($C40,'-ref_Distribution'!$B$146:$B$150,'-ref_Distribution'!$G$146:$G$150)),RIGHT(D$1,2)),"")</f>
        <v>75</v>
      </c>
      <c r="E40" s="16" cm="1">
        <f t="array" ref="E40">IFERROR(INDEX(_xlfn.ANCHORARRAY(_xlfn.XLOOKUP($C40,'-ref_Distribution'!$B$146:$B$150,'-ref_Distribution'!$G$146:$G$150)),RIGHT(E$1,2)),"")</f>
        <v>94</v>
      </c>
      <c r="F40" s="16" cm="1">
        <f t="array" ref="F40">IFERROR(INDEX(_xlfn.ANCHORARRAY(_xlfn.XLOOKUP($C40,'-ref_Distribution'!$B$146:$B$150,'-ref_Distribution'!$G$146:$G$150)),RIGHT(F$1,2)),"")</f>
        <v>115</v>
      </c>
      <c r="G40" s="16" cm="1">
        <f t="array" ref="G40">IFERROR(INDEX(_xlfn.ANCHORARRAY(_xlfn.XLOOKUP($C40,'-ref_Distribution'!$B$146:$B$150,'-ref_Distribution'!$G$146:$G$150)),RIGHT(G$1,2)),"")</f>
        <v>137</v>
      </c>
      <c r="H40" s="16" cm="1">
        <f t="array" ref="H40">IFERROR(INDEX(_xlfn.ANCHORARRAY(_xlfn.XLOOKUP($C40,'-ref_Distribution'!$B$146:$B$150,'-ref_Distribution'!$G$146:$G$150)),RIGHT(H$1,2)),"")</f>
        <v>160</v>
      </c>
      <c r="I40" s="16" cm="1">
        <f t="array" ref="I40">IFERROR(INDEX(_xlfn.ANCHORARRAY(_xlfn.XLOOKUP($C40,'-ref_Distribution'!$B$146:$B$150,'-ref_Distribution'!$G$146:$G$150)),RIGHT(I$1,2)),"")</f>
        <v>183</v>
      </c>
      <c r="J40" s="16" cm="1">
        <f t="array" ref="J40">IFERROR(INDEX(_xlfn.ANCHORARRAY(_xlfn.XLOOKUP($C40,'-ref_Distribution'!$B$146:$B$150,'-ref_Distribution'!$G$146:$G$150)),RIGHT(J$1,2)),"")</f>
        <v>203</v>
      </c>
      <c r="K40" s="16" cm="1">
        <f t="array" ref="K40">IFERROR(INDEX(_xlfn.ANCHORARRAY(_xlfn.XLOOKUP($C40,'-ref_Distribution'!$B$146:$B$150,'-ref_Distribution'!$G$146:$G$150)),RIGHT(K$1,2)),"")</f>
        <v>221</v>
      </c>
      <c r="L40" s="16" cm="1">
        <f t="array" ref="L40">IFERROR(INDEX(_xlfn.ANCHORARRAY(_xlfn.XLOOKUP($C40,'-ref_Distribution'!$B$146:$B$150,'-ref_Distribution'!$G$146:$G$150)),RIGHT(L$1,2)),"")</f>
        <v>234</v>
      </c>
      <c r="M40" s="16" cm="1">
        <f t="array" ref="M40">IFERROR(INDEX(_xlfn.ANCHORARRAY(_xlfn.XLOOKUP($C40,'-ref_Distribution'!$B$146:$B$150,'-ref_Distribution'!$G$146:$G$150)),RIGHT(M$1,2)),"")</f>
        <v>243</v>
      </c>
      <c r="N40" s="16" cm="1">
        <f t="array" ref="N40">IFERROR(INDEX(_xlfn.ANCHORARRAY(_xlfn.XLOOKUP($C40,'-ref_Distribution'!$B$146:$B$150,'-ref_Distribution'!$G$146:$G$150)),RIGHT(N$1,2)),"")</f>
        <v>245</v>
      </c>
      <c r="O40" s="16" cm="1">
        <f t="array" ref="O40">IFERROR(INDEX(_xlfn.ANCHORARRAY(_xlfn.XLOOKUP($C40,'-ref_Distribution'!$B$146:$B$150,'-ref_Distribution'!$G$146:$G$150)),RIGHT(O$1,2)),"")</f>
        <v>243</v>
      </c>
      <c r="P40" s="16" cm="1">
        <f t="array" ref="P40">IFERROR(INDEX(_xlfn.ANCHORARRAY(_xlfn.XLOOKUP($C40,'-ref_Distribution'!$B$146:$B$150,'-ref_Distribution'!$G$146:$G$150)),RIGHT(P$1,2)),"")</f>
        <v>234</v>
      </c>
      <c r="Q40" s="16" cm="1">
        <f t="array" ref="Q40">IFERROR(INDEX(_xlfn.ANCHORARRAY(_xlfn.XLOOKUP($C40,'-ref_Distribution'!$B$146:$B$150,'-ref_Distribution'!$G$146:$G$150)),RIGHT(Q$1,2)),"")</f>
        <v>221</v>
      </c>
      <c r="R40" s="16" cm="1">
        <f t="array" ref="R40">IFERROR(INDEX(_xlfn.ANCHORARRAY(_xlfn.XLOOKUP($C40,'-ref_Distribution'!$B$146:$B$150,'-ref_Distribution'!$G$146:$G$150)),RIGHT(R$1,2)),"")</f>
        <v>203</v>
      </c>
      <c r="S40" s="16" cm="1">
        <f t="array" ref="S40">IFERROR(INDEX(_xlfn.ANCHORARRAY(_xlfn.XLOOKUP($C40,'-ref_Distribution'!$B$146:$B$150,'-ref_Distribution'!$G$146:$G$150)),RIGHT(S$1,2)),"")</f>
        <v>183</v>
      </c>
      <c r="T40" s="16" cm="1">
        <f t="array" ref="T40">IFERROR(INDEX(_xlfn.ANCHORARRAY(_xlfn.XLOOKUP($C40,'-ref_Distribution'!$B$146:$B$150,'-ref_Distribution'!$G$146:$G$150)),RIGHT(T$1,2)),"")</f>
        <v>160</v>
      </c>
      <c r="U40" s="16" cm="1">
        <f t="array" ref="U40">IFERROR(INDEX(_xlfn.ANCHORARRAY(_xlfn.XLOOKUP($C40,'-ref_Distribution'!$B$146:$B$150,'-ref_Distribution'!$G$146:$G$150)),RIGHT(U$1,2)),"")</f>
        <v>137</v>
      </c>
      <c r="V40" s="16" cm="1">
        <f t="array" ref="V40">IFERROR(INDEX(_xlfn.ANCHORARRAY(_xlfn.XLOOKUP($C40,'-ref_Distribution'!$B$146:$B$150,'-ref_Distribution'!$G$146:$G$150)),RIGHT(V$1,2)),"")</f>
        <v>115</v>
      </c>
      <c r="W40" s="16" cm="1">
        <f t="array" ref="W40">IFERROR(INDEX(_xlfn.ANCHORARRAY(_xlfn.XLOOKUP($C40,'-ref_Distribution'!$B$146:$B$150,'-ref_Distribution'!$G$146:$G$150)),RIGHT(W$1,2)),"")</f>
        <v>94</v>
      </c>
      <c r="X40" s="16" cm="1">
        <f t="array" ref="X40">IFERROR(INDEX(_xlfn.ANCHORARRAY(_xlfn.XLOOKUP($C40,'-ref_Distribution'!$B$146:$B$150,'-ref_Distribution'!$G$146:$G$150)),RIGHT(X$1,2)),"")</f>
        <v>75</v>
      </c>
      <c r="Y40" s="16" cm="1">
        <f t="array" ref="Y40">IFERROR(INDEX(_xlfn.ANCHORARRAY(_xlfn.XLOOKUP($C40,'-ref_Distribution'!$B$146:$B$150,'-ref_Distribution'!$G$146:$G$150)),RIGHT(Y$1,2)),"")</f>
        <v>94</v>
      </c>
      <c r="Z40" s="16" cm="1">
        <f t="array" ref="Z40">IFERROR(INDEX(_xlfn.ANCHORARRAY(_xlfn.XLOOKUP($C40,'-ref_Distribution'!$B$146:$B$150,'-ref_Distribution'!$G$146:$G$150)),RIGHT(Z$1,2)),"")</f>
        <v>115</v>
      </c>
      <c r="AA40" s="16" cm="1">
        <f t="array" ref="AA40">IFERROR(INDEX(_xlfn.ANCHORARRAY(_xlfn.XLOOKUP($C40,'-ref_Distribution'!$B$146:$B$150,'-ref_Distribution'!$G$146:$G$150)),RIGHT(AA$1,2)),"")</f>
        <v>137</v>
      </c>
      <c r="AB40" s="16" cm="1">
        <f t="array" ref="AB40">IFERROR(INDEX(_xlfn.ANCHORARRAY(_xlfn.XLOOKUP($C40,'-ref_Distribution'!$B$146:$B$150,'-ref_Distribution'!$G$146:$G$150)),RIGHT(AB$1,2)),"")</f>
        <v>160</v>
      </c>
      <c r="AC40" s="16" cm="1">
        <f t="array" ref="AC40">IFERROR(INDEX(_xlfn.ANCHORARRAY(_xlfn.XLOOKUP($C40,'-ref_Distribution'!$B$146:$B$150,'-ref_Distribution'!$G$146:$G$150)),RIGHT(AC$1,2)),"")</f>
        <v>183</v>
      </c>
      <c r="AD40" s="16" cm="1">
        <f t="array" ref="AD40">IFERROR(INDEX(_xlfn.ANCHORARRAY(_xlfn.XLOOKUP($C40,'-ref_Distribution'!$B$146:$B$150,'-ref_Distribution'!$G$146:$G$150)),RIGHT(AD$1,2)),"")</f>
        <v>203</v>
      </c>
      <c r="AE40" s="16" cm="1">
        <f t="array" ref="AE40">IFERROR(INDEX(_xlfn.ANCHORARRAY(_xlfn.XLOOKUP($C40,'-ref_Distribution'!$B$146:$B$150,'-ref_Distribution'!$G$146:$G$150)),RIGHT(AE$1,2)),"")</f>
        <v>221</v>
      </c>
      <c r="AF40" s="16" cm="1">
        <f t="array" ref="AF40">IFERROR(INDEX(_xlfn.ANCHORARRAY(_xlfn.XLOOKUP($C40,'-ref_Distribution'!$B$146:$B$150,'-ref_Distribution'!$G$146:$G$150)),RIGHT(AF$1,2)),"")</f>
        <v>234</v>
      </c>
      <c r="AG40" s="16" cm="1">
        <f t="array" ref="AG40">IFERROR(INDEX(_xlfn.ANCHORARRAY(_xlfn.XLOOKUP($C40,'-ref_Distribution'!$B$146:$B$150,'-ref_Distribution'!$G$146:$G$150)),RIGHT(AG$1,2)),"")</f>
        <v>243</v>
      </c>
      <c r="AH40" s="16" cm="1">
        <f t="array" ref="AH40">IFERROR(INDEX(_xlfn.ANCHORARRAY(_xlfn.XLOOKUP($C40,'-ref_Distribution'!$B$146:$B$150,'-ref_Distribution'!$G$146:$G$150)),RIGHT(AH$1,2)),"")</f>
        <v>245</v>
      </c>
      <c r="AI40" s="16" cm="1">
        <f t="array" ref="AI40">IFERROR(INDEX(_xlfn.ANCHORARRAY(_xlfn.XLOOKUP($C40,'-ref_Distribution'!$B$146:$B$150,'-ref_Distribution'!$G$146:$G$150)),RIGHT(AI$1,2)),"")</f>
        <v>243</v>
      </c>
      <c r="AJ40" s="16" cm="1">
        <f t="array" ref="AJ40">IFERROR(INDEX(_xlfn.ANCHORARRAY(_xlfn.XLOOKUP($C40,'-ref_Distribution'!$B$146:$B$150,'-ref_Distribution'!$G$146:$G$150)),RIGHT(AJ$1,2)),"")</f>
        <v>234</v>
      </c>
      <c r="AK40" s="16" cm="1">
        <f t="array" ref="AK40">IFERROR(INDEX(_xlfn.ANCHORARRAY(_xlfn.XLOOKUP($C40,'-ref_Distribution'!$B$146:$B$150,'-ref_Distribution'!$G$146:$G$150)),RIGHT(AK$1,2)),"")</f>
        <v>221</v>
      </c>
      <c r="AL40" s="16" cm="1">
        <f t="array" ref="AL40">IFERROR(INDEX(_xlfn.ANCHORARRAY(_xlfn.XLOOKUP($C40,'-ref_Distribution'!$B$146:$B$150,'-ref_Distribution'!$G$146:$G$150)),RIGHT(AL$1,2)),"")</f>
        <v>203</v>
      </c>
      <c r="AM40" s="16" cm="1">
        <f t="array" ref="AM40">IFERROR(INDEX(_xlfn.ANCHORARRAY(_xlfn.XLOOKUP($C40,'-ref_Distribution'!$B$146:$B$150,'-ref_Distribution'!$G$146:$G$150)),RIGHT(AM$1,2)),"")</f>
        <v>183</v>
      </c>
      <c r="AN40" s="16" cm="1">
        <f t="array" ref="AN40">IFERROR(INDEX(_xlfn.ANCHORARRAY(_xlfn.XLOOKUP($C40,'-ref_Distribution'!$B$146:$B$150,'-ref_Distribution'!$G$146:$G$150)),RIGHT(AN$1,2)),"")</f>
        <v>160</v>
      </c>
      <c r="AO40" s="16" cm="1">
        <f t="array" ref="AO40">IFERROR(INDEX(_xlfn.ANCHORARRAY(_xlfn.XLOOKUP($C40,'-ref_Distribution'!$B$146:$B$150,'-ref_Distribution'!$G$146:$G$150)),RIGHT(AO$1,2)),"")</f>
        <v>137</v>
      </c>
      <c r="AP40" s="16" cm="1">
        <f t="array" ref="AP40">IFERROR(INDEX(_xlfn.ANCHORARRAY(_xlfn.XLOOKUP($C40,'-ref_Distribution'!$B$146:$B$150,'-ref_Distribution'!$G$146:$G$150)),RIGHT(AP$1,2)),"")</f>
        <v>115</v>
      </c>
      <c r="AQ40" s="16" cm="1">
        <f t="array" ref="AQ40">IFERROR(INDEX(_xlfn.ANCHORARRAY(_xlfn.XLOOKUP($C40,'-ref_Distribution'!$B$146:$B$150,'-ref_Distribution'!$G$146:$G$150)),RIGHT(AQ$1,2)),"")</f>
        <v>94</v>
      </c>
      <c r="AR40" s="16" cm="1">
        <f t="array" ref="AR40">IFERROR(INDEX(_xlfn.ANCHORARRAY(_xlfn.XLOOKUP($C40,'-ref_Distribution'!$B$146:$B$150,'-ref_Distribution'!$G$146:$G$150)),RIGHT(AR$1,2)),"")</f>
        <v>75</v>
      </c>
      <c r="AS40" s="16" cm="1">
        <f t="array" ref="AS40">IFERROR(INDEX(_xlfn.ANCHORARRAY(_xlfn.XLOOKUP($C40,'-ref_Distribution'!$B$146:$B$150,'-ref_Distribution'!$G$146:$G$150)),RIGHT(AS$1,2)),"")</f>
        <v>94</v>
      </c>
      <c r="AT40" s="16" cm="1">
        <f t="array" ref="AT40">IFERROR(INDEX(_xlfn.ANCHORARRAY(_xlfn.XLOOKUP($C40,'-ref_Distribution'!$B$146:$B$150,'-ref_Distribution'!$G$146:$G$150)),RIGHT(AT$1,2)),"")</f>
        <v>115</v>
      </c>
      <c r="AU40" s="16" cm="1">
        <f t="array" ref="AU40">IFERROR(INDEX(_xlfn.ANCHORARRAY(_xlfn.XLOOKUP($C40,'-ref_Distribution'!$B$146:$B$150,'-ref_Distribution'!$G$146:$G$150)),RIGHT(AU$1,2)),"")</f>
        <v>137</v>
      </c>
      <c r="AV40" s="16" cm="1">
        <f t="array" ref="AV40">IFERROR(INDEX(_xlfn.ANCHORARRAY(_xlfn.XLOOKUP($C40,'-ref_Distribution'!$B$146:$B$150,'-ref_Distribution'!$G$146:$G$150)),RIGHT(AV$1,2)),"")</f>
        <v>160</v>
      </c>
      <c r="AW40" s="16" cm="1">
        <f t="array" ref="AW40">IFERROR(INDEX(_xlfn.ANCHORARRAY(_xlfn.XLOOKUP($C40,'-ref_Distribution'!$B$146:$B$150,'-ref_Distribution'!$G$146:$G$150)),RIGHT(AW$1,2)),"")</f>
        <v>183</v>
      </c>
      <c r="AX40" s="16" cm="1">
        <f t="array" ref="AX40">IFERROR(INDEX(_xlfn.ANCHORARRAY(_xlfn.XLOOKUP($C40,'-ref_Distribution'!$B$146:$B$150,'-ref_Distribution'!$G$146:$G$150)),RIGHT(AX$1,2)),"")</f>
        <v>203</v>
      </c>
      <c r="AY40" s="16" cm="1">
        <f t="array" ref="AY40">IFERROR(INDEX(_xlfn.ANCHORARRAY(_xlfn.XLOOKUP($C40,'-ref_Distribution'!$B$146:$B$150,'-ref_Distribution'!$G$146:$G$150)),RIGHT(AY$1,2)),"")</f>
        <v>221</v>
      </c>
      <c r="AZ40" s="16" cm="1">
        <f t="array" ref="AZ40">IFERROR(INDEX(_xlfn.ANCHORARRAY(_xlfn.XLOOKUP($C40,'-ref_Distribution'!$B$146:$B$150,'-ref_Distribution'!$G$146:$G$150)),RIGHT(AZ$1,2)),"")</f>
        <v>234</v>
      </c>
      <c r="BA40" s="16" cm="1">
        <f t="array" ref="BA40">IFERROR(INDEX(_xlfn.ANCHORARRAY(_xlfn.XLOOKUP($C40,'-ref_Distribution'!$B$146:$B$150,'-ref_Distribution'!$G$146:$G$150)),RIGHT(BA$1,2)),"")</f>
        <v>243</v>
      </c>
      <c r="BB40" s="16" cm="1">
        <f t="array" ref="BB40">IFERROR(INDEX(_xlfn.ANCHORARRAY(_xlfn.XLOOKUP($C40,'-ref_Distribution'!$B$146:$B$150,'-ref_Distribution'!$G$146:$G$150)),RIGHT(BB$1,2)),"")</f>
        <v>245</v>
      </c>
      <c r="BC40" s="16" cm="1">
        <f t="array" ref="BC40">IFERROR(INDEX(_xlfn.ANCHORARRAY(_xlfn.XLOOKUP($C40,'-ref_Distribution'!$B$146:$B$150,'-ref_Distribution'!$G$146:$G$150)),RIGHT(BC$1,2)),"")</f>
        <v>243</v>
      </c>
      <c r="BD40" s="16" cm="1">
        <f t="array" ref="BD40">IFERROR(INDEX(_xlfn.ANCHORARRAY(_xlfn.XLOOKUP($C40,'-ref_Distribution'!$B$146:$B$150,'-ref_Distribution'!$G$146:$G$150)),RIGHT(BD$1,2)),"")</f>
        <v>234</v>
      </c>
      <c r="BE40" s="16" cm="1">
        <f t="array" ref="BE40">IFERROR(INDEX(_xlfn.ANCHORARRAY(_xlfn.XLOOKUP($C40,'-ref_Distribution'!$B$146:$B$150,'-ref_Distribution'!$G$146:$G$150)),RIGHT(BE$1,2)),"")</f>
        <v>221</v>
      </c>
      <c r="BF40" s="16" cm="1">
        <f t="array" ref="BF40">IFERROR(INDEX(_xlfn.ANCHORARRAY(_xlfn.XLOOKUP($C40,'-ref_Distribution'!$B$146:$B$150,'-ref_Distribution'!$G$146:$G$150)),RIGHT(BF$1,2)),"")</f>
        <v>203</v>
      </c>
      <c r="BG40" s="16" cm="1">
        <f t="array" ref="BG40">IFERROR(INDEX(_xlfn.ANCHORARRAY(_xlfn.XLOOKUP($C40,'-ref_Distribution'!$B$146:$B$150,'-ref_Distribution'!$G$146:$G$150)),RIGHT(BG$1,2)),"")</f>
        <v>183</v>
      </c>
      <c r="BH40" s="16" cm="1">
        <f t="array" ref="BH40">IFERROR(INDEX(_xlfn.ANCHORARRAY(_xlfn.XLOOKUP($C40,'-ref_Distribution'!$B$146:$B$150,'-ref_Distribution'!$G$146:$G$150)),RIGHT(BH$1,2)),"")</f>
        <v>160</v>
      </c>
      <c r="BI40" s="16" cm="1">
        <f t="array" ref="BI40">IFERROR(INDEX(_xlfn.ANCHORARRAY(_xlfn.XLOOKUP($C40,'-ref_Distribution'!$B$146:$B$150,'-ref_Distribution'!$G$146:$G$150)),RIGHT(BI$1,2)),"")</f>
        <v>137</v>
      </c>
      <c r="BJ40" s="16" cm="1">
        <f t="array" ref="BJ40">IFERROR(INDEX(_xlfn.ANCHORARRAY(_xlfn.XLOOKUP($C40,'-ref_Distribution'!$B$146:$B$150,'-ref_Distribution'!$G$146:$G$150)),RIGHT(BJ$1,2)),"")</f>
        <v>115</v>
      </c>
      <c r="BK40" s="16" cm="1">
        <f t="array" ref="BK40">IFERROR(INDEX(_xlfn.ANCHORARRAY(_xlfn.XLOOKUP($C40,'-ref_Distribution'!$B$146:$B$150,'-ref_Distribution'!$G$146:$G$150)),RIGHT(BK$1,2)),"")</f>
        <v>94</v>
      </c>
      <c r="BL40" s="16" cm="1">
        <f t="array" ref="BL40">IFERROR(INDEX(_xlfn.ANCHORARRAY(_xlfn.XLOOKUP($C40,'-ref_Distribution'!$B$146:$B$150,'-ref_Distribution'!$G$146:$G$150)),RIGHT(BL$1,2)),"")</f>
        <v>75</v>
      </c>
      <c r="BM40" s="16" cm="1">
        <f t="array" ref="BM40">IFERROR(INDEX(_xlfn.ANCHORARRAY(_xlfn.XLOOKUP($C40,'-ref_Distribution'!$B$146:$B$150,'-ref_Distribution'!$G$146:$G$150)),RIGHT(BM$1,2)),"")</f>
        <v>94</v>
      </c>
      <c r="BN40" s="16" cm="1">
        <f t="array" ref="BN40">IFERROR(INDEX(_xlfn.ANCHORARRAY(_xlfn.XLOOKUP($C40,'-ref_Distribution'!$B$146:$B$150,'-ref_Distribution'!$G$146:$G$150)),RIGHT(BN$1,2)),"")</f>
        <v>115</v>
      </c>
      <c r="BO40" s="16" cm="1">
        <f t="array" ref="BO40">IFERROR(INDEX(_xlfn.ANCHORARRAY(_xlfn.XLOOKUP($C40,'-ref_Distribution'!$B$146:$B$150,'-ref_Distribution'!$G$146:$G$150)),RIGHT(BO$1,2)),"")</f>
        <v>137</v>
      </c>
      <c r="BP40" s="16" cm="1">
        <f t="array" ref="BP40">IFERROR(INDEX(_xlfn.ANCHORARRAY(_xlfn.XLOOKUP($C40,'-ref_Distribution'!$B$146:$B$150,'-ref_Distribution'!$G$146:$G$150)),RIGHT(BP$1,2)),"")</f>
        <v>160</v>
      </c>
      <c r="BQ40" s="16" cm="1">
        <f t="array" ref="BQ40">IFERROR(INDEX(_xlfn.ANCHORARRAY(_xlfn.XLOOKUP($C40,'-ref_Distribution'!$B$146:$B$150,'-ref_Distribution'!$G$146:$G$150)),RIGHT(BQ$1,2)),"")</f>
        <v>183</v>
      </c>
      <c r="BR40" s="16" cm="1">
        <f t="array" ref="BR40">IFERROR(INDEX(_xlfn.ANCHORARRAY(_xlfn.XLOOKUP($C40,'-ref_Distribution'!$B$146:$B$150,'-ref_Distribution'!$G$146:$G$150)),RIGHT(BR$1,2)),"")</f>
        <v>203</v>
      </c>
      <c r="BS40" s="16" cm="1">
        <f t="array" ref="BS40">IFERROR(INDEX(_xlfn.ANCHORARRAY(_xlfn.XLOOKUP($C40,'-ref_Distribution'!$B$146:$B$150,'-ref_Distribution'!$G$146:$G$150)),RIGHT(BS$1,2)),"")</f>
        <v>221</v>
      </c>
      <c r="BT40" s="16" cm="1">
        <f t="array" ref="BT40">IFERROR(INDEX(_xlfn.ANCHORARRAY(_xlfn.XLOOKUP($C40,'-ref_Distribution'!$B$146:$B$150,'-ref_Distribution'!$G$146:$G$150)),RIGHT(BT$1,2)),"")</f>
        <v>234</v>
      </c>
      <c r="BU40" s="16" cm="1">
        <f t="array" ref="BU40">IFERROR(INDEX(_xlfn.ANCHORARRAY(_xlfn.XLOOKUP($C40,'-ref_Distribution'!$B$146:$B$150,'-ref_Distribution'!$G$146:$G$150)),RIGHT(BU$1,2)),"")</f>
        <v>243</v>
      </c>
      <c r="BV40" s="16" cm="1">
        <f t="array" ref="BV40">IFERROR(INDEX(_xlfn.ANCHORARRAY(_xlfn.XLOOKUP($C40,'-ref_Distribution'!$B$146:$B$150,'-ref_Distribution'!$G$146:$G$150)),RIGHT(BV$1,2)),"")</f>
        <v>245</v>
      </c>
      <c r="BW40" s="16" cm="1">
        <f t="array" ref="BW40">IFERROR(INDEX(_xlfn.ANCHORARRAY(_xlfn.XLOOKUP($C40,'-ref_Distribution'!$B$146:$B$150,'-ref_Distribution'!$G$146:$G$150)),RIGHT(BW$1,2)),"")</f>
        <v>243</v>
      </c>
      <c r="BX40" s="16" cm="1">
        <f t="array" ref="BX40">IFERROR(INDEX(_xlfn.ANCHORARRAY(_xlfn.XLOOKUP($C40,'-ref_Distribution'!$B$146:$B$150,'-ref_Distribution'!$G$146:$G$150)),RIGHT(BX$1,2)),"")</f>
        <v>234</v>
      </c>
      <c r="BY40" s="16" cm="1">
        <f t="array" ref="BY40">IFERROR(INDEX(_xlfn.ANCHORARRAY(_xlfn.XLOOKUP($C40,'-ref_Distribution'!$B$146:$B$150,'-ref_Distribution'!$G$146:$G$150)),RIGHT(BY$1,2)),"")</f>
        <v>221</v>
      </c>
      <c r="BZ40" s="16" cm="1">
        <f t="array" ref="BZ40">IFERROR(INDEX(_xlfn.ANCHORARRAY(_xlfn.XLOOKUP($C40,'-ref_Distribution'!$B$146:$B$150,'-ref_Distribution'!$G$146:$G$150)),RIGHT(BZ$1,2)),"")</f>
        <v>203</v>
      </c>
      <c r="CA40" s="16" cm="1">
        <f t="array" ref="CA40">IFERROR(INDEX(_xlfn.ANCHORARRAY(_xlfn.XLOOKUP($C40,'-ref_Distribution'!$B$146:$B$150,'-ref_Distribution'!$G$146:$G$150)),RIGHT(CA$1,2)),"")</f>
        <v>183</v>
      </c>
      <c r="CB40" s="16" cm="1">
        <f t="array" ref="CB40">IFERROR(INDEX(_xlfn.ANCHORARRAY(_xlfn.XLOOKUP($C40,'-ref_Distribution'!$B$146:$B$150,'-ref_Distribution'!$G$146:$G$150)),RIGHT(CB$1,2)),"")</f>
        <v>160</v>
      </c>
      <c r="CC40" s="16" cm="1">
        <f t="array" ref="CC40">IFERROR(INDEX(_xlfn.ANCHORARRAY(_xlfn.XLOOKUP($C40,'-ref_Distribution'!$B$146:$B$150,'-ref_Distribution'!$G$146:$G$150)),RIGHT(CC$1,2)),"")</f>
        <v>137</v>
      </c>
      <c r="CD40" s="16" cm="1">
        <f t="array" ref="CD40">IFERROR(INDEX(_xlfn.ANCHORARRAY(_xlfn.XLOOKUP($C40,'-ref_Distribution'!$B$146:$B$150,'-ref_Distribution'!$G$146:$G$150)),RIGHT(CD$1,2)),"")</f>
        <v>115</v>
      </c>
      <c r="CE40" s="16" cm="1">
        <f t="array" ref="CE40">IFERROR(INDEX(_xlfn.ANCHORARRAY(_xlfn.XLOOKUP($C40,'-ref_Distribution'!$B$146:$B$150,'-ref_Distribution'!$G$146:$G$150)),RIGHT(CE$1,2)),"")</f>
        <v>94</v>
      </c>
    </row>
    <row r="41" spans="1:83" x14ac:dyDescent="0.2">
      <c r="A41" s="16">
        <v>301054</v>
      </c>
      <c r="B41" s="16" t="s">
        <v>221</v>
      </c>
      <c r="C41" s="16">
        <v>3</v>
      </c>
      <c r="D41" s="16" cm="1">
        <f t="array" ref="D41">IFERROR(INDEX(_xlfn.ANCHORARRAY(_xlfn.XLOOKUP($C41,'-ref_Distribution'!$B$146:$B$150,'-ref_Distribution'!$G$146:$G$150)),RIGHT(D$1,2)),"")</f>
        <v>4</v>
      </c>
      <c r="E41" s="16" cm="1">
        <f t="array" ref="E41">IFERROR(INDEX(_xlfn.ANCHORARRAY(_xlfn.XLOOKUP($C41,'-ref_Distribution'!$B$146:$B$150,'-ref_Distribution'!$G$146:$G$150)),RIGHT(E$1,2)),"")</f>
        <v>6</v>
      </c>
      <c r="F41" s="16" cm="1">
        <f t="array" ref="F41">IFERROR(INDEX(_xlfn.ANCHORARRAY(_xlfn.XLOOKUP($C41,'-ref_Distribution'!$B$146:$B$150,'-ref_Distribution'!$G$146:$G$150)),RIGHT(F$1,2)),"")</f>
        <v>9</v>
      </c>
      <c r="G41" s="16" cm="1">
        <f t="array" ref="G41">IFERROR(INDEX(_xlfn.ANCHORARRAY(_xlfn.XLOOKUP($C41,'-ref_Distribution'!$B$146:$B$150,'-ref_Distribution'!$G$146:$G$150)),RIGHT(G$1,2)),"")</f>
        <v>14</v>
      </c>
      <c r="H41" s="16" cm="1">
        <f t="array" ref="H41">IFERROR(INDEX(_xlfn.ANCHORARRAY(_xlfn.XLOOKUP($C41,'-ref_Distribution'!$B$146:$B$150,'-ref_Distribution'!$G$146:$G$150)),RIGHT(H$1,2)),"")</f>
        <v>20</v>
      </c>
      <c r="I41" s="16" cm="1">
        <f t="array" ref="I41">IFERROR(INDEX(_xlfn.ANCHORARRAY(_xlfn.XLOOKUP($C41,'-ref_Distribution'!$B$146:$B$150,'-ref_Distribution'!$G$146:$G$150)),RIGHT(I$1,2)),"")</f>
        <v>28</v>
      </c>
      <c r="J41" s="16" cm="1">
        <f t="array" ref="J41">IFERROR(INDEX(_xlfn.ANCHORARRAY(_xlfn.XLOOKUP($C41,'-ref_Distribution'!$B$146:$B$150,'-ref_Distribution'!$G$146:$G$150)),RIGHT(J$1,2)),"")</f>
        <v>38</v>
      </c>
      <c r="K41" s="16" cm="1">
        <f t="array" ref="K41">IFERROR(INDEX(_xlfn.ANCHORARRAY(_xlfn.XLOOKUP($C41,'-ref_Distribution'!$B$146:$B$150,'-ref_Distribution'!$G$146:$G$150)),RIGHT(K$1,2)),"")</f>
        <v>51</v>
      </c>
      <c r="L41" s="16" cm="1">
        <f t="array" ref="L41">IFERROR(INDEX(_xlfn.ANCHORARRAY(_xlfn.XLOOKUP($C41,'-ref_Distribution'!$B$146:$B$150,'-ref_Distribution'!$G$146:$G$150)),RIGHT(L$1,2)),"")</f>
        <v>65</v>
      </c>
      <c r="M41" s="16" cm="1">
        <f t="array" ref="M41">IFERROR(INDEX(_xlfn.ANCHORARRAY(_xlfn.XLOOKUP($C41,'-ref_Distribution'!$B$146:$B$150,'-ref_Distribution'!$G$146:$G$150)),RIGHT(M$1,2)),"")</f>
        <v>80</v>
      </c>
      <c r="N41" s="16" cm="1">
        <f t="array" ref="N41">IFERROR(INDEX(_xlfn.ANCHORARRAY(_xlfn.XLOOKUP($C41,'-ref_Distribution'!$B$146:$B$150,'-ref_Distribution'!$G$146:$G$150)),RIGHT(N$1,2)),"")</f>
        <v>96</v>
      </c>
      <c r="O41" s="16" cm="1">
        <f t="array" ref="O41">IFERROR(INDEX(_xlfn.ANCHORARRAY(_xlfn.XLOOKUP($C41,'-ref_Distribution'!$B$146:$B$150,'-ref_Distribution'!$G$146:$G$150)),RIGHT(O$1,2)),"")</f>
        <v>111</v>
      </c>
      <c r="P41" s="16" cm="1">
        <f t="array" ref="P41">IFERROR(INDEX(_xlfn.ANCHORARRAY(_xlfn.XLOOKUP($C41,'-ref_Distribution'!$B$146:$B$150,'-ref_Distribution'!$G$146:$G$150)),RIGHT(P$1,2)),"")</f>
        <v>125</v>
      </c>
      <c r="Q41" s="16" cm="1">
        <f t="array" ref="Q41">IFERROR(INDEX(_xlfn.ANCHORARRAY(_xlfn.XLOOKUP($C41,'-ref_Distribution'!$B$146:$B$150,'-ref_Distribution'!$G$146:$G$150)),RIGHT(Q$1,2)),"")</f>
        <v>135</v>
      </c>
      <c r="R41" s="16" cm="1">
        <f t="array" ref="R41">IFERROR(INDEX(_xlfn.ANCHORARRAY(_xlfn.XLOOKUP($C41,'-ref_Distribution'!$B$146:$B$150,'-ref_Distribution'!$G$146:$G$150)),RIGHT(R$1,2)),"")</f>
        <v>142</v>
      </c>
      <c r="S41" s="16" cm="1">
        <f t="array" ref="S41">IFERROR(INDEX(_xlfn.ANCHORARRAY(_xlfn.XLOOKUP($C41,'-ref_Distribution'!$B$146:$B$150,'-ref_Distribution'!$G$146:$G$150)),RIGHT(S$1,2)),"")</f>
        <v>144</v>
      </c>
      <c r="T41" s="16" cm="1">
        <f t="array" ref="T41">IFERROR(INDEX(_xlfn.ANCHORARRAY(_xlfn.XLOOKUP($C41,'-ref_Distribution'!$B$146:$B$150,'-ref_Distribution'!$G$146:$G$150)),RIGHT(T$1,2)),"")</f>
        <v>142</v>
      </c>
      <c r="U41" s="16" cm="1">
        <f t="array" ref="U41">IFERROR(INDEX(_xlfn.ANCHORARRAY(_xlfn.XLOOKUP($C41,'-ref_Distribution'!$B$146:$B$150,'-ref_Distribution'!$G$146:$G$150)),RIGHT(U$1,2)),"")</f>
        <v>135</v>
      </c>
      <c r="V41" s="16" cm="1">
        <f t="array" ref="V41">IFERROR(INDEX(_xlfn.ANCHORARRAY(_xlfn.XLOOKUP($C41,'-ref_Distribution'!$B$146:$B$150,'-ref_Distribution'!$G$146:$G$150)),RIGHT(V$1,2)),"")</f>
        <v>125</v>
      </c>
      <c r="W41" s="16" cm="1">
        <f t="array" ref="W41">IFERROR(INDEX(_xlfn.ANCHORARRAY(_xlfn.XLOOKUP($C41,'-ref_Distribution'!$B$146:$B$150,'-ref_Distribution'!$G$146:$G$150)),RIGHT(W$1,2)),"")</f>
        <v>111</v>
      </c>
      <c r="X41" s="16" cm="1">
        <f t="array" ref="X41">IFERROR(INDEX(_xlfn.ANCHORARRAY(_xlfn.XLOOKUP($C41,'-ref_Distribution'!$B$146:$B$150,'-ref_Distribution'!$G$146:$G$150)),RIGHT(X$1,2)),"")</f>
        <v>4</v>
      </c>
      <c r="Y41" s="16" cm="1">
        <f t="array" ref="Y41">IFERROR(INDEX(_xlfn.ANCHORARRAY(_xlfn.XLOOKUP($C41,'-ref_Distribution'!$B$146:$B$150,'-ref_Distribution'!$G$146:$G$150)),RIGHT(Y$1,2)),"")</f>
        <v>6</v>
      </c>
      <c r="Z41" s="16" cm="1">
        <f t="array" ref="Z41">IFERROR(INDEX(_xlfn.ANCHORARRAY(_xlfn.XLOOKUP($C41,'-ref_Distribution'!$B$146:$B$150,'-ref_Distribution'!$G$146:$G$150)),RIGHT(Z$1,2)),"")</f>
        <v>9</v>
      </c>
      <c r="AA41" s="16" cm="1">
        <f t="array" ref="AA41">IFERROR(INDEX(_xlfn.ANCHORARRAY(_xlfn.XLOOKUP($C41,'-ref_Distribution'!$B$146:$B$150,'-ref_Distribution'!$G$146:$G$150)),RIGHT(AA$1,2)),"")</f>
        <v>14</v>
      </c>
      <c r="AB41" s="16" cm="1">
        <f t="array" ref="AB41">IFERROR(INDEX(_xlfn.ANCHORARRAY(_xlfn.XLOOKUP($C41,'-ref_Distribution'!$B$146:$B$150,'-ref_Distribution'!$G$146:$G$150)),RIGHT(AB$1,2)),"")</f>
        <v>20</v>
      </c>
      <c r="AC41" s="16" cm="1">
        <f t="array" ref="AC41">IFERROR(INDEX(_xlfn.ANCHORARRAY(_xlfn.XLOOKUP($C41,'-ref_Distribution'!$B$146:$B$150,'-ref_Distribution'!$G$146:$G$150)),RIGHT(AC$1,2)),"")</f>
        <v>28</v>
      </c>
      <c r="AD41" s="16" cm="1">
        <f t="array" ref="AD41">IFERROR(INDEX(_xlfn.ANCHORARRAY(_xlfn.XLOOKUP($C41,'-ref_Distribution'!$B$146:$B$150,'-ref_Distribution'!$G$146:$G$150)),RIGHT(AD$1,2)),"")</f>
        <v>38</v>
      </c>
      <c r="AE41" s="16" cm="1">
        <f t="array" ref="AE41">IFERROR(INDEX(_xlfn.ANCHORARRAY(_xlfn.XLOOKUP($C41,'-ref_Distribution'!$B$146:$B$150,'-ref_Distribution'!$G$146:$G$150)),RIGHT(AE$1,2)),"")</f>
        <v>51</v>
      </c>
      <c r="AF41" s="16" cm="1">
        <f t="array" ref="AF41">IFERROR(INDEX(_xlfn.ANCHORARRAY(_xlfn.XLOOKUP($C41,'-ref_Distribution'!$B$146:$B$150,'-ref_Distribution'!$G$146:$G$150)),RIGHT(AF$1,2)),"")</f>
        <v>65</v>
      </c>
      <c r="AG41" s="16" cm="1">
        <f t="array" ref="AG41">IFERROR(INDEX(_xlfn.ANCHORARRAY(_xlfn.XLOOKUP($C41,'-ref_Distribution'!$B$146:$B$150,'-ref_Distribution'!$G$146:$G$150)),RIGHT(AG$1,2)),"")</f>
        <v>80</v>
      </c>
      <c r="AH41" s="16" cm="1">
        <f t="array" ref="AH41">IFERROR(INDEX(_xlfn.ANCHORARRAY(_xlfn.XLOOKUP($C41,'-ref_Distribution'!$B$146:$B$150,'-ref_Distribution'!$G$146:$G$150)),RIGHT(AH$1,2)),"")</f>
        <v>96</v>
      </c>
      <c r="AI41" s="16" cm="1">
        <f t="array" ref="AI41">IFERROR(INDEX(_xlfn.ANCHORARRAY(_xlfn.XLOOKUP($C41,'-ref_Distribution'!$B$146:$B$150,'-ref_Distribution'!$G$146:$G$150)),RIGHT(AI$1,2)),"")</f>
        <v>111</v>
      </c>
      <c r="AJ41" s="16" cm="1">
        <f t="array" ref="AJ41">IFERROR(INDEX(_xlfn.ANCHORARRAY(_xlfn.XLOOKUP($C41,'-ref_Distribution'!$B$146:$B$150,'-ref_Distribution'!$G$146:$G$150)),RIGHT(AJ$1,2)),"")</f>
        <v>125</v>
      </c>
      <c r="AK41" s="16" cm="1">
        <f t="array" ref="AK41">IFERROR(INDEX(_xlfn.ANCHORARRAY(_xlfn.XLOOKUP($C41,'-ref_Distribution'!$B$146:$B$150,'-ref_Distribution'!$G$146:$G$150)),RIGHT(AK$1,2)),"")</f>
        <v>135</v>
      </c>
      <c r="AL41" s="16" cm="1">
        <f t="array" ref="AL41">IFERROR(INDEX(_xlfn.ANCHORARRAY(_xlfn.XLOOKUP($C41,'-ref_Distribution'!$B$146:$B$150,'-ref_Distribution'!$G$146:$G$150)),RIGHT(AL$1,2)),"")</f>
        <v>142</v>
      </c>
      <c r="AM41" s="16" cm="1">
        <f t="array" ref="AM41">IFERROR(INDEX(_xlfn.ANCHORARRAY(_xlfn.XLOOKUP($C41,'-ref_Distribution'!$B$146:$B$150,'-ref_Distribution'!$G$146:$G$150)),RIGHT(AM$1,2)),"")</f>
        <v>144</v>
      </c>
      <c r="AN41" s="16" cm="1">
        <f t="array" ref="AN41">IFERROR(INDEX(_xlfn.ANCHORARRAY(_xlfn.XLOOKUP($C41,'-ref_Distribution'!$B$146:$B$150,'-ref_Distribution'!$G$146:$G$150)),RIGHT(AN$1,2)),"")</f>
        <v>142</v>
      </c>
      <c r="AO41" s="16" cm="1">
        <f t="array" ref="AO41">IFERROR(INDEX(_xlfn.ANCHORARRAY(_xlfn.XLOOKUP($C41,'-ref_Distribution'!$B$146:$B$150,'-ref_Distribution'!$G$146:$G$150)),RIGHT(AO$1,2)),"")</f>
        <v>135</v>
      </c>
      <c r="AP41" s="16" cm="1">
        <f t="array" ref="AP41">IFERROR(INDEX(_xlfn.ANCHORARRAY(_xlfn.XLOOKUP($C41,'-ref_Distribution'!$B$146:$B$150,'-ref_Distribution'!$G$146:$G$150)),RIGHT(AP$1,2)),"")</f>
        <v>125</v>
      </c>
      <c r="AQ41" s="16" cm="1">
        <f t="array" ref="AQ41">IFERROR(INDEX(_xlfn.ANCHORARRAY(_xlfn.XLOOKUP($C41,'-ref_Distribution'!$B$146:$B$150,'-ref_Distribution'!$G$146:$G$150)),RIGHT(AQ$1,2)),"")</f>
        <v>111</v>
      </c>
      <c r="AR41" s="16" cm="1">
        <f t="array" ref="AR41">IFERROR(INDEX(_xlfn.ANCHORARRAY(_xlfn.XLOOKUP($C41,'-ref_Distribution'!$B$146:$B$150,'-ref_Distribution'!$G$146:$G$150)),RIGHT(AR$1,2)),"")</f>
        <v>4</v>
      </c>
      <c r="AS41" s="16" cm="1">
        <f t="array" ref="AS41">IFERROR(INDEX(_xlfn.ANCHORARRAY(_xlfn.XLOOKUP($C41,'-ref_Distribution'!$B$146:$B$150,'-ref_Distribution'!$G$146:$G$150)),RIGHT(AS$1,2)),"")</f>
        <v>6</v>
      </c>
      <c r="AT41" s="16" cm="1">
        <f t="array" ref="AT41">IFERROR(INDEX(_xlfn.ANCHORARRAY(_xlfn.XLOOKUP($C41,'-ref_Distribution'!$B$146:$B$150,'-ref_Distribution'!$G$146:$G$150)),RIGHT(AT$1,2)),"")</f>
        <v>9</v>
      </c>
      <c r="AU41" s="16" cm="1">
        <f t="array" ref="AU41">IFERROR(INDEX(_xlfn.ANCHORARRAY(_xlfn.XLOOKUP($C41,'-ref_Distribution'!$B$146:$B$150,'-ref_Distribution'!$G$146:$G$150)),RIGHT(AU$1,2)),"")</f>
        <v>14</v>
      </c>
      <c r="AV41" s="16" cm="1">
        <f t="array" ref="AV41">IFERROR(INDEX(_xlfn.ANCHORARRAY(_xlfn.XLOOKUP($C41,'-ref_Distribution'!$B$146:$B$150,'-ref_Distribution'!$G$146:$G$150)),RIGHT(AV$1,2)),"")</f>
        <v>20</v>
      </c>
      <c r="AW41" s="16" cm="1">
        <f t="array" ref="AW41">IFERROR(INDEX(_xlfn.ANCHORARRAY(_xlfn.XLOOKUP($C41,'-ref_Distribution'!$B$146:$B$150,'-ref_Distribution'!$G$146:$G$150)),RIGHT(AW$1,2)),"")</f>
        <v>28</v>
      </c>
      <c r="AX41" s="16" cm="1">
        <f t="array" ref="AX41">IFERROR(INDEX(_xlfn.ANCHORARRAY(_xlfn.XLOOKUP($C41,'-ref_Distribution'!$B$146:$B$150,'-ref_Distribution'!$G$146:$G$150)),RIGHT(AX$1,2)),"")</f>
        <v>38</v>
      </c>
      <c r="AY41" s="16" cm="1">
        <f t="array" ref="AY41">IFERROR(INDEX(_xlfn.ANCHORARRAY(_xlfn.XLOOKUP($C41,'-ref_Distribution'!$B$146:$B$150,'-ref_Distribution'!$G$146:$G$150)),RIGHT(AY$1,2)),"")</f>
        <v>51</v>
      </c>
      <c r="AZ41" s="16" cm="1">
        <f t="array" ref="AZ41">IFERROR(INDEX(_xlfn.ANCHORARRAY(_xlfn.XLOOKUP($C41,'-ref_Distribution'!$B$146:$B$150,'-ref_Distribution'!$G$146:$G$150)),RIGHT(AZ$1,2)),"")</f>
        <v>65</v>
      </c>
      <c r="BA41" s="16" cm="1">
        <f t="array" ref="BA41">IFERROR(INDEX(_xlfn.ANCHORARRAY(_xlfn.XLOOKUP($C41,'-ref_Distribution'!$B$146:$B$150,'-ref_Distribution'!$G$146:$G$150)),RIGHT(BA$1,2)),"")</f>
        <v>80</v>
      </c>
      <c r="BB41" s="16" cm="1">
        <f t="array" ref="BB41">IFERROR(INDEX(_xlfn.ANCHORARRAY(_xlfn.XLOOKUP($C41,'-ref_Distribution'!$B$146:$B$150,'-ref_Distribution'!$G$146:$G$150)),RIGHT(BB$1,2)),"")</f>
        <v>96</v>
      </c>
      <c r="BC41" s="16" cm="1">
        <f t="array" ref="BC41">IFERROR(INDEX(_xlfn.ANCHORARRAY(_xlfn.XLOOKUP($C41,'-ref_Distribution'!$B$146:$B$150,'-ref_Distribution'!$G$146:$G$150)),RIGHT(BC$1,2)),"")</f>
        <v>111</v>
      </c>
      <c r="BD41" s="16" cm="1">
        <f t="array" ref="BD41">IFERROR(INDEX(_xlfn.ANCHORARRAY(_xlfn.XLOOKUP($C41,'-ref_Distribution'!$B$146:$B$150,'-ref_Distribution'!$G$146:$G$150)),RIGHT(BD$1,2)),"")</f>
        <v>125</v>
      </c>
      <c r="BE41" s="16" cm="1">
        <f t="array" ref="BE41">IFERROR(INDEX(_xlfn.ANCHORARRAY(_xlfn.XLOOKUP($C41,'-ref_Distribution'!$B$146:$B$150,'-ref_Distribution'!$G$146:$G$150)),RIGHT(BE$1,2)),"")</f>
        <v>135</v>
      </c>
      <c r="BF41" s="16" cm="1">
        <f t="array" ref="BF41">IFERROR(INDEX(_xlfn.ANCHORARRAY(_xlfn.XLOOKUP($C41,'-ref_Distribution'!$B$146:$B$150,'-ref_Distribution'!$G$146:$G$150)),RIGHT(BF$1,2)),"")</f>
        <v>142</v>
      </c>
      <c r="BG41" s="16" cm="1">
        <f t="array" ref="BG41">IFERROR(INDEX(_xlfn.ANCHORARRAY(_xlfn.XLOOKUP($C41,'-ref_Distribution'!$B$146:$B$150,'-ref_Distribution'!$G$146:$G$150)),RIGHT(BG$1,2)),"")</f>
        <v>144</v>
      </c>
      <c r="BH41" s="16" cm="1">
        <f t="array" ref="BH41">IFERROR(INDEX(_xlfn.ANCHORARRAY(_xlfn.XLOOKUP($C41,'-ref_Distribution'!$B$146:$B$150,'-ref_Distribution'!$G$146:$G$150)),RIGHT(BH$1,2)),"")</f>
        <v>142</v>
      </c>
      <c r="BI41" s="16" cm="1">
        <f t="array" ref="BI41">IFERROR(INDEX(_xlfn.ANCHORARRAY(_xlfn.XLOOKUP($C41,'-ref_Distribution'!$B$146:$B$150,'-ref_Distribution'!$G$146:$G$150)),RIGHT(BI$1,2)),"")</f>
        <v>135</v>
      </c>
      <c r="BJ41" s="16" cm="1">
        <f t="array" ref="BJ41">IFERROR(INDEX(_xlfn.ANCHORARRAY(_xlfn.XLOOKUP($C41,'-ref_Distribution'!$B$146:$B$150,'-ref_Distribution'!$G$146:$G$150)),RIGHT(BJ$1,2)),"")</f>
        <v>125</v>
      </c>
      <c r="BK41" s="16" cm="1">
        <f t="array" ref="BK41">IFERROR(INDEX(_xlfn.ANCHORARRAY(_xlfn.XLOOKUP($C41,'-ref_Distribution'!$B$146:$B$150,'-ref_Distribution'!$G$146:$G$150)),RIGHT(BK$1,2)),"")</f>
        <v>111</v>
      </c>
      <c r="BL41" s="16" cm="1">
        <f t="array" ref="BL41">IFERROR(INDEX(_xlfn.ANCHORARRAY(_xlfn.XLOOKUP($C41,'-ref_Distribution'!$B$146:$B$150,'-ref_Distribution'!$G$146:$G$150)),RIGHT(BL$1,2)),"")</f>
        <v>4</v>
      </c>
      <c r="BM41" s="16" cm="1">
        <f t="array" ref="BM41">IFERROR(INDEX(_xlfn.ANCHORARRAY(_xlfn.XLOOKUP($C41,'-ref_Distribution'!$B$146:$B$150,'-ref_Distribution'!$G$146:$G$150)),RIGHT(BM$1,2)),"")</f>
        <v>6</v>
      </c>
      <c r="BN41" s="16" cm="1">
        <f t="array" ref="BN41">IFERROR(INDEX(_xlfn.ANCHORARRAY(_xlfn.XLOOKUP($C41,'-ref_Distribution'!$B$146:$B$150,'-ref_Distribution'!$G$146:$G$150)),RIGHT(BN$1,2)),"")</f>
        <v>9</v>
      </c>
      <c r="BO41" s="16" cm="1">
        <f t="array" ref="BO41">IFERROR(INDEX(_xlfn.ANCHORARRAY(_xlfn.XLOOKUP($C41,'-ref_Distribution'!$B$146:$B$150,'-ref_Distribution'!$G$146:$G$150)),RIGHT(BO$1,2)),"")</f>
        <v>14</v>
      </c>
      <c r="BP41" s="16" cm="1">
        <f t="array" ref="BP41">IFERROR(INDEX(_xlfn.ANCHORARRAY(_xlfn.XLOOKUP($C41,'-ref_Distribution'!$B$146:$B$150,'-ref_Distribution'!$G$146:$G$150)),RIGHT(BP$1,2)),"")</f>
        <v>20</v>
      </c>
      <c r="BQ41" s="16" cm="1">
        <f t="array" ref="BQ41">IFERROR(INDEX(_xlfn.ANCHORARRAY(_xlfn.XLOOKUP($C41,'-ref_Distribution'!$B$146:$B$150,'-ref_Distribution'!$G$146:$G$150)),RIGHT(BQ$1,2)),"")</f>
        <v>28</v>
      </c>
      <c r="BR41" s="16" cm="1">
        <f t="array" ref="BR41">IFERROR(INDEX(_xlfn.ANCHORARRAY(_xlfn.XLOOKUP($C41,'-ref_Distribution'!$B$146:$B$150,'-ref_Distribution'!$G$146:$G$150)),RIGHT(BR$1,2)),"")</f>
        <v>38</v>
      </c>
      <c r="BS41" s="16" cm="1">
        <f t="array" ref="BS41">IFERROR(INDEX(_xlfn.ANCHORARRAY(_xlfn.XLOOKUP($C41,'-ref_Distribution'!$B$146:$B$150,'-ref_Distribution'!$G$146:$G$150)),RIGHT(BS$1,2)),"")</f>
        <v>51</v>
      </c>
      <c r="BT41" s="16" cm="1">
        <f t="array" ref="BT41">IFERROR(INDEX(_xlfn.ANCHORARRAY(_xlfn.XLOOKUP($C41,'-ref_Distribution'!$B$146:$B$150,'-ref_Distribution'!$G$146:$G$150)),RIGHT(BT$1,2)),"")</f>
        <v>65</v>
      </c>
      <c r="BU41" s="16" cm="1">
        <f t="array" ref="BU41">IFERROR(INDEX(_xlfn.ANCHORARRAY(_xlfn.XLOOKUP($C41,'-ref_Distribution'!$B$146:$B$150,'-ref_Distribution'!$G$146:$G$150)),RIGHT(BU$1,2)),"")</f>
        <v>80</v>
      </c>
      <c r="BV41" s="16" cm="1">
        <f t="array" ref="BV41">IFERROR(INDEX(_xlfn.ANCHORARRAY(_xlfn.XLOOKUP($C41,'-ref_Distribution'!$B$146:$B$150,'-ref_Distribution'!$G$146:$G$150)),RIGHT(BV$1,2)),"")</f>
        <v>96</v>
      </c>
      <c r="BW41" s="16" cm="1">
        <f t="array" ref="BW41">IFERROR(INDEX(_xlfn.ANCHORARRAY(_xlfn.XLOOKUP($C41,'-ref_Distribution'!$B$146:$B$150,'-ref_Distribution'!$G$146:$G$150)),RIGHT(BW$1,2)),"")</f>
        <v>111</v>
      </c>
      <c r="BX41" s="16" cm="1">
        <f t="array" ref="BX41">IFERROR(INDEX(_xlfn.ANCHORARRAY(_xlfn.XLOOKUP($C41,'-ref_Distribution'!$B$146:$B$150,'-ref_Distribution'!$G$146:$G$150)),RIGHT(BX$1,2)),"")</f>
        <v>125</v>
      </c>
      <c r="BY41" s="16" cm="1">
        <f t="array" ref="BY41">IFERROR(INDEX(_xlfn.ANCHORARRAY(_xlfn.XLOOKUP($C41,'-ref_Distribution'!$B$146:$B$150,'-ref_Distribution'!$G$146:$G$150)),RIGHT(BY$1,2)),"")</f>
        <v>135</v>
      </c>
      <c r="BZ41" s="16" cm="1">
        <f t="array" ref="BZ41">IFERROR(INDEX(_xlfn.ANCHORARRAY(_xlfn.XLOOKUP($C41,'-ref_Distribution'!$B$146:$B$150,'-ref_Distribution'!$G$146:$G$150)),RIGHT(BZ$1,2)),"")</f>
        <v>142</v>
      </c>
      <c r="CA41" s="16" cm="1">
        <f t="array" ref="CA41">IFERROR(INDEX(_xlfn.ANCHORARRAY(_xlfn.XLOOKUP($C41,'-ref_Distribution'!$B$146:$B$150,'-ref_Distribution'!$G$146:$G$150)),RIGHT(CA$1,2)),"")</f>
        <v>144</v>
      </c>
      <c r="CB41" s="16" cm="1">
        <f t="array" ref="CB41">IFERROR(INDEX(_xlfn.ANCHORARRAY(_xlfn.XLOOKUP($C41,'-ref_Distribution'!$B$146:$B$150,'-ref_Distribution'!$G$146:$G$150)),RIGHT(CB$1,2)),"")</f>
        <v>142</v>
      </c>
      <c r="CC41" s="16" cm="1">
        <f t="array" ref="CC41">IFERROR(INDEX(_xlfn.ANCHORARRAY(_xlfn.XLOOKUP($C41,'-ref_Distribution'!$B$146:$B$150,'-ref_Distribution'!$G$146:$G$150)),RIGHT(CC$1,2)),"")</f>
        <v>135</v>
      </c>
      <c r="CD41" s="16" cm="1">
        <f t="array" ref="CD41">IFERROR(INDEX(_xlfn.ANCHORARRAY(_xlfn.XLOOKUP($C41,'-ref_Distribution'!$B$146:$B$150,'-ref_Distribution'!$G$146:$G$150)),RIGHT(CD$1,2)),"")</f>
        <v>125</v>
      </c>
      <c r="CE41" s="16" cm="1">
        <f t="array" ref="CE41">IFERROR(INDEX(_xlfn.ANCHORARRAY(_xlfn.XLOOKUP($C41,'-ref_Distribution'!$B$146:$B$150,'-ref_Distribution'!$G$146:$G$150)),RIGHT(CE$1,2)),"")</f>
        <v>111</v>
      </c>
    </row>
    <row r="42" spans="1:83" x14ac:dyDescent="0.2">
      <c r="D42" s="16" t="str" cm="1">
        <f t="array" ref="D42">IFERROR(INDEX(_xlfn.ANCHORARRAY(_xlfn.XLOOKUP($C42,'-ref_Distribution'!$B$146:$B$150,'-ref_Distribution'!$G$146:$G$150)),RIGHT(D$1,2)),"")</f>
        <v/>
      </c>
      <c r="E42" s="16" t="str" cm="1">
        <f t="array" ref="E42">IFERROR(INDEX(_xlfn.ANCHORARRAY(_xlfn.XLOOKUP($C42,'-ref_Distribution'!$B$146:$B$150,'-ref_Distribution'!$G$146:$G$150)),RIGHT(E$1,2)),"")</f>
        <v/>
      </c>
      <c r="F42" s="16" t="str" cm="1">
        <f t="array" ref="F42">IFERROR(INDEX(_xlfn.ANCHORARRAY(_xlfn.XLOOKUP($C42,'-ref_Distribution'!$B$146:$B$150,'-ref_Distribution'!$G$146:$G$150)),RIGHT(F$1,2)),"")</f>
        <v/>
      </c>
      <c r="G42" s="16" t="str" cm="1">
        <f t="array" ref="G42">IFERROR(INDEX(_xlfn.ANCHORARRAY(_xlfn.XLOOKUP($C42,'-ref_Distribution'!$B$146:$B$150,'-ref_Distribution'!$G$146:$G$150)),RIGHT(G$1,2)),"")</f>
        <v/>
      </c>
      <c r="H42" s="16" t="str" cm="1">
        <f t="array" ref="H42">IFERROR(INDEX(_xlfn.ANCHORARRAY(_xlfn.XLOOKUP($C42,'-ref_Distribution'!$B$146:$B$150,'-ref_Distribution'!$G$146:$G$150)),RIGHT(H$1,2)),"")</f>
        <v/>
      </c>
      <c r="I42" s="16" t="str" cm="1">
        <f t="array" ref="I42">IFERROR(INDEX(_xlfn.ANCHORARRAY(_xlfn.XLOOKUP($C42,'-ref_Distribution'!$B$146:$B$150,'-ref_Distribution'!$G$146:$G$150)),RIGHT(I$1,2)),"")</f>
        <v/>
      </c>
      <c r="J42" s="16" t="str" cm="1">
        <f t="array" ref="J42">IFERROR(INDEX(_xlfn.ANCHORARRAY(_xlfn.XLOOKUP($C42,'-ref_Distribution'!$B$146:$B$150,'-ref_Distribution'!$G$146:$G$150)),RIGHT(J$1,2)),"")</f>
        <v/>
      </c>
      <c r="K42" s="16" t="str" cm="1">
        <f t="array" ref="K42">IFERROR(INDEX(_xlfn.ANCHORARRAY(_xlfn.XLOOKUP($C42,'-ref_Distribution'!$B$146:$B$150,'-ref_Distribution'!$G$146:$G$150)),RIGHT(K$1,2)),"")</f>
        <v/>
      </c>
      <c r="L42" s="16" t="str" cm="1">
        <f t="array" ref="L42">IFERROR(INDEX(_xlfn.ANCHORARRAY(_xlfn.XLOOKUP($C42,'-ref_Distribution'!$B$146:$B$150,'-ref_Distribution'!$G$146:$G$150)),RIGHT(L$1,2)),"")</f>
        <v/>
      </c>
      <c r="M42" s="16" t="str" cm="1">
        <f t="array" ref="M42">IFERROR(INDEX(_xlfn.ANCHORARRAY(_xlfn.XLOOKUP($C42,'-ref_Distribution'!$B$146:$B$150,'-ref_Distribution'!$G$146:$G$150)),RIGHT(M$1,2)),"")</f>
        <v/>
      </c>
      <c r="N42" s="16" t="str" cm="1">
        <f t="array" ref="N42">IFERROR(INDEX(_xlfn.ANCHORARRAY(_xlfn.XLOOKUP($C42,'-ref_Distribution'!$B$146:$B$150,'-ref_Distribution'!$G$146:$G$150)),RIGHT(N$1,2)),"")</f>
        <v/>
      </c>
      <c r="O42" s="16" t="str" cm="1">
        <f t="array" ref="O42">IFERROR(INDEX(_xlfn.ANCHORARRAY(_xlfn.XLOOKUP($C42,'-ref_Distribution'!$B$146:$B$150,'-ref_Distribution'!$G$146:$G$150)),RIGHT(O$1,2)),"")</f>
        <v/>
      </c>
      <c r="P42" s="16" t="str" cm="1">
        <f t="array" ref="P42">IFERROR(INDEX(_xlfn.ANCHORARRAY(_xlfn.XLOOKUP($C42,'-ref_Distribution'!$B$146:$B$150,'-ref_Distribution'!$G$146:$G$150)),RIGHT(P$1,2)),"")</f>
        <v/>
      </c>
      <c r="Q42" s="16" t="str" cm="1">
        <f t="array" ref="Q42">IFERROR(INDEX(_xlfn.ANCHORARRAY(_xlfn.XLOOKUP($C42,'-ref_Distribution'!$B$146:$B$150,'-ref_Distribution'!$G$146:$G$150)),RIGHT(Q$1,2)),"")</f>
        <v/>
      </c>
      <c r="R42" s="16" t="str" cm="1">
        <f t="array" ref="R42">IFERROR(INDEX(_xlfn.ANCHORARRAY(_xlfn.XLOOKUP($C42,'-ref_Distribution'!$B$146:$B$150,'-ref_Distribution'!$G$146:$G$150)),RIGHT(R$1,2)),"")</f>
        <v/>
      </c>
      <c r="S42" s="16" t="str" cm="1">
        <f t="array" ref="S42">IFERROR(INDEX(_xlfn.ANCHORARRAY(_xlfn.XLOOKUP($C42,'-ref_Distribution'!$B$146:$B$150,'-ref_Distribution'!$G$146:$G$150)),RIGHT(S$1,2)),"")</f>
        <v/>
      </c>
      <c r="T42" s="16" t="str" cm="1">
        <f t="array" ref="T42">IFERROR(INDEX(_xlfn.ANCHORARRAY(_xlfn.XLOOKUP($C42,'-ref_Distribution'!$B$146:$B$150,'-ref_Distribution'!$G$146:$G$150)),RIGHT(T$1,2)),"")</f>
        <v/>
      </c>
      <c r="U42" s="16" t="str" cm="1">
        <f t="array" ref="U42">IFERROR(INDEX(_xlfn.ANCHORARRAY(_xlfn.XLOOKUP($C42,'-ref_Distribution'!$B$146:$B$150,'-ref_Distribution'!$G$146:$G$150)),RIGHT(U$1,2)),"")</f>
        <v/>
      </c>
      <c r="V42" s="16" t="str" cm="1">
        <f t="array" ref="V42">IFERROR(INDEX(_xlfn.ANCHORARRAY(_xlfn.XLOOKUP($C42,'-ref_Distribution'!$B$146:$B$150,'-ref_Distribution'!$G$146:$G$150)),RIGHT(V$1,2)),"")</f>
        <v/>
      </c>
      <c r="W42" s="16" t="str" cm="1">
        <f t="array" ref="W42">IFERROR(INDEX(_xlfn.ANCHORARRAY(_xlfn.XLOOKUP($C42,'-ref_Distribution'!$B$146:$B$150,'-ref_Distribution'!$G$146:$G$150)),RIGHT(W$1,2)),"")</f>
        <v/>
      </c>
      <c r="X42" s="16" t="str" cm="1">
        <f t="array" ref="X42">IFERROR(INDEX(_xlfn.ANCHORARRAY(_xlfn.XLOOKUP($C42,'-ref_Distribution'!$B$146:$B$150,'-ref_Distribution'!$G$146:$G$150)),RIGHT(X$1,2)),"")</f>
        <v/>
      </c>
      <c r="Y42" s="16" t="str" cm="1">
        <f t="array" ref="Y42">IFERROR(INDEX(_xlfn.ANCHORARRAY(_xlfn.XLOOKUP($C42,'-ref_Distribution'!$B$146:$B$150,'-ref_Distribution'!$G$146:$G$150)),RIGHT(Y$1,2)),"")</f>
        <v/>
      </c>
      <c r="Z42" s="16" t="str" cm="1">
        <f t="array" ref="Z42">IFERROR(INDEX(_xlfn.ANCHORARRAY(_xlfn.XLOOKUP($C42,'-ref_Distribution'!$B$146:$B$150,'-ref_Distribution'!$G$146:$G$150)),RIGHT(Z$1,2)),"")</f>
        <v/>
      </c>
      <c r="AA42" s="16" t="str" cm="1">
        <f t="array" ref="AA42">IFERROR(INDEX(_xlfn.ANCHORARRAY(_xlfn.XLOOKUP($C42,'-ref_Distribution'!$B$146:$B$150,'-ref_Distribution'!$G$146:$G$150)),RIGHT(AA$1,2)),"")</f>
        <v/>
      </c>
      <c r="AB42" s="16" t="str" cm="1">
        <f t="array" ref="AB42">IFERROR(INDEX(_xlfn.ANCHORARRAY(_xlfn.XLOOKUP($C42,'-ref_Distribution'!$B$146:$B$150,'-ref_Distribution'!$G$146:$G$150)),RIGHT(AB$1,2)),"")</f>
        <v/>
      </c>
      <c r="AC42" s="16" t="str" cm="1">
        <f t="array" ref="AC42">IFERROR(INDEX(_xlfn.ANCHORARRAY(_xlfn.XLOOKUP($C42,'-ref_Distribution'!$B$146:$B$150,'-ref_Distribution'!$G$146:$G$150)),RIGHT(AC$1,2)),"")</f>
        <v/>
      </c>
      <c r="AD42" s="16" t="str" cm="1">
        <f t="array" ref="AD42">IFERROR(INDEX(_xlfn.ANCHORARRAY(_xlfn.XLOOKUP($C42,'-ref_Distribution'!$B$146:$B$150,'-ref_Distribution'!$G$146:$G$150)),RIGHT(AD$1,2)),"")</f>
        <v/>
      </c>
      <c r="AE42" s="16" t="str" cm="1">
        <f t="array" ref="AE42">IFERROR(INDEX(_xlfn.ANCHORARRAY(_xlfn.XLOOKUP($C42,'-ref_Distribution'!$B$146:$B$150,'-ref_Distribution'!$G$146:$G$150)),RIGHT(AE$1,2)),"")</f>
        <v/>
      </c>
      <c r="AF42" s="16" t="str" cm="1">
        <f t="array" ref="AF42">IFERROR(INDEX(_xlfn.ANCHORARRAY(_xlfn.XLOOKUP($C42,'-ref_Distribution'!$B$146:$B$150,'-ref_Distribution'!$G$146:$G$150)),RIGHT(AF$1,2)),"")</f>
        <v/>
      </c>
      <c r="AG42" s="16" t="str" cm="1">
        <f t="array" ref="AG42">IFERROR(INDEX(_xlfn.ANCHORARRAY(_xlfn.XLOOKUP($C42,'-ref_Distribution'!$B$146:$B$150,'-ref_Distribution'!$G$146:$G$150)),RIGHT(AG$1,2)),"")</f>
        <v/>
      </c>
      <c r="AH42" s="16" t="str" cm="1">
        <f t="array" ref="AH42">IFERROR(INDEX(_xlfn.ANCHORARRAY(_xlfn.XLOOKUP($C42,'-ref_Distribution'!$B$146:$B$150,'-ref_Distribution'!$G$146:$G$150)),RIGHT(AH$1,2)),"")</f>
        <v/>
      </c>
      <c r="AI42" s="16" t="str" cm="1">
        <f t="array" ref="AI42">IFERROR(INDEX(_xlfn.ANCHORARRAY(_xlfn.XLOOKUP($C42,'-ref_Distribution'!$B$146:$B$150,'-ref_Distribution'!$G$146:$G$150)),RIGHT(AI$1,2)),"")</f>
        <v/>
      </c>
      <c r="AJ42" s="16" t="str" cm="1">
        <f t="array" ref="AJ42">IFERROR(INDEX(_xlfn.ANCHORARRAY(_xlfn.XLOOKUP($C42,'-ref_Distribution'!$B$146:$B$150,'-ref_Distribution'!$G$146:$G$150)),RIGHT(AJ$1,2)),"")</f>
        <v/>
      </c>
      <c r="AK42" s="16" t="str" cm="1">
        <f t="array" ref="AK42">IFERROR(INDEX(_xlfn.ANCHORARRAY(_xlfn.XLOOKUP($C42,'-ref_Distribution'!$B$146:$B$150,'-ref_Distribution'!$G$146:$G$150)),RIGHT(AK$1,2)),"")</f>
        <v/>
      </c>
      <c r="AL42" s="16" t="str" cm="1">
        <f t="array" ref="AL42">IFERROR(INDEX(_xlfn.ANCHORARRAY(_xlfn.XLOOKUP($C42,'-ref_Distribution'!$B$146:$B$150,'-ref_Distribution'!$G$146:$G$150)),RIGHT(AL$1,2)),"")</f>
        <v/>
      </c>
      <c r="AM42" s="16" t="str" cm="1">
        <f t="array" ref="AM42">IFERROR(INDEX(_xlfn.ANCHORARRAY(_xlfn.XLOOKUP($C42,'-ref_Distribution'!$B$146:$B$150,'-ref_Distribution'!$G$146:$G$150)),RIGHT(AM$1,2)),"")</f>
        <v/>
      </c>
      <c r="AN42" s="16" t="str" cm="1">
        <f t="array" ref="AN42">IFERROR(INDEX(_xlfn.ANCHORARRAY(_xlfn.XLOOKUP($C42,'-ref_Distribution'!$B$146:$B$150,'-ref_Distribution'!$G$146:$G$150)),RIGHT(AN$1,2)),"")</f>
        <v/>
      </c>
      <c r="AO42" s="16" t="str" cm="1">
        <f t="array" ref="AO42">IFERROR(INDEX(_xlfn.ANCHORARRAY(_xlfn.XLOOKUP($C42,'-ref_Distribution'!$B$146:$B$150,'-ref_Distribution'!$G$146:$G$150)),RIGHT(AO$1,2)),"")</f>
        <v/>
      </c>
      <c r="AP42" s="16" t="str" cm="1">
        <f t="array" ref="AP42">IFERROR(INDEX(_xlfn.ANCHORARRAY(_xlfn.XLOOKUP($C42,'-ref_Distribution'!$B$146:$B$150,'-ref_Distribution'!$G$146:$G$150)),RIGHT(AP$1,2)),"")</f>
        <v/>
      </c>
      <c r="AQ42" s="16" t="str" cm="1">
        <f t="array" ref="AQ42">IFERROR(INDEX(_xlfn.ANCHORARRAY(_xlfn.XLOOKUP($C42,'-ref_Distribution'!$B$146:$B$150,'-ref_Distribution'!$G$146:$G$150)),RIGHT(AQ$1,2)),"")</f>
        <v/>
      </c>
      <c r="AR42" s="16" t="str" cm="1">
        <f t="array" ref="AR42">IFERROR(INDEX(_xlfn.ANCHORARRAY(_xlfn.XLOOKUP($C42,'-ref_Distribution'!$B$146:$B$150,'-ref_Distribution'!$G$146:$G$150)),RIGHT(AR$1,2)),"")</f>
        <v/>
      </c>
      <c r="AS42" s="16" t="str" cm="1">
        <f t="array" ref="AS42">IFERROR(INDEX(_xlfn.ANCHORARRAY(_xlfn.XLOOKUP($C42,'-ref_Distribution'!$B$146:$B$150,'-ref_Distribution'!$G$146:$G$150)),RIGHT(AS$1,2)),"")</f>
        <v/>
      </c>
      <c r="AT42" s="16" t="str" cm="1">
        <f t="array" ref="AT42">IFERROR(INDEX(_xlfn.ANCHORARRAY(_xlfn.XLOOKUP($C42,'-ref_Distribution'!$B$146:$B$150,'-ref_Distribution'!$G$146:$G$150)),RIGHT(AT$1,2)),"")</f>
        <v/>
      </c>
      <c r="AU42" s="16" t="str" cm="1">
        <f t="array" ref="AU42">IFERROR(INDEX(_xlfn.ANCHORARRAY(_xlfn.XLOOKUP($C42,'-ref_Distribution'!$B$146:$B$150,'-ref_Distribution'!$G$146:$G$150)),RIGHT(AU$1,2)),"")</f>
        <v/>
      </c>
      <c r="AV42" s="16" t="str" cm="1">
        <f t="array" ref="AV42">IFERROR(INDEX(_xlfn.ANCHORARRAY(_xlfn.XLOOKUP($C42,'-ref_Distribution'!$B$146:$B$150,'-ref_Distribution'!$G$146:$G$150)),RIGHT(AV$1,2)),"")</f>
        <v/>
      </c>
      <c r="AW42" s="16" t="str" cm="1">
        <f t="array" ref="AW42">IFERROR(INDEX(_xlfn.ANCHORARRAY(_xlfn.XLOOKUP($C42,'-ref_Distribution'!$B$146:$B$150,'-ref_Distribution'!$G$146:$G$150)),RIGHT(AW$1,2)),"")</f>
        <v/>
      </c>
      <c r="AX42" s="16" t="str" cm="1">
        <f t="array" ref="AX42">IFERROR(INDEX(_xlfn.ANCHORARRAY(_xlfn.XLOOKUP($C42,'-ref_Distribution'!$B$146:$B$150,'-ref_Distribution'!$G$146:$G$150)),RIGHT(AX$1,2)),"")</f>
        <v/>
      </c>
      <c r="AY42" s="16" t="str" cm="1">
        <f t="array" ref="AY42">IFERROR(INDEX(_xlfn.ANCHORARRAY(_xlfn.XLOOKUP($C42,'-ref_Distribution'!$B$146:$B$150,'-ref_Distribution'!$G$146:$G$150)),RIGHT(AY$1,2)),"")</f>
        <v/>
      </c>
      <c r="AZ42" s="16" t="str" cm="1">
        <f t="array" ref="AZ42">IFERROR(INDEX(_xlfn.ANCHORARRAY(_xlfn.XLOOKUP($C42,'-ref_Distribution'!$B$146:$B$150,'-ref_Distribution'!$G$146:$G$150)),RIGHT(AZ$1,2)),"")</f>
        <v/>
      </c>
      <c r="BA42" s="16" t="str" cm="1">
        <f t="array" ref="BA42">IFERROR(INDEX(_xlfn.ANCHORARRAY(_xlfn.XLOOKUP($C42,'-ref_Distribution'!$B$146:$B$150,'-ref_Distribution'!$G$146:$G$150)),RIGHT(BA$1,2)),"")</f>
        <v/>
      </c>
      <c r="BB42" s="16" t="str" cm="1">
        <f t="array" ref="BB42">IFERROR(INDEX(_xlfn.ANCHORARRAY(_xlfn.XLOOKUP($C42,'-ref_Distribution'!$B$146:$B$150,'-ref_Distribution'!$G$146:$G$150)),RIGHT(BB$1,2)),"")</f>
        <v/>
      </c>
      <c r="BC42" s="16" t="str" cm="1">
        <f t="array" ref="BC42">IFERROR(INDEX(_xlfn.ANCHORARRAY(_xlfn.XLOOKUP($C42,'-ref_Distribution'!$B$146:$B$150,'-ref_Distribution'!$G$146:$G$150)),RIGHT(BC$1,2)),"")</f>
        <v/>
      </c>
      <c r="BD42" s="16" t="str" cm="1">
        <f t="array" ref="BD42">IFERROR(INDEX(_xlfn.ANCHORARRAY(_xlfn.XLOOKUP($C42,'-ref_Distribution'!$B$146:$B$150,'-ref_Distribution'!$G$146:$G$150)),RIGHT(BD$1,2)),"")</f>
        <v/>
      </c>
      <c r="BE42" s="16" t="str" cm="1">
        <f t="array" ref="BE42">IFERROR(INDEX(_xlfn.ANCHORARRAY(_xlfn.XLOOKUP($C42,'-ref_Distribution'!$B$146:$B$150,'-ref_Distribution'!$G$146:$G$150)),RIGHT(BE$1,2)),"")</f>
        <v/>
      </c>
      <c r="BF42" s="16" t="str" cm="1">
        <f t="array" ref="BF42">IFERROR(INDEX(_xlfn.ANCHORARRAY(_xlfn.XLOOKUP($C42,'-ref_Distribution'!$B$146:$B$150,'-ref_Distribution'!$G$146:$G$150)),RIGHT(BF$1,2)),"")</f>
        <v/>
      </c>
      <c r="BG42" s="16" t="str" cm="1">
        <f t="array" ref="BG42">IFERROR(INDEX(_xlfn.ANCHORARRAY(_xlfn.XLOOKUP($C42,'-ref_Distribution'!$B$146:$B$150,'-ref_Distribution'!$G$146:$G$150)),RIGHT(BG$1,2)),"")</f>
        <v/>
      </c>
      <c r="BH42" s="16" t="str" cm="1">
        <f t="array" ref="BH42">IFERROR(INDEX(_xlfn.ANCHORARRAY(_xlfn.XLOOKUP($C42,'-ref_Distribution'!$B$146:$B$150,'-ref_Distribution'!$G$146:$G$150)),RIGHT(BH$1,2)),"")</f>
        <v/>
      </c>
      <c r="BI42" s="16" t="str" cm="1">
        <f t="array" ref="BI42">IFERROR(INDEX(_xlfn.ANCHORARRAY(_xlfn.XLOOKUP($C42,'-ref_Distribution'!$B$146:$B$150,'-ref_Distribution'!$G$146:$G$150)),RIGHT(BI$1,2)),"")</f>
        <v/>
      </c>
      <c r="BJ42" s="16" t="str" cm="1">
        <f t="array" ref="BJ42">IFERROR(INDEX(_xlfn.ANCHORARRAY(_xlfn.XLOOKUP($C42,'-ref_Distribution'!$B$146:$B$150,'-ref_Distribution'!$G$146:$G$150)),RIGHT(BJ$1,2)),"")</f>
        <v/>
      </c>
      <c r="BK42" s="16" t="str" cm="1">
        <f t="array" ref="BK42">IFERROR(INDEX(_xlfn.ANCHORARRAY(_xlfn.XLOOKUP($C42,'-ref_Distribution'!$B$146:$B$150,'-ref_Distribution'!$G$146:$G$150)),RIGHT(BK$1,2)),"")</f>
        <v/>
      </c>
      <c r="BL42" s="16" t="str" cm="1">
        <f t="array" ref="BL42">IFERROR(INDEX(_xlfn.ANCHORARRAY(_xlfn.XLOOKUP($C42,'-ref_Distribution'!$B$146:$B$150,'-ref_Distribution'!$G$146:$G$150)),RIGHT(BL$1,2)),"")</f>
        <v/>
      </c>
      <c r="BM42" s="16" t="str" cm="1">
        <f t="array" ref="BM42">IFERROR(INDEX(_xlfn.ANCHORARRAY(_xlfn.XLOOKUP($C42,'-ref_Distribution'!$B$146:$B$150,'-ref_Distribution'!$G$146:$G$150)),RIGHT(BM$1,2)),"")</f>
        <v/>
      </c>
      <c r="BN42" s="16" t="str" cm="1">
        <f t="array" ref="BN42">IFERROR(INDEX(_xlfn.ANCHORARRAY(_xlfn.XLOOKUP($C42,'-ref_Distribution'!$B$146:$B$150,'-ref_Distribution'!$G$146:$G$150)),RIGHT(BN$1,2)),"")</f>
        <v/>
      </c>
      <c r="BO42" s="16" t="str" cm="1">
        <f t="array" ref="BO42">IFERROR(INDEX(_xlfn.ANCHORARRAY(_xlfn.XLOOKUP($C42,'-ref_Distribution'!$B$146:$B$150,'-ref_Distribution'!$G$146:$G$150)),RIGHT(BO$1,2)),"")</f>
        <v/>
      </c>
      <c r="BP42" s="16" t="str" cm="1">
        <f t="array" ref="BP42">IFERROR(INDEX(_xlfn.ANCHORARRAY(_xlfn.XLOOKUP($C42,'-ref_Distribution'!$B$146:$B$150,'-ref_Distribution'!$G$146:$G$150)),RIGHT(BP$1,2)),"")</f>
        <v/>
      </c>
      <c r="BQ42" s="16" t="str" cm="1">
        <f t="array" ref="BQ42">IFERROR(INDEX(_xlfn.ANCHORARRAY(_xlfn.XLOOKUP($C42,'-ref_Distribution'!$B$146:$B$150,'-ref_Distribution'!$G$146:$G$150)),RIGHT(BQ$1,2)),"")</f>
        <v/>
      </c>
      <c r="BR42" s="16" t="str" cm="1">
        <f t="array" ref="BR42">IFERROR(INDEX(_xlfn.ANCHORARRAY(_xlfn.XLOOKUP($C42,'-ref_Distribution'!$B$146:$B$150,'-ref_Distribution'!$G$146:$G$150)),RIGHT(BR$1,2)),"")</f>
        <v/>
      </c>
      <c r="BS42" s="16" t="str" cm="1">
        <f t="array" ref="BS42">IFERROR(INDEX(_xlfn.ANCHORARRAY(_xlfn.XLOOKUP($C42,'-ref_Distribution'!$B$146:$B$150,'-ref_Distribution'!$G$146:$G$150)),RIGHT(BS$1,2)),"")</f>
        <v/>
      </c>
      <c r="BT42" s="16" t="str" cm="1">
        <f t="array" ref="BT42">IFERROR(INDEX(_xlfn.ANCHORARRAY(_xlfn.XLOOKUP($C42,'-ref_Distribution'!$B$146:$B$150,'-ref_Distribution'!$G$146:$G$150)),RIGHT(BT$1,2)),"")</f>
        <v/>
      </c>
      <c r="BU42" s="16" t="str" cm="1">
        <f t="array" ref="BU42">IFERROR(INDEX(_xlfn.ANCHORARRAY(_xlfn.XLOOKUP($C42,'-ref_Distribution'!$B$146:$B$150,'-ref_Distribution'!$G$146:$G$150)),RIGHT(BU$1,2)),"")</f>
        <v/>
      </c>
      <c r="BV42" s="16" t="str" cm="1">
        <f t="array" ref="BV42">IFERROR(INDEX(_xlfn.ANCHORARRAY(_xlfn.XLOOKUP($C42,'-ref_Distribution'!$B$146:$B$150,'-ref_Distribution'!$G$146:$G$150)),RIGHT(BV$1,2)),"")</f>
        <v/>
      </c>
      <c r="BW42" s="16" t="str" cm="1">
        <f t="array" ref="BW42">IFERROR(INDEX(_xlfn.ANCHORARRAY(_xlfn.XLOOKUP($C42,'-ref_Distribution'!$B$146:$B$150,'-ref_Distribution'!$G$146:$G$150)),RIGHT(BW$1,2)),"")</f>
        <v/>
      </c>
      <c r="BX42" s="16" t="str" cm="1">
        <f t="array" ref="BX42">IFERROR(INDEX(_xlfn.ANCHORARRAY(_xlfn.XLOOKUP($C42,'-ref_Distribution'!$B$146:$B$150,'-ref_Distribution'!$G$146:$G$150)),RIGHT(BX$1,2)),"")</f>
        <v/>
      </c>
      <c r="BY42" s="16" t="str" cm="1">
        <f t="array" ref="BY42">IFERROR(INDEX(_xlfn.ANCHORARRAY(_xlfn.XLOOKUP($C42,'-ref_Distribution'!$B$146:$B$150,'-ref_Distribution'!$G$146:$G$150)),RIGHT(BY$1,2)),"")</f>
        <v/>
      </c>
      <c r="BZ42" s="16" t="str" cm="1">
        <f t="array" ref="BZ42">IFERROR(INDEX(_xlfn.ANCHORARRAY(_xlfn.XLOOKUP($C42,'-ref_Distribution'!$B$146:$B$150,'-ref_Distribution'!$G$146:$G$150)),RIGHT(BZ$1,2)),"")</f>
        <v/>
      </c>
      <c r="CA42" s="16" t="str" cm="1">
        <f t="array" ref="CA42">IFERROR(INDEX(_xlfn.ANCHORARRAY(_xlfn.XLOOKUP($C42,'-ref_Distribution'!$B$146:$B$150,'-ref_Distribution'!$G$146:$G$150)),RIGHT(CA$1,2)),"")</f>
        <v/>
      </c>
      <c r="CB42" s="16" t="str" cm="1">
        <f t="array" ref="CB42">IFERROR(INDEX(_xlfn.ANCHORARRAY(_xlfn.XLOOKUP($C42,'-ref_Distribution'!$B$146:$B$150,'-ref_Distribution'!$G$146:$G$150)),RIGHT(CB$1,2)),"")</f>
        <v/>
      </c>
      <c r="CC42" s="16" t="str" cm="1">
        <f t="array" ref="CC42">IFERROR(INDEX(_xlfn.ANCHORARRAY(_xlfn.XLOOKUP($C42,'-ref_Distribution'!$B$146:$B$150,'-ref_Distribution'!$G$146:$G$150)),RIGHT(CC$1,2)),"")</f>
        <v/>
      </c>
      <c r="CD42" s="16" t="str" cm="1">
        <f t="array" ref="CD42">IFERROR(INDEX(_xlfn.ANCHORARRAY(_xlfn.XLOOKUP($C42,'-ref_Distribution'!$B$146:$B$150,'-ref_Distribution'!$G$146:$G$150)),RIGHT(CD$1,2)),"")</f>
        <v/>
      </c>
      <c r="CE42" s="16" t="str" cm="1">
        <f t="array" ref="CE42">IFERROR(INDEX(_xlfn.ANCHORARRAY(_xlfn.XLOOKUP($C42,'-ref_Distribution'!$B$146:$B$150,'-ref_Distribution'!$G$146:$G$150)),RIGHT(CE$1,2)),"")</f>
        <v/>
      </c>
    </row>
    <row r="43" spans="1:83" x14ac:dyDescent="0.2">
      <c r="A43" s="16">
        <v>302011</v>
      </c>
      <c r="B43" s="16" t="s">
        <v>372</v>
      </c>
      <c r="C43" s="16">
        <v>0</v>
      </c>
      <c r="D43" s="16" cm="1">
        <f t="array" ref="D43">IFERROR(INDEX(_xlfn.ANCHORARRAY(_xlfn.XLOOKUP($C43,'-ref_Distribution'!$B$146:$B$150,'-ref_Distribution'!$G$146:$G$150)),RIGHT(D$1,2)),"")</f>
        <v>709</v>
      </c>
      <c r="E43" s="16" cm="1">
        <f t="array" ref="E43">IFERROR(INDEX(_xlfn.ANCHORARRAY(_xlfn.XLOOKUP($C43,'-ref_Distribution'!$B$146:$B$150,'-ref_Distribution'!$G$146:$G$150)),RIGHT(E$1,2)),"")</f>
        <v>705</v>
      </c>
      <c r="F43" s="16" cm="1">
        <f t="array" ref="F43">IFERROR(INDEX(_xlfn.ANCHORARRAY(_xlfn.XLOOKUP($C43,'-ref_Distribution'!$B$146:$B$150,'-ref_Distribution'!$G$146:$G$150)),RIGHT(F$1,2)),"")</f>
        <v>692</v>
      </c>
      <c r="G43" s="16" cm="1">
        <f t="array" ref="G43">IFERROR(INDEX(_xlfn.ANCHORARRAY(_xlfn.XLOOKUP($C43,'-ref_Distribution'!$B$146:$B$150,'-ref_Distribution'!$G$146:$G$150)),RIGHT(G$1,2)),"")</f>
        <v>671</v>
      </c>
      <c r="H43" s="16" cm="1">
        <f t="array" ref="H43">IFERROR(INDEX(_xlfn.ANCHORARRAY(_xlfn.XLOOKUP($C43,'-ref_Distribution'!$B$146:$B$150,'-ref_Distribution'!$G$146:$G$150)),RIGHT(H$1,2)),"")</f>
        <v>643</v>
      </c>
      <c r="I43" s="16" cm="1">
        <f t="array" ref="I43">IFERROR(INDEX(_xlfn.ANCHORARRAY(_xlfn.XLOOKUP($C43,'-ref_Distribution'!$B$146:$B$150,'-ref_Distribution'!$G$146:$G$150)),RIGHT(I$1,2)),"")</f>
        <v>608</v>
      </c>
      <c r="J43" s="16" cm="1">
        <f t="array" ref="J43">IFERROR(INDEX(_xlfn.ANCHORARRAY(_xlfn.XLOOKUP($C43,'-ref_Distribution'!$B$146:$B$150,'-ref_Distribution'!$G$146:$G$150)),RIGHT(J$1,2)),"")</f>
        <v>568</v>
      </c>
      <c r="K43" s="16" cm="1">
        <f t="array" ref="K43">IFERROR(INDEX(_xlfn.ANCHORARRAY(_xlfn.XLOOKUP($C43,'-ref_Distribution'!$B$146:$B$150,'-ref_Distribution'!$G$146:$G$150)),RIGHT(K$1,2)),"")</f>
        <v>524</v>
      </c>
      <c r="L43" s="16" cm="1">
        <f t="array" ref="L43">IFERROR(INDEX(_xlfn.ANCHORARRAY(_xlfn.XLOOKUP($C43,'-ref_Distribution'!$B$146:$B$150,'-ref_Distribution'!$G$146:$G$150)),RIGHT(L$1,2)),"")</f>
        <v>478</v>
      </c>
      <c r="M43" s="16" cm="1">
        <f t="array" ref="M43">IFERROR(INDEX(_xlfn.ANCHORARRAY(_xlfn.XLOOKUP($C43,'-ref_Distribution'!$B$146:$B$150,'-ref_Distribution'!$G$146:$G$150)),RIGHT(M$1,2)),"")</f>
        <v>430</v>
      </c>
      <c r="N43" s="16" cm="1">
        <f t="array" ref="N43">IFERROR(INDEX(_xlfn.ANCHORARRAY(_xlfn.XLOOKUP($C43,'-ref_Distribution'!$B$146:$B$150,'-ref_Distribution'!$G$146:$G$150)),RIGHT(N$1,2)),"")</f>
        <v>383</v>
      </c>
      <c r="O43" s="16" cm="1">
        <f t="array" ref="O43">IFERROR(INDEX(_xlfn.ANCHORARRAY(_xlfn.XLOOKUP($C43,'-ref_Distribution'!$B$146:$B$150,'-ref_Distribution'!$G$146:$G$150)),RIGHT(O$1,2)),"")</f>
        <v>336</v>
      </c>
      <c r="P43" s="16" cm="1">
        <f t="array" ref="P43">IFERROR(INDEX(_xlfn.ANCHORARRAY(_xlfn.XLOOKUP($C43,'-ref_Distribution'!$B$146:$B$150,'-ref_Distribution'!$G$146:$G$150)),RIGHT(P$1,2)),"")</f>
        <v>292</v>
      </c>
      <c r="Q43" s="16" cm="1">
        <f t="array" ref="Q43">IFERROR(INDEX(_xlfn.ANCHORARRAY(_xlfn.XLOOKUP($C43,'-ref_Distribution'!$B$146:$B$150,'-ref_Distribution'!$G$146:$G$150)),RIGHT(Q$1,2)),"")</f>
        <v>250</v>
      </c>
      <c r="R43" s="16" cm="1">
        <f t="array" ref="R43">IFERROR(INDEX(_xlfn.ANCHORARRAY(_xlfn.XLOOKUP($C43,'-ref_Distribution'!$B$146:$B$150,'-ref_Distribution'!$G$146:$G$150)),RIGHT(R$1,2)),"")</f>
        <v>212</v>
      </c>
      <c r="S43" s="16" cm="1">
        <f t="array" ref="S43">IFERROR(INDEX(_xlfn.ANCHORARRAY(_xlfn.XLOOKUP($C43,'-ref_Distribution'!$B$146:$B$150,'-ref_Distribution'!$G$146:$G$150)),RIGHT(S$1,2)),"")</f>
        <v>177</v>
      </c>
      <c r="T43" s="16" cm="1">
        <f t="array" ref="T43">IFERROR(INDEX(_xlfn.ANCHORARRAY(_xlfn.XLOOKUP($C43,'-ref_Distribution'!$B$146:$B$150,'-ref_Distribution'!$G$146:$G$150)),RIGHT(T$1,2)),"")</f>
        <v>146</v>
      </c>
      <c r="U43" s="16" cm="1">
        <f t="array" ref="U43">IFERROR(INDEX(_xlfn.ANCHORARRAY(_xlfn.XLOOKUP($C43,'-ref_Distribution'!$B$146:$B$150,'-ref_Distribution'!$G$146:$G$150)),RIGHT(U$1,2)),"")</f>
        <v>119</v>
      </c>
      <c r="V43" s="16" cm="1">
        <f t="array" ref="V43">IFERROR(INDEX(_xlfn.ANCHORARRAY(_xlfn.XLOOKUP($C43,'-ref_Distribution'!$B$146:$B$150,'-ref_Distribution'!$G$146:$G$150)),RIGHT(V$1,2)),"")</f>
        <v>96</v>
      </c>
      <c r="W43" s="16" cm="1">
        <f t="array" ref="W43">IFERROR(INDEX(_xlfn.ANCHORARRAY(_xlfn.XLOOKUP($C43,'-ref_Distribution'!$B$146:$B$150,'-ref_Distribution'!$G$146:$G$150)),RIGHT(W$1,2)),"")</f>
        <v>76</v>
      </c>
      <c r="X43" s="16" cm="1">
        <f t="array" ref="X43">IFERROR(INDEX(_xlfn.ANCHORARRAY(_xlfn.XLOOKUP($C43,'-ref_Distribution'!$B$146:$B$150,'-ref_Distribution'!$G$146:$G$150)),RIGHT(X$1,2)),"")</f>
        <v>709</v>
      </c>
      <c r="Y43" s="16" cm="1">
        <f t="array" ref="Y43">IFERROR(INDEX(_xlfn.ANCHORARRAY(_xlfn.XLOOKUP($C43,'-ref_Distribution'!$B$146:$B$150,'-ref_Distribution'!$G$146:$G$150)),RIGHT(Y$1,2)),"")</f>
        <v>705</v>
      </c>
      <c r="Z43" s="16" cm="1">
        <f t="array" ref="Z43">IFERROR(INDEX(_xlfn.ANCHORARRAY(_xlfn.XLOOKUP($C43,'-ref_Distribution'!$B$146:$B$150,'-ref_Distribution'!$G$146:$G$150)),RIGHT(Z$1,2)),"")</f>
        <v>692</v>
      </c>
      <c r="AA43" s="16" cm="1">
        <f t="array" ref="AA43">IFERROR(INDEX(_xlfn.ANCHORARRAY(_xlfn.XLOOKUP($C43,'-ref_Distribution'!$B$146:$B$150,'-ref_Distribution'!$G$146:$G$150)),RIGHT(AA$1,2)),"")</f>
        <v>671</v>
      </c>
      <c r="AB43" s="16" cm="1">
        <f t="array" ref="AB43">IFERROR(INDEX(_xlfn.ANCHORARRAY(_xlfn.XLOOKUP($C43,'-ref_Distribution'!$B$146:$B$150,'-ref_Distribution'!$G$146:$G$150)),RIGHT(AB$1,2)),"")</f>
        <v>643</v>
      </c>
      <c r="AC43" s="16" cm="1">
        <f t="array" ref="AC43">IFERROR(INDEX(_xlfn.ANCHORARRAY(_xlfn.XLOOKUP($C43,'-ref_Distribution'!$B$146:$B$150,'-ref_Distribution'!$G$146:$G$150)),RIGHT(AC$1,2)),"")</f>
        <v>608</v>
      </c>
      <c r="AD43" s="16" cm="1">
        <f t="array" ref="AD43">IFERROR(INDEX(_xlfn.ANCHORARRAY(_xlfn.XLOOKUP($C43,'-ref_Distribution'!$B$146:$B$150,'-ref_Distribution'!$G$146:$G$150)),RIGHT(AD$1,2)),"")</f>
        <v>568</v>
      </c>
      <c r="AE43" s="16" cm="1">
        <f t="array" ref="AE43">IFERROR(INDEX(_xlfn.ANCHORARRAY(_xlfn.XLOOKUP($C43,'-ref_Distribution'!$B$146:$B$150,'-ref_Distribution'!$G$146:$G$150)),RIGHT(AE$1,2)),"")</f>
        <v>524</v>
      </c>
      <c r="AF43" s="16" cm="1">
        <f t="array" ref="AF43">IFERROR(INDEX(_xlfn.ANCHORARRAY(_xlfn.XLOOKUP($C43,'-ref_Distribution'!$B$146:$B$150,'-ref_Distribution'!$G$146:$G$150)),RIGHT(AF$1,2)),"")</f>
        <v>478</v>
      </c>
      <c r="AG43" s="16" cm="1">
        <f t="array" ref="AG43">IFERROR(INDEX(_xlfn.ANCHORARRAY(_xlfn.XLOOKUP($C43,'-ref_Distribution'!$B$146:$B$150,'-ref_Distribution'!$G$146:$G$150)),RIGHT(AG$1,2)),"")</f>
        <v>430</v>
      </c>
      <c r="AH43" s="16" cm="1">
        <f t="array" ref="AH43">IFERROR(INDEX(_xlfn.ANCHORARRAY(_xlfn.XLOOKUP($C43,'-ref_Distribution'!$B$146:$B$150,'-ref_Distribution'!$G$146:$G$150)),RIGHT(AH$1,2)),"")</f>
        <v>383</v>
      </c>
      <c r="AI43" s="16" cm="1">
        <f t="array" ref="AI43">IFERROR(INDEX(_xlfn.ANCHORARRAY(_xlfn.XLOOKUP($C43,'-ref_Distribution'!$B$146:$B$150,'-ref_Distribution'!$G$146:$G$150)),RIGHT(AI$1,2)),"")</f>
        <v>336</v>
      </c>
      <c r="AJ43" s="16" cm="1">
        <f t="array" ref="AJ43">IFERROR(INDEX(_xlfn.ANCHORARRAY(_xlfn.XLOOKUP($C43,'-ref_Distribution'!$B$146:$B$150,'-ref_Distribution'!$G$146:$G$150)),RIGHT(AJ$1,2)),"")</f>
        <v>292</v>
      </c>
      <c r="AK43" s="16" cm="1">
        <f t="array" ref="AK43">IFERROR(INDEX(_xlfn.ANCHORARRAY(_xlfn.XLOOKUP($C43,'-ref_Distribution'!$B$146:$B$150,'-ref_Distribution'!$G$146:$G$150)),RIGHT(AK$1,2)),"")</f>
        <v>250</v>
      </c>
      <c r="AL43" s="16" cm="1">
        <f t="array" ref="AL43">IFERROR(INDEX(_xlfn.ANCHORARRAY(_xlfn.XLOOKUP($C43,'-ref_Distribution'!$B$146:$B$150,'-ref_Distribution'!$G$146:$G$150)),RIGHT(AL$1,2)),"")</f>
        <v>212</v>
      </c>
      <c r="AM43" s="16" cm="1">
        <f t="array" ref="AM43">IFERROR(INDEX(_xlfn.ANCHORARRAY(_xlfn.XLOOKUP($C43,'-ref_Distribution'!$B$146:$B$150,'-ref_Distribution'!$G$146:$G$150)),RIGHT(AM$1,2)),"")</f>
        <v>177</v>
      </c>
      <c r="AN43" s="16" cm="1">
        <f t="array" ref="AN43">IFERROR(INDEX(_xlfn.ANCHORARRAY(_xlfn.XLOOKUP($C43,'-ref_Distribution'!$B$146:$B$150,'-ref_Distribution'!$G$146:$G$150)),RIGHT(AN$1,2)),"")</f>
        <v>146</v>
      </c>
      <c r="AO43" s="16" cm="1">
        <f t="array" ref="AO43">IFERROR(INDEX(_xlfn.ANCHORARRAY(_xlfn.XLOOKUP($C43,'-ref_Distribution'!$B$146:$B$150,'-ref_Distribution'!$G$146:$G$150)),RIGHT(AO$1,2)),"")</f>
        <v>119</v>
      </c>
      <c r="AP43" s="16" cm="1">
        <f t="array" ref="AP43">IFERROR(INDEX(_xlfn.ANCHORARRAY(_xlfn.XLOOKUP($C43,'-ref_Distribution'!$B$146:$B$150,'-ref_Distribution'!$G$146:$G$150)),RIGHT(AP$1,2)),"")</f>
        <v>96</v>
      </c>
      <c r="AQ43" s="16" cm="1">
        <f t="array" ref="AQ43">IFERROR(INDEX(_xlfn.ANCHORARRAY(_xlfn.XLOOKUP($C43,'-ref_Distribution'!$B$146:$B$150,'-ref_Distribution'!$G$146:$G$150)),RIGHT(AQ$1,2)),"")</f>
        <v>76</v>
      </c>
      <c r="AR43" s="16" cm="1">
        <f t="array" ref="AR43">IFERROR(INDEX(_xlfn.ANCHORARRAY(_xlfn.XLOOKUP($C43,'-ref_Distribution'!$B$146:$B$150,'-ref_Distribution'!$G$146:$G$150)),RIGHT(AR$1,2)),"")</f>
        <v>709</v>
      </c>
      <c r="AS43" s="16" cm="1">
        <f t="array" ref="AS43">IFERROR(INDEX(_xlfn.ANCHORARRAY(_xlfn.XLOOKUP($C43,'-ref_Distribution'!$B$146:$B$150,'-ref_Distribution'!$G$146:$G$150)),RIGHT(AS$1,2)),"")</f>
        <v>705</v>
      </c>
      <c r="AT43" s="16" cm="1">
        <f t="array" ref="AT43">IFERROR(INDEX(_xlfn.ANCHORARRAY(_xlfn.XLOOKUP($C43,'-ref_Distribution'!$B$146:$B$150,'-ref_Distribution'!$G$146:$G$150)),RIGHT(AT$1,2)),"")</f>
        <v>692</v>
      </c>
      <c r="AU43" s="16" cm="1">
        <f t="array" ref="AU43">IFERROR(INDEX(_xlfn.ANCHORARRAY(_xlfn.XLOOKUP($C43,'-ref_Distribution'!$B$146:$B$150,'-ref_Distribution'!$G$146:$G$150)),RIGHT(AU$1,2)),"")</f>
        <v>671</v>
      </c>
      <c r="AV43" s="16" cm="1">
        <f t="array" ref="AV43">IFERROR(INDEX(_xlfn.ANCHORARRAY(_xlfn.XLOOKUP($C43,'-ref_Distribution'!$B$146:$B$150,'-ref_Distribution'!$G$146:$G$150)),RIGHT(AV$1,2)),"")</f>
        <v>643</v>
      </c>
      <c r="AW43" s="16" cm="1">
        <f t="array" ref="AW43">IFERROR(INDEX(_xlfn.ANCHORARRAY(_xlfn.XLOOKUP($C43,'-ref_Distribution'!$B$146:$B$150,'-ref_Distribution'!$G$146:$G$150)),RIGHT(AW$1,2)),"")</f>
        <v>608</v>
      </c>
      <c r="AX43" s="16" cm="1">
        <f t="array" ref="AX43">IFERROR(INDEX(_xlfn.ANCHORARRAY(_xlfn.XLOOKUP($C43,'-ref_Distribution'!$B$146:$B$150,'-ref_Distribution'!$G$146:$G$150)),RIGHT(AX$1,2)),"")</f>
        <v>568</v>
      </c>
      <c r="AY43" s="16" cm="1">
        <f t="array" ref="AY43">IFERROR(INDEX(_xlfn.ANCHORARRAY(_xlfn.XLOOKUP($C43,'-ref_Distribution'!$B$146:$B$150,'-ref_Distribution'!$G$146:$G$150)),RIGHT(AY$1,2)),"")</f>
        <v>524</v>
      </c>
      <c r="AZ43" s="16" cm="1">
        <f t="array" ref="AZ43">IFERROR(INDEX(_xlfn.ANCHORARRAY(_xlfn.XLOOKUP($C43,'-ref_Distribution'!$B$146:$B$150,'-ref_Distribution'!$G$146:$G$150)),RIGHT(AZ$1,2)),"")</f>
        <v>478</v>
      </c>
      <c r="BA43" s="16" cm="1">
        <f t="array" ref="BA43">IFERROR(INDEX(_xlfn.ANCHORARRAY(_xlfn.XLOOKUP($C43,'-ref_Distribution'!$B$146:$B$150,'-ref_Distribution'!$G$146:$G$150)),RIGHT(BA$1,2)),"")</f>
        <v>430</v>
      </c>
      <c r="BB43" s="16" cm="1">
        <f t="array" ref="BB43">IFERROR(INDEX(_xlfn.ANCHORARRAY(_xlfn.XLOOKUP($C43,'-ref_Distribution'!$B$146:$B$150,'-ref_Distribution'!$G$146:$G$150)),RIGHT(BB$1,2)),"")</f>
        <v>383</v>
      </c>
      <c r="BC43" s="16" cm="1">
        <f t="array" ref="BC43">IFERROR(INDEX(_xlfn.ANCHORARRAY(_xlfn.XLOOKUP($C43,'-ref_Distribution'!$B$146:$B$150,'-ref_Distribution'!$G$146:$G$150)),RIGHT(BC$1,2)),"")</f>
        <v>336</v>
      </c>
      <c r="BD43" s="16" cm="1">
        <f t="array" ref="BD43">IFERROR(INDEX(_xlfn.ANCHORARRAY(_xlfn.XLOOKUP($C43,'-ref_Distribution'!$B$146:$B$150,'-ref_Distribution'!$G$146:$G$150)),RIGHT(BD$1,2)),"")</f>
        <v>292</v>
      </c>
      <c r="BE43" s="16" cm="1">
        <f t="array" ref="BE43">IFERROR(INDEX(_xlfn.ANCHORARRAY(_xlfn.XLOOKUP($C43,'-ref_Distribution'!$B$146:$B$150,'-ref_Distribution'!$G$146:$G$150)),RIGHT(BE$1,2)),"")</f>
        <v>250</v>
      </c>
      <c r="BF43" s="16" cm="1">
        <f t="array" ref="BF43">IFERROR(INDEX(_xlfn.ANCHORARRAY(_xlfn.XLOOKUP($C43,'-ref_Distribution'!$B$146:$B$150,'-ref_Distribution'!$G$146:$G$150)),RIGHT(BF$1,2)),"")</f>
        <v>212</v>
      </c>
      <c r="BG43" s="16" cm="1">
        <f t="array" ref="BG43">IFERROR(INDEX(_xlfn.ANCHORARRAY(_xlfn.XLOOKUP($C43,'-ref_Distribution'!$B$146:$B$150,'-ref_Distribution'!$G$146:$G$150)),RIGHT(BG$1,2)),"")</f>
        <v>177</v>
      </c>
      <c r="BH43" s="16" cm="1">
        <f t="array" ref="BH43">IFERROR(INDEX(_xlfn.ANCHORARRAY(_xlfn.XLOOKUP($C43,'-ref_Distribution'!$B$146:$B$150,'-ref_Distribution'!$G$146:$G$150)),RIGHT(BH$1,2)),"")</f>
        <v>146</v>
      </c>
      <c r="BI43" s="16" cm="1">
        <f t="array" ref="BI43">IFERROR(INDEX(_xlfn.ANCHORARRAY(_xlfn.XLOOKUP($C43,'-ref_Distribution'!$B$146:$B$150,'-ref_Distribution'!$G$146:$G$150)),RIGHT(BI$1,2)),"")</f>
        <v>119</v>
      </c>
      <c r="BJ43" s="16" cm="1">
        <f t="array" ref="BJ43">IFERROR(INDEX(_xlfn.ANCHORARRAY(_xlfn.XLOOKUP($C43,'-ref_Distribution'!$B$146:$B$150,'-ref_Distribution'!$G$146:$G$150)),RIGHT(BJ$1,2)),"")</f>
        <v>96</v>
      </c>
      <c r="BK43" s="16" cm="1">
        <f t="array" ref="BK43">IFERROR(INDEX(_xlfn.ANCHORARRAY(_xlfn.XLOOKUP($C43,'-ref_Distribution'!$B$146:$B$150,'-ref_Distribution'!$G$146:$G$150)),RIGHT(BK$1,2)),"")</f>
        <v>76</v>
      </c>
      <c r="BL43" s="16" cm="1">
        <f t="array" ref="BL43">IFERROR(INDEX(_xlfn.ANCHORARRAY(_xlfn.XLOOKUP($C43,'-ref_Distribution'!$B$146:$B$150,'-ref_Distribution'!$G$146:$G$150)),RIGHT(BL$1,2)),"")</f>
        <v>709</v>
      </c>
      <c r="BM43" s="16" cm="1">
        <f t="array" ref="BM43">IFERROR(INDEX(_xlfn.ANCHORARRAY(_xlfn.XLOOKUP($C43,'-ref_Distribution'!$B$146:$B$150,'-ref_Distribution'!$G$146:$G$150)),RIGHT(BM$1,2)),"")</f>
        <v>705</v>
      </c>
      <c r="BN43" s="16" cm="1">
        <f t="array" ref="BN43">IFERROR(INDEX(_xlfn.ANCHORARRAY(_xlfn.XLOOKUP($C43,'-ref_Distribution'!$B$146:$B$150,'-ref_Distribution'!$G$146:$G$150)),RIGHT(BN$1,2)),"")</f>
        <v>692</v>
      </c>
      <c r="BO43" s="16" cm="1">
        <f t="array" ref="BO43">IFERROR(INDEX(_xlfn.ANCHORARRAY(_xlfn.XLOOKUP($C43,'-ref_Distribution'!$B$146:$B$150,'-ref_Distribution'!$G$146:$G$150)),RIGHT(BO$1,2)),"")</f>
        <v>671</v>
      </c>
      <c r="BP43" s="16" cm="1">
        <f t="array" ref="BP43">IFERROR(INDEX(_xlfn.ANCHORARRAY(_xlfn.XLOOKUP($C43,'-ref_Distribution'!$B$146:$B$150,'-ref_Distribution'!$G$146:$G$150)),RIGHT(BP$1,2)),"")</f>
        <v>643</v>
      </c>
      <c r="BQ43" s="16" cm="1">
        <f t="array" ref="BQ43">IFERROR(INDEX(_xlfn.ANCHORARRAY(_xlfn.XLOOKUP($C43,'-ref_Distribution'!$B$146:$B$150,'-ref_Distribution'!$G$146:$G$150)),RIGHT(BQ$1,2)),"")</f>
        <v>608</v>
      </c>
      <c r="BR43" s="16" cm="1">
        <f t="array" ref="BR43">IFERROR(INDEX(_xlfn.ANCHORARRAY(_xlfn.XLOOKUP($C43,'-ref_Distribution'!$B$146:$B$150,'-ref_Distribution'!$G$146:$G$150)),RIGHT(BR$1,2)),"")</f>
        <v>568</v>
      </c>
      <c r="BS43" s="16" cm="1">
        <f t="array" ref="BS43">IFERROR(INDEX(_xlfn.ANCHORARRAY(_xlfn.XLOOKUP($C43,'-ref_Distribution'!$B$146:$B$150,'-ref_Distribution'!$G$146:$G$150)),RIGHT(BS$1,2)),"")</f>
        <v>524</v>
      </c>
      <c r="BT43" s="16" cm="1">
        <f t="array" ref="BT43">IFERROR(INDEX(_xlfn.ANCHORARRAY(_xlfn.XLOOKUP($C43,'-ref_Distribution'!$B$146:$B$150,'-ref_Distribution'!$G$146:$G$150)),RIGHT(BT$1,2)),"")</f>
        <v>478</v>
      </c>
      <c r="BU43" s="16" cm="1">
        <f t="array" ref="BU43">IFERROR(INDEX(_xlfn.ANCHORARRAY(_xlfn.XLOOKUP($C43,'-ref_Distribution'!$B$146:$B$150,'-ref_Distribution'!$G$146:$G$150)),RIGHT(BU$1,2)),"")</f>
        <v>430</v>
      </c>
      <c r="BV43" s="16" cm="1">
        <f t="array" ref="BV43">IFERROR(INDEX(_xlfn.ANCHORARRAY(_xlfn.XLOOKUP($C43,'-ref_Distribution'!$B$146:$B$150,'-ref_Distribution'!$G$146:$G$150)),RIGHT(BV$1,2)),"")</f>
        <v>383</v>
      </c>
      <c r="BW43" s="16" cm="1">
        <f t="array" ref="BW43">IFERROR(INDEX(_xlfn.ANCHORARRAY(_xlfn.XLOOKUP($C43,'-ref_Distribution'!$B$146:$B$150,'-ref_Distribution'!$G$146:$G$150)),RIGHT(BW$1,2)),"")</f>
        <v>336</v>
      </c>
      <c r="BX43" s="16" cm="1">
        <f t="array" ref="BX43">IFERROR(INDEX(_xlfn.ANCHORARRAY(_xlfn.XLOOKUP($C43,'-ref_Distribution'!$B$146:$B$150,'-ref_Distribution'!$G$146:$G$150)),RIGHT(BX$1,2)),"")</f>
        <v>292</v>
      </c>
      <c r="BY43" s="16" cm="1">
        <f t="array" ref="BY43">IFERROR(INDEX(_xlfn.ANCHORARRAY(_xlfn.XLOOKUP($C43,'-ref_Distribution'!$B$146:$B$150,'-ref_Distribution'!$G$146:$G$150)),RIGHT(BY$1,2)),"")</f>
        <v>250</v>
      </c>
      <c r="BZ43" s="16" cm="1">
        <f t="array" ref="BZ43">IFERROR(INDEX(_xlfn.ANCHORARRAY(_xlfn.XLOOKUP($C43,'-ref_Distribution'!$B$146:$B$150,'-ref_Distribution'!$G$146:$G$150)),RIGHT(BZ$1,2)),"")</f>
        <v>212</v>
      </c>
      <c r="CA43" s="16" cm="1">
        <f t="array" ref="CA43">IFERROR(INDEX(_xlfn.ANCHORARRAY(_xlfn.XLOOKUP($C43,'-ref_Distribution'!$B$146:$B$150,'-ref_Distribution'!$G$146:$G$150)),RIGHT(CA$1,2)),"")</f>
        <v>177</v>
      </c>
      <c r="CB43" s="16" cm="1">
        <f t="array" ref="CB43">IFERROR(INDEX(_xlfn.ANCHORARRAY(_xlfn.XLOOKUP($C43,'-ref_Distribution'!$B$146:$B$150,'-ref_Distribution'!$G$146:$G$150)),RIGHT(CB$1,2)),"")</f>
        <v>146</v>
      </c>
      <c r="CC43" s="16" cm="1">
        <f t="array" ref="CC43">IFERROR(INDEX(_xlfn.ANCHORARRAY(_xlfn.XLOOKUP($C43,'-ref_Distribution'!$B$146:$B$150,'-ref_Distribution'!$G$146:$G$150)),RIGHT(CC$1,2)),"")</f>
        <v>119</v>
      </c>
      <c r="CD43" s="16" cm="1">
        <f t="array" ref="CD43">IFERROR(INDEX(_xlfn.ANCHORARRAY(_xlfn.XLOOKUP($C43,'-ref_Distribution'!$B$146:$B$150,'-ref_Distribution'!$G$146:$G$150)),RIGHT(CD$1,2)),"")</f>
        <v>96</v>
      </c>
      <c r="CE43" s="16" cm="1">
        <f t="array" ref="CE43">IFERROR(INDEX(_xlfn.ANCHORARRAY(_xlfn.XLOOKUP($C43,'-ref_Distribution'!$B$146:$B$150,'-ref_Distribution'!$G$146:$G$150)),RIGHT(CE$1,2)),"")</f>
        <v>76</v>
      </c>
    </row>
    <row r="44" spans="1:83" x14ac:dyDescent="0.2">
      <c r="A44" s="16">
        <v>302012</v>
      </c>
      <c r="B44" s="16" t="s">
        <v>372</v>
      </c>
      <c r="C44" s="16">
        <v>1</v>
      </c>
      <c r="D44" s="16" cm="1">
        <f t="array" ref="D44">IFERROR(INDEX(_xlfn.ANCHORARRAY(_xlfn.XLOOKUP($C44,'-ref_Distribution'!$B$146:$B$150,'-ref_Distribution'!$G$146:$G$150)),RIGHT(D$1,2)),"")</f>
        <v>337</v>
      </c>
      <c r="E44" s="16" cm="1">
        <f t="array" ref="E44">IFERROR(INDEX(_xlfn.ANCHORARRAY(_xlfn.XLOOKUP($C44,'-ref_Distribution'!$B$146:$B$150,'-ref_Distribution'!$G$146:$G$150)),RIGHT(E$1,2)),"")</f>
        <v>364</v>
      </c>
      <c r="F44" s="16" cm="1">
        <f t="array" ref="F44">IFERROR(INDEX(_xlfn.ANCHORARRAY(_xlfn.XLOOKUP($C44,'-ref_Distribution'!$B$146:$B$150,'-ref_Distribution'!$G$146:$G$150)),RIGHT(F$1,2)),"")</f>
        <v>386</v>
      </c>
      <c r="G44" s="16" cm="1">
        <f t="array" ref="G44">IFERROR(INDEX(_xlfn.ANCHORARRAY(_xlfn.XLOOKUP($C44,'-ref_Distribution'!$B$146:$B$150,'-ref_Distribution'!$G$146:$G$150)),RIGHT(G$1,2)),"")</f>
        <v>403</v>
      </c>
      <c r="H44" s="16" cm="1">
        <f t="array" ref="H44">IFERROR(INDEX(_xlfn.ANCHORARRAY(_xlfn.XLOOKUP($C44,'-ref_Distribution'!$B$146:$B$150,'-ref_Distribution'!$G$146:$G$150)),RIGHT(H$1,2)),"")</f>
        <v>414</v>
      </c>
      <c r="I44" s="16" cm="1">
        <f t="array" ref="I44">IFERROR(INDEX(_xlfn.ANCHORARRAY(_xlfn.XLOOKUP($C44,'-ref_Distribution'!$B$146:$B$150,'-ref_Distribution'!$G$146:$G$150)),RIGHT(I$1,2)),"")</f>
        <v>417</v>
      </c>
      <c r="J44" s="16" cm="1">
        <f t="array" ref="J44">IFERROR(INDEX(_xlfn.ANCHORARRAY(_xlfn.XLOOKUP($C44,'-ref_Distribution'!$B$146:$B$150,'-ref_Distribution'!$G$146:$G$150)),RIGHT(J$1,2)),"")</f>
        <v>414</v>
      </c>
      <c r="K44" s="16" cm="1">
        <f t="array" ref="K44">IFERROR(INDEX(_xlfn.ANCHORARRAY(_xlfn.XLOOKUP($C44,'-ref_Distribution'!$B$146:$B$150,'-ref_Distribution'!$G$146:$G$150)),RIGHT(K$1,2)),"")</f>
        <v>403</v>
      </c>
      <c r="L44" s="16" cm="1">
        <f t="array" ref="L44">IFERROR(INDEX(_xlfn.ANCHORARRAY(_xlfn.XLOOKUP($C44,'-ref_Distribution'!$B$146:$B$150,'-ref_Distribution'!$G$146:$G$150)),RIGHT(L$1,2)),"")</f>
        <v>386</v>
      </c>
      <c r="M44" s="16" cm="1">
        <f t="array" ref="M44">IFERROR(INDEX(_xlfn.ANCHORARRAY(_xlfn.XLOOKUP($C44,'-ref_Distribution'!$B$146:$B$150,'-ref_Distribution'!$G$146:$G$150)),RIGHT(M$1,2)),"")</f>
        <v>364</v>
      </c>
      <c r="N44" s="16" cm="1">
        <f t="array" ref="N44">IFERROR(INDEX(_xlfn.ANCHORARRAY(_xlfn.XLOOKUP($C44,'-ref_Distribution'!$B$146:$B$150,'-ref_Distribution'!$G$146:$G$150)),RIGHT(N$1,2)),"")</f>
        <v>337</v>
      </c>
      <c r="O44" s="16" cm="1">
        <f t="array" ref="O44">IFERROR(INDEX(_xlfn.ANCHORARRAY(_xlfn.XLOOKUP($C44,'-ref_Distribution'!$B$146:$B$150,'-ref_Distribution'!$G$146:$G$150)),RIGHT(O$1,2)),"")</f>
        <v>307</v>
      </c>
      <c r="P44" s="16" cm="1">
        <f t="array" ref="P44">IFERROR(INDEX(_xlfn.ANCHORARRAY(_xlfn.XLOOKUP($C44,'-ref_Distribution'!$B$146:$B$150,'-ref_Distribution'!$G$146:$G$150)),RIGHT(P$1,2)),"")</f>
        <v>274</v>
      </c>
      <c r="Q44" s="16" cm="1">
        <f t="array" ref="Q44">IFERROR(INDEX(_xlfn.ANCHORARRAY(_xlfn.XLOOKUP($C44,'-ref_Distribution'!$B$146:$B$150,'-ref_Distribution'!$G$146:$G$150)),RIGHT(Q$1,2)),"")</f>
        <v>241</v>
      </c>
      <c r="R44" s="16" cm="1">
        <f t="array" ref="R44">IFERROR(INDEX(_xlfn.ANCHORARRAY(_xlfn.XLOOKUP($C44,'-ref_Distribution'!$B$146:$B$150,'-ref_Distribution'!$G$146:$G$150)),RIGHT(R$1,2)),"")</f>
        <v>209</v>
      </c>
      <c r="S44" s="16" cm="1">
        <f t="array" ref="S44">IFERROR(INDEX(_xlfn.ANCHORARRAY(_xlfn.XLOOKUP($C44,'-ref_Distribution'!$B$146:$B$150,'-ref_Distribution'!$G$146:$G$150)),RIGHT(S$1,2)),"")</f>
        <v>178</v>
      </c>
      <c r="T44" s="16" cm="1">
        <f t="array" ref="T44">IFERROR(INDEX(_xlfn.ANCHORARRAY(_xlfn.XLOOKUP($C44,'-ref_Distribution'!$B$146:$B$150,'-ref_Distribution'!$G$146:$G$150)),RIGHT(T$1,2)),"")</f>
        <v>148</v>
      </c>
      <c r="U44" s="16" cm="1">
        <f t="array" ref="U44">IFERROR(INDEX(_xlfn.ANCHORARRAY(_xlfn.XLOOKUP($C44,'-ref_Distribution'!$B$146:$B$150,'-ref_Distribution'!$G$146:$G$150)),RIGHT(U$1,2)),"")</f>
        <v>122</v>
      </c>
      <c r="V44" s="16" cm="1">
        <f t="array" ref="V44">IFERROR(INDEX(_xlfn.ANCHORARRAY(_xlfn.XLOOKUP($C44,'-ref_Distribution'!$B$146:$B$150,'-ref_Distribution'!$G$146:$G$150)),RIGHT(V$1,2)),"")</f>
        <v>98</v>
      </c>
      <c r="W44" s="16" cm="1">
        <f t="array" ref="W44">IFERROR(INDEX(_xlfn.ANCHORARRAY(_xlfn.XLOOKUP($C44,'-ref_Distribution'!$B$146:$B$150,'-ref_Distribution'!$G$146:$G$150)),RIGHT(W$1,2)),"")</f>
        <v>78</v>
      </c>
      <c r="X44" s="16" cm="1">
        <f t="array" ref="X44">IFERROR(INDEX(_xlfn.ANCHORARRAY(_xlfn.XLOOKUP($C44,'-ref_Distribution'!$B$146:$B$150,'-ref_Distribution'!$G$146:$G$150)),RIGHT(X$1,2)),"")</f>
        <v>337</v>
      </c>
      <c r="Y44" s="16" cm="1">
        <f t="array" ref="Y44">IFERROR(INDEX(_xlfn.ANCHORARRAY(_xlfn.XLOOKUP($C44,'-ref_Distribution'!$B$146:$B$150,'-ref_Distribution'!$G$146:$G$150)),RIGHT(Y$1,2)),"")</f>
        <v>364</v>
      </c>
      <c r="Z44" s="16" cm="1">
        <f t="array" ref="Z44">IFERROR(INDEX(_xlfn.ANCHORARRAY(_xlfn.XLOOKUP($C44,'-ref_Distribution'!$B$146:$B$150,'-ref_Distribution'!$G$146:$G$150)),RIGHT(Z$1,2)),"")</f>
        <v>386</v>
      </c>
      <c r="AA44" s="16" cm="1">
        <f t="array" ref="AA44">IFERROR(INDEX(_xlfn.ANCHORARRAY(_xlfn.XLOOKUP($C44,'-ref_Distribution'!$B$146:$B$150,'-ref_Distribution'!$G$146:$G$150)),RIGHT(AA$1,2)),"")</f>
        <v>403</v>
      </c>
      <c r="AB44" s="16" cm="1">
        <f t="array" ref="AB44">IFERROR(INDEX(_xlfn.ANCHORARRAY(_xlfn.XLOOKUP($C44,'-ref_Distribution'!$B$146:$B$150,'-ref_Distribution'!$G$146:$G$150)),RIGHT(AB$1,2)),"")</f>
        <v>414</v>
      </c>
      <c r="AC44" s="16" cm="1">
        <f t="array" ref="AC44">IFERROR(INDEX(_xlfn.ANCHORARRAY(_xlfn.XLOOKUP($C44,'-ref_Distribution'!$B$146:$B$150,'-ref_Distribution'!$G$146:$G$150)),RIGHT(AC$1,2)),"")</f>
        <v>417</v>
      </c>
      <c r="AD44" s="16" cm="1">
        <f t="array" ref="AD44">IFERROR(INDEX(_xlfn.ANCHORARRAY(_xlfn.XLOOKUP($C44,'-ref_Distribution'!$B$146:$B$150,'-ref_Distribution'!$G$146:$G$150)),RIGHT(AD$1,2)),"")</f>
        <v>414</v>
      </c>
      <c r="AE44" s="16" cm="1">
        <f t="array" ref="AE44">IFERROR(INDEX(_xlfn.ANCHORARRAY(_xlfn.XLOOKUP($C44,'-ref_Distribution'!$B$146:$B$150,'-ref_Distribution'!$G$146:$G$150)),RIGHT(AE$1,2)),"")</f>
        <v>403</v>
      </c>
      <c r="AF44" s="16" cm="1">
        <f t="array" ref="AF44">IFERROR(INDEX(_xlfn.ANCHORARRAY(_xlfn.XLOOKUP($C44,'-ref_Distribution'!$B$146:$B$150,'-ref_Distribution'!$G$146:$G$150)),RIGHT(AF$1,2)),"")</f>
        <v>386</v>
      </c>
      <c r="AG44" s="16" cm="1">
        <f t="array" ref="AG44">IFERROR(INDEX(_xlfn.ANCHORARRAY(_xlfn.XLOOKUP($C44,'-ref_Distribution'!$B$146:$B$150,'-ref_Distribution'!$G$146:$G$150)),RIGHT(AG$1,2)),"")</f>
        <v>364</v>
      </c>
      <c r="AH44" s="16" cm="1">
        <f t="array" ref="AH44">IFERROR(INDEX(_xlfn.ANCHORARRAY(_xlfn.XLOOKUP($C44,'-ref_Distribution'!$B$146:$B$150,'-ref_Distribution'!$G$146:$G$150)),RIGHT(AH$1,2)),"")</f>
        <v>337</v>
      </c>
      <c r="AI44" s="16" cm="1">
        <f t="array" ref="AI44">IFERROR(INDEX(_xlfn.ANCHORARRAY(_xlfn.XLOOKUP($C44,'-ref_Distribution'!$B$146:$B$150,'-ref_Distribution'!$G$146:$G$150)),RIGHT(AI$1,2)),"")</f>
        <v>307</v>
      </c>
      <c r="AJ44" s="16" cm="1">
        <f t="array" ref="AJ44">IFERROR(INDEX(_xlfn.ANCHORARRAY(_xlfn.XLOOKUP($C44,'-ref_Distribution'!$B$146:$B$150,'-ref_Distribution'!$G$146:$G$150)),RIGHT(AJ$1,2)),"")</f>
        <v>274</v>
      </c>
      <c r="AK44" s="16" cm="1">
        <f t="array" ref="AK44">IFERROR(INDEX(_xlfn.ANCHORARRAY(_xlfn.XLOOKUP($C44,'-ref_Distribution'!$B$146:$B$150,'-ref_Distribution'!$G$146:$G$150)),RIGHT(AK$1,2)),"")</f>
        <v>241</v>
      </c>
      <c r="AL44" s="16" cm="1">
        <f t="array" ref="AL44">IFERROR(INDEX(_xlfn.ANCHORARRAY(_xlfn.XLOOKUP($C44,'-ref_Distribution'!$B$146:$B$150,'-ref_Distribution'!$G$146:$G$150)),RIGHT(AL$1,2)),"")</f>
        <v>209</v>
      </c>
      <c r="AM44" s="16" cm="1">
        <f t="array" ref="AM44">IFERROR(INDEX(_xlfn.ANCHORARRAY(_xlfn.XLOOKUP($C44,'-ref_Distribution'!$B$146:$B$150,'-ref_Distribution'!$G$146:$G$150)),RIGHT(AM$1,2)),"")</f>
        <v>178</v>
      </c>
      <c r="AN44" s="16" cm="1">
        <f t="array" ref="AN44">IFERROR(INDEX(_xlfn.ANCHORARRAY(_xlfn.XLOOKUP($C44,'-ref_Distribution'!$B$146:$B$150,'-ref_Distribution'!$G$146:$G$150)),RIGHT(AN$1,2)),"")</f>
        <v>148</v>
      </c>
      <c r="AO44" s="16" cm="1">
        <f t="array" ref="AO44">IFERROR(INDEX(_xlfn.ANCHORARRAY(_xlfn.XLOOKUP($C44,'-ref_Distribution'!$B$146:$B$150,'-ref_Distribution'!$G$146:$G$150)),RIGHT(AO$1,2)),"")</f>
        <v>122</v>
      </c>
      <c r="AP44" s="16" cm="1">
        <f t="array" ref="AP44">IFERROR(INDEX(_xlfn.ANCHORARRAY(_xlfn.XLOOKUP($C44,'-ref_Distribution'!$B$146:$B$150,'-ref_Distribution'!$G$146:$G$150)),RIGHT(AP$1,2)),"")</f>
        <v>98</v>
      </c>
      <c r="AQ44" s="16" cm="1">
        <f t="array" ref="AQ44">IFERROR(INDEX(_xlfn.ANCHORARRAY(_xlfn.XLOOKUP($C44,'-ref_Distribution'!$B$146:$B$150,'-ref_Distribution'!$G$146:$G$150)),RIGHT(AQ$1,2)),"")</f>
        <v>78</v>
      </c>
      <c r="AR44" s="16" cm="1">
        <f t="array" ref="AR44">IFERROR(INDEX(_xlfn.ANCHORARRAY(_xlfn.XLOOKUP($C44,'-ref_Distribution'!$B$146:$B$150,'-ref_Distribution'!$G$146:$G$150)),RIGHT(AR$1,2)),"")</f>
        <v>337</v>
      </c>
      <c r="AS44" s="16" cm="1">
        <f t="array" ref="AS44">IFERROR(INDEX(_xlfn.ANCHORARRAY(_xlfn.XLOOKUP($C44,'-ref_Distribution'!$B$146:$B$150,'-ref_Distribution'!$G$146:$G$150)),RIGHT(AS$1,2)),"")</f>
        <v>364</v>
      </c>
      <c r="AT44" s="16" cm="1">
        <f t="array" ref="AT44">IFERROR(INDEX(_xlfn.ANCHORARRAY(_xlfn.XLOOKUP($C44,'-ref_Distribution'!$B$146:$B$150,'-ref_Distribution'!$G$146:$G$150)),RIGHT(AT$1,2)),"")</f>
        <v>386</v>
      </c>
      <c r="AU44" s="16" cm="1">
        <f t="array" ref="AU44">IFERROR(INDEX(_xlfn.ANCHORARRAY(_xlfn.XLOOKUP($C44,'-ref_Distribution'!$B$146:$B$150,'-ref_Distribution'!$G$146:$G$150)),RIGHT(AU$1,2)),"")</f>
        <v>403</v>
      </c>
      <c r="AV44" s="16" cm="1">
        <f t="array" ref="AV44">IFERROR(INDEX(_xlfn.ANCHORARRAY(_xlfn.XLOOKUP($C44,'-ref_Distribution'!$B$146:$B$150,'-ref_Distribution'!$G$146:$G$150)),RIGHT(AV$1,2)),"")</f>
        <v>414</v>
      </c>
      <c r="AW44" s="16" cm="1">
        <f t="array" ref="AW44">IFERROR(INDEX(_xlfn.ANCHORARRAY(_xlfn.XLOOKUP($C44,'-ref_Distribution'!$B$146:$B$150,'-ref_Distribution'!$G$146:$G$150)),RIGHT(AW$1,2)),"")</f>
        <v>417</v>
      </c>
      <c r="AX44" s="16" cm="1">
        <f t="array" ref="AX44">IFERROR(INDEX(_xlfn.ANCHORARRAY(_xlfn.XLOOKUP($C44,'-ref_Distribution'!$B$146:$B$150,'-ref_Distribution'!$G$146:$G$150)),RIGHT(AX$1,2)),"")</f>
        <v>414</v>
      </c>
      <c r="AY44" s="16" cm="1">
        <f t="array" ref="AY44">IFERROR(INDEX(_xlfn.ANCHORARRAY(_xlfn.XLOOKUP($C44,'-ref_Distribution'!$B$146:$B$150,'-ref_Distribution'!$G$146:$G$150)),RIGHT(AY$1,2)),"")</f>
        <v>403</v>
      </c>
      <c r="AZ44" s="16" cm="1">
        <f t="array" ref="AZ44">IFERROR(INDEX(_xlfn.ANCHORARRAY(_xlfn.XLOOKUP($C44,'-ref_Distribution'!$B$146:$B$150,'-ref_Distribution'!$G$146:$G$150)),RIGHT(AZ$1,2)),"")</f>
        <v>386</v>
      </c>
      <c r="BA44" s="16" cm="1">
        <f t="array" ref="BA44">IFERROR(INDEX(_xlfn.ANCHORARRAY(_xlfn.XLOOKUP($C44,'-ref_Distribution'!$B$146:$B$150,'-ref_Distribution'!$G$146:$G$150)),RIGHT(BA$1,2)),"")</f>
        <v>364</v>
      </c>
      <c r="BB44" s="16" cm="1">
        <f t="array" ref="BB44">IFERROR(INDEX(_xlfn.ANCHORARRAY(_xlfn.XLOOKUP($C44,'-ref_Distribution'!$B$146:$B$150,'-ref_Distribution'!$G$146:$G$150)),RIGHT(BB$1,2)),"")</f>
        <v>337</v>
      </c>
      <c r="BC44" s="16" cm="1">
        <f t="array" ref="BC44">IFERROR(INDEX(_xlfn.ANCHORARRAY(_xlfn.XLOOKUP($C44,'-ref_Distribution'!$B$146:$B$150,'-ref_Distribution'!$G$146:$G$150)),RIGHT(BC$1,2)),"")</f>
        <v>307</v>
      </c>
      <c r="BD44" s="16" cm="1">
        <f t="array" ref="BD44">IFERROR(INDEX(_xlfn.ANCHORARRAY(_xlfn.XLOOKUP($C44,'-ref_Distribution'!$B$146:$B$150,'-ref_Distribution'!$G$146:$G$150)),RIGHT(BD$1,2)),"")</f>
        <v>274</v>
      </c>
      <c r="BE44" s="16" cm="1">
        <f t="array" ref="BE44">IFERROR(INDEX(_xlfn.ANCHORARRAY(_xlfn.XLOOKUP($C44,'-ref_Distribution'!$B$146:$B$150,'-ref_Distribution'!$G$146:$G$150)),RIGHT(BE$1,2)),"")</f>
        <v>241</v>
      </c>
      <c r="BF44" s="16" cm="1">
        <f t="array" ref="BF44">IFERROR(INDEX(_xlfn.ANCHORARRAY(_xlfn.XLOOKUP($C44,'-ref_Distribution'!$B$146:$B$150,'-ref_Distribution'!$G$146:$G$150)),RIGHT(BF$1,2)),"")</f>
        <v>209</v>
      </c>
      <c r="BG44" s="16" cm="1">
        <f t="array" ref="BG44">IFERROR(INDEX(_xlfn.ANCHORARRAY(_xlfn.XLOOKUP($C44,'-ref_Distribution'!$B$146:$B$150,'-ref_Distribution'!$G$146:$G$150)),RIGHT(BG$1,2)),"")</f>
        <v>178</v>
      </c>
      <c r="BH44" s="16" cm="1">
        <f t="array" ref="BH44">IFERROR(INDEX(_xlfn.ANCHORARRAY(_xlfn.XLOOKUP($C44,'-ref_Distribution'!$B$146:$B$150,'-ref_Distribution'!$G$146:$G$150)),RIGHT(BH$1,2)),"")</f>
        <v>148</v>
      </c>
      <c r="BI44" s="16" cm="1">
        <f t="array" ref="BI44">IFERROR(INDEX(_xlfn.ANCHORARRAY(_xlfn.XLOOKUP($C44,'-ref_Distribution'!$B$146:$B$150,'-ref_Distribution'!$G$146:$G$150)),RIGHT(BI$1,2)),"")</f>
        <v>122</v>
      </c>
      <c r="BJ44" s="16" cm="1">
        <f t="array" ref="BJ44">IFERROR(INDEX(_xlfn.ANCHORARRAY(_xlfn.XLOOKUP($C44,'-ref_Distribution'!$B$146:$B$150,'-ref_Distribution'!$G$146:$G$150)),RIGHT(BJ$1,2)),"")</f>
        <v>98</v>
      </c>
      <c r="BK44" s="16" cm="1">
        <f t="array" ref="BK44">IFERROR(INDEX(_xlfn.ANCHORARRAY(_xlfn.XLOOKUP($C44,'-ref_Distribution'!$B$146:$B$150,'-ref_Distribution'!$G$146:$G$150)),RIGHT(BK$1,2)),"")</f>
        <v>78</v>
      </c>
      <c r="BL44" s="16" cm="1">
        <f t="array" ref="BL44">IFERROR(INDEX(_xlfn.ANCHORARRAY(_xlfn.XLOOKUP($C44,'-ref_Distribution'!$B$146:$B$150,'-ref_Distribution'!$G$146:$G$150)),RIGHT(BL$1,2)),"")</f>
        <v>337</v>
      </c>
      <c r="BM44" s="16" cm="1">
        <f t="array" ref="BM44">IFERROR(INDEX(_xlfn.ANCHORARRAY(_xlfn.XLOOKUP($C44,'-ref_Distribution'!$B$146:$B$150,'-ref_Distribution'!$G$146:$G$150)),RIGHT(BM$1,2)),"")</f>
        <v>364</v>
      </c>
      <c r="BN44" s="16" cm="1">
        <f t="array" ref="BN44">IFERROR(INDEX(_xlfn.ANCHORARRAY(_xlfn.XLOOKUP($C44,'-ref_Distribution'!$B$146:$B$150,'-ref_Distribution'!$G$146:$G$150)),RIGHT(BN$1,2)),"")</f>
        <v>386</v>
      </c>
      <c r="BO44" s="16" cm="1">
        <f t="array" ref="BO44">IFERROR(INDEX(_xlfn.ANCHORARRAY(_xlfn.XLOOKUP($C44,'-ref_Distribution'!$B$146:$B$150,'-ref_Distribution'!$G$146:$G$150)),RIGHT(BO$1,2)),"")</f>
        <v>403</v>
      </c>
      <c r="BP44" s="16" cm="1">
        <f t="array" ref="BP44">IFERROR(INDEX(_xlfn.ANCHORARRAY(_xlfn.XLOOKUP($C44,'-ref_Distribution'!$B$146:$B$150,'-ref_Distribution'!$G$146:$G$150)),RIGHT(BP$1,2)),"")</f>
        <v>414</v>
      </c>
      <c r="BQ44" s="16" cm="1">
        <f t="array" ref="BQ44">IFERROR(INDEX(_xlfn.ANCHORARRAY(_xlfn.XLOOKUP($C44,'-ref_Distribution'!$B$146:$B$150,'-ref_Distribution'!$G$146:$G$150)),RIGHT(BQ$1,2)),"")</f>
        <v>417</v>
      </c>
      <c r="BR44" s="16" cm="1">
        <f t="array" ref="BR44">IFERROR(INDEX(_xlfn.ANCHORARRAY(_xlfn.XLOOKUP($C44,'-ref_Distribution'!$B$146:$B$150,'-ref_Distribution'!$G$146:$G$150)),RIGHT(BR$1,2)),"")</f>
        <v>414</v>
      </c>
      <c r="BS44" s="16" cm="1">
        <f t="array" ref="BS44">IFERROR(INDEX(_xlfn.ANCHORARRAY(_xlfn.XLOOKUP($C44,'-ref_Distribution'!$B$146:$B$150,'-ref_Distribution'!$G$146:$G$150)),RIGHT(BS$1,2)),"")</f>
        <v>403</v>
      </c>
      <c r="BT44" s="16" cm="1">
        <f t="array" ref="BT44">IFERROR(INDEX(_xlfn.ANCHORARRAY(_xlfn.XLOOKUP($C44,'-ref_Distribution'!$B$146:$B$150,'-ref_Distribution'!$G$146:$G$150)),RIGHT(BT$1,2)),"")</f>
        <v>386</v>
      </c>
      <c r="BU44" s="16" cm="1">
        <f t="array" ref="BU44">IFERROR(INDEX(_xlfn.ANCHORARRAY(_xlfn.XLOOKUP($C44,'-ref_Distribution'!$B$146:$B$150,'-ref_Distribution'!$G$146:$G$150)),RIGHT(BU$1,2)),"")</f>
        <v>364</v>
      </c>
      <c r="BV44" s="16" cm="1">
        <f t="array" ref="BV44">IFERROR(INDEX(_xlfn.ANCHORARRAY(_xlfn.XLOOKUP($C44,'-ref_Distribution'!$B$146:$B$150,'-ref_Distribution'!$G$146:$G$150)),RIGHT(BV$1,2)),"")</f>
        <v>337</v>
      </c>
      <c r="BW44" s="16" cm="1">
        <f t="array" ref="BW44">IFERROR(INDEX(_xlfn.ANCHORARRAY(_xlfn.XLOOKUP($C44,'-ref_Distribution'!$B$146:$B$150,'-ref_Distribution'!$G$146:$G$150)),RIGHT(BW$1,2)),"")</f>
        <v>307</v>
      </c>
      <c r="BX44" s="16" cm="1">
        <f t="array" ref="BX44">IFERROR(INDEX(_xlfn.ANCHORARRAY(_xlfn.XLOOKUP($C44,'-ref_Distribution'!$B$146:$B$150,'-ref_Distribution'!$G$146:$G$150)),RIGHT(BX$1,2)),"")</f>
        <v>274</v>
      </c>
      <c r="BY44" s="16" cm="1">
        <f t="array" ref="BY44">IFERROR(INDEX(_xlfn.ANCHORARRAY(_xlfn.XLOOKUP($C44,'-ref_Distribution'!$B$146:$B$150,'-ref_Distribution'!$G$146:$G$150)),RIGHT(BY$1,2)),"")</f>
        <v>241</v>
      </c>
      <c r="BZ44" s="16" cm="1">
        <f t="array" ref="BZ44">IFERROR(INDEX(_xlfn.ANCHORARRAY(_xlfn.XLOOKUP($C44,'-ref_Distribution'!$B$146:$B$150,'-ref_Distribution'!$G$146:$G$150)),RIGHT(BZ$1,2)),"")</f>
        <v>209</v>
      </c>
      <c r="CA44" s="16" cm="1">
        <f t="array" ref="CA44">IFERROR(INDEX(_xlfn.ANCHORARRAY(_xlfn.XLOOKUP($C44,'-ref_Distribution'!$B$146:$B$150,'-ref_Distribution'!$G$146:$G$150)),RIGHT(CA$1,2)),"")</f>
        <v>178</v>
      </c>
      <c r="CB44" s="16" cm="1">
        <f t="array" ref="CB44">IFERROR(INDEX(_xlfn.ANCHORARRAY(_xlfn.XLOOKUP($C44,'-ref_Distribution'!$B$146:$B$150,'-ref_Distribution'!$G$146:$G$150)),RIGHT(CB$1,2)),"")</f>
        <v>148</v>
      </c>
      <c r="CC44" s="16" cm="1">
        <f t="array" ref="CC44">IFERROR(INDEX(_xlfn.ANCHORARRAY(_xlfn.XLOOKUP($C44,'-ref_Distribution'!$B$146:$B$150,'-ref_Distribution'!$G$146:$G$150)),RIGHT(CC$1,2)),"")</f>
        <v>122</v>
      </c>
      <c r="CD44" s="16" cm="1">
        <f t="array" ref="CD44">IFERROR(INDEX(_xlfn.ANCHORARRAY(_xlfn.XLOOKUP($C44,'-ref_Distribution'!$B$146:$B$150,'-ref_Distribution'!$G$146:$G$150)),RIGHT(CD$1,2)),"")</f>
        <v>98</v>
      </c>
      <c r="CE44" s="16" cm="1">
        <f t="array" ref="CE44">IFERROR(INDEX(_xlfn.ANCHORARRAY(_xlfn.XLOOKUP($C44,'-ref_Distribution'!$B$146:$B$150,'-ref_Distribution'!$G$146:$G$150)),RIGHT(CE$1,2)),"")</f>
        <v>78</v>
      </c>
    </row>
    <row r="45" spans="1:83" x14ac:dyDescent="0.2">
      <c r="A45" s="16">
        <v>302013</v>
      </c>
      <c r="B45" s="16" t="s">
        <v>372</v>
      </c>
      <c r="C45" s="16">
        <v>2</v>
      </c>
      <c r="D45" s="16" cm="1">
        <f t="array" ref="D45">IFERROR(INDEX(_xlfn.ANCHORARRAY(_xlfn.XLOOKUP($C45,'-ref_Distribution'!$B$146:$B$150,'-ref_Distribution'!$G$146:$G$150)),RIGHT(D$1,2)),"")</f>
        <v>75</v>
      </c>
      <c r="E45" s="16" cm="1">
        <f t="array" ref="E45">IFERROR(INDEX(_xlfn.ANCHORARRAY(_xlfn.XLOOKUP($C45,'-ref_Distribution'!$B$146:$B$150,'-ref_Distribution'!$G$146:$G$150)),RIGHT(E$1,2)),"")</f>
        <v>94</v>
      </c>
      <c r="F45" s="16" cm="1">
        <f t="array" ref="F45">IFERROR(INDEX(_xlfn.ANCHORARRAY(_xlfn.XLOOKUP($C45,'-ref_Distribution'!$B$146:$B$150,'-ref_Distribution'!$G$146:$G$150)),RIGHT(F$1,2)),"")</f>
        <v>115</v>
      </c>
      <c r="G45" s="16" cm="1">
        <f t="array" ref="G45">IFERROR(INDEX(_xlfn.ANCHORARRAY(_xlfn.XLOOKUP($C45,'-ref_Distribution'!$B$146:$B$150,'-ref_Distribution'!$G$146:$G$150)),RIGHT(G$1,2)),"")</f>
        <v>137</v>
      </c>
      <c r="H45" s="16" cm="1">
        <f t="array" ref="H45">IFERROR(INDEX(_xlfn.ANCHORARRAY(_xlfn.XLOOKUP($C45,'-ref_Distribution'!$B$146:$B$150,'-ref_Distribution'!$G$146:$G$150)),RIGHT(H$1,2)),"")</f>
        <v>160</v>
      </c>
      <c r="I45" s="16" cm="1">
        <f t="array" ref="I45">IFERROR(INDEX(_xlfn.ANCHORARRAY(_xlfn.XLOOKUP($C45,'-ref_Distribution'!$B$146:$B$150,'-ref_Distribution'!$G$146:$G$150)),RIGHT(I$1,2)),"")</f>
        <v>183</v>
      </c>
      <c r="J45" s="16" cm="1">
        <f t="array" ref="J45">IFERROR(INDEX(_xlfn.ANCHORARRAY(_xlfn.XLOOKUP($C45,'-ref_Distribution'!$B$146:$B$150,'-ref_Distribution'!$G$146:$G$150)),RIGHT(J$1,2)),"")</f>
        <v>203</v>
      </c>
      <c r="K45" s="16" cm="1">
        <f t="array" ref="K45">IFERROR(INDEX(_xlfn.ANCHORARRAY(_xlfn.XLOOKUP($C45,'-ref_Distribution'!$B$146:$B$150,'-ref_Distribution'!$G$146:$G$150)),RIGHT(K$1,2)),"")</f>
        <v>221</v>
      </c>
      <c r="L45" s="16" cm="1">
        <f t="array" ref="L45">IFERROR(INDEX(_xlfn.ANCHORARRAY(_xlfn.XLOOKUP($C45,'-ref_Distribution'!$B$146:$B$150,'-ref_Distribution'!$G$146:$G$150)),RIGHT(L$1,2)),"")</f>
        <v>234</v>
      </c>
      <c r="M45" s="16" cm="1">
        <f t="array" ref="M45">IFERROR(INDEX(_xlfn.ANCHORARRAY(_xlfn.XLOOKUP($C45,'-ref_Distribution'!$B$146:$B$150,'-ref_Distribution'!$G$146:$G$150)),RIGHT(M$1,2)),"")</f>
        <v>243</v>
      </c>
      <c r="N45" s="16" cm="1">
        <f t="array" ref="N45">IFERROR(INDEX(_xlfn.ANCHORARRAY(_xlfn.XLOOKUP($C45,'-ref_Distribution'!$B$146:$B$150,'-ref_Distribution'!$G$146:$G$150)),RIGHT(N$1,2)),"")</f>
        <v>245</v>
      </c>
      <c r="O45" s="16" cm="1">
        <f t="array" ref="O45">IFERROR(INDEX(_xlfn.ANCHORARRAY(_xlfn.XLOOKUP($C45,'-ref_Distribution'!$B$146:$B$150,'-ref_Distribution'!$G$146:$G$150)),RIGHT(O$1,2)),"")</f>
        <v>243</v>
      </c>
      <c r="P45" s="16" cm="1">
        <f t="array" ref="P45">IFERROR(INDEX(_xlfn.ANCHORARRAY(_xlfn.XLOOKUP($C45,'-ref_Distribution'!$B$146:$B$150,'-ref_Distribution'!$G$146:$G$150)),RIGHT(P$1,2)),"")</f>
        <v>234</v>
      </c>
      <c r="Q45" s="16" cm="1">
        <f t="array" ref="Q45">IFERROR(INDEX(_xlfn.ANCHORARRAY(_xlfn.XLOOKUP($C45,'-ref_Distribution'!$B$146:$B$150,'-ref_Distribution'!$G$146:$G$150)),RIGHT(Q$1,2)),"")</f>
        <v>221</v>
      </c>
      <c r="R45" s="16" cm="1">
        <f t="array" ref="R45">IFERROR(INDEX(_xlfn.ANCHORARRAY(_xlfn.XLOOKUP($C45,'-ref_Distribution'!$B$146:$B$150,'-ref_Distribution'!$G$146:$G$150)),RIGHT(R$1,2)),"")</f>
        <v>203</v>
      </c>
      <c r="S45" s="16" cm="1">
        <f t="array" ref="S45">IFERROR(INDEX(_xlfn.ANCHORARRAY(_xlfn.XLOOKUP($C45,'-ref_Distribution'!$B$146:$B$150,'-ref_Distribution'!$G$146:$G$150)),RIGHT(S$1,2)),"")</f>
        <v>183</v>
      </c>
      <c r="T45" s="16" cm="1">
        <f t="array" ref="T45">IFERROR(INDEX(_xlfn.ANCHORARRAY(_xlfn.XLOOKUP($C45,'-ref_Distribution'!$B$146:$B$150,'-ref_Distribution'!$G$146:$G$150)),RIGHT(T$1,2)),"")</f>
        <v>160</v>
      </c>
      <c r="U45" s="16" cm="1">
        <f t="array" ref="U45">IFERROR(INDEX(_xlfn.ANCHORARRAY(_xlfn.XLOOKUP($C45,'-ref_Distribution'!$B$146:$B$150,'-ref_Distribution'!$G$146:$G$150)),RIGHT(U$1,2)),"")</f>
        <v>137</v>
      </c>
      <c r="V45" s="16" cm="1">
        <f t="array" ref="V45">IFERROR(INDEX(_xlfn.ANCHORARRAY(_xlfn.XLOOKUP($C45,'-ref_Distribution'!$B$146:$B$150,'-ref_Distribution'!$G$146:$G$150)),RIGHT(V$1,2)),"")</f>
        <v>115</v>
      </c>
      <c r="W45" s="16" cm="1">
        <f t="array" ref="W45">IFERROR(INDEX(_xlfn.ANCHORARRAY(_xlfn.XLOOKUP($C45,'-ref_Distribution'!$B$146:$B$150,'-ref_Distribution'!$G$146:$G$150)),RIGHT(W$1,2)),"")</f>
        <v>94</v>
      </c>
      <c r="X45" s="16" cm="1">
        <f t="array" ref="X45">IFERROR(INDEX(_xlfn.ANCHORARRAY(_xlfn.XLOOKUP($C45,'-ref_Distribution'!$B$146:$B$150,'-ref_Distribution'!$G$146:$G$150)),RIGHT(X$1,2)),"")</f>
        <v>75</v>
      </c>
      <c r="Y45" s="16" cm="1">
        <f t="array" ref="Y45">IFERROR(INDEX(_xlfn.ANCHORARRAY(_xlfn.XLOOKUP($C45,'-ref_Distribution'!$B$146:$B$150,'-ref_Distribution'!$G$146:$G$150)),RIGHT(Y$1,2)),"")</f>
        <v>94</v>
      </c>
      <c r="Z45" s="16" cm="1">
        <f t="array" ref="Z45">IFERROR(INDEX(_xlfn.ANCHORARRAY(_xlfn.XLOOKUP($C45,'-ref_Distribution'!$B$146:$B$150,'-ref_Distribution'!$G$146:$G$150)),RIGHT(Z$1,2)),"")</f>
        <v>115</v>
      </c>
      <c r="AA45" s="16" cm="1">
        <f t="array" ref="AA45">IFERROR(INDEX(_xlfn.ANCHORARRAY(_xlfn.XLOOKUP($C45,'-ref_Distribution'!$B$146:$B$150,'-ref_Distribution'!$G$146:$G$150)),RIGHT(AA$1,2)),"")</f>
        <v>137</v>
      </c>
      <c r="AB45" s="16" cm="1">
        <f t="array" ref="AB45">IFERROR(INDEX(_xlfn.ANCHORARRAY(_xlfn.XLOOKUP($C45,'-ref_Distribution'!$B$146:$B$150,'-ref_Distribution'!$G$146:$G$150)),RIGHT(AB$1,2)),"")</f>
        <v>160</v>
      </c>
      <c r="AC45" s="16" cm="1">
        <f t="array" ref="AC45">IFERROR(INDEX(_xlfn.ANCHORARRAY(_xlfn.XLOOKUP($C45,'-ref_Distribution'!$B$146:$B$150,'-ref_Distribution'!$G$146:$G$150)),RIGHT(AC$1,2)),"")</f>
        <v>183</v>
      </c>
      <c r="AD45" s="16" cm="1">
        <f t="array" ref="AD45">IFERROR(INDEX(_xlfn.ANCHORARRAY(_xlfn.XLOOKUP($C45,'-ref_Distribution'!$B$146:$B$150,'-ref_Distribution'!$G$146:$G$150)),RIGHT(AD$1,2)),"")</f>
        <v>203</v>
      </c>
      <c r="AE45" s="16" cm="1">
        <f t="array" ref="AE45">IFERROR(INDEX(_xlfn.ANCHORARRAY(_xlfn.XLOOKUP($C45,'-ref_Distribution'!$B$146:$B$150,'-ref_Distribution'!$G$146:$G$150)),RIGHT(AE$1,2)),"")</f>
        <v>221</v>
      </c>
      <c r="AF45" s="16" cm="1">
        <f t="array" ref="AF45">IFERROR(INDEX(_xlfn.ANCHORARRAY(_xlfn.XLOOKUP($C45,'-ref_Distribution'!$B$146:$B$150,'-ref_Distribution'!$G$146:$G$150)),RIGHT(AF$1,2)),"")</f>
        <v>234</v>
      </c>
      <c r="AG45" s="16" cm="1">
        <f t="array" ref="AG45">IFERROR(INDEX(_xlfn.ANCHORARRAY(_xlfn.XLOOKUP($C45,'-ref_Distribution'!$B$146:$B$150,'-ref_Distribution'!$G$146:$G$150)),RIGHT(AG$1,2)),"")</f>
        <v>243</v>
      </c>
      <c r="AH45" s="16" cm="1">
        <f t="array" ref="AH45">IFERROR(INDEX(_xlfn.ANCHORARRAY(_xlfn.XLOOKUP($C45,'-ref_Distribution'!$B$146:$B$150,'-ref_Distribution'!$G$146:$G$150)),RIGHT(AH$1,2)),"")</f>
        <v>245</v>
      </c>
      <c r="AI45" s="16" cm="1">
        <f t="array" ref="AI45">IFERROR(INDEX(_xlfn.ANCHORARRAY(_xlfn.XLOOKUP($C45,'-ref_Distribution'!$B$146:$B$150,'-ref_Distribution'!$G$146:$G$150)),RIGHT(AI$1,2)),"")</f>
        <v>243</v>
      </c>
      <c r="AJ45" s="16" cm="1">
        <f t="array" ref="AJ45">IFERROR(INDEX(_xlfn.ANCHORARRAY(_xlfn.XLOOKUP($C45,'-ref_Distribution'!$B$146:$B$150,'-ref_Distribution'!$G$146:$G$150)),RIGHT(AJ$1,2)),"")</f>
        <v>234</v>
      </c>
      <c r="AK45" s="16" cm="1">
        <f t="array" ref="AK45">IFERROR(INDEX(_xlfn.ANCHORARRAY(_xlfn.XLOOKUP($C45,'-ref_Distribution'!$B$146:$B$150,'-ref_Distribution'!$G$146:$G$150)),RIGHT(AK$1,2)),"")</f>
        <v>221</v>
      </c>
      <c r="AL45" s="16" cm="1">
        <f t="array" ref="AL45">IFERROR(INDEX(_xlfn.ANCHORARRAY(_xlfn.XLOOKUP($C45,'-ref_Distribution'!$B$146:$B$150,'-ref_Distribution'!$G$146:$G$150)),RIGHT(AL$1,2)),"")</f>
        <v>203</v>
      </c>
      <c r="AM45" s="16" cm="1">
        <f t="array" ref="AM45">IFERROR(INDEX(_xlfn.ANCHORARRAY(_xlfn.XLOOKUP($C45,'-ref_Distribution'!$B$146:$B$150,'-ref_Distribution'!$G$146:$G$150)),RIGHT(AM$1,2)),"")</f>
        <v>183</v>
      </c>
      <c r="AN45" s="16" cm="1">
        <f t="array" ref="AN45">IFERROR(INDEX(_xlfn.ANCHORARRAY(_xlfn.XLOOKUP($C45,'-ref_Distribution'!$B$146:$B$150,'-ref_Distribution'!$G$146:$G$150)),RIGHT(AN$1,2)),"")</f>
        <v>160</v>
      </c>
      <c r="AO45" s="16" cm="1">
        <f t="array" ref="AO45">IFERROR(INDEX(_xlfn.ANCHORARRAY(_xlfn.XLOOKUP($C45,'-ref_Distribution'!$B$146:$B$150,'-ref_Distribution'!$G$146:$G$150)),RIGHT(AO$1,2)),"")</f>
        <v>137</v>
      </c>
      <c r="AP45" s="16" cm="1">
        <f t="array" ref="AP45">IFERROR(INDEX(_xlfn.ANCHORARRAY(_xlfn.XLOOKUP($C45,'-ref_Distribution'!$B$146:$B$150,'-ref_Distribution'!$G$146:$G$150)),RIGHT(AP$1,2)),"")</f>
        <v>115</v>
      </c>
      <c r="AQ45" s="16" cm="1">
        <f t="array" ref="AQ45">IFERROR(INDEX(_xlfn.ANCHORARRAY(_xlfn.XLOOKUP($C45,'-ref_Distribution'!$B$146:$B$150,'-ref_Distribution'!$G$146:$G$150)),RIGHT(AQ$1,2)),"")</f>
        <v>94</v>
      </c>
      <c r="AR45" s="16" cm="1">
        <f t="array" ref="AR45">IFERROR(INDEX(_xlfn.ANCHORARRAY(_xlfn.XLOOKUP($C45,'-ref_Distribution'!$B$146:$B$150,'-ref_Distribution'!$G$146:$G$150)),RIGHT(AR$1,2)),"")</f>
        <v>75</v>
      </c>
      <c r="AS45" s="16" cm="1">
        <f t="array" ref="AS45">IFERROR(INDEX(_xlfn.ANCHORARRAY(_xlfn.XLOOKUP($C45,'-ref_Distribution'!$B$146:$B$150,'-ref_Distribution'!$G$146:$G$150)),RIGHT(AS$1,2)),"")</f>
        <v>94</v>
      </c>
      <c r="AT45" s="16" cm="1">
        <f t="array" ref="AT45">IFERROR(INDEX(_xlfn.ANCHORARRAY(_xlfn.XLOOKUP($C45,'-ref_Distribution'!$B$146:$B$150,'-ref_Distribution'!$G$146:$G$150)),RIGHT(AT$1,2)),"")</f>
        <v>115</v>
      </c>
      <c r="AU45" s="16" cm="1">
        <f t="array" ref="AU45">IFERROR(INDEX(_xlfn.ANCHORARRAY(_xlfn.XLOOKUP($C45,'-ref_Distribution'!$B$146:$B$150,'-ref_Distribution'!$G$146:$G$150)),RIGHT(AU$1,2)),"")</f>
        <v>137</v>
      </c>
      <c r="AV45" s="16" cm="1">
        <f t="array" ref="AV45">IFERROR(INDEX(_xlfn.ANCHORARRAY(_xlfn.XLOOKUP($C45,'-ref_Distribution'!$B$146:$B$150,'-ref_Distribution'!$G$146:$G$150)),RIGHT(AV$1,2)),"")</f>
        <v>160</v>
      </c>
      <c r="AW45" s="16" cm="1">
        <f t="array" ref="AW45">IFERROR(INDEX(_xlfn.ANCHORARRAY(_xlfn.XLOOKUP($C45,'-ref_Distribution'!$B$146:$B$150,'-ref_Distribution'!$G$146:$G$150)),RIGHT(AW$1,2)),"")</f>
        <v>183</v>
      </c>
      <c r="AX45" s="16" cm="1">
        <f t="array" ref="AX45">IFERROR(INDEX(_xlfn.ANCHORARRAY(_xlfn.XLOOKUP($C45,'-ref_Distribution'!$B$146:$B$150,'-ref_Distribution'!$G$146:$G$150)),RIGHT(AX$1,2)),"")</f>
        <v>203</v>
      </c>
      <c r="AY45" s="16" cm="1">
        <f t="array" ref="AY45">IFERROR(INDEX(_xlfn.ANCHORARRAY(_xlfn.XLOOKUP($C45,'-ref_Distribution'!$B$146:$B$150,'-ref_Distribution'!$G$146:$G$150)),RIGHT(AY$1,2)),"")</f>
        <v>221</v>
      </c>
      <c r="AZ45" s="16" cm="1">
        <f t="array" ref="AZ45">IFERROR(INDEX(_xlfn.ANCHORARRAY(_xlfn.XLOOKUP($C45,'-ref_Distribution'!$B$146:$B$150,'-ref_Distribution'!$G$146:$G$150)),RIGHT(AZ$1,2)),"")</f>
        <v>234</v>
      </c>
      <c r="BA45" s="16" cm="1">
        <f t="array" ref="BA45">IFERROR(INDEX(_xlfn.ANCHORARRAY(_xlfn.XLOOKUP($C45,'-ref_Distribution'!$B$146:$B$150,'-ref_Distribution'!$G$146:$G$150)),RIGHT(BA$1,2)),"")</f>
        <v>243</v>
      </c>
      <c r="BB45" s="16" cm="1">
        <f t="array" ref="BB45">IFERROR(INDEX(_xlfn.ANCHORARRAY(_xlfn.XLOOKUP($C45,'-ref_Distribution'!$B$146:$B$150,'-ref_Distribution'!$G$146:$G$150)),RIGHT(BB$1,2)),"")</f>
        <v>245</v>
      </c>
      <c r="BC45" s="16" cm="1">
        <f t="array" ref="BC45">IFERROR(INDEX(_xlfn.ANCHORARRAY(_xlfn.XLOOKUP($C45,'-ref_Distribution'!$B$146:$B$150,'-ref_Distribution'!$G$146:$G$150)),RIGHT(BC$1,2)),"")</f>
        <v>243</v>
      </c>
      <c r="BD45" s="16" cm="1">
        <f t="array" ref="BD45">IFERROR(INDEX(_xlfn.ANCHORARRAY(_xlfn.XLOOKUP($C45,'-ref_Distribution'!$B$146:$B$150,'-ref_Distribution'!$G$146:$G$150)),RIGHT(BD$1,2)),"")</f>
        <v>234</v>
      </c>
      <c r="BE45" s="16" cm="1">
        <f t="array" ref="BE45">IFERROR(INDEX(_xlfn.ANCHORARRAY(_xlfn.XLOOKUP($C45,'-ref_Distribution'!$B$146:$B$150,'-ref_Distribution'!$G$146:$G$150)),RIGHT(BE$1,2)),"")</f>
        <v>221</v>
      </c>
      <c r="BF45" s="16" cm="1">
        <f t="array" ref="BF45">IFERROR(INDEX(_xlfn.ANCHORARRAY(_xlfn.XLOOKUP($C45,'-ref_Distribution'!$B$146:$B$150,'-ref_Distribution'!$G$146:$G$150)),RIGHT(BF$1,2)),"")</f>
        <v>203</v>
      </c>
      <c r="BG45" s="16" cm="1">
        <f t="array" ref="BG45">IFERROR(INDEX(_xlfn.ANCHORARRAY(_xlfn.XLOOKUP($C45,'-ref_Distribution'!$B$146:$B$150,'-ref_Distribution'!$G$146:$G$150)),RIGHT(BG$1,2)),"")</f>
        <v>183</v>
      </c>
      <c r="BH45" s="16" cm="1">
        <f t="array" ref="BH45">IFERROR(INDEX(_xlfn.ANCHORARRAY(_xlfn.XLOOKUP($C45,'-ref_Distribution'!$B$146:$B$150,'-ref_Distribution'!$G$146:$G$150)),RIGHT(BH$1,2)),"")</f>
        <v>160</v>
      </c>
      <c r="BI45" s="16" cm="1">
        <f t="array" ref="BI45">IFERROR(INDEX(_xlfn.ANCHORARRAY(_xlfn.XLOOKUP($C45,'-ref_Distribution'!$B$146:$B$150,'-ref_Distribution'!$G$146:$G$150)),RIGHT(BI$1,2)),"")</f>
        <v>137</v>
      </c>
      <c r="BJ45" s="16" cm="1">
        <f t="array" ref="BJ45">IFERROR(INDEX(_xlfn.ANCHORARRAY(_xlfn.XLOOKUP($C45,'-ref_Distribution'!$B$146:$B$150,'-ref_Distribution'!$G$146:$G$150)),RIGHT(BJ$1,2)),"")</f>
        <v>115</v>
      </c>
      <c r="BK45" s="16" cm="1">
        <f t="array" ref="BK45">IFERROR(INDEX(_xlfn.ANCHORARRAY(_xlfn.XLOOKUP($C45,'-ref_Distribution'!$B$146:$B$150,'-ref_Distribution'!$G$146:$G$150)),RIGHT(BK$1,2)),"")</f>
        <v>94</v>
      </c>
      <c r="BL45" s="16" cm="1">
        <f t="array" ref="BL45">IFERROR(INDEX(_xlfn.ANCHORARRAY(_xlfn.XLOOKUP($C45,'-ref_Distribution'!$B$146:$B$150,'-ref_Distribution'!$G$146:$G$150)),RIGHT(BL$1,2)),"")</f>
        <v>75</v>
      </c>
      <c r="BM45" s="16" cm="1">
        <f t="array" ref="BM45">IFERROR(INDEX(_xlfn.ANCHORARRAY(_xlfn.XLOOKUP($C45,'-ref_Distribution'!$B$146:$B$150,'-ref_Distribution'!$G$146:$G$150)),RIGHT(BM$1,2)),"")</f>
        <v>94</v>
      </c>
      <c r="BN45" s="16" cm="1">
        <f t="array" ref="BN45">IFERROR(INDEX(_xlfn.ANCHORARRAY(_xlfn.XLOOKUP($C45,'-ref_Distribution'!$B$146:$B$150,'-ref_Distribution'!$G$146:$G$150)),RIGHT(BN$1,2)),"")</f>
        <v>115</v>
      </c>
      <c r="BO45" s="16" cm="1">
        <f t="array" ref="BO45">IFERROR(INDEX(_xlfn.ANCHORARRAY(_xlfn.XLOOKUP($C45,'-ref_Distribution'!$B$146:$B$150,'-ref_Distribution'!$G$146:$G$150)),RIGHT(BO$1,2)),"")</f>
        <v>137</v>
      </c>
      <c r="BP45" s="16" cm="1">
        <f t="array" ref="BP45">IFERROR(INDEX(_xlfn.ANCHORARRAY(_xlfn.XLOOKUP($C45,'-ref_Distribution'!$B$146:$B$150,'-ref_Distribution'!$G$146:$G$150)),RIGHT(BP$1,2)),"")</f>
        <v>160</v>
      </c>
      <c r="BQ45" s="16" cm="1">
        <f t="array" ref="BQ45">IFERROR(INDEX(_xlfn.ANCHORARRAY(_xlfn.XLOOKUP($C45,'-ref_Distribution'!$B$146:$B$150,'-ref_Distribution'!$G$146:$G$150)),RIGHT(BQ$1,2)),"")</f>
        <v>183</v>
      </c>
      <c r="BR45" s="16" cm="1">
        <f t="array" ref="BR45">IFERROR(INDEX(_xlfn.ANCHORARRAY(_xlfn.XLOOKUP($C45,'-ref_Distribution'!$B$146:$B$150,'-ref_Distribution'!$G$146:$G$150)),RIGHT(BR$1,2)),"")</f>
        <v>203</v>
      </c>
      <c r="BS45" s="16" cm="1">
        <f t="array" ref="BS45">IFERROR(INDEX(_xlfn.ANCHORARRAY(_xlfn.XLOOKUP($C45,'-ref_Distribution'!$B$146:$B$150,'-ref_Distribution'!$G$146:$G$150)),RIGHT(BS$1,2)),"")</f>
        <v>221</v>
      </c>
      <c r="BT45" s="16" cm="1">
        <f t="array" ref="BT45">IFERROR(INDEX(_xlfn.ANCHORARRAY(_xlfn.XLOOKUP($C45,'-ref_Distribution'!$B$146:$B$150,'-ref_Distribution'!$G$146:$G$150)),RIGHT(BT$1,2)),"")</f>
        <v>234</v>
      </c>
      <c r="BU45" s="16" cm="1">
        <f t="array" ref="BU45">IFERROR(INDEX(_xlfn.ANCHORARRAY(_xlfn.XLOOKUP($C45,'-ref_Distribution'!$B$146:$B$150,'-ref_Distribution'!$G$146:$G$150)),RIGHT(BU$1,2)),"")</f>
        <v>243</v>
      </c>
      <c r="BV45" s="16" cm="1">
        <f t="array" ref="BV45">IFERROR(INDEX(_xlfn.ANCHORARRAY(_xlfn.XLOOKUP($C45,'-ref_Distribution'!$B$146:$B$150,'-ref_Distribution'!$G$146:$G$150)),RIGHT(BV$1,2)),"")</f>
        <v>245</v>
      </c>
      <c r="BW45" s="16" cm="1">
        <f t="array" ref="BW45">IFERROR(INDEX(_xlfn.ANCHORARRAY(_xlfn.XLOOKUP($C45,'-ref_Distribution'!$B$146:$B$150,'-ref_Distribution'!$G$146:$G$150)),RIGHT(BW$1,2)),"")</f>
        <v>243</v>
      </c>
      <c r="BX45" s="16" cm="1">
        <f t="array" ref="BX45">IFERROR(INDEX(_xlfn.ANCHORARRAY(_xlfn.XLOOKUP($C45,'-ref_Distribution'!$B$146:$B$150,'-ref_Distribution'!$G$146:$G$150)),RIGHT(BX$1,2)),"")</f>
        <v>234</v>
      </c>
      <c r="BY45" s="16" cm="1">
        <f t="array" ref="BY45">IFERROR(INDEX(_xlfn.ANCHORARRAY(_xlfn.XLOOKUP($C45,'-ref_Distribution'!$B$146:$B$150,'-ref_Distribution'!$G$146:$G$150)),RIGHT(BY$1,2)),"")</f>
        <v>221</v>
      </c>
      <c r="BZ45" s="16" cm="1">
        <f t="array" ref="BZ45">IFERROR(INDEX(_xlfn.ANCHORARRAY(_xlfn.XLOOKUP($C45,'-ref_Distribution'!$B$146:$B$150,'-ref_Distribution'!$G$146:$G$150)),RIGHT(BZ$1,2)),"")</f>
        <v>203</v>
      </c>
      <c r="CA45" s="16" cm="1">
        <f t="array" ref="CA45">IFERROR(INDEX(_xlfn.ANCHORARRAY(_xlfn.XLOOKUP($C45,'-ref_Distribution'!$B$146:$B$150,'-ref_Distribution'!$G$146:$G$150)),RIGHT(CA$1,2)),"")</f>
        <v>183</v>
      </c>
      <c r="CB45" s="16" cm="1">
        <f t="array" ref="CB45">IFERROR(INDEX(_xlfn.ANCHORARRAY(_xlfn.XLOOKUP($C45,'-ref_Distribution'!$B$146:$B$150,'-ref_Distribution'!$G$146:$G$150)),RIGHT(CB$1,2)),"")</f>
        <v>160</v>
      </c>
      <c r="CC45" s="16" cm="1">
        <f t="array" ref="CC45">IFERROR(INDEX(_xlfn.ANCHORARRAY(_xlfn.XLOOKUP($C45,'-ref_Distribution'!$B$146:$B$150,'-ref_Distribution'!$G$146:$G$150)),RIGHT(CC$1,2)),"")</f>
        <v>137</v>
      </c>
      <c r="CD45" s="16" cm="1">
        <f t="array" ref="CD45">IFERROR(INDEX(_xlfn.ANCHORARRAY(_xlfn.XLOOKUP($C45,'-ref_Distribution'!$B$146:$B$150,'-ref_Distribution'!$G$146:$G$150)),RIGHT(CD$1,2)),"")</f>
        <v>115</v>
      </c>
      <c r="CE45" s="16" cm="1">
        <f t="array" ref="CE45">IFERROR(INDEX(_xlfn.ANCHORARRAY(_xlfn.XLOOKUP($C45,'-ref_Distribution'!$B$146:$B$150,'-ref_Distribution'!$G$146:$G$150)),RIGHT(CE$1,2)),"")</f>
        <v>94</v>
      </c>
    </row>
    <row r="46" spans="1:83" x14ac:dyDescent="0.2">
      <c r="A46" s="16">
        <v>302014</v>
      </c>
      <c r="B46" s="16" t="s">
        <v>372</v>
      </c>
      <c r="C46" s="16">
        <v>3</v>
      </c>
      <c r="D46" s="16" cm="1">
        <f t="array" ref="D46">IFERROR(INDEX(_xlfn.ANCHORARRAY(_xlfn.XLOOKUP($C46,'-ref_Distribution'!$B$146:$B$150,'-ref_Distribution'!$G$146:$G$150)),RIGHT(D$1,2)),"")</f>
        <v>4</v>
      </c>
      <c r="E46" s="16" cm="1">
        <f t="array" ref="E46">IFERROR(INDEX(_xlfn.ANCHORARRAY(_xlfn.XLOOKUP($C46,'-ref_Distribution'!$B$146:$B$150,'-ref_Distribution'!$G$146:$G$150)),RIGHT(E$1,2)),"")</f>
        <v>6</v>
      </c>
      <c r="F46" s="16" cm="1">
        <f t="array" ref="F46">IFERROR(INDEX(_xlfn.ANCHORARRAY(_xlfn.XLOOKUP($C46,'-ref_Distribution'!$B$146:$B$150,'-ref_Distribution'!$G$146:$G$150)),RIGHT(F$1,2)),"")</f>
        <v>9</v>
      </c>
      <c r="G46" s="16" cm="1">
        <f t="array" ref="G46">IFERROR(INDEX(_xlfn.ANCHORARRAY(_xlfn.XLOOKUP($C46,'-ref_Distribution'!$B$146:$B$150,'-ref_Distribution'!$G$146:$G$150)),RIGHT(G$1,2)),"")</f>
        <v>14</v>
      </c>
      <c r="H46" s="16" cm="1">
        <f t="array" ref="H46">IFERROR(INDEX(_xlfn.ANCHORARRAY(_xlfn.XLOOKUP($C46,'-ref_Distribution'!$B$146:$B$150,'-ref_Distribution'!$G$146:$G$150)),RIGHT(H$1,2)),"")</f>
        <v>20</v>
      </c>
      <c r="I46" s="16" cm="1">
        <f t="array" ref="I46">IFERROR(INDEX(_xlfn.ANCHORARRAY(_xlfn.XLOOKUP($C46,'-ref_Distribution'!$B$146:$B$150,'-ref_Distribution'!$G$146:$G$150)),RIGHT(I$1,2)),"")</f>
        <v>28</v>
      </c>
      <c r="J46" s="16" cm="1">
        <f t="array" ref="J46">IFERROR(INDEX(_xlfn.ANCHORARRAY(_xlfn.XLOOKUP($C46,'-ref_Distribution'!$B$146:$B$150,'-ref_Distribution'!$G$146:$G$150)),RIGHT(J$1,2)),"")</f>
        <v>38</v>
      </c>
      <c r="K46" s="16" cm="1">
        <f t="array" ref="K46">IFERROR(INDEX(_xlfn.ANCHORARRAY(_xlfn.XLOOKUP($C46,'-ref_Distribution'!$B$146:$B$150,'-ref_Distribution'!$G$146:$G$150)),RIGHT(K$1,2)),"")</f>
        <v>51</v>
      </c>
      <c r="L46" s="16" cm="1">
        <f t="array" ref="L46">IFERROR(INDEX(_xlfn.ANCHORARRAY(_xlfn.XLOOKUP($C46,'-ref_Distribution'!$B$146:$B$150,'-ref_Distribution'!$G$146:$G$150)),RIGHT(L$1,2)),"")</f>
        <v>65</v>
      </c>
      <c r="M46" s="16" cm="1">
        <f t="array" ref="M46">IFERROR(INDEX(_xlfn.ANCHORARRAY(_xlfn.XLOOKUP($C46,'-ref_Distribution'!$B$146:$B$150,'-ref_Distribution'!$G$146:$G$150)),RIGHT(M$1,2)),"")</f>
        <v>80</v>
      </c>
      <c r="N46" s="16" cm="1">
        <f t="array" ref="N46">IFERROR(INDEX(_xlfn.ANCHORARRAY(_xlfn.XLOOKUP($C46,'-ref_Distribution'!$B$146:$B$150,'-ref_Distribution'!$G$146:$G$150)),RIGHT(N$1,2)),"")</f>
        <v>96</v>
      </c>
      <c r="O46" s="16" cm="1">
        <f t="array" ref="O46">IFERROR(INDEX(_xlfn.ANCHORARRAY(_xlfn.XLOOKUP($C46,'-ref_Distribution'!$B$146:$B$150,'-ref_Distribution'!$G$146:$G$150)),RIGHT(O$1,2)),"")</f>
        <v>111</v>
      </c>
      <c r="P46" s="16" cm="1">
        <f t="array" ref="P46">IFERROR(INDEX(_xlfn.ANCHORARRAY(_xlfn.XLOOKUP($C46,'-ref_Distribution'!$B$146:$B$150,'-ref_Distribution'!$G$146:$G$150)),RIGHT(P$1,2)),"")</f>
        <v>125</v>
      </c>
      <c r="Q46" s="16" cm="1">
        <f t="array" ref="Q46">IFERROR(INDEX(_xlfn.ANCHORARRAY(_xlfn.XLOOKUP($C46,'-ref_Distribution'!$B$146:$B$150,'-ref_Distribution'!$G$146:$G$150)),RIGHT(Q$1,2)),"")</f>
        <v>135</v>
      </c>
      <c r="R46" s="16" cm="1">
        <f t="array" ref="R46">IFERROR(INDEX(_xlfn.ANCHORARRAY(_xlfn.XLOOKUP($C46,'-ref_Distribution'!$B$146:$B$150,'-ref_Distribution'!$G$146:$G$150)),RIGHT(R$1,2)),"")</f>
        <v>142</v>
      </c>
      <c r="S46" s="16" cm="1">
        <f t="array" ref="S46">IFERROR(INDEX(_xlfn.ANCHORARRAY(_xlfn.XLOOKUP($C46,'-ref_Distribution'!$B$146:$B$150,'-ref_Distribution'!$G$146:$G$150)),RIGHT(S$1,2)),"")</f>
        <v>144</v>
      </c>
      <c r="T46" s="16" cm="1">
        <f t="array" ref="T46">IFERROR(INDEX(_xlfn.ANCHORARRAY(_xlfn.XLOOKUP($C46,'-ref_Distribution'!$B$146:$B$150,'-ref_Distribution'!$G$146:$G$150)),RIGHT(T$1,2)),"")</f>
        <v>142</v>
      </c>
      <c r="U46" s="16" cm="1">
        <f t="array" ref="U46">IFERROR(INDEX(_xlfn.ANCHORARRAY(_xlfn.XLOOKUP($C46,'-ref_Distribution'!$B$146:$B$150,'-ref_Distribution'!$G$146:$G$150)),RIGHT(U$1,2)),"")</f>
        <v>135</v>
      </c>
      <c r="V46" s="16" cm="1">
        <f t="array" ref="V46">IFERROR(INDEX(_xlfn.ANCHORARRAY(_xlfn.XLOOKUP($C46,'-ref_Distribution'!$B$146:$B$150,'-ref_Distribution'!$G$146:$G$150)),RIGHT(V$1,2)),"")</f>
        <v>125</v>
      </c>
      <c r="W46" s="16" cm="1">
        <f t="array" ref="W46">IFERROR(INDEX(_xlfn.ANCHORARRAY(_xlfn.XLOOKUP($C46,'-ref_Distribution'!$B$146:$B$150,'-ref_Distribution'!$G$146:$G$150)),RIGHT(W$1,2)),"")</f>
        <v>111</v>
      </c>
      <c r="X46" s="16" cm="1">
        <f t="array" ref="X46">IFERROR(INDEX(_xlfn.ANCHORARRAY(_xlfn.XLOOKUP($C46,'-ref_Distribution'!$B$146:$B$150,'-ref_Distribution'!$G$146:$G$150)),RIGHT(X$1,2)),"")</f>
        <v>4</v>
      </c>
      <c r="Y46" s="16" cm="1">
        <f t="array" ref="Y46">IFERROR(INDEX(_xlfn.ANCHORARRAY(_xlfn.XLOOKUP($C46,'-ref_Distribution'!$B$146:$B$150,'-ref_Distribution'!$G$146:$G$150)),RIGHT(Y$1,2)),"")</f>
        <v>6</v>
      </c>
      <c r="Z46" s="16" cm="1">
        <f t="array" ref="Z46">IFERROR(INDEX(_xlfn.ANCHORARRAY(_xlfn.XLOOKUP($C46,'-ref_Distribution'!$B$146:$B$150,'-ref_Distribution'!$G$146:$G$150)),RIGHT(Z$1,2)),"")</f>
        <v>9</v>
      </c>
      <c r="AA46" s="16" cm="1">
        <f t="array" ref="AA46">IFERROR(INDEX(_xlfn.ANCHORARRAY(_xlfn.XLOOKUP($C46,'-ref_Distribution'!$B$146:$B$150,'-ref_Distribution'!$G$146:$G$150)),RIGHT(AA$1,2)),"")</f>
        <v>14</v>
      </c>
      <c r="AB46" s="16" cm="1">
        <f t="array" ref="AB46">IFERROR(INDEX(_xlfn.ANCHORARRAY(_xlfn.XLOOKUP($C46,'-ref_Distribution'!$B$146:$B$150,'-ref_Distribution'!$G$146:$G$150)),RIGHT(AB$1,2)),"")</f>
        <v>20</v>
      </c>
      <c r="AC46" s="16" cm="1">
        <f t="array" ref="AC46">IFERROR(INDEX(_xlfn.ANCHORARRAY(_xlfn.XLOOKUP($C46,'-ref_Distribution'!$B$146:$B$150,'-ref_Distribution'!$G$146:$G$150)),RIGHT(AC$1,2)),"")</f>
        <v>28</v>
      </c>
      <c r="AD46" s="16" cm="1">
        <f t="array" ref="AD46">IFERROR(INDEX(_xlfn.ANCHORARRAY(_xlfn.XLOOKUP($C46,'-ref_Distribution'!$B$146:$B$150,'-ref_Distribution'!$G$146:$G$150)),RIGHT(AD$1,2)),"")</f>
        <v>38</v>
      </c>
      <c r="AE46" s="16" cm="1">
        <f t="array" ref="AE46">IFERROR(INDEX(_xlfn.ANCHORARRAY(_xlfn.XLOOKUP($C46,'-ref_Distribution'!$B$146:$B$150,'-ref_Distribution'!$G$146:$G$150)),RIGHT(AE$1,2)),"")</f>
        <v>51</v>
      </c>
      <c r="AF46" s="16" cm="1">
        <f t="array" ref="AF46">IFERROR(INDEX(_xlfn.ANCHORARRAY(_xlfn.XLOOKUP($C46,'-ref_Distribution'!$B$146:$B$150,'-ref_Distribution'!$G$146:$G$150)),RIGHT(AF$1,2)),"")</f>
        <v>65</v>
      </c>
      <c r="AG46" s="16" cm="1">
        <f t="array" ref="AG46">IFERROR(INDEX(_xlfn.ANCHORARRAY(_xlfn.XLOOKUP($C46,'-ref_Distribution'!$B$146:$B$150,'-ref_Distribution'!$G$146:$G$150)),RIGHT(AG$1,2)),"")</f>
        <v>80</v>
      </c>
      <c r="AH46" s="16" cm="1">
        <f t="array" ref="AH46">IFERROR(INDEX(_xlfn.ANCHORARRAY(_xlfn.XLOOKUP($C46,'-ref_Distribution'!$B$146:$B$150,'-ref_Distribution'!$G$146:$G$150)),RIGHT(AH$1,2)),"")</f>
        <v>96</v>
      </c>
      <c r="AI46" s="16" cm="1">
        <f t="array" ref="AI46">IFERROR(INDEX(_xlfn.ANCHORARRAY(_xlfn.XLOOKUP($C46,'-ref_Distribution'!$B$146:$B$150,'-ref_Distribution'!$G$146:$G$150)),RIGHT(AI$1,2)),"")</f>
        <v>111</v>
      </c>
      <c r="AJ46" s="16" cm="1">
        <f t="array" ref="AJ46">IFERROR(INDEX(_xlfn.ANCHORARRAY(_xlfn.XLOOKUP($C46,'-ref_Distribution'!$B$146:$B$150,'-ref_Distribution'!$G$146:$G$150)),RIGHT(AJ$1,2)),"")</f>
        <v>125</v>
      </c>
      <c r="AK46" s="16" cm="1">
        <f t="array" ref="AK46">IFERROR(INDEX(_xlfn.ANCHORARRAY(_xlfn.XLOOKUP($C46,'-ref_Distribution'!$B$146:$B$150,'-ref_Distribution'!$G$146:$G$150)),RIGHT(AK$1,2)),"")</f>
        <v>135</v>
      </c>
      <c r="AL46" s="16" cm="1">
        <f t="array" ref="AL46">IFERROR(INDEX(_xlfn.ANCHORARRAY(_xlfn.XLOOKUP($C46,'-ref_Distribution'!$B$146:$B$150,'-ref_Distribution'!$G$146:$G$150)),RIGHT(AL$1,2)),"")</f>
        <v>142</v>
      </c>
      <c r="AM46" s="16" cm="1">
        <f t="array" ref="AM46">IFERROR(INDEX(_xlfn.ANCHORARRAY(_xlfn.XLOOKUP($C46,'-ref_Distribution'!$B$146:$B$150,'-ref_Distribution'!$G$146:$G$150)),RIGHT(AM$1,2)),"")</f>
        <v>144</v>
      </c>
      <c r="AN46" s="16" cm="1">
        <f t="array" ref="AN46">IFERROR(INDEX(_xlfn.ANCHORARRAY(_xlfn.XLOOKUP($C46,'-ref_Distribution'!$B$146:$B$150,'-ref_Distribution'!$G$146:$G$150)),RIGHT(AN$1,2)),"")</f>
        <v>142</v>
      </c>
      <c r="AO46" s="16" cm="1">
        <f t="array" ref="AO46">IFERROR(INDEX(_xlfn.ANCHORARRAY(_xlfn.XLOOKUP($C46,'-ref_Distribution'!$B$146:$B$150,'-ref_Distribution'!$G$146:$G$150)),RIGHT(AO$1,2)),"")</f>
        <v>135</v>
      </c>
      <c r="AP46" s="16" cm="1">
        <f t="array" ref="AP46">IFERROR(INDEX(_xlfn.ANCHORARRAY(_xlfn.XLOOKUP($C46,'-ref_Distribution'!$B$146:$B$150,'-ref_Distribution'!$G$146:$G$150)),RIGHT(AP$1,2)),"")</f>
        <v>125</v>
      </c>
      <c r="AQ46" s="16" cm="1">
        <f t="array" ref="AQ46">IFERROR(INDEX(_xlfn.ANCHORARRAY(_xlfn.XLOOKUP($C46,'-ref_Distribution'!$B$146:$B$150,'-ref_Distribution'!$G$146:$G$150)),RIGHT(AQ$1,2)),"")</f>
        <v>111</v>
      </c>
      <c r="AR46" s="16" cm="1">
        <f t="array" ref="AR46">IFERROR(INDEX(_xlfn.ANCHORARRAY(_xlfn.XLOOKUP($C46,'-ref_Distribution'!$B$146:$B$150,'-ref_Distribution'!$G$146:$G$150)),RIGHT(AR$1,2)),"")</f>
        <v>4</v>
      </c>
      <c r="AS46" s="16" cm="1">
        <f t="array" ref="AS46">IFERROR(INDEX(_xlfn.ANCHORARRAY(_xlfn.XLOOKUP($C46,'-ref_Distribution'!$B$146:$B$150,'-ref_Distribution'!$G$146:$G$150)),RIGHT(AS$1,2)),"")</f>
        <v>6</v>
      </c>
      <c r="AT46" s="16" cm="1">
        <f t="array" ref="AT46">IFERROR(INDEX(_xlfn.ANCHORARRAY(_xlfn.XLOOKUP($C46,'-ref_Distribution'!$B$146:$B$150,'-ref_Distribution'!$G$146:$G$150)),RIGHT(AT$1,2)),"")</f>
        <v>9</v>
      </c>
      <c r="AU46" s="16" cm="1">
        <f t="array" ref="AU46">IFERROR(INDEX(_xlfn.ANCHORARRAY(_xlfn.XLOOKUP($C46,'-ref_Distribution'!$B$146:$B$150,'-ref_Distribution'!$G$146:$G$150)),RIGHT(AU$1,2)),"")</f>
        <v>14</v>
      </c>
      <c r="AV46" s="16" cm="1">
        <f t="array" ref="AV46">IFERROR(INDEX(_xlfn.ANCHORARRAY(_xlfn.XLOOKUP($C46,'-ref_Distribution'!$B$146:$B$150,'-ref_Distribution'!$G$146:$G$150)),RIGHT(AV$1,2)),"")</f>
        <v>20</v>
      </c>
      <c r="AW46" s="16" cm="1">
        <f t="array" ref="AW46">IFERROR(INDEX(_xlfn.ANCHORARRAY(_xlfn.XLOOKUP($C46,'-ref_Distribution'!$B$146:$B$150,'-ref_Distribution'!$G$146:$G$150)),RIGHT(AW$1,2)),"")</f>
        <v>28</v>
      </c>
      <c r="AX46" s="16" cm="1">
        <f t="array" ref="AX46">IFERROR(INDEX(_xlfn.ANCHORARRAY(_xlfn.XLOOKUP($C46,'-ref_Distribution'!$B$146:$B$150,'-ref_Distribution'!$G$146:$G$150)),RIGHT(AX$1,2)),"")</f>
        <v>38</v>
      </c>
      <c r="AY46" s="16" cm="1">
        <f t="array" ref="AY46">IFERROR(INDEX(_xlfn.ANCHORARRAY(_xlfn.XLOOKUP($C46,'-ref_Distribution'!$B$146:$B$150,'-ref_Distribution'!$G$146:$G$150)),RIGHT(AY$1,2)),"")</f>
        <v>51</v>
      </c>
      <c r="AZ46" s="16" cm="1">
        <f t="array" ref="AZ46">IFERROR(INDEX(_xlfn.ANCHORARRAY(_xlfn.XLOOKUP($C46,'-ref_Distribution'!$B$146:$B$150,'-ref_Distribution'!$G$146:$G$150)),RIGHT(AZ$1,2)),"")</f>
        <v>65</v>
      </c>
      <c r="BA46" s="16" cm="1">
        <f t="array" ref="BA46">IFERROR(INDEX(_xlfn.ANCHORARRAY(_xlfn.XLOOKUP($C46,'-ref_Distribution'!$B$146:$B$150,'-ref_Distribution'!$G$146:$G$150)),RIGHT(BA$1,2)),"")</f>
        <v>80</v>
      </c>
      <c r="BB46" s="16" cm="1">
        <f t="array" ref="BB46">IFERROR(INDEX(_xlfn.ANCHORARRAY(_xlfn.XLOOKUP($C46,'-ref_Distribution'!$B$146:$B$150,'-ref_Distribution'!$G$146:$G$150)),RIGHT(BB$1,2)),"")</f>
        <v>96</v>
      </c>
      <c r="BC46" s="16" cm="1">
        <f t="array" ref="BC46">IFERROR(INDEX(_xlfn.ANCHORARRAY(_xlfn.XLOOKUP($C46,'-ref_Distribution'!$B$146:$B$150,'-ref_Distribution'!$G$146:$G$150)),RIGHT(BC$1,2)),"")</f>
        <v>111</v>
      </c>
      <c r="BD46" s="16" cm="1">
        <f t="array" ref="BD46">IFERROR(INDEX(_xlfn.ANCHORARRAY(_xlfn.XLOOKUP($C46,'-ref_Distribution'!$B$146:$B$150,'-ref_Distribution'!$G$146:$G$150)),RIGHT(BD$1,2)),"")</f>
        <v>125</v>
      </c>
      <c r="BE46" s="16" cm="1">
        <f t="array" ref="BE46">IFERROR(INDEX(_xlfn.ANCHORARRAY(_xlfn.XLOOKUP($C46,'-ref_Distribution'!$B$146:$B$150,'-ref_Distribution'!$G$146:$G$150)),RIGHT(BE$1,2)),"")</f>
        <v>135</v>
      </c>
      <c r="BF46" s="16" cm="1">
        <f t="array" ref="BF46">IFERROR(INDEX(_xlfn.ANCHORARRAY(_xlfn.XLOOKUP($C46,'-ref_Distribution'!$B$146:$B$150,'-ref_Distribution'!$G$146:$G$150)),RIGHT(BF$1,2)),"")</f>
        <v>142</v>
      </c>
      <c r="BG46" s="16" cm="1">
        <f t="array" ref="BG46">IFERROR(INDEX(_xlfn.ANCHORARRAY(_xlfn.XLOOKUP($C46,'-ref_Distribution'!$B$146:$B$150,'-ref_Distribution'!$G$146:$G$150)),RIGHT(BG$1,2)),"")</f>
        <v>144</v>
      </c>
      <c r="BH46" s="16" cm="1">
        <f t="array" ref="BH46">IFERROR(INDEX(_xlfn.ANCHORARRAY(_xlfn.XLOOKUP($C46,'-ref_Distribution'!$B$146:$B$150,'-ref_Distribution'!$G$146:$G$150)),RIGHT(BH$1,2)),"")</f>
        <v>142</v>
      </c>
      <c r="BI46" s="16" cm="1">
        <f t="array" ref="BI46">IFERROR(INDEX(_xlfn.ANCHORARRAY(_xlfn.XLOOKUP($C46,'-ref_Distribution'!$B$146:$B$150,'-ref_Distribution'!$G$146:$G$150)),RIGHT(BI$1,2)),"")</f>
        <v>135</v>
      </c>
      <c r="BJ46" s="16" cm="1">
        <f t="array" ref="BJ46">IFERROR(INDEX(_xlfn.ANCHORARRAY(_xlfn.XLOOKUP($C46,'-ref_Distribution'!$B$146:$B$150,'-ref_Distribution'!$G$146:$G$150)),RIGHT(BJ$1,2)),"")</f>
        <v>125</v>
      </c>
      <c r="BK46" s="16" cm="1">
        <f t="array" ref="BK46">IFERROR(INDEX(_xlfn.ANCHORARRAY(_xlfn.XLOOKUP($C46,'-ref_Distribution'!$B$146:$B$150,'-ref_Distribution'!$G$146:$G$150)),RIGHT(BK$1,2)),"")</f>
        <v>111</v>
      </c>
      <c r="BL46" s="16" cm="1">
        <f t="array" ref="BL46">IFERROR(INDEX(_xlfn.ANCHORARRAY(_xlfn.XLOOKUP($C46,'-ref_Distribution'!$B$146:$B$150,'-ref_Distribution'!$G$146:$G$150)),RIGHT(BL$1,2)),"")</f>
        <v>4</v>
      </c>
      <c r="BM46" s="16" cm="1">
        <f t="array" ref="BM46">IFERROR(INDEX(_xlfn.ANCHORARRAY(_xlfn.XLOOKUP($C46,'-ref_Distribution'!$B$146:$B$150,'-ref_Distribution'!$G$146:$G$150)),RIGHT(BM$1,2)),"")</f>
        <v>6</v>
      </c>
      <c r="BN46" s="16" cm="1">
        <f t="array" ref="BN46">IFERROR(INDEX(_xlfn.ANCHORARRAY(_xlfn.XLOOKUP($C46,'-ref_Distribution'!$B$146:$B$150,'-ref_Distribution'!$G$146:$G$150)),RIGHT(BN$1,2)),"")</f>
        <v>9</v>
      </c>
      <c r="BO46" s="16" cm="1">
        <f t="array" ref="BO46">IFERROR(INDEX(_xlfn.ANCHORARRAY(_xlfn.XLOOKUP($C46,'-ref_Distribution'!$B$146:$B$150,'-ref_Distribution'!$G$146:$G$150)),RIGHT(BO$1,2)),"")</f>
        <v>14</v>
      </c>
      <c r="BP46" s="16" cm="1">
        <f t="array" ref="BP46">IFERROR(INDEX(_xlfn.ANCHORARRAY(_xlfn.XLOOKUP($C46,'-ref_Distribution'!$B$146:$B$150,'-ref_Distribution'!$G$146:$G$150)),RIGHT(BP$1,2)),"")</f>
        <v>20</v>
      </c>
      <c r="BQ46" s="16" cm="1">
        <f t="array" ref="BQ46">IFERROR(INDEX(_xlfn.ANCHORARRAY(_xlfn.XLOOKUP($C46,'-ref_Distribution'!$B$146:$B$150,'-ref_Distribution'!$G$146:$G$150)),RIGHT(BQ$1,2)),"")</f>
        <v>28</v>
      </c>
      <c r="BR46" s="16" cm="1">
        <f t="array" ref="BR46">IFERROR(INDEX(_xlfn.ANCHORARRAY(_xlfn.XLOOKUP($C46,'-ref_Distribution'!$B$146:$B$150,'-ref_Distribution'!$G$146:$G$150)),RIGHT(BR$1,2)),"")</f>
        <v>38</v>
      </c>
      <c r="BS46" s="16" cm="1">
        <f t="array" ref="BS46">IFERROR(INDEX(_xlfn.ANCHORARRAY(_xlfn.XLOOKUP($C46,'-ref_Distribution'!$B$146:$B$150,'-ref_Distribution'!$G$146:$G$150)),RIGHT(BS$1,2)),"")</f>
        <v>51</v>
      </c>
      <c r="BT46" s="16" cm="1">
        <f t="array" ref="BT46">IFERROR(INDEX(_xlfn.ANCHORARRAY(_xlfn.XLOOKUP($C46,'-ref_Distribution'!$B$146:$B$150,'-ref_Distribution'!$G$146:$G$150)),RIGHT(BT$1,2)),"")</f>
        <v>65</v>
      </c>
      <c r="BU46" s="16" cm="1">
        <f t="array" ref="BU46">IFERROR(INDEX(_xlfn.ANCHORARRAY(_xlfn.XLOOKUP($C46,'-ref_Distribution'!$B$146:$B$150,'-ref_Distribution'!$G$146:$G$150)),RIGHT(BU$1,2)),"")</f>
        <v>80</v>
      </c>
      <c r="BV46" s="16" cm="1">
        <f t="array" ref="BV46">IFERROR(INDEX(_xlfn.ANCHORARRAY(_xlfn.XLOOKUP($C46,'-ref_Distribution'!$B$146:$B$150,'-ref_Distribution'!$G$146:$G$150)),RIGHT(BV$1,2)),"")</f>
        <v>96</v>
      </c>
      <c r="BW46" s="16" cm="1">
        <f t="array" ref="BW46">IFERROR(INDEX(_xlfn.ANCHORARRAY(_xlfn.XLOOKUP($C46,'-ref_Distribution'!$B$146:$B$150,'-ref_Distribution'!$G$146:$G$150)),RIGHT(BW$1,2)),"")</f>
        <v>111</v>
      </c>
      <c r="BX46" s="16" cm="1">
        <f t="array" ref="BX46">IFERROR(INDEX(_xlfn.ANCHORARRAY(_xlfn.XLOOKUP($C46,'-ref_Distribution'!$B$146:$B$150,'-ref_Distribution'!$G$146:$G$150)),RIGHT(BX$1,2)),"")</f>
        <v>125</v>
      </c>
      <c r="BY46" s="16" cm="1">
        <f t="array" ref="BY46">IFERROR(INDEX(_xlfn.ANCHORARRAY(_xlfn.XLOOKUP($C46,'-ref_Distribution'!$B$146:$B$150,'-ref_Distribution'!$G$146:$G$150)),RIGHT(BY$1,2)),"")</f>
        <v>135</v>
      </c>
      <c r="BZ46" s="16" cm="1">
        <f t="array" ref="BZ46">IFERROR(INDEX(_xlfn.ANCHORARRAY(_xlfn.XLOOKUP($C46,'-ref_Distribution'!$B$146:$B$150,'-ref_Distribution'!$G$146:$G$150)),RIGHT(BZ$1,2)),"")</f>
        <v>142</v>
      </c>
      <c r="CA46" s="16" cm="1">
        <f t="array" ref="CA46">IFERROR(INDEX(_xlfn.ANCHORARRAY(_xlfn.XLOOKUP($C46,'-ref_Distribution'!$B$146:$B$150,'-ref_Distribution'!$G$146:$G$150)),RIGHT(CA$1,2)),"")</f>
        <v>144</v>
      </c>
      <c r="CB46" s="16" cm="1">
        <f t="array" ref="CB46">IFERROR(INDEX(_xlfn.ANCHORARRAY(_xlfn.XLOOKUP($C46,'-ref_Distribution'!$B$146:$B$150,'-ref_Distribution'!$G$146:$G$150)),RIGHT(CB$1,2)),"")</f>
        <v>142</v>
      </c>
      <c r="CC46" s="16" cm="1">
        <f t="array" ref="CC46">IFERROR(INDEX(_xlfn.ANCHORARRAY(_xlfn.XLOOKUP($C46,'-ref_Distribution'!$B$146:$B$150,'-ref_Distribution'!$G$146:$G$150)),RIGHT(CC$1,2)),"")</f>
        <v>135</v>
      </c>
      <c r="CD46" s="16" cm="1">
        <f t="array" ref="CD46">IFERROR(INDEX(_xlfn.ANCHORARRAY(_xlfn.XLOOKUP($C46,'-ref_Distribution'!$B$146:$B$150,'-ref_Distribution'!$G$146:$G$150)),RIGHT(CD$1,2)),"")</f>
        <v>125</v>
      </c>
      <c r="CE46" s="16" cm="1">
        <f t="array" ref="CE46">IFERROR(INDEX(_xlfn.ANCHORARRAY(_xlfn.XLOOKUP($C46,'-ref_Distribution'!$B$146:$B$150,'-ref_Distribution'!$G$146:$G$150)),RIGHT(CE$1,2)),"")</f>
        <v>111</v>
      </c>
    </row>
    <row r="47" spans="1:83" x14ac:dyDescent="0.2">
      <c r="A47" s="16">
        <v>302031</v>
      </c>
      <c r="B47" s="16" t="s">
        <v>222</v>
      </c>
      <c r="C47" s="16">
        <v>0</v>
      </c>
      <c r="D47" s="16" cm="1">
        <f t="array" ref="D47">IFERROR(INDEX(_xlfn.ANCHORARRAY(_xlfn.XLOOKUP($C47,'-ref_Distribution'!$B$146:$B$150,'-ref_Distribution'!$G$146:$G$150)),RIGHT(D$1,2)),"")</f>
        <v>709</v>
      </c>
      <c r="E47" s="16" cm="1">
        <f t="array" ref="E47">IFERROR(INDEX(_xlfn.ANCHORARRAY(_xlfn.XLOOKUP($C47,'-ref_Distribution'!$B$146:$B$150,'-ref_Distribution'!$G$146:$G$150)),RIGHT(E$1,2)),"")</f>
        <v>705</v>
      </c>
      <c r="F47" s="16" cm="1">
        <f t="array" ref="F47">IFERROR(INDEX(_xlfn.ANCHORARRAY(_xlfn.XLOOKUP($C47,'-ref_Distribution'!$B$146:$B$150,'-ref_Distribution'!$G$146:$G$150)),RIGHT(F$1,2)),"")</f>
        <v>692</v>
      </c>
      <c r="G47" s="16" cm="1">
        <f t="array" ref="G47">IFERROR(INDEX(_xlfn.ANCHORARRAY(_xlfn.XLOOKUP($C47,'-ref_Distribution'!$B$146:$B$150,'-ref_Distribution'!$G$146:$G$150)),RIGHT(G$1,2)),"")</f>
        <v>671</v>
      </c>
      <c r="H47" s="16" cm="1">
        <f t="array" ref="H47">IFERROR(INDEX(_xlfn.ANCHORARRAY(_xlfn.XLOOKUP($C47,'-ref_Distribution'!$B$146:$B$150,'-ref_Distribution'!$G$146:$G$150)),RIGHT(H$1,2)),"")</f>
        <v>643</v>
      </c>
      <c r="I47" s="16" cm="1">
        <f t="array" ref="I47">IFERROR(INDEX(_xlfn.ANCHORARRAY(_xlfn.XLOOKUP($C47,'-ref_Distribution'!$B$146:$B$150,'-ref_Distribution'!$G$146:$G$150)),RIGHT(I$1,2)),"")</f>
        <v>608</v>
      </c>
      <c r="J47" s="16" cm="1">
        <f t="array" ref="J47">IFERROR(INDEX(_xlfn.ANCHORARRAY(_xlfn.XLOOKUP($C47,'-ref_Distribution'!$B$146:$B$150,'-ref_Distribution'!$G$146:$G$150)),RIGHT(J$1,2)),"")</f>
        <v>568</v>
      </c>
      <c r="K47" s="16" cm="1">
        <f t="array" ref="K47">IFERROR(INDEX(_xlfn.ANCHORARRAY(_xlfn.XLOOKUP($C47,'-ref_Distribution'!$B$146:$B$150,'-ref_Distribution'!$G$146:$G$150)),RIGHT(K$1,2)),"")</f>
        <v>524</v>
      </c>
      <c r="L47" s="16" cm="1">
        <f t="array" ref="L47">IFERROR(INDEX(_xlfn.ANCHORARRAY(_xlfn.XLOOKUP($C47,'-ref_Distribution'!$B$146:$B$150,'-ref_Distribution'!$G$146:$G$150)),RIGHT(L$1,2)),"")</f>
        <v>478</v>
      </c>
      <c r="M47" s="16" cm="1">
        <f t="array" ref="M47">IFERROR(INDEX(_xlfn.ANCHORARRAY(_xlfn.XLOOKUP($C47,'-ref_Distribution'!$B$146:$B$150,'-ref_Distribution'!$G$146:$G$150)),RIGHT(M$1,2)),"")</f>
        <v>430</v>
      </c>
      <c r="N47" s="16" cm="1">
        <f t="array" ref="N47">IFERROR(INDEX(_xlfn.ANCHORARRAY(_xlfn.XLOOKUP($C47,'-ref_Distribution'!$B$146:$B$150,'-ref_Distribution'!$G$146:$G$150)),RIGHT(N$1,2)),"")</f>
        <v>383</v>
      </c>
      <c r="O47" s="16" cm="1">
        <f t="array" ref="O47">IFERROR(INDEX(_xlfn.ANCHORARRAY(_xlfn.XLOOKUP($C47,'-ref_Distribution'!$B$146:$B$150,'-ref_Distribution'!$G$146:$G$150)),RIGHT(O$1,2)),"")</f>
        <v>336</v>
      </c>
      <c r="P47" s="16" cm="1">
        <f t="array" ref="P47">IFERROR(INDEX(_xlfn.ANCHORARRAY(_xlfn.XLOOKUP($C47,'-ref_Distribution'!$B$146:$B$150,'-ref_Distribution'!$G$146:$G$150)),RIGHT(P$1,2)),"")</f>
        <v>292</v>
      </c>
      <c r="Q47" s="16" cm="1">
        <f t="array" ref="Q47">IFERROR(INDEX(_xlfn.ANCHORARRAY(_xlfn.XLOOKUP($C47,'-ref_Distribution'!$B$146:$B$150,'-ref_Distribution'!$G$146:$G$150)),RIGHT(Q$1,2)),"")</f>
        <v>250</v>
      </c>
      <c r="R47" s="16" cm="1">
        <f t="array" ref="R47">IFERROR(INDEX(_xlfn.ANCHORARRAY(_xlfn.XLOOKUP($C47,'-ref_Distribution'!$B$146:$B$150,'-ref_Distribution'!$G$146:$G$150)),RIGHT(R$1,2)),"")</f>
        <v>212</v>
      </c>
      <c r="S47" s="16" cm="1">
        <f t="array" ref="S47">IFERROR(INDEX(_xlfn.ANCHORARRAY(_xlfn.XLOOKUP($C47,'-ref_Distribution'!$B$146:$B$150,'-ref_Distribution'!$G$146:$G$150)),RIGHT(S$1,2)),"")</f>
        <v>177</v>
      </c>
      <c r="T47" s="16" cm="1">
        <f t="array" ref="T47">IFERROR(INDEX(_xlfn.ANCHORARRAY(_xlfn.XLOOKUP($C47,'-ref_Distribution'!$B$146:$B$150,'-ref_Distribution'!$G$146:$G$150)),RIGHT(T$1,2)),"")</f>
        <v>146</v>
      </c>
      <c r="U47" s="16" cm="1">
        <f t="array" ref="U47">IFERROR(INDEX(_xlfn.ANCHORARRAY(_xlfn.XLOOKUP($C47,'-ref_Distribution'!$B$146:$B$150,'-ref_Distribution'!$G$146:$G$150)),RIGHT(U$1,2)),"")</f>
        <v>119</v>
      </c>
      <c r="V47" s="16" cm="1">
        <f t="array" ref="V47">IFERROR(INDEX(_xlfn.ANCHORARRAY(_xlfn.XLOOKUP($C47,'-ref_Distribution'!$B$146:$B$150,'-ref_Distribution'!$G$146:$G$150)),RIGHT(V$1,2)),"")</f>
        <v>96</v>
      </c>
      <c r="W47" s="16" cm="1">
        <f t="array" ref="W47">IFERROR(INDEX(_xlfn.ANCHORARRAY(_xlfn.XLOOKUP($C47,'-ref_Distribution'!$B$146:$B$150,'-ref_Distribution'!$G$146:$G$150)),RIGHT(W$1,2)),"")</f>
        <v>76</v>
      </c>
      <c r="X47" s="16" cm="1">
        <f t="array" ref="X47">IFERROR(INDEX(_xlfn.ANCHORARRAY(_xlfn.XLOOKUP($C47,'-ref_Distribution'!$B$146:$B$150,'-ref_Distribution'!$G$146:$G$150)),RIGHT(X$1,2)),"")</f>
        <v>709</v>
      </c>
      <c r="Y47" s="16" cm="1">
        <f t="array" ref="Y47">IFERROR(INDEX(_xlfn.ANCHORARRAY(_xlfn.XLOOKUP($C47,'-ref_Distribution'!$B$146:$B$150,'-ref_Distribution'!$G$146:$G$150)),RIGHT(Y$1,2)),"")</f>
        <v>705</v>
      </c>
      <c r="Z47" s="16" cm="1">
        <f t="array" ref="Z47">IFERROR(INDEX(_xlfn.ANCHORARRAY(_xlfn.XLOOKUP($C47,'-ref_Distribution'!$B$146:$B$150,'-ref_Distribution'!$G$146:$G$150)),RIGHT(Z$1,2)),"")</f>
        <v>692</v>
      </c>
      <c r="AA47" s="16" cm="1">
        <f t="array" ref="AA47">IFERROR(INDEX(_xlfn.ANCHORARRAY(_xlfn.XLOOKUP($C47,'-ref_Distribution'!$B$146:$B$150,'-ref_Distribution'!$G$146:$G$150)),RIGHT(AA$1,2)),"")</f>
        <v>671</v>
      </c>
      <c r="AB47" s="16" cm="1">
        <f t="array" ref="AB47">IFERROR(INDEX(_xlfn.ANCHORARRAY(_xlfn.XLOOKUP($C47,'-ref_Distribution'!$B$146:$B$150,'-ref_Distribution'!$G$146:$G$150)),RIGHT(AB$1,2)),"")</f>
        <v>643</v>
      </c>
      <c r="AC47" s="16" cm="1">
        <f t="array" ref="AC47">IFERROR(INDEX(_xlfn.ANCHORARRAY(_xlfn.XLOOKUP($C47,'-ref_Distribution'!$B$146:$B$150,'-ref_Distribution'!$G$146:$G$150)),RIGHT(AC$1,2)),"")</f>
        <v>608</v>
      </c>
      <c r="AD47" s="16" cm="1">
        <f t="array" ref="AD47">IFERROR(INDEX(_xlfn.ANCHORARRAY(_xlfn.XLOOKUP($C47,'-ref_Distribution'!$B$146:$B$150,'-ref_Distribution'!$G$146:$G$150)),RIGHT(AD$1,2)),"")</f>
        <v>568</v>
      </c>
      <c r="AE47" s="16" cm="1">
        <f t="array" ref="AE47">IFERROR(INDEX(_xlfn.ANCHORARRAY(_xlfn.XLOOKUP($C47,'-ref_Distribution'!$B$146:$B$150,'-ref_Distribution'!$G$146:$G$150)),RIGHT(AE$1,2)),"")</f>
        <v>524</v>
      </c>
      <c r="AF47" s="16" cm="1">
        <f t="array" ref="AF47">IFERROR(INDEX(_xlfn.ANCHORARRAY(_xlfn.XLOOKUP($C47,'-ref_Distribution'!$B$146:$B$150,'-ref_Distribution'!$G$146:$G$150)),RIGHT(AF$1,2)),"")</f>
        <v>478</v>
      </c>
      <c r="AG47" s="16" cm="1">
        <f t="array" ref="AG47">IFERROR(INDEX(_xlfn.ANCHORARRAY(_xlfn.XLOOKUP($C47,'-ref_Distribution'!$B$146:$B$150,'-ref_Distribution'!$G$146:$G$150)),RIGHT(AG$1,2)),"")</f>
        <v>430</v>
      </c>
      <c r="AH47" s="16" cm="1">
        <f t="array" ref="AH47">IFERROR(INDEX(_xlfn.ANCHORARRAY(_xlfn.XLOOKUP($C47,'-ref_Distribution'!$B$146:$B$150,'-ref_Distribution'!$G$146:$G$150)),RIGHT(AH$1,2)),"")</f>
        <v>383</v>
      </c>
      <c r="AI47" s="16" cm="1">
        <f t="array" ref="AI47">IFERROR(INDEX(_xlfn.ANCHORARRAY(_xlfn.XLOOKUP($C47,'-ref_Distribution'!$B$146:$B$150,'-ref_Distribution'!$G$146:$G$150)),RIGHT(AI$1,2)),"")</f>
        <v>336</v>
      </c>
      <c r="AJ47" s="16" cm="1">
        <f t="array" ref="AJ47">IFERROR(INDEX(_xlfn.ANCHORARRAY(_xlfn.XLOOKUP($C47,'-ref_Distribution'!$B$146:$B$150,'-ref_Distribution'!$G$146:$G$150)),RIGHT(AJ$1,2)),"")</f>
        <v>292</v>
      </c>
      <c r="AK47" s="16" cm="1">
        <f t="array" ref="AK47">IFERROR(INDEX(_xlfn.ANCHORARRAY(_xlfn.XLOOKUP($C47,'-ref_Distribution'!$B$146:$B$150,'-ref_Distribution'!$G$146:$G$150)),RIGHT(AK$1,2)),"")</f>
        <v>250</v>
      </c>
      <c r="AL47" s="16" cm="1">
        <f t="array" ref="AL47">IFERROR(INDEX(_xlfn.ANCHORARRAY(_xlfn.XLOOKUP($C47,'-ref_Distribution'!$B$146:$B$150,'-ref_Distribution'!$G$146:$G$150)),RIGHT(AL$1,2)),"")</f>
        <v>212</v>
      </c>
      <c r="AM47" s="16" cm="1">
        <f t="array" ref="AM47">IFERROR(INDEX(_xlfn.ANCHORARRAY(_xlfn.XLOOKUP($C47,'-ref_Distribution'!$B$146:$B$150,'-ref_Distribution'!$G$146:$G$150)),RIGHT(AM$1,2)),"")</f>
        <v>177</v>
      </c>
      <c r="AN47" s="16" cm="1">
        <f t="array" ref="AN47">IFERROR(INDEX(_xlfn.ANCHORARRAY(_xlfn.XLOOKUP($C47,'-ref_Distribution'!$B$146:$B$150,'-ref_Distribution'!$G$146:$G$150)),RIGHT(AN$1,2)),"")</f>
        <v>146</v>
      </c>
      <c r="AO47" s="16" cm="1">
        <f t="array" ref="AO47">IFERROR(INDEX(_xlfn.ANCHORARRAY(_xlfn.XLOOKUP($C47,'-ref_Distribution'!$B$146:$B$150,'-ref_Distribution'!$G$146:$G$150)),RIGHT(AO$1,2)),"")</f>
        <v>119</v>
      </c>
      <c r="AP47" s="16" cm="1">
        <f t="array" ref="AP47">IFERROR(INDEX(_xlfn.ANCHORARRAY(_xlfn.XLOOKUP($C47,'-ref_Distribution'!$B$146:$B$150,'-ref_Distribution'!$G$146:$G$150)),RIGHT(AP$1,2)),"")</f>
        <v>96</v>
      </c>
      <c r="AQ47" s="16" cm="1">
        <f t="array" ref="AQ47">IFERROR(INDEX(_xlfn.ANCHORARRAY(_xlfn.XLOOKUP($C47,'-ref_Distribution'!$B$146:$B$150,'-ref_Distribution'!$G$146:$G$150)),RIGHT(AQ$1,2)),"")</f>
        <v>76</v>
      </c>
      <c r="AR47" s="16" cm="1">
        <f t="array" ref="AR47">IFERROR(INDEX(_xlfn.ANCHORARRAY(_xlfn.XLOOKUP($C47,'-ref_Distribution'!$B$146:$B$150,'-ref_Distribution'!$G$146:$G$150)),RIGHT(AR$1,2)),"")</f>
        <v>709</v>
      </c>
      <c r="AS47" s="16" cm="1">
        <f t="array" ref="AS47">IFERROR(INDEX(_xlfn.ANCHORARRAY(_xlfn.XLOOKUP($C47,'-ref_Distribution'!$B$146:$B$150,'-ref_Distribution'!$G$146:$G$150)),RIGHT(AS$1,2)),"")</f>
        <v>705</v>
      </c>
      <c r="AT47" s="16" cm="1">
        <f t="array" ref="AT47">IFERROR(INDEX(_xlfn.ANCHORARRAY(_xlfn.XLOOKUP($C47,'-ref_Distribution'!$B$146:$B$150,'-ref_Distribution'!$G$146:$G$150)),RIGHT(AT$1,2)),"")</f>
        <v>692</v>
      </c>
      <c r="AU47" s="16" cm="1">
        <f t="array" ref="AU47">IFERROR(INDEX(_xlfn.ANCHORARRAY(_xlfn.XLOOKUP($C47,'-ref_Distribution'!$B$146:$B$150,'-ref_Distribution'!$G$146:$G$150)),RIGHT(AU$1,2)),"")</f>
        <v>671</v>
      </c>
      <c r="AV47" s="16" cm="1">
        <f t="array" ref="AV47">IFERROR(INDEX(_xlfn.ANCHORARRAY(_xlfn.XLOOKUP($C47,'-ref_Distribution'!$B$146:$B$150,'-ref_Distribution'!$G$146:$G$150)),RIGHT(AV$1,2)),"")</f>
        <v>643</v>
      </c>
      <c r="AW47" s="16" cm="1">
        <f t="array" ref="AW47">IFERROR(INDEX(_xlfn.ANCHORARRAY(_xlfn.XLOOKUP($C47,'-ref_Distribution'!$B$146:$B$150,'-ref_Distribution'!$G$146:$G$150)),RIGHT(AW$1,2)),"")</f>
        <v>608</v>
      </c>
      <c r="AX47" s="16" cm="1">
        <f t="array" ref="AX47">IFERROR(INDEX(_xlfn.ANCHORARRAY(_xlfn.XLOOKUP($C47,'-ref_Distribution'!$B$146:$B$150,'-ref_Distribution'!$G$146:$G$150)),RIGHT(AX$1,2)),"")</f>
        <v>568</v>
      </c>
      <c r="AY47" s="16" cm="1">
        <f t="array" ref="AY47">IFERROR(INDEX(_xlfn.ANCHORARRAY(_xlfn.XLOOKUP($C47,'-ref_Distribution'!$B$146:$B$150,'-ref_Distribution'!$G$146:$G$150)),RIGHT(AY$1,2)),"")</f>
        <v>524</v>
      </c>
      <c r="AZ47" s="16" cm="1">
        <f t="array" ref="AZ47">IFERROR(INDEX(_xlfn.ANCHORARRAY(_xlfn.XLOOKUP($C47,'-ref_Distribution'!$B$146:$B$150,'-ref_Distribution'!$G$146:$G$150)),RIGHT(AZ$1,2)),"")</f>
        <v>478</v>
      </c>
      <c r="BA47" s="16" cm="1">
        <f t="array" ref="BA47">IFERROR(INDEX(_xlfn.ANCHORARRAY(_xlfn.XLOOKUP($C47,'-ref_Distribution'!$B$146:$B$150,'-ref_Distribution'!$G$146:$G$150)),RIGHT(BA$1,2)),"")</f>
        <v>430</v>
      </c>
      <c r="BB47" s="16" cm="1">
        <f t="array" ref="BB47">IFERROR(INDEX(_xlfn.ANCHORARRAY(_xlfn.XLOOKUP($C47,'-ref_Distribution'!$B$146:$B$150,'-ref_Distribution'!$G$146:$G$150)),RIGHT(BB$1,2)),"")</f>
        <v>383</v>
      </c>
      <c r="BC47" s="16" cm="1">
        <f t="array" ref="BC47">IFERROR(INDEX(_xlfn.ANCHORARRAY(_xlfn.XLOOKUP($C47,'-ref_Distribution'!$B$146:$B$150,'-ref_Distribution'!$G$146:$G$150)),RIGHT(BC$1,2)),"")</f>
        <v>336</v>
      </c>
      <c r="BD47" s="16" cm="1">
        <f t="array" ref="BD47">IFERROR(INDEX(_xlfn.ANCHORARRAY(_xlfn.XLOOKUP($C47,'-ref_Distribution'!$B$146:$B$150,'-ref_Distribution'!$G$146:$G$150)),RIGHT(BD$1,2)),"")</f>
        <v>292</v>
      </c>
      <c r="BE47" s="16" cm="1">
        <f t="array" ref="BE47">IFERROR(INDEX(_xlfn.ANCHORARRAY(_xlfn.XLOOKUP($C47,'-ref_Distribution'!$B$146:$B$150,'-ref_Distribution'!$G$146:$G$150)),RIGHT(BE$1,2)),"")</f>
        <v>250</v>
      </c>
      <c r="BF47" s="16" cm="1">
        <f t="array" ref="BF47">IFERROR(INDEX(_xlfn.ANCHORARRAY(_xlfn.XLOOKUP($C47,'-ref_Distribution'!$B$146:$B$150,'-ref_Distribution'!$G$146:$G$150)),RIGHT(BF$1,2)),"")</f>
        <v>212</v>
      </c>
      <c r="BG47" s="16" cm="1">
        <f t="array" ref="BG47">IFERROR(INDEX(_xlfn.ANCHORARRAY(_xlfn.XLOOKUP($C47,'-ref_Distribution'!$B$146:$B$150,'-ref_Distribution'!$G$146:$G$150)),RIGHT(BG$1,2)),"")</f>
        <v>177</v>
      </c>
      <c r="BH47" s="16" cm="1">
        <f t="array" ref="BH47">IFERROR(INDEX(_xlfn.ANCHORARRAY(_xlfn.XLOOKUP($C47,'-ref_Distribution'!$B$146:$B$150,'-ref_Distribution'!$G$146:$G$150)),RIGHT(BH$1,2)),"")</f>
        <v>146</v>
      </c>
      <c r="BI47" s="16" cm="1">
        <f t="array" ref="BI47">IFERROR(INDEX(_xlfn.ANCHORARRAY(_xlfn.XLOOKUP($C47,'-ref_Distribution'!$B$146:$B$150,'-ref_Distribution'!$G$146:$G$150)),RIGHT(BI$1,2)),"")</f>
        <v>119</v>
      </c>
      <c r="BJ47" s="16" cm="1">
        <f t="array" ref="BJ47">IFERROR(INDEX(_xlfn.ANCHORARRAY(_xlfn.XLOOKUP($C47,'-ref_Distribution'!$B$146:$B$150,'-ref_Distribution'!$G$146:$G$150)),RIGHT(BJ$1,2)),"")</f>
        <v>96</v>
      </c>
      <c r="BK47" s="16" cm="1">
        <f t="array" ref="BK47">IFERROR(INDEX(_xlfn.ANCHORARRAY(_xlfn.XLOOKUP($C47,'-ref_Distribution'!$B$146:$B$150,'-ref_Distribution'!$G$146:$G$150)),RIGHT(BK$1,2)),"")</f>
        <v>76</v>
      </c>
      <c r="BL47" s="16" cm="1">
        <f t="array" ref="BL47">IFERROR(INDEX(_xlfn.ANCHORARRAY(_xlfn.XLOOKUP($C47,'-ref_Distribution'!$B$146:$B$150,'-ref_Distribution'!$G$146:$G$150)),RIGHT(BL$1,2)),"")</f>
        <v>709</v>
      </c>
      <c r="BM47" s="16" cm="1">
        <f t="array" ref="BM47">IFERROR(INDEX(_xlfn.ANCHORARRAY(_xlfn.XLOOKUP($C47,'-ref_Distribution'!$B$146:$B$150,'-ref_Distribution'!$G$146:$G$150)),RIGHT(BM$1,2)),"")</f>
        <v>705</v>
      </c>
      <c r="BN47" s="16" cm="1">
        <f t="array" ref="BN47">IFERROR(INDEX(_xlfn.ANCHORARRAY(_xlfn.XLOOKUP($C47,'-ref_Distribution'!$B$146:$B$150,'-ref_Distribution'!$G$146:$G$150)),RIGHT(BN$1,2)),"")</f>
        <v>692</v>
      </c>
      <c r="BO47" s="16" cm="1">
        <f t="array" ref="BO47">IFERROR(INDEX(_xlfn.ANCHORARRAY(_xlfn.XLOOKUP($C47,'-ref_Distribution'!$B$146:$B$150,'-ref_Distribution'!$G$146:$G$150)),RIGHT(BO$1,2)),"")</f>
        <v>671</v>
      </c>
      <c r="BP47" s="16" cm="1">
        <f t="array" ref="BP47">IFERROR(INDEX(_xlfn.ANCHORARRAY(_xlfn.XLOOKUP($C47,'-ref_Distribution'!$B$146:$B$150,'-ref_Distribution'!$G$146:$G$150)),RIGHT(BP$1,2)),"")</f>
        <v>643</v>
      </c>
      <c r="BQ47" s="16" cm="1">
        <f t="array" ref="BQ47">IFERROR(INDEX(_xlfn.ANCHORARRAY(_xlfn.XLOOKUP($C47,'-ref_Distribution'!$B$146:$B$150,'-ref_Distribution'!$G$146:$G$150)),RIGHT(BQ$1,2)),"")</f>
        <v>608</v>
      </c>
      <c r="BR47" s="16" cm="1">
        <f t="array" ref="BR47">IFERROR(INDEX(_xlfn.ANCHORARRAY(_xlfn.XLOOKUP($C47,'-ref_Distribution'!$B$146:$B$150,'-ref_Distribution'!$G$146:$G$150)),RIGHT(BR$1,2)),"")</f>
        <v>568</v>
      </c>
      <c r="BS47" s="16" cm="1">
        <f t="array" ref="BS47">IFERROR(INDEX(_xlfn.ANCHORARRAY(_xlfn.XLOOKUP($C47,'-ref_Distribution'!$B$146:$B$150,'-ref_Distribution'!$G$146:$G$150)),RIGHT(BS$1,2)),"")</f>
        <v>524</v>
      </c>
      <c r="BT47" s="16" cm="1">
        <f t="array" ref="BT47">IFERROR(INDEX(_xlfn.ANCHORARRAY(_xlfn.XLOOKUP($C47,'-ref_Distribution'!$B$146:$B$150,'-ref_Distribution'!$G$146:$G$150)),RIGHT(BT$1,2)),"")</f>
        <v>478</v>
      </c>
      <c r="BU47" s="16" cm="1">
        <f t="array" ref="BU47">IFERROR(INDEX(_xlfn.ANCHORARRAY(_xlfn.XLOOKUP($C47,'-ref_Distribution'!$B$146:$B$150,'-ref_Distribution'!$G$146:$G$150)),RIGHT(BU$1,2)),"")</f>
        <v>430</v>
      </c>
      <c r="BV47" s="16" cm="1">
        <f t="array" ref="BV47">IFERROR(INDEX(_xlfn.ANCHORARRAY(_xlfn.XLOOKUP($C47,'-ref_Distribution'!$B$146:$B$150,'-ref_Distribution'!$G$146:$G$150)),RIGHT(BV$1,2)),"")</f>
        <v>383</v>
      </c>
      <c r="BW47" s="16" cm="1">
        <f t="array" ref="BW47">IFERROR(INDEX(_xlfn.ANCHORARRAY(_xlfn.XLOOKUP($C47,'-ref_Distribution'!$B$146:$B$150,'-ref_Distribution'!$G$146:$G$150)),RIGHT(BW$1,2)),"")</f>
        <v>336</v>
      </c>
      <c r="BX47" s="16" cm="1">
        <f t="array" ref="BX47">IFERROR(INDEX(_xlfn.ANCHORARRAY(_xlfn.XLOOKUP($C47,'-ref_Distribution'!$B$146:$B$150,'-ref_Distribution'!$G$146:$G$150)),RIGHT(BX$1,2)),"")</f>
        <v>292</v>
      </c>
      <c r="BY47" s="16" cm="1">
        <f t="array" ref="BY47">IFERROR(INDEX(_xlfn.ANCHORARRAY(_xlfn.XLOOKUP($C47,'-ref_Distribution'!$B$146:$B$150,'-ref_Distribution'!$G$146:$G$150)),RIGHT(BY$1,2)),"")</f>
        <v>250</v>
      </c>
      <c r="BZ47" s="16" cm="1">
        <f t="array" ref="BZ47">IFERROR(INDEX(_xlfn.ANCHORARRAY(_xlfn.XLOOKUP($C47,'-ref_Distribution'!$B$146:$B$150,'-ref_Distribution'!$G$146:$G$150)),RIGHT(BZ$1,2)),"")</f>
        <v>212</v>
      </c>
      <c r="CA47" s="16" cm="1">
        <f t="array" ref="CA47">IFERROR(INDEX(_xlfn.ANCHORARRAY(_xlfn.XLOOKUP($C47,'-ref_Distribution'!$B$146:$B$150,'-ref_Distribution'!$G$146:$G$150)),RIGHT(CA$1,2)),"")</f>
        <v>177</v>
      </c>
      <c r="CB47" s="16" cm="1">
        <f t="array" ref="CB47">IFERROR(INDEX(_xlfn.ANCHORARRAY(_xlfn.XLOOKUP($C47,'-ref_Distribution'!$B$146:$B$150,'-ref_Distribution'!$G$146:$G$150)),RIGHT(CB$1,2)),"")</f>
        <v>146</v>
      </c>
      <c r="CC47" s="16" cm="1">
        <f t="array" ref="CC47">IFERROR(INDEX(_xlfn.ANCHORARRAY(_xlfn.XLOOKUP($C47,'-ref_Distribution'!$B$146:$B$150,'-ref_Distribution'!$G$146:$G$150)),RIGHT(CC$1,2)),"")</f>
        <v>119</v>
      </c>
      <c r="CD47" s="16" cm="1">
        <f t="array" ref="CD47">IFERROR(INDEX(_xlfn.ANCHORARRAY(_xlfn.XLOOKUP($C47,'-ref_Distribution'!$B$146:$B$150,'-ref_Distribution'!$G$146:$G$150)),RIGHT(CD$1,2)),"")</f>
        <v>96</v>
      </c>
      <c r="CE47" s="16" cm="1">
        <f t="array" ref="CE47">IFERROR(INDEX(_xlfn.ANCHORARRAY(_xlfn.XLOOKUP($C47,'-ref_Distribution'!$B$146:$B$150,'-ref_Distribution'!$G$146:$G$150)),RIGHT(CE$1,2)),"")</f>
        <v>76</v>
      </c>
    </row>
    <row r="48" spans="1:83" x14ac:dyDescent="0.2">
      <c r="A48" s="16">
        <v>302032</v>
      </c>
      <c r="B48" s="16" t="s">
        <v>222</v>
      </c>
      <c r="C48" s="16">
        <v>1</v>
      </c>
      <c r="D48" s="16" cm="1">
        <f t="array" ref="D48">IFERROR(INDEX(_xlfn.ANCHORARRAY(_xlfn.XLOOKUP($C48,'-ref_Distribution'!$B$146:$B$150,'-ref_Distribution'!$G$146:$G$150)),RIGHT(D$1,2)),"")</f>
        <v>337</v>
      </c>
      <c r="E48" s="16" cm="1">
        <f t="array" ref="E48">IFERROR(INDEX(_xlfn.ANCHORARRAY(_xlfn.XLOOKUP($C48,'-ref_Distribution'!$B$146:$B$150,'-ref_Distribution'!$G$146:$G$150)),RIGHT(E$1,2)),"")</f>
        <v>364</v>
      </c>
      <c r="F48" s="16" cm="1">
        <f t="array" ref="F48">IFERROR(INDEX(_xlfn.ANCHORARRAY(_xlfn.XLOOKUP($C48,'-ref_Distribution'!$B$146:$B$150,'-ref_Distribution'!$G$146:$G$150)),RIGHT(F$1,2)),"")</f>
        <v>386</v>
      </c>
      <c r="G48" s="16" cm="1">
        <f t="array" ref="G48">IFERROR(INDEX(_xlfn.ANCHORARRAY(_xlfn.XLOOKUP($C48,'-ref_Distribution'!$B$146:$B$150,'-ref_Distribution'!$G$146:$G$150)),RIGHT(G$1,2)),"")</f>
        <v>403</v>
      </c>
      <c r="H48" s="16" cm="1">
        <f t="array" ref="H48">IFERROR(INDEX(_xlfn.ANCHORARRAY(_xlfn.XLOOKUP($C48,'-ref_Distribution'!$B$146:$B$150,'-ref_Distribution'!$G$146:$G$150)),RIGHT(H$1,2)),"")</f>
        <v>414</v>
      </c>
      <c r="I48" s="16" cm="1">
        <f t="array" ref="I48">IFERROR(INDEX(_xlfn.ANCHORARRAY(_xlfn.XLOOKUP($C48,'-ref_Distribution'!$B$146:$B$150,'-ref_Distribution'!$G$146:$G$150)),RIGHT(I$1,2)),"")</f>
        <v>417</v>
      </c>
      <c r="J48" s="16" cm="1">
        <f t="array" ref="J48">IFERROR(INDEX(_xlfn.ANCHORARRAY(_xlfn.XLOOKUP($C48,'-ref_Distribution'!$B$146:$B$150,'-ref_Distribution'!$G$146:$G$150)),RIGHT(J$1,2)),"")</f>
        <v>414</v>
      </c>
      <c r="K48" s="16" cm="1">
        <f t="array" ref="K48">IFERROR(INDEX(_xlfn.ANCHORARRAY(_xlfn.XLOOKUP($C48,'-ref_Distribution'!$B$146:$B$150,'-ref_Distribution'!$G$146:$G$150)),RIGHT(K$1,2)),"")</f>
        <v>403</v>
      </c>
      <c r="L48" s="16" cm="1">
        <f t="array" ref="L48">IFERROR(INDEX(_xlfn.ANCHORARRAY(_xlfn.XLOOKUP($C48,'-ref_Distribution'!$B$146:$B$150,'-ref_Distribution'!$G$146:$G$150)),RIGHT(L$1,2)),"")</f>
        <v>386</v>
      </c>
      <c r="M48" s="16" cm="1">
        <f t="array" ref="M48">IFERROR(INDEX(_xlfn.ANCHORARRAY(_xlfn.XLOOKUP($C48,'-ref_Distribution'!$B$146:$B$150,'-ref_Distribution'!$G$146:$G$150)),RIGHT(M$1,2)),"")</f>
        <v>364</v>
      </c>
      <c r="N48" s="16" cm="1">
        <f t="array" ref="N48">IFERROR(INDEX(_xlfn.ANCHORARRAY(_xlfn.XLOOKUP($C48,'-ref_Distribution'!$B$146:$B$150,'-ref_Distribution'!$G$146:$G$150)),RIGHT(N$1,2)),"")</f>
        <v>337</v>
      </c>
      <c r="O48" s="16" cm="1">
        <f t="array" ref="O48">IFERROR(INDEX(_xlfn.ANCHORARRAY(_xlfn.XLOOKUP($C48,'-ref_Distribution'!$B$146:$B$150,'-ref_Distribution'!$G$146:$G$150)),RIGHT(O$1,2)),"")</f>
        <v>307</v>
      </c>
      <c r="P48" s="16" cm="1">
        <f t="array" ref="P48">IFERROR(INDEX(_xlfn.ANCHORARRAY(_xlfn.XLOOKUP($C48,'-ref_Distribution'!$B$146:$B$150,'-ref_Distribution'!$G$146:$G$150)),RIGHT(P$1,2)),"")</f>
        <v>274</v>
      </c>
      <c r="Q48" s="16" cm="1">
        <f t="array" ref="Q48">IFERROR(INDEX(_xlfn.ANCHORARRAY(_xlfn.XLOOKUP($C48,'-ref_Distribution'!$B$146:$B$150,'-ref_Distribution'!$G$146:$G$150)),RIGHT(Q$1,2)),"")</f>
        <v>241</v>
      </c>
      <c r="R48" s="16" cm="1">
        <f t="array" ref="R48">IFERROR(INDEX(_xlfn.ANCHORARRAY(_xlfn.XLOOKUP($C48,'-ref_Distribution'!$B$146:$B$150,'-ref_Distribution'!$G$146:$G$150)),RIGHT(R$1,2)),"")</f>
        <v>209</v>
      </c>
      <c r="S48" s="16" cm="1">
        <f t="array" ref="S48">IFERROR(INDEX(_xlfn.ANCHORARRAY(_xlfn.XLOOKUP($C48,'-ref_Distribution'!$B$146:$B$150,'-ref_Distribution'!$G$146:$G$150)),RIGHT(S$1,2)),"")</f>
        <v>178</v>
      </c>
      <c r="T48" s="16" cm="1">
        <f t="array" ref="T48">IFERROR(INDEX(_xlfn.ANCHORARRAY(_xlfn.XLOOKUP($C48,'-ref_Distribution'!$B$146:$B$150,'-ref_Distribution'!$G$146:$G$150)),RIGHT(T$1,2)),"")</f>
        <v>148</v>
      </c>
      <c r="U48" s="16" cm="1">
        <f t="array" ref="U48">IFERROR(INDEX(_xlfn.ANCHORARRAY(_xlfn.XLOOKUP($C48,'-ref_Distribution'!$B$146:$B$150,'-ref_Distribution'!$G$146:$G$150)),RIGHT(U$1,2)),"")</f>
        <v>122</v>
      </c>
      <c r="V48" s="16" cm="1">
        <f t="array" ref="V48">IFERROR(INDEX(_xlfn.ANCHORARRAY(_xlfn.XLOOKUP($C48,'-ref_Distribution'!$B$146:$B$150,'-ref_Distribution'!$G$146:$G$150)),RIGHT(V$1,2)),"")</f>
        <v>98</v>
      </c>
      <c r="W48" s="16" cm="1">
        <f t="array" ref="W48">IFERROR(INDEX(_xlfn.ANCHORARRAY(_xlfn.XLOOKUP($C48,'-ref_Distribution'!$B$146:$B$150,'-ref_Distribution'!$G$146:$G$150)),RIGHT(W$1,2)),"")</f>
        <v>78</v>
      </c>
      <c r="X48" s="16" cm="1">
        <f t="array" ref="X48">IFERROR(INDEX(_xlfn.ANCHORARRAY(_xlfn.XLOOKUP($C48,'-ref_Distribution'!$B$146:$B$150,'-ref_Distribution'!$G$146:$G$150)),RIGHT(X$1,2)),"")</f>
        <v>337</v>
      </c>
      <c r="Y48" s="16" cm="1">
        <f t="array" ref="Y48">IFERROR(INDEX(_xlfn.ANCHORARRAY(_xlfn.XLOOKUP($C48,'-ref_Distribution'!$B$146:$B$150,'-ref_Distribution'!$G$146:$G$150)),RIGHT(Y$1,2)),"")</f>
        <v>364</v>
      </c>
      <c r="Z48" s="16" cm="1">
        <f t="array" ref="Z48">IFERROR(INDEX(_xlfn.ANCHORARRAY(_xlfn.XLOOKUP($C48,'-ref_Distribution'!$B$146:$B$150,'-ref_Distribution'!$G$146:$G$150)),RIGHT(Z$1,2)),"")</f>
        <v>386</v>
      </c>
      <c r="AA48" s="16" cm="1">
        <f t="array" ref="AA48">IFERROR(INDEX(_xlfn.ANCHORARRAY(_xlfn.XLOOKUP($C48,'-ref_Distribution'!$B$146:$B$150,'-ref_Distribution'!$G$146:$G$150)),RIGHT(AA$1,2)),"")</f>
        <v>403</v>
      </c>
      <c r="AB48" s="16" cm="1">
        <f t="array" ref="AB48">IFERROR(INDEX(_xlfn.ANCHORARRAY(_xlfn.XLOOKUP($C48,'-ref_Distribution'!$B$146:$B$150,'-ref_Distribution'!$G$146:$G$150)),RIGHT(AB$1,2)),"")</f>
        <v>414</v>
      </c>
      <c r="AC48" s="16" cm="1">
        <f t="array" ref="AC48">IFERROR(INDEX(_xlfn.ANCHORARRAY(_xlfn.XLOOKUP($C48,'-ref_Distribution'!$B$146:$B$150,'-ref_Distribution'!$G$146:$G$150)),RIGHT(AC$1,2)),"")</f>
        <v>417</v>
      </c>
      <c r="AD48" s="16" cm="1">
        <f t="array" ref="AD48">IFERROR(INDEX(_xlfn.ANCHORARRAY(_xlfn.XLOOKUP($C48,'-ref_Distribution'!$B$146:$B$150,'-ref_Distribution'!$G$146:$G$150)),RIGHT(AD$1,2)),"")</f>
        <v>414</v>
      </c>
      <c r="AE48" s="16" cm="1">
        <f t="array" ref="AE48">IFERROR(INDEX(_xlfn.ANCHORARRAY(_xlfn.XLOOKUP($C48,'-ref_Distribution'!$B$146:$B$150,'-ref_Distribution'!$G$146:$G$150)),RIGHT(AE$1,2)),"")</f>
        <v>403</v>
      </c>
      <c r="AF48" s="16" cm="1">
        <f t="array" ref="AF48">IFERROR(INDEX(_xlfn.ANCHORARRAY(_xlfn.XLOOKUP($C48,'-ref_Distribution'!$B$146:$B$150,'-ref_Distribution'!$G$146:$G$150)),RIGHT(AF$1,2)),"")</f>
        <v>386</v>
      </c>
      <c r="AG48" s="16" cm="1">
        <f t="array" ref="AG48">IFERROR(INDEX(_xlfn.ANCHORARRAY(_xlfn.XLOOKUP($C48,'-ref_Distribution'!$B$146:$B$150,'-ref_Distribution'!$G$146:$G$150)),RIGHT(AG$1,2)),"")</f>
        <v>364</v>
      </c>
      <c r="AH48" s="16" cm="1">
        <f t="array" ref="AH48">IFERROR(INDEX(_xlfn.ANCHORARRAY(_xlfn.XLOOKUP($C48,'-ref_Distribution'!$B$146:$B$150,'-ref_Distribution'!$G$146:$G$150)),RIGHT(AH$1,2)),"")</f>
        <v>337</v>
      </c>
      <c r="AI48" s="16" cm="1">
        <f t="array" ref="AI48">IFERROR(INDEX(_xlfn.ANCHORARRAY(_xlfn.XLOOKUP($C48,'-ref_Distribution'!$B$146:$B$150,'-ref_Distribution'!$G$146:$G$150)),RIGHT(AI$1,2)),"")</f>
        <v>307</v>
      </c>
      <c r="AJ48" s="16" cm="1">
        <f t="array" ref="AJ48">IFERROR(INDEX(_xlfn.ANCHORARRAY(_xlfn.XLOOKUP($C48,'-ref_Distribution'!$B$146:$B$150,'-ref_Distribution'!$G$146:$G$150)),RIGHT(AJ$1,2)),"")</f>
        <v>274</v>
      </c>
      <c r="AK48" s="16" cm="1">
        <f t="array" ref="AK48">IFERROR(INDEX(_xlfn.ANCHORARRAY(_xlfn.XLOOKUP($C48,'-ref_Distribution'!$B$146:$B$150,'-ref_Distribution'!$G$146:$G$150)),RIGHT(AK$1,2)),"")</f>
        <v>241</v>
      </c>
      <c r="AL48" s="16" cm="1">
        <f t="array" ref="AL48">IFERROR(INDEX(_xlfn.ANCHORARRAY(_xlfn.XLOOKUP($C48,'-ref_Distribution'!$B$146:$B$150,'-ref_Distribution'!$G$146:$G$150)),RIGHT(AL$1,2)),"")</f>
        <v>209</v>
      </c>
      <c r="AM48" s="16" cm="1">
        <f t="array" ref="AM48">IFERROR(INDEX(_xlfn.ANCHORARRAY(_xlfn.XLOOKUP($C48,'-ref_Distribution'!$B$146:$B$150,'-ref_Distribution'!$G$146:$G$150)),RIGHT(AM$1,2)),"")</f>
        <v>178</v>
      </c>
      <c r="AN48" s="16" cm="1">
        <f t="array" ref="AN48">IFERROR(INDEX(_xlfn.ANCHORARRAY(_xlfn.XLOOKUP($C48,'-ref_Distribution'!$B$146:$B$150,'-ref_Distribution'!$G$146:$G$150)),RIGHT(AN$1,2)),"")</f>
        <v>148</v>
      </c>
      <c r="AO48" s="16" cm="1">
        <f t="array" ref="AO48">IFERROR(INDEX(_xlfn.ANCHORARRAY(_xlfn.XLOOKUP($C48,'-ref_Distribution'!$B$146:$B$150,'-ref_Distribution'!$G$146:$G$150)),RIGHT(AO$1,2)),"")</f>
        <v>122</v>
      </c>
      <c r="AP48" s="16" cm="1">
        <f t="array" ref="AP48">IFERROR(INDEX(_xlfn.ANCHORARRAY(_xlfn.XLOOKUP($C48,'-ref_Distribution'!$B$146:$B$150,'-ref_Distribution'!$G$146:$G$150)),RIGHT(AP$1,2)),"")</f>
        <v>98</v>
      </c>
      <c r="AQ48" s="16" cm="1">
        <f t="array" ref="AQ48">IFERROR(INDEX(_xlfn.ANCHORARRAY(_xlfn.XLOOKUP($C48,'-ref_Distribution'!$B$146:$B$150,'-ref_Distribution'!$G$146:$G$150)),RIGHT(AQ$1,2)),"")</f>
        <v>78</v>
      </c>
      <c r="AR48" s="16" cm="1">
        <f t="array" ref="AR48">IFERROR(INDEX(_xlfn.ANCHORARRAY(_xlfn.XLOOKUP($C48,'-ref_Distribution'!$B$146:$B$150,'-ref_Distribution'!$G$146:$G$150)),RIGHT(AR$1,2)),"")</f>
        <v>337</v>
      </c>
      <c r="AS48" s="16" cm="1">
        <f t="array" ref="AS48">IFERROR(INDEX(_xlfn.ANCHORARRAY(_xlfn.XLOOKUP($C48,'-ref_Distribution'!$B$146:$B$150,'-ref_Distribution'!$G$146:$G$150)),RIGHT(AS$1,2)),"")</f>
        <v>364</v>
      </c>
      <c r="AT48" s="16" cm="1">
        <f t="array" ref="AT48">IFERROR(INDEX(_xlfn.ANCHORARRAY(_xlfn.XLOOKUP($C48,'-ref_Distribution'!$B$146:$B$150,'-ref_Distribution'!$G$146:$G$150)),RIGHT(AT$1,2)),"")</f>
        <v>386</v>
      </c>
      <c r="AU48" s="16" cm="1">
        <f t="array" ref="AU48">IFERROR(INDEX(_xlfn.ANCHORARRAY(_xlfn.XLOOKUP($C48,'-ref_Distribution'!$B$146:$B$150,'-ref_Distribution'!$G$146:$G$150)),RIGHT(AU$1,2)),"")</f>
        <v>403</v>
      </c>
      <c r="AV48" s="16" cm="1">
        <f t="array" ref="AV48">IFERROR(INDEX(_xlfn.ANCHORARRAY(_xlfn.XLOOKUP($C48,'-ref_Distribution'!$B$146:$B$150,'-ref_Distribution'!$G$146:$G$150)),RIGHT(AV$1,2)),"")</f>
        <v>414</v>
      </c>
      <c r="AW48" s="16" cm="1">
        <f t="array" ref="AW48">IFERROR(INDEX(_xlfn.ANCHORARRAY(_xlfn.XLOOKUP($C48,'-ref_Distribution'!$B$146:$B$150,'-ref_Distribution'!$G$146:$G$150)),RIGHT(AW$1,2)),"")</f>
        <v>417</v>
      </c>
      <c r="AX48" s="16" cm="1">
        <f t="array" ref="AX48">IFERROR(INDEX(_xlfn.ANCHORARRAY(_xlfn.XLOOKUP($C48,'-ref_Distribution'!$B$146:$B$150,'-ref_Distribution'!$G$146:$G$150)),RIGHT(AX$1,2)),"")</f>
        <v>414</v>
      </c>
      <c r="AY48" s="16" cm="1">
        <f t="array" ref="AY48">IFERROR(INDEX(_xlfn.ANCHORARRAY(_xlfn.XLOOKUP($C48,'-ref_Distribution'!$B$146:$B$150,'-ref_Distribution'!$G$146:$G$150)),RIGHT(AY$1,2)),"")</f>
        <v>403</v>
      </c>
      <c r="AZ48" s="16" cm="1">
        <f t="array" ref="AZ48">IFERROR(INDEX(_xlfn.ANCHORARRAY(_xlfn.XLOOKUP($C48,'-ref_Distribution'!$B$146:$B$150,'-ref_Distribution'!$G$146:$G$150)),RIGHT(AZ$1,2)),"")</f>
        <v>386</v>
      </c>
      <c r="BA48" s="16" cm="1">
        <f t="array" ref="BA48">IFERROR(INDEX(_xlfn.ANCHORARRAY(_xlfn.XLOOKUP($C48,'-ref_Distribution'!$B$146:$B$150,'-ref_Distribution'!$G$146:$G$150)),RIGHT(BA$1,2)),"")</f>
        <v>364</v>
      </c>
      <c r="BB48" s="16" cm="1">
        <f t="array" ref="BB48">IFERROR(INDEX(_xlfn.ANCHORARRAY(_xlfn.XLOOKUP($C48,'-ref_Distribution'!$B$146:$B$150,'-ref_Distribution'!$G$146:$G$150)),RIGHT(BB$1,2)),"")</f>
        <v>337</v>
      </c>
      <c r="BC48" s="16" cm="1">
        <f t="array" ref="BC48">IFERROR(INDEX(_xlfn.ANCHORARRAY(_xlfn.XLOOKUP($C48,'-ref_Distribution'!$B$146:$B$150,'-ref_Distribution'!$G$146:$G$150)),RIGHT(BC$1,2)),"")</f>
        <v>307</v>
      </c>
      <c r="BD48" s="16" cm="1">
        <f t="array" ref="BD48">IFERROR(INDEX(_xlfn.ANCHORARRAY(_xlfn.XLOOKUP($C48,'-ref_Distribution'!$B$146:$B$150,'-ref_Distribution'!$G$146:$G$150)),RIGHT(BD$1,2)),"")</f>
        <v>274</v>
      </c>
      <c r="BE48" s="16" cm="1">
        <f t="array" ref="BE48">IFERROR(INDEX(_xlfn.ANCHORARRAY(_xlfn.XLOOKUP($C48,'-ref_Distribution'!$B$146:$B$150,'-ref_Distribution'!$G$146:$G$150)),RIGHT(BE$1,2)),"")</f>
        <v>241</v>
      </c>
      <c r="BF48" s="16" cm="1">
        <f t="array" ref="BF48">IFERROR(INDEX(_xlfn.ANCHORARRAY(_xlfn.XLOOKUP($C48,'-ref_Distribution'!$B$146:$B$150,'-ref_Distribution'!$G$146:$G$150)),RIGHT(BF$1,2)),"")</f>
        <v>209</v>
      </c>
      <c r="BG48" s="16" cm="1">
        <f t="array" ref="BG48">IFERROR(INDEX(_xlfn.ANCHORARRAY(_xlfn.XLOOKUP($C48,'-ref_Distribution'!$B$146:$B$150,'-ref_Distribution'!$G$146:$G$150)),RIGHT(BG$1,2)),"")</f>
        <v>178</v>
      </c>
      <c r="BH48" s="16" cm="1">
        <f t="array" ref="BH48">IFERROR(INDEX(_xlfn.ANCHORARRAY(_xlfn.XLOOKUP($C48,'-ref_Distribution'!$B$146:$B$150,'-ref_Distribution'!$G$146:$G$150)),RIGHT(BH$1,2)),"")</f>
        <v>148</v>
      </c>
      <c r="BI48" s="16" cm="1">
        <f t="array" ref="BI48">IFERROR(INDEX(_xlfn.ANCHORARRAY(_xlfn.XLOOKUP($C48,'-ref_Distribution'!$B$146:$B$150,'-ref_Distribution'!$G$146:$G$150)),RIGHT(BI$1,2)),"")</f>
        <v>122</v>
      </c>
      <c r="BJ48" s="16" cm="1">
        <f t="array" ref="BJ48">IFERROR(INDEX(_xlfn.ANCHORARRAY(_xlfn.XLOOKUP($C48,'-ref_Distribution'!$B$146:$B$150,'-ref_Distribution'!$G$146:$G$150)),RIGHT(BJ$1,2)),"")</f>
        <v>98</v>
      </c>
      <c r="BK48" s="16" cm="1">
        <f t="array" ref="BK48">IFERROR(INDEX(_xlfn.ANCHORARRAY(_xlfn.XLOOKUP($C48,'-ref_Distribution'!$B$146:$B$150,'-ref_Distribution'!$G$146:$G$150)),RIGHT(BK$1,2)),"")</f>
        <v>78</v>
      </c>
      <c r="BL48" s="16" cm="1">
        <f t="array" ref="BL48">IFERROR(INDEX(_xlfn.ANCHORARRAY(_xlfn.XLOOKUP($C48,'-ref_Distribution'!$B$146:$B$150,'-ref_Distribution'!$G$146:$G$150)),RIGHT(BL$1,2)),"")</f>
        <v>337</v>
      </c>
      <c r="BM48" s="16" cm="1">
        <f t="array" ref="BM48">IFERROR(INDEX(_xlfn.ANCHORARRAY(_xlfn.XLOOKUP($C48,'-ref_Distribution'!$B$146:$B$150,'-ref_Distribution'!$G$146:$G$150)),RIGHT(BM$1,2)),"")</f>
        <v>364</v>
      </c>
      <c r="BN48" s="16" cm="1">
        <f t="array" ref="BN48">IFERROR(INDEX(_xlfn.ANCHORARRAY(_xlfn.XLOOKUP($C48,'-ref_Distribution'!$B$146:$B$150,'-ref_Distribution'!$G$146:$G$150)),RIGHT(BN$1,2)),"")</f>
        <v>386</v>
      </c>
      <c r="BO48" s="16" cm="1">
        <f t="array" ref="BO48">IFERROR(INDEX(_xlfn.ANCHORARRAY(_xlfn.XLOOKUP($C48,'-ref_Distribution'!$B$146:$B$150,'-ref_Distribution'!$G$146:$G$150)),RIGHT(BO$1,2)),"")</f>
        <v>403</v>
      </c>
      <c r="BP48" s="16" cm="1">
        <f t="array" ref="BP48">IFERROR(INDEX(_xlfn.ANCHORARRAY(_xlfn.XLOOKUP($C48,'-ref_Distribution'!$B$146:$B$150,'-ref_Distribution'!$G$146:$G$150)),RIGHT(BP$1,2)),"")</f>
        <v>414</v>
      </c>
      <c r="BQ48" s="16" cm="1">
        <f t="array" ref="BQ48">IFERROR(INDEX(_xlfn.ANCHORARRAY(_xlfn.XLOOKUP($C48,'-ref_Distribution'!$B$146:$B$150,'-ref_Distribution'!$G$146:$G$150)),RIGHT(BQ$1,2)),"")</f>
        <v>417</v>
      </c>
      <c r="BR48" s="16" cm="1">
        <f t="array" ref="BR48">IFERROR(INDEX(_xlfn.ANCHORARRAY(_xlfn.XLOOKUP($C48,'-ref_Distribution'!$B$146:$B$150,'-ref_Distribution'!$G$146:$G$150)),RIGHT(BR$1,2)),"")</f>
        <v>414</v>
      </c>
      <c r="BS48" s="16" cm="1">
        <f t="array" ref="BS48">IFERROR(INDEX(_xlfn.ANCHORARRAY(_xlfn.XLOOKUP($C48,'-ref_Distribution'!$B$146:$B$150,'-ref_Distribution'!$G$146:$G$150)),RIGHT(BS$1,2)),"")</f>
        <v>403</v>
      </c>
      <c r="BT48" s="16" cm="1">
        <f t="array" ref="BT48">IFERROR(INDEX(_xlfn.ANCHORARRAY(_xlfn.XLOOKUP($C48,'-ref_Distribution'!$B$146:$B$150,'-ref_Distribution'!$G$146:$G$150)),RIGHT(BT$1,2)),"")</f>
        <v>386</v>
      </c>
      <c r="BU48" s="16" cm="1">
        <f t="array" ref="BU48">IFERROR(INDEX(_xlfn.ANCHORARRAY(_xlfn.XLOOKUP($C48,'-ref_Distribution'!$B$146:$B$150,'-ref_Distribution'!$G$146:$G$150)),RIGHT(BU$1,2)),"")</f>
        <v>364</v>
      </c>
      <c r="BV48" s="16" cm="1">
        <f t="array" ref="BV48">IFERROR(INDEX(_xlfn.ANCHORARRAY(_xlfn.XLOOKUP($C48,'-ref_Distribution'!$B$146:$B$150,'-ref_Distribution'!$G$146:$G$150)),RIGHT(BV$1,2)),"")</f>
        <v>337</v>
      </c>
      <c r="BW48" s="16" cm="1">
        <f t="array" ref="BW48">IFERROR(INDEX(_xlfn.ANCHORARRAY(_xlfn.XLOOKUP($C48,'-ref_Distribution'!$B$146:$B$150,'-ref_Distribution'!$G$146:$G$150)),RIGHT(BW$1,2)),"")</f>
        <v>307</v>
      </c>
      <c r="BX48" s="16" cm="1">
        <f t="array" ref="BX48">IFERROR(INDEX(_xlfn.ANCHORARRAY(_xlfn.XLOOKUP($C48,'-ref_Distribution'!$B$146:$B$150,'-ref_Distribution'!$G$146:$G$150)),RIGHT(BX$1,2)),"")</f>
        <v>274</v>
      </c>
      <c r="BY48" s="16" cm="1">
        <f t="array" ref="BY48">IFERROR(INDEX(_xlfn.ANCHORARRAY(_xlfn.XLOOKUP($C48,'-ref_Distribution'!$B$146:$B$150,'-ref_Distribution'!$G$146:$G$150)),RIGHT(BY$1,2)),"")</f>
        <v>241</v>
      </c>
      <c r="BZ48" s="16" cm="1">
        <f t="array" ref="BZ48">IFERROR(INDEX(_xlfn.ANCHORARRAY(_xlfn.XLOOKUP($C48,'-ref_Distribution'!$B$146:$B$150,'-ref_Distribution'!$G$146:$G$150)),RIGHT(BZ$1,2)),"")</f>
        <v>209</v>
      </c>
      <c r="CA48" s="16" cm="1">
        <f t="array" ref="CA48">IFERROR(INDEX(_xlfn.ANCHORARRAY(_xlfn.XLOOKUP($C48,'-ref_Distribution'!$B$146:$B$150,'-ref_Distribution'!$G$146:$G$150)),RIGHT(CA$1,2)),"")</f>
        <v>178</v>
      </c>
      <c r="CB48" s="16" cm="1">
        <f t="array" ref="CB48">IFERROR(INDEX(_xlfn.ANCHORARRAY(_xlfn.XLOOKUP($C48,'-ref_Distribution'!$B$146:$B$150,'-ref_Distribution'!$G$146:$G$150)),RIGHT(CB$1,2)),"")</f>
        <v>148</v>
      </c>
      <c r="CC48" s="16" cm="1">
        <f t="array" ref="CC48">IFERROR(INDEX(_xlfn.ANCHORARRAY(_xlfn.XLOOKUP($C48,'-ref_Distribution'!$B$146:$B$150,'-ref_Distribution'!$G$146:$G$150)),RIGHT(CC$1,2)),"")</f>
        <v>122</v>
      </c>
      <c r="CD48" s="16" cm="1">
        <f t="array" ref="CD48">IFERROR(INDEX(_xlfn.ANCHORARRAY(_xlfn.XLOOKUP($C48,'-ref_Distribution'!$B$146:$B$150,'-ref_Distribution'!$G$146:$G$150)),RIGHT(CD$1,2)),"")</f>
        <v>98</v>
      </c>
      <c r="CE48" s="16" cm="1">
        <f t="array" ref="CE48">IFERROR(INDEX(_xlfn.ANCHORARRAY(_xlfn.XLOOKUP($C48,'-ref_Distribution'!$B$146:$B$150,'-ref_Distribution'!$G$146:$G$150)),RIGHT(CE$1,2)),"")</f>
        <v>78</v>
      </c>
    </row>
    <row r="49" spans="1:83" x14ac:dyDescent="0.2">
      <c r="A49" s="16">
        <v>302033</v>
      </c>
      <c r="B49" s="16" t="s">
        <v>222</v>
      </c>
      <c r="C49" s="16">
        <v>2</v>
      </c>
      <c r="D49" s="16" cm="1">
        <f t="array" ref="D49">IFERROR(INDEX(_xlfn.ANCHORARRAY(_xlfn.XLOOKUP($C49,'-ref_Distribution'!$B$146:$B$150,'-ref_Distribution'!$G$146:$G$150)),RIGHT(D$1,2)),"")</f>
        <v>75</v>
      </c>
      <c r="E49" s="16" cm="1">
        <f t="array" ref="E49">IFERROR(INDEX(_xlfn.ANCHORARRAY(_xlfn.XLOOKUP($C49,'-ref_Distribution'!$B$146:$B$150,'-ref_Distribution'!$G$146:$G$150)),RIGHT(E$1,2)),"")</f>
        <v>94</v>
      </c>
      <c r="F49" s="16" cm="1">
        <f t="array" ref="F49">IFERROR(INDEX(_xlfn.ANCHORARRAY(_xlfn.XLOOKUP($C49,'-ref_Distribution'!$B$146:$B$150,'-ref_Distribution'!$G$146:$G$150)),RIGHT(F$1,2)),"")</f>
        <v>115</v>
      </c>
      <c r="G49" s="16" cm="1">
        <f t="array" ref="G49">IFERROR(INDEX(_xlfn.ANCHORARRAY(_xlfn.XLOOKUP($C49,'-ref_Distribution'!$B$146:$B$150,'-ref_Distribution'!$G$146:$G$150)),RIGHT(G$1,2)),"")</f>
        <v>137</v>
      </c>
      <c r="H49" s="16" cm="1">
        <f t="array" ref="H49">IFERROR(INDEX(_xlfn.ANCHORARRAY(_xlfn.XLOOKUP($C49,'-ref_Distribution'!$B$146:$B$150,'-ref_Distribution'!$G$146:$G$150)),RIGHT(H$1,2)),"")</f>
        <v>160</v>
      </c>
      <c r="I49" s="16" cm="1">
        <f t="array" ref="I49">IFERROR(INDEX(_xlfn.ANCHORARRAY(_xlfn.XLOOKUP($C49,'-ref_Distribution'!$B$146:$B$150,'-ref_Distribution'!$G$146:$G$150)),RIGHT(I$1,2)),"")</f>
        <v>183</v>
      </c>
      <c r="J49" s="16" cm="1">
        <f t="array" ref="J49">IFERROR(INDEX(_xlfn.ANCHORARRAY(_xlfn.XLOOKUP($C49,'-ref_Distribution'!$B$146:$B$150,'-ref_Distribution'!$G$146:$G$150)),RIGHT(J$1,2)),"")</f>
        <v>203</v>
      </c>
      <c r="K49" s="16" cm="1">
        <f t="array" ref="K49">IFERROR(INDEX(_xlfn.ANCHORARRAY(_xlfn.XLOOKUP($C49,'-ref_Distribution'!$B$146:$B$150,'-ref_Distribution'!$G$146:$G$150)),RIGHT(K$1,2)),"")</f>
        <v>221</v>
      </c>
      <c r="L49" s="16" cm="1">
        <f t="array" ref="L49">IFERROR(INDEX(_xlfn.ANCHORARRAY(_xlfn.XLOOKUP($C49,'-ref_Distribution'!$B$146:$B$150,'-ref_Distribution'!$G$146:$G$150)),RIGHT(L$1,2)),"")</f>
        <v>234</v>
      </c>
      <c r="M49" s="16" cm="1">
        <f t="array" ref="M49">IFERROR(INDEX(_xlfn.ANCHORARRAY(_xlfn.XLOOKUP($C49,'-ref_Distribution'!$B$146:$B$150,'-ref_Distribution'!$G$146:$G$150)),RIGHT(M$1,2)),"")</f>
        <v>243</v>
      </c>
      <c r="N49" s="16" cm="1">
        <f t="array" ref="N49">IFERROR(INDEX(_xlfn.ANCHORARRAY(_xlfn.XLOOKUP($C49,'-ref_Distribution'!$B$146:$B$150,'-ref_Distribution'!$G$146:$G$150)),RIGHT(N$1,2)),"")</f>
        <v>245</v>
      </c>
      <c r="O49" s="16" cm="1">
        <f t="array" ref="O49">IFERROR(INDEX(_xlfn.ANCHORARRAY(_xlfn.XLOOKUP($C49,'-ref_Distribution'!$B$146:$B$150,'-ref_Distribution'!$G$146:$G$150)),RIGHT(O$1,2)),"")</f>
        <v>243</v>
      </c>
      <c r="P49" s="16" cm="1">
        <f t="array" ref="P49">IFERROR(INDEX(_xlfn.ANCHORARRAY(_xlfn.XLOOKUP($C49,'-ref_Distribution'!$B$146:$B$150,'-ref_Distribution'!$G$146:$G$150)),RIGHT(P$1,2)),"")</f>
        <v>234</v>
      </c>
      <c r="Q49" s="16" cm="1">
        <f t="array" ref="Q49">IFERROR(INDEX(_xlfn.ANCHORARRAY(_xlfn.XLOOKUP($C49,'-ref_Distribution'!$B$146:$B$150,'-ref_Distribution'!$G$146:$G$150)),RIGHT(Q$1,2)),"")</f>
        <v>221</v>
      </c>
      <c r="R49" s="16" cm="1">
        <f t="array" ref="R49">IFERROR(INDEX(_xlfn.ANCHORARRAY(_xlfn.XLOOKUP($C49,'-ref_Distribution'!$B$146:$B$150,'-ref_Distribution'!$G$146:$G$150)),RIGHT(R$1,2)),"")</f>
        <v>203</v>
      </c>
      <c r="S49" s="16" cm="1">
        <f t="array" ref="S49">IFERROR(INDEX(_xlfn.ANCHORARRAY(_xlfn.XLOOKUP($C49,'-ref_Distribution'!$B$146:$B$150,'-ref_Distribution'!$G$146:$G$150)),RIGHT(S$1,2)),"")</f>
        <v>183</v>
      </c>
      <c r="T49" s="16" cm="1">
        <f t="array" ref="T49">IFERROR(INDEX(_xlfn.ANCHORARRAY(_xlfn.XLOOKUP($C49,'-ref_Distribution'!$B$146:$B$150,'-ref_Distribution'!$G$146:$G$150)),RIGHT(T$1,2)),"")</f>
        <v>160</v>
      </c>
      <c r="U49" s="16" cm="1">
        <f t="array" ref="U49">IFERROR(INDEX(_xlfn.ANCHORARRAY(_xlfn.XLOOKUP($C49,'-ref_Distribution'!$B$146:$B$150,'-ref_Distribution'!$G$146:$G$150)),RIGHT(U$1,2)),"")</f>
        <v>137</v>
      </c>
      <c r="V49" s="16" cm="1">
        <f t="array" ref="V49">IFERROR(INDEX(_xlfn.ANCHORARRAY(_xlfn.XLOOKUP($C49,'-ref_Distribution'!$B$146:$B$150,'-ref_Distribution'!$G$146:$G$150)),RIGHT(V$1,2)),"")</f>
        <v>115</v>
      </c>
      <c r="W49" s="16" cm="1">
        <f t="array" ref="W49">IFERROR(INDEX(_xlfn.ANCHORARRAY(_xlfn.XLOOKUP($C49,'-ref_Distribution'!$B$146:$B$150,'-ref_Distribution'!$G$146:$G$150)),RIGHT(W$1,2)),"")</f>
        <v>94</v>
      </c>
      <c r="X49" s="16" cm="1">
        <f t="array" ref="X49">IFERROR(INDEX(_xlfn.ANCHORARRAY(_xlfn.XLOOKUP($C49,'-ref_Distribution'!$B$146:$B$150,'-ref_Distribution'!$G$146:$G$150)),RIGHT(X$1,2)),"")</f>
        <v>75</v>
      </c>
      <c r="Y49" s="16" cm="1">
        <f t="array" ref="Y49">IFERROR(INDEX(_xlfn.ANCHORARRAY(_xlfn.XLOOKUP($C49,'-ref_Distribution'!$B$146:$B$150,'-ref_Distribution'!$G$146:$G$150)),RIGHT(Y$1,2)),"")</f>
        <v>94</v>
      </c>
      <c r="Z49" s="16" cm="1">
        <f t="array" ref="Z49">IFERROR(INDEX(_xlfn.ANCHORARRAY(_xlfn.XLOOKUP($C49,'-ref_Distribution'!$B$146:$B$150,'-ref_Distribution'!$G$146:$G$150)),RIGHT(Z$1,2)),"")</f>
        <v>115</v>
      </c>
      <c r="AA49" s="16" cm="1">
        <f t="array" ref="AA49">IFERROR(INDEX(_xlfn.ANCHORARRAY(_xlfn.XLOOKUP($C49,'-ref_Distribution'!$B$146:$B$150,'-ref_Distribution'!$G$146:$G$150)),RIGHT(AA$1,2)),"")</f>
        <v>137</v>
      </c>
      <c r="AB49" s="16" cm="1">
        <f t="array" ref="AB49">IFERROR(INDEX(_xlfn.ANCHORARRAY(_xlfn.XLOOKUP($C49,'-ref_Distribution'!$B$146:$B$150,'-ref_Distribution'!$G$146:$G$150)),RIGHT(AB$1,2)),"")</f>
        <v>160</v>
      </c>
      <c r="AC49" s="16" cm="1">
        <f t="array" ref="AC49">IFERROR(INDEX(_xlfn.ANCHORARRAY(_xlfn.XLOOKUP($C49,'-ref_Distribution'!$B$146:$B$150,'-ref_Distribution'!$G$146:$G$150)),RIGHT(AC$1,2)),"")</f>
        <v>183</v>
      </c>
      <c r="AD49" s="16" cm="1">
        <f t="array" ref="AD49">IFERROR(INDEX(_xlfn.ANCHORARRAY(_xlfn.XLOOKUP($C49,'-ref_Distribution'!$B$146:$B$150,'-ref_Distribution'!$G$146:$G$150)),RIGHT(AD$1,2)),"")</f>
        <v>203</v>
      </c>
      <c r="AE49" s="16" cm="1">
        <f t="array" ref="AE49">IFERROR(INDEX(_xlfn.ANCHORARRAY(_xlfn.XLOOKUP($C49,'-ref_Distribution'!$B$146:$B$150,'-ref_Distribution'!$G$146:$G$150)),RIGHT(AE$1,2)),"")</f>
        <v>221</v>
      </c>
      <c r="AF49" s="16" cm="1">
        <f t="array" ref="AF49">IFERROR(INDEX(_xlfn.ANCHORARRAY(_xlfn.XLOOKUP($C49,'-ref_Distribution'!$B$146:$B$150,'-ref_Distribution'!$G$146:$G$150)),RIGHT(AF$1,2)),"")</f>
        <v>234</v>
      </c>
      <c r="AG49" s="16" cm="1">
        <f t="array" ref="AG49">IFERROR(INDEX(_xlfn.ANCHORARRAY(_xlfn.XLOOKUP($C49,'-ref_Distribution'!$B$146:$B$150,'-ref_Distribution'!$G$146:$G$150)),RIGHT(AG$1,2)),"")</f>
        <v>243</v>
      </c>
      <c r="AH49" s="16" cm="1">
        <f t="array" ref="AH49">IFERROR(INDEX(_xlfn.ANCHORARRAY(_xlfn.XLOOKUP($C49,'-ref_Distribution'!$B$146:$B$150,'-ref_Distribution'!$G$146:$G$150)),RIGHT(AH$1,2)),"")</f>
        <v>245</v>
      </c>
      <c r="AI49" s="16" cm="1">
        <f t="array" ref="AI49">IFERROR(INDEX(_xlfn.ANCHORARRAY(_xlfn.XLOOKUP($C49,'-ref_Distribution'!$B$146:$B$150,'-ref_Distribution'!$G$146:$G$150)),RIGHT(AI$1,2)),"")</f>
        <v>243</v>
      </c>
      <c r="AJ49" s="16" cm="1">
        <f t="array" ref="AJ49">IFERROR(INDEX(_xlfn.ANCHORARRAY(_xlfn.XLOOKUP($C49,'-ref_Distribution'!$B$146:$B$150,'-ref_Distribution'!$G$146:$G$150)),RIGHT(AJ$1,2)),"")</f>
        <v>234</v>
      </c>
      <c r="AK49" s="16" cm="1">
        <f t="array" ref="AK49">IFERROR(INDEX(_xlfn.ANCHORARRAY(_xlfn.XLOOKUP($C49,'-ref_Distribution'!$B$146:$B$150,'-ref_Distribution'!$G$146:$G$150)),RIGHT(AK$1,2)),"")</f>
        <v>221</v>
      </c>
      <c r="AL49" s="16" cm="1">
        <f t="array" ref="AL49">IFERROR(INDEX(_xlfn.ANCHORARRAY(_xlfn.XLOOKUP($C49,'-ref_Distribution'!$B$146:$B$150,'-ref_Distribution'!$G$146:$G$150)),RIGHT(AL$1,2)),"")</f>
        <v>203</v>
      </c>
      <c r="AM49" s="16" cm="1">
        <f t="array" ref="AM49">IFERROR(INDEX(_xlfn.ANCHORARRAY(_xlfn.XLOOKUP($C49,'-ref_Distribution'!$B$146:$B$150,'-ref_Distribution'!$G$146:$G$150)),RIGHT(AM$1,2)),"")</f>
        <v>183</v>
      </c>
      <c r="AN49" s="16" cm="1">
        <f t="array" ref="AN49">IFERROR(INDEX(_xlfn.ANCHORARRAY(_xlfn.XLOOKUP($C49,'-ref_Distribution'!$B$146:$B$150,'-ref_Distribution'!$G$146:$G$150)),RIGHT(AN$1,2)),"")</f>
        <v>160</v>
      </c>
      <c r="AO49" s="16" cm="1">
        <f t="array" ref="AO49">IFERROR(INDEX(_xlfn.ANCHORARRAY(_xlfn.XLOOKUP($C49,'-ref_Distribution'!$B$146:$B$150,'-ref_Distribution'!$G$146:$G$150)),RIGHT(AO$1,2)),"")</f>
        <v>137</v>
      </c>
      <c r="AP49" s="16" cm="1">
        <f t="array" ref="AP49">IFERROR(INDEX(_xlfn.ANCHORARRAY(_xlfn.XLOOKUP($C49,'-ref_Distribution'!$B$146:$B$150,'-ref_Distribution'!$G$146:$G$150)),RIGHT(AP$1,2)),"")</f>
        <v>115</v>
      </c>
      <c r="AQ49" s="16" cm="1">
        <f t="array" ref="AQ49">IFERROR(INDEX(_xlfn.ANCHORARRAY(_xlfn.XLOOKUP($C49,'-ref_Distribution'!$B$146:$B$150,'-ref_Distribution'!$G$146:$G$150)),RIGHT(AQ$1,2)),"")</f>
        <v>94</v>
      </c>
      <c r="AR49" s="16" cm="1">
        <f t="array" ref="AR49">IFERROR(INDEX(_xlfn.ANCHORARRAY(_xlfn.XLOOKUP($C49,'-ref_Distribution'!$B$146:$B$150,'-ref_Distribution'!$G$146:$G$150)),RIGHT(AR$1,2)),"")</f>
        <v>75</v>
      </c>
      <c r="AS49" s="16" cm="1">
        <f t="array" ref="AS49">IFERROR(INDEX(_xlfn.ANCHORARRAY(_xlfn.XLOOKUP($C49,'-ref_Distribution'!$B$146:$B$150,'-ref_Distribution'!$G$146:$G$150)),RIGHT(AS$1,2)),"")</f>
        <v>94</v>
      </c>
      <c r="AT49" s="16" cm="1">
        <f t="array" ref="AT49">IFERROR(INDEX(_xlfn.ANCHORARRAY(_xlfn.XLOOKUP($C49,'-ref_Distribution'!$B$146:$B$150,'-ref_Distribution'!$G$146:$G$150)),RIGHT(AT$1,2)),"")</f>
        <v>115</v>
      </c>
      <c r="AU49" s="16" cm="1">
        <f t="array" ref="AU49">IFERROR(INDEX(_xlfn.ANCHORARRAY(_xlfn.XLOOKUP($C49,'-ref_Distribution'!$B$146:$B$150,'-ref_Distribution'!$G$146:$G$150)),RIGHT(AU$1,2)),"")</f>
        <v>137</v>
      </c>
      <c r="AV49" s="16" cm="1">
        <f t="array" ref="AV49">IFERROR(INDEX(_xlfn.ANCHORARRAY(_xlfn.XLOOKUP($C49,'-ref_Distribution'!$B$146:$B$150,'-ref_Distribution'!$G$146:$G$150)),RIGHT(AV$1,2)),"")</f>
        <v>160</v>
      </c>
      <c r="AW49" s="16" cm="1">
        <f t="array" ref="AW49">IFERROR(INDEX(_xlfn.ANCHORARRAY(_xlfn.XLOOKUP($C49,'-ref_Distribution'!$B$146:$B$150,'-ref_Distribution'!$G$146:$G$150)),RIGHT(AW$1,2)),"")</f>
        <v>183</v>
      </c>
      <c r="AX49" s="16" cm="1">
        <f t="array" ref="AX49">IFERROR(INDEX(_xlfn.ANCHORARRAY(_xlfn.XLOOKUP($C49,'-ref_Distribution'!$B$146:$B$150,'-ref_Distribution'!$G$146:$G$150)),RIGHT(AX$1,2)),"")</f>
        <v>203</v>
      </c>
      <c r="AY49" s="16" cm="1">
        <f t="array" ref="AY49">IFERROR(INDEX(_xlfn.ANCHORARRAY(_xlfn.XLOOKUP($C49,'-ref_Distribution'!$B$146:$B$150,'-ref_Distribution'!$G$146:$G$150)),RIGHT(AY$1,2)),"")</f>
        <v>221</v>
      </c>
      <c r="AZ49" s="16" cm="1">
        <f t="array" ref="AZ49">IFERROR(INDEX(_xlfn.ANCHORARRAY(_xlfn.XLOOKUP($C49,'-ref_Distribution'!$B$146:$B$150,'-ref_Distribution'!$G$146:$G$150)),RIGHT(AZ$1,2)),"")</f>
        <v>234</v>
      </c>
      <c r="BA49" s="16" cm="1">
        <f t="array" ref="BA49">IFERROR(INDEX(_xlfn.ANCHORARRAY(_xlfn.XLOOKUP($C49,'-ref_Distribution'!$B$146:$B$150,'-ref_Distribution'!$G$146:$G$150)),RIGHT(BA$1,2)),"")</f>
        <v>243</v>
      </c>
      <c r="BB49" s="16" cm="1">
        <f t="array" ref="BB49">IFERROR(INDEX(_xlfn.ANCHORARRAY(_xlfn.XLOOKUP($C49,'-ref_Distribution'!$B$146:$B$150,'-ref_Distribution'!$G$146:$G$150)),RIGHT(BB$1,2)),"")</f>
        <v>245</v>
      </c>
      <c r="BC49" s="16" cm="1">
        <f t="array" ref="BC49">IFERROR(INDEX(_xlfn.ANCHORARRAY(_xlfn.XLOOKUP($C49,'-ref_Distribution'!$B$146:$B$150,'-ref_Distribution'!$G$146:$G$150)),RIGHT(BC$1,2)),"")</f>
        <v>243</v>
      </c>
      <c r="BD49" s="16" cm="1">
        <f t="array" ref="BD49">IFERROR(INDEX(_xlfn.ANCHORARRAY(_xlfn.XLOOKUP($C49,'-ref_Distribution'!$B$146:$B$150,'-ref_Distribution'!$G$146:$G$150)),RIGHT(BD$1,2)),"")</f>
        <v>234</v>
      </c>
      <c r="BE49" s="16" cm="1">
        <f t="array" ref="BE49">IFERROR(INDEX(_xlfn.ANCHORARRAY(_xlfn.XLOOKUP($C49,'-ref_Distribution'!$B$146:$B$150,'-ref_Distribution'!$G$146:$G$150)),RIGHT(BE$1,2)),"")</f>
        <v>221</v>
      </c>
      <c r="BF49" s="16" cm="1">
        <f t="array" ref="BF49">IFERROR(INDEX(_xlfn.ANCHORARRAY(_xlfn.XLOOKUP($C49,'-ref_Distribution'!$B$146:$B$150,'-ref_Distribution'!$G$146:$G$150)),RIGHT(BF$1,2)),"")</f>
        <v>203</v>
      </c>
      <c r="BG49" s="16" cm="1">
        <f t="array" ref="BG49">IFERROR(INDEX(_xlfn.ANCHORARRAY(_xlfn.XLOOKUP($C49,'-ref_Distribution'!$B$146:$B$150,'-ref_Distribution'!$G$146:$G$150)),RIGHT(BG$1,2)),"")</f>
        <v>183</v>
      </c>
      <c r="BH49" s="16" cm="1">
        <f t="array" ref="BH49">IFERROR(INDEX(_xlfn.ANCHORARRAY(_xlfn.XLOOKUP($C49,'-ref_Distribution'!$B$146:$B$150,'-ref_Distribution'!$G$146:$G$150)),RIGHT(BH$1,2)),"")</f>
        <v>160</v>
      </c>
      <c r="BI49" s="16" cm="1">
        <f t="array" ref="BI49">IFERROR(INDEX(_xlfn.ANCHORARRAY(_xlfn.XLOOKUP($C49,'-ref_Distribution'!$B$146:$B$150,'-ref_Distribution'!$G$146:$G$150)),RIGHT(BI$1,2)),"")</f>
        <v>137</v>
      </c>
      <c r="BJ49" s="16" cm="1">
        <f t="array" ref="BJ49">IFERROR(INDEX(_xlfn.ANCHORARRAY(_xlfn.XLOOKUP($C49,'-ref_Distribution'!$B$146:$B$150,'-ref_Distribution'!$G$146:$G$150)),RIGHT(BJ$1,2)),"")</f>
        <v>115</v>
      </c>
      <c r="BK49" s="16" cm="1">
        <f t="array" ref="BK49">IFERROR(INDEX(_xlfn.ANCHORARRAY(_xlfn.XLOOKUP($C49,'-ref_Distribution'!$B$146:$B$150,'-ref_Distribution'!$G$146:$G$150)),RIGHT(BK$1,2)),"")</f>
        <v>94</v>
      </c>
      <c r="BL49" s="16" cm="1">
        <f t="array" ref="BL49">IFERROR(INDEX(_xlfn.ANCHORARRAY(_xlfn.XLOOKUP($C49,'-ref_Distribution'!$B$146:$B$150,'-ref_Distribution'!$G$146:$G$150)),RIGHT(BL$1,2)),"")</f>
        <v>75</v>
      </c>
      <c r="BM49" s="16" cm="1">
        <f t="array" ref="BM49">IFERROR(INDEX(_xlfn.ANCHORARRAY(_xlfn.XLOOKUP($C49,'-ref_Distribution'!$B$146:$B$150,'-ref_Distribution'!$G$146:$G$150)),RIGHT(BM$1,2)),"")</f>
        <v>94</v>
      </c>
      <c r="BN49" s="16" cm="1">
        <f t="array" ref="BN49">IFERROR(INDEX(_xlfn.ANCHORARRAY(_xlfn.XLOOKUP($C49,'-ref_Distribution'!$B$146:$B$150,'-ref_Distribution'!$G$146:$G$150)),RIGHT(BN$1,2)),"")</f>
        <v>115</v>
      </c>
      <c r="BO49" s="16" cm="1">
        <f t="array" ref="BO49">IFERROR(INDEX(_xlfn.ANCHORARRAY(_xlfn.XLOOKUP($C49,'-ref_Distribution'!$B$146:$B$150,'-ref_Distribution'!$G$146:$G$150)),RIGHT(BO$1,2)),"")</f>
        <v>137</v>
      </c>
      <c r="BP49" s="16" cm="1">
        <f t="array" ref="BP49">IFERROR(INDEX(_xlfn.ANCHORARRAY(_xlfn.XLOOKUP($C49,'-ref_Distribution'!$B$146:$B$150,'-ref_Distribution'!$G$146:$G$150)),RIGHT(BP$1,2)),"")</f>
        <v>160</v>
      </c>
      <c r="BQ49" s="16" cm="1">
        <f t="array" ref="BQ49">IFERROR(INDEX(_xlfn.ANCHORARRAY(_xlfn.XLOOKUP($C49,'-ref_Distribution'!$B$146:$B$150,'-ref_Distribution'!$G$146:$G$150)),RIGHT(BQ$1,2)),"")</f>
        <v>183</v>
      </c>
      <c r="BR49" s="16" cm="1">
        <f t="array" ref="BR49">IFERROR(INDEX(_xlfn.ANCHORARRAY(_xlfn.XLOOKUP($C49,'-ref_Distribution'!$B$146:$B$150,'-ref_Distribution'!$G$146:$G$150)),RIGHT(BR$1,2)),"")</f>
        <v>203</v>
      </c>
      <c r="BS49" s="16" cm="1">
        <f t="array" ref="BS49">IFERROR(INDEX(_xlfn.ANCHORARRAY(_xlfn.XLOOKUP($C49,'-ref_Distribution'!$B$146:$B$150,'-ref_Distribution'!$G$146:$G$150)),RIGHT(BS$1,2)),"")</f>
        <v>221</v>
      </c>
      <c r="BT49" s="16" cm="1">
        <f t="array" ref="BT49">IFERROR(INDEX(_xlfn.ANCHORARRAY(_xlfn.XLOOKUP($C49,'-ref_Distribution'!$B$146:$B$150,'-ref_Distribution'!$G$146:$G$150)),RIGHT(BT$1,2)),"")</f>
        <v>234</v>
      </c>
      <c r="BU49" s="16" cm="1">
        <f t="array" ref="BU49">IFERROR(INDEX(_xlfn.ANCHORARRAY(_xlfn.XLOOKUP($C49,'-ref_Distribution'!$B$146:$B$150,'-ref_Distribution'!$G$146:$G$150)),RIGHT(BU$1,2)),"")</f>
        <v>243</v>
      </c>
      <c r="BV49" s="16" cm="1">
        <f t="array" ref="BV49">IFERROR(INDEX(_xlfn.ANCHORARRAY(_xlfn.XLOOKUP($C49,'-ref_Distribution'!$B$146:$B$150,'-ref_Distribution'!$G$146:$G$150)),RIGHT(BV$1,2)),"")</f>
        <v>245</v>
      </c>
      <c r="BW49" s="16" cm="1">
        <f t="array" ref="BW49">IFERROR(INDEX(_xlfn.ANCHORARRAY(_xlfn.XLOOKUP($C49,'-ref_Distribution'!$B$146:$B$150,'-ref_Distribution'!$G$146:$G$150)),RIGHT(BW$1,2)),"")</f>
        <v>243</v>
      </c>
      <c r="BX49" s="16" cm="1">
        <f t="array" ref="BX49">IFERROR(INDEX(_xlfn.ANCHORARRAY(_xlfn.XLOOKUP($C49,'-ref_Distribution'!$B$146:$B$150,'-ref_Distribution'!$G$146:$G$150)),RIGHT(BX$1,2)),"")</f>
        <v>234</v>
      </c>
      <c r="BY49" s="16" cm="1">
        <f t="array" ref="BY49">IFERROR(INDEX(_xlfn.ANCHORARRAY(_xlfn.XLOOKUP($C49,'-ref_Distribution'!$B$146:$B$150,'-ref_Distribution'!$G$146:$G$150)),RIGHT(BY$1,2)),"")</f>
        <v>221</v>
      </c>
      <c r="BZ49" s="16" cm="1">
        <f t="array" ref="BZ49">IFERROR(INDEX(_xlfn.ANCHORARRAY(_xlfn.XLOOKUP($C49,'-ref_Distribution'!$B$146:$B$150,'-ref_Distribution'!$G$146:$G$150)),RIGHT(BZ$1,2)),"")</f>
        <v>203</v>
      </c>
      <c r="CA49" s="16" cm="1">
        <f t="array" ref="CA49">IFERROR(INDEX(_xlfn.ANCHORARRAY(_xlfn.XLOOKUP($C49,'-ref_Distribution'!$B$146:$B$150,'-ref_Distribution'!$G$146:$G$150)),RIGHT(CA$1,2)),"")</f>
        <v>183</v>
      </c>
      <c r="CB49" s="16" cm="1">
        <f t="array" ref="CB49">IFERROR(INDEX(_xlfn.ANCHORARRAY(_xlfn.XLOOKUP($C49,'-ref_Distribution'!$B$146:$B$150,'-ref_Distribution'!$G$146:$G$150)),RIGHT(CB$1,2)),"")</f>
        <v>160</v>
      </c>
      <c r="CC49" s="16" cm="1">
        <f t="array" ref="CC49">IFERROR(INDEX(_xlfn.ANCHORARRAY(_xlfn.XLOOKUP($C49,'-ref_Distribution'!$B$146:$B$150,'-ref_Distribution'!$G$146:$G$150)),RIGHT(CC$1,2)),"")</f>
        <v>137</v>
      </c>
      <c r="CD49" s="16" cm="1">
        <f t="array" ref="CD49">IFERROR(INDEX(_xlfn.ANCHORARRAY(_xlfn.XLOOKUP($C49,'-ref_Distribution'!$B$146:$B$150,'-ref_Distribution'!$G$146:$G$150)),RIGHT(CD$1,2)),"")</f>
        <v>115</v>
      </c>
      <c r="CE49" s="16" cm="1">
        <f t="array" ref="CE49">IFERROR(INDEX(_xlfn.ANCHORARRAY(_xlfn.XLOOKUP($C49,'-ref_Distribution'!$B$146:$B$150,'-ref_Distribution'!$G$146:$G$150)),RIGHT(CE$1,2)),"")</f>
        <v>94</v>
      </c>
    </row>
    <row r="50" spans="1:83" x14ac:dyDescent="0.2">
      <c r="A50" s="16">
        <v>302034</v>
      </c>
      <c r="B50" s="16" t="s">
        <v>222</v>
      </c>
      <c r="C50" s="16">
        <v>3</v>
      </c>
      <c r="D50" s="16" cm="1">
        <f t="array" ref="D50">IFERROR(INDEX(_xlfn.ANCHORARRAY(_xlfn.XLOOKUP($C50,'-ref_Distribution'!$B$146:$B$150,'-ref_Distribution'!$G$146:$G$150)),RIGHT(D$1,2)),"")</f>
        <v>4</v>
      </c>
      <c r="E50" s="16" cm="1">
        <f t="array" ref="E50">IFERROR(INDEX(_xlfn.ANCHORARRAY(_xlfn.XLOOKUP($C50,'-ref_Distribution'!$B$146:$B$150,'-ref_Distribution'!$G$146:$G$150)),RIGHT(E$1,2)),"")</f>
        <v>6</v>
      </c>
      <c r="F50" s="16" cm="1">
        <f t="array" ref="F50">IFERROR(INDEX(_xlfn.ANCHORARRAY(_xlfn.XLOOKUP($C50,'-ref_Distribution'!$B$146:$B$150,'-ref_Distribution'!$G$146:$G$150)),RIGHT(F$1,2)),"")</f>
        <v>9</v>
      </c>
      <c r="G50" s="16" cm="1">
        <f t="array" ref="G50">IFERROR(INDEX(_xlfn.ANCHORARRAY(_xlfn.XLOOKUP($C50,'-ref_Distribution'!$B$146:$B$150,'-ref_Distribution'!$G$146:$G$150)),RIGHT(G$1,2)),"")</f>
        <v>14</v>
      </c>
      <c r="H50" s="16" cm="1">
        <f t="array" ref="H50">IFERROR(INDEX(_xlfn.ANCHORARRAY(_xlfn.XLOOKUP($C50,'-ref_Distribution'!$B$146:$B$150,'-ref_Distribution'!$G$146:$G$150)),RIGHT(H$1,2)),"")</f>
        <v>20</v>
      </c>
      <c r="I50" s="16" cm="1">
        <f t="array" ref="I50">IFERROR(INDEX(_xlfn.ANCHORARRAY(_xlfn.XLOOKUP($C50,'-ref_Distribution'!$B$146:$B$150,'-ref_Distribution'!$G$146:$G$150)),RIGHT(I$1,2)),"")</f>
        <v>28</v>
      </c>
      <c r="J50" s="16" cm="1">
        <f t="array" ref="J50">IFERROR(INDEX(_xlfn.ANCHORARRAY(_xlfn.XLOOKUP($C50,'-ref_Distribution'!$B$146:$B$150,'-ref_Distribution'!$G$146:$G$150)),RIGHT(J$1,2)),"")</f>
        <v>38</v>
      </c>
      <c r="K50" s="16" cm="1">
        <f t="array" ref="K50">IFERROR(INDEX(_xlfn.ANCHORARRAY(_xlfn.XLOOKUP($C50,'-ref_Distribution'!$B$146:$B$150,'-ref_Distribution'!$G$146:$G$150)),RIGHT(K$1,2)),"")</f>
        <v>51</v>
      </c>
      <c r="L50" s="16" cm="1">
        <f t="array" ref="L50">IFERROR(INDEX(_xlfn.ANCHORARRAY(_xlfn.XLOOKUP($C50,'-ref_Distribution'!$B$146:$B$150,'-ref_Distribution'!$G$146:$G$150)),RIGHT(L$1,2)),"")</f>
        <v>65</v>
      </c>
      <c r="M50" s="16" cm="1">
        <f t="array" ref="M50">IFERROR(INDEX(_xlfn.ANCHORARRAY(_xlfn.XLOOKUP($C50,'-ref_Distribution'!$B$146:$B$150,'-ref_Distribution'!$G$146:$G$150)),RIGHT(M$1,2)),"")</f>
        <v>80</v>
      </c>
      <c r="N50" s="16" cm="1">
        <f t="array" ref="N50">IFERROR(INDEX(_xlfn.ANCHORARRAY(_xlfn.XLOOKUP($C50,'-ref_Distribution'!$B$146:$B$150,'-ref_Distribution'!$G$146:$G$150)),RIGHT(N$1,2)),"")</f>
        <v>96</v>
      </c>
      <c r="O50" s="16" cm="1">
        <f t="array" ref="O50">IFERROR(INDEX(_xlfn.ANCHORARRAY(_xlfn.XLOOKUP($C50,'-ref_Distribution'!$B$146:$B$150,'-ref_Distribution'!$G$146:$G$150)),RIGHT(O$1,2)),"")</f>
        <v>111</v>
      </c>
      <c r="P50" s="16" cm="1">
        <f t="array" ref="P50">IFERROR(INDEX(_xlfn.ANCHORARRAY(_xlfn.XLOOKUP($C50,'-ref_Distribution'!$B$146:$B$150,'-ref_Distribution'!$G$146:$G$150)),RIGHT(P$1,2)),"")</f>
        <v>125</v>
      </c>
      <c r="Q50" s="16" cm="1">
        <f t="array" ref="Q50">IFERROR(INDEX(_xlfn.ANCHORARRAY(_xlfn.XLOOKUP($C50,'-ref_Distribution'!$B$146:$B$150,'-ref_Distribution'!$G$146:$G$150)),RIGHT(Q$1,2)),"")</f>
        <v>135</v>
      </c>
      <c r="R50" s="16" cm="1">
        <f t="array" ref="R50">IFERROR(INDEX(_xlfn.ANCHORARRAY(_xlfn.XLOOKUP($C50,'-ref_Distribution'!$B$146:$B$150,'-ref_Distribution'!$G$146:$G$150)),RIGHT(R$1,2)),"")</f>
        <v>142</v>
      </c>
      <c r="S50" s="16" cm="1">
        <f t="array" ref="S50">IFERROR(INDEX(_xlfn.ANCHORARRAY(_xlfn.XLOOKUP($C50,'-ref_Distribution'!$B$146:$B$150,'-ref_Distribution'!$G$146:$G$150)),RIGHT(S$1,2)),"")</f>
        <v>144</v>
      </c>
      <c r="T50" s="16" cm="1">
        <f t="array" ref="T50">IFERROR(INDEX(_xlfn.ANCHORARRAY(_xlfn.XLOOKUP($C50,'-ref_Distribution'!$B$146:$B$150,'-ref_Distribution'!$G$146:$G$150)),RIGHT(T$1,2)),"")</f>
        <v>142</v>
      </c>
      <c r="U50" s="16" cm="1">
        <f t="array" ref="U50">IFERROR(INDEX(_xlfn.ANCHORARRAY(_xlfn.XLOOKUP($C50,'-ref_Distribution'!$B$146:$B$150,'-ref_Distribution'!$G$146:$G$150)),RIGHT(U$1,2)),"")</f>
        <v>135</v>
      </c>
      <c r="V50" s="16" cm="1">
        <f t="array" ref="V50">IFERROR(INDEX(_xlfn.ANCHORARRAY(_xlfn.XLOOKUP($C50,'-ref_Distribution'!$B$146:$B$150,'-ref_Distribution'!$G$146:$G$150)),RIGHT(V$1,2)),"")</f>
        <v>125</v>
      </c>
      <c r="W50" s="16" cm="1">
        <f t="array" ref="W50">IFERROR(INDEX(_xlfn.ANCHORARRAY(_xlfn.XLOOKUP($C50,'-ref_Distribution'!$B$146:$B$150,'-ref_Distribution'!$G$146:$G$150)),RIGHT(W$1,2)),"")</f>
        <v>111</v>
      </c>
      <c r="X50" s="16" cm="1">
        <f t="array" ref="X50">IFERROR(INDEX(_xlfn.ANCHORARRAY(_xlfn.XLOOKUP($C50,'-ref_Distribution'!$B$146:$B$150,'-ref_Distribution'!$G$146:$G$150)),RIGHT(X$1,2)),"")</f>
        <v>4</v>
      </c>
      <c r="Y50" s="16" cm="1">
        <f t="array" ref="Y50">IFERROR(INDEX(_xlfn.ANCHORARRAY(_xlfn.XLOOKUP($C50,'-ref_Distribution'!$B$146:$B$150,'-ref_Distribution'!$G$146:$G$150)),RIGHT(Y$1,2)),"")</f>
        <v>6</v>
      </c>
      <c r="Z50" s="16" cm="1">
        <f t="array" ref="Z50">IFERROR(INDEX(_xlfn.ANCHORARRAY(_xlfn.XLOOKUP($C50,'-ref_Distribution'!$B$146:$B$150,'-ref_Distribution'!$G$146:$G$150)),RIGHT(Z$1,2)),"")</f>
        <v>9</v>
      </c>
      <c r="AA50" s="16" cm="1">
        <f t="array" ref="AA50">IFERROR(INDEX(_xlfn.ANCHORARRAY(_xlfn.XLOOKUP($C50,'-ref_Distribution'!$B$146:$B$150,'-ref_Distribution'!$G$146:$G$150)),RIGHT(AA$1,2)),"")</f>
        <v>14</v>
      </c>
      <c r="AB50" s="16" cm="1">
        <f t="array" ref="AB50">IFERROR(INDEX(_xlfn.ANCHORARRAY(_xlfn.XLOOKUP($C50,'-ref_Distribution'!$B$146:$B$150,'-ref_Distribution'!$G$146:$G$150)),RIGHT(AB$1,2)),"")</f>
        <v>20</v>
      </c>
      <c r="AC50" s="16" cm="1">
        <f t="array" ref="AC50">IFERROR(INDEX(_xlfn.ANCHORARRAY(_xlfn.XLOOKUP($C50,'-ref_Distribution'!$B$146:$B$150,'-ref_Distribution'!$G$146:$G$150)),RIGHT(AC$1,2)),"")</f>
        <v>28</v>
      </c>
      <c r="AD50" s="16" cm="1">
        <f t="array" ref="AD50">IFERROR(INDEX(_xlfn.ANCHORARRAY(_xlfn.XLOOKUP($C50,'-ref_Distribution'!$B$146:$B$150,'-ref_Distribution'!$G$146:$G$150)),RIGHT(AD$1,2)),"")</f>
        <v>38</v>
      </c>
      <c r="AE50" s="16" cm="1">
        <f t="array" ref="AE50">IFERROR(INDEX(_xlfn.ANCHORARRAY(_xlfn.XLOOKUP($C50,'-ref_Distribution'!$B$146:$B$150,'-ref_Distribution'!$G$146:$G$150)),RIGHT(AE$1,2)),"")</f>
        <v>51</v>
      </c>
      <c r="AF50" s="16" cm="1">
        <f t="array" ref="AF50">IFERROR(INDEX(_xlfn.ANCHORARRAY(_xlfn.XLOOKUP($C50,'-ref_Distribution'!$B$146:$B$150,'-ref_Distribution'!$G$146:$G$150)),RIGHT(AF$1,2)),"")</f>
        <v>65</v>
      </c>
      <c r="AG50" s="16" cm="1">
        <f t="array" ref="AG50">IFERROR(INDEX(_xlfn.ANCHORARRAY(_xlfn.XLOOKUP($C50,'-ref_Distribution'!$B$146:$B$150,'-ref_Distribution'!$G$146:$G$150)),RIGHT(AG$1,2)),"")</f>
        <v>80</v>
      </c>
      <c r="AH50" s="16" cm="1">
        <f t="array" ref="AH50">IFERROR(INDEX(_xlfn.ANCHORARRAY(_xlfn.XLOOKUP($C50,'-ref_Distribution'!$B$146:$B$150,'-ref_Distribution'!$G$146:$G$150)),RIGHT(AH$1,2)),"")</f>
        <v>96</v>
      </c>
      <c r="AI50" s="16" cm="1">
        <f t="array" ref="AI50">IFERROR(INDEX(_xlfn.ANCHORARRAY(_xlfn.XLOOKUP($C50,'-ref_Distribution'!$B$146:$B$150,'-ref_Distribution'!$G$146:$G$150)),RIGHT(AI$1,2)),"")</f>
        <v>111</v>
      </c>
      <c r="AJ50" s="16" cm="1">
        <f t="array" ref="AJ50">IFERROR(INDEX(_xlfn.ANCHORARRAY(_xlfn.XLOOKUP($C50,'-ref_Distribution'!$B$146:$B$150,'-ref_Distribution'!$G$146:$G$150)),RIGHT(AJ$1,2)),"")</f>
        <v>125</v>
      </c>
      <c r="AK50" s="16" cm="1">
        <f t="array" ref="AK50">IFERROR(INDEX(_xlfn.ANCHORARRAY(_xlfn.XLOOKUP($C50,'-ref_Distribution'!$B$146:$B$150,'-ref_Distribution'!$G$146:$G$150)),RIGHT(AK$1,2)),"")</f>
        <v>135</v>
      </c>
      <c r="AL50" s="16" cm="1">
        <f t="array" ref="AL50">IFERROR(INDEX(_xlfn.ANCHORARRAY(_xlfn.XLOOKUP($C50,'-ref_Distribution'!$B$146:$B$150,'-ref_Distribution'!$G$146:$G$150)),RIGHT(AL$1,2)),"")</f>
        <v>142</v>
      </c>
      <c r="AM50" s="16" cm="1">
        <f t="array" ref="AM50">IFERROR(INDEX(_xlfn.ANCHORARRAY(_xlfn.XLOOKUP($C50,'-ref_Distribution'!$B$146:$B$150,'-ref_Distribution'!$G$146:$G$150)),RIGHT(AM$1,2)),"")</f>
        <v>144</v>
      </c>
      <c r="AN50" s="16" cm="1">
        <f t="array" ref="AN50">IFERROR(INDEX(_xlfn.ANCHORARRAY(_xlfn.XLOOKUP($C50,'-ref_Distribution'!$B$146:$B$150,'-ref_Distribution'!$G$146:$G$150)),RIGHT(AN$1,2)),"")</f>
        <v>142</v>
      </c>
      <c r="AO50" s="16" cm="1">
        <f t="array" ref="AO50">IFERROR(INDEX(_xlfn.ANCHORARRAY(_xlfn.XLOOKUP($C50,'-ref_Distribution'!$B$146:$B$150,'-ref_Distribution'!$G$146:$G$150)),RIGHT(AO$1,2)),"")</f>
        <v>135</v>
      </c>
      <c r="AP50" s="16" cm="1">
        <f t="array" ref="AP50">IFERROR(INDEX(_xlfn.ANCHORARRAY(_xlfn.XLOOKUP($C50,'-ref_Distribution'!$B$146:$B$150,'-ref_Distribution'!$G$146:$G$150)),RIGHT(AP$1,2)),"")</f>
        <v>125</v>
      </c>
      <c r="AQ50" s="16" cm="1">
        <f t="array" ref="AQ50">IFERROR(INDEX(_xlfn.ANCHORARRAY(_xlfn.XLOOKUP($C50,'-ref_Distribution'!$B$146:$B$150,'-ref_Distribution'!$G$146:$G$150)),RIGHT(AQ$1,2)),"")</f>
        <v>111</v>
      </c>
      <c r="AR50" s="16" cm="1">
        <f t="array" ref="AR50">IFERROR(INDEX(_xlfn.ANCHORARRAY(_xlfn.XLOOKUP($C50,'-ref_Distribution'!$B$146:$B$150,'-ref_Distribution'!$G$146:$G$150)),RIGHT(AR$1,2)),"")</f>
        <v>4</v>
      </c>
      <c r="AS50" s="16" cm="1">
        <f t="array" ref="AS50">IFERROR(INDEX(_xlfn.ANCHORARRAY(_xlfn.XLOOKUP($C50,'-ref_Distribution'!$B$146:$B$150,'-ref_Distribution'!$G$146:$G$150)),RIGHT(AS$1,2)),"")</f>
        <v>6</v>
      </c>
      <c r="AT50" s="16" cm="1">
        <f t="array" ref="AT50">IFERROR(INDEX(_xlfn.ANCHORARRAY(_xlfn.XLOOKUP($C50,'-ref_Distribution'!$B$146:$B$150,'-ref_Distribution'!$G$146:$G$150)),RIGHT(AT$1,2)),"")</f>
        <v>9</v>
      </c>
      <c r="AU50" s="16" cm="1">
        <f t="array" ref="AU50">IFERROR(INDEX(_xlfn.ANCHORARRAY(_xlfn.XLOOKUP($C50,'-ref_Distribution'!$B$146:$B$150,'-ref_Distribution'!$G$146:$G$150)),RIGHT(AU$1,2)),"")</f>
        <v>14</v>
      </c>
      <c r="AV50" s="16" cm="1">
        <f t="array" ref="AV50">IFERROR(INDEX(_xlfn.ANCHORARRAY(_xlfn.XLOOKUP($C50,'-ref_Distribution'!$B$146:$B$150,'-ref_Distribution'!$G$146:$G$150)),RIGHT(AV$1,2)),"")</f>
        <v>20</v>
      </c>
      <c r="AW50" s="16" cm="1">
        <f t="array" ref="AW50">IFERROR(INDEX(_xlfn.ANCHORARRAY(_xlfn.XLOOKUP($C50,'-ref_Distribution'!$B$146:$B$150,'-ref_Distribution'!$G$146:$G$150)),RIGHT(AW$1,2)),"")</f>
        <v>28</v>
      </c>
      <c r="AX50" s="16" cm="1">
        <f t="array" ref="AX50">IFERROR(INDEX(_xlfn.ANCHORARRAY(_xlfn.XLOOKUP($C50,'-ref_Distribution'!$B$146:$B$150,'-ref_Distribution'!$G$146:$G$150)),RIGHT(AX$1,2)),"")</f>
        <v>38</v>
      </c>
      <c r="AY50" s="16" cm="1">
        <f t="array" ref="AY50">IFERROR(INDEX(_xlfn.ANCHORARRAY(_xlfn.XLOOKUP($C50,'-ref_Distribution'!$B$146:$B$150,'-ref_Distribution'!$G$146:$G$150)),RIGHT(AY$1,2)),"")</f>
        <v>51</v>
      </c>
      <c r="AZ50" s="16" cm="1">
        <f t="array" ref="AZ50">IFERROR(INDEX(_xlfn.ANCHORARRAY(_xlfn.XLOOKUP($C50,'-ref_Distribution'!$B$146:$B$150,'-ref_Distribution'!$G$146:$G$150)),RIGHT(AZ$1,2)),"")</f>
        <v>65</v>
      </c>
      <c r="BA50" s="16" cm="1">
        <f t="array" ref="BA50">IFERROR(INDEX(_xlfn.ANCHORARRAY(_xlfn.XLOOKUP($C50,'-ref_Distribution'!$B$146:$B$150,'-ref_Distribution'!$G$146:$G$150)),RIGHT(BA$1,2)),"")</f>
        <v>80</v>
      </c>
      <c r="BB50" s="16" cm="1">
        <f t="array" ref="BB50">IFERROR(INDEX(_xlfn.ANCHORARRAY(_xlfn.XLOOKUP($C50,'-ref_Distribution'!$B$146:$B$150,'-ref_Distribution'!$G$146:$G$150)),RIGHT(BB$1,2)),"")</f>
        <v>96</v>
      </c>
      <c r="BC50" s="16" cm="1">
        <f t="array" ref="BC50">IFERROR(INDEX(_xlfn.ANCHORARRAY(_xlfn.XLOOKUP($C50,'-ref_Distribution'!$B$146:$B$150,'-ref_Distribution'!$G$146:$G$150)),RIGHT(BC$1,2)),"")</f>
        <v>111</v>
      </c>
      <c r="BD50" s="16" cm="1">
        <f t="array" ref="BD50">IFERROR(INDEX(_xlfn.ANCHORARRAY(_xlfn.XLOOKUP($C50,'-ref_Distribution'!$B$146:$B$150,'-ref_Distribution'!$G$146:$G$150)),RIGHT(BD$1,2)),"")</f>
        <v>125</v>
      </c>
      <c r="BE50" s="16" cm="1">
        <f t="array" ref="BE50">IFERROR(INDEX(_xlfn.ANCHORARRAY(_xlfn.XLOOKUP($C50,'-ref_Distribution'!$B$146:$B$150,'-ref_Distribution'!$G$146:$G$150)),RIGHT(BE$1,2)),"")</f>
        <v>135</v>
      </c>
      <c r="BF50" s="16" cm="1">
        <f t="array" ref="BF50">IFERROR(INDEX(_xlfn.ANCHORARRAY(_xlfn.XLOOKUP($C50,'-ref_Distribution'!$B$146:$B$150,'-ref_Distribution'!$G$146:$G$150)),RIGHT(BF$1,2)),"")</f>
        <v>142</v>
      </c>
      <c r="BG50" s="16" cm="1">
        <f t="array" ref="BG50">IFERROR(INDEX(_xlfn.ANCHORARRAY(_xlfn.XLOOKUP($C50,'-ref_Distribution'!$B$146:$B$150,'-ref_Distribution'!$G$146:$G$150)),RIGHT(BG$1,2)),"")</f>
        <v>144</v>
      </c>
      <c r="BH50" s="16" cm="1">
        <f t="array" ref="BH50">IFERROR(INDEX(_xlfn.ANCHORARRAY(_xlfn.XLOOKUP($C50,'-ref_Distribution'!$B$146:$B$150,'-ref_Distribution'!$G$146:$G$150)),RIGHT(BH$1,2)),"")</f>
        <v>142</v>
      </c>
      <c r="BI50" s="16" cm="1">
        <f t="array" ref="BI50">IFERROR(INDEX(_xlfn.ANCHORARRAY(_xlfn.XLOOKUP($C50,'-ref_Distribution'!$B$146:$B$150,'-ref_Distribution'!$G$146:$G$150)),RIGHT(BI$1,2)),"")</f>
        <v>135</v>
      </c>
      <c r="BJ50" s="16" cm="1">
        <f t="array" ref="BJ50">IFERROR(INDEX(_xlfn.ANCHORARRAY(_xlfn.XLOOKUP($C50,'-ref_Distribution'!$B$146:$B$150,'-ref_Distribution'!$G$146:$G$150)),RIGHT(BJ$1,2)),"")</f>
        <v>125</v>
      </c>
      <c r="BK50" s="16" cm="1">
        <f t="array" ref="BK50">IFERROR(INDEX(_xlfn.ANCHORARRAY(_xlfn.XLOOKUP($C50,'-ref_Distribution'!$B$146:$B$150,'-ref_Distribution'!$G$146:$G$150)),RIGHT(BK$1,2)),"")</f>
        <v>111</v>
      </c>
      <c r="BL50" s="16" cm="1">
        <f t="array" ref="BL50">IFERROR(INDEX(_xlfn.ANCHORARRAY(_xlfn.XLOOKUP($C50,'-ref_Distribution'!$B$146:$B$150,'-ref_Distribution'!$G$146:$G$150)),RIGHT(BL$1,2)),"")</f>
        <v>4</v>
      </c>
      <c r="BM50" s="16" cm="1">
        <f t="array" ref="BM50">IFERROR(INDEX(_xlfn.ANCHORARRAY(_xlfn.XLOOKUP($C50,'-ref_Distribution'!$B$146:$B$150,'-ref_Distribution'!$G$146:$G$150)),RIGHT(BM$1,2)),"")</f>
        <v>6</v>
      </c>
      <c r="BN50" s="16" cm="1">
        <f t="array" ref="BN50">IFERROR(INDEX(_xlfn.ANCHORARRAY(_xlfn.XLOOKUP($C50,'-ref_Distribution'!$B$146:$B$150,'-ref_Distribution'!$G$146:$G$150)),RIGHT(BN$1,2)),"")</f>
        <v>9</v>
      </c>
      <c r="BO50" s="16" cm="1">
        <f t="array" ref="BO50">IFERROR(INDEX(_xlfn.ANCHORARRAY(_xlfn.XLOOKUP($C50,'-ref_Distribution'!$B$146:$B$150,'-ref_Distribution'!$G$146:$G$150)),RIGHT(BO$1,2)),"")</f>
        <v>14</v>
      </c>
      <c r="BP50" s="16" cm="1">
        <f t="array" ref="BP50">IFERROR(INDEX(_xlfn.ANCHORARRAY(_xlfn.XLOOKUP($C50,'-ref_Distribution'!$B$146:$B$150,'-ref_Distribution'!$G$146:$G$150)),RIGHT(BP$1,2)),"")</f>
        <v>20</v>
      </c>
      <c r="BQ50" s="16" cm="1">
        <f t="array" ref="BQ50">IFERROR(INDEX(_xlfn.ANCHORARRAY(_xlfn.XLOOKUP($C50,'-ref_Distribution'!$B$146:$B$150,'-ref_Distribution'!$G$146:$G$150)),RIGHT(BQ$1,2)),"")</f>
        <v>28</v>
      </c>
      <c r="BR50" s="16" cm="1">
        <f t="array" ref="BR50">IFERROR(INDEX(_xlfn.ANCHORARRAY(_xlfn.XLOOKUP($C50,'-ref_Distribution'!$B$146:$B$150,'-ref_Distribution'!$G$146:$G$150)),RIGHT(BR$1,2)),"")</f>
        <v>38</v>
      </c>
      <c r="BS50" s="16" cm="1">
        <f t="array" ref="BS50">IFERROR(INDEX(_xlfn.ANCHORARRAY(_xlfn.XLOOKUP($C50,'-ref_Distribution'!$B$146:$B$150,'-ref_Distribution'!$G$146:$G$150)),RIGHT(BS$1,2)),"")</f>
        <v>51</v>
      </c>
      <c r="BT50" s="16" cm="1">
        <f t="array" ref="BT50">IFERROR(INDEX(_xlfn.ANCHORARRAY(_xlfn.XLOOKUP($C50,'-ref_Distribution'!$B$146:$B$150,'-ref_Distribution'!$G$146:$G$150)),RIGHT(BT$1,2)),"")</f>
        <v>65</v>
      </c>
      <c r="BU50" s="16" cm="1">
        <f t="array" ref="BU50">IFERROR(INDEX(_xlfn.ANCHORARRAY(_xlfn.XLOOKUP($C50,'-ref_Distribution'!$B$146:$B$150,'-ref_Distribution'!$G$146:$G$150)),RIGHT(BU$1,2)),"")</f>
        <v>80</v>
      </c>
      <c r="BV50" s="16" cm="1">
        <f t="array" ref="BV50">IFERROR(INDEX(_xlfn.ANCHORARRAY(_xlfn.XLOOKUP($C50,'-ref_Distribution'!$B$146:$B$150,'-ref_Distribution'!$G$146:$G$150)),RIGHT(BV$1,2)),"")</f>
        <v>96</v>
      </c>
      <c r="BW50" s="16" cm="1">
        <f t="array" ref="BW50">IFERROR(INDEX(_xlfn.ANCHORARRAY(_xlfn.XLOOKUP($C50,'-ref_Distribution'!$B$146:$B$150,'-ref_Distribution'!$G$146:$G$150)),RIGHT(BW$1,2)),"")</f>
        <v>111</v>
      </c>
      <c r="BX50" s="16" cm="1">
        <f t="array" ref="BX50">IFERROR(INDEX(_xlfn.ANCHORARRAY(_xlfn.XLOOKUP($C50,'-ref_Distribution'!$B$146:$B$150,'-ref_Distribution'!$G$146:$G$150)),RIGHT(BX$1,2)),"")</f>
        <v>125</v>
      </c>
      <c r="BY50" s="16" cm="1">
        <f t="array" ref="BY50">IFERROR(INDEX(_xlfn.ANCHORARRAY(_xlfn.XLOOKUP($C50,'-ref_Distribution'!$B$146:$B$150,'-ref_Distribution'!$G$146:$G$150)),RIGHT(BY$1,2)),"")</f>
        <v>135</v>
      </c>
      <c r="BZ50" s="16" cm="1">
        <f t="array" ref="BZ50">IFERROR(INDEX(_xlfn.ANCHORARRAY(_xlfn.XLOOKUP($C50,'-ref_Distribution'!$B$146:$B$150,'-ref_Distribution'!$G$146:$G$150)),RIGHT(BZ$1,2)),"")</f>
        <v>142</v>
      </c>
      <c r="CA50" s="16" cm="1">
        <f t="array" ref="CA50">IFERROR(INDEX(_xlfn.ANCHORARRAY(_xlfn.XLOOKUP($C50,'-ref_Distribution'!$B$146:$B$150,'-ref_Distribution'!$G$146:$G$150)),RIGHT(CA$1,2)),"")</f>
        <v>144</v>
      </c>
      <c r="CB50" s="16" cm="1">
        <f t="array" ref="CB50">IFERROR(INDEX(_xlfn.ANCHORARRAY(_xlfn.XLOOKUP($C50,'-ref_Distribution'!$B$146:$B$150,'-ref_Distribution'!$G$146:$G$150)),RIGHT(CB$1,2)),"")</f>
        <v>142</v>
      </c>
      <c r="CC50" s="16" cm="1">
        <f t="array" ref="CC50">IFERROR(INDEX(_xlfn.ANCHORARRAY(_xlfn.XLOOKUP($C50,'-ref_Distribution'!$B$146:$B$150,'-ref_Distribution'!$G$146:$G$150)),RIGHT(CC$1,2)),"")</f>
        <v>135</v>
      </c>
      <c r="CD50" s="16" cm="1">
        <f t="array" ref="CD50">IFERROR(INDEX(_xlfn.ANCHORARRAY(_xlfn.XLOOKUP($C50,'-ref_Distribution'!$B$146:$B$150,'-ref_Distribution'!$G$146:$G$150)),RIGHT(CD$1,2)),"")</f>
        <v>125</v>
      </c>
      <c r="CE50" s="16" cm="1">
        <f t="array" ref="CE50">IFERROR(INDEX(_xlfn.ANCHORARRAY(_xlfn.XLOOKUP($C50,'-ref_Distribution'!$B$146:$B$150,'-ref_Distribution'!$G$146:$G$150)),RIGHT(CE$1,2)),"")</f>
        <v>111</v>
      </c>
    </row>
    <row r="51" spans="1:83" x14ac:dyDescent="0.2">
      <c r="A51" s="16">
        <v>302041</v>
      </c>
      <c r="B51" s="16" t="s">
        <v>223</v>
      </c>
      <c r="C51" s="16">
        <v>0</v>
      </c>
      <c r="D51" s="16" cm="1">
        <f t="array" ref="D51">IFERROR(INDEX(_xlfn.ANCHORARRAY(_xlfn.XLOOKUP($C51,'-ref_Distribution'!$B$146:$B$150,'-ref_Distribution'!$G$146:$G$150)),RIGHT(D$1,2)),"")</f>
        <v>709</v>
      </c>
      <c r="E51" s="16" cm="1">
        <f t="array" ref="E51">IFERROR(INDEX(_xlfn.ANCHORARRAY(_xlfn.XLOOKUP($C51,'-ref_Distribution'!$B$146:$B$150,'-ref_Distribution'!$G$146:$G$150)),RIGHT(E$1,2)),"")</f>
        <v>705</v>
      </c>
      <c r="F51" s="16" cm="1">
        <f t="array" ref="F51">IFERROR(INDEX(_xlfn.ANCHORARRAY(_xlfn.XLOOKUP($C51,'-ref_Distribution'!$B$146:$B$150,'-ref_Distribution'!$G$146:$G$150)),RIGHT(F$1,2)),"")</f>
        <v>692</v>
      </c>
      <c r="G51" s="16" cm="1">
        <f t="array" ref="G51">IFERROR(INDEX(_xlfn.ANCHORARRAY(_xlfn.XLOOKUP($C51,'-ref_Distribution'!$B$146:$B$150,'-ref_Distribution'!$G$146:$G$150)),RIGHT(G$1,2)),"")</f>
        <v>671</v>
      </c>
      <c r="H51" s="16" cm="1">
        <f t="array" ref="H51">IFERROR(INDEX(_xlfn.ANCHORARRAY(_xlfn.XLOOKUP($C51,'-ref_Distribution'!$B$146:$B$150,'-ref_Distribution'!$G$146:$G$150)),RIGHT(H$1,2)),"")</f>
        <v>643</v>
      </c>
      <c r="I51" s="16" cm="1">
        <f t="array" ref="I51">IFERROR(INDEX(_xlfn.ANCHORARRAY(_xlfn.XLOOKUP($C51,'-ref_Distribution'!$B$146:$B$150,'-ref_Distribution'!$G$146:$G$150)),RIGHT(I$1,2)),"")</f>
        <v>608</v>
      </c>
      <c r="J51" s="16" cm="1">
        <f t="array" ref="J51">IFERROR(INDEX(_xlfn.ANCHORARRAY(_xlfn.XLOOKUP($C51,'-ref_Distribution'!$B$146:$B$150,'-ref_Distribution'!$G$146:$G$150)),RIGHT(J$1,2)),"")</f>
        <v>568</v>
      </c>
      <c r="K51" s="16" cm="1">
        <f t="array" ref="K51">IFERROR(INDEX(_xlfn.ANCHORARRAY(_xlfn.XLOOKUP($C51,'-ref_Distribution'!$B$146:$B$150,'-ref_Distribution'!$G$146:$G$150)),RIGHT(K$1,2)),"")</f>
        <v>524</v>
      </c>
      <c r="L51" s="16" cm="1">
        <f t="array" ref="L51">IFERROR(INDEX(_xlfn.ANCHORARRAY(_xlfn.XLOOKUP($C51,'-ref_Distribution'!$B$146:$B$150,'-ref_Distribution'!$G$146:$G$150)),RIGHT(L$1,2)),"")</f>
        <v>478</v>
      </c>
      <c r="M51" s="16" cm="1">
        <f t="array" ref="M51">IFERROR(INDEX(_xlfn.ANCHORARRAY(_xlfn.XLOOKUP($C51,'-ref_Distribution'!$B$146:$B$150,'-ref_Distribution'!$G$146:$G$150)),RIGHT(M$1,2)),"")</f>
        <v>430</v>
      </c>
      <c r="N51" s="16" cm="1">
        <f t="array" ref="N51">IFERROR(INDEX(_xlfn.ANCHORARRAY(_xlfn.XLOOKUP($C51,'-ref_Distribution'!$B$146:$B$150,'-ref_Distribution'!$G$146:$G$150)),RIGHT(N$1,2)),"")</f>
        <v>383</v>
      </c>
      <c r="O51" s="16" cm="1">
        <f t="array" ref="O51">IFERROR(INDEX(_xlfn.ANCHORARRAY(_xlfn.XLOOKUP($C51,'-ref_Distribution'!$B$146:$B$150,'-ref_Distribution'!$G$146:$G$150)),RIGHT(O$1,2)),"")</f>
        <v>336</v>
      </c>
      <c r="P51" s="16" cm="1">
        <f t="array" ref="P51">IFERROR(INDEX(_xlfn.ANCHORARRAY(_xlfn.XLOOKUP($C51,'-ref_Distribution'!$B$146:$B$150,'-ref_Distribution'!$G$146:$G$150)),RIGHT(P$1,2)),"")</f>
        <v>292</v>
      </c>
      <c r="Q51" s="16" cm="1">
        <f t="array" ref="Q51">IFERROR(INDEX(_xlfn.ANCHORARRAY(_xlfn.XLOOKUP($C51,'-ref_Distribution'!$B$146:$B$150,'-ref_Distribution'!$G$146:$G$150)),RIGHT(Q$1,2)),"")</f>
        <v>250</v>
      </c>
      <c r="R51" s="16" cm="1">
        <f t="array" ref="R51">IFERROR(INDEX(_xlfn.ANCHORARRAY(_xlfn.XLOOKUP($C51,'-ref_Distribution'!$B$146:$B$150,'-ref_Distribution'!$G$146:$G$150)),RIGHT(R$1,2)),"")</f>
        <v>212</v>
      </c>
      <c r="S51" s="16" cm="1">
        <f t="array" ref="S51">IFERROR(INDEX(_xlfn.ANCHORARRAY(_xlfn.XLOOKUP($C51,'-ref_Distribution'!$B$146:$B$150,'-ref_Distribution'!$G$146:$G$150)),RIGHT(S$1,2)),"")</f>
        <v>177</v>
      </c>
      <c r="T51" s="16" cm="1">
        <f t="array" ref="T51">IFERROR(INDEX(_xlfn.ANCHORARRAY(_xlfn.XLOOKUP($C51,'-ref_Distribution'!$B$146:$B$150,'-ref_Distribution'!$G$146:$G$150)),RIGHT(T$1,2)),"")</f>
        <v>146</v>
      </c>
      <c r="U51" s="16" cm="1">
        <f t="array" ref="U51">IFERROR(INDEX(_xlfn.ANCHORARRAY(_xlfn.XLOOKUP($C51,'-ref_Distribution'!$B$146:$B$150,'-ref_Distribution'!$G$146:$G$150)),RIGHT(U$1,2)),"")</f>
        <v>119</v>
      </c>
      <c r="V51" s="16" cm="1">
        <f t="array" ref="V51">IFERROR(INDEX(_xlfn.ANCHORARRAY(_xlfn.XLOOKUP($C51,'-ref_Distribution'!$B$146:$B$150,'-ref_Distribution'!$G$146:$G$150)),RIGHT(V$1,2)),"")</f>
        <v>96</v>
      </c>
      <c r="W51" s="16" cm="1">
        <f t="array" ref="W51">IFERROR(INDEX(_xlfn.ANCHORARRAY(_xlfn.XLOOKUP($C51,'-ref_Distribution'!$B$146:$B$150,'-ref_Distribution'!$G$146:$G$150)),RIGHT(W$1,2)),"")</f>
        <v>76</v>
      </c>
      <c r="X51" s="16" cm="1">
        <f t="array" ref="X51">IFERROR(INDEX(_xlfn.ANCHORARRAY(_xlfn.XLOOKUP($C51,'-ref_Distribution'!$B$146:$B$150,'-ref_Distribution'!$G$146:$G$150)),RIGHT(X$1,2)),"")</f>
        <v>709</v>
      </c>
      <c r="Y51" s="16" cm="1">
        <f t="array" ref="Y51">IFERROR(INDEX(_xlfn.ANCHORARRAY(_xlfn.XLOOKUP($C51,'-ref_Distribution'!$B$146:$B$150,'-ref_Distribution'!$G$146:$G$150)),RIGHT(Y$1,2)),"")</f>
        <v>705</v>
      </c>
      <c r="Z51" s="16" cm="1">
        <f t="array" ref="Z51">IFERROR(INDEX(_xlfn.ANCHORARRAY(_xlfn.XLOOKUP($C51,'-ref_Distribution'!$B$146:$B$150,'-ref_Distribution'!$G$146:$G$150)),RIGHT(Z$1,2)),"")</f>
        <v>692</v>
      </c>
      <c r="AA51" s="16" cm="1">
        <f t="array" ref="AA51">IFERROR(INDEX(_xlfn.ANCHORARRAY(_xlfn.XLOOKUP($C51,'-ref_Distribution'!$B$146:$B$150,'-ref_Distribution'!$G$146:$G$150)),RIGHT(AA$1,2)),"")</f>
        <v>671</v>
      </c>
      <c r="AB51" s="16" cm="1">
        <f t="array" ref="AB51">IFERROR(INDEX(_xlfn.ANCHORARRAY(_xlfn.XLOOKUP($C51,'-ref_Distribution'!$B$146:$B$150,'-ref_Distribution'!$G$146:$G$150)),RIGHT(AB$1,2)),"")</f>
        <v>643</v>
      </c>
      <c r="AC51" s="16" cm="1">
        <f t="array" ref="AC51">IFERROR(INDEX(_xlfn.ANCHORARRAY(_xlfn.XLOOKUP($C51,'-ref_Distribution'!$B$146:$B$150,'-ref_Distribution'!$G$146:$G$150)),RIGHT(AC$1,2)),"")</f>
        <v>608</v>
      </c>
      <c r="AD51" s="16" cm="1">
        <f t="array" ref="AD51">IFERROR(INDEX(_xlfn.ANCHORARRAY(_xlfn.XLOOKUP($C51,'-ref_Distribution'!$B$146:$B$150,'-ref_Distribution'!$G$146:$G$150)),RIGHT(AD$1,2)),"")</f>
        <v>568</v>
      </c>
      <c r="AE51" s="16" cm="1">
        <f t="array" ref="AE51">IFERROR(INDEX(_xlfn.ANCHORARRAY(_xlfn.XLOOKUP($C51,'-ref_Distribution'!$B$146:$B$150,'-ref_Distribution'!$G$146:$G$150)),RIGHT(AE$1,2)),"")</f>
        <v>524</v>
      </c>
      <c r="AF51" s="16" cm="1">
        <f t="array" ref="AF51">IFERROR(INDEX(_xlfn.ANCHORARRAY(_xlfn.XLOOKUP($C51,'-ref_Distribution'!$B$146:$B$150,'-ref_Distribution'!$G$146:$G$150)),RIGHT(AF$1,2)),"")</f>
        <v>478</v>
      </c>
      <c r="AG51" s="16" cm="1">
        <f t="array" ref="AG51">IFERROR(INDEX(_xlfn.ANCHORARRAY(_xlfn.XLOOKUP($C51,'-ref_Distribution'!$B$146:$B$150,'-ref_Distribution'!$G$146:$G$150)),RIGHT(AG$1,2)),"")</f>
        <v>430</v>
      </c>
      <c r="AH51" s="16" cm="1">
        <f t="array" ref="AH51">IFERROR(INDEX(_xlfn.ANCHORARRAY(_xlfn.XLOOKUP($C51,'-ref_Distribution'!$B$146:$B$150,'-ref_Distribution'!$G$146:$G$150)),RIGHT(AH$1,2)),"")</f>
        <v>383</v>
      </c>
      <c r="AI51" s="16" cm="1">
        <f t="array" ref="AI51">IFERROR(INDEX(_xlfn.ANCHORARRAY(_xlfn.XLOOKUP($C51,'-ref_Distribution'!$B$146:$B$150,'-ref_Distribution'!$G$146:$G$150)),RIGHT(AI$1,2)),"")</f>
        <v>336</v>
      </c>
      <c r="AJ51" s="16" cm="1">
        <f t="array" ref="AJ51">IFERROR(INDEX(_xlfn.ANCHORARRAY(_xlfn.XLOOKUP($C51,'-ref_Distribution'!$B$146:$B$150,'-ref_Distribution'!$G$146:$G$150)),RIGHT(AJ$1,2)),"")</f>
        <v>292</v>
      </c>
      <c r="AK51" s="16" cm="1">
        <f t="array" ref="AK51">IFERROR(INDEX(_xlfn.ANCHORARRAY(_xlfn.XLOOKUP($C51,'-ref_Distribution'!$B$146:$B$150,'-ref_Distribution'!$G$146:$G$150)),RIGHT(AK$1,2)),"")</f>
        <v>250</v>
      </c>
      <c r="AL51" s="16" cm="1">
        <f t="array" ref="AL51">IFERROR(INDEX(_xlfn.ANCHORARRAY(_xlfn.XLOOKUP($C51,'-ref_Distribution'!$B$146:$B$150,'-ref_Distribution'!$G$146:$G$150)),RIGHT(AL$1,2)),"")</f>
        <v>212</v>
      </c>
      <c r="AM51" s="16" cm="1">
        <f t="array" ref="AM51">IFERROR(INDEX(_xlfn.ANCHORARRAY(_xlfn.XLOOKUP($C51,'-ref_Distribution'!$B$146:$B$150,'-ref_Distribution'!$G$146:$G$150)),RIGHT(AM$1,2)),"")</f>
        <v>177</v>
      </c>
      <c r="AN51" s="16" cm="1">
        <f t="array" ref="AN51">IFERROR(INDEX(_xlfn.ANCHORARRAY(_xlfn.XLOOKUP($C51,'-ref_Distribution'!$B$146:$B$150,'-ref_Distribution'!$G$146:$G$150)),RIGHT(AN$1,2)),"")</f>
        <v>146</v>
      </c>
      <c r="AO51" s="16" cm="1">
        <f t="array" ref="AO51">IFERROR(INDEX(_xlfn.ANCHORARRAY(_xlfn.XLOOKUP($C51,'-ref_Distribution'!$B$146:$B$150,'-ref_Distribution'!$G$146:$G$150)),RIGHT(AO$1,2)),"")</f>
        <v>119</v>
      </c>
      <c r="AP51" s="16" cm="1">
        <f t="array" ref="AP51">IFERROR(INDEX(_xlfn.ANCHORARRAY(_xlfn.XLOOKUP($C51,'-ref_Distribution'!$B$146:$B$150,'-ref_Distribution'!$G$146:$G$150)),RIGHT(AP$1,2)),"")</f>
        <v>96</v>
      </c>
      <c r="AQ51" s="16" cm="1">
        <f t="array" ref="AQ51">IFERROR(INDEX(_xlfn.ANCHORARRAY(_xlfn.XLOOKUP($C51,'-ref_Distribution'!$B$146:$B$150,'-ref_Distribution'!$G$146:$G$150)),RIGHT(AQ$1,2)),"")</f>
        <v>76</v>
      </c>
      <c r="AR51" s="16" cm="1">
        <f t="array" ref="AR51">IFERROR(INDEX(_xlfn.ANCHORARRAY(_xlfn.XLOOKUP($C51,'-ref_Distribution'!$B$146:$B$150,'-ref_Distribution'!$G$146:$G$150)),RIGHT(AR$1,2)),"")</f>
        <v>709</v>
      </c>
      <c r="AS51" s="16" cm="1">
        <f t="array" ref="AS51">IFERROR(INDEX(_xlfn.ANCHORARRAY(_xlfn.XLOOKUP($C51,'-ref_Distribution'!$B$146:$B$150,'-ref_Distribution'!$G$146:$G$150)),RIGHT(AS$1,2)),"")</f>
        <v>705</v>
      </c>
      <c r="AT51" s="16" cm="1">
        <f t="array" ref="AT51">IFERROR(INDEX(_xlfn.ANCHORARRAY(_xlfn.XLOOKUP($C51,'-ref_Distribution'!$B$146:$B$150,'-ref_Distribution'!$G$146:$G$150)),RIGHT(AT$1,2)),"")</f>
        <v>692</v>
      </c>
      <c r="AU51" s="16" cm="1">
        <f t="array" ref="AU51">IFERROR(INDEX(_xlfn.ANCHORARRAY(_xlfn.XLOOKUP($C51,'-ref_Distribution'!$B$146:$B$150,'-ref_Distribution'!$G$146:$G$150)),RIGHT(AU$1,2)),"")</f>
        <v>671</v>
      </c>
      <c r="AV51" s="16" cm="1">
        <f t="array" ref="AV51">IFERROR(INDEX(_xlfn.ANCHORARRAY(_xlfn.XLOOKUP($C51,'-ref_Distribution'!$B$146:$B$150,'-ref_Distribution'!$G$146:$G$150)),RIGHT(AV$1,2)),"")</f>
        <v>643</v>
      </c>
      <c r="AW51" s="16" cm="1">
        <f t="array" ref="AW51">IFERROR(INDEX(_xlfn.ANCHORARRAY(_xlfn.XLOOKUP($C51,'-ref_Distribution'!$B$146:$B$150,'-ref_Distribution'!$G$146:$G$150)),RIGHT(AW$1,2)),"")</f>
        <v>608</v>
      </c>
      <c r="AX51" s="16" cm="1">
        <f t="array" ref="AX51">IFERROR(INDEX(_xlfn.ANCHORARRAY(_xlfn.XLOOKUP($C51,'-ref_Distribution'!$B$146:$B$150,'-ref_Distribution'!$G$146:$G$150)),RIGHT(AX$1,2)),"")</f>
        <v>568</v>
      </c>
      <c r="AY51" s="16" cm="1">
        <f t="array" ref="AY51">IFERROR(INDEX(_xlfn.ANCHORARRAY(_xlfn.XLOOKUP($C51,'-ref_Distribution'!$B$146:$B$150,'-ref_Distribution'!$G$146:$G$150)),RIGHT(AY$1,2)),"")</f>
        <v>524</v>
      </c>
      <c r="AZ51" s="16" cm="1">
        <f t="array" ref="AZ51">IFERROR(INDEX(_xlfn.ANCHORARRAY(_xlfn.XLOOKUP($C51,'-ref_Distribution'!$B$146:$B$150,'-ref_Distribution'!$G$146:$G$150)),RIGHT(AZ$1,2)),"")</f>
        <v>478</v>
      </c>
      <c r="BA51" s="16" cm="1">
        <f t="array" ref="BA51">IFERROR(INDEX(_xlfn.ANCHORARRAY(_xlfn.XLOOKUP($C51,'-ref_Distribution'!$B$146:$B$150,'-ref_Distribution'!$G$146:$G$150)),RIGHT(BA$1,2)),"")</f>
        <v>430</v>
      </c>
      <c r="BB51" s="16" cm="1">
        <f t="array" ref="BB51">IFERROR(INDEX(_xlfn.ANCHORARRAY(_xlfn.XLOOKUP($C51,'-ref_Distribution'!$B$146:$B$150,'-ref_Distribution'!$G$146:$G$150)),RIGHT(BB$1,2)),"")</f>
        <v>383</v>
      </c>
      <c r="BC51" s="16" cm="1">
        <f t="array" ref="BC51">IFERROR(INDEX(_xlfn.ANCHORARRAY(_xlfn.XLOOKUP($C51,'-ref_Distribution'!$B$146:$B$150,'-ref_Distribution'!$G$146:$G$150)),RIGHT(BC$1,2)),"")</f>
        <v>336</v>
      </c>
      <c r="BD51" s="16" cm="1">
        <f t="array" ref="BD51">IFERROR(INDEX(_xlfn.ANCHORARRAY(_xlfn.XLOOKUP($C51,'-ref_Distribution'!$B$146:$B$150,'-ref_Distribution'!$G$146:$G$150)),RIGHT(BD$1,2)),"")</f>
        <v>292</v>
      </c>
      <c r="BE51" s="16" cm="1">
        <f t="array" ref="BE51">IFERROR(INDEX(_xlfn.ANCHORARRAY(_xlfn.XLOOKUP($C51,'-ref_Distribution'!$B$146:$B$150,'-ref_Distribution'!$G$146:$G$150)),RIGHT(BE$1,2)),"")</f>
        <v>250</v>
      </c>
      <c r="BF51" s="16" cm="1">
        <f t="array" ref="BF51">IFERROR(INDEX(_xlfn.ANCHORARRAY(_xlfn.XLOOKUP($C51,'-ref_Distribution'!$B$146:$B$150,'-ref_Distribution'!$G$146:$G$150)),RIGHT(BF$1,2)),"")</f>
        <v>212</v>
      </c>
      <c r="BG51" s="16" cm="1">
        <f t="array" ref="BG51">IFERROR(INDEX(_xlfn.ANCHORARRAY(_xlfn.XLOOKUP($C51,'-ref_Distribution'!$B$146:$B$150,'-ref_Distribution'!$G$146:$G$150)),RIGHT(BG$1,2)),"")</f>
        <v>177</v>
      </c>
      <c r="BH51" s="16" cm="1">
        <f t="array" ref="BH51">IFERROR(INDEX(_xlfn.ANCHORARRAY(_xlfn.XLOOKUP($C51,'-ref_Distribution'!$B$146:$B$150,'-ref_Distribution'!$G$146:$G$150)),RIGHT(BH$1,2)),"")</f>
        <v>146</v>
      </c>
      <c r="BI51" s="16" cm="1">
        <f t="array" ref="BI51">IFERROR(INDEX(_xlfn.ANCHORARRAY(_xlfn.XLOOKUP($C51,'-ref_Distribution'!$B$146:$B$150,'-ref_Distribution'!$G$146:$G$150)),RIGHT(BI$1,2)),"")</f>
        <v>119</v>
      </c>
      <c r="BJ51" s="16" cm="1">
        <f t="array" ref="BJ51">IFERROR(INDEX(_xlfn.ANCHORARRAY(_xlfn.XLOOKUP($C51,'-ref_Distribution'!$B$146:$B$150,'-ref_Distribution'!$G$146:$G$150)),RIGHT(BJ$1,2)),"")</f>
        <v>96</v>
      </c>
      <c r="BK51" s="16" cm="1">
        <f t="array" ref="BK51">IFERROR(INDEX(_xlfn.ANCHORARRAY(_xlfn.XLOOKUP($C51,'-ref_Distribution'!$B$146:$B$150,'-ref_Distribution'!$G$146:$G$150)),RIGHT(BK$1,2)),"")</f>
        <v>76</v>
      </c>
      <c r="BL51" s="16" cm="1">
        <f t="array" ref="BL51">IFERROR(INDEX(_xlfn.ANCHORARRAY(_xlfn.XLOOKUP($C51,'-ref_Distribution'!$B$146:$B$150,'-ref_Distribution'!$G$146:$G$150)),RIGHT(BL$1,2)),"")</f>
        <v>709</v>
      </c>
      <c r="BM51" s="16" cm="1">
        <f t="array" ref="BM51">IFERROR(INDEX(_xlfn.ANCHORARRAY(_xlfn.XLOOKUP($C51,'-ref_Distribution'!$B$146:$B$150,'-ref_Distribution'!$G$146:$G$150)),RIGHT(BM$1,2)),"")</f>
        <v>705</v>
      </c>
      <c r="BN51" s="16" cm="1">
        <f t="array" ref="BN51">IFERROR(INDEX(_xlfn.ANCHORARRAY(_xlfn.XLOOKUP($C51,'-ref_Distribution'!$B$146:$B$150,'-ref_Distribution'!$G$146:$G$150)),RIGHT(BN$1,2)),"")</f>
        <v>692</v>
      </c>
      <c r="BO51" s="16" cm="1">
        <f t="array" ref="BO51">IFERROR(INDEX(_xlfn.ANCHORARRAY(_xlfn.XLOOKUP($C51,'-ref_Distribution'!$B$146:$B$150,'-ref_Distribution'!$G$146:$G$150)),RIGHT(BO$1,2)),"")</f>
        <v>671</v>
      </c>
      <c r="BP51" s="16" cm="1">
        <f t="array" ref="BP51">IFERROR(INDEX(_xlfn.ANCHORARRAY(_xlfn.XLOOKUP($C51,'-ref_Distribution'!$B$146:$B$150,'-ref_Distribution'!$G$146:$G$150)),RIGHT(BP$1,2)),"")</f>
        <v>643</v>
      </c>
      <c r="BQ51" s="16" cm="1">
        <f t="array" ref="BQ51">IFERROR(INDEX(_xlfn.ANCHORARRAY(_xlfn.XLOOKUP($C51,'-ref_Distribution'!$B$146:$B$150,'-ref_Distribution'!$G$146:$G$150)),RIGHT(BQ$1,2)),"")</f>
        <v>608</v>
      </c>
      <c r="BR51" s="16" cm="1">
        <f t="array" ref="BR51">IFERROR(INDEX(_xlfn.ANCHORARRAY(_xlfn.XLOOKUP($C51,'-ref_Distribution'!$B$146:$B$150,'-ref_Distribution'!$G$146:$G$150)),RIGHT(BR$1,2)),"")</f>
        <v>568</v>
      </c>
      <c r="BS51" s="16" cm="1">
        <f t="array" ref="BS51">IFERROR(INDEX(_xlfn.ANCHORARRAY(_xlfn.XLOOKUP($C51,'-ref_Distribution'!$B$146:$B$150,'-ref_Distribution'!$G$146:$G$150)),RIGHT(BS$1,2)),"")</f>
        <v>524</v>
      </c>
      <c r="BT51" s="16" cm="1">
        <f t="array" ref="BT51">IFERROR(INDEX(_xlfn.ANCHORARRAY(_xlfn.XLOOKUP($C51,'-ref_Distribution'!$B$146:$B$150,'-ref_Distribution'!$G$146:$G$150)),RIGHT(BT$1,2)),"")</f>
        <v>478</v>
      </c>
      <c r="BU51" s="16" cm="1">
        <f t="array" ref="BU51">IFERROR(INDEX(_xlfn.ANCHORARRAY(_xlfn.XLOOKUP($C51,'-ref_Distribution'!$B$146:$B$150,'-ref_Distribution'!$G$146:$G$150)),RIGHT(BU$1,2)),"")</f>
        <v>430</v>
      </c>
      <c r="BV51" s="16" cm="1">
        <f t="array" ref="BV51">IFERROR(INDEX(_xlfn.ANCHORARRAY(_xlfn.XLOOKUP($C51,'-ref_Distribution'!$B$146:$B$150,'-ref_Distribution'!$G$146:$G$150)),RIGHT(BV$1,2)),"")</f>
        <v>383</v>
      </c>
      <c r="BW51" s="16" cm="1">
        <f t="array" ref="BW51">IFERROR(INDEX(_xlfn.ANCHORARRAY(_xlfn.XLOOKUP($C51,'-ref_Distribution'!$B$146:$B$150,'-ref_Distribution'!$G$146:$G$150)),RIGHT(BW$1,2)),"")</f>
        <v>336</v>
      </c>
      <c r="BX51" s="16" cm="1">
        <f t="array" ref="BX51">IFERROR(INDEX(_xlfn.ANCHORARRAY(_xlfn.XLOOKUP($C51,'-ref_Distribution'!$B$146:$B$150,'-ref_Distribution'!$G$146:$G$150)),RIGHT(BX$1,2)),"")</f>
        <v>292</v>
      </c>
      <c r="BY51" s="16" cm="1">
        <f t="array" ref="BY51">IFERROR(INDEX(_xlfn.ANCHORARRAY(_xlfn.XLOOKUP($C51,'-ref_Distribution'!$B$146:$B$150,'-ref_Distribution'!$G$146:$G$150)),RIGHT(BY$1,2)),"")</f>
        <v>250</v>
      </c>
      <c r="BZ51" s="16" cm="1">
        <f t="array" ref="BZ51">IFERROR(INDEX(_xlfn.ANCHORARRAY(_xlfn.XLOOKUP($C51,'-ref_Distribution'!$B$146:$B$150,'-ref_Distribution'!$G$146:$G$150)),RIGHT(BZ$1,2)),"")</f>
        <v>212</v>
      </c>
      <c r="CA51" s="16" cm="1">
        <f t="array" ref="CA51">IFERROR(INDEX(_xlfn.ANCHORARRAY(_xlfn.XLOOKUP($C51,'-ref_Distribution'!$B$146:$B$150,'-ref_Distribution'!$G$146:$G$150)),RIGHT(CA$1,2)),"")</f>
        <v>177</v>
      </c>
      <c r="CB51" s="16" cm="1">
        <f t="array" ref="CB51">IFERROR(INDEX(_xlfn.ANCHORARRAY(_xlfn.XLOOKUP($C51,'-ref_Distribution'!$B$146:$B$150,'-ref_Distribution'!$G$146:$G$150)),RIGHT(CB$1,2)),"")</f>
        <v>146</v>
      </c>
      <c r="CC51" s="16" cm="1">
        <f t="array" ref="CC51">IFERROR(INDEX(_xlfn.ANCHORARRAY(_xlfn.XLOOKUP($C51,'-ref_Distribution'!$B$146:$B$150,'-ref_Distribution'!$G$146:$G$150)),RIGHT(CC$1,2)),"")</f>
        <v>119</v>
      </c>
      <c r="CD51" s="16" cm="1">
        <f t="array" ref="CD51">IFERROR(INDEX(_xlfn.ANCHORARRAY(_xlfn.XLOOKUP($C51,'-ref_Distribution'!$B$146:$B$150,'-ref_Distribution'!$G$146:$G$150)),RIGHT(CD$1,2)),"")</f>
        <v>96</v>
      </c>
      <c r="CE51" s="16" cm="1">
        <f t="array" ref="CE51">IFERROR(INDEX(_xlfn.ANCHORARRAY(_xlfn.XLOOKUP($C51,'-ref_Distribution'!$B$146:$B$150,'-ref_Distribution'!$G$146:$G$150)),RIGHT(CE$1,2)),"")</f>
        <v>76</v>
      </c>
    </row>
    <row r="52" spans="1:83" x14ac:dyDescent="0.2">
      <c r="A52" s="16">
        <v>302042</v>
      </c>
      <c r="B52" s="16" t="s">
        <v>223</v>
      </c>
      <c r="C52" s="16">
        <v>1</v>
      </c>
      <c r="D52" s="16" cm="1">
        <f t="array" ref="D52">IFERROR(INDEX(_xlfn.ANCHORARRAY(_xlfn.XLOOKUP($C52,'-ref_Distribution'!$B$146:$B$150,'-ref_Distribution'!$G$146:$G$150)),RIGHT(D$1,2)),"")</f>
        <v>337</v>
      </c>
      <c r="E52" s="16" cm="1">
        <f t="array" ref="E52">IFERROR(INDEX(_xlfn.ANCHORARRAY(_xlfn.XLOOKUP($C52,'-ref_Distribution'!$B$146:$B$150,'-ref_Distribution'!$G$146:$G$150)),RIGHT(E$1,2)),"")</f>
        <v>364</v>
      </c>
      <c r="F52" s="16" cm="1">
        <f t="array" ref="F52">IFERROR(INDEX(_xlfn.ANCHORARRAY(_xlfn.XLOOKUP($C52,'-ref_Distribution'!$B$146:$B$150,'-ref_Distribution'!$G$146:$G$150)),RIGHT(F$1,2)),"")</f>
        <v>386</v>
      </c>
      <c r="G52" s="16" cm="1">
        <f t="array" ref="G52">IFERROR(INDEX(_xlfn.ANCHORARRAY(_xlfn.XLOOKUP($C52,'-ref_Distribution'!$B$146:$B$150,'-ref_Distribution'!$G$146:$G$150)),RIGHT(G$1,2)),"")</f>
        <v>403</v>
      </c>
      <c r="H52" s="16" cm="1">
        <f t="array" ref="H52">IFERROR(INDEX(_xlfn.ANCHORARRAY(_xlfn.XLOOKUP($C52,'-ref_Distribution'!$B$146:$B$150,'-ref_Distribution'!$G$146:$G$150)),RIGHT(H$1,2)),"")</f>
        <v>414</v>
      </c>
      <c r="I52" s="16" cm="1">
        <f t="array" ref="I52">IFERROR(INDEX(_xlfn.ANCHORARRAY(_xlfn.XLOOKUP($C52,'-ref_Distribution'!$B$146:$B$150,'-ref_Distribution'!$G$146:$G$150)),RIGHT(I$1,2)),"")</f>
        <v>417</v>
      </c>
      <c r="J52" s="16" cm="1">
        <f t="array" ref="J52">IFERROR(INDEX(_xlfn.ANCHORARRAY(_xlfn.XLOOKUP($C52,'-ref_Distribution'!$B$146:$B$150,'-ref_Distribution'!$G$146:$G$150)),RIGHT(J$1,2)),"")</f>
        <v>414</v>
      </c>
      <c r="K52" s="16" cm="1">
        <f t="array" ref="K52">IFERROR(INDEX(_xlfn.ANCHORARRAY(_xlfn.XLOOKUP($C52,'-ref_Distribution'!$B$146:$B$150,'-ref_Distribution'!$G$146:$G$150)),RIGHT(K$1,2)),"")</f>
        <v>403</v>
      </c>
      <c r="L52" s="16" cm="1">
        <f t="array" ref="L52">IFERROR(INDEX(_xlfn.ANCHORARRAY(_xlfn.XLOOKUP($C52,'-ref_Distribution'!$B$146:$B$150,'-ref_Distribution'!$G$146:$G$150)),RIGHT(L$1,2)),"")</f>
        <v>386</v>
      </c>
      <c r="M52" s="16" cm="1">
        <f t="array" ref="M52">IFERROR(INDEX(_xlfn.ANCHORARRAY(_xlfn.XLOOKUP($C52,'-ref_Distribution'!$B$146:$B$150,'-ref_Distribution'!$G$146:$G$150)),RIGHT(M$1,2)),"")</f>
        <v>364</v>
      </c>
      <c r="N52" s="16" cm="1">
        <f t="array" ref="N52">IFERROR(INDEX(_xlfn.ANCHORARRAY(_xlfn.XLOOKUP($C52,'-ref_Distribution'!$B$146:$B$150,'-ref_Distribution'!$G$146:$G$150)),RIGHT(N$1,2)),"")</f>
        <v>337</v>
      </c>
      <c r="O52" s="16" cm="1">
        <f t="array" ref="O52">IFERROR(INDEX(_xlfn.ANCHORARRAY(_xlfn.XLOOKUP($C52,'-ref_Distribution'!$B$146:$B$150,'-ref_Distribution'!$G$146:$G$150)),RIGHT(O$1,2)),"")</f>
        <v>307</v>
      </c>
      <c r="P52" s="16" cm="1">
        <f t="array" ref="P52">IFERROR(INDEX(_xlfn.ANCHORARRAY(_xlfn.XLOOKUP($C52,'-ref_Distribution'!$B$146:$B$150,'-ref_Distribution'!$G$146:$G$150)),RIGHT(P$1,2)),"")</f>
        <v>274</v>
      </c>
      <c r="Q52" s="16" cm="1">
        <f t="array" ref="Q52">IFERROR(INDEX(_xlfn.ANCHORARRAY(_xlfn.XLOOKUP($C52,'-ref_Distribution'!$B$146:$B$150,'-ref_Distribution'!$G$146:$G$150)),RIGHT(Q$1,2)),"")</f>
        <v>241</v>
      </c>
      <c r="R52" s="16" cm="1">
        <f t="array" ref="R52">IFERROR(INDEX(_xlfn.ANCHORARRAY(_xlfn.XLOOKUP($C52,'-ref_Distribution'!$B$146:$B$150,'-ref_Distribution'!$G$146:$G$150)),RIGHT(R$1,2)),"")</f>
        <v>209</v>
      </c>
      <c r="S52" s="16" cm="1">
        <f t="array" ref="S52">IFERROR(INDEX(_xlfn.ANCHORARRAY(_xlfn.XLOOKUP($C52,'-ref_Distribution'!$B$146:$B$150,'-ref_Distribution'!$G$146:$G$150)),RIGHT(S$1,2)),"")</f>
        <v>178</v>
      </c>
      <c r="T52" s="16" cm="1">
        <f t="array" ref="T52">IFERROR(INDEX(_xlfn.ANCHORARRAY(_xlfn.XLOOKUP($C52,'-ref_Distribution'!$B$146:$B$150,'-ref_Distribution'!$G$146:$G$150)),RIGHT(T$1,2)),"")</f>
        <v>148</v>
      </c>
      <c r="U52" s="16" cm="1">
        <f t="array" ref="U52">IFERROR(INDEX(_xlfn.ANCHORARRAY(_xlfn.XLOOKUP($C52,'-ref_Distribution'!$B$146:$B$150,'-ref_Distribution'!$G$146:$G$150)),RIGHT(U$1,2)),"")</f>
        <v>122</v>
      </c>
      <c r="V52" s="16" cm="1">
        <f t="array" ref="V52">IFERROR(INDEX(_xlfn.ANCHORARRAY(_xlfn.XLOOKUP($C52,'-ref_Distribution'!$B$146:$B$150,'-ref_Distribution'!$G$146:$G$150)),RIGHT(V$1,2)),"")</f>
        <v>98</v>
      </c>
      <c r="W52" s="16" cm="1">
        <f t="array" ref="W52">IFERROR(INDEX(_xlfn.ANCHORARRAY(_xlfn.XLOOKUP($C52,'-ref_Distribution'!$B$146:$B$150,'-ref_Distribution'!$G$146:$G$150)),RIGHT(W$1,2)),"")</f>
        <v>78</v>
      </c>
      <c r="X52" s="16" cm="1">
        <f t="array" ref="X52">IFERROR(INDEX(_xlfn.ANCHORARRAY(_xlfn.XLOOKUP($C52,'-ref_Distribution'!$B$146:$B$150,'-ref_Distribution'!$G$146:$G$150)),RIGHT(X$1,2)),"")</f>
        <v>337</v>
      </c>
      <c r="Y52" s="16" cm="1">
        <f t="array" ref="Y52">IFERROR(INDEX(_xlfn.ANCHORARRAY(_xlfn.XLOOKUP($C52,'-ref_Distribution'!$B$146:$B$150,'-ref_Distribution'!$G$146:$G$150)),RIGHT(Y$1,2)),"")</f>
        <v>364</v>
      </c>
      <c r="Z52" s="16" cm="1">
        <f t="array" ref="Z52">IFERROR(INDEX(_xlfn.ANCHORARRAY(_xlfn.XLOOKUP($C52,'-ref_Distribution'!$B$146:$B$150,'-ref_Distribution'!$G$146:$G$150)),RIGHT(Z$1,2)),"")</f>
        <v>386</v>
      </c>
      <c r="AA52" s="16" cm="1">
        <f t="array" ref="AA52">IFERROR(INDEX(_xlfn.ANCHORARRAY(_xlfn.XLOOKUP($C52,'-ref_Distribution'!$B$146:$B$150,'-ref_Distribution'!$G$146:$G$150)),RIGHT(AA$1,2)),"")</f>
        <v>403</v>
      </c>
      <c r="AB52" s="16" cm="1">
        <f t="array" ref="AB52">IFERROR(INDEX(_xlfn.ANCHORARRAY(_xlfn.XLOOKUP($C52,'-ref_Distribution'!$B$146:$B$150,'-ref_Distribution'!$G$146:$G$150)),RIGHT(AB$1,2)),"")</f>
        <v>414</v>
      </c>
      <c r="AC52" s="16" cm="1">
        <f t="array" ref="AC52">IFERROR(INDEX(_xlfn.ANCHORARRAY(_xlfn.XLOOKUP($C52,'-ref_Distribution'!$B$146:$B$150,'-ref_Distribution'!$G$146:$G$150)),RIGHT(AC$1,2)),"")</f>
        <v>417</v>
      </c>
      <c r="AD52" s="16" cm="1">
        <f t="array" ref="AD52">IFERROR(INDEX(_xlfn.ANCHORARRAY(_xlfn.XLOOKUP($C52,'-ref_Distribution'!$B$146:$B$150,'-ref_Distribution'!$G$146:$G$150)),RIGHT(AD$1,2)),"")</f>
        <v>414</v>
      </c>
      <c r="AE52" s="16" cm="1">
        <f t="array" ref="AE52">IFERROR(INDEX(_xlfn.ANCHORARRAY(_xlfn.XLOOKUP($C52,'-ref_Distribution'!$B$146:$B$150,'-ref_Distribution'!$G$146:$G$150)),RIGHT(AE$1,2)),"")</f>
        <v>403</v>
      </c>
      <c r="AF52" s="16" cm="1">
        <f t="array" ref="AF52">IFERROR(INDEX(_xlfn.ANCHORARRAY(_xlfn.XLOOKUP($C52,'-ref_Distribution'!$B$146:$B$150,'-ref_Distribution'!$G$146:$G$150)),RIGHT(AF$1,2)),"")</f>
        <v>386</v>
      </c>
      <c r="AG52" s="16" cm="1">
        <f t="array" ref="AG52">IFERROR(INDEX(_xlfn.ANCHORARRAY(_xlfn.XLOOKUP($C52,'-ref_Distribution'!$B$146:$B$150,'-ref_Distribution'!$G$146:$G$150)),RIGHT(AG$1,2)),"")</f>
        <v>364</v>
      </c>
      <c r="AH52" s="16" cm="1">
        <f t="array" ref="AH52">IFERROR(INDEX(_xlfn.ANCHORARRAY(_xlfn.XLOOKUP($C52,'-ref_Distribution'!$B$146:$B$150,'-ref_Distribution'!$G$146:$G$150)),RIGHT(AH$1,2)),"")</f>
        <v>337</v>
      </c>
      <c r="AI52" s="16" cm="1">
        <f t="array" ref="AI52">IFERROR(INDEX(_xlfn.ANCHORARRAY(_xlfn.XLOOKUP($C52,'-ref_Distribution'!$B$146:$B$150,'-ref_Distribution'!$G$146:$G$150)),RIGHT(AI$1,2)),"")</f>
        <v>307</v>
      </c>
      <c r="AJ52" s="16" cm="1">
        <f t="array" ref="AJ52">IFERROR(INDEX(_xlfn.ANCHORARRAY(_xlfn.XLOOKUP($C52,'-ref_Distribution'!$B$146:$B$150,'-ref_Distribution'!$G$146:$G$150)),RIGHT(AJ$1,2)),"")</f>
        <v>274</v>
      </c>
      <c r="AK52" s="16" cm="1">
        <f t="array" ref="AK52">IFERROR(INDEX(_xlfn.ANCHORARRAY(_xlfn.XLOOKUP($C52,'-ref_Distribution'!$B$146:$B$150,'-ref_Distribution'!$G$146:$G$150)),RIGHT(AK$1,2)),"")</f>
        <v>241</v>
      </c>
      <c r="AL52" s="16" cm="1">
        <f t="array" ref="AL52">IFERROR(INDEX(_xlfn.ANCHORARRAY(_xlfn.XLOOKUP($C52,'-ref_Distribution'!$B$146:$B$150,'-ref_Distribution'!$G$146:$G$150)),RIGHT(AL$1,2)),"")</f>
        <v>209</v>
      </c>
      <c r="AM52" s="16" cm="1">
        <f t="array" ref="AM52">IFERROR(INDEX(_xlfn.ANCHORARRAY(_xlfn.XLOOKUP($C52,'-ref_Distribution'!$B$146:$B$150,'-ref_Distribution'!$G$146:$G$150)),RIGHT(AM$1,2)),"")</f>
        <v>178</v>
      </c>
      <c r="AN52" s="16" cm="1">
        <f t="array" ref="AN52">IFERROR(INDEX(_xlfn.ANCHORARRAY(_xlfn.XLOOKUP($C52,'-ref_Distribution'!$B$146:$B$150,'-ref_Distribution'!$G$146:$G$150)),RIGHT(AN$1,2)),"")</f>
        <v>148</v>
      </c>
      <c r="AO52" s="16" cm="1">
        <f t="array" ref="AO52">IFERROR(INDEX(_xlfn.ANCHORARRAY(_xlfn.XLOOKUP($C52,'-ref_Distribution'!$B$146:$B$150,'-ref_Distribution'!$G$146:$G$150)),RIGHT(AO$1,2)),"")</f>
        <v>122</v>
      </c>
      <c r="AP52" s="16" cm="1">
        <f t="array" ref="AP52">IFERROR(INDEX(_xlfn.ANCHORARRAY(_xlfn.XLOOKUP($C52,'-ref_Distribution'!$B$146:$B$150,'-ref_Distribution'!$G$146:$G$150)),RIGHT(AP$1,2)),"")</f>
        <v>98</v>
      </c>
      <c r="AQ52" s="16" cm="1">
        <f t="array" ref="AQ52">IFERROR(INDEX(_xlfn.ANCHORARRAY(_xlfn.XLOOKUP($C52,'-ref_Distribution'!$B$146:$B$150,'-ref_Distribution'!$G$146:$G$150)),RIGHT(AQ$1,2)),"")</f>
        <v>78</v>
      </c>
      <c r="AR52" s="16" cm="1">
        <f t="array" ref="AR52">IFERROR(INDEX(_xlfn.ANCHORARRAY(_xlfn.XLOOKUP($C52,'-ref_Distribution'!$B$146:$B$150,'-ref_Distribution'!$G$146:$G$150)),RIGHT(AR$1,2)),"")</f>
        <v>337</v>
      </c>
      <c r="AS52" s="16" cm="1">
        <f t="array" ref="AS52">IFERROR(INDEX(_xlfn.ANCHORARRAY(_xlfn.XLOOKUP($C52,'-ref_Distribution'!$B$146:$B$150,'-ref_Distribution'!$G$146:$G$150)),RIGHT(AS$1,2)),"")</f>
        <v>364</v>
      </c>
      <c r="AT52" s="16" cm="1">
        <f t="array" ref="AT52">IFERROR(INDEX(_xlfn.ANCHORARRAY(_xlfn.XLOOKUP($C52,'-ref_Distribution'!$B$146:$B$150,'-ref_Distribution'!$G$146:$G$150)),RIGHT(AT$1,2)),"")</f>
        <v>386</v>
      </c>
      <c r="AU52" s="16" cm="1">
        <f t="array" ref="AU52">IFERROR(INDEX(_xlfn.ANCHORARRAY(_xlfn.XLOOKUP($C52,'-ref_Distribution'!$B$146:$B$150,'-ref_Distribution'!$G$146:$G$150)),RIGHT(AU$1,2)),"")</f>
        <v>403</v>
      </c>
      <c r="AV52" s="16" cm="1">
        <f t="array" ref="AV52">IFERROR(INDEX(_xlfn.ANCHORARRAY(_xlfn.XLOOKUP($C52,'-ref_Distribution'!$B$146:$B$150,'-ref_Distribution'!$G$146:$G$150)),RIGHT(AV$1,2)),"")</f>
        <v>414</v>
      </c>
      <c r="AW52" s="16" cm="1">
        <f t="array" ref="AW52">IFERROR(INDEX(_xlfn.ANCHORARRAY(_xlfn.XLOOKUP($C52,'-ref_Distribution'!$B$146:$B$150,'-ref_Distribution'!$G$146:$G$150)),RIGHT(AW$1,2)),"")</f>
        <v>417</v>
      </c>
      <c r="AX52" s="16" cm="1">
        <f t="array" ref="AX52">IFERROR(INDEX(_xlfn.ANCHORARRAY(_xlfn.XLOOKUP($C52,'-ref_Distribution'!$B$146:$B$150,'-ref_Distribution'!$G$146:$G$150)),RIGHT(AX$1,2)),"")</f>
        <v>414</v>
      </c>
      <c r="AY52" s="16" cm="1">
        <f t="array" ref="AY52">IFERROR(INDEX(_xlfn.ANCHORARRAY(_xlfn.XLOOKUP($C52,'-ref_Distribution'!$B$146:$B$150,'-ref_Distribution'!$G$146:$G$150)),RIGHT(AY$1,2)),"")</f>
        <v>403</v>
      </c>
      <c r="AZ52" s="16" cm="1">
        <f t="array" ref="AZ52">IFERROR(INDEX(_xlfn.ANCHORARRAY(_xlfn.XLOOKUP($C52,'-ref_Distribution'!$B$146:$B$150,'-ref_Distribution'!$G$146:$G$150)),RIGHT(AZ$1,2)),"")</f>
        <v>386</v>
      </c>
      <c r="BA52" s="16" cm="1">
        <f t="array" ref="BA52">IFERROR(INDEX(_xlfn.ANCHORARRAY(_xlfn.XLOOKUP($C52,'-ref_Distribution'!$B$146:$B$150,'-ref_Distribution'!$G$146:$G$150)),RIGHT(BA$1,2)),"")</f>
        <v>364</v>
      </c>
      <c r="BB52" s="16" cm="1">
        <f t="array" ref="BB52">IFERROR(INDEX(_xlfn.ANCHORARRAY(_xlfn.XLOOKUP($C52,'-ref_Distribution'!$B$146:$B$150,'-ref_Distribution'!$G$146:$G$150)),RIGHT(BB$1,2)),"")</f>
        <v>337</v>
      </c>
      <c r="BC52" s="16" cm="1">
        <f t="array" ref="BC52">IFERROR(INDEX(_xlfn.ANCHORARRAY(_xlfn.XLOOKUP($C52,'-ref_Distribution'!$B$146:$B$150,'-ref_Distribution'!$G$146:$G$150)),RIGHT(BC$1,2)),"")</f>
        <v>307</v>
      </c>
      <c r="BD52" s="16" cm="1">
        <f t="array" ref="BD52">IFERROR(INDEX(_xlfn.ANCHORARRAY(_xlfn.XLOOKUP($C52,'-ref_Distribution'!$B$146:$B$150,'-ref_Distribution'!$G$146:$G$150)),RIGHT(BD$1,2)),"")</f>
        <v>274</v>
      </c>
      <c r="BE52" s="16" cm="1">
        <f t="array" ref="BE52">IFERROR(INDEX(_xlfn.ANCHORARRAY(_xlfn.XLOOKUP($C52,'-ref_Distribution'!$B$146:$B$150,'-ref_Distribution'!$G$146:$G$150)),RIGHT(BE$1,2)),"")</f>
        <v>241</v>
      </c>
      <c r="BF52" s="16" cm="1">
        <f t="array" ref="BF52">IFERROR(INDEX(_xlfn.ANCHORARRAY(_xlfn.XLOOKUP($C52,'-ref_Distribution'!$B$146:$B$150,'-ref_Distribution'!$G$146:$G$150)),RIGHT(BF$1,2)),"")</f>
        <v>209</v>
      </c>
      <c r="BG52" s="16" cm="1">
        <f t="array" ref="BG52">IFERROR(INDEX(_xlfn.ANCHORARRAY(_xlfn.XLOOKUP($C52,'-ref_Distribution'!$B$146:$B$150,'-ref_Distribution'!$G$146:$G$150)),RIGHT(BG$1,2)),"")</f>
        <v>178</v>
      </c>
      <c r="BH52" s="16" cm="1">
        <f t="array" ref="BH52">IFERROR(INDEX(_xlfn.ANCHORARRAY(_xlfn.XLOOKUP($C52,'-ref_Distribution'!$B$146:$B$150,'-ref_Distribution'!$G$146:$G$150)),RIGHT(BH$1,2)),"")</f>
        <v>148</v>
      </c>
      <c r="BI52" s="16" cm="1">
        <f t="array" ref="BI52">IFERROR(INDEX(_xlfn.ANCHORARRAY(_xlfn.XLOOKUP($C52,'-ref_Distribution'!$B$146:$B$150,'-ref_Distribution'!$G$146:$G$150)),RIGHT(BI$1,2)),"")</f>
        <v>122</v>
      </c>
      <c r="BJ52" s="16" cm="1">
        <f t="array" ref="BJ52">IFERROR(INDEX(_xlfn.ANCHORARRAY(_xlfn.XLOOKUP($C52,'-ref_Distribution'!$B$146:$B$150,'-ref_Distribution'!$G$146:$G$150)),RIGHT(BJ$1,2)),"")</f>
        <v>98</v>
      </c>
      <c r="BK52" s="16" cm="1">
        <f t="array" ref="BK52">IFERROR(INDEX(_xlfn.ANCHORARRAY(_xlfn.XLOOKUP($C52,'-ref_Distribution'!$B$146:$B$150,'-ref_Distribution'!$G$146:$G$150)),RIGHT(BK$1,2)),"")</f>
        <v>78</v>
      </c>
      <c r="BL52" s="16" cm="1">
        <f t="array" ref="BL52">IFERROR(INDEX(_xlfn.ANCHORARRAY(_xlfn.XLOOKUP($C52,'-ref_Distribution'!$B$146:$B$150,'-ref_Distribution'!$G$146:$G$150)),RIGHT(BL$1,2)),"")</f>
        <v>337</v>
      </c>
      <c r="BM52" s="16" cm="1">
        <f t="array" ref="BM52">IFERROR(INDEX(_xlfn.ANCHORARRAY(_xlfn.XLOOKUP($C52,'-ref_Distribution'!$B$146:$B$150,'-ref_Distribution'!$G$146:$G$150)),RIGHT(BM$1,2)),"")</f>
        <v>364</v>
      </c>
      <c r="BN52" s="16" cm="1">
        <f t="array" ref="BN52">IFERROR(INDEX(_xlfn.ANCHORARRAY(_xlfn.XLOOKUP($C52,'-ref_Distribution'!$B$146:$B$150,'-ref_Distribution'!$G$146:$G$150)),RIGHT(BN$1,2)),"")</f>
        <v>386</v>
      </c>
      <c r="BO52" s="16" cm="1">
        <f t="array" ref="BO52">IFERROR(INDEX(_xlfn.ANCHORARRAY(_xlfn.XLOOKUP($C52,'-ref_Distribution'!$B$146:$B$150,'-ref_Distribution'!$G$146:$G$150)),RIGHT(BO$1,2)),"")</f>
        <v>403</v>
      </c>
      <c r="BP52" s="16" cm="1">
        <f t="array" ref="BP52">IFERROR(INDEX(_xlfn.ANCHORARRAY(_xlfn.XLOOKUP($C52,'-ref_Distribution'!$B$146:$B$150,'-ref_Distribution'!$G$146:$G$150)),RIGHT(BP$1,2)),"")</f>
        <v>414</v>
      </c>
      <c r="BQ52" s="16" cm="1">
        <f t="array" ref="BQ52">IFERROR(INDEX(_xlfn.ANCHORARRAY(_xlfn.XLOOKUP($C52,'-ref_Distribution'!$B$146:$B$150,'-ref_Distribution'!$G$146:$G$150)),RIGHT(BQ$1,2)),"")</f>
        <v>417</v>
      </c>
      <c r="BR52" s="16" cm="1">
        <f t="array" ref="BR52">IFERROR(INDEX(_xlfn.ANCHORARRAY(_xlfn.XLOOKUP($C52,'-ref_Distribution'!$B$146:$B$150,'-ref_Distribution'!$G$146:$G$150)),RIGHT(BR$1,2)),"")</f>
        <v>414</v>
      </c>
      <c r="BS52" s="16" cm="1">
        <f t="array" ref="BS52">IFERROR(INDEX(_xlfn.ANCHORARRAY(_xlfn.XLOOKUP($C52,'-ref_Distribution'!$B$146:$B$150,'-ref_Distribution'!$G$146:$G$150)),RIGHT(BS$1,2)),"")</f>
        <v>403</v>
      </c>
      <c r="BT52" s="16" cm="1">
        <f t="array" ref="BT52">IFERROR(INDEX(_xlfn.ANCHORARRAY(_xlfn.XLOOKUP($C52,'-ref_Distribution'!$B$146:$B$150,'-ref_Distribution'!$G$146:$G$150)),RIGHT(BT$1,2)),"")</f>
        <v>386</v>
      </c>
      <c r="BU52" s="16" cm="1">
        <f t="array" ref="BU52">IFERROR(INDEX(_xlfn.ANCHORARRAY(_xlfn.XLOOKUP($C52,'-ref_Distribution'!$B$146:$B$150,'-ref_Distribution'!$G$146:$G$150)),RIGHT(BU$1,2)),"")</f>
        <v>364</v>
      </c>
      <c r="BV52" s="16" cm="1">
        <f t="array" ref="BV52">IFERROR(INDEX(_xlfn.ANCHORARRAY(_xlfn.XLOOKUP($C52,'-ref_Distribution'!$B$146:$B$150,'-ref_Distribution'!$G$146:$G$150)),RIGHT(BV$1,2)),"")</f>
        <v>337</v>
      </c>
      <c r="BW52" s="16" cm="1">
        <f t="array" ref="BW52">IFERROR(INDEX(_xlfn.ANCHORARRAY(_xlfn.XLOOKUP($C52,'-ref_Distribution'!$B$146:$B$150,'-ref_Distribution'!$G$146:$G$150)),RIGHT(BW$1,2)),"")</f>
        <v>307</v>
      </c>
      <c r="BX52" s="16" cm="1">
        <f t="array" ref="BX52">IFERROR(INDEX(_xlfn.ANCHORARRAY(_xlfn.XLOOKUP($C52,'-ref_Distribution'!$B$146:$B$150,'-ref_Distribution'!$G$146:$G$150)),RIGHT(BX$1,2)),"")</f>
        <v>274</v>
      </c>
      <c r="BY52" s="16" cm="1">
        <f t="array" ref="BY52">IFERROR(INDEX(_xlfn.ANCHORARRAY(_xlfn.XLOOKUP($C52,'-ref_Distribution'!$B$146:$B$150,'-ref_Distribution'!$G$146:$G$150)),RIGHT(BY$1,2)),"")</f>
        <v>241</v>
      </c>
      <c r="BZ52" s="16" cm="1">
        <f t="array" ref="BZ52">IFERROR(INDEX(_xlfn.ANCHORARRAY(_xlfn.XLOOKUP($C52,'-ref_Distribution'!$B$146:$B$150,'-ref_Distribution'!$G$146:$G$150)),RIGHT(BZ$1,2)),"")</f>
        <v>209</v>
      </c>
      <c r="CA52" s="16" cm="1">
        <f t="array" ref="CA52">IFERROR(INDEX(_xlfn.ANCHORARRAY(_xlfn.XLOOKUP($C52,'-ref_Distribution'!$B$146:$B$150,'-ref_Distribution'!$G$146:$G$150)),RIGHT(CA$1,2)),"")</f>
        <v>178</v>
      </c>
      <c r="CB52" s="16" cm="1">
        <f t="array" ref="CB52">IFERROR(INDEX(_xlfn.ANCHORARRAY(_xlfn.XLOOKUP($C52,'-ref_Distribution'!$B$146:$B$150,'-ref_Distribution'!$G$146:$G$150)),RIGHT(CB$1,2)),"")</f>
        <v>148</v>
      </c>
      <c r="CC52" s="16" cm="1">
        <f t="array" ref="CC52">IFERROR(INDEX(_xlfn.ANCHORARRAY(_xlfn.XLOOKUP($C52,'-ref_Distribution'!$B$146:$B$150,'-ref_Distribution'!$G$146:$G$150)),RIGHT(CC$1,2)),"")</f>
        <v>122</v>
      </c>
      <c r="CD52" s="16" cm="1">
        <f t="array" ref="CD52">IFERROR(INDEX(_xlfn.ANCHORARRAY(_xlfn.XLOOKUP($C52,'-ref_Distribution'!$B$146:$B$150,'-ref_Distribution'!$G$146:$G$150)),RIGHT(CD$1,2)),"")</f>
        <v>98</v>
      </c>
      <c r="CE52" s="16" cm="1">
        <f t="array" ref="CE52">IFERROR(INDEX(_xlfn.ANCHORARRAY(_xlfn.XLOOKUP($C52,'-ref_Distribution'!$B$146:$B$150,'-ref_Distribution'!$G$146:$G$150)),RIGHT(CE$1,2)),"")</f>
        <v>78</v>
      </c>
    </row>
    <row r="53" spans="1:83" x14ac:dyDescent="0.2">
      <c r="A53" s="16">
        <v>302043</v>
      </c>
      <c r="B53" s="16" t="s">
        <v>223</v>
      </c>
      <c r="C53" s="16">
        <v>2</v>
      </c>
      <c r="D53" s="16" cm="1">
        <f t="array" ref="D53">IFERROR(INDEX(_xlfn.ANCHORARRAY(_xlfn.XLOOKUP($C53,'-ref_Distribution'!$B$146:$B$150,'-ref_Distribution'!$G$146:$G$150)),RIGHT(D$1,2)),"")</f>
        <v>75</v>
      </c>
      <c r="E53" s="16" cm="1">
        <f t="array" ref="E53">IFERROR(INDEX(_xlfn.ANCHORARRAY(_xlfn.XLOOKUP($C53,'-ref_Distribution'!$B$146:$B$150,'-ref_Distribution'!$G$146:$G$150)),RIGHT(E$1,2)),"")</f>
        <v>94</v>
      </c>
      <c r="F53" s="16" cm="1">
        <f t="array" ref="F53">IFERROR(INDEX(_xlfn.ANCHORARRAY(_xlfn.XLOOKUP($C53,'-ref_Distribution'!$B$146:$B$150,'-ref_Distribution'!$G$146:$G$150)),RIGHT(F$1,2)),"")</f>
        <v>115</v>
      </c>
      <c r="G53" s="16" cm="1">
        <f t="array" ref="G53">IFERROR(INDEX(_xlfn.ANCHORARRAY(_xlfn.XLOOKUP($C53,'-ref_Distribution'!$B$146:$B$150,'-ref_Distribution'!$G$146:$G$150)),RIGHT(G$1,2)),"")</f>
        <v>137</v>
      </c>
      <c r="H53" s="16" cm="1">
        <f t="array" ref="H53">IFERROR(INDEX(_xlfn.ANCHORARRAY(_xlfn.XLOOKUP($C53,'-ref_Distribution'!$B$146:$B$150,'-ref_Distribution'!$G$146:$G$150)),RIGHT(H$1,2)),"")</f>
        <v>160</v>
      </c>
      <c r="I53" s="16" cm="1">
        <f t="array" ref="I53">IFERROR(INDEX(_xlfn.ANCHORARRAY(_xlfn.XLOOKUP($C53,'-ref_Distribution'!$B$146:$B$150,'-ref_Distribution'!$G$146:$G$150)),RIGHT(I$1,2)),"")</f>
        <v>183</v>
      </c>
      <c r="J53" s="16" cm="1">
        <f t="array" ref="J53">IFERROR(INDEX(_xlfn.ANCHORARRAY(_xlfn.XLOOKUP($C53,'-ref_Distribution'!$B$146:$B$150,'-ref_Distribution'!$G$146:$G$150)),RIGHT(J$1,2)),"")</f>
        <v>203</v>
      </c>
      <c r="K53" s="16" cm="1">
        <f t="array" ref="K53">IFERROR(INDEX(_xlfn.ANCHORARRAY(_xlfn.XLOOKUP($C53,'-ref_Distribution'!$B$146:$B$150,'-ref_Distribution'!$G$146:$G$150)),RIGHT(K$1,2)),"")</f>
        <v>221</v>
      </c>
      <c r="L53" s="16" cm="1">
        <f t="array" ref="L53">IFERROR(INDEX(_xlfn.ANCHORARRAY(_xlfn.XLOOKUP($C53,'-ref_Distribution'!$B$146:$B$150,'-ref_Distribution'!$G$146:$G$150)),RIGHT(L$1,2)),"")</f>
        <v>234</v>
      </c>
      <c r="M53" s="16" cm="1">
        <f t="array" ref="M53">IFERROR(INDEX(_xlfn.ANCHORARRAY(_xlfn.XLOOKUP($C53,'-ref_Distribution'!$B$146:$B$150,'-ref_Distribution'!$G$146:$G$150)),RIGHT(M$1,2)),"")</f>
        <v>243</v>
      </c>
      <c r="N53" s="16" cm="1">
        <f t="array" ref="N53">IFERROR(INDEX(_xlfn.ANCHORARRAY(_xlfn.XLOOKUP($C53,'-ref_Distribution'!$B$146:$B$150,'-ref_Distribution'!$G$146:$G$150)),RIGHT(N$1,2)),"")</f>
        <v>245</v>
      </c>
      <c r="O53" s="16" cm="1">
        <f t="array" ref="O53">IFERROR(INDEX(_xlfn.ANCHORARRAY(_xlfn.XLOOKUP($C53,'-ref_Distribution'!$B$146:$B$150,'-ref_Distribution'!$G$146:$G$150)),RIGHT(O$1,2)),"")</f>
        <v>243</v>
      </c>
      <c r="P53" s="16" cm="1">
        <f t="array" ref="P53">IFERROR(INDEX(_xlfn.ANCHORARRAY(_xlfn.XLOOKUP($C53,'-ref_Distribution'!$B$146:$B$150,'-ref_Distribution'!$G$146:$G$150)),RIGHT(P$1,2)),"")</f>
        <v>234</v>
      </c>
      <c r="Q53" s="16" cm="1">
        <f t="array" ref="Q53">IFERROR(INDEX(_xlfn.ANCHORARRAY(_xlfn.XLOOKUP($C53,'-ref_Distribution'!$B$146:$B$150,'-ref_Distribution'!$G$146:$G$150)),RIGHT(Q$1,2)),"")</f>
        <v>221</v>
      </c>
      <c r="R53" s="16" cm="1">
        <f t="array" ref="R53">IFERROR(INDEX(_xlfn.ANCHORARRAY(_xlfn.XLOOKUP($C53,'-ref_Distribution'!$B$146:$B$150,'-ref_Distribution'!$G$146:$G$150)),RIGHT(R$1,2)),"")</f>
        <v>203</v>
      </c>
      <c r="S53" s="16" cm="1">
        <f t="array" ref="S53">IFERROR(INDEX(_xlfn.ANCHORARRAY(_xlfn.XLOOKUP($C53,'-ref_Distribution'!$B$146:$B$150,'-ref_Distribution'!$G$146:$G$150)),RIGHT(S$1,2)),"")</f>
        <v>183</v>
      </c>
      <c r="T53" s="16" cm="1">
        <f t="array" ref="T53">IFERROR(INDEX(_xlfn.ANCHORARRAY(_xlfn.XLOOKUP($C53,'-ref_Distribution'!$B$146:$B$150,'-ref_Distribution'!$G$146:$G$150)),RIGHT(T$1,2)),"")</f>
        <v>160</v>
      </c>
      <c r="U53" s="16" cm="1">
        <f t="array" ref="U53">IFERROR(INDEX(_xlfn.ANCHORARRAY(_xlfn.XLOOKUP($C53,'-ref_Distribution'!$B$146:$B$150,'-ref_Distribution'!$G$146:$G$150)),RIGHT(U$1,2)),"")</f>
        <v>137</v>
      </c>
      <c r="V53" s="16" cm="1">
        <f t="array" ref="V53">IFERROR(INDEX(_xlfn.ANCHORARRAY(_xlfn.XLOOKUP($C53,'-ref_Distribution'!$B$146:$B$150,'-ref_Distribution'!$G$146:$G$150)),RIGHT(V$1,2)),"")</f>
        <v>115</v>
      </c>
      <c r="W53" s="16" cm="1">
        <f t="array" ref="W53">IFERROR(INDEX(_xlfn.ANCHORARRAY(_xlfn.XLOOKUP($C53,'-ref_Distribution'!$B$146:$B$150,'-ref_Distribution'!$G$146:$G$150)),RIGHT(W$1,2)),"")</f>
        <v>94</v>
      </c>
      <c r="X53" s="16" cm="1">
        <f t="array" ref="X53">IFERROR(INDEX(_xlfn.ANCHORARRAY(_xlfn.XLOOKUP($C53,'-ref_Distribution'!$B$146:$B$150,'-ref_Distribution'!$G$146:$G$150)),RIGHT(X$1,2)),"")</f>
        <v>75</v>
      </c>
      <c r="Y53" s="16" cm="1">
        <f t="array" ref="Y53">IFERROR(INDEX(_xlfn.ANCHORARRAY(_xlfn.XLOOKUP($C53,'-ref_Distribution'!$B$146:$B$150,'-ref_Distribution'!$G$146:$G$150)),RIGHT(Y$1,2)),"")</f>
        <v>94</v>
      </c>
      <c r="Z53" s="16" cm="1">
        <f t="array" ref="Z53">IFERROR(INDEX(_xlfn.ANCHORARRAY(_xlfn.XLOOKUP($C53,'-ref_Distribution'!$B$146:$B$150,'-ref_Distribution'!$G$146:$G$150)),RIGHT(Z$1,2)),"")</f>
        <v>115</v>
      </c>
      <c r="AA53" s="16" cm="1">
        <f t="array" ref="AA53">IFERROR(INDEX(_xlfn.ANCHORARRAY(_xlfn.XLOOKUP($C53,'-ref_Distribution'!$B$146:$B$150,'-ref_Distribution'!$G$146:$G$150)),RIGHT(AA$1,2)),"")</f>
        <v>137</v>
      </c>
      <c r="AB53" s="16" cm="1">
        <f t="array" ref="AB53">IFERROR(INDEX(_xlfn.ANCHORARRAY(_xlfn.XLOOKUP($C53,'-ref_Distribution'!$B$146:$B$150,'-ref_Distribution'!$G$146:$G$150)),RIGHT(AB$1,2)),"")</f>
        <v>160</v>
      </c>
      <c r="AC53" s="16" cm="1">
        <f t="array" ref="AC53">IFERROR(INDEX(_xlfn.ANCHORARRAY(_xlfn.XLOOKUP($C53,'-ref_Distribution'!$B$146:$B$150,'-ref_Distribution'!$G$146:$G$150)),RIGHT(AC$1,2)),"")</f>
        <v>183</v>
      </c>
      <c r="AD53" s="16" cm="1">
        <f t="array" ref="AD53">IFERROR(INDEX(_xlfn.ANCHORARRAY(_xlfn.XLOOKUP($C53,'-ref_Distribution'!$B$146:$B$150,'-ref_Distribution'!$G$146:$G$150)),RIGHT(AD$1,2)),"")</f>
        <v>203</v>
      </c>
      <c r="AE53" s="16" cm="1">
        <f t="array" ref="AE53">IFERROR(INDEX(_xlfn.ANCHORARRAY(_xlfn.XLOOKUP($C53,'-ref_Distribution'!$B$146:$B$150,'-ref_Distribution'!$G$146:$G$150)),RIGHT(AE$1,2)),"")</f>
        <v>221</v>
      </c>
      <c r="AF53" s="16" cm="1">
        <f t="array" ref="AF53">IFERROR(INDEX(_xlfn.ANCHORARRAY(_xlfn.XLOOKUP($C53,'-ref_Distribution'!$B$146:$B$150,'-ref_Distribution'!$G$146:$G$150)),RIGHT(AF$1,2)),"")</f>
        <v>234</v>
      </c>
      <c r="AG53" s="16" cm="1">
        <f t="array" ref="AG53">IFERROR(INDEX(_xlfn.ANCHORARRAY(_xlfn.XLOOKUP($C53,'-ref_Distribution'!$B$146:$B$150,'-ref_Distribution'!$G$146:$G$150)),RIGHT(AG$1,2)),"")</f>
        <v>243</v>
      </c>
      <c r="AH53" s="16" cm="1">
        <f t="array" ref="AH53">IFERROR(INDEX(_xlfn.ANCHORARRAY(_xlfn.XLOOKUP($C53,'-ref_Distribution'!$B$146:$B$150,'-ref_Distribution'!$G$146:$G$150)),RIGHT(AH$1,2)),"")</f>
        <v>245</v>
      </c>
      <c r="AI53" s="16" cm="1">
        <f t="array" ref="AI53">IFERROR(INDEX(_xlfn.ANCHORARRAY(_xlfn.XLOOKUP($C53,'-ref_Distribution'!$B$146:$B$150,'-ref_Distribution'!$G$146:$G$150)),RIGHT(AI$1,2)),"")</f>
        <v>243</v>
      </c>
      <c r="AJ53" s="16" cm="1">
        <f t="array" ref="AJ53">IFERROR(INDEX(_xlfn.ANCHORARRAY(_xlfn.XLOOKUP($C53,'-ref_Distribution'!$B$146:$B$150,'-ref_Distribution'!$G$146:$G$150)),RIGHT(AJ$1,2)),"")</f>
        <v>234</v>
      </c>
      <c r="AK53" s="16" cm="1">
        <f t="array" ref="AK53">IFERROR(INDEX(_xlfn.ANCHORARRAY(_xlfn.XLOOKUP($C53,'-ref_Distribution'!$B$146:$B$150,'-ref_Distribution'!$G$146:$G$150)),RIGHT(AK$1,2)),"")</f>
        <v>221</v>
      </c>
      <c r="AL53" s="16" cm="1">
        <f t="array" ref="AL53">IFERROR(INDEX(_xlfn.ANCHORARRAY(_xlfn.XLOOKUP($C53,'-ref_Distribution'!$B$146:$B$150,'-ref_Distribution'!$G$146:$G$150)),RIGHT(AL$1,2)),"")</f>
        <v>203</v>
      </c>
      <c r="AM53" s="16" cm="1">
        <f t="array" ref="AM53">IFERROR(INDEX(_xlfn.ANCHORARRAY(_xlfn.XLOOKUP($C53,'-ref_Distribution'!$B$146:$B$150,'-ref_Distribution'!$G$146:$G$150)),RIGHT(AM$1,2)),"")</f>
        <v>183</v>
      </c>
      <c r="AN53" s="16" cm="1">
        <f t="array" ref="AN53">IFERROR(INDEX(_xlfn.ANCHORARRAY(_xlfn.XLOOKUP($C53,'-ref_Distribution'!$B$146:$B$150,'-ref_Distribution'!$G$146:$G$150)),RIGHT(AN$1,2)),"")</f>
        <v>160</v>
      </c>
      <c r="AO53" s="16" cm="1">
        <f t="array" ref="AO53">IFERROR(INDEX(_xlfn.ANCHORARRAY(_xlfn.XLOOKUP($C53,'-ref_Distribution'!$B$146:$B$150,'-ref_Distribution'!$G$146:$G$150)),RIGHT(AO$1,2)),"")</f>
        <v>137</v>
      </c>
      <c r="AP53" s="16" cm="1">
        <f t="array" ref="AP53">IFERROR(INDEX(_xlfn.ANCHORARRAY(_xlfn.XLOOKUP($C53,'-ref_Distribution'!$B$146:$B$150,'-ref_Distribution'!$G$146:$G$150)),RIGHT(AP$1,2)),"")</f>
        <v>115</v>
      </c>
      <c r="AQ53" s="16" cm="1">
        <f t="array" ref="AQ53">IFERROR(INDEX(_xlfn.ANCHORARRAY(_xlfn.XLOOKUP($C53,'-ref_Distribution'!$B$146:$B$150,'-ref_Distribution'!$G$146:$G$150)),RIGHT(AQ$1,2)),"")</f>
        <v>94</v>
      </c>
      <c r="AR53" s="16" cm="1">
        <f t="array" ref="AR53">IFERROR(INDEX(_xlfn.ANCHORARRAY(_xlfn.XLOOKUP($C53,'-ref_Distribution'!$B$146:$B$150,'-ref_Distribution'!$G$146:$G$150)),RIGHT(AR$1,2)),"")</f>
        <v>75</v>
      </c>
      <c r="AS53" s="16" cm="1">
        <f t="array" ref="AS53">IFERROR(INDEX(_xlfn.ANCHORARRAY(_xlfn.XLOOKUP($C53,'-ref_Distribution'!$B$146:$B$150,'-ref_Distribution'!$G$146:$G$150)),RIGHT(AS$1,2)),"")</f>
        <v>94</v>
      </c>
      <c r="AT53" s="16" cm="1">
        <f t="array" ref="AT53">IFERROR(INDEX(_xlfn.ANCHORARRAY(_xlfn.XLOOKUP($C53,'-ref_Distribution'!$B$146:$B$150,'-ref_Distribution'!$G$146:$G$150)),RIGHT(AT$1,2)),"")</f>
        <v>115</v>
      </c>
      <c r="AU53" s="16" cm="1">
        <f t="array" ref="AU53">IFERROR(INDEX(_xlfn.ANCHORARRAY(_xlfn.XLOOKUP($C53,'-ref_Distribution'!$B$146:$B$150,'-ref_Distribution'!$G$146:$G$150)),RIGHT(AU$1,2)),"")</f>
        <v>137</v>
      </c>
      <c r="AV53" s="16" cm="1">
        <f t="array" ref="AV53">IFERROR(INDEX(_xlfn.ANCHORARRAY(_xlfn.XLOOKUP($C53,'-ref_Distribution'!$B$146:$B$150,'-ref_Distribution'!$G$146:$G$150)),RIGHT(AV$1,2)),"")</f>
        <v>160</v>
      </c>
      <c r="AW53" s="16" cm="1">
        <f t="array" ref="AW53">IFERROR(INDEX(_xlfn.ANCHORARRAY(_xlfn.XLOOKUP($C53,'-ref_Distribution'!$B$146:$B$150,'-ref_Distribution'!$G$146:$G$150)),RIGHT(AW$1,2)),"")</f>
        <v>183</v>
      </c>
      <c r="AX53" s="16" cm="1">
        <f t="array" ref="AX53">IFERROR(INDEX(_xlfn.ANCHORARRAY(_xlfn.XLOOKUP($C53,'-ref_Distribution'!$B$146:$B$150,'-ref_Distribution'!$G$146:$G$150)),RIGHT(AX$1,2)),"")</f>
        <v>203</v>
      </c>
      <c r="AY53" s="16" cm="1">
        <f t="array" ref="AY53">IFERROR(INDEX(_xlfn.ANCHORARRAY(_xlfn.XLOOKUP($C53,'-ref_Distribution'!$B$146:$B$150,'-ref_Distribution'!$G$146:$G$150)),RIGHT(AY$1,2)),"")</f>
        <v>221</v>
      </c>
      <c r="AZ53" s="16" cm="1">
        <f t="array" ref="AZ53">IFERROR(INDEX(_xlfn.ANCHORARRAY(_xlfn.XLOOKUP($C53,'-ref_Distribution'!$B$146:$B$150,'-ref_Distribution'!$G$146:$G$150)),RIGHT(AZ$1,2)),"")</f>
        <v>234</v>
      </c>
      <c r="BA53" s="16" cm="1">
        <f t="array" ref="BA53">IFERROR(INDEX(_xlfn.ANCHORARRAY(_xlfn.XLOOKUP($C53,'-ref_Distribution'!$B$146:$B$150,'-ref_Distribution'!$G$146:$G$150)),RIGHT(BA$1,2)),"")</f>
        <v>243</v>
      </c>
      <c r="BB53" s="16" cm="1">
        <f t="array" ref="BB53">IFERROR(INDEX(_xlfn.ANCHORARRAY(_xlfn.XLOOKUP($C53,'-ref_Distribution'!$B$146:$B$150,'-ref_Distribution'!$G$146:$G$150)),RIGHT(BB$1,2)),"")</f>
        <v>245</v>
      </c>
      <c r="BC53" s="16" cm="1">
        <f t="array" ref="BC53">IFERROR(INDEX(_xlfn.ANCHORARRAY(_xlfn.XLOOKUP($C53,'-ref_Distribution'!$B$146:$B$150,'-ref_Distribution'!$G$146:$G$150)),RIGHT(BC$1,2)),"")</f>
        <v>243</v>
      </c>
      <c r="BD53" s="16" cm="1">
        <f t="array" ref="BD53">IFERROR(INDEX(_xlfn.ANCHORARRAY(_xlfn.XLOOKUP($C53,'-ref_Distribution'!$B$146:$B$150,'-ref_Distribution'!$G$146:$G$150)),RIGHT(BD$1,2)),"")</f>
        <v>234</v>
      </c>
      <c r="BE53" s="16" cm="1">
        <f t="array" ref="BE53">IFERROR(INDEX(_xlfn.ANCHORARRAY(_xlfn.XLOOKUP($C53,'-ref_Distribution'!$B$146:$B$150,'-ref_Distribution'!$G$146:$G$150)),RIGHT(BE$1,2)),"")</f>
        <v>221</v>
      </c>
      <c r="BF53" s="16" cm="1">
        <f t="array" ref="BF53">IFERROR(INDEX(_xlfn.ANCHORARRAY(_xlfn.XLOOKUP($C53,'-ref_Distribution'!$B$146:$B$150,'-ref_Distribution'!$G$146:$G$150)),RIGHT(BF$1,2)),"")</f>
        <v>203</v>
      </c>
      <c r="BG53" s="16" cm="1">
        <f t="array" ref="BG53">IFERROR(INDEX(_xlfn.ANCHORARRAY(_xlfn.XLOOKUP($C53,'-ref_Distribution'!$B$146:$B$150,'-ref_Distribution'!$G$146:$G$150)),RIGHT(BG$1,2)),"")</f>
        <v>183</v>
      </c>
      <c r="BH53" s="16" cm="1">
        <f t="array" ref="BH53">IFERROR(INDEX(_xlfn.ANCHORARRAY(_xlfn.XLOOKUP($C53,'-ref_Distribution'!$B$146:$B$150,'-ref_Distribution'!$G$146:$G$150)),RIGHT(BH$1,2)),"")</f>
        <v>160</v>
      </c>
      <c r="BI53" s="16" cm="1">
        <f t="array" ref="BI53">IFERROR(INDEX(_xlfn.ANCHORARRAY(_xlfn.XLOOKUP($C53,'-ref_Distribution'!$B$146:$B$150,'-ref_Distribution'!$G$146:$G$150)),RIGHT(BI$1,2)),"")</f>
        <v>137</v>
      </c>
      <c r="BJ53" s="16" cm="1">
        <f t="array" ref="BJ53">IFERROR(INDEX(_xlfn.ANCHORARRAY(_xlfn.XLOOKUP($C53,'-ref_Distribution'!$B$146:$B$150,'-ref_Distribution'!$G$146:$G$150)),RIGHT(BJ$1,2)),"")</f>
        <v>115</v>
      </c>
      <c r="BK53" s="16" cm="1">
        <f t="array" ref="BK53">IFERROR(INDEX(_xlfn.ANCHORARRAY(_xlfn.XLOOKUP($C53,'-ref_Distribution'!$B$146:$B$150,'-ref_Distribution'!$G$146:$G$150)),RIGHT(BK$1,2)),"")</f>
        <v>94</v>
      </c>
      <c r="BL53" s="16" cm="1">
        <f t="array" ref="BL53">IFERROR(INDEX(_xlfn.ANCHORARRAY(_xlfn.XLOOKUP($C53,'-ref_Distribution'!$B$146:$B$150,'-ref_Distribution'!$G$146:$G$150)),RIGHT(BL$1,2)),"")</f>
        <v>75</v>
      </c>
      <c r="BM53" s="16" cm="1">
        <f t="array" ref="BM53">IFERROR(INDEX(_xlfn.ANCHORARRAY(_xlfn.XLOOKUP($C53,'-ref_Distribution'!$B$146:$B$150,'-ref_Distribution'!$G$146:$G$150)),RIGHT(BM$1,2)),"")</f>
        <v>94</v>
      </c>
      <c r="BN53" s="16" cm="1">
        <f t="array" ref="BN53">IFERROR(INDEX(_xlfn.ANCHORARRAY(_xlfn.XLOOKUP($C53,'-ref_Distribution'!$B$146:$B$150,'-ref_Distribution'!$G$146:$G$150)),RIGHT(BN$1,2)),"")</f>
        <v>115</v>
      </c>
      <c r="BO53" s="16" cm="1">
        <f t="array" ref="BO53">IFERROR(INDEX(_xlfn.ANCHORARRAY(_xlfn.XLOOKUP($C53,'-ref_Distribution'!$B$146:$B$150,'-ref_Distribution'!$G$146:$G$150)),RIGHT(BO$1,2)),"")</f>
        <v>137</v>
      </c>
      <c r="BP53" s="16" cm="1">
        <f t="array" ref="BP53">IFERROR(INDEX(_xlfn.ANCHORARRAY(_xlfn.XLOOKUP($C53,'-ref_Distribution'!$B$146:$B$150,'-ref_Distribution'!$G$146:$G$150)),RIGHT(BP$1,2)),"")</f>
        <v>160</v>
      </c>
      <c r="BQ53" s="16" cm="1">
        <f t="array" ref="BQ53">IFERROR(INDEX(_xlfn.ANCHORARRAY(_xlfn.XLOOKUP($C53,'-ref_Distribution'!$B$146:$B$150,'-ref_Distribution'!$G$146:$G$150)),RIGHT(BQ$1,2)),"")</f>
        <v>183</v>
      </c>
      <c r="BR53" s="16" cm="1">
        <f t="array" ref="BR53">IFERROR(INDEX(_xlfn.ANCHORARRAY(_xlfn.XLOOKUP($C53,'-ref_Distribution'!$B$146:$B$150,'-ref_Distribution'!$G$146:$G$150)),RIGHT(BR$1,2)),"")</f>
        <v>203</v>
      </c>
      <c r="BS53" s="16" cm="1">
        <f t="array" ref="BS53">IFERROR(INDEX(_xlfn.ANCHORARRAY(_xlfn.XLOOKUP($C53,'-ref_Distribution'!$B$146:$B$150,'-ref_Distribution'!$G$146:$G$150)),RIGHT(BS$1,2)),"")</f>
        <v>221</v>
      </c>
      <c r="BT53" s="16" cm="1">
        <f t="array" ref="BT53">IFERROR(INDEX(_xlfn.ANCHORARRAY(_xlfn.XLOOKUP($C53,'-ref_Distribution'!$B$146:$B$150,'-ref_Distribution'!$G$146:$G$150)),RIGHT(BT$1,2)),"")</f>
        <v>234</v>
      </c>
      <c r="BU53" s="16" cm="1">
        <f t="array" ref="BU53">IFERROR(INDEX(_xlfn.ANCHORARRAY(_xlfn.XLOOKUP($C53,'-ref_Distribution'!$B$146:$B$150,'-ref_Distribution'!$G$146:$G$150)),RIGHT(BU$1,2)),"")</f>
        <v>243</v>
      </c>
      <c r="BV53" s="16" cm="1">
        <f t="array" ref="BV53">IFERROR(INDEX(_xlfn.ANCHORARRAY(_xlfn.XLOOKUP($C53,'-ref_Distribution'!$B$146:$B$150,'-ref_Distribution'!$G$146:$G$150)),RIGHT(BV$1,2)),"")</f>
        <v>245</v>
      </c>
      <c r="BW53" s="16" cm="1">
        <f t="array" ref="BW53">IFERROR(INDEX(_xlfn.ANCHORARRAY(_xlfn.XLOOKUP($C53,'-ref_Distribution'!$B$146:$B$150,'-ref_Distribution'!$G$146:$G$150)),RIGHT(BW$1,2)),"")</f>
        <v>243</v>
      </c>
      <c r="BX53" s="16" cm="1">
        <f t="array" ref="BX53">IFERROR(INDEX(_xlfn.ANCHORARRAY(_xlfn.XLOOKUP($C53,'-ref_Distribution'!$B$146:$B$150,'-ref_Distribution'!$G$146:$G$150)),RIGHT(BX$1,2)),"")</f>
        <v>234</v>
      </c>
      <c r="BY53" s="16" cm="1">
        <f t="array" ref="BY53">IFERROR(INDEX(_xlfn.ANCHORARRAY(_xlfn.XLOOKUP($C53,'-ref_Distribution'!$B$146:$B$150,'-ref_Distribution'!$G$146:$G$150)),RIGHT(BY$1,2)),"")</f>
        <v>221</v>
      </c>
      <c r="BZ53" s="16" cm="1">
        <f t="array" ref="BZ53">IFERROR(INDEX(_xlfn.ANCHORARRAY(_xlfn.XLOOKUP($C53,'-ref_Distribution'!$B$146:$B$150,'-ref_Distribution'!$G$146:$G$150)),RIGHT(BZ$1,2)),"")</f>
        <v>203</v>
      </c>
      <c r="CA53" s="16" cm="1">
        <f t="array" ref="CA53">IFERROR(INDEX(_xlfn.ANCHORARRAY(_xlfn.XLOOKUP($C53,'-ref_Distribution'!$B$146:$B$150,'-ref_Distribution'!$G$146:$G$150)),RIGHT(CA$1,2)),"")</f>
        <v>183</v>
      </c>
      <c r="CB53" s="16" cm="1">
        <f t="array" ref="CB53">IFERROR(INDEX(_xlfn.ANCHORARRAY(_xlfn.XLOOKUP($C53,'-ref_Distribution'!$B$146:$B$150,'-ref_Distribution'!$G$146:$G$150)),RIGHT(CB$1,2)),"")</f>
        <v>160</v>
      </c>
      <c r="CC53" s="16" cm="1">
        <f t="array" ref="CC53">IFERROR(INDEX(_xlfn.ANCHORARRAY(_xlfn.XLOOKUP($C53,'-ref_Distribution'!$B$146:$B$150,'-ref_Distribution'!$G$146:$G$150)),RIGHT(CC$1,2)),"")</f>
        <v>137</v>
      </c>
      <c r="CD53" s="16" cm="1">
        <f t="array" ref="CD53">IFERROR(INDEX(_xlfn.ANCHORARRAY(_xlfn.XLOOKUP($C53,'-ref_Distribution'!$B$146:$B$150,'-ref_Distribution'!$G$146:$G$150)),RIGHT(CD$1,2)),"")</f>
        <v>115</v>
      </c>
      <c r="CE53" s="16" cm="1">
        <f t="array" ref="CE53">IFERROR(INDEX(_xlfn.ANCHORARRAY(_xlfn.XLOOKUP($C53,'-ref_Distribution'!$B$146:$B$150,'-ref_Distribution'!$G$146:$G$150)),RIGHT(CE$1,2)),"")</f>
        <v>94</v>
      </c>
    </row>
    <row r="54" spans="1:83" x14ac:dyDescent="0.2">
      <c r="A54" s="16">
        <v>302044</v>
      </c>
      <c r="B54" s="16" t="s">
        <v>223</v>
      </c>
      <c r="C54" s="16">
        <v>3</v>
      </c>
      <c r="D54" s="16" cm="1">
        <f t="array" ref="D54">IFERROR(INDEX(_xlfn.ANCHORARRAY(_xlfn.XLOOKUP($C54,'-ref_Distribution'!$B$146:$B$150,'-ref_Distribution'!$G$146:$G$150)),RIGHT(D$1,2)),"")</f>
        <v>4</v>
      </c>
      <c r="E54" s="16" cm="1">
        <f t="array" ref="E54">IFERROR(INDEX(_xlfn.ANCHORARRAY(_xlfn.XLOOKUP($C54,'-ref_Distribution'!$B$146:$B$150,'-ref_Distribution'!$G$146:$G$150)),RIGHT(E$1,2)),"")</f>
        <v>6</v>
      </c>
      <c r="F54" s="16" cm="1">
        <f t="array" ref="F54">IFERROR(INDEX(_xlfn.ANCHORARRAY(_xlfn.XLOOKUP($C54,'-ref_Distribution'!$B$146:$B$150,'-ref_Distribution'!$G$146:$G$150)),RIGHT(F$1,2)),"")</f>
        <v>9</v>
      </c>
      <c r="G54" s="16" cm="1">
        <f t="array" ref="G54">IFERROR(INDEX(_xlfn.ANCHORARRAY(_xlfn.XLOOKUP($C54,'-ref_Distribution'!$B$146:$B$150,'-ref_Distribution'!$G$146:$G$150)),RIGHT(G$1,2)),"")</f>
        <v>14</v>
      </c>
      <c r="H54" s="16" cm="1">
        <f t="array" ref="H54">IFERROR(INDEX(_xlfn.ANCHORARRAY(_xlfn.XLOOKUP($C54,'-ref_Distribution'!$B$146:$B$150,'-ref_Distribution'!$G$146:$G$150)),RIGHT(H$1,2)),"")</f>
        <v>20</v>
      </c>
      <c r="I54" s="16" cm="1">
        <f t="array" ref="I54">IFERROR(INDEX(_xlfn.ANCHORARRAY(_xlfn.XLOOKUP($C54,'-ref_Distribution'!$B$146:$B$150,'-ref_Distribution'!$G$146:$G$150)),RIGHT(I$1,2)),"")</f>
        <v>28</v>
      </c>
      <c r="J54" s="16" cm="1">
        <f t="array" ref="J54">IFERROR(INDEX(_xlfn.ANCHORARRAY(_xlfn.XLOOKUP($C54,'-ref_Distribution'!$B$146:$B$150,'-ref_Distribution'!$G$146:$G$150)),RIGHT(J$1,2)),"")</f>
        <v>38</v>
      </c>
      <c r="K54" s="16" cm="1">
        <f t="array" ref="K54">IFERROR(INDEX(_xlfn.ANCHORARRAY(_xlfn.XLOOKUP($C54,'-ref_Distribution'!$B$146:$B$150,'-ref_Distribution'!$G$146:$G$150)),RIGHT(K$1,2)),"")</f>
        <v>51</v>
      </c>
      <c r="L54" s="16" cm="1">
        <f t="array" ref="L54">IFERROR(INDEX(_xlfn.ANCHORARRAY(_xlfn.XLOOKUP($C54,'-ref_Distribution'!$B$146:$B$150,'-ref_Distribution'!$G$146:$G$150)),RIGHT(L$1,2)),"")</f>
        <v>65</v>
      </c>
      <c r="M54" s="16" cm="1">
        <f t="array" ref="M54">IFERROR(INDEX(_xlfn.ANCHORARRAY(_xlfn.XLOOKUP($C54,'-ref_Distribution'!$B$146:$B$150,'-ref_Distribution'!$G$146:$G$150)),RIGHT(M$1,2)),"")</f>
        <v>80</v>
      </c>
      <c r="N54" s="16" cm="1">
        <f t="array" ref="N54">IFERROR(INDEX(_xlfn.ANCHORARRAY(_xlfn.XLOOKUP($C54,'-ref_Distribution'!$B$146:$B$150,'-ref_Distribution'!$G$146:$G$150)),RIGHT(N$1,2)),"")</f>
        <v>96</v>
      </c>
      <c r="O54" s="16" cm="1">
        <f t="array" ref="O54">IFERROR(INDEX(_xlfn.ANCHORARRAY(_xlfn.XLOOKUP($C54,'-ref_Distribution'!$B$146:$B$150,'-ref_Distribution'!$G$146:$G$150)),RIGHT(O$1,2)),"")</f>
        <v>111</v>
      </c>
      <c r="P54" s="16" cm="1">
        <f t="array" ref="P54">IFERROR(INDEX(_xlfn.ANCHORARRAY(_xlfn.XLOOKUP($C54,'-ref_Distribution'!$B$146:$B$150,'-ref_Distribution'!$G$146:$G$150)),RIGHT(P$1,2)),"")</f>
        <v>125</v>
      </c>
      <c r="Q54" s="16" cm="1">
        <f t="array" ref="Q54">IFERROR(INDEX(_xlfn.ANCHORARRAY(_xlfn.XLOOKUP($C54,'-ref_Distribution'!$B$146:$B$150,'-ref_Distribution'!$G$146:$G$150)),RIGHT(Q$1,2)),"")</f>
        <v>135</v>
      </c>
      <c r="R54" s="16" cm="1">
        <f t="array" ref="R54">IFERROR(INDEX(_xlfn.ANCHORARRAY(_xlfn.XLOOKUP($C54,'-ref_Distribution'!$B$146:$B$150,'-ref_Distribution'!$G$146:$G$150)),RIGHT(R$1,2)),"")</f>
        <v>142</v>
      </c>
      <c r="S54" s="16" cm="1">
        <f t="array" ref="S54">IFERROR(INDEX(_xlfn.ANCHORARRAY(_xlfn.XLOOKUP($C54,'-ref_Distribution'!$B$146:$B$150,'-ref_Distribution'!$G$146:$G$150)),RIGHT(S$1,2)),"")</f>
        <v>144</v>
      </c>
      <c r="T54" s="16" cm="1">
        <f t="array" ref="T54">IFERROR(INDEX(_xlfn.ANCHORARRAY(_xlfn.XLOOKUP($C54,'-ref_Distribution'!$B$146:$B$150,'-ref_Distribution'!$G$146:$G$150)),RIGHT(T$1,2)),"")</f>
        <v>142</v>
      </c>
      <c r="U54" s="16" cm="1">
        <f t="array" ref="U54">IFERROR(INDEX(_xlfn.ANCHORARRAY(_xlfn.XLOOKUP($C54,'-ref_Distribution'!$B$146:$B$150,'-ref_Distribution'!$G$146:$G$150)),RIGHT(U$1,2)),"")</f>
        <v>135</v>
      </c>
      <c r="V54" s="16" cm="1">
        <f t="array" ref="V54">IFERROR(INDEX(_xlfn.ANCHORARRAY(_xlfn.XLOOKUP($C54,'-ref_Distribution'!$B$146:$B$150,'-ref_Distribution'!$G$146:$G$150)),RIGHT(V$1,2)),"")</f>
        <v>125</v>
      </c>
      <c r="W54" s="16" cm="1">
        <f t="array" ref="W54">IFERROR(INDEX(_xlfn.ANCHORARRAY(_xlfn.XLOOKUP($C54,'-ref_Distribution'!$B$146:$B$150,'-ref_Distribution'!$G$146:$G$150)),RIGHT(W$1,2)),"")</f>
        <v>111</v>
      </c>
      <c r="X54" s="16" cm="1">
        <f t="array" ref="X54">IFERROR(INDEX(_xlfn.ANCHORARRAY(_xlfn.XLOOKUP($C54,'-ref_Distribution'!$B$146:$B$150,'-ref_Distribution'!$G$146:$G$150)),RIGHT(X$1,2)),"")</f>
        <v>4</v>
      </c>
      <c r="Y54" s="16" cm="1">
        <f t="array" ref="Y54">IFERROR(INDEX(_xlfn.ANCHORARRAY(_xlfn.XLOOKUP($C54,'-ref_Distribution'!$B$146:$B$150,'-ref_Distribution'!$G$146:$G$150)),RIGHT(Y$1,2)),"")</f>
        <v>6</v>
      </c>
      <c r="Z54" s="16" cm="1">
        <f t="array" ref="Z54">IFERROR(INDEX(_xlfn.ANCHORARRAY(_xlfn.XLOOKUP($C54,'-ref_Distribution'!$B$146:$B$150,'-ref_Distribution'!$G$146:$G$150)),RIGHT(Z$1,2)),"")</f>
        <v>9</v>
      </c>
      <c r="AA54" s="16" cm="1">
        <f t="array" ref="AA54">IFERROR(INDEX(_xlfn.ANCHORARRAY(_xlfn.XLOOKUP($C54,'-ref_Distribution'!$B$146:$B$150,'-ref_Distribution'!$G$146:$G$150)),RIGHT(AA$1,2)),"")</f>
        <v>14</v>
      </c>
      <c r="AB54" s="16" cm="1">
        <f t="array" ref="AB54">IFERROR(INDEX(_xlfn.ANCHORARRAY(_xlfn.XLOOKUP($C54,'-ref_Distribution'!$B$146:$B$150,'-ref_Distribution'!$G$146:$G$150)),RIGHT(AB$1,2)),"")</f>
        <v>20</v>
      </c>
      <c r="AC54" s="16" cm="1">
        <f t="array" ref="AC54">IFERROR(INDEX(_xlfn.ANCHORARRAY(_xlfn.XLOOKUP($C54,'-ref_Distribution'!$B$146:$B$150,'-ref_Distribution'!$G$146:$G$150)),RIGHT(AC$1,2)),"")</f>
        <v>28</v>
      </c>
      <c r="AD54" s="16" cm="1">
        <f t="array" ref="AD54">IFERROR(INDEX(_xlfn.ANCHORARRAY(_xlfn.XLOOKUP($C54,'-ref_Distribution'!$B$146:$B$150,'-ref_Distribution'!$G$146:$G$150)),RIGHT(AD$1,2)),"")</f>
        <v>38</v>
      </c>
      <c r="AE54" s="16" cm="1">
        <f t="array" ref="AE54">IFERROR(INDEX(_xlfn.ANCHORARRAY(_xlfn.XLOOKUP($C54,'-ref_Distribution'!$B$146:$B$150,'-ref_Distribution'!$G$146:$G$150)),RIGHT(AE$1,2)),"")</f>
        <v>51</v>
      </c>
      <c r="AF54" s="16" cm="1">
        <f t="array" ref="AF54">IFERROR(INDEX(_xlfn.ANCHORARRAY(_xlfn.XLOOKUP($C54,'-ref_Distribution'!$B$146:$B$150,'-ref_Distribution'!$G$146:$G$150)),RIGHT(AF$1,2)),"")</f>
        <v>65</v>
      </c>
      <c r="AG54" s="16" cm="1">
        <f t="array" ref="AG54">IFERROR(INDEX(_xlfn.ANCHORARRAY(_xlfn.XLOOKUP($C54,'-ref_Distribution'!$B$146:$B$150,'-ref_Distribution'!$G$146:$G$150)),RIGHT(AG$1,2)),"")</f>
        <v>80</v>
      </c>
      <c r="AH54" s="16" cm="1">
        <f t="array" ref="AH54">IFERROR(INDEX(_xlfn.ANCHORARRAY(_xlfn.XLOOKUP($C54,'-ref_Distribution'!$B$146:$B$150,'-ref_Distribution'!$G$146:$G$150)),RIGHT(AH$1,2)),"")</f>
        <v>96</v>
      </c>
      <c r="AI54" s="16" cm="1">
        <f t="array" ref="AI54">IFERROR(INDEX(_xlfn.ANCHORARRAY(_xlfn.XLOOKUP($C54,'-ref_Distribution'!$B$146:$B$150,'-ref_Distribution'!$G$146:$G$150)),RIGHT(AI$1,2)),"")</f>
        <v>111</v>
      </c>
      <c r="AJ54" s="16" cm="1">
        <f t="array" ref="AJ54">IFERROR(INDEX(_xlfn.ANCHORARRAY(_xlfn.XLOOKUP($C54,'-ref_Distribution'!$B$146:$B$150,'-ref_Distribution'!$G$146:$G$150)),RIGHT(AJ$1,2)),"")</f>
        <v>125</v>
      </c>
      <c r="AK54" s="16" cm="1">
        <f t="array" ref="AK54">IFERROR(INDEX(_xlfn.ANCHORARRAY(_xlfn.XLOOKUP($C54,'-ref_Distribution'!$B$146:$B$150,'-ref_Distribution'!$G$146:$G$150)),RIGHT(AK$1,2)),"")</f>
        <v>135</v>
      </c>
      <c r="AL54" s="16" cm="1">
        <f t="array" ref="AL54">IFERROR(INDEX(_xlfn.ANCHORARRAY(_xlfn.XLOOKUP($C54,'-ref_Distribution'!$B$146:$B$150,'-ref_Distribution'!$G$146:$G$150)),RIGHT(AL$1,2)),"")</f>
        <v>142</v>
      </c>
      <c r="AM54" s="16" cm="1">
        <f t="array" ref="AM54">IFERROR(INDEX(_xlfn.ANCHORARRAY(_xlfn.XLOOKUP($C54,'-ref_Distribution'!$B$146:$B$150,'-ref_Distribution'!$G$146:$G$150)),RIGHT(AM$1,2)),"")</f>
        <v>144</v>
      </c>
      <c r="AN54" s="16" cm="1">
        <f t="array" ref="AN54">IFERROR(INDEX(_xlfn.ANCHORARRAY(_xlfn.XLOOKUP($C54,'-ref_Distribution'!$B$146:$B$150,'-ref_Distribution'!$G$146:$G$150)),RIGHT(AN$1,2)),"")</f>
        <v>142</v>
      </c>
      <c r="AO54" s="16" cm="1">
        <f t="array" ref="AO54">IFERROR(INDEX(_xlfn.ANCHORARRAY(_xlfn.XLOOKUP($C54,'-ref_Distribution'!$B$146:$B$150,'-ref_Distribution'!$G$146:$G$150)),RIGHT(AO$1,2)),"")</f>
        <v>135</v>
      </c>
      <c r="AP54" s="16" cm="1">
        <f t="array" ref="AP54">IFERROR(INDEX(_xlfn.ANCHORARRAY(_xlfn.XLOOKUP($C54,'-ref_Distribution'!$B$146:$B$150,'-ref_Distribution'!$G$146:$G$150)),RIGHT(AP$1,2)),"")</f>
        <v>125</v>
      </c>
      <c r="AQ54" s="16" cm="1">
        <f t="array" ref="AQ54">IFERROR(INDEX(_xlfn.ANCHORARRAY(_xlfn.XLOOKUP($C54,'-ref_Distribution'!$B$146:$B$150,'-ref_Distribution'!$G$146:$G$150)),RIGHT(AQ$1,2)),"")</f>
        <v>111</v>
      </c>
      <c r="AR54" s="16" cm="1">
        <f t="array" ref="AR54">IFERROR(INDEX(_xlfn.ANCHORARRAY(_xlfn.XLOOKUP($C54,'-ref_Distribution'!$B$146:$B$150,'-ref_Distribution'!$G$146:$G$150)),RIGHT(AR$1,2)),"")</f>
        <v>4</v>
      </c>
      <c r="AS54" s="16" cm="1">
        <f t="array" ref="AS54">IFERROR(INDEX(_xlfn.ANCHORARRAY(_xlfn.XLOOKUP($C54,'-ref_Distribution'!$B$146:$B$150,'-ref_Distribution'!$G$146:$G$150)),RIGHT(AS$1,2)),"")</f>
        <v>6</v>
      </c>
      <c r="AT54" s="16" cm="1">
        <f t="array" ref="AT54">IFERROR(INDEX(_xlfn.ANCHORARRAY(_xlfn.XLOOKUP($C54,'-ref_Distribution'!$B$146:$B$150,'-ref_Distribution'!$G$146:$G$150)),RIGHT(AT$1,2)),"")</f>
        <v>9</v>
      </c>
      <c r="AU54" s="16" cm="1">
        <f t="array" ref="AU54">IFERROR(INDEX(_xlfn.ANCHORARRAY(_xlfn.XLOOKUP($C54,'-ref_Distribution'!$B$146:$B$150,'-ref_Distribution'!$G$146:$G$150)),RIGHT(AU$1,2)),"")</f>
        <v>14</v>
      </c>
      <c r="AV54" s="16" cm="1">
        <f t="array" ref="AV54">IFERROR(INDEX(_xlfn.ANCHORARRAY(_xlfn.XLOOKUP($C54,'-ref_Distribution'!$B$146:$B$150,'-ref_Distribution'!$G$146:$G$150)),RIGHT(AV$1,2)),"")</f>
        <v>20</v>
      </c>
      <c r="AW54" s="16" cm="1">
        <f t="array" ref="AW54">IFERROR(INDEX(_xlfn.ANCHORARRAY(_xlfn.XLOOKUP($C54,'-ref_Distribution'!$B$146:$B$150,'-ref_Distribution'!$G$146:$G$150)),RIGHT(AW$1,2)),"")</f>
        <v>28</v>
      </c>
      <c r="AX54" s="16" cm="1">
        <f t="array" ref="AX54">IFERROR(INDEX(_xlfn.ANCHORARRAY(_xlfn.XLOOKUP($C54,'-ref_Distribution'!$B$146:$B$150,'-ref_Distribution'!$G$146:$G$150)),RIGHT(AX$1,2)),"")</f>
        <v>38</v>
      </c>
      <c r="AY54" s="16" cm="1">
        <f t="array" ref="AY54">IFERROR(INDEX(_xlfn.ANCHORARRAY(_xlfn.XLOOKUP($C54,'-ref_Distribution'!$B$146:$B$150,'-ref_Distribution'!$G$146:$G$150)),RIGHT(AY$1,2)),"")</f>
        <v>51</v>
      </c>
      <c r="AZ54" s="16" cm="1">
        <f t="array" ref="AZ54">IFERROR(INDEX(_xlfn.ANCHORARRAY(_xlfn.XLOOKUP($C54,'-ref_Distribution'!$B$146:$B$150,'-ref_Distribution'!$G$146:$G$150)),RIGHT(AZ$1,2)),"")</f>
        <v>65</v>
      </c>
      <c r="BA54" s="16" cm="1">
        <f t="array" ref="BA54">IFERROR(INDEX(_xlfn.ANCHORARRAY(_xlfn.XLOOKUP($C54,'-ref_Distribution'!$B$146:$B$150,'-ref_Distribution'!$G$146:$G$150)),RIGHT(BA$1,2)),"")</f>
        <v>80</v>
      </c>
      <c r="BB54" s="16" cm="1">
        <f t="array" ref="BB54">IFERROR(INDEX(_xlfn.ANCHORARRAY(_xlfn.XLOOKUP($C54,'-ref_Distribution'!$B$146:$B$150,'-ref_Distribution'!$G$146:$G$150)),RIGHT(BB$1,2)),"")</f>
        <v>96</v>
      </c>
      <c r="BC54" s="16" cm="1">
        <f t="array" ref="BC54">IFERROR(INDEX(_xlfn.ANCHORARRAY(_xlfn.XLOOKUP($C54,'-ref_Distribution'!$B$146:$B$150,'-ref_Distribution'!$G$146:$G$150)),RIGHT(BC$1,2)),"")</f>
        <v>111</v>
      </c>
      <c r="BD54" s="16" cm="1">
        <f t="array" ref="BD54">IFERROR(INDEX(_xlfn.ANCHORARRAY(_xlfn.XLOOKUP($C54,'-ref_Distribution'!$B$146:$B$150,'-ref_Distribution'!$G$146:$G$150)),RIGHT(BD$1,2)),"")</f>
        <v>125</v>
      </c>
      <c r="BE54" s="16" cm="1">
        <f t="array" ref="BE54">IFERROR(INDEX(_xlfn.ANCHORARRAY(_xlfn.XLOOKUP($C54,'-ref_Distribution'!$B$146:$B$150,'-ref_Distribution'!$G$146:$G$150)),RIGHT(BE$1,2)),"")</f>
        <v>135</v>
      </c>
      <c r="BF54" s="16" cm="1">
        <f t="array" ref="BF54">IFERROR(INDEX(_xlfn.ANCHORARRAY(_xlfn.XLOOKUP($C54,'-ref_Distribution'!$B$146:$B$150,'-ref_Distribution'!$G$146:$G$150)),RIGHT(BF$1,2)),"")</f>
        <v>142</v>
      </c>
      <c r="BG54" s="16" cm="1">
        <f t="array" ref="BG54">IFERROR(INDEX(_xlfn.ANCHORARRAY(_xlfn.XLOOKUP($C54,'-ref_Distribution'!$B$146:$B$150,'-ref_Distribution'!$G$146:$G$150)),RIGHT(BG$1,2)),"")</f>
        <v>144</v>
      </c>
      <c r="BH54" s="16" cm="1">
        <f t="array" ref="BH54">IFERROR(INDEX(_xlfn.ANCHORARRAY(_xlfn.XLOOKUP($C54,'-ref_Distribution'!$B$146:$B$150,'-ref_Distribution'!$G$146:$G$150)),RIGHT(BH$1,2)),"")</f>
        <v>142</v>
      </c>
      <c r="BI54" s="16" cm="1">
        <f t="array" ref="BI54">IFERROR(INDEX(_xlfn.ANCHORARRAY(_xlfn.XLOOKUP($C54,'-ref_Distribution'!$B$146:$B$150,'-ref_Distribution'!$G$146:$G$150)),RIGHT(BI$1,2)),"")</f>
        <v>135</v>
      </c>
      <c r="BJ54" s="16" cm="1">
        <f t="array" ref="BJ54">IFERROR(INDEX(_xlfn.ANCHORARRAY(_xlfn.XLOOKUP($C54,'-ref_Distribution'!$B$146:$B$150,'-ref_Distribution'!$G$146:$G$150)),RIGHT(BJ$1,2)),"")</f>
        <v>125</v>
      </c>
      <c r="BK54" s="16" cm="1">
        <f t="array" ref="BK54">IFERROR(INDEX(_xlfn.ANCHORARRAY(_xlfn.XLOOKUP($C54,'-ref_Distribution'!$B$146:$B$150,'-ref_Distribution'!$G$146:$G$150)),RIGHT(BK$1,2)),"")</f>
        <v>111</v>
      </c>
      <c r="BL54" s="16" cm="1">
        <f t="array" ref="BL54">IFERROR(INDEX(_xlfn.ANCHORARRAY(_xlfn.XLOOKUP($C54,'-ref_Distribution'!$B$146:$B$150,'-ref_Distribution'!$G$146:$G$150)),RIGHT(BL$1,2)),"")</f>
        <v>4</v>
      </c>
      <c r="BM54" s="16" cm="1">
        <f t="array" ref="BM54">IFERROR(INDEX(_xlfn.ANCHORARRAY(_xlfn.XLOOKUP($C54,'-ref_Distribution'!$B$146:$B$150,'-ref_Distribution'!$G$146:$G$150)),RIGHT(BM$1,2)),"")</f>
        <v>6</v>
      </c>
      <c r="BN54" s="16" cm="1">
        <f t="array" ref="BN54">IFERROR(INDEX(_xlfn.ANCHORARRAY(_xlfn.XLOOKUP($C54,'-ref_Distribution'!$B$146:$B$150,'-ref_Distribution'!$G$146:$G$150)),RIGHT(BN$1,2)),"")</f>
        <v>9</v>
      </c>
      <c r="BO54" s="16" cm="1">
        <f t="array" ref="BO54">IFERROR(INDEX(_xlfn.ANCHORARRAY(_xlfn.XLOOKUP($C54,'-ref_Distribution'!$B$146:$B$150,'-ref_Distribution'!$G$146:$G$150)),RIGHT(BO$1,2)),"")</f>
        <v>14</v>
      </c>
      <c r="BP54" s="16" cm="1">
        <f t="array" ref="BP54">IFERROR(INDEX(_xlfn.ANCHORARRAY(_xlfn.XLOOKUP($C54,'-ref_Distribution'!$B$146:$B$150,'-ref_Distribution'!$G$146:$G$150)),RIGHT(BP$1,2)),"")</f>
        <v>20</v>
      </c>
      <c r="BQ54" s="16" cm="1">
        <f t="array" ref="BQ54">IFERROR(INDEX(_xlfn.ANCHORARRAY(_xlfn.XLOOKUP($C54,'-ref_Distribution'!$B$146:$B$150,'-ref_Distribution'!$G$146:$G$150)),RIGHT(BQ$1,2)),"")</f>
        <v>28</v>
      </c>
      <c r="BR54" s="16" cm="1">
        <f t="array" ref="BR54">IFERROR(INDEX(_xlfn.ANCHORARRAY(_xlfn.XLOOKUP($C54,'-ref_Distribution'!$B$146:$B$150,'-ref_Distribution'!$G$146:$G$150)),RIGHT(BR$1,2)),"")</f>
        <v>38</v>
      </c>
      <c r="BS54" s="16" cm="1">
        <f t="array" ref="BS54">IFERROR(INDEX(_xlfn.ANCHORARRAY(_xlfn.XLOOKUP($C54,'-ref_Distribution'!$B$146:$B$150,'-ref_Distribution'!$G$146:$G$150)),RIGHT(BS$1,2)),"")</f>
        <v>51</v>
      </c>
      <c r="BT54" s="16" cm="1">
        <f t="array" ref="BT54">IFERROR(INDEX(_xlfn.ANCHORARRAY(_xlfn.XLOOKUP($C54,'-ref_Distribution'!$B$146:$B$150,'-ref_Distribution'!$G$146:$G$150)),RIGHT(BT$1,2)),"")</f>
        <v>65</v>
      </c>
      <c r="BU54" s="16" cm="1">
        <f t="array" ref="BU54">IFERROR(INDEX(_xlfn.ANCHORARRAY(_xlfn.XLOOKUP($C54,'-ref_Distribution'!$B$146:$B$150,'-ref_Distribution'!$G$146:$G$150)),RIGHT(BU$1,2)),"")</f>
        <v>80</v>
      </c>
      <c r="BV54" s="16" cm="1">
        <f t="array" ref="BV54">IFERROR(INDEX(_xlfn.ANCHORARRAY(_xlfn.XLOOKUP($C54,'-ref_Distribution'!$B$146:$B$150,'-ref_Distribution'!$G$146:$G$150)),RIGHT(BV$1,2)),"")</f>
        <v>96</v>
      </c>
      <c r="BW54" s="16" cm="1">
        <f t="array" ref="BW54">IFERROR(INDEX(_xlfn.ANCHORARRAY(_xlfn.XLOOKUP($C54,'-ref_Distribution'!$B$146:$B$150,'-ref_Distribution'!$G$146:$G$150)),RIGHT(BW$1,2)),"")</f>
        <v>111</v>
      </c>
      <c r="BX54" s="16" cm="1">
        <f t="array" ref="BX54">IFERROR(INDEX(_xlfn.ANCHORARRAY(_xlfn.XLOOKUP($C54,'-ref_Distribution'!$B$146:$B$150,'-ref_Distribution'!$G$146:$G$150)),RIGHT(BX$1,2)),"")</f>
        <v>125</v>
      </c>
      <c r="BY54" s="16" cm="1">
        <f t="array" ref="BY54">IFERROR(INDEX(_xlfn.ANCHORARRAY(_xlfn.XLOOKUP($C54,'-ref_Distribution'!$B$146:$B$150,'-ref_Distribution'!$G$146:$G$150)),RIGHT(BY$1,2)),"")</f>
        <v>135</v>
      </c>
      <c r="BZ54" s="16" cm="1">
        <f t="array" ref="BZ54">IFERROR(INDEX(_xlfn.ANCHORARRAY(_xlfn.XLOOKUP($C54,'-ref_Distribution'!$B$146:$B$150,'-ref_Distribution'!$G$146:$G$150)),RIGHT(BZ$1,2)),"")</f>
        <v>142</v>
      </c>
      <c r="CA54" s="16" cm="1">
        <f t="array" ref="CA54">IFERROR(INDEX(_xlfn.ANCHORARRAY(_xlfn.XLOOKUP($C54,'-ref_Distribution'!$B$146:$B$150,'-ref_Distribution'!$G$146:$G$150)),RIGHT(CA$1,2)),"")</f>
        <v>144</v>
      </c>
      <c r="CB54" s="16" cm="1">
        <f t="array" ref="CB54">IFERROR(INDEX(_xlfn.ANCHORARRAY(_xlfn.XLOOKUP($C54,'-ref_Distribution'!$B$146:$B$150,'-ref_Distribution'!$G$146:$G$150)),RIGHT(CB$1,2)),"")</f>
        <v>142</v>
      </c>
      <c r="CC54" s="16" cm="1">
        <f t="array" ref="CC54">IFERROR(INDEX(_xlfn.ANCHORARRAY(_xlfn.XLOOKUP($C54,'-ref_Distribution'!$B$146:$B$150,'-ref_Distribution'!$G$146:$G$150)),RIGHT(CC$1,2)),"")</f>
        <v>135</v>
      </c>
      <c r="CD54" s="16" cm="1">
        <f t="array" ref="CD54">IFERROR(INDEX(_xlfn.ANCHORARRAY(_xlfn.XLOOKUP($C54,'-ref_Distribution'!$B$146:$B$150,'-ref_Distribution'!$G$146:$G$150)),RIGHT(CD$1,2)),"")</f>
        <v>125</v>
      </c>
      <c r="CE54" s="16" cm="1">
        <f t="array" ref="CE54">IFERROR(INDEX(_xlfn.ANCHORARRAY(_xlfn.XLOOKUP($C54,'-ref_Distribution'!$B$146:$B$150,'-ref_Distribution'!$G$146:$G$150)),RIGHT(CE$1,2)),"")</f>
        <v>111</v>
      </c>
    </row>
    <row r="55" spans="1:83" x14ac:dyDescent="0.2">
      <c r="A55" s="16">
        <v>302231</v>
      </c>
      <c r="B55" s="16" t="s">
        <v>204</v>
      </c>
      <c r="C55" s="16">
        <v>2</v>
      </c>
      <c r="D55" s="16" cm="1">
        <f t="array" ref="D55">IFERROR(INDEX(_xlfn.ANCHORARRAY(_xlfn.XLOOKUP($C55,'-ref_Distribution'!$B$146:$B$150,'-ref_Distribution'!$G$146:$G$150)),RIGHT(D$1,2)),"")</f>
        <v>75</v>
      </c>
      <c r="E55" s="16" cm="1">
        <f t="array" ref="E55">IFERROR(INDEX(_xlfn.ANCHORARRAY(_xlfn.XLOOKUP($C55,'-ref_Distribution'!$B$146:$B$150,'-ref_Distribution'!$G$146:$G$150)),RIGHT(E$1,2)),"")</f>
        <v>94</v>
      </c>
      <c r="F55" s="16" cm="1">
        <f t="array" ref="F55">IFERROR(INDEX(_xlfn.ANCHORARRAY(_xlfn.XLOOKUP($C55,'-ref_Distribution'!$B$146:$B$150,'-ref_Distribution'!$G$146:$G$150)),RIGHT(F$1,2)),"")</f>
        <v>115</v>
      </c>
      <c r="G55" s="16" cm="1">
        <f t="array" ref="G55">IFERROR(INDEX(_xlfn.ANCHORARRAY(_xlfn.XLOOKUP($C55,'-ref_Distribution'!$B$146:$B$150,'-ref_Distribution'!$G$146:$G$150)),RIGHT(G$1,2)),"")</f>
        <v>137</v>
      </c>
      <c r="H55" s="16" cm="1">
        <f t="array" ref="H55">IFERROR(INDEX(_xlfn.ANCHORARRAY(_xlfn.XLOOKUP($C55,'-ref_Distribution'!$B$146:$B$150,'-ref_Distribution'!$G$146:$G$150)),RIGHT(H$1,2)),"")</f>
        <v>160</v>
      </c>
      <c r="I55" s="16" cm="1">
        <f t="array" ref="I55">IFERROR(INDEX(_xlfn.ANCHORARRAY(_xlfn.XLOOKUP($C55,'-ref_Distribution'!$B$146:$B$150,'-ref_Distribution'!$G$146:$G$150)),RIGHT(I$1,2)),"")</f>
        <v>183</v>
      </c>
      <c r="J55" s="16" cm="1">
        <f t="array" ref="J55">IFERROR(INDEX(_xlfn.ANCHORARRAY(_xlfn.XLOOKUP($C55,'-ref_Distribution'!$B$146:$B$150,'-ref_Distribution'!$G$146:$G$150)),RIGHT(J$1,2)),"")</f>
        <v>203</v>
      </c>
      <c r="K55" s="16" cm="1">
        <f t="array" ref="K55">IFERROR(INDEX(_xlfn.ANCHORARRAY(_xlfn.XLOOKUP($C55,'-ref_Distribution'!$B$146:$B$150,'-ref_Distribution'!$G$146:$G$150)),RIGHT(K$1,2)),"")</f>
        <v>221</v>
      </c>
      <c r="L55" s="16" cm="1">
        <f t="array" ref="L55">IFERROR(INDEX(_xlfn.ANCHORARRAY(_xlfn.XLOOKUP($C55,'-ref_Distribution'!$B$146:$B$150,'-ref_Distribution'!$G$146:$G$150)),RIGHT(L$1,2)),"")</f>
        <v>234</v>
      </c>
      <c r="M55" s="16" cm="1">
        <f t="array" ref="M55">IFERROR(INDEX(_xlfn.ANCHORARRAY(_xlfn.XLOOKUP($C55,'-ref_Distribution'!$B$146:$B$150,'-ref_Distribution'!$G$146:$G$150)),RIGHT(M$1,2)),"")</f>
        <v>243</v>
      </c>
      <c r="N55" s="16" cm="1">
        <f t="array" ref="N55">IFERROR(INDEX(_xlfn.ANCHORARRAY(_xlfn.XLOOKUP($C55,'-ref_Distribution'!$B$146:$B$150,'-ref_Distribution'!$G$146:$G$150)),RIGHT(N$1,2)),"")</f>
        <v>245</v>
      </c>
      <c r="O55" s="16" cm="1">
        <f t="array" ref="O55">IFERROR(INDEX(_xlfn.ANCHORARRAY(_xlfn.XLOOKUP($C55,'-ref_Distribution'!$B$146:$B$150,'-ref_Distribution'!$G$146:$G$150)),RIGHT(O$1,2)),"")</f>
        <v>243</v>
      </c>
      <c r="P55" s="16" cm="1">
        <f t="array" ref="P55">IFERROR(INDEX(_xlfn.ANCHORARRAY(_xlfn.XLOOKUP($C55,'-ref_Distribution'!$B$146:$B$150,'-ref_Distribution'!$G$146:$G$150)),RIGHT(P$1,2)),"")</f>
        <v>234</v>
      </c>
      <c r="Q55" s="16" cm="1">
        <f t="array" ref="Q55">IFERROR(INDEX(_xlfn.ANCHORARRAY(_xlfn.XLOOKUP($C55,'-ref_Distribution'!$B$146:$B$150,'-ref_Distribution'!$G$146:$G$150)),RIGHT(Q$1,2)),"")</f>
        <v>221</v>
      </c>
      <c r="R55" s="16" cm="1">
        <f t="array" ref="R55">IFERROR(INDEX(_xlfn.ANCHORARRAY(_xlfn.XLOOKUP($C55,'-ref_Distribution'!$B$146:$B$150,'-ref_Distribution'!$G$146:$G$150)),RIGHT(R$1,2)),"")</f>
        <v>203</v>
      </c>
      <c r="S55" s="16" cm="1">
        <f t="array" ref="S55">IFERROR(INDEX(_xlfn.ANCHORARRAY(_xlfn.XLOOKUP($C55,'-ref_Distribution'!$B$146:$B$150,'-ref_Distribution'!$G$146:$G$150)),RIGHT(S$1,2)),"")</f>
        <v>183</v>
      </c>
      <c r="T55" s="16" cm="1">
        <f t="array" ref="T55">IFERROR(INDEX(_xlfn.ANCHORARRAY(_xlfn.XLOOKUP($C55,'-ref_Distribution'!$B$146:$B$150,'-ref_Distribution'!$G$146:$G$150)),RIGHT(T$1,2)),"")</f>
        <v>160</v>
      </c>
      <c r="U55" s="16" cm="1">
        <f t="array" ref="U55">IFERROR(INDEX(_xlfn.ANCHORARRAY(_xlfn.XLOOKUP($C55,'-ref_Distribution'!$B$146:$B$150,'-ref_Distribution'!$G$146:$G$150)),RIGHT(U$1,2)),"")</f>
        <v>137</v>
      </c>
      <c r="V55" s="16" cm="1">
        <f t="array" ref="V55">IFERROR(INDEX(_xlfn.ANCHORARRAY(_xlfn.XLOOKUP($C55,'-ref_Distribution'!$B$146:$B$150,'-ref_Distribution'!$G$146:$G$150)),RIGHT(V$1,2)),"")</f>
        <v>115</v>
      </c>
      <c r="W55" s="16" cm="1">
        <f t="array" ref="W55">IFERROR(INDEX(_xlfn.ANCHORARRAY(_xlfn.XLOOKUP($C55,'-ref_Distribution'!$B$146:$B$150,'-ref_Distribution'!$G$146:$G$150)),RIGHT(W$1,2)),"")</f>
        <v>94</v>
      </c>
      <c r="X55" s="16" cm="1">
        <f t="array" ref="X55">IFERROR(INDEX(_xlfn.ANCHORARRAY(_xlfn.XLOOKUP($C55,'-ref_Distribution'!$B$146:$B$150,'-ref_Distribution'!$G$146:$G$150)),RIGHT(X$1,2)),"")</f>
        <v>75</v>
      </c>
      <c r="Y55" s="16" cm="1">
        <f t="array" ref="Y55">IFERROR(INDEX(_xlfn.ANCHORARRAY(_xlfn.XLOOKUP($C55,'-ref_Distribution'!$B$146:$B$150,'-ref_Distribution'!$G$146:$G$150)),RIGHT(Y$1,2)),"")</f>
        <v>94</v>
      </c>
      <c r="Z55" s="16" cm="1">
        <f t="array" ref="Z55">IFERROR(INDEX(_xlfn.ANCHORARRAY(_xlfn.XLOOKUP($C55,'-ref_Distribution'!$B$146:$B$150,'-ref_Distribution'!$G$146:$G$150)),RIGHT(Z$1,2)),"")</f>
        <v>115</v>
      </c>
      <c r="AA55" s="16" cm="1">
        <f t="array" ref="AA55">IFERROR(INDEX(_xlfn.ANCHORARRAY(_xlfn.XLOOKUP($C55,'-ref_Distribution'!$B$146:$B$150,'-ref_Distribution'!$G$146:$G$150)),RIGHT(AA$1,2)),"")</f>
        <v>137</v>
      </c>
      <c r="AB55" s="16" cm="1">
        <f t="array" ref="AB55">IFERROR(INDEX(_xlfn.ANCHORARRAY(_xlfn.XLOOKUP($C55,'-ref_Distribution'!$B$146:$B$150,'-ref_Distribution'!$G$146:$G$150)),RIGHT(AB$1,2)),"")</f>
        <v>160</v>
      </c>
      <c r="AC55" s="16" cm="1">
        <f t="array" ref="AC55">IFERROR(INDEX(_xlfn.ANCHORARRAY(_xlfn.XLOOKUP($C55,'-ref_Distribution'!$B$146:$B$150,'-ref_Distribution'!$G$146:$G$150)),RIGHT(AC$1,2)),"")</f>
        <v>183</v>
      </c>
      <c r="AD55" s="16" cm="1">
        <f t="array" ref="AD55">IFERROR(INDEX(_xlfn.ANCHORARRAY(_xlfn.XLOOKUP($C55,'-ref_Distribution'!$B$146:$B$150,'-ref_Distribution'!$G$146:$G$150)),RIGHT(AD$1,2)),"")</f>
        <v>203</v>
      </c>
      <c r="AE55" s="16" cm="1">
        <f t="array" ref="AE55">IFERROR(INDEX(_xlfn.ANCHORARRAY(_xlfn.XLOOKUP($C55,'-ref_Distribution'!$B$146:$B$150,'-ref_Distribution'!$G$146:$G$150)),RIGHT(AE$1,2)),"")</f>
        <v>221</v>
      </c>
      <c r="AF55" s="16" cm="1">
        <f t="array" ref="AF55">IFERROR(INDEX(_xlfn.ANCHORARRAY(_xlfn.XLOOKUP($C55,'-ref_Distribution'!$B$146:$B$150,'-ref_Distribution'!$G$146:$G$150)),RIGHT(AF$1,2)),"")</f>
        <v>234</v>
      </c>
      <c r="AG55" s="16" cm="1">
        <f t="array" ref="AG55">IFERROR(INDEX(_xlfn.ANCHORARRAY(_xlfn.XLOOKUP($C55,'-ref_Distribution'!$B$146:$B$150,'-ref_Distribution'!$G$146:$G$150)),RIGHT(AG$1,2)),"")</f>
        <v>243</v>
      </c>
      <c r="AH55" s="16" cm="1">
        <f t="array" ref="AH55">IFERROR(INDEX(_xlfn.ANCHORARRAY(_xlfn.XLOOKUP($C55,'-ref_Distribution'!$B$146:$B$150,'-ref_Distribution'!$G$146:$G$150)),RIGHT(AH$1,2)),"")</f>
        <v>245</v>
      </c>
      <c r="AI55" s="16" cm="1">
        <f t="array" ref="AI55">IFERROR(INDEX(_xlfn.ANCHORARRAY(_xlfn.XLOOKUP($C55,'-ref_Distribution'!$B$146:$B$150,'-ref_Distribution'!$G$146:$G$150)),RIGHT(AI$1,2)),"")</f>
        <v>243</v>
      </c>
      <c r="AJ55" s="16" cm="1">
        <f t="array" ref="AJ55">IFERROR(INDEX(_xlfn.ANCHORARRAY(_xlfn.XLOOKUP($C55,'-ref_Distribution'!$B$146:$B$150,'-ref_Distribution'!$G$146:$G$150)),RIGHT(AJ$1,2)),"")</f>
        <v>234</v>
      </c>
      <c r="AK55" s="16" cm="1">
        <f t="array" ref="AK55">IFERROR(INDEX(_xlfn.ANCHORARRAY(_xlfn.XLOOKUP($C55,'-ref_Distribution'!$B$146:$B$150,'-ref_Distribution'!$G$146:$G$150)),RIGHT(AK$1,2)),"")</f>
        <v>221</v>
      </c>
      <c r="AL55" s="16" cm="1">
        <f t="array" ref="AL55">IFERROR(INDEX(_xlfn.ANCHORARRAY(_xlfn.XLOOKUP($C55,'-ref_Distribution'!$B$146:$B$150,'-ref_Distribution'!$G$146:$G$150)),RIGHT(AL$1,2)),"")</f>
        <v>203</v>
      </c>
      <c r="AM55" s="16" cm="1">
        <f t="array" ref="AM55">IFERROR(INDEX(_xlfn.ANCHORARRAY(_xlfn.XLOOKUP($C55,'-ref_Distribution'!$B$146:$B$150,'-ref_Distribution'!$G$146:$G$150)),RIGHT(AM$1,2)),"")</f>
        <v>183</v>
      </c>
      <c r="AN55" s="16" cm="1">
        <f t="array" ref="AN55">IFERROR(INDEX(_xlfn.ANCHORARRAY(_xlfn.XLOOKUP($C55,'-ref_Distribution'!$B$146:$B$150,'-ref_Distribution'!$G$146:$G$150)),RIGHT(AN$1,2)),"")</f>
        <v>160</v>
      </c>
      <c r="AO55" s="16" cm="1">
        <f t="array" ref="AO55">IFERROR(INDEX(_xlfn.ANCHORARRAY(_xlfn.XLOOKUP($C55,'-ref_Distribution'!$B$146:$B$150,'-ref_Distribution'!$G$146:$G$150)),RIGHT(AO$1,2)),"")</f>
        <v>137</v>
      </c>
      <c r="AP55" s="16" cm="1">
        <f t="array" ref="AP55">IFERROR(INDEX(_xlfn.ANCHORARRAY(_xlfn.XLOOKUP($C55,'-ref_Distribution'!$B$146:$B$150,'-ref_Distribution'!$G$146:$G$150)),RIGHT(AP$1,2)),"")</f>
        <v>115</v>
      </c>
      <c r="AQ55" s="16" cm="1">
        <f t="array" ref="AQ55">IFERROR(INDEX(_xlfn.ANCHORARRAY(_xlfn.XLOOKUP($C55,'-ref_Distribution'!$B$146:$B$150,'-ref_Distribution'!$G$146:$G$150)),RIGHT(AQ$1,2)),"")</f>
        <v>94</v>
      </c>
      <c r="AR55" s="16" cm="1">
        <f t="array" ref="AR55">IFERROR(INDEX(_xlfn.ANCHORARRAY(_xlfn.XLOOKUP($C55,'-ref_Distribution'!$B$146:$B$150,'-ref_Distribution'!$G$146:$G$150)),RIGHT(AR$1,2)),"")</f>
        <v>75</v>
      </c>
      <c r="AS55" s="16" cm="1">
        <f t="array" ref="AS55">IFERROR(INDEX(_xlfn.ANCHORARRAY(_xlfn.XLOOKUP($C55,'-ref_Distribution'!$B$146:$B$150,'-ref_Distribution'!$G$146:$G$150)),RIGHT(AS$1,2)),"")</f>
        <v>94</v>
      </c>
      <c r="AT55" s="16" cm="1">
        <f t="array" ref="AT55">IFERROR(INDEX(_xlfn.ANCHORARRAY(_xlfn.XLOOKUP($C55,'-ref_Distribution'!$B$146:$B$150,'-ref_Distribution'!$G$146:$G$150)),RIGHT(AT$1,2)),"")</f>
        <v>115</v>
      </c>
      <c r="AU55" s="16" cm="1">
        <f t="array" ref="AU55">IFERROR(INDEX(_xlfn.ANCHORARRAY(_xlfn.XLOOKUP($C55,'-ref_Distribution'!$B$146:$B$150,'-ref_Distribution'!$G$146:$G$150)),RIGHT(AU$1,2)),"")</f>
        <v>137</v>
      </c>
      <c r="AV55" s="16" cm="1">
        <f t="array" ref="AV55">IFERROR(INDEX(_xlfn.ANCHORARRAY(_xlfn.XLOOKUP($C55,'-ref_Distribution'!$B$146:$B$150,'-ref_Distribution'!$G$146:$G$150)),RIGHT(AV$1,2)),"")</f>
        <v>160</v>
      </c>
      <c r="AW55" s="16" cm="1">
        <f t="array" ref="AW55">IFERROR(INDEX(_xlfn.ANCHORARRAY(_xlfn.XLOOKUP($C55,'-ref_Distribution'!$B$146:$B$150,'-ref_Distribution'!$G$146:$G$150)),RIGHT(AW$1,2)),"")</f>
        <v>183</v>
      </c>
      <c r="AX55" s="16" cm="1">
        <f t="array" ref="AX55">IFERROR(INDEX(_xlfn.ANCHORARRAY(_xlfn.XLOOKUP($C55,'-ref_Distribution'!$B$146:$B$150,'-ref_Distribution'!$G$146:$G$150)),RIGHT(AX$1,2)),"")</f>
        <v>203</v>
      </c>
      <c r="AY55" s="16" cm="1">
        <f t="array" ref="AY55">IFERROR(INDEX(_xlfn.ANCHORARRAY(_xlfn.XLOOKUP($C55,'-ref_Distribution'!$B$146:$B$150,'-ref_Distribution'!$G$146:$G$150)),RIGHT(AY$1,2)),"")</f>
        <v>221</v>
      </c>
      <c r="AZ55" s="16" cm="1">
        <f t="array" ref="AZ55">IFERROR(INDEX(_xlfn.ANCHORARRAY(_xlfn.XLOOKUP($C55,'-ref_Distribution'!$B$146:$B$150,'-ref_Distribution'!$G$146:$G$150)),RIGHT(AZ$1,2)),"")</f>
        <v>234</v>
      </c>
      <c r="BA55" s="16" cm="1">
        <f t="array" ref="BA55">IFERROR(INDEX(_xlfn.ANCHORARRAY(_xlfn.XLOOKUP($C55,'-ref_Distribution'!$B$146:$B$150,'-ref_Distribution'!$G$146:$G$150)),RIGHT(BA$1,2)),"")</f>
        <v>243</v>
      </c>
      <c r="BB55" s="16" cm="1">
        <f t="array" ref="BB55">IFERROR(INDEX(_xlfn.ANCHORARRAY(_xlfn.XLOOKUP($C55,'-ref_Distribution'!$B$146:$B$150,'-ref_Distribution'!$G$146:$G$150)),RIGHT(BB$1,2)),"")</f>
        <v>245</v>
      </c>
      <c r="BC55" s="16" cm="1">
        <f t="array" ref="BC55">IFERROR(INDEX(_xlfn.ANCHORARRAY(_xlfn.XLOOKUP($C55,'-ref_Distribution'!$B$146:$B$150,'-ref_Distribution'!$G$146:$G$150)),RIGHT(BC$1,2)),"")</f>
        <v>243</v>
      </c>
      <c r="BD55" s="16" cm="1">
        <f t="array" ref="BD55">IFERROR(INDEX(_xlfn.ANCHORARRAY(_xlfn.XLOOKUP($C55,'-ref_Distribution'!$B$146:$B$150,'-ref_Distribution'!$G$146:$G$150)),RIGHT(BD$1,2)),"")</f>
        <v>234</v>
      </c>
      <c r="BE55" s="16" cm="1">
        <f t="array" ref="BE55">IFERROR(INDEX(_xlfn.ANCHORARRAY(_xlfn.XLOOKUP($C55,'-ref_Distribution'!$B$146:$B$150,'-ref_Distribution'!$G$146:$G$150)),RIGHT(BE$1,2)),"")</f>
        <v>221</v>
      </c>
      <c r="BF55" s="16" cm="1">
        <f t="array" ref="BF55">IFERROR(INDEX(_xlfn.ANCHORARRAY(_xlfn.XLOOKUP($C55,'-ref_Distribution'!$B$146:$B$150,'-ref_Distribution'!$G$146:$G$150)),RIGHT(BF$1,2)),"")</f>
        <v>203</v>
      </c>
      <c r="BG55" s="16" cm="1">
        <f t="array" ref="BG55">IFERROR(INDEX(_xlfn.ANCHORARRAY(_xlfn.XLOOKUP($C55,'-ref_Distribution'!$B$146:$B$150,'-ref_Distribution'!$G$146:$G$150)),RIGHT(BG$1,2)),"")</f>
        <v>183</v>
      </c>
      <c r="BH55" s="16" cm="1">
        <f t="array" ref="BH55">IFERROR(INDEX(_xlfn.ANCHORARRAY(_xlfn.XLOOKUP($C55,'-ref_Distribution'!$B$146:$B$150,'-ref_Distribution'!$G$146:$G$150)),RIGHT(BH$1,2)),"")</f>
        <v>160</v>
      </c>
      <c r="BI55" s="16" cm="1">
        <f t="array" ref="BI55">IFERROR(INDEX(_xlfn.ANCHORARRAY(_xlfn.XLOOKUP($C55,'-ref_Distribution'!$B$146:$B$150,'-ref_Distribution'!$G$146:$G$150)),RIGHT(BI$1,2)),"")</f>
        <v>137</v>
      </c>
      <c r="BJ55" s="16" cm="1">
        <f t="array" ref="BJ55">IFERROR(INDEX(_xlfn.ANCHORARRAY(_xlfn.XLOOKUP($C55,'-ref_Distribution'!$B$146:$B$150,'-ref_Distribution'!$G$146:$G$150)),RIGHT(BJ$1,2)),"")</f>
        <v>115</v>
      </c>
      <c r="BK55" s="16" cm="1">
        <f t="array" ref="BK55">IFERROR(INDEX(_xlfn.ANCHORARRAY(_xlfn.XLOOKUP($C55,'-ref_Distribution'!$B$146:$B$150,'-ref_Distribution'!$G$146:$G$150)),RIGHT(BK$1,2)),"")</f>
        <v>94</v>
      </c>
      <c r="BL55" s="16" cm="1">
        <f t="array" ref="BL55">IFERROR(INDEX(_xlfn.ANCHORARRAY(_xlfn.XLOOKUP($C55,'-ref_Distribution'!$B$146:$B$150,'-ref_Distribution'!$G$146:$G$150)),RIGHT(BL$1,2)),"")</f>
        <v>75</v>
      </c>
      <c r="BM55" s="16" cm="1">
        <f t="array" ref="BM55">IFERROR(INDEX(_xlfn.ANCHORARRAY(_xlfn.XLOOKUP($C55,'-ref_Distribution'!$B$146:$B$150,'-ref_Distribution'!$G$146:$G$150)),RIGHT(BM$1,2)),"")</f>
        <v>94</v>
      </c>
      <c r="BN55" s="16" cm="1">
        <f t="array" ref="BN55">IFERROR(INDEX(_xlfn.ANCHORARRAY(_xlfn.XLOOKUP($C55,'-ref_Distribution'!$B$146:$B$150,'-ref_Distribution'!$G$146:$G$150)),RIGHT(BN$1,2)),"")</f>
        <v>115</v>
      </c>
      <c r="BO55" s="16" cm="1">
        <f t="array" ref="BO55">IFERROR(INDEX(_xlfn.ANCHORARRAY(_xlfn.XLOOKUP($C55,'-ref_Distribution'!$B$146:$B$150,'-ref_Distribution'!$G$146:$G$150)),RIGHT(BO$1,2)),"")</f>
        <v>137</v>
      </c>
      <c r="BP55" s="16" cm="1">
        <f t="array" ref="BP55">IFERROR(INDEX(_xlfn.ANCHORARRAY(_xlfn.XLOOKUP($C55,'-ref_Distribution'!$B$146:$B$150,'-ref_Distribution'!$G$146:$G$150)),RIGHT(BP$1,2)),"")</f>
        <v>160</v>
      </c>
      <c r="BQ55" s="16" cm="1">
        <f t="array" ref="BQ55">IFERROR(INDEX(_xlfn.ANCHORARRAY(_xlfn.XLOOKUP($C55,'-ref_Distribution'!$B$146:$B$150,'-ref_Distribution'!$G$146:$G$150)),RIGHT(BQ$1,2)),"")</f>
        <v>183</v>
      </c>
      <c r="BR55" s="16" cm="1">
        <f t="array" ref="BR55">IFERROR(INDEX(_xlfn.ANCHORARRAY(_xlfn.XLOOKUP($C55,'-ref_Distribution'!$B$146:$B$150,'-ref_Distribution'!$G$146:$G$150)),RIGHT(BR$1,2)),"")</f>
        <v>203</v>
      </c>
      <c r="BS55" s="16" cm="1">
        <f t="array" ref="BS55">IFERROR(INDEX(_xlfn.ANCHORARRAY(_xlfn.XLOOKUP($C55,'-ref_Distribution'!$B$146:$B$150,'-ref_Distribution'!$G$146:$G$150)),RIGHT(BS$1,2)),"")</f>
        <v>221</v>
      </c>
      <c r="BT55" s="16" cm="1">
        <f t="array" ref="BT55">IFERROR(INDEX(_xlfn.ANCHORARRAY(_xlfn.XLOOKUP($C55,'-ref_Distribution'!$B$146:$B$150,'-ref_Distribution'!$G$146:$G$150)),RIGHT(BT$1,2)),"")</f>
        <v>234</v>
      </c>
      <c r="BU55" s="16" cm="1">
        <f t="array" ref="BU55">IFERROR(INDEX(_xlfn.ANCHORARRAY(_xlfn.XLOOKUP($C55,'-ref_Distribution'!$B$146:$B$150,'-ref_Distribution'!$G$146:$G$150)),RIGHT(BU$1,2)),"")</f>
        <v>243</v>
      </c>
      <c r="BV55" s="16" cm="1">
        <f t="array" ref="BV55">IFERROR(INDEX(_xlfn.ANCHORARRAY(_xlfn.XLOOKUP($C55,'-ref_Distribution'!$B$146:$B$150,'-ref_Distribution'!$G$146:$G$150)),RIGHT(BV$1,2)),"")</f>
        <v>245</v>
      </c>
      <c r="BW55" s="16" cm="1">
        <f t="array" ref="BW55">IFERROR(INDEX(_xlfn.ANCHORARRAY(_xlfn.XLOOKUP($C55,'-ref_Distribution'!$B$146:$B$150,'-ref_Distribution'!$G$146:$G$150)),RIGHT(BW$1,2)),"")</f>
        <v>243</v>
      </c>
      <c r="BX55" s="16" cm="1">
        <f t="array" ref="BX55">IFERROR(INDEX(_xlfn.ANCHORARRAY(_xlfn.XLOOKUP($C55,'-ref_Distribution'!$B$146:$B$150,'-ref_Distribution'!$G$146:$G$150)),RIGHT(BX$1,2)),"")</f>
        <v>234</v>
      </c>
      <c r="BY55" s="16" cm="1">
        <f t="array" ref="BY55">IFERROR(INDEX(_xlfn.ANCHORARRAY(_xlfn.XLOOKUP($C55,'-ref_Distribution'!$B$146:$B$150,'-ref_Distribution'!$G$146:$G$150)),RIGHT(BY$1,2)),"")</f>
        <v>221</v>
      </c>
      <c r="BZ55" s="16" cm="1">
        <f t="array" ref="BZ55">IFERROR(INDEX(_xlfn.ANCHORARRAY(_xlfn.XLOOKUP($C55,'-ref_Distribution'!$B$146:$B$150,'-ref_Distribution'!$G$146:$G$150)),RIGHT(BZ$1,2)),"")</f>
        <v>203</v>
      </c>
      <c r="CA55" s="16" cm="1">
        <f t="array" ref="CA55">IFERROR(INDEX(_xlfn.ANCHORARRAY(_xlfn.XLOOKUP($C55,'-ref_Distribution'!$B$146:$B$150,'-ref_Distribution'!$G$146:$G$150)),RIGHT(CA$1,2)),"")</f>
        <v>183</v>
      </c>
      <c r="CB55" s="16" cm="1">
        <f t="array" ref="CB55">IFERROR(INDEX(_xlfn.ANCHORARRAY(_xlfn.XLOOKUP($C55,'-ref_Distribution'!$B$146:$B$150,'-ref_Distribution'!$G$146:$G$150)),RIGHT(CB$1,2)),"")</f>
        <v>160</v>
      </c>
      <c r="CC55" s="16" cm="1">
        <f t="array" ref="CC55">IFERROR(INDEX(_xlfn.ANCHORARRAY(_xlfn.XLOOKUP($C55,'-ref_Distribution'!$B$146:$B$150,'-ref_Distribution'!$G$146:$G$150)),RIGHT(CC$1,2)),"")</f>
        <v>137</v>
      </c>
      <c r="CD55" s="16" cm="1">
        <f t="array" ref="CD55">IFERROR(INDEX(_xlfn.ANCHORARRAY(_xlfn.XLOOKUP($C55,'-ref_Distribution'!$B$146:$B$150,'-ref_Distribution'!$G$146:$G$150)),RIGHT(CD$1,2)),"")</f>
        <v>115</v>
      </c>
      <c r="CE55" s="16" cm="1">
        <f t="array" ref="CE55">IFERROR(INDEX(_xlfn.ANCHORARRAY(_xlfn.XLOOKUP($C55,'-ref_Distribution'!$B$146:$B$150,'-ref_Distribution'!$G$146:$G$150)),RIGHT(CE$1,2)),"")</f>
        <v>94</v>
      </c>
    </row>
    <row r="56" spans="1:83" x14ac:dyDescent="0.2">
      <c r="A56" s="16">
        <v>302232</v>
      </c>
      <c r="B56" s="16" t="s">
        <v>204</v>
      </c>
      <c r="C56" s="16">
        <v>3</v>
      </c>
      <c r="D56" s="16" cm="1">
        <f t="array" ref="D56">IFERROR(INDEX(_xlfn.ANCHORARRAY(_xlfn.XLOOKUP($C56,'-ref_Distribution'!$B$146:$B$150,'-ref_Distribution'!$G$146:$G$150)),RIGHT(D$1,2)),"")</f>
        <v>4</v>
      </c>
      <c r="E56" s="16" cm="1">
        <f t="array" ref="E56">IFERROR(INDEX(_xlfn.ANCHORARRAY(_xlfn.XLOOKUP($C56,'-ref_Distribution'!$B$146:$B$150,'-ref_Distribution'!$G$146:$G$150)),RIGHT(E$1,2)),"")</f>
        <v>6</v>
      </c>
      <c r="F56" s="16" cm="1">
        <f t="array" ref="F56">IFERROR(INDEX(_xlfn.ANCHORARRAY(_xlfn.XLOOKUP($C56,'-ref_Distribution'!$B$146:$B$150,'-ref_Distribution'!$G$146:$G$150)),RIGHT(F$1,2)),"")</f>
        <v>9</v>
      </c>
      <c r="G56" s="16" cm="1">
        <f t="array" ref="G56">IFERROR(INDEX(_xlfn.ANCHORARRAY(_xlfn.XLOOKUP($C56,'-ref_Distribution'!$B$146:$B$150,'-ref_Distribution'!$G$146:$G$150)),RIGHT(G$1,2)),"")</f>
        <v>14</v>
      </c>
      <c r="H56" s="16" cm="1">
        <f t="array" ref="H56">IFERROR(INDEX(_xlfn.ANCHORARRAY(_xlfn.XLOOKUP($C56,'-ref_Distribution'!$B$146:$B$150,'-ref_Distribution'!$G$146:$G$150)),RIGHT(H$1,2)),"")</f>
        <v>20</v>
      </c>
      <c r="I56" s="16" cm="1">
        <f t="array" ref="I56">IFERROR(INDEX(_xlfn.ANCHORARRAY(_xlfn.XLOOKUP($C56,'-ref_Distribution'!$B$146:$B$150,'-ref_Distribution'!$G$146:$G$150)),RIGHT(I$1,2)),"")</f>
        <v>28</v>
      </c>
      <c r="J56" s="16" cm="1">
        <f t="array" ref="J56">IFERROR(INDEX(_xlfn.ANCHORARRAY(_xlfn.XLOOKUP($C56,'-ref_Distribution'!$B$146:$B$150,'-ref_Distribution'!$G$146:$G$150)),RIGHT(J$1,2)),"")</f>
        <v>38</v>
      </c>
      <c r="K56" s="16" cm="1">
        <f t="array" ref="K56">IFERROR(INDEX(_xlfn.ANCHORARRAY(_xlfn.XLOOKUP($C56,'-ref_Distribution'!$B$146:$B$150,'-ref_Distribution'!$G$146:$G$150)),RIGHT(K$1,2)),"")</f>
        <v>51</v>
      </c>
      <c r="L56" s="16" cm="1">
        <f t="array" ref="L56">IFERROR(INDEX(_xlfn.ANCHORARRAY(_xlfn.XLOOKUP($C56,'-ref_Distribution'!$B$146:$B$150,'-ref_Distribution'!$G$146:$G$150)),RIGHT(L$1,2)),"")</f>
        <v>65</v>
      </c>
      <c r="M56" s="16" cm="1">
        <f t="array" ref="M56">IFERROR(INDEX(_xlfn.ANCHORARRAY(_xlfn.XLOOKUP($C56,'-ref_Distribution'!$B$146:$B$150,'-ref_Distribution'!$G$146:$G$150)),RIGHT(M$1,2)),"")</f>
        <v>80</v>
      </c>
      <c r="N56" s="16" cm="1">
        <f t="array" ref="N56">IFERROR(INDEX(_xlfn.ANCHORARRAY(_xlfn.XLOOKUP($C56,'-ref_Distribution'!$B$146:$B$150,'-ref_Distribution'!$G$146:$G$150)),RIGHT(N$1,2)),"")</f>
        <v>96</v>
      </c>
      <c r="O56" s="16" cm="1">
        <f t="array" ref="O56">IFERROR(INDEX(_xlfn.ANCHORARRAY(_xlfn.XLOOKUP($C56,'-ref_Distribution'!$B$146:$B$150,'-ref_Distribution'!$G$146:$G$150)),RIGHT(O$1,2)),"")</f>
        <v>111</v>
      </c>
      <c r="P56" s="16" cm="1">
        <f t="array" ref="P56">IFERROR(INDEX(_xlfn.ANCHORARRAY(_xlfn.XLOOKUP($C56,'-ref_Distribution'!$B$146:$B$150,'-ref_Distribution'!$G$146:$G$150)),RIGHT(P$1,2)),"")</f>
        <v>125</v>
      </c>
      <c r="Q56" s="16" cm="1">
        <f t="array" ref="Q56">IFERROR(INDEX(_xlfn.ANCHORARRAY(_xlfn.XLOOKUP($C56,'-ref_Distribution'!$B$146:$B$150,'-ref_Distribution'!$G$146:$G$150)),RIGHT(Q$1,2)),"")</f>
        <v>135</v>
      </c>
      <c r="R56" s="16" cm="1">
        <f t="array" ref="R56">IFERROR(INDEX(_xlfn.ANCHORARRAY(_xlfn.XLOOKUP($C56,'-ref_Distribution'!$B$146:$B$150,'-ref_Distribution'!$G$146:$G$150)),RIGHT(R$1,2)),"")</f>
        <v>142</v>
      </c>
      <c r="S56" s="16" cm="1">
        <f t="array" ref="S56">IFERROR(INDEX(_xlfn.ANCHORARRAY(_xlfn.XLOOKUP($C56,'-ref_Distribution'!$B$146:$B$150,'-ref_Distribution'!$G$146:$G$150)),RIGHT(S$1,2)),"")</f>
        <v>144</v>
      </c>
      <c r="T56" s="16" cm="1">
        <f t="array" ref="T56">IFERROR(INDEX(_xlfn.ANCHORARRAY(_xlfn.XLOOKUP($C56,'-ref_Distribution'!$B$146:$B$150,'-ref_Distribution'!$G$146:$G$150)),RIGHT(T$1,2)),"")</f>
        <v>142</v>
      </c>
      <c r="U56" s="16" cm="1">
        <f t="array" ref="U56">IFERROR(INDEX(_xlfn.ANCHORARRAY(_xlfn.XLOOKUP($C56,'-ref_Distribution'!$B$146:$B$150,'-ref_Distribution'!$G$146:$G$150)),RIGHT(U$1,2)),"")</f>
        <v>135</v>
      </c>
      <c r="V56" s="16" cm="1">
        <f t="array" ref="V56">IFERROR(INDEX(_xlfn.ANCHORARRAY(_xlfn.XLOOKUP($C56,'-ref_Distribution'!$B$146:$B$150,'-ref_Distribution'!$G$146:$G$150)),RIGHT(V$1,2)),"")</f>
        <v>125</v>
      </c>
      <c r="W56" s="16" cm="1">
        <f t="array" ref="W56">IFERROR(INDEX(_xlfn.ANCHORARRAY(_xlfn.XLOOKUP($C56,'-ref_Distribution'!$B$146:$B$150,'-ref_Distribution'!$G$146:$G$150)),RIGHT(W$1,2)),"")</f>
        <v>111</v>
      </c>
      <c r="X56" s="16" cm="1">
        <f t="array" ref="X56">IFERROR(INDEX(_xlfn.ANCHORARRAY(_xlfn.XLOOKUP($C56,'-ref_Distribution'!$B$146:$B$150,'-ref_Distribution'!$G$146:$G$150)),RIGHT(X$1,2)),"")</f>
        <v>4</v>
      </c>
      <c r="Y56" s="16" cm="1">
        <f t="array" ref="Y56">IFERROR(INDEX(_xlfn.ANCHORARRAY(_xlfn.XLOOKUP($C56,'-ref_Distribution'!$B$146:$B$150,'-ref_Distribution'!$G$146:$G$150)),RIGHT(Y$1,2)),"")</f>
        <v>6</v>
      </c>
      <c r="Z56" s="16" cm="1">
        <f t="array" ref="Z56">IFERROR(INDEX(_xlfn.ANCHORARRAY(_xlfn.XLOOKUP($C56,'-ref_Distribution'!$B$146:$B$150,'-ref_Distribution'!$G$146:$G$150)),RIGHT(Z$1,2)),"")</f>
        <v>9</v>
      </c>
      <c r="AA56" s="16" cm="1">
        <f t="array" ref="AA56">IFERROR(INDEX(_xlfn.ANCHORARRAY(_xlfn.XLOOKUP($C56,'-ref_Distribution'!$B$146:$B$150,'-ref_Distribution'!$G$146:$G$150)),RIGHT(AA$1,2)),"")</f>
        <v>14</v>
      </c>
      <c r="AB56" s="16" cm="1">
        <f t="array" ref="AB56">IFERROR(INDEX(_xlfn.ANCHORARRAY(_xlfn.XLOOKUP($C56,'-ref_Distribution'!$B$146:$B$150,'-ref_Distribution'!$G$146:$G$150)),RIGHT(AB$1,2)),"")</f>
        <v>20</v>
      </c>
      <c r="AC56" s="16" cm="1">
        <f t="array" ref="AC56">IFERROR(INDEX(_xlfn.ANCHORARRAY(_xlfn.XLOOKUP($C56,'-ref_Distribution'!$B$146:$B$150,'-ref_Distribution'!$G$146:$G$150)),RIGHT(AC$1,2)),"")</f>
        <v>28</v>
      </c>
      <c r="AD56" s="16" cm="1">
        <f t="array" ref="AD56">IFERROR(INDEX(_xlfn.ANCHORARRAY(_xlfn.XLOOKUP($C56,'-ref_Distribution'!$B$146:$B$150,'-ref_Distribution'!$G$146:$G$150)),RIGHT(AD$1,2)),"")</f>
        <v>38</v>
      </c>
      <c r="AE56" s="16" cm="1">
        <f t="array" ref="AE56">IFERROR(INDEX(_xlfn.ANCHORARRAY(_xlfn.XLOOKUP($C56,'-ref_Distribution'!$B$146:$B$150,'-ref_Distribution'!$G$146:$G$150)),RIGHT(AE$1,2)),"")</f>
        <v>51</v>
      </c>
      <c r="AF56" s="16" cm="1">
        <f t="array" ref="AF56">IFERROR(INDEX(_xlfn.ANCHORARRAY(_xlfn.XLOOKUP($C56,'-ref_Distribution'!$B$146:$B$150,'-ref_Distribution'!$G$146:$G$150)),RIGHT(AF$1,2)),"")</f>
        <v>65</v>
      </c>
      <c r="AG56" s="16" cm="1">
        <f t="array" ref="AG56">IFERROR(INDEX(_xlfn.ANCHORARRAY(_xlfn.XLOOKUP($C56,'-ref_Distribution'!$B$146:$B$150,'-ref_Distribution'!$G$146:$G$150)),RIGHT(AG$1,2)),"")</f>
        <v>80</v>
      </c>
      <c r="AH56" s="16" cm="1">
        <f t="array" ref="AH56">IFERROR(INDEX(_xlfn.ANCHORARRAY(_xlfn.XLOOKUP($C56,'-ref_Distribution'!$B$146:$B$150,'-ref_Distribution'!$G$146:$G$150)),RIGHT(AH$1,2)),"")</f>
        <v>96</v>
      </c>
      <c r="AI56" s="16" cm="1">
        <f t="array" ref="AI56">IFERROR(INDEX(_xlfn.ANCHORARRAY(_xlfn.XLOOKUP($C56,'-ref_Distribution'!$B$146:$B$150,'-ref_Distribution'!$G$146:$G$150)),RIGHT(AI$1,2)),"")</f>
        <v>111</v>
      </c>
      <c r="AJ56" s="16" cm="1">
        <f t="array" ref="AJ56">IFERROR(INDEX(_xlfn.ANCHORARRAY(_xlfn.XLOOKUP($C56,'-ref_Distribution'!$B$146:$B$150,'-ref_Distribution'!$G$146:$G$150)),RIGHT(AJ$1,2)),"")</f>
        <v>125</v>
      </c>
      <c r="AK56" s="16" cm="1">
        <f t="array" ref="AK56">IFERROR(INDEX(_xlfn.ANCHORARRAY(_xlfn.XLOOKUP($C56,'-ref_Distribution'!$B$146:$B$150,'-ref_Distribution'!$G$146:$G$150)),RIGHT(AK$1,2)),"")</f>
        <v>135</v>
      </c>
      <c r="AL56" s="16" cm="1">
        <f t="array" ref="AL56">IFERROR(INDEX(_xlfn.ANCHORARRAY(_xlfn.XLOOKUP($C56,'-ref_Distribution'!$B$146:$B$150,'-ref_Distribution'!$G$146:$G$150)),RIGHT(AL$1,2)),"")</f>
        <v>142</v>
      </c>
      <c r="AM56" s="16" cm="1">
        <f t="array" ref="AM56">IFERROR(INDEX(_xlfn.ANCHORARRAY(_xlfn.XLOOKUP($C56,'-ref_Distribution'!$B$146:$B$150,'-ref_Distribution'!$G$146:$G$150)),RIGHT(AM$1,2)),"")</f>
        <v>144</v>
      </c>
      <c r="AN56" s="16" cm="1">
        <f t="array" ref="AN56">IFERROR(INDEX(_xlfn.ANCHORARRAY(_xlfn.XLOOKUP($C56,'-ref_Distribution'!$B$146:$B$150,'-ref_Distribution'!$G$146:$G$150)),RIGHT(AN$1,2)),"")</f>
        <v>142</v>
      </c>
      <c r="AO56" s="16" cm="1">
        <f t="array" ref="AO56">IFERROR(INDEX(_xlfn.ANCHORARRAY(_xlfn.XLOOKUP($C56,'-ref_Distribution'!$B$146:$B$150,'-ref_Distribution'!$G$146:$G$150)),RIGHT(AO$1,2)),"")</f>
        <v>135</v>
      </c>
      <c r="AP56" s="16" cm="1">
        <f t="array" ref="AP56">IFERROR(INDEX(_xlfn.ANCHORARRAY(_xlfn.XLOOKUP($C56,'-ref_Distribution'!$B$146:$B$150,'-ref_Distribution'!$G$146:$G$150)),RIGHT(AP$1,2)),"")</f>
        <v>125</v>
      </c>
      <c r="AQ56" s="16" cm="1">
        <f t="array" ref="AQ56">IFERROR(INDEX(_xlfn.ANCHORARRAY(_xlfn.XLOOKUP($C56,'-ref_Distribution'!$B$146:$B$150,'-ref_Distribution'!$G$146:$G$150)),RIGHT(AQ$1,2)),"")</f>
        <v>111</v>
      </c>
      <c r="AR56" s="16" cm="1">
        <f t="array" ref="AR56">IFERROR(INDEX(_xlfn.ANCHORARRAY(_xlfn.XLOOKUP($C56,'-ref_Distribution'!$B$146:$B$150,'-ref_Distribution'!$G$146:$G$150)),RIGHT(AR$1,2)),"")</f>
        <v>4</v>
      </c>
      <c r="AS56" s="16" cm="1">
        <f t="array" ref="AS56">IFERROR(INDEX(_xlfn.ANCHORARRAY(_xlfn.XLOOKUP($C56,'-ref_Distribution'!$B$146:$B$150,'-ref_Distribution'!$G$146:$G$150)),RIGHT(AS$1,2)),"")</f>
        <v>6</v>
      </c>
      <c r="AT56" s="16" cm="1">
        <f t="array" ref="AT56">IFERROR(INDEX(_xlfn.ANCHORARRAY(_xlfn.XLOOKUP($C56,'-ref_Distribution'!$B$146:$B$150,'-ref_Distribution'!$G$146:$G$150)),RIGHT(AT$1,2)),"")</f>
        <v>9</v>
      </c>
      <c r="AU56" s="16" cm="1">
        <f t="array" ref="AU56">IFERROR(INDEX(_xlfn.ANCHORARRAY(_xlfn.XLOOKUP($C56,'-ref_Distribution'!$B$146:$B$150,'-ref_Distribution'!$G$146:$G$150)),RIGHT(AU$1,2)),"")</f>
        <v>14</v>
      </c>
      <c r="AV56" s="16" cm="1">
        <f t="array" ref="AV56">IFERROR(INDEX(_xlfn.ANCHORARRAY(_xlfn.XLOOKUP($C56,'-ref_Distribution'!$B$146:$B$150,'-ref_Distribution'!$G$146:$G$150)),RIGHT(AV$1,2)),"")</f>
        <v>20</v>
      </c>
      <c r="AW56" s="16" cm="1">
        <f t="array" ref="AW56">IFERROR(INDEX(_xlfn.ANCHORARRAY(_xlfn.XLOOKUP($C56,'-ref_Distribution'!$B$146:$B$150,'-ref_Distribution'!$G$146:$G$150)),RIGHT(AW$1,2)),"")</f>
        <v>28</v>
      </c>
      <c r="AX56" s="16" cm="1">
        <f t="array" ref="AX56">IFERROR(INDEX(_xlfn.ANCHORARRAY(_xlfn.XLOOKUP($C56,'-ref_Distribution'!$B$146:$B$150,'-ref_Distribution'!$G$146:$G$150)),RIGHT(AX$1,2)),"")</f>
        <v>38</v>
      </c>
      <c r="AY56" s="16" cm="1">
        <f t="array" ref="AY56">IFERROR(INDEX(_xlfn.ANCHORARRAY(_xlfn.XLOOKUP($C56,'-ref_Distribution'!$B$146:$B$150,'-ref_Distribution'!$G$146:$G$150)),RIGHT(AY$1,2)),"")</f>
        <v>51</v>
      </c>
      <c r="AZ56" s="16" cm="1">
        <f t="array" ref="AZ56">IFERROR(INDEX(_xlfn.ANCHORARRAY(_xlfn.XLOOKUP($C56,'-ref_Distribution'!$B$146:$B$150,'-ref_Distribution'!$G$146:$G$150)),RIGHT(AZ$1,2)),"")</f>
        <v>65</v>
      </c>
      <c r="BA56" s="16" cm="1">
        <f t="array" ref="BA56">IFERROR(INDEX(_xlfn.ANCHORARRAY(_xlfn.XLOOKUP($C56,'-ref_Distribution'!$B$146:$B$150,'-ref_Distribution'!$G$146:$G$150)),RIGHT(BA$1,2)),"")</f>
        <v>80</v>
      </c>
      <c r="BB56" s="16" cm="1">
        <f t="array" ref="BB56">IFERROR(INDEX(_xlfn.ANCHORARRAY(_xlfn.XLOOKUP($C56,'-ref_Distribution'!$B$146:$B$150,'-ref_Distribution'!$G$146:$G$150)),RIGHT(BB$1,2)),"")</f>
        <v>96</v>
      </c>
      <c r="BC56" s="16" cm="1">
        <f t="array" ref="BC56">IFERROR(INDEX(_xlfn.ANCHORARRAY(_xlfn.XLOOKUP($C56,'-ref_Distribution'!$B$146:$B$150,'-ref_Distribution'!$G$146:$G$150)),RIGHT(BC$1,2)),"")</f>
        <v>111</v>
      </c>
      <c r="BD56" s="16" cm="1">
        <f t="array" ref="BD56">IFERROR(INDEX(_xlfn.ANCHORARRAY(_xlfn.XLOOKUP($C56,'-ref_Distribution'!$B$146:$B$150,'-ref_Distribution'!$G$146:$G$150)),RIGHT(BD$1,2)),"")</f>
        <v>125</v>
      </c>
      <c r="BE56" s="16" cm="1">
        <f t="array" ref="BE56">IFERROR(INDEX(_xlfn.ANCHORARRAY(_xlfn.XLOOKUP($C56,'-ref_Distribution'!$B$146:$B$150,'-ref_Distribution'!$G$146:$G$150)),RIGHT(BE$1,2)),"")</f>
        <v>135</v>
      </c>
      <c r="BF56" s="16" cm="1">
        <f t="array" ref="BF56">IFERROR(INDEX(_xlfn.ANCHORARRAY(_xlfn.XLOOKUP($C56,'-ref_Distribution'!$B$146:$B$150,'-ref_Distribution'!$G$146:$G$150)),RIGHT(BF$1,2)),"")</f>
        <v>142</v>
      </c>
      <c r="BG56" s="16" cm="1">
        <f t="array" ref="BG56">IFERROR(INDEX(_xlfn.ANCHORARRAY(_xlfn.XLOOKUP($C56,'-ref_Distribution'!$B$146:$B$150,'-ref_Distribution'!$G$146:$G$150)),RIGHT(BG$1,2)),"")</f>
        <v>144</v>
      </c>
      <c r="BH56" s="16" cm="1">
        <f t="array" ref="BH56">IFERROR(INDEX(_xlfn.ANCHORARRAY(_xlfn.XLOOKUP($C56,'-ref_Distribution'!$B$146:$B$150,'-ref_Distribution'!$G$146:$G$150)),RIGHT(BH$1,2)),"")</f>
        <v>142</v>
      </c>
      <c r="BI56" s="16" cm="1">
        <f t="array" ref="BI56">IFERROR(INDEX(_xlfn.ANCHORARRAY(_xlfn.XLOOKUP($C56,'-ref_Distribution'!$B$146:$B$150,'-ref_Distribution'!$G$146:$G$150)),RIGHT(BI$1,2)),"")</f>
        <v>135</v>
      </c>
      <c r="BJ56" s="16" cm="1">
        <f t="array" ref="BJ56">IFERROR(INDEX(_xlfn.ANCHORARRAY(_xlfn.XLOOKUP($C56,'-ref_Distribution'!$B$146:$B$150,'-ref_Distribution'!$G$146:$G$150)),RIGHT(BJ$1,2)),"")</f>
        <v>125</v>
      </c>
      <c r="BK56" s="16" cm="1">
        <f t="array" ref="BK56">IFERROR(INDEX(_xlfn.ANCHORARRAY(_xlfn.XLOOKUP($C56,'-ref_Distribution'!$B$146:$B$150,'-ref_Distribution'!$G$146:$G$150)),RIGHT(BK$1,2)),"")</f>
        <v>111</v>
      </c>
      <c r="BL56" s="16" cm="1">
        <f t="array" ref="BL56">IFERROR(INDEX(_xlfn.ANCHORARRAY(_xlfn.XLOOKUP($C56,'-ref_Distribution'!$B$146:$B$150,'-ref_Distribution'!$G$146:$G$150)),RIGHT(BL$1,2)),"")</f>
        <v>4</v>
      </c>
      <c r="BM56" s="16" cm="1">
        <f t="array" ref="BM56">IFERROR(INDEX(_xlfn.ANCHORARRAY(_xlfn.XLOOKUP($C56,'-ref_Distribution'!$B$146:$B$150,'-ref_Distribution'!$G$146:$G$150)),RIGHT(BM$1,2)),"")</f>
        <v>6</v>
      </c>
      <c r="BN56" s="16" cm="1">
        <f t="array" ref="BN56">IFERROR(INDEX(_xlfn.ANCHORARRAY(_xlfn.XLOOKUP($C56,'-ref_Distribution'!$B$146:$B$150,'-ref_Distribution'!$G$146:$G$150)),RIGHT(BN$1,2)),"")</f>
        <v>9</v>
      </c>
      <c r="BO56" s="16" cm="1">
        <f t="array" ref="BO56">IFERROR(INDEX(_xlfn.ANCHORARRAY(_xlfn.XLOOKUP($C56,'-ref_Distribution'!$B$146:$B$150,'-ref_Distribution'!$G$146:$G$150)),RIGHT(BO$1,2)),"")</f>
        <v>14</v>
      </c>
      <c r="BP56" s="16" cm="1">
        <f t="array" ref="BP56">IFERROR(INDEX(_xlfn.ANCHORARRAY(_xlfn.XLOOKUP($C56,'-ref_Distribution'!$B$146:$B$150,'-ref_Distribution'!$G$146:$G$150)),RIGHT(BP$1,2)),"")</f>
        <v>20</v>
      </c>
      <c r="BQ56" s="16" cm="1">
        <f t="array" ref="BQ56">IFERROR(INDEX(_xlfn.ANCHORARRAY(_xlfn.XLOOKUP($C56,'-ref_Distribution'!$B$146:$B$150,'-ref_Distribution'!$G$146:$G$150)),RIGHT(BQ$1,2)),"")</f>
        <v>28</v>
      </c>
      <c r="BR56" s="16" cm="1">
        <f t="array" ref="BR56">IFERROR(INDEX(_xlfn.ANCHORARRAY(_xlfn.XLOOKUP($C56,'-ref_Distribution'!$B$146:$B$150,'-ref_Distribution'!$G$146:$G$150)),RIGHT(BR$1,2)),"")</f>
        <v>38</v>
      </c>
      <c r="BS56" s="16" cm="1">
        <f t="array" ref="BS56">IFERROR(INDEX(_xlfn.ANCHORARRAY(_xlfn.XLOOKUP($C56,'-ref_Distribution'!$B$146:$B$150,'-ref_Distribution'!$G$146:$G$150)),RIGHT(BS$1,2)),"")</f>
        <v>51</v>
      </c>
      <c r="BT56" s="16" cm="1">
        <f t="array" ref="BT56">IFERROR(INDEX(_xlfn.ANCHORARRAY(_xlfn.XLOOKUP($C56,'-ref_Distribution'!$B$146:$B$150,'-ref_Distribution'!$G$146:$G$150)),RIGHT(BT$1,2)),"")</f>
        <v>65</v>
      </c>
      <c r="BU56" s="16" cm="1">
        <f t="array" ref="BU56">IFERROR(INDEX(_xlfn.ANCHORARRAY(_xlfn.XLOOKUP($C56,'-ref_Distribution'!$B$146:$B$150,'-ref_Distribution'!$G$146:$G$150)),RIGHT(BU$1,2)),"")</f>
        <v>80</v>
      </c>
      <c r="BV56" s="16" cm="1">
        <f t="array" ref="BV56">IFERROR(INDEX(_xlfn.ANCHORARRAY(_xlfn.XLOOKUP($C56,'-ref_Distribution'!$B$146:$B$150,'-ref_Distribution'!$G$146:$G$150)),RIGHT(BV$1,2)),"")</f>
        <v>96</v>
      </c>
      <c r="BW56" s="16" cm="1">
        <f t="array" ref="BW56">IFERROR(INDEX(_xlfn.ANCHORARRAY(_xlfn.XLOOKUP($C56,'-ref_Distribution'!$B$146:$B$150,'-ref_Distribution'!$G$146:$G$150)),RIGHT(BW$1,2)),"")</f>
        <v>111</v>
      </c>
      <c r="BX56" s="16" cm="1">
        <f t="array" ref="BX56">IFERROR(INDEX(_xlfn.ANCHORARRAY(_xlfn.XLOOKUP($C56,'-ref_Distribution'!$B$146:$B$150,'-ref_Distribution'!$G$146:$G$150)),RIGHT(BX$1,2)),"")</f>
        <v>125</v>
      </c>
      <c r="BY56" s="16" cm="1">
        <f t="array" ref="BY56">IFERROR(INDEX(_xlfn.ANCHORARRAY(_xlfn.XLOOKUP($C56,'-ref_Distribution'!$B$146:$B$150,'-ref_Distribution'!$G$146:$G$150)),RIGHT(BY$1,2)),"")</f>
        <v>135</v>
      </c>
      <c r="BZ56" s="16" cm="1">
        <f t="array" ref="BZ56">IFERROR(INDEX(_xlfn.ANCHORARRAY(_xlfn.XLOOKUP($C56,'-ref_Distribution'!$B$146:$B$150,'-ref_Distribution'!$G$146:$G$150)),RIGHT(BZ$1,2)),"")</f>
        <v>142</v>
      </c>
      <c r="CA56" s="16" cm="1">
        <f t="array" ref="CA56">IFERROR(INDEX(_xlfn.ANCHORARRAY(_xlfn.XLOOKUP($C56,'-ref_Distribution'!$B$146:$B$150,'-ref_Distribution'!$G$146:$G$150)),RIGHT(CA$1,2)),"")</f>
        <v>144</v>
      </c>
      <c r="CB56" s="16" cm="1">
        <f t="array" ref="CB56">IFERROR(INDEX(_xlfn.ANCHORARRAY(_xlfn.XLOOKUP($C56,'-ref_Distribution'!$B$146:$B$150,'-ref_Distribution'!$G$146:$G$150)),RIGHT(CB$1,2)),"")</f>
        <v>142</v>
      </c>
      <c r="CC56" s="16" cm="1">
        <f t="array" ref="CC56">IFERROR(INDEX(_xlfn.ANCHORARRAY(_xlfn.XLOOKUP($C56,'-ref_Distribution'!$B$146:$B$150,'-ref_Distribution'!$G$146:$G$150)),RIGHT(CC$1,2)),"")</f>
        <v>135</v>
      </c>
      <c r="CD56" s="16" cm="1">
        <f t="array" ref="CD56">IFERROR(INDEX(_xlfn.ANCHORARRAY(_xlfn.XLOOKUP($C56,'-ref_Distribution'!$B$146:$B$150,'-ref_Distribution'!$G$146:$G$150)),RIGHT(CD$1,2)),"")</f>
        <v>125</v>
      </c>
      <c r="CE56" s="16" cm="1">
        <f t="array" ref="CE56">IFERROR(INDEX(_xlfn.ANCHORARRAY(_xlfn.XLOOKUP($C56,'-ref_Distribution'!$B$146:$B$150,'-ref_Distribution'!$G$146:$G$150)),RIGHT(CE$1,2)),"")</f>
        <v>111</v>
      </c>
    </row>
    <row r="57" spans="1:83" x14ac:dyDescent="0.2">
      <c r="A57" s="16">
        <v>302233</v>
      </c>
      <c r="B57" s="16" t="s">
        <v>204</v>
      </c>
      <c r="C57" s="16">
        <v>4</v>
      </c>
      <c r="D57" s="16" cm="1">
        <f t="array" ref="D57">IFERROR(INDEX(_xlfn.ANCHORARRAY(_xlfn.XLOOKUP($C57,'-ref_Distribution'!$B$146:$B$150,'-ref_Distribution'!$G$146:$G$150)),RIGHT(D$1,2)),"")</f>
        <v>0</v>
      </c>
      <c r="E57" s="16" cm="1">
        <f t="array" ref="E57">IFERROR(INDEX(_xlfn.ANCHORARRAY(_xlfn.XLOOKUP($C57,'-ref_Distribution'!$B$146:$B$150,'-ref_Distribution'!$G$146:$G$150)),RIGHT(E$1,2)),"")</f>
        <v>0</v>
      </c>
      <c r="F57" s="16" cm="1">
        <f t="array" ref="F57">IFERROR(INDEX(_xlfn.ANCHORARRAY(_xlfn.XLOOKUP($C57,'-ref_Distribution'!$B$146:$B$150,'-ref_Distribution'!$G$146:$G$150)),RIGHT(F$1,2)),"")</f>
        <v>0</v>
      </c>
      <c r="G57" s="16" cm="1">
        <f t="array" ref="G57">IFERROR(INDEX(_xlfn.ANCHORARRAY(_xlfn.XLOOKUP($C57,'-ref_Distribution'!$B$146:$B$150,'-ref_Distribution'!$G$146:$G$150)),RIGHT(G$1,2)),"")</f>
        <v>0</v>
      </c>
      <c r="H57" s="16" cm="1">
        <f t="array" ref="H57">IFERROR(INDEX(_xlfn.ANCHORARRAY(_xlfn.XLOOKUP($C57,'-ref_Distribution'!$B$146:$B$150,'-ref_Distribution'!$G$146:$G$150)),RIGHT(H$1,2)),"")</f>
        <v>0</v>
      </c>
      <c r="I57" s="16" cm="1">
        <f t="array" ref="I57">IFERROR(INDEX(_xlfn.ANCHORARRAY(_xlfn.XLOOKUP($C57,'-ref_Distribution'!$B$146:$B$150,'-ref_Distribution'!$G$146:$G$150)),RIGHT(I$1,2)),"")</f>
        <v>1</v>
      </c>
      <c r="J57" s="16" cm="1">
        <f t="array" ref="J57">IFERROR(INDEX(_xlfn.ANCHORARRAY(_xlfn.XLOOKUP($C57,'-ref_Distribution'!$B$146:$B$150,'-ref_Distribution'!$G$146:$G$150)),RIGHT(J$1,2)),"")</f>
        <v>1</v>
      </c>
      <c r="K57" s="16" cm="1">
        <f t="array" ref="K57">IFERROR(INDEX(_xlfn.ANCHORARRAY(_xlfn.XLOOKUP($C57,'-ref_Distribution'!$B$146:$B$150,'-ref_Distribution'!$G$146:$G$150)),RIGHT(K$1,2)),"")</f>
        <v>2</v>
      </c>
      <c r="L57" s="16" cm="1">
        <f t="array" ref="L57">IFERROR(INDEX(_xlfn.ANCHORARRAY(_xlfn.XLOOKUP($C57,'-ref_Distribution'!$B$146:$B$150,'-ref_Distribution'!$G$146:$G$150)),RIGHT(L$1,2)),"")</f>
        <v>3</v>
      </c>
      <c r="M57" s="16" cm="1">
        <f t="array" ref="M57">IFERROR(INDEX(_xlfn.ANCHORARRAY(_xlfn.XLOOKUP($C57,'-ref_Distribution'!$B$146:$B$150,'-ref_Distribution'!$G$146:$G$150)),RIGHT(M$1,2)),"")</f>
        <v>5</v>
      </c>
      <c r="N57" s="16" cm="1">
        <f t="array" ref="N57">IFERROR(INDEX(_xlfn.ANCHORARRAY(_xlfn.XLOOKUP($C57,'-ref_Distribution'!$B$146:$B$150,'-ref_Distribution'!$G$146:$G$150)),RIGHT(N$1,2)),"")</f>
        <v>9</v>
      </c>
      <c r="O57" s="16" cm="1">
        <f t="array" ref="O57">IFERROR(INDEX(_xlfn.ANCHORARRAY(_xlfn.XLOOKUP($C57,'-ref_Distribution'!$B$146:$B$150,'-ref_Distribution'!$G$146:$G$150)),RIGHT(O$1,2)),"")</f>
        <v>14</v>
      </c>
      <c r="P57" s="16" cm="1">
        <f t="array" ref="P57">IFERROR(INDEX(_xlfn.ANCHORARRAY(_xlfn.XLOOKUP($C57,'-ref_Distribution'!$B$146:$B$150,'-ref_Distribution'!$G$146:$G$150)),RIGHT(P$1,2)),"")</f>
        <v>20</v>
      </c>
      <c r="Q57" s="16" cm="1">
        <f t="array" ref="Q57">IFERROR(INDEX(_xlfn.ANCHORARRAY(_xlfn.XLOOKUP($C57,'-ref_Distribution'!$B$146:$B$150,'-ref_Distribution'!$G$146:$G$150)),RIGHT(Q$1,2)),"")</f>
        <v>28</v>
      </c>
      <c r="R57" s="16" cm="1">
        <f t="array" ref="R57">IFERROR(INDEX(_xlfn.ANCHORARRAY(_xlfn.XLOOKUP($C57,'-ref_Distribution'!$B$146:$B$150,'-ref_Distribution'!$G$146:$G$150)),RIGHT(R$1,2)),"")</f>
        <v>38</v>
      </c>
      <c r="S57" s="16" cm="1">
        <f t="array" ref="S57">IFERROR(INDEX(_xlfn.ANCHORARRAY(_xlfn.XLOOKUP($C57,'-ref_Distribution'!$B$146:$B$150,'-ref_Distribution'!$G$146:$G$150)),RIGHT(S$1,2)),"")</f>
        <v>48</v>
      </c>
      <c r="T57" s="16" cm="1">
        <f t="array" ref="T57">IFERROR(INDEX(_xlfn.ANCHORARRAY(_xlfn.XLOOKUP($C57,'-ref_Distribution'!$B$146:$B$150,'-ref_Distribution'!$G$146:$G$150)),RIGHT(T$1,2)),"")</f>
        <v>59</v>
      </c>
      <c r="U57" s="16" cm="1">
        <f t="array" ref="U57">IFERROR(INDEX(_xlfn.ANCHORARRAY(_xlfn.XLOOKUP($C57,'-ref_Distribution'!$B$146:$B$150,'-ref_Distribution'!$G$146:$G$150)),RIGHT(U$1,2)),"")</f>
        <v>69</v>
      </c>
      <c r="V57" s="16" cm="1">
        <f t="array" ref="V57">IFERROR(INDEX(_xlfn.ANCHORARRAY(_xlfn.XLOOKUP($C57,'-ref_Distribution'!$B$146:$B$150,'-ref_Distribution'!$G$146:$G$150)),RIGHT(V$1,2)),"")</f>
        <v>78</v>
      </c>
      <c r="W57" s="16" cm="1">
        <f t="array" ref="W57">IFERROR(INDEX(_xlfn.ANCHORARRAY(_xlfn.XLOOKUP($C57,'-ref_Distribution'!$B$146:$B$150,'-ref_Distribution'!$G$146:$G$150)),RIGHT(W$1,2)),"")</f>
        <v>83</v>
      </c>
      <c r="X57" s="16" cm="1">
        <f t="array" ref="X57">IFERROR(INDEX(_xlfn.ANCHORARRAY(_xlfn.XLOOKUP($C57,'-ref_Distribution'!$B$146:$B$150,'-ref_Distribution'!$G$146:$G$150)),RIGHT(X$1,2)),"")</f>
        <v>0</v>
      </c>
      <c r="Y57" s="16" cm="1">
        <f t="array" ref="Y57">IFERROR(INDEX(_xlfn.ANCHORARRAY(_xlfn.XLOOKUP($C57,'-ref_Distribution'!$B$146:$B$150,'-ref_Distribution'!$G$146:$G$150)),RIGHT(Y$1,2)),"")</f>
        <v>0</v>
      </c>
      <c r="Z57" s="16" cm="1">
        <f t="array" ref="Z57">IFERROR(INDEX(_xlfn.ANCHORARRAY(_xlfn.XLOOKUP($C57,'-ref_Distribution'!$B$146:$B$150,'-ref_Distribution'!$G$146:$G$150)),RIGHT(Z$1,2)),"")</f>
        <v>0</v>
      </c>
      <c r="AA57" s="16" cm="1">
        <f t="array" ref="AA57">IFERROR(INDEX(_xlfn.ANCHORARRAY(_xlfn.XLOOKUP($C57,'-ref_Distribution'!$B$146:$B$150,'-ref_Distribution'!$G$146:$G$150)),RIGHT(AA$1,2)),"")</f>
        <v>0</v>
      </c>
      <c r="AB57" s="16" cm="1">
        <f t="array" ref="AB57">IFERROR(INDEX(_xlfn.ANCHORARRAY(_xlfn.XLOOKUP($C57,'-ref_Distribution'!$B$146:$B$150,'-ref_Distribution'!$G$146:$G$150)),RIGHT(AB$1,2)),"")</f>
        <v>0</v>
      </c>
      <c r="AC57" s="16" cm="1">
        <f t="array" ref="AC57">IFERROR(INDEX(_xlfn.ANCHORARRAY(_xlfn.XLOOKUP($C57,'-ref_Distribution'!$B$146:$B$150,'-ref_Distribution'!$G$146:$G$150)),RIGHT(AC$1,2)),"")</f>
        <v>1</v>
      </c>
      <c r="AD57" s="16" cm="1">
        <f t="array" ref="AD57">IFERROR(INDEX(_xlfn.ANCHORARRAY(_xlfn.XLOOKUP($C57,'-ref_Distribution'!$B$146:$B$150,'-ref_Distribution'!$G$146:$G$150)),RIGHT(AD$1,2)),"")</f>
        <v>1</v>
      </c>
      <c r="AE57" s="16" cm="1">
        <f t="array" ref="AE57">IFERROR(INDEX(_xlfn.ANCHORARRAY(_xlfn.XLOOKUP($C57,'-ref_Distribution'!$B$146:$B$150,'-ref_Distribution'!$G$146:$G$150)),RIGHT(AE$1,2)),"")</f>
        <v>2</v>
      </c>
      <c r="AF57" s="16" cm="1">
        <f t="array" ref="AF57">IFERROR(INDEX(_xlfn.ANCHORARRAY(_xlfn.XLOOKUP($C57,'-ref_Distribution'!$B$146:$B$150,'-ref_Distribution'!$G$146:$G$150)),RIGHT(AF$1,2)),"")</f>
        <v>3</v>
      </c>
      <c r="AG57" s="16" cm="1">
        <f t="array" ref="AG57">IFERROR(INDEX(_xlfn.ANCHORARRAY(_xlfn.XLOOKUP($C57,'-ref_Distribution'!$B$146:$B$150,'-ref_Distribution'!$G$146:$G$150)),RIGHT(AG$1,2)),"")</f>
        <v>5</v>
      </c>
      <c r="AH57" s="16" cm="1">
        <f t="array" ref="AH57">IFERROR(INDEX(_xlfn.ANCHORARRAY(_xlfn.XLOOKUP($C57,'-ref_Distribution'!$B$146:$B$150,'-ref_Distribution'!$G$146:$G$150)),RIGHT(AH$1,2)),"")</f>
        <v>9</v>
      </c>
      <c r="AI57" s="16" cm="1">
        <f t="array" ref="AI57">IFERROR(INDEX(_xlfn.ANCHORARRAY(_xlfn.XLOOKUP($C57,'-ref_Distribution'!$B$146:$B$150,'-ref_Distribution'!$G$146:$G$150)),RIGHT(AI$1,2)),"")</f>
        <v>14</v>
      </c>
      <c r="AJ57" s="16" cm="1">
        <f t="array" ref="AJ57">IFERROR(INDEX(_xlfn.ANCHORARRAY(_xlfn.XLOOKUP($C57,'-ref_Distribution'!$B$146:$B$150,'-ref_Distribution'!$G$146:$G$150)),RIGHT(AJ$1,2)),"")</f>
        <v>20</v>
      </c>
      <c r="AK57" s="16" cm="1">
        <f t="array" ref="AK57">IFERROR(INDEX(_xlfn.ANCHORARRAY(_xlfn.XLOOKUP($C57,'-ref_Distribution'!$B$146:$B$150,'-ref_Distribution'!$G$146:$G$150)),RIGHT(AK$1,2)),"")</f>
        <v>28</v>
      </c>
      <c r="AL57" s="16" cm="1">
        <f t="array" ref="AL57">IFERROR(INDEX(_xlfn.ANCHORARRAY(_xlfn.XLOOKUP($C57,'-ref_Distribution'!$B$146:$B$150,'-ref_Distribution'!$G$146:$G$150)),RIGHT(AL$1,2)),"")</f>
        <v>38</v>
      </c>
      <c r="AM57" s="16" cm="1">
        <f t="array" ref="AM57">IFERROR(INDEX(_xlfn.ANCHORARRAY(_xlfn.XLOOKUP($C57,'-ref_Distribution'!$B$146:$B$150,'-ref_Distribution'!$G$146:$G$150)),RIGHT(AM$1,2)),"")</f>
        <v>48</v>
      </c>
      <c r="AN57" s="16" cm="1">
        <f t="array" ref="AN57">IFERROR(INDEX(_xlfn.ANCHORARRAY(_xlfn.XLOOKUP($C57,'-ref_Distribution'!$B$146:$B$150,'-ref_Distribution'!$G$146:$G$150)),RIGHT(AN$1,2)),"")</f>
        <v>59</v>
      </c>
      <c r="AO57" s="16" cm="1">
        <f t="array" ref="AO57">IFERROR(INDEX(_xlfn.ANCHORARRAY(_xlfn.XLOOKUP($C57,'-ref_Distribution'!$B$146:$B$150,'-ref_Distribution'!$G$146:$G$150)),RIGHT(AO$1,2)),"")</f>
        <v>69</v>
      </c>
      <c r="AP57" s="16" cm="1">
        <f t="array" ref="AP57">IFERROR(INDEX(_xlfn.ANCHORARRAY(_xlfn.XLOOKUP($C57,'-ref_Distribution'!$B$146:$B$150,'-ref_Distribution'!$G$146:$G$150)),RIGHT(AP$1,2)),"")</f>
        <v>78</v>
      </c>
      <c r="AQ57" s="16" cm="1">
        <f t="array" ref="AQ57">IFERROR(INDEX(_xlfn.ANCHORARRAY(_xlfn.XLOOKUP($C57,'-ref_Distribution'!$B$146:$B$150,'-ref_Distribution'!$G$146:$G$150)),RIGHT(AQ$1,2)),"")</f>
        <v>83</v>
      </c>
      <c r="AR57" s="16" cm="1">
        <f t="array" ref="AR57">IFERROR(INDEX(_xlfn.ANCHORARRAY(_xlfn.XLOOKUP($C57,'-ref_Distribution'!$B$146:$B$150,'-ref_Distribution'!$G$146:$G$150)),RIGHT(AR$1,2)),"")</f>
        <v>0</v>
      </c>
      <c r="AS57" s="16" cm="1">
        <f t="array" ref="AS57">IFERROR(INDEX(_xlfn.ANCHORARRAY(_xlfn.XLOOKUP($C57,'-ref_Distribution'!$B$146:$B$150,'-ref_Distribution'!$G$146:$G$150)),RIGHT(AS$1,2)),"")</f>
        <v>0</v>
      </c>
      <c r="AT57" s="16" cm="1">
        <f t="array" ref="AT57">IFERROR(INDEX(_xlfn.ANCHORARRAY(_xlfn.XLOOKUP($C57,'-ref_Distribution'!$B$146:$B$150,'-ref_Distribution'!$G$146:$G$150)),RIGHT(AT$1,2)),"")</f>
        <v>0</v>
      </c>
      <c r="AU57" s="16" cm="1">
        <f t="array" ref="AU57">IFERROR(INDEX(_xlfn.ANCHORARRAY(_xlfn.XLOOKUP($C57,'-ref_Distribution'!$B$146:$B$150,'-ref_Distribution'!$G$146:$G$150)),RIGHT(AU$1,2)),"")</f>
        <v>0</v>
      </c>
      <c r="AV57" s="16" cm="1">
        <f t="array" ref="AV57">IFERROR(INDEX(_xlfn.ANCHORARRAY(_xlfn.XLOOKUP($C57,'-ref_Distribution'!$B$146:$B$150,'-ref_Distribution'!$G$146:$G$150)),RIGHT(AV$1,2)),"")</f>
        <v>0</v>
      </c>
      <c r="AW57" s="16" cm="1">
        <f t="array" ref="AW57">IFERROR(INDEX(_xlfn.ANCHORARRAY(_xlfn.XLOOKUP($C57,'-ref_Distribution'!$B$146:$B$150,'-ref_Distribution'!$G$146:$G$150)),RIGHT(AW$1,2)),"")</f>
        <v>1</v>
      </c>
      <c r="AX57" s="16" cm="1">
        <f t="array" ref="AX57">IFERROR(INDEX(_xlfn.ANCHORARRAY(_xlfn.XLOOKUP($C57,'-ref_Distribution'!$B$146:$B$150,'-ref_Distribution'!$G$146:$G$150)),RIGHT(AX$1,2)),"")</f>
        <v>1</v>
      </c>
      <c r="AY57" s="16" cm="1">
        <f t="array" ref="AY57">IFERROR(INDEX(_xlfn.ANCHORARRAY(_xlfn.XLOOKUP($C57,'-ref_Distribution'!$B$146:$B$150,'-ref_Distribution'!$G$146:$G$150)),RIGHT(AY$1,2)),"")</f>
        <v>2</v>
      </c>
      <c r="AZ57" s="16" cm="1">
        <f t="array" ref="AZ57">IFERROR(INDEX(_xlfn.ANCHORARRAY(_xlfn.XLOOKUP($C57,'-ref_Distribution'!$B$146:$B$150,'-ref_Distribution'!$G$146:$G$150)),RIGHT(AZ$1,2)),"")</f>
        <v>3</v>
      </c>
      <c r="BA57" s="16" cm="1">
        <f t="array" ref="BA57">IFERROR(INDEX(_xlfn.ANCHORARRAY(_xlfn.XLOOKUP($C57,'-ref_Distribution'!$B$146:$B$150,'-ref_Distribution'!$G$146:$G$150)),RIGHT(BA$1,2)),"")</f>
        <v>5</v>
      </c>
      <c r="BB57" s="16" cm="1">
        <f t="array" ref="BB57">IFERROR(INDEX(_xlfn.ANCHORARRAY(_xlfn.XLOOKUP($C57,'-ref_Distribution'!$B$146:$B$150,'-ref_Distribution'!$G$146:$G$150)),RIGHT(BB$1,2)),"")</f>
        <v>9</v>
      </c>
      <c r="BC57" s="16" cm="1">
        <f t="array" ref="BC57">IFERROR(INDEX(_xlfn.ANCHORARRAY(_xlfn.XLOOKUP($C57,'-ref_Distribution'!$B$146:$B$150,'-ref_Distribution'!$G$146:$G$150)),RIGHT(BC$1,2)),"")</f>
        <v>14</v>
      </c>
      <c r="BD57" s="16" cm="1">
        <f t="array" ref="BD57">IFERROR(INDEX(_xlfn.ANCHORARRAY(_xlfn.XLOOKUP($C57,'-ref_Distribution'!$B$146:$B$150,'-ref_Distribution'!$G$146:$G$150)),RIGHT(BD$1,2)),"")</f>
        <v>20</v>
      </c>
      <c r="BE57" s="16" cm="1">
        <f t="array" ref="BE57">IFERROR(INDEX(_xlfn.ANCHORARRAY(_xlfn.XLOOKUP($C57,'-ref_Distribution'!$B$146:$B$150,'-ref_Distribution'!$G$146:$G$150)),RIGHT(BE$1,2)),"")</f>
        <v>28</v>
      </c>
      <c r="BF57" s="16" cm="1">
        <f t="array" ref="BF57">IFERROR(INDEX(_xlfn.ANCHORARRAY(_xlfn.XLOOKUP($C57,'-ref_Distribution'!$B$146:$B$150,'-ref_Distribution'!$G$146:$G$150)),RIGHT(BF$1,2)),"")</f>
        <v>38</v>
      </c>
      <c r="BG57" s="16" cm="1">
        <f t="array" ref="BG57">IFERROR(INDEX(_xlfn.ANCHORARRAY(_xlfn.XLOOKUP($C57,'-ref_Distribution'!$B$146:$B$150,'-ref_Distribution'!$G$146:$G$150)),RIGHT(BG$1,2)),"")</f>
        <v>48</v>
      </c>
      <c r="BH57" s="16" cm="1">
        <f t="array" ref="BH57">IFERROR(INDEX(_xlfn.ANCHORARRAY(_xlfn.XLOOKUP($C57,'-ref_Distribution'!$B$146:$B$150,'-ref_Distribution'!$G$146:$G$150)),RIGHT(BH$1,2)),"")</f>
        <v>59</v>
      </c>
      <c r="BI57" s="16" cm="1">
        <f t="array" ref="BI57">IFERROR(INDEX(_xlfn.ANCHORARRAY(_xlfn.XLOOKUP($C57,'-ref_Distribution'!$B$146:$B$150,'-ref_Distribution'!$G$146:$G$150)),RIGHT(BI$1,2)),"")</f>
        <v>69</v>
      </c>
      <c r="BJ57" s="16" cm="1">
        <f t="array" ref="BJ57">IFERROR(INDEX(_xlfn.ANCHORARRAY(_xlfn.XLOOKUP($C57,'-ref_Distribution'!$B$146:$B$150,'-ref_Distribution'!$G$146:$G$150)),RIGHT(BJ$1,2)),"")</f>
        <v>78</v>
      </c>
      <c r="BK57" s="16" cm="1">
        <f t="array" ref="BK57">IFERROR(INDEX(_xlfn.ANCHORARRAY(_xlfn.XLOOKUP($C57,'-ref_Distribution'!$B$146:$B$150,'-ref_Distribution'!$G$146:$G$150)),RIGHT(BK$1,2)),"")</f>
        <v>83</v>
      </c>
      <c r="BL57" s="16" cm="1">
        <f t="array" ref="BL57">IFERROR(INDEX(_xlfn.ANCHORARRAY(_xlfn.XLOOKUP($C57,'-ref_Distribution'!$B$146:$B$150,'-ref_Distribution'!$G$146:$G$150)),RIGHT(BL$1,2)),"")</f>
        <v>0</v>
      </c>
      <c r="BM57" s="16" cm="1">
        <f t="array" ref="BM57">IFERROR(INDEX(_xlfn.ANCHORARRAY(_xlfn.XLOOKUP($C57,'-ref_Distribution'!$B$146:$B$150,'-ref_Distribution'!$G$146:$G$150)),RIGHT(BM$1,2)),"")</f>
        <v>0</v>
      </c>
      <c r="BN57" s="16" cm="1">
        <f t="array" ref="BN57">IFERROR(INDEX(_xlfn.ANCHORARRAY(_xlfn.XLOOKUP($C57,'-ref_Distribution'!$B$146:$B$150,'-ref_Distribution'!$G$146:$G$150)),RIGHT(BN$1,2)),"")</f>
        <v>0</v>
      </c>
      <c r="BO57" s="16" cm="1">
        <f t="array" ref="BO57">IFERROR(INDEX(_xlfn.ANCHORARRAY(_xlfn.XLOOKUP($C57,'-ref_Distribution'!$B$146:$B$150,'-ref_Distribution'!$G$146:$G$150)),RIGHT(BO$1,2)),"")</f>
        <v>0</v>
      </c>
      <c r="BP57" s="16" cm="1">
        <f t="array" ref="BP57">IFERROR(INDEX(_xlfn.ANCHORARRAY(_xlfn.XLOOKUP($C57,'-ref_Distribution'!$B$146:$B$150,'-ref_Distribution'!$G$146:$G$150)),RIGHT(BP$1,2)),"")</f>
        <v>0</v>
      </c>
      <c r="BQ57" s="16" cm="1">
        <f t="array" ref="BQ57">IFERROR(INDEX(_xlfn.ANCHORARRAY(_xlfn.XLOOKUP($C57,'-ref_Distribution'!$B$146:$B$150,'-ref_Distribution'!$G$146:$G$150)),RIGHT(BQ$1,2)),"")</f>
        <v>1</v>
      </c>
      <c r="BR57" s="16" cm="1">
        <f t="array" ref="BR57">IFERROR(INDEX(_xlfn.ANCHORARRAY(_xlfn.XLOOKUP($C57,'-ref_Distribution'!$B$146:$B$150,'-ref_Distribution'!$G$146:$G$150)),RIGHT(BR$1,2)),"")</f>
        <v>1</v>
      </c>
      <c r="BS57" s="16" cm="1">
        <f t="array" ref="BS57">IFERROR(INDEX(_xlfn.ANCHORARRAY(_xlfn.XLOOKUP($C57,'-ref_Distribution'!$B$146:$B$150,'-ref_Distribution'!$G$146:$G$150)),RIGHT(BS$1,2)),"")</f>
        <v>2</v>
      </c>
      <c r="BT57" s="16" cm="1">
        <f t="array" ref="BT57">IFERROR(INDEX(_xlfn.ANCHORARRAY(_xlfn.XLOOKUP($C57,'-ref_Distribution'!$B$146:$B$150,'-ref_Distribution'!$G$146:$G$150)),RIGHT(BT$1,2)),"")</f>
        <v>3</v>
      </c>
      <c r="BU57" s="16" cm="1">
        <f t="array" ref="BU57">IFERROR(INDEX(_xlfn.ANCHORARRAY(_xlfn.XLOOKUP($C57,'-ref_Distribution'!$B$146:$B$150,'-ref_Distribution'!$G$146:$G$150)),RIGHT(BU$1,2)),"")</f>
        <v>5</v>
      </c>
      <c r="BV57" s="16" cm="1">
        <f t="array" ref="BV57">IFERROR(INDEX(_xlfn.ANCHORARRAY(_xlfn.XLOOKUP($C57,'-ref_Distribution'!$B$146:$B$150,'-ref_Distribution'!$G$146:$G$150)),RIGHT(BV$1,2)),"")</f>
        <v>9</v>
      </c>
      <c r="BW57" s="16" cm="1">
        <f t="array" ref="BW57">IFERROR(INDEX(_xlfn.ANCHORARRAY(_xlfn.XLOOKUP($C57,'-ref_Distribution'!$B$146:$B$150,'-ref_Distribution'!$G$146:$G$150)),RIGHT(BW$1,2)),"")</f>
        <v>14</v>
      </c>
      <c r="BX57" s="16" cm="1">
        <f t="array" ref="BX57">IFERROR(INDEX(_xlfn.ANCHORARRAY(_xlfn.XLOOKUP($C57,'-ref_Distribution'!$B$146:$B$150,'-ref_Distribution'!$G$146:$G$150)),RIGHT(BX$1,2)),"")</f>
        <v>20</v>
      </c>
      <c r="BY57" s="16" cm="1">
        <f t="array" ref="BY57">IFERROR(INDEX(_xlfn.ANCHORARRAY(_xlfn.XLOOKUP($C57,'-ref_Distribution'!$B$146:$B$150,'-ref_Distribution'!$G$146:$G$150)),RIGHT(BY$1,2)),"")</f>
        <v>28</v>
      </c>
      <c r="BZ57" s="16" cm="1">
        <f t="array" ref="BZ57">IFERROR(INDEX(_xlfn.ANCHORARRAY(_xlfn.XLOOKUP($C57,'-ref_Distribution'!$B$146:$B$150,'-ref_Distribution'!$G$146:$G$150)),RIGHT(BZ$1,2)),"")</f>
        <v>38</v>
      </c>
      <c r="CA57" s="16" cm="1">
        <f t="array" ref="CA57">IFERROR(INDEX(_xlfn.ANCHORARRAY(_xlfn.XLOOKUP($C57,'-ref_Distribution'!$B$146:$B$150,'-ref_Distribution'!$G$146:$G$150)),RIGHT(CA$1,2)),"")</f>
        <v>48</v>
      </c>
      <c r="CB57" s="16" cm="1">
        <f t="array" ref="CB57">IFERROR(INDEX(_xlfn.ANCHORARRAY(_xlfn.XLOOKUP($C57,'-ref_Distribution'!$B$146:$B$150,'-ref_Distribution'!$G$146:$G$150)),RIGHT(CB$1,2)),"")</f>
        <v>59</v>
      </c>
      <c r="CC57" s="16" cm="1">
        <f t="array" ref="CC57">IFERROR(INDEX(_xlfn.ANCHORARRAY(_xlfn.XLOOKUP($C57,'-ref_Distribution'!$B$146:$B$150,'-ref_Distribution'!$G$146:$G$150)),RIGHT(CC$1,2)),"")</f>
        <v>69</v>
      </c>
      <c r="CD57" s="16" cm="1">
        <f t="array" ref="CD57">IFERROR(INDEX(_xlfn.ANCHORARRAY(_xlfn.XLOOKUP($C57,'-ref_Distribution'!$B$146:$B$150,'-ref_Distribution'!$G$146:$G$150)),RIGHT(CD$1,2)),"")</f>
        <v>78</v>
      </c>
      <c r="CE57" s="16" cm="1">
        <f t="array" ref="CE57">IFERROR(INDEX(_xlfn.ANCHORARRAY(_xlfn.XLOOKUP($C57,'-ref_Distribution'!$B$146:$B$150,'-ref_Distribution'!$G$146:$G$150)),RIGHT(CE$1,2)),"")</f>
        <v>83</v>
      </c>
    </row>
    <row r="58" spans="1:83" x14ac:dyDescent="0.2">
      <c r="A58" s="16">
        <v>302321</v>
      </c>
      <c r="B58" s="16" t="s">
        <v>205</v>
      </c>
      <c r="C58" s="16">
        <v>0</v>
      </c>
      <c r="D58" s="16" cm="1">
        <f t="array" ref="D58">IFERROR(INDEX(_xlfn.ANCHORARRAY(_xlfn.XLOOKUP($C58,'-ref_Distribution'!$B$146:$B$150,'-ref_Distribution'!$G$146:$G$150)),RIGHT(D$1,2)),"")</f>
        <v>709</v>
      </c>
      <c r="E58" s="16" cm="1">
        <f t="array" ref="E58">IFERROR(INDEX(_xlfn.ANCHORARRAY(_xlfn.XLOOKUP($C58,'-ref_Distribution'!$B$146:$B$150,'-ref_Distribution'!$G$146:$G$150)),RIGHT(E$1,2)),"")</f>
        <v>705</v>
      </c>
      <c r="F58" s="16" cm="1">
        <f t="array" ref="F58">IFERROR(INDEX(_xlfn.ANCHORARRAY(_xlfn.XLOOKUP($C58,'-ref_Distribution'!$B$146:$B$150,'-ref_Distribution'!$G$146:$G$150)),RIGHT(F$1,2)),"")</f>
        <v>692</v>
      </c>
      <c r="G58" s="16" cm="1">
        <f t="array" ref="G58">IFERROR(INDEX(_xlfn.ANCHORARRAY(_xlfn.XLOOKUP($C58,'-ref_Distribution'!$B$146:$B$150,'-ref_Distribution'!$G$146:$G$150)),RIGHT(G$1,2)),"")</f>
        <v>671</v>
      </c>
      <c r="H58" s="16" cm="1">
        <f t="array" ref="H58">IFERROR(INDEX(_xlfn.ANCHORARRAY(_xlfn.XLOOKUP($C58,'-ref_Distribution'!$B$146:$B$150,'-ref_Distribution'!$G$146:$G$150)),RIGHT(H$1,2)),"")</f>
        <v>643</v>
      </c>
      <c r="I58" s="16" cm="1">
        <f t="array" ref="I58">IFERROR(INDEX(_xlfn.ANCHORARRAY(_xlfn.XLOOKUP($C58,'-ref_Distribution'!$B$146:$B$150,'-ref_Distribution'!$G$146:$G$150)),RIGHT(I$1,2)),"")</f>
        <v>608</v>
      </c>
      <c r="J58" s="16" cm="1">
        <f t="array" ref="J58">IFERROR(INDEX(_xlfn.ANCHORARRAY(_xlfn.XLOOKUP($C58,'-ref_Distribution'!$B$146:$B$150,'-ref_Distribution'!$G$146:$G$150)),RIGHT(J$1,2)),"")</f>
        <v>568</v>
      </c>
      <c r="K58" s="16" cm="1">
        <f t="array" ref="K58">IFERROR(INDEX(_xlfn.ANCHORARRAY(_xlfn.XLOOKUP($C58,'-ref_Distribution'!$B$146:$B$150,'-ref_Distribution'!$G$146:$G$150)),RIGHT(K$1,2)),"")</f>
        <v>524</v>
      </c>
      <c r="L58" s="16" cm="1">
        <f t="array" ref="L58">IFERROR(INDEX(_xlfn.ANCHORARRAY(_xlfn.XLOOKUP($C58,'-ref_Distribution'!$B$146:$B$150,'-ref_Distribution'!$G$146:$G$150)),RIGHT(L$1,2)),"")</f>
        <v>478</v>
      </c>
      <c r="M58" s="16" cm="1">
        <f t="array" ref="M58">IFERROR(INDEX(_xlfn.ANCHORARRAY(_xlfn.XLOOKUP($C58,'-ref_Distribution'!$B$146:$B$150,'-ref_Distribution'!$G$146:$G$150)),RIGHT(M$1,2)),"")</f>
        <v>430</v>
      </c>
      <c r="N58" s="16" cm="1">
        <f t="array" ref="N58">IFERROR(INDEX(_xlfn.ANCHORARRAY(_xlfn.XLOOKUP($C58,'-ref_Distribution'!$B$146:$B$150,'-ref_Distribution'!$G$146:$G$150)),RIGHT(N$1,2)),"")</f>
        <v>383</v>
      </c>
      <c r="O58" s="16" cm="1">
        <f t="array" ref="O58">IFERROR(INDEX(_xlfn.ANCHORARRAY(_xlfn.XLOOKUP($C58,'-ref_Distribution'!$B$146:$B$150,'-ref_Distribution'!$G$146:$G$150)),RIGHT(O$1,2)),"")</f>
        <v>336</v>
      </c>
      <c r="P58" s="16" cm="1">
        <f t="array" ref="P58">IFERROR(INDEX(_xlfn.ANCHORARRAY(_xlfn.XLOOKUP($C58,'-ref_Distribution'!$B$146:$B$150,'-ref_Distribution'!$G$146:$G$150)),RIGHT(P$1,2)),"")</f>
        <v>292</v>
      </c>
      <c r="Q58" s="16" cm="1">
        <f t="array" ref="Q58">IFERROR(INDEX(_xlfn.ANCHORARRAY(_xlfn.XLOOKUP($C58,'-ref_Distribution'!$B$146:$B$150,'-ref_Distribution'!$G$146:$G$150)),RIGHT(Q$1,2)),"")</f>
        <v>250</v>
      </c>
      <c r="R58" s="16" cm="1">
        <f t="array" ref="R58">IFERROR(INDEX(_xlfn.ANCHORARRAY(_xlfn.XLOOKUP($C58,'-ref_Distribution'!$B$146:$B$150,'-ref_Distribution'!$G$146:$G$150)),RIGHT(R$1,2)),"")</f>
        <v>212</v>
      </c>
      <c r="S58" s="16" cm="1">
        <f t="array" ref="S58">IFERROR(INDEX(_xlfn.ANCHORARRAY(_xlfn.XLOOKUP($C58,'-ref_Distribution'!$B$146:$B$150,'-ref_Distribution'!$G$146:$G$150)),RIGHT(S$1,2)),"")</f>
        <v>177</v>
      </c>
      <c r="T58" s="16" cm="1">
        <f t="array" ref="T58">IFERROR(INDEX(_xlfn.ANCHORARRAY(_xlfn.XLOOKUP($C58,'-ref_Distribution'!$B$146:$B$150,'-ref_Distribution'!$G$146:$G$150)),RIGHT(T$1,2)),"")</f>
        <v>146</v>
      </c>
      <c r="U58" s="16" cm="1">
        <f t="array" ref="U58">IFERROR(INDEX(_xlfn.ANCHORARRAY(_xlfn.XLOOKUP($C58,'-ref_Distribution'!$B$146:$B$150,'-ref_Distribution'!$G$146:$G$150)),RIGHT(U$1,2)),"")</f>
        <v>119</v>
      </c>
      <c r="V58" s="16" cm="1">
        <f t="array" ref="V58">IFERROR(INDEX(_xlfn.ANCHORARRAY(_xlfn.XLOOKUP($C58,'-ref_Distribution'!$B$146:$B$150,'-ref_Distribution'!$G$146:$G$150)),RIGHT(V$1,2)),"")</f>
        <v>96</v>
      </c>
      <c r="W58" s="16" cm="1">
        <f t="array" ref="W58">IFERROR(INDEX(_xlfn.ANCHORARRAY(_xlfn.XLOOKUP($C58,'-ref_Distribution'!$B$146:$B$150,'-ref_Distribution'!$G$146:$G$150)),RIGHT(W$1,2)),"")</f>
        <v>76</v>
      </c>
      <c r="X58" s="16" cm="1">
        <f t="array" ref="X58">IFERROR(INDEX(_xlfn.ANCHORARRAY(_xlfn.XLOOKUP($C58,'-ref_Distribution'!$B$146:$B$150,'-ref_Distribution'!$G$146:$G$150)),RIGHT(X$1,2)),"")</f>
        <v>709</v>
      </c>
      <c r="Y58" s="16" cm="1">
        <f t="array" ref="Y58">IFERROR(INDEX(_xlfn.ANCHORARRAY(_xlfn.XLOOKUP($C58,'-ref_Distribution'!$B$146:$B$150,'-ref_Distribution'!$G$146:$G$150)),RIGHT(Y$1,2)),"")</f>
        <v>705</v>
      </c>
      <c r="Z58" s="16" cm="1">
        <f t="array" ref="Z58">IFERROR(INDEX(_xlfn.ANCHORARRAY(_xlfn.XLOOKUP($C58,'-ref_Distribution'!$B$146:$B$150,'-ref_Distribution'!$G$146:$G$150)),RIGHT(Z$1,2)),"")</f>
        <v>692</v>
      </c>
      <c r="AA58" s="16" cm="1">
        <f t="array" ref="AA58">IFERROR(INDEX(_xlfn.ANCHORARRAY(_xlfn.XLOOKUP($C58,'-ref_Distribution'!$B$146:$B$150,'-ref_Distribution'!$G$146:$G$150)),RIGHT(AA$1,2)),"")</f>
        <v>671</v>
      </c>
      <c r="AB58" s="16" cm="1">
        <f t="array" ref="AB58">IFERROR(INDEX(_xlfn.ANCHORARRAY(_xlfn.XLOOKUP($C58,'-ref_Distribution'!$B$146:$B$150,'-ref_Distribution'!$G$146:$G$150)),RIGHT(AB$1,2)),"")</f>
        <v>643</v>
      </c>
      <c r="AC58" s="16" cm="1">
        <f t="array" ref="AC58">IFERROR(INDEX(_xlfn.ANCHORARRAY(_xlfn.XLOOKUP($C58,'-ref_Distribution'!$B$146:$B$150,'-ref_Distribution'!$G$146:$G$150)),RIGHT(AC$1,2)),"")</f>
        <v>608</v>
      </c>
      <c r="AD58" s="16" cm="1">
        <f t="array" ref="AD58">IFERROR(INDEX(_xlfn.ANCHORARRAY(_xlfn.XLOOKUP($C58,'-ref_Distribution'!$B$146:$B$150,'-ref_Distribution'!$G$146:$G$150)),RIGHT(AD$1,2)),"")</f>
        <v>568</v>
      </c>
      <c r="AE58" s="16" cm="1">
        <f t="array" ref="AE58">IFERROR(INDEX(_xlfn.ANCHORARRAY(_xlfn.XLOOKUP($C58,'-ref_Distribution'!$B$146:$B$150,'-ref_Distribution'!$G$146:$G$150)),RIGHT(AE$1,2)),"")</f>
        <v>524</v>
      </c>
      <c r="AF58" s="16" cm="1">
        <f t="array" ref="AF58">IFERROR(INDEX(_xlfn.ANCHORARRAY(_xlfn.XLOOKUP($C58,'-ref_Distribution'!$B$146:$B$150,'-ref_Distribution'!$G$146:$G$150)),RIGHT(AF$1,2)),"")</f>
        <v>478</v>
      </c>
      <c r="AG58" s="16" cm="1">
        <f t="array" ref="AG58">IFERROR(INDEX(_xlfn.ANCHORARRAY(_xlfn.XLOOKUP($C58,'-ref_Distribution'!$B$146:$B$150,'-ref_Distribution'!$G$146:$G$150)),RIGHT(AG$1,2)),"")</f>
        <v>430</v>
      </c>
      <c r="AH58" s="16" cm="1">
        <f t="array" ref="AH58">IFERROR(INDEX(_xlfn.ANCHORARRAY(_xlfn.XLOOKUP($C58,'-ref_Distribution'!$B$146:$B$150,'-ref_Distribution'!$G$146:$G$150)),RIGHT(AH$1,2)),"")</f>
        <v>383</v>
      </c>
      <c r="AI58" s="16" cm="1">
        <f t="array" ref="AI58">IFERROR(INDEX(_xlfn.ANCHORARRAY(_xlfn.XLOOKUP($C58,'-ref_Distribution'!$B$146:$B$150,'-ref_Distribution'!$G$146:$G$150)),RIGHT(AI$1,2)),"")</f>
        <v>336</v>
      </c>
      <c r="AJ58" s="16" cm="1">
        <f t="array" ref="AJ58">IFERROR(INDEX(_xlfn.ANCHORARRAY(_xlfn.XLOOKUP($C58,'-ref_Distribution'!$B$146:$B$150,'-ref_Distribution'!$G$146:$G$150)),RIGHT(AJ$1,2)),"")</f>
        <v>292</v>
      </c>
      <c r="AK58" s="16" cm="1">
        <f t="array" ref="AK58">IFERROR(INDEX(_xlfn.ANCHORARRAY(_xlfn.XLOOKUP($C58,'-ref_Distribution'!$B$146:$B$150,'-ref_Distribution'!$G$146:$G$150)),RIGHT(AK$1,2)),"")</f>
        <v>250</v>
      </c>
      <c r="AL58" s="16" cm="1">
        <f t="array" ref="AL58">IFERROR(INDEX(_xlfn.ANCHORARRAY(_xlfn.XLOOKUP($C58,'-ref_Distribution'!$B$146:$B$150,'-ref_Distribution'!$G$146:$G$150)),RIGHT(AL$1,2)),"")</f>
        <v>212</v>
      </c>
      <c r="AM58" s="16" cm="1">
        <f t="array" ref="AM58">IFERROR(INDEX(_xlfn.ANCHORARRAY(_xlfn.XLOOKUP($C58,'-ref_Distribution'!$B$146:$B$150,'-ref_Distribution'!$G$146:$G$150)),RIGHT(AM$1,2)),"")</f>
        <v>177</v>
      </c>
      <c r="AN58" s="16" cm="1">
        <f t="array" ref="AN58">IFERROR(INDEX(_xlfn.ANCHORARRAY(_xlfn.XLOOKUP($C58,'-ref_Distribution'!$B$146:$B$150,'-ref_Distribution'!$G$146:$G$150)),RIGHT(AN$1,2)),"")</f>
        <v>146</v>
      </c>
      <c r="AO58" s="16" cm="1">
        <f t="array" ref="AO58">IFERROR(INDEX(_xlfn.ANCHORARRAY(_xlfn.XLOOKUP($C58,'-ref_Distribution'!$B$146:$B$150,'-ref_Distribution'!$G$146:$G$150)),RIGHT(AO$1,2)),"")</f>
        <v>119</v>
      </c>
      <c r="AP58" s="16" cm="1">
        <f t="array" ref="AP58">IFERROR(INDEX(_xlfn.ANCHORARRAY(_xlfn.XLOOKUP($C58,'-ref_Distribution'!$B$146:$B$150,'-ref_Distribution'!$G$146:$G$150)),RIGHT(AP$1,2)),"")</f>
        <v>96</v>
      </c>
      <c r="AQ58" s="16" cm="1">
        <f t="array" ref="AQ58">IFERROR(INDEX(_xlfn.ANCHORARRAY(_xlfn.XLOOKUP($C58,'-ref_Distribution'!$B$146:$B$150,'-ref_Distribution'!$G$146:$G$150)),RIGHT(AQ$1,2)),"")</f>
        <v>76</v>
      </c>
      <c r="AR58" s="16" cm="1">
        <f t="array" ref="AR58">IFERROR(INDEX(_xlfn.ANCHORARRAY(_xlfn.XLOOKUP($C58,'-ref_Distribution'!$B$146:$B$150,'-ref_Distribution'!$G$146:$G$150)),RIGHT(AR$1,2)),"")</f>
        <v>709</v>
      </c>
      <c r="AS58" s="16" cm="1">
        <f t="array" ref="AS58">IFERROR(INDEX(_xlfn.ANCHORARRAY(_xlfn.XLOOKUP($C58,'-ref_Distribution'!$B$146:$B$150,'-ref_Distribution'!$G$146:$G$150)),RIGHT(AS$1,2)),"")</f>
        <v>705</v>
      </c>
      <c r="AT58" s="16" cm="1">
        <f t="array" ref="AT58">IFERROR(INDEX(_xlfn.ANCHORARRAY(_xlfn.XLOOKUP($C58,'-ref_Distribution'!$B$146:$B$150,'-ref_Distribution'!$G$146:$G$150)),RIGHT(AT$1,2)),"")</f>
        <v>692</v>
      </c>
      <c r="AU58" s="16" cm="1">
        <f t="array" ref="AU58">IFERROR(INDEX(_xlfn.ANCHORARRAY(_xlfn.XLOOKUP($C58,'-ref_Distribution'!$B$146:$B$150,'-ref_Distribution'!$G$146:$G$150)),RIGHT(AU$1,2)),"")</f>
        <v>671</v>
      </c>
      <c r="AV58" s="16" cm="1">
        <f t="array" ref="AV58">IFERROR(INDEX(_xlfn.ANCHORARRAY(_xlfn.XLOOKUP($C58,'-ref_Distribution'!$B$146:$B$150,'-ref_Distribution'!$G$146:$G$150)),RIGHT(AV$1,2)),"")</f>
        <v>643</v>
      </c>
      <c r="AW58" s="16" cm="1">
        <f t="array" ref="AW58">IFERROR(INDEX(_xlfn.ANCHORARRAY(_xlfn.XLOOKUP($C58,'-ref_Distribution'!$B$146:$B$150,'-ref_Distribution'!$G$146:$G$150)),RIGHT(AW$1,2)),"")</f>
        <v>608</v>
      </c>
      <c r="AX58" s="16" cm="1">
        <f t="array" ref="AX58">IFERROR(INDEX(_xlfn.ANCHORARRAY(_xlfn.XLOOKUP($C58,'-ref_Distribution'!$B$146:$B$150,'-ref_Distribution'!$G$146:$G$150)),RIGHT(AX$1,2)),"")</f>
        <v>568</v>
      </c>
      <c r="AY58" s="16" cm="1">
        <f t="array" ref="AY58">IFERROR(INDEX(_xlfn.ANCHORARRAY(_xlfn.XLOOKUP($C58,'-ref_Distribution'!$B$146:$B$150,'-ref_Distribution'!$G$146:$G$150)),RIGHT(AY$1,2)),"")</f>
        <v>524</v>
      </c>
      <c r="AZ58" s="16" cm="1">
        <f t="array" ref="AZ58">IFERROR(INDEX(_xlfn.ANCHORARRAY(_xlfn.XLOOKUP($C58,'-ref_Distribution'!$B$146:$B$150,'-ref_Distribution'!$G$146:$G$150)),RIGHT(AZ$1,2)),"")</f>
        <v>478</v>
      </c>
      <c r="BA58" s="16" cm="1">
        <f t="array" ref="BA58">IFERROR(INDEX(_xlfn.ANCHORARRAY(_xlfn.XLOOKUP($C58,'-ref_Distribution'!$B$146:$B$150,'-ref_Distribution'!$G$146:$G$150)),RIGHT(BA$1,2)),"")</f>
        <v>430</v>
      </c>
      <c r="BB58" s="16" cm="1">
        <f t="array" ref="BB58">IFERROR(INDEX(_xlfn.ANCHORARRAY(_xlfn.XLOOKUP($C58,'-ref_Distribution'!$B$146:$B$150,'-ref_Distribution'!$G$146:$G$150)),RIGHT(BB$1,2)),"")</f>
        <v>383</v>
      </c>
      <c r="BC58" s="16" cm="1">
        <f t="array" ref="BC58">IFERROR(INDEX(_xlfn.ANCHORARRAY(_xlfn.XLOOKUP($C58,'-ref_Distribution'!$B$146:$B$150,'-ref_Distribution'!$G$146:$G$150)),RIGHT(BC$1,2)),"")</f>
        <v>336</v>
      </c>
      <c r="BD58" s="16" cm="1">
        <f t="array" ref="BD58">IFERROR(INDEX(_xlfn.ANCHORARRAY(_xlfn.XLOOKUP($C58,'-ref_Distribution'!$B$146:$B$150,'-ref_Distribution'!$G$146:$G$150)),RIGHT(BD$1,2)),"")</f>
        <v>292</v>
      </c>
      <c r="BE58" s="16" cm="1">
        <f t="array" ref="BE58">IFERROR(INDEX(_xlfn.ANCHORARRAY(_xlfn.XLOOKUP($C58,'-ref_Distribution'!$B$146:$B$150,'-ref_Distribution'!$G$146:$G$150)),RIGHT(BE$1,2)),"")</f>
        <v>250</v>
      </c>
      <c r="BF58" s="16" cm="1">
        <f t="array" ref="BF58">IFERROR(INDEX(_xlfn.ANCHORARRAY(_xlfn.XLOOKUP($C58,'-ref_Distribution'!$B$146:$B$150,'-ref_Distribution'!$G$146:$G$150)),RIGHT(BF$1,2)),"")</f>
        <v>212</v>
      </c>
      <c r="BG58" s="16" cm="1">
        <f t="array" ref="BG58">IFERROR(INDEX(_xlfn.ANCHORARRAY(_xlfn.XLOOKUP($C58,'-ref_Distribution'!$B$146:$B$150,'-ref_Distribution'!$G$146:$G$150)),RIGHT(BG$1,2)),"")</f>
        <v>177</v>
      </c>
      <c r="BH58" s="16" cm="1">
        <f t="array" ref="BH58">IFERROR(INDEX(_xlfn.ANCHORARRAY(_xlfn.XLOOKUP($C58,'-ref_Distribution'!$B$146:$B$150,'-ref_Distribution'!$G$146:$G$150)),RIGHT(BH$1,2)),"")</f>
        <v>146</v>
      </c>
      <c r="BI58" s="16" cm="1">
        <f t="array" ref="BI58">IFERROR(INDEX(_xlfn.ANCHORARRAY(_xlfn.XLOOKUP($C58,'-ref_Distribution'!$B$146:$B$150,'-ref_Distribution'!$G$146:$G$150)),RIGHT(BI$1,2)),"")</f>
        <v>119</v>
      </c>
      <c r="BJ58" s="16" cm="1">
        <f t="array" ref="BJ58">IFERROR(INDEX(_xlfn.ANCHORARRAY(_xlfn.XLOOKUP($C58,'-ref_Distribution'!$B$146:$B$150,'-ref_Distribution'!$G$146:$G$150)),RIGHT(BJ$1,2)),"")</f>
        <v>96</v>
      </c>
      <c r="BK58" s="16" cm="1">
        <f t="array" ref="BK58">IFERROR(INDEX(_xlfn.ANCHORARRAY(_xlfn.XLOOKUP($C58,'-ref_Distribution'!$B$146:$B$150,'-ref_Distribution'!$G$146:$G$150)),RIGHT(BK$1,2)),"")</f>
        <v>76</v>
      </c>
      <c r="BL58" s="16" cm="1">
        <f t="array" ref="BL58">IFERROR(INDEX(_xlfn.ANCHORARRAY(_xlfn.XLOOKUP($C58,'-ref_Distribution'!$B$146:$B$150,'-ref_Distribution'!$G$146:$G$150)),RIGHT(BL$1,2)),"")</f>
        <v>709</v>
      </c>
      <c r="BM58" s="16" cm="1">
        <f t="array" ref="BM58">IFERROR(INDEX(_xlfn.ANCHORARRAY(_xlfn.XLOOKUP($C58,'-ref_Distribution'!$B$146:$B$150,'-ref_Distribution'!$G$146:$G$150)),RIGHT(BM$1,2)),"")</f>
        <v>705</v>
      </c>
      <c r="BN58" s="16" cm="1">
        <f t="array" ref="BN58">IFERROR(INDEX(_xlfn.ANCHORARRAY(_xlfn.XLOOKUP($C58,'-ref_Distribution'!$B$146:$B$150,'-ref_Distribution'!$G$146:$G$150)),RIGHT(BN$1,2)),"")</f>
        <v>692</v>
      </c>
      <c r="BO58" s="16" cm="1">
        <f t="array" ref="BO58">IFERROR(INDEX(_xlfn.ANCHORARRAY(_xlfn.XLOOKUP($C58,'-ref_Distribution'!$B$146:$B$150,'-ref_Distribution'!$G$146:$G$150)),RIGHT(BO$1,2)),"")</f>
        <v>671</v>
      </c>
      <c r="BP58" s="16" cm="1">
        <f t="array" ref="BP58">IFERROR(INDEX(_xlfn.ANCHORARRAY(_xlfn.XLOOKUP($C58,'-ref_Distribution'!$B$146:$B$150,'-ref_Distribution'!$G$146:$G$150)),RIGHT(BP$1,2)),"")</f>
        <v>643</v>
      </c>
      <c r="BQ58" s="16" cm="1">
        <f t="array" ref="BQ58">IFERROR(INDEX(_xlfn.ANCHORARRAY(_xlfn.XLOOKUP($C58,'-ref_Distribution'!$B$146:$B$150,'-ref_Distribution'!$G$146:$G$150)),RIGHT(BQ$1,2)),"")</f>
        <v>608</v>
      </c>
      <c r="BR58" s="16" cm="1">
        <f t="array" ref="BR58">IFERROR(INDEX(_xlfn.ANCHORARRAY(_xlfn.XLOOKUP($C58,'-ref_Distribution'!$B$146:$B$150,'-ref_Distribution'!$G$146:$G$150)),RIGHT(BR$1,2)),"")</f>
        <v>568</v>
      </c>
      <c r="BS58" s="16" cm="1">
        <f t="array" ref="BS58">IFERROR(INDEX(_xlfn.ANCHORARRAY(_xlfn.XLOOKUP($C58,'-ref_Distribution'!$B$146:$B$150,'-ref_Distribution'!$G$146:$G$150)),RIGHT(BS$1,2)),"")</f>
        <v>524</v>
      </c>
      <c r="BT58" s="16" cm="1">
        <f t="array" ref="BT58">IFERROR(INDEX(_xlfn.ANCHORARRAY(_xlfn.XLOOKUP($C58,'-ref_Distribution'!$B$146:$B$150,'-ref_Distribution'!$G$146:$G$150)),RIGHT(BT$1,2)),"")</f>
        <v>478</v>
      </c>
      <c r="BU58" s="16" cm="1">
        <f t="array" ref="BU58">IFERROR(INDEX(_xlfn.ANCHORARRAY(_xlfn.XLOOKUP($C58,'-ref_Distribution'!$B$146:$B$150,'-ref_Distribution'!$G$146:$G$150)),RIGHT(BU$1,2)),"")</f>
        <v>430</v>
      </c>
      <c r="BV58" s="16" cm="1">
        <f t="array" ref="BV58">IFERROR(INDEX(_xlfn.ANCHORARRAY(_xlfn.XLOOKUP($C58,'-ref_Distribution'!$B$146:$B$150,'-ref_Distribution'!$G$146:$G$150)),RIGHT(BV$1,2)),"")</f>
        <v>383</v>
      </c>
      <c r="BW58" s="16" cm="1">
        <f t="array" ref="BW58">IFERROR(INDEX(_xlfn.ANCHORARRAY(_xlfn.XLOOKUP($C58,'-ref_Distribution'!$B$146:$B$150,'-ref_Distribution'!$G$146:$G$150)),RIGHT(BW$1,2)),"")</f>
        <v>336</v>
      </c>
      <c r="BX58" s="16" cm="1">
        <f t="array" ref="BX58">IFERROR(INDEX(_xlfn.ANCHORARRAY(_xlfn.XLOOKUP($C58,'-ref_Distribution'!$B$146:$B$150,'-ref_Distribution'!$G$146:$G$150)),RIGHT(BX$1,2)),"")</f>
        <v>292</v>
      </c>
      <c r="BY58" s="16" cm="1">
        <f t="array" ref="BY58">IFERROR(INDEX(_xlfn.ANCHORARRAY(_xlfn.XLOOKUP($C58,'-ref_Distribution'!$B$146:$B$150,'-ref_Distribution'!$G$146:$G$150)),RIGHT(BY$1,2)),"")</f>
        <v>250</v>
      </c>
      <c r="BZ58" s="16" cm="1">
        <f t="array" ref="BZ58">IFERROR(INDEX(_xlfn.ANCHORARRAY(_xlfn.XLOOKUP($C58,'-ref_Distribution'!$B$146:$B$150,'-ref_Distribution'!$G$146:$G$150)),RIGHT(BZ$1,2)),"")</f>
        <v>212</v>
      </c>
      <c r="CA58" s="16" cm="1">
        <f t="array" ref="CA58">IFERROR(INDEX(_xlfn.ANCHORARRAY(_xlfn.XLOOKUP($C58,'-ref_Distribution'!$B$146:$B$150,'-ref_Distribution'!$G$146:$G$150)),RIGHT(CA$1,2)),"")</f>
        <v>177</v>
      </c>
      <c r="CB58" s="16" cm="1">
        <f t="array" ref="CB58">IFERROR(INDEX(_xlfn.ANCHORARRAY(_xlfn.XLOOKUP($C58,'-ref_Distribution'!$B$146:$B$150,'-ref_Distribution'!$G$146:$G$150)),RIGHT(CB$1,2)),"")</f>
        <v>146</v>
      </c>
      <c r="CC58" s="16" cm="1">
        <f t="array" ref="CC58">IFERROR(INDEX(_xlfn.ANCHORARRAY(_xlfn.XLOOKUP($C58,'-ref_Distribution'!$B$146:$B$150,'-ref_Distribution'!$G$146:$G$150)),RIGHT(CC$1,2)),"")</f>
        <v>119</v>
      </c>
      <c r="CD58" s="16" cm="1">
        <f t="array" ref="CD58">IFERROR(INDEX(_xlfn.ANCHORARRAY(_xlfn.XLOOKUP($C58,'-ref_Distribution'!$B$146:$B$150,'-ref_Distribution'!$G$146:$G$150)),RIGHT(CD$1,2)),"")</f>
        <v>96</v>
      </c>
      <c r="CE58" s="16" cm="1">
        <f t="array" ref="CE58">IFERROR(INDEX(_xlfn.ANCHORARRAY(_xlfn.XLOOKUP($C58,'-ref_Distribution'!$B$146:$B$150,'-ref_Distribution'!$G$146:$G$150)),RIGHT(CE$1,2)),"")</f>
        <v>76</v>
      </c>
    </row>
    <row r="59" spans="1:83" x14ac:dyDescent="0.2">
      <c r="A59" s="16">
        <v>302322</v>
      </c>
      <c r="B59" s="16" t="s">
        <v>205</v>
      </c>
      <c r="C59" s="16">
        <v>1</v>
      </c>
      <c r="D59" s="16" cm="1">
        <f t="array" ref="D59">IFERROR(INDEX(_xlfn.ANCHORARRAY(_xlfn.XLOOKUP($C59,'-ref_Distribution'!$B$146:$B$150,'-ref_Distribution'!$G$146:$G$150)),RIGHT(D$1,2)),"")</f>
        <v>337</v>
      </c>
      <c r="E59" s="16" cm="1">
        <f t="array" ref="E59">IFERROR(INDEX(_xlfn.ANCHORARRAY(_xlfn.XLOOKUP($C59,'-ref_Distribution'!$B$146:$B$150,'-ref_Distribution'!$G$146:$G$150)),RIGHT(E$1,2)),"")</f>
        <v>364</v>
      </c>
      <c r="F59" s="16" cm="1">
        <f t="array" ref="F59">IFERROR(INDEX(_xlfn.ANCHORARRAY(_xlfn.XLOOKUP($C59,'-ref_Distribution'!$B$146:$B$150,'-ref_Distribution'!$G$146:$G$150)),RIGHT(F$1,2)),"")</f>
        <v>386</v>
      </c>
      <c r="G59" s="16" cm="1">
        <f t="array" ref="G59">IFERROR(INDEX(_xlfn.ANCHORARRAY(_xlfn.XLOOKUP($C59,'-ref_Distribution'!$B$146:$B$150,'-ref_Distribution'!$G$146:$G$150)),RIGHT(G$1,2)),"")</f>
        <v>403</v>
      </c>
      <c r="H59" s="16" cm="1">
        <f t="array" ref="H59">IFERROR(INDEX(_xlfn.ANCHORARRAY(_xlfn.XLOOKUP($C59,'-ref_Distribution'!$B$146:$B$150,'-ref_Distribution'!$G$146:$G$150)),RIGHT(H$1,2)),"")</f>
        <v>414</v>
      </c>
      <c r="I59" s="16" cm="1">
        <f t="array" ref="I59">IFERROR(INDEX(_xlfn.ANCHORARRAY(_xlfn.XLOOKUP($C59,'-ref_Distribution'!$B$146:$B$150,'-ref_Distribution'!$G$146:$G$150)),RIGHT(I$1,2)),"")</f>
        <v>417</v>
      </c>
      <c r="J59" s="16" cm="1">
        <f t="array" ref="J59">IFERROR(INDEX(_xlfn.ANCHORARRAY(_xlfn.XLOOKUP($C59,'-ref_Distribution'!$B$146:$B$150,'-ref_Distribution'!$G$146:$G$150)),RIGHT(J$1,2)),"")</f>
        <v>414</v>
      </c>
      <c r="K59" s="16" cm="1">
        <f t="array" ref="K59">IFERROR(INDEX(_xlfn.ANCHORARRAY(_xlfn.XLOOKUP($C59,'-ref_Distribution'!$B$146:$B$150,'-ref_Distribution'!$G$146:$G$150)),RIGHT(K$1,2)),"")</f>
        <v>403</v>
      </c>
      <c r="L59" s="16" cm="1">
        <f t="array" ref="L59">IFERROR(INDEX(_xlfn.ANCHORARRAY(_xlfn.XLOOKUP($C59,'-ref_Distribution'!$B$146:$B$150,'-ref_Distribution'!$G$146:$G$150)),RIGHT(L$1,2)),"")</f>
        <v>386</v>
      </c>
      <c r="M59" s="16" cm="1">
        <f t="array" ref="M59">IFERROR(INDEX(_xlfn.ANCHORARRAY(_xlfn.XLOOKUP($C59,'-ref_Distribution'!$B$146:$B$150,'-ref_Distribution'!$G$146:$G$150)),RIGHT(M$1,2)),"")</f>
        <v>364</v>
      </c>
      <c r="N59" s="16" cm="1">
        <f t="array" ref="N59">IFERROR(INDEX(_xlfn.ANCHORARRAY(_xlfn.XLOOKUP($C59,'-ref_Distribution'!$B$146:$B$150,'-ref_Distribution'!$G$146:$G$150)),RIGHT(N$1,2)),"")</f>
        <v>337</v>
      </c>
      <c r="O59" s="16" cm="1">
        <f t="array" ref="O59">IFERROR(INDEX(_xlfn.ANCHORARRAY(_xlfn.XLOOKUP($C59,'-ref_Distribution'!$B$146:$B$150,'-ref_Distribution'!$G$146:$G$150)),RIGHT(O$1,2)),"")</f>
        <v>307</v>
      </c>
      <c r="P59" s="16" cm="1">
        <f t="array" ref="P59">IFERROR(INDEX(_xlfn.ANCHORARRAY(_xlfn.XLOOKUP($C59,'-ref_Distribution'!$B$146:$B$150,'-ref_Distribution'!$G$146:$G$150)),RIGHT(P$1,2)),"")</f>
        <v>274</v>
      </c>
      <c r="Q59" s="16" cm="1">
        <f t="array" ref="Q59">IFERROR(INDEX(_xlfn.ANCHORARRAY(_xlfn.XLOOKUP($C59,'-ref_Distribution'!$B$146:$B$150,'-ref_Distribution'!$G$146:$G$150)),RIGHT(Q$1,2)),"")</f>
        <v>241</v>
      </c>
      <c r="R59" s="16" cm="1">
        <f t="array" ref="R59">IFERROR(INDEX(_xlfn.ANCHORARRAY(_xlfn.XLOOKUP($C59,'-ref_Distribution'!$B$146:$B$150,'-ref_Distribution'!$G$146:$G$150)),RIGHT(R$1,2)),"")</f>
        <v>209</v>
      </c>
      <c r="S59" s="16" cm="1">
        <f t="array" ref="S59">IFERROR(INDEX(_xlfn.ANCHORARRAY(_xlfn.XLOOKUP($C59,'-ref_Distribution'!$B$146:$B$150,'-ref_Distribution'!$G$146:$G$150)),RIGHT(S$1,2)),"")</f>
        <v>178</v>
      </c>
      <c r="T59" s="16" cm="1">
        <f t="array" ref="T59">IFERROR(INDEX(_xlfn.ANCHORARRAY(_xlfn.XLOOKUP($C59,'-ref_Distribution'!$B$146:$B$150,'-ref_Distribution'!$G$146:$G$150)),RIGHT(T$1,2)),"")</f>
        <v>148</v>
      </c>
      <c r="U59" s="16" cm="1">
        <f t="array" ref="U59">IFERROR(INDEX(_xlfn.ANCHORARRAY(_xlfn.XLOOKUP($C59,'-ref_Distribution'!$B$146:$B$150,'-ref_Distribution'!$G$146:$G$150)),RIGHT(U$1,2)),"")</f>
        <v>122</v>
      </c>
      <c r="V59" s="16" cm="1">
        <f t="array" ref="V59">IFERROR(INDEX(_xlfn.ANCHORARRAY(_xlfn.XLOOKUP($C59,'-ref_Distribution'!$B$146:$B$150,'-ref_Distribution'!$G$146:$G$150)),RIGHT(V$1,2)),"")</f>
        <v>98</v>
      </c>
      <c r="W59" s="16" cm="1">
        <f t="array" ref="W59">IFERROR(INDEX(_xlfn.ANCHORARRAY(_xlfn.XLOOKUP($C59,'-ref_Distribution'!$B$146:$B$150,'-ref_Distribution'!$G$146:$G$150)),RIGHT(W$1,2)),"")</f>
        <v>78</v>
      </c>
      <c r="X59" s="16" cm="1">
        <f t="array" ref="X59">IFERROR(INDEX(_xlfn.ANCHORARRAY(_xlfn.XLOOKUP($C59,'-ref_Distribution'!$B$146:$B$150,'-ref_Distribution'!$G$146:$G$150)),RIGHT(X$1,2)),"")</f>
        <v>337</v>
      </c>
      <c r="Y59" s="16" cm="1">
        <f t="array" ref="Y59">IFERROR(INDEX(_xlfn.ANCHORARRAY(_xlfn.XLOOKUP($C59,'-ref_Distribution'!$B$146:$B$150,'-ref_Distribution'!$G$146:$G$150)),RIGHT(Y$1,2)),"")</f>
        <v>364</v>
      </c>
      <c r="Z59" s="16" cm="1">
        <f t="array" ref="Z59">IFERROR(INDEX(_xlfn.ANCHORARRAY(_xlfn.XLOOKUP($C59,'-ref_Distribution'!$B$146:$B$150,'-ref_Distribution'!$G$146:$G$150)),RIGHT(Z$1,2)),"")</f>
        <v>386</v>
      </c>
      <c r="AA59" s="16" cm="1">
        <f t="array" ref="AA59">IFERROR(INDEX(_xlfn.ANCHORARRAY(_xlfn.XLOOKUP($C59,'-ref_Distribution'!$B$146:$B$150,'-ref_Distribution'!$G$146:$G$150)),RIGHT(AA$1,2)),"")</f>
        <v>403</v>
      </c>
      <c r="AB59" s="16" cm="1">
        <f t="array" ref="AB59">IFERROR(INDEX(_xlfn.ANCHORARRAY(_xlfn.XLOOKUP($C59,'-ref_Distribution'!$B$146:$B$150,'-ref_Distribution'!$G$146:$G$150)),RIGHT(AB$1,2)),"")</f>
        <v>414</v>
      </c>
      <c r="AC59" s="16" cm="1">
        <f t="array" ref="AC59">IFERROR(INDEX(_xlfn.ANCHORARRAY(_xlfn.XLOOKUP($C59,'-ref_Distribution'!$B$146:$B$150,'-ref_Distribution'!$G$146:$G$150)),RIGHT(AC$1,2)),"")</f>
        <v>417</v>
      </c>
      <c r="AD59" s="16" cm="1">
        <f t="array" ref="AD59">IFERROR(INDEX(_xlfn.ANCHORARRAY(_xlfn.XLOOKUP($C59,'-ref_Distribution'!$B$146:$B$150,'-ref_Distribution'!$G$146:$G$150)),RIGHT(AD$1,2)),"")</f>
        <v>414</v>
      </c>
      <c r="AE59" s="16" cm="1">
        <f t="array" ref="AE59">IFERROR(INDEX(_xlfn.ANCHORARRAY(_xlfn.XLOOKUP($C59,'-ref_Distribution'!$B$146:$B$150,'-ref_Distribution'!$G$146:$G$150)),RIGHT(AE$1,2)),"")</f>
        <v>403</v>
      </c>
      <c r="AF59" s="16" cm="1">
        <f t="array" ref="AF59">IFERROR(INDEX(_xlfn.ANCHORARRAY(_xlfn.XLOOKUP($C59,'-ref_Distribution'!$B$146:$B$150,'-ref_Distribution'!$G$146:$G$150)),RIGHT(AF$1,2)),"")</f>
        <v>386</v>
      </c>
      <c r="AG59" s="16" cm="1">
        <f t="array" ref="AG59">IFERROR(INDEX(_xlfn.ANCHORARRAY(_xlfn.XLOOKUP($C59,'-ref_Distribution'!$B$146:$B$150,'-ref_Distribution'!$G$146:$G$150)),RIGHT(AG$1,2)),"")</f>
        <v>364</v>
      </c>
      <c r="AH59" s="16" cm="1">
        <f t="array" ref="AH59">IFERROR(INDEX(_xlfn.ANCHORARRAY(_xlfn.XLOOKUP($C59,'-ref_Distribution'!$B$146:$B$150,'-ref_Distribution'!$G$146:$G$150)),RIGHT(AH$1,2)),"")</f>
        <v>337</v>
      </c>
      <c r="AI59" s="16" cm="1">
        <f t="array" ref="AI59">IFERROR(INDEX(_xlfn.ANCHORARRAY(_xlfn.XLOOKUP($C59,'-ref_Distribution'!$B$146:$B$150,'-ref_Distribution'!$G$146:$G$150)),RIGHT(AI$1,2)),"")</f>
        <v>307</v>
      </c>
      <c r="AJ59" s="16" cm="1">
        <f t="array" ref="AJ59">IFERROR(INDEX(_xlfn.ANCHORARRAY(_xlfn.XLOOKUP($C59,'-ref_Distribution'!$B$146:$B$150,'-ref_Distribution'!$G$146:$G$150)),RIGHT(AJ$1,2)),"")</f>
        <v>274</v>
      </c>
      <c r="AK59" s="16" cm="1">
        <f t="array" ref="AK59">IFERROR(INDEX(_xlfn.ANCHORARRAY(_xlfn.XLOOKUP($C59,'-ref_Distribution'!$B$146:$B$150,'-ref_Distribution'!$G$146:$G$150)),RIGHT(AK$1,2)),"")</f>
        <v>241</v>
      </c>
      <c r="AL59" s="16" cm="1">
        <f t="array" ref="AL59">IFERROR(INDEX(_xlfn.ANCHORARRAY(_xlfn.XLOOKUP($C59,'-ref_Distribution'!$B$146:$B$150,'-ref_Distribution'!$G$146:$G$150)),RIGHT(AL$1,2)),"")</f>
        <v>209</v>
      </c>
      <c r="AM59" s="16" cm="1">
        <f t="array" ref="AM59">IFERROR(INDEX(_xlfn.ANCHORARRAY(_xlfn.XLOOKUP($C59,'-ref_Distribution'!$B$146:$B$150,'-ref_Distribution'!$G$146:$G$150)),RIGHT(AM$1,2)),"")</f>
        <v>178</v>
      </c>
      <c r="AN59" s="16" cm="1">
        <f t="array" ref="AN59">IFERROR(INDEX(_xlfn.ANCHORARRAY(_xlfn.XLOOKUP($C59,'-ref_Distribution'!$B$146:$B$150,'-ref_Distribution'!$G$146:$G$150)),RIGHT(AN$1,2)),"")</f>
        <v>148</v>
      </c>
      <c r="AO59" s="16" cm="1">
        <f t="array" ref="AO59">IFERROR(INDEX(_xlfn.ANCHORARRAY(_xlfn.XLOOKUP($C59,'-ref_Distribution'!$B$146:$B$150,'-ref_Distribution'!$G$146:$G$150)),RIGHT(AO$1,2)),"")</f>
        <v>122</v>
      </c>
      <c r="AP59" s="16" cm="1">
        <f t="array" ref="AP59">IFERROR(INDEX(_xlfn.ANCHORARRAY(_xlfn.XLOOKUP($C59,'-ref_Distribution'!$B$146:$B$150,'-ref_Distribution'!$G$146:$G$150)),RIGHT(AP$1,2)),"")</f>
        <v>98</v>
      </c>
      <c r="AQ59" s="16" cm="1">
        <f t="array" ref="AQ59">IFERROR(INDEX(_xlfn.ANCHORARRAY(_xlfn.XLOOKUP($C59,'-ref_Distribution'!$B$146:$B$150,'-ref_Distribution'!$G$146:$G$150)),RIGHT(AQ$1,2)),"")</f>
        <v>78</v>
      </c>
      <c r="AR59" s="16" cm="1">
        <f t="array" ref="AR59">IFERROR(INDEX(_xlfn.ANCHORARRAY(_xlfn.XLOOKUP($C59,'-ref_Distribution'!$B$146:$B$150,'-ref_Distribution'!$G$146:$G$150)),RIGHT(AR$1,2)),"")</f>
        <v>337</v>
      </c>
      <c r="AS59" s="16" cm="1">
        <f t="array" ref="AS59">IFERROR(INDEX(_xlfn.ANCHORARRAY(_xlfn.XLOOKUP($C59,'-ref_Distribution'!$B$146:$B$150,'-ref_Distribution'!$G$146:$G$150)),RIGHT(AS$1,2)),"")</f>
        <v>364</v>
      </c>
      <c r="AT59" s="16" cm="1">
        <f t="array" ref="AT59">IFERROR(INDEX(_xlfn.ANCHORARRAY(_xlfn.XLOOKUP($C59,'-ref_Distribution'!$B$146:$B$150,'-ref_Distribution'!$G$146:$G$150)),RIGHT(AT$1,2)),"")</f>
        <v>386</v>
      </c>
      <c r="AU59" s="16" cm="1">
        <f t="array" ref="AU59">IFERROR(INDEX(_xlfn.ANCHORARRAY(_xlfn.XLOOKUP($C59,'-ref_Distribution'!$B$146:$B$150,'-ref_Distribution'!$G$146:$G$150)),RIGHT(AU$1,2)),"")</f>
        <v>403</v>
      </c>
      <c r="AV59" s="16" cm="1">
        <f t="array" ref="AV59">IFERROR(INDEX(_xlfn.ANCHORARRAY(_xlfn.XLOOKUP($C59,'-ref_Distribution'!$B$146:$B$150,'-ref_Distribution'!$G$146:$G$150)),RIGHT(AV$1,2)),"")</f>
        <v>414</v>
      </c>
      <c r="AW59" s="16" cm="1">
        <f t="array" ref="AW59">IFERROR(INDEX(_xlfn.ANCHORARRAY(_xlfn.XLOOKUP($C59,'-ref_Distribution'!$B$146:$B$150,'-ref_Distribution'!$G$146:$G$150)),RIGHT(AW$1,2)),"")</f>
        <v>417</v>
      </c>
      <c r="AX59" s="16" cm="1">
        <f t="array" ref="AX59">IFERROR(INDEX(_xlfn.ANCHORARRAY(_xlfn.XLOOKUP($C59,'-ref_Distribution'!$B$146:$B$150,'-ref_Distribution'!$G$146:$G$150)),RIGHT(AX$1,2)),"")</f>
        <v>414</v>
      </c>
      <c r="AY59" s="16" cm="1">
        <f t="array" ref="AY59">IFERROR(INDEX(_xlfn.ANCHORARRAY(_xlfn.XLOOKUP($C59,'-ref_Distribution'!$B$146:$B$150,'-ref_Distribution'!$G$146:$G$150)),RIGHT(AY$1,2)),"")</f>
        <v>403</v>
      </c>
      <c r="AZ59" s="16" cm="1">
        <f t="array" ref="AZ59">IFERROR(INDEX(_xlfn.ANCHORARRAY(_xlfn.XLOOKUP($C59,'-ref_Distribution'!$B$146:$B$150,'-ref_Distribution'!$G$146:$G$150)),RIGHT(AZ$1,2)),"")</f>
        <v>386</v>
      </c>
      <c r="BA59" s="16" cm="1">
        <f t="array" ref="BA59">IFERROR(INDEX(_xlfn.ANCHORARRAY(_xlfn.XLOOKUP($C59,'-ref_Distribution'!$B$146:$B$150,'-ref_Distribution'!$G$146:$G$150)),RIGHT(BA$1,2)),"")</f>
        <v>364</v>
      </c>
      <c r="BB59" s="16" cm="1">
        <f t="array" ref="BB59">IFERROR(INDEX(_xlfn.ANCHORARRAY(_xlfn.XLOOKUP($C59,'-ref_Distribution'!$B$146:$B$150,'-ref_Distribution'!$G$146:$G$150)),RIGHT(BB$1,2)),"")</f>
        <v>337</v>
      </c>
      <c r="BC59" s="16" cm="1">
        <f t="array" ref="BC59">IFERROR(INDEX(_xlfn.ANCHORARRAY(_xlfn.XLOOKUP($C59,'-ref_Distribution'!$B$146:$B$150,'-ref_Distribution'!$G$146:$G$150)),RIGHT(BC$1,2)),"")</f>
        <v>307</v>
      </c>
      <c r="BD59" s="16" cm="1">
        <f t="array" ref="BD59">IFERROR(INDEX(_xlfn.ANCHORARRAY(_xlfn.XLOOKUP($C59,'-ref_Distribution'!$B$146:$B$150,'-ref_Distribution'!$G$146:$G$150)),RIGHT(BD$1,2)),"")</f>
        <v>274</v>
      </c>
      <c r="BE59" s="16" cm="1">
        <f t="array" ref="BE59">IFERROR(INDEX(_xlfn.ANCHORARRAY(_xlfn.XLOOKUP($C59,'-ref_Distribution'!$B$146:$B$150,'-ref_Distribution'!$G$146:$G$150)),RIGHT(BE$1,2)),"")</f>
        <v>241</v>
      </c>
      <c r="BF59" s="16" cm="1">
        <f t="array" ref="BF59">IFERROR(INDEX(_xlfn.ANCHORARRAY(_xlfn.XLOOKUP($C59,'-ref_Distribution'!$B$146:$B$150,'-ref_Distribution'!$G$146:$G$150)),RIGHT(BF$1,2)),"")</f>
        <v>209</v>
      </c>
      <c r="BG59" s="16" cm="1">
        <f t="array" ref="BG59">IFERROR(INDEX(_xlfn.ANCHORARRAY(_xlfn.XLOOKUP($C59,'-ref_Distribution'!$B$146:$B$150,'-ref_Distribution'!$G$146:$G$150)),RIGHT(BG$1,2)),"")</f>
        <v>178</v>
      </c>
      <c r="BH59" s="16" cm="1">
        <f t="array" ref="BH59">IFERROR(INDEX(_xlfn.ANCHORARRAY(_xlfn.XLOOKUP($C59,'-ref_Distribution'!$B$146:$B$150,'-ref_Distribution'!$G$146:$G$150)),RIGHT(BH$1,2)),"")</f>
        <v>148</v>
      </c>
      <c r="BI59" s="16" cm="1">
        <f t="array" ref="BI59">IFERROR(INDEX(_xlfn.ANCHORARRAY(_xlfn.XLOOKUP($C59,'-ref_Distribution'!$B$146:$B$150,'-ref_Distribution'!$G$146:$G$150)),RIGHT(BI$1,2)),"")</f>
        <v>122</v>
      </c>
      <c r="BJ59" s="16" cm="1">
        <f t="array" ref="BJ59">IFERROR(INDEX(_xlfn.ANCHORARRAY(_xlfn.XLOOKUP($C59,'-ref_Distribution'!$B$146:$B$150,'-ref_Distribution'!$G$146:$G$150)),RIGHT(BJ$1,2)),"")</f>
        <v>98</v>
      </c>
      <c r="BK59" s="16" cm="1">
        <f t="array" ref="BK59">IFERROR(INDEX(_xlfn.ANCHORARRAY(_xlfn.XLOOKUP($C59,'-ref_Distribution'!$B$146:$B$150,'-ref_Distribution'!$G$146:$G$150)),RIGHT(BK$1,2)),"")</f>
        <v>78</v>
      </c>
      <c r="BL59" s="16" cm="1">
        <f t="array" ref="BL59">IFERROR(INDEX(_xlfn.ANCHORARRAY(_xlfn.XLOOKUP($C59,'-ref_Distribution'!$B$146:$B$150,'-ref_Distribution'!$G$146:$G$150)),RIGHT(BL$1,2)),"")</f>
        <v>337</v>
      </c>
      <c r="BM59" s="16" cm="1">
        <f t="array" ref="BM59">IFERROR(INDEX(_xlfn.ANCHORARRAY(_xlfn.XLOOKUP($C59,'-ref_Distribution'!$B$146:$B$150,'-ref_Distribution'!$G$146:$G$150)),RIGHT(BM$1,2)),"")</f>
        <v>364</v>
      </c>
      <c r="BN59" s="16" cm="1">
        <f t="array" ref="BN59">IFERROR(INDEX(_xlfn.ANCHORARRAY(_xlfn.XLOOKUP($C59,'-ref_Distribution'!$B$146:$B$150,'-ref_Distribution'!$G$146:$G$150)),RIGHT(BN$1,2)),"")</f>
        <v>386</v>
      </c>
      <c r="BO59" s="16" cm="1">
        <f t="array" ref="BO59">IFERROR(INDEX(_xlfn.ANCHORARRAY(_xlfn.XLOOKUP($C59,'-ref_Distribution'!$B$146:$B$150,'-ref_Distribution'!$G$146:$G$150)),RIGHT(BO$1,2)),"")</f>
        <v>403</v>
      </c>
      <c r="BP59" s="16" cm="1">
        <f t="array" ref="BP59">IFERROR(INDEX(_xlfn.ANCHORARRAY(_xlfn.XLOOKUP($C59,'-ref_Distribution'!$B$146:$B$150,'-ref_Distribution'!$G$146:$G$150)),RIGHT(BP$1,2)),"")</f>
        <v>414</v>
      </c>
      <c r="BQ59" s="16" cm="1">
        <f t="array" ref="BQ59">IFERROR(INDEX(_xlfn.ANCHORARRAY(_xlfn.XLOOKUP($C59,'-ref_Distribution'!$B$146:$B$150,'-ref_Distribution'!$G$146:$G$150)),RIGHT(BQ$1,2)),"")</f>
        <v>417</v>
      </c>
      <c r="BR59" s="16" cm="1">
        <f t="array" ref="BR59">IFERROR(INDEX(_xlfn.ANCHORARRAY(_xlfn.XLOOKUP($C59,'-ref_Distribution'!$B$146:$B$150,'-ref_Distribution'!$G$146:$G$150)),RIGHT(BR$1,2)),"")</f>
        <v>414</v>
      </c>
      <c r="BS59" s="16" cm="1">
        <f t="array" ref="BS59">IFERROR(INDEX(_xlfn.ANCHORARRAY(_xlfn.XLOOKUP($C59,'-ref_Distribution'!$B$146:$B$150,'-ref_Distribution'!$G$146:$G$150)),RIGHT(BS$1,2)),"")</f>
        <v>403</v>
      </c>
      <c r="BT59" s="16" cm="1">
        <f t="array" ref="BT59">IFERROR(INDEX(_xlfn.ANCHORARRAY(_xlfn.XLOOKUP($C59,'-ref_Distribution'!$B$146:$B$150,'-ref_Distribution'!$G$146:$G$150)),RIGHT(BT$1,2)),"")</f>
        <v>386</v>
      </c>
      <c r="BU59" s="16" cm="1">
        <f t="array" ref="BU59">IFERROR(INDEX(_xlfn.ANCHORARRAY(_xlfn.XLOOKUP($C59,'-ref_Distribution'!$B$146:$B$150,'-ref_Distribution'!$G$146:$G$150)),RIGHT(BU$1,2)),"")</f>
        <v>364</v>
      </c>
      <c r="BV59" s="16" cm="1">
        <f t="array" ref="BV59">IFERROR(INDEX(_xlfn.ANCHORARRAY(_xlfn.XLOOKUP($C59,'-ref_Distribution'!$B$146:$B$150,'-ref_Distribution'!$G$146:$G$150)),RIGHT(BV$1,2)),"")</f>
        <v>337</v>
      </c>
      <c r="BW59" s="16" cm="1">
        <f t="array" ref="BW59">IFERROR(INDEX(_xlfn.ANCHORARRAY(_xlfn.XLOOKUP($C59,'-ref_Distribution'!$B$146:$B$150,'-ref_Distribution'!$G$146:$G$150)),RIGHT(BW$1,2)),"")</f>
        <v>307</v>
      </c>
      <c r="BX59" s="16" cm="1">
        <f t="array" ref="BX59">IFERROR(INDEX(_xlfn.ANCHORARRAY(_xlfn.XLOOKUP($C59,'-ref_Distribution'!$B$146:$B$150,'-ref_Distribution'!$G$146:$G$150)),RIGHT(BX$1,2)),"")</f>
        <v>274</v>
      </c>
      <c r="BY59" s="16" cm="1">
        <f t="array" ref="BY59">IFERROR(INDEX(_xlfn.ANCHORARRAY(_xlfn.XLOOKUP($C59,'-ref_Distribution'!$B$146:$B$150,'-ref_Distribution'!$G$146:$G$150)),RIGHT(BY$1,2)),"")</f>
        <v>241</v>
      </c>
      <c r="BZ59" s="16" cm="1">
        <f t="array" ref="BZ59">IFERROR(INDEX(_xlfn.ANCHORARRAY(_xlfn.XLOOKUP($C59,'-ref_Distribution'!$B$146:$B$150,'-ref_Distribution'!$G$146:$G$150)),RIGHT(BZ$1,2)),"")</f>
        <v>209</v>
      </c>
      <c r="CA59" s="16" cm="1">
        <f t="array" ref="CA59">IFERROR(INDEX(_xlfn.ANCHORARRAY(_xlfn.XLOOKUP($C59,'-ref_Distribution'!$B$146:$B$150,'-ref_Distribution'!$G$146:$G$150)),RIGHT(CA$1,2)),"")</f>
        <v>178</v>
      </c>
      <c r="CB59" s="16" cm="1">
        <f t="array" ref="CB59">IFERROR(INDEX(_xlfn.ANCHORARRAY(_xlfn.XLOOKUP($C59,'-ref_Distribution'!$B$146:$B$150,'-ref_Distribution'!$G$146:$G$150)),RIGHT(CB$1,2)),"")</f>
        <v>148</v>
      </c>
      <c r="CC59" s="16" cm="1">
        <f t="array" ref="CC59">IFERROR(INDEX(_xlfn.ANCHORARRAY(_xlfn.XLOOKUP($C59,'-ref_Distribution'!$B$146:$B$150,'-ref_Distribution'!$G$146:$G$150)),RIGHT(CC$1,2)),"")</f>
        <v>122</v>
      </c>
      <c r="CD59" s="16" cm="1">
        <f t="array" ref="CD59">IFERROR(INDEX(_xlfn.ANCHORARRAY(_xlfn.XLOOKUP($C59,'-ref_Distribution'!$B$146:$B$150,'-ref_Distribution'!$G$146:$G$150)),RIGHT(CD$1,2)),"")</f>
        <v>98</v>
      </c>
      <c r="CE59" s="16" cm="1">
        <f t="array" ref="CE59">IFERROR(INDEX(_xlfn.ANCHORARRAY(_xlfn.XLOOKUP($C59,'-ref_Distribution'!$B$146:$B$150,'-ref_Distribution'!$G$146:$G$150)),RIGHT(CE$1,2)),"")</f>
        <v>78</v>
      </c>
    </row>
    <row r="60" spans="1:83" x14ac:dyDescent="0.2">
      <c r="A60" s="16">
        <v>302323</v>
      </c>
      <c r="B60" s="16" t="s">
        <v>205</v>
      </c>
      <c r="C60" s="16">
        <v>2</v>
      </c>
      <c r="D60" s="16" cm="1">
        <f t="array" ref="D60">IFERROR(INDEX(_xlfn.ANCHORARRAY(_xlfn.XLOOKUP($C60,'-ref_Distribution'!$B$146:$B$150,'-ref_Distribution'!$G$146:$G$150)),RIGHT(D$1,2)),"")</f>
        <v>75</v>
      </c>
      <c r="E60" s="16" cm="1">
        <f t="array" ref="E60">IFERROR(INDEX(_xlfn.ANCHORARRAY(_xlfn.XLOOKUP($C60,'-ref_Distribution'!$B$146:$B$150,'-ref_Distribution'!$G$146:$G$150)),RIGHT(E$1,2)),"")</f>
        <v>94</v>
      </c>
      <c r="F60" s="16" cm="1">
        <f t="array" ref="F60">IFERROR(INDEX(_xlfn.ANCHORARRAY(_xlfn.XLOOKUP($C60,'-ref_Distribution'!$B$146:$B$150,'-ref_Distribution'!$G$146:$G$150)),RIGHT(F$1,2)),"")</f>
        <v>115</v>
      </c>
      <c r="G60" s="16" cm="1">
        <f t="array" ref="G60">IFERROR(INDEX(_xlfn.ANCHORARRAY(_xlfn.XLOOKUP($C60,'-ref_Distribution'!$B$146:$B$150,'-ref_Distribution'!$G$146:$G$150)),RIGHT(G$1,2)),"")</f>
        <v>137</v>
      </c>
      <c r="H60" s="16" cm="1">
        <f t="array" ref="H60">IFERROR(INDEX(_xlfn.ANCHORARRAY(_xlfn.XLOOKUP($C60,'-ref_Distribution'!$B$146:$B$150,'-ref_Distribution'!$G$146:$G$150)),RIGHT(H$1,2)),"")</f>
        <v>160</v>
      </c>
      <c r="I60" s="16" cm="1">
        <f t="array" ref="I60">IFERROR(INDEX(_xlfn.ANCHORARRAY(_xlfn.XLOOKUP($C60,'-ref_Distribution'!$B$146:$B$150,'-ref_Distribution'!$G$146:$G$150)),RIGHT(I$1,2)),"")</f>
        <v>183</v>
      </c>
      <c r="J60" s="16" cm="1">
        <f t="array" ref="J60">IFERROR(INDEX(_xlfn.ANCHORARRAY(_xlfn.XLOOKUP($C60,'-ref_Distribution'!$B$146:$B$150,'-ref_Distribution'!$G$146:$G$150)),RIGHT(J$1,2)),"")</f>
        <v>203</v>
      </c>
      <c r="K60" s="16" cm="1">
        <f t="array" ref="K60">IFERROR(INDEX(_xlfn.ANCHORARRAY(_xlfn.XLOOKUP($C60,'-ref_Distribution'!$B$146:$B$150,'-ref_Distribution'!$G$146:$G$150)),RIGHT(K$1,2)),"")</f>
        <v>221</v>
      </c>
      <c r="L60" s="16" cm="1">
        <f t="array" ref="L60">IFERROR(INDEX(_xlfn.ANCHORARRAY(_xlfn.XLOOKUP($C60,'-ref_Distribution'!$B$146:$B$150,'-ref_Distribution'!$G$146:$G$150)),RIGHT(L$1,2)),"")</f>
        <v>234</v>
      </c>
      <c r="M60" s="16" cm="1">
        <f t="array" ref="M60">IFERROR(INDEX(_xlfn.ANCHORARRAY(_xlfn.XLOOKUP($C60,'-ref_Distribution'!$B$146:$B$150,'-ref_Distribution'!$G$146:$G$150)),RIGHT(M$1,2)),"")</f>
        <v>243</v>
      </c>
      <c r="N60" s="16" cm="1">
        <f t="array" ref="N60">IFERROR(INDEX(_xlfn.ANCHORARRAY(_xlfn.XLOOKUP($C60,'-ref_Distribution'!$B$146:$B$150,'-ref_Distribution'!$G$146:$G$150)),RIGHT(N$1,2)),"")</f>
        <v>245</v>
      </c>
      <c r="O60" s="16" cm="1">
        <f t="array" ref="O60">IFERROR(INDEX(_xlfn.ANCHORARRAY(_xlfn.XLOOKUP($C60,'-ref_Distribution'!$B$146:$B$150,'-ref_Distribution'!$G$146:$G$150)),RIGHT(O$1,2)),"")</f>
        <v>243</v>
      </c>
      <c r="P60" s="16" cm="1">
        <f t="array" ref="P60">IFERROR(INDEX(_xlfn.ANCHORARRAY(_xlfn.XLOOKUP($C60,'-ref_Distribution'!$B$146:$B$150,'-ref_Distribution'!$G$146:$G$150)),RIGHT(P$1,2)),"")</f>
        <v>234</v>
      </c>
      <c r="Q60" s="16" cm="1">
        <f t="array" ref="Q60">IFERROR(INDEX(_xlfn.ANCHORARRAY(_xlfn.XLOOKUP($C60,'-ref_Distribution'!$B$146:$B$150,'-ref_Distribution'!$G$146:$G$150)),RIGHT(Q$1,2)),"")</f>
        <v>221</v>
      </c>
      <c r="R60" s="16" cm="1">
        <f t="array" ref="R60">IFERROR(INDEX(_xlfn.ANCHORARRAY(_xlfn.XLOOKUP($C60,'-ref_Distribution'!$B$146:$B$150,'-ref_Distribution'!$G$146:$G$150)),RIGHT(R$1,2)),"")</f>
        <v>203</v>
      </c>
      <c r="S60" s="16" cm="1">
        <f t="array" ref="S60">IFERROR(INDEX(_xlfn.ANCHORARRAY(_xlfn.XLOOKUP($C60,'-ref_Distribution'!$B$146:$B$150,'-ref_Distribution'!$G$146:$G$150)),RIGHT(S$1,2)),"")</f>
        <v>183</v>
      </c>
      <c r="T60" s="16" cm="1">
        <f t="array" ref="T60">IFERROR(INDEX(_xlfn.ANCHORARRAY(_xlfn.XLOOKUP($C60,'-ref_Distribution'!$B$146:$B$150,'-ref_Distribution'!$G$146:$G$150)),RIGHT(T$1,2)),"")</f>
        <v>160</v>
      </c>
      <c r="U60" s="16" cm="1">
        <f t="array" ref="U60">IFERROR(INDEX(_xlfn.ANCHORARRAY(_xlfn.XLOOKUP($C60,'-ref_Distribution'!$B$146:$B$150,'-ref_Distribution'!$G$146:$G$150)),RIGHT(U$1,2)),"")</f>
        <v>137</v>
      </c>
      <c r="V60" s="16" cm="1">
        <f t="array" ref="V60">IFERROR(INDEX(_xlfn.ANCHORARRAY(_xlfn.XLOOKUP($C60,'-ref_Distribution'!$B$146:$B$150,'-ref_Distribution'!$G$146:$G$150)),RIGHT(V$1,2)),"")</f>
        <v>115</v>
      </c>
      <c r="W60" s="16" cm="1">
        <f t="array" ref="W60">IFERROR(INDEX(_xlfn.ANCHORARRAY(_xlfn.XLOOKUP($C60,'-ref_Distribution'!$B$146:$B$150,'-ref_Distribution'!$G$146:$G$150)),RIGHT(W$1,2)),"")</f>
        <v>94</v>
      </c>
      <c r="X60" s="16" cm="1">
        <f t="array" ref="X60">IFERROR(INDEX(_xlfn.ANCHORARRAY(_xlfn.XLOOKUP($C60,'-ref_Distribution'!$B$146:$B$150,'-ref_Distribution'!$G$146:$G$150)),RIGHT(X$1,2)),"")</f>
        <v>75</v>
      </c>
      <c r="Y60" s="16" cm="1">
        <f t="array" ref="Y60">IFERROR(INDEX(_xlfn.ANCHORARRAY(_xlfn.XLOOKUP($C60,'-ref_Distribution'!$B$146:$B$150,'-ref_Distribution'!$G$146:$G$150)),RIGHT(Y$1,2)),"")</f>
        <v>94</v>
      </c>
      <c r="Z60" s="16" cm="1">
        <f t="array" ref="Z60">IFERROR(INDEX(_xlfn.ANCHORARRAY(_xlfn.XLOOKUP($C60,'-ref_Distribution'!$B$146:$B$150,'-ref_Distribution'!$G$146:$G$150)),RIGHT(Z$1,2)),"")</f>
        <v>115</v>
      </c>
      <c r="AA60" s="16" cm="1">
        <f t="array" ref="AA60">IFERROR(INDEX(_xlfn.ANCHORARRAY(_xlfn.XLOOKUP($C60,'-ref_Distribution'!$B$146:$B$150,'-ref_Distribution'!$G$146:$G$150)),RIGHT(AA$1,2)),"")</f>
        <v>137</v>
      </c>
      <c r="AB60" s="16" cm="1">
        <f t="array" ref="AB60">IFERROR(INDEX(_xlfn.ANCHORARRAY(_xlfn.XLOOKUP($C60,'-ref_Distribution'!$B$146:$B$150,'-ref_Distribution'!$G$146:$G$150)),RIGHT(AB$1,2)),"")</f>
        <v>160</v>
      </c>
      <c r="AC60" s="16" cm="1">
        <f t="array" ref="AC60">IFERROR(INDEX(_xlfn.ANCHORARRAY(_xlfn.XLOOKUP($C60,'-ref_Distribution'!$B$146:$B$150,'-ref_Distribution'!$G$146:$G$150)),RIGHT(AC$1,2)),"")</f>
        <v>183</v>
      </c>
      <c r="AD60" s="16" cm="1">
        <f t="array" ref="AD60">IFERROR(INDEX(_xlfn.ANCHORARRAY(_xlfn.XLOOKUP($C60,'-ref_Distribution'!$B$146:$B$150,'-ref_Distribution'!$G$146:$G$150)),RIGHT(AD$1,2)),"")</f>
        <v>203</v>
      </c>
      <c r="AE60" s="16" cm="1">
        <f t="array" ref="AE60">IFERROR(INDEX(_xlfn.ANCHORARRAY(_xlfn.XLOOKUP($C60,'-ref_Distribution'!$B$146:$B$150,'-ref_Distribution'!$G$146:$G$150)),RIGHT(AE$1,2)),"")</f>
        <v>221</v>
      </c>
      <c r="AF60" s="16" cm="1">
        <f t="array" ref="AF60">IFERROR(INDEX(_xlfn.ANCHORARRAY(_xlfn.XLOOKUP($C60,'-ref_Distribution'!$B$146:$B$150,'-ref_Distribution'!$G$146:$G$150)),RIGHT(AF$1,2)),"")</f>
        <v>234</v>
      </c>
      <c r="AG60" s="16" cm="1">
        <f t="array" ref="AG60">IFERROR(INDEX(_xlfn.ANCHORARRAY(_xlfn.XLOOKUP($C60,'-ref_Distribution'!$B$146:$B$150,'-ref_Distribution'!$G$146:$G$150)),RIGHT(AG$1,2)),"")</f>
        <v>243</v>
      </c>
      <c r="AH60" s="16" cm="1">
        <f t="array" ref="AH60">IFERROR(INDEX(_xlfn.ANCHORARRAY(_xlfn.XLOOKUP($C60,'-ref_Distribution'!$B$146:$B$150,'-ref_Distribution'!$G$146:$G$150)),RIGHT(AH$1,2)),"")</f>
        <v>245</v>
      </c>
      <c r="AI60" s="16" cm="1">
        <f t="array" ref="AI60">IFERROR(INDEX(_xlfn.ANCHORARRAY(_xlfn.XLOOKUP($C60,'-ref_Distribution'!$B$146:$B$150,'-ref_Distribution'!$G$146:$G$150)),RIGHT(AI$1,2)),"")</f>
        <v>243</v>
      </c>
      <c r="AJ60" s="16" cm="1">
        <f t="array" ref="AJ60">IFERROR(INDEX(_xlfn.ANCHORARRAY(_xlfn.XLOOKUP($C60,'-ref_Distribution'!$B$146:$B$150,'-ref_Distribution'!$G$146:$G$150)),RIGHT(AJ$1,2)),"")</f>
        <v>234</v>
      </c>
      <c r="AK60" s="16" cm="1">
        <f t="array" ref="AK60">IFERROR(INDEX(_xlfn.ANCHORARRAY(_xlfn.XLOOKUP($C60,'-ref_Distribution'!$B$146:$B$150,'-ref_Distribution'!$G$146:$G$150)),RIGHT(AK$1,2)),"")</f>
        <v>221</v>
      </c>
      <c r="AL60" s="16" cm="1">
        <f t="array" ref="AL60">IFERROR(INDEX(_xlfn.ANCHORARRAY(_xlfn.XLOOKUP($C60,'-ref_Distribution'!$B$146:$B$150,'-ref_Distribution'!$G$146:$G$150)),RIGHT(AL$1,2)),"")</f>
        <v>203</v>
      </c>
      <c r="AM60" s="16" cm="1">
        <f t="array" ref="AM60">IFERROR(INDEX(_xlfn.ANCHORARRAY(_xlfn.XLOOKUP($C60,'-ref_Distribution'!$B$146:$B$150,'-ref_Distribution'!$G$146:$G$150)),RIGHT(AM$1,2)),"")</f>
        <v>183</v>
      </c>
      <c r="AN60" s="16" cm="1">
        <f t="array" ref="AN60">IFERROR(INDEX(_xlfn.ANCHORARRAY(_xlfn.XLOOKUP($C60,'-ref_Distribution'!$B$146:$B$150,'-ref_Distribution'!$G$146:$G$150)),RIGHT(AN$1,2)),"")</f>
        <v>160</v>
      </c>
      <c r="AO60" s="16" cm="1">
        <f t="array" ref="AO60">IFERROR(INDEX(_xlfn.ANCHORARRAY(_xlfn.XLOOKUP($C60,'-ref_Distribution'!$B$146:$B$150,'-ref_Distribution'!$G$146:$G$150)),RIGHT(AO$1,2)),"")</f>
        <v>137</v>
      </c>
      <c r="AP60" s="16" cm="1">
        <f t="array" ref="AP60">IFERROR(INDEX(_xlfn.ANCHORARRAY(_xlfn.XLOOKUP($C60,'-ref_Distribution'!$B$146:$B$150,'-ref_Distribution'!$G$146:$G$150)),RIGHT(AP$1,2)),"")</f>
        <v>115</v>
      </c>
      <c r="AQ60" s="16" cm="1">
        <f t="array" ref="AQ60">IFERROR(INDEX(_xlfn.ANCHORARRAY(_xlfn.XLOOKUP($C60,'-ref_Distribution'!$B$146:$B$150,'-ref_Distribution'!$G$146:$G$150)),RIGHT(AQ$1,2)),"")</f>
        <v>94</v>
      </c>
      <c r="AR60" s="16" cm="1">
        <f t="array" ref="AR60">IFERROR(INDEX(_xlfn.ANCHORARRAY(_xlfn.XLOOKUP($C60,'-ref_Distribution'!$B$146:$B$150,'-ref_Distribution'!$G$146:$G$150)),RIGHT(AR$1,2)),"")</f>
        <v>75</v>
      </c>
      <c r="AS60" s="16" cm="1">
        <f t="array" ref="AS60">IFERROR(INDEX(_xlfn.ANCHORARRAY(_xlfn.XLOOKUP($C60,'-ref_Distribution'!$B$146:$B$150,'-ref_Distribution'!$G$146:$G$150)),RIGHT(AS$1,2)),"")</f>
        <v>94</v>
      </c>
      <c r="AT60" s="16" cm="1">
        <f t="array" ref="AT60">IFERROR(INDEX(_xlfn.ANCHORARRAY(_xlfn.XLOOKUP($C60,'-ref_Distribution'!$B$146:$B$150,'-ref_Distribution'!$G$146:$G$150)),RIGHT(AT$1,2)),"")</f>
        <v>115</v>
      </c>
      <c r="AU60" s="16" cm="1">
        <f t="array" ref="AU60">IFERROR(INDEX(_xlfn.ANCHORARRAY(_xlfn.XLOOKUP($C60,'-ref_Distribution'!$B$146:$B$150,'-ref_Distribution'!$G$146:$G$150)),RIGHT(AU$1,2)),"")</f>
        <v>137</v>
      </c>
      <c r="AV60" s="16" cm="1">
        <f t="array" ref="AV60">IFERROR(INDEX(_xlfn.ANCHORARRAY(_xlfn.XLOOKUP($C60,'-ref_Distribution'!$B$146:$B$150,'-ref_Distribution'!$G$146:$G$150)),RIGHT(AV$1,2)),"")</f>
        <v>160</v>
      </c>
      <c r="AW60" s="16" cm="1">
        <f t="array" ref="AW60">IFERROR(INDEX(_xlfn.ANCHORARRAY(_xlfn.XLOOKUP($C60,'-ref_Distribution'!$B$146:$B$150,'-ref_Distribution'!$G$146:$G$150)),RIGHT(AW$1,2)),"")</f>
        <v>183</v>
      </c>
      <c r="AX60" s="16" cm="1">
        <f t="array" ref="AX60">IFERROR(INDEX(_xlfn.ANCHORARRAY(_xlfn.XLOOKUP($C60,'-ref_Distribution'!$B$146:$B$150,'-ref_Distribution'!$G$146:$G$150)),RIGHT(AX$1,2)),"")</f>
        <v>203</v>
      </c>
      <c r="AY60" s="16" cm="1">
        <f t="array" ref="AY60">IFERROR(INDEX(_xlfn.ANCHORARRAY(_xlfn.XLOOKUP($C60,'-ref_Distribution'!$B$146:$B$150,'-ref_Distribution'!$G$146:$G$150)),RIGHT(AY$1,2)),"")</f>
        <v>221</v>
      </c>
      <c r="AZ60" s="16" cm="1">
        <f t="array" ref="AZ60">IFERROR(INDEX(_xlfn.ANCHORARRAY(_xlfn.XLOOKUP($C60,'-ref_Distribution'!$B$146:$B$150,'-ref_Distribution'!$G$146:$G$150)),RIGHT(AZ$1,2)),"")</f>
        <v>234</v>
      </c>
      <c r="BA60" s="16" cm="1">
        <f t="array" ref="BA60">IFERROR(INDEX(_xlfn.ANCHORARRAY(_xlfn.XLOOKUP($C60,'-ref_Distribution'!$B$146:$B$150,'-ref_Distribution'!$G$146:$G$150)),RIGHT(BA$1,2)),"")</f>
        <v>243</v>
      </c>
      <c r="BB60" s="16" cm="1">
        <f t="array" ref="BB60">IFERROR(INDEX(_xlfn.ANCHORARRAY(_xlfn.XLOOKUP($C60,'-ref_Distribution'!$B$146:$B$150,'-ref_Distribution'!$G$146:$G$150)),RIGHT(BB$1,2)),"")</f>
        <v>245</v>
      </c>
      <c r="BC60" s="16" cm="1">
        <f t="array" ref="BC60">IFERROR(INDEX(_xlfn.ANCHORARRAY(_xlfn.XLOOKUP($C60,'-ref_Distribution'!$B$146:$B$150,'-ref_Distribution'!$G$146:$G$150)),RIGHT(BC$1,2)),"")</f>
        <v>243</v>
      </c>
      <c r="BD60" s="16" cm="1">
        <f t="array" ref="BD60">IFERROR(INDEX(_xlfn.ANCHORARRAY(_xlfn.XLOOKUP($C60,'-ref_Distribution'!$B$146:$B$150,'-ref_Distribution'!$G$146:$G$150)),RIGHT(BD$1,2)),"")</f>
        <v>234</v>
      </c>
      <c r="BE60" s="16" cm="1">
        <f t="array" ref="BE60">IFERROR(INDEX(_xlfn.ANCHORARRAY(_xlfn.XLOOKUP($C60,'-ref_Distribution'!$B$146:$B$150,'-ref_Distribution'!$G$146:$G$150)),RIGHT(BE$1,2)),"")</f>
        <v>221</v>
      </c>
      <c r="BF60" s="16" cm="1">
        <f t="array" ref="BF60">IFERROR(INDEX(_xlfn.ANCHORARRAY(_xlfn.XLOOKUP($C60,'-ref_Distribution'!$B$146:$B$150,'-ref_Distribution'!$G$146:$G$150)),RIGHT(BF$1,2)),"")</f>
        <v>203</v>
      </c>
      <c r="BG60" s="16" cm="1">
        <f t="array" ref="BG60">IFERROR(INDEX(_xlfn.ANCHORARRAY(_xlfn.XLOOKUP($C60,'-ref_Distribution'!$B$146:$B$150,'-ref_Distribution'!$G$146:$G$150)),RIGHT(BG$1,2)),"")</f>
        <v>183</v>
      </c>
      <c r="BH60" s="16" cm="1">
        <f t="array" ref="BH60">IFERROR(INDEX(_xlfn.ANCHORARRAY(_xlfn.XLOOKUP($C60,'-ref_Distribution'!$B$146:$B$150,'-ref_Distribution'!$G$146:$G$150)),RIGHT(BH$1,2)),"")</f>
        <v>160</v>
      </c>
      <c r="BI60" s="16" cm="1">
        <f t="array" ref="BI60">IFERROR(INDEX(_xlfn.ANCHORARRAY(_xlfn.XLOOKUP($C60,'-ref_Distribution'!$B$146:$B$150,'-ref_Distribution'!$G$146:$G$150)),RIGHT(BI$1,2)),"")</f>
        <v>137</v>
      </c>
      <c r="BJ60" s="16" cm="1">
        <f t="array" ref="BJ60">IFERROR(INDEX(_xlfn.ANCHORARRAY(_xlfn.XLOOKUP($C60,'-ref_Distribution'!$B$146:$B$150,'-ref_Distribution'!$G$146:$G$150)),RIGHT(BJ$1,2)),"")</f>
        <v>115</v>
      </c>
      <c r="BK60" s="16" cm="1">
        <f t="array" ref="BK60">IFERROR(INDEX(_xlfn.ANCHORARRAY(_xlfn.XLOOKUP($C60,'-ref_Distribution'!$B$146:$B$150,'-ref_Distribution'!$G$146:$G$150)),RIGHT(BK$1,2)),"")</f>
        <v>94</v>
      </c>
      <c r="BL60" s="16" cm="1">
        <f t="array" ref="BL60">IFERROR(INDEX(_xlfn.ANCHORARRAY(_xlfn.XLOOKUP($C60,'-ref_Distribution'!$B$146:$B$150,'-ref_Distribution'!$G$146:$G$150)),RIGHT(BL$1,2)),"")</f>
        <v>75</v>
      </c>
      <c r="BM60" s="16" cm="1">
        <f t="array" ref="BM60">IFERROR(INDEX(_xlfn.ANCHORARRAY(_xlfn.XLOOKUP($C60,'-ref_Distribution'!$B$146:$B$150,'-ref_Distribution'!$G$146:$G$150)),RIGHT(BM$1,2)),"")</f>
        <v>94</v>
      </c>
      <c r="BN60" s="16" cm="1">
        <f t="array" ref="BN60">IFERROR(INDEX(_xlfn.ANCHORARRAY(_xlfn.XLOOKUP($C60,'-ref_Distribution'!$B$146:$B$150,'-ref_Distribution'!$G$146:$G$150)),RIGHT(BN$1,2)),"")</f>
        <v>115</v>
      </c>
      <c r="BO60" s="16" cm="1">
        <f t="array" ref="BO60">IFERROR(INDEX(_xlfn.ANCHORARRAY(_xlfn.XLOOKUP($C60,'-ref_Distribution'!$B$146:$B$150,'-ref_Distribution'!$G$146:$G$150)),RIGHT(BO$1,2)),"")</f>
        <v>137</v>
      </c>
      <c r="BP60" s="16" cm="1">
        <f t="array" ref="BP60">IFERROR(INDEX(_xlfn.ANCHORARRAY(_xlfn.XLOOKUP($C60,'-ref_Distribution'!$B$146:$B$150,'-ref_Distribution'!$G$146:$G$150)),RIGHT(BP$1,2)),"")</f>
        <v>160</v>
      </c>
      <c r="BQ60" s="16" cm="1">
        <f t="array" ref="BQ60">IFERROR(INDEX(_xlfn.ANCHORARRAY(_xlfn.XLOOKUP($C60,'-ref_Distribution'!$B$146:$B$150,'-ref_Distribution'!$G$146:$G$150)),RIGHT(BQ$1,2)),"")</f>
        <v>183</v>
      </c>
      <c r="BR60" s="16" cm="1">
        <f t="array" ref="BR60">IFERROR(INDEX(_xlfn.ANCHORARRAY(_xlfn.XLOOKUP($C60,'-ref_Distribution'!$B$146:$B$150,'-ref_Distribution'!$G$146:$G$150)),RIGHT(BR$1,2)),"")</f>
        <v>203</v>
      </c>
      <c r="BS60" s="16" cm="1">
        <f t="array" ref="BS60">IFERROR(INDEX(_xlfn.ANCHORARRAY(_xlfn.XLOOKUP($C60,'-ref_Distribution'!$B$146:$B$150,'-ref_Distribution'!$G$146:$G$150)),RIGHT(BS$1,2)),"")</f>
        <v>221</v>
      </c>
      <c r="BT60" s="16" cm="1">
        <f t="array" ref="BT60">IFERROR(INDEX(_xlfn.ANCHORARRAY(_xlfn.XLOOKUP($C60,'-ref_Distribution'!$B$146:$B$150,'-ref_Distribution'!$G$146:$G$150)),RIGHT(BT$1,2)),"")</f>
        <v>234</v>
      </c>
      <c r="BU60" s="16" cm="1">
        <f t="array" ref="BU60">IFERROR(INDEX(_xlfn.ANCHORARRAY(_xlfn.XLOOKUP($C60,'-ref_Distribution'!$B$146:$B$150,'-ref_Distribution'!$G$146:$G$150)),RIGHT(BU$1,2)),"")</f>
        <v>243</v>
      </c>
      <c r="BV60" s="16" cm="1">
        <f t="array" ref="BV60">IFERROR(INDEX(_xlfn.ANCHORARRAY(_xlfn.XLOOKUP($C60,'-ref_Distribution'!$B$146:$B$150,'-ref_Distribution'!$G$146:$G$150)),RIGHT(BV$1,2)),"")</f>
        <v>245</v>
      </c>
      <c r="BW60" s="16" cm="1">
        <f t="array" ref="BW60">IFERROR(INDEX(_xlfn.ANCHORARRAY(_xlfn.XLOOKUP($C60,'-ref_Distribution'!$B$146:$B$150,'-ref_Distribution'!$G$146:$G$150)),RIGHT(BW$1,2)),"")</f>
        <v>243</v>
      </c>
      <c r="BX60" s="16" cm="1">
        <f t="array" ref="BX60">IFERROR(INDEX(_xlfn.ANCHORARRAY(_xlfn.XLOOKUP($C60,'-ref_Distribution'!$B$146:$B$150,'-ref_Distribution'!$G$146:$G$150)),RIGHT(BX$1,2)),"")</f>
        <v>234</v>
      </c>
      <c r="BY60" s="16" cm="1">
        <f t="array" ref="BY60">IFERROR(INDEX(_xlfn.ANCHORARRAY(_xlfn.XLOOKUP($C60,'-ref_Distribution'!$B$146:$B$150,'-ref_Distribution'!$G$146:$G$150)),RIGHT(BY$1,2)),"")</f>
        <v>221</v>
      </c>
      <c r="BZ60" s="16" cm="1">
        <f t="array" ref="BZ60">IFERROR(INDEX(_xlfn.ANCHORARRAY(_xlfn.XLOOKUP($C60,'-ref_Distribution'!$B$146:$B$150,'-ref_Distribution'!$G$146:$G$150)),RIGHT(BZ$1,2)),"")</f>
        <v>203</v>
      </c>
      <c r="CA60" s="16" cm="1">
        <f t="array" ref="CA60">IFERROR(INDEX(_xlfn.ANCHORARRAY(_xlfn.XLOOKUP($C60,'-ref_Distribution'!$B$146:$B$150,'-ref_Distribution'!$G$146:$G$150)),RIGHT(CA$1,2)),"")</f>
        <v>183</v>
      </c>
      <c r="CB60" s="16" cm="1">
        <f t="array" ref="CB60">IFERROR(INDEX(_xlfn.ANCHORARRAY(_xlfn.XLOOKUP($C60,'-ref_Distribution'!$B$146:$B$150,'-ref_Distribution'!$G$146:$G$150)),RIGHT(CB$1,2)),"")</f>
        <v>160</v>
      </c>
      <c r="CC60" s="16" cm="1">
        <f t="array" ref="CC60">IFERROR(INDEX(_xlfn.ANCHORARRAY(_xlfn.XLOOKUP($C60,'-ref_Distribution'!$B$146:$B$150,'-ref_Distribution'!$G$146:$G$150)),RIGHT(CC$1,2)),"")</f>
        <v>137</v>
      </c>
      <c r="CD60" s="16" cm="1">
        <f t="array" ref="CD60">IFERROR(INDEX(_xlfn.ANCHORARRAY(_xlfn.XLOOKUP($C60,'-ref_Distribution'!$B$146:$B$150,'-ref_Distribution'!$G$146:$G$150)),RIGHT(CD$1,2)),"")</f>
        <v>115</v>
      </c>
      <c r="CE60" s="16" cm="1">
        <f t="array" ref="CE60">IFERROR(INDEX(_xlfn.ANCHORARRAY(_xlfn.XLOOKUP($C60,'-ref_Distribution'!$B$146:$B$150,'-ref_Distribution'!$G$146:$G$150)),RIGHT(CE$1,2)),"")</f>
        <v>94</v>
      </c>
    </row>
    <row r="61" spans="1:83" x14ac:dyDescent="0.2">
      <c r="D61" s="16" t="str" cm="1">
        <f t="array" ref="D61">IFERROR(INDEX(_xlfn.ANCHORARRAY(_xlfn.XLOOKUP($C61,'-ref_Distribution'!$B$146:$B$150,'-ref_Distribution'!$G$146:$G$150)),RIGHT(D$1,2)),"")</f>
        <v/>
      </c>
      <c r="E61" s="16" t="str" cm="1">
        <f t="array" ref="E61">IFERROR(INDEX(_xlfn.ANCHORARRAY(_xlfn.XLOOKUP($C61,'-ref_Distribution'!$B$146:$B$150,'-ref_Distribution'!$G$146:$G$150)),RIGHT(E$1,2)),"")</f>
        <v/>
      </c>
      <c r="F61" s="16" t="str" cm="1">
        <f t="array" ref="F61">IFERROR(INDEX(_xlfn.ANCHORARRAY(_xlfn.XLOOKUP($C61,'-ref_Distribution'!$B$146:$B$150,'-ref_Distribution'!$G$146:$G$150)),RIGHT(F$1,2)),"")</f>
        <v/>
      </c>
      <c r="G61" s="16" t="str" cm="1">
        <f t="array" ref="G61">IFERROR(INDEX(_xlfn.ANCHORARRAY(_xlfn.XLOOKUP($C61,'-ref_Distribution'!$B$146:$B$150,'-ref_Distribution'!$G$146:$G$150)),RIGHT(G$1,2)),"")</f>
        <v/>
      </c>
      <c r="H61" s="16" t="str" cm="1">
        <f t="array" ref="H61">IFERROR(INDEX(_xlfn.ANCHORARRAY(_xlfn.XLOOKUP($C61,'-ref_Distribution'!$B$146:$B$150,'-ref_Distribution'!$G$146:$G$150)),RIGHT(H$1,2)),"")</f>
        <v/>
      </c>
      <c r="I61" s="16" t="str" cm="1">
        <f t="array" ref="I61">IFERROR(INDEX(_xlfn.ANCHORARRAY(_xlfn.XLOOKUP($C61,'-ref_Distribution'!$B$146:$B$150,'-ref_Distribution'!$G$146:$G$150)),RIGHT(I$1,2)),"")</f>
        <v/>
      </c>
      <c r="J61" s="16" t="str" cm="1">
        <f t="array" ref="J61">IFERROR(INDEX(_xlfn.ANCHORARRAY(_xlfn.XLOOKUP($C61,'-ref_Distribution'!$B$146:$B$150,'-ref_Distribution'!$G$146:$G$150)),RIGHT(J$1,2)),"")</f>
        <v/>
      </c>
      <c r="K61" s="16" t="str" cm="1">
        <f t="array" ref="K61">IFERROR(INDEX(_xlfn.ANCHORARRAY(_xlfn.XLOOKUP($C61,'-ref_Distribution'!$B$146:$B$150,'-ref_Distribution'!$G$146:$G$150)),RIGHT(K$1,2)),"")</f>
        <v/>
      </c>
      <c r="L61" s="16" t="str" cm="1">
        <f t="array" ref="L61">IFERROR(INDEX(_xlfn.ANCHORARRAY(_xlfn.XLOOKUP($C61,'-ref_Distribution'!$B$146:$B$150,'-ref_Distribution'!$G$146:$G$150)),RIGHT(L$1,2)),"")</f>
        <v/>
      </c>
      <c r="M61" s="16" t="str" cm="1">
        <f t="array" ref="M61">IFERROR(INDEX(_xlfn.ANCHORARRAY(_xlfn.XLOOKUP($C61,'-ref_Distribution'!$B$146:$B$150,'-ref_Distribution'!$G$146:$G$150)),RIGHT(M$1,2)),"")</f>
        <v/>
      </c>
      <c r="N61" s="16" t="str" cm="1">
        <f t="array" ref="N61">IFERROR(INDEX(_xlfn.ANCHORARRAY(_xlfn.XLOOKUP($C61,'-ref_Distribution'!$B$146:$B$150,'-ref_Distribution'!$G$146:$G$150)),RIGHT(N$1,2)),"")</f>
        <v/>
      </c>
      <c r="O61" s="16" t="str" cm="1">
        <f t="array" ref="O61">IFERROR(INDEX(_xlfn.ANCHORARRAY(_xlfn.XLOOKUP($C61,'-ref_Distribution'!$B$146:$B$150,'-ref_Distribution'!$G$146:$G$150)),RIGHT(O$1,2)),"")</f>
        <v/>
      </c>
      <c r="P61" s="16" t="str" cm="1">
        <f t="array" ref="P61">IFERROR(INDEX(_xlfn.ANCHORARRAY(_xlfn.XLOOKUP($C61,'-ref_Distribution'!$B$146:$B$150,'-ref_Distribution'!$G$146:$G$150)),RIGHT(P$1,2)),"")</f>
        <v/>
      </c>
      <c r="Q61" s="16" t="str" cm="1">
        <f t="array" ref="Q61">IFERROR(INDEX(_xlfn.ANCHORARRAY(_xlfn.XLOOKUP($C61,'-ref_Distribution'!$B$146:$B$150,'-ref_Distribution'!$G$146:$G$150)),RIGHT(Q$1,2)),"")</f>
        <v/>
      </c>
      <c r="R61" s="16" t="str" cm="1">
        <f t="array" ref="R61">IFERROR(INDEX(_xlfn.ANCHORARRAY(_xlfn.XLOOKUP($C61,'-ref_Distribution'!$B$146:$B$150,'-ref_Distribution'!$G$146:$G$150)),RIGHT(R$1,2)),"")</f>
        <v/>
      </c>
      <c r="S61" s="16" t="str" cm="1">
        <f t="array" ref="S61">IFERROR(INDEX(_xlfn.ANCHORARRAY(_xlfn.XLOOKUP($C61,'-ref_Distribution'!$B$146:$B$150,'-ref_Distribution'!$G$146:$G$150)),RIGHT(S$1,2)),"")</f>
        <v/>
      </c>
      <c r="T61" s="16" t="str" cm="1">
        <f t="array" ref="T61">IFERROR(INDEX(_xlfn.ANCHORARRAY(_xlfn.XLOOKUP($C61,'-ref_Distribution'!$B$146:$B$150,'-ref_Distribution'!$G$146:$G$150)),RIGHT(T$1,2)),"")</f>
        <v/>
      </c>
      <c r="U61" s="16" t="str" cm="1">
        <f t="array" ref="U61">IFERROR(INDEX(_xlfn.ANCHORARRAY(_xlfn.XLOOKUP($C61,'-ref_Distribution'!$B$146:$B$150,'-ref_Distribution'!$G$146:$G$150)),RIGHT(U$1,2)),"")</f>
        <v/>
      </c>
      <c r="V61" s="16" t="str" cm="1">
        <f t="array" ref="V61">IFERROR(INDEX(_xlfn.ANCHORARRAY(_xlfn.XLOOKUP($C61,'-ref_Distribution'!$B$146:$B$150,'-ref_Distribution'!$G$146:$G$150)),RIGHT(V$1,2)),"")</f>
        <v/>
      </c>
      <c r="W61" s="16" t="str" cm="1">
        <f t="array" ref="W61">IFERROR(INDEX(_xlfn.ANCHORARRAY(_xlfn.XLOOKUP($C61,'-ref_Distribution'!$B$146:$B$150,'-ref_Distribution'!$G$146:$G$150)),RIGHT(W$1,2)),"")</f>
        <v/>
      </c>
      <c r="X61" s="16" t="str" cm="1">
        <f t="array" ref="X61">IFERROR(INDEX(_xlfn.ANCHORARRAY(_xlfn.XLOOKUP($C61,'-ref_Distribution'!$B$146:$B$150,'-ref_Distribution'!$G$146:$G$150)),RIGHT(X$1,2)),"")</f>
        <v/>
      </c>
      <c r="Y61" s="16" t="str" cm="1">
        <f t="array" ref="Y61">IFERROR(INDEX(_xlfn.ANCHORARRAY(_xlfn.XLOOKUP($C61,'-ref_Distribution'!$B$146:$B$150,'-ref_Distribution'!$G$146:$G$150)),RIGHT(Y$1,2)),"")</f>
        <v/>
      </c>
      <c r="Z61" s="16" t="str" cm="1">
        <f t="array" ref="Z61">IFERROR(INDEX(_xlfn.ANCHORARRAY(_xlfn.XLOOKUP($C61,'-ref_Distribution'!$B$146:$B$150,'-ref_Distribution'!$G$146:$G$150)),RIGHT(Z$1,2)),"")</f>
        <v/>
      </c>
      <c r="AA61" s="16" t="str" cm="1">
        <f t="array" ref="AA61">IFERROR(INDEX(_xlfn.ANCHORARRAY(_xlfn.XLOOKUP($C61,'-ref_Distribution'!$B$146:$B$150,'-ref_Distribution'!$G$146:$G$150)),RIGHT(AA$1,2)),"")</f>
        <v/>
      </c>
      <c r="AB61" s="16" t="str" cm="1">
        <f t="array" ref="AB61">IFERROR(INDEX(_xlfn.ANCHORARRAY(_xlfn.XLOOKUP($C61,'-ref_Distribution'!$B$146:$B$150,'-ref_Distribution'!$G$146:$G$150)),RIGHT(AB$1,2)),"")</f>
        <v/>
      </c>
      <c r="AC61" s="16" t="str" cm="1">
        <f t="array" ref="AC61">IFERROR(INDEX(_xlfn.ANCHORARRAY(_xlfn.XLOOKUP($C61,'-ref_Distribution'!$B$146:$B$150,'-ref_Distribution'!$G$146:$G$150)),RIGHT(AC$1,2)),"")</f>
        <v/>
      </c>
      <c r="AD61" s="16" t="str" cm="1">
        <f t="array" ref="AD61">IFERROR(INDEX(_xlfn.ANCHORARRAY(_xlfn.XLOOKUP($C61,'-ref_Distribution'!$B$146:$B$150,'-ref_Distribution'!$G$146:$G$150)),RIGHT(AD$1,2)),"")</f>
        <v/>
      </c>
      <c r="AE61" s="16" t="str" cm="1">
        <f t="array" ref="AE61">IFERROR(INDEX(_xlfn.ANCHORARRAY(_xlfn.XLOOKUP($C61,'-ref_Distribution'!$B$146:$B$150,'-ref_Distribution'!$G$146:$G$150)),RIGHT(AE$1,2)),"")</f>
        <v/>
      </c>
      <c r="AF61" s="16" t="str" cm="1">
        <f t="array" ref="AF61">IFERROR(INDEX(_xlfn.ANCHORARRAY(_xlfn.XLOOKUP($C61,'-ref_Distribution'!$B$146:$B$150,'-ref_Distribution'!$G$146:$G$150)),RIGHT(AF$1,2)),"")</f>
        <v/>
      </c>
      <c r="AG61" s="16" t="str" cm="1">
        <f t="array" ref="AG61">IFERROR(INDEX(_xlfn.ANCHORARRAY(_xlfn.XLOOKUP($C61,'-ref_Distribution'!$B$146:$B$150,'-ref_Distribution'!$G$146:$G$150)),RIGHT(AG$1,2)),"")</f>
        <v/>
      </c>
      <c r="AH61" s="16" t="str" cm="1">
        <f t="array" ref="AH61">IFERROR(INDEX(_xlfn.ANCHORARRAY(_xlfn.XLOOKUP($C61,'-ref_Distribution'!$B$146:$B$150,'-ref_Distribution'!$G$146:$G$150)),RIGHT(AH$1,2)),"")</f>
        <v/>
      </c>
      <c r="AI61" s="16" t="str" cm="1">
        <f t="array" ref="AI61">IFERROR(INDEX(_xlfn.ANCHORARRAY(_xlfn.XLOOKUP($C61,'-ref_Distribution'!$B$146:$B$150,'-ref_Distribution'!$G$146:$G$150)),RIGHT(AI$1,2)),"")</f>
        <v/>
      </c>
      <c r="AJ61" s="16" t="str" cm="1">
        <f t="array" ref="AJ61">IFERROR(INDEX(_xlfn.ANCHORARRAY(_xlfn.XLOOKUP($C61,'-ref_Distribution'!$B$146:$B$150,'-ref_Distribution'!$G$146:$G$150)),RIGHT(AJ$1,2)),"")</f>
        <v/>
      </c>
      <c r="AK61" s="16" t="str" cm="1">
        <f t="array" ref="AK61">IFERROR(INDEX(_xlfn.ANCHORARRAY(_xlfn.XLOOKUP($C61,'-ref_Distribution'!$B$146:$B$150,'-ref_Distribution'!$G$146:$G$150)),RIGHT(AK$1,2)),"")</f>
        <v/>
      </c>
      <c r="AL61" s="16" t="str" cm="1">
        <f t="array" ref="AL61">IFERROR(INDEX(_xlfn.ANCHORARRAY(_xlfn.XLOOKUP($C61,'-ref_Distribution'!$B$146:$B$150,'-ref_Distribution'!$G$146:$G$150)),RIGHT(AL$1,2)),"")</f>
        <v/>
      </c>
      <c r="AM61" s="16" t="str" cm="1">
        <f t="array" ref="AM61">IFERROR(INDEX(_xlfn.ANCHORARRAY(_xlfn.XLOOKUP($C61,'-ref_Distribution'!$B$146:$B$150,'-ref_Distribution'!$G$146:$G$150)),RIGHT(AM$1,2)),"")</f>
        <v/>
      </c>
      <c r="AN61" s="16" t="str" cm="1">
        <f t="array" ref="AN61">IFERROR(INDEX(_xlfn.ANCHORARRAY(_xlfn.XLOOKUP($C61,'-ref_Distribution'!$B$146:$B$150,'-ref_Distribution'!$G$146:$G$150)),RIGHT(AN$1,2)),"")</f>
        <v/>
      </c>
      <c r="AO61" s="16" t="str" cm="1">
        <f t="array" ref="AO61">IFERROR(INDEX(_xlfn.ANCHORARRAY(_xlfn.XLOOKUP($C61,'-ref_Distribution'!$B$146:$B$150,'-ref_Distribution'!$G$146:$G$150)),RIGHT(AO$1,2)),"")</f>
        <v/>
      </c>
      <c r="AP61" s="16" t="str" cm="1">
        <f t="array" ref="AP61">IFERROR(INDEX(_xlfn.ANCHORARRAY(_xlfn.XLOOKUP($C61,'-ref_Distribution'!$B$146:$B$150,'-ref_Distribution'!$G$146:$G$150)),RIGHT(AP$1,2)),"")</f>
        <v/>
      </c>
      <c r="AQ61" s="16" t="str" cm="1">
        <f t="array" ref="AQ61">IFERROR(INDEX(_xlfn.ANCHORARRAY(_xlfn.XLOOKUP($C61,'-ref_Distribution'!$B$146:$B$150,'-ref_Distribution'!$G$146:$G$150)),RIGHT(AQ$1,2)),"")</f>
        <v/>
      </c>
      <c r="AR61" s="16" t="str" cm="1">
        <f t="array" ref="AR61">IFERROR(INDEX(_xlfn.ANCHORARRAY(_xlfn.XLOOKUP($C61,'-ref_Distribution'!$B$146:$B$150,'-ref_Distribution'!$G$146:$G$150)),RIGHT(AR$1,2)),"")</f>
        <v/>
      </c>
      <c r="AS61" s="16" t="str" cm="1">
        <f t="array" ref="AS61">IFERROR(INDEX(_xlfn.ANCHORARRAY(_xlfn.XLOOKUP($C61,'-ref_Distribution'!$B$146:$B$150,'-ref_Distribution'!$G$146:$G$150)),RIGHT(AS$1,2)),"")</f>
        <v/>
      </c>
      <c r="AT61" s="16" t="str" cm="1">
        <f t="array" ref="AT61">IFERROR(INDEX(_xlfn.ANCHORARRAY(_xlfn.XLOOKUP($C61,'-ref_Distribution'!$B$146:$B$150,'-ref_Distribution'!$G$146:$G$150)),RIGHT(AT$1,2)),"")</f>
        <v/>
      </c>
      <c r="AU61" s="16" t="str" cm="1">
        <f t="array" ref="AU61">IFERROR(INDEX(_xlfn.ANCHORARRAY(_xlfn.XLOOKUP($C61,'-ref_Distribution'!$B$146:$B$150,'-ref_Distribution'!$G$146:$G$150)),RIGHT(AU$1,2)),"")</f>
        <v/>
      </c>
      <c r="AV61" s="16" t="str" cm="1">
        <f t="array" ref="AV61">IFERROR(INDEX(_xlfn.ANCHORARRAY(_xlfn.XLOOKUP($C61,'-ref_Distribution'!$B$146:$B$150,'-ref_Distribution'!$G$146:$G$150)),RIGHT(AV$1,2)),"")</f>
        <v/>
      </c>
      <c r="AW61" s="16" t="str" cm="1">
        <f t="array" ref="AW61">IFERROR(INDEX(_xlfn.ANCHORARRAY(_xlfn.XLOOKUP($C61,'-ref_Distribution'!$B$146:$B$150,'-ref_Distribution'!$G$146:$G$150)),RIGHT(AW$1,2)),"")</f>
        <v/>
      </c>
      <c r="AX61" s="16" t="str" cm="1">
        <f t="array" ref="AX61">IFERROR(INDEX(_xlfn.ANCHORARRAY(_xlfn.XLOOKUP($C61,'-ref_Distribution'!$B$146:$B$150,'-ref_Distribution'!$G$146:$G$150)),RIGHT(AX$1,2)),"")</f>
        <v/>
      </c>
      <c r="AY61" s="16" t="str" cm="1">
        <f t="array" ref="AY61">IFERROR(INDEX(_xlfn.ANCHORARRAY(_xlfn.XLOOKUP($C61,'-ref_Distribution'!$B$146:$B$150,'-ref_Distribution'!$G$146:$G$150)),RIGHT(AY$1,2)),"")</f>
        <v/>
      </c>
      <c r="AZ61" s="16" t="str" cm="1">
        <f t="array" ref="AZ61">IFERROR(INDEX(_xlfn.ANCHORARRAY(_xlfn.XLOOKUP($C61,'-ref_Distribution'!$B$146:$B$150,'-ref_Distribution'!$G$146:$G$150)),RIGHT(AZ$1,2)),"")</f>
        <v/>
      </c>
      <c r="BA61" s="16" t="str" cm="1">
        <f t="array" ref="BA61">IFERROR(INDEX(_xlfn.ANCHORARRAY(_xlfn.XLOOKUP($C61,'-ref_Distribution'!$B$146:$B$150,'-ref_Distribution'!$G$146:$G$150)),RIGHT(BA$1,2)),"")</f>
        <v/>
      </c>
      <c r="BB61" s="16" t="str" cm="1">
        <f t="array" ref="BB61">IFERROR(INDEX(_xlfn.ANCHORARRAY(_xlfn.XLOOKUP($C61,'-ref_Distribution'!$B$146:$B$150,'-ref_Distribution'!$G$146:$G$150)),RIGHT(BB$1,2)),"")</f>
        <v/>
      </c>
      <c r="BC61" s="16" t="str" cm="1">
        <f t="array" ref="BC61">IFERROR(INDEX(_xlfn.ANCHORARRAY(_xlfn.XLOOKUP($C61,'-ref_Distribution'!$B$146:$B$150,'-ref_Distribution'!$G$146:$G$150)),RIGHT(BC$1,2)),"")</f>
        <v/>
      </c>
      <c r="BD61" s="16" t="str" cm="1">
        <f t="array" ref="BD61">IFERROR(INDEX(_xlfn.ANCHORARRAY(_xlfn.XLOOKUP($C61,'-ref_Distribution'!$B$146:$B$150,'-ref_Distribution'!$G$146:$G$150)),RIGHT(BD$1,2)),"")</f>
        <v/>
      </c>
      <c r="BE61" s="16" t="str" cm="1">
        <f t="array" ref="BE61">IFERROR(INDEX(_xlfn.ANCHORARRAY(_xlfn.XLOOKUP($C61,'-ref_Distribution'!$B$146:$B$150,'-ref_Distribution'!$G$146:$G$150)),RIGHT(BE$1,2)),"")</f>
        <v/>
      </c>
      <c r="BF61" s="16" t="str" cm="1">
        <f t="array" ref="BF61">IFERROR(INDEX(_xlfn.ANCHORARRAY(_xlfn.XLOOKUP($C61,'-ref_Distribution'!$B$146:$B$150,'-ref_Distribution'!$G$146:$G$150)),RIGHT(BF$1,2)),"")</f>
        <v/>
      </c>
      <c r="BG61" s="16" t="str" cm="1">
        <f t="array" ref="BG61">IFERROR(INDEX(_xlfn.ANCHORARRAY(_xlfn.XLOOKUP($C61,'-ref_Distribution'!$B$146:$B$150,'-ref_Distribution'!$G$146:$G$150)),RIGHT(BG$1,2)),"")</f>
        <v/>
      </c>
      <c r="BH61" s="16" t="str" cm="1">
        <f t="array" ref="BH61">IFERROR(INDEX(_xlfn.ANCHORARRAY(_xlfn.XLOOKUP($C61,'-ref_Distribution'!$B$146:$B$150,'-ref_Distribution'!$G$146:$G$150)),RIGHT(BH$1,2)),"")</f>
        <v/>
      </c>
      <c r="BI61" s="16" t="str" cm="1">
        <f t="array" ref="BI61">IFERROR(INDEX(_xlfn.ANCHORARRAY(_xlfn.XLOOKUP($C61,'-ref_Distribution'!$B$146:$B$150,'-ref_Distribution'!$G$146:$G$150)),RIGHT(BI$1,2)),"")</f>
        <v/>
      </c>
      <c r="BJ61" s="16" t="str" cm="1">
        <f t="array" ref="BJ61">IFERROR(INDEX(_xlfn.ANCHORARRAY(_xlfn.XLOOKUP($C61,'-ref_Distribution'!$B$146:$B$150,'-ref_Distribution'!$G$146:$G$150)),RIGHT(BJ$1,2)),"")</f>
        <v/>
      </c>
      <c r="BK61" s="16" t="str" cm="1">
        <f t="array" ref="BK61">IFERROR(INDEX(_xlfn.ANCHORARRAY(_xlfn.XLOOKUP($C61,'-ref_Distribution'!$B$146:$B$150,'-ref_Distribution'!$G$146:$G$150)),RIGHT(BK$1,2)),"")</f>
        <v/>
      </c>
      <c r="BL61" s="16" t="str" cm="1">
        <f t="array" ref="BL61">IFERROR(INDEX(_xlfn.ANCHORARRAY(_xlfn.XLOOKUP($C61,'-ref_Distribution'!$B$146:$B$150,'-ref_Distribution'!$G$146:$G$150)),RIGHT(BL$1,2)),"")</f>
        <v/>
      </c>
      <c r="BM61" s="16" t="str" cm="1">
        <f t="array" ref="BM61">IFERROR(INDEX(_xlfn.ANCHORARRAY(_xlfn.XLOOKUP($C61,'-ref_Distribution'!$B$146:$B$150,'-ref_Distribution'!$G$146:$G$150)),RIGHT(BM$1,2)),"")</f>
        <v/>
      </c>
      <c r="BN61" s="16" t="str" cm="1">
        <f t="array" ref="BN61">IFERROR(INDEX(_xlfn.ANCHORARRAY(_xlfn.XLOOKUP($C61,'-ref_Distribution'!$B$146:$B$150,'-ref_Distribution'!$G$146:$G$150)),RIGHT(BN$1,2)),"")</f>
        <v/>
      </c>
      <c r="BO61" s="16" t="str" cm="1">
        <f t="array" ref="BO61">IFERROR(INDEX(_xlfn.ANCHORARRAY(_xlfn.XLOOKUP($C61,'-ref_Distribution'!$B$146:$B$150,'-ref_Distribution'!$G$146:$G$150)),RIGHT(BO$1,2)),"")</f>
        <v/>
      </c>
      <c r="BP61" s="16" t="str" cm="1">
        <f t="array" ref="BP61">IFERROR(INDEX(_xlfn.ANCHORARRAY(_xlfn.XLOOKUP($C61,'-ref_Distribution'!$B$146:$B$150,'-ref_Distribution'!$G$146:$G$150)),RIGHT(BP$1,2)),"")</f>
        <v/>
      </c>
      <c r="BQ61" s="16" t="str" cm="1">
        <f t="array" ref="BQ61">IFERROR(INDEX(_xlfn.ANCHORARRAY(_xlfn.XLOOKUP($C61,'-ref_Distribution'!$B$146:$B$150,'-ref_Distribution'!$G$146:$G$150)),RIGHT(BQ$1,2)),"")</f>
        <v/>
      </c>
      <c r="BR61" s="16" t="str" cm="1">
        <f t="array" ref="BR61">IFERROR(INDEX(_xlfn.ANCHORARRAY(_xlfn.XLOOKUP($C61,'-ref_Distribution'!$B$146:$B$150,'-ref_Distribution'!$G$146:$G$150)),RIGHT(BR$1,2)),"")</f>
        <v/>
      </c>
      <c r="BS61" s="16" t="str" cm="1">
        <f t="array" ref="BS61">IFERROR(INDEX(_xlfn.ANCHORARRAY(_xlfn.XLOOKUP($C61,'-ref_Distribution'!$B$146:$B$150,'-ref_Distribution'!$G$146:$G$150)),RIGHT(BS$1,2)),"")</f>
        <v/>
      </c>
      <c r="BT61" s="16" t="str" cm="1">
        <f t="array" ref="BT61">IFERROR(INDEX(_xlfn.ANCHORARRAY(_xlfn.XLOOKUP($C61,'-ref_Distribution'!$B$146:$B$150,'-ref_Distribution'!$G$146:$G$150)),RIGHT(BT$1,2)),"")</f>
        <v/>
      </c>
      <c r="BU61" s="16" t="str" cm="1">
        <f t="array" ref="BU61">IFERROR(INDEX(_xlfn.ANCHORARRAY(_xlfn.XLOOKUP($C61,'-ref_Distribution'!$B$146:$B$150,'-ref_Distribution'!$G$146:$G$150)),RIGHT(BU$1,2)),"")</f>
        <v/>
      </c>
      <c r="BV61" s="16" t="str" cm="1">
        <f t="array" ref="BV61">IFERROR(INDEX(_xlfn.ANCHORARRAY(_xlfn.XLOOKUP($C61,'-ref_Distribution'!$B$146:$B$150,'-ref_Distribution'!$G$146:$G$150)),RIGHT(BV$1,2)),"")</f>
        <v/>
      </c>
      <c r="BW61" s="16" t="str" cm="1">
        <f t="array" ref="BW61">IFERROR(INDEX(_xlfn.ANCHORARRAY(_xlfn.XLOOKUP($C61,'-ref_Distribution'!$B$146:$B$150,'-ref_Distribution'!$G$146:$G$150)),RIGHT(BW$1,2)),"")</f>
        <v/>
      </c>
      <c r="BX61" s="16" t="str" cm="1">
        <f t="array" ref="BX61">IFERROR(INDEX(_xlfn.ANCHORARRAY(_xlfn.XLOOKUP($C61,'-ref_Distribution'!$B$146:$B$150,'-ref_Distribution'!$G$146:$G$150)),RIGHT(BX$1,2)),"")</f>
        <v/>
      </c>
      <c r="BY61" s="16" t="str" cm="1">
        <f t="array" ref="BY61">IFERROR(INDEX(_xlfn.ANCHORARRAY(_xlfn.XLOOKUP($C61,'-ref_Distribution'!$B$146:$B$150,'-ref_Distribution'!$G$146:$G$150)),RIGHT(BY$1,2)),"")</f>
        <v/>
      </c>
      <c r="BZ61" s="16" t="str" cm="1">
        <f t="array" ref="BZ61">IFERROR(INDEX(_xlfn.ANCHORARRAY(_xlfn.XLOOKUP($C61,'-ref_Distribution'!$B$146:$B$150,'-ref_Distribution'!$G$146:$G$150)),RIGHT(BZ$1,2)),"")</f>
        <v/>
      </c>
      <c r="CA61" s="16" t="str" cm="1">
        <f t="array" ref="CA61">IFERROR(INDEX(_xlfn.ANCHORARRAY(_xlfn.XLOOKUP($C61,'-ref_Distribution'!$B$146:$B$150,'-ref_Distribution'!$G$146:$G$150)),RIGHT(CA$1,2)),"")</f>
        <v/>
      </c>
      <c r="CB61" s="16" t="str" cm="1">
        <f t="array" ref="CB61">IFERROR(INDEX(_xlfn.ANCHORARRAY(_xlfn.XLOOKUP($C61,'-ref_Distribution'!$B$146:$B$150,'-ref_Distribution'!$G$146:$G$150)),RIGHT(CB$1,2)),"")</f>
        <v/>
      </c>
      <c r="CC61" s="16" t="str" cm="1">
        <f t="array" ref="CC61">IFERROR(INDEX(_xlfn.ANCHORARRAY(_xlfn.XLOOKUP($C61,'-ref_Distribution'!$B$146:$B$150,'-ref_Distribution'!$G$146:$G$150)),RIGHT(CC$1,2)),"")</f>
        <v/>
      </c>
      <c r="CD61" s="16" t="str" cm="1">
        <f t="array" ref="CD61">IFERROR(INDEX(_xlfn.ANCHORARRAY(_xlfn.XLOOKUP($C61,'-ref_Distribution'!$B$146:$B$150,'-ref_Distribution'!$G$146:$G$150)),RIGHT(CD$1,2)),"")</f>
        <v/>
      </c>
      <c r="CE61" s="16" t="str" cm="1">
        <f t="array" ref="CE61">IFERROR(INDEX(_xlfn.ANCHORARRAY(_xlfn.XLOOKUP($C61,'-ref_Distribution'!$B$146:$B$150,'-ref_Distribution'!$G$146:$G$150)),RIGHT(CE$1,2)),"")</f>
        <v/>
      </c>
    </row>
    <row r="62" spans="1:83" x14ac:dyDescent="0.2">
      <c r="A62" s="16">
        <v>310203</v>
      </c>
      <c r="B62" s="16" t="s">
        <v>373</v>
      </c>
      <c r="C62" s="16">
        <v>0</v>
      </c>
      <c r="D62" s="16" cm="1">
        <f t="array" ref="D62">IFERROR(INDEX(_xlfn.ANCHORARRAY(_xlfn.XLOOKUP($C62,'-ref_Distribution'!$B$146:$B$150,'-ref_Distribution'!$G$146:$G$150)),RIGHT(D$1,2)),"")</f>
        <v>709</v>
      </c>
      <c r="E62" s="16" cm="1">
        <f t="array" ref="E62">IFERROR(INDEX(_xlfn.ANCHORARRAY(_xlfn.XLOOKUP($C62,'-ref_Distribution'!$B$146:$B$150,'-ref_Distribution'!$G$146:$G$150)),RIGHT(E$1,2)),"")</f>
        <v>705</v>
      </c>
      <c r="F62" s="16" cm="1">
        <f t="array" ref="F62">IFERROR(INDEX(_xlfn.ANCHORARRAY(_xlfn.XLOOKUP($C62,'-ref_Distribution'!$B$146:$B$150,'-ref_Distribution'!$G$146:$G$150)),RIGHT(F$1,2)),"")</f>
        <v>692</v>
      </c>
      <c r="G62" s="16" cm="1">
        <f t="array" ref="G62">IFERROR(INDEX(_xlfn.ANCHORARRAY(_xlfn.XLOOKUP($C62,'-ref_Distribution'!$B$146:$B$150,'-ref_Distribution'!$G$146:$G$150)),RIGHT(G$1,2)),"")</f>
        <v>671</v>
      </c>
      <c r="H62" s="16" cm="1">
        <f t="array" ref="H62">IFERROR(INDEX(_xlfn.ANCHORARRAY(_xlfn.XLOOKUP($C62,'-ref_Distribution'!$B$146:$B$150,'-ref_Distribution'!$G$146:$G$150)),RIGHT(H$1,2)),"")</f>
        <v>643</v>
      </c>
      <c r="I62" s="16" cm="1">
        <f t="array" ref="I62">IFERROR(INDEX(_xlfn.ANCHORARRAY(_xlfn.XLOOKUP($C62,'-ref_Distribution'!$B$146:$B$150,'-ref_Distribution'!$G$146:$G$150)),RIGHT(I$1,2)),"")</f>
        <v>608</v>
      </c>
      <c r="J62" s="16" cm="1">
        <f t="array" ref="J62">IFERROR(INDEX(_xlfn.ANCHORARRAY(_xlfn.XLOOKUP($C62,'-ref_Distribution'!$B$146:$B$150,'-ref_Distribution'!$G$146:$G$150)),RIGHT(J$1,2)),"")</f>
        <v>568</v>
      </c>
      <c r="K62" s="16" cm="1">
        <f t="array" ref="K62">IFERROR(INDEX(_xlfn.ANCHORARRAY(_xlfn.XLOOKUP($C62,'-ref_Distribution'!$B$146:$B$150,'-ref_Distribution'!$G$146:$G$150)),RIGHT(K$1,2)),"")</f>
        <v>524</v>
      </c>
      <c r="L62" s="16" cm="1">
        <f t="array" ref="L62">IFERROR(INDEX(_xlfn.ANCHORARRAY(_xlfn.XLOOKUP($C62,'-ref_Distribution'!$B$146:$B$150,'-ref_Distribution'!$G$146:$G$150)),RIGHT(L$1,2)),"")</f>
        <v>478</v>
      </c>
      <c r="M62" s="16" cm="1">
        <f t="array" ref="M62">IFERROR(INDEX(_xlfn.ANCHORARRAY(_xlfn.XLOOKUP($C62,'-ref_Distribution'!$B$146:$B$150,'-ref_Distribution'!$G$146:$G$150)),RIGHT(M$1,2)),"")</f>
        <v>430</v>
      </c>
      <c r="N62" s="16" cm="1">
        <f t="array" ref="N62">IFERROR(INDEX(_xlfn.ANCHORARRAY(_xlfn.XLOOKUP($C62,'-ref_Distribution'!$B$146:$B$150,'-ref_Distribution'!$G$146:$G$150)),RIGHT(N$1,2)),"")</f>
        <v>383</v>
      </c>
      <c r="O62" s="16" cm="1">
        <f t="array" ref="O62">IFERROR(INDEX(_xlfn.ANCHORARRAY(_xlfn.XLOOKUP($C62,'-ref_Distribution'!$B$146:$B$150,'-ref_Distribution'!$G$146:$G$150)),RIGHT(O$1,2)),"")</f>
        <v>336</v>
      </c>
      <c r="P62" s="16" cm="1">
        <f t="array" ref="P62">IFERROR(INDEX(_xlfn.ANCHORARRAY(_xlfn.XLOOKUP($C62,'-ref_Distribution'!$B$146:$B$150,'-ref_Distribution'!$G$146:$G$150)),RIGHT(P$1,2)),"")</f>
        <v>292</v>
      </c>
      <c r="Q62" s="16" cm="1">
        <f t="array" ref="Q62">IFERROR(INDEX(_xlfn.ANCHORARRAY(_xlfn.XLOOKUP($C62,'-ref_Distribution'!$B$146:$B$150,'-ref_Distribution'!$G$146:$G$150)),RIGHT(Q$1,2)),"")</f>
        <v>250</v>
      </c>
      <c r="R62" s="16" cm="1">
        <f t="array" ref="R62">IFERROR(INDEX(_xlfn.ANCHORARRAY(_xlfn.XLOOKUP($C62,'-ref_Distribution'!$B$146:$B$150,'-ref_Distribution'!$G$146:$G$150)),RIGHT(R$1,2)),"")</f>
        <v>212</v>
      </c>
      <c r="S62" s="16" cm="1">
        <f t="array" ref="S62">IFERROR(INDEX(_xlfn.ANCHORARRAY(_xlfn.XLOOKUP($C62,'-ref_Distribution'!$B$146:$B$150,'-ref_Distribution'!$G$146:$G$150)),RIGHT(S$1,2)),"")</f>
        <v>177</v>
      </c>
      <c r="T62" s="16" cm="1">
        <f t="array" ref="T62">IFERROR(INDEX(_xlfn.ANCHORARRAY(_xlfn.XLOOKUP($C62,'-ref_Distribution'!$B$146:$B$150,'-ref_Distribution'!$G$146:$G$150)),RIGHT(T$1,2)),"")</f>
        <v>146</v>
      </c>
      <c r="U62" s="16" cm="1">
        <f t="array" ref="U62">IFERROR(INDEX(_xlfn.ANCHORARRAY(_xlfn.XLOOKUP($C62,'-ref_Distribution'!$B$146:$B$150,'-ref_Distribution'!$G$146:$G$150)),RIGHT(U$1,2)),"")</f>
        <v>119</v>
      </c>
      <c r="V62" s="16" cm="1">
        <f t="array" ref="V62">IFERROR(INDEX(_xlfn.ANCHORARRAY(_xlfn.XLOOKUP($C62,'-ref_Distribution'!$B$146:$B$150,'-ref_Distribution'!$G$146:$G$150)),RIGHT(V$1,2)),"")</f>
        <v>96</v>
      </c>
      <c r="W62" s="16" cm="1">
        <f t="array" ref="W62">IFERROR(INDEX(_xlfn.ANCHORARRAY(_xlfn.XLOOKUP($C62,'-ref_Distribution'!$B$146:$B$150,'-ref_Distribution'!$G$146:$G$150)),RIGHT(W$1,2)),"")</f>
        <v>76</v>
      </c>
      <c r="X62" s="16" cm="1">
        <f t="array" ref="X62">IFERROR(INDEX(_xlfn.ANCHORARRAY(_xlfn.XLOOKUP($C62,'-ref_Distribution'!$B$146:$B$150,'-ref_Distribution'!$G$146:$G$150)),RIGHT(X$1,2)),"")</f>
        <v>709</v>
      </c>
      <c r="Y62" s="16" cm="1">
        <f t="array" ref="Y62">IFERROR(INDEX(_xlfn.ANCHORARRAY(_xlfn.XLOOKUP($C62,'-ref_Distribution'!$B$146:$B$150,'-ref_Distribution'!$G$146:$G$150)),RIGHT(Y$1,2)),"")</f>
        <v>705</v>
      </c>
      <c r="Z62" s="16" cm="1">
        <f t="array" ref="Z62">IFERROR(INDEX(_xlfn.ANCHORARRAY(_xlfn.XLOOKUP($C62,'-ref_Distribution'!$B$146:$B$150,'-ref_Distribution'!$G$146:$G$150)),RIGHT(Z$1,2)),"")</f>
        <v>692</v>
      </c>
      <c r="AA62" s="16" cm="1">
        <f t="array" ref="AA62">IFERROR(INDEX(_xlfn.ANCHORARRAY(_xlfn.XLOOKUP($C62,'-ref_Distribution'!$B$146:$B$150,'-ref_Distribution'!$G$146:$G$150)),RIGHT(AA$1,2)),"")</f>
        <v>671</v>
      </c>
      <c r="AB62" s="16" cm="1">
        <f t="array" ref="AB62">IFERROR(INDEX(_xlfn.ANCHORARRAY(_xlfn.XLOOKUP($C62,'-ref_Distribution'!$B$146:$B$150,'-ref_Distribution'!$G$146:$G$150)),RIGHT(AB$1,2)),"")</f>
        <v>643</v>
      </c>
      <c r="AC62" s="16" cm="1">
        <f t="array" ref="AC62">IFERROR(INDEX(_xlfn.ANCHORARRAY(_xlfn.XLOOKUP($C62,'-ref_Distribution'!$B$146:$B$150,'-ref_Distribution'!$G$146:$G$150)),RIGHT(AC$1,2)),"")</f>
        <v>608</v>
      </c>
      <c r="AD62" s="16" cm="1">
        <f t="array" ref="AD62">IFERROR(INDEX(_xlfn.ANCHORARRAY(_xlfn.XLOOKUP($C62,'-ref_Distribution'!$B$146:$B$150,'-ref_Distribution'!$G$146:$G$150)),RIGHT(AD$1,2)),"")</f>
        <v>568</v>
      </c>
      <c r="AE62" s="16" cm="1">
        <f t="array" ref="AE62">IFERROR(INDEX(_xlfn.ANCHORARRAY(_xlfn.XLOOKUP($C62,'-ref_Distribution'!$B$146:$B$150,'-ref_Distribution'!$G$146:$G$150)),RIGHT(AE$1,2)),"")</f>
        <v>524</v>
      </c>
      <c r="AF62" s="16" cm="1">
        <f t="array" ref="AF62">IFERROR(INDEX(_xlfn.ANCHORARRAY(_xlfn.XLOOKUP($C62,'-ref_Distribution'!$B$146:$B$150,'-ref_Distribution'!$G$146:$G$150)),RIGHT(AF$1,2)),"")</f>
        <v>478</v>
      </c>
      <c r="AG62" s="16" cm="1">
        <f t="array" ref="AG62">IFERROR(INDEX(_xlfn.ANCHORARRAY(_xlfn.XLOOKUP($C62,'-ref_Distribution'!$B$146:$B$150,'-ref_Distribution'!$G$146:$G$150)),RIGHT(AG$1,2)),"")</f>
        <v>430</v>
      </c>
      <c r="AH62" s="16" cm="1">
        <f t="array" ref="AH62">IFERROR(INDEX(_xlfn.ANCHORARRAY(_xlfn.XLOOKUP($C62,'-ref_Distribution'!$B$146:$B$150,'-ref_Distribution'!$G$146:$G$150)),RIGHT(AH$1,2)),"")</f>
        <v>383</v>
      </c>
      <c r="AI62" s="16" cm="1">
        <f t="array" ref="AI62">IFERROR(INDEX(_xlfn.ANCHORARRAY(_xlfn.XLOOKUP($C62,'-ref_Distribution'!$B$146:$B$150,'-ref_Distribution'!$G$146:$G$150)),RIGHT(AI$1,2)),"")</f>
        <v>336</v>
      </c>
      <c r="AJ62" s="16" cm="1">
        <f t="array" ref="AJ62">IFERROR(INDEX(_xlfn.ANCHORARRAY(_xlfn.XLOOKUP($C62,'-ref_Distribution'!$B$146:$B$150,'-ref_Distribution'!$G$146:$G$150)),RIGHT(AJ$1,2)),"")</f>
        <v>292</v>
      </c>
      <c r="AK62" s="16" cm="1">
        <f t="array" ref="AK62">IFERROR(INDEX(_xlfn.ANCHORARRAY(_xlfn.XLOOKUP($C62,'-ref_Distribution'!$B$146:$B$150,'-ref_Distribution'!$G$146:$G$150)),RIGHT(AK$1,2)),"")</f>
        <v>250</v>
      </c>
      <c r="AL62" s="16" cm="1">
        <f t="array" ref="AL62">IFERROR(INDEX(_xlfn.ANCHORARRAY(_xlfn.XLOOKUP($C62,'-ref_Distribution'!$B$146:$B$150,'-ref_Distribution'!$G$146:$G$150)),RIGHT(AL$1,2)),"")</f>
        <v>212</v>
      </c>
      <c r="AM62" s="16" cm="1">
        <f t="array" ref="AM62">IFERROR(INDEX(_xlfn.ANCHORARRAY(_xlfn.XLOOKUP($C62,'-ref_Distribution'!$B$146:$B$150,'-ref_Distribution'!$G$146:$G$150)),RIGHT(AM$1,2)),"")</f>
        <v>177</v>
      </c>
      <c r="AN62" s="16" cm="1">
        <f t="array" ref="AN62">IFERROR(INDEX(_xlfn.ANCHORARRAY(_xlfn.XLOOKUP($C62,'-ref_Distribution'!$B$146:$B$150,'-ref_Distribution'!$G$146:$G$150)),RIGHT(AN$1,2)),"")</f>
        <v>146</v>
      </c>
      <c r="AO62" s="16" cm="1">
        <f t="array" ref="AO62">IFERROR(INDEX(_xlfn.ANCHORARRAY(_xlfn.XLOOKUP($C62,'-ref_Distribution'!$B$146:$B$150,'-ref_Distribution'!$G$146:$G$150)),RIGHT(AO$1,2)),"")</f>
        <v>119</v>
      </c>
      <c r="AP62" s="16" cm="1">
        <f t="array" ref="AP62">IFERROR(INDEX(_xlfn.ANCHORARRAY(_xlfn.XLOOKUP($C62,'-ref_Distribution'!$B$146:$B$150,'-ref_Distribution'!$G$146:$G$150)),RIGHT(AP$1,2)),"")</f>
        <v>96</v>
      </c>
      <c r="AQ62" s="16" cm="1">
        <f t="array" ref="AQ62">IFERROR(INDEX(_xlfn.ANCHORARRAY(_xlfn.XLOOKUP($C62,'-ref_Distribution'!$B$146:$B$150,'-ref_Distribution'!$G$146:$G$150)),RIGHT(AQ$1,2)),"")</f>
        <v>76</v>
      </c>
      <c r="AR62" s="16" cm="1">
        <f t="array" ref="AR62">IFERROR(INDEX(_xlfn.ANCHORARRAY(_xlfn.XLOOKUP($C62,'-ref_Distribution'!$B$146:$B$150,'-ref_Distribution'!$G$146:$G$150)),RIGHT(AR$1,2)),"")</f>
        <v>709</v>
      </c>
      <c r="AS62" s="16" cm="1">
        <f t="array" ref="AS62">IFERROR(INDEX(_xlfn.ANCHORARRAY(_xlfn.XLOOKUP($C62,'-ref_Distribution'!$B$146:$B$150,'-ref_Distribution'!$G$146:$G$150)),RIGHT(AS$1,2)),"")</f>
        <v>705</v>
      </c>
      <c r="AT62" s="16" cm="1">
        <f t="array" ref="AT62">IFERROR(INDEX(_xlfn.ANCHORARRAY(_xlfn.XLOOKUP($C62,'-ref_Distribution'!$B$146:$B$150,'-ref_Distribution'!$G$146:$G$150)),RIGHT(AT$1,2)),"")</f>
        <v>692</v>
      </c>
      <c r="AU62" s="16" cm="1">
        <f t="array" ref="AU62">IFERROR(INDEX(_xlfn.ANCHORARRAY(_xlfn.XLOOKUP($C62,'-ref_Distribution'!$B$146:$B$150,'-ref_Distribution'!$G$146:$G$150)),RIGHT(AU$1,2)),"")</f>
        <v>671</v>
      </c>
      <c r="AV62" s="16" cm="1">
        <f t="array" ref="AV62">IFERROR(INDEX(_xlfn.ANCHORARRAY(_xlfn.XLOOKUP($C62,'-ref_Distribution'!$B$146:$B$150,'-ref_Distribution'!$G$146:$G$150)),RIGHT(AV$1,2)),"")</f>
        <v>643</v>
      </c>
      <c r="AW62" s="16" cm="1">
        <f t="array" ref="AW62">IFERROR(INDEX(_xlfn.ANCHORARRAY(_xlfn.XLOOKUP($C62,'-ref_Distribution'!$B$146:$B$150,'-ref_Distribution'!$G$146:$G$150)),RIGHT(AW$1,2)),"")</f>
        <v>608</v>
      </c>
      <c r="AX62" s="16" cm="1">
        <f t="array" ref="AX62">IFERROR(INDEX(_xlfn.ANCHORARRAY(_xlfn.XLOOKUP($C62,'-ref_Distribution'!$B$146:$B$150,'-ref_Distribution'!$G$146:$G$150)),RIGHT(AX$1,2)),"")</f>
        <v>568</v>
      </c>
      <c r="AY62" s="16" cm="1">
        <f t="array" ref="AY62">IFERROR(INDEX(_xlfn.ANCHORARRAY(_xlfn.XLOOKUP($C62,'-ref_Distribution'!$B$146:$B$150,'-ref_Distribution'!$G$146:$G$150)),RIGHT(AY$1,2)),"")</f>
        <v>524</v>
      </c>
      <c r="AZ62" s="16" cm="1">
        <f t="array" ref="AZ62">IFERROR(INDEX(_xlfn.ANCHORARRAY(_xlfn.XLOOKUP($C62,'-ref_Distribution'!$B$146:$B$150,'-ref_Distribution'!$G$146:$G$150)),RIGHT(AZ$1,2)),"")</f>
        <v>478</v>
      </c>
      <c r="BA62" s="16" cm="1">
        <f t="array" ref="BA62">IFERROR(INDEX(_xlfn.ANCHORARRAY(_xlfn.XLOOKUP($C62,'-ref_Distribution'!$B$146:$B$150,'-ref_Distribution'!$G$146:$G$150)),RIGHT(BA$1,2)),"")</f>
        <v>430</v>
      </c>
      <c r="BB62" s="16" cm="1">
        <f t="array" ref="BB62">IFERROR(INDEX(_xlfn.ANCHORARRAY(_xlfn.XLOOKUP($C62,'-ref_Distribution'!$B$146:$B$150,'-ref_Distribution'!$G$146:$G$150)),RIGHT(BB$1,2)),"")</f>
        <v>383</v>
      </c>
      <c r="BC62" s="16" cm="1">
        <f t="array" ref="BC62">IFERROR(INDEX(_xlfn.ANCHORARRAY(_xlfn.XLOOKUP($C62,'-ref_Distribution'!$B$146:$B$150,'-ref_Distribution'!$G$146:$G$150)),RIGHT(BC$1,2)),"")</f>
        <v>336</v>
      </c>
      <c r="BD62" s="16" cm="1">
        <f t="array" ref="BD62">IFERROR(INDEX(_xlfn.ANCHORARRAY(_xlfn.XLOOKUP($C62,'-ref_Distribution'!$B$146:$B$150,'-ref_Distribution'!$G$146:$G$150)),RIGHT(BD$1,2)),"")</f>
        <v>292</v>
      </c>
      <c r="BE62" s="16" cm="1">
        <f t="array" ref="BE62">IFERROR(INDEX(_xlfn.ANCHORARRAY(_xlfn.XLOOKUP($C62,'-ref_Distribution'!$B$146:$B$150,'-ref_Distribution'!$G$146:$G$150)),RIGHT(BE$1,2)),"")</f>
        <v>250</v>
      </c>
      <c r="BF62" s="16" cm="1">
        <f t="array" ref="BF62">IFERROR(INDEX(_xlfn.ANCHORARRAY(_xlfn.XLOOKUP($C62,'-ref_Distribution'!$B$146:$B$150,'-ref_Distribution'!$G$146:$G$150)),RIGHT(BF$1,2)),"")</f>
        <v>212</v>
      </c>
      <c r="BG62" s="16" cm="1">
        <f t="array" ref="BG62">IFERROR(INDEX(_xlfn.ANCHORARRAY(_xlfn.XLOOKUP($C62,'-ref_Distribution'!$B$146:$B$150,'-ref_Distribution'!$G$146:$G$150)),RIGHT(BG$1,2)),"")</f>
        <v>177</v>
      </c>
      <c r="BH62" s="16" cm="1">
        <f t="array" ref="BH62">IFERROR(INDEX(_xlfn.ANCHORARRAY(_xlfn.XLOOKUP($C62,'-ref_Distribution'!$B$146:$B$150,'-ref_Distribution'!$G$146:$G$150)),RIGHT(BH$1,2)),"")</f>
        <v>146</v>
      </c>
      <c r="BI62" s="16" cm="1">
        <f t="array" ref="BI62">IFERROR(INDEX(_xlfn.ANCHORARRAY(_xlfn.XLOOKUP($C62,'-ref_Distribution'!$B$146:$B$150,'-ref_Distribution'!$G$146:$G$150)),RIGHT(BI$1,2)),"")</f>
        <v>119</v>
      </c>
      <c r="BJ62" s="16" cm="1">
        <f t="array" ref="BJ62">IFERROR(INDEX(_xlfn.ANCHORARRAY(_xlfn.XLOOKUP($C62,'-ref_Distribution'!$B$146:$B$150,'-ref_Distribution'!$G$146:$G$150)),RIGHT(BJ$1,2)),"")</f>
        <v>96</v>
      </c>
      <c r="BK62" s="16" cm="1">
        <f t="array" ref="BK62">IFERROR(INDEX(_xlfn.ANCHORARRAY(_xlfn.XLOOKUP($C62,'-ref_Distribution'!$B$146:$B$150,'-ref_Distribution'!$G$146:$G$150)),RIGHT(BK$1,2)),"")</f>
        <v>76</v>
      </c>
      <c r="BL62" s="16" cm="1">
        <f t="array" ref="BL62">IFERROR(INDEX(_xlfn.ANCHORARRAY(_xlfn.XLOOKUP($C62,'-ref_Distribution'!$B$146:$B$150,'-ref_Distribution'!$G$146:$G$150)),RIGHT(BL$1,2)),"")</f>
        <v>709</v>
      </c>
      <c r="BM62" s="16" cm="1">
        <f t="array" ref="BM62">IFERROR(INDEX(_xlfn.ANCHORARRAY(_xlfn.XLOOKUP($C62,'-ref_Distribution'!$B$146:$B$150,'-ref_Distribution'!$G$146:$G$150)),RIGHT(BM$1,2)),"")</f>
        <v>705</v>
      </c>
      <c r="BN62" s="16" cm="1">
        <f t="array" ref="BN62">IFERROR(INDEX(_xlfn.ANCHORARRAY(_xlfn.XLOOKUP($C62,'-ref_Distribution'!$B$146:$B$150,'-ref_Distribution'!$G$146:$G$150)),RIGHT(BN$1,2)),"")</f>
        <v>692</v>
      </c>
      <c r="BO62" s="16" cm="1">
        <f t="array" ref="BO62">IFERROR(INDEX(_xlfn.ANCHORARRAY(_xlfn.XLOOKUP($C62,'-ref_Distribution'!$B$146:$B$150,'-ref_Distribution'!$G$146:$G$150)),RIGHT(BO$1,2)),"")</f>
        <v>671</v>
      </c>
      <c r="BP62" s="16" cm="1">
        <f t="array" ref="BP62">IFERROR(INDEX(_xlfn.ANCHORARRAY(_xlfn.XLOOKUP($C62,'-ref_Distribution'!$B$146:$B$150,'-ref_Distribution'!$G$146:$G$150)),RIGHT(BP$1,2)),"")</f>
        <v>643</v>
      </c>
      <c r="BQ62" s="16" cm="1">
        <f t="array" ref="BQ62">IFERROR(INDEX(_xlfn.ANCHORARRAY(_xlfn.XLOOKUP($C62,'-ref_Distribution'!$B$146:$B$150,'-ref_Distribution'!$G$146:$G$150)),RIGHT(BQ$1,2)),"")</f>
        <v>608</v>
      </c>
      <c r="BR62" s="16" cm="1">
        <f t="array" ref="BR62">IFERROR(INDEX(_xlfn.ANCHORARRAY(_xlfn.XLOOKUP($C62,'-ref_Distribution'!$B$146:$B$150,'-ref_Distribution'!$G$146:$G$150)),RIGHT(BR$1,2)),"")</f>
        <v>568</v>
      </c>
      <c r="BS62" s="16" cm="1">
        <f t="array" ref="BS62">IFERROR(INDEX(_xlfn.ANCHORARRAY(_xlfn.XLOOKUP($C62,'-ref_Distribution'!$B$146:$B$150,'-ref_Distribution'!$G$146:$G$150)),RIGHT(BS$1,2)),"")</f>
        <v>524</v>
      </c>
      <c r="BT62" s="16" cm="1">
        <f t="array" ref="BT62">IFERROR(INDEX(_xlfn.ANCHORARRAY(_xlfn.XLOOKUP($C62,'-ref_Distribution'!$B$146:$B$150,'-ref_Distribution'!$G$146:$G$150)),RIGHT(BT$1,2)),"")</f>
        <v>478</v>
      </c>
      <c r="BU62" s="16" cm="1">
        <f t="array" ref="BU62">IFERROR(INDEX(_xlfn.ANCHORARRAY(_xlfn.XLOOKUP($C62,'-ref_Distribution'!$B$146:$B$150,'-ref_Distribution'!$G$146:$G$150)),RIGHT(BU$1,2)),"")</f>
        <v>430</v>
      </c>
      <c r="BV62" s="16" cm="1">
        <f t="array" ref="BV62">IFERROR(INDEX(_xlfn.ANCHORARRAY(_xlfn.XLOOKUP($C62,'-ref_Distribution'!$B$146:$B$150,'-ref_Distribution'!$G$146:$G$150)),RIGHT(BV$1,2)),"")</f>
        <v>383</v>
      </c>
      <c r="BW62" s="16" cm="1">
        <f t="array" ref="BW62">IFERROR(INDEX(_xlfn.ANCHORARRAY(_xlfn.XLOOKUP($C62,'-ref_Distribution'!$B$146:$B$150,'-ref_Distribution'!$G$146:$G$150)),RIGHT(BW$1,2)),"")</f>
        <v>336</v>
      </c>
      <c r="BX62" s="16" cm="1">
        <f t="array" ref="BX62">IFERROR(INDEX(_xlfn.ANCHORARRAY(_xlfn.XLOOKUP($C62,'-ref_Distribution'!$B$146:$B$150,'-ref_Distribution'!$G$146:$G$150)),RIGHT(BX$1,2)),"")</f>
        <v>292</v>
      </c>
      <c r="BY62" s="16" cm="1">
        <f t="array" ref="BY62">IFERROR(INDEX(_xlfn.ANCHORARRAY(_xlfn.XLOOKUP($C62,'-ref_Distribution'!$B$146:$B$150,'-ref_Distribution'!$G$146:$G$150)),RIGHT(BY$1,2)),"")</f>
        <v>250</v>
      </c>
      <c r="BZ62" s="16" cm="1">
        <f t="array" ref="BZ62">IFERROR(INDEX(_xlfn.ANCHORARRAY(_xlfn.XLOOKUP($C62,'-ref_Distribution'!$B$146:$B$150,'-ref_Distribution'!$G$146:$G$150)),RIGHT(BZ$1,2)),"")</f>
        <v>212</v>
      </c>
      <c r="CA62" s="16" cm="1">
        <f t="array" ref="CA62">IFERROR(INDEX(_xlfn.ANCHORARRAY(_xlfn.XLOOKUP($C62,'-ref_Distribution'!$B$146:$B$150,'-ref_Distribution'!$G$146:$G$150)),RIGHT(CA$1,2)),"")</f>
        <v>177</v>
      </c>
      <c r="CB62" s="16" cm="1">
        <f t="array" ref="CB62">IFERROR(INDEX(_xlfn.ANCHORARRAY(_xlfn.XLOOKUP($C62,'-ref_Distribution'!$B$146:$B$150,'-ref_Distribution'!$G$146:$G$150)),RIGHT(CB$1,2)),"")</f>
        <v>146</v>
      </c>
      <c r="CC62" s="16" cm="1">
        <f t="array" ref="CC62">IFERROR(INDEX(_xlfn.ANCHORARRAY(_xlfn.XLOOKUP($C62,'-ref_Distribution'!$B$146:$B$150,'-ref_Distribution'!$G$146:$G$150)),RIGHT(CC$1,2)),"")</f>
        <v>119</v>
      </c>
      <c r="CD62" s="16" cm="1">
        <f t="array" ref="CD62">IFERROR(INDEX(_xlfn.ANCHORARRAY(_xlfn.XLOOKUP($C62,'-ref_Distribution'!$B$146:$B$150,'-ref_Distribution'!$G$146:$G$150)),RIGHT(CD$1,2)),"")</f>
        <v>96</v>
      </c>
      <c r="CE62" s="16" cm="1">
        <f t="array" ref="CE62">IFERROR(INDEX(_xlfn.ANCHORARRAY(_xlfn.XLOOKUP($C62,'-ref_Distribution'!$B$146:$B$150,'-ref_Distribution'!$G$146:$G$150)),RIGHT(CE$1,2)),"")</f>
        <v>76</v>
      </c>
    </row>
    <row r="63" spans="1:83" x14ac:dyDescent="0.2">
      <c r="A63" s="16">
        <v>310204</v>
      </c>
      <c r="B63" s="16" t="s">
        <v>374</v>
      </c>
      <c r="C63" s="16">
        <v>1</v>
      </c>
      <c r="D63" s="16" cm="1">
        <f t="array" ref="D63">IFERROR(INDEX(_xlfn.ANCHORARRAY(_xlfn.XLOOKUP($C63,'-ref_Distribution'!$B$146:$B$150,'-ref_Distribution'!$G$146:$G$150)),RIGHT(D$1,2)),"")</f>
        <v>337</v>
      </c>
      <c r="E63" s="16" cm="1">
        <f t="array" ref="E63">IFERROR(INDEX(_xlfn.ANCHORARRAY(_xlfn.XLOOKUP($C63,'-ref_Distribution'!$B$146:$B$150,'-ref_Distribution'!$G$146:$G$150)),RIGHT(E$1,2)),"")</f>
        <v>364</v>
      </c>
      <c r="F63" s="16" cm="1">
        <f t="array" ref="F63">IFERROR(INDEX(_xlfn.ANCHORARRAY(_xlfn.XLOOKUP($C63,'-ref_Distribution'!$B$146:$B$150,'-ref_Distribution'!$G$146:$G$150)),RIGHT(F$1,2)),"")</f>
        <v>386</v>
      </c>
      <c r="G63" s="16" cm="1">
        <f t="array" ref="G63">IFERROR(INDEX(_xlfn.ANCHORARRAY(_xlfn.XLOOKUP($C63,'-ref_Distribution'!$B$146:$B$150,'-ref_Distribution'!$G$146:$G$150)),RIGHT(G$1,2)),"")</f>
        <v>403</v>
      </c>
      <c r="H63" s="16" cm="1">
        <f t="array" ref="H63">IFERROR(INDEX(_xlfn.ANCHORARRAY(_xlfn.XLOOKUP($C63,'-ref_Distribution'!$B$146:$B$150,'-ref_Distribution'!$G$146:$G$150)),RIGHT(H$1,2)),"")</f>
        <v>414</v>
      </c>
      <c r="I63" s="16" cm="1">
        <f t="array" ref="I63">IFERROR(INDEX(_xlfn.ANCHORARRAY(_xlfn.XLOOKUP($C63,'-ref_Distribution'!$B$146:$B$150,'-ref_Distribution'!$G$146:$G$150)),RIGHT(I$1,2)),"")</f>
        <v>417</v>
      </c>
      <c r="J63" s="16" cm="1">
        <f t="array" ref="J63">IFERROR(INDEX(_xlfn.ANCHORARRAY(_xlfn.XLOOKUP($C63,'-ref_Distribution'!$B$146:$B$150,'-ref_Distribution'!$G$146:$G$150)),RIGHT(J$1,2)),"")</f>
        <v>414</v>
      </c>
      <c r="K63" s="16" cm="1">
        <f t="array" ref="K63">IFERROR(INDEX(_xlfn.ANCHORARRAY(_xlfn.XLOOKUP($C63,'-ref_Distribution'!$B$146:$B$150,'-ref_Distribution'!$G$146:$G$150)),RIGHT(K$1,2)),"")</f>
        <v>403</v>
      </c>
      <c r="L63" s="16" cm="1">
        <f t="array" ref="L63">IFERROR(INDEX(_xlfn.ANCHORARRAY(_xlfn.XLOOKUP($C63,'-ref_Distribution'!$B$146:$B$150,'-ref_Distribution'!$G$146:$G$150)),RIGHT(L$1,2)),"")</f>
        <v>386</v>
      </c>
      <c r="M63" s="16" cm="1">
        <f t="array" ref="M63">IFERROR(INDEX(_xlfn.ANCHORARRAY(_xlfn.XLOOKUP($C63,'-ref_Distribution'!$B$146:$B$150,'-ref_Distribution'!$G$146:$G$150)),RIGHT(M$1,2)),"")</f>
        <v>364</v>
      </c>
      <c r="N63" s="16" cm="1">
        <f t="array" ref="N63">IFERROR(INDEX(_xlfn.ANCHORARRAY(_xlfn.XLOOKUP($C63,'-ref_Distribution'!$B$146:$B$150,'-ref_Distribution'!$G$146:$G$150)),RIGHT(N$1,2)),"")</f>
        <v>337</v>
      </c>
      <c r="O63" s="16" cm="1">
        <f t="array" ref="O63">IFERROR(INDEX(_xlfn.ANCHORARRAY(_xlfn.XLOOKUP($C63,'-ref_Distribution'!$B$146:$B$150,'-ref_Distribution'!$G$146:$G$150)),RIGHT(O$1,2)),"")</f>
        <v>307</v>
      </c>
      <c r="P63" s="16" cm="1">
        <f t="array" ref="P63">IFERROR(INDEX(_xlfn.ANCHORARRAY(_xlfn.XLOOKUP($C63,'-ref_Distribution'!$B$146:$B$150,'-ref_Distribution'!$G$146:$G$150)),RIGHT(P$1,2)),"")</f>
        <v>274</v>
      </c>
      <c r="Q63" s="16" cm="1">
        <f t="array" ref="Q63">IFERROR(INDEX(_xlfn.ANCHORARRAY(_xlfn.XLOOKUP($C63,'-ref_Distribution'!$B$146:$B$150,'-ref_Distribution'!$G$146:$G$150)),RIGHT(Q$1,2)),"")</f>
        <v>241</v>
      </c>
      <c r="R63" s="16" cm="1">
        <f t="array" ref="R63">IFERROR(INDEX(_xlfn.ANCHORARRAY(_xlfn.XLOOKUP($C63,'-ref_Distribution'!$B$146:$B$150,'-ref_Distribution'!$G$146:$G$150)),RIGHT(R$1,2)),"")</f>
        <v>209</v>
      </c>
      <c r="S63" s="16" cm="1">
        <f t="array" ref="S63">IFERROR(INDEX(_xlfn.ANCHORARRAY(_xlfn.XLOOKUP($C63,'-ref_Distribution'!$B$146:$B$150,'-ref_Distribution'!$G$146:$G$150)),RIGHT(S$1,2)),"")</f>
        <v>178</v>
      </c>
      <c r="T63" s="16" cm="1">
        <f t="array" ref="T63">IFERROR(INDEX(_xlfn.ANCHORARRAY(_xlfn.XLOOKUP($C63,'-ref_Distribution'!$B$146:$B$150,'-ref_Distribution'!$G$146:$G$150)),RIGHT(T$1,2)),"")</f>
        <v>148</v>
      </c>
      <c r="U63" s="16" cm="1">
        <f t="array" ref="U63">IFERROR(INDEX(_xlfn.ANCHORARRAY(_xlfn.XLOOKUP($C63,'-ref_Distribution'!$B$146:$B$150,'-ref_Distribution'!$G$146:$G$150)),RIGHT(U$1,2)),"")</f>
        <v>122</v>
      </c>
      <c r="V63" s="16" cm="1">
        <f t="array" ref="V63">IFERROR(INDEX(_xlfn.ANCHORARRAY(_xlfn.XLOOKUP($C63,'-ref_Distribution'!$B$146:$B$150,'-ref_Distribution'!$G$146:$G$150)),RIGHT(V$1,2)),"")</f>
        <v>98</v>
      </c>
      <c r="W63" s="16" cm="1">
        <f t="array" ref="W63">IFERROR(INDEX(_xlfn.ANCHORARRAY(_xlfn.XLOOKUP($C63,'-ref_Distribution'!$B$146:$B$150,'-ref_Distribution'!$G$146:$G$150)),RIGHT(W$1,2)),"")</f>
        <v>78</v>
      </c>
      <c r="X63" s="16" cm="1">
        <f t="array" ref="X63">IFERROR(INDEX(_xlfn.ANCHORARRAY(_xlfn.XLOOKUP($C63,'-ref_Distribution'!$B$146:$B$150,'-ref_Distribution'!$G$146:$G$150)),RIGHT(X$1,2)),"")</f>
        <v>337</v>
      </c>
      <c r="Y63" s="16" cm="1">
        <f t="array" ref="Y63">IFERROR(INDEX(_xlfn.ANCHORARRAY(_xlfn.XLOOKUP($C63,'-ref_Distribution'!$B$146:$B$150,'-ref_Distribution'!$G$146:$G$150)),RIGHT(Y$1,2)),"")</f>
        <v>364</v>
      </c>
      <c r="Z63" s="16" cm="1">
        <f t="array" ref="Z63">IFERROR(INDEX(_xlfn.ANCHORARRAY(_xlfn.XLOOKUP($C63,'-ref_Distribution'!$B$146:$B$150,'-ref_Distribution'!$G$146:$G$150)),RIGHT(Z$1,2)),"")</f>
        <v>386</v>
      </c>
      <c r="AA63" s="16" cm="1">
        <f t="array" ref="AA63">IFERROR(INDEX(_xlfn.ANCHORARRAY(_xlfn.XLOOKUP($C63,'-ref_Distribution'!$B$146:$B$150,'-ref_Distribution'!$G$146:$G$150)),RIGHT(AA$1,2)),"")</f>
        <v>403</v>
      </c>
      <c r="AB63" s="16" cm="1">
        <f t="array" ref="AB63">IFERROR(INDEX(_xlfn.ANCHORARRAY(_xlfn.XLOOKUP($C63,'-ref_Distribution'!$B$146:$B$150,'-ref_Distribution'!$G$146:$G$150)),RIGHT(AB$1,2)),"")</f>
        <v>414</v>
      </c>
      <c r="AC63" s="16" cm="1">
        <f t="array" ref="AC63">IFERROR(INDEX(_xlfn.ANCHORARRAY(_xlfn.XLOOKUP($C63,'-ref_Distribution'!$B$146:$B$150,'-ref_Distribution'!$G$146:$G$150)),RIGHT(AC$1,2)),"")</f>
        <v>417</v>
      </c>
      <c r="AD63" s="16" cm="1">
        <f t="array" ref="AD63">IFERROR(INDEX(_xlfn.ANCHORARRAY(_xlfn.XLOOKUP($C63,'-ref_Distribution'!$B$146:$B$150,'-ref_Distribution'!$G$146:$G$150)),RIGHT(AD$1,2)),"")</f>
        <v>414</v>
      </c>
      <c r="AE63" s="16" cm="1">
        <f t="array" ref="AE63">IFERROR(INDEX(_xlfn.ANCHORARRAY(_xlfn.XLOOKUP($C63,'-ref_Distribution'!$B$146:$B$150,'-ref_Distribution'!$G$146:$G$150)),RIGHT(AE$1,2)),"")</f>
        <v>403</v>
      </c>
      <c r="AF63" s="16" cm="1">
        <f t="array" ref="AF63">IFERROR(INDEX(_xlfn.ANCHORARRAY(_xlfn.XLOOKUP($C63,'-ref_Distribution'!$B$146:$B$150,'-ref_Distribution'!$G$146:$G$150)),RIGHT(AF$1,2)),"")</f>
        <v>386</v>
      </c>
      <c r="AG63" s="16" cm="1">
        <f t="array" ref="AG63">IFERROR(INDEX(_xlfn.ANCHORARRAY(_xlfn.XLOOKUP($C63,'-ref_Distribution'!$B$146:$B$150,'-ref_Distribution'!$G$146:$G$150)),RIGHT(AG$1,2)),"")</f>
        <v>364</v>
      </c>
      <c r="AH63" s="16" cm="1">
        <f t="array" ref="AH63">IFERROR(INDEX(_xlfn.ANCHORARRAY(_xlfn.XLOOKUP($C63,'-ref_Distribution'!$B$146:$B$150,'-ref_Distribution'!$G$146:$G$150)),RIGHT(AH$1,2)),"")</f>
        <v>337</v>
      </c>
      <c r="AI63" s="16" cm="1">
        <f t="array" ref="AI63">IFERROR(INDEX(_xlfn.ANCHORARRAY(_xlfn.XLOOKUP($C63,'-ref_Distribution'!$B$146:$B$150,'-ref_Distribution'!$G$146:$G$150)),RIGHT(AI$1,2)),"")</f>
        <v>307</v>
      </c>
      <c r="AJ63" s="16" cm="1">
        <f t="array" ref="AJ63">IFERROR(INDEX(_xlfn.ANCHORARRAY(_xlfn.XLOOKUP($C63,'-ref_Distribution'!$B$146:$B$150,'-ref_Distribution'!$G$146:$G$150)),RIGHT(AJ$1,2)),"")</f>
        <v>274</v>
      </c>
      <c r="AK63" s="16" cm="1">
        <f t="array" ref="AK63">IFERROR(INDEX(_xlfn.ANCHORARRAY(_xlfn.XLOOKUP($C63,'-ref_Distribution'!$B$146:$B$150,'-ref_Distribution'!$G$146:$G$150)),RIGHT(AK$1,2)),"")</f>
        <v>241</v>
      </c>
      <c r="AL63" s="16" cm="1">
        <f t="array" ref="AL63">IFERROR(INDEX(_xlfn.ANCHORARRAY(_xlfn.XLOOKUP($C63,'-ref_Distribution'!$B$146:$B$150,'-ref_Distribution'!$G$146:$G$150)),RIGHT(AL$1,2)),"")</f>
        <v>209</v>
      </c>
      <c r="AM63" s="16" cm="1">
        <f t="array" ref="AM63">IFERROR(INDEX(_xlfn.ANCHORARRAY(_xlfn.XLOOKUP($C63,'-ref_Distribution'!$B$146:$B$150,'-ref_Distribution'!$G$146:$G$150)),RIGHT(AM$1,2)),"")</f>
        <v>178</v>
      </c>
      <c r="AN63" s="16" cm="1">
        <f t="array" ref="AN63">IFERROR(INDEX(_xlfn.ANCHORARRAY(_xlfn.XLOOKUP($C63,'-ref_Distribution'!$B$146:$B$150,'-ref_Distribution'!$G$146:$G$150)),RIGHT(AN$1,2)),"")</f>
        <v>148</v>
      </c>
      <c r="AO63" s="16" cm="1">
        <f t="array" ref="AO63">IFERROR(INDEX(_xlfn.ANCHORARRAY(_xlfn.XLOOKUP($C63,'-ref_Distribution'!$B$146:$B$150,'-ref_Distribution'!$G$146:$G$150)),RIGHT(AO$1,2)),"")</f>
        <v>122</v>
      </c>
      <c r="AP63" s="16" cm="1">
        <f t="array" ref="AP63">IFERROR(INDEX(_xlfn.ANCHORARRAY(_xlfn.XLOOKUP($C63,'-ref_Distribution'!$B$146:$B$150,'-ref_Distribution'!$G$146:$G$150)),RIGHT(AP$1,2)),"")</f>
        <v>98</v>
      </c>
      <c r="AQ63" s="16" cm="1">
        <f t="array" ref="AQ63">IFERROR(INDEX(_xlfn.ANCHORARRAY(_xlfn.XLOOKUP($C63,'-ref_Distribution'!$B$146:$B$150,'-ref_Distribution'!$G$146:$G$150)),RIGHT(AQ$1,2)),"")</f>
        <v>78</v>
      </c>
      <c r="AR63" s="16" cm="1">
        <f t="array" ref="AR63">IFERROR(INDEX(_xlfn.ANCHORARRAY(_xlfn.XLOOKUP($C63,'-ref_Distribution'!$B$146:$B$150,'-ref_Distribution'!$G$146:$G$150)),RIGHT(AR$1,2)),"")</f>
        <v>337</v>
      </c>
      <c r="AS63" s="16" cm="1">
        <f t="array" ref="AS63">IFERROR(INDEX(_xlfn.ANCHORARRAY(_xlfn.XLOOKUP($C63,'-ref_Distribution'!$B$146:$B$150,'-ref_Distribution'!$G$146:$G$150)),RIGHT(AS$1,2)),"")</f>
        <v>364</v>
      </c>
      <c r="AT63" s="16" cm="1">
        <f t="array" ref="AT63">IFERROR(INDEX(_xlfn.ANCHORARRAY(_xlfn.XLOOKUP($C63,'-ref_Distribution'!$B$146:$B$150,'-ref_Distribution'!$G$146:$G$150)),RIGHT(AT$1,2)),"")</f>
        <v>386</v>
      </c>
      <c r="AU63" s="16" cm="1">
        <f t="array" ref="AU63">IFERROR(INDEX(_xlfn.ANCHORARRAY(_xlfn.XLOOKUP($C63,'-ref_Distribution'!$B$146:$B$150,'-ref_Distribution'!$G$146:$G$150)),RIGHT(AU$1,2)),"")</f>
        <v>403</v>
      </c>
      <c r="AV63" s="16" cm="1">
        <f t="array" ref="AV63">IFERROR(INDEX(_xlfn.ANCHORARRAY(_xlfn.XLOOKUP($C63,'-ref_Distribution'!$B$146:$B$150,'-ref_Distribution'!$G$146:$G$150)),RIGHT(AV$1,2)),"")</f>
        <v>414</v>
      </c>
      <c r="AW63" s="16" cm="1">
        <f t="array" ref="AW63">IFERROR(INDEX(_xlfn.ANCHORARRAY(_xlfn.XLOOKUP($C63,'-ref_Distribution'!$B$146:$B$150,'-ref_Distribution'!$G$146:$G$150)),RIGHT(AW$1,2)),"")</f>
        <v>417</v>
      </c>
      <c r="AX63" s="16" cm="1">
        <f t="array" ref="AX63">IFERROR(INDEX(_xlfn.ANCHORARRAY(_xlfn.XLOOKUP($C63,'-ref_Distribution'!$B$146:$B$150,'-ref_Distribution'!$G$146:$G$150)),RIGHT(AX$1,2)),"")</f>
        <v>414</v>
      </c>
      <c r="AY63" s="16" cm="1">
        <f t="array" ref="AY63">IFERROR(INDEX(_xlfn.ANCHORARRAY(_xlfn.XLOOKUP($C63,'-ref_Distribution'!$B$146:$B$150,'-ref_Distribution'!$G$146:$G$150)),RIGHT(AY$1,2)),"")</f>
        <v>403</v>
      </c>
      <c r="AZ63" s="16" cm="1">
        <f t="array" ref="AZ63">IFERROR(INDEX(_xlfn.ANCHORARRAY(_xlfn.XLOOKUP($C63,'-ref_Distribution'!$B$146:$B$150,'-ref_Distribution'!$G$146:$G$150)),RIGHT(AZ$1,2)),"")</f>
        <v>386</v>
      </c>
      <c r="BA63" s="16" cm="1">
        <f t="array" ref="BA63">IFERROR(INDEX(_xlfn.ANCHORARRAY(_xlfn.XLOOKUP($C63,'-ref_Distribution'!$B$146:$B$150,'-ref_Distribution'!$G$146:$G$150)),RIGHT(BA$1,2)),"")</f>
        <v>364</v>
      </c>
      <c r="BB63" s="16" cm="1">
        <f t="array" ref="BB63">IFERROR(INDEX(_xlfn.ANCHORARRAY(_xlfn.XLOOKUP($C63,'-ref_Distribution'!$B$146:$B$150,'-ref_Distribution'!$G$146:$G$150)),RIGHT(BB$1,2)),"")</f>
        <v>337</v>
      </c>
      <c r="BC63" s="16" cm="1">
        <f t="array" ref="BC63">IFERROR(INDEX(_xlfn.ANCHORARRAY(_xlfn.XLOOKUP($C63,'-ref_Distribution'!$B$146:$B$150,'-ref_Distribution'!$G$146:$G$150)),RIGHT(BC$1,2)),"")</f>
        <v>307</v>
      </c>
      <c r="BD63" s="16" cm="1">
        <f t="array" ref="BD63">IFERROR(INDEX(_xlfn.ANCHORARRAY(_xlfn.XLOOKUP($C63,'-ref_Distribution'!$B$146:$B$150,'-ref_Distribution'!$G$146:$G$150)),RIGHT(BD$1,2)),"")</f>
        <v>274</v>
      </c>
      <c r="BE63" s="16" cm="1">
        <f t="array" ref="BE63">IFERROR(INDEX(_xlfn.ANCHORARRAY(_xlfn.XLOOKUP($C63,'-ref_Distribution'!$B$146:$B$150,'-ref_Distribution'!$G$146:$G$150)),RIGHT(BE$1,2)),"")</f>
        <v>241</v>
      </c>
      <c r="BF63" s="16" cm="1">
        <f t="array" ref="BF63">IFERROR(INDEX(_xlfn.ANCHORARRAY(_xlfn.XLOOKUP($C63,'-ref_Distribution'!$B$146:$B$150,'-ref_Distribution'!$G$146:$G$150)),RIGHT(BF$1,2)),"")</f>
        <v>209</v>
      </c>
      <c r="BG63" s="16" cm="1">
        <f t="array" ref="BG63">IFERROR(INDEX(_xlfn.ANCHORARRAY(_xlfn.XLOOKUP($C63,'-ref_Distribution'!$B$146:$B$150,'-ref_Distribution'!$G$146:$G$150)),RIGHT(BG$1,2)),"")</f>
        <v>178</v>
      </c>
      <c r="BH63" s="16" cm="1">
        <f t="array" ref="BH63">IFERROR(INDEX(_xlfn.ANCHORARRAY(_xlfn.XLOOKUP($C63,'-ref_Distribution'!$B$146:$B$150,'-ref_Distribution'!$G$146:$G$150)),RIGHT(BH$1,2)),"")</f>
        <v>148</v>
      </c>
      <c r="BI63" s="16" cm="1">
        <f t="array" ref="BI63">IFERROR(INDEX(_xlfn.ANCHORARRAY(_xlfn.XLOOKUP($C63,'-ref_Distribution'!$B$146:$B$150,'-ref_Distribution'!$G$146:$G$150)),RIGHT(BI$1,2)),"")</f>
        <v>122</v>
      </c>
      <c r="BJ63" s="16" cm="1">
        <f t="array" ref="BJ63">IFERROR(INDEX(_xlfn.ANCHORARRAY(_xlfn.XLOOKUP($C63,'-ref_Distribution'!$B$146:$B$150,'-ref_Distribution'!$G$146:$G$150)),RIGHT(BJ$1,2)),"")</f>
        <v>98</v>
      </c>
      <c r="BK63" s="16" cm="1">
        <f t="array" ref="BK63">IFERROR(INDEX(_xlfn.ANCHORARRAY(_xlfn.XLOOKUP($C63,'-ref_Distribution'!$B$146:$B$150,'-ref_Distribution'!$G$146:$G$150)),RIGHT(BK$1,2)),"")</f>
        <v>78</v>
      </c>
      <c r="BL63" s="16" cm="1">
        <f t="array" ref="BL63">IFERROR(INDEX(_xlfn.ANCHORARRAY(_xlfn.XLOOKUP($C63,'-ref_Distribution'!$B$146:$B$150,'-ref_Distribution'!$G$146:$G$150)),RIGHT(BL$1,2)),"")</f>
        <v>337</v>
      </c>
      <c r="BM63" s="16" cm="1">
        <f t="array" ref="BM63">IFERROR(INDEX(_xlfn.ANCHORARRAY(_xlfn.XLOOKUP($C63,'-ref_Distribution'!$B$146:$B$150,'-ref_Distribution'!$G$146:$G$150)),RIGHT(BM$1,2)),"")</f>
        <v>364</v>
      </c>
      <c r="BN63" s="16" cm="1">
        <f t="array" ref="BN63">IFERROR(INDEX(_xlfn.ANCHORARRAY(_xlfn.XLOOKUP($C63,'-ref_Distribution'!$B$146:$B$150,'-ref_Distribution'!$G$146:$G$150)),RIGHT(BN$1,2)),"")</f>
        <v>386</v>
      </c>
      <c r="BO63" s="16" cm="1">
        <f t="array" ref="BO63">IFERROR(INDEX(_xlfn.ANCHORARRAY(_xlfn.XLOOKUP($C63,'-ref_Distribution'!$B$146:$B$150,'-ref_Distribution'!$G$146:$G$150)),RIGHT(BO$1,2)),"")</f>
        <v>403</v>
      </c>
      <c r="BP63" s="16" cm="1">
        <f t="array" ref="BP63">IFERROR(INDEX(_xlfn.ANCHORARRAY(_xlfn.XLOOKUP($C63,'-ref_Distribution'!$B$146:$B$150,'-ref_Distribution'!$G$146:$G$150)),RIGHT(BP$1,2)),"")</f>
        <v>414</v>
      </c>
      <c r="BQ63" s="16" cm="1">
        <f t="array" ref="BQ63">IFERROR(INDEX(_xlfn.ANCHORARRAY(_xlfn.XLOOKUP($C63,'-ref_Distribution'!$B$146:$B$150,'-ref_Distribution'!$G$146:$G$150)),RIGHT(BQ$1,2)),"")</f>
        <v>417</v>
      </c>
      <c r="BR63" s="16" cm="1">
        <f t="array" ref="BR63">IFERROR(INDEX(_xlfn.ANCHORARRAY(_xlfn.XLOOKUP($C63,'-ref_Distribution'!$B$146:$B$150,'-ref_Distribution'!$G$146:$G$150)),RIGHT(BR$1,2)),"")</f>
        <v>414</v>
      </c>
      <c r="BS63" s="16" cm="1">
        <f t="array" ref="BS63">IFERROR(INDEX(_xlfn.ANCHORARRAY(_xlfn.XLOOKUP($C63,'-ref_Distribution'!$B$146:$B$150,'-ref_Distribution'!$G$146:$G$150)),RIGHT(BS$1,2)),"")</f>
        <v>403</v>
      </c>
      <c r="BT63" s="16" cm="1">
        <f t="array" ref="BT63">IFERROR(INDEX(_xlfn.ANCHORARRAY(_xlfn.XLOOKUP($C63,'-ref_Distribution'!$B$146:$B$150,'-ref_Distribution'!$G$146:$G$150)),RIGHT(BT$1,2)),"")</f>
        <v>386</v>
      </c>
      <c r="BU63" s="16" cm="1">
        <f t="array" ref="BU63">IFERROR(INDEX(_xlfn.ANCHORARRAY(_xlfn.XLOOKUP($C63,'-ref_Distribution'!$B$146:$B$150,'-ref_Distribution'!$G$146:$G$150)),RIGHT(BU$1,2)),"")</f>
        <v>364</v>
      </c>
      <c r="BV63" s="16" cm="1">
        <f t="array" ref="BV63">IFERROR(INDEX(_xlfn.ANCHORARRAY(_xlfn.XLOOKUP($C63,'-ref_Distribution'!$B$146:$B$150,'-ref_Distribution'!$G$146:$G$150)),RIGHT(BV$1,2)),"")</f>
        <v>337</v>
      </c>
      <c r="BW63" s="16" cm="1">
        <f t="array" ref="BW63">IFERROR(INDEX(_xlfn.ANCHORARRAY(_xlfn.XLOOKUP($C63,'-ref_Distribution'!$B$146:$B$150,'-ref_Distribution'!$G$146:$G$150)),RIGHT(BW$1,2)),"")</f>
        <v>307</v>
      </c>
      <c r="BX63" s="16" cm="1">
        <f t="array" ref="BX63">IFERROR(INDEX(_xlfn.ANCHORARRAY(_xlfn.XLOOKUP($C63,'-ref_Distribution'!$B$146:$B$150,'-ref_Distribution'!$G$146:$G$150)),RIGHT(BX$1,2)),"")</f>
        <v>274</v>
      </c>
      <c r="BY63" s="16" cm="1">
        <f t="array" ref="BY63">IFERROR(INDEX(_xlfn.ANCHORARRAY(_xlfn.XLOOKUP($C63,'-ref_Distribution'!$B$146:$B$150,'-ref_Distribution'!$G$146:$G$150)),RIGHT(BY$1,2)),"")</f>
        <v>241</v>
      </c>
      <c r="BZ63" s="16" cm="1">
        <f t="array" ref="BZ63">IFERROR(INDEX(_xlfn.ANCHORARRAY(_xlfn.XLOOKUP($C63,'-ref_Distribution'!$B$146:$B$150,'-ref_Distribution'!$G$146:$G$150)),RIGHT(BZ$1,2)),"")</f>
        <v>209</v>
      </c>
      <c r="CA63" s="16" cm="1">
        <f t="array" ref="CA63">IFERROR(INDEX(_xlfn.ANCHORARRAY(_xlfn.XLOOKUP($C63,'-ref_Distribution'!$B$146:$B$150,'-ref_Distribution'!$G$146:$G$150)),RIGHT(CA$1,2)),"")</f>
        <v>178</v>
      </c>
      <c r="CB63" s="16" cm="1">
        <f t="array" ref="CB63">IFERROR(INDEX(_xlfn.ANCHORARRAY(_xlfn.XLOOKUP($C63,'-ref_Distribution'!$B$146:$B$150,'-ref_Distribution'!$G$146:$G$150)),RIGHT(CB$1,2)),"")</f>
        <v>148</v>
      </c>
      <c r="CC63" s="16" cm="1">
        <f t="array" ref="CC63">IFERROR(INDEX(_xlfn.ANCHORARRAY(_xlfn.XLOOKUP($C63,'-ref_Distribution'!$B$146:$B$150,'-ref_Distribution'!$G$146:$G$150)),RIGHT(CC$1,2)),"")</f>
        <v>122</v>
      </c>
      <c r="CD63" s="16" cm="1">
        <f t="array" ref="CD63">IFERROR(INDEX(_xlfn.ANCHORARRAY(_xlfn.XLOOKUP($C63,'-ref_Distribution'!$B$146:$B$150,'-ref_Distribution'!$G$146:$G$150)),RIGHT(CD$1,2)),"")</f>
        <v>98</v>
      </c>
      <c r="CE63" s="16" cm="1">
        <f t="array" ref="CE63">IFERROR(INDEX(_xlfn.ANCHORARRAY(_xlfn.XLOOKUP($C63,'-ref_Distribution'!$B$146:$B$150,'-ref_Distribution'!$G$146:$G$150)),RIGHT(CE$1,2)),"")</f>
        <v>78</v>
      </c>
    </row>
    <row r="64" spans="1:83" x14ac:dyDescent="0.2">
      <c r="A64" s="16">
        <v>310205</v>
      </c>
      <c r="B64" s="16" t="s">
        <v>375</v>
      </c>
      <c r="C64" s="16">
        <v>2</v>
      </c>
      <c r="D64" s="16" cm="1">
        <f t="array" ref="D64">IFERROR(INDEX(_xlfn.ANCHORARRAY(_xlfn.XLOOKUP($C64,'-ref_Distribution'!$B$146:$B$150,'-ref_Distribution'!$G$146:$G$150)),RIGHT(D$1,2)),"")</f>
        <v>75</v>
      </c>
      <c r="E64" s="16" cm="1">
        <f t="array" ref="E64">IFERROR(INDEX(_xlfn.ANCHORARRAY(_xlfn.XLOOKUP($C64,'-ref_Distribution'!$B$146:$B$150,'-ref_Distribution'!$G$146:$G$150)),RIGHT(E$1,2)),"")</f>
        <v>94</v>
      </c>
      <c r="F64" s="16" cm="1">
        <f t="array" ref="F64">IFERROR(INDEX(_xlfn.ANCHORARRAY(_xlfn.XLOOKUP($C64,'-ref_Distribution'!$B$146:$B$150,'-ref_Distribution'!$G$146:$G$150)),RIGHT(F$1,2)),"")</f>
        <v>115</v>
      </c>
      <c r="G64" s="16" cm="1">
        <f t="array" ref="G64">IFERROR(INDEX(_xlfn.ANCHORARRAY(_xlfn.XLOOKUP($C64,'-ref_Distribution'!$B$146:$B$150,'-ref_Distribution'!$G$146:$G$150)),RIGHT(G$1,2)),"")</f>
        <v>137</v>
      </c>
      <c r="H64" s="16" cm="1">
        <f t="array" ref="H64">IFERROR(INDEX(_xlfn.ANCHORARRAY(_xlfn.XLOOKUP($C64,'-ref_Distribution'!$B$146:$B$150,'-ref_Distribution'!$G$146:$G$150)),RIGHT(H$1,2)),"")</f>
        <v>160</v>
      </c>
      <c r="I64" s="16" cm="1">
        <f t="array" ref="I64">IFERROR(INDEX(_xlfn.ANCHORARRAY(_xlfn.XLOOKUP($C64,'-ref_Distribution'!$B$146:$B$150,'-ref_Distribution'!$G$146:$G$150)),RIGHT(I$1,2)),"")</f>
        <v>183</v>
      </c>
      <c r="J64" s="16" cm="1">
        <f t="array" ref="J64">IFERROR(INDEX(_xlfn.ANCHORARRAY(_xlfn.XLOOKUP($C64,'-ref_Distribution'!$B$146:$B$150,'-ref_Distribution'!$G$146:$G$150)),RIGHT(J$1,2)),"")</f>
        <v>203</v>
      </c>
      <c r="K64" s="16" cm="1">
        <f t="array" ref="K64">IFERROR(INDEX(_xlfn.ANCHORARRAY(_xlfn.XLOOKUP($C64,'-ref_Distribution'!$B$146:$B$150,'-ref_Distribution'!$G$146:$G$150)),RIGHT(K$1,2)),"")</f>
        <v>221</v>
      </c>
      <c r="L64" s="16" cm="1">
        <f t="array" ref="L64">IFERROR(INDEX(_xlfn.ANCHORARRAY(_xlfn.XLOOKUP($C64,'-ref_Distribution'!$B$146:$B$150,'-ref_Distribution'!$G$146:$G$150)),RIGHT(L$1,2)),"")</f>
        <v>234</v>
      </c>
      <c r="M64" s="16" cm="1">
        <f t="array" ref="M64">IFERROR(INDEX(_xlfn.ANCHORARRAY(_xlfn.XLOOKUP($C64,'-ref_Distribution'!$B$146:$B$150,'-ref_Distribution'!$G$146:$G$150)),RIGHT(M$1,2)),"")</f>
        <v>243</v>
      </c>
      <c r="N64" s="16" cm="1">
        <f t="array" ref="N64">IFERROR(INDEX(_xlfn.ANCHORARRAY(_xlfn.XLOOKUP($C64,'-ref_Distribution'!$B$146:$B$150,'-ref_Distribution'!$G$146:$G$150)),RIGHT(N$1,2)),"")</f>
        <v>245</v>
      </c>
      <c r="O64" s="16" cm="1">
        <f t="array" ref="O64">IFERROR(INDEX(_xlfn.ANCHORARRAY(_xlfn.XLOOKUP($C64,'-ref_Distribution'!$B$146:$B$150,'-ref_Distribution'!$G$146:$G$150)),RIGHT(O$1,2)),"")</f>
        <v>243</v>
      </c>
      <c r="P64" s="16" cm="1">
        <f t="array" ref="P64">IFERROR(INDEX(_xlfn.ANCHORARRAY(_xlfn.XLOOKUP($C64,'-ref_Distribution'!$B$146:$B$150,'-ref_Distribution'!$G$146:$G$150)),RIGHT(P$1,2)),"")</f>
        <v>234</v>
      </c>
      <c r="Q64" s="16" cm="1">
        <f t="array" ref="Q64">IFERROR(INDEX(_xlfn.ANCHORARRAY(_xlfn.XLOOKUP($C64,'-ref_Distribution'!$B$146:$B$150,'-ref_Distribution'!$G$146:$G$150)),RIGHT(Q$1,2)),"")</f>
        <v>221</v>
      </c>
      <c r="R64" s="16" cm="1">
        <f t="array" ref="R64">IFERROR(INDEX(_xlfn.ANCHORARRAY(_xlfn.XLOOKUP($C64,'-ref_Distribution'!$B$146:$B$150,'-ref_Distribution'!$G$146:$G$150)),RIGHT(R$1,2)),"")</f>
        <v>203</v>
      </c>
      <c r="S64" s="16" cm="1">
        <f t="array" ref="S64">IFERROR(INDEX(_xlfn.ANCHORARRAY(_xlfn.XLOOKUP($C64,'-ref_Distribution'!$B$146:$B$150,'-ref_Distribution'!$G$146:$G$150)),RIGHT(S$1,2)),"")</f>
        <v>183</v>
      </c>
      <c r="T64" s="16" cm="1">
        <f t="array" ref="T64">IFERROR(INDEX(_xlfn.ANCHORARRAY(_xlfn.XLOOKUP($C64,'-ref_Distribution'!$B$146:$B$150,'-ref_Distribution'!$G$146:$G$150)),RIGHT(T$1,2)),"")</f>
        <v>160</v>
      </c>
      <c r="U64" s="16" cm="1">
        <f t="array" ref="U64">IFERROR(INDEX(_xlfn.ANCHORARRAY(_xlfn.XLOOKUP($C64,'-ref_Distribution'!$B$146:$B$150,'-ref_Distribution'!$G$146:$G$150)),RIGHT(U$1,2)),"")</f>
        <v>137</v>
      </c>
      <c r="V64" s="16" cm="1">
        <f t="array" ref="V64">IFERROR(INDEX(_xlfn.ANCHORARRAY(_xlfn.XLOOKUP($C64,'-ref_Distribution'!$B$146:$B$150,'-ref_Distribution'!$G$146:$G$150)),RIGHT(V$1,2)),"")</f>
        <v>115</v>
      </c>
      <c r="W64" s="16" cm="1">
        <f t="array" ref="W64">IFERROR(INDEX(_xlfn.ANCHORARRAY(_xlfn.XLOOKUP($C64,'-ref_Distribution'!$B$146:$B$150,'-ref_Distribution'!$G$146:$G$150)),RIGHT(W$1,2)),"")</f>
        <v>94</v>
      </c>
      <c r="X64" s="16" cm="1">
        <f t="array" ref="X64">IFERROR(INDEX(_xlfn.ANCHORARRAY(_xlfn.XLOOKUP($C64,'-ref_Distribution'!$B$146:$B$150,'-ref_Distribution'!$G$146:$G$150)),RIGHT(X$1,2)),"")</f>
        <v>75</v>
      </c>
      <c r="Y64" s="16" cm="1">
        <f t="array" ref="Y64">IFERROR(INDEX(_xlfn.ANCHORARRAY(_xlfn.XLOOKUP($C64,'-ref_Distribution'!$B$146:$B$150,'-ref_Distribution'!$G$146:$G$150)),RIGHT(Y$1,2)),"")</f>
        <v>94</v>
      </c>
      <c r="Z64" s="16" cm="1">
        <f t="array" ref="Z64">IFERROR(INDEX(_xlfn.ANCHORARRAY(_xlfn.XLOOKUP($C64,'-ref_Distribution'!$B$146:$B$150,'-ref_Distribution'!$G$146:$G$150)),RIGHT(Z$1,2)),"")</f>
        <v>115</v>
      </c>
      <c r="AA64" s="16" cm="1">
        <f t="array" ref="AA64">IFERROR(INDEX(_xlfn.ANCHORARRAY(_xlfn.XLOOKUP($C64,'-ref_Distribution'!$B$146:$B$150,'-ref_Distribution'!$G$146:$G$150)),RIGHT(AA$1,2)),"")</f>
        <v>137</v>
      </c>
      <c r="AB64" s="16" cm="1">
        <f t="array" ref="AB64">IFERROR(INDEX(_xlfn.ANCHORARRAY(_xlfn.XLOOKUP($C64,'-ref_Distribution'!$B$146:$B$150,'-ref_Distribution'!$G$146:$G$150)),RIGHT(AB$1,2)),"")</f>
        <v>160</v>
      </c>
      <c r="AC64" s="16" cm="1">
        <f t="array" ref="AC64">IFERROR(INDEX(_xlfn.ANCHORARRAY(_xlfn.XLOOKUP($C64,'-ref_Distribution'!$B$146:$B$150,'-ref_Distribution'!$G$146:$G$150)),RIGHT(AC$1,2)),"")</f>
        <v>183</v>
      </c>
      <c r="AD64" s="16" cm="1">
        <f t="array" ref="AD64">IFERROR(INDEX(_xlfn.ANCHORARRAY(_xlfn.XLOOKUP($C64,'-ref_Distribution'!$B$146:$B$150,'-ref_Distribution'!$G$146:$G$150)),RIGHT(AD$1,2)),"")</f>
        <v>203</v>
      </c>
      <c r="AE64" s="16" cm="1">
        <f t="array" ref="AE64">IFERROR(INDEX(_xlfn.ANCHORARRAY(_xlfn.XLOOKUP($C64,'-ref_Distribution'!$B$146:$B$150,'-ref_Distribution'!$G$146:$G$150)),RIGHT(AE$1,2)),"")</f>
        <v>221</v>
      </c>
      <c r="AF64" s="16" cm="1">
        <f t="array" ref="AF64">IFERROR(INDEX(_xlfn.ANCHORARRAY(_xlfn.XLOOKUP($C64,'-ref_Distribution'!$B$146:$B$150,'-ref_Distribution'!$G$146:$G$150)),RIGHT(AF$1,2)),"")</f>
        <v>234</v>
      </c>
      <c r="AG64" s="16" cm="1">
        <f t="array" ref="AG64">IFERROR(INDEX(_xlfn.ANCHORARRAY(_xlfn.XLOOKUP($C64,'-ref_Distribution'!$B$146:$B$150,'-ref_Distribution'!$G$146:$G$150)),RIGHT(AG$1,2)),"")</f>
        <v>243</v>
      </c>
      <c r="AH64" s="16" cm="1">
        <f t="array" ref="AH64">IFERROR(INDEX(_xlfn.ANCHORARRAY(_xlfn.XLOOKUP($C64,'-ref_Distribution'!$B$146:$B$150,'-ref_Distribution'!$G$146:$G$150)),RIGHT(AH$1,2)),"")</f>
        <v>245</v>
      </c>
      <c r="AI64" s="16" cm="1">
        <f t="array" ref="AI64">IFERROR(INDEX(_xlfn.ANCHORARRAY(_xlfn.XLOOKUP($C64,'-ref_Distribution'!$B$146:$B$150,'-ref_Distribution'!$G$146:$G$150)),RIGHT(AI$1,2)),"")</f>
        <v>243</v>
      </c>
      <c r="AJ64" s="16" cm="1">
        <f t="array" ref="AJ64">IFERROR(INDEX(_xlfn.ANCHORARRAY(_xlfn.XLOOKUP($C64,'-ref_Distribution'!$B$146:$B$150,'-ref_Distribution'!$G$146:$G$150)),RIGHT(AJ$1,2)),"")</f>
        <v>234</v>
      </c>
      <c r="AK64" s="16" cm="1">
        <f t="array" ref="AK64">IFERROR(INDEX(_xlfn.ANCHORARRAY(_xlfn.XLOOKUP($C64,'-ref_Distribution'!$B$146:$B$150,'-ref_Distribution'!$G$146:$G$150)),RIGHT(AK$1,2)),"")</f>
        <v>221</v>
      </c>
      <c r="AL64" s="16" cm="1">
        <f t="array" ref="AL64">IFERROR(INDEX(_xlfn.ANCHORARRAY(_xlfn.XLOOKUP($C64,'-ref_Distribution'!$B$146:$B$150,'-ref_Distribution'!$G$146:$G$150)),RIGHT(AL$1,2)),"")</f>
        <v>203</v>
      </c>
      <c r="AM64" s="16" cm="1">
        <f t="array" ref="AM64">IFERROR(INDEX(_xlfn.ANCHORARRAY(_xlfn.XLOOKUP($C64,'-ref_Distribution'!$B$146:$B$150,'-ref_Distribution'!$G$146:$G$150)),RIGHT(AM$1,2)),"")</f>
        <v>183</v>
      </c>
      <c r="AN64" s="16" cm="1">
        <f t="array" ref="AN64">IFERROR(INDEX(_xlfn.ANCHORARRAY(_xlfn.XLOOKUP($C64,'-ref_Distribution'!$B$146:$B$150,'-ref_Distribution'!$G$146:$G$150)),RIGHT(AN$1,2)),"")</f>
        <v>160</v>
      </c>
      <c r="AO64" s="16" cm="1">
        <f t="array" ref="AO64">IFERROR(INDEX(_xlfn.ANCHORARRAY(_xlfn.XLOOKUP($C64,'-ref_Distribution'!$B$146:$B$150,'-ref_Distribution'!$G$146:$G$150)),RIGHT(AO$1,2)),"")</f>
        <v>137</v>
      </c>
      <c r="AP64" s="16" cm="1">
        <f t="array" ref="AP64">IFERROR(INDEX(_xlfn.ANCHORARRAY(_xlfn.XLOOKUP($C64,'-ref_Distribution'!$B$146:$B$150,'-ref_Distribution'!$G$146:$G$150)),RIGHT(AP$1,2)),"")</f>
        <v>115</v>
      </c>
      <c r="AQ64" s="16" cm="1">
        <f t="array" ref="AQ64">IFERROR(INDEX(_xlfn.ANCHORARRAY(_xlfn.XLOOKUP($C64,'-ref_Distribution'!$B$146:$B$150,'-ref_Distribution'!$G$146:$G$150)),RIGHT(AQ$1,2)),"")</f>
        <v>94</v>
      </c>
      <c r="AR64" s="16" cm="1">
        <f t="array" ref="AR64">IFERROR(INDEX(_xlfn.ANCHORARRAY(_xlfn.XLOOKUP($C64,'-ref_Distribution'!$B$146:$B$150,'-ref_Distribution'!$G$146:$G$150)),RIGHT(AR$1,2)),"")</f>
        <v>75</v>
      </c>
      <c r="AS64" s="16" cm="1">
        <f t="array" ref="AS64">IFERROR(INDEX(_xlfn.ANCHORARRAY(_xlfn.XLOOKUP($C64,'-ref_Distribution'!$B$146:$B$150,'-ref_Distribution'!$G$146:$G$150)),RIGHT(AS$1,2)),"")</f>
        <v>94</v>
      </c>
      <c r="AT64" s="16" cm="1">
        <f t="array" ref="AT64">IFERROR(INDEX(_xlfn.ANCHORARRAY(_xlfn.XLOOKUP($C64,'-ref_Distribution'!$B$146:$B$150,'-ref_Distribution'!$G$146:$G$150)),RIGHT(AT$1,2)),"")</f>
        <v>115</v>
      </c>
      <c r="AU64" s="16" cm="1">
        <f t="array" ref="AU64">IFERROR(INDEX(_xlfn.ANCHORARRAY(_xlfn.XLOOKUP($C64,'-ref_Distribution'!$B$146:$B$150,'-ref_Distribution'!$G$146:$G$150)),RIGHT(AU$1,2)),"")</f>
        <v>137</v>
      </c>
      <c r="AV64" s="16" cm="1">
        <f t="array" ref="AV64">IFERROR(INDEX(_xlfn.ANCHORARRAY(_xlfn.XLOOKUP($C64,'-ref_Distribution'!$B$146:$B$150,'-ref_Distribution'!$G$146:$G$150)),RIGHT(AV$1,2)),"")</f>
        <v>160</v>
      </c>
      <c r="AW64" s="16" cm="1">
        <f t="array" ref="AW64">IFERROR(INDEX(_xlfn.ANCHORARRAY(_xlfn.XLOOKUP($C64,'-ref_Distribution'!$B$146:$B$150,'-ref_Distribution'!$G$146:$G$150)),RIGHT(AW$1,2)),"")</f>
        <v>183</v>
      </c>
      <c r="AX64" s="16" cm="1">
        <f t="array" ref="AX64">IFERROR(INDEX(_xlfn.ANCHORARRAY(_xlfn.XLOOKUP($C64,'-ref_Distribution'!$B$146:$B$150,'-ref_Distribution'!$G$146:$G$150)),RIGHT(AX$1,2)),"")</f>
        <v>203</v>
      </c>
      <c r="AY64" s="16" cm="1">
        <f t="array" ref="AY64">IFERROR(INDEX(_xlfn.ANCHORARRAY(_xlfn.XLOOKUP($C64,'-ref_Distribution'!$B$146:$B$150,'-ref_Distribution'!$G$146:$G$150)),RIGHT(AY$1,2)),"")</f>
        <v>221</v>
      </c>
      <c r="AZ64" s="16" cm="1">
        <f t="array" ref="AZ64">IFERROR(INDEX(_xlfn.ANCHORARRAY(_xlfn.XLOOKUP($C64,'-ref_Distribution'!$B$146:$B$150,'-ref_Distribution'!$G$146:$G$150)),RIGHT(AZ$1,2)),"")</f>
        <v>234</v>
      </c>
      <c r="BA64" s="16" cm="1">
        <f t="array" ref="BA64">IFERROR(INDEX(_xlfn.ANCHORARRAY(_xlfn.XLOOKUP($C64,'-ref_Distribution'!$B$146:$B$150,'-ref_Distribution'!$G$146:$G$150)),RIGHT(BA$1,2)),"")</f>
        <v>243</v>
      </c>
      <c r="BB64" s="16" cm="1">
        <f t="array" ref="BB64">IFERROR(INDEX(_xlfn.ANCHORARRAY(_xlfn.XLOOKUP($C64,'-ref_Distribution'!$B$146:$B$150,'-ref_Distribution'!$G$146:$G$150)),RIGHT(BB$1,2)),"")</f>
        <v>245</v>
      </c>
      <c r="BC64" s="16" cm="1">
        <f t="array" ref="BC64">IFERROR(INDEX(_xlfn.ANCHORARRAY(_xlfn.XLOOKUP($C64,'-ref_Distribution'!$B$146:$B$150,'-ref_Distribution'!$G$146:$G$150)),RIGHT(BC$1,2)),"")</f>
        <v>243</v>
      </c>
      <c r="BD64" s="16" cm="1">
        <f t="array" ref="BD64">IFERROR(INDEX(_xlfn.ANCHORARRAY(_xlfn.XLOOKUP($C64,'-ref_Distribution'!$B$146:$B$150,'-ref_Distribution'!$G$146:$G$150)),RIGHT(BD$1,2)),"")</f>
        <v>234</v>
      </c>
      <c r="BE64" s="16" cm="1">
        <f t="array" ref="BE64">IFERROR(INDEX(_xlfn.ANCHORARRAY(_xlfn.XLOOKUP($C64,'-ref_Distribution'!$B$146:$B$150,'-ref_Distribution'!$G$146:$G$150)),RIGHT(BE$1,2)),"")</f>
        <v>221</v>
      </c>
      <c r="BF64" s="16" cm="1">
        <f t="array" ref="BF64">IFERROR(INDEX(_xlfn.ANCHORARRAY(_xlfn.XLOOKUP($C64,'-ref_Distribution'!$B$146:$B$150,'-ref_Distribution'!$G$146:$G$150)),RIGHT(BF$1,2)),"")</f>
        <v>203</v>
      </c>
      <c r="BG64" s="16" cm="1">
        <f t="array" ref="BG64">IFERROR(INDEX(_xlfn.ANCHORARRAY(_xlfn.XLOOKUP($C64,'-ref_Distribution'!$B$146:$B$150,'-ref_Distribution'!$G$146:$G$150)),RIGHT(BG$1,2)),"")</f>
        <v>183</v>
      </c>
      <c r="BH64" s="16" cm="1">
        <f t="array" ref="BH64">IFERROR(INDEX(_xlfn.ANCHORARRAY(_xlfn.XLOOKUP($C64,'-ref_Distribution'!$B$146:$B$150,'-ref_Distribution'!$G$146:$G$150)),RIGHT(BH$1,2)),"")</f>
        <v>160</v>
      </c>
      <c r="BI64" s="16" cm="1">
        <f t="array" ref="BI64">IFERROR(INDEX(_xlfn.ANCHORARRAY(_xlfn.XLOOKUP($C64,'-ref_Distribution'!$B$146:$B$150,'-ref_Distribution'!$G$146:$G$150)),RIGHT(BI$1,2)),"")</f>
        <v>137</v>
      </c>
      <c r="BJ64" s="16" cm="1">
        <f t="array" ref="BJ64">IFERROR(INDEX(_xlfn.ANCHORARRAY(_xlfn.XLOOKUP($C64,'-ref_Distribution'!$B$146:$B$150,'-ref_Distribution'!$G$146:$G$150)),RIGHT(BJ$1,2)),"")</f>
        <v>115</v>
      </c>
      <c r="BK64" s="16" cm="1">
        <f t="array" ref="BK64">IFERROR(INDEX(_xlfn.ANCHORARRAY(_xlfn.XLOOKUP($C64,'-ref_Distribution'!$B$146:$B$150,'-ref_Distribution'!$G$146:$G$150)),RIGHT(BK$1,2)),"")</f>
        <v>94</v>
      </c>
      <c r="BL64" s="16" cm="1">
        <f t="array" ref="BL64">IFERROR(INDEX(_xlfn.ANCHORARRAY(_xlfn.XLOOKUP($C64,'-ref_Distribution'!$B$146:$B$150,'-ref_Distribution'!$G$146:$G$150)),RIGHT(BL$1,2)),"")</f>
        <v>75</v>
      </c>
      <c r="BM64" s="16" cm="1">
        <f t="array" ref="BM64">IFERROR(INDEX(_xlfn.ANCHORARRAY(_xlfn.XLOOKUP($C64,'-ref_Distribution'!$B$146:$B$150,'-ref_Distribution'!$G$146:$G$150)),RIGHT(BM$1,2)),"")</f>
        <v>94</v>
      </c>
      <c r="BN64" s="16" cm="1">
        <f t="array" ref="BN64">IFERROR(INDEX(_xlfn.ANCHORARRAY(_xlfn.XLOOKUP($C64,'-ref_Distribution'!$B$146:$B$150,'-ref_Distribution'!$G$146:$G$150)),RIGHT(BN$1,2)),"")</f>
        <v>115</v>
      </c>
      <c r="BO64" s="16" cm="1">
        <f t="array" ref="BO64">IFERROR(INDEX(_xlfn.ANCHORARRAY(_xlfn.XLOOKUP($C64,'-ref_Distribution'!$B$146:$B$150,'-ref_Distribution'!$G$146:$G$150)),RIGHT(BO$1,2)),"")</f>
        <v>137</v>
      </c>
      <c r="BP64" s="16" cm="1">
        <f t="array" ref="BP64">IFERROR(INDEX(_xlfn.ANCHORARRAY(_xlfn.XLOOKUP($C64,'-ref_Distribution'!$B$146:$B$150,'-ref_Distribution'!$G$146:$G$150)),RIGHT(BP$1,2)),"")</f>
        <v>160</v>
      </c>
      <c r="BQ64" s="16" cm="1">
        <f t="array" ref="BQ64">IFERROR(INDEX(_xlfn.ANCHORARRAY(_xlfn.XLOOKUP($C64,'-ref_Distribution'!$B$146:$B$150,'-ref_Distribution'!$G$146:$G$150)),RIGHT(BQ$1,2)),"")</f>
        <v>183</v>
      </c>
      <c r="BR64" s="16" cm="1">
        <f t="array" ref="BR64">IFERROR(INDEX(_xlfn.ANCHORARRAY(_xlfn.XLOOKUP($C64,'-ref_Distribution'!$B$146:$B$150,'-ref_Distribution'!$G$146:$G$150)),RIGHT(BR$1,2)),"")</f>
        <v>203</v>
      </c>
      <c r="BS64" s="16" cm="1">
        <f t="array" ref="BS64">IFERROR(INDEX(_xlfn.ANCHORARRAY(_xlfn.XLOOKUP($C64,'-ref_Distribution'!$B$146:$B$150,'-ref_Distribution'!$G$146:$G$150)),RIGHT(BS$1,2)),"")</f>
        <v>221</v>
      </c>
      <c r="BT64" s="16" cm="1">
        <f t="array" ref="BT64">IFERROR(INDEX(_xlfn.ANCHORARRAY(_xlfn.XLOOKUP($C64,'-ref_Distribution'!$B$146:$B$150,'-ref_Distribution'!$G$146:$G$150)),RIGHT(BT$1,2)),"")</f>
        <v>234</v>
      </c>
      <c r="BU64" s="16" cm="1">
        <f t="array" ref="BU64">IFERROR(INDEX(_xlfn.ANCHORARRAY(_xlfn.XLOOKUP($C64,'-ref_Distribution'!$B$146:$B$150,'-ref_Distribution'!$G$146:$G$150)),RIGHT(BU$1,2)),"")</f>
        <v>243</v>
      </c>
      <c r="BV64" s="16" cm="1">
        <f t="array" ref="BV64">IFERROR(INDEX(_xlfn.ANCHORARRAY(_xlfn.XLOOKUP($C64,'-ref_Distribution'!$B$146:$B$150,'-ref_Distribution'!$G$146:$G$150)),RIGHT(BV$1,2)),"")</f>
        <v>245</v>
      </c>
      <c r="BW64" s="16" cm="1">
        <f t="array" ref="BW64">IFERROR(INDEX(_xlfn.ANCHORARRAY(_xlfn.XLOOKUP($C64,'-ref_Distribution'!$B$146:$B$150,'-ref_Distribution'!$G$146:$G$150)),RIGHT(BW$1,2)),"")</f>
        <v>243</v>
      </c>
      <c r="BX64" s="16" cm="1">
        <f t="array" ref="BX64">IFERROR(INDEX(_xlfn.ANCHORARRAY(_xlfn.XLOOKUP($C64,'-ref_Distribution'!$B$146:$B$150,'-ref_Distribution'!$G$146:$G$150)),RIGHT(BX$1,2)),"")</f>
        <v>234</v>
      </c>
      <c r="BY64" s="16" cm="1">
        <f t="array" ref="BY64">IFERROR(INDEX(_xlfn.ANCHORARRAY(_xlfn.XLOOKUP($C64,'-ref_Distribution'!$B$146:$B$150,'-ref_Distribution'!$G$146:$G$150)),RIGHT(BY$1,2)),"")</f>
        <v>221</v>
      </c>
      <c r="BZ64" s="16" cm="1">
        <f t="array" ref="BZ64">IFERROR(INDEX(_xlfn.ANCHORARRAY(_xlfn.XLOOKUP($C64,'-ref_Distribution'!$B$146:$B$150,'-ref_Distribution'!$G$146:$G$150)),RIGHT(BZ$1,2)),"")</f>
        <v>203</v>
      </c>
      <c r="CA64" s="16" cm="1">
        <f t="array" ref="CA64">IFERROR(INDEX(_xlfn.ANCHORARRAY(_xlfn.XLOOKUP($C64,'-ref_Distribution'!$B$146:$B$150,'-ref_Distribution'!$G$146:$G$150)),RIGHT(CA$1,2)),"")</f>
        <v>183</v>
      </c>
      <c r="CB64" s="16" cm="1">
        <f t="array" ref="CB64">IFERROR(INDEX(_xlfn.ANCHORARRAY(_xlfn.XLOOKUP($C64,'-ref_Distribution'!$B$146:$B$150,'-ref_Distribution'!$G$146:$G$150)),RIGHT(CB$1,2)),"")</f>
        <v>160</v>
      </c>
      <c r="CC64" s="16" cm="1">
        <f t="array" ref="CC64">IFERROR(INDEX(_xlfn.ANCHORARRAY(_xlfn.XLOOKUP($C64,'-ref_Distribution'!$B$146:$B$150,'-ref_Distribution'!$G$146:$G$150)),RIGHT(CC$1,2)),"")</f>
        <v>137</v>
      </c>
      <c r="CD64" s="16" cm="1">
        <f t="array" ref="CD64">IFERROR(INDEX(_xlfn.ANCHORARRAY(_xlfn.XLOOKUP($C64,'-ref_Distribution'!$B$146:$B$150,'-ref_Distribution'!$G$146:$G$150)),RIGHT(CD$1,2)),"")</f>
        <v>115</v>
      </c>
      <c r="CE64" s="16" cm="1">
        <f t="array" ref="CE64">IFERROR(INDEX(_xlfn.ANCHORARRAY(_xlfn.XLOOKUP($C64,'-ref_Distribution'!$B$146:$B$150,'-ref_Distribution'!$G$146:$G$150)),RIGHT(CE$1,2)),"")</f>
        <v>94</v>
      </c>
    </row>
    <row r="65" spans="1:83" x14ac:dyDescent="0.2">
      <c r="A65" s="16">
        <v>310206</v>
      </c>
      <c r="B65" s="17" t="s">
        <v>391</v>
      </c>
      <c r="C65" s="16">
        <v>4</v>
      </c>
      <c r="D65" s="16" cm="1">
        <f t="array" ref="D65">IFERROR(INDEX(_xlfn.ANCHORARRAY(_xlfn.XLOOKUP($C65,'-ref_Distribution'!$B$146:$B$150,'-ref_Distribution'!$G$146:$G$150)),RIGHT(D$1,2)),"")</f>
        <v>0</v>
      </c>
      <c r="E65" s="16" cm="1">
        <f t="array" ref="E65">IFERROR(INDEX(_xlfn.ANCHORARRAY(_xlfn.XLOOKUP($C65,'-ref_Distribution'!$B$146:$B$150,'-ref_Distribution'!$G$146:$G$150)),RIGHT(E$1,2)),"")</f>
        <v>0</v>
      </c>
      <c r="F65" s="16" cm="1">
        <f t="array" ref="F65">IFERROR(INDEX(_xlfn.ANCHORARRAY(_xlfn.XLOOKUP($C65,'-ref_Distribution'!$B$146:$B$150,'-ref_Distribution'!$G$146:$G$150)),RIGHT(F$1,2)),"")</f>
        <v>0</v>
      </c>
      <c r="G65" s="16" cm="1">
        <f t="array" ref="G65">IFERROR(INDEX(_xlfn.ANCHORARRAY(_xlfn.XLOOKUP($C65,'-ref_Distribution'!$B$146:$B$150,'-ref_Distribution'!$G$146:$G$150)),RIGHT(G$1,2)),"")</f>
        <v>0</v>
      </c>
      <c r="H65" s="16" cm="1">
        <f t="array" ref="H65">IFERROR(INDEX(_xlfn.ANCHORARRAY(_xlfn.XLOOKUP($C65,'-ref_Distribution'!$B$146:$B$150,'-ref_Distribution'!$G$146:$G$150)),RIGHT(H$1,2)),"")</f>
        <v>0</v>
      </c>
      <c r="I65" s="16" cm="1">
        <f t="array" ref="I65">IFERROR(INDEX(_xlfn.ANCHORARRAY(_xlfn.XLOOKUP($C65,'-ref_Distribution'!$B$146:$B$150,'-ref_Distribution'!$G$146:$G$150)),RIGHT(I$1,2)),"")</f>
        <v>1</v>
      </c>
      <c r="J65" s="16" cm="1">
        <f t="array" ref="J65">IFERROR(INDEX(_xlfn.ANCHORARRAY(_xlfn.XLOOKUP($C65,'-ref_Distribution'!$B$146:$B$150,'-ref_Distribution'!$G$146:$G$150)),RIGHT(J$1,2)),"")</f>
        <v>1</v>
      </c>
      <c r="K65" s="16" cm="1">
        <f t="array" ref="K65">IFERROR(INDEX(_xlfn.ANCHORARRAY(_xlfn.XLOOKUP($C65,'-ref_Distribution'!$B$146:$B$150,'-ref_Distribution'!$G$146:$G$150)),RIGHT(K$1,2)),"")</f>
        <v>2</v>
      </c>
      <c r="L65" s="16" cm="1">
        <f t="array" ref="L65">IFERROR(INDEX(_xlfn.ANCHORARRAY(_xlfn.XLOOKUP($C65,'-ref_Distribution'!$B$146:$B$150,'-ref_Distribution'!$G$146:$G$150)),RIGHT(L$1,2)),"")</f>
        <v>3</v>
      </c>
      <c r="M65" s="16" cm="1">
        <f t="array" ref="M65">IFERROR(INDEX(_xlfn.ANCHORARRAY(_xlfn.XLOOKUP($C65,'-ref_Distribution'!$B$146:$B$150,'-ref_Distribution'!$G$146:$G$150)),RIGHT(M$1,2)),"")</f>
        <v>5</v>
      </c>
      <c r="N65" s="16" cm="1">
        <f t="array" ref="N65">IFERROR(INDEX(_xlfn.ANCHORARRAY(_xlfn.XLOOKUP($C65,'-ref_Distribution'!$B$146:$B$150,'-ref_Distribution'!$G$146:$G$150)),RIGHT(N$1,2)),"")</f>
        <v>9</v>
      </c>
      <c r="O65" s="16" cm="1">
        <f t="array" ref="O65">IFERROR(INDEX(_xlfn.ANCHORARRAY(_xlfn.XLOOKUP($C65,'-ref_Distribution'!$B$146:$B$150,'-ref_Distribution'!$G$146:$G$150)),RIGHT(O$1,2)),"")</f>
        <v>14</v>
      </c>
      <c r="P65" s="16" cm="1">
        <f t="array" ref="P65">IFERROR(INDEX(_xlfn.ANCHORARRAY(_xlfn.XLOOKUP($C65,'-ref_Distribution'!$B$146:$B$150,'-ref_Distribution'!$G$146:$G$150)),RIGHT(P$1,2)),"")</f>
        <v>20</v>
      </c>
      <c r="Q65" s="16" cm="1">
        <f t="array" ref="Q65">IFERROR(INDEX(_xlfn.ANCHORARRAY(_xlfn.XLOOKUP($C65,'-ref_Distribution'!$B$146:$B$150,'-ref_Distribution'!$G$146:$G$150)),RIGHT(Q$1,2)),"")</f>
        <v>28</v>
      </c>
      <c r="R65" s="16" cm="1">
        <f t="array" ref="R65">IFERROR(INDEX(_xlfn.ANCHORARRAY(_xlfn.XLOOKUP($C65,'-ref_Distribution'!$B$146:$B$150,'-ref_Distribution'!$G$146:$G$150)),RIGHT(R$1,2)),"")</f>
        <v>38</v>
      </c>
      <c r="S65" s="16" cm="1">
        <f t="array" ref="S65">IFERROR(INDEX(_xlfn.ANCHORARRAY(_xlfn.XLOOKUP($C65,'-ref_Distribution'!$B$146:$B$150,'-ref_Distribution'!$G$146:$G$150)),RIGHT(S$1,2)),"")</f>
        <v>48</v>
      </c>
      <c r="T65" s="16" cm="1">
        <f t="array" ref="T65">IFERROR(INDEX(_xlfn.ANCHORARRAY(_xlfn.XLOOKUP($C65,'-ref_Distribution'!$B$146:$B$150,'-ref_Distribution'!$G$146:$G$150)),RIGHT(T$1,2)),"")</f>
        <v>59</v>
      </c>
      <c r="U65" s="16" cm="1">
        <f t="array" ref="U65">IFERROR(INDEX(_xlfn.ANCHORARRAY(_xlfn.XLOOKUP($C65,'-ref_Distribution'!$B$146:$B$150,'-ref_Distribution'!$G$146:$G$150)),RIGHT(U$1,2)),"")</f>
        <v>69</v>
      </c>
      <c r="V65" s="16" cm="1">
        <f t="array" ref="V65">IFERROR(INDEX(_xlfn.ANCHORARRAY(_xlfn.XLOOKUP($C65,'-ref_Distribution'!$B$146:$B$150,'-ref_Distribution'!$G$146:$G$150)),RIGHT(V$1,2)),"")</f>
        <v>78</v>
      </c>
      <c r="W65" s="16" cm="1">
        <f t="array" ref="W65">IFERROR(INDEX(_xlfn.ANCHORARRAY(_xlfn.XLOOKUP($C65,'-ref_Distribution'!$B$146:$B$150,'-ref_Distribution'!$G$146:$G$150)),RIGHT(W$1,2)),"")</f>
        <v>83</v>
      </c>
      <c r="X65" s="16" cm="1">
        <f t="array" ref="X65">IFERROR(INDEX(_xlfn.ANCHORARRAY(_xlfn.XLOOKUP($C65,'-ref_Distribution'!$B$146:$B$150,'-ref_Distribution'!$G$146:$G$150)),RIGHT(X$1,2)),"")</f>
        <v>0</v>
      </c>
      <c r="Y65" s="16" cm="1">
        <f t="array" ref="Y65">IFERROR(INDEX(_xlfn.ANCHORARRAY(_xlfn.XLOOKUP($C65,'-ref_Distribution'!$B$146:$B$150,'-ref_Distribution'!$G$146:$G$150)),RIGHT(Y$1,2)),"")</f>
        <v>0</v>
      </c>
      <c r="Z65" s="16" cm="1">
        <f t="array" ref="Z65">IFERROR(INDEX(_xlfn.ANCHORARRAY(_xlfn.XLOOKUP($C65,'-ref_Distribution'!$B$146:$B$150,'-ref_Distribution'!$G$146:$G$150)),RIGHT(Z$1,2)),"")</f>
        <v>0</v>
      </c>
      <c r="AA65" s="16" cm="1">
        <f t="array" ref="AA65">IFERROR(INDEX(_xlfn.ANCHORARRAY(_xlfn.XLOOKUP($C65,'-ref_Distribution'!$B$146:$B$150,'-ref_Distribution'!$G$146:$G$150)),RIGHT(AA$1,2)),"")</f>
        <v>0</v>
      </c>
      <c r="AB65" s="16" cm="1">
        <f t="array" ref="AB65">IFERROR(INDEX(_xlfn.ANCHORARRAY(_xlfn.XLOOKUP($C65,'-ref_Distribution'!$B$146:$B$150,'-ref_Distribution'!$G$146:$G$150)),RIGHT(AB$1,2)),"")</f>
        <v>0</v>
      </c>
      <c r="AC65" s="16" cm="1">
        <f t="array" ref="AC65">IFERROR(INDEX(_xlfn.ANCHORARRAY(_xlfn.XLOOKUP($C65,'-ref_Distribution'!$B$146:$B$150,'-ref_Distribution'!$G$146:$G$150)),RIGHT(AC$1,2)),"")</f>
        <v>1</v>
      </c>
      <c r="AD65" s="16" cm="1">
        <f t="array" ref="AD65">IFERROR(INDEX(_xlfn.ANCHORARRAY(_xlfn.XLOOKUP($C65,'-ref_Distribution'!$B$146:$B$150,'-ref_Distribution'!$G$146:$G$150)),RIGHT(AD$1,2)),"")</f>
        <v>1</v>
      </c>
      <c r="AE65" s="16" cm="1">
        <f t="array" ref="AE65">IFERROR(INDEX(_xlfn.ANCHORARRAY(_xlfn.XLOOKUP($C65,'-ref_Distribution'!$B$146:$B$150,'-ref_Distribution'!$G$146:$G$150)),RIGHT(AE$1,2)),"")</f>
        <v>2</v>
      </c>
      <c r="AF65" s="16" cm="1">
        <f t="array" ref="AF65">IFERROR(INDEX(_xlfn.ANCHORARRAY(_xlfn.XLOOKUP($C65,'-ref_Distribution'!$B$146:$B$150,'-ref_Distribution'!$G$146:$G$150)),RIGHT(AF$1,2)),"")</f>
        <v>3</v>
      </c>
      <c r="AG65" s="16" cm="1">
        <f t="array" ref="AG65">IFERROR(INDEX(_xlfn.ANCHORARRAY(_xlfn.XLOOKUP($C65,'-ref_Distribution'!$B$146:$B$150,'-ref_Distribution'!$G$146:$G$150)),RIGHT(AG$1,2)),"")</f>
        <v>5</v>
      </c>
      <c r="AH65" s="16" cm="1">
        <f t="array" ref="AH65">IFERROR(INDEX(_xlfn.ANCHORARRAY(_xlfn.XLOOKUP($C65,'-ref_Distribution'!$B$146:$B$150,'-ref_Distribution'!$G$146:$G$150)),RIGHT(AH$1,2)),"")</f>
        <v>9</v>
      </c>
      <c r="AI65" s="16" cm="1">
        <f t="array" ref="AI65">IFERROR(INDEX(_xlfn.ANCHORARRAY(_xlfn.XLOOKUP($C65,'-ref_Distribution'!$B$146:$B$150,'-ref_Distribution'!$G$146:$G$150)),RIGHT(AI$1,2)),"")</f>
        <v>14</v>
      </c>
      <c r="AJ65" s="16" cm="1">
        <f t="array" ref="AJ65">IFERROR(INDEX(_xlfn.ANCHORARRAY(_xlfn.XLOOKUP($C65,'-ref_Distribution'!$B$146:$B$150,'-ref_Distribution'!$G$146:$G$150)),RIGHT(AJ$1,2)),"")</f>
        <v>20</v>
      </c>
      <c r="AK65" s="16" cm="1">
        <f t="array" ref="AK65">IFERROR(INDEX(_xlfn.ANCHORARRAY(_xlfn.XLOOKUP($C65,'-ref_Distribution'!$B$146:$B$150,'-ref_Distribution'!$G$146:$G$150)),RIGHT(AK$1,2)),"")</f>
        <v>28</v>
      </c>
      <c r="AL65" s="16" cm="1">
        <f t="array" ref="AL65">IFERROR(INDEX(_xlfn.ANCHORARRAY(_xlfn.XLOOKUP($C65,'-ref_Distribution'!$B$146:$B$150,'-ref_Distribution'!$G$146:$G$150)),RIGHT(AL$1,2)),"")</f>
        <v>38</v>
      </c>
      <c r="AM65" s="16" cm="1">
        <f t="array" ref="AM65">IFERROR(INDEX(_xlfn.ANCHORARRAY(_xlfn.XLOOKUP($C65,'-ref_Distribution'!$B$146:$B$150,'-ref_Distribution'!$G$146:$G$150)),RIGHT(AM$1,2)),"")</f>
        <v>48</v>
      </c>
      <c r="AN65" s="16" cm="1">
        <f t="array" ref="AN65">IFERROR(INDEX(_xlfn.ANCHORARRAY(_xlfn.XLOOKUP($C65,'-ref_Distribution'!$B$146:$B$150,'-ref_Distribution'!$G$146:$G$150)),RIGHT(AN$1,2)),"")</f>
        <v>59</v>
      </c>
      <c r="AO65" s="16" cm="1">
        <f t="array" ref="AO65">IFERROR(INDEX(_xlfn.ANCHORARRAY(_xlfn.XLOOKUP($C65,'-ref_Distribution'!$B$146:$B$150,'-ref_Distribution'!$G$146:$G$150)),RIGHT(AO$1,2)),"")</f>
        <v>69</v>
      </c>
      <c r="AP65" s="16" cm="1">
        <f t="array" ref="AP65">IFERROR(INDEX(_xlfn.ANCHORARRAY(_xlfn.XLOOKUP($C65,'-ref_Distribution'!$B$146:$B$150,'-ref_Distribution'!$G$146:$G$150)),RIGHT(AP$1,2)),"")</f>
        <v>78</v>
      </c>
      <c r="AQ65" s="16" cm="1">
        <f t="array" ref="AQ65">IFERROR(INDEX(_xlfn.ANCHORARRAY(_xlfn.XLOOKUP($C65,'-ref_Distribution'!$B$146:$B$150,'-ref_Distribution'!$G$146:$G$150)),RIGHT(AQ$1,2)),"")</f>
        <v>83</v>
      </c>
      <c r="AR65" s="16" cm="1">
        <f t="array" ref="AR65">IFERROR(INDEX(_xlfn.ANCHORARRAY(_xlfn.XLOOKUP($C65,'-ref_Distribution'!$B$146:$B$150,'-ref_Distribution'!$G$146:$G$150)),RIGHT(AR$1,2)),"")</f>
        <v>0</v>
      </c>
      <c r="AS65" s="16" cm="1">
        <f t="array" ref="AS65">IFERROR(INDEX(_xlfn.ANCHORARRAY(_xlfn.XLOOKUP($C65,'-ref_Distribution'!$B$146:$B$150,'-ref_Distribution'!$G$146:$G$150)),RIGHT(AS$1,2)),"")</f>
        <v>0</v>
      </c>
      <c r="AT65" s="16" cm="1">
        <f t="array" ref="AT65">IFERROR(INDEX(_xlfn.ANCHORARRAY(_xlfn.XLOOKUP($C65,'-ref_Distribution'!$B$146:$B$150,'-ref_Distribution'!$G$146:$G$150)),RIGHT(AT$1,2)),"")</f>
        <v>0</v>
      </c>
      <c r="AU65" s="16" cm="1">
        <f t="array" ref="AU65">IFERROR(INDEX(_xlfn.ANCHORARRAY(_xlfn.XLOOKUP($C65,'-ref_Distribution'!$B$146:$B$150,'-ref_Distribution'!$G$146:$G$150)),RIGHT(AU$1,2)),"")</f>
        <v>0</v>
      </c>
      <c r="AV65" s="16" cm="1">
        <f t="array" ref="AV65">IFERROR(INDEX(_xlfn.ANCHORARRAY(_xlfn.XLOOKUP($C65,'-ref_Distribution'!$B$146:$B$150,'-ref_Distribution'!$G$146:$G$150)),RIGHT(AV$1,2)),"")</f>
        <v>0</v>
      </c>
      <c r="AW65" s="16" cm="1">
        <f t="array" ref="AW65">IFERROR(INDEX(_xlfn.ANCHORARRAY(_xlfn.XLOOKUP($C65,'-ref_Distribution'!$B$146:$B$150,'-ref_Distribution'!$G$146:$G$150)),RIGHT(AW$1,2)),"")</f>
        <v>1</v>
      </c>
      <c r="AX65" s="16" cm="1">
        <f t="array" ref="AX65">IFERROR(INDEX(_xlfn.ANCHORARRAY(_xlfn.XLOOKUP($C65,'-ref_Distribution'!$B$146:$B$150,'-ref_Distribution'!$G$146:$G$150)),RIGHT(AX$1,2)),"")</f>
        <v>1</v>
      </c>
      <c r="AY65" s="16" cm="1">
        <f t="array" ref="AY65">IFERROR(INDEX(_xlfn.ANCHORARRAY(_xlfn.XLOOKUP($C65,'-ref_Distribution'!$B$146:$B$150,'-ref_Distribution'!$G$146:$G$150)),RIGHT(AY$1,2)),"")</f>
        <v>2</v>
      </c>
      <c r="AZ65" s="16" cm="1">
        <f t="array" ref="AZ65">IFERROR(INDEX(_xlfn.ANCHORARRAY(_xlfn.XLOOKUP($C65,'-ref_Distribution'!$B$146:$B$150,'-ref_Distribution'!$G$146:$G$150)),RIGHT(AZ$1,2)),"")</f>
        <v>3</v>
      </c>
      <c r="BA65" s="16" cm="1">
        <f t="array" ref="BA65">IFERROR(INDEX(_xlfn.ANCHORARRAY(_xlfn.XLOOKUP($C65,'-ref_Distribution'!$B$146:$B$150,'-ref_Distribution'!$G$146:$G$150)),RIGHT(BA$1,2)),"")</f>
        <v>5</v>
      </c>
      <c r="BB65" s="16" cm="1">
        <f t="array" ref="BB65">IFERROR(INDEX(_xlfn.ANCHORARRAY(_xlfn.XLOOKUP($C65,'-ref_Distribution'!$B$146:$B$150,'-ref_Distribution'!$G$146:$G$150)),RIGHT(BB$1,2)),"")</f>
        <v>9</v>
      </c>
      <c r="BC65" s="16" cm="1">
        <f t="array" ref="BC65">IFERROR(INDEX(_xlfn.ANCHORARRAY(_xlfn.XLOOKUP($C65,'-ref_Distribution'!$B$146:$B$150,'-ref_Distribution'!$G$146:$G$150)),RIGHT(BC$1,2)),"")</f>
        <v>14</v>
      </c>
      <c r="BD65" s="16" cm="1">
        <f t="array" ref="BD65">IFERROR(INDEX(_xlfn.ANCHORARRAY(_xlfn.XLOOKUP($C65,'-ref_Distribution'!$B$146:$B$150,'-ref_Distribution'!$G$146:$G$150)),RIGHT(BD$1,2)),"")</f>
        <v>20</v>
      </c>
      <c r="BE65" s="16" cm="1">
        <f t="array" ref="BE65">IFERROR(INDEX(_xlfn.ANCHORARRAY(_xlfn.XLOOKUP($C65,'-ref_Distribution'!$B$146:$B$150,'-ref_Distribution'!$G$146:$G$150)),RIGHT(BE$1,2)),"")</f>
        <v>28</v>
      </c>
      <c r="BF65" s="16" cm="1">
        <f t="array" ref="BF65">IFERROR(INDEX(_xlfn.ANCHORARRAY(_xlfn.XLOOKUP($C65,'-ref_Distribution'!$B$146:$B$150,'-ref_Distribution'!$G$146:$G$150)),RIGHT(BF$1,2)),"")</f>
        <v>38</v>
      </c>
      <c r="BG65" s="16" cm="1">
        <f t="array" ref="BG65">IFERROR(INDEX(_xlfn.ANCHORARRAY(_xlfn.XLOOKUP($C65,'-ref_Distribution'!$B$146:$B$150,'-ref_Distribution'!$G$146:$G$150)),RIGHT(BG$1,2)),"")</f>
        <v>48</v>
      </c>
      <c r="BH65" s="16" cm="1">
        <f t="array" ref="BH65">IFERROR(INDEX(_xlfn.ANCHORARRAY(_xlfn.XLOOKUP($C65,'-ref_Distribution'!$B$146:$B$150,'-ref_Distribution'!$G$146:$G$150)),RIGHT(BH$1,2)),"")</f>
        <v>59</v>
      </c>
      <c r="BI65" s="16" cm="1">
        <f t="array" ref="BI65">IFERROR(INDEX(_xlfn.ANCHORARRAY(_xlfn.XLOOKUP($C65,'-ref_Distribution'!$B$146:$B$150,'-ref_Distribution'!$G$146:$G$150)),RIGHT(BI$1,2)),"")</f>
        <v>69</v>
      </c>
      <c r="BJ65" s="16" cm="1">
        <f t="array" ref="BJ65">IFERROR(INDEX(_xlfn.ANCHORARRAY(_xlfn.XLOOKUP($C65,'-ref_Distribution'!$B$146:$B$150,'-ref_Distribution'!$G$146:$G$150)),RIGHT(BJ$1,2)),"")</f>
        <v>78</v>
      </c>
      <c r="BK65" s="16" cm="1">
        <f t="array" ref="BK65">IFERROR(INDEX(_xlfn.ANCHORARRAY(_xlfn.XLOOKUP($C65,'-ref_Distribution'!$B$146:$B$150,'-ref_Distribution'!$G$146:$G$150)),RIGHT(BK$1,2)),"")</f>
        <v>83</v>
      </c>
      <c r="BL65" s="16" cm="1">
        <f t="array" ref="BL65">IFERROR(INDEX(_xlfn.ANCHORARRAY(_xlfn.XLOOKUP($C65,'-ref_Distribution'!$B$146:$B$150,'-ref_Distribution'!$G$146:$G$150)),RIGHT(BL$1,2)),"")</f>
        <v>0</v>
      </c>
      <c r="BM65" s="16" cm="1">
        <f t="array" ref="BM65">IFERROR(INDEX(_xlfn.ANCHORARRAY(_xlfn.XLOOKUP($C65,'-ref_Distribution'!$B$146:$B$150,'-ref_Distribution'!$G$146:$G$150)),RIGHT(BM$1,2)),"")</f>
        <v>0</v>
      </c>
      <c r="BN65" s="16" cm="1">
        <f t="array" ref="BN65">IFERROR(INDEX(_xlfn.ANCHORARRAY(_xlfn.XLOOKUP($C65,'-ref_Distribution'!$B$146:$B$150,'-ref_Distribution'!$G$146:$G$150)),RIGHT(BN$1,2)),"")</f>
        <v>0</v>
      </c>
      <c r="BO65" s="16" cm="1">
        <f t="array" ref="BO65">IFERROR(INDEX(_xlfn.ANCHORARRAY(_xlfn.XLOOKUP($C65,'-ref_Distribution'!$B$146:$B$150,'-ref_Distribution'!$G$146:$G$150)),RIGHT(BO$1,2)),"")</f>
        <v>0</v>
      </c>
      <c r="BP65" s="16" cm="1">
        <f t="array" ref="BP65">IFERROR(INDEX(_xlfn.ANCHORARRAY(_xlfn.XLOOKUP($C65,'-ref_Distribution'!$B$146:$B$150,'-ref_Distribution'!$G$146:$G$150)),RIGHT(BP$1,2)),"")</f>
        <v>0</v>
      </c>
      <c r="BQ65" s="16" cm="1">
        <f t="array" ref="BQ65">IFERROR(INDEX(_xlfn.ANCHORARRAY(_xlfn.XLOOKUP($C65,'-ref_Distribution'!$B$146:$B$150,'-ref_Distribution'!$G$146:$G$150)),RIGHT(BQ$1,2)),"")</f>
        <v>1</v>
      </c>
      <c r="BR65" s="16" cm="1">
        <f t="array" ref="BR65">IFERROR(INDEX(_xlfn.ANCHORARRAY(_xlfn.XLOOKUP($C65,'-ref_Distribution'!$B$146:$B$150,'-ref_Distribution'!$G$146:$G$150)),RIGHT(BR$1,2)),"")</f>
        <v>1</v>
      </c>
      <c r="BS65" s="16" cm="1">
        <f t="array" ref="BS65">IFERROR(INDEX(_xlfn.ANCHORARRAY(_xlfn.XLOOKUP($C65,'-ref_Distribution'!$B$146:$B$150,'-ref_Distribution'!$G$146:$G$150)),RIGHT(BS$1,2)),"")</f>
        <v>2</v>
      </c>
      <c r="BT65" s="16" cm="1">
        <f t="array" ref="BT65">IFERROR(INDEX(_xlfn.ANCHORARRAY(_xlfn.XLOOKUP($C65,'-ref_Distribution'!$B$146:$B$150,'-ref_Distribution'!$G$146:$G$150)),RIGHT(BT$1,2)),"")</f>
        <v>3</v>
      </c>
      <c r="BU65" s="16" cm="1">
        <f t="array" ref="BU65">IFERROR(INDEX(_xlfn.ANCHORARRAY(_xlfn.XLOOKUP($C65,'-ref_Distribution'!$B$146:$B$150,'-ref_Distribution'!$G$146:$G$150)),RIGHT(BU$1,2)),"")</f>
        <v>5</v>
      </c>
      <c r="BV65" s="16" cm="1">
        <f t="array" ref="BV65">IFERROR(INDEX(_xlfn.ANCHORARRAY(_xlfn.XLOOKUP($C65,'-ref_Distribution'!$B$146:$B$150,'-ref_Distribution'!$G$146:$G$150)),RIGHT(BV$1,2)),"")</f>
        <v>9</v>
      </c>
      <c r="BW65" s="16" cm="1">
        <f t="array" ref="BW65">IFERROR(INDEX(_xlfn.ANCHORARRAY(_xlfn.XLOOKUP($C65,'-ref_Distribution'!$B$146:$B$150,'-ref_Distribution'!$G$146:$G$150)),RIGHT(BW$1,2)),"")</f>
        <v>14</v>
      </c>
      <c r="BX65" s="16" cm="1">
        <f t="array" ref="BX65">IFERROR(INDEX(_xlfn.ANCHORARRAY(_xlfn.XLOOKUP($C65,'-ref_Distribution'!$B$146:$B$150,'-ref_Distribution'!$G$146:$G$150)),RIGHT(BX$1,2)),"")</f>
        <v>20</v>
      </c>
      <c r="BY65" s="16" cm="1">
        <f t="array" ref="BY65">IFERROR(INDEX(_xlfn.ANCHORARRAY(_xlfn.XLOOKUP($C65,'-ref_Distribution'!$B$146:$B$150,'-ref_Distribution'!$G$146:$G$150)),RIGHT(BY$1,2)),"")</f>
        <v>28</v>
      </c>
      <c r="BZ65" s="16" cm="1">
        <f t="array" ref="BZ65">IFERROR(INDEX(_xlfn.ANCHORARRAY(_xlfn.XLOOKUP($C65,'-ref_Distribution'!$B$146:$B$150,'-ref_Distribution'!$G$146:$G$150)),RIGHT(BZ$1,2)),"")</f>
        <v>38</v>
      </c>
      <c r="CA65" s="16" cm="1">
        <f t="array" ref="CA65">IFERROR(INDEX(_xlfn.ANCHORARRAY(_xlfn.XLOOKUP($C65,'-ref_Distribution'!$B$146:$B$150,'-ref_Distribution'!$G$146:$G$150)),RIGHT(CA$1,2)),"")</f>
        <v>48</v>
      </c>
      <c r="CB65" s="16" cm="1">
        <f t="array" ref="CB65">IFERROR(INDEX(_xlfn.ANCHORARRAY(_xlfn.XLOOKUP($C65,'-ref_Distribution'!$B$146:$B$150,'-ref_Distribution'!$G$146:$G$150)),RIGHT(CB$1,2)),"")</f>
        <v>59</v>
      </c>
      <c r="CC65" s="16" cm="1">
        <f t="array" ref="CC65">IFERROR(INDEX(_xlfn.ANCHORARRAY(_xlfn.XLOOKUP($C65,'-ref_Distribution'!$B$146:$B$150,'-ref_Distribution'!$G$146:$G$150)),RIGHT(CC$1,2)),"")</f>
        <v>69</v>
      </c>
      <c r="CD65" s="16" cm="1">
        <f t="array" ref="CD65">IFERROR(INDEX(_xlfn.ANCHORARRAY(_xlfn.XLOOKUP($C65,'-ref_Distribution'!$B$146:$B$150,'-ref_Distribution'!$G$146:$G$150)),RIGHT(CD$1,2)),"")</f>
        <v>78</v>
      </c>
      <c r="CE65" s="16" cm="1">
        <f t="array" ref="CE65">IFERROR(INDEX(_xlfn.ANCHORARRAY(_xlfn.XLOOKUP($C65,'-ref_Distribution'!$B$146:$B$150,'-ref_Distribution'!$G$146:$G$150)),RIGHT(CE$1,2)),"")</f>
        <v>83</v>
      </c>
    </row>
    <row r="66" spans="1:83" x14ac:dyDescent="0.2">
      <c r="A66" s="16">
        <v>310207</v>
      </c>
      <c r="B66" s="17" t="s">
        <v>393</v>
      </c>
      <c r="C66" s="16">
        <v>4</v>
      </c>
      <c r="D66" s="16" cm="1">
        <f t="array" ref="D66">IFERROR(INDEX(_xlfn.ANCHORARRAY(_xlfn.XLOOKUP($C66,'-ref_Distribution'!$B$146:$B$150,'-ref_Distribution'!$G$146:$G$150)),RIGHT(D$1,2)),"")</f>
        <v>0</v>
      </c>
      <c r="E66" s="16" cm="1">
        <f t="array" ref="E66">IFERROR(INDEX(_xlfn.ANCHORARRAY(_xlfn.XLOOKUP($C66,'-ref_Distribution'!$B$146:$B$150,'-ref_Distribution'!$G$146:$G$150)),RIGHT(E$1,2)),"")</f>
        <v>0</v>
      </c>
      <c r="F66" s="16" cm="1">
        <f t="array" ref="F66">IFERROR(INDEX(_xlfn.ANCHORARRAY(_xlfn.XLOOKUP($C66,'-ref_Distribution'!$B$146:$B$150,'-ref_Distribution'!$G$146:$G$150)),RIGHT(F$1,2)),"")</f>
        <v>0</v>
      </c>
      <c r="G66" s="16" cm="1">
        <f t="array" ref="G66">IFERROR(INDEX(_xlfn.ANCHORARRAY(_xlfn.XLOOKUP($C66,'-ref_Distribution'!$B$146:$B$150,'-ref_Distribution'!$G$146:$G$150)),RIGHT(G$1,2)),"")</f>
        <v>0</v>
      </c>
      <c r="H66" s="16" cm="1">
        <f t="array" ref="H66">IFERROR(INDEX(_xlfn.ANCHORARRAY(_xlfn.XLOOKUP($C66,'-ref_Distribution'!$B$146:$B$150,'-ref_Distribution'!$G$146:$G$150)),RIGHT(H$1,2)),"")</f>
        <v>0</v>
      </c>
      <c r="I66" s="16" cm="1">
        <f t="array" ref="I66">IFERROR(INDEX(_xlfn.ANCHORARRAY(_xlfn.XLOOKUP($C66,'-ref_Distribution'!$B$146:$B$150,'-ref_Distribution'!$G$146:$G$150)),RIGHT(I$1,2)),"")</f>
        <v>1</v>
      </c>
      <c r="J66" s="16" cm="1">
        <f t="array" ref="J66">IFERROR(INDEX(_xlfn.ANCHORARRAY(_xlfn.XLOOKUP($C66,'-ref_Distribution'!$B$146:$B$150,'-ref_Distribution'!$G$146:$G$150)),RIGHT(J$1,2)),"")</f>
        <v>1</v>
      </c>
      <c r="K66" s="16" cm="1">
        <f t="array" ref="K66">IFERROR(INDEX(_xlfn.ANCHORARRAY(_xlfn.XLOOKUP($C66,'-ref_Distribution'!$B$146:$B$150,'-ref_Distribution'!$G$146:$G$150)),RIGHT(K$1,2)),"")</f>
        <v>2</v>
      </c>
      <c r="L66" s="16" cm="1">
        <f t="array" ref="L66">IFERROR(INDEX(_xlfn.ANCHORARRAY(_xlfn.XLOOKUP($C66,'-ref_Distribution'!$B$146:$B$150,'-ref_Distribution'!$G$146:$G$150)),RIGHT(L$1,2)),"")</f>
        <v>3</v>
      </c>
      <c r="M66" s="16" cm="1">
        <f t="array" ref="M66">IFERROR(INDEX(_xlfn.ANCHORARRAY(_xlfn.XLOOKUP($C66,'-ref_Distribution'!$B$146:$B$150,'-ref_Distribution'!$G$146:$G$150)),RIGHT(M$1,2)),"")</f>
        <v>5</v>
      </c>
      <c r="N66" s="16" cm="1">
        <f t="array" ref="N66">IFERROR(INDEX(_xlfn.ANCHORARRAY(_xlfn.XLOOKUP($C66,'-ref_Distribution'!$B$146:$B$150,'-ref_Distribution'!$G$146:$G$150)),RIGHT(N$1,2)),"")</f>
        <v>9</v>
      </c>
      <c r="O66" s="16" cm="1">
        <f t="array" ref="O66">IFERROR(INDEX(_xlfn.ANCHORARRAY(_xlfn.XLOOKUP($C66,'-ref_Distribution'!$B$146:$B$150,'-ref_Distribution'!$G$146:$G$150)),RIGHT(O$1,2)),"")</f>
        <v>14</v>
      </c>
      <c r="P66" s="16" cm="1">
        <f t="array" ref="P66">IFERROR(INDEX(_xlfn.ANCHORARRAY(_xlfn.XLOOKUP($C66,'-ref_Distribution'!$B$146:$B$150,'-ref_Distribution'!$G$146:$G$150)),RIGHT(P$1,2)),"")</f>
        <v>20</v>
      </c>
      <c r="Q66" s="16" cm="1">
        <f t="array" ref="Q66">IFERROR(INDEX(_xlfn.ANCHORARRAY(_xlfn.XLOOKUP($C66,'-ref_Distribution'!$B$146:$B$150,'-ref_Distribution'!$G$146:$G$150)),RIGHT(Q$1,2)),"")</f>
        <v>28</v>
      </c>
      <c r="R66" s="16" cm="1">
        <f t="array" ref="R66">IFERROR(INDEX(_xlfn.ANCHORARRAY(_xlfn.XLOOKUP($C66,'-ref_Distribution'!$B$146:$B$150,'-ref_Distribution'!$G$146:$G$150)),RIGHT(R$1,2)),"")</f>
        <v>38</v>
      </c>
      <c r="S66" s="16" cm="1">
        <f t="array" ref="S66">IFERROR(INDEX(_xlfn.ANCHORARRAY(_xlfn.XLOOKUP($C66,'-ref_Distribution'!$B$146:$B$150,'-ref_Distribution'!$G$146:$G$150)),RIGHT(S$1,2)),"")</f>
        <v>48</v>
      </c>
      <c r="T66" s="16" cm="1">
        <f t="array" ref="T66">IFERROR(INDEX(_xlfn.ANCHORARRAY(_xlfn.XLOOKUP($C66,'-ref_Distribution'!$B$146:$B$150,'-ref_Distribution'!$G$146:$G$150)),RIGHT(T$1,2)),"")</f>
        <v>59</v>
      </c>
      <c r="U66" s="16" cm="1">
        <f t="array" ref="U66">IFERROR(INDEX(_xlfn.ANCHORARRAY(_xlfn.XLOOKUP($C66,'-ref_Distribution'!$B$146:$B$150,'-ref_Distribution'!$G$146:$G$150)),RIGHT(U$1,2)),"")</f>
        <v>69</v>
      </c>
      <c r="V66" s="16" cm="1">
        <f t="array" ref="V66">IFERROR(INDEX(_xlfn.ANCHORARRAY(_xlfn.XLOOKUP($C66,'-ref_Distribution'!$B$146:$B$150,'-ref_Distribution'!$G$146:$G$150)),RIGHT(V$1,2)),"")</f>
        <v>78</v>
      </c>
      <c r="W66" s="16" cm="1">
        <f t="array" ref="W66">IFERROR(INDEX(_xlfn.ANCHORARRAY(_xlfn.XLOOKUP($C66,'-ref_Distribution'!$B$146:$B$150,'-ref_Distribution'!$G$146:$G$150)),RIGHT(W$1,2)),"")</f>
        <v>83</v>
      </c>
      <c r="X66" s="16" cm="1">
        <f t="array" ref="X66">IFERROR(INDEX(_xlfn.ANCHORARRAY(_xlfn.XLOOKUP($C66,'-ref_Distribution'!$B$146:$B$150,'-ref_Distribution'!$G$146:$G$150)),RIGHT(X$1,2)),"")</f>
        <v>0</v>
      </c>
      <c r="Y66" s="16" cm="1">
        <f t="array" ref="Y66">IFERROR(INDEX(_xlfn.ANCHORARRAY(_xlfn.XLOOKUP($C66,'-ref_Distribution'!$B$146:$B$150,'-ref_Distribution'!$G$146:$G$150)),RIGHT(Y$1,2)),"")</f>
        <v>0</v>
      </c>
      <c r="Z66" s="16" cm="1">
        <f t="array" ref="Z66">IFERROR(INDEX(_xlfn.ANCHORARRAY(_xlfn.XLOOKUP($C66,'-ref_Distribution'!$B$146:$B$150,'-ref_Distribution'!$G$146:$G$150)),RIGHT(Z$1,2)),"")</f>
        <v>0</v>
      </c>
      <c r="AA66" s="16" cm="1">
        <f t="array" ref="AA66">IFERROR(INDEX(_xlfn.ANCHORARRAY(_xlfn.XLOOKUP($C66,'-ref_Distribution'!$B$146:$B$150,'-ref_Distribution'!$G$146:$G$150)),RIGHT(AA$1,2)),"")</f>
        <v>0</v>
      </c>
      <c r="AB66" s="16" cm="1">
        <f t="array" ref="AB66">IFERROR(INDEX(_xlfn.ANCHORARRAY(_xlfn.XLOOKUP($C66,'-ref_Distribution'!$B$146:$B$150,'-ref_Distribution'!$G$146:$G$150)),RIGHT(AB$1,2)),"")</f>
        <v>0</v>
      </c>
      <c r="AC66" s="16" cm="1">
        <f t="array" ref="AC66">IFERROR(INDEX(_xlfn.ANCHORARRAY(_xlfn.XLOOKUP($C66,'-ref_Distribution'!$B$146:$B$150,'-ref_Distribution'!$G$146:$G$150)),RIGHT(AC$1,2)),"")</f>
        <v>1</v>
      </c>
      <c r="AD66" s="16" cm="1">
        <f t="array" ref="AD66">IFERROR(INDEX(_xlfn.ANCHORARRAY(_xlfn.XLOOKUP($C66,'-ref_Distribution'!$B$146:$B$150,'-ref_Distribution'!$G$146:$G$150)),RIGHT(AD$1,2)),"")</f>
        <v>1</v>
      </c>
      <c r="AE66" s="16" cm="1">
        <f t="array" ref="AE66">IFERROR(INDEX(_xlfn.ANCHORARRAY(_xlfn.XLOOKUP($C66,'-ref_Distribution'!$B$146:$B$150,'-ref_Distribution'!$G$146:$G$150)),RIGHT(AE$1,2)),"")</f>
        <v>2</v>
      </c>
      <c r="AF66" s="16" cm="1">
        <f t="array" ref="AF66">IFERROR(INDEX(_xlfn.ANCHORARRAY(_xlfn.XLOOKUP($C66,'-ref_Distribution'!$B$146:$B$150,'-ref_Distribution'!$G$146:$G$150)),RIGHT(AF$1,2)),"")</f>
        <v>3</v>
      </c>
      <c r="AG66" s="16" cm="1">
        <f t="array" ref="AG66">IFERROR(INDEX(_xlfn.ANCHORARRAY(_xlfn.XLOOKUP($C66,'-ref_Distribution'!$B$146:$B$150,'-ref_Distribution'!$G$146:$G$150)),RIGHT(AG$1,2)),"")</f>
        <v>5</v>
      </c>
      <c r="AH66" s="16" cm="1">
        <f t="array" ref="AH66">IFERROR(INDEX(_xlfn.ANCHORARRAY(_xlfn.XLOOKUP($C66,'-ref_Distribution'!$B$146:$B$150,'-ref_Distribution'!$G$146:$G$150)),RIGHT(AH$1,2)),"")</f>
        <v>9</v>
      </c>
      <c r="AI66" s="16" cm="1">
        <f t="array" ref="AI66">IFERROR(INDEX(_xlfn.ANCHORARRAY(_xlfn.XLOOKUP($C66,'-ref_Distribution'!$B$146:$B$150,'-ref_Distribution'!$G$146:$G$150)),RIGHT(AI$1,2)),"")</f>
        <v>14</v>
      </c>
      <c r="AJ66" s="16" cm="1">
        <f t="array" ref="AJ66">IFERROR(INDEX(_xlfn.ANCHORARRAY(_xlfn.XLOOKUP($C66,'-ref_Distribution'!$B$146:$B$150,'-ref_Distribution'!$G$146:$G$150)),RIGHT(AJ$1,2)),"")</f>
        <v>20</v>
      </c>
      <c r="AK66" s="16" cm="1">
        <f t="array" ref="AK66">IFERROR(INDEX(_xlfn.ANCHORARRAY(_xlfn.XLOOKUP($C66,'-ref_Distribution'!$B$146:$B$150,'-ref_Distribution'!$G$146:$G$150)),RIGHT(AK$1,2)),"")</f>
        <v>28</v>
      </c>
      <c r="AL66" s="16" cm="1">
        <f t="array" ref="AL66">IFERROR(INDEX(_xlfn.ANCHORARRAY(_xlfn.XLOOKUP($C66,'-ref_Distribution'!$B$146:$B$150,'-ref_Distribution'!$G$146:$G$150)),RIGHT(AL$1,2)),"")</f>
        <v>38</v>
      </c>
      <c r="AM66" s="16" cm="1">
        <f t="array" ref="AM66">IFERROR(INDEX(_xlfn.ANCHORARRAY(_xlfn.XLOOKUP($C66,'-ref_Distribution'!$B$146:$B$150,'-ref_Distribution'!$G$146:$G$150)),RIGHT(AM$1,2)),"")</f>
        <v>48</v>
      </c>
      <c r="AN66" s="16" cm="1">
        <f t="array" ref="AN66">IFERROR(INDEX(_xlfn.ANCHORARRAY(_xlfn.XLOOKUP($C66,'-ref_Distribution'!$B$146:$B$150,'-ref_Distribution'!$G$146:$G$150)),RIGHT(AN$1,2)),"")</f>
        <v>59</v>
      </c>
      <c r="AO66" s="16" cm="1">
        <f t="array" ref="AO66">IFERROR(INDEX(_xlfn.ANCHORARRAY(_xlfn.XLOOKUP($C66,'-ref_Distribution'!$B$146:$B$150,'-ref_Distribution'!$G$146:$G$150)),RIGHT(AO$1,2)),"")</f>
        <v>69</v>
      </c>
      <c r="AP66" s="16" cm="1">
        <f t="array" ref="AP66">IFERROR(INDEX(_xlfn.ANCHORARRAY(_xlfn.XLOOKUP($C66,'-ref_Distribution'!$B$146:$B$150,'-ref_Distribution'!$G$146:$G$150)),RIGHT(AP$1,2)),"")</f>
        <v>78</v>
      </c>
      <c r="AQ66" s="16" cm="1">
        <f t="array" ref="AQ66">IFERROR(INDEX(_xlfn.ANCHORARRAY(_xlfn.XLOOKUP($C66,'-ref_Distribution'!$B$146:$B$150,'-ref_Distribution'!$G$146:$G$150)),RIGHT(AQ$1,2)),"")</f>
        <v>83</v>
      </c>
      <c r="AR66" s="16" cm="1">
        <f t="array" ref="AR66">IFERROR(INDEX(_xlfn.ANCHORARRAY(_xlfn.XLOOKUP($C66,'-ref_Distribution'!$B$146:$B$150,'-ref_Distribution'!$G$146:$G$150)),RIGHT(AR$1,2)),"")</f>
        <v>0</v>
      </c>
      <c r="AS66" s="16" cm="1">
        <f t="array" ref="AS66">IFERROR(INDEX(_xlfn.ANCHORARRAY(_xlfn.XLOOKUP($C66,'-ref_Distribution'!$B$146:$B$150,'-ref_Distribution'!$G$146:$G$150)),RIGHT(AS$1,2)),"")</f>
        <v>0</v>
      </c>
      <c r="AT66" s="16" cm="1">
        <f t="array" ref="AT66">IFERROR(INDEX(_xlfn.ANCHORARRAY(_xlfn.XLOOKUP($C66,'-ref_Distribution'!$B$146:$B$150,'-ref_Distribution'!$G$146:$G$150)),RIGHT(AT$1,2)),"")</f>
        <v>0</v>
      </c>
      <c r="AU66" s="16" cm="1">
        <f t="array" ref="AU66">IFERROR(INDEX(_xlfn.ANCHORARRAY(_xlfn.XLOOKUP($C66,'-ref_Distribution'!$B$146:$B$150,'-ref_Distribution'!$G$146:$G$150)),RIGHT(AU$1,2)),"")</f>
        <v>0</v>
      </c>
      <c r="AV66" s="16" cm="1">
        <f t="array" ref="AV66">IFERROR(INDEX(_xlfn.ANCHORARRAY(_xlfn.XLOOKUP($C66,'-ref_Distribution'!$B$146:$B$150,'-ref_Distribution'!$G$146:$G$150)),RIGHT(AV$1,2)),"")</f>
        <v>0</v>
      </c>
      <c r="AW66" s="16" cm="1">
        <f t="array" ref="AW66">IFERROR(INDEX(_xlfn.ANCHORARRAY(_xlfn.XLOOKUP($C66,'-ref_Distribution'!$B$146:$B$150,'-ref_Distribution'!$G$146:$G$150)),RIGHT(AW$1,2)),"")</f>
        <v>1</v>
      </c>
      <c r="AX66" s="16" cm="1">
        <f t="array" ref="AX66">IFERROR(INDEX(_xlfn.ANCHORARRAY(_xlfn.XLOOKUP($C66,'-ref_Distribution'!$B$146:$B$150,'-ref_Distribution'!$G$146:$G$150)),RIGHT(AX$1,2)),"")</f>
        <v>1</v>
      </c>
      <c r="AY66" s="16" cm="1">
        <f t="array" ref="AY66">IFERROR(INDEX(_xlfn.ANCHORARRAY(_xlfn.XLOOKUP($C66,'-ref_Distribution'!$B$146:$B$150,'-ref_Distribution'!$G$146:$G$150)),RIGHT(AY$1,2)),"")</f>
        <v>2</v>
      </c>
      <c r="AZ66" s="16" cm="1">
        <f t="array" ref="AZ66">IFERROR(INDEX(_xlfn.ANCHORARRAY(_xlfn.XLOOKUP($C66,'-ref_Distribution'!$B$146:$B$150,'-ref_Distribution'!$G$146:$G$150)),RIGHT(AZ$1,2)),"")</f>
        <v>3</v>
      </c>
      <c r="BA66" s="16" cm="1">
        <f t="array" ref="BA66">IFERROR(INDEX(_xlfn.ANCHORARRAY(_xlfn.XLOOKUP($C66,'-ref_Distribution'!$B$146:$B$150,'-ref_Distribution'!$G$146:$G$150)),RIGHT(BA$1,2)),"")</f>
        <v>5</v>
      </c>
      <c r="BB66" s="16" cm="1">
        <f t="array" ref="BB66">IFERROR(INDEX(_xlfn.ANCHORARRAY(_xlfn.XLOOKUP($C66,'-ref_Distribution'!$B$146:$B$150,'-ref_Distribution'!$G$146:$G$150)),RIGHT(BB$1,2)),"")</f>
        <v>9</v>
      </c>
      <c r="BC66" s="16" cm="1">
        <f t="array" ref="BC66">IFERROR(INDEX(_xlfn.ANCHORARRAY(_xlfn.XLOOKUP($C66,'-ref_Distribution'!$B$146:$B$150,'-ref_Distribution'!$G$146:$G$150)),RIGHT(BC$1,2)),"")</f>
        <v>14</v>
      </c>
      <c r="BD66" s="16" cm="1">
        <f t="array" ref="BD66">IFERROR(INDEX(_xlfn.ANCHORARRAY(_xlfn.XLOOKUP($C66,'-ref_Distribution'!$B$146:$B$150,'-ref_Distribution'!$G$146:$G$150)),RIGHT(BD$1,2)),"")</f>
        <v>20</v>
      </c>
      <c r="BE66" s="16" cm="1">
        <f t="array" ref="BE66">IFERROR(INDEX(_xlfn.ANCHORARRAY(_xlfn.XLOOKUP($C66,'-ref_Distribution'!$B$146:$B$150,'-ref_Distribution'!$G$146:$G$150)),RIGHT(BE$1,2)),"")</f>
        <v>28</v>
      </c>
      <c r="BF66" s="16" cm="1">
        <f t="array" ref="BF66">IFERROR(INDEX(_xlfn.ANCHORARRAY(_xlfn.XLOOKUP($C66,'-ref_Distribution'!$B$146:$B$150,'-ref_Distribution'!$G$146:$G$150)),RIGHT(BF$1,2)),"")</f>
        <v>38</v>
      </c>
      <c r="BG66" s="16" cm="1">
        <f t="array" ref="BG66">IFERROR(INDEX(_xlfn.ANCHORARRAY(_xlfn.XLOOKUP($C66,'-ref_Distribution'!$B$146:$B$150,'-ref_Distribution'!$G$146:$G$150)),RIGHT(BG$1,2)),"")</f>
        <v>48</v>
      </c>
      <c r="BH66" s="16" cm="1">
        <f t="array" ref="BH66">IFERROR(INDEX(_xlfn.ANCHORARRAY(_xlfn.XLOOKUP($C66,'-ref_Distribution'!$B$146:$B$150,'-ref_Distribution'!$G$146:$G$150)),RIGHT(BH$1,2)),"")</f>
        <v>59</v>
      </c>
      <c r="BI66" s="16" cm="1">
        <f t="array" ref="BI66">IFERROR(INDEX(_xlfn.ANCHORARRAY(_xlfn.XLOOKUP($C66,'-ref_Distribution'!$B$146:$B$150,'-ref_Distribution'!$G$146:$G$150)),RIGHT(BI$1,2)),"")</f>
        <v>69</v>
      </c>
      <c r="BJ66" s="16" cm="1">
        <f t="array" ref="BJ66">IFERROR(INDEX(_xlfn.ANCHORARRAY(_xlfn.XLOOKUP($C66,'-ref_Distribution'!$B$146:$B$150,'-ref_Distribution'!$G$146:$G$150)),RIGHT(BJ$1,2)),"")</f>
        <v>78</v>
      </c>
      <c r="BK66" s="16" cm="1">
        <f t="array" ref="BK66">IFERROR(INDEX(_xlfn.ANCHORARRAY(_xlfn.XLOOKUP($C66,'-ref_Distribution'!$B$146:$B$150,'-ref_Distribution'!$G$146:$G$150)),RIGHT(BK$1,2)),"")</f>
        <v>83</v>
      </c>
      <c r="BL66" s="16" cm="1">
        <f t="array" ref="BL66">IFERROR(INDEX(_xlfn.ANCHORARRAY(_xlfn.XLOOKUP($C66,'-ref_Distribution'!$B$146:$B$150,'-ref_Distribution'!$G$146:$G$150)),RIGHT(BL$1,2)),"")</f>
        <v>0</v>
      </c>
      <c r="BM66" s="16" cm="1">
        <f t="array" ref="BM66">IFERROR(INDEX(_xlfn.ANCHORARRAY(_xlfn.XLOOKUP($C66,'-ref_Distribution'!$B$146:$B$150,'-ref_Distribution'!$G$146:$G$150)),RIGHT(BM$1,2)),"")</f>
        <v>0</v>
      </c>
      <c r="BN66" s="16" cm="1">
        <f t="array" ref="BN66">IFERROR(INDEX(_xlfn.ANCHORARRAY(_xlfn.XLOOKUP($C66,'-ref_Distribution'!$B$146:$B$150,'-ref_Distribution'!$G$146:$G$150)),RIGHT(BN$1,2)),"")</f>
        <v>0</v>
      </c>
      <c r="BO66" s="16" cm="1">
        <f t="array" ref="BO66">IFERROR(INDEX(_xlfn.ANCHORARRAY(_xlfn.XLOOKUP($C66,'-ref_Distribution'!$B$146:$B$150,'-ref_Distribution'!$G$146:$G$150)),RIGHT(BO$1,2)),"")</f>
        <v>0</v>
      </c>
      <c r="BP66" s="16" cm="1">
        <f t="array" ref="BP66">IFERROR(INDEX(_xlfn.ANCHORARRAY(_xlfn.XLOOKUP($C66,'-ref_Distribution'!$B$146:$B$150,'-ref_Distribution'!$G$146:$G$150)),RIGHT(BP$1,2)),"")</f>
        <v>0</v>
      </c>
      <c r="BQ66" s="16" cm="1">
        <f t="array" ref="BQ66">IFERROR(INDEX(_xlfn.ANCHORARRAY(_xlfn.XLOOKUP($C66,'-ref_Distribution'!$B$146:$B$150,'-ref_Distribution'!$G$146:$G$150)),RIGHT(BQ$1,2)),"")</f>
        <v>1</v>
      </c>
      <c r="BR66" s="16" cm="1">
        <f t="array" ref="BR66">IFERROR(INDEX(_xlfn.ANCHORARRAY(_xlfn.XLOOKUP($C66,'-ref_Distribution'!$B$146:$B$150,'-ref_Distribution'!$G$146:$G$150)),RIGHT(BR$1,2)),"")</f>
        <v>1</v>
      </c>
      <c r="BS66" s="16" cm="1">
        <f t="array" ref="BS66">IFERROR(INDEX(_xlfn.ANCHORARRAY(_xlfn.XLOOKUP($C66,'-ref_Distribution'!$B$146:$B$150,'-ref_Distribution'!$G$146:$G$150)),RIGHT(BS$1,2)),"")</f>
        <v>2</v>
      </c>
      <c r="BT66" s="16" cm="1">
        <f t="array" ref="BT66">IFERROR(INDEX(_xlfn.ANCHORARRAY(_xlfn.XLOOKUP($C66,'-ref_Distribution'!$B$146:$B$150,'-ref_Distribution'!$G$146:$G$150)),RIGHT(BT$1,2)),"")</f>
        <v>3</v>
      </c>
      <c r="BU66" s="16" cm="1">
        <f t="array" ref="BU66">IFERROR(INDEX(_xlfn.ANCHORARRAY(_xlfn.XLOOKUP($C66,'-ref_Distribution'!$B$146:$B$150,'-ref_Distribution'!$G$146:$G$150)),RIGHT(BU$1,2)),"")</f>
        <v>5</v>
      </c>
      <c r="BV66" s="16" cm="1">
        <f t="array" ref="BV66">IFERROR(INDEX(_xlfn.ANCHORARRAY(_xlfn.XLOOKUP($C66,'-ref_Distribution'!$B$146:$B$150,'-ref_Distribution'!$G$146:$G$150)),RIGHT(BV$1,2)),"")</f>
        <v>9</v>
      </c>
      <c r="BW66" s="16" cm="1">
        <f t="array" ref="BW66">IFERROR(INDEX(_xlfn.ANCHORARRAY(_xlfn.XLOOKUP($C66,'-ref_Distribution'!$B$146:$B$150,'-ref_Distribution'!$G$146:$G$150)),RIGHT(BW$1,2)),"")</f>
        <v>14</v>
      </c>
      <c r="BX66" s="16" cm="1">
        <f t="array" ref="BX66">IFERROR(INDEX(_xlfn.ANCHORARRAY(_xlfn.XLOOKUP($C66,'-ref_Distribution'!$B$146:$B$150,'-ref_Distribution'!$G$146:$G$150)),RIGHT(BX$1,2)),"")</f>
        <v>20</v>
      </c>
      <c r="BY66" s="16" cm="1">
        <f t="array" ref="BY66">IFERROR(INDEX(_xlfn.ANCHORARRAY(_xlfn.XLOOKUP($C66,'-ref_Distribution'!$B$146:$B$150,'-ref_Distribution'!$G$146:$G$150)),RIGHT(BY$1,2)),"")</f>
        <v>28</v>
      </c>
      <c r="BZ66" s="16" cm="1">
        <f t="array" ref="BZ66">IFERROR(INDEX(_xlfn.ANCHORARRAY(_xlfn.XLOOKUP($C66,'-ref_Distribution'!$B$146:$B$150,'-ref_Distribution'!$G$146:$G$150)),RIGHT(BZ$1,2)),"")</f>
        <v>38</v>
      </c>
      <c r="CA66" s="16" cm="1">
        <f t="array" ref="CA66">IFERROR(INDEX(_xlfn.ANCHORARRAY(_xlfn.XLOOKUP($C66,'-ref_Distribution'!$B$146:$B$150,'-ref_Distribution'!$G$146:$G$150)),RIGHT(CA$1,2)),"")</f>
        <v>48</v>
      </c>
      <c r="CB66" s="16" cm="1">
        <f t="array" ref="CB66">IFERROR(INDEX(_xlfn.ANCHORARRAY(_xlfn.XLOOKUP($C66,'-ref_Distribution'!$B$146:$B$150,'-ref_Distribution'!$G$146:$G$150)),RIGHT(CB$1,2)),"")</f>
        <v>59</v>
      </c>
      <c r="CC66" s="16" cm="1">
        <f t="array" ref="CC66">IFERROR(INDEX(_xlfn.ANCHORARRAY(_xlfn.XLOOKUP($C66,'-ref_Distribution'!$B$146:$B$150,'-ref_Distribution'!$G$146:$G$150)),RIGHT(CC$1,2)),"")</f>
        <v>69</v>
      </c>
      <c r="CD66" s="16" cm="1">
        <f t="array" ref="CD66">IFERROR(INDEX(_xlfn.ANCHORARRAY(_xlfn.XLOOKUP($C66,'-ref_Distribution'!$B$146:$B$150,'-ref_Distribution'!$G$146:$G$150)),RIGHT(CD$1,2)),"")</f>
        <v>78</v>
      </c>
      <c r="CE66" s="16" cm="1">
        <f t="array" ref="CE66">IFERROR(INDEX(_xlfn.ANCHORARRAY(_xlfn.XLOOKUP($C66,'-ref_Distribution'!$B$146:$B$150,'-ref_Distribution'!$G$146:$G$150)),RIGHT(CE$1,2)),"")</f>
        <v>83</v>
      </c>
    </row>
    <row r="67" spans="1:83" x14ac:dyDescent="0.2">
      <c r="A67" s="16">
        <v>310208</v>
      </c>
      <c r="B67" s="17" t="s">
        <v>392</v>
      </c>
      <c r="C67" s="16">
        <v>3</v>
      </c>
      <c r="D67" s="16" cm="1">
        <f t="array" ref="D67">IFERROR(INDEX(_xlfn.ANCHORARRAY(_xlfn.XLOOKUP($C67,'-ref_Distribution'!$B$146:$B$150,'-ref_Distribution'!$G$146:$G$150)),RIGHT(D$1,2)),"")</f>
        <v>4</v>
      </c>
      <c r="E67" s="16" cm="1">
        <f t="array" ref="E67">IFERROR(INDEX(_xlfn.ANCHORARRAY(_xlfn.XLOOKUP($C67,'-ref_Distribution'!$B$146:$B$150,'-ref_Distribution'!$G$146:$G$150)),RIGHT(E$1,2)),"")</f>
        <v>6</v>
      </c>
      <c r="F67" s="16" cm="1">
        <f t="array" ref="F67">IFERROR(INDEX(_xlfn.ANCHORARRAY(_xlfn.XLOOKUP($C67,'-ref_Distribution'!$B$146:$B$150,'-ref_Distribution'!$G$146:$G$150)),RIGHT(F$1,2)),"")</f>
        <v>9</v>
      </c>
      <c r="G67" s="16" cm="1">
        <f t="array" ref="G67">IFERROR(INDEX(_xlfn.ANCHORARRAY(_xlfn.XLOOKUP($C67,'-ref_Distribution'!$B$146:$B$150,'-ref_Distribution'!$G$146:$G$150)),RIGHT(G$1,2)),"")</f>
        <v>14</v>
      </c>
      <c r="H67" s="16" cm="1">
        <f t="array" ref="H67">IFERROR(INDEX(_xlfn.ANCHORARRAY(_xlfn.XLOOKUP($C67,'-ref_Distribution'!$B$146:$B$150,'-ref_Distribution'!$G$146:$G$150)),RIGHT(H$1,2)),"")</f>
        <v>20</v>
      </c>
      <c r="I67" s="16" cm="1">
        <f t="array" ref="I67">IFERROR(INDEX(_xlfn.ANCHORARRAY(_xlfn.XLOOKUP($C67,'-ref_Distribution'!$B$146:$B$150,'-ref_Distribution'!$G$146:$G$150)),RIGHT(I$1,2)),"")</f>
        <v>28</v>
      </c>
      <c r="J67" s="16" cm="1">
        <f t="array" ref="J67">IFERROR(INDEX(_xlfn.ANCHORARRAY(_xlfn.XLOOKUP($C67,'-ref_Distribution'!$B$146:$B$150,'-ref_Distribution'!$G$146:$G$150)),RIGHT(J$1,2)),"")</f>
        <v>38</v>
      </c>
      <c r="K67" s="16" cm="1">
        <f t="array" ref="K67">IFERROR(INDEX(_xlfn.ANCHORARRAY(_xlfn.XLOOKUP($C67,'-ref_Distribution'!$B$146:$B$150,'-ref_Distribution'!$G$146:$G$150)),RIGHT(K$1,2)),"")</f>
        <v>51</v>
      </c>
      <c r="L67" s="16" cm="1">
        <f t="array" ref="L67">IFERROR(INDEX(_xlfn.ANCHORARRAY(_xlfn.XLOOKUP($C67,'-ref_Distribution'!$B$146:$B$150,'-ref_Distribution'!$G$146:$G$150)),RIGHT(L$1,2)),"")</f>
        <v>65</v>
      </c>
      <c r="M67" s="16" cm="1">
        <f t="array" ref="M67">IFERROR(INDEX(_xlfn.ANCHORARRAY(_xlfn.XLOOKUP($C67,'-ref_Distribution'!$B$146:$B$150,'-ref_Distribution'!$G$146:$G$150)),RIGHT(M$1,2)),"")</f>
        <v>80</v>
      </c>
      <c r="N67" s="16" cm="1">
        <f t="array" ref="N67">IFERROR(INDEX(_xlfn.ANCHORARRAY(_xlfn.XLOOKUP($C67,'-ref_Distribution'!$B$146:$B$150,'-ref_Distribution'!$G$146:$G$150)),RIGHT(N$1,2)),"")</f>
        <v>96</v>
      </c>
      <c r="O67" s="16" cm="1">
        <f t="array" ref="O67">IFERROR(INDEX(_xlfn.ANCHORARRAY(_xlfn.XLOOKUP($C67,'-ref_Distribution'!$B$146:$B$150,'-ref_Distribution'!$G$146:$G$150)),RIGHT(O$1,2)),"")</f>
        <v>111</v>
      </c>
      <c r="P67" s="16" cm="1">
        <f t="array" ref="P67">IFERROR(INDEX(_xlfn.ANCHORARRAY(_xlfn.XLOOKUP($C67,'-ref_Distribution'!$B$146:$B$150,'-ref_Distribution'!$G$146:$G$150)),RIGHT(P$1,2)),"")</f>
        <v>125</v>
      </c>
      <c r="Q67" s="16" cm="1">
        <f t="array" ref="Q67">IFERROR(INDEX(_xlfn.ANCHORARRAY(_xlfn.XLOOKUP($C67,'-ref_Distribution'!$B$146:$B$150,'-ref_Distribution'!$G$146:$G$150)),RIGHT(Q$1,2)),"")</f>
        <v>135</v>
      </c>
      <c r="R67" s="16" cm="1">
        <f t="array" ref="R67">IFERROR(INDEX(_xlfn.ANCHORARRAY(_xlfn.XLOOKUP($C67,'-ref_Distribution'!$B$146:$B$150,'-ref_Distribution'!$G$146:$G$150)),RIGHT(R$1,2)),"")</f>
        <v>142</v>
      </c>
      <c r="S67" s="16" cm="1">
        <f t="array" ref="S67">IFERROR(INDEX(_xlfn.ANCHORARRAY(_xlfn.XLOOKUP($C67,'-ref_Distribution'!$B$146:$B$150,'-ref_Distribution'!$G$146:$G$150)),RIGHT(S$1,2)),"")</f>
        <v>144</v>
      </c>
      <c r="T67" s="16" cm="1">
        <f t="array" ref="T67">IFERROR(INDEX(_xlfn.ANCHORARRAY(_xlfn.XLOOKUP($C67,'-ref_Distribution'!$B$146:$B$150,'-ref_Distribution'!$G$146:$G$150)),RIGHT(T$1,2)),"")</f>
        <v>142</v>
      </c>
      <c r="U67" s="16" cm="1">
        <f t="array" ref="U67">IFERROR(INDEX(_xlfn.ANCHORARRAY(_xlfn.XLOOKUP($C67,'-ref_Distribution'!$B$146:$B$150,'-ref_Distribution'!$G$146:$G$150)),RIGHT(U$1,2)),"")</f>
        <v>135</v>
      </c>
      <c r="V67" s="16" cm="1">
        <f t="array" ref="V67">IFERROR(INDEX(_xlfn.ANCHORARRAY(_xlfn.XLOOKUP($C67,'-ref_Distribution'!$B$146:$B$150,'-ref_Distribution'!$G$146:$G$150)),RIGHT(V$1,2)),"")</f>
        <v>125</v>
      </c>
      <c r="W67" s="16" cm="1">
        <f t="array" ref="W67">IFERROR(INDEX(_xlfn.ANCHORARRAY(_xlfn.XLOOKUP($C67,'-ref_Distribution'!$B$146:$B$150,'-ref_Distribution'!$G$146:$G$150)),RIGHT(W$1,2)),"")</f>
        <v>111</v>
      </c>
      <c r="X67" s="16" cm="1">
        <f t="array" ref="X67">IFERROR(INDEX(_xlfn.ANCHORARRAY(_xlfn.XLOOKUP($C67,'-ref_Distribution'!$B$146:$B$150,'-ref_Distribution'!$G$146:$G$150)),RIGHT(X$1,2)),"")</f>
        <v>4</v>
      </c>
      <c r="Y67" s="16" cm="1">
        <f t="array" ref="Y67">IFERROR(INDEX(_xlfn.ANCHORARRAY(_xlfn.XLOOKUP($C67,'-ref_Distribution'!$B$146:$B$150,'-ref_Distribution'!$G$146:$G$150)),RIGHT(Y$1,2)),"")</f>
        <v>6</v>
      </c>
      <c r="Z67" s="16" cm="1">
        <f t="array" ref="Z67">IFERROR(INDEX(_xlfn.ANCHORARRAY(_xlfn.XLOOKUP($C67,'-ref_Distribution'!$B$146:$B$150,'-ref_Distribution'!$G$146:$G$150)),RIGHT(Z$1,2)),"")</f>
        <v>9</v>
      </c>
      <c r="AA67" s="16" cm="1">
        <f t="array" ref="AA67">IFERROR(INDEX(_xlfn.ANCHORARRAY(_xlfn.XLOOKUP($C67,'-ref_Distribution'!$B$146:$B$150,'-ref_Distribution'!$G$146:$G$150)),RIGHT(AA$1,2)),"")</f>
        <v>14</v>
      </c>
      <c r="AB67" s="16" cm="1">
        <f t="array" ref="AB67">IFERROR(INDEX(_xlfn.ANCHORARRAY(_xlfn.XLOOKUP($C67,'-ref_Distribution'!$B$146:$B$150,'-ref_Distribution'!$G$146:$G$150)),RIGHT(AB$1,2)),"")</f>
        <v>20</v>
      </c>
      <c r="AC67" s="16" cm="1">
        <f t="array" ref="AC67">IFERROR(INDEX(_xlfn.ANCHORARRAY(_xlfn.XLOOKUP($C67,'-ref_Distribution'!$B$146:$B$150,'-ref_Distribution'!$G$146:$G$150)),RIGHT(AC$1,2)),"")</f>
        <v>28</v>
      </c>
      <c r="AD67" s="16" cm="1">
        <f t="array" ref="AD67">IFERROR(INDEX(_xlfn.ANCHORARRAY(_xlfn.XLOOKUP($C67,'-ref_Distribution'!$B$146:$B$150,'-ref_Distribution'!$G$146:$G$150)),RIGHT(AD$1,2)),"")</f>
        <v>38</v>
      </c>
      <c r="AE67" s="16" cm="1">
        <f t="array" ref="AE67">IFERROR(INDEX(_xlfn.ANCHORARRAY(_xlfn.XLOOKUP($C67,'-ref_Distribution'!$B$146:$B$150,'-ref_Distribution'!$G$146:$G$150)),RIGHT(AE$1,2)),"")</f>
        <v>51</v>
      </c>
      <c r="AF67" s="16" cm="1">
        <f t="array" ref="AF67">IFERROR(INDEX(_xlfn.ANCHORARRAY(_xlfn.XLOOKUP($C67,'-ref_Distribution'!$B$146:$B$150,'-ref_Distribution'!$G$146:$G$150)),RIGHT(AF$1,2)),"")</f>
        <v>65</v>
      </c>
      <c r="AG67" s="16" cm="1">
        <f t="array" ref="AG67">IFERROR(INDEX(_xlfn.ANCHORARRAY(_xlfn.XLOOKUP($C67,'-ref_Distribution'!$B$146:$B$150,'-ref_Distribution'!$G$146:$G$150)),RIGHT(AG$1,2)),"")</f>
        <v>80</v>
      </c>
      <c r="AH67" s="16" cm="1">
        <f t="array" ref="AH67">IFERROR(INDEX(_xlfn.ANCHORARRAY(_xlfn.XLOOKUP($C67,'-ref_Distribution'!$B$146:$B$150,'-ref_Distribution'!$G$146:$G$150)),RIGHT(AH$1,2)),"")</f>
        <v>96</v>
      </c>
      <c r="AI67" s="16" cm="1">
        <f t="array" ref="AI67">IFERROR(INDEX(_xlfn.ANCHORARRAY(_xlfn.XLOOKUP($C67,'-ref_Distribution'!$B$146:$B$150,'-ref_Distribution'!$G$146:$G$150)),RIGHT(AI$1,2)),"")</f>
        <v>111</v>
      </c>
      <c r="AJ67" s="16" cm="1">
        <f t="array" ref="AJ67">IFERROR(INDEX(_xlfn.ANCHORARRAY(_xlfn.XLOOKUP($C67,'-ref_Distribution'!$B$146:$B$150,'-ref_Distribution'!$G$146:$G$150)),RIGHT(AJ$1,2)),"")</f>
        <v>125</v>
      </c>
      <c r="AK67" s="16" cm="1">
        <f t="array" ref="AK67">IFERROR(INDEX(_xlfn.ANCHORARRAY(_xlfn.XLOOKUP($C67,'-ref_Distribution'!$B$146:$B$150,'-ref_Distribution'!$G$146:$G$150)),RIGHT(AK$1,2)),"")</f>
        <v>135</v>
      </c>
      <c r="AL67" s="16" cm="1">
        <f t="array" ref="AL67">IFERROR(INDEX(_xlfn.ANCHORARRAY(_xlfn.XLOOKUP($C67,'-ref_Distribution'!$B$146:$B$150,'-ref_Distribution'!$G$146:$G$150)),RIGHT(AL$1,2)),"")</f>
        <v>142</v>
      </c>
      <c r="AM67" s="16" cm="1">
        <f t="array" ref="AM67">IFERROR(INDEX(_xlfn.ANCHORARRAY(_xlfn.XLOOKUP($C67,'-ref_Distribution'!$B$146:$B$150,'-ref_Distribution'!$G$146:$G$150)),RIGHT(AM$1,2)),"")</f>
        <v>144</v>
      </c>
      <c r="AN67" s="16" cm="1">
        <f t="array" ref="AN67">IFERROR(INDEX(_xlfn.ANCHORARRAY(_xlfn.XLOOKUP($C67,'-ref_Distribution'!$B$146:$B$150,'-ref_Distribution'!$G$146:$G$150)),RIGHT(AN$1,2)),"")</f>
        <v>142</v>
      </c>
      <c r="AO67" s="16" cm="1">
        <f t="array" ref="AO67">IFERROR(INDEX(_xlfn.ANCHORARRAY(_xlfn.XLOOKUP($C67,'-ref_Distribution'!$B$146:$B$150,'-ref_Distribution'!$G$146:$G$150)),RIGHT(AO$1,2)),"")</f>
        <v>135</v>
      </c>
      <c r="AP67" s="16" cm="1">
        <f t="array" ref="AP67">IFERROR(INDEX(_xlfn.ANCHORARRAY(_xlfn.XLOOKUP($C67,'-ref_Distribution'!$B$146:$B$150,'-ref_Distribution'!$G$146:$G$150)),RIGHT(AP$1,2)),"")</f>
        <v>125</v>
      </c>
      <c r="AQ67" s="16" cm="1">
        <f t="array" ref="AQ67">IFERROR(INDEX(_xlfn.ANCHORARRAY(_xlfn.XLOOKUP($C67,'-ref_Distribution'!$B$146:$B$150,'-ref_Distribution'!$G$146:$G$150)),RIGHT(AQ$1,2)),"")</f>
        <v>111</v>
      </c>
      <c r="AR67" s="16" cm="1">
        <f t="array" ref="AR67">IFERROR(INDEX(_xlfn.ANCHORARRAY(_xlfn.XLOOKUP($C67,'-ref_Distribution'!$B$146:$B$150,'-ref_Distribution'!$G$146:$G$150)),RIGHT(AR$1,2)),"")</f>
        <v>4</v>
      </c>
      <c r="AS67" s="16" cm="1">
        <f t="array" ref="AS67">IFERROR(INDEX(_xlfn.ANCHORARRAY(_xlfn.XLOOKUP($C67,'-ref_Distribution'!$B$146:$B$150,'-ref_Distribution'!$G$146:$G$150)),RIGHT(AS$1,2)),"")</f>
        <v>6</v>
      </c>
      <c r="AT67" s="16" cm="1">
        <f t="array" ref="AT67">IFERROR(INDEX(_xlfn.ANCHORARRAY(_xlfn.XLOOKUP($C67,'-ref_Distribution'!$B$146:$B$150,'-ref_Distribution'!$G$146:$G$150)),RIGHT(AT$1,2)),"")</f>
        <v>9</v>
      </c>
      <c r="AU67" s="16" cm="1">
        <f t="array" ref="AU67">IFERROR(INDEX(_xlfn.ANCHORARRAY(_xlfn.XLOOKUP($C67,'-ref_Distribution'!$B$146:$B$150,'-ref_Distribution'!$G$146:$G$150)),RIGHT(AU$1,2)),"")</f>
        <v>14</v>
      </c>
      <c r="AV67" s="16" cm="1">
        <f t="array" ref="AV67">IFERROR(INDEX(_xlfn.ANCHORARRAY(_xlfn.XLOOKUP($C67,'-ref_Distribution'!$B$146:$B$150,'-ref_Distribution'!$G$146:$G$150)),RIGHT(AV$1,2)),"")</f>
        <v>20</v>
      </c>
      <c r="AW67" s="16" cm="1">
        <f t="array" ref="AW67">IFERROR(INDEX(_xlfn.ANCHORARRAY(_xlfn.XLOOKUP($C67,'-ref_Distribution'!$B$146:$B$150,'-ref_Distribution'!$G$146:$G$150)),RIGHT(AW$1,2)),"")</f>
        <v>28</v>
      </c>
      <c r="AX67" s="16" cm="1">
        <f t="array" ref="AX67">IFERROR(INDEX(_xlfn.ANCHORARRAY(_xlfn.XLOOKUP($C67,'-ref_Distribution'!$B$146:$B$150,'-ref_Distribution'!$G$146:$G$150)),RIGHT(AX$1,2)),"")</f>
        <v>38</v>
      </c>
      <c r="AY67" s="16" cm="1">
        <f t="array" ref="AY67">IFERROR(INDEX(_xlfn.ANCHORARRAY(_xlfn.XLOOKUP($C67,'-ref_Distribution'!$B$146:$B$150,'-ref_Distribution'!$G$146:$G$150)),RIGHT(AY$1,2)),"")</f>
        <v>51</v>
      </c>
      <c r="AZ67" s="16" cm="1">
        <f t="array" ref="AZ67">IFERROR(INDEX(_xlfn.ANCHORARRAY(_xlfn.XLOOKUP($C67,'-ref_Distribution'!$B$146:$B$150,'-ref_Distribution'!$G$146:$G$150)),RIGHT(AZ$1,2)),"")</f>
        <v>65</v>
      </c>
      <c r="BA67" s="16" cm="1">
        <f t="array" ref="BA67">IFERROR(INDEX(_xlfn.ANCHORARRAY(_xlfn.XLOOKUP($C67,'-ref_Distribution'!$B$146:$B$150,'-ref_Distribution'!$G$146:$G$150)),RIGHT(BA$1,2)),"")</f>
        <v>80</v>
      </c>
      <c r="BB67" s="16" cm="1">
        <f t="array" ref="BB67">IFERROR(INDEX(_xlfn.ANCHORARRAY(_xlfn.XLOOKUP($C67,'-ref_Distribution'!$B$146:$B$150,'-ref_Distribution'!$G$146:$G$150)),RIGHT(BB$1,2)),"")</f>
        <v>96</v>
      </c>
      <c r="BC67" s="16" cm="1">
        <f t="array" ref="BC67">IFERROR(INDEX(_xlfn.ANCHORARRAY(_xlfn.XLOOKUP($C67,'-ref_Distribution'!$B$146:$B$150,'-ref_Distribution'!$G$146:$G$150)),RIGHT(BC$1,2)),"")</f>
        <v>111</v>
      </c>
      <c r="BD67" s="16" cm="1">
        <f t="array" ref="BD67">IFERROR(INDEX(_xlfn.ANCHORARRAY(_xlfn.XLOOKUP($C67,'-ref_Distribution'!$B$146:$B$150,'-ref_Distribution'!$G$146:$G$150)),RIGHT(BD$1,2)),"")</f>
        <v>125</v>
      </c>
      <c r="BE67" s="16" cm="1">
        <f t="array" ref="BE67">IFERROR(INDEX(_xlfn.ANCHORARRAY(_xlfn.XLOOKUP($C67,'-ref_Distribution'!$B$146:$B$150,'-ref_Distribution'!$G$146:$G$150)),RIGHT(BE$1,2)),"")</f>
        <v>135</v>
      </c>
      <c r="BF67" s="16" cm="1">
        <f t="array" ref="BF67">IFERROR(INDEX(_xlfn.ANCHORARRAY(_xlfn.XLOOKUP($C67,'-ref_Distribution'!$B$146:$B$150,'-ref_Distribution'!$G$146:$G$150)),RIGHT(BF$1,2)),"")</f>
        <v>142</v>
      </c>
      <c r="BG67" s="16" cm="1">
        <f t="array" ref="BG67">IFERROR(INDEX(_xlfn.ANCHORARRAY(_xlfn.XLOOKUP($C67,'-ref_Distribution'!$B$146:$B$150,'-ref_Distribution'!$G$146:$G$150)),RIGHT(BG$1,2)),"")</f>
        <v>144</v>
      </c>
      <c r="BH67" s="16" cm="1">
        <f t="array" ref="BH67">IFERROR(INDEX(_xlfn.ANCHORARRAY(_xlfn.XLOOKUP($C67,'-ref_Distribution'!$B$146:$B$150,'-ref_Distribution'!$G$146:$G$150)),RIGHT(BH$1,2)),"")</f>
        <v>142</v>
      </c>
      <c r="BI67" s="16" cm="1">
        <f t="array" ref="BI67">IFERROR(INDEX(_xlfn.ANCHORARRAY(_xlfn.XLOOKUP($C67,'-ref_Distribution'!$B$146:$B$150,'-ref_Distribution'!$G$146:$G$150)),RIGHT(BI$1,2)),"")</f>
        <v>135</v>
      </c>
      <c r="BJ67" s="16" cm="1">
        <f t="array" ref="BJ67">IFERROR(INDEX(_xlfn.ANCHORARRAY(_xlfn.XLOOKUP($C67,'-ref_Distribution'!$B$146:$B$150,'-ref_Distribution'!$G$146:$G$150)),RIGHT(BJ$1,2)),"")</f>
        <v>125</v>
      </c>
      <c r="BK67" s="16" cm="1">
        <f t="array" ref="BK67">IFERROR(INDEX(_xlfn.ANCHORARRAY(_xlfn.XLOOKUP($C67,'-ref_Distribution'!$B$146:$B$150,'-ref_Distribution'!$G$146:$G$150)),RIGHT(BK$1,2)),"")</f>
        <v>111</v>
      </c>
      <c r="BL67" s="16" cm="1">
        <f t="array" ref="BL67">IFERROR(INDEX(_xlfn.ANCHORARRAY(_xlfn.XLOOKUP($C67,'-ref_Distribution'!$B$146:$B$150,'-ref_Distribution'!$G$146:$G$150)),RIGHT(BL$1,2)),"")</f>
        <v>4</v>
      </c>
      <c r="BM67" s="16" cm="1">
        <f t="array" ref="BM67">IFERROR(INDEX(_xlfn.ANCHORARRAY(_xlfn.XLOOKUP($C67,'-ref_Distribution'!$B$146:$B$150,'-ref_Distribution'!$G$146:$G$150)),RIGHT(BM$1,2)),"")</f>
        <v>6</v>
      </c>
      <c r="BN67" s="16" cm="1">
        <f t="array" ref="BN67">IFERROR(INDEX(_xlfn.ANCHORARRAY(_xlfn.XLOOKUP($C67,'-ref_Distribution'!$B$146:$B$150,'-ref_Distribution'!$G$146:$G$150)),RIGHT(BN$1,2)),"")</f>
        <v>9</v>
      </c>
      <c r="BO67" s="16" cm="1">
        <f t="array" ref="BO67">IFERROR(INDEX(_xlfn.ANCHORARRAY(_xlfn.XLOOKUP($C67,'-ref_Distribution'!$B$146:$B$150,'-ref_Distribution'!$G$146:$G$150)),RIGHT(BO$1,2)),"")</f>
        <v>14</v>
      </c>
      <c r="BP67" s="16" cm="1">
        <f t="array" ref="BP67">IFERROR(INDEX(_xlfn.ANCHORARRAY(_xlfn.XLOOKUP($C67,'-ref_Distribution'!$B$146:$B$150,'-ref_Distribution'!$G$146:$G$150)),RIGHT(BP$1,2)),"")</f>
        <v>20</v>
      </c>
      <c r="BQ67" s="16" cm="1">
        <f t="array" ref="BQ67">IFERROR(INDEX(_xlfn.ANCHORARRAY(_xlfn.XLOOKUP($C67,'-ref_Distribution'!$B$146:$B$150,'-ref_Distribution'!$G$146:$G$150)),RIGHT(BQ$1,2)),"")</f>
        <v>28</v>
      </c>
      <c r="BR67" s="16" cm="1">
        <f t="array" ref="BR67">IFERROR(INDEX(_xlfn.ANCHORARRAY(_xlfn.XLOOKUP($C67,'-ref_Distribution'!$B$146:$B$150,'-ref_Distribution'!$G$146:$G$150)),RIGHT(BR$1,2)),"")</f>
        <v>38</v>
      </c>
      <c r="BS67" s="16" cm="1">
        <f t="array" ref="BS67">IFERROR(INDEX(_xlfn.ANCHORARRAY(_xlfn.XLOOKUP($C67,'-ref_Distribution'!$B$146:$B$150,'-ref_Distribution'!$G$146:$G$150)),RIGHT(BS$1,2)),"")</f>
        <v>51</v>
      </c>
      <c r="BT67" s="16" cm="1">
        <f t="array" ref="BT67">IFERROR(INDEX(_xlfn.ANCHORARRAY(_xlfn.XLOOKUP($C67,'-ref_Distribution'!$B$146:$B$150,'-ref_Distribution'!$G$146:$G$150)),RIGHT(BT$1,2)),"")</f>
        <v>65</v>
      </c>
      <c r="BU67" s="16" cm="1">
        <f t="array" ref="BU67">IFERROR(INDEX(_xlfn.ANCHORARRAY(_xlfn.XLOOKUP($C67,'-ref_Distribution'!$B$146:$B$150,'-ref_Distribution'!$G$146:$G$150)),RIGHT(BU$1,2)),"")</f>
        <v>80</v>
      </c>
      <c r="BV67" s="16" cm="1">
        <f t="array" ref="BV67">IFERROR(INDEX(_xlfn.ANCHORARRAY(_xlfn.XLOOKUP($C67,'-ref_Distribution'!$B$146:$B$150,'-ref_Distribution'!$G$146:$G$150)),RIGHT(BV$1,2)),"")</f>
        <v>96</v>
      </c>
      <c r="BW67" s="16" cm="1">
        <f t="array" ref="BW67">IFERROR(INDEX(_xlfn.ANCHORARRAY(_xlfn.XLOOKUP($C67,'-ref_Distribution'!$B$146:$B$150,'-ref_Distribution'!$G$146:$G$150)),RIGHT(BW$1,2)),"")</f>
        <v>111</v>
      </c>
      <c r="BX67" s="16" cm="1">
        <f t="array" ref="BX67">IFERROR(INDEX(_xlfn.ANCHORARRAY(_xlfn.XLOOKUP($C67,'-ref_Distribution'!$B$146:$B$150,'-ref_Distribution'!$G$146:$G$150)),RIGHT(BX$1,2)),"")</f>
        <v>125</v>
      </c>
      <c r="BY67" s="16" cm="1">
        <f t="array" ref="BY67">IFERROR(INDEX(_xlfn.ANCHORARRAY(_xlfn.XLOOKUP($C67,'-ref_Distribution'!$B$146:$B$150,'-ref_Distribution'!$G$146:$G$150)),RIGHT(BY$1,2)),"")</f>
        <v>135</v>
      </c>
      <c r="BZ67" s="16" cm="1">
        <f t="array" ref="BZ67">IFERROR(INDEX(_xlfn.ANCHORARRAY(_xlfn.XLOOKUP($C67,'-ref_Distribution'!$B$146:$B$150,'-ref_Distribution'!$G$146:$G$150)),RIGHT(BZ$1,2)),"")</f>
        <v>142</v>
      </c>
      <c r="CA67" s="16" cm="1">
        <f t="array" ref="CA67">IFERROR(INDEX(_xlfn.ANCHORARRAY(_xlfn.XLOOKUP($C67,'-ref_Distribution'!$B$146:$B$150,'-ref_Distribution'!$G$146:$G$150)),RIGHT(CA$1,2)),"")</f>
        <v>144</v>
      </c>
      <c r="CB67" s="16" cm="1">
        <f t="array" ref="CB67">IFERROR(INDEX(_xlfn.ANCHORARRAY(_xlfn.XLOOKUP($C67,'-ref_Distribution'!$B$146:$B$150,'-ref_Distribution'!$G$146:$G$150)),RIGHT(CB$1,2)),"")</f>
        <v>142</v>
      </c>
      <c r="CC67" s="16" cm="1">
        <f t="array" ref="CC67">IFERROR(INDEX(_xlfn.ANCHORARRAY(_xlfn.XLOOKUP($C67,'-ref_Distribution'!$B$146:$B$150,'-ref_Distribution'!$G$146:$G$150)),RIGHT(CC$1,2)),"")</f>
        <v>135</v>
      </c>
      <c r="CD67" s="16" cm="1">
        <f t="array" ref="CD67">IFERROR(INDEX(_xlfn.ANCHORARRAY(_xlfn.XLOOKUP($C67,'-ref_Distribution'!$B$146:$B$150,'-ref_Distribution'!$G$146:$G$150)),RIGHT(CD$1,2)),"")</f>
        <v>125</v>
      </c>
      <c r="CE67" s="16" cm="1">
        <f t="array" ref="CE67">IFERROR(INDEX(_xlfn.ANCHORARRAY(_xlfn.XLOOKUP($C67,'-ref_Distribution'!$B$146:$B$150,'-ref_Distribution'!$G$146:$G$150)),RIGHT(CE$1,2)),"")</f>
        <v>111</v>
      </c>
    </row>
    <row r="68" spans="1:83" x14ac:dyDescent="0.2">
      <c r="A68" s="16">
        <v>310217</v>
      </c>
      <c r="B68" s="16" t="s">
        <v>415</v>
      </c>
      <c r="C68" s="16">
        <v>4</v>
      </c>
      <c r="D68" s="16" cm="1">
        <f t="array" ref="D68">IFERROR(INDEX(_xlfn.ANCHORARRAY(_xlfn.XLOOKUP($C68,'-ref_Distribution'!$B$146:$B$150,'-ref_Distribution'!$G$146:$G$150)),RIGHT(D$1,2)),"")</f>
        <v>0</v>
      </c>
      <c r="E68" s="16" cm="1">
        <f t="array" ref="E68">IFERROR(INDEX(_xlfn.ANCHORARRAY(_xlfn.XLOOKUP($C68,'-ref_Distribution'!$B$146:$B$150,'-ref_Distribution'!$G$146:$G$150)),RIGHT(E$1,2)),"")</f>
        <v>0</v>
      </c>
      <c r="F68" s="16" cm="1">
        <f t="array" ref="F68">IFERROR(INDEX(_xlfn.ANCHORARRAY(_xlfn.XLOOKUP($C68,'-ref_Distribution'!$B$146:$B$150,'-ref_Distribution'!$G$146:$G$150)),RIGHT(F$1,2)),"")</f>
        <v>0</v>
      </c>
      <c r="G68" s="16" cm="1">
        <f t="array" ref="G68">IFERROR(INDEX(_xlfn.ANCHORARRAY(_xlfn.XLOOKUP($C68,'-ref_Distribution'!$B$146:$B$150,'-ref_Distribution'!$G$146:$G$150)),RIGHT(G$1,2)),"")</f>
        <v>0</v>
      </c>
      <c r="H68" s="16" cm="1">
        <f t="array" ref="H68">IFERROR(INDEX(_xlfn.ANCHORARRAY(_xlfn.XLOOKUP($C68,'-ref_Distribution'!$B$146:$B$150,'-ref_Distribution'!$G$146:$G$150)),RIGHT(H$1,2)),"")</f>
        <v>0</v>
      </c>
      <c r="I68" s="16" cm="1">
        <f t="array" ref="I68">IFERROR(INDEX(_xlfn.ANCHORARRAY(_xlfn.XLOOKUP($C68,'-ref_Distribution'!$B$146:$B$150,'-ref_Distribution'!$G$146:$G$150)),RIGHT(I$1,2)),"")</f>
        <v>1</v>
      </c>
      <c r="J68" s="16" cm="1">
        <f t="array" ref="J68">IFERROR(INDEX(_xlfn.ANCHORARRAY(_xlfn.XLOOKUP($C68,'-ref_Distribution'!$B$146:$B$150,'-ref_Distribution'!$G$146:$G$150)),RIGHT(J$1,2)),"")</f>
        <v>1</v>
      </c>
      <c r="K68" s="16" cm="1">
        <f t="array" ref="K68">IFERROR(INDEX(_xlfn.ANCHORARRAY(_xlfn.XLOOKUP($C68,'-ref_Distribution'!$B$146:$B$150,'-ref_Distribution'!$G$146:$G$150)),RIGHT(K$1,2)),"")</f>
        <v>2</v>
      </c>
      <c r="L68" s="16" cm="1">
        <f t="array" ref="L68">IFERROR(INDEX(_xlfn.ANCHORARRAY(_xlfn.XLOOKUP($C68,'-ref_Distribution'!$B$146:$B$150,'-ref_Distribution'!$G$146:$G$150)),RIGHT(L$1,2)),"")</f>
        <v>3</v>
      </c>
      <c r="M68" s="16" cm="1">
        <f t="array" ref="M68">IFERROR(INDEX(_xlfn.ANCHORARRAY(_xlfn.XLOOKUP($C68,'-ref_Distribution'!$B$146:$B$150,'-ref_Distribution'!$G$146:$G$150)),RIGHT(M$1,2)),"")</f>
        <v>5</v>
      </c>
      <c r="N68" s="16" cm="1">
        <f t="array" ref="N68">IFERROR(INDEX(_xlfn.ANCHORARRAY(_xlfn.XLOOKUP($C68,'-ref_Distribution'!$B$146:$B$150,'-ref_Distribution'!$G$146:$G$150)),RIGHT(N$1,2)),"")</f>
        <v>9</v>
      </c>
      <c r="O68" s="16" cm="1">
        <f t="array" ref="O68">IFERROR(INDEX(_xlfn.ANCHORARRAY(_xlfn.XLOOKUP($C68,'-ref_Distribution'!$B$146:$B$150,'-ref_Distribution'!$G$146:$G$150)),RIGHT(O$1,2)),"")</f>
        <v>14</v>
      </c>
      <c r="P68" s="16" cm="1">
        <f t="array" ref="P68">IFERROR(INDEX(_xlfn.ANCHORARRAY(_xlfn.XLOOKUP($C68,'-ref_Distribution'!$B$146:$B$150,'-ref_Distribution'!$G$146:$G$150)),RIGHT(P$1,2)),"")</f>
        <v>20</v>
      </c>
      <c r="Q68" s="16" cm="1">
        <f t="array" ref="Q68">IFERROR(INDEX(_xlfn.ANCHORARRAY(_xlfn.XLOOKUP($C68,'-ref_Distribution'!$B$146:$B$150,'-ref_Distribution'!$G$146:$G$150)),RIGHT(Q$1,2)),"")</f>
        <v>28</v>
      </c>
      <c r="R68" s="16" cm="1">
        <f t="array" ref="R68">IFERROR(INDEX(_xlfn.ANCHORARRAY(_xlfn.XLOOKUP($C68,'-ref_Distribution'!$B$146:$B$150,'-ref_Distribution'!$G$146:$G$150)),RIGHT(R$1,2)),"")</f>
        <v>38</v>
      </c>
      <c r="S68" s="16" cm="1">
        <f t="array" ref="S68">IFERROR(INDEX(_xlfn.ANCHORARRAY(_xlfn.XLOOKUP($C68,'-ref_Distribution'!$B$146:$B$150,'-ref_Distribution'!$G$146:$G$150)),RIGHT(S$1,2)),"")</f>
        <v>48</v>
      </c>
      <c r="T68" s="16" cm="1">
        <f t="array" ref="T68">IFERROR(INDEX(_xlfn.ANCHORARRAY(_xlfn.XLOOKUP($C68,'-ref_Distribution'!$B$146:$B$150,'-ref_Distribution'!$G$146:$G$150)),RIGHT(T$1,2)),"")</f>
        <v>59</v>
      </c>
      <c r="U68" s="16" cm="1">
        <f t="array" ref="U68">IFERROR(INDEX(_xlfn.ANCHORARRAY(_xlfn.XLOOKUP($C68,'-ref_Distribution'!$B$146:$B$150,'-ref_Distribution'!$G$146:$G$150)),RIGHT(U$1,2)),"")</f>
        <v>69</v>
      </c>
      <c r="V68" s="16" cm="1">
        <f t="array" ref="V68">IFERROR(INDEX(_xlfn.ANCHORARRAY(_xlfn.XLOOKUP($C68,'-ref_Distribution'!$B$146:$B$150,'-ref_Distribution'!$G$146:$G$150)),RIGHT(V$1,2)),"")</f>
        <v>78</v>
      </c>
      <c r="W68" s="16" cm="1">
        <f t="array" ref="W68">IFERROR(INDEX(_xlfn.ANCHORARRAY(_xlfn.XLOOKUP($C68,'-ref_Distribution'!$B$146:$B$150,'-ref_Distribution'!$G$146:$G$150)),RIGHT(W$1,2)),"")</f>
        <v>83</v>
      </c>
      <c r="X68" s="16" cm="1">
        <f t="array" ref="X68">IFERROR(INDEX(_xlfn.ANCHORARRAY(_xlfn.XLOOKUP($C68,'-ref_Distribution'!$B$146:$B$150,'-ref_Distribution'!$G$146:$G$150)),RIGHT(X$1,2)),"")</f>
        <v>0</v>
      </c>
      <c r="Y68" s="16" cm="1">
        <f t="array" ref="Y68">IFERROR(INDEX(_xlfn.ANCHORARRAY(_xlfn.XLOOKUP($C68,'-ref_Distribution'!$B$146:$B$150,'-ref_Distribution'!$G$146:$G$150)),RIGHT(Y$1,2)),"")</f>
        <v>0</v>
      </c>
      <c r="Z68" s="16" cm="1">
        <f t="array" ref="Z68">IFERROR(INDEX(_xlfn.ANCHORARRAY(_xlfn.XLOOKUP($C68,'-ref_Distribution'!$B$146:$B$150,'-ref_Distribution'!$G$146:$G$150)),RIGHT(Z$1,2)),"")</f>
        <v>0</v>
      </c>
      <c r="AA68" s="16" cm="1">
        <f t="array" ref="AA68">IFERROR(INDEX(_xlfn.ANCHORARRAY(_xlfn.XLOOKUP($C68,'-ref_Distribution'!$B$146:$B$150,'-ref_Distribution'!$G$146:$G$150)),RIGHT(AA$1,2)),"")</f>
        <v>0</v>
      </c>
      <c r="AB68" s="16" cm="1">
        <f t="array" ref="AB68">IFERROR(INDEX(_xlfn.ANCHORARRAY(_xlfn.XLOOKUP($C68,'-ref_Distribution'!$B$146:$B$150,'-ref_Distribution'!$G$146:$G$150)),RIGHT(AB$1,2)),"")</f>
        <v>0</v>
      </c>
      <c r="AC68" s="16" cm="1">
        <f t="array" ref="AC68">IFERROR(INDEX(_xlfn.ANCHORARRAY(_xlfn.XLOOKUP($C68,'-ref_Distribution'!$B$146:$B$150,'-ref_Distribution'!$G$146:$G$150)),RIGHT(AC$1,2)),"")</f>
        <v>1</v>
      </c>
      <c r="AD68" s="16" cm="1">
        <f t="array" ref="AD68">IFERROR(INDEX(_xlfn.ANCHORARRAY(_xlfn.XLOOKUP($C68,'-ref_Distribution'!$B$146:$B$150,'-ref_Distribution'!$G$146:$G$150)),RIGHT(AD$1,2)),"")</f>
        <v>1</v>
      </c>
      <c r="AE68" s="16" cm="1">
        <f t="array" ref="AE68">IFERROR(INDEX(_xlfn.ANCHORARRAY(_xlfn.XLOOKUP($C68,'-ref_Distribution'!$B$146:$B$150,'-ref_Distribution'!$G$146:$G$150)),RIGHT(AE$1,2)),"")</f>
        <v>2</v>
      </c>
      <c r="AF68" s="16" cm="1">
        <f t="array" ref="AF68">IFERROR(INDEX(_xlfn.ANCHORARRAY(_xlfn.XLOOKUP($C68,'-ref_Distribution'!$B$146:$B$150,'-ref_Distribution'!$G$146:$G$150)),RIGHT(AF$1,2)),"")</f>
        <v>3</v>
      </c>
      <c r="AG68" s="16" cm="1">
        <f t="array" ref="AG68">IFERROR(INDEX(_xlfn.ANCHORARRAY(_xlfn.XLOOKUP($C68,'-ref_Distribution'!$B$146:$B$150,'-ref_Distribution'!$G$146:$G$150)),RIGHT(AG$1,2)),"")</f>
        <v>5</v>
      </c>
      <c r="AH68" s="16" cm="1">
        <f t="array" ref="AH68">IFERROR(INDEX(_xlfn.ANCHORARRAY(_xlfn.XLOOKUP($C68,'-ref_Distribution'!$B$146:$B$150,'-ref_Distribution'!$G$146:$G$150)),RIGHT(AH$1,2)),"")</f>
        <v>9</v>
      </c>
      <c r="AI68" s="16" cm="1">
        <f t="array" ref="AI68">IFERROR(INDEX(_xlfn.ANCHORARRAY(_xlfn.XLOOKUP($C68,'-ref_Distribution'!$B$146:$B$150,'-ref_Distribution'!$G$146:$G$150)),RIGHT(AI$1,2)),"")</f>
        <v>14</v>
      </c>
      <c r="AJ68" s="16" cm="1">
        <f t="array" ref="AJ68">IFERROR(INDEX(_xlfn.ANCHORARRAY(_xlfn.XLOOKUP($C68,'-ref_Distribution'!$B$146:$B$150,'-ref_Distribution'!$G$146:$G$150)),RIGHT(AJ$1,2)),"")</f>
        <v>20</v>
      </c>
      <c r="AK68" s="16" cm="1">
        <f t="array" ref="AK68">IFERROR(INDEX(_xlfn.ANCHORARRAY(_xlfn.XLOOKUP($C68,'-ref_Distribution'!$B$146:$B$150,'-ref_Distribution'!$G$146:$G$150)),RIGHT(AK$1,2)),"")</f>
        <v>28</v>
      </c>
      <c r="AL68" s="16" cm="1">
        <f t="array" ref="AL68">IFERROR(INDEX(_xlfn.ANCHORARRAY(_xlfn.XLOOKUP($C68,'-ref_Distribution'!$B$146:$B$150,'-ref_Distribution'!$G$146:$G$150)),RIGHT(AL$1,2)),"")</f>
        <v>38</v>
      </c>
      <c r="AM68" s="16" cm="1">
        <f t="array" ref="AM68">IFERROR(INDEX(_xlfn.ANCHORARRAY(_xlfn.XLOOKUP($C68,'-ref_Distribution'!$B$146:$B$150,'-ref_Distribution'!$G$146:$G$150)),RIGHT(AM$1,2)),"")</f>
        <v>48</v>
      </c>
      <c r="AN68" s="16" cm="1">
        <f t="array" ref="AN68">IFERROR(INDEX(_xlfn.ANCHORARRAY(_xlfn.XLOOKUP($C68,'-ref_Distribution'!$B$146:$B$150,'-ref_Distribution'!$G$146:$G$150)),RIGHT(AN$1,2)),"")</f>
        <v>59</v>
      </c>
      <c r="AO68" s="16" cm="1">
        <f t="array" ref="AO68">IFERROR(INDEX(_xlfn.ANCHORARRAY(_xlfn.XLOOKUP($C68,'-ref_Distribution'!$B$146:$B$150,'-ref_Distribution'!$G$146:$G$150)),RIGHT(AO$1,2)),"")</f>
        <v>69</v>
      </c>
      <c r="AP68" s="16" cm="1">
        <f t="array" ref="AP68">IFERROR(INDEX(_xlfn.ANCHORARRAY(_xlfn.XLOOKUP($C68,'-ref_Distribution'!$B$146:$B$150,'-ref_Distribution'!$G$146:$G$150)),RIGHT(AP$1,2)),"")</f>
        <v>78</v>
      </c>
      <c r="AQ68" s="16" cm="1">
        <f t="array" ref="AQ68">IFERROR(INDEX(_xlfn.ANCHORARRAY(_xlfn.XLOOKUP($C68,'-ref_Distribution'!$B$146:$B$150,'-ref_Distribution'!$G$146:$G$150)),RIGHT(AQ$1,2)),"")</f>
        <v>83</v>
      </c>
      <c r="AR68" s="16" cm="1">
        <f t="array" ref="AR68">IFERROR(INDEX(_xlfn.ANCHORARRAY(_xlfn.XLOOKUP($C68,'-ref_Distribution'!$B$146:$B$150,'-ref_Distribution'!$G$146:$G$150)),RIGHT(AR$1,2)),"")</f>
        <v>0</v>
      </c>
      <c r="AS68" s="16" cm="1">
        <f t="array" ref="AS68">IFERROR(INDEX(_xlfn.ANCHORARRAY(_xlfn.XLOOKUP($C68,'-ref_Distribution'!$B$146:$B$150,'-ref_Distribution'!$G$146:$G$150)),RIGHT(AS$1,2)),"")</f>
        <v>0</v>
      </c>
      <c r="AT68" s="16" cm="1">
        <f t="array" ref="AT68">IFERROR(INDEX(_xlfn.ANCHORARRAY(_xlfn.XLOOKUP($C68,'-ref_Distribution'!$B$146:$B$150,'-ref_Distribution'!$G$146:$G$150)),RIGHT(AT$1,2)),"")</f>
        <v>0</v>
      </c>
      <c r="AU68" s="16" cm="1">
        <f t="array" ref="AU68">IFERROR(INDEX(_xlfn.ANCHORARRAY(_xlfn.XLOOKUP($C68,'-ref_Distribution'!$B$146:$B$150,'-ref_Distribution'!$G$146:$G$150)),RIGHT(AU$1,2)),"")</f>
        <v>0</v>
      </c>
      <c r="AV68" s="16" cm="1">
        <f t="array" ref="AV68">IFERROR(INDEX(_xlfn.ANCHORARRAY(_xlfn.XLOOKUP($C68,'-ref_Distribution'!$B$146:$B$150,'-ref_Distribution'!$G$146:$G$150)),RIGHT(AV$1,2)),"")</f>
        <v>0</v>
      </c>
      <c r="AW68" s="16" cm="1">
        <f t="array" ref="AW68">IFERROR(INDEX(_xlfn.ANCHORARRAY(_xlfn.XLOOKUP($C68,'-ref_Distribution'!$B$146:$B$150,'-ref_Distribution'!$G$146:$G$150)),RIGHT(AW$1,2)),"")</f>
        <v>1</v>
      </c>
      <c r="AX68" s="16" cm="1">
        <f t="array" ref="AX68">IFERROR(INDEX(_xlfn.ANCHORARRAY(_xlfn.XLOOKUP($C68,'-ref_Distribution'!$B$146:$B$150,'-ref_Distribution'!$G$146:$G$150)),RIGHT(AX$1,2)),"")</f>
        <v>1</v>
      </c>
      <c r="AY68" s="16" cm="1">
        <f t="array" ref="AY68">IFERROR(INDEX(_xlfn.ANCHORARRAY(_xlfn.XLOOKUP($C68,'-ref_Distribution'!$B$146:$B$150,'-ref_Distribution'!$G$146:$G$150)),RIGHT(AY$1,2)),"")</f>
        <v>2</v>
      </c>
      <c r="AZ68" s="16" cm="1">
        <f t="array" ref="AZ68">IFERROR(INDEX(_xlfn.ANCHORARRAY(_xlfn.XLOOKUP($C68,'-ref_Distribution'!$B$146:$B$150,'-ref_Distribution'!$G$146:$G$150)),RIGHT(AZ$1,2)),"")</f>
        <v>3</v>
      </c>
      <c r="BA68" s="16" cm="1">
        <f t="array" ref="BA68">IFERROR(INDEX(_xlfn.ANCHORARRAY(_xlfn.XLOOKUP($C68,'-ref_Distribution'!$B$146:$B$150,'-ref_Distribution'!$G$146:$G$150)),RIGHT(BA$1,2)),"")</f>
        <v>5</v>
      </c>
      <c r="BB68" s="16" cm="1">
        <f t="array" ref="BB68">IFERROR(INDEX(_xlfn.ANCHORARRAY(_xlfn.XLOOKUP($C68,'-ref_Distribution'!$B$146:$B$150,'-ref_Distribution'!$G$146:$G$150)),RIGHT(BB$1,2)),"")</f>
        <v>9</v>
      </c>
      <c r="BC68" s="16" cm="1">
        <f t="array" ref="BC68">IFERROR(INDEX(_xlfn.ANCHORARRAY(_xlfn.XLOOKUP($C68,'-ref_Distribution'!$B$146:$B$150,'-ref_Distribution'!$G$146:$G$150)),RIGHT(BC$1,2)),"")</f>
        <v>14</v>
      </c>
      <c r="BD68" s="16" cm="1">
        <f t="array" ref="BD68">IFERROR(INDEX(_xlfn.ANCHORARRAY(_xlfn.XLOOKUP($C68,'-ref_Distribution'!$B$146:$B$150,'-ref_Distribution'!$G$146:$G$150)),RIGHT(BD$1,2)),"")</f>
        <v>20</v>
      </c>
      <c r="BE68" s="16" cm="1">
        <f t="array" ref="BE68">IFERROR(INDEX(_xlfn.ANCHORARRAY(_xlfn.XLOOKUP($C68,'-ref_Distribution'!$B$146:$B$150,'-ref_Distribution'!$G$146:$G$150)),RIGHT(BE$1,2)),"")</f>
        <v>28</v>
      </c>
      <c r="BF68" s="16" cm="1">
        <f t="array" ref="BF68">IFERROR(INDEX(_xlfn.ANCHORARRAY(_xlfn.XLOOKUP($C68,'-ref_Distribution'!$B$146:$B$150,'-ref_Distribution'!$G$146:$G$150)),RIGHT(BF$1,2)),"")</f>
        <v>38</v>
      </c>
      <c r="BG68" s="16" cm="1">
        <f t="array" ref="BG68">IFERROR(INDEX(_xlfn.ANCHORARRAY(_xlfn.XLOOKUP($C68,'-ref_Distribution'!$B$146:$B$150,'-ref_Distribution'!$G$146:$G$150)),RIGHT(BG$1,2)),"")</f>
        <v>48</v>
      </c>
      <c r="BH68" s="16" cm="1">
        <f t="array" ref="BH68">IFERROR(INDEX(_xlfn.ANCHORARRAY(_xlfn.XLOOKUP($C68,'-ref_Distribution'!$B$146:$B$150,'-ref_Distribution'!$G$146:$G$150)),RIGHT(BH$1,2)),"")</f>
        <v>59</v>
      </c>
      <c r="BI68" s="16" cm="1">
        <f t="array" ref="BI68">IFERROR(INDEX(_xlfn.ANCHORARRAY(_xlfn.XLOOKUP($C68,'-ref_Distribution'!$B$146:$B$150,'-ref_Distribution'!$G$146:$G$150)),RIGHT(BI$1,2)),"")</f>
        <v>69</v>
      </c>
      <c r="BJ68" s="16" cm="1">
        <f t="array" ref="BJ68">IFERROR(INDEX(_xlfn.ANCHORARRAY(_xlfn.XLOOKUP($C68,'-ref_Distribution'!$B$146:$B$150,'-ref_Distribution'!$G$146:$G$150)),RIGHT(BJ$1,2)),"")</f>
        <v>78</v>
      </c>
      <c r="BK68" s="16" cm="1">
        <f t="array" ref="BK68">IFERROR(INDEX(_xlfn.ANCHORARRAY(_xlfn.XLOOKUP($C68,'-ref_Distribution'!$B$146:$B$150,'-ref_Distribution'!$G$146:$G$150)),RIGHT(BK$1,2)),"")</f>
        <v>83</v>
      </c>
      <c r="BL68" s="16" cm="1">
        <f t="array" ref="BL68">IFERROR(INDEX(_xlfn.ANCHORARRAY(_xlfn.XLOOKUP($C68,'-ref_Distribution'!$B$146:$B$150,'-ref_Distribution'!$G$146:$G$150)),RIGHT(BL$1,2)),"")</f>
        <v>0</v>
      </c>
      <c r="BM68" s="16" cm="1">
        <f t="array" ref="BM68">IFERROR(INDEX(_xlfn.ANCHORARRAY(_xlfn.XLOOKUP($C68,'-ref_Distribution'!$B$146:$B$150,'-ref_Distribution'!$G$146:$G$150)),RIGHT(BM$1,2)),"")</f>
        <v>0</v>
      </c>
      <c r="BN68" s="16" cm="1">
        <f t="array" ref="BN68">IFERROR(INDEX(_xlfn.ANCHORARRAY(_xlfn.XLOOKUP($C68,'-ref_Distribution'!$B$146:$B$150,'-ref_Distribution'!$G$146:$G$150)),RIGHT(BN$1,2)),"")</f>
        <v>0</v>
      </c>
      <c r="BO68" s="16" cm="1">
        <f t="array" ref="BO68">IFERROR(INDEX(_xlfn.ANCHORARRAY(_xlfn.XLOOKUP($C68,'-ref_Distribution'!$B$146:$B$150,'-ref_Distribution'!$G$146:$G$150)),RIGHT(BO$1,2)),"")</f>
        <v>0</v>
      </c>
      <c r="BP68" s="16" cm="1">
        <f t="array" ref="BP68">IFERROR(INDEX(_xlfn.ANCHORARRAY(_xlfn.XLOOKUP($C68,'-ref_Distribution'!$B$146:$B$150,'-ref_Distribution'!$G$146:$G$150)),RIGHT(BP$1,2)),"")</f>
        <v>0</v>
      </c>
      <c r="BQ68" s="16" cm="1">
        <f t="array" ref="BQ68">IFERROR(INDEX(_xlfn.ANCHORARRAY(_xlfn.XLOOKUP($C68,'-ref_Distribution'!$B$146:$B$150,'-ref_Distribution'!$G$146:$G$150)),RIGHT(BQ$1,2)),"")</f>
        <v>1</v>
      </c>
      <c r="BR68" s="16" cm="1">
        <f t="array" ref="BR68">IFERROR(INDEX(_xlfn.ANCHORARRAY(_xlfn.XLOOKUP($C68,'-ref_Distribution'!$B$146:$B$150,'-ref_Distribution'!$G$146:$G$150)),RIGHT(BR$1,2)),"")</f>
        <v>1</v>
      </c>
      <c r="BS68" s="16" cm="1">
        <f t="array" ref="BS68">IFERROR(INDEX(_xlfn.ANCHORARRAY(_xlfn.XLOOKUP($C68,'-ref_Distribution'!$B$146:$B$150,'-ref_Distribution'!$G$146:$G$150)),RIGHT(BS$1,2)),"")</f>
        <v>2</v>
      </c>
      <c r="BT68" s="16" cm="1">
        <f t="array" ref="BT68">IFERROR(INDEX(_xlfn.ANCHORARRAY(_xlfn.XLOOKUP($C68,'-ref_Distribution'!$B$146:$B$150,'-ref_Distribution'!$G$146:$G$150)),RIGHT(BT$1,2)),"")</f>
        <v>3</v>
      </c>
      <c r="BU68" s="16" cm="1">
        <f t="array" ref="BU68">IFERROR(INDEX(_xlfn.ANCHORARRAY(_xlfn.XLOOKUP($C68,'-ref_Distribution'!$B$146:$B$150,'-ref_Distribution'!$G$146:$G$150)),RIGHT(BU$1,2)),"")</f>
        <v>5</v>
      </c>
      <c r="BV68" s="16" cm="1">
        <f t="array" ref="BV68">IFERROR(INDEX(_xlfn.ANCHORARRAY(_xlfn.XLOOKUP($C68,'-ref_Distribution'!$B$146:$B$150,'-ref_Distribution'!$G$146:$G$150)),RIGHT(BV$1,2)),"")</f>
        <v>9</v>
      </c>
      <c r="BW68" s="16" cm="1">
        <f t="array" ref="BW68">IFERROR(INDEX(_xlfn.ANCHORARRAY(_xlfn.XLOOKUP($C68,'-ref_Distribution'!$B$146:$B$150,'-ref_Distribution'!$G$146:$G$150)),RIGHT(BW$1,2)),"")</f>
        <v>14</v>
      </c>
      <c r="BX68" s="16" cm="1">
        <f t="array" ref="BX68">IFERROR(INDEX(_xlfn.ANCHORARRAY(_xlfn.XLOOKUP($C68,'-ref_Distribution'!$B$146:$B$150,'-ref_Distribution'!$G$146:$G$150)),RIGHT(BX$1,2)),"")</f>
        <v>20</v>
      </c>
      <c r="BY68" s="16" cm="1">
        <f t="array" ref="BY68">IFERROR(INDEX(_xlfn.ANCHORARRAY(_xlfn.XLOOKUP($C68,'-ref_Distribution'!$B$146:$B$150,'-ref_Distribution'!$G$146:$G$150)),RIGHT(BY$1,2)),"")</f>
        <v>28</v>
      </c>
      <c r="BZ68" s="16" cm="1">
        <f t="array" ref="BZ68">IFERROR(INDEX(_xlfn.ANCHORARRAY(_xlfn.XLOOKUP($C68,'-ref_Distribution'!$B$146:$B$150,'-ref_Distribution'!$G$146:$G$150)),RIGHT(BZ$1,2)),"")</f>
        <v>38</v>
      </c>
      <c r="CA68" s="16" cm="1">
        <f t="array" ref="CA68">IFERROR(INDEX(_xlfn.ANCHORARRAY(_xlfn.XLOOKUP($C68,'-ref_Distribution'!$B$146:$B$150,'-ref_Distribution'!$G$146:$G$150)),RIGHT(CA$1,2)),"")</f>
        <v>48</v>
      </c>
      <c r="CB68" s="16" cm="1">
        <f t="array" ref="CB68">IFERROR(INDEX(_xlfn.ANCHORARRAY(_xlfn.XLOOKUP($C68,'-ref_Distribution'!$B$146:$B$150,'-ref_Distribution'!$G$146:$G$150)),RIGHT(CB$1,2)),"")</f>
        <v>59</v>
      </c>
      <c r="CC68" s="16" cm="1">
        <f t="array" ref="CC68">IFERROR(INDEX(_xlfn.ANCHORARRAY(_xlfn.XLOOKUP($C68,'-ref_Distribution'!$B$146:$B$150,'-ref_Distribution'!$G$146:$G$150)),RIGHT(CC$1,2)),"")</f>
        <v>69</v>
      </c>
      <c r="CD68" s="16" cm="1">
        <f t="array" ref="CD68">IFERROR(INDEX(_xlfn.ANCHORARRAY(_xlfn.XLOOKUP($C68,'-ref_Distribution'!$B$146:$B$150,'-ref_Distribution'!$G$146:$G$150)),RIGHT(CD$1,2)),"")</f>
        <v>78</v>
      </c>
      <c r="CE68" s="16" cm="1">
        <f t="array" ref="CE68">IFERROR(INDEX(_xlfn.ANCHORARRAY(_xlfn.XLOOKUP($C68,'-ref_Distribution'!$B$146:$B$150,'-ref_Distribution'!$G$146:$G$150)),RIGHT(CE$1,2)),"")</f>
        <v>83</v>
      </c>
    </row>
    <row r="69" spans="1:83" x14ac:dyDescent="0.2">
      <c r="A69" s="16">
        <v>310218</v>
      </c>
      <c r="B69" s="16" t="s">
        <v>416</v>
      </c>
      <c r="C69" s="16">
        <v>3</v>
      </c>
      <c r="D69" s="16" cm="1">
        <f t="array" ref="D69">IFERROR(INDEX(_xlfn.ANCHORARRAY(_xlfn.XLOOKUP($C69,'-ref_Distribution'!$B$146:$B$150,'-ref_Distribution'!$G$146:$G$150)),RIGHT(D$1,2)),"")</f>
        <v>4</v>
      </c>
      <c r="E69" s="16" cm="1">
        <f t="array" ref="E69">IFERROR(INDEX(_xlfn.ANCHORARRAY(_xlfn.XLOOKUP($C69,'-ref_Distribution'!$B$146:$B$150,'-ref_Distribution'!$G$146:$G$150)),RIGHT(E$1,2)),"")</f>
        <v>6</v>
      </c>
      <c r="F69" s="16" cm="1">
        <f t="array" ref="F69">IFERROR(INDEX(_xlfn.ANCHORARRAY(_xlfn.XLOOKUP($C69,'-ref_Distribution'!$B$146:$B$150,'-ref_Distribution'!$G$146:$G$150)),RIGHT(F$1,2)),"")</f>
        <v>9</v>
      </c>
      <c r="G69" s="16" cm="1">
        <f t="array" ref="G69">IFERROR(INDEX(_xlfn.ANCHORARRAY(_xlfn.XLOOKUP($C69,'-ref_Distribution'!$B$146:$B$150,'-ref_Distribution'!$G$146:$G$150)),RIGHT(G$1,2)),"")</f>
        <v>14</v>
      </c>
      <c r="H69" s="16" cm="1">
        <f t="array" ref="H69">IFERROR(INDEX(_xlfn.ANCHORARRAY(_xlfn.XLOOKUP($C69,'-ref_Distribution'!$B$146:$B$150,'-ref_Distribution'!$G$146:$G$150)),RIGHT(H$1,2)),"")</f>
        <v>20</v>
      </c>
      <c r="I69" s="16" cm="1">
        <f t="array" ref="I69">IFERROR(INDEX(_xlfn.ANCHORARRAY(_xlfn.XLOOKUP($C69,'-ref_Distribution'!$B$146:$B$150,'-ref_Distribution'!$G$146:$G$150)),RIGHT(I$1,2)),"")</f>
        <v>28</v>
      </c>
      <c r="J69" s="16" cm="1">
        <f t="array" ref="J69">IFERROR(INDEX(_xlfn.ANCHORARRAY(_xlfn.XLOOKUP($C69,'-ref_Distribution'!$B$146:$B$150,'-ref_Distribution'!$G$146:$G$150)),RIGHT(J$1,2)),"")</f>
        <v>38</v>
      </c>
      <c r="K69" s="16" cm="1">
        <f t="array" ref="K69">IFERROR(INDEX(_xlfn.ANCHORARRAY(_xlfn.XLOOKUP($C69,'-ref_Distribution'!$B$146:$B$150,'-ref_Distribution'!$G$146:$G$150)),RIGHT(K$1,2)),"")</f>
        <v>51</v>
      </c>
      <c r="L69" s="16" cm="1">
        <f t="array" ref="L69">IFERROR(INDEX(_xlfn.ANCHORARRAY(_xlfn.XLOOKUP($C69,'-ref_Distribution'!$B$146:$B$150,'-ref_Distribution'!$G$146:$G$150)),RIGHT(L$1,2)),"")</f>
        <v>65</v>
      </c>
      <c r="M69" s="16" cm="1">
        <f t="array" ref="M69">IFERROR(INDEX(_xlfn.ANCHORARRAY(_xlfn.XLOOKUP($C69,'-ref_Distribution'!$B$146:$B$150,'-ref_Distribution'!$G$146:$G$150)),RIGHT(M$1,2)),"")</f>
        <v>80</v>
      </c>
      <c r="N69" s="16" cm="1">
        <f t="array" ref="N69">IFERROR(INDEX(_xlfn.ANCHORARRAY(_xlfn.XLOOKUP($C69,'-ref_Distribution'!$B$146:$B$150,'-ref_Distribution'!$G$146:$G$150)),RIGHT(N$1,2)),"")</f>
        <v>96</v>
      </c>
      <c r="O69" s="16" cm="1">
        <f t="array" ref="O69">IFERROR(INDEX(_xlfn.ANCHORARRAY(_xlfn.XLOOKUP($C69,'-ref_Distribution'!$B$146:$B$150,'-ref_Distribution'!$G$146:$G$150)),RIGHT(O$1,2)),"")</f>
        <v>111</v>
      </c>
      <c r="P69" s="16" cm="1">
        <f t="array" ref="P69">IFERROR(INDEX(_xlfn.ANCHORARRAY(_xlfn.XLOOKUP($C69,'-ref_Distribution'!$B$146:$B$150,'-ref_Distribution'!$G$146:$G$150)),RIGHT(P$1,2)),"")</f>
        <v>125</v>
      </c>
      <c r="Q69" s="16" cm="1">
        <f t="array" ref="Q69">IFERROR(INDEX(_xlfn.ANCHORARRAY(_xlfn.XLOOKUP($C69,'-ref_Distribution'!$B$146:$B$150,'-ref_Distribution'!$G$146:$G$150)),RIGHT(Q$1,2)),"")</f>
        <v>135</v>
      </c>
      <c r="R69" s="16" cm="1">
        <f t="array" ref="R69">IFERROR(INDEX(_xlfn.ANCHORARRAY(_xlfn.XLOOKUP($C69,'-ref_Distribution'!$B$146:$B$150,'-ref_Distribution'!$G$146:$G$150)),RIGHT(R$1,2)),"")</f>
        <v>142</v>
      </c>
      <c r="S69" s="16" cm="1">
        <f t="array" ref="S69">IFERROR(INDEX(_xlfn.ANCHORARRAY(_xlfn.XLOOKUP($C69,'-ref_Distribution'!$B$146:$B$150,'-ref_Distribution'!$G$146:$G$150)),RIGHT(S$1,2)),"")</f>
        <v>144</v>
      </c>
      <c r="T69" s="16" cm="1">
        <f t="array" ref="T69">IFERROR(INDEX(_xlfn.ANCHORARRAY(_xlfn.XLOOKUP($C69,'-ref_Distribution'!$B$146:$B$150,'-ref_Distribution'!$G$146:$G$150)),RIGHT(T$1,2)),"")</f>
        <v>142</v>
      </c>
      <c r="U69" s="16" cm="1">
        <f t="array" ref="U69">IFERROR(INDEX(_xlfn.ANCHORARRAY(_xlfn.XLOOKUP($C69,'-ref_Distribution'!$B$146:$B$150,'-ref_Distribution'!$G$146:$G$150)),RIGHT(U$1,2)),"")</f>
        <v>135</v>
      </c>
      <c r="V69" s="16" cm="1">
        <f t="array" ref="V69">IFERROR(INDEX(_xlfn.ANCHORARRAY(_xlfn.XLOOKUP($C69,'-ref_Distribution'!$B$146:$B$150,'-ref_Distribution'!$G$146:$G$150)),RIGHT(V$1,2)),"")</f>
        <v>125</v>
      </c>
      <c r="W69" s="16" cm="1">
        <f t="array" ref="W69">IFERROR(INDEX(_xlfn.ANCHORARRAY(_xlfn.XLOOKUP($C69,'-ref_Distribution'!$B$146:$B$150,'-ref_Distribution'!$G$146:$G$150)),RIGHT(W$1,2)),"")</f>
        <v>111</v>
      </c>
      <c r="X69" s="16" cm="1">
        <f t="array" ref="X69">IFERROR(INDEX(_xlfn.ANCHORARRAY(_xlfn.XLOOKUP($C69,'-ref_Distribution'!$B$146:$B$150,'-ref_Distribution'!$G$146:$G$150)),RIGHT(X$1,2)),"")</f>
        <v>4</v>
      </c>
      <c r="Y69" s="16" cm="1">
        <f t="array" ref="Y69">IFERROR(INDEX(_xlfn.ANCHORARRAY(_xlfn.XLOOKUP($C69,'-ref_Distribution'!$B$146:$B$150,'-ref_Distribution'!$G$146:$G$150)),RIGHT(Y$1,2)),"")</f>
        <v>6</v>
      </c>
      <c r="Z69" s="16" cm="1">
        <f t="array" ref="Z69">IFERROR(INDEX(_xlfn.ANCHORARRAY(_xlfn.XLOOKUP($C69,'-ref_Distribution'!$B$146:$B$150,'-ref_Distribution'!$G$146:$G$150)),RIGHT(Z$1,2)),"")</f>
        <v>9</v>
      </c>
      <c r="AA69" s="16" cm="1">
        <f t="array" ref="AA69">IFERROR(INDEX(_xlfn.ANCHORARRAY(_xlfn.XLOOKUP($C69,'-ref_Distribution'!$B$146:$B$150,'-ref_Distribution'!$G$146:$G$150)),RIGHT(AA$1,2)),"")</f>
        <v>14</v>
      </c>
      <c r="AB69" s="16" cm="1">
        <f t="array" ref="AB69">IFERROR(INDEX(_xlfn.ANCHORARRAY(_xlfn.XLOOKUP($C69,'-ref_Distribution'!$B$146:$B$150,'-ref_Distribution'!$G$146:$G$150)),RIGHT(AB$1,2)),"")</f>
        <v>20</v>
      </c>
      <c r="AC69" s="16" cm="1">
        <f t="array" ref="AC69">IFERROR(INDEX(_xlfn.ANCHORARRAY(_xlfn.XLOOKUP($C69,'-ref_Distribution'!$B$146:$B$150,'-ref_Distribution'!$G$146:$G$150)),RIGHT(AC$1,2)),"")</f>
        <v>28</v>
      </c>
      <c r="AD69" s="16" cm="1">
        <f t="array" ref="AD69">IFERROR(INDEX(_xlfn.ANCHORARRAY(_xlfn.XLOOKUP($C69,'-ref_Distribution'!$B$146:$B$150,'-ref_Distribution'!$G$146:$G$150)),RIGHT(AD$1,2)),"")</f>
        <v>38</v>
      </c>
      <c r="AE69" s="16" cm="1">
        <f t="array" ref="AE69">IFERROR(INDEX(_xlfn.ANCHORARRAY(_xlfn.XLOOKUP($C69,'-ref_Distribution'!$B$146:$B$150,'-ref_Distribution'!$G$146:$G$150)),RIGHT(AE$1,2)),"")</f>
        <v>51</v>
      </c>
      <c r="AF69" s="16" cm="1">
        <f t="array" ref="AF69">IFERROR(INDEX(_xlfn.ANCHORARRAY(_xlfn.XLOOKUP($C69,'-ref_Distribution'!$B$146:$B$150,'-ref_Distribution'!$G$146:$G$150)),RIGHT(AF$1,2)),"")</f>
        <v>65</v>
      </c>
      <c r="AG69" s="16" cm="1">
        <f t="array" ref="AG69">IFERROR(INDEX(_xlfn.ANCHORARRAY(_xlfn.XLOOKUP($C69,'-ref_Distribution'!$B$146:$B$150,'-ref_Distribution'!$G$146:$G$150)),RIGHT(AG$1,2)),"")</f>
        <v>80</v>
      </c>
      <c r="AH69" s="16" cm="1">
        <f t="array" ref="AH69">IFERROR(INDEX(_xlfn.ANCHORARRAY(_xlfn.XLOOKUP($C69,'-ref_Distribution'!$B$146:$B$150,'-ref_Distribution'!$G$146:$G$150)),RIGHT(AH$1,2)),"")</f>
        <v>96</v>
      </c>
      <c r="AI69" s="16" cm="1">
        <f t="array" ref="AI69">IFERROR(INDEX(_xlfn.ANCHORARRAY(_xlfn.XLOOKUP($C69,'-ref_Distribution'!$B$146:$B$150,'-ref_Distribution'!$G$146:$G$150)),RIGHT(AI$1,2)),"")</f>
        <v>111</v>
      </c>
      <c r="AJ69" s="16" cm="1">
        <f t="array" ref="AJ69">IFERROR(INDEX(_xlfn.ANCHORARRAY(_xlfn.XLOOKUP($C69,'-ref_Distribution'!$B$146:$B$150,'-ref_Distribution'!$G$146:$G$150)),RIGHT(AJ$1,2)),"")</f>
        <v>125</v>
      </c>
      <c r="AK69" s="16" cm="1">
        <f t="array" ref="AK69">IFERROR(INDEX(_xlfn.ANCHORARRAY(_xlfn.XLOOKUP($C69,'-ref_Distribution'!$B$146:$B$150,'-ref_Distribution'!$G$146:$G$150)),RIGHT(AK$1,2)),"")</f>
        <v>135</v>
      </c>
      <c r="AL69" s="16" cm="1">
        <f t="array" ref="AL69">IFERROR(INDEX(_xlfn.ANCHORARRAY(_xlfn.XLOOKUP($C69,'-ref_Distribution'!$B$146:$B$150,'-ref_Distribution'!$G$146:$G$150)),RIGHT(AL$1,2)),"")</f>
        <v>142</v>
      </c>
      <c r="AM69" s="16" cm="1">
        <f t="array" ref="AM69">IFERROR(INDEX(_xlfn.ANCHORARRAY(_xlfn.XLOOKUP($C69,'-ref_Distribution'!$B$146:$B$150,'-ref_Distribution'!$G$146:$G$150)),RIGHT(AM$1,2)),"")</f>
        <v>144</v>
      </c>
      <c r="AN69" s="16" cm="1">
        <f t="array" ref="AN69">IFERROR(INDEX(_xlfn.ANCHORARRAY(_xlfn.XLOOKUP($C69,'-ref_Distribution'!$B$146:$B$150,'-ref_Distribution'!$G$146:$G$150)),RIGHT(AN$1,2)),"")</f>
        <v>142</v>
      </c>
      <c r="AO69" s="16" cm="1">
        <f t="array" ref="AO69">IFERROR(INDEX(_xlfn.ANCHORARRAY(_xlfn.XLOOKUP($C69,'-ref_Distribution'!$B$146:$B$150,'-ref_Distribution'!$G$146:$G$150)),RIGHT(AO$1,2)),"")</f>
        <v>135</v>
      </c>
      <c r="AP69" s="16" cm="1">
        <f t="array" ref="AP69">IFERROR(INDEX(_xlfn.ANCHORARRAY(_xlfn.XLOOKUP($C69,'-ref_Distribution'!$B$146:$B$150,'-ref_Distribution'!$G$146:$G$150)),RIGHT(AP$1,2)),"")</f>
        <v>125</v>
      </c>
      <c r="AQ69" s="16" cm="1">
        <f t="array" ref="AQ69">IFERROR(INDEX(_xlfn.ANCHORARRAY(_xlfn.XLOOKUP($C69,'-ref_Distribution'!$B$146:$B$150,'-ref_Distribution'!$G$146:$G$150)),RIGHT(AQ$1,2)),"")</f>
        <v>111</v>
      </c>
      <c r="AR69" s="16" cm="1">
        <f t="array" ref="AR69">IFERROR(INDEX(_xlfn.ANCHORARRAY(_xlfn.XLOOKUP($C69,'-ref_Distribution'!$B$146:$B$150,'-ref_Distribution'!$G$146:$G$150)),RIGHT(AR$1,2)),"")</f>
        <v>4</v>
      </c>
      <c r="AS69" s="16" cm="1">
        <f t="array" ref="AS69">IFERROR(INDEX(_xlfn.ANCHORARRAY(_xlfn.XLOOKUP($C69,'-ref_Distribution'!$B$146:$B$150,'-ref_Distribution'!$G$146:$G$150)),RIGHT(AS$1,2)),"")</f>
        <v>6</v>
      </c>
      <c r="AT69" s="16" cm="1">
        <f t="array" ref="AT69">IFERROR(INDEX(_xlfn.ANCHORARRAY(_xlfn.XLOOKUP($C69,'-ref_Distribution'!$B$146:$B$150,'-ref_Distribution'!$G$146:$G$150)),RIGHT(AT$1,2)),"")</f>
        <v>9</v>
      </c>
      <c r="AU69" s="16" cm="1">
        <f t="array" ref="AU69">IFERROR(INDEX(_xlfn.ANCHORARRAY(_xlfn.XLOOKUP($C69,'-ref_Distribution'!$B$146:$B$150,'-ref_Distribution'!$G$146:$G$150)),RIGHT(AU$1,2)),"")</f>
        <v>14</v>
      </c>
      <c r="AV69" s="16" cm="1">
        <f t="array" ref="AV69">IFERROR(INDEX(_xlfn.ANCHORARRAY(_xlfn.XLOOKUP($C69,'-ref_Distribution'!$B$146:$B$150,'-ref_Distribution'!$G$146:$G$150)),RIGHT(AV$1,2)),"")</f>
        <v>20</v>
      </c>
      <c r="AW69" s="16" cm="1">
        <f t="array" ref="AW69">IFERROR(INDEX(_xlfn.ANCHORARRAY(_xlfn.XLOOKUP($C69,'-ref_Distribution'!$B$146:$B$150,'-ref_Distribution'!$G$146:$G$150)),RIGHT(AW$1,2)),"")</f>
        <v>28</v>
      </c>
      <c r="AX69" s="16" cm="1">
        <f t="array" ref="AX69">IFERROR(INDEX(_xlfn.ANCHORARRAY(_xlfn.XLOOKUP($C69,'-ref_Distribution'!$B$146:$B$150,'-ref_Distribution'!$G$146:$G$150)),RIGHT(AX$1,2)),"")</f>
        <v>38</v>
      </c>
      <c r="AY69" s="16" cm="1">
        <f t="array" ref="AY69">IFERROR(INDEX(_xlfn.ANCHORARRAY(_xlfn.XLOOKUP($C69,'-ref_Distribution'!$B$146:$B$150,'-ref_Distribution'!$G$146:$G$150)),RIGHT(AY$1,2)),"")</f>
        <v>51</v>
      </c>
      <c r="AZ69" s="16" cm="1">
        <f t="array" ref="AZ69">IFERROR(INDEX(_xlfn.ANCHORARRAY(_xlfn.XLOOKUP($C69,'-ref_Distribution'!$B$146:$B$150,'-ref_Distribution'!$G$146:$G$150)),RIGHT(AZ$1,2)),"")</f>
        <v>65</v>
      </c>
      <c r="BA69" s="16" cm="1">
        <f t="array" ref="BA69">IFERROR(INDEX(_xlfn.ANCHORARRAY(_xlfn.XLOOKUP($C69,'-ref_Distribution'!$B$146:$B$150,'-ref_Distribution'!$G$146:$G$150)),RIGHT(BA$1,2)),"")</f>
        <v>80</v>
      </c>
      <c r="BB69" s="16" cm="1">
        <f t="array" ref="BB69">IFERROR(INDEX(_xlfn.ANCHORARRAY(_xlfn.XLOOKUP($C69,'-ref_Distribution'!$B$146:$B$150,'-ref_Distribution'!$G$146:$G$150)),RIGHT(BB$1,2)),"")</f>
        <v>96</v>
      </c>
      <c r="BC69" s="16" cm="1">
        <f t="array" ref="BC69">IFERROR(INDEX(_xlfn.ANCHORARRAY(_xlfn.XLOOKUP($C69,'-ref_Distribution'!$B$146:$B$150,'-ref_Distribution'!$G$146:$G$150)),RIGHT(BC$1,2)),"")</f>
        <v>111</v>
      </c>
      <c r="BD69" s="16" cm="1">
        <f t="array" ref="BD69">IFERROR(INDEX(_xlfn.ANCHORARRAY(_xlfn.XLOOKUP($C69,'-ref_Distribution'!$B$146:$B$150,'-ref_Distribution'!$G$146:$G$150)),RIGHT(BD$1,2)),"")</f>
        <v>125</v>
      </c>
      <c r="BE69" s="16" cm="1">
        <f t="array" ref="BE69">IFERROR(INDEX(_xlfn.ANCHORARRAY(_xlfn.XLOOKUP($C69,'-ref_Distribution'!$B$146:$B$150,'-ref_Distribution'!$G$146:$G$150)),RIGHT(BE$1,2)),"")</f>
        <v>135</v>
      </c>
      <c r="BF69" s="16" cm="1">
        <f t="array" ref="BF69">IFERROR(INDEX(_xlfn.ANCHORARRAY(_xlfn.XLOOKUP($C69,'-ref_Distribution'!$B$146:$B$150,'-ref_Distribution'!$G$146:$G$150)),RIGHT(BF$1,2)),"")</f>
        <v>142</v>
      </c>
      <c r="BG69" s="16" cm="1">
        <f t="array" ref="BG69">IFERROR(INDEX(_xlfn.ANCHORARRAY(_xlfn.XLOOKUP($C69,'-ref_Distribution'!$B$146:$B$150,'-ref_Distribution'!$G$146:$G$150)),RIGHT(BG$1,2)),"")</f>
        <v>144</v>
      </c>
      <c r="BH69" s="16" cm="1">
        <f t="array" ref="BH69">IFERROR(INDEX(_xlfn.ANCHORARRAY(_xlfn.XLOOKUP($C69,'-ref_Distribution'!$B$146:$B$150,'-ref_Distribution'!$G$146:$G$150)),RIGHT(BH$1,2)),"")</f>
        <v>142</v>
      </c>
      <c r="BI69" s="16" cm="1">
        <f t="array" ref="BI69">IFERROR(INDEX(_xlfn.ANCHORARRAY(_xlfn.XLOOKUP($C69,'-ref_Distribution'!$B$146:$B$150,'-ref_Distribution'!$G$146:$G$150)),RIGHT(BI$1,2)),"")</f>
        <v>135</v>
      </c>
      <c r="BJ69" s="16" cm="1">
        <f t="array" ref="BJ69">IFERROR(INDEX(_xlfn.ANCHORARRAY(_xlfn.XLOOKUP($C69,'-ref_Distribution'!$B$146:$B$150,'-ref_Distribution'!$G$146:$G$150)),RIGHT(BJ$1,2)),"")</f>
        <v>125</v>
      </c>
      <c r="BK69" s="16" cm="1">
        <f t="array" ref="BK69">IFERROR(INDEX(_xlfn.ANCHORARRAY(_xlfn.XLOOKUP($C69,'-ref_Distribution'!$B$146:$B$150,'-ref_Distribution'!$G$146:$G$150)),RIGHT(BK$1,2)),"")</f>
        <v>111</v>
      </c>
      <c r="BL69" s="16" cm="1">
        <f t="array" ref="BL69">IFERROR(INDEX(_xlfn.ANCHORARRAY(_xlfn.XLOOKUP($C69,'-ref_Distribution'!$B$146:$B$150,'-ref_Distribution'!$G$146:$G$150)),RIGHT(BL$1,2)),"")</f>
        <v>4</v>
      </c>
      <c r="BM69" s="16" cm="1">
        <f t="array" ref="BM69">IFERROR(INDEX(_xlfn.ANCHORARRAY(_xlfn.XLOOKUP($C69,'-ref_Distribution'!$B$146:$B$150,'-ref_Distribution'!$G$146:$G$150)),RIGHT(BM$1,2)),"")</f>
        <v>6</v>
      </c>
      <c r="BN69" s="16" cm="1">
        <f t="array" ref="BN69">IFERROR(INDEX(_xlfn.ANCHORARRAY(_xlfn.XLOOKUP($C69,'-ref_Distribution'!$B$146:$B$150,'-ref_Distribution'!$G$146:$G$150)),RIGHT(BN$1,2)),"")</f>
        <v>9</v>
      </c>
      <c r="BO69" s="16" cm="1">
        <f t="array" ref="BO69">IFERROR(INDEX(_xlfn.ANCHORARRAY(_xlfn.XLOOKUP($C69,'-ref_Distribution'!$B$146:$B$150,'-ref_Distribution'!$G$146:$G$150)),RIGHT(BO$1,2)),"")</f>
        <v>14</v>
      </c>
      <c r="BP69" s="16" cm="1">
        <f t="array" ref="BP69">IFERROR(INDEX(_xlfn.ANCHORARRAY(_xlfn.XLOOKUP($C69,'-ref_Distribution'!$B$146:$B$150,'-ref_Distribution'!$G$146:$G$150)),RIGHT(BP$1,2)),"")</f>
        <v>20</v>
      </c>
      <c r="BQ69" s="16" cm="1">
        <f t="array" ref="BQ69">IFERROR(INDEX(_xlfn.ANCHORARRAY(_xlfn.XLOOKUP($C69,'-ref_Distribution'!$B$146:$B$150,'-ref_Distribution'!$G$146:$G$150)),RIGHT(BQ$1,2)),"")</f>
        <v>28</v>
      </c>
      <c r="BR69" s="16" cm="1">
        <f t="array" ref="BR69">IFERROR(INDEX(_xlfn.ANCHORARRAY(_xlfn.XLOOKUP($C69,'-ref_Distribution'!$B$146:$B$150,'-ref_Distribution'!$G$146:$G$150)),RIGHT(BR$1,2)),"")</f>
        <v>38</v>
      </c>
      <c r="BS69" s="16" cm="1">
        <f t="array" ref="BS69">IFERROR(INDEX(_xlfn.ANCHORARRAY(_xlfn.XLOOKUP($C69,'-ref_Distribution'!$B$146:$B$150,'-ref_Distribution'!$G$146:$G$150)),RIGHT(BS$1,2)),"")</f>
        <v>51</v>
      </c>
      <c r="BT69" s="16" cm="1">
        <f t="array" ref="BT69">IFERROR(INDEX(_xlfn.ANCHORARRAY(_xlfn.XLOOKUP($C69,'-ref_Distribution'!$B$146:$B$150,'-ref_Distribution'!$G$146:$G$150)),RIGHT(BT$1,2)),"")</f>
        <v>65</v>
      </c>
      <c r="BU69" s="16" cm="1">
        <f t="array" ref="BU69">IFERROR(INDEX(_xlfn.ANCHORARRAY(_xlfn.XLOOKUP($C69,'-ref_Distribution'!$B$146:$B$150,'-ref_Distribution'!$G$146:$G$150)),RIGHT(BU$1,2)),"")</f>
        <v>80</v>
      </c>
      <c r="BV69" s="16" cm="1">
        <f t="array" ref="BV69">IFERROR(INDEX(_xlfn.ANCHORARRAY(_xlfn.XLOOKUP($C69,'-ref_Distribution'!$B$146:$B$150,'-ref_Distribution'!$G$146:$G$150)),RIGHT(BV$1,2)),"")</f>
        <v>96</v>
      </c>
      <c r="BW69" s="16" cm="1">
        <f t="array" ref="BW69">IFERROR(INDEX(_xlfn.ANCHORARRAY(_xlfn.XLOOKUP($C69,'-ref_Distribution'!$B$146:$B$150,'-ref_Distribution'!$G$146:$G$150)),RIGHT(BW$1,2)),"")</f>
        <v>111</v>
      </c>
      <c r="BX69" s="16" cm="1">
        <f t="array" ref="BX69">IFERROR(INDEX(_xlfn.ANCHORARRAY(_xlfn.XLOOKUP($C69,'-ref_Distribution'!$B$146:$B$150,'-ref_Distribution'!$G$146:$G$150)),RIGHT(BX$1,2)),"")</f>
        <v>125</v>
      </c>
      <c r="BY69" s="16" cm="1">
        <f t="array" ref="BY69">IFERROR(INDEX(_xlfn.ANCHORARRAY(_xlfn.XLOOKUP($C69,'-ref_Distribution'!$B$146:$B$150,'-ref_Distribution'!$G$146:$G$150)),RIGHT(BY$1,2)),"")</f>
        <v>135</v>
      </c>
      <c r="BZ69" s="16" cm="1">
        <f t="array" ref="BZ69">IFERROR(INDEX(_xlfn.ANCHORARRAY(_xlfn.XLOOKUP($C69,'-ref_Distribution'!$B$146:$B$150,'-ref_Distribution'!$G$146:$G$150)),RIGHT(BZ$1,2)),"")</f>
        <v>142</v>
      </c>
      <c r="CA69" s="16" cm="1">
        <f t="array" ref="CA69">IFERROR(INDEX(_xlfn.ANCHORARRAY(_xlfn.XLOOKUP($C69,'-ref_Distribution'!$B$146:$B$150,'-ref_Distribution'!$G$146:$G$150)),RIGHT(CA$1,2)),"")</f>
        <v>144</v>
      </c>
      <c r="CB69" s="16" cm="1">
        <f t="array" ref="CB69">IFERROR(INDEX(_xlfn.ANCHORARRAY(_xlfn.XLOOKUP($C69,'-ref_Distribution'!$B$146:$B$150,'-ref_Distribution'!$G$146:$G$150)),RIGHT(CB$1,2)),"")</f>
        <v>142</v>
      </c>
      <c r="CC69" s="16" cm="1">
        <f t="array" ref="CC69">IFERROR(INDEX(_xlfn.ANCHORARRAY(_xlfn.XLOOKUP($C69,'-ref_Distribution'!$B$146:$B$150,'-ref_Distribution'!$G$146:$G$150)),RIGHT(CC$1,2)),"")</f>
        <v>135</v>
      </c>
      <c r="CD69" s="16" cm="1">
        <f t="array" ref="CD69">IFERROR(INDEX(_xlfn.ANCHORARRAY(_xlfn.XLOOKUP($C69,'-ref_Distribution'!$B$146:$B$150,'-ref_Distribution'!$G$146:$G$150)),RIGHT(CD$1,2)),"")</f>
        <v>125</v>
      </c>
      <c r="CE69" s="16" cm="1">
        <f t="array" ref="CE69">IFERROR(INDEX(_xlfn.ANCHORARRAY(_xlfn.XLOOKUP($C69,'-ref_Distribution'!$B$146:$B$150,'-ref_Distribution'!$G$146:$G$150)),RIGHT(CE$1,2)),"")</f>
        <v>111</v>
      </c>
    </row>
    <row r="70" spans="1:83" x14ac:dyDescent="0.2">
      <c r="A70" s="16">
        <v>310219</v>
      </c>
      <c r="B70" s="16" t="s">
        <v>417</v>
      </c>
      <c r="C70" s="16">
        <v>3</v>
      </c>
      <c r="D70" s="16" cm="1">
        <f t="array" ref="D70">IFERROR(INDEX(_xlfn.ANCHORARRAY(_xlfn.XLOOKUP($C70,'-ref_Distribution'!$B$146:$B$150,'-ref_Distribution'!$G$146:$G$150)),RIGHT(D$1,2)),"")</f>
        <v>4</v>
      </c>
      <c r="E70" s="16" cm="1">
        <f t="array" ref="E70">IFERROR(INDEX(_xlfn.ANCHORARRAY(_xlfn.XLOOKUP($C70,'-ref_Distribution'!$B$146:$B$150,'-ref_Distribution'!$G$146:$G$150)),RIGHT(E$1,2)),"")</f>
        <v>6</v>
      </c>
      <c r="F70" s="16" cm="1">
        <f t="array" ref="F70">IFERROR(INDEX(_xlfn.ANCHORARRAY(_xlfn.XLOOKUP($C70,'-ref_Distribution'!$B$146:$B$150,'-ref_Distribution'!$G$146:$G$150)),RIGHT(F$1,2)),"")</f>
        <v>9</v>
      </c>
      <c r="G70" s="16" cm="1">
        <f t="array" ref="G70">IFERROR(INDEX(_xlfn.ANCHORARRAY(_xlfn.XLOOKUP($C70,'-ref_Distribution'!$B$146:$B$150,'-ref_Distribution'!$G$146:$G$150)),RIGHT(G$1,2)),"")</f>
        <v>14</v>
      </c>
      <c r="H70" s="16" cm="1">
        <f t="array" ref="H70">IFERROR(INDEX(_xlfn.ANCHORARRAY(_xlfn.XLOOKUP($C70,'-ref_Distribution'!$B$146:$B$150,'-ref_Distribution'!$G$146:$G$150)),RIGHT(H$1,2)),"")</f>
        <v>20</v>
      </c>
      <c r="I70" s="16" cm="1">
        <f t="array" ref="I70">IFERROR(INDEX(_xlfn.ANCHORARRAY(_xlfn.XLOOKUP($C70,'-ref_Distribution'!$B$146:$B$150,'-ref_Distribution'!$G$146:$G$150)),RIGHT(I$1,2)),"")</f>
        <v>28</v>
      </c>
      <c r="J70" s="16" cm="1">
        <f t="array" ref="J70">IFERROR(INDEX(_xlfn.ANCHORARRAY(_xlfn.XLOOKUP($C70,'-ref_Distribution'!$B$146:$B$150,'-ref_Distribution'!$G$146:$G$150)),RIGHT(J$1,2)),"")</f>
        <v>38</v>
      </c>
      <c r="K70" s="16" cm="1">
        <f t="array" ref="K70">IFERROR(INDEX(_xlfn.ANCHORARRAY(_xlfn.XLOOKUP($C70,'-ref_Distribution'!$B$146:$B$150,'-ref_Distribution'!$G$146:$G$150)),RIGHT(K$1,2)),"")</f>
        <v>51</v>
      </c>
      <c r="L70" s="16" cm="1">
        <f t="array" ref="L70">IFERROR(INDEX(_xlfn.ANCHORARRAY(_xlfn.XLOOKUP($C70,'-ref_Distribution'!$B$146:$B$150,'-ref_Distribution'!$G$146:$G$150)),RIGHT(L$1,2)),"")</f>
        <v>65</v>
      </c>
      <c r="M70" s="16" cm="1">
        <f t="array" ref="M70">IFERROR(INDEX(_xlfn.ANCHORARRAY(_xlfn.XLOOKUP($C70,'-ref_Distribution'!$B$146:$B$150,'-ref_Distribution'!$G$146:$G$150)),RIGHT(M$1,2)),"")</f>
        <v>80</v>
      </c>
      <c r="N70" s="16" cm="1">
        <f t="array" ref="N70">IFERROR(INDEX(_xlfn.ANCHORARRAY(_xlfn.XLOOKUP($C70,'-ref_Distribution'!$B$146:$B$150,'-ref_Distribution'!$G$146:$G$150)),RIGHT(N$1,2)),"")</f>
        <v>96</v>
      </c>
      <c r="O70" s="16" cm="1">
        <f t="array" ref="O70">IFERROR(INDEX(_xlfn.ANCHORARRAY(_xlfn.XLOOKUP($C70,'-ref_Distribution'!$B$146:$B$150,'-ref_Distribution'!$G$146:$G$150)),RIGHT(O$1,2)),"")</f>
        <v>111</v>
      </c>
      <c r="P70" s="16" cm="1">
        <f t="array" ref="P70">IFERROR(INDEX(_xlfn.ANCHORARRAY(_xlfn.XLOOKUP($C70,'-ref_Distribution'!$B$146:$B$150,'-ref_Distribution'!$G$146:$G$150)),RIGHT(P$1,2)),"")</f>
        <v>125</v>
      </c>
      <c r="Q70" s="16" cm="1">
        <f t="array" ref="Q70">IFERROR(INDEX(_xlfn.ANCHORARRAY(_xlfn.XLOOKUP($C70,'-ref_Distribution'!$B$146:$B$150,'-ref_Distribution'!$G$146:$G$150)),RIGHT(Q$1,2)),"")</f>
        <v>135</v>
      </c>
      <c r="R70" s="16" cm="1">
        <f t="array" ref="R70">IFERROR(INDEX(_xlfn.ANCHORARRAY(_xlfn.XLOOKUP($C70,'-ref_Distribution'!$B$146:$B$150,'-ref_Distribution'!$G$146:$G$150)),RIGHT(R$1,2)),"")</f>
        <v>142</v>
      </c>
      <c r="S70" s="16" cm="1">
        <f t="array" ref="S70">IFERROR(INDEX(_xlfn.ANCHORARRAY(_xlfn.XLOOKUP($C70,'-ref_Distribution'!$B$146:$B$150,'-ref_Distribution'!$G$146:$G$150)),RIGHT(S$1,2)),"")</f>
        <v>144</v>
      </c>
      <c r="T70" s="16" cm="1">
        <f t="array" ref="T70">IFERROR(INDEX(_xlfn.ANCHORARRAY(_xlfn.XLOOKUP($C70,'-ref_Distribution'!$B$146:$B$150,'-ref_Distribution'!$G$146:$G$150)),RIGHT(T$1,2)),"")</f>
        <v>142</v>
      </c>
      <c r="U70" s="16" cm="1">
        <f t="array" ref="U70">IFERROR(INDEX(_xlfn.ANCHORARRAY(_xlfn.XLOOKUP($C70,'-ref_Distribution'!$B$146:$B$150,'-ref_Distribution'!$G$146:$G$150)),RIGHT(U$1,2)),"")</f>
        <v>135</v>
      </c>
      <c r="V70" s="16" cm="1">
        <f t="array" ref="V70">IFERROR(INDEX(_xlfn.ANCHORARRAY(_xlfn.XLOOKUP($C70,'-ref_Distribution'!$B$146:$B$150,'-ref_Distribution'!$G$146:$G$150)),RIGHT(V$1,2)),"")</f>
        <v>125</v>
      </c>
      <c r="W70" s="16" cm="1">
        <f t="array" ref="W70">IFERROR(INDEX(_xlfn.ANCHORARRAY(_xlfn.XLOOKUP($C70,'-ref_Distribution'!$B$146:$B$150,'-ref_Distribution'!$G$146:$G$150)),RIGHT(W$1,2)),"")</f>
        <v>111</v>
      </c>
      <c r="X70" s="16" cm="1">
        <f t="array" ref="X70">IFERROR(INDEX(_xlfn.ANCHORARRAY(_xlfn.XLOOKUP($C70,'-ref_Distribution'!$B$146:$B$150,'-ref_Distribution'!$G$146:$G$150)),RIGHT(X$1,2)),"")</f>
        <v>4</v>
      </c>
      <c r="Y70" s="16" cm="1">
        <f t="array" ref="Y70">IFERROR(INDEX(_xlfn.ANCHORARRAY(_xlfn.XLOOKUP($C70,'-ref_Distribution'!$B$146:$B$150,'-ref_Distribution'!$G$146:$G$150)),RIGHT(Y$1,2)),"")</f>
        <v>6</v>
      </c>
      <c r="Z70" s="16" cm="1">
        <f t="array" ref="Z70">IFERROR(INDEX(_xlfn.ANCHORARRAY(_xlfn.XLOOKUP($C70,'-ref_Distribution'!$B$146:$B$150,'-ref_Distribution'!$G$146:$G$150)),RIGHT(Z$1,2)),"")</f>
        <v>9</v>
      </c>
      <c r="AA70" s="16" cm="1">
        <f t="array" ref="AA70">IFERROR(INDEX(_xlfn.ANCHORARRAY(_xlfn.XLOOKUP($C70,'-ref_Distribution'!$B$146:$B$150,'-ref_Distribution'!$G$146:$G$150)),RIGHT(AA$1,2)),"")</f>
        <v>14</v>
      </c>
      <c r="AB70" s="16" cm="1">
        <f t="array" ref="AB70">IFERROR(INDEX(_xlfn.ANCHORARRAY(_xlfn.XLOOKUP($C70,'-ref_Distribution'!$B$146:$B$150,'-ref_Distribution'!$G$146:$G$150)),RIGHT(AB$1,2)),"")</f>
        <v>20</v>
      </c>
      <c r="AC70" s="16" cm="1">
        <f t="array" ref="AC70">IFERROR(INDEX(_xlfn.ANCHORARRAY(_xlfn.XLOOKUP($C70,'-ref_Distribution'!$B$146:$B$150,'-ref_Distribution'!$G$146:$G$150)),RIGHT(AC$1,2)),"")</f>
        <v>28</v>
      </c>
      <c r="AD70" s="16" cm="1">
        <f t="array" ref="AD70">IFERROR(INDEX(_xlfn.ANCHORARRAY(_xlfn.XLOOKUP($C70,'-ref_Distribution'!$B$146:$B$150,'-ref_Distribution'!$G$146:$G$150)),RIGHT(AD$1,2)),"")</f>
        <v>38</v>
      </c>
      <c r="AE70" s="16" cm="1">
        <f t="array" ref="AE70">IFERROR(INDEX(_xlfn.ANCHORARRAY(_xlfn.XLOOKUP($C70,'-ref_Distribution'!$B$146:$B$150,'-ref_Distribution'!$G$146:$G$150)),RIGHT(AE$1,2)),"")</f>
        <v>51</v>
      </c>
      <c r="AF70" s="16" cm="1">
        <f t="array" ref="AF70">IFERROR(INDEX(_xlfn.ANCHORARRAY(_xlfn.XLOOKUP($C70,'-ref_Distribution'!$B$146:$B$150,'-ref_Distribution'!$G$146:$G$150)),RIGHT(AF$1,2)),"")</f>
        <v>65</v>
      </c>
      <c r="AG70" s="16" cm="1">
        <f t="array" ref="AG70">IFERROR(INDEX(_xlfn.ANCHORARRAY(_xlfn.XLOOKUP($C70,'-ref_Distribution'!$B$146:$B$150,'-ref_Distribution'!$G$146:$G$150)),RIGHT(AG$1,2)),"")</f>
        <v>80</v>
      </c>
      <c r="AH70" s="16" cm="1">
        <f t="array" ref="AH70">IFERROR(INDEX(_xlfn.ANCHORARRAY(_xlfn.XLOOKUP($C70,'-ref_Distribution'!$B$146:$B$150,'-ref_Distribution'!$G$146:$G$150)),RIGHT(AH$1,2)),"")</f>
        <v>96</v>
      </c>
      <c r="AI70" s="16" cm="1">
        <f t="array" ref="AI70">IFERROR(INDEX(_xlfn.ANCHORARRAY(_xlfn.XLOOKUP($C70,'-ref_Distribution'!$B$146:$B$150,'-ref_Distribution'!$G$146:$G$150)),RIGHT(AI$1,2)),"")</f>
        <v>111</v>
      </c>
      <c r="AJ70" s="16" cm="1">
        <f t="array" ref="AJ70">IFERROR(INDEX(_xlfn.ANCHORARRAY(_xlfn.XLOOKUP($C70,'-ref_Distribution'!$B$146:$B$150,'-ref_Distribution'!$G$146:$G$150)),RIGHT(AJ$1,2)),"")</f>
        <v>125</v>
      </c>
      <c r="AK70" s="16" cm="1">
        <f t="array" ref="AK70">IFERROR(INDEX(_xlfn.ANCHORARRAY(_xlfn.XLOOKUP($C70,'-ref_Distribution'!$B$146:$B$150,'-ref_Distribution'!$G$146:$G$150)),RIGHT(AK$1,2)),"")</f>
        <v>135</v>
      </c>
      <c r="AL70" s="16" cm="1">
        <f t="array" ref="AL70">IFERROR(INDEX(_xlfn.ANCHORARRAY(_xlfn.XLOOKUP($C70,'-ref_Distribution'!$B$146:$B$150,'-ref_Distribution'!$G$146:$G$150)),RIGHT(AL$1,2)),"")</f>
        <v>142</v>
      </c>
      <c r="AM70" s="16" cm="1">
        <f t="array" ref="AM70">IFERROR(INDEX(_xlfn.ANCHORARRAY(_xlfn.XLOOKUP($C70,'-ref_Distribution'!$B$146:$B$150,'-ref_Distribution'!$G$146:$G$150)),RIGHT(AM$1,2)),"")</f>
        <v>144</v>
      </c>
      <c r="AN70" s="16" cm="1">
        <f t="array" ref="AN70">IFERROR(INDEX(_xlfn.ANCHORARRAY(_xlfn.XLOOKUP($C70,'-ref_Distribution'!$B$146:$B$150,'-ref_Distribution'!$G$146:$G$150)),RIGHT(AN$1,2)),"")</f>
        <v>142</v>
      </c>
      <c r="AO70" s="16" cm="1">
        <f t="array" ref="AO70">IFERROR(INDEX(_xlfn.ANCHORARRAY(_xlfn.XLOOKUP($C70,'-ref_Distribution'!$B$146:$B$150,'-ref_Distribution'!$G$146:$G$150)),RIGHT(AO$1,2)),"")</f>
        <v>135</v>
      </c>
      <c r="AP70" s="16" cm="1">
        <f t="array" ref="AP70">IFERROR(INDEX(_xlfn.ANCHORARRAY(_xlfn.XLOOKUP($C70,'-ref_Distribution'!$B$146:$B$150,'-ref_Distribution'!$G$146:$G$150)),RIGHT(AP$1,2)),"")</f>
        <v>125</v>
      </c>
      <c r="AQ70" s="16" cm="1">
        <f t="array" ref="AQ70">IFERROR(INDEX(_xlfn.ANCHORARRAY(_xlfn.XLOOKUP($C70,'-ref_Distribution'!$B$146:$B$150,'-ref_Distribution'!$G$146:$G$150)),RIGHT(AQ$1,2)),"")</f>
        <v>111</v>
      </c>
      <c r="AR70" s="16" cm="1">
        <f t="array" ref="AR70">IFERROR(INDEX(_xlfn.ANCHORARRAY(_xlfn.XLOOKUP($C70,'-ref_Distribution'!$B$146:$B$150,'-ref_Distribution'!$G$146:$G$150)),RIGHT(AR$1,2)),"")</f>
        <v>4</v>
      </c>
      <c r="AS70" s="16" cm="1">
        <f t="array" ref="AS70">IFERROR(INDEX(_xlfn.ANCHORARRAY(_xlfn.XLOOKUP($C70,'-ref_Distribution'!$B$146:$B$150,'-ref_Distribution'!$G$146:$G$150)),RIGHT(AS$1,2)),"")</f>
        <v>6</v>
      </c>
      <c r="AT70" s="16" cm="1">
        <f t="array" ref="AT70">IFERROR(INDEX(_xlfn.ANCHORARRAY(_xlfn.XLOOKUP($C70,'-ref_Distribution'!$B$146:$B$150,'-ref_Distribution'!$G$146:$G$150)),RIGHT(AT$1,2)),"")</f>
        <v>9</v>
      </c>
      <c r="AU70" s="16" cm="1">
        <f t="array" ref="AU70">IFERROR(INDEX(_xlfn.ANCHORARRAY(_xlfn.XLOOKUP($C70,'-ref_Distribution'!$B$146:$B$150,'-ref_Distribution'!$G$146:$G$150)),RIGHT(AU$1,2)),"")</f>
        <v>14</v>
      </c>
      <c r="AV70" s="16" cm="1">
        <f t="array" ref="AV70">IFERROR(INDEX(_xlfn.ANCHORARRAY(_xlfn.XLOOKUP($C70,'-ref_Distribution'!$B$146:$B$150,'-ref_Distribution'!$G$146:$G$150)),RIGHT(AV$1,2)),"")</f>
        <v>20</v>
      </c>
      <c r="AW70" s="16" cm="1">
        <f t="array" ref="AW70">IFERROR(INDEX(_xlfn.ANCHORARRAY(_xlfn.XLOOKUP($C70,'-ref_Distribution'!$B$146:$B$150,'-ref_Distribution'!$G$146:$G$150)),RIGHT(AW$1,2)),"")</f>
        <v>28</v>
      </c>
      <c r="AX70" s="16" cm="1">
        <f t="array" ref="AX70">IFERROR(INDEX(_xlfn.ANCHORARRAY(_xlfn.XLOOKUP($C70,'-ref_Distribution'!$B$146:$B$150,'-ref_Distribution'!$G$146:$G$150)),RIGHT(AX$1,2)),"")</f>
        <v>38</v>
      </c>
      <c r="AY70" s="16" cm="1">
        <f t="array" ref="AY70">IFERROR(INDEX(_xlfn.ANCHORARRAY(_xlfn.XLOOKUP($C70,'-ref_Distribution'!$B$146:$B$150,'-ref_Distribution'!$G$146:$G$150)),RIGHT(AY$1,2)),"")</f>
        <v>51</v>
      </c>
      <c r="AZ70" s="16" cm="1">
        <f t="array" ref="AZ70">IFERROR(INDEX(_xlfn.ANCHORARRAY(_xlfn.XLOOKUP($C70,'-ref_Distribution'!$B$146:$B$150,'-ref_Distribution'!$G$146:$G$150)),RIGHT(AZ$1,2)),"")</f>
        <v>65</v>
      </c>
      <c r="BA70" s="16" cm="1">
        <f t="array" ref="BA70">IFERROR(INDEX(_xlfn.ANCHORARRAY(_xlfn.XLOOKUP($C70,'-ref_Distribution'!$B$146:$B$150,'-ref_Distribution'!$G$146:$G$150)),RIGHT(BA$1,2)),"")</f>
        <v>80</v>
      </c>
      <c r="BB70" s="16" cm="1">
        <f t="array" ref="BB70">IFERROR(INDEX(_xlfn.ANCHORARRAY(_xlfn.XLOOKUP($C70,'-ref_Distribution'!$B$146:$B$150,'-ref_Distribution'!$G$146:$G$150)),RIGHT(BB$1,2)),"")</f>
        <v>96</v>
      </c>
      <c r="BC70" s="16" cm="1">
        <f t="array" ref="BC70">IFERROR(INDEX(_xlfn.ANCHORARRAY(_xlfn.XLOOKUP($C70,'-ref_Distribution'!$B$146:$B$150,'-ref_Distribution'!$G$146:$G$150)),RIGHT(BC$1,2)),"")</f>
        <v>111</v>
      </c>
      <c r="BD70" s="16" cm="1">
        <f t="array" ref="BD70">IFERROR(INDEX(_xlfn.ANCHORARRAY(_xlfn.XLOOKUP($C70,'-ref_Distribution'!$B$146:$B$150,'-ref_Distribution'!$G$146:$G$150)),RIGHT(BD$1,2)),"")</f>
        <v>125</v>
      </c>
      <c r="BE70" s="16" cm="1">
        <f t="array" ref="BE70">IFERROR(INDEX(_xlfn.ANCHORARRAY(_xlfn.XLOOKUP($C70,'-ref_Distribution'!$B$146:$B$150,'-ref_Distribution'!$G$146:$G$150)),RIGHT(BE$1,2)),"")</f>
        <v>135</v>
      </c>
      <c r="BF70" s="16" cm="1">
        <f t="array" ref="BF70">IFERROR(INDEX(_xlfn.ANCHORARRAY(_xlfn.XLOOKUP($C70,'-ref_Distribution'!$B$146:$B$150,'-ref_Distribution'!$G$146:$G$150)),RIGHT(BF$1,2)),"")</f>
        <v>142</v>
      </c>
      <c r="BG70" s="16" cm="1">
        <f t="array" ref="BG70">IFERROR(INDEX(_xlfn.ANCHORARRAY(_xlfn.XLOOKUP($C70,'-ref_Distribution'!$B$146:$B$150,'-ref_Distribution'!$G$146:$G$150)),RIGHT(BG$1,2)),"")</f>
        <v>144</v>
      </c>
      <c r="BH70" s="16" cm="1">
        <f t="array" ref="BH70">IFERROR(INDEX(_xlfn.ANCHORARRAY(_xlfn.XLOOKUP($C70,'-ref_Distribution'!$B$146:$B$150,'-ref_Distribution'!$G$146:$G$150)),RIGHT(BH$1,2)),"")</f>
        <v>142</v>
      </c>
      <c r="BI70" s="16" cm="1">
        <f t="array" ref="BI70">IFERROR(INDEX(_xlfn.ANCHORARRAY(_xlfn.XLOOKUP($C70,'-ref_Distribution'!$B$146:$B$150,'-ref_Distribution'!$G$146:$G$150)),RIGHT(BI$1,2)),"")</f>
        <v>135</v>
      </c>
      <c r="BJ70" s="16" cm="1">
        <f t="array" ref="BJ70">IFERROR(INDEX(_xlfn.ANCHORARRAY(_xlfn.XLOOKUP($C70,'-ref_Distribution'!$B$146:$B$150,'-ref_Distribution'!$G$146:$G$150)),RIGHT(BJ$1,2)),"")</f>
        <v>125</v>
      </c>
      <c r="BK70" s="16" cm="1">
        <f t="array" ref="BK70">IFERROR(INDEX(_xlfn.ANCHORARRAY(_xlfn.XLOOKUP($C70,'-ref_Distribution'!$B$146:$B$150,'-ref_Distribution'!$G$146:$G$150)),RIGHT(BK$1,2)),"")</f>
        <v>111</v>
      </c>
      <c r="BL70" s="16" cm="1">
        <f t="array" ref="BL70">IFERROR(INDEX(_xlfn.ANCHORARRAY(_xlfn.XLOOKUP($C70,'-ref_Distribution'!$B$146:$B$150,'-ref_Distribution'!$G$146:$G$150)),RIGHT(BL$1,2)),"")</f>
        <v>4</v>
      </c>
      <c r="BM70" s="16" cm="1">
        <f t="array" ref="BM70">IFERROR(INDEX(_xlfn.ANCHORARRAY(_xlfn.XLOOKUP($C70,'-ref_Distribution'!$B$146:$B$150,'-ref_Distribution'!$G$146:$G$150)),RIGHT(BM$1,2)),"")</f>
        <v>6</v>
      </c>
      <c r="BN70" s="16" cm="1">
        <f t="array" ref="BN70">IFERROR(INDEX(_xlfn.ANCHORARRAY(_xlfn.XLOOKUP($C70,'-ref_Distribution'!$B$146:$B$150,'-ref_Distribution'!$G$146:$G$150)),RIGHT(BN$1,2)),"")</f>
        <v>9</v>
      </c>
      <c r="BO70" s="16" cm="1">
        <f t="array" ref="BO70">IFERROR(INDEX(_xlfn.ANCHORARRAY(_xlfn.XLOOKUP($C70,'-ref_Distribution'!$B$146:$B$150,'-ref_Distribution'!$G$146:$G$150)),RIGHT(BO$1,2)),"")</f>
        <v>14</v>
      </c>
      <c r="BP70" s="16" cm="1">
        <f t="array" ref="BP70">IFERROR(INDEX(_xlfn.ANCHORARRAY(_xlfn.XLOOKUP($C70,'-ref_Distribution'!$B$146:$B$150,'-ref_Distribution'!$G$146:$G$150)),RIGHT(BP$1,2)),"")</f>
        <v>20</v>
      </c>
      <c r="BQ70" s="16" cm="1">
        <f t="array" ref="BQ70">IFERROR(INDEX(_xlfn.ANCHORARRAY(_xlfn.XLOOKUP($C70,'-ref_Distribution'!$B$146:$B$150,'-ref_Distribution'!$G$146:$G$150)),RIGHT(BQ$1,2)),"")</f>
        <v>28</v>
      </c>
      <c r="BR70" s="16" cm="1">
        <f t="array" ref="BR70">IFERROR(INDEX(_xlfn.ANCHORARRAY(_xlfn.XLOOKUP($C70,'-ref_Distribution'!$B$146:$B$150,'-ref_Distribution'!$G$146:$G$150)),RIGHT(BR$1,2)),"")</f>
        <v>38</v>
      </c>
      <c r="BS70" s="16" cm="1">
        <f t="array" ref="BS70">IFERROR(INDEX(_xlfn.ANCHORARRAY(_xlfn.XLOOKUP($C70,'-ref_Distribution'!$B$146:$B$150,'-ref_Distribution'!$G$146:$G$150)),RIGHT(BS$1,2)),"")</f>
        <v>51</v>
      </c>
      <c r="BT70" s="16" cm="1">
        <f t="array" ref="BT70">IFERROR(INDEX(_xlfn.ANCHORARRAY(_xlfn.XLOOKUP($C70,'-ref_Distribution'!$B$146:$B$150,'-ref_Distribution'!$G$146:$G$150)),RIGHT(BT$1,2)),"")</f>
        <v>65</v>
      </c>
      <c r="BU70" s="16" cm="1">
        <f t="array" ref="BU70">IFERROR(INDEX(_xlfn.ANCHORARRAY(_xlfn.XLOOKUP($C70,'-ref_Distribution'!$B$146:$B$150,'-ref_Distribution'!$G$146:$G$150)),RIGHT(BU$1,2)),"")</f>
        <v>80</v>
      </c>
      <c r="BV70" s="16" cm="1">
        <f t="array" ref="BV70">IFERROR(INDEX(_xlfn.ANCHORARRAY(_xlfn.XLOOKUP($C70,'-ref_Distribution'!$B$146:$B$150,'-ref_Distribution'!$G$146:$G$150)),RIGHT(BV$1,2)),"")</f>
        <v>96</v>
      </c>
      <c r="BW70" s="16" cm="1">
        <f t="array" ref="BW70">IFERROR(INDEX(_xlfn.ANCHORARRAY(_xlfn.XLOOKUP($C70,'-ref_Distribution'!$B$146:$B$150,'-ref_Distribution'!$G$146:$G$150)),RIGHT(BW$1,2)),"")</f>
        <v>111</v>
      </c>
      <c r="BX70" s="16" cm="1">
        <f t="array" ref="BX70">IFERROR(INDEX(_xlfn.ANCHORARRAY(_xlfn.XLOOKUP($C70,'-ref_Distribution'!$B$146:$B$150,'-ref_Distribution'!$G$146:$G$150)),RIGHT(BX$1,2)),"")</f>
        <v>125</v>
      </c>
      <c r="BY70" s="16" cm="1">
        <f t="array" ref="BY70">IFERROR(INDEX(_xlfn.ANCHORARRAY(_xlfn.XLOOKUP($C70,'-ref_Distribution'!$B$146:$B$150,'-ref_Distribution'!$G$146:$G$150)),RIGHT(BY$1,2)),"")</f>
        <v>135</v>
      </c>
      <c r="BZ70" s="16" cm="1">
        <f t="array" ref="BZ70">IFERROR(INDEX(_xlfn.ANCHORARRAY(_xlfn.XLOOKUP($C70,'-ref_Distribution'!$B$146:$B$150,'-ref_Distribution'!$G$146:$G$150)),RIGHT(BZ$1,2)),"")</f>
        <v>142</v>
      </c>
      <c r="CA70" s="16" cm="1">
        <f t="array" ref="CA70">IFERROR(INDEX(_xlfn.ANCHORARRAY(_xlfn.XLOOKUP($C70,'-ref_Distribution'!$B$146:$B$150,'-ref_Distribution'!$G$146:$G$150)),RIGHT(CA$1,2)),"")</f>
        <v>144</v>
      </c>
      <c r="CB70" s="16" cm="1">
        <f t="array" ref="CB70">IFERROR(INDEX(_xlfn.ANCHORARRAY(_xlfn.XLOOKUP($C70,'-ref_Distribution'!$B$146:$B$150,'-ref_Distribution'!$G$146:$G$150)),RIGHT(CB$1,2)),"")</f>
        <v>142</v>
      </c>
      <c r="CC70" s="16" cm="1">
        <f t="array" ref="CC70">IFERROR(INDEX(_xlfn.ANCHORARRAY(_xlfn.XLOOKUP($C70,'-ref_Distribution'!$B$146:$B$150,'-ref_Distribution'!$G$146:$G$150)),RIGHT(CC$1,2)),"")</f>
        <v>135</v>
      </c>
      <c r="CD70" s="16" cm="1">
        <f t="array" ref="CD70">IFERROR(INDEX(_xlfn.ANCHORARRAY(_xlfn.XLOOKUP($C70,'-ref_Distribution'!$B$146:$B$150,'-ref_Distribution'!$G$146:$G$150)),RIGHT(CD$1,2)),"")</f>
        <v>125</v>
      </c>
      <c r="CE70" s="16" cm="1">
        <f t="array" ref="CE70">IFERROR(INDEX(_xlfn.ANCHORARRAY(_xlfn.XLOOKUP($C70,'-ref_Distribution'!$B$146:$B$150,'-ref_Distribution'!$G$146:$G$150)),RIGHT(CE$1,2)),"")</f>
        <v>111</v>
      </c>
    </row>
    <row r="71" spans="1:83" x14ac:dyDescent="0.2">
      <c r="A71" s="16">
        <v>310223</v>
      </c>
      <c r="B71" s="16" t="s">
        <v>376</v>
      </c>
      <c r="C71" s="16">
        <v>3</v>
      </c>
      <c r="D71" s="16" cm="1">
        <f t="array" ref="D71">IFERROR(INDEX(_xlfn.ANCHORARRAY(_xlfn.XLOOKUP($C71,'-ref_Distribution'!$B$146:$B$150,'-ref_Distribution'!$G$146:$G$150)),RIGHT(D$1,2)),"")</f>
        <v>4</v>
      </c>
      <c r="E71" s="16" cm="1">
        <f t="array" ref="E71">IFERROR(INDEX(_xlfn.ANCHORARRAY(_xlfn.XLOOKUP($C71,'-ref_Distribution'!$B$146:$B$150,'-ref_Distribution'!$G$146:$G$150)),RIGHT(E$1,2)),"")</f>
        <v>6</v>
      </c>
      <c r="F71" s="16" cm="1">
        <f t="array" ref="F71">IFERROR(INDEX(_xlfn.ANCHORARRAY(_xlfn.XLOOKUP($C71,'-ref_Distribution'!$B$146:$B$150,'-ref_Distribution'!$G$146:$G$150)),RIGHT(F$1,2)),"")</f>
        <v>9</v>
      </c>
      <c r="G71" s="16" cm="1">
        <f t="array" ref="G71">IFERROR(INDEX(_xlfn.ANCHORARRAY(_xlfn.XLOOKUP($C71,'-ref_Distribution'!$B$146:$B$150,'-ref_Distribution'!$G$146:$G$150)),RIGHT(G$1,2)),"")</f>
        <v>14</v>
      </c>
      <c r="H71" s="16" cm="1">
        <f t="array" ref="H71">IFERROR(INDEX(_xlfn.ANCHORARRAY(_xlfn.XLOOKUP($C71,'-ref_Distribution'!$B$146:$B$150,'-ref_Distribution'!$G$146:$G$150)),RIGHT(H$1,2)),"")</f>
        <v>20</v>
      </c>
      <c r="I71" s="16" cm="1">
        <f t="array" ref="I71">IFERROR(INDEX(_xlfn.ANCHORARRAY(_xlfn.XLOOKUP($C71,'-ref_Distribution'!$B$146:$B$150,'-ref_Distribution'!$G$146:$G$150)),RIGHT(I$1,2)),"")</f>
        <v>28</v>
      </c>
      <c r="J71" s="16" cm="1">
        <f t="array" ref="J71">IFERROR(INDEX(_xlfn.ANCHORARRAY(_xlfn.XLOOKUP($C71,'-ref_Distribution'!$B$146:$B$150,'-ref_Distribution'!$G$146:$G$150)),RIGHT(J$1,2)),"")</f>
        <v>38</v>
      </c>
      <c r="K71" s="16" cm="1">
        <f t="array" ref="K71">IFERROR(INDEX(_xlfn.ANCHORARRAY(_xlfn.XLOOKUP($C71,'-ref_Distribution'!$B$146:$B$150,'-ref_Distribution'!$G$146:$G$150)),RIGHT(K$1,2)),"")</f>
        <v>51</v>
      </c>
      <c r="L71" s="16" cm="1">
        <f t="array" ref="L71">IFERROR(INDEX(_xlfn.ANCHORARRAY(_xlfn.XLOOKUP($C71,'-ref_Distribution'!$B$146:$B$150,'-ref_Distribution'!$G$146:$G$150)),RIGHT(L$1,2)),"")</f>
        <v>65</v>
      </c>
      <c r="M71" s="16" cm="1">
        <f t="array" ref="M71">IFERROR(INDEX(_xlfn.ANCHORARRAY(_xlfn.XLOOKUP($C71,'-ref_Distribution'!$B$146:$B$150,'-ref_Distribution'!$G$146:$G$150)),RIGHT(M$1,2)),"")</f>
        <v>80</v>
      </c>
      <c r="N71" s="16" cm="1">
        <f t="array" ref="N71">IFERROR(INDEX(_xlfn.ANCHORARRAY(_xlfn.XLOOKUP($C71,'-ref_Distribution'!$B$146:$B$150,'-ref_Distribution'!$G$146:$G$150)),RIGHT(N$1,2)),"")</f>
        <v>96</v>
      </c>
      <c r="O71" s="16" cm="1">
        <f t="array" ref="O71">IFERROR(INDEX(_xlfn.ANCHORARRAY(_xlfn.XLOOKUP($C71,'-ref_Distribution'!$B$146:$B$150,'-ref_Distribution'!$G$146:$G$150)),RIGHT(O$1,2)),"")</f>
        <v>111</v>
      </c>
      <c r="P71" s="16" cm="1">
        <f t="array" ref="P71">IFERROR(INDEX(_xlfn.ANCHORARRAY(_xlfn.XLOOKUP($C71,'-ref_Distribution'!$B$146:$B$150,'-ref_Distribution'!$G$146:$G$150)),RIGHT(P$1,2)),"")</f>
        <v>125</v>
      </c>
      <c r="Q71" s="16" cm="1">
        <f t="array" ref="Q71">IFERROR(INDEX(_xlfn.ANCHORARRAY(_xlfn.XLOOKUP($C71,'-ref_Distribution'!$B$146:$B$150,'-ref_Distribution'!$G$146:$G$150)),RIGHT(Q$1,2)),"")</f>
        <v>135</v>
      </c>
      <c r="R71" s="16" cm="1">
        <f t="array" ref="R71">IFERROR(INDEX(_xlfn.ANCHORARRAY(_xlfn.XLOOKUP($C71,'-ref_Distribution'!$B$146:$B$150,'-ref_Distribution'!$G$146:$G$150)),RIGHT(R$1,2)),"")</f>
        <v>142</v>
      </c>
      <c r="S71" s="16" cm="1">
        <f t="array" ref="S71">IFERROR(INDEX(_xlfn.ANCHORARRAY(_xlfn.XLOOKUP($C71,'-ref_Distribution'!$B$146:$B$150,'-ref_Distribution'!$G$146:$G$150)),RIGHT(S$1,2)),"")</f>
        <v>144</v>
      </c>
      <c r="T71" s="16" cm="1">
        <f t="array" ref="T71">IFERROR(INDEX(_xlfn.ANCHORARRAY(_xlfn.XLOOKUP($C71,'-ref_Distribution'!$B$146:$B$150,'-ref_Distribution'!$G$146:$G$150)),RIGHT(T$1,2)),"")</f>
        <v>142</v>
      </c>
      <c r="U71" s="16" cm="1">
        <f t="array" ref="U71">IFERROR(INDEX(_xlfn.ANCHORARRAY(_xlfn.XLOOKUP($C71,'-ref_Distribution'!$B$146:$B$150,'-ref_Distribution'!$G$146:$G$150)),RIGHT(U$1,2)),"")</f>
        <v>135</v>
      </c>
      <c r="V71" s="16" cm="1">
        <f t="array" ref="V71">IFERROR(INDEX(_xlfn.ANCHORARRAY(_xlfn.XLOOKUP($C71,'-ref_Distribution'!$B$146:$B$150,'-ref_Distribution'!$G$146:$G$150)),RIGHT(V$1,2)),"")</f>
        <v>125</v>
      </c>
      <c r="W71" s="16" cm="1">
        <f t="array" ref="W71">IFERROR(INDEX(_xlfn.ANCHORARRAY(_xlfn.XLOOKUP($C71,'-ref_Distribution'!$B$146:$B$150,'-ref_Distribution'!$G$146:$G$150)),RIGHT(W$1,2)),"")</f>
        <v>111</v>
      </c>
      <c r="X71" s="16" cm="1">
        <f t="array" ref="X71">IFERROR(INDEX(_xlfn.ANCHORARRAY(_xlfn.XLOOKUP($C71,'-ref_Distribution'!$B$146:$B$150,'-ref_Distribution'!$G$146:$G$150)),RIGHT(X$1,2)),"")</f>
        <v>4</v>
      </c>
      <c r="Y71" s="16" cm="1">
        <f t="array" ref="Y71">IFERROR(INDEX(_xlfn.ANCHORARRAY(_xlfn.XLOOKUP($C71,'-ref_Distribution'!$B$146:$B$150,'-ref_Distribution'!$G$146:$G$150)),RIGHT(Y$1,2)),"")</f>
        <v>6</v>
      </c>
      <c r="Z71" s="16" cm="1">
        <f t="array" ref="Z71">IFERROR(INDEX(_xlfn.ANCHORARRAY(_xlfn.XLOOKUP($C71,'-ref_Distribution'!$B$146:$B$150,'-ref_Distribution'!$G$146:$G$150)),RIGHT(Z$1,2)),"")</f>
        <v>9</v>
      </c>
      <c r="AA71" s="16" cm="1">
        <f t="array" ref="AA71">IFERROR(INDEX(_xlfn.ANCHORARRAY(_xlfn.XLOOKUP($C71,'-ref_Distribution'!$B$146:$B$150,'-ref_Distribution'!$G$146:$G$150)),RIGHT(AA$1,2)),"")</f>
        <v>14</v>
      </c>
      <c r="AB71" s="16" cm="1">
        <f t="array" ref="AB71">IFERROR(INDEX(_xlfn.ANCHORARRAY(_xlfn.XLOOKUP($C71,'-ref_Distribution'!$B$146:$B$150,'-ref_Distribution'!$G$146:$G$150)),RIGHT(AB$1,2)),"")</f>
        <v>20</v>
      </c>
      <c r="AC71" s="16" cm="1">
        <f t="array" ref="AC71">IFERROR(INDEX(_xlfn.ANCHORARRAY(_xlfn.XLOOKUP($C71,'-ref_Distribution'!$B$146:$B$150,'-ref_Distribution'!$G$146:$G$150)),RIGHT(AC$1,2)),"")</f>
        <v>28</v>
      </c>
      <c r="AD71" s="16" cm="1">
        <f t="array" ref="AD71">IFERROR(INDEX(_xlfn.ANCHORARRAY(_xlfn.XLOOKUP($C71,'-ref_Distribution'!$B$146:$B$150,'-ref_Distribution'!$G$146:$G$150)),RIGHT(AD$1,2)),"")</f>
        <v>38</v>
      </c>
      <c r="AE71" s="16" cm="1">
        <f t="array" ref="AE71">IFERROR(INDEX(_xlfn.ANCHORARRAY(_xlfn.XLOOKUP($C71,'-ref_Distribution'!$B$146:$B$150,'-ref_Distribution'!$G$146:$G$150)),RIGHT(AE$1,2)),"")</f>
        <v>51</v>
      </c>
      <c r="AF71" s="16" cm="1">
        <f t="array" ref="AF71">IFERROR(INDEX(_xlfn.ANCHORARRAY(_xlfn.XLOOKUP($C71,'-ref_Distribution'!$B$146:$B$150,'-ref_Distribution'!$G$146:$G$150)),RIGHT(AF$1,2)),"")</f>
        <v>65</v>
      </c>
      <c r="AG71" s="16" cm="1">
        <f t="array" ref="AG71">IFERROR(INDEX(_xlfn.ANCHORARRAY(_xlfn.XLOOKUP($C71,'-ref_Distribution'!$B$146:$B$150,'-ref_Distribution'!$G$146:$G$150)),RIGHT(AG$1,2)),"")</f>
        <v>80</v>
      </c>
      <c r="AH71" s="16" cm="1">
        <f t="array" ref="AH71">IFERROR(INDEX(_xlfn.ANCHORARRAY(_xlfn.XLOOKUP($C71,'-ref_Distribution'!$B$146:$B$150,'-ref_Distribution'!$G$146:$G$150)),RIGHT(AH$1,2)),"")</f>
        <v>96</v>
      </c>
      <c r="AI71" s="16" cm="1">
        <f t="array" ref="AI71">IFERROR(INDEX(_xlfn.ANCHORARRAY(_xlfn.XLOOKUP($C71,'-ref_Distribution'!$B$146:$B$150,'-ref_Distribution'!$G$146:$G$150)),RIGHT(AI$1,2)),"")</f>
        <v>111</v>
      </c>
      <c r="AJ71" s="16" cm="1">
        <f t="array" ref="AJ71">IFERROR(INDEX(_xlfn.ANCHORARRAY(_xlfn.XLOOKUP($C71,'-ref_Distribution'!$B$146:$B$150,'-ref_Distribution'!$G$146:$G$150)),RIGHT(AJ$1,2)),"")</f>
        <v>125</v>
      </c>
      <c r="AK71" s="16" cm="1">
        <f t="array" ref="AK71">IFERROR(INDEX(_xlfn.ANCHORARRAY(_xlfn.XLOOKUP($C71,'-ref_Distribution'!$B$146:$B$150,'-ref_Distribution'!$G$146:$G$150)),RIGHT(AK$1,2)),"")</f>
        <v>135</v>
      </c>
      <c r="AL71" s="16" cm="1">
        <f t="array" ref="AL71">IFERROR(INDEX(_xlfn.ANCHORARRAY(_xlfn.XLOOKUP($C71,'-ref_Distribution'!$B$146:$B$150,'-ref_Distribution'!$G$146:$G$150)),RIGHT(AL$1,2)),"")</f>
        <v>142</v>
      </c>
      <c r="AM71" s="16" cm="1">
        <f t="array" ref="AM71">IFERROR(INDEX(_xlfn.ANCHORARRAY(_xlfn.XLOOKUP($C71,'-ref_Distribution'!$B$146:$B$150,'-ref_Distribution'!$G$146:$G$150)),RIGHT(AM$1,2)),"")</f>
        <v>144</v>
      </c>
      <c r="AN71" s="16" cm="1">
        <f t="array" ref="AN71">IFERROR(INDEX(_xlfn.ANCHORARRAY(_xlfn.XLOOKUP($C71,'-ref_Distribution'!$B$146:$B$150,'-ref_Distribution'!$G$146:$G$150)),RIGHT(AN$1,2)),"")</f>
        <v>142</v>
      </c>
      <c r="AO71" s="16" cm="1">
        <f t="array" ref="AO71">IFERROR(INDEX(_xlfn.ANCHORARRAY(_xlfn.XLOOKUP($C71,'-ref_Distribution'!$B$146:$B$150,'-ref_Distribution'!$G$146:$G$150)),RIGHT(AO$1,2)),"")</f>
        <v>135</v>
      </c>
      <c r="AP71" s="16" cm="1">
        <f t="array" ref="AP71">IFERROR(INDEX(_xlfn.ANCHORARRAY(_xlfn.XLOOKUP($C71,'-ref_Distribution'!$B$146:$B$150,'-ref_Distribution'!$G$146:$G$150)),RIGHT(AP$1,2)),"")</f>
        <v>125</v>
      </c>
      <c r="AQ71" s="16" cm="1">
        <f t="array" ref="AQ71">IFERROR(INDEX(_xlfn.ANCHORARRAY(_xlfn.XLOOKUP($C71,'-ref_Distribution'!$B$146:$B$150,'-ref_Distribution'!$G$146:$G$150)),RIGHT(AQ$1,2)),"")</f>
        <v>111</v>
      </c>
      <c r="AR71" s="16" cm="1">
        <f t="array" ref="AR71">IFERROR(INDEX(_xlfn.ANCHORARRAY(_xlfn.XLOOKUP($C71,'-ref_Distribution'!$B$146:$B$150,'-ref_Distribution'!$G$146:$G$150)),RIGHT(AR$1,2)),"")</f>
        <v>4</v>
      </c>
      <c r="AS71" s="16" cm="1">
        <f t="array" ref="AS71">IFERROR(INDEX(_xlfn.ANCHORARRAY(_xlfn.XLOOKUP($C71,'-ref_Distribution'!$B$146:$B$150,'-ref_Distribution'!$G$146:$G$150)),RIGHT(AS$1,2)),"")</f>
        <v>6</v>
      </c>
      <c r="AT71" s="16" cm="1">
        <f t="array" ref="AT71">IFERROR(INDEX(_xlfn.ANCHORARRAY(_xlfn.XLOOKUP($C71,'-ref_Distribution'!$B$146:$B$150,'-ref_Distribution'!$G$146:$G$150)),RIGHT(AT$1,2)),"")</f>
        <v>9</v>
      </c>
      <c r="AU71" s="16" cm="1">
        <f t="array" ref="AU71">IFERROR(INDEX(_xlfn.ANCHORARRAY(_xlfn.XLOOKUP($C71,'-ref_Distribution'!$B$146:$B$150,'-ref_Distribution'!$G$146:$G$150)),RIGHT(AU$1,2)),"")</f>
        <v>14</v>
      </c>
      <c r="AV71" s="16" cm="1">
        <f t="array" ref="AV71">IFERROR(INDEX(_xlfn.ANCHORARRAY(_xlfn.XLOOKUP($C71,'-ref_Distribution'!$B$146:$B$150,'-ref_Distribution'!$G$146:$G$150)),RIGHT(AV$1,2)),"")</f>
        <v>20</v>
      </c>
      <c r="AW71" s="16" cm="1">
        <f t="array" ref="AW71">IFERROR(INDEX(_xlfn.ANCHORARRAY(_xlfn.XLOOKUP($C71,'-ref_Distribution'!$B$146:$B$150,'-ref_Distribution'!$G$146:$G$150)),RIGHT(AW$1,2)),"")</f>
        <v>28</v>
      </c>
      <c r="AX71" s="16" cm="1">
        <f t="array" ref="AX71">IFERROR(INDEX(_xlfn.ANCHORARRAY(_xlfn.XLOOKUP($C71,'-ref_Distribution'!$B$146:$B$150,'-ref_Distribution'!$G$146:$G$150)),RIGHT(AX$1,2)),"")</f>
        <v>38</v>
      </c>
      <c r="AY71" s="16" cm="1">
        <f t="array" ref="AY71">IFERROR(INDEX(_xlfn.ANCHORARRAY(_xlfn.XLOOKUP($C71,'-ref_Distribution'!$B$146:$B$150,'-ref_Distribution'!$G$146:$G$150)),RIGHT(AY$1,2)),"")</f>
        <v>51</v>
      </c>
      <c r="AZ71" s="16" cm="1">
        <f t="array" ref="AZ71">IFERROR(INDEX(_xlfn.ANCHORARRAY(_xlfn.XLOOKUP($C71,'-ref_Distribution'!$B$146:$B$150,'-ref_Distribution'!$G$146:$G$150)),RIGHT(AZ$1,2)),"")</f>
        <v>65</v>
      </c>
      <c r="BA71" s="16" cm="1">
        <f t="array" ref="BA71">IFERROR(INDEX(_xlfn.ANCHORARRAY(_xlfn.XLOOKUP($C71,'-ref_Distribution'!$B$146:$B$150,'-ref_Distribution'!$G$146:$G$150)),RIGHT(BA$1,2)),"")</f>
        <v>80</v>
      </c>
      <c r="BB71" s="16" cm="1">
        <f t="array" ref="BB71">IFERROR(INDEX(_xlfn.ANCHORARRAY(_xlfn.XLOOKUP($C71,'-ref_Distribution'!$B$146:$B$150,'-ref_Distribution'!$G$146:$G$150)),RIGHT(BB$1,2)),"")</f>
        <v>96</v>
      </c>
      <c r="BC71" s="16" cm="1">
        <f t="array" ref="BC71">IFERROR(INDEX(_xlfn.ANCHORARRAY(_xlfn.XLOOKUP($C71,'-ref_Distribution'!$B$146:$B$150,'-ref_Distribution'!$G$146:$G$150)),RIGHT(BC$1,2)),"")</f>
        <v>111</v>
      </c>
      <c r="BD71" s="16" cm="1">
        <f t="array" ref="BD71">IFERROR(INDEX(_xlfn.ANCHORARRAY(_xlfn.XLOOKUP($C71,'-ref_Distribution'!$B$146:$B$150,'-ref_Distribution'!$G$146:$G$150)),RIGHT(BD$1,2)),"")</f>
        <v>125</v>
      </c>
      <c r="BE71" s="16" cm="1">
        <f t="array" ref="BE71">IFERROR(INDEX(_xlfn.ANCHORARRAY(_xlfn.XLOOKUP($C71,'-ref_Distribution'!$B$146:$B$150,'-ref_Distribution'!$G$146:$G$150)),RIGHT(BE$1,2)),"")</f>
        <v>135</v>
      </c>
      <c r="BF71" s="16" cm="1">
        <f t="array" ref="BF71">IFERROR(INDEX(_xlfn.ANCHORARRAY(_xlfn.XLOOKUP($C71,'-ref_Distribution'!$B$146:$B$150,'-ref_Distribution'!$G$146:$G$150)),RIGHT(BF$1,2)),"")</f>
        <v>142</v>
      </c>
      <c r="BG71" s="16" cm="1">
        <f t="array" ref="BG71">IFERROR(INDEX(_xlfn.ANCHORARRAY(_xlfn.XLOOKUP($C71,'-ref_Distribution'!$B$146:$B$150,'-ref_Distribution'!$G$146:$G$150)),RIGHT(BG$1,2)),"")</f>
        <v>144</v>
      </c>
      <c r="BH71" s="16" cm="1">
        <f t="array" ref="BH71">IFERROR(INDEX(_xlfn.ANCHORARRAY(_xlfn.XLOOKUP($C71,'-ref_Distribution'!$B$146:$B$150,'-ref_Distribution'!$G$146:$G$150)),RIGHT(BH$1,2)),"")</f>
        <v>142</v>
      </c>
      <c r="BI71" s="16" cm="1">
        <f t="array" ref="BI71">IFERROR(INDEX(_xlfn.ANCHORARRAY(_xlfn.XLOOKUP($C71,'-ref_Distribution'!$B$146:$B$150,'-ref_Distribution'!$G$146:$G$150)),RIGHT(BI$1,2)),"")</f>
        <v>135</v>
      </c>
      <c r="BJ71" s="16" cm="1">
        <f t="array" ref="BJ71">IFERROR(INDEX(_xlfn.ANCHORARRAY(_xlfn.XLOOKUP($C71,'-ref_Distribution'!$B$146:$B$150,'-ref_Distribution'!$G$146:$G$150)),RIGHT(BJ$1,2)),"")</f>
        <v>125</v>
      </c>
      <c r="BK71" s="16" cm="1">
        <f t="array" ref="BK71">IFERROR(INDEX(_xlfn.ANCHORARRAY(_xlfn.XLOOKUP($C71,'-ref_Distribution'!$B$146:$B$150,'-ref_Distribution'!$G$146:$G$150)),RIGHT(BK$1,2)),"")</f>
        <v>111</v>
      </c>
      <c r="BL71" s="16" cm="1">
        <f t="array" ref="BL71">IFERROR(INDEX(_xlfn.ANCHORARRAY(_xlfn.XLOOKUP($C71,'-ref_Distribution'!$B$146:$B$150,'-ref_Distribution'!$G$146:$G$150)),RIGHT(BL$1,2)),"")</f>
        <v>4</v>
      </c>
      <c r="BM71" s="16" cm="1">
        <f t="array" ref="BM71">IFERROR(INDEX(_xlfn.ANCHORARRAY(_xlfn.XLOOKUP($C71,'-ref_Distribution'!$B$146:$B$150,'-ref_Distribution'!$G$146:$G$150)),RIGHT(BM$1,2)),"")</f>
        <v>6</v>
      </c>
      <c r="BN71" s="16" cm="1">
        <f t="array" ref="BN71">IFERROR(INDEX(_xlfn.ANCHORARRAY(_xlfn.XLOOKUP($C71,'-ref_Distribution'!$B$146:$B$150,'-ref_Distribution'!$G$146:$G$150)),RIGHT(BN$1,2)),"")</f>
        <v>9</v>
      </c>
      <c r="BO71" s="16" cm="1">
        <f t="array" ref="BO71">IFERROR(INDEX(_xlfn.ANCHORARRAY(_xlfn.XLOOKUP($C71,'-ref_Distribution'!$B$146:$B$150,'-ref_Distribution'!$G$146:$G$150)),RIGHT(BO$1,2)),"")</f>
        <v>14</v>
      </c>
      <c r="BP71" s="16" cm="1">
        <f t="array" ref="BP71">IFERROR(INDEX(_xlfn.ANCHORARRAY(_xlfn.XLOOKUP($C71,'-ref_Distribution'!$B$146:$B$150,'-ref_Distribution'!$G$146:$G$150)),RIGHT(BP$1,2)),"")</f>
        <v>20</v>
      </c>
      <c r="BQ71" s="16" cm="1">
        <f t="array" ref="BQ71">IFERROR(INDEX(_xlfn.ANCHORARRAY(_xlfn.XLOOKUP($C71,'-ref_Distribution'!$B$146:$B$150,'-ref_Distribution'!$G$146:$G$150)),RIGHT(BQ$1,2)),"")</f>
        <v>28</v>
      </c>
      <c r="BR71" s="16" cm="1">
        <f t="array" ref="BR71">IFERROR(INDEX(_xlfn.ANCHORARRAY(_xlfn.XLOOKUP($C71,'-ref_Distribution'!$B$146:$B$150,'-ref_Distribution'!$G$146:$G$150)),RIGHT(BR$1,2)),"")</f>
        <v>38</v>
      </c>
      <c r="BS71" s="16" cm="1">
        <f t="array" ref="BS71">IFERROR(INDEX(_xlfn.ANCHORARRAY(_xlfn.XLOOKUP($C71,'-ref_Distribution'!$B$146:$B$150,'-ref_Distribution'!$G$146:$G$150)),RIGHT(BS$1,2)),"")</f>
        <v>51</v>
      </c>
      <c r="BT71" s="16" cm="1">
        <f t="array" ref="BT71">IFERROR(INDEX(_xlfn.ANCHORARRAY(_xlfn.XLOOKUP($C71,'-ref_Distribution'!$B$146:$B$150,'-ref_Distribution'!$G$146:$G$150)),RIGHT(BT$1,2)),"")</f>
        <v>65</v>
      </c>
      <c r="BU71" s="16" cm="1">
        <f t="array" ref="BU71">IFERROR(INDEX(_xlfn.ANCHORARRAY(_xlfn.XLOOKUP($C71,'-ref_Distribution'!$B$146:$B$150,'-ref_Distribution'!$G$146:$G$150)),RIGHT(BU$1,2)),"")</f>
        <v>80</v>
      </c>
      <c r="BV71" s="16" cm="1">
        <f t="array" ref="BV71">IFERROR(INDEX(_xlfn.ANCHORARRAY(_xlfn.XLOOKUP($C71,'-ref_Distribution'!$B$146:$B$150,'-ref_Distribution'!$G$146:$G$150)),RIGHT(BV$1,2)),"")</f>
        <v>96</v>
      </c>
      <c r="BW71" s="16" cm="1">
        <f t="array" ref="BW71">IFERROR(INDEX(_xlfn.ANCHORARRAY(_xlfn.XLOOKUP($C71,'-ref_Distribution'!$B$146:$B$150,'-ref_Distribution'!$G$146:$G$150)),RIGHT(BW$1,2)),"")</f>
        <v>111</v>
      </c>
      <c r="BX71" s="16" cm="1">
        <f t="array" ref="BX71">IFERROR(INDEX(_xlfn.ANCHORARRAY(_xlfn.XLOOKUP($C71,'-ref_Distribution'!$B$146:$B$150,'-ref_Distribution'!$G$146:$G$150)),RIGHT(BX$1,2)),"")</f>
        <v>125</v>
      </c>
      <c r="BY71" s="16" cm="1">
        <f t="array" ref="BY71">IFERROR(INDEX(_xlfn.ANCHORARRAY(_xlfn.XLOOKUP($C71,'-ref_Distribution'!$B$146:$B$150,'-ref_Distribution'!$G$146:$G$150)),RIGHT(BY$1,2)),"")</f>
        <v>135</v>
      </c>
      <c r="BZ71" s="16" cm="1">
        <f t="array" ref="BZ71">IFERROR(INDEX(_xlfn.ANCHORARRAY(_xlfn.XLOOKUP($C71,'-ref_Distribution'!$B$146:$B$150,'-ref_Distribution'!$G$146:$G$150)),RIGHT(BZ$1,2)),"")</f>
        <v>142</v>
      </c>
      <c r="CA71" s="16" cm="1">
        <f t="array" ref="CA71">IFERROR(INDEX(_xlfn.ANCHORARRAY(_xlfn.XLOOKUP($C71,'-ref_Distribution'!$B$146:$B$150,'-ref_Distribution'!$G$146:$G$150)),RIGHT(CA$1,2)),"")</f>
        <v>144</v>
      </c>
      <c r="CB71" s="16" cm="1">
        <f t="array" ref="CB71">IFERROR(INDEX(_xlfn.ANCHORARRAY(_xlfn.XLOOKUP($C71,'-ref_Distribution'!$B$146:$B$150,'-ref_Distribution'!$G$146:$G$150)),RIGHT(CB$1,2)),"")</f>
        <v>142</v>
      </c>
      <c r="CC71" s="16" cm="1">
        <f t="array" ref="CC71">IFERROR(INDEX(_xlfn.ANCHORARRAY(_xlfn.XLOOKUP($C71,'-ref_Distribution'!$B$146:$B$150,'-ref_Distribution'!$G$146:$G$150)),RIGHT(CC$1,2)),"")</f>
        <v>135</v>
      </c>
      <c r="CD71" s="16" cm="1">
        <f t="array" ref="CD71">IFERROR(INDEX(_xlfn.ANCHORARRAY(_xlfn.XLOOKUP($C71,'-ref_Distribution'!$B$146:$B$150,'-ref_Distribution'!$G$146:$G$150)),RIGHT(CD$1,2)),"")</f>
        <v>125</v>
      </c>
      <c r="CE71" s="16" cm="1">
        <f t="array" ref="CE71">IFERROR(INDEX(_xlfn.ANCHORARRAY(_xlfn.XLOOKUP($C71,'-ref_Distribution'!$B$146:$B$150,'-ref_Distribution'!$G$146:$G$150)),RIGHT(CE$1,2)),"")</f>
        <v>111</v>
      </c>
    </row>
    <row r="72" spans="1:83" x14ac:dyDescent="0.2">
      <c r="A72" s="16">
        <v>310224</v>
      </c>
      <c r="B72" s="16" t="s">
        <v>377</v>
      </c>
      <c r="C72" s="16">
        <v>4</v>
      </c>
      <c r="D72" s="16" cm="1">
        <f t="array" ref="D72">IFERROR(INDEX(_xlfn.ANCHORARRAY(_xlfn.XLOOKUP($C72,'-ref_Distribution'!$B$146:$B$150,'-ref_Distribution'!$G$146:$G$150)),RIGHT(D$1,2)),"")</f>
        <v>0</v>
      </c>
      <c r="E72" s="16" cm="1">
        <f t="array" ref="E72">IFERROR(INDEX(_xlfn.ANCHORARRAY(_xlfn.XLOOKUP($C72,'-ref_Distribution'!$B$146:$B$150,'-ref_Distribution'!$G$146:$G$150)),RIGHT(E$1,2)),"")</f>
        <v>0</v>
      </c>
      <c r="F72" s="16" cm="1">
        <f t="array" ref="F72">IFERROR(INDEX(_xlfn.ANCHORARRAY(_xlfn.XLOOKUP($C72,'-ref_Distribution'!$B$146:$B$150,'-ref_Distribution'!$G$146:$G$150)),RIGHT(F$1,2)),"")</f>
        <v>0</v>
      </c>
      <c r="G72" s="16" cm="1">
        <f t="array" ref="G72">IFERROR(INDEX(_xlfn.ANCHORARRAY(_xlfn.XLOOKUP($C72,'-ref_Distribution'!$B$146:$B$150,'-ref_Distribution'!$G$146:$G$150)),RIGHT(G$1,2)),"")</f>
        <v>0</v>
      </c>
      <c r="H72" s="16" cm="1">
        <f t="array" ref="H72">IFERROR(INDEX(_xlfn.ANCHORARRAY(_xlfn.XLOOKUP($C72,'-ref_Distribution'!$B$146:$B$150,'-ref_Distribution'!$G$146:$G$150)),RIGHT(H$1,2)),"")</f>
        <v>0</v>
      </c>
      <c r="I72" s="16" cm="1">
        <f t="array" ref="I72">IFERROR(INDEX(_xlfn.ANCHORARRAY(_xlfn.XLOOKUP($C72,'-ref_Distribution'!$B$146:$B$150,'-ref_Distribution'!$G$146:$G$150)),RIGHT(I$1,2)),"")</f>
        <v>1</v>
      </c>
      <c r="J72" s="16" cm="1">
        <f t="array" ref="J72">IFERROR(INDEX(_xlfn.ANCHORARRAY(_xlfn.XLOOKUP($C72,'-ref_Distribution'!$B$146:$B$150,'-ref_Distribution'!$G$146:$G$150)),RIGHT(J$1,2)),"")</f>
        <v>1</v>
      </c>
      <c r="K72" s="16" cm="1">
        <f t="array" ref="K72">IFERROR(INDEX(_xlfn.ANCHORARRAY(_xlfn.XLOOKUP($C72,'-ref_Distribution'!$B$146:$B$150,'-ref_Distribution'!$G$146:$G$150)),RIGHT(K$1,2)),"")</f>
        <v>2</v>
      </c>
      <c r="L72" s="16" cm="1">
        <f t="array" ref="L72">IFERROR(INDEX(_xlfn.ANCHORARRAY(_xlfn.XLOOKUP($C72,'-ref_Distribution'!$B$146:$B$150,'-ref_Distribution'!$G$146:$G$150)),RIGHT(L$1,2)),"")</f>
        <v>3</v>
      </c>
      <c r="M72" s="16" cm="1">
        <f t="array" ref="M72">IFERROR(INDEX(_xlfn.ANCHORARRAY(_xlfn.XLOOKUP($C72,'-ref_Distribution'!$B$146:$B$150,'-ref_Distribution'!$G$146:$G$150)),RIGHT(M$1,2)),"")</f>
        <v>5</v>
      </c>
      <c r="N72" s="16" cm="1">
        <f t="array" ref="N72">IFERROR(INDEX(_xlfn.ANCHORARRAY(_xlfn.XLOOKUP($C72,'-ref_Distribution'!$B$146:$B$150,'-ref_Distribution'!$G$146:$G$150)),RIGHT(N$1,2)),"")</f>
        <v>9</v>
      </c>
      <c r="O72" s="16" cm="1">
        <f t="array" ref="O72">IFERROR(INDEX(_xlfn.ANCHORARRAY(_xlfn.XLOOKUP($C72,'-ref_Distribution'!$B$146:$B$150,'-ref_Distribution'!$G$146:$G$150)),RIGHT(O$1,2)),"")</f>
        <v>14</v>
      </c>
      <c r="P72" s="16" cm="1">
        <f t="array" ref="P72">IFERROR(INDEX(_xlfn.ANCHORARRAY(_xlfn.XLOOKUP($C72,'-ref_Distribution'!$B$146:$B$150,'-ref_Distribution'!$G$146:$G$150)),RIGHT(P$1,2)),"")</f>
        <v>20</v>
      </c>
      <c r="Q72" s="16" cm="1">
        <f t="array" ref="Q72">IFERROR(INDEX(_xlfn.ANCHORARRAY(_xlfn.XLOOKUP($C72,'-ref_Distribution'!$B$146:$B$150,'-ref_Distribution'!$G$146:$G$150)),RIGHT(Q$1,2)),"")</f>
        <v>28</v>
      </c>
      <c r="R72" s="16" cm="1">
        <f t="array" ref="R72">IFERROR(INDEX(_xlfn.ANCHORARRAY(_xlfn.XLOOKUP($C72,'-ref_Distribution'!$B$146:$B$150,'-ref_Distribution'!$G$146:$G$150)),RIGHT(R$1,2)),"")</f>
        <v>38</v>
      </c>
      <c r="S72" s="16" cm="1">
        <f t="array" ref="S72">IFERROR(INDEX(_xlfn.ANCHORARRAY(_xlfn.XLOOKUP($C72,'-ref_Distribution'!$B$146:$B$150,'-ref_Distribution'!$G$146:$G$150)),RIGHT(S$1,2)),"")</f>
        <v>48</v>
      </c>
      <c r="T72" s="16" cm="1">
        <f t="array" ref="T72">IFERROR(INDEX(_xlfn.ANCHORARRAY(_xlfn.XLOOKUP($C72,'-ref_Distribution'!$B$146:$B$150,'-ref_Distribution'!$G$146:$G$150)),RIGHT(T$1,2)),"")</f>
        <v>59</v>
      </c>
      <c r="U72" s="16" cm="1">
        <f t="array" ref="U72">IFERROR(INDEX(_xlfn.ANCHORARRAY(_xlfn.XLOOKUP($C72,'-ref_Distribution'!$B$146:$B$150,'-ref_Distribution'!$G$146:$G$150)),RIGHT(U$1,2)),"")</f>
        <v>69</v>
      </c>
      <c r="V72" s="16" cm="1">
        <f t="array" ref="V72">IFERROR(INDEX(_xlfn.ANCHORARRAY(_xlfn.XLOOKUP($C72,'-ref_Distribution'!$B$146:$B$150,'-ref_Distribution'!$G$146:$G$150)),RIGHT(V$1,2)),"")</f>
        <v>78</v>
      </c>
      <c r="W72" s="16" cm="1">
        <f t="array" ref="W72">IFERROR(INDEX(_xlfn.ANCHORARRAY(_xlfn.XLOOKUP($C72,'-ref_Distribution'!$B$146:$B$150,'-ref_Distribution'!$G$146:$G$150)),RIGHT(W$1,2)),"")</f>
        <v>83</v>
      </c>
      <c r="X72" s="16" cm="1">
        <f t="array" ref="X72">IFERROR(INDEX(_xlfn.ANCHORARRAY(_xlfn.XLOOKUP($C72,'-ref_Distribution'!$B$146:$B$150,'-ref_Distribution'!$G$146:$G$150)),RIGHT(X$1,2)),"")</f>
        <v>0</v>
      </c>
      <c r="Y72" s="16" cm="1">
        <f t="array" ref="Y72">IFERROR(INDEX(_xlfn.ANCHORARRAY(_xlfn.XLOOKUP($C72,'-ref_Distribution'!$B$146:$B$150,'-ref_Distribution'!$G$146:$G$150)),RIGHT(Y$1,2)),"")</f>
        <v>0</v>
      </c>
      <c r="Z72" s="16" cm="1">
        <f t="array" ref="Z72">IFERROR(INDEX(_xlfn.ANCHORARRAY(_xlfn.XLOOKUP($C72,'-ref_Distribution'!$B$146:$B$150,'-ref_Distribution'!$G$146:$G$150)),RIGHT(Z$1,2)),"")</f>
        <v>0</v>
      </c>
      <c r="AA72" s="16" cm="1">
        <f t="array" ref="AA72">IFERROR(INDEX(_xlfn.ANCHORARRAY(_xlfn.XLOOKUP($C72,'-ref_Distribution'!$B$146:$B$150,'-ref_Distribution'!$G$146:$G$150)),RIGHT(AA$1,2)),"")</f>
        <v>0</v>
      </c>
      <c r="AB72" s="16" cm="1">
        <f t="array" ref="AB72">IFERROR(INDEX(_xlfn.ANCHORARRAY(_xlfn.XLOOKUP($C72,'-ref_Distribution'!$B$146:$B$150,'-ref_Distribution'!$G$146:$G$150)),RIGHT(AB$1,2)),"")</f>
        <v>0</v>
      </c>
      <c r="AC72" s="16" cm="1">
        <f t="array" ref="AC72">IFERROR(INDEX(_xlfn.ANCHORARRAY(_xlfn.XLOOKUP($C72,'-ref_Distribution'!$B$146:$B$150,'-ref_Distribution'!$G$146:$G$150)),RIGHT(AC$1,2)),"")</f>
        <v>1</v>
      </c>
      <c r="AD72" s="16" cm="1">
        <f t="array" ref="AD72">IFERROR(INDEX(_xlfn.ANCHORARRAY(_xlfn.XLOOKUP($C72,'-ref_Distribution'!$B$146:$B$150,'-ref_Distribution'!$G$146:$G$150)),RIGHT(AD$1,2)),"")</f>
        <v>1</v>
      </c>
      <c r="AE72" s="16" cm="1">
        <f t="array" ref="AE72">IFERROR(INDEX(_xlfn.ANCHORARRAY(_xlfn.XLOOKUP($C72,'-ref_Distribution'!$B$146:$B$150,'-ref_Distribution'!$G$146:$G$150)),RIGHT(AE$1,2)),"")</f>
        <v>2</v>
      </c>
      <c r="AF72" s="16" cm="1">
        <f t="array" ref="AF72">IFERROR(INDEX(_xlfn.ANCHORARRAY(_xlfn.XLOOKUP($C72,'-ref_Distribution'!$B$146:$B$150,'-ref_Distribution'!$G$146:$G$150)),RIGHT(AF$1,2)),"")</f>
        <v>3</v>
      </c>
      <c r="AG72" s="16" cm="1">
        <f t="array" ref="AG72">IFERROR(INDEX(_xlfn.ANCHORARRAY(_xlfn.XLOOKUP($C72,'-ref_Distribution'!$B$146:$B$150,'-ref_Distribution'!$G$146:$G$150)),RIGHT(AG$1,2)),"")</f>
        <v>5</v>
      </c>
      <c r="AH72" s="16" cm="1">
        <f t="array" ref="AH72">IFERROR(INDEX(_xlfn.ANCHORARRAY(_xlfn.XLOOKUP($C72,'-ref_Distribution'!$B$146:$B$150,'-ref_Distribution'!$G$146:$G$150)),RIGHT(AH$1,2)),"")</f>
        <v>9</v>
      </c>
      <c r="AI72" s="16" cm="1">
        <f t="array" ref="AI72">IFERROR(INDEX(_xlfn.ANCHORARRAY(_xlfn.XLOOKUP($C72,'-ref_Distribution'!$B$146:$B$150,'-ref_Distribution'!$G$146:$G$150)),RIGHT(AI$1,2)),"")</f>
        <v>14</v>
      </c>
      <c r="AJ72" s="16" cm="1">
        <f t="array" ref="AJ72">IFERROR(INDEX(_xlfn.ANCHORARRAY(_xlfn.XLOOKUP($C72,'-ref_Distribution'!$B$146:$B$150,'-ref_Distribution'!$G$146:$G$150)),RIGHT(AJ$1,2)),"")</f>
        <v>20</v>
      </c>
      <c r="AK72" s="16" cm="1">
        <f t="array" ref="AK72">IFERROR(INDEX(_xlfn.ANCHORARRAY(_xlfn.XLOOKUP($C72,'-ref_Distribution'!$B$146:$B$150,'-ref_Distribution'!$G$146:$G$150)),RIGHT(AK$1,2)),"")</f>
        <v>28</v>
      </c>
      <c r="AL72" s="16" cm="1">
        <f t="array" ref="AL72">IFERROR(INDEX(_xlfn.ANCHORARRAY(_xlfn.XLOOKUP($C72,'-ref_Distribution'!$B$146:$B$150,'-ref_Distribution'!$G$146:$G$150)),RIGHT(AL$1,2)),"")</f>
        <v>38</v>
      </c>
      <c r="AM72" s="16" cm="1">
        <f t="array" ref="AM72">IFERROR(INDEX(_xlfn.ANCHORARRAY(_xlfn.XLOOKUP($C72,'-ref_Distribution'!$B$146:$B$150,'-ref_Distribution'!$G$146:$G$150)),RIGHT(AM$1,2)),"")</f>
        <v>48</v>
      </c>
      <c r="AN72" s="16" cm="1">
        <f t="array" ref="AN72">IFERROR(INDEX(_xlfn.ANCHORARRAY(_xlfn.XLOOKUP($C72,'-ref_Distribution'!$B$146:$B$150,'-ref_Distribution'!$G$146:$G$150)),RIGHT(AN$1,2)),"")</f>
        <v>59</v>
      </c>
      <c r="AO72" s="16" cm="1">
        <f t="array" ref="AO72">IFERROR(INDEX(_xlfn.ANCHORARRAY(_xlfn.XLOOKUP($C72,'-ref_Distribution'!$B$146:$B$150,'-ref_Distribution'!$G$146:$G$150)),RIGHT(AO$1,2)),"")</f>
        <v>69</v>
      </c>
      <c r="AP72" s="16" cm="1">
        <f t="array" ref="AP72">IFERROR(INDEX(_xlfn.ANCHORARRAY(_xlfn.XLOOKUP($C72,'-ref_Distribution'!$B$146:$B$150,'-ref_Distribution'!$G$146:$G$150)),RIGHT(AP$1,2)),"")</f>
        <v>78</v>
      </c>
      <c r="AQ72" s="16" cm="1">
        <f t="array" ref="AQ72">IFERROR(INDEX(_xlfn.ANCHORARRAY(_xlfn.XLOOKUP($C72,'-ref_Distribution'!$B$146:$B$150,'-ref_Distribution'!$G$146:$G$150)),RIGHT(AQ$1,2)),"")</f>
        <v>83</v>
      </c>
      <c r="AR72" s="16" cm="1">
        <f t="array" ref="AR72">IFERROR(INDEX(_xlfn.ANCHORARRAY(_xlfn.XLOOKUP($C72,'-ref_Distribution'!$B$146:$B$150,'-ref_Distribution'!$G$146:$G$150)),RIGHT(AR$1,2)),"")</f>
        <v>0</v>
      </c>
      <c r="AS72" s="16" cm="1">
        <f t="array" ref="AS72">IFERROR(INDEX(_xlfn.ANCHORARRAY(_xlfn.XLOOKUP($C72,'-ref_Distribution'!$B$146:$B$150,'-ref_Distribution'!$G$146:$G$150)),RIGHT(AS$1,2)),"")</f>
        <v>0</v>
      </c>
      <c r="AT72" s="16" cm="1">
        <f t="array" ref="AT72">IFERROR(INDEX(_xlfn.ANCHORARRAY(_xlfn.XLOOKUP($C72,'-ref_Distribution'!$B$146:$B$150,'-ref_Distribution'!$G$146:$G$150)),RIGHT(AT$1,2)),"")</f>
        <v>0</v>
      </c>
      <c r="AU72" s="16" cm="1">
        <f t="array" ref="AU72">IFERROR(INDEX(_xlfn.ANCHORARRAY(_xlfn.XLOOKUP($C72,'-ref_Distribution'!$B$146:$B$150,'-ref_Distribution'!$G$146:$G$150)),RIGHT(AU$1,2)),"")</f>
        <v>0</v>
      </c>
      <c r="AV72" s="16" cm="1">
        <f t="array" ref="AV72">IFERROR(INDEX(_xlfn.ANCHORARRAY(_xlfn.XLOOKUP($C72,'-ref_Distribution'!$B$146:$B$150,'-ref_Distribution'!$G$146:$G$150)),RIGHT(AV$1,2)),"")</f>
        <v>0</v>
      </c>
      <c r="AW72" s="16" cm="1">
        <f t="array" ref="AW72">IFERROR(INDEX(_xlfn.ANCHORARRAY(_xlfn.XLOOKUP($C72,'-ref_Distribution'!$B$146:$B$150,'-ref_Distribution'!$G$146:$G$150)),RIGHT(AW$1,2)),"")</f>
        <v>1</v>
      </c>
      <c r="AX72" s="16" cm="1">
        <f t="array" ref="AX72">IFERROR(INDEX(_xlfn.ANCHORARRAY(_xlfn.XLOOKUP($C72,'-ref_Distribution'!$B$146:$B$150,'-ref_Distribution'!$G$146:$G$150)),RIGHT(AX$1,2)),"")</f>
        <v>1</v>
      </c>
      <c r="AY72" s="16" cm="1">
        <f t="array" ref="AY72">IFERROR(INDEX(_xlfn.ANCHORARRAY(_xlfn.XLOOKUP($C72,'-ref_Distribution'!$B$146:$B$150,'-ref_Distribution'!$G$146:$G$150)),RIGHT(AY$1,2)),"")</f>
        <v>2</v>
      </c>
      <c r="AZ72" s="16" cm="1">
        <f t="array" ref="AZ72">IFERROR(INDEX(_xlfn.ANCHORARRAY(_xlfn.XLOOKUP($C72,'-ref_Distribution'!$B$146:$B$150,'-ref_Distribution'!$G$146:$G$150)),RIGHT(AZ$1,2)),"")</f>
        <v>3</v>
      </c>
      <c r="BA72" s="16" cm="1">
        <f t="array" ref="BA72">IFERROR(INDEX(_xlfn.ANCHORARRAY(_xlfn.XLOOKUP($C72,'-ref_Distribution'!$B$146:$B$150,'-ref_Distribution'!$G$146:$G$150)),RIGHT(BA$1,2)),"")</f>
        <v>5</v>
      </c>
      <c r="BB72" s="16" cm="1">
        <f t="array" ref="BB72">IFERROR(INDEX(_xlfn.ANCHORARRAY(_xlfn.XLOOKUP($C72,'-ref_Distribution'!$B$146:$B$150,'-ref_Distribution'!$G$146:$G$150)),RIGHT(BB$1,2)),"")</f>
        <v>9</v>
      </c>
      <c r="BC72" s="16" cm="1">
        <f t="array" ref="BC72">IFERROR(INDEX(_xlfn.ANCHORARRAY(_xlfn.XLOOKUP($C72,'-ref_Distribution'!$B$146:$B$150,'-ref_Distribution'!$G$146:$G$150)),RIGHT(BC$1,2)),"")</f>
        <v>14</v>
      </c>
      <c r="BD72" s="16" cm="1">
        <f t="array" ref="BD72">IFERROR(INDEX(_xlfn.ANCHORARRAY(_xlfn.XLOOKUP($C72,'-ref_Distribution'!$B$146:$B$150,'-ref_Distribution'!$G$146:$G$150)),RIGHT(BD$1,2)),"")</f>
        <v>20</v>
      </c>
      <c r="BE72" s="16" cm="1">
        <f t="array" ref="BE72">IFERROR(INDEX(_xlfn.ANCHORARRAY(_xlfn.XLOOKUP($C72,'-ref_Distribution'!$B$146:$B$150,'-ref_Distribution'!$G$146:$G$150)),RIGHT(BE$1,2)),"")</f>
        <v>28</v>
      </c>
      <c r="BF72" s="16" cm="1">
        <f t="array" ref="BF72">IFERROR(INDEX(_xlfn.ANCHORARRAY(_xlfn.XLOOKUP($C72,'-ref_Distribution'!$B$146:$B$150,'-ref_Distribution'!$G$146:$G$150)),RIGHT(BF$1,2)),"")</f>
        <v>38</v>
      </c>
      <c r="BG72" s="16" cm="1">
        <f t="array" ref="BG72">IFERROR(INDEX(_xlfn.ANCHORARRAY(_xlfn.XLOOKUP($C72,'-ref_Distribution'!$B$146:$B$150,'-ref_Distribution'!$G$146:$G$150)),RIGHT(BG$1,2)),"")</f>
        <v>48</v>
      </c>
      <c r="BH72" s="16" cm="1">
        <f t="array" ref="BH72">IFERROR(INDEX(_xlfn.ANCHORARRAY(_xlfn.XLOOKUP($C72,'-ref_Distribution'!$B$146:$B$150,'-ref_Distribution'!$G$146:$G$150)),RIGHT(BH$1,2)),"")</f>
        <v>59</v>
      </c>
      <c r="BI72" s="16" cm="1">
        <f t="array" ref="BI72">IFERROR(INDEX(_xlfn.ANCHORARRAY(_xlfn.XLOOKUP($C72,'-ref_Distribution'!$B$146:$B$150,'-ref_Distribution'!$G$146:$G$150)),RIGHT(BI$1,2)),"")</f>
        <v>69</v>
      </c>
      <c r="BJ72" s="16" cm="1">
        <f t="array" ref="BJ72">IFERROR(INDEX(_xlfn.ANCHORARRAY(_xlfn.XLOOKUP($C72,'-ref_Distribution'!$B$146:$B$150,'-ref_Distribution'!$G$146:$G$150)),RIGHT(BJ$1,2)),"")</f>
        <v>78</v>
      </c>
      <c r="BK72" s="16" cm="1">
        <f t="array" ref="BK72">IFERROR(INDEX(_xlfn.ANCHORARRAY(_xlfn.XLOOKUP($C72,'-ref_Distribution'!$B$146:$B$150,'-ref_Distribution'!$G$146:$G$150)),RIGHT(BK$1,2)),"")</f>
        <v>83</v>
      </c>
      <c r="BL72" s="16" cm="1">
        <f t="array" ref="BL72">IFERROR(INDEX(_xlfn.ANCHORARRAY(_xlfn.XLOOKUP($C72,'-ref_Distribution'!$B$146:$B$150,'-ref_Distribution'!$G$146:$G$150)),RIGHT(BL$1,2)),"")</f>
        <v>0</v>
      </c>
      <c r="BM72" s="16" cm="1">
        <f t="array" ref="BM72">IFERROR(INDEX(_xlfn.ANCHORARRAY(_xlfn.XLOOKUP($C72,'-ref_Distribution'!$B$146:$B$150,'-ref_Distribution'!$G$146:$G$150)),RIGHT(BM$1,2)),"")</f>
        <v>0</v>
      </c>
      <c r="BN72" s="16" cm="1">
        <f t="array" ref="BN72">IFERROR(INDEX(_xlfn.ANCHORARRAY(_xlfn.XLOOKUP($C72,'-ref_Distribution'!$B$146:$B$150,'-ref_Distribution'!$G$146:$G$150)),RIGHT(BN$1,2)),"")</f>
        <v>0</v>
      </c>
      <c r="BO72" s="16" cm="1">
        <f t="array" ref="BO72">IFERROR(INDEX(_xlfn.ANCHORARRAY(_xlfn.XLOOKUP($C72,'-ref_Distribution'!$B$146:$B$150,'-ref_Distribution'!$G$146:$G$150)),RIGHT(BO$1,2)),"")</f>
        <v>0</v>
      </c>
      <c r="BP72" s="16" cm="1">
        <f t="array" ref="BP72">IFERROR(INDEX(_xlfn.ANCHORARRAY(_xlfn.XLOOKUP($C72,'-ref_Distribution'!$B$146:$B$150,'-ref_Distribution'!$G$146:$G$150)),RIGHT(BP$1,2)),"")</f>
        <v>0</v>
      </c>
      <c r="BQ72" s="16" cm="1">
        <f t="array" ref="BQ72">IFERROR(INDEX(_xlfn.ANCHORARRAY(_xlfn.XLOOKUP($C72,'-ref_Distribution'!$B$146:$B$150,'-ref_Distribution'!$G$146:$G$150)),RIGHT(BQ$1,2)),"")</f>
        <v>1</v>
      </c>
      <c r="BR72" s="16" cm="1">
        <f t="array" ref="BR72">IFERROR(INDEX(_xlfn.ANCHORARRAY(_xlfn.XLOOKUP($C72,'-ref_Distribution'!$B$146:$B$150,'-ref_Distribution'!$G$146:$G$150)),RIGHT(BR$1,2)),"")</f>
        <v>1</v>
      </c>
      <c r="BS72" s="16" cm="1">
        <f t="array" ref="BS72">IFERROR(INDEX(_xlfn.ANCHORARRAY(_xlfn.XLOOKUP($C72,'-ref_Distribution'!$B$146:$B$150,'-ref_Distribution'!$G$146:$G$150)),RIGHT(BS$1,2)),"")</f>
        <v>2</v>
      </c>
      <c r="BT72" s="16" cm="1">
        <f t="array" ref="BT72">IFERROR(INDEX(_xlfn.ANCHORARRAY(_xlfn.XLOOKUP($C72,'-ref_Distribution'!$B$146:$B$150,'-ref_Distribution'!$G$146:$G$150)),RIGHT(BT$1,2)),"")</f>
        <v>3</v>
      </c>
      <c r="BU72" s="16" cm="1">
        <f t="array" ref="BU72">IFERROR(INDEX(_xlfn.ANCHORARRAY(_xlfn.XLOOKUP($C72,'-ref_Distribution'!$B$146:$B$150,'-ref_Distribution'!$G$146:$G$150)),RIGHT(BU$1,2)),"")</f>
        <v>5</v>
      </c>
      <c r="BV72" s="16" cm="1">
        <f t="array" ref="BV72">IFERROR(INDEX(_xlfn.ANCHORARRAY(_xlfn.XLOOKUP($C72,'-ref_Distribution'!$B$146:$B$150,'-ref_Distribution'!$G$146:$G$150)),RIGHT(BV$1,2)),"")</f>
        <v>9</v>
      </c>
      <c r="BW72" s="16" cm="1">
        <f t="array" ref="BW72">IFERROR(INDEX(_xlfn.ANCHORARRAY(_xlfn.XLOOKUP($C72,'-ref_Distribution'!$B$146:$B$150,'-ref_Distribution'!$G$146:$G$150)),RIGHT(BW$1,2)),"")</f>
        <v>14</v>
      </c>
      <c r="BX72" s="16" cm="1">
        <f t="array" ref="BX72">IFERROR(INDEX(_xlfn.ANCHORARRAY(_xlfn.XLOOKUP($C72,'-ref_Distribution'!$B$146:$B$150,'-ref_Distribution'!$G$146:$G$150)),RIGHT(BX$1,2)),"")</f>
        <v>20</v>
      </c>
      <c r="BY72" s="16" cm="1">
        <f t="array" ref="BY72">IFERROR(INDEX(_xlfn.ANCHORARRAY(_xlfn.XLOOKUP($C72,'-ref_Distribution'!$B$146:$B$150,'-ref_Distribution'!$G$146:$G$150)),RIGHT(BY$1,2)),"")</f>
        <v>28</v>
      </c>
      <c r="BZ72" s="16" cm="1">
        <f t="array" ref="BZ72">IFERROR(INDEX(_xlfn.ANCHORARRAY(_xlfn.XLOOKUP($C72,'-ref_Distribution'!$B$146:$B$150,'-ref_Distribution'!$G$146:$G$150)),RIGHT(BZ$1,2)),"")</f>
        <v>38</v>
      </c>
      <c r="CA72" s="16" cm="1">
        <f t="array" ref="CA72">IFERROR(INDEX(_xlfn.ANCHORARRAY(_xlfn.XLOOKUP($C72,'-ref_Distribution'!$B$146:$B$150,'-ref_Distribution'!$G$146:$G$150)),RIGHT(CA$1,2)),"")</f>
        <v>48</v>
      </c>
      <c r="CB72" s="16" cm="1">
        <f t="array" ref="CB72">IFERROR(INDEX(_xlfn.ANCHORARRAY(_xlfn.XLOOKUP($C72,'-ref_Distribution'!$B$146:$B$150,'-ref_Distribution'!$G$146:$G$150)),RIGHT(CB$1,2)),"")</f>
        <v>59</v>
      </c>
      <c r="CC72" s="16" cm="1">
        <f t="array" ref="CC72">IFERROR(INDEX(_xlfn.ANCHORARRAY(_xlfn.XLOOKUP($C72,'-ref_Distribution'!$B$146:$B$150,'-ref_Distribution'!$G$146:$G$150)),RIGHT(CC$1,2)),"")</f>
        <v>69</v>
      </c>
      <c r="CD72" s="16" cm="1">
        <f t="array" ref="CD72">IFERROR(INDEX(_xlfn.ANCHORARRAY(_xlfn.XLOOKUP($C72,'-ref_Distribution'!$B$146:$B$150,'-ref_Distribution'!$G$146:$G$150)),RIGHT(CD$1,2)),"")</f>
        <v>78</v>
      </c>
      <c r="CE72" s="16" cm="1">
        <f t="array" ref="CE72">IFERROR(INDEX(_xlfn.ANCHORARRAY(_xlfn.XLOOKUP($C72,'-ref_Distribution'!$B$146:$B$150,'-ref_Distribution'!$G$146:$G$150)),RIGHT(CE$1,2)),"")</f>
        <v>83</v>
      </c>
    </row>
    <row r="73" spans="1:83" x14ac:dyDescent="0.2">
      <c r="A73" s="16">
        <v>310225</v>
      </c>
      <c r="B73" s="16" t="s">
        <v>378</v>
      </c>
      <c r="C73" s="16">
        <v>4</v>
      </c>
      <c r="D73" s="16" cm="1">
        <f t="array" ref="D73">IFERROR(INDEX(_xlfn.ANCHORARRAY(_xlfn.XLOOKUP($C73,'-ref_Distribution'!$B$146:$B$150,'-ref_Distribution'!$G$146:$G$150)),RIGHT(D$1,2)),"")</f>
        <v>0</v>
      </c>
      <c r="E73" s="16" cm="1">
        <f t="array" ref="E73">IFERROR(INDEX(_xlfn.ANCHORARRAY(_xlfn.XLOOKUP($C73,'-ref_Distribution'!$B$146:$B$150,'-ref_Distribution'!$G$146:$G$150)),RIGHT(E$1,2)),"")</f>
        <v>0</v>
      </c>
      <c r="F73" s="16" cm="1">
        <f t="array" ref="F73">IFERROR(INDEX(_xlfn.ANCHORARRAY(_xlfn.XLOOKUP($C73,'-ref_Distribution'!$B$146:$B$150,'-ref_Distribution'!$G$146:$G$150)),RIGHT(F$1,2)),"")</f>
        <v>0</v>
      </c>
      <c r="G73" s="16" cm="1">
        <f t="array" ref="G73">IFERROR(INDEX(_xlfn.ANCHORARRAY(_xlfn.XLOOKUP($C73,'-ref_Distribution'!$B$146:$B$150,'-ref_Distribution'!$G$146:$G$150)),RIGHT(G$1,2)),"")</f>
        <v>0</v>
      </c>
      <c r="H73" s="16" cm="1">
        <f t="array" ref="H73">IFERROR(INDEX(_xlfn.ANCHORARRAY(_xlfn.XLOOKUP($C73,'-ref_Distribution'!$B$146:$B$150,'-ref_Distribution'!$G$146:$G$150)),RIGHT(H$1,2)),"")</f>
        <v>0</v>
      </c>
      <c r="I73" s="16" cm="1">
        <f t="array" ref="I73">IFERROR(INDEX(_xlfn.ANCHORARRAY(_xlfn.XLOOKUP($C73,'-ref_Distribution'!$B$146:$B$150,'-ref_Distribution'!$G$146:$G$150)),RIGHT(I$1,2)),"")</f>
        <v>1</v>
      </c>
      <c r="J73" s="16" cm="1">
        <f t="array" ref="J73">IFERROR(INDEX(_xlfn.ANCHORARRAY(_xlfn.XLOOKUP($C73,'-ref_Distribution'!$B$146:$B$150,'-ref_Distribution'!$G$146:$G$150)),RIGHT(J$1,2)),"")</f>
        <v>1</v>
      </c>
      <c r="K73" s="16" cm="1">
        <f t="array" ref="K73">IFERROR(INDEX(_xlfn.ANCHORARRAY(_xlfn.XLOOKUP($C73,'-ref_Distribution'!$B$146:$B$150,'-ref_Distribution'!$G$146:$G$150)),RIGHT(K$1,2)),"")</f>
        <v>2</v>
      </c>
      <c r="L73" s="16" cm="1">
        <f t="array" ref="L73">IFERROR(INDEX(_xlfn.ANCHORARRAY(_xlfn.XLOOKUP($C73,'-ref_Distribution'!$B$146:$B$150,'-ref_Distribution'!$G$146:$G$150)),RIGHT(L$1,2)),"")</f>
        <v>3</v>
      </c>
      <c r="M73" s="16" cm="1">
        <f t="array" ref="M73">IFERROR(INDEX(_xlfn.ANCHORARRAY(_xlfn.XLOOKUP($C73,'-ref_Distribution'!$B$146:$B$150,'-ref_Distribution'!$G$146:$G$150)),RIGHT(M$1,2)),"")</f>
        <v>5</v>
      </c>
      <c r="N73" s="16" cm="1">
        <f t="array" ref="N73">IFERROR(INDEX(_xlfn.ANCHORARRAY(_xlfn.XLOOKUP($C73,'-ref_Distribution'!$B$146:$B$150,'-ref_Distribution'!$G$146:$G$150)),RIGHT(N$1,2)),"")</f>
        <v>9</v>
      </c>
      <c r="O73" s="16" cm="1">
        <f t="array" ref="O73">IFERROR(INDEX(_xlfn.ANCHORARRAY(_xlfn.XLOOKUP($C73,'-ref_Distribution'!$B$146:$B$150,'-ref_Distribution'!$G$146:$G$150)),RIGHT(O$1,2)),"")</f>
        <v>14</v>
      </c>
      <c r="P73" s="16" cm="1">
        <f t="array" ref="P73">IFERROR(INDEX(_xlfn.ANCHORARRAY(_xlfn.XLOOKUP($C73,'-ref_Distribution'!$B$146:$B$150,'-ref_Distribution'!$G$146:$G$150)),RIGHT(P$1,2)),"")</f>
        <v>20</v>
      </c>
      <c r="Q73" s="16" cm="1">
        <f t="array" ref="Q73">IFERROR(INDEX(_xlfn.ANCHORARRAY(_xlfn.XLOOKUP($C73,'-ref_Distribution'!$B$146:$B$150,'-ref_Distribution'!$G$146:$G$150)),RIGHT(Q$1,2)),"")</f>
        <v>28</v>
      </c>
      <c r="R73" s="16" cm="1">
        <f t="array" ref="R73">IFERROR(INDEX(_xlfn.ANCHORARRAY(_xlfn.XLOOKUP($C73,'-ref_Distribution'!$B$146:$B$150,'-ref_Distribution'!$G$146:$G$150)),RIGHT(R$1,2)),"")</f>
        <v>38</v>
      </c>
      <c r="S73" s="16" cm="1">
        <f t="array" ref="S73">IFERROR(INDEX(_xlfn.ANCHORARRAY(_xlfn.XLOOKUP($C73,'-ref_Distribution'!$B$146:$B$150,'-ref_Distribution'!$G$146:$G$150)),RIGHT(S$1,2)),"")</f>
        <v>48</v>
      </c>
      <c r="T73" s="16" cm="1">
        <f t="array" ref="T73">IFERROR(INDEX(_xlfn.ANCHORARRAY(_xlfn.XLOOKUP($C73,'-ref_Distribution'!$B$146:$B$150,'-ref_Distribution'!$G$146:$G$150)),RIGHT(T$1,2)),"")</f>
        <v>59</v>
      </c>
      <c r="U73" s="16" cm="1">
        <f t="array" ref="U73">IFERROR(INDEX(_xlfn.ANCHORARRAY(_xlfn.XLOOKUP($C73,'-ref_Distribution'!$B$146:$B$150,'-ref_Distribution'!$G$146:$G$150)),RIGHT(U$1,2)),"")</f>
        <v>69</v>
      </c>
      <c r="V73" s="16" cm="1">
        <f t="array" ref="V73">IFERROR(INDEX(_xlfn.ANCHORARRAY(_xlfn.XLOOKUP($C73,'-ref_Distribution'!$B$146:$B$150,'-ref_Distribution'!$G$146:$G$150)),RIGHT(V$1,2)),"")</f>
        <v>78</v>
      </c>
      <c r="W73" s="16" cm="1">
        <f t="array" ref="W73">IFERROR(INDEX(_xlfn.ANCHORARRAY(_xlfn.XLOOKUP($C73,'-ref_Distribution'!$B$146:$B$150,'-ref_Distribution'!$G$146:$G$150)),RIGHT(W$1,2)),"")</f>
        <v>83</v>
      </c>
      <c r="X73" s="16" cm="1">
        <f t="array" ref="X73">IFERROR(INDEX(_xlfn.ANCHORARRAY(_xlfn.XLOOKUP($C73,'-ref_Distribution'!$B$146:$B$150,'-ref_Distribution'!$G$146:$G$150)),RIGHT(X$1,2)),"")</f>
        <v>0</v>
      </c>
      <c r="Y73" s="16" cm="1">
        <f t="array" ref="Y73">IFERROR(INDEX(_xlfn.ANCHORARRAY(_xlfn.XLOOKUP($C73,'-ref_Distribution'!$B$146:$B$150,'-ref_Distribution'!$G$146:$G$150)),RIGHT(Y$1,2)),"")</f>
        <v>0</v>
      </c>
      <c r="Z73" s="16" cm="1">
        <f t="array" ref="Z73">IFERROR(INDEX(_xlfn.ANCHORARRAY(_xlfn.XLOOKUP($C73,'-ref_Distribution'!$B$146:$B$150,'-ref_Distribution'!$G$146:$G$150)),RIGHT(Z$1,2)),"")</f>
        <v>0</v>
      </c>
      <c r="AA73" s="16" cm="1">
        <f t="array" ref="AA73">IFERROR(INDEX(_xlfn.ANCHORARRAY(_xlfn.XLOOKUP($C73,'-ref_Distribution'!$B$146:$B$150,'-ref_Distribution'!$G$146:$G$150)),RIGHT(AA$1,2)),"")</f>
        <v>0</v>
      </c>
      <c r="AB73" s="16" cm="1">
        <f t="array" ref="AB73">IFERROR(INDEX(_xlfn.ANCHORARRAY(_xlfn.XLOOKUP($C73,'-ref_Distribution'!$B$146:$B$150,'-ref_Distribution'!$G$146:$G$150)),RIGHT(AB$1,2)),"")</f>
        <v>0</v>
      </c>
      <c r="AC73" s="16" cm="1">
        <f t="array" ref="AC73">IFERROR(INDEX(_xlfn.ANCHORARRAY(_xlfn.XLOOKUP($C73,'-ref_Distribution'!$B$146:$B$150,'-ref_Distribution'!$G$146:$G$150)),RIGHT(AC$1,2)),"")</f>
        <v>1</v>
      </c>
      <c r="AD73" s="16" cm="1">
        <f t="array" ref="AD73">IFERROR(INDEX(_xlfn.ANCHORARRAY(_xlfn.XLOOKUP($C73,'-ref_Distribution'!$B$146:$B$150,'-ref_Distribution'!$G$146:$G$150)),RIGHT(AD$1,2)),"")</f>
        <v>1</v>
      </c>
      <c r="AE73" s="16" cm="1">
        <f t="array" ref="AE73">IFERROR(INDEX(_xlfn.ANCHORARRAY(_xlfn.XLOOKUP($C73,'-ref_Distribution'!$B$146:$B$150,'-ref_Distribution'!$G$146:$G$150)),RIGHT(AE$1,2)),"")</f>
        <v>2</v>
      </c>
      <c r="AF73" s="16" cm="1">
        <f t="array" ref="AF73">IFERROR(INDEX(_xlfn.ANCHORARRAY(_xlfn.XLOOKUP($C73,'-ref_Distribution'!$B$146:$B$150,'-ref_Distribution'!$G$146:$G$150)),RIGHT(AF$1,2)),"")</f>
        <v>3</v>
      </c>
      <c r="AG73" s="16" cm="1">
        <f t="array" ref="AG73">IFERROR(INDEX(_xlfn.ANCHORARRAY(_xlfn.XLOOKUP($C73,'-ref_Distribution'!$B$146:$B$150,'-ref_Distribution'!$G$146:$G$150)),RIGHT(AG$1,2)),"")</f>
        <v>5</v>
      </c>
      <c r="AH73" s="16" cm="1">
        <f t="array" ref="AH73">IFERROR(INDEX(_xlfn.ANCHORARRAY(_xlfn.XLOOKUP($C73,'-ref_Distribution'!$B$146:$B$150,'-ref_Distribution'!$G$146:$G$150)),RIGHT(AH$1,2)),"")</f>
        <v>9</v>
      </c>
      <c r="AI73" s="16" cm="1">
        <f t="array" ref="AI73">IFERROR(INDEX(_xlfn.ANCHORARRAY(_xlfn.XLOOKUP($C73,'-ref_Distribution'!$B$146:$B$150,'-ref_Distribution'!$G$146:$G$150)),RIGHT(AI$1,2)),"")</f>
        <v>14</v>
      </c>
      <c r="AJ73" s="16" cm="1">
        <f t="array" ref="AJ73">IFERROR(INDEX(_xlfn.ANCHORARRAY(_xlfn.XLOOKUP($C73,'-ref_Distribution'!$B$146:$B$150,'-ref_Distribution'!$G$146:$G$150)),RIGHT(AJ$1,2)),"")</f>
        <v>20</v>
      </c>
      <c r="AK73" s="16" cm="1">
        <f t="array" ref="AK73">IFERROR(INDEX(_xlfn.ANCHORARRAY(_xlfn.XLOOKUP($C73,'-ref_Distribution'!$B$146:$B$150,'-ref_Distribution'!$G$146:$G$150)),RIGHT(AK$1,2)),"")</f>
        <v>28</v>
      </c>
      <c r="AL73" s="16" cm="1">
        <f t="array" ref="AL73">IFERROR(INDEX(_xlfn.ANCHORARRAY(_xlfn.XLOOKUP($C73,'-ref_Distribution'!$B$146:$B$150,'-ref_Distribution'!$G$146:$G$150)),RIGHT(AL$1,2)),"")</f>
        <v>38</v>
      </c>
      <c r="AM73" s="16" cm="1">
        <f t="array" ref="AM73">IFERROR(INDEX(_xlfn.ANCHORARRAY(_xlfn.XLOOKUP($C73,'-ref_Distribution'!$B$146:$B$150,'-ref_Distribution'!$G$146:$G$150)),RIGHT(AM$1,2)),"")</f>
        <v>48</v>
      </c>
      <c r="AN73" s="16" cm="1">
        <f t="array" ref="AN73">IFERROR(INDEX(_xlfn.ANCHORARRAY(_xlfn.XLOOKUP($C73,'-ref_Distribution'!$B$146:$B$150,'-ref_Distribution'!$G$146:$G$150)),RIGHT(AN$1,2)),"")</f>
        <v>59</v>
      </c>
      <c r="AO73" s="16" cm="1">
        <f t="array" ref="AO73">IFERROR(INDEX(_xlfn.ANCHORARRAY(_xlfn.XLOOKUP($C73,'-ref_Distribution'!$B$146:$B$150,'-ref_Distribution'!$G$146:$G$150)),RIGHT(AO$1,2)),"")</f>
        <v>69</v>
      </c>
      <c r="AP73" s="16" cm="1">
        <f t="array" ref="AP73">IFERROR(INDEX(_xlfn.ANCHORARRAY(_xlfn.XLOOKUP($C73,'-ref_Distribution'!$B$146:$B$150,'-ref_Distribution'!$G$146:$G$150)),RIGHT(AP$1,2)),"")</f>
        <v>78</v>
      </c>
      <c r="AQ73" s="16" cm="1">
        <f t="array" ref="AQ73">IFERROR(INDEX(_xlfn.ANCHORARRAY(_xlfn.XLOOKUP($C73,'-ref_Distribution'!$B$146:$B$150,'-ref_Distribution'!$G$146:$G$150)),RIGHT(AQ$1,2)),"")</f>
        <v>83</v>
      </c>
      <c r="AR73" s="16" cm="1">
        <f t="array" ref="AR73">IFERROR(INDEX(_xlfn.ANCHORARRAY(_xlfn.XLOOKUP($C73,'-ref_Distribution'!$B$146:$B$150,'-ref_Distribution'!$G$146:$G$150)),RIGHT(AR$1,2)),"")</f>
        <v>0</v>
      </c>
      <c r="AS73" s="16" cm="1">
        <f t="array" ref="AS73">IFERROR(INDEX(_xlfn.ANCHORARRAY(_xlfn.XLOOKUP($C73,'-ref_Distribution'!$B$146:$B$150,'-ref_Distribution'!$G$146:$G$150)),RIGHT(AS$1,2)),"")</f>
        <v>0</v>
      </c>
      <c r="AT73" s="16" cm="1">
        <f t="array" ref="AT73">IFERROR(INDEX(_xlfn.ANCHORARRAY(_xlfn.XLOOKUP($C73,'-ref_Distribution'!$B$146:$B$150,'-ref_Distribution'!$G$146:$G$150)),RIGHT(AT$1,2)),"")</f>
        <v>0</v>
      </c>
      <c r="AU73" s="16" cm="1">
        <f t="array" ref="AU73">IFERROR(INDEX(_xlfn.ANCHORARRAY(_xlfn.XLOOKUP($C73,'-ref_Distribution'!$B$146:$B$150,'-ref_Distribution'!$G$146:$G$150)),RIGHT(AU$1,2)),"")</f>
        <v>0</v>
      </c>
      <c r="AV73" s="16" cm="1">
        <f t="array" ref="AV73">IFERROR(INDEX(_xlfn.ANCHORARRAY(_xlfn.XLOOKUP($C73,'-ref_Distribution'!$B$146:$B$150,'-ref_Distribution'!$G$146:$G$150)),RIGHT(AV$1,2)),"")</f>
        <v>0</v>
      </c>
      <c r="AW73" s="16" cm="1">
        <f t="array" ref="AW73">IFERROR(INDEX(_xlfn.ANCHORARRAY(_xlfn.XLOOKUP($C73,'-ref_Distribution'!$B$146:$B$150,'-ref_Distribution'!$G$146:$G$150)),RIGHT(AW$1,2)),"")</f>
        <v>1</v>
      </c>
      <c r="AX73" s="16" cm="1">
        <f t="array" ref="AX73">IFERROR(INDEX(_xlfn.ANCHORARRAY(_xlfn.XLOOKUP($C73,'-ref_Distribution'!$B$146:$B$150,'-ref_Distribution'!$G$146:$G$150)),RIGHT(AX$1,2)),"")</f>
        <v>1</v>
      </c>
      <c r="AY73" s="16" cm="1">
        <f t="array" ref="AY73">IFERROR(INDEX(_xlfn.ANCHORARRAY(_xlfn.XLOOKUP($C73,'-ref_Distribution'!$B$146:$B$150,'-ref_Distribution'!$G$146:$G$150)),RIGHT(AY$1,2)),"")</f>
        <v>2</v>
      </c>
      <c r="AZ73" s="16" cm="1">
        <f t="array" ref="AZ73">IFERROR(INDEX(_xlfn.ANCHORARRAY(_xlfn.XLOOKUP($C73,'-ref_Distribution'!$B$146:$B$150,'-ref_Distribution'!$G$146:$G$150)),RIGHT(AZ$1,2)),"")</f>
        <v>3</v>
      </c>
      <c r="BA73" s="16" cm="1">
        <f t="array" ref="BA73">IFERROR(INDEX(_xlfn.ANCHORARRAY(_xlfn.XLOOKUP($C73,'-ref_Distribution'!$B$146:$B$150,'-ref_Distribution'!$G$146:$G$150)),RIGHT(BA$1,2)),"")</f>
        <v>5</v>
      </c>
      <c r="BB73" s="16" cm="1">
        <f t="array" ref="BB73">IFERROR(INDEX(_xlfn.ANCHORARRAY(_xlfn.XLOOKUP($C73,'-ref_Distribution'!$B$146:$B$150,'-ref_Distribution'!$G$146:$G$150)),RIGHT(BB$1,2)),"")</f>
        <v>9</v>
      </c>
      <c r="BC73" s="16" cm="1">
        <f t="array" ref="BC73">IFERROR(INDEX(_xlfn.ANCHORARRAY(_xlfn.XLOOKUP($C73,'-ref_Distribution'!$B$146:$B$150,'-ref_Distribution'!$G$146:$G$150)),RIGHT(BC$1,2)),"")</f>
        <v>14</v>
      </c>
      <c r="BD73" s="16" cm="1">
        <f t="array" ref="BD73">IFERROR(INDEX(_xlfn.ANCHORARRAY(_xlfn.XLOOKUP($C73,'-ref_Distribution'!$B$146:$B$150,'-ref_Distribution'!$G$146:$G$150)),RIGHT(BD$1,2)),"")</f>
        <v>20</v>
      </c>
      <c r="BE73" s="16" cm="1">
        <f t="array" ref="BE73">IFERROR(INDEX(_xlfn.ANCHORARRAY(_xlfn.XLOOKUP($C73,'-ref_Distribution'!$B$146:$B$150,'-ref_Distribution'!$G$146:$G$150)),RIGHT(BE$1,2)),"")</f>
        <v>28</v>
      </c>
      <c r="BF73" s="16" cm="1">
        <f t="array" ref="BF73">IFERROR(INDEX(_xlfn.ANCHORARRAY(_xlfn.XLOOKUP($C73,'-ref_Distribution'!$B$146:$B$150,'-ref_Distribution'!$G$146:$G$150)),RIGHT(BF$1,2)),"")</f>
        <v>38</v>
      </c>
      <c r="BG73" s="16" cm="1">
        <f t="array" ref="BG73">IFERROR(INDEX(_xlfn.ANCHORARRAY(_xlfn.XLOOKUP($C73,'-ref_Distribution'!$B$146:$B$150,'-ref_Distribution'!$G$146:$G$150)),RIGHT(BG$1,2)),"")</f>
        <v>48</v>
      </c>
      <c r="BH73" s="16" cm="1">
        <f t="array" ref="BH73">IFERROR(INDEX(_xlfn.ANCHORARRAY(_xlfn.XLOOKUP($C73,'-ref_Distribution'!$B$146:$B$150,'-ref_Distribution'!$G$146:$G$150)),RIGHT(BH$1,2)),"")</f>
        <v>59</v>
      </c>
      <c r="BI73" s="16" cm="1">
        <f t="array" ref="BI73">IFERROR(INDEX(_xlfn.ANCHORARRAY(_xlfn.XLOOKUP($C73,'-ref_Distribution'!$B$146:$B$150,'-ref_Distribution'!$G$146:$G$150)),RIGHT(BI$1,2)),"")</f>
        <v>69</v>
      </c>
      <c r="BJ73" s="16" cm="1">
        <f t="array" ref="BJ73">IFERROR(INDEX(_xlfn.ANCHORARRAY(_xlfn.XLOOKUP($C73,'-ref_Distribution'!$B$146:$B$150,'-ref_Distribution'!$G$146:$G$150)),RIGHT(BJ$1,2)),"")</f>
        <v>78</v>
      </c>
      <c r="BK73" s="16" cm="1">
        <f t="array" ref="BK73">IFERROR(INDEX(_xlfn.ANCHORARRAY(_xlfn.XLOOKUP($C73,'-ref_Distribution'!$B$146:$B$150,'-ref_Distribution'!$G$146:$G$150)),RIGHT(BK$1,2)),"")</f>
        <v>83</v>
      </c>
      <c r="BL73" s="16" cm="1">
        <f t="array" ref="BL73">IFERROR(INDEX(_xlfn.ANCHORARRAY(_xlfn.XLOOKUP($C73,'-ref_Distribution'!$B$146:$B$150,'-ref_Distribution'!$G$146:$G$150)),RIGHT(BL$1,2)),"")</f>
        <v>0</v>
      </c>
      <c r="BM73" s="16" cm="1">
        <f t="array" ref="BM73">IFERROR(INDEX(_xlfn.ANCHORARRAY(_xlfn.XLOOKUP($C73,'-ref_Distribution'!$B$146:$B$150,'-ref_Distribution'!$G$146:$G$150)),RIGHT(BM$1,2)),"")</f>
        <v>0</v>
      </c>
      <c r="BN73" s="16" cm="1">
        <f t="array" ref="BN73">IFERROR(INDEX(_xlfn.ANCHORARRAY(_xlfn.XLOOKUP($C73,'-ref_Distribution'!$B$146:$B$150,'-ref_Distribution'!$G$146:$G$150)),RIGHT(BN$1,2)),"")</f>
        <v>0</v>
      </c>
      <c r="BO73" s="16" cm="1">
        <f t="array" ref="BO73">IFERROR(INDEX(_xlfn.ANCHORARRAY(_xlfn.XLOOKUP($C73,'-ref_Distribution'!$B$146:$B$150,'-ref_Distribution'!$G$146:$G$150)),RIGHT(BO$1,2)),"")</f>
        <v>0</v>
      </c>
      <c r="BP73" s="16" cm="1">
        <f t="array" ref="BP73">IFERROR(INDEX(_xlfn.ANCHORARRAY(_xlfn.XLOOKUP($C73,'-ref_Distribution'!$B$146:$B$150,'-ref_Distribution'!$G$146:$G$150)),RIGHT(BP$1,2)),"")</f>
        <v>0</v>
      </c>
      <c r="BQ73" s="16" cm="1">
        <f t="array" ref="BQ73">IFERROR(INDEX(_xlfn.ANCHORARRAY(_xlfn.XLOOKUP($C73,'-ref_Distribution'!$B$146:$B$150,'-ref_Distribution'!$G$146:$G$150)),RIGHT(BQ$1,2)),"")</f>
        <v>1</v>
      </c>
      <c r="BR73" s="16" cm="1">
        <f t="array" ref="BR73">IFERROR(INDEX(_xlfn.ANCHORARRAY(_xlfn.XLOOKUP($C73,'-ref_Distribution'!$B$146:$B$150,'-ref_Distribution'!$G$146:$G$150)),RIGHT(BR$1,2)),"")</f>
        <v>1</v>
      </c>
      <c r="BS73" s="16" cm="1">
        <f t="array" ref="BS73">IFERROR(INDEX(_xlfn.ANCHORARRAY(_xlfn.XLOOKUP($C73,'-ref_Distribution'!$B$146:$B$150,'-ref_Distribution'!$G$146:$G$150)),RIGHT(BS$1,2)),"")</f>
        <v>2</v>
      </c>
      <c r="BT73" s="16" cm="1">
        <f t="array" ref="BT73">IFERROR(INDEX(_xlfn.ANCHORARRAY(_xlfn.XLOOKUP($C73,'-ref_Distribution'!$B$146:$B$150,'-ref_Distribution'!$G$146:$G$150)),RIGHT(BT$1,2)),"")</f>
        <v>3</v>
      </c>
      <c r="BU73" s="16" cm="1">
        <f t="array" ref="BU73">IFERROR(INDEX(_xlfn.ANCHORARRAY(_xlfn.XLOOKUP($C73,'-ref_Distribution'!$B$146:$B$150,'-ref_Distribution'!$G$146:$G$150)),RIGHT(BU$1,2)),"")</f>
        <v>5</v>
      </c>
      <c r="BV73" s="16" cm="1">
        <f t="array" ref="BV73">IFERROR(INDEX(_xlfn.ANCHORARRAY(_xlfn.XLOOKUP($C73,'-ref_Distribution'!$B$146:$B$150,'-ref_Distribution'!$G$146:$G$150)),RIGHT(BV$1,2)),"")</f>
        <v>9</v>
      </c>
      <c r="BW73" s="16" cm="1">
        <f t="array" ref="BW73">IFERROR(INDEX(_xlfn.ANCHORARRAY(_xlfn.XLOOKUP($C73,'-ref_Distribution'!$B$146:$B$150,'-ref_Distribution'!$G$146:$G$150)),RIGHT(BW$1,2)),"")</f>
        <v>14</v>
      </c>
      <c r="BX73" s="16" cm="1">
        <f t="array" ref="BX73">IFERROR(INDEX(_xlfn.ANCHORARRAY(_xlfn.XLOOKUP($C73,'-ref_Distribution'!$B$146:$B$150,'-ref_Distribution'!$G$146:$G$150)),RIGHT(BX$1,2)),"")</f>
        <v>20</v>
      </c>
      <c r="BY73" s="16" cm="1">
        <f t="array" ref="BY73">IFERROR(INDEX(_xlfn.ANCHORARRAY(_xlfn.XLOOKUP($C73,'-ref_Distribution'!$B$146:$B$150,'-ref_Distribution'!$G$146:$G$150)),RIGHT(BY$1,2)),"")</f>
        <v>28</v>
      </c>
      <c r="BZ73" s="16" cm="1">
        <f t="array" ref="BZ73">IFERROR(INDEX(_xlfn.ANCHORARRAY(_xlfn.XLOOKUP($C73,'-ref_Distribution'!$B$146:$B$150,'-ref_Distribution'!$G$146:$G$150)),RIGHT(BZ$1,2)),"")</f>
        <v>38</v>
      </c>
      <c r="CA73" s="16" cm="1">
        <f t="array" ref="CA73">IFERROR(INDEX(_xlfn.ANCHORARRAY(_xlfn.XLOOKUP($C73,'-ref_Distribution'!$B$146:$B$150,'-ref_Distribution'!$G$146:$G$150)),RIGHT(CA$1,2)),"")</f>
        <v>48</v>
      </c>
      <c r="CB73" s="16" cm="1">
        <f t="array" ref="CB73">IFERROR(INDEX(_xlfn.ANCHORARRAY(_xlfn.XLOOKUP($C73,'-ref_Distribution'!$B$146:$B$150,'-ref_Distribution'!$G$146:$G$150)),RIGHT(CB$1,2)),"")</f>
        <v>59</v>
      </c>
      <c r="CC73" s="16" cm="1">
        <f t="array" ref="CC73">IFERROR(INDEX(_xlfn.ANCHORARRAY(_xlfn.XLOOKUP($C73,'-ref_Distribution'!$B$146:$B$150,'-ref_Distribution'!$G$146:$G$150)),RIGHT(CC$1,2)),"")</f>
        <v>69</v>
      </c>
      <c r="CD73" s="16" cm="1">
        <f t="array" ref="CD73">IFERROR(INDEX(_xlfn.ANCHORARRAY(_xlfn.XLOOKUP($C73,'-ref_Distribution'!$B$146:$B$150,'-ref_Distribution'!$G$146:$G$150)),RIGHT(CD$1,2)),"")</f>
        <v>78</v>
      </c>
      <c r="CE73" s="16" cm="1">
        <f t="array" ref="CE73">IFERROR(INDEX(_xlfn.ANCHORARRAY(_xlfn.XLOOKUP($C73,'-ref_Distribution'!$B$146:$B$150,'-ref_Distribution'!$G$146:$G$150)),RIGHT(CE$1,2)),"")</f>
        <v>83</v>
      </c>
    </row>
    <row r="74" spans="1:83" x14ac:dyDescent="0.2">
      <c r="D74" s="16" t="str" cm="1">
        <f t="array" ref="D74">IFERROR(INDEX(_xlfn.ANCHORARRAY(_xlfn.XLOOKUP($C74,'-ref_Distribution'!$B$146:$B$150,'-ref_Distribution'!$G$146:$G$150)),RIGHT(D$1,2)),"")</f>
        <v/>
      </c>
      <c r="E74" s="16" t="str" cm="1">
        <f t="array" ref="E74">IFERROR(INDEX(_xlfn.ANCHORARRAY(_xlfn.XLOOKUP($C74,'-ref_Distribution'!$B$146:$B$150,'-ref_Distribution'!$G$146:$G$150)),RIGHT(E$1,2)),"")</f>
        <v/>
      </c>
      <c r="F74" s="16" t="str" cm="1">
        <f t="array" ref="F74">IFERROR(INDEX(_xlfn.ANCHORARRAY(_xlfn.XLOOKUP($C74,'-ref_Distribution'!$B$146:$B$150,'-ref_Distribution'!$G$146:$G$150)),RIGHT(F$1,2)),"")</f>
        <v/>
      </c>
      <c r="G74" s="16" t="str" cm="1">
        <f t="array" ref="G74">IFERROR(INDEX(_xlfn.ANCHORARRAY(_xlfn.XLOOKUP($C74,'-ref_Distribution'!$B$146:$B$150,'-ref_Distribution'!$G$146:$G$150)),RIGHT(G$1,2)),"")</f>
        <v/>
      </c>
      <c r="H74" s="16" t="str" cm="1">
        <f t="array" ref="H74">IFERROR(INDEX(_xlfn.ANCHORARRAY(_xlfn.XLOOKUP($C74,'-ref_Distribution'!$B$146:$B$150,'-ref_Distribution'!$G$146:$G$150)),RIGHT(H$1,2)),"")</f>
        <v/>
      </c>
      <c r="I74" s="16" t="str" cm="1">
        <f t="array" ref="I74">IFERROR(INDEX(_xlfn.ANCHORARRAY(_xlfn.XLOOKUP($C74,'-ref_Distribution'!$B$146:$B$150,'-ref_Distribution'!$G$146:$G$150)),RIGHT(I$1,2)),"")</f>
        <v/>
      </c>
      <c r="J74" s="16" t="str" cm="1">
        <f t="array" ref="J74">IFERROR(INDEX(_xlfn.ANCHORARRAY(_xlfn.XLOOKUP($C74,'-ref_Distribution'!$B$146:$B$150,'-ref_Distribution'!$G$146:$G$150)),RIGHT(J$1,2)),"")</f>
        <v/>
      </c>
      <c r="K74" s="16" t="str" cm="1">
        <f t="array" ref="K74">IFERROR(INDEX(_xlfn.ANCHORARRAY(_xlfn.XLOOKUP($C74,'-ref_Distribution'!$B$146:$B$150,'-ref_Distribution'!$G$146:$G$150)),RIGHT(K$1,2)),"")</f>
        <v/>
      </c>
      <c r="L74" s="16" t="str" cm="1">
        <f t="array" ref="L74">IFERROR(INDEX(_xlfn.ANCHORARRAY(_xlfn.XLOOKUP($C74,'-ref_Distribution'!$B$146:$B$150,'-ref_Distribution'!$G$146:$G$150)),RIGHT(L$1,2)),"")</f>
        <v/>
      </c>
      <c r="M74" s="16" t="str" cm="1">
        <f t="array" ref="M74">IFERROR(INDEX(_xlfn.ANCHORARRAY(_xlfn.XLOOKUP($C74,'-ref_Distribution'!$B$146:$B$150,'-ref_Distribution'!$G$146:$G$150)),RIGHT(M$1,2)),"")</f>
        <v/>
      </c>
      <c r="N74" s="16" t="str" cm="1">
        <f t="array" ref="N74">IFERROR(INDEX(_xlfn.ANCHORARRAY(_xlfn.XLOOKUP($C74,'-ref_Distribution'!$B$146:$B$150,'-ref_Distribution'!$G$146:$G$150)),RIGHT(N$1,2)),"")</f>
        <v/>
      </c>
      <c r="O74" s="16" t="str" cm="1">
        <f t="array" ref="O74">IFERROR(INDEX(_xlfn.ANCHORARRAY(_xlfn.XLOOKUP($C74,'-ref_Distribution'!$B$146:$B$150,'-ref_Distribution'!$G$146:$G$150)),RIGHT(O$1,2)),"")</f>
        <v/>
      </c>
      <c r="P74" s="16" t="str" cm="1">
        <f t="array" ref="P74">IFERROR(INDEX(_xlfn.ANCHORARRAY(_xlfn.XLOOKUP($C74,'-ref_Distribution'!$B$146:$B$150,'-ref_Distribution'!$G$146:$G$150)),RIGHT(P$1,2)),"")</f>
        <v/>
      </c>
      <c r="Q74" s="16" t="str" cm="1">
        <f t="array" ref="Q74">IFERROR(INDEX(_xlfn.ANCHORARRAY(_xlfn.XLOOKUP($C74,'-ref_Distribution'!$B$146:$B$150,'-ref_Distribution'!$G$146:$G$150)),RIGHT(Q$1,2)),"")</f>
        <v/>
      </c>
      <c r="R74" s="16" t="str" cm="1">
        <f t="array" ref="R74">IFERROR(INDEX(_xlfn.ANCHORARRAY(_xlfn.XLOOKUP($C74,'-ref_Distribution'!$B$146:$B$150,'-ref_Distribution'!$G$146:$G$150)),RIGHT(R$1,2)),"")</f>
        <v/>
      </c>
      <c r="S74" s="16" t="str" cm="1">
        <f t="array" ref="S74">IFERROR(INDEX(_xlfn.ANCHORARRAY(_xlfn.XLOOKUP($C74,'-ref_Distribution'!$B$146:$B$150,'-ref_Distribution'!$G$146:$G$150)),RIGHT(S$1,2)),"")</f>
        <v/>
      </c>
      <c r="T74" s="16" t="str" cm="1">
        <f t="array" ref="T74">IFERROR(INDEX(_xlfn.ANCHORARRAY(_xlfn.XLOOKUP($C74,'-ref_Distribution'!$B$146:$B$150,'-ref_Distribution'!$G$146:$G$150)),RIGHT(T$1,2)),"")</f>
        <v/>
      </c>
      <c r="U74" s="16" t="str" cm="1">
        <f t="array" ref="U74">IFERROR(INDEX(_xlfn.ANCHORARRAY(_xlfn.XLOOKUP($C74,'-ref_Distribution'!$B$146:$B$150,'-ref_Distribution'!$G$146:$G$150)),RIGHT(U$1,2)),"")</f>
        <v/>
      </c>
      <c r="V74" s="16" t="str" cm="1">
        <f t="array" ref="V74">IFERROR(INDEX(_xlfn.ANCHORARRAY(_xlfn.XLOOKUP($C74,'-ref_Distribution'!$B$146:$B$150,'-ref_Distribution'!$G$146:$G$150)),RIGHT(V$1,2)),"")</f>
        <v/>
      </c>
      <c r="W74" s="16" t="str" cm="1">
        <f t="array" ref="W74">IFERROR(INDEX(_xlfn.ANCHORARRAY(_xlfn.XLOOKUP($C74,'-ref_Distribution'!$B$146:$B$150,'-ref_Distribution'!$G$146:$G$150)),RIGHT(W$1,2)),"")</f>
        <v/>
      </c>
      <c r="X74" s="16" t="str" cm="1">
        <f t="array" ref="X74">IFERROR(INDEX(_xlfn.ANCHORARRAY(_xlfn.XLOOKUP($C74,'-ref_Distribution'!$B$146:$B$150,'-ref_Distribution'!$G$146:$G$150)),RIGHT(X$1,2)),"")</f>
        <v/>
      </c>
      <c r="Y74" s="16" t="str" cm="1">
        <f t="array" ref="Y74">IFERROR(INDEX(_xlfn.ANCHORARRAY(_xlfn.XLOOKUP($C74,'-ref_Distribution'!$B$146:$B$150,'-ref_Distribution'!$G$146:$G$150)),RIGHT(Y$1,2)),"")</f>
        <v/>
      </c>
      <c r="Z74" s="16" t="str" cm="1">
        <f t="array" ref="Z74">IFERROR(INDEX(_xlfn.ANCHORARRAY(_xlfn.XLOOKUP($C74,'-ref_Distribution'!$B$146:$B$150,'-ref_Distribution'!$G$146:$G$150)),RIGHT(Z$1,2)),"")</f>
        <v/>
      </c>
      <c r="AA74" s="16" t="str" cm="1">
        <f t="array" ref="AA74">IFERROR(INDEX(_xlfn.ANCHORARRAY(_xlfn.XLOOKUP($C74,'-ref_Distribution'!$B$146:$B$150,'-ref_Distribution'!$G$146:$G$150)),RIGHT(AA$1,2)),"")</f>
        <v/>
      </c>
      <c r="AB74" s="16" t="str" cm="1">
        <f t="array" ref="AB74">IFERROR(INDEX(_xlfn.ANCHORARRAY(_xlfn.XLOOKUP($C74,'-ref_Distribution'!$B$146:$B$150,'-ref_Distribution'!$G$146:$G$150)),RIGHT(AB$1,2)),"")</f>
        <v/>
      </c>
      <c r="AC74" s="16" t="str" cm="1">
        <f t="array" ref="AC74">IFERROR(INDEX(_xlfn.ANCHORARRAY(_xlfn.XLOOKUP($C74,'-ref_Distribution'!$B$146:$B$150,'-ref_Distribution'!$G$146:$G$150)),RIGHT(AC$1,2)),"")</f>
        <v/>
      </c>
      <c r="AD74" s="16" t="str" cm="1">
        <f t="array" ref="AD74">IFERROR(INDEX(_xlfn.ANCHORARRAY(_xlfn.XLOOKUP($C74,'-ref_Distribution'!$B$146:$B$150,'-ref_Distribution'!$G$146:$G$150)),RIGHT(AD$1,2)),"")</f>
        <v/>
      </c>
      <c r="AE74" s="16" t="str" cm="1">
        <f t="array" ref="AE74">IFERROR(INDEX(_xlfn.ANCHORARRAY(_xlfn.XLOOKUP($C74,'-ref_Distribution'!$B$146:$B$150,'-ref_Distribution'!$G$146:$G$150)),RIGHT(AE$1,2)),"")</f>
        <v/>
      </c>
      <c r="AF74" s="16" t="str" cm="1">
        <f t="array" ref="AF74">IFERROR(INDEX(_xlfn.ANCHORARRAY(_xlfn.XLOOKUP($C74,'-ref_Distribution'!$B$146:$B$150,'-ref_Distribution'!$G$146:$G$150)),RIGHT(AF$1,2)),"")</f>
        <v/>
      </c>
      <c r="AG74" s="16" t="str" cm="1">
        <f t="array" ref="AG74">IFERROR(INDEX(_xlfn.ANCHORARRAY(_xlfn.XLOOKUP($C74,'-ref_Distribution'!$B$146:$B$150,'-ref_Distribution'!$G$146:$G$150)),RIGHT(AG$1,2)),"")</f>
        <v/>
      </c>
      <c r="AH74" s="16" t="str" cm="1">
        <f t="array" ref="AH74">IFERROR(INDEX(_xlfn.ANCHORARRAY(_xlfn.XLOOKUP($C74,'-ref_Distribution'!$B$146:$B$150,'-ref_Distribution'!$G$146:$G$150)),RIGHT(AH$1,2)),"")</f>
        <v/>
      </c>
      <c r="AI74" s="16" t="str" cm="1">
        <f t="array" ref="AI74">IFERROR(INDEX(_xlfn.ANCHORARRAY(_xlfn.XLOOKUP($C74,'-ref_Distribution'!$B$146:$B$150,'-ref_Distribution'!$G$146:$G$150)),RIGHT(AI$1,2)),"")</f>
        <v/>
      </c>
      <c r="AJ74" s="16" t="str" cm="1">
        <f t="array" ref="AJ74">IFERROR(INDEX(_xlfn.ANCHORARRAY(_xlfn.XLOOKUP($C74,'-ref_Distribution'!$B$146:$B$150,'-ref_Distribution'!$G$146:$G$150)),RIGHT(AJ$1,2)),"")</f>
        <v/>
      </c>
      <c r="AK74" s="16" t="str" cm="1">
        <f t="array" ref="AK74">IFERROR(INDEX(_xlfn.ANCHORARRAY(_xlfn.XLOOKUP($C74,'-ref_Distribution'!$B$146:$B$150,'-ref_Distribution'!$G$146:$G$150)),RIGHT(AK$1,2)),"")</f>
        <v/>
      </c>
      <c r="AL74" s="16" t="str" cm="1">
        <f t="array" ref="AL74">IFERROR(INDEX(_xlfn.ANCHORARRAY(_xlfn.XLOOKUP($C74,'-ref_Distribution'!$B$146:$B$150,'-ref_Distribution'!$G$146:$G$150)),RIGHT(AL$1,2)),"")</f>
        <v/>
      </c>
      <c r="AM74" s="16" t="str" cm="1">
        <f t="array" ref="AM74">IFERROR(INDEX(_xlfn.ANCHORARRAY(_xlfn.XLOOKUP($C74,'-ref_Distribution'!$B$146:$B$150,'-ref_Distribution'!$G$146:$G$150)),RIGHT(AM$1,2)),"")</f>
        <v/>
      </c>
      <c r="AN74" s="16" t="str" cm="1">
        <f t="array" ref="AN74">IFERROR(INDEX(_xlfn.ANCHORARRAY(_xlfn.XLOOKUP($C74,'-ref_Distribution'!$B$146:$B$150,'-ref_Distribution'!$G$146:$G$150)),RIGHT(AN$1,2)),"")</f>
        <v/>
      </c>
      <c r="AO74" s="16" t="str" cm="1">
        <f t="array" ref="AO74">IFERROR(INDEX(_xlfn.ANCHORARRAY(_xlfn.XLOOKUP($C74,'-ref_Distribution'!$B$146:$B$150,'-ref_Distribution'!$G$146:$G$150)),RIGHT(AO$1,2)),"")</f>
        <v/>
      </c>
      <c r="AP74" s="16" t="str" cm="1">
        <f t="array" ref="AP74">IFERROR(INDEX(_xlfn.ANCHORARRAY(_xlfn.XLOOKUP($C74,'-ref_Distribution'!$B$146:$B$150,'-ref_Distribution'!$G$146:$G$150)),RIGHT(AP$1,2)),"")</f>
        <v/>
      </c>
      <c r="AQ74" s="16" t="str" cm="1">
        <f t="array" ref="AQ74">IFERROR(INDEX(_xlfn.ANCHORARRAY(_xlfn.XLOOKUP($C74,'-ref_Distribution'!$B$146:$B$150,'-ref_Distribution'!$G$146:$G$150)),RIGHT(AQ$1,2)),"")</f>
        <v/>
      </c>
      <c r="AR74" s="16" t="str" cm="1">
        <f t="array" ref="AR74">IFERROR(INDEX(_xlfn.ANCHORARRAY(_xlfn.XLOOKUP($C74,'-ref_Distribution'!$B$146:$B$150,'-ref_Distribution'!$G$146:$G$150)),RIGHT(AR$1,2)),"")</f>
        <v/>
      </c>
      <c r="AS74" s="16" t="str" cm="1">
        <f t="array" ref="AS74">IFERROR(INDEX(_xlfn.ANCHORARRAY(_xlfn.XLOOKUP($C74,'-ref_Distribution'!$B$146:$B$150,'-ref_Distribution'!$G$146:$G$150)),RIGHT(AS$1,2)),"")</f>
        <v/>
      </c>
      <c r="AT74" s="16" t="str" cm="1">
        <f t="array" ref="AT74">IFERROR(INDEX(_xlfn.ANCHORARRAY(_xlfn.XLOOKUP($C74,'-ref_Distribution'!$B$146:$B$150,'-ref_Distribution'!$G$146:$G$150)),RIGHT(AT$1,2)),"")</f>
        <v/>
      </c>
      <c r="AU74" s="16" t="str" cm="1">
        <f t="array" ref="AU74">IFERROR(INDEX(_xlfn.ANCHORARRAY(_xlfn.XLOOKUP($C74,'-ref_Distribution'!$B$146:$B$150,'-ref_Distribution'!$G$146:$G$150)),RIGHT(AU$1,2)),"")</f>
        <v/>
      </c>
      <c r="AV74" s="16" t="str" cm="1">
        <f t="array" ref="AV74">IFERROR(INDEX(_xlfn.ANCHORARRAY(_xlfn.XLOOKUP($C74,'-ref_Distribution'!$B$146:$B$150,'-ref_Distribution'!$G$146:$G$150)),RIGHT(AV$1,2)),"")</f>
        <v/>
      </c>
      <c r="AW74" s="16" t="str" cm="1">
        <f t="array" ref="AW74">IFERROR(INDEX(_xlfn.ANCHORARRAY(_xlfn.XLOOKUP($C74,'-ref_Distribution'!$B$146:$B$150,'-ref_Distribution'!$G$146:$G$150)),RIGHT(AW$1,2)),"")</f>
        <v/>
      </c>
      <c r="AX74" s="16" t="str" cm="1">
        <f t="array" ref="AX74">IFERROR(INDEX(_xlfn.ANCHORARRAY(_xlfn.XLOOKUP($C74,'-ref_Distribution'!$B$146:$B$150,'-ref_Distribution'!$G$146:$G$150)),RIGHT(AX$1,2)),"")</f>
        <v/>
      </c>
      <c r="AY74" s="16" t="str" cm="1">
        <f t="array" ref="AY74">IFERROR(INDEX(_xlfn.ANCHORARRAY(_xlfn.XLOOKUP($C74,'-ref_Distribution'!$B$146:$B$150,'-ref_Distribution'!$G$146:$G$150)),RIGHT(AY$1,2)),"")</f>
        <v/>
      </c>
      <c r="AZ74" s="16" t="str" cm="1">
        <f t="array" ref="AZ74">IFERROR(INDEX(_xlfn.ANCHORARRAY(_xlfn.XLOOKUP($C74,'-ref_Distribution'!$B$146:$B$150,'-ref_Distribution'!$G$146:$G$150)),RIGHT(AZ$1,2)),"")</f>
        <v/>
      </c>
      <c r="BA74" s="16" t="str" cm="1">
        <f t="array" ref="BA74">IFERROR(INDEX(_xlfn.ANCHORARRAY(_xlfn.XLOOKUP($C74,'-ref_Distribution'!$B$146:$B$150,'-ref_Distribution'!$G$146:$G$150)),RIGHT(BA$1,2)),"")</f>
        <v/>
      </c>
      <c r="BB74" s="16" t="str" cm="1">
        <f t="array" ref="BB74">IFERROR(INDEX(_xlfn.ANCHORARRAY(_xlfn.XLOOKUP($C74,'-ref_Distribution'!$B$146:$B$150,'-ref_Distribution'!$G$146:$G$150)),RIGHT(BB$1,2)),"")</f>
        <v/>
      </c>
      <c r="BC74" s="16" t="str" cm="1">
        <f t="array" ref="BC74">IFERROR(INDEX(_xlfn.ANCHORARRAY(_xlfn.XLOOKUP($C74,'-ref_Distribution'!$B$146:$B$150,'-ref_Distribution'!$G$146:$G$150)),RIGHT(BC$1,2)),"")</f>
        <v/>
      </c>
      <c r="BD74" s="16" t="str" cm="1">
        <f t="array" ref="BD74">IFERROR(INDEX(_xlfn.ANCHORARRAY(_xlfn.XLOOKUP($C74,'-ref_Distribution'!$B$146:$B$150,'-ref_Distribution'!$G$146:$G$150)),RIGHT(BD$1,2)),"")</f>
        <v/>
      </c>
      <c r="BE74" s="16" t="str" cm="1">
        <f t="array" ref="BE74">IFERROR(INDEX(_xlfn.ANCHORARRAY(_xlfn.XLOOKUP($C74,'-ref_Distribution'!$B$146:$B$150,'-ref_Distribution'!$G$146:$G$150)),RIGHT(BE$1,2)),"")</f>
        <v/>
      </c>
      <c r="BF74" s="16" t="str" cm="1">
        <f t="array" ref="BF74">IFERROR(INDEX(_xlfn.ANCHORARRAY(_xlfn.XLOOKUP($C74,'-ref_Distribution'!$B$146:$B$150,'-ref_Distribution'!$G$146:$G$150)),RIGHT(BF$1,2)),"")</f>
        <v/>
      </c>
      <c r="BG74" s="16" t="str" cm="1">
        <f t="array" ref="BG74">IFERROR(INDEX(_xlfn.ANCHORARRAY(_xlfn.XLOOKUP($C74,'-ref_Distribution'!$B$146:$B$150,'-ref_Distribution'!$G$146:$G$150)),RIGHT(BG$1,2)),"")</f>
        <v/>
      </c>
      <c r="BH74" s="16" t="str" cm="1">
        <f t="array" ref="BH74">IFERROR(INDEX(_xlfn.ANCHORARRAY(_xlfn.XLOOKUP($C74,'-ref_Distribution'!$B$146:$B$150,'-ref_Distribution'!$G$146:$G$150)),RIGHT(BH$1,2)),"")</f>
        <v/>
      </c>
      <c r="BI74" s="16" t="str" cm="1">
        <f t="array" ref="BI74">IFERROR(INDEX(_xlfn.ANCHORARRAY(_xlfn.XLOOKUP($C74,'-ref_Distribution'!$B$146:$B$150,'-ref_Distribution'!$G$146:$G$150)),RIGHT(BI$1,2)),"")</f>
        <v/>
      </c>
      <c r="BJ74" s="16" t="str" cm="1">
        <f t="array" ref="BJ74">IFERROR(INDEX(_xlfn.ANCHORARRAY(_xlfn.XLOOKUP($C74,'-ref_Distribution'!$B$146:$B$150,'-ref_Distribution'!$G$146:$G$150)),RIGHT(BJ$1,2)),"")</f>
        <v/>
      </c>
      <c r="BK74" s="16" t="str" cm="1">
        <f t="array" ref="BK74">IFERROR(INDEX(_xlfn.ANCHORARRAY(_xlfn.XLOOKUP($C74,'-ref_Distribution'!$B$146:$B$150,'-ref_Distribution'!$G$146:$G$150)),RIGHT(BK$1,2)),"")</f>
        <v/>
      </c>
      <c r="BL74" s="16" t="str" cm="1">
        <f t="array" ref="BL74">IFERROR(INDEX(_xlfn.ANCHORARRAY(_xlfn.XLOOKUP($C74,'-ref_Distribution'!$B$146:$B$150,'-ref_Distribution'!$G$146:$G$150)),RIGHT(BL$1,2)),"")</f>
        <v/>
      </c>
      <c r="BM74" s="16" t="str" cm="1">
        <f t="array" ref="BM74">IFERROR(INDEX(_xlfn.ANCHORARRAY(_xlfn.XLOOKUP($C74,'-ref_Distribution'!$B$146:$B$150,'-ref_Distribution'!$G$146:$G$150)),RIGHT(BM$1,2)),"")</f>
        <v/>
      </c>
      <c r="BN74" s="16" t="str" cm="1">
        <f t="array" ref="BN74">IFERROR(INDEX(_xlfn.ANCHORARRAY(_xlfn.XLOOKUP($C74,'-ref_Distribution'!$B$146:$B$150,'-ref_Distribution'!$G$146:$G$150)),RIGHT(BN$1,2)),"")</f>
        <v/>
      </c>
      <c r="BO74" s="16" t="str" cm="1">
        <f t="array" ref="BO74">IFERROR(INDEX(_xlfn.ANCHORARRAY(_xlfn.XLOOKUP($C74,'-ref_Distribution'!$B$146:$B$150,'-ref_Distribution'!$G$146:$G$150)),RIGHT(BO$1,2)),"")</f>
        <v/>
      </c>
      <c r="BP74" s="16" t="str" cm="1">
        <f t="array" ref="BP74">IFERROR(INDEX(_xlfn.ANCHORARRAY(_xlfn.XLOOKUP($C74,'-ref_Distribution'!$B$146:$B$150,'-ref_Distribution'!$G$146:$G$150)),RIGHT(BP$1,2)),"")</f>
        <v/>
      </c>
      <c r="BQ74" s="16" t="str" cm="1">
        <f t="array" ref="BQ74">IFERROR(INDEX(_xlfn.ANCHORARRAY(_xlfn.XLOOKUP($C74,'-ref_Distribution'!$B$146:$B$150,'-ref_Distribution'!$G$146:$G$150)),RIGHT(BQ$1,2)),"")</f>
        <v/>
      </c>
      <c r="BR74" s="16" t="str" cm="1">
        <f t="array" ref="BR74">IFERROR(INDEX(_xlfn.ANCHORARRAY(_xlfn.XLOOKUP($C74,'-ref_Distribution'!$B$146:$B$150,'-ref_Distribution'!$G$146:$G$150)),RIGHT(BR$1,2)),"")</f>
        <v/>
      </c>
      <c r="BS74" s="16" t="str" cm="1">
        <f t="array" ref="BS74">IFERROR(INDEX(_xlfn.ANCHORARRAY(_xlfn.XLOOKUP($C74,'-ref_Distribution'!$B$146:$B$150,'-ref_Distribution'!$G$146:$G$150)),RIGHT(BS$1,2)),"")</f>
        <v/>
      </c>
      <c r="BT74" s="16" t="str" cm="1">
        <f t="array" ref="BT74">IFERROR(INDEX(_xlfn.ANCHORARRAY(_xlfn.XLOOKUP($C74,'-ref_Distribution'!$B$146:$B$150,'-ref_Distribution'!$G$146:$G$150)),RIGHT(BT$1,2)),"")</f>
        <v/>
      </c>
      <c r="BU74" s="16" t="str" cm="1">
        <f t="array" ref="BU74">IFERROR(INDEX(_xlfn.ANCHORARRAY(_xlfn.XLOOKUP($C74,'-ref_Distribution'!$B$146:$B$150,'-ref_Distribution'!$G$146:$G$150)),RIGHT(BU$1,2)),"")</f>
        <v/>
      </c>
      <c r="BV74" s="16" t="str" cm="1">
        <f t="array" ref="BV74">IFERROR(INDEX(_xlfn.ANCHORARRAY(_xlfn.XLOOKUP($C74,'-ref_Distribution'!$B$146:$B$150,'-ref_Distribution'!$G$146:$G$150)),RIGHT(BV$1,2)),"")</f>
        <v/>
      </c>
      <c r="BW74" s="16" t="str" cm="1">
        <f t="array" ref="BW74">IFERROR(INDEX(_xlfn.ANCHORARRAY(_xlfn.XLOOKUP($C74,'-ref_Distribution'!$B$146:$B$150,'-ref_Distribution'!$G$146:$G$150)),RIGHT(BW$1,2)),"")</f>
        <v/>
      </c>
      <c r="BX74" s="16" t="str" cm="1">
        <f t="array" ref="BX74">IFERROR(INDEX(_xlfn.ANCHORARRAY(_xlfn.XLOOKUP($C74,'-ref_Distribution'!$B$146:$B$150,'-ref_Distribution'!$G$146:$G$150)),RIGHT(BX$1,2)),"")</f>
        <v/>
      </c>
      <c r="BY74" s="16" t="str" cm="1">
        <f t="array" ref="BY74">IFERROR(INDEX(_xlfn.ANCHORARRAY(_xlfn.XLOOKUP($C74,'-ref_Distribution'!$B$146:$B$150,'-ref_Distribution'!$G$146:$G$150)),RIGHT(BY$1,2)),"")</f>
        <v/>
      </c>
      <c r="BZ74" s="16" t="str" cm="1">
        <f t="array" ref="BZ74">IFERROR(INDEX(_xlfn.ANCHORARRAY(_xlfn.XLOOKUP($C74,'-ref_Distribution'!$B$146:$B$150,'-ref_Distribution'!$G$146:$G$150)),RIGHT(BZ$1,2)),"")</f>
        <v/>
      </c>
      <c r="CA74" s="16" t="str" cm="1">
        <f t="array" ref="CA74">IFERROR(INDEX(_xlfn.ANCHORARRAY(_xlfn.XLOOKUP($C74,'-ref_Distribution'!$B$146:$B$150,'-ref_Distribution'!$G$146:$G$150)),RIGHT(CA$1,2)),"")</f>
        <v/>
      </c>
      <c r="CB74" s="16" t="str" cm="1">
        <f t="array" ref="CB74">IFERROR(INDEX(_xlfn.ANCHORARRAY(_xlfn.XLOOKUP($C74,'-ref_Distribution'!$B$146:$B$150,'-ref_Distribution'!$G$146:$G$150)),RIGHT(CB$1,2)),"")</f>
        <v/>
      </c>
      <c r="CC74" s="16" t="str" cm="1">
        <f t="array" ref="CC74">IFERROR(INDEX(_xlfn.ANCHORARRAY(_xlfn.XLOOKUP($C74,'-ref_Distribution'!$B$146:$B$150,'-ref_Distribution'!$G$146:$G$150)),RIGHT(CC$1,2)),"")</f>
        <v/>
      </c>
      <c r="CD74" s="16" t="str" cm="1">
        <f t="array" ref="CD74">IFERROR(INDEX(_xlfn.ANCHORARRAY(_xlfn.XLOOKUP($C74,'-ref_Distribution'!$B$146:$B$150,'-ref_Distribution'!$G$146:$G$150)),RIGHT(CD$1,2)),"")</f>
        <v/>
      </c>
      <c r="CE74" s="16" t="str" cm="1">
        <f t="array" ref="CE74">IFERROR(INDEX(_xlfn.ANCHORARRAY(_xlfn.XLOOKUP($C74,'-ref_Distribution'!$B$146:$B$150,'-ref_Distribution'!$G$146:$G$150)),RIGHT(CE$1,2)),"")</f>
        <v/>
      </c>
    </row>
    <row r="75" spans="1:83" x14ac:dyDescent="0.2">
      <c r="A75" s="16">
        <v>310407</v>
      </c>
      <c r="B75" s="17" t="s">
        <v>388</v>
      </c>
      <c r="C75" s="16">
        <v>1</v>
      </c>
      <c r="D75" s="16" cm="1">
        <f t="array" ref="D75">IFERROR(INDEX(_xlfn.ANCHORARRAY(_xlfn.XLOOKUP($C75,'-ref_Distribution'!$B$146:$B$150,'-ref_Distribution'!$G$146:$G$150)),RIGHT(D$1,2)),"")</f>
        <v>337</v>
      </c>
      <c r="E75" s="16" cm="1">
        <f t="array" ref="E75">IFERROR(INDEX(_xlfn.ANCHORARRAY(_xlfn.XLOOKUP($C75,'-ref_Distribution'!$B$146:$B$150,'-ref_Distribution'!$G$146:$G$150)),RIGHT(E$1,2)),"")</f>
        <v>364</v>
      </c>
      <c r="F75" s="16" cm="1">
        <f t="array" ref="F75">IFERROR(INDEX(_xlfn.ANCHORARRAY(_xlfn.XLOOKUP($C75,'-ref_Distribution'!$B$146:$B$150,'-ref_Distribution'!$G$146:$G$150)),RIGHT(F$1,2)),"")</f>
        <v>386</v>
      </c>
      <c r="G75" s="16" cm="1">
        <f t="array" ref="G75">IFERROR(INDEX(_xlfn.ANCHORARRAY(_xlfn.XLOOKUP($C75,'-ref_Distribution'!$B$146:$B$150,'-ref_Distribution'!$G$146:$G$150)),RIGHT(G$1,2)),"")</f>
        <v>403</v>
      </c>
      <c r="H75" s="16" cm="1">
        <f t="array" ref="H75">IFERROR(INDEX(_xlfn.ANCHORARRAY(_xlfn.XLOOKUP($C75,'-ref_Distribution'!$B$146:$B$150,'-ref_Distribution'!$G$146:$G$150)),RIGHT(H$1,2)),"")</f>
        <v>414</v>
      </c>
      <c r="I75" s="16" cm="1">
        <f t="array" ref="I75">IFERROR(INDEX(_xlfn.ANCHORARRAY(_xlfn.XLOOKUP($C75,'-ref_Distribution'!$B$146:$B$150,'-ref_Distribution'!$G$146:$G$150)),RIGHT(I$1,2)),"")</f>
        <v>417</v>
      </c>
      <c r="J75" s="16" cm="1">
        <f t="array" ref="J75">IFERROR(INDEX(_xlfn.ANCHORARRAY(_xlfn.XLOOKUP($C75,'-ref_Distribution'!$B$146:$B$150,'-ref_Distribution'!$G$146:$G$150)),RIGHT(J$1,2)),"")</f>
        <v>414</v>
      </c>
      <c r="K75" s="16" cm="1">
        <f t="array" ref="K75">IFERROR(INDEX(_xlfn.ANCHORARRAY(_xlfn.XLOOKUP($C75,'-ref_Distribution'!$B$146:$B$150,'-ref_Distribution'!$G$146:$G$150)),RIGHT(K$1,2)),"")</f>
        <v>403</v>
      </c>
      <c r="L75" s="16" cm="1">
        <f t="array" ref="L75">IFERROR(INDEX(_xlfn.ANCHORARRAY(_xlfn.XLOOKUP($C75,'-ref_Distribution'!$B$146:$B$150,'-ref_Distribution'!$G$146:$G$150)),RIGHT(L$1,2)),"")</f>
        <v>386</v>
      </c>
      <c r="M75" s="16" cm="1">
        <f t="array" ref="M75">IFERROR(INDEX(_xlfn.ANCHORARRAY(_xlfn.XLOOKUP($C75,'-ref_Distribution'!$B$146:$B$150,'-ref_Distribution'!$G$146:$G$150)),RIGHT(M$1,2)),"")</f>
        <v>364</v>
      </c>
      <c r="N75" s="16" cm="1">
        <f t="array" ref="N75">IFERROR(INDEX(_xlfn.ANCHORARRAY(_xlfn.XLOOKUP($C75,'-ref_Distribution'!$B$146:$B$150,'-ref_Distribution'!$G$146:$G$150)),RIGHT(N$1,2)),"")</f>
        <v>337</v>
      </c>
      <c r="O75" s="16" cm="1">
        <f t="array" ref="O75">IFERROR(INDEX(_xlfn.ANCHORARRAY(_xlfn.XLOOKUP($C75,'-ref_Distribution'!$B$146:$B$150,'-ref_Distribution'!$G$146:$G$150)),RIGHT(O$1,2)),"")</f>
        <v>307</v>
      </c>
      <c r="P75" s="16" cm="1">
        <f t="array" ref="P75">IFERROR(INDEX(_xlfn.ANCHORARRAY(_xlfn.XLOOKUP($C75,'-ref_Distribution'!$B$146:$B$150,'-ref_Distribution'!$G$146:$G$150)),RIGHT(P$1,2)),"")</f>
        <v>274</v>
      </c>
      <c r="Q75" s="16" cm="1">
        <f t="array" ref="Q75">IFERROR(INDEX(_xlfn.ANCHORARRAY(_xlfn.XLOOKUP($C75,'-ref_Distribution'!$B$146:$B$150,'-ref_Distribution'!$G$146:$G$150)),RIGHT(Q$1,2)),"")</f>
        <v>241</v>
      </c>
      <c r="R75" s="16" cm="1">
        <f t="array" ref="R75">IFERROR(INDEX(_xlfn.ANCHORARRAY(_xlfn.XLOOKUP($C75,'-ref_Distribution'!$B$146:$B$150,'-ref_Distribution'!$G$146:$G$150)),RIGHT(R$1,2)),"")</f>
        <v>209</v>
      </c>
      <c r="S75" s="16" cm="1">
        <f t="array" ref="S75">IFERROR(INDEX(_xlfn.ANCHORARRAY(_xlfn.XLOOKUP($C75,'-ref_Distribution'!$B$146:$B$150,'-ref_Distribution'!$G$146:$G$150)),RIGHT(S$1,2)),"")</f>
        <v>178</v>
      </c>
      <c r="T75" s="16" cm="1">
        <f t="array" ref="T75">IFERROR(INDEX(_xlfn.ANCHORARRAY(_xlfn.XLOOKUP($C75,'-ref_Distribution'!$B$146:$B$150,'-ref_Distribution'!$G$146:$G$150)),RIGHT(T$1,2)),"")</f>
        <v>148</v>
      </c>
      <c r="U75" s="16" cm="1">
        <f t="array" ref="U75">IFERROR(INDEX(_xlfn.ANCHORARRAY(_xlfn.XLOOKUP($C75,'-ref_Distribution'!$B$146:$B$150,'-ref_Distribution'!$G$146:$G$150)),RIGHT(U$1,2)),"")</f>
        <v>122</v>
      </c>
      <c r="V75" s="16" cm="1">
        <f t="array" ref="V75">IFERROR(INDEX(_xlfn.ANCHORARRAY(_xlfn.XLOOKUP($C75,'-ref_Distribution'!$B$146:$B$150,'-ref_Distribution'!$G$146:$G$150)),RIGHT(V$1,2)),"")</f>
        <v>98</v>
      </c>
      <c r="W75" s="16" cm="1">
        <f t="array" ref="W75">IFERROR(INDEX(_xlfn.ANCHORARRAY(_xlfn.XLOOKUP($C75,'-ref_Distribution'!$B$146:$B$150,'-ref_Distribution'!$G$146:$G$150)),RIGHT(W$1,2)),"")</f>
        <v>78</v>
      </c>
      <c r="X75" s="16" cm="1">
        <f t="array" ref="X75">IFERROR(INDEX(_xlfn.ANCHORARRAY(_xlfn.XLOOKUP($C75,'-ref_Distribution'!$B$146:$B$150,'-ref_Distribution'!$G$146:$G$150)),RIGHT(X$1,2)),"")</f>
        <v>337</v>
      </c>
      <c r="Y75" s="16" cm="1">
        <f t="array" ref="Y75">IFERROR(INDEX(_xlfn.ANCHORARRAY(_xlfn.XLOOKUP($C75,'-ref_Distribution'!$B$146:$B$150,'-ref_Distribution'!$G$146:$G$150)),RIGHT(Y$1,2)),"")</f>
        <v>364</v>
      </c>
      <c r="Z75" s="16" cm="1">
        <f t="array" ref="Z75">IFERROR(INDEX(_xlfn.ANCHORARRAY(_xlfn.XLOOKUP($C75,'-ref_Distribution'!$B$146:$B$150,'-ref_Distribution'!$G$146:$G$150)),RIGHT(Z$1,2)),"")</f>
        <v>386</v>
      </c>
      <c r="AA75" s="16" cm="1">
        <f t="array" ref="AA75">IFERROR(INDEX(_xlfn.ANCHORARRAY(_xlfn.XLOOKUP($C75,'-ref_Distribution'!$B$146:$B$150,'-ref_Distribution'!$G$146:$G$150)),RIGHT(AA$1,2)),"")</f>
        <v>403</v>
      </c>
      <c r="AB75" s="16" cm="1">
        <f t="array" ref="AB75">IFERROR(INDEX(_xlfn.ANCHORARRAY(_xlfn.XLOOKUP($C75,'-ref_Distribution'!$B$146:$B$150,'-ref_Distribution'!$G$146:$G$150)),RIGHT(AB$1,2)),"")</f>
        <v>414</v>
      </c>
      <c r="AC75" s="16" cm="1">
        <f t="array" ref="AC75">IFERROR(INDEX(_xlfn.ANCHORARRAY(_xlfn.XLOOKUP($C75,'-ref_Distribution'!$B$146:$B$150,'-ref_Distribution'!$G$146:$G$150)),RIGHT(AC$1,2)),"")</f>
        <v>417</v>
      </c>
      <c r="AD75" s="16" cm="1">
        <f t="array" ref="AD75">IFERROR(INDEX(_xlfn.ANCHORARRAY(_xlfn.XLOOKUP($C75,'-ref_Distribution'!$B$146:$B$150,'-ref_Distribution'!$G$146:$G$150)),RIGHT(AD$1,2)),"")</f>
        <v>414</v>
      </c>
      <c r="AE75" s="16" cm="1">
        <f t="array" ref="AE75">IFERROR(INDEX(_xlfn.ANCHORARRAY(_xlfn.XLOOKUP($C75,'-ref_Distribution'!$B$146:$B$150,'-ref_Distribution'!$G$146:$G$150)),RIGHT(AE$1,2)),"")</f>
        <v>403</v>
      </c>
      <c r="AF75" s="16" cm="1">
        <f t="array" ref="AF75">IFERROR(INDEX(_xlfn.ANCHORARRAY(_xlfn.XLOOKUP($C75,'-ref_Distribution'!$B$146:$B$150,'-ref_Distribution'!$G$146:$G$150)),RIGHT(AF$1,2)),"")</f>
        <v>386</v>
      </c>
      <c r="AG75" s="16" cm="1">
        <f t="array" ref="AG75">IFERROR(INDEX(_xlfn.ANCHORARRAY(_xlfn.XLOOKUP($C75,'-ref_Distribution'!$B$146:$B$150,'-ref_Distribution'!$G$146:$G$150)),RIGHT(AG$1,2)),"")</f>
        <v>364</v>
      </c>
      <c r="AH75" s="16" cm="1">
        <f t="array" ref="AH75">IFERROR(INDEX(_xlfn.ANCHORARRAY(_xlfn.XLOOKUP($C75,'-ref_Distribution'!$B$146:$B$150,'-ref_Distribution'!$G$146:$G$150)),RIGHT(AH$1,2)),"")</f>
        <v>337</v>
      </c>
      <c r="AI75" s="16" cm="1">
        <f t="array" ref="AI75">IFERROR(INDEX(_xlfn.ANCHORARRAY(_xlfn.XLOOKUP($C75,'-ref_Distribution'!$B$146:$B$150,'-ref_Distribution'!$G$146:$G$150)),RIGHT(AI$1,2)),"")</f>
        <v>307</v>
      </c>
      <c r="AJ75" s="16" cm="1">
        <f t="array" ref="AJ75">IFERROR(INDEX(_xlfn.ANCHORARRAY(_xlfn.XLOOKUP($C75,'-ref_Distribution'!$B$146:$B$150,'-ref_Distribution'!$G$146:$G$150)),RIGHT(AJ$1,2)),"")</f>
        <v>274</v>
      </c>
      <c r="AK75" s="16" cm="1">
        <f t="array" ref="AK75">IFERROR(INDEX(_xlfn.ANCHORARRAY(_xlfn.XLOOKUP($C75,'-ref_Distribution'!$B$146:$B$150,'-ref_Distribution'!$G$146:$G$150)),RIGHT(AK$1,2)),"")</f>
        <v>241</v>
      </c>
      <c r="AL75" s="16" cm="1">
        <f t="array" ref="AL75">IFERROR(INDEX(_xlfn.ANCHORARRAY(_xlfn.XLOOKUP($C75,'-ref_Distribution'!$B$146:$B$150,'-ref_Distribution'!$G$146:$G$150)),RIGHT(AL$1,2)),"")</f>
        <v>209</v>
      </c>
      <c r="AM75" s="16" cm="1">
        <f t="array" ref="AM75">IFERROR(INDEX(_xlfn.ANCHORARRAY(_xlfn.XLOOKUP($C75,'-ref_Distribution'!$B$146:$B$150,'-ref_Distribution'!$G$146:$G$150)),RIGHT(AM$1,2)),"")</f>
        <v>178</v>
      </c>
      <c r="AN75" s="16" cm="1">
        <f t="array" ref="AN75">IFERROR(INDEX(_xlfn.ANCHORARRAY(_xlfn.XLOOKUP($C75,'-ref_Distribution'!$B$146:$B$150,'-ref_Distribution'!$G$146:$G$150)),RIGHT(AN$1,2)),"")</f>
        <v>148</v>
      </c>
      <c r="AO75" s="16" cm="1">
        <f t="array" ref="AO75">IFERROR(INDEX(_xlfn.ANCHORARRAY(_xlfn.XLOOKUP($C75,'-ref_Distribution'!$B$146:$B$150,'-ref_Distribution'!$G$146:$G$150)),RIGHT(AO$1,2)),"")</f>
        <v>122</v>
      </c>
      <c r="AP75" s="16" cm="1">
        <f t="array" ref="AP75">IFERROR(INDEX(_xlfn.ANCHORARRAY(_xlfn.XLOOKUP($C75,'-ref_Distribution'!$B$146:$B$150,'-ref_Distribution'!$G$146:$G$150)),RIGHT(AP$1,2)),"")</f>
        <v>98</v>
      </c>
      <c r="AQ75" s="16" cm="1">
        <f t="array" ref="AQ75">IFERROR(INDEX(_xlfn.ANCHORARRAY(_xlfn.XLOOKUP($C75,'-ref_Distribution'!$B$146:$B$150,'-ref_Distribution'!$G$146:$G$150)),RIGHT(AQ$1,2)),"")</f>
        <v>78</v>
      </c>
      <c r="AR75" s="16" cm="1">
        <f t="array" ref="AR75">IFERROR(INDEX(_xlfn.ANCHORARRAY(_xlfn.XLOOKUP($C75,'-ref_Distribution'!$B$146:$B$150,'-ref_Distribution'!$G$146:$G$150)),RIGHT(AR$1,2)),"")</f>
        <v>337</v>
      </c>
      <c r="AS75" s="16" cm="1">
        <f t="array" ref="AS75">IFERROR(INDEX(_xlfn.ANCHORARRAY(_xlfn.XLOOKUP($C75,'-ref_Distribution'!$B$146:$B$150,'-ref_Distribution'!$G$146:$G$150)),RIGHT(AS$1,2)),"")</f>
        <v>364</v>
      </c>
      <c r="AT75" s="16" cm="1">
        <f t="array" ref="AT75">IFERROR(INDEX(_xlfn.ANCHORARRAY(_xlfn.XLOOKUP($C75,'-ref_Distribution'!$B$146:$B$150,'-ref_Distribution'!$G$146:$G$150)),RIGHT(AT$1,2)),"")</f>
        <v>386</v>
      </c>
      <c r="AU75" s="16" cm="1">
        <f t="array" ref="AU75">IFERROR(INDEX(_xlfn.ANCHORARRAY(_xlfn.XLOOKUP($C75,'-ref_Distribution'!$B$146:$B$150,'-ref_Distribution'!$G$146:$G$150)),RIGHT(AU$1,2)),"")</f>
        <v>403</v>
      </c>
      <c r="AV75" s="16" cm="1">
        <f t="array" ref="AV75">IFERROR(INDEX(_xlfn.ANCHORARRAY(_xlfn.XLOOKUP($C75,'-ref_Distribution'!$B$146:$B$150,'-ref_Distribution'!$G$146:$G$150)),RIGHT(AV$1,2)),"")</f>
        <v>414</v>
      </c>
      <c r="AW75" s="16" cm="1">
        <f t="array" ref="AW75">IFERROR(INDEX(_xlfn.ANCHORARRAY(_xlfn.XLOOKUP($C75,'-ref_Distribution'!$B$146:$B$150,'-ref_Distribution'!$G$146:$G$150)),RIGHT(AW$1,2)),"")</f>
        <v>417</v>
      </c>
      <c r="AX75" s="16" cm="1">
        <f t="array" ref="AX75">IFERROR(INDEX(_xlfn.ANCHORARRAY(_xlfn.XLOOKUP($C75,'-ref_Distribution'!$B$146:$B$150,'-ref_Distribution'!$G$146:$G$150)),RIGHT(AX$1,2)),"")</f>
        <v>414</v>
      </c>
      <c r="AY75" s="16" cm="1">
        <f t="array" ref="AY75">IFERROR(INDEX(_xlfn.ANCHORARRAY(_xlfn.XLOOKUP($C75,'-ref_Distribution'!$B$146:$B$150,'-ref_Distribution'!$G$146:$G$150)),RIGHT(AY$1,2)),"")</f>
        <v>403</v>
      </c>
      <c r="AZ75" s="16" cm="1">
        <f t="array" ref="AZ75">IFERROR(INDEX(_xlfn.ANCHORARRAY(_xlfn.XLOOKUP($C75,'-ref_Distribution'!$B$146:$B$150,'-ref_Distribution'!$G$146:$G$150)),RIGHT(AZ$1,2)),"")</f>
        <v>386</v>
      </c>
      <c r="BA75" s="16" cm="1">
        <f t="array" ref="BA75">IFERROR(INDEX(_xlfn.ANCHORARRAY(_xlfn.XLOOKUP($C75,'-ref_Distribution'!$B$146:$B$150,'-ref_Distribution'!$G$146:$G$150)),RIGHT(BA$1,2)),"")</f>
        <v>364</v>
      </c>
      <c r="BB75" s="16" cm="1">
        <f t="array" ref="BB75">IFERROR(INDEX(_xlfn.ANCHORARRAY(_xlfn.XLOOKUP($C75,'-ref_Distribution'!$B$146:$B$150,'-ref_Distribution'!$G$146:$G$150)),RIGHT(BB$1,2)),"")</f>
        <v>337</v>
      </c>
      <c r="BC75" s="16" cm="1">
        <f t="array" ref="BC75">IFERROR(INDEX(_xlfn.ANCHORARRAY(_xlfn.XLOOKUP($C75,'-ref_Distribution'!$B$146:$B$150,'-ref_Distribution'!$G$146:$G$150)),RIGHT(BC$1,2)),"")</f>
        <v>307</v>
      </c>
      <c r="BD75" s="16" cm="1">
        <f t="array" ref="BD75">IFERROR(INDEX(_xlfn.ANCHORARRAY(_xlfn.XLOOKUP($C75,'-ref_Distribution'!$B$146:$B$150,'-ref_Distribution'!$G$146:$G$150)),RIGHT(BD$1,2)),"")</f>
        <v>274</v>
      </c>
      <c r="BE75" s="16" cm="1">
        <f t="array" ref="BE75">IFERROR(INDEX(_xlfn.ANCHORARRAY(_xlfn.XLOOKUP($C75,'-ref_Distribution'!$B$146:$B$150,'-ref_Distribution'!$G$146:$G$150)),RIGHT(BE$1,2)),"")</f>
        <v>241</v>
      </c>
      <c r="BF75" s="16" cm="1">
        <f t="array" ref="BF75">IFERROR(INDEX(_xlfn.ANCHORARRAY(_xlfn.XLOOKUP($C75,'-ref_Distribution'!$B$146:$B$150,'-ref_Distribution'!$G$146:$G$150)),RIGHT(BF$1,2)),"")</f>
        <v>209</v>
      </c>
      <c r="BG75" s="16" cm="1">
        <f t="array" ref="BG75">IFERROR(INDEX(_xlfn.ANCHORARRAY(_xlfn.XLOOKUP($C75,'-ref_Distribution'!$B$146:$B$150,'-ref_Distribution'!$G$146:$G$150)),RIGHT(BG$1,2)),"")</f>
        <v>178</v>
      </c>
      <c r="BH75" s="16" cm="1">
        <f t="array" ref="BH75">IFERROR(INDEX(_xlfn.ANCHORARRAY(_xlfn.XLOOKUP($C75,'-ref_Distribution'!$B$146:$B$150,'-ref_Distribution'!$G$146:$G$150)),RIGHT(BH$1,2)),"")</f>
        <v>148</v>
      </c>
      <c r="BI75" s="16" cm="1">
        <f t="array" ref="BI75">IFERROR(INDEX(_xlfn.ANCHORARRAY(_xlfn.XLOOKUP($C75,'-ref_Distribution'!$B$146:$B$150,'-ref_Distribution'!$G$146:$G$150)),RIGHT(BI$1,2)),"")</f>
        <v>122</v>
      </c>
      <c r="BJ75" s="16" cm="1">
        <f t="array" ref="BJ75">IFERROR(INDEX(_xlfn.ANCHORARRAY(_xlfn.XLOOKUP($C75,'-ref_Distribution'!$B$146:$B$150,'-ref_Distribution'!$G$146:$G$150)),RIGHT(BJ$1,2)),"")</f>
        <v>98</v>
      </c>
      <c r="BK75" s="16" cm="1">
        <f t="array" ref="BK75">IFERROR(INDEX(_xlfn.ANCHORARRAY(_xlfn.XLOOKUP($C75,'-ref_Distribution'!$B$146:$B$150,'-ref_Distribution'!$G$146:$G$150)),RIGHT(BK$1,2)),"")</f>
        <v>78</v>
      </c>
      <c r="BL75" s="16" cm="1">
        <f t="array" ref="BL75">IFERROR(INDEX(_xlfn.ANCHORARRAY(_xlfn.XLOOKUP($C75,'-ref_Distribution'!$B$146:$B$150,'-ref_Distribution'!$G$146:$G$150)),RIGHT(BL$1,2)),"")</f>
        <v>337</v>
      </c>
      <c r="BM75" s="16" cm="1">
        <f t="array" ref="BM75">IFERROR(INDEX(_xlfn.ANCHORARRAY(_xlfn.XLOOKUP($C75,'-ref_Distribution'!$B$146:$B$150,'-ref_Distribution'!$G$146:$G$150)),RIGHT(BM$1,2)),"")</f>
        <v>364</v>
      </c>
      <c r="BN75" s="16" cm="1">
        <f t="array" ref="BN75">IFERROR(INDEX(_xlfn.ANCHORARRAY(_xlfn.XLOOKUP($C75,'-ref_Distribution'!$B$146:$B$150,'-ref_Distribution'!$G$146:$G$150)),RIGHT(BN$1,2)),"")</f>
        <v>386</v>
      </c>
      <c r="BO75" s="16" cm="1">
        <f t="array" ref="BO75">IFERROR(INDEX(_xlfn.ANCHORARRAY(_xlfn.XLOOKUP($C75,'-ref_Distribution'!$B$146:$B$150,'-ref_Distribution'!$G$146:$G$150)),RIGHT(BO$1,2)),"")</f>
        <v>403</v>
      </c>
      <c r="BP75" s="16" cm="1">
        <f t="array" ref="BP75">IFERROR(INDEX(_xlfn.ANCHORARRAY(_xlfn.XLOOKUP($C75,'-ref_Distribution'!$B$146:$B$150,'-ref_Distribution'!$G$146:$G$150)),RIGHT(BP$1,2)),"")</f>
        <v>414</v>
      </c>
      <c r="BQ75" s="16" cm="1">
        <f t="array" ref="BQ75">IFERROR(INDEX(_xlfn.ANCHORARRAY(_xlfn.XLOOKUP($C75,'-ref_Distribution'!$B$146:$B$150,'-ref_Distribution'!$G$146:$G$150)),RIGHT(BQ$1,2)),"")</f>
        <v>417</v>
      </c>
      <c r="BR75" s="16" cm="1">
        <f t="array" ref="BR75">IFERROR(INDEX(_xlfn.ANCHORARRAY(_xlfn.XLOOKUP($C75,'-ref_Distribution'!$B$146:$B$150,'-ref_Distribution'!$G$146:$G$150)),RIGHT(BR$1,2)),"")</f>
        <v>414</v>
      </c>
      <c r="BS75" s="16" cm="1">
        <f t="array" ref="BS75">IFERROR(INDEX(_xlfn.ANCHORARRAY(_xlfn.XLOOKUP($C75,'-ref_Distribution'!$B$146:$B$150,'-ref_Distribution'!$G$146:$G$150)),RIGHT(BS$1,2)),"")</f>
        <v>403</v>
      </c>
      <c r="BT75" s="16" cm="1">
        <f t="array" ref="BT75">IFERROR(INDEX(_xlfn.ANCHORARRAY(_xlfn.XLOOKUP($C75,'-ref_Distribution'!$B$146:$B$150,'-ref_Distribution'!$G$146:$G$150)),RIGHT(BT$1,2)),"")</f>
        <v>386</v>
      </c>
      <c r="BU75" s="16" cm="1">
        <f t="array" ref="BU75">IFERROR(INDEX(_xlfn.ANCHORARRAY(_xlfn.XLOOKUP($C75,'-ref_Distribution'!$B$146:$B$150,'-ref_Distribution'!$G$146:$G$150)),RIGHT(BU$1,2)),"")</f>
        <v>364</v>
      </c>
      <c r="BV75" s="16" cm="1">
        <f t="array" ref="BV75">IFERROR(INDEX(_xlfn.ANCHORARRAY(_xlfn.XLOOKUP($C75,'-ref_Distribution'!$B$146:$B$150,'-ref_Distribution'!$G$146:$G$150)),RIGHT(BV$1,2)),"")</f>
        <v>337</v>
      </c>
      <c r="BW75" s="16" cm="1">
        <f t="array" ref="BW75">IFERROR(INDEX(_xlfn.ANCHORARRAY(_xlfn.XLOOKUP($C75,'-ref_Distribution'!$B$146:$B$150,'-ref_Distribution'!$G$146:$G$150)),RIGHT(BW$1,2)),"")</f>
        <v>307</v>
      </c>
      <c r="BX75" s="16" cm="1">
        <f t="array" ref="BX75">IFERROR(INDEX(_xlfn.ANCHORARRAY(_xlfn.XLOOKUP($C75,'-ref_Distribution'!$B$146:$B$150,'-ref_Distribution'!$G$146:$G$150)),RIGHT(BX$1,2)),"")</f>
        <v>274</v>
      </c>
      <c r="BY75" s="16" cm="1">
        <f t="array" ref="BY75">IFERROR(INDEX(_xlfn.ANCHORARRAY(_xlfn.XLOOKUP($C75,'-ref_Distribution'!$B$146:$B$150,'-ref_Distribution'!$G$146:$G$150)),RIGHT(BY$1,2)),"")</f>
        <v>241</v>
      </c>
      <c r="BZ75" s="16" cm="1">
        <f t="array" ref="BZ75">IFERROR(INDEX(_xlfn.ANCHORARRAY(_xlfn.XLOOKUP($C75,'-ref_Distribution'!$B$146:$B$150,'-ref_Distribution'!$G$146:$G$150)),RIGHT(BZ$1,2)),"")</f>
        <v>209</v>
      </c>
      <c r="CA75" s="16" cm="1">
        <f t="array" ref="CA75">IFERROR(INDEX(_xlfn.ANCHORARRAY(_xlfn.XLOOKUP($C75,'-ref_Distribution'!$B$146:$B$150,'-ref_Distribution'!$G$146:$G$150)),RIGHT(CA$1,2)),"")</f>
        <v>178</v>
      </c>
      <c r="CB75" s="16" cm="1">
        <f t="array" ref="CB75">IFERROR(INDEX(_xlfn.ANCHORARRAY(_xlfn.XLOOKUP($C75,'-ref_Distribution'!$B$146:$B$150,'-ref_Distribution'!$G$146:$G$150)),RIGHT(CB$1,2)),"")</f>
        <v>148</v>
      </c>
      <c r="CC75" s="16" cm="1">
        <f t="array" ref="CC75">IFERROR(INDEX(_xlfn.ANCHORARRAY(_xlfn.XLOOKUP($C75,'-ref_Distribution'!$B$146:$B$150,'-ref_Distribution'!$G$146:$G$150)),RIGHT(CC$1,2)),"")</f>
        <v>122</v>
      </c>
      <c r="CD75" s="16" cm="1">
        <f t="array" ref="CD75">IFERROR(INDEX(_xlfn.ANCHORARRAY(_xlfn.XLOOKUP($C75,'-ref_Distribution'!$B$146:$B$150,'-ref_Distribution'!$G$146:$G$150)),RIGHT(CD$1,2)),"")</f>
        <v>98</v>
      </c>
      <c r="CE75" s="16" cm="1">
        <f t="array" ref="CE75">IFERROR(INDEX(_xlfn.ANCHORARRAY(_xlfn.XLOOKUP($C75,'-ref_Distribution'!$B$146:$B$150,'-ref_Distribution'!$G$146:$G$150)),RIGHT(CE$1,2)),"")</f>
        <v>78</v>
      </c>
    </row>
    <row r="76" spans="1:83" x14ac:dyDescent="0.2">
      <c r="A76" s="16">
        <v>310408</v>
      </c>
      <c r="B76" s="17" t="s">
        <v>389</v>
      </c>
      <c r="C76" s="16">
        <v>2</v>
      </c>
      <c r="D76" s="16" cm="1">
        <f t="array" ref="D76">IFERROR(INDEX(_xlfn.ANCHORARRAY(_xlfn.XLOOKUP($C76,'-ref_Distribution'!$B$146:$B$150,'-ref_Distribution'!$G$146:$G$150)),RIGHT(D$1,2)),"")</f>
        <v>75</v>
      </c>
      <c r="E76" s="16" cm="1">
        <f t="array" ref="E76">IFERROR(INDEX(_xlfn.ANCHORARRAY(_xlfn.XLOOKUP($C76,'-ref_Distribution'!$B$146:$B$150,'-ref_Distribution'!$G$146:$G$150)),RIGHT(E$1,2)),"")</f>
        <v>94</v>
      </c>
      <c r="F76" s="16" cm="1">
        <f t="array" ref="F76">IFERROR(INDEX(_xlfn.ANCHORARRAY(_xlfn.XLOOKUP($C76,'-ref_Distribution'!$B$146:$B$150,'-ref_Distribution'!$G$146:$G$150)),RIGHT(F$1,2)),"")</f>
        <v>115</v>
      </c>
      <c r="G76" s="16" cm="1">
        <f t="array" ref="G76">IFERROR(INDEX(_xlfn.ANCHORARRAY(_xlfn.XLOOKUP($C76,'-ref_Distribution'!$B$146:$B$150,'-ref_Distribution'!$G$146:$G$150)),RIGHT(G$1,2)),"")</f>
        <v>137</v>
      </c>
      <c r="H76" s="16" cm="1">
        <f t="array" ref="H76">IFERROR(INDEX(_xlfn.ANCHORARRAY(_xlfn.XLOOKUP($C76,'-ref_Distribution'!$B$146:$B$150,'-ref_Distribution'!$G$146:$G$150)),RIGHT(H$1,2)),"")</f>
        <v>160</v>
      </c>
      <c r="I76" s="16" cm="1">
        <f t="array" ref="I76">IFERROR(INDEX(_xlfn.ANCHORARRAY(_xlfn.XLOOKUP($C76,'-ref_Distribution'!$B$146:$B$150,'-ref_Distribution'!$G$146:$G$150)),RIGHT(I$1,2)),"")</f>
        <v>183</v>
      </c>
      <c r="J76" s="16" cm="1">
        <f t="array" ref="J76">IFERROR(INDEX(_xlfn.ANCHORARRAY(_xlfn.XLOOKUP($C76,'-ref_Distribution'!$B$146:$B$150,'-ref_Distribution'!$G$146:$G$150)),RIGHT(J$1,2)),"")</f>
        <v>203</v>
      </c>
      <c r="K76" s="16" cm="1">
        <f t="array" ref="K76">IFERROR(INDEX(_xlfn.ANCHORARRAY(_xlfn.XLOOKUP($C76,'-ref_Distribution'!$B$146:$B$150,'-ref_Distribution'!$G$146:$G$150)),RIGHT(K$1,2)),"")</f>
        <v>221</v>
      </c>
      <c r="L76" s="16" cm="1">
        <f t="array" ref="L76">IFERROR(INDEX(_xlfn.ANCHORARRAY(_xlfn.XLOOKUP($C76,'-ref_Distribution'!$B$146:$B$150,'-ref_Distribution'!$G$146:$G$150)),RIGHT(L$1,2)),"")</f>
        <v>234</v>
      </c>
      <c r="M76" s="16" cm="1">
        <f t="array" ref="M76">IFERROR(INDEX(_xlfn.ANCHORARRAY(_xlfn.XLOOKUP($C76,'-ref_Distribution'!$B$146:$B$150,'-ref_Distribution'!$G$146:$G$150)),RIGHT(M$1,2)),"")</f>
        <v>243</v>
      </c>
      <c r="N76" s="16" cm="1">
        <f t="array" ref="N76">IFERROR(INDEX(_xlfn.ANCHORARRAY(_xlfn.XLOOKUP($C76,'-ref_Distribution'!$B$146:$B$150,'-ref_Distribution'!$G$146:$G$150)),RIGHT(N$1,2)),"")</f>
        <v>245</v>
      </c>
      <c r="O76" s="16" cm="1">
        <f t="array" ref="O76">IFERROR(INDEX(_xlfn.ANCHORARRAY(_xlfn.XLOOKUP($C76,'-ref_Distribution'!$B$146:$B$150,'-ref_Distribution'!$G$146:$G$150)),RIGHT(O$1,2)),"")</f>
        <v>243</v>
      </c>
      <c r="P76" s="16" cm="1">
        <f t="array" ref="P76">IFERROR(INDEX(_xlfn.ANCHORARRAY(_xlfn.XLOOKUP($C76,'-ref_Distribution'!$B$146:$B$150,'-ref_Distribution'!$G$146:$G$150)),RIGHT(P$1,2)),"")</f>
        <v>234</v>
      </c>
      <c r="Q76" s="16" cm="1">
        <f t="array" ref="Q76">IFERROR(INDEX(_xlfn.ANCHORARRAY(_xlfn.XLOOKUP($C76,'-ref_Distribution'!$B$146:$B$150,'-ref_Distribution'!$G$146:$G$150)),RIGHT(Q$1,2)),"")</f>
        <v>221</v>
      </c>
      <c r="R76" s="16" cm="1">
        <f t="array" ref="R76">IFERROR(INDEX(_xlfn.ANCHORARRAY(_xlfn.XLOOKUP($C76,'-ref_Distribution'!$B$146:$B$150,'-ref_Distribution'!$G$146:$G$150)),RIGHT(R$1,2)),"")</f>
        <v>203</v>
      </c>
      <c r="S76" s="16" cm="1">
        <f t="array" ref="S76">IFERROR(INDEX(_xlfn.ANCHORARRAY(_xlfn.XLOOKUP($C76,'-ref_Distribution'!$B$146:$B$150,'-ref_Distribution'!$G$146:$G$150)),RIGHT(S$1,2)),"")</f>
        <v>183</v>
      </c>
      <c r="T76" s="16" cm="1">
        <f t="array" ref="T76">IFERROR(INDEX(_xlfn.ANCHORARRAY(_xlfn.XLOOKUP($C76,'-ref_Distribution'!$B$146:$B$150,'-ref_Distribution'!$G$146:$G$150)),RIGHT(T$1,2)),"")</f>
        <v>160</v>
      </c>
      <c r="U76" s="16" cm="1">
        <f t="array" ref="U76">IFERROR(INDEX(_xlfn.ANCHORARRAY(_xlfn.XLOOKUP($C76,'-ref_Distribution'!$B$146:$B$150,'-ref_Distribution'!$G$146:$G$150)),RIGHT(U$1,2)),"")</f>
        <v>137</v>
      </c>
      <c r="V76" s="16" cm="1">
        <f t="array" ref="V76">IFERROR(INDEX(_xlfn.ANCHORARRAY(_xlfn.XLOOKUP($C76,'-ref_Distribution'!$B$146:$B$150,'-ref_Distribution'!$G$146:$G$150)),RIGHT(V$1,2)),"")</f>
        <v>115</v>
      </c>
      <c r="W76" s="16" cm="1">
        <f t="array" ref="W76">IFERROR(INDEX(_xlfn.ANCHORARRAY(_xlfn.XLOOKUP($C76,'-ref_Distribution'!$B$146:$B$150,'-ref_Distribution'!$G$146:$G$150)),RIGHT(W$1,2)),"")</f>
        <v>94</v>
      </c>
      <c r="X76" s="16" cm="1">
        <f t="array" ref="X76">IFERROR(INDEX(_xlfn.ANCHORARRAY(_xlfn.XLOOKUP($C76,'-ref_Distribution'!$B$146:$B$150,'-ref_Distribution'!$G$146:$G$150)),RIGHT(X$1,2)),"")</f>
        <v>75</v>
      </c>
      <c r="Y76" s="16" cm="1">
        <f t="array" ref="Y76">IFERROR(INDEX(_xlfn.ANCHORARRAY(_xlfn.XLOOKUP($C76,'-ref_Distribution'!$B$146:$B$150,'-ref_Distribution'!$G$146:$G$150)),RIGHT(Y$1,2)),"")</f>
        <v>94</v>
      </c>
      <c r="Z76" s="16" cm="1">
        <f t="array" ref="Z76">IFERROR(INDEX(_xlfn.ANCHORARRAY(_xlfn.XLOOKUP($C76,'-ref_Distribution'!$B$146:$B$150,'-ref_Distribution'!$G$146:$G$150)),RIGHT(Z$1,2)),"")</f>
        <v>115</v>
      </c>
      <c r="AA76" s="16" cm="1">
        <f t="array" ref="AA76">IFERROR(INDEX(_xlfn.ANCHORARRAY(_xlfn.XLOOKUP($C76,'-ref_Distribution'!$B$146:$B$150,'-ref_Distribution'!$G$146:$G$150)),RIGHT(AA$1,2)),"")</f>
        <v>137</v>
      </c>
      <c r="AB76" s="16" cm="1">
        <f t="array" ref="AB76">IFERROR(INDEX(_xlfn.ANCHORARRAY(_xlfn.XLOOKUP($C76,'-ref_Distribution'!$B$146:$B$150,'-ref_Distribution'!$G$146:$G$150)),RIGHT(AB$1,2)),"")</f>
        <v>160</v>
      </c>
      <c r="AC76" s="16" cm="1">
        <f t="array" ref="AC76">IFERROR(INDEX(_xlfn.ANCHORARRAY(_xlfn.XLOOKUP($C76,'-ref_Distribution'!$B$146:$B$150,'-ref_Distribution'!$G$146:$G$150)),RIGHT(AC$1,2)),"")</f>
        <v>183</v>
      </c>
      <c r="AD76" s="16" cm="1">
        <f t="array" ref="AD76">IFERROR(INDEX(_xlfn.ANCHORARRAY(_xlfn.XLOOKUP($C76,'-ref_Distribution'!$B$146:$B$150,'-ref_Distribution'!$G$146:$G$150)),RIGHT(AD$1,2)),"")</f>
        <v>203</v>
      </c>
      <c r="AE76" s="16" cm="1">
        <f t="array" ref="AE76">IFERROR(INDEX(_xlfn.ANCHORARRAY(_xlfn.XLOOKUP($C76,'-ref_Distribution'!$B$146:$B$150,'-ref_Distribution'!$G$146:$G$150)),RIGHT(AE$1,2)),"")</f>
        <v>221</v>
      </c>
      <c r="AF76" s="16" cm="1">
        <f t="array" ref="AF76">IFERROR(INDEX(_xlfn.ANCHORARRAY(_xlfn.XLOOKUP($C76,'-ref_Distribution'!$B$146:$B$150,'-ref_Distribution'!$G$146:$G$150)),RIGHT(AF$1,2)),"")</f>
        <v>234</v>
      </c>
      <c r="AG76" s="16" cm="1">
        <f t="array" ref="AG76">IFERROR(INDEX(_xlfn.ANCHORARRAY(_xlfn.XLOOKUP($C76,'-ref_Distribution'!$B$146:$B$150,'-ref_Distribution'!$G$146:$G$150)),RIGHT(AG$1,2)),"")</f>
        <v>243</v>
      </c>
      <c r="AH76" s="16" cm="1">
        <f t="array" ref="AH76">IFERROR(INDEX(_xlfn.ANCHORARRAY(_xlfn.XLOOKUP($C76,'-ref_Distribution'!$B$146:$B$150,'-ref_Distribution'!$G$146:$G$150)),RIGHT(AH$1,2)),"")</f>
        <v>245</v>
      </c>
      <c r="AI76" s="16" cm="1">
        <f t="array" ref="AI76">IFERROR(INDEX(_xlfn.ANCHORARRAY(_xlfn.XLOOKUP($C76,'-ref_Distribution'!$B$146:$B$150,'-ref_Distribution'!$G$146:$G$150)),RIGHT(AI$1,2)),"")</f>
        <v>243</v>
      </c>
      <c r="AJ76" s="16" cm="1">
        <f t="array" ref="AJ76">IFERROR(INDEX(_xlfn.ANCHORARRAY(_xlfn.XLOOKUP($C76,'-ref_Distribution'!$B$146:$B$150,'-ref_Distribution'!$G$146:$G$150)),RIGHT(AJ$1,2)),"")</f>
        <v>234</v>
      </c>
      <c r="AK76" s="16" cm="1">
        <f t="array" ref="AK76">IFERROR(INDEX(_xlfn.ANCHORARRAY(_xlfn.XLOOKUP($C76,'-ref_Distribution'!$B$146:$B$150,'-ref_Distribution'!$G$146:$G$150)),RIGHT(AK$1,2)),"")</f>
        <v>221</v>
      </c>
      <c r="AL76" s="16" cm="1">
        <f t="array" ref="AL76">IFERROR(INDEX(_xlfn.ANCHORARRAY(_xlfn.XLOOKUP($C76,'-ref_Distribution'!$B$146:$B$150,'-ref_Distribution'!$G$146:$G$150)),RIGHT(AL$1,2)),"")</f>
        <v>203</v>
      </c>
      <c r="AM76" s="16" cm="1">
        <f t="array" ref="AM76">IFERROR(INDEX(_xlfn.ANCHORARRAY(_xlfn.XLOOKUP($C76,'-ref_Distribution'!$B$146:$B$150,'-ref_Distribution'!$G$146:$G$150)),RIGHT(AM$1,2)),"")</f>
        <v>183</v>
      </c>
      <c r="AN76" s="16" cm="1">
        <f t="array" ref="AN76">IFERROR(INDEX(_xlfn.ANCHORARRAY(_xlfn.XLOOKUP($C76,'-ref_Distribution'!$B$146:$B$150,'-ref_Distribution'!$G$146:$G$150)),RIGHT(AN$1,2)),"")</f>
        <v>160</v>
      </c>
      <c r="AO76" s="16" cm="1">
        <f t="array" ref="AO76">IFERROR(INDEX(_xlfn.ANCHORARRAY(_xlfn.XLOOKUP($C76,'-ref_Distribution'!$B$146:$B$150,'-ref_Distribution'!$G$146:$G$150)),RIGHT(AO$1,2)),"")</f>
        <v>137</v>
      </c>
      <c r="AP76" s="16" cm="1">
        <f t="array" ref="AP76">IFERROR(INDEX(_xlfn.ANCHORARRAY(_xlfn.XLOOKUP($C76,'-ref_Distribution'!$B$146:$B$150,'-ref_Distribution'!$G$146:$G$150)),RIGHT(AP$1,2)),"")</f>
        <v>115</v>
      </c>
      <c r="AQ76" s="16" cm="1">
        <f t="array" ref="AQ76">IFERROR(INDEX(_xlfn.ANCHORARRAY(_xlfn.XLOOKUP($C76,'-ref_Distribution'!$B$146:$B$150,'-ref_Distribution'!$G$146:$G$150)),RIGHT(AQ$1,2)),"")</f>
        <v>94</v>
      </c>
      <c r="AR76" s="16" cm="1">
        <f t="array" ref="AR76">IFERROR(INDEX(_xlfn.ANCHORARRAY(_xlfn.XLOOKUP($C76,'-ref_Distribution'!$B$146:$B$150,'-ref_Distribution'!$G$146:$G$150)),RIGHT(AR$1,2)),"")</f>
        <v>75</v>
      </c>
      <c r="AS76" s="16" cm="1">
        <f t="array" ref="AS76">IFERROR(INDEX(_xlfn.ANCHORARRAY(_xlfn.XLOOKUP($C76,'-ref_Distribution'!$B$146:$B$150,'-ref_Distribution'!$G$146:$G$150)),RIGHT(AS$1,2)),"")</f>
        <v>94</v>
      </c>
      <c r="AT76" s="16" cm="1">
        <f t="array" ref="AT76">IFERROR(INDEX(_xlfn.ANCHORARRAY(_xlfn.XLOOKUP($C76,'-ref_Distribution'!$B$146:$B$150,'-ref_Distribution'!$G$146:$G$150)),RIGHT(AT$1,2)),"")</f>
        <v>115</v>
      </c>
      <c r="AU76" s="16" cm="1">
        <f t="array" ref="AU76">IFERROR(INDEX(_xlfn.ANCHORARRAY(_xlfn.XLOOKUP($C76,'-ref_Distribution'!$B$146:$B$150,'-ref_Distribution'!$G$146:$G$150)),RIGHT(AU$1,2)),"")</f>
        <v>137</v>
      </c>
      <c r="AV76" s="16" cm="1">
        <f t="array" ref="AV76">IFERROR(INDEX(_xlfn.ANCHORARRAY(_xlfn.XLOOKUP($C76,'-ref_Distribution'!$B$146:$B$150,'-ref_Distribution'!$G$146:$G$150)),RIGHT(AV$1,2)),"")</f>
        <v>160</v>
      </c>
      <c r="AW76" s="16" cm="1">
        <f t="array" ref="AW76">IFERROR(INDEX(_xlfn.ANCHORARRAY(_xlfn.XLOOKUP($C76,'-ref_Distribution'!$B$146:$B$150,'-ref_Distribution'!$G$146:$G$150)),RIGHT(AW$1,2)),"")</f>
        <v>183</v>
      </c>
      <c r="AX76" s="16" cm="1">
        <f t="array" ref="AX76">IFERROR(INDEX(_xlfn.ANCHORARRAY(_xlfn.XLOOKUP($C76,'-ref_Distribution'!$B$146:$B$150,'-ref_Distribution'!$G$146:$G$150)),RIGHT(AX$1,2)),"")</f>
        <v>203</v>
      </c>
      <c r="AY76" s="16" cm="1">
        <f t="array" ref="AY76">IFERROR(INDEX(_xlfn.ANCHORARRAY(_xlfn.XLOOKUP($C76,'-ref_Distribution'!$B$146:$B$150,'-ref_Distribution'!$G$146:$G$150)),RIGHT(AY$1,2)),"")</f>
        <v>221</v>
      </c>
      <c r="AZ76" s="16" cm="1">
        <f t="array" ref="AZ76">IFERROR(INDEX(_xlfn.ANCHORARRAY(_xlfn.XLOOKUP($C76,'-ref_Distribution'!$B$146:$B$150,'-ref_Distribution'!$G$146:$G$150)),RIGHT(AZ$1,2)),"")</f>
        <v>234</v>
      </c>
      <c r="BA76" s="16" cm="1">
        <f t="array" ref="BA76">IFERROR(INDEX(_xlfn.ANCHORARRAY(_xlfn.XLOOKUP($C76,'-ref_Distribution'!$B$146:$B$150,'-ref_Distribution'!$G$146:$G$150)),RIGHT(BA$1,2)),"")</f>
        <v>243</v>
      </c>
      <c r="BB76" s="16" cm="1">
        <f t="array" ref="BB76">IFERROR(INDEX(_xlfn.ANCHORARRAY(_xlfn.XLOOKUP($C76,'-ref_Distribution'!$B$146:$B$150,'-ref_Distribution'!$G$146:$G$150)),RIGHT(BB$1,2)),"")</f>
        <v>245</v>
      </c>
      <c r="BC76" s="16" cm="1">
        <f t="array" ref="BC76">IFERROR(INDEX(_xlfn.ANCHORARRAY(_xlfn.XLOOKUP($C76,'-ref_Distribution'!$B$146:$B$150,'-ref_Distribution'!$G$146:$G$150)),RIGHT(BC$1,2)),"")</f>
        <v>243</v>
      </c>
      <c r="BD76" s="16" cm="1">
        <f t="array" ref="BD76">IFERROR(INDEX(_xlfn.ANCHORARRAY(_xlfn.XLOOKUP($C76,'-ref_Distribution'!$B$146:$B$150,'-ref_Distribution'!$G$146:$G$150)),RIGHT(BD$1,2)),"")</f>
        <v>234</v>
      </c>
      <c r="BE76" s="16" cm="1">
        <f t="array" ref="BE76">IFERROR(INDEX(_xlfn.ANCHORARRAY(_xlfn.XLOOKUP($C76,'-ref_Distribution'!$B$146:$B$150,'-ref_Distribution'!$G$146:$G$150)),RIGHT(BE$1,2)),"")</f>
        <v>221</v>
      </c>
      <c r="BF76" s="16" cm="1">
        <f t="array" ref="BF76">IFERROR(INDEX(_xlfn.ANCHORARRAY(_xlfn.XLOOKUP($C76,'-ref_Distribution'!$B$146:$B$150,'-ref_Distribution'!$G$146:$G$150)),RIGHT(BF$1,2)),"")</f>
        <v>203</v>
      </c>
      <c r="BG76" s="16" cm="1">
        <f t="array" ref="BG76">IFERROR(INDEX(_xlfn.ANCHORARRAY(_xlfn.XLOOKUP($C76,'-ref_Distribution'!$B$146:$B$150,'-ref_Distribution'!$G$146:$G$150)),RIGHT(BG$1,2)),"")</f>
        <v>183</v>
      </c>
      <c r="BH76" s="16" cm="1">
        <f t="array" ref="BH76">IFERROR(INDEX(_xlfn.ANCHORARRAY(_xlfn.XLOOKUP($C76,'-ref_Distribution'!$B$146:$B$150,'-ref_Distribution'!$G$146:$G$150)),RIGHT(BH$1,2)),"")</f>
        <v>160</v>
      </c>
      <c r="BI76" s="16" cm="1">
        <f t="array" ref="BI76">IFERROR(INDEX(_xlfn.ANCHORARRAY(_xlfn.XLOOKUP($C76,'-ref_Distribution'!$B$146:$B$150,'-ref_Distribution'!$G$146:$G$150)),RIGHT(BI$1,2)),"")</f>
        <v>137</v>
      </c>
      <c r="BJ76" s="16" cm="1">
        <f t="array" ref="BJ76">IFERROR(INDEX(_xlfn.ANCHORARRAY(_xlfn.XLOOKUP($C76,'-ref_Distribution'!$B$146:$B$150,'-ref_Distribution'!$G$146:$G$150)),RIGHT(BJ$1,2)),"")</f>
        <v>115</v>
      </c>
      <c r="BK76" s="16" cm="1">
        <f t="array" ref="BK76">IFERROR(INDEX(_xlfn.ANCHORARRAY(_xlfn.XLOOKUP($C76,'-ref_Distribution'!$B$146:$B$150,'-ref_Distribution'!$G$146:$G$150)),RIGHT(BK$1,2)),"")</f>
        <v>94</v>
      </c>
      <c r="BL76" s="16" cm="1">
        <f t="array" ref="BL76">IFERROR(INDEX(_xlfn.ANCHORARRAY(_xlfn.XLOOKUP($C76,'-ref_Distribution'!$B$146:$B$150,'-ref_Distribution'!$G$146:$G$150)),RIGHT(BL$1,2)),"")</f>
        <v>75</v>
      </c>
      <c r="BM76" s="16" cm="1">
        <f t="array" ref="BM76">IFERROR(INDEX(_xlfn.ANCHORARRAY(_xlfn.XLOOKUP($C76,'-ref_Distribution'!$B$146:$B$150,'-ref_Distribution'!$G$146:$G$150)),RIGHT(BM$1,2)),"")</f>
        <v>94</v>
      </c>
      <c r="BN76" s="16" cm="1">
        <f t="array" ref="BN76">IFERROR(INDEX(_xlfn.ANCHORARRAY(_xlfn.XLOOKUP($C76,'-ref_Distribution'!$B$146:$B$150,'-ref_Distribution'!$G$146:$G$150)),RIGHT(BN$1,2)),"")</f>
        <v>115</v>
      </c>
      <c r="BO76" s="16" cm="1">
        <f t="array" ref="BO76">IFERROR(INDEX(_xlfn.ANCHORARRAY(_xlfn.XLOOKUP($C76,'-ref_Distribution'!$B$146:$B$150,'-ref_Distribution'!$G$146:$G$150)),RIGHT(BO$1,2)),"")</f>
        <v>137</v>
      </c>
      <c r="BP76" s="16" cm="1">
        <f t="array" ref="BP76">IFERROR(INDEX(_xlfn.ANCHORARRAY(_xlfn.XLOOKUP($C76,'-ref_Distribution'!$B$146:$B$150,'-ref_Distribution'!$G$146:$G$150)),RIGHT(BP$1,2)),"")</f>
        <v>160</v>
      </c>
      <c r="BQ76" s="16" cm="1">
        <f t="array" ref="BQ76">IFERROR(INDEX(_xlfn.ANCHORARRAY(_xlfn.XLOOKUP($C76,'-ref_Distribution'!$B$146:$B$150,'-ref_Distribution'!$G$146:$G$150)),RIGHT(BQ$1,2)),"")</f>
        <v>183</v>
      </c>
      <c r="BR76" s="16" cm="1">
        <f t="array" ref="BR76">IFERROR(INDEX(_xlfn.ANCHORARRAY(_xlfn.XLOOKUP($C76,'-ref_Distribution'!$B$146:$B$150,'-ref_Distribution'!$G$146:$G$150)),RIGHT(BR$1,2)),"")</f>
        <v>203</v>
      </c>
      <c r="BS76" s="16" cm="1">
        <f t="array" ref="BS76">IFERROR(INDEX(_xlfn.ANCHORARRAY(_xlfn.XLOOKUP($C76,'-ref_Distribution'!$B$146:$B$150,'-ref_Distribution'!$G$146:$G$150)),RIGHT(BS$1,2)),"")</f>
        <v>221</v>
      </c>
      <c r="BT76" s="16" cm="1">
        <f t="array" ref="BT76">IFERROR(INDEX(_xlfn.ANCHORARRAY(_xlfn.XLOOKUP($C76,'-ref_Distribution'!$B$146:$B$150,'-ref_Distribution'!$G$146:$G$150)),RIGHT(BT$1,2)),"")</f>
        <v>234</v>
      </c>
      <c r="BU76" s="16" cm="1">
        <f t="array" ref="BU76">IFERROR(INDEX(_xlfn.ANCHORARRAY(_xlfn.XLOOKUP($C76,'-ref_Distribution'!$B$146:$B$150,'-ref_Distribution'!$G$146:$G$150)),RIGHT(BU$1,2)),"")</f>
        <v>243</v>
      </c>
      <c r="BV76" s="16" cm="1">
        <f t="array" ref="BV76">IFERROR(INDEX(_xlfn.ANCHORARRAY(_xlfn.XLOOKUP($C76,'-ref_Distribution'!$B$146:$B$150,'-ref_Distribution'!$G$146:$G$150)),RIGHT(BV$1,2)),"")</f>
        <v>245</v>
      </c>
      <c r="BW76" s="16" cm="1">
        <f t="array" ref="BW76">IFERROR(INDEX(_xlfn.ANCHORARRAY(_xlfn.XLOOKUP($C76,'-ref_Distribution'!$B$146:$B$150,'-ref_Distribution'!$G$146:$G$150)),RIGHT(BW$1,2)),"")</f>
        <v>243</v>
      </c>
      <c r="BX76" s="16" cm="1">
        <f t="array" ref="BX76">IFERROR(INDEX(_xlfn.ANCHORARRAY(_xlfn.XLOOKUP($C76,'-ref_Distribution'!$B$146:$B$150,'-ref_Distribution'!$G$146:$G$150)),RIGHT(BX$1,2)),"")</f>
        <v>234</v>
      </c>
      <c r="BY76" s="16" cm="1">
        <f t="array" ref="BY76">IFERROR(INDEX(_xlfn.ANCHORARRAY(_xlfn.XLOOKUP($C76,'-ref_Distribution'!$B$146:$B$150,'-ref_Distribution'!$G$146:$G$150)),RIGHT(BY$1,2)),"")</f>
        <v>221</v>
      </c>
      <c r="BZ76" s="16" cm="1">
        <f t="array" ref="BZ76">IFERROR(INDEX(_xlfn.ANCHORARRAY(_xlfn.XLOOKUP($C76,'-ref_Distribution'!$B$146:$B$150,'-ref_Distribution'!$G$146:$G$150)),RIGHT(BZ$1,2)),"")</f>
        <v>203</v>
      </c>
      <c r="CA76" s="16" cm="1">
        <f t="array" ref="CA76">IFERROR(INDEX(_xlfn.ANCHORARRAY(_xlfn.XLOOKUP($C76,'-ref_Distribution'!$B$146:$B$150,'-ref_Distribution'!$G$146:$G$150)),RIGHT(CA$1,2)),"")</f>
        <v>183</v>
      </c>
      <c r="CB76" s="16" cm="1">
        <f t="array" ref="CB76">IFERROR(INDEX(_xlfn.ANCHORARRAY(_xlfn.XLOOKUP($C76,'-ref_Distribution'!$B$146:$B$150,'-ref_Distribution'!$G$146:$G$150)),RIGHT(CB$1,2)),"")</f>
        <v>160</v>
      </c>
      <c r="CC76" s="16" cm="1">
        <f t="array" ref="CC76">IFERROR(INDEX(_xlfn.ANCHORARRAY(_xlfn.XLOOKUP($C76,'-ref_Distribution'!$B$146:$B$150,'-ref_Distribution'!$G$146:$G$150)),RIGHT(CC$1,2)),"")</f>
        <v>137</v>
      </c>
      <c r="CD76" s="16" cm="1">
        <f t="array" ref="CD76">IFERROR(INDEX(_xlfn.ANCHORARRAY(_xlfn.XLOOKUP($C76,'-ref_Distribution'!$B$146:$B$150,'-ref_Distribution'!$G$146:$G$150)),RIGHT(CD$1,2)),"")</f>
        <v>115</v>
      </c>
      <c r="CE76" s="16" cm="1">
        <f t="array" ref="CE76">IFERROR(INDEX(_xlfn.ANCHORARRAY(_xlfn.XLOOKUP($C76,'-ref_Distribution'!$B$146:$B$150,'-ref_Distribution'!$G$146:$G$150)),RIGHT(CE$1,2)),"")</f>
        <v>94</v>
      </c>
    </row>
    <row r="77" spans="1:83" x14ac:dyDescent="0.2">
      <c r="A77" s="16">
        <v>310409</v>
      </c>
      <c r="B77" s="17" t="s">
        <v>390</v>
      </c>
      <c r="C77" s="16">
        <v>3</v>
      </c>
      <c r="D77" s="16" cm="1">
        <f t="array" ref="D77">IFERROR(INDEX(_xlfn.ANCHORARRAY(_xlfn.XLOOKUP($C77,'-ref_Distribution'!$B$146:$B$150,'-ref_Distribution'!$G$146:$G$150)),RIGHT(D$1,2)),"")</f>
        <v>4</v>
      </c>
      <c r="E77" s="16" cm="1">
        <f t="array" ref="E77">IFERROR(INDEX(_xlfn.ANCHORARRAY(_xlfn.XLOOKUP($C77,'-ref_Distribution'!$B$146:$B$150,'-ref_Distribution'!$G$146:$G$150)),RIGHT(E$1,2)),"")</f>
        <v>6</v>
      </c>
      <c r="F77" s="16" cm="1">
        <f t="array" ref="F77">IFERROR(INDEX(_xlfn.ANCHORARRAY(_xlfn.XLOOKUP($C77,'-ref_Distribution'!$B$146:$B$150,'-ref_Distribution'!$G$146:$G$150)),RIGHT(F$1,2)),"")</f>
        <v>9</v>
      </c>
      <c r="G77" s="16" cm="1">
        <f t="array" ref="G77">IFERROR(INDEX(_xlfn.ANCHORARRAY(_xlfn.XLOOKUP($C77,'-ref_Distribution'!$B$146:$B$150,'-ref_Distribution'!$G$146:$G$150)),RIGHT(G$1,2)),"")</f>
        <v>14</v>
      </c>
      <c r="H77" s="16" cm="1">
        <f t="array" ref="H77">IFERROR(INDEX(_xlfn.ANCHORARRAY(_xlfn.XLOOKUP($C77,'-ref_Distribution'!$B$146:$B$150,'-ref_Distribution'!$G$146:$G$150)),RIGHT(H$1,2)),"")</f>
        <v>20</v>
      </c>
      <c r="I77" s="16" cm="1">
        <f t="array" ref="I77">IFERROR(INDEX(_xlfn.ANCHORARRAY(_xlfn.XLOOKUP($C77,'-ref_Distribution'!$B$146:$B$150,'-ref_Distribution'!$G$146:$G$150)),RIGHT(I$1,2)),"")</f>
        <v>28</v>
      </c>
      <c r="J77" s="16" cm="1">
        <f t="array" ref="J77">IFERROR(INDEX(_xlfn.ANCHORARRAY(_xlfn.XLOOKUP($C77,'-ref_Distribution'!$B$146:$B$150,'-ref_Distribution'!$G$146:$G$150)),RIGHT(J$1,2)),"")</f>
        <v>38</v>
      </c>
      <c r="K77" s="16" cm="1">
        <f t="array" ref="K77">IFERROR(INDEX(_xlfn.ANCHORARRAY(_xlfn.XLOOKUP($C77,'-ref_Distribution'!$B$146:$B$150,'-ref_Distribution'!$G$146:$G$150)),RIGHT(K$1,2)),"")</f>
        <v>51</v>
      </c>
      <c r="L77" s="16" cm="1">
        <f t="array" ref="L77">IFERROR(INDEX(_xlfn.ANCHORARRAY(_xlfn.XLOOKUP($C77,'-ref_Distribution'!$B$146:$B$150,'-ref_Distribution'!$G$146:$G$150)),RIGHT(L$1,2)),"")</f>
        <v>65</v>
      </c>
      <c r="M77" s="16" cm="1">
        <f t="array" ref="M77">IFERROR(INDEX(_xlfn.ANCHORARRAY(_xlfn.XLOOKUP($C77,'-ref_Distribution'!$B$146:$B$150,'-ref_Distribution'!$G$146:$G$150)),RIGHT(M$1,2)),"")</f>
        <v>80</v>
      </c>
      <c r="N77" s="16" cm="1">
        <f t="array" ref="N77">IFERROR(INDEX(_xlfn.ANCHORARRAY(_xlfn.XLOOKUP($C77,'-ref_Distribution'!$B$146:$B$150,'-ref_Distribution'!$G$146:$G$150)),RIGHT(N$1,2)),"")</f>
        <v>96</v>
      </c>
      <c r="O77" s="16" cm="1">
        <f t="array" ref="O77">IFERROR(INDEX(_xlfn.ANCHORARRAY(_xlfn.XLOOKUP($C77,'-ref_Distribution'!$B$146:$B$150,'-ref_Distribution'!$G$146:$G$150)),RIGHT(O$1,2)),"")</f>
        <v>111</v>
      </c>
      <c r="P77" s="16" cm="1">
        <f t="array" ref="P77">IFERROR(INDEX(_xlfn.ANCHORARRAY(_xlfn.XLOOKUP($C77,'-ref_Distribution'!$B$146:$B$150,'-ref_Distribution'!$G$146:$G$150)),RIGHT(P$1,2)),"")</f>
        <v>125</v>
      </c>
      <c r="Q77" s="16" cm="1">
        <f t="array" ref="Q77">IFERROR(INDEX(_xlfn.ANCHORARRAY(_xlfn.XLOOKUP($C77,'-ref_Distribution'!$B$146:$B$150,'-ref_Distribution'!$G$146:$G$150)),RIGHT(Q$1,2)),"")</f>
        <v>135</v>
      </c>
      <c r="R77" s="16" cm="1">
        <f t="array" ref="R77">IFERROR(INDEX(_xlfn.ANCHORARRAY(_xlfn.XLOOKUP($C77,'-ref_Distribution'!$B$146:$B$150,'-ref_Distribution'!$G$146:$G$150)),RIGHT(R$1,2)),"")</f>
        <v>142</v>
      </c>
      <c r="S77" s="16" cm="1">
        <f t="array" ref="S77">IFERROR(INDEX(_xlfn.ANCHORARRAY(_xlfn.XLOOKUP($C77,'-ref_Distribution'!$B$146:$B$150,'-ref_Distribution'!$G$146:$G$150)),RIGHT(S$1,2)),"")</f>
        <v>144</v>
      </c>
      <c r="T77" s="16" cm="1">
        <f t="array" ref="T77">IFERROR(INDEX(_xlfn.ANCHORARRAY(_xlfn.XLOOKUP($C77,'-ref_Distribution'!$B$146:$B$150,'-ref_Distribution'!$G$146:$G$150)),RIGHT(T$1,2)),"")</f>
        <v>142</v>
      </c>
      <c r="U77" s="16" cm="1">
        <f t="array" ref="U77">IFERROR(INDEX(_xlfn.ANCHORARRAY(_xlfn.XLOOKUP($C77,'-ref_Distribution'!$B$146:$B$150,'-ref_Distribution'!$G$146:$G$150)),RIGHT(U$1,2)),"")</f>
        <v>135</v>
      </c>
      <c r="V77" s="16" cm="1">
        <f t="array" ref="V77">IFERROR(INDEX(_xlfn.ANCHORARRAY(_xlfn.XLOOKUP($C77,'-ref_Distribution'!$B$146:$B$150,'-ref_Distribution'!$G$146:$G$150)),RIGHT(V$1,2)),"")</f>
        <v>125</v>
      </c>
      <c r="W77" s="16" cm="1">
        <f t="array" ref="W77">IFERROR(INDEX(_xlfn.ANCHORARRAY(_xlfn.XLOOKUP($C77,'-ref_Distribution'!$B$146:$B$150,'-ref_Distribution'!$G$146:$G$150)),RIGHT(W$1,2)),"")</f>
        <v>111</v>
      </c>
      <c r="X77" s="16" cm="1">
        <f t="array" ref="X77">IFERROR(INDEX(_xlfn.ANCHORARRAY(_xlfn.XLOOKUP($C77,'-ref_Distribution'!$B$146:$B$150,'-ref_Distribution'!$G$146:$G$150)),RIGHT(X$1,2)),"")</f>
        <v>4</v>
      </c>
      <c r="Y77" s="16" cm="1">
        <f t="array" ref="Y77">IFERROR(INDEX(_xlfn.ANCHORARRAY(_xlfn.XLOOKUP($C77,'-ref_Distribution'!$B$146:$B$150,'-ref_Distribution'!$G$146:$G$150)),RIGHT(Y$1,2)),"")</f>
        <v>6</v>
      </c>
      <c r="Z77" s="16" cm="1">
        <f t="array" ref="Z77">IFERROR(INDEX(_xlfn.ANCHORARRAY(_xlfn.XLOOKUP($C77,'-ref_Distribution'!$B$146:$B$150,'-ref_Distribution'!$G$146:$G$150)),RIGHT(Z$1,2)),"")</f>
        <v>9</v>
      </c>
      <c r="AA77" s="16" cm="1">
        <f t="array" ref="AA77">IFERROR(INDEX(_xlfn.ANCHORARRAY(_xlfn.XLOOKUP($C77,'-ref_Distribution'!$B$146:$B$150,'-ref_Distribution'!$G$146:$G$150)),RIGHT(AA$1,2)),"")</f>
        <v>14</v>
      </c>
      <c r="AB77" s="16" cm="1">
        <f t="array" ref="AB77">IFERROR(INDEX(_xlfn.ANCHORARRAY(_xlfn.XLOOKUP($C77,'-ref_Distribution'!$B$146:$B$150,'-ref_Distribution'!$G$146:$G$150)),RIGHT(AB$1,2)),"")</f>
        <v>20</v>
      </c>
      <c r="AC77" s="16" cm="1">
        <f t="array" ref="AC77">IFERROR(INDEX(_xlfn.ANCHORARRAY(_xlfn.XLOOKUP($C77,'-ref_Distribution'!$B$146:$B$150,'-ref_Distribution'!$G$146:$G$150)),RIGHT(AC$1,2)),"")</f>
        <v>28</v>
      </c>
      <c r="AD77" s="16" cm="1">
        <f t="array" ref="AD77">IFERROR(INDEX(_xlfn.ANCHORARRAY(_xlfn.XLOOKUP($C77,'-ref_Distribution'!$B$146:$B$150,'-ref_Distribution'!$G$146:$G$150)),RIGHT(AD$1,2)),"")</f>
        <v>38</v>
      </c>
      <c r="AE77" s="16" cm="1">
        <f t="array" ref="AE77">IFERROR(INDEX(_xlfn.ANCHORARRAY(_xlfn.XLOOKUP($C77,'-ref_Distribution'!$B$146:$B$150,'-ref_Distribution'!$G$146:$G$150)),RIGHT(AE$1,2)),"")</f>
        <v>51</v>
      </c>
      <c r="AF77" s="16" cm="1">
        <f t="array" ref="AF77">IFERROR(INDEX(_xlfn.ANCHORARRAY(_xlfn.XLOOKUP($C77,'-ref_Distribution'!$B$146:$B$150,'-ref_Distribution'!$G$146:$G$150)),RIGHT(AF$1,2)),"")</f>
        <v>65</v>
      </c>
      <c r="AG77" s="16" cm="1">
        <f t="array" ref="AG77">IFERROR(INDEX(_xlfn.ANCHORARRAY(_xlfn.XLOOKUP($C77,'-ref_Distribution'!$B$146:$B$150,'-ref_Distribution'!$G$146:$G$150)),RIGHT(AG$1,2)),"")</f>
        <v>80</v>
      </c>
      <c r="AH77" s="16" cm="1">
        <f t="array" ref="AH77">IFERROR(INDEX(_xlfn.ANCHORARRAY(_xlfn.XLOOKUP($C77,'-ref_Distribution'!$B$146:$B$150,'-ref_Distribution'!$G$146:$G$150)),RIGHT(AH$1,2)),"")</f>
        <v>96</v>
      </c>
      <c r="AI77" s="16" cm="1">
        <f t="array" ref="AI77">IFERROR(INDEX(_xlfn.ANCHORARRAY(_xlfn.XLOOKUP($C77,'-ref_Distribution'!$B$146:$B$150,'-ref_Distribution'!$G$146:$G$150)),RIGHT(AI$1,2)),"")</f>
        <v>111</v>
      </c>
      <c r="AJ77" s="16" cm="1">
        <f t="array" ref="AJ77">IFERROR(INDEX(_xlfn.ANCHORARRAY(_xlfn.XLOOKUP($C77,'-ref_Distribution'!$B$146:$B$150,'-ref_Distribution'!$G$146:$G$150)),RIGHT(AJ$1,2)),"")</f>
        <v>125</v>
      </c>
      <c r="AK77" s="16" cm="1">
        <f t="array" ref="AK77">IFERROR(INDEX(_xlfn.ANCHORARRAY(_xlfn.XLOOKUP($C77,'-ref_Distribution'!$B$146:$B$150,'-ref_Distribution'!$G$146:$G$150)),RIGHT(AK$1,2)),"")</f>
        <v>135</v>
      </c>
      <c r="AL77" s="16" cm="1">
        <f t="array" ref="AL77">IFERROR(INDEX(_xlfn.ANCHORARRAY(_xlfn.XLOOKUP($C77,'-ref_Distribution'!$B$146:$B$150,'-ref_Distribution'!$G$146:$G$150)),RIGHT(AL$1,2)),"")</f>
        <v>142</v>
      </c>
      <c r="AM77" s="16" cm="1">
        <f t="array" ref="AM77">IFERROR(INDEX(_xlfn.ANCHORARRAY(_xlfn.XLOOKUP($C77,'-ref_Distribution'!$B$146:$B$150,'-ref_Distribution'!$G$146:$G$150)),RIGHT(AM$1,2)),"")</f>
        <v>144</v>
      </c>
      <c r="AN77" s="16" cm="1">
        <f t="array" ref="AN77">IFERROR(INDEX(_xlfn.ANCHORARRAY(_xlfn.XLOOKUP($C77,'-ref_Distribution'!$B$146:$B$150,'-ref_Distribution'!$G$146:$G$150)),RIGHT(AN$1,2)),"")</f>
        <v>142</v>
      </c>
      <c r="AO77" s="16" cm="1">
        <f t="array" ref="AO77">IFERROR(INDEX(_xlfn.ANCHORARRAY(_xlfn.XLOOKUP($C77,'-ref_Distribution'!$B$146:$B$150,'-ref_Distribution'!$G$146:$G$150)),RIGHT(AO$1,2)),"")</f>
        <v>135</v>
      </c>
      <c r="AP77" s="16" cm="1">
        <f t="array" ref="AP77">IFERROR(INDEX(_xlfn.ANCHORARRAY(_xlfn.XLOOKUP($C77,'-ref_Distribution'!$B$146:$B$150,'-ref_Distribution'!$G$146:$G$150)),RIGHT(AP$1,2)),"")</f>
        <v>125</v>
      </c>
      <c r="AQ77" s="16" cm="1">
        <f t="array" ref="AQ77">IFERROR(INDEX(_xlfn.ANCHORARRAY(_xlfn.XLOOKUP($C77,'-ref_Distribution'!$B$146:$B$150,'-ref_Distribution'!$G$146:$G$150)),RIGHT(AQ$1,2)),"")</f>
        <v>111</v>
      </c>
      <c r="AR77" s="16" cm="1">
        <f t="array" ref="AR77">IFERROR(INDEX(_xlfn.ANCHORARRAY(_xlfn.XLOOKUP($C77,'-ref_Distribution'!$B$146:$B$150,'-ref_Distribution'!$G$146:$G$150)),RIGHT(AR$1,2)),"")</f>
        <v>4</v>
      </c>
      <c r="AS77" s="16" cm="1">
        <f t="array" ref="AS77">IFERROR(INDEX(_xlfn.ANCHORARRAY(_xlfn.XLOOKUP($C77,'-ref_Distribution'!$B$146:$B$150,'-ref_Distribution'!$G$146:$G$150)),RIGHT(AS$1,2)),"")</f>
        <v>6</v>
      </c>
      <c r="AT77" s="16" cm="1">
        <f t="array" ref="AT77">IFERROR(INDEX(_xlfn.ANCHORARRAY(_xlfn.XLOOKUP($C77,'-ref_Distribution'!$B$146:$B$150,'-ref_Distribution'!$G$146:$G$150)),RIGHT(AT$1,2)),"")</f>
        <v>9</v>
      </c>
      <c r="AU77" s="16" cm="1">
        <f t="array" ref="AU77">IFERROR(INDEX(_xlfn.ANCHORARRAY(_xlfn.XLOOKUP($C77,'-ref_Distribution'!$B$146:$B$150,'-ref_Distribution'!$G$146:$G$150)),RIGHT(AU$1,2)),"")</f>
        <v>14</v>
      </c>
      <c r="AV77" s="16" cm="1">
        <f t="array" ref="AV77">IFERROR(INDEX(_xlfn.ANCHORARRAY(_xlfn.XLOOKUP($C77,'-ref_Distribution'!$B$146:$B$150,'-ref_Distribution'!$G$146:$G$150)),RIGHT(AV$1,2)),"")</f>
        <v>20</v>
      </c>
      <c r="AW77" s="16" cm="1">
        <f t="array" ref="AW77">IFERROR(INDEX(_xlfn.ANCHORARRAY(_xlfn.XLOOKUP($C77,'-ref_Distribution'!$B$146:$B$150,'-ref_Distribution'!$G$146:$G$150)),RIGHT(AW$1,2)),"")</f>
        <v>28</v>
      </c>
      <c r="AX77" s="16" cm="1">
        <f t="array" ref="AX77">IFERROR(INDEX(_xlfn.ANCHORARRAY(_xlfn.XLOOKUP($C77,'-ref_Distribution'!$B$146:$B$150,'-ref_Distribution'!$G$146:$G$150)),RIGHT(AX$1,2)),"")</f>
        <v>38</v>
      </c>
      <c r="AY77" s="16" cm="1">
        <f t="array" ref="AY77">IFERROR(INDEX(_xlfn.ANCHORARRAY(_xlfn.XLOOKUP($C77,'-ref_Distribution'!$B$146:$B$150,'-ref_Distribution'!$G$146:$G$150)),RIGHT(AY$1,2)),"")</f>
        <v>51</v>
      </c>
      <c r="AZ77" s="16" cm="1">
        <f t="array" ref="AZ77">IFERROR(INDEX(_xlfn.ANCHORARRAY(_xlfn.XLOOKUP($C77,'-ref_Distribution'!$B$146:$B$150,'-ref_Distribution'!$G$146:$G$150)),RIGHT(AZ$1,2)),"")</f>
        <v>65</v>
      </c>
      <c r="BA77" s="16" cm="1">
        <f t="array" ref="BA77">IFERROR(INDEX(_xlfn.ANCHORARRAY(_xlfn.XLOOKUP($C77,'-ref_Distribution'!$B$146:$B$150,'-ref_Distribution'!$G$146:$G$150)),RIGHT(BA$1,2)),"")</f>
        <v>80</v>
      </c>
      <c r="BB77" s="16" cm="1">
        <f t="array" ref="BB77">IFERROR(INDEX(_xlfn.ANCHORARRAY(_xlfn.XLOOKUP($C77,'-ref_Distribution'!$B$146:$B$150,'-ref_Distribution'!$G$146:$G$150)),RIGHT(BB$1,2)),"")</f>
        <v>96</v>
      </c>
      <c r="BC77" s="16" cm="1">
        <f t="array" ref="BC77">IFERROR(INDEX(_xlfn.ANCHORARRAY(_xlfn.XLOOKUP($C77,'-ref_Distribution'!$B$146:$B$150,'-ref_Distribution'!$G$146:$G$150)),RIGHT(BC$1,2)),"")</f>
        <v>111</v>
      </c>
      <c r="BD77" s="16" cm="1">
        <f t="array" ref="BD77">IFERROR(INDEX(_xlfn.ANCHORARRAY(_xlfn.XLOOKUP($C77,'-ref_Distribution'!$B$146:$B$150,'-ref_Distribution'!$G$146:$G$150)),RIGHT(BD$1,2)),"")</f>
        <v>125</v>
      </c>
      <c r="BE77" s="16" cm="1">
        <f t="array" ref="BE77">IFERROR(INDEX(_xlfn.ANCHORARRAY(_xlfn.XLOOKUP($C77,'-ref_Distribution'!$B$146:$B$150,'-ref_Distribution'!$G$146:$G$150)),RIGHT(BE$1,2)),"")</f>
        <v>135</v>
      </c>
      <c r="BF77" s="16" cm="1">
        <f t="array" ref="BF77">IFERROR(INDEX(_xlfn.ANCHORARRAY(_xlfn.XLOOKUP($C77,'-ref_Distribution'!$B$146:$B$150,'-ref_Distribution'!$G$146:$G$150)),RIGHT(BF$1,2)),"")</f>
        <v>142</v>
      </c>
      <c r="BG77" s="16" cm="1">
        <f t="array" ref="BG77">IFERROR(INDEX(_xlfn.ANCHORARRAY(_xlfn.XLOOKUP($C77,'-ref_Distribution'!$B$146:$B$150,'-ref_Distribution'!$G$146:$G$150)),RIGHT(BG$1,2)),"")</f>
        <v>144</v>
      </c>
      <c r="BH77" s="16" cm="1">
        <f t="array" ref="BH77">IFERROR(INDEX(_xlfn.ANCHORARRAY(_xlfn.XLOOKUP($C77,'-ref_Distribution'!$B$146:$B$150,'-ref_Distribution'!$G$146:$G$150)),RIGHT(BH$1,2)),"")</f>
        <v>142</v>
      </c>
      <c r="BI77" s="16" cm="1">
        <f t="array" ref="BI77">IFERROR(INDEX(_xlfn.ANCHORARRAY(_xlfn.XLOOKUP($C77,'-ref_Distribution'!$B$146:$B$150,'-ref_Distribution'!$G$146:$G$150)),RIGHT(BI$1,2)),"")</f>
        <v>135</v>
      </c>
      <c r="BJ77" s="16" cm="1">
        <f t="array" ref="BJ77">IFERROR(INDEX(_xlfn.ANCHORARRAY(_xlfn.XLOOKUP($C77,'-ref_Distribution'!$B$146:$B$150,'-ref_Distribution'!$G$146:$G$150)),RIGHT(BJ$1,2)),"")</f>
        <v>125</v>
      </c>
      <c r="BK77" s="16" cm="1">
        <f t="array" ref="BK77">IFERROR(INDEX(_xlfn.ANCHORARRAY(_xlfn.XLOOKUP($C77,'-ref_Distribution'!$B$146:$B$150,'-ref_Distribution'!$G$146:$G$150)),RIGHT(BK$1,2)),"")</f>
        <v>111</v>
      </c>
      <c r="BL77" s="16" cm="1">
        <f t="array" ref="BL77">IFERROR(INDEX(_xlfn.ANCHORARRAY(_xlfn.XLOOKUP($C77,'-ref_Distribution'!$B$146:$B$150,'-ref_Distribution'!$G$146:$G$150)),RIGHT(BL$1,2)),"")</f>
        <v>4</v>
      </c>
      <c r="BM77" s="16" cm="1">
        <f t="array" ref="BM77">IFERROR(INDEX(_xlfn.ANCHORARRAY(_xlfn.XLOOKUP($C77,'-ref_Distribution'!$B$146:$B$150,'-ref_Distribution'!$G$146:$G$150)),RIGHT(BM$1,2)),"")</f>
        <v>6</v>
      </c>
      <c r="BN77" s="16" cm="1">
        <f t="array" ref="BN77">IFERROR(INDEX(_xlfn.ANCHORARRAY(_xlfn.XLOOKUP($C77,'-ref_Distribution'!$B$146:$B$150,'-ref_Distribution'!$G$146:$G$150)),RIGHT(BN$1,2)),"")</f>
        <v>9</v>
      </c>
      <c r="BO77" s="16" cm="1">
        <f t="array" ref="BO77">IFERROR(INDEX(_xlfn.ANCHORARRAY(_xlfn.XLOOKUP($C77,'-ref_Distribution'!$B$146:$B$150,'-ref_Distribution'!$G$146:$G$150)),RIGHT(BO$1,2)),"")</f>
        <v>14</v>
      </c>
      <c r="BP77" s="16" cm="1">
        <f t="array" ref="BP77">IFERROR(INDEX(_xlfn.ANCHORARRAY(_xlfn.XLOOKUP($C77,'-ref_Distribution'!$B$146:$B$150,'-ref_Distribution'!$G$146:$G$150)),RIGHT(BP$1,2)),"")</f>
        <v>20</v>
      </c>
      <c r="BQ77" s="16" cm="1">
        <f t="array" ref="BQ77">IFERROR(INDEX(_xlfn.ANCHORARRAY(_xlfn.XLOOKUP($C77,'-ref_Distribution'!$B$146:$B$150,'-ref_Distribution'!$G$146:$G$150)),RIGHT(BQ$1,2)),"")</f>
        <v>28</v>
      </c>
      <c r="BR77" s="16" cm="1">
        <f t="array" ref="BR77">IFERROR(INDEX(_xlfn.ANCHORARRAY(_xlfn.XLOOKUP($C77,'-ref_Distribution'!$B$146:$B$150,'-ref_Distribution'!$G$146:$G$150)),RIGHT(BR$1,2)),"")</f>
        <v>38</v>
      </c>
      <c r="BS77" s="16" cm="1">
        <f t="array" ref="BS77">IFERROR(INDEX(_xlfn.ANCHORARRAY(_xlfn.XLOOKUP($C77,'-ref_Distribution'!$B$146:$B$150,'-ref_Distribution'!$G$146:$G$150)),RIGHT(BS$1,2)),"")</f>
        <v>51</v>
      </c>
      <c r="BT77" s="16" cm="1">
        <f t="array" ref="BT77">IFERROR(INDEX(_xlfn.ANCHORARRAY(_xlfn.XLOOKUP($C77,'-ref_Distribution'!$B$146:$B$150,'-ref_Distribution'!$G$146:$G$150)),RIGHT(BT$1,2)),"")</f>
        <v>65</v>
      </c>
      <c r="BU77" s="16" cm="1">
        <f t="array" ref="BU77">IFERROR(INDEX(_xlfn.ANCHORARRAY(_xlfn.XLOOKUP($C77,'-ref_Distribution'!$B$146:$B$150,'-ref_Distribution'!$G$146:$G$150)),RIGHT(BU$1,2)),"")</f>
        <v>80</v>
      </c>
      <c r="BV77" s="16" cm="1">
        <f t="array" ref="BV77">IFERROR(INDEX(_xlfn.ANCHORARRAY(_xlfn.XLOOKUP($C77,'-ref_Distribution'!$B$146:$B$150,'-ref_Distribution'!$G$146:$G$150)),RIGHT(BV$1,2)),"")</f>
        <v>96</v>
      </c>
      <c r="BW77" s="16" cm="1">
        <f t="array" ref="BW77">IFERROR(INDEX(_xlfn.ANCHORARRAY(_xlfn.XLOOKUP($C77,'-ref_Distribution'!$B$146:$B$150,'-ref_Distribution'!$G$146:$G$150)),RIGHT(BW$1,2)),"")</f>
        <v>111</v>
      </c>
      <c r="BX77" s="16" cm="1">
        <f t="array" ref="BX77">IFERROR(INDEX(_xlfn.ANCHORARRAY(_xlfn.XLOOKUP($C77,'-ref_Distribution'!$B$146:$B$150,'-ref_Distribution'!$G$146:$G$150)),RIGHT(BX$1,2)),"")</f>
        <v>125</v>
      </c>
      <c r="BY77" s="16" cm="1">
        <f t="array" ref="BY77">IFERROR(INDEX(_xlfn.ANCHORARRAY(_xlfn.XLOOKUP($C77,'-ref_Distribution'!$B$146:$B$150,'-ref_Distribution'!$G$146:$G$150)),RIGHT(BY$1,2)),"")</f>
        <v>135</v>
      </c>
      <c r="BZ77" s="16" cm="1">
        <f t="array" ref="BZ77">IFERROR(INDEX(_xlfn.ANCHORARRAY(_xlfn.XLOOKUP($C77,'-ref_Distribution'!$B$146:$B$150,'-ref_Distribution'!$G$146:$G$150)),RIGHT(BZ$1,2)),"")</f>
        <v>142</v>
      </c>
      <c r="CA77" s="16" cm="1">
        <f t="array" ref="CA77">IFERROR(INDEX(_xlfn.ANCHORARRAY(_xlfn.XLOOKUP($C77,'-ref_Distribution'!$B$146:$B$150,'-ref_Distribution'!$G$146:$G$150)),RIGHT(CA$1,2)),"")</f>
        <v>144</v>
      </c>
      <c r="CB77" s="16" cm="1">
        <f t="array" ref="CB77">IFERROR(INDEX(_xlfn.ANCHORARRAY(_xlfn.XLOOKUP($C77,'-ref_Distribution'!$B$146:$B$150,'-ref_Distribution'!$G$146:$G$150)),RIGHT(CB$1,2)),"")</f>
        <v>142</v>
      </c>
      <c r="CC77" s="16" cm="1">
        <f t="array" ref="CC77">IFERROR(INDEX(_xlfn.ANCHORARRAY(_xlfn.XLOOKUP($C77,'-ref_Distribution'!$B$146:$B$150,'-ref_Distribution'!$G$146:$G$150)),RIGHT(CC$1,2)),"")</f>
        <v>135</v>
      </c>
      <c r="CD77" s="16" cm="1">
        <f t="array" ref="CD77">IFERROR(INDEX(_xlfn.ANCHORARRAY(_xlfn.XLOOKUP($C77,'-ref_Distribution'!$B$146:$B$150,'-ref_Distribution'!$G$146:$G$150)),RIGHT(CD$1,2)),"")</f>
        <v>125</v>
      </c>
      <c r="CE77" s="16" cm="1">
        <f t="array" ref="CE77">IFERROR(INDEX(_xlfn.ANCHORARRAY(_xlfn.XLOOKUP($C77,'-ref_Distribution'!$B$146:$B$150,'-ref_Distribution'!$G$146:$G$150)),RIGHT(CE$1,2)),"")</f>
        <v>111</v>
      </c>
    </row>
    <row r="78" spans="1:83" x14ac:dyDescent="0.2">
      <c r="D78" s="16" t="str" cm="1">
        <f t="array" ref="D78">IFERROR(INDEX(_xlfn.ANCHORARRAY(_xlfn.XLOOKUP($C78,'-ref_Distribution'!$B$146:$B$150,'-ref_Distribution'!$G$146:$G$150)),RIGHT(D$1,2)),"")</f>
        <v/>
      </c>
      <c r="E78" s="16" t="str" cm="1">
        <f t="array" ref="E78">IFERROR(INDEX(_xlfn.ANCHORARRAY(_xlfn.XLOOKUP($C78,'-ref_Distribution'!$B$146:$B$150,'-ref_Distribution'!$G$146:$G$150)),RIGHT(E$1,2)),"")</f>
        <v/>
      </c>
      <c r="F78" s="16" t="str" cm="1">
        <f t="array" ref="F78">IFERROR(INDEX(_xlfn.ANCHORARRAY(_xlfn.XLOOKUP($C78,'-ref_Distribution'!$B$146:$B$150,'-ref_Distribution'!$G$146:$G$150)),RIGHT(F$1,2)),"")</f>
        <v/>
      </c>
      <c r="G78" s="16" t="str" cm="1">
        <f t="array" ref="G78">IFERROR(INDEX(_xlfn.ANCHORARRAY(_xlfn.XLOOKUP($C78,'-ref_Distribution'!$B$146:$B$150,'-ref_Distribution'!$G$146:$G$150)),RIGHT(G$1,2)),"")</f>
        <v/>
      </c>
      <c r="H78" s="16" t="str" cm="1">
        <f t="array" ref="H78">IFERROR(INDEX(_xlfn.ANCHORARRAY(_xlfn.XLOOKUP($C78,'-ref_Distribution'!$B$146:$B$150,'-ref_Distribution'!$G$146:$G$150)),RIGHT(H$1,2)),"")</f>
        <v/>
      </c>
      <c r="I78" s="16" t="str" cm="1">
        <f t="array" ref="I78">IFERROR(INDEX(_xlfn.ANCHORARRAY(_xlfn.XLOOKUP($C78,'-ref_Distribution'!$B$146:$B$150,'-ref_Distribution'!$G$146:$G$150)),RIGHT(I$1,2)),"")</f>
        <v/>
      </c>
      <c r="J78" s="16" t="str" cm="1">
        <f t="array" ref="J78">IFERROR(INDEX(_xlfn.ANCHORARRAY(_xlfn.XLOOKUP($C78,'-ref_Distribution'!$B$146:$B$150,'-ref_Distribution'!$G$146:$G$150)),RIGHT(J$1,2)),"")</f>
        <v/>
      </c>
      <c r="K78" s="16" t="str" cm="1">
        <f t="array" ref="K78">IFERROR(INDEX(_xlfn.ANCHORARRAY(_xlfn.XLOOKUP($C78,'-ref_Distribution'!$B$146:$B$150,'-ref_Distribution'!$G$146:$G$150)),RIGHT(K$1,2)),"")</f>
        <v/>
      </c>
      <c r="L78" s="16" t="str" cm="1">
        <f t="array" ref="L78">IFERROR(INDEX(_xlfn.ANCHORARRAY(_xlfn.XLOOKUP($C78,'-ref_Distribution'!$B$146:$B$150,'-ref_Distribution'!$G$146:$G$150)),RIGHT(L$1,2)),"")</f>
        <v/>
      </c>
      <c r="M78" s="16" t="str" cm="1">
        <f t="array" ref="M78">IFERROR(INDEX(_xlfn.ANCHORARRAY(_xlfn.XLOOKUP($C78,'-ref_Distribution'!$B$146:$B$150,'-ref_Distribution'!$G$146:$G$150)),RIGHT(M$1,2)),"")</f>
        <v/>
      </c>
      <c r="N78" s="16" t="str" cm="1">
        <f t="array" ref="N78">IFERROR(INDEX(_xlfn.ANCHORARRAY(_xlfn.XLOOKUP($C78,'-ref_Distribution'!$B$146:$B$150,'-ref_Distribution'!$G$146:$G$150)),RIGHT(N$1,2)),"")</f>
        <v/>
      </c>
      <c r="O78" s="16" t="str" cm="1">
        <f t="array" ref="O78">IFERROR(INDEX(_xlfn.ANCHORARRAY(_xlfn.XLOOKUP($C78,'-ref_Distribution'!$B$146:$B$150,'-ref_Distribution'!$G$146:$G$150)),RIGHT(O$1,2)),"")</f>
        <v/>
      </c>
      <c r="P78" s="16" t="str" cm="1">
        <f t="array" ref="P78">IFERROR(INDEX(_xlfn.ANCHORARRAY(_xlfn.XLOOKUP($C78,'-ref_Distribution'!$B$146:$B$150,'-ref_Distribution'!$G$146:$G$150)),RIGHT(P$1,2)),"")</f>
        <v/>
      </c>
      <c r="Q78" s="16" t="str" cm="1">
        <f t="array" ref="Q78">IFERROR(INDEX(_xlfn.ANCHORARRAY(_xlfn.XLOOKUP($C78,'-ref_Distribution'!$B$146:$B$150,'-ref_Distribution'!$G$146:$G$150)),RIGHT(Q$1,2)),"")</f>
        <v/>
      </c>
      <c r="R78" s="16" t="str" cm="1">
        <f t="array" ref="R78">IFERROR(INDEX(_xlfn.ANCHORARRAY(_xlfn.XLOOKUP($C78,'-ref_Distribution'!$B$146:$B$150,'-ref_Distribution'!$G$146:$G$150)),RIGHT(R$1,2)),"")</f>
        <v/>
      </c>
      <c r="S78" s="16" t="str" cm="1">
        <f t="array" ref="S78">IFERROR(INDEX(_xlfn.ANCHORARRAY(_xlfn.XLOOKUP($C78,'-ref_Distribution'!$B$146:$B$150,'-ref_Distribution'!$G$146:$G$150)),RIGHT(S$1,2)),"")</f>
        <v/>
      </c>
      <c r="T78" s="16" t="str" cm="1">
        <f t="array" ref="T78">IFERROR(INDEX(_xlfn.ANCHORARRAY(_xlfn.XLOOKUP($C78,'-ref_Distribution'!$B$146:$B$150,'-ref_Distribution'!$G$146:$G$150)),RIGHT(T$1,2)),"")</f>
        <v/>
      </c>
      <c r="U78" s="16" t="str" cm="1">
        <f t="array" ref="U78">IFERROR(INDEX(_xlfn.ANCHORARRAY(_xlfn.XLOOKUP($C78,'-ref_Distribution'!$B$146:$B$150,'-ref_Distribution'!$G$146:$G$150)),RIGHT(U$1,2)),"")</f>
        <v/>
      </c>
      <c r="V78" s="16" t="str" cm="1">
        <f t="array" ref="V78">IFERROR(INDEX(_xlfn.ANCHORARRAY(_xlfn.XLOOKUP($C78,'-ref_Distribution'!$B$146:$B$150,'-ref_Distribution'!$G$146:$G$150)),RIGHT(V$1,2)),"")</f>
        <v/>
      </c>
      <c r="W78" s="16" t="str" cm="1">
        <f t="array" ref="W78">IFERROR(INDEX(_xlfn.ANCHORARRAY(_xlfn.XLOOKUP($C78,'-ref_Distribution'!$B$146:$B$150,'-ref_Distribution'!$G$146:$G$150)),RIGHT(W$1,2)),"")</f>
        <v/>
      </c>
      <c r="X78" s="16" t="str" cm="1">
        <f t="array" ref="X78">IFERROR(INDEX(_xlfn.ANCHORARRAY(_xlfn.XLOOKUP($C78,'-ref_Distribution'!$B$146:$B$150,'-ref_Distribution'!$G$146:$G$150)),RIGHT(X$1,2)),"")</f>
        <v/>
      </c>
      <c r="Y78" s="16" t="str" cm="1">
        <f t="array" ref="Y78">IFERROR(INDEX(_xlfn.ANCHORARRAY(_xlfn.XLOOKUP($C78,'-ref_Distribution'!$B$146:$B$150,'-ref_Distribution'!$G$146:$G$150)),RIGHT(Y$1,2)),"")</f>
        <v/>
      </c>
      <c r="Z78" s="16" t="str" cm="1">
        <f t="array" ref="Z78">IFERROR(INDEX(_xlfn.ANCHORARRAY(_xlfn.XLOOKUP($C78,'-ref_Distribution'!$B$146:$B$150,'-ref_Distribution'!$G$146:$G$150)),RIGHT(Z$1,2)),"")</f>
        <v/>
      </c>
      <c r="AA78" s="16" t="str" cm="1">
        <f t="array" ref="AA78">IFERROR(INDEX(_xlfn.ANCHORARRAY(_xlfn.XLOOKUP($C78,'-ref_Distribution'!$B$146:$B$150,'-ref_Distribution'!$G$146:$G$150)),RIGHT(AA$1,2)),"")</f>
        <v/>
      </c>
      <c r="AB78" s="16" t="str" cm="1">
        <f t="array" ref="AB78">IFERROR(INDEX(_xlfn.ANCHORARRAY(_xlfn.XLOOKUP($C78,'-ref_Distribution'!$B$146:$B$150,'-ref_Distribution'!$G$146:$G$150)),RIGHT(AB$1,2)),"")</f>
        <v/>
      </c>
      <c r="AC78" s="16" t="str" cm="1">
        <f t="array" ref="AC78">IFERROR(INDEX(_xlfn.ANCHORARRAY(_xlfn.XLOOKUP($C78,'-ref_Distribution'!$B$146:$B$150,'-ref_Distribution'!$G$146:$G$150)),RIGHT(AC$1,2)),"")</f>
        <v/>
      </c>
      <c r="AD78" s="16" t="str" cm="1">
        <f t="array" ref="AD78">IFERROR(INDEX(_xlfn.ANCHORARRAY(_xlfn.XLOOKUP($C78,'-ref_Distribution'!$B$146:$B$150,'-ref_Distribution'!$G$146:$G$150)),RIGHT(AD$1,2)),"")</f>
        <v/>
      </c>
      <c r="AE78" s="16" t="str" cm="1">
        <f t="array" ref="AE78">IFERROR(INDEX(_xlfn.ANCHORARRAY(_xlfn.XLOOKUP($C78,'-ref_Distribution'!$B$146:$B$150,'-ref_Distribution'!$G$146:$G$150)),RIGHT(AE$1,2)),"")</f>
        <v/>
      </c>
      <c r="AF78" s="16" t="str" cm="1">
        <f t="array" ref="AF78">IFERROR(INDEX(_xlfn.ANCHORARRAY(_xlfn.XLOOKUP($C78,'-ref_Distribution'!$B$146:$B$150,'-ref_Distribution'!$G$146:$G$150)),RIGHT(AF$1,2)),"")</f>
        <v/>
      </c>
      <c r="AG78" s="16" t="str" cm="1">
        <f t="array" ref="AG78">IFERROR(INDEX(_xlfn.ANCHORARRAY(_xlfn.XLOOKUP($C78,'-ref_Distribution'!$B$146:$B$150,'-ref_Distribution'!$G$146:$G$150)),RIGHT(AG$1,2)),"")</f>
        <v/>
      </c>
      <c r="AH78" s="16" t="str" cm="1">
        <f t="array" ref="AH78">IFERROR(INDEX(_xlfn.ANCHORARRAY(_xlfn.XLOOKUP($C78,'-ref_Distribution'!$B$146:$B$150,'-ref_Distribution'!$G$146:$G$150)),RIGHT(AH$1,2)),"")</f>
        <v/>
      </c>
      <c r="AI78" s="16" t="str" cm="1">
        <f t="array" ref="AI78">IFERROR(INDEX(_xlfn.ANCHORARRAY(_xlfn.XLOOKUP($C78,'-ref_Distribution'!$B$146:$B$150,'-ref_Distribution'!$G$146:$G$150)),RIGHT(AI$1,2)),"")</f>
        <v/>
      </c>
      <c r="AJ78" s="16" t="str" cm="1">
        <f t="array" ref="AJ78">IFERROR(INDEX(_xlfn.ANCHORARRAY(_xlfn.XLOOKUP($C78,'-ref_Distribution'!$B$146:$B$150,'-ref_Distribution'!$G$146:$G$150)),RIGHT(AJ$1,2)),"")</f>
        <v/>
      </c>
      <c r="AK78" s="16" t="str" cm="1">
        <f t="array" ref="AK78">IFERROR(INDEX(_xlfn.ANCHORARRAY(_xlfn.XLOOKUP($C78,'-ref_Distribution'!$B$146:$B$150,'-ref_Distribution'!$G$146:$G$150)),RIGHT(AK$1,2)),"")</f>
        <v/>
      </c>
      <c r="AL78" s="16" t="str" cm="1">
        <f t="array" ref="AL78">IFERROR(INDEX(_xlfn.ANCHORARRAY(_xlfn.XLOOKUP($C78,'-ref_Distribution'!$B$146:$B$150,'-ref_Distribution'!$G$146:$G$150)),RIGHT(AL$1,2)),"")</f>
        <v/>
      </c>
      <c r="AM78" s="16" t="str" cm="1">
        <f t="array" ref="AM78">IFERROR(INDEX(_xlfn.ANCHORARRAY(_xlfn.XLOOKUP($C78,'-ref_Distribution'!$B$146:$B$150,'-ref_Distribution'!$G$146:$G$150)),RIGHT(AM$1,2)),"")</f>
        <v/>
      </c>
      <c r="AN78" s="16" t="str" cm="1">
        <f t="array" ref="AN78">IFERROR(INDEX(_xlfn.ANCHORARRAY(_xlfn.XLOOKUP($C78,'-ref_Distribution'!$B$146:$B$150,'-ref_Distribution'!$G$146:$G$150)),RIGHT(AN$1,2)),"")</f>
        <v/>
      </c>
      <c r="AO78" s="16" t="str" cm="1">
        <f t="array" ref="AO78">IFERROR(INDEX(_xlfn.ANCHORARRAY(_xlfn.XLOOKUP($C78,'-ref_Distribution'!$B$146:$B$150,'-ref_Distribution'!$G$146:$G$150)),RIGHT(AO$1,2)),"")</f>
        <v/>
      </c>
      <c r="AP78" s="16" t="str" cm="1">
        <f t="array" ref="AP78">IFERROR(INDEX(_xlfn.ANCHORARRAY(_xlfn.XLOOKUP($C78,'-ref_Distribution'!$B$146:$B$150,'-ref_Distribution'!$G$146:$G$150)),RIGHT(AP$1,2)),"")</f>
        <v/>
      </c>
      <c r="AQ78" s="16" t="str" cm="1">
        <f t="array" ref="AQ78">IFERROR(INDEX(_xlfn.ANCHORARRAY(_xlfn.XLOOKUP($C78,'-ref_Distribution'!$B$146:$B$150,'-ref_Distribution'!$G$146:$G$150)),RIGHT(AQ$1,2)),"")</f>
        <v/>
      </c>
      <c r="AR78" s="16" t="str" cm="1">
        <f t="array" ref="AR78">IFERROR(INDEX(_xlfn.ANCHORARRAY(_xlfn.XLOOKUP($C78,'-ref_Distribution'!$B$146:$B$150,'-ref_Distribution'!$G$146:$G$150)),RIGHT(AR$1,2)),"")</f>
        <v/>
      </c>
      <c r="AS78" s="16" t="str" cm="1">
        <f t="array" ref="AS78">IFERROR(INDEX(_xlfn.ANCHORARRAY(_xlfn.XLOOKUP($C78,'-ref_Distribution'!$B$146:$B$150,'-ref_Distribution'!$G$146:$G$150)),RIGHT(AS$1,2)),"")</f>
        <v/>
      </c>
      <c r="AT78" s="16" t="str" cm="1">
        <f t="array" ref="AT78">IFERROR(INDEX(_xlfn.ANCHORARRAY(_xlfn.XLOOKUP($C78,'-ref_Distribution'!$B$146:$B$150,'-ref_Distribution'!$G$146:$G$150)),RIGHT(AT$1,2)),"")</f>
        <v/>
      </c>
      <c r="AU78" s="16" t="str" cm="1">
        <f t="array" ref="AU78">IFERROR(INDEX(_xlfn.ANCHORARRAY(_xlfn.XLOOKUP($C78,'-ref_Distribution'!$B$146:$B$150,'-ref_Distribution'!$G$146:$G$150)),RIGHT(AU$1,2)),"")</f>
        <v/>
      </c>
      <c r="AV78" s="16" t="str" cm="1">
        <f t="array" ref="AV78">IFERROR(INDEX(_xlfn.ANCHORARRAY(_xlfn.XLOOKUP($C78,'-ref_Distribution'!$B$146:$B$150,'-ref_Distribution'!$G$146:$G$150)),RIGHT(AV$1,2)),"")</f>
        <v/>
      </c>
      <c r="AW78" s="16" t="str" cm="1">
        <f t="array" ref="AW78">IFERROR(INDEX(_xlfn.ANCHORARRAY(_xlfn.XLOOKUP($C78,'-ref_Distribution'!$B$146:$B$150,'-ref_Distribution'!$G$146:$G$150)),RIGHT(AW$1,2)),"")</f>
        <v/>
      </c>
      <c r="AX78" s="16" t="str" cm="1">
        <f t="array" ref="AX78">IFERROR(INDEX(_xlfn.ANCHORARRAY(_xlfn.XLOOKUP($C78,'-ref_Distribution'!$B$146:$B$150,'-ref_Distribution'!$G$146:$G$150)),RIGHT(AX$1,2)),"")</f>
        <v/>
      </c>
      <c r="AY78" s="16" t="str" cm="1">
        <f t="array" ref="AY78">IFERROR(INDEX(_xlfn.ANCHORARRAY(_xlfn.XLOOKUP($C78,'-ref_Distribution'!$B$146:$B$150,'-ref_Distribution'!$G$146:$G$150)),RIGHT(AY$1,2)),"")</f>
        <v/>
      </c>
      <c r="AZ78" s="16" t="str" cm="1">
        <f t="array" ref="AZ78">IFERROR(INDEX(_xlfn.ANCHORARRAY(_xlfn.XLOOKUP($C78,'-ref_Distribution'!$B$146:$B$150,'-ref_Distribution'!$G$146:$G$150)),RIGHT(AZ$1,2)),"")</f>
        <v/>
      </c>
      <c r="BA78" s="16" t="str" cm="1">
        <f t="array" ref="BA78">IFERROR(INDEX(_xlfn.ANCHORARRAY(_xlfn.XLOOKUP($C78,'-ref_Distribution'!$B$146:$B$150,'-ref_Distribution'!$G$146:$G$150)),RIGHT(BA$1,2)),"")</f>
        <v/>
      </c>
      <c r="BB78" s="16" t="str" cm="1">
        <f t="array" ref="BB78">IFERROR(INDEX(_xlfn.ANCHORARRAY(_xlfn.XLOOKUP($C78,'-ref_Distribution'!$B$146:$B$150,'-ref_Distribution'!$G$146:$G$150)),RIGHT(BB$1,2)),"")</f>
        <v/>
      </c>
      <c r="BC78" s="16" t="str" cm="1">
        <f t="array" ref="BC78">IFERROR(INDEX(_xlfn.ANCHORARRAY(_xlfn.XLOOKUP($C78,'-ref_Distribution'!$B$146:$B$150,'-ref_Distribution'!$G$146:$G$150)),RIGHT(BC$1,2)),"")</f>
        <v/>
      </c>
      <c r="BD78" s="16" t="str" cm="1">
        <f t="array" ref="BD78">IFERROR(INDEX(_xlfn.ANCHORARRAY(_xlfn.XLOOKUP($C78,'-ref_Distribution'!$B$146:$B$150,'-ref_Distribution'!$G$146:$G$150)),RIGHT(BD$1,2)),"")</f>
        <v/>
      </c>
      <c r="BE78" s="16" t="str" cm="1">
        <f t="array" ref="BE78">IFERROR(INDEX(_xlfn.ANCHORARRAY(_xlfn.XLOOKUP($C78,'-ref_Distribution'!$B$146:$B$150,'-ref_Distribution'!$G$146:$G$150)),RIGHT(BE$1,2)),"")</f>
        <v/>
      </c>
      <c r="BF78" s="16" t="str" cm="1">
        <f t="array" ref="BF78">IFERROR(INDEX(_xlfn.ANCHORARRAY(_xlfn.XLOOKUP($C78,'-ref_Distribution'!$B$146:$B$150,'-ref_Distribution'!$G$146:$G$150)),RIGHT(BF$1,2)),"")</f>
        <v/>
      </c>
      <c r="BG78" s="16" t="str" cm="1">
        <f t="array" ref="BG78">IFERROR(INDEX(_xlfn.ANCHORARRAY(_xlfn.XLOOKUP($C78,'-ref_Distribution'!$B$146:$B$150,'-ref_Distribution'!$G$146:$G$150)),RIGHT(BG$1,2)),"")</f>
        <v/>
      </c>
      <c r="BH78" s="16" t="str" cm="1">
        <f t="array" ref="BH78">IFERROR(INDEX(_xlfn.ANCHORARRAY(_xlfn.XLOOKUP($C78,'-ref_Distribution'!$B$146:$B$150,'-ref_Distribution'!$G$146:$G$150)),RIGHT(BH$1,2)),"")</f>
        <v/>
      </c>
      <c r="BI78" s="16" t="str" cm="1">
        <f t="array" ref="BI78">IFERROR(INDEX(_xlfn.ANCHORARRAY(_xlfn.XLOOKUP($C78,'-ref_Distribution'!$B$146:$B$150,'-ref_Distribution'!$G$146:$G$150)),RIGHT(BI$1,2)),"")</f>
        <v/>
      </c>
      <c r="BJ78" s="16" t="str" cm="1">
        <f t="array" ref="BJ78">IFERROR(INDEX(_xlfn.ANCHORARRAY(_xlfn.XLOOKUP($C78,'-ref_Distribution'!$B$146:$B$150,'-ref_Distribution'!$G$146:$G$150)),RIGHT(BJ$1,2)),"")</f>
        <v/>
      </c>
      <c r="BK78" s="16" t="str" cm="1">
        <f t="array" ref="BK78">IFERROR(INDEX(_xlfn.ANCHORARRAY(_xlfn.XLOOKUP($C78,'-ref_Distribution'!$B$146:$B$150,'-ref_Distribution'!$G$146:$G$150)),RIGHT(BK$1,2)),"")</f>
        <v/>
      </c>
      <c r="BL78" s="16" t="str" cm="1">
        <f t="array" ref="BL78">IFERROR(INDEX(_xlfn.ANCHORARRAY(_xlfn.XLOOKUP($C78,'-ref_Distribution'!$B$146:$B$150,'-ref_Distribution'!$G$146:$G$150)),RIGHT(BL$1,2)),"")</f>
        <v/>
      </c>
      <c r="BM78" s="16" t="str" cm="1">
        <f t="array" ref="BM78">IFERROR(INDEX(_xlfn.ANCHORARRAY(_xlfn.XLOOKUP($C78,'-ref_Distribution'!$B$146:$B$150,'-ref_Distribution'!$G$146:$G$150)),RIGHT(BM$1,2)),"")</f>
        <v/>
      </c>
      <c r="BN78" s="16" t="str" cm="1">
        <f t="array" ref="BN78">IFERROR(INDEX(_xlfn.ANCHORARRAY(_xlfn.XLOOKUP($C78,'-ref_Distribution'!$B$146:$B$150,'-ref_Distribution'!$G$146:$G$150)),RIGHT(BN$1,2)),"")</f>
        <v/>
      </c>
      <c r="BO78" s="16" t="str" cm="1">
        <f t="array" ref="BO78">IFERROR(INDEX(_xlfn.ANCHORARRAY(_xlfn.XLOOKUP($C78,'-ref_Distribution'!$B$146:$B$150,'-ref_Distribution'!$G$146:$G$150)),RIGHT(BO$1,2)),"")</f>
        <v/>
      </c>
      <c r="BP78" s="16" t="str" cm="1">
        <f t="array" ref="BP78">IFERROR(INDEX(_xlfn.ANCHORARRAY(_xlfn.XLOOKUP($C78,'-ref_Distribution'!$B$146:$B$150,'-ref_Distribution'!$G$146:$G$150)),RIGHT(BP$1,2)),"")</f>
        <v/>
      </c>
      <c r="BQ78" s="16" t="str" cm="1">
        <f t="array" ref="BQ78">IFERROR(INDEX(_xlfn.ANCHORARRAY(_xlfn.XLOOKUP($C78,'-ref_Distribution'!$B$146:$B$150,'-ref_Distribution'!$G$146:$G$150)),RIGHT(BQ$1,2)),"")</f>
        <v/>
      </c>
      <c r="BR78" s="16" t="str" cm="1">
        <f t="array" ref="BR78">IFERROR(INDEX(_xlfn.ANCHORARRAY(_xlfn.XLOOKUP($C78,'-ref_Distribution'!$B$146:$B$150,'-ref_Distribution'!$G$146:$G$150)),RIGHT(BR$1,2)),"")</f>
        <v/>
      </c>
      <c r="BS78" s="16" t="str" cm="1">
        <f t="array" ref="BS78">IFERROR(INDEX(_xlfn.ANCHORARRAY(_xlfn.XLOOKUP($C78,'-ref_Distribution'!$B$146:$B$150,'-ref_Distribution'!$G$146:$G$150)),RIGHT(BS$1,2)),"")</f>
        <v/>
      </c>
      <c r="BT78" s="16" t="str" cm="1">
        <f t="array" ref="BT78">IFERROR(INDEX(_xlfn.ANCHORARRAY(_xlfn.XLOOKUP($C78,'-ref_Distribution'!$B$146:$B$150,'-ref_Distribution'!$G$146:$G$150)),RIGHT(BT$1,2)),"")</f>
        <v/>
      </c>
      <c r="BU78" s="16" t="str" cm="1">
        <f t="array" ref="BU78">IFERROR(INDEX(_xlfn.ANCHORARRAY(_xlfn.XLOOKUP($C78,'-ref_Distribution'!$B$146:$B$150,'-ref_Distribution'!$G$146:$G$150)),RIGHT(BU$1,2)),"")</f>
        <v/>
      </c>
      <c r="BV78" s="16" t="str" cm="1">
        <f t="array" ref="BV78">IFERROR(INDEX(_xlfn.ANCHORARRAY(_xlfn.XLOOKUP($C78,'-ref_Distribution'!$B$146:$B$150,'-ref_Distribution'!$G$146:$G$150)),RIGHT(BV$1,2)),"")</f>
        <v/>
      </c>
      <c r="BW78" s="16" t="str" cm="1">
        <f t="array" ref="BW78">IFERROR(INDEX(_xlfn.ANCHORARRAY(_xlfn.XLOOKUP($C78,'-ref_Distribution'!$B$146:$B$150,'-ref_Distribution'!$G$146:$G$150)),RIGHT(BW$1,2)),"")</f>
        <v/>
      </c>
      <c r="BX78" s="16" t="str" cm="1">
        <f t="array" ref="BX78">IFERROR(INDEX(_xlfn.ANCHORARRAY(_xlfn.XLOOKUP($C78,'-ref_Distribution'!$B$146:$B$150,'-ref_Distribution'!$G$146:$G$150)),RIGHT(BX$1,2)),"")</f>
        <v/>
      </c>
      <c r="BY78" s="16" t="str" cm="1">
        <f t="array" ref="BY78">IFERROR(INDEX(_xlfn.ANCHORARRAY(_xlfn.XLOOKUP($C78,'-ref_Distribution'!$B$146:$B$150,'-ref_Distribution'!$G$146:$G$150)),RIGHT(BY$1,2)),"")</f>
        <v/>
      </c>
      <c r="BZ78" s="16" t="str" cm="1">
        <f t="array" ref="BZ78">IFERROR(INDEX(_xlfn.ANCHORARRAY(_xlfn.XLOOKUP($C78,'-ref_Distribution'!$B$146:$B$150,'-ref_Distribution'!$G$146:$G$150)),RIGHT(BZ$1,2)),"")</f>
        <v/>
      </c>
      <c r="CA78" s="16" t="str" cm="1">
        <f t="array" ref="CA78">IFERROR(INDEX(_xlfn.ANCHORARRAY(_xlfn.XLOOKUP($C78,'-ref_Distribution'!$B$146:$B$150,'-ref_Distribution'!$G$146:$G$150)),RIGHT(CA$1,2)),"")</f>
        <v/>
      </c>
      <c r="CB78" s="16" t="str" cm="1">
        <f t="array" ref="CB78">IFERROR(INDEX(_xlfn.ANCHORARRAY(_xlfn.XLOOKUP($C78,'-ref_Distribution'!$B$146:$B$150,'-ref_Distribution'!$G$146:$G$150)),RIGHT(CB$1,2)),"")</f>
        <v/>
      </c>
      <c r="CC78" s="16" t="str" cm="1">
        <f t="array" ref="CC78">IFERROR(INDEX(_xlfn.ANCHORARRAY(_xlfn.XLOOKUP($C78,'-ref_Distribution'!$B$146:$B$150,'-ref_Distribution'!$G$146:$G$150)),RIGHT(CC$1,2)),"")</f>
        <v/>
      </c>
      <c r="CD78" s="16" t="str" cm="1">
        <f t="array" ref="CD78">IFERROR(INDEX(_xlfn.ANCHORARRAY(_xlfn.XLOOKUP($C78,'-ref_Distribution'!$B$146:$B$150,'-ref_Distribution'!$G$146:$G$150)),RIGHT(CD$1,2)),"")</f>
        <v/>
      </c>
      <c r="CE78" s="16" t="str" cm="1">
        <f t="array" ref="CE78">IFERROR(INDEX(_xlfn.ANCHORARRAY(_xlfn.XLOOKUP($C78,'-ref_Distribution'!$B$146:$B$150,'-ref_Distribution'!$G$146:$G$150)),RIGHT(CE$1,2)),"")</f>
        <v/>
      </c>
    </row>
    <row r="79" spans="1:83" x14ac:dyDescent="0.2">
      <c r="A79" s="16">
        <v>310501</v>
      </c>
      <c r="B79" s="16" t="s">
        <v>381</v>
      </c>
      <c r="C79" s="16">
        <v>2</v>
      </c>
      <c r="D79" s="16" cm="1">
        <f t="array" ref="D79">IFERROR(INDEX(_xlfn.ANCHORARRAY(_xlfn.XLOOKUP($C79,'-ref_Distribution'!$B$146:$B$150,'-ref_Distribution'!$G$146:$G$150)),RIGHT(D$1,2)),"")</f>
        <v>75</v>
      </c>
      <c r="E79" s="16" cm="1">
        <f t="array" ref="E79">IFERROR(INDEX(_xlfn.ANCHORARRAY(_xlfn.XLOOKUP($C79,'-ref_Distribution'!$B$146:$B$150,'-ref_Distribution'!$G$146:$G$150)),RIGHT(E$1,2)),"")</f>
        <v>94</v>
      </c>
      <c r="F79" s="16" cm="1">
        <f t="array" ref="F79">IFERROR(INDEX(_xlfn.ANCHORARRAY(_xlfn.XLOOKUP($C79,'-ref_Distribution'!$B$146:$B$150,'-ref_Distribution'!$G$146:$G$150)),RIGHT(F$1,2)),"")</f>
        <v>115</v>
      </c>
      <c r="G79" s="16" cm="1">
        <f t="array" ref="G79">IFERROR(INDEX(_xlfn.ANCHORARRAY(_xlfn.XLOOKUP($C79,'-ref_Distribution'!$B$146:$B$150,'-ref_Distribution'!$G$146:$G$150)),RIGHT(G$1,2)),"")</f>
        <v>137</v>
      </c>
      <c r="H79" s="16" cm="1">
        <f t="array" ref="H79">IFERROR(INDEX(_xlfn.ANCHORARRAY(_xlfn.XLOOKUP($C79,'-ref_Distribution'!$B$146:$B$150,'-ref_Distribution'!$G$146:$G$150)),RIGHT(H$1,2)),"")</f>
        <v>160</v>
      </c>
      <c r="I79" s="16" cm="1">
        <f t="array" ref="I79">IFERROR(INDEX(_xlfn.ANCHORARRAY(_xlfn.XLOOKUP($C79,'-ref_Distribution'!$B$146:$B$150,'-ref_Distribution'!$G$146:$G$150)),RIGHT(I$1,2)),"")</f>
        <v>183</v>
      </c>
      <c r="J79" s="16" cm="1">
        <f t="array" ref="J79">IFERROR(INDEX(_xlfn.ANCHORARRAY(_xlfn.XLOOKUP($C79,'-ref_Distribution'!$B$146:$B$150,'-ref_Distribution'!$G$146:$G$150)),RIGHT(J$1,2)),"")</f>
        <v>203</v>
      </c>
      <c r="K79" s="16" cm="1">
        <f t="array" ref="K79">IFERROR(INDEX(_xlfn.ANCHORARRAY(_xlfn.XLOOKUP($C79,'-ref_Distribution'!$B$146:$B$150,'-ref_Distribution'!$G$146:$G$150)),RIGHT(K$1,2)),"")</f>
        <v>221</v>
      </c>
      <c r="L79" s="16" cm="1">
        <f t="array" ref="L79">IFERROR(INDEX(_xlfn.ANCHORARRAY(_xlfn.XLOOKUP($C79,'-ref_Distribution'!$B$146:$B$150,'-ref_Distribution'!$G$146:$G$150)),RIGHT(L$1,2)),"")</f>
        <v>234</v>
      </c>
      <c r="M79" s="16" cm="1">
        <f t="array" ref="M79">IFERROR(INDEX(_xlfn.ANCHORARRAY(_xlfn.XLOOKUP($C79,'-ref_Distribution'!$B$146:$B$150,'-ref_Distribution'!$G$146:$G$150)),RIGHT(M$1,2)),"")</f>
        <v>243</v>
      </c>
      <c r="N79" s="16" cm="1">
        <f t="array" ref="N79">IFERROR(INDEX(_xlfn.ANCHORARRAY(_xlfn.XLOOKUP($C79,'-ref_Distribution'!$B$146:$B$150,'-ref_Distribution'!$G$146:$G$150)),RIGHT(N$1,2)),"")</f>
        <v>245</v>
      </c>
      <c r="O79" s="16" cm="1">
        <f t="array" ref="O79">IFERROR(INDEX(_xlfn.ANCHORARRAY(_xlfn.XLOOKUP($C79,'-ref_Distribution'!$B$146:$B$150,'-ref_Distribution'!$G$146:$G$150)),RIGHT(O$1,2)),"")</f>
        <v>243</v>
      </c>
      <c r="P79" s="16" cm="1">
        <f t="array" ref="P79">IFERROR(INDEX(_xlfn.ANCHORARRAY(_xlfn.XLOOKUP($C79,'-ref_Distribution'!$B$146:$B$150,'-ref_Distribution'!$G$146:$G$150)),RIGHT(P$1,2)),"")</f>
        <v>234</v>
      </c>
      <c r="Q79" s="16" cm="1">
        <f t="array" ref="Q79">IFERROR(INDEX(_xlfn.ANCHORARRAY(_xlfn.XLOOKUP($C79,'-ref_Distribution'!$B$146:$B$150,'-ref_Distribution'!$G$146:$G$150)),RIGHT(Q$1,2)),"")</f>
        <v>221</v>
      </c>
      <c r="R79" s="16" cm="1">
        <f t="array" ref="R79">IFERROR(INDEX(_xlfn.ANCHORARRAY(_xlfn.XLOOKUP($C79,'-ref_Distribution'!$B$146:$B$150,'-ref_Distribution'!$G$146:$G$150)),RIGHT(R$1,2)),"")</f>
        <v>203</v>
      </c>
      <c r="S79" s="16" cm="1">
        <f t="array" ref="S79">IFERROR(INDEX(_xlfn.ANCHORARRAY(_xlfn.XLOOKUP($C79,'-ref_Distribution'!$B$146:$B$150,'-ref_Distribution'!$G$146:$G$150)),RIGHT(S$1,2)),"")</f>
        <v>183</v>
      </c>
      <c r="T79" s="16" cm="1">
        <f t="array" ref="T79">IFERROR(INDEX(_xlfn.ANCHORARRAY(_xlfn.XLOOKUP($C79,'-ref_Distribution'!$B$146:$B$150,'-ref_Distribution'!$G$146:$G$150)),RIGHT(T$1,2)),"")</f>
        <v>160</v>
      </c>
      <c r="U79" s="16" cm="1">
        <f t="array" ref="U79">IFERROR(INDEX(_xlfn.ANCHORARRAY(_xlfn.XLOOKUP($C79,'-ref_Distribution'!$B$146:$B$150,'-ref_Distribution'!$G$146:$G$150)),RIGHT(U$1,2)),"")</f>
        <v>137</v>
      </c>
      <c r="V79" s="16" cm="1">
        <f t="array" ref="V79">IFERROR(INDEX(_xlfn.ANCHORARRAY(_xlfn.XLOOKUP($C79,'-ref_Distribution'!$B$146:$B$150,'-ref_Distribution'!$G$146:$G$150)),RIGHT(V$1,2)),"")</f>
        <v>115</v>
      </c>
      <c r="W79" s="16" cm="1">
        <f t="array" ref="W79">IFERROR(INDEX(_xlfn.ANCHORARRAY(_xlfn.XLOOKUP($C79,'-ref_Distribution'!$B$146:$B$150,'-ref_Distribution'!$G$146:$G$150)),RIGHT(W$1,2)),"")</f>
        <v>94</v>
      </c>
      <c r="X79" s="16" cm="1">
        <f t="array" ref="X79">IFERROR(INDEX(_xlfn.ANCHORARRAY(_xlfn.XLOOKUP($C79,'-ref_Distribution'!$B$146:$B$150,'-ref_Distribution'!$G$146:$G$150)),RIGHT(X$1,2)),"")</f>
        <v>75</v>
      </c>
      <c r="Y79" s="16" cm="1">
        <f t="array" ref="Y79">IFERROR(INDEX(_xlfn.ANCHORARRAY(_xlfn.XLOOKUP($C79,'-ref_Distribution'!$B$146:$B$150,'-ref_Distribution'!$G$146:$G$150)),RIGHT(Y$1,2)),"")</f>
        <v>94</v>
      </c>
      <c r="Z79" s="16" cm="1">
        <f t="array" ref="Z79">IFERROR(INDEX(_xlfn.ANCHORARRAY(_xlfn.XLOOKUP($C79,'-ref_Distribution'!$B$146:$B$150,'-ref_Distribution'!$G$146:$G$150)),RIGHT(Z$1,2)),"")</f>
        <v>115</v>
      </c>
      <c r="AA79" s="16" cm="1">
        <f t="array" ref="AA79">IFERROR(INDEX(_xlfn.ANCHORARRAY(_xlfn.XLOOKUP($C79,'-ref_Distribution'!$B$146:$B$150,'-ref_Distribution'!$G$146:$G$150)),RIGHT(AA$1,2)),"")</f>
        <v>137</v>
      </c>
      <c r="AB79" s="16" cm="1">
        <f t="array" ref="AB79">IFERROR(INDEX(_xlfn.ANCHORARRAY(_xlfn.XLOOKUP($C79,'-ref_Distribution'!$B$146:$B$150,'-ref_Distribution'!$G$146:$G$150)),RIGHT(AB$1,2)),"")</f>
        <v>160</v>
      </c>
      <c r="AC79" s="16" cm="1">
        <f t="array" ref="AC79">IFERROR(INDEX(_xlfn.ANCHORARRAY(_xlfn.XLOOKUP($C79,'-ref_Distribution'!$B$146:$B$150,'-ref_Distribution'!$G$146:$G$150)),RIGHT(AC$1,2)),"")</f>
        <v>183</v>
      </c>
      <c r="AD79" s="16" cm="1">
        <f t="array" ref="AD79">IFERROR(INDEX(_xlfn.ANCHORARRAY(_xlfn.XLOOKUP($C79,'-ref_Distribution'!$B$146:$B$150,'-ref_Distribution'!$G$146:$G$150)),RIGHT(AD$1,2)),"")</f>
        <v>203</v>
      </c>
      <c r="AE79" s="16" cm="1">
        <f t="array" ref="AE79">IFERROR(INDEX(_xlfn.ANCHORARRAY(_xlfn.XLOOKUP($C79,'-ref_Distribution'!$B$146:$B$150,'-ref_Distribution'!$G$146:$G$150)),RIGHT(AE$1,2)),"")</f>
        <v>221</v>
      </c>
      <c r="AF79" s="16" cm="1">
        <f t="array" ref="AF79">IFERROR(INDEX(_xlfn.ANCHORARRAY(_xlfn.XLOOKUP($C79,'-ref_Distribution'!$B$146:$B$150,'-ref_Distribution'!$G$146:$G$150)),RIGHT(AF$1,2)),"")</f>
        <v>234</v>
      </c>
      <c r="AG79" s="16" cm="1">
        <f t="array" ref="AG79">IFERROR(INDEX(_xlfn.ANCHORARRAY(_xlfn.XLOOKUP($C79,'-ref_Distribution'!$B$146:$B$150,'-ref_Distribution'!$G$146:$G$150)),RIGHT(AG$1,2)),"")</f>
        <v>243</v>
      </c>
      <c r="AH79" s="16" cm="1">
        <f t="array" ref="AH79">IFERROR(INDEX(_xlfn.ANCHORARRAY(_xlfn.XLOOKUP($C79,'-ref_Distribution'!$B$146:$B$150,'-ref_Distribution'!$G$146:$G$150)),RIGHT(AH$1,2)),"")</f>
        <v>245</v>
      </c>
      <c r="AI79" s="16" cm="1">
        <f t="array" ref="AI79">IFERROR(INDEX(_xlfn.ANCHORARRAY(_xlfn.XLOOKUP($C79,'-ref_Distribution'!$B$146:$B$150,'-ref_Distribution'!$G$146:$G$150)),RIGHT(AI$1,2)),"")</f>
        <v>243</v>
      </c>
      <c r="AJ79" s="16" cm="1">
        <f t="array" ref="AJ79">IFERROR(INDEX(_xlfn.ANCHORARRAY(_xlfn.XLOOKUP($C79,'-ref_Distribution'!$B$146:$B$150,'-ref_Distribution'!$G$146:$G$150)),RIGHT(AJ$1,2)),"")</f>
        <v>234</v>
      </c>
      <c r="AK79" s="16" cm="1">
        <f t="array" ref="AK79">IFERROR(INDEX(_xlfn.ANCHORARRAY(_xlfn.XLOOKUP($C79,'-ref_Distribution'!$B$146:$B$150,'-ref_Distribution'!$G$146:$G$150)),RIGHT(AK$1,2)),"")</f>
        <v>221</v>
      </c>
      <c r="AL79" s="16" cm="1">
        <f t="array" ref="AL79">IFERROR(INDEX(_xlfn.ANCHORARRAY(_xlfn.XLOOKUP($C79,'-ref_Distribution'!$B$146:$B$150,'-ref_Distribution'!$G$146:$G$150)),RIGHT(AL$1,2)),"")</f>
        <v>203</v>
      </c>
      <c r="AM79" s="16" cm="1">
        <f t="array" ref="AM79">IFERROR(INDEX(_xlfn.ANCHORARRAY(_xlfn.XLOOKUP($C79,'-ref_Distribution'!$B$146:$B$150,'-ref_Distribution'!$G$146:$G$150)),RIGHT(AM$1,2)),"")</f>
        <v>183</v>
      </c>
      <c r="AN79" s="16" cm="1">
        <f t="array" ref="AN79">IFERROR(INDEX(_xlfn.ANCHORARRAY(_xlfn.XLOOKUP($C79,'-ref_Distribution'!$B$146:$B$150,'-ref_Distribution'!$G$146:$G$150)),RIGHT(AN$1,2)),"")</f>
        <v>160</v>
      </c>
      <c r="AO79" s="16" cm="1">
        <f t="array" ref="AO79">IFERROR(INDEX(_xlfn.ANCHORARRAY(_xlfn.XLOOKUP($C79,'-ref_Distribution'!$B$146:$B$150,'-ref_Distribution'!$G$146:$G$150)),RIGHT(AO$1,2)),"")</f>
        <v>137</v>
      </c>
      <c r="AP79" s="16" cm="1">
        <f t="array" ref="AP79">IFERROR(INDEX(_xlfn.ANCHORARRAY(_xlfn.XLOOKUP($C79,'-ref_Distribution'!$B$146:$B$150,'-ref_Distribution'!$G$146:$G$150)),RIGHT(AP$1,2)),"")</f>
        <v>115</v>
      </c>
      <c r="AQ79" s="16" cm="1">
        <f t="array" ref="AQ79">IFERROR(INDEX(_xlfn.ANCHORARRAY(_xlfn.XLOOKUP($C79,'-ref_Distribution'!$B$146:$B$150,'-ref_Distribution'!$G$146:$G$150)),RIGHT(AQ$1,2)),"")</f>
        <v>94</v>
      </c>
      <c r="AR79" s="16" cm="1">
        <f t="array" ref="AR79">IFERROR(INDEX(_xlfn.ANCHORARRAY(_xlfn.XLOOKUP($C79,'-ref_Distribution'!$B$146:$B$150,'-ref_Distribution'!$G$146:$G$150)),RIGHT(AR$1,2)),"")</f>
        <v>75</v>
      </c>
      <c r="AS79" s="16" cm="1">
        <f t="array" ref="AS79">IFERROR(INDEX(_xlfn.ANCHORARRAY(_xlfn.XLOOKUP($C79,'-ref_Distribution'!$B$146:$B$150,'-ref_Distribution'!$G$146:$G$150)),RIGHT(AS$1,2)),"")</f>
        <v>94</v>
      </c>
      <c r="AT79" s="16" cm="1">
        <f t="array" ref="AT79">IFERROR(INDEX(_xlfn.ANCHORARRAY(_xlfn.XLOOKUP($C79,'-ref_Distribution'!$B$146:$B$150,'-ref_Distribution'!$G$146:$G$150)),RIGHT(AT$1,2)),"")</f>
        <v>115</v>
      </c>
      <c r="AU79" s="16" cm="1">
        <f t="array" ref="AU79">IFERROR(INDEX(_xlfn.ANCHORARRAY(_xlfn.XLOOKUP($C79,'-ref_Distribution'!$B$146:$B$150,'-ref_Distribution'!$G$146:$G$150)),RIGHT(AU$1,2)),"")</f>
        <v>137</v>
      </c>
      <c r="AV79" s="16" cm="1">
        <f t="array" ref="AV79">IFERROR(INDEX(_xlfn.ANCHORARRAY(_xlfn.XLOOKUP($C79,'-ref_Distribution'!$B$146:$B$150,'-ref_Distribution'!$G$146:$G$150)),RIGHT(AV$1,2)),"")</f>
        <v>160</v>
      </c>
      <c r="AW79" s="16" cm="1">
        <f t="array" ref="AW79">IFERROR(INDEX(_xlfn.ANCHORARRAY(_xlfn.XLOOKUP($C79,'-ref_Distribution'!$B$146:$B$150,'-ref_Distribution'!$G$146:$G$150)),RIGHT(AW$1,2)),"")</f>
        <v>183</v>
      </c>
      <c r="AX79" s="16" cm="1">
        <f t="array" ref="AX79">IFERROR(INDEX(_xlfn.ANCHORARRAY(_xlfn.XLOOKUP($C79,'-ref_Distribution'!$B$146:$B$150,'-ref_Distribution'!$G$146:$G$150)),RIGHT(AX$1,2)),"")</f>
        <v>203</v>
      </c>
      <c r="AY79" s="16" cm="1">
        <f t="array" ref="AY79">IFERROR(INDEX(_xlfn.ANCHORARRAY(_xlfn.XLOOKUP($C79,'-ref_Distribution'!$B$146:$B$150,'-ref_Distribution'!$G$146:$G$150)),RIGHT(AY$1,2)),"")</f>
        <v>221</v>
      </c>
      <c r="AZ79" s="16" cm="1">
        <f t="array" ref="AZ79">IFERROR(INDEX(_xlfn.ANCHORARRAY(_xlfn.XLOOKUP($C79,'-ref_Distribution'!$B$146:$B$150,'-ref_Distribution'!$G$146:$G$150)),RIGHT(AZ$1,2)),"")</f>
        <v>234</v>
      </c>
      <c r="BA79" s="16" cm="1">
        <f t="array" ref="BA79">IFERROR(INDEX(_xlfn.ANCHORARRAY(_xlfn.XLOOKUP($C79,'-ref_Distribution'!$B$146:$B$150,'-ref_Distribution'!$G$146:$G$150)),RIGHT(BA$1,2)),"")</f>
        <v>243</v>
      </c>
      <c r="BB79" s="16" cm="1">
        <f t="array" ref="BB79">IFERROR(INDEX(_xlfn.ANCHORARRAY(_xlfn.XLOOKUP($C79,'-ref_Distribution'!$B$146:$B$150,'-ref_Distribution'!$G$146:$G$150)),RIGHT(BB$1,2)),"")</f>
        <v>245</v>
      </c>
      <c r="BC79" s="16" cm="1">
        <f t="array" ref="BC79">IFERROR(INDEX(_xlfn.ANCHORARRAY(_xlfn.XLOOKUP($C79,'-ref_Distribution'!$B$146:$B$150,'-ref_Distribution'!$G$146:$G$150)),RIGHT(BC$1,2)),"")</f>
        <v>243</v>
      </c>
      <c r="BD79" s="16" cm="1">
        <f t="array" ref="BD79">IFERROR(INDEX(_xlfn.ANCHORARRAY(_xlfn.XLOOKUP($C79,'-ref_Distribution'!$B$146:$B$150,'-ref_Distribution'!$G$146:$G$150)),RIGHT(BD$1,2)),"")</f>
        <v>234</v>
      </c>
      <c r="BE79" s="16" cm="1">
        <f t="array" ref="BE79">IFERROR(INDEX(_xlfn.ANCHORARRAY(_xlfn.XLOOKUP($C79,'-ref_Distribution'!$B$146:$B$150,'-ref_Distribution'!$G$146:$G$150)),RIGHT(BE$1,2)),"")</f>
        <v>221</v>
      </c>
      <c r="BF79" s="16" cm="1">
        <f t="array" ref="BF79">IFERROR(INDEX(_xlfn.ANCHORARRAY(_xlfn.XLOOKUP($C79,'-ref_Distribution'!$B$146:$B$150,'-ref_Distribution'!$G$146:$G$150)),RIGHT(BF$1,2)),"")</f>
        <v>203</v>
      </c>
      <c r="BG79" s="16" cm="1">
        <f t="array" ref="BG79">IFERROR(INDEX(_xlfn.ANCHORARRAY(_xlfn.XLOOKUP($C79,'-ref_Distribution'!$B$146:$B$150,'-ref_Distribution'!$G$146:$G$150)),RIGHT(BG$1,2)),"")</f>
        <v>183</v>
      </c>
      <c r="BH79" s="16" cm="1">
        <f t="array" ref="BH79">IFERROR(INDEX(_xlfn.ANCHORARRAY(_xlfn.XLOOKUP($C79,'-ref_Distribution'!$B$146:$B$150,'-ref_Distribution'!$G$146:$G$150)),RIGHT(BH$1,2)),"")</f>
        <v>160</v>
      </c>
      <c r="BI79" s="16" cm="1">
        <f t="array" ref="BI79">IFERROR(INDEX(_xlfn.ANCHORARRAY(_xlfn.XLOOKUP($C79,'-ref_Distribution'!$B$146:$B$150,'-ref_Distribution'!$G$146:$G$150)),RIGHT(BI$1,2)),"")</f>
        <v>137</v>
      </c>
      <c r="BJ79" s="16" cm="1">
        <f t="array" ref="BJ79">IFERROR(INDEX(_xlfn.ANCHORARRAY(_xlfn.XLOOKUP($C79,'-ref_Distribution'!$B$146:$B$150,'-ref_Distribution'!$G$146:$G$150)),RIGHT(BJ$1,2)),"")</f>
        <v>115</v>
      </c>
      <c r="BK79" s="16" cm="1">
        <f t="array" ref="BK79">IFERROR(INDEX(_xlfn.ANCHORARRAY(_xlfn.XLOOKUP($C79,'-ref_Distribution'!$B$146:$B$150,'-ref_Distribution'!$G$146:$G$150)),RIGHT(BK$1,2)),"")</f>
        <v>94</v>
      </c>
      <c r="BL79" s="16" cm="1">
        <f t="array" ref="BL79">IFERROR(INDEX(_xlfn.ANCHORARRAY(_xlfn.XLOOKUP($C79,'-ref_Distribution'!$B$146:$B$150,'-ref_Distribution'!$G$146:$G$150)),RIGHT(BL$1,2)),"")</f>
        <v>75</v>
      </c>
      <c r="BM79" s="16" cm="1">
        <f t="array" ref="BM79">IFERROR(INDEX(_xlfn.ANCHORARRAY(_xlfn.XLOOKUP($C79,'-ref_Distribution'!$B$146:$B$150,'-ref_Distribution'!$G$146:$G$150)),RIGHT(BM$1,2)),"")</f>
        <v>94</v>
      </c>
      <c r="BN79" s="16" cm="1">
        <f t="array" ref="BN79">IFERROR(INDEX(_xlfn.ANCHORARRAY(_xlfn.XLOOKUP($C79,'-ref_Distribution'!$B$146:$B$150,'-ref_Distribution'!$G$146:$G$150)),RIGHT(BN$1,2)),"")</f>
        <v>115</v>
      </c>
      <c r="BO79" s="16" cm="1">
        <f t="array" ref="BO79">IFERROR(INDEX(_xlfn.ANCHORARRAY(_xlfn.XLOOKUP($C79,'-ref_Distribution'!$B$146:$B$150,'-ref_Distribution'!$G$146:$G$150)),RIGHT(BO$1,2)),"")</f>
        <v>137</v>
      </c>
      <c r="BP79" s="16" cm="1">
        <f t="array" ref="BP79">IFERROR(INDEX(_xlfn.ANCHORARRAY(_xlfn.XLOOKUP($C79,'-ref_Distribution'!$B$146:$B$150,'-ref_Distribution'!$G$146:$G$150)),RIGHT(BP$1,2)),"")</f>
        <v>160</v>
      </c>
      <c r="BQ79" s="16" cm="1">
        <f t="array" ref="BQ79">IFERROR(INDEX(_xlfn.ANCHORARRAY(_xlfn.XLOOKUP($C79,'-ref_Distribution'!$B$146:$B$150,'-ref_Distribution'!$G$146:$G$150)),RIGHT(BQ$1,2)),"")</f>
        <v>183</v>
      </c>
      <c r="BR79" s="16" cm="1">
        <f t="array" ref="BR79">IFERROR(INDEX(_xlfn.ANCHORARRAY(_xlfn.XLOOKUP($C79,'-ref_Distribution'!$B$146:$B$150,'-ref_Distribution'!$G$146:$G$150)),RIGHT(BR$1,2)),"")</f>
        <v>203</v>
      </c>
      <c r="BS79" s="16" cm="1">
        <f t="array" ref="BS79">IFERROR(INDEX(_xlfn.ANCHORARRAY(_xlfn.XLOOKUP($C79,'-ref_Distribution'!$B$146:$B$150,'-ref_Distribution'!$G$146:$G$150)),RIGHT(BS$1,2)),"")</f>
        <v>221</v>
      </c>
      <c r="BT79" s="16" cm="1">
        <f t="array" ref="BT79">IFERROR(INDEX(_xlfn.ANCHORARRAY(_xlfn.XLOOKUP($C79,'-ref_Distribution'!$B$146:$B$150,'-ref_Distribution'!$G$146:$G$150)),RIGHT(BT$1,2)),"")</f>
        <v>234</v>
      </c>
      <c r="BU79" s="16" cm="1">
        <f t="array" ref="BU79">IFERROR(INDEX(_xlfn.ANCHORARRAY(_xlfn.XLOOKUP($C79,'-ref_Distribution'!$B$146:$B$150,'-ref_Distribution'!$G$146:$G$150)),RIGHT(BU$1,2)),"")</f>
        <v>243</v>
      </c>
      <c r="BV79" s="16" cm="1">
        <f t="array" ref="BV79">IFERROR(INDEX(_xlfn.ANCHORARRAY(_xlfn.XLOOKUP($C79,'-ref_Distribution'!$B$146:$B$150,'-ref_Distribution'!$G$146:$G$150)),RIGHT(BV$1,2)),"")</f>
        <v>245</v>
      </c>
      <c r="BW79" s="16" cm="1">
        <f t="array" ref="BW79">IFERROR(INDEX(_xlfn.ANCHORARRAY(_xlfn.XLOOKUP($C79,'-ref_Distribution'!$B$146:$B$150,'-ref_Distribution'!$G$146:$G$150)),RIGHT(BW$1,2)),"")</f>
        <v>243</v>
      </c>
      <c r="BX79" s="16" cm="1">
        <f t="array" ref="BX79">IFERROR(INDEX(_xlfn.ANCHORARRAY(_xlfn.XLOOKUP($C79,'-ref_Distribution'!$B$146:$B$150,'-ref_Distribution'!$G$146:$G$150)),RIGHT(BX$1,2)),"")</f>
        <v>234</v>
      </c>
      <c r="BY79" s="16" cm="1">
        <f t="array" ref="BY79">IFERROR(INDEX(_xlfn.ANCHORARRAY(_xlfn.XLOOKUP($C79,'-ref_Distribution'!$B$146:$B$150,'-ref_Distribution'!$G$146:$G$150)),RIGHT(BY$1,2)),"")</f>
        <v>221</v>
      </c>
      <c r="BZ79" s="16" cm="1">
        <f t="array" ref="BZ79">IFERROR(INDEX(_xlfn.ANCHORARRAY(_xlfn.XLOOKUP($C79,'-ref_Distribution'!$B$146:$B$150,'-ref_Distribution'!$G$146:$G$150)),RIGHT(BZ$1,2)),"")</f>
        <v>203</v>
      </c>
      <c r="CA79" s="16" cm="1">
        <f t="array" ref="CA79">IFERROR(INDEX(_xlfn.ANCHORARRAY(_xlfn.XLOOKUP($C79,'-ref_Distribution'!$B$146:$B$150,'-ref_Distribution'!$G$146:$G$150)),RIGHT(CA$1,2)),"")</f>
        <v>183</v>
      </c>
      <c r="CB79" s="16" cm="1">
        <f t="array" ref="CB79">IFERROR(INDEX(_xlfn.ANCHORARRAY(_xlfn.XLOOKUP($C79,'-ref_Distribution'!$B$146:$B$150,'-ref_Distribution'!$G$146:$G$150)),RIGHT(CB$1,2)),"")</f>
        <v>160</v>
      </c>
      <c r="CC79" s="16" cm="1">
        <f t="array" ref="CC79">IFERROR(INDEX(_xlfn.ANCHORARRAY(_xlfn.XLOOKUP($C79,'-ref_Distribution'!$B$146:$B$150,'-ref_Distribution'!$G$146:$G$150)),RIGHT(CC$1,2)),"")</f>
        <v>137</v>
      </c>
      <c r="CD79" s="16" cm="1">
        <f t="array" ref="CD79">IFERROR(INDEX(_xlfn.ANCHORARRAY(_xlfn.XLOOKUP($C79,'-ref_Distribution'!$B$146:$B$150,'-ref_Distribution'!$G$146:$G$150)),RIGHT(CD$1,2)),"")</f>
        <v>115</v>
      </c>
      <c r="CE79" s="16" cm="1">
        <f t="array" ref="CE79">IFERROR(INDEX(_xlfn.ANCHORARRAY(_xlfn.XLOOKUP($C79,'-ref_Distribution'!$B$146:$B$150,'-ref_Distribution'!$G$146:$G$150)),RIGHT(CE$1,2)),"")</f>
        <v>94</v>
      </c>
    </row>
    <row r="80" spans="1:83" x14ac:dyDescent="0.2">
      <c r="A80" s="16">
        <v>310502</v>
      </c>
      <c r="B80" s="16" t="s">
        <v>382</v>
      </c>
      <c r="C80" s="16">
        <v>3</v>
      </c>
      <c r="D80" s="16" cm="1">
        <f t="array" ref="D80">IFERROR(INDEX(_xlfn.ANCHORARRAY(_xlfn.XLOOKUP($C80,'-ref_Distribution'!$B$146:$B$150,'-ref_Distribution'!$G$146:$G$150)),RIGHT(D$1,2)),"")</f>
        <v>4</v>
      </c>
      <c r="E80" s="16" cm="1">
        <f t="array" ref="E80">IFERROR(INDEX(_xlfn.ANCHORARRAY(_xlfn.XLOOKUP($C80,'-ref_Distribution'!$B$146:$B$150,'-ref_Distribution'!$G$146:$G$150)),RIGHT(E$1,2)),"")</f>
        <v>6</v>
      </c>
      <c r="F80" s="16" cm="1">
        <f t="array" ref="F80">IFERROR(INDEX(_xlfn.ANCHORARRAY(_xlfn.XLOOKUP($C80,'-ref_Distribution'!$B$146:$B$150,'-ref_Distribution'!$G$146:$G$150)),RIGHT(F$1,2)),"")</f>
        <v>9</v>
      </c>
      <c r="G80" s="16" cm="1">
        <f t="array" ref="G80">IFERROR(INDEX(_xlfn.ANCHORARRAY(_xlfn.XLOOKUP($C80,'-ref_Distribution'!$B$146:$B$150,'-ref_Distribution'!$G$146:$G$150)),RIGHT(G$1,2)),"")</f>
        <v>14</v>
      </c>
      <c r="H80" s="16" cm="1">
        <f t="array" ref="H80">IFERROR(INDEX(_xlfn.ANCHORARRAY(_xlfn.XLOOKUP($C80,'-ref_Distribution'!$B$146:$B$150,'-ref_Distribution'!$G$146:$G$150)),RIGHT(H$1,2)),"")</f>
        <v>20</v>
      </c>
      <c r="I80" s="16" cm="1">
        <f t="array" ref="I80">IFERROR(INDEX(_xlfn.ANCHORARRAY(_xlfn.XLOOKUP($C80,'-ref_Distribution'!$B$146:$B$150,'-ref_Distribution'!$G$146:$G$150)),RIGHT(I$1,2)),"")</f>
        <v>28</v>
      </c>
      <c r="J80" s="16" cm="1">
        <f t="array" ref="J80">IFERROR(INDEX(_xlfn.ANCHORARRAY(_xlfn.XLOOKUP($C80,'-ref_Distribution'!$B$146:$B$150,'-ref_Distribution'!$G$146:$G$150)),RIGHT(J$1,2)),"")</f>
        <v>38</v>
      </c>
      <c r="K80" s="16" cm="1">
        <f t="array" ref="K80">IFERROR(INDEX(_xlfn.ANCHORARRAY(_xlfn.XLOOKUP($C80,'-ref_Distribution'!$B$146:$B$150,'-ref_Distribution'!$G$146:$G$150)),RIGHT(K$1,2)),"")</f>
        <v>51</v>
      </c>
      <c r="L80" s="16" cm="1">
        <f t="array" ref="L80">IFERROR(INDEX(_xlfn.ANCHORARRAY(_xlfn.XLOOKUP($C80,'-ref_Distribution'!$B$146:$B$150,'-ref_Distribution'!$G$146:$G$150)),RIGHT(L$1,2)),"")</f>
        <v>65</v>
      </c>
      <c r="M80" s="16" cm="1">
        <f t="array" ref="M80">IFERROR(INDEX(_xlfn.ANCHORARRAY(_xlfn.XLOOKUP($C80,'-ref_Distribution'!$B$146:$B$150,'-ref_Distribution'!$G$146:$G$150)),RIGHT(M$1,2)),"")</f>
        <v>80</v>
      </c>
      <c r="N80" s="16" cm="1">
        <f t="array" ref="N80">IFERROR(INDEX(_xlfn.ANCHORARRAY(_xlfn.XLOOKUP($C80,'-ref_Distribution'!$B$146:$B$150,'-ref_Distribution'!$G$146:$G$150)),RIGHT(N$1,2)),"")</f>
        <v>96</v>
      </c>
      <c r="O80" s="16" cm="1">
        <f t="array" ref="O80">IFERROR(INDEX(_xlfn.ANCHORARRAY(_xlfn.XLOOKUP($C80,'-ref_Distribution'!$B$146:$B$150,'-ref_Distribution'!$G$146:$G$150)),RIGHT(O$1,2)),"")</f>
        <v>111</v>
      </c>
      <c r="P80" s="16" cm="1">
        <f t="array" ref="P80">IFERROR(INDEX(_xlfn.ANCHORARRAY(_xlfn.XLOOKUP($C80,'-ref_Distribution'!$B$146:$B$150,'-ref_Distribution'!$G$146:$G$150)),RIGHT(P$1,2)),"")</f>
        <v>125</v>
      </c>
      <c r="Q80" s="16" cm="1">
        <f t="array" ref="Q80">IFERROR(INDEX(_xlfn.ANCHORARRAY(_xlfn.XLOOKUP($C80,'-ref_Distribution'!$B$146:$B$150,'-ref_Distribution'!$G$146:$G$150)),RIGHT(Q$1,2)),"")</f>
        <v>135</v>
      </c>
      <c r="R80" s="16" cm="1">
        <f t="array" ref="R80">IFERROR(INDEX(_xlfn.ANCHORARRAY(_xlfn.XLOOKUP($C80,'-ref_Distribution'!$B$146:$B$150,'-ref_Distribution'!$G$146:$G$150)),RIGHT(R$1,2)),"")</f>
        <v>142</v>
      </c>
      <c r="S80" s="16" cm="1">
        <f t="array" ref="S80">IFERROR(INDEX(_xlfn.ANCHORARRAY(_xlfn.XLOOKUP($C80,'-ref_Distribution'!$B$146:$B$150,'-ref_Distribution'!$G$146:$G$150)),RIGHT(S$1,2)),"")</f>
        <v>144</v>
      </c>
      <c r="T80" s="16" cm="1">
        <f t="array" ref="T80">IFERROR(INDEX(_xlfn.ANCHORARRAY(_xlfn.XLOOKUP($C80,'-ref_Distribution'!$B$146:$B$150,'-ref_Distribution'!$G$146:$G$150)),RIGHT(T$1,2)),"")</f>
        <v>142</v>
      </c>
      <c r="U80" s="16" cm="1">
        <f t="array" ref="U80">IFERROR(INDEX(_xlfn.ANCHORARRAY(_xlfn.XLOOKUP($C80,'-ref_Distribution'!$B$146:$B$150,'-ref_Distribution'!$G$146:$G$150)),RIGHT(U$1,2)),"")</f>
        <v>135</v>
      </c>
      <c r="V80" s="16" cm="1">
        <f t="array" ref="V80">IFERROR(INDEX(_xlfn.ANCHORARRAY(_xlfn.XLOOKUP($C80,'-ref_Distribution'!$B$146:$B$150,'-ref_Distribution'!$G$146:$G$150)),RIGHT(V$1,2)),"")</f>
        <v>125</v>
      </c>
      <c r="W80" s="16" cm="1">
        <f t="array" ref="W80">IFERROR(INDEX(_xlfn.ANCHORARRAY(_xlfn.XLOOKUP($C80,'-ref_Distribution'!$B$146:$B$150,'-ref_Distribution'!$G$146:$G$150)),RIGHT(W$1,2)),"")</f>
        <v>111</v>
      </c>
      <c r="X80" s="16" cm="1">
        <f t="array" ref="X80">IFERROR(INDEX(_xlfn.ANCHORARRAY(_xlfn.XLOOKUP($C80,'-ref_Distribution'!$B$146:$B$150,'-ref_Distribution'!$G$146:$G$150)),RIGHT(X$1,2)),"")</f>
        <v>4</v>
      </c>
      <c r="Y80" s="16" cm="1">
        <f t="array" ref="Y80">IFERROR(INDEX(_xlfn.ANCHORARRAY(_xlfn.XLOOKUP($C80,'-ref_Distribution'!$B$146:$B$150,'-ref_Distribution'!$G$146:$G$150)),RIGHT(Y$1,2)),"")</f>
        <v>6</v>
      </c>
      <c r="Z80" s="16" cm="1">
        <f t="array" ref="Z80">IFERROR(INDEX(_xlfn.ANCHORARRAY(_xlfn.XLOOKUP($C80,'-ref_Distribution'!$B$146:$B$150,'-ref_Distribution'!$G$146:$G$150)),RIGHT(Z$1,2)),"")</f>
        <v>9</v>
      </c>
      <c r="AA80" s="16" cm="1">
        <f t="array" ref="AA80">IFERROR(INDEX(_xlfn.ANCHORARRAY(_xlfn.XLOOKUP($C80,'-ref_Distribution'!$B$146:$B$150,'-ref_Distribution'!$G$146:$G$150)),RIGHT(AA$1,2)),"")</f>
        <v>14</v>
      </c>
      <c r="AB80" s="16" cm="1">
        <f t="array" ref="AB80">IFERROR(INDEX(_xlfn.ANCHORARRAY(_xlfn.XLOOKUP($C80,'-ref_Distribution'!$B$146:$B$150,'-ref_Distribution'!$G$146:$G$150)),RIGHT(AB$1,2)),"")</f>
        <v>20</v>
      </c>
      <c r="AC80" s="16" cm="1">
        <f t="array" ref="AC80">IFERROR(INDEX(_xlfn.ANCHORARRAY(_xlfn.XLOOKUP($C80,'-ref_Distribution'!$B$146:$B$150,'-ref_Distribution'!$G$146:$G$150)),RIGHT(AC$1,2)),"")</f>
        <v>28</v>
      </c>
      <c r="AD80" s="16" cm="1">
        <f t="array" ref="AD80">IFERROR(INDEX(_xlfn.ANCHORARRAY(_xlfn.XLOOKUP($C80,'-ref_Distribution'!$B$146:$B$150,'-ref_Distribution'!$G$146:$G$150)),RIGHT(AD$1,2)),"")</f>
        <v>38</v>
      </c>
      <c r="AE80" s="16" cm="1">
        <f t="array" ref="AE80">IFERROR(INDEX(_xlfn.ANCHORARRAY(_xlfn.XLOOKUP($C80,'-ref_Distribution'!$B$146:$B$150,'-ref_Distribution'!$G$146:$G$150)),RIGHT(AE$1,2)),"")</f>
        <v>51</v>
      </c>
      <c r="AF80" s="16" cm="1">
        <f t="array" ref="AF80">IFERROR(INDEX(_xlfn.ANCHORARRAY(_xlfn.XLOOKUP($C80,'-ref_Distribution'!$B$146:$B$150,'-ref_Distribution'!$G$146:$G$150)),RIGHT(AF$1,2)),"")</f>
        <v>65</v>
      </c>
      <c r="AG80" s="16" cm="1">
        <f t="array" ref="AG80">IFERROR(INDEX(_xlfn.ANCHORARRAY(_xlfn.XLOOKUP($C80,'-ref_Distribution'!$B$146:$B$150,'-ref_Distribution'!$G$146:$G$150)),RIGHT(AG$1,2)),"")</f>
        <v>80</v>
      </c>
      <c r="AH80" s="16" cm="1">
        <f t="array" ref="AH80">IFERROR(INDEX(_xlfn.ANCHORARRAY(_xlfn.XLOOKUP($C80,'-ref_Distribution'!$B$146:$B$150,'-ref_Distribution'!$G$146:$G$150)),RIGHT(AH$1,2)),"")</f>
        <v>96</v>
      </c>
      <c r="AI80" s="16" cm="1">
        <f t="array" ref="AI80">IFERROR(INDEX(_xlfn.ANCHORARRAY(_xlfn.XLOOKUP($C80,'-ref_Distribution'!$B$146:$B$150,'-ref_Distribution'!$G$146:$G$150)),RIGHT(AI$1,2)),"")</f>
        <v>111</v>
      </c>
      <c r="AJ80" s="16" cm="1">
        <f t="array" ref="AJ80">IFERROR(INDEX(_xlfn.ANCHORARRAY(_xlfn.XLOOKUP($C80,'-ref_Distribution'!$B$146:$B$150,'-ref_Distribution'!$G$146:$G$150)),RIGHT(AJ$1,2)),"")</f>
        <v>125</v>
      </c>
      <c r="AK80" s="16" cm="1">
        <f t="array" ref="AK80">IFERROR(INDEX(_xlfn.ANCHORARRAY(_xlfn.XLOOKUP($C80,'-ref_Distribution'!$B$146:$B$150,'-ref_Distribution'!$G$146:$G$150)),RIGHT(AK$1,2)),"")</f>
        <v>135</v>
      </c>
      <c r="AL80" s="16" cm="1">
        <f t="array" ref="AL80">IFERROR(INDEX(_xlfn.ANCHORARRAY(_xlfn.XLOOKUP($C80,'-ref_Distribution'!$B$146:$B$150,'-ref_Distribution'!$G$146:$G$150)),RIGHT(AL$1,2)),"")</f>
        <v>142</v>
      </c>
      <c r="AM80" s="16" cm="1">
        <f t="array" ref="AM80">IFERROR(INDEX(_xlfn.ANCHORARRAY(_xlfn.XLOOKUP($C80,'-ref_Distribution'!$B$146:$B$150,'-ref_Distribution'!$G$146:$G$150)),RIGHT(AM$1,2)),"")</f>
        <v>144</v>
      </c>
      <c r="AN80" s="16" cm="1">
        <f t="array" ref="AN80">IFERROR(INDEX(_xlfn.ANCHORARRAY(_xlfn.XLOOKUP($C80,'-ref_Distribution'!$B$146:$B$150,'-ref_Distribution'!$G$146:$G$150)),RIGHT(AN$1,2)),"")</f>
        <v>142</v>
      </c>
      <c r="AO80" s="16" cm="1">
        <f t="array" ref="AO80">IFERROR(INDEX(_xlfn.ANCHORARRAY(_xlfn.XLOOKUP($C80,'-ref_Distribution'!$B$146:$B$150,'-ref_Distribution'!$G$146:$G$150)),RIGHT(AO$1,2)),"")</f>
        <v>135</v>
      </c>
      <c r="AP80" s="16" cm="1">
        <f t="array" ref="AP80">IFERROR(INDEX(_xlfn.ANCHORARRAY(_xlfn.XLOOKUP($C80,'-ref_Distribution'!$B$146:$B$150,'-ref_Distribution'!$G$146:$G$150)),RIGHT(AP$1,2)),"")</f>
        <v>125</v>
      </c>
      <c r="AQ80" s="16" cm="1">
        <f t="array" ref="AQ80">IFERROR(INDEX(_xlfn.ANCHORARRAY(_xlfn.XLOOKUP($C80,'-ref_Distribution'!$B$146:$B$150,'-ref_Distribution'!$G$146:$G$150)),RIGHT(AQ$1,2)),"")</f>
        <v>111</v>
      </c>
      <c r="AR80" s="16" cm="1">
        <f t="array" ref="AR80">IFERROR(INDEX(_xlfn.ANCHORARRAY(_xlfn.XLOOKUP($C80,'-ref_Distribution'!$B$146:$B$150,'-ref_Distribution'!$G$146:$G$150)),RIGHT(AR$1,2)),"")</f>
        <v>4</v>
      </c>
      <c r="AS80" s="16" cm="1">
        <f t="array" ref="AS80">IFERROR(INDEX(_xlfn.ANCHORARRAY(_xlfn.XLOOKUP($C80,'-ref_Distribution'!$B$146:$B$150,'-ref_Distribution'!$G$146:$G$150)),RIGHT(AS$1,2)),"")</f>
        <v>6</v>
      </c>
      <c r="AT80" s="16" cm="1">
        <f t="array" ref="AT80">IFERROR(INDEX(_xlfn.ANCHORARRAY(_xlfn.XLOOKUP($C80,'-ref_Distribution'!$B$146:$B$150,'-ref_Distribution'!$G$146:$G$150)),RIGHT(AT$1,2)),"")</f>
        <v>9</v>
      </c>
      <c r="AU80" s="16" cm="1">
        <f t="array" ref="AU80">IFERROR(INDEX(_xlfn.ANCHORARRAY(_xlfn.XLOOKUP($C80,'-ref_Distribution'!$B$146:$B$150,'-ref_Distribution'!$G$146:$G$150)),RIGHT(AU$1,2)),"")</f>
        <v>14</v>
      </c>
      <c r="AV80" s="16" cm="1">
        <f t="array" ref="AV80">IFERROR(INDEX(_xlfn.ANCHORARRAY(_xlfn.XLOOKUP($C80,'-ref_Distribution'!$B$146:$B$150,'-ref_Distribution'!$G$146:$G$150)),RIGHT(AV$1,2)),"")</f>
        <v>20</v>
      </c>
      <c r="AW80" s="16" cm="1">
        <f t="array" ref="AW80">IFERROR(INDEX(_xlfn.ANCHORARRAY(_xlfn.XLOOKUP($C80,'-ref_Distribution'!$B$146:$B$150,'-ref_Distribution'!$G$146:$G$150)),RIGHT(AW$1,2)),"")</f>
        <v>28</v>
      </c>
      <c r="AX80" s="16" cm="1">
        <f t="array" ref="AX80">IFERROR(INDEX(_xlfn.ANCHORARRAY(_xlfn.XLOOKUP($C80,'-ref_Distribution'!$B$146:$B$150,'-ref_Distribution'!$G$146:$G$150)),RIGHT(AX$1,2)),"")</f>
        <v>38</v>
      </c>
      <c r="AY80" s="16" cm="1">
        <f t="array" ref="AY80">IFERROR(INDEX(_xlfn.ANCHORARRAY(_xlfn.XLOOKUP($C80,'-ref_Distribution'!$B$146:$B$150,'-ref_Distribution'!$G$146:$G$150)),RIGHT(AY$1,2)),"")</f>
        <v>51</v>
      </c>
      <c r="AZ80" s="16" cm="1">
        <f t="array" ref="AZ80">IFERROR(INDEX(_xlfn.ANCHORARRAY(_xlfn.XLOOKUP($C80,'-ref_Distribution'!$B$146:$B$150,'-ref_Distribution'!$G$146:$G$150)),RIGHT(AZ$1,2)),"")</f>
        <v>65</v>
      </c>
      <c r="BA80" s="16" cm="1">
        <f t="array" ref="BA80">IFERROR(INDEX(_xlfn.ANCHORARRAY(_xlfn.XLOOKUP($C80,'-ref_Distribution'!$B$146:$B$150,'-ref_Distribution'!$G$146:$G$150)),RIGHT(BA$1,2)),"")</f>
        <v>80</v>
      </c>
      <c r="BB80" s="16" cm="1">
        <f t="array" ref="BB80">IFERROR(INDEX(_xlfn.ANCHORARRAY(_xlfn.XLOOKUP($C80,'-ref_Distribution'!$B$146:$B$150,'-ref_Distribution'!$G$146:$G$150)),RIGHT(BB$1,2)),"")</f>
        <v>96</v>
      </c>
      <c r="BC80" s="16" cm="1">
        <f t="array" ref="BC80">IFERROR(INDEX(_xlfn.ANCHORARRAY(_xlfn.XLOOKUP($C80,'-ref_Distribution'!$B$146:$B$150,'-ref_Distribution'!$G$146:$G$150)),RIGHT(BC$1,2)),"")</f>
        <v>111</v>
      </c>
      <c r="BD80" s="16" cm="1">
        <f t="array" ref="BD80">IFERROR(INDEX(_xlfn.ANCHORARRAY(_xlfn.XLOOKUP($C80,'-ref_Distribution'!$B$146:$B$150,'-ref_Distribution'!$G$146:$G$150)),RIGHT(BD$1,2)),"")</f>
        <v>125</v>
      </c>
      <c r="BE80" s="16" cm="1">
        <f t="array" ref="BE80">IFERROR(INDEX(_xlfn.ANCHORARRAY(_xlfn.XLOOKUP($C80,'-ref_Distribution'!$B$146:$B$150,'-ref_Distribution'!$G$146:$G$150)),RIGHT(BE$1,2)),"")</f>
        <v>135</v>
      </c>
      <c r="BF80" s="16" cm="1">
        <f t="array" ref="BF80">IFERROR(INDEX(_xlfn.ANCHORARRAY(_xlfn.XLOOKUP($C80,'-ref_Distribution'!$B$146:$B$150,'-ref_Distribution'!$G$146:$G$150)),RIGHT(BF$1,2)),"")</f>
        <v>142</v>
      </c>
      <c r="BG80" s="16" cm="1">
        <f t="array" ref="BG80">IFERROR(INDEX(_xlfn.ANCHORARRAY(_xlfn.XLOOKUP($C80,'-ref_Distribution'!$B$146:$B$150,'-ref_Distribution'!$G$146:$G$150)),RIGHT(BG$1,2)),"")</f>
        <v>144</v>
      </c>
      <c r="BH80" s="16" cm="1">
        <f t="array" ref="BH80">IFERROR(INDEX(_xlfn.ANCHORARRAY(_xlfn.XLOOKUP($C80,'-ref_Distribution'!$B$146:$B$150,'-ref_Distribution'!$G$146:$G$150)),RIGHT(BH$1,2)),"")</f>
        <v>142</v>
      </c>
      <c r="BI80" s="16" cm="1">
        <f t="array" ref="BI80">IFERROR(INDEX(_xlfn.ANCHORARRAY(_xlfn.XLOOKUP($C80,'-ref_Distribution'!$B$146:$B$150,'-ref_Distribution'!$G$146:$G$150)),RIGHT(BI$1,2)),"")</f>
        <v>135</v>
      </c>
      <c r="BJ80" s="16" cm="1">
        <f t="array" ref="BJ80">IFERROR(INDEX(_xlfn.ANCHORARRAY(_xlfn.XLOOKUP($C80,'-ref_Distribution'!$B$146:$B$150,'-ref_Distribution'!$G$146:$G$150)),RIGHT(BJ$1,2)),"")</f>
        <v>125</v>
      </c>
      <c r="BK80" s="16" cm="1">
        <f t="array" ref="BK80">IFERROR(INDEX(_xlfn.ANCHORARRAY(_xlfn.XLOOKUP($C80,'-ref_Distribution'!$B$146:$B$150,'-ref_Distribution'!$G$146:$G$150)),RIGHT(BK$1,2)),"")</f>
        <v>111</v>
      </c>
      <c r="BL80" s="16" cm="1">
        <f t="array" ref="BL80">IFERROR(INDEX(_xlfn.ANCHORARRAY(_xlfn.XLOOKUP($C80,'-ref_Distribution'!$B$146:$B$150,'-ref_Distribution'!$G$146:$G$150)),RIGHT(BL$1,2)),"")</f>
        <v>4</v>
      </c>
      <c r="BM80" s="16" cm="1">
        <f t="array" ref="BM80">IFERROR(INDEX(_xlfn.ANCHORARRAY(_xlfn.XLOOKUP($C80,'-ref_Distribution'!$B$146:$B$150,'-ref_Distribution'!$G$146:$G$150)),RIGHT(BM$1,2)),"")</f>
        <v>6</v>
      </c>
      <c r="BN80" s="16" cm="1">
        <f t="array" ref="BN80">IFERROR(INDEX(_xlfn.ANCHORARRAY(_xlfn.XLOOKUP($C80,'-ref_Distribution'!$B$146:$B$150,'-ref_Distribution'!$G$146:$G$150)),RIGHT(BN$1,2)),"")</f>
        <v>9</v>
      </c>
      <c r="BO80" s="16" cm="1">
        <f t="array" ref="BO80">IFERROR(INDEX(_xlfn.ANCHORARRAY(_xlfn.XLOOKUP($C80,'-ref_Distribution'!$B$146:$B$150,'-ref_Distribution'!$G$146:$G$150)),RIGHT(BO$1,2)),"")</f>
        <v>14</v>
      </c>
      <c r="BP80" s="16" cm="1">
        <f t="array" ref="BP80">IFERROR(INDEX(_xlfn.ANCHORARRAY(_xlfn.XLOOKUP($C80,'-ref_Distribution'!$B$146:$B$150,'-ref_Distribution'!$G$146:$G$150)),RIGHT(BP$1,2)),"")</f>
        <v>20</v>
      </c>
      <c r="BQ80" s="16" cm="1">
        <f t="array" ref="BQ80">IFERROR(INDEX(_xlfn.ANCHORARRAY(_xlfn.XLOOKUP($C80,'-ref_Distribution'!$B$146:$B$150,'-ref_Distribution'!$G$146:$G$150)),RIGHT(BQ$1,2)),"")</f>
        <v>28</v>
      </c>
      <c r="BR80" s="16" cm="1">
        <f t="array" ref="BR80">IFERROR(INDEX(_xlfn.ANCHORARRAY(_xlfn.XLOOKUP($C80,'-ref_Distribution'!$B$146:$B$150,'-ref_Distribution'!$G$146:$G$150)),RIGHT(BR$1,2)),"")</f>
        <v>38</v>
      </c>
      <c r="BS80" s="16" cm="1">
        <f t="array" ref="BS80">IFERROR(INDEX(_xlfn.ANCHORARRAY(_xlfn.XLOOKUP($C80,'-ref_Distribution'!$B$146:$B$150,'-ref_Distribution'!$G$146:$G$150)),RIGHT(BS$1,2)),"")</f>
        <v>51</v>
      </c>
      <c r="BT80" s="16" cm="1">
        <f t="array" ref="BT80">IFERROR(INDEX(_xlfn.ANCHORARRAY(_xlfn.XLOOKUP($C80,'-ref_Distribution'!$B$146:$B$150,'-ref_Distribution'!$G$146:$G$150)),RIGHT(BT$1,2)),"")</f>
        <v>65</v>
      </c>
      <c r="BU80" s="16" cm="1">
        <f t="array" ref="BU80">IFERROR(INDEX(_xlfn.ANCHORARRAY(_xlfn.XLOOKUP($C80,'-ref_Distribution'!$B$146:$B$150,'-ref_Distribution'!$G$146:$G$150)),RIGHT(BU$1,2)),"")</f>
        <v>80</v>
      </c>
      <c r="BV80" s="16" cm="1">
        <f t="array" ref="BV80">IFERROR(INDEX(_xlfn.ANCHORARRAY(_xlfn.XLOOKUP($C80,'-ref_Distribution'!$B$146:$B$150,'-ref_Distribution'!$G$146:$G$150)),RIGHT(BV$1,2)),"")</f>
        <v>96</v>
      </c>
      <c r="BW80" s="16" cm="1">
        <f t="array" ref="BW80">IFERROR(INDEX(_xlfn.ANCHORARRAY(_xlfn.XLOOKUP($C80,'-ref_Distribution'!$B$146:$B$150,'-ref_Distribution'!$G$146:$G$150)),RIGHT(BW$1,2)),"")</f>
        <v>111</v>
      </c>
      <c r="BX80" s="16" cm="1">
        <f t="array" ref="BX80">IFERROR(INDEX(_xlfn.ANCHORARRAY(_xlfn.XLOOKUP($C80,'-ref_Distribution'!$B$146:$B$150,'-ref_Distribution'!$G$146:$G$150)),RIGHT(BX$1,2)),"")</f>
        <v>125</v>
      </c>
      <c r="BY80" s="16" cm="1">
        <f t="array" ref="BY80">IFERROR(INDEX(_xlfn.ANCHORARRAY(_xlfn.XLOOKUP($C80,'-ref_Distribution'!$B$146:$B$150,'-ref_Distribution'!$G$146:$G$150)),RIGHT(BY$1,2)),"")</f>
        <v>135</v>
      </c>
      <c r="BZ80" s="16" cm="1">
        <f t="array" ref="BZ80">IFERROR(INDEX(_xlfn.ANCHORARRAY(_xlfn.XLOOKUP($C80,'-ref_Distribution'!$B$146:$B$150,'-ref_Distribution'!$G$146:$G$150)),RIGHT(BZ$1,2)),"")</f>
        <v>142</v>
      </c>
      <c r="CA80" s="16" cm="1">
        <f t="array" ref="CA80">IFERROR(INDEX(_xlfn.ANCHORARRAY(_xlfn.XLOOKUP($C80,'-ref_Distribution'!$B$146:$B$150,'-ref_Distribution'!$G$146:$G$150)),RIGHT(CA$1,2)),"")</f>
        <v>144</v>
      </c>
      <c r="CB80" s="16" cm="1">
        <f t="array" ref="CB80">IFERROR(INDEX(_xlfn.ANCHORARRAY(_xlfn.XLOOKUP($C80,'-ref_Distribution'!$B$146:$B$150,'-ref_Distribution'!$G$146:$G$150)),RIGHT(CB$1,2)),"")</f>
        <v>142</v>
      </c>
      <c r="CC80" s="16" cm="1">
        <f t="array" ref="CC80">IFERROR(INDEX(_xlfn.ANCHORARRAY(_xlfn.XLOOKUP($C80,'-ref_Distribution'!$B$146:$B$150,'-ref_Distribution'!$G$146:$G$150)),RIGHT(CC$1,2)),"")</f>
        <v>135</v>
      </c>
      <c r="CD80" s="16" cm="1">
        <f t="array" ref="CD80">IFERROR(INDEX(_xlfn.ANCHORARRAY(_xlfn.XLOOKUP($C80,'-ref_Distribution'!$B$146:$B$150,'-ref_Distribution'!$G$146:$G$150)),RIGHT(CD$1,2)),"")</f>
        <v>125</v>
      </c>
      <c r="CE80" s="16" cm="1">
        <f t="array" ref="CE80">IFERROR(INDEX(_xlfn.ANCHORARRAY(_xlfn.XLOOKUP($C80,'-ref_Distribution'!$B$146:$B$150,'-ref_Distribution'!$G$146:$G$150)),RIGHT(CE$1,2)),"")</f>
        <v>111</v>
      </c>
    </row>
    <row r="81" spans="1:83" x14ac:dyDescent="0.2">
      <c r="A81" s="16">
        <v>310503</v>
      </c>
      <c r="B81" s="16" t="s">
        <v>383</v>
      </c>
      <c r="C81" s="16">
        <v>4</v>
      </c>
      <c r="D81" s="16" cm="1">
        <f t="array" ref="D81">IFERROR(INDEX(_xlfn.ANCHORARRAY(_xlfn.XLOOKUP($C81,'-ref_Distribution'!$B$146:$B$150,'-ref_Distribution'!$G$146:$G$150)),RIGHT(D$1,2)),"")</f>
        <v>0</v>
      </c>
      <c r="E81" s="16" cm="1">
        <f t="array" ref="E81">IFERROR(INDEX(_xlfn.ANCHORARRAY(_xlfn.XLOOKUP($C81,'-ref_Distribution'!$B$146:$B$150,'-ref_Distribution'!$G$146:$G$150)),RIGHT(E$1,2)),"")</f>
        <v>0</v>
      </c>
      <c r="F81" s="16" cm="1">
        <f t="array" ref="F81">IFERROR(INDEX(_xlfn.ANCHORARRAY(_xlfn.XLOOKUP($C81,'-ref_Distribution'!$B$146:$B$150,'-ref_Distribution'!$G$146:$G$150)),RIGHT(F$1,2)),"")</f>
        <v>0</v>
      </c>
      <c r="G81" s="16" cm="1">
        <f t="array" ref="G81">IFERROR(INDEX(_xlfn.ANCHORARRAY(_xlfn.XLOOKUP($C81,'-ref_Distribution'!$B$146:$B$150,'-ref_Distribution'!$G$146:$G$150)),RIGHT(G$1,2)),"")</f>
        <v>0</v>
      </c>
      <c r="H81" s="16" cm="1">
        <f t="array" ref="H81">IFERROR(INDEX(_xlfn.ANCHORARRAY(_xlfn.XLOOKUP($C81,'-ref_Distribution'!$B$146:$B$150,'-ref_Distribution'!$G$146:$G$150)),RIGHT(H$1,2)),"")</f>
        <v>0</v>
      </c>
      <c r="I81" s="16" cm="1">
        <f t="array" ref="I81">IFERROR(INDEX(_xlfn.ANCHORARRAY(_xlfn.XLOOKUP($C81,'-ref_Distribution'!$B$146:$B$150,'-ref_Distribution'!$G$146:$G$150)),RIGHT(I$1,2)),"")</f>
        <v>1</v>
      </c>
      <c r="J81" s="16" cm="1">
        <f t="array" ref="J81">IFERROR(INDEX(_xlfn.ANCHORARRAY(_xlfn.XLOOKUP($C81,'-ref_Distribution'!$B$146:$B$150,'-ref_Distribution'!$G$146:$G$150)),RIGHT(J$1,2)),"")</f>
        <v>1</v>
      </c>
      <c r="K81" s="16" cm="1">
        <f t="array" ref="K81">IFERROR(INDEX(_xlfn.ANCHORARRAY(_xlfn.XLOOKUP($C81,'-ref_Distribution'!$B$146:$B$150,'-ref_Distribution'!$G$146:$G$150)),RIGHT(K$1,2)),"")</f>
        <v>2</v>
      </c>
      <c r="L81" s="16" cm="1">
        <f t="array" ref="L81">IFERROR(INDEX(_xlfn.ANCHORARRAY(_xlfn.XLOOKUP($C81,'-ref_Distribution'!$B$146:$B$150,'-ref_Distribution'!$G$146:$G$150)),RIGHT(L$1,2)),"")</f>
        <v>3</v>
      </c>
      <c r="M81" s="16" cm="1">
        <f t="array" ref="M81">IFERROR(INDEX(_xlfn.ANCHORARRAY(_xlfn.XLOOKUP($C81,'-ref_Distribution'!$B$146:$B$150,'-ref_Distribution'!$G$146:$G$150)),RIGHT(M$1,2)),"")</f>
        <v>5</v>
      </c>
      <c r="N81" s="16" cm="1">
        <f t="array" ref="N81">IFERROR(INDEX(_xlfn.ANCHORARRAY(_xlfn.XLOOKUP($C81,'-ref_Distribution'!$B$146:$B$150,'-ref_Distribution'!$G$146:$G$150)),RIGHT(N$1,2)),"")</f>
        <v>9</v>
      </c>
      <c r="O81" s="16" cm="1">
        <f t="array" ref="O81">IFERROR(INDEX(_xlfn.ANCHORARRAY(_xlfn.XLOOKUP($C81,'-ref_Distribution'!$B$146:$B$150,'-ref_Distribution'!$G$146:$G$150)),RIGHT(O$1,2)),"")</f>
        <v>14</v>
      </c>
      <c r="P81" s="16" cm="1">
        <f t="array" ref="P81">IFERROR(INDEX(_xlfn.ANCHORARRAY(_xlfn.XLOOKUP($C81,'-ref_Distribution'!$B$146:$B$150,'-ref_Distribution'!$G$146:$G$150)),RIGHT(P$1,2)),"")</f>
        <v>20</v>
      </c>
      <c r="Q81" s="16" cm="1">
        <f t="array" ref="Q81">IFERROR(INDEX(_xlfn.ANCHORARRAY(_xlfn.XLOOKUP($C81,'-ref_Distribution'!$B$146:$B$150,'-ref_Distribution'!$G$146:$G$150)),RIGHT(Q$1,2)),"")</f>
        <v>28</v>
      </c>
      <c r="R81" s="16" cm="1">
        <f t="array" ref="R81">IFERROR(INDEX(_xlfn.ANCHORARRAY(_xlfn.XLOOKUP($C81,'-ref_Distribution'!$B$146:$B$150,'-ref_Distribution'!$G$146:$G$150)),RIGHT(R$1,2)),"")</f>
        <v>38</v>
      </c>
      <c r="S81" s="16" cm="1">
        <f t="array" ref="S81">IFERROR(INDEX(_xlfn.ANCHORARRAY(_xlfn.XLOOKUP($C81,'-ref_Distribution'!$B$146:$B$150,'-ref_Distribution'!$G$146:$G$150)),RIGHT(S$1,2)),"")</f>
        <v>48</v>
      </c>
      <c r="T81" s="16" cm="1">
        <f t="array" ref="T81">IFERROR(INDEX(_xlfn.ANCHORARRAY(_xlfn.XLOOKUP($C81,'-ref_Distribution'!$B$146:$B$150,'-ref_Distribution'!$G$146:$G$150)),RIGHT(T$1,2)),"")</f>
        <v>59</v>
      </c>
      <c r="U81" s="16" cm="1">
        <f t="array" ref="U81">IFERROR(INDEX(_xlfn.ANCHORARRAY(_xlfn.XLOOKUP($C81,'-ref_Distribution'!$B$146:$B$150,'-ref_Distribution'!$G$146:$G$150)),RIGHT(U$1,2)),"")</f>
        <v>69</v>
      </c>
      <c r="V81" s="16" cm="1">
        <f t="array" ref="V81">IFERROR(INDEX(_xlfn.ANCHORARRAY(_xlfn.XLOOKUP($C81,'-ref_Distribution'!$B$146:$B$150,'-ref_Distribution'!$G$146:$G$150)),RIGHT(V$1,2)),"")</f>
        <v>78</v>
      </c>
      <c r="W81" s="16" cm="1">
        <f t="array" ref="W81">IFERROR(INDEX(_xlfn.ANCHORARRAY(_xlfn.XLOOKUP($C81,'-ref_Distribution'!$B$146:$B$150,'-ref_Distribution'!$G$146:$G$150)),RIGHT(W$1,2)),"")</f>
        <v>83</v>
      </c>
      <c r="X81" s="16" cm="1">
        <f t="array" ref="X81">IFERROR(INDEX(_xlfn.ANCHORARRAY(_xlfn.XLOOKUP($C81,'-ref_Distribution'!$B$146:$B$150,'-ref_Distribution'!$G$146:$G$150)),RIGHT(X$1,2)),"")</f>
        <v>0</v>
      </c>
      <c r="Y81" s="16" cm="1">
        <f t="array" ref="Y81">IFERROR(INDEX(_xlfn.ANCHORARRAY(_xlfn.XLOOKUP($C81,'-ref_Distribution'!$B$146:$B$150,'-ref_Distribution'!$G$146:$G$150)),RIGHT(Y$1,2)),"")</f>
        <v>0</v>
      </c>
      <c r="Z81" s="16" cm="1">
        <f t="array" ref="Z81">IFERROR(INDEX(_xlfn.ANCHORARRAY(_xlfn.XLOOKUP($C81,'-ref_Distribution'!$B$146:$B$150,'-ref_Distribution'!$G$146:$G$150)),RIGHT(Z$1,2)),"")</f>
        <v>0</v>
      </c>
      <c r="AA81" s="16" cm="1">
        <f t="array" ref="AA81">IFERROR(INDEX(_xlfn.ANCHORARRAY(_xlfn.XLOOKUP($C81,'-ref_Distribution'!$B$146:$B$150,'-ref_Distribution'!$G$146:$G$150)),RIGHT(AA$1,2)),"")</f>
        <v>0</v>
      </c>
      <c r="AB81" s="16" cm="1">
        <f t="array" ref="AB81">IFERROR(INDEX(_xlfn.ANCHORARRAY(_xlfn.XLOOKUP($C81,'-ref_Distribution'!$B$146:$B$150,'-ref_Distribution'!$G$146:$G$150)),RIGHT(AB$1,2)),"")</f>
        <v>0</v>
      </c>
      <c r="AC81" s="16" cm="1">
        <f t="array" ref="AC81">IFERROR(INDEX(_xlfn.ANCHORARRAY(_xlfn.XLOOKUP($C81,'-ref_Distribution'!$B$146:$B$150,'-ref_Distribution'!$G$146:$G$150)),RIGHT(AC$1,2)),"")</f>
        <v>1</v>
      </c>
      <c r="AD81" s="16" cm="1">
        <f t="array" ref="AD81">IFERROR(INDEX(_xlfn.ANCHORARRAY(_xlfn.XLOOKUP($C81,'-ref_Distribution'!$B$146:$B$150,'-ref_Distribution'!$G$146:$G$150)),RIGHT(AD$1,2)),"")</f>
        <v>1</v>
      </c>
      <c r="AE81" s="16" cm="1">
        <f t="array" ref="AE81">IFERROR(INDEX(_xlfn.ANCHORARRAY(_xlfn.XLOOKUP($C81,'-ref_Distribution'!$B$146:$B$150,'-ref_Distribution'!$G$146:$G$150)),RIGHT(AE$1,2)),"")</f>
        <v>2</v>
      </c>
      <c r="AF81" s="16" cm="1">
        <f t="array" ref="AF81">IFERROR(INDEX(_xlfn.ANCHORARRAY(_xlfn.XLOOKUP($C81,'-ref_Distribution'!$B$146:$B$150,'-ref_Distribution'!$G$146:$G$150)),RIGHT(AF$1,2)),"")</f>
        <v>3</v>
      </c>
      <c r="AG81" s="16" cm="1">
        <f t="array" ref="AG81">IFERROR(INDEX(_xlfn.ANCHORARRAY(_xlfn.XLOOKUP($C81,'-ref_Distribution'!$B$146:$B$150,'-ref_Distribution'!$G$146:$G$150)),RIGHT(AG$1,2)),"")</f>
        <v>5</v>
      </c>
      <c r="AH81" s="16" cm="1">
        <f t="array" ref="AH81">IFERROR(INDEX(_xlfn.ANCHORARRAY(_xlfn.XLOOKUP($C81,'-ref_Distribution'!$B$146:$B$150,'-ref_Distribution'!$G$146:$G$150)),RIGHT(AH$1,2)),"")</f>
        <v>9</v>
      </c>
      <c r="AI81" s="16" cm="1">
        <f t="array" ref="AI81">IFERROR(INDEX(_xlfn.ANCHORARRAY(_xlfn.XLOOKUP($C81,'-ref_Distribution'!$B$146:$B$150,'-ref_Distribution'!$G$146:$G$150)),RIGHT(AI$1,2)),"")</f>
        <v>14</v>
      </c>
      <c r="AJ81" s="16" cm="1">
        <f t="array" ref="AJ81">IFERROR(INDEX(_xlfn.ANCHORARRAY(_xlfn.XLOOKUP($C81,'-ref_Distribution'!$B$146:$B$150,'-ref_Distribution'!$G$146:$G$150)),RIGHT(AJ$1,2)),"")</f>
        <v>20</v>
      </c>
      <c r="AK81" s="16" cm="1">
        <f t="array" ref="AK81">IFERROR(INDEX(_xlfn.ANCHORARRAY(_xlfn.XLOOKUP($C81,'-ref_Distribution'!$B$146:$B$150,'-ref_Distribution'!$G$146:$G$150)),RIGHT(AK$1,2)),"")</f>
        <v>28</v>
      </c>
      <c r="AL81" s="16" cm="1">
        <f t="array" ref="AL81">IFERROR(INDEX(_xlfn.ANCHORARRAY(_xlfn.XLOOKUP($C81,'-ref_Distribution'!$B$146:$B$150,'-ref_Distribution'!$G$146:$G$150)),RIGHT(AL$1,2)),"")</f>
        <v>38</v>
      </c>
      <c r="AM81" s="16" cm="1">
        <f t="array" ref="AM81">IFERROR(INDEX(_xlfn.ANCHORARRAY(_xlfn.XLOOKUP($C81,'-ref_Distribution'!$B$146:$B$150,'-ref_Distribution'!$G$146:$G$150)),RIGHT(AM$1,2)),"")</f>
        <v>48</v>
      </c>
      <c r="AN81" s="16" cm="1">
        <f t="array" ref="AN81">IFERROR(INDEX(_xlfn.ANCHORARRAY(_xlfn.XLOOKUP($C81,'-ref_Distribution'!$B$146:$B$150,'-ref_Distribution'!$G$146:$G$150)),RIGHT(AN$1,2)),"")</f>
        <v>59</v>
      </c>
      <c r="AO81" s="16" cm="1">
        <f t="array" ref="AO81">IFERROR(INDEX(_xlfn.ANCHORARRAY(_xlfn.XLOOKUP($C81,'-ref_Distribution'!$B$146:$B$150,'-ref_Distribution'!$G$146:$G$150)),RIGHT(AO$1,2)),"")</f>
        <v>69</v>
      </c>
      <c r="AP81" s="16" cm="1">
        <f t="array" ref="AP81">IFERROR(INDEX(_xlfn.ANCHORARRAY(_xlfn.XLOOKUP($C81,'-ref_Distribution'!$B$146:$B$150,'-ref_Distribution'!$G$146:$G$150)),RIGHT(AP$1,2)),"")</f>
        <v>78</v>
      </c>
      <c r="AQ81" s="16" cm="1">
        <f t="array" ref="AQ81">IFERROR(INDEX(_xlfn.ANCHORARRAY(_xlfn.XLOOKUP($C81,'-ref_Distribution'!$B$146:$B$150,'-ref_Distribution'!$G$146:$G$150)),RIGHT(AQ$1,2)),"")</f>
        <v>83</v>
      </c>
      <c r="AR81" s="16" cm="1">
        <f t="array" ref="AR81">IFERROR(INDEX(_xlfn.ANCHORARRAY(_xlfn.XLOOKUP($C81,'-ref_Distribution'!$B$146:$B$150,'-ref_Distribution'!$G$146:$G$150)),RIGHT(AR$1,2)),"")</f>
        <v>0</v>
      </c>
      <c r="AS81" s="16" cm="1">
        <f t="array" ref="AS81">IFERROR(INDEX(_xlfn.ANCHORARRAY(_xlfn.XLOOKUP($C81,'-ref_Distribution'!$B$146:$B$150,'-ref_Distribution'!$G$146:$G$150)),RIGHT(AS$1,2)),"")</f>
        <v>0</v>
      </c>
      <c r="AT81" s="16" cm="1">
        <f t="array" ref="AT81">IFERROR(INDEX(_xlfn.ANCHORARRAY(_xlfn.XLOOKUP($C81,'-ref_Distribution'!$B$146:$B$150,'-ref_Distribution'!$G$146:$G$150)),RIGHT(AT$1,2)),"")</f>
        <v>0</v>
      </c>
      <c r="AU81" s="16" cm="1">
        <f t="array" ref="AU81">IFERROR(INDEX(_xlfn.ANCHORARRAY(_xlfn.XLOOKUP($C81,'-ref_Distribution'!$B$146:$B$150,'-ref_Distribution'!$G$146:$G$150)),RIGHT(AU$1,2)),"")</f>
        <v>0</v>
      </c>
      <c r="AV81" s="16" cm="1">
        <f t="array" ref="AV81">IFERROR(INDEX(_xlfn.ANCHORARRAY(_xlfn.XLOOKUP($C81,'-ref_Distribution'!$B$146:$B$150,'-ref_Distribution'!$G$146:$G$150)),RIGHT(AV$1,2)),"")</f>
        <v>0</v>
      </c>
      <c r="AW81" s="16" cm="1">
        <f t="array" ref="AW81">IFERROR(INDEX(_xlfn.ANCHORARRAY(_xlfn.XLOOKUP($C81,'-ref_Distribution'!$B$146:$B$150,'-ref_Distribution'!$G$146:$G$150)),RIGHT(AW$1,2)),"")</f>
        <v>1</v>
      </c>
      <c r="AX81" s="16" cm="1">
        <f t="array" ref="AX81">IFERROR(INDEX(_xlfn.ANCHORARRAY(_xlfn.XLOOKUP($C81,'-ref_Distribution'!$B$146:$B$150,'-ref_Distribution'!$G$146:$G$150)),RIGHT(AX$1,2)),"")</f>
        <v>1</v>
      </c>
      <c r="AY81" s="16" cm="1">
        <f t="array" ref="AY81">IFERROR(INDEX(_xlfn.ANCHORARRAY(_xlfn.XLOOKUP($C81,'-ref_Distribution'!$B$146:$B$150,'-ref_Distribution'!$G$146:$G$150)),RIGHT(AY$1,2)),"")</f>
        <v>2</v>
      </c>
      <c r="AZ81" s="16" cm="1">
        <f t="array" ref="AZ81">IFERROR(INDEX(_xlfn.ANCHORARRAY(_xlfn.XLOOKUP($C81,'-ref_Distribution'!$B$146:$B$150,'-ref_Distribution'!$G$146:$G$150)),RIGHT(AZ$1,2)),"")</f>
        <v>3</v>
      </c>
      <c r="BA81" s="16" cm="1">
        <f t="array" ref="BA81">IFERROR(INDEX(_xlfn.ANCHORARRAY(_xlfn.XLOOKUP($C81,'-ref_Distribution'!$B$146:$B$150,'-ref_Distribution'!$G$146:$G$150)),RIGHT(BA$1,2)),"")</f>
        <v>5</v>
      </c>
      <c r="BB81" s="16" cm="1">
        <f t="array" ref="BB81">IFERROR(INDEX(_xlfn.ANCHORARRAY(_xlfn.XLOOKUP($C81,'-ref_Distribution'!$B$146:$B$150,'-ref_Distribution'!$G$146:$G$150)),RIGHT(BB$1,2)),"")</f>
        <v>9</v>
      </c>
      <c r="BC81" s="16" cm="1">
        <f t="array" ref="BC81">IFERROR(INDEX(_xlfn.ANCHORARRAY(_xlfn.XLOOKUP($C81,'-ref_Distribution'!$B$146:$B$150,'-ref_Distribution'!$G$146:$G$150)),RIGHT(BC$1,2)),"")</f>
        <v>14</v>
      </c>
      <c r="BD81" s="16" cm="1">
        <f t="array" ref="BD81">IFERROR(INDEX(_xlfn.ANCHORARRAY(_xlfn.XLOOKUP($C81,'-ref_Distribution'!$B$146:$B$150,'-ref_Distribution'!$G$146:$G$150)),RIGHT(BD$1,2)),"")</f>
        <v>20</v>
      </c>
      <c r="BE81" s="16" cm="1">
        <f t="array" ref="BE81">IFERROR(INDEX(_xlfn.ANCHORARRAY(_xlfn.XLOOKUP($C81,'-ref_Distribution'!$B$146:$B$150,'-ref_Distribution'!$G$146:$G$150)),RIGHT(BE$1,2)),"")</f>
        <v>28</v>
      </c>
      <c r="BF81" s="16" cm="1">
        <f t="array" ref="BF81">IFERROR(INDEX(_xlfn.ANCHORARRAY(_xlfn.XLOOKUP($C81,'-ref_Distribution'!$B$146:$B$150,'-ref_Distribution'!$G$146:$G$150)),RIGHT(BF$1,2)),"")</f>
        <v>38</v>
      </c>
      <c r="BG81" s="16" cm="1">
        <f t="array" ref="BG81">IFERROR(INDEX(_xlfn.ANCHORARRAY(_xlfn.XLOOKUP($C81,'-ref_Distribution'!$B$146:$B$150,'-ref_Distribution'!$G$146:$G$150)),RIGHT(BG$1,2)),"")</f>
        <v>48</v>
      </c>
      <c r="BH81" s="16" cm="1">
        <f t="array" ref="BH81">IFERROR(INDEX(_xlfn.ANCHORARRAY(_xlfn.XLOOKUP($C81,'-ref_Distribution'!$B$146:$B$150,'-ref_Distribution'!$G$146:$G$150)),RIGHT(BH$1,2)),"")</f>
        <v>59</v>
      </c>
      <c r="BI81" s="16" cm="1">
        <f t="array" ref="BI81">IFERROR(INDEX(_xlfn.ANCHORARRAY(_xlfn.XLOOKUP($C81,'-ref_Distribution'!$B$146:$B$150,'-ref_Distribution'!$G$146:$G$150)),RIGHT(BI$1,2)),"")</f>
        <v>69</v>
      </c>
      <c r="BJ81" s="16" cm="1">
        <f t="array" ref="BJ81">IFERROR(INDEX(_xlfn.ANCHORARRAY(_xlfn.XLOOKUP($C81,'-ref_Distribution'!$B$146:$B$150,'-ref_Distribution'!$G$146:$G$150)),RIGHT(BJ$1,2)),"")</f>
        <v>78</v>
      </c>
      <c r="BK81" s="16" cm="1">
        <f t="array" ref="BK81">IFERROR(INDEX(_xlfn.ANCHORARRAY(_xlfn.XLOOKUP($C81,'-ref_Distribution'!$B$146:$B$150,'-ref_Distribution'!$G$146:$G$150)),RIGHT(BK$1,2)),"")</f>
        <v>83</v>
      </c>
      <c r="BL81" s="16" cm="1">
        <f t="array" ref="BL81">IFERROR(INDEX(_xlfn.ANCHORARRAY(_xlfn.XLOOKUP($C81,'-ref_Distribution'!$B$146:$B$150,'-ref_Distribution'!$G$146:$G$150)),RIGHT(BL$1,2)),"")</f>
        <v>0</v>
      </c>
      <c r="BM81" s="16" cm="1">
        <f t="array" ref="BM81">IFERROR(INDEX(_xlfn.ANCHORARRAY(_xlfn.XLOOKUP($C81,'-ref_Distribution'!$B$146:$B$150,'-ref_Distribution'!$G$146:$G$150)),RIGHT(BM$1,2)),"")</f>
        <v>0</v>
      </c>
      <c r="BN81" s="16" cm="1">
        <f t="array" ref="BN81">IFERROR(INDEX(_xlfn.ANCHORARRAY(_xlfn.XLOOKUP($C81,'-ref_Distribution'!$B$146:$B$150,'-ref_Distribution'!$G$146:$G$150)),RIGHT(BN$1,2)),"")</f>
        <v>0</v>
      </c>
      <c r="BO81" s="16" cm="1">
        <f t="array" ref="BO81">IFERROR(INDEX(_xlfn.ANCHORARRAY(_xlfn.XLOOKUP($C81,'-ref_Distribution'!$B$146:$B$150,'-ref_Distribution'!$G$146:$G$150)),RIGHT(BO$1,2)),"")</f>
        <v>0</v>
      </c>
      <c r="BP81" s="16" cm="1">
        <f t="array" ref="BP81">IFERROR(INDEX(_xlfn.ANCHORARRAY(_xlfn.XLOOKUP($C81,'-ref_Distribution'!$B$146:$B$150,'-ref_Distribution'!$G$146:$G$150)),RIGHT(BP$1,2)),"")</f>
        <v>0</v>
      </c>
      <c r="BQ81" s="16" cm="1">
        <f t="array" ref="BQ81">IFERROR(INDEX(_xlfn.ANCHORARRAY(_xlfn.XLOOKUP($C81,'-ref_Distribution'!$B$146:$B$150,'-ref_Distribution'!$G$146:$G$150)),RIGHT(BQ$1,2)),"")</f>
        <v>1</v>
      </c>
      <c r="BR81" s="16" cm="1">
        <f t="array" ref="BR81">IFERROR(INDEX(_xlfn.ANCHORARRAY(_xlfn.XLOOKUP($C81,'-ref_Distribution'!$B$146:$B$150,'-ref_Distribution'!$G$146:$G$150)),RIGHT(BR$1,2)),"")</f>
        <v>1</v>
      </c>
      <c r="BS81" s="16" cm="1">
        <f t="array" ref="BS81">IFERROR(INDEX(_xlfn.ANCHORARRAY(_xlfn.XLOOKUP($C81,'-ref_Distribution'!$B$146:$B$150,'-ref_Distribution'!$G$146:$G$150)),RIGHT(BS$1,2)),"")</f>
        <v>2</v>
      </c>
      <c r="BT81" s="16" cm="1">
        <f t="array" ref="BT81">IFERROR(INDEX(_xlfn.ANCHORARRAY(_xlfn.XLOOKUP($C81,'-ref_Distribution'!$B$146:$B$150,'-ref_Distribution'!$G$146:$G$150)),RIGHT(BT$1,2)),"")</f>
        <v>3</v>
      </c>
      <c r="BU81" s="16" cm="1">
        <f t="array" ref="BU81">IFERROR(INDEX(_xlfn.ANCHORARRAY(_xlfn.XLOOKUP($C81,'-ref_Distribution'!$B$146:$B$150,'-ref_Distribution'!$G$146:$G$150)),RIGHT(BU$1,2)),"")</f>
        <v>5</v>
      </c>
      <c r="BV81" s="16" cm="1">
        <f t="array" ref="BV81">IFERROR(INDEX(_xlfn.ANCHORARRAY(_xlfn.XLOOKUP($C81,'-ref_Distribution'!$B$146:$B$150,'-ref_Distribution'!$G$146:$G$150)),RIGHT(BV$1,2)),"")</f>
        <v>9</v>
      </c>
      <c r="BW81" s="16" cm="1">
        <f t="array" ref="BW81">IFERROR(INDEX(_xlfn.ANCHORARRAY(_xlfn.XLOOKUP($C81,'-ref_Distribution'!$B$146:$B$150,'-ref_Distribution'!$G$146:$G$150)),RIGHT(BW$1,2)),"")</f>
        <v>14</v>
      </c>
      <c r="BX81" s="16" cm="1">
        <f t="array" ref="BX81">IFERROR(INDEX(_xlfn.ANCHORARRAY(_xlfn.XLOOKUP($C81,'-ref_Distribution'!$B$146:$B$150,'-ref_Distribution'!$G$146:$G$150)),RIGHT(BX$1,2)),"")</f>
        <v>20</v>
      </c>
      <c r="BY81" s="16" cm="1">
        <f t="array" ref="BY81">IFERROR(INDEX(_xlfn.ANCHORARRAY(_xlfn.XLOOKUP($C81,'-ref_Distribution'!$B$146:$B$150,'-ref_Distribution'!$G$146:$G$150)),RIGHT(BY$1,2)),"")</f>
        <v>28</v>
      </c>
      <c r="BZ81" s="16" cm="1">
        <f t="array" ref="BZ81">IFERROR(INDEX(_xlfn.ANCHORARRAY(_xlfn.XLOOKUP($C81,'-ref_Distribution'!$B$146:$B$150,'-ref_Distribution'!$G$146:$G$150)),RIGHT(BZ$1,2)),"")</f>
        <v>38</v>
      </c>
      <c r="CA81" s="16" cm="1">
        <f t="array" ref="CA81">IFERROR(INDEX(_xlfn.ANCHORARRAY(_xlfn.XLOOKUP($C81,'-ref_Distribution'!$B$146:$B$150,'-ref_Distribution'!$G$146:$G$150)),RIGHT(CA$1,2)),"")</f>
        <v>48</v>
      </c>
      <c r="CB81" s="16" cm="1">
        <f t="array" ref="CB81">IFERROR(INDEX(_xlfn.ANCHORARRAY(_xlfn.XLOOKUP($C81,'-ref_Distribution'!$B$146:$B$150,'-ref_Distribution'!$G$146:$G$150)),RIGHT(CB$1,2)),"")</f>
        <v>59</v>
      </c>
      <c r="CC81" s="16" cm="1">
        <f t="array" ref="CC81">IFERROR(INDEX(_xlfn.ANCHORARRAY(_xlfn.XLOOKUP($C81,'-ref_Distribution'!$B$146:$B$150,'-ref_Distribution'!$G$146:$G$150)),RIGHT(CC$1,2)),"")</f>
        <v>69</v>
      </c>
      <c r="CD81" s="16" cm="1">
        <f t="array" ref="CD81">IFERROR(INDEX(_xlfn.ANCHORARRAY(_xlfn.XLOOKUP($C81,'-ref_Distribution'!$B$146:$B$150,'-ref_Distribution'!$G$146:$G$150)),RIGHT(CD$1,2)),"")</f>
        <v>78</v>
      </c>
      <c r="CE81" s="16" cm="1">
        <f t="array" ref="CE81">IFERROR(INDEX(_xlfn.ANCHORARRAY(_xlfn.XLOOKUP($C81,'-ref_Distribution'!$B$146:$B$150,'-ref_Distribution'!$G$146:$G$150)),RIGHT(CE$1,2)),"")</f>
        <v>83</v>
      </c>
    </row>
    <row r="82" spans="1:83" x14ac:dyDescent="0.2">
      <c r="A82" s="16">
        <v>310504</v>
      </c>
      <c r="B82" s="16" t="s">
        <v>384</v>
      </c>
      <c r="C82" s="16">
        <v>2</v>
      </c>
      <c r="D82" s="16" cm="1">
        <f t="array" ref="D82">IFERROR(INDEX(_xlfn.ANCHORARRAY(_xlfn.XLOOKUP($C82,'-ref_Distribution'!$B$146:$B$150,'-ref_Distribution'!$G$146:$G$150)),RIGHT(D$1,2)),"")</f>
        <v>75</v>
      </c>
      <c r="E82" s="16" cm="1">
        <f t="array" ref="E82">IFERROR(INDEX(_xlfn.ANCHORARRAY(_xlfn.XLOOKUP($C82,'-ref_Distribution'!$B$146:$B$150,'-ref_Distribution'!$G$146:$G$150)),RIGHT(E$1,2)),"")</f>
        <v>94</v>
      </c>
      <c r="F82" s="16" cm="1">
        <f t="array" ref="F82">IFERROR(INDEX(_xlfn.ANCHORARRAY(_xlfn.XLOOKUP($C82,'-ref_Distribution'!$B$146:$B$150,'-ref_Distribution'!$G$146:$G$150)),RIGHT(F$1,2)),"")</f>
        <v>115</v>
      </c>
      <c r="G82" s="16" cm="1">
        <f t="array" ref="G82">IFERROR(INDEX(_xlfn.ANCHORARRAY(_xlfn.XLOOKUP($C82,'-ref_Distribution'!$B$146:$B$150,'-ref_Distribution'!$G$146:$G$150)),RIGHT(G$1,2)),"")</f>
        <v>137</v>
      </c>
      <c r="H82" s="16" cm="1">
        <f t="array" ref="H82">IFERROR(INDEX(_xlfn.ANCHORARRAY(_xlfn.XLOOKUP($C82,'-ref_Distribution'!$B$146:$B$150,'-ref_Distribution'!$G$146:$G$150)),RIGHT(H$1,2)),"")</f>
        <v>160</v>
      </c>
      <c r="I82" s="16" cm="1">
        <f t="array" ref="I82">IFERROR(INDEX(_xlfn.ANCHORARRAY(_xlfn.XLOOKUP($C82,'-ref_Distribution'!$B$146:$B$150,'-ref_Distribution'!$G$146:$G$150)),RIGHT(I$1,2)),"")</f>
        <v>183</v>
      </c>
      <c r="J82" s="16" cm="1">
        <f t="array" ref="J82">IFERROR(INDEX(_xlfn.ANCHORARRAY(_xlfn.XLOOKUP($C82,'-ref_Distribution'!$B$146:$B$150,'-ref_Distribution'!$G$146:$G$150)),RIGHT(J$1,2)),"")</f>
        <v>203</v>
      </c>
      <c r="K82" s="16" cm="1">
        <f t="array" ref="K82">IFERROR(INDEX(_xlfn.ANCHORARRAY(_xlfn.XLOOKUP($C82,'-ref_Distribution'!$B$146:$B$150,'-ref_Distribution'!$G$146:$G$150)),RIGHT(K$1,2)),"")</f>
        <v>221</v>
      </c>
      <c r="L82" s="16" cm="1">
        <f t="array" ref="L82">IFERROR(INDEX(_xlfn.ANCHORARRAY(_xlfn.XLOOKUP($C82,'-ref_Distribution'!$B$146:$B$150,'-ref_Distribution'!$G$146:$G$150)),RIGHT(L$1,2)),"")</f>
        <v>234</v>
      </c>
      <c r="M82" s="16" cm="1">
        <f t="array" ref="M82">IFERROR(INDEX(_xlfn.ANCHORARRAY(_xlfn.XLOOKUP($C82,'-ref_Distribution'!$B$146:$B$150,'-ref_Distribution'!$G$146:$G$150)),RIGHT(M$1,2)),"")</f>
        <v>243</v>
      </c>
      <c r="N82" s="16" cm="1">
        <f t="array" ref="N82">IFERROR(INDEX(_xlfn.ANCHORARRAY(_xlfn.XLOOKUP($C82,'-ref_Distribution'!$B$146:$B$150,'-ref_Distribution'!$G$146:$G$150)),RIGHT(N$1,2)),"")</f>
        <v>245</v>
      </c>
      <c r="O82" s="16" cm="1">
        <f t="array" ref="O82">IFERROR(INDEX(_xlfn.ANCHORARRAY(_xlfn.XLOOKUP($C82,'-ref_Distribution'!$B$146:$B$150,'-ref_Distribution'!$G$146:$G$150)),RIGHT(O$1,2)),"")</f>
        <v>243</v>
      </c>
      <c r="P82" s="16" cm="1">
        <f t="array" ref="P82">IFERROR(INDEX(_xlfn.ANCHORARRAY(_xlfn.XLOOKUP($C82,'-ref_Distribution'!$B$146:$B$150,'-ref_Distribution'!$G$146:$G$150)),RIGHT(P$1,2)),"")</f>
        <v>234</v>
      </c>
      <c r="Q82" s="16" cm="1">
        <f t="array" ref="Q82">IFERROR(INDEX(_xlfn.ANCHORARRAY(_xlfn.XLOOKUP($C82,'-ref_Distribution'!$B$146:$B$150,'-ref_Distribution'!$G$146:$G$150)),RIGHT(Q$1,2)),"")</f>
        <v>221</v>
      </c>
      <c r="R82" s="16" cm="1">
        <f t="array" ref="R82">IFERROR(INDEX(_xlfn.ANCHORARRAY(_xlfn.XLOOKUP($C82,'-ref_Distribution'!$B$146:$B$150,'-ref_Distribution'!$G$146:$G$150)),RIGHT(R$1,2)),"")</f>
        <v>203</v>
      </c>
      <c r="S82" s="16" cm="1">
        <f t="array" ref="S82">IFERROR(INDEX(_xlfn.ANCHORARRAY(_xlfn.XLOOKUP($C82,'-ref_Distribution'!$B$146:$B$150,'-ref_Distribution'!$G$146:$G$150)),RIGHT(S$1,2)),"")</f>
        <v>183</v>
      </c>
      <c r="T82" s="16" cm="1">
        <f t="array" ref="T82">IFERROR(INDEX(_xlfn.ANCHORARRAY(_xlfn.XLOOKUP($C82,'-ref_Distribution'!$B$146:$B$150,'-ref_Distribution'!$G$146:$G$150)),RIGHT(T$1,2)),"")</f>
        <v>160</v>
      </c>
      <c r="U82" s="16" cm="1">
        <f t="array" ref="U82">IFERROR(INDEX(_xlfn.ANCHORARRAY(_xlfn.XLOOKUP($C82,'-ref_Distribution'!$B$146:$B$150,'-ref_Distribution'!$G$146:$G$150)),RIGHT(U$1,2)),"")</f>
        <v>137</v>
      </c>
      <c r="V82" s="16" cm="1">
        <f t="array" ref="V82">IFERROR(INDEX(_xlfn.ANCHORARRAY(_xlfn.XLOOKUP($C82,'-ref_Distribution'!$B$146:$B$150,'-ref_Distribution'!$G$146:$G$150)),RIGHT(V$1,2)),"")</f>
        <v>115</v>
      </c>
      <c r="W82" s="16" cm="1">
        <f t="array" ref="W82">IFERROR(INDEX(_xlfn.ANCHORARRAY(_xlfn.XLOOKUP($C82,'-ref_Distribution'!$B$146:$B$150,'-ref_Distribution'!$G$146:$G$150)),RIGHT(W$1,2)),"")</f>
        <v>94</v>
      </c>
      <c r="X82" s="16" cm="1">
        <f t="array" ref="X82">IFERROR(INDEX(_xlfn.ANCHORARRAY(_xlfn.XLOOKUP($C82,'-ref_Distribution'!$B$146:$B$150,'-ref_Distribution'!$G$146:$G$150)),RIGHT(X$1,2)),"")</f>
        <v>75</v>
      </c>
      <c r="Y82" s="16" cm="1">
        <f t="array" ref="Y82">IFERROR(INDEX(_xlfn.ANCHORARRAY(_xlfn.XLOOKUP($C82,'-ref_Distribution'!$B$146:$B$150,'-ref_Distribution'!$G$146:$G$150)),RIGHT(Y$1,2)),"")</f>
        <v>94</v>
      </c>
      <c r="Z82" s="16" cm="1">
        <f t="array" ref="Z82">IFERROR(INDEX(_xlfn.ANCHORARRAY(_xlfn.XLOOKUP($C82,'-ref_Distribution'!$B$146:$B$150,'-ref_Distribution'!$G$146:$G$150)),RIGHT(Z$1,2)),"")</f>
        <v>115</v>
      </c>
      <c r="AA82" s="16" cm="1">
        <f t="array" ref="AA82">IFERROR(INDEX(_xlfn.ANCHORARRAY(_xlfn.XLOOKUP($C82,'-ref_Distribution'!$B$146:$B$150,'-ref_Distribution'!$G$146:$G$150)),RIGHT(AA$1,2)),"")</f>
        <v>137</v>
      </c>
      <c r="AB82" s="16" cm="1">
        <f t="array" ref="AB82">IFERROR(INDEX(_xlfn.ANCHORARRAY(_xlfn.XLOOKUP($C82,'-ref_Distribution'!$B$146:$B$150,'-ref_Distribution'!$G$146:$G$150)),RIGHT(AB$1,2)),"")</f>
        <v>160</v>
      </c>
      <c r="AC82" s="16" cm="1">
        <f t="array" ref="AC82">IFERROR(INDEX(_xlfn.ANCHORARRAY(_xlfn.XLOOKUP($C82,'-ref_Distribution'!$B$146:$B$150,'-ref_Distribution'!$G$146:$G$150)),RIGHT(AC$1,2)),"")</f>
        <v>183</v>
      </c>
      <c r="AD82" s="16" cm="1">
        <f t="array" ref="AD82">IFERROR(INDEX(_xlfn.ANCHORARRAY(_xlfn.XLOOKUP($C82,'-ref_Distribution'!$B$146:$B$150,'-ref_Distribution'!$G$146:$G$150)),RIGHT(AD$1,2)),"")</f>
        <v>203</v>
      </c>
      <c r="AE82" s="16" cm="1">
        <f t="array" ref="AE82">IFERROR(INDEX(_xlfn.ANCHORARRAY(_xlfn.XLOOKUP($C82,'-ref_Distribution'!$B$146:$B$150,'-ref_Distribution'!$G$146:$G$150)),RIGHT(AE$1,2)),"")</f>
        <v>221</v>
      </c>
      <c r="AF82" s="16" cm="1">
        <f t="array" ref="AF82">IFERROR(INDEX(_xlfn.ANCHORARRAY(_xlfn.XLOOKUP($C82,'-ref_Distribution'!$B$146:$B$150,'-ref_Distribution'!$G$146:$G$150)),RIGHT(AF$1,2)),"")</f>
        <v>234</v>
      </c>
      <c r="AG82" s="16" cm="1">
        <f t="array" ref="AG82">IFERROR(INDEX(_xlfn.ANCHORARRAY(_xlfn.XLOOKUP($C82,'-ref_Distribution'!$B$146:$B$150,'-ref_Distribution'!$G$146:$G$150)),RIGHT(AG$1,2)),"")</f>
        <v>243</v>
      </c>
      <c r="AH82" s="16" cm="1">
        <f t="array" ref="AH82">IFERROR(INDEX(_xlfn.ANCHORARRAY(_xlfn.XLOOKUP($C82,'-ref_Distribution'!$B$146:$B$150,'-ref_Distribution'!$G$146:$G$150)),RIGHT(AH$1,2)),"")</f>
        <v>245</v>
      </c>
      <c r="AI82" s="16" cm="1">
        <f t="array" ref="AI82">IFERROR(INDEX(_xlfn.ANCHORARRAY(_xlfn.XLOOKUP($C82,'-ref_Distribution'!$B$146:$B$150,'-ref_Distribution'!$G$146:$G$150)),RIGHT(AI$1,2)),"")</f>
        <v>243</v>
      </c>
      <c r="AJ82" s="16" cm="1">
        <f t="array" ref="AJ82">IFERROR(INDEX(_xlfn.ANCHORARRAY(_xlfn.XLOOKUP($C82,'-ref_Distribution'!$B$146:$B$150,'-ref_Distribution'!$G$146:$G$150)),RIGHT(AJ$1,2)),"")</f>
        <v>234</v>
      </c>
      <c r="AK82" s="16" cm="1">
        <f t="array" ref="AK82">IFERROR(INDEX(_xlfn.ANCHORARRAY(_xlfn.XLOOKUP($C82,'-ref_Distribution'!$B$146:$B$150,'-ref_Distribution'!$G$146:$G$150)),RIGHT(AK$1,2)),"")</f>
        <v>221</v>
      </c>
      <c r="AL82" s="16" cm="1">
        <f t="array" ref="AL82">IFERROR(INDEX(_xlfn.ANCHORARRAY(_xlfn.XLOOKUP($C82,'-ref_Distribution'!$B$146:$B$150,'-ref_Distribution'!$G$146:$G$150)),RIGHT(AL$1,2)),"")</f>
        <v>203</v>
      </c>
      <c r="AM82" s="16" cm="1">
        <f t="array" ref="AM82">IFERROR(INDEX(_xlfn.ANCHORARRAY(_xlfn.XLOOKUP($C82,'-ref_Distribution'!$B$146:$B$150,'-ref_Distribution'!$G$146:$G$150)),RIGHT(AM$1,2)),"")</f>
        <v>183</v>
      </c>
      <c r="AN82" s="16" cm="1">
        <f t="array" ref="AN82">IFERROR(INDEX(_xlfn.ANCHORARRAY(_xlfn.XLOOKUP($C82,'-ref_Distribution'!$B$146:$B$150,'-ref_Distribution'!$G$146:$G$150)),RIGHT(AN$1,2)),"")</f>
        <v>160</v>
      </c>
      <c r="AO82" s="16" cm="1">
        <f t="array" ref="AO82">IFERROR(INDEX(_xlfn.ANCHORARRAY(_xlfn.XLOOKUP($C82,'-ref_Distribution'!$B$146:$B$150,'-ref_Distribution'!$G$146:$G$150)),RIGHT(AO$1,2)),"")</f>
        <v>137</v>
      </c>
      <c r="AP82" s="16" cm="1">
        <f t="array" ref="AP82">IFERROR(INDEX(_xlfn.ANCHORARRAY(_xlfn.XLOOKUP($C82,'-ref_Distribution'!$B$146:$B$150,'-ref_Distribution'!$G$146:$G$150)),RIGHT(AP$1,2)),"")</f>
        <v>115</v>
      </c>
      <c r="AQ82" s="16" cm="1">
        <f t="array" ref="AQ82">IFERROR(INDEX(_xlfn.ANCHORARRAY(_xlfn.XLOOKUP($C82,'-ref_Distribution'!$B$146:$B$150,'-ref_Distribution'!$G$146:$G$150)),RIGHT(AQ$1,2)),"")</f>
        <v>94</v>
      </c>
      <c r="AR82" s="16" cm="1">
        <f t="array" ref="AR82">IFERROR(INDEX(_xlfn.ANCHORARRAY(_xlfn.XLOOKUP($C82,'-ref_Distribution'!$B$146:$B$150,'-ref_Distribution'!$G$146:$G$150)),RIGHT(AR$1,2)),"")</f>
        <v>75</v>
      </c>
      <c r="AS82" s="16" cm="1">
        <f t="array" ref="AS82">IFERROR(INDEX(_xlfn.ANCHORARRAY(_xlfn.XLOOKUP($C82,'-ref_Distribution'!$B$146:$B$150,'-ref_Distribution'!$G$146:$G$150)),RIGHT(AS$1,2)),"")</f>
        <v>94</v>
      </c>
      <c r="AT82" s="16" cm="1">
        <f t="array" ref="AT82">IFERROR(INDEX(_xlfn.ANCHORARRAY(_xlfn.XLOOKUP($C82,'-ref_Distribution'!$B$146:$B$150,'-ref_Distribution'!$G$146:$G$150)),RIGHT(AT$1,2)),"")</f>
        <v>115</v>
      </c>
      <c r="AU82" s="16" cm="1">
        <f t="array" ref="AU82">IFERROR(INDEX(_xlfn.ANCHORARRAY(_xlfn.XLOOKUP($C82,'-ref_Distribution'!$B$146:$B$150,'-ref_Distribution'!$G$146:$G$150)),RIGHT(AU$1,2)),"")</f>
        <v>137</v>
      </c>
      <c r="AV82" s="16" cm="1">
        <f t="array" ref="AV82">IFERROR(INDEX(_xlfn.ANCHORARRAY(_xlfn.XLOOKUP($C82,'-ref_Distribution'!$B$146:$B$150,'-ref_Distribution'!$G$146:$G$150)),RIGHT(AV$1,2)),"")</f>
        <v>160</v>
      </c>
      <c r="AW82" s="16" cm="1">
        <f t="array" ref="AW82">IFERROR(INDEX(_xlfn.ANCHORARRAY(_xlfn.XLOOKUP($C82,'-ref_Distribution'!$B$146:$B$150,'-ref_Distribution'!$G$146:$G$150)),RIGHT(AW$1,2)),"")</f>
        <v>183</v>
      </c>
      <c r="AX82" s="16" cm="1">
        <f t="array" ref="AX82">IFERROR(INDEX(_xlfn.ANCHORARRAY(_xlfn.XLOOKUP($C82,'-ref_Distribution'!$B$146:$B$150,'-ref_Distribution'!$G$146:$G$150)),RIGHT(AX$1,2)),"")</f>
        <v>203</v>
      </c>
      <c r="AY82" s="16" cm="1">
        <f t="array" ref="AY82">IFERROR(INDEX(_xlfn.ANCHORARRAY(_xlfn.XLOOKUP($C82,'-ref_Distribution'!$B$146:$B$150,'-ref_Distribution'!$G$146:$G$150)),RIGHT(AY$1,2)),"")</f>
        <v>221</v>
      </c>
      <c r="AZ82" s="16" cm="1">
        <f t="array" ref="AZ82">IFERROR(INDEX(_xlfn.ANCHORARRAY(_xlfn.XLOOKUP($C82,'-ref_Distribution'!$B$146:$B$150,'-ref_Distribution'!$G$146:$G$150)),RIGHT(AZ$1,2)),"")</f>
        <v>234</v>
      </c>
      <c r="BA82" s="16" cm="1">
        <f t="array" ref="BA82">IFERROR(INDEX(_xlfn.ANCHORARRAY(_xlfn.XLOOKUP($C82,'-ref_Distribution'!$B$146:$B$150,'-ref_Distribution'!$G$146:$G$150)),RIGHT(BA$1,2)),"")</f>
        <v>243</v>
      </c>
      <c r="BB82" s="16" cm="1">
        <f t="array" ref="BB82">IFERROR(INDEX(_xlfn.ANCHORARRAY(_xlfn.XLOOKUP($C82,'-ref_Distribution'!$B$146:$B$150,'-ref_Distribution'!$G$146:$G$150)),RIGHT(BB$1,2)),"")</f>
        <v>245</v>
      </c>
      <c r="BC82" s="16" cm="1">
        <f t="array" ref="BC82">IFERROR(INDEX(_xlfn.ANCHORARRAY(_xlfn.XLOOKUP($C82,'-ref_Distribution'!$B$146:$B$150,'-ref_Distribution'!$G$146:$G$150)),RIGHT(BC$1,2)),"")</f>
        <v>243</v>
      </c>
      <c r="BD82" s="16" cm="1">
        <f t="array" ref="BD82">IFERROR(INDEX(_xlfn.ANCHORARRAY(_xlfn.XLOOKUP($C82,'-ref_Distribution'!$B$146:$B$150,'-ref_Distribution'!$G$146:$G$150)),RIGHT(BD$1,2)),"")</f>
        <v>234</v>
      </c>
      <c r="BE82" s="16" cm="1">
        <f t="array" ref="BE82">IFERROR(INDEX(_xlfn.ANCHORARRAY(_xlfn.XLOOKUP($C82,'-ref_Distribution'!$B$146:$B$150,'-ref_Distribution'!$G$146:$G$150)),RIGHT(BE$1,2)),"")</f>
        <v>221</v>
      </c>
      <c r="BF82" s="16" cm="1">
        <f t="array" ref="BF82">IFERROR(INDEX(_xlfn.ANCHORARRAY(_xlfn.XLOOKUP($C82,'-ref_Distribution'!$B$146:$B$150,'-ref_Distribution'!$G$146:$G$150)),RIGHT(BF$1,2)),"")</f>
        <v>203</v>
      </c>
      <c r="BG82" s="16" cm="1">
        <f t="array" ref="BG82">IFERROR(INDEX(_xlfn.ANCHORARRAY(_xlfn.XLOOKUP($C82,'-ref_Distribution'!$B$146:$B$150,'-ref_Distribution'!$G$146:$G$150)),RIGHT(BG$1,2)),"")</f>
        <v>183</v>
      </c>
      <c r="BH82" s="16" cm="1">
        <f t="array" ref="BH82">IFERROR(INDEX(_xlfn.ANCHORARRAY(_xlfn.XLOOKUP($C82,'-ref_Distribution'!$B$146:$B$150,'-ref_Distribution'!$G$146:$G$150)),RIGHT(BH$1,2)),"")</f>
        <v>160</v>
      </c>
      <c r="BI82" s="16" cm="1">
        <f t="array" ref="BI82">IFERROR(INDEX(_xlfn.ANCHORARRAY(_xlfn.XLOOKUP($C82,'-ref_Distribution'!$B$146:$B$150,'-ref_Distribution'!$G$146:$G$150)),RIGHT(BI$1,2)),"")</f>
        <v>137</v>
      </c>
      <c r="BJ82" s="16" cm="1">
        <f t="array" ref="BJ82">IFERROR(INDEX(_xlfn.ANCHORARRAY(_xlfn.XLOOKUP($C82,'-ref_Distribution'!$B$146:$B$150,'-ref_Distribution'!$G$146:$G$150)),RIGHT(BJ$1,2)),"")</f>
        <v>115</v>
      </c>
      <c r="BK82" s="16" cm="1">
        <f t="array" ref="BK82">IFERROR(INDEX(_xlfn.ANCHORARRAY(_xlfn.XLOOKUP($C82,'-ref_Distribution'!$B$146:$B$150,'-ref_Distribution'!$G$146:$G$150)),RIGHT(BK$1,2)),"")</f>
        <v>94</v>
      </c>
      <c r="BL82" s="16" cm="1">
        <f t="array" ref="BL82">IFERROR(INDEX(_xlfn.ANCHORARRAY(_xlfn.XLOOKUP($C82,'-ref_Distribution'!$B$146:$B$150,'-ref_Distribution'!$G$146:$G$150)),RIGHT(BL$1,2)),"")</f>
        <v>75</v>
      </c>
      <c r="BM82" s="16" cm="1">
        <f t="array" ref="BM82">IFERROR(INDEX(_xlfn.ANCHORARRAY(_xlfn.XLOOKUP($C82,'-ref_Distribution'!$B$146:$B$150,'-ref_Distribution'!$G$146:$G$150)),RIGHT(BM$1,2)),"")</f>
        <v>94</v>
      </c>
      <c r="BN82" s="16" cm="1">
        <f t="array" ref="BN82">IFERROR(INDEX(_xlfn.ANCHORARRAY(_xlfn.XLOOKUP($C82,'-ref_Distribution'!$B$146:$B$150,'-ref_Distribution'!$G$146:$G$150)),RIGHT(BN$1,2)),"")</f>
        <v>115</v>
      </c>
      <c r="BO82" s="16" cm="1">
        <f t="array" ref="BO82">IFERROR(INDEX(_xlfn.ANCHORARRAY(_xlfn.XLOOKUP($C82,'-ref_Distribution'!$B$146:$B$150,'-ref_Distribution'!$G$146:$G$150)),RIGHT(BO$1,2)),"")</f>
        <v>137</v>
      </c>
      <c r="BP82" s="16" cm="1">
        <f t="array" ref="BP82">IFERROR(INDEX(_xlfn.ANCHORARRAY(_xlfn.XLOOKUP($C82,'-ref_Distribution'!$B$146:$B$150,'-ref_Distribution'!$G$146:$G$150)),RIGHT(BP$1,2)),"")</f>
        <v>160</v>
      </c>
      <c r="BQ82" s="16" cm="1">
        <f t="array" ref="BQ82">IFERROR(INDEX(_xlfn.ANCHORARRAY(_xlfn.XLOOKUP($C82,'-ref_Distribution'!$B$146:$B$150,'-ref_Distribution'!$G$146:$G$150)),RIGHT(BQ$1,2)),"")</f>
        <v>183</v>
      </c>
      <c r="BR82" s="16" cm="1">
        <f t="array" ref="BR82">IFERROR(INDEX(_xlfn.ANCHORARRAY(_xlfn.XLOOKUP($C82,'-ref_Distribution'!$B$146:$B$150,'-ref_Distribution'!$G$146:$G$150)),RIGHT(BR$1,2)),"")</f>
        <v>203</v>
      </c>
      <c r="BS82" s="16" cm="1">
        <f t="array" ref="BS82">IFERROR(INDEX(_xlfn.ANCHORARRAY(_xlfn.XLOOKUP($C82,'-ref_Distribution'!$B$146:$B$150,'-ref_Distribution'!$G$146:$G$150)),RIGHT(BS$1,2)),"")</f>
        <v>221</v>
      </c>
      <c r="BT82" s="16" cm="1">
        <f t="array" ref="BT82">IFERROR(INDEX(_xlfn.ANCHORARRAY(_xlfn.XLOOKUP($C82,'-ref_Distribution'!$B$146:$B$150,'-ref_Distribution'!$G$146:$G$150)),RIGHT(BT$1,2)),"")</f>
        <v>234</v>
      </c>
      <c r="BU82" s="16" cm="1">
        <f t="array" ref="BU82">IFERROR(INDEX(_xlfn.ANCHORARRAY(_xlfn.XLOOKUP($C82,'-ref_Distribution'!$B$146:$B$150,'-ref_Distribution'!$G$146:$G$150)),RIGHT(BU$1,2)),"")</f>
        <v>243</v>
      </c>
      <c r="BV82" s="16" cm="1">
        <f t="array" ref="BV82">IFERROR(INDEX(_xlfn.ANCHORARRAY(_xlfn.XLOOKUP($C82,'-ref_Distribution'!$B$146:$B$150,'-ref_Distribution'!$G$146:$G$150)),RIGHT(BV$1,2)),"")</f>
        <v>245</v>
      </c>
      <c r="BW82" s="16" cm="1">
        <f t="array" ref="BW82">IFERROR(INDEX(_xlfn.ANCHORARRAY(_xlfn.XLOOKUP($C82,'-ref_Distribution'!$B$146:$B$150,'-ref_Distribution'!$G$146:$G$150)),RIGHT(BW$1,2)),"")</f>
        <v>243</v>
      </c>
      <c r="BX82" s="16" cm="1">
        <f t="array" ref="BX82">IFERROR(INDEX(_xlfn.ANCHORARRAY(_xlfn.XLOOKUP($C82,'-ref_Distribution'!$B$146:$B$150,'-ref_Distribution'!$G$146:$G$150)),RIGHT(BX$1,2)),"")</f>
        <v>234</v>
      </c>
      <c r="BY82" s="16" cm="1">
        <f t="array" ref="BY82">IFERROR(INDEX(_xlfn.ANCHORARRAY(_xlfn.XLOOKUP($C82,'-ref_Distribution'!$B$146:$B$150,'-ref_Distribution'!$G$146:$G$150)),RIGHT(BY$1,2)),"")</f>
        <v>221</v>
      </c>
      <c r="BZ82" s="16" cm="1">
        <f t="array" ref="BZ82">IFERROR(INDEX(_xlfn.ANCHORARRAY(_xlfn.XLOOKUP($C82,'-ref_Distribution'!$B$146:$B$150,'-ref_Distribution'!$G$146:$G$150)),RIGHT(BZ$1,2)),"")</f>
        <v>203</v>
      </c>
      <c r="CA82" s="16" cm="1">
        <f t="array" ref="CA82">IFERROR(INDEX(_xlfn.ANCHORARRAY(_xlfn.XLOOKUP($C82,'-ref_Distribution'!$B$146:$B$150,'-ref_Distribution'!$G$146:$G$150)),RIGHT(CA$1,2)),"")</f>
        <v>183</v>
      </c>
      <c r="CB82" s="16" cm="1">
        <f t="array" ref="CB82">IFERROR(INDEX(_xlfn.ANCHORARRAY(_xlfn.XLOOKUP($C82,'-ref_Distribution'!$B$146:$B$150,'-ref_Distribution'!$G$146:$G$150)),RIGHT(CB$1,2)),"")</f>
        <v>160</v>
      </c>
      <c r="CC82" s="16" cm="1">
        <f t="array" ref="CC82">IFERROR(INDEX(_xlfn.ANCHORARRAY(_xlfn.XLOOKUP($C82,'-ref_Distribution'!$B$146:$B$150,'-ref_Distribution'!$G$146:$G$150)),RIGHT(CC$1,2)),"")</f>
        <v>137</v>
      </c>
      <c r="CD82" s="16" cm="1">
        <f t="array" ref="CD82">IFERROR(INDEX(_xlfn.ANCHORARRAY(_xlfn.XLOOKUP($C82,'-ref_Distribution'!$B$146:$B$150,'-ref_Distribution'!$G$146:$G$150)),RIGHT(CD$1,2)),"")</f>
        <v>115</v>
      </c>
      <c r="CE82" s="16" cm="1">
        <f t="array" ref="CE82">IFERROR(INDEX(_xlfn.ANCHORARRAY(_xlfn.XLOOKUP($C82,'-ref_Distribution'!$B$146:$B$150,'-ref_Distribution'!$G$146:$G$150)),RIGHT(CE$1,2)),"")</f>
        <v>94</v>
      </c>
    </row>
    <row r="83" spans="1:83" x14ac:dyDescent="0.2">
      <c r="A83" s="16">
        <v>310505</v>
      </c>
      <c r="B83" s="16" t="s">
        <v>385</v>
      </c>
      <c r="C83" s="16">
        <v>3</v>
      </c>
      <c r="D83" s="16" cm="1">
        <f t="array" ref="D83">IFERROR(INDEX(_xlfn.ANCHORARRAY(_xlfn.XLOOKUP($C83,'-ref_Distribution'!$B$146:$B$150,'-ref_Distribution'!$G$146:$G$150)),RIGHT(D$1,2)),"")</f>
        <v>4</v>
      </c>
      <c r="E83" s="16" cm="1">
        <f t="array" ref="E83">IFERROR(INDEX(_xlfn.ANCHORARRAY(_xlfn.XLOOKUP($C83,'-ref_Distribution'!$B$146:$B$150,'-ref_Distribution'!$G$146:$G$150)),RIGHT(E$1,2)),"")</f>
        <v>6</v>
      </c>
      <c r="F83" s="16" cm="1">
        <f t="array" ref="F83">IFERROR(INDEX(_xlfn.ANCHORARRAY(_xlfn.XLOOKUP($C83,'-ref_Distribution'!$B$146:$B$150,'-ref_Distribution'!$G$146:$G$150)),RIGHT(F$1,2)),"")</f>
        <v>9</v>
      </c>
      <c r="G83" s="16" cm="1">
        <f t="array" ref="G83">IFERROR(INDEX(_xlfn.ANCHORARRAY(_xlfn.XLOOKUP($C83,'-ref_Distribution'!$B$146:$B$150,'-ref_Distribution'!$G$146:$G$150)),RIGHT(G$1,2)),"")</f>
        <v>14</v>
      </c>
      <c r="H83" s="16" cm="1">
        <f t="array" ref="H83">IFERROR(INDEX(_xlfn.ANCHORARRAY(_xlfn.XLOOKUP($C83,'-ref_Distribution'!$B$146:$B$150,'-ref_Distribution'!$G$146:$G$150)),RIGHT(H$1,2)),"")</f>
        <v>20</v>
      </c>
      <c r="I83" s="16" cm="1">
        <f t="array" ref="I83">IFERROR(INDEX(_xlfn.ANCHORARRAY(_xlfn.XLOOKUP($C83,'-ref_Distribution'!$B$146:$B$150,'-ref_Distribution'!$G$146:$G$150)),RIGHT(I$1,2)),"")</f>
        <v>28</v>
      </c>
      <c r="J83" s="16" cm="1">
        <f t="array" ref="J83">IFERROR(INDEX(_xlfn.ANCHORARRAY(_xlfn.XLOOKUP($C83,'-ref_Distribution'!$B$146:$B$150,'-ref_Distribution'!$G$146:$G$150)),RIGHT(J$1,2)),"")</f>
        <v>38</v>
      </c>
      <c r="K83" s="16" cm="1">
        <f t="array" ref="K83">IFERROR(INDEX(_xlfn.ANCHORARRAY(_xlfn.XLOOKUP($C83,'-ref_Distribution'!$B$146:$B$150,'-ref_Distribution'!$G$146:$G$150)),RIGHT(K$1,2)),"")</f>
        <v>51</v>
      </c>
      <c r="L83" s="16" cm="1">
        <f t="array" ref="L83">IFERROR(INDEX(_xlfn.ANCHORARRAY(_xlfn.XLOOKUP($C83,'-ref_Distribution'!$B$146:$B$150,'-ref_Distribution'!$G$146:$G$150)),RIGHT(L$1,2)),"")</f>
        <v>65</v>
      </c>
      <c r="M83" s="16" cm="1">
        <f t="array" ref="M83">IFERROR(INDEX(_xlfn.ANCHORARRAY(_xlfn.XLOOKUP($C83,'-ref_Distribution'!$B$146:$B$150,'-ref_Distribution'!$G$146:$G$150)),RIGHT(M$1,2)),"")</f>
        <v>80</v>
      </c>
      <c r="N83" s="16" cm="1">
        <f t="array" ref="N83">IFERROR(INDEX(_xlfn.ANCHORARRAY(_xlfn.XLOOKUP($C83,'-ref_Distribution'!$B$146:$B$150,'-ref_Distribution'!$G$146:$G$150)),RIGHT(N$1,2)),"")</f>
        <v>96</v>
      </c>
      <c r="O83" s="16" cm="1">
        <f t="array" ref="O83">IFERROR(INDEX(_xlfn.ANCHORARRAY(_xlfn.XLOOKUP($C83,'-ref_Distribution'!$B$146:$B$150,'-ref_Distribution'!$G$146:$G$150)),RIGHT(O$1,2)),"")</f>
        <v>111</v>
      </c>
      <c r="P83" s="16" cm="1">
        <f t="array" ref="P83">IFERROR(INDEX(_xlfn.ANCHORARRAY(_xlfn.XLOOKUP($C83,'-ref_Distribution'!$B$146:$B$150,'-ref_Distribution'!$G$146:$G$150)),RIGHT(P$1,2)),"")</f>
        <v>125</v>
      </c>
      <c r="Q83" s="16" cm="1">
        <f t="array" ref="Q83">IFERROR(INDEX(_xlfn.ANCHORARRAY(_xlfn.XLOOKUP($C83,'-ref_Distribution'!$B$146:$B$150,'-ref_Distribution'!$G$146:$G$150)),RIGHT(Q$1,2)),"")</f>
        <v>135</v>
      </c>
      <c r="R83" s="16" cm="1">
        <f t="array" ref="R83">IFERROR(INDEX(_xlfn.ANCHORARRAY(_xlfn.XLOOKUP($C83,'-ref_Distribution'!$B$146:$B$150,'-ref_Distribution'!$G$146:$G$150)),RIGHT(R$1,2)),"")</f>
        <v>142</v>
      </c>
      <c r="S83" s="16" cm="1">
        <f t="array" ref="S83">IFERROR(INDEX(_xlfn.ANCHORARRAY(_xlfn.XLOOKUP($C83,'-ref_Distribution'!$B$146:$B$150,'-ref_Distribution'!$G$146:$G$150)),RIGHT(S$1,2)),"")</f>
        <v>144</v>
      </c>
      <c r="T83" s="16" cm="1">
        <f t="array" ref="T83">IFERROR(INDEX(_xlfn.ANCHORARRAY(_xlfn.XLOOKUP($C83,'-ref_Distribution'!$B$146:$B$150,'-ref_Distribution'!$G$146:$G$150)),RIGHT(T$1,2)),"")</f>
        <v>142</v>
      </c>
      <c r="U83" s="16" cm="1">
        <f t="array" ref="U83">IFERROR(INDEX(_xlfn.ANCHORARRAY(_xlfn.XLOOKUP($C83,'-ref_Distribution'!$B$146:$B$150,'-ref_Distribution'!$G$146:$G$150)),RIGHT(U$1,2)),"")</f>
        <v>135</v>
      </c>
      <c r="V83" s="16" cm="1">
        <f t="array" ref="V83">IFERROR(INDEX(_xlfn.ANCHORARRAY(_xlfn.XLOOKUP($C83,'-ref_Distribution'!$B$146:$B$150,'-ref_Distribution'!$G$146:$G$150)),RIGHT(V$1,2)),"")</f>
        <v>125</v>
      </c>
      <c r="W83" s="16" cm="1">
        <f t="array" ref="W83">IFERROR(INDEX(_xlfn.ANCHORARRAY(_xlfn.XLOOKUP($C83,'-ref_Distribution'!$B$146:$B$150,'-ref_Distribution'!$G$146:$G$150)),RIGHT(W$1,2)),"")</f>
        <v>111</v>
      </c>
      <c r="X83" s="16" cm="1">
        <f t="array" ref="X83">IFERROR(INDEX(_xlfn.ANCHORARRAY(_xlfn.XLOOKUP($C83,'-ref_Distribution'!$B$146:$B$150,'-ref_Distribution'!$G$146:$G$150)),RIGHT(X$1,2)),"")</f>
        <v>4</v>
      </c>
      <c r="Y83" s="16" cm="1">
        <f t="array" ref="Y83">IFERROR(INDEX(_xlfn.ANCHORARRAY(_xlfn.XLOOKUP($C83,'-ref_Distribution'!$B$146:$B$150,'-ref_Distribution'!$G$146:$G$150)),RIGHT(Y$1,2)),"")</f>
        <v>6</v>
      </c>
      <c r="Z83" s="16" cm="1">
        <f t="array" ref="Z83">IFERROR(INDEX(_xlfn.ANCHORARRAY(_xlfn.XLOOKUP($C83,'-ref_Distribution'!$B$146:$B$150,'-ref_Distribution'!$G$146:$G$150)),RIGHT(Z$1,2)),"")</f>
        <v>9</v>
      </c>
      <c r="AA83" s="16" cm="1">
        <f t="array" ref="AA83">IFERROR(INDEX(_xlfn.ANCHORARRAY(_xlfn.XLOOKUP($C83,'-ref_Distribution'!$B$146:$B$150,'-ref_Distribution'!$G$146:$G$150)),RIGHT(AA$1,2)),"")</f>
        <v>14</v>
      </c>
      <c r="AB83" s="16" cm="1">
        <f t="array" ref="AB83">IFERROR(INDEX(_xlfn.ANCHORARRAY(_xlfn.XLOOKUP($C83,'-ref_Distribution'!$B$146:$B$150,'-ref_Distribution'!$G$146:$G$150)),RIGHT(AB$1,2)),"")</f>
        <v>20</v>
      </c>
      <c r="AC83" s="16" cm="1">
        <f t="array" ref="AC83">IFERROR(INDEX(_xlfn.ANCHORARRAY(_xlfn.XLOOKUP($C83,'-ref_Distribution'!$B$146:$B$150,'-ref_Distribution'!$G$146:$G$150)),RIGHT(AC$1,2)),"")</f>
        <v>28</v>
      </c>
      <c r="AD83" s="16" cm="1">
        <f t="array" ref="AD83">IFERROR(INDEX(_xlfn.ANCHORARRAY(_xlfn.XLOOKUP($C83,'-ref_Distribution'!$B$146:$B$150,'-ref_Distribution'!$G$146:$G$150)),RIGHT(AD$1,2)),"")</f>
        <v>38</v>
      </c>
      <c r="AE83" s="16" cm="1">
        <f t="array" ref="AE83">IFERROR(INDEX(_xlfn.ANCHORARRAY(_xlfn.XLOOKUP($C83,'-ref_Distribution'!$B$146:$B$150,'-ref_Distribution'!$G$146:$G$150)),RIGHT(AE$1,2)),"")</f>
        <v>51</v>
      </c>
      <c r="AF83" s="16" cm="1">
        <f t="array" ref="AF83">IFERROR(INDEX(_xlfn.ANCHORARRAY(_xlfn.XLOOKUP($C83,'-ref_Distribution'!$B$146:$B$150,'-ref_Distribution'!$G$146:$G$150)),RIGHT(AF$1,2)),"")</f>
        <v>65</v>
      </c>
      <c r="AG83" s="16" cm="1">
        <f t="array" ref="AG83">IFERROR(INDEX(_xlfn.ANCHORARRAY(_xlfn.XLOOKUP($C83,'-ref_Distribution'!$B$146:$B$150,'-ref_Distribution'!$G$146:$G$150)),RIGHT(AG$1,2)),"")</f>
        <v>80</v>
      </c>
      <c r="AH83" s="16" cm="1">
        <f t="array" ref="AH83">IFERROR(INDEX(_xlfn.ANCHORARRAY(_xlfn.XLOOKUP($C83,'-ref_Distribution'!$B$146:$B$150,'-ref_Distribution'!$G$146:$G$150)),RIGHT(AH$1,2)),"")</f>
        <v>96</v>
      </c>
      <c r="AI83" s="16" cm="1">
        <f t="array" ref="AI83">IFERROR(INDEX(_xlfn.ANCHORARRAY(_xlfn.XLOOKUP($C83,'-ref_Distribution'!$B$146:$B$150,'-ref_Distribution'!$G$146:$G$150)),RIGHT(AI$1,2)),"")</f>
        <v>111</v>
      </c>
      <c r="AJ83" s="16" cm="1">
        <f t="array" ref="AJ83">IFERROR(INDEX(_xlfn.ANCHORARRAY(_xlfn.XLOOKUP($C83,'-ref_Distribution'!$B$146:$B$150,'-ref_Distribution'!$G$146:$G$150)),RIGHT(AJ$1,2)),"")</f>
        <v>125</v>
      </c>
      <c r="AK83" s="16" cm="1">
        <f t="array" ref="AK83">IFERROR(INDEX(_xlfn.ANCHORARRAY(_xlfn.XLOOKUP($C83,'-ref_Distribution'!$B$146:$B$150,'-ref_Distribution'!$G$146:$G$150)),RIGHT(AK$1,2)),"")</f>
        <v>135</v>
      </c>
      <c r="AL83" s="16" cm="1">
        <f t="array" ref="AL83">IFERROR(INDEX(_xlfn.ANCHORARRAY(_xlfn.XLOOKUP($C83,'-ref_Distribution'!$B$146:$B$150,'-ref_Distribution'!$G$146:$G$150)),RIGHT(AL$1,2)),"")</f>
        <v>142</v>
      </c>
      <c r="AM83" s="16" cm="1">
        <f t="array" ref="AM83">IFERROR(INDEX(_xlfn.ANCHORARRAY(_xlfn.XLOOKUP($C83,'-ref_Distribution'!$B$146:$B$150,'-ref_Distribution'!$G$146:$G$150)),RIGHT(AM$1,2)),"")</f>
        <v>144</v>
      </c>
      <c r="AN83" s="16" cm="1">
        <f t="array" ref="AN83">IFERROR(INDEX(_xlfn.ANCHORARRAY(_xlfn.XLOOKUP($C83,'-ref_Distribution'!$B$146:$B$150,'-ref_Distribution'!$G$146:$G$150)),RIGHT(AN$1,2)),"")</f>
        <v>142</v>
      </c>
      <c r="AO83" s="16" cm="1">
        <f t="array" ref="AO83">IFERROR(INDEX(_xlfn.ANCHORARRAY(_xlfn.XLOOKUP($C83,'-ref_Distribution'!$B$146:$B$150,'-ref_Distribution'!$G$146:$G$150)),RIGHT(AO$1,2)),"")</f>
        <v>135</v>
      </c>
      <c r="AP83" s="16" cm="1">
        <f t="array" ref="AP83">IFERROR(INDEX(_xlfn.ANCHORARRAY(_xlfn.XLOOKUP($C83,'-ref_Distribution'!$B$146:$B$150,'-ref_Distribution'!$G$146:$G$150)),RIGHT(AP$1,2)),"")</f>
        <v>125</v>
      </c>
      <c r="AQ83" s="16" cm="1">
        <f t="array" ref="AQ83">IFERROR(INDEX(_xlfn.ANCHORARRAY(_xlfn.XLOOKUP($C83,'-ref_Distribution'!$B$146:$B$150,'-ref_Distribution'!$G$146:$G$150)),RIGHT(AQ$1,2)),"")</f>
        <v>111</v>
      </c>
      <c r="AR83" s="16" cm="1">
        <f t="array" ref="AR83">IFERROR(INDEX(_xlfn.ANCHORARRAY(_xlfn.XLOOKUP($C83,'-ref_Distribution'!$B$146:$B$150,'-ref_Distribution'!$G$146:$G$150)),RIGHT(AR$1,2)),"")</f>
        <v>4</v>
      </c>
      <c r="AS83" s="16" cm="1">
        <f t="array" ref="AS83">IFERROR(INDEX(_xlfn.ANCHORARRAY(_xlfn.XLOOKUP($C83,'-ref_Distribution'!$B$146:$B$150,'-ref_Distribution'!$G$146:$G$150)),RIGHT(AS$1,2)),"")</f>
        <v>6</v>
      </c>
      <c r="AT83" s="16" cm="1">
        <f t="array" ref="AT83">IFERROR(INDEX(_xlfn.ANCHORARRAY(_xlfn.XLOOKUP($C83,'-ref_Distribution'!$B$146:$B$150,'-ref_Distribution'!$G$146:$G$150)),RIGHT(AT$1,2)),"")</f>
        <v>9</v>
      </c>
      <c r="AU83" s="16" cm="1">
        <f t="array" ref="AU83">IFERROR(INDEX(_xlfn.ANCHORARRAY(_xlfn.XLOOKUP($C83,'-ref_Distribution'!$B$146:$B$150,'-ref_Distribution'!$G$146:$G$150)),RIGHT(AU$1,2)),"")</f>
        <v>14</v>
      </c>
      <c r="AV83" s="16" cm="1">
        <f t="array" ref="AV83">IFERROR(INDEX(_xlfn.ANCHORARRAY(_xlfn.XLOOKUP($C83,'-ref_Distribution'!$B$146:$B$150,'-ref_Distribution'!$G$146:$G$150)),RIGHT(AV$1,2)),"")</f>
        <v>20</v>
      </c>
      <c r="AW83" s="16" cm="1">
        <f t="array" ref="AW83">IFERROR(INDEX(_xlfn.ANCHORARRAY(_xlfn.XLOOKUP($C83,'-ref_Distribution'!$B$146:$B$150,'-ref_Distribution'!$G$146:$G$150)),RIGHT(AW$1,2)),"")</f>
        <v>28</v>
      </c>
      <c r="AX83" s="16" cm="1">
        <f t="array" ref="AX83">IFERROR(INDEX(_xlfn.ANCHORARRAY(_xlfn.XLOOKUP($C83,'-ref_Distribution'!$B$146:$B$150,'-ref_Distribution'!$G$146:$G$150)),RIGHT(AX$1,2)),"")</f>
        <v>38</v>
      </c>
      <c r="AY83" s="16" cm="1">
        <f t="array" ref="AY83">IFERROR(INDEX(_xlfn.ANCHORARRAY(_xlfn.XLOOKUP($C83,'-ref_Distribution'!$B$146:$B$150,'-ref_Distribution'!$G$146:$G$150)),RIGHT(AY$1,2)),"")</f>
        <v>51</v>
      </c>
      <c r="AZ83" s="16" cm="1">
        <f t="array" ref="AZ83">IFERROR(INDEX(_xlfn.ANCHORARRAY(_xlfn.XLOOKUP($C83,'-ref_Distribution'!$B$146:$B$150,'-ref_Distribution'!$G$146:$G$150)),RIGHT(AZ$1,2)),"")</f>
        <v>65</v>
      </c>
      <c r="BA83" s="16" cm="1">
        <f t="array" ref="BA83">IFERROR(INDEX(_xlfn.ANCHORARRAY(_xlfn.XLOOKUP($C83,'-ref_Distribution'!$B$146:$B$150,'-ref_Distribution'!$G$146:$G$150)),RIGHT(BA$1,2)),"")</f>
        <v>80</v>
      </c>
      <c r="BB83" s="16" cm="1">
        <f t="array" ref="BB83">IFERROR(INDEX(_xlfn.ANCHORARRAY(_xlfn.XLOOKUP($C83,'-ref_Distribution'!$B$146:$B$150,'-ref_Distribution'!$G$146:$G$150)),RIGHT(BB$1,2)),"")</f>
        <v>96</v>
      </c>
      <c r="BC83" s="16" cm="1">
        <f t="array" ref="BC83">IFERROR(INDEX(_xlfn.ANCHORARRAY(_xlfn.XLOOKUP($C83,'-ref_Distribution'!$B$146:$B$150,'-ref_Distribution'!$G$146:$G$150)),RIGHT(BC$1,2)),"")</f>
        <v>111</v>
      </c>
      <c r="BD83" s="16" cm="1">
        <f t="array" ref="BD83">IFERROR(INDEX(_xlfn.ANCHORARRAY(_xlfn.XLOOKUP($C83,'-ref_Distribution'!$B$146:$B$150,'-ref_Distribution'!$G$146:$G$150)),RIGHT(BD$1,2)),"")</f>
        <v>125</v>
      </c>
      <c r="BE83" s="16" cm="1">
        <f t="array" ref="BE83">IFERROR(INDEX(_xlfn.ANCHORARRAY(_xlfn.XLOOKUP($C83,'-ref_Distribution'!$B$146:$B$150,'-ref_Distribution'!$G$146:$G$150)),RIGHT(BE$1,2)),"")</f>
        <v>135</v>
      </c>
      <c r="BF83" s="16" cm="1">
        <f t="array" ref="BF83">IFERROR(INDEX(_xlfn.ANCHORARRAY(_xlfn.XLOOKUP($C83,'-ref_Distribution'!$B$146:$B$150,'-ref_Distribution'!$G$146:$G$150)),RIGHT(BF$1,2)),"")</f>
        <v>142</v>
      </c>
      <c r="BG83" s="16" cm="1">
        <f t="array" ref="BG83">IFERROR(INDEX(_xlfn.ANCHORARRAY(_xlfn.XLOOKUP($C83,'-ref_Distribution'!$B$146:$B$150,'-ref_Distribution'!$G$146:$G$150)),RIGHT(BG$1,2)),"")</f>
        <v>144</v>
      </c>
      <c r="BH83" s="16" cm="1">
        <f t="array" ref="BH83">IFERROR(INDEX(_xlfn.ANCHORARRAY(_xlfn.XLOOKUP($C83,'-ref_Distribution'!$B$146:$B$150,'-ref_Distribution'!$G$146:$G$150)),RIGHT(BH$1,2)),"")</f>
        <v>142</v>
      </c>
      <c r="BI83" s="16" cm="1">
        <f t="array" ref="BI83">IFERROR(INDEX(_xlfn.ANCHORARRAY(_xlfn.XLOOKUP($C83,'-ref_Distribution'!$B$146:$B$150,'-ref_Distribution'!$G$146:$G$150)),RIGHT(BI$1,2)),"")</f>
        <v>135</v>
      </c>
      <c r="BJ83" s="16" cm="1">
        <f t="array" ref="BJ83">IFERROR(INDEX(_xlfn.ANCHORARRAY(_xlfn.XLOOKUP($C83,'-ref_Distribution'!$B$146:$B$150,'-ref_Distribution'!$G$146:$G$150)),RIGHT(BJ$1,2)),"")</f>
        <v>125</v>
      </c>
      <c r="BK83" s="16" cm="1">
        <f t="array" ref="BK83">IFERROR(INDEX(_xlfn.ANCHORARRAY(_xlfn.XLOOKUP($C83,'-ref_Distribution'!$B$146:$B$150,'-ref_Distribution'!$G$146:$G$150)),RIGHT(BK$1,2)),"")</f>
        <v>111</v>
      </c>
      <c r="BL83" s="16" cm="1">
        <f t="array" ref="BL83">IFERROR(INDEX(_xlfn.ANCHORARRAY(_xlfn.XLOOKUP($C83,'-ref_Distribution'!$B$146:$B$150,'-ref_Distribution'!$G$146:$G$150)),RIGHT(BL$1,2)),"")</f>
        <v>4</v>
      </c>
      <c r="BM83" s="16" cm="1">
        <f t="array" ref="BM83">IFERROR(INDEX(_xlfn.ANCHORARRAY(_xlfn.XLOOKUP($C83,'-ref_Distribution'!$B$146:$B$150,'-ref_Distribution'!$G$146:$G$150)),RIGHT(BM$1,2)),"")</f>
        <v>6</v>
      </c>
      <c r="BN83" s="16" cm="1">
        <f t="array" ref="BN83">IFERROR(INDEX(_xlfn.ANCHORARRAY(_xlfn.XLOOKUP($C83,'-ref_Distribution'!$B$146:$B$150,'-ref_Distribution'!$G$146:$G$150)),RIGHT(BN$1,2)),"")</f>
        <v>9</v>
      </c>
      <c r="BO83" s="16" cm="1">
        <f t="array" ref="BO83">IFERROR(INDEX(_xlfn.ANCHORARRAY(_xlfn.XLOOKUP($C83,'-ref_Distribution'!$B$146:$B$150,'-ref_Distribution'!$G$146:$G$150)),RIGHT(BO$1,2)),"")</f>
        <v>14</v>
      </c>
      <c r="BP83" s="16" cm="1">
        <f t="array" ref="BP83">IFERROR(INDEX(_xlfn.ANCHORARRAY(_xlfn.XLOOKUP($C83,'-ref_Distribution'!$B$146:$B$150,'-ref_Distribution'!$G$146:$G$150)),RIGHT(BP$1,2)),"")</f>
        <v>20</v>
      </c>
      <c r="BQ83" s="16" cm="1">
        <f t="array" ref="BQ83">IFERROR(INDEX(_xlfn.ANCHORARRAY(_xlfn.XLOOKUP($C83,'-ref_Distribution'!$B$146:$B$150,'-ref_Distribution'!$G$146:$G$150)),RIGHT(BQ$1,2)),"")</f>
        <v>28</v>
      </c>
      <c r="BR83" s="16" cm="1">
        <f t="array" ref="BR83">IFERROR(INDEX(_xlfn.ANCHORARRAY(_xlfn.XLOOKUP($C83,'-ref_Distribution'!$B$146:$B$150,'-ref_Distribution'!$G$146:$G$150)),RIGHT(BR$1,2)),"")</f>
        <v>38</v>
      </c>
      <c r="BS83" s="16" cm="1">
        <f t="array" ref="BS83">IFERROR(INDEX(_xlfn.ANCHORARRAY(_xlfn.XLOOKUP($C83,'-ref_Distribution'!$B$146:$B$150,'-ref_Distribution'!$G$146:$G$150)),RIGHT(BS$1,2)),"")</f>
        <v>51</v>
      </c>
      <c r="BT83" s="16" cm="1">
        <f t="array" ref="BT83">IFERROR(INDEX(_xlfn.ANCHORARRAY(_xlfn.XLOOKUP($C83,'-ref_Distribution'!$B$146:$B$150,'-ref_Distribution'!$G$146:$G$150)),RIGHT(BT$1,2)),"")</f>
        <v>65</v>
      </c>
      <c r="BU83" s="16" cm="1">
        <f t="array" ref="BU83">IFERROR(INDEX(_xlfn.ANCHORARRAY(_xlfn.XLOOKUP($C83,'-ref_Distribution'!$B$146:$B$150,'-ref_Distribution'!$G$146:$G$150)),RIGHT(BU$1,2)),"")</f>
        <v>80</v>
      </c>
      <c r="BV83" s="16" cm="1">
        <f t="array" ref="BV83">IFERROR(INDEX(_xlfn.ANCHORARRAY(_xlfn.XLOOKUP($C83,'-ref_Distribution'!$B$146:$B$150,'-ref_Distribution'!$G$146:$G$150)),RIGHT(BV$1,2)),"")</f>
        <v>96</v>
      </c>
      <c r="BW83" s="16" cm="1">
        <f t="array" ref="BW83">IFERROR(INDEX(_xlfn.ANCHORARRAY(_xlfn.XLOOKUP($C83,'-ref_Distribution'!$B$146:$B$150,'-ref_Distribution'!$G$146:$G$150)),RIGHT(BW$1,2)),"")</f>
        <v>111</v>
      </c>
      <c r="BX83" s="16" cm="1">
        <f t="array" ref="BX83">IFERROR(INDEX(_xlfn.ANCHORARRAY(_xlfn.XLOOKUP($C83,'-ref_Distribution'!$B$146:$B$150,'-ref_Distribution'!$G$146:$G$150)),RIGHT(BX$1,2)),"")</f>
        <v>125</v>
      </c>
      <c r="BY83" s="16" cm="1">
        <f t="array" ref="BY83">IFERROR(INDEX(_xlfn.ANCHORARRAY(_xlfn.XLOOKUP($C83,'-ref_Distribution'!$B$146:$B$150,'-ref_Distribution'!$G$146:$G$150)),RIGHT(BY$1,2)),"")</f>
        <v>135</v>
      </c>
      <c r="BZ83" s="16" cm="1">
        <f t="array" ref="BZ83">IFERROR(INDEX(_xlfn.ANCHORARRAY(_xlfn.XLOOKUP($C83,'-ref_Distribution'!$B$146:$B$150,'-ref_Distribution'!$G$146:$G$150)),RIGHT(BZ$1,2)),"")</f>
        <v>142</v>
      </c>
      <c r="CA83" s="16" cm="1">
        <f t="array" ref="CA83">IFERROR(INDEX(_xlfn.ANCHORARRAY(_xlfn.XLOOKUP($C83,'-ref_Distribution'!$B$146:$B$150,'-ref_Distribution'!$G$146:$G$150)),RIGHT(CA$1,2)),"")</f>
        <v>144</v>
      </c>
      <c r="CB83" s="16" cm="1">
        <f t="array" ref="CB83">IFERROR(INDEX(_xlfn.ANCHORARRAY(_xlfn.XLOOKUP($C83,'-ref_Distribution'!$B$146:$B$150,'-ref_Distribution'!$G$146:$G$150)),RIGHT(CB$1,2)),"")</f>
        <v>142</v>
      </c>
      <c r="CC83" s="16" cm="1">
        <f t="array" ref="CC83">IFERROR(INDEX(_xlfn.ANCHORARRAY(_xlfn.XLOOKUP($C83,'-ref_Distribution'!$B$146:$B$150,'-ref_Distribution'!$G$146:$G$150)),RIGHT(CC$1,2)),"")</f>
        <v>135</v>
      </c>
      <c r="CD83" s="16" cm="1">
        <f t="array" ref="CD83">IFERROR(INDEX(_xlfn.ANCHORARRAY(_xlfn.XLOOKUP($C83,'-ref_Distribution'!$B$146:$B$150,'-ref_Distribution'!$G$146:$G$150)),RIGHT(CD$1,2)),"")</f>
        <v>125</v>
      </c>
      <c r="CE83" s="16" cm="1">
        <f t="array" ref="CE83">IFERROR(INDEX(_xlfn.ANCHORARRAY(_xlfn.XLOOKUP($C83,'-ref_Distribution'!$B$146:$B$150,'-ref_Distribution'!$G$146:$G$150)),RIGHT(CE$1,2)),"")</f>
        <v>111</v>
      </c>
    </row>
    <row r="84" spans="1:83" x14ac:dyDescent="0.2">
      <c r="A84" s="16">
        <v>310506</v>
      </c>
      <c r="B84" s="16" t="s">
        <v>386</v>
      </c>
      <c r="C84" s="16">
        <v>4</v>
      </c>
      <c r="D84" s="16" cm="1">
        <f t="array" ref="D84">IFERROR(INDEX(_xlfn.ANCHORARRAY(_xlfn.XLOOKUP($C84,'-ref_Distribution'!$B$146:$B$150,'-ref_Distribution'!$G$146:$G$150)),RIGHT(D$1,2)),"")</f>
        <v>0</v>
      </c>
      <c r="E84" s="16" cm="1">
        <f t="array" ref="E84">IFERROR(INDEX(_xlfn.ANCHORARRAY(_xlfn.XLOOKUP($C84,'-ref_Distribution'!$B$146:$B$150,'-ref_Distribution'!$G$146:$G$150)),RIGHT(E$1,2)),"")</f>
        <v>0</v>
      </c>
      <c r="F84" s="16" cm="1">
        <f t="array" ref="F84">IFERROR(INDEX(_xlfn.ANCHORARRAY(_xlfn.XLOOKUP($C84,'-ref_Distribution'!$B$146:$B$150,'-ref_Distribution'!$G$146:$G$150)),RIGHT(F$1,2)),"")</f>
        <v>0</v>
      </c>
      <c r="G84" s="16" cm="1">
        <f t="array" ref="G84">IFERROR(INDEX(_xlfn.ANCHORARRAY(_xlfn.XLOOKUP($C84,'-ref_Distribution'!$B$146:$B$150,'-ref_Distribution'!$G$146:$G$150)),RIGHT(G$1,2)),"")</f>
        <v>0</v>
      </c>
      <c r="H84" s="16" cm="1">
        <f t="array" ref="H84">IFERROR(INDEX(_xlfn.ANCHORARRAY(_xlfn.XLOOKUP($C84,'-ref_Distribution'!$B$146:$B$150,'-ref_Distribution'!$G$146:$G$150)),RIGHT(H$1,2)),"")</f>
        <v>0</v>
      </c>
      <c r="I84" s="16" cm="1">
        <f t="array" ref="I84">IFERROR(INDEX(_xlfn.ANCHORARRAY(_xlfn.XLOOKUP($C84,'-ref_Distribution'!$B$146:$B$150,'-ref_Distribution'!$G$146:$G$150)),RIGHT(I$1,2)),"")</f>
        <v>1</v>
      </c>
      <c r="J84" s="16" cm="1">
        <f t="array" ref="J84">IFERROR(INDEX(_xlfn.ANCHORARRAY(_xlfn.XLOOKUP($C84,'-ref_Distribution'!$B$146:$B$150,'-ref_Distribution'!$G$146:$G$150)),RIGHT(J$1,2)),"")</f>
        <v>1</v>
      </c>
      <c r="K84" s="16" cm="1">
        <f t="array" ref="K84">IFERROR(INDEX(_xlfn.ANCHORARRAY(_xlfn.XLOOKUP($C84,'-ref_Distribution'!$B$146:$B$150,'-ref_Distribution'!$G$146:$G$150)),RIGHT(K$1,2)),"")</f>
        <v>2</v>
      </c>
      <c r="L84" s="16" cm="1">
        <f t="array" ref="L84">IFERROR(INDEX(_xlfn.ANCHORARRAY(_xlfn.XLOOKUP($C84,'-ref_Distribution'!$B$146:$B$150,'-ref_Distribution'!$G$146:$G$150)),RIGHT(L$1,2)),"")</f>
        <v>3</v>
      </c>
      <c r="M84" s="16" cm="1">
        <f t="array" ref="M84">IFERROR(INDEX(_xlfn.ANCHORARRAY(_xlfn.XLOOKUP($C84,'-ref_Distribution'!$B$146:$B$150,'-ref_Distribution'!$G$146:$G$150)),RIGHT(M$1,2)),"")</f>
        <v>5</v>
      </c>
      <c r="N84" s="16" cm="1">
        <f t="array" ref="N84">IFERROR(INDEX(_xlfn.ANCHORARRAY(_xlfn.XLOOKUP($C84,'-ref_Distribution'!$B$146:$B$150,'-ref_Distribution'!$G$146:$G$150)),RIGHT(N$1,2)),"")</f>
        <v>9</v>
      </c>
      <c r="O84" s="16" cm="1">
        <f t="array" ref="O84">IFERROR(INDEX(_xlfn.ANCHORARRAY(_xlfn.XLOOKUP($C84,'-ref_Distribution'!$B$146:$B$150,'-ref_Distribution'!$G$146:$G$150)),RIGHT(O$1,2)),"")</f>
        <v>14</v>
      </c>
      <c r="P84" s="16" cm="1">
        <f t="array" ref="P84">IFERROR(INDEX(_xlfn.ANCHORARRAY(_xlfn.XLOOKUP($C84,'-ref_Distribution'!$B$146:$B$150,'-ref_Distribution'!$G$146:$G$150)),RIGHT(P$1,2)),"")</f>
        <v>20</v>
      </c>
      <c r="Q84" s="16" cm="1">
        <f t="array" ref="Q84">IFERROR(INDEX(_xlfn.ANCHORARRAY(_xlfn.XLOOKUP($C84,'-ref_Distribution'!$B$146:$B$150,'-ref_Distribution'!$G$146:$G$150)),RIGHT(Q$1,2)),"")</f>
        <v>28</v>
      </c>
      <c r="R84" s="16" cm="1">
        <f t="array" ref="R84">IFERROR(INDEX(_xlfn.ANCHORARRAY(_xlfn.XLOOKUP($C84,'-ref_Distribution'!$B$146:$B$150,'-ref_Distribution'!$G$146:$G$150)),RIGHT(R$1,2)),"")</f>
        <v>38</v>
      </c>
      <c r="S84" s="16" cm="1">
        <f t="array" ref="S84">IFERROR(INDEX(_xlfn.ANCHORARRAY(_xlfn.XLOOKUP($C84,'-ref_Distribution'!$B$146:$B$150,'-ref_Distribution'!$G$146:$G$150)),RIGHT(S$1,2)),"")</f>
        <v>48</v>
      </c>
      <c r="T84" s="16" cm="1">
        <f t="array" ref="T84">IFERROR(INDEX(_xlfn.ANCHORARRAY(_xlfn.XLOOKUP($C84,'-ref_Distribution'!$B$146:$B$150,'-ref_Distribution'!$G$146:$G$150)),RIGHT(T$1,2)),"")</f>
        <v>59</v>
      </c>
      <c r="U84" s="16" cm="1">
        <f t="array" ref="U84">IFERROR(INDEX(_xlfn.ANCHORARRAY(_xlfn.XLOOKUP($C84,'-ref_Distribution'!$B$146:$B$150,'-ref_Distribution'!$G$146:$G$150)),RIGHT(U$1,2)),"")</f>
        <v>69</v>
      </c>
      <c r="V84" s="16" cm="1">
        <f t="array" ref="V84">IFERROR(INDEX(_xlfn.ANCHORARRAY(_xlfn.XLOOKUP($C84,'-ref_Distribution'!$B$146:$B$150,'-ref_Distribution'!$G$146:$G$150)),RIGHT(V$1,2)),"")</f>
        <v>78</v>
      </c>
      <c r="W84" s="16" cm="1">
        <f t="array" ref="W84">IFERROR(INDEX(_xlfn.ANCHORARRAY(_xlfn.XLOOKUP($C84,'-ref_Distribution'!$B$146:$B$150,'-ref_Distribution'!$G$146:$G$150)),RIGHT(W$1,2)),"")</f>
        <v>83</v>
      </c>
      <c r="X84" s="16" cm="1">
        <f t="array" ref="X84">IFERROR(INDEX(_xlfn.ANCHORARRAY(_xlfn.XLOOKUP($C84,'-ref_Distribution'!$B$146:$B$150,'-ref_Distribution'!$G$146:$G$150)),RIGHT(X$1,2)),"")</f>
        <v>0</v>
      </c>
      <c r="Y84" s="16" cm="1">
        <f t="array" ref="Y84">IFERROR(INDEX(_xlfn.ANCHORARRAY(_xlfn.XLOOKUP($C84,'-ref_Distribution'!$B$146:$B$150,'-ref_Distribution'!$G$146:$G$150)),RIGHT(Y$1,2)),"")</f>
        <v>0</v>
      </c>
      <c r="Z84" s="16" cm="1">
        <f t="array" ref="Z84">IFERROR(INDEX(_xlfn.ANCHORARRAY(_xlfn.XLOOKUP($C84,'-ref_Distribution'!$B$146:$B$150,'-ref_Distribution'!$G$146:$G$150)),RIGHT(Z$1,2)),"")</f>
        <v>0</v>
      </c>
      <c r="AA84" s="16" cm="1">
        <f t="array" ref="AA84">IFERROR(INDEX(_xlfn.ANCHORARRAY(_xlfn.XLOOKUP($C84,'-ref_Distribution'!$B$146:$B$150,'-ref_Distribution'!$G$146:$G$150)),RIGHT(AA$1,2)),"")</f>
        <v>0</v>
      </c>
      <c r="AB84" s="16" cm="1">
        <f t="array" ref="AB84">IFERROR(INDEX(_xlfn.ANCHORARRAY(_xlfn.XLOOKUP($C84,'-ref_Distribution'!$B$146:$B$150,'-ref_Distribution'!$G$146:$G$150)),RIGHT(AB$1,2)),"")</f>
        <v>0</v>
      </c>
      <c r="AC84" s="16" cm="1">
        <f t="array" ref="AC84">IFERROR(INDEX(_xlfn.ANCHORARRAY(_xlfn.XLOOKUP($C84,'-ref_Distribution'!$B$146:$B$150,'-ref_Distribution'!$G$146:$G$150)),RIGHT(AC$1,2)),"")</f>
        <v>1</v>
      </c>
      <c r="AD84" s="16" cm="1">
        <f t="array" ref="AD84">IFERROR(INDEX(_xlfn.ANCHORARRAY(_xlfn.XLOOKUP($C84,'-ref_Distribution'!$B$146:$B$150,'-ref_Distribution'!$G$146:$G$150)),RIGHT(AD$1,2)),"")</f>
        <v>1</v>
      </c>
      <c r="AE84" s="16" cm="1">
        <f t="array" ref="AE84">IFERROR(INDEX(_xlfn.ANCHORARRAY(_xlfn.XLOOKUP($C84,'-ref_Distribution'!$B$146:$B$150,'-ref_Distribution'!$G$146:$G$150)),RIGHT(AE$1,2)),"")</f>
        <v>2</v>
      </c>
      <c r="AF84" s="16" cm="1">
        <f t="array" ref="AF84">IFERROR(INDEX(_xlfn.ANCHORARRAY(_xlfn.XLOOKUP($C84,'-ref_Distribution'!$B$146:$B$150,'-ref_Distribution'!$G$146:$G$150)),RIGHT(AF$1,2)),"")</f>
        <v>3</v>
      </c>
      <c r="AG84" s="16" cm="1">
        <f t="array" ref="AG84">IFERROR(INDEX(_xlfn.ANCHORARRAY(_xlfn.XLOOKUP($C84,'-ref_Distribution'!$B$146:$B$150,'-ref_Distribution'!$G$146:$G$150)),RIGHT(AG$1,2)),"")</f>
        <v>5</v>
      </c>
      <c r="AH84" s="16" cm="1">
        <f t="array" ref="AH84">IFERROR(INDEX(_xlfn.ANCHORARRAY(_xlfn.XLOOKUP($C84,'-ref_Distribution'!$B$146:$B$150,'-ref_Distribution'!$G$146:$G$150)),RIGHT(AH$1,2)),"")</f>
        <v>9</v>
      </c>
      <c r="AI84" s="16" cm="1">
        <f t="array" ref="AI84">IFERROR(INDEX(_xlfn.ANCHORARRAY(_xlfn.XLOOKUP($C84,'-ref_Distribution'!$B$146:$B$150,'-ref_Distribution'!$G$146:$G$150)),RIGHT(AI$1,2)),"")</f>
        <v>14</v>
      </c>
      <c r="AJ84" s="16" cm="1">
        <f t="array" ref="AJ84">IFERROR(INDEX(_xlfn.ANCHORARRAY(_xlfn.XLOOKUP($C84,'-ref_Distribution'!$B$146:$B$150,'-ref_Distribution'!$G$146:$G$150)),RIGHT(AJ$1,2)),"")</f>
        <v>20</v>
      </c>
      <c r="AK84" s="16" cm="1">
        <f t="array" ref="AK84">IFERROR(INDEX(_xlfn.ANCHORARRAY(_xlfn.XLOOKUP($C84,'-ref_Distribution'!$B$146:$B$150,'-ref_Distribution'!$G$146:$G$150)),RIGHT(AK$1,2)),"")</f>
        <v>28</v>
      </c>
      <c r="AL84" s="16" cm="1">
        <f t="array" ref="AL84">IFERROR(INDEX(_xlfn.ANCHORARRAY(_xlfn.XLOOKUP($C84,'-ref_Distribution'!$B$146:$B$150,'-ref_Distribution'!$G$146:$G$150)),RIGHT(AL$1,2)),"")</f>
        <v>38</v>
      </c>
      <c r="AM84" s="16" cm="1">
        <f t="array" ref="AM84">IFERROR(INDEX(_xlfn.ANCHORARRAY(_xlfn.XLOOKUP($C84,'-ref_Distribution'!$B$146:$B$150,'-ref_Distribution'!$G$146:$G$150)),RIGHT(AM$1,2)),"")</f>
        <v>48</v>
      </c>
      <c r="AN84" s="16" cm="1">
        <f t="array" ref="AN84">IFERROR(INDEX(_xlfn.ANCHORARRAY(_xlfn.XLOOKUP($C84,'-ref_Distribution'!$B$146:$B$150,'-ref_Distribution'!$G$146:$G$150)),RIGHT(AN$1,2)),"")</f>
        <v>59</v>
      </c>
      <c r="AO84" s="16" cm="1">
        <f t="array" ref="AO84">IFERROR(INDEX(_xlfn.ANCHORARRAY(_xlfn.XLOOKUP($C84,'-ref_Distribution'!$B$146:$B$150,'-ref_Distribution'!$G$146:$G$150)),RIGHT(AO$1,2)),"")</f>
        <v>69</v>
      </c>
      <c r="AP84" s="16" cm="1">
        <f t="array" ref="AP84">IFERROR(INDEX(_xlfn.ANCHORARRAY(_xlfn.XLOOKUP($C84,'-ref_Distribution'!$B$146:$B$150,'-ref_Distribution'!$G$146:$G$150)),RIGHT(AP$1,2)),"")</f>
        <v>78</v>
      </c>
      <c r="AQ84" s="16" cm="1">
        <f t="array" ref="AQ84">IFERROR(INDEX(_xlfn.ANCHORARRAY(_xlfn.XLOOKUP($C84,'-ref_Distribution'!$B$146:$B$150,'-ref_Distribution'!$G$146:$G$150)),RIGHT(AQ$1,2)),"")</f>
        <v>83</v>
      </c>
      <c r="AR84" s="16" cm="1">
        <f t="array" ref="AR84">IFERROR(INDEX(_xlfn.ANCHORARRAY(_xlfn.XLOOKUP($C84,'-ref_Distribution'!$B$146:$B$150,'-ref_Distribution'!$G$146:$G$150)),RIGHT(AR$1,2)),"")</f>
        <v>0</v>
      </c>
      <c r="AS84" s="16" cm="1">
        <f t="array" ref="AS84">IFERROR(INDEX(_xlfn.ANCHORARRAY(_xlfn.XLOOKUP($C84,'-ref_Distribution'!$B$146:$B$150,'-ref_Distribution'!$G$146:$G$150)),RIGHT(AS$1,2)),"")</f>
        <v>0</v>
      </c>
      <c r="AT84" s="16" cm="1">
        <f t="array" ref="AT84">IFERROR(INDEX(_xlfn.ANCHORARRAY(_xlfn.XLOOKUP($C84,'-ref_Distribution'!$B$146:$B$150,'-ref_Distribution'!$G$146:$G$150)),RIGHT(AT$1,2)),"")</f>
        <v>0</v>
      </c>
      <c r="AU84" s="16" cm="1">
        <f t="array" ref="AU84">IFERROR(INDEX(_xlfn.ANCHORARRAY(_xlfn.XLOOKUP($C84,'-ref_Distribution'!$B$146:$B$150,'-ref_Distribution'!$G$146:$G$150)),RIGHT(AU$1,2)),"")</f>
        <v>0</v>
      </c>
      <c r="AV84" s="16" cm="1">
        <f t="array" ref="AV84">IFERROR(INDEX(_xlfn.ANCHORARRAY(_xlfn.XLOOKUP($C84,'-ref_Distribution'!$B$146:$B$150,'-ref_Distribution'!$G$146:$G$150)),RIGHT(AV$1,2)),"")</f>
        <v>0</v>
      </c>
      <c r="AW84" s="16" cm="1">
        <f t="array" ref="AW84">IFERROR(INDEX(_xlfn.ANCHORARRAY(_xlfn.XLOOKUP($C84,'-ref_Distribution'!$B$146:$B$150,'-ref_Distribution'!$G$146:$G$150)),RIGHT(AW$1,2)),"")</f>
        <v>1</v>
      </c>
      <c r="AX84" s="16" cm="1">
        <f t="array" ref="AX84">IFERROR(INDEX(_xlfn.ANCHORARRAY(_xlfn.XLOOKUP($C84,'-ref_Distribution'!$B$146:$B$150,'-ref_Distribution'!$G$146:$G$150)),RIGHT(AX$1,2)),"")</f>
        <v>1</v>
      </c>
      <c r="AY84" s="16" cm="1">
        <f t="array" ref="AY84">IFERROR(INDEX(_xlfn.ANCHORARRAY(_xlfn.XLOOKUP($C84,'-ref_Distribution'!$B$146:$B$150,'-ref_Distribution'!$G$146:$G$150)),RIGHT(AY$1,2)),"")</f>
        <v>2</v>
      </c>
      <c r="AZ84" s="16" cm="1">
        <f t="array" ref="AZ84">IFERROR(INDEX(_xlfn.ANCHORARRAY(_xlfn.XLOOKUP($C84,'-ref_Distribution'!$B$146:$B$150,'-ref_Distribution'!$G$146:$G$150)),RIGHT(AZ$1,2)),"")</f>
        <v>3</v>
      </c>
      <c r="BA84" s="16" cm="1">
        <f t="array" ref="BA84">IFERROR(INDEX(_xlfn.ANCHORARRAY(_xlfn.XLOOKUP($C84,'-ref_Distribution'!$B$146:$B$150,'-ref_Distribution'!$G$146:$G$150)),RIGHT(BA$1,2)),"")</f>
        <v>5</v>
      </c>
      <c r="BB84" s="16" cm="1">
        <f t="array" ref="BB84">IFERROR(INDEX(_xlfn.ANCHORARRAY(_xlfn.XLOOKUP($C84,'-ref_Distribution'!$B$146:$B$150,'-ref_Distribution'!$G$146:$G$150)),RIGHT(BB$1,2)),"")</f>
        <v>9</v>
      </c>
      <c r="BC84" s="16" cm="1">
        <f t="array" ref="BC84">IFERROR(INDEX(_xlfn.ANCHORARRAY(_xlfn.XLOOKUP($C84,'-ref_Distribution'!$B$146:$B$150,'-ref_Distribution'!$G$146:$G$150)),RIGHT(BC$1,2)),"")</f>
        <v>14</v>
      </c>
      <c r="BD84" s="16" cm="1">
        <f t="array" ref="BD84">IFERROR(INDEX(_xlfn.ANCHORARRAY(_xlfn.XLOOKUP($C84,'-ref_Distribution'!$B$146:$B$150,'-ref_Distribution'!$G$146:$G$150)),RIGHT(BD$1,2)),"")</f>
        <v>20</v>
      </c>
      <c r="BE84" s="16" cm="1">
        <f t="array" ref="BE84">IFERROR(INDEX(_xlfn.ANCHORARRAY(_xlfn.XLOOKUP($C84,'-ref_Distribution'!$B$146:$B$150,'-ref_Distribution'!$G$146:$G$150)),RIGHT(BE$1,2)),"")</f>
        <v>28</v>
      </c>
      <c r="BF84" s="16" cm="1">
        <f t="array" ref="BF84">IFERROR(INDEX(_xlfn.ANCHORARRAY(_xlfn.XLOOKUP($C84,'-ref_Distribution'!$B$146:$B$150,'-ref_Distribution'!$G$146:$G$150)),RIGHT(BF$1,2)),"")</f>
        <v>38</v>
      </c>
      <c r="BG84" s="16" cm="1">
        <f t="array" ref="BG84">IFERROR(INDEX(_xlfn.ANCHORARRAY(_xlfn.XLOOKUP($C84,'-ref_Distribution'!$B$146:$B$150,'-ref_Distribution'!$G$146:$G$150)),RIGHT(BG$1,2)),"")</f>
        <v>48</v>
      </c>
      <c r="BH84" s="16" cm="1">
        <f t="array" ref="BH84">IFERROR(INDEX(_xlfn.ANCHORARRAY(_xlfn.XLOOKUP($C84,'-ref_Distribution'!$B$146:$B$150,'-ref_Distribution'!$G$146:$G$150)),RIGHT(BH$1,2)),"")</f>
        <v>59</v>
      </c>
      <c r="BI84" s="16" cm="1">
        <f t="array" ref="BI84">IFERROR(INDEX(_xlfn.ANCHORARRAY(_xlfn.XLOOKUP($C84,'-ref_Distribution'!$B$146:$B$150,'-ref_Distribution'!$G$146:$G$150)),RIGHT(BI$1,2)),"")</f>
        <v>69</v>
      </c>
      <c r="BJ84" s="16" cm="1">
        <f t="array" ref="BJ84">IFERROR(INDEX(_xlfn.ANCHORARRAY(_xlfn.XLOOKUP($C84,'-ref_Distribution'!$B$146:$B$150,'-ref_Distribution'!$G$146:$G$150)),RIGHT(BJ$1,2)),"")</f>
        <v>78</v>
      </c>
      <c r="BK84" s="16" cm="1">
        <f t="array" ref="BK84">IFERROR(INDEX(_xlfn.ANCHORARRAY(_xlfn.XLOOKUP($C84,'-ref_Distribution'!$B$146:$B$150,'-ref_Distribution'!$G$146:$G$150)),RIGHT(BK$1,2)),"")</f>
        <v>83</v>
      </c>
      <c r="BL84" s="16" cm="1">
        <f t="array" ref="BL84">IFERROR(INDEX(_xlfn.ANCHORARRAY(_xlfn.XLOOKUP($C84,'-ref_Distribution'!$B$146:$B$150,'-ref_Distribution'!$G$146:$G$150)),RIGHT(BL$1,2)),"")</f>
        <v>0</v>
      </c>
      <c r="BM84" s="16" cm="1">
        <f t="array" ref="BM84">IFERROR(INDEX(_xlfn.ANCHORARRAY(_xlfn.XLOOKUP($C84,'-ref_Distribution'!$B$146:$B$150,'-ref_Distribution'!$G$146:$G$150)),RIGHT(BM$1,2)),"")</f>
        <v>0</v>
      </c>
      <c r="BN84" s="16" cm="1">
        <f t="array" ref="BN84">IFERROR(INDEX(_xlfn.ANCHORARRAY(_xlfn.XLOOKUP($C84,'-ref_Distribution'!$B$146:$B$150,'-ref_Distribution'!$G$146:$G$150)),RIGHT(BN$1,2)),"")</f>
        <v>0</v>
      </c>
      <c r="BO84" s="16" cm="1">
        <f t="array" ref="BO84">IFERROR(INDEX(_xlfn.ANCHORARRAY(_xlfn.XLOOKUP($C84,'-ref_Distribution'!$B$146:$B$150,'-ref_Distribution'!$G$146:$G$150)),RIGHT(BO$1,2)),"")</f>
        <v>0</v>
      </c>
      <c r="BP84" s="16" cm="1">
        <f t="array" ref="BP84">IFERROR(INDEX(_xlfn.ANCHORARRAY(_xlfn.XLOOKUP($C84,'-ref_Distribution'!$B$146:$B$150,'-ref_Distribution'!$G$146:$G$150)),RIGHT(BP$1,2)),"")</f>
        <v>0</v>
      </c>
      <c r="BQ84" s="16" cm="1">
        <f t="array" ref="BQ84">IFERROR(INDEX(_xlfn.ANCHORARRAY(_xlfn.XLOOKUP($C84,'-ref_Distribution'!$B$146:$B$150,'-ref_Distribution'!$G$146:$G$150)),RIGHT(BQ$1,2)),"")</f>
        <v>1</v>
      </c>
      <c r="BR84" s="16" cm="1">
        <f t="array" ref="BR84">IFERROR(INDEX(_xlfn.ANCHORARRAY(_xlfn.XLOOKUP($C84,'-ref_Distribution'!$B$146:$B$150,'-ref_Distribution'!$G$146:$G$150)),RIGHT(BR$1,2)),"")</f>
        <v>1</v>
      </c>
      <c r="BS84" s="16" cm="1">
        <f t="array" ref="BS84">IFERROR(INDEX(_xlfn.ANCHORARRAY(_xlfn.XLOOKUP($C84,'-ref_Distribution'!$B$146:$B$150,'-ref_Distribution'!$G$146:$G$150)),RIGHT(BS$1,2)),"")</f>
        <v>2</v>
      </c>
      <c r="BT84" s="16" cm="1">
        <f t="array" ref="BT84">IFERROR(INDEX(_xlfn.ANCHORARRAY(_xlfn.XLOOKUP($C84,'-ref_Distribution'!$B$146:$B$150,'-ref_Distribution'!$G$146:$G$150)),RIGHT(BT$1,2)),"")</f>
        <v>3</v>
      </c>
      <c r="BU84" s="16" cm="1">
        <f t="array" ref="BU84">IFERROR(INDEX(_xlfn.ANCHORARRAY(_xlfn.XLOOKUP($C84,'-ref_Distribution'!$B$146:$B$150,'-ref_Distribution'!$G$146:$G$150)),RIGHT(BU$1,2)),"")</f>
        <v>5</v>
      </c>
      <c r="BV84" s="16" cm="1">
        <f t="array" ref="BV84">IFERROR(INDEX(_xlfn.ANCHORARRAY(_xlfn.XLOOKUP($C84,'-ref_Distribution'!$B$146:$B$150,'-ref_Distribution'!$G$146:$G$150)),RIGHT(BV$1,2)),"")</f>
        <v>9</v>
      </c>
      <c r="BW84" s="16" cm="1">
        <f t="array" ref="BW84">IFERROR(INDEX(_xlfn.ANCHORARRAY(_xlfn.XLOOKUP($C84,'-ref_Distribution'!$B$146:$B$150,'-ref_Distribution'!$G$146:$G$150)),RIGHT(BW$1,2)),"")</f>
        <v>14</v>
      </c>
      <c r="BX84" s="16" cm="1">
        <f t="array" ref="BX84">IFERROR(INDEX(_xlfn.ANCHORARRAY(_xlfn.XLOOKUP($C84,'-ref_Distribution'!$B$146:$B$150,'-ref_Distribution'!$G$146:$G$150)),RIGHT(BX$1,2)),"")</f>
        <v>20</v>
      </c>
      <c r="BY84" s="16" cm="1">
        <f t="array" ref="BY84">IFERROR(INDEX(_xlfn.ANCHORARRAY(_xlfn.XLOOKUP($C84,'-ref_Distribution'!$B$146:$B$150,'-ref_Distribution'!$G$146:$G$150)),RIGHT(BY$1,2)),"")</f>
        <v>28</v>
      </c>
      <c r="BZ84" s="16" cm="1">
        <f t="array" ref="BZ84">IFERROR(INDEX(_xlfn.ANCHORARRAY(_xlfn.XLOOKUP($C84,'-ref_Distribution'!$B$146:$B$150,'-ref_Distribution'!$G$146:$G$150)),RIGHT(BZ$1,2)),"")</f>
        <v>38</v>
      </c>
      <c r="CA84" s="16" cm="1">
        <f t="array" ref="CA84">IFERROR(INDEX(_xlfn.ANCHORARRAY(_xlfn.XLOOKUP($C84,'-ref_Distribution'!$B$146:$B$150,'-ref_Distribution'!$G$146:$G$150)),RIGHT(CA$1,2)),"")</f>
        <v>48</v>
      </c>
      <c r="CB84" s="16" cm="1">
        <f t="array" ref="CB84">IFERROR(INDEX(_xlfn.ANCHORARRAY(_xlfn.XLOOKUP($C84,'-ref_Distribution'!$B$146:$B$150,'-ref_Distribution'!$G$146:$G$150)),RIGHT(CB$1,2)),"")</f>
        <v>59</v>
      </c>
      <c r="CC84" s="16" cm="1">
        <f t="array" ref="CC84">IFERROR(INDEX(_xlfn.ANCHORARRAY(_xlfn.XLOOKUP($C84,'-ref_Distribution'!$B$146:$B$150,'-ref_Distribution'!$G$146:$G$150)),RIGHT(CC$1,2)),"")</f>
        <v>69</v>
      </c>
      <c r="CD84" s="16" cm="1">
        <f t="array" ref="CD84">IFERROR(INDEX(_xlfn.ANCHORARRAY(_xlfn.XLOOKUP($C84,'-ref_Distribution'!$B$146:$B$150,'-ref_Distribution'!$G$146:$G$150)),RIGHT(CD$1,2)),"")</f>
        <v>78</v>
      </c>
      <c r="CE84" s="16" cm="1">
        <f t="array" ref="CE84">IFERROR(INDEX(_xlfn.ANCHORARRAY(_xlfn.XLOOKUP($C84,'-ref_Distribution'!$B$146:$B$150,'-ref_Distribution'!$G$146:$G$150)),RIGHT(CE$1,2)),"")</f>
        <v>83</v>
      </c>
    </row>
    <row r="85" spans="1:83" x14ac:dyDescent="0.2">
      <c r="A85" s="16">
        <v>310507</v>
      </c>
      <c r="B85" s="16" t="s">
        <v>387</v>
      </c>
      <c r="C85" s="16">
        <v>2</v>
      </c>
      <c r="D85" s="16" cm="1">
        <f t="array" ref="D85">IFERROR(INDEX(_xlfn.ANCHORARRAY(_xlfn.XLOOKUP($C85,'-ref_Distribution'!$B$146:$B$150,'-ref_Distribution'!$G$146:$G$150)),RIGHT(D$1,2)),"")</f>
        <v>75</v>
      </c>
      <c r="E85" s="16" cm="1">
        <f t="array" ref="E85">IFERROR(INDEX(_xlfn.ANCHORARRAY(_xlfn.XLOOKUP($C85,'-ref_Distribution'!$B$146:$B$150,'-ref_Distribution'!$G$146:$G$150)),RIGHT(E$1,2)),"")</f>
        <v>94</v>
      </c>
      <c r="F85" s="16" cm="1">
        <f t="array" ref="F85">IFERROR(INDEX(_xlfn.ANCHORARRAY(_xlfn.XLOOKUP($C85,'-ref_Distribution'!$B$146:$B$150,'-ref_Distribution'!$G$146:$G$150)),RIGHT(F$1,2)),"")</f>
        <v>115</v>
      </c>
      <c r="G85" s="16" cm="1">
        <f t="array" ref="G85">IFERROR(INDEX(_xlfn.ANCHORARRAY(_xlfn.XLOOKUP($C85,'-ref_Distribution'!$B$146:$B$150,'-ref_Distribution'!$G$146:$G$150)),RIGHT(G$1,2)),"")</f>
        <v>137</v>
      </c>
      <c r="H85" s="16" cm="1">
        <f t="array" ref="H85">IFERROR(INDEX(_xlfn.ANCHORARRAY(_xlfn.XLOOKUP($C85,'-ref_Distribution'!$B$146:$B$150,'-ref_Distribution'!$G$146:$G$150)),RIGHT(H$1,2)),"")</f>
        <v>160</v>
      </c>
      <c r="I85" s="16" cm="1">
        <f t="array" ref="I85">IFERROR(INDEX(_xlfn.ANCHORARRAY(_xlfn.XLOOKUP($C85,'-ref_Distribution'!$B$146:$B$150,'-ref_Distribution'!$G$146:$G$150)),RIGHT(I$1,2)),"")</f>
        <v>183</v>
      </c>
      <c r="J85" s="16" cm="1">
        <f t="array" ref="J85">IFERROR(INDEX(_xlfn.ANCHORARRAY(_xlfn.XLOOKUP($C85,'-ref_Distribution'!$B$146:$B$150,'-ref_Distribution'!$G$146:$G$150)),RIGHT(J$1,2)),"")</f>
        <v>203</v>
      </c>
      <c r="K85" s="16" cm="1">
        <f t="array" ref="K85">IFERROR(INDEX(_xlfn.ANCHORARRAY(_xlfn.XLOOKUP($C85,'-ref_Distribution'!$B$146:$B$150,'-ref_Distribution'!$G$146:$G$150)),RIGHT(K$1,2)),"")</f>
        <v>221</v>
      </c>
      <c r="L85" s="16" cm="1">
        <f t="array" ref="L85">IFERROR(INDEX(_xlfn.ANCHORARRAY(_xlfn.XLOOKUP($C85,'-ref_Distribution'!$B$146:$B$150,'-ref_Distribution'!$G$146:$G$150)),RIGHT(L$1,2)),"")</f>
        <v>234</v>
      </c>
      <c r="M85" s="16" cm="1">
        <f t="array" ref="M85">IFERROR(INDEX(_xlfn.ANCHORARRAY(_xlfn.XLOOKUP($C85,'-ref_Distribution'!$B$146:$B$150,'-ref_Distribution'!$G$146:$G$150)),RIGHT(M$1,2)),"")</f>
        <v>243</v>
      </c>
      <c r="N85" s="16" cm="1">
        <f t="array" ref="N85">IFERROR(INDEX(_xlfn.ANCHORARRAY(_xlfn.XLOOKUP($C85,'-ref_Distribution'!$B$146:$B$150,'-ref_Distribution'!$G$146:$G$150)),RIGHT(N$1,2)),"")</f>
        <v>245</v>
      </c>
      <c r="O85" s="16" cm="1">
        <f t="array" ref="O85">IFERROR(INDEX(_xlfn.ANCHORARRAY(_xlfn.XLOOKUP($C85,'-ref_Distribution'!$B$146:$B$150,'-ref_Distribution'!$G$146:$G$150)),RIGHT(O$1,2)),"")</f>
        <v>243</v>
      </c>
      <c r="P85" s="16" cm="1">
        <f t="array" ref="P85">IFERROR(INDEX(_xlfn.ANCHORARRAY(_xlfn.XLOOKUP($C85,'-ref_Distribution'!$B$146:$B$150,'-ref_Distribution'!$G$146:$G$150)),RIGHT(P$1,2)),"")</f>
        <v>234</v>
      </c>
      <c r="Q85" s="16" cm="1">
        <f t="array" ref="Q85">IFERROR(INDEX(_xlfn.ANCHORARRAY(_xlfn.XLOOKUP($C85,'-ref_Distribution'!$B$146:$B$150,'-ref_Distribution'!$G$146:$G$150)),RIGHT(Q$1,2)),"")</f>
        <v>221</v>
      </c>
      <c r="R85" s="16" cm="1">
        <f t="array" ref="R85">IFERROR(INDEX(_xlfn.ANCHORARRAY(_xlfn.XLOOKUP($C85,'-ref_Distribution'!$B$146:$B$150,'-ref_Distribution'!$G$146:$G$150)),RIGHT(R$1,2)),"")</f>
        <v>203</v>
      </c>
      <c r="S85" s="16" cm="1">
        <f t="array" ref="S85">IFERROR(INDEX(_xlfn.ANCHORARRAY(_xlfn.XLOOKUP($C85,'-ref_Distribution'!$B$146:$B$150,'-ref_Distribution'!$G$146:$G$150)),RIGHT(S$1,2)),"")</f>
        <v>183</v>
      </c>
      <c r="T85" s="16" cm="1">
        <f t="array" ref="T85">IFERROR(INDEX(_xlfn.ANCHORARRAY(_xlfn.XLOOKUP($C85,'-ref_Distribution'!$B$146:$B$150,'-ref_Distribution'!$G$146:$G$150)),RIGHT(T$1,2)),"")</f>
        <v>160</v>
      </c>
      <c r="U85" s="16" cm="1">
        <f t="array" ref="U85">IFERROR(INDEX(_xlfn.ANCHORARRAY(_xlfn.XLOOKUP($C85,'-ref_Distribution'!$B$146:$B$150,'-ref_Distribution'!$G$146:$G$150)),RIGHT(U$1,2)),"")</f>
        <v>137</v>
      </c>
      <c r="V85" s="16" cm="1">
        <f t="array" ref="V85">IFERROR(INDEX(_xlfn.ANCHORARRAY(_xlfn.XLOOKUP($C85,'-ref_Distribution'!$B$146:$B$150,'-ref_Distribution'!$G$146:$G$150)),RIGHT(V$1,2)),"")</f>
        <v>115</v>
      </c>
      <c r="W85" s="16" cm="1">
        <f t="array" ref="W85">IFERROR(INDEX(_xlfn.ANCHORARRAY(_xlfn.XLOOKUP($C85,'-ref_Distribution'!$B$146:$B$150,'-ref_Distribution'!$G$146:$G$150)),RIGHT(W$1,2)),"")</f>
        <v>94</v>
      </c>
      <c r="X85" s="16" cm="1">
        <f t="array" ref="X85">IFERROR(INDEX(_xlfn.ANCHORARRAY(_xlfn.XLOOKUP($C85,'-ref_Distribution'!$B$146:$B$150,'-ref_Distribution'!$G$146:$G$150)),RIGHT(X$1,2)),"")</f>
        <v>75</v>
      </c>
      <c r="Y85" s="16" cm="1">
        <f t="array" ref="Y85">IFERROR(INDEX(_xlfn.ANCHORARRAY(_xlfn.XLOOKUP($C85,'-ref_Distribution'!$B$146:$B$150,'-ref_Distribution'!$G$146:$G$150)),RIGHT(Y$1,2)),"")</f>
        <v>94</v>
      </c>
      <c r="Z85" s="16" cm="1">
        <f t="array" ref="Z85">IFERROR(INDEX(_xlfn.ANCHORARRAY(_xlfn.XLOOKUP($C85,'-ref_Distribution'!$B$146:$B$150,'-ref_Distribution'!$G$146:$G$150)),RIGHT(Z$1,2)),"")</f>
        <v>115</v>
      </c>
      <c r="AA85" s="16" cm="1">
        <f t="array" ref="AA85">IFERROR(INDEX(_xlfn.ANCHORARRAY(_xlfn.XLOOKUP($C85,'-ref_Distribution'!$B$146:$B$150,'-ref_Distribution'!$G$146:$G$150)),RIGHT(AA$1,2)),"")</f>
        <v>137</v>
      </c>
      <c r="AB85" s="16" cm="1">
        <f t="array" ref="AB85">IFERROR(INDEX(_xlfn.ANCHORARRAY(_xlfn.XLOOKUP($C85,'-ref_Distribution'!$B$146:$B$150,'-ref_Distribution'!$G$146:$G$150)),RIGHT(AB$1,2)),"")</f>
        <v>160</v>
      </c>
      <c r="AC85" s="16" cm="1">
        <f t="array" ref="AC85">IFERROR(INDEX(_xlfn.ANCHORARRAY(_xlfn.XLOOKUP($C85,'-ref_Distribution'!$B$146:$B$150,'-ref_Distribution'!$G$146:$G$150)),RIGHT(AC$1,2)),"")</f>
        <v>183</v>
      </c>
      <c r="AD85" s="16" cm="1">
        <f t="array" ref="AD85">IFERROR(INDEX(_xlfn.ANCHORARRAY(_xlfn.XLOOKUP($C85,'-ref_Distribution'!$B$146:$B$150,'-ref_Distribution'!$G$146:$G$150)),RIGHT(AD$1,2)),"")</f>
        <v>203</v>
      </c>
      <c r="AE85" s="16" cm="1">
        <f t="array" ref="AE85">IFERROR(INDEX(_xlfn.ANCHORARRAY(_xlfn.XLOOKUP($C85,'-ref_Distribution'!$B$146:$B$150,'-ref_Distribution'!$G$146:$G$150)),RIGHT(AE$1,2)),"")</f>
        <v>221</v>
      </c>
      <c r="AF85" s="16" cm="1">
        <f t="array" ref="AF85">IFERROR(INDEX(_xlfn.ANCHORARRAY(_xlfn.XLOOKUP($C85,'-ref_Distribution'!$B$146:$B$150,'-ref_Distribution'!$G$146:$G$150)),RIGHT(AF$1,2)),"")</f>
        <v>234</v>
      </c>
      <c r="AG85" s="16" cm="1">
        <f t="array" ref="AG85">IFERROR(INDEX(_xlfn.ANCHORARRAY(_xlfn.XLOOKUP($C85,'-ref_Distribution'!$B$146:$B$150,'-ref_Distribution'!$G$146:$G$150)),RIGHT(AG$1,2)),"")</f>
        <v>243</v>
      </c>
      <c r="AH85" s="16" cm="1">
        <f t="array" ref="AH85">IFERROR(INDEX(_xlfn.ANCHORARRAY(_xlfn.XLOOKUP($C85,'-ref_Distribution'!$B$146:$B$150,'-ref_Distribution'!$G$146:$G$150)),RIGHT(AH$1,2)),"")</f>
        <v>245</v>
      </c>
      <c r="AI85" s="16" cm="1">
        <f t="array" ref="AI85">IFERROR(INDEX(_xlfn.ANCHORARRAY(_xlfn.XLOOKUP($C85,'-ref_Distribution'!$B$146:$B$150,'-ref_Distribution'!$G$146:$G$150)),RIGHT(AI$1,2)),"")</f>
        <v>243</v>
      </c>
      <c r="AJ85" s="16" cm="1">
        <f t="array" ref="AJ85">IFERROR(INDEX(_xlfn.ANCHORARRAY(_xlfn.XLOOKUP($C85,'-ref_Distribution'!$B$146:$B$150,'-ref_Distribution'!$G$146:$G$150)),RIGHT(AJ$1,2)),"")</f>
        <v>234</v>
      </c>
      <c r="AK85" s="16" cm="1">
        <f t="array" ref="AK85">IFERROR(INDEX(_xlfn.ANCHORARRAY(_xlfn.XLOOKUP($C85,'-ref_Distribution'!$B$146:$B$150,'-ref_Distribution'!$G$146:$G$150)),RIGHT(AK$1,2)),"")</f>
        <v>221</v>
      </c>
      <c r="AL85" s="16" cm="1">
        <f t="array" ref="AL85">IFERROR(INDEX(_xlfn.ANCHORARRAY(_xlfn.XLOOKUP($C85,'-ref_Distribution'!$B$146:$B$150,'-ref_Distribution'!$G$146:$G$150)),RIGHT(AL$1,2)),"")</f>
        <v>203</v>
      </c>
      <c r="AM85" s="16" cm="1">
        <f t="array" ref="AM85">IFERROR(INDEX(_xlfn.ANCHORARRAY(_xlfn.XLOOKUP($C85,'-ref_Distribution'!$B$146:$B$150,'-ref_Distribution'!$G$146:$G$150)),RIGHT(AM$1,2)),"")</f>
        <v>183</v>
      </c>
      <c r="AN85" s="16" cm="1">
        <f t="array" ref="AN85">IFERROR(INDEX(_xlfn.ANCHORARRAY(_xlfn.XLOOKUP($C85,'-ref_Distribution'!$B$146:$B$150,'-ref_Distribution'!$G$146:$G$150)),RIGHT(AN$1,2)),"")</f>
        <v>160</v>
      </c>
      <c r="AO85" s="16" cm="1">
        <f t="array" ref="AO85">IFERROR(INDEX(_xlfn.ANCHORARRAY(_xlfn.XLOOKUP($C85,'-ref_Distribution'!$B$146:$B$150,'-ref_Distribution'!$G$146:$G$150)),RIGHT(AO$1,2)),"")</f>
        <v>137</v>
      </c>
      <c r="AP85" s="16" cm="1">
        <f t="array" ref="AP85">IFERROR(INDEX(_xlfn.ANCHORARRAY(_xlfn.XLOOKUP($C85,'-ref_Distribution'!$B$146:$B$150,'-ref_Distribution'!$G$146:$G$150)),RIGHT(AP$1,2)),"")</f>
        <v>115</v>
      </c>
      <c r="AQ85" s="16" cm="1">
        <f t="array" ref="AQ85">IFERROR(INDEX(_xlfn.ANCHORARRAY(_xlfn.XLOOKUP($C85,'-ref_Distribution'!$B$146:$B$150,'-ref_Distribution'!$G$146:$G$150)),RIGHT(AQ$1,2)),"")</f>
        <v>94</v>
      </c>
      <c r="AR85" s="16" cm="1">
        <f t="array" ref="AR85">IFERROR(INDEX(_xlfn.ANCHORARRAY(_xlfn.XLOOKUP($C85,'-ref_Distribution'!$B$146:$B$150,'-ref_Distribution'!$G$146:$G$150)),RIGHT(AR$1,2)),"")</f>
        <v>75</v>
      </c>
      <c r="AS85" s="16" cm="1">
        <f t="array" ref="AS85">IFERROR(INDEX(_xlfn.ANCHORARRAY(_xlfn.XLOOKUP($C85,'-ref_Distribution'!$B$146:$B$150,'-ref_Distribution'!$G$146:$G$150)),RIGHT(AS$1,2)),"")</f>
        <v>94</v>
      </c>
      <c r="AT85" s="16" cm="1">
        <f t="array" ref="AT85">IFERROR(INDEX(_xlfn.ANCHORARRAY(_xlfn.XLOOKUP($C85,'-ref_Distribution'!$B$146:$B$150,'-ref_Distribution'!$G$146:$G$150)),RIGHT(AT$1,2)),"")</f>
        <v>115</v>
      </c>
      <c r="AU85" s="16" cm="1">
        <f t="array" ref="AU85">IFERROR(INDEX(_xlfn.ANCHORARRAY(_xlfn.XLOOKUP($C85,'-ref_Distribution'!$B$146:$B$150,'-ref_Distribution'!$G$146:$G$150)),RIGHT(AU$1,2)),"")</f>
        <v>137</v>
      </c>
      <c r="AV85" s="16" cm="1">
        <f t="array" ref="AV85">IFERROR(INDEX(_xlfn.ANCHORARRAY(_xlfn.XLOOKUP($C85,'-ref_Distribution'!$B$146:$B$150,'-ref_Distribution'!$G$146:$G$150)),RIGHT(AV$1,2)),"")</f>
        <v>160</v>
      </c>
      <c r="AW85" s="16" cm="1">
        <f t="array" ref="AW85">IFERROR(INDEX(_xlfn.ANCHORARRAY(_xlfn.XLOOKUP($C85,'-ref_Distribution'!$B$146:$B$150,'-ref_Distribution'!$G$146:$G$150)),RIGHT(AW$1,2)),"")</f>
        <v>183</v>
      </c>
      <c r="AX85" s="16" cm="1">
        <f t="array" ref="AX85">IFERROR(INDEX(_xlfn.ANCHORARRAY(_xlfn.XLOOKUP($C85,'-ref_Distribution'!$B$146:$B$150,'-ref_Distribution'!$G$146:$G$150)),RIGHT(AX$1,2)),"")</f>
        <v>203</v>
      </c>
      <c r="AY85" s="16" cm="1">
        <f t="array" ref="AY85">IFERROR(INDEX(_xlfn.ANCHORARRAY(_xlfn.XLOOKUP($C85,'-ref_Distribution'!$B$146:$B$150,'-ref_Distribution'!$G$146:$G$150)),RIGHT(AY$1,2)),"")</f>
        <v>221</v>
      </c>
      <c r="AZ85" s="16" cm="1">
        <f t="array" ref="AZ85">IFERROR(INDEX(_xlfn.ANCHORARRAY(_xlfn.XLOOKUP($C85,'-ref_Distribution'!$B$146:$B$150,'-ref_Distribution'!$G$146:$G$150)),RIGHT(AZ$1,2)),"")</f>
        <v>234</v>
      </c>
      <c r="BA85" s="16" cm="1">
        <f t="array" ref="BA85">IFERROR(INDEX(_xlfn.ANCHORARRAY(_xlfn.XLOOKUP($C85,'-ref_Distribution'!$B$146:$B$150,'-ref_Distribution'!$G$146:$G$150)),RIGHT(BA$1,2)),"")</f>
        <v>243</v>
      </c>
      <c r="BB85" s="16" cm="1">
        <f t="array" ref="BB85">IFERROR(INDEX(_xlfn.ANCHORARRAY(_xlfn.XLOOKUP($C85,'-ref_Distribution'!$B$146:$B$150,'-ref_Distribution'!$G$146:$G$150)),RIGHT(BB$1,2)),"")</f>
        <v>245</v>
      </c>
      <c r="BC85" s="16" cm="1">
        <f t="array" ref="BC85">IFERROR(INDEX(_xlfn.ANCHORARRAY(_xlfn.XLOOKUP($C85,'-ref_Distribution'!$B$146:$B$150,'-ref_Distribution'!$G$146:$G$150)),RIGHT(BC$1,2)),"")</f>
        <v>243</v>
      </c>
      <c r="BD85" s="16" cm="1">
        <f t="array" ref="BD85">IFERROR(INDEX(_xlfn.ANCHORARRAY(_xlfn.XLOOKUP($C85,'-ref_Distribution'!$B$146:$B$150,'-ref_Distribution'!$G$146:$G$150)),RIGHT(BD$1,2)),"")</f>
        <v>234</v>
      </c>
      <c r="BE85" s="16" cm="1">
        <f t="array" ref="BE85">IFERROR(INDEX(_xlfn.ANCHORARRAY(_xlfn.XLOOKUP($C85,'-ref_Distribution'!$B$146:$B$150,'-ref_Distribution'!$G$146:$G$150)),RIGHT(BE$1,2)),"")</f>
        <v>221</v>
      </c>
      <c r="BF85" s="16" cm="1">
        <f t="array" ref="BF85">IFERROR(INDEX(_xlfn.ANCHORARRAY(_xlfn.XLOOKUP($C85,'-ref_Distribution'!$B$146:$B$150,'-ref_Distribution'!$G$146:$G$150)),RIGHT(BF$1,2)),"")</f>
        <v>203</v>
      </c>
      <c r="BG85" s="16" cm="1">
        <f t="array" ref="BG85">IFERROR(INDEX(_xlfn.ANCHORARRAY(_xlfn.XLOOKUP($C85,'-ref_Distribution'!$B$146:$B$150,'-ref_Distribution'!$G$146:$G$150)),RIGHT(BG$1,2)),"")</f>
        <v>183</v>
      </c>
      <c r="BH85" s="16" cm="1">
        <f t="array" ref="BH85">IFERROR(INDEX(_xlfn.ANCHORARRAY(_xlfn.XLOOKUP($C85,'-ref_Distribution'!$B$146:$B$150,'-ref_Distribution'!$G$146:$G$150)),RIGHT(BH$1,2)),"")</f>
        <v>160</v>
      </c>
      <c r="BI85" s="16" cm="1">
        <f t="array" ref="BI85">IFERROR(INDEX(_xlfn.ANCHORARRAY(_xlfn.XLOOKUP($C85,'-ref_Distribution'!$B$146:$B$150,'-ref_Distribution'!$G$146:$G$150)),RIGHT(BI$1,2)),"")</f>
        <v>137</v>
      </c>
      <c r="BJ85" s="16" cm="1">
        <f t="array" ref="BJ85">IFERROR(INDEX(_xlfn.ANCHORARRAY(_xlfn.XLOOKUP($C85,'-ref_Distribution'!$B$146:$B$150,'-ref_Distribution'!$G$146:$G$150)),RIGHT(BJ$1,2)),"")</f>
        <v>115</v>
      </c>
      <c r="BK85" s="16" cm="1">
        <f t="array" ref="BK85">IFERROR(INDEX(_xlfn.ANCHORARRAY(_xlfn.XLOOKUP($C85,'-ref_Distribution'!$B$146:$B$150,'-ref_Distribution'!$G$146:$G$150)),RIGHT(BK$1,2)),"")</f>
        <v>94</v>
      </c>
      <c r="BL85" s="16" cm="1">
        <f t="array" ref="BL85">IFERROR(INDEX(_xlfn.ANCHORARRAY(_xlfn.XLOOKUP($C85,'-ref_Distribution'!$B$146:$B$150,'-ref_Distribution'!$G$146:$G$150)),RIGHT(BL$1,2)),"")</f>
        <v>75</v>
      </c>
      <c r="BM85" s="16" cm="1">
        <f t="array" ref="BM85">IFERROR(INDEX(_xlfn.ANCHORARRAY(_xlfn.XLOOKUP($C85,'-ref_Distribution'!$B$146:$B$150,'-ref_Distribution'!$G$146:$G$150)),RIGHT(BM$1,2)),"")</f>
        <v>94</v>
      </c>
      <c r="BN85" s="16" cm="1">
        <f t="array" ref="BN85">IFERROR(INDEX(_xlfn.ANCHORARRAY(_xlfn.XLOOKUP($C85,'-ref_Distribution'!$B$146:$B$150,'-ref_Distribution'!$G$146:$G$150)),RIGHT(BN$1,2)),"")</f>
        <v>115</v>
      </c>
      <c r="BO85" s="16" cm="1">
        <f t="array" ref="BO85">IFERROR(INDEX(_xlfn.ANCHORARRAY(_xlfn.XLOOKUP($C85,'-ref_Distribution'!$B$146:$B$150,'-ref_Distribution'!$G$146:$G$150)),RIGHT(BO$1,2)),"")</f>
        <v>137</v>
      </c>
      <c r="BP85" s="16" cm="1">
        <f t="array" ref="BP85">IFERROR(INDEX(_xlfn.ANCHORARRAY(_xlfn.XLOOKUP($C85,'-ref_Distribution'!$B$146:$B$150,'-ref_Distribution'!$G$146:$G$150)),RIGHT(BP$1,2)),"")</f>
        <v>160</v>
      </c>
      <c r="BQ85" s="16" cm="1">
        <f t="array" ref="BQ85">IFERROR(INDEX(_xlfn.ANCHORARRAY(_xlfn.XLOOKUP($C85,'-ref_Distribution'!$B$146:$B$150,'-ref_Distribution'!$G$146:$G$150)),RIGHT(BQ$1,2)),"")</f>
        <v>183</v>
      </c>
      <c r="BR85" s="16" cm="1">
        <f t="array" ref="BR85">IFERROR(INDEX(_xlfn.ANCHORARRAY(_xlfn.XLOOKUP($C85,'-ref_Distribution'!$B$146:$B$150,'-ref_Distribution'!$G$146:$G$150)),RIGHT(BR$1,2)),"")</f>
        <v>203</v>
      </c>
      <c r="BS85" s="16" cm="1">
        <f t="array" ref="BS85">IFERROR(INDEX(_xlfn.ANCHORARRAY(_xlfn.XLOOKUP($C85,'-ref_Distribution'!$B$146:$B$150,'-ref_Distribution'!$G$146:$G$150)),RIGHT(BS$1,2)),"")</f>
        <v>221</v>
      </c>
      <c r="BT85" s="16" cm="1">
        <f t="array" ref="BT85">IFERROR(INDEX(_xlfn.ANCHORARRAY(_xlfn.XLOOKUP($C85,'-ref_Distribution'!$B$146:$B$150,'-ref_Distribution'!$G$146:$G$150)),RIGHT(BT$1,2)),"")</f>
        <v>234</v>
      </c>
      <c r="BU85" s="16" cm="1">
        <f t="array" ref="BU85">IFERROR(INDEX(_xlfn.ANCHORARRAY(_xlfn.XLOOKUP($C85,'-ref_Distribution'!$B$146:$B$150,'-ref_Distribution'!$G$146:$G$150)),RIGHT(BU$1,2)),"")</f>
        <v>243</v>
      </c>
      <c r="BV85" s="16" cm="1">
        <f t="array" ref="BV85">IFERROR(INDEX(_xlfn.ANCHORARRAY(_xlfn.XLOOKUP($C85,'-ref_Distribution'!$B$146:$B$150,'-ref_Distribution'!$G$146:$G$150)),RIGHT(BV$1,2)),"")</f>
        <v>245</v>
      </c>
      <c r="BW85" s="16" cm="1">
        <f t="array" ref="BW85">IFERROR(INDEX(_xlfn.ANCHORARRAY(_xlfn.XLOOKUP($C85,'-ref_Distribution'!$B$146:$B$150,'-ref_Distribution'!$G$146:$G$150)),RIGHT(BW$1,2)),"")</f>
        <v>243</v>
      </c>
      <c r="BX85" s="16" cm="1">
        <f t="array" ref="BX85">IFERROR(INDEX(_xlfn.ANCHORARRAY(_xlfn.XLOOKUP($C85,'-ref_Distribution'!$B$146:$B$150,'-ref_Distribution'!$G$146:$G$150)),RIGHT(BX$1,2)),"")</f>
        <v>234</v>
      </c>
      <c r="BY85" s="16" cm="1">
        <f t="array" ref="BY85">IFERROR(INDEX(_xlfn.ANCHORARRAY(_xlfn.XLOOKUP($C85,'-ref_Distribution'!$B$146:$B$150,'-ref_Distribution'!$G$146:$G$150)),RIGHT(BY$1,2)),"")</f>
        <v>221</v>
      </c>
      <c r="BZ85" s="16" cm="1">
        <f t="array" ref="BZ85">IFERROR(INDEX(_xlfn.ANCHORARRAY(_xlfn.XLOOKUP($C85,'-ref_Distribution'!$B$146:$B$150,'-ref_Distribution'!$G$146:$G$150)),RIGHT(BZ$1,2)),"")</f>
        <v>203</v>
      </c>
      <c r="CA85" s="16" cm="1">
        <f t="array" ref="CA85">IFERROR(INDEX(_xlfn.ANCHORARRAY(_xlfn.XLOOKUP($C85,'-ref_Distribution'!$B$146:$B$150,'-ref_Distribution'!$G$146:$G$150)),RIGHT(CA$1,2)),"")</f>
        <v>183</v>
      </c>
      <c r="CB85" s="16" cm="1">
        <f t="array" ref="CB85">IFERROR(INDEX(_xlfn.ANCHORARRAY(_xlfn.XLOOKUP($C85,'-ref_Distribution'!$B$146:$B$150,'-ref_Distribution'!$G$146:$G$150)),RIGHT(CB$1,2)),"")</f>
        <v>160</v>
      </c>
      <c r="CC85" s="16" cm="1">
        <f t="array" ref="CC85">IFERROR(INDEX(_xlfn.ANCHORARRAY(_xlfn.XLOOKUP($C85,'-ref_Distribution'!$B$146:$B$150,'-ref_Distribution'!$G$146:$G$150)),RIGHT(CC$1,2)),"")</f>
        <v>137</v>
      </c>
      <c r="CD85" s="16" cm="1">
        <f t="array" ref="CD85">IFERROR(INDEX(_xlfn.ANCHORARRAY(_xlfn.XLOOKUP($C85,'-ref_Distribution'!$B$146:$B$150,'-ref_Distribution'!$G$146:$G$150)),RIGHT(CD$1,2)),"")</f>
        <v>115</v>
      </c>
      <c r="CE85" s="16" cm="1">
        <f t="array" ref="CE85">IFERROR(INDEX(_xlfn.ANCHORARRAY(_xlfn.XLOOKUP($C85,'-ref_Distribution'!$B$146:$B$150,'-ref_Distribution'!$G$146:$G$150)),RIGHT(CE$1,2)),"")</f>
        <v>94</v>
      </c>
    </row>
    <row r="86" spans="1:83" x14ac:dyDescent="0.2">
      <c r="D86" s="16" t="str" cm="1">
        <f t="array" ref="D86">IFERROR(INDEX(_xlfn.ANCHORARRAY(_xlfn.XLOOKUP($C86,'-ref_Distribution'!$B$146:$B$150,'-ref_Distribution'!$G$146:$G$150)),RIGHT(D$1,2)),"")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</row>
    <row r="91" spans="1:83" x14ac:dyDescent="0.2">
      <c r="C91" s="15" t="s">
        <v>409</v>
      </c>
      <c r="D91" cm="1">
        <f t="array" ref="D91:CE91">_xlfn.BYCOL(_xlfn._xlws.FILTER(tb_shop_relic[[地宫-01]:[大湖-20]],tb_shop_relic[rank]=VALUE(MID(C91,3,1))),_xleta.SUM)</f>
        <v>9926</v>
      </c>
      <c r="E91">
        <v>9870</v>
      </c>
      <c r="F91">
        <v>9688</v>
      </c>
      <c r="G91">
        <v>9394</v>
      </c>
      <c r="H91">
        <v>9002</v>
      </c>
      <c r="I91">
        <v>8512</v>
      </c>
      <c r="J91">
        <v>7952</v>
      </c>
      <c r="K91">
        <v>7336</v>
      </c>
      <c r="L91">
        <v>6692</v>
      </c>
      <c r="M91">
        <v>6020</v>
      </c>
      <c r="N91">
        <v>5362</v>
      </c>
      <c r="O91">
        <v>4704</v>
      </c>
      <c r="P91">
        <v>4088</v>
      </c>
      <c r="Q91">
        <v>3500</v>
      </c>
      <c r="R91">
        <v>2968</v>
      </c>
      <c r="S91">
        <v>2478</v>
      </c>
      <c r="T91">
        <v>2044</v>
      </c>
      <c r="U91">
        <v>1666</v>
      </c>
      <c r="V91">
        <v>1344</v>
      </c>
      <c r="W91">
        <v>1064</v>
      </c>
      <c r="X91">
        <v>9926</v>
      </c>
      <c r="Y91">
        <v>9870</v>
      </c>
      <c r="Z91">
        <v>9688</v>
      </c>
      <c r="AA91">
        <v>9394</v>
      </c>
      <c r="AB91">
        <v>9002</v>
      </c>
      <c r="AC91">
        <v>8512</v>
      </c>
      <c r="AD91">
        <v>7952</v>
      </c>
      <c r="AE91">
        <v>7336</v>
      </c>
      <c r="AF91">
        <v>6692</v>
      </c>
      <c r="AG91">
        <v>6020</v>
      </c>
      <c r="AH91">
        <v>5362</v>
      </c>
      <c r="AI91">
        <v>4704</v>
      </c>
      <c r="AJ91">
        <v>4088</v>
      </c>
      <c r="AK91">
        <v>3500</v>
      </c>
      <c r="AL91">
        <v>2968</v>
      </c>
      <c r="AM91">
        <v>2478</v>
      </c>
      <c r="AN91">
        <v>2044</v>
      </c>
      <c r="AO91">
        <v>1666</v>
      </c>
      <c r="AP91">
        <v>1344</v>
      </c>
      <c r="AQ91" s="16">
        <v>1064</v>
      </c>
      <c r="AR91" s="16">
        <v>9926</v>
      </c>
      <c r="AS91" s="16">
        <v>9870</v>
      </c>
      <c r="AT91" s="16">
        <v>9688</v>
      </c>
      <c r="AU91" s="16">
        <v>9394</v>
      </c>
      <c r="AV91" s="16">
        <v>9002</v>
      </c>
      <c r="AW91" s="16">
        <v>8512</v>
      </c>
      <c r="AX91" s="16">
        <v>7952</v>
      </c>
      <c r="AY91" s="16">
        <v>7336</v>
      </c>
      <c r="AZ91" s="16">
        <v>6692</v>
      </c>
      <c r="BA91" s="16">
        <v>6020</v>
      </c>
      <c r="BB91" s="16">
        <v>5362</v>
      </c>
      <c r="BC91" s="16">
        <v>4704</v>
      </c>
      <c r="BD91" s="16">
        <v>4088</v>
      </c>
      <c r="BE91" s="16">
        <v>3500</v>
      </c>
      <c r="BF91" s="16">
        <v>2968</v>
      </c>
      <c r="BG91" s="16">
        <v>2478</v>
      </c>
      <c r="BH91" s="16">
        <v>2044</v>
      </c>
      <c r="BI91" s="16">
        <v>1666</v>
      </c>
      <c r="BJ91" s="16">
        <v>1344</v>
      </c>
      <c r="BK91" s="16">
        <v>1064</v>
      </c>
      <c r="BL91" s="16">
        <v>9926</v>
      </c>
      <c r="BM91" s="16">
        <v>9870</v>
      </c>
      <c r="BN91" s="16">
        <v>9688</v>
      </c>
      <c r="BO91" s="16">
        <v>9394</v>
      </c>
      <c r="BP91" s="16">
        <v>9002</v>
      </c>
      <c r="BQ91" s="16">
        <v>8512</v>
      </c>
      <c r="BR91" s="16">
        <v>7952</v>
      </c>
      <c r="BS91" s="16">
        <v>7336</v>
      </c>
      <c r="BT91" s="16">
        <v>6692</v>
      </c>
      <c r="BU91" s="16">
        <v>6020</v>
      </c>
      <c r="BV91" s="16">
        <v>5362</v>
      </c>
      <c r="BW91" s="16">
        <v>4704</v>
      </c>
      <c r="BX91" s="16">
        <v>4088</v>
      </c>
      <c r="BY91" s="16">
        <v>3500</v>
      </c>
      <c r="BZ91" s="16">
        <v>2968</v>
      </c>
      <c r="CA91" s="16">
        <v>2478</v>
      </c>
      <c r="CB91" s="16">
        <v>2044</v>
      </c>
      <c r="CC91" s="16">
        <v>1666</v>
      </c>
      <c r="CD91" s="16">
        <v>1344</v>
      </c>
      <c r="CE91" s="16">
        <v>1064</v>
      </c>
    </row>
    <row r="92" spans="1:83" x14ac:dyDescent="0.2">
      <c r="C92" s="15" t="s">
        <v>405</v>
      </c>
      <c r="D92" cm="1">
        <f t="array" ref="D92:CE92">_xlfn.BYCOL(_xlfn._xlws.FILTER(tb_shop_relic[[地宫-01]:[大湖-20]],tb_shop_relic[rank]=VALUE(MID(C92,3,1))),_xleta.SUM)</f>
        <v>5392</v>
      </c>
      <c r="E92">
        <v>5824</v>
      </c>
      <c r="F92">
        <v>6176</v>
      </c>
      <c r="G92">
        <v>6448</v>
      </c>
      <c r="H92">
        <v>6624</v>
      </c>
      <c r="I92">
        <v>6672</v>
      </c>
      <c r="J92">
        <v>6624</v>
      </c>
      <c r="K92">
        <v>6448</v>
      </c>
      <c r="L92">
        <v>6176</v>
      </c>
      <c r="M92">
        <v>5824</v>
      </c>
      <c r="N92">
        <v>5392</v>
      </c>
      <c r="O92">
        <v>4912</v>
      </c>
      <c r="P92">
        <v>4384</v>
      </c>
      <c r="Q92">
        <v>3856</v>
      </c>
      <c r="R92">
        <v>3344</v>
      </c>
      <c r="S92">
        <v>2848</v>
      </c>
      <c r="T92">
        <v>2368</v>
      </c>
      <c r="U92">
        <v>1952</v>
      </c>
      <c r="V92">
        <v>1568</v>
      </c>
      <c r="W92">
        <v>1248</v>
      </c>
      <c r="X92">
        <v>5392</v>
      </c>
      <c r="Y92">
        <v>5824</v>
      </c>
      <c r="Z92">
        <v>6176</v>
      </c>
      <c r="AA92">
        <v>6448</v>
      </c>
      <c r="AB92">
        <v>6624</v>
      </c>
      <c r="AC92">
        <v>6672</v>
      </c>
      <c r="AD92">
        <v>6624</v>
      </c>
      <c r="AE92">
        <v>6448</v>
      </c>
      <c r="AF92">
        <v>6176</v>
      </c>
      <c r="AG92">
        <v>5824</v>
      </c>
      <c r="AH92">
        <v>5392</v>
      </c>
      <c r="AI92">
        <v>4912</v>
      </c>
      <c r="AJ92">
        <v>4384</v>
      </c>
      <c r="AK92">
        <v>3856</v>
      </c>
      <c r="AL92">
        <v>3344</v>
      </c>
      <c r="AM92">
        <v>2848</v>
      </c>
      <c r="AN92">
        <v>2368</v>
      </c>
      <c r="AO92">
        <v>1952</v>
      </c>
      <c r="AP92">
        <v>1568</v>
      </c>
      <c r="AQ92" s="16">
        <v>1248</v>
      </c>
      <c r="AR92" s="16">
        <v>5392</v>
      </c>
      <c r="AS92" s="16">
        <v>5824</v>
      </c>
      <c r="AT92" s="16">
        <v>6176</v>
      </c>
      <c r="AU92" s="16">
        <v>6448</v>
      </c>
      <c r="AV92" s="16">
        <v>6624</v>
      </c>
      <c r="AW92" s="16">
        <v>6672</v>
      </c>
      <c r="AX92" s="16">
        <v>6624</v>
      </c>
      <c r="AY92" s="16">
        <v>6448</v>
      </c>
      <c r="AZ92" s="16">
        <v>6176</v>
      </c>
      <c r="BA92" s="16">
        <v>5824</v>
      </c>
      <c r="BB92" s="16">
        <v>5392</v>
      </c>
      <c r="BC92" s="16">
        <v>4912</v>
      </c>
      <c r="BD92" s="16">
        <v>4384</v>
      </c>
      <c r="BE92" s="16">
        <v>3856</v>
      </c>
      <c r="BF92" s="16">
        <v>3344</v>
      </c>
      <c r="BG92" s="16">
        <v>2848</v>
      </c>
      <c r="BH92" s="16">
        <v>2368</v>
      </c>
      <c r="BI92" s="16">
        <v>1952</v>
      </c>
      <c r="BJ92" s="16">
        <v>1568</v>
      </c>
      <c r="BK92" s="16">
        <v>1248</v>
      </c>
      <c r="BL92" s="16">
        <v>5392</v>
      </c>
      <c r="BM92" s="16">
        <v>5824</v>
      </c>
      <c r="BN92" s="16">
        <v>6176</v>
      </c>
      <c r="BO92" s="16">
        <v>6448</v>
      </c>
      <c r="BP92" s="16">
        <v>6624</v>
      </c>
      <c r="BQ92" s="16">
        <v>6672</v>
      </c>
      <c r="BR92" s="16">
        <v>6624</v>
      </c>
      <c r="BS92" s="16">
        <v>6448</v>
      </c>
      <c r="BT92" s="16">
        <v>6176</v>
      </c>
      <c r="BU92" s="16">
        <v>5824</v>
      </c>
      <c r="BV92" s="16">
        <v>5392</v>
      </c>
      <c r="BW92" s="16">
        <v>4912</v>
      </c>
      <c r="BX92" s="16">
        <v>4384</v>
      </c>
      <c r="BY92" s="16">
        <v>3856</v>
      </c>
      <c r="BZ92" s="16">
        <v>3344</v>
      </c>
      <c r="CA92" s="16">
        <v>2848</v>
      </c>
      <c r="CB92" s="16">
        <v>2368</v>
      </c>
      <c r="CC92" s="16">
        <v>1952</v>
      </c>
      <c r="CD92" s="16">
        <v>1568</v>
      </c>
      <c r="CE92" s="16">
        <v>1248</v>
      </c>
    </row>
    <row r="93" spans="1:83" x14ac:dyDescent="0.2">
      <c r="C93" s="15" t="s">
        <v>406</v>
      </c>
      <c r="D93" cm="1">
        <f t="array" ref="D93:CE93">_xlfn.BYCOL(_xlfn._xlws.FILTER(tb_shop_relic[[地宫-01]:[大湖-20]],tb_shop_relic[rank]=VALUE(MID(C93,3,1))),_xleta.SUM)</f>
        <v>1500</v>
      </c>
      <c r="E93">
        <v>1880</v>
      </c>
      <c r="F93">
        <v>2300</v>
      </c>
      <c r="G93">
        <v>2740</v>
      </c>
      <c r="H93">
        <v>3200</v>
      </c>
      <c r="I93">
        <v>3660</v>
      </c>
      <c r="J93">
        <v>4060</v>
      </c>
      <c r="K93">
        <v>4420</v>
      </c>
      <c r="L93">
        <v>4680</v>
      </c>
      <c r="M93">
        <v>4860</v>
      </c>
      <c r="N93">
        <v>4900</v>
      </c>
      <c r="O93">
        <v>4860</v>
      </c>
      <c r="P93">
        <v>4680</v>
      </c>
      <c r="Q93">
        <v>4420</v>
      </c>
      <c r="R93">
        <v>4060</v>
      </c>
      <c r="S93">
        <v>3660</v>
      </c>
      <c r="T93">
        <v>3200</v>
      </c>
      <c r="U93">
        <v>2740</v>
      </c>
      <c r="V93">
        <v>2300</v>
      </c>
      <c r="W93">
        <v>1880</v>
      </c>
      <c r="X93">
        <v>1500</v>
      </c>
      <c r="Y93">
        <v>1880</v>
      </c>
      <c r="Z93">
        <v>2300</v>
      </c>
      <c r="AA93">
        <v>2740</v>
      </c>
      <c r="AB93">
        <v>3200</v>
      </c>
      <c r="AC93">
        <v>3660</v>
      </c>
      <c r="AD93">
        <v>4060</v>
      </c>
      <c r="AE93">
        <v>4420</v>
      </c>
      <c r="AF93">
        <v>4680</v>
      </c>
      <c r="AG93">
        <v>4860</v>
      </c>
      <c r="AH93">
        <v>4900</v>
      </c>
      <c r="AI93">
        <v>4860</v>
      </c>
      <c r="AJ93">
        <v>4680</v>
      </c>
      <c r="AK93">
        <v>4420</v>
      </c>
      <c r="AL93">
        <v>4060</v>
      </c>
      <c r="AM93">
        <v>3660</v>
      </c>
      <c r="AN93">
        <v>3200</v>
      </c>
      <c r="AO93">
        <v>2740</v>
      </c>
      <c r="AP93">
        <v>2300</v>
      </c>
      <c r="AQ93" s="16">
        <v>1880</v>
      </c>
      <c r="AR93" s="16">
        <v>1500</v>
      </c>
      <c r="AS93" s="16">
        <v>1880</v>
      </c>
      <c r="AT93" s="16">
        <v>2300</v>
      </c>
      <c r="AU93" s="16">
        <v>2740</v>
      </c>
      <c r="AV93" s="16">
        <v>3200</v>
      </c>
      <c r="AW93" s="16">
        <v>3660</v>
      </c>
      <c r="AX93" s="16">
        <v>4060</v>
      </c>
      <c r="AY93" s="16">
        <v>4420</v>
      </c>
      <c r="AZ93" s="16">
        <v>4680</v>
      </c>
      <c r="BA93" s="16">
        <v>4860</v>
      </c>
      <c r="BB93" s="16">
        <v>4900</v>
      </c>
      <c r="BC93" s="16">
        <v>4860</v>
      </c>
      <c r="BD93" s="16">
        <v>4680</v>
      </c>
      <c r="BE93" s="16">
        <v>4420</v>
      </c>
      <c r="BF93" s="16">
        <v>4060</v>
      </c>
      <c r="BG93" s="16">
        <v>3660</v>
      </c>
      <c r="BH93" s="16">
        <v>3200</v>
      </c>
      <c r="BI93" s="16">
        <v>2740</v>
      </c>
      <c r="BJ93" s="16">
        <v>2300</v>
      </c>
      <c r="BK93" s="16">
        <v>1880</v>
      </c>
      <c r="BL93" s="16">
        <v>1500</v>
      </c>
      <c r="BM93" s="16">
        <v>1880</v>
      </c>
      <c r="BN93" s="16">
        <v>2300</v>
      </c>
      <c r="BO93" s="16">
        <v>2740</v>
      </c>
      <c r="BP93" s="16">
        <v>3200</v>
      </c>
      <c r="BQ93" s="16">
        <v>3660</v>
      </c>
      <c r="BR93" s="16">
        <v>4060</v>
      </c>
      <c r="BS93" s="16">
        <v>4420</v>
      </c>
      <c r="BT93" s="16">
        <v>4680</v>
      </c>
      <c r="BU93" s="16">
        <v>4860</v>
      </c>
      <c r="BV93" s="16">
        <v>4900</v>
      </c>
      <c r="BW93" s="16">
        <v>4860</v>
      </c>
      <c r="BX93" s="16">
        <v>4680</v>
      </c>
      <c r="BY93" s="16">
        <v>4420</v>
      </c>
      <c r="BZ93" s="16">
        <v>4060</v>
      </c>
      <c r="CA93" s="16">
        <v>3660</v>
      </c>
      <c r="CB93" s="16">
        <v>3200</v>
      </c>
      <c r="CC93" s="16">
        <v>2740</v>
      </c>
      <c r="CD93" s="16">
        <v>2300</v>
      </c>
      <c r="CE93" s="16">
        <v>1880</v>
      </c>
    </row>
    <row r="94" spans="1:83" x14ac:dyDescent="0.2">
      <c r="C94" s="15" t="s">
        <v>407</v>
      </c>
      <c r="D94" cm="1">
        <f t="array" ref="D94:CE94">_xlfn.BYCOL(_xlfn._xlws.FILTER(tb_shop_relic[[地宫-01]:[大湖-20]],tb_shop_relic[rank]=VALUE(MID(C94,3,1))),_xleta.SUM)</f>
        <v>84</v>
      </c>
      <c r="E94">
        <v>126</v>
      </c>
      <c r="F94">
        <v>189</v>
      </c>
      <c r="G94">
        <v>294</v>
      </c>
      <c r="H94">
        <v>420</v>
      </c>
      <c r="I94">
        <v>588</v>
      </c>
      <c r="J94">
        <v>798</v>
      </c>
      <c r="K94">
        <v>1071</v>
      </c>
      <c r="L94">
        <v>1365</v>
      </c>
      <c r="M94">
        <v>1680</v>
      </c>
      <c r="N94">
        <v>2016</v>
      </c>
      <c r="O94">
        <v>2331</v>
      </c>
      <c r="P94">
        <v>2625</v>
      </c>
      <c r="Q94">
        <v>2835</v>
      </c>
      <c r="R94">
        <v>2982</v>
      </c>
      <c r="S94">
        <v>3024</v>
      </c>
      <c r="T94">
        <v>2982</v>
      </c>
      <c r="U94">
        <v>2835</v>
      </c>
      <c r="V94">
        <v>2625</v>
      </c>
      <c r="W94">
        <v>2331</v>
      </c>
      <c r="X94">
        <v>84</v>
      </c>
      <c r="Y94">
        <v>126</v>
      </c>
      <c r="Z94">
        <v>189</v>
      </c>
      <c r="AA94">
        <v>294</v>
      </c>
      <c r="AB94">
        <v>420</v>
      </c>
      <c r="AC94">
        <v>588</v>
      </c>
      <c r="AD94">
        <v>798</v>
      </c>
      <c r="AE94">
        <v>1071</v>
      </c>
      <c r="AF94">
        <v>1365</v>
      </c>
      <c r="AG94">
        <v>1680</v>
      </c>
      <c r="AH94">
        <v>2016</v>
      </c>
      <c r="AI94">
        <v>2331</v>
      </c>
      <c r="AJ94">
        <v>2625</v>
      </c>
      <c r="AK94">
        <v>2835</v>
      </c>
      <c r="AL94">
        <v>2982</v>
      </c>
      <c r="AM94">
        <v>3024</v>
      </c>
      <c r="AN94">
        <v>2982</v>
      </c>
      <c r="AO94">
        <v>2835</v>
      </c>
      <c r="AP94">
        <v>2625</v>
      </c>
      <c r="AQ94" s="16">
        <v>2331</v>
      </c>
      <c r="AR94" s="16">
        <v>84</v>
      </c>
      <c r="AS94" s="16">
        <v>126</v>
      </c>
      <c r="AT94" s="16">
        <v>189</v>
      </c>
      <c r="AU94" s="16">
        <v>294</v>
      </c>
      <c r="AV94" s="16">
        <v>420</v>
      </c>
      <c r="AW94" s="16">
        <v>588</v>
      </c>
      <c r="AX94" s="16">
        <v>798</v>
      </c>
      <c r="AY94" s="16">
        <v>1071</v>
      </c>
      <c r="AZ94" s="16">
        <v>1365</v>
      </c>
      <c r="BA94" s="16">
        <v>1680</v>
      </c>
      <c r="BB94" s="16">
        <v>2016</v>
      </c>
      <c r="BC94" s="16">
        <v>2331</v>
      </c>
      <c r="BD94" s="16">
        <v>2625</v>
      </c>
      <c r="BE94" s="16">
        <v>2835</v>
      </c>
      <c r="BF94" s="16">
        <v>2982</v>
      </c>
      <c r="BG94" s="16">
        <v>3024</v>
      </c>
      <c r="BH94" s="16">
        <v>2982</v>
      </c>
      <c r="BI94" s="16">
        <v>2835</v>
      </c>
      <c r="BJ94" s="16">
        <v>2625</v>
      </c>
      <c r="BK94" s="16">
        <v>2331</v>
      </c>
      <c r="BL94" s="16">
        <v>84</v>
      </c>
      <c r="BM94" s="16">
        <v>126</v>
      </c>
      <c r="BN94" s="16">
        <v>189</v>
      </c>
      <c r="BO94" s="16">
        <v>294</v>
      </c>
      <c r="BP94" s="16">
        <v>420</v>
      </c>
      <c r="BQ94" s="16">
        <v>588</v>
      </c>
      <c r="BR94" s="16">
        <v>798</v>
      </c>
      <c r="BS94" s="16">
        <v>1071</v>
      </c>
      <c r="BT94" s="16">
        <v>1365</v>
      </c>
      <c r="BU94" s="16">
        <v>1680</v>
      </c>
      <c r="BV94" s="16">
        <v>2016</v>
      </c>
      <c r="BW94" s="16">
        <v>2331</v>
      </c>
      <c r="BX94" s="16">
        <v>2625</v>
      </c>
      <c r="BY94" s="16">
        <v>2835</v>
      </c>
      <c r="BZ94" s="16">
        <v>2982</v>
      </c>
      <c r="CA94" s="16">
        <v>3024</v>
      </c>
      <c r="CB94" s="16">
        <v>2982</v>
      </c>
      <c r="CC94" s="16">
        <v>2835</v>
      </c>
      <c r="CD94" s="16">
        <v>2625</v>
      </c>
      <c r="CE94" s="16">
        <v>2331</v>
      </c>
    </row>
    <row r="95" spans="1:83" x14ac:dyDescent="0.2">
      <c r="C95" s="15" t="s">
        <v>408</v>
      </c>
      <c r="D95" cm="1">
        <f t="array" ref="D95:CE95">_xlfn.BYCOL(_xlfn._xlws.FILTER(tb_shop_relic[[地宫-01]:[大湖-20]],tb_shop_relic[rank]=VALUE(MID(C95,3,1))),_xleta.SUM)</f>
        <v>0</v>
      </c>
      <c r="E95">
        <v>0</v>
      </c>
      <c r="F95">
        <v>0</v>
      </c>
      <c r="G95">
        <v>0</v>
      </c>
      <c r="H95">
        <v>0</v>
      </c>
      <c r="I95">
        <v>8</v>
      </c>
      <c r="J95">
        <v>8</v>
      </c>
      <c r="K95">
        <v>16</v>
      </c>
      <c r="L95">
        <v>24</v>
      </c>
      <c r="M95">
        <v>40</v>
      </c>
      <c r="N95">
        <v>72</v>
      </c>
      <c r="O95">
        <v>112</v>
      </c>
      <c r="P95">
        <v>160</v>
      </c>
      <c r="Q95">
        <v>224</v>
      </c>
      <c r="R95">
        <v>304</v>
      </c>
      <c r="S95">
        <v>384</v>
      </c>
      <c r="T95">
        <v>472</v>
      </c>
      <c r="U95">
        <v>552</v>
      </c>
      <c r="V95">
        <v>624</v>
      </c>
      <c r="W95">
        <v>664</v>
      </c>
      <c r="X95">
        <v>0</v>
      </c>
      <c r="Y95">
        <v>0</v>
      </c>
      <c r="Z95">
        <v>0</v>
      </c>
      <c r="AA95">
        <v>0</v>
      </c>
      <c r="AB95">
        <v>0</v>
      </c>
      <c r="AC95">
        <v>8</v>
      </c>
      <c r="AD95">
        <v>8</v>
      </c>
      <c r="AE95">
        <v>16</v>
      </c>
      <c r="AF95">
        <v>24</v>
      </c>
      <c r="AG95">
        <v>40</v>
      </c>
      <c r="AH95">
        <v>72</v>
      </c>
      <c r="AI95">
        <v>112</v>
      </c>
      <c r="AJ95">
        <v>160</v>
      </c>
      <c r="AK95">
        <v>224</v>
      </c>
      <c r="AL95">
        <v>304</v>
      </c>
      <c r="AM95">
        <v>384</v>
      </c>
      <c r="AN95">
        <v>472</v>
      </c>
      <c r="AO95">
        <v>552</v>
      </c>
      <c r="AP95">
        <v>624</v>
      </c>
      <c r="AQ95" s="16">
        <v>664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8</v>
      </c>
      <c r="AX95" s="16">
        <v>8</v>
      </c>
      <c r="AY95" s="16">
        <v>16</v>
      </c>
      <c r="AZ95" s="16">
        <v>24</v>
      </c>
      <c r="BA95" s="16">
        <v>40</v>
      </c>
      <c r="BB95" s="16">
        <v>72</v>
      </c>
      <c r="BC95" s="16">
        <v>112</v>
      </c>
      <c r="BD95" s="16">
        <v>160</v>
      </c>
      <c r="BE95" s="16">
        <v>224</v>
      </c>
      <c r="BF95" s="16">
        <v>304</v>
      </c>
      <c r="BG95" s="16">
        <v>384</v>
      </c>
      <c r="BH95" s="16">
        <v>472</v>
      </c>
      <c r="BI95" s="16">
        <v>552</v>
      </c>
      <c r="BJ95" s="16">
        <v>624</v>
      </c>
      <c r="BK95" s="16">
        <v>664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8</v>
      </c>
      <c r="BR95" s="16">
        <v>8</v>
      </c>
      <c r="BS95" s="16">
        <v>16</v>
      </c>
      <c r="BT95" s="16">
        <v>24</v>
      </c>
      <c r="BU95" s="16">
        <v>40</v>
      </c>
      <c r="BV95" s="16">
        <v>72</v>
      </c>
      <c r="BW95" s="16">
        <v>112</v>
      </c>
      <c r="BX95" s="16">
        <v>160</v>
      </c>
      <c r="BY95" s="16">
        <v>224</v>
      </c>
      <c r="BZ95" s="16">
        <v>304</v>
      </c>
      <c r="CA95" s="16">
        <v>384</v>
      </c>
      <c r="CB95" s="16">
        <v>472</v>
      </c>
      <c r="CC95" s="16">
        <v>552</v>
      </c>
      <c r="CD95" s="16">
        <v>624</v>
      </c>
      <c r="CE95" s="16">
        <v>664</v>
      </c>
    </row>
    <row r="97" spans="3:83" x14ac:dyDescent="0.2">
      <c r="C97" s="15" t="s">
        <v>410</v>
      </c>
      <c r="D97" s="46" cm="1">
        <f t="array" ref="D97:CE101">_xlfn.LET(_xlpm._all,_xlfn.ANCHORARRAY(D91):_xlfn.ANCHORARRAY(D95),
_xlpm._all/_xlfn.BYCOL(_xlpm._all,_xleta.SUM))</f>
        <v>0.58726777896106974</v>
      </c>
      <c r="E97" s="46">
        <v>0.55762711864406778</v>
      </c>
      <c r="F97" s="46">
        <v>0.52787010298043913</v>
      </c>
      <c r="G97" s="46">
        <v>0.49766899766899769</v>
      </c>
      <c r="H97" s="46">
        <v>0.46773355502442066</v>
      </c>
      <c r="I97" s="46">
        <v>0.43786008230452678</v>
      </c>
      <c r="J97" s="46">
        <v>0.40901141857833556</v>
      </c>
      <c r="K97" s="46">
        <v>0.38028096003317607</v>
      </c>
      <c r="L97" s="46">
        <v>0.35338226751861435</v>
      </c>
      <c r="M97" s="46">
        <v>0.32674772036474165</v>
      </c>
      <c r="N97" s="46">
        <v>0.30222071919738475</v>
      </c>
      <c r="O97" s="46">
        <v>0.27803061646669425</v>
      </c>
      <c r="P97" s="46">
        <v>0.25651000815711866</v>
      </c>
      <c r="Q97" s="46">
        <v>0.23592854735422986</v>
      </c>
      <c r="R97" s="46">
        <v>0.21730853712110118</v>
      </c>
      <c r="S97" s="46">
        <v>0.1999354526383734</v>
      </c>
      <c r="T97" s="46">
        <v>0.18470992228447497</v>
      </c>
      <c r="U97" s="46">
        <v>0.17095946639302206</v>
      </c>
      <c r="V97" s="46">
        <v>0.15884647204822125</v>
      </c>
      <c r="W97" s="46">
        <v>0.14804508139696673</v>
      </c>
      <c r="X97" s="46">
        <v>0.58726777896106974</v>
      </c>
      <c r="Y97" s="46">
        <v>0.55762711864406778</v>
      </c>
      <c r="Z97" s="46">
        <v>0.52787010298043913</v>
      </c>
      <c r="AA97" s="46">
        <v>0.49766899766899769</v>
      </c>
      <c r="AB97" s="46">
        <v>0.46773355502442066</v>
      </c>
      <c r="AC97" s="46">
        <v>0.43786008230452678</v>
      </c>
      <c r="AD97" s="46">
        <v>0.40901141857833556</v>
      </c>
      <c r="AE97" s="46">
        <v>0.38028096003317607</v>
      </c>
      <c r="AF97" s="46">
        <v>0.35338226751861435</v>
      </c>
      <c r="AG97" s="46">
        <v>0.32674772036474165</v>
      </c>
      <c r="AH97" s="46">
        <v>0.30222071919738475</v>
      </c>
      <c r="AI97" s="46">
        <v>0.27803061646669425</v>
      </c>
      <c r="AJ97" s="46">
        <v>0.25651000815711866</v>
      </c>
      <c r="AK97" s="46">
        <v>0.23592854735422986</v>
      </c>
      <c r="AL97" s="46">
        <v>0.21730853712110118</v>
      </c>
      <c r="AM97" s="46">
        <v>0.1999354526383734</v>
      </c>
      <c r="AN97" s="46">
        <v>0.18470992228447497</v>
      </c>
      <c r="AO97" s="46">
        <v>0.17095946639302206</v>
      </c>
      <c r="AP97" s="46">
        <v>0.15884647204822125</v>
      </c>
      <c r="AQ97" s="21">
        <v>0.14804508139696673</v>
      </c>
      <c r="AR97" s="21">
        <v>0.58726777896106974</v>
      </c>
      <c r="AS97" s="21">
        <v>0.55762711864406778</v>
      </c>
      <c r="AT97" s="21">
        <v>0.52787010298043913</v>
      </c>
      <c r="AU97" s="21">
        <v>0.49766899766899769</v>
      </c>
      <c r="AV97" s="21">
        <v>0.46773355502442066</v>
      </c>
      <c r="AW97" s="21">
        <v>0.43786008230452678</v>
      </c>
      <c r="AX97" s="21">
        <v>0.40901141857833556</v>
      </c>
      <c r="AY97" s="21">
        <v>0.38028096003317607</v>
      </c>
      <c r="AZ97" s="21">
        <v>0.35338226751861435</v>
      </c>
      <c r="BA97" s="21">
        <v>0.32674772036474165</v>
      </c>
      <c r="BB97" s="21">
        <v>0.30222071919738475</v>
      </c>
      <c r="BC97" s="21">
        <v>0.27803061646669425</v>
      </c>
      <c r="BD97" s="21">
        <v>0.25651000815711866</v>
      </c>
      <c r="BE97" s="21">
        <v>0.23592854735422986</v>
      </c>
      <c r="BF97" s="21">
        <v>0.21730853712110118</v>
      </c>
      <c r="BG97" s="21">
        <v>0.1999354526383734</v>
      </c>
      <c r="BH97" s="21">
        <v>0.18470992228447497</v>
      </c>
      <c r="BI97" s="21">
        <v>0.17095946639302206</v>
      </c>
      <c r="BJ97" s="21">
        <v>0.15884647204822125</v>
      </c>
      <c r="BK97" s="21">
        <v>0.14804508139696673</v>
      </c>
      <c r="BL97" s="21">
        <v>0.58726777896106974</v>
      </c>
      <c r="BM97" s="21">
        <v>0.55762711864406778</v>
      </c>
      <c r="BN97" s="21">
        <v>0.52787010298043913</v>
      </c>
      <c r="BO97" s="21">
        <v>0.49766899766899769</v>
      </c>
      <c r="BP97" s="21">
        <v>0.46773355502442066</v>
      </c>
      <c r="BQ97" s="21">
        <v>0.43786008230452678</v>
      </c>
      <c r="BR97" s="21">
        <v>0.40901141857833556</v>
      </c>
      <c r="BS97" s="21">
        <v>0.38028096003317607</v>
      </c>
      <c r="BT97" s="21">
        <v>0.35338226751861435</v>
      </c>
      <c r="BU97" s="21">
        <v>0.32674772036474165</v>
      </c>
      <c r="BV97" s="21">
        <v>0.30222071919738475</v>
      </c>
      <c r="BW97" s="21">
        <v>0.27803061646669425</v>
      </c>
      <c r="BX97" s="21">
        <v>0.25651000815711866</v>
      </c>
      <c r="BY97" s="21">
        <v>0.23592854735422986</v>
      </c>
      <c r="BZ97" s="21">
        <v>0.21730853712110118</v>
      </c>
      <c r="CA97" s="21">
        <v>0.1999354526383734</v>
      </c>
      <c r="CB97" s="21">
        <v>0.18470992228447497</v>
      </c>
      <c r="CC97" s="21">
        <v>0.17095946639302206</v>
      </c>
      <c r="CD97" s="21">
        <v>0.15884647204822125</v>
      </c>
      <c r="CE97" s="21">
        <v>0.14804508139696673</v>
      </c>
    </row>
    <row r="98" spans="3:83" x14ac:dyDescent="0.2">
      <c r="C98" s="15" t="s">
        <v>411</v>
      </c>
      <c r="D98" s="46">
        <v>0.3190155011241273</v>
      </c>
      <c r="E98" s="46">
        <v>0.32903954802259888</v>
      </c>
      <c r="F98" s="46">
        <v>0.33651174194954503</v>
      </c>
      <c r="G98" s="46">
        <v>0.3415977961432507</v>
      </c>
      <c r="H98" s="46">
        <v>0.34417541307284633</v>
      </c>
      <c r="I98" s="46">
        <v>0.34320987654320989</v>
      </c>
      <c r="J98" s="46">
        <v>0.34070568871515278</v>
      </c>
      <c r="K98" s="46">
        <v>0.3342491317194547</v>
      </c>
      <c r="L98" s="46">
        <v>0.32613402334055025</v>
      </c>
      <c r="M98" s="46">
        <v>0.3161094224924012</v>
      </c>
      <c r="N98" s="46">
        <v>0.30391162213955586</v>
      </c>
      <c r="O98" s="46">
        <v>0.2903244872628406</v>
      </c>
      <c r="P98" s="46">
        <v>0.27508313986321137</v>
      </c>
      <c r="Q98" s="46">
        <v>0.25992585102797439</v>
      </c>
      <c r="R98" s="46">
        <v>0.24483819007175281</v>
      </c>
      <c r="S98" s="46">
        <v>0.22978860739067292</v>
      </c>
      <c r="T98" s="46">
        <v>0.21398879450569311</v>
      </c>
      <c r="U98" s="46">
        <v>0.20030785017957928</v>
      </c>
      <c r="V98" s="46">
        <v>0.18532088405625813</v>
      </c>
      <c r="W98" s="46">
        <v>0.17364686239042715</v>
      </c>
      <c r="X98" s="46">
        <v>0.3190155011241273</v>
      </c>
      <c r="Y98" s="46">
        <v>0.32903954802259888</v>
      </c>
      <c r="Z98" s="46">
        <v>0.33651174194954503</v>
      </c>
      <c r="AA98" s="46">
        <v>0.3415977961432507</v>
      </c>
      <c r="AB98" s="46">
        <v>0.34417541307284633</v>
      </c>
      <c r="AC98" s="46">
        <v>0.34320987654320989</v>
      </c>
      <c r="AD98" s="46">
        <v>0.34070568871515278</v>
      </c>
      <c r="AE98" s="46">
        <v>0.3342491317194547</v>
      </c>
      <c r="AF98" s="46">
        <v>0.32613402334055025</v>
      </c>
      <c r="AG98" s="46">
        <v>0.3161094224924012</v>
      </c>
      <c r="AH98" s="46">
        <v>0.30391162213955586</v>
      </c>
      <c r="AI98" s="46">
        <v>0.2903244872628406</v>
      </c>
      <c r="AJ98" s="46">
        <v>0.27508313986321137</v>
      </c>
      <c r="AK98" s="46">
        <v>0.25992585102797439</v>
      </c>
      <c r="AL98" s="46">
        <v>0.24483819007175281</v>
      </c>
      <c r="AM98" s="46">
        <v>0.22978860739067292</v>
      </c>
      <c r="AN98" s="46">
        <v>0.21398879450569311</v>
      </c>
      <c r="AO98" s="46">
        <v>0.20030785017957928</v>
      </c>
      <c r="AP98" s="46">
        <v>0.18532088405625813</v>
      </c>
      <c r="AQ98" s="21">
        <v>0.17364686239042715</v>
      </c>
      <c r="AR98" s="21">
        <v>0.3190155011241273</v>
      </c>
      <c r="AS98" s="21">
        <v>0.32903954802259888</v>
      </c>
      <c r="AT98" s="21">
        <v>0.33651174194954503</v>
      </c>
      <c r="AU98" s="21">
        <v>0.3415977961432507</v>
      </c>
      <c r="AV98" s="21">
        <v>0.34417541307284633</v>
      </c>
      <c r="AW98" s="21">
        <v>0.34320987654320989</v>
      </c>
      <c r="AX98" s="21">
        <v>0.34070568871515278</v>
      </c>
      <c r="AY98" s="21">
        <v>0.3342491317194547</v>
      </c>
      <c r="AZ98" s="21">
        <v>0.32613402334055025</v>
      </c>
      <c r="BA98" s="21">
        <v>0.3161094224924012</v>
      </c>
      <c r="BB98" s="21">
        <v>0.30391162213955586</v>
      </c>
      <c r="BC98" s="21">
        <v>0.2903244872628406</v>
      </c>
      <c r="BD98" s="21">
        <v>0.27508313986321137</v>
      </c>
      <c r="BE98" s="21">
        <v>0.25992585102797439</v>
      </c>
      <c r="BF98" s="21">
        <v>0.24483819007175281</v>
      </c>
      <c r="BG98" s="21">
        <v>0.22978860739067292</v>
      </c>
      <c r="BH98" s="21">
        <v>0.21398879450569311</v>
      </c>
      <c r="BI98" s="21">
        <v>0.20030785017957928</v>
      </c>
      <c r="BJ98" s="21">
        <v>0.18532088405625813</v>
      </c>
      <c r="BK98" s="21">
        <v>0.17364686239042715</v>
      </c>
      <c r="BL98" s="21">
        <v>0.3190155011241273</v>
      </c>
      <c r="BM98" s="21">
        <v>0.32903954802259888</v>
      </c>
      <c r="BN98" s="21">
        <v>0.33651174194954503</v>
      </c>
      <c r="BO98" s="21">
        <v>0.3415977961432507</v>
      </c>
      <c r="BP98" s="21">
        <v>0.34417541307284633</v>
      </c>
      <c r="BQ98" s="21">
        <v>0.34320987654320989</v>
      </c>
      <c r="BR98" s="21">
        <v>0.34070568871515278</v>
      </c>
      <c r="BS98" s="21">
        <v>0.3342491317194547</v>
      </c>
      <c r="BT98" s="21">
        <v>0.32613402334055025</v>
      </c>
      <c r="BU98" s="21">
        <v>0.3161094224924012</v>
      </c>
      <c r="BV98" s="21">
        <v>0.30391162213955586</v>
      </c>
      <c r="BW98" s="21">
        <v>0.2903244872628406</v>
      </c>
      <c r="BX98" s="21">
        <v>0.27508313986321137</v>
      </c>
      <c r="BY98" s="21">
        <v>0.25992585102797439</v>
      </c>
      <c r="BZ98" s="21">
        <v>0.24483819007175281</v>
      </c>
      <c r="CA98" s="21">
        <v>0.22978860739067292</v>
      </c>
      <c r="CB98" s="21">
        <v>0.21398879450569311</v>
      </c>
      <c r="CC98" s="21">
        <v>0.20030785017957928</v>
      </c>
      <c r="CD98" s="21">
        <v>0.18532088405625813</v>
      </c>
      <c r="CE98" s="21">
        <v>0.17364686239042715</v>
      </c>
    </row>
    <row r="99" spans="3:83" x14ac:dyDescent="0.2">
      <c r="C99" s="15" t="s">
        <v>412</v>
      </c>
      <c r="D99" s="46">
        <v>8.874689385871494E-2</v>
      </c>
      <c r="E99" s="46">
        <v>0.10621468926553672</v>
      </c>
      <c r="F99" s="46">
        <v>0.1253201111534899</v>
      </c>
      <c r="G99" s="46">
        <v>0.14515787243059972</v>
      </c>
      <c r="H99" s="46">
        <v>0.16626831549412865</v>
      </c>
      <c r="I99" s="46">
        <v>0.18827160493827161</v>
      </c>
      <c r="J99" s="46">
        <v>0.20882625244316427</v>
      </c>
      <c r="K99" s="46">
        <v>0.22912238867865845</v>
      </c>
      <c r="L99" s="46">
        <v>0.2471352378940698</v>
      </c>
      <c r="M99" s="46">
        <v>0.26378636561007379</v>
      </c>
      <c r="N99" s="46">
        <v>0.27618081388794952</v>
      </c>
      <c r="O99" s="46">
        <v>0.287251019563804</v>
      </c>
      <c r="P99" s="46">
        <v>0.29365627156930413</v>
      </c>
      <c r="Q99" s="46">
        <v>0.29794405123019885</v>
      </c>
      <c r="R99" s="46">
        <v>0.29726167813735538</v>
      </c>
      <c r="S99" s="46">
        <v>0.29530417944166532</v>
      </c>
      <c r="T99" s="46">
        <v>0.28917404662931501</v>
      </c>
      <c r="U99" s="46">
        <v>0.28116983068240126</v>
      </c>
      <c r="V99" s="46">
        <v>0.27183548043966432</v>
      </c>
      <c r="W99" s="46">
        <v>0.26158341449839989</v>
      </c>
      <c r="X99" s="46">
        <v>8.874689385871494E-2</v>
      </c>
      <c r="Y99" s="46">
        <v>0.10621468926553672</v>
      </c>
      <c r="Z99" s="46">
        <v>0.1253201111534899</v>
      </c>
      <c r="AA99" s="46">
        <v>0.14515787243059972</v>
      </c>
      <c r="AB99" s="46">
        <v>0.16626831549412865</v>
      </c>
      <c r="AC99" s="46">
        <v>0.18827160493827161</v>
      </c>
      <c r="AD99" s="46">
        <v>0.20882625244316427</v>
      </c>
      <c r="AE99" s="46">
        <v>0.22912238867865845</v>
      </c>
      <c r="AF99" s="46">
        <v>0.2471352378940698</v>
      </c>
      <c r="AG99" s="46">
        <v>0.26378636561007379</v>
      </c>
      <c r="AH99" s="46">
        <v>0.27618081388794952</v>
      </c>
      <c r="AI99" s="46">
        <v>0.287251019563804</v>
      </c>
      <c r="AJ99" s="46">
        <v>0.29365627156930413</v>
      </c>
      <c r="AK99" s="46">
        <v>0.29794405123019885</v>
      </c>
      <c r="AL99" s="46">
        <v>0.29726167813735538</v>
      </c>
      <c r="AM99" s="46">
        <v>0.29530417944166532</v>
      </c>
      <c r="AN99" s="46">
        <v>0.28917404662931501</v>
      </c>
      <c r="AO99" s="46">
        <v>0.28116983068240126</v>
      </c>
      <c r="AP99" s="46">
        <v>0.27183548043966432</v>
      </c>
      <c r="AQ99" s="21">
        <v>0.26158341449839989</v>
      </c>
      <c r="AR99" s="21">
        <v>8.874689385871494E-2</v>
      </c>
      <c r="AS99" s="21">
        <v>0.10621468926553672</v>
      </c>
      <c r="AT99" s="21">
        <v>0.1253201111534899</v>
      </c>
      <c r="AU99" s="21">
        <v>0.14515787243059972</v>
      </c>
      <c r="AV99" s="21">
        <v>0.16626831549412865</v>
      </c>
      <c r="AW99" s="21">
        <v>0.18827160493827161</v>
      </c>
      <c r="AX99" s="21">
        <v>0.20882625244316427</v>
      </c>
      <c r="AY99" s="21">
        <v>0.22912238867865845</v>
      </c>
      <c r="AZ99" s="21">
        <v>0.2471352378940698</v>
      </c>
      <c r="BA99" s="21">
        <v>0.26378636561007379</v>
      </c>
      <c r="BB99" s="21">
        <v>0.27618081388794952</v>
      </c>
      <c r="BC99" s="21">
        <v>0.287251019563804</v>
      </c>
      <c r="BD99" s="21">
        <v>0.29365627156930413</v>
      </c>
      <c r="BE99" s="21">
        <v>0.29794405123019885</v>
      </c>
      <c r="BF99" s="21">
        <v>0.29726167813735538</v>
      </c>
      <c r="BG99" s="21">
        <v>0.29530417944166532</v>
      </c>
      <c r="BH99" s="21">
        <v>0.28917404662931501</v>
      </c>
      <c r="BI99" s="21">
        <v>0.28116983068240126</v>
      </c>
      <c r="BJ99" s="21">
        <v>0.27183548043966432</v>
      </c>
      <c r="BK99" s="21">
        <v>0.26158341449839989</v>
      </c>
      <c r="BL99" s="21">
        <v>8.874689385871494E-2</v>
      </c>
      <c r="BM99" s="21">
        <v>0.10621468926553672</v>
      </c>
      <c r="BN99" s="21">
        <v>0.1253201111534899</v>
      </c>
      <c r="BO99" s="21">
        <v>0.14515787243059972</v>
      </c>
      <c r="BP99" s="21">
        <v>0.16626831549412865</v>
      </c>
      <c r="BQ99" s="21">
        <v>0.18827160493827161</v>
      </c>
      <c r="BR99" s="21">
        <v>0.20882625244316427</v>
      </c>
      <c r="BS99" s="21">
        <v>0.22912238867865845</v>
      </c>
      <c r="BT99" s="21">
        <v>0.2471352378940698</v>
      </c>
      <c r="BU99" s="21">
        <v>0.26378636561007379</v>
      </c>
      <c r="BV99" s="21">
        <v>0.27618081388794952</v>
      </c>
      <c r="BW99" s="21">
        <v>0.287251019563804</v>
      </c>
      <c r="BX99" s="21">
        <v>0.29365627156930413</v>
      </c>
      <c r="BY99" s="21">
        <v>0.29794405123019885</v>
      </c>
      <c r="BZ99" s="21">
        <v>0.29726167813735538</v>
      </c>
      <c r="CA99" s="21">
        <v>0.29530417944166532</v>
      </c>
      <c r="CB99" s="21">
        <v>0.28917404662931501</v>
      </c>
      <c r="CC99" s="21">
        <v>0.28116983068240126</v>
      </c>
      <c r="CD99" s="21">
        <v>0.27183548043966432</v>
      </c>
      <c r="CE99" s="21">
        <v>0.26158341449839989</v>
      </c>
    </row>
    <row r="100" spans="3:83" x14ac:dyDescent="0.2">
      <c r="C100" s="15" t="s">
        <v>413</v>
      </c>
      <c r="D100" s="46">
        <v>4.9698260560880371E-3</v>
      </c>
      <c r="E100" s="46">
        <v>7.1186440677966098E-3</v>
      </c>
      <c r="F100" s="46">
        <v>1.0298043916525909E-2</v>
      </c>
      <c r="G100" s="46">
        <v>1.5575333757151939E-2</v>
      </c>
      <c r="H100" s="46">
        <v>2.1822716408604385E-2</v>
      </c>
      <c r="I100" s="46">
        <v>3.0246913580246913E-2</v>
      </c>
      <c r="J100" s="46">
        <v>4.1045159962966773E-2</v>
      </c>
      <c r="K100" s="46">
        <v>5.5518117256751855E-2</v>
      </c>
      <c r="L100" s="46">
        <v>7.208111105243703E-2</v>
      </c>
      <c r="M100" s="46">
        <v>9.1185410334346503E-2</v>
      </c>
      <c r="N100" s="46">
        <v>0.11362867771389923</v>
      </c>
      <c r="O100" s="46">
        <v>0.13777410012412081</v>
      </c>
      <c r="P100" s="46">
        <v>0.16471104975842379</v>
      </c>
      <c r="Q100" s="46">
        <v>0.1911021233569262</v>
      </c>
      <c r="R100" s="46">
        <v>0.21833357739054035</v>
      </c>
      <c r="S100" s="46">
        <v>0.24398902694852348</v>
      </c>
      <c r="T100" s="46">
        <v>0.26947406470269292</v>
      </c>
      <c r="U100" s="46">
        <v>0.2909184197024115</v>
      </c>
      <c r="V100" s="46">
        <v>0.31024701571918212</v>
      </c>
      <c r="W100" s="46">
        <v>0.32433560595519689</v>
      </c>
      <c r="X100" s="46">
        <v>4.9698260560880371E-3</v>
      </c>
      <c r="Y100" s="46">
        <v>7.1186440677966098E-3</v>
      </c>
      <c r="Z100" s="46">
        <v>1.0298043916525909E-2</v>
      </c>
      <c r="AA100" s="46">
        <v>1.5575333757151939E-2</v>
      </c>
      <c r="AB100" s="46">
        <v>2.1822716408604385E-2</v>
      </c>
      <c r="AC100" s="46">
        <v>3.0246913580246913E-2</v>
      </c>
      <c r="AD100" s="46">
        <v>4.1045159962966773E-2</v>
      </c>
      <c r="AE100" s="46">
        <v>5.5518117256751855E-2</v>
      </c>
      <c r="AF100" s="46">
        <v>7.208111105243703E-2</v>
      </c>
      <c r="AG100" s="46">
        <v>9.1185410334346503E-2</v>
      </c>
      <c r="AH100" s="46">
        <v>0.11362867771389923</v>
      </c>
      <c r="AI100" s="46">
        <v>0.13777410012412081</v>
      </c>
      <c r="AJ100" s="46">
        <v>0.16471104975842379</v>
      </c>
      <c r="AK100" s="46">
        <v>0.1911021233569262</v>
      </c>
      <c r="AL100" s="46">
        <v>0.21833357739054035</v>
      </c>
      <c r="AM100" s="46">
        <v>0.24398902694852348</v>
      </c>
      <c r="AN100" s="46">
        <v>0.26947406470269292</v>
      </c>
      <c r="AO100" s="46">
        <v>0.2909184197024115</v>
      </c>
      <c r="AP100" s="46">
        <v>0.31024701571918212</v>
      </c>
      <c r="AQ100" s="21">
        <v>0.32433560595519689</v>
      </c>
      <c r="AR100" s="21">
        <v>4.9698260560880371E-3</v>
      </c>
      <c r="AS100" s="21">
        <v>7.1186440677966098E-3</v>
      </c>
      <c r="AT100" s="21">
        <v>1.0298043916525909E-2</v>
      </c>
      <c r="AU100" s="21">
        <v>1.5575333757151939E-2</v>
      </c>
      <c r="AV100" s="21">
        <v>2.1822716408604385E-2</v>
      </c>
      <c r="AW100" s="21">
        <v>3.0246913580246913E-2</v>
      </c>
      <c r="AX100" s="21">
        <v>4.1045159962966773E-2</v>
      </c>
      <c r="AY100" s="21">
        <v>5.5518117256751855E-2</v>
      </c>
      <c r="AZ100" s="21">
        <v>7.208111105243703E-2</v>
      </c>
      <c r="BA100" s="21">
        <v>9.1185410334346503E-2</v>
      </c>
      <c r="BB100" s="21">
        <v>0.11362867771389923</v>
      </c>
      <c r="BC100" s="21">
        <v>0.13777410012412081</v>
      </c>
      <c r="BD100" s="21">
        <v>0.16471104975842379</v>
      </c>
      <c r="BE100" s="21">
        <v>0.1911021233569262</v>
      </c>
      <c r="BF100" s="21">
        <v>0.21833357739054035</v>
      </c>
      <c r="BG100" s="21">
        <v>0.24398902694852348</v>
      </c>
      <c r="BH100" s="21">
        <v>0.26947406470269292</v>
      </c>
      <c r="BI100" s="21">
        <v>0.2909184197024115</v>
      </c>
      <c r="BJ100" s="21">
        <v>0.31024701571918212</v>
      </c>
      <c r="BK100" s="21">
        <v>0.32433560595519689</v>
      </c>
      <c r="BL100" s="21">
        <v>4.9698260560880371E-3</v>
      </c>
      <c r="BM100" s="21">
        <v>7.1186440677966098E-3</v>
      </c>
      <c r="BN100" s="21">
        <v>1.0298043916525909E-2</v>
      </c>
      <c r="BO100" s="21">
        <v>1.5575333757151939E-2</v>
      </c>
      <c r="BP100" s="21">
        <v>2.1822716408604385E-2</v>
      </c>
      <c r="BQ100" s="21">
        <v>3.0246913580246913E-2</v>
      </c>
      <c r="BR100" s="21">
        <v>4.1045159962966773E-2</v>
      </c>
      <c r="BS100" s="21">
        <v>5.5518117256751855E-2</v>
      </c>
      <c r="BT100" s="21">
        <v>7.208111105243703E-2</v>
      </c>
      <c r="BU100" s="21">
        <v>9.1185410334346503E-2</v>
      </c>
      <c r="BV100" s="21">
        <v>0.11362867771389923</v>
      </c>
      <c r="BW100" s="21">
        <v>0.13777410012412081</v>
      </c>
      <c r="BX100" s="21">
        <v>0.16471104975842379</v>
      </c>
      <c r="BY100" s="21">
        <v>0.1911021233569262</v>
      </c>
      <c r="BZ100" s="21">
        <v>0.21833357739054035</v>
      </c>
      <c r="CA100" s="21">
        <v>0.24398902694852348</v>
      </c>
      <c r="CB100" s="21">
        <v>0.26947406470269292</v>
      </c>
      <c r="CC100" s="21">
        <v>0.2909184197024115</v>
      </c>
      <c r="CD100" s="21">
        <v>0.31024701571918212</v>
      </c>
      <c r="CE100" s="21">
        <v>0.32433560595519689</v>
      </c>
    </row>
    <row r="101" spans="3:83" x14ac:dyDescent="0.2">
      <c r="C101" s="15" t="s">
        <v>414</v>
      </c>
      <c r="D101" s="46">
        <v>0</v>
      </c>
      <c r="E101" s="46">
        <v>0</v>
      </c>
      <c r="F101" s="46">
        <v>0</v>
      </c>
      <c r="G101" s="46">
        <v>0</v>
      </c>
      <c r="H101" s="46">
        <v>0</v>
      </c>
      <c r="I101" s="46">
        <v>4.1152263374485596E-4</v>
      </c>
      <c r="J101" s="46">
        <v>4.1148030038061929E-4</v>
      </c>
      <c r="K101" s="46">
        <v>8.294023119589446E-4</v>
      </c>
      <c r="L101" s="46">
        <v>1.2673601943285632E-3</v>
      </c>
      <c r="M101" s="46">
        <v>2.1710811984368217E-3</v>
      </c>
      <c r="N101" s="46">
        <v>4.0581670612106864E-3</v>
      </c>
      <c r="O101" s="46">
        <v>6.6197765825403388E-3</v>
      </c>
      <c r="P101" s="46">
        <v>1.0039530651942023E-2</v>
      </c>
      <c r="Q101" s="46">
        <v>1.5099427030670711E-2</v>
      </c>
      <c r="R101" s="46">
        <v>2.2258017279250256E-2</v>
      </c>
      <c r="S101" s="46">
        <v>3.0982733580764886E-2</v>
      </c>
      <c r="T101" s="46">
        <v>4.2653171877823963E-2</v>
      </c>
      <c r="U101" s="46">
        <v>5.6644433042585943E-2</v>
      </c>
      <c r="V101" s="46">
        <v>7.3750147736674154E-2</v>
      </c>
      <c r="W101" s="46">
        <v>9.2389035759009322E-2</v>
      </c>
      <c r="X101" s="46">
        <v>0</v>
      </c>
      <c r="Y101" s="46">
        <v>0</v>
      </c>
      <c r="Z101" s="46">
        <v>0</v>
      </c>
      <c r="AA101" s="46">
        <v>0</v>
      </c>
      <c r="AB101" s="46">
        <v>0</v>
      </c>
      <c r="AC101" s="46">
        <v>4.1152263374485596E-4</v>
      </c>
      <c r="AD101" s="46">
        <v>4.1148030038061929E-4</v>
      </c>
      <c r="AE101" s="46">
        <v>8.294023119589446E-4</v>
      </c>
      <c r="AF101" s="46">
        <v>1.2673601943285632E-3</v>
      </c>
      <c r="AG101" s="46">
        <v>2.1710811984368217E-3</v>
      </c>
      <c r="AH101" s="46">
        <v>4.0581670612106864E-3</v>
      </c>
      <c r="AI101" s="46">
        <v>6.6197765825403388E-3</v>
      </c>
      <c r="AJ101" s="46">
        <v>1.0039530651942023E-2</v>
      </c>
      <c r="AK101" s="46">
        <v>1.5099427030670711E-2</v>
      </c>
      <c r="AL101" s="46">
        <v>2.2258017279250256E-2</v>
      </c>
      <c r="AM101" s="46">
        <v>3.0982733580764886E-2</v>
      </c>
      <c r="AN101" s="46">
        <v>4.2653171877823963E-2</v>
      </c>
      <c r="AO101" s="46">
        <v>5.6644433042585943E-2</v>
      </c>
      <c r="AP101" s="46">
        <v>7.3750147736674154E-2</v>
      </c>
      <c r="AQ101" s="21">
        <v>9.2389035759009322E-2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4.1152263374485596E-4</v>
      </c>
      <c r="AX101" s="21">
        <v>4.1148030038061929E-4</v>
      </c>
      <c r="AY101" s="21">
        <v>8.294023119589446E-4</v>
      </c>
      <c r="AZ101" s="21">
        <v>1.2673601943285632E-3</v>
      </c>
      <c r="BA101" s="21">
        <v>2.1710811984368217E-3</v>
      </c>
      <c r="BB101" s="21">
        <v>4.0581670612106864E-3</v>
      </c>
      <c r="BC101" s="21">
        <v>6.6197765825403388E-3</v>
      </c>
      <c r="BD101" s="21">
        <v>1.0039530651942023E-2</v>
      </c>
      <c r="BE101" s="21">
        <v>1.5099427030670711E-2</v>
      </c>
      <c r="BF101" s="21">
        <v>2.2258017279250256E-2</v>
      </c>
      <c r="BG101" s="21">
        <v>3.0982733580764886E-2</v>
      </c>
      <c r="BH101" s="21">
        <v>4.2653171877823963E-2</v>
      </c>
      <c r="BI101" s="21">
        <v>5.6644433042585943E-2</v>
      </c>
      <c r="BJ101" s="21">
        <v>7.3750147736674154E-2</v>
      </c>
      <c r="BK101" s="21">
        <v>9.2389035759009322E-2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4.1152263374485596E-4</v>
      </c>
      <c r="BR101" s="21">
        <v>4.1148030038061929E-4</v>
      </c>
      <c r="BS101" s="21">
        <v>8.294023119589446E-4</v>
      </c>
      <c r="BT101" s="21">
        <v>1.2673601943285632E-3</v>
      </c>
      <c r="BU101" s="21">
        <v>2.1710811984368217E-3</v>
      </c>
      <c r="BV101" s="21">
        <v>4.0581670612106864E-3</v>
      </c>
      <c r="BW101" s="21">
        <v>6.6197765825403388E-3</v>
      </c>
      <c r="BX101" s="21">
        <v>1.0039530651942023E-2</v>
      </c>
      <c r="BY101" s="21">
        <v>1.5099427030670711E-2</v>
      </c>
      <c r="BZ101" s="21">
        <v>2.2258017279250256E-2</v>
      </c>
      <c r="CA101" s="21">
        <v>3.0982733580764886E-2</v>
      </c>
      <c r="CB101" s="21">
        <v>4.2653171877823963E-2</v>
      </c>
      <c r="CC101" s="21">
        <v>5.6644433042585943E-2</v>
      </c>
      <c r="CD101" s="21">
        <v>7.3750147736674154E-2</v>
      </c>
      <c r="CE101" s="21">
        <v>9.2389035759009322E-2</v>
      </c>
    </row>
  </sheetData>
  <phoneticPr fontId="7" type="noConversion"/>
  <conditionalFormatting sqref="A2:XFD999">
    <cfRule type="expression" dxfId="2" priority="43">
      <formula>AND(A2&lt;&gt;"",A2=0)</formula>
    </cfRule>
  </conditionalFormatting>
  <conditionalFormatting sqref="C1:C1048576">
    <cfRule type="colorScale" priority="2">
      <colorScale>
        <cfvo type="min"/>
        <cfvo type="max"/>
        <color rgb="FF63BE7B"/>
        <color rgb="FFFFEF9C"/>
      </colorScale>
    </cfRule>
  </conditionalFormatting>
  <conditionalFormatting sqref="D97:CE1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{1DBD8842-A866-4CF8-A059-D1E4EE95D873}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BD8842-A866-4CF8-A059-D1E4EE95D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D97:CE101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E152-D323-4D31-AB99-B670B9FCBDB8}">
  <sheetPr>
    <tabColor rgb="FFFFC9FF"/>
  </sheetPr>
  <dimension ref="A1:Z150"/>
  <sheetViews>
    <sheetView topLeftCell="A100" workbookViewId="0">
      <selection activeCell="E118" sqref="E118"/>
    </sheetView>
  </sheetViews>
  <sheetFormatPr defaultRowHeight="14.25" x14ac:dyDescent="0.2"/>
  <cols>
    <col min="1" max="2" width="9" style="16"/>
    <col min="3" max="3" width="13" style="16" bestFit="1" customWidth="1"/>
    <col min="4" max="16384" width="9" style="16"/>
  </cols>
  <sheetData>
    <row r="1" spans="1:15" x14ac:dyDescent="0.2">
      <c r="A1" s="15" t="s">
        <v>75</v>
      </c>
      <c r="C1" s="15" t="s">
        <v>83</v>
      </c>
      <c r="E1" s="15" t="s">
        <v>87</v>
      </c>
    </row>
    <row r="2" spans="1:15" x14ac:dyDescent="0.2">
      <c r="A2" s="16">
        <v>0.15</v>
      </c>
      <c r="E2" s="16" cm="1">
        <f t="array" ref="E2">SUMPRODUCT(_xlfn.ANCHORARRAY(D5),_xlfn.ANCHORARRAY(E5)*1)</f>
        <v>40062</v>
      </c>
      <c r="L2" s="36" t="s">
        <v>224</v>
      </c>
      <c r="M2" s="36" t="s">
        <v>225</v>
      </c>
      <c r="N2" s="36" t="s">
        <v>226</v>
      </c>
      <c r="O2" s="15" t="s">
        <v>229</v>
      </c>
    </row>
    <row r="3" spans="1:15" x14ac:dyDescent="0.2">
      <c r="I3" s="50" t="s">
        <v>228</v>
      </c>
      <c r="J3" s="50"/>
      <c r="L3" s="37">
        <v>1</v>
      </c>
      <c r="M3" s="37" cm="1">
        <f t="array" ref="M3:M22">(L3:L22-10)*I4+I5</f>
        <v>0.15</v>
      </c>
      <c r="N3" s="37" cm="1">
        <f t="array" ref="N3:N22">(L3:L22-10)*I9+I10</f>
        <v>9.9999999999999978E-2</v>
      </c>
      <c r="O3" s="27" t="str" cm="1">
        <f t="array" ref="O3">_xlfn.LET(_xlpm._rate_arr,_xlfn.ANCHORARRAY($B$5),
_xlpm._odds_arr,INT(_xlfn.NORM.DIST(_xlpm._rate_arr,AVERAGE(_xlpm._rate_arr)*N3,M3,FALSE)*10000),
_xlfn.TEXTJOIN(";",1,_xlfn.MAP(_xlpm._rate_arr,_xlpm._odds_arr,_xlfn.LAMBDA(_xlpm.r,_xlpm.o,IF(_xlpm.o&lt;&gt;0,ROUND(_xlpm.r*1000,0)&amp;"~"&amp;_xlpm.o,"")))))</f>
        <v>500~25158;750~3599;1000~32</v>
      </c>
    </row>
    <row r="4" spans="1:15" x14ac:dyDescent="0.2">
      <c r="B4" s="15" t="s">
        <v>85</v>
      </c>
      <c r="C4" s="15" t="s">
        <v>57</v>
      </c>
      <c r="D4" s="15" t="s">
        <v>58</v>
      </c>
      <c r="E4" s="15" t="s">
        <v>86</v>
      </c>
      <c r="F4" s="15" t="s">
        <v>57</v>
      </c>
      <c r="I4" s="49">
        <v>0</v>
      </c>
      <c r="J4" s="49"/>
      <c r="L4" s="37">
        <v>2</v>
      </c>
      <c r="M4" s="37">
        <v>0.15</v>
      </c>
      <c r="N4" s="37">
        <v>0.19999999999999996</v>
      </c>
      <c r="O4" s="27" t="str" cm="1">
        <f t="array" ref="O4">_xlfn.LET(_xlpm._rate_arr,_xlfn.ANCHORARRAY($B$5),
_xlpm._odds_arr,INT(_xlfn.NORM.DIST(_xlpm._rate_arr,AVERAGE(_xlpm._rate_arr)*N4,M4,FALSE)*10000),
_xlfn.TEXTJOIN(";",1,_xlfn.MAP(_xlpm._rate_arr,_xlpm._odds_arr,_xlfn.LAMBDA(_xlpm.r,_xlpm.o,IF(_xlpm.o&lt;&gt;0,ROUND(_xlpm.r*1000,0)&amp;"~"&amp;_xlpm.o,"")))))</f>
        <v>500~759;750~16131;1000~21296;1250~1748;1500~8</v>
      </c>
    </row>
    <row r="5" spans="1:15" x14ac:dyDescent="0.2">
      <c r="B5" s="16" cm="1">
        <f t="array" ref="B5:B37">_xlfn.SEQUENCE(33,,0.5,0.25)</f>
        <v>0.5</v>
      </c>
      <c r="C5" s="16" cm="1">
        <f t="array" ref="C5:C37">_xlfn.LET(_xlpm._rate_list,_xlfn.ANCHORARRAY(B5),_xlfn.NORM.DIST(_xlpm._rate_list,AVERAGE(_xlpm._rate_list),$A2,FALSE))</f>
        <v>1.0209465806621788E-154</v>
      </c>
      <c r="D5" s="16" cm="1">
        <f t="array" ref="D5:D37">INT(_xlfn.ANCHORARRAY(C5)*10000)</f>
        <v>0</v>
      </c>
      <c r="E5" s="17" t="b" cm="1">
        <f t="array" ref="E5:E37">_xlfn.ANCHORARRAY(C5)&gt;-1</f>
        <v>1</v>
      </c>
      <c r="F5" s="21">
        <f t="shared" ref="F5:F31" si="0">D5/$E$2*E5</f>
        <v>0</v>
      </c>
      <c r="I5" s="49">
        <v>0.15</v>
      </c>
      <c r="J5" s="49"/>
      <c r="L5" s="37">
        <v>3</v>
      </c>
      <c r="M5" s="37">
        <v>0.15</v>
      </c>
      <c r="N5" s="37">
        <v>0.29999999999999993</v>
      </c>
      <c r="O5" s="27" t="str" cm="1">
        <f t="array" ref="O5">_xlfn.LET(_xlpm._rate_arr,_xlfn.ANCHORARRAY($B$5),
_xlpm._odds_arr,INT(_xlfn.NORM.DIST(_xlpm._rate_arr,AVERAGE(_xlpm._rate_arr)*N5,M5,FALSE)*10000),
_xlfn.TEXTJOIN(";",1,_xlfn.MAP(_xlpm._rate_arr,_xlpm._odds_arr,_xlfn.LAMBDA(_xlpm.r,_xlpm.o,IF(_xlpm.o&lt;&gt;0,ROUND(_xlpm.r*1000,0)&amp;"~"&amp;_xlpm.o,"")))))</f>
        <v>750~8;1000~1748;1250~21296;1500~16131;1750~759;2000~2</v>
      </c>
    </row>
    <row r="6" spans="1:15" x14ac:dyDescent="0.2">
      <c r="B6" s="16">
        <v>0.75</v>
      </c>
      <c r="C6" s="16">
        <v>5.1026198242795956E-136</v>
      </c>
      <c r="D6" s="16">
        <v>0</v>
      </c>
      <c r="E6" s="17" t="b">
        <v>1</v>
      </c>
      <c r="F6" s="21">
        <f t="shared" si="0"/>
        <v>0</v>
      </c>
      <c r="L6" s="37">
        <v>4</v>
      </c>
      <c r="M6" s="37">
        <v>0.15</v>
      </c>
      <c r="N6" s="37">
        <v>0.39999999999999991</v>
      </c>
      <c r="O6" s="27" t="str" cm="1">
        <f t="array" ref="O6">_xlfn.LET(_xlpm._rate_arr,_xlfn.ANCHORARRAY($B$5),
_xlpm._odds_arr,INT(_xlfn.NORM.DIST(_xlpm._rate_arr,AVERAGE(_xlpm._rate_arr)*N6,M6,FALSE)*10000),
_xlfn.TEXTJOIN(";",1,_xlfn.MAP(_xlpm._rate_arr,_xlpm._odds_arr,_xlfn.LAMBDA(_xlpm.r,_xlpm.o,IF(_xlpm.o&lt;&gt;0,ROUND(_xlpm.r*1000,0)&amp;"~"&amp;_xlpm.o,"")))))</f>
        <v>1250~32;1500~3599;1750~25158;2000~10934;2250~295</v>
      </c>
    </row>
    <row r="7" spans="1:15" x14ac:dyDescent="0.2">
      <c r="B7" s="16">
        <v>1</v>
      </c>
      <c r="C7" s="16">
        <v>1.5856591727829236E-118</v>
      </c>
      <c r="D7" s="16">
        <v>0</v>
      </c>
      <c r="E7" s="17" t="b">
        <v>1</v>
      </c>
      <c r="F7" s="21">
        <f t="shared" si="0"/>
        <v>0</v>
      </c>
      <c r="L7" s="37">
        <v>5</v>
      </c>
      <c r="M7" s="37">
        <v>0.15</v>
      </c>
      <c r="N7" s="37">
        <v>0.5</v>
      </c>
      <c r="O7" s="27" t="str" cm="1">
        <f t="array" ref="O7">_xlfn.LET(_xlpm._rate_arr,_xlfn.ANCHORARRAY($B$5),
_xlpm._odds_arr,INT(_xlfn.NORM.DIST(_xlpm._rate_arr,AVERAGE(_xlpm._rate_arr)*N7,M7,FALSE)*10000),
_xlfn.TEXTJOIN(";",1,_xlfn.MAP(_xlpm._rate_arr,_xlpm._odds_arr,_xlfn.LAMBDA(_xlpm.r,_xlpm.o,IF(_xlpm.o&lt;&gt;0,ROUND(_xlpm.r*1000,0)&amp;"~"&amp;_xlpm.o,"")))))</f>
        <v>1750~102;2000~6631;2250~26596;2500~6631;2750~102</v>
      </c>
    </row>
    <row r="8" spans="1:15" x14ac:dyDescent="0.2">
      <c r="B8" s="16">
        <v>1.25</v>
      </c>
      <c r="C8" s="16">
        <v>3.0637471169863387E-102</v>
      </c>
      <c r="D8" s="16">
        <v>0</v>
      </c>
      <c r="E8" s="17" t="b">
        <v>1</v>
      </c>
      <c r="F8" s="21">
        <f t="shared" si="0"/>
        <v>0</v>
      </c>
      <c r="I8" s="50" t="s">
        <v>227</v>
      </c>
      <c r="J8" s="50"/>
      <c r="L8" s="37">
        <v>6</v>
      </c>
      <c r="M8" s="37">
        <v>0.15</v>
      </c>
      <c r="N8" s="37">
        <v>0.6</v>
      </c>
      <c r="O8" s="27" t="str" cm="1">
        <f t="array" ref="O8">_xlfn.LET(_xlpm._rate_arr,_xlfn.ANCHORARRAY($B$5),
_xlpm._odds_arr,INT(_xlfn.NORM.DIST(_xlpm._rate_arr,AVERAGE(_xlpm._rate_arr)*N8,M8,FALSE)*10000),
_xlfn.TEXTJOIN(";",1,_xlfn.MAP(_xlpm._rate_arr,_xlpm._odds_arr,_xlfn.LAMBDA(_xlpm.r,_xlpm.o,IF(_xlpm.o&lt;&gt;0,ROUND(_xlpm.r*1000,0)&amp;"~"&amp;_xlpm.o,"")))))</f>
        <v>2250~295;2500~10934;2750~25158;3000~3599;3250~32</v>
      </c>
    </row>
    <row r="9" spans="1:15" x14ac:dyDescent="0.2">
      <c r="B9" s="16">
        <v>1.5</v>
      </c>
      <c r="C9" s="16">
        <v>3.6806322414398427E-87</v>
      </c>
      <c r="D9" s="16">
        <v>0</v>
      </c>
      <c r="E9" s="17" t="b">
        <v>1</v>
      </c>
      <c r="F9" s="21">
        <f t="shared" si="0"/>
        <v>0</v>
      </c>
      <c r="I9" s="49">
        <v>0.1</v>
      </c>
      <c r="J9" s="49"/>
      <c r="L9" s="37">
        <v>7</v>
      </c>
      <c r="M9" s="37">
        <v>0.15</v>
      </c>
      <c r="N9" s="37">
        <v>0.7</v>
      </c>
      <c r="O9" s="27" t="str" cm="1">
        <f t="array" ref="O9">_xlfn.LET(_xlpm._rate_arr,_xlfn.ANCHORARRAY($B$5),
_xlpm._odds_arr,INT(_xlfn.NORM.DIST(_xlpm._rate_arr,AVERAGE(_xlpm._rate_arr)*N9,M9,FALSE)*10000),
_xlfn.TEXTJOIN(";",1,_xlfn.MAP(_xlpm._rate_arr,_xlpm._odds_arr,_xlfn.LAMBDA(_xlpm.r,_xlpm.o,IF(_xlpm.o&lt;&gt;0,ROUND(_xlpm.r*1000,0)&amp;"~"&amp;_xlpm.o,"")))))</f>
        <v>2500~2;2750~759;3000~16131;3250~21296;3500~1748;3750~8</v>
      </c>
    </row>
    <row r="10" spans="1:15" x14ac:dyDescent="0.2">
      <c r="B10" s="16">
        <v>1.75</v>
      </c>
      <c r="C10" s="16">
        <v>2.7492762210475313E-73</v>
      </c>
      <c r="D10" s="16">
        <v>0</v>
      </c>
      <c r="E10" s="17" t="b">
        <v>1</v>
      </c>
      <c r="F10" s="21">
        <f t="shared" si="0"/>
        <v>0</v>
      </c>
      <c r="I10" s="49">
        <v>1</v>
      </c>
      <c r="J10" s="49"/>
      <c r="L10" s="37">
        <v>8</v>
      </c>
      <c r="M10" s="37">
        <v>0.15</v>
      </c>
      <c r="N10" s="37">
        <v>0.8</v>
      </c>
      <c r="O10" s="27" t="str" cm="1">
        <f t="array" ref="O10">_xlfn.LET(_xlpm._rate_arr,_xlfn.ANCHORARRAY($B$5),
_xlpm._odds_arr,INT(_xlfn.NORM.DIST(_xlpm._rate_arr,AVERAGE(_xlpm._rate_arr)*N10,M10,FALSE)*10000),
_xlfn.TEXTJOIN(";",1,_xlfn.MAP(_xlpm._rate_arr,_xlpm._odds_arr,_xlfn.LAMBDA(_xlpm.r,_xlpm.o,IF(_xlpm.o&lt;&gt;0,ROUND(_xlpm.r*1000,0)&amp;"~"&amp;_xlpm.o,"")))))</f>
        <v>3000~8;3250~1748;3500~21296;3750~16131;4000~759;4250~2</v>
      </c>
    </row>
    <row r="11" spans="1:15" x14ac:dyDescent="0.2">
      <c r="B11" s="16">
        <v>2</v>
      </c>
      <c r="C11" s="16">
        <v>1.2768525985039578E-60</v>
      </c>
      <c r="D11" s="16">
        <v>0</v>
      </c>
      <c r="E11" s="17" t="b">
        <v>1</v>
      </c>
      <c r="F11" s="21">
        <f t="shared" si="0"/>
        <v>0</v>
      </c>
      <c r="L11" s="37">
        <v>9</v>
      </c>
      <c r="M11" s="37">
        <v>0.15</v>
      </c>
      <c r="N11" s="37">
        <v>0.9</v>
      </c>
      <c r="O11" s="27" t="str" cm="1">
        <f t="array" ref="O11">_xlfn.LET(_xlpm._rate_arr,_xlfn.ANCHORARRAY($B$5),
_xlpm._odds_arr,INT(_xlfn.NORM.DIST(_xlpm._rate_arr,AVERAGE(_xlpm._rate_arr)*N11,M11,FALSE)*10000),
_xlfn.TEXTJOIN(";",1,_xlfn.MAP(_xlpm._rate_arr,_xlpm._odds_arr,_xlfn.LAMBDA(_xlpm.r,_xlpm.o,IF(_xlpm.o&lt;&gt;0,ROUND(_xlpm.r*1000,0)&amp;"~"&amp;_xlpm.o,"")))))</f>
        <v>3500~32;3750~3599;4000~25158;4250~10934;4500~295</v>
      </c>
    </row>
    <row r="12" spans="1:15" x14ac:dyDescent="0.2">
      <c r="B12" s="16">
        <v>2.25</v>
      </c>
      <c r="C12" s="16">
        <v>3.6871396998962776E-49</v>
      </c>
      <c r="D12" s="16">
        <v>0</v>
      </c>
      <c r="E12" s="17" t="b">
        <v>1</v>
      </c>
      <c r="F12" s="21">
        <f t="shared" si="0"/>
        <v>0</v>
      </c>
      <c r="L12" s="37">
        <v>10</v>
      </c>
      <c r="M12" s="37">
        <v>0.15</v>
      </c>
      <c r="N12" s="37">
        <v>1</v>
      </c>
      <c r="O12" s="27" t="str" cm="1">
        <f t="array" ref="O12">_xlfn.LET(_xlpm._rate_arr,_xlfn.ANCHORARRAY($B$5),
_xlpm._odds_arr,INT(_xlfn.NORM.DIST(_xlpm._rate_arr,AVERAGE(_xlpm._rate_arr)*N12,M12,FALSE)*10000),
_xlfn.TEXTJOIN(";",1,_xlfn.MAP(_xlpm._rate_arr,_xlpm._odds_arr,_xlfn.LAMBDA(_xlpm.r,_xlpm.o,IF(_xlpm.o&lt;&gt;0,ROUND(_xlpm.r*1000,0)&amp;"~"&amp;_xlpm.o,"")))))</f>
        <v>4000~102;4250~6631;4500~26596;4750~6631;5000~102</v>
      </c>
    </row>
    <row r="13" spans="1:15" x14ac:dyDescent="0.2">
      <c r="B13" s="16">
        <v>2.5</v>
      </c>
      <c r="C13" s="16">
        <v>6.6201047266543347E-39</v>
      </c>
      <c r="D13" s="16">
        <v>0</v>
      </c>
      <c r="E13" s="17" t="b">
        <v>1</v>
      </c>
      <c r="F13" s="21">
        <f t="shared" si="0"/>
        <v>0</v>
      </c>
      <c r="L13" s="37">
        <v>11</v>
      </c>
      <c r="M13" s="37">
        <v>0.15</v>
      </c>
      <c r="N13" s="37">
        <v>1.1000000000000001</v>
      </c>
      <c r="O13" s="27" t="str" cm="1">
        <f t="array" ref="O13">_xlfn.LET(_xlpm._rate_arr,_xlfn.ANCHORARRAY($B$5),
_xlpm._odds_arr,INT(_xlfn.NORM.DIST(_xlpm._rate_arr,AVERAGE(_xlpm._rate_arr)*N13,M13,FALSE)*10000),
_xlfn.TEXTJOIN(";",1,_xlfn.MAP(_xlpm._rate_arr,_xlpm._odds_arr,_xlfn.LAMBDA(_xlpm.r,_xlpm.o,IF(_xlpm.o&lt;&gt;0,ROUND(_xlpm.r*1000,0)&amp;"~"&amp;_xlpm.o,"")))))</f>
        <v>4500~295;4750~10934;5000~25158;5250~3599;5500~32</v>
      </c>
    </row>
    <row r="14" spans="1:15" x14ac:dyDescent="0.2">
      <c r="B14" s="16">
        <v>2.75</v>
      </c>
      <c r="C14" s="16">
        <v>7.3903765373855659E-30</v>
      </c>
      <c r="D14" s="16">
        <v>0</v>
      </c>
      <c r="E14" s="17" t="b">
        <v>1</v>
      </c>
      <c r="F14" s="21">
        <f t="shared" si="0"/>
        <v>0</v>
      </c>
      <c r="L14" s="37">
        <v>12</v>
      </c>
      <c r="M14" s="37">
        <v>0.15</v>
      </c>
      <c r="N14" s="37">
        <v>1.2</v>
      </c>
      <c r="O14" s="27" t="str" cm="1">
        <f t="array" ref="O14">_xlfn.LET(_xlpm._rate_arr,_xlfn.ANCHORARRAY($B$5),
_xlpm._odds_arr,INT(_xlfn.NORM.DIST(_xlpm._rate_arr,AVERAGE(_xlpm._rate_arr)*N14,M14,FALSE)*10000),
_xlfn.TEXTJOIN(";",1,_xlfn.MAP(_xlpm._rate_arr,_xlpm._odds_arr,_xlfn.LAMBDA(_xlpm.r,_xlpm.o,IF(_xlpm.o&lt;&gt;0,ROUND(_xlpm.r*1000,0)&amp;"~"&amp;_xlpm.o,"")))))</f>
        <v>4750~2;5000~759;5250~16131;5500~21296;5750~1748;6000~8</v>
      </c>
    </row>
    <row r="15" spans="1:15" x14ac:dyDescent="0.2">
      <c r="B15" s="16">
        <v>3</v>
      </c>
      <c r="C15" s="16">
        <v>5.12973241780428E-22</v>
      </c>
      <c r="D15" s="16">
        <v>0</v>
      </c>
      <c r="E15" s="17" t="b">
        <v>1</v>
      </c>
      <c r="F15" s="21">
        <f t="shared" si="0"/>
        <v>0</v>
      </c>
      <c r="L15" s="37">
        <v>13</v>
      </c>
      <c r="M15" s="37">
        <v>0.15</v>
      </c>
      <c r="N15" s="37">
        <v>1.3</v>
      </c>
      <c r="O15" s="27" t="str" cm="1">
        <f t="array" ref="O15">_xlfn.LET(_xlpm._rate_arr,_xlfn.ANCHORARRAY($B$5),
_xlpm._odds_arr,INT(_xlfn.NORM.DIST(_xlpm._rate_arr,AVERAGE(_xlpm._rate_arr)*N15,M15,FALSE)*10000),
_xlfn.TEXTJOIN(";",1,_xlfn.MAP(_xlpm._rate_arr,_xlpm._odds_arr,_xlfn.LAMBDA(_xlpm.r,_xlpm.o,IF(_xlpm.o&lt;&gt;0,ROUND(_xlpm.r*1000,0)&amp;"~"&amp;_xlpm.o,"")))))</f>
        <v>5250~8;5500~1748;5750~21296;6000~16131;6250~759;6500~2</v>
      </c>
    </row>
    <row r="16" spans="1:15" x14ac:dyDescent="0.2">
      <c r="B16" s="16">
        <v>3.25</v>
      </c>
      <c r="C16" s="16">
        <v>2.21385562995148E-15</v>
      </c>
      <c r="D16" s="16">
        <v>0</v>
      </c>
      <c r="E16" s="17" t="b">
        <v>1</v>
      </c>
      <c r="F16" s="21">
        <f t="shared" si="0"/>
        <v>0</v>
      </c>
      <c r="L16" s="37">
        <v>14</v>
      </c>
      <c r="M16" s="37">
        <v>0.15</v>
      </c>
      <c r="N16" s="37">
        <v>1.4</v>
      </c>
      <c r="O16" s="27" t="str" cm="1">
        <f t="array" ref="O16">_xlfn.LET(_xlpm._rate_arr,_xlfn.ANCHORARRAY($B$5),
_xlpm._odds_arr,INT(_xlfn.NORM.DIST(_xlpm._rate_arr,AVERAGE(_xlpm._rate_arr)*N16,M16,FALSE)*10000),
_xlfn.TEXTJOIN(";",1,_xlfn.MAP(_xlpm._rate_arr,_xlpm._odds_arr,_xlfn.LAMBDA(_xlpm.r,_xlpm.o,IF(_xlpm.o&lt;&gt;0,ROUND(_xlpm.r*1000,0)&amp;"~"&amp;_xlpm.o,"")))))</f>
        <v>5750~32;6000~3599;6250~25158;6500~10934;6750~295</v>
      </c>
    </row>
    <row r="17" spans="2:15" x14ac:dyDescent="0.2">
      <c r="B17" s="16">
        <v>3.5</v>
      </c>
      <c r="C17" s="16">
        <v>5.9406001249014344E-10</v>
      </c>
      <c r="D17" s="16">
        <v>0</v>
      </c>
      <c r="E17" s="17" t="b">
        <v>1</v>
      </c>
      <c r="F17" s="21">
        <f t="shared" si="0"/>
        <v>0</v>
      </c>
      <c r="L17" s="37">
        <v>15</v>
      </c>
      <c r="M17" s="37">
        <v>0.15</v>
      </c>
      <c r="N17" s="37">
        <v>1.5</v>
      </c>
      <c r="O17" s="27" t="str" cm="1">
        <f t="array" ref="O17">_xlfn.LET(_xlpm._rate_arr,_xlfn.ANCHORARRAY($B$5),
_xlpm._odds_arr,INT(_xlfn.NORM.DIST(_xlpm._rate_arr,AVERAGE(_xlpm._rate_arr)*N17,M17,FALSE)*10000),
_xlfn.TEXTJOIN(";",1,_xlfn.MAP(_xlpm._rate_arr,_xlpm._odds_arr,_xlfn.LAMBDA(_xlpm.r,_xlpm.o,IF(_xlpm.o&lt;&gt;0,ROUND(_xlpm.r*1000,0)&amp;"~"&amp;_xlpm.o,"")))))</f>
        <v>6250~102;6500~6631;6750~26596;7000~6631;7250~102</v>
      </c>
    </row>
    <row r="18" spans="2:15" x14ac:dyDescent="0.2">
      <c r="B18" s="16">
        <v>3.75</v>
      </c>
      <c r="C18" s="16">
        <v>9.9114634315619859E-6</v>
      </c>
      <c r="D18" s="16">
        <v>0</v>
      </c>
      <c r="E18" s="17" t="b">
        <v>1</v>
      </c>
      <c r="F18" s="21">
        <f t="shared" si="0"/>
        <v>0</v>
      </c>
      <c r="L18" s="37">
        <v>16</v>
      </c>
      <c r="M18" s="37">
        <v>0.15</v>
      </c>
      <c r="N18" s="37">
        <v>1.6</v>
      </c>
      <c r="O18" s="27" t="str" cm="1">
        <f t="array" ref="O18">_xlfn.LET(_xlpm._rate_arr,_xlfn.ANCHORARRAY($B$5),
_xlpm._odds_arr,INT(_xlfn.NORM.DIST(_xlpm._rate_arr,AVERAGE(_xlpm._rate_arr)*N18,M18,FALSE)*10000),
_xlfn.TEXTJOIN(";",1,_xlfn.MAP(_xlpm._rate_arr,_xlpm._odds_arr,_xlfn.LAMBDA(_xlpm.r,_xlpm.o,IF(_xlpm.o&lt;&gt;0,ROUND(_xlpm.r*1000,0)&amp;"~"&amp;_xlpm.o,"")))))</f>
        <v>6750~295;7000~10934;7250~25158;7500~3599;7750~32</v>
      </c>
    </row>
    <row r="19" spans="2:15" x14ac:dyDescent="0.2">
      <c r="B19" s="16">
        <v>4</v>
      </c>
      <c r="C19" s="16">
        <v>1.0281859975274036E-2</v>
      </c>
      <c r="D19" s="16">
        <v>102</v>
      </c>
      <c r="E19" s="17" t="b">
        <v>1</v>
      </c>
      <c r="F19" s="21">
        <f t="shared" si="0"/>
        <v>2.5460536168938146E-3</v>
      </c>
      <c r="L19" s="37">
        <v>17</v>
      </c>
      <c r="M19" s="37">
        <v>0.15</v>
      </c>
      <c r="N19" s="37">
        <v>1.7000000000000002</v>
      </c>
      <c r="O19" s="27" t="str" cm="1">
        <f t="array" ref="O19">_xlfn.LET(_xlpm._rate_arr,_xlfn.ANCHORARRAY($B$5),
_xlpm._odds_arr,INT(_xlfn.NORM.DIST(_xlpm._rate_arr,AVERAGE(_xlpm._rate_arr)*N19,M19,FALSE)*10000),
_xlfn.TEXTJOIN(";",1,_xlfn.MAP(_xlpm._rate_arr,_xlpm._odds_arr,_xlfn.LAMBDA(_xlpm.r,_xlpm.o,IF(_xlpm.o&lt;&gt;0,ROUND(_xlpm.r*1000,0)&amp;"~"&amp;_xlpm.o,"")))))</f>
        <v>7000~2;7250~759;7500~16131;7750~21296;8000~1748;8250~8</v>
      </c>
    </row>
    <row r="20" spans="2:15" x14ac:dyDescent="0.2">
      <c r="B20" s="16">
        <v>4.25</v>
      </c>
      <c r="C20" s="16">
        <v>0.66318092528499117</v>
      </c>
      <c r="D20" s="16">
        <v>6631</v>
      </c>
      <c r="E20" s="17" t="b">
        <v>1</v>
      </c>
      <c r="F20" s="21">
        <f t="shared" si="0"/>
        <v>0.16551844640806748</v>
      </c>
      <c r="L20" s="37">
        <v>18</v>
      </c>
      <c r="M20" s="37">
        <v>0.15</v>
      </c>
      <c r="N20" s="37">
        <v>1.8</v>
      </c>
      <c r="O20" s="27" t="str" cm="1">
        <f t="array" ref="O20">_xlfn.LET(_xlpm._rate_arr,_xlfn.ANCHORARRAY($B$5),
_xlpm._odds_arr,INT(_xlfn.NORM.DIST(_xlpm._rate_arr,AVERAGE(_xlpm._rate_arr)*N20,M20,FALSE)*10000),
_xlfn.TEXTJOIN(";",1,_xlfn.MAP(_xlpm._rate_arr,_xlpm._odds_arr,_xlfn.LAMBDA(_xlpm.r,_xlpm.o,IF(_xlpm.o&lt;&gt;0,ROUND(_xlpm.r*1000,0)&amp;"~"&amp;_xlpm.o,"")))))</f>
        <v>7500~8;7750~1748;8000~21296;8250~16131;8500~759</v>
      </c>
    </row>
    <row r="21" spans="2:15" x14ac:dyDescent="0.2">
      <c r="B21" s="16">
        <v>4.5</v>
      </c>
      <c r="C21" s="16">
        <v>2.6596152026762181</v>
      </c>
      <c r="D21" s="16">
        <v>26596</v>
      </c>
      <c r="E21" s="17" t="b">
        <v>1</v>
      </c>
      <c r="F21" s="21">
        <f t="shared" si="0"/>
        <v>0.66387099995007737</v>
      </c>
      <c r="L21" s="37">
        <v>19</v>
      </c>
      <c r="M21" s="37">
        <v>0.15</v>
      </c>
      <c r="N21" s="37">
        <v>1.9</v>
      </c>
      <c r="O21" s="27" t="str" cm="1">
        <f t="array" ref="O21">_xlfn.LET(_xlpm._rate_arr,_xlfn.ANCHORARRAY($B$5),
_xlpm._odds_arr,INT(_xlfn.NORM.DIST(_xlpm._rate_arr,AVERAGE(_xlpm._rate_arr)*N21,M21,FALSE)*10000),
_xlfn.TEXTJOIN(";",1,_xlfn.MAP(_xlpm._rate_arr,_xlpm._odds_arr,_xlfn.LAMBDA(_xlpm.r,_xlpm.o,IF(_xlpm.o&lt;&gt;0,ROUND(_xlpm.r*1000,0)&amp;"~"&amp;_xlpm.o,"")))))</f>
        <v>8000~32;8250~3599;8500~25158</v>
      </c>
    </row>
    <row r="22" spans="2:15" x14ac:dyDescent="0.2">
      <c r="B22" s="16">
        <v>4.75</v>
      </c>
      <c r="C22" s="16">
        <v>0.66318092528499117</v>
      </c>
      <c r="D22" s="16">
        <v>6631</v>
      </c>
      <c r="E22" s="17" t="b">
        <v>1</v>
      </c>
      <c r="F22" s="21">
        <f t="shared" si="0"/>
        <v>0.16551844640806748</v>
      </c>
      <c r="L22" s="38">
        <v>20</v>
      </c>
      <c r="M22" s="38">
        <v>0.15</v>
      </c>
      <c r="N22" s="38">
        <v>2</v>
      </c>
      <c r="O22" s="27" t="str" cm="1">
        <f t="array" ref="O22">_xlfn.LET(_xlpm._rate_arr,_xlfn.ANCHORARRAY($B$5),
_xlpm._odds_arr,INT(_xlfn.NORM.DIST(_xlpm._rate_arr,AVERAGE(_xlpm._rate_arr)*N22,M22,FALSE)*10000),
_xlfn.TEXTJOIN(";",1,_xlfn.MAP(_xlpm._rate_arr,_xlpm._odds_arr,_xlfn.LAMBDA(_xlpm.r,_xlpm.o,IF(_xlpm.o&lt;&gt;0,ROUND(_xlpm.r*1000,0)&amp;"~"&amp;_xlpm.o,"")))))</f>
        <v>8500~102</v>
      </c>
    </row>
    <row r="23" spans="2:15" x14ac:dyDescent="0.2">
      <c r="B23" s="16">
        <v>5</v>
      </c>
      <c r="C23" s="16">
        <v>1.0281859975274036E-2</v>
      </c>
      <c r="D23" s="16">
        <v>102</v>
      </c>
      <c r="E23" s="17" t="b">
        <v>1</v>
      </c>
      <c r="F23" s="21">
        <f t="shared" si="0"/>
        <v>2.5460536168938146E-3</v>
      </c>
    </row>
    <row r="24" spans="2:15" x14ac:dyDescent="0.2">
      <c r="B24" s="16">
        <v>5.25</v>
      </c>
      <c r="C24" s="16">
        <v>9.9114634315619859E-6</v>
      </c>
      <c r="D24" s="16">
        <v>0</v>
      </c>
      <c r="E24" s="17" t="b">
        <v>1</v>
      </c>
      <c r="F24" s="21">
        <f t="shared" si="0"/>
        <v>0</v>
      </c>
    </row>
    <row r="25" spans="2:15" x14ac:dyDescent="0.2">
      <c r="B25" s="16">
        <v>5.5</v>
      </c>
      <c r="C25" s="16">
        <v>5.9406001249014344E-10</v>
      </c>
      <c r="D25" s="16">
        <v>0</v>
      </c>
      <c r="E25" s="17" t="b">
        <v>1</v>
      </c>
      <c r="F25" s="21">
        <f t="shared" si="0"/>
        <v>0</v>
      </c>
    </row>
    <row r="26" spans="2:15" x14ac:dyDescent="0.2">
      <c r="B26" s="16">
        <v>5.75</v>
      </c>
      <c r="C26" s="16">
        <v>2.21385562995148E-15</v>
      </c>
      <c r="D26" s="16">
        <v>0</v>
      </c>
      <c r="E26" s="17" t="b">
        <v>1</v>
      </c>
      <c r="F26" s="21">
        <f t="shared" si="0"/>
        <v>0</v>
      </c>
    </row>
    <row r="27" spans="2:15" x14ac:dyDescent="0.2">
      <c r="B27" s="16">
        <v>6</v>
      </c>
      <c r="C27" s="16">
        <v>5.12973241780428E-22</v>
      </c>
      <c r="D27" s="16">
        <v>0</v>
      </c>
      <c r="E27" s="17" t="b">
        <v>1</v>
      </c>
      <c r="F27" s="21">
        <f t="shared" si="0"/>
        <v>0</v>
      </c>
    </row>
    <row r="28" spans="2:15" x14ac:dyDescent="0.2">
      <c r="B28" s="16">
        <v>6.25</v>
      </c>
      <c r="C28" s="16">
        <v>7.3903765373855659E-30</v>
      </c>
      <c r="D28" s="16">
        <v>0</v>
      </c>
      <c r="E28" s="17" t="b">
        <v>1</v>
      </c>
      <c r="F28" s="21">
        <f t="shared" si="0"/>
        <v>0</v>
      </c>
    </row>
    <row r="29" spans="2:15" x14ac:dyDescent="0.2">
      <c r="B29" s="16">
        <v>6.5</v>
      </c>
      <c r="C29" s="16">
        <v>6.6201047266543347E-39</v>
      </c>
      <c r="D29" s="16">
        <v>0</v>
      </c>
      <c r="E29" s="17" t="b">
        <v>1</v>
      </c>
      <c r="F29" s="21">
        <f t="shared" si="0"/>
        <v>0</v>
      </c>
    </row>
    <row r="30" spans="2:15" x14ac:dyDescent="0.2">
      <c r="B30" s="16">
        <v>6.75</v>
      </c>
      <c r="C30" s="16">
        <v>3.6871396998962776E-49</v>
      </c>
      <c r="D30" s="16">
        <v>0</v>
      </c>
      <c r="E30" s="17" t="b">
        <v>1</v>
      </c>
      <c r="F30" s="21">
        <f t="shared" si="0"/>
        <v>0</v>
      </c>
    </row>
    <row r="31" spans="2:15" x14ac:dyDescent="0.2">
      <c r="B31" s="16">
        <v>7</v>
      </c>
      <c r="C31" s="16">
        <v>1.2768525985039578E-60</v>
      </c>
      <c r="D31" s="16">
        <v>0</v>
      </c>
      <c r="E31" s="17" t="b">
        <v>1</v>
      </c>
      <c r="F31" s="21">
        <f t="shared" si="0"/>
        <v>0</v>
      </c>
    </row>
    <row r="32" spans="2:15" x14ac:dyDescent="0.2">
      <c r="B32" s="16">
        <v>7.25</v>
      </c>
      <c r="C32" s="16">
        <v>2.7492762210475313E-73</v>
      </c>
      <c r="D32" s="16">
        <v>0</v>
      </c>
      <c r="E32" s="17" t="b">
        <v>1</v>
      </c>
      <c r="F32" s="21">
        <f t="shared" ref="F32:F37" si="1">D32/$E$2*E32</f>
        <v>0</v>
      </c>
    </row>
    <row r="33" spans="1:15" x14ac:dyDescent="0.2">
      <c r="B33" s="16">
        <v>7.5</v>
      </c>
      <c r="C33" s="16">
        <v>3.6806322414398427E-87</v>
      </c>
      <c r="D33" s="16">
        <v>0</v>
      </c>
      <c r="E33" s="17" t="b">
        <v>1</v>
      </c>
      <c r="F33" s="21">
        <f t="shared" si="1"/>
        <v>0</v>
      </c>
    </row>
    <row r="34" spans="1:15" x14ac:dyDescent="0.2">
      <c r="B34" s="16">
        <v>7.75</v>
      </c>
      <c r="C34" s="16">
        <v>3.0637471169863387E-102</v>
      </c>
      <c r="D34" s="16">
        <v>0</v>
      </c>
      <c r="E34" s="17" t="b">
        <v>1</v>
      </c>
      <c r="F34" s="21">
        <f t="shared" si="1"/>
        <v>0</v>
      </c>
    </row>
    <row r="35" spans="1:15" x14ac:dyDescent="0.2">
      <c r="B35" s="16">
        <v>8</v>
      </c>
      <c r="C35" s="16">
        <v>1.5856591727829236E-118</v>
      </c>
      <c r="D35" s="16">
        <v>0</v>
      </c>
      <c r="E35" s="17" t="b">
        <v>1</v>
      </c>
      <c r="F35" s="21">
        <f t="shared" si="1"/>
        <v>0</v>
      </c>
    </row>
    <row r="36" spans="1:15" x14ac:dyDescent="0.2">
      <c r="B36" s="16">
        <v>8.25</v>
      </c>
      <c r="C36" s="16">
        <v>5.1026198242795956E-136</v>
      </c>
      <c r="D36" s="16">
        <v>0</v>
      </c>
      <c r="E36" s="17" t="b">
        <v>1</v>
      </c>
      <c r="F36" s="21">
        <f t="shared" si="1"/>
        <v>0</v>
      </c>
    </row>
    <row r="37" spans="1:15" x14ac:dyDescent="0.2">
      <c r="B37" s="16">
        <v>8.5</v>
      </c>
      <c r="C37" s="16">
        <v>1.0209465806621788E-154</v>
      </c>
      <c r="D37" s="16">
        <v>0</v>
      </c>
      <c r="E37" s="17" t="b">
        <v>1</v>
      </c>
      <c r="F37" s="21">
        <f t="shared" si="1"/>
        <v>0</v>
      </c>
    </row>
    <row r="40" spans="1:15" s="20" customFormat="1" x14ac:dyDescent="0.2"/>
    <row r="41" spans="1:15" x14ac:dyDescent="0.2">
      <c r="A41" s="17"/>
    </row>
    <row r="42" spans="1:15" x14ac:dyDescent="0.2">
      <c r="A42" s="15" t="s">
        <v>75</v>
      </c>
      <c r="C42" s="15" t="s">
        <v>82</v>
      </c>
      <c r="E42" s="15" t="s">
        <v>87</v>
      </c>
    </row>
    <row r="43" spans="1:15" x14ac:dyDescent="0.2">
      <c r="A43" s="16">
        <v>0.03</v>
      </c>
      <c r="E43" s="16" cm="1">
        <f t="array" ref="E43">SUMPRODUCT(_xlfn.ANCHORARRAY(D46),E46:E66*1)</f>
        <v>399994</v>
      </c>
      <c r="L43" s="36" t="s">
        <v>224</v>
      </c>
      <c r="M43" s="36" t="s">
        <v>225</v>
      </c>
      <c r="N43" s="36" t="s">
        <v>226</v>
      </c>
      <c r="O43" s="15" t="s">
        <v>229</v>
      </c>
    </row>
    <row r="44" spans="1:15" x14ac:dyDescent="0.2">
      <c r="I44" s="50" t="s">
        <v>228</v>
      </c>
      <c r="J44" s="50"/>
      <c r="L44" s="37">
        <v>1</v>
      </c>
      <c r="M44" s="37" cm="1">
        <f t="array" ref="M44:M63">(L44:L63-10)*I45+I46</f>
        <v>1.1999999999999997E-2</v>
      </c>
      <c r="N44" s="37" cm="1">
        <f t="array" ref="N44:N63">(L44:L63-10)*I50+I51</f>
        <v>0.72799999999999998</v>
      </c>
      <c r="O44" s="27" t="str" cm="1">
        <f t="array" ref="O44">_xlfn.LET(_xlpm._rate_arr,$B$46:$B$66,
_xlpm._odds_arr,INT(_xlfn.NORM.DIST(_xlpm._rate_arr,AVERAGE(_xlpm._rate_arr)*N44,M44,FALSE)*10000),
_xlfn.TEXTJOIN(";",1,_xlfn.MAP(_xlpm._rate_arr,_xlpm._odds_arr,_xlfn.LAMBDA(_xlpm.r,_xlpm.o,IF(_xlpm.o&lt;&gt;0,ROUND(_xlpm.r*1000,0)&amp;"~"&amp;_xlpm.o,"")))))</f>
        <v>800~4079</v>
      </c>
    </row>
    <row r="45" spans="1:15" x14ac:dyDescent="0.2">
      <c r="B45" s="15" t="s">
        <v>85</v>
      </c>
      <c r="C45" s="15" t="s">
        <v>57</v>
      </c>
      <c r="D45" s="15" t="s">
        <v>58</v>
      </c>
      <c r="E45" s="15" t="s">
        <v>86</v>
      </c>
      <c r="F45" s="15" t="s">
        <v>57</v>
      </c>
      <c r="H45" s="15"/>
      <c r="I45" s="49">
        <v>7.0000000000000001E-3</v>
      </c>
      <c r="J45" s="49"/>
      <c r="L45" s="37">
        <v>2</v>
      </c>
      <c r="M45" s="37">
        <v>1.8999999999999996E-2</v>
      </c>
      <c r="N45" s="37">
        <v>0.73799999999999999</v>
      </c>
      <c r="O45" s="27" t="str" cm="1">
        <f t="array" ref="O45">_xlfn.LET(_xlpm._rate_arr,$B$46:$B$66,
_xlpm._odds_arr,INT(_xlfn.NORM.DIST(_xlpm._rate_arr,AVERAGE(_xlpm._rate_arr)*N45,M45,FALSE)*10000),
_xlfn.TEXTJOIN(";",1,_xlfn.MAP(_xlpm._rate_arr,_xlpm._odds_arr,_xlfn.LAMBDA(_xlpm.r,_xlpm.o,IF(_xlpm.o&lt;&gt;0,ROUND(_xlpm.r*1000,0)&amp;"~"&amp;_xlpm.o,"")))))</f>
        <v>800~87739;825~6491;850~85</v>
      </c>
    </row>
    <row r="46" spans="1:15" x14ac:dyDescent="0.2">
      <c r="B46" s="16">
        <v>0.8</v>
      </c>
      <c r="C46" s="16" cm="1">
        <f t="array" ref="C46:C66">_xlfn.LET(_xlpm._rate_list,B46:B66,_xlfn.NORM.DIST(_xlpm._rate_list,AVERAGE(_xlpm._rate_list),$A43,FALSE))</f>
        <v>1.1069278149758109E-14</v>
      </c>
      <c r="D46" s="16" cm="1">
        <f t="array" ref="D46:D66">INT(_xlfn.ANCHORARRAY(C46)*10000)</f>
        <v>0</v>
      </c>
      <c r="E46" s="17" t="b">
        <v>1</v>
      </c>
      <c r="F46" s="21">
        <f>D46/$E$43*E46</f>
        <v>0</v>
      </c>
      <c r="I46" s="49">
        <v>7.4999999999999997E-2</v>
      </c>
      <c r="J46" s="49"/>
      <c r="L46" s="37">
        <v>3</v>
      </c>
      <c r="M46" s="37">
        <v>2.5999999999999995E-2</v>
      </c>
      <c r="N46" s="37">
        <v>0.748</v>
      </c>
      <c r="O46" s="27" t="str" cm="1">
        <f t="array" ref="O46">_xlfn.LET(_xlpm._rate_arr,$B$46:$B$66,
_xlpm._odds_arr,INT(_xlfn.NORM.DIST(_xlpm._rate_arr,AVERAGE(_xlpm._rate_arr)*N46,M46,FALSE)*10000),
_xlfn.TEXTJOIN(";",1,_xlfn.MAP(_xlpm._rate_arr,_xlpm._odds_arr,_xlfn.LAMBDA(_xlpm.r,_xlpm.o,IF(_xlpm.o&lt;&gt;0,ROUND(_xlpm.r*1000,0)&amp;"~"&amp;_xlpm.o,"")))))</f>
        <v>800~131058;825~48106;850~7005;875~404;900~9</v>
      </c>
    </row>
    <row r="47" spans="1:15" x14ac:dyDescent="0.2">
      <c r="B47" s="16">
        <v>0.82499999999999996</v>
      </c>
      <c r="C47" s="16">
        <v>8.1144017767636271E-12</v>
      </c>
      <c r="D47" s="16">
        <v>0</v>
      </c>
      <c r="E47" s="17" t="b">
        <v>1</v>
      </c>
      <c r="F47" s="21">
        <f t="shared" ref="F47:F60" si="2">D47/$E$43*E47</f>
        <v>0</v>
      </c>
      <c r="L47" s="37">
        <v>4</v>
      </c>
      <c r="M47" s="37">
        <v>3.2999999999999995E-2</v>
      </c>
      <c r="N47" s="37">
        <v>0.75800000000000001</v>
      </c>
      <c r="O47" s="27" t="str" cm="1">
        <f t="array" ref="O47">_xlfn.LET(_xlpm._rate_arr,$B$46:$B$66,
_xlpm._odds_arr,INT(_xlfn.NORM.DIST(_xlpm._rate_arr,AVERAGE(_xlpm._rate_arr)*N47,M47,FALSE)*10000),
_xlfn.TEXTJOIN(";",1,_xlfn.MAP(_xlpm._rate_arr,_xlpm._odds_arr,_xlfn.LAMBDA(_xlpm.r,_xlpm.o,IF(_xlpm.o&lt;&gt;0,ROUND(_xlpm.r*1000,0)&amp;"~"&amp;_xlpm.o,"")))))</f>
        <v>800~119962;825~81948;850~31534;875~6835;900~834;925~57;950~2</v>
      </c>
    </row>
    <row r="48" spans="1:15" x14ac:dyDescent="0.2">
      <c r="B48" s="16">
        <v>0.85</v>
      </c>
      <c r="C48" s="16">
        <v>2.9703000624508227E-9</v>
      </c>
      <c r="D48" s="16">
        <v>0</v>
      </c>
      <c r="E48" s="17" t="b">
        <v>1</v>
      </c>
      <c r="F48" s="21">
        <f t="shared" si="2"/>
        <v>0</v>
      </c>
      <c r="L48" s="37">
        <v>5</v>
      </c>
      <c r="M48" s="37">
        <v>3.9999999999999994E-2</v>
      </c>
      <c r="N48" s="37">
        <v>0.7679999999999999</v>
      </c>
      <c r="O48" s="27" t="str" cm="1">
        <f t="array" ref="O48">_xlfn.LET(_xlpm._rate_arr,$B$46:$B$66,
_xlpm._odds_arr,INT(_xlfn.NORM.DIST(_xlpm._rate_arr,AVERAGE(_xlpm._rate_arr)*N48,M48,FALSE)*10000),
_xlfn.TEXTJOIN(";",1,_xlfn.MAP(_xlpm._rate_arr,_xlpm._odds_arr,_xlfn.LAMBDA(_xlpm.r,_xlpm.o,IF(_xlpm.o&lt;&gt;0,ROUND(_xlpm.r*1000,0)&amp;"~"&amp;_xlpm.o,"")))))</f>
        <v>800~98467;825~89515;850~55062;875~22917;900~6454;925~1229;950~158;975~13</v>
      </c>
    </row>
    <row r="49" spans="2:15" x14ac:dyDescent="0.2">
      <c r="B49" s="16">
        <v>0.875</v>
      </c>
      <c r="C49" s="16">
        <v>5.4293864025286666E-7</v>
      </c>
      <c r="D49" s="16">
        <v>0</v>
      </c>
      <c r="E49" s="17" t="b">
        <v>1</v>
      </c>
      <c r="F49" s="21">
        <f t="shared" si="2"/>
        <v>0</v>
      </c>
      <c r="I49" s="50" t="s">
        <v>227</v>
      </c>
      <c r="J49" s="50"/>
      <c r="L49" s="37">
        <v>6</v>
      </c>
      <c r="M49" s="37">
        <v>4.7E-2</v>
      </c>
      <c r="N49" s="37">
        <v>0.77799999999999991</v>
      </c>
      <c r="O49" s="27" t="str" cm="1">
        <f t="array" ref="O49">_xlfn.LET(_xlpm._rate_arr,$B$46:$B$66,
_xlpm._odds_arr,INT(_xlfn.NORM.DIST(_xlpm._rate_arr,AVERAGE(_xlpm._rate_arr)*N49,M49,FALSE)*10000),
_xlfn.TEXTJOIN(";",1,_xlfn.MAP(_xlpm._rate_arr,_xlpm._odds_arr,_xlfn.LAMBDA(_xlpm.r,_xlpm.o,IF(_xlpm.o&lt;&gt;0,ROUND(_xlpm.r*1000,0)&amp;"~"&amp;_xlpm.o,"")))))</f>
        <v>800~79567;825~83630;850~66238;875~39535;900~17782;925~6027;950~1539;975~296;1000~42;1025~4</v>
      </c>
    </row>
    <row r="50" spans="2:15" x14ac:dyDescent="0.2">
      <c r="B50" s="16">
        <v>0.9</v>
      </c>
      <c r="C50" s="16">
        <v>4.9557317157811509E-5</v>
      </c>
      <c r="D50" s="16">
        <v>0</v>
      </c>
      <c r="E50" s="17" t="b">
        <v>1</v>
      </c>
      <c r="F50" s="21">
        <f t="shared" si="2"/>
        <v>0</v>
      </c>
      <c r="I50" s="49">
        <v>0.01</v>
      </c>
      <c r="J50" s="49"/>
      <c r="L50" s="37">
        <v>7</v>
      </c>
      <c r="M50" s="37">
        <v>5.3999999999999992E-2</v>
      </c>
      <c r="N50" s="37">
        <v>0.78799999999999992</v>
      </c>
      <c r="O50" s="27" t="str" cm="1">
        <f t="array" ref="O50">_xlfn.LET(_xlpm._rate_arr,$B$46:$B$66,
_xlpm._odds_arr,INT(_xlfn.NORM.DIST(_xlpm._rate_arr,AVERAGE(_xlpm._rate_arr)*N50,M50,FALSE)*10000),
_xlfn.TEXTJOIN(";",1,_xlfn.MAP(_xlpm._rate_arr,_xlpm._odds_arr,_xlfn.LAMBDA(_xlpm.r,_xlpm.o,IF(_xlpm.o&lt;&gt;0,ROUND(_xlpm.r*1000,0)&amp;"~"&amp;_xlpm.o,"")))))</f>
        <v>800~64954;825~73805;850~67683;875~50094;900~29923;925~14426;950~5613;975~1762;1000~446;1025~91;1050~15;1075~2</v>
      </c>
    </row>
    <row r="51" spans="2:15" x14ac:dyDescent="0.2">
      <c r="B51" s="16">
        <v>0.92500000000000004</v>
      </c>
      <c r="C51" s="16">
        <v>2.2587669962939902E-3</v>
      </c>
      <c r="D51" s="16">
        <v>22</v>
      </c>
      <c r="E51" s="17" t="b">
        <v>1</v>
      </c>
      <c r="F51" s="21">
        <f t="shared" si="2"/>
        <v>5.5000825012375184E-5</v>
      </c>
      <c r="I51" s="49">
        <v>0.81799999999999995</v>
      </c>
      <c r="J51" s="49"/>
      <c r="L51" s="37">
        <v>8</v>
      </c>
      <c r="M51" s="37">
        <v>6.0999999999999999E-2</v>
      </c>
      <c r="N51" s="37">
        <v>0.79799999999999993</v>
      </c>
      <c r="O51" s="27" t="str" cm="1">
        <f t="array" ref="O51">_xlfn.LET(_xlpm._rate_arr,$B$46:$B$66,
_xlpm._odds_arr,INT(_xlfn.NORM.DIST(_xlpm._rate_arr,AVERAGE(_xlpm._rate_arr)*N51,M51,FALSE)*10000),
_xlfn.TEXTJOIN(";",1,_xlfn.MAP(_xlpm._rate_arr,_xlpm._odds_arr,_xlfn.LAMBDA(_xlpm.r,_xlpm.o,IF(_xlpm.o&lt;&gt;0,ROUND(_xlpm.r*1000,0)&amp;"~"&amp;_xlpm.o,"")))))</f>
        <v>800~53920;825~63954;850~64126;875~54357;900~38952;925~23597;950~12084;975~5232;1000~1914;1025~592;1050~154;1075~34;1100~6;1125~1</v>
      </c>
    </row>
    <row r="52" spans="2:15" x14ac:dyDescent="0.2">
      <c r="B52" s="16">
        <v>0.94999999999999896</v>
      </c>
      <c r="C52" s="16">
        <v>5.140929987636525E-2</v>
      </c>
      <c r="D52" s="16">
        <v>514</v>
      </c>
      <c r="E52" s="17" t="b">
        <v>1</v>
      </c>
      <c r="F52" s="21">
        <f t="shared" si="2"/>
        <v>1.2850192752891293E-3</v>
      </c>
      <c r="L52" s="37">
        <v>9</v>
      </c>
      <c r="M52" s="37">
        <v>6.7999999999999991E-2</v>
      </c>
      <c r="N52" s="37">
        <v>0.80799999999999994</v>
      </c>
      <c r="O52" s="27" t="str" cm="1">
        <f t="array" ref="O52">_xlfn.LET(_xlpm._rate_arr,$B$46:$B$66,
_xlpm._odds_arr,INT(_xlfn.NORM.DIST(_xlpm._rate_arr,AVERAGE(_xlpm._rate_arr)*N52,M52,FALSE)*10000),
_xlfn.TEXTJOIN(";",1,_xlfn.MAP(_xlpm._rate_arr,_xlpm._odds_arr,_xlfn.LAMBDA(_xlpm.r,_xlpm.o,IF(_xlpm.o&lt;&gt;0,ROUND(_xlpm.r*1000,0)&amp;"~"&amp;_xlpm.o,"")))))</f>
        <v>800~45539;825~55295;850~58651;875~54346;900~43991;925~31106;950~19215;975~10368;1000~4887;1025~2012;1050~724;1075~227;1100~62;1125~14;1150~3</v>
      </c>
    </row>
    <row r="53" spans="2:15" x14ac:dyDescent="0.2">
      <c r="B53" s="16">
        <v>0.97499999999999898</v>
      </c>
      <c r="C53" s="16">
        <v>0.58427668311890979</v>
      </c>
      <c r="D53" s="16">
        <v>5842</v>
      </c>
      <c r="E53" s="17" t="b">
        <v>1</v>
      </c>
      <c r="F53" s="21">
        <f t="shared" si="2"/>
        <v>1.4605219078286174E-2</v>
      </c>
      <c r="L53" s="37">
        <v>10</v>
      </c>
      <c r="M53" s="37">
        <v>7.4999999999999997E-2</v>
      </c>
      <c r="N53" s="37">
        <v>0.81799999999999995</v>
      </c>
      <c r="O53" s="27" t="str" cm="1">
        <f t="array" ref="O53">_xlfn.LET(_xlpm._rate_arr,$B$46:$B$66,
_xlpm._odds_arr,INT(_xlfn.NORM.DIST(_xlpm._rate_arr,AVERAGE(_xlpm._rate_arr)*N53,M53,FALSE)*10000),
_xlfn.TEXTJOIN(";",1,_xlfn.MAP(_xlpm._rate_arr,_xlpm._odds_arr,_xlfn.LAMBDA(_xlpm.r,_xlpm.o,IF(_xlpm.o&lt;&gt;0,ROUND(_xlpm.r*1000,0)&amp;"~"&amp;_xlpm.o,"")))))</f>
        <v>800~39077;825~48026;850~52819;875~51980;900~45776;925~36072;950~25437;975~16050;1000~9063;1025~4579;1050~2070;1075~837;1100~303;1125~98;1150~28;1175~7;1200~1</v>
      </c>
    </row>
    <row r="54" spans="2:15" x14ac:dyDescent="0.2">
      <c r="B54" s="16">
        <v>0.999999999999999</v>
      </c>
      <c r="C54" s="16">
        <v>3.3159046264248051</v>
      </c>
      <c r="D54" s="16">
        <v>33159</v>
      </c>
      <c r="E54" s="17" t="b">
        <v>1</v>
      </c>
      <c r="F54" s="21">
        <f t="shared" si="2"/>
        <v>8.2898743481152212E-2</v>
      </c>
      <c r="L54" s="37">
        <v>11</v>
      </c>
      <c r="M54" s="37">
        <v>8.2000000000000003E-2</v>
      </c>
      <c r="N54" s="37">
        <v>0.82799999999999996</v>
      </c>
      <c r="O54" s="27" t="str" cm="1">
        <f t="array" ref="O54">_xlfn.LET(_xlpm._rate_arr,$B$46:$B$66,
_xlpm._odds_arr,INT(_xlfn.NORM.DIST(_xlpm._rate_arr,AVERAGE(_xlpm._rate_arr)*N54,M54,FALSE)*10000),
_xlfn.TEXTJOIN(";",1,_xlfn.MAP(_xlpm._rate_arr,_xlpm._odds_arr,_xlfn.LAMBDA(_xlpm.r,_xlpm.o,IF(_xlpm.o&lt;&gt;0,ROUND(_xlpm.r*1000,0)&amp;"~"&amp;_xlpm.o,"")))))</f>
        <v>800~34005;825~42017;850~47308;875~48538;900~45379;925~38660;950~30012;975~21230;1000~13685;1025~8039;1050~4303;1075~2098;1100~932;1125~377;1150~139;1175~46;1200~14;1225~4;1250~1</v>
      </c>
    </row>
    <row r="55" spans="2:15" x14ac:dyDescent="0.2">
      <c r="B55" s="16">
        <v>1.0249999999999999</v>
      </c>
      <c r="C55" s="16">
        <v>9.3970625136767758</v>
      </c>
      <c r="D55" s="16">
        <v>93970</v>
      </c>
      <c r="E55" s="17" t="b">
        <v>1</v>
      </c>
      <c r="F55" s="21">
        <f t="shared" si="2"/>
        <v>0.23492852392785893</v>
      </c>
      <c r="L55" s="37">
        <v>12</v>
      </c>
      <c r="M55" s="37">
        <v>8.8999999999999996E-2</v>
      </c>
      <c r="N55" s="37">
        <v>0.83799999999999997</v>
      </c>
      <c r="O55" s="27" t="str" cm="1">
        <f t="array" ref="O55">_xlfn.LET(_xlpm._rate_arr,$B$46:$B$66,
_xlpm._odds_arr,INT(_xlfn.NORM.DIST(_xlpm._rate_arr,AVERAGE(_xlpm._rate_arr)*N55,M55,FALSE)*10000),
_xlfn.TEXTJOIN(";",1,_xlfn.MAP(_xlpm._rate_arr,_xlpm._odds_arr,_xlfn.LAMBDA(_xlpm.r,_xlpm.o,IF(_xlpm.o&lt;&gt;0,ROUND(_xlpm.r*1000,0)&amp;"~"&amp;_xlpm.o,"")))))</f>
        <v>800~29957;825~37058;850~42365;875~44757;900~43696;925~39423;950~32870;975~25327;1000~18034;1025~11867;1050~7216;1075~4055;1100~2106;1125~1010;1150~448;1175~183;1200~69;1225~24;1250~7;1275~2</v>
      </c>
    </row>
    <row r="56" spans="2:15" x14ac:dyDescent="0.2">
      <c r="B56" s="16">
        <v>1.05</v>
      </c>
      <c r="C56" s="16">
        <v>13.298076013381092</v>
      </c>
      <c r="D56" s="16">
        <v>132980</v>
      </c>
      <c r="E56" s="17" t="b">
        <v>1</v>
      </c>
      <c r="F56" s="21">
        <f t="shared" si="2"/>
        <v>0.33245498682480235</v>
      </c>
      <c r="L56" s="37">
        <v>13</v>
      </c>
      <c r="M56" s="37">
        <v>9.6000000000000002E-2</v>
      </c>
      <c r="N56" s="37">
        <v>0.84799999999999998</v>
      </c>
      <c r="O56" s="27" t="str" cm="1">
        <f t="array" ref="O56">_xlfn.LET(_xlpm._rate_arr,$B$46:$B$66,
_xlpm._odds_arr,INT(_xlfn.NORM.DIST(_xlpm._rate_arr,AVERAGE(_xlpm._rate_arr)*N56,M56,FALSE)*10000),
_xlfn.TEXTJOIN(";",1,_xlfn.MAP(_xlpm._rate_arr,_xlpm._odds_arr,_xlfn.LAMBDA(_xlpm.r,_xlpm.o,IF(_xlpm.o&lt;&gt;0,ROUND(_xlpm.r*1000,0)&amp;"~"&amp;_xlpm.o,"")))))</f>
        <v>800~26673;825~32950;850~38034;875~41025;900~41349;925~38943;950~34272;975~28183;1000~21657;1025~15551;1050~10434;1075~6542;1100~3832;1125~2098;1150~1073;1175~513;1200~229;1225~95;1250~37;1275~13;1300~4</v>
      </c>
    </row>
    <row r="57" spans="2:15" x14ac:dyDescent="0.2">
      <c r="B57" s="16">
        <v>1.075</v>
      </c>
      <c r="C57" s="16">
        <v>9.397062513676719</v>
      </c>
      <c r="D57" s="16">
        <v>93970</v>
      </c>
      <c r="E57" s="17" t="b">
        <v>1</v>
      </c>
      <c r="F57" s="21">
        <f t="shared" si="2"/>
        <v>0.23492852392785893</v>
      </c>
      <c r="L57" s="37">
        <v>14</v>
      </c>
      <c r="M57" s="37">
        <v>0.10299999999999999</v>
      </c>
      <c r="N57" s="37">
        <v>0.85799999999999998</v>
      </c>
      <c r="O57" s="27" t="str" cm="1">
        <f t="array" ref="O57">_xlfn.LET(_xlpm._rate_arr,$B$46:$B$66,
_xlpm._odds_arr,INT(_xlfn.NORM.DIST(_xlpm._rate_arr,AVERAGE(_xlpm._rate_arr)*N57,M57,FALSE)*10000),
_xlfn.TEXTJOIN(";",1,_xlfn.MAP(_xlpm._rate_arr,_xlpm._odds_arr,_xlfn.LAMBDA(_xlpm.r,_xlpm.o,IF(_xlpm.o&lt;&gt;0,ROUND(_xlpm.r*1000,0)&amp;"~"&amp;_xlpm.o,"")))))</f>
        <v>800~23971;825~29522;850~34280;875~37526;900~38730;925~37686;950~34572;975~29901;1000~24381;1025~18743;1050~13584;1075~9282;1100~5979;1125~3631;1150~2079;1175~1122;1200~571;1225~274;1250~124;1275~52;1300~21</v>
      </c>
    </row>
    <row r="58" spans="2:15" x14ac:dyDescent="0.2">
      <c r="B58" s="16">
        <v>1.1000000000000001</v>
      </c>
      <c r="C58" s="16">
        <v>3.3159046264249072</v>
      </c>
      <c r="D58" s="16">
        <v>33159</v>
      </c>
      <c r="E58" s="17" t="b">
        <v>1</v>
      </c>
      <c r="F58" s="21">
        <f t="shared" si="2"/>
        <v>8.2898743481152212E-2</v>
      </c>
      <c r="L58" s="37">
        <v>15</v>
      </c>
      <c r="M58" s="37">
        <v>0.11</v>
      </c>
      <c r="N58" s="37">
        <v>0.86799999999999999</v>
      </c>
      <c r="O58" s="27" t="str" cm="1">
        <f t="array" ref="O58">_xlfn.LET(_xlpm._rate_arr,$B$46:$B$66,
_xlpm._odds_arr,INT(_xlfn.NORM.DIST(_xlpm._rate_arr,AVERAGE(_xlpm._rate_arr)*N58,M58,FALSE)*10000),
_xlfn.TEXTJOIN(";",1,_xlfn.MAP(_xlpm._rate_arr,_xlpm._odds_arr,_xlfn.LAMBDA(_xlpm.r,_xlpm.o,IF(_xlpm.o&lt;&gt;0,ROUND(_xlpm.r*1000,0)&amp;"~"&amp;_xlpm.o,"")))))</f>
        <v>800~21717;825~26641;850~31035;875~34335;900~36073;925~35991;950~34101;975~30685;1000~26220;1025~21277;1050~16397;1075~12000;1100~8340;1125~5504;1150~3450;1175~2053;1200~1160;1225~623;1250~317;1275~153;1300~70</v>
      </c>
    </row>
    <row r="59" spans="2:15" x14ac:dyDescent="0.2">
      <c r="B59" s="16">
        <v>1.125</v>
      </c>
      <c r="C59" s="16">
        <v>0.58427668311894221</v>
      </c>
      <c r="D59" s="16">
        <v>5842</v>
      </c>
      <c r="E59" s="17" t="b">
        <v>1</v>
      </c>
      <c r="F59" s="21">
        <f t="shared" si="2"/>
        <v>1.4605219078286174E-2</v>
      </c>
      <c r="L59" s="37">
        <v>16</v>
      </c>
      <c r="M59" s="37">
        <v>0.11699999999999999</v>
      </c>
      <c r="N59" s="37">
        <v>0.87799999999999989</v>
      </c>
      <c r="O59" s="27" t="str" cm="1">
        <f t="array" ref="O59">_xlfn.LET(_xlpm._rate_arr,$B$46:$B$66,
_xlpm._odds_arr,INT(_xlfn.NORM.DIST(_xlpm._rate_arr,AVERAGE(_xlpm._rate_arr)*N59,M59,FALSE)*10000),
_xlfn.TEXTJOIN(";",1,_xlfn.MAP(_xlpm._rate_arr,_xlpm._odds_arr,_xlfn.LAMBDA(_xlpm.r,_xlpm.o,IF(_xlpm.o&lt;&gt;0,ROUND(_xlpm.r*1000,0)&amp;"~"&amp;_xlpm.o,"")))))</f>
        <v>800~19815;825~24197;850~28230;875~31465;900~33505;925~34085;950~33128;975~30760;1000~27287;1025~23126;1050~18724;1075~14484;1100~10704;1125~7557;1150~5097;1175~3285;1200~2022;1225~1189;1250~668;1275~358;1300~184</v>
      </c>
    </row>
    <row r="60" spans="2:15" x14ac:dyDescent="0.2">
      <c r="B60" s="16">
        <v>1.1499999999999999</v>
      </c>
      <c r="C60" s="16">
        <v>5.1409299876369677E-2</v>
      </c>
      <c r="D60" s="16">
        <v>514</v>
      </c>
      <c r="E60" s="17" t="b">
        <v>1</v>
      </c>
      <c r="F60" s="21">
        <f t="shared" si="2"/>
        <v>1.2850192752891293E-3</v>
      </c>
      <c r="L60" s="37">
        <v>17</v>
      </c>
      <c r="M60" s="37">
        <v>0.124</v>
      </c>
      <c r="N60" s="37">
        <v>0.8879999999999999</v>
      </c>
      <c r="O60" s="27" t="str" cm="1">
        <f t="array" ref="O60">_xlfn.LET(_xlpm._rate_arr,$B$46:$B$66,
_xlpm._odds_arr,INT(_xlfn.NORM.DIST(_xlpm._rate_arr,AVERAGE(_xlpm._rate_arr)*N60,M60,FALSE)*10000),
_xlfn.TEXTJOIN(";",1,_xlfn.MAP(_xlpm._rate_arr,_xlpm._odds_arr,_xlfn.LAMBDA(_xlpm.r,_xlpm.o,IF(_xlpm.o&lt;&gt;0,ROUND(_xlpm.r*1000,0)&amp;"~"&amp;_xlpm.o,"")))))</f>
        <v>800~18193;825~22110;850~25798;875~28904;900~31093;925~32115;950~31850;975~30329;1000~27730;1025~24343;1050~20520;1075~16607;1100~12905;1125~9629;1150~6899;1175~4745;1200~3134;1225~1987;1250~1210;1275~707;1300~397</v>
      </c>
    </row>
    <row r="61" spans="2:15" x14ac:dyDescent="0.2">
      <c r="B61" s="16">
        <v>1.175</v>
      </c>
      <c r="C61" s="16">
        <v>2.258766996293857E-3</v>
      </c>
      <c r="D61" s="16">
        <v>22</v>
      </c>
      <c r="E61" s="17" t="b">
        <v>1</v>
      </c>
      <c r="F61" s="21">
        <f t="shared" ref="F61:F62" si="3">D61/$E$43*E61</f>
        <v>5.5000825012375184E-5</v>
      </c>
      <c r="L61" s="37">
        <v>18</v>
      </c>
      <c r="M61" s="37">
        <v>0.13100000000000001</v>
      </c>
      <c r="N61" s="37">
        <v>0.89799999999999991</v>
      </c>
      <c r="O61" s="27" t="str" cm="1">
        <f t="array" ref="O61">_xlfn.LET(_xlpm._rate_arr,$B$46:$B$66,
_xlpm._odds_arr,INT(_xlfn.NORM.DIST(_xlpm._rate_arr,AVERAGE(_xlpm._rate_arr)*N61,M61,FALSE)*10000),
_xlfn.TEXTJOIN(";",1,_xlfn.MAP(_xlpm._rate_arr,_xlpm._odds_arr,_xlfn.LAMBDA(_xlpm.r,_xlpm.o,IF(_xlpm.o&lt;&gt;0,ROUND(_xlpm.r*1000,0)&amp;"~"&amp;_xlpm.o,"")))))</f>
        <v>800~16797;825~20311;850~23682;875~26625;900~28863;925~30170;950~30408;975~29552;1000~27693;1025~25023;1050~21802;1075~18315;1100~14836;1125~11588;1150~8728;1175~6338;1200~4438;1225~2996;1250~1951;1275~1224;1300~741</v>
      </c>
    </row>
    <row r="62" spans="2:15" x14ac:dyDescent="0.2">
      <c r="B62" s="16">
        <v>1.2</v>
      </c>
      <c r="C62" s="16">
        <v>4.9557317157808873E-5</v>
      </c>
      <c r="D62" s="16">
        <v>0</v>
      </c>
      <c r="E62" s="17" t="b">
        <v>1</v>
      </c>
      <c r="F62" s="21">
        <f t="shared" si="3"/>
        <v>0</v>
      </c>
      <c r="L62" s="37">
        <v>19</v>
      </c>
      <c r="M62" s="37">
        <v>0.13800000000000001</v>
      </c>
      <c r="N62" s="37">
        <v>0.90799999999999992</v>
      </c>
      <c r="O62" s="27" t="str" cm="1">
        <f t="array" ref="O62">_xlfn.LET(_xlpm._rate_arr,$B$46:$B$66,
_xlpm._odds_arr,INT(_xlfn.NORM.DIST(_xlpm._rate_arr,AVERAGE(_xlpm._rate_arr)*N62,M62,FALSE)*10000),
_xlfn.TEXTJOIN(";",1,_xlfn.MAP(_xlpm._rate_arr,_xlpm._odds_arr,_xlfn.LAMBDA(_xlpm.r,_xlpm.o,IF(_xlpm.o&lt;&gt;0,ROUND(_xlpm.r*1000,0)&amp;"~"&amp;_xlpm.o,"")))))</f>
        <v>800~15585;825~18751;850~21833;875~24600;900~26823;925~28303;950~28900;975~28556;1000~27306;1025~25268;1050~22627;1075~19607;1100~16442;1125~13343;1150~10478;1175~7963;1200~5856;1225~4167;1250~2870;1275~1913;1300~1233</v>
      </c>
    </row>
    <row r="63" spans="2:15" x14ac:dyDescent="0.2">
      <c r="B63" s="16">
        <v>1.2250000000000001</v>
      </c>
      <c r="C63" s="16">
        <v>5.4293864025282039E-7</v>
      </c>
      <c r="D63" s="16">
        <v>0</v>
      </c>
      <c r="E63" s="17" t="b">
        <v>1</v>
      </c>
      <c r="F63" s="21">
        <f t="shared" ref="F63:F64" si="4">D63/$E$43*E63</f>
        <v>0</v>
      </c>
      <c r="L63" s="38">
        <v>20</v>
      </c>
      <c r="M63" s="38">
        <v>0.14500000000000002</v>
      </c>
      <c r="N63" s="38">
        <v>0.91799999999999993</v>
      </c>
      <c r="O63" s="27" t="str" cm="1">
        <f t="array" ref="O63">_xlfn.LET(_xlpm._rate_arr,$B$46:$B$66,
_xlpm._odds_arr,INT(_xlfn.NORM.DIST(_xlpm._rate_arr,AVERAGE(_xlpm._rate_arr)*N63,M63,FALSE)*10000),
_xlfn.TEXTJOIN(";",1,_xlfn.MAP(_xlpm._rate_arr,_xlpm._odds_arr,_xlfn.LAMBDA(_xlpm.r,_xlpm.o,IF(_xlpm.o&lt;&gt;0,ROUND(_xlpm.r*1000,0)&amp;"~"&amp;_xlpm.o,"")))))</f>
        <v>800~14524;825~17389;850~20209;875~22799;900~24967;925~26540;950~27387;975~27432;1000~26673;1025~25175;1050~23066;1075~20514;1100~17710;1125~14842;1150~12073;1175~9534;1200~7308;1225~5438;1250~3927;1275~2753;1300~1874</v>
      </c>
    </row>
    <row r="64" spans="2:15" x14ac:dyDescent="0.2">
      <c r="B64" s="16">
        <v>1.25</v>
      </c>
      <c r="C64" s="16">
        <v>2.9703000624506014E-9</v>
      </c>
      <c r="D64" s="16">
        <v>0</v>
      </c>
      <c r="E64" s="17" t="b">
        <v>1</v>
      </c>
      <c r="F64" s="21">
        <f t="shared" si="4"/>
        <v>0</v>
      </c>
    </row>
    <row r="65" spans="1:15" x14ac:dyDescent="0.2">
      <c r="B65" s="16">
        <v>1.2749999999999999</v>
      </c>
      <c r="C65" s="16">
        <v>8.1144017767631375E-12</v>
      </c>
      <c r="D65" s="16">
        <v>0</v>
      </c>
      <c r="E65" s="17" t="b">
        <v>1</v>
      </c>
      <c r="F65" s="21">
        <f t="shared" ref="F65:F66" si="5">D65/$E$43*E65</f>
        <v>0</v>
      </c>
    </row>
    <row r="66" spans="1:15" x14ac:dyDescent="0.2">
      <c r="B66" s="16">
        <v>1.3</v>
      </c>
      <c r="C66" s="16">
        <v>1.1069278149756772E-14</v>
      </c>
      <c r="D66" s="16">
        <v>0</v>
      </c>
      <c r="E66" s="17" t="b">
        <v>1</v>
      </c>
      <c r="F66" s="21">
        <f t="shared" si="5"/>
        <v>0</v>
      </c>
    </row>
    <row r="70" spans="1:15" s="20" customFormat="1" x14ac:dyDescent="0.2"/>
    <row r="72" spans="1:15" x14ac:dyDescent="0.2">
      <c r="A72" s="15" t="s">
        <v>75</v>
      </c>
      <c r="C72" s="15" t="s">
        <v>84</v>
      </c>
      <c r="E72" s="15" t="s">
        <v>87</v>
      </c>
    </row>
    <row r="73" spans="1:15" x14ac:dyDescent="0.2">
      <c r="A73" s="16">
        <v>0.06</v>
      </c>
      <c r="E73" s="16" cm="1">
        <f t="array" ref="E73">SUMPRODUCT(_xlfn.ANCHORARRAY(D76),E76:E84*1)</f>
        <v>100162</v>
      </c>
      <c r="L73" s="36" t="s">
        <v>224</v>
      </c>
      <c r="M73" s="36" t="s">
        <v>225</v>
      </c>
      <c r="N73" s="36" t="s">
        <v>226</v>
      </c>
      <c r="O73" s="15" t="s">
        <v>229</v>
      </c>
    </row>
    <row r="74" spans="1:15" x14ac:dyDescent="0.2">
      <c r="I74" s="50" t="s">
        <v>228</v>
      </c>
      <c r="J74" s="50"/>
      <c r="L74" s="37">
        <v>1</v>
      </c>
      <c r="M74" s="37" cm="1">
        <f t="array" ref="M74:M93">-ABS(L74:L93-10)*I75+I76</f>
        <v>5.0999999999999997E-2</v>
      </c>
      <c r="N74" s="37" cm="1">
        <f t="array" ref="N74:N93">(L74:L93-10)*I80+I81</f>
        <v>0.64</v>
      </c>
      <c r="O74" s="27" t="str" cm="1">
        <f t="array" ref="O74">_xlfn.LET(_xlpm._rate_arr,$B$76:$B$84,
_xlpm._odds_arr,INT(_xlfn.NORM.DIST(_xlpm._rate_arr,AVERAGE(_xlpm._rate_arr)*N74,M74,FALSE)*10000),
_xlfn.TEXTJOIN(";",1,_xlfn.MAP(_xlpm._rate_arr,_xlpm._odds_arr,_xlfn.LAMBDA(_xlpm.r,_xlpm.o,IF(_xlpm.o&lt;&gt;0,_xlpm.r*1000&amp;"~"&amp;_xlpm.o,"")))))</f>
        <v>600~57512;700~39155;800~570</v>
      </c>
    </row>
    <row r="75" spans="1:15" x14ac:dyDescent="0.2">
      <c r="B75" s="15" t="s">
        <v>85</v>
      </c>
      <c r="C75" s="15" t="s">
        <v>57</v>
      </c>
      <c r="D75" s="15" t="s">
        <v>58</v>
      </c>
      <c r="E75" s="15" t="s">
        <v>86</v>
      </c>
      <c r="F75" s="15" t="s">
        <v>57</v>
      </c>
      <c r="I75" s="49">
        <v>1E-3</v>
      </c>
      <c r="J75" s="49"/>
      <c r="L75" s="37">
        <v>2</v>
      </c>
      <c r="M75" s="37">
        <v>5.1999999999999998E-2</v>
      </c>
      <c r="N75" s="37">
        <v>0.67999999999999994</v>
      </c>
      <c r="O75" s="27" t="str" cm="1">
        <f t="array" ref="O75">_xlfn.LET(_xlpm._rate_arr,$B$76:$B$84,
_xlpm._odds_arr,INT(_xlfn.NORM.DIST(_xlpm._rate_arr,AVERAGE(_xlpm._rate_arr)*N75,M75,FALSE)*10000),
_xlfn.TEXTJOIN(";",1,_xlfn.MAP(_xlpm._rate_arr,_xlpm._odds_arr,_xlfn.LAMBDA(_xlpm.r,_xlpm.o,IF(_xlpm.o&lt;&gt;0,_xlpm.r*1000&amp;"~"&amp;_xlpm.o,"")))))</f>
        <v>600~23493;700~71249;800~5351;900~9</v>
      </c>
    </row>
    <row r="76" spans="1:15" x14ac:dyDescent="0.2">
      <c r="B76" s="16">
        <v>0.6</v>
      </c>
      <c r="C76" s="16" cm="1">
        <f t="array" ref="C76:C84">_xlfn.NORM.DIST(B76:B84,AVERAGE($B$76:$B$84),$A$73,FALSE)</f>
        <v>1.4851500312253588E-9</v>
      </c>
      <c r="D76" s="16" cm="1">
        <f t="array" ref="D76:D84">INT(_xlfn.ANCHORARRAY(C76)*10000)</f>
        <v>0</v>
      </c>
      <c r="E76" s="17" t="b">
        <v>1</v>
      </c>
      <c r="F76" s="21">
        <f>D76/$E$73*E76</f>
        <v>0</v>
      </c>
      <c r="I76" s="49">
        <v>0.06</v>
      </c>
      <c r="J76" s="49"/>
      <c r="L76" s="37">
        <v>3</v>
      </c>
      <c r="M76" s="37">
        <v>5.2999999999999999E-2</v>
      </c>
      <c r="N76" s="37">
        <v>0.72</v>
      </c>
      <c r="O76" s="27" t="str" cm="1">
        <f t="array" ref="O76">_xlfn.LET(_xlpm._rate_arr,$B$76:$B$84,
_xlpm._odds_arr,INT(_xlfn.NORM.DIST(_xlpm._rate_arr,AVERAGE(_xlpm._rate_arr)*N76,M76,FALSE)*10000),
_xlfn.TEXTJOIN(";",1,_xlfn.MAP(_xlpm._rate_arr,_xlpm._odds_arr,_xlfn.LAMBDA(_xlpm.r,_xlpm.o,IF(_xlpm.o&lt;&gt;0,_xlpm.r*1000&amp;"~"&amp;_xlpm.o,"")))))</f>
        <v>600~5800;700~70099;800~24092;900~235</v>
      </c>
    </row>
    <row r="77" spans="1:15" x14ac:dyDescent="0.2">
      <c r="B77" s="16">
        <v>0.7</v>
      </c>
      <c r="C77" s="16">
        <v>2.4778658578904877E-5</v>
      </c>
      <c r="D77" s="16">
        <v>0</v>
      </c>
      <c r="E77" s="17" t="b">
        <v>1</v>
      </c>
      <c r="F77" s="21">
        <f t="shared" ref="F77:F80" si="6">D77/$E$73*E77</f>
        <v>0</v>
      </c>
      <c r="L77" s="37">
        <v>4</v>
      </c>
      <c r="M77" s="37">
        <v>5.3999999999999999E-2</v>
      </c>
      <c r="N77" s="37">
        <v>0.76</v>
      </c>
      <c r="O77" s="27" t="str" cm="1">
        <f t="array" ref="O77">_xlfn.LET(_xlpm._rate_arr,$B$76:$B$84,
_xlpm._odds_arr,INT(_xlfn.NORM.DIST(_xlpm._rate_arr,AVERAGE(_xlpm._rate_arr)*N77,M77,FALSE)*10000),
_xlfn.TEXTJOIN(";",1,_xlfn.MAP(_xlpm._rate_arr,_xlpm._odds_arr,_xlfn.LAMBDA(_xlpm.r,_xlpm.o,IF(_xlpm.o&lt;&gt;0,_xlpm.r*1000&amp;"~"&amp;_xlpm.o,"")))))</f>
        <v>600~916;700~39850;800~56152;900~2564;1000~3</v>
      </c>
    </row>
    <row r="78" spans="1:15" x14ac:dyDescent="0.2">
      <c r="B78" s="16">
        <v>0.8</v>
      </c>
      <c r="C78" s="16">
        <v>2.5704649938185182E-2</v>
      </c>
      <c r="D78" s="16">
        <v>257</v>
      </c>
      <c r="E78" s="17" t="b">
        <v>1</v>
      </c>
      <c r="F78" s="21">
        <f t="shared" si="6"/>
        <v>2.5658433337992451E-3</v>
      </c>
      <c r="L78" s="37">
        <v>5</v>
      </c>
      <c r="M78" s="37">
        <v>5.5E-2</v>
      </c>
      <c r="N78" s="37">
        <v>0.8</v>
      </c>
      <c r="O78" s="27" t="str" cm="1">
        <f t="array" ref="O78">_xlfn.LET(_xlpm._rate_arr,$B$76:$B$84,
_xlpm._odds_arr,INT(_xlfn.NORM.DIST(_xlpm._rate_arr,AVERAGE(_xlpm._rate_arr)*N78,M78,FALSE)*10000),
_xlfn.TEXTJOIN(";",1,_xlfn.MAP(_xlpm._rate_arr,_xlpm._odds_arr,_xlfn.LAMBDA(_xlpm.r,_xlpm.o,IF(_xlpm.o&lt;&gt;0,_xlpm.r*1000&amp;"~"&amp;_xlpm.o,"")))))</f>
        <v>600~97;700~13890;800~72534;900~13890;1000~97</v>
      </c>
    </row>
    <row r="79" spans="1:15" x14ac:dyDescent="0.2">
      <c r="B79" s="16">
        <v>0.9</v>
      </c>
      <c r="C79" s="16">
        <v>1.6579523132124794</v>
      </c>
      <c r="D79" s="16">
        <v>16579</v>
      </c>
      <c r="E79" s="17" t="b">
        <v>1</v>
      </c>
      <c r="F79" s="21">
        <f t="shared" si="6"/>
        <v>0.16552185459555521</v>
      </c>
      <c r="I79" s="50" t="s">
        <v>227</v>
      </c>
      <c r="J79" s="50"/>
      <c r="L79" s="37">
        <v>6</v>
      </c>
      <c r="M79" s="37">
        <v>5.5999999999999994E-2</v>
      </c>
      <c r="N79" s="37">
        <v>0.84</v>
      </c>
      <c r="O79" s="27" t="str" cm="1">
        <f t="array" ref="O79">_xlfn.LET(_xlpm._rate_arr,$B$76:$B$84,
_xlpm._odds_arr,INT(_xlfn.NORM.DIST(_xlpm._rate_arr,AVERAGE(_xlpm._rate_arr)*N79,M79,FALSE)*10000),
_xlfn.TEXTJOIN(";",1,_xlfn.MAP(_xlpm._rate_arr,_xlpm._odds_arr,_xlfn.LAMBDA(_xlpm.r,_xlpm.o,IF(_xlpm.o&lt;&gt;0,_xlpm.r*1000&amp;"~"&amp;_xlpm.o,"")))))</f>
        <v>600~7;700~3130;800~55199;900~40127;1000~1202;1100~1</v>
      </c>
    </row>
    <row r="80" spans="1:15" x14ac:dyDescent="0.2">
      <c r="B80" s="16">
        <v>1</v>
      </c>
      <c r="C80" s="16">
        <v>6.6490380066905459</v>
      </c>
      <c r="D80" s="16">
        <v>66490</v>
      </c>
      <c r="E80" s="17" t="b">
        <v>1</v>
      </c>
      <c r="F80" s="21">
        <f t="shared" si="6"/>
        <v>0.66382460414129107</v>
      </c>
      <c r="I80" s="49">
        <v>0.04</v>
      </c>
      <c r="J80" s="49"/>
      <c r="L80" s="37">
        <v>7</v>
      </c>
      <c r="M80" s="37">
        <v>5.6999999999999995E-2</v>
      </c>
      <c r="N80" s="37">
        <v>0.88</v>
      </c>
      <c r="O80" s="27" t="str" cm="1">
        <f t="array" ref="O80">_xlfn.LET(_xlpm._rate_arr,$B$76:$B$84,
_xlpm._odds_arr,INT(_xlfn.NORM.DIST(_xlpm._rate_arr,AVERAGE(_xlpm._rate_arr)*N80,M80,FALSE)*10000),
_xlfn.TEXTJOIN(";",1,_xlfn.MAP(_xlpm._rate_arr,_xlpm._odds_arr,_xlfn.LAMBDA(_xlpm.r,_xlpm.o,IF(_xlpm.o&lt;&gt;0,_xlpm.r*1000&amp;"~"&amp;_xlpm.o,"")))))</f>
        <v>700~478;800~26139;900~65811;1000~7631;1100~40</v>
      </c>
    </row>
    <row r="81" spans="2:15" x14ac:dyDescent="0.2">
      <c r="B81" s="16">
        <v>1.1000000000000001</v>
      </c>
      <c r="C81" s="16">
        <v>1.6579523132124738</v>
      </c>
      <c r="D81" s="16">
        <v>16579</v>
      </c>
      <c r="E81" s="17" t="b">
        <v>1</v>
      </c>
      <c r="F81" s="21">
        <f t="shared" ref="F81:F84" si="7">D81/$E$73*E81</f>
        <v>0.16552185459555521</v>
      </c>
      <c r="I81" s="49">
        <v>1</v>
      </c>
      <c r="J81" s="49"/>
      <c r="L81" s="37">
        <v>8</v>
      </c>
      <c r="M81" s="37">
        <v>5.7999999999999996E-2</v>
      </c>
      <c r="N81" s="37">
        <v>0.92</v>
      </c>
      <c r="O81" s="27" t="str" cm="1">
        <f t="array" ref="O81">_xlfn.LET(_xlpm._rate_arr,$B$76:$B$84,
_xlpm._odds_arr,INT(_xlfn.NORM.DIST(_xlpm._rate_arr,AVERAGE(_xlpm._rate_arr)*N81,M81,FALSE)*10000),
_xlfn.TEXTJOIN(";",1,_xlfn.MAP(_xlpm._rate_arr,_xlpm._odds_arr,_xlfn.LAMBDA(_xlpm.r,_xlpm.o,IF(_xlpm.o&lt;&gt;0,_xlpm.r*1000&amp;"~"&amp;_xlpm.o,"")))))</f>
        <v>700~51;800~8090;900~64812;1000~26568;1100~557</v>
      </c>
    </row>
    <row r="82" spans="2:15" x14ac:dyDescent="0.2">
      <c r="B82" s="16">
        <v>1.2</v>
      </c>
      <c r="C82" s="16">
        <v>2.5704649938185182E-2</v>
      </c>
      <c r="D82" s="16">
        <v>257</v>
      </c>
      <c r="E82" s="17" t="b">
        <v>1</v>
      </c>
      <c r="F82" s="21">
        <f t="shared" si="7"/>
        <v>2.5658433337992451E-3</v>
      </c>
      <c r="L82" s="37">
        <v>9</v>
      </c>
      <c r="M82" s="37">
        <v>5.8999999999999997E-2</v>
      </c>
      <c r="N82" s="37">
        <v>0.96</v>
      </c>
      <c r="O82" s="27" t="str" cm="1">
        <f t="array" ref="O82">_xlfn.LET(_xlpm._rate_arr,$B$76:$B$84,
_xlpm._odds_arr,INT(_xlfn.NORM.DIST(_xlpm._rate_arr,AVERAGE(_xlpm._rate_arr)*N82,M82,FALSE)*10000),
_xlfn.TEXTJOIN(";",1,_xlfn.MAP(_xlpm._rate_arr,_xlpm._odds_arr,_xlfn.LAMBDA(_xlpm.r,_xlpm.o,IF(_xlpm.o&lt;&gt;0,_xlpm.r*1000&amp;"~"&amp;_xlpm.o,"")))))</f>
        <v>700~4;800~1710;900~40316;1000~53733;1100~4049;1200~17</v>
      </c>
    </row>
    <row r="83" spans="2:15" x14ac:dyDescent="0.2">
      <c r="B83" s="16">
        <v>1.3</v>
      </c>
      <c r="C83" s="16">
        <v>2.4778658578904877E-5</v>
      </c>
      <c r="D83" s="16">
        <v>0</v>
      </c>
      <c r="E83" s="17" t="b">
        <v>1</v>
      </c>
      <c r="F83" s="21">
        <f t="shared" si="7"/>
        <v>0</v>
      </c>
      <c r="L83" s="37">
        <v>10</v>
      </c>
      <c r="M83" s="37">
        <v>0.06</v>
      </c>
      <c r="N83" s="37">
        <v>1</v>
      </c>
      <c r="O83" s="27" t="str" cm="1">
        <f t="array" ref="O83">_xlfn.LET(_xlpm._rate_arr,$B$76:$B$84,
_xlpm._odds_arr,INT(_xlfn.NORM.DIST(_xlpm._rate_arr,AVERAGE(_xlpm._rate_arr)*N83,M83,FALSE)*10000),
_xlfn.TEXTJOIN(";",1,_xlfn.MAP(_xlpm._rate_arr,_xlpm._odds_arr,_xlfn.LAMBDA(_xlpm.r,_xlpm.o,IF(_xlpm.o&lt;&gt;0,_xlpm.r*1000&amp;"~"&amp;_xlpm.o,"")))))</f>
        <v>800~257;900~16579;1000~66490;1100~16579;1200~257</v>
      </c>
    </row>
    <row r="84" spans="2:15" x14ac:dyDescent="0.2">
      <c r="B84" s="16">
        <v>1.4</v>
      </c>
      <c r="C84" s="16">
        <v>1.4851500312253799E-9</v>
      </c>
      <c r="D84" s="16">
        <v>0</v>
      </c>
      <c r="E84" s="17" t="b">
        <v>1</v>
      </c>
      <c r="F84" s="21">
        <f t="shared" si="7"/>
        <v>0</v>
      </c>
      <c r="L84" s="37">
        <v>11</v>
      </c>
      <c r="M84" s="37">
        <v>5.8999999999999997E-2</v>
      </c>
      <c r="N84" s="37">
        <v>1.04</v>
      </c>
      <c r="O84" s="27" t="str" cm="1">
        <f t="array" ref="O84">_xlfn.LET(_xlpm._rate_arr,$B$76:$B$84,
_xlpm._odds_arr,INT(_xlfn.NORM.DIST(_xlpm._rate_arr,AVERAGE(_xlpm._rate_arr)*N84,M84,FALSE)*10000),
_xlfn.TEXTJOIN(";",1,_xlfn.MAP(_xlpm._rate_arr,_xlpm._odds_arr,_xlfn.LAMBDA(_xlpm.r,_xlpm.o,IF(_xlpm.o&lt;&gt;0,_xlpm.r*1000&amp;"~"&amp;_xlpm.o,"")))))</f>
        <v>800~17;900~4049;1000~53733;1100~40316;1200~1710;1300~4</v>
      </c>
    </row>
    <row r="85" spans="2:15" x14ac:dyDescent="0.2">
      <c r="E85" s="17"/>
      <c r="F85" s="21"/>
      <c r="L85" s="37">
        <v>12</v>
      </c>
      <c r="M85" s="37">
        <v>5.7999999999999996E-2</v>
      </c>
      <c r="N85" s="37">
        <v>1.08</v>
      </c>
      <c r="O85" s="27" t="str" cm="1">
        <f t="array" ref="O85">_xlfn.LET(_xlpm._rate_arr,$B$76:$B$84,
_xlpm._odds_arr,INT(_xlfn.NORM.DIST(_xlpm._rate_arr,AVERAGE(_xlpm._rate_arr)*N85,M85,FALSE)*10000),
_xlfn.TEXTJOIN(";",1,_xlfn.MAP(_xlpm._rate_arr,_xlpm._odds_arr,_xlfn.LAMBDA(_xlpm.r,_xlpm.o,IF(_xlpm.o&lt;&gt;0,_xlpm.r*1000&amp;"~"&amp;_xlpm.o,"")))))</f>
        <v>900~557;1000~26568;1100~64812;1200~8090;1300~51</v>
      </c>
    </row>
    <row r="86" spans="2:15" x14ac:dyDescent="0.2">
      <c r="L86" s="37">
        <v>13</v>
      </c>
      <c r="M86" s="37">
        <v>5.6999999999999995E-2</v>
      </c>
      <c r="N86" s="37">
        <v>1.1200000000000001</v>
      </c>
      <c r="O86" s="27" t="str" cm="1">
        <f t="array" ref="O86">_xlfn.LET(_xlpm._rate_arr,$B$76:$B$84,
_xlpm._odds_arr,INT(_xlfn.NORM.DIST(_xlpm._rate_arr,AVERAGE(_xlpm._rate_arr)*N86,M86,FALSE)*10000),
_xlfn.TEXTJOIN(";",1,_xlfn.MAP(_xlpm._rate_arr,_xlpm._odds_arr,_xlfn.LAMBDA(_xlpm.r,_xlpm.o,IF(_xlpm.o&lt;&gt;0,_xlpm.r*1000&amp;"~"&amp;_xlpm.o,"")))))</f>
        <v>900~40;1000~7631;1100~65811;1200~26139;1300~478</v>
      </c>
    </row>
    <row r="87" spans="2:15" x14ac:dyDescent="0.2">
      <c r="L87" s="37">
        <v>14</v>
      </c>
      <c r="M87" s="37">
        <v>5.5999999999999994E-2</v>
      </c>
      <c r="N87" s="37">
        <v>1.1599999999999999</v>
      </c>
      <c r="O87" s="27" t="str" cm="1">
        <f t="array" ref="O87">_xlfn.LET(_xlpm._rate_arr,$B$76:$B$84,
_xlpm._odds_arr,INT(_xlfn.NORM.DIST(_xlpm._rate_arr,AVERAGE(_xlpm._rate_arr)*N87,M87,FALSE)*10000),
_xlfn.TEXTJOIN(";",1,_xlfn.MAP(_xlpm._rate_arr,_xlpm._odds_arr,_xlfn.LAMBDA(_xlpm.r,_xlpm.o,IF(_xlpm.o&lt;&gt;0,_xlpm.r*1000&amp;"~"&amp;_xlpm.o,"")))))</f>
        <v>900~1;1000~1202;1100~40127;1200~55199;1300~3130;1400~7</v>
      </c>
    </row>
    <row r="88" spans="2:15" x14ac:dyDescent="0.2">
      <c r="L88" s="37">
        <v>15</v>
      </c>
      <c r="M88" s="37">
        <v>5.5E-2</v>
      </c>
      <c r="N88" s="37">
        <v>1.2</v>
      </c>
      <c r="O88" s="27" t="str" cm="1">
        <f t="array" ref="O88">_xlfn.LET(_xlpm._rate_arr,$B$76:$B$84,
_xlpm._odds_arr,INT(_xlfn.NORM.DIST(_xlpm._rate_arr,AVERAGE(_xlpm._rate_arr)*N88,M88,FALSE)*10000),
_xlfn.TEXTJOIN(";",1,_xlfn.MAP(_xlpm._rate_arr,_xlpm._odds_arr,_xlfn.LAMBDA(_xlpm.r,_xlpm.o,IF(_xlpm.o&lt;&gt;0,_xlpm.r*1000&amp;"~"&amp;_xlpm.o,"")))))</f>
        <v>1000~97;1100~13890;1200~72534;1300~13890;1400~97</v>
      </c>
    </row>
    <row r="89" spans="2:15" x14ac:dyDescent="0.2">
      <c r="L89" s="37">
        <v>16</v>
      </c>
      <c r="M89" s="37">
        <v>5.3999999999999999E-2</v>
      </c>
      <c r="N89" s="37">
        <v>1.24</v>
      </c>
      <c r="O89" s="27" t="str" cm="1">
        <f t="array" ref="O89">_xlfn.LET(_xlpm._rate_arr,$B$76:$B$84,
_xlpm._odds_arr,INT(_xlfn.NORM.DIST(_xlpm._rate_arr,AVERAGE(_xlpm._rate_arr)*N89,M89,FALSE)*10000),
_xlfn.TEXTJOIN(";",1,_xlfn.MAP(_xlpm._rate_arr,_xlpm._odds_arr,_xlfn.LAMBDA(_xlpm.r,_xlpm.o,IF(_xlpm.o&lt;&gt;0,_xlpm.r*1000&amp;"~"&amp;_xlpm.o,"")))))</f>
        <v>1000~3;1100~2564;1200~56152;1300~39850;1400~916</v>
      </c>
    </row>
    <row r="90" spans="2:15" x14ac:dyDescent="0.2">
      <c r="L90" s="37">
        <v>17</v>
      </c>
      <c r="M90" s="37">
        <v>5.2999999999999999E-2</v>
      </c>
      <c r="N90" s="37">
        <v>1.28</v>
      </c>
      <c r="O90" s="27" t="str" cm="1">
        <f t="array" ref="O90">_xlfn.LET(_xlpm._rate_arr,$B$76:$B$84,
_xlpm._odds_arr,INT(_xlfn.NORM.DIST(_xlpm._rate_arr,AVERAGE(_xlpm._rate_arr)*N90,M90,FALSE)*10000),
_xlfn.TEXTJOIN(";",1,_xlfn.MAP(_xlpm._rate_arr,_xlpm._odds_arr,_xlfn.LAMBDA(_xlpm.r,_xlpm.o,IF(_xlpm.o&lt;&gt;0,_xlpm.r*1000&amp;"~"&amp;_xlpm.o,"")))))</f>
        <v>1100~235;1200~24092;1300~70099;1400~5800</v>
      </c>
    </row>
    <row r="91" spans="2:15" x14ac:dyDescent="0.2">
      <c r="L91" s="37">
        <v>18</v>
      </c>
      <c r="M91" s="37">
        <v>5.1999999999999998E-2</v>
      </c>
      <c r="N91" s="37">
        <v>1.32</v>
      </c>
      <c r="O91" s="27" t="str" cm="1">
        <f t="array" ref="O91">_xlfn.LET(_xlpm._rate_arr,$B$76:$B$84,
_xlpm._odds_arr,INT(_xlfn.NORM.DIST(_xlpm._rate_arr,AVERAGE(_xlpm._rate_arr)*N91,M91,FALSE)*10000),
_xlfn.TEXTJOIN(";",1,_xlfn.MAP(_xlpm._rate_arr,_xlpm._odds_arr,_xlfn.LAMBDA(_xlpm.r,_xlpm.o,IF(_xlpm.o&lt;&gt;0,_xlpm.r*1000&amp;"~"&amp;_xlpm.o,"")))))</f>
        <v>1100~9;1200~5351;1300~71249;1400~23493</v>
      </c>
    </row>
    <row r="92" spans="2:15" x14ac:dyDescent="0.2">
      <c r="L92" s="37">
        <v>19</v>
      </c>
      <c r="M92" s="37">
        <v>5.0999999999999997E-2</v>
      </c>
      <c r="N92" s="37">
        <v>1.3599999999999999</v>
      </c>
      <c r="O92" s="27" t="str" cm="1">
        <f t="array" ref="O92">_xlfn.LET(_xlpm._rate_arr,$B$76:$B$84,
_xlpm._odds_arr,INT(_xlfn.NORM.DIST(_xlpm._rate_arr,AVERAGE(_xlpm._rate_arr)*N92,M92,FALSE)*10000),
_xlfn.TEXTJOIN(";",1,_xlfn.MAP(_xlpm._rate_arr,_xlpm._odds_arr,_xlfn.LAMBDA(_xlpm.r,_xlpm.o,IF(_xlpm.o&lt;&gt;0,_xlpm.r*1000&amp;"~"&amp;_xlpm.o,"")))))</f>
        <v>1200~570;1300~39155;1400~57512</v>
      </c>
    </row>
    <row r="93" spans="2:15" x14ac:dyDescent="0.2">
      <c r="L93" s="38">
        <v>20</v>
      </c>
      <c r="M93" s="38">
        <v>4.9999999999999996E-2</v>
      </c>
      <c r="N93" s="38">
        <v>1.4</v>
      </c>
      <c r="O93" s="27" t="str" cm="1">
        <f t="array" ref="O93">_xlfn.LET(_xlpm._rate_arr,$B$76:$B$84,
_xlpm._odds_arr,INT(_xlfn.NORM.DIST(_xlpm._rate_arr,AVERAGE(_xlpm._rate_arr)*N93,M93,FALSE)*10000),
_xlfn.TEXTJOIN(";",1,_xlfn.MAP(_xlpm._rate_arr,_xlpm._odds_arr,_xlfn.LAMBDA(_xlpm.r,_xlpm.o,IF(_xlpm.o&lt;&gt;0,_xlpm.r*1000&amp;"~"&amp;_xlpm.o,"")))))</f>
        <v>1200~26;1300~10798;1400~79788</v>
      </c>
    </row>
    <row r="97" spans="1:26" s="20" customFormat="1" x14ac:dyDescent="0.2">
      <c r="A97" s="45" t="s">
        <v>420</v>
      </c>
    </row>
    <row r="100" spans="1:26" x14ac:dyDescent="0.2">
      <c r="B100" s="15" t="s">
        <v>421</v>
      </c>
      <c r="C100" s="17" t="s">
        <v>401</v>
      </c>
      <c r="D100" s="17" t="s">
        <v>402</v>
      </c>
      <c r="E100" s="17" t="s">
        <v>403</v>
      </c>
      <c r="G100" s="15" t="s">
        <v>404</v>
      </c>
    </row>
    <row r="101" spans="1:26" x14ac:dyDescent="0.2">
      <c r="B101" s="16">
        <v>8</v>
      </c>
      <c r="C101" s="16">
        <v>1</v>
      </c>
      <c r="D101" s="16">
        <v>9.5</v>
      </c>
      <c r="E101" s="16">
        <v>18</v>
      </c>
      <c r="G101" s="16" cm="1">
        <f t="array" ref="G101:Z101">ROUND(_xlfn.NORM.DIST(_xlfn.SEQUENCE(1,20),C101,D101,0)*E101*1000,0)</f>
        <v>756</v>
      </c>
      <c r="H101" s="16">
        <v>752</v>
      </c>
      <c r="I101" s="16">
        <v>739</v>
      </c>
      <c r="J101" s="16">
        <v>719</v>
      </c>
      <c r="K101" s="16">
        <v>692</v>
      </c>
      <c r="L101" s="16">
        <v>658</v>
      </c>
      <c r="M101" s="16">
        <v>619</v>
      </c>
      <c r="N101" s="16">
        <v>576</v>
      </c>
      <c r="O101" s="16">
        <v>530</v>
      </c>
      <c r="P101" s="16">
        <v>483</v>
      </c>
      <c r="Q101" s="16">
        <v>434</v>
      </c>
      <c r="R101" s="16">
        <v>387</v>
      </c>
      <c r="S101" s="16">
        <v>340</v>
      </c>
      <c r="T101" s="16">
        <v>296</v>
      </c>
      <c r="U101" s="16">
        <v>255</v>
      </c>
      <c r="V101" s="16">
        <v>217</v>
      </c>
      <c r="W101" s="16">
        <v>183</v>
      </c>
      <c r="X101" s="16">
        <v>152</v>
      </c>
      <c r="Y101" s="16">
        <v>126</v>
      </c>
      <c r="Z101" s="16">
        <v>102</v>
      </c>
    </row>
    <row r="102" spans="1:26" x14ac:dyDescent="0.2">
      <c r="B102" s="16">
        <v>9</v>
      </c>
      <c r="C102" s="16">
        <v>3</v>
      </c>
      <c r="D102" s="16">
        <v>9</v>
      </c>
      <c r="E102" s="16">
        <v>16</v>
      </c>
      <c r="G102" s="16" cm="1">
        <f t="array" ref="G102:Z102">ROUND(_xlfn.NORM.DIST(_xlfn.SEQUENCE(1,20),C102,D102,0)*E102*1000,0)</f>
        <v>692</v>
      </c>
      <c r="H102" s="16">
        <v>705</v>
      </c>
      <c r="I102" s="16">
        <v>709</v>
      </c>
      <c r="J102" s="16">
        <v>705</v>
      </c>
      <c r="K102" s="16">
        <v>692</v>
      </c>
      <c r="L102" s="16">
        <v>671</v>
      </c>
      <c r="M102" s="16">
        <v>643</v>
      </c>
      <c r="N102" s="16">
        <v>608</v>
      </c>
      <c r="O102" s="16">
        <v>568</v>
      </c>
      <c r="P102" s="16">
        <v>524</v>
      </c>
      <c r="Q102" s="16">
        <v>478</v>
      </c>
      <c r="R102" s="16">
        <v>430</v>
      </c>
      <c r="S102" s="16">
        <v>383</v>
      </c>
      <c r="T102" s="16">
        <v>336</v>
      </c>
      <c r="U102" s="16">
        <v>292</v>
      </c>
      <c r="V102" s="16">
        <v>250</v>
      </c>
      <c r="W102" s="16">
        <v>212</v>
      </c>
      <c r="X102" s="16">
        <v>177</v>
      </c>
      <c r="Y102" s="16">
        <v>146</v>
      </c>
      <c r="Z102" s="16">
        <v>119</v>
      </c>
    </row>
    <row r="103" spans="1:26" x14ac:dyDescent="0.2">
      <c r="B103" s="16">
        <v>10</v>
      </c>
      <c r="C103" s="16">
        <v>5</v>
      </c>
      <c r="D103" s="16">
        <v>8.5</v>
      </c>
      <c r="E103" s="16">
        <v>14</v>
      </c>
      <c r="G103" s="16" cm="1">
        <f t="array" ref="G103:Z103">ROUND(_xlfn.NORM.DIST(_xlfn.SEQUENCE(1,20),C103,D103,0)*E103*1000,0)</f>
        <v>588</v>
      </c>
      <c r="H103" s="16">
        <v>617</v>
      </c>
      <c r="I103" s="16">
        <v>639</v>
      </c>
      <c r="J103" s="16">
        <v>653</v>
      </c>
      <c r="K103" s="16">
        <v>657</v>
      </c>
      <c r="L103" s="16">
        <v>653</v>
      </c>
      <c r="M103" s="16">
        <v>639</v>
      </c>
      <c r="N103" s="16">
        <v>617</v>
      </c>
      <c r="O103" s="16">
        <v>588</v>
      </c>
      <c r="P103" s="16">
        <v>553</v>
      </c>
      <c r="Q103" s="16">
        <v>512</v>
      </c>
      <c r="R103" s="16">
        <v>468</v>
      </c>
      <c r="S103" s="16">
        <v>422</v>
      </c>
      <c r="T103" s="16">
        <v>375</v>
      </c>
      <c r="U103" s="16">
        <v>329</v>
      </c>
      <c r="V103" s="16">
        <v>284</v>
      </c>
      <c r="W103" s="16">
        <v>243</v>
      </c>
      <c r="X103" s="16">
        <v>204</v>
      </c>
      <c r="Y103" s="16">
        <v>169</v>
      </c>
      <c r="Z103" s="16">
        <v>138</v>
      </c>
    </row>
    <row r="104" spans="1:26" x14ac:dyDescent="0.2">
      <c r="B104" s="16">
        <v>11</v>
      </c>
      <c r="C104" s="16">
        <v>7</v>
      </c>
      <c r="D104" s="16">
        <v>8</v>
      </c>
      <c r="E104" s="16">
        <v>12</v>
      </c>
      <c r="G104" s="16" cm="1">
        <f t="array" ref="G104:Z104">ROUND(_xlfn.NORM.DIST(_xlfn.SEQUENCE(1,20),C104,D104,0)*E104*1000,0)</f>
        <v>452</v>
      </c>
      <c r="H104" s="16">
        <v>492</v>
      </c>
      <c r="I104" s="16">
        <v>528</v>
      </c>
      <c r="J104" s="16">
        <v>558</v>
      </c>
      <c r="K104" s="16">
        <v>580</v>
      </c>
      <c r="L104" s="16">
        <v>594</v>
      </c>
      <c r="M104" s="16">
        <v>598</v>
      </c>
      <c r="N104" s="16">
        <v>594</v>
      </c>
      <c r="O104" s="16">
        <v>580</v>
      </c>
      <c r="P104" s="16">
        <v>558</v>
      </c>
      <c r="Q104" s="16">
        <v>528</v>
      </c>
      <c r="R104" s="16">
        <v>492</v>
      </c>
      <c r="S104" s="16">
        <v>452</v>
      </c>
      <c r="T104" s="16">
        <v>408</v>
      </c>
      <c r="U104" s="16">
        <v>363</v>
      </c>
      <c r="V104" s="16">
        <v>318</v>
      </c>
      <c r="W104" s="16">
        <v>274</v>
      </c>
      <c r="X104" s="16">
        <v>233</v>
      </c>
      <c r="Y104" s="16">
        <v>194</v>
      </c>
      <c r="Z104" s="16">
        <v>160</v>
      </c>
    </row>
    <row r="105" spans="1:26" x14ac:dyDescent="0.2">
      <c r="B105" s="16">
        <v>12</v>
      </c>
      <c r="C105" s="16">
        <v>9</v>
      </c>
      <c r="D105" s="16">
        <v>7.5</v>
      </c>
      <c r="E105" s="16">
        <v>10</v>
      </c>
      <c r="G105" s="16" cm="1">
        <f t="array" ref="G105:Z105">ROUND(_xlfn.NORM.DIST(_xlfn.SEQUENCE(1,20),C105,D105,0)*E105*1000,0)</f>
        <v>301</v>
      </c>
      <c r="H105" s="16">
        <v>344</v>
      </c>
      <c r="I105" s="16">
        <v>386</v>
      </c>
      <c r="J105" s="16">
        <v>426</v>
      </c>
      <c r="K105" s="16">
        <v>461</v>
      </c>
      <c r="L105" s="16">
        <v>491</v>
      </c>
      <c r="M105" s="16">
        <v>513</v>
      </c>
      <c r="N105" s="16">
        <v>527</v>
      </c>
      <c r="O105" s="16">
        <v>532</v>
      </c>
      <c r="P105" s="16">
        <v>527</v>
      </c>
      <c r="Q105" s="16">
        <v>513</v>
      </c>
      <c r="R105" s="16">
        <v>491</v>
      </c>
      <c r="S105" s="16">
        <v>461</v>
      </c>
      <c r="T105" s="16">
        <v>426</v>
      </c>
      <c r="U105" s="16">
        <v>386</v>
      </c>
      <c r="V105" s="16">
        <v>344</v>
      </c>
      <c r="W105" s="16">
        <v>301</v>
      </c>
      <c r="X105" s="16">
        <v>259</v>
      </c>
      <c r="Y105" s="16">
        <v>219</v>
      </c>
      <c r="Z105" s="16">
        <v>181</v>
      </c>
    </row>
    <row r="106" spans="1:26" x14ac:dyDescent="0.2">
      <c r="B106" s="16">
        <v>13</v>
      </c>
      <c r="C106" s="16">
        <v>11</v>
      </c>
      <c r="D106" s="16">
        <v>7</v>
      </c>
      <c r="E106" s="16">
        <v>8</v>
      </c>
      <c r="G106" s="16" cm="1">
        <f t="array" ref="G106:Z106">ROUND(_xlfn.NORM.DIST(_xlfn.SEQUENCE(1,20),C106,D106,0)*E106*1000,0)</f>
        <v>164</v>
      </c>
      <c r="H106" s="16">
        <v>200</v>
      </c>
      <c r="I106" s="16">
        <v>237</v>
      </c>
      <c r="J106" s="16">
        <v>277</v>
      </c>
      <c r="K106" s="16">
        <v>316</v>
      </c>
      <c r="L106" s="16">
        <v>353</v>
      </c>
      <c r="M106" s="16">
        <v>387</v>
      </c>
      <c r="N106" s="16">
        <v>416</v>
      </c>
      <c r="O106" s="16">
        <v>438</v>
      </c>
      <c r="P106" s="16">
        <v>451</v>
      </c>
      <c r="Q106" s="16">
        <v>456</v>
      </c>
      <c r="R106" s="16">
        <v>451</v>
      </c>
      <c r="S106" s="16">
        <v>438</v>
      </c>
      <c r="T106" s="16">
        <v>416</v>
      </c>
      <c r="U106" s="16">
        <v>387</v>
      </c>
      <c r="V106" s="16">
        <v>353</v>
      </c>
      <c r="W106" s="16">
        <v>316</v>
      </c>
      <c r="X106" s="16">
        <v>277</v>
      </c>
      <c r="Y106" s="16">
        <v>237</v>
      </c>
      <c r="Z106" s="16">
        <v>200</v>
      </c>
    </row>
    <row r="107" spans="1:26" x14ac:dyDescent="0.2">
      <c r="B107" s="16">
        <v>14</v>
      </c>
      <c r="C107" s="16">
        <v>13</v>
      </c>
      <c r="D107" s="16">
        <v>6.5</v>
      </c>
      <c r="E107" s="16">
        <v>6</v>
      </c>
      <c r="G107" s="16" cm="1">
        <f t="array" ref="G107:Z107">ROUND(_xlfn.NORM.DIST(_xlfn.SEQUENCE(1,20),C107,D107,0)*E107*1000,0)</f>
        <v>67</v>
      </c>
      <c r="H107" s="16">
        <v>88</v>
      </c>
      <c r="I107" s="16">
        <v>113</v>
      </c>
      <c r="J107" s="16">
        <v>141</v>
      </c>
      <c r="K107" s="16">
        <v>173</v>
      </c>
      <c r="L107" s="16">
        <v>206</v>
      </c>
      <c r="M107" s="16">
        <v>241</v>
      </c>
      <c r="N107" s="16">
        <v>274</v>
      </c>
      <c r="O107" s="16">
        <v>305</v>
      </c>
      <c r="P107" s="16">
        <v>331</v>
      </c>
      <c r="Q107" s="16">
        <v>351</v>
      </c>
      <c r="R107" s="16">
        <v>364</v>
      </c>
      <c r="S107" s="16">
        <v>368</v>
      </c>
      <c r="T107" s="16">
        <v>364</v>
      </c>
      <c r="U107" s="16">
        <v>351</v>
      </c>
      <c r="V107" s="16">
        <v>331</v>
      </c>
      <c r="W107" s="16">
        <v>305</v>
      </c>
      <c r="X107" s="16">
        <v>274</v>
      </c>
      <c r="Y107" s="16">
        <v>241</v>
      </c>
      <c r="Z107" s="16">
        <v>206</v>
      </c>
    </row>
    <row r="108" spans="1:26" x14ac:dyDescent="0.2">
      <c r="B108" s="16">
        <v>15</v>
      </c>
      <c r="C108" s="16">
        <v>15</v>
      </c>
      <c r="D108" s="16">
        <v>6</v>
      </c>
      <c r="E108" s="16">
        <v>4</v>
      </c>
      <c r="G108" s="16" cm="1">
        <f t="array" ref="G108:Z108">ROUND(_xlfn.NORM.DIST(_xlfn.SEQUENCE(1,20),C108,D108,0)*E108*1000,0)</f>
        <v>17</v>
      </c>
      <c r="H108" s="16">
        <v>25</v>
      </c>
      <c r="I108" s="16">
        <v>36</v>
      </c>
      <c r="J108" s="16">
        <v>50</v>
      </c>
      <c r="K108" s="16">
        <v>66</v>
      </c>
      <c r="L108" s="16">
        <v>86</v>
      </c>
      <c r="M108" s="16">
        <v>109</v>
      </c>
      <c r="N108" s="16">
        <v>135</v>
      </c>
      <c r="O108" s="16">
        <v>161</v>
      </c>
      <c r="P108" s="16">
        <v>188</v>
      </c>
      <c r="Q108" s="16">
        <v>213</v>
      </c>
      <c r="R108" s="16">
        <v>235</v>
      </c>
      <c r="S108" s="16">
        <v>252</v>
      </c>
      <c r="T108" s="16">
        <v>262</v>
      </c>
      <c r="U108" s="16">
        <v>266</v>
      </c>
      <c r="V108" s="16">
        <v>262</v>
      </c>
      <c r="W108" s="16">
        <v>252</v>
      </c>
      <c r="X108" s="16">
        <v>235</v>
      </c>
      <c r="Y108" s="16">
        <v>213</v>
      </c>
      <c r="Z108" s="16">
        <v>188</v>
      </c>
    </row>
    <row r="109" spans="1:26" x14ac:dyDescent="0.2">
      <c r="B109" s="16">
        <v>16</v>
      </c>
      <c r="C109" s="16">
        <v>17</v>
      </c>
      <c r="D109" s="16">
        <v>5.5</v>
      </c>
      <c r="E109" s="16">
        <v>2</v>
      </c>
      <c r="G109" s="16" cm="1">
        <f t="array" ref="G109:Z109">ROUND(_xlfn.NORM.DIST(_xlfn.SEQUENCE(1,20),C109,D109,0)*E109*1000,0)</f>
        <v>2</v>
      </c>
      <c r="H109" s="16">
        <v>4</v>
      </c>
      <c r="I109" s="16">
        <v>6</v>
      </c>
      <c r="J109" s="16">
        <v>9</v>
      </c>
      <c r="K109" s="16">
        <v>13</v>
      </c>
      <c r="L109" s="16">
        <v>20</v>
      </c>
      <c r="M109" s="16">
        <v>28</v>
      </c>
      <c r="N109" s="16">
        <v>38</v>
      </c>
      <c r="O109" s="16">
        <v>50</v>
      </c>
      <c r="P109" s="16">
        <v>65</v>
      </c>
      <c r="Q109" s="16">
        <v>80</v>
      </c>
      <c r="R109" s="16">
        <v>96</v>
      </c>
      <c r="S109" s="16">
        <v>111</v>
      </c>
      <c r="T109" s="16">
        <v>125</v>
      </c>
      <c r="U109" s="16">
        <v>136</v>
      </c>
      <c r="V109" s="16">
        <v>143</v>
      </c>
      <c r="W109" s="16">
        <v>145</v>
      </c>
      <c r="X109" s="16">
        <v>143</v>
      </c>
      <c r="Y109" s="16">
        <v>136</v>
      </c>
      <c r="Z109" s="16">
        <v>125</v>
      </c>
    </row>
    <row r="113" spans="1:26" s="20" customFormat="1" x14ac:dyDescent="0.2">
      <c r="A113" s="45" t="s">
        <v>422</v>
      </c>
    </row>
    <row r="116" spans="1:26" x14ac:dyDescent="0.2">
      <c r="B116" s="15" t="s">
        <v>400</v>
      </c>
      <c r="C116" s="17" t="s">
        <v>401</v>
      </c>
      <c r="D116" s="17" t="s">
        <v>402</v>
      </c>
      <c r="E116" s="17" t="s">
        <v>403</v>
      </c>
      <c r="F116" s="17" t="s">
        <v>432</v>
      </c>
      <c r="G116" s="15" t="s">
        <v>404</v>
      </c>
    </row>
    <row r="117" spans="1:26" x14ac:dyDescent="0.2">
      <c r="B117" s="16">
        <v>0</v>
      </c>
      <c r="C117" s="16">
        <f>LN(2)</f>
        <v>0.69314718055994529</v>
      </c>
      <c r="D117" s="16">
        <v>2</v>
      </c>
      <c r="E117" s="16">
        <v>0.6</v>
      </c>
      <c r="F117" s="16">
        <v>20</v>
      </c>
      <c r="G117" s="16" cm="1">
        <f t="array" ref="G117:Z117">_xlfn.MAKEARRAY(1,20,_xlfn.LAMBDA(_xlpm.x,_xlpm.y,MAX(0,ROUND((_xlfn.LOGNORM.DIST(LN(_xlpm.y+1),C117,D117,0)*E117*1000-F117),0))))</f>
        <v>130</v>
      </c>
      <c r="H117" s="16">
        <v>84</v>
      </c>
      <c r="I117" s="16">
        <v>65</v>
      </c>
      <c r="J117" s="16">
        <v>54</v>
      </c>
      <c r="K117" s="16">
        <v>47</v>
      </c>
      <c r="L117" s="16">
        <v>41</v>
      </c>
      <c r="M117" s="16">
        <v>38</v>
      </c>
      <c r="N117" s="16">
        <v>34</v>
      </c>
      <c r="O117" s="16">
        <v>32</v>
      </c>
      <c r="P117" s="16">
        <v>30</v>
      </c>
      <c r="Q117" s="16">
        <v>28</v>
      </c>
      <c r="R117" s="16">
        <v>26</v>
      </c>
      <c r="S117" s="16">
        <v>25</v>
      </c>
      <c r="T117" s="16">
        <v>24</v>
      </c>
      <c r="U117" s="16">
        <v>23</v>
      </c>
      <c r="V117" s="16">
        <v>22</v>
      </c>
      <c r="W117" s="16">
        <v>21</v>
      </c>
      <c r="X117" s="16">
        <v>20</v>
      </c>
      <c r="Y117" s="16">
        <v>19</v>
      </c>
      <c r="Z117" s="16">
        <v>18</v>
      </c>
    </row>
    <row r="118" spans="1:26" x14ac:dyDescent="0.2">
      <c r="B118" s="16">
        <v>1</v>
      </c>
      <c r="C118" s="16">
        <f>LN(6)</f>
        <v>1.791759469228055</v>
      </c>
      <c r="D118" s="16">
        <v>1.5</v>
      </c>
      <c r="E118" s="16">
        <v>0.7</v>
      </c>
      <c r="F118" s="16">
        <v>17.5</v>
      </c>
      <c r="G118" s="16" cm="1">
        <f t="array" ref="G118:Z118">_xlfn.MAKEARRAY(1,20,_xlfn.LAMBDA(_xlpm.x,_xlpm.y,MAX(0,ROUND((_xlfn.LOGNORM.DIST(LN(_xlpm.y+1),C118,D118,0)*E118*1000-F118),0))))</f>
        <v>78</v>
      </c>
      <c r="H118" s="16">
        <v>72</v>
      </c>
      <c r="I118" s="16">
        <v>66</v>
      </c>
      <c r="J118" s="16">
        <v>61</v>
      </c>
      <c r="K118" s="16">
        <v>58</v>
      </c>
      <c r="L118" s="16">
        <v>55</v>
      </c>
      <c r="M118" s="16">
        <v>52</v>
      </c>
      <c r="N118" s="16">
        <v>50</v>
      </c>
      <c r="O118" s="16">
        <v>48</v>
      </c>
      <c r="P118" s="16">
        <v>47</v>
      </c>
      <c r="Q118" s="16">
        <v>46</v>
      </c>
      <c r="R118" s="16">
        <v>44</v>
      </c>
      <c r="S118" s="16">
        <v>43</v>
      </c>
      <c r="T118" s="16">
        <v>42</v>
      </c>
      <c r="U118" s="16">
        <v>41</v>
      </c>
      <c r="V118" s="16">
        <v>40</v>
      </c>
      <c r="W118" s="16">
        <v>40</v>
      </c>
      <c r="X118" s="16">
        <v>39</v>
      </c>
      <c r="Y118" s="16">
        <v>38</v>
      </c>
      <c r="Z118" s="16">
        <v>38</v>
      </c>
    </row>
    <row r="119" spans="1:26" x14ac:dyDescent="0.2">
      <c r="B119" s="16">
        <v>2</v>
      </c>
      <c r="C119" s="16">
        <f>LN(11)</f>
        <v>2.3978952727983707</v>
      </c>
      <c r="D119" s="16">
        <v>1</v>
      </c>
      <c r="E119" s="16">
        <v>0.8</v>
      </c>
      <c r="F119" s="16">
        <v>15</v>
      </c>
      <c r="G119" s="16" cm="1">
        <f t="array" ref="G119:Z119">_xlfn.MAKEARRAY(1,20,_xlfn.LAMBDA(_xlpm.x,_xlpm.y,MAX(0,ROUND((_xlfn.LOGNORM.DIST(LN(_xlpm.y+1),C119,D119,0)*E119*1000-F119),0))))</f>
        <v>0</v>
      </c>
      <c r="H119" s="16">
        <v>5</v>
      </c>
      <c r="I119" s="16">
        <v>12</v>
      </c>
      <c r="J119" s="16">
        <v>16</v>
      </c>
      <c r="K119" s="16">
        <v>19</v>
      </c>
      <c r="L119" s="16">
        <v>22</v>
      </c>
      <c r="M119" s="16">
        <v>23</v>
      </c>
      <c r="N119" s="16">
        <v>25</v>
      </c>
      <c r="O119" s="16">
        <v>26</v>
      </c>
      <c r="P119" s="16">
        <v>27</v>
      </c>
      <c r="Q119" s="16">
        <v>27</v>
      </c>
      <c r="R119" s="16">
        <v>28</v>
      </c>
      <c r="S119" s="16">
        <v>29</v>
      </c>
      <c r="T119" s="16">
        <v>29</v>
      </c>
      <c r="U119" s="16">
        <v>30</v>
      </c>
      <c r="V119" s="16">
        <v>30</v>
      </c>
      <c r="W119" s="16">
        <v>30</v>
      </c>
      <c r="X119" s="16">
        <v>30</v>
      </c>
      <c r="Y119" s="16">
        <v>31</v>
      </c>
      <c r="Z119" s="16">
        <v>31</v>
      </c>
    </row>
    <row r="120" spans="1:26" x14ac:dyDescent="0.2">
      <c r="B120" s="16">
        <v>3</v>
      </c>
      <c r="C120" s="16">
        <f>LN(16)</f>
        <v>2.7725887222397811</v>
      </c>
      <c r="D120" s="16">
        <v>1</v>
      </c>
      <c r="E120" s="16">
        <v>0.9</v>
      </c>
      <c r="F120" s="16">
        <v>12.5</v>
      </c>
      <c r="G120" s="16" cm="1">
        <f t="array" ref="G120:Z120">_xlfn.MAKEARRAY(1,20,_xlfn.LAMBDA(_xlpm.x,_xlpm.y,MAX(0,ROUND((_xlfn.LOGNORM.DIST(LN(_xlpm.y+1),C120,D120,0)*E120*1000-F120),0))))</f>
        <v>0</v>
      </c>
      <c r="H120" s="16">
        <v>0</v>
      </c>
      <c r="I120" s="16">
        <v>1</v>
      </c>
      <c r="J120" s="16">
        <v>3</v>
      </c>
      <c r="K120" s="16">
        <v>6</v>
      </c>
      <c r="L120" s="16">
        <v>8</v>
      </c>
      <c r="M120" s="16">
        <v>9</v>
      </c>
      <c r="N120" s="16">
        <v>10</v>
      </c>
      <c r="O120" s="16">
        <v>11</v>
      </c>
      <c r="P120" s="16">
        <v>12</v>
      </c>
      <c r="Q120" s="16">
        <v>13</v>
      </c>
      <c r="R120" s="16">
        <v>14</v>
      </c>
      <c r="S120" s="16">
        <v>14</v>
      </c>
      <c r="T120" s="16">
        <v>15</v>
      </c>
      <c r="U120" s="16">
        <v>15</v>
      </c>
      <c r="V120" s="16">
        <v>16</v>
      </c>
      <c r="W120" s="16">
        <v>16</v>
      </c>
      <c r="X120" s="16">
        <v>17</v>
      </c>
      <c r="Y120" s="16">
        <v>17</v>
      </c>
      <c r="Z120" s="16">
        <v>17</v>
      </c>
    </row>
    <row r="121" spans="1:26" x14ac:dyDescent="0.2">
      <c r="B121" s="16">
        <v>4</v>
      </c>
      <c r="C121" s="16">
        <f>LN(21)</f>
        <v>3.044522437723423</v>
      </c>
      <c r="D121" s="16">
        <v>1</v>
      </c>
      <c r="E121" s="16">
        <v>1</v>
      </c>
      <c r="F121" s="16">
        <v>10</v>
      </c>
      <c r="G121" s="16" cm="1">
        <f t="array" ref="G121:Z121">_xlfn.MAKEARRAY(1,20,_xlfn.LAMBDA(_xlpm.x,_xlpm.y,MAX(0,ROUND((_xlfn.LOGNORM.DIST(LN(_xlpm.y+1),C121,D121,0)*E121*1000-F121),0))))</f>
        <v>0</v>
      </c>
      <c r="H121" s="16">
        <v>0</v>
      </c>
      <c r="I121" s="16">
        <v>0</v>
      </c>
      <c r="J121" s="16">
        <v>0</v>
      </c>
      <c r="K121" s="16">
        <v>1</v>
      </c>
      <c r="L121" s="16">
        <v>2</v>
      </c>
      <c r="M121" s="16">
        <v>3</v>
      </c>
      <c r="N121" s="16">
        <v>4</v>
      </c>
      <c r="O121" s="16">
        <v>5</v>
      </c>
      <c r="P121" s="16">
        <v>6</v>
      </c>
      <c r="Q121" s="16">
        <v>6</v>
      </c>
      <c r="R121" s="16">
        <v>7</v>
      </c>
      <c r="S121" s="16">
        <v>8</v>
      </c>
      <c r="T121" s="16">
        <v>8</v>
      </c>
      <c r="U121" s="16">
        <v>9</v>
      </c>
      <c r="V121" s="16">
        <v>9</v>
      </c>
      <c r="W121" s="16">
        <v>9</v>
      </c>
      <c r="X121" s="16">
        <v>10</v>
      </c>
      <c r="Y121" s="16">
        <v>10</v>
      </c>
      <c r="Z121" s="16">
        <v>10</v>
      </c>
    </row>
    <row r="123" spans="1:26" x14ac:dyDescent="0.2">
      <c r="D123" s="17"/>
      <c r="E123" s="17"/>
    </row>
    <row r="124" spans="1:26" x14ac:dyDescent="0.2">
      <c r="D124" s="17"/>
      <c r="E124" s="17"/>
    </row>
    <row r="125" spans="1:26" x14ac:dyDescent="0.2">
      <c r="D125" s="17"/>
      <c r="E125" s="17"/>
    </row>
    <row r="126" spans="1:26" x14ac:dyDescent="0.2">
      <c r="D126" s="17"/>
      <c r="E126" s="17"/>
    </row>
    <row r="127" spans="1:26" x14ac:dyDescent="0.2">
      <c r="D127" s="17"/>
      <c r="E127" s="17"/>
    </row>
    <row r="128" spans="1:26" x14ac:dyDescent="0.2">
      <c r="D128" s="17"/>
      <c r="E128" s="17"/>
    </row>
    <row r="129" spans="1:5" x14ac:dyDescent="0.2">
      <c r="D129" s="17"/>
      <c r="E129" s="17"/>
    </row>
    <row r="130" spans="1:5" x14ac:dyDescent="0.2">
      <c r="D130" s="17"/>
      <c r="E130" s="17"/>
    </row>
    <row r="131" spans="1:5" x14ac:dyDescent="0.2">
      <c r="D131" s="17"/>
      <c r="E131" s="17"/>
    </row>
    <row r="132" spans="1:5" x14ac:dyDescent="0.2">
      <c r="D132" s="17"/>
      <c r="E132" s="17"/>
    </row>
    <row r="133" spans="1:5" x14ac:dyDescent="0.2">
      <c r="D133" s="17"/>
      <c r="E133" s="17"/>
    </row>
    <row r="134" spans="1:5" x14ac:dyDescent="0.2">
      <c r="D134" s="17"/>
      <c r="E134" s="17"/>
    </row>
    <row r="135" spans="1:5" x14ac:dyDescent="0.2">
      <c r="D135" s="17"/>
      <c r="E135" s="17"/>
    </row>
    <row r="142" spans="1:5" s="20" customFormat="1" x14ac:dyDescent="0.2">
      <c r="A142" s="45" t="s">
        <v>399</v>
      </c>
    </row>
    <row r="145" spans="2:26" x14ac:dyDescent="0.2">
      <c r="B145" s="15" t="s">
        <v>400</v>
      </c>
      <c r="C145" s="17" t="s">
        <v>401</v>
      </c>
      <c r="D145" s="17" t="s">
        <v>402</v>
      </c>
      <c r="E145" s="17" t="s">
        <v>403</v>
      </c>
      <c r="G145" s="15" t="s">
        <v>404</v>
      </c>
    </row>
    <row r="146" spans="2:26" x14ac:dyDescent="0.2">
      <c r="B146" s="16">
        <v>0</v>
      </c>
      <c r="C146" s="16">
        <v>1</v>
      </c>
      <c r="D146" s="16">
        <f>9*0.85^B146</f>
        <v>9</v>
      </c>
      <c r="E146" s="16">
        <v>16</v>
      </c>
      <c r="G146" s="16" cm="1">
        <f t="array" ref="G146:Z146">ROUND(_xlfn.NORM.DIST(_xlfn.SEQUENCE(1,20),C146,D146,0)*E146*1000,0)</f>
        <v>709</v>
      </c>
      <c r="H146" s="16">
        <v>705</v>
      </c>
      <c r="I146" s="16">
        <v>692</v>
      </c>
      <c r="J146" s="16">
        <v>671</v>
      </c>
      <c r="K146" s="16">
        <v>643</v>
      </c>
      <c r="L146" s="16">
        <v>608</v>
      </c>
      <c r="M146" s="16">
        <v>568</v>
      </c>
      <c r="N146" s="16">
        <v>524</v>
      </c>
      <c r="O146" s="16">
        <v>478</v>
      </c>
      <c r="P146" s="16">
        <v>430</v>
      </c>
      <c r="Q146" s="16">
        <v>383</v>
      </c>
      <c r="R146" s="16">
        <v>336</v>
      </c>
      <c r="S146" s="16">
        <v>292</v>
      </c>
      <c r="T146" s="16">
        <v>250</v>
      </c>
      <c r="U146" s="16">
        <v>212</v>
      </c>
      <c r="V146" s="16">
        <v>177</v>
      </c>
      <c r="W146" s="16">
        <v>146</v>
      </c>
      <c r="X146" s="16">
        <v>119</v>
      </c>
      <c r="Y146" s="16">
        <v>96</v>
      </c>
      <c r="Z146" s="16">
        <v>76</v>
      </c>
    </row>
    <row r="147" spans="2:26" x14ac:dyDescent="0.2">
      <c r="B147" s="16">
        <v>1</v>
      </c>
      <c r="C147" s="16">
        <v>6</v>
      </c>
      <c r="D147" s="16">
        <f t="shared" ref="D147:D150" si="8">9*0.85^B147</f>
        <v>7.6499999999999995</v>
      </c>
      <c r="E147" s="16">
        <v>8</v>
      </c>
      <c r="G147" s="16" cm="1">
        <f t="array" ref="G147:Z147">ROUND(_xlfn.NORM.DIST(_xlfn.SEQUENCE(1,20),C147,D147,0)*E147*1000,0)</f>
        <v>337</v>
      </c>
      <c r="H147" s="16">
        <v>364</v>
      </c>
      <c r="I147" s="16">
        <v>386</v>
      </c>
      <c r="J147" s="16">
        <v>403</v>
      </c>
      <c r="K147" s="16">
        <v>414</v>
      </c>
      <c r="L147" s="16">
        <v>417</v>
      </c>
      <c r="M147" s="16">
        <v>414</v>
      </c>
      <c r="N147" s="16">
        <v>403</v>
      </c>
      <c r="O147" s="16">
        <v>386</v>
      </c>
      <c r="P147" s="16">
        <v>364</v>
      </c>
      <c r="Q147" s="16">
        <v>337</v>
      </c>
      <c r="R147" s="16">
        <v>307</v>
      </c>
      <c r="S147" s="16">
        <v>274</v>
      </c>
      <c r="T147" s="16">
        <v>241</v>
      </c>
      <c r="U147" s="16">
        <v>209</v>
      </c>
      <c r="V147" s="16">
        <v>178</v>
      </c>
      <c r="W147" s="16">
        <v>148</v>
      </c>
      <c r="X147" s="16">
        <v>122</v>
      </c>
      <c r="Y147" s="16">
        <v>98</v>
      </c>
      <c r="Z147" s="16">
        <v>78</v>
      </c>
    </row>
    <row r="148" spans="2:26" x14ac:dyDescent="0.2">
      <c r="B148" s="16">
        <v>2</v>
      </c>
      <c r="C148" s="16">
        <v>11</v>
      </c>
      <c r="D148" s="16">
        <f t="shared" si="8"/>
        <v>6.5024999999999995</v>
      </c>
      <c r="E148" s="16">
        <v>4</v>
      </c>
      <c r="G148" s="16" cm="1">
        <f t="array" ref="G148:Z148">ROUND(_xlfn.NORM.DIST(_xlfn.SEQUENCE(1,20),C148,D148,0)*E148*1000,0)</f>
        <v>75</v>
      </c>
      <c r="H148" s="16">
        <v>94</v>
      </c>
      <c r="I148" s="16">
        <v>115</v>
      </c>
      <c r="J148" s="16">
        <v>137</v>
      </c>
      <c r="K148" s="16">
        <v>160</v>
      </c>
      <c r="L148" s="16">
        <v>183</v>
      </c>
      <c r="M148" s="16">
        <v>203</v>
      </c>
      <c r="N148" s="16">
        <v>221</v>
      </c>
      <c r="O148" s="16">
        <v>234</v>
      </c>
      <c r="P148" s="16">
        <v>243</v>
      </c>
      <c r="Q148" s="16">
        <v>245</v>
      </c>
      <c r="R148" s="16">
        <v>243</v>
      </c>
      <c r="S148" s="16">
        <v>234</v>
      </c>
      <c r="T148" s="16">
        <v>221</v>
      </c>
      <c r="U148" s="16">
        <v>203</v>
      </c>
      <c r="V148" s="16">
        <v>183</v>
      </c>
      <c r="W148" s="16">
        <v>160</v>
      </c>
      <c r="X148" s="16">
        <v>137</v>
      </c>
      <c r="Y148" s="16">
        <v>115</v>
      </c>
      <c r="Z148" s="16">
        <v>94</v>
      </c>
    </row>
    <row r="149" spans="2:26" x14ac:dyDescent="0.2">
      <c r="B149" s="16">
        <v>3</v>
      </c>
      <c r="C149" s="16">
        <v>16</v>
      </c>
      <c r="D149" s="16">
        <f t="shared" si="8"/>
        <v>5.527124999999999</v>
      </c>
      <c r="E149" s="16">
        <v>2</v>
      </c>
      <c r="G149" s="16" cm="1">
        <f t="array" ref="G149:Z149">ROUND(_xlfn.NORM.DIST(_xlfn.SEQUENCE(1,20),C149,D149,0)*E149*1000,0)</f>
        <v>4</v>
      </c>
      <c r="H149" s="16">
        <v>6</v>
      </c>
      <c r="I149" s="16">
        <v>9</v>
      </c>
      <c r="J149" s="16">
        <v>14</v>
      </c>
      <c r="K149" s="16">
        <v>20</v>
      </c>
      <c r="L149" s="16">
        <v>28</v>
      </c>
      <c r="M149" s="16">
        <v>38</v>
      </c>
      <c r="N149" s="16">
        <v>51</v>
      </c>
      <c r="O149" s="16">
        <v>65</v>
      </c>
      <c r="P149" s="16">
        <v>80</v>
      </c>
      <c r="Q149" s="16">
        <v>96</v>
      </c>
      <c r="R149" s="16">
        <v>111</v>
      </c>
      <c r="S149" s="16">
        <v>125</v>
      </c>
      <c r="T149" s="16">
        <v>135</v>
      </c>
      <c r="U149" s="16">
        <v>142</v>
      </c>
      <c r="V149" s="16">
        <v>144</v>
      </c>
      <c r="W149" s="16">
        <v>142</v>
      </c>
      <c r="X149" s="16">
        <v>135</v>
      </c>
      <c r="Y149" s="16">
        <v>125</v>
      </c>
      <c r="Z149" s="16">
        <v>111</v>
      </c>
    </row>
    <row r="150" spans="2:26" x14ac:dyDescent="0.2">
      <c r="B150" s="16">
        <v>4</v>
      </c>
      <c r="C150" s="16">
        <v>21</v>
      </c>
      <c r="D150" s="16">
        <f t="shared" si="8"/>
        <v>4.6980562499999987</v>
      </c>
      <c r="E150" s="16">
        <v>1</v>
      </c>
      <c r="G150" s="16" cm="1">
        <f t="array" ref="G150:Z150">ROUND(_xlfn.NORM.DIST(_xlfn.SEQUENCE(1,20),C150,D150,0)*E150*1000,0)</f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1</v>
      </c>
      <c r="M150" s="16">
        <v>1</v>
      </c>
      <c r="N150" s="16">
        <v>2</v>
      </c>
      <c r="O150" s="16">
        <v>3</v>
      </c>
      <c r="P150" s="16">
        <v>5</v>
      </c>
      <c r="Q150" s="16">
        <v>9</v>
      </c>
      <c r="R150" s="16">
        <v>14</v>
      </c>
      <c r="S150" s="16">
        <v>20</v>
      </c>
      <c r="T150" s="16">
        <v>28</v>
      </c>
      <c r="U150" s="16">
        <v>38</v>
      </c>
      <c r="V150" s="16">
        <v>48</v>
      </c>
      <c r="W150" s="16">
        <v>59</v>
      </c>
      <c r="X150" s="16">
        <v>69</v>
      </c>
      <c r="Y150" s="16">
        <v>78</v>
      </c>
      <c r="Z150" s="16">
        <v>83</v>
      </c>
    </row>
  </sheetData>
  <mergeCells count="18">
    <mergeCell ref="I10:J10"/>
    <mergeCell ref="I3:J3"/>
    <mergeCell ref="I4:J4"/>
    <mergeCell ref="I5:J5"/>
    <mergeCell ref="I8:J8"/>
    <mergeCell ref="I9:J9"/>
    <mergeCell ref="I81:J81"/>
    <mergeCell ref="I44:J44"/>
    <mergeCell ref="I45:J45"/>
    <mergeCell ref="I46:J46"/>
    <mergeCell ref="I49:J49"/>
    <mergeCell ref="I50:J50"/>
    <mergeCell ref="I51:J51"/>
    <mergeCell ref="I74:J74"/>
    <mergeCell ref="I75:J75"/>
    <mergeCell ref="I79:J79"/>
    <mergeCell ref="I80:J80"/>
    <mergeCell ref="I76:J76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5431-49E0-4EFA-9FA6-2263F7E41AE4}">
  <sheetPr>
    <tabColor theme="1" tint="0.499984740745262"/>
  </sheetPr>
  <dimension ref="B2:I10"/>
  <sheetViews>
    <sheetView workbookViewId="0">
      <selection activeCell="I6" sqref="I6"/>
    </sheetView>
  </sheetViews>
  <sheetFormatPr defaultRowHeight="14.25" x14ac:dyDescent="0.2"/>
  <cols>
    <col min="1" max="8" width="9" style="16"/>
    <col min="9" max="9" width="23" style="16" customWidth="1"/>
    <col min="10" max="16384" width="9" style="16"/>
  </cols>
  <sheetData>
    <row r="2" spans="2:9" x14ac:dyDescent="0.2">
      <c r="B2" s="17" t="s">
        <v>66</v>
      </c>
      <c r="C2" s="17" t="s">
        <v>67</v>
      </c>
      <c r="D2" s="17" t="s">
        <v>68</v>
      </c>
      <c r="G2" s="17" t="s">
        <v>76</v>
      </c>
      <c r="H2" s="17" t="s">
        <v>77</v>
      </c>
      <c r="I2" s="17" t="s">
        <v>196</v>
      </c>
    </row>
    <row r="3" spans="2:9" x14ac:dyDescent="0.2">
      <c r="B3" s="16">
        <v>1</v>
      </c>
      <c r="C3" s="16" t="s">
        <v>64</v>
      </c>
      <c r="D3" s="16">
        <f>table_world[[#This Row],[id]]</f>
        <v>1</v>
      </c>
      <c r="G3" s="16">
        <v>10</v>
      </c>
      <c r="H3" s="17" t="s">
        <v>81</v>
      </c>
      <c r="I3" s="17" t="s">
        <v>197</v>
      </c>
    </row>
    <row r="4" spans="2:9" x14ac:dyDescent="0.2">
      <c r="B4" s="16">
        <v>2</v>
      </c>
      <c r="C4" s="16" t="s">
        <v>69</v>
      </c>
      <c r="D4" s="16">
        <f>table_world[[#This Row],[id]]</f>
        <v>2</v>
      </c>
      <c r="G4" s="16">
        <v>20</v>
      </c>
      <c r="H4" s="17" t="s">
        <v>78</v>
      </c>
      <c r="I4" s="17" t="s">
        <v>198</v>
      </c>
    </row>
    <row r="5" spans="2:9" x14ac:dyDescent="0.2">
      <c r="B5" s="16">
        <v>3</v>
      </c>
      <c r="C5" s="16" t="s">
        <v>70</v>
      </c>
      <c r="D5" s="16">
        <f>table_world[[#This Row],[id]]</f>
        <v>3</v>
      </c>
      <c r="G5" s="16">
        <v>30</v>
      </c>
      <c r="H5" s="17" t="s">
        <v>88</v>
      </c>
      <c r="I5" s="17" t="s">
        <v>330</v>
      </c>
    </row>
    <row r="6" spans="2:9" x14ac:dyDescent="0.2">
      <c r="B6" s="16">
        <v>4</v>
      </c>
      <c r="C6" s="16" t="s">
        <v>65</v>
      </c>
      <c r="D6" s="16">
        <f>table_world[[#This Row],[id]]</f>
        <v>4</v>
      </c>
      <c r="G6" s="16">
        <v>40</v>
      </c>
      <c r="H6" s="17" t="s">
        <v>79</v>
      </c>
      <c r="I6" s="17" t="s">
        <v>199</v>
      </c>
    </row>
    <row r="7" spans="2:9" x14ac:dyDescent="0.2">
      <c r="B7" s="16">
        <v>5</v>
      </c>
      <c r="C7" s="16" t="s">
        <v>71</v>
      </c>
      <c r="D7" s="16">
        <f>table_world[[#This Row],[id]]</f>
        <v>5</v>
      </c>
    </row>
    <row r="8" spans="2:9" x14ac:dyDescent="0.2">
      <c r="B8" s="16">
        <v>6</v>
      </c>
      <c r="C8" s="16" t="s">
        <v>72</v>
      </c>
      <c r="D8" s="16">
        <f>table_world[[#This Row],[id]]</f>
        <v>6</v>
      </c>
    </row>
    <row r="9" spans="2:9" x14ac:dyDescent="0.2">
      <c r="B9" s="16">
        <v>7</v>
      </c>
      <c r="C9" s="16" t="s">
        <v>73</v>
      </c>
      <c r="D9" s="16">
        <f>table_world[[#This Row],[id]]</f>
        <v>7</v>
      </c>
    </row>
    <row r="10" spans="2:9" x14ac:dyDescent="0.2">
      <c r="B10" s="16">
        <v>8</v>
      </c>
      <c r="C10" s="16" t="s">
        <v>74</v>
      </c>
      <c r="D10" s="16">
        <f>table_world[[#This Row],[id]]</f>
        <v>8</v>
      </c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shop</vt:lpstr>
      <vt:lpstr>shop_ui</vt:lpstr>
      <vt:lpstr>-10.device</vt:lpstr>
      <vt:lpstr>-20.role</vt:lpstr>
      <vt:lpstr>-30.relicDrop</vt:lpstr>
      <vt:lpstr>-40.relicShop</vt:lpstr>
      <vt:lpstr>-ref_Distribution</vt:lpstr>
      <vt:lpstr>-编号辅助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2026-01-09T07:05:39Z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2052-12.1.0.21915</vt:lpwstr>
  </property>
</Properties>
</file>