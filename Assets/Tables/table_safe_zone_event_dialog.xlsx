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2A14C23A-1B02-4A9C-80B4-02D25981C714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encounter_dialo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3" l="1" a="1"/>
  <c r="G50" i="3" s="1"/>
  <c r="G47" i="3" a="1"/>
  <c r="G47" i="3" s="1"/>
  <c r="G44" i="3" a="1"/>
  <c r="G44" i="3" s="1"/>
  <c r="G41" i="3" a="1"/>
  <c r="G41" i="3" s="1"/>
  <c r="G38" i="3" a="1"/>
  <c r="G38" i="3" s="1"/>
  <c r="G35" i="3" a="1"/>
  <c r="G35" i="3" s="1"/>
  <c r="G32" i="3" a="1"/>
  <c r="G32" i="3" s="1"/>
  <c r="G29" i="3" a="1"/>
  <c r="G29" i="3" s="1"/>
  <c r="G26" i="3" a="1"/>
  <c r="G26" i="3" s="1"/>
  <c r="G23" i="3" a="1"/>
  <c r="G23" i="3" s="1"/>
  <c r="G20" i="3" a="1"/>
  <c r="G20" i="3" s="1"/>
  <c r="G17" i="3" a="1"/>
  <c r="G17" i="3" s="1"/>
  <c r="G14" i="3" a="1"/>
  <c r="G14" i="3" s="1"/>
  <c r="G11" i="3" a="1"/>
  <c r="G11" i="3" s="1"/>
  <c r="G8" i="3" a="1"/>
  <c r="G8" i="3" s="1"/>
  <c r="G5" i="3" a="1"/>
  <c r="G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<sst xmlns="http://schemas.openxmlformats.org/spreadsheetml/2006/main" count="175" uniqueCount="71">
  <si>
    <t>id</t>
  </si>
  <si>
    <t>string key</t>
  </si>
  <si>
    <t>title</t>
    <phoneticPr fontId="6" type="noConversion"/>
  </si>
  <si>
    <t>string</t>
    <phoneticPr fontId="6" type="noConversion"/>
  </si>
  <si>
    <t>标题</t>
    <phoneticPr fontId="6" type="noConversion"/>
  </si>
  <si>
    <t>content</t>
    <phoneticPr fontId="6" type="noConversion"/>
  </si>
  <si>
    <t>对话内容</t>
    <phoneticPr fontId="6" type="noConversion"/>
  </si>
  <si>
    <t>btn_content</t>
    <phoneticPr fontId="6" type="noConversion"/>
  </si>
  <si>
    <t>按钮文本</t>
    <phoneticPr fontId="6" type="noConversion"/>
  </si>
  <si>
    <t>string[]</t>
    <phoneticPr fontId="6" type="noConversion"/>
  </si>
  <si>
    <t>diy_prms</t>
    <phoneticPr fontId="6" type="noConversion"/>
  </si>
  <si>
    <t>自定义文本</t>
    <phoneticPr fontId="6" type="noConversion"/>
  </si>
  <si>
    <t>dict&lt;string,string&gt;</t>
    <phoneticPr fontId="6" type="noConversion"/>
  </si>
  <si>
    <t>对话界面id</t>
    <phoneticPr fontId="6" type="noConversion"/>
  </si>
  <si>
    <t>edg_coin_15_1</t>
    <phoneticPr fontId="6" type="noConversion"/>
  </si>
  <si>
    <t>edg_coin_15_2</t>
    <phoneticPr fontId="6" type="noConversion"/>
  </si>
  <si>
    <t>edg_coin_15~25_1</t>
    <phoneticPr fontId="6" type="noConversion"/>
  </si>
  <si>
    <t>edg_coin_15~25_2</t>
    <phoneticPr fontId="6" type="noConversion"/>
  </si>
  <si>
    <t>edg_coin_25~35_1</t>
  </si>
  <si>
    <t>edg_coin_25~35_2</t>
  </si>
  <si>
    <t>edg_coin_35~45_1</t>
  </si>
  <si>
    <t>edg_coin_35~45_2</t>
  </si>
  <si>
    <t>edg_coin_45~55_1</t>
  </si>
  <si>
    <t>edg_coin_45~55_2</t>
  </si>
  <si>
    <t>edg_elite_coin_30_1</t>
  </si>
  <si>
    <t>edg_elite_coin_30_2</t>
  </si>
  <si>
    <t>edg_elite_coin_45_1</t>
  </si>
  <si>
    <t>edg_elite_coin_45_2</t>
  </si>
  <si>
    <t>edg_elite_coin_50_1</t>
  </si>
  <si>
    <t>edg_elite_coin_50_2</t>
  </si>
  <si>
    <t>edg_elite_coin_55_1</t>
  </si>
  <si>
    <t>edg_elite_coin_55_2</t>
  </si>
  <si>
    <t>edg_elite_coin_60_1</t>
  </si>
  <si>
    <t>edg_elite_coin_60_2</t>
  </si>
  <si>
    <t>edg_elite_coin_75_1</t>
  </si>
  <si>
    <t>edg_elite_coin_75_2</t>
  </si>
  <si>
    <t>edg_elite_coin_80_1</t>
  </si>
  <si>
    <t>edg_elite_coin_80_2</t>
  </si>
  <si>
    <t>edg_elite_coin_85_1</t>
  </si>
  <si>
    <t>edg_elite_coin_85_2</t>
  </si>
  <si>
    <t>edg_elite_coin_90_1</t>
  </si>
  <si>
    <t>edg_elite_coin_90_2</t>
  </si>
  <si>
    <t>edg_elite_coin_105_1</t>
  </si>
  <si>
    <t>edg_elite_coin_105_2</t>
  </si>
  <si>
    <t>edg_elite_coin_110_1</t>
  </si>
  <si>
    <t>edg_elite_coin_110_2</t>
  </si>
  <si>
    <t>备注</t>
    <phoneticPr fontId="6" type="noConversion"/>
  </si>
  <si>
    <t>15~25</t>
    <phoneticPr fontId="6" type="noConversion"/>
  </si>
  <si>
    <t>edg_coin</t>
    <phoneticPr fontId="6" type="noConversion"/>
  </si>
  <si>
    <t>25~35</t>
  </si>
  <si>
    <t>35~45</t>
  </si>
  <si>
    <t>45~55</t>
  </si>
  <si>
    <t>30</t>
  </si>
  <si>
    <t>45</t>
  </si>
  <si>
    <t>50</t>
  </si>
  <si>
    <t>55</t>
  </si>
  <si>
    <t>60</t>
  </si>
  <si>
    <t>75</t>
  </si>
  <si>
    <t>80</t>
  </si>
  <si>
    <t>85</t>
  </si>
  <si>
    <t>90</t>
  </si>
  <si>
    <t>105</t>
  </si>
  <si>
    <t>110</t>
  </si>
  <si>
    <t>edg_elite_coin</t>
    <phoneticPr fontId="6" type="noConversion"/>
  </si>
  <si>
    <t>TITLE_coin_chest</t>
    <phoneticPr fontId="6" type="noConversion"/>
  </si>
  <si>
    <t>PAGE_coin_chest_01</t>
  </si>
  <si>
    <t>PAGE_coin_chest_01</t>
    <phoneticPr fontId="6" type="noConversion"/>
  </si>
  <si>
    <t>PAGE_coin_chest_02</t>
  </si>
  <si>
    <t>PAGE_coin_chest_02</t>
    <phoneticPr fontId="6" type="noConversion"/>
  </si>
  <si>
    <t>Button_coin_chest_01-01</t>
    <phoneticPr fontId="6" type="noConversion"/>
  </si>
  <si>
    <t>Button_coin_chest_02-01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</si>
</sst>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5"/>
      <name val="等线"/>
      <family val="2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i/>
      <sz val="11"/>
      <color theme="1" tint="0.49998474074526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3">
    <cellStyle name="常规" xfId="0" builtinId="0"/>
    <cellStyle name="常规 2" xfId="1" xr:uid="{00000000-0005-0000-0000-000031000000}"/>
    <cellStyle name="常规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3" topLeftCell="A4" activePane="bottomLeft" state="frozen"/>
      <selection pane="bottomLeft" activeCell="K24" sqref="K24"/>
    </sheetView>
  </sheetViews>
  <sheetFormatPr defaultColWidth="9.125" defaultRowHeight="14.25" x14ac:dyDescent="0.2"/>
  <cols>
    <col min="1" max="1" width="21.625" style="3" customWidth="1"/>
    <col min="2" max="2" width="13.875" style="13" bestFit="1" customWidth="1"/>
    <col min="3" max="3" width="7.25" style="13" bestFit="1" customWidth="1"/>
    <col min="4" max="4" width="14" style="3" bestFit="1" customWidth="1"/>
    <col min="5" max="5" width="17.625" bestFit="1" customWidth="1"/>
    <col min="6" max="6" width="23" bestFit="1" customWidth="1"/>
    <col min="7" max="7" width="59.25" customWidth="1"/>
  </cols>
  <sheetData>
    <row r="1" spans="1:7" s="1" customFormat="1" x14ac:dyDescent="0.2">
      <c r="A1" s="1" t="s">
        <v>0</v>
      </c>
      <c r="B1" s="10"/>
      <c r="C1" s="10"/>
      <c r="D1" s="1" t="s">
        <v>2</v>
      </c>
      <c r="E1" s="1" t="s">
        <v>5</v>
      </c>
      <c r="F1" s="1" t="s">
        <v>7</v>
      </c>
      <c r="G1" s="1" t="s">
        <v>10</v>
      </c>
    </row>
    <row r="2" spans="1:7" s="2" customFormat="1" x14ac:dyDescent="0.2">
      <c r="A2" s="2" t="s">
        <v>1</v>
      </c>
      <c r="B2" s="11"/>
      <c r="C2" s="11"/>
      <c r="D2" s="2" t="s">
        <v>3</v>
      </c>
      <c r="E2" s="2" t="s">
        <v>3</v>
      </c>
      <c r="F2" s="2" t="s">
        <v>9</v>
      </c>
      <c r="G2" s="7" t="s">
        <v>12</v>
      </c>
    </row>
    <row r="3" spans="1:7" s="4" customFormat="1" x14ac:dyDescent="0.2">
      <c r="A3" s="4" t="s">
        <v>13</v>
      </c>
      <c r="B3" s="12" t="s">
        <v>46</v>
      </c>
      <c r="C3" s="12"/>
      <c r="D3" s="4" t="s">
        <v>4</v>
      </c>
      <c r="E3" s="4" t="s">
        <v>6</v>
      </c>
      <c r="F3" s="4" t="s">
        <v>8</v>
      </c>
      <c r="G3" s="4" t="s">
        <v>11</v>
      </c>
    </row>
    <row r="4" spans="1:7" x14ac:dyDescent="0.2">
      <c r="A4" s="5" t="s">
        <v>14</v>
      </c>
      <c r="B4" s="13" t="s">
        <v>48</v>
      </c>
      <c r="C4" s="13">
        <v>15</v>
      </c>
      <c r="D4" s="9" t="s">
        <v>64</v>
      </c>
      <c r="E4" s="9" t="s">
        <v>66</v>
      </c>
      <c r="F4" s="9" t="s">
        <v>69</v>
      </c>
      <c r="G4" s="6"/>
    </row>
    <row r="5" spans="1:7" x14ac:dyDescent="0.2">
      <c r="A5" s="5" t="s">
        <v>15</v>
      </c>
      <c r="D5" s="9" t="s">
        <v>64</v>
      </c>
      <c r="E5" s="9" t="s">
        <v>68</v>
      </c>
      <c r="F5" s="9" t="s">
        <v>70</v>
      </c>
      <c r="G5" s="8" t="str" cm="1">
        <f t="array" ref="G5">_xlfn.LET(_xlpm._vp,_xlfn.TEXTSPLIT(C4,"~"),
_xlfn.CONCAT("loot_num_min=",INDEX(_xlpm._vp,1),";loot_num_max=",IFERROR(INDEX(_xlpm._vp,2),INDEX(_xlpm._vp,1)),";loot_id=10000"))</f>
        <v>loot_num_min=15;loot_num_max=15;loot_id=10000</v>
      </c>
    </row>
    <row r="6" spans="1:7" x14ac:dyDescent="0.2">
      <c r="G6" s="6"/>
    </row>
    <row r="7" spans="1:7" x14ac:dyDescent="0.2">
      <c r="A7" s="5" t="s">
        <v>16</v>
      </c>
      <c r="B7" s="13" t="s">
        <v>48</v>
      </c>
      <c r="C7" s="13" t="s">
        <v>47</v>
      </c>
      <c r="D7" s="9" t="s">
        <v>64</v>
      </c>
      <c r="E7" s="9" t="s">
        <v>65</v>
      </c>
      <c r="F7" s="9" t="s">
        <v>69</v>
      </c>
      <c r="G7" s="6"/>
    </row>
    <row r="8" spans="1:7" x14ac:dyDescent="0.2">
      <c r="A8" s="5" t="s">
        <v>17</v>
      </c>
      <c r="D8" s="9" t="s">
        <v>64</v>
      </c>
      <c r="E8" s="9" t="s">
        <v>67</v>
      </c>
      <c r="F8" s="9" t="s">
        <v>70</v>
      </c>
      <c r="G8" s="8" t="str" cm="1">
        <f t="array" ref="G8">_xlfn.LET(_xlpm._vp,_xlfn.TEXTSPLIT(C7,"~"),
_xlfn.CONCAT("loot_num_min=",INDEX(_xlpm._vp,1),";loot_num_max=",IFERROR(INDEX(_xlpm._vp,2),INDEX(_xlpm._vp,1)),";loot_id=10000"))</f>
        <v>loot_num_min=15;loot_num_max=25;loot_id=10000</v>
      </c>
    </row>
    <row r="10" spans="1:7" x14ac:dyDescent="0.2">
      <c r="A10" s="5" t="s">
        <v>18</v>
      </c>
      <c r="B10" s="13" t="s">
        <v>48</v>
      </c>
      <c r="C10" s="13" t="s">
        <v>49</v>
      </c>
      <c r="D10" s="9" t="s">
        <v>64</v>
      </c>
      <c r="E10" s="9" t="s">
        <v>65</v>
      </c>
      <c r="F10" s="9" t="s">
        <v>69</v>
      </c>
      <c r="G10" s="6"/>
    </row>
    <row r="11" spans="1:7" x14ac:dyDescent="0.2">
      <c r="A11" s="5" t="s">
        <v>19</v>
      </c>
      <c r="D11" s="9" t="s">
        <v>64</v>
      </c>
      <c r="E11" s="9" t="s">
        <v>67</v>
      </c>
      <c r="F11" s="9" t="s">
        <v>70</v>
      </c>
      <c r="G11" s="8" t="str" cm="1">
        <f t="array" ref="G11">_xlfn.LET(_xlpm._vp,_xlfn.TEXTSPLIT(C10,"~"),
_xlfn.CONCAT("loot_num_min=",INDEX(_xlpm._vp,1),";loot_num_max=",IFERROR(INDEX(_xlpm._vp,2),INDEX(_xlpm._vp,1)),";loot_id=10000"))</f>
        <v>loot_num_min=25;loot_num_max=35;loot_id=10000</v>
      </c>
    </row>
    <row r="12" spans="1:7" x14ac:dyDescent="0.2">
      <c r="G12" s="6"/>
    </row>
    <row r="13" spans="1:7" x14ac:dyDescent="0.2">
      <c r="A13" s="5" t="s">
        <v>20</v>
      </c>
      <c r="B13" s="13" t="s">
        <v>48</v>
      </c>
      <c r="C13" s="13" t="s">
        <v>50</v>
      </c>
      <c r="D13" s="9" t="s">
        <v>64</v>
      </c>
      <c r="E13" s="9" t="s">
        <v>65</v>
      </c>
      <c r="F13" s="9" t="s">
        <v>69</v>
      </c>
      <c r="G13" s="6"/>
    </row>
    <row r="14" spans="1:7" x14ac:dyDescent="0.2">
      <c r="A14" s="5" t="s">
        <v>21</v>
      </c>
      <c r="D14" s="9" t="s">
        <v>64</v>
      </c>
      <c r="E14" s="9" t="s">
        <v>67</v>
      </c>
      <c r="F14" s="9" t="s">
        <v>70</v>
      </c>
      <c r="G14" s="8" t="str" cm="1">
        <f t="array" ref="G14">_xlfn.LET(_xlpm._vp,_xlfn.TEXTSPLIT(C13,"~"),
_xlfn.CONCAT("loot_num_min=",INDEX(_xlpm._vp,1),";loot_num_max=",IFERROR(INDEX(_xlpm._vp,2),INDEX(_xlpm._vp,1)),";loot_id=10000"))</f>
        <v>loot_num_min=35;loot_num_max=45;loot_id=10000</v>
      </c>
    </row>
    <row r="16" spans="1:7" x14ac:dyDescent="0.2">
      <c r="A16" s="5" t="s">
        <v>22</v>
      </c>
      <c r="B16" s="13" t="s">
        <v>48</v>
      </c>
      <c r="C16" s="13" t="s">
        <v>51</v>
      </c>
      <c r="D16" s="9" t="s">
        <v>64</v>
      </c>
      <c r="E16" s="9" t="s">
        <v>65</v>
      </c>
      <c r="F16" s="9" t="s">
        <v>69</v>
      </c>
      <c r="G16" s="6"/>
    </row>
    <row r="17" spans="1:7" x14ac:dyDescent="0.2">
      <c r="A17" s="5" t="s">
        <v>23</v>
      </c>
      <c r="D17" s="9" t="s">
        <v>64</v>
      </c>
      <c r="E17" s="9" t="s">
        <v>67</v>
      </c>
      <c r="F17" s="9" t="s">
        <v>70</v>
      </c>
      <c r="G17" s="8" t="str" cm="1">
        <f t="array" ref="G17">_xlfn.LET(_xlpm._vp,_xlfn.TEXTSPLIT(C16,"~"),
_xlfn.CONCAT("loot_num_min=",INDEX(_xlpm._vp,1),";loot_num_max=",IFERROR(INDEX(_xlpm._vp,2),INDEX(_xlpm._vp,1)),";loot_id=10000"))</f>
        <v>loot_num_min=45;loot_num_max=55;loot_id=10000</v>
      </c>
    </row>
    <row r="18" spans="1:7" x14ac:dyDescent="0.2">
      <c r="G18" s="6"/>
    </row>
    <row r="19" spans="1:7" x14ac:dyDescent="0.2">
      <c r="A19" s="5" t="s">
        <v>24</v>
      </c>
      <c r="B19" s="13" t="s">
        <v>63</v>
      </c>
      <c r="C19" s="13" t="s">
        <v>52</v>
      </c>
      <c r="D19" s="9" t="s">
        <v>64</v>
      </c>
      <c r="E19" s="9" t="s">
        <v>65</v>
      </c>
      <c r="F19" s="9" t="s">
        <v>69</v>
      </c>
      <c r="G19" s="6"/>
    </row>
    <row r="20" spans="1:7" x14ac:dyDescent="0.2">
      <c r="A20" s="3" t="s">
        <v>25</v>
      </c>
      <c r="D20" s="9" t="s">
        <v>64</v>
      </c>
      <c r="E20" s="9" t="s">
        <v>67</v>
      </c>
      <c r="F20" s="9" t="s">
        <v>70</v>
      </c>
      <c r="G20" s="8" t="str" cm="1">
        <f t="array" ref="G20">_xlfn.LET(_xlpm._vp,_xlfn.TEXTSPLIT(C19,"~"),
_xlfn.CONCAT("loot_num_min=",INDEX(_xlpm._vp,1),";loot_num_max=",IFERROR(INDEX(_xlpm._vp,2),INDEX(_xlpm._vp,1)),";loot_id=10000"))</f>
        <v>loot_num_min=30;loot_num_max=30;loot_id=10000</v>
      </c>
    </row>
    <row r="22" spans="1:7" x14ac:dyDescent="0.2">
      <c r="A22" s="5" t="s">
        <v>26</v>
      </c>
      <c r="B22" s="13" t="s">
        <v>63</v>
      </c>
      <c r="C22" s="13" t="s">
        <v>53</v>
      </c>
      <c r="D22" s="9" t="s">
        <v>64</v>
      </c>
      <c r="E22" s="9" t="s">
        <v>65</v>
      </c>
      <c r="F22" s="9" t="s">
        <v>69</v>
      </c>
    </row>
    <row r="23" spans="1:7" x14ac:dyDescent="0.2">
      <c r="A23" s="3" t="s">
        <v>27</v>
      </c>
      <c r="D23" s="9" t="s">
        <v>64</v>
      </c>
      <c r="E23" s="9" t="s">
        <v>67</v>
      </c>
      <c r="F23" s="9" t="s">
        <v>70</v>
      </c>
      <c r="G23" s="8" t="str" cm="1">
        <f t="array" ref="G23">_xlfn.LET(_xlpm._vp,_xlfn.TEXTSPLIT(C22,"~"),
_xlfn.CONCAT("loot_num_min=",INDEX(_xlpm._vp,1),";loot_num_max=",IFERROR(INDEX(_xlpm._vp,2),INDEX(_xlpm._vp,1)),";loot_id=10000"))</f>
        <v>loot_num_min=45;loot_num_max=45;loot_id=10000</v>
      </c>
    </row>
    <row r="24" spans="1:7" x14ac:dyDescent="0.2">
      <c r="G24" s="6"/>
    </row>
    <row r="25" spans="1:7" x14ac:dyDescent="0.2">
      <c r="A25" s="5" t="s">
        <v>28</v>
      </c>
      <c r="B25" s="13" t="s">
        <v>63</v>
      </c>
      <c r="C25" s="13" t="s">
        <v>54</v>
      </c>
      <c r="D25" s="9" t="s">
        <v>64</v>
      </c>
      <c r="E25" s="9" t="s">
        <v>65</v>
      </c>
      <c r="F25" s="9" t="s">
        <v>69</v>
      </c>
      <c r="G25" s="6"/>
    </row>
    <row r="26" spans="1:7" x14ac:dyDescent="0.2">
      <c r="A26" s="3" t="s">
        <v>29</v>
      </c>
      <c r="D26" s="9" t="s">
        <v>64</v>
      </c>
      <c r="E26" s="9" t="s">
        <v>67</v>
      </c>
      <c r="F26" s="9" t="s">
        <v>70</v>
      </c>
      <c r="G26" s="8" t="str" cm="1">
        <f t="array" ref="G26">_xlfn.LET(_xlpm._vp,_xlfn.TEXTSPLIT(C25,"~"),
_xlfn.CONCAT("loot_num_min=",INDEX(_xlpm._vp,1),";loot_num_max=",IFERROR(INDEX(_xlpm._vp,2),INDEX(_xlpm._vp,1)),";loot_id=10000"))</f>
        <v>loot_num_min=50;loot_num_max=50;loot_id=10000</v>
      </c>
    </row>
    <row r="28" spans="1:7" x14ac:dyDescent="0.2">
      <c r="A28" s="5" t="s">
        <v>30</v>
      </c>
      <c r="B28" s="13" t="s">
        <v>63</v>
      </c>
      <c r="C28" s="13" t="s">
        <v>55</v>
      </c>
      <c r="D28" s="9" t="s">
        <v>64</v>
      </c>
      <c r="E28" s="9" t="s">
        <v>65</v>
      </c>
      <c r="F28" s="9" t="s">
        <v>69</v>
      </c>
    </row>
    <row r="29" spans="1:7" x14ac:dyDescent="0.2">
      <c r="A29" s="3" t="s">
        <v>31</v>
      </c>
      <c r="D29" s="9" t="s">
        <v>64</v>
      </c>
      <c r="E29" s="9" t="s">
        <v>67</v>
      </c>
      <c r="F29" s="9" t="s">
        <v>70</v>
      </c>
      <c r="G29" s="8" t="str" cm="1">
        <f t="array" ref="G29">_xlfn.LET(_xlpm._vp,_xlfn.TEXTSPLIT(C28,"~"),
_xlfn.CONCAT("loot_num_min=",INDEX(_xlpm._vp,1),";loot_num_max=",IFERROR(INDEX(_xlpm._vp,2),INDEX(_xlpm._vp,1)),";loot_id=10000"))</f>
        <v>loot_num_min=55;loot_num_max=55;loot_id=10000</v>
      </c>
    </row>
    <row r="30" spans="1:7" x14ac:dyDescent="0.2">
      <c r="G30" s="6"/>
    </row>
    <row r="31" spans="1:7" x14ac:dyDescent="0.2">
      <c r="A31" s="5" t="s">
        <v>32</v>
      </c>
      <c r="B31" s="13" t="s">
        <v>63</v>
      </c>
      <c r="C31" s="13" t="s">
        <v>56</v>
      </c>
      <c r="D31" s="9" t="s">
        <v>64</v>
      </c>
      <c r="E31" s="9" t="s">
        <v>65</v>
      </c>
      <c r="F31" s="9" t="s">
        <v>69</v>
      </c>
      <c r="G31" s="6"/>
    </row>
    <row r="32" spans="1:7" x14ac:dyDescent="0.2">
      <c r="A32" s="3" t="s">
        <v>33</v>
      </c>
      <c r="D32" s="9" t="s">
        <v>64</v>
      </c>
      <c r="E32" s="9" t="s">
        <v>67</v>
      </c>
      <c r="F32" s="9" t="s">
        <v>70</v>
      </c>
      <c r="G32" s="8" t="str" cm="1">
        <f t="array" ref="G32">_xlfn.LET(_xlpm._vp,_xlfn.TEXTSPLIT(C31,"~"),
_xlfn.CONCAT("loot_num_min=",INDEX(_xlpm._vp,1),";loot_num_max=",IFERROR(INDEX(_xlpm._vp,2),INDEX(_xlpm._vp,1)),";loot_id=10000"))</f>
        <v>loot_num_min=60;loot_num_max=60;loot_id=10000</v>
      </c>
    </row>
    <row r="34" spans="1:7" x14ac:dyDescent="0.2">
      <c r="A34" s="5" t="s">
        <v>34</v>
      </c>
      <c r="B34" s="13" t="s">
        <v>63</v>
      </c>
      <c r="C34" s="13" t="s">
        <v>57</v>
      </c>
      <c r="D34" s="9" t="s">
        <v>64</v>
      </c>
      <c r="E34" s="9" t="s">
        <v>65</v>
      </c>
      <c r="F34" s="9" t="s">
        <v>69</v>
      </c>
    </row>
    <row r="35" spans="1:7" x14ac:dyDescent="0.2">
      <c r="A35" s="3" t="s">
        <v>35</v>
      </c>
      <c r="D35" s="9" t="s">
        <v>64</v>
      </c>
      <c r="E35" s="9" t="s">
        <v>67</v>
      </c>
      <c r="F35" s="9" t="s">
        <v>70</v>
      </c>
      <c r="G35" s="8" t="str" cm="1">
        <f t="array" ref="G35">_xlfn.LET(_xlpm._vp,_xlfn.TEXTSPLIT(C34,"~"),
_xlfn.CONCAT("loot_num_min=",INDEX(_xlpm._vp,1),";loot_num_max=",IFERROR(INDEX(_xlpm._vp,2),INDEX(_xlpm._vp,1)),";loot_id=10000"))</f>
        <v>loot_num_min=75;loot_num_max=75;loot_id=10000</v>
      </c>
    </row>
    <row r="36" spans="1:7" x14ac:dyDescent="0.2">
      <c r="G36" s="6"/>
    </row>
    <row r="37" spans="1:7" x14ac:dyDescent="0.2">
      <c r="A37" s="5" t="s">
        <v>36</v>
      </c>
      <c r="B37" s="13" t="s">
        <v>63</v>
      </c>
      <c r="C37" s="13" t="s">
        <v>58</v>
      </c>
      <c r="D37" s="9" t="s">
        <v>64</v>
      </c>
      <c r="E37" s="9" t="s">
        <v>65</v>
      </c>
      <c r="F37" s="9" t="s">
        <v>69</v>
      </c>
      <c r="G37" s="6"/>
    </row>
    <row r="38" spans="1:7" x14ac:dyDescent="0.2">
      <c r="A38" s="3" t="s">
        <v>37</v>
      </c>
      <c r="D38" s="9" t="s">
        <v>64</v>
      </c>
      <c r="E38" s="9" t="s">
        <v>67</v>
      </c>
      <c r="F38" s="9" t="s">
        <v>70</v>
      </c>
      <c r="G38" s="8" t="str" cm="1">
        <f t="array" ref="G38">_xlfn.LET(_xlpm._vp,_xlfn.TEXTSPLIT(C37,"~"),
_xlfn.CONCAT("loot_num_min=",INDEX(_xlpm._vp,1),";loot_num_max=",IFERROR(INDEX(_xlpm._vp,2),INDEX(_xlpm._vp,1)),";loot_id=10000"))</f>
        <v>loot_num_min=80;loot_num_max=80;loot_id=10000</v>
      </c>
    </row>
    <row r="40" spans="1:7" x14ac:dyDescent="0.2">
      <c r="A40" s="5" t="s">
        <v>38</v>
      </c>
      <c r="B40" s="13" t="s">
        <v>63</v>
      </c>
      <c r="C40" s="13" t="s">
        <v>59</v>
      </c>
      <c r="D40" s="9" t="s">
        <v>64</v>
      </c>
      <c r="E40" s="9" t="s">
        <v>65</v>
      </c>
      <c r="F40" s="9" t="s">
        <v>69</v>
      </c>
    </row>
    <row r="41" spans="1:7" x14ac:dyDescent="0.2">
      <c r="A41" s="3" t="s">
        <v>39</v>
      </c>
      <c r="D41" s="9" t="s">
        <v>64</v>
      </c>
      <c r="E41" s="9" t="s">
        <v>67</v>
      </c>
      <c r="F41" s="9" t="s">
        <v>70</v>
      </c>
      <c r="G41" s="8" t="str" cm="1">
        <f t="array" ref="G41">_xlfn.LET(_xlpm._vp,_xlfn.TEXTSPLIT(C40,"~"),
_xlfn.CONCAT("loot_num_min=",INDEX(_xlpm._vp,1),";loot_num_max=",IFERROR(INDEX(_xlpm._vp,2),INDEX(_xlpm._vp,1)),";loot_id=10000"))</f>
        <v>loot_num_min=85;loot_num_max=85;loot_id=10000</v>
      </c>
    </row>
    <row r="42" spans="1:7" x14ac:dyDescent="0.2">
      <c r="G42" s="6"/>
    </row>
    <row r="43" spans="1:7" x14ac:dyDescent="0.2">
      <c r="A43" s="5" t="s">
        <v>40</v>
      </c>
      <c r="B43" s="13" t="s">
        <v>63</v>
      </c>
      <c r="C43" s="13" t="s">
        <v>60</v>
      </c>
      <c r="D43" s="9" t="s">
        <v>64</v>
      </c>
      <c r="E43" s="9" t="s">
        <v>65</v>
      </c>
      <c r="F43" s="9" t="s">
        <v>69</v>
      </c>
      <c r="G43" s="6"/>
    </row>
    <row r="44" spans="1:7" x14ac:dyDescent="0.2">
      <c r="A44" s="3" t="s">
        <v>41</v>
      </c>
      <c r="D44" s="9" t="s">
        <v>64</v>
      </c>
      <c r="E44" s="9" t="s">
        <v>67</v>
      </c>
      <c r="F44" s="9" t="s">
        <v>70</v>
      </c>
      <c r="G44" s="8" t="str" cm="1">
        <f t="array" ref="G44">_xlfn.LET(_xlpm._vp,_xlfn.TEXTSPLIT(C43,"~"),
_xlfn.CONCAT("loot_num_min=",INDEX(_xlpm._vp,1),";loot_num_max=",IFERROR(INDEX(_xlpm._vp,2),INDEX(_xlpm._vp,1)),";loot_id=10000"))</f>
        <v>loot_num_min=90;loot_num_max=90;loot_id=10000</v>
      </c>
    </row>
    <row r="46" spans="1:7" x14ac:dyDescent="0.2">
      <c r="A46" s="5" t="s">
        <v>42</v>
      </c>
      <c r="B46" s="13" t="s">
        <v>63</v>
      </c>
      <c r="C46" s="13" t="s">
        <v>61</v>
      </c>
      <c r="D46" s="9" t="s">
        <v>64</v>
      </c>
      <c r="E46" s="9" t="s">
        <v>65</v>
      </c>
      <c r="F46" s="9" t="s">
        <v>69</v>
      </c>
    </row>
    <row r="47" spans="1:7" x14ac:dyDescent="0.2">
      <c r="A47" s="3" t="s">
        <v>43</v>
      </c>
      <c r="D47" s="9" t="s">
        <v>64</v>
      </c>
      <c r="E47" s="9" t="s">
        <v>67</v>
      </c>
      <c r="F47" s="9" t="s">
        <v>70</v>
      </c>
      <c r="G47" s="8" t="str" cm="1">
        <f t="array" ref="G47">_xlfn.LET(_xlpm._vp,_xlfn.TEXTSPLIT(C46,"~"),
_xlfn.CONCAT("loot_num_min=",INDEX(_xlpm._vp,1),";loot_num_max=",IFERROR(INDEX(_xlpm._vp,2),INDEX(_xlpm._vp,1)),";loot_id=10000"))</f>
        <v>loot_num_min=105;loot_num_max=105;loot_id=10000</v>
      </c>
    </row>
    <row r="48" spans="1:7" x14ac:dyDescent="0.2">
      <c r="G48" s="6"/>
    </row>
    <row r="49" spans="1:7" x14ac:dyDescent="0.2">
      <c r="A49" s="5" t="s">
        <v>44</v>
      </c>
      <c r="B49" s="13" t="s">
        <v>63</v>
      </c>
      <c r="C49" s="13" t="s">
        <v>62</v>
      </c>
      <c r="D49" s="9" t="s">
        <v>64</v>
      </c>
      <c r="E49" s="9" t="s">
        <v>65</v>
      </c>
      <c r="F49" s="9" t="s">
        <v>69</v>
      </c>
      <c r="G49" s="6"/>
    </row>
    <row r="50" spans="1:7" x14ac:dyDescent="0.2">
      <c r="A50" s="3" t="s">
        <v>45</v>
      </c>
      <c r="D50" s="9" t="s">
        <v>64</v>
      </c>
      <c r="E50" s="9" t="s">
        <v>67</v>
      </c>
      <c r="F50" s="9" t="s">
        <v>70</v>
      </c>
      <c r="G50" s="8" t="str" cm="1">
        <f t="array" ref="G50">_xlfn.LET(_xlpm._vp,_xlfn.TEXTSPLIT(C49,"~"),
_xlfn.CONCAT("loot_num_min=",INDEX(_xlpm._vp,1),";loot_num_max=",IFERROR(INDEX(_xlpm._vp,2),INDEX(_xlpm._vp,1)),";loot_id=10000"))</f>
        <v>loot_num_min=110;loot_num_max=110;loot_id=10000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encounter_dialog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2025-12-23T06:34:45Z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2052-12.1.0.19770</vt:lpwstr>
  </property>
</Properties>
</file>