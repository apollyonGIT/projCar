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13CD0F91-C3CE-4F8E-A519-E77D10361273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safe_zone_event" sheetId="8" r:id="rId1"/>
    <sheet name="-id 配置说明" sheetId="7" r:id="rId2"/>
  </sheets>
  <definedNames>
    <definedName name="locate">_xlfn.LAMBDA(_xlpm.col_relative,_xlpm.rows,"RC["&amp;_xlpm.col_relative&amp;"]:R["&amp;_xlpm.rows-1&amp;"]C["&amp;_xlpm.col_relative&amp;"]")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8" l="1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60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40" i="8"/>
  <c r="G5" i="8" l="1"/>
  <c r="G6" i="8"/>
  <c r="G4" i="8"/>
  <c r="F5" i="8"/>
  <c r="F6" i="8"/>
  <c r="F4" i="8"/>
  <c r="G37" i="8"/>
  <c r="F37" i="8"/>
  <c r="G36" i="8"/>
  <c r="F36" i="8"/>
  <c r="G35" i="8"/>
  <c r="F35" i="8"/>
  <c r="G34" i="8"/>
  <c r="F34" i="8"/>
  <c r="G33" i="8"/>
  <c r="F33" i="8"/>
  <c r="G32" i="8"/>
  <c r="F32" i="8"/>
  <c r="G28" i="8"/>
  <c r="F28" i="8"/>
  <c r="G27" i="8"/>
  <c r="F27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</calcChain>
</file>

<file path=xl/sharedStrings.xml><?xml version="1.0" encoding="utf-8"?>
<sst xmlns="http://schemas.openxmlformats.org/spreadsheetml/2006/main" count="238" uniqueCount="89">
  <si>
    <t>uint key</t>
  </si>
  <si>
    <t>id</t>
  </si>
  <si>
    <t>dialogue_graph</t>
  </si>
  <si>
    <t>string</t>
  </si>
  <si>
    <t>备注1
分类</t>
  </si>
  <si>
    <t>备注2
奇遇内容</t>
  </si>
  <si>
    <t>命名辅助</t>
  </si>
  <si>
    <t>简单赠送</t>
  </si>
  <si>
    <t>金币</t>
  </si>
  <si>
    <t>wooden_box_coin</t>
  </si>
  <si>
    <t>食物</t>
  </si>
  <si>
    <t>wooden_box_food</t>
  </si>
  <si>
    <t>木材</t>
  </si>
  <si>
    <t>wooden_box_wood</t>
  </si>
  <si>
    <t>武器部件</t>
  </si>
  <si>
    <t>wooden_box_weapon_parts</t>
  </si>
  <si>
    <t>落难旅人</t>
  </si>
  <si>
    <t>讨要/购买食物</t>
  </si>
  <si>
    <t>stranded_traveler_item</t>
  </si>
  <si>
    <t>落难老翁</t>
  </si>
  <si>
    <t>讨要/购买维修工具</t>
  </si>
  <si>
    <t>stranded_traveler</t>
  </si>
  <si>
    <t>篝火</t>
  </si>
  <si>
    <t>——</t>
  </si>
  <si>
    <t>campfire</t>
  </si>
  <si>
    <t>祭坛</t>
  </si>
  <si>
    <t>祝福祭坛</t>
  </si>
  <si>
    <t>altar_blessing</t>
  </si>
  <si>
    <t>神秘祭坛</t>
  </si>
  <si>
    <t>altar_mysteries</t>
  </si>
  <si>
    <t>邪教祭坛</t>
  </si>
  <si>
    <t>altar_cult</t>
  </si>
  <si>
    <t>自由职业者</t>
  </si>
  <si>
    <t>厨子</t>
  </si>
  <si>
    <t>traveller_cook</t>
  </si>
  <si>
    <t>工匠</t>
  </si>
  <si>
    <t>traveller_craftsman</t>
  </si>
  <si>
    <t>猎户</t>
  </si>
  <si>
    <t>traveller_hunter</t>
  </si>
  <si>
    <t>纺织工</t>
  </si>
  <si>
    <t>traveller_weaver</t>
  </si>
  <si>
    <t>菜农</t>
  </si>
  <si>
    <t>traveller_peasant</t>
  </si>
  <si>
    <t>资源采集</t>
  </si>
  <si>
    <t>果丛</t>
  </si>
  <si>
    <t>collet_fruit</t>
  </si>
  <si>
    <t>枯木林</t>
  </si>
  <si>
    <t>collet_timber</t>
  </si>
  <si>
    <t>乱石堆</t>
  </si>
  <si>
    <t>collet_stone</t>
  </si>
  <si>
    <t>废矿坑</t>
  </si>
  <si>
    <t>collet_ore</t>
  </si>
  <si>
    <t>藤蔓丛</t>
  </si>
  <si>
    <t>collet_fiber</t>
  </si>
  <si>
    <t>生胶木</t>
  </si>
  <si>
    <t>collet_glue</t>
  </si>
  <si>
    <t>受伤的猎物</t>
  </si>
  <si>
    <t>collet_meat</t>
  </si>
  <si>
    <t>信标</t>
  </si>
  <si>
    <t>信标石碑</t>
  </si>
  <si>
    <t>beacon_stele</t>
  </si>
  <si>
    <t>信标营地</t>
  </si>
  <si>
    <t>beacon_camp</t>
  </si>
  <si>
    <t>第1位</t>
  </si>
  <si>
    <t>第2位</t>
  </si>
  <si>
    <t>第4位</t>
  </si>
  <si>
    <t>第5位</t>
  </si>
  <si>
    <t>第6位</t>
  </si>
  <si>
    <t>00~99 编号</t>
  </si>
  <si>
    <t>奇遇
事件</t>
    <phoneticPr fontId="9" type="noConversion"/>
  </si>
  <si>
    <t>view_prefab</t>
    <phoneticPr fontId="9" type="noConversion"/>
  </si>
  <si>
    <t>45 = safe_zone_event</t>
    <phoneticPr fontId="9" type="noConversion"/>
  </si>
  <si>
    <t>第3位</t>
    <phoneticPr fontId="9" type="noConversion"/>
  </si>
  <si>
    <t>01 = 局内货币</t>
    <phoneticPr fontId="9" type="noConversion"/>
  </si>
  <si>
    <t>赠送局内货币</t>
    <phoneticPr fontId="9" type="noConversion"/>
  </si>
  <si>
    <t>金币（10000）</t>
    <phoneticPr fontId="9" type="noConversion"/>
  </si>
  <si>
    <t>rs_desc</t>
    <phoneticPr fontId="9" type="noConversion"/>
  </si>
  <si>
    <t>string</t>
    <phoneticPr fontId="9" type="noConversion"/>
  </si>
  <si>
    <r>
      <rPr>
        <b/>
        <sz val="11"/>
        <color theme="1"/>
        <rFont val="等线"/>
        <family val="3"/>
        <charset val="134"/>
        <scheme val="minor"/>
      </rPr>
      <t>外观资源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address</t>
    </r>
    <phoneticPr fontId="9" type="noConversion"/>
  </si>
  <si>
    <r>
      <t xml:space="preserve">选路描述
</t>
    </r>
    <r>
      <rPr>
        <i/>
        <sz val="10"/>
        <color theme="1"/>
        <rFont val="等线"/>
        <family val="3"/>
        <charset val="134"/>
        <scheme val="minor"/>
      </rPr>
      <t>会出现在文本中</t>
    </r>
    <phoneticPr fontId="9" type="noConversion"/>
  </si>
  <si>
    <r>
      <rPr>
        <b/>
        <sz val="11"/>
        <color theme="1"/>
        <rFont val="等线"/>
        <family val="3"/>
        <charset val="134"/>
        <scheme val="minor"/>
      </rPr>
      <t>对话Graph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address</t>
    </r>
    <phoneticPr fontId="9" type="noConversion"/>
  </si>
  <si>
    <t>备注3
等级设定</t>
    <phoneticPr fontId="9" type="noConversion"/>
  </si>
  <si>
    <t>15~25</t>
  </si>
  <si>
    <t>25~35</t>
  </si>
  <si>
    <t>35~45</t>
  </si>
  <si>
    <t>45~55</t>
  </si>
  <si>
    <t>esar_wooden_box_coin</t>
  </si>
  <si>
    <t>上锁的货箱</t>
    <phoneticPr fontId="9" type="noConversion"/>
  </si>
  <si>
    <t>esar_wooden_box_coin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</si>
</sst>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6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</font>
    <font>
      <sz val="11"/>
      <color theme="0"/>
      <name val="等线"/>
      <family val="3"/>
      <charset val="134"/>
    </font>
    <font>
      <i/>
      <sz val="10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5D5ED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0" fillId="2" borderId="1" xfId="3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00000000-0005-0000-0000-000033000000}"/>
  </cellStyles>
  <dxfs count="0"/>
  <tableStyles count="0" defaultTableStyle="TableStyleMedium2" defaultPivotStyle="PivotStyleLight16"/>
  <colors>
    <mruColors>
      <color rgb="FFF5D5ED"/>
      <color rgb="FFC7D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7902-356F-4C42-AEB4-00503572A504}">
  <dimension ref="A1:H75"/>
  <sheetViews>
    <sheetView tabSelected="1" zoomScaleNormal="100" workbookViewId="0">
      <pane ySplit="3" topLeftCell="A49" activePane="bottomLeft" state="frozen"/>
      <selection pane="bottomLeft" activeCell="G46" sqref="G46"/>
    </sheetView>
  </sheetViews>
  <sheetFormatPr defaultColWidth="9.125" defaultRowHeight="14.25" x14ac:dyDescent="0.2"/>
  <cols>
    <col min="1" max="1" width="10.5" style="4" customWidth="1"/>
    <col min="2" max="2" width="13.625" style="5" customWidth="1"/>
    <col min="3" max="3" width="18.625" style="5" customWidth="1"/>
    <col min="4" max="4" width="9.5" style="5" customWidth="1"/>
    <col min="5" max="5" width="26" style="6" customWidth="1"/>
    <col min="6" max="6" width="36.5" style="4" bestFit="1" customWidth="1"/>
    <col min="7" max="7" width="36.875" style="4" customWidth="1"/>
    <col min="8" max="8" width="13.5" style="4" bestFit="1" customWidth="1"/>
    <col min="9" max="9" width="9.125" style="4"/>
    <col min="10" max="10" width="15.75" style="4" customWidth="1"/>
    <col min="11" max="11" width="31.25" style="4" customWidth="1"/>
    <col min="12" max="16384" width="9.125" style="4"/>
  </cols>
  <sheetData>
    <row r="1" spans="1:8" s="1" customFormat="1" x14ac:dyDescent="0.2">
      <c r="A1" s="1" t="s">
        <v>1</v>
      </c>
      <c r="B1" s="7"/>
      <c r="C1" s="7"/>
      <c r="D1" s="7"/>
      <c r="E1" s="10"/>
      <c r="F1" s="1" t="s">
        <v>2</v>
      </c>
      <c r="G1" s="1" t="s">
        <v>70</v>
      </c>
      <c r="H1" s="1" t="s">
        <v>76</v>
      </c>
    </row>
    <row r="2" spans="1:8" s="2" customFormat="1" x14ac:dyDescent="0.2">
      <c r="A2" s="2" t="s">
        <v>0</v>
      </c>
      <c r="B2" s="7"/>
      <c r="C2" s="7"/>
      <c r="D2" s="7"/>
      <c r="E2" s="10"/>
      <c r="F2" s="2" t="s">
        <v>3</v>
      </c>
      <c r="G2" s="2" t="s">
        <v>3</v>
      </c>
      <c r="H2" s="2" t="s">
        <v>77</v>
      </c>
    </row>
    <row r="3" spans="1:8" s="3" customFormat="1" ht="28.5" x14ac:dyDescent="0.2">
      <c r="A3" s="9" t="s">
        <v>69</v>
      </c>
      <c r="B3" s="8" t="s">
        <v>4</v>
      </c>
      <c r="C3" s="8" t="s">
        <v>5</v>
      </c>
      <c r="D3" s="8" t="s">
        <v>81</v>
      </c>
      <c r="E3" s="11" t="s">
        <v>6</v>
      </c>
      <c r="F3" s="18" t="s">
        <v>80</v>
      </c>
      <c r="G3" s="18" t="s">
        <v>78</v>
      </c>
      <c r="H3" s="9" t="s">
        <v>79</v>
      </c>
    </row>
    <row r="4" spans="1:8" x14ac:dyDescent="0.2">
      <c r="A4" s="4">
        <v>451001</v>
      </c>
      <c r="B4" s="5" t="s">
        <v>7</v>
      </c>
      <c r="C4" s="5" t="s">
        <v>8</v>
      </c>
      <c r="D4" s="5">
        <v>1</v>
      </c>
      <c r="E4" s="6" t="s">
        <v>9</v>
      </c>
      <c r="F4" s="12" t="str">
        <f>_xlfn.TEXTJOIN("_",1,"esdg",$E4)</f>
        <v>esdg_wooden_box_coin</v>
      </c>
      <c r="G4" s="12" t="str">
        <f>_xlfn.TEXTJOIN("_",1,"esar",$E4)</f>
        <v>esar_wooden_box_coin</v>
      </c>
    </row>
    <row r="5" spans="1:8" x14ac:dyDescent="0.2">
      <c r="A5" s="4">
        <v>451002</v>
      </c>
      <c r="B5" s="5" t="s">
        <v>7</v>
      </c>
      <c r="C5" s="5" t="s">
        <v>10</v>
      </c>
      <c r="D5" s="5">
        <v>1</v>
      </c>
      <c r="E5" s="6" t="s">
        <v>11</v>
      </c>
      <c r="F5" s="12" t="str">
        <f t="shared" ref="F5:F6" si="0">_xlfn.TEXTJOIN("_",1,"esdg",$E5)</f>
        <v>esdg_wooden_box_food</v>
      </c>
      <c r="G5" s="12" t="str">
        <f t="shared" ref="G5:G6" si="1">_xlfn.TEXTJOIN("_",1,"esar",$E5)</f>
        <v>esar_wooden_box_food</v>
      </c>
    </row>
    <row r="6" spans="1:8" x14ac:dyDescent="0.2">
      <c r="A6" s="4">
        <v>451003</v>
      </c>
      <c r="B6" s="5" t="s">
        <v>7</v>
      </c>
      <c r="C6" s="5" t="s">
        <v>12</v>
      </c>
      <c r="D6" s="5">
        <v>1</v>
      </c>
      <c r="E6" s="6" t="s">
        <v>13</v>
      </c>
      <c r="F6" s="12" t="str">
        <f t="shared" si="0"/>
        <v>esdg_wooden_box_wood</v>
      </c>
      <c r="G6" s="12" t="str">
        <f t="shared" si="1"/>
        <v>esar_wooden_box_wood</v>
      </c>
    </row>
    <row r="7" spans="1:8" x14ac:dyDescent="0.2">
      <c r="A7" s="4">
        <v>1004</v>
      </c>
      <c r="B7" s="5" t="s">
        <v>7</v>
      </c>
      <c r="C7" s="5" t="s">
        <v>14</v>
      </c>
      <c r="D7" s="5">
        <v>2</v>
      </c>
      <c r="E7" s="6" t="s">
        <v>15</v>
      </c>
      <c r="F7" s="12" t="str">
        <f t="shared" ref="F7:F25" si="2">_xlfn.TEXTJOIN("_",1,"esdg",$A7,$E7)</f>
        <v>esdg_1004_wooden_box_weapon_parts</v>
      </c>
      <c r="G7" s="12" t="str">
        <f t="shared" ref="G7:G25" si="3">_xlfn.TEXTJOIN("_",1,"esar",$A7,$E7)</f>
        <v>esar_1004_wooden_box_weapon_parts</v>
      </c>
    </row>
    <row r="8" spans="1:8" x14ac:dyDescent="0.2">
      <c r="A8" s="4">
        <v>1005</v>
      </c>
      <c r="B8" s="5" t="s">
        <v>16</v>
      </c>
      <c r="C8" s="5" t="s">
        <v>17</v>
      </c>
      <c r="E8" s="6" t="s">
        <v>18</v>
      </c>
      <c r="F8" s="12" t="str">
        <f t="shared" si="2"/>
        <v>esdg_1005_stranded_traveler_item</v>
      </c>
      <c r="G8" s="12" t="str">
        <f t="shared" si="3"/>
        <v>esar_1005_stranded_traveler_item</v>
      </c>
    </row>
    <row r="9" spans="1:8" x14ac:dyDescent="0.2">
      <c r="A9" s="4">
        <v>1006</v>
      </c>
      <c r="B9" s="5" t="s">
        <v>19</v>
      </c>
      <c r="C9" s="5" t="s">
        <v>20</v>
      </c>
      <c r="E9" s="6" t="s">
        <v>21</v>
      </c>
      <c r="F9" s="4" t="str">
        <f t="shared" si="2"/>
        <v>esdg_1006_stranded_traveler</v>
      </c>
      <c r="G9" s="13" t="str">
        <f t="shared" si="3"/>
        <v>esar_1006_stranded_traveler</v>
      </c>
    </row>
    <row r="10" spans="1:8" x14ac:dyDescent="0.2">
      <c r="A10" s="4">
        <v>1007</v>
      </c>
      <c r="B10" s="5" t="s">
        <v>22</v>
      </c>
      <c r="C10" s="5" t="s">
        <v>23</v>
      </c>
      <c r="E10" s="6" t="s">
        <v>24</v>
      </c>
      <c r="F10" s="4" t="str">
        <f t="shared" si="2"/>
        <v>esdg_1007_campfire</v>
      </c>
      <c r="G10" s="13" t="str">
        <f t="shared" si="3"/>
        <v>esar_1007_campfire</v>
      </c>
    </row>
    <row r="11" spans="1:8" x14ac:dyDescent="0.2">
      <c r="A11" s="4">
        <v>1008</v>
      </c>
      <c r="B11" s="5" t="s">
        <v>25</v>
      </c>
      <c r="C11" s="5" t="s">
        <v>26</v>
      </c>
      <c r="E11" s="6" t="s">
        <v>27</v>
      </c>
      <c r="F11" s="12" t="str">
        <f t="shared" si="2"/>
        <v>esdg_1008_altar_blessing</v>
      </c>
      <c r="G11" s="12" t="str">
        <f t="shared" si="3"/>
        <v>esar_1008_altar_blessing</v>
      </c>
    </row>
    <row r="12" spans="1:8" x14ac:dyDescent="0.2">
      <c r="A12" s="4">
        <v>1009</v>
      </c>
      <c r="B12" s="5" t="s">
        <v>25</v>
      </c>
      <c r="C12" s="5" t="s">
        <v>28</v>
      </c>
      <c r="E12" s="6" t="s">
        <v>29</v>
      </c>
      <c r="F12" s="4" t="str">
        <f t="shared" si="2"/>
        <v>esdg_1009_altar_mysteries</v>
      </c>
      <c r="G12" s="13" t="str">
        <f t="shared" si="3"/>
        <v>esar_1009_altar_mysteries</v>
      </c>
    </row>
    <row r="13" spans="1:8" x14ac:dyDescent="0.2">
      <c r="A13" s="4">
        <v>1010</v>
      </c>
      <c r="B13" s="5" t="s">
        <v>25</v>
      </c>
      <c r="C13" s="5" t="s">
        <v>30</v>
      </c>
      <c r="E13" s="6" t="s">
        <v>31</v>
      </c>
      <c r="F13" s="4" t="str">
        <f t="shared" si="2"/>
        <v>esdg_1010_altar_cult</v>
      </c>
      <c r="G13" s="13" t="str">
        <f t="shared" si="3"/>
        <v>esar_1010_altar_cult</v>
      </c>
    </row>
    <row r="14" spans="1:8" x14ac:dyDescent="0.2">
      <c r="A14" s="4">
        <v>1011</v>
      </c>
      <c r="B14" s="5" t="s">
        <v>32</v>
      </c>
      <c r="C14" s="5" t="s">
        <v>33</v>
      </c>
      <c r="D14" s="5">
        <v>3</v>
      </c>
      <c r="E14" s="6" t="s">
        <v>34</v>
      </c>
      <c r="F14" s="12" t="str">
        <f t="shared" si="2"/>
        <v>esdg_1011_traveller_cook</v>
      </c>
      <c r="G14" s="12" t="str">
        <f t="shared" si="3"/>
        <v>esar_1011_traveller_cook</v>
      </c>
    </row>
    <row r="15" spans="1:8" x14ac:dyDescent="0.2">
      <c r="A15" s="4">
        <v>1012</v>
      </c>
      <c r="B15" s="5" t="s">
        <v>32</v>
      </c>
      <c r="C15" s="5" t="s">
        <v>35</v>
      </c>
      <c r="D15" s="5">
        <v>3</v>
      </c>
      <c r="E15" s="6" t="s">
        <v>36</v>
      </c>
      <c r="F15" s="4" t="str">
        <f t="shared" si="2"/>
        <v>esdg_1012_traveller_craftsman</v>
      </c>
      <c r="G15" s="13" t="str">
        <f t="shared" si="3"/>
        <v>esar_1012_traveller_craftsman</v>
      </c>
    </row>
    <row r="16" spans="1:8" x14ac:dyDescent="0.2">
      <c r="A16" s="4">
        <v>1013</v>
      </c>
      <c r="B16" s="5" t="s">
        <v>32</v>
      </c>
      <c r="C16" s="5" t="s">
        <v>37</v>
      </c>
      <c r="D16" s="5">
        <v>3</v>
      </c>
      <c r="E16" s="6" t="s">
        <v>38</v>
      </c>
      <c r="F16" s="12" t="str">
        <f t="shared" si="2"/>
        <v>esdg_1013_traveller_hunter</v>
      </c>
      <c r="G16" s="12" t="str">
        <f t="shared" si="3"/>
        <v>esar_1013_traveller_hunter</v>
      </c>
    </row>
    <row r="17" spans="1:7" x14ac:dyDescent="0.2">
      <c r="A17" s="4">
        <v>1014</v>
      </c>
      <c r="B17" s="5" t="s">
        <v>32</v>
      </c>
      <c r="C17" s="5" t="s">
        <v>39</v>
      </c>
      <c r="D17" s="5">
        <v>3</v>
      </c>
      <c r="E17" s="6" t="s">
        <v>40</v>
      </c>
      <c r="F17" s="4" t="str">
        <f t="shared" si="2"/>
        <v>esdg_1014_traveller_weaver</v>
      </c>
      <c r="G17" s="13" t="str">
        <f t="shared" si="3"/>
        <v>esar_1014_traveller_weaver</v>
      </c>
    </row>
    <row r="18" spans="1:7" x14ac:dyDescent="0.2">
      <c r="A18" s="4">
        <v>1015</v>
      </c>
      <c r="B18" s="5" t="s">
        <v>32</v>
      </c>
      <c r="C18" s="5" t="s">
        <v>41</v>
      </c>
      <c r="D18" s="5">
        <v>3</v>
      </c>
      <c r="E18" s="6" t="s">
        <v>42</v>
      </c>
      <c r="F18" s="12" t="str">
        <f t="shared" si="2"/>
        <v>esdg_1015_traveller_peasant</v>
      </c>
      <c r="G18" s="12" t="str">
        <f t="shared" si="3"/>
        <v>esar_1015_traveller_peasant</v>
      </c>
    </row>
    <row r="19" spans="1:7" x14ac:dyDescent="0.2">
      <c r="A19" s="4">
        <v>1016</v>
      </c>
      <c r="B19" s="5" t="s">
        <v>43</v>
      </c>
      <c r="C19" s="5" t="s">
        <v>44</v>
      </c>
      <c r="D19" s="5">
        <v>2</v>
      </c>
      <c r="E19" s="6" t="s">
        <v>45</v>
      </c>
      <c r="F19" s="12" t="str">
        <f t="shared" si="2"/>
        <v>esdg_1016_collet_fruit</v>
      </c>
      <c r="G19" s="12" t="str">
        <f t="shared" si="3"/>
        <v>esar_1016_collet_fruit</v>
      </c>
    </row>
    <row r="20" spans="1:7" x14ac:dyDescent="0.2">
      <c r="A20" s="4">
        <v>1017</v>
      </c>
      <c r="B20" s="5" t="s">
        <v>43</v>
      </c>
      <c r="C20" s="5" t="s">
        <v>46</v>
      </c>
      <c r="D20" s="5">
        <v>2</v>
      </c>
      <c r="E20" s="6" t="s">
        <v>47</v>
      </c>
      <c r="F20" s="12" t="str">
        <f t="shared" si="2"/>
        <v>esdg_1017_collet_timber</v>
      </c>
      <c r="G20" s="12" t="str">
        <f t="shared" si="3"/>
        <v>esar_1017_collet_timber</v>
      </c>
    </row>
    <row r="21" spans="1:7" x14ac:dyDescent="0.2">
      <c r="A21" s="4">
        <v>1018</v>
      </c>
      <c r="B21" s="5" t="s">
        <v>43</v>
      </c>
      <c r="C21" s="5" t="s">
        <v>48</v>
      </c>
      <c r="D21" s="5">
        <v>2</v>
      </c>
      <c r="E21" s="6" t="s">
        <v>49</v>
      </c>
      <c r="F21" s="12" t="str">
        <f t="shared" si="2"/>
        <v>esdg_1018_collet_stone</v>
      </c>
      <c r="G21" s="12" t="str">
        <f t="shared" si="3"/>
        <v>esar_1018_collet_stone</v>
      </c>
    </row>
    <row r="22" spans="1:7" x14ac:dyDescent="0.2">
      <c r="A22" s="4">
        <v>1019</v>
      </c>
      <c r="B22" s="5" t="s">
        <v>43</v>
      </c>
      <c r="C22" s="5" t="s">
        <v>50</v>
      </c>
      <c r="D22" s="5">
        <v>2</v>
      </c>
      <c r="E22" s="6" t="s">
        <v>51</v>
      </c>
      <c r="F22" s="12" t="str">
        <f t="shared" si="2"/>
        <v>esdg_1019_collet_ore</v>
      </c>
      <c r="G22" s="12" t="str">
        <f t="shared" si="3"/>
        <v>esar_1019_collet_ore</v>
      </c>
    </row>
    <row r="23" spans="1:7" x14ac:dyDescent="0.2">
      <c r="A23" s="4">
        <v>1020</v>
      </c>
      <c r="B23" s="5" t="s">
        <v>43</v>
      </c>
      <c r="C23" s="5" t="s">
        <v>52</v>
      </c>
      <c r="D23" s="5">
        <v>2</v>
      </c>
      <c r="E23" s="6" t="s">
        <v>53</v>
      </c>
      <c r="F23" s="12" t="str">
        <f t="shared" si="2"/>
        <v>esdg_1020_collet_fiber</v>
      </c>
      <c r="G23" s="12" t="str">
        <f t="shared" si="3"/>
        <v>esar_1020_collet_fiber</v>
      </c>
    </row>
    <row r="24" spans="1:7" x14ac:dyDescent="0.2">
      <c r="A24" s="4">
        <v>1021</v>
      </c>
      <c r="B24" s="5" t="s">
        <v>43</v>
      </c>
      <c r="C24" s="5" t="s">
        <v>54</v>
      </c>
      <c r="D24" s="5">
        <v>2</v>
      </c>
      <c r="E24" s="6" t="s">
        <v>55</v>
      </c>
      <c r="F24" s="14" t="str">
        <f t="shared" si="2"/>
        <v>esdg_1021_collet_glue</v>
      </c>
      <c r="G24" s="13" t="str">
        <f t="shared" si="3"/>
        <v>esar_1021_collet_glue</v>
      </c>
    </row>
    <row r="25" spans="1:7" x14ac:dyDescent="0.2">
      <c r="A25" s="4">
        <v>1022</v>
      </c>
      <c r="B25" s="5" t="s">
        <v>43</v>
      </c>
      <c r="C25" s="5" t="s">
        <v>56</v>
      </c>
      <c r="D25" s="5">
        <v>2</v>
      </c>
      <c r="E25" s="6" t="s">
        <v>57</v>
      </c>
      <c r="F25" s="14" t="str">
        <f t="shared" si="2"/>
        <v>esdg_1022_collet_meat</v>
      </c>
      <c r="G25" s="13" t="str">
        <f t="shared" si="3"/>
        <v>esar_1022_collet_meat</v>
      </c>
    </row>
    <row r="27" spans="1:7" x14ac:dyDescent="0.2">
      <c r="A27" s="4">
        <v>2001</v>
      </c>
      <c r="B27" s="5" t="s">
        <v>58</v>
      </c>
      <c r="C27" s="5" t="s">
        <v>59</v>
      </c>
      <c r="D27" s="5">
        <v>-1</v>
      </c>
      <c r="E27" s="6" t="s">
        <v>60</v>
      </c>
      <c r="F27" s="4" t="str">
        <f>_xlfn.TEXTJOIN("_",1,"esdg",$A27,$E27)</f>
        <v>esdg_2001_beacon_stele</v>
      </c>
      <c r="G27" s="12" t="str">
        <f>_xlfn.TEXTJOIN("_",1,"esar",$A27,$E27)</f>
        <v>esar_2001_beacon_stele</v>
      </c>
    </row>
    <row r="28" spans="1:7" x14ac:dyDescent="0.2">
      <c r="A28" s="4">
        <v>2002</v>
      </c>
      <c r="B28" s="5" t="s">
        <v>58</v>
      </c>
      <c r="C28" s="5" t="s">
        <v>61</v>
      </c>
      <c r="D28" s="5">
        <v>-1</v>
      </c>
      <c r="E28" s="6" t="s">
        <v>62</v>
      </c>
      <c r="F28" s="4" t="str">
        <f>_xlfn.TEXTJOIN("_",1,"esdg",$A28,$E28)</f>
        <v>esdg_2002_beacon_camp</v>
      </c>
      <c r="G28" s="14" t="str">
        <f>_xlfn.TEXTJOIN("_",1,"esar",$A28,$E28)</f>
        <v>esar_2002_beacon_camp</v>
      </c>
    </row>
    <row r="32" spans="1:7" x14ac:dyDescent="0.2">
      <c r="A32" s="4">
        <v>450101</v>
      </c>
      <c r="B32" s="5" t="s">
        <v>74</v>
      </c>
      <c r="C32" s="5" t="s">
        <v>75</v>
      </c>
      <c r="D32" s="5">
        <v>1</v>
      </c>
      <c r="E32" s="6" t="s">
        <v>9</v>
      </c>
      <c r="F32" s="12" t="str">
        <f t="shared" ref="F32:F37" si="4">_xlfn.TEXTJOIN("_",1,"esdg",$A32,$E32)</f>
        <v>esdg_450101_wooden_box_coin</v>
      </c>
      <c r="G32" s="12" t="str">
        <f t="shared" ref="G32:G37" si="5">_xlfn.TEXTJOIN("_",1,"esar",$A32,$E32)</f>
        <v>esar_450101_wooden_box_coin</v>
      </c>
    </row>
    <row r="33" spans="1:8" x14ac:dyDescent="0.2">
      <c r="A33" s="4">
        <v>450102</v>
      </c>
      <c r="B33" s="5" t="s">
        <v>74</v>
      </c>
      <c r="C33" s="5" t="s">
        <v>75</v>
      </c>
      <c r="D33" s="5">
        <v>1</v>
      </c>
      <c r="E33" s="6" t="s">
        <v>9</v>
      </c>
      <c r="F33" s="12" t="str">
        <f t="shared" si="4"/>
        <v>esdg_450102_wooden_box_coin</v>
      </c>
      <c r="G33" s="12" t="str">
        <f t="shared" si="5"/>
        <v>esar_450102_wooden_box_coin</v>
      </c>
    </row>
    <row r="34" spans="1:8" x14ac:dyDescent="0.2">
      <c r="A34" s="4">
        <v>450103</v>
      </c>
      <c r="B34" s="5" t="s">
        <v>74</v>
      </c>
      <c r="C34" s="5" t="s">
        <v>75</v>
      </c>
      <c r="D34" s="5">
        <v>1</v>
      </c>
      <c r="E34" s="6" t="s">
        <v>9</v>
      </c>
      <c r="F34" s="12" t="str">
        <f t="shared" si="4"/>
        <v>esdg_450103_wooden_box_coin</v>
      </c>
      <c r="G34" s="12" t="str">
        <f t="shared" si="5"/>
        <v>esar_450103_wooden_box_coin</v>
      </c>
    </row>
    <row r="35" spans="1:8" x14ac:dyDescent="0.2">
      <c r="A35" s="4">
        <v>450104</v>
      </c>
      <c r="B35" s="5" t="s">
        <v>74</v>
      </c>
      <c r="C35" s="5" t="s">
        <v>75</v>
      </c>
      <c r="D35" s="5">
        <v>1</v>
      </c>
      <c r="E35" s="6" t="s">
        <v>9</v>
      </c>
      <c r="F35" s="12" t="str">
        <f t="shared" si="4"/>
        <v>esdg_450104_wooden_box_coin</v>
      </c>
      <c r="G35" s="12" t="str">
        <f t="shared" si="5"/>
        <v>esar_450104_wooden_box_coin</v>
      </c>
    </row>
    <row r="36" spans="1:8" x14ac:dyDescent="0.2">
      <c r="A36" s="4">
        <v>450105</v>
      </c>
      <c r="B36" s="5" t="s">
        <v>74</v>
      </c>
      <c r="C36" s="5" t="s">
        <v>75</v>
      </c>
      <c r="D36" s="5">
        <v>1</v>
      </c>
      <c r="E36" s="6" t="s">
        <v>9</v>
      </c>
      <c r="F36" s="12" t="str">
        <f t="shared" si="4"/>
        <v>esdg_450105_wooden_box_coin</v>
      </c>
      <c r="G36" s="12" t="str">
        <f t="shared" si="5"/>
        <v>esar_450105_wooden_box_coin</v>
      </c>
    </row>
    <row r="37" spans="1:8" x14ac:dyDescent="0.2">
      <c r="A37" s="4">
        <v>450106</v>
      </c>
      <c r="B37" s="5" t="s">
        <v>74</v>
      </c>
      <c r="C37" s="5" t="s">
        <v>75</v>
      </c>
      <c r="D37" s="5">
        <v>1</v>
      </c>
      <c r="E37" s="6" t="s">
        <v>9</v>
      </c>
      <c r="F37" s="12" t="str">
        <f t="shared" si="4"/>
        <v>esdg_450106_wooden_box_coin</v>
      </c>
      <c r="G37" s="12" t="str">
        <f t="shared" si="5"/>
        <v>esar_450106_wooden_box_coin</v>
      </c>
    </row>
    <row r="40" spans="1:8" x14ac:dyDescent="0.2">
      <c r="A40" s="4">
        <v>450801</v>
      </c>
      <c r="B40" s="5" t="s">
        <v>74</v>
      </c>
      <c r="C40" s="5">
        <v>15</v>
      </c>
      <c r="F40" s="20" t="str">
        <f>_xlfn.TEXTJOIN("_",1,"edg","coin",C40)</f>
        <v>edg_coin_15</v>
      </c>
      <c r="G40" s="19" t="s">
        <v>86</v>
      </c>
      <c r="H40" s="21" t="s">
        <v>87</v>
      </c>
    </row>
    <row r="41" spans="1:8" x14ac:dyDescent="0.2">
      <c r="A41" s="4">
        <v>450802</v>
      </c>
      <c r="B41" s="5" t="s">
        <v>74</v>
      </c>
      <c r="C41" s="5" t="s">
        <v>82</v>
      </c>
      <c r="F41" s="20" t="str">
        <f>_xlfn.TEXTJOIN("_",1,"edg","coin",C41)</f>
        <v>edg_coin_15~25</v>
      </c>
      <c r="G41" s="19" t="s">
        <v>86</v>
      </c>
      <c r="H41" s="21" t="s">
        <v>87</v>
      </c>
    </row>
    <row r="42" spans="1:8" x14ac:dyDescent="0.2">
      <c r="A42" s="4">
        <v>450803</v>
      </c>
      <c r="B42" s="5" t="s">
        <v>74</v>
      </c>
      <c r="C42" s="5" t="s">
        <v>82</v>
      </c>
      <c r="F42" s="20" t="str">
        <f t="shared" ref="F42:F58" si="6">_xlfn.TEXTJOIN("_",1,"edg","coin",C42)</f>
        <v>edg_coin_15~25</v>
      </c>
      <c r="G42" s="19" t="s">
        <v>86</v>
      </c>
      <c r="H42" s="21" t="s">
        <v>87</v>
      </c>
    </row>
    <row r="43" spans="1:8" x14ac:dyDescent="0.2">
      <c r="A43" s="4">
        <v>450804</v>
      </c>
      <c r="B43" s="5" t="s">
        <v>74</v>
      </c>
      <c r="C43" s="5" t="s">
        <v>82</v>
      </c>
      <c r="F43" s="20" t="str">
        <f t="shared" si="6"/>
        <v>edg_coin_15~25</v>
      </c>
      <c r="G43" s="19" t="s">
        <v>86</v>
      </c>
      <c r="H43" s="21" t="s">
        <v>87</v>
      </c>
    </row>
    <row r="44" spans="1:8" x14ac:dyDescent="0.2">
      <c r="A44" s="4">
        <v>450805</v>
      </c>
      <c r="B44" s="5" t="s">
        <v>74</v>
      </c>
      <c r="C44" s="5" t="s">
        <v>82</v>
      </c>
      <c r="F44" s="20" t="str">
        <f t="shared" si="6"/>
        <v>edg_coin_15~25</v>
      </c>
      <c r="G44" s="19" t="s">
        <v>86</v>
      </c>
      <c r="H44" s="21" t="s">
        <v>87</v>
      </c>
    </row>
    <row r="45" spans="1:8" x14ac:dyDescent="0.2">
      <c r="A45" s="4">
        <v>450806</v>
      </c>
      <c r="B45" s="5" t="s">
        <v>74</v>
      </c>
      <c r="C45" s="5" t="s">
        <v>83</v>
      </c>
      <c r="F45" s="20" t="str">
        <f t="shared" si="6"/>
        <v>edg_coin_25~35</v>
      </c>
      <c r="G45" s="19" t="s">
        <v>86</v>
      </c>
      <c r="H45" s="21" t="s">
        <v>87</v>
      </c>
    </row>
    <row r="46" spans="1:8" x14ac:dyDescent="0.2">
      <c r="A46" s="4">
        <v>450807</v>
      </c>
      <c r="B46" s="5" t="s">
        <v>74</v>
      </c>
      <c r="C46" s="5" t="s">
        <v>83</v>
      </c>
      <c r="F46" s="20" t="str">
        <f t="shared" si="6"/>
        <v>edg_coin_25~35</v>
      </c>
      <c r="G46" s="19" t="s">
        <v>88</v>
      </c>
      <c r="H46" s="21" t="s">
        <v>87</v>
      </c>
    </row>
    <row r="47" spans="1:8" x14ac:dyDescent="0.2">
      <c r="A47" s="4">
        <v>450808</v>
      </c>
      <c r="B47" s="5" t="s">
        <v>74</v>
      </c>
      <c r="C47" s="5" t="s">
        <v>83</v>
      </c>
      <c r="F47" s="20" t="str">
        <f t="shared" si="6"/>
        <v>edg_coin_25~35</v>
      </c>
      <c r="G47" s="19" t="s">
        <v>86</v>
      </c>
      <c r="H47" s="21" t="s">
        <v>87</v>
      </c>
    </row>
    <row r="48" spans="1:8" x14ac:dyDescent="0.2">
      <c r="A48" s="4">
        <v>450809</v>
      </c>
      <c r="B48" s="5" t="s">
        <v>74</v>
      </c>
      <c r="C48" s="5" t="s">
        <v>83</v>
      </c>
      <c r="F48" s="20" t="str">
        <f t="shared" si="6"/>
        <v>edg_coin_25~35</v>
      </c>
      <c r="G48" s="19" t="s">
        <v>86</v>
      </c>
      <c r="H48" s="21" t="s">
        <v>87</v>
      </c>
    </row>
    <row r="49" spans="1:8" x14ac:dyDescent="0.2">
      <c r="A49" s="4">
        <v>450810</v>
      </c>
      <c r="B49" s="5" t="s">
        <v>74</v>
      </c>
      <c r="C49" s="5" t="s">
        <v>83</v>
      </c>
      <c r="F49" s="20" t="str">
        <f t="shared" si="6"/>
        <v>edg_coin_25~35</v>
      </c>
      <c r="G49" s="19" t="s">
        <v>86</v>
      </c>
      <c r="H49" s="21" t="s">
        <v>87</v>
      </c>
    </row>
    <row r="50" spans="1:8" x14ac:dyDescent="0.2">
      <c r="A50" s="4">
        <v>450811</v>
      </c>
      <c r="B50" s="5" t="s">
        <v>74</v>
      </c>
      <c r="C50" s="5" t="s">
        <v>83</v>
      </c>
      <c r="F50" s="20" t="str">
        <f t="shared" si="6"/>
        <v>edg_coin_25~35</v>
      </c>
      <c r="G50" s="19" t="s">
        <v>86</v>
      </c>
      <c r="H50" s="21" t="s">
        <v>87</v>
      </c>
    </row>
    <row r="51" spans="1:8" x14ac:dyDescent="0.2">
      <c r="A51" s="4">
        <v>450812</v>
      </c>
      <c r="B51" s="5" t="s">
        <v>74</v>
      </c>
      <c r="C51" s="5" t="s">
        <v>84</v>
      </c>
      <c r="F51" s="20" t="str">
        <f t="shared" si="6"/>
        <v>edg_coin_35~45</v>
      </c>
      <c r="G51" s="19" t="s">
        <v>86</v>
      </c>
      <c r="H51" s="21" t="s">
        <v>87</v>
      </c>
    </row>
    <row r="52" spans="1:8" x14ac:dyDescent="0.2">
      <c r="A52" s="4">
        <v>450813</v>
      </c>
      <c r="B52" s="5" t="s">
        <v>74</v>
      </c>
      <c r="C52" s="5" t="s">
        <v>84</v>
      </c>
      <c r="F52" s="20" t="str">
        <f t="shared" si="6"/>
        <v>edg_coin_35~45</v>
      </c>
      <c r="G52" s="19" t="s">
        <v>86</v>
      </c>
      <c r="H52" s="21" t="s">
        <v>87</v>
      </c>
    </row>
    <row r="53" spans="1:8" x14ac:dyDescent="0.2">
      <c r="A53" s="4">
        <v>450814</v>
      </c>
      <c r="B53" s="5" t="s">
        <v>74</v>
      </c>
      <c r="C53" s="5" t="s">
        <v>84</v>
      </c>
      <c r="F53" s="20" t="str">
        <f t="shared" si="6"/>
        <v>edg_coin_35~45</v>
      </c>
      <c r="G53" s="19" t="s">
        <v>86</v>
      </c>
      <c r="H53" s="21" t="s">
        <v>87</v>
      </c>
    </row>
    <row r="54" spans="1:8" x14ac:dyDescent="0.2">
      <c r="A54" s="4">
        <v>450815</v>
      </c>
      <c r="B54" s="5" t="s">
        <v>74</v>
      </c>
      <c r="C54" s="5" t="s">
        <v>84</v>
      </c>
      <c r="F54" s="20" t="str">
        <f t="shared" si="6"/>
        <v>edg_coin_35~45</v>
      </c>
      <c r="G54" s="19" t="s">
        <v>86</v>
      </c>
      <c r="H54" s="21" t="s">
        <v>87</v>
      </c>
    </row>
    <row r="55" spans="1:8" x14ac:dyDescent="0.2">
      <c r="A55" s="4">
        <v>450816</v>
      </c>
      <c r="B55" s="5" t="s">
        <v>74</v>
      </c>
      <c r="C55" s="5" t="s">
        <v>84</v>
      </c>
      <c r="F55" s="20" t="str">
        <f t="shared" si="6"/>
        <v>edg_coin_35~45</v>
      </c>
      <c r="G55" s="19" t="s">
        <v>86</v>
      </c>
      <c r="H55" s="21" t="s">
        <v>87</v>
      </c>
    </row>
    <row r="56" spans="1:8" x14ac:dyDescent="0.2">
      <c r="A56" s="4">
        <v>450817</v>
      </c>
      <c r="B56" s="5" t="s">
        <v>74</v>
      </c>
      <c r="C56" s="5" t="s">
        <v>84</v>
      </c>
      <c r="F56" s="20" t="str">
        <f t="shared" si="6"/>
        <v>edg_coin_35~45</v>
      </c>
      <c r="G56" s="19" t="s">
        <v>86</v>
      </c>
      <c r="H56" s="21" t="s">
        <v>87</v>
      </c>
    </row>
    <row r="57" spans="1:8" x14ac:dyDescent="0.2">
      <c r="A57" s="4">
        <v>450818</v>
      </c>
      <c r="B57" s="5" t="s">
        <v>74</v>
      </c>
      <c r="C57" s="5" t="s">
        <v>85</v>
      </c>
      <c r="F57" s="20" t="str">
        <f t="shared" si="6"/>
        <v>edg_coin_45~55</v>
      </c>
      <c r="G57" s="19" t="s">
        <v>86</v>
      </c>
      <c r="H57" s="21" t="s">
        <v>87</v>
      </c>
    </row>
    <row r="58" spans="1:8" x14ac:dyDescent="0.2">
      <c r="A58" s="4">
        <v>450819</v>
      </c>
      <c r="B58" s="5" t="s">
        <v>74</v>
      </c>
      <c r="C58" s="5" t="s">
        <v>85</v>
      </c>
      <c r="F58" s="20" t="str">
        <f t="shared" si="6"/>
        <v>edg_coin_45~55</v>
      </c>
      <c r="G58" s="19" t="s">
        <v>86</v>
      </c>
      <c r="H58" s="21" t="s">
        <v>87</v>
      </c>
    </row>
    <row r="60" spans="1:8" x14ac:dyDescent="0.2">
      <c r="A60" s="4">
        <v>450854</v>
      </c>
      <c r="B60" s="5" t="s">
        <v>74</v>
      </c>
      <c r="C60" s="5">
        <v>30</v>
      </c>
      <c r="F60" s="20" t="str">
        <f>_xlfn.TEXTJOIN("_",1,"edg","elite","coin",C60)</f>
        <v>edg_elite_coin_30</v>
      </c>
      <c r="G60" s="19" t="s">
        <v>86</v>
      </c>
      <c r="H60" s="21" t="s">
        <v>87</v>
      </c>
    </row>
    <row r="61" spans="1:8" x14ac:dyDescent="0.2">
      <c r="A61" s="4">
        <v>450855</v>
      </c>
      <c r="B61" s="5" t="s">
        <v>74</v>
      </c>
      <c r="C61" s="5">
        <v>30</v>
      </c>
      <c r="F61" s="20" t="str">
        <f t="shared" ref="F61:F75" si="7">_xlfn.TEXTJOIN("_",1,"edg","elite","coin",C61)</f>
        <v>edg_elite_coin_30</v>
      </c>
      <c r="G61" s="19" t="s">
        <v>86</v>
      </c>
      <c r="H61" s="21" t="s">
        <v>87</v>
      </c>
    </row>
    <row r="62" spans="1:8" x14ac:dyDescent="0.2">
      <c r="A62" s="4">
        <v>450856</v>
      </c>
      <c r="B62" s="5" t="s">
        <v>74</v>
      </c>
      <c r="C62" s="5">
        <v>45</v>
      </c>
      <c r="F62" s="20" t="str">
        <f t="shared" si="7"/>
        <v>edg_elite_coin_45</v>
      </c>
      <c r="G62" s="19" t="s">
        <v>86</v>
      </c>
      <c r="H62" s="21" t="s">
        <v>87</v>
      </c>
    </row>
    <row r="63" spans="1:8" x14ac:dyDescent="0.2">
      <c r="A63" s="4">
        <v>450857</v>
      </c>
      <c r="B63" s="5" t="s">
        <v>74</v>
      </c>
      <c r="C63" s="5">
        <v>45</v>
      </c>
      <c r="F63" s="20" t="str">
        <f t="shared" si="7"/>
        <v>edg_elite_coin_45</v>
      </c>
      <c r="G63" s="19" t="s">
        <v>86</v>
      </c>
      <c r="H63" s="21" t="s">
        <v>87</v>
      </c>
    </row>
    <row r="64" spans="1:8" x14ac:dyDescent="0.2">
      <c r="A64" s="4">
        <v>450858</v>
      </c>
      <c r="B64" s="5" t="s">
        <v>74</v>
      </c>
      <c r="C64" s="5">
        <v>50</v>
      </c>
      <c r="F64" s="20" t="str">
        <f t="shared" si="7"/>
        <v>edg_elite_coin_50</v>
      </c>
      <c r="G64" s="19" t="s">
        <v>86</v>
      </c>
      <c r="H64" s="21" t="s">
        <v>87</v>
      </c>
    </row>
    <row r="65" spans="1:8" x14ac:dyDescent="0.2">
      <c r="A65" s="4">
        <v>450859</v>
      </c>
      <c r="B65" s="5" t="s">
        <v>74</v>
      </c>
      <c r="C65" s="5">
        <v>55</v>
      </c>
      <c r="F65" s="20" t="str">
        <f t="shared" si="7"/>
        <v>edg_elite_coin_55</v>
      </c>
      <c r="G65" s="19" t="s">
        <v>86</v>
      </c>
      <c r="H65" s="21" t="s">
        <v>87</v>
      </c>
    </row>
    <row r="66" spans="1:8" x14ac:dyDescent="0.2">
      <c r="A66" s="4">
        <v>450860</v>
      </c>
      <c r="B66" s="5" t="s">
        <v>74</v>
      </c>
      <c r="C66" s="5">
        <v>55</v>
      </c>
      <c r="F66" s="20" t="str">
        <f t="shared" si="7"/>
        <v>edg_elite_coin_55</v>
      </c>
      <c r="G66" s="19" t="s">
        <v>86</v>
      </c>
      <c r="H66" s="21" t="s">
        <v>87</v>
      </c>
    </row>
    <row r="67" spans="1:8" x14ac:dyDescent="0.2">
      <c r="A67" s="4">
        <v>450861</v>
      </c>
      <c r="B67" s="5" t="s">
        <v>74</v>
      </c>
      <c r="C67" s="5">
        <v>60</v>
      </c>
      <c r="F67" s="20" t="str">
        <f t="shared" si="7"/>
        <v>edg_elite_coin_60</v>
      </c>
      <c r="G67" s="19" t="s">
        <v>86</v>
      </c>
      <c r="H67" s="21" t="s">
        <v>87</v>
      </c>
    </row>
    <row r="68" spans="1:8" x14ac:dyDescent="0.2">
      <c r="A68" s="4">
        <v>450862</v>
      </c>
      <c r="B68" s="5" t="s">
        <v>74</v>
      </c>
      <c r="C68" s="5">
        <v>75</v>
      </c>
      <c r="F68" s="20" t="str">
        <f t="shared" si="7"/>
        <v>edg_elite_coin_75</v>
      </c>
      <c r="G68" s="19" t="s">
        <v>86</v>
      </c>
      <c r="H68" s="21" t="s">
        <v>87</v>
      </c>
    </row>
    <row r="69" spans="1:8" x14ac:dyDescent="0.2">
      <c r="A69" s="4">
        <v>450863</v>
      </c>
      <c r="B69" s="5" t="s">
        <v>74</v>
      </c>
      <c r="C69" s="5">
        <v>75</v>
      </c>
      <c r="F69" s="20" t="str">
        <f t="shared" si="7"/>
        <v>edg_elite_coin_75</v>
      </c>
      <c r="G69" s="19" t="s">
        <v>86</v>
      </c>
      <c r="H69" s="21" t="s">
        <v>87</v>
      </c>
    </row>
    <row r="70" spans="1:8" x14ac:dyDescent="0.2">
      <c r="A70" s="4">
        <v>450864</v>
      </c>
      <c r="B70" s="5" t="s">
        <v>74</v>
      </c>
      <c r="C70" s="5">
        <v>80</v>
      </c>
      <c r="F70" s="20" t="str">
        <f t="shared" si="7"/>
        <v>edg_elite_coin_80</v>
      </c>
      <c r="G70" s="19" t="s">
        <v>86</v>
      </c>
      <c r="H70" s="21" t="s">
        <v>87</v>
      </c>
    </row>
    <row r="71" spans="1:8" x14ac:dyDescent="0.2">
      <c r="A71" s="4">
        <v>450865</v>
      </c>
      <c r="B71" s="5" t="s">
        <v>74</v>
      </c>
      <c r="C71" s="5">
        <v>85</v>
      </c>
      <c r="F71" s="20" t="str">
        <f t="shared" si="7"/>
        <v>edg_elite_coin_85</v>
      </c>
      <c r="G71" s="19" t="s">
        <v>86</v>
      </c>
      <c r="H71" s="21" t="s">
        <v>87</v>
      </c>
    </row>
    <row r="72" spans="1:8" x14ac:dyDescent="0.2">
      <c r="A72" s="4">
        <v>450866</v>
      </c>
      <c r="B72" s="5" t="s">
        <v>74</v>
      </c>
      <c r="C72" s="5">
        <v>85</v>
      </c>
      <c r="F72" s="20" t="str">
        <f t="shared" si="7"/>
        <v>edg_elite_coin_85</v>
      </c>
      <c r="G72" s="19" t="s">
        <v>86</v>
      </c>
      <c r="H72" s="21" t="s">
        <v>87</v>
      </c>
    </row>
    <row r="73" spans="1:8" x14ac:dyDescent="0.2">
      <c r="A73" s="4">
        <v>450867</v>
      </c>
      <c r="B73" s="5" t="s">
        <v>74</v>
      </c>
      <c r="C73" s="5">
        <v>90</v>
      </c>
      <c r="F73" s="20" t="str">
        <f t="shared" si="7"/>
        <v>edg_elite_coin_90</v>
      </c>
      <c r="G73" s="19" t="s">
        <v>86</v>
      </c>
      <c r="H73" s="21" t="s">
        <v>87</v>
      </c>
    </row>
    <row r="74" spans="1:8" x14ac:dyDescent="0.2">
      <c r="A74" s="4">
        <v>450868</v>
      </c>
      <c r="B74" s="5" t="s">
        <v>74</v>
      </c>
      <c r="C74" s="5">
        <v>105</v>
      </c>
      <c r="F74" s="20" t="str">
        <f t="shared" si="7"/>
        <v>edg_elite_coin_105</v>
      </c>
      <c r="G74" s="19" t="s">
        <v>86</v>
      </c>
      <c r="H74" s="21" t="s">
        <v>87</v>
      </c>
    </row>
    <row r="75" spans="1:8" x14ac:dyDescent="0.2">
      <c r="A75" s="4">
        <v>450869</v>
      </c>
      <c r="B75" s="5" t="s">
        <v>74</v>
      </c>
      <c r="C75" s="5">
        <v>110</v>
      </c>
      <c r="F75" s="20" t="str">
        <f t="shared" si="7"/>
        <v>edg_elite_coin_110</v>
      </c>
      <c r="G75" s="19" t="s">
        <v>86</v>
      </c>
      <c r="H75" s="21" t="s">
        <v>87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D5" sqref="D5"/>
    </sheetView>
  </sheetViews>
  <sheetFormatPr defaultColWidth="12.5" defaultRowHeight="14.25" x14ac:dyDescent="0.2"/>
  <cols>
    <col min="1" max="16384" width="12.5" style="17"/>
  </cols>
  <sheetData>
    <row r="1" spans="1:8" s="15" customFormat="1" x14ac:dyDescent="0.2">
      <c r="A1" s="15" t="s">
        <v>63</v>
      </c>
      <c r="B1" s="15" t="s">
        <v>64</v>
      </c>
      <c r="C1" s="15" t="s">
        <v>72</v>
      </c>
      <c r="D1" s="15" t="s">
        <v>65</v>
      </c>
      <c r="E1" s="15" t="s">
        <v>66</v>
      </c>
      <c r="F1" s="15" t="s">
        <v>67</v>
      </c>
      <c r="G1" s="16"/>
      <c r="H1" s="16"/>
    </row>
    <row r="2" spans="1:8" x14ac:dyDescent="0.2">
      <c r="A2" s="22" t="s">
        <v>71</v>
      </c>
      <c r="B2" s="22"/>
      <c r="C2" s="22" t="s">
        <v>73</v>
      </c>
      <c r="D2" s="22"/>
      <c r="E2" s="22" t="s">
        <v>68</v>
      </c>
      <c r="F2" s="22"/>
    </row>
  </sheetData>
  <mergeCells count="3">
    <mergeCell ref="A2:B2"/>
    <mergeCell ref="E2:F2"/>
    <mergeCell ref="C2:D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safe_zone_event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2025-12-23T10:15:47Z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2052-12.1.0.21171</vt:lpwstr>
  </property>
</Properties>
</file>