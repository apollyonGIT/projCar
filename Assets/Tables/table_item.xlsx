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FAF6DA84-1494-463B-A471-152C57AA2EF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loot" sheetId="3" r:id="rId1"/>
    <sheet name="camp_coin" sheetId="5" r:id="rId2"/>
    <sheet name="-id 配置说明" sheetId="6" r:id="rId3"/>
  </sheets>
  <definedNames>
    <definedName name="locate">_xlfn.LAMBDA(_xlpm.col_relative,_xlpm.rows,"RC["&amp;_xlpm.col_relative&amp;"]:R["&amp;_xlpm.rows-1&amp;"]C["&amp;_xlpm.col_relative&amp;"]")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3" l="1"/>
  <c r="F40" i="3"/>
  <c r="O75" i="3" a="1"/>
  <c r="O75" i="3" s="1"/>
  <c r="O76" i="3" a="1"/>
  <c r="O76" i="3" s="1"/>
  <c r="O77" i="3" a="1"/>
  <c r="O77" i="3" s="1"/>
  <c r="O78" i="3" a="1"/>
  <c r="O78" i="3" s="1"/>
  <c r="O79" i="3" a="1"/>
  <c r="O79" i="3" s="1"/>
  <c r="O80" i="3" a="1"/>
  <c r="O80" i="3" s="1"/>
  <c r="O81" i="3" a="1"/>
  <c r="O81" i="3" s="1"/>
  <c r="O82" i="3" a="1"/>
  <c r="O82" i="3" s="1"/>
  <c r="O83" i="3" a="1"/>
  <c r="O83" i="3" s="1"/>
  <c r="O84" i="3" a="1"/>
  <c r="O84" i="3" s="1"/>
  <c r="O85" i="3" a="1"/>
  <c r="O85" i="3" s="1"/>
  <c r="O86" i="3" a="1"/>
  <c r="O86" i="3" s="1"/>
  <c r="O87" i="3" a="1"/>
  <c r="O87" i="3" s="1"/>
  <c r="N75" i="3" a="1"/>
  <c r="N75" i="3" s="1"/>
  <c r="N87" i="3" l="1" a="1"/>
  <c r="N87" i="3" s="1"/>
  <c r="N86" i="3" a="1"/>
  <c r="N86" i="3" s="1"/>
  <c r="N85" i="3" a="1"/>
  <c r="N85" i="3" s="1"/>
  <c r="K76" i="3"/>
  <c r="K77" i="3"/>
  <c r="K78" i="3"/>
  <c r="K79" i="3"/>
  <c r="K80" i="3"/>
  <c r="K81" i="3"/>
  <c r="K82" i="3"/>
  <c r="K83" i="3"/>
  <c r="K84" i="3"/>
  <c r="K85" i="3"/>
  <c r="K86" i="3"/>
  <c r="K87" i="3"/>
  <c r="K75" i="3"/>
  <c r="F85" i="3"/>
  <c r="F86" i="3"/>
  <c r="F87" i="3"/>
  <c r="N84" i="3" a="1"/>
  <c r="N84" i="3" s="1"/>
  <c r="F84" i="3"/>
  <c r="N83" i="3" a="1"/>
  <c r="N83" i="3" s="1"/>
  <c r="F83" i="3"/>
  <c r="N82" i="3" a="1"/>
  <c r="N82" i="3" s="1"/>
  <c r="F82" i="3"/>
  <c r="N81" i="3" a="1"/>
  <c r="N81" i="3" s="1"/>
  <c r="F81" i="3"/>
  <c r="N80" i="3" a="1"/>
  <c r="N80" i="3" s="1"/>
  <c r="F80" i="3"/>
  <c r="N79" i="3" a="1"/>
  <c r="N79" i="3" s="1"/>
  <c r="F79" i="3"/>
  <c r="N78" i="3" a="1"/>
  <c r="N78" i="3" s="1"/>
  <c r="F78" i="3"/>
  <c r="N77" i="3" a="1"/>
  <c r="N77" i="3" s="1"/>
  <c r="F77" i="3"/>
  <c r="N76" i="3" a="1"/>
  <c r="N76" i="3" s="1"/>
  <c r="F76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K43" i="3"/>
  <c r="K44" i="3"/>
  <c r="K45" i="3"/>
  <c r="K46" i="3"/>
  <c r="K47" i="3"/>
  <c r="K48" i="3"/>
  <c r="K49" i="3"/>
  <c r="K50" i="3"/>
  <c r="K51" i="3"/>
  <c r="K53" i="3"/>
  <c r="K54" i="3"/>
  <c r="K55" i="3"/>
  <c r="K56" i="3"/>
  <c r="K57" i="3"/>
  <c r="K58" i="3"/>
  <c r="K59" i="3"/>
  <c r="K60" i="3"/>
  <c r="K61" i="3"/>
  <c r="K62" i="3"/>
  <c r="K64" i="3"/>
  <c r="K65" i="3"/>
  <c r="K66" i="3"/>
  <c r="K67" i="3"/>
  <c r="K68" i="3"/>
  <c r="K69" i="3"/>
  <c r="K70" i="3"/>
  <c r="K71" i="3"/>
  <c r="K72" i="3"/>
  <c r="K73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42" i="3"/>
  <c r="N107" i="3" a="1"/>
  <c r="N107" i="3" s="1"/>
  <c r="N108" i="3" a="1"/>
  <c r="N108" i="3" s="1"/>
  <c r="N109" i="3" a="1"/>
  <c r="N109" i="3" s="1"/>
  <c r="N110" i="3" a="1"/>
  <c r="N110" i="3" s="1"/>
  <c r="N111" i="3" a="1"/>
  <c r="N111" i="3" s="1"/>
  <c r="N112" i="3" a="1"/>
  <c r="N112" i="3" s="1"/>
  <c r="N113" i="3" a="1"/>
  <c r="N113" i="3" s="1"/>
  <c r="N106" i="3" a="1"/>
  <c r="N106" i="3" s="1"/>
  <c r="N61" i="3" l="1" a="1"/>
  <c r="N61" i="3" s="1"/>
  <c r="N62" i="3" a="1"/>
  <c r="N62" i="3" s="1"/>
  <c r="F61" i="3"/>
  <c r="G61" i="3"/>
  <c r="F62" i="3"/>
  <c r="G62" i="3"/>
  <c r="N70" i="3" l="1" a="1"/>
  <c r="N70" i="3" s="1"/>
  <c r="F70" i="3"/>
  <c r="G70" i="3"/>
  <c r="F71" i="3"/>
  <c r="G71" i="3"/>
  <c r="F72" i="3"/>
  <c r="G72" i="3"/>
  <c r="F73" i="3"/>
  <c r="G73" i="3"/>
  <c r="N98" i="3" a="1"/>
  <c r="N98" i="3" s="1"/>
  <c r="N96" i="3" a="1"/>
  <c r="N96" i="3" s="1"/>
  <c r="N95" i="3" a="1"/>
  <c r="N95" i="3" s="1"/>
  <c r="N93" i="3" a="1"/>
  <c r="N93" i="3" s="1"/>
  <c r="N94" i="3" a="1"/>
  <c r="N94" i="3" s="1"/>
  <c r="N97" i="3" a="1"/>
  <c r="N97" i="3" s="1"/>
  <c r="N99" i="3" a="1"/>
  <c r="N99" i="3" s="1"/>
  <c r="N101" i="3" a="1"/>
  <c r="N101" i="3" s="1"/>
  <c r="N100" i="3" a="1"/>
  <c r="N100" i="3" s="1"/>
  <c r="N102" i="3" a="1"/>
  <c r="N102" i="3" s="1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1" i="3"/>
  <c r="G101" i="3"/>
  <c r="F100" i="3"/>
  <c r="G100" i="3"/>
  <c r="F102" i="3"/>
  <c r="G102" i="3"/>
  <c r="N51" i="3" a="1"/>
  <c r="N51" i="3" s="1"/>
  <c r="G51" i="3"/>
  <c r="F51" i="3"/>
  <c r="N46" i="3" a="1"/>
  <c r="N46" i="3" s="1"/>
  <c r="N44" i="3" a="1"/>
  <c r="N44" i="3" s="1"/>
  <c r="G60" i="3"/>
  <c r="F60" i="3"/>
  <c r="G59" i="3"/>
  <c r="F59" i="3"/>
  <c r="G58" i="3"/>
  <c r="F58" i="3"/>
  <c r="G57" i="3"/>
  <c r="F57" i="3"/>
  <c r="N43" i="3" a="1"/>
  <c r="N43" i="3" s="1"/>
  <c r="N45" i="3" a="1"/>
  <c r="N45" i="3" s="1"/>
  <c r="N47" i="3" a="1"/>
  <c r="N47" i="3" s="1"/>
  <c r="N48" i="3" a="1"/>
  <c r="N48" i="3" s="1"/>
  <c r="N49" i="3" a="1"/>
  <c r="N49" i="3" s="1"/>
  <c r="N50" i="3" a="1"/>
  <c r="N50" i="3" s="1"/>
  <c r="N52" i="3" a="1"/>
  <c r="N52" i="3" s="1"/>
  <c r="N53" i="3" a="1"/>
  <c r="N53" i="3" s="1"/>
  <c r="N54" i="3" a="1"/>
  <c r="N54" i="3" s="1"/>
  <c r="N55" i="3" a="1"/>
  <c r="N55" i="3" s="1"/>
  <c r="N56" i="3" a="1"/>
  <c r="N56" i="3" s="1"/>
  <c r="N57" i="3" a="1"/>
  <c r="N57" i="3" s="1"/>
  <c r="N58" i="3" a="1"/>
  <c r="N58" i="3" s="1"/>
  <c r="N59" i="3" a="1"/>
  <c r="N59" i="3" s="1"/>
  <c r="N60" i="3" a="1"/>
  <c r="N60" i="3" s="1"/>
  <c r="N64" i="3" a="1"/>
  <c r="N64" i="3" s="1"/>
  <c r="N65" i="3" a="1"/>
  <c r="N65" i="3" s="1"/>
  <c r="N66" i="3" a="1"/>
  <c r="N66" i="3" s="1"/>
  <c r="N67" i="3" a="1"/>
  <c r="N67" i="3" s="1"/>
  <c r="N68" i="3" a="1"/>
  <c r="N68" i="3" s="1"/>
  <c r="N69" i="3" a="1"/>
  <c r="N69" i="3" s="1"/>
  <c r="N71" i="3" a="1"/>
  <c r="N71" i="3" s="1"/>
  <c r="N72" i="3" a="1"/>
  <c r="N72" i="3" s="1"/>
  <c r="N73" i="3" a="1"/>
  <c r="N73" i="3" s="1"/>
  <c r="N88" i="3" a="1"/>
  <c r="N88" i="3" s="1"/>
  <c r="N89" i="3" a="1"/>
  <c r="N89" i="3" s="1"/>
  <c r="N90" i="3" a="1"/>
  <c r="N90" i="3" s="1"/>
  <c r="N91" i="3" a="1"/>
  <c r="N91" i="3" s="1"/>
  <c r="N92" i="3" a="1"/>
  <c r="N92" i="3" s="1"/>
  <c r="G56" i="3"/>
  <c r="F56" i="3"/>
  <c r="G55" i="3"/>
  <c r="F55" i="3"/>
  <c r="G54" i="3"/>
  <c r="F54" i="3"/>
  <c r="G53" i="3"/>
  <c r="F53" i="3"/>
  <c r="G69" i="3"/>
  <c r="F69" i="3"/>
  <c r="G68" i="3"/>
  <c r="F68" i="3"/>
  <c r="G67" i="3"/>
  <c r="F67" i="3"/>
  <c r="G66" i="3"/>
  <c r="F66" i="3"/>
  <c r="G65" i="3"/>
  <c r="F65" i="3"/>
  <c r="G64" i="3"/>
  <c r="F64" i="3"/>
  <c r="N42" i="3" a="1"/>
  <c r="N42" i="3" s="1"/>
  <c r="G92" i="3" l="1"/>
  <c r="F92" i="3"/>
  <c r="G91" i="3"/>
  <c r="F91" i="3"/>
  <c r="G90" i="3"/>
  <c r="F90" i="3"/>
  <c r="G89" i="3"/>
  <c r="F89" i="3"/>
  <c r="G88" i="3"/>
  <c r="F88" i="3"/>
  <c r="F75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G42" i="3"/>
  <c r="F42" i="3"/>
  <c r="D17" i="5"/>
  <c r="D16" i="5"/>
  <c r="B16" i="5"/>
  <c r="D15" i="5"/>
  <c r="B15" i="5"/>
  <c r="D13" i="5"/>
  <c r="B13" i="5"/>
  <c r="D12" i="5"/>
  <c r="B12" i="5"/>
  <c r="D11" i="5"/>
  <c r="B11" i="5"/>
  <c r="D10" i="5"/>
  <c r="B10" i="5"/>
  <c r="B6" i="5"/>
  <c r="B5" i="5"/>
  <c r="B17" i="5" l="1"/>
  <c r="B7" i="5"/>
  <c r="B4" i="5"/>
  <c r="K35" i="3" l="1"/>
  <c r="G35" i="3"/>
  <c r="F35" i="3"/>
  <c r="K34" i="3"/>
  <c r="G34" i="3"/>
  <c r="F34" i="3"/>
  <c r="K33" i="3"/>
  <c r="G33" i="3"/>
  <c r="F33" i="3"/>
  <c r="K32" i="3"/>
  <c r="G32" i="3"/>
  <c r="F32" i="3"/>
  <c r="K31" i="3"/>
  <c r="G31" i="3"/>
  <c r="F31" i="3"/>
  <c r="K29" i="3"/>
  <c r="G29" i="3"/>
  <c r="F29" i="3"/>
  <c r="K28" i="3"/>
  <c r="G28" i="3"/>
  <c r="F28" i="3"/>
  <c r="K27" i="3"/>
  <c r="G27" i="3"/>
  <c r="F27" i="3"/>
  <c r="K26" i="3"/>
  <c r="G26" i="3"/>
  <c r="F26" i="3"/>
  <c r="K25" i="3"/>
  <c r="G25" i="3"/>
  <c r="F25" i="3"/>
  <c r="K24" i="3"/>
  <c r="G24" i="3"/>
  <c r="F24" i="3"/>
  <c r="K23" i="3"/>
  <c r="G23" i="3"/>
  <c r="F23" i="3"/>
  <c r="K21" i="3"/>
  <c r="G21" i="3"/>
  <c r="F21" i="3"/>
  <c r="K20" i="3"/>
  <c r="G20" i="3"/>
  <c r="F20" i="3"/>
  <c r="K19" i="3"/>
  <c r="G19" i="3"/>
  <c r="F19" i="3"/>
  <c r="K18" i="3"/>
  <c r="G18" i="3"/>
  <c r="F18" i="3"/>
  <c r="K17" i="3"/>
  <c r="G17" i="3"/>
  <c r="F17" i="3"/>
  <c r="K16" i="3"/>
  <c r="G16" i="3"/>
  <c r="F16" i="3"/>
  <c r="K15" i="3"/>
  <c r="G15" i="3"/>
  <c r="F15" i="3"/>
  <c r="K14" i="3"/>
  <c r="G14" i="3"/>
  <c r="F14" i="3"/>
  <c r="K13" i="3"/>
  <c r="G13" i="3"/>
  <c r="F13" i="3"/>
  <c r="K12" i="3"/>
  <c r="G12" i="3"/>
  <c r="F12" i="3"/>
  <c r="K11" i="3"/>
  <c r="G11" i="3"/>
  <c r="F11" i="3"/>
  <c r="G10" i="3"/>
  <c r="F10" i="3"/>
  <c r="K8" i="3"/>
  <c r="G8" i="3"/>
  <c r="F8" i="3"/>
  <c r="K7" i="3"/>
  <c r="G7" i="3"/>
  <c r="F7" i="3"/>
  <c r="K6" i="3"/>
  <c r="G6" i="3"/>
  <c r="F6" i="3"/>
  <c r="K5" i="3"/>
  <c r="G5" i="3"/>
  <c r="F5" i="3"/>
  <c r="K4" i="3"/>
  <c r="G4" i="3"/>
  <c r="F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<sst xmlns="http://schemas.openxmlformats.org/spreadsheetml/2006/main" count="544" uniqueCount="260">
  <si>
    <t>id</t>
  </si>
  <si>
    <t>name</t>
  </si>
  <si>
    <t>desc</t>
  </si>
  <si>
    <t>view</t>
  </si>
  <si>
    <t>camp_coin</t>
  </si>
  <si>
    <t>uint key</t>
  </si>
  <si>
    <t>string</t>
  </si>
  <si>
    <t>dict&lt;int,int&gt;</t>
  </si>
  <si>
    <t>备注1</t>
  </si>
  <si>
    <r>
      <rPr>
        <i/>
        <sz val="11"/>
        <color theme="1" tint="0.499984740745262"/>
        <rFont val="等线"/>
        <family val="3"/>
        <charset val="134"/>
        <scheme val="minor"/>
      </rPr>
      <t xml:space="preserve">备注2
</t>
    </r>
    <r>
      <rPr>
        <i/>
        <sz val="10"/>
        <color theme="1" tint="0.499984740745262"/>
        <rFont val="等线"/>
        <family val="3"/>
        <charset val="134"/>
        <scheme val="minor"/>
      </rPr>
      <t>品质</t>
    </r>
  </si>
  <si>
    <r>
      <rPr>
        <i/>
        <sz val="11"/>
        <color theme="1" tint="0.499984740745262"/>
        <rFont val="等线"/>
        <family val="3"/>
        <charset val="134"/>
        <scheme val="minor"/>
      </rPr>
      <t xml:space="preserve">备注3
</t>
    </r>
    <r>
      <rPr>
        <i/>
        <sz val="10"/>
        <color theme="1" tint="0.499984740745262"/>
        <rFont val="等线"/>
        <family val="3"/>
        <charset val="134"/>
        <scheme val="minor"/>
      </rPr>
      <t>由...合成</t>
    </r>
  </si>
  <si>
    <r>
      <rPr>
        <b/>
        <sz val="11"/>
        <color theme="1"/>
        <rFont val="等线"/>
        <family val="3"/>
        <charset val="134"/>
        <scheme val="minor"/>
      </rPr>
      <t>物品名称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查localization表id</t>
    </r>
  </si>
  <si>
    <r>
      <rPr>
        <b/>
        <sz val="11"/>
        <color theme="1"/>
        <rFont val="等线"/>
        <family val="3"/>
        <charset val="134"/>
        <scheme val="minor"/>
      </rPr>
      <t>物品描述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查localization表id</t>
    </r>
  </si>
  <si>
    <t>资源命名</t>
  </si>
  <si>
    <t>金币</t>
  </si>
  <si>
    <t>——</t>
  </si>
  <si>
    <t>coin</t>
  </si>
  <si>
    <t>灵魂</t>
  </si>
  <si>
    <t>Remove</t>
  </si>
  <si>
    <t>soul</t>
  </si>
  <si>
    <t>食物</t>
  </si>
  <si>
    <t>NEW</t>
  </si>
  <si>
    <t>meat</t>
  </si>
  <si>
    <t>木材</t>
  </si>
  <si>
    <t>wood</t>
  </si>
  <si>
    <t>金属</t>
  </si>
  <si>
    <t>metal</t>
  </si>
  <si>
    <t>生肉</t>
  </si>
  <si>
    <t>柔软皮毛</t>
  </si>
  <si>
    <t>soft_fur</t>
  </si>
  <si>
    <t>植物果实</t>
  </si>
  <si>
    <t>fruit</t>
  </si>
  <si>
    <t>纤维</t>
  </si>
  <si>
    <t>fiber</t>
  </si>
  <si>
    <t>胶</t>
  </si>
  <si>
    <t>glue</t>
  </si>
  <si>
    <t>天然木材</t>
  </si>
  <si>
    <t>金属矿石</t>
  </si>
  <si>
    <t>ore</t>
  </si>
  <si>
    <t>天然石材</t>
  </si>
  <si>
    <t>stone</t>
  </si>
  <si>
    <t>易燃粉末</t>
  </si>
  <si>
    <t>flammable_powder</t>
  </si>
  <si>
    <t>废弃木材</t>
  </si>
  <si>
    <t>timber_scrap</t>
  </si>
  <si>
    <t>废弃金属</t>
  </si>
  <si>
    <t>metal_scrap</t>
  </si>
  <si>
    <t>生肉; 植物果实</t>
  </si>
  <si>
    <t>meal</t>
  </si>
  <si>
    <t>硬化兽皮</t>
  </si>
  <si>
    <t>harden_animal_skin</t>
  </si>
  <si>
    <t>木制零件</t>
  </si>
  <si>
    <t>天然木材; 废弃木材</t>
  </si>
  <si>
    <t>timber_part</t>
  </si>
  <si>
    <t>金属零件</t>
  </si>
  <si>
    <t>金属矿石; 废弃金属</t>
  </si>
  <si>
    <t>metal_parts</t>
  </si>
  <si>
    <t>磨刀石</t>
  </si>
  <si>
    <t>grindstone</t>
  </si>
  <si>
    <t>爆燃火药</t>
  </si>
  <si>
    <t>fire_powder</t>
  </si>
  <si>
    <t>绑线</t>
  </si>
  <si>
    <t>大餐</t>
  </si>
  <si>
    <t>食物; 生肉; 果蔬</t>
  </si>
  <si>
    <t>feast</t>
  </si>
  <si>
    <t>坚固皮革</t>
  </si>
  <si>
    <t>strong_leather</t>
  </si>
  <si>
    <t>武器部件</t>
  </si>
  <si>
    <t>木制零件; 金属零件</t>
  </si>
  <si>
    <t>weapon_parts</t>
  </si>
  <si>
    <t>优质磨刀石</t>
  </si>
  <si>
    <t>high_quality_grindstone</t>
  </si>
  <si>
    <t>烈性炸药</t>
  </si>
  <si>
    <t>high_explosives</t>
  </si>
  <si>
    <t>地宫</t>
  </si>
  <si>
    <t>云间</t>
  </si>
  <si>
    <t>密林</t>
  </si>
  <si>
    <t>树梢</t>
  </si>
  <si>
    <t>田间</t>
  </si>
  <si>
    <t>永夜</t>
  </si>
  <si>
    <t>荒漠</t>
  </si>
  <si>
    <t>大湖</t>
  </si>
  <si>
    <t>loot_6000_coin</t>
  </si>
  <si>
    <t>icon</t>
  </si>
  <si>
    <t>编号</t>
  </si>
  <si>
    <t>名称</t>
  </si>
  <si>
    <t>备注</t>
  </si>
  <si>
    <t>图标
(asset address)</t>
  </si>
  <si>
    <t>黄金</t>
  </si>
  <si>
    <t>火硫磺</t>
  </si>
  <si>
    <t>天空石</t>
  </si>
  <si>
    <t>建木根须</t>
  </si>
  <si>
    <t>建木果实</t>
  </si>
  <si>
    <t>矮人矿石</t>
  </si>
  <si>
    <t>沙漠水晶</t>
  </si>
  <si>
    <t>珍珠</t>
  </si>
  <si>
    <t>木材</t>
    <phoneticPr fontId="9" type="noConversion"/>
  </si>
  <si>
    <t>食物</t>
    <phoneticPr fontId="9" type="noConversion"/>
  </si>
  <si>
    <t>第1位</t>
  </si>
  <si>
    <t>第2位</t>
  </si>
  <si>
    <t>第3位</t>
  </si>
  <si>
    <t>第4位</t>
  </si>
  <si>
    <t>第5位</t>
  </si>
  <si>
    <t>第6位</t>
  </si>
  <si>
    <t>01 = 地宫</t>
    <phoneticPr fontId="9" type="noConversion"/>
  </si>
  <si>
    <t>00~99 编号</t>
  </si>
  <si>
    <t>08 = 大湖</t>
    <phoneticPr fontId="9" type="noConversion"/>
  </si>
  <si>
    <t>60 = loot</t>
    <phoneticPr fontId="9" type="noConversion"/>
  </si>
  <si>
    <t>61 = camp_coin</t>
    <phoneticPr fontId="9" type="noConversion"/>
  </si>
  <si>
    <t>2 = 世界特殊</t>
    <phoneticPr fontId="9" type="noConversion"/>
  </si>
  <si>
    <t>1 = 基础</t>
    <phoneticPr fontId="9" type="noConversion"/>
  </si>
  <si>
    <t>1~8=世界编号</t>
    <phoneticPr fontId="9" type="noConversion"/>
  </si>
  <si>
    <t>1~9=编号</t>
    <phoneticPr fontId="9" type="noConversion"/>
  </si>
  <si>
    <t>04 = 树梢</t>
    <phoneticPr fontId="9" type="noConversion"/>
  </si>
  <si>
    <t>07 = 荒漠</t>
    <phoneticPr fontId="9" type="noConversion"/>
  </si>
  <si>
    <t>木武器柄</t>
  </si>
  <si>
    <t>洞穴人碎金</t>
  </si>
  <si>
    <t>狗头金</t>
  </si>
  <si>
    <t>2025.Oct</t>
  </si>
  <si>
    <t>2025.Oct</t>
    <phoneticPr fontId="9" type="noConversion"/>
  </si>
  <si>
    <t>狗鱼</t>
  </si>
  <si>
    <t>多肉鱼</t>
  </si>
  <si>
    <t>大嘴鱼</t>
  </si>
  <si>
    <t>大湖</t>
    <phoneticPr fontId="9" type="noConversion"/>
  </si>
  <si>
    <t>营地货币折算</t>
    <phoneticPr fontId="9" type="noConversion"/>
  </si>
  <si>
    <t>备注
人话翻译器</t>
    <phoneticPr fontId="9" type="noConversion"/>
  </si>
  <si>
    <t>6113=1</t>
    <phoneticPr fontId="9" type="noConversion"/>
  </si>
  <si>
    <t>6113=2</t>
    <phoneticPr fontId="9" type="noConversion"/>
  </si>
  <si>
    <t>6111=1;6113=1;6114=1</t>
    <phoneticPr fontId="9" type="noConversion"/>
  </si>
  <si>
    <t>战箭残骸</t>
  </si>
  <si>
    <t>战刃残骸</t>
  </si>
  <si>
    <t>战斧残骸</t>
  </si>
  <si>
    <t>战盾残骸</t>
  </si>
  <si>
    <t>古代金饰</t>
  </si>
  <si>
    <t>古代诅咒雕像1</t>
  </si>
  <si>
    <t>古代诅咒雕像2</t>
  </si>
  <si>
    <t>6114=1</t>
    <phoneticPr fontId="9" type="noConversion"/>
  </si>
  <si>
    <t>6114=2</t>
    <phoneticPr fontId="9" type="noConversion"/>
  </si>
  <si>
    <t>6114=3</t>
    <phoneticPr fontId="9" type="noConversion"/>
  </si>
  <si>
    <t>6111=3</t>
    <phoneticPr fontId="9" type="noConversion"/>
  </si>
  <si>
    <t>腐化粘液</t>
  </si>
  <si>
    <t>腐化细枝</t>
  </si>
  <si>
    <t>腐化果实</t>
  </si>
  <si>
    <t>6112=2</t>
    <phoneticPr fontId="9" type="noConversion"/>
  </si>
  <si>
    <t>6112=3</t>
    <phoneticPr fontId="9" type="noConversion"/>
  </si>
  <si>
    <t>6112=5</t>
    <phoneticPr fontId="9" type="noConversion"/>
  </si>
  <si>
    <t>地宫怪物肉</t>
  </si>
  <si>
    <t>6111=10</t>
    <phoneticPr fontId="9" type="noConversion"/>
  </si>
  <si>
    <t>6111=20</t>
    <phoneticPr fontId="9" type="noConversion"/>
  </si>
  <si>
    <t>6113=30</t>
    <phoneticPr fontId="9" type="noConversion"/>
  </si>
  <si>
    <t>软体动物(小)</t>
  </si>
  <si>
    <t>软体动物(中)</t>
  </si>
  <si>
    <t>软体动物(大)</t>
  </si>
  <si>
    <t>甲壳动物(小)</t>
  </si>
  <si>
    <t>甲壳动物(中)</t>
  </si>
  <si>
    <t>甲壳动物(大)</t>
  </si>
  <si>
    <t>河鱼(小)</t>
  </si>
  <si>
    <t>河鱼(中)</t>
  </si>
  <si>
    <t>河鱼(大)</t>
  </si>
  <si>
    <t>河边朽木</t>
  </si>
  <si>
    <t>河边陈金</t>
  </si>
  <si>
    <t>河边锈铁</t>
  </si>
  <si>
    <t>6113=8</t>
    <phoneticPr fontId="9" type="noConversion"/>
  </si>
  <si>
    <t>6113=12</t>
    <phoneticPr fontId="9" type="noConversion"/>
  </si>
  <si>
    <t>6113=16</t>
    <phoneticPr fontId="9" type="noConversion"/>
  </si>
  <si>
    <t>6113=15</t>
    <phoneticPr fontId="9" type="noConversion"/>
  </si>
  <si>
    <t>6113=18</t>
    <phoneticPr fontId="9" type="noConversion"/>
  </si>
  <si>
    <t>6113=20</t>
    <phoneticPr fontId="9" type="noConversion"/>
  </si>
  <si>
    <t>6113=25</t>
    <phoneticPr fontId="9" type="noConversion"/>
  </si>
  <si>
    <t>6113=58</t>
    <phoneticPr fontId="9" type="noConversion"/>
  </si>
  <si>
    <t>6114=7</t>
    <phoneticPr fontId="9" type="noConversion"/>
  </si>
  <si>
    <t>6114=11</t>
    <phoneticPr fontId="9" type="noConversion"/>
  </si>
  <si>
    <t>6114=14</t>
    <phoneticPr fontId="9" type="noConversion"/>
  </si>
  <si>
    <t>古代金币</t>
    <phoneticPr fontId="9" type="noConversion"/>
  </si>
  <si>
    <t>古代金锭</t>
  </si>
  <si>
    <t>沙漠怪物肉</t>
  </si>
  <si>
    <t>6111=9</t>
    <phoneticPr fontId="9" type="noConversion"/>
  </si>
  <si>
    <t>6111=25</t>
    <phoneticPr fontId="9" type="noConversion"/>
  </si>
  <si>
    <t>6111=61</t>
    <phoneticPr fontId="9" type="noConversion"/>
  </si>
  <si>
    <t>6113=75</t>
    <phoneticPr fontId="9" type="noConversion"/>
  </si>
  <si>
    <t>建木细枝</t>
  </si>
  <si>
    <t>建木粗枝</t>
  </si>
  <si>
    <t>系铃粗枝</t>
  </si>
  <si>
    <t>腐化粗枝</t>
  </si>
  <si>
    <t>腐化活木</t>
  </si>
  <si>
    <t>腐化新芽</t>
  </si>
  <si>
    <t>焦腐朽木</t>
  </si>
  <si>
    <t>6112=15</t>
    <phoneticPr fontId="9" type="noConversion"/>
  </si>
  <si>
    <t>6112=15;6111=1</t>
    <phoneticPr fontId="9" type="noConversion"/>
  </si>
  <si>
    <t>6112=35</t>
    <phoneticPr fontId="9" type="noConversion"/>
  </si>
  <si>
    <t>6112=80</t>
    <phoneticPr fontId="9" type="noConversion"/>
  </si>
  <si>
    <t>6113=35</t>
    <phoneticPr fontId="9" type="noConversion"/>
  </si>
  <si>
    <t>洞穴人金块</t>
  </si>
  <si>
    <t>古代地宫柱梁</t>
  </si>
  <si>
    <t>古代地宫金砖</t>
  </si>
  <si>
    <t>古代地宫雕像</t>
  </si>
  <si>
    <t>大型鎏金木雕</t>
  </si>
  <si>
    <t>金属矛尖</t>
  </si>
  <si>
    <t>6112=4</t>
    <phoneticPr fontId="9" type="noConversion"/>
  </si>
  <si>
    <t>6111=6</t>
    <phoneticPr fontId="9" type="noConversion"/>
  </si>
  <si>
    <t>6111=12</t>
    <phoneticPr fontId="9" type="noConversion"/>
  </si>
  <si>
    <t>6111=7</t>
    <phoneticPr fontId="9" type="noConversion"/>
  </si>
  <si>
    <t>6112=22</t>
    <phoneticPr fontId="9" type="noConversion"/>
  </si>
  <si>
    <t>6111=18;6112=8</t>
    <phoneticPr fontId="9" type="noConversion"/>
  </si>
  <si>
    <t>6111=12;6112=40</t>
    <phoneticPr fontId="9" type="noConversion"/>
  </si>
  <si>
    <r>
      <t xml:space="preserve">外观address
</t>
    </r>
    <r>
      <rPr>
        <i/>
        <sz val="11"/>
        <color theme="1"/>
        <rFont val="等线"/>
        <family val="3"/>
        <charset val="134"/>
        <scheme val="minor"/>
      </rPr>
      <t>sprite address</t>
    </r>
    <phoneticPr fontId="9" type="noConversion"/>
  </si>
  <si>
    <t>6121=1</t>
    <phoneticPr fontId="9" type="noConversion"/>
  </si>
  <si>
    <t>6122=1</t>
    <phoneticPr fontId="9" type="noConversion"/>
  </si>
  <si>
    <t>6123=1</t>
    <phoneticPr fontId="9" type="noConversion"/>
  </si>
  <si>
    <t>6124=1</t>
    <phoneticPr fontId="9" type="noConversion"/>
  </si>
  <si>
    <t>6126=1</t>
    <phoneticPr fontId="9" type="noConversion"/>
  </si>
  <si>
    <t>6127=1</t>
    <phoneticPr fontId="9" type="noConversion"/>
  </si>
  <si>
    <t>6128=1</t>
    <phoneticPr fontId="9" type="noConversion"/>
  </si>
  <si>
    <t>资源前缀</t>
    <phoneticPr fontId="9" type="noConversion"/>
  </si>
  <si>
    <t>Lake</t>
    <phoneticPr fontId="9" type="noConversion"/>
  </si>
  <si>
    <t>seaweed</t>
    <phoneticPr fontId="9" type="noConversion"/>
  </si>
  <si>
    <t>Desert</t>
    <phoneticPr fontId="9" type="noConversion"/>
  </si>
  <si>
    <t>broken_arrow</t>
    <phoneticPr fontId="9" type="noConversion"/>
  </si>
  <si>
    <t>TreeTop</t>
    <phoneticPr fontId="9" type="noConversion"/>
  </si>
  <si>
    <t>evil_goo</t>
    <phoneticPr fontId="9" type="noConversion"/>
  </si>
  <si>
    <t>Dungeon</t>
    <phoneticPr fontId="9" type="noConversion"/>
  </si>
  <si>
    <t>monster_meat</t>
    <phoneticPr fontId="9" type="noConversion"/>
  </si>
  <si>
    <t>brimstone</t>
    <phoneticPr fontId="9" type="noConversion"/>
  </si>
  <si>
    <t>fruit</t>
    <phoneticPr fontId="9" type="noConversion"/>
  </si>
  <si>
    <t>crystal</t>
    <phoneticPr fontId="9" type="noConversion"/>
  </si>
  <si>
    <t>pearl</t>
    <phoneticPr fontId="9" type="noConversion"/>
  </si>
  <si>
    <t>金属</t>
    <phoneticPr fontId="9" type="noConversion"/>
  </si>
  <si>
    <t>鱼肉</t>
  </si>
  <si>
    <t>鱼油</t>
  </si>
  <si>
    <t>海蜇肉</t>
  </si>
  <si>
    <t>蟹肉</t>
  </si>
  <si>
    <t>蟹钳</t>
  </si>
  <si>
    <t>贝肉</t>
  </si>
  <si>
    <t>蚌壳</t>
  </si>
  <si>
    <t>黑珍珠</t>
  </si>
  <si>
    <t>朽木</t>
  </si>
  <si>
    <t>锈铁</t>
  </si>
  <si>
    <t>湖盐</t>
  </si>
  <si>
    <t>水草</t>
    <phoneticPr fontId="9" type="noConversion"/>
  </si>
  <si>
    <t>备注4
版本</t>
    <phoneticPr fontId="9" type="noConversion"/>
  </si>
  <si>
    <t>2025.Nov.25</t>
    <phoneticPr fontId="9" type="noConversion"/>
  </si>
  <si>
    <t>图集编号</t>
    <phoneticPr fontId="9" type="noConversion"/>
  </si>
  <si>
    <t>6113=5</t>
    <phoneticPr fontId="9" type="noConversion"/>
  </si>
  <si>
    <t>6113=55</t>
    <phoneticPr fontId="9" type="noConversion"/>
  </si>
  <si>
    <t>6113=45</t>
    <phoneticPr fontId="9" type="noConversion"/>
  </si>
  <si>
    <t>6111=2</t>
    <phoneticPr fontId="9" type="noConversion"/>
  </si>
  <si>
    <t>6111=10;6113=10</t>
    <phoneticPr fontId="9" type="noConversion"/>
  </si>
  <si>
    <t>6111=15</t>
    <phoneticPr fontId="9" type="noConversion"/>
  </si>
  <si>
    <t>6111=35</t>
    <phoneticPr fontId="9" type="noConversion"/>
  </si>
  <si>
    <t>6112=20</t>
    <phoneticPr fontId="9" type="noConversion"/>
  </si>
  <si>
    <t>6114=20</t>
    <phoneticPr fontId="9" type="noConversion"/>
  </si>
  <si>
    <t>备注
价值统计</t>
    <phoneticPr fontId="9" type="noConversion"/>
  </si>
  <si>
    <t>物品描述</t>
    <phoneticPr fontId="9" type="noConversion"/>
  </si>
  <si>
    <t>loot_desc_600800</t>
    <phoneticPr fontId="9" type="noConversion"/>
  </si>
  <si>
    <t>&lt;br&gt;&lt;i&gt;可以用来结算为营地货币的战利品…&lt;/i&gt;&lt;br&gt;</t>
    <phoneticPr fontId="9" type="noConversion"/>
  </si>
  <si>
    <t>ui_item_icon[ui_item_icon_0]</t>
    <phoneticPr fontId="9" type="noConversion"/>
  </si>
  <si>
    <t>ui_item_icon[ui_item_icon_1]</t>
    <phoneticPr fontId="9" type="noConversion"/>
  </si>
  <si>
    <t>ui_item_icon[ui_item_icon_2]</t>
    <phoneticPr fontId="9" type="noConversion"/>
  </si>
  <si>
    <t>ui_item_icon[ui_item_icon_3]</t>
    <phoneticPr fontId="9" type="noConversion"/>
  </si>
  <si>
    <t>铜币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</si>
</sst>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10"/>
      <color theme="1" tint="0.499984740745262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</font>
    <font>
      <sz val="11"/>
      <color theme="0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b/>
      <i/>
      <sz val="11"/>
      <color theme="9"/>
      <name val="等线"/>
      <family val="3"/>
      <charset val="134"/>
      <scheme val="minor"/>
    </font>
    <font>
      <b/>
      <i/>
      <sz val="11"/>
      <color rgb="FFC0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11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10" fillId="0" borderId="0" xfId="0" applyFont="1" applyAlignment="1">
      <alignment horizontal="center"/>
    </xf>
    <xf numFmtId="0" fontId="12" fillId="2" borderId="1" xfId="3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/>
    <xf numFmtId="0" fontId="5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/>
    </xf>
    <xf numFmtId="0" fontId="15" fillId="3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0" borderId="0" xfId="0" applyFont="1"/>
    <xf numFmtId="0" fontId="17" fillId="5" borderId="0" xfId="0" applyFont="1" applyFill="1"/>
    <xf numFmtId="0" fontId="17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5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17" fillId="6" borderId="0" xfId="0" applyFont="1" applyFill="1"/>
    <xf numFmtId="0" fontId="0" fillId="6" borderId="0" xfId="0" applyFill="1" applyAlignment="1">
      <alignment horizontal="left"/>
    </xf>
    <xf numFmtId="0" fontId="3" fillId="6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3" fillId="0" borderId="0" xfId="0" applyFont="1"/>
    <xf numFmtId="0" fontId="3" fillId="5" borderId="0" xfId="0" applyFont="1" applyFill="1"/>
    <xf numFmtId="0" fontId="10" fillId="0" borderId="0" xfId="0" applyFont="1"/>
    <xf numFmtId="0" fontId="6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4" fillId="0" borderId="1" xfId="3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00000000-0005-0000-0000-000032000000}"/>
    <cellStyle name="常规 2 3" xfId="3" xr:uid="{4BA2D0D1-8727-41A3-BEAE-C671C29748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tabSelected="1" workbookViewId="0">
      <pane ySplit="3" topLeftCell="A19" activePane="bottomLeft" state="frozen"/>
      <selection pane="bottomLeft" activeCell="F40" sqref="F40"/>
    </sheetView>
  </sheetViews>
  <sheetFormatPr defaultColWidth="9.125" defaultRowHeight="14.25" x14ac:dyDescent="0.2"/>
  <cols>
    <col min="1" max="1" width="8.375" style="4" customWidth="1"/>
    <col min="2" max="2" width="13.625" style="5" customWidth="1"/>
    <col min="3" max="3" width="9.125" style="5"/>
    <col min="4" max="5" width="18.125" style="5" customWidth="1"/>
    <col min="6" max="6" width="17.625" style="4" bestFit="1" customWidth="1"/>
    <col min="7" max="7" width="16.625" style="4" bestFit="1" customWidth="1"/>
    <col min="8" max="8" width="47.125" style="47" customWidth="1"/>
    <col min="9" max="9" width="9.5" style="12" bestFit="1" customWidth="1"/>
    <col min="10" max="10" width="22.25" style="12" bestFit="1" customWidth="1"/>
    <col min="11" max="11" width="34.625" style="13" bestFit="1" customWidth="1"/>
    <col min="12" max="12" width="9.5" style="39" bestFit="1" customWidth="1"/>
    <col min="13" max="13" width="21.75" style="4" customWidth="1"/>
    <col min="14" max="14" width="22.625" style="30" bestFit="1" customWidth="1"/>
    <col min="15" max="15" width="9.5" style="30" bestFit="1" customWidth="1"/>
    <col min="16" max="16" width="13.375" customWidth="1"/>
  </cols>
  <sheetData>
    <row r="1" spans="1:15" s="1" customFormat="1" x14ac:dyDescent="0.2">
      <c r="A1" s="1" t="s">
        <v>0</v>
      </c>
      <c r="B1" s="6"/>
      <c r="C1" s="6"/>
      <c r="D1" s="6"/>
      <c r="E1" s="6"/>
      <c r="F1" s="1" t="s">
        <v>1</v>
      </c>
      <c r="G1" s="1" t="s">
        <v>2</v>
      </c>
      <c r="H1" s="6"/>
      <c r="I1" s="14"/>
      <c r="J1" s="14"/>
      <c r="K1" s="1" t="s">
        <v>3</v>
      </c>
      <c r="L1" s="37"/>
      <c r="M1" s="1" t="s">
        <v>4</v>
      </c>
      <c r="N1" s="28"/>
      <c r="O1" s="28"/>
    </row>
    <row r="2" spans="1:15" s="2" customFormat="1" x14ac:dyDescent="0.2">
      <c r="A2" s="2" t="s">
        <v>5</v>
      </c>
      <c r="B2" s="7"/>
      <c r="C2" s="7"/>
      <c r="D2" s="7"/>
      <c r="E2" s="7"/>
      <c r="F2" s="2" t="s">
        <v>6</v>
      </c>
      <c r="G2" s="2" t="s">
        <v>6</v>
      </c>
      <c r="H2" s="7"/>
      <c r="I2" s="14"/>
      <c r="J2" s="14"/>
      <c r="K2" s="2" t="s">
        <v>6</v>
      </c>
      <c r="L2" s="37"/>
      <c r="M2" s="2" t="s">
        <v>7</v>
      </c>
      <c r="N2" s="29"/>
      <c r="O2" s="29"/>
    </row>
    <row r="3" spans="1:15" s="3" customFormat="1" ht="28.5" x14ac:dyDescent="0.2">
      <c r="A3" s="8" t="s">
        <v>0</v>
      </c>
      <c r="B3" s="10" t="s">
        <v>8</v>
      </c>
      <c r="C3" s="10" t="s">
        <v>9</v>
      </c>
      <c r="D3" s="10" t="s">
        <v>10</v>
      </c>
      <c r="E3" s="10" t="s">
        <v>239</v>
      </c>
      <c r="F3" s="9" t="s">
        <v>11</v>
      </c>
      <c r="G3" s="9" t="s">
        <v>12</v>
      </c>
      <c r="H3" s="10" t="s">
        <v>252</v>
      </c>
      <c r="I3" s="35" t="s">
        <v>213</v>
      </c>
      <c r="J3" s="15" t="s">
        <v>13</v>
      </c>
      <c r="K3" s="34" t="s">
        <v>205</v>
      </c>
      <c r="L3" s="38" t="s">
        <v>241</v>
      </c>
      <c r="M3" s="27" t="s">
        <v>124</v>
      </c>
      <c r="N3" s="32" t="s">
        <v>125</v>
      </c>
      <c r="O3" s="32" t="s">
        <v>251</v>
      </c>
    </row>
    <row r="4" spans="1:15" x14ac:dyDescent="0.2">
      <c r="A4" s="4">
        <v>6000</v>
      </c>
      <c r="B4" s="5" t="s">
        <v>14</v>
      </c>
      <c r="C4" s="5" t="s">
        <v>15</v>
      </c>
      <c r="F4" s="4" t="str">
        <f>IF($A4&lt;&gt;"",_xlfn.TEXTJOIN("_",1,"loot_name",$A4),"")</f>
        <v>loot_name_6000</v>
      </c>
      <c r="G4" s="4" t="str">
        <f>IF($A4&lt;&gt;"",_xlfn.TEXTJOIN("_",1,"loot_desc",$A4),"")</f>
        <v>loot_desc_6000</v>
      </c>
      <c r="J4" s="12" t="s">
        <v>16</v>
      </c>
      <c r="K4" s="13" t="str">
        <f>_xlfn.TEXTJOIN("_",1,"loot",A4,J4)</f>
        <v>loot_6000_coin</v>
      </c>
    </row>
    <row r="5" spans="1:15" x14ac:dyDescent="0.2">
      <c r="A5" s="4">
        <v>6001</v>
      </c>
      <c r="B5" s="5" t="s">
        <v>17</v>
      </c>
      <c r="C5" s="5" t="s">
        <v>15</v>
      </c>
      <c r="E5" s="5" t="s">
        <v>18</v>
      </c>
      <c r="F5" s="4" t="str">
        <f>IF($A5&lt;&gt;"",_xlfn.TEXTJOIN("_",1,"loot_name",$A5),"")</f>
        <v>loot_name_6001</v>
      </c>
      <c r="G5" s="4" t="str">
        <f t="shared" ref="G5:G35" si="0">IF($A5&lt;&gt;"",_xlfn.TEXTJOIN("_",1,"loot_desc",$A5),"")</f>
        <v>loot_desc_6001</v>
      </c>
      <c r="J5" s="12" t="s">
        <v>19</v>
      </c>
      <c r="K5" s="13" t="str">
        <f>_xlfn.TEXTJOIN("_",1,"loot",A5,J5)</f>
        <v>loot_6001_soul</v>
      </c>
    </row>
    <row r="6" spans="1:15" x14ac:dyDescent="0.2">
      <c r="A6" s="4">
        <v>6002</v>
      </c>
      <c r="B6" s="5" t="s">
        <v>20</v>
      </c>
      <c r="C6" s="5" t="s">
        <v>15</v>
      </c>
      <c r="E6" s="5" t="s">
        <v>21</v>
      </c>
      <c r="F6" s="4" t="str">
        <f>IF($A6&lt;&gt;"",_xlfn.TEXTJOIN("_",1,"loot_name",$A6),"")</f>
        <v>loot_name_6002</v>
      </c>
      <c r="G6" s="4" t="str">
        <f t="shared" si="0"/>
        <v>loot_desc_6002</v>
      </c>
      <c r="J6" s="12" t="s">
        <v>22</v>
      </c>
      <c r="K6" s="13" t="str">
        <f>_xlfn.TEXTJOIN("_",1,"loot",A6,J6)</f>
        <v>loot_6002_meat</v>
      </c>
    </row>
    <row r="7" spans="1:15" x14ac:dyDescent="0.2">
      <c r="A7" s="4">
        <v>6003</v>
      </c>
      <c r="B7" s="5" t="s">
        <v>23</v>
      </c>
      <c r="C7" s="5" t="s">
        <v>15</v>
      </c>
      <c r="E7" s="5" t="s">
        <v>21</v>
      </c>
      <c r="F7" s="4" t="str">
        <f>IF($A7&lt;&gt;"",_xlfn.TEXTJOIN("_",1,"loot_name",$A7),"")</f>
        <v>loot_name_6003</v>
      </c>
      <c r="G7" s="4" t="str">
        <f t="shared" si="0"/>
        <v>loot_desc_6003</v>
      </c>
      <c r="J7" s="12" t="s">
        <v>24</v>
      </c>
      <c r="K7" s="13" t="str">
        <f>_xlfn.TEXTJOIN("_",1,"loot",A7,J7)</f>
        <v>loot_6003_wood</v>
      </c>
    </row>
    <row r="8" spans="1:15" x14ac:dyDescent="0.2">
      <c r="A8" s="4">
        <v>6004</v>
      </c>
      <c r="B8" s="5" t="s">
        <v>25</v>
      </c>
      <c r="C8" s="5" t="s">
        <v>15</v>
      </c>
      <c r="E8" s="5" t="s">
        <v>21</v>
      </c>
      <c r="F8" s="4" t="str">
        <f>IF($A8&lt;&gt;"",_xlfn.TEXTJOIN("_",1,"loot_name",$A8),"")</f>
        <v>loot_name_6004</v>
      </c>
      <c r="G8" s="4" t="str">
        <f t="shared" si="0"/>
        <v>loot_desc_6004</v>
      </c>
      <c r="J8" s="12" t="s">
        <v>26</v>
      </c>
      <c r="K8" s="13" t="str">
        <f>_xlfn.TEXTJOIN("_",1,"loot",A8,J8)</f>
        <v>loot_6004_metal</v>
      </c>
    </row>
    <row r="10" spans="1:15" x14ac:dyDescent="0.2">
      <c r="F10" s="4" t="str">
        <f t="shared" ref="F10:F35" si="1">IF($A10&lt;&gt;"",_xlfn.TEXTJOIN("_",1,"loot_name",$A10),"")</f>
        <v/>
      </c>
      <c r="G10" s="4" t="str">
        <f t="shared" si="0"/>
        <v/>
      </c>
    </row>
    <row r="11" spans="1:15" x14ac:dyDescent="0.2">
      <c r="A11" s="4">
        <v>6010</v>
      </c>
      <c r="B11" s="5" t="s">
        <v>27</v>
      </c>
      <c r="C11" s="5">
        <v>0</v>
      </c>
      <c r="E11" s="5" t="s">
        <v>18</v>
      </c>
      <c r="F11" s="4" t="str">
        <f t="shared" si="1"/>
        <v>loot_name_6010</v>
      </c>
      <c r="G11" s="4" t="str">
        <f t="shared" si="0"/>
        <v>loot_desc_6010</v>
      </c>
      <c r="J11" s="12" t="s">
        <v>22</v>
      </c>
      <c r="K11" s="13" t="str">
        <f t="shared" ref="K11" si="2">_xlfn.TEXTJOIN("_",1,"loot",A11,J11)</f>
        <v>loot_6010_meat</v>
      </c>
    </row>
    <row r="12" spans="1:15" x14ac:dyDescent="0.2">
      <c r="A12" s="4">
        <v>6011</v>
      </c>
      <c r="B12" s="5" t="s">
        <v>28</v>
      </c>
      <c r="C12" s="5">
        <v>0</v>
      </c>
      <c r="E12" s="5" t="s">
        <v>18</v>
      </c>
      <c r="F12" s="4" t="str">
        <f t="shared" si="1"/>
        <v>loot_name_6011</v>
      </c>
      <c r="G12" s="4" t="str">
        <f t="shared" si="0"/>
        <v>loot_desc_6011</v>
      </c>
      <c r="J12" s="12" t="s">
        <v>29</v>
      </c>
      <c r="K12" s="13" t="str">
        <f t="shared" ref="K12:K21" si="3">_xlfn.TEXTJOIN("_",1,"loot",A12,J12)</f>
        <v>loot_6011_soft_fur</v>
      </c>
    </row>
    <row r="13" spans="1:15" x14ac:dyDescent="0.2">
      <c r="A13" s="4">
        <v>6012</v>
      </c>
      <c r="B13" s="5" t="s">
        <v>30</v>
      </c>
      <c r="C13" s="5">
        <v>0</v>
      </c>
      <c r="E13" s="5" t="s">
        <v>18</v>
      </c>
      <c r="F13" s="4" t="str">
        <f t="shared" si="1"/>
        <v>loot_name_6012</v>
      </c>
      <c r="G13" s="4" t="str">
        <f t="shared" si="0"/>
        <v>loot_desc_6012</v>
      </c>
      <c r="J13" s="12" t="s">
        <v>31</v>
      </c>
      <c r="K13" s="13" t="str">
        <f t="shared" si="3"/>
        <v>loot_6012_fruit</v>
      </c>
    </row>
    <row r="14" spans="1:15" x14ac:dyDescent="0.2">
      <c r="A14" s="4">
        <v>6013</v>
      </c>
      <c r="B14" s="5" t="s">
        <v>32</v>
      </c>
      <c r="C14" s="5">
        <v>0</v>
      </c>
      <c r="E14" s="5" t="s">
        <v>18</v>
      </c>
      <c r="F14" s="4" t="str">
        <f t="shared" si="1"/>
        <v>loot_name_6013</v>
      </c>
      <c r="G14" s="4" t="str">
        <f t="shared" si="0"/>
        <v>loot_desc_6013</v>
      </c>
      <c r="J14" s="12" t="s">
        <v>33</v>
      </c>
      <c r="K14" s="13" t="str">
        <f t="shared" si="3"/>
        <v>loot_6013_fiber</v>
      </c>
    </row>
    <row r="15" spans="1:15" x14ac:dyDescent="0.2">
      <c r="A15" s="4">
        <v>6014</v>
      </c>
      <c r="B15" s="5" t="s">
        <v>34</v>
      </c>
      <c r="C15" s="5">
        <v>0</v>
      </c>
      <c r="E15" s="5" t="s">
        <v>18</v>
      </c>
      <c r="F15" s="4" t="str">
        <f t="shared" si="1"/>
        <v>loot_name_6014</v>
      </c>
      <c r="G15" s="4" t="str">
        <f t="shared" si="0"/>
        <v>loot_desc_6014</v>
      </c>
      <c r="J15" s="12" t="s">
        <v>35</v>
      </c>
      <c r="K15" s="13" t="str">
        <f t="shared" si="3"/>
        <v>loot_6014_glue</v>
      </c>
    </row>
    <row r="16" spans="1:15" x14ac:dyDescent="0.2">
      <c r="A16" s="4">
        <v>6020</v>
      </c>
      <c r="B16" s="5" t="s">
        <v>36</v>
      </c>
      <c r="C16" s="5">
        <v>0</v>
      </c>
      <c r="E16" s="5" t="s">
        <v>18</v>
      </c>
      <c r="F16" s="4" t="str">
        <f t="shared" si="1"/>
        <v>loot_name_6020</v>
      </c>
      <c r="G16" s="4" t="str">
        <f t="shared" si="0"/>
        <v>loot_desc_6020</v>
      </c>
      <c r="J16" s="12" t="s">
        <v>24</v>
      </c>
      <c r="K16" s="13" t="str">
        <f t="shared" si="3"/>
        <v>loot_6020_wood</v>
      </c>
    </row>
    <row r="17" spans="1:11" x14ac:dyDescent="0.2">
      <c r="A17" s="4">
        <v>6021</v>
      </c>
      <c r="B17" s="5" t="s">
        <v>37</v>
      </c>
      <c r="C17" s="5">
        <v>0</v>
      </c>
      <c r="E17" s="5" t="s">
        <v>18</v>
      </c>
      <c r="F17" s="4" t="str">
        <f t="shared" si="1"/>
        <v>loot_name_6021</v>
      </c>
      <c r="G17" s="4" t="str">
        <f t="shared" si="0"/>
        <v>loot_desc_6021</v>
      </c>
      <c r="J17" s="12" t="s">
        <v>38</v>
      </c>
      <c r="K17" s="13" t="str">
        <f t="shared" si="3"/>
        <v>loot_6021_ore</v>
      </c>
    </row>
    <row r="18" spans="1:11" x14ac:dyDescent="0.2">
      <c r="A18" s="4">
        <v>6022</v>
      </c>
      <c r="B18" s="5" t="s">
        <v>39</v>
      </c>
      <c r="C18" s="5">
        <v>0</v>
      </c>
      <c r="E18" s="5" t="s">
        <v>18</v>
      </c>
      <c r="F18" s="4" t="str">
        <f t="shared" si="1"/>
        <v>loot_name_6022</v>
      </c>
      <c r="G18" s="4" t="str">
        <f t="shared" si="0"/>
        <v>loot_desc_6022</v>
      </c>
      <c r="J18" s="12" t="s">
        <v>40</v>
      </c>
      <c r="K18" s="13" t="str">
        <f t="shared" si="3"/>
        <v>loot_6022_stone</v>
      </c>
    </row>
    <row r="19" spans="1:11" x14ac:dyDescent="0.2">
      <c r="A19" s="4">
        <v>6023</v>
      </c>
      <c r="B19" s="5" t="s">
        <v>41</v>
      </c>
      <c r="C19" s="5">
        <v>0</v>
      </c>
      <c r="E19" s="5" t="s">
        <v>18</v>
      </c>
      <c r="F19" s="4" t="str">
        <f t="shared" si="1"/>
        <v>loot_name_6023</v>
      </c>
      <c r="G19" s="4" t="str">
        <f t="shared" si="0"/>
        <v>loot_desc_6023</v>
      </c>
      <c r="J19" s="12" t="s">
        <v>42</v>
      </c>
      <c r="K19" s="13" t="str">
        <f t="shared" si="3"/>
        <v>loot_6023_flammable_powder</v>
      </c>
    </row>
    <row r="20" spans="1:11" x14ac:dyDescent="0.2">
      <c r="A20" s="4">
        <v>6030</v>
      </c>
      <c r="B20" s="5" t="s">
        <v>43</v>
      </c>
      <c r="C20" s="5">
        <v>0</v>
      </c>
      <c r="E20" s="5" t="s">
        <v>18</v>
      </c>
      <c r="F20" s="4" t="str">
        <f t="shared" si="1"/>
        <v>loot_name_6030</v>
      </c>
      <c r="G20" s="4" t="str">
        <f t="shared" si="0"/>
        <v>loot_desc_6030</v>
      </c>
      <c r="J20" s="12" t="s">
        <v>44</v>
      </c>
      <c r="K20" s="13" t="str">
        <f t="shared" si="3"/>
        <v>loot_6030_timber_scrap</v>
      </c>
    </row>
    <row r="21" spans="1:11" x14ac:dyDescent="0.2">
      <c r="A21" s="4">
        <v>6031</v>
      </c>
      <c r="B21" s="5" t="s">
        <v>45</v>
      </c>
      <c r="C21" s="5">
        <v>0</v>
      </c>
      <c r="E21" s="5" t="s">
        <v>18</v>
      </c>
      <c r="F21" s="4" t="str">
        <f t="shared" si="1"/>
        <v>loot_name_6031</v>
      </c>
      <c r="G21" s="4" t="str">
        <f t="shared" si="0"/>
        <v>loot_desc_6031</v>
      </c>
      <c r="J21" s="12" t="s">
        <v>46</v>
      </c>
      <c r="K21" s="13" t="str">
        <f t="shared" si="3"/>
        <v>loot_6031_metal_scrap</v>
      </c>
    </row>
    <row r="23" spans="1:11" x14ac:dyDescent="0.2">
      <c r="A23" s="4">
        <v>6050</v>
      </c>
      <c r="B23" s="5" t="s">
        <v>20</v>
      </c>
      <c r="C23" s="5">
        <v>1</v>
      </c>
      <c r="D23" s="5" t="s">
        <v>47</v>
      </c>
      <c r="E23" s="5" t="s">
        <v>18</v>
      </c>
      <c r="F23" s="4" t="str">
        <f t="shared" si="1"/>
        <v>loot_name_6050</v>
      </c>
      <c r="G23" s="4" t="str">
        <f t="shared" si="0"/>
        <v>loot_desc_6050</v>
      </c>
      <c r="J23" s="12" t="s">
        <v>48</v>
      </c>
      <c r="K23" s="13" t="str">
        <f>_xlfn.TEXTJOIN("_",1,"loot",A23,J23)</f>
        <v>loot_6050_meal</v>
      </c>
    </row>
    <row r="24" spans="1:11" x14ac:dyDescent="0.2">
      <c r="A24" s="4">
        <v>6051</v>
      </c>
      <c r="B24" s="5" t="s">
        <v>49</v>
      </c>
      <c r="C24" s="5">
        <v>1</v>
      </c>
      <c r="D24" s="5" t="s">
        <v>28</v>
      </c>
      <c r="E24" s="5" t="s">
        <v>18</v>
      </c>
      <c r="F24" s="4" t="str">
        <f t="shared" si="1"/>
        <v>loot_name_6051</v>
      </c>
      <c r="G24" s="4" t="str">
        <f t="shared" si="0"/>
        <v>loot_desc_6051</v>
      </c>
      <c r="J24" s="12" t="s">
        <v>50</v>
      </c>
      <c r="K24" s="13" t="str">
        <f>_xlfn.TEXTJOIN("_",1,"loot",A24,J24)</f>
        <v>loot_6051_harden_animal_skin</v>
      </c>
    </row>
    <row r="25" spans="1:11" x14ac:dyDescent="0.2">
      <c r="A25" s="4">
        <v>6052</v>
      </c>
      <c r="B25" s="5" t="s">
        <v>51</v>
      </c>
      <c r="C25" s="5">
        <v>1</v>
      </c>
      <c r="D25" s="5" t="s">
        <v>52</v>
      </c>
      <c r="E25" s="5" t="s">
        <v>18</v>
      </c>
      <c r="F25" s="4" t="str">
        <f t="shared" si="1"/>
        <v>loot_name_6052</v>
      </c>
      <c r="G25" s="4" t="str">
        <f t="shared" si="0"/>
        <v>loot_desc_6052</v>
      </c>
      <c r="J25" s="12" t="s">
        <v>53</v>
      </c>
      <c r="K25" s="13" t="str">
        <f t="shared" ref="K25:K28" si="4">_xlfn.TEXTJOIN("_",1,"loot",A25,J25)</f>
        <v>loot_6052_timber_part</v>
      </c>
    </row>
    <row r="26" spans="1:11" x14ac:dyDescent="0.2">
      <c r="A26" s="4">
        <v>6053</v>
      </c>
      <c r="B26" s="5" t="s">
        <v>54</v>
      </c>
      <c r="C26" s="5">
        <v>1</v>
      </c>
      <c r="D26" s="5" t="s">
        <v>55</v>
      </c>
      <c r="E26" s="5" t="s">
        <v>18</v>
      </c>
      <c r="F26" s="4" t="str">
        <f t="shared" si="1"/>
        <v>loot_name_6053</v>
      </c>
      <c r="G26" s="4" t="str">
        <f t="shared" si="0"/>
        <v>loot_desc_6053</v>
      </c>
      <c r="J26" s="12" t="s">
        <v>56</v>
      </c>
      <c r="K26" s="13" t="str">
        <f t="shared" si="4"/>
        <v>loot_6053_metal_parts</v>
      </c>
    </row>
    <row r="27" spans="1:11" x14ac:dyDescent="0.2">
      <c r="A27" s="4">
        <v>6054</v>
      </c>
      <c r="B27" s="5" t="s">
        <v>57</v>
      </c>
      <c r="C27" s="5">
        <v>1</v>
      </c>
      <c r="D27" s="5" t="s">
        <v>39</v>
      </c>
      <c r="E27" s="5" t="s">
        <v>18</v>
      </c>
      <c r="F27" s="4" t="str">
        <f t="shared" si="1"/>
        <v>loot_name_6054</v>
      </c>
      <c r="G27" s="4" t="str">
        <f t="shared" si="0"/>
        <v>loot_desc_6054</v>
      </c>
      <c r="J27" s="12" t="s">
        <v>58</v>
      </c>
      <c r="K27" s="13" t="str">
        <f t="shared" ref="K27" si="5">_xlfn.TEXTJOIN("_",1,"loot",A27,J27)</f>
        <v>loot_6054_grindstone</v>
      </c>
    </row>
    <row r="28" spans="1:11" x14ac:dyDescent="0.2">
      <c r="A28" s="4">
        <v>6055</v>
      </c>
      <c r="B28" s="5" t="s">
        <v>59</v>
      </c>
      <c r="C28" s="5">
        <v>1</v>
      </c>
      <c r="D28" s="5" t="s">
        <v>41</v>
      </c>
      <c r="E28" s="5" t="s">
        <v>18</v>
      </c>
      <c r="F28" s="4" t="str">
        <f t="shared" si="1"/>
        <v>loot_name_6055</v>
      </c>
      <c r="G28" s="4" t="str">
        <f t="shared" si="0"/>
        <v>loot_desc_6055</v>
      </c>
      <c r="J28" s="12" t="s">
        <v>60</v>
      </c>
      <c r="K28" s="13" t="str">
        <f t="shared" si="4"/>
        <v>loot_6055_fire_powder</v>
      </c>
    </row>
    <row r="29" spans="1:11" x14ac:dyDescent="0.2">
      <c r="A29" s="4">
        <v>6056</v>
      </c>
      <c r="B29" s="5" t="s">
        <v>61</v>
      </c>
      <c r="C29" s="5">
        <v>1</v>
      </c>
      <c r="D29" s="5" t="s">
        <v>32</v>
      </c>
      <c r="E29" s="5" t="s">
        <v>18</v>
      </c>
      <c r="F29" s="4" t="str">
        <f t="shared" si="1"/>
        <v>loot_name_6056</v>
      </c>
      <c r="G29" s="4" t="str">
        <f t="shared" si="0"/>
        <v>loot_desc_6056</v>
      </c>
      <c r="J29" s="12" t="s">
        <v>6</v>
      </c>
      <c r="K29" s="13" t="str">
        <f t="shared" ref="K29" si="6">_xlfn.TEXTJOIN("_",1,"loot",A29,J29)</f>
        <v>loot_6056_string</v>
      </c>
    </row>
    <row r="31" spans="1:11" x14ac:dyDescent="0.2">
      <c r="A31" s="4">
        <v>6070</v>
      </c>
      <c r="B31" s="5" t="s">
        <v>62</v>
      </c>
      <c r="C31" s="5">
        <v>2</v>
      </c>
      <c r="D31" s="5" t="s">
        <v>63</v>
      </c>
      <c r="E31" s="5" t="s">
        <v>18</v>
      </c>
      <c r="F31" s="4" t="str">
        <f t="shared" si="1"/>
        <v>loot_name_6070</v>
      </c>
      <c r="G31" s="4" t="str">
        <f t="shared" si="0"/>
        <v>loot_desc_6070</v>
      </c>
      <c r="J31" s="12" t="s">
        <v>64</v>
      </c>
      <c r="K31" s="13" t="str">
        <f>_xlfn.TEXTJOIN("_",1,"loot",A31,J31)</f>
        <v>loot_6070_feast</v>
      </c>
    </row>
    <row r="32" spans="1:11" x14ac:dyDescent="0.2">
      <c r="A32" s="4">
        <v>6071</v>
      </c>
      <c r="B32" s="5" t="s">
        <v>65</v>
      </c>
      <c r="C32" s="5">
        <v>2</v>
      </c>
      <c r="D32" s="5" t="s">
        <v>49</v>
      </c>
      <c r="E32" s="5" t="s">
        <v>18</v>
      </c>
      <c r="F32" s="4" t="str">
        <f t="shared" si="1"/>
        <v>loot_name_6071</v>
      </c>
      <c r="G32" s="4" t="str">
        <f t="shared" si="0"/>
        <v>loot_desc_6071</v>
      </c>
      <c r="J32" s="12" t="s">
        <v>66</v>
      </c>
      <c r="K32" s="13" t="str">
        <f>_xlfn.TEXTJOIN("_",1,"loot",A32,J32)</f>
        <v>loot_6071_strong_leather</v>
      </c>
    </row>
    <row r="33" spans="1:15" x14ac:dyDescent="0.2">
      <c r="A33" s="4">
        <v>6072</v>
      </c>
      <c r="B33" s="5" t="s">
        <v>67</v>
      </c>
      <c r="C33" s="5">
        <v>2</v>
      </c>
      <c r="D33" s="5" t="s">
        <v>68</v>
      </c>
      <c r="E33" s="5" t="s">
        <v>18</v>
      </c>
      <c r="F33" s="4" t="str">
        <f t="shared" si="1"/>
        <v>loot_name_6072</v>
      </c>
      <c r="G33" s="4" t="str">
        <f t="shared" si="0"/>
        <v>loot_desc_6072</v>
      </c>
      <c r="J33" s="12" t="s">
        <v>69</v>
      </c>
      <c r="K33" s="13" t="str">
        <f>_xlfn.TEXTJOIN("_",1,"loot",A33,J33)</f>
        <v>loot_6072_weapon_parts</v>
      </c>
    </row>
    <row r="34" spans="1:15" x14ac:dyDescent="0.2">
      <c r="A34" s="4">
        <v>6073</v>
      </c>
      <c r="B34" s="5" t="s">
        <v>70</v>
      </c>
      <c r="C34" s="5">
        <v>2</v>
      </c>
      <c r="D34" s="5" t="s">
        <v>57</v>
      </c>
      <c r="E34" s="5" t="s">
        <v>18</v>
      </c>
      <c r="F34" s="4" t="str">
        <f t="shared" si="1"/>
        <v>loot_name_6073</v>
      </c>
      <c r="G34" s="4" t="str">
        <f t="shared" si="0"/>
        <v>loot_desc_6073</v>
      </c>
      <c r="J34" s="12" t="s">
        <v>71</v>
      </c>
      <c r="K34" s="13" t="str">
        <f t="shared" ref="K34" si="7">_xlfn.TEXTJOIN("_",1,"loot",A34,J34)</f>
        <v>loot_6073_high_quality_grindstone</v>
      </c>
    </row>
    <row r="35" spans="1:15" x14ac:dyDescent="0.2">
      <c r="A35" s="4">
        <v>6074</v>
      </c>
      <c r="B35" s="5" t="s">
        <v>72</v>
      </c>
      <c r="C35" s="5">
        <v>2</v>
      </c>
      <c r="D35" s="5" t="s">
        <v>59</v>
      </c>
      <c r="E35" s="5" t="s">
        <v>18</v>
      </c>
      <c r="F35" s="4" t="str">
        <f t="shared" si="1"/>
        <v>loot_name_6074</v>
      </c>
      <c r="G35" s="4" t="str">
        <f t="shared" si="0"/>
        <v>loot_desc_6074</v>
      </c>
      <c r="J35" s="12" t="s">
        <v>73</v>
      </c>
      <c r="K35" s="13" t="str">
        <f t="shared" ref="K35" si="8">_xlfn.TEXTJOIN("_",1,"loot",A35,J35)</f>
        <v>loot_6074_high_explosives</v>
      </c>
    </row>
    <row r="38" spans="1:15" s="24" customFormat="1" x14ac:dyDescent="0.2">
      <c r="A38" s="22"/>
      <c r="B38" s="23"/>
      <c r="C38" s="23"/>
      <c r="D38" s="23"/>
      <c r="E38" s="23"/>
      <c r="F38" s="22"/>
      <c r="G38" s="22"/>
      <c r="H38" s="48"/>
      <c r="I38" s="25"/>
      <c r="J38" s="25"/>
      <c r="K38" s="26"/>
      <c r="L38" s="40"/>
      <c r="M38" s="22"/>
      <c r="N38" s="31"/>
      <c r="O38" s="31"/>
    </row>
    <row r="40" spans="1:15" x14ac:dyDescent="0.2">
      <c r="A40" s="4">
        <v>10000</v>
      </c>
      <c r="B40" s="5" t="s">
        <v>259</v>
      </c>
      <c r="C40" s="5" t="s">
        <v>15</v>
      </c>
      <c r="D40" s="5" t="s">
        <v>15</v>
      </c>
      <c r="E40" s="5" t="s">
        <v>15</v>
      </c>
      <c r="F40" s="4" t="str">
        <f t="shared" ref="F40:F102" si="9">IF($A40&lt;&gt;"",_xlfn.TEXTJOIN("_",1,"loot_name",$A40),"")</f>
        <v>loot_name_10000</v>
      </c>
      <c r="G40" s="4" t="str">
        <f t="shared" ref="G40:G102" si="10">IF($A40&lt;&gt;"",_xlfn.TEXTJOIN("_",1,"loot_desc",$A40),"")</f>
        <v>loot_desc_10000</v>
      </c>
      <c r="I40" s="16" t="s">
        <v>16</v>
      </c>
      <c r="J40" s="16" t="s">
        <v>16</v>
      </c>
      <c r="K40" s="17" t="s">
        <v>82</v>
      </c>
    </row>
    <row r="42" spans="1:15" x14ac:dyDescent="0.2">
      <c r="A42" s="4">
        <v>600101</v>
      </c>
      <c r="B42" s="5" t="s">
        <v>115</v>
      </c>
      <c r="C42" s="5" t="s">
        <v>74</v>
      </c>
      <c r="E42" s="18" t="s">
        <v>119</v>
      </c>
      <c r="F42" s="4" t="str">
        <f t="shared" si="9"/>
        <v>loot_name_600101</v>
      </c>
      <c r="G42" s="4" t="str">
        <f t="shared" si="10"/>
        <v>loot_desc_600101</v>
      </c>
      <c r="H42" s="49"/>
      <c r="I42" s="36" t="s">
        <v>220</v>
      </c>
      <c r="K42" s="13" t="str">
        <f>_xlfn.TEXTJOIN("_",1,"loot",A42,I42:J42)</f>
        <v>loot_600101_Dungeon</v>
      </c>
      <c r="M42" s="33" t="s">
        <v>198</v>
      </c>
      <c r="N42" s="30" t="str" cm="1">
        <f t="array" ref="N42">IF(M42&lt;&gt;"",
_xlfn.TEXTJOIN("; ",1,
_xlfn.MAP(_xlfn.TEXTSPLIT(M42,";"),
    _xlfn.LAMBDA(_xlpm.x,
        _xlfn.LET(_xlpm.kv,_xlfn.TEXTSPLIT(_xlpm.x,"="),
        VLOOKUP(VALUE(INDEX(_xlpm.kv,1)),camp_coin!A:C,3,0)&amp;" * "&amp;INDEX(_xlpm.kv,2))))),"")</f>
        <v>木材 * 4</v>
      </c>
    </row>
    <row r="43" spans="1:15" x14ac:dyDescent="0.2">
      <c r="A43" s="4">
        <v>600102</v>
      </c>
      <c r="B43" s="5" t="s">
        <v>116</v>
      </c>
      <c r="C43" s="5" t="s">
        <v>74</v>
      </c>
      <c r="E43" s="18" t="s">
        <v>119</v>
      </c>
      <c r="F43" s="4" t="str">
        <f t="shared" si="9"/>
        <v>loot_name_600102</v>
      </c>
      <c r="G43" s="4" t="str">
        <f t="shared" si="10"/>
        <v>loot_desc_600102</v>
      </c>
      <c r="H43" s="49"/>
      <c r="I43" s="36" t="s">
        <v>220</v>
      </c>
      <c r="K43" s="13" t="str">
        <f t="shared" ref="K43:K102" si="11">_xlfn.TEXTJOIN("_",1,"loot",A43,I43:J43)</f>
        <v>loot_600102_Dungeon</v>
      </c>
      <c r="M43" s="33" t="s">
        <v>199</v>
      </c>
      <c r="N43" s="30" t="str" cm="1">
        <f t="array" ref="N43">IF(M43&lt;&gt;"",
_xlfn.TEXTJOIN("; ",1,
_xlfn.MAP(_xlfn.TEXTSPLIT(M43,";"),
    _xlfn.LAMBDA(_xlpm.x,
        _xlfn.LET(_xlpm.kv,_xlfn.TEXTSPLIT(_xlpm.x,"="),
        VLOOKUP(VALUE(INDEX(_xlpm.kv,1)),camp_coin!A:C,3,0)&amp;" * "&amp;INDEX(_xlpm.kv,2))))),"")</f>
        <v>黄金 * 6</v>
      </c>
    </row>
    <row r="44" spans="1:15" x14ac:dyDescent="0.2">
      <c r="A44" s="4">
        <v>600103</v>
      </c>
      <c r="B44" s="5" t="s">
        <v>117</v>
      </c>
      <c r="C44" s="5" t="s">
        <v>74</v>
      </c>
      <c r="E44" s="18" t="s">
        <v>119</v>
      </c>
      <c r="F44" s="4" t="str">
        <f t="shared" si="9"/>
        <v>loot_name_600103</v>
      </c>
      <c r="G44" s="4" t="str">
        <f t="shared" si="10"/>
        <v>loot_desc_600103</v>
      </c>
      <c r="H44" s="49"/>
      <c r="I44" s="36" t="s">
        <v>220</v>
      </c>
      <c r="K44" s="13" t="str">
        <f t="shared" si="11"/>
        <v>loot_600103_Dungeon</v>
      </c>
      <c r="M44" s="33" t="s">
        <v>201</v>
      </c>
      <c r="N44" s="30" t="str" cm="1">
        <f t="array" ref="N44">IF(M44&lt;&gt;"",
_xlfn.TEXTJOIN("; ",1,
_xlfn.MAP(_xlfn.TEXTSPLIT(M44,";"),
    _xlfn.LAMBDA(_xlpm.x,
        _xlfn.LET(_xlpm.kv,_xlfn.TEXTSPLIT(_xlpm.x,"="),
        VLOOKUP(VALUE(INDEX(_xlpm.kv,1)),camp_coin!A:C,3,0)&amp;" * "&amp;INDEX(_xlpm.kv,2))))),"")</f>
        <v>黄金 * 7</v>
      </c>
    </row>
    <row r="45" spans="1:15" x14ac:dyDescent="0.2">
      <c r="A45" s="4">
        <v>600104</v>
      </c>
      <c r="B45" s="5" t="s">
        <v>192</v>
      </c>
      <c r="C45" s="5" t="s">
        <v>74</v>
      </c>
      <c r="E45" s="18" t="s">
        <v>119</v>
      </c>
      <c r="F45" s="4" t="str">
        <f t="shared" si="9"/>
        <v>loot_name_600104</v>
      </c>
      <c r="G45" s="4" t="str">
        <f t="shared" si="10"/>
        <v>loot_desc_600104</v>
      </c>
      <c r="H45" s="49"/>
      <c r="I45" s="36" t="s">
        <v>220</v>
      </c>
      <c r="K45" s="13" t="str">
        <f t="shared" si="11"/>
        <v>loot_600104_Dungeon</v>
      </c>
      <c r="M45" s="33" t="s">
        <v>200</v>
      </c>
      <c r="N45" s="30" t="str" cm="1">
        <f t="array" ref="N45">IF(M45&lt;&gt;"",
_xlfn.TEXTJOIN("; ",1,
_xlfn.MAP(_xlfn.TEXTSPLIT(M45,";"),
    _xlfn.LAMBDA(_xlpm.x,
        _xlfn.LET(_xlpm.kv,_xlfn.TEXTSPLIT(_xlpm.x,"="),
        VLOOKUP(VALUE(INDEX(_xlpm.kv,1)),camp_coin!A:C,3,0)&amp;" * "&amp;INDEX(_xlpm.kv,2))))),"")</f>
        <v>黄金 * 12</v>
      </c>
    </row>
    <row r="46" spans="1:15" x14ac:dyDescent="0.2">
      <c r="A46" s="4">
        <v>600105</v>
      </c>
      <c r="B46" s="5" t="s">
        <v>193</v>
      </c>
      <c r="C46" s="5" t="s">
        <v>74</v>
      </c>
      <c r="E46" s="18" t="s">
        <v>119</v>
      </c>
      <c r="F46" s="4" t="str">
        <f t="shared" si="9"/>
        <v>loot_name_600105</v>
      </c>
      <c r="G46" s="4" t="str">
        <f t="shared" si="10"/>
        <v>loot_desc_600105</v>
      </c>
      <c r="H46" s="49"/>
      <c r="I46" s="36" t="s">
        <v>220</v>
      </c>
      <c r="K46" s="13" t="str">
        <f t="shared" si="11"/>
        <v>loot_600105_Dungeon</v>
      </c>
      <c r="M46" s="33" t="s">
        <v>202</v>
      </c>
      <c r="N46" s="30" t="str" cm="1">
        <f t="array" ref="N46">IF(M46&lt;&gt;"",
_xlfn.TEXTJOIN("; ",1,
_xlfn.MAP(_xlfn.TEXTSPLIT(M46,";"),
    _xlfn.LAMBDA(_xlpm.x,
        _xlfn.LET(_xlpm.kv,_xlfn.TEXTSPLIT(_xlpm.x,"="),
        VLOOKUP(VALUE(INDEX(_xlpm.kv,1)),camp_coin!A:C,3,0)&amp;" * "&amp;INDEX(_xlpm.kv,2))))),"")</f>
        <v>木材 * 22</v>
      </c>
    </row>
    <row r="47" spans="1:15" x14ac:dyDescent="0.2">
      <c r="A47" s="4">
        <v>600106</v>
      </c>
      <c r="B47" s="5" t="s">
        <v>194</v>
      </c>
      <c r="C47" s="5" t="s">
        <v>74</v>
      </c>
      <c r="E47" s="18" t="s">
        <v>119</v>
      </c>
      <c r="F47" s="4" t="str">
        <f t="shared" si="9"/>
        <v>loot_name_600106</v>
      </c>
      <c r="G47" s="4" t="str">
        <f t="shared" si="10"/>
        <v>loot_desc_600106</v>
      </c>
      <c r="H47" s="49"/>
      <c r="I47" s="36" t="s">
        <v>220</v>
      </c>
      <c r="K47" s="13" t="str">
        <f t="shared" si="11"/>
        <v>loot_600106_Dungeon</v>
      </c>
      <c r="M47" s="33" t="s">
        <v>148</v>
      </c>
      <c r="N47" s="30" t="str" cm="1">
        <f t="array" ref="N47">IF(M47&lt;&gt;"",
_xlfn.TEXTJOIN("; ",1,
_xlfn.MAP(_xlfn.TEXTSPLIT(M47,";"),
    _xlfn.LAMBDA(_xlpm.x,
        _xlfn.LET(_xlpm.kv,_xlfn.TEXTSPLIT(_xlpm.x,"="),
        VLOOKUP(VALUE(INDEX(_xlpm.kv,1)),camp_coin!A:C,3,0)&amp;" * "&amp;INDEX(_xlpm.kv,2))))),"")</f>
        <v>黄金 * 20</v>
      </c>
    </row>
    <row r="48" spans="1:15" x14ac:dyDescent="0.2">
      <c r="A48" s="4">
        <v>600107</v>
      </c>
      <c r="B48" s="5" t="s">
        <v>195</v>
      </c>
      <c r="C48" s="5" t="s">
        <v>74</v>
      </c>
      <c r="E48" s="18" t="s">
        <v>119</v>
      </c>
      <c r="F48" s="4" t="str">
        <f t="shared" si="9"/>
        <v>loot_name_600107</v>
      </c>
      <c r="G48" s="4" t="str">
        <f t="shared" si="10"/>
        <v>loot_desc_600107</v>
      </c>
      <c r="H48" s="49"/>
      <c r="I48" s="36" t="s">
        <v>220</v>
      </c>
      <c r="K48" s="13" t="str">
        <f t="shared" si="11"/>
        <v>loot_600107_Dungeon</v>
      </c>
      <c r="M48" s="33" t="s">
        <v>203</v>
      </c>
      <c r="N48" s="30" t="str" cm="1">
        <f t="array" ref="N48">IF(M48&lt;&gt;"",
_xlfn.TEXTJOIN("; ",1,
_xlfn.MAP(_xlfn.TEXTSPLIT(M48,";"),
    _xlfn.LAMBDA(_xlpm.x,
        _xlfn.LET(_xlpm.kv,_xlfn.TEXTSPLIT(_xlpm.x,"="),
        VLOOKUP(VALUE(INDEX(_xlpm.kv,1)),camp_coin!A:C,3,0)&amp;" * "&amp;INDEX(_xlpm.kv,2))))),"")</f>
        <v>黄金 * 18; 木材 * 8</v>
      </c>
    </row>
    <row r="49" spans="1:14" x14ac:dyDescent="0.2">
      <c r="A49" s="4">
        <v>600108</v>
      </c>
      <c r="B49" s="5" t="s">
        <v>196</v>
      </c>
      <c r="C49" s="5" t="s">
        <v>74</v>
      </c>
      <c r="E49" s="18" t="s">
        <v>119</v>
      </c>
      <c r="F49" s="4" t="str">
        <f t="shared" si="9"/>
        <v>loot_name_600108</v>
      </c>
      <c r="G49" s="4" t="str">
        <f t="shared" si="10"/>
        <v>loot_desc_600108</v>
      </c>
      <c r="H49" s="49"/>
      <c r="I49" s="36" t="s">
        <v>220</v>
      </c>
      <c r="K49" s="13" t="str">
        <f t="shared" si="11"/>
        <v>loot_600108_Dungeon</v>
      </c>
      <c r="M49" s="33" t="s">
        <v>204</v>
      </c>
      <c r="N49" s="30" t="str" cm="1">
        <f t="array" ref="N49">IF(M49&lt;&gt;"",
_xlfn.TEXTJOIN("; ",1,
_xlfn.MAP(_xlfn.TEXTSPLIT(M49,";"),
    _xlfn.LAMBDA(_xlpm.x,
        _xlfn.LET(_xlpm.kv,_xlfn.TEXTSPLIT(_xlpm.x,"="),
        VLOOKUP(VALUE(INDEX(_xlpm.kv,1)),camp_coin!A:C,3,0)&amp;" * "&amp;INDEX(_xlpm.kv,2))))),"")</f>
        <v>黄金 * 12; 木材 * 40</v>
      </c>
    </row>
    <row r="50" spans="1:14" x14ac:dyDescent="0.2">
      <c r="A50" s="4">
        <v>600109</v>
      </c>
      <c r="B50" s="5" t="s">
        <v>146</v>
      </c>
      <c r="C50" s="5" t="s">
        <v>74</v>
      </c>
      <c r="E50" s="18" t="s">
        <v>119</v>
      </c>
      <c r="F50" s="4" t="str">
        <f t="shared" si="9"/>
        <v>loot_name_600109</v>
      </c>
      <c r="G50" s="4" t="str">
        <f t="shared" si="10"/>
        <v>loot_desc_600109</v>
      </c>
      <c r="H50" s="49"/>
      <c r="I50" s="36" t="s">
        <v>220</v>
      </c>
      <c r="J50" s="36" t="s">
        <v>221</v>
      </c>
      <c r="K50" s="13" t="str">
        <f t="shared" si="11"/>
        <v>loot_600109_Dungeon_monster_meat</v>
      </c>
      <c r="M50" s="33" t="s">
        <v>127</v>
      </c>
      <c r="N50" s="30" t="str" cm="1">
        <f t="array" ref="N50">IF(M50&lt;&gt;"",
_xlfn.TEXTJOIN("; ",1,
_xlfn.MAP(_xlfn.TEXTSPLIT(M50,";"),
    _xlfn.LAMBDA(_xlpm.x,
        _xlfn.LET(_xlpm.kv,_xlfn.TEXTSPLIT(_xlpm.x,"="),
        VLOOKUP(VALUE(INDEX(_xlpm.kv,1)),camp_coin!A:C,3,0)&amp;" * "&amp;INDEX(_xlpm.kv,2))))),"")</f>
        <v>食物 * 2</v>
      </c>
    </row>
    <row r="51" spans="1:14" x14ac:dyDescent="0.2">
      <c r="A51" s="4">
        <v>600110</v>
      </c>
      <c r="B51" s="18" t="s">
        <v>197</v>
      </c>
      <c r="C51" s="5" t="s">
        <v>74</v>
      </c>
      <c r="E51" s="18" t="s">
        <v>119</v>
      </c>
      <c r="F51" s="4" t="str">
        <f>IF($A51&lt;&gt;"",_xlfn.TEXTJOIN("_",1,"loot_name",$A51),"")</f>
        <v>loot_name_600110</v>
      </c>
      <c r="G51" s="4" t="str">
        <f>IF($A51&lt;&gt;"",_xlfn.TEXTJOIN("_",1,"loot_desc",$A51),"")</f>
        <v>loot_desc_600110</v>
      </c>
      <c r="H51" s="49"/>
      <c r="I51" s="36" t="s">
        <v>220</v>
      </c>
      <c r="K51" s="13" t="str">
        <f t="shared" si="11"/>
        <v>loot_600110_Dungeon</v>
      </c>
      <c r="M51" s="33" t="s">
        <v>137</v>
      </c>
      <c r="N51" s="30" t="str" cm="1">
        <f t="array" ref="N51">IF(M51&lt;&gt;"",
_xlfn.TEXTJOIN("; ",1,
_xlfn.MAP(_xlfn.TEXTSPLIT(M51,";"),
    _xlfn.LAMBDA(_xlpm.x,
        _xlfn.LET(_xlpm.kv,_xlfn.TEXTSPLIT(_xlpm.x,"="),
        VLOOKUP(VALUE(INDEX(_xlpm.kv,1)),camp_coin!A:C,3,0)&amp;" * "&amp;INDEX(_xlpm.kv,2))))),"")</f>
        <v>金属 * 2</v>
      </c>
    </row>
    <row r="52" spans="1:14" x14ac:dyDescent="0.2">
      <c r="N52" s="30" t="str" cm="1">
        <f t="array" ref="N52">IF(M52&lt;&gt;"",
_xlfn.TEXTJOIN("; ",1,
_xlfn.MAP(_xlfn.TEXTSPLIT(M52,";"),
    _xlfn.LAMBDA(_xlpm.x,
        _xlfn.LET(_xlpm.kv,_xlfn.TEXTSPLIT(_xlpm.x,"="),
        VLOOKUP(VALUE(INDEX(_xlpm.kv,1)),camp_coin!A:C,3,0)&amp;" * "&amp;INDEX(_xlpm.kv,2))))),"")</f>
        <v/>
      </c>
    </row>
    <row r="53" spans="1:14" x14ac:dyDescent="0.2">
      <c r="A53" s="4">
        <v>600401</v>
      </c>
      <c r="B53" s="5" t="s">
        <v>180</v>
      </c>
      <c r="C53" s="5" t="s">
        <v>77</v>
      </c>
      <c r="E53" s="18" t="s">
        <v>119</v>
      </c>
      <c r="F53" s="4" t="str">
        <f t="shared" si="9"/>
        <v>loot_name_600401</v>
      </c>
      <c r="G53" s="4" t="str">
        <f t="shared" si="10"/>
        <v>loot_desc_600401</v>
      </c>
      <c r="H53" s="49"/>
      <c r="I53" s="36" t="s">
        <v>218</v>
      </c>
      <c r="K53" s="13" t="str">
        <f t="shared" si="11"/>
        <v>loot_600401_TreeTop</v>
      </c>
      <c r="M53" s="33" t="s">
        <v>145</v>
      </c>
      <c r="N53" s="30" t="str" cm="1">
        <f t="array" ref="N53">IF(M53&lt;&gt;"",
_xlfn.TEXTJOIN("; ",1,
_xlfn.MAP(_xlfn.TEXTSPLIT(M53,";"),
    _xlfn.LAMBDA(_xlpm.x,
        _xlfn.LET(_xlpm.kv,_xlfn.TEXTSPLIT(_xlpm.x,"="),
        VLOOKUP(VALUE(INDEX(_xlpm.kv,1)),camp_coin!A:C,3,0)&amp;" * "&amp;INDEX(_xlpm.kv,2))))),"")</f>
        <v>木材 * 5</v>
      </c>
    </row>
    <row r="54" spans="1:14" x14ac:dyDescent="0.2">
      <c r="A54" s="4">
        <v>600402</v>
      </c>
      <c r="B54" s="5" t="s">
        <v>181</v>
      </c>
      <c r="C54" s="5" t="s">
        <v>77</v>
      </c>
      <c r="E54" s="18" t="s">
        <v>119</v>
      </c>
      <c r="F54" s="4" t="str">
        <f t="shared" si="9"/>
        <v>loot_name_600402</v>
      </c>
      <c r="G54" s="4" t="str">
        <f t="shared" si="10"/>
        <v>loot_desc_600402</v>
      </c>
      <c r="H54" s="49"/>
      <c r="I54" s="36" t="s">
        <v>218</v>
      </c>
      <c r="K54" s="13" t="str">
        <f t="shared" si="11"/>
        <v>loot_600402_TreeTop</v>
      </c>
      <c r="M54" s="33" t="s">
        <v>187</v>
      </c>
      <c r="N54" s="30" t="str" cm="1">
        <f t="array" ref="N54">IF(M54&lt;&gt;"",
_xlfn.TEXTJOIN("; ",1,
_xlfn.MAP(_xlfn.TEXTSPLIT(M54,";"),
    _xlfn.LAMBDA(_xlpm.x,
        _xlfn.LET(_xlpm.kv,_xlfn.TEXTSPLIT(_xlpm.x,"="),
        VLOOKUP(VALUE(INDEX(_xlpm.kv,1)),camp_coin!A:C,3,0)&amp;" * "&amp;INDEX(_xlpm.kv,2))))),"")</f>
        <v>木材 * 15</v>
      </c>
    </row>
    <row r="55" spans="1:14" x14ac:dyDescent="0.2">
      <c r="A55" s="4">
        <v>600403</v>
      </c>
      <c r="B55" s="5" t="s">
        <v>182</v>
      </c>
      <c r="C55" s="5" t="s">
        <v>77</v>
      </c>
      <c r="E55" s="18" t="s">
        <v>119</v>
      </c>
      <c r="F55" s="4" t="str">
        <f t="shared" si="9"/>
        <v>loot_name_600403</v>
      </c>
      <c r="G55" s="4" t="str">
        <f t="shared" si="10"/>
        <v>loot_desc_600403</v>
      </c>
      <c r="H55" s="49"/>
      <c r="I55" s="36" t="s">
        <v>218</v>
      </c>
      <c r="K55" s="13" t="str">
        <f t="shared" si="11"/>
        <v>loot_600403_TreeTop</v>
      </c>
      <c r="M55" s="33" t="s">
        <v>188</v>
      </c>
      <c r="N55" s="30" t="str" cm="1">
        <f t="array" ref="N55">IF(M55&lt;&gt;"",
_xlfn.TEXTJOIN("; ",1,
_xlfn.MAP(_xlfn.TEXTSPLIT(M55,";"),
    _xlfn.LAMBDA(_xlpm.x,
        _xlfn.LET(_xlpm.kv,_xlfn.TEXTSPLIT(_xlpm.x,"="),
        VLOOKUP(VALUE(INDEX(_xlpm.kv,1)),camp_coin!A:C,3,0)&amp;" * "&amp;INDEX(_xlpm.kv,2))))),"")</f>
        <v>木材 * 15; 黄金 * 1</v>
      </c>
    </row>
    <row r="56" spans="1:14" x14ac:dyDescent="0.2">
      <c r="A56" s="4">
        <v>600404</v>
      </c>
      <c r="B56" s="5" t="s">
        <v>140</v>
      </c>
      <c r="C56" s="5" t="s">
        <v>77</v>
      </c>
      <c r="E56" s="18" t="s">
        <v>119</v>
      </c>
      <c r="F56" s="4" t="str">
        <f t="shared" si="9"/>
        <v>loot_name_600404</v>
      </c>
      <c r="G56" s="4" t="str">
        <f t="shared" si="10"/>
        <v>loot_desc_600404</v>
      </c>
      <c r="H56" s="49"/>
      <c r="I56" s="36" t="s">
        <v>218</v>
      </c>
      <c r="J56" s="36" t="s">
        <v>219</v>
      </c>
      <c r="K56" s="13" t="str">
        <f t="shared" si="11"/>
        <v>loot_600404_TreeTop_evil_goo</v>
      </c>
      <c r="M56" s="33" t="s">
        <v>126</v>
      </c>
      <c r="N56" s="30" t="str" cm="1">
        <f t="array" ref="N56">IF(M56&lt;&gt;"",
_xlfn.TEXTJOIN("; ",1,
_xlfn.MAP(_xlfn.TEXTSPLIT(M56,";"),
    _xlfn.LAMBDA(_xlpm.x,
        _xlfn.LET(_xlpm.kv,_xlfn.TEXTSPLIT(_xlpm.x,"="),
        VLOOKUP(VALUE(INDEX(_xlpm.kv,1)),camp_coin!A:C,3,0)&amp;" * "&amp;INDEX(_xlpm.kv,2))))),"")</f>
        <v>食物 * 1</v>
      </c>
    </row>
    <row r="57" spans="1:14" x14ac:dyDescent="0.2">
      <c r="A57" s="4">
        <v>600405</v>
      </c>
      <c r="B57" s="5" t="s">
        <v>141</v>
      </c>
      <c r="C57" s="5" t="s">
        <v>77</v>
      </c>
      <c r="E57" s="18" t="s">
        <v>119</v>
      </c>
      <c r="F57" s="4" t="str">
        <f t="shared" si="9"/>
        <v>loot_name_600405</v>
      </c>
      <c r="G57" s="4" t="str">
        <f t="shared" si="10"/>
        <v>loot_desc_600405</v>
      </c>
      <c r="H57" s="49"/>
      <c r="I57" s="36" t="s">
        <v>218</v>
      </c>
      <c r="K57" s="13" t="str">
        <f t="shared" si="11"/>
        <v>loot_600405_TreeTop</v>
      </c>
      <c r="M57" s="33" t="s">
        <v>187</v>
      </c>
      <c r="N57" s="30" t="str" cm="1">
        <f t="array" ref="N57">IF(M57&lt;&gt;"",
_xlfn.TEXTJOIN("; ",1,
_xlfn.MAP(_xlfn.TEXTSPLIT(M57,";"),
    _xlfn.LAMBDA(_xlpm.x,
        _xlfn.LET(_xlpm.kv,_xlfn.TEXTSPLIT(_xlpm.x,"="),
        VLOOKUP(VALUE(INDEX(_xlpm.kv,1)),camp_coin!A:C,3,0)&amp;" * "&amp;INDEX(_xlpm.kv,2))))),"")</f>
        <v>木材 * 15</v>
      </c>
    </row>
    <row r="58" spans="1:14" x14ac:dyDescent="0.2">
      <c r="A58" s="4">
        <v>600406</v>
      </c>
      <c r="B58" s="5" t="s">
        <v>183</v>
      </c>
      <c r="C58" s="5" t="s">
        <v>77</v>
      </c>
      <c r="E58" s="18" t="s">
        <v>119</v>
      </c>
      <c r="F58" s="4" t="str">
        <f t="shared" si="9"/>
        <v>loot_name_600406</v>
      </c>
      <c r="G58" s="4" t="str">
        <f t="shared" si="10"/>
        <v>loot_desc_600406</v>
      </c>
      <c r="H58" s="49"/>
      <c r="I58" s="36" t="s">
        <v>218</v>
      </c>
      <c r="K58" s="13" t="str">
        <f t="shared" si="11"/>
        <v>loot_600406_TreeTop</v>
      </c>
      <c r="M58" s="33" t="s">
        <v>189</v>
      </c>
      <c r="N58" s="30" t="str" cm="1">
        <f t="array" ref="N58">IF(M58&lt;&gt;"",
_xlfn.TEXTJOIN("; ",1,
_xlfn.MAP(_xlfn.TEXTSPLIT(M58,";"),
    _xlfn.LAMBDA(_xlpm.x,
        _xlfn.LET(_xlpm.kv,_xlfn.TEXTSPLIT(_xlpm.x,"="),
        VLOOKUP(VALUE(INDEX(_xlpm.kv,1)),camp_coin!A:C,3,0)&amp;" * "&amp;INDEX(_xlpm.kv,2))))),"")</f>
        <v>木材 * 35</v>
      </c>
    </row>
    <row r="59" spans="1:14" x14ac:dyDescent="0.2">
      <c r="A59" s="4">
        <v>600407</v>
      </c>
      <c r="B59" s="5" t="s">
        <v>184</v>
      </c>
      <c r="C59" s="5" t="s">
        <v>77</v>
      </c>
      <c r="E59" s="18" t="s">
        <v>119</v>
      </c>
      <c r="F59" s="4" t="str">
        <f t="shared" si="9"/>
        <v>loot_name_600407</v>
      </c>
      <c r="G59" s="4" t="str">
        <f t="shared" si="10"/>
        <v>loot_desc_600407</v>
      </c>
      <c r="H59" s="49"/>
      <c r="I59" s="36" t="s">
        <v>218</v>
      </c>
      <c r="K59" s="13" t="str">
        <f t="shared" si="11"/>
        <v>loot_600407_TreeTop</v>
      </c>
      <c r="M59" s="33" t="s">
        <v>190</v>
      </c>
      <c r="N59" s="30" t="str" cm="1">
        <f t="array" ref="N59">IF(M59&lt;&gt;"",
_xlfn.TEXTJOIN("; ",1,
_xlfn.MAP(_xlfn.TEXTSPLIT(M59,";"),
    _xlfn.LAMBDA(_xlpm.x,
        _xlfn.LET(_xlpm.kv,_xlfn.TEXTSPLIT(_xlpm.x,"="),
        VLOOKUP(VALUE(INDEX(_xlpm.kv,1)),camp_coin!A:C,3,0)&amp;" * "&amp;INDEX(_xlpm.kv,2))))),"")</f>
        <v>木材 * 80</v>
      </c>
    </row>
    <row r="60" spans="1:14" x14ac:dyDescent="0.2">
      <c r="A60" s="4">
        <v>600408</v>
      </c>
      <c r="B60" s="5" t="s">
        <v>185</v>
      </c>
      <c r="C60" s="5" t="s">
        <v>77</v>
      </c>
      <c r="E60" s="18" t="s">
        <v>119</v>
      </c>
      <c r="F60" s="4" t="str">
        <f t="shared" si="9"/>
        <v>loot_name_600408</v>
      </c>
      <c r="G60" s="4" t="str">
        <f t="shared" si="10"/>
        <v>loot_desc_600408</v>
      </c>
      <c r="H60" s="49"/>
      <c r="I60" s="36" t="s">
        <v>218</v>
      </c>
      <c r="K60" s="13" t="str">
        <f t="shared" si="11"/>
        <v>loot_600408_TreeTop</v>
      </c>
      <c r="M60" s="33" t="s">
        <v>127</v>
      </c>
      <c r="N60" s="30" t="str" cm="1">
        <f t="array" ref="N60">IF(M60&lt;&gt;"",
_xlfn.TEXTJOIN("; ",1,
_xlfn.MAP(_xlfn.TEXTSPLIT(M60,";"),
    _xlfn.LAMBDA(_xlpm.x,
        _xlfn.LET(_xlpm.kv,_xlfn.TEXTSPLIT(_xlpm.x,"="),
        VLOOKUP(VALUE(INDEX(_xlpm.kv,1)),camp_coin!A:C,3,0)&amp;" * "&amp;INDEX(_xlpm.kv,2))))),"")</f>
        <v>食物 * 2</v>
      </c>
    </row>
    <row r="61" spans="1:14" x14ac:dyDescent="0.2">
      <c r="A61" s="4">
        <v>600409</v>
      </c>
      <c r="B61" s="5" t="s">
        <v>142</v>
      </c>
      <c r="C61" s="5" t="s">
        <v>77</v>
      </c>
      <c r="E61" s="18" t="s">
        <v>118</v>
      </c>
      <c r="F61" s="4" t="str">
        <f t="shared" si="9"/>
        <v>loot_name_600409</v>
      </c>
      <c r="G61" s="4" t="str">
        <f t="shared" si="10"/>
        <v>loot_desc_600409</v>
      </c>
      <c r="H61" s="49"/>
      <c r="I61" s="36" t="s">
        <v>218</v>
      </c>
      <c r="K61" s="13" t="str">
        <f t="shared" si="11"/>
        <v>loot_600409_TreeTop</v>
      </c>
      <c r="M61" s="33" t="s">
        <v>191</v>
      </c>
      <c r="N61" s="30" t="str" cm="1">
        <f t="array" ref="N61">IF(M61&lt;&gt;"",
_xlfn.TEXTJOIN("; ",1,
_xlfn.MAP(_xlfn.TEXTSPLIT(M61,";"),
    _xlfn.LAMBDA(_xlpm.x,
        _xlfn.LET(_xlpm.kv,_xlfn.TEXTSPLIT(_xlpm.x,"="),
        VLOOKUP(VALUE(INDEX(_xlpm.kv,1)),camp_coin!A:C,3,0)&amp;" * "&amp;INDEX(_xlpm.kv,2))))),"")</f>
        <v>食物 * 35</v>
      </c>
    </row>
    <row r="62" spans="1:14" x14ac:dyDescent="0.2">
      <c r="A62" s="4">
        <v>600410</v>
      </c>
      <c r="B62" s="5" t="s">
        <v>186</v>
      </c>
      <c r="C62" s="5" t="s">
        <v>77</v>
      </c>
      <c r="E62" s="18" t="s">
        <v>118</v>
      </c>
      <c r="F62" s="4" t="str">
        <f t="shared" si="9"/>
        <v>loot_name_600410</v>
      </c>
      <c r="G62" s="4" t="str">
        <f t="shared" si="10"/>
        <v>loot_desc_600410</v>
      </c>
      <c r="H62" s="49"/>
      <c r="I62" s="36" t="s">
        <v>218</v>
      </c>
      <c r="K62" s="13" t="str">
        <f t="shared" si="11"/>
        <v>loot_600410_TreeTop</v>
      </c>
      <c r="M62" s="33" t="s">
        <v>143</v>
      </c>
      <c r="N62" s="30" t="str" cm="1">
        <f t="array" ref="N62">IF(M62&lt;&gt;"",
_xlfn.TEXTJOIN("; ",1,
_xlfn.MAP(_xlfn.TEXTSPLIT(M62,";"),
    _xlfn.LAMBDA(_xlpm.x,
        _xlfn.LET(_xlpm.kv,_xlfn.TEXTSPLIT(_xlpm.x,"="),
        VLOOKUP(VALUE(INDEX(_xlpm.kv,1)),camp_coin!A:C,3,0)&amp;" * "&amp;INDEX(_xlpm.kv,2))))),"")</f>
        <v>木材 * 2</v>
      </c>
    </row>
    <row r="64" spans="1:14" x14ac:dyDescent="0.2">
      <c r="A64" s="4">
        <v>600701</v>
      </c>
      <c r="B64" s="5" t="s">
        <v>129</v>
      </c>
      <c r="C64" s="5" t="s">
        <v>80</v>
      </c>
      <c r="E64" s="18" t="s">
        <v>119</v>
      </c>
      <c r="F64" s="4" t="str">
        <f t="shared" si="9"/>
        <v>loot_name_600701</v>
      </c>
      <c r="G64" s="4" t="str">
        <f t="shared" si="10"/>
        <v>loot_desc_600701</v>
      </c>
      <c r="H64" s="49"/>
      <c r="I64" s="36" t="s">
        <v>216</v>
      </c>
      <c r="J64" s="36" t="s">
        <v>217</v>
      </c>
      <c r="K64" s="13" t="str">
        <f t="shared" si="11"/>
        <v>loot_600701_Desert_broken_arrow</v>
      </c>
      <c r="M64" s="33" t="s">
        <v>136</v>
      </c>
      <c r="N64" s="30" t="str" cm="1">
        <f t="array" ref="N64">IF(M64&lt;&gt;"",
_xlfn.TEXTJOIN("; ",1,
_xlfn.MAP(_xlfn.TEXTSPLIT(M64,";"),
    _xlfn.LAMBDA(_xlpm.x,
        _xlfn.LET(_xlpm.kv,_xlfn.TEXTSPLIT(_xlpm.x,"="),
        VLOOKUP(VALUE(INDEX(_xlpm.kv,1)),camp_coin!A:C,3,0)&amp;" * "&amp;INDEX(_xlpm.kv,2))))),"")</f>
        <v>金属 * 1</v>
      </c>
    </row>
    <row r="65" spans="1:15" x14ac:dyDescent="0.2">
      <c r="A65" s="4">
        <v>600702</v>
      </c>
      <c r="B65" s="5" t="s">
        <v>130</v>
      </c>
      <c r="C65" s="5" t="s">
        <v>80</v>
      </c>
      <c r="E65" s="18" t="s">
        <v>119</v>
      </c>
      <c r="F65" s="4" t="str">
        <f t="shared" si="9"/>
        <v>loot_name_600702</v>
      </c>
      <c r="G65" s="4" t="str">
        <f t="shared" si="10"/>
        <v>loot_desc_600702</v>
      </c>
      <c r="H65" s="49"/>
      <c r="I65" s="36" t="s">
        <v>216</v>
      </c>
      <c r="K65" s="13" t="str">
        <f t="shared" si="11"/>
        <v>loot_600702_Desert</v>
      </c>
      <c r="M65" s="33" t="s">
        <v>170</v>
      </c>
      <c r="N65" s="30" t="str" cm="1">
        <f t="array" ref="N65">IF(M65&lt;&gt;"",
_xlfn.TEXTJOIN("; ",1,
_xlfn.MAP(_xlfn.TEXTSPLIT(M65,";"),
    _xlfn.LAMBDA(_xlpm.x,
        _xlfn.LET(_xlpm.kv,_xlfn.TEXTSPLIT(_xlpm.x,"="),
        VLOOKUP(VALUE(INDEX(_xlpm.kv,1)),camp_coin!A:C,3,0)&amp;" * "&amp;INDEX(_xlpm.kv,2))))),"")</f>
        <v>金属 * 7</v>
      </c>
    </row>
    <row r="66" spans="1:15" x14ac:dyDescent="0.2">
      <c r="A66" s="4">
        <v>600703</v>
      </c>
      <c r="B66" s="5" t="s">
        <v>131</v>
      </c>
      <c r="C66" s="5" t="s">
        <v>80</v>
      </c>
      <c r="E66" s="18" t="s">
        <v>119</v>
      </c>
      <c r="F66" s="4" t="str">
        <f t="shared" si="9"/>
        <v>loot_name_600703</v>
      </c>
      <c r="G66" s="4" t="str">
        <f t="shared" si="10"/>
        <v>loot_desc_600703</v>
      </c>
      <c r="H66" s="49"/>
      <c r="I66" s="36" t="s">
        <v>216</v>
      </c>
      <c r="K66" s="13" t="str">
        <f t="shared" si="11"/>
        <v>loot_600703_Desert</v>
      </c>
      <c r="M66" s="33" t="s">
        <v>171</v>
      </c>
      <c r="N66" s="30" t="str" cm="1">
        <f t="array" ref="N66">IF(M66&lt;&gt;"",
_xlfn.TEXTJOIN("; ",1,
_xlfn.MAP(_xlfn.TEXTSPLIT(M66,";"),
    _xlfn.LAMBDA(_xlpm.x,
        _xlfn.LET(_xlpm.kv,_xlfn.TEXTSPLIT(_xlpm.x,"="),
        VLOOKUP(VALUE(INDEX(_xlpm.kv,1)),camp_coin!A:C,3,0)&amp;" * "&amp;INDEX(_xlpm.kv,2))))),"")</f>
        <v>金属 * 11</v>
      </c>
    </row>
    <row r="67" spans="1:15" x14ac:dyDescent="0.2">
      <c r="A67" s="4">
        <v>600704</v>
      </c>
      <c r="B67" s="5" t="s">
        <v>132</v>
      </c>
      <c r="C67" s="5" t="s">
        <v>80</v>
      </c>
      <c r="E67" s="18" t="s">
        <v>119</v>
      </c>
      <c r="F67" s="4" t="str">
        <f t="shared" si="9"/>
        <v>loot_name_600704</v>
      </c>
      <c r="G67" s="4" t="str">
        <f t="shared" si="10"/>
        <v>loot_desc_600704</v>
      </c>
      <c r="H67" s="49"/>
      <c r="I67" s="36" t="s">
        <v>216</v>
      </c>
      <c r="K67" s="13" t="str">
        <f t="shared" si="11"/>
        <v>loot_600704_Desert</v>
      </c>
      <c r="M67" s="33" t="s">
        <v>172</v>
      </c>
      <c r="N67" s="30" t="str" cm="1">
        <f t="array" ref="N67">IF(M67&lt;&gt;"",
_xlfn.TEXTJOIN("; ",1,
_xlfn.MAP(_xlfn.TEXTSPLIT(M67,";"),
    _xlfn.LAMBDA(_xlpm.x,
        _xlfn.LET(_xlpm.kv,_xlfn.TEXTSPLIT(_xlpm.x,"="),
        VLOOKUP(VALUE(INDEX(_xlpm.kv,1)),camp_coin!A:C,3,0)&amp;" * "&amp;INDEX(_xlpm.kv,2))))),"")</f>
        <v>金属 * 14</v>
      </c>
    </row>
    <row r="68" spans="1:15" x14ac:dyDescent="0.2">
      <c r="A68" s="4">
        <v>600705</v>
      </c>
      <c r="B68" s="18" t="s">
        <v>173</v>
      </c>
      <c r="C68" s="5" t="s">
        <v>80</v>
      </c>
      <c r="E68" s="18" t="s">
        <v>119</v>
      </c>
      <c r="F68" s="4" t="str">
        <f t="shared" si="9"/>
        <v>loot_name_600705</v>
      </c>
      <c r="G68" s="4" t="str">
        <f t="shared" si="10"/>
        <v>loot_desc_600705</v>
      </c>
      <c r="H68" s="49"/>
      <c r="I68" s="36" t="s">
        <v>216</v>
      </c>
      <c r="K68" s="13" t="str">
        <f t="shared" si="11"/>
        <v>loot_600705_Desert</v>
      </c>
      <c r="M68" s="33" t="s">
        <v>147</v>
      </c>
      <c r="N68" s="30" t="str" cm="1">
        <f t="array" ref="N68">IF(M68&lt;&gt;"",
_xlfn.TEXTJOIN("; ",1,
_xlfn.MAP(_xlfn.TEXTSPLIT(M68,";"),
    _xlfn.LAMBDA(_xlpm.x,
        _xlfn.LET(_xlpm.kv,_xlfn.TEXTSPLIT(_xlpm.x,"="),
        VLOOKUP(VALUE(INDEX(_xlpm.kv,1)),camp_coin!A:C,3,0)&amp;" * "&amp;INDEX(_xlpm.kv,2))))),"")</f>
        <v>黄金 * 10</v>
      </c>
    </row>
    <row r="69" spans="1:15" x14ac:dyDescent="0.2">
      <c r="A69" s="4">
        <v>600706</v>
      </c>
      <c r="B69" s="5" t="s">
        <v>133</v>
      </c>
      <c r="C69" s="5" t="s">
        <v>80</v>
      </c>
      <c r="E69" s="18" t="s">
        <v>119</v>
      </c>
      <c r="F69" s="4" t="str">
        <f t="shared" si="9"/>
        <v>loot_name_600706</v>
      </c>
      <c r="G69" s="4" t="str">
        <f t="shared" si="10"/>
        <v>loot_desc_600706</v>
      </c>
      <c r="H69" s="49"/>
      <c r="I69" s="36" t="s">
        <v>216</v>
      </c>
      <c r="K69" s="13" t="str">
        <f t="shared" si="11"/>
        <v>loot_600706_Desert</v>
      </c>
      <c r="M69" s="33" t="s">
        <v>176</v>
      </c>
      <c r="N69" s="30" t="str" cm="1">
        <f t="array" ref="N69">IF(M69&lt;&gt;"",
_xlfn.TEXTJOIN("; ",1,
_xlfn.MAP(_xlfn.TEXTSPLIT(M69,";"),
    _xlfn.LAMBDA(_xlpm.x,
        _xlfn.LET(_xlpm.kv,_xlfn.TEXTSPLIT(_xlpm.x,"="),
        VLOOKUP(VALUE(INDEX(_xlpm.kv,1)),camp_coin!A:C,3,0)&amp;" * "&amp;INDEX(_xlpm.kv,2))))),"")</f>
        <v>黄金 * 9</v>
      </c>
    </row>
    <row r="70" spans="1:15" x14ac:dyDescent="0.2">
      <c r="A70" s="4">
        <v>600707</v>
      </c>
      <c r="B70" s="5" t="s">
        <v>174</v>
      </c>
      <c r="C70" s="5" t="s">
        <v>80</v>
      </c>
      <c r="E70" s="18" t="s">
        <v>118</v>
      </c>
      <c r="F70" s="4" t="str">
        <f t="shared" si="9"/>
        <v>loot_name_600707</v>
      </c>
      <c r="G70" s="4" t="str">
        <f t="shared" si="10"/>
        <v>loot_desc_600707</v>
      </c>
      <c r="H70" s="49"/>
      <c r="I70" s="36" t="s">
        <v>216</v>
      </c>
      <c r="K70" s="13" t="str">
        <f t="shared" si="11"/>
        <v>loot_600707_Desert</v>
      </c>
      <c r="M70" s="33" t="s">
        <v>177</v>
      </c>
      <c r="N70" s="30" t="str" cm="1">
        <f t="array" ref="N70">IF(M70&lt;&gt;"",
_xlfn.TEXTJOIN("; ",1,
_xlfn.MAP(_xlfn.TEXTSPLIT(M70,";"),
    _xlfn.LAMBDA(_xlpm.x,
        _xlfn.LET(_xlpm.kv,_xlfn.TEXTSPLIT(_xlpm.x,"="),
        VLOOKUP(VALUE(INDEX(_xlpm.kv,1)),camp_coin!A:C,3,0)&amp;" * "&amp;INDEX(_xlpm.kv,2))))),"")</f>
        <v>黄金 * 25</v>
      </c>
    </row>
    <row r="71" spans="1:15" x14ac:dyDescent="0.2">
      <c r="A71" s="4">
        <v>600708</v>
      </c>
      <c r="B71" s="5" t="s">
        <v>134</v>
      </c>
      <c r="C71" s="5" t="s">
        <v>80</v>
      </c>
      <c r="E71" s="18" t="s">
        <v>118</v>
      </c>
      <c r="F71" s="4" t="str">
        <f t="shared" si="9"/>
        <v>loot_name_600708</v>
      </c>
      <c r="G71" s="4" t="str">
        <f t="shared" si="10"/>
        <v>loot_desc_600708</v>
      </c>
      <c r="H71" s="49"/>
      <c r="I71" s="36" t="s">
        <v>216</v>
      </c>
      <c r="K71" s="13" t="str">
        <f t="shared" si="11"/>
        <v>loot_600708_Desert</v>
      </c>
      <c r="M71" s="33" t="s">
        <v>178</v>
      </c>
      <c r="N71" s="30" t="str" cm="1">
        <f t="array" ref="N71">IF(M71&lt;&gt;"",
_xlfn.TEXTJOIN("; ",1,
_xlfn.MAP(_xlfn.TEXTSPLIT(M71,";"),
    _xlfn.LAMBDA(_xlpm.x,
        _xlfn.LET(_xlpm.kv,_xlfn.TEXTSPLIT(_xlpm.x,"="),
        VLOOKUP(VALUE(INDEX(_xlpm.kv,1)),camp_coin!A:C,3,0)&amp;" * "&amp;INDEX(_xlpm.kv,2))))),"")</f>
        <v>黄金 * 61</v>
      </c>
    </row>
    <row r="72" spans="1:15" x14ac:dyDescent="0.2">
      <c r="A72" s="4">
        <v>600709</v>
      </c>
      <c r="B72" s="5" t="s">
        <v>135</v>
      </c>
      <c r="C72" s="5" t="s">
        <v>80</v>
      </c>
      <c r="E72" s="18" t="s">
        <v>118</v>
      </c>
      <c r="F72" s="4" t="str">
        <f t="shared" si="9"/>
        <v>loot_name_600709</v>
      </c>
      <c r="G72" s="4" t="str">
        <f t="shared" si="10"/>
        <v>loot_desc_600709</v>
      </c>
      <c r="H72" s="49"/>
      <c r="I72" s="36" t="s">
        <v>216</v>
      </c>
      <c r="K72" s="13" t="str">
        <f t="shared" si="11"/>
        <v>loot_600709_Desert</v>
      </c>
      <c r="M72" s="33" t="s">
        <v>178</v>
      </c>
      <c r="N72" s="30" t="str" cm="1">
        <f t="array" ref="N72">IF(M72&lt;&gt;"",
_xlfn.TEXTJOIN("; ",1,
_xlfn.MAP(_xlfn.TEXTSPLIT(M72,";"),
    _xlfn.LAMBDA(_xlpm.x,
        _xlfn.LET(_xlpm.kv,_xlfn.TEXTSPLIT(_xlpm.x,"="),
        VLOOKUP(VALUE(INDEX(_xlpm.kv,1)),camp_coin!A:C,3,0)&amp;" * "&amp;INDEX(_xlpm.kv,2))))),"")</f>
        <v>黄金 * 61</v>
      </c>
    </row>
    <row r="73" spans="1:15" x14ac:dyDescent="0.2">
      <c r="A73" s="4">
        <v>600710</v>
      </c>
      <c r="B73" s="5" t="s">
        <v>175</v>
      </c>
      <c r="C73" s="5" t="s">
        <v>80</v>
      </c>
      <c r="E73" s="18" t="s">
        <v>118</v>
      </c>
      <c r="F73" s="4" t="str">
        <f t="shared" si="9"/>
        <v>loot_name_600710</v>
      </c>
      <c r="G73" s="4" t="str">
        <f t="shared" si="10"/>
        <v>loot_desc_600710</v>
      </c>
      <c r="H73" s="49"/>
      <c r="I73" s="36" t="s">
        <v>216</v>
      </c>
      <c r="K73" s="13" t="str">
        <f t="shared" si="11"/>
        <v>loot_600710_Desert</v>
      </c>
      <c r="M73" s="33" t="s">
        <v>127</v>
      </c>
      <c r="N73" s="30" t="str" cm="1">
        <f t="array" ref="N73">IF(M73&lt;&gt;"",
_xlfn.TEXTJOIN("; ",1,
_xlfn.MAP(_xlfn.TEXTSPLIT(M73,";"),
    _xlfn.LAMBDA(_xlpm.x,
        _xlfn.LET(_xlpm.kv,_xlfn.TEXTSPLIT(_xlpm.x,"="),
        VLOOKUP(VALUE(INDEX(_xlpm.kv,1)),camp_coin!A:C,3,0)&amp;" * "&amp;INDEX(_xlpm.kv,2))))),"")</f>
        <v>食物 * 2</v>
      </c>
    </row>
    <row r="75" spans="1:15" x14ac:dyDescent="0.2">
      <c r="A75" s="4">
        <v>600801</v>
      </c>
      <c r="B75" s="45" t="s">
        <v>238</v>
      </c>
      <c r="C75" s="18" t="s">
        <v>123</v>
      </c>
      <c r="E75" s="5" t="s">
        <v>240</v>
      </c>
      <c r="F75" s="4" t="str">
        <f t="shared" si="9"/>
        <v>loot_name_600801</v>
      </c>
      <c r="G75" s="50" t="s">
        <v>253</v>
      </c>
      <c r="H75" s="47" t="s">
        <v>254</v>
      </c>
      <c r="I75" s="36" t="s">
        <v>214</v>
      </c>
      <c r="J75" s="36" t="s">
        <v>215</v>
      </c>
      <c r="K75" s="44" t="str">
        <f>_xlfn.CONCAT("temp_loot_08[temp_loot_08_",L75,"]")</f>
        <v>temp_loot_08[temp_loot_08_0]</v>
      </c>
      <c r="L75" s="39">
        <v>0</v>
      </c>
      <c r="M75" s="42" t="s">
        <v>242</v>
      </c>
      <c r="N75" s="43" t="str" cm="1">
        <f t="array" ref="N75">IF(M75&lt;&gt;"",
_xlfn.TEXTJOIN("; ",1,
_xlfn.MAP(_xlfn.TEXTSPLIT(M75,";"),
    _xlfn.LAMBDA(_xlpm.x,
        _xlfn.LET(_xlpm.kv,_xlfn.TEXTSPLIT(_xlpm.x,"="),
        VLOOKUP(VALUE(INDEX(_xlpm.kv,1)),camp_coin!A:C,3,0)&amp;" * "&amp;INDEX(_xlpm.kv,2))))),"")</f>
        <v>食物 * 5</v>
      </c>
      <c r="O75" s="46" cm="1">
        <f t="array" ref="O75">IF(M75&lt;&gt;"",
SUM(_xlfn.MAP(_xlfn.TEXTSPLIT(M75,";"),_xlfn.LAMBDA(_xlpm.x,VALUE(INDEX(_xlfn.TEXTSPLIT(_xlpm.x,"="),2))))),"")</f>
        <v>5</v>
      </c>
    </row>
    <row r="76" spans="1:15" x14ac:dyDescent="0.2">
      <c r="A76" s="4">
        <v>600802</v>
      </c>
      <c r="B76" s="45" t="s">
        <v>227</v>
      </c>
      <c r="C76" s="18" t="s">
        <v>123</v>
      </c>
      <c r="E76" s="5" t="s">
        <v>240</v>
      </c>
      <c r="F76" s="4" t="str">
        <f t="shared" si="9"/>
        <v>loot_name_600802</v>
      </c>
      <c r="G76" s="50" t="s">
        <v>253</v>
      </c>
      <c r="H76" s="47" t="s">
        <v>254</v>
      </c>
      <c r="I76" s="36" t="s">
        <v>214</v>
      </c>
      <c r="K76" s="44" t="str">
        <f t="shared" ref="K76:K87" si="12">_xlfn.CONCAT("temp_loot_08[temp_loot_08_",L76,"]")</f>
        <v>temp_loot_08[temp_loot_08_1]</v>
      </c>
      <c r="L76" s="39">
        <v>1</v>
      </c>
      <c r="M76" s="42" t="s">
        <v>243</v>
      </c>
      <c r="N76" s="43" t="str" cm="1">
        <f t="array" ref="N76">IF(M76&lt;&gt;"",
_xlfn.TEXTJOIN("; ",1,
_xlfn.MAP(_xlfn.TEXTSPLIT(M76,";"),
    _xlfn.LAMBDA(_xlpm.x,
        _xlfn.LET(_xlpm.kv,_xlfn.TEXTSPLIT(_xlpm.x,"="),
        VLOOKUP(VALUE(INDEX(_xlpm.kv,1)),camp_coin!A:C,3,0)&amp;" * "&amp;INDEX(_xlpm.kv,2))))),"")</f>
        <v>食物 * 55</v>
      </c>
      <c r="O76" s="46" cm="1">
        <f t="array" ref="O76">IF(M76&lt;&gt;"",
SUM(_xlfn.MAP(_xlfn.TEXTSPLIT(M76,";"),
    _xlfn.LAMBDA(_xlpm.x,VALUE(INDEX(_xlfn.TEXTSPLIT(_xlpm.x,"="),2))))),"")</f>
        <v>55</v>
      </c>
    </row>
    <row r="77" spans="1:15" x14ac:dyDescent="0.2">
      <c r="A77" s="4">
        <v>600803</v>
      </c>
      <c r="B77" s="45" t="s">
        <v>228</v>
      </c>
      <c r="C77" s="18" t="s">
        <v>123</v>
      </c>
      <c r="E77" s="5" t="s">
        <v>240</v>
      </c>
      <c r="F77" s="4" t="str">
        <f t="shared" si="9"/>
        <v>loot_name_600803</v>
      </c>
      <c r="G77" s="50" t="s">
        <v>253</v>
      </c>
      <c r="H77" s="47" t="s">
        <v>254</v>
      </c>
      <c r="I77" s="36" t="s">
        <v>214</v>
      </c>
      <c r="K77" s="44" t="str">
        <f t="shared" si="12"/>
        <v>temp_loot_08[temp_loot_08_2]</v>
      </c>
      <c r="L77" s="39">
        <v>2</v>
      </c>
      <c r="M77" s="42" t="s">
        <v>246</v>
      </c>
      <c r="N77" s="43" t="str" cm="1">
        <f t="array" ref="N77">IF(M77&lt;&gt;"",
_xlfn.TEXTJOIN("; ",1,
_xlfn.MAP(_xlfn.TEXTSPLIT(M77,";"),
    _xlfn.LAMBDA(_xlpm.x,
        _xlfn.LET(_xlpm.kv,_xlfn.TEXTSPLIT(_xlpm.x,"="),
        VLOOKUP(VALUE(INDEX(_xlpm.kv,1)),camp_coin!A:C,3,0)&amp;" * "&amp;INDEX(_xlpm.kv,2))))),"")</f>
        <v>黄金 * 10; 食物 * 10</v>
      </c>
      <c r="O77" s="46" cm="1">
        <f t="array" ref="O77">IF(M77&lt;&gt;"",
SUM(_xlfn.MAP(_xlfn.TEXTSPLIT(M77,";"),
    _xlfn.LAMBDA(_xlpm.x,VALUE(INDEX(_xlfn.TEXTSPLIT(_xlpm.x,"="),2))))),"")</f>
        <v>20</v>
      </c>
    </row>
    <row r="78" spans="1:15" x14ac:dyDescent="0.2">
      <c r="A78" s="4">
        <v>600804</v>
      </c>
      <c r="B78" s="45" t="s">
        <v>229</v>
      </c>
      <c r="C78" s="18" t="s">
        <v>123</v>
      </c>
      <c r="E78" s="5" t="s">
        <v>240</v>
      </c>
      <c r="F78" s="4" t="str">
        <f t="shared" si="9"/>
        <v>loot_name_600804</v>
      </c>
      <c r="G78" s="50" t="s">
        <v>253</v>
      </c>
      <c r="H78" s="47" t="s">
        <v>254</v>
      </c>
      <c r="I78" s="36" t="s">
        <v>214</v>
      </c>
      <c r="K78" s="44" t="str">
        <f t="shared" si="12"/>
        <v>temp_loot_08[temp_loot_08_3]</v>
      </c>
      <c r="L78" s="39">
        <v>3</v>
      </c>
      <c r="M78" s="42" t="s">
        <v>244</v>
      </c>
      <c r="N78" s="43" t="str" cm="1">
        <f t="array" ref="N78">IF(M78&lt;&gt;"",
_xlfn.TEXTJOIN("; ",1,
_xlfn.MAP(_xlfn.TEXTSPLIT(M78,";"),
    _xlfn.LAMBDA(_xlpm.x,
        _xlfn.LET(_xlpm.kv,_xlfn.TEXTSPLIT(_xlpm.x,"="),
        VLOOKUP(VALUE(INDEX(_xlpm.kv,1)),camp_coin!A:C,3,0)&amp;" * "&amp;INDEX(_xlpm.kv,2))))),"")</f>
        <v>食物 * 45</v>
      </c>
      <c r="O78" s="46" cm="1">
        <f t="array" ref="O78">IF(M78&lt;&gt;"",
SUM(_xlfn.MAP(_xlfn.TEXTSPLIT(M78,";"),
    _xlfn.LAMBDA(_xlpm.x,VALUE(INDEX(_xlfn.TEXTSPLIT(_xlpm.x,"="),2))))),"")</f>
        <v>45</v>
      </c>
    </row>
    <row r="79" spans="1:15" x14ac:dyDescent="0.2">
      <c r="A79" s="4">
        <v>600805</v>
      </c>
      <c r="B79" s="45" t="s">
        <v>230</v>
      </c>
      <c r="C79" s="18" t="s">
        <v>123</v>
      </c>
      <c r="E79" s="5" t="s">
        <v>240</v>
      </c>
      <c r="F79" s="4" t="str">
        <f t="shared" si="9"/>
        <v>loot_name_600805</v>
      </c>
      <c r="G79" s="50" t="s">
        <v>253</v>
      </c>
      <c r="H79" s="47" t="s">
        <v>254</v>
      </c>
      <c r="I79" s="36" t="s">
        <v>214</v>
      </c>
      <c r="K79" s="44" t="str">
        <f t="shared" si="12"/>
        <v>temp_loot_08[temp_loot_08_4]</v>
      </c>
      <c r="L79" s="39">
        <v>4</v>
      </c>
      <c r="M79" s="42" t="s">
        <v>149</v>
      </c>
      <c r="N79" s="43" t="str" cm="1">
        <f t="array" ref="N79">IF(M79&lt;&gt;"",
_xlfn.TEXTJOIN("; ",1,
_xlfn.MAP(_xlfn.TEXTSPLIT(M79,";"),
    _xlfn.LAMBDA(_xlpm.x,
        _xlfn.LET(_xlpm.kv,_xlfn.TEXTSPLIT(_xlpm.x,"="),
        VLOOKUP(VALUE(INDEX(_xlpm.kv,1)),camp_coin!A:C,3,0)&amp;" * "&amp;INDEX(_xlpm.kv,2))))),"")</f>
        <v>食物 * 30</v>
      </c>
      <c r="O79" s="46" cm="1">
        <f t="array" ref="O79">IF(M79&lt;&gt;"",
SUM(_xlfn.MAP(_xlfn.TEXTSPLIT(M79,";"),
    _xlfn.LAMBDA(_xlpm.x,VALUE(INDEX(_xlfn.TEXTSPLIT(_xlpm.x,"="),2))))),"")</f>
        <v>30</v>
      </c>
    </row>
    <row r="80" spans="1:15" x14ac:dyDescent="0.2">
      <c r="A80" s="4">
        <v>600806</v>
      </c>
      <c r="B80" s="45" t="s">
        <v>231</v>
      </c>
      <c r="C80" s="18" t="s">
        <v>123</v>
      </c>
      <c r="E80" s="5" t="s">
        <v>240</v>
      </c>
      <c r="F80" s="4" t="str">
        <f t="shared" si="9"/>
        <v>loot_name_600806</v>
      </c>
      <c r="G80" s="50" t="s">
        <v>253</v>
      </c>
      <c r="H80" s="47" t="s">
        <v>254</v>
      </c>
      <c r="I80" s="36" t="s">
        <v>214</v>
      </c>
      <c r="K80" s="44" t="str">
        <f t="shared" si="12"/>
        <v>temp_loot_08[temp_loot_08_5]</v>
      </c>
      <c r="L80" s="39">
        <v>5</v>
      </c>
      <c r="M80" s="42" t="s">
        <v>139</v>
      </c>
      <c r="N80" s="43" t="str" cm="1">
        <f t="array" ref="N80">IF(M80&lt;&gt;"",
_xlfn.TEXTJOIN("; ",1,
_xlfn.MAP(_xlfn.TEXTSPLIT(M80,";"),
    _xlfn.LAMBDA(_xlpm.x,
        _xlfn.LET(_xlpm.kv,_xlfn.TEXTSPLIT(_xlpm.x,"="),
        VLOOKUP(VALUE(INDEX(_xlpm.kv,1)),camp_coin!A:C,3,0)&amp;" * "&amp;INDEX(_xlpm.kv,2))))),"")</f>
        <v>黄金 * 3</v>
      </c>
      <c r="O80" s="46" cm="1">
        <f t="array" ref="O80">IF(M80&lt;&gt;"",
SUM(_xlfn.MAP(_xlfn.TEXTSPLIT(M80,";"),
    _xlfn.LAMBDA(_xlpm.x,VALUE(INDEX(_xlfn.TEXTSPLIT(_xlpm.x,"="),2))))),"")</f>
        <v>3</v>
      </c>
    </row>
    <row r="81" spans="1:15" x14ac:dyDescent="0.2">
      <c r="A81" s="4">
        <v>600807</v>
      </c>
      <c r="B81" s="45" t="s">
        <v>232</v>
      </c>
      <c r="C81" s="18" t="s">
        <v>123</v>
      </c>
      <c r="E81" s="5" t="s">
        <v>240</v>
      </c>
      <c r="F81" s="4" t="str">
        <f t="shared" si="9"/>
        <v>loot_name_600807</v>
      </c>
      <c r="G81" s="50" t="s">
        <v>253</v>
      </c>
      <c r="H81" s="47" t="s">
        <v>254</v>
      </c>
      <c r="I81" s="36" t="s">
        <v>214</v>
      </c>
      <c r="K81" s="44" t="str">
        <f t="shared" si="12"/>
        <v>temp_loot_08[temp_loot_08_6]</v>
      </c>
      <c r="L81" s="39">
        <v>6</v>
      </c>
      <c r="M81" s="42" t="s">
        <v>165</v>
      </c>
      <c r="N81" s="43" t="str" cm="1">
        <f t="array" ref="N81">IF(M81&lt;&gt;"",
_xlfn.TEXTJOIN("; ",1,
_xlfn.MAP(_xlfn.TEXTSPLIT(M81,";"),
    _xlfn.LAMBDA(_xlpm.x,
        _xlfn.LET(_xlpm.kv,_xlfn.TEXTSPLIT(_xlpm.x,"="),
        VLOOKUP(VALUE(INDEX(_xlpm.kv,1)),camp_coin!A:C,3,0)&amp;" * "&amp;INDEX(_xlpm.kv,2))))),"")</f>
        <v>食物 * 15</v>
      </c>
      <c r="O81" s="46" cm="1">
        <f t="array" ref="O81">IF(M81&lt;&gt;"",
SUM(_xlfn.MAP(_xlfn.TEXTSPLIT(M81,";"),
    _xlfn.LAMBDA(_xlpm.x,VALUE(INDEX(_xlfn.TEXTSPLIT(_xlpm.x,"="),2))))),"")</f>
        <v>15</v>
      </c>
    </row>
    <row r="82" spans="1:15" x14ac:dyDescent="0.2">
      <c r="A82" s="4">
        <v>600808</v>
      </c>
      <c r="B82" s="45" t="s">
        <v>233</v>
      </c>
      <c r="C82" s="18" t="s">
        <v>123</v>
      </c>
      <c r="E82" s="5" t="s">
        <v>240</v>
      </c>
      <c r="F82" s="4" t="str">
        <f t="shared" si="9"/>
        <v>loot_name_600808</v>
      </c>
      <c r="G82" s="50" t="s">
        <v>253</v>
      </c>
      <c r="H82" s="47" t="s">
        <v>254</v>
      </c>
      <c r="I82" s="36" t="s">
        <v>214</v>
      </c>
      <c r="K82" s="44" t="str">
        <f t="shared" si="12"/>
        <v>temp_loot_08[temp_loot_08_7]</v>
      </c>
      <c r="L82" s="39">
        <v>7</v>
      </c>
      <c r="M82" s="42" t="s">
        <v>245</v>
      </c>
      <c r="N82" s="43" t="str" cm="1">
        <f t="array" ref="N82">IF(M82&lt;&gt;"",
_xlfn.TEXTJOIN("; ",1,
_xlfn.MAP(_xlfn.TEXTSPLIT(M82,";"),
    _xlfn.LAMBDA(_xlpm.x,
        _xlfn.LET(_xlpm.kv,_xlfn.TEXTSPLIT(_xlpm.x,"="),
        VLOOKUP(VALUE(INDEX(_xlpm.kv,1)),camp_coin!A:C,3,0)&amp;" * "&amp;INDEX(_xlpm.kv,2))))),"")</f>
        <v>黄金 * 2</v>
      </c>
      <c r="O82" s="46" cm="1">
        <f t="array" ref="O82">IF(M82&lt;&gt;"",
SUM(_xlfn.MAP(_xlfn.TEXTSPLIT(M82,";"),
    _xlfn.LAMBDA(_xlpm.x,VALUE(INDEX(_xlfn.TEXTSPLIT(_xlpm.x,"="),2))))),"")</f>
        <v>2</v>
      </c>
    </row>
    <row r="83" spans="1:15" x14ac:dyDescent="0.2">
      <c r="A83" s="4">
        <v>600809</v>
      </c>
      <c r="B83" s="45" t="s">
        <v>95</v>
      </c>
      <c r="C83" s="18" t="s">
        <v>123</v>
      </c>
      <c r="E83" s="5" t="s">
        <v>240</v>
      </c>
      <c r="F83" s="4" t="str">
        <f t="shared" si="9"/>
        <v>loot_name_600809</v>
      </c>
      <c r="G83" s="50" t="s">
        <v>253</v>
      </c>
      <c r="H83" s="47" t="s">
        <v>254</v>
      </c>
      <c r="I83" s="36" t="s">
        <v>214</v>
      </c>
      <c r="K83" s="44" t="str">
        <f t="shared" si="12"/>
        <v>temp_loot_08[temp_loot_08_12]</v>
      </c>
      <c r="L83" s="39">
        <v>12</v>
      </c>
      <c r="M83" s="42" t="s">
        <v>247</v>
      </c>
      <c r="N83" s="43" t="str" cm="1">
        <f t="array" ref="N83">IF(M83&lt;&gt;"",
_xlfn.TEXTJOIN("; ",1,
_xlfn.MAP(_xlfn.TEXTSPLIT(M83,";"),
    _xlfn.LAMBDA(_xlpm.x,
        _xlfn.LET(_xlpm.kv,_xlfn.TEXTSPLIT(_xlpm.x,"="),
        VLOOKUP(VALUE(INDEX(_xlpm.kv,1)),camp_coin!A:C,3,0)&amp;" * "&amp;INDEX(_xlpm.kv,2))))),"")</f>
        <v>黄金 * 15</v>
      </c>
      <c r="O83" s="46" cm="1">
        <f t="array" ref="O83">IF(M83&lt;&gt;"",
SUM(_xlfn.MAP(_xlfn.TEXTSPLIT(M83,";"),
    _xlfn.LAMBDA(_xlpm.x,VALUE(INDEX(_xlfn.TEXTSPLIT(_xlpm.x,"="),2))))),"")</f>
        <v>15</v>
      </c>
    </row>
    <row r="84" spans="1:15" x14ac:dyDescent="0.2">
      <c r="A84" s="4">
        <v>600810</v>
      </c>
      <c r="B84" s="45" t="s">
        <v>234</v>
      </c>
      <c r="C84" s="18" t="s">
        <v>123</v>
      </c>
      <c r="E84" s="5" t="s">
        <v>240</v>
      </c>
      <c r="F84" s="4" t="str">
        <f t="shared" si="9"/>
        <v>loot_name_600810</v>
      </c>
      <c r="G84" s="50" t="s">
        <v>253</v>
      </c>
      <c r="H84" s="47" t="s">
        <v>254</v>
      </c>
      <c r="I84" s="36" t="s">
        <v>214</v>
      </c>
      <c r="K84" s="44" t="str">
        <f t="shared" si="12"/>
        <v>temp_loot_08[temp_loot_08_13]</v>
      </c>
      <c r="L84" s="39">
        <v>13</v>
      </c>
      <c r="M84" s="42" t="s">
        <v>248</v>
      </c>
      <c r="N84" s="43" t="str" cm="1">
        <f t="array" ref="N84">IF(M84&lt;&gt;"",
_xlfn.TEXTJOIN("; ",1,
_xlfn.MAP(_xlfn.TEXTSPLIT(M84,";"),
    _xlfn.LAMBDA(_xlpm.x,
        _xlfn.LET(_xlpm.kv,_xlfn.TEXTSPLIT(_xlpm.x,"="),
        VLOOKUP(VALUE(INDEX(_xlpm.kv,1)),camp_coin!A:C,3,0)&amp;" * "&amp;INDEX(_xlpm.kv,2))))),"")</f>
        <v>黄金 * 35</v>
      </c>
      <c r="O84" s="46" cm="1">
        <f t="array" ref="O84">IF(M84&lt;&gt;"",
SUM(_xlfn.MAP(_xlfn.TEXTSPLIT(M84,";"),
    _xlfn.LAMBDA(_xlpm.x,VALUE(INDEX(_xlfn.TEXTSPLIT(_xlpm.x,"="),2))))),"")</f>
        <v>35</v>
      </c>
    </row>
    <row r="85" spans="1:15" x14ac:dyDescent="0.2">
      <c r="A85" s="4">
        <v>600811</v>
      </c>
      <c r="B85" s="45" t="s">
        <v>235</v>
      </c>
      <c r="C85" s="18" t="s">
        <v>123</v>
      </c>
      <c r="E85" s="5" t="s">
        <v>240</v>
      </c>
      <c r="F85" s="4" t="str">
        <f t="shared" si="9"/>
        <v>loot_name_600811</v>
      </c>
      <c r="G85" s="50" t="s">
        <v>253</v>
      </c>
      <c r="H85" s="47" t="s">
        <v>254</v>
      </c>
      <c r="I85" s="36" t="s">
        <v>214</v>
      </c>
      <c r="K85" s="44" t="str">
        <f t="shared" si="12"/>
        <v>temp_loot_08[temp_loot_08_10]</v>
      </c>
      <c r="L85" s="39">
        <v>10</v>
      </c>
      <c r="M85" s="42" t="s">
        <v>249</v>
      </c>
      <c r="N85" s="43" t="str" cm="1">
        <f t="array" ref="N85">IF(M85&lt;&gt;"",
_xlfn.TEXTJOIN("; ",1,
_xlfn.MAP(_xlfn.TEXTSPLIT(M85,";"),
    _xlfn.LAMBDA(_xlpm.x,
        _xlfn.LET(_xlpm.kv,_xlfn.TEXTSPLIT(_xlpm.x,"="),
        VLOOKUP(VALUE(INDEX(_xlpm.kv,1)),camp_coin!A:C,3,0)&amp;" * "&amp;INDEX(_xlpm.kv,2))))),"")</f>
        <v>木材 * 20</v>
      </c>
      <c r="O85" s="46" cm="1">
        <f t="array" ref="O85">IF(M85&lt;&gt;"",
SUM(_xlfn.MAP(_xlfn.TEXTSPLIT(M85,";"),
    _xlfn.LAMBDA(_xlpm.x,VALUE(INDEX(_xlfn.TEXTSPLIT(_xlpm.x,"="),2))))),"")</f>
        <v>20</v>
      </c>
    </row>
    <row r="86" spans="1:15" x14ac:dyDescent="0.2">
      <c r="A86" s="4">
        <v>600812</v>
      </c>
      <c r="B86" s="45" t="s">
        <v>236</v>
      </c>
      <c r="C86" s="18" t="s">
        <v>123</v>
      </c>
      <c r="E86" s="5" t="s">
        <v>240</v>
      </c>
      <c r="F86" s="4" t="str">
        <f t="shared" si="9"/>
        <v>loot_name_600812</v>
      </c>
      <c r="G86" s="50" t="s">
        <v>253</v>
      </c>
      <c r="H86" s="47" t="s">
        <v>254</v>
      </c>
      <c r="I86" s="36" t="s">
        <v>214</v>
      </c>
      <c r="K86" s="44" t="str">
        <f t="shared" si="12"/>
        <v>temp_loot_08[temp_loot_08_11]</v>
      </c>
      <c r="L86" s="41">
        <v>11</v>
      </c>
      <c r="M86" s="42" t="s">
        <v>250</v>
      </c>
      <c r="N86" s="43" t="str" cm="1">
        <f t="array" ref="N86">IF(M86&lt;&gt;"",
_xlfn.TEXTJOIN("; ",1,
_xlfn.MAP(_xlfn.TEXTSPLIT(M86,";"),
    _xlfn.LAMBDA(_xlpm.x,
        _xlfn.LET(_xlpm.kv,_xlfn.TEXTSPLIT(_xlpm.x,"="),
        VLOOKUP(VALUE(INDEX(_xlpm.kv,1)),camp_coin!A:C,3,0)&amp;" * "&amp;INDEX(_xlpm.kv,2))))),"")</f>
        <v>金属 * 20</v>
      </c>
      <c r="O86" s="46" cm="1">
        <f t="array" ref="O86">IF(M86&lt;&gt;"",
SUM(_xlfn.MAP(_xlfn.TEXTSPLIT(M86,";"),
    _xlfn.LAMBDA(_xlpm.x,VALUE(INDEX(_xlfn.TEXTSPLIT(_xlpm.x,"="),2))))),"")</f>
        <v>20</v>
      </c>
    </row>
    <row r="87" spans="1:15" x14ac:dyDescent="0.2">
      <c r="A87" s="4">
        <v>600813</v>
      </c>
      <c r="B87" s="45" t="s">
        <v>237</v>
      </c>
      <c r="C87" s="18" t="s">
        <v>123</v>
      </c>
      <c r="E87" s="5" t="s">
        <v>240</v>
      </c>
      <c r="F87" s="4" t="str">
        <f t="shared" si="9"/>
        <v>loot_name_600813</v>
      </c>
      <c r="G87" s="50" t="s">
        <v>253</v>
      </c>
      <c r="H87" s="47" t="s">
        <v>254</v>
      </c>
      <c r="I87" s="36" t="s">
        <v>214</v>
      </c>
      <c r="K87" s="44" t="str">
        <f t="shared" si="12"/>
        <v>temp_loot_08[temp_loot_08_14]</v>
      </c>
      <c r="L87" s="39">
        <v>14</v>
      </c>
      <c r="M87" s="42" t="s">
        <v>199</v>
      </c>
      <c r="N87" s="43" t="str" cm="1">
        <f t="array" ref="N87">IF(M87&lt;&gt;"",
_xlfn.TEXTJOIN("; ",1,
_xlfn.MAP(_xlfn.TEXTSPLIT(M87,";"),
    _xlfn.LAMBDA(_xlpm.x,
        _xlfn.LET(_xlpm.kv,_xlfn.TEXTSPLIT(_xlpm.x,"="),
        VLOOKUP(VALUE(INDEX(_xlpm.kv,1)),camp_coin!A:C,3,0)&amp;" * "&amp;INDEX(_xlpm.kv,2))))),"")</f>
        <v>黄金 * 6</v>
      </c>
      <c r="O87" s="46" cm="1">
        <f t="array" ref="O87">IF(M87&lt;&gt;"",
SUM(_xlfn.MAP(_xlfn.TEXTSPLIT(M87,";"),
    _xlfn.LAMBDA(_xlpm.x,VALUE(INDEX(_xlfn.TEXTSPLIT(_xlpm.x,"="),2))))),"")</f>
        <v>6</v>
      </c>
    </row>
    <row r="88" spans="1:15" x14ac:dyDescent="0.2">
      <c r="A88" s="4">
        <v>600881</v>
      </c>
      <c r="B88" s="5" t="s">
        <v>150</v>
      </c>
      <c r="C88" s="18" t="s">
        <v>123</v>
      </c>
      <c r="E88" s="18" t="s">
        <v>119</v>
      </c>
      <c r="F88" s="4" t="str">
        <f t="shared" si="9"/>
        <v>loot_name_600881</v>
      </c>
      <c r="G88" s="4" t="str">
        <f t="shared" si="10"/>
        <v>loot_desc_600881</v>
      </c>
      <c r="H88" s="49"/>
      <c r="I88" s="36" t="s">
        <v>214</v>
      </c>
      <c r="K88" s="13" t="str">
        <f t="shared" si="11"/>
        <v>loot_600881_Lake</v>
      </c>
      <c r="M88" s="33" t="s">
        <v>162</v>
      </c>
      <c r="N88" s="30" t="str" cm="1">
        <f t="array" ref="N88">IF(M88&lt;&gt;"",
_xlfn.TEXTJOIN("; ",1,
_xlfn.MAP(_xlfn.TEXTSPLIT(M88,";"),
    _xlfn.LAMBDA(_xlpm.x,
        _xlfn.LET(_xlpm.kv,_xlfn.TEXTSPLIT(_xlpm.x,"="),
        VLOOKUP(VALUE(INDEX(_xlpm.kv,1)),camp_coin!A:C,3,0)&amp;" * "&amp;INDEX(_xlpm.kv,2))))),"")</f>
        <v>食物 * 8</v>
      </c>
    </row>
    <row r="89" spans="1:15" x14ac:dyDescent="0.2">
      <c r="A89" s="4">
        <v>600882</v>
      </c>
      <c r="B89" s="5" t="s">
        <v>151</v>
      </c>
      <c r="C89" s="18" t="s">
        <v>123</v>
      </c>
      <c r="E89" s="18" t="s">
        <v>119</v>
      </c>
      <c r="F89" s="4" t="str">
        <f t="shared" si="9"/>
        <v>loot_name_600882</v>
      </c>
      <c r="G89" s="4" t="str">
        <f t="shared" si="10"/>
        <v>loot_desc_600882</v>
      </c>
      <c r="H89" s="49"/>
      <c r="I89" s="36" t="s">
        <v>214</v>
      </c>
      <c r="K89" s="13" t="str">
        <f t="shared" si="11"/>
        <v>loot_600882_Lake</v>
      </c>
      <c r="M89" s="33" t="s">
        <v>163</v>
      </c>
      <c r="N89" s="30" t="str" cm="1">
        <f t="array" ref="N89">IF(M89&lt;&gt;"",
_xlfn.TEXTJOIN("; ",1,
_xlfn.MAP(_xlfn.TEXTSPLIT(M89,";"),
    _xlfn.LAMBDA(_xlpm.x,
        _xlfn.LET(_xlpm.kv,_xlfn.TEXTSPLIT(_xlpm.x,"="),
        VLOOKUP(VALUE(INDEX(_xlpm.kv,1)),camp_coin!A:C,3,0)&amp;" * "&amp;INDEX(_xlpm.kv,2))))),"")</f>
        <v>食物 * 12</v>
      </c>
    </row>
    <row r="90" spans="1:15" x14ac:dyDescent="0.2">
      <c r="A90" s="4">
        <v>600883</v>
      </c>
      <c r="B90" s="5" t="s">
        <v>152</v>
      </c>
      <c r="C90" s="18" t="s">
        <v>123</v>
      </c>
      <c r="E90" s="18" t="s">
        <v>119</v>
      </c>
      <c r="F90" s="4" t="str">
        <f t="shared" si="9"/>
        <v>loot_name_600883</v>
      </c>
      <c r="G90" s="4" t="str">
        <f t="shared" si="10"/>
        <v>loot_desc_600883</v>
      </c>
      <c r="H90" s="49"/>
      <c r="I90" s="36" t="s">
        <v>214</v>
      </c>
      <c r="K90" s="13" t="str">
        <f t="shared" si="11"/>
        <v>loot_600883_Lake</v>
      </c>
      <c r="M90" s="33" t="s">
        <v>164</v>
      </c>
      <c r="N90" s="30" t="str" cm="1">
        <f t="array" ref="N90">IF(M90&lt;&gt;"",
_xlfn.TEXTJOIN("; ",1,
_xlfn.MAP(_xlfn.TEXTSPLIT(M90,";"),
    _xlfn.LAMBDA(_xlpm.x,
        _xlfn.LET(_xlpm.kv,_xlfn.TEXTSPLIT(_xlpm.x,"="),
        VLOOKUP(VALUE(INDEX(_xlpm.kv,1)),camp_coin!A:C,3,0)&amp;" * "&amp;INDEX(_xlpm.kv,2))))),"")</f>
        <v>食物 * 16</v>
      </c>
    </row>
    <row r="91" spans="1:15" x14ac:dyDescent="0.2">
      <c r="A91" s="4">
        <v>600884</v>
      </c>
      <c r="B91" s="5" t="s">
        <v>153</v>
      </c>
      <c r="C91" s="18" t="s">
        <v>123</v>
      </c>
      <c r="E91" s="18" t="s">
        <v>119</v>
      </c>
      <c r="F91" s="4" t="str">
        <f t="shared" si="9"/>
        <v>loot_name_600884</v>
      </c>
      <c r="G91" s="4" t="str">
        <f t="shared" si="10"/>
        <v>loot_desc_600884</v>
      </c>
      <c r="H91" s="49"/>
      <c r="I91" s="36" t="s">
        <v>214</v>
      </c>
      <c r="K91" s="13" t="str">
        <f t="shared" si="11"/>
        <v>loot_600884_Lake</v>
      </c>
      <c r="M91" s="33" t="s">
        <v>163</v>
      </c>
      <c r="N91" s="30" t="str" cm="1">
        <f t="array" ref="N91">IF(M91&lt;&gt;"",
_xlfn.TEXTJOIN("; ",1,
_xlfn.MAP(_xlfn.TEXTSPLIT(M91,";"),
    _xlfn.LAMBDA(_xlpm.x,
        _xlfn.LET(_xlpm.kv,_xlfn.TEXTSPLIT(_xlpm.x,"="),
        VLOOKUP(VALUE(INDEX(_xlpm.kv,1)),camp_coin!A:C,3,0)&amp;" * "&amp;INDEX(_xlpm.kv,2))))),"")</f>
        <v>食物 * 12</v>
      </c>
    </row>
    <row r="92" spans="1:15" x14ac:dyDescent="0.2">
      <c r="A92" s="4">
        <v>600885</v>
      </c>
      <c r="B92" s="5" t="s">
        <v>154</v>
      </c>
      <c r="C92" s="18" t="s">
        <v>123</v>
      </c>
      <c r="E92" s="18" t="s">
        <v>119</v>
      </c>
      <c r="F92" s="4" t="str">
        <f t="shared" si="9"/>
        <v>loot_name_600885</v>
      </c>
      <c r="G92" s="4" t="str">
        <f t="shared" si="10"/>
        <v>loot_desc_600885</v>
      </c>
      <c r="H92" s="49"/>
      <c r="I92" s="36" t="s">
        <v>214</v>
      </c>
      <c r="K92" s="13" t="str">
        <f t="shared" si="11"/>
        <v>loot_600885_Lake</v>
      </c>
      <c r="M92" s="33" t="s">
        <v>165</v>
      </c>
      <c r="N92" s="30" t="str" cm="1">
        <f t="array" ref="N92">IF(M92&lt;&gt;"",
_xlfn.TEXTJOIN("; ",1,
_xlfn.MAP(_xlfn.TEXTSPLIT(M92,";"),
    _xlfn.LAMBDA(_xlpm.x,
        _xlfn.LET(_xlpm.kv,_xlfn.TEXTSPLIT(_xlpm.x,"="),
        VLOOKUP(VALUE(INDEX(_xlpm.kv,1)),camp_coin!A:C,3,0)&amp;" * "&amp;INDEX(_xlpm.kv,2))))),"")</f>
        <v>食物 * 15</v>
      </c>
    </row>
    <row r="93" spans="1:15" x14ac:dyDescent="0.2">
      <c r="A93" s="4">
        <v>600886</v>
      </c>
      <c r="B93" s="5" t="s">
        <v>155</v>
      </c>
      <c r="C93" s="18" t="s">
        <v>123</v>
      </c>
      <c r="E93" s="18" t="s">
        <v>118</v>
      </c>
      <c r="F93" s="4" t="str">
        <f t="shared" si="9"/>
        <v>loot_name_600886</v>
      </c>
      <c r="G93" s="4" t="str">
        <f t="shared" si="10"/>
        <v>loot_desc_600886</v>
      </c>
      <c r="H93" s="49"/>
      <c r="I93" s="36" t="s">
        <v>214</v>
      </c>
      <c r="K93" s="13" t="str">
        <f t="shared" si="11"/>
        <v>loot_600886_Lake</v>
      </c>
      <c r="M93" s="33" t="s">
        <v>166</v>
      </c>
      <c r="N93" s="30" t="str" cm="1">
        <f t="array" ref="N93">IF(M93&lt;&gt;"",
_xlfn.TEXTJOIN("; ",1,
_xlfn.MAP(_xlfn.TEXTSPLIT(M93,";"),
    _xlfn.LAMBDA(_xlpm.x,
        _xlfn.LET(_xlpm.kv,_xlfn.TEXTSPLIT(_xlpm.x,"="),
        VLOOKUP(VALUE(INDEX(_xlpm.kv,1)),camp_coin!A:C,3,0)&amp;" * "&amp;INDEX(_xlpm.kv,2))))),"")</f>
        <v>食物 * 18</v>
      </c>
    </row>
    <row r="94" spans="1:15" x14ac:dyDescent="0.2">
      <c r="A94" s="4">
        <v>600887</v>
      </c>
      <c r="B94" s="5" t="s">
        <v>156</v>
      </c>
      <c r="C94" s="18" t="s">
        <v>123</v>
      </c>
      <c r="E94" s="18" t="s">
        <v>118</v>
      </c>
      <c r="F94" s="4" t="str">
        <f t="shared" si="9"/>
        <v>loot_name_600887</v>
      </c>
      <c r="G94" s="4" t="str">
        <f t="shared" si="10"/>
        <v>loot_desc_600887</v>
      </c>
      <c r="H94" s="49"/>
      <c r="I94" s="36" t="s">
        <v>214</v>
      </c>
      <c r="K94" s="13" t="str">
        <f t="shared" si="11"/>
        <v>loot_600887_Lake</v>
      </c>
      <c r="M94" s="33" t="s">
        <v>167</v>
      </c>
      <c r="N94" s="30" t="str" cm="1">
        <f t="array" ref="N94">IF(M94&lt;&gt;"",
_xlfn.TEXTJOIN("; ",1,
_xlfn.MAP(_xlfn.TEXTSPLIT(M94,";"),
    _xlfn.LAMBDA(_xlpm.x,
        _xlfn.LET(_xlpm.kv,_xlfn.TEXTSPLIT(_xlpm.x,"="),
        VLOOKUP(VALUE(INDEX(_xlpm.kv,1)),camp_coin!A:C,3,0)&amp;" * "&amp;INDEX(_xlpm.kv,2))))),"")</f>
        <v>食物 * 20</v>
      </c>
    </row>
    <row r="95" spans="1:15" x14ac:dyDescent="0.2">
      <c r="A95" s="4">
        <v>600888</v>
      </c>
      <c r="B95" s="5" t="s">
        <v>157</v>
      </c>
      <c r="C95" s="18" t="s">
        <v>123</v>
      </c>
      <c r="E95" s="18" t="s">
        <v>118</v>
      </c>
      <c r="F95" s="4" t="str">
        <f t="shared" si="9"/>
        <v>loot_name_600888</v>
      </c>
      <c r="G95" s="4" t="str">
        <f t="shared" si="10"/>
        <v>loot_desc_600888</v>
      </c>
      <c r="H95" s="49"/>
      <c r="I95" s="36" t="s">
        <v>214</v>
      </c>
      <c r="K95" s="13" t="str">
        <f t="shared" si="11"/>
        <v>loot_600888_Lake</v>
      </c>
      <c r="M95" s="33" t="s">
        <v>168</v>
      </c>
      <c r="N95" s="30" t="str" cm="1">
        <f t="array" ref="N95">IF(M95&lt;&gt;"",
_xlfn.TEXTJOIN("; ",1,
_xlfn.MAP(_xlfn.TEXTSPLIT(M95,";"),
    _xlfn.LAMBDA(_xlpm.x,
        _xlfn.LET(_xlpm.kv,_xlfn.TEXTSPLIT(_xlpm.x,"="),
        VLOOKUP(VALUE(INDEX(_xlpm.kv,1)),camp_coin!A:C,3,0)&amp;" * "&amp;INDEX(_xlpm.kv,2))))),"")</f>
        <v>食物 * 25</v>
      </c>
    </row>
    <row r="96" spans="1:15" x14ac:dyDescent="0.2">
      <c r="A96" s="4">
        <v>600889</v>
      </c>
      <c r="B96" s="5" t="s">
        <v>158</v>
      </c>
      <c r="C96" s="18" t="s">
        <v>123</v>
      </c>
      <c r="E96" s="18" t="s">
        <v>118</v>
      </c>
      <c r="F96" s="4" t="str">
        <f t="shared" si="9"/>
        <v>loot_name_600889</v>
      </c>
      <c r="G96" s="4" t="str">
        <f t="shared" si="10"/>
        <v>loot_desc_600889</v>
      </c>
      <c r="H96" s="49"/>
      <c r="I96" s="36" t="s">
        <v>214</v>
      </c>
      <c r="K96" s="13" t="str">
        <f t="shared" si="11"/>
        <v>loot_600889_Lake</v>
      </c>
      <c r="M96" s="33" t="s">
        <v>149</v>
      </c>
      <c r="N96" s="30" t="str" cm="1">
        <f t="array" ref="N96">IF(M96&lt;&gt;"",
_xlfn.TEXTJOIN("; ",1,
_xlfn.MAP(_xlfn.TEXTSPLIT(M96,";"),
    _xlfn.LAMBDA(_xlpm.x,
        _xlfn.LET(_xlpm.kv,_xlfn.TEXTSPLIT(_xlpm.x,"="),
        VLOOKUP(VALUE(INDEX(_xlpm.kv,1)),camp_coin!A:C,3,0)&amp;" * "&amp;INDEX(_xlpm.kv,2))))),"")</f>
        <v>食物 * 30</v>
      </c>
    </row>
    <row r="97" spans="1:14" x14ac:dyDescent="0.2">
      <c r="A97" s="4">
        <v>600890</v>
      </c>
      <c r="B97" s="5" t="s">
        <v>120</v>
      </c>
      <c r="C97" s="18" t="s">
        <v>123</v>
      </c>
      <c r="E97" s="18" t="s">
        <v>118</v>
      </c>
      <c r="F97" s="4" t="str">
        <f t="shared" si="9"/>
        <v>loot_name_600890</v>
      </c>
      <c r="G97" s="4" t="str">
        <f t="shared" si="10"/>
        <v>loot_desc_600890</v>
      </c>
      <c r="H97" s="49"/>
      <c r="I97" s="36" t="s">
        <v>214</v>
      </c>
      <c r="K97" s="13" t="str">
        <f t="shared" si="11"/>
        <v>loot_600890_Lake</v>
      </c>
      <c r="M97" s="33" t="s">
        <v>169</v>
      </c>
      <c r="N97" s="30" t="str" cm="1">
        <f t="array" ref="N97">IF(M97&lt;&gt;"",
_xlfn.TEXTJOIN("; ",1,
_xlfn.MAP(_xlfn.TEXTSPLIT(M97,";"),
    _xlfn.LAMBDA(_xlpm.x,
        _xlfn.LET(_xlpm.kv,_xlfn.TEXTSPLIT(_xlpm.x,"="),
        VLOOKUP(VALUE(INDEX(_xlpm.kv,1)),camp_coin!A:C,3,0)&amp;" * "&amp;INDEX(_xlpm.kv,2))))),"")</f>
        <v>食物 * 58</v>
      </c>
    </row>
    <row r="98" spans="1:14" x14ac:dyDescent="0.2">
      <c r="A98" s="4">
        <v>600891</v>
      </c>
      <c r="B98" s="5" t="s">
        <v>121</v>
      </c>
      <c r="C98" s="18" t="s">
        <v>123</v>
      </c>
      <c r="E98" s="18" t="s">
        <v>118</v>
      </c>
      <c r="F98" s="4" t="str">
        <f t="shared" si="9"/>
        <v>loot_name_600891</v>
      </c>
      <c r="G98" s="4" t="str">
        <f t="shared" si="10"/>
        <v>loot_desc_600891</v>
      </c>
      <c r="H98" s="49"/>
      <c r="I98" s="36" t="s">
        <v>214</v>
      </c>
      <c r="K98" s="13" t="str">
        <f t="shared" si="11"/>
        <v>loot_600891_Lake</v>
      </c>
      <c r="M98" s="33" t="s">
        <v>179</v>
      </c>
      <c r="N98" s="30" t="str" cm="1">
        <f t="array" ref="N98">IF(M98&lt;&gt;"",
_xlfn.TEXTJOIN("; ",1,
_xlfn.MAP(_xlfn.TEXTSPLIT(M98,";"),
    _xlfn.LAMBDA(_xlpm.x,
        _xlfn.LET(_xlpm.kv,_xlfn.TEXTSPLIT(_xlpm.x,"="),
        VLOOKUP(VALUE(INDEX(_xlpm.kv,1)),camp_coin!A:C,3,0)&amp;" * "&amp;INDEX(_xlpm.kv,2))))),"")</f>
        <v>食物 * 75</v>
      </c>
    </row>
    <row r="99" spans="1:14" x14ac:dyDescent="0.2">
      <c r="A99" s="4">
        <v>600892</v>
      </c>
      <c r="B99" s="5" t="s">
        <v>122</v>
      </c>
      <c r="C99" s="18" t="s">
        <v>123</v>
      </c>
      <c r="E99" s="18" t="s">
        <v>118</v>
      </c>
      <c r="F99" s="4" t="str">
        <f t="shared" si="9"/>
        <v>loot_name_600892</v>
      </c>
      <c r="G99" s="4" t="str">
        <f t="shared" si="10"/>
        <v>loot_desc_600892</v>
      </c>
      <c r="H99" s="49"/>
      <c r="I99" s="36" t="s">
        <v>214</v>
      </c>
      <c r="K99" s="13" t="str">
        <f t="shared" si="11"/>
        <v>loot_600892_Lake</v>
      </c>
      <c r="M99" s="33" t="s">
        <v>128</v>
      </c>
      <c r="N99" s="30" t="str" cm="1">
        <f t="array" ref="N99">IF(M99&lt;&gt;"",
_xlfn.TEXTJOIN("; ",1,
_xlfn.MAP(_xlfn.TEXTSPLIT(M99,";"),
    _xlfn.LAMBDA(_xlpm.x,
        _xlfn.LET(_xlpm.kv,_xlfn.TEXTSPLIT(_xlpm.x,"="),
        VLOOKUP(VALUE(INDEX(_xlpm.kv,1)),camp_coin!A:C,3,0)&amp;" * "&amp;INDEX(_xlpm.kv,2))))),"")</f>
        <v>黄金 * 1; 食物 * 1; 金属 * 1</v>
      </c>
    </row>
    <row r="100" spans="1:14" x14ac:dyDescent="0.2">
      <c r="A100" s="4">
        <v>600893</v>
      </c>
      <c r="B100" s="5" t="s">
        <v>160</v>
      </c>
      <c r="C100" s="18" t="s">
        <v>123</v>
      </c>
      <c r="E100" s="18" t="s">
        <v>118</v>
      </c>
      <c r="F100" s="4" t="str">
        <f>IF($A100&lt;&gt;"",_xlfn.TEXTJOIN("_",1,"loot_name",$A100),"")</f>
        <v>loot_name_600893</v>
      </c>
      <c r="G100" s="4" t="str">
        <f>IF($A100&lt;&gt;"",_xlfn.TEXTJOIN("_",1,"loot_desc",$A100),"")</f>
        <v>loot_desc_600893</v>
      </c>
      <c r="H100" s="49"/>
      <c r="I100" s="36" t="s">
        <v>214</v>
      </c>
      <c r="K100" s="13" t="str">
        <f t="shared" si="11"/>
        <v>loot_600893_Lake</v>
      </c>
      <c r="M100" s="33" t="s">
        <v>139</v>
      </c>
      <c r="N100" s="30" t="str" cm="1">
        <f t="array" ref="N100">IF(M100&lt;&gt;"",
_xlfn.TEXTJOIN("; ",1,
_xlfn.MAP(_xlfn.TEXTSPLIT(M100,";"),
    _xlfn.LAMBDA(_xlpm.x,
        _xlfn.LET(_xlpm.kv,_xlfn.TEXTSPLIT(_xlpm.x,"="),
        VLOOKUP(VALUE(INDEX(_xlpm.kv,1)),camp_coin!A:C,3,0)&amp;" * "&amp;INDEX(_xlpm.kv,2))))),"")</f>
        <v>黄金 * 3</v>
      </c>
    </row>
    <row r="101" spans="1:14" x14ac:dyDescent="0.2">
      <c r="A101" s="4">
        <v>600894</v>
      </c>
      <c r="B101" s="5" t="s">
        <v>159</v>
      </c>
      <c r="C101" s="18" t="s">
        <v>123</v>
      </c>
      <c r="E101" s="18" t="s">
        <v>118</v>
      </c>
      <c r="F101" s="4" t="str">
        <f t="shared" si="9"/>
        <v>loot_name_600894</v>
      </c>
      <c r="G101" s="4" t="str">
        <f t="shared" si="10"/>
        <v>loot_desc_600894</v>
      </c>
      <c r="H101" s="49"/>
      <c r="I101" s="36" t="s">
        <v>214</v>
      </c>
      <c r="K101" s="13" t="str">
        <f t="shared" si="11"/>
        <v>loot_600894_Lake</v>
      </c>
      <c r="M101" s="33" t="s">
        <v>144</v>
      </c>
      <c r="N101" s="30" t="str" cm="1">
        <f t="array" ref="N101">IF(M101&lt;&gt;"",
_xlfn.TEXTJOIN("; ",1,
_xlfn.MAP(_xlfn.TEXTSPLIT(M101,";"),
    _xlfn.LAMBDA(_xlpm.x,
        _xlfn.LET(_xlpm.kv,_xlfn.TEXTSPLIT(_xlpm.x,"="),
        VLOOKUP(VALUE(INDEX(_xlpm.kv,1)),camp_coin!A:C,3,0)&amp;" * "&amp;INDEX(_xlpm.kv,2))))),"")</f>
        <v>木材 * 3</v>
      </c>
    </row>
    <row r="102" spans="1:14" x14ac:dyDescent="0.2">
      <c r="A102" s="4">
        <v>600895</v>
      </c>
      <c r="B102" s="5" t="s">
        <v>161</v>
      </c>
      <c r="C102" s="18" t="s">
        <v>123</v>
      </c>
      <c r="E102" s="18" t="s">
        <v>118</v>
      </c>
      <c r="F102" s="4" t="str">
        <f t="shared" si="9"/>
        <v>loot_name_600895</v>
      </c>
      <c r="G102" s="4" t="str">
        <f t="shared" si="10"/>
        <v>loot_desc_600895</v>
      </c>
      <c r="H102" s="49"/>
      <c r="I102" s="36" t="s">
        <v>214</v>
      </c>
      <c r="K102" s="13" t="str">
        <f t="shared" si="11"/>
        <v>loot_600895_Lake</v>
      </c>
      <c r="M102" s="33" t="s">
        <v>138</v>
      </c>
      <c r="N102" s="30" t="str" cm="1">
        <f t="array" ref="N102">IF(M102&lt;&gt;"",
_xlfn.TEXTJOIN("; ",1,
_xlfn.MAP(_xlfn.TEXTSPLIT(M102,";"),
    _xlfn.LAMBDA(_xlpm.x,
        _xlfn.LET(_xlpm.kv,_xlfn.TEXTSPLIT(_xlpm.x,"="),
        VLOOKUP(VALUE(INDEX(_xlpm.kv,1)),camp_coin!A:C,3,0)&amp;" * "&amp;INDEX(_xlpm.kv,2))))),"")</f>
        <v>金属 * 3</v>
      </c>
    </row>
    <row r="106" spans="1:14" x14ac:dyDescent="0.2">
      <c r="A106" s="4">
        <v>600001</v>
      </c>
      <c r="B106" s="5" t="s">
        <v>89</v>
      </c>
      <c r="C106" s="5" t="s">
        <v>74</v>
      </c>
      <c r="D106" s="5" t="s">
        <v>15</v>
      </c>
      <c r="E106" s="5" t="s">
        <v>15</v>
      </c>
      <c r="F106" s="4" t="str">
        <f t="shared" ref="F106:F113" si="13">IF($A106&lt;&gt;"",_xlfn.TEXTJOIN("_",1,"loot_name",$A106),"")</f>
        <v>loot_name_600001</v>
      </c>
      <c r="G106" s="4" t="str">
        <f t="shared" ref="G106:G113" si="14">IF($A106&lt;&gt;"",_xlfn.TEXTJOIN("_",1,"loot_desc",$A106),"")</f>
        <v>loot_desc_600001</v>
      </c>
      <c r="I106" s="36" t="s">
        <v>220</v>
      </c>
      <c r="J106" s="36" t="s">
        <v>222</v>
      </c>
      <c r="M106" s="33" t="s">
        <v>206</v>
      </c>
      <c r="N106" s="30" t="str" cm="1">
        <f t="array" ref="N106">IF(M106&lt;&gt;"",
_xlfn.TEXTJOIN("; ",1,
_xlfn.MAP(_xlfn.TEXTSPLIT(M106,";"),
    _xlfn.LAMBDA(_xlpm.x,
        _xlfn.LET(_xlpm.kv,_xlfn.TEXTSPLIT(_xlpm.x,"="),
        VLOOKUP(VALUE(INDEX(_xlpm.kv,1)),camp_coin!A:C,3,0)&amp;" * "&amp;INDEX(_xlpm.kv,2))))),"")</f>
        <v>火硫磺 * 1</v>
      </c>
    </row>
    <row r="107" spans="1:14" x14ac:dyDescent="0.2">
      <c r="A107" s="4">
        <v>600002</v>
      </c>
      <c r="B107" s="5" t="s">
        <v>90</v>
      </c>
      <c r="C107" s="5" t="s">
        <v>75</v>
      </c>
      <c r="D107" s="5" t="s">
        <v>15</v>
      </c>
      <c r="E107" s="5" t="s">
        <v>15</v>
      </c>
      <c r="F107" s="4" t="str">
        <f t="shared" si="13"/>
        <v>loot_name_600002</v>
      </c>
      <c r="G107" s="4" t="str">
        <f t="shared" si="14"/>
        <v>loot_desc_600002</v>
      </c>
      <c r="M107" s="33" t="s">
        <v>207</v>
      </c>
      <c r="N107" s="30" t="str" cm="1">
        <f t="array" ref="N107">IF(M107&lt;&gt;"",
_xlfn.TEXTJOIN("; ",1,
_xlfn.MAP(_xlfn.TEXTSPLIT(M107,";"),
    _xlfn.LAMBDA(_xlpm.x,
        _xlfn.LET(_xlpm.kv,_xlfn.TEXTSPLIT(_xlpm.x,"="),
        VLOOKUP(VALUE(INDEX(_xlpm.kv,1)),camp_coin!A:C,3,0)&amp;" * "&amp;INDEX(_xlpm.kv,2))))),"")</f>
        <v>天空石 * 1</v>
      </c>
    </row>
    <row r="108" spans="1:14" x14ac:dyDescent="0.2">
      <c r="A108" s="4">
        <v>600003</v>
      </c>
      <c r="B108" s="5" t="s">
        <v>91</v>
      </c>
      <c r="C108" s="5" t="s">
        <v>76</v>
      </c>
      <c r="D108" s="5" t="s">
        <v>15</v>
      </c>
      <c r="E108" s="5" t="s">
        <v>15</v>
      </c>
      <c r="F108" s="4" t="str">
        <f t="shared" si="13"/>
        <v>loot_name_600003</v>
      </c>
      <c r="G108" s="4" t="str">
        <f t="shared" si="14"/>
        <v>loot_desc_600003</v>
      </c>
      <c r="M108" s="33" t="s">
        <v>208</v>
      </c>
      <c r="N108" s="30" t="str" cm="1">
        <f t="array" ref="N108">IF(M108&lt;&gt;"",
_xlfn.TEXTJOIN("; ",1,
_xlfn.MAP(_xlfn.TEXTSPLIT(M108,";"),
    _xlfn.LAMBDA(_xlpm.x,
        _xlfn.LET(_xlpm.kv,_xlfn.TEXTSPLIT(_xlpm.x,"="),
        VLOOKUP(VALUE(INDEX(_xlpm.kv,1)),camp_coin!A:C,3,0)&amp;" * "&amp;INDEX(_xlpm.kv,2))))),"")</f>
        <v>建木根须 * 1</v>
      </c>
    </row>
    <row r="109" spans="1:14" x14ac:dyDescent="0.2">
      <c r="A109" s="4">
        <v>600004</v>
      </c>
      <c r="B109" s="5" t="s">
        <v>92</v>
      </c>
      <c r="C109" s="5" t="s">
        <v>77</v>
      </c>
      <c r="D109" s="5" t="s">
        <v>15</v>
      </c>
      <c r="E109" s="5" t="s">
        <v>15</v>
      </c>
      <c r="F109" s="4" t="str">
        <f t="shared" si="13"/>
        <v>loot_name_600004</v>
      </c>
      <c r="G109" s="4" t="str">
        <f t="shared" si="14"/>
        <v>loot_desc_600004</v>
      </c>
      <c r="I109" s="36" t="s">
        <v>218</v>
      </c>
      <c r="J109" s="36" t="s">
        <v>223</v>
      </c>
      <c r="M109" s="33" t="s">
        <v>209</v>
      </c>
      <c r="N109" s="30" t="str" cm="1">
        <f t="array" ref="N109">IF(M109&lt;&gt;"",
_xlfn.TEXTJOIN("; ",1,
_xlfn.MAP(_xlfn.TEXTSPLIT(M109,";"),
    _xlfn.LAMBDA(_xlpm.x,
        _xlfn.LET(_xlpm.kv,_xlfn.TEXTSPLIT(_xlpm.x,"="),
        VLOOKUP(VALUE(INDEX(_xlpm.kv,1)),camp_coin!A:C,3,0)&amp;" * "&amp;INDEX(_xlpm.kv,2))))),"")</f>
        <v>建木果实 * 1</v>
      </c>
    </row>
    <row r="110" spans="1:14" x14ac:dyDescent="0.2">
      <c r="A110" s="4">
        <v>600005</v>
      </c>
      <c r="C110" s="5" t="s">
        <v>78</v>
      </c>
      <c r="D110" s="5" t="s">
        <v>15</v>
      </c>
      <c r="E110" s="5" t="s">
        <v>15</v>
      </c>
      <c r="F110" s="4" t="str">
        <f t="shared" si="13"/>
        <v>loot_name_600005</v>
      </c>
      <c r="G110" s="4" t="str">
        <f t="shared" si="14"/>
        <v>loot_desc_600005</v>
      </c>
      <c r="N110" s="30" t="str" cm="1">
        <f t="array" ref="N110">IF(M110&lt;&gt;"",
_xlfn.TEXTJOIN("; ",1,
_xlfn.MAP(_xlfn.TEXTSPLIT(M110,";"),
    _xlfn.LAMBDA(_xlpm.x,
        _xlfn.LET(_xlpm.kv,_xlfn.TEXTSPLIT(_xlpm.x,"="),
        VLOOKUP(VALUE(INDEX(_xlpm.kv,1)),camp_coin!A:C,3,0)&amp;" * "&amp;INDEX(_xlpm.kv,2))))),"")</f>
        <v/>
      </c>
    </row>
    <row r="111" spans="1:14" x14ac:dyDescent="0.2">
      <c r="A111" s="4">
        <v>600006</v>
      </c>
      <c r="B111" s="5" t="s">
        <v>93</v>
      </c>
      <c r="C111" s="5" t="s">
        <v>79</v>
      </c>
      <c r="D111" s="5" t="s">
        <v>15</v>
      </c>
      <c r="E111" s="5" t="s">
        <v>15</v>
      </c>
      <c r="F111" s="4" t="str">
        <f t="shared" si="13"/>
        <v>loot_name_600006</v>
      </c>
      <c r="G111" s="4" t="str">
        <f t="shared" si="14"/>
        <v>loot_desc_600006</v>
      </c>
      <c r="M111" s="33" t="s">
        <v>210</v>
      </c>
      <c r="N111" s="30" t="str" cm="1">
        <f t="array" ref="N111">IF(M111&lt;&gt;"",
_xlfn.TEXTJOIN("; ",1,
_xlfn.MAP(_xlfn.TEXTSPLIT(M111,";"),
    _xlfn.LAMBDA(_xlpm.x,
        _xlfn.LET(_xlpm.kv,_xlfn.TEXTSPLIT(_xlpm.x,"="),
        VLOOKUP(VALUE(INDEX(_xlpm.kv,1)),camp_coin!A:C,3,0)&amp;" * "&amp;INDEX(_xlpm.kv,2))))),"")</f>
        <v>矮人矿石 * 1</v>
      </c>
    </row>
    <row r="112" spans="1:14" x14ac:dyDescent="0.2">
      <c r="A112" s="4">
        <v>600007</v>
      </c>
      <c r="B112" s="5" t="s">
        <v>94</v>
      </c>
      <c r="C112" s="5" t="s">
        <v>80</v>
      </c>
      <c r="D112" s="5" t="s">
        <v>15</v>
      </c>
      <c r="E112" s="5" t="s">
        <v>15</v>
      </c>
      <c r="F112" s="4" t="str">
        <f t="shared" si="13"/>
        <v>loot_name_600007</v>
      </c>
      <c r="G112" s="4" t="str">
        <f t="shared" si="14"/>
        <v>loot_desc_600007</v>
      </c>
      <c r="I112" s="36" t="s">
        <v>216</v>
      </c>
      <c r="J112" s="36" t="s">
        <v>224</v>
      </c>
      <c r="M112" s="33" t="s">
        <v>211</v>
      </c>
      <c r="N112" s="30" t="str" cm="1">
        <f t="array" ref="N112">IF(M112&lt;&gt;"",
_xlfn.TEXTJOIN("; ",1,
_xlfn.MAP(_xlfn.TEXTSPLIT(M112,";"),
    _xlfn.LAMBDA(_xlpm.x,
        _xlfn.LET(_xlpm.kv,_xlfn.TEXTSPLIT(_xlpm.x,"="),
        VLOOKUP(VALUE(INDEX(_xlpm.kv,1)),camp_coin!A:C,3,0)&amp;" * "&amp;INDEX(_xlpm.kv,2))))),"")</f>
        <v>沙漠水晶 * 1</v>
      </c>
    </row>
    <row r="113" spans="1:14" x14ac:dyDescent="0.2">
      <c r="A113" s="4">
        <v>600008</v>
      </c>
      <c r="B113" s="5" t="s">
        <v>95</v>
      </c>
      <c r="C113" s="5" t="s">
        <v>81</v>
      </c>
      <c r="D113" s="5" t="s">
        <v>15</v>
      </c>
      <c r="E113" s="5" t="s">
        <v>15</v>
      </c>
      <c r="F113" s="4" t="str">
        <f t="shared" si="13"/>
        <v>loot_name_600008</v>
      </c>
      <c r="G113" s="4" t="str">
        <f t="shared" si="14"/>
        <v>loot_desc_600008</v>
      </c>
      <c r="I113" s="36" t="s">
        <v>214</v>
      </c>
      <c r="J113" s="36" t="s">
        <v>225</v>
      </c>
      <c r="M113" s="33" t="s">
        <v>212</v>
      </c>
      <c r="N113" s="30" t="str" cm="1">
        <f t="array" ref="N113">IF(M113&lt;&gt;"",
_xlfn.TEXTJOIN("; ",1,
_xlfn.MAP(_xlfn.TEXTSPLIT(M113,";"),
    _xlfn.LAMBDA(_xlpm.x,
        _xlfn.LET(_xlpm.kv,_xlfn.TEXTSPLIT(_xlpm.x,"="),
        VLOOKUP(VALUE(INDEX(_xlpm.kv,1)),camp_coin!A:C,3,0)&amp;" * "&amp;INDEX(_xlpm.kv,2))))),"")</f>
        <v>珍珠 * 1</v>
      </c>
    </row>
  </sheetData>
  <sortState xmlns:xlrd2="http://schemas.microsoft.com/office/spreadsheetml/2017/richdata2" ref="A4:F10">
    <sortCondition ref="A4:A10"/>
  </sortState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pane ySplit="3" topLeftCell="A4" activePane="bottomLeft" state="frozen"/>
      <selection pane="bottomLeft" activeCell="D8" sqref="D8"/>
    </sheetView>
  </sheetViews>
  <sheetFormatPr defaultColWidth="9.125" defaultRowHeight="14.25" x14ac:dyDescent="0.2"/>
  <cols>
    <col min="1" max="1" width="8.375" style="4" customWidth="1"/>
    <col min="2" max="2" width="20.375" style="4" bestFit="1" customWidth="1"/>
    <col min="3" max="3" width="18.125" style="5" customWidth="1"/>
    <col min="4" max="4" width="25.5" style="4" bestFit="1" customWidth="1"/>
  </cols>
  <sheetData>
    <row r="1" spans="1:4" s="1" customFormat="1" x14ac:dyDescent="0.2">
      <c r="A1" s="1" t="s">
        <v>0</v>
      </c>
      <c r="B1" s="1" t="s">
        <v>1</v>
      </c>
      <c r="C1" s="6"/>
      <c r="D1" s="1" t="s">
        <v>83</v>
      </c>
    </row>
    <row r="2" spans="1:4" s="2" customFormat="1" x14ac:dyDescent="0.2">
      <c r="A2" s="2" t="s">
        <v>5</v>
      </c>
      <c r="B2" s="2" t="s">
        <v>6</v>
      </c>
      <c r="C2" s="7"/>
      <c r="D2" s="2" t="s">
        <v>6</v>
      </c>
    </row>
    <row r="3" spans="1:4" s="3" customFormat="1" ht="28.5" x14ac:dyDescent="0.2">
      <c r="A3" s="8" t="s">
        <v>84</v>
      </c>
      <c r="B3" s="9" t="s">
        <v>85</v>
      </c>
      <c r="C3" s="10" t="s">
        <v>86</v>
      </c>
      <c r="D3" s="11" t="s">
        <v>87</v>
      </c>
    </row>
    <row r="4" spans="1:4" x14ac:dyDescent="0.2">
      <c r="A4" s="4">
        <v>6111</v>
      </c>
      <c r="B4" s="4" t="str">
        <f>"camp_res_name_"&amp;$A4</f>
        <v>camp_res_name_6111</v>
      </c>
      <c r="C4" s="5" t="s">
        <v>88</v>
      </c>
      <c r="D4" s="51" t="s">
        <v>255</v>
      </c>
    </row>
    <row r="5" spans="1:4" x14ac:dyDescent="0.2">
      <c r="A5" s="4">
        <v>6112</v>
      </c>
      <c r="B5" s="4" t="str">
        <f>"camp_res_name_"&amp;$A5</f>
        <v>camp_res_name_6112</v>
      </c>
      <c r="C5" s="18" t="s">
        <v>96</v>
      </c>
      <c r="D5" s="51" t="s">
        <v>256</v>
      </c>
    </row>
    <row r="6" spans="1:4" x14ac:dyDescent="0.2">
      <c r="A6" s="4">
        <v>6113</v>
      </c>
      <c r="B6" s="4" t="str">
        <f>"camp_res_name_"&amp;$A6</f>
        <v>camp_res_name_6113</v>
      </c>
      <c r="C6" s="18" t="s">
        <v>97</v>
      </c>
      <c r="D6" s="51" t="s">
        <v>257</v>
      </c>
    </row>
    <row r="7" spans="1:4" x14ac:dyDescent="0.2">
      <c r="A7" s="4">
        <v>6114</v>
      </c>
      <c r="B7" s="4" t="str">
        <f>"camp_res_name_"&amp;$A7</f>
        <v>camp_res_name_6114</v>
      </c>
      <c r="C7" s="18" t="s">
        <v>226</v>
      </c>
      <c r="D7" s="51" t="s">
        <v>258</v>
      </c>
    </row>
    <row r="10" spans="1:4" x14ac:dyDescent="0.2">
      <c r="A10" s="4">
        <v>6121</v>
      </c>
      <c r="B10" s="4" t="str">
        <f t="shared" ref="B10:B13" si="0">"camp_res_name_"&amp;$A10</f>
        <v>camp_res_name_6121</v>
      </c>
      <c r="C10" s="5" t="s">
        <v>89</v>
      </c>
      <c r="D10" s="4" t="str">
        <f t="shared" ref="D10:D13" si="1">"camp_res_icon_"&amp;$A10</f>
        <v>camp_res_icon_6121</v>
      </c>
    </row>
    <row r="11" spans="1:4" x14ac:dyDescent="0.2">
      <c r="A11" s="4">
        <v>6122</v>
      </c>
      <c r="B11" s="4" t="str">
        <f t="shared" si="0"/>
        <v>camp_res_name_6122</v>
      </c>
      <c r="C11" s="5" t="s">
        <v>90</v>
      </c>
      <c r="D11" s="4" t="str">
        <f t="shared" si="1"/>
        <v>camp_res_icon_6122</v>
      </c>
    </row>
    <row r="12" spans="1:4" x14ac:dyDescent="0.2">
      <c r="A12" s="4">
        <v>6123</v>
      </c>
      <c r="B12" s="4" t="str">
        <f t="shared" si="0"/>
        <v>camp_res_name_6123</v>
      </c>
      <c r="C12" s="5" t="s">
        <v>91</v>
      </c>
      <c r="D12" s="4" t="str">
        <f t="shared" si="1"/>
        <v>camp_res_icon_6123</v>
      </c>
    </row>
    <row r="13" spans="1:4" x14ac:dyDescent="0.2">
      <c r="A13" s="4">
        <v>6124</v>
      </c>
      <c r="B13" s="4" t="str">
        <f t="shared" si="0"/>
        <v>camp_res_name_6124</v>
      </c>
      <c r="C13" s="5" t="s">
        <v>92</v>
      </c>
      <c r="D13" s="4" t="str">
        <f t="shared" si="1"/>
        <v>camp_res_icon_6124</v>
      </c>
    </row>
    <row r="15" spans="1:4" x14ac:dyDescent="0.2">
      <c r="A15" s="4">
        <v>6126</v>
      </c>
      <c r="B15" s="4" t="str">
        <f>"camp_res_name_"&amp;$A15</f>
        <v>camp_res_name_6126</v>
      </c>
      <c r="C15" s="5" t="s">
        <v>93</v>
      </c>
      <c r="D15" s="4" t="str">
        <f>"camp_res_icon_"&amp;$A15</f>
        <v>camp_res_icon_6126</v>
      </c>
    </row>
    <row r="16" spans="1:4" x14ac:dyDescent="0.2">
      <c r="A16" s="4">
        <v>6127</v>
      </c>
      <c r="B16" s="4" t="str">
        <f>"camp_res_name_"&amp;$A16</f>
        <v>camp_res_name_6127</v>
      </c>
      <c r="C16" s="5" t="s">
        <v>94</v>
      </c>
      <c r="D16" s="4" t="str">
        <f>"camp_res_icon_"&amp;$A16</f>
        <v>camp_res_icon_6127</v>
      </c>
    </row>
    <row r="17" spans="1:4" x14ac:dyDescent="0.2">
      <c r="A17" s="4">
        <v>6128</v>
      </c>
      <c r="B17" s="4" t="str">
        <f>"camp_res_name_"&amp;$A17</f>
        <v>camp_res_name_6128</v>
      </c>
      <c r="C17" s="5" t="s">
        <v>95</v>
      </c>
      <c r="D17" s="4" t="str">
        <f>"camp_res_icon_"&amp;$A17</f>
        <v>camp_res_icon_6128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5371-7EA1-4240-8E76-38836331E248}">
  <dimension ref="A1:H13"/>
  <sheetViews>
    <sheetView workbookViewId="0">
      <selection activeCell="G36" sqref="G36"/>
    </sheetView>
  </sheetViews>
  <sheetFormatPr defaultColWidth="12.5" defaultRowHeight="14.25" x14ac:dyDescent="0.2"/>
  <cols>
    <col min="1" max="16384" width="12.5" style="21"/>
  </cols>
  <sheetData>
    <row r="1" spans="1:8" s="19" customFormat="1" x14ac:dyDescent="0.2">
      <c r="A1" s="19" t="s">
        <v>98</v>
      </c>
      <c r="B1" s="19" t="s">
        <v>99</v>
      </c>
      <c r="C1" s="19" t="s">
        <v>100</v>
      </c>
      <c r="D1" s="19" t="s">
        <v>101</v>
      </c>
      <c r="E1" s="19" t="s">
        <v>102</v>
      </c>
      <c r="F1" s="19" t="s">
        <v>103</v>
      </c>
      <c r="G1" s="20"/>
      <c r="H1" s="20"/>
    </row>
    <row r="2" spans="1:8" x14ac:dyDescent="0.2">
      <c r="A2" s="52" t="s">
        <v>107</v>
      </c>
      <c r="B2" s="52"/>
      <c r="C2" s="52" t="s">
        <v>104</v>
      </c>
      <c r="D2" s="52"/>
      <c r="E2" s="52" t="s">
        <v>105</v>
      </c>
      <c r="F2" s="52"/>
    </row>
    <row r="3" spans="1:8" x14ac:dyDescent="0.2">
      <c r="C3" s="52" t="s">
        <v>113</v>
      </c>
      <c r="D3" s="52"/>
    </row>
    <row r="4" spans="1:8" x14ac:dyDescent="0.2">
      <c r="C4" s="52" t="s">
        <v>114</v>
      </c>
      <c r="D4" s="52"/>
    </row>
    <row r="5" spans="1:8" x14ac:dyDescent="0.2">
      <c r="C5" s="52" t="s">
        <v>106</v>
      </c>
      <c r="D5" s="52"/>
    </row>
    <row r="11" spans="1:8" s="19" customFormat="1" x14ac:dyDescent="0.2">
      <c r="A11" s="19" t="s">
        <v>98</v>
      </c>
      <c r="B11" s="19" t="s">
        <v>99</v>
      </c>
      <c r="C11" s="19" t="s">
        <v>100</v>
      </c>
      <c r="D11" s="19" t="s">
        <v>101</v>
      </c>
      <c r="E11" s="20"/>
      <c r="F11" s="20"/>
      <c r="G11" s="20"/>
      <c r="H11" s="20"/>
    </row>
    <row r="12" spans="1:8" x14ac:dyDescent="0.2">
      <c r="A12" s="52" t="s">
        <v>108</v>
      </c>
      <c r="B12" s="52"/>
      <c r="C12" s="21" t="s">
        <v>110</v>
      </c>
      <c r="D12" s="21" t="s">
        <v>112</v>
      </c>
    </row>
    <row r="13" spans="1:8" x14ac:dyDescent="0.2">
      <c r="C13" s="21" t="s">
        <v>109</v>
      </c>
      <c r="D13" s="21" t="s">
        <v>111</v>
      </c>
    </row>
  </sheetData>
  <mergeCells count="7">
    <mergeCell ref="C5:D5"/>
    <mergeCell ref="A12:B12"/>
    <mergeCell ref="A2:B2"/>
    <mergeCell ref="C2:D2"/>
    <mergeCell ref="E2:F2"/>
    <mergeCell ref="C3:D3"/>
    <mergeCell ref="C4:D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loot</vt:lpstr>
      <vt:lpstr>camp_coin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2025-12-23T06:36:23Z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2052-12.1.0.22529</vt:lpwstr>
  </property>
</Properties>
</file>