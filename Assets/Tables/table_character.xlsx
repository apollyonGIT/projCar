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E11BCEFA-44FD-41AF-9D7C-488ACB08CE7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ole" sheetId="3" r:id="rId1"/>
    <sheet name="properties" sheetId="5" r:id="rId2"/>
    <sheet name="-id 配置说明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/>
  <c r="F29" i="5"/>
  <c r="G29" i="5" a="1"/>
  <c r="G29" i="5" s="1"/>
  <c r="F60" i="5" l="1"/>
  <c r="F61" i="5"/>
  <c r="F62" i="5"/>
  <c r="F63" i="5"/>
  <c r="F64" i="5"/>
  <c r="F65" i="5"/>
  <c r="F66" i="5"/>
  <c r="F67" i="5"/>
  <c r="F68" i="5"/>
  <c r="F69" i="5"/>
  <c r="F71" i="5"/>
  <c r="F72" i="5"/>
  <c r="F73" i="5"/>
  <c r="F74" i="5"/>
  <c r="F75" i="5"/>
  <c r="F76" i="5"/>
  <c r="F77" i="5"/>
  <c r="F78" i="5"/>
  <c r="F79" i="5"/>
  <c r="F59" i="5"/>
  <c r="B75" i="5"/>
  <c r="B76" i="5"/>
  <c r="B77" i="5"/>
  <c r="B78" i="5"/>
  <c r="B79" i="5"/>
  <c r="B74" i="5"/>
  <c r="B73" i="5"/>
  <c r="B72" i="5"/>
  <c r="B71" i="5"/>
  <c r="B60" i="5"/>
  <c r="B61" i="5"/>
  <c r="B62" i="5"/>
  <c r="B63" i="5"/>
  <c r="B64" i="5"/>
  <c r="B65" i="5"/>
  <c r="B66" i="5"/>
  <c r="B67" i="5"/>
  <c r="B68" i="5"/>
  <c r="B69" i="5"/>
  <c r="B59" i="5"/>
  <c r="M5" i="3" l="1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M17" i="3" a="1"/>
  <c r="M17" i="3" s="1"/>
  <c r="M18" i="3" a="1"/>
  <c r="M18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4" i="3" a="1"/>
  <c r="M4" i="3" s="1"/>
  <c r="K33" i="3" a="1"/>
  <c r="K33" i="3"/>
  <c r="K34" i="3" a="1"/>
  <c r="K34" i="3" s="1"/>
  <c r="K35" i="3" a="1"/>
  <c r="K35" i="3"/>
  <c r="K36" i="3" a="1"/>
  <c r="K36" i="3" s="1"/>
  <c r="K37" i="3" a="1"/>
  <c r="K37" i="3"/>
  <c r="K32" i="3" a="1"/>
  <c r="K32" i="3" s="1"/>
  <c r="K30" i="3" a="1"/>
  <c r="K30" i="3" s="1"/>
  <c r="K28" i="3" a="1"/>
  <c r="K28" i="3" s="1"/>
  <c r="K27" i="3" a="1"/>
  <c r="K27" i="3" s="1"/>
  <c r="K26" i="3"/>
  <c r="K26" i="3" a="1"/>
  <c r="K25" i="3"/>
  <c r="K25" i="3" a="1"/>
  <c r="K19" i="3" a="1"/>
  <c r="K19" i="3" s="1"/>
  <c r="K20" i="3" a="1"/>
  <c r="K20" i="3" s="1"/>
  <c r="K21" i="3" a="1"/>
  <c r="K21" i="3"/>
  <c r="K22" i="3" a="1"/>
  <c r="K22" i="3" s="1"/>
  <c r="K23" i="3" a="1"/>
  <c r="K23" i="3" s="1"/>
  <c r="K18" i="3" a="1"/>
  <c r="K18" i="3" s="1"/>
  <c r="K17" i="3" a="1"/>
  <c r="K17" i="3" s="1"/>
  <c r="K16" i="3"/>
  <c r="K16" i="3" a="1"/>
  <c r="K15" i="3"/>
  <c r="K15" i="3" a="1"/>
  <c r="K14" i="3" a="1"/>
  <c r="K14" i="3" s="1"/>
  <c r="K13" i="3" a="1"/>
  <c r="K13" i="3" s="1"/>
  <c r="K12" i="3"/>
  <c r="K12" i="3" a="1"/>
  <c r="K5" i="3" a="1"/>
  <c r="K5" i="3"/>
  <c r="K6" i="3" a="1"/>
  <c r="K6" i="3"/>
  <c r="K7" i="3" a="1"/>
  <c r="K7" i="3" s="1"/>
  <c r="K8" i="3" a="1"/>
  <c r="K8" i="3" s="1"/>
  <c r="K9" i="3" a="1"/>
  <c r="K9" i="3"/>
  <c r="K10" i="3" a="1"/>
  <c r="K10" i="3"/>
  <c r="K4" i="3" a="1"/>
  <c r="K4" i="3" s="1"/>
  <c r="J28" i="3"/>
  <c r="J27" i="3"/>
  <c r="J26" i="3"/>
  <c r="J25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5" i="3"/>
  <c r="F26" i="3"/>
  <c r="F27" i="3"/>
  <c r="F28" i="3"/>
  <c r="F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5" i="3"/>
  <c r="G26" i="3"/>
  <c r="G27" i="3"/>
  <c r="G28" i="3"/>
  <c r="G4" i="3"/>
  <c r="E4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N32" i="3"/>
  <c r="N33" i="3"/>
  <c r="N34" i="3"/>
  <c r="N35" i="3"/>
  <c r="N36" i="3"/>
  <c r="N37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5" i="3"/>
  <c r="N26" i="3"/>
  <c r="N27" i="3"/>
  <c r="N28" i="3"/>
  <c r="N30" i="3"/>
  <c r="N31" i="3"/>
  <c r="N4" i="3"/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5" i="3"/>
  <c r="B26" i="3"/>
  <c r="B27" i="3"/>
  <c r="B28" i="3"/>
  <c r="B30" i="3"/>
  <c r="B31" i="3"/>
  <c r="B32" i="3"/>
  <c r="B33" i="3"/>
  <c r="B34" i="3"/>
  <c r="B35" i="3"/>
  <c r="B36" i="3"/>
  <c r="B37" i="3"/>
  <c r="B4" i="3"/>
  <c r="E7" i="3"/>
  <c r="E6" i="3"/>
  <c r="E5" i="3"/>
  <c r="G5" i="5" a="1"/>
  <c r="G5" i="5" s="1"/>
  <c r="G6" i="5" a="1"/>
  <c r="G6" i="5" s="1"/>
  <c r="G7" i="5" a="1"/>
  <c r="G7" i="5" s="1"/>
  <c r="G8" i="5" a="1"/>
  <c r="G8" i="5" s="1"/>
  <c r="G9" i="5" a="1"/>
  <c r="G9" i="5" s="1"/>
  <c r="G10" i="5" a="1"/>
  <c r="G10" i="5" s="1"/>
  <c r="G11" i="5" a="1"/>
  <c r="G11" i="5" s="1"/>
  <c r="G12" i="5" a="1"/>
  <c r="G12" i="5" s="1"/>
  <c r="G13" i="5" a="1"/>
  <c r="G13" i="5" s="1"/>
  <c r="G14" i="5" a="1"/>
  <c r="G14" i="5" s="1"/>
  <c r="G15" i="5" a="1"/>
  <c r="G15" i="5" s="1"/>
  <c r="G16" i="5" a="1"/>
  <c r="G16" i="5" s="1"/>
  <c r="G17" i="5" a="1"/>
  <c r="G17" i="5" s="1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23" i="5" a="1"/>
  <c r="G23" i="5" s="1"/>
  <c r="G24" i="5" a="1"/>
  <c r="G24" i="5" s="1"/>
  <c r="G25" i="5" a="1"/>
  <c r="G25" i="5" s="1"/>
  <c r="G26" i="5" a="1"/>
  <c r="G26" i="5" s="1"/>
  <c r="G27" i="5" a="1"/>
  <c r="G27" i="5" s="1"/>
  <c r="G28" i="5" a="1"/>
  <c r="G28" i="5" s="1"/>
  <c r="G30" i="5" a="1"/>
  <c r="G30" i="5" s="1"/>
  <c r="G31" i="5" a="1"/>
  <c r="G31" i="5" s="1"/>
  <c r="G32" i="5" a="1"/>
  <c r="G32" i="5" s="1"/>
  <c r="G33" i="5" a="1"/>
  <c r="G33" i="5" s="1"/>
  <c r="G34" i="5" a="1"/>
  <c r="G34" i="5" s="1"/>
  <c r="G35" i="5" a="1"/>
  <c r="G35" i="5" s="1"/>
  <c r="G36" i="5" a="1"/>
  <c r="G36" i="5" s="1"/>
  <c r="G37" i="5" a="1"/>
  <c r="G37" i="5" s="1"/>
  <c r="G38" i="5" a="1"/>
  <c r="G38" i="5" s="1"/>
  <c r="G39" i="5" a="1"/>
  <c r="G39" i="5" s="1"/>
  <c r="G40" i="5" a="1"/>
  <c r="G40" i="5" s="1"/>
  <c r="G41" i="5" a="1"/>
  <c r="G41" i="5" s="1"/>
  <c r="G42" i="5" a="1"/>
  <c r="G42" i="5" s="1"/>
  <c r="G43" i="5" a="1"/>
  <c r="G43" i="5" s="1"/>
  <c r="G44" i="5" a="1"/>
  <c r="G44" i="5" s="1"/>
  <c r="G45" i="5" a="1"/>
  <c r="G45" i="5" s="1"/>
  <c r="G46" i="5" a="1"/>
  <c r="G46" i="5" s="1"/>
  <c r="G47" i="5" a="1"/>
  <c r="G47" i="5" s="1"/>
  <c r="G48" i="5" a="1"/>
  <c r="G48" i="5" s="1"/>
  <c r="G49" i="5" a="1"/>
  <c r="G49" i="5" s="1"/>
  <c r="G50" i="5" a="1"/>
  <c r="G50" i="5" s="1"/>
  <c r="G54" i="5" a="1"/>
  <c r="G54" i="5" s="1"/>
  <c r="G4" i="5" a="1"/>
  <c r="G4" i="5" s="1"/>
  <c r="B4" i="5" l="1"/>
  <c r="I53" i="5"/>
  <c r="G53" i="5" s="1" a="1"/>
  <c r="G53" i="5" s="1"/>
  <c r="I52" i="5"/>
  <c r="G52" i="5" s="1" a="1"/>
  <c r="G52" i="5" s="1"/>
  <c r="I51" i="5"/>
  <c r="G51" i="5" s="1" a="1"/>
  <c r="G51" i="5" s="1"/>
  <c r="F53" i="5"/>
  <c r="B53" i="5"/>
  <c r="F52" i="5"/>
  <c r="B52" i="5"/>
  <c r="F51" i="5"/>
  <c r="B51" i="5"/>
  <c r="F49" i="5"/>
  <c r="B49" i="5"/>
  <c r="F48" i="5"/>
  <c r="B48" i="5"/>
  <c r="F47" i="5"/>
  <c r="B47" i="5"/>
  <c r="F45" i="5"/>
  <c r="B45" i="5"/>
  <c r="F44" i="5"/>
  <c r="B44" i="5"/>
  <c r="F43" i="5"/>
  <c r="B43" i="5"/>
  <c r="F41" i="5"/>
  <c r="B41" i="5"/>
  <c r="F40" i="5"/>
  <c r="B40" i="5"/>
  <c r="F39" i="5"/>
  <c r="B39" i="5"/>
  <c r="F37" i="5"/>
  <c r="B37" i="5"/>
  <c r="F36" i="5"/>
  <c r="B36" i="5"/>
  <c r="F35" i="5"/>
  <c r="B35" i="5"/>
  <c r="F33" i="5"/>
  <c r="B33" i="5"/>
  <c r="F32" i="5"/>
  <c r="B32" i="5"/>
  <c r="F31" i="5"/>
  <c r="B31" i="5"/>
  <c r="F28" i="5"/>
  <c r="B28" i="5"/>
  <c r="B19" i="5" l="1"/>
  <c r="F19" i="5"/>
  <c r="B20" i="5"/>
  <c r="F20" i="5"/>
  <c r="B22" i="5"/>
  <c r="F22" i="5"/>
  <c r="B23" i="5"/>
  <c r="F23" i="5"/>
  <c r="B25" i="5"/>
  <c r="F25" i="5"/>
  <c r="B26" i="5"/>
  <c r="F26" i="5"/>
  <c r="F17" i="5"/>
  <c r="B17" i="5"/>
  <c r="F16" i="5"/>
  <c r="B16" i="5"/>
  <c r="F15" i="5"/>
  <c r="B15" i="5"/>
  <c r="F13" i="5"/>
  <c r="F12" i="5"/>
  <c r="F11" i="5"/>
  <c r="F10" i="5"/>
  <c r="B13" i="5"/>
  <c r="B12" i="5"/>
  <c r="B11" i="5"/>
  <c r="B10" i="5"/>
  <c r="F8" i="5" l="1"/>
  <c r="B8" i="5"/>
  <c r="F7" i="5"/>
  <c r="B7" i="5"/>
  <c r="F6" i="5" l="1"/>
  <c r="B6" i="5"/>
  <c r="F5" i="5"/>
  <c r="B5" i="5"/>
  <c r="F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<sst xmlns="http://schemas.openxmlformats.org/spreadsheetml/2006/main" count="378" uniqueCount="292">
  <si>
    <t>id</t>
  </si>
  <si>
    <t>properties</t>
  </si>
  <si>
    <t>uint key</t>
  </si>
  <si>
    <t>string</t>
  </si>
  <si>
    <t>uint[]</t>
  </si>
  <si>
    <r>
      <rPr>
        <b/>
        <sz val="11"/>
        <color theme="1"/>
        <rFont val="等线"/>
        <family val="3"/>
        <charset val="134"/>
        <scheme val="minor"/>
      </rPr>
      <t>人物名称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localization表id</t>
    </r>
  </si>
  <si>
    <t>防暴队员</t>
  </si>
  <si>
    <t>rank</t>
  </si>
  <si>
    <t>negative</t>
  </si>
  <si>
    <t>int</t>
  </si>
  <si>
    <t>bool</t>
  </si>
  <si>
    <r>
      <rPr>
        <b/>
        <sz val="11"/>
        <color theme="1"/>
        <rFont val="等线"/>
        <family val="3"/>
        <charset val="134"/>
        <scheme val="minor"/>
      </rPr>
      <t>词条名称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localization表id</t>
    </r>
  </si>
  <si>
    <t>词条等级</t>
  </si>
  <si>
    <t>负面特性</t>
  </si>
  <si>
    <r>
      <rPr>
        <b/>
        <sz val="11"/>
        <color theme="1"/>
        <rFont val="等线"/>
        <family val="3"/>
        <charset val="134"/>
        <scheme val="minor"/>
      </rPr>
      <t>词条描述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localization表id</t>
    </r>
  </si>
  <si>
    <t>职业杀手</t>
  </si>
  <si>
    <t>猎人</t>
  </si>
  <si>
    <t>脚本</t>
    <phoneticPr fontId="7" type="noConversion"/>
  </si>
  <si>
    <t>string</t>
    <phoneticPr fontId="7" type="noConversion"/>
  </si>
  <si>
    <t>script</t>
    <phoneticPr fontId="7" type="noConversion"/>
  </si>
  <si>
    <t>int[]</t>
    <phoneticPr fontId="7" type="noConversion"/>
  </si>
  <si>
    <t>int_parms</t>
    <phoneticPr fontId="7" type="noConversion"/>
  </si>
  <si>
    <t>CP_Device_Skilled</t>
    <phoneticPr fontId="7" type="noConversion"/>
  </si>
  <si>
    <t>第1位</t>
  </si>
  <si>
    <t>第2位</t>
  </si>
  <si>
    <t>第3位</t>
  </si>
  <si>
    <t>第4位</t>
  </si>
  <si>
    <t>第5位</t>
  </si>
  <si>
    <t>第6位</t>
  </si>
  <si>
    <t>第7位</t>
  </si>
  <si>
    <t>16 = properties</t>
    <phoneticPr fontId="12" type="noConversion"/>
  </si>
  <si>
    <t>15 = role</t>
    <phoneticPr fontId="12" type="noConversion"/>
  </si>
  <si>
    <t>9 = 特殊词条</t>
    <phoneticPr fontId="12" type="noConversion"/>
  </si>
  <si>
    <t>03 = 设备禁用</t>
    <phoneticPr fontId="12" type="noConversion"/>
  </si>
  <si>
    <t>04 = 杀敌心情修正</t>
    <phoneticPr fontId="12" type="noConversion"/>
  </si>
  <si>
    <t>01~99 编号</t>
    <phoneticPr fontId="12" type="noConversion"/>
  </si>
  <si>
    <t>0 = 前期测试</t>
    <phoneticPr fontId="12" type="noConversion"/>
  </si>
  <si>
    <t>手枪</t>
  </si>
  <si>
    <t>备注2</t>
    <phoneticPr fontId="7" type="noConversion"/>
  </si>
  <si>
    <t>备注
词条名称</t>
    <phoneticPr fontId="7" type="noConversion"/>
  </si>
  <si>
    <t>vlookup</t>
    <phoneticPr fontId="12" type="noConversion"/>
  </si>
  <si>
    <t>CP_Device_Skilled</t>
    <phoneticPr fontId="12" type="noConversion"/>
  </si>
  <si>
    <t>车轮</t>
  </si>
  <si>
    <t>近战武器</t>
  </si>
  <si>
    <t>刀剑</t>
  </si>
  <si>
    <t>长矛</t>
  </si>
  <si>
    <t>棍棒</t>
  </si>
  <si>
    <t>斧钺</t>
  </si>
  <si>
    <t>远程武器</t>
  </si>
  <si>
    <t>枪械</t>
  </si>
  <si>
    <t>霰弹枪</t>
  </si>
  <si>
    <t>大型枪械</t>
  </si>
  <si>
    <t>弓箭</t>
  </si>
  <si>
    <t>弩</t>
  </si>
  <si>
    <t>独特设备</t>
  </si>
  <si>
    <t>盾牌</t>
  </si>
  <si>
    <t>钩索</t>
  </si>
  <si>
    <t>撞角</t>
  </si>
  <si>
    <t>冷兵器</t>
  </si>
  <si>
    <t>tag_id</t>
    <phoneticPr fontId="12" type="noConversion"/>
  </si>
  <si>
    <t>tag_name</t>
    <phoneticPr fontId="12" type="noConversion"/>
  </si>
  <si>
    <t>近战武器大师</t>
    <phoneticPr fontId="7" type="noConversion"/>
  </si>
  <si>
    <t>远程武器大师</t>
    <phoneticPr fontId="7" type="noConversion"/>
  </si>
  <si>
    <t>float_parms</t>
    <phoneticPr fontId="7" type="noConversion"/>
  </si>
  <si>
    <t>float[]</t>
    <phoneticPr fontId="7" type="noConversion"/>
  </si>
  <si>
    <t>参数列表
int</t>
    <phoneticPr fontId="7" type="noConversion"/>
  </si>
  <si>
    <t>参数列表
float</t>
    <phoneticPr fontId="7" type="noConversion"/>
  </si>
  <si>
    <t>棍棒笨拙</t>
  </si>
  <si>
    <t>刀剑笨拙</t>
  </si>
  <si>
    <t>长矛笨拙</t>
  </si>
  <si>
    <t>斧钺笨拙</t>
  </si>
  <si>
    <t>长矛白痴</t>
  </si>
  <si>
    <t>棍棒白痴</t>
  </si>
  <si>
    <t>刀剑白痴</t>
  </si>
  <si>
    <t>CP_Device_Disabled</t>
    <phoneticPr fontId="7" type="noConversion"/>
  </si>
  <si>
    <t>CP_Device_Disabled</t>
    <phoneticPr fontId="12" type="noConversion"/>
  </si>
  <si>
    <t>01 = 设备熟练度</t>
    <phoneticPr fontId="12" type="noConversion"/>
  </si>
  <si>
    <t>02 = 设备熟练度（负修正）</t>
    <phoneticPr fontId="12" type="noConversion"/>
  </si>
  <si>
    <r>
      <t xml:space="preserve">固有人物特性
</t>
    </r>
    <r>
      <rPr>
        <i/>
        <sz val="11"/>
        <color theme="1"/>
        <rFont val="等线"/>
        <family val="3"/>
        <charset val="134"/>
        <scheme val="minor"/>
      </rPr>
      <t>基础特性</t>
    </r>
    <phoneticPr fontId="12" type="noConversion"/>
  </si>
  <si>
    <t>0001~9999 编号</t>
    <phoneticPr fontId="12" type="noConversion"/>
  </si>
  <si>
    <t>name</t>
    <phoneticPr fontId="7" type="noConversion"/>
  </si>
  <si>
    <t>desc</t>
    <phoneticPr fontId="7" type="noConversion"/>
  </si>
  <si>
    <t>properties_rnd</t>
    <phoneticPr fontId="12" type="noConversion"/>
  </si>
  <si>
    <t>properties_num</t>
    <phoneticPr fontId="12" type="noConversion"/>
  </si>
  <si>
    <t>portrait_small</t>
    <phoneticPr fontId="12" type="noConversion"/>
  </si>
  <si>
    <r>
      <rPr>
        <b/>
        <sz val="11"/>
        <color theme="1"/>
        <rFont val="等线"/>
        <family val="3"/>
        <charset val="134"/>
        <scheme val="minor"/>
      </rPr>
      <t>人物头像 小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配置资源包名称
出现在设备工位上</t>
    </r>
    <phoneticPr fontId="12" type="noConversion"/>
  </si>
  <si>
    <t>name</t>
    <phoneticPr fontId="12" type="noConversion"/>
  </si>
  <si>
    <t>string</t>
    <phoneticPr fontId="12" type="noConversion"/>
  </si>
  <si>
    <t>备注1
名称</t>
    <phoneticPr fontId="12" type="noConversion"/>
  </si>
  <si>
    <t>uint[]</t>
    <phoneticPr fontId="12" type="noConversion"/>
  </si>
  <si>
    <r>
      <t xml:space="preserve">随机特性 池
</t>
    </r>
    <r>
      <rPr>
        <i/>
        <sz val="11"/>
        <color theme="1"/>
        <rFont val="等线"/>
        <family val="3"/>
        <charset val="134"/>
        <scheme val="minor"/>
      </rPr>
      <t>随机特性</t>
    </r>
    <phoneticPr fontId="12" type="noConversion"/>
  </si>
  <si>
    <t>和平主义者</t>
    <phoneticPr fontId="7" type="noConversion"/>
  </si>
  <si>
    <t>暴力狂</t>
    <phoneticPr fontId="7" type="noConversion"/>
  </si>
  <si>
    <t>CP_Mood_After_Killing</t>
    <phoneticPr fontId="7" type="noConversion"/>
  </si>
  <si>
    <t>CP_Mood_After_Killing</t>
    <phoneticPr fontId="12" type="noConversion"/>
  </si>
  <si>
    <t>CP_Mood_After_Working</t>
  </si>
  <si>
    <t>CP_Mood_After_Working</t>
    <phoneticPr fontId="12" type="noConversion"/>
  </si>
  <si>
    <t>CP_Mood_After_Resting</t>
    <phoneticPr fontId="12" type="noConversion"/>
  </si>
  <si>
    <t>05 = 工作心情修正</t>
    <phoneticPr fontId="12" type="noConversion"/>
  </si>
  <si>
    <t>06 = 休息心情修正</t>
    <phoneticPr fontId="12" type="noConversion"/>
  </si>
  <si>
    <t>CP_Big_Eater</t>
    <phoneticPr fontId="12" type="noConversion"/>
  </si>
  <si>
    <t>CP_Food_Saver</t>
    <phoneticPr fontId="12" type="noConversion"/>
  </si>
  <si>
    <t>10 = 高速代谢</t>
    <phoneticPr fontId="12" type="noConversion"/>
  </si>
  <si>
    <t>11 = 慢速代谢</t>
    <phoneticPr fontId="12" type="noConversion"/>
  </si>
  <si>
    <t>12 = 极慢代谢</t>
    <phoneticPr fontId="12" type="noConversion"/>
  </si>
  <si>
    <t>20 = 孤僻症</t>
    <phoneticPr fontId="12" type="noConversion"/>
  </si>
  <si>
    <t>21 = 社牛</t>
    <phoneticPr fontId="12" type="noConversion"/>
  </si>
  <si>
    <t>CP_Metabolism_Fast</t>
    <phoneticPr fontId="12" type="noConversion"/>
  </si>
  <si>
    <t>CP_Metabolism_Slow</t>
    <phoneticPr fontId="12" type="noConversion"/>
  </si>
  <si>
    <t>CP_Metabolism_None</t>
    <phoneticPr fontId="12" type="noConversion"/>
  </si>
  <si>
    <t>CP_Social_Phobia</t>
    <phoneticPr fontId="12" type="noConversion"/>
  </si>
  <si>
    <t>CP_Gregarious</t>
    <phoneticPr fontId="12" type="noConversion"/>
  </si>
  <si>
    <t>度假爱好者</t>
  </si>
  <si>
    <t>充满干劲</t>
  </si>
  <si>
    <t>怠惰</t>
  </si>
  <si>
    <t>习惯工作</t>
  </si>
  <si>
    <t>CP_Mood_After_Resting</t>
    <phoneticPr fontId="7" type="noConversion"/>
  </si>
  <si>
    <t>CP_Big_Eater</t>
    <phoneticPr fontId="7" type="noConversion"/>
  </si>
  <si>
    <t>节约食物</t>
    <phoneticPr fontId="7" type="noConversion"/>
  </si>
  <si>
    <t>节约食物 2</t>
    <phoneticPr fontId="7" type="noConversion"/>
  </si>
  <si>
    <t>节约食物 3</t>
    <phoneticPr fontId="7" type="noConversion"/>
  </si>
  <si>
    <t>CP_Food_Saver</t>
    <phoneticPr fontId="7" type="noConversion"/>
  </si>
  <si>
    <t>高速代谢</t>
    <phoneticPr fontId="7" type="noConversion"/>
  </si>
  <si>
    <t>高速代谢 2</t>
    <phoneticPr fontId="7" type="noConversion"/>
  </si>
  <si>
    <t>高速代谢 3</t>
    <phoneticPr fontId="7" type="noConversion"/>
  </si>
  <si>
    <t>CP_Metabolism_Fast</t>
    <phoneticPr fontId="7" type="noConversion"/>
  </si>
  <si>
    <t>CP_Metabolism_Slow</t>
    <phoneticPr fontId="7" type="noConversion"/>
  </si>
  <si>
    <t>慢速代谢</t>
    <phoneticPr fontId="7" type="noConversion"/>
  </si>
  <si>
    <t>慢速代谢 2</t>
    <phoneticPr fontId="7" type="noConversion"/>
  </si>
  <si>
    <t>慢速代谢 3</t>
    <phoneticPr fontId="7" type="noConversion"/>
  </si>
  <si>
    <t>极慢代谢</t>
    <phoneticPr fontId="7" type="noConversion"/>
  </si>
  <si>
    <t>极慢代谢 2</t>
    <phoneticPr fontId="7" type="noConversion"/>
  </si>
  <si>
    <t>极慢代谢 3</t>
    <phoneticPr fontId="7" type="noConversion"/>
  </si>
  <si>
    <t>CP_Metabolism_None</t>
    <phoneticPr fontId="7" type="noConversion"/>
  </si>
  <si>
    <t>孤僻症</t>
    <phoneticPr fontId="7" type="noConversion"/>
  </si>
  <si>
    <t>孤僻症 2</t>
    <phoneticPr fontId="7" type="noConversion"/>
  </si>
  <si>
    <t>孤僻症 3</t>
    <phoneticPr fontId="7" type="noConversion"/>
  </si>
  <si>
    <t>CP_Social_Phobia</t>
    <phoneticPr fontId="7" type="noConversion"/>
  </si>
  <si>
    <t>15;15;-20;-10</t>
    <phoneticPr fontId="7" type="noConversion"/>
  </si>
  <si>
    <t>社交爱好者</t>
    <phoneticPr fontId="7" type="noConversion"/>
  </si>
  <si>
    <t>社交爱好者 2</t>
    <phoneticPr fontId="7" type="noConversion"/>
  </si>
  <si>
    <t>社交爱好者 3</t>
    <phoneticPr fontId="7" type="noConversion"/>
  </si>
  <si>
    <t>CP_Gregarious</t>
    <phoneticPr fontId="7" type="noConversion"/>
  </si>
  <si>
    <t>07 = 饭桶</t>
    <phoneticPr fontId="12" type="noConversion"/>
  </si>
  <si>
    <t>饭桶</t>
    <phoneticPr fontId="7" type="noConversion"/>
  </si>
  <si>
    <t>超级饭桶</t>
    <phoneticPr fontId="7" type="noConversion"/>
  </si>
  <si>
    <t>08 = 节约食物</t>
    <phoneticPr fontId="12" type="noConversion"/>
  </si>
  <si>
    <t>(int,int)</t>
    <phoneticPr fontId="12" type="noConversion"/>
  </si>
  <si>
    <r>
      <t xml:space="preserve">随机特性 数量
</t>
    </r>
    <r>
      <rPr>
        <i/>
        <sz val="11"/>
        <color theme="1"/>
        <rFont val="等线"/>
        <family val="3"/>
        <charset val="134"/>
        <scheme val="minor"/>
      </rPr>
      <t>[min, max]</t>
    </r>
    <phoneticPr fontId="12" type="noConversion"/>
  </si>
  <si>
    <t>Hero?</t>
    <phoneticPr fontId="12" type="noConversion"/>
  </si>
  <si>
    <t>热兵器</t>
  </si>
  <si>
    <t>1420102;1420221</t>
  </si>
  <si>
    <t>1420212;1420400</t>
  </si>
  <si>
    <t>阿比盖尔</t>
  </si>
  <si>
    <t>阿飞</t>
  </si>
  <si>
    <t>雷锵锵</t>
  </si>
  <si>
    <t>响当当</t>
  </si>
  <si>
    <t>漆雕婵</t>
  </si>
  <si>
    <t>漆雕墩</t>
  </si>
  <si>
    <t>工头</t>
  </si>
  <si>
    <t>小绿人</t>
  </si>
  <si>
    <t>搞事</t>
  </si>
  <si>
    <t>小敏</t>
  </si>
  <si>
    <t>王亨利</t>
  </si>
  <si>
    <t>凯文</t>
  </si>
  <si>
    <t>村民</t>
  </si>
  <si>
    <t>爽爽</t>
  </si>
  <si>
    <t>古神</t>
  </si>
  <si>
    <t>鲁卡提耶</t>
  </si>
  <si>
    <t>帕奇</t>
  </si>
  <si>
    <t>呆呆兽</t>
  </si>
  <si>
    <t>蟹bro拟人</t>
  </si>
  <si>
    <t>艾米丽</t>
  </si>
  <si>
    <t>原创妹妹一</t>
  </si>
  <si>
    <t>原创妹妹二</t>
  </si>
  <si>
    <t>原创妹妹三</t>
  </si>
  <si>
    <t>原创妹妹四</t>
  </si>
  <si>
    <t>地宫特殊npc</t>
  </si>
  <si>
    <t>天空特殊npc</t>
  </si>
  <si>
    <t>密林特殊npc</t>
  </si>
  <si>
    <t>树梢特殊npc</t>
  </si>
  <si>
    <t>田野特殊npc</t>
  </si>
  <si>
    <t>永夜特殊npc</t>
  </si>
  <si>
    <t>沙漠特殊npc</t>
  </si>
  <si>
    <t>大湖特殊npc</t>
  </si>
  <si>
    <t>1 = 英雄版本</t>
    <phoneticPr fontId="12" type="noConversion"/>
  </si>
  <si>
    <t>namecard_hero[namecard-hero_2]</t>
  </si>
  <si>
    <t>base_value</t>
    <phoneticPr fontId="12" type="noConversion"/>
  </si>
  <si>
    <t>int</t>
    <phoneticPr fontId="12" type="noConversion"/>
  </si>
  <si>
    <t>基础价格</t>
    <phoneticPr fontId="12" type="noConversion"/>
  </si>
  <si>
    <t>illustration_big</t>
    <phoneticPr fontId="12" type="noConversion"/>
  </si>
  <si>
    <t>illustration_small</t>
    <phoneticPr fontId="12" type="noConversion"/>
  </si>
  <si>
    <t>string</t>
    <phoneticPr fontId="12" type="noConversion"/>
  </si>
  <si>
    <t>人物立绘 大</t>
    <phoneticPr fontId="12" type="noConversion"/>
  </si>
  <si>
    <r>
      <t xml:space="preserve">人物立绘 小
</t>
    </r>
    <r>
      <rPr>
        <i/>
        <sz val="10"/>
        <color theme="1"/>
        <rFont val="等线"/>
        <family val="3"/>
        <charset val="134"/>
        <scheme val="minor"/>
      </rPr>
      <t>会出现在商店中</t>
    </r>
    <phoneticPr fontId="12" type="noConversion"/>
  </si>
  <si>
    <t>coma_g</t>
    <phoneticPr fontId="12" type="noConversion"/>
  </si>
  <si>
    <t>float</t>
    <phoneticPr fontId="12" type="noConversion"/>
  </si>
  <si>
    <r>
      <t xml:space="preserve">过载阈值
</t>
    </r>
    <r>
      <rPr>
        <i/>
        <sz val="10"/>
        <color theme="1"/>
        <rFont val="等线"/>
        <family val="3"/>
        <charset val="134"/>
        <scheme val="minor"/>
      </rPr>
      <t>用于摇摆昏迷</t>
    </r>
    <phoneticPr fontId="12" type="noConversion"/>
  </si>
  <si>
    <r>
      <t xml:space="preserve">英雄营帐-立绘-已解锁角色
</t>
    </r>
    <r>
      <rPr>
        <i/>
        <sz val="10"/>
        <color theme="1"/>
        <rFont val="等线"/>
        <family val="3"/>
        <charset val="134"/>
        <scheme val="minor"/>
      </rPr>
      <t>会出现在商店中</t>
    </r>
    <phoneticPr fontId="12" type="noConversion"/>
  </si>
  <si>
    <t>辅助列
图集
index</t>
    <phoneticPr fontId="12" type="noConversion"/>
  </si>
  <si>
    <t>UI_Shop_Illustration_viewed</t>
    <phoneticPr fontId="12" type="noConversion"/>
  </si>
  <si>
    <t>0 = 炮灰版本</t>
    <phoneticPr fontId="12" type="noConversion"/>
  </si>
  <si>
    <t>CP_Empty</t>
    <phoneticPr fontId="12" type="noConversion"/>
  </si>
  <si>
    <t>英雄版本</t>
    <phoneticPr fontId="7" type="noConversion"/>
  </si>
  <si>
    <t>CP_Empty</t>
    <phoneticPr fontId="7" type="noConversion"/>
  </si>
  <si>
    <t>string[]</t>
    <phoneticPr fontId="12" type="noConversion"/>
  </si>
  <si>
    <t>台词-眩晕时</t>
    <phoneticPr fontId="12" type="noConversion"/>
  </si>
  <si>
    <t>lines_coma</t>
    <phoneticPr fontId="12" type="noConversion"/>
  </si>
  <si>
    <t>01101010;10101101;11111101;10101000</t>
    <phoneticPr fontId="12" type="noConversion"/>
  </si>
  <si>
    <t>咕噜咕噜;咕噜咕噜咕噜;咕噜，咕噜咕噜</t>
    <phoneticPr fontId="12" type="noConversion"/>
  </si>
  <si>
    <t>我运行像地狱;</t>
    <phoneticPr fontId="12" type="noConversion"/>
  </si>
  <si>
    <t>OMG;Jesus;哦我的天哪;我的上帝呀;上帝保佑你;这该死的震荡</t>
    <phoneticPr fontId="12" type="noConversion"/>
  </si>
  <si>
    <t>头晕目眩;上吐下泻;翻江倒海;头昏脑胀;汗如雨下</t>
    <phoneticPr fontId="12" type="noConversion"/>
  </si>
  <si>
    <t>嗷;嗷嗷嗷;嗷嗷嗷嗷嗷</t>
    <phoneticPr fontId="12" type="noConversion"/>
  </si>
  <si>
    <t>3 = 个人技能</t>
    <phoneticPr fontId="12" type="noConversion"/>
  </si>
  <si>
    <t>4 = 团队技能</t>
    <phoneticPr fontId="12" type="noConversion"/>
  </si>
  <si>
    <t>00 = 空</t>
    <phoneticPr fontId="12" type="noConversion"/>
  </si>
  <si>
    <t>卑微贱民</t>
  </si>
  <si>
    <t>宇航员</t>
  </si>
  <si>
    <t>幽闭恐惧</t>
  </si>
  <si>
    <t>无法工作</t>
  </si>
  <si>
    <t>骑士大人</t>
  </si>
  <si>
    <t>亚当夏娃</t>
  </si>
  <si>
    <t>工坊工匠</t>
  </si>
  <si>
    <t>专心搜刮</t>
  </si>
  <si>
    <t>面目可憎</t>
  </si>
  <si>
    <t>奇行种</t>
  </si>
  <si>
    <t>心神不宁</t>
  </si>
  <si>
    <t>小偷</t>
  </si>
  <si>
    <t>擅长收纳</t>
  </si>
  <si>
    <t>喜爱雕塑</t>
  </si>
  <si>
    <t>喜爱钓鱼</t>
  </si>
  <si>
    <t>天生战狂</t>
  </si>
  <si>
    <t>不死人</t>
  </si>
  <si>
    <t>庄园主</t>
  </si>
  <si>
    <t>鞭策队友</t>
  </si>
  <si>
    <t>老千</t>
  </si>
  <si>
    <t>01 = 卑微贱民</t>
  </si>
  <si>
    <t>02 = 宇航员</t>
  </si>
  <si>
    <t>03 = 幽闭恐惧</t>
  </si>
  <si>
    <t>04 = 无法工作</t>
  </si>
  <si>
    <t>05 = 骑士大人</t>
  </si>
  <si>
    <t>06 = 亚当夏娃</t>
  </si>
  <si>
    <t>07 = 工坊工匠</t>
  </si>
  <si>
    <t>08 = 专心搜刮</t>
  </si>
  <si>
    <t>09 = 面目可憎</t>
  </si>
  <si>
    <t>10 = 奇行种</t>
  </si>
  <si>
    <t>11 = 心神不宁</t>
  </si>
  <si>
    <t>01 = 小偷</t>
  </si>
  <si>
    <t>02 = 擅长收纳</t>
  </si>
  <si>
    <t>03 = 喜爱雕塑</t>
  </si>
  <si>
    <t>04 = 喜爱钓鱼</t>
  </si>
  <si>
    <t>10 = 天生战狂</t>
  </si>
  <si>
    <t>11 = 不死人</t>
  </si>
  <si>
    <t>12 = 庄园主</t>
  </si>
  <si>
    <t>13 = 鞭策队友</t>
  </si>
  <si>
    <t>14 = 老千</t>
  </si>
  <si>
    <t>出身卑微，不需要金币就可以加入你的队伍。但是帮助他人时“佣金”也会因此降低。</t>
  </si>
  <si>
    <t>不会因车辆超速而眩晕昏迷</t>
  </si>
  <si>
    <t>无法进入后备车舱</t>
  </si>
  <si>
    <t>只能停留在后备车舱</t>
  </si>
  <si>
    <t>看起来身份高贵，需要更多金币才能加入你的队伍，但是帮助他人时“佣金”也会因此提升。</t>
  </si>
  <si>
    <t>在特殊事件中，需要献祭或出售一个队友时，可以无消耗地献祭或出售一位子嗣。</t>
  </si>
  <si>
    <t>间歇性地恢复其所在设备的耐久</t>
  </si>
  <si>
    <t>所操作的设备击杀敌人时，战利品掉落概率翻倍。</t>
  </si>
  <si>
    <t>所操作的设备命中敌人时，有几率使敌人致盲或昏迷</t>
  </si>
  <si>
    <t>身形诡异，敌人很难注意到你，所在的设备拥有最低受击优先级。</t>
  </si>
  <si>
    <t>每次从异常中恢复，有概率走火入魔。直到本场景结束前：1.随机进入并挤占其他工位 2.无法更换工位位置 3.团队 战斗等级+1</t>
  </si>
  <si>
    <t>16308;16310;16401;16410</t>
  </si>
  <si>
    <t>16311;16412</t>
  </si>
  <si>
    <t>16311;16308;16401</t>
  </si>
  <si>
    <t>16311;16402</t>
  </si>
  <si>
    <t>16311;16411</t>
  </si>
  <si>
    <t>16304;16413</t>
  </si>
  <si>
    <t>16301;16302</t>
  </si>
  <si>
    <t>16303;16403</t>
  </si>
  <si>
    <t>16305;16308;16401;16414</t>
  </si>
  <si>
    <t>16301;16306</t>
  </si>
  <si>
    <t>16309;16411</t>
  </si>
  <si>
    <t>16305;16411</t>
  </si>
  <si>
    <t>16308;16411</t>
  </si>
  <si>
    <t>16307;16412</t>
  </si>
  <si>
    <t>卧槽;握草;我草;会不会开车</t>
    <phoneticPr fontId="12" type="noConversion"/>
  </si>
  <si>
    <t>[团队技能] 进入安全区时，在商店中有 [1] 次偷窃机会。</t>
  </si>
  <si>
    <t>[团队技能] 额外提供+5背包容量。</t>
  </si>
  <si>
    <t>[团队技能] 在场景中不断生成“雕塑”战利品</t>
  </si>
  <si>
    <t>[团队技能] 在场景中不断生成“渔获”战利品</t>
  </si>
  <si>
    <t>[团队技能] 战斗等级+1</t>
  </si>
  <si>
    <t>[团队技能] 生存等级+1</t>
  </si>
  <si>
    <t>[团队技能] 后勤等级+1</t>
  </si>
  <si>
    <t>[团队技能] 驾驶等级+1; 后勤等级+1</t>
  </si>
  <si>
    <t>[团队技能] 幸运等级+1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</si>
</sst>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-0\-00\-00"/>
  </numFmts>
  <fonts count="21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i/>
      <sz val="11"/>
      <color theme="1" tint="0.499984740745262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b/>
      <i/>
      <sz val="11"/>
      <color theme="8"/>
      <name val="等线"/>
      <family val="3"/>
      <charset val="134"/>
      <scheme val="minor"/>
    </font>
    <font>
      <b/>
      <i/>
      <sz val="10"/>
      <color theme="8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8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0" borderId="0" xfId="0" applyFont="1"/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0" fontId="14" fillId="4" borderId="0" xfId="3" applyFont="1" applyFill="1" applyAlignment="1">
      <alignment horizontal="center" vertical="center"/>
    </xf>
    <xf numFmtId="0" fontId="15" fillId="0" borderId="0" xfId="0" applyFont="1"/>
    <xf numFmtId="0" fontId="13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0" fontId="14" fillId="5" borderId="0" xfId="3" applyFont="1" applyFill="1" applyAlignment="1">
      <alignment horizontal="center" vertical="center"/>
    </xf>
    <xf numFmtId="0" fontId="14" fillId="5" borderId="1" xfId="3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5" fillId="7" borderId="0" xfId="0" applyFont="1" applyFill="1"/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3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14" fillId="0" borderId="0" xfId="3" applyFon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FF1964BE-3CBD-43B7-A347-BBA99320FA52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371475</xdr:colOff>
      <xdr:row>37</xdr:row>
      <xdr:rowOff>133350</xdr:rowOff>
    </xdr:from>
    <xdr:to>
      <xdr:col>21</xdr:col>
      <xdr:colOff>94208</xdr:colOff>
      <xdr:row>55</xdr:row>
      <xdr:rowOff>102327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4F1956C-BAC3-EA76-13E0-5E85A05EB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25625" y="10810875"/>
          <a:ext cx="7371308" cy="322652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495300</xdr:colOff>
      <xdr:row>4</xdr:row>
      <xdr:rowOff>0</xdr:rowOff>
    </xdr:from>
    <xdr:to>
      <xdr:col>13</xdr:col>
      <xdr:colOff>371230</xdr:colOff>
      <xdr:row>31</xdr:row>
      <xdr:rowOff>56532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71A3551-D9FB-CD79-BD3D-9EF12E651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5100" y="904875"/>
          <a:ext cx="1961905" cy="494285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E6C85-F4D9-4004-AE9B-EC595DDACA3A}" name="table_tag" displayName="table_tag" ref="M12:N38" totalsRowShown="0" headerRowDxfId="3" dataDxfId="2" headerRowCellStyle="常规 2 3" dataCellStyle="常规 2 3">
  <autoFilter ref="M12:N38" xr:uid="{51CE6C85-F4D9-4004-AE9B-EC595DDACA3A}"/>
  <tableColumns count="2">
    <tableColumn id="1" xr3:uid="{665BAB69-B136-4823-B1A8-F5BF928D39B5}" name="tag_id" dataDxfId="1" dataCellStyle="常规 2 3"/>
    <tableColumn id="2" xr3:uid="{14B5698F-CA44-469B-B5AC-866BE3A3384C}" name="tag_name" dataDxfId="0" dataCellStyle="常规 2 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zoomScaleNormal="100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P24" sqref="P24"/>
    </sheetView>
  </sheetViews>
  <sheetFormatPr defaultColWidth="9.125" defaultRowHeight="14.25" x14ac:dyDescent="0.2"/>
  <cols>
    <col min="1" max="1" width="8.375" style="40" customWidth="1"/>
    <col min="2" max="2" width="12.75" style="40" customWidth="1"/>
    <col min="3" max="3" width="11.625" style="46" customWidth="1"/>
    <col min="4" max="4" width="9.5" style="42" bestFit="1" customWidth="1"/>
    <col min="5" max="5" width="30" style="40" bestFit="1" customWidth="1"/>
    <col min="6" max="6" width="25.25" style="40" bestFit="1" customWidth="1"/>
    <col min="7" max="7" width="28" style="40" bestFit="1" customWidth="1"/>
    <col min="8" max="8" width="43.25" style="40" bestFit="1" customWidth="1"/>
    <col min="9" max="9" width="6.875" style="53" bestFit="1" customWidth="1"/>
    <col min="10" max="10" width="10.375" style="40" bestFit="1" customWidth="1"/>
    <col min="11" max="11" width="11.625" style="40" bestFit="1" customWidth="1"/>
    <col min="12" max="12" width="24" style="40" bestFit="1" customWidth="1"/>
    <col min="13" max="13" width="34.375" style="41" bestFit="1" customWidth="1"/>
    <col min="14" max="14" width="14.75" style="40" bestFit="1" customWidth="1"/>
    <col min="15" max="15" width="13.75" style="45" bestFit="1" customWidth="1"/>
    <col min="16" max="16" width="55.625" style="45" bestFit="1" customWidth="1"/>
    <col min="17" max="16384" width="9.125" style="45"/>
  </cols>
  <sheetData>
    <row r="1" spans="1:16" s="1" customFormat="1" x14ac:dyDescent="0.2">
      <c r="A1" s="1" t="s">
        <v>0</v>
      </c>
      <c r="B1" s="11" t="s">
        <v>86</v>
      </c>
      <c r="C1" s="6"/>
      <c r="D1" s="35"/>
      <c r="E1" s="11" t="s">
        <v>84</v>
      </c>
      <c r="F1" s="1" t="s">
        <v>190</v>
      </c>
      <c r="G1" s="1" t="s">
        <v>191</v>
      </c>
      <c r="H1" s="1" t="s">
        <v>200</v>
      </c>
      <c r="I1" s="52"/>
      <c r="J1" s="1" t="s">
        <v>187</v>
      </c>
      <c r="K1" s="1" t="s">
        <v>195</v>
      </c>
      <c r="L1" s="1" t="s">
        <v>1</v>
      </c>
      <c r="M1" s="27"/>
      <c r="N1" s="11" t="s">
        <v>83</v>
      </c>
      <c r="O1" s="11" t="s">
        <v>82</v>
      </c>
      <c r="P1" s="1" t="s">
        <v>207</v>
      </c>
    </row>
    <row r="2" spans="1:16" s="38" customFormat="1" x14ac:dyDescent="0.2">
      <c r="A2" s="38" t="s">
        <v>2</v>
      </c>
      <c r="B2" s="39" t="s">
        <v>87</v>
      </c>
      <c r="C2" s="6"/>
      <c r="D2" s="35"/>
      <c r="E2" s="38" t="s">
        <v>3</v>
      </c>
      <c r="F2" s="38" t="s">
        <v>192</v>
      </c>
      <c r="G2" s="38" t="s">
        <v>192</v>
      </c>
      <c r="H2" s="38" t="s">
        <v>87</v>
      </c>
      <c r="I2" s="52"/>
      <c r="J2" s="38" t="s">
        <v>188</v>
      </c>
      <c r="K2" s="38" t="s">
        <v>196</v>
      </c>
      <c r="L2" s="38" t="s">
        <v>4</v>
      </c>
      <c r="M2" s="27"/>
      <c r="N2" s="38" t="s">
        <v>147</v>
      </c>
      <c r="O2" s="39" t="s">
        <v>89</v>
      </c>
      <c r="P2" s="38" t="s">
        <v>205</v>
      </c>
    </row>
    <row r="3" spans="1:16" s="3" customFormat="1" ht="39.75" x14ac:dyDescent="0.2">
      <c r="A3" s="8" t="s">
        <v>0</v>
      </c>
      <c r="B3" s="9" t="s">
        <v>5</v>
      </c>
      <c r="C3" s="16" t="s">
        <v>88</v>
      </c>
      <c r="D3" s="36" t="s">
        <v>149</v>
      </c>
      <c r="E3" s="29" t="s">
        <v>85</v>
      </c>
      <c r="F3" s="34" t="s">
        <v>193</v>
      </c>
      <c r="G3" s="34" t="s">
        <v>194</v>
      </c>
      <c r="H3" s="50" t="s">
        <v>198</v>
      </c>
      <c r="I3" s="54" t="s">
        <v>199</v>
      </c>
      <c r="J3" s="34" t="s">
        <v>189</v>
      </c>
      <c r="K3" s="34" t="s">
        <v>197</v>
      </c>
      <c r="L3" s="26" t="s">
        <v>78</v>
      </c>
      <c r="M3" s="28"/>
      <c r="N3" s="34" t="s">
        <v>148</v>
      </c>
      <c r="O3" s="26" t="s">
        <v>90</v>
      </c>
      <c r="P3" s="8" t="s">
        <v>206</v>
      </c>
    </row>
    <row r="4" spans="1:16" x14ac:dyDescent="0.2">
      <c r="A4" s="40">
        <v>15101</v>
      </c>
      <c r="B4" s="40" t="str">
        <f t="shared" ref="B4:B5" si="0">_xlfn.TEXTJOIN("_",1,"role",A4)</f>
        <v>role_15101</v>
      </c>
      <c r="C4" s="46" t="s">
        <v>153</v>
      </c>
      <c r="D4" s="42" t="b">
        <v>1</v>
      </c>
      <c r="E4" s="43" t="str">
        <f>_xlfn.LET(_xlpm._type,IF($D4,"hero","npc"),
_xlfn.CONCAT("namecard_",_xlpm._type,"[namecard-",_xlpm._type,"_",VALUE(RIGHT($A4-1,2)),"]"))</f>
        <v>namecard_hero[namecard-hero_0]</v>
      </c>
      <c r="F4" s="43" t="str">
        <f t="shared" ref="F4:F28" si="1">_xlfn.LET(_xlpm._type,IF($D4,"hero","npc"),
_xlfn.CONCAT("ill_big_",_xlpm._type,"[ill-big-",_xlpm._type,"_",VALUE(RIGHT($A4-1,2)),"]"))</f>
        <v>ill_big_hero[ill-big-hero_0]</v>
      </c>
      <c r="G4" s="43" t="str">
        <f>_xlfn.LET(_xlpm._type,IF($D4,"hero","npc"),
_xlfn.CONCAT("ill_small_",_xlpm._type,"[ill_small_",_xlpm._type,"_",VALUE(RIGHT($A4-1,2)),"]"))</f>
        <v>ill_small_hero[ill_small_hero_0]</v>
      </c>
      <c r="H4" s="51" t="str">
        <f>_xlfn.LET(_xlpm._asset,"ui_npc_shop_ill_viewed",
_xlfn.CONCAT(_xlpm._asset,"[",_xlpm._asset,"_",$I4,"]"))</f>
        <v>ui_npc_shop_ill_viewed[ui_npc_shop_ill_viewed_0]</v>
      </c>
      <c r="I4" s="53">
        <v>0</v>
      </c>
      <c r="J4" s="49">
        <f>INT(8*1.033^(RIGHT(A4,2)-1))</f>
        <v>8</v>
      </c>
      <c r="K4" s="49" cm="1">
        <f t="array" ref="K4">_xlfn.LAMBDA(_xlpm._GMin,_xlpm._GMax,_xlpm._RankMin,_xlpm._RankMax,_xlpm._GMin+(_xlpm._GMax-_xlpm._GMin)/(_xlpm._RankMax-_xlpm._RankMin)*(J4-_xlpm._RankMin))(300,560,8,18)</f>
        <v>300</v>
      </c>
      <c r="L4" s="40">
        <v>16412</v>
      </c>
      <c r="M4" s="41" t="str" cm="1">
        <f t="array" ref="M4">_xlfn.TEXTJOIN("，",1,IFERROR(VLOOKUP(VALUE(_xlfn.TEXTSPLIT(L4,";")),properties!A:C,3,0),""))</f>
        <v>庄园主</v>
      </c>
      <c r="N4" s="44" t="str">
        <f>"0~0"</f>
        <v>0~0</v>
      </c>
      <c r="P4" s="61" t="s">
        <v>282</v>
      </c>
    </row>
    <row r="5" spans="1:16" x14ac:dyDescent="0.2">
      <c r="A5" s="40">
        <v>15102</v>
      </c>
      <c r="B5" s="40" t="str">
        <f t="shared" si="0"/>
        <v>role_15102</v>
      </c>
      <c r="C5" s="46" t="s">
        <v>154</v>
      </c>
      <c r="D5" s="42" t="b">
        <v>1</v>
      </c>
      <c r="E5" s="43" t="str">
        <f t="shared" ref="E5:E23" si="2">_xlfn.LET(_xlpm._type,IF($D5,"hero","npc"),
_xlfn.CONCAT("namecard_",_xlpm._type,"[namecard-",_xlpm._type,"_",VALUE(RIGHT($A5-1,2)),"]"))</f>
        <v>namecard_hero[namecard-hero_1]</v>
      </c>
      <c r="F5" s="43" t="str">
        <f t="shared" si="1"/>
        <v>ill_big_hero[ill-big-hero_1]</v>
      </c>
      <c r="G5" s="43" t="str">
        <f t="shared" ref="G5:G28" si="3">_xlfn.LET(_xlpm._type,IF($D5,"hero","npc"),
_xlfn.CONCAT("ill_small_",_xlpm._type,"[ill_small_",_xlpm._type,"_",VALUE(RIGHT($A5-1,2)),"]"))</f>
        <v>ill_small_hero[ill_small_hero_1]</v>
      </c>
      <c r="H5" s="51" t="str">
        <f t="shared" ref="H5:H23" si="4">_xlfn.LET(_xlpm._asset,"ui_npc_shop_ill_viewed",
_xlfn.CONCAT(_xlpm._asset,"[",_xlpm._asset,"_",$I5,"]"))</f>
        <v>ui_npc_shop_ill_viewed[ui_npc_shop_ill_viewed_1]</v>
      </c>
      <c r="I5" s="53">
        <v>1</v>
      </c>
      <c r="J5" s="49">
        <f t="shared" ref="J5:J28" si="5">INT(8*1.033^(RIGHT(A5,2)-1))</f>
        <v>8</v>
      </c>
      <c r="K5" s="49" cm="1">
        <f t="array" ref="K5">_xlfn.LAMBDA(_xlpm._GMin,_xlpm._GMax,_xlpm._RankMin,_xlpm._RankMax,_xlpm._GMin+(_xlpm._GMax-_xlpm._GMin)/(_xlpm._RankMax-_xlpm._RankMin)*(J5-_xlpm._RankMin))(300,560,8,18)</f>
        <v>300</v>
      </c>
      <c r="L5" s="40" t="s">
        <v>268</v>
      </c>
      <c r="M5" s="41" t="str" cm="1">
        <f t="array" ref="M5">_xlfn.TEXTJOIN("，",1,IFERROR(VLOOKUP(VALUE(_xlfn.TEXTSPLIT(L5,";")),properties!A:C,3,0),""))</f>
        <v>专心搜刮，奇行种，小偷，天生战狂</v>
      </c>
      <c r="N5" s="44" t="str">
        <f t="shared" ref="N5:N37" si="6">"0~0"</f>
        <v>0~0</v>
      </c>
      <c r="P5" s="61" t="s">
        <v>210</v>
      </c>
    </row>
    <row r="6" spans="1:16" x14ac:dyDescent="0.2">
      <c r="A6" s="40">
        <v>15103</v>
      </c>
      <c r="B6" s="40" t="str">
        <f t="shared" ref="B6:B37" si="7">_xlfn.TEXTJOIN("_",1,"role",A6)</f>
        <v>role_15103</v>
      </c>
      <c r="C6" s="46" t="s">
        <v>155</v>
      </c>
      <c r="D6" s="42" t="b">
        <v>1</v>
      </c>
      <c r="E6" s="43" t="str">
        <f t="shared" si="2"/>
        <v>namecard_hero[namecard-hero_2]</v>
      </c>
      <c r="F6" s="43" t="str">
        <f t="shared" si="1"/>
        <v>ill_big_hero[ill-big-hero_2]</v>
      </c>
      <c r="G6" s="43" t="str">
        <f t="shared" si="3"/>
        <v>ill_small_hero[ill_small_hero_2]</v>
      </c>
      <c r="H6" s="51" t="str">
        <f t="shared" si="4"/>
        <v>ui_npc_shop_ill_viewed[ui_npc_shop_ill_viewed_2]</v>
      </c>
      <c r="I6" s="53">
        <v>2</v>
      </c>
      <c r="J6" s="49">
        <f t="shared" si="5"/>
        <v>8</v>
      </c>
      <c r="K6" s="49" cm="1">
        <f t="array" ref="K6">_xlfn.LAMBDA(_xlpm._GMin,_xlpm._GMax,_xlpm._RankMin,_xlpm._RankMax,_xlpm._GMin+(_xlpm._GMax-_xlpm._GMin)/(_xlpm._RankMax-_xlpm._RankMin)*(J6-_xlpm._RankMin))(300,560,8,18)</f>
        <v>300</v>
      </c>
      <c r="L6" s="40" t="s">
        <v>269</v>
      </c>
      <c r="M6" s="41" t="str" cm="1">
        <f t="array" ref="M6">_xlfn.TEXTJOIN("，",1,IFERROR(VLOOKUP(VALUE(_xlfn.TEXTSPLIT(L6,";")),properties!A:C,3,0),""))</f>
        <v>心神不宁，庄园主</v>
      </c>
      <c r="N6" s="44" t="str">
        <f t="shared" si="6"/>
        <v>0~0</v>
      </c>
      <c r="P6" s="61" t="s">
        <v>282</v>
      </c>
    </row>
    <row r="7" spans="1:16" x14ac:dyDescent="0.2">
      <c r="A7" s="40">
        <v>15104</v>
      </c>
      <c r="B7" s="40" t="str">
        <f t="shared" si="7"/>
        <v>role_15104</v>
      </c>
      <c r="C7" s="46" t="s">
        <v>156</v>
      </c>
      <c r="D7" s="42" t="b">
        <v>1</v>
      </c>
      <c r="E7" s="43" t="str">
        <f t="shared" si="2"/>
        <v>namecard_hero[namecard-hero_3]</v>
      </c>
      <c r="F7" s="43" t="str">
        <f t="shared" si="1"/>
        <v>ill_big_hero[ill-big-hero_3]</v>
      </c>
      <c r="G7" s="43" t="str">
        <f t="shared" si="3"/>
        <v>ill_small_hero[ill_small_hero_3]</v>
      </c>
      <c r="H7" s="51" t="str">
        <f t="shared" si="4"/>
        <v>ui_npc_shop_ill_viewed[ui_npc_shop_ill_viewed_3]</v>
      </c>
      <c r="I7" s="53">
        <v>3</v>
      </c>
      <c r="J7" s="49">
        <f t="shared" si="5"/>
        <v>8</v>
      </c>
      <c r="K7" s="49" cm="1">
        <f t="array" ref="K7">_xlfn.LAMBDA(_xlpm._GMin,_xlpm._GMax,_xlpm._RankMin,_xlpm._RankMax,_xlpm._GMin+(_xlpm._GMax-_xlpm._GMin)/(_xlpm._RankMax-_xlpm._RankMin)*(J7-_xlpm._RankMin))(300,560,8,18)</f>
        <v>300</v>
      </c>
      <c r="L7" s="40" t="s">
        <v>270</v>
      </c>
      <c r="M7" s="41" t="str" cm="1">
        <f t="array" ref="M7">_xlfn.TEXTJOIN("，",1,IFERROR(VLOOKUP(VALUE(_xlfn.TEXTSPLIT(L7,";")),properties!A:C,3,0),""))</f>
        <v>心神不宁，专心搜刮，小偷</v>
      </c>
      <c r="N7" s="44" t="str">
        <f t="shared" si="6"/>
        <v>0~0</v>
      </c>
      <c r="P7" s="61" t="s">
        <v>212</v>
      </c>
    </row>
    <row r="8" spans="1:16" x14ac:dyDescent="0.2">
      <c r="A8" s="40">
        <v>15105</v>
      </c>
      <c r="B8" s="40" t="str">
        <f t="shared" si="7"/>
        <v>role_15105</v>
      </c>
      <c r="C8" s="46" t="s">
        <v>157</v>
      </c>
      <c r="D8" s="42" t="b">
        <v>1</v>
      </c>
      <c r="E8" s="43" t="str">
        <f t="shared" si="2"/>
        <v>namecard_hero[namecard-hero_4]</v>
      </c>
      <c r="F8" s="43" t="str">
        <f t="shared" si="1"/>
        <v>ill_big_hero[ill-big-hero_4]</v>
      </c>
      <c r="G8" s="43" t="str">
        <f t="shared" si="3"/>
        <v>ill_small_hero[ill_small_hero_4]</v>
      </c>
      <c r="H8" s="51" t="str">
        <f t="shared" si="4"/>
        <v>ui_npc_shop_ill_viewed[ui_npc_shop_ill_viewed_4]</v>
      </c>
      <c r="I8" s="53">
        <v>4</v>
      </c>
      <c r="J8" s="49">
        <f t="shared" si="5"/>
        <v>9</v>
      </c>
      <c r="K8" s="49" cm="1">
        <f t="array" ref="K8">_xlfn.LAMBDA(_xlpm._GMin,_xlpm._GMax,_xlpm._RankMin,_xlpm._RankMax,_xlpm._GMin+(_xlpm._GMax-_xlpm._GMin)/(_xlpm._RankMax-_xlpm._RankMin)*(J8-_xlpm._RankMin))(300,560,8,18)</f>
        <v>326</v>
      </c>
      <c r="L8" s="40" t="s">
        <v>271</v>
      </c>
      <c r="M8" s="41" t="str" cm="1">
        <f t="array" ref="M8">_xlfn.TEXTJOIN("，",1,IFERROR(VLOOKUP(VALUE(_xlfn.TEXTSPLIT(L8,";")),properties!A:C,3,0),""))</f>
        <v>心神不宁，擅长收纳</v>
      </c>
      <c r="N8" s="44" t="str">
        <f t="shared" si="6"/>
        <v>0~0</v>
      </c>
      <c r="P8" s="61" t="s">
        <v>212</v>
      </c>
    </row>
    <row r="9" spans="1:16" x14ac:dyDescent="0.2">
      <c r="A9" s="40">
        <v>15106</v>
      </c>
      <c r="B9" s="40" t="str">
        <f t="shared" si="7"/>
        <v>role_15106</v>
      </c>
      <c r="C9" s="46" t="s">
        <v>158</v>
      </c>
      <c r="D9" s="42" t="b">
        <v>1</v>
      </c>
      <c r="E9" s="43" t="str">
        <f t="shared" si="2"/>
        <v>namecard_hero[namecard-hero_5]</v>
      </c>
      <c r="F9" s="43" t="str">
        <f t="shared" si="1"/>
        <v>ill_big_hero[ill-big-hero_5]</v>
      </c>
      <c r="G9" s="43" t="str">
        <f t="shared" si="3"/>
        <v>ill_small_hero[ill_small_hero_5]</v>
      </c>
      <c r="H9" s="51" t="str">
        <f t="shared" si="4"/>
        <v>ui_npc_shop_ill_viewed[ui_npc_shop_ill_viewed_5]</v>
      </c>
      <c r="I9" s="53">
        <v>5</v>
      </c>
      <c r="J9" s="49">
        <f t="shared" si="5"/>
        <v>9</v>
      </c>
      <c r="K9" s="49" cm="1">
        <f t="array" ref="K9">_xlfn.LAMBDA(_xlpm._GMin,_xlpm._GMax,_xlpm._RankMin,_xlpm._RankMax,_xlpm._GMin+(_xlpm._GMax-_xlpm._GMin)/(_xlpm._RankMax-_xlpm._RankMin)*(J9-_xlpm._RankMin))(300,560,8,18)</f>
        <v>326</v>
      </c>
      <c r="L9" s="40" t="s">
        <v>272</v>
      </c>
      <c r="M9" s="41" t="str" cm="1">
        <f t="array" ref="M9">_xlfn.TEXTJOIN("，",1,IFERROR(VLOOKUP(VALUE(_xlfn.TEXTSPLIT(L9,";")),properties!A:C,3,0),""))</f>
        <v>心神不宁，不死人</v>
      </c>
      <c r="N9" s="44" t="str">
        <f t="shared" si="6"/>
        <v>0~0</v>
      </c>
      <c r="P9" s="61" t="s">
        <v>212</v>
      </c>
    </row>
    <row r="10" spans="1:16" x14ac:dyDescent="0.2">
      <c r="A10" s="40">
        <v>15107</v>
      </c>
      <c r="B10" s="40" t="str">
        <f t="shared" si="7"/>
        <v>role_15107</v>
      </c>
      <c r="C10" s="46" t="s">
        <v>159</v>
      </c>
      <c r="D10" s="42" t="b">
        <v>1</v>
      </c>
      <c r="E10" s="43" t="str">
        <f t="shared" si="2"/>
        <v>namecard_hero[namecard-hero_6]</v>
      </c>
      <c r="F10" s="43" t="str">
        <f t="shared" si="1"/>
        <v>ill_big_hero[ill-big-hero_6]</v>
      </c>
      <c r="G10" s="43" t="str">
        <f t="shared" si="3"/>
        <v>ill_small_hero[ill_small_hero_6]</v>
      </c>
      <c r="H10" s="51" t="str">
        <f t="shared" si="4"/>
        <v>ui_npc_shop_ill_viewed[ui_npc_shop_ill_viewed_6]</v>
      </c>
      <c r="I10" s="53">
        <v>6</v>
      </c>
      <c r="J10" s="49">
        <f t="shared" si="5"/>
        <v>9</v>
      </c>
      <c r="K10" s="49" cm="1">
        <f t="array" ref="K10">_xlfn.LAMBDA(_xlpm._GMin,_xlpm._GMax,_xlpm._RankMin,_xlpm._RankMax,_xlpm._GMin+(_xlpm._GMax-_xlpm._GMin)/(_xlpm._RankMax-_xlpm._RankMin)*(J10-_xlpm._RankMin))(300,560,8,18)</f>
        <v>326</v>
      </c>
      <c r="L10" s="40" t="s">
        <v>273</v>
      </c>
      <c r="M10" s="41" t="str" cm="1">
        <f t="array" ref="M10">_xlfn.TEXTJOIN("，",1,IFERROR(VLOOKUP(VALUE(_xlfn.TEXTSPLIT(L10,";")),properties!A:C,3,0),""))</f>
        <v>无法工作，鞭策队友</v>
      </c>
      <c r="N10" s="44" t="str">
        <f t="shared" si="6"/>
        <v>0~0</v>
      </c>
      <c r="P10" s="61" t="s">
        <v>282</v>
      </c>
    </row>
    <row r="11" spans="1:16" x14ac:dyDescent="0.2">
      <c r="A11" s="40">
        <v>15108</v>
      </c>
      <c r="B11" s="40" t="str">
        <f t="shared" si="7"/>
        <v>role_15108</v>
      </c>
      <c r="C11" s="46" t="s">
        <v>160</v>
      </c>
      <c r="D11" s="42" t="b">
        <v>1</v>
      </c>
      <c r="E11" s="43" t="str">
        <f t="shared" si="2"/>
        <v>namecard_hero[namecard-hero_7]</v>
      </c>
      <c r="F11" s="43" t="str">
        <f t="shared" si="1"/>
        <v>ill_big_hero[ill-big-hero_7]</v>
      </c>
      <c r="G11" s="43" t="str">
        <f t="shared" si="3"/>
        <v>ill_small_hero[ill_small_hero_7]</v>
      </c>
      <c r="H11" s="51" t="str">
        <f t="shared" si="4"/>
        <v>ui_npc_shop_ill_viewed[ui_npc_shop_ill_viewed_7]</v>
      </c>
      <c r="I11" s="53">
        <v>7</v>
      </c>
      <c r="J11" s="49">
        <f t="shared" si="5"/>
        <v>10</v>
      </c>
      <c r="K11" s="55">
        <v>99999</v>
      </c>
      <c r="L11" s="40" t="s">
        <v>274</v>
      </c>
      <c r="M11" s="41" t="str" cm="1">
        <f t="array" ref="M11">_xlfn.TEXTJOIN("，",1,IFERROR(VLOOKUP(VALUE(_xlfn.TEXTSPLIT(L11,";")),properties!A:C,3,0),""))</f>
        <v>卑微贱民，宇航员</v>
      </c>
      <c r="N11" s="44" t="str">
        <f t="shared" si="6"/>
        <v>0~0</v>
      </c>
      <c r="P11" s="61" t="s">
        <v>208</v>
      </c>
    </row>
    <row r="12" spans="1:16" x14ac:dyDescent="0.2">
      <c r="A12" s="40">
        <v>15109</v>
      </c>
      <c r="B12" s="40" t="str">
        <f t="shared" si="7"/>
        <v>role_15109</v>
      </c>
      <c r="C12" s="46" t="s">
        <v>161</v>
      </c>
      <c r="D12" s="42" t="b">
        <v>1</v>
      </c>
      <c r="E12" s="43" t="str">
        <f t="shared" si="2"/>
        <v>namecard_hero[namecard-hero_8]</v>
      </c>
      <c r="F12" s="43" t="str">
        <f t="shared" si="1"/>
        <v>ill_big_hero[ill-big-hero_8]</v>
      </c>
      <c r="G12" s="43" t="str">
        <f t="shared" si="3"/>
        <v>ill_small_hero[ill_small_hero_8]</v>
      </c>
      <c r="H12" s="51" t="str">
        <f t="shared" si="4"/>
        <v>ui_npc_shop_ill_viewed[ui_npc_shop_ill_viewed_8]</v>
      </c>
      <c r="I12" s="53">
        <v>8</v>
      </c>
      <c r="J12" s="49">
        <f t="shared" si="5"/>
        <v>10</v>
      </c>
      <c r="K12" s="49" cm="1">
        <f t="array" ref="K12">_xlfn.LAMBDA(_xlpm._GMin,_xlpm._GMax,_xlpm._RankMin,_xlpm._RankMax,_xlpm._GMin+(_xlpm._GMax-_xlpm._GMin)/(_xlpm._RankMax-_xlpm._RankMin)*(J12-_xlpm._RankMin))(300,560,8,18)</f>
        <v>352</v>
      </c>
      <c r="L12" s="40">
        <v>16410</v>
      </c>
      <c r="M12" s="41" t="str" cm="1">
        <f t="array" ref="M12">_xlfn.TEXTJOIN("，",1,IFERROR(VLOOKUP(VALUE(_xlfn.TEXTSPLIT(L12,";")),properties!A:C,3,0),""))</f>
        <v>天生战狂</v>
      </c>
      <c r="N12" s="44" t="str">
        <f t="shared" si="6"/>
        <v>0~0</v>
      </c>
      <c r="P12" s="61" t="s">
        <v>282</v>
      </c>
    </row>
    <row r="13" spans="1:16" x14ac:dyDescent="0.2">
      <c r="A13" s="40">
        <v>15110</v>
      </c>
      <c r="B13" s="40" t="str">
        <f t="shared" si="7"/>
        <v>role_15110</v>
      </c>
      <c r="C13" s="46" t="s">
        <v>162</v>
      </c>
      <c r="D13" s="42" t="b">
        <v>1</v>
      </c>
      <c r="E13" s="43" t="str">
        <f t="shared" si="2"/>
        <v>namecard_hero[namecard-hero_9]</v>
      </c>
      <c r="F13" s="43" t="str">
        <f t="shared" si="1"/>
        <v>ill_big_hero[ill-big-hero_9]</v>
      </c>
      <c r="G13" s="43" t="str">
        <f t="shared" si="3"/>
        <v>ill_small_hero[ill_small_hero_9]</v>
      </c>
      <c r="H13" s="51" t="str">
        <f t="shared" si="4"/>
        <v>ui_npc_shop_ill_viewed[ui_npc_shop_ill_viewed_9]</v>
      </c>
      <c r="I13" s="53">
        <v>9</v>
      </c>
      <c r="J13" s="49">
        <f t="shared" si="5"/>
        <v>10</v>
      </c>
      <c r="K13" s="49" cm="1">
        <f t="array" ref="K13">_xlfn.LAMBDA(_xlpm._GMin,_xlpm._GMax,_xlpm._RankMin,_xlpm._RankMax,_xlpm._GMin+(_xlpm._GMax-_xlpm._GMin)/(_xlpm._RankMax-_xlpm._RankMin)*(J13-_xlpm._RankMin))(300,560,8,18)</f>
        <v>352</v>
      </c>
      <c r="L13" s="40" t="s">
        <v>275</v>
      </c>
      <c r="M13" s="41" t="str" cm="1">
        <f t="array" ref="M13">_xlfn.TEXTJOIN("，",1,IFERROR(VLOOKUP(VALUE(_xlfn.TEXTSPLIT(L13,";")),properties!A:C,3,0),""))</f>
        <v>幽闭恐惧，喜爱雕塑</v>
      </c>
      <c r="N13" s="44" t="str">
        <f t="shared" si="6"/>
        <v>0~0</v>
      </c>
      <c r="P13" s="61" t="s">
        <v>282</v>
      </c>
    </row>
    <row r="14" spans="1:16" x14ac:dyDescent="0.2">
      <c r="A14" s="40">
        <v>15111</v>
      </c>
      <c r="B14" s="40" t="str">
        <f t="shared" si="7"/>
        <v>role_15111</v>
      </c>
      <c r="C14" s="46" t="s">
        <v>163</v>
      </c>
      <c r="D14" s="42" t="b">
        <v>1</v>
      </c>
      <c r="E14" s="43" t="str">
        <f t="shared" si="2"/>
        <v>namecard_hero[namecard-hero_10]</v>
      </c>
      <c r="F14" s="43" t="str">
        <f t="shared" si="1"/>
        <v>ill_big_hero[ill-big-hero_10]</v>
      </c>
      <c r="G14" s="43" t="str">
        <f t="shared" si="3"/>
        <v>ill_small_hero[ill_small_hero_10]</v>
      </c>
      <c r="H14" s="51" t="str">
        <f t="shared" si="4"/>
        <v>ui_npc_shop_ill_viewed[ui_npc_shop_ill_viewed_10]</v>
      </c>
      <c r="I14" s="53">
        <v>10</v>
      </c>
      <c r="J14" s="49">
        <f t="shared" si="5"/>
        <v>11</v>
      </c>
      <c r="K14" s="49" cm="1">
        <f t="array" ref="K14">_xlfn.LAMBDA(_xlpm._GMin,_xlpm._GMax,_xlpm._RankMin,_xlpm._RankMax,_xlpm._GMin+(_xlpm._GMax-_xlpm._GMin)/(_xlpm._RankMax-_xlpm._RankMin)*(J14-_xlpm._RankMin))(300,560,8,18)</f>
        <v>378</v>
      </c>
      <c r="L14" s="40" t="s">
        <v>276</v>
      </c>
      <c r="M14" s="41" t="str" cm="1">
        <f t="array" ref="M14">_xlfn.TEXTJOIN("，",1,IFERROR(VLOOKUP(VALUE(_xlfn.TEXTSPLIT(L14,";")),properties!A:C,3,0),""))</f>
        <v>骑士大人，专心搜刮，小偷，老千</v>
      </c>
      <c r="N14" s="44" t="str">
        <f t="shared" si="6"/>
        <v>0~0</v>
      </c>
      <c r="P14" s="61" t="s">
        <v>211</v>
      </c>
    </row>
    <row r="15" spans="1:16" x14ac:dyDescent="0.2">
      <c r="A15" s="40">
        <v>15112</v>
      </c>
      <c r="B15" s="40" t="str">
        <f t="shared" si="7"/>
        <v>role_15112</v>
      </c>
      <c r="C15" s="46" t="s">
        <v>164</v>
      </c>
      <c r="D15" s="42" t="b">
        <v>1</v>
      </c>
      <c r="E15" s="43" t="str">
        <f t="shared" si="2"/>
        <v>namecard_hero[namecard-hero_11]</v>
      </c>
      <c r="F15" s="43" t="str">
        <f t="shared" si="1"/>
        <v>ill_big_hero[ill-big-hero_11]</v>
      </c>
      <c r="G15" s="43" t="str">
        <f t="shared" si="3"/>
        <v>ill_small_hero[ill_small_hero_11]</v>
      </c>
      <c r="H15" s="51" t="str">
        <f t="shared" si="4"/>
        <v>ui_npc_shop_ill_viewed[ui_npc_shop_ill_viewed_11]</v>
      </c>
      <c r="I15" s="53">
        <v>11</v>
      </c>
      <c r="J15" s="49">
        <f t="shared" si="5"/>
        <v>11</v>
      </c>
      <c r="K15" s="49" cm="1">
        <f t="array" ref="K15">_xlfn.LAMBDA(_xlpm._GMin,_xlpm._GMax,_xlpm._RankMin,_xlpm._RankMax,_xlpm._GMin+(_xlpm._GMax-_xlpm._GMin)/(_xlpm._RankMax-_xlpm._RankMin)*(J15-_xlpm._RankMin))(300,560,8,18)</f>
        <v>378</v>
      </c>
      <c r="L15" s="40">
        <v>16410</v>
      </c>
      <c r="M15" s="41" t="str" cm="1">
        <f t="array" ref="M15">_xlfn.TEXTJOIN("，",1,IFERROR(VLOOKUP(VALUE(_xlfn.TEXTSPLIT(L15,";")),properties!A:C,3,0),""))</f>
        <v>天生战狂</v>
      </c>
      <c r="N15" s="44" t="str">
        <f t="shared" si="6"/>
        <v>0~0</v>
      </c>
      <c r="P15" s="61" t="s">
        <v>282</v>
      </c>
    </row>
    <row r="16" spans="1:16" x14ac:dyDescent="0.2">
      <c r="A16" s="40">
        <v>15113</v>
      </c>
      <c r="B16" s="40" t="str">
        <f t="shared" si="7"/>
        <v>role_15113</v>
      </c>
      <c r="C16" s="46" t="s">
        <v>165</v>
      </c>
      <c r="D16" s="42" t="b">
        <v>1</v>
      </c>
      <c r="E16" s="43" t="str">
        <f t="shared" si="2"/>
        <v>namecard_hero[namecard-hero_12]</v>
      </c>
      <c r="F16" s="43" t="str">
        <f t="shared" si="1"/>
        <v>ill_big_hero[ill-big-hero_12]</v>
      </c>
      <c r="G16" s="43" t="str">
        <f t="shared" si="3"/>
        <v>ill_small_hero[ill_small_hero_12]</v>
      </c>
      <c r="H16" s="51" t="str">
        <f t="shared" si="4"/>
        <v>ui_npc_shop_ill_viewed[ui_npc_shop_ill_viewed_12]</v>
      </c>
      <c r="I16" s="53">
        <v>12</v>
      </c>
      <c r="J16" s="49">
        <f t="shared" si="5"/>
        <v>11</v>
      </c>
      <c r="K16" s="49" cm="1">
        <f t="array" ref="K16">_xlfn.LAMBDA(_xlpm._GMin,_xlpm._GMax,_xlpm._RankMin,_xlpm._RankMax,_xlpm._GMin+(_xlpm._GMax-_xlpm._GMin)/(_xlpm._RankMax-_xlpm._RankMin)*(J16-_xlpm._RankMin))(300,560,8,18)</f>
        <v>378</v>
      </c>
      <c r="L16" s="40" t="s">
        <v>277</v>
      </c>
      <c r="M16" s="41" t="str" cm="1">
        <f t="array" ref="M16">_xlfn.TEXTJOIN("，",1,IFERROR(VLOOKUP(VALUE(_xlfn.TEXTSPLIT(L16,";")),properties!A:C,3,0),""))</f>
        <v>卑微贱民，亚当夏娃</v>
      </c>
      <c r="N16" s="44" t="str">
        <f t="shared" si="6"/>
        <v>0~0</v>
      </c>
      <c r="P16" s="61" t="s">
        <v>282</v>
      </c>
    </row>
    <row r="17" spans="1:16" x14ac:dyDescent="0.2">
      <c r="A17" s="40">
        <v>15114</v>
      </c>
      <c r="B17" s="40" t="str">
        <f t="shared" si="7"/>
        <v>role_15114</v>
      </c>
      <c r="C17" s="46" t="s">
        <v>166</v>
      </c>
      <c r="D17" s="42" t="b">
        <v>1</v>
      </c>
      <c r="E17" s="43" t="str">
        <f t="shared" si="2"/>
        <v>namecard_hero[namecard-hero_13]</v>
      </c>
      <c r="F17" s="43" t="str">
        <f t="shared" si="1"/>
        <v>ill_big_hero[ill-big-hero_13]</v>
      </c>
      <c r="G17" s="43" t="str">
        <f t="shared" si="3"/>
        <v>ill_small_hero[ill_small_hero_13]</v>
      </c>
      <c r="H17" s="51" t="str">
        <f t="shared" si="4"/>
        <v>ui_npc_shop_ill_viewed[ui_npc_shop_ill_viewed_13]</v>
      </c>
      <c r="I17" s="53">
        <v>13</v>
      </c>
      <c r="J17" s="49">
        <f t="shared" si="5"/>
        <v>12</v>
      </c>
      <c r="K17" s="49" cm="1">
        <f t="array" ref="K17">_xlfn.LAMBDA(_xlpm._GMin,_xlpm._GMax,_xlpm._RankMin,_xlpm._RankMax,_xlpm._GMin+(_xlpm._GMax-_xlpm._GMin)/(_xlpm._RankMax-_xlpm._RankMin)*(J17-_xlpm._RankMin))(300,560,8,18)</f>
        <v>404</v>
      </c>
      <c r="M17" s="41" t="str" cm="1">
        <f t="array" ref="M17">_xlfn.TEXTJOIN("，",1,IFERROR(VLOOKUP(VALUE(_xlfn.TEXTSPLIT(L17,";")),properties!A:C,3,0),""))</f>
        <v/>
      </c>
      <c r="N17" s="44" t="str">
        <f t="shared" si="6"/>
        <v>0~0</v>
      </c>
      <c r="P17" s="61" t="s">
        <v>213</v>
      </c>
    </row>
    <row r="18" spans="1:16" x14ac:dyDescent="0.2">
      <c r="A18" s="40">
        <v>15115</v>
      </c>
      <c r="B18" s="40" t="str">
        <f t="shared" si="7"/>
        <v>role_15115</v>
      </c>
      <c r="C18" s="46" t="s">
        <v>167</v>
      </c>
      <c r="D18" s="42" t="b">
        <v>1</v>
      </c>
      <c r="E18" s="43" t="str">
        <f t="shared" si="2"/>
        <v>namecard_hero[namecard-hero_14]</v>
      </c>
      <c r="F18" s="43" t="str">
        <f t="shared" si="1"/>
        <v>ill_big_hero[ill-big-hero_14]</v>
      </c>
      <c r="G18" s="43" t="str">
        <f t="shared" si="3"/>
        <v>ill_small_hero[ill_small_hero_14]</v>
      </c>
      <c r="H18" s="51" t="str">
        <f t="shared" si="4"/>
        <v>ui_npc_shop_ill_viewed[ui_npc_shop_ill_viewed_14]</v>
      </c>
      <c r="I18" s="53">
        <v>14</v>
      </c>
      <c r="J18" s="49">
        <f t="shared" si="5"/>
        <v>12</v>
      </c>
      <c r="K18" s="49" cm="1">
        <f t="array" ref="K18">_xlfn.LAMBDA(_xlpm._GMin,_xlpm._GMax,_xlpm._RankMin,_xlpm._RankMax,_xlpm._GMin+(_xlpm._GMax-_xlpm._GMin)/(_xlpm._RankMax-_xlpm._RankMin)*(J18-_xlpm._RankMin))(300,560,8,18)</f>
        <v>404</v>
      </c>
      <c r="L18" s="40" t="s">
        <v>278</v>
      </c>
      <c r="M18" s="41" t="str" cm="1">
        <f t="array" ref="M18">_xlfn.TEXTJOIN("，",1,IFERROR(VLOOKUP(VALUE(_xlfn.TEXTSPLIT(L18,";")),properties!A:C,3,0),""))</f>
        <v>面目可憎，不死人</v>
      </c>
      <c r="N18" s="44" t="str">
        <f t="shared" si="6"/>
        <v>0~0</v>
      </c>
      <c r="P18" s="61" t="s">
        <v>282</v>
      </c>
    </row>
    <row r="19" spans="1:16" x14ac:dyDescent="0.2">
      <c r="A19" s="40">
        <v>15116</v>
      </c>
      <c r="B19" s="40" t="str">
        <f t="shared" si="7"/>
        <v>role_15116</v>
      </c>
      <c r="C19" s="46" t="s">
        <v>168</v>
      </c>
      <c r="D19" s="42" t="b">
        <v>1</v>
      </c>
      <c r="E19" s="43" t="str">
        <f t="shared" si="2"/>
        <v>namecard_hero[namecard-hero_15]</v>
      </c>
      <c r="F19" s="43" t="str">
        <f t="shared" si="1"/>
        <v>ill_big_hero[ill-big-hero_15]</v>
      </c>
      <c r="G19" s="43" t="str">
        <f t="shared" si="3"/>
        <v>ill_small_hero[ill_small_hero_15]</v>
      </c>
      <c r="H19" s="51" t="str">
        <f t="shared" si="4"/>
        <v>ui_npc_shop_ill_viewed[ui_npc_shop_ill_viewed_15]</v>
      </c>
      <c r="I19" s="53">
        <v>15</v>
      </c>
      <c r="J19" s="49">
        <f t="shared" si="5"/>
        <v>13</v>
      </c>
      <c r="K19" s="49" cm="1">
        <f t="array" ref="K19">_xlfn.LAMBDA(_xlpm._GMin,_xlpm._GMax,_xlpm._RankMin,_xlpm._RankMax,_xlpm._GMin+(_xlpm._GMax-_xlpm._GMin)/(_xlpm._RankMax-_xlpm._RankMin)*(J19-_xlpm._RankMin))(300,560,8,18)</f>
        <v>430</v>
      </c>
      <c r="L19" s="40" t="s">
        <v>279</v>
      </c>
      <c r="M19" s="41" t="str" cm="1">
        <f t="array" ref="M19">_xlfn.TEXTJOIN("，",1,IFERROR(VLOOKUP(VALUE(_xlfn.TEXTSPLIT(L19,";")),properties!A:C,3,0),""))</f>
        <v>骑士大人，不死人</v>
      </c>
      <c r="N19" s="44" t="str">
        <f t="shared" si="6"/>
        <v>0~0</v>
      </c>
      <c r="P19" s="61" t="s">
        <v>282</v>
      </c>
    </row>
    <row r="20" spans="1:16" x14ac:dyDescent="0.2">
      <c r="A20" s="40">
        <v>15117</v>
      </c>
      <c r="B20" s="40" t="str">
        <f t="shared" si="7"/>
        <v>role_15117</v>
      </c>
      <c r="C20" s="46" t="s">
        <v>169</v>
      </c>
      <c r="D20" s="42" t="b">
        <v>1</v>
      </c>
      <c r="E20" s="43" t="str">
        <f t="shared" si="2"/>
        <v>namecard_hero[namecard-hero_16]</v>
      </c>
      <c r="F20" s="43" t="str">
        <f t="shared" si="1"/>
        <v>ill_big_hero[ill-big-hero_16]</v>
      </c>
      <c r="G20" s="43" t="str">
        <f t="shared" si="3"/>
        <v>ill_small_hero[ill_small_hero_16]</v>
      </c>
      <c r="H20" s="51" t="str">
        <f t="shared" si="4"/>
        <v>ui_npc_shop_ill_viewed[ui_npc_shop_ill_viewed_16]</v>
      </c>
      <c r="I20" s="53">
        <v>16</v>
      </c>
      <c r="J20" s="49">
        <f t="shared" si="5"/>
        <v>13</v>
      </c>
      <c r="K20" s="49" cm="1">
        <f t="array" ref="K20">_xlfn.LAMBDA(_xlpm._GMin,_xlpm._GMax,_xlpm._RankMin,_xlpm._RankMax,_xlpm._GMin+(_xlpm._GMax-_xlpm._GMin)/(_xlpm._RankMax-_xlpm._RankMin)*(J20-_xlpm._RankMin))(300,560,8,18)</f>
        <v>430</v>
      </c>
      <c r="L20" s="40" t="s">
        <v>280</v>
      </c>
      <c r="M20" s="41" t="str" cm="1">
        <f t="array" ref="M20">_xlfn.TEXTJOIN("，",1,IFERROR(VLOOKUP(VALUE(_xlfn.TEXTSPLIT(L20,";")),properties!A:C,3,0),""))</f>
        <v>专心搜刮，不死人</v>
      </c>
      <c r="N20" s="44" t="str">
        <f t="shared" si="6"/>
        <v>0~0</v>
      </c>
      <c r="P20" s="61" t="s">
        <v>282</v>
      </c>
    </row>
    <row r="21" spans="1:16" x14ac:dyDescent="0.2">
      <c r="A21" s="40">
        <v>15118</v>
      </c>
      <c r="B21" s="40" t="str">
        <f t="shared" si="7"/>
        <v>role_15118</v>
      </c>
      <c r="C21" s="46" t="s">
        <v>170</v>
      </c>
      <c r="D21" s="42" t="b">
        <v>1</v>
      </c>
      <c r="E21" s="43" t="str">
        <f t="shared" si="2"/>
        <v>namecard_hero[namecard-hero_17]</v>
      </c>
      <c r="F21" s="43" t="str">
        <f t="shared" si="1"/>
        <v>ill_big_hero[ill-big-hero_17]</v>
      </c>
      <c r="G21" s="43" t="str">
        <f t="shared" si="3"/>
        <v>ill_small_hero[ill_small_hero_17]</v>
      </c>
      <c r="H21" s="51" t="str">
        <f t="shared" si="4"/>
        <v>ui_npc_shop_ill_viewed[ui_npc_shop_ill_viewed_17]</v>
      </c>
      <c r="I21" s="53">
        <v>17</v>
      </c>
      <c r="J21" s="49">
        <f t="shared" si="5"/>
        <v>13</v>
      </c>
      <c r="K21" s="49" cm="1">
        <f t="array" ref="K21">_xlfn.LAMBDA(_xlpm._GMin,_xlpm._GMax,_xlpm._RankMin,_xlpm._RankMax,_xlpm._GMin+(_xlpm._GMax-_xlpm._GMin)/(_xlpm._RankMax-_xlpm._RankMin)*(J21-_xlpm._RankMin))(300,560,8,18)</f>
        <v>430</v>
      </c>
      <c r="M21" s="41" t="str" cm="1">
        <f t="array" ref="M21">_xlfn.TEXTJOIN("，",1,IFERROR(VLOOKUP(VALUE(_xlfn.TEXTSPLIT(L21,";")),properties!A:C,3,0),""))</f>
        <v/>
      </c>
      <c r="N21" s="44" t="str">
        <f t="shared" si="6"/>
        <v>0~0</v>
      </c>
      <c r="P21" s="61" t="s">
        <v>282</v>
      </c>
    </row>
    <row r="22" spans="1:16" x14ac:dyDescent="0.2">
      <c r="A22" s="40">
        <v>15119</v>
      </c>
      <c r="B22" s="40" t="str">
        <f t="shared" si="7"/>
        <v>role_15119</v>
      </c>
      <c r="C22" s="46" t="s">
        <v>171</v>
      </c>
      <c r="D22" s="42" t="b">
        <v>1</v>
      </c>
      <c r="E22" s="43" t="str">
        <f t="shared" si="2"/>
        <v>namecard_hero[namecard-hero_18]</v>
      </c>
      <c r="F22" s="43" t="str">
        <f t="shared" si="1"/>
        <v>ill_big_hero[ill-big-hero_18]</v>
      </c>
      <c r="G22" s="43" t="str">
        <f t="shared" si="3"/>
        <v>ill_small_hero[ill_small_hero_18]</v>
      </c>
      <c r="H22" s="51" t="str">
        <f t="shared" si="4"/>
        <v>ui_npc_shop_ill_viewed[ui_npc_shop_ill_viewed_18]</v>
      </c>
      <c r="I22" s="53">
        <v>18</v>
      </c>
      <c r="J22" s="49">
        <f t="shared" si="5"/>
        <v>14</v>
      </c>
      <c r="K22" s="49" cm="1">
        <f t="array" ref="K22">_xlfn.LAMBDA(_xlpm._GMin,_xlpm._GMax,_xlpm._RankMin,_xlpm._RankMax,_xlpm._GMin+(_xlpm._GMax-_xlpm._GMin)/(_xlpm._RankMax-_xlpm._RankMin)*(J22-_xlpm._RankMin))(300,560,8,18)</f>
        <v>456</v>
      </c>
      <c r="M22" s="41" t="str" cm="1">
        <f t="array" ref="M22">_xlfn.TEXTJOIN("，",1,IFERROR(VLOOKUP(VALUE(_xlfn.TEXTSPLIT(L22,";")),properties!A:C,3,0),""))</f>
        <v/>
      </c>
      <c r="N22" s="44" t="str">
        <f t="shared" si="6"/>
        <v>0~0</v>
      </c>
      <c r="P22" s="61" t="s">
        <v>209</v>
      </c>
    </row>
    <row r="23" spans="1:16" x14ac:dyDescent="0.2">
      <c r="A23" s="40">
        <v>15120</v>
      </c>
      <c r="B23" s="40" t="str">
        <f t="shared" si="7"/>
        <v>role_15120</v>
      </c>
      <c r="C23" s="46" t="s">
        <v>172</v>
      </c>
      <c r="D23" s="42" t="b">
        <v>1</v>
      </c>
      <c r="E23" s="43" t="str">
        <f t="shared" si="2"/>
        <v>namecard_hero[namecard-hero_19]</v>
      </c>
      <c r="F23" s="43" t="str">
        <f t="shared" si="1"/>
        <v>ill_big_hero[ill-big-hero_19]</v>
      </c>
      <c r="G23" s="43" t="str">
        <f t="shared" si="3"/>
        <v>ill_small_hero[ill_small_hero_19]</v>
      </c>
      <c r="H23" s="51" t="str">
        <f t="shared" si="4"/>
        <v>ui_npc_shop_ill_viewed[ui_npc_shop_ill_viewed_19]</v>
      </c>
      <c r="I23" s="53">
        <v>19</v>
      </c>
      <c r="J23" s="49">
        <f t="shared" si="5"/>
        <v>14</v>
      </c>
      <c r="K23" s="49" cm="1">
        <f t="array" ref="K23">_xlfn.LAMBDA(_xlpm._GMin,_xlpm._GMax,_xlpm._RankMin,_xlpm._RankMax,_xlpm._GMin+(_xlpm._GMax-_xlpm._GMin)/(_xlpm._RankMax-_xlpm._RankMin)*(J23-_xlpm._RankMin))(300,560,8,18)</f>
        <v>456</v>
      </c>
      <c r="L23" s="40" t="s">
        <v>281</v>
      </c>
      <c r="M23" s="41" t="str" cm="1">
        <f t="array" ref="M23">_xlfn.TEXTJOIN("，",1,IFERROR(VLOOKUP(VALUE(_xlfn.TEXTSPLIT(L23,";")),properties!A:C,3,0),""))</f>
        <v>工坊工匠，庄园主</v>
      </c>
      <c r="N23" s="44" t="str">
        <f t="shared" si="6"/>
        <v>0~0</v>
      </c>
      <c r="P23" s="61" t="s">
        <v>282</v>
      </c>
    </row>
    <row r="24" spans="1:16" x14ac:dyDescent="0.2">
      <c r="P24" s="61"/>
    </row>
    <row r="25" spans="1:16" x14ac:dyDescent="0.2">
      <c r="A25" s="40">
        <v>15121</v>
      </c>
      <c r="B25" s="40" t="str">
        <f t="shared" si="7"/>
        <v>role_15121</v>
      </c>
      <c r="C25" s="46" t="s">
        <v>173</v>
      </c>
      <c r="D25" s="42" t="b">
        <v>1</v>
      </c>
      <c r="E25" s="47" t="s">
        <v>186</v>
      </c>
      <c r="F25" s="43" t="str">
        <f t="shared" si="1"/>
        <v>ill_big_hero[ill-big-hero_20]</v>
      </c>
      <c r="G25" s="43" t="str">
        <f t="shared" si="3"/>
        <v>ill_small_hero[ill_small_hero_20]</v>
      </c>
      <c r="H25" s="47"/>
      <c r="J25" s="49">
        <f t="shared" si="5"/>
        <v>15</v>
      </c>
      <c r="K25" s="49" cm="1">
        <f t="array" ref="K25">_xlfn.LAMBDA(_xlpm._GMin,_xlpm._GMax,_xlpm._RankMin,_xlpm._RankMax,_xlpm._GMin+(_xlpm._GMax-_xlpm._GMin)/(_xlpm._RankMax-_xlpm._RankMin)*(J25-_xlpm._RankMin))(300,560,8,18)</f>
        <v>482</v>
      </c>
      <c r="N25" s="44" t="str">
        <f t="shared" si="6"/>
        <v>0~0</v>
      </c>
      <c r="P25" s="61"/>
    </row>
    <row r="26" spans="1:16" x14ac:dyDescent="0.2">
      <c r="A26" s="40">
        <v>15122</v>
      </c>
      <c r="B26" s="40" t="str">
        <f t="shared" si="7"/>
        <v>role_15122</v>
      </c>
      <c r="C26" s="46" t="s">
        <v>174</v>
      </c>
      <c r="D26" s="42" t="b">
        <v>1</v>
      </c>
      <c r="E26" s="47" t="s">
        <v>186</v>
      </c>
      <c r="F26" s="43" t="str">
        <f t="shared" si="1"/>
        <v>ill_big_hero[ill-big-hero_21]</v>
      </c>
      <c r="G26" s="43" t="str">
        <f t="shared" si="3"/>
        <v>ill_small_hero[ill_small_hero_21]</v>
      </c>
      <c r="H26" s="47"/>
      <c r="J26" s="49">
        <f t="shared" si="5"/>
        <v>15</v>
      </c>
      <c r="K26" s="49" cm="1">
        <f t="array" ref="K26">_xlfn.LAMBDA(_xlpm._GMin,_xlpm._GMax,_xlpm._RankMin,_xlpm._RankMax,_xlpm._GMin+(_xlpm._GMax-_xlpm._GMin)/(_xlpm._RankMax-_xlpm._RankMin)*(J26-_xlpm._RankMin))(300,560,8,18)</f>
        <v>482</v>
      </c>
      <c r="N26" s="44" t="str">
        <f t="shared" si="6"/>
        <v>0~0</v>
      </c>
    </row>
    <row r="27" spans="1:16" x14ac:dyDescent="0.2">
      <c r="A27" s="40">
        <v>15123</v>
      </c>
      <c r="B27" s="40" t="str">
        <f t="shared" si="7"/>
        <v>role_15123</v>
      </c>
      <c r="C27" s="46" t="s">
        <v>175</v>
      </c>
      <c r="D27" s="42" t="b">
        <v>1</v>
      </c>
      <c r="E27" s="47" t="s">
        <v>186</v>
      </c>
      <c r="F27" s="43" t="str">
        <f t="shared" si="1"/>
        <v>ill_big_hero[ill-big-hero_22]</v>
      </c>
      <c r="G27" s="43" t="str">
        <f t="shared" si="3"/>
        <v>ill_small_hero[ill_small_hero_22]</v>
      </c>
      <c r="H27" s="47"/>
      <c r="J27" s="49">
        <f t="shared" si="5"/>
        <v>16</v>
      </c>
      <c r="K27" s="49" cm="1">
        <f t="array" ref="K27">_xlfn.LAMBDA(_xlpm._GMin,_xlpm._GMax,_xlpm._RankMin,_xlpm._RankMax,_xlpm._GMin+(_xlpm._GMax-_xlpm._GMin)/(_xlpm._RankMax-_xlpm._RankMin)*(J27-_xlpm._RankMin))(300,560,8,18)</f>
        <v>508</v>
      </c>
      <c r="N27" s="44" t="str">
        <f t="shared" si="6"/>
        <v>0~0</v>
      </c>
    </row>
    <row r="28" spans="1:16" x14ac:dyDescent="0.2">
      <c r="A28" s="40">
        <v>15124</v>
      </c>
      <c r="B28" s="40" t="str">
        <f t="shared" si="7"/>
        <v>role_15124</v>
      </c>
      <c r="C28" s="46" t="s">
        <v>176</v>
      </c>
      <c r="D28" s="42" t="b">
        <v>1</v>
      </c>
      <c r="E28" s="47" t="s">
        <v>186</v>
      </c>
      <c r="F28" s="43" t="str">
        <f t="shared" si="1"/>
        <v>ill_big_hero[ill-big-hero_23]</v>
      </c>
      <c r="G28" s="43" t="str">
        <f t="shared" si="3"/>
        <v>ill_small_hero[ill_small_hero_23]</v>
      </c>
      <c r="H28" s="47"/>
      <c r="J28" s="49">
        <f t="shared" si="5"/>
        <v>16</v>
      </c>
      <c r="K28" s="49" cm="1">
        <f t="array" ref="K28">_xlfn.LAMBDA(_xlpm._GMin,_xlpm._GMax,_xlpm._RankMin,_xlpm._RankMax,_xlpm._GMin+(_xlpm._GMax-_xlpm._GMin)/(_xlpm._RankMax-_xlpm._RankMin)*(J28-_xlpm._RankMin))(300,560,8,18)</f>
        <v>508</v>
      </c>
      <c r="N28" s="44" t="str">
        <f t="shared" si="6"/>
        <v>0~0</v>
      </c>
    </row>
    <row r="29" spans="1:16" x14ac:dyDescent="0.2">
      <c r="H29" s="47"/>
    </row>
    <row r="30" spans="1:16" x14ac:dyDescent="0.2">
      <c r="A30" s="40">
        <v>15125</v>
      </c>
      <c r="B30" s="40" t="str">
        <f t="shared" si="7"/>
        <v>role_15125</v>
      </c>
      <c r="C30" s="46" t="s">
        <v>177</v>
      </c>
      <c r="D30" s="42" t="b">
        <v>1</v>
      </c>
      <c r="E30" s="47" t="s">
        <v>186</v>
      </c>
      <c r="F30" s="47"/>
      <c r="G30" s="47"/>
      <c r="H30" s="47"/>
      <c r="J30" s="48">
        <v>12</v>
      </c>
      <c r="K30" s="49" cm="1">
        <f t="array" ref="K30">_xlfn.LAMBDA(_xlpm._GMin,_xlpm._GMax,_xlpm._RankMin,_xlpm._RankMax,_xlpm._GMin+(_xlpm._GMax-_xlpm._GMin)/(_xlpm._RankMax-_xlpm._RankMin)*(J30-_xlpm._RankMin))(300,560,8,18)</f>
        <v>404</v>
      </c>
      <c r="N30" s="44" t="str">
        <f t="shared" si="6"/>
        <v>0~0</v>
      </c>
    </row>
    <row r="31" spans="1:16" x14ac:dyDescent="0.2">
      <c r="A31" s="40">
        <v>15126</v>
      </c>
      <c r="B31" s="40" t="str">
        <f t="shared" si="7"/>
        <v>role_15126</v>
      </c>
      <c r="C31" s="46" t="s">
        <v>178</v>
      </c>
      <c r="D31" s="42" t="b">
        <v>1</v>
      </c>
      <c r="E31" s="47" t="s">
        <v>186</v>
      </c>
      <c r="F31" s="47"/>
      <c r="G31" s="47"/>
      <c r="H31" s="47"/>
      <c r="J31" s="48">
        <v>18</v>
      </c>
      <c r="K31" s="55">
        <v>99999</v>
      </c>
      <c r="N31" s="44" t="str">
        <f t="shared" si="6"/>
        <v>0~0</v>
      </c>
    </row>
    <row r="32" spans="1:16" x14ac:dyDescent="0.2">
      <c r="A32" s="40">
        <v>15127</v>
      </c>
      <c r="B32" s="40" t="str">
        <f t="shared" si="7"/>
        <v>role_15127</v>
      </c>
      <c r="C32" s="46" t="s">
        <v>179</v>
      </c>
      <c r="D32" s="42" t="b">
        <v>1</v>
      </c>
      <c r="E32" s="47" t="s">
        <v>186</v>
      </c>
      <c r="F32" s="47"/>
      <c r="G32" s="47"/>
      <c r="H32" s="47"/>
      <c r="J32" s="48">
        <v>18</v>
      </c>
      <c r="K32" s="49" cm="1">
        <f t="array" ref="K32">_xlfn.LAMBDA(_xlpm._GMin,_xlpm._GMax,_xlpm._RankMin,_xlpm._RankMax,_xlpm._GMin+(_xlpm._GMax-_xlpm._GMin)/(_xlpm._RankMax-_xlpm._RankMin)*(J32-_xlpm._RankMin))(300,560,8,18)</f>
        <v>560</v>
      </c>
      <c r="N32" s="44" t="str">
        <f>"0~0"</f>
        <v>0~0</v>
      </c>
    </row>
    <row r="33" spans="1:14" x14ac:dyDescent="0.2">
      <c r="A33" s="40">
        <v>15128</v>
      </c>
      <c r="B33" s="40" t="str">
        <f t="shared" si="7"/>
        <v>role_15128</v>
      </c>
      <c r="C33" s="46" t="s">
        <v>180</v>
      </c>
      <c r="D33" s="42" t="b">
        <v>1</v>
      </c>
      <c r="E33" s="47" t="s">
        <v>186</v>
      </c>
      <c r="F33" s="47"/>
      <c r="G33" s="47"/>
      <c r="H33" s="47"/>
      <c r="J33" s="48">
        <v>16</v>
      </c>
      <c r="K33" s="49" cm="1">
        <f t="array" ref="K33">_xlfn.LAMBDA(_xlpm._GMin,_xlpm._GMax,_xlpm._RankMin,_xlpm._RankMax,_xlpm._GMin+(_xlpm._GMax-_xlpm._GMin)/(_xlpm._RankMax-_xlpm._RankMin)*(J33-_xlpm._RankMin))(300,560,8,18)</f>
        <v>508</v>
      </c>
      <c r="N33" s="44" t="str">
        <f t="shared" si="6"/>
        <v>0~0</v>
      </c>
    </row>
    <row r="34" spans="1:14" x14ac:dyDescent="0.2">
      <c r="A34" s="40">
        <v>15129</v>
      </c>
      <c r="B34" s="40" t="str">
        <f t="shared" si="7"/>
        <v>role_15129</v>
      </c>
      <c r="C34" s="46" t="s">
        <v>181</v>
      </c>
      <c r="D34" s="42" t="b">
        <v>1</v>
      </c>
      <c r="E34" s="47" t="s">
        <v>186</v>
      </c>
      <c r="F34" s="47"/>
      <c r="G34" s="47"/>
      <c r="H34" s="47"/>
      <c r="J34" s="48">
        <v>18</v>
      </c>
      <c r="K34" s="49" cm="1">
        <f t="array" ref="K34">_xlfn.LAMBDA(_xlpm._GMin,_xlpm._GMax,_xlpm._RankMin,_xlpm._RankMax,_xlpm._GMin+(_xlpm._GMax-_xlpm._GMin)/(_xlpm._RankMax-_xlpm._RankMin)*(J34-_xlpm._RankMin))(300,560,8,18)</f>
        <v>560</v>
      </c>
      <c r="N34" s="44" t="str">
        <f t="shared" si="6"/>
        <v>0~0</v>
      </c>
    </row>
    <row r="35" spans="1:14" x14ac:dyDescent="0.2">
      <c r="A35" s="40">
        <v>15130</v>
      </c>
      <c r="B35" s="40" t="str">
        <f t="shared" si="7"/>
        <v>role_15130</v>
      </c>
      <c r="C35" s="46" t="s">
        <v>182</v>
      </c>
      <c r="D35" s="42" t="b">
        <v>1</v>
      </c>
      <c r="E35" s="47" t="s">
        <v>186</v>
      </c>
      <c r="F35" s="47"/>
      <c r="G35" s="47"/>
      <c r="H35" s="47"/>
      <c r="J35" s="48">
        <v>18</v>
      </c>
      <c r="K35" s="49" cm="1">
        <f t="array" ref="K35">_xlfn.LAMBDA(_xlpm._GMin,_xlpm._GMax,_xlpm._RankMin,_xlpm._RankMax,_xlpm._GMin+(_xlpm._GMax-_xlpm._GMin)/(_xlpm._RankMax-_xlpm._RankMin)*(J35-_xlpm._RankMin))(300,560,8,18)</f>
        <v>560</v>
      </c>
      <c r="N35" s="44" t="str">
        <f t="shared" si="6"/>
        <v>0~0</v>
      </c>
    </row>
    <row r="36" spans="1:14" x14ac:dyDescent="0.2">
      <c r="A36" s="40">
        <v>15131</v>
      </c>
      <c r="B36" s="40" t="str">
        <f t="shared" si="7"/>
        <v>role_15131</v>
      </c>
      <c r="C36" s="46" t="s">
        <v>183</v>
      </c>
      <c r="D36" s="42" t="b">
        <v>1</v>
      </c>
      <c r="E36" s="47" t="s">
        <v>186</v>
      </c>
      <c r="F36" s="47"/>
      <c r="G36" s="47"/>
      <c r="H36" s="47"/>
      <c r="J36" s="48">
        <v>16</v>
      </c>
      <c r="K36" s="49" cm="1">
        <f t="array" ref="K36">_xlfn.LAMBDA(_xlpm._GMin,_xlpm._GMax,_xlpm._RankMin,_xlpm._RankMax,_xlpm._GMin+(_xlpm._GMax-_xlpm._GMin)/(_xlpm._RankMax-_xlpm._RankMin)*(J36-_xlpm._RankMin))(300,560,8,18)</f>
        <v>508</v>
      </c>
      <c r="N36" s="44" t="str">
        <f t="shared" si="6"/>
        <v>0~0</v>
      </c>
    </row>
    <row r="37" spans="1:14" x14ac:dyDescent="0.2">
      <c r="A37" s="40">
        <v>15132</v>
      </c>
      <c r="B37" s="40" t="str">
        <f t="shared" si="7"/>
        <v>role_15132</v>
      </c>
      <c r="C37" s="46" t="s">
        <v>184</v>
      </c>
      <c r="D37" s="42" t="b">
        <v>1</v>
      </c>
      <c r="E37" s="47" t="s">
        <v>186</v>
      </c>
      <c r="F37" s="47"/>
      <c r="G37" s="47"/>
      <c r="H37" s="47"/>
      <c r="J37" s="48">
        <v>14</v>
      </c>
      <c r="K37" s="49" cm="1">
        <f t="array" ref="K37">_xlfn.LAMBDA(_xlpm._GMin,_xlpm._GMax,_xlpm._RankMin,_xlpm._RankMax,_xlpm._GMin+(_xlpm._GMax-_xlpm._GMin)/(_xlpm._RankMax-_xlpm._RankMin)*(J37-_xlpm._RankMin))(300,560,8,18)</f>
        <v>456</v>
      </c>
      <c r="N37" s="44" t="str">
        <f t="shared" si="6"/>
        <v>0~0</v>
      </c>
    </row>
  </sheetData>
  <phoneticPr fontId="1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workbookViewId="0">
      <pane ySplit="3" topLeftCell="A4" activePane="bottomLeft" state="frozen"/>
      <selection pane="bottomLeft" activeCell="G67" sqref="G67"/>
    </sheetView>
  </sheetViews>
  <sheetFormatPr defaultColWidth="9.125" defaultRowHeight="14.25" x14ac:dyDescent="0.2"/>
  <cols>
    <col min="1" max="1" width="11.625" style="4" bestFit="1" customWidth="1"/>
    <col min="2" max="2" width="16.5" style="4" customWidth="1"/>
    <col min="3" max="3" width="18.125" style="5" bestFit="1" customWidth="1"/>
    <col min="4" max="5" width="9.125" style="4"/>
    <col min="6" max="6" width="15.5" style="4" customWidth="1"/>
    <col min="7" max="7" width="115.875" style="5" bestFit="1" customWidth="1"/>
    <col min="8" max="8" width="23" bestFit="1" customWidth="1"/>
    <col min="9" max="9" width="24.75" style="4" bestFit="1" customWidth="1"/>
    <col min="10" max="10" width="11.125" style="4" bestFit="1" customWidth="1"/>
  </cols>
  <sheetData>
    <row r="1" spans="1:10" s="1" customFormat="1" x14ac:dyDescent="0.2">
      <c r="A1" s="1" t="s">
        <v>0</v>
      </c>
      <c r="B1" s="11" t="s">
        <v>80</v>
      </c>
      <c r="C1" s="6"/>
      <c r="D1" s="1" t="s">
        <v>7</v>
      </c>
      <c r="E1" s="1" t="s">
        <v>8</v>
      </c>
      <c r="F1" s="11" t="s">
        <v>81</v>
      </c>
      <c r="G1" s="6"/>
      <c r="H1" s="11" t="s">
        <v>19</v>
      </c>
      <c r="I1" s="11" t="s">
        <v>21</v>
      </c>
      <c r="J1" s="11" t="s">
        <v>63</v>
      </c>
    </row>
    <row r="2" spans="1:10" s="2" customFormat="1" x14ac:dyDescent="0.2">
      <c r="A2" s="2" t="s">
        <v>2</v>
      </c>
      <c r="B2" s="10" t="s">
        <v>18</v>
      </c>
      <c r="C2" s="7"/>
      <c r="D2" s="2" t="s">
        <v>9</v>
      </c>
      <c r="E2" s="2" t="s">
        <v>10</v>
      </c>
      <c r="F2" s="10" t="s">
        <v>18</v>
      </c>
      <c r="G2" s="7"/>
      <c r="H2" s="10" t="s">
        <v>18</v>
      </c>
      <c r="I2" s="10" t="s">
        <v>20</v>
      </c>
      <c r="J2" s="10" t="s">
        <v>64</v>
      </c>
    </row>
    <row r="3" spans="1:10" s="3" customFormat="1" ht="28.5" x14ac:dyDescent="0.2">
      <c r="A3" s="8" t="s">
        <v>0</v>
      </c>
      <c r="B3" s="9" t="s">
        <v>11</v>
      </c>
      <c r="C3" s="16" t="s">
        <v>39</v>
      </c>
      <c r="D3" s="8" t="s">
        <v>12</v>
      </c>
      <c r="E3" s="8" t="s">
        <v>13</v>
      </c>
      <c r="F3" s="9" t="s">
        <v>14</v>
      </c>
      <c r="G3" s="16" t="s">
        <v>38</v>
      </c>
      <c r="H3" s="12" t="s">
        <v>17</v>
      </c>
      <c r="I3" s="26" t="s">
        <v>65</v>
      </c>
      <c r="J3" s="26" t="s">
        <v>66</v>
      </c>
    </row>
    <row r="4" spans="1:10" x14ac:dyDescent="0.2">
      <c r="A4" s="17">
        <v>1600101</v>
      </c>
      <c r="B4" s="4" t="str">
        <f>_xlfn.TEXTJOIN("_",1,"trait_name",$A4)</f>
        <v>trait_name_1600101</v>
      </c>
      <c r="C4" s="5" t="s">
        <v>15</v>
      </c>
      <c r="D4" s="4">
        <v>1</v>
      </c>
      <c r="F4" s="4" t="str">
        <f>_xlfn.TEXTJOIN("_",1,"trait_desc",$A4)</f>
        <v>trait_desc_1600101</v>
      </c>
      <c r="G4" s="37" t="str" cm="1">
        <f t="array" ref="G4">_xlfn.LET(_xlpm.trait_name,$H4,
_xlpm.parms1,$I4,
_xlpm.parms2,$J4,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IFERROR(IF($A4&lt;&gt;"",_xlpm.suffix,""),"//特性描述待配置"))</f>
        <v>操作以下设备时，战斗效率+30: &lt;br&gt;手枪</v>
      </c>
      <c r="H4" s="13" t="s">
        <v>22</v>
      </c>
      <c r="I4" s="4">
        <v>1420211</v>
      </c>
      <c r="J4" s="4">
        <v>30</v>
      </c>
    </row>
    <row r="5" spans="1:10" x14ac:dyDescent="0.2">
      <c r="A5" s="17">
        <v>1600102</v>
      </c>
      <c r="B5" s="4" t="str">
        <f t="shared" ref="B5:B53" si="0">_xlfn.TEXTJOIN("_",1,"trait_name",$A5)</f>
        <v>trait_name_1600102</v>
      </c>
      <c r="C5" s="5" t="s">
        <v>16</v>
      </c>
      <c r="D5" s="4">
        <v>1</v>
      </c>
      <c r="F5" s="4" t="str">
        <f t="shared" ref="F5:F53" si="1">_xlfn.TEXTJOIN("_",1,"trait_desc",$A5)</f>
        <v>trait_desc_1600102</v>
      </c>
      <c r="G5" s="37" t="str" cm="1">
        <f t="array" ref="G5">_xlfn.LET(_xlpm.trait_name,$H5,
_xlpm.parms1,$I5,
_xlpm.parms2,$J5,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IFERROR(IF($A5&lt;&gt;"",_xlpm.suffix,""),"//特性描述待配置"))</f>
        <v>操作以下设备时，战斗效率+30: &lt;br&gt;长矛, &lt;br&gt;弓箭</v>
      </c>
      <c r="H5" s="13" t="s">
        <v>22</v>
      </c>
      <c r="I5" s="25" t="s">
        <v>151</v>
      </c>
      <c r="J5" s="25">
        <v>30</v>
      </c>
    </row>
    <row r="6" spans="1:10" x14ac:dyDescent="0.2">
      <c r="A6" s="17">
        <v>1600103</v>
      </c>
      <c r="B6" s="4" t="str">
        <f t="shared" si="0"/>
        <v>trait_name_1600103</v>
      </c>
      <c r="C6" s="5" t="s">
        <v>6</v>
      </c>
      <c r="D6" s="4">
        <v>1</v>
      </c>
      <c r="F6" s="4" t="str">
        <f t="shared" si="1"/>
        <v>trait_desc_1600103</v>
      </c>
      <c r="G6" s="37" t="str" cm="1">
        <f t="array" ref="G6">_xlfn.LET(_xlpm.trait_name,$H6,
_xlpm.parms1,$I6,
_xlpm.parms2,$J6,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IFERROR(IF($A6&lt;&gt;"",_xlpm.suffix,""),"//特性描述待配置"))</f>
        <v>操作以下设备时，战斗效率+30: &lt;br&gt;霰弹枪, &lt;br&gt;盾牌</v>
      </c>
      <c r="H6" s="13" t="s">
        <v>22</v>
      </c>
      <c r="I6" s="25" t="s">
        <v>152</v>
      </c>
      <c r="J6" s="4">
        <v>30</v>
      </c>
    </row>
    <row r="7" spans="1:10" x14ac:dyDescent="0.2">
      <c r="A7" s="17">
        <v>1600108</v>
      </c>
      <c r="B7" s="4" t="str">
        <f t="shared" si="0"/>
        <v>trait_name_1600108</v>
      </c>
      <c r="C7" s="19" t="s">
        <v>61</v>
      </c>
      <c r="D7" s="4">
        <v>2</v>
      </c>
      <c r="F7" s="4" t="str">
        <f t="shared" si="1"/>
        <v>trait_desc_1600108</v>
      </c>
      <c r="G7" s="37" t="str" cm="1">
        <f t="array" ref="G7">_xlfn.LET(_xlpm.trait_name,$H7,
_xlpm.parms1,$I7,
_xlpm.parms2,$J7,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IFERROR(IF($A7&lt;&gt;"",_xlpm.suffix,""),"//特性描述待配置"))</f>
        <v>操作以下设备时，战斗效率+60: &lt;br&gt;近战武器</v>
      </c>
      <c r="H7" s="13" t="s">
        <v>22</v>
      </c>
      <c r="I7" s="4">
        <v>1420100</v>
      </c>
      <c r="J7" s="25">
        <v>60</v>
      </c>
    </row>
    <row r="8" spans="1:10" x14ac:dyDescent="0.2">
      <c r="A8" s="17">
        <v>1600109</v>
      </c>
      <c r="B8" s="4" t="str">
        <f t="shared" si="0"/>
        <v>trait_name_1600109</v>
      </c>
      <c r="C8" s="19" t="s">
        <v>62</v>
      </c>
      <c r="D8" s="4">
        <v>2</v>
      </c>
      <c r="F8" s="4" t="str">
        <f t="shared" si="1"/>
        <v>trait_desc_1600109</v>
      </c>
      <c r="G8" s="37" t="str" cm="1">
        <f t="array" ref="G8">_xlfn.LET(_xlpm.trait_name,$H8,
_xlpm.parms1,$I8,
_xlpm.parms2,$J8,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IFERROR(IF($A8&lt;&gt;"",_xlpm.suffix,""),"//特性描述待配置"))</f>
        <v>操作以下设备时，战斗效率+60: &lt;br&gt;远程武器</v>
      </c>
      <c r="H8" s="13" t="s">
        <v>22</v>
      </c>
      <c r="I8" s="4">
        <v>1420200</v>
      </c>
      <c r="J8" s="4">
        <v>60</v>
      </c>
    </row>
    <row r="9" spans="1:10" x14ac:dyDescent="0.2">
      <c r="G9" s="37" t="str" cm="1">
        <f t="array" ref="G9">_xlfn.LET(_xlpm.trait_name,$H9,
_xlpm.parms1,$I9,
_xlpm.parms2,$J9,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IFERROR(IF($A9&lt;&gt;"",_xlpm.suffix,""),"//特性描述待配置"))</f>
        <v/>
      </c>
    </row>
    <row r="10" spans="1:10" x14ac:dyDescent="0.2">
      <c r="A10" s="17">
        <v>1600201</v>
      </c>
      <c r="B10" s="4" t="str">
        <f t="shared" si="0"/>
        <v>trait_name_1600201</v>
      </c>
      <c r="C10" s="19" t="s">
        <v>68</v>
      </c>
      <c r="D10" s="4">
        <v>-1</v>
      </c>
      <c r="E10" s="4" t="b">
        <v>1</v>
      </c>
      <c r="F10" s="4" t="str">
        <f t="shared" si="1"/>
        <v>trait_desc_1600201</v>
      </c>
      <c r="G10" s="37" t="str" cm="1">
        <f t="array" ref="G10">_xlfn.LET(_xlpm.trait_name,$H10,
_xlpm.parms1,$I10,
_xlpm.parms2,$J10,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IFERROR(IF($A10&lt;&gt;"",_xlpm.suffix,""),"//特性描述待配置"))</f>
        <v>操作以下设备时，战斗效率-30: &lt;br&gt;刀剑</v>
      </c>
      <c r="H10" s="13" t="s">
        <v>22</v>
      </c>
      <c r="I10" s="25">
        <v>1420101</v>
      </c>
      <c r="J10" s="25">
        <v>-30</v>
      </c>
    </row>
    <row r="11" spans="1:10" x14ac:dyDescent="0.2">
      <c r="A11" s="17">
        <v>1600202</v>
      </c>
      <c r="B11" s="4" t="str">
        <f t="shared" si="0"/>
        <v>trait_name_1600202</v>
      </c>
      <c r="C11" s="19" t="s">
        <v>69</v>
      </c>
      <c r="D11" s="4">
        <v>-1</v>
      </c>
      <c r="E11" s="4" t="b">
        <v>1</v>
      </c>
      <c r="F11" s="4" t="str">
        <f t="shared" si="1"/>
        <v>trait_desc_1600202</v>
      </c>
      <c r="G11" s="37" t="str" cm="1">
        <f t="array" ref="G11">_xlfn.LET(_xlpm.trait_name,$H11,
_xlpm.parms1,$I11,
_xlpm.parms2,$J11,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IFERROR(IF($A11&lt;&gt;"",_xlpm.suffix,""),"//特性描述待配置"))</f>
        <v>操作以下设备时，战斗效率-30: &lt;br&gt;长矛</v>
      </c>
      <c r="H11" s="13" t="s">
        <v>22</v>
      </c>
      <c r="I11" s="25">
        <v>1420102</v>
      </c>
      <c r="J11" s="25">
        <v>-30</v>
      </c>
    </row>
    <row r="12" spans="1:10" x14ac:dyDescent="0.2">
      <c r="A12" s="17">
        <v>1600203</v>
      </c>
      <c r="B12" s="4" t="str">
        <f t="shared" si="0"/>
        <v>trait_name_1600203</v>
      </c>
      <c r="C12" s="19" t="s">
        <v>67</v>
      </c>
      <c r="D12" s="4">
        <v>-1</v>
      </c>
      <c r="E12" s="4" t="b">
        <v>1</v>
      </c>
      <c r="F12" s="4" t="str">
        <f t="shared" si="1"/>
        <v>trait_desc_1600203</v>
      </c>
      <c r="G12" s="37" t="str" cm="1">
        <f t="array" ref="G12">_xlfn.LET(_xlpm.trait_name,$H12,
_xlpm.parms1,$I12,
_xlpm.parms2,$J12,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IFERROR(IF($A12&lt;&gt;"",_xlpm.suffix,""),"//特性描述待配置"))</f>
        <v>操作以下设备时，战斗效率-30: &lt;br&gt;棍棒</v>
      </c>
      <c r="H12" s="13" t="s">
        <v>22</v>
      </c>
      <c r="I12" s="25">
        <v>1420103</v>
      </c>
      <c r="J12" s="25">
        <v>-30</v>
      </c>
    </row>
    <row r="13" spans="1:10" x14ac:dyDescent="0.2">
      <c r="A13" s="17">
        <v>1600204</v>
      </c>
      <c r="B13" s="4" t="str">
        <f t="shared" si="0"/>
        <v>trait_name_1600204</v>
      </c>
      <c r="C13" s="19" t="s">
        <v>70</v>
      </c>
      <c r="D13" s="4">
        <v>-1</v>
      </c>
      <c r="E13" s="4" t="b">
        <v>1</v>
      </c>
      <c r="F13" s="4" t="str">
        <f t="shared" si="1"/>
        <v>trait_desc_1600204</v>
      </c>
      <c r="G13" s="37" t="str" cm="1">
        <f t="array" ref="G13">_xlfn.LET(_xlpm.trait_name,$H13,
_xlpm.parms1,$I13,
_xlpm.parms2,$J13,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IFERROR(IF($A13&lt;&gt;"",_xlpm.suffix,""),"//特性描述待配置"))</f>
        <v>操作以下设备时，战斗效率-30: &lt;br&gt;斧钺</v>
      </c>
      <c r="H13" s="13" t="s">
        <v>22</v>
      </c>
      <c r="I13" s="4">
        <v>1420104</v>
      </c>
      <c r="J13" s="25">
        <v>-30</v>
      </c>
    </row>
    <row r="14" spans="1:10" x14ac:dyDescent="0.2">
      <c r="G14" s="37" t="str" cm="1">
        <f t="array" ref="G14">_xlfn.LET(_xlpm.trait_name,$H14,
_xlpm.parms1,$I14,
_xlpm.parms2,$J14,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IFERROR(IF($A14&lt;&gt;"",_xlpm.suffix,""),"//特性描述待配置"))</f>
        <v/>
      </c>
    </row>
    <row r="15" spans="1:10" x14ac:dyDescent="0.2">
      <c r="A15" s="17">
        <v>1600301</v>
      </c>
      <c r="B15" s="4" t="str">
        <f t="shared" si="0"/>
        <v>trait_name_1600301</v>
      </c>
      <c r="C15" s="19" t="s">
        <v>73</v>
      </c>
      <c r="D15" s="4">
        <v>-2</v>
      </c>
      <c r="E15" s="4" t="b">
        <v>1</v>
      </c>
      <c r="F15" s="4" t="str">
        <f t="shared" si="1"/>
        <v>trait_desc_1600301</v>
      </c>
      <c r="G15" s="37" t="str" cm="1">
        <f t="array" ref="G15">_xlfn.LET(_xlpm.trait_name,$H15,
_xlpm.parms1,$I15,
_xlpm.parms2,$J15,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IFERROR(IF($A15&lt;&gt;"",_xlpm.suffix,""),"//特性描述待配置"))</f>
        <v>无法操作以下设备：&lt;br&gt;刀剑</v>
      </c>
      <c r="H15" s="13" t="s">
        <v>74</v>
      </c>
      <c r="I15" s="25">
        <v>1420101</v>
      </c>
      <c r="J15" s="25"/>
    </row>
    <row r="16" spans="1:10" x14ac:dyDescent="0.2">
      <c r="A16" s="17">
        <v>1600302</v>
      </c>
      <c r="B16" s="4" t="str">
        <f t="shared" si="0"/>
        <v>trait_name_1600302</v>
      </c>
      <c r="C16" s="19" t="s">
        <v>71</v>
      </c>
      <c r="D16" s="4">
        <v>-2</v>
      </c>
      <c r="E16" s="4" t="b">
        <v>1</v>
      </c>
      <c r="F16" s="4" t="str">
        <f t="shared" si="1"/>
        <v>trait_desc_1600302</v>
      </c>
      <c r="G16" s="37" t="str" cm="1">
        <f t="array" ref="G16">_xlfn.LET(_xlpm.trait_name,$H16,
_xlpm.parms1,$I16,
_xlpm.parms2,$J16,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IFERROR(IF($A16&lt;&gt;"",_xlpm.suffix,""),"//特性描述待配置"))</f>
        <v>无法操作以下设备：&lt;br&gt;长矛</v>
      </c>
      <c r="H16" s="13" t="s">
        <v>74</v>
      </c>
      <c r="I16" s="25">
        <v>1420102</v>
      </c>
      <c r="J16" s="25"/>
    </row>
    <row r="17" spans="1:10" x14ac:dyDescent="0.2">
      <c r="A17" s="17">
        <v>1600303</v>
      </c>
      <c r="B17" s="4" t="str">
        <f t="shared" si="0"/>
        <v>trait_name_1600303</v>
      </c>
      <c r="C17" s="19" t="s">
        <v>72</v>
      </c>
      <c r="D17" s="4">
        <v>-2</v>
      </c>
      <c r="E17" s="4" t="b">
        <v>1</v>
      </c>
      <c r="F17" s="4" t="str">
        <f t="shared" si="1"/>
        <v>trait_desc_1600303</v>
      </c>
      <c r="G17" s="37" t="str" cm="1">
        <f t="array" ref="G17">_xlfn.LET(_xlpm.trait_name,$H17,
_xlpm.parms1,$I17,
_xlpm.parms2,$J17,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IFERROR(IF($A17&lt;&gt;"",_xlpm.suffix,""),"//特性描述待配置"))</f>
        <v>无法操作以下设备：&lt;br&gt;棍棒</v>
      </c>
      <c r="H17" s="13" t="s">
        <v>74</v>
      </c>
      <c r="I17" s="25">
        <v>1420103</v>
      </c>
      <c r="J17" s="25"/>
    </row>
    <row r="18" spans="1:10" x14ac:dyDescent="0.2">
      <c r="G18" s="37" t="str" cm="1">
        <f t="array" ref="G18">_xlfn.LET(_xlpm.trait_name,$H18,
_xlpm.parms1,$I18,
_xlpm.parms2,$J18,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IFERROR(IF($A18&lt;&gt;"",_xlpm.suffix,""),"//特性描述待配置"))</f>
        <v/>
      </c>
    </row>
    <row r="19" spans="1:10" x14ac:dyDescent="0.2">
      <c r="A19" s="17">
        <v>1600401</v>
      </c>
      <c r="B19" s="4" t="str">
        <f t="shared" si="0"/>
        <v>trait_name_1600401</v>
      </c>
      <c r="C19" s="5" t="s">
        <v>91</v>
      </c>
      <c r="D19" s="4">
        <v>-2</v>
      </c>
      <c r="E19" s="4" t="b">
        <v>1</v>
      </c>
      <c r="F19" s="4" t="str">
        <f t="shared" si="1"/>
        <v>trait_desc_1600401</v>
      </c>
      <c r="G19" s="37" t="str" cm="1">
        <f t="array" ref="G19">_xlfn.LET(_xlpm.trait_name,$H19,
_xlpm.parms1,$I19,
_xlpm.parms2,$J19,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IFERROR(IF($A19&lt;&gt;"",_xlpm.suffix,""),"//特性描述待配置"))</f>
        <v>//特性描述待配置</v>
      </c>
      <c r="H19" s="32" t="s">
        <v>93</v>
      </c>
    </row>
    <row r="20" spans="1:10" x14ac:dyDescent="0.2">
      <c r="A20" s="17">
        <v>1600402</v>
      </c>
      <c r="B20" s="4" t="str">
        <f t="shared" si="0"/>
        <v>trait_name_1600402</v>
      </c>
      <c r="C20" s="5" t="s">
        <v>92</v>
      </c>
      <c r="D20" s="4">
        <v>2</v>
      </c>
      <c r="F20" s="4" t="str">
        <f t="shared" si="1"/>
        <v>trait_desc_1600402</v>
      </c>
      <c r="G20" s="37" t="str" cm="1">
        <f t="array" ref="G20">_xlfn.LET(_xlpm.trait_name,$H20,
_xlpm.parms1,$I20,
_xlpm.parms2,$J20,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IFERROR(IF($A20&lt;&gt;"",_xlpm.suffix,""),"//特性描述待配置"))</f>
        <v>//特性描述待配置</v>
      </c>
      <c r="H20" s="32" t="s">
        <v>93</v>
      </c>
    </row>
    <row r="21" spans="1:10" x14ac:dyDescent="0.2">
      <c r="G21" s="37" t="str" cm="1">
        <f t="array" ref="G21">_xlfn.LET(_xlpm.trait_name,$H21,
_xlpm.parms1,$I21,
_xlpm.parms2,$J21,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IFERROR(IF($A21&lt;&gt;"",_xlpm.suffix,""),"//特性描述待配置"))</f>
        <v/>
      </c>
    </row>
    <row r="22" spans="1:10" x14ac:dyDescent="0.2">
      <c r="A22" s="17">
        <v>1600501</v>
      </c>
      <c r="B22" s="4" t="str">
        <f t="shared" si="0"/>
        <v>trait_name_1600501</v>
      </c>
      <c r="C22" s="5" t="s">
        <v>114</v>
      </c>
      <c r="F22" s="4" t="str">
        <f t="shared" si="1"/>
        <v>trait_desc_1600501</v>
      </c>
      <c r="G22" s="37" t="str" cm="1">
        <f t="array" ref="G22">_xlfn.LET(_xlpm.trait_name,$H22,
_xlpm.parms1,$I22,
_xlpm.parms2,$J22,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IFERROR(IF($A22&lt;&gt;"",_xlpm.suffix,""),"//特性描述待配置"))</f>
        <v>//特性描述待配置</v>
      </c>
      <c r="H22" s="30" t="s">
        <v>95</v>
      </c>
    </row>
    <row r="23" spans="1:10" x14ac:dyDescent="0.2">
      <c r="A23" s="17">
        <v>1600502</v>
      </c>
      <c r="B23" s="4" t="str">
        <f t="shared" si="0"/>
        <v>trait_name_1600502</v>
      </c>
      <c r="C23" s="5" t="s">
        <v>115</v>
      </c>
      <c r="F23" s="4" t="str">
        <f t="shared" si="1"/>
        <v>trait_desc_1600502</v>
      </c>
      <c r="G23" s="37" t="str" cm="1">
        <f t="array" ref="G23">_xlfn.LET(_xlpm.trait_name,$H23,
_xlpm.parms1,$I23,
_xlpm.parms2,$J23,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IFERROR(IF($A23&lt;&gt;"",_xlpm.suffix,""),"//特性描述待配置"))</f>
        <v>//特性描述待配置</v>
      </c>
      <c r="H23" s="30" t="s">
        <v>95</v>
      </c>
    </row>
    <row r="24" spans="1:10" x14ac:dyDescent="0.2">
      <c r="G24" s="37" t="str" cm="1">
        <f t="array" ref="G24">_xlfn.LET(_xlpm.trait_name,$H24,
_xlpm.parms1,$I24,
_xlpm.parms2,$J24,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IFERROR(IF($A24&lt;&gt;"",_xlpm.suffix,""),"//特性描述待配置"))</f>
        <v/>
      </c>
    </row>
    <row r="25" spans="1:10" x14ac:dyDescent="0.2">
      <c r="A25" s="17">
        <v>1600601</v>
      </c>
      <c r="B25" s="4" t="str">
        <f t="shared" si="0"/>
        <v>trait_name_1600601</v>
      </c>
      <c r="C25" s="19" t="s">
        <v>112</v>
      </c>
      <c r="F25" s="4" t="str">
        <f t="shared" si="1"/>
        <v>trait_desc_1600601</v>
      </c>
      <c r="G25" s="37" t="str" cm="1">
        <f t="array" ref="G25">_xlfn.LET(_xlpm.trait_name,$H25,
_xlpm.parms1,$I25,
_xlpm.parms2,$J25,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IFERROR(IF($A25&lt;&gt;"",_xlpm.suffix,""),"//特性描述待配置"))</f>
        <v>//特性描述待配置</v>
      </c>
      <c r="H25" s="32" t="s">
        <v>116</v>
      </c>
    </row>
    <row r="26" spans="1:10" x14ac:dyDescent="0.2">
      <c r="A26" s="17">
        <v>1600602</v>
      </c>
      <c r="B26" s="4" t="str">
        <f t="shared" si="0"/>
        <v>trait_name_1600602</v>
      </c>
      <c r="C26" s="19" t="s">
        <v>113</v>
      </c>
      <c r="F26" s="4" t="str">
        <f t="shared" si="1"/>
        <v>trait_desc_1600602</v>
      </c>
      <c r="G26" s="37" t="str" cm="1">
        <f t="array" ref="G26">_xlfn.LET(_xlpm.trait_name,$H26,
_xlpm.parms1,$I26,
_xlpm.parms2,$J26,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IFERROR(IF($A26&lt;&gt;"",_xlpm.suffix,""),"//特性描述待配置"))</f>
        <v>//特性描述待配置</v>
      </c>
      <c r="H26" s="32" t="s">
        <v>116</v>
      </c>
    </row>
    <row r="27" spans="1:10" x14ac:dyDescent="0.2">
      <c r="G27" s="37" t="str" cm="1">
        <f t="array" ref="G27">_xlfn.LET(_xlpm.trait_name,$H27,
_xlpm.parms1,$I27,
_xlpm.parms2,$J27,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IFERROR(IF($A27&lt;&gt;"",_xlpm.suffix,""),"//特性描述待配置"))</f>
        <v/>
      </c>
    </row>
    <row r="28" spans="1:10" x14ac:dyDescent="0.2">
      <c r="A28" s="17">
        <v>1600703</v>
      </c>
      <c r="B28" s="4" t="str">
        <f t="shared" si="0"/>
        <v>trait_name_1600703</v>
      </c>
      <c r="C28" s="5" t="s">
        <v>144</v>
      </c>
      <c r="F28" s="4" t="str">
        <f t="shared" si="1"/>
        <v>trait_desc_1600703</v>
      </c>
      <c r="G28" s="37" t="str" cm="1">
        <f t="array" ref="G28">_xlfn.LET(_xlpm.trait_name,$H28,
_xlpm.parms1,$I28,
_xlpm.parms2,$J28,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IFERROR(IF($A28&lt;&gt;"",_xlpm.suffix,""),"//特性描述待配置"))</f>
        <v>每次进食消耗3份食物，但进食后心情+20</v>
      </c>
      <c r="H28" s="31" t="s">
        <v>117</v>
      </c>
      <c r="I28" s="4">
        <v>3</v>
      </c>
      <c r="J28" s="4">
        <v>20</v>
      </c>
    </row>
    <row r="29" spans="1:10" x14ac:dyDescent="0.2">
      <c r="A29" s="17">
        <v>1600704</v>
      </c>
      <c r="B29" s="4" t="str">
        <f t="shared" si="0"/>
        <v>trait_name_1600704</v>
      </c>
      <c r="C29" s="5" t="s">
        <v>145</v>
      </c>
      <c r="F29" s="4" t="str">
        <f t="shared" si="1"/>
        <v>trait_desc_1600704</v>
      </c>
      <c r="G29" s="37" t="str" cm="1">
        <f t="array" ref="G29">_xlfn.LET(_xlpm.trait_name,$H29,
_xlpm.parms1,$I29,
_xlpm.parms2,$J29,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IFERROR(IF($A29&lt;&gt;"",_xlpm.suffix,""),"//特性描述待配置"))</f>
        <v>每次进食消耗3份食物，但进食后心情+30</v>
      </c>
      <c r="H29" s="31" t="s">
        <v>117</v>
      </c>
      <c r="I29" s="4">
        <v>3</v>
      </c>
      <c r="J29" s="4">
        <v>30</v>
      </c>
    </row>
    <row r="30" spans="1:10" x14ac:dyDescent="0.2">
      <c r="G30" s="37" t="str" cm="1">
        <f t="array" ref="G30">_xlfn.LET(_xlpm.trait_name,$H30,
_xlpm.parms1,$I30,
_xlpm.parms2,$J30,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IFERROR(IF($A30&lt;&gt;"",_xlpm.suffix,""),"//特性描述待配置"))</f>
        <v/>
      </c>
    </row>
    <row r="31" spans="1:10" x14ac:dyDescent="0.2">
      <c r="A31" s="17">
        <v>1600801</v>
      </c>
      <c r="B31" s="4" t="str">
        <f t="shared" si="0"/>
        <v>trait_name_1600801</v>
      </c>
      <c r="C31" s="5" t="s">
        <v>118</v>
      </c>
      <c r="F31" s="4" t="str">
        <f t="shared" si="1"/>
        <v>trait_desc_1600801</v>
      </c>
      <c r="G31" s="37" t="str" cm="1">
        <f t="array" ref="G31">_xlfn.LET(_xlpm.trait_name,$H31,
_xlpm.parms1,$I31,
_xlpm.parms2,$J31,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IFERROR(IF($A31&lt;&gt;"",_xlpm.suffix,""),"//特性描述待配置"))</f>
        <v>每次进食有25%的概率不消耗食物</v>
      </c>
      <c r="H31" s="31" t="s">
        <v>121</v>
      </c>
      <c r="I31" s="4">
        <v>250</v>
      </c>
    </row>
    <row r="32" spans="1:10" x14ac:dyDescent="0.2">
      <c r="A32" s="17">
        <v>1600802</v>
      </c>
      <c r="B32" s="4" t="str">
        <f t="shared" si="0"/>
        <v>trait_name_1600802</v>
      </c>
      <c r="C32" s="5" t="s">
        <v>119</v>
      </c>
      <c r="F32" s="4" t="str">
        <f t="shared" si="1"/>
        <v>trait_desc_1600802</v>
      </c>
      <c r="G32" s="37" t="str" cm="1">
        <f t="array" ref="G32">_xlfn.LET(_xlpm.trait_name,$H32,
_xlpm.parms1,$I32,
_xlpm.parms2,$J32,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IFERROR(IF($A32&lt;&gt;"",_xlpm.suffix,""),"//特性描述待配置"))</f>
        <v>每次进食有50%的概率不消耗食物</v>
      </c>
      <c r="H32" s="31" t="s">
        <v>121</v>
      </c>
      <c r="I32" s="4">
        <v>500</v>
      </c>
    </row>
    <row r="33" spans="1:9" x14ac:dyDescent="0.2">
      <c r="A33" s="17">
        <v>1600803</v>
      </c>
      <c r="B33" s="4" t="str">
        <f t="shared" si="0"/>
        <v>trait_name_1600803</v>
      </c>
      <c r="C33" s="5" t="s">
        <v>120</v>
      </c>
      <c r="F33" s="4" t="str">
        <f t="shared" si="1"/>
        <v>trait_desc_1600803</v>
      </c>
      <c r="G33" s="37" t="str" cm="1">
        <f t="array" ref="G33">_xlfn.LET(_xlpm.trait_name,$H33,
_xlpm.parms1,$I33,
_xlpm.parms2,$J33,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IFERROR(IF($A33&lt;&gt;"",_xlpm.suffix,""),"//特性描述待配置"))</f>
        <v>每次进食有75%的概率不消耗食物</v>
      </c>
      <c r="H33" s="31" t="s">
        <v>121</v>
      </c>
      <c r="I33" s="4">
        <v>750</v>
      </c>
    </row>
    <row r="34" spans="1:9" x14ac:dyDescent="0.2">
      <c r="G34" s="37" t="str" cm="1">
        <f t="array" ref="G34">_xlfn.LET(_xlpm.trait_name,$H34,
_xlpm.parms1,$I34,
_xlpm.parms2,$J34,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IFERROR(IF($A34&lt;&gt;"",_xlpm.suffix,""),"//特性描述待配置"))</f>
        <v/>
      </c>
    </row>
    <row r="35" spans="1:9" x14ac:dyDescent="0.2">
      <c r="A35" s="17">
        <v>1601001</v>
      </c>
      <c r="B35" s="4" t="str">
        <f t="shared" si="0"/>
        <v>trait_name_1601001</v>
      </c>
      <c r="C35" s="5" t="s">
        <v>122</v>
      </c>
      <c r="F35" s="4" t="str">
        <f t="shared" si="1"/>
        <v>trait_desc_1601001</v>
      </c>
      <c r="G35" s="37" t="str" cm="1">
        <f t="array" ref="G35">_xlfn.LET(_xlpm.trait_name,$H35,
_xlpm.parms1,$I35,
_xlpm.parms2,$J35,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IFERROR(IF($A35&lt;&gt;"",_xlpm.suffix,""),"//特性描述待配置"))</f>
        <v>//特性描述待配置</v>
      </c>
      <c r="H35" s="32" t="s">
        <v>125</v>
      </c>
      <c r="I35" s="4">
        <v>25</v>
      </c>
    </row>
    <row r="36" spans="1:9" x14ac:dyDescent="0.2">
      <c r="A36" s="17">
        <v>1601002</v>
      </c>
      <c r="B36" s="4" t="str">
        <f t="shared" si="0"/>
        <v>trait_name_1601002</v>
      </c>
      <c r="C36" s="5" t="s">
        <v>123</v>
      </c>
      <c r="F36" s="4" t="str">
        <f t="shared" si="1"/>
        <v>trait_desc_1601002</v>
      </c>
      <c r="G36" s="37" t="str" cm="1">
        <f t="array" ref="G36">_xlfn.LET(_xlpm.trait_name,$H36,
_xlpm.parms1,$I36,
_xlpm.parms2,$J36,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IFERROR(IF($A36&lt;&gt;"",_xlpm.suffix,""),"//特性描述待配置"))</f>
        <v>//特性描述待配置</v>
      </c>
      <c r="H36" s="32" t="s">
        <v>125</v>
      </c>
      <c r="I36" s="4">
        <v>50</v>
      </c>
    </row>
    <row r="37" spans="1:9" x14ac:dyDescent="0.2">
      <c r="A37" s="17">
        <v>1601003</v>
      </c>
      <c r="B37" s="4" t="str">
        <f t="shared" si="0"/>
        <v>trait_name_1601003</v>
      </c>
      <c r="C37" s="5" t="s">
        <v>124</v>
      </c>
      <c r="F37" s="4" t="str">
        <f t="shared" si="1"/>
        <v>trait_desc_1601003</v>
      </c>
      <c r="G37" s="37" t="str" cm="1">
        <f t="array" ref="G37">_xlfn.LET(_xlpm.trait_name,$H37,
_xlpm.parms1,$I37,
_xlpm.parms2,$J37,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IFERROR(IF($A37&lt;&gt;"",_xlpm.suffix,""),"//特性描述待配置"))</f>
        <v>//特性描述待配置</v>
      </c>
      <c r="H37" s="32" t="s">
        <v>125</v>
      </c>
      <c r="I37" s="4">
        <v>75</v>
      </c>
    </row>
    <row r="38" spans="1:9" x14ac:dyDescent="0.2">
      <c r="G38" s="37" t="str" cm="1">
        <f t="array" ref="G38">_xlfn.LET(_xlpm.trait_name,$H38,
_xlpm.parms1,$I38,
_xlpm.parms2,$J38,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IFERROR(IF($A38&lt;&gt;"",_xlpm.suffix,""),"//特性描述待配置"))</f>
        <v/>
      </c>
    </row>
    <row r="39" spans="1:9" x14ac:dyDescent="0.2">
      <c r="A39" s="17">
        <v>1601101</v>
      </c>
      <c r="B39" s="4" t="str">
        <f t="shared" si="0"/>
        <v>trait_name_1601101</v>
      </c>
      <c r="C39" s="5" t="s">
        <v>127</v>
      </c>
      <c r="F39" s="4" t="str">
        <f t="shared" si="1"/>
        <v>trait_desc_1601101</v>
      </c>
      <c r="G39" s="37" t="str" cm="1">
        <f t="array" ref="G39">_xlfn.LET(_xlpm.trait_name,$H39,
_xlpm.parms1,$I39,
_xlpm.parms2,$J39,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IFERROR(IF($A39&lt;&gt;"",_xlpm.suffix,""),"//特性描述待配置"))</f>
        <v>//特性描述待配置</v>
      </c>
      <c r="H39" s="32" t="s">
        <v>126</v>
      </c>
      <c r="I39" s="4">
        <v>-30</v>
      </c>
    </row>
    <row r="40" spans="1:9" x14ac:dyDescent="0.2">
      <c r="A40" s="17">
        <v>1601102</v>
      </c>
      <c r="B40" s="4" t="str">
        <f t="shared" si="0"/>
        <v>trait_name_1601102</v>
      </c>
      <c r="C40" s="5" t="s">
        <v>128</v>
      </c>
      <c r="F40" s="4" t="str">
        <f t="shared" si="1"/>
        <v>trait_desc_1601102</v>
      </c>
      <c r="G40" s="37" t="str" cm="1">
        <f t="array" ref="G40">_xlfn.LET(_xlpm.trait_name,$H40,
_xlpm.parms1,$I40,
_xlpm.parms2,$J40,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IFERROR(IF($A40&lt;&gt;"",_xlpm.suffix,""),"//特性描述待配置"))</f>
        <v>//特性描述待配置</v>
      </c>
      <c r="H40" s="32" t="s">
        <v>126</v>
      </c>
      <c r="I40" s="4">
        <v>-20</v>
      </c>
    </row>
    <row r="41" spans="1:9" x14ac:dyDescent="0.2">
      <c r="A41" s="17">
        <v>1601103</v>
      </c>
      <c r="B41" s="4" t="str">
        <f t="shared" si="0"/>
        <v>trait_name_1601103</v>
      </c>
      <c r="C41" s="5" t="s">
        <v>129</v>
      </c>
      <c r="F41" s="4" t="str">
        <f t="shared" si="1"/>
        <v>trait_desc_1601103</v>
      </c>
      <c r="G41" s="37" t="str" cm="1">
        <f t="array" ref="G41">_xlfn.LET(_xlpm.trait_name,$H41,
_xlpm.parms1,$I41,
_xlpm.parms2,$J41,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IFERROR(IF($A41&lt;&gt;"",_xlpm.suffix,""),"//特性描述待配置"))</f>
        <v>//特性描述待配置</v>
      </c>
      <c r="H41" s="32" t="s">
        <v>126</v>
      </c>
      <c r="I41" s="4">
        <v>-10</v>
      </c>
    </row>
    <row r="42" spans="1:9" x14ac:dyDescent="0.2">
      <c r="G42" s="37" t="str" cm="1">
        <f t="array" ref="G42">_xlfn.LET(_xlpm.trait_name,$H42,
_xlpm.parms1,$I42,
_xlpm.parms2,$J42,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IFERROR(IF($A42&lt;&gt;"",_xlpm.suffix,""),"//特性描述待配置"))</f>
        <v/>
      </c>
    </row>
    <row r="43" spans="1:9" x14ac:dyDescent="0.2">
      <c r="A43" s="17">
        <v>1601201</v>
      </c>
      <c r="B43" s="4" t="str">
        <f t="shared" si="0"/>
        <v>trait_name_1601201</v>
      </c>
      <c r="C43" s="5" t="s">
        <v>130</v>
      </c>
      <c r="F43" s="4" t="str">
        <f t="shared" si="1"/>
        <v>trait_desc_1601201</v>
      </c>
      <c r="G43" s="37" t="str" cm="1">
        <f t="array" ref="G43">_xlfn.LET(_xlpm.trait_name,$H43,
_xlpm.parms1,$I43,
_xlpm.parms2,$J43,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IFERROR(IF($A43&lt;&gt;"",_xlpm.suffix,""),"//特性描述待配置"))</f>
        <v>//特性描述待配置</v>
      </c>
      <c r="H43" s="32" t="s">
        <v>133</v>
      </c>
      <c r="I43" s="4">
        <v>-60</v>
      </c>
    </row>
    <row r="44" spans="1:9" x14ac:dyDescent="0.2">
      <c r="A44" s="17">
        <v>1601202</v>
      </c>
      <c r="B44" s="4" t="str">
        <f t="shared" si="0"/>
        <v>trait_name_1601202</v>
      </c>
      <c r="C44" s="5" t="s">
        <v>131</v>
      </c>
      <c r="F44" s="4" t="str">
        <f t="shared" si="1"/>
        <v>trait_desc_1601202</v>
      </c>
      <c r="G44" s="37" t="str" cm="1">
        <f t="array" ref="G44">_xlfn.LET(_xlpm.trait_name,$H44,
_xlpm.parms1,$I44,
_xlpm.parms2,$J44,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IFERROR(IF($A44&lt;&gt;"",_xlpm.suffix,""),"//特性描述待配置"))</f>
        <v>//特性描述待配置</v>
      </c>
      <c r="H44" s="32" t="s">
        <v>133</v>
      </c>
      <c r="I44" s="4">
        <v>-40</v>
      </c>
    </row>
    <row r="45" spans="1:9" x14ac:dyDescent="0.2">
      <c r="A45" s="17">
        <v>1601203</v>
      </c>
      <c r="B45" s="4" t="str">
        <f t="shared" si="0"/>
        <v>trait_name_1601203</v>
      </c>
      <c r="C45" s="5" t="s">
        <v>132</v>
      </c>
      <c r="F45" s="4" t="str">
        <f t="shared" si="1"/>
        <v>trait_desc_1601203</v>
      </c>
      <c r="G45" s="37" t="str" cm="1">
        <f t="array" ref="G45">_xlfn.LET(_xlpm.trait_name,$H45,
_xlpm.parms1,$I45,
_xlpm.parms2,$J45,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IFERROR(IF($A45&lt;&gt;"",_xlpm.suffix,""),"//特性描述待配置"))</f>
        <v>//特性描述待配置</v>
      </c>
      <c r="H45" s="32" t="s">
        <v>133</v>
      </c>
      <c r="I45" s="4">
        <v>-20</v>
      </c>
    </row>
    <row r="46" spans="1:9" x14ac:dyDescent="0.2">
      <c r="G46" s="37" t="str" cm="1">
        <f t="array" ref="G46">_xlfn.LET(_xlpm.trait_name,$H46,
_xlpm.parms1,$I46,
_xlpm.parms2,$J46,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IFERROR(IF($A46&lt;&gt;"",_xlpm.suffix,""),"//特性描述待配置"))</f>
        <v/>
      </c>
    </row>
    <row r="47" spans="1:9" x14ac:dyDescent="0.2">
      <c r="A47" s="17">
        <v>1602001</v>
      </c>
      <c r="B47" s="4" t="str">
        <f t="shared" si="0"/>
        <v>trait_name_1602001</v>
      </c>
      <c r="C47" s="5" t="s">
        <v>134</v>
      </c>
      <c r="F47" s="4" t="str">
        <f t="shared" si="1"/>
        <v>trait_desc_1602001</v>
      </c>
      <c r="G47" s="37" t="str" cm="1">
        <f t="array" ref="G47">_xlfn.LET(_xlpm.trait_name,$H47,
_xlpm.parms1,$I47,
_xlpm.parms2,$J47,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IFERROR(IF($A47&lt;&gt;"",_xlpm.suffix,""),"//特性描述待配置"))</f>
        <v>//特性描述待配置</v>
      </c>
      <c r="H47" s="32" t="s">
        <v>137</v>
      </c>
      <c r="I47" s="33" t="s">
        <v>138</v>
      </c>
    </row>
    <row r="48" spans="1:9" x14ac:dyDescent="0.2">
      <c r="A48" s="17">
        <v>1602002</v>
      </c>
      <c r="B48" s="4" t="str">
        <f t="shared" si="0"/>
        <v>trait_name_1602002</v>
      </c>
      <c r="C48" s="5" t="s">
        <v>135</v>
      </c>
      <c r="F48" s="4" t="str">
        <f t="shared" si="1"/>
        <v>trait_desc_1602002</v>
      </c>
      <c r="G48" s="37" t="str" cm="1">
        <f t="array" ref="G48">_xlfn.LET(_xlpm.trait_name,$H48,
_xlpm.parms1,$I48,
_xlpm.parms2,$J48,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IFERROR(IF($A48&lt;&gt;"",_xlpm.suffix,""),"//特性描述待配置"))</f>
        <v>//特性描述待配置</v>
      </c>
      <c r="H48" s="32" t="s">
        <v>137</v>
      </c>
      <c r="I48" s="33" t="s">
        <v>138</v>
      </c>
    </row>
    <row r="49" spans="1:10" x14ac:dyDescent="0.2">
      <c r="A49" s="17">
        <v>1602003</v>
      </c>
      <c r="B49" s="4" t="str">
        <f t="shared" si="0"/>
        <v>trait_name_1602003</v>
      </c>
      <c r="C49" s="5" t="s">
        <v>136</v>
      </c>
      <c r="F49" s="4" t="str">
        <f t="shared" si="1"/>
        <v>trait_desc_1602003</v>
      </c>
      <c r="G49" s="37" t="str" cm="1">
        <f t="array" ref="G49">_xlfn.LET(_xlpm.trait_name,$H49,
_xlpm.parms1,$I49,
_xlpm.parms2,$J49,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IFERROR(IF($A49&lt;&gt;"",_xlpm.suffix,""),"//特性描述待配置"))</f>
        <v>//特性描述待配置</v>
      </c>
      <c r="H49" s="32" t="s">
        <v>137</v>
      </c>
      <c r="I49" s="33" t="s">
        <v>138</v>
      </c>
    </row>
    <row r="50" spans="1:10" x14ac:dyDescent="0.2">
      <c r="G50" s="37" t="str" cm="1">
        <f t="array" ref="G50">_xlfn.LET(_xlpm.trait_name,$H50,
_xlpm.parms1,$I50,
_xlpm.parms2,$J50,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IFERROR(IF($A50&lt;&gt;"",_xlpm.suffix,""),"//特性描述待配置"))</f>
        <v/>
      </c>
    </row>
    <row r="51" spans="1:10" x14ac:dyDescent="0.2">
      <c r="A51" s="17">
        <v>1602101</v>
      </c>
      <c r="B51" s="4" t="str">
        <f t="shared" si="0"/>
        <v>trait_name_1602101</v>
      </c>
      <c r="C51" s="5" t="s">
        <v>139</v>
      </c>
      <c r="F51" s="4" t="str">
        <f t="shared" si="1"/>
        <v>trait_desc_1602101</v>
      </c>
      <c r="G51" s="37" t="str" cm="1">
        <f t="array" ref="G51">_xlfn.LET(_xlpm.trait_name,$H51,
_xlpm.parms1,$I51,
_xlpm.parms2,$J51,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IFERROR(IF($A51&lt;&gt;"",_xlpm.suffix,""),"//特性描述待配置"))</f>
        <v>//特性描述待配置</v>
      </c>
      <c r="H51" s="32" t="s">
        <v>142</v>
      </c>
      <c r="I51" s="33" t="str">
        <f>"-10;15;10"</f>
        <v>-10;15;10</v>
      </c>
    </row>
    <row r="52" spans="1:10" x14ac:dyDescent="0.2">
      <c r="A52" s="17">
        <v>1602102</v>
      </c>
      <c r="B52" s="4" t="str">
        <f t="shared" si="0"/>
        <v>trait_name_1602102</v>
      </c>
      <c r="C52" s="5" t="s">
        <v>140</v>
      </c>
      <c r="F52" s="4" t="str">
        <f t="shared" si="1"/>
        <v>trait_desc_1602102</v>
      </c>
      <c r="G52" s="37" t="str" cm="1">
        <f t="array" ref="G52">_xlfn.LET(_xlpm.trait_name,$H52,
_xlpm.parms1,$I52,
_xlpm.parms2,$J52,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IFERROR(IF($A52&lt;&gt;"",_xlpm.suffix,""),"//特性描述待配置"))</f>
        <v>//特性描述待配置</v>
      </c>
      <c r="H52" s="32" t="s">
        <v>142</v>
      </c>
      <c r="I52" s="33" t="str">
        <f>"-10;15;10"</f>
        <v>-10;15;10</v>
      </c>
    </row>
    <row r="53" spans="1:10" x14ac:dyDescent="0.2">
      <c r="A53" s="17">
        <v>1602103</v>
      </c>
      <c r="B53" s="4" t="str">
        <f t="shared" si="0"/>
        <v>trait_name_1602103</v>
      </c>
      <c r="C53" s="5" t="s">
        <v>141</v>
      </c>
      <c r="F53" s="4" t="str">
        <f t="shared" si="1"/>
        <v>trait_desc_1602103</v>
      </c>
      <c r="G53" s="37" t="str" cm="1">
        <f t="array" ref="G53">_xlfn.LET(_xlpm.trait_name,$H53,
_xlpm.parms1,$I53,
_xlpm.parms2,$J53,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IFERROR(IF($A53&lt;&gt;"",_xlpm.suffix,""),"//特性描述待配置"))</f>
        <v>//特性描述待配置</v>
      </c>
      <c r="H53" s="32" t="s">
        <v>142</v>
      </c>
      <c r="I53" s="33" t="str">
        <f>"-10;15;10"</f>
        <v>-10;15;10</v>
      </c>
    </row>
    <row r="54" spans="1:10" x14ac:dyDescent="0.2">
      <c r="G54" s="37" t="str" cm="1">
        <f t="array" ref="G54">_xlfn.LET(_xlpm.trait_name,$H54,
_xlpm.parms1,$I54,
_xlpm.parms2,$J54,
_xlpm.expr,RIGHT(desc,LEN(desc)-FIND("=",desc)),
_xlpm.suffix,_xlfn.SWITCH(_xlpm.trait_name,
    "CP_Device_Skilled",_xlfn.CONCAT("操作以下设备时，战斗效率",IF(_xlpm.parms2&gt;=0,"+",""),_xlpm.parms2,": ",_xlfn.TEXTJOIN(", ",1,"&lt;br&gt;"&amp;VLOOKUP(VALUE(_xlfn.TEXTSPLIT(_xlpm.parms1,";")),table_tag[#All],2,0))),
    "CP_Device_Disabled",_xlfn.CONCAT("无法操作以下设备：",_xlfn.TEXTJOIN(", ",1,"&lt;br&gt;"&amp;VLOOKUP(VALUE(_xlfn.TEXTSPLIT(_xlpm.parms1,";")),table_tag[#All],2,0))),
    "CP_Big_Eater","每次进食消耗"&amp;_xlpm.parms1&amp;"份食物，但进食后心情+"&amp;_xlpm.parms2,
    "CP_Food_Saver","每次进食有"&amp;TEXT(_xlpm.parms1/1000,"0%")&amp;"的概率不消耗食物"
    ),
IFERROR(IF($A54&lt;&gt;"",_xlpm.suffix,""),"//特性描述待配置"))</f>
        <v/>
      </c>
    </row>
    <row r="57" spans="1:10" s="58" customFormat="1" x14ac:dyDescent="0.2">
      <c r="A57" s="56"/>
      <c r="B57" s="59"/>
      <c r="C57" s="60" t="s">
        <v>203</v>
      </c>
      <c r="D57" s="56"/>
      <c r="E57" s="56"/>
      <c r="F57" s="56"/>
      <c r="G57" s="57"/>
      <c r="I57" s="56"/>
      <c r="J57" s="56"/>
    </row>
    <row r="59" spans="1:10" x14ac:dyDescent="0.2">
      <c r="A59" s="4">
        <v>16301</v>
      </c>
      <c r="B59" s="4" t="str">
        <f>_xlfn.TEXTJOIN("_",1,"trait_name",$A59)</f>
        <v>trait_name_16301</v>
      </c>
      <c r="C59" s="5" t="s">
        <v>217</v>
      </c>
      <c r="F59" s="4" t="str">
        <f t="shared" ref="F59:F79" si="2">_xlfn.TEXTJOIN("_",1,"trait_desc",$A59)</f>
        <v>trait_desc_16301</v>
      </c>
      <c r="G59" s="5" t="s">
        <v>257</v>
      </c>
      <c r="H59" s="31" t="s">
        <v>204</v>
      </c>
    </row>
    <row r="60" spans="1:10" x14ac:dyDescent="0.2">
      <c r="A60" s="4">
        <v>16302</v>
      </c>
      <c r="B60" s="4" t="str">
        <f t="shared" ref="B60:B79" si="3">_xlfn.TEXTJOIN("_",1,"trait_name",$A60)</f>
        <v>trait_name_16302</v>
      </c>
      <c r="C60" s="5" t="s">
        <v>218</v>
      </c>
      <c r="F60" s="4" t="str">
        <f t="shared" si="2"/>
        <v>trait_desc_16302</v>
      </c>
      <c r="G60" s="5" t="s">
        <v>258</v>
      </c>
      <c r="H60" s="31" t="s">
        <v>204</v>
      </c>
    </row>
    <row r="61" spans="1:10" x14ac:dyDescent="0.2">
      <c r="A61" s="4">
        <v>16303</v>
      </c>
      <c r="B61" s="4" t="str">
        <f t="shared" si="3"/>
        <v>trait_name_16303</v>
      </c>
      <c r="C61" s="5" t="s">
        <v>219</v>
      </c>
      <c r="E61" s="4" t="b">
        <v>1</v>
      </c>
      <c r="F61" s="4" t="str">
        <f t="shared" si="2"/>
        <v>trait_desc_16303</v>
      </c>
      <c r="G61" s="5" t="s">
        <v>259</v>
      </c>
      <c r="H61" s="31" t="s">
        <v>204</v>
      </c>
    </row>
    <row r="62" spans="1:10" x14ac:dyDescent="0.2">
      <c r="A62" s="4">
        <v>16304</v>
      </c>
      <c r="B62" s="4" t="str">
        <f t="shared" si="3"/>
        <v>trait_name_16304</v>
      </c>
      <c r="C62" s="5" t="s">
        <v>220</v>
      </c>
      <c r="E62" s="4" t="b">
        <v>1</v>
      </c>
      <c r="F62" s="4" t="str">
        <f t="shared" si="2"/>
        <v>trait_desc_16304</v>
      </c>
      <c r="G62" s="5" t="s">
        <v>260</v>
      </c>
      <c r="H62" s="31" t="s">
        <v>204</v>
      </c>
    </row>
    <row r="63" spans="1:10" x14ac:dyDescent="0.2">
      <c r="A63" s="4">
        <v>16305</v>
      </c>
      <c r="B63" s="4" t="str">
        <f t="shared" si="3"/>
        <v>trait_name_16305</v>
      </c>
      <c r="C63" s="5" t="s">
        <v>221</v>
      </c>
      <c r="F63" s="4" t="str">
        <f t="shared" si="2"/>
        <v>trait_desc_16305</v>
      </c>
      <c r="G63" s="5" t="s">
        <v>261</v>
      </c>
      <c r="H63" s="31" t="s">
        <v>204</v>
      </c>
    </row>
    <row r="64" spans="1:10" x14ac:dyDescent="0.2">
      <c r="A64" s="4">
        <v>16306</v>
      </c>
      <c r="B64" s="4" t="str">
        <f t="shared" si="3"/>
        <v>trait_name_16306</v>
      </c>
      <c r="C64" s="5" t="s">
        <v>222</v>
      </c>
      <c r="F64" s="4" t="str">
        <f t="shared" si="2"/>
        <v>trait_desc_16306</v>
      </c>
      <c r="G64" s="5" t="s">
        <v>262</v>
      </c>
      <c r="H64" s="31" t="s">
        <v>204</v>
      </c>
    </row>
    <row r="65" spans="1:8" x14ac:dyDescent="0.2">
      <c r="A65" s="4">
        <v>16307</v>
      </c>
      <c r="B65" s="4" t="str">
        <f t="shared" si="3"/>
        <v>trait_name_16307</v>
      </c>
      <c r="C65" s="5" t="s">
        <v>223</v>
      </c>
      <c r="F65" s="4" t="str">
        <f t="shared" si="2"/>
        <v>trait_desc_16307</v>
      </c>
      <c r="G65" s="5" t="s">
        <v>263</v>
      </c>
      <c r="H65" s="31" t="s">
        <v>204</v>
      </c>
    </row>
    <row r="66" spans="1:8" x14ac:dyDescent="0.2">
      <c r="A66" s="4">
        <v>16308</v>
      </c>
      <c r="B66" s="4" t="str">
        <f t="shared" si="3"/>
        <v>trait_name_16308</v>
      </c>
      <c r="C66" s="5" t="s">
        <v>224</v>
      </c>
      <c r="F66" s="4" t="str">
        <f t="shared" si="2"/>
        <v>trait_desc_16308</v>
      </c>
      <c r="G66" s="5" t="s">
        <v>264</v>
      </c>
      <c r="H66" s="31" t="s">
        <v>204</v>
      </c>
    </row>
    <row r="67" spans="1:8" x14ac:dyDescent="0.2">
      <c r="A67" s="4">
        <v>16309</v>
      </c>
      <c r="B67" s="4" t="str">
        <f t="shared" si="3"/>
        <v>trait_name_16309</v>
      </c>
      <c r="C67" s="5" t="s">
        <v>225</v>
      </c>
      <c r="F67" s="4" t="str">
        <f t="shared" si="2"/>
        <v>trait_desc_16309</v>
      </c>
      <c r="G67" s="5" t="s">
        <v>265</v>
      </c>
      <c r="H67" s="31" t="s">
        <v>204</v>
      </c>
    </row>
    <row r="68" spans="1:8" x14ac:dyDescent="0.2">
      <c r="A68" s="4">
        <v>16310</v>
      </c>
      <c r="B68" s="4" t="str">
        <f t="shared" si="3"/>
        <v>trait_name_16310</v>
      </c>
      <c r="C68" s="5" t="s">
        <v>226</v>
      </c>
      <c r="F68" s="4" t="str">
        <f t="shared" si="2"/>
        <v>trait_desc_16310</v>
      </c>
      <c r="G68" s="5" t="s">
        <v>266</v>
      </c>
      <c r="H68" s="31" t="s">
        <v>204</v>
      </c>
    </row>
    <row r="69" spans="1:8" x14ac:dyDescent="0.2">
      <c r="A69" s="4">
        <v>16311</v>
      </c>
      <c r="B69" s="4" t="str">
        <f t="shared" si="3"/>
        <v>trait_name_16311</v>
      </c>
      <c r="C69" s="5" t="s">
        <v>227</v>
      </c>
      <c r="F69" s="4" t="str">
        <f t="shared" si="2"/>
        <v>trait_desc_16311</v>
      </c>
      <c r="G69" s="5" t="s">
        <v>267</v>
      </c>
      <c r="H69" s="31" t="s">
        <v>204</v>
      </c>
    </row>
    <row r="71" spans="1:8" x14ac:dyDescent="0.2">
      <c r="A71" s="4">
        <v>16401</v>
      </c>
      <c r="B71" s="4" t="str">
        <f t="shared" si="3"/>
        <v>trait_name_16401</v>
      </c>
      <c r="C71" s="5" t="s">
        <v>228</v>
      </c>
      <c r="F71" s="4" t="str">
        <f t="shared" si="2"/>
        <v>trait_desc_16401</v>
      </c>
      <c r="G71" s="5" t="s">
        <v>283</v>
      </c>
      <c r="H71" s="31" t="s">
        <v>204</v>
      </c>
    </row>
    <row r="72" spans="1:8" x14ac:dyDescent="0.2">
      <c r="A72" s="4">
        <v>16402</v>
      </c>
      <c r="B72" s="4" t="str">
        <f t="shared" si="3"/>
        <v>trait_name_16402</v>
      </c>
      <c r="C72" s="5" t="s">
        <v>229</v>
      </c>
      <c r="F72" s="4" t="str">
        <f t="shared" si="2"/>
        <v>trait_desc_16402</v>
      </c>
      <c r="G72" s="5" t="s">
        <v>284</v>
      </c>
      <c r="H72" s="31" t="s">
        <v>204</v>
      </c>
    </row>
    <row r="73" spans="1:8" x14ac:dyDescent="0.2">
      <c r="A73" s="4">
        <v>16403</v>
      </c>
      <c r="B73" s="4" t="str">
        <f t="shared" si="3"/>
        <v>trait_name_16403</v>
      </c>
      <c r="C73" s="5" t="s">
        <v>230</v>
      </c>
      <c r="F73" s="4" t="str">
        <f t="shared" si="2"/>
        <v>trait_desc_16403</v>
      </c>
      <c r="G73" s="5" t="s">
        <v>285</v>
      </c>
      <c r="H73" s="31" t="s">
        <v>204</v>
      </c>
    </row>
    <row r="74" spans="1:8" x14ac:dyDescent="0.2">
      <c r="A74" s="4">
        <v>16404</v>
      </c>
      <c r="B74" s="4" t="str">
        <f t="shared" si="3"/>
        <v>trait_name_16404</v>
      </c>
      <c r="C74" s="5" t="s">
        <v>231</v>
      </c>
      <c r="F74" s="4" t="str">
        <f t="shared" si="2"/>
        <v>trait_desc_16404</v>
      </c>
      <c r="G74" s="5" t="s">
        <v>286</v>
      </c>
      <c r="H74" s="31" t="s">
        <v>204</v>
      </c>
    </row>
    <row r="75" spans="1:8" x14ac:dyDescent="0.2">
      <c r="A75" s="4">
        <v>16410</v>
      </c>
      <c r="B75" s="4" t="str">
        <f t="shared" si="3"/>
        <v>trait_name_16410</v>
      </c>
      <c r="C75" s="5" t="s">
        <v>232</v>
      </c>
      <c r="F75" s="4" t="str">
        <f t="shared" si="2"/>
        <v>trait_desc_16410</v>
      </c>
      <c r="G75" s="5" t="s">
        <v>287</v>
      </c>
      <c r="H75" s="31" t="s">
        <v>204</v>
      </c>
    </row>
    <row r="76" spans="1:8" x14ac:dyDescent="0.2">
      <c r="A76" s="4">
        <v>16411</v>
      </c>
      <c r="B76" s="4" t="str">
        <f t="shared" si="3"/>
        <v>trait_name_16411</v>
      </c>
      <c r="C76" s="5" t="s">
        <v>233</v>
      </c>
      <c r="F76" s="4" t="str">
        <f t="shared" si="2"/>
        <v>trait_desc_16411</v>
      </c>
      <c r="G76" s="5" t="s">
        <v>288</v>
      </c>
      <c r="H76" s="31" t="s">
        <v>204</v>
      </c>
    </row>
    <row r="77" spans="1:8" x14ac:dyDescent="0.2">
      <c r="A77" s="4">
        <v>16412</v>
      </c>
      <c r="B77" s="4" t="str">
        <f t="shared" si="3"/>
        <v>trait_name_16412</v>
      </c>
      <c r="C77" s="5" t="s">
        <v>234</v>
      </c>
      <c r="F77" s="4" t="str">
        <f t="shared" si="2"/>
        <v>trait_desc_16412</v>
      </c>
      <c r="G77" s="5" t="s">
        <v>289</v>
      </c>
      <c r="H77" s="31" t="s">
        <v>204</v>
      </c>
    </row>
    <row r="78" spans="1:8" x14ac:dyDescent="0.2">
      <c r="A78" s="4">
        <v>16413</v>
      </c>
      <c r="B78" s="4" t="str">
        <f t="shared" si="3"/>
        <v>trait_name_16413</v>
      </c>
      <c r="C78" s="5" t="s">
        <v>235</v>
      </c>
      <c r="F78" s="4" t="str">
        <f t="shared" si="2"/>
        <v>trait_desc_16413</v>
      </c>
      <c r="G78" s="5" t="s">
        <v>290</v>
      </c>
      <c r="H78" s="31" t="s">
        <v>204</v>
      </c>
    </row>
    <row r="79" spans="1:8" x14ac:dyDescent="0.2">
      <c r="A79" s="4">
        <v>16414</v>
      </c>
      <c r="B79" s="4" t="str">
        <f t="shared" si="3"/>
        <v>trait_name_16414</v>
      </c>
      <c r="C79" s="5" t="s">
        <v>236</v>
      </c>
      <c r="F79" s="4" t="str">
        <f t="shared" si="2"/>
        <v>trait_desc_16414</v>
      </c>
      <c r="G79" s="5" t="s">
        <v>291</v>
      </c>
      <c r="H79" s="31" t="s">
        <v>204</v>
      </c>
    </row>
    <row r="80" spans="1:8" x14ac:dyDescent="0.2">
      <c r="H80" s="31"/>
    </row>
    <row r="81" spans="8:8" x14ac:dyDescent="0.2">
      <c r="H81" s="31"/>
    </row>
  </sheetData>
  <phoneticPr fontId="7" type="noConversion"/>
  <pageMargins left="0.75" right="0.75" top="1" bottom="1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410F-7E03-478D-9B5B-B16B4AC3F8DA}">
  <sheetPr>
    <tabColor theme="1"/>
  </sheetPr>
  <dimension ref="A1:N61"/>
  <sheetViews>
    <sheetView topLeftCell="A4" workbookViewId="0">
      <selection activeCell="G31" sqref="G31"/>
    </sheetView>
  </sheetViews>
  <sheetFormatPr defaultColWidth="12.5" defaultRowHeight="14.25" x14ac:dyDescent="0.2"/>
  <cols>
    <col min="1" max="1" width="22.125" style="15" customWidth="1"/>
    <col min="2" max="2" width="12.5" style="21"/>
    <col min="3" max="16384" width="12.5" style="15"/>
  </cols>
  <sheetData>
    <row r="1" spans="1:14" s="14" customFormat="1" x14ac:dyDescent="0.2">
      <c r="B1" s="20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5"/>
      <c r="H1" s="15"/>
      <c r="I1" s="15"/>
      <c r="J1" s="15"/>
    </row>
    <row r="2" spans="1:14" s="18" customFormat="1" ht="6" customHeight="1" x14ac:dyDescent="0.2">
      <c r="B2" s="22"/>
    </row>
    <row r="3" spans="1:14" x14ac:dyDescent="0.2">
      <c r="B3" s="62" t="s">
        <v>31</v>
      </c>
      <c r="C3" s="62"/>
      <c r="D3" s="15" t="s">
        <v>36</v>
      </c>
      <c r="E3" s="62" t="s">
        <v>35</v>
      </c>
      <c r="F3" s="62"/>
    </row>
    <row r="4" spans="1:14" x14ac:dyDescent="0.2">
      <c r="D4" s="15" t="s">
        <v>185</v>
      </c>
      <c r="E4" s="62" t="s">
        <v>35</v>
      </c>
      <c r="F4" s="62"/>
    </row>
    <row r="8" spans="1:14" s="23" customFormat="1" ht="6" customHeight="1" x14ac:dyDescent="0.2">
      <c r="B8" s="24"/>
    </row>
    <row r="9" spans="1:14" s="14" customFormat="1" x14ac:dyDescent="0.2">
      <c r="A9" s="14" t="s">
        <v>40</v>
      </c>
      <c r="B9" s="20" t="s">
        <v>23</v>
      </c>
      <c r="C9" s="14" t="s">
        <v>24</v>
      </c>
      <c r="D9" s="14" t="s">
        <v>25</v>
      </c>
      <c r="E9" s="14" t="s">
        <v>26</v>
      </c>
      <c r="F9" s="14" t="s">
        <v>27</v>
      </c>
      <c r="G9" s="14" t="s">
        <v>28</v>
      </c>
      <c r="H9" s="14" t="s">
        <v>29</v>
      </c>
      <c r="I9" s="15"/>
      <c r="J9" s="15"/>
    </row>
    <row r="10" spans="1:14" s="18" customFormat="1" ht="6" customHeight="1" x14ac:dyDescent="0.2">
      <c r="B10" s="22"/>
    </row>
    <row r="11" spans="1:14" x14ac:dyDescent="0.2">
      <c r="A11" s="15" t="s">
        <v>41</v>
      </c>
      <c r="B11" s="62" t="s">
        <v>30</v>
      </c>
      <c r="C11" s="62"/>
      <c r="D11" s="15" t="s">
        <v>201</v>
      </c>
      <c r="E11" s="62" t="s">
        <v>76</v>
      </c>
      <c r="F11" s="62"/>
      <c r="G11" s="62" t="s">
        <v>35</v>
      </c>
      <c r="H11" s="62"/>
    </row>
    <row r="12" spans="1:14" x14ac:dyDescent="0.2">
      <c r="E12" s="62" t="s">
        <v>77</v>
      </c>
      <c r="F12" s="62"/>
      <c r="M12" s="15" t="s">
        <v>59</v>
      </c>
      <c r="N12" s="15" t="s">
        <v>60</v>
      </c>
    </row>
    <row r="13" spans="1:14" x14ac:dyDescent="0.2">
      <c r="A13" s="15" t="s">
        <v>75</v>
      </c>
      <c r="E13" s="62" t="s">
        <v>33</v>
      </c>
      <c r="F13" s="62"/>
      <c r="M13" s="15">
        <v>1410100</v>
      </c>
      <c r="N13" s="15" t="s">
        <v>42</v>
      </c>
    </row>
    <row r="14" spans="1:14" x14ac:dyDescent="0.2">
      <c r="A14" s="15" t="s">
        <v>94</v>
      </c>
      <c r="E14" s="62" t="s">
        <v>34</v>
      </c>
      <c r="F14" s="62"/>
    </row>
    <row r="15" spans="1:14" x14ac:dyDescent="0.2">
      <c r="A15" s="15" t="s">
        <v>96</v>
      </c>
      <c r="E15" s="62" t="s">
        <v>98</v>
      </c>
      <c r="F15" s="62"/>
      <c r="M15" s="15">
        <v>1420100</v>
      </c>
      <c r="N15" s="15" t="s">
        <v>43</v>
      </c>
    </row>
    <row r="16" spans="1:14" x14ac:dyDescent="0.2">
      <c r="A16" s="15" t="s">
        <v>97</v>
      </c>
      <c r="E16" s="62" t="s">
        <v>99</v>
      </c>
      <c r="F16" s="62"/>
      <c r="M16" s="15">
        <v>1420101</v>
      </c>
      <c r="N16" s="15" t="s">
        <v>44</v>
      </c>
    </row>
    <row r="17" spans="1:14" x14ac:dyDescent="0.2">
      <c r="A17" s="15" t="s">
        <v>100</v>
      </c>
      <c r="E17" s="62" t="s">
        <v>143</v>
      </c>
      <c r="F17" s="62"/>
      <c r="M17" s="15">
        <v>1420102</v>
      </c>
      <c r="N17" s="15" t="s">
        <v>45</v>
      </c>
    </row>
    <row r="18" spans="1:14" x14ac:dyDescent="0.2">
      <c r="A18" s="15" t="s">
        <v>101</v>
      </c>
      <c r="E18" s="62" t="s">
        <v>146</v>
      </c>
      <c r="F18" s="62"/>
      <c r="M18" s="15">
        <v>1420103</v>
      </c>
      <c r="N18" s="15" t="s">
        <v>46</v>
      </c>
    </row>
    <row r="19" spans="1:14" x14ac:dyDescent="0.2">
      <c r="A19" s="15" t="s">
        <v>107</v>
      </c>
      <c r="E19" s="62" t="s">
        <v>102</v>
      </c>
      <c r="F19" s="62"/>
      <c r="M19" s="15">
        <v>1420104</v>
      </c>
      <c r="N19" s="15" t="s">
        <v>47</v>
      </c>
    </row>
    <row r="20" spans="1:14" x14ac:dyDescent="0.2">
      <c r="A20" s="15" t="s">
        <v>108</v>
      </c>
      <c r="E20" s="62" t="s">
        <v>103</v>
      </c>
      <c r="F20" s="62"/>
    </row>
    <row r="21" spans="1:14" x14ac:dyDescent="0.2">
      <c r="A21" s="15" t="s">
        <v>109</v>
      </c>
      <c r="E21" s="62" t="s">
        <v>104</v>
      </c>
      <c r="F21" s="62"/>
      <c r="M21" s="15">
        <v>1420200</v>
      </c>
      <c r="N21" s="15" t="s">
        <v>48</v>
      </c>
    </row>
    <row r="22" spans="1:14" x14ac:dyDescent="0.2">
      <c r="A22" s="15" t="s">
        <v>110</v>
      </c>
      <c r="E22" s="62" t="s">
        <v>105</v>
      </c>
      <c r="F22" s="62"/>
      <c r="M22" s="15">
        <v>1420210</v>
      </c>
      <c r="N22" s="15" t="s">
        <v>49</v>
      </c>
    </row>
    <row r="23" spans="1:14" x14ac:dyDescent="0.2">
      <c r="A23" s="15" t="s">
        <v>111</v>
      </c>
      <c r="E23" s="62" t="s">
        <v>106</v>
      </c>
      <c r="F23" s="62"/>
      <c r="M23" s="15">
        <v>1420211</v>
      </c>
      <c r="N23" s="15" t="s">
        <v>37</v>
      </c>
    </row>
    <row r="24" spans="1:14" x14ac:dyDescent="0.2">
      <c r="M24" s="15">
        <v>1420212</v>
      </c>
      <c r="N24" s="15" t="s">
        <v>50</v>
      </c>
    </row>
    <row r="25" spans="1:14" x14ac:dyDescent="0.2">
      <c r="D25" s="15" t="s">
        <v>214</v>
      </c>
      <c r="E25" s="62" t="s">
        <v>237</v>
      </c>
      <c r="F25" s="62"/>
      <c r="M25" s="15">
        <v>1420213</v>
      </c>
      <c r="N25" s="15" t="s">
        <v>51</v>
      </c>
    </row>
    <row r="26" spans="1:14" x14ac:dyDescent="0.2">
      <c r="E26" s="62" t="s">
        <v>238</v>
      </c>
      <c r="F26" s="62"/>
      <c r="M26" s="15">
        <v>1420221</v>
      </c>
      <c r="N26" s="15" t="s">
        <v>52</v>
      </c>
    </row>
    <row r="27" spans="1:14" x14ac:dyDescent="0.2">
      <c r="E27" s="62" t="s">
        <v>239</v>
      </c>
      <c r="F27" s="62"/>
      <c r="M27" s="15">
        <v>1420222</v>
      </c>
      <c r="N27" s="15" t="s">
        <v>53</v>
      </c>
    </row>
    <row r="28" spans="1:14" x14ac:dyDescent="0.2">
      <c r="E28" s="62" t="s">
        <v>240</v>
      </c>
      <c r="F28" s="62"/>
    </row>
    <row r="29" spans="1:14" x14ac:dyDescent="0.2">
      <c r="E29" s="62" t="s">
        <v>241</v>
      </c>
      <c r="F29" s="62"/>
      <c r="M29" s="15">
        <v>1420300</v>
      </c>
      <c r="N29" s="15" t="s">
        <v>54</v>
      </c>
    </row>
    <row r="30" spans="1:14" x14ac:dyDescent="0.2">
      <c r="E30" s="62" t="s">
        <v>242</v>
      </c>
      <c r="F30" s="62"/>
    </row>
    <row r="31" spans="1:14" x14ac:dyDescent="0.2">
      <c r="E31" s="62" t="s">
        <v>243</v>
      </c>
      <c r="F31" s="62"/>
      <c r="M31" s="15">
        <v>1420400</v>
      </c>
      <c r="N31" s="15" t="s">
        <v>55</v>
      </c>
    </row>
    <row r="32" spans="1:14" x14ac:dyDescent="0.2">
      <c r="E32" s="62" t="s">
        <v>244</v>
      </c>
      <c r="F32" s="62"/>
    </row>
    <row r="33" spans="4:14" x14ac:dyDescent="0.2">
      <c r="E33" s="62" t="s">
        <v>245</v>
      </c>
      <c r="F33" s="62"/>
      <c r="M33" s="15">
        <v>1420500</v>
      </c>
      <c r="N33" s="15" t="s">
        <v>56</v>
      </c>
    </row>
    <row r="34" spans="4:14" x14ac:dyDescent="0.2">
      <c r="E34" s="62" t="s">
        <v>246</v>
      </c>
      <c r="F34" s="62"/>
    </row>
    <row r="35" spans="4:14" x14ac:dyDescent="0.2">
      <c r="E35" s="62" t="s">
        <v>247</v>
      </c>
      <c r="F35" s="62"/>
      <c r="M35" s="15">
        <v>1420600</v>
      </c>
      <c r="N35" s="15" t="s">
        <v>57</v>
      </c>
    </row>
    <row r="37" spans="4:14" x14ac:dyDescent="0.2">
      <c r="D37" s="15" t="s">
        <v>215</v>
      </c>
      <c r="E37" s="62" t="s">
        <v>248</v>
      </c>
      <c r="F37" s="62"/>
      <c r="M37" s="15">
        <v>1430001</v>
      </c>
      <c r="N37" s="15" t="s">
        <v>58</v>
      </c>
    </row>
    <row r="38" spans="4:14" x14ac:dyDescent="0.2">
      <c r="E38" s="62" t="s">
        <v>249</v>
      </c>
      <c r="F38" s="62"/>
      <c r="M38" s="15">
        <v>1430002</v>
      </c>
      <c r="N38" s="15" t="s">
        <v>150</v>
      </c>
    </row>
    <row r="39" spans="4:14" x14ac:dyDescent="0.2">
      <c r="E39" s="62" t="s">
        <v>250</v>
      </c>
      <c r="F39" s="62"/>
    </row>
    <row r="40" spans="4:14" x14ac:dyDescent="0.2">
      <c r="E40" s="62" t="s">
        <v>251</v>
      </c>
      <c r="F40" s="62"/>
    </row>
    <row r="41" spans="4:14" x14ac:dyDescent="0.2">
      <c r="E41" s="62" t="s">
        <v>252</v>
      </c>
      <c r="F41" s="62"/>
    </row>
    <row r="42" spans="4:14" x14ac:dyDescent="0.2">
      <c r="E42" s="62" t="s">
        <v>253</v>
      </c>
      <c r="F42" s="62"/>
    </row>
    <row r="43" spans="4:14" x14ac:dyDescent="0.2">
      <c r="E43" s="62" t="s">
        <v>254</v>
      </c>
      <c r="F43" s="62"/>
    </row>
    <row r="44" spans="4:14" x14ac:dyDescent="0.2">
      <c r="E44" s="62" t="s">
        <v>255</v>
      </c>
      <c r="F44" s="62"/>
    </row>
    <row r="45" spans="4:14" x14ac:dyDescent="0.2">
      <c r="E45" s="62" t="s">
        <v>256</v>
      </c>
      <c r="F45" s="62"/>
    </row>
    <row r="60" spans="1:8" x14ac:dyDescent="0.2">
      <c r="A60" s="15" t="s">
        <v>202</v>
      </c>
      <c r="D60" s="15" t="s">
        <v>32</v>
      </c>
      <c r="E60" s="62" t="s">
        <v>216</v>
      </c>
      <c r="F60" s="62"/>
    </row>
    <row r="61" spans="1:8" x14ac:dyDescent="0.2">
      <c r="E61" s="62" t="s">
        <v>79</v>
      </c>
      <c r="F61" s="62"/>
      <c r="G61" s="62"/>
      <c r="H61" s="62"/>
    </row>
  </sheetData>
  <mergeCells count="40">
    <mergeCell ref="B3:C3"/>
    <mergeCell ref="E3:F3"/>
    <mergeCell ref="B11:C11"/>
    <mergeCell ref="G11:H11"/>
    <mergeCell ref="E12:F12"/>
    <mergeCell ref="E11:F11"/>
    <mergeCell ref="E4:F4"/>
    <mergeCell ref="E13:F13"/>
    <mergeCell ref="E61:H61"/>
    <mergeCell ref="E15:F15"/>
    <mergeCell ref="E17:F17"/>
    <mergeCell ref="E22:F22"/>
    <mergeCell ref="E23:F23"/>
    <mergeCell ref="E19:F19"/>
    <mergeCell ref="E16:F16"/>
    <mergeCell ref="E18:F18"/>
    <mergeCell ref="E20:F20"/>
    <mergeCell ref="E21:F21"/>
    <mergeCell ref="E14:F14"/>
    <mergeCell ref="E25:F25"/>
    <mergeCell ref="E60:F60"/>
    <mergeCell ref="E26:F26"/>
    <mergeCell ref="E27:F27"/>
    <mergeCell ref="E33:F33"/>
    <mergeCell ref="E34:F34"/>
    <mergeCell ref="E35:F35"/>
    <mergeCell ref="E37:F37"/>
    <mergeCell ref="E28:F28"/>
    <mergeCell ref="E29:F29"/>
    <mergeCell ref="E30:F30"/>
    <mergeCell ref="E31:F31"/>
    <mergeCell ref="E32:F32"/>
    <mergeCell ref="E43:F43"/>
    <mergeCell ref="E44:F44"/>
    <mergeCell ref="E45:F45"/>
    <mergeCell ref="E38:F38"/>
    <mergeCell ref="E39:F39"/>
    <mergeCell ref="E40:F40"/>
    <mergeCell ref="E41:F41"/>
    <mergeCell ref="E42:F42"/>
  </mergeCells>
  <phoneticPr fontId="1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</vt:lpstr>
      <vt:lpstr>properties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2026-01-08T10:59:48Z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2052-12.1.0.20784</vt:lpwstr>
  </property>
</Properties>
</file>