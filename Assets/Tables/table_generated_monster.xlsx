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GitRepository\GitLab\yh-unityproject\Assets\Tables\"/>
    </mc:Choice>
  </mc:AlternateContent>
  <xr:revisionPtr revIDLastSave="0" documentId="13_ncr:1_{9988EE84-E0A9-4341-AF0D-174F890686F5}" xr6:coauthVersionLast="47" xr6:coauthVersionMax="47" xr10:uidLastSave="{00000000-0000-0000-0000-000000000000}"/>
  <bookViews>
    <workbookView xWindow="-38520" yWindow="-120" windowWidth="38640" windowHeight="21240" activeTab="1" xr2:uid="{00000000-000D-0000-FFFF-FFFF00000000}"/>
  </bookViews>
  <sheets>
    <sheet name="mg_weather" sheetId="10" r:id="rId1"/>
    <sheet name="mg_scene" sheetId="4" r:id="rId2"/>
    <sheet name="-配置辅助" sheetId="6" r:id="rId3"/>
    <sheet name="-id 配置说明" sheetId="12" r:id="rId4"/>
  </sheets>
  <definedNames>
    <definedName name="tuple_avg">_xlfn.LAMBDA(_xlpm.x,AVERAGE(VALUE(_xlfn.TEXTSPLIT(_xlpm.x,","))))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01" i="4" l="1"/>
  <c r="Y701" i="4"/>
  <c r="T701" i="4"/>
  <c r="AI701" i="4" s="1" a="1"/>
  <c r="AI701" i="4" s="1"/>
  <c r="AK701" i="4" s="1"/>
  <c r="AM701" i="4" s="1"/>
  <c r="Q701" i="4"/>
  <c r="N701" i="4"/>
  <c r="J701" i="4" a="1"/>
  <c r="J701" i="4" s="1"/>
  <c r="I701" i="4"/>
  <c r="F701" i="4"/>
  <c r="B701" i="4" s="1" a="1"/>
  <c r="B701" i="4" s="1"/>
  <c r="C701" i="4" s="1"/>
  <c r="AA700" i="4"/>
  <c r="Y700" i="4"/>
  <c r="T700" i="4"/>
  <c r="AI700" i="4" s="1" a="1"/>
  <c r="AI700" i="4" s="1"/>
  <c r="AK700" i="4" s="1"/>
  <c r="AM700" i="4" s="1"/>
  <c r="Q700" i="4"/>
  <c r="N700" i="4"/>
  <c r="J700" i="4" a="1"/>
  <c r="J700" i="4" s="1"/>
  <c r="I700" i="4"/>
  <c r="F700" i="4"/>
  <c r="B700" i="4" s="1" a="1"/>
  <c r="B700" i="4" s="1"/>
  <c r="C700" i="4" s="1"/>
  <c r="AA699" i="4"/>
  <c r="Y699" i="4"/>
  <c r="T699" i="4"/>
  <c r="AI699" i="4" s="1" a="1"/>
  <c r="AI699" i="4" s="1"/>
  <c r="AK699" i="4" s="1"/>
  <c r="AM699" i="4" s="1"/>
  <c r="Q699" i="4"/>
  <c r="N699" i="4"/>
  <c r="J699" i="4" a="1"/>
  <c r="J699" i="4" s="1"/>
  <c r="I699" i="4"/>
  <c r="F699" i="4"/>
  <c r="B699" i="4" s="1" a="1"/>
  <c r="B699" i="4" s="1"/>
  <c r="C699" i="4" s="1"/>
  <c r="AA698" i="4"/>
  <c r="Y698" i="4"/>
  <c r="T698" i="4"/>
  <c r="AI698" i="4" s="1" a="1"/>
  <c r="AI698" i="4" s="1"/>
  <c r="AK698" i="4" s="1"/>
  <c r="AM698" i="4" s="1"/>
  <c r="Q698" i="4"/>
  <c r="N698" i="4"/>
  <c r="J698" i="4" a="1"/>
  <c r="J698" i="4" s="1"/>
  <c r="I698" i="4"/>
  <c r="F698" i="4"/>
  <c r="B698" i="4" s="1" a="1"/>
  <c r="B698" i="4" s="1"/>
  <c r="C698" i="4" s="1"/>
  <c r="AA695" i="4"/>
  <c r="Y695" i="4"/>
  <c r="T695" i="4"/>
  <c r="AI695" i="4" s="1" a="1"/>
  <c r="AI695" i="4" s="1"/>
  <c r="Q695" i="4"/>
  <c r="N695" i="4"/>
  <c r="J695" i="4" a="1"/>
  <c r="J695" i="4" s="1"/>
  <c r="I695" i="4"/>
  <c r="F695" i="4"/>
  <c r="B695" i="4" s="1" a="1"/>
  <c r="B695" i="4" s="1"/>
  <c r="C695" i="4" s="1"/>
  <c r="AA694" i="4"/>
  <c r="Y694" i="4"/>
  <c r="T694" i="4"/>
  <c r="AI694" i="4" s="1" a="1"/>
  <c r="AI694" i="4" s="1"/>
  <c r="Q694" i="4"/>
  <c r="N694" i="4"/>
  <c r="J694" i="4" a="1"/>
  <c r="J694" i="4" s="1"/>
  <c r="I694" i="4"/>
  <c r="F694" i="4"/>
  <c r="B694" i="4" s="1" a="1"/>
  <c r="B694" i="4" s="1"/>
  <c r="C694" i="4" s="1"/>
  <c r="AA693" i="4"/>
  <c r="Y693" i="4"/>
  <c r="T693" i="4"/>
  <c r="AI693" i="4" s="1" a="1"/>
  <c r="AI693" i="4" s="1"/>
  <c r="Q693" i="4"/>
  <c r="N693" i="4"/>
  <c r="J693" i="4" a="1"/>
  <c r="J693" i="4" s="1"/>
  <c r="I693" i="4"/>
  <c r="F693" i="4"/>
  <c r="B693" i="4" s="1" a="1"/>
  <c r="B693" i="4" s="1"/>
  <c r="C693" i="4" s="1"/>
  <c r="AA692" i="4"/>
  <c r="Y692" i="4"/>
  <c r="T692" i="4"/>
  <c r="AI692" i="4" s="1" a="1"/>
  <c r="AI692" i="4" s="1"/>
  <c r="Q692" i="4"/>
  <c r="N692" i="4"/>
  <c r="J692" i="4" a="1"/>
  <c r="J692" i="4" s="1"/>
  <c r="I692" i="4"/>
  <c r="F692" i="4"/>
  <c r="B692" i="4" s="1" a="1"/>
  <c r="B692" i="4" s="1"/>
  <c r="C692" i="4" s="1"/>
  <c r="AA691" i="4"/>
  <c r="Y691" i="4"/>
  <c r="T691" i="4"/>
  <c r="AI691" i="4" s="1" a="1"/>
  <c r="AI691" i="4" s="1"/>
  <c r="Q691" i="4"/>
  <c r="N691" i="4"/>
  <c r="J691" i="4" a="1"/>
  <c r="J691" i="4" s="1"/>
  <c r="I691" i="4"/>
  <c r="F691" i="4"/>
  <c r="B691" i="4" s="1" a="1"/>
  <c r="B691" i="4" s="1"/>
  <c r="C691" i="4" s="1"/>
  <c r="AC690" i="4" a="1"/>
  <c r="AA690" i="4"/>
  <c r="AI690" i="4" s="1" a="1"/>
  <c r="AI690" i="4" s="1"/>
  <c r="Y690" i="4"/>
  <c r="T690" i="4"/>
  <c r="Q690" i="4"/>
  <c r="N690" i="4"/>
  <c r="J690" i="4" a="1"/>
  <c r="J690" i="4" s="1"/>
  <c r="I690" i="4"/>
  <c r="F690" i="4"/>
  <c r="B690" i="4" s="1" a="1"/>
  <c r="B690" i="4" s="1"/>
  <c r="C690" i="4" s="1"/>
  <c r="AA688" i="4"/>
  <c r="AI688" i="4" s="1" a="1"/>
  <c r="AI688" i="4" s="1"/>
  <c r="Y688" i="4"/>
  <c r="T688" i="4"/>
  <c r="Q688" i="4"/>
  <c r="N688" i="4"/>
  <c r="J688" i="4" a="1"/>
  <c r="J688" i="4" s="1"/>
  <c r="I688" i="4"/>
  <c r="F688" i="4"/>
  <c r="B688" i="4" s="1" a="1"/>
  <c r="B688" i="4" s="1"/>
  <c r="C688" i="4" s="1"/>
  <c r="AA687" i="4"/>
  <c r="AI687" i="4" s="1" a="1"/>
  <c r="AI687" i="4" s="1"/>
  <c r="Y687" i="4"/>
  <c r="T687" i="4"/>
  <c r="Q687" i="4"/>
  <c r="N687" i="4"/>
  <c r="J687" i="4" a="1"/>
  <c r="J687" i="4" s="1"/>
  <c r="I687" i="4"/>
  <c r="F687" i="4"/>
  <c r="B687" i="4" s="1" a="1"/>
  <c r="B687" i="4" s="1"/>
  <c r="C687" i="4" s="1"/>
  <c r="AA686" i="4"/>
  <c r="AI686" i="4" s="1" a="1"/>
  <c r="AI686" i="4" s="1"/>
  <c r="Y686" i="4"/>
  <c r="T686" i="4"/>
  <c r="Q686" i="4"/>
  <c r="N686" i="4"/>
  <c r="J686" i="4" a="1"/>
  <c r="J686" i="4" s="1"/>
  <c r="I686" i="4"/>
  <c r="F686" i="4"/>
  <c r="B686" i="4" s="1" a="1"/>
  <c r="B686" i="4" s="1"/>
  <c r="C686" i="4" s="1"/>
  <c r="AA685" i="4"/>
  <c r="AI685" i="4" s="1" a="1"/>
  <c r="AI685" i="4" s="1"/>
  <c r="Y685" i="4"/>
  <c r="T685" i="4"/>
  <c r="Q685" i="4"/>
  <c r="N685" i="4"/>
  <c r="J685" i="4" a="1"/>
  <c r="J685" i="4" s="1"/>
  <c r="I685" i="4"/>
  <c r="F685" i="4"/>
  <c r="B685" i="4" s="1" a="1"/>
  <c r="B685" i="4" s="1"/>
  <c r="C685" i="4" s="1"/>
  <c r="AA684" i="4"/>
  <c r="AI684" i="4" s="1" a="1"/>
  <c r="AI684" i="4" s="1"/>
  <c r="Y684" i="4"/>
  <c r="T684" i="4"/>
  <c r="Q684" i="4"/>
  <c r="N684" i="4"/>
  <c r="J684" i="4" a="1"/>
  <c r="J684" i="4" s="1"/>
  <c r="I684" i="4"/>
  <c r="F684" i="4"/>
  <c r="B684" i="4" s="1" a="1"/>
  <c r="B684" i="4" s="1"/>
  <c r="C684" i="4" s="1"/>
  <c r="AI683" i="4" a="1"/>
  <c r="AI683" i="4" s="1"/>
  <c r="AC683" i="4" a="1"/>
  <c r="AC683" i="4" s="1"/>
  <c r="AA683" i="4"/>
  <c r="Y683" i="4"/>
  <c r="T683" i="4"/>
  <c r="Q683" i="4"/>
  <c r="N683" i="4"/>
  <c r="J683" i="4" a="1"/>
  <c r="J683" i="4" s="1"/>
  <c r="I683" i="4"/>
  <c r="F683" i="4"/>
  <c r="B683" i="4" a="1"/>
  <c r="B683" i="4" s="1"/>
  <c r="C683" i="4" s="1"/>
  <c r="AI681" i="4" a="1"/>
  <c r="AI681" i="4" s="1"/>
  <c r="AK681" i="4" s="1"/>
  <c r="AM681" i="4" s="1"/>
  <c r="AA681" i="4"/>
  <c r="Y681" i="4"/>
  <c r="T681" i="4"/>
  <c r="Q681" i="4"/>
  <c r="N681" i="4"/>
  <c r="J681" i="4" a="1"/>
  <c r="J681" i="4" s="1"/>
  <c r="I681" i="4"/>
  <c r="F681" i="4"/>
  <c r="B681" i="4" a="1"/>
  <c r="B681" i="4" s="1"/>
  <c r="C681" i="4" s="1"/>
  <c r="AI680" i="4" a="1"/>
  <c r="AI680" i="4" s="1"/>
  <c r="AK680" i="4" s="1"/>
  <c r="AM680" i="4" s="1"/>
  <c r="AA680" i="4"/>
  <c r="Y680" i="4"/>
  <c r="T680" i="4"/>
  <c r="Q680" i="4"/>
  <c r="N680" i="4"/>
  <c r="J680" i="4" a="1"/>
  <c r="J680" i="4" s="1"/>
  <c r="I680" i="4"/>
  <c r="F680" i="4"/>
  <c r="B680" i="4" a="1"/>
  <c r="B680" i="4" s="1"/>
  <c r="C680" i="4" s="1"/>
  <c r="AA679" i="4"/>
  <c r="AI679" i="4" s="1" a="1"/>
  <c r="AI679" i="4" s="1"/>
  <c r="AK679" i="4" s="1"/>
  <c r="AM679" i="4" s="1"/>
  <c r="Y679" i="4"/>
  <c r="T679" i="4"/>
  <c r="Q679" i="4"/>
  <c r="N679" i="4"/>
  <c r="J679" i="4" a="1"/>
  <c r="J679" i="4" s="1"/>
  <c r="I679" i="4"/>
  <c r="F679" i="4"/>
  <c r="B679" i="4" a="1"/>
  <c r="B679" i="4" s="1"/>
  <c r="C679" i="4" s="1"/>
  <c r="AI678" i="4"/>
  <c r="AI678" i="4" a="1"/>
  <c r="AA678" i="4"/>
  <c r="Y678" i="4"/>
  <c r="T678" i="4"/>
  <c r="Q678" i="4"/>
  <c r="N678" i="4"/>
  <c r="J678" i="4" a="1"/>
  <c r="J678" i="4" s="1"/>
  <c r="I678" i="4"/>
  <c r="F678" i="4"/>
  <c r="B678" i="4" a="1"/>
  <c r="B678" i="4" s="1"/>
  <c r="C678" i="4" s="1"/>
  <c r="AI677" i="4"/>
  <c r="AI677" i="4" a="1"/>
  <c r="AA677" i="4"/>
  <c r="Y677" i="4"/>
  <c r="T677" i="4"/>
  <c r="Q677" i="4"/>
  <c r="N677" i="4"/>
  <c r="J677" i="4" a="1"/>
  <c r="J677" i="4" s="1"/>
  <c r="I677" i="4"/>
  <c r="F677" i="4"/>
  <c r="B677" i="4" a="1"/>
  <c r="B677" i="4" s="1"/>
  <c r="C677" i="4" s="1"/>
  <c r="AI676" i="4" a="1"/>
  <c r="AI676" i="4" s="1"/>
  <c r="AK676" i="4" s="1"/>
  <c r="AM676" i="4" s="1"/>
  <c r="AC676" i="4" a="1"/>
  <c r="AC676" i="4" s="1"/>
  <c r="AA676" i="4"/>
  <c r="Y676" i="4"/>
  <c r="T676" i="4"/>
  <c r="Q676" i="4"/>
  <c r="N676" i="4"/>
  <c r="J676" i="4"/>
  <c r="J676" i="4" a="1"/>
  <c r="I676" i="4"/>
  <c r="F676" i="4"/>
  <c r="B676" i="4" a="1"/>
  <c r="B676" i="4" s="1"/>
  <c r="C676" i="4" s="1"/>
  <c r="AA674" i="4"/>
  <c r="Y674" i="4"/>
  <c r="T674" i="4"/>
  <c r="AI674" i="4" s="1" a="1"/>
  <c r="AI674" i="4" s="1"/>
  <c r="Q674" i="4"/>
  <c r="N674" i="4"/>
  <c r="J674" i="4"/>
  <c r="J674" i="4" a="1"/>
  <c r="I674" i="4"/>
  <c r="F674" i="4"/>
  <c r="B674" i="4" a="1"/>
  <c r="B674" i="4" s="1"/>
  <c r="C674" i="4" s="1"/>
  <c r="AA673" i="4"/>
  <c r="Y673" i="4"/>
  <c r="T673" i="4"/>
  <c r="AI673" i="4" s="1" a="1"/>
  <c r="AI673" i="4" s="1"/>
  <c r="Q673" i="4"/>
  <c r="N673" i="4"/>
  <c r="J673" i="4"/>
  <c r="J673" i="4" a="1"/>
  <c r="I673" i="4"/>
  <c r="F673" i="4"/>
  <c r="B673" i="4" a="1"/>
  <c r="B673" i="4" s="1"/>
  <c r="C673" i="4" s="1"/>
  <c r="AA672" i="4"/>
  <c r="Y672" i="4"/>
  <c r="T672" i="4"/>
  <c r="Q672" i="4"/>
  <c r="N672" i="4"/>
  <c r="J672" i="4"/>
  <c r="J672" i="4" a="1"/>
  <c r="I672" i="4"/>
  <c r="F672" i="4"/>
  <c r="B672" i="4" a="1"/>
  <c r="B672" i="4" s="1"/>
  <c r="C672" i="4" s="1"/>
  <c r="AA671" i="4"/>
  <c r="Y671" i="4"/>
  <c r="T671" i="4"/>
  <c r="AI671" i="4" s="1" a="1"/>
  <c r="AI671" i="4" s="1"/>
  <c r="Q671" i="4"/>
  <c r="N671" i="4"/>
  <c r="J671" i="4"/>
  <c r="J671" i="4" a="1"/>
  <c r="I671" i="4"/>
  <c r="F671" i="4"/>
  <c r="B671" i="4" a="1"/>
  <c r="B671" i="4" s="1"/>
  <c r="C671" i="4" s="1"/>
  <c r="AA670" i="4"/>
  <c r="Y670" i="4"/>
  <c r="T670" i="4"/>
  <c r="AI670" i="4" s="1" a="1"/>
  <c r="AI670" i="4" s="1"/>
  <c r="Q670" i="4"/>
  <c r="N670" i="4"/>
  <c r="J670" i="4"/>
  <c r="J670" i="4" a="1"/>
  <c r="I670" i="4"/>
  <c r="F670" i="4"/>
  <c r="B670" i="4" a="1"/>
  <c r="B670" i="4" s="1"/>
  <c r="C670" i="4" s="1"/>
  <c r="AC669" i="4" a="1"/>
  <c r="AC669" i="4" s="1"/>
  <c r="AA669" i="4"/>
  <c r="Y669" i="4"/>
  <c r="T669" i="4"/>
  <c r="AI669" i="4" s="1" a="1"/>
  <c r="AI669" i="4" s="1"/>
  <c r="Q669" i="4"/>
  <c r="N669" i="4"/>
  <c r="J669" i="4"/>
  <c r="J669" i="4" a="1"/>
  <c r="I669" i="4"/>
  <c r="F669" i="4"/>
  <c r="B669" i="4"/>
  <c r="C669" i="4" s="1"/>
  <c r="B669" i="4" a="1"/>
  <c r="AA664" i="4"/>
  <c r="Y664" i="4"/>
  <c r="T664" i="4"/>
  <c r="AI664" i="4" s="1" a="1"/>
  <c r="AI664" i="4" s="1"/>
  <c r="AK664" i="4" s="1"/>
  <c r="AM664" i="4" s="1"/>
  <c r="Q664" i="4"/>
  <c r="N664" i="4"/>
  <c r="J664" i="4" a="1"/>
  <c r="J664" i="4" s="1"/>
  <c r="I664" i="4"/>
  <c r="F664" i="4"/>
  <c r="B664" i="4" a="1"/>
  <c r="B664" i="4" s="1"/>
  <c r="C664" i="4" s="1"/>
  <c r="AA663" i="4"/>
  <c r="Y663" i="4"/>
  <c r="T663" i="4"/>
  <c r="Q663" i="4"/>
  <c r="N663" i="4"/>
  <c r="J663" i="4" a="1"/>
  <c r="J663" i="4" s="1"/>
  <c r="I663" i="4"/>
  <c r="F663" i="4"/>
  <c r="B663" i="4" s="1" a="1"/>
  <c r="B663" i="4" s="1"/>
  <c r="C663" i="4" s="1"/>
  <c r="AA662" i="4"/>
  <c r="AI662" i="4" s="1" a="1"/>
  <c r="AI662" i="4" s="1"/>
  <c r="AK662" i="4" s="1"/>
  <c r="AM662" i="4" s="1"/>
  <c r="Y662" i="4"/>
  <c r="T662" i="4"/>
  <c r="Q662" i="4"/>
  <c r="N662" i="4"/>
  <c r="J662" i="4" a="1"/>
  <c r="J662" i="4" s="1"/>
  <c r="I662" i="4"/>
  <c r="F662" i="4"/>
  <c r="B662" i="4" a="1"/>
  <c r="B662" i="4" s="1"/>
  <c r="C662" i="4" s="1"/>
  <c r="AI661" i="4" a="1"/>
  <c r="AI661" i="4" s="1"/>
  <c r="AK661" i="4" s="1"/>
  <c r="AM661" i="4" s="1"/>
  <c r="AA661" i="4"/>
  <c r="Y661" i="4"/>
  <c r="T661" i="4"/>
  <c r="Q661" i="4"/>
  <c r="N661" i="4"/>
  <c r="J661" i="4" a="1"/>
  <c r="J661" i="4" s="1"/>
  <c r="I661" i="4"/>
  <c r="F661" i="4"/>
  <c r="B661" i="4" s="1" a="1"/>
  <c r="B661" i="4" s="1"/>
  <c r="C661" i="4" s="1"/>
  <c r="AA658" i="4"/>
  <c r="Y658" i="4"/>
  <c r="T658" i="4"/>
  <c r="AI658" i="4" s="1" a="1"/>
  <c r="AI658" i="4" s="1"/>
  <c r="Q658" i="4"/>
  <c r="N658" i="4"/>
  <c r="J658" i="4" a="1"/>
  <c r="J658" i="4" s="1"/>
  <c r="I658" i="4"/>
  <c r="F658" i="4"/>
  <c r="B658" i="4" s="1" a="1"/>
  <c r="B658" i="4" s="1"/>
  <c r="C658" i="4" s="1"/>
  <c r="AA657" i="4"/>
  <c r="Y657" i="4"/>
  <c r="T657" i="4"/>
  <c r="AI657" i="4" s="1" a="1"/>
  <c r="AI657" i="4" s="1"/>
  <c r="Q657" i="4"/>
  <c r="N657" i="4"/>
  <c r="J657" i="4" a="1"/>
  <c r="J657" i="4" s="1"/>
  <c r="I657" i="4"/>
  <c r="F657" i="4"/>
  <c r="B657" i="4" s="1" a="1"/>
  <c r="B657" i="4" s="1"/>
  <c r="C657" i="4" s="1"/>
  <c r="AA656" i="4"/>
  <c r="AI656" i="4" s="1" a="1"/>
  <c r="AI656" i="4" s="1"/>
  <c r="Y656" i="4"/>
  <c r="T656" i="4"/>
  <c r="Q656" i="4"/>
  <c r="N656" i="4"/>
  <c r="J656" i="4" a="1"/>
  <c r="J656" i="4" s="1"/>
  <c r="I656" i="4"/>
  <c r="F656" i="4"/>
  <c r="B656" i="4" a="1"/>
  <c r="B656" i="4" s="1"/>
  <c r="C656" i="4" s="1"/>
  <c r="AI655" i="4" a="1"/>
  <c r="AI655" i="4" s="1"/>
  <c r="AA655" i="4"/>
  <c r="Y655" i="4"/>
  <c r="T655" i="4"/>
  <c r="Q655" i="4"/>
  <c r="N655" i="4"/>
  <c r="J655" i="4" a="1"/>
  <c r="J655" i="4" s="1"/>
  <c r="I655" i="4"/>
  <c r="F655" i="4"/>
  <c r="B655" i="4" s="1" a="1"/>
  <c r="B655" i="4" s="1"/>
  <c r="C655" i="4" s="1"/>
  <c r="AA654" i="4"/>
  <c r="Y654" i="4"/>
  <c r="T654" i="4"/>
  <c r="AI654" i="4" s="1" a="1"/>
  <c r="AI654" i="4" s="1"/>
  <c r="Q654" i="4"/>
  <c r="N654" i="4"/>
  <c r="J654" i="4" a="1"/>
  <c r="J654" i="4" s="1"/>
  <c r="I654" i="4"/>
  <c r="F654" i="4"/>
  <c r="B654" i="4" a="1"/>
  <c r="B654" i="4" s="1"/>
  <c r="C654" i="4" s="1"/>
  <c r="AC653" i="4" a="1"/>
  <c r="AA653" i="4"/>
  <c r="Y653" i="4"/>
  <c r="T653" i="4"/>
  <c r="AI653" i="4" s="1" a="1"/>
  <c r="AI653" i="4" s="1"/>
  <c r="Q653" i="4"/>
  <c r="N653" i="4"/>
  <c r="J653" i="4"/>
  <c r="J653" i="4" a="1"/>
  <c r="I653" i="4"/>
  <c r="F653" i="4"/>
  <c r="B653" i="4" s="1" a="1"/>
  <c r="B653" i="4" s="1"/>
  <c r="C653" i="4" s="1"/>
  <c r="AA651" i="4"/>
  <c r="AI651" i="4" s="1" a="1"/>
  <c r="AI651" i="4" s="1"/>
  <c r="AK651" i="4" s="1"/>
  <c r="AM651" i="4" s="1"/>
  <c r="Y651" i="4"/>
  <c r="T651" i="4"/>
  <c r="Q651" i="4"/>
  <c r="N651" i="4"/>
  <c r="J651" i="4" a="1"/>
  <c r="J651" i="4" s="1"/>
  <c r="I651" i="4"/>
  <c r="F651" i="4"/>
  <c r="B651" i="4" a="1"/>
  <c r="B651" i="4" s="1"/>
  <c r="C651" i="4" s="1"/>
  <c r="AI650" i="4" a="1"/>
  <c r="AI650" i="4" s="1"/>
  <c r="AA650" i="4"/>
  <c r="Y650" i="4"/>
  <c r="T650" i="4"/>
  <c r="Q650" i="4"/>
  <c r="N650" i="4"/>
  <c r="J650" i="4" a="1"/>
  <c r="J650" i="4" s="1"/>
  <c r="I650" i="4"/>
  <c r="F650" i="4"/>
  <c r="B650" i="4" a="1"/>
  <c r="B650" i="4" s="1"/>
  <c r="C650" i="4" s="1"/>
  <c r="AA649" i="4"/>
  <c r="Y649" i="4"/>
  <c r="T649" i="4"/>
  <c r="AI649" i="4" s="1" a="1"/>
  <c r="AI649" i="4" s="1"/>
  <c r="Q649" i="4"/>
  <c r="N649" i="4"/>
  <c r="J649" i="4" a="1"/>
  <c r="J649" i="4" s="1"/>
  <c r="I649" i="4"/>
  <c r="F649" i="4"/>
  <c r="B649" i="4" s="1" a="1"/>
  <c r="B649" i="4" s="1"/>
  <c r="C649" i="4" s="1"/>
  <c r="AA648" i="4"/>
  <c r="AI648" i="4" s="1" a="1"/>
  <c r="AI648" i="4" s="1"/>
  <c r="Y648" i="4"/>
  <c r="T648" i="4"/>
  <c r="Q648" i="4"/>
  <c r="N648" i="4"/>
  <c r="J648" i="4"/>
  <c r="J648" i="4" a="1"/>
  <c r="I648" i="4"/>
  <c r="F648" i="4"/>
  <c r="B648" i="4" s="1" a="1"/>
  <c r="B648" i="4" s="1"/>
  <c r="C648" i="4" s="1"/>
  <c r="AA647" i="4"/>
  <c r="Y647" i="4"/>
  <c r="T647" i="4"/>
  <c r="Q647" i="4"/>
  <c r="N647" i="4"/>
  <c r="J647" i="4" a="1"/>
  <c r="J647" i="4" s="1"/>
  <c r="I647" i="4"/>
  <c r="F647" i="4"/>
  <c r="B647" i="4" a="1"/>
  <c r="B647" i="4" s="1"/>
  <c r="C647" i="4" s="1"/>
  <c r="AC646" i="4" a="1"/>
  <c r="AC646" i="4" s="1"/>
  <c r="AA646" i="4"/>
  <c r="Y646" i="4"/>
  <c r="T646" i="4"/>
  <c r="Q646" i="4"/>
  <c r="N646" i="4"/>
  <c r="J646" i="4" a="1"/>
  <c r="J646" i="4" s="1"/>
  <c r="I646" i="4"/>
  <c r="F646" i="4"/>
  <c r="B646" i="4" s="1" a="1"/>
  <c r="B646" i="4" s="1"/>
  <c r="C646" i="4" s="1"/>
  <c r="AA644" i="4"/>
  <c r="AI644" i="4" s="1" a="1"/>
  <c r="AI644" i="4" s="1"/>
  <c r="Y644" i="4"/>
  <c r="T644" i="4"/>
  <c r="Q644" i="4"/>
  <c r="N644" i="4"/>
  <c r="J644" i="4"/>
  <c r="J644" i="4" a="1"/>
  <c r="I644" i="4"/>
  <c r="F644" i="4"/>
  <c r="B644" i="4" s="1" a="1"/>
  <c r="B644" i="4" s="1"/>
  <c r="C644" i="4" s="1"/>
  <c r="AA643" i="4"/>
  <c r="Y643" i="4"/>
  <c r="T643" i="4"/>
  <c r="AI643" i="4" s="1" a="1"/>
  <c r="AI643" i="4" s="1"/>
  <c r="Q643" i="4"/>
  <c r="N643" i="4"/>
  <c r="J643" i="4"/>
  <c r="J643" i="4" a="1"/>
  <c r="I643" i="4"/>
  <c r="F643" i="4"/>
  <c r="B643" i="4" s="1" a="1"/>
  <c r="B643" i="4" s="1"/>
  <c r="C643" i="4" s="1"/>
  <c r="AA642" i="4"/>
  <c r="Y642" i="4"/>
  <c r="T642" i="4"/>
  <c r="AI642" i="4" s="1" a="1"/>
  <c r="AI642" i="4" s="1"/>
  <c r="Q642" i="4"/>
  <c r="N642" i="4"/>
  <c r="J642" i="4"/>
  <c r="J642" i="4" a="1"/>
  <c r="I642" i="4"/>
  <c r="F642" i="4"/>
  <c r="B642" i="4" a="1"/>
  <c r="B642" i="4" s="1"/>
  <c r="C642" i="4" s="1"/>
  <c r="AI641" i="4" a="1"/>
  <c r="AI641" i="4" s="1"/>
  <c r="AA641" i="4"/>
  <c r="Y641" i="4"/>
  <c r="T641" i="4"/>
  <c r="Q641" i="4"/>
  <c r="N641" i="4"/>
  <c r="J641" i="4" a="1"/>
  <c r="J641" i="4" s="1"/>
  <c r="I641" i="4"/>
  <c r="F641" i="4"/>
  <c r="B641" i="4" s="1" a="1"/>
  <c r="B641" i="4" s="1"/>
  <c r="C641" i="4" s="1"/>
  <c r="AA640" i="4"/>
  <c r="Y640" i="4"/>
  <c r="T640" i="4"/>
  <c r="AI640" i="4" s="1" a="1"/>
  <c r="AI640" i="4" s="1"/>
  <c r="Q640" i="4"/>
  <c r="N640" i="4"/>
  <c r="J640" i="4"/>
  <c r="J640" i="4" a="1"/>
  <c r="I640" i="4"/>
  <c r="F640" i="4"/>
  <c r="B640" i="4" a="1"/>
  <c r="B640" i="4" s="1"/>
  <c r="C640" i="4" s="1"/>
  <c r="AC639" i="4" a="1"/>
  <c r="AC639" i="4" s="1"/>
  <c r="AA639" i="4"/>
  <c r="AI639" i="4" s="1" a="1"/>
  <c r="AI639" i="4" s="1"/>
  <c r="AK639" i="4" s="1"/>
  <c r="AM639" i="4" s="1"/>
  <c r="Y639" i="4"/>
  <c r="T639" i="4"/>
  <c r="Q639" i="4"/>
  <c r="N639" i="4"/>
  <c r="J639" i="4" a="1"/>
  <c r="J639" i="4" s="1"/>
  <c r="I639" i="4"/>
  <c r="F639" i="4"/>
  <c r="B639" i="4" a="1"/>
  <c r="B639" i="4" s="1"/>
  <c r="C639" i="4" s="1"/>
  <c r="AI637" i="4" a="1"/>
  <c r="AI637" i="4" s="1"/>
  <c r="AA637" i="4"/>
  <c r="Y637" i="4"/>
  <c r="T637" i="4"/>
  <c r="Q637" i="4"/>
  <c r="N637" i="4"/>
  <c r="J637" i="4" a="1"/>
  <c r="J637" i="4" s="1"/>
  <c r="I637" i="4"/>
  <c r="F637" i="4"/>
  <c r="B637" i="4" a="1"/>
  <c r="B637" i="4" s="1"/>
  <c r="C637" i="4" s="1"/>
  <c r="AA636" i="4"/>
  <c r="Y636" i="4"/>
  <c r="T636" i="4"/>
  <c r="AI636" i="4" s="1" a="1"/>
  <c r="AI636" i="4" s="1"/>
  <c r="Q636" i="4"/>
  <c r="N636" i="4"/>
  <c r="J636" i="4" a="1"/>
  <c r="J636" i="4" s="1"/>
  <c r="I636" i="4"/>
  <c r="F636" i="4"/>
  <c r="B636" i="4" s="1" a="1"/>
  <c r="B636" i="4" s="1"/>
  <c r="C636" i="4" s="1"/>
  <c r="AA635" i="4"/>
  <c r="AI635" i="4" s="1" a="1"/>
  <c r="AI635" i="4" s="1"/>
  <c r="Y635" i="4"/>
  <c r="T635" i="4"/>
  <c r="Q635" i="4"/>
  <c r="N635" i="4"/>
  <c r="J635" i="4"/>
  <c r="J635" i="4" a="1"/>
  <c r="I635" i="4"/>
  <c r="F635" i="4"/>
  <c r="B635" i="4" s="1" a="1"/>
  <c r="B635" i="4" s="1"/>
  <c r="C635" i="4" s="1"/>
  <c r="AA634" i="4"/>
  <c r="Y634" i="4"/>
  <c r="T634" i="4"/>
  <c r="AI634" i="4" s="1" a="1"/>
  <c r="AI634" i="4" s="1"/>
  <c r="Q634" i="4"/>
  <c r="N634" i="4"/>
  <c r="J634" i="4"/>
  <c r="J634" i="4" a="1"/>
  <c r="I634" i="4"/>
  <c r="F634" i="4"/>
  <c r="B634" i="4" s="1" a="1"/>
  <c r="B634" i="4" s="1"/>
  <c r="C634" i="4" s="1"/>
  <c r="AA633" i="4"/>
  <c r="Y633" i="4"/>
  <c r="T633" i="4"/>
  <c r="Q633" i="4"/>
  <c r="N633" i="4"/>
  <c r="J633" i="4" a="1"/>
  <c r="J633" i="4" s="1"/>
  <c r="I633" i="4"/>
  <c r="F633" i="4"/>
  <c r="B633" i="4" s="1" a="1"/>
  <c r="B633" i="4" s="1"/>
  <c r="C633" i="4" s="1"/>
  <c r="AI632" i="4" a="1"/>
  <c r="AI632" i="4" s="1"/>
  <c r="AC632" i="4" a="1"/>
  <c r="AC632" i="4" s="1"/>
  <c r="AA632" i="4"/>
  <c r="Y632" i="4"/>
  <c r="T632" i="4"/>
  <c r="Q632" i="4"/>
  <c r="N632" i="4"/>
  <c r="J632" i="4" a="1"/>
  <c r="J632" i="4" s="1"/>
  <c r="I632" i="4"/>
  <c r="F632" i="4"/>
  <c r="B632" i="4" s="1" a="1"/>
  <c r="B632" i="4" s="1"/>
  <c r="C632" i="4" s="1"/>
  <c r="AC616" i="4" a="1"/>
  <c r="AC616" i="4" s="1"/>
  <c r="AC609" i="4" a="1"/>
  <c r="AC609" i="4" s="1"/>
  <c r="AC602" i="4" a="1"/>
  <c r="AC602" i="4" s="1"/>
  <c r="AC595" i="4" a="1"/>
  <c r="AC595" i="4" s="1"/>
  <c r="AC579" i="4" a="1"/>
  <c r="AC579" i="4" s="1"/>
  <c r="AC572" i="4" a="1"/>
  <c r="AC572" i="4" s="1"/>
  <c r="AC565" i="4" a="1"/>
  <c r="AC565" i="4" s="1"/>
  <c r="AC558" i="4" a="1"/>
  <c r="AC558" i="4" s="1"/>
  <c r="AC542" i="4" a="1"/>
  <c r="AC542" i="4" s="1"/>
  <c r="AC535" i="4" a="1"/>
  <c r="AC535" i="4" s="1"/>
  <c r="AC528" i="4" a="1"/>
  <c r="AC528" i="4" s="1"/>
  <c r="AC521" i="4" a="1"/>
  <c r="AC521" i="4" s="1"/>
  <c r="AA621" i="4"/>
  <c r="Y621" i="4"/>
  <c r="T621" i="4"/>
  <c r="Q621" i="4"/>
  <c r="N621" i="4"/>
  <c r="J621" i="4" a="1"/>
  <c r="J621" i="4" s="1"/>
  <c r="I621" i="4"/>
  <c r="F621" i="4"/>
  <c r="B621" i="4" s="1" a="1"/>
  <c r="B621" i="4" s="1"/>
  <c r="C621" i="4" s="1"/>
  <c r="AA620" i="4"/>
  <c r="Y620" i="4"/>
  <c r="T620" i="4"/>
  <c r="Q620" i="4"/>
  <c r="N620" i="4"/>
  <c r="J620" i="4" a="1"/>
  <c r="J620" i="4" s="1"/>
  <c r="I620" i="4"/>
  <c r="F620" i="4"/>
  <c r="B620" i="4" s="1" a="1"/>
  <c r="B620" i="4" s="1"/>
  <c r="C620" i="4" s="1"/>
  <c r="AA619" i="4"/>
  <c r="Y619" i="4"/>
  <c r="T619" i="4"/>
  <c r="Q619" i="4"/>
  <c r="N619" i="4"/>
  <c r="J619" i="4" a="1"/>
  <c r="J619" i="4" s="1"/>
  <c r="I619" i="4"/>
  <c r="F619" i="4"/>
  <c r="B619" i="4" s="1" a="1"/>
  <c r="B619" i="4" s="1"/>
  <c r="C619" i="4" s="1"/>
  <c r="AA618" i="4"/>
  <c r="Y618" i="4"/>
  <c r="T618" i="4"/>
  <c r="Q618" i="4"/>
  <c r="N618" i="4"/>
  <c r="J618" i="4" a="1"/>
  <c r="J618" i="4" s="1"/>
  <c r="I618" i="4"/>
  <c r="F618" i="4"/>
  <c r="B618" i="4" a="1"/>
  <c r="B618" i="4" s="1"/>
  <c r="C618" i="4" s="1"/>
  <c r="AA617" i="4"/>
  <c r="Y617" i="4"/>
  <c r="T617" i="4"/>
  <c r="Q617" i="4"/>
  <c r="N617" i="4"/>
  <c r="J617" i="4" a="1"/>
  <c r="J617" i="4" s="1"/>
  <c r="I617" i="4"/>
  <c r="F617" i="4"/>
  <c r="B617" i="4" s="1" a="1"/>
  <c r="B617" i="4" s="1"/>
  <c r="C617" i="4" s="1"/>
  <c r="AA616" i="4"/>
  <c r="Y616" i="4"/>
  <c r="T616" i="4"/>
  <c r="Q616" i="4"/>
  <c r="N616" i="4"/>
  <c r="J616" i="4" a="1"/>
  <c r="J616" i="4" s="1"/>
  <c r="I616" i="4"/>
  <c r="F616" i="4"/>
  <c r="B616" i="4" s="1" a="1"/>
  <c r="B616" i="4" s="1"/>
  <c r="C616" i="4" s="1"/>
  <c r="AA614" i="4"/>
  <c r="AI614" i="4" s="1" a="1"/>
  <c r="AI614" i="4" s="1"/>
  <c r="Y614" i="4"/>
  <c r="T614" i="4"/>
  <c r="Q614" i="4"/>
  <c r="N614" i="4"/>
  <c r="J614" i="4" a="1"/>
  <c r="J614" i="4" s="1"/>
  <c r="I614" i="4"/>
  <c r="F614" i="4"/>
  <c r="B614" i="4" s="1" a="1"/>
  <c r="B614" i="4" s="1"/>
  <c r="C614" i="4" s="1"/>
  <c r="AA613" i="4"/>
  <c r="AI613" i="4" s="1" a="1"/>
  <c r="AI613" i="4" s="1"/>
  <c r="Y613" i="4"/>
  <c r="T613" i="4"/>
  <c r="Q613" i="4"/>
  <c r="N613" i="4"/>
  <c r="J613" i="4" a="1"/>
  <c r="J613" i="4" s="1"/>
  <c r="I613" i="4"/>
  <c r="F613" i="4"/>
  <c r="B613" i="4" s="1" a="1"/>
  <c r="B613" i="4" s="1"/>
  <c r="C613" i="4" s="1"/>
  <c r="AA612" i="4"/>
  <c r="Y612" i="4"/>
  <c r="T612" i="4"/>
  <c r="Q612" i="4"/>
  <c r="N612" i="4"/>
  <c r="J612" i="4" a="1"/>
  <c r="J612" i="4" s="1"/>
  <c r="I612" i="4"/>
  <c r="F612" i="4"/>
  <c r="B612" i="4" s="1" a="1"/>
  <c r="B612" i="4" s="1"/>
  <c r="C612" i="4" s="1"/>
  <c r="AA611" i="4"/>
  <c r="Y611" i="4"/>
  <c r="T611" i="4"/>
  <c r="Q611" i="4"/>
  <c r="N611" i="4"/>
  <c r="J611" i="4" a="1"/>
  <c r="J611" i="4" s="1"/>
  <c r="I611" i="4"/>
  <c r="F611" i="4"/>
  <c r="B611" i="4" s="1" a="1"/>
  <c r="B611" i="4" s="1"/>
  <c r="C611" i="4" s="1"/>
  <c r="AA610" i="4"/>
  <c r="Y610" i="4"/>
  <c r="T610" i="4"/>
  <c r="Q610" i="4"/>
  <c r="N610" i="4"/>
  <c r="J610" i="4" a="1"/>
  <c r="J610" i="4" s="1"/>
  <c r="I610" i="4"/>
  <c r="F610" i="4"/>
  <c r="B610" i="4" s="1" a="1"/>
  <c r="B610" i="4" s="1"/>
  <c r="C610" i="4" s="1"/>
  <c r="AA609" i="4"/>
  <c r="Y609" i="4"/>
  <c r="T609" i="4"/>
  <c r="Q609" i="4"/>
  <c r="N609" i="4"/>
  <c r="J609" i="4" a="1"/>
  <c r="J609" i="4" s="1"/>
  <c r="I609" i="4"/>
  <c r="F609" i="4"/>
  <c r="B609" i="4" s="1" a="1"/>
  <c r="B609" i="4" s="1"/>
  <c r="C609" i="4" s="1"/>
  <c r="AA607" i="4"/>
  <c r="Y607" i="4"/>
  <c r="T607" i="4"/>
  <c r="AI607" i="4" s="1" a="1"/>
  <c r="AI607" i="4" s="1"/>
  <c r="Q607" i="4"/>
  <c r="N607" i="4"/>
  <c r="J607" i="4" a="1"/>
  <c r="J607" i="4" s="1"/>
  <c r="I607" i="4"/>
  <c r="F607" i="4"/>
  <c r="B607" i="4" s="1" a="1"/>
  <c r="B607" i="4" s="1"/>
  <c r="C607" i="4" s="1"/>
  <c r="AA606" i="4"/>
  <c r="Y606" i="4"/>
  <c r="T606" i="4"/>
  <c r="Q606" i="4"/>
  <c r="N606" i="4"/>
  <c r="J606" i="4" a="1"/>
  <c r="J606" i="4" s="1"/>
  <c r="I606" i="4"/>
  <c r="F606" i="4"/>
  <c r="B606" i="4" s="1" a="1"/>
  <c r="B606" i="4" s="1"/>
  <c r="C606" i="4" s="1"/>
  <c r="AA605" i="4"/>
  <c r="Y605" i="4"/>
  <c r="T605" i="4"/>
  <c r="AI605" i="4" s="1" a="1"/>
  <c r="AI605" i="4" s="1"/>
  <c r="Q605" i="4"/>
  <c r="N605" i="4"/>
  <c r="J605" i="4" a="1"/>
  <c r="J605" i="4" s="1"/>
  <c r="I605" i="4"/>
  <c r="F605" i="4"/>
  <c r="B605" i="4" a="1"/>
  <c r="B605" i="4" s="1"/>
  <c r="C605" i="4" s="1"/>
  <c r="AA604" i="4"/>
  <c r="Y604" i="4"/>
  <c r="T604" i="4"/>
  <c r="Q604" i="4"/>
  <c r="N604" i="4"/>
  <c r="J604" i="4" a="1"/>
  <c r="J604" i="4" s="1"/>
  <c r="I604" i="4"/>
  <c r="F604" i="4"/>
  <c r="B604" i="4" s="1" a="1"/>
  <c r="B604" i="4" s="1"/>
  <c r="C604" i="4" s="1"/>
  <c r="AA603" i="4"/>
  <c r="AI603" i="4" s="1" a="1"/>
  <c r="AI603" i="4" s="1"/>
  <c r="Y603" i="4"/>
  <c r="T603" i="4"/>
  <c r="Q603" i="4"/>
  <c r="N603" i="4"/>
  <c r="J603" i="4" a="1"/>
  <c r="J603" i="4" s="1"/>
  <c r="I603" i="4"/>
  <c r="F603" i="4"/>
  <c r="B603" i="4" s="1" a="1"/>
  <c r="B603" i="4" s="1"/>
  <c r="C603" i="4" s="1"/>
  <c r="AA602" i="4"/>
  <c r="AI602" i="4" s="1" a="1"/>
  <c r="AI602" i="4" s="1"/>
  <c r="Y602" i="4"/>
  <c r="T602" i="4"/>
  <c r="Q602" i="4"/>
  <c r="N602" i="4"/>
  <c r="J602" i="4" a="1"/>
  <c r="J602" i="4" s="1"/>
  <c r="I602" i="4"/>
  <c r="F602" i="4"/>
  <c r="B602" i="4" s="1" a="1"/>
  <c r="B602" i="4" s="1"/>
  <c r="C602" i="4" s="1"/>
  <c r="AA584" i="4"/>
  <c r="Y584" i="4"/>
  <c r="T584" i="4"/>
  <c r="Q584" i="4"/>
  <c r="N584" i="4"/>
  <c r="J584" i="4" a="1"/>
  <c r="J584" i="4" s="1"/>
  <c r="I584" i="4"/>
  <c r="F584" i="4"/>
  <c r="B584" i="4" s="1" a="1"/>
  <c r="B584" i="4" s="1"/>
  <c r="C584" i="4" s="1"/>
  <c r="AA583" i="4"/>
  <c r="Y583" i="4"/>
  <c r="T583" i="4"/>
  <c r="Q583" i="4"/>
  <c r="N583" i="4"/>
  <c r="J583" i="4" a="1"/>
  <c r="J583" i="4" s="1"/>
  <c r="I583" i="4"/>
  <c r="F583" i="4"/>
  <c r="B583" i="4" s="1" a="1"/>
  <c r="B583" i="4" s="1"/>
  <c r="C583" i="4" s="1"/>
  <c r="AA582" i="4"/>
  <c r="Y582" i="4"/>
  <c r="T582" i="4"/>
  <c r="Q582" i="4"/>
  <c r="N582" i="4"/>
  <c r="J582" i="4" a="1"/>
  <c r="J582" i="4" s="1"/>
  <c r="I582" i="4"/>
  <c r="F582" i="4"/>
  <c r="B582" i="4" s="1" a="1"/>
  <c r="B582" i="4" s="1"/>
  <c r="C582" i="4" s="1"/>
  <c r="AA581" i="4"/>
  <c r="Y581" i="4"/>
  <c r="T581" i="4"/>
  <c r="AI581" i="4" s="1" a="1"/>
  <c r="AI581" i="4" s="1"/>
  <c r="Q581" i="4"/>
  <c r="N581" i="4"/>
  <c r="J581" i="4" a="1"/>
  <c r="J581" i="4" s="1"/>
  <c r="I581" i="4"/>
  <c r="F581" i="4"/>
  <c r="B581" i="4" s="1" a="1"/>
  <c r="B581" i="4" s="1"/>
  <c r="C581" i="4" s="1"/>
  <c r="AA580" i="4"/>
  <c r="Y580" i="4"/>
  <c r="T580" i="4"/>
  <c r="Q580" i="4"/>
  <c r="N580" i="4"/>
  <c r="J580" i="4" a="1"/>
  <c r="J580" i="4" s="1"/>
  <c r="I580" i="4"/>
  <c r="F580" i="4"/>
  <c r="B580" i="4" s="1" a="1"/>
  <c r="B580" i="4" s="1"/>
  <c r="C580" i="4" s="1"/>
  <c r="AA579" i="4"/>
  <c r="Y579" i="4"/>
  <c r="T579" i="4"/>
  <c r="Q579" i="4"/>
  <c r="N579" i="4"/>
  <c r="J579" i="4" a="1"/>
  <c r="J579" i="4" s="1"/>
  <c r="I579" i="4"/>
  <c r="F579" i="4"/>
  <c r="B579" i="4" s="1" a="1"/>
  <c r="B579" i="4" s="1"/>
  <c r="C579" i="4" s="1"/>
  <c r="AA577" i="4"/>
  <c r="Y577" i="4"/>
  <c r="T577" i="4"/>
  <c r="Q577" i="4"/>
  <c r="N577" i="4"/>
  <c r="J577" i="4" a="1"/>
  <c r="J577" i="4" s="1"/>
  <c r="I577" i="4"/>
  <c r="F577" i="4"/>
  <c r="B577" i="4" s="1" a="1"/>
  <c r="B577" i="4" s="1"/>
  <c r="C577" i="4" s="1"/>
  <c r="AA576" i="4"/>
  <c r="Y576" i="4"/>
  <c r="T576" i="4"/>
  <c r="Q576" i="4"/>
  <c r="N576" i="4"/>
  <c r="J576" i="4"/>
  <c r="J576" i="4" a="1"/>
  <c r="I576" i="4"/>
  <c r="F576" i="4"/>
  <c r="B576" i="4" s="1" a="1"/>
  <c r="B576" i="4" s="1"/>
  <c r="C576" i="4" s="1"/>
  <c r="AA575" i="4"/>
  <c r="Y575" i="4"/>
  <c r="T575" i="4"/>
  <c r="Q575" i="4"/>
  <c r="N575" i="4"/>
  <c r="J575" i="4" a="1"/>
  <c r="J575" i="4" s="1"/>
  <c r="I575" i="4"/>
  <c r="F575" i="4"/>
  <c r="B575" i="4" s="1" a="1"/>
  <c r="B575" i="4" s="1"/>
  <c r="C575" i="4" s="1"/>
  <c r="AA574" i="4"/>
  <c r="Y574" i="4"/>
  <c r="T574" i="4"/>
  <c r="Q574" i="4"/>
  <c r="N574" i="4"/>
  <c r="J574" i="4" a="1"/>
  <c r="J574" i="4" s="1"/>
  <c r="I574" i="4"/>
  <c r="F574" i="4"/>
  <c r="B574" i="4" s="1" a="1"/>
  <c r="B574" i="4" s="1"/>
  <c r="C574" i="4" s="1"/>
  <c r="AA573" i="4"/>
  <c r="Y573" i="4"/>
  <c r="T573" i="4"/>
  <c r="Q573" i="4"/>
  <c r="N573" i="4"/>
  <c r="J573" i="4"/>
  <c r="J573" i="4" a="1"/>
  <c r="I573" i="4"/>
  <c r="F573" i="4"/>
  <c r="B573" i="4" s="1" a="1"/>
  <c r="B573" i="4" s="1"/>
  <c r="C573" i="4" s="1"/>
  <c r="AA572" i="4"/>
  <c r="Y572" i="4"/>
  <c r="T572" i="4"/>
  <c r="Q572" i="4"/>
  <c r="N572" i="4"/>
  <c r="J572" i="4" a="1"/>
  <c r="J572" i="4" s="1"/>
  <c r="I572" i="4"/>
  <c r="F572" i="4"/>
  <c r="B572" i="4" a="1"/>
  <c r="B572" i="4" s="1"/>
  <c r="C572" i="4" s="1"/>
  <c r="AA570" i="4"/>
  <c r="Y570" i="4"/>
  <c r="T570" i="4"/>
  <c r="AI570" i="4" s="1" a="1"/>
  <c r="AI570" i="4" s="1"/>
  <c r="Q570" i="4"/>
  <c r="N570" i="4"/>
  <c r="J570" i="4" a="1"/>
  <c r="J570" i="4" s="1"/>
  <c r="I570" i="4"/>
  <c r="F570" i="4"/>
  <c r="B570" i="4" s="1" a="1"/>
  <c r="B570" i="4" s="1"/>
  <c r="C570" i="4" s="1"/>
  <c r="AA569" i="4"/>
  <c r="Y569" i="4"/>
  <c r="T569" i="4"/>
  <c r="Q569" i="4"/>
  <c r="N569" i="4"/>
  <c r="J569" i="4" a="1"/>
  <c r="J569" i="4" s="1"/>
  <c r="I569" i="4"/>
  <c r="F569" i="4"/>
  <c r="B569" i="4" a="1"/>
  <c r="B569" i="4" s="1"/>
  <c r="C569" i="4" s="1"/>
  <c r="AA568" i="4"/>
  <c r="Y568" i="4"/>
  <c r="T568" i="4"/>
  <c r="Q568" i="4"/>
  <c r="N568" i="4"/>
  <c r="J568" i="4" a="1"/>
  <c r="J568" i="4" s="1"/>
  <c r="I568" i="4"/>
  <c r="F568" i="4"/>
  <c r="B568" i="4" s="1" a="1"/>
  <c r="B568" i="4" s="1"/>
  <c r="C568" i="4" s="1"/>
  <c r="AA567" i="4"/>
  <c r="Y567" i="4"/>
  <c r="T567" i="4"/>
  <c r="Q567" i="4"/>
  <c r="N567" i="4"/>
  <c r="J567" i="4" a="1"/>
  <c r="J567" i="4" s="1"/>
  <c r="I567" i="4"/>
  <c r="F567" i="4"/>
  <c r="B567" i="4" a="1"/>
  <c r="B567" i="4" s="1"/>
  <c r="C567" i="4" s="1"/>
  <c r="AA566" i="4"/>
  <c r="AI566" i="4" s="1" a="1"/>
  <c r="AI566" i="4" s="1"/>
  <c r="Y566" i="4"/>
  <c r="T566" i="4"/>
  <c r="Q566" i="4"/>
  <c r="N566" i="4"/>
  <c r="J566" i="4" a="1"/>
  <c r="J566" i="4" s="1"/>
  <c r="I566" i="4"/>
  <c r="F566" i="4"/>
  <c r="B566" i="4" s="1" a="1"/>
  <c r="B566" i="4" s="1"/>
  <c r="C566" i="4" s="1"/>
  <c r="AI565" i="4" a="1"/>
  <c r="AI565" i="4" s="1"/>
  <c r="AA565" i="4"/>
  <c r="Y565" i="4"/>
  <c r="T565" i="4"/>
  <c r="Q565" i="4"/>
  <c r="N565" i="4"/>
  <c r="J565" i="4" a="1"/>
  <c r="J565" i="4" s="1"/>
  <c r="I565" i="4"/>
  <c r="F565" i="4"/>
  <c r="B565" i="4" s="1" a="1"/>
  <c r="B565" i="4" s="1"/>
  <c r="C565" i="4" s="1"/>
  <c r="AA533" i="4"/>
  <c r="Y533" i="4"/>
  <c r="T533" i="4"/>
  <c r="Q533" i="4"/>
  <c r="N533" i="4"/>
  <c r="J533" i="4" a="1"/>
  <c r="J533" i="4" s="1"/>
  <c r="I533" i="4"/>
  <c r="F533" i="4"/>
  <c r="B533" i="4" s="1" a="1"/>
  <c r="B533" i="4" s="1"/>
  <c r="C533" i="4" s="1"/>
  <c r="AA532" i="4"/>
  <c r="Y532" i="4"/>
  <c r="T532" i="4"/>
  <c r="Q532" i="4"/>
  <c r="N532" i="4"/>
  <c r="J532" i="4" a="1"/>
  <c r="J532" i="4" s="1"/>
  <c r="I532" i="4"/>
  <c r="F532" i="4"/>
  <c r="B532" i="4" s="1" a="1"/>
  <c r="B532" i="4" s="1"/>
  <c r="C532" i="4" s="1"/>
  <c r="AA531" i="4"/>
  <c r="Y531" i="4"/>
  <c r="T531" i="4"/>
  <c r="Q531" i="4"/>
  <c r="N531" i="4"/>
  <c r="J531" i="4" a="1"/>
  <c r="J531" i="4" s="1"/>
  <c r="I531" i="4"/>
  <c r="F531" i="4"/>
  <c r="B531" i="4" s="1" a="1"/>
  <c r="B531" i="4" s="1"/>
  <c r="C531" i="4" s="1"/>
  <c r="AA530" i="4"/>
  <c r="Y530" i="4"/>
  <c r="T530" i="4"/>
  <c r="Q530" i="4"/>
  <c r="N530" i="4"/>
  <c r="J530" i="4" a="1"/>
  <c r="J530" i="4" s="1"/>
  <c r="I530" i="4"/>
  <c r="F530" i="4"/>
  <c r="B530" i="4" s="1" a="1"/>
  <c r="B530" i="4" s="1"/>
  <c r="C530" i="4" s="1"/>
  <c r="AA529" i="4"/>
  <c r="Y529" i="4"/>
  <c r="T529" i="4"/>
  <c r="AI529" i="4" s="1" a="1"/>
  <c r="AI529" i="4" s="1"/>
  <c r="Q529" i="4"/>
  <c r="N529" i="4"/>
  <c r="J529" i="4" a="1"/>
  <c r="J529" i="4" s="1"/>
  <c r="I529" i="4"/>
  <c r="F529" i="4"/>
  <c r="B529" i="4" s="1" a="1"/>
  <c r="B529" i="4" s="1"/>
  <c r="C529" i="4" s="1"/>
  <c r="AA528" i="4"/>
  <c r="Y528" i="4"/>
  <c r="T528" i="4"/>
  <c r="Q528" i="4"/>
  <c r="N528" i="4"/>
  <c r="J528" i="4" a="1"/>
  <c r="J528" i="4" s="1"/>
  <c r="I528" i="4"/>
  <c r="F528" i="4"/>
  <c r="B528" i="4" s="1" a="1"/>
  <c r="B528" i="4" s="1"/>
  <c r="C528" i="4" s="1"/>
  <c r="AA547" i="4"/>
  <c r="Y547" i="4"/>
  <c r="T547" i="4"/>
  <c r="Q547" i="4"/>
  <c r="N547" i="4"/>
  <c r="J547" i="4" a="1"/>
  <c r="J547" i="4" s="1"/>
  <c r="I547" i="4"/>
  <c r="F547" i="4"/>
  <c r="B547" i="4" s="1" a="1"/>
  <c r="B547" i="4" s="1"/>
  <c r="C547" i="4" s="1"/>
  <c r="AA546" i="4"/>
  <c r="Y546" i="4"/>
  <c r="T546" i="4"/>
  <c r="Q546" i="4"/>
  <c r="N546" i="4"/>
  <c r="J546" i="4" a="1"/>
  <c r="J546" i="4" s="1"/>
  <c r="I546" i="4"/>
  <c r="F546" i="4"/>
  <c r="B546" i="4" s="1" a="1"/>
  <c r="B546" i="4" s="1"/>
  <c r="C546" i="4" s="1"/>
  <c r="AA545" i="4"/>
  <c r="Y545" i="4"/>
  <c r="T545" i="4"/>
  <c r="Q545" i="4"/>
  <c r="N545" i="4"/>
  <c r="J545" i="4" a="1"/>
  <c r="J545" i="4" s="1"/>
  <c r="I545" i="4"/>
  <c r="F545" i="4"/>
  <c r="B545" i="4" s="1" a="1"/>
  <c r="B545" i="4" s="1"/>
  <c r="C545" i="4" s="1"/>
  <c r="AA544" i="4"/>
  <c r="Y544" i="4"/>
  <c r="T544" i="4"/>
  <c r="Q544" i="4"/>
  <c r="N544" i="4"/>
  <c r="J544" i="4" a="1"/>
  <c r="J544" i="4" s="1"/>
  <c r="I544" i="4"/>
  <c r="F544" i="4"/>
  <c r="B544" i="4" s="1" a="1"/>
  <c r="B544" i="4" s="1"/>
  <c r="C544" i="4" s="1"/>
  <c r="AA543" i="4"/>
  <c r="Y543" i="4"/>
  <c r="T543" i="4"/>
  <c r="Q543" i="4"/>
  <c r="N543" i="4"/>
  <c r="J543" i="4" a="1"/>
  <c r="J543" i="4" s="1"/>
  <c r="I543" i="4"/>
  <c r="F543" i="4"/>
  <c r="B543" i="4" s="1" a="1"/>
  <c r="B543" i="4" s="1"/>
  <c r="C543" i="4" s="1"/>
  <c r="AA542" i="4"/>
  <c r="Y542" i="4"/>
  <c r="T542" i="4"/>
  <c r="AI542" i="4" s="1" a="1"/>
  <c r="AI542" i="4" s="1"/>
  <c r="AK542" i="4" s="1"/>
  <c r="AM542" i="4" s="1"/>
  <c r="Q542" i="4"/>
  <c r="N542" i="4"/>
  <c r="J542" i="4" a="1"/>
  <c r="J542" i="4" s="1"/>
  <c r="I542" i="4"/>
  <c r="F542" i="4"/>
  <c r="B542" i="4" s="1" a="1"/>
  <c r="B542" i="4" s="1"/>
  <c r="C542" i="4" s="1"/>
  <c r="AA752" i="4"/>
  <c r="Y752" i="4"/>
  <c r="T752" i="4"/>
  <c r="AI752" i="4" s="1" a="1"/>
  <c r="AI752" i="4" s="1"/>
  <c r="Q752" i="4"/>
  <c r="N752" i="4"/>
  <c r="J752" i="4" a="1"/>
  <c r="J752" i="4" s="1"/>
  <c r="I752" i="4"/>
  <c r="B752" i="4" a="1"/>
  <c r="B752" i="4" s="1"/>
  <c r="C752" i="4" s="1"/>
  <c r="AA762" i="4"/>
  <c r="Y762" i="4"/>
  <c r="T762" i="4"/>
  <c r="AI762" i="4" s="1" a="1"/>
  <c r="AI762" i="4" s="1"/>
  <c r="Q762" i="4"/>
  <c r="N762" i="4"/>
  <c r="J762" i="4" a="1"/>
  <c r="J762" i="4" s="1"/>
  <c r="I762" i="4"/>
  <c r="B762" i="4" a="1"/>
  <c r="B762" i="4" s="1"/>
  <c r="C762" i="4" s="1"/>
  <c r="AA772" i="4"/>
  <c r="Y772" i="4"/>
  <c r="T772" i="4"/>
  <c r="Q772" i="4"/>
  <c r="N772" i="4"/>
  <c r="J772" i="4" a="1"/>
  <c r="J772" i="4" s="1"/>
  <c r="I772" i="4"/>
  <c r="B772" i="4" a="1"/>
  <c r="B772" i="4" s="1"/>
  <c r="C772" i="4" s="1"/>
  <c r="AK683" i="4" l="1"/>
  <c r="AM683" i="4" s="1"/>
  <c r="AK684" i="4"/>
  <c r="AM684" i="4" s="1"/>
  <c r="AK685" i="4"/>
  <c r="AM685" i="4" s="1"/>
  <c r="AK686" i="4"/>
  <c r="AM686" i="4" s="1"/>
  <c r="AK687" i="4"/>
  <c r="AM687" i="4" s="1"/>
  <c r="AK688" i="4"/>
  <c r="AM688" i="4" s="1"/>
  <c r="AK677" i="4"/>
  <c r="AM677" i="4" s="1"/>
  <c r="AK678" i="4"/>
  <c r="AM678" i="4" s="1"/>
  <c r="AI672" i="4" a="1"/>
  <c r="AI672" i="4" s="1"/>
  <c r="AK695" i="4"/>
  <c r="AM695" i="4" s="1"/>
  <c r="AI567" i="4" a="1"/>
  <c r="AI567" i="4" s="1"/>
  <c r="AI568" i="4" a="1"/>
  <c r="AI568" i="4" s="1"/>
  <c r="AI618" i="4" a="1"/>
  <c r="AI618" i="4" s="1"/>
  <c r="AI620" i="4" a="1"/>
  <c r="AI620" i="4" s="1"/>
  <c r="AK620" i="4" s="1"/>
  <c r="AM620" i="4" s="1"/>
  <c r="AI621" i="4" a="1"/>
  <c r="AI621" i="4" s="1"/>
  <c r="AK621" i="4" s="1"/>
  <c r="AM621" i="4" s="1"/>
  <c r="AK669" i="4"/>
  <c r="AK670" i="4"/>
  <c r="AM670" i="4" s="1"/>
  <c r="AK671" i="4"/>
  <c r="AM671" i="4" s="1"/>
  <c r="AK672" i="4"/>
  <c r="AM672" i="4" s="1"/>
  <c r="AK673" i="4"/>
  <c r="AM673" i="4" s="1"/>
  <c r="AK674" i="4"/>
  <c r="AM674" i="4" s="1"/>
  <c r="AI663" i="4" a="1"/>
  <c r="AI663" i="4" s="1"/>
  <c r="AK663" i="4" s="1"/>
  <c r="AM663" i="4" s="1"/>
  <c r="AC690" i="4"/>
  <c r="AI633" i="4" a="1"/>
  <c r="AI633" i="4" s="1"/>
  <c r="AI646" i="4" a="1"/>
  <c r="AI646" i="4" s="1"/>
  <c r="AK646" i="4" s="1"/>
  <c r="AM646" i="4" s="1"/>
  <c r="AK658" i="4"/>
  <c r="AM658" i="4" s="1"/>
  <c r="AK529" i="4"/>
  <c r="AM529" i="4" s="1"/>
  <c r="AI606" i="4" a="1"/>
  <c r="AI606" i="4" s="1"/>
  <c r="AI572" i="4" a="1"/>
  <c r="AI572" i="4" s="1"/>
  <c r="AI579" i="4" a="1"/>
  <c r="AI579" i="4" s="1"/>
  <c r="AK579" i="4" s="1"/>
  <c r="AM579" i="4" s="1"/>
  <c r="AI609" i="4" a="1"/>
  <c r="AI609" i="4" s="1"/>
  <c r="AK609" i="4" s="1"/>
  <c r="AM609" i="4" s="1"/>
  <c r="AK690" i="4"/>
  <c r="AM690" i="4" s="1"/>
  <c r="AK691" i="4"/>
  <c r="AM691" i="4" s="1"/>
  <c r="AK692" i="4"/>
  <c r="AM692" i="4" s="1"/>
  <c r="AK693" i="4"/>
  <c r="AM693" i="4" s="1"/>
  <c r="AK694" i="4"/>
  <c r="AM694" i="4" s="1"/>
  <c r="AI577" i="4" a="1"/>
  <c r="AI577" i="4" s="1"/>
  <c r="AK577" i="4" s="1"/>
  <c r="AM577" i="4" s="1"/>
  <c r="AI647" i="4" a="1"/>
  <c r="AI647" i="4" s="1"/>
  <c r="AK647" i="4" s="1"/>
  <c r="AM647" i="4" s="1"/>
  <c r="AK649" i="4"/>
  <c r="AM649" i="4" s="1"/>
  <c r="AK648" i="4"/>
  <c r="AM648" i="4" s="1"/>
  <c r="AK650" i="4"/>
  <c r="AM650" i="4" s="1"/>
  <c r="AK642" i="4"/>
  <c r="AM642" i="4" s="1"/>
  <c r="AK640" i="4"/>
  <c r="AM640" i="4" s="1"/>
  <c r="AK643" i="4"/>
  <c r="AM643" i="4" s="1"/>
  <c r="AK641" i="4"/>
  <c r="AM641" i="4" s="1"/>
  <c r="AK644" i="4"/>
  <c r="AM644" i="4" s="1"/>
  <c r="AK632" i="4"/>
  <c r="AK633" i="4"/>
  <c r="AM633" i="4" s="1"/>
  <c r="AK634" i="4"/>
  <c r="AM634" i="4" s="1"/>
  <c r="AK635" i="4"/>
  <c r="AM635" i="4" s="1"/>
  <c r="AK636" i="4"/>
  <c r="AM636" i="4" s="1"/>
  <c r="AK637" i="4"/>
  <c r="AM637" i="4" s="1"/>
  <c r="AI616" i="4" a="1"/>
  <c r="AI616" i="4" s="1"/>
  <c r="AK616" i="4" s="1"/>
  <c r="AM616" i="4" s="1"/>
  <c r="AC653" i="4"/>
  <c r="AI604" i="4" a="1"/>
  <c r="AI604" i="4" s="1"/>
  <c r="AK604" i="4" s="1"/>
  <c r="AM604" i="4" s="1"/>
  <c r="AI611" i="4" a="1"/>
  <c r="AI611" i="4" s="1"/>
  <c r="AK611" i="4" s="1"/>
  <c r="AM611" i="4" s="1"/>
  <c r="AI612" i="4" a="1"/>
  <c r="AI612" i="4" s="1"/>
  <c r="AK653" i="4"/>
  <c r="AM653" i="4" s="1"/>
  <c r="AK654" i="4"/>
  <c r="AM654" i="4" s="1"/>
  <c r="AK655" i="4"/>
  <c r="AM655" i="4" s="1"/>
  <c r="AK656" i="4"/>
  <c r="AM656" i="4" s="1"/>
  <c r="AK657" i="4"/>
  <c r="AM657" i="4" s="1"/>
  <c r="AI610" i="4" a="1"/>
  <c r="AI610" i="4" s="1"/>
  <c r="AK610" i="4" s="1"/>
  <c r="AM610" i="4" s="1"/>
  <c r="AI530" i="4" a="1"/>
  <c r="AI530" i="4" s="1"/>
  <c r="AK530" i="4" s="1"/>
  <c r="AM530" i="4" s="1"/>
  <c r="AK602" i="4"/>
  <c r="AM602" i="4" s="1"/>
  <c r="AK618" i="4"/>
  <c r="AM618" i="4" s="1"/>
  <c r="AK603" i="4"/>
  <c r="AM603" i="4" s="1"/>
  <c r="AK612" i="4"/>
  <c r="AM612" i="4" s="1"/>
  <c r="AK605" i="4"/>
  <c r="AM605" i="4" s="1"/>
  <c r="AK613" i="4"/>
  <c r="AM613" i="4" s="1"/>
  <c r="AK607" i="4"/>
  <c r="AM607" i="4" s="1"/>
  <c r="AK606" i="4"/>
  <c r="AM606" i="4" s="1"/>
  <c r="AK614" i="4"/>
  <c r="AM614" i="4" s="1"/>
  <c r="AK565" i="4"/>
  <c r="AM565" i="4" s="1"/>
  <c r="AK567" i="4"/>
  <c r="AM567" i="4" s="1"/>
  <c r="AK566" i="4"/>
  <c r="AM566" i="4" s="1"/>
  <c r="AK568" i="4"/>
  <c r="AM568" i="4" s="1"/>
  <c r="AK581" i="4"/>
  <c r="AM581" i="4" s="1"/>
  <c r="AK570" i="4"/>
  <c r="AM570" i="4" s="1"/>
  <c r="AK572" i="4"/>
  <c r="AM572" i="4" s="1"/>
  <c r="AI619" i="4" a="1"/>
  <c r="AI619" i="4" s="1"/>
  <c r="AK619" i="4" s="1"/>
  <c r="AM619" i="4" s="1"/>
  <c r="AI617" i="4" a="1"/>
  <c r="AI617" i="4" s="1"/>
  <c r="AK617" i="4" s="1"/>
  <c r="AM617" i="4" s="1"/>
  <c r="AI573" i="4" a="1"/>
  <c r="AI573" i="4" s="1"/>
  <c r="AK573" i="4" s="1"/>
  <c r="AM573" i="4" s="1"/>
  <c r="AI574" i="4" a="1"/>
  <c r="AI574" i="4" s="1"/>
  <c r="AK574" i="4" s="1"/>
  <c r="AM574" i="4" s="1"/>
  <c r="AI575" i="4" a="1"/>
  <c r="AI575" i="4" s="1"/>
  <c r="AK575" i="4" s="1"/>
  <c r="AM575" i="4" s="1"/>
  <c r="AI544" i="4" a="1"/>
  <c r="AI544" i="4" s="1"/>
  <c r="AK544" i="4" s="1"/>
  <c r="AM544" i="4" s="1"/>
  <c r="AI546" i="4" a="1"/>
  <c r="AI546" i="4" s="1"/>
  <c r="AK546" i="4" s="1"/>
  <c r="AM546" i="4" s="1"/>
  <c r="AI547" i="4" a="1"/>
  <c r="AI547" i="4" s="1"/>
  <c r="AK547" i="4" s="1"/>
  <c r="AM547" i="4" s="1"/>
  <c r="AI569" i="4" a="1"/>
  <c r="AI569" i="4" s="1"/>
  <c r="AK569" i="4" s="1"/>
  <c r="AM569" i="4" s="1"/>
  <c r="AI576" i="4" a="1"/>
  <c r="AI576" i="4" s="1"/>
  <c r="AK576" i="4" s="1"/>
  <c r="AM576" i="4" s="1"/>
  <c r="AI545" i="4" a="1"/>
  <c r="AI545" i="4" s="1"/>
  <c r="AK545" i="4" s="1"/>
  <c r="AM545" i="4" s="1"/>
  <c r="AI583" i="4" a="1"/>
  <c r="AI583" i="4" s="1"/>
  <c r="AK583" i="4" s="1"/>
  <c r="AM583" i="4" s="1"/>
  <c r="AI584" i="4" a="1"/>
  <c r="AI584" i="4" s="1"/>
  <c r="AK584" i="4" s="1"/>
  <c r="AM584" i="4" s="1"/>
  <c r="AI582" i="4" a="1"/>
  <c r="AI582" i="4" s="1"/>
  <c r="AK582" i="4" s="1"/>
  <c r="AM582" i="4" s="1"/>
  <c r="AI580" i="4" a="1"/>
  <c r="AI580" i="4" s="1"/>
  <c r="AK580" i="4" s="1"/>
  <c r="AM580" i="4" s="1"/>
  <c r="AI528" i="4" a="1"/>
  <c r="AI528" i="4" s="1"/>
  <c r="AK528" i="4" s="1"/>
  <c r="AM528" i="4" s="1"/>
  <c r="AI531" i="4" a="1"/>
  <c r="AI531" i="4" s="1"/>
  <c r="AK531" i="4" s="1"/>
  <c r="AM531" i="4" s="1"/>
  <c r="AI532" i="4" a="1"/>
  <c r="AI532" i="4" s="1"/>
  <c r="AK532" i="4" s="1"/>
  <c r="AM532" i="4" s="1"/>
  <c r="AI533" i="4" a="1"/>
  <c r="AI533" i="4" s="1"/>
  <c r="AK533" i="4" s="1"/>
  <c r="AM533" i="4" s="1"/>
  <c r="AI543" i="4" a="1"/>
  <c r="AI543" i="4" s="1"/>
  <c r="AK543" i="4" s="1"/>
  <c r="AM543" i="4" s="1"/>
  <c r="AK752" i="4"/>
  <c r="AM752" i="4" s="1"/>
  <c r="AJ752" i="4"/>
  <c r="AL752" i="4" s="1"/>
  <c r="AK762" i="4"/>
  <c r="AM762" i="4" s="1"/>
  <c r="AJ762" i="4"/>
  <c r="AL762" i="4" s="1"/>
  <c r="AI772" i="4" a="1"/>
  <c r="AI772" i="4" s="1"/>
  <c r="AJ772" i="4" s="1"/>
  <c r="AK667" i="4" l="1"/>
  <c r="AM669" i="4"/>
  <c r="AM667" i="4" s="1"/>
  <c r="AK630" i="4"/>
  <c r="AM632" i="4"/>
  <c r="AM630" i="4" s="1"/>
  <c r="AL772" i="4"/>
  <c r="AA540" i="4" l="1"/>
  <c r="Y540" i="4"/>
  <c r="T540" i="4"/>
  <c r="Q540" i="4"/>
  <c r="N540" i="4"/>
  <c r="J540" i="4" a="1"/>
  <c r="J540" i="4" s="1"/>
  <c r="I540" i="4"/>
  <c r="F540" i="4"/>
  <c r="B540" i="4" s="1" a="1"/>
  <c r="B540" i="4" s="1"/>
  <c r="C540" i="4" s="1"/>
  <c r="AA539" i="4"/>
  <c r="Y539" i="4"/>
  <c r="T539" i="4"/>
  <c r="Q539" i="4"/>
  <c r="N539" i="4"/>
  <c r="J539" i="4" a="1"/>
  <c r="J539" i="4" s="1"/>
  <c r="I539" i="4"/>
  <c r="F539" i="4"/>
  <c r="B539" i="4" s="1" a="1"/>
  <c r="B539" i="4" s="1"/>
  <c r="C539" i="4" s="1"/>
  <c r="AA538" i="4"/>
  <c r="Y538" i="4"/>
  <c r="T538" i="4"/>
  <c r="Q538" i="4"/>
  <c r="N538" i="4"/>
  <c r="J538" i="4" a="1"/>
  <c r="J538" i="4" s="1"/>
  <c r="I538" i="4"/>
  <c r="F538" i="4"/>
  <c r="B538" i="4" s="1" a="1"/>
  <c r="B538" i="4" s="1"/>
  <c r="C538" i="4" s="1"/>
  <c r="AA537" i="4"/>
  <c r="Y537" i="4"/>
  <c r="T537" i="4"/>
  <c r="Q537" i="4"/>
  <c r="N537" i="4"/>
  <c r="J537" i="4" a="1"/>
  <c r="J537" i="4" s="1"/>
  <c r="I537" i="4"/>
  <c r="F537" i="4"/>
  <c r="B537" i="4" s="1" a="1"/>
  <c r="B537" i="4" s="1"/>
  <c r="C537" i="4" s="1"/>
  <c r="AA536" i="4"/>
  <c r="Y536" i="4"/>
  <c r="T536" i="4"/>
  <c r="Q536" i="4"/>
  <c r="N536" i="4"/>
  <c r="J536" i="4" a="1"/>
  <c r="J536" i="4" s="1"/>
  <c r="I536" i="4"/>
  <c r="F536" i="4"/>
  <c r="B536" i="4" s="1" a="1"/>
  <c r="B536" i="4" s="1"/>
  <c r="C536" i="4" s="1"/>
  <c r="AA535" i="4"/>
  <c r="Y535" i="4"/>
  <c r="T535" i="4"/>
  <c r="Q535" i="4"/>
  <c r="N535" i="4"/>
  <c r="J535" i="4" a="1"/>
  <c r="J535" i="4" s="1"/>
  <c r="I535" i="4"/>
  <c r="F535" i="4"/>
  <c r="B535" i="4" s="1" a="1"/>
  <c r="B535" i="4" s="1"/>
  <c r="C535" i="4" s="1"/>
  <c r="T600" i="4"/>
  <c r="T599" i="4"/>
  <c r="T598" i="4"/>
  <c r="T597" i="4"/>
  <c r="T596" i="4"/>
  <c r="T595" i="4"/>
  <c r="T563" i="4"/>
  <c r="T562" i="4"/>
  <c r="T561" i="4"/>
  <c r="T560" i="4"/>
  <c r="T559" i="4"/>
  <c r="T558" i="4"/>
  <c r="AA909" i="4"/>
  <c r="Y909" i="4"/>
  <c r="T909" i="4"/>
  <c r="Q909" i="4"/>
  <c r="N909" i="4"/>
  <c r="J909" i="4" a="1"/>
  <c r="J909" i="4" s="1"/>
  <c r="I909" i="4"/>
  <c r="F909" i="4"/>
  <c r="B909" i="4" s="1" a="1"/>
  <c r="B909" i="4" s="1"/>
  <c r="C909" i="4" s="1"/>
  <c r="AA908" i="4"/>
  <c r="Y908" i="4"/>
  <c r="T908" i="4"/>
  <c r="Q908" i="4"/>
  <c r="N908" i="4"/>
  <c r="J908" i="4" a="1"/>
  <c r="J908" i="4" s="1"/>
  <c r="I908" i="4"/>
  <c r="F908" i="4"/>
  <c r="B908" i="4" s="1" a="1"/>
  <c r="B908" i="4" s="1"/>
  <c r="C908" i="4" s="1"/>
  <c r="AA907" i="4"/>
  <c r="Y907" i="4"/>
  <c r="T907" i="4"/>
  <c r="Q907" i="4"/>
  <c r="N907" i="4"/>
  <c r="J907" i="4" a="1"/>
  <c r="J907" i="4" s="1"/>
  <c r="I907" i="4"/>
  <c r="F907" i="4"/>
  <c r="B907" i="4" s="1" a="1"/>
  <c r="B907" i="4" s="1"/>
  <c r="C907" i="4" s="1"/>
  <c r="Q906" i="4"/>
  <c r="J906" i="4" a="1"/>
  <c r="J906" i="4" s="1"/>
  <c r="AA893" i="4"/>
  <c r="Y893" i="4"/>
  <c r="T893" i="4"/>
  <c r="Q893" i="4"/>
  <c r="N893" i="4"/>
  <c r="J893" i="4" a="1"/>
  <c r="J893" i="4" s="1"/>
  <c r="I893" i="4"/>
  <c r="F893" i="4"/>
  <c r="B893" i="4" s="1" a="1"/>
  <c r="B893" i="4" s="1"/>
  <c r="C893" i="4" s="1"/>
  <c r="AA892" i="4"/>
  <c r="Y892" i="4"/>
  <c r="T892" i="4"/>
  <c r="Q892" i="4"/>
  <c r="N892" i="4"/>
  <c r="J892" i="4" a="1"/>
  <c r="J892" i="4" s="1"/>
  <c r="I892" i="4"/>
  <c r="F892" i="4"/>
  <c r="B892" i="4" s="1" a="1"/>
  <c r="B892" i="4" s="1"/>
  <c r="C892" i="4" s="1"/>
  <c r="AA891" i="4"/>
  <c r="Y891" i="4"/>
  <c r="T891" i="4"/>
  <c r="Q891" i="4"/>
  <c r="N891" i="4"/>
  <c r="J891" i="4" a="1"/>
  <c r="J891" i="4" s="1"/>
  <c r="I891" i="4"/>
  <c r="F891" i="4"/>
  <c r="B891" i="4" s="1" a="1"/>
  <c r="B891" i="4" s="1"/>
  <c r="C891" i="4" s="1"/>
  <c r="AA890" i="4"/>
  <c r="Y890" i="4"/>
  <c r="T890" i="4"/>
  <c r="Q890" i="4"/>
  <c r="N890" i="4"/>
  <c r="J890" i="4" a="1"/>
  <c r="J890" i="4" s="1"/>
  <c r="I890" i="4"/>
  <c r="F890" i="4"/>
  <c r="B890" i="4" s="1" a="1"/>
  <c r="B890" i="4" s="1"/>
  <c r="C890" i="4" s="1"/>
  <c r="AA888" i="4"/>
  <c r="Y888" i="4"/>
  <c r="T888" i="4"/>
  <c r="Q888" i="4"/>
  <c r="N888" i="4"/>
  <c r="J888" i="4" a="1"/>
  <c r="J888" i="4" s="1"/>
  <c r="I888" i="4"/>
  <c r="F888" i="4"/>
  <c r="B888" i="4" s="1" a="1"/>
  <c r="B888" i="4" s="1"/>
  <c r="C888" i="4" s="1"/>
  <c r="AA887" i="4"/>
  <c r="Y887" i="4"/>
  <c r="T887" i="4"/>
  <c r="Q887" i="4"/>
  <c r="N887" i="4"/>
  <c r="J887" i="4" a="1"/>
  <c r="J887" i="4" s="1"/>
  <c r="I887" i="4"/>
  <c r="F887" i="4"/>
  <c r="B887" i="4" s="1" a="1"/>
  <c r="B887" i="4" s="1"/>
  <c r="C887" i="4" s="1"/>
  <c r="AA886" i="4"/>
  <c r="Y886" i="4"/>
  <c r="T886" i="4"/>
  <c r="Q886" i="4"/>
  <c r="N886" i="4"/>
  <c r="J886" i="4" a="1"/>
  <c r="J886" i="4" s="1"/>
  <c r="I886" i="4"/>
  <c r="F886" i="4"/>
  <c r="B886" i="4" s="1" a="1"/>
  <c r="B886" i="4" s="1"/>
  <c r="C886" i="4" s="1"/>
  <c r="AA885" i="4"/>
  <c r="Y885" i="4"/>
  <c r="T885" i="4"/>
  <c r="Q885" i="4"/>
  <c r="N885" i="4"/>
  <c r="J885" i="4" a="1"/>
  <c r="J885" i="4" s="1"/>
  <c r="I885" i="4"/>
  <c r="F885" i="4"/>
  <c r="B885" i="4" s="1" a="1"/>
  <c r="B885" i="4" s="1"/>
  <c r="C885" i="4" s="1"/>
  <c r="AA883" i="4"/>
  <c r="Y883" i="4"/>
  <c r="T883" i="4"/>
  <c r="Q883" i="4"/>
  <c r="N883" i="4"/>
  <c r="J883" i="4" a="1"/>
  <c r="J883" i="4" s="1"/>
  <c r="I883" i="4"/>
  <c r="F883" i="4"/>
  <c r="B883" i="4" s="1" a="1"/>
  <c r="B883" i="4" s="1"/>
  <c r="C883" i="4" s="1"/>
  <c r="AA882" i="4"/>
  <c r="Y882" i="4"/>
  <c r="T882" i="4"/>
  <c r="Q882" i="4"/>
  <c r="N882" i="4"/>
  <c r="J882" i="4" a="1"/>
  <c r="J882" i="4" s="1"/>
  <c r="I882" i="4"/>
  <c r="F882" i="4"/>
  <c r="B882" i="4" s="1" a="1"/>
  <c r="B882" i="4" s="1"/>
  <c r="C882" i="4" s="1"/>
  <c r="AA881" i="4"/>
  <c r="Y881" i="4"/>
  <c r="T881" i="4"/>
  <c r="Q881" i="4"/>
  <c r="N881" i="4"/>
  <c r="J881" i="4" a="1"/>
  <c r="J881" i="4" s="1"/>
  <c r="I881" i="4"/>
  <c r="F881" i="4"/>
  <c r="B881" i="4" s="1" a="1"/>
  <c r="B881" i="4" s="1"/>
  <c r="C881" i="4" s="1"/>
  <c r="AA880" i="4"/>
  <c r="Y880" i="4"/>
  <c r="T880" i="4"/>
  <c r="Q880" i="4"/>
  <c r="N880" i="4"/>
  <c r="J880" i="4" a="1"/>
  <c r="J880" i="4" s="1"/>
  <c r="I880" i="4"/>
  <c r="F880" i="4"/>
  <c r="B880" i="4" s="1" a="1"/>
  <c r="B880" i="4" s="1"/>
  <c r="C880" i="4" s="1"/>
  <c r="AA928" i="4"/>
  <c r="Y928" i="4"/>
  <c r="T928" i="4"/>
  <c r="Q928" i="4"/>
  <c r="N928" i="4"/>
  <c r="J928" i="4" a="1"/>
  <c r="J928" i="4" s="1"/>
  <c r="I928" i="4"/>
  <c r="F928" i="4"/>
  <c r="B928" i="4" s="1" a="1"/>
  <c r="B928" i="4" s="1"/>
  <c r="C928" i="4" s="1"/>
  <c r="AA927" i="4"/>
  <c r="Y927" i="4"/>
  <c r="T927" i="4"/>
  <c r="Q927" i="4"/>
  <c r="N927" i="4"/>
  <c r="J927" i="4" a="1"/>
  <c r="J927" i="4" s="1"/>
  <c r="I927" i="4"/>
  <c r="F927" i="4"/>
  <c r="B927" i="4" s="1" a="1"/>
  <c r="B927" i="4" s="1"/>
  <c r="C927" i="4" s="1"/>
  <c r="AA926" i="4"/>
  <c r="Y926" i="4"/>
  <c r="T926" i="4"/>
  <c r="Q926" i="4"/>
  <c r="N926" i="4"/>
  <c r="J926" i="4" a="1"/>
  <c r="J926" i="4" s="1"/>
  <c r="I926" i="4"/>
  <c r="F926" i="4"/>
  <c r="B926" i="4" s="1" a="1"/>
  <c r="B926" i="4" s="1"/>
  <c r="C926" i="4" s="1"/>
  <c r="AA925" i="4"/>
  <c r="Y925" i="4"/>
  <c r="T925" i="4"/>
  <c r="Q925" i="4"/>
  <c r="N925" i="4"/>
  <c r="J925" i="4" a="1"/>
  <c r="J925" i="4" s="1"/>
  <c r="I925" i="4"/>
  <c r="F925" i="4"/>
  <c r="B925" i="4" s="1" a="1"/>
  <c r="B925" i="4" s="1"/>
  <c r="C925" i="4" s="1"/>
  <c r="AA924" i="4"/>
  <c r="Y924" i="4"/>
  <c r="T924" i="4"/>
  <c r="Q924" i="4"/>
  <c r="N924" i="4"/>
  <c r="J924" i="4" a="1"/>
  <c r="J924" i="4" s="1"/>
  <c r="I924" i="4"/>
  <c r="F924" i="4"/>
  <c r="B924" i="4" s="1" a="1"/>
  <c r="B924" i="4" s="1"/>
  <c r="C924" i="4" s="1"/>
  <c r="AI535" i="4" l="1" a="1"/>
  <c r="AI535" i="4" s="1"/>
  <c r="AI536" i="4" a="1"/>
  <c r="AI536" i="4" s="1"/>
  <c r="AI539" i="4" a="1"/>
  <c r="AI539" i="4" s="1"/>
  <c r="AI537" i="4" a="1"/>
  <c r="AI537" i="4" s="1"/>
  <c r="AI538" i="4" a="1"/>
  <c r="AI538" i="4" s="1"/>
  <c r="AI540" i="4" a="1"/>
  <c r="AI540" i="4" s="1"/>
  <c r="AA627" i="4" l="1"/>
  <c r="Y627" i="4"/>
  <c r="T627" i="4"/>
  <c r="Q627" i="4"/>
  <c r="N627" i="4"/>
  <c r="J627" i="4" a="1"/>
  <c r="J627" i="4" s="1"/>
  <c r="I627" i="4"/>
  <c r="F627" i="4"/>
  <c r="B627" i="4" s="1" a="1"/>
  <c r="B627" i="4" s="1"/>
  <c r="C627" i="4" s="1"/>
  <c r="AA626" i="4"/>
  <c r="Y626" i="4"/>
  <c r="T626" i="4"/>
  <c r="Q626" i="4"/>
  <c r="N626" i="4"/>
  <c r="J626" i="4" a="1"/>
  <c r="J626" i="4" s="1"/>
  <c r="I626" i="4"/>
  <c r="F626" i="4"/>
  <c r="B626" i="4" s="1" a="1"/>
  <c r="B626" i="4" s="1"/>
  <c r="C626" i="4" s="1"/>
  <c r="AA625" i="4"/>
  <c r="Y625" i="4"/>
  <c r="T625" i="4"/>
  <c r="Q625" i="4"/>
  <c r="N625" i="4"/>
  <c r="J625" i="4" a="1"/>
  <c r="J625" i="4" s="1"/>
  <c r="I625" i="4"/>
  <c r="F625" i="4"/>
  <c r="B625" i="4" s="1" a="1"/>
  <c r="B625" i="4" s="1"/>
  <c r="C625" i="4" s="1"/>
  <c r="AA624" i="4"/>
  <c r="Y624" i="4"/>
  <c r="T624" i="4"/>
  <c r="Q624" i="4"/>
  <c r="N624" i="4"/>
  <c r="J624" i="4" a="1"/>
  <c r="J624" i="4" s="1"/>
  <c r="I624" i="4"/>
  <c r="F624" i="4"/>
  <c r="B624" i="4" s="1" a="1"/>
  <c r="B624" i="4" s="1"/>
  <c r="C624" i="4" s="1"/>
  <c r="AA600" i="4"/>
  <c r="Y600" i="4"/>
  <c r="Q600" i="4"/>
  <c r="N600" i="4"/>
  <c r="J600" i="4" a="1"/>
  <c r="J600" i="4" s="1"/>
  <c r="I600" i="4"/>
  <c r="F600" i="4"/>
  <c r="B600" i="4" s="1" a="1"/>
  <c r="B600" i="4" s="1"/>
  <c r="C600" i="4" s="1"/>
  <c r="AA599" i="4"/>
  <c r="Y599" i="4"/>
  <c r="Q599" i="4"/>
  <c r="N599" i="4"/>
  <c r="J599" i="4" a="1"/>
  <c r="J599" i="4" s="1"/>
  <c r="I599" i="4"/>
  <c r="F599" i="4"/>
  <c r="B599" i="4" s="1" a="1"/>
  <c r="B599" i="4" s="1"/>
  <c r="C599" i="4" s="1"/>
  <c r="AA598" i="4"/>
  <c r="Y598" i="4"/>
  <c r="Q598" i="4"/>
  <c r="N598" i="4"/>
  <c r="J598" i="4" a="1"/>
  <c r="J598" i="4" s="1"/>
  <c r="I598" i="4"/>
  <c r="F598" i="4"/>
  <c r="B598" i="4" s="1" a="1"/>
  <c r="B598" i="4" s="1"/>
  <c r="C598" i="4" s="1"/>
  <c r="AA597" i="4"/>
  <c r="Y597" i="4"/>
  <c r="Q597" i="4"/>
  <c r="N597" i="4"/>
  <c r="J597" i="4" a="1"/>
  <c r="J597" i="4" s="1"/>
  <c r="I597" i="4"/>
  <c r="F597" i="4"/>
  <c r="B597" i="4" s="1" a="1"/>
  <c r="B597" i="4" s="1"/>
  <c r="C597" i="4" s="1"/>
  <c r="AA596" i="4"/>
  <c r="Y596" i="4"/>
  <c r="Q596" i="4"/>
  <c r="N596" i="4"/>
  <c r="J596" i="4" a="1"/>
  <c r="J596" i="4" s="1"/>
  <c r="I596" i="4"/>
  <c r="F596" i="4"/>
  <c r="B596" i="4" s="1" a="1"/>
  <c r="B596" i="4" s="1"/>
  <c r="C596" i="4" s="1"/>
  <c r="AA595" i="4"/>
  <c r="Y595" i="4"/>
  <c r="Q595" i="4"/>
  <c r="N595" i="4"/>
  <c r="J595" i="4" a="1"/>
  <c r="J595" i="4" s="1"/>
  <c r="I595" i="4"/>
  <c r="F595" i="4"/>
  <c r="B595" i="4" s="1" a="1"/>
  <c r="B595" i="4" s="1"/>
  <c r="C595" i="4" s="1"/>
  <c r="AA590" i="4"/>
  <c r="Y590" i="4"/>
  <c r="T590" i="4"/>
  <c r="Q590" i="4"/>
  <c r="N590" i="4"/>
  <c r="J590" i="4" a="1"/>
  <c r="J590" i="4" s="1"/>
  <c r="I590" i="4"/>
  <c r="F590" i="4"/>
  <c r="B590" i="4" s="1" a="1"/>
  <c r="B590" i="4" s="1"/>
  <c r="C590" i="4" s="1"/>
  <c r="AA589" i="4"/>
  <c r="Y589" i="4"/>
  <c r="T589" i="4"/>
  <c r="Q589" i="4"/>
  <c r="N589" i="4"/>
  <c r="J589" i="4" a="1"/>
  <c r="J589" i="4" s="1"/>
  <c r="I589" i="4"/>
  <c r="F589" i="4"/>
  <c r="B589" i="4" s="1" a="1"/>
  <c r="B589" i="4" s="1"/>
  <c r="C589" i="4" s="1"/>
  <c r="AA588" i="4"/>
  <c r="Y588" i="4"/>
  <c r="T588" i="4"/>
  <c r="Q588" i="4"/>
  <c r="N588" i="4"/>
  <c r="J588" i="4" a="1"/>
  <c r="J588" i="4" s="1"/>
  <c r="I588" i="4"/>
  <c r="F588" i="4"/>
  <c r="B588" i="4" s="1" a="1"/>
  <c r="B588" i="4" s="1"/>
  <c r="C588" i="4" s="1"/>
  <c r="AA587" i="4"/>
  <c r="Y587" i="4"/>
  <c r="T587" i="4"/>
  <c r="Q587" i="4"/>
  <c r="N587" i="4"/>
  <c r="J587" i="4" a="1"/>
  <c r="J587" i="4" s="1"/>
  <c r="I587" i="4"/>
  <c r="F587" i="4"/>
  <c r="B587" i="4" s="1" a="1"/>
  <c r="B587" i="4" s="1"/>
  <c r="C587" i="4" s="1"/>
  <c r="AA563" i="4"/>
  <c r="Y563" i="4"/>
  <c r="Q563" i="4"/>
  <c r="N563" i="4"/>
  <c r="J563" i="4" a="1"/>
  <c r="J563" i="4" s="1"/>
  <c r="I563" i="4"/>
  <c r="F563" i="4"/>
  <c r="B563" i="4" s="1" a="1"/>
  <c r="B563" i="4" s="1"/>
  <c r="C563" i="4" s="1"/>
  <c r="AA562" i="4"/>
  <c r="Y562" i="4"/>
  <c r="Q562" i="4"/>
  <c r="N562" i="4"/>
  <c r="J562" i="4" a="1"/>
  <c r="J562" i="4" s="1"/>
  <c r="I562" i="4"/>
  <c r="F562" i="4"/>
  <c r="B562" i="4" s="1" a="1"/>
  <c r="B562" i="4" s="1"/>
  <c r="C562" i="4" s="1"/>
  <c r="AA561" i="4"/>
  <c r="Y561" i="4"/>
  <c r="Q561" i="4"/>
  <c r="N561" i="4"/>
  <c r="J561" i="4" a="1"/>
  <c r="J561" i="4" s="1"/>
  <c r="I561" i="4"/>
  <c r="F561" i="4"/>
  <c r="B561" i="4" s="1" a="1"/>
  <c r="B561" i="4" s="1"/>
  <c r="C561" i="4" s="1"/>
  <c r="AA560" i="4"/>
  <c r="Y560" i="4"/>
  <c r="Q560" i="4"/>
  <c r="N560" i="4"/>
  <c r="J560" i="4" a="1"/>
  <c r="J560" i="4" s="1"/>
  <c r="I560" i="4"/>
  <c r="F560" i="4"/>
  <c r="B560" i="4" s="1" a="1"/>
  <c r="B560" i="4" s="1"/>
  <c r="C560" i="4" s="1"/>
  <c r="AA559" i="4"/>
  <c r="Y559" i="4"/>
  <c r="Q559" i="4"/>
  <c r="N559" i="4"/>
  <c r="J559" i="4" a="1"/>
  <c r="J559" i="4" s="1"/>
  <c r="I559" i="4"/>
  <c r="F559" i="4"/>
  <c r="B559" i="4" s="1" a="1"/>
  <c r="B559" i="4" s="1"/>
  <c r="C559" i="4" s="1"/>
  <c r="AA558" i="4"/>
  <c r="Y558" i="4"/>
  <c r="Q558" i="4"/>
  <c r="N558" i="4"/>
  <c r="J558" i="4" a="1"/>
  <c r="J558" i="4" s="1"/>
  <c r="I558" i="4"/>
  <c r="F558" i="4"/>
  <c r="B558" i="4" s="1" a="1"/>
  <c r="B558" i="4" s="1"/>
  <c r="C558" i="4" s="1"/>
  <c r="Q780" i="4"/>
  <c r="AA780" i="4"/>
  <c r="Y780" i="4"/>
  <c r="T780" i="4"/>
  <c r="N780" i="4"/>
  <c r="J780" i="4" a="1"/>
  <c r="J780" i="4" s="1"/>
  <c r="I780" i="4"/>
  <c r="F780" i="4"/>
  <c r="B780" i="4" s="1" a="1"/>
  <c r="B780" i="4" s="1"/>
  <c r="C780" i="4" s="1"/>
  <c r="AA779" i="4"/>
  <c r="Y779" i="4"/>
  <c r="T779" i="4"/>
  <c r="Q779" i="4"/>
  <c r="N779" i="4"/>
  <c r="J779" i="4" a="1"/>
  <c r="J779" i="4" s="1"/>
  <c r="I779" i="4"/>
  <c r="F779" i="4"/>
  <c r="B779" i="4" s="1" a="1"/>
  <c r="B779" i="4" s="1"/>
  <c r="C779" i="4" s="1"/>
  <c r="AA778" i="4"/>
  <c r="Y778" i="4"/>
  <c r="T778" i="4"/>
  <c r="Q778" i="4"/>
  <c r="N778" i="4"/>
  <c r="J778" i="4" a="1"/>
  <c r="J778" i="4" s="1"/>
  <c r="I778" i="4"/>
  <c r="F778" i="4"/>
  <c r="B778" i="4" s="1" a="1"/>
  <c r="B778" i="4" s="1"/>
  <c r="C778" i="4" s="1"/>
  <c r="AA777" i="4"/>
  <c r="Y777" i="4"/>
  <c r="T777" i="4"/>
  <c r="Q777" i="4"/>
  <c r="N777" i="4"/>
  <c r="J777" i="4" a="1"/>
  <c r="J777" i="4" s="1"/>
  <c r="I777" i="4"/>
  <c r="F777" i="4"/>
  <c r="B777" i="4" s="1" a="1"/>
  <c r="B777" i="4" s="1"/>
  <c r="C777" i="4" s="1"/>
  <c r="Q781" i="4"/>
  <c r="J781" i="4" a="1"/>
  <c r="J781" i="4" s="1"/>
  <c r="C775" i="4"/>
  <c r="AI588" i="4" l="1" a="1"/>
  <c r="AI588" i="4" s="1"/>
  <c r="AI778" i="4" a="1"/>
  <c r="AI778" i="4" s="1"/>
  <c r="AJ778" i="4" s="1"/>
  <c r="AL778" i="4" s="1"/>
  <c r="AI560" i="4" a="1"/>
  <c r="AI560" i="4" s="1"/>
  <c r="AI600" i="4" a="1"/>
  <c r="AI600" i="4" s="1"/>
  <c r="AI625" i="4" a="1"/>
  <c r="AI625" i="4" s="1"/>
  <c r="AI627" i="4" a="1"/>
  <c r="AI627" i="4" s="1"/>
  <c r="AI598" i="4" a="1"/>
  <c r="AI598" i="4" s="1"/>
  <c r="AI562" i="4" a="1"/>
  <c r="AI562" i="4" s="1"/>
  <c r="AI563" i="4" a="1"/>
  <c r="AI563" i="4" s="1"/>
  <c r="AI589" i="4" a="1"/>
  <c r="AI589" i="4" s="1"/>
  <c r="AI590" i="4" a="1"/>
  <c r="AI590" i="4" s="1"/>
  <c r="AI596" i="4" a="1"/>
  <c r="AI596" i="4" s="1"/>
  <c r="AI595" i="4" a="1"/>
  <c r="AI595" i="4" s="1"/>
  <c r="AI624" i="4" a="1"/>
  <c r="AI624" i="4" s="1"/>
  <c r="AI626" i="4" a="1"/>
  <c r="AI626" i="4" s="1"/>
  <c r="AI597" i="4" a="1"/>
  <c r="AI597" i="4" s="1"/>
  <c r="AI599" i="4" a="1"/>
  <c r="AI599" i="4" s="1"/>
  <c r="AI780" i="4" a="1"/>
  <c r="AI780" i="4" s="1"/>
  <c r="AI561" i="4" a="1"/>
  <c r="AI561" i="4" s="1"/>
  <c r="AI587" i="4" a="1"/>
  <c r="AI587" i="4" s="1"/>
  <c r="AI559" i="4" a="1"/>
  <c r="AI559" i="4" s="1"/>
  <c r="AI558" i="4" a="1"/>
  <c r="AI558" i="4" s="1"/>
  <c r="AI777" i="4" a="1"/>
  <c r="AI777" i="4" s="1"/>
  <c r="AJ777" i="4" s="1"/>
  <c r="AL777" i="4" s="1"/>
  <c r="AI779" i="4" a="1"/>
  <c r="AI779" i="4" s="1"/>
  <c r="AJ779" i="4" s="1"/>
  <c r="AL779" i="4" s="1"/>
  <c r="AJ780" i="4" l="1"/>
  <c r="AL780" i="4" s="1"/>
  <c r="AL775" i="4" s="1"/>
  <c r="AJ775" i="4" l="1"/>
  <c r="AA770" i="4"/>
  <c r="Y770" i="4"/>
  <c r="T770" i="4"/>
  <c r="Q770" i="4"/>
  <c r="N770" i="4"/>
  <c r="J770" i="4" a="1"/>
  <c r="J770" i="4" s="1"/>
  <c r="I770" i="4"/>
  <c r="F770" i="4"/>
  <c r="B770" i="4" s="1" a="1"/>
  <c r="B770" i="4" s="1"/>
  <c r="C770" i="4" s="1"/>
  <c r="AA769" i="4"/>
  <c r="Y769" i="4"/>
  <c r="T769" i="4"/>
  <c r="Q769" i="4"/>
  <c r="N769" i="4"/>
  <c r="J769" i="4" a="1"/>
  <c r="J769" i="4" s="1"/>
  <c r="I769" i="4"/>
  <c r="F769" i="4"/>
  <c r="B769" i="4" s="1" a="1"/>
  <c r="B769" i="4" s="1"/>
  <c r="C769" i="4" s="1"/>
  <c r="AA768" i="4"/>
  <c r="Y768" i="4"/>
  <c r="T768" i="4"/>
  <c r="Q768" i="4"/>
  <c r="N768" i="4"/>
  <c r="J768" i="4" a="1"/>
  <c r="J768" i="4" s="1"/>
  <c r="I768" i="4"/>
  <c r="F768" i="4"/>
  <c r="B768" i="4" s="1" a="1"/>
  <c r="B768" i="4" s="1"/>
  <c r="C768" i="4" s="1"/>
  <c r="AA767" i="4"/>
  <c r="Y767" i="4"/>
  <c r="T767" i="4"/>
  <c r="Q767" i="4"/>
  <c r="N767" i="4"/>
  <c r="J767" i="4" a="1"/>
  <c r="J767" i="4" s="1"/>
  <c r="I767" i="4"/>
  <c r="F767" i="4"/>
  <c r="B767" i="4" s="1" a="1"/>
  <c r="B767" i="4" s="1"/>
  <c r="C767" i="4" s="1"/>
  <c r="C765" i="4"/>
  <c r="AI768" i="4" l="1" a="1"/>
  <c r="AI768" i="4" s="1"/>
  <c r="AJ768" i="4" s="1"/>
  <c r="AL768" i="4" s="1"/>
  <c r="AI769" i="4" a="1"/>
  <c r="AI769" i="4" s="1"/>
  <c r="AI770" i="4" a="1"/>
  <c r="AI770" i="4" s="1"/>
  <c r="AI767" i="4" a="1"/>
  <c r="AI767" i="4" s="1"/>
  <c r="AJ769" i="4" l="1"/>
  <c r="AL769" i="4" s="1"/>
  <c r="AJ770" i="4"/>
  <c r="AL770" i="4" s="1"/>
  <c r="AJ767" i="4"/>
  <c r="AL767" i="4" l="1"/>
  <c r="AL765" i="4" s="1"/>
  <c r="AJ765" i="4"/>
  <c r="F550" i="4"/>
  <c r="B550" i="4" s="1" a="1"/>
  <c r="B550" i="4" s="1"/>
  <c r="C550" i="4" s="1"/>
  <c r="I550" i="4"/>
  <c r="J550" i="4" a="1"/>
  <c r="J550" i="4" s="1"/>
  <c r="N550" i="4"/>
  <c r="Q550" i="4"/>
  <c r="T550" i="4"/>
  <c r="Y550" i="4"/>
  <c r="AA550" i="4"/>
  <c r="F551" i="4"/>
  <c r="B551" i="4" s="1" a="1"/>
  <c r="B551" i="4" s="1"/>
  <c r="C551" i="4" s="1"/>
  <c r="I551" i="4"/>
  <c r="J551" i="4" a="1"/>
  <c r="J551" i="4" s="1"/>
  <c r="N551" i="4"/>
  <c r="Q551" i="4"/>
  <c r="T551" i="4"/>
  <c r="Y551" i="4"/>
  <c r="AA551" i="4"/>
  <c r="F552" i="4"/>
  <c r="B552" i="4" s="1" a="1"/>
  <c r="B552" i="4" s="1"/>
  <c r="C552" i="4" s="1"/>
  <c r="I552" i="4"/>
  <c r="J552" i="4" a="1"/>
  <c r="J552" i="4" s="1"/>
  <c r="N552" i="4"/>
  <c r="Q552" i="4"/>
  <c r="T552" i="4"/>
  <c r="Y552" i="4"/>
  <c r="AA552" i="4"/>
  <c r="F553" i="4"/>
  <c r="B553" i="4" s="1" a="1"/>
  <c r="B553" i="4" s="1"/>
  <c r="C553" i="4" s="1"/>
  <c r="I553" i="4"/>
  <c r="J553" i="4" a="1"/>
  <c r="J553" i="4" s="1"/>
  <c r="N553" i="4"/>
  <c r="Q553" i="4"/>
  <c r="T553" i="4"/>
  <c r="Y553" i="4"/>
  <c r="AA553" i="4"/>
  <c r="AA526" i="4"/>
  <c r="Y526" i="4"/>
  <c r="T526" i="4"/>
  <c r="Q526" i="4"/>
  <c r="N526" i="4"/>
  <c r="J526" i="4" a="1"/>
  <c r="J526" i="4" s="1"/>
  <c r="I526" i="4"/>
  <c r="F526" i="4"/>
  <c r="B526" i="4" s="1" a="1"/>
  <c r="B526" i="4" s="1"/>
  <c r="C526" i="4" s="1"/>
  <c r="AA525" i="4"/>
  <c r="Y525" i="4"/>
  <c r="T525" i="4"/>
  <c r="Q525" i="4"/>
  <c r="N525" i="4"/>
  <c r="J525" i="4" a="1"/>
  <c r="J525" i="4" s="1"/>
  <c r="I525" i="4"/>
  <c r="F525" i="4"/>
  <c r="B525" i="4" s="1" a="1"/>
  <c r="B525" i="4" s="1"/>
  <c r="C525" i="4" s="1"/>
  <c r="AI550" i="4" l="1" a="1"/>
  <c r="AI550" i="4" s="1"/>
  <c r="AI551" i="4" a="1"/>
  <c r="AI551" i="4" s="1"/>
  <c r="AI553" i="4" a="1"/>
  <c r="AI553" i="4" s="1"/>
  <c r="AI552" i="4" a="1"/>
  <c r="AI552" i="4" s="1"/>
  <c r="AI525" i="4" a="1"/>
  <c r="AI525" i="4" s="1"/>
  <c r="AI526" i="4" a="1"/>
  <c r="AI526" i="4" s="1"/>
  <c r="AA524" i="4"/>
  <c r="Y524" i="4"/>
  <c r="T524" i="4"/>
  <c r="Q524" i="4"/>
  <c r="N524" i="4"/>
  <c r="J524" i="4" a="1"/>
  <c r="J524" i="4" s="1"/>
  <c r="I524" i="4"/>
  <c r="F524" i="4"/>
  <c r="B524" i="4" s="1" a="1"/>
  <c r="B524" i="4" s="1"/>
  <c r="C524" i="4" s="1"/>
  <c r="AA523" i="4"/>
  <c r="Y523" i="4"/>
  <c r="T523" i="4"/>
  <c r="Q523" i="4"/>
  <c r="N523" i="4"/>
  <c r="J523" i="4" a="1"/>
  <c r="J523" i="4" s="1"/>
  <c r="I523" i="4"/>
  <c r="F523" i="4"/>
  <c r="B523" i="4" s="1" a="1"/>
  <c r="B523" i="4" s="1"/>
  <c r="C523" i="4" s="1"/>
  <c r="AA522" i="4"/>
  <c r="Y522" i="4"/>
  <c r="T522" i="4"/>
  <c r="Q522" i="4"/>
  <c r="N522" i="4"/>
  <c r="J522" i="4" a="1"/>
  <c r="J522" i="4" s="1"/>
  <c r="I522" i="4"/>
  <c r="F522" i="4"/>
  <c r="B522" i="4" s="1" a="1"/>
  <c r="B522" i="4" s="1"/>
  <c r="C522" i="4" s="1"/>
  <c r="AA521" i="4"/>
  <c r="Y521" i="4"/>
  <c r="T521" i="4"/>
  <c r="Q521" i="4"/>
  <c r="N521" i="4"/>
  <c r="J521" i="4" a="1"/>
  <c r="J521" i="4" s="1"/>
  <c r="I521" i="4"/>
  <c r="F521" i="4"/>
  <c r="B521" i="4" s="1" a="1"/>
  <c r="B521" i="4" s="1"/>
  <c r="C521" i="4" s="1"/>
  <c r="AI522" i="4" l="1" a="1"/>
  <c r="AI522" i="4" s="1"/>
  <c r="AI524" i="4" a="1"/>
  <c r="AI524" i="4" s="1"/>
  <c r="AI521" i="4" a="1"/>
  <c r="AI521" i="4" s="1"/>
  <c r="AI523" i="4" a="1"/>
  <c r="AI523" i="4" s="1"/>
  <c r="Y513" i="4" l="1"/>
  <c r="AN516" i="4"/>
  <c r="AO516" i="4" s="1"/>
  <c r="AA516" i="4"/>
  <c r="Y516" i="4"/>
  <c r="T516" i="4"/>
  <c r="Q516" i="4"/>
  <c r="N516" i="4"/>
  <c r="J516" i="4" a="1"/>
  <c r="J516" i="4" s="1"/>
  <c r="I516" i="4"/>
  <c r="F516" i="4"/>
  <c r="B516" i="4" s="1" a="1"/>
  <c r="B516" i="4" s="1"/>
  <c r="C516" i="4" s="1"/>
  <c r="AN515" i="4"/>
  <c r="AO515" i="4" s="1"/>
  <c r="AA515" i="4"/>
  <c r="Y515" i="4"/>
  <c r="T515" i="4"/>
  <c r="Q515" i="4"/>
  <c r="N515" i="4"/>
  <c r="J515" i="4" a="1"/>
  <c r="J515" i="4" s="1"/>
  <c r="I515" i="4"/>
  <c r="F515" i="4"/>
  <c r="B515" i="4" s="1" a="1"/>
  <c r="B515" i="4" s="1"/>
  <c r="C515" i="4" s="1"/>
  <c r="AN514" i="4"/>
  <c r="AO514" i="4" s="1"/>
  <c r="AA514" i="4"/>
  <c r="Y514" i="4"/>
  <c r="T514" i="4"/>
  <c r="Q514" i="4"/>
  <c r="N514" i="4"/>
  <c r="J514" i="4" a="1"/>
  <c r="J514" i="4" s="1"/>
  <c r="I514" i="4"/>
  <c r="F514" i="4"/>
  <c r="B514" i="4" s="1" a="1"/>
  <c r="B514" i="4" s="1"/>
  <c r="C514" i="4" s="1"/>
  <c r="AN513" i="4"/>
  <c r="AO513" i="4" s="1"/>
  <c r="AA513" i="4"/>
  <c r="T513" i="4"/>
  <c r="Q513" i="4"/>
  <c r="N513" i="4"/>
  <c r="J513" i="4" a="1"/>
  <c r="J513" i="4" s="1"/>
  <c r="I513" i="4"/>
  <c r="F513" i="4"/>
  <c r="B513" i="4" s="1" a="1"/>
  <c r="B513" i="4" s="1"/>
  <c r="C513" i="4" s="1"/>
  <c r="F706" i="4"/>
  <c r="B706" i="4" s="1" a="1"/>
  <c r="B706" i="4" s="1"/>
  <c r="C706" i="4" s="1"/>
  <c r="I706" i="4"/>
  <c r="J706" i="4" a="1"/>
  <c r="J706" i="4" s="1"/>
  <c r="N706" i="4"/>
  <c r="Q706" i="4"/>
  <c r="T706" i="4"/>
  <c r="Y706" i="4"/>
  <c r="AA706" i="4"/>
  <c r="F707" i="4"/>
  <c r="B707" i="4" s="1" a="1"/>
  <c r="B707" i="4" s="1"/>
  <c r="C707" i="4" s="1"/>
  <c r="I707" i="4"/>
  <c r="J707" i="4" a="1"/>
  <c r="J707" i="4" s="1"/>
  <c r="N707" i="4"/>
  <c r="Q707" i="4"/>
  <c r="T707" i="4"/>
  <c r="Y707" i="4"/>
  <c r="AA707" i="4"/>
  <c r="F708" i="4"/>
  <c r="B708" i="4" s="1" a="1"/>
  <c r="B708" i="4" s="1"/>
  <c r="C708" i="4" s="1"/>
  <c r="I708" i="4"/>
  <c r="J708" i="4" a="1"/>
  <c r="J708" i="4" s="1"/>
  <c r="N708" i="4"/>
  <c r="Q708" i="4"/>
  <c r="T708" i="4"/>
  <c r="Y708" i="4"/>
  <c r="AA708" i="4"/>
  <c r="F709" i="4"/>
  <c r="B709" i="4" s="1" a="1"/>
  <c r="B709" i="4" s="1"/>
  <c r="C709" i="4" s="1"/>
  <c r="I709" i="4"/>
  <c r="J709" i="4" a="1"/>
  <c r="J709" i="4" s="1"/>
  <c r="N709" i="4"/>
  <c r="Q709" i="4"/>
  <c r="T709" i="4"/>
  <c r="Y709" i="4"/>
  <c r="AA709" i="4"/>
  <c r="F710" i="4"/>
  <c r="B710" i="4" s="1" a="1"/>
  <c r="B710" i="4" s="1"/>
  <c r="C710" i="4" s="1"/>
  <c r="I710" i="4"/>
  <c r="J710" i="4" a="1"/>
  <c r="J710" i="4" s="1"/>
  <c r="N710" i="4"/>
  <c r="Q710" i="4"/>
  <c r="T710" i="4"/>
  <c r="Y710" i="4"/>
  <c r="AA710" i="4"/>
  <c r="F712" i="4"/>
  <c r="B712" i="4" s="1" a="1"/>
  <c r="B712" i="4" s="1"/>
  <c r="C712" i="4" s="1"/>
  <c r="I712" i="4"/>
  <c r="J712" i="4" a="1"/>
  <c r="J712" i="4" s="1"/>
  <c r="N712" i="4"/>
  <c r="Q712" i="4"/>
  <c r="T712" i="4"/>
  <c r="Y712" i="4"/>
  <c r="AA712" i="4"/>
  <c r="F713" i="4"/>
  <c r="B713" i="4" s="1" a="1"/>
  <c r="B713" i="4" s="1"/>
  <c r="C713" i="4" s="1"/>
  <c r="I713" i="4"/>
  <c r="J713" i="4" a="1"/>
  <c r="J713" i="4" s="1"/>
  <c r="N713" i="4"/>
  <c r="Q713" i="4"/>
  <c r="T713" i="4"/>
  <c r="Y713" i="4"/>
  <c r="AA713" i="4"/>
  <c r="F714" i="4"/>
  <c r="B714" i="4" s="1" a="1"/>
  <c r="B714" i="4" s="1"/>
  <c r="C714" i="4" s="1"/>
  <c r="I714" i="4"/>
  <c r="J714" i="4" a="1"/>
  <c r="J714" i="4" s="1"/>
  <c r="N714" i="4"/>
  <c r="Q714" i="4"/>
  <c r="T714" i="4"/>
  <c r="Y714" i="4"/>
  <c r="AA714" i="4"/>
  <c r="F715" i="4"/>
  <c r="B715" i="4" s="1" a="1"/>
  <c r="B715" i="4" s="1"/>
  <c r="C715" i="4" s="1"/>
  <c r="I715" i="4"/>
  <c r="J715" i="4" a="1"/>
  <c r="J715" i="4" s="1"/>
  <c r="N715" i="4"/>
  <c r="Q715" i="4"/>
  <c r="T715" i="4"/>
  <c r="Y715" i="4"/>
  <c r="AA715" i="4"/>
  <c r="F716" i="4"/>
  <c r="B716" i="4" s="1" a="1"/>
  <c r="B716" i="4" s="1"/>
  <c r="C716" i="4" s="1"/>
  <c r="I716" i="4"/>
  <c r="J716" i="4" a="1"/>
  <c r="J716" i="4" s="1"/>
  <c r="N716" i="4"/>
  <c r="Q716" i="4"/>
  <c r="T716" i="4"/>
  <c r="Y716" i="4"/>
  <c r="AA716" i="4"/>
  <c r="C704" i="4"/>
  <c r="AI516" i="4" l="1" a="1"/>
  <c r="AI516" i="4" s="1"/>
  <c r="AI515" i="4" a="1"/>
  <c r="AI515" i="4" s="1"/>
  <c r="AO511" i="4"/>
  <c r="AI714" i="4" a="1"/>
  <c r="AI714" i="4" s="1"/>
  <c r="AI716" i="4" a="1"/>
  <c r="AI716" i="4" s="1"/>
  <c r="AJ716" i="4" s="1"/>
  <c r="AL716" i="4" s="1"/>
  <c r="AI709" i="4" a="1"/>
  <c r="AI709" i="4" s="1"/>
  <c r="AJ709" i="4" s="1"/>
  <c r="AL709" i="4" s="1"/>
  <c r="AI706" i="4" a="1"/>
  <c r="AI706" i="4" s="1"/>
  <c r="AI712" i="4" a="1"/>
  <c r="AI712" i="4" s="1"/>
  <c r="AI710" i="4" a="1"/>
  <c r="AI710" i="4" s="1"/>
  <c r="AJ710" i="4" s="1"/>
  <c r="AL710" i="4" s="1"/>
  <c r="AI715" i="4" a="1"/>
  <c r="AI715" i="4" s="1"/>
  <c r="AJ715" i="4" s="1"/>
  <c r="AL715" i="4" s="1"/>
  <c r="AI707" i="4" a="1"/>
  <c r="AI707" i="4" s="1"/>
  <c r="AJ707" i="4" s="1"/>
  <c r="AL707" i="4" s="1"/>
  <c r="AI513" i="4" a="1"/>
  <c r="AI513" i="4" s="1"/>
  <c r="AI708" i="4" a="1"/>
  <c r="AI708" i="4" s="1"/>
  <c r="AJ708" i="4" s="1"/>
  <c r="AL708" i="4" s="1"/>
  <c r="AI713" i="4" a="1"/>
  <c r="AI713" i="4" s="1"/>
  <c r="AJ713" i="4" s="1"/>
  <c r="AL713" i="4" s="1"/>
  <c r="AI514" i="4" a="1"/>
  <c r="AI514" i="4" s="1"/>
  <c r="AJ714" i="4" l="1"/>
  <c r="AL714" i="4" s="1"/>
  <c r="AJ706" i="4"/>
  <c r="AL706" i="4" s="1"/>
  <c r="AJ712" i="4"/>
  <c r="AL712" i="4" s="1"/>
  <c r="AL704" i="4" l="1"/>
  <c r="AJ704" i="4"/>
  <c r="AA900" i="4" l="1"/>
  <c r="Y900" i="4"/>
  <c r="T900" i="4"/>
  <c r="Q900" i="4"/>
  <c r="N900" i="4"/>
  <c r="J900" i="4" a="1"/>
  <c r="J900" i="4" s="1"/>
  <c r="I900" i="4"/>
  <c r="F900" i="4"/>
  <c r="B900" i="4" s="1" a="1"/>
  <c r="B900" i="4" s="1"/>
  <c r="C900" i="4" s="1"/>
  <c r="AA898" i="4"/>
  <c r="Y898" i="4"/>
  <c r="T898" i="4"/>
  <c r="Q898" i="4"/>
  <c r="N898" i="4"/>
  <c r="J898" i="4" a="1"/>
  <c r="J898" i="4" s="1"/>
  <c r="I898" i="4"/>
  <c r="F898" i="4"/>
  <c r="B898" i="4" s="1" a="1"/>
  <c r="B898" i="4" s="1"/>
  <c r="C898" i="4" s="1"/>
  <c r="AA897" i="4"/>
  <c r="Y897" i="4"/>
  <c r="T897" i="4"/>
  <c r="Q897" i="4"/>
  <c r="N897" i="4"/>
  <c r="J897" i="4" a="1"/>
  <c r="J897" i="4" s="1"/>
  <c r="I897" i="4"/>
  <c r="F897" i="4"/>
  <c r="B897" i="4" s="1" a="1"/>
  <c r="B897" i="4" s="1"/>
  <c r="C897" i="4" s="1"/>
  <c r="AA896" i="4"/>
  <c r="Y896" i="4"/>
  <c r="T896" i="4"/>
  <c r="Q896" i="4"/>
  <c r="N896" i="4"/>
  <c r="J896" i="4" a="1"/>
  <c r="J896" i="4" s="1"/>
  <c r="I896" i="4"/>
  <c r="F896" i="4"/>
  <c r="B896" i="4" s="1" a="1"/>
  <c r="B896" i="4" s="1"/>
  <c r="C896" i="4" s="1"/>
  <c r="AA895" i="4"/>
  <c r="Y895" i="4"/>
  <c r="T895" i="4"/>
  <c r="Q895" i="4"/>
  <c r="N895" i="4"/>
  <c r="J895" i="4" a="1"/>
  <c r="J895" i="4" s="1"/>
  <c r="I895" i="4"/>
  <c r="F895" i="4"/>
  <c r="B895" i="4" s="1" a="1"/>
  <c r="B895" i="4" s="1"/>
  <c r="C895" i="4" s="1"/>
  <c r="AA759" i="4"/>
  <c r="Y759" i="4"/>
  <c r="T759" i="4"/>
  <c r="Q759" i="4"/>
  <c r="N759" i="4"/>
  <c r="J759" i="4" a="1"/>
  <c r="J759" i="4" s="1"/>
  <c r="I759" i="4"/>
  <c r="F759" i="4"/>
  <c r="B759" i="4" s="1" a="1"/>
  <c r="B759" i="4" s="1"/>
  <c r="C759" i="4" s="1"/>
  <c r="J862" i="4" a="1"/>
  <c r="J862" i="4" s="1"/>
  <c r="AA862" i="4"/>
  <c r="Y862" i="4"/>
  <c r="T862" i="4"/>
  <c r="Q862" i="4"/>
  <c r="N862" i="4"/>
  <c r="I862" i="4"/>
  <c r="F862" i="4"/>
  <c r="B862" i="4" s="1" a="1"/>
  <c r="B862" i="4" s="1"/>
  <c r="C862" i="4" s="1"/>
  <c r="AA859" i="4"/>
  <c r="Y859" i="4"/>
  <c r="T859" i="4"/>
  <c r="Q859" i="4"/>
  <c r="N859" i="4"/>
  <c r="J859" i="4" a="1"/>
  <c r="J859" i="4" s="1"/>
  <c r="I859" i="4"/>
  <c r="F859" i="4"/>
  <c r="B859" i="4" s="1" a="1"/>
  <c r="B859" i="4" s="1"/>
  <c r="C859" i="4" s="1"/>
  <c r="AA858" i="4"/>
  <c r="Y858" i="4"/>
  <c r="T858" i="4"/>
  <c r="Q858" i="4"/>
  <c r="N858" i="4"/>
  <c r="J858" i="4" a="1"/>
  <c r="J858" i="4" s="1"/>
  <c r="I858" i="4"/>
  <c r="F858" i="4"/>
  <c r="B858" i="4" s="1" a="1"/>
  <c r="B858" i="4" s="1"/>
  <c r="C858" i="4" s="1"/>
  <c r="AA864" i="4"/>
  <c r="Y864" i="4"/>
  <c r="T864" i="4"/>
  <c r="Q864" i="4"/>
  <c r="N864" i="4"/>
  <c r="J864" i="4" a="1"/>
  <c r="J864" i="4" s="1"/>
  <c r="I864" i="4"/>
  <c r="F864" i="4"/>
  <c r="B864" i="4" s="1" a="1"/>
  <c r="B864" i="4" s="1"/>
  <c r="C864" i="4" s="1"/>
  <c r="AA865" i="4"/>
  <c r="Y865" i="4"/>
  <c r="T865" i="4"/>
  <c r="Q865" i="4"/>
  <c r="N865" i="4"/>
  <c r="J865" i="4" a="1"/>
  <c r="J865" i="4" s="1"/>
  <c r="I865" i="4"/>
  <c r="F865" i="4"/>
  <c r="B865" i="4" s="1" a="1"/>
  <c r="B865" i="4" s="1"/>
  <c r="C865" i="4" s="1"/>
  <c r="Q866" i="4"/>
  <c r="J866" i="4" a="1"/>
  <c r="J866" i="4" s="1"/>
  <c r="AA861" i="4"/>
  <c r="Y861" i="4"/>
  <c r="T861" i="4"/>
  <c r="Q861" i="4"/>
  <c r="N861" i="4"/>
  <c r="J861" i="4" a="1"/>
  <c r="J861" i="4" s="1"/>
  <c r="I861" i="4"/>
  <c r="F861" i="4"/>
  <c r="B861" i="4" s="1" a="1"/>
  <c r="B861" i="4" s="1"/>
  <c r="C861" i="4" s="1"/>
  <c r="AA857" i="4"/>
  <c r="Y857" i="4"/>
  <c r="T857" i="4"/>
  <c r="Q857" i="4"/>
  <c r="N857" i="4"/>
  <c r="J857" i="4" a="1"/>
  <c r="J857" i="4" s="1"/>
  <c r="I857" i="4"/>
  <c r="F857" i="4"/>
  <c r="B857" i="4" s="1" a="1"/>
  <c r="B857" i="4" s="1"/>
  <c r="C857" i="4" s="1"/>
  <c r="AA856" i="4"/>
  <c r="Y856" i="4"/>
  <c r="T856" i="4"/>
  <c r="Q856" i="4"/>
  <c r="N856" i="4"/>
  <c r="J856" i="4" a="1"/>
  <c r="J856" i="4" s="1"/>
  <c r="I856" i="4"/>
  <c r="F856" i="4"/>
  <c r="B856" i="4" s="1" a="1"/>
  <c r="B856" i="4" s="1"/>
  <c r="C856" i="4" s="1"/>
  <c r="AA855" i="4"/>
  <c r="Y855" i="4"/>
  <c r="T855" i="4"/>
  <c r="Q855" i="4"/>
  <c r="N855" i="4"/>
  <c r="J855" i="4" a="1"/>
  <c r="J855" i="4" s="1"/>
  <c r="I855" i="4"/>
  <c r="F855" i="4"/>
  <c r="B855" i="4" s="1" a="1"/>
  <c r="B855" i="4" s="1"/>
  <c r="C855" i="4" s="1"/>
  <c r="C853" i="4"/>
  <c r="AA750" i="4"/>
  <c r="Y750" i="4"/>
  <c r="T750" i="4"/>
  <c r="Q750" i="4"/>
  <c r="N750" i="4"/>
  <c r="J750" i="4" a="1"/>
  <c r="J750" i="4" s="1"/>
  <c r="I750" i="4"/>
  <c r="F750" i="4"/>
  <c r="B750" i="4" s="1" a="1"/>
  <c r="B750" i="4" s="1"/>
  <c r="C750" i="4" s="1"/>
  <c r="AA749" i="4"/>
  <c r="Y749" i="4"/>
  <c r="T749" i="4"/>
  <c r="Q749" i="4"/>
  <c r="N749" i="4"/>
  <c r="J749" i="4" a="1"/>
  <c r="J749" i="4" s="1"/>
  <c r="I749" i="4"/>
  <c r="F749" i="4"/>
  <c r="B749" i="4" s="1" a="1"/>
  <c r="B749" i="4" s="1"/>
  <c r="C749" i="4" s="1"/>
  <c r="AA748" i="4"/>
  <c r="Y748" i="4"/>
  <c r="T748" i="4"/>
  <c r="Q748" i="4"/>
  <c r="N748" i="4"/>
  <c r="J748" i="4" a="1"/>
  <c r="J748" i="4" s="1"/>
  <c r="I748" i="4"/>
  <c r="F748" i="4"/>
  <c r="B748" i="4" s="1" a="1"/>
  <c r="B748" i="4" s="1"/>
  <c r="C748" i="4" s="1"/>
  <c r="J753" i="4" a="1"/>
  <c r="J753" i="4" s="1"/>
  <c r="AA746" i="4"/>
  <c r="Y746" i="4"/>
  <c r="T746" i="4"/>
  <c r="Q746" i="4"/>
  <c r="N746" i="4"/>
  <c r="J746" i="4" a="1"/>
  <c r="J746" i="4" s="1"/>
  <c r="I746" i="4"/>
  <c r="B746" i="4" a="1"/>
  <c r="B746" i="4" s="1"/>
  <c r="C746" i="4" s="1"/>
  <c r="AA745" i="4"/>
  <c r="Y745" i="4"/>
  <c r="T745" i="4"/>
  <c r="Q745" i="4"/>
  <c r="N745" i="4"/>
  <c r="J745" i="4" a="1"/>
  <c r="J745" i="4" s="1"/>
  <c r="I745" i="4"/>
  <c r="B745" i="4" a="1"/>
  <c r="B745" i="4" s="1"/>
  <c r="C745" i="4" s="1"/>
  <c r="C743" i="4"/>
  <c r="AI895" i="4" l="1" a="1"/>
  <c r="AI895" i="4" s="1"/>
  <c r="AI896" i="4" a="1"/>
  <c r="AI896" i="4" s="1"/>
  <c r="AJ896" i="4" s="1"/>
  <c r="AL896" i="4" s="1"/>
  <c r="AI897" i="4" a="1"/>
  <c r="AI897" i="4" s="1"/>
  <c r="AI898" i="4" a="1"/>
  <c r="AI898" i="4" s="1"/>
  <c r="AJ898" i="4" s="1"/>
  <c r="AL898" i="4" s="1"/>
  <c r="AI900" i="4" a="1"/>
  <c r="AI900" i="4" s="1"/>
  <c r="AJ900" i="4" s="1"/>
  <c r="AL900" i="4" s="1"/>
  <c r="AI862" i="4" a="1"/>
  <c r="AI862" i="4" s="1"/>
  <c r="AI759" i="4" a="1"/>
  <c r="AI759" i="4" s="1"/>
  <c r="AI865" i="4" a="1"/>
  <c r="AI865" i="4" s="1"/>
  <c r="AI864" i="4" a="1"/>
  <c r="AI864" i="4" s="1"/>
  <c r="AI858" i="4" a="1"/>
  <c r="AI858" i="4" s="1"/>
  <c r="AJ858" i="4" s="1"/>
  <c r="AL858" i="4" s="1"/>
  <c r="AI859" i="4" a="1"/>
  <c r="AI859" i="4" s="1"/>
  <c r="AJ859" i="4" s="1"/>
  <c r="AL859" i="4" s="1"/>
  <c r="AI855" i="4" a="1"/>
  <c r="AI855" i="4" s="1"/>
  <c r="AI856" i="4" a="1"/>
  <c r="AI856" i="4" s="1"/>
  <c r="AI861" i="4" a="1"/>
  <c r="AI861" i="4" s="1"/>
  <c r="AI857" i="4" a="1"/>
  <c r="AI857" i="4" s="1"/>
  <c r="AI746" i="4" a="1"/>
  <c r="AI746" i="4" s="1"/>
  <c r="AJ746" i="4" s="1"/>
  <c r="AL746" i="4" s="1"/>
  <c r="AI748" i="4" a="1"/>
  <c r="AI748" i="4" s="1"/>
  <c r="AJ748" i="4" s="1"/>
  <c r="AL748" i="4" s="1"/>
  <c r="AI749" i="4" a="1"/>
  <c r="AI749" i="4" s="1"/>
  <c r="AI750" i="4" a="1"/>
  <c r="AI750" i="4" s="1"/>
  <c r="AJ750" i="4" s="1"/>
  <c r="AL750" i="4" s="1"/>
  <c r="AI745" i="4" a="1"/>
  <c r="AI745" i="4" s="1"/>
  <c r="AJ745" i="4" s="1"/>
  <c r="AJ895" i="4" l="1"/>
  <c r="AL895" i="4" s="1"/>
  <c r="AJ897" i="4"/>
  <c r="AL897" i="4" s="1"/>
  <c r="AJ759" i="4"/>
  <c r="AL759" i="4" s="1"/>
  <c r="AJ856" i="4"/>
  <c r="AL856" i="4" s="1"/>
  <c r="AJ855" i="4"/>
  <c r="AL855" i="4" s="1"/>
  <c r="AJ857" i="4"/>
  <c r="AL857" i="4" s="1"/>
  <c r="AJ749" i="4"/>
  <c r="AL749" i="4" s="1"/>
  <c r="AL745" i="4"/>
  <c r="AL743" i="4" l="1"/>
  <c r="AJ743" i="4"/>
  <c r="AL876" i="4"/>
  <c r="AJ876" i="4"/>
  <c r="AL853" i="4"/>
  <c r="AJ853" i="4"/>
  <c r="AA810" i="4" l="1"/>
  <c r="Y810" i="4"/>
  <c r="T810" i="4"/>
  <c r="Q810" i="4"/>
  <c r="N810" i="4"/>
  <c r="J810" i="4" a="1"/>
  <c r="J810" i="4" s="1"/>
  <c r="I810" i="4"/>
  <c r="F810" i="4"/>
  <c r="B810" i="4" s="1" a="1"/>
  <c r="B810" i="4" s="1"/>
  <c r="C810" i="4" s="1"/>
  <c r="AN845" i="4"/>
  <c r="AO845" i="4" s="1"/>
  <c r="AA845" i="4"/>
  <c r="Y845" i="4"/>
  <c r="T845" i="4"/>
  <c r="Q845" i="4"/>
  <c r="N845" i="4"/>
  <c r="J845" i="4" a="1"/>
  <c r="J845" i="4" s="1"/>
  <c r="I845" i="4"/>
  <c r="F845" i="4"/>
  <c r="B845" i="4" s="1" a="1"/>
  <c r="B845" i="4" s="1"/>
  <c r="C845" i="4" s="1"/>
  <c r="AN844" i="4"/>
  <c r="AO844" i="4" s="1"/>
  <c r="AA844" i="4"/>
  <c r="Y844" i="4"/>
  <c r="T844" i="4"/>
  <c r="Q844" i="4"/>
  <c r="N844" i="4"/>
  <c r="J844" i="4" a="1"/>
  <c r="J844" i="4" s="1"/>
  <c r="I844" i="4"/>
  <c r="F844" i="4"/>
  <c r="B844" i="4" s="1" a="1"/>
  <c r="B844" i="4" s="1"/>
  <c r="C844" i="4" s="1"/>
  <c r="AN843" i="4"/>
  <c r="AO843" i="4" s="1"/>
  <c r="AA843" i="4"/>
  <c r="Y843" i="4"/>
  <c r="T843" i="4"/>
  <c r="Q843" i="4"/>
  <c r="N843" i="4"/>
  <c r="J843" i="4" a="1"/>
  <c r="J843" i="4" s="1"/>
  <c r="I843" i="4"/>
  <c r="F843" i="4"/>
  <c r="B843" i="4" s="1" a="1"/>
  <c r="B843" i="4" s="1"/>
  <c r="C843" i="4" s="1"/>
  <c r="AN841" i="4"/>
  <c r="AO841" i="4" s="1"/>
  <c r="AN840" i="4"/>
  <c r="AO840" i="4" s="1"/>
  <c r="AN839" i="4"/>
  <c r="AO839" i="4" s="1"/>
  <c r="AI810" i="4" l="1" a="1"/>
  <c r="AI810" i="4" s="1"/>
  <c r="AJ810" i="4" s="1"/>
  <c r="AL810" i="4" s="1"/>
  <c r="AO833" i="4"/>
  <c r="AA841" i="4"/>
  <c r="Y841" i="4"/>
  <c r="T841" i="4"/>
  <c r="Q841" i="4"/>
  <c r="N841" i="4"/>
  <c r="J841" i="4" a="1"/>
  <c r="J841" i="4" s="1"/>
  <c r="I841" i="4"/>
  <c r="F841" i="4"/>
  <c r="B841" i="4" s="1" a="1"/>
  <c r="B841" i="4" s="1"/>
  <c r="C841" i="4" s="1"/>
  <c r="AA840" i="4"/>
  <c r="Y840" i="4"/>
  <c r="T840" i="4"/>
  <c r="Q840" i="4"/>
  <c r="N840" i="4"/>
  <c r="J840" i="4" a="1"/>
  <c r="J840" i="4" s="1"/>
  <c r="I840" i="4"/>
  <c r="F840" i="4"/>
  <c r="B840" i="4" s="1" a="1"/>
  <c r="B840" i="4" s="1"/>
  <c r="C840" i="4" s="1"/>
  <c r="AA839" i="4"/>
  <c r="Y839" i="4"/>
  <c r="T839" i="4"/>
  <c r="Q839" i="4"/>
  <c r="N839" i="4"/>
  <c r="J839" i="4" a="1"/>
  <c r="J839" i="4" s="1"/>
  <c r="I839" i="4"/>
  <c r="F839" i="4"/>
  <c r="B839" i="4" s="1" a="1"/>
  <c r="B839" i="4" s="1"/>
  <c r="C839" i="4" s="1"/>
  <c r="I10" i="6"/>
  <c r="AK772" i="4" s="1"/>
  <c r="AM772" i="4" s="1"/>
  <c r="AA837" i="4"/>
  <c r="Y837" i="4"/>
  <c r="T837" i="4"/>
  <c r="Q837" i="4"/>
  <c r="N837" i="4"/>
  <c r="J837" i="4" a="1"/>
  <c r="J837" i="4" s="1"/>
  <c r="I837" i="4"/>
  <c r="F837" i="4"/>
  <c r="B837" i="4" s="1" a="1"/>
  <c r="B837" i="4" s="1"/>
  <c r="C837" i="4" s="1"/>
  <c r="AA836" i="4"/>
  <c r="Y836" i="4"/>
  <c r="T836" i="4"/>
  <c r="Q836" i="4"/>
  <c r="N836" i="4"/>
  <c r="J836" i="4" a="1"/>
  <c r="J836" i="4" s="1"/>
  <c r="I836" i="4"/>
  <c r="F836" i="4"/>
  <c r="B836" i="4" s="1" a="1"/>
  <c r="B836" i="4" s="1"/>
  <c r="C836" i="4" s="1"/>
  <c r="AK537" i="4" l="1"/>
  <c r="AM537" i="4" s="1"/>
  <c r="AK539" i="4"/>
  <c r="AM539" i="4" s="1"/>
  <c r="AK536" i="4"/>
  <c r="AM536" i="4" s="1"/>
  <c r="AK535" i="4"/>
  <c r="AM535" i="4" s="1"/>
  <c r="AK540" i="4"/>
  <c r="AM540" i="4" s="1"/>
  <c r="AK538" i="4"/>
  <c r="AM538" i="4" s="1"/>
  <c r="AK562" i="4"/>
  <c r="AM562" i="4" s="1"/>
  <c r="AK590" i="4"/>
  <c r="AM590" i="4" s="1"/>
  <c r="AK780" i="4"/>
  <c r="AM780" i="4" s="1"/>
  <c r="AK626" i="4"/>
  <c r="AM626" i="4" s="1"/>
  <c r="AK560" i="4"/>
  <c r="AM560" i="4" s="1"/>
  <c r="AK589" i="4"/>
  <c r="AM589" i="4" s="1"/>
  <c r="AK563" i="4"/>
  <c r="AM563" i="4" s="1"/>
  <c r="AK600" i="4"/>
  <c r="AM600" i="4" s="1"/>
  <c r="AK777" i="4"/>
  <c r="AK778" i="4"/>
  <c r="AM778" i="4" s="1"/>
  <c r="AK558" i="4"/>
  <c r="AK598" i="4"/>
  <c r="AM598" i="4" s="1"/>
  <c r="AK599" i="4"/>
  <c r="AM599" i="4" s="1"/>
  <c r="AK597" i="4"/>
  <c r="AM597" i="4" s="1"/>
  <c r="AK779" i="4"/>
  <c r="AM779" i="4" s="1"/>
  <c r="AK588" i="4"/>
  <c r="AM588" i="4" s="1"/>
  <c r="AK595" i="4"/>
  <c r="AK625" i="4"/>
  <c r="AM625" i="4" s="1"/>
  <c r="AK561" i="4"/>
  <c r="AM561" i="4" s="1"/>
  <c r="AK559" i="4"/>
  <c r="AM559" i="4" s="1"/>
  <c r="AK627" i="4"/>
  <c r="AM627" i="4" s="1"/>
  <c r="AK624" i="4"/>
  <c r="AM624" i="4" s="1"/>
  <c r="AK587" i="4"/>
  <c r="AM587" i="4" s="1"/>
  <c r="AK596" i="4"/>
  <c r="AM596" i="4" s="1"/>
  <c r="AK767" i="4"/>
  <c r="AK769" i="4"/>
  <c r="AM769" i="4" s="1"/>
  <c r="AK770" i="4"/>
  <c r="AM770" i="4" s="1"/>
  <c r="AK768" i="4"/>
  <c r="AM768" i="4" s="1"/>
  <c r="AK526" i="4"/>
  <c r="AM526" i="4" s="1"/>
  <c r="AK551" i="4"/>
  <c r="AM551" i="4" s="1"/>
  <c r="AK550" i="4"/>
  <c r="AM550" i="4" s="1"/>
  <c r="AK552" i="4"/>
  <c r="AM552" i="4" s="1"/>
  <c r="AK553" i="4"/>
  <c r="AM553" i="4" s="1"/>
  <c r="AK525" i="4"/>
  <c r="AM525" i="4" s="1"/>
  <c r="AK524" i="4"/>
  <c r="AM524" i="4" s="1"/>
  <c r="AK522" i="4"/>
  <c r="AM522" i="4" s="1"/>
  <c r="AK523" i="4"/>
  <c r="AM523" i="4" s="1"/>
  <c r="AK521" i="4"/>
  <c r="AK706" i="4"/>
  <c r="AK712" i="4"/>
  <c r="AM712" i="4" s="1"/>
  <c r="AK716" i="4"/>
  <c r="AM716" i="4" s="1"/>
  <c r="AK713" i="4"/>
  <c r="AM713" i="4" s="1"/>
  <c r="AK714" i="4"/>
  <c r="AM714" i="4" s="1"/>
  <c r="AK710" i="4"/>
  <c r="AM710" i="4" s="1"/>
  <c r="AK707" i="4"/>
  <c r="AM707" i="4" s="1"/>
  <c r="AK715" i="4"/>
  <c r="AM715" i="4" s="1"/>
  <c r="AK708" i="4"/>
  <c r="AM708" i="4" s="1"/>
  <c r="AK709" i="4"/>
  <c r="AM709" i="4" s="1"/>
  <c r="AK865" i="4"/>
  <c r="AM865" i="4" s="1"/>
  <c r="AK759" i="4"/>
  <c r="AM759" i="4" s="1"/>
  <c r="AK745" i="4"/>
  <c r="AK862" i="4"/>
  <c r="AM862" i="4" s="1"/>
  <c r="AK896" i="4"/>
  <c r="AM896" i="4" s="1"/>
  <c r="AK861" i="4"/>
  <c r="AK746" i="4"/>
  <c r="AM746" i="4" s="1"/>
  <c r="AK749" i="4"/>
  <c r="AM749" i="4" s="1"/>
  <c r="AK748" i="4"/>
  <c r="AM748" i="4" s="1"/>
  <c r="AK864" i="4"/>
  <c r="AM864" i="4" s="1"/>
  <c r="AK898" i="4"/>
  <c r="AM898" i="4" s="1"/>
  <c r="AK750" i="4"/>
  <c r="AM750" i="4" s="1"/>
  <c r="AK897" i="4"/>
  <c r="AM897" i="4" s="1"/>
  <c r="AK895" i="4"/>
  <c r="AK900" i="4"/>
  <c r="AM900" i="4" s="1"/>
  <c r="AK810" i="4"/>
  <c r="AM810" i="4" s="1"/>
  <c r="AI837" i="4" a="1"/>
  <c r="AI837" i="4" s="1"/>
  <c r="AI836" i="4" a="1"/>
  <c r="AI836" i="4" s="1"/>
  <c r="AK743" i="4" l="1"/>
  <c r="AK765" i="4"/>
  <c r="AM767" i="4"/>
  <c r="AM765" i="4" s="1"/>
  <c r="AK593" i="4"/>
  <c r="AM595" i="4"/>
  <c r="AM593" i="4" s="1"/>
  <c r="AM777" i="4"/>
  <c r="AM775" i="4" s="1"/>
  <c r="AK775" i="4"/>
  <c r="AM745" i="4"/>
  <c r="AM743" i="4" s="1"/>
  <c r="AM706" i="4"/>
  <c r="AM704" i="4" s="1"/>
  <c r="AK704" i="4"/>
  <c r="AM861" i="4"/>
  <c r="AM853" i="4" s="1"/>
  <c r="AK853" i="4"/>
  <c r="AM521" i="4"/>
  <c r="AM895" i="4"/>
  <c r="AM876" i="4" s="1"/>
  <c r="AK876" i="4"/>
  <c r="AM558" i="4"/>
  <c r="AM556" i="4" s="1"/>
  <c r="AK556" i="4"/>
  <c r="AK837" i="4"/>
  <c r="AM837" i="4" s="1"/>
  <c r="AJ837" i="4"/>
  <c r="AL837" i="4" s="1"/>
  <c r="AK836" i="4"/>
  <c r="AM836" i="4" s="1"/>
  <c r="AJ836" i="4"/>
  <c r="AL836" i="4" s="1"/>
  <c r="AN787" i="4"/>
  <c r="AO787" i="4" s="1"/>
  <c r="AA787" i="4"/>
  <c r="Y787" i="4"/>
  <c r="T787" i="4"/>
  <c r="Q787" i="4"/>
  <c r="N787" i="4"/>
  <c r="J787" i="4" a="1"/>
  <c r="J787" i="4" s="1"/>
  <c r="I787" i="4"/>
  <c r="F787" i="4"/>
  <c r="B787" i="4" s="1" a="1"/>
  <c r="B787" i="4" s="1"/>
  <c r="C787" i="4" s="1"/>
  <c r="Q800" i="4"/>
  <c r="J800" i="4" a="1"/>
  <c r="J800" i="4" s="1"/>
  <c r="AA799" i="4"/>
  <c r="Y799" i="4"/>
  <c r="T799" i="4"/>
  <c r="Q799" i="4"/>
  <c r="N799" i="4"/>
  <c r="J799" i="4" a="1"/>
  <c r="J799" i="4" s="1"/>
  <c r="I799" i="4"/>
  <c r="F799" i="4"/>
  <c r="B799" i="4" s="1" a="1"/>
  <c r="B799" i="4" s="1"/>
  <c r="C799" i="4" s="1"/>
  <c r="F785" i="4"/>
  <c r="B785" i="4" s="1" a="1"/>
  <c r="B785" i="4" s="1"/>
  <c r="C785" i="4" s="1"/>
  <c r="I785" i="4"/>
  <c r="J785" i="4" a="1"/>
  <c r="J785" i="4" s="1"/>
  <c r="N785" i="4"/>
  <c r="Q785" i="4"/>
  <c r="T785" i="4"/>
  <c r="Y785" i="4"/>
  <c r="AA785" i="4"/>
  <c r="AN785" i="4"/>
  <c r="AO785" i="4" s="1"/>
  <c r="AN788" i="4"/>
  <c r="AO788" i="4" s="1"/>
  <c r="AA788" i="4"/>
  <c r="Y788" i="4"/>
  <c r="T788" i="4"/>
  <c r="Q788" i="4"/>
  <c r="N788" i="4"/>
  <c r="J788" i="4" a="1"/>
  <c r="J788" i="4" s="1"/>
  <c r="I788" i="4"/>
  <c r="F788" i="4"/>
  <c r="B788" i="4" s="1" a="1"/>
  <c r="B788" i="4" s="1"/>
  <c r="C788" i="4" s="1"/>
  <c r="AI799" i="4" l="1" a="1"/>
  <c r="AI799" i="4" s="1"/>
  <c r="AK799" i="4" l="1"/>
  <c r="AK783" i="4" s="1"/>
  <c r="AN797" i="4"/>
  <c r="AO797" i="4" s="1"/>
  <c r="AA797" i="4"/>
  <c r="Y797" i="4"/>
  <c r="T797" i="4"/>
  <c r="Q797" i="4"/>
  <c r="N797" i="4"/>
  <c r="J797" i="4" a="1"/>
  <c r="J797" i="4" s="1"/>
  <c r="I797" i="4"/>
  <c r="F797" i="4"/>
  <c r="B797" i="4" s="1" a="1"/>
  <c r="B797" i="4" s="1"/>
  <c r="C797" i="4" s="1"/>
  <c r="AN796" i="4"/>
  <c r="AO796" i="4" s="1"/>
  <c r="AA796" i="4"/>
  <c r="Y796" i="4"/>
  <c r="T796" i="4"/>
  <c r="Q796" i="4"/>
  <c r="N796" i="4"/>
  <c r="J796" i="4" a="1"/>
  <c r="J796" i="4" s="1"/>
  <c r="I796" i="4"/>
  <c r="F796" i="4"/>
  <c r="B796" i="4" s="1" a="1"/>
  <c r="B796" i="4" s="1"/>
  <c r="C796" i="4" s="1"/>
  <c r="AN794" i="4"/>
  <c r="AO794" i="4" s="1"/>
  <c r="AA794" i="4"/>
  <c r="Y794" i="4"/>
  <c r="T794" i="4"/>
  <c r="Q794" i="4"/>
  <c r="N794" i="4"/>
  <c r="J794" i="4" a="1"/>
  <c r="J794" i="4" s="1"/>
  <c r="I794" i="4"/>
  <c r="F794" i="4"/>
  <c r="B794" i="4" s="1" a="1"/>
  <c r="B794" i="4" s="1"/>
  <c r="C794" i="4" s="1"/>
  <c r="AN793" i="4"/>
  <c r="AO793" i="4" s="1"/>
  <c r="AA793" i="4"/>
  <c r="Y793" i="4"/>
  <c r="T793" i="4"/>
  <c r="Q793" i="4"/>
  <c r="N793" i="4"/>
  <c r="J793" i="4" a="1"/>
  <c r="J793" i="4" s="1"/>
  <c r="I793" i="4"/>
  <c r="F793" i="4"/>
  <c r="B793" i="4" s="1" a="1"/>
  <c r="B793" i="4" s="1"/>
  <c r="C793" i="4" s="1"/>
  <c r="AN791" i="4"/>
  <c r="AO791" i="4" s="1"/>
  <c r="AA791" i="4"/>
  <c r="Y791" i="4"/>
  <c r="T791" i="4"/>
  <c r="Q791" i="4"/>
  <c r="N791" i="4"/>
  <c r="J791" i="4" a="1"/>
  <c r="J791" i="4" s="1"/>
  <c r="I791" i="4"/>
  <c r="F791" i="4"/>
  <c r="B791" i="4" s="1" a="1"/>
  <c r="B791" i="4" s="1"/>
  <c r="C791" i="4" s="1"/>
  <c r="AN790" i="4"/>
  <c r="AO790" i="4" s="1"/>
  <c r="AA790" i="4"/>
  <c r="Y790" i="4"/>
  <c r="T790" i="4"/>
  <c r="Q790" i="4"/>
  <c r="N790" i="4"/>
  <c r="J790" i="4" a="1"/>
  <c r="J790" i="4" s="1"/>
  <c r="I790" i="4"/>
  <c r="F790" i="4"/>
  <c r="B790" i="4" s="1" a="1"/>
  <c r="B790" i="4" s="1"/>
  <c r="C790" i="4" s="1"/>
  <c r="AM799" i="4" l="1"/>
  <c r="AO783" i="4"/>
  <c r="AM783" i="4" l="1"/>
  <c r="AA847" i="4"/>
  <c r="Y847" i="4"/>
  <c r="T847" i="4"/>
  <c r="Q847" i="4"/>
  <c r="N847" i="4"/>
  <c r="J847" i="4" a="1"/>
  <c r="J847" i="4" s="1"/>
  <c r="I847" i="4"/>
  <c r="F847" i="4"/>
  <c r="B847" i="4" s="1" a="1"/>
  <c r="B847" i="4" s="1"/>
  <c r="C847" i="4" s="1"/>
  <c r="AA492" i="4"/>
  <c r="Y492" i="4"/>
  <c r="T492" i="4"/>
  <c r="Q492" i="4"/>
  <c r="N492" i="4"/>
  <c r="J492" i="4" a="1"/>
  <c r="J492" i="4" s="1"/>
  <c r="I492" i="4"/>
  <c r="F492" i="4"/>
  <c r="B492" i="4" s="1" a="1"/>
  <c r="B492" i="4" s="1"/>
  <c r="C492" i="4" s="1"/>
  <c r="AA486" i="4"/>
  <c r="Y486" i="4"/>
  <c r="T486" i="4"/>
  <c r="Q486" i="4"/>
  <c r="N486" i="4"/>
  <c r="J486" i="4" a="1"/>
  <c r="J486" i="4" s="1"/>
  <c r="I486" i="4"/>
  <c r="F486" i="4"/>
  <c r="B486" i="4" s="1" a="1"/>
  <c r="B486" i="4" s="1"/>
  <c r="C486" i="4" s="1"/>
  <c r="AA480" i="4"/>
  <c r="Y480" i="4"/>
  <c r="T480" i="4"/>
  <c r="Q480" i="4"/>
  <c r="N480" i="4"/>
  <c r="J480" i="4" a="1"/>
  <c r="J480" i="4" s="1"/>
  <c r="I480" i="4"/>
  <c r="F480" i="4"/>
  <c r="B480" i="4" s="1" a="1"/>
  <c r="B480" i="4" s="1"/>
  <c r="C480" i="4" s="1"/>
  <c r="AA491" i="4"/>
  <c r="Y491" i="4"/>
  <c r="T491" i="4"/>
  <c r="Q491" i="4"/>
  <c r="N491" i="4"/>
  <c r="J491" i="4" a="1"/>
  <c r="J491" i="4" s="1"/>
  <c r="I491" i="4"/>
  <c r="F491" i="4"/>
  <c r="B491" i="4" s="1" a="1"/>
  <c r="B491" i="4" s="1"/>
  <c r="C491" i="4" s="1"/>
  <c r="AA485" i="4"/>
  <c r="Y485" i="4"/>
  <c r="T485" i="4"/>
  <c r="Q485" i="4"/>
  <c r="N485" i="4"/>
  <c r="J485" i="4" a="1"/>
  <c r="J485" i="4" s="1"/>
  <c r="I485" i="4"/>
  <c r="F485" i="4"/>
  <c r="B485" i="4" s="1" a="1"/>
  <c r="B485" i="4" s="1"/>
  <c r="C485" i="4" s="1"/>
  <c r="AA479" i="4"/>
  <c r="Y479" i="4"/>
  <c r="T479" i="4"/>
  <c r="Q479" i="4"/>
  <c r="N479" i="4"/>
  <c r="J479" i="4" a="1"/>
  <c r="J479" i="4" s="1"/>
  <c r="I479" i="4"/>
  <c r="F479" i="4"/>
  <c r="B479" i="4" s="1" a="1"/>
  <c r="B479" i="4" s="1"/>
  <c r="C479" i="4" s="1"/>
  <c r="AI847" i="4" l="1" a="1"/>
  <c r="AI847" i="4" s="1"/>
  <c r="AI492" i="4" a="1"/>
  <c r="AI492" i="4" s="1"/>
  <c r="AI486" i="4" a="1"/>
  <c r="AI486" i="4" s="1"/>
  <c r="AI479" i="4" a="1"/>
  <c r="AI479" i="4" s="1"/>
  <c r="AI480" i="4" a="1"/>
  <c r="AI480" i="4" s="1"/>
  <c r="AI491" i="4" a="1"/>
  <c r="AI491" i="4" s="1"/>
  <c r="AI485" i="4" a="1"/>
  <c r="AI485" i="4" s="1"/>
  <c r="AK847" i="4" l="1"/>
  <c r="AM847" i="4" s="1"/>
  <c r="AJ847" i="4"/>
  <c r="AL847" i="4" s="1"/>
  <c r="AK491" i="4"/>
  <c r="AM491" i="4" s="1"/>
  <c r="AJ491" i="4"/>
  <c r="AL491" i="4" s="1"/>
  <c r="AK486" i="4"/>
  <c r="AM486" i="4" s="1"/>
  <c r="AJ486" i="4"/>
  <c r="AL486" i="4" s="1"/>
  <c r="AK479" i="4"/>
  <c r="AM479" i="4" s="1"/>
  <c r="AJ479" i="4"/>
  <c r="AL479" i="4" s="1"/>
  <c r="AK480" i="4"/>
  <c r="AM480" i="4" s="1"/>
  <c r="AJ480" i="4"/>
  <c r="AL480" i="4" s="1"/>
  <c r="AJ492" i="4"/>
  <c r="AL492" i="4" s="1"/>
  <c r="AK492" i="4"/>
  <c r="AM492" i="4" s="1"/>
  <c r="AK485" i="4"/>
  <c r="AM485" i="4" s="1"/>
  <c r="AJ485" i="4"/>
  <c r="AL485" i="4" s="1"/>
  <c r="AA350" i="4" l="1"/>
  <c r="Y350" i="4"/>
  <c r="T350" i="4"/>
  <c r="Q350" i="4"/>
  <c r="N350" i="4"/>
  <c r="J350" i="4" a="1"/>
  <c r="J350" i="4" s="1"/>
  <c r="I350" i="4"/>
  <c r="F350" i="4"/>
  <c r="B350" i="4" s="1" a="1"/>
  <c r="B350" i="4" s="1"/>
  <c r="C350" i="4" s="1"/>
  <c r="AA349" i="4"/>
  <c r="Y349" i="4"/>
  <c r="T349" i="4"/>
  <c r="Q349" i="4"/>
  <c r="N349" i="4"/>
  <c r="J349" i="4" a="1"/>
  <c r="J349" i="4" s="1"/>
  <c r="I349" i="4"/>
  <c r="F349" i="4"/>
  <c r="B349" i="4" s="1" a="1"/>
  <c r="B349" i="4" s="1"/>
  <c r="C349" i="4" s="1"/>
  <c r="AA348" i="4"/>
  <c r="Y348" i="4"/>
  <c r="T348" i="4"/>
  <c r="Q348" i="4"/>
  <c r="N348" i="4"/>
  <c r="J348" i="4" a="1"/>
  <c r="J348" i="4" s="1"/>
  <c r="I348" i="4"/>
  <c r="F348" i="4"/>
  <c r="B348" i="4" s="1" a="1"/>
  <c r="B348" i="4" s="1"/>
  <c r="C348" i="4" s="1"/>
  <c r="AA310" i="4"/>
  <c r="Y310" i="4"/>
  <c r="T310" i="4"/>
  <c r="Q310" i="4"/>
  <c r="N310" i="4"/>
  <c r="J310" i="4" a="1"/>
  <c r="J310" i="4" s="1"/>
  <c r="I310" i="4"/>
  <c r="F310" i="4"/>
  <c r="B310" i="4" s="1" a="1"/>
  <c r="B310" i="4" s="1"/>
  <c r="C310" i="4" s="1"/>
  <c r="AA309" i="4"/>
  <c r="Y309" i="4"/>
  <c r="T309" i="4"/>
  <c r="Q309" i="4"/>
  <c r="N309" i="4"/>
  <c r="J309" i="4" a="1"/>
  <c r="J309" i="4" s="1"/>
  <c r="I309" i="4"/>
  <c r="F309" i="4"/>
  <c r="B309" i="4" s="1" a="1"/>
  <c r="B309" i="4" s="1"/>
  <c r="C309" i="4" s="1"/>
  <c r="AA304" i="4"/>
  <c r="Y304" i="4"/>
  <c r="T304" i="4"/>
  <c r="Q304" i="4"/>
  <c r="N304" i="4"/>
  <c r="J304" i="4" a="1"/>
  <c r="J304" i="4" s="1"/>
  <c r="I304" i="4"/>
  <c r="F304" i="4"/>
  <c r="B304" i="4" s="1" a="1"/>
  <c r="B304" i="4" s="1"/>
  <c r="C304" i="4" s="1"/>
  <c r="AA303" i="4"/>
  <c r="Y303" i="4"/>
  <c r="T303" i="4"/>
  <c r="Q303" i="4"/>
  <c r="N303" i="4"/>
  <c r="J303" i="4" a="1"/>
  <c r="J303" i="4" s="1"/>
  <c r="I303" i="4"/>
  <c r="F303" i="4"/>
  <c r="B303" i="4" s="1" a="1"/>
  <c r="B303" i="4" s="1"/>
  <c r="C303" i="4" s="1"/>
  <c r="AA298" i="4"/>
  <c r="Y298" i="4"/>
  <c r="T298" i="4"/>
  <c r="Q298" i="4"/>
  <c r="N298" i="4"/>
  <c r="J298" i="4" a="1"/>
  <c r="J298" i="4" s="1"/>
  <c r="I298" i="4"/>
  <c r="F298" i="4"/>
  <c r="B298" i="4" s="1" a="1"/>
  <c r="B298" i="4" s="1"/>
  <c r="C298" i="4" s="1"/>
  <c r="AA297" i="4"/>
  <c r="Y297" i="4"/>
  <c r="T297" i="4"/>
  <c r="Q297" i="4"/>
  <c r="N297" i="4"/>
  <c r="J297" i="4" a="1"/>
  <c r="J297" i="4" s="1"/>
  <c r="I297" i="4"/>
  <c r="F297" i="4"/>
  <c r="B297" i="4" s="1" a="1"/>
  <c r="B297" i="4" s="1"/>
  <c r="C297" i="4" s="1"/>
  <c r="AI350" i="4" l="1" a="1"/>
  <c r="AI350" i="4" s="1"/>
  <c r="AI348" i="4" a="1"/>
  <c r="AI348" i="4" s="1"/>
  <c r="AI349" i="4" a="1"/>
  <c r="AI349" i="4" s="1"/>
  <c r="AI298" i="4" a="1"/>
  <c r="AI298" i="4" s="1"/>
  <c r="AI297" i="4" a="1"/>
  <c r="AI297" i="4" s="1"/>
  <c r="AI303" i="4" a="1"/>
  <c r="AI303" i="4" s="1"/>
  <c r="AI304" i="4" a="1"/>
  <c r="AI304" i="4" s="1"/>
  <c r="AI309" i="4" a="1"/>
  <c r="AI309" i="4" s="1"/>
  <c r="AI310" i="4" a="1"/>
  <c r="AI310" i="4" s="1"/>
  <c r="AA460" i="4"/>
  <c r="Y460" i="4"/>
  <c r="T460" i="4"/>
  <c r="Q460" i="4"/>
  <c r="N460" i="4"/>
  <c r="J460" i="4" a="1"/>
  <c r="J460" i="4" s="1"/>
  <c r="I460" i="4"/>
  <c r="F460" i="4"/>
  <c r="B460" i="4" s="1" a="1"/>
  <c r="B460" i="4" s="1"/>
  <c r="C460" i="4" s="1"/>
  <c r="AK309" i="4" l="1"/>
  <c r="AM309" i="4" s="1"/>
  <c r="AJ309" i="4"/>
  <c r="AL309" i="4" s="1"/>
  <c r="AJ298" i="4"/>
  <c r="AL298" i="4" s="1"/>
  <c r="AK298" i="4"/>
  <c r="AM298" i="4" s="1"/>
  <c r="AK304" i="4"/>
  <c r="AM304" i="4" s="1"/>
  <c r="AJ304" i="4"/>
  <c r="AL304" i="4" s="1"/>
  <c r="AK297" i="4"/>
  <c r="AM297" i="4" s="1"/>
  <c r="AJ297" i="4"/>
  <c r="AL297" i="4" s="1"/>
  <c r="AK349" i="4"/>
  <c r="AM349" i="4" s="1"/>
  <c r="AJ349" i="4"/>
  <c r="AL349" i="4" s="1"/>
  <c r="AJ303" i="4"/>
  <c r="AL303" i="4" s="1"/>
  <c r="AK303" i="4"/>
  <c r="AM303" i="4" s="1"/>
  <c r="AJ348" i="4"/>
  <c r="AL348" i="4" s="1"/>
  <c r="AK348" i="4"/>
  <c r="AM348" i="4" s="1"/>
  <c r="AK310" i="4"/>
  <c r="AM310" i="4" s="1"/>
  <c r="AJ310" i="4"/>
  <c r="AL310" i="4" s="1"/>
  <c r="AK350" i="4"/>
  <c r="AM350" i="4" s="1"/>
  <c r="AJ350" i="4"/>
  <c r="AL350" i="4" s="1"/>
  <c r="AI460" i="4" a="1"/>
  <c r="AI460" i="4" s="1"/>
  <c r="T425" i="4"/>
  <c r="T420" i="4"/>
  <c r="AK460" i="4" l="1"/>
  <c r="AM460" i="4" s="1"/>
  <c r="AJ460" i="4"/>
  <c r="AL460" i="4" s="1"/>
  <c r="AA425" i="4"/>
  <c r="AI425" i="4" s="1" a="1"/>
  <c r="AI425" i="4" s="1"/>
  <c r="Y425" i="4"/>
  <c r="Q425" i="4"/>
  <c r="N425" i="4"/>
  <c r="J425" i="4" a="1"/>
  <c r="J425" i="4" s="1"/>
  <c r="I425" i="4"/>
  <c r="F425" i="4"/>
  <c r="B425" i="4" s="1" a="1"/>
  <c r="B425" i="4" s="1"/>
  <c r="C425" i="4" s="1"/>
  <c r="AA420" i="4"/>
  <c r="AI420" i="4" s="1" a="1"/>
  <c r="AI420" i="4" s="1"/>
  <c r="Y420" i="4"/>
  <c r="Q420" i="4"/>
  <c r="N420" i="4"/>
  <c r="J420" i="4" a="1"/>
  <c r="J420" i="4" s="1"/>
  <c r="I420" i="4"/>
  <c r="F420" i="4"/>
  <c r="B420" i="4" s="1" a="1"/>
  <c r="B420" i="4" s="1"/>
  <c r="C420" i="4" s="1"/>
  <c r="AA415" i="4"/>
  <c r="Y415" i="4"/>
  <c r="T415" i="4"/>
  <c r="Q415" i="4"/>
  <c r="N415" i="4"/>
  <c r="J415" i="4" a="1"/>
  <c r="J415" i="4" s="1"/>
  <c r="I415" i="4"/>
  <c r="F415" i="4"/>
  <c r="B415" i="4" s="1" a="1"/>
  <c r="B415" i="4" s="1"/>
  <c r="C415" i="4" s="1"/>
  <c r="AA734" i="4"/>
  <c r="Y734" i="4"/>
  <c r="T734" i="4"/>
  <c r="AN734" i="4" s="1" a="1"/>
  <c r="AN734" i="4" s="1"/>
  <c r="AO734" i="4" s="1"/>
  <c r="Q734" i="4"/>
  <c r="N734" i="4"/>
  <c r="J734" i="4" a="1"/>
  <c r="J734" i="4" s="1"/>
  <c r="I734" i="4"/>
  <c r="F734" i="4"/>
  <c r="B734" i="4" s="1" a="1"/>
  <c r="B734" i="4" s="1"/>
  <c r="C734" i="4" s="1"/>
  <c r="AA733" i="4"/>
  <c r="Y733" i="4"/>
  <c r="T733" i="4"/>
  <c r="AN733" i="4" s="1" a="1"/>
  <c r="AN733" i="4" s="1"/>
  <c r="AO733" i="4" s="1"/>
  <c r="Q733" i="4"/>
  <c r="N733" i="4"/>
  <c r="J733" i="4" a="1"/>
  <c r="J733" i="4" s="1"/>
  <c r="I733" i="4"/>
  <c r="F733" i="4"/>
  <c r="B733" i="4" s="1" a="1"/>
  <c r="B733" i="4" s="1"/>
  <c r="C733" i="4" s="1"/>
  <c r="AA732" i="4"/>
  <c r="Y732" i="4"/>
  <c r="T732" i="4"/>
  <c r="AN732" i="4" s="1" a="1"/>
  <c r="AN732" i="4" s="1"/>
  <c r="AO732" i="4" s="1"/>
  <c r="Q732" i="4"/>
  <c r="N732" i="4"/>
  <c r="J732" i="4" a="1"/>
  <c r="J732" i="4" s="1"/>
  <c r="I732" i="4"/>
  <c r="F732" i="4"/>
  <c r="B732" i="4" s="1" a="1"/>
  <c r="B732" i="4" s="1"/>
  <c r="C732" i="4" s="1"/>
  <c r="AA731" i="4"/>
  <c r="Y731" i="4"/>
  <c r="T731" i="4"/>
  <c r="AN731" i="4" s="1" a="1"/>
  <c r="AN731" i="4" s="1"/>
  <c r="AO731" i="4" s="1"/>
  <c r="Q731" i="4"/>
  <c r="N731" i="4"/>
  <c r="J731" i="4" a="1"/>
  <c r="J731" i="4" s="1"/>
  <c r="I731" i="4"/>
  <c r="F731" i="4"/>
  <c r="B731" i="4" s="1" a="1"/>
  <c r="B731" i="4" s="1"/>
  <c r="C731" i="4" s="1"/>
  <c r="AA729" i="4"/>
  <c r="Y729" i="4"/>
  <c r="T729" i="4"/>
  <c r="Q729" i="4"/>
  <c r="N729" i="4"/>
  <c r="J729" i="4" a="1"/>
  <c r="J729" i="4" s="1"/>
  <c r="I729" i="4"/>
  <c r="F729" i="4"/>
  <c r="B729" i="4" s="1" a="1"/>
  <c r="B729" i="4" s="1"/>
  <c r="C729" i="4" s="1"/>
  <c r="AA728" i="4"/>
  <c r="Y728" i="4"/>
  <c r="T728" i="4"/>
  <c r="Q728" i="4"/>
  <c r="N728" i="4"/>
  <c r="J728" i="4" a="1"/>
  <c r="J728" i="4" s="1"/>
  <c r="I728" i="4"/>
  <c r="F728" i="4"/>
  <c r="B728" i="4" s="1" a="1"/>
  <c r="B728" i="4" s="1"/>
  <c r="C728" i="4" s="1"/>
  <c r="AA727" i="4"/>
  <c r="Y727" i="4"/>
  <c r="T727" i="4"/>
  <c r="Q727" i="4"/>
  <c r="N727" i="4"/>
  <c r="J727" i="4" a="1"/>
  <c r="J727" i="4" s="1"/>
  <c r="I727" i="4"/>
  <c r="F727" i="4"/>
  <c r="B727" i="4" s="1" a="1"/>
  <c r="B727" i="4" s="1"/>
  <c r="C727" i="4" s="1"/>
  <c r="AA726" i="4"/>
  <c r="Y726" i="4"/>
  <c r="T726" i="4"/>
  <c r="Q726" i="4"/>
  <c r="N726" i="4"/>
  <c r="J726" i="4" a="1"/>
  <c r="J726" i="4" s="1"/>
  <c r="I726" i="4"/>
  <c r="F726" i="4"/>
  <c r="B726" i="4" s="1" a="1"/>
  <c r="B726" i="4" s="1"/>
  <c r="C726" i="4" s="1"/>
  <c r="AA724" i="4"/>
  <c r="Y724" i="4"/>
  <c r="T724" i="4"/>
  <c r="Q724" i="4"/>
  <c r="N724" i="4"/>
  <c r="J724" i="4" a="1"/>
  <c r="J724" i="4" s="1"/>
  <c r="I724" i="4"/>
  <c r="F724" i="4"/>
  <c r="B724" i="4" s="1" a="1"/>
  <c r="B724" i="4" s="1"/>
  <c r="C724" i="4" s="1"/>
  <c r="AA288" i="4"/>
  <c r="Y288" i="4"/>
  <c r="T288" i="4"/>
  <c r="Q288" i="4"/>
  <c r="N288" i="4"/>
  <c r="J288" i="4" a="1"/>
  <c r="J288" i="4" s="1"/>
  <c r="I288" i="4"/>
  <c r="F288" i="4"/>
  <c r="B288" i="4" s="1" a="1"/>
  <c r="B288" i="4" s="1"/>
  <c r="C288" i="4" s="1"/>
  <c r="AA287" i="4"/>
  <c r="Y287" i="4"/>
  <c r="T287" i="4"/>
  <c r="Q287" i="4"/>
  <c r="N287" i="4"/>
  <c r="J287" i="4" a="1"/>
  <c r="J287" i="4" s="1"/>
  <c r="I287" i="4"/>
  <c r="F287" i="4"/>
  <c r="B287" i="4" s="1" a="1"/>
  <c r="B287" i="4" s="1"/>
  <c r="C287" i="4" s="1"/>
  <c r="AA286" i="4"/>
  <c r="Y286" i="4"/>
  <c r="T286" i="4"/>
  <c r="Q286" i="4"/>
  <c r="N286" i="4"/>
  <c r="J286" i="4" a="1"/>
  <c r="J286" i="4" s="1"/>
  <c r="I286" i="4"/>
  <c r="F286" i="4"/>
  <c r="B286" i="4" s="1" a="1"/>
  <c r="B286" i="4" s="1"/>
  <c r="C286" i="4" s="1"/>
  <c r="AA285" i="4"/>
  <c r="Y285" i="4"/>
  <c r="T285" i="4"/>
  <c r="Q285" i="4"/>
  <c r="N285" i="4"/>
  <c r="J285" i="4" a="1"/>
  <c r="J285" i="4" s="1"/>
  <c r="I285" i="4"/>
  <c r="F285" i="4"/>
  <c r="B285" i="4" s="1" a="1"/>
  <c r="B285" i="4" s="1"/>
  <c r="C285" i="4" s="1"/>
  <c r="AA284" i="4"/>
  <c r="Y284" i="4"/>
  <c r="T284" i="4"/>
  <c r="Q284" i="4"/>
  <c r="N284" i="4"/>
  <c r="J284" i="4" a="1"/>
  <c r="J284" i="4" s="1"/>
  <c r="I284" i="4"/>
  <c r="F284" i="4"/>
  <c r="B284" i="4" s="1" a="1"/>
  <c r="B284" i="4" s="1"/>
  <c r="C284" i="4" s="1"/>
  <c r="AA282" i="4"/>
  <c r="Y282" i="4"/>
  <c r="T282" i="4"/>
  <c r="Q282" i="4"/>
  <c r="N282" i="4"/>
  <c r="J282" i="4" a="1"/>
  <c r="J282" i="4" s="1"/>
  <c r="I282" i="4"/>
  <c r="F282" i="4"/>
  <c r="B282" i="4" s="1" a="1"/>
  <c r="B282" i="4" s="1"/>
  <c r="C282" i="4" s="1"/>
  <c r="AA281" i="4"/>
  <c r="Y281" i="4"/>
  <c r="T281" i="4"/>
  <c r="Q281" i="4"/>
  <c r="N281" i="4"/>
  <c r="J281" i="4" a="1"/>
  <c r="J281" i="4" s="1"/>
  <c r="I281" i="4"/>
  <c r="F281" i="4"/>
  <c r="B281" i="4" s="1" a="1"/>
  <c r="B281" i="4" s="1"/>
  <c r="C281" i="4" s="1"/>
  <c r="AA280" i="4"/>
  <c r="Y280" i="4"/>
  <c r="T280" i="4"/>
  <c r="Q280" i="4"/>
  <c r="N280" i="4"/>
  <c r="J280" i="4" a="1"/>
  <c r="J280" i="4" s="1"/>
  <c r="I280" i="4"/>
  <c r="F280" i="4"/>
  <c r="B280" i="4" s="1" a="1"/>
  <c r="B280" i="4" s="1"/>
  <c r="C280" i="4" s="1"/>
  <c r="C279" i="4"/>
  <c r="C278" i="4"/>
  <c r="AA275" i="4"/>
  <c r="Y275" i="4"/>
  <c r="T275" i="4"/>
  <c r="Q275" i="4"/>
  <c r="N275" i="4"/>
  <c r="J275" i="4" a="1"/>
  <c r="J275" i="4" s="1"/>
  <c r="I275" i="4"/>
  <c r="F275" i="4"/>
  <c r="B275" i="4" s="1" a="1"/>
  <c r="B275" i="4" s="1"/>
  <c r="C275" i="4" s="1"/>
  <c r="AA274" i="4"/>
  <c r="Y274" i="4"/>
  <c r="T274" i="4"/>
  <c r="Q274" i="4"/>
  <c r="N274" i="4"/>
  <c r="J274" i="4" a="1"/>
  <c r="J274" i="4" s="1"/>
  <c r="I274" i="4"/>
  <c r="F274" i="4"/>
  <c r="B274" i="4" s="1" a="1"/>
  <c r="B274" i="4" s="1"/>
  <c r="C274" i="4" s="1"/>
  <c r="AA273" i="4"/>
  <c r="Y273" i="4"/>
  <c r="T273" i="4"/>
  <c r="Q273" i="4"/>
  <c r="N273" i="4"/>
  <c r="J273" i="4" a="1"/>
  <c r="J273" i="4" s="1"/>
  <c r="I273" i="4"/>
  <c r="F273" i="4"/>
  <c r="B273" i="4" s="1" a="1"/>
  <c r="B273" i="4" s="1"/>
  <c r="C273" i="4" s="1"/>
  <c r="C272" i="4"/>
  <c r="C271" i="4"/>
  <c r="C201" i="4"/>
  <c r="J270" i="4" a="1"/>
  <c r="J270" i="4" s="1"/>
  <c r="Q269" i="4"/>
  <c r="J269" i="4" a="1"/>
  <c r="J269" i="4" s="1"/>
  <c r="AA268" i="4"/>
  <c r="Y268" i="4"/>
  <c r="T268" i="4"/>
  <c r="Q268" i="4"/>
  <c r="N268" i="4"/>
  <c r="J268" i="4" a="1"/>
  <c r="J268" i="4" s="1"/>
  <c r="I268" i="4"/>
  <c r="F268" i="4"/>
  <c r="B268" i="4" s="1" a="1"/>
  <c r="B268" i="4" s="1"/>
  <c r="C268" i="4" s="1"/>
  <c r="AA267" i="4"/>
  <c r="Y267" i="4"/>
  <c r="T267" i="4"/>
  <c r="Q267" i="4"/>
  <c r="N267" i="4"/>
  <c r="J267" i="4" a="1"/>
  <c r="J267" i="4" s="1"/>
  <c r="I267" i="4"/>
  <c r="F267" i="4"/>
  <c r="B267" i="4" s="1" a="1"/>
  <c r="B267" i="4" s="1"/>
  <c r="C267" i="4" s="1"/>
  <c r="AA266" i="4"/>
  <c r="Y266" i="4"/>
  <c r="T266" i="4"/>
  <c r="Q266" i="4"/>
  <c r="N266" i="4"/>
  <c r="J266" i="4" a="1"/>
  <c r="J266" i="4" s="1"/>
  <c r="I266" i="4"/>
  <c r="F266" i="4"/>
  <c r="B266" i="4" s="1" a="1"/>
  <c r="B266" i="4" s="1"/>
  <c r="C266" i="4" s="1"/>
  <c r="C265" i="4"/>
  <c r="C264" i="4"/>
  <c r="AA205" i="4"/>
  <c r="Y205" i="4"/>
  <c r="T205" i="4"/>
  <c r="Q205" i="4"/>
  <c r="N205" i="4"/>
  <c r="J205" i="4" a="1"/>
  <c r="J205" i="4" s="1"/>
  <c r="I205" i="4"/>
  <c r="F205" i="4"/>
  <c r="B205" i="4" s="1" a="1"/>
  <c r="B205" i="4" s="1"/>
  <c r="C205" i="4" s="1"/>
  <c r="AA204" i="4"/>
  <c r="Y204" i="4"/>
  <c r="T204" i="4"/>
  <c r="Q204" i="4"/>
  <c r="N204" i="4"/>
  <c r="J204" i="4" a="1"/>
  <c r="J204" i="4" s="1"/>
  <c r="I204" i="4"/>
  <c r="F204" i="4"/>
  <c r="B204" i="4" s="1" a="1"/>
  <c r="B204" i="4" s="1"/>
  <c r="C204" i="4" s="1"/>
  <c r="AA203" i="4"/>
  <c r="Y203" i="4"/>
  <c r="T203" i="4"/>
  <c r="Q203" i="4"/>
  <c r="N203" i="4"/>
  <c r="J203" i="4" a="1"/>
  <c r="J203" i="4" s="1"/>
  <c r="I203" i="4"/>
  <c r="F203" i="4"/>
  <c r="B203" i="4" s="1" a="1"/>
  <c r="B203" i="4" s="1"/>
  <c r="C203" i="4" s="1"/>
  <c r="C202" i="4"/>
  <c r="AO719" i="4" l="1"/>
  <c r="AJ420" i="4"/>
  <c r="AL420" i="4" s="1"/>
  <c r="AK420" i="4"/>
  <c r="AM420" i="4" s="1"/>
  <c r="AJ425" i="4"/>
  <c r="AL425" i="4" s="1"/>
  <c r="AK425" i="4"/>
  <c r="AM425" i="4" s="1"/>
  <c r="AI268" i="4" a="1"/>
  <c r="AI268" i="4" s="1"/>
  <c r="AI266" i="4" a="1"/>
  <c r="AI266" i="4" s="1"/>
  <c r="AI267" i="4" a="1"/>
  <c r="AI267" i="4" s="1"/>
  <c r="AI724" i="4" a="1"/>
  <c r="AI724" i="4" s="1"/>
  <c r="AI726" i="4" a="1"/>
  <c r="AI726" i="4" s="1"/>
  <c r="AI727" i="4" a="1"/>
  <c r="AI727" i="4" s="1"/>
  <c r="AI728" i="4" a="1"/>
  <c r="AI728" i="4" s="1"/>
  <c r="AI729" i="4" a="1"/>
  <c r="AI729" i="4" s="1"/>
  <c r="AI204" i="4" a="1"/>
  <c r="AI204" i="4" s="1"/>
  <c r="AI273" i="4" a="1"/>
  <c r="AI273" i="4" s="1"/>
  <c r="AI275" i="4" a="1"/>
  <c r="AI275" i="4" s="1"/>
  <c r="AI203" i="4" a="1"/>
  <c r="AI203" i="4" s="1"/>
  <c r="AI205" i="4" a="1"/>
  <c r="AI205" i="4" s="1"/>
  <c r="AI274" i="4" a="1"/>
  <c r="AI274" i="4" s="1"/>
  <c r="AI415" i="4" a="1"/>
  <c r="AI415" i="4" s="1"/>
  <c r="AA246" i="4"/>
  <c r="Y246" i="4"/>
  <c r="T246" i="4"/>
  <c r="Q246" i="4"/>
  <c r="N246" i="4"/>
  <c r="J246" i="4" a="1"/>
  <c r="J246" i="4" s="1"/>
  <c r="I246" i="4"/>
  <c r="F246" i="4"/>
  <c r="B246" i="4" s="1" a="1"/>
  <c r="B246" i="4" s="1"/>
  <c r="C246" i="4" s="1"/>
  <c r="AA245" i="4"/>
  <c r="Y245" i="4"/>
  <c r="T245" i="4"/>
  <c r="Q245" i="4"/>
  <c r="N245" i="4"/>
  <c r="J245" i="4" a="1"/>
  <c r="J245" i="4" s="1"/>
  <c r="I245" i="4"/>
  <c r="F245" i="4"/>
  <c r="B245" i="4" s="1" a="1"/>
  <c r="B245" i="4" s="1"/>
  <c r="C245" i="4" s="1"/>
  <c r="AA244" i="4"/>
  <c r="Y244" i="4"/>
  <c r="T244" i="4"/>
  <c r="Q244" i="4"/>
  <c r="N244" i="4"/>
  <c r="J244" i="4" a="1"/>
  <c r="J244" i="4" s="1"/>
  <c r="I244" i="4"/>
  <c r="F244" i="4"/>
  <c r="B244" i="4" s="1" a="1"/>
  <c r="B244" i="4" s="1"/>
  <c r="C244" i="4" s="1"/>
  <c r="J243" i="4" a="1"/>
  <c r="J243" i="4" s="1"/>
  <c r="AA242" i="4"/>
  <c r="Y242" i="4"/>
  <c r="T242" i="4"/>
  <c r="Q242" i="4"/>
  <c r="N242" i="4"/>
  <c r="J242" i="4" a="1"/>
  <c r="J242" i="4" s="1"/>
  <c r="I242" i="4"/>
  <c r="F242" i="4"/>
  <c r="B242" i="4" s="1" a="1"/>
  <c r="B242" i="4" s="1"/>
  <c r="C242" i="4" s="1"/>
  <c r="AA241" i="4"/>
  <c r="Y241" i="4"/>
  <c r="T241" i="4"/>
  <c r="Q241" i="4"/>
  <c r="N241" i="4"/>
  <c r="J241" i="4" a="1"/>
  <c r="J241" i="4" s="1"/>
  <c r="I241" i="4"/>
  <c r="F241" i="4"/>
  <c r="B241" i="4" s="1" a="1"/>
  <c r="B241" i="4" s="1"/>
  <c r="C241" i="4" s="1"/>
  <c r="AA240" i="4"/>
  <c r="Y240" i="4"/>
  <c r="T240" i="4"/>
  <c r="Q240" i="4"/>
  <c r="N240" i="4"/>
  <c r="J240" i="4" a="1"/>
  <c r="J240" i="4" s="1"/>
  <c r="I240" i="4"/>
  <c r="F240" i="4"/>
  <c r="B240" i="4" s="1" a="1"/>
  <c r="B240" i="4" s="1"/>
  <c r="C240" i="4" s="1"/>
  <c r="J239" i="4" a="1"/>
  <c r="J239" i="4" s="1"/>
  <c r="AA238" i="4"/>
  <c r="Y238" i="4"/>
  <c r="T238" i="4"/>
  <c r="Q238" i="4"/>
  <c r="N238" i="4"/>
  <c r="J238" i="4" a="1"/>
  <c r="J238" i="4" s="1"/>
  <c r="I238" i="4"/>
  <c r="F238" i="4"/>
  <c r="B238" i="4" s="1" a="1"/>
  <c r="B238" i="4" s="1"/>
  <c r="C238" i="4" s="1"/>
  <c r="AA237" i="4"/>
  <c r="Y237" i="4"/>
  <c r="T237" i="4"/>
  <c r="Q237" i="4"/>
  <c r="N237" i="4"/>
  <c r="J237" i="4" a="1"/>
  <c r="J237" i="4" s="1"/>
  <c r="I237" i="4"/>
  <c r="F237" i="4"/>
  <c r="B237" i="4" s="1" a="1"/>
  <c r="B237" i="4" s="1"/>
  <c r="C237" i="4" s="1"/>
  <c r="AA236" i="4"/>
  <c r="Y236" i="4"/>
  <c r="T236" i="4"/>
  <c r="Q236" i="4"/>
  <c r="N236" i="4"/>
  <c r="J236" i="4" a="1"/>
  <c r="J236" i="4" s="1"/>
  <c r="I236" i="4"/>
  <c r="F236" i="4"/>
  <c r="B236" i="4" s="1" a="1"/>
  <c r="B236" i="4" s="1"/>
  <c r="C236" i="4" s="1"/>
  <c r="C235" i="4"/>
  <c r="C234" i="4"/>
  <c r="AJ203" i="4" l="1"/>
  <c r="AL203" i="4" s="1"/>
  <c r="AK203" i="4"/>
  <c r="AM203" i="4" s="1"/>
  <c r="AK205" i="4"/>
  <c r="AM205" i="4" s="1"/>
  <c r="AJ205" i="4"/>
  <c r="AL205" i="4" s="1"/>
  <c r="AK728" i="4"/>
  <c r="AM728" i="4" s="1"/>
  <c r="AJ728" i="4"/>
  <c r="AL728" i="4" s="1"/>
  <c r="AK727" i="4"/>
  <c r="AM727" i="4" s="1"/>
  <c r="AJ727" i="4"/>
  <c r="AL727" i="4" s="1"/>
  <c r="AJ268" i="4"/>
  <c r="AL268" i="4" s="1"/>
  <c r="AK268" i="4"/>
  <c r="AM268" i="4" s="1"/>
  <c r="AJ726" i="4"/>
  <c r="AL726" i="4" s="1"/>
  <c r="AK726" i="4"/>
  <c r="AM726" i="4" s="1"/>
  <c r="AK204" i="4"/>
  <c r="AM204" i="4" s="1"/>
  <c r="AJ204" i="4"/>
  <c r="AL204" i="4" s="1"/>
  <c r="AK275" i="4"/>
  <c r="AM275" i="4" s="1"/>
  <c r="AJ275" i="4"/>
  <c r="AL275" i="4" s="1"/>
  <c r="AJ273" i="4"/>
  <c r="AL273" i="4" s="1"/>
  <c r="AK273" i="4"/>
  <c r="AM273" i="4" s="1"/>
  <c r="AK724" i="4"/>
  <c r="AM724" i="4" s="1"/>
  <c r="AJ724" i="4"/>
  <c r="AL724" i="4" s="1"/>
  <c r="AK415" i="4"/>
  <c r="AM415" i="4" s="1"/>
  <c r="AJ415" i="4"/>
  <c r="AL415" i="4" s="1"/>
  <c r="AK267" i="4"/>
  <c r="AM267" i="4" s="1"/>
  <c r="AJ267" i="4"/>
  <c r="AL267" i="4" s="1"/>
  <c r="AK266" i="4"/>
  <c r="AM266" i="4" s="1"/>
  <c r="AJ266" i="4"/>
  <c r="AL266" i="4" s="1"/>
  <c r="AK274" i="4"/>
  <c r="AM274" i="4" s="1"/>
  <c r="AJ274" i="4"/>
  <c r="AL274" i="4" s="1"/>
  <c r="AK729" i="4"/>
  <c r="AM729" i="4" s="1"/>
  <c r="AJ729" i="4"/>
  <c r="AL729" i="4" s="1"/>
  <c r="AI240" i="4" a="1"/>
  <c r="AI240" i="4" s="1"/>
  <c r="AI241" i="4" a="1"/>
  <c r="AI241" i="4" s="1"/>
  <c r="AI242" i="4" a="1"/>
  <c r="AI242" i="4" s="1"/>
  <c r="AI236" i="4" a="1"/>
  <c r="AI236" i="4" s="1"/>
  <c r="AI237" i="4" a="1"/>
  <c r="AI237" i="4" s="1"/>
  <c r="AI244" i="4" a="1"/>
  <c r="AI244" i="4" s="1"/>
  <c r="AI245" i="4" a="1"/>
  <c r="AI245" i="4" s="1"/>
  <c r="AI246" i="4" a="1"/>
  <c r="AI246" i="4" s="1"/>
  <c r="AI238" i="4" a="1"/>
  <c r="AI238" i="4" s="1"/>
  <c r="AA231" i="4"/>
  <c r="Y231" i="4"/>
  <c r="T231" i="4"/>
  <c r="Q231" i="4"/>
  <c r="N231" i="4"/>
  <c r="J231" i="4" a="1"/>
  <c r="J231" i="4" s="1"/>
  <c r="I231" i="4"/>
  <c r="F231" i="4"/>
  <c r="B231" i="4" s="1" a="1"/>
  <c r="B231" i="4" s="1"/>
  <c r="C231" i="4" s="1"/>
  <c r="AA230" i="4"/>
  <c r="Y230" i="4"/>
  <c r="T230" i="4"/>
  <c r="Q230" i="4"/>
  <c r="N230" i="4"/>
  <c r="J230" i="4" a="1"/>
  <c r="J230" i="4" s="1"/>
  <c r="I230" i="4"/>
  <c r="F230" i="4"/>
  <c r="B230" i="4" s="1" a="1"/>
  <c r="B230" i="4" s="1"/>
  <c r="C230" i="4" s="1"/>
  <c r="AA229" i="4"/>
  <c r="Y229" i="4"/>
  <c r="T229" i="4"/>
  <c r="Q229" i="4"/>
  <c r="N229" i="4"/>
  <c r="J229" i="4" a="1"/>
  <c r="J229" i="4" s="1"/>
  <c r="I229" i="4"/>
  <c r="F229" i="4"/>
  <c r="B229" i="4" s="1" a="1"/>
  <c r="B229" i="4" s="1"/>
  <c r="C229" i="4" s="1"/>
  <c r="AA220" i="4"/>
  <c r="Y220" i="4"/>
  <c r="T220" i="4"/>
  <c r="Q220" i="4"/>
  <c r="N220" i="4"/>
  <c r="J220" i="4" a="1"/>
  <c r="J220" i="4" s="1"/>
  <c r="I220" i="4"/>
  <c r="F220" i="4"/>
  <c r="B220" i="4" s="1" a="1"/>
  <c r="B220" i="4" s="1"/>
  <c r="C220" i="4" s="1"/>
  <c r="AA219" i="4"/>
  <c r="Y219" i="4"/>
  <c r="T219" i="4"/>
  <c r="Q219" i="4"/>
  <c r="N219" i="4"/>
  <c r="J219" i="4" a="1"/>
  <c r="J219" i="4" s="1"/>
  <c r="I219" i="4"/>
  <c r="F219" i="4"/>
  <c r="B219" i="4" s="1" a="1"/>
  <c r="B219" i="4" s="1"/>
  <c r="C219" i="4" s="1"/>
  <c r="AA218" i="4"/>
  <c r="Y218" i="4"/>
  <c r="T218" i="4"/>
  <c r="Q218" i="4"/>
  <c r="N218" i="4"/>
  <c r="J218" i="4" a="1"/>
  <c r="J218" i="4" s="1"/>
  <c r="I218" i="4"/>
  <c r="F218" i="4"/>
  <c r="B218" i="4" s="1" a="1"/>
  <c r="B218" i="4" s="1"/>
  <c r="C218" i="4" s="1"/>
  <c r="J217" i="4" a="1"/>
  <c r="J217" i="4" s="1"/>
  <c r="AA216" i="4"/>
  <c r="Y216" i="4"/>
  <c r="T216" i="4"/>
  <c r="Q216" i="4"/>
  <c r="N216" i="4"/>
  <c r="J216" i="4" a="1"/>
  <c r="J216" i="4" s="1"/>
  <c r="I216" i="4"/>
  <c r="F216" i="4"/>
  <c r="B216" i="4" s="1" a="1"/>
  <c r="B216" i="4" s="1"/>
  <c r="C216" i="4" s="1"/>
  <c r="AA215" i="4"/>
  <c r="Y215" i="4"/>
  <c r="T215" i="4"/>
  <c r="Q215" i="4"/>
  <c r="N215" i="4"/>
  <c r="J215" i="4" a="1"/>
  <c r="J215" i="4" s="1"/>
  <c r="I215" i="4"/>
  <c r="F215" i="4"/>
  <c r="B215" i="4" s="1" a="1"/>
  <c r="B215" i="4" s="1"/>
  <c r="C215" i="4" s="1"/>
  <c r="AA214" i="4"/>
  <c r="Y214" i="4"/>
  <c r="T214" i="4"/>
  <c r="Q214" i="4"/>
  <c r="N214" i="4"/>
  <c r="J214" i="4" a="1"/>
  <c r="J214" i="4" s="1"/>
  <c r="I214" i="4"/>
  <c r="F214" i="4"/>
  <c r="B214" i="4" s="1" a="1"/>
  <c r="B214" i="4" s="1"/>
  <c r="C214" i="4" s="1"/>
  <c r="Q213" i="4"/>
  <c r="J213" i="4" a="1"/>
  <c r="J213" i="4" s="1"/>
  <c r="AA212" i="4"/>
  <c r="Y212" i="4"/>
  <c r="T212" i="4"/>
  <c r="Q212" i="4"/>
  <c r="N212" i="4"/>
  <c r="J212" i="4" a="1"/>
  <c r="J212" i="4" s="1"/>
  <c r="I212" i="4"/>
  <c r="F212" i="4"/>
  <c r="B212" i="4" s="1" a="1"/>
  <c r="B212" i="4" s="1"/>
  <c r="C212" i="4" s="1"/>
  <c r="AA211" i="4"/>
  <c r="Y211" i="4"/>
  <c r="T211" i="4"/>
  <c r="Q211" i="4"/>
  <c r="N211" i="4"/>
  <c r="J211" i="4" a="1"/>
  <c r="J211" i="4" s="1"/>
  <c r="I211" i="4"/>
  <c r="F211" i="4"/>
  <c r="B211" i="4" s="1" a="1"/>
  <c r="B211" i="4" s="1"/>
  <c r="C211" i="4" s="1"/>
  <c r="AA210" i="4"/>
  <c r="Y210" i="4"/>
  <c r="T210" i="4"/>
  <c r="Q210" i="4"/>
  <c r="N210" i="4"/>
  <c r="J210" i="4" a="1"/>
  <c r="J210" i="4" s="1"/>
  <c r="I210" i="4"/>
  <c r="F210" i="4"/>
  <c r="B210" i="4" s="1" a="1"/>
  <c r="B210" i="4" s="1"/>
  <c r="C210" i="4" s="1"/>
  <c r="C209" i="4"/>
  <c r="C208" i="4"/>
  <c r="J228" i="4" a="1"/>
  <c r="J228" i="4" s="1"/>
  <c r="AA227" i="4"/>
  <c r="Y227" i="4"/>
  <c r="T227" i="4"/>
  <c r="Q227" i="4"/>
  <c r="N227" i="4"/>
  <c r="J227" i="4" a="1"/>
  <c r="J227" i="4" s="1"/>
  <c r="I227" i="4"/>
  <c r="F227" i="4"/>
  <c r="B227" i="4" s="1" a="1"/>
  <c r="B227" i="4" s="1"/>
  <c r="C227" i="4" s="1"/>
  <c r="AA226" i="4"/>
  <c r="Y226" i="4"/>
  <c r="T226" i="4"/>
  <c r="Q226" i="4"/>
  <c r="N226" i="4"/>
  <c r="J226" i="4" a="1"/>
  <c r="J226" i="4" s="1"/>
  <c r="I226" i="4"/>
  <c r="F226" i="4"/>
  <c r="B226" i="4" s="1" a="1"/>
  <c r="B226" i="4" s="1"/>
  <c r="C226" i="4" s="1"/>
  <c r="AA225" i="4"/>
  <c r="Y225" i="4"/>
  <c r="T225" i="4"/>
  <c r="Q225" i="4"/>
  <c r="N225" i="4"/>
  <c r="J225" i="4" a="1"/>
  <c r="J225" i="4" s="1"/>
  <c r="I225" i="4"/>
  <c r="F225" i="4"/>
  <c r="B225" i="4" s="1" a="1"/>
  <c r="B225" i="4" s="1"/>
  <c r="C225" i="4" s="1"/>
  <c r="C224" i="4"/>
  <c r="C223" i="4"/>
  <c r="C199" i="4"/>
  <c r="C249" i="4"/>
  <c r="C292" i="4"/>
  <c r="AA261" i="4"/>
  <c r="Y261" i="4"/>
  <c r="T261" i="4"/>
  <c r="Q261" i="4"/>
  <c r="N261" i="4"/>
  <c r="J261" i="4" a="1"/>
  <c r="J261" i="4" s="1"/>
  <c r="I261" i="4"/>
  <c r="F261" i="4"/>
  <c r="B261" i="4" s="1" a="1"/>
  <c r="B261" i="4" s="1"/>
  <c r="C261" i="4" s="1"/>
  <c r="AA260" i="4"/>
  <c r="Y260" i="4"/>
  <c r="T260" i="4"/>
  <c r="Q260" i="4"/>
  <c r="N260" i="4"/>
  <c r="J260" i="4" a="1"/>
  <c r="J260" i="4" s="1"/>
  <c r="I260" i="4"/>
  <c r="F260" i="4"/>
  <c r="B260" i="4" s="1" a="1"/>
  <c r="B260" i="4" s="1"/>
  <c r="C260" i="4" s="1"/>
  <c r="AA259" i="4"/>
  <c r="Y259" i="4"/>
  <c r="T259" i="4"/>
  <c r="Q259" i="4"/>
  <c r="N259" i="4"/>
  <c r="J259" i="4" a="1"/>
  <c r="J259" i="4" s="1"/>
  <c r="I259" i="4"/>
  <c r="F259" i="4"/>
  <c r="B259" i="4" s="1" a="1"/>
  <c r="B259" i="4" s="1"/>
  <c r="C259" i="4" s="1"/>
  <c r="J258" i="4" a="1"/>
  <c r="J258" i="4" s="1"/>
  <c r="AA257" i="4"/>
  <c r="Y257" i="4"/>
  <c r="T257" i="4"/>
  <c r="Q257" i="4"/>
  <c r="N257" i="4"/>
  <c r="J257" i="4" a="1"/>
  <c r="J257" i="4" s="1"/>
  <c r="I257" i="4"/>
  <c r="F257" i="4"/>
  <c r="B257" i="4" s="1" a="1"/>
  <c r="B257" i="4" s="1"/>
  <c r="C257" i="4" s="1"/>
  <c r="AA256" i="4"/>
  <c r="Y256" i="4"/>
  <c r="T256" i="4"/>
  <c r="Q256" i="4"/>
  <c r="N256" i="4"/>
  <c r="J256" i="4" a="1"/>
  <c r="J256" i="4" s="1"/>
  <c r="I256" i="4"/>
  <c r="F256" i="4"/>
  <c r="B256" i="4" s="1" a="1"/>
  <c r="B256" i="4" s="1"/>
  <c r="C256" i="4" s="1"/>
  <c r="AA255" i="4"/>
  <c r="Y255" i="4"/>
  <c r="T255" i="4"/>
  <c r="Q255" i="4"/>
  <c r="N255" i="4"/>
  <c r="J255" i="4" a="1"/>
  <c r="J255" i="4" s="1"/>
  <c r="I255" i="4"/>
  <c r="F255" i="4"/>
  <c r="B255" i="4" s="1" a="1"/>
  <c r="B255" i="4" s="1"/>
  <c r="C255" i="4" s="1"/>
  <c r="Q254" i="4"/>
  <c r="J254" i="4" a="1"/>
  <c r="J254" i="4" s="1"/>
  <c r="AA253" i="4"/>
  <c r="Y253" i="4"/>
  <c r="T253" i="4"/>
  <c r="Q253" i="4"/>
  <c r="N253" i="4"/>
  <c r="J253" i="4" a="1"/>
  <c r="J253" i="4" s="1"/>
  <c r="I253" i="4"/>
  <c r="F253" i="4"/>
  <c r="B253" i="4" s="1" a="1"/>
  <c r="B253" i="4" s="1"/>
  <c r="C253" i="4" s="1"/>
  <c r="AA252" i="4"/>
  <c r="Y252" i="4"/>
  <c r="T252" i="4"/>
  <c r="Q252" i="4"/>
  <c r="N252" i="4"/>
  <c r="J252" i="4" a="1"/>
  <c r="J252" i="4" s="1"/>
  <c r="I252" i="4"/>
  <c r="F252" i="4"/>
  <c r="B252" i="4" s="1" a="1"/>
  <c r="B252" i="4" s="1"/>
  <c r="C252" i="4" s="1"/>
  <c r="AA251" i="4"/>
  <c r="Y251" i="4"/>
  <c r="T251" i="4"/>
  <c r="Q251" i="4"/>
  <c r="N251" i="4"/>
  <c r="J251" i="4" a="1"/>
  <c r="J251" i="4" s="1"/>
  <c r="I251" i="4"/>
  <c r="F251" i="4"/>
  <c r="B251" i="4" s="1" a="1"/>
  <c r="B251" i="4" s="1"/>
  <c r="C251" i="4" s="1"/>
  <c r="C250" i="4"/>
  <c r="AM264" i="4" l="1"/>
  <c r="AJ246" i="4"/>
  <c r="AL246" i="4" s="1"/>
  <c r="AK246" i="4"/>
  <c r="AM246" i="4" s="1"/>
  <c r="AK237" i="4"/>
  <c r="AM237" i="4" s="1"/>
  <c r="AJ237" i="4"/>
  <c r="AL237" i="4" s="1"/>
  <c r="AJ241" i="4"/>
  <c r="AL241" i="4" s="1"/>
  <c r="AK241" i="4"/>
  <c r="AM241" i="4" s="1"/>
  <c r="AK240" i="4"/>
  <c r="AM240" i="4" s="1"/>
  <c r="AJ240" i="4"/>
  <c r="AL240" i="4" s="1"/>
  <c r="AK238" i="4"/>
  <c r="AM238" i="4" s="1"/>
  <c r="AJ238" i="4"/>
  <c r="AL238" i="4" s="1"/>
  <c r="AK245" i="4"/>
  <c r="AM245" i="4" s="1"/>
  <c r="AJ245" i="4"/>
  <c r="AL245" i="4" s="1"/>
  <c r="AJ242" i="4"/>
  <c r="AL242" i="4" s="1"/>
  <c r="AK242" i="4"/>
  <c r="AM242" i="4" s="1"/>
  <c r="AJ236" i="4"/>
  <c r="AL236" i="4" s="1"/>
  <c r="AK236" i="4"/>
  <c r="AM236" i="4" s="1"/>
  <c r="AK244" i="4"/>
  <c r="AM244" i="4" s="1"/>
  <c r="AJ244" i="4"/>
  <c r="AL244" i="4" s="1"/>
  <c r="AI251" i="4" a="1"/>
  <c r="AI251" i="4" s="1"/>
  <c r="AL264" i="4"/>
  <c r="AI252" i="4" a="1"/>
  <c r="AI252" i="4" s="1"/>
  <c r="AI226" i="4" a="1"/>
  <c r="AI226" i="4" s="1"/>
  <c r="AI227" i="4" a="1"/>
  <c r="AI227" i="4" s="1"/>
  <c r="AI253" i="4" a="1"/>
  <c r="AI253" i="4" s="1"/>
  <c r="AI225" i="4" a="1"/>
  <c r="AI225" i="4" s="1"/>
  <c r="AI214" i="4" a="1"/>
  <c r="AI214" i="4" s="1"/>
  <c r="AI215" i="4" a="1"/>
  <c r="AI215" i="4" s="1"/>
  <c r="AI216" i="4" a="1"/>
  <c r="AI216" i="4" s="1"/>
  <c r="AI219" i="4" a="1"/>
  <c r="AI219" i="4" s="1"/>
  <c r="AI220" i="4" a="1"/>
  <c r="AI220" i="4" s="1"/>
  <c r="AI229" i="4" a="1"/>
  <c r="AI229" i="4" s="1"/>
  <c r="AI218" i="4" a="1"/>
  <c r="AI218" i="4" s="1"/>
  <c r="AI259" i="4" a="1"/>
  <c r="AI259" i="4" s="1"/>
  <c r="AI260" i="4" a="1"/>
  <c r="AI260" i="4" s="1"/>
  <c r="AI261" i="4" a="1"/>
  <c r="AI261" i="4" s="1"/>
  <c r="AL271" i="4"/>
  <c r="AI255" i="4" a="1"/>
  <c r="AI255" i="4" s="1"/>
  <c r="AI256" i="4" a="1"/>
  <c r="AI256" i="4" s="1"/>
  <c r="AI257" i="4" a="1"/>
  <c r="AI257" i="4" s="1"/>
  <c r="AM201" i="4"/>
  <c r="AL201" i="4"/>
  <c r="AI210" i="4" a="1"/>
  <c r="AI210" i="4" s="1"/>
  <c r="AI212" i="4" a="1"/>
  <c r="AI212" i="4" s="1"/>
  <c r="AI211" i="4" a="1"/>
  <c r="AI211" i="4" s="1"/>
  <c r="AM271" i="4"/>
  <c r="AI230" i="4" a="1"/>
  <c r="AI230" i="4" s="1"/>
  <c r="AI231" i="4" a="1"/>
  <c r="AI231" i="4" s="1"/>
  <c r="AA340" i="4"/>
  <c r="Y340" i="4"/>
  <c r="T340" i="4"/>
  <c r="Q340" i="4"/>
  <c r="N340" i="4"/>
  <c r="J340" i="4" a="1"/>
  <c r="J340" i="4" s="1"/>
  <c r="I340" i="4"/>
  <c r="F340" i="4"/>
  <c r="B340" i="4" s="1" a="1"/>
  <c r="B340" i="4" s="1"/>
  <c r="C340" i="4" s="1"/>
  <c r="AA339" i="4"/>
  <c r="Y339" i="4"/>
  <c r="T339" i="4"/>
  <c r="Q339" i="4"/>
  <c r="N339" i="4"/>
  <c r="J339" i="4" a="1"/>
  <c r="J339" i="4" s="1"/>
  <c r="I339" i="4"/>
  <c r="F339" i="4"/>
  <c r="B339" i="4" s="1" a="1"/>
  <c r="B339" i="4" s="1"/>
  <c r="C339" i="4" s="1"/>
  <c r="AA338" i="4"/>
  <c r="Y338" i="4"/>
  <c r="T338" i="4"/>
  <c r="Q338" i="4"/>
  <c r="N338" i="4"/>
  <c r="J338" i="4" a="1"/>
  <c r="J338" i="4" s="1"/>
  <c r="I338" i="4"/>
  <c r="F338" i="4"/>
  <c r="B338" i="4" s="1" a="1"/>
  <c r="B338" i="4" s="1"/>
  <c r="C338" i="4" s="1"/>
  <c r="J337" i="4" a="1"/>
  <c r="J337" i="4" s="1"/>
  <c r="AA336" i="4"/>
  <c r="Y336" i="4"/>
  <c r="T336" i="4"/>
  <c r="Q336" i="4"/>
  <c r="N336" i="4"/>
  <c r="J336" i="4" a="1"/>
  <c r="J336" i="4" s="1"/>
  <c r="I336" i="4"/>
  <c r="F336" i="4"/>
  <c r="B336" i="4" s="1" a="1"/>
  <c r="B336" i="4" s="1"/>
  <c r="C336" i="4" s="1"/>
  <c r="AA335" i="4"/>
  <c r="Y335" i="4"/>
  <c r="T335" i="4"/>
  <c r="Q335" i="4"/>
  <c r="N335" i="4"/>
  <c r="J335" i="4" a="1"/>
  <c r="J335" i="4" s="1"/>
  <c r="I335" i="4"/>
  <c r="F335" i="4"/>
  <c r="B335" i="4" s="1" a="1"/>
  <c r="B335" i="4" s="1"/>
  <c r="C335" i="4" s="1"/>
  <c r="AA334" i="4"/>
  <c r="Y334" i="4"/>
  <c r="T334" i="4"/>
  <c r="Q334" i="4"/>
  <c r="N334" i="4"/>
  <c r="J334" i="4" a="1"/>
  <c r="J334" i="4" s="1"/>
  <c r="I334" i="4"/>
  <c r="F334" i="4"/>
  <c r="B334" i="4" s="1" a="1"/>
  <c r="B334" i="4" s="1"/>
  <c r="C334" i="4" s="1"/>
  <c r="Q333" i="4"/>
  <c r="J333" i="4" a="1"/>
  <c r="J333" i="4" s="1"/>
  <c r="AA332" i="4"/>
  <c r="Y332" i="4"/>
  <c r="T332" i="4"/>
  <c r="Q332" i="4"/>
  <c r="N332" i="4"/>
  <c r="J332" i="4" a="1"/>
  <c r="J332" i="4" s="1"/>
  <c r="I332" i="4"/>
  <c r="F332" i="4"/>
  <c r="B332" i="4" s="1" a="1"/>
  <c r="B332" i="4" s="1"/>
  <c r="C332" i="4" s="1"/>
  <c r="AA331" i="4"/>
  <c r="Y331" i="4"/>
  <c r="T331" i="4"/>
  <c r="Q331" i="4"/>
  <c r="N331" i="4"/>
  <c r="J331" i="4" a="1"/>
  <c r="J331" i="4" s="1"/>
  <c r="I331" i="4"/>
  <c r="F331" i="4"/>
  <c r="B331" i="4" s="1" a="1"/>
  <c r="B331" i="4" s="1"/>
  <c r="C331" i="4" s="1"/>
  <c r="AA330" i="4"/>
  <c r="Y330" i="4"/>
  <c r="T330" i="4"/>
  <c r="Q330" i="4"/>
  <c r="N330" i="4"/>
  <c r="J330" i="4" a="1"/>
  <c r="J330" i="4" s="1"/>
  <c r="I330" i="4"/>
  <c r="F330" i="4"/>
  <c r="B330" i="4" s="1" a="1"/>
  <c r="B330" i="4" s="1"/>
  <c r="C330" i="4" s="1"/>
  <c r="C328" i="4"/>
  <c r="AA325" i="4"/>
  <c r="Y325" i="4"/>
  <c r="T325" i="4"/>
  <c r="Q325" i="4"/>
  <c r="N325" i="4"/>
  <c r="J325" i="4" a="1"/>
  <c r="J325" i="4" s="1"/>
  <c r="I325" i="4"/>
  <c r="F325" i="4"/>
  <c r="B325" i="4" s="1" a="1"/>
  <c r="B325" i="4" s="1"/>
  <c r="C325" i="4" s="1"/>
  <c r="AA324" i="4"/>
  <c r="Y324" i="4"/>
  <c r="T324" i="4"/>
  <c r="Q324" i="4"/>
  <c r="N324" i="4"/>
  <c r="J324" i="4" a="1"/>
  <c r="J324" i="4" s="1"/>
  <c r="I324" i="4"/>
  <c r="F324" i="4"/>
  <c r="B324" i="4" s="1" a="1"/>
  <c r="B324" i="4" s="1"/>
  <c r="C324" i="4" s="1"/>
  <c r="AA323" i="4"/>
  <c r="Y323" i="4"/>
  <c r="T323" i="4"/>
  <c r="Q323" i="4"/>
  <c r="N323" i="4"/>
  <c r="J323" i="4" a="1"/>
  <c r="J323" i="4" s="1"/>
  <c r="I323" i="4"/>
  <c r="F323" i="4"/>
  <c r="B323" i="4" s="1" a="1"/>
  <c r="B323" i="4" s="1"/>
  <c r="C323" i="4" s="1"/>
  <c r="J322" i="4" a="1"/>
  <c r="J322" i="4" s="1"/>
  <c r="AA321" i="4"/>
  <c r="Y321" i="4"/>
  <c r="T321" i="4"/>
  <c r="Q321" i="4"/>
  <c r="N321" i="4"/>
  <c r="J321" i="4" a="1"/>
  <c r="J321" i="4" s="1"/>
  <c r="I321" i="4"/>
  <c r="F321" i="4"/>
  <c r="B321" i="4" s="1" a="1"/>
  <c r="B321" i="4" s="1"/>
  <c r="C321" i="4" s="1"/>
  <c r="AA320" i="4"/>
  <c r="Y320" i="4"/>
  <c r="T320" i="4"/>
  <c r="Q320" i="4"/>
  <c r="N320" i="4"/>
  <c r="J320" i="4" a="1"/>
  <c r="J320" i="4" s="1"/>
  <c r="I320" i="4"/>
  <c r="F320" i="4"/>
  <c r="B320" i="4" s="1" a="1"/>
  <c r="B320" i="4" s="1"/>
  <c r="C320" i="4" s="1"/>
  <c r="AA319" i="4"/>
  <c r="Y319" i="4"/>
  <c r="T319" i="4"/>
  <c r="Q319" i="4"/>
  <c r="N319" i="4"/>
  <c r="J319" i="4" a="1"/>
  <c r="J319" i="4" s="1"/>
  <c r="I319" i="4"/>
  <c r="F319" i="4"/>
  <c r="B319" i="4" s="1" a="1"/>
  <c r="B319" i="4" s="1"/>
  <c r="C319" i="4" s="1"/>
  <c r="Q318" i="4"/>
  <c r="J318" i="4" a="1"/>
  <c r="J318" i="4" s="1"/>
  <c r="AA317" i="4"/>
  <c r="Y317" i="4"/>
  <c r="T317" i="4"/>
  <c r="Q317" i="4"/>
  <c r="N317" i="4"/>
  <c r="J317" i="4" a="1"/>
  <c r="J317" i="4" s="1"/>
  <c r="I317" i="4"/>
  <c r="F317" i="4"/>
  <c r="B317" i="4" s="1" a="1"/>
  <c r="B317" i="4" s="1"/>
  <c r="C317" i="4" s="1"/>
  <c r="AA316" i="4"/>
  <c r="Y316" i="4"/>
  <c r="T316" i="4"/>
  <c r="Q316" i="4"/>
  <c r="N316" i="4"/>
  <c r="J316" i="4" a="1"/>
  <c r="J316" i="4" s="1"/>
  <c r="I316" i="4"/>
  <c r="F316" i="4"/>
  <c r="B316" i="4" s="1" a="1"/>
  <c r="B316" i="4" s="1"/>
  <c r="C316" i="4" s="1"/>
  <c r="AA315" i="4"/>
  <c r="Y315" i="4"/>
  <c r="T315" i="4"/>
  <c r="Q315" i="4"/>
  <c r="N315" i="4"/>
  <c r="J315" i="4" a="1"/>
  <c r="J315" i="4" s="1"/>
  <c r="I315" i="4"/>
  <c r="F315" i="4"/>
  <c r="B315" i="4" s="1" a="1"/>
  <c r="B315" i="4" s="1"/>
  <c r="C315" i="4" s="1"/>
  <c r="C313" i="4"/>
  <c r="AJ214" i="4" l="1"/>
  <c r="AK214" i="4"/>
  <c r="AM214" i="4" s="1"/>
  <c r="AK211" i="4"/>
  <c r="AM211" i="4" s="1"/>
  <c r="AJ211" i="4"/>
  <c r="AL211" i="4" s="1"/>
  <c r="AK225" i="4"/>
  <c r="AM225" i="4" s="1"/>
  <c r="AJ225" i="4"/>
  <c r="AL225" i="4" s="1"/>
  <c r="AJ255" i="4"/>
  <c r="AL255" i="4" s="1"/>
  <c r="AK255" i="4"/>
  <c r="AM255" i="4" s="1"/>
  <c r="AK230" i="4"/>
  <c r="AM230" i="4" s="1"/>
  <c r="AJ230" i="4"/>
  <c r="AL230" i="4" s="1"/>
  <c r="AK259" i="4"/>
  <c r="AM259" i="4" s="1"/>
  <c r="AJ259" i="4"/>
  <c r="AL259" i="4" s="1"/>
  <c r="AJ215" i="4"/>
  <c r="AL215" i="4" s="1"/>
  <c r="AK215" i="4"/>
  <c r="AM215" i="4" s="1"/>
  <c r="AK257" i="4"/>
  <c r="AM257" i="4" s="1"/>
  <c r="AJ257" i="4"/>
  <c r="AL257" i="4" s="1"/>
  <c r="AK218" i="4"/>
  <c r="AM218" i="4" s="1"/>
  <c r="AJ218" i="4"/>
  <c r="AL218" i="4" s="1"/>
  <c r="AK220" i="4"/>
  <c r="AM220" i="4" s="1"/>
  <c r="AJ220" i="4"/>
  <c r="AL220" i="4" s="1"/>
  <c r="AJ227" i="4"/>
  <c r="AL227" i="4" s="1"/>
  <c r="AK227" i="4"/>
  <c r="AM227" i="4" s="1"/>
  <c r="AK212" i="4"/>
  <c r="AM212" i="4" s="1"/>
  <c r="AJ212" i="4"/>
  <c r="AL212" i="4" s="1"/>
  <c r="AJ219" i="4"/>
  <c r="AL219" i="4" s="1"/>
  <c r="AK219" i="4"/>
  <c r="AM219" i="4" s="1"/>
  <c r="AK226" i="4"/>
  <c r="AM226" i="4" s="1"/>
  <c r="AJ226" i="4"/>
  <c r="AL226" i="4" s="1"/>
  <c r="AK256" i="4"/>
  <c r="AM256" i="4" s="1"/>
  <c r="AJ256" i="4"/>
  <c r="AL256" i="4" s="1"/>
  <c r="AK229" i="4"/>
  <c r="AM229" i="4" s="1"/>
  <c r="AJ229" i="4"/>
  <c r="AL229" i="4" s="1"/>
  <c r="AK210" i="4"/>
  <c r="AM210" i="4" s="1"/>
  <c r="AJ210" i="4"/>
  <c r="AL210" i="4" s="1"/>
  <c r="AK261" i="4"/>
  <c r="AM261" i="4" s="1"/>
  <c r="AJ261" i="4"/>
  <c r="AL261" i="4" s="1"/>
  <c r="AK216" i="4"/>
  <c r="AM216" i="4" s="1"/>
  <c r="AJ216" i="4"/>
  <c r="AL216" i="4" s="1"/>
  <c r="AK252" i="4"/>
  <c r="AM252" i="4" s="1"/>
  <c r="AJ252" i="4"/>
  <c r="AL252" i="4" s="1"/>
  <c r="AJ251" i="4"/>
  <c r="AL251" i="4" s="1"/>
  <c r="AK251" i="4"/>
  <c r="AM251" i="4" s="1"/>
  <c r="AK253" i="4"/>
  <c r="AM253" i="4" s="1"/>
  <c r="AJ253" i="4"/>
  <c r="AL253" i="4" s="1"/>
  <c r="AK231" i="4"/>
  <c r="AM231" i="4" s="1"/>
  <c r="AJ231" i="4"/>
  <c r="AL231" i="4" s="1"/>
  <c r="AJ260" i="4"/>
  <c r="AL260" i="4" s="1"/>
  <c r="AK260" i="4"/>
  <c r="AM260" i="4" s="1"/>
  <c r="AL214" i="4"/>
  <c r="AM234" i="4"/>
  <c r="AI334" i="4" a="1"/>
  <c r="AI334" i="4" s="1"/>
  <c r="AI335" i="4" a="1"/>
  <c r="AI335" i="4" s="1"/>
  <c r="AI336" i="4" a="1"/>
  <c r="AI336" i="4" s="1"/>
  <c r="AI338" i="4" a="1"/>
  <c r="AI338" i="4" s="1"/>
  <c r="AI339" i="4" a="1"/>
  <c r="AI339" i="4" s="1"/>
  <c r="AL234" i="4"/>
  <c r="AI319" i="4" a="1"/>
  <c r="AI319" i="4" s="1"/>
  <c r="AI320" i="4" a="1"/>
  <c r="AI320" i="4" s="1"/>
  <c r="AI321" i="4" a="1"/>
  <c r="AI321" i="4" s="1"/>
  <c r="AI323" i="4" a="1"/>
  <c r="AI323" i="4" s="1"/>
  <c r="AI330" i="4" a="1"/>
  <c r="AI330" i="4" s="1"/>
  <c r="AI331" i="4" a="1"/>
  <c r="AI331" i="4" s="1"/>
  <c r="AI332" i="4" a="1"/>
  <c r="AI332" i="4" s="1"/>
  <c r="AI340" i="4" a="1"/>
  <c r="AI340" i="4" s="1"/>
  <c r="AI315" i="4" a="1"/>
  <c r="AI315" i="4" s="1"/>
  <c r="AI316" i="4" a="1"/>
  <c r="AI316" i="4" s="1"/>
  <c r="AI317" i="4" a="1"/>
  <c r="AI317" i="4" s="1"/>
  <c r="AI324" i="4" a="1"/>
  <c r="AI324" i="4" s="1"/>
  <c r="AI325" i="4" a="1"/>
  <c r="AI325" i="4" s="1"/>
  <c r="AA407" i="4"/>
  <c r="Y407" i="4"/>
  <c r="T407" i="4"/>
  <c r="Q407" i="4"/>
  <c r="N407" i="4"/>
  <c r="J407" i="4" a="1"/>
  <c r="J407" i="4" s="1"/>
  <c r="I407" i="4"/>
  <c r="F407" i="4"/>
  <c r="B407" i="4" s="1" a="1"/>
  <c r="B407" i="4" s="1"/>
  <c r="C407" i="4" s="1"/>
  <c r="AA406" i="4"/>
  <c r="Y406" i="4"/>
  <c r="T406" i="4"/>
  <c r="Q406" i="4"/>
  <c r="N406" i="4"/>
  <c r="J406" i="4" a="1"/>
  <c r="J406" i="4" s="1"/>
  <c r="I406" i="4"/>
  <c r="F406" i="4"/>
  <c r="B406" i="4" s="1" a="1"/>
  <c r="B406" i="4" s="1"/>
  <c r="C406" i="4" s="1"/>
  <c r="AA405" i="4"/>
  <c r="Y405" i="4"/>
  <c r="T405" i="4"/>
  <c r="Q405" i="4"/>
  <c r="N405" i="4"/>
  <c r="J405" i="4" a="1"/>
  <c r="J405" i="4" s="1"/>
  <c r="I405" i="4"/>
  <c r="F405" i="4"/>
  <c r="B405" i="4" s="1" a="1"/>
  <c r="B405" i="4" s="1"/>
  <c r="C405" i="4" s="1"/>
  <c r="J404" i="4" a="1"/>
  <c r="J404" i="4" s="1"/>
  <c r="AA403" i="4"/>
  <c r="Y403" i="4"/>
  <c r="T403" i="4"/>
  <c r="Q403" i="4"/>
  <c r="N403" i="4"/>
  <c r="J403" i="4" a="1"/>
  <c r="J403" i="4" s="1"/>
  <c r="I403" i="4"/>
  <c r="F403" i="4"/>
  <c r="B403" i="4" s="1" a="1"/>
  <c r="B403" i="4" s="1"/>
  <c r="C403" i="4" s="1"/>
  <c r="AA402" i="4"/>
  <c r="Y402" i="4"/>
  <c r="T402" i="4"/>
  <c r="Q402" i="4"/>
  <c r="N402" i="4"/>
  <c r="J402" i="4" a="1"/>
  <c r="J402" i="4" s="1"/>
  <c r="I402" i="4"/>
  <c r="F402" i="4"/>
  <c r="B402" i="4" s="1" a="1"/>
  <c r="B402" i="4" s="1"/>
  <c r="C402" i="4" s="1"/>
  <c r="AA401" i="4"/>
  <c r="Y401" i="4"/>
  <c r="T401" i="4"/>
  <c r="Q401" i="4"/>
  <c r="N401" i="4"/>
  <c r="J401" i="4" a="1"/>
  <c r="J401" i="4" s="1"/>
  <c r="I401" i="4"/>
  <c r="F401" i="4"/>
  <c r="B401" i="4" s="1" a="1"/>
  <c r="B401" i="4" s="1"/>
  <c r="C401" i="4" s="1"/>
  <c r="Q400" i="4"/>
  <c r="J400" i="4" a="1"/>
  <c r="J400" i="4" s="1"/>
  <c r="AA399" i="4"/>
  <c r="Y399" i="4"/>
  <c r="T399" i="4"/>
  <c r="Q399" i="4"/>
  <c r="N399" i="4"/>
  <c r="J399" i="4" a="1"/>
  <c r="J399" i="4" s="1"/>
  <c r="I399" i="4"/>
  <c r="F399" i="4"/>
  <c r="B399" i="4" s="1" a="1"/>
  <c r="B399" i="4" s="1"/>
  <c r="C399" i="4" s="1"/>
  <c r="AA398" i="4"/>
  <c r="Y398" i="4"/>
  <c r="T398" i="4"/>
  <c r="Q398" i="4"/>
  <c r="N398" i="4"/>
  <c r="J398" i="4" a="1"/>
  <c r="J398" i="4" s="1"/>
  <c r="I398" i="4"/>
  <c r="F398" i="4"/>
  <c r="B398" i="4" s="1" a="1"/>
  <c r="B398" i="4" s="1"/>
  <c r="C398" i="4" s="1"/>
  <c r="AA397" i="4"/>
  <c r="Y397" i="4"/>
  <c r="T397" i="4"/>
  <c r="Q397" i="4"/>
  <c r="N397" i="4"/>
  <c r="J397" i="4" a="1"/>
  <c r="J397" i="4" s="1"/>
  <c r="I397" i="4"/>
  <c r="F397" i="4"/>
  <c r="B397" i="4" s="1" a="1"/>
  <c r="B397" i="4" s="1"/>
  <c r="C397" i="4" s="1"/>
  <c r="AA395" i="4"/>
  <c r="Y395" i="4"/>
  <c r="T395" i="4"/>
  <c r="Q395" i="4"/>
  <c r="N395" i="4"/>
  <c r="J395" i="4" a="1"/>
  <c r="J395" i="4" s="1"/>
  <c r="I395" i="4"/>
  <c r="F395" i="4"/>
  <c r="B395" i="4" s="1" a="1"/>
  <c r="B395" i="4" s="1"/>
  <c r="C395" i="4" s="1"/>
  <c r="AA394" i="4"/>
  <c r="Y394" i="4"/>
  <c r="T394" i="4"/>
  <c r="Q394" i="4"/>
  <c r="N394" i="4"/>
  <c r="J394" i="4" a="1"/>
  <c r="J394" i="4" s="1"/>
  <c r="I394" i="4"/>
  <c r="F394" i="4"/>
  <c r="B394" i="4" s="1" a="1"/>
  <c r="B394" i="4" s="1"/>
  <c r="C394" i="4" s="1"/>
  <c r="AA393" i="4"/>
  <c r="Y393" i="4"/>
  <c r="T393" i="4"/>
  <c r="Q393" i="4"/>
  <c r="N393" i="4"/>
  <c r="J393" i="4" a="1"/>
  <c r="J393" i="4" s="1"/>
  <c r="I393" i="4"/>
  <c r="F393" i="4"/>
  <c r="B393" i="4" s="1" a="1"/>
  <c r="B393" i="4" s="1"/>
  <c r="C393" i="4" s="1"/>
  <c r="J392" i="4" a="1"/>
  <c r="J392" i="4" s="1"/>
  <c r="AA391" i="4"/>
  <c r="Y391" i="4"/>
  <c r="T391" i="4"/>
  <c r="Q391" i="4"/>
  <c r="N391" i="4"/>
  <c r="J391" i="4" a="1"/>
  <c r="J391" i="4" s="1"/>
  <c r="I391" i="4"/>
  <c r="F391" i="4"/>
  <c r="B391" i="4" s="1" a="1"/>
  <c r="B391" i="4" s="1"/>
  <c r="C391" i="4" s="1"/>
  <c r="AA390" i="4"/>
  <c r="Y390" i="4"/>
  <c r="T390" i="4"/>
  <c r="Q390" i="4"/>
  <c r="N390" i="4"/>
  <c r="J390" i="4" a="1"/>
  <c r="J390" i="4" s="1"/>
  <c r="I390" i="4"/>
  <c r="F390" i="4"/>
  <c r="B390" i="4" s="1" a="1"/>
  <c r="B390" i="4" s="1"/>
  <c r="C390" i="4" s="1"/>
  <c r="AA389" i="4"/>
  <c r="Y389" i="4"/>
  <c r="T389" i="4"/>
  <c r="Q389" i="4"/>
  <c r="N389" i="4"/>
  <c r="J389" i="4" a="1"/>
  <c r="J389" i="4" s="1"/>
  <c r="I389" i="4"/>
  <c r="F389" i="4"/>
  <c r="B389" i="4" s="1" a="1"/>
  <c r="B389" i="4" s="1"/>
  <c r="C389" i="4" s="1"/>
  <c r="Q388" i="4"/>
  <c r="J388" i="4" a="1"/>
  <c r="J388" i="4" s="1"/>
  <c r="AA387" i="4"/>
  <c r="Y387" i="4"/>
  <c r="T387" i="4"/>
  <c r="Q387" i="4"/>
  <c r="N387" i="4"/>
  <c r="J387" i="4" a="1"/>
  <c r="J387" i="4" s="1"/>
  <c r="I387" i="4"/>
  <c r="F387" i="4"/>
  <c r="B387" i="4" s="1" a="1"/>
  <c r="B387" i="4" s="1"/>
  <c r="C387" i="4" s="1"/>
  <c r="AA386" i="4"/>
  <c r="Y386" i="4"/>
  <c r="T386" i="4"/>
  <c r="Q386" i="4"/>
  <c r="N386" i="4"/>
  <c r="J386" i="4" a="1"/>
  <c r="J386" i="4" s="1"/>
  <c r="I386" i="4"/>
  <c r="F386" i="4"/>
  <c r="B386" i="4" s="1" a="1"/>
  <c r="B386" i="4" s="1"/>
  <c r="C386" i="4" s="1"/>
  <c r="AA385" i="4"/>
  <c r="Y385" i="4"/>
  <c r="T385" i="4"/>
  <c r="Q385" i="4"/>
  <c r="N385" i="4"/>
  <c r="J385" i="4" a="1"/>
  <c r="J385" i="4" s="1"/>
  <c r="I385" i="4"/>
  <c r="F385" i="4"/>
  <c r="B385" i="4" s="1" a="1"/>
  <c r="B385" i="4" s="1"/>
  <c r="C385" i="4" s="1"/>
  <c r="AA383" i="4"/>
  <c r="Y383" i="4"/>
  <c r="T383" i="4"/>
  <c r="Q383" i="4"/>
  <c r="N383" i="4"/>
  <c r="J383" i="4" a="1"/>
  <c r="J383" i="4" s="1"/>
  <c r="I383" i="4"/>
  <c r="F383" i="4"/>
  <c r="B383" i="4" s="1" a="1"/>
  <c r="B383" i="4" s="1"/>
  <c r="C383" i="4" s="1"/>
  <c r="AA382" i="4"/>
  <c r="Y382" i="4"/>
  <c r="T382" i="4"/>
  <c r="Q382" i="4"/>
  <c r="N382" i="4"/>
  <c r="J382" i="4" a="1"/>
  <c r="J382" i="4" s="1"/>
  <c r="I382" i="4"/>
  <c r="F382" i="4"/>
  <c r="B382" i="4" s="1" a="1"/>
  <c r="B382" i="4" s="1"/>
  <c r="C382" i="4" s="1"/>
  <c r="AA381" i="4"/>
  <c r="Y381" i="4"/>
  <c r="T381" i="4"/>
  <c r="Q381" i="4"/>
  <c r="N381" i="4"/>
  <c r="J381" i="4" a="1"/>
  <c r="J381" i="4" s="1"/>
  <c r="I381" i="4"/>
  <c r="F381" i="4"/>
  <c r="B381" i="4" s="1" a="1"/>
  <c r="B381" i="4" s="1"/>
  <c r="C381" i="4" s="1"/>
  <c r="J380" i="4" a="1"/>
  <c r="J380" i="4" s="1"/>
  <c r="AA379" i="4"/>
  <c r="Y379" i="4"/>
  <c r="T379" i="4"/>
  <c r="Q379" i="4"/>
  <c r="N379" i="4"/>
  <c r="J379" i="4" a="1"/>
  <c r="J379" i="4" s="1"/>
  <c r="I379" i="4"/>
  <c r="F379" i="4"/>
  <c r="B379" i="4" s="1" a="1"/>
  <c r="B379" i="4" s="1"/>
  <c r="C379" i="4" s="1"/>
  <c r="AA378" i="4"/>
  <c r="Y378" i="4"/>
  <c r="T378" i="4"/>
  <c r="Q378" i="4"/>
  <c r="N378" i="4"/>
  <c r="J378" i="4" a="1"/>
  <c r="J378" i="4" s="1"/>
  <c r="I378" i="4"/>
  <c r="F378" i="4"/>
  <c r="B378" i="4" s="1" a="1"/>
  <c r="B378" i="4" s="1"/>
  <c r="C378" i="4" s="1"/>
  <c r="AA377" i="4"/>
  <c r="Y377" i="4"/>
  <c r="T377" i="4"/>
  <c r="Q377" i="4"/>
  <c r="N377" i="4"/>
  <c r="J377" i="4" a="1"/>
  <c r="J377" i="4" s="1"/>
  <c r="I377" i="4"/>
  <c r="F377" i="4"/>
  <c r="B377" i="4" s="1" a="1"/>
  <c r="B377" i="4" s="1"/>
  <c r="C377" i="4" s="1"/>
  <c r="Q376" i="4"/>
  <c r="J376" i="4" a="1"/>
  <c r="J376" i="4" s="1"/>
  <c r="AA375" i="4"/>
  <c r="Y375" i="4"/>
  <c r="T375" i="4"/>
  <c r="Q375" i="4"/>
  <c r="N375" i="4"/>
  <c r="J375" i="4" a="1"/>
  <c r="J375" i="4" s="1"/>
  <c r="I375" i="4"/>
  <c r="F375" i="4"/>
  <c r="B375" i="4" s="1" a="1"/>
  <c r="B375" i="4" s="1"/>
  <c r="C375" i="4" s="1"/>
  <c r="AA374" i="4"/>
  <c r="Y374" i="4"/>
  <c r="T374" i="4"/>
  <c r="Q374" i="4"/>
  <c r="N374" i="4"/>
  <c r="J374" i="4" a="1"/>
  <c r="J374" i="4" s="1"/>
  <c r="I374" i="4"/>
  <c r="F374" i="4"/>
  <c r="B374" i="4" s="1" a="1"/>
  <c r="B374" i="4" s="1"/>
  <c r="C374" i="4" s="1"/>
  <c r="AA373" i="4"/>
  <c r="Y373" i="4"/>
  <c r="T373" i="4"/>
  <c r="Q373" i="4"/>
  <c r="N373" i="4"/>
  <c r="J373" i="4" a="1"/>
  <c r="J373" i="4" s="1"/>
  <c r="I373" i="4"/>
  <c r="F373" i="4"/>
  <c r="B373" i="4" s="1" a="1"/>
  <c r="B373" i="4" s="1"/>
  <c r="C373" i="4" s="1"/>
  <c r="C371" i="4"/>
  <c r="AK334" i="4" l="1"/>
  <c r="AM334" i="4" s="1"/>
  <c r="AJ334" i="4"/>
  <c r="AL334" i="4" s="1"/>
  <c r="AJ321" i="4"/>
  <c r="AL321" i="4" s="1"/>
  <c r="AK321" i="4"/>
  <c r="AM321" i="4" s="1"/>
  <c r="AJ335" i="4"/>
  <c r="AL335" i="4" s="1"/>
  <c r="AK335" i="4"/>
  <c r="AM335" i="4" s="1"/>
  <c r="AJ317" i="4"/>
  <c r="AL317" i="4" s="1"/>
  <c r="AK317" i="4"/>
  <c r="AM317" i="4" s="1"/>
  <c r="AJ316" i="4"/>
  <c r="AL316" i="4" s="1"/>
  <c r="AK316" i="4"/>
  <c r="AM316" i="4" s="1"/>
  <c r="AK315" i="4"/>
  <c r="AM315" i="4" s="1"/>
  <c r="AJ315" i="4"/>
  <c r="AL315" i="4" s="1"/>
  <c r="AK332" i="4"/>
  <c r="AM332" i="4" s="1"/>
  <c r="AJ332" i="4"/>
  <c r="AL332" i="4" s="1"/>
  <c r="AK331" i="4"/>
  <c r="AM331" i="4" s="1"/>
  <c r="AJ331" i="4"/>
  <c r="AL331" i="4" s="1"/>
  <c r="AK320" i="4"/>
  <c r="AM320" i="4" s="1"/>
  <c r="AJ320" i="4"/>
  <c r="AL320" i="4" s="1"/>
  <c r="AK319" i="4"/>
  <c r="AM319" i="4" s="1"/>
  <c r="AJ319" i="4"/>
  <c r="AL319" i="4" s="1"/>
  <c r="AK325" i="4"/>
  <c r="AM325" i="4" s="1"/>
  <c r="AJ325" i="4"/>
  <c r="AL325" i="4" s="1"/>
  <c r="AJ330" i="4"/>
  <c r="AL330" i="4" s="1"/>
  <c r="AK330" i="4"/>
  <c r="AM330" i="4" s="1"/>
  <c r="AK339" i="4"/>
  <c r="AM339" i="4" s="1"/>
  <c r="AJ339" i="4"/>
  <c r="AL339" i="4" s="1"/>
  <c r="AK324" i="4"/>
  <c r="AM324" i="4" s="1"/>
  <c r="AJ324" i="4"/>
  <c r="AL324" i="4" s="1"/>
  <c r="AJ340" i="4"/>
  <c r="AL340" i="4" s="1"/>
  <c r="AK340" i="4"/>
  <c r="AM340" i="4" s="1"/>
  <c r="AK323" i="4"/>
  <c r="AM323" i="4" s="1"/>
  <c r="AJ323" i="4"/>
  <c r="AL323" i="4" s="1"/>
  <c r="AK338" i="4"/>
  <c r="AM338" i="4" s="1"/>
  <c r="AJ338" i="4"/>
  <c r="AL338" i="4" s="1"/>
  <c r="AJ336" i="4"/>
  <c r="AL336" i="4" s="1"/>
  <c r="AK336" i="4"/>
  <c r="AM336" i="4" s="1"/>
  <c r="AL249" i="4"/>
  <c r="AM223" i="4"/>
  <c r="AM249" i="4"/>
  <c r="AI373" i="4" a="1"/>
  <c r="AI373" i="4" s="1"/>
  <c r="AI374" i="4" a="1"/>
  <c r="AI374" i="4" s="1"/>
  <c r="AI375" i="4" a="1"/>
  <c r="AI375" i="4" s="1"/>
  <c r="AI389" i="4" a="1"/>
  <c r="AI389" i="4" s="1"/>
  <c r="AI401" i="4" a="1"/>
  <c r="AI401" i="4" s="1"/>
  <c r="AI402" i="4" a="1"/>
  <c r="AI402" i="4" s="1"/>
  <c r="AI403" i="4" a="1"/>
  <c r="AI403" i="4" s="1"/>
  <c r="AI393" i="4" a="1"/>
  <c r="AI393" i="4" s="1"/>
  <c r="AI405" i="4" a="1"/>
  <c r="AI405" i="4" s="1"/>
  <c r="AI406" i="4" a="1"/>
  <c r="AI406" i="4" s="1"/>
  <c r="AI407" i="4" a="1"/>
  <c r="AI407" i="4" s="1"/>
  <c r="AI377" i="4" a="1"/>
  <c r="AI377" i="4" s="1"/>
  <c r="AI390" i="4" a="1"/>
  <c r="AI390" i="4" s="1"/>
  <c r="AI391" i="4" a="1"/>
  <c r="AI391" i="4" s="1"/>
  <c r="AL208" i="4"/>
  <c r="AL223" i="4"/>
  <c r="AI394" i="4" a="1"/>
  <c r="AI394" i="4" s="1"/>
  <c r="AI395" i="4" a="1"/>
  <c r="AI395" i="4" s="1"/>
  <c r="AI397" i="4" a="1"/>
  <c r="AI397" i="4" s="1"/>
  <c r="AI398" i="4" a="1"/>
  <c r="AI398" i="4" s="1"/>
  <c r="AI399" i="4" a="1"/>
  <c r="AI399" i="4" s="1"/>
  <c r="AM208" i="4"/>
  <c r="AI382" i="4" a="1"/>
  <c r="AI382" i="4" s="1"/>
  <c r="AI385" i="4" a="1"/>
  <c r="AI385" i="4" s="1"/>
  <c r="AI378" i="4" a="1"/>
  <c r="AI378" i="4" s="1"/>
  <c r="AI379" i="4" a="1"/>
  <c r="AI379" i="4" s="1"/>
  <c r="AI381" i="4" a="1"/>
  <c r="AI381" i="4" s="1"/>
  <c r="AI383" i="4" a="1"/>
  <c r="AI383" i="4" s="1"/>
  <c r="AI386" i="4" a="1"/>
  <c r="AI386" i="4" s="1"/>
  <c r="AI387" i="4" a="1"/>
  <c r="AI387" i="4" s="1"/>
  <c r="Q346" i="4"/>
  <c r="AA368" i="4"/>
  <c r="Y368" i="4"/>
  <c r="T368" i="4"/>
  <c r="Q368" i="4"/>
  <c r="N368" i="4"/>
  <c r="J368" i="4" a="1"/>
  <c r="J368" i="4" s="1"/>
  <c r="I368" i="4"/>
  <c r="F368" i="4"/>
  <c r="B368" i="4" s="1" a="1"/>
  <c r="B368" i="4" s="1"/>
  <c r="C368" i="4" s="1"/>
  <c r="AA367" i="4"/>
  <c r="Y367" i="4"/>
  <c r="T367" i="4"/>
  <c r="Q367" i="4"/>
  <c r="N367" i="4"/>
  <c r="J367" i="4" a="1"/>
  <c r="J367" i="4" s="1"/>
  <c r="I367" i="4"/>
  <c r="F367" i="4"/>
  <c r="B367" i="4" s="1" a="1"/>
  <c r="B367" i="4" s="1"/>
  <c r="C367" i="4" s="1"/>
  <c r="AA366" i="4"/>
  <c r="Y366" i="4"/>
  <c r="T366" i="4"/>
  <c r="Q366" i="4"/>
  <c r="N366" i="4"/>
  <c r="J366" i="4" a="1"/>
  <c r="J366" i="4" s="1"/>
  <c r="I366" i="4"/>
  <c r="F366" i="4"/>
  <c r="B366" i="4" s="1" a="1"/>
  <c r="B366" i="4" s="1"/>
  <c r="C366" i="4" s="1"/>
  <c r="J365" i="4" a="1"/>
  <c r="J365" i="4" s="1"/>
  <c r="AA364" i="4"/>
  <c r="Y364" i="4"/>
  <c r="T364" i="4"/>
  <c r="Q364" i="4"/>
  <c r="N364" i="4"/>
  <c r="J364" i="4" a="1"/>
  <c r="J364" i="4" s="1"/>
  <c r="I364" i="4"/>
  <c r="F364" i="4"/>
  <c r="B364" i="4" s="1" a="1"/>
  <c r="B364" i="4" s="1"/>
  <c r="C364" i="4" s="1"/>
  <c r="AA363" i="4"/>
  <c r="Y363" i="4"/>
  <c r="T363" i="4"/>
  <c r="Q363" i="4"/>
  <c r="N363" i="4"/>
  <c r="J363" i="4" a="1"/>
  <c r="J363" i="4" s="1"/>
  <c r="I363" i="4"/>
  <c r="F363" i="4"/>
  <c r="B363" i="4" s="1" a="1"/>
  <c r="B363" i="4" s="1"/>
  <c r="C363" i="4" s="1"/>
  <c r="AA362" i="4"/>
  <c r="Y362" i="4"/>
  <c r="T362" i="4"/>
  <c r="Q362" i="4"/>
  <c r="N362" i="4"/>
  <c r="J362" i="4" a="1"/>
  <c r="J362" i="4" s="1"/>
  <c r="I362" i="4"/>
  <c r="F362" i="4"/>
  <c r="B362" i="4" s="1" a="1"/>
  <c r="B362" i="4" s="1"/>
  <c r="C362" i="4" s="1"/>
  <c r="Q361" i="4"/>
  <c r="J361" i="4" a="1"/>
  <c r="J361" i="4" s="1"/>
  <c r="AA360" i="4"/>
  <c r="Y360" i="4"/>
  <c r="T360" i="4"/>
  <c r="Q360" i="4"/>
  <c r="N360" i="4"/>
  <c r="J360" i="4" a="1"/>
  <c r="J360" i="4" s="1"/>
  <c r="I360" i="4"/>
  <c r="F360" i="4"/>
  <c r="B360" i="4" s="1" a="1"/>
  <c r="B360" i="4" s="1"/>
  <c r="C360" i="4" s="1"/>
  <c r="AA359" i="4"/>
  <c r="Y359" i="4"/>
  <c r="T359" i="4"/>
  <c r="Q359" i="4"/>
  <c r="N359" i="4"/>
  <c r="J359" i="4" a="1"/>
  <c r="J359" i="4" s="1"/>
  <c r="I359" i="4"/>
  <c r="F359" i="4"/>
  <c r="B359" i="4" s="1" a="1"/>
  <c r="B359" i="4" s="1"/>
  <c r="C359" i="4" s="1"/>
  <c r="AA358" i="4"/>
  <c r="Y358" i="4"/>
  <c r="T358" i="4"/>
  <c r="Q358" i="4"/>
  <c r="N358" i="4"/>
  <c r="J358" i="4" a="1"/>
  <c r="J358" i="4" s="1"/>
  <c r="I358" i="4"/>
  <c r="F358" i="4"/>
  <c r="B358" i="4" s="1" a="1"/>
  <c r="B358" i="4" s="1"/>
  <c r="C358" i="4" s="1"/>
  <c r="C356" i="4"/>
  <c r="AK385" i="4" l="1"/>
  <c r="AM385" i="4" s="1"/>
  <c r="AJ385" i="4"/>
  <c r="AL385" i="4" s="1"/>
  <c r="AK373" i="4"/>
  <c r="AM373" i="4" s="1"/>
  <c r="AJ373" i="4"/>
  <c r="AL373" i="4" s="1"/>
  <c r="AK383" i="4"/>
  <c r="AM383" i="4" s="1"/>
  <c r="AJ383" i="4"/>
  <c r="AL383" i="4" s="1"/>
  <c r="AK394" i="4"/>
  <c r="AM394" i="4" s="1"/>
  <c r="AJ394" i="4"/>
  <c r="AL394" i="4" s="1"/>
  <c r="AK405" i="4"/>
  <c r="AM405" i="4" s="1"/>
  <c r="AJ405" i="4"/>
  <c r="AL405" i="4" s="1"/>
  <c r="AJ375" i="4"/>
  <c r="AL375" i="4" s="1"/>
  <c r="AK375" i="4"/>
  <c r="AM375" i="4" s="1"/>
  <c r="AK378" i="4"/>
  <c r="AM378" i="4" s="1"/>
  <c r="AJ378" i="4"/>
  <c r="AL378" i="4" s="1"/>
  <c r="AJ393" i="4"/>
  <c r="AL393" i="4" s="1"/>
  <c r="AK393" i="4"/>
  <c r="AM393" i="4" s="1"/>
  <c r="AK403" i="4"/>
  <c r="AM403" i="4" s="1"/>
  <c r="AJ403" i="4"/>
  <c r="AL403" i="4" s="1"/>
  <c r="AJ381" i="4"/>
  <c r="AL381" i="4" s="1"/>
  <c r="AK381" i="4"/>
  <c r="AM381" i="4" s="1"/>
  <c r="AK399" i="4"/>
  <c r="AM399" i="4" s="1"/>
  <c r="AJ399" i="4"/>
  <c r="AL399" i="4" s="1"/>
  <c r="AK390" i="4"/>
  <c r="AM390" i="4" s="1"/>
  <c r="AJ390" i="4"/>
  <c r="AL390" i="4" s="1"/>
  <c r="AJ402" i="4"/>
  <c r="AL402" i="4" s="1"/>
  <c r="AK402" i="4"/>
  <c r="AM402" i="4" s="1"/>
  <c r="AK374" i="4"/>
  <c r="AM374" i="4" s="1"/>
  <c r="AJ374" i="4"/>
  <c r="AL374" i="4" s="1"/>
  <c r="AK398" i="4"/>
  <c r="AM398" i="4" s="1"/>
  <c r="AJ398" i="4"/>
  <c r="AL398" i="4" s="1"/>
  <c r="AK377" i="4"/>
  <c r="AM377" i="4" s="1"/>
  <c r="AJ377" i="4"/>
  <c r="AL377" i="4" s="1"/>
  <c r="AK401" i="4"/>
  <c r="AM401" i="4" s="1"/>
  <c r="AJ401" i="4"/>
  <c r="AL401" i="4" s="1"/>
  <c r="AK379" i="4"/>
  <c r="AM379" i="4" s="1"/>
  <c r="AJ379" i="4"/>
  <c r="AL379" i="4" s="1"/>
  <c r="AJ386" i="4"/>
  <c r="AL386" i="4" s="1"/>
  <c r="AK386" i="4"/>
  <c r="AM386" i="4" s="1"/>
  <c r="AJ391" i="4"/>
  <c r="AL391" i="4" s="1"/>
  <c r="AK391" i="4"/>
  <c r="AM391" i="4" s="1"/>
  <c r="AJ397" i="4"/>
  <c r="AL397" i="4" s="1"/>
  <c r="AK397" i="4"/>
  <c r="AM397" i="4" s="1"/>
  <c r="AJ407" i="4"/>
  <c r="AL407" i="4" s="1"/>
  <c r="AK407" i="4"/>
  <c r="AM407" i="4" s="1"/>
  <c r="AK389" i="4"/>
  <c r="AM389" i="4" s="1"/>
  <c r="AJ389" i="4"/>
  <c r="AL389" i="4" s="1"/>
  <c r="AK387" i="4"/>
  <c r="AM387" i="4" s="1"/>
  <c r="AJ387" i="4"/>
  <c r="AL387" i="4" s="1"/>
  <c r="AK382" i="4"/>
  <c r="AM382" i="4" s="1"/>
  <c r="AJ382" i="4"/>
  <c r="AL382" i="4" s="1"/>
  <c r="AK395" i="4"/>
  <c r="AM395" i="4" s="1"/>
  <c r="AJ395" i="4"/>
  <c r="AL395" i="4" s="1"/>
  <c r="AK406" i="4"/>
  <c r="AM406" i="4" s="1"/>
  <c r="AJ406" i="4"/>
  <c r="AL406" i="4" s="1"/>
  <c r="AI366" i="4" a="1"/>
  <c r="AI366" i="4" s="1"/>
  <c r="AI367" i="4" a="1"/>
  <c r="AI367" i="4" s="1"/>
  <c r="AI368" i="4" a="1"/>
  <c r="AI368" i="4" s="1"/>
  <c r="AI362" i="4" a="1"/>
  <c r="AI362" i="4" s="1"/>
  <c r="AI363" i="4" a="1"/>
  <c r="AI363" i="4" s="1"/>
  <c r="AI364" i="4" a="1"/>
  <c r="AI364" i="4" s="1"/>
  <c r="AL328" i="4"/>
  <c r="AI358" i="4" a="1"/>
  <c r="AI358" i="4" s="1"/>
  <c r="AM328" i="4"/>
  <c r="AM313" i="4"/>
  <c r="AL313" i="4"/>
  <c r="AI359" i="4" a="1"/>
  <c r="AI359" i="4" s="1"/>
  <c r="AI360" i="4" a="1"/>
  <c r="AI360" i="4" s="1"/>
  <c r="AA353" i="4"/>
  <c r="Y353" i="4"/>
  <c r="T353" i="4"/>
  <c r="Q353" i="4"/>
  <c r="N353" i="4"/>
  <c r="J353" i="4" a="1"/>
  <c r="J353" i="4" s="1"/>
  <c r="I353" i="4"/>
  <c r="B353" i="4" a="1"/>
  <c r="B353" i="4" s="1"/>
  <c r="C353" i="4" s="1"/>
  <c r="AA352" i="4"/>
  <c r="Y352" i="4"/>
  <c r="T352" i="4"/>
  <c r="Q352" i="4"/>
  <c r="N352" i="4"/>
  <c r="J352" i="4" a="1"/>
  <c r="J352" i="4" s="1"/>
  <c r="I352" i="4"/>
  <c r="B352" i="4" a="1"/>
  <c r="B352" i="4" s="1"/>
  <c r="C352" i="4" s="1"/>
  <c r="AA347" i="4"/>
  <c r="Y347" i="4"/>
  <c r="T347" i="4"/>
  <c r="Q347" i="4"/>
  <c r="N347" i="4"/>
  <c r="J347" i="4" a="1"/>
  <c r="J347" i="4" s="1"/>
  <c r="I347" i="4"/>
  <c r="F347" i="4"/>
  <c r="B347" i="4" s="1" a="1"/>
  <c r="B347" i="4" s="1"/>
  <c r="C347" i="4" s="1"/>
  <c r="AA346" i="4"/>
  <c r="Y346" i="4"/>
  <c r="T346" i="4"/>
  <c r="N346" i="4"/>
  <c r="J346" i="4" a="1"/>
  <c r="J346" i="4" s="1"/>
  <c r="I346" i="4"/>
  <c r="F346" i="4"/>
  <c r="B346" i="4" s="1" a="1"/>
  <c r="B346" i="4" s="1"/>
  <c r="C346" i="4" s="1"/>
  <c r="AA345" i="4"/>
  <c r="Y345" i="4"/>
  <c r="T345" i="4"/>
  <c r="Q345" i="4"/>
  <c r="N345" i="4"/>
  <c r="J345" i="4" a="1"/>
  <c r="J345" i="4" s="1"/>
  <c r="I345" i="4"/>
  <c r="F345" i="4"/>
  <c r="B345" i="4" s="1" a="1"/>
  <c r="B345" i="4" s="1"/>
  <c r="C345" i="4" s="1"/>
  <c r="AK359" i="4" l="1"/>
  <c r="AM359" i="4" s="1"/>
  <c r="AJ359" i="4"/>
  <c r="AL359" i="4" s="1"/>
  <c r="AJ362" i="4"/>
  <c r="AL362" i="4" s="1"/>
  <c r="AK362" i="4"/>
  <c r="AM362" i="4" s="1"/>
  <c r="AJ358" i="4"/>
  <c r="AL358" i="4" s="1"/>
  <c r="AK358" i="4"/>
  <c r="AM358" i="4" s="1"/>
  <c r="AK366" i="4"/>
  <c r="AM366" i="4" s="1"/>
  <c r="AJ366" i="4"/>
  <c r="AL366" i="4" s="1"/>
  <c r="AJ367" i="4"/>
  <c r="AL367" i="4" s="1"/>
  <c r="AK367" i="4"/>
  <c r="AM367" i="4" s="1"/>
  <c r="AK364" i="4"/>
  <c r="AM364" i="4" s="1"/>
  <c r="AJ364" i="4"/>
  <c r="AL364" i="4" s="1"/>
  <c r="AK360" i="4"/>
  <c r="AM360" i="4" s="1"/>
  <c r="AJ360" i="4"/>
  <c r="AL360" i="4" s="1"/>
  <c r="AJ363" i="4"/>
  <c r="AL363" i="4" s="1"/>
  <c r="AK363" i="4"/>
  <c r="AM363" i="4" s="1"/>
  <c r="AJ368" i="4"/>
  <c r="AL368" i="4" s="1"/>
  <c r="AK368" i="4"/>
  <c r="AM368" i="4" s="1"/>
  <c r="AI352" i="4" a="1"/>
  <c r="AI352" i="4" s="1"/>
  <c r="AI353" i="4" a="1"/>
  <c r="AI353" i="4" s="1"/>
  <c r="AL371" i="4"/>
  <c r="AM371" i="4"/>
  <c r="AI347" i="4" a="1"/>
  <c r="AI347" i="4" s="1"/>
  <c r="AI346" i="4" a="1"/>
  <c r="AI346" i="4" s="1"/>
  <c r="AI345" i="4" a="1"/>
  <c r="AI345" i="4" s="1"/>
  <c r="AA308" i="4"/>
  <c r="Y308" i="4"/>
  <c r="T308" i="4"/>
  <c r="Q308" i="4"/>
  <c r="N308" i="4"/>
  <c r="J308" i="4" a="1"/>
  <c r="J308" i="4" s="1"/>
  <c r="I308" i="4"/>
  <c r="F308" i="4"/>
  <c r="B308" i="4" s="1" a="1"/>
  <c r="B308" i="4" s="1"/>
  <c r="C308" i="4" s="1"/>
  <c r="AA307" i="4"/>
  <c r="Y307" i="4"/>
  <c r="T307" i="4"/>
  <c r="Q307" i="4"/>
  <c r="N307" i="4"/>
  <c r="J307" i="4" a="1"/>
  <c r="J307" i="4" s="1"/>
  <c r="I307" i="4"/>
  <c r="F307" i="4"/>
  <c r="B307" i="4" s="1" a="1"/>
  <c r="B307" i="4" s="1"/>
  <c r="C307" i="4" s="1"/>
  <c r="AA306" i="4"/>
  <c r="Y306" i="4"/>
  <c r="T306" i="4"/>
  <c r="Q306" i="4"/>
  <c r="N306" i="4"/>
  <c r="J306" i="4" a="1"/>
  <c r="J306" i="4" s="1"/>
  <c r="I306" i="4"/>
  <c r="F306" i="4"/>
  <c r="B306" i="4" s="1" a="1"/>
  <c r="B306" i="4" s="1"/>
  <c r="C306" i="4" s="1"/>
  <c r="J305" i="4" a="1"/>
  <c r="J305" i="4" s="1"/>
  <c r="AA302" i="4"/>
  <c r="Y302" i="4"/>
  <c r="T302" i="4"/>
  <c r="Q302" i="4"/>
  <c r="N302" i="4"/>
  <c r="J302" i="4" a="1"/>
  <c r="J302" i="4" s="1"/>
  <c r="I302" i="4"/>
  <c r="F302" i="4"/>
  <c r="B302" i="4" s="1" a="1"/>
  <c r="B302" i="4" s="1"/>
  <c r="C302" i="4" s="1"/>
  <c r="AA301" i="4"/>
  <c r="Y301" i="4"/>
  <c r="T301" i="4"/>
  <c r="Q301" i="4"/>
  <c r="N301" i="4"/>
  <c r="J301" i="4" a="1"/>
  <c r="J301" i="4" s="1"/>
  <c r="I301" i="4"/>
  <c r="F301" i="4"/>
  <c r="B301" i="4" s="1" a="1"/>
  <c r="B301" i="4" s="1"/>
  <c r="C301" i="4" s="1"/>
  <c r="AA300" i="4"/>
  <c r="Y300" i="4"/>
  <c r="T300" i="4"/>
  <c r="Q300" i="4"/>
  <c r="N300" i="4"/>
  <c r="J300" i="4" a="1"/>
  <c r="J300" i="4" s="1"/>
  <c r="I300" i="4"/>
  <c r="F300" i="4"/>
  <c r="B300" i="4" s="1" a="1"/>
  <c r="B300" i="4" s="1"/>
  <c r="C300" i="4" s="1"/>
  <c r="Q299" i="4"/>
  <c r="J299" i="4" a="1"/>
  <c r="J299" i="4" s="1"/>
  <c r="AA296" i="4"/>
  <c r="Y296" i="4"/>
  <c r="T296" i="4"/>
  <c r="Q296" i="4"/>
  <c r="N296" i="4"/>
  <c r="J296" i="4" a="1"/>
  <c r="J296" i="4" s="1"/>
  <c r="I296" i="4"/>
  <c r="F296" i="4"/>
  <c r="B296" i="4" s="1" a="1"/>
  <c r="B296" i="4" s="1"/>
  <c r="C296" i="4" s="1"/>
  <c r="AA295" i="4"/>
  <c r="Y295" i="4"/>
  <c r="T295" i="4"/>
  <c r="Q295" i="4"/>
  <c r="N295" i="4"/>
  <c r="J295" i="4" a="1"/>
  <c r="J295" i="4" s="1"/>
  <c r="I295" i="4"/>
  <c r="F295" i="4"/>
  <c r="B295" i="4" s="1" a="1"/>
  <c r="B295" i="4" s="1"/>
  <c r="C295" i="4" s="1"/>
  <c r="AA294" i="4"/>
  <c r="Y294" i="4"/>
  <c r="T294" i="4"/>
  <c r="Q294" i="4"/>
  <c r="N294" i="4"/>
  <c r="J294" i="4" a="1"/>
  <c r="J294" i="4" s="1"/>
  <c r="I294" i="4"/>
  <c r="F294" i="4"/>
  <c r="B294" i="4" s="1" a="1"/>
  <c r="B294" i="4" s="1"/>
  <c r="C294" i="4" s="1"/>
  <c r="J929" i="4" a="1"/>
  <c r="J929" i="4" s="1"/>
  <c r="J930" i="4" a="1"/>
  <c r="J930" i="4" s="1"/>
  <c r="J931" i="4" a="1"/>
  <c r="J931" i="4" s="1"/>
  <c r="J932" i="4" a="1"/>
  <c r="J932" i="4" s="1"/>
  <c r="J933" i="4" a="1"/>
  <c r="J933" i="4" s="1"/>
  <c r="J934" i="4" a="1"/>
  <c r="J934" i="4" s="1"/>
  <c r="J935" i="4" a="1"/>
  <c r="J935" i="4" s="1"/>
  <c r="J936" i="4" a="1"/>
  <c r="J936" i="4" s="1"/>
  <c r="J923" i="4" a="1"/>
  <c r="J923" i="4" s="1"/>
  <c r="J922" i="4" a="1"/>
  <c r="J922" i="4" s="1"/>
  <c r="J921" i="4" a="1"/>
  <c r="J921" i="4" s="1"/>
  <c r="J920" i="4" a="1"/>
  <c r="J920" i="4" s="1"/>
  <c r="J918" i="4" a="1"/>
  <c r="J918" i="4" s="1"/>
  <c r="J914" i="4" a="1"/>
  <c r="J914" i="4" s="1"/>
  <c r="J913" i="4" a="1"/>
  <c r="J913" i="4" s="1"/>
  <c r="J912" i="4" a="1"/>
  <c r="J912" i="4" s="1"/>
  <c r="J911" i="4" a="1"/>
  <c r="J911" i="4" s="1"/>
  <c r="J905" i="4" a="1"/>
  <c r="J905" i="4" s="1"/>
  <c r="J899" i="4" a="1"/>
  <c r="J899" i="4" s="1"/>
  <c r="J878" i="4" a="1"/>
  <c r="J878" i="4" s="1"/>
  <c r="J872" i="4" a="1"/>
  <c r="J872" i="4" s="1"/>
  <c r="J873" i="4" a="1"/>
  <c r="J873" i="4" s="1"/>
  <c r="J871" i="4" a="1"/>
  <c r="J871" i="4" s="1"/>
  <c r="J870" i="4" a="1"/>
  <c r="J870" i="4" s="1"/>
  <c r="J851" i="4" a="1"/>
  <c r="J851" i="4" s="1"/>
  <c r="J850" i="4" a="1"/>
  <c r="J850" i="4" s="1"/>
  <c r="J849" i="4" a="1"/>
  <c r="J849" i="4" s="1"/>
  <c r="J848" i="4" a="1"/>
  <c r="J848" i="4" s="1"/>
  <c r="J835" i="4" a="1"/>
  <c r="J835" i="4" s="1"/>
  <c r="J831" i="4" a="1"/>
  <c r="J831" i="4" s="1"/>
  <c r="J830" i="4" a="1"/>
  <c r="J830" i="4" s="1"/>
  <c r="J829" i="4" a="1"/>
  <c r="J829" i="4" s="1"/>
  <c r="J828" i="4" a="1"/>
  <c r="J828" i="4" s="1"/>
  <c r="J827" i="4" a="1"/>
  <c r="J827" i="4" s="1"/>
  <c r="J826" i="4" a="1"/>
  <c r="J826" i="4" s="1"/>
  <c r="J825" i="4" a="1"/>
  <c r="J825" i="4" s="1"/>
  <c r="J821" i="4" a="1"/>
  <c r="J821" i="4" s="1"/>
  <c r="J820" i="4" a="1"/>
  <c r="J820" i="4" s="1"/>
  <c r="J819" i="4" a="1"/>
  <c r="J819" i="4" s="1"/>
  <c r="J818" i="4" a="1"/>
  <c r="J818" i="4" s="1"/>
  <c r="J817" i="4" a="1"/>
  <c r="J817" i="4" s="1"/>
  <c r="J816" i="4" a="1"/>
  <c r="J816" i="4" s="1"/>
  <c r="J815" i="4" a="1"/>
  <c r="J815" i="4" s="1"/>
  <c r="J811" i="4" a="1"/>
  <c r="J811" i="4" s="1"/>
  <c r="J809" i="4" a="1"/>
  <c r="J809" i="4" s="1"/>
  <c r="J808" i="4" a="1"/>
  <c r="J808" i="4" s="1"/>
  <c r="J807" i="4" a="1"/>
  <c r="J807" i="4" s="1"/>
  <c r="J803" i="4" a="1"/>
  <c r="J803" i="4" s="1"/>
  <c r="J802" i="4" a="1"/>
  <c r="J802" i="4" s="1"/>
  <c r="J801" i="4" a="1"/>
  <c r="J801" i="4" s="1"/>
  <c r="J798" i="4" a="1"/>
  <c r="J798" i="4" s="1"/>
  <c r="J763" i="4" a="1"/>
  <c r="J763" i="4" s="1"/>
  <c r="J760" i="4" a="1"/>
  <c r="J760" i="4" s="1"/>
  <c r="J758" i="4" a="1"/>
  <c r="J758" i="4" s="1"/>
  <c r="J757" i="4" a="1"/>
  <c r="J757" i="4" s="1"/>
  <c r="J741" i="4" a="1"/>
  <c r="J741" i="4" s="1"/>
  <c r="J740" i="4" a="1"/>
  <c r="J740" i="4" s="1"/>
  <c r="J739" i="4" a="1"/>
  <c r="J739" i="4" s="1"/>
  <c r="J736" i="4" a="1"/>
  <c r="J736" i="4" s="1"/>
  <c r="J735" i="4" a="1"/>
  <c r="J735" i="4" s="1"/>
  <c r="J723" i="4" a="1"/>
  <c r="J723" i="4" s="1"/>
  <c r="J722" i="4" a="1"/>
  <c r="J722" i="4" s="1"/>
  <c r="J721" i="4" a="1"/>
  <c r="J721" i="4" s="1"/>
  <c r="J507" i="4" a="1"/>
  <c r="J507" i="4" s="1"/>
  <c r="J506" i="4" a="1"/>
  <c r="J506" i="4" s="1"/>
  <c r="J505" i="4" a="1"/>
  <c r="J505" i="4" s="1"/>
  <c r="J504" i="4" a="1"/>
  <c r="J504" i="4" s="1"/>
  <c r="J503" i="4" a="1"/>
  <c r="J503" i="4" s="1"/>
  <c r="J502" i="4" a="1"/>
  <c r="J502" i="4" s="1"/>
  <c r="J501" i="4" a="1"/>
  <c r="J501" i="4" s="1"/>
  <c r="J500" i="4" a="1"/>
  <c r="J500" i="4" s="1"/>
  <c r="J499" i="4" a="1"/>
  <c r="J499" i="4" s="1"/>
  <c r="J498" i="4" a="1"/>
  <c r="J498" i="4" s="1"/>
  <c r="J497" i="4" a="1"/>
  <c r="J497" i="4" s="1"/>
  <c r="J487" i="4" a="1"/>
  <c r="J487" i="4" s="1"/>
  <c r="J488" i="4" a="1"/>
  <c r="J488" i="4" s="1"/>
  <c r="J489" i="4" a="1"/>
  <c r="J489" i="4" s="1"/>
  <c r="J490" i="4" a="1"/>
  <c r="J490" i="4" s="1"/>
  <c r="J484" i="4" a="1"/>
  <c r="J484" i="4" s="1"/>
  <c r="J483" i="4" a="1"/>
  <c r="J483" i="4" s="1"/>
  <c r="J482" i="4" a="1"/>
  <c r="J482" i="4" s="1"/>
  <c r="J481" i="4" a="1"/>
  <c r="J481" i="4" s="1"/>
  <c r="J478" i="4" a="1"/>
  <c r="J478" i="4" s="1"/>
  <c r="J477" i="4" a="1"/>
  <c r="J477" i="4" s="1"/>
  <c r="J476" i="4" a="1"/>
  <c r="J476" i="4" s="1"/>
  <c r="J469" i="4" a="1"/>
  <c r="J469" i="4" s="1"/>
  <c r="J470" i="4" a="1"/>
  <c r="J470" i="4" s="1"/>
  <c r="J471" i="4" a="1"/>
  <c r="J471" i="4" s="1"/>
  <c r="J468" i="4" a="1"/>
  <c r="J468" i="4" s="1"/>
  <c r="J467" i="4" a="1"/>
  <c r="J467" i="4" s="1"/>
  <c r="J466" i="4" a="1"/>
  <c r="J466" i="4" s="1"/>
  <c r="J465" i="4" a="1"/>
  <c r="J465" i="4" s="1"/>
  <c r="J457" i="4" a="1"/>
  <c r="J457" i="4" s="1"/>
  <c r="J458" i="4" a="1"/>
  <c r="J458" i="4" s="1"/>
  <c r="J459" i="4" a="1"/>
  <c r="J459" i="4" s="1"/>
  <c r="J456" i="4" a="1"/>
  <c r="J456" i="4" s="1"/>
  <c r="J450" i="4" a="1"/>
  <c r="J450" i="4" s="1"/>
  <c r="J451" i="4" a="1"/>
  <c r="J451" i="4" s="1"/>
  <c r="J449" i="4" a="1"/>
  <c r="J449" i="4" s="1"/>
  <c r="J448" i="4" a="1"/>
  <c r="J448" i="4" s="1"/>
  <c r="J447" i="4" a="1"/>
  <c r="J447" i="4" s="1"/>
  <c r="J446" i="4" a="1"/>
  <c r="J446" i="4" s="1"/>
  <c r="J445" i="4" a="1"/>
  <c r="J445" i="4" s="1"/>
  <c r="J444" i="4" a="1"/>
  <c r="J444" i="4" s="1"/>
  <c r="J443" i="4" a="1"/>
  <c r="J443" i="4" s="1"/>
  <c r="J442" i="4" a="1"/>
  <c r="J442" i="4" s="1"/>
  <c r="J431" i="4" a="1"/>
  <c r="J431" i="4" s="1"/>
  <c r="J432" i="4" a="1"/>
  <c r="J432" i="4" s="1"/>
  <c r="J433" i="4" a="1"/>
  <c r="J433" i="4" s="1"/>
  <c r="J434" i="4" a="1"/>
  <c r="J434" i="4" s="1"/>
  <c r="J435" i="4" a="1"/>
  <c r="J435" i="4" s="1"/>
  <c r="J436" i="4" a="1"/>
  <c r="J436" i="4" s="1"/>
  <c r="J437" i="4" a="1"/>
  <c r="J437" i="4" s="1"/>
  <c r="J430" i="4" a="1"/>
  <c r="J430" i="4" s="1"/>
  <c r="J413" i="4" a="1"/>
  <c r="J413" i="4" s="1"/>
  <c r="J414" i="4" a="1"/>
  <c r="J414" i="4" s="1"/>
  <c r="J416" i="4" a="1"/>
  <c r="J416" i="4" s="1"/>
  <c r="J417" i="4" a="1"/>
  <c r="J417" i="4" s="1"/>
  <c r="J418" i="4" a="1"/>
  <c r="J418" i="4" s="1"/>
  <c r="J419" i="4" a="1"/>
  <c r="J419" i="4" s="1"/>
  <c r="J421" i="4" a="1"/>
  <c r="J421" i="4" s="1"/>
  <c r="J422" i="4" a="1"/>
  <c r="J422" i="4" s="1"/>
  <c r="J423" i="4" a="1"/>
  <c r="J423" i="4" s="1"/>
  <c r="J424" i="4" a="1"/>
  <c r="J424" i="4" s="1"/>
  <c r="J412" i="4" a="1"/>
  <c r="J412" i="4" s="1"/>
  <c r="J177" i="4" a="1"/>
  <c r="J177" i="4" s="1"/>
  <c r="J178" i="4" a="1"/>
  <c r="J178" i="4" s="1"/>
  <c r="J179" i="4" a="1"/>
  <c r="J179" i="4" s="1"/>
  <c r="J180" i="4" a="1"/>
  <c r="J180" i="4" s="1"/>
  <c r="J181" i="4" a="1"/>
  <c r="J181" i="4" s="1"/>
  <c r="J182" i="4" a="1"/>
  <c r="J182" i="4" s="1"/>
  <c r="J183" i="4" a="1"/>
  <c r="J183" i="4" s="1"/>
  <c r="J184" i="4" a="1"/>
  <c r="J184" i="4" s="1"/>
  <c r="J185" i="4" a="1"/>
  <c r="J185" i="4" s="1"/>
  <c r="J186" i="4" a="1"/>
  <c r="J186" i="4" s="1"/>
  <c r="J187" i="4" a="1"/>
  <c r="J187" i="4" s="1"/>
  <c r="J188" i="4" a="1"/>
  <c r="J188" i="4" s="1"/>
  <c r="J189" i="4" a="1"/>
  <c r="J189" i="4" s="1"/>
  <c r="J190" i="4" a="1"/>
  <c r="J190" i="4" s="1"/>
  <c r="J191" i="4" a="1"/>
  <c r="J191" i="4" s="1"/>
  <c r="J192" i="4" a="1"/>
  <c r="J192" i="4" s="1"/>
  <c r="J193" i="4" a="1"/>
  <c r="J193" i="4" s="1"/>
  <c r="J194" i="4" a="1"/>
  <c r="J194" i="4" s="1"/>
  <c r="J195" i="4" a="1"/>
  <c r="J195" i="4" s="1"/>
  <c r="J196" i="4" a="1"/>
  <c r="J196" i="4" s="1"/>
  <c r="J197" i="4" a="1"/>
  <c r="J197" i="4" s="1"/>
  <c r="J152" i="4" a="1"/>
  <c r="J152" i="4" s="1"/>
  <c r="J153" i="4" a="1"/>
  <c r="J153" i="4" s="1"/>
  <c r="J154" i="4" a="1"/>
  <c r="J154" i="4" s="1"/>
  <c r="J155" i="4" a="1"/>
  <c r="J155" i="4" s="1"/>
  <c r="J156" i="4" a="1"/>
  <c r="J156" i="4" s="1"/>
  <c r="J157" i="4" a="1"/>
  <c r="J157" i="4" s="1"/>
  <c r="J158" i="4" a="1"/>
  <c r="J158" i="4" s="1"/>
  <c r="J159" i="4" a="1"/>
  <c r="J159" i="4" s="1"/>
  <c r="J160" i="4" a="1"/>
  <c r="J160" i="4" s="1"/>
  <c r="J161" i="4" a="1"/>
  <c r="J161" i="4" s="1"/>
  <c r="J162" i="4" a="1"/>
  <c r="J162" i="4" s="1"/>
  <c r="J163" i="4" a="1"/>
  <c r="J163" i="4" s="1"/>
  <c r="J164" i="4" a="1"/>
  <c r="J164" i="4" s="1"/>
  <c r="J165" i="4" a="1"/>
  <c r="J165" i="4" s="1"/>
  <c r="J166" i="4" a="1"/>
  <c r="J166" i="4" s="1"/>
  <c r="J167" i="4" a="1"/>
  <c r="J167" i="4" s="1"/>
  <c r="J168" i="4" a="1"/>
  <c r="J168" i="4" s="1"/>
  <c r="J169" i="4" a="1"/>
  <c r="J169" i="4" s="1"/>
  <c r="J170" i="4" a="1"/>
  <c r="J170" i="4" s="1"/>
  <c r="J171" i="4" a="1"/>
  <c r="J171" i="4" s="1"/>
  <c r="J172" i="4" a="1"/>
  <c r="J172" i="4" s="1"/>
  <c r="J173" i="4" a="1"/>
  <c r="J173" i="4" s="1"/>
  <c r="J174" i="4" a="1"/>
  <c r="J174" i="4" s="1"/>
  <c r="J175" i="4" a="1"/>
  <c r="J175" i="4" s="1"/>
  <c r="J176" i="4" a="1"/>
  <c r="J176" i="4" s="1"/>
  <c r="J151" i="4" a="1"/>
  <c r="J151" i="4" s="1"/>
  <c r="J115" i="4" a="1"/>
  <c r="J115" i="4" s="1"/>
  <c r="J116" i="4" a="1"/>
  <c r="J116" i="4" s="1"/>
  <c r="J117" i="4" a="1"/>
  <c r="J117" i="4" s="1"/>
  <c r="J118" i="4" a="1"/>
  <c r="J118" i="4" s="1"/>
  <c r="J119" i="4" a="1"/>
  <c r="J119" i="4" s="1"/>
  <c r="J120" i="4" a="1"/>
  <c r="J120" i="4" s="1"/>
  <c r="J121" i="4" a="1"/>
  <c r="J121" i="4" s="1"/>
  <c r="J122" i="4" a="1"/>
  <c r="J122" i="4" s="1"/>
  <c r="J123" i="4" a="1"/>
  <c r="J123" i="4" s="1"/>
  <c r="J124" i="4" a="1"/>
  <c r="J124" i="4" s="1"/>
  <c r="J125" i="4" a="1"/>
  <c r="J125" i="4" s="1"/>
  <c r="J126" i="4" a="1"/>
  <c r="J126" i="4" s="1"/>
  <c r="J127" i="4" a="1"/>
  <c r="J127" i="4" s="1"/>
  <c r="J128" i="4" a="1"/>
  <c r="J128" i="4" s="1"/>
  <c r="J129" i="4" a="1"/>
  <c r="J129" i="4" s="1"/>
  <c r="J130" i="4" a="1"/>
  <c r="J130" i="4" s="1"/>
  <c r="J131" i="4" a="1"/>
  <c r="J131" i="4" s="1"/>
  <c r="J132" i="4" a="1"/>
  <c r="J132" i="4" s="1"/>
  <c r="J133" i="4" a="1"/>
  <c r="J133" i="4" s="1"/>
  <c r="J134" i="4" a="1"/>
  <c r="J134" i="4" s="1"/>
  <c r="J135" i="4" a="1"/>
  <c r="J135" i="4" s="1"/>
  <c r="J136" i="4" a="1"/>
  <c r="J136" i="4" s="1"/>
  <c r="J137" i="4" a="1"/>
  <c r="J137" i="4" s="1"/>
  <c r="J138" i="4" a="1"/>
  <c r="J138" i="4" s="1"/>
  <c r="J139" i="4" a="1"/>
  <c r="J139" i="4" s="1"/>
  <c r="J140" i="4" a="1"/>
  <c r="J140" i="4" s="1"/>
  <c r="J141" i="4" a="1"/>
  <c r="J141" i="4" s="1"/>
  <c r="J142" i="4" a="1"/>
  <c r="J142" i="4" s="1"/>
  <c r="J143" i="4" a="1"/>
  <c r="J143" i="4" s="1"/>
  <c r="J144" i="4" a="1"/>
  <c r="J144" i="4" s="1"/>
  <c r="J145" i="4" a="1"/>
  <c r="J145" i="4" s="1"/>
  <c r="J146" i="4" a="1"/>
  <c r="J146" i="4" s="1"/>
  <c r="J147" i="4" a="1"/>
  <c r="J147" i="4" s="1"/>
  <c r="J114" i="4" a="1"/>
  <c r="J114" i="4" s="1"/>
  <c r="J89" i="4" a="1"/>
  <c r="J89" i="4" s="1"/>
  <c r="J90" i="4" a="1"/>
  <c r="J90" i="4" s="1"/>
  <c r="J91" i="4" a="1"/>
  <c r="J91" i="4" s="1"/>
  <c r="J92" i="4" a="1"/>
  <c r="J92" i="4" s="1"/>
  <c r="J93" i="4" a="1"/>
  <c r="J93" i="4" s="1"/>
  <c r="J94" i="4" a="1"/>
  <c r="J94" i="4" s="1"/>
  <c r="J95" i="4" a="1"/>
  <c r="J95" i="4" s="1"/>
  <c r="J96" i="4" a="1"/>
  <c r="J96" i="4" s="1"/>
  <c r="J97" i="4" a="1"/>
  <c r="J97" i="4" s="1"/>
  <c r="J98" i="4" a="1"/>
  <c r="J98" i="4" s="1"/>
  <c r="J99" i="4" a="1"/>
  <c r="J99" i="4" s="1"/>
  <c r="J100" i="4" a="1"/>
  <c r="J100" i="4" s="1"/>
  <c r="J101" i="4" a="1"/>
  <c r="J101" i="4" s="1"/>
  <c r="J102" i="4" a="1"/>
  <c r="J102" i="4" s="1"/>
  <c r="J103" i="4" a="1"/>
  <c r="J103" i="4" s="1"/>
  <c r="J104" i="4" a="1"/>
  <c r="J104" i="4" s="1"/>
  <c r="J105" i="4" a="1"/>
  <c r="J105" i="4" s="1"/>
  <c r="J106" i="4" a="1"/>
  <c r="J106" i="4" s="1"/>
  <c r="J107" i="4" a="1"/>
  <c r="J107" i="4" s="1"/>
  <c r="J108" i="4" a="1"/>
  <c r="J108" i="4" s="1"/>
  <c r="J109" i="4" a="1"/>
  <c r="J109" i="4" s="1"/>
  <c r="J110" i="4" a="1"/>
  <c r="J110" i="4" s="1"/>
  <c r="J88" i="4" a="1"/>
  <c r="J88" i="4" s="1"/>
  <c r="J71" i="4" a="1"/>
  <c r="J71" i="4" s="1"/>
  <c r="J72" i="4" a="1"/>
  <c r="J72" i="4" s="1"/>
  <c r="J73" i="4" a="1"/>
  <c r="J73" i="4" s="1"/>
  <c r="J74" i="4" a="1"/>
  <c r="J74" i="4" s="1"/>
  <c r="J75" i="4" a="1"/>
  <c r="J75" i="4" s="1"/>
  <c r="J76" i="4" a="1"/>
  <c r="J76" i="4" s="1"/>
  <c r="J77" i="4" a="1"/>
  <c r="J77" i="4" s="1"/>
  <c r="J78" i="4" a="1"/>
  <c r="J78" i="4" s="1"/>
  <c r="J79" i="4" a="1"/>
  <c r="J79" i="4" s="1"/>
  <c r="J80" i="4" a="1"/>
  <c r="J80" i="4" s="1"/>
  <c r="J81" i="4" a="1"/>
  <c r="J81" i="4" s="1"/>
  <c r="J82" i="4" a="1"/>
  <c r="J82" i="4" s="1"/>
  <c r="J70" i="4" a="1"/>
  <c r="J70" i="4" s="1"/>
  <c r="J33" i="4" a="1"/>
  <c r="J33" i="4" s="1"/>
  <c r="J34" i="4" a="1"/>
  <c r="J34" i="4" s="1"/>
  <c r="J35" i="4" a="1"/>
  <c r="J35" i="4" s="1"/>
  <c r="J36" i="4" a="1"/>
  <c r="J36" i="4" s="1"/>
  <c r="J37" i="4" a="1"/>
  <c r="J37" i="4" s="1"/>
  <c r="J38" i="4" a="1"/>
  <c r="J38" i="4" s="1"/>
  <c r="J39" i="4" a="1"/>
  <c r="J39" i="4" s="1"/>
  <c r="J40" i="4" a="1"/>
  <c r="J40" i="4" s="1"/>
  <c r="J41" i="4" a="1"/>
  <c r="J41" i="4" s="1"/>
  <c r="J42" i="4" a="1"/>
  <c r="J42" i="4" s="1"/>
  <c r="J43" i="4" a="1"/>
  <c r="J43" i="4" s="1"/>
  <c r="J44" i="4" a="1"/>
  <c r="J44" i="4" s="1"/>
  <c r="J45" i="4" a="1"/>
  <c r="J45" i="4" s="1"/>
  <c r="J46" i="4" a="1"/>
  <c r="J46" i="4" s="1"/>
  <c r="J47" i="4" a="1"/>
  <c r="J47" i="4" s="1"/>
  <c r="J48" i="4" a="1"/>
  <c r="J48" i="4" s="1"/>
  <c r="J49" i="4" a="1"/>
  <c r="J49" i="4" s="1"/>
  <c r="J50" i="4" a="1"/>
  <c r="J50" i="4" s="1"/>
  <c r="J51" i="4" a="1"/>
  <c r="J51" i="4" s="1"/>
  <c r="J52" i="4" a="1"/>
  <c r="J52" i="4" s="1"/>
  <c r="J53" i="4" a="1"/>
  <c r="J53" i="4" s="1"/>
  <c r="J54" i="4" a="1"/>
  <c r="J54" i="4" s="1"/>
  <c r="J55" i="4" a="1"/>
  <c r="J55" i="4" s="1"/>
  <c r="J56" i="4" a="1"/>
  <c r="J56" i="4" s="1"/>
  <c r="J57" i="4" a="1"/>
  <c r="J57" i="4" s="1"/>
  <c r="J58" i="4" a="1"/>
  <c r="J58" i="4" s="1"/>
  <c r="J59" i="4" a="1"/>
  <c r="J59" i="4" s="1"/>
  <c r="J60" i="4" a="1"/>
  <c r="J60" i="4" s="1"/>
  <c r="J61" i="4" a="1"/>
  <c r="J61" i="4" s="1"/>
  <c r="J62" i="4" a="1"/>
  <c r="J62" i="4" s="1"/>
  <c r="J63" i="4" a="1"/>
  <c r="J63" i="4" s="1"/>
  <c r="J64" i="4" a="1"/>
  <c r="J64" i="4" s="1"/>
  <c r="J65" i="4" a="1"/>
  <c r="J65" i="4" s="1"/>
  <c r="J5" i="4" a="1"/>
  <c r="J5" i="4" s="1"/>
  <c r="J6" i="4" a="1"/>
  <c r="J6" i="4" s="1"/>
  <c r="J7" i="4" a="1"/>
  <c r="J7" i="4" s="1"/>
  <c r="J8" i="4" a="1"/>
  <c r="J8" i="4" s="1"/>
  <c r="J9" i="4" a="1"/>
  <c r="J9" i="4" s="1"/>
  <c r="J10" i="4" a="1"/>
  <c r="J10" i="4" s="1"/>
  <c r="J11" i="4" a="1"/>
  <c r="J11" i="4" s="1"/>
  <c r="J12" i="4" a="1"/>
  <c r="J12" i="4" s="1"/>
  <c r="J13" i="4" a="1"/>
  <c r="J13" i="4" s="1"/>
  <c r="J14" i="4" a="1"/>
  <c r="J14" i="4" s="1"/>
  <c r="J15" i="4" a="1"/>
  <c r="J15" i="4" s="1"/>
  <c r="J16" i="4" a="1"/>
  <c r="J16" i="4" s="1"/>
  <c r="J17" i="4" a="1"/>
  <c r="J17" i="4" s="1"/>
  <c r="J18" i="4" a="1"/>
  <c r="J18" i="4" s="1"/>
  <c r="J19" i="4" a="1"/>
  <c r="J19" i="4" s="1"/>
  <c r="J20" i="4" a="1"/>
  <c r="J20" i="4" s="1"/>
  <c r="J21" i="4" a="1"/>
  <c r="J21" i="4" s="1"/>
  <c r="J22" i="4" a="1"/>
  <c r="J22" i="4" s="1"/>
  <c r="J23" i="4" a="1"/>
  <c r="J23" i="4" s="1"/>
  <c r="J24" i="4" a="1"/>
  <c r="J24" i="4" s="1"/>
  <c r="J25" i="4" a="1"/>
  <c r="J25" i="4" s="1"/>
  <c r="J26" i="4" a="1"/>
  <c r="J26" i="4" s="1"/>
  <c r="J27" i="4" a="1"/>
  <c r="J27" i="4" s="1"/>
  <c r="J28" i="4" a="1"/>
  <c r="J28" i="4" s="1"/>
  <c r="J29" i="4" a="1"/>
  <c r="J29" i="4" s="1"/>
  <c r="J30" i="4" a="1"/>
  <c r="J30" i="4" s="1"/>
  <c r="J31" i="4" a="1"/>
  <c r="J31" i="4" s="1"/>
  <c r="J32" i="4" a="1"/>
  <c r="J32" i="4" s="1"/>
  <c r="J4" i="4" a="1"/>
  <c r="J4" i="4" s="1"/>
  <c r="K35" i="10"/>
  <c r="K35" i="10" a="1"/>
  <c r="K34" i="10"/>
  <c r="K34" i="10" a="1"/>
  <c r="K33" i="10" a="1"/>
  <c r="K33" i="10" s="1"/>
  <c r="K32" i="10"/>
  <c r="K32" i="10" a="1"/>
  <c r="K31" i="10"/>
  <c r="K31" i="10" a="1"/>
  <c r="K6" i="10" a="1"/>
  <c r="K6" i="10" s="1"/>
  <c r="K7" i="10" a="1"/>
  <c r="K7" i="10" s="1"/>
  <c r="K8" i="10" a="1"/>
  <c r="K8" i="10" s="1"/>
  <c r="K9" i="10" a="1"/>
  <c r="K9" i="10" s="1"/>
  <c r="K29" i="10"/>
  <c r="K29" i="10" a="1"/>
  <c r="K28" i="10" a="1"/>
  <c r="K28" i="10" s="1"/>
  <c r="K27" i="10" a="1"/>
  <c r="K27" i="10" s="1"/>
  <c r="K26" i="10"/>
  <c r="K26" i="10" a="1"/>
  <c r="K25" i="10"/>
  <c r="K25" i="10" a="1"/>
  <c r="K21" i="10" a="1"/>
  <c r="K21" i="10" s="1"/>
  <c r="K20" i="10" a="1"/>
  <c r="K20" i="10" s="1"/>
  <c r="K19" i="10" a="1"/>
  <c r="K19" i="10" s="1"/>
  <c r="K18" i="10" a="1"/>
  <c r="K18" i="10" s="1"/>
  <c r="K17" i="10" a="1"/>
  <c r="K17" i="10" s="1"/>
  <c r="K15" i="10" a="1"/>
  <c r="K15" i="10" s="1"/>
  <c r="K14" i="10" a="1"/>
  <c r="K14" i="10" s="1"/>
  <c r="K13" i="10" a="1"/>
  <c r="K13" i="10" s="1"/>
  <c r="K12" i="10" a="1"/>
  <c r="K12" i="10" s="1"/>
  <c r="K11" i="10" a="1"/>
  <c r="K11" i="10" s="1"/>
  <c r="K5" i="10" a="1"/>
  <c r="K5" i="10"/>
  <c r="W21" i="10"/>
  <c r="U21" i="10"/>
  <c r="R21" i="10"/>
  <c r="P21" i="10" s="1"/>
  <c r="M21" i="10"/>
  <c r="J21" i="10"/>
  <c r="B21" i="10" a="1"/>
  <c r="B21" i="10" s="1"/>
  <c r="C21" i="10" s="1"/>
  <c r="W20" i="10"/>
  <c r="U20" i="10"/>
  <c r="R20" i="10"/>
  <c r="P20" i="10" s="1"/>
  <c r="M20" i="10"/>
  <c r="J20" i="10"/>
  <c r="B20" i="10" a="1"/>
  <c r="B20" i="10" s="1"/>
  <c r="C20" i="10" s="1"/>
  <c r="W19" i="10"/>
  <c r="U19" i="10"/>
  <c r="R19" i="10"/>
  <c r="P19" i="10" s="1"/>
  <c r="M19" i="10"/>
  <c r="J19" i="10"/>
  <c r="B19" i="10" a="1"/>
  <c r="B19" i="10" s="1"/>
  <c r="C19" i="10" s="1"/>
  <c r="W18" i="10"/>
  <c r="U18" i="10"/>
  <c r="R18" i="10"/>
  <c r="P18" i="10" s="1"/>
  <c r="M18" i="10"/>
  <c r="J18" i="10"/>
  <c r="B18" i="10" a="1"/>
  <c r="B18" i="10" s="1"/>
  <c r="C18" i="10" s="1"/>
  <c r="W17" i="10"/>
  <c r="U17" i="10"/>
  <c r="R17" i="10"/>
  <c r="P17" i="10" s="1"/>
  <c r="M17" i="10"/>
  <c r="J17" i="10"/>
  <c r="B17" i="10" a="1"/>
  <c r="B17" i="10" s="1"/>
  <c r="C17" i="10" s="1"/>
  <c r="W15" i="10"/>
  <c r="U15" i="10"/>
  <c r="R15" i="10"/>
  <c r="P15" i="10" s="1"/>
  <c r="M15" i="10"/>
  <c r="J15" i="10"/>
  <c r="B15" i="10" a="1"/>
  <c r="B15" i="10" s="1"/>
  <c r="C15" i="10" s="1"/>
  <c r="W14" i="10"/>
  <c r="U14" i="10"/>
  <c r="R14" i="10"/>
  <c r="P14" i="10" s="1"/>
  <c r="M14" i="10"/>
  <c r="J14" i="10"/>
  <c r="B14" i="10" a="1"/>
  <c r="B14" i="10" s="1"/>
  <c r="C14" i="10" s="1"/>
  <c r="W13" i="10"/>
  <c r="U13" i="10"/>
  <c r="R13" i="10"/>
  <c r="P13" i="10" s="1"/>
  <c r="M13" i="10"/>
  <c r="J13" i="10"/>
  <c r="B13" i="10" a="1"/>
  <c r="B13" i="10" s="1"/>
  <c r="C13" i="10" s="1"/>
  <c r="W12" i="10"/>
  <c r="U12" i="10"/>
  <c r="R12" i="10"/>
  <c r="P12" i="10" s="1"/>
  <c r="M12" i="10"/>
  <c r="J12" i="10"/>
  <c r="B12" i="10" a="1"/>
  <c r="B12" i="10" s="1"/>
  <c r="C12" i="10" s="1"/>
  <c r="W11" i="10"/>
  <c r="U11" i="10"/>
  <c r="R11" i="10"/>
  <c r="P11" i="10" s="1"/>
  <c r="M11" i="10"/>
  <c r="J11" i="10"/>
  <c r="B11" i="10" a="1"/>
  <c r="B11" i="10" s="1"/>
  <c r="C11" i="10" s="1"/>
  <c r="W9" i="10"/>
  <c r="U9" i="10"/>
  <c r="R9" i="10"/>
  <c r="P9" i="10" s="1"/>
  <c r="M9" i="10"/>
  <c r="J9" i="10"/>
  <c r="B9" i="10" a="1"/>
  <c r="B9" i="10" s="1"/>
  <c r="C9" i="10" s="1"/>
  <c r="W8" i="10"/>
  <c r="U8" i="10"/>
  <c r="R8" i="10"/>
  <c r="P8" i="10"/>
  <c r="M8" i="10"/>
  <c r="J8" i="10"/>
  <c r="B8" i="10" a="1"/>
  <c r="B8" i="10" s="1"/>
  <c r="C8" i="10" s="1"/>
  <c r="W7" i="10"/>
  <c r="U7" i="10"/>
  <c r="R7" i="10"/>
  <c r="P7" i="10" s="1"/>
  <c r="M7" i="10"/>
  <c r="J7" i="10"/>
  <c r="B7" i="10" a="1"/>
  <c r="B7" i="10" s="1"/>
  <c r="C7" i="10" s="1"/>
  <c r="W6" i="10"/>
  <c r="U6" i="10"/>
  <c r="R6" i="10"/>
  <c r="P6" i="10" s="1"/>
  <c r="M6" i="10"/>
  <c r="J6" i="10"/>
  <c r="B6" i="10" a="1"/>
  <c r="B6" i="10" s="1"/>
  <c r="C6" i="10" s="1"/>
  <c r="W5" i="10"/>
  <c r="U5" i="10"/>
  <c r="R5" i="10"/>
  <c r="P5" i="10" s="1"/>
  <c r="M5" i="10"/>
  <c r="J5" i="10"/>
  <c r="B5" i="10" a="1"/>
  <c r="B5" i="10" s="1"/>
  <c r="C5" i="10" s="1"/>
  <c r="AA507" i="4"/>
  <c r="Y507" i="4"/>
  <c r="T507" i="4"/>
  <c r="Q507" i="4"/>
  <c r="N507" i="4"/>
  <c r="I507" i="4"/>
  <c r="F507" i="4"/>
  <c r="B507" i="4" s="1" a="1"/>
  <c r="B507" i="4" s="1"/>
  <c r="C507" i="4" s="1"/>
  <c r="AA506" i="4"/>
  <c r="Y506" i="4"/>
  <c r="T506" i="4"/>
  <c r="Q506" i="4"/>
  <c r="N506" i="4"/>
  <c r="I506" i="4"/>
  <c r="F506" i="4"/>
  <c r="B506" i="4" s="1" a="1"/>
  <c r="B506" i="4" s="1"/>
  <c r="C506" i="4" s="1"/>
  <c r="AA505" i="4"/>
  <c r="Y505" i="4"/>
  <c r="T505" i="4"/>
  <c r="Q505" i="4"/>
  <c r="N505" i="4"/>
  <c r="I505" i="4"/>
  <c r="F505" i="4"/>
  <c r="B505" i="4" s="1" a="1"/>
  <c r="B505" i="4" s="1"/>
  <c r="C505" i="4" s="1"/>
  <c r="AA503" i="4"/>
  <c r="Y503" i="4"/>
  <c r="T503" i="4"/>
  <c r="Q503" i="4"/>
  <c r="N503" i="4"/>
  <c r="I503" i="4"/>
  <c r="F503" i="4"/>
  <c r="B503" i="4" s="1" a="1"/>
  <c r="B503" i="4" s="1"/>
  <c r="C503" i="4" s="1"/>
  <c r="AA502" i="4"/>
  <c r="Y502" i="4"/>
  <c r="T502" i="4"/>
  <c r="Q502" i="4"/>
  <c r="N502" i="4"/>
  <c r="I502" i="4"/>
  <c r="F502" i="4"/>
  <c r="B502" i="4" s="1" a="1"/>
  <c r="B502" i="4" s="1"/>
  <c r="C502" i="4" s="1"/>
  <c r="AA501" i="4"/>
  <c r="Y501" i="4"/>
  <c r="T501" i="4"/>
  <c r="Q501" i="4"/>
  <c r="N501" i="4"/>
  <c r="I501" i="4"/>
  <c r="F501" i="4"/>
  <c r="B501" i="4" s="1" a="1"/>
  <c r="B501" i="4" s="1"/>
  <c r="C501" i="4" s="1"/>
  <c r="Q500" i="4"/>
  <c r="AA499" i="4"/>
  <c r="Y499" i="4"/>
  <c r="T499" i="4"/>
  <c r="Q499" i="4"/>
  <c r="N499" i="4"/>
  <c r="I499" i="4"/>
  <c r="F499" i="4"/>
  <c r="B499" i="4" s="1" a="1"/>
  <c r="B499" i="4" s="1"/>
  <c r="C499" i="4" s="1"/>
  <c r="AA498" i="4"/>
  <c r="Y498" i="4"/>
  <c r="T498" i="4"/>
  <c r="Q498" i="4"/>
  <c r="N498" i="4"/>
  <c r="I498" i="4"/>
  <c r="F498" i="4"/>
  <c r="B498" i="4" s="1" a="1"/>
  <c r="B498" i="4" s="1"/>
  <c r="C498" i="4" s="1"/>
  <c r="AA497" i="4"/>
  <c r="Y497" i="4"/>
  <c r="T497" i="4"/>
  <c r="Q497" i="4"/>
  <c r="N497" i="4"/>
  <c r="I497" i="4"/>
  <c r="F497" i="4"/>
  <c r="B497" i="4" s="1" a="1"/>
  <c r="B497" i="4" s="1"/>
  <c r="C497" i="4" s="1"/>
  <c r="C495" i="4"/>
  <c r="AJ353" i="4" l="1"/>
  <c r="AL353" i="4" s="1"/>
  <c r="AK353" i="4"/>
  <c r="AM353" i="4" s="1"/>
  <c r="AK352" i="4"/>
  <c r="AM352" i="4" s="1"/>
  <c r="AJ352" i="4"/>
  <c r="AL352" i="4" s="1"/>
  <c r="AJ345" i="4"/>
  <c r="AL345" i="4" s="1"/>
  <c r="AK345" i="4"/>
  <c r="AM345" i="4" s="1"/>
  <c r="AK346" i="4"/>
  <c r="AM346" i="4" s="1"/>
  <c r="AJ346" i="4"/>
  <c r="AL346" i="4" s="1"/>
  <c r="AK347" i="4"/>
  <c r="AM347" i="4" s="1"/>
  <c r="AJ347" i="4"/>
  <c r="AL347" i="4" s="1"/>
  <c r="AI501" i="4" a="1"/>
  <c r="AI501" i="4" s="1"/>
  <c r="AI499" i="4" a="1"/>
  <c r="AI499" i="4" s="1"/>
  <c r="AI506" i="4" a="1"/>
  <c r="AI506" i="4" s="1"/>
  <c r="AI300" i="4" a="1"/>
  <c r="AI300" i="4" s="1"/>
  <c r="AI301" i="4" a="1"/>
  <c r="AI301" i="4" s="1"/>
  <c r="AI505" i="4" a="1"/>
  <c r="AI505" i="4" s="1"/>
  <c r="AI302" i="4" a="1"/>
  <c r="AI302" i="4" s="1"/>
  <c r="AI503" i="4" a="1"/>
  <c r="AI503" i="4" s="1"/>
  <c r="AI294" i="4" a="1"/>
  <c r="AI294" i="4" s="1"/>
  <c r="AI295" i="4" a="1"/>
  <c r="AI295" i="4" s="1"/>
  <c r="AI296" i="4" a="1"/>
  <c r="AI296" i="4" s="1"/>
  <c r="AI306" i="4" a="1"/>
  <c r="AI306" i="4" s="1"/>
  <c r="AI307" i="4" a="1"/>
  <c r="AI307" i="4" s="1"/>
  <c r="AI308" i="4" a="1"/>
  <c r="AI308" i="4" s="1"/>
  <c r="AI498" i="4" a="1"/>
  <c r="AI498" i="4" s="1"/>
  <c r="AI507" i="4" a="1"/>
  <c r="AI507" i="4" s="1"/>
  <c r="AI502" i="4" a="1"/>
  <c r="AI502" i="4" s="1"/>
  <c r="AM356" i="4"/>
  <c r="AI497" i="4" a="1"/>
  <c r="AI497" i="4" s="1"/>
  <c r="AL356" i="4"/>
  <c r="AA471" i="4"/>
  <c r="Y471" i="4"/>
  <c r="T471" i="4"/>
  <c r="Q471" i="4"/>
  <c r="N471" i="4"/>
  <c r="I471" i="4"/>
  <c r="B471" i="4" a="1"/>
  <c r="B471" i="4" s="1"/>
  <c r="C471" i="4" s="1"/>
  <c r="AA470" i="4"/>
  <c r="Y470" i="4"/>
  <c r="T470" i="4"/>
  <c r="Q470" i="4"/>
  <c r="N470" i="4"/>
  <c r="I470" i="4"/>
  <c r="B470" i="4" a="1"/>
  <c r="B470" i="4" s="1"/>
  <c r="C470" i="4" s="1"/>
  <c r="AA469" i="4"/>
  <c r="Y469" i="4"/>
  <c r="T469" i="4"/>
  <c r="Q469" i="4"/>
  <c r="N469" i="4"/>
  <c r="I469" i="4"/>
  <c r="B469" i="4" a="1"/>
  <c r="B469" i="4" s="1"/>
  <c r="C469" i="4" s="1"/>
  <c r="AA467" i="4"/>
  <c r="Y467" i="4"/>
  <c r="T467" i="4"/>
  <c r="Q467" i="4"/>
  <c r="N467" i="4"/>
  <c r="I467" i="4"/>
  <c r="B467" i="4" a="1"/>
  <c r="B467" i="4" s="1"/>
  <c r="C467" i="4" s="1"/>
  <c r="AA466" i="4"/>
  <c r="Y466" i="4"/>
  <c r="T466" i="4"/>
  <c r="Q466" i="4"/>
  <c r="N466" i="4"/>
  <c r="I466" i="4"/>
  <c r="B466" i="4" a="1"/>
  <c r="B466" i="4" s="1"/>
  <c r="C466" i="4" s="1"/>
  <c r="AA465" i="4"/>
  <c r="Y465" i="4"/>
  <c r="T465" i="4"/>
  <c r="Q465" i="4"/>
  <c r="N465" i="4"/>
  <c r="I465" i="4"/>
  <c r="B465" i="4" a="1"/>
  <c r="B465" i="4" s="1"/>
  <c r="C465" i="4" s="1"/>
  <c r="C463" i="4"/>
  <c r="AA448" i="4"/>
  <c r="Y448" i="4"/>
  <c r="T448" i="4"/>
  <c r="Q448" i="4"/>
  <c r="N448" i="4"/>
  <c r="I448" i="4"/>
  <c r="B448" i="4" a="1"/>
  <c r="B448" i="4" s="1"/>
  <c r="C448" i="4" s="1"/>
  <c r="AA444" i="4"/>
  <c r="Y444" i="4"/>
  <c r="T444" i="4"/>
  <c r="Q444" i="4"/>
  <c r="N444" i="4"/>
  <c r="I444" i="4"/>
  <c r="B444" i="4" a="1"/>
  <c r="B444" i="4" s="1"/>
  <c r="C444" i="4" s="1"/>
  <c r="AK497" i="4" l="1"/>
  <c r="AM497" i="4" s="1"/>
  <c r="AJ497" i="4"/>
  <c r="AL497" i="4" s="1"/>
  <c r="AK295" i="4"/>
  <c r="AM295" i="4" s="1"/>
  <c r="AJ295" i="4"/>
  <c r="AL295" i="4" s="1"/>
  <c r="AJ506" i="4"/>
  <c r="AL506" i="4" s="1"/>
  <c r="AK506" i="4"/>
  <c r="AM506" i="4" s="1"/>
  <c r="AJ294" i="4"/>
  <c r="AK294" i="4"/>
  <c r="AK507" i="4"/>
  <c r="AM507" i="4" s="1"/>
  <c r="AJ507" i="4"/>
  <c r="AL507" i="4" s="1"/>
  <c r="AK502" i="4"/>
  <c r="AM502" i="4" s="1"/>
  <c r="AJ502" i="4"/>
  <c r="AL502" i="4" s="1"/>
  <c r="AK498" i="4"/>
  <c r="AM498" i="4" s="1"/>
  <c r="AJ498" i="4"/>
  <c r="AL498" i="4" s="1"/>
  <c r="AK302" i="4"/>
  <c r="AM302" i="4" s="1"/>
  <c r="AJ302" i="4"/>
  <c r="AL302" i="4" s="1"/>
  <c r="AJ501" i="4"/>
  <c r="AL501" i="4" s="1"/>
  <c r="AK501" i="4"/>
  <c r="AM501" i="4" s="1"/>
  <c r="AJ308" i="4"/>
  <c r="AL308" i="4" s="1"/>
  <c r="AK308" i="4"/>
  <c r="AM308" i="4" s="1"/>
  <c r="AK505" i="4"/>
  <c r="AM505" i="4" s="1"/>
  <c r="AJ505" i="4"/>
  <c r="AL505" i="4" s="1"/>
  <c r="AK307" i="4"/>
  <c r="AM307" i="4" s="1"/>
  <c r="AJ307" i="4"/>
  <c r="AL307" i="4" s="1"/>
  <c r="AK301" i="4"/>
  <c r="AM301" i="4" s="1"/>
  <c r="AJ301" i="4"/>
  <c r="AL301" i="4" s="1"/>
  <c r="AK503" i="4"/>
  <c r="AM503" i="4" s="1"/>
  <c r="AJ503" i="4"/>
  <c r="AL503" i="4" s="1"/>
  <c r="AK306" i="4"/>
  <c r="AM306" i="4" s="1"/>
  <c r="AJ306" i="4"/>
  <c r="AL306" i="4" s="1"/>
  <c r="AK300" i="4"/>
  <c r="AM300" i="4" s="1"/>
  <c r="AJ300" i="4"/>
  <c r="AL300" i="4" s="1"/>
  <c r="AK499" i="4"/>
  <c r="AM499" i="4" s="1"/>
  <c r="AJ499" i="4"/>
  <c r="AL499" i="4" s="1"/>
  <c r="AK296" i="4"/>
  <c r="AM296" i="4" s="1"/>
  <c r="AJ296" i="4"/>
  <c r="AL296" i="4" s="1"/>
  <c r="AI448" i="4" a="1"/>
  <c r="AI448" i="4" s="1"/>
  <c r="AI465" i="4" a="1"/>
  <c r="AI465" i="4" s="1"/>
  <c r="AI471" i="4" a="1"/>
  <c r="AI471" i="4" s="1"/>
  <c r="AI466" i="4" a="1"/>
  <c r="AI466" i="4" s="1"/>
  <c r="AL343" i="4"/>
  <c r="AM343" i="4"/>
  <c r="AI444" i="4" a="1"/>
  <c r="AI444" i="4" s="1"/>
  <c r="AI470" i="4" a="1"/>
  <c r="AI470" i="4" s="1"/>
  <c r="AI469" i="4" a="1"/>
  <c r="AI469" i="4" s="1"/>
  <c r="AI467" i="4" a="1"/>
  <c r="AI467" i="4" s="1"/>
  <c r="AA490" i="4"/>
  <c r="Y490" i="4"/>
  <c r="T490" i="4"/>
  <c r="Q490" i="4"/>
  <c r="N490" i="4"/>
  <c r="I490" i="4"/>
  <c r="F490" i="4"/>
  <c r="B490" i="4" s="1" a="1"/>
  <c r="B490" i="4" s="1"/>
  <c r="C490" i="4" s="1"/>
  <c r="AA489" i="4"/>
  <c r="Y489" i="4"/>
  <c r="T489" i="4"/>
  <c r="Q489" i="4"/>
  <c r="N489" i="4"/>
  <c r="I489" i="4"/>
  <c r="F489" i="4"/>
  <c r="B489" i="4" s="1" a="1"/>
  <c r="B489" i="4" s="1"/>
  <c r="C489" i="4" s="1"/>
  <c r="AA488" i="4"/>
  <c r="Y488" i="4"/>
  <c r="T488" i="4"/>
  <c r="Q488" i="4"/>
  <c r="N488" i="4"/>
  <c r="I488" i="4"/>
  <c r="F488" i="4"/>
  <c r="B488" i="4" s="1" a="1"/>
  <c r="B488" i="4" s="1"/>
  <c r="C488" i="4" s="1"/>
  <c r="AA484" i="4"/>
  <c r="Y484" i="4"/>
  <c r="T484" i="4"/>
  <c r="Q484" i="4"/>
  <c r="N484" i="4"/>
  <c r="I484" i="4"/>
  <c r="F484" i="4"/>
  <c r="B484" i="4" s="1" a="1"/>
  <c r="B484" i="4" s="1"/>
  <c r="C484" i="4" s="1"/>
  <c r="AA483" i="4"/>
  <c r="Y483" i="4"/>
  <c r="T483" i="4"/>
  <c r="Q483" i="4"/>
  <c r="N483" i="4"/>
  <c r="I483" i="4"/>
  <c r="F483" i="4"/>
  <c r="B483" i="4" s="1" a="1"/>
  <c r="B483" i="4" s="1"/>
  <c r="C483" i="4" s="1"/>
  <c r="AA482" i="4"/>
  <c r="Y482" i="4"/>
  <c r="T482" i="4"/>
  <c r="Q482" i="4"/>
  <c r="N482" i="4"/>
  <c r="I482" i="4"/>
  <c r="F482" i="4"/>
  <c r="B482" i="4" s="1" a="1"/>
  <c r="B482" i="4" s="1"/>
  <c r="C482" i="4" s="1"/>
  <c r="Q481" i="4"/>
  <c r="AA478" i="4"/>
  <c r="Y478" i="4"/>
  <c r="T478" i="4"/>
  <c r="Q478" i="4"/>
  <c r="N478" i="4"/>
  <c r="I478" i="4"/>
  <c r="F478" i="4"/>
  <c r="B478" i="4" s="1" a="1"/>
  <c r="B478" i="4" s="1"/>
  <c r="C478" i="4" s="1"/>
  <c r="AA477" i="4"/>
  <c r="Y477" i="4"/>
  <c r="T477" i="4"/>
  <c r="Q477" i="4"/>
  <c r="N477" i="4"/>
  <c r="I477" i="4"/>
  <c r="F477" i="4"/>
  <c r="B477" i="4" s="1" a="1"/>
  <c r="B477" i="4" s="1"/>
  <c r="C477" i="4" s="1"/>
  <c r="AA476" i="4"/>
  <c r="Y476" i="4"/>
  <c r="T476" i="4"/>
  <c r="Q476" i="4"/>
  <c r="N476" i="4"/>
  <c r="I476" i="4"/>
  <c r="F476" i="4"/>
  <c r="B476" i="4" s="1" a="1"/>
  <c r="B476" i="4" s="1"/>
  <c r="C476" i="4" s="1"/>
  <c r="AK292" i="4" l="1"/>
  <c r="AM294" i="4"/>
  <c r="AM292" i="4" s="1"/>
  <c r="AL294" i="4"/>
  <c r="AL292" i="4" s="1"/>
  <c r="AJ292" i="4"/>
  <c r="AJ465" i="4"/>
  <c r="AL465" i="4" s="1"/>
  <c r="AK465" i="4"/>
  <c r="AM465" i="4" s="1"/>
  <c r="AK467" i="4"/>
  <c r="AM467" i="4" s="1"/>
  <c r="AJ467" i="4"/>
  <c r="AL467" i="4" s="1"/>
  <c r="AJ448" i="4"/>
  <c r="AL448" i="4" s="1"/>
  <c r="AK448" i="4"/>
  <c r="AM448" i="4" s="1"/>
  <c r="AK469" i="4"/>
  <c r="AM469" i="4" s="1"/>
  <c r="AJ469" i="4"/>
  <c r="AL469" i="4" s="1"/>
  <c r="AK466" i="4"/>
  <c r="AM466" i="4" s="1"/>
  <c r="AJ466" i="4"/>
  <c r="AL466" i="4" s="1"/>
  <c r="AJ470" i="4"/>
  <c r="AL470" i="4" s="1"/>
  <c r="AK470" i="4"/>
  <c r="AM470" i="4" s="1"/>
  <c r="AJ471" i="4"/>
  <c r="AL471" i="4" s="1"/>
  <c r="AK471" i="4"/>
  <c r="AM471" i="4" s="1"/>
  <c r="AJ444" i="4"/>
  <c r="AL444" i="4" s="1"/>
  <c r="AK444" i="4"/>
  <c r="AM444" i="4" s="1"/>
  <c r="AI476" i="4" a="1"/>
  <c r="AI476" i="4" s="1"/>
  <c r="AI490" i="4" a="1"/>
  <c r="AI490" i="4" s="1"/>
  <c r="AI483" i="4" a="1"/>
  <c r="AI483" i="4" s="1"/>
  <c r="AI478" i="4" a="1"/>
  <c r="AI478" i="4" s="1"/>
  <c r="AI482" i="4" a="1"/>
  <c r="AI482" i="4" s="1"/>
  <c r="AI477" i="4" a="1"/>
  <c r="AI477" i="4" s="1"/>
  <c r="AI489" i="4" a="1"/>
  <c r="AI489" i="4" s="1"/>
  <c r="AI488" i="4" a="1"/>
  <c r="AI488" i="4" s="1"/>
  <c r="AL495" i="4"/>
  <c r="AI484" i="4" a="1"/>
  <c r="AI484" i="4" s="1"/>
  <c r="AM495" i="4"/>
  <c r="AA447" i="4"/>
  <c r="Y447" i="4"/>
  <c r="T447" i="4"/>
  <c r="Q447" i="4"/>
  <c r="N447" i="4"/>
  <c r="I447" i="4"/>
  <c r="B447" i="4" a="1"/>
  <c r="B447" i="4" s="1"/>
  <c r="C447" i="4" s="1"/>
  <c r="AA446" i="4"/>
  <c r="Y446" i="4"/>
  <c r="T446" i="4"/>
  <c r="Q446" i="4"/>
  <c r="N446" i="4"/>
  <c r="I446" i="4"/>
  <c r="B446" i="4" a="1"/>
  <c r="B446" i="4" s="1"/>
  <c r="C446" i="4" s="1"/>
  <c r="AA443" i="4"/>
  <c r="Y443" i="4"/>
  <c r="T443" i="4"/>
  <c r="Q443" i="4"/>
  <c r="N443" i="4"/>
  <c r="I443" i="4"/>
  <c r="B443" i="4" a="1"/>
  <c r="B443" i="4" s="1"/>
  <c r="C443" i="4" s="1"/>
  <c r="AA442" i="4"/>
  <c r="Y442" i="4"/>
  <c r="T442" i="4"/>
  <c r="Q442" i="4"/>
  <c r="N442" i="4"/>
  <c r="I442" i="4"/>
  <c r="B442" i="4" a="1"/>
  <c r="B442" i="4" s="1"/>
  <c r="C442" i="4" s="1"/>
  <c r="AA451" i="4"/>
  <c r="Y451" i="4"/>
  <c r="T451" i="4"/>
  <c r="Q451" i="4"/>
  <c r="N451" i="4"/>
  <c r="I451" i="4"/>
  <c r="F451" i="4"/>
  <c r="B451" i="4" s="1" a="1"/>
  <c r="B451" i="4" s="1"/>
  <c r="C451" i="4" s="1"/>
  <c r="AA450" i="4"/>
  <c r="Y450" i="4"/>
  <c r="T450" i="4"/>
  <c r="Q450" i="4"/>
  <c r="N450" i="4"/>
  <c r="I450" i="4"/>
  <c r="F450" i="4"/>
  <c r="B450" i="4" s="1" a="1"/>
  <c r="B450" i="4" s="1"/>
  <c r="C450" i="4" s="1"/>
  <c r="C440" i="4"/>
  <c r="AJ478" i="4" l="1"/>
  <c r="AL478" i="4" s="1"/>
  <c r="AK478" i="4"/>
  <c r="AM478" i="4" s="1"/>
  <c r="AJ483" i="4"/>
  <c r="AL483" i="4" s="1"/>
  <c r="AK483" i="4"/>
  <c r="AM483" i="4" s="1"/>
  <c r="AK484" i="4"/>
  <c r="AM484" i="4" s="1"/>
  <c r="AJ484" i="4"/>
  <c r="AL484" i="4" s="1"/>
  <c r="AK477" i="4"/>
  <c r="AM477" i="4" s="1"/>
  <c r="AJ477" i="4"/>
  <c r="AL477" i="4" s="1"/>
  <c r="AK490" i="4"/>
  <c r="AM490" i="4" s="1"/>
  <c r="AJ490" i="4"/>
  <c r="AL490" i="4" s="1"/>
  <c r="AJ488" i="4"/>
  <c r="AL488" i="4" s="1"/>
  <c r="AK488" i="4"/>
  <c r="AM488" i="4" s="1"/>
  <c r="AK476" i="4"/>
  <c r="AM476" i="4" s="1"/>
  <c r="AJ476" i="4"/>
  <c r="AL476" i="4" s="1"/>
  <c r="AK489" i="4"/>
  <c r="AM489" i="4" s="1"/>
  <c r="AJ489" i="4"/>
  <c r="AL489" i="4" s="1"/>
  <c r="AK482" i="4"/>
  <c r="AM482" i="4" s="1"/>
  <c r="AJ482" i="4"/>
  <c r="AL482" i="4" s="1"/>
  <c r="AI451" i="4" a="1"/>
  <c r="AI451" i="4" s="1"/>
  <c r="AM463" i="4"/>
  <c r="AI450" i="4" a="1"/>
  <c r="AI450" i="4" s="1"/>
  <c r="AI447" i="4" a="1"/>
  <c r="AI447" i="4" s="1"/>
  <c r="AL463" i="4"/>
  <c r="AI442" i="4" a="1"/>
  <c r="AI442" i="4" s="1"/>
  <c r="AI443" i="4" a="1"/>
  <c r="AI443" i="4" s="1"/>
  <c r="AI446" i="4" a="1"/>
  <c r="AI446" i="4" s="1"/>
  <c r="C474" i="4"/>
  <c r="AA459" i="4"/>
  <c r="Y459" i="4"/>
  <c r="T459" i="4"/>
  <c r="Q459" i="4"/>
  <c r="N459" i="4"/>
  <c r="I459" i="4"/>
  <c r="F459" i="4"/>
  <c r="B459" i="4" s="1" a="1"/>
  <c r="B459" i="4" s="1"/>
  <c r="C459" i="4" s="1"/>
  <c r="AK447" i="4" l="1"/>
  <c r="AM447" i="4" s="1"/>
  <c r="AJ447" i="4"/>
  <c r="AL447" i="4" s="1"/>
  <c r="AJ443" i="4"/>
  <c r="AL443" i="4" s="1"/>
  <c r="AK443" i="4"/>
  <c r="AM443" i="4" s="1"/>
  <c r="AK450" i="4"/>
  <c r="AM450" i="4" s="1"/>
  <c r="AJ450" i="4"/>
  <c r="AL450" i="4" s="1"/>
  <c r="AK446" i="4"/>
  <c r="AM446" i="4" s="1"/>
  <c r="AJ446" i="4"/>
  <c r="AL446" i="4" s="1"/>
  <c r="AK442" i="4"/>
  <c r="AM442" i="4" s="1"/>
  <c r="AJ442" i="4"/>
  <c r="AL442" i="4" s="1"/>
  <c r="AK451" i="4"/>
  <c r="AM451" i="4" s="1"/>
  <c r="AJ451" i="4"/>
  <c r="AL451" i="4" s="1"/>
  <c r="AL474" i="4"/>
  <c r="AI459" i="4" a="1"/>
  <c r="AI459" i="4" s="1"/>
  <c r="AM474" i="4"/>
  <c r="AA458" i="4"/>
  <c r="Y458" i="4"/>
  <c r="T458" i="4"/>
  <c r="Q458" i="4"/>
  <c r="N458" i="4"/>
  <c r="I458" i="4"/>
  <c r="F458" i="4"/>
  <c r="B458" i="4" s="1" a="1"/>
  <c r="B458" i="4" s="1"/>
  <c r="C458" i="4" s="1"/>
  <c r="AA457" i="4"/>
  <c r="Y457" i="4"/>
  <c r="T457" i="4"/>
  <c r="Q457" i="4"/>
  <c r="N457" i="4"/>
  <c r="I457" i="4"/>
  <c r="F457" i="4"/>
  <c r="B457" i="4" s="1" a="1"/>
  <c r="B457" i="4" s="1"/>
  <c r="C457" i="4" s="1"/>
  <c r="AA456" i="4"/>
  <c r="Y456" i="4"/>
  <c r="T456" i="4"/>
  <c r="Q456" i="4"/>
  <c r="N456" i="4"/>
  <c r="I456" i="4"/>
  <c r="F456" i="4"/>
  <c r="B456" i="4" s="1" a="1"/>
  <c r="B456" i="4" s="1"/>
  <c r="C456" i="4" s="1"/>
  <c r="C454" i="4"/>
  <c r="AA437" i="4"/>
  <c r="Y437" i="4"/>
  <c r="T437" i="4"/>
  <c r="Q437" i="4"/>
  <c r="N437" i="4"/>
  <c r="I437" i="4"/>
  <c r="F437" i="4"/>
  <c r="B437" i="4" s="1" a="1"/>
  <c r="B437" i="4" s="1"/>
  <c r="C437" i="4" s="1"/>
  <c r="AA436" i="4"/>
  <c r="Y436" i="4"/>
  <c r="T436" i="4"/>
  <c r="Q436" i="4"/>
  <c r="N436" i="4"/>
  <c r="I436" i="4"/>
  <c r="F436" i="4"/>
  <c r="B436" i="4" s="1" a="1"/>
  <c r="B436" i="4" s="1"/>
  <c r="C436" i="4" s="1"/>
  <c r="AA434" i="4"/>
  <c r="Y434" i="4"/>
  <c r="T434" i="4"/>
  <c r="Q434" i="4"/>
  <c r="N434" i="4"/>
  <c r="I434" i="4"/>
  <c r="B434" i="4" a="1"/>
  <c r="B434" i="4" s="1"/>
  <c r="C434" i="4" s="1"/>
  <c r="AA433" i="4"/>
  <c r="Y433" i="4"/>
  <c r="T433" i="4"/>
  <c r="Q433" i="4"/>
  <c r="N433" i="4"/>
  <c r="I433" i="4"/>
  <c r="B433" i="4" a="1"/>
  <c r="B433" i="4" s="1"/>
  <c r="C433" i="4" s="1"/>
  <c r="AA431" i="4"/>
  <c r="Y431" i="4"/>
  <c r="T431" i="4"/>
  <c r="Q431" i="4"/>
  <c r="N431" i="4"/>
  <c r="I431" i="4"/>
  <c r="B431" i="4" a="1"/>
  <c r="B431" i="4" s="1"/>
  <c r="C431" i="4" s="1"/>
  <c r="AA430" i="4"/>
  <c r="Y430" i="4"/>
  <c r="T430" i="4"/>
  <c r="Q430" i="4"/>
  <c r="N430" i="4"/>
  <c r="I430" i="4"/>
  <c r="B430" i="4" a="1"/>
  <c r="B430" i="4" s="1"/>
  <c r="C430" i="4" s="1"/>
  <c r="AA424" i="4"/>
  <c r="Y424" i="4"/>
  <c r="T424" i="4"/>
  <c r="Q424" i="4"/>
  <c r="N424" i="4"/>
  <c r="I424" i="4"/>
  <c r="F424" i="4"/>
  <c r="B424" i="4" s="1" a="1"/>
  <c r="B424" i="4" s="1"/>
  <c r="C424" i="4" s="1"/>
  <c r="AA423" i="4"/>
  <c r="Y423" i="4"/>
  <c r="T423" i="4"/>
  <c r="Q423" i="4"/>
  <c r="N423" i="4"/>
  <c r="I423" i="4"/>
  <c r="F423" i="4"/>
  <c r="B423" i="4" s="1" a="1"/>
  <c r="B423" i="4" s="1"/>
  <c r="C423" i="4" s="1"/>
  <c r="AA422" i="4"/>
  <c r="Y422" i="4"/>
  <c r="T422" i="4"/>
  <c r="Q422" i="4"/>
  <c r="N422" i="4"/>
  <c r="I422" i="4"/>
  <c r="F422" i="4"/>
  <c r="B422" i="4" s="1" a="1"/>
  <c r="B422" i="4" s="1"/>
  <c r="C422" i="4" s="1"/>
  <c r="AA419" i="4"/>
  <c r="Y419" i="4"/>
  <c r="T419" i="4"/>
  <c r="Q419" i="4"/>
  <c r="N419" i="4"/>
  <c r="I419" i="4"/>
  <c r="F419" i="4"/>
  <c r="B419" i="4" s="1" a="1"/>
  <c r="B419" i="4" s="1"/>
  <c r="C419" i="4" s="1"/>
  <c r="AA418" i="4"/>
  <c r="Y418" i="4"/>
  <c r="T418" i="4"/>
  <c r="Q418" i="4"/>
  <c r="N418" i="4"/>
  <c r="I418" i="4"/>
  <c r="F418" i="4"/>
  <c r="B418" i="4" s="1" a="1"/>
  <c r="B418" i="4" s="1"/>
  <c r="C418" i="4" s="1"/>
  <c r="AA417" i="4"/>
  <c r="Y417" i="4"/>
  <c r="T417" i="4"/>
  <c r="Q417" i="4"/>
  <c r="N417" i="4"/>
  <c r="I417" i="4"/>
  <c r="F417" i="4"/>
  <c r="B417" i="4" s="1" a="1"/>
  <c r="B417" i="4" s="1"/>
  <c r="C417" i="4" s="1"/>
  <c r="C428" i="4"/>
  <c r="Q416" i="4"/>
  <c r="AA414" i="4"/>
  <c r="Y414" i="4"/>
  <c r="T414" i="4"/>
  <c r="Q414" i="4"/>
  <c r="N414" i="4"/>
  <c r="I414" i="4"/>
  <c r="F414" i="4"/>
  <c r="B414" i="4" s="1" a="1"/>
  <c r="B414" i="4" s="1"/>
  <c r="C414" i="4" s="1"/>
  <c r="AA413" i="4"/>
  <c r="Y413" i="4"/>
  <c r="T413" i="4"/>
  <c r="Q413" i="4"/>
  <c r="N413" i="4"/>
  <c r="I413" i="4"/>
  <c r="F413" i="4"/>
  <c r="B413" i="4" s="1" a="1"/>
  <c r="B413" i="4" s="1"/>
  <c r="C413" i="4" s="1"/>
  <c r="AA412" i="4"/>
  <c r="Y412" i="4"/>
  <c r="T412" i="4"/>
  <c r="Q412" i="4"/>
  <c r="N412" i="4"/>
  <c r="I412" i="4"/>
  <c r="F412" i="4"/>
  <c r="B412" i="4" s="1" a="1"/>
  <c r="B412" i="4" s="1"/>
  <c r="C412" i="4" s="1"/>
  <c r="C410" i="4"/>
  <c r="AK459" i="4" l="1"/>
  <c r="AM459" i="4" s="1"/>
  <c r="AJ459" i="4"/>
  <c r="AL459" i="4" s="1"/>
  <c r="AI414" i="4" a="1"/>
  <c r="AI414" i="4" s="1"/>
  <c r="AI413" i="4" a="1"/>
  <c r="AI413" i="4" s="1"/>
  <c r="AI417" i="4" a="1"/>
  <c r="AI417" i="4" s="1"/>
  <c r="AI458" i="4" a="1"/>
  <c r="AI458" i="4" s="1"/>
  <c r="AI457" i="4" a="1"/>
  <c r="AI457" i="4" s="1"/>
  <c r="AL440" i="4"/>
  <c r="AI418" i="4" a="1"/>
  <c r="AI418" i="4" s="1"/>
  <c r="AI433" i="4" a="1"/>
  <c r="AI433" i="4" s="1"/>
  <c r="AI434" i="4" a="1"/>
  <c r="AI434" i="4" s="1"/>
  <c r="AI431" i="4" a="1"/>
  <c r="AI431" i="4" s="1"/>
  <c r="AI419" i="4" a="1"/>
  <c r="AI419" i="4" s="1"/>
  <c r="AI436" i="4" a="1"/>
  <c r="AI436" i="4" s="1"/>
  <c r="AM440" i="4"/>
  <c r="AI430" i="4" a="1"/>
  <c r="AI430" i="4" s="1"/>
  <c r="AI437" i="4" a="1"/>
  <c r="AI437" i="4" s="1"/>
  <c r="AI456" i="4" a="1"/>
  <c r="AI456" i="4" s="1"/>
  <c r="AI412" i="4" a="1"/>
  <c r="AI412" i="4" s="1"/>
  <c r="AI424" i="4" a="1"/>
  <c r="AI424" i="4" s="1"/>
  <c r="AI423" i="4" a="1"/>
  <c r="AI423" i="4" s="1"/>
  <c r="AI422" i="4" a="1"/>
  <c r="AI422" i="4" s="1"/>
  <c r="I918" i="4"/>
  <c r="I920" i="4"/>
  <c r="I878" i="4"/>
  <c r="I905" i="4"/>
  <c r="AA936" i="4"/>
  <c r="Y936" i="4"/>
  <c r="T936" i="4"/>
  <c r="Q936" i="4"/>
  <c r="N936" i="4"/>
  <c r="I936" i="4"/>
  <c r="F936" i="4"/>
  <c r="B936" i="4" s="1" a="1"/>
  <c r="B936" i="4" s="1"/>
  <c r="C936" i="4" s="1"/>
  <c r="AA935" i="4"/>
  <c r="Y935" i="4"/>
  <c r="T935" i="4"/>
  <c r="Q935" i="4"/>
  <c r="N935" i="4"/>
  <c r="I935" i="4"/>
  <c r="F935" i="4"/>
  <c r="B935" i="4" s="1" a="1"/>
  <c r="B935" i="4" s="1"/>
  <c r="C935" i="4" s="1"/>
  <c r="AA934" i="4"/>
  <c r="Y934" i="4"/>
  <c r="T934" i="4"/>
  <c r="Q934" i="4"/>
  <c r="N934" i="4"/>
  <c r="I934" i="4"/>
  <c r="F934" i="4"/>
  <c r="B934" i="4" s="1" a="1"/>
  <c r="B934" i="4" s="1"/>
  <c r="C934" i="4" s="1"/>
  <c r="Q933" i="4"/>
  <c r="AA932" i="4"/>
  <c r="Y932" i="4"/>
  <c r="T932" i="4"/>
  <c r="Q932" i="4"/>
  <c r="N932" i="4"/>
  <c r="I932" i="4"/>
  <c r="F932" i="4"/>
  <c r="B932" i="4" s="1" a="1"/>
  <c r="B932" i="4" s="1"/>
  <c r="C932" i="4" s="1"/>
  <c r="AA931" i="4"/>
  <c r="Y931" i="4"/>
  <c r="T931" i="4"/>
  <c r="Q931" i="4"/>
  <c r="N931" i="4"/>
  <c r="I931" i="4"/>
  <c r="F931" i="4"/>
  <c r="B931" i="4" s="1" a="1"/>
  <c r="B931" i="4" s="1"/>
  <c r="C931" i="4" s="1"/>
  <c r="AA930" i="4"/>
  <c r="Y930" i="4"/>
  <c r="T930" i="4"/>
  <c r="Q930" i="4"/>
  <c r="N930" i="4"/>
  <c r="I930" i="4"/>
  <c r="F930" i="4"/>
  <c r="B930" i="4" s="1" a="1"/>
  <c r="B930" i="4" s="1"/>
  <c r="C930" i="4" s="1"/>
  <c r="T922" i="4"/>
  <c r="T921" i="4"/>
  <c r="Q899" i="4"/>
  <c r="Q914" i="4"/>
  <c r="AA913" i="4"/>
  <c r="Y913" i="4"/>
  <c r="T913" i="4"/>
  <c r="Q913" i="4"/>
  <c r="N913" i="4"/>
  <c r="I913" i="4"/>
  <c r="F913" i="4"/>
  <c r="B913" i="4" s="1" a="1"/>
  <c r="B913" i="4" s="1"/>
  <c r="C913" i="4" s="1"/>
  <c r="AA912" i="4"/>
  <c r="Y912" i="4"/>
  <c r="T912" i="4"/>
  <c r="Q912" i="4"/>
  <c r="N912" i="4"/>
  <c r="I912" i="4"/>
  <c r="F912" i="4"/>
  <c r="B912" i="4" s="1" a="1"/>
  <c r="B912" i="4" s="1"/>
  <c r="C912" i="4" s="1"/>
  <c r="AA911" i="4"/>
  <c r="Y911" i="4"/>
  <c r="T911" i="4"/>
  <c r="Q911" i="4"/>
  <c r="N911" i="4"/>
  <c r="I911" i="4"/>
  <c r="F911" i="4"/>
  <c r="B911" i="4" s="1" a="1"/>
  <c r="B911" i="4" s="1"/>
  <c r="C911" i="4" s="1"/>
  <c r="AJ458" i="4" l="1"/>
  <c r="AL458" i="4" s="1"/>
  <c r="AK458" i="4"/>
  <c r="AM458" i="4" s="1"/>
  <c r="AK424" i="4"/>
  <c r="AM424" i="4" s="1"/>
  <c r="AJ424" i="4"/>
  <c r="AL424" i="4" s="1"/>
  <c r="AJ457" i="4"/>
  <c r="AL457" i="4" s="1"/>
  <c r="AK457" i="4"/>
  <c r="AM457" i="4" s="1"/>
  <c r="AJ417" i="4"/>
  <c r="AL417" i="4" s="1"/>
  <c r="AK417" i="4"/>
  <c r="AM417" i="4" s="1"/>
  <c r="AK412" i="4"/>
  <c r="AM412" i="4" s="1"/>
  <c r="AJ412" i="4"/>
  <c r="AL412" i="4" s="1"/>
  <c r="AK419" i="4"/>
  <c r="AM419" i="4" s="1"/>
  <c r="AJ419" i="4"/>
  <c r="AL419" i="4" s="1"/>
  <c r="AK431" i="4"/>
  <c r="AM431" i="4" s="1"/>
  <c r="AJ431" i="4"/>
  <c r="AL431" i="4" s="1"/>
  <c r="AK413" i="4"/>
  <c r="AM413" i="4" s="1"/>
  <c r="AJ413" i="4"/>
  <c r="AL413" i="4" s="1"/>
  <c r="AK456" i="4"/>
  <c r="AM456" i="4" s="1"/>
  <c r="AJ456" i="4"/>
  <c r="AL456" i="4" s="1"/>
  <c r="AJ434" i="4"/>
  <c r="AL434" i="4" s="1"/>
  <c r="AK434" i="4"/>
  <c r="AM434" i="4" s="1"/>
  <c r="AK414" i="4"/>
  <c r="AM414" i="4" s="1"/>
  <c r="AJ414" i="4"/>
  <c r="AL414" i="4" s="1"/>
  <c r="AK433" i="4"/>
  <c r="AM433" i="4" s="1"/>
  <c r="AJ433" i="4"/>
  <c r="AL433" i="4" s="1"/>
  <c r="AK422" i="4"/>
  <c r="AM422" i="4" s="1"/>
  <c r="AJ422" i="4"/>
  <c r="AL422" i="4" s="1"/>
  <c r="AK430" i="4"/>
  <c r="AM430" i="4" s="1"/>
  <c r="AJ430" i="4"/>
  <c r="AL430" i="4" s="1"/>
  <c r="AK418" i="4"/>
  <c r="AM418" i="4" s="1"/>
  <c r="AJ418" i="4"/>
  <c r="AL418" i="4" s="1"/>
  <c r="AJ436" i="4"/>
  <c r="AL436" i="4" s="1"/>
  <c r="AK436" i="4"/>
  <c r="AM436" i="4" s="1"/>
  <c r="AK437" i="4"/>
  <c r="AM437" i="4" s="1"/>
  <c r="AJ437" i="4"/>
  <c r="AL437" i="4" s="1"/>
  <c r="AK423" i="4"/>
  <c r="AM423" i="4" s="1"/>
  <c r="AJ423" i="4"/>
  <c r="AL423" i="4" s="1"/>
  <c r="AI912" i="4" a="1"/>
  <c r="AI912" i="4" s="1"/>
  <c r="AK912" i="4" s="1"/>
  <c r="AM912" i="4" s="1"/>
  <c r="AI913" i="4" a="1"/>
  <c r="AI913" i="4" s="1"/>
  <c r="AI911" i="4" a="1"/>
  <c r="AI911" i="4" s="1"/>
  <c r="Q923" i="4"/>
  <c r="AA922" i="4"/>
  <c r="Y922" i="4"/>
  <c r="Q922" i="4"/>
  <c r="N922" i="4"/>
  <c r="I922" i="4"/>
  <c r="F922" i="4"/>
  <c r="B922" i="4" s="1" a="1"/>
  <c r="B922" i="4" s="1"/>
  <c r="C922" i="4" s="1"/>
  <c r="AA921" i="4"/>
  <c r="Y921" i="4"/>
  <c r="Q921" i="4"/>
  <c r="N921" i="4"/>
  <c r="I921" i="4"/>
  <c r="F921" i="4"/>
  <c r="B921" i="4" s="1" a="1"/>
  <c r="B921" i="4" s="1"/>
  <c r="C921" i="4" s="1"/>
  <c r="AA920" i="4"/>
  <c r="Y920" i="4"/>
  <c r="T920" i="4"/>
  <c r="Q920" i="4"/>
  <c r="N920" i="4"/>
  <c r="F920" i="4"/>
  <c r="B920" i="4" s="1" a="1"/>
  <c r="B920" i="4" s="1"/>
  <c r="C920" i="4" s="1"/>
  <c r="AL454" i="4" l="1"/>
  <c r="AJ410" i="4"/>
  <c r="AK410" i="4"/>
  <c r="AM454" i="4"/>
  <c r="AJ912" i="4"/>
  <c r="AL912" i="4" s="1"/>
  <c r="AM428" i="4"/>
  <c r="AL428" i="4"/>
  <c r="AK911" i="4"/>
  <c r="AM911" i="4" s="1"/>
  <c r="AJ911" i="4"/>
  <c r="AL911" i="4" s="1"/>
  <c r="AJ913" i="4"/>
  <c r="AL913" i="4" s="1"/>
  <c r="AK913" i="4"/>
  <c r="AM913" i="4" s="1"/>
  <c r="AL410" i="4"/>
  <c r="AM410" i="4"/>
  <c r="AA918" i="4"/>
  <c r="Y918" i="4"/>
  <c r="T918" i="4"/>
  <c r="N918" i="4"/>
  <c r="F918" i="4"/>
  <c r="B918" i="4" s="1" a="1"/>
  <c r="B918" i="4" s="1"/>
  <c r="C918" i="4" s="1"/>
  <c r="C916" i="4"/>
  <c r="AA878" i="4"/>
  <c r="Y878" i="4"/>
  <c r="T878" i="4"/>
  <c r="N878" i="4"/>
  <c r="F878" i="4"/>
  <c r="B878" i="4" s="1" a="1"/>
  <c r="B878" i="4" s="1"/>
  <c r="C878" i="4" s="1"/>
  <c r="C876" i="4"/>
  <c r="C903" i="4"/>
  <c r="AA905" i="4"/>
  <c r="Y905" i="4"/>
  <c r="T905" i="4"/>
  <c r="N905" i="4"/>
  <c r="F905" i="4"/>
  <c r="B905" i="4" s="1" a="1"/>
  <c r="B905" i="4" s="1"/>
  <c r="C905" i="4" s="1"/>
  <c r="Q871" i="4" l="1"/>
  <c r="Q872" i="4"/>
  <c r="Q873" i="4"/>
  <c r="Q870" i="4"/>
  <c r="Q851" i="4"/>
  <c r="Q850" i="4"/>
  <c r="Q849" i="4"/>
  <c r="Q848" i="4"/>
  <c r="Q835" i="4"/>
  <c r="Q831" i="4"/>
  <c r="Q830" i="4"/>
  <c r="Q829" i="4"/>
  <c r="Q828" i="4"/>
  <c r="Q827" i="4"/>
  <c r="Q826" i="4"/>
  <c r="Q825" i="4"/>
  <c r="Q821" i="4"/>
  <c r="Q820" i="4"/>
  <c r="Q819" i="4"/>
  <c r="Q818" i="4"/>
  <c r="Q817" i="4"/>
  <c r="Q816" i="4"/>
  <c r="Q815" i="4"/>
  <c r="Q811" i="4"/>
  <c r="Q809" i="4"/>
  <c r="Q808" i="4"/>
  <c r="Q807" i="4"/>
  <c r="Q803" i="4"/>
  <c r="Q802" i="4"/>
  <c r="Q801" i="4"/>
  <c r="Q798" i="4"/>
  <c r="Q763" i="4"/>
  <c r="Q758" i="4"/>
  <c r="Q760" i="4"/>
  <c r="Q757" i="4"/>
  <c r="Q740" i="4"/>
  <c r="Q739" i="4"/>
  <c r="Q736" i="4"/>
  <c r="Q735" i="4"/>
  <c r="Q723" i="4"/>
  <c r="Q722" i="4"/>
  <c r="Q72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51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14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88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70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4" i="4"/>
  <c r="Y4" i="4"/>
  <c r="AA827" i="4"/>
  <c r="Y827" i="4"/>
  <c r="T827" i="4"/>
  <c r="N827" i="4"/>
  <c r="I827" i="4"/>
  <c r="F827" i="4"/>
  <c r="B827" i="4" s="1" a="1"/>
  <c r="B827" i="4" s="1"/>
  <c r="C827" i="4" s="1"/>
  <c r="AA809" i="4"/>
  <c r="Y809" i="4"/>
  <c r="T809" i="4"/>
  <c r="N809" i="4"/>
  <c r="I809" i="4"/>
  <c r="F809" i="4"/>
  <c r="B809" i="4" s="1" a="1"/>
  <c r="B809" i="4" s="1"/>
  <c r="C809" i="4" s="1"/>
  <c r="AA830" i="4"/>
  <c r="Y830" i="4"/>
  <c r="T830" i="4"/>
  <c r="N830" i="4"/>
  <c r="I830" i="4"/>
  <c r="B830" i="4" a="1"/>
  <c r="B830" i="4" s="1"/>
  <c r="C830" i="4" s="1"/>
  <c r="AA829" i="4"/>
  <c r="Y829" i="4"/>
  <c r="T829" i="4"/>
  <c r="N829" i="4"/>
  <c r="I829" i="4"/>
  <c r="B829" i="4" a="1"/>
  <c r="B829" i="4" s="1"/>
  <c r="C829" i="4" s="1"/>
  <c r="Y828" i="4"/>
  <c r="AA826" i="4"/>
  <c r="Y826" i="4"/>
  <c r="T826" i="4"/>
  <c r="N826" i="4"/>
  <c r="I826" i="4"/>
  <c r="F826" i="4"/>
  <c r="B826" i="4" s="1" a="1"/>
  <c r="B826" i="4" s="1"/>
  <c r="C826" i="4" s="1"/>
  <c r="AA825" i="4"/>
  <c r="Y825" i="4"/>
  <c r="T825" i="4"/>
  <c r="N825" i="4"/>
  <c r="I825" i="4"/>
  <c r="F825" i="4"/>
  <c r="B825" i="4" s="1" a="1"/>
  <c r="B825" i="4" s="1"/>
  <c r="C825" i="4" s="1"/>
  <c r="C823" i="4"/>
  <c r="AI826" i="4" l="1" a="1"/>
  <c r="AI826" i="4" s="1"/>
  <c r="AI825" i="4" a="1"/>
  <c r="AI825" i="4" s="1"/>
  <c r="AI827" i="4" a="1"/>
  <c r="AI827" i="4" s="1"/>
  <c r="AI809" i="4" a="1"/>
  <c r="AI809" i="4" s="1"/>
  <c r="AA808" i="4"/>
  <c r="Y808" i="4"/>
  <c r="T808" i="4"/>
  <c r="N808" i="4"/>
  <c r="I808" i="4"/>
  <c r="F808" i="4"/>
  <c r="B808" i="4" s="1" a="1"/>
  <c r="B808" i="4" s="1"/>
  <c r="C808" i="4" s="1"/>
  <c r="AA820" i="4"/>
  <c r="Y820" i="4"/>
  <c r="T820" i="4"/>
  <c r="N820" i="4"/>
  <c r="I820" i="4"/>
  <c r="F820" i="4"/>
  <c r="B820" i="4" s="1" a="1"/>
  <c r="B820" i="4" s="1"/>
  <c r="C820" i="4" s="1"/>
  <c r="AA819" i="4"/>
  <c r="Y819" i="4"/>
  <c r="T819" i="4"/>
  <c r="N819" i="4"/>
  <c r="I819" i="4"/>
  <c r="F819" i="4"/>
  <c r="B819" i="4" s="1" a="1"/>
  <c r="B819" i="4" s="1"/>
  <c r="C819" i="4" s="1"/>
  <c r="AA817" i="4"/>
  <c r="Y817" i="4"/>
  <c r="T817" i="4"/>
  <c r="N817" i="4"/>
  <c r="I817" i="4"/>
  <c r="F817" i="4"/>
  <c r="B817" i="4" s="1" a="1"/>
  <c r="B817" i="4" s="1"/>
  <c r="C817" i="4" s="1"/>
  <c r="AA816" i="4"/>
  <c r="Y816" i="4"/>
  <c r="T816" i="4"/>
  <c r="N816" i="4"/>
  <c r="I816" i="4"/>
  <c r="F816" i="4"/>
  <c r="B816" i="4" s="1" a="1"/>
  <c r="B816" i="4" s="1"/>
  <c r="C816" i="4" s="1"/>
  <c r="AA815" i="4"/>
  <c r="Y815" i="4"/>
  <c r="T815" i="4"/>
  <c r="N815" i="4"/>
  <c r="I815" i="4"/>
  <c r="F815" i="4"/>
  <c r="B815" i="4" s="1" a="1"/>
  <c r="B815" i="4" s="1"/>
  <c r="C815" i="4" s="1"/>
  <c r="C813" i="4"/>
  <c r="AI816" i="4" l="1" a="1"/>
  <c r="AI816" i="4" s="1"/>
  <c r="AK816" i="4" s="1"/>
  <c r="AM816" i="4" s="1"/>
  <c r="AI815" i="4" a="1"/>
  <c r="AI815" i="4" s="1"/>
  <c r="AI817" i="4" a="1"/>
  <c r="AI817" i="4" s="1"/>
  <c r="AK809" i="4"/>
  <c r="AM809" i="4" s="1"/>
  <c r="AJ809" i="4"/>
  <c r="AL809" i="4" s="1"/>
  <c r="AJ827" i="4"/>
  <c r="AL827" i="4" s="1"/>
  <c r="AK827" i="4"/>
  <c r="AM827" i="4" s="1"/>
  <c r="AK825" i="4"/>
  <c r="AM825" i="4" s="1"/>
  <c r="AJ825" i="4"/>
  <c r="AL825" i="4" s="1"/>
  <c r="AK826" i="4"/>
  <c r="AM826" i="4" s="1"/>
  <c r="AJ826" i="4"/>
  <c r="AL826" i="4" s="1"/>
  <c r="AI808" i="4" a="1"/>
  <c r="AI808" i="4" s="1"/>
  <c r="Y740" i="4"/>
  <c r="AA740" i="4"/>
  <c r="T740" i="4"/>
  <c r="N740" i="4"/>
  <c r="I740" i="4"/>
  <c r="B740" i="4" a="1"/>
  <c r="B740" i="4" s="1"/>
  <c r="C740" i="4" s="1"/>
  <c r="AA723" i="4"/>
  <c r="Y723" i="4"/>
  <c r="T723" i="4"/>
  <c r="N723" i="4"/>
  <c r="I723" i="4"/>
  <c r="F723" i="4"/>
  <c r="B723" i="4" s="1" a="1"/>
  <c r="B723" i="4" s="1"/>
  <c r="C723" i="4" s="1"/>
  <c r="AA722" i="4"/>
  <c r="Y722" i="4"/>
  <c r="T722" i="4"/>
  <c r="N722" i="4"/>
  <c r="I722" i="4"/>
  <c r="F722" i="4"/>
  <c r="B722" i="4" s="1" a="1"/>
  <c r="B722" i="4" s="1"/>
  <c r="C722" i="4" s="1"/>
  <c r="AA760" i="4"/>
  <c r="Y760" i="4"/>
  <c r="T760" i="4"/>
  <c r="N760" i="4"/>
  <c r="I760" i="4"/>
  <c r="F760" i="4"/>
  <c r="B760" i="4" s="1" a="1"/>
  <c r="B760" i="4" s="1"/>
  <c r="C760" i="4" s="1"/>
  <c r="AA758" i="4"/>
  <c r="Y758" i="4"/>
  <c r="T758" i="4"/>
  <c r="N758" i="4"/>
  <c r="I758" i="4"/>
  <c r="F758" i="4"/>
  <c r="B758" i="4" s="1" a="1"/>
  <c r="B758" i="4" s="1"/>
  <c r="C758" i="4" s="1"/>
  <c r="Y871" i="4"/>
  <c r="Y872" i="4"/>
  <c r="Y873" i="4"/>
  <c r="Y870" i="4"/>
  <c r="Y848" i="4"/>
  <c r="Y849" i="4"/>
  <c r="Y850" i="4"/>
  <c r="Y835" i="4"/>
  <c r="Y807" i="4"/>
  <c r="Y798" i="4"/>
  <c r="Y801" i="4"/>
  <c r="Y802" i="4"/>
  <c r="Y757" i="4"/>
  <c r="Y739" i="4"/>
  <c r="Y72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51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14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88" i="4"/>
  <c r="Y71" i="4"/>
  <c r="Y72" i="4"/>
  <c r="Y73" i="4"/>
  <c r="Y74" i="4"/>
  <c r="Y75" i="4"/>
  <c r="Y76" i="4"/>
  <c r="Y77" i="4"/>
  <c r="Y78" i="4"/>
  <c r="Y79" i="4"/>
  <c r="Y80" i="4"/>
  <c r="Y81" i="4"/>
  <c r="Y82" i="4"/>
  <c r="Y70" i="4"/>
  <c r="Y56" i="4"/>
  <c r="Y57" i="4"/>
  <c r="Y58" i="4"/>
  <c r="Y59" i="4"/>
  <c r="Y60" i="4"/>
  <c r="Y61" i="4"/>
  <c r="Y62" i="4"/>
  <c r="Y63" i="4"/>
  <c r="Y64" i="4"/>
  <c r="Y65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AA807" i="4"/>
  <c r="T807" i="4"/>
  <c r="N807" i="4"/>
  <c r="I807" i="4"/>
  <c r="F807" i="4"/>
  <c r="B807" i="4" s="1" a="1"/>
  <c r="B807" i="4" s="1"/>
  <c r="C807" i="4" s="1"/>
  <c r="C805" i="4"/>
  <c r="AJ816" i="4" l="1"/>
  <c r="AL816" i="4" s="1"/>
  <c r="AK817" i="4"/>
  <c r="AM817" i="4" s="1"/>
  <c r="AJ817" i="4"/>
  <c r="AL817" i="4" s="1"/>
  <c r="AK815" i="4"/>
  <c r="AJ815" i="4"/>
  <c r="AK823" i="4"/>
  <c r="AL823" i="4"/>
  <c r="AM823" i="4"/>
  <c r="AJ808" i="4"/>
  <c r="AK808" i="4"/>
  <c r="AM808" i="4" s="1"/>
  <c r="AJ823" i="4"/>
  <c r="AI740" i="4" a="1"/>
  <c r="AI740" i="4" s="1"/>
  <c r="AI723" i="4" a="1"/>
  <c r="AI723" i="4" s="1"/>
  <c r="AI807" i="4" a="1"/>
  <c r="AI807" i="4" s="1"/>
  <c r="AI760" i="4" a="1"/>
  <c r="AI760" i="4" s="1"/>
  <c r="AI758" i="4" a="1"/>
  <c r="AI758" i="4" s="1"/>
  <c r="AI722" i="4" a="1"/>
  <c r="AI722" i="4" s="1"/>
  <c r="AA873" i="4"/>
  <c r="T873" i="4"/>
  <c r="N873" i="4"/>
  <c r="I873" i="4"/>
  <c r="F873" i="4"/>
  <c r="B873" i="4" s="1" a="1"/>
  <c r="B873" i="4" s="1"/>
  <c r="C873" i="4" s="1"/>
  <c r="AA872" i="4"/>
  <c r="T872" i="4"/>
  <c r="N872" i="4"/>
  <c r="I872" i="4"/>
  <c r="F872" i="4"/>
  <c r="B872" i="4" s="1" a="1"/>
  <c r="B872" i="4" s="1"/>
  <c r="C872" i="4" s="1"/>
  <c r="AA870" i="4"/>
  <c r="T870" i="4"/>
  <c r="N870" i="4"/>
  <c r="I870" i="4"/>
  <c r="B870" i="4" a="1"/>
  <c r="B870" i="4" s="1"/>
  <c r="C870" i="4" s="1"/>
  <c r="C868" i="4"/>
  <c r="AA850" i="4"/>
  <c r="T850" i="4"/>
  <c r="N850" i="4"/>
  <c r="I850" i="4"/>
  <c r="B850" i="4" a="1"/>
  <c r="B850" i="4" s="1"/>
  <c r="C850" i="4" s="1"/>
  <c r="AA849" i="4"/>
  <c r="T849" i="4"/>
  <c r="N849" i="4"/>
  <c r="I849" i="4"/>
  <c r="B849" i="4" a="1"/>
  <c r="B849" i="4" s="1"/>
  <c r="C849" i="4" s="1"/>
  <c r="AA835" i="4"/>
  <c r="T835" i="4"/>
  <c r="N835" i="4"/>
  <c r="I835" i="4"/>
  <c r="F835" i="4"/>
  <c r="B835" i="4" s="1" a="1"/>
  <c r="B835" i="4" s="1"/>
  <c r="C835" i="4" s="1"/>
  <c r="C833" i="4"/>
  <c r="AA802" i="4"/>
  <c r="T802" i="4"/>
  <c r="N802" i="4"/>
  <c r="I802" i="4"/>
  <c r="B802" i="4" a="1"/>
  <c r="B802" i="4" s="1"/>
  <c r="C802" i="4" s="1"/>
  <c r="AA801" i="4"/>
  <c r="T801" i="4"/>
  <c r="N801" i="4"/>
  <c r="I801" i="4"/>
  <c r="B801" i="4" a="1"/>
  <c r="B801" i="4" s="1"/>
  <c r="C801" i="4" s="1"/>
  <c r="C783" i="4"/>
  <c r="AL815" i="4" l="1"/>
  <c r="AL813" i="4" s="1"/>
  <c r="AJ813" i="4"/>
  <c r="AM815" i="4"/>
  <c r="AM813" i="4" s="1"/>
  <c r="AK813" i="4"/>
  <c r="AL808" i="4"/>
  <c r="AJ758" i="4"/>
  <c r="AL758" i="4" s="1"/>
  <c r="AK758" i="4"/>
  <c r="AM758" i="4" s="1"/>
  <c r="AK722" i="4"/>
  <c r="AM722" i="4" s="1"/>
  <c r="AJ722" i="4"/>
  <c r="AL722" i="4" s="1"/>
  <c r="AK740" i="4"/>
  <c r="AM740" i="4" s="1"/>
  <c r="AJ740" i="4"/>
  <c r="AL740" i="4" s="1"/>
  <c r="AJ760" i="4"/>
  <c r="AL760" i="4" s="1"/>
  <c r="AK760" i="4"/>
  <c r="AM760" i="4" s="1"/>
  <c r="AK807" i="4"/>
  <c r="AK805" i="4" s="1"/>
  <c r="AJ807" i="4"/>
  <c r="AJ805" i="4" s="1"/>
  <c r="AK723" i="4"/>
  <c r="AM723" i="4" s="1"/>
  <c r="AJ723" i="4"/>
  <c r="AL723" i="4" s="1"/>
  <c r="AI835" i="4" a="1"/>
  <c r="AI835" i="4" s="1"/>
  <c r="AA757" i="4"/>
  <c r="T757" i="4"/>
  <c r="N757" i="4"/>
  <c r="I757" i="4"/>
  <c r="F757" i="4"/>
  <c r="B757" i="4" s="1" a="1"/>
  <c r="B757" i="4" s="1"/>
  <c r="C757" i="4" s="1"/>
  <c r="C755" i="4"/>
  <c r="AM807" i="4" l="1"/>
  <c r="AM805" i="4" s="1"/>
  <c r="AL807" i="4"/>
  <c r="AL805" i="4" s="1"/>
  <c r="AK835" i="4"/>
  <c r="AK833" i="4" s="1"/>
  <c r="AJ835" i="4"/>
  <c r="AJ833" i="4" s="1"/>
  <c r="AI757" i="4" a="1"/>
  <c r="AI757" i="4" s="1"/>
  <c r="W35" i="10"/>
  <c r="U35" i="10"/>
  <c r="R35" i="10"/>
  <c r="P35" i="10" s="1"/>
  <c r="M35" i="10"/>
  <c r="J35" i="10"/>
  <c r="B35" i="10" a="1"/>
  <c r="B35" i="10" s="1"/>
  <c r="C35" i="10" s="1"/>
  <c r="W34" i="10"/>
  <c r="U34" i="10"/>
  <c r="R34" i="10"/>
  <c r="P34" i="10" s="1"/>
  <c r="M34" i="10"/>
  <c r="J34" i="10"/>
  <c r="B34" i="10" a="1"/>
  <c r="B34" i="10" s="1"/>
  <c r="C34" i="10" s="1"/>
  <c r="W33" i="10"/>
  <c r="U33" i="10"/>
  <c r="R33" i="10"/>
  <c r="P33" i="10" s="1"/>
  <c r="M33" i="10"/>
  <c r="J33" i="10"/>
  <c r="B33" i="10" a="1"/>
  <c r="B33" i="10" s="1"/>
  <c r="C33" i="10" s="1"/>
  <c r="W32" i="10"/>
  <c r="U32" i="10"/>
  <c r="R32" i="10"/>
  <c r="P32" i="10" s="1"/>
  <c r="M32" i="10"/>
  <c r="J32" i="10"/>
  <c r="B32" i="10" a="1"/>
  <c r="B32" i="10" s="1"/>
  <c r="C32" i="10" s="1"/>
  <c r="W31" i="10"/>
  <c r="U31" i="10"/>
  <c r="R31" i="10"/>
  <c r="P31" i="10" s="1"/>
  <c r="M31" i="10"/>
  <c r="J31" i="10"/>
  <c r="B31" i="10" a="1"/>
  <c r="B31" i="10" s="1"/>
  <c r="C31" i="10" s="1"/>
  <c r="U26" i="10"/>
  <c r="U27" i="10"/>
  <c r="U28" i="10"/>
  <c r="U29" i="10"/>
  <c r="U25" i="10"/>
  <c r="W25" i="10"/>
  <c r="W29" i="10"/>
  <c r="R29" i="10"/>
  <c r="P29" i="10" s="1"/>
  <c r="M29" i="10"/>
  <c r="J29" i="10"/>
  <c r="B29" i="10" a="1"/>
  <c r="B29" i="10" s="1"/>
  <c r="C29" i="10" s="1"/>
  <c r="B25" i="10" a="1"/>
  <c r="B25" i="10" s="1"/>
  <c r="C25" i="10" s="1"/>
  <c r="B26" i="10" a="1"/>
  <c r="B26" i="10" s="1"/>
  <c r="C26" i="10" s="1"/>
  <c r="B27" i="10" a="1"/>
  <c r="B27" i="10" s="1"/>
  <c r="C27" i="10" s="1"/>
  <c r="W28" i="10"/>
  <c r="R28" i="10"/>
  <c r="P28" i="10" s="1"/>
  <c r="M28" i="10"/>
  <c r="J28" i="10"/>
  <c r="B28" i="10" a="1"/>
  <c r="B28" i="10" s="1"/>
  <c r="C28" i="10" s="1"/>
  <c r="W27" i="10"/>
  <c r="R27" i="10"/>
  <c r="P27" i="10" s="1"/>
  <c r="M27" i="10"/>
  <c r="J27" i="10"/>
  <c r="W26" i="10"/>
  <c r="R26" i="10"/>
  <c r="P26" i="10" s="1"/>
  <c r="M26" i="10"/>
  <c r="J26" i="10"/>
  <c r="R25" i="10"/>
  <c r="P25" i="10" s="1"/>
  <c r="M25" i="10"/>
  <c r="J25" i="10"/>
  <c r="F4" i="4"/>
  <c r="B4" i="4" s="1" a="1"/>
  <c r="B4" i="4" s="1"/>
  <c r="C4" i="4" s="1"/>
  <c r="I4" i="4"/>
  <c r="N4" i="4"/>
  <c r="T4" i="4"/>
  <c r="AA4" i="4"/>
  <c r="F5" i="4"/>
  <c r="B5" i="4" s="1" a="1"/>
  <c r="B5" i="4" s="1"/>
  <c r="C5" i="4" s="1"/>
  <c r="I5" i="4"/>
  <c r="N5" i="4"/>
  <c r="T5" i="4"/>
  <c r="AA5" i="4"/>
  <c r="F6" i="4"/>
  <c r="B6" i="4" s="1" a="1"/>
  <c r="B6" i="4" s="1"/>
  <c r="C6" i="4" s="1"/>
  <c r="I6" i="4"/>
  <c r="N6" i="4"/>
  <c r="T6" i="4"/>
  <c r="AA6" i="4"/>
  <c r="F7" i="4"/>
  <c r="B7" i="4" s="1" a="1"/>
  <c r="B7" i="4" s="1"/>
  <c r="C7" i="4" s="1"/>
  <c r="I7" i="4"/>
  <c r="N7" i="4"/>
  <c r="T7" i="4"/>
  <c r="AA7" i="4"/>
  <c r="C8" i="4"/>
  <c r="I8" i="4"/>
  <c r="T8" i="4"/>
  <c r="AA8" i="4"/>
  <c r="F9" i="4"/>
  <c r="B9" i="4" s="1" a="1"/>
  <c r="B9" i="4" s="1"/>
  <c r="C9" i="4" s="1"/>
  <c r="I9" i="4"/>
  <c r="N9" i="4"/>
  <c r="T9" i="4"/>
  <c r="AA9" i="4"/>
  <c r="F10" i="4"/>
  <c r="B10" i="4" s="1" a="1"/>
  <c r="B10" i="4" s="1"/>
  <c r="C10" i="4" s="1"/>
  <c r="I10" i="4"/>
  <c r="N10" i="4"/>
  <c r="T10" i="4"/>
  <c r="AA10" i="4"/>
  <c r="F11" i="4"/>
  <c r="B11" i="4" s="1" a="1"/>
  <c r="B11" i="4" s="1"/>
  <c r="C11" i="4" s="1"/>
  <c r="I11" i="4"/>
  <c r="N11" i="4"/>
  <c r="T11" i="4"/>
  <c r="AA11" i="4"/>
  <c r="F12" i="4"/>
  <c r="B12" i="4" s="1" a="1"/>
  <c r="B12" i="4" s="1"/>
  <c r="C12" i="4" s="1"/>
  <c r="I12" i="4"/>
  <c r="N12" i="4"/>
  <c r="T12" i="4"/>
  <c r="AA12" i="4"/>
  <c r="C13" i="4"/>
  <c r="I13" i="4"/>
  <c r="T13" i="4"/>
  <c r="AA13" i="4"/>
  <c r="F14" i="4"/>
  <c r="B14" i="4" s="1" a="1"/>
  <c r="B14" i="4" s="1"/>
  <c r="C14" i="4" s="1"/>
  <c r="I14" i="4"/>
  <c r="N14" i="4"/>
  <c r="T14" i="4"/>
  <c r="AA14" i="4"/>
  <c r="F15" i="4"/>
  <c r="B15" i="4" s="1" a="1"/>
  <c r="B15" i="4" s="1"/>
  <c r="C15" i="4" s="1"/>
  <c r="I15" i="4"/>
  <c r="N15" i="4"/>
  <c r="T15" i="4"/>
  <c r="AA15" i="4"/>
  <c r="F16" i="4"/>
  <c r="B16" i="4" s="1" a="1"/>
  <c r="B16" i="4" s="1"/>
  <c r="C16" i="4" s="1"/>
  <c r="I16" i="4"/>
  <c r="N16" i="4"/>
  <c r="T16" i="4"/>
  <c r="AA16" i="4"/>
  <c r="C17" i="4"/>
  <c r="I17" i="4"/>
  <c r="T17" i="4"/>
  <c r="AA17" i="4"/>
  <c r="F18" i="4"/>
  <c r="B18" i="4" s="1" a="1"/>
  <c r="B18" i="4" s="1"/>
  <c r="C18" i="4" s="1"/>
  <c r="I18" i="4"/>
  <c r="N18" i="4"/>
  <c r="T18" i="4"/>
  <c r="AA18" i="4"/>
  <c r="F19" i="4"/>
  <c r="B19" i="4" s="1" a="1"/>
  <c r="B19" i="4" s="1"/>
  <c r="C19" i="4" s="1"/>
  <c r="I19" i="4"/>
  <c r="N19" i="4"/>
  <c r="T19" i="4"/>
  <c r="AA19" i="4"/>
  <c r="F20" i="4"/>
  <c r="B20" i="4" s="1" a="1"/>
  <c r="B20" i="4" s="1"/>
  <c r="C20" i="4" s="1"/>
  <c r="I20" i="4"/>
  <c r="N20" i="4"/>
  <c r="T20" i="4"/>
  <c r="AA20" i="4"/>
  <c r="F21" i="4"/>
  <c r="B21" i="4" s="1" a="1"/>
  <c r="B21" i="4" s="1"/>
  <c r="C21" i="4" s="1"/>
  <c r="I21" i="4"/>
  <c r="N21" i="4"/>
  <c r="T21" i="4"/>
  <c r="AA21" i="4"/>
  <c r="F22" i="4"/>
  <c r="B22" i="4" s="1" a="1"/>
  <c r="B22" i="4" s="1"/>
  <c r="C22" i="4" s="1"/>
  <c r="I22" i="4"/>
  <c r="N22" i="4"/>
  <c r="T22" i="4"/>
  <c r="AA22" i="4"/>
  <c r="C23" i="4"/>
  <c r="I23" i="4"/>
  <c r="T23" i="4"/>
  <c r="AA23" i="4"/>
  <c r="B24" i="4" a="1"/>
  <c r="B24" i="4" s="1"/>
  <c r="C24" i="4" s="1"/>
  <c r="I24" i="4"/>
  <c r="N24" i="4"/>
  <c r="AB24" i="4"/>
  <c r="AA24" i="4" s="1"/>
  <c r="B25" i="4" a="1"/>
  <c r="B25" i="4" s="1"/>
  <c r="C25" i="4" s="1"/>
  <c r="I25" i="4"/>
  <c r="N25" i="4"/>
  <c r="AB25" i="4"/>
  <c r="AA25" i="4" s="1"/>
  <c r="B26" i="4" a="1"/>
  <c r="B26" i="4" s="1"/>
  <c r="C26" i="4" s="1"/>
  <c r="I26" i="4"/>
  <c r="N26" i="4"/>
  <c r="AB26" i="4"/>
  <c r="AA26" i="4" s="1"/>
  <c r="B27" i="4" a="1"/>
  <c r="B27" i="4" s="1"/>
  <c r="C27" i="4" s="1"/>
  <c r="I27" i="4"/>
  <c r="N27" i="4"/>
  <c r="AB27" i="4"/>
  <c r="AA27" i="4" s="1"/>
  <c r="C28" i="4"/>
  <c r="I28" i="4"/>
  <c r="T28" i="4"/>
  <c r="AA28" i="4"/>
  <c r="B29" i="4" a="1"/>
  <c r="B29" i="4" s="1"/>
  <c r="C29" i="4" s="1"/>
  <c r="I29" i="4"/>
  <c r="N29" i="4"/>
  <c r="T29" i="4"/>
  <c r="AA29" i="4"/>
  <c r="B30" i="4" a="1"/>
  <c r="B30" i="4" s="1"/>
  <c r="C30" i="4" s="1"/>
  <c r="I30" i="4"/>
  <c r="N30" i="4"/>
  <c r="T30" i="4"/>
  <c r="AA30" i="4"/>
  <c r="B31" i="4" a="1"/>
  <c r="B31" i="4" s="1"/>
  <c r="C31" i="4" s="1"/>
  <c r="I31" i="4"/>
  <c r="N31" i="4"/>
  <c r="T31" i="4"/>
  <c r="AA31" i="4"/>
  <c r="C32" i="4"/>
  <c r="I32" i="4"/>
  <c r="T32" i="4"/>
  <c r="AA32" i="4"/>
  <c r="B33" i="4" a="1"/>
  <c r="B33" i="4" s="1"/>
  <c r="C33" i="4" s="1"/>
  <c r="I33" i="4"/>
  <c r="N33" i="4"/>
  <c r="T33" i="4"/>
  <c r="AA33" i="4"/>
  <c r="B34" i="4" a="1"/>
  <c r="B34" i="4" s="1"/>
  <c r="C34" i="4" s="1"/>
  <c r="I34" i="4"/>
  <c r="N34" i="4"/>
  <c r="T34" i="4"/>
  <c r="AA34" i="4"/>
  <c r="C35" i="4"/>
  <c r="I35" i="4"/>
  <c r="T35" i="4"/>
  <c r="AA35" i="4"/>
  <c r="F36" i="4"/>
  <c r="B36" i="4" s="1" a="1"/>
  <c r="B36" i="4" s="1"/>
  <c r="C36" i="4" s="1"/>
  <c r="I36" i="4"/>
  <c r="N36" i="4"/>
  <c r="T36" i="4"/>
  <c r="AA36" i="4"/>
  <c r="C37" i="4"/>
  <c r="I37" i="4"/>
  <c r="T37" i="4"/>
  <c r="AA37" i="4"/>
  <c r="B38" i="4" a="1"/>
  <c r="B38" i="4" s="1"/>
  <c r="C38" i="4" s="1"/>
  <c r="I38" i="4"/>
  <c r="N38" i="4"/>
  <c r="T38" i="4"/>
  <c r="AA38" i="4"/>
  <c r="B39" i="4" a="1"/>
  <c r="B39" i="4" s="1"/>
  <c r="C39" i="4" s="1"/>
  <c r="I39" i="4"/>
  <c r="N39" i="4"/>
  <c r="T39" i="4"/>
  <c r="AA39" i="4"/>
  <c r="B40" i="4" a="1"/>
  <c r="B40" i="4" s="1"/>
  <c r="C40" i="4" s="1"/>
  <c r="I40" i="4"/>
  <c r="N40" i="4"/>
  <c r="T40" i="4"/>
  <c r="AA40" i="4"/>
  <c r="C41" i="4"/>
  <c r="I41" i="4"/>
  <c r="T41" i="4"/>
  <c r="AA41" i="4"/>
  <c r="B42" i="4" a="1"/>
  <c r="B42" i="4" s="1"/>
  <c r="C42" i="4" s="1"/>
  <c r="I42" i="4"/>
  <c r="N42" i="4"/>
  <c r="T42" i="4"/>
  <c r="AA42" i="4"/>
  <c r="B43" i="4" a="1"/>
  <c r="B43" i="4" s="1"/>
  <c r="C43" i="4" s="1"/>
  <c r="I43" i="4"/>
  <c r="N43" i="4"/>
  <c r="T43" i="4"/>
  <c r="AA43" i="4"/>
  <c r="B44" i="4" a="1"/>
  <c r="B44" i="4" s="1"/>
  <c r="C44" i="4" s="1"/>
  <c r="I44" i="4"/>
  <c r="N44" i="4"/>
  <c r="T44" i="4"/>
  <c r="AA44" i="4"/>
  <c r="C45" i="4"/>
  <c r="I45" i="4"/>
  <c r="T45" i="4"/>
  <c r="AA45" i="4"/>
  <c r="B46" i="4" a="1"/>
  <c r="B46" i="4" s="1"/>
  <c r="C46" i="4" s="1"/>
  <c r="I46" i="4"/>
  <c r="N46" i="4"/>
  <c r="T46" i="4"/>
  <c r="AA46" i="4"/>
  <c r="B47" i="4" a="1"/>
  <c r="B47" i="4" s="1"/>
  <c r="C47" i="4" s="1"/>
  <c r="I47" i="4"/>
  <c r="N47" i="4"/>
  <c r="T47" i="4"/>
  <c r="AA47" i="4"/>
  <c r="B48" i="4" a="1"/>
  <c r="B48" i="4" s="1"/>
  <c r="C48" i="4" s="1"/>
  <c r="I48" i="4"/>
  <c r="N48" i="4"/>
  <c r="T48" i="4"/>
  <c r="AA48" i="4"/>
  <c r="C49" i="4"/>
  <c r="I49" i="4"/>
  <c r="T49" i="4"/>
  <c r="AA49" i="4"/>
  <c r="C50" i="4"/>
  <c r="I50" i="4"/>
  <c r="N50" i="4"/>
  <c r="T50" i="4"/>
  <c r="AA50" i="4"/>
  <c r="C51" i="4"/>
  <c r="I51" i="4"/>
  <c r="N51" i="4"/>
  <c r="T51" i="4"/>
  <c r="AA51" i="4"/>
  <c r="C52" i="4"/>
  <c r="I52" i="4"/>
  <c r="N52" i="4"/>
  <c r="T52" i="4"/>
  <c r="AA52" i="4"/>
  <c r="C53" i="4"/>
  <c r="I53" i="4"/>
  <c r="N53" i="4"/>
  <c r="T53" i="4"/>
  <c r="AA53" i="4"/>
  <c r="C54" i="4"/>
  <c r="I54" i="4"/>
  <c r="T54" i="4"/>
  <c r="AA54" i="4"/>
  <c r="C55" i="4"/>
  <c r="I55" i="4"/>
  <c r="N55" i="4"/>
  <c r="T55" i="4"/>
  <c r="AA55" i="4"/>
  <c r="C56" i="4"/>
  <c r="I56" i="4"/>
  <c r="N56" i="4"/>
  <c r="T56" i="4"/>
  <c r="AA56" i="4"/>
  <c r="C57" i="4"/>
  <c r="I57" i="4"/>
  <c r="N57" i="4"/>
  <c r="T57" i="4"/>
  <c r="AA57" i="4"/>
  <c r="C58" i="4"/>
  <c r="I58" i="4"/>
  <c r="N58" i="4"/>
  <c r="T58" i="4"/>
  <c r="AA58" i="4"/>
  <c r="C59" i="4"/>
  <c r="I59" i="4"/>
  <c r="T59" i="4"/>
  <c r="AA59" i="4"/>
  <c r="C60" i="4"/>
  <c r="I60" i="4"/>
  <c r="N60" i="4"/>
  <c r="T60" i="4"/>
  <c r="AA60" i="4"/>
  <c r="C61" i="4"/>
  <c r="I61" i="4"/>
  <c r="N61" i="4"/>
  <c r="T61" i="4"/>
  <c r="AA61" i="4"/>
  <c r="C62" i="4"/>
  <c r="I62" i="4"/>
  <c r="N62" i="4"/>
  <c r="T62" i="4"/>
  <c r="AA62" i="4"/>
  <c r="C63" i="4"/>
  <c r="I63" i="4"/>
  <c r="T63" i="4"/>
  <c r="AA63" i="4"/>
  <c r="C64" i="4"/>
  <c r="I64" i="4"/>
  <c r="N64" i="4"/>
  <c r="T64" i="4"/>
  <c r="AA64" i="4"/>
  <c r="C65" i="4"/>
  <c r="I65" i="4"/>
  <c r="N65" i="4"/>
  <c r="T65" i="4"/>
  <c r="AA65" i="4"/>
  <c r="C66" i="4"/>
  <c r="C67" i="4"/>
  <c r="C68" i="4"/>
  <c r="C69" i="4"/>
  <c r="F70" i="4"/>
  <c r="B70" i="4" s="1" a="1"/>
  <c r="B70" i="4" s="1"/>
  <c r="C70" i="4" s="1"/>
  <c r="I70" i="4"/>
  <c r="N70" i="4"/>
  <c r="T70" i="4"/>
  <c r="AA70" i="4"/>
  <c r="F71" i="4"/>
  <c r="B71" i="4" s="1" a="1"/>
  <c r="B71" i="4" s="1"/>
  <c r="C71" i="4" s="1"/>
  <c r="I71" i="4"/>
  <c r="N71" i="4"/>
  <c r="T71" i="4"/>
  <c r="AA71" i="4"/>
  <c r="F72" i="4"/>
  <c r="B72" i="4" s="1" a="1"/>
  <c r="B72" i="4" s="1"/>
  <c r="C72" i="4" s="1"/>
  <c r="I72" i="4"/>
  <c r="N72" i="4"/>
  <c r="T72" i="4"/>
  <c r="AA72" i="4"/>
  <c r="F73" i="4"/>
  <c r="B73" i="4" s="1" a="1"/>
  <c r="B73" i="4" s="1"/>
  <c r="C73" i="4" s="1"/>
  <c r="I73" i="4"/>
  <c r="N73" i="4"/>
  <c r="T73" i="4"/>
  <c r="AA73" i="4"/>
  <c r="C74" i="4"/>
  <c r="I74" i="4"/>
  <c r="T74" i="4"/>
  <c r="AA74" i="4"/>
  <c r="F75" i="4"/>
  <c r="B75" i="4" s="1" a="1"/>
  <c r="B75" i="4" s="1"/>
  <c r="C75" i="4" s="1"/>
  <c r="I75" i="4"/>
  <c r="N75" i="4"/>
  <c r="T75" i="4"/>
  <c r="AA75" i="4"/>
  <c r="F76" i="4"/>
  <c r="B76" i="4" s="1" a="1"/>
  <c r="B76" i="4" s="1"/>
  <c r="C76" i="4" s="1"/>
  <c r="I76" i="4"/>
  <c r="N76" i="4"/>
  <c r="T76" i="4"/>
  <c r="AA76" i="4"/>
  <c r="F77" i="4"/>
  <c r="B77" i="4" s="1" a="1"/>
  <c r="B77" i="4" s="1"/>
  <c r="C77" i="4" s="1"/>
  <c r="I77" i="4"/>
  <c r="N77" i="4"/>
  <c r="T77" i="4"/>
  <c r="AA77" i="4"/>
  <c r="F78" i="4"/>
  <c r="B78" i="4" s="1" a="1"/>
  <c r="B78" i="4" s="1"/>
  <c r="C78" i="4" s="1"/>
  <c r="I78" i="4"/>
  <c r="N78" i="4"/>
  <c r="T78" i="4"/>
  <c r="AA78" i="4"/>
  <c r="C79" i="4"/>
  <c r="I79" i="4"/>
  <c r="T79" i="4"/>
  <c r="AA79" i="4"/>
  <c r="B80" i="4" a="1"/>
  <c r="B80" i="4" s="1"/>
  <c r="C80" i="4" s="1"/>
  <c r="I80" i="4"/>
  <c r="N80" i="4"/>
  <c r="T80" i="4"/>
  <c r="AA80" i="4"/>
  <c r="B81" i="4" a="1"/>
  <c r="B81" i="4" s="1"/>
  <c r="C81" i="4" s="1"/>
  <c r="I81" i="4"/>
  <c r="N81" i="4"/>
  <c r="T81" i="4"/>
  <c r="AA81" i="4"/>
  <c r="B82" i="4" a="1"/>
  <c r="B82" i="4" s="1"/>
  <c r="C82" i="4" s="1"/>
  <c r="I82" i="4"/>
  <c r="N82" i="4"/>
  <c r="T82" i="4"/>
  <c r="AA82" i="4"/>
  <c r="C83" i="4"/>
  <c r="T83" i="4"/>
  <c r="Y83" i="4"/>
  <c r="AA83" i="4"/>
  <c r="C86" i="4"/>
  <c r="C87" i="4"/>
  <c r="F88" i="4"/>
  <c r="B88" i="4" s="1" a="1"/>
  <c r="B88" i="4" s="1"/>
  <c r="C88" i="4" s="1"/>
  <c r="I88" i="4"/>
  <c r="N88" i="4"/>
  <c r="T88" i="4"/>
  <c r="AA88" i="4"/>
  <c r="F89" i="4"/>
  <c r="B89" i="4" s="1" a="1"/>
  <c r="B89" i="4" s="1"/>
  <c r="C89" i="4" s="1"/>
  <c r="I89" i="4"/>
  <c r="N89" i="4"/>
  <c r="T89" i="4"/>
  <c r="AA89" i="4"/>
  <c r="F90" i="4"/>
  <c r="B90" i="4" s="1" a="1"/>
  <c r="B90" i="4" s="1"/>
  <c r="C90" i="4" s="1"/>
  <c r="I90" i="4"/>
  <c r="N90" i="4"/>
  <c r="T90" i="4"/>
  <c r="AA90" i="4"/>
  <c r="F91" i="4"/>
  <c r="B91" i="4" s="1" a="1"/>
  <c r="B91" i="4" s="1"/>
  <c r="C91" i="4" s="1"/>
  <c r="I91" i="4"/>
  <c r="N91" i="4"/>
  <c r="T91" i="4"/>
  <c r="AA91" i="4"/>
  <c r="C92" i="4"/>
  <c r="I92" i="4"/>
  <c r="T92" i="4"/>
  <c r="AA92" i="4"/>
  <c r="F93" i="4"/>
  <c r="B93" i="4" s="1" a="1"/>
  <c r="B93" i="4" s="1"/>
  <c r="C93" i="4" s="1"/>
  <c r="I93" i="4"/>
  <c r="N93" i="4"/>
  <c r="T93" i="4"/>
  <c r="AA93" i="4"/>
  <c r="F94" i="4"/>
  <c r="B94" i="4" s="1" a="1"/>
  <c r="B94" i="4" s="1"/>
  <c r="C94" i="4" s="1"/>
  <c r="I94" i="4"/>
  <c r="N94" i="4"/>
  <c r="T94" i="4"/>
  <c r="AA94" i="4"/>
  <c r="F95" i="4"/>
  <c r="B95" i="4" s="1" a="1"/>
  <c r="B95" i="4" s="1"/>
  <c r="C95" i="4" s="1"/>
  <c r="I95" i="4"/>
  <c r="N95" i="4"/>
  <c r="T95" i="4"/>
  <c r="AA95" i="4"/>
  <c r="F96" i="4"/>
  <c r="B96" i="4" s="1" a="1"/>
  <c r="B96" i="4" s="1"/>
  <c r="C96" i="4" s="1"/>
  <c r="I96" i="4"/>
  <c r="N96" i="4"/>
  <c r="T96" i="4"/>
  <c r="AA96" i="4"/>
  <c r="C97" i="4"/>
  <c r="I97" i="4"/>
  <c r="T97" i="4"/>
  <c r="AA97" i="4"/>
  <c r="B98" i="4" a="1"/>
  <c r="B98" i="4" s="1"/>
  <c r="C98" i="4" s="1"/>
  <c r="I98" i="4"/>
  <c r="N98" i="4"/>
  <c r="AB98" i="4"/>
  <c r="AA98" i="4" s="1"/>
  <c r="B99" i="4" a="1"/>
  <c r="B99" i="4" s="1"/>
  <c r="C99" i="4" s="1"/>
  <c r="I99" i="4"/>
  <c r="N99" i="4"/>
  <c r="AB99" i="4"/>
  <c r="AA99" i="4" s="1"/>
  <c r="B100" i="4" a="1"/>
  <c r="B100" i="4" s="1"/>
  <c r="C100" i="4" s="1"/>
  <c r="I100" i="4"/>
  <c r="N100" i="4"/>
  <c r="AB100" i="4"/>
  <c r="AA100" i="4" s="1"/>
  <c r="C101" i="4"/>
  <c r="I101" i="4"/>
  <c r="T101" i="4"/>
  <c r="AA101" i="4"/>
  <c r="B102" i="4" a="1"/>
  <c r="B102" i="4" s="1"/>
  <c r="C102" i="4" s="1"/>
  <c r="I102" i="4"/>
  <c r="N102" i="4"/>
  <c r="T102" i="4"/>
  <c r="AA102" i="4"/>
  <c r="B103" i="4" a="1"/>
  <c r="B103" i="4" s="1"/>
  <c r="C103" i="4" s="1"/>
  <c r="I103" i="4"/>
  <c r="N103" i="4"/>
  <c r="T103" i="4"/>
  <c r="AA103" i="4"/>
  <c r="B104" i="4" a="1"/>
  <c r="B104" i="4" s="1"/>
  <c r="C104" i="4" s="1"/>
  <c r="I104" i="4"/>
  <c r="N104" i="4"/>
  <c r="T104" i="4"/>
  <c r="AA104" i="4"/>
  <c r="C105" i="4"/>
  <c r="I105" i="4"/>
  <c r="T105" i="4"/>
  <c r="AA105" i="4"/>
  <c r="F106" i="4"/>
  <c r="B106" i="4" s="1" a="1"/>
  <c r="B106" i="4" s="1"/>
  <c r="C106" i="4" s="1"/>
  <c r="I106" i="4"/>
  <c r="N106" i="4"/>
  <c r="T106" i="4"/>
  <c r="AB106" i="4"/>
  <c r="AA106" i="4" s="1"/>
  <c r="C107" i="4"/>
  <c r="I107" i="4"/>
  <c r="T107" i="4"/>
  <c r="AA107" i="4"/>
  <c r="B108" i="4" a="1"/>
  <c r="B108" i="4" s="1"/>
  <c r="C108" i="4" s="1"/>
  <c r="I108" i="4"/>
  <c r="N108" i="4"/>
  <c r="T108" i="4"/>
  <c r="AA108" i="4"/>
  <c r="B109" i="4" a="1"/>
  <c r="B109" i="4" s="1"/>
  <c r="C109" i="4" s="1"/>
  <c r="I109" i="4"/>
  <c r="N109" i="4"/>
  <c r="T109" i="4"/>
  <c r="AA109" i="4"/>
  <c r="B110" i="4" a="1"/>
  <c r="B110" i="4" s="1"/>
  <c r="C110" i="4" s="1"/>
  <c r="I110" i="4"/>
  <c r="N110" i="4"/>
  <c r="T110" i="4"/>
  <c r="AA110" i="4"/>
  <c r="C113" i="4"/>
  <c r="F114" i="4"/>
  <c r="B114" i="4" s="1" a="1"/>
  <c r="B114" i="4" s="1"/>
  <c r="C114" i="4" s="1"/>
  <c r="I114" i="4"/>
  <c r="N114" i="4"/>
  <c r="T114" i="4"/>
  <c r="AA114" i="4"/>
  <c r="F115" i="4"/>
  <c r="B115" i="4" s="1" a="1"/>
  <c r="B115" i="4" s="1"/>
  <c r="C115" i="4" s="1"/>
  <c r="I115" i="4"/>
  <c r="N115" i="4"/>
  <c r="T115" i="4"/>
  <c r="AA115" i="4"/>
  <c r="F116" i="4"/>
  <c r="B116" i="4" s="1" a="1"/>
  <c r="B116" i="4" s="1"/>
  <c r="C116" i="4" s="1"/>
  <c r="I116" i="4"/>
  <c r="N116" i="4"/>
  <c r="T116" i="4"/>
  <c r="AA116" i="4"/>
  <c r="F117" i="4"/>
  <c r="B117" i="4" s="1" a="1"/>
  <c r="B117" i="4" s="1"/>
  <c r="C117" i="4" s="1"/>
  <c r="I117" i="4"/>
  <c r="N117" i="4"/>
  <c r="T117" i="4"/>
  <c r="AA117" i="4"/>
  <c r="C118" i="4"/>
  <c r="I118" i="4"/>
  <c r="T118" i="4"/>
  <c r="AA118" i="4"/>
  <c r="F119" i="4"/>
  <c r="B119" i="4" s="1" a="1"/>
  <c r="B119" i="4" s="1"/>
  <c r="C119" i="4" s="1"/>
  <c r="I119" i="4"/>
  <c r="N119" i="4"/>
  <c r="T119" i="4"/>
  <c r="AA119" i="4"/>
  <c r="F120" i="4"/>
  <c r="B120" i="4" s="1" a="1"/>
  <c r="B120" i="4" s="1"/>
  <c r="C120" i="4" s="1"/>
  <c r="I120" i="4"/>
  <c r="N120" i="4"/>
  <c r="T120" i="4"/>
  <c r="AA120" i="4"/>
  <c r="F121" i="4"/>
  <c r="B121" i="4" s="1" a="1"/>
  <c r="B121" i="4" s="1"/>
  <c r="C121" i="4" s="1"/>
  <c r="I121" i="4"/>
  <c r="N121" i="4"/>
  <c r="T121" i="4"/>
  <c r="AA121" i="4"/>
  <c r="F122" i="4"/>
  <c r="B122" i="4" s="1" a="1"/>
  <c r="B122" i="4" s="1"/>
  <c r="C122" i="4" s="1"/>
  <c r="I122" i="4"/>
  <c r="N122" i="4"/>
  <c r="T122" i="4"/>
  <c r="AA122" i="4"/>
  <c r="C123" i="4"/>
  <c r="I123" i="4"/>
  <c r="T123" i="4"/>
  <c r="AA123" i="4"/>
  <c r="B124" i="4" a="1"/>
  <c r="B124" i="4" s="1"/>
  <c r="C124" i="4" s="1"/>
  <c r="I124" i="4"/>
  <c r="N124" i="4"/>
  <c r="AB124" i="4"/>
  <c r="AA124" i="4" s="1"/>
  <c r="B125" i="4" a="1"/>
  <c r="B125" i="4" s="1"/>
  <c r="C125" i="4" s="1"/>
  <c r="I125" i="4"/>
  <c r="N125" i="4"/>
  <c r="AB125" i="4"/>
  <c r="AA125" i="4" s="1"/>
  <c r="B126" i="4" a="1"/>
  <c r="B126" i="4" s="1"/>
  <c r="C126" i="4" s="1"/>
  <c r="I126" i="4"/>
  <c r="N126" i="4"/>
  <c r="AB126" i="4"/>
  <c r="AA126" i="4" s="1"/>
  <c r="B127" i="4" a="1"/>
  <c r="B127" i="4" s="1"/>
  <c r="C127" i="4" s="1"/>
  <c r="I127" i="4"/>
  <c r="N127" i="4"/>
  <c r="AB127" i="4"/>
  <c r="AA127" i="4" s="1"/>
  <c r="C128" i="4"/>
  <c r="I128" i="4"/>
  <c r="T128" i="4"/>
  <c r="AA128" i="4"/>
  <c r="B129" i="4" a="1"/>
  <c r="B129" i="4" s="1"/>
  <c r="C129" i="4" s="1"/>
  <c r="I129" i="4"/>
  <c r="N129" i="4"/>
  <c r="T129" i="4"/>
  <c r="AA129" i="4"/>
  <c r="B130" i="4" a="1"/>
  <c r="B130" i="4" s="1"/>
  <c r="C130" i="4" s="1"/>
  <c r="I130" i="4"/>
  <c r="N130" i="4"/>
  <c r="T130" i="4"/>
  <c r="AA130" i="4"/>
  <c r="B131" i="4" a="1"/>
  <c r="B131" i="4" s="1"/>
  <c r="C131" i="4" s="1"/>
  <c r="I131" i="4"/>
  <c r="N131" i="4"/>
  <c r="T131" i="4"/>
  <c r="AA131" i="4"/>
  <c r="C132" i="4"/>
  <c r="I132" i="4"/>
  <c r="T132" i="4"/>
  <c r="AA132" i="4"/>
  <c r="F133" i="4"/>
  <c r="B133" i="4" s="1" a="1"/>
  <c r="B133" i="4" s="1"/>
  <c r="C133" i="4" s="1"/>
  <c r="I133" i="4"/>
  <c r="N133" i="4"/>
  <c r="T133" i="4"/>
  <c r="AA133" i="4"/>
  <c r="C134" i="4"/>
  <c r="I134" i="4"/>
  <c r="T134" i="4"/>
  <c r="AA134" i="4"/>
  <c r="B135" i="4" a="1"/>
  <c r="B135" i="4" s="1"/>
  <c r="C135" i="4" s="1"/>
  <c r="I135" i="4"/>
  <c r="N135" i="4"/>
  <c r="T135" i="4"/>
  <c r="AA135" i="4"/>
  <c r="B136" i="4" a="1"/>
  <c r="B136" i="4" s="1"/>
  <c r="C136" i="4" s="1"/>
  <c r="I136" i="4"/>
  <c r="N136" i="4"/>
  <c r="T136" i="4"/>
  <c r="AA136" i="4"/>
  <c r="B137" i="4" a="1"/>
  <c r="B137" i="4" s="1"/>
  <c r="C137" i="4" s="1"/>
  <c r="I137" i="4"/>
  <c r="N137" i="4"/>
  <c r="T137" i="4"/>
  <c r="AA137" i="4"/>
  <c r="C138" i="4"/>
  <c r="I138" i="4"/>
  <c r="T138" i="4"/>
  <c r="AA138" i="4"/>
  <c r="B139" i="4" a="1"/>
  <c r="B139" i="4" s="1"/>
  <c r="C139" i="4" s="1"/>
  <c r="I139" i="4"/>
  <c r="N139" i="4"/>
  <c r="T139" i="4"/>
  <c r="AA139" i="4"/>
  <c r="B140" i="4" a="1"/>
  <c r="B140" i="4" s="1"/>
  <c r="C140" i="4" s="1"/>
  <c r="I140" i="4"/>
  <c r="N140" i="4"/>
  <c r="T140" i="4"/>
  <c r="AA140" i="4"/>
  <c r="B141" i="4" a="1"/>
  <c r="B141" i="4" s="1"/>
  <c r="C141" i="4" s="1"/>
  <c r="I141" i="4"/>
  <c r="N141" i="4"/>
  <c r="T141" i="4"/>
  <c r="AA141" i="4"/>
  <c r="C142" i="4"/>
  <c r="I142" i="4"/>
  <c r="T142" i="4"/>
  <c r="AA142" i="4"/>
  <c r="B143" i="4" a="1"/>
  <c r="B143" i="4" s="1"/>
  <c r="C143" i="4" s="1"/>
  <c r="I143" i="4"/>
  <c r="N143" i="4"/>
  <c r="T143" i="4"/>
  <c r="AA143" i="4"/>
  <c r="B144" i="4" a="1"/>
  <c r="B144" i="4" s="1"/>
  <c r="C144" i="4" s="1"/>
  <c r="I144" i="4"/>
  <c r="N144" i="4"/>
  <c r="T144" i="4"/>
  <c r="AA144" i="4"/>
  <c r="B145" i="4" a="1"/>
  <c r="B145" i="4" s="1"/>
  <c r="C145" i="4" s="1"/>
  <c r="I145" i="4"/>
  <c r="N145" i="4"/>
  <c r="T145" i="4"/>
  <c r="AA145" i="4"/>
  <c r="C146" i="4"/>
  <c r="I146" i="4"/>
  <c r="T146" i="4"/>
  <c r="AA146" i="4"/>
  <c r="B147" i="4" a="1"/>
  <c r="B147" i="4" s="1"/>
  <c r="C147" i="4" s="1"/>
  <c r="I147" i="4"/>
  <c r="N147" i="4"/>
  <c r="T147" i="4"/>
  <c r="AB147" i="4"/>
  <c r="AA147" i="4" s="1"/>
  <c r="C150" i="4"/>
  <c r="F151" i="4"/>
  <c r="B151" i="4" s="1" a="1"/>
  <c r="B151" i="4" s="1"/>
  <c r="C151" i="4" s="1"/>
  <c r="I151" i="4"/>
  <c r="N151" i="4"/>
  <c r="T151" i="4"/>
  <c r="AA151" i="4"/>
  <c r="F152" i="4"/>
  <c r="B152" i="4" s="1" a="1"/>
  <c r="B152" i="4" s="1"/>
  <c r="C152" i="4" s="1"/>
  <c r="I152" i="4"/>
  <c r="N152" i="4"/>
  <c r="T152" i="4"/>
  <c r="AA152" i="4"/>
  <c r="F153" i="4"/>
  <c r="B153" i="4" s="1" a="1"/>
  <c r="B153" i="4" s="1"/>
  <c r="C153" i="4" s="1"/>
  <c r="I153" i="4"/>
  <c r="N153" i="4"/>
  <c r="T153" i="4"/>
  <c r="AA153" i="4"/>
  <c r="F154" i="4"/>
  <c r="B154" i="4" s="1" a="1"/>
  <c r="B154" i="4" s="1"/>
  <c r="C154" i="4" s="1"/>
  <c r="I154" i="4"/>
  <c r="N154" i="4"/>
  <c r="T154" i="4"/>
  <c r="AA154" i="4"/>
  <c r="C155" i="4"/>
  <c r="I155" i="4"/>
  <c r="T155" i="4"/>
  <c r="AA155" i="4"/>
  <c r="F156" i="4"/>
  <c r="B156" i="4" s="1" a="1"/>
  <c r="B156" i="4" s="1"/>
  <c r="C156" i="4" s="1"/>
  <c r="I156" i="4"/>
  <c r="N156" i="4"/>
  <c r="T156" i="4"/>
  <c r="AA156" i="4"/>
  <c r="F157" i="4"/>
  <c r="B157" i="4" s="1" a="1"/>
  <c r="B157" i="4" s="1"/>
  <c r="C157" i="4" s="1"/>
  <c r="I157" i="4"/>
  <c r="N157" i="4"/>
  <c r="T157" i="4"/>
  <c r="AA157" i="4"/>
  <c r="F158" i="4"/>
  <c r="B158" i="4" s="1" a="1"/>
  <c r="B158" i="4" s="1"/>
  <c r="C158" i="4" s="1"/>
  <c r="I158" i="4"/>
  <c r="N158" i="4"/>
  <c r="T158" i="4"/>
  <c r="AA158" i="4"/>
  <c r="F159" i="4"/>
  <c r="B159" i="4" s="1" a="1"/>
  <c r="B159" i="4" s="1"/>
  <c r="C159" i="4" s="1"/>
  <c r="I159" i="4"/>
  <c r="N159" i="4"/>
  <c r="T159" i="4"/>
  <c r="AA159" i="4"/>
  <c r="C160" i="4"/>
  <c r="I160" i="4"/>
  <c r="T160" i="4"/>
  <c r="AA160" i="4"/>
  <c r="F161" i="4"/>
  <c r="B161" i="4" s="1" a="1"/>
  <c r="B161" i="4" s="1"/>
  <c r="C161" i="4" s="1"/>
  <c r="I161" i="4"/>
  <c r="N161" i="4"/>
  <c r="T161" i="4"/>
  <c r="AA161" i="4"/>
  <c r="F162" i="4"/>
  <c r="B162" i="4" s="1" a="1"/>
  <c r="B162" i="4" s="1"/>
  <c r="C162" i="4" s="1"/>
  <c r="I162" i="4"/>
  <c r="N162" i="4"/>
  <c r="T162" i="4"/>
  <c r="AA162" i="4"/>
  <c r="F163" i="4"/>
  <c r="B163" i="4" s="1" a="1"/>
  <c r="B163" i="4" s="1"/>
  <c r="C163" i="4" s="1"/>
  <c r="I163" i="4"/>
  <c r="N163" i="4"/>
  <c r="T163" i="4"/>
  <c r="AA163" i="4"/>
  <c r="C164" i="4"/>
  <c r="I164" i="4"/>
  <c r="T164" i="4"/>
  <c r="AA164" i="4"/>
  <c r="F165" i="4"/>
  <c r="B165" i="4" s="1" a="1"/>
  <c r="B165" i="4" s="1"/>
  <c r="C165" i="4" s="1"/>
  <c r="I165" i="4"/>
  <c r="N165" i="4"/>
  <c r="T165" i="4"/>
  <c r="AA165" i="4"/>
  <c r="F166" i="4"/>
  <c r="B166" i="4" s="1" a="1"/>
  <c r="B166" i="4" s="1"/>
  <c r="C166" i="4" s="1"/>
  <c r="I166" i="4"/>
  <c r="N166" i="4"/>
  <c r="T166" i="4"/>
  <c r="AA166" i="4"/>
  <c r="F167" i="4"/>
  <c r="B167" i="4" s="1" a="1"/>
  <c r="B167" i="4" s="1"/>
  <c r="C167" i="4" s="1"/>
  <c r="I167" i="4"/>
  <c r="N167" i="4"/>
  <c r="T167" i="4"/>
  <c r="AA167" i="4"/>
  <c r="F168" i="4"/>
  <c r="B168" i="4" s="1" a="1"/>
  <c r="B168" i="4" s="1"/>
  <c r="C168" i="4" s="1"/>
  <c r="I168" i="4"/>
  <c r="N168" i="4"/>
  <c r="T168" i="4"/>
  <c r="AA168" i="4"/>
  <c r="F169" i="4"/>
  <c r="B169" i="4" s="1" a="1"/>
  <c r="B169" i="4" s="1"/>
  <c r="C169" i="4" s="1"/>
  <c r="I169" i="4"/>
  <c r="N169" i="4"/>
  <c r="T169" i="4"/>
  <c r="AA169" i="4"/>
  <c r="C170" i="4"/>
  <c r="I170" i="4"/>
  <c r="T170" i="4"/>
  <c r="AA170" i="4"/>
  <c r="B171" i="4" a="1"/>
  <c r="B171" i="4" s="1"/>
  <c r="C171" i="4" s="1"/>
  <c r="I171" i="4"/>
  <c r="N171" i="4"/>
  <c r="AB171" i="4"/>
  <c r="AA171" i="4" s="1"/>
  <c r="B172" i="4" a="1"/>
  <c r="B172" i="4" s="1"/>
  <c r="C172" i="4" s="1"/>
  <c r="I172" i="4"/>
  <c r="N172" i="4"/>
  <c r="AB172" i="4"/>
  <c r="AA172" i="4" s="1"/>
  <c r="B173" i="4" a="1"/>
  <c r="B173" i="4" s="1"/>
  <c r="C173" i="4" s="1"/>
  <c r="I173" i="4"/>
  <c r="N173" i="4"/>
  <c r="AB173" i="4"/>
  <c r="AA173" i="4" s="1"/>
  <c r="B174" i="4" a="1"/>
  <c r="B174" i="4" s="1"/>
  <c r="C174" i="4" s="1"/>
  <c r="I174" i="4"/>
  <c r="N174" i="4"/>
  <c r="AB174" i="4"/>
  <c r="AA174" i="4" s="1"/>
  <c r="C175" i="4"/>
  <c r="I175" i="4"/>
  <c r="T175" i="4"/>
  <c r="AA175" i="4"/>
  <c r="B176" i="4" a="1"/>
  <c r="B176" i="4" s="1"/>
  <c r="C176" i="4" s="1"/>
  <c r="I176" i="4"/>
  <c r="N176" i="4"/>
  <c r="T176" i="4"/>
  <c r="AA176" i="4"/>
  <c r="B177" i="4" a="1"/>
  <c r="B177" i="4" s="1"/>
  <c r="C177" i="4" s="1"/>
  <c r="I177" i="4"/>
  <c r="N177" i="4"/>
  <c r="T177" i="4"/>
  <c r="AA177" i="4"/>
  <c r="B178" i="4" a="1"/>
  <c r="B178" i="4" s="1"/>
  <c r="C178" i="4" s="1"/>
  <c r="I178" i="4"/>
  <c r="N178" i="4"/>
  <c r="T178" i="4"/>
  <c r="AA178" i="4"/>
  <c r="C179" i="4"/>
  <c r="I179" i="4"/>
  <c r="T179" i="4"/>
  <c r="AA179" i="4"/>
  <c r="B180" i="4" a="1"/>
  <c r="B180" i="4" s="1"/>
  <c r="C180" i="4" s="1"/>
  <c r="I180" i="4"/>
  <c r="N180" i="4"/>
  <c r="T180" i="4"/>
  <c r="AA180" i="4"/>
  <c r="B181" i="4" a="1"/>
  <c r="B181" i="4" s="1"/>
  <c r="C181" i="4" s="1"/>
  <c r="I181" i="4"/>
  <c r="N181" i="4"/>
  <c r="T181" i="4"/>
  <c r="AA181" i="4"/>
  <c r="C182" i="4"/>
  <c r="I182" i="4"/>
  <c r="T182" i="4"/>
  <c r="AA182" i="4"/>
  <c r="F183" i="4"/>
  <c r="B183" i="4" s="1" a="1"/>
  <c r="B183" i="4" s="1"/>
  <c r="C183" i="4" s="1"/>
  <c r="I183" i="4"/>
  <c r="N183" i="4"/>
  <c r="T183" i="4"/>
  <c r="AA183" i="4"/>
  <c r="C184" i="4"/>
  <c r="I184" i="4"/>
  <c r="T184" i="4"/>
  <c r="AA184" i="4"/>
  <c r="B185" i="4" a="1"/>
  <c r="B185" i="4" s="1"/>
  <c r="C185" i="4" s="1"/>
  <c r="I185" i="4"/>
  <c r="N185" i="4"/>
  <c r="T185" i="4"/>
  <c r="AA185" i="4"/>
  <c r="B186" i="4" a="1"/>
  <c r="B186" i="4" s="1"/>
  <c r="C186" i="4" s="1"/>
  <c r="I186" i="4"/>
  <c r="N186" i="4"/>
  <c r="T186" i="4"/>
  <c r="AA186" i="4"/>
  <c r="B187" i="4" a="1"/>
  <c r="B187" i="4" s="1"/>
  <c r="C187" i="4" s="1"/>
  <c r="I187" i="4"/>
  <c r="N187" i="4"/>
  <c r="T187" i="4"/>
  <c r="AA187" i="4"/>
  <c r="C188" i="4"/>
  <c r="I188" i="4"/>
  <c r="T188" i="4"/>
  <c r="AA188" i="4"/>
  <c r="B189" i="4" a="1"/>
  <c r="B189" i="4" s="1"/>
  <c r="C189" i="4" s="1"/>
  <c r="I189" i="4"/>
  <c r="N189" i="4"/>
  <c r="T189" i="4"/>
  <c r="AA189" i="4"/>
  <c r="B190" i="4" a="1"/>
  <c r="B190" i="4" s="1"/>
  <c r="C190" i="4" s="1"/>
  <c r="I190" i="4"/>
  <c r="N190" i="4"/>
  <c r="T190" i="4"/>
  <c r="AA190" i="4"/>
  <c r="B191" i="4" a="1"/>
  <c r="B191" i="4" s="1"/>
  <c r="C191" i="4" s="1"/>
  <c r="I191" i="4"/>
  <c r="N191" i="4"/>
  <c r="T191" i="4"/>
  <c r="AA191" i="4"/>
  <c r="C192" i="4"/>
  <c r="I192" i="4"/>
  <c r="T192" i="4"/>
  <c r="AA192" i="4"/>
  <c r="B193" i="4" a="1"/>
  <c r="B193" i="4" s="1"/>
  <c r="C193" i="4" s="1"/>
  <c r="I193" i="4"/>
  <c r="N193" i="4"/>
  <c r="T193" i="4"/>
  <c r="AA193" i="4"/>
  <c r="B194" i="4" a="1"/>
  <c r="B194" i="4" s="1"/>
  <c r="C194" i="4" s="1"/>
  <c r="I194" i="4"/>
  <c r="N194" i="4"/>
  <c r="T194" i="4"/>
  <c r="AA194" i="4"/>
  <c r="B195" i="4" a="1"/>
  <c r="B195" i="4" s="1"/>
  <c r="C195" i="4" s="1"/>
  <c r="I195" i="4"/>
  <c r="N195" i="4"/>
  <c r="T195" i="4"/>
  <c r="AA195" i="4"/>
  <c r="C196" i="4"/>
  <c r="I196" i="4"/>
  <c r="T196" i="4"/>
  <c r="AA196" i="4"/>
  <c r="B197" i="4" a="1"/>
  <c r="B197" i="4" s="1"/>
  <c r="C197" i="4" s="1"/>
  <c r="I197" i="4"/>
  <c r="N197" i="4"/>
  <c r="T197" i="4"/>
  <c r="AB197" i="4"/>
  <c r="AA197" i="4" s="1"/>
  <c r="I739" i="4"/>
  <c r="I721" i="4"/>
  <c r="AA739" i="4"/>
  <c r="T739" i="4"/>
  <c r="N739" i="4"/>
  <c r="B739" i="4" a="1"/>
  <c r="B739" i="4" s="1"/>
  <c r="C739" i="4" s="1"/>
  <c r="AM835" i="4" l="1"/>
  <c r="AM833" i="4" s="1"/>
  <c r="AL835" i="4"/>
  <c r="AL833" i="4" s="1"/>
  <c r="AJ757" i="4"/>
  <c r="AJ755" i="4" s="1"/>
  <c r="AK757" i="4"/>
  <c r="AK755" i="4" s="1"/>
  <c r="AI739" i="4" a="1"/>
  <c r="AI739" i="4" s="1"/>
  <c r="C737" i="4"/>
  <c r="AA721" i="4"/>
  <c r="T721" i="4"/>
  <c r="N721" i="4"/>
  <c r="F721" i="4"/>
  <c r="B721" i="4" s="1" a="1"/>
  <c r="B721" i="4" s="1"/>
  <c r="C721" i="4" s="1"/>
  <c r="C719" i="4"/>
  <c r="C511" i="4"/>
  <c r="AJ739" i="4" l="1"/>
  <c r="AJ737" i="4" s="1"/>
  <c r="AK739" i="4"/>
  <c r="AK737" i="4" s="1"/>
  <c r="AM757" i="4"/>
  <c r="AM755" i="4" s="1"/>
  <c r="AL757" i="4"/>
  <c r="AL755" i="4" s="1"/>
  <c r="AI721" i="4" a="1"/>
  <c r="AI721" i="4" s="1"/>
  <c r="AM739" i="4" l="1"/>
  <c r="AM737" i="4" s="1"/>
  <c r="AL739" i="4"/>
  <c r="AL737" i="4" s="1"/>
  <c r="AJ721" i="4"/>
  <c r="AK721" i="4"/>
  <c r="AK719" i="4" s="1"/>
  <c r="AM721" i="4" l="1"/>
  <c r="AM719" i="4" s="1"/>
  <c r="AL721" i="4"/>
  <c r="AL719" i="4" s="1"/>
  <c r="AJ719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<sst xmlns="http://schemas.openxmlformats.org/spreadsheetml/2006/main" count="2347" uniqueCount="390">
  <si>
    <t>id</t>
  </si>
  <si>
    <t>uint key</t>
  </si>
  <si>
    <t>怪物id</t>
    <phoneticPr fontId="4" type="noConversion"/>
  </si>
  <si>
    <t>怪物组id</t>
    <phoneticPr fontId="4" type="noConversion"/>
  </si>
  <si>
    <t>组内子id</t>
    <phoneticPr fontId="4" type="noConversion"/>
  </si>
  <si>
    <t>出现位置</t>
    <phoneticPr fontId="4" type="noConversion"/>
  </si>
  <si>
    <t>最大数量</t>
    <phoneticPr fontId="4" type="noConversion"/>
  </si>
  <si>
    <t>击杀压力</t>
    <phoneticPr fontId="4" type="noConversion"/>
  </si>
  <si>
    <t>uint key</t>
    <phoneticPr fontId="9" type="noConversion"/>
  </si>
  <si>
    <t>uint</t>
    <phoneticPr fontId="9" type="noConversion"/>
  </si>
  <si>
    <t>int</t>
    <phoneticPr fontId="9" type="noConversion"/>
  </si>
  <si>
    <t>float</t>
    <phoneticPr fontId="9" type="noConversion"/>
  </si>
  <si>
    <t>sub_id</t>
    <phoneticPr fontId="9" type="noConversion"/>
  </si>
  <si>
    <t>monster_id</t>
    <phoneticPr fontId="9" type="noConversion"/>
  </si>
  <si>
    <t>pos</t>
    <phoneticPr fontId="9" type="noConversion"/>
  </si>
  <si>
    <t>count_max</t>
    <phoneticPr fontId="9" type="noConversion"/>
  </si>
  <si>
    <t>tension_min</t>
    <phoneticPr fontId="9" type="noConversion"/>
  </si>
  <si>
    <t>tension_max</t>
    <phoneticPr fontId="9" type="noConversion"/>
  </si>
  <si>
    <t>k_distance</t>
    <phoneticPr fontId="9" type="noConversion"/>
  </si>
  <si>
    <t>k_time</t>
    <phoneticPr fontId="9" type="noConversion"/>
  </si>
  <si>
    <t>kill_pressure</t>
    <phoneticPr fontId="9" type="noConversion"/>
  </si>
  <si>
    <t>tide_count_addtion</t>
    <phoneticPr fontId="9" type="noConversion"/>
  </si>
  <si>
    <t>tide_time_addtion</t>
    <phoneticPr fontId="9" type="noConversion"/>
  </si>
  <si>
    <t>Vector2</t>
    <phoneticPr fontId="9" type="noConversion"/>
  </si>
  <si>
    <t>init_state</t>
    <phoneticPr fontId="9" type="noConversion"/>
  </si>
  <si>
    <t>string</t>
    <phoneticPr fontId="9" type="noConversion"/>
  </si>
  <si>
    <t>初始状态</t>
    <phoneticPr fontId="4" type="noConversion"/>
  </si>
  <si>
    <t>Default</t>
    <phoneticPr fontId="9" type="noConversion"/>
  </si>
  <si>
    <t>Default_Awaken</t>
    <phoneticPr fontId="9" type="noConversion"/>
  </si>
  <si>
    <t>编号辅助
怪物#</t>
    <phoneticPr fontId="9" type="noConversion"/>
  </si>
  <si>
    <t>编号辅助
细分#</t>
    <phoneticPr fontId="9" type="noConversion"/>
  </si>
  <si>
    <t>pos.x</t>
    <phoneticPr fontId="9" type="noConversion"/>
  </si>
  <si>
    <t>pos.y</t>
    <phoneticPr fontId="9" type="noConversion"/>
  </si>
  <si>
    <t>备注
生成位置</t>
    <phoneticPr fontId="9" type="noConversion"/>
  </si>
  <si>
    <t>备注
生成内容</t>
    <phoneticPr fontId="9" type="noConversion"/>
  </si>
  <si>
    <t>编号辅助
怪物小组#</t>
    <phoneticPr fontId="9" type="noConversion"/>
  </si>
  <si>
    <t>Idle</t>
    <phoneticPr fontId="9" type="noConversion"/>
  </si>
  <si>
    <t>generate_count_area</t>
    <phoneticPr fontId="9" type="noConversion"/>
  </si>
  <si>
    <t>Vector2?</t>
    <phoneticPr fontId="9" type="noConversion"/>
  </si>
  <si>
    <t>每次生成数
min~max</t>
    <phoneticPr fontId="4" type="noConversion"/>
  </si>
  <si>
    <t>rnd
min</t>
    <phoneticPr fontId="9" type="noConversion"/>
  </si>
  <si>
    <t>rnd
max</t>
    <phoneticPr fontId="9" type="noConversion"/>
  </si>
  <si>
    <t>流浪洞穴人</t>
  </si>
  <si>
    <t>纵火洞穴人</t>
  </si>
  <si>
    <t>暴徒洞穴人</t>
  </si>
  <si>
    <t>地区紧张度
min</t>
    <phoneticPr fontId="4" type="noConversion"/>
  </si>
  <si>
    <t>地区紧张度
max</t>
    <phoneticPr fontId="4" type="noConversion"/>
  </si>
  <si>
    <t>生成速率
距离系数</t>
    <phoneticPr fontId="4" type="noConversion"/>
  </si>
  <si>
    <t>生成速率
时间系数</t>
    <phoneticPr fontId="4" type="noConversion"/>
  </si>
  <si>
    <t>spawn_threshold</t>
    <phoneticPr fontId="9" type="noConversion"/>
  </si>
  <si>
    <t>spawn_init</t>
    <phoneticPr fontId="9" type="noConversion"/>
  </si>
  <si>
    <r>
      <t xml:space="preserve">初始进度
</t>
    </r>
    <r>
      <rPr>
        <i/>
        <sz val="9"/>
        <color theme="1"/>
        <rFont val="等线"/>
        <family val="3"/>
        <charset val="134"/>
        <scheme val="minor"/>
      </rPr>
      <t>仅在进入场景时随机取值一次</t>
    </r>
    <phoneticPr fontId="4" type="noConversion"/>
  </si>
  <si>
    <r>
      <t xml:space="preserve">生成所需进度
</t>
    </r>
    <r>
      <rPr>
        <i/>
        <sz val="9"/>
        <color theme="1"/>
        <rFont val="等线"/>
        <family val="3"/>
        <charset val="134"/>
        <scheme val="minor"/>
      </rPr>
      <t>进入场景时随机取值一次；每次生成怪物后重新随机取值。</t>
    </r>
    <phoneticPr fontId="4" type="noConversion"/>
  </si>
  <si>
    <t>特殊值?</t>
    <phoneticPr fontId="9" type="noConversion"/>
  </si>
  <si>
    <t>地宫</t>
  </si>
  <si>
    <t>位置
随机散布</t>
    <phoneticPr fontId="4" type="noConversion"/>
  </si>
  <si>
    <t>pos_rnd_radius</t>
    <phoneticPr fontId="9" type="noConversion"/>
  </si>
  <si>
    <t>重复key校验列</t>
    <phoneticPr fontId="9" type="noConversion"/>
  </si>
  <si>
    <t>地宫装甲车-近战</t>
  </si>
  <si>
    <t>地宫捕奴车-近战</t>
  </si>
  <si>
    <t>地宫捕奴车-远程</t>
  </si>
  <si>
    <t>地宫装甲车-远程</t>
  </si>
  <si>
    <t/>
  </si>
  <si>
    <t>Default</t>
    <phoneticPr fontId="4" type="noConversion"/>
  </si>
  <si>
    <t>大湖</t>
    <phoneticPr fontId="9" type="noConversion"/>
  </si>
  <si>
    <t>50,150</t>
    <phoneticPr fontId="9" type="noConversion"/>
  </si>
  <si>
    <t>enemy_201101</t>
  </si>
  <si>
    <t>地宫蝙蝠</t>
  </si>
  <si>
    <t>enemy_201102</t>
  </si>
  <si>
    <t>自爆甲虫</t>
  </si>
  <si>
    <t>enemy_201103</t>
  </si>
  <si>
    <t>跳虫</t>
  </si>
  <si>
    <t>enemy_201104</t>
  </si>
  <si>
    <t>地宫洞穴人</t>
  </si>
  <si>
    <t>enemy_201105</t>
  </si>
  <si>
    <t>跳虫骑手</t>
  </si>
  <si>
    <t>enemy_201106</t>
  </si>
  <si>
    <t>蝙蝠骑手</t>
  </si>
  <si>
    <t>enemy_201107</t>
  </si>
  <si>
    <t>enemy_201108</t>
  </si>
  <si>
    <t>enemy_201109</t>
  </si>
  <si>
    <t>大湖</t>
  </si>
  <si>
    <t>金鱼</t>
  </si>
  <si>
    <t>金鱼泡泡</t>
  </si>
  <si>
    <t>海藻小妖</t>
  </si>
  <si>
    <t>鲶鱼</t>
  </si>
  <si>
    <t>似目草</t>
  </si>
  <si>
    <t>脑型大水母</t>
  </si>
  <si>
    <t>针刺小水母</t>
  </si>
  <si>
    <t>印花水母</t>
  </si>
  <si>
    <t>混沌沼泽怪</t>
  </si>
  <si>
    <t>青蛙</t>
  </si>
  <si>
    <t>聒噪海贝</t>
  </si>
  <si>
    <t>贝壳乌贼</t>
  </si>
  <si>
    <t>enemy_211101</t>
  </si>
  <si>
    <t>enemy_211102</t>
  </si>
  <si>
    <t>enemy_211111</t>
  </si>
  <si>
    <t>enemy_211112</t>
  </si>
  <si>
    <t>enemy_219999</t>
  </si>
  <si>
    <t>测试敌人车</t>
  </si>
  <si>
    <t>enemy_209000</t>
  </si>
  <si>
    <t>测试蝙蝠</t>
  </si>
  <si>
    <t>enemy_209001</t>
  </si>
  <si>
    <t>测试蝙蝠_盘旋</t>
  </si>
  <si>
    <t>怪物id</t>
  </si>
  <si>
    <t>怪物名称</t>
  </si>
  <si>
    <t>备注1 地区</t>
  </si>
  <si>
    <t>备注2 名称</t>
  </si>
  <si>
    <t>0,45</t>
    <phoneticPr fontId="9" type="noConversion"/>
  </si>
  <si>
    <t>60,75</t>
    <phoneticPr fontId="9" type="noConversion"/>
  </si>
  <si>
    <t>备注
天气</t>
    <phoneticPr fontId="9" type="noConversion"/>
  </si>
  <si>
    <t>备注
世界</t>
    <phoneticPr fontId="9" type="noConversion"/>
  </si>
  <si>
    <t>大湖</t>
    <phoneticPr fontId="4" type="noConversion"/>
  </si>
  <si>
    <t>暴雨</t>
    <phoneticPr fontId="4" type="noConversion"/>
  </si>
  <si>
    <t>雷暴</t>
    <phoneticPr fontId="4" type="noConversion"/>
  </si>
  <si>
    <t>01. 基础 远程 幽浮</t>
    <phoneticPr fontId="9" type="noConversion"/>
  </si>
  <si>
    <t>02. 基础 近战 幽浮</t>
    <phoneticPr fontId="9" type="noConversion"/>
  </si>
  <si>
    <t>03. 基础 似目草海洋</t>
    <phoneticPr fontId="9" type="noConversion"/>
  </si>
  <si>
    <t>第1位</t>
  </si>
  <si>
    <t>第2位</t>
  </si>
  <si>
    <t>第4位</t>
  </si>
  <si>
    <t>42 = scene</t>
    <phoneticPr fontId="4" type="noConversion"/>
  </si>
  <si>
    <t>第3位</t>
    <phoneticPr fontId="4" type="noConversion"/>
  </si>
  <si>
    <t>01 = 地宫关卡</t>
    <phoneticPr fontId="4" type="noConversion"/>
  </si>
  <si>
    <t>08 = 大湖关卡</t>
    <phoneticPr fontId="4" type="noConversion"/>
  </si>
  <si>
    <t>第5位</t>
    <phoneticPr fontId="4" type="noConversion"/>
  </si>
  <si>
    <t>第6位</t>
    <phoneticPr fontId="4" type="noConversion"/>
  </si>
  <si>
    <t>第7位</t>
    <phoneticPr fontId="4" type="noConversion"/>
  </si>
  <si>
    <t>第8位</t>
    <phoneticPr fontId="4" type="noConversion"/>
  </si>
  <si>
    <t>00~99 难度细分编号</t>
    <phoneticPr fontId="4" type="noConversion"/>
  </si>
  <si>
    <t>65,70</t>
  </si>
  <si>
    <t>35,40</t>
  </si>
  <si>
    <t>70,75</t>
    <phoneticPr fontId="9" type="noConversion"/>
  </si>
  <si>
    <t>-105,-100</t>
    <phoneticPr fontId="9" type="noConversion"/>
  </si>
  <si>
    <t>-705,-700</t>
    <phoneticPr fontId="9" type="noConversion"/>
  </si>
  <si>
    <t>end_state</t>
    <phoneticPr fontId="9" type="noConversion"/>
  </si>
  <si>
    <t>撤离状态</t>
    <phoneticPr fontId="4" type="noConversion"/>
  </si>
  <si>
    <t>is_elite</t>
    <phoneticPr fontId="9" type="noConversion"/>
  </si>
  <si>
    <t>bool?</t>
    <phoneticPr fontId="9" type="noConversion"/>
  </si>
  <si>
    <t>Flee</t>
    <phoneticPr fontId="4" type="noConversion"/>
  </si>
  <si>
    <t>0,0</t>
    <phoneticPr fontId="9" type="noConversion"/>
  </si>
  <si>
    <t>52. 精英 金鱼王</t>
    <phoneticPr fontId="9" type="noConversion"/>
  </si>
  <si>
    <t>50. 精英 渊齿</t>
    <phoneticPr fontId="9" type="noConversion"/>
  </si>
  <si>
    <t>51. 精英 缠绕水藻</t>
    <phoneticPr fontId="9" type="noConversion"/>
  </si>
  <si>
    <t>04 = 树梢关卡</t>
    <phoneticPr fontId="4" type="noConversion"/>
  </si>
  <si>
    <t>07 = 荒漠关卡</t>
    <phoneticPr fontId="4" type="noConversion"/>
  </si>
  <si>
    <t>渊齿</t>
    <phoneticPr fontId="4" type="noConversion"/>
  </si>
  <si>
    <t>缠绕水藻</t>
    <phoneticPr fontId="4" type="noConversion"/>
  </si>
  <si>
    <t>金鱼王</t>
    <phoneticPr fontId="4" type="noConversion"/>
  </si>
  <si>
    <t>enemy_201701</t>
  </si>
  <si>
    <t>荒漠</t>
  </si>
  <si>
    <t>涂涂鸟</t>
  </si>
  <si>
    <t>enemy_201702</t>
  </si>
  <si>
    <t>沙漠蛇</t>
  </si>
  <si>
    <t>enemy_201703</t>
  </si>
  <si>
    <t>巨牙蝎</t>
  </si>
  <si>
    <t>enemy_201704</t>
  </si>
  <si>
    <t>巨型石头人</t>
  </si>
  <si>
    <t>enemy_201705</t>
  </si>
  <si>
    <t>小石头人</t>
  </si>
  <si>
    <t>enemy_201706</t>
  </si>
  <si>
    <t>enemy_201707</t>
  </si>
  <si>
    <t>enemy_201708</t>
  </si>
  <si>
    <t>双刀守卫</t>
  </si>
  <si>
    <t>enemy_201709</t>
  </si>
  <si>
    <t>大仙人掌</t>
  </si>
  <si>
    <t>enemy_201710</t>
  </si>
  <si>
    <t>小仙人掌</t>
  </si>
  <si>
    <t>enemy_201711</t>
  </si>
  <si>
    <t>大风滚草</t>
  </si>
  <si>
    <t>enemy_201712</t>
  </si>
  <si>
    <t>小风滚草</t>
  </si>
  <si>
    <t>荒漠</t>
    <phoneticPr fontId="9" type="noConversion"/>
  </si>
  <si>
    <t>01. 基础 近战 幽浮</t>
    <phoneticPr fontId="9" type="noConversion"/>
  </si>
  <si>
    <t>02. 远程拦路</t>
    <phoneticPr fontId="9" type="noConversion"/>
  </si>
  <si>
    <t>12. 近战陆军追逐</t>
    <phoneticPr fontId="9" type="noConversion"/>
  </si>
  <si>
    <t>03. 近战陆军追逐</t>
    <phoneticPr fontId="9" type="noConversion"/>
  </si>
  <si>
    <t>14. 飞行近战袭扰</t>
    <phoneticPr fontId="9" type="noConversion"/>
  </si>
  <si>
    <t>195,200</t>
    <phoneticPr fontId="9" type="noConversion"/>
  </si>
  <si>
    <t>95,100</t>
    <phoneticPr fontId="9" type="noConversion"/>
  </si>
  <si>
    <t>185,190</t>
    <phoneticPr fontId="9" type="noConversion"/>
  </si>
  <si>
    <t>135,140</t>
    <phoneticPr fontId="9" type="noConversion"/>
  </si>
  <si>
    <t>115,120</t>
    <phoneticPr fontId="9" type="noConversion"/>
  </si>
  <si>
    <t>110,114</t>
    <phoneticPr fontId="9" type="noConversion"/>
  </si>
  <si>
    <t>190,194</t>
    <phoneticPr fontId="9" type="noConversion"/>
  </si>
  <si>
    <t>90,94</t>
    <phoneticPr fontId="9" type="noConversion"/>
  </si>
  <si>
    <t>285,290</t>
    <phoneticPr fontId="9" type="noConversion"/>
  </si>
  <si>
    <t>280,284</t>
    <phoneticPr fontId="9" type="noConversion"/>
  </si>
  <si>
    <t>130,134</t>
    <phoneticPr fontId="9" type="noConversion"/>
  </si>
  <si>
    <t>180,184</t>
    <phoneticPr fontId="9" type="noConversion"/>
  </si>
  <si>
    <t>13. 近战陆军瞬移</t>
    <phoneticPr fontId="9" type="noConversion"/>
  </si>
  <si>
    <t>24. 近战拦路+追逐（石头人一家）</t>
    <phoneticPr fontId="9" type="noConversion"/>
  </si>
  <si>
    <t>Jump</t>
    <phoneticPr fontId="4" type="noConversion"/>
  </si>
  <si>
    <t>流沙区</t>
  </si>
  <si>
    <t>流沙区+扬尘</t>
  </si>
  <si>
    <t>流沙区+沙暴</t>
  </si>
  <si>
    <t>树梢</t>
  </si>
  <si>
    <t>树梢</t>
    <phoneticPr fontId="9" type="noConversion"/>
  </si>
  <si>
    <t>enemy_201401</t>
  </si>
  <si>
    <t>古灯</t>
  </si>
  <si>
    <t>enemy_201402</t>
  </si>
  <si>
    <t>毒刺果实丛</t>
  </si>
  <si>
    <t>enemy_201403</t>
  </si>
  <si>
    <t>毒刺果实</t>
  </si>
  <si>
    <t>enemy_201404</t>
  </si>
  <si>
    <t>画中仙</t>
  </si>
  <si>
    <t>enemy_201405</t>
  </si>
  <si>
    <t>鱼妖</t>
  </si>
  <si>
    <t>enemy_201406</t>
  </si>
  <si>
    <t>鬼瓮</t>
  </si>
  <si>
    <t>enemy_201407</t>
  </si>
  <si>
    <t>enemy_201408</t>
  </si>
  <si>
    <t>铁针鸟</t>
  </si>
  <si>
    <t>enemy_201409</t>
  </si>
  <si>
    <t>密林松鼠</t>
  </si>
  <si>
    <t>enemy_201410</t>
  </si>
  <si>
    <t>暴躁金尾猴</t>
  </si>
  <si>
    <t>enemy_201411</t>
  </si>
  <si>
    <t>祖蜂</t>
  </si>
  <si>
    <t>enemy_201412</t>
  </si>
  <si>
    <t>幼祖蜂</t>
  </si>
  <si>
    <t>enemy_201413</t>
  </si>
  <si>
    <t>春花雀（蓝）</t>
  </si>
  <si>
    <t>enemy_201414</t>
  </si>
  <si>
    <t>春花雀（红）</t>
  </si>
  <si>
    <t>enemy_201415</t>
  </si>
  <si>
    <t>春花雀（黄）</t>
  </si>
  <si>
    <t>enemy_201416</t>
  </si>
  <si>
    <t>绿枝粟粟民</t>
  </si>
  <si>
    <t>enemy_201417</t>
  </si>
  <si>
    <t>悬铃粟粟民</t>
  </si>
  <si>
    <t>enemy_201418</t>
  </si>
  <si>
    <t>缓慢魔法飞弹</t>
  </si>
  <si>
    <t>enemy_201419</t>
  </si>
  <si>
    <t>空木粟粟民</t>
  </si>
  <si>
    <t>04. 各类易碎品</t>
    <phoneticPr fontId="9" type="noConversion"/>
  </si>
  <si>
    <t>13.近战 空军 追逐</t>
    <phoneticPr fontId="9" type="noConversion"/>
  </si>
  <si>
    <t>14.远程 空军 追逐</t>
    <phoneticPr fontId="9" type="noConversion"/>
  </si>
  <si>
    <t>02. 基础 幽浮 召唤</t>
    <phoneticPr fontId="9" type="noConversion"/>
  </si>
  <si>
    <t>01. 基础 幽浮 近战</t>
    <phoneticPr fontId="9" type="noConversion"/>
  </si>
  <si>
    <t>03. 紧张演出（纯自爆）</t>
    <phoneticPr fontId="9" type="noConversion"/>
  </si>
  <si>
    <t>60,140</t>
    <phoneticPr fontId="9" type="noConversion"/>
  </si>
  <si>
    <t>40,160</t>
    <phoneticPr fontId="9" type="noConversion"/>
  </si>
  <si>
    <t>地宫</t>
    <phoneticPr fontId="9" type="noConversion"/>
  </si>
  <si>
    <t>12. 进阶 远程 缠斗</t>
    <phoneticPr fontId="9" type="noConversion"/>
  </si>
  <si>
    <t>04. 基础 近战追逐</t>
    <phoneticPr fontId="9" type="noConversion"/>
  </si>
  <si>
    <t>05. 基础 远程陆行追逐</t>
    <phoneticPr fontId="9" type="noConversion"/>
  </si>
  <si>
    <t>23. 高级 似目草海洋+青蛙</t>
    <phoneticPr fontId="9" type="noConversion"/>
  </si>
  <si>
    <t>22. 高级 紧张演出 自爆空军</t>
    <phoneticPr fontId="9" type="noConversion"/>
  </si>
  <si>
    <t>21. 高级 遭遇战 缓慢远程陆军</t>
    <phoneticPr fontId="9" type="noConversion"/>
  </si>
  <si>
    <t>15. 进阶 近战追逐演出</t>
    <phoneticPr fontId="9" type="noConversion"/>
  </si>
  <si>
    <t>13. 进阶 遭遇战 近战追逐</t>
    <phoneticPr fontId="9" type="noConversion"/>
  </si>
  <si>
    <t>11. 进阶 缠斗 幽浮空军远程</t>
    <phoneticPr fontId="9" type="noConversion"/>
  </si>
  <si>
    <t>11. 进阶 远程飞行追逐</t>
    <phoneticPr fontId="9" type="noConversion"/>
  </si>
  <si>
    <t>13. 进阶 远程 陆行 火焰攻击</t>
    <phoneticPr fontId="9" type="noConversion"/>
  </si>
  <si>
    <t>03. 基础 远程 陆行 遭遇战</t>
    <phoneticPr fontId="9" type="noConversion"/>
  </si>
  <si>
    <t>14. 进阶 近战 陆行 扎堆路障</t>
    <phoneticPr fontId="9" type="noConversion"/>
  </si>
  <si>
    <t>23. 高级 自爆空军</t>
    <phoneticPr fontId="9" type="noConversion"/>
  </si>
  <si>
    <t>-250,-200</t>
    <phoneticPr fontId="9" type="noConversion"/>
  </si>
  <si>
    <t>-350,-300</t>
    <phoneticPr fontId="9" type="noConversion"/>
  </si>
  <si>
    <t>-450,-400</t>
    <phoneticPr fontId="9" type="noConversion"/>
  </si>
  <si>
    <t>-550,-500</t>
    <phoneticPr fontId="9" type="noConversion"/>
  </si>
  <si>
    <t>-650,-600</t>
    <phoneticPr fontId="9" type="noConversion"/>
  </si>
  <si>
    <t>-235,-240</t>
    <phoneticPr fontId="9" type="noConversion"/>
  </si>
  <si>
    <t>-405,-400</t>
    <phoneticPr fontId="9" type="noConversion"/>
  </si>
  <si>
    <t>-245,-240</t>
    <phoneticPr fontId="9" type="noConversion"/>
  </si>
  <si>
    <t>-255,-250</t>
    <phoneticPr fontId="9" type="noConversion"/>
  </si>
  <si>
    <t>基础守卫</t>
    <phoneticPr fontId="4" type="noConversion"/>
  </si>
  <si>
    <t>大盾守卫</t>
    <phoneticPr fontId="4" type="noConversion"/>
  </si>
  <si>
    <t>-305,-300</t>
    <phoneticPr fontId="9" type="noConversion"/>
  </si>
  <si>
    <t>-555,-550</t>
    <phoneticPr fontId="9" type="noConversion"/>
  </si>
  <si>
    <t>编号
辅助
紧张</t>
    <phoneticPr fontId="9" type="noConversion"/>
  </si>
  <si>
    <t>编号
辅助
种类</t>
    <phoneticPr fontId="9" type="noConversion"/>
  </si>
  <si>
    <t>编号
辅助
小组</t>
    <phoneticPr fontId="9" type="noConversion"/>
  </si>
  <si>
    <t>编号
辅助
大组</t>
    <phoneticPr fontId="9" type="noConversion"/>
  </si>
  <si>
    <t>备注
生成
位置</t>
    <phoneticPr fontId="9" type="noConversion"/>
  </si>
  <si>
    <t>精英</t>
    <phoneticPr fontId="4" type="noConversion"/>
  </si>
  <si>
    <t>生成速率</t>
    <phoneticPr fontId="9" type="noConversion"/>
  </si>
  <si>
    <r>
      <t xml:space="preserve">生成速率
时间系数
</t>
    </r>
    <r>
      <rPr>
        <i/>
        <sz val="9"/>
        <color theme="1"/>
        <rFont val="等线"/>
        <family val="3"/>
        <charset val="134"/>
        <scheme val="minor"/>
      </rPr>
      <t>代码中被除以120，意味着这是秒增量而不是帧增量。</t>
    </r>
    <phoneticPr fontId="4" type="noConversion"/>
  </si>
  <si>
    <t>HP</t>
    <phoneticPr fontId="4" type="noConversion"/>
  </si>
  <si>
    <t>-605,-600</t>
    <phoneticPr fontId="9" type="noConversion"/>
  </si>
  <si>
    <t>兽潮
强化
数量</t>
    <phoneticPr fontId="4" type="noConversion"/>
  </si>
  <si>
    <t>兽潮
强化
k_time</t>
    <phoneticPr fontId="4" type="noConversion"/>
  </si>
  <si>
    <t>鬼狰</t>
    <phoneticPr fontId="4" type="noConversion"/>
  </si>
  <si>
    <t>1000,1000</t>
    <phoneticPr fontId="9" type="noConversion"/>
  </si>
  <si>
    <t>定量生成？</t>
    <phoneticPr fontId="9" type="noConversion"/>
  </si>
  <si>
    <t>992,996</t>
    <phoneticPr fontId="9" type="noConversion"/>
  </si>
  <si>
    <t>692,696</t>
    <phoneticPr fontId="9" type="noConversion"/>
  </si>
  <si>
    <t>定量
100u
分布</t>
    <phoneticPr fontId="9" type="noConversion"/>
  </si>
  <si>
    <t>key</t>
    <phoneticPr fontId="4" type="noConversion"/>
  </si>
  <si>
    <t>value</t>
    <phoneticPr fontId="4" type="noConversion"/>
  </si>
  <si>
    <t>842,846</t>
    <phoneticPr fontId="9" type="noConversion"/>
  </si>
  <si>
    <t>942,946</t>
    <phoneticPr fontId="9" type="noConversion"/>
  </si>
  <si>
    <t>642,646</t>
    <phoneticPr fontId="9" type="noConversion"/>
  </si>
  <si>
    <t>稳态.单位距离</t>
    <phoneticPr fontId="4" type="noConversion"/>
  </si>
  <si>
    <t>稳态.单位时间</t>
    <phoneticPr fontId="4" type="noConversion"/>
  </si>
  <si>
    <t>unity unit</t>
    <phoneticPr fontId="4" type="noConversion"/>
  </si>
  <si>
    <t>sec</t>
    <phoneticPr fontId="4" type="noConversion"/>
  </si>
  <si>
    <t>单位</t>
    <phoneticPr fontId="4" type="noConversion"/>
  </si>
  <si>
    <t>unit / sec</t>
    <phoneticPr fontId="4" type="noConversion"/>
  </si>
  <si>
    <t>稳态.基础速度</t>
    <phoneticPr fontId="4" type="noConversion"/>
  </si>
  <si>
    <t>Config</t>
    <phoneticPr fontId="4" type="noConversion"/>
  </si>
  <si>
    <t>稳态
单位时间
生成数
(16.67s)</t>
    <phoneticPr fontId="9" type="noConversion"/>
  </si>
  <si>
    <t>稳态
单位距离
生成数
(100unit)</t>
    <phoneticPr fontId="9" type="noConversion"/>
  </si>
  <si>
    <t>9000,9000</t>
    <phoneticPr fontId="9" type="noConversion"/>
  </si>
  <si>
    <t>8700,8701</t>
    <phoneticPr fontId="9" type="noConversion"/>
  </si>
  <si>
    <t>8710,8711</t>
    <phoneticPr fontId="9" type="noConversion"/>
  </si>
  <si>
    <t>8705,8706</t>
    <phoneticPr fontId="9" type="noConversion"/>
  </si>
  <si>
    <t>稳态
单位距离
hp
(100unit)</t>
    <phoneticPr fontId="9" type="noConversion"/>
  </si>
  <si>
    <t>稳态
单位时间
hp
(16.67s)</t>
    <phoneticPr fontId="9" type="noConversion"/>
  </si>
  <si>
    <t>03-01. 似目草海洋 + 海贝追逐</t>
    <phoneticPr fontId="9" type="noConversion"/>
  </si>
  <si>
    <t>22-11. 印花水母混搭针刺水母</t>
    <phoneticPr fontId="9" type="noConversion"/>
  </si>
  <si>
    <t>8700,8700</t>
    <phoneticPr fontId="9" type="noConversion"/>
  </si>
  <si>
    <t>基础关卡长度</t>
    <phoneticPr fontId="4" type="noConversion"/>
  </si>
  <si>
    <t>200,200</t>
    <phoneticPr fontId="9" type="noConversion"/>
  </si>
  <si>
    <t>180,180</t>
    <phoneticPr fontId="9" type="noConversion"/>
  </si>
  <si>
    <t>色号</t>
    <phoneticPr fontId="4" type="noConversion"/>
  </si>
  <si>
    <t>地宫</t>
    <phoneticPr fontId="4" type="noConversion"/>
  </si>
  <si>
    <t>树梢</t>
    <phoneticPr fontId="4" type="noConversion"/>
  </si>
  <si>
    <t>荒漠</t>
    <phoneticPr fontId="4" type="noConversion"/>
  </si>
  <si>
    <t>世界</t>
    <phoneticPr fontId="4" type="noConversion"/>
  </si>
  <si>
    <t>#D0CECE</t>
    <phoneticPr fontId="4" type="noConversion"/>
  </si>
  <si>
    <t>#FFC9FF</t>
    <phoneticPr fontId="4" type="noConversion"/>
  </si>
  <si>
    <t>#FFE699</t>
    <phoneticPr fontId="4" type="noConversion"/>
  </si>
  <si>
    <t>#B4C6E7</t>
    <phoneticPr fontId="4" type="noConversion"/>
  </si>
  <si>
    <t>99 = Demo大湖关卡</t>
    <phoneticPr fontId="4" type="noConversion"/>
  </si>
  <si>
    <t>50-79 = 精英怪</t>
    <phoneticPr fontId="4" type="noConversion"/>
  </si>
  <si>
    <t>80-99 = Boss</t>
    <phoneticPr fontId="4" type="noConversion"/>
  </si>
  <si>
    <t>8992,8996</t>
    <phoneticPr fontId="9" type="noConversion"/>
  </si>
  <si>
    <t>01 = 关卡场景1 怪物组</t>
    <phoneticPr fontId="4" type="noConversion"/>
  </si>
  <si>
    <t>02 = 关卡场景2 怪物组</t>
    <phoneticPr fontId="4" type="noConversion"/>
  </si>
  <si>
    <t>03 = 关卡场景3 怪物组</t>
    <phoneticPr fontId="4" type="noConversion"/>
  </si>
  <si>
    <t>04 = 关卡场景4 怪物组</t>
    <phoneticPr fontId="4" type="noConversion"/>
  </si>
  <si>
    <t>05 = 关卡场景5 怪物组</t>
    <phoneticPr fontId="4" type="noConversion"/>
  </si>
  <si>
    <t>06 = 关卡场景6 怪物组</t>
    <phoneticPr fontId="4" type="noConversion"/>
  </si>
  <si>
    <t>8892,8896</t>
    <phoneticPr fontId="9" type="noConversion"/>
  </si>
  <si>
    <t>01 = 段1 似目草前</t>
    <phoneticPr fontId="4" type="noConversion"/>
  </si>
  <si>
    <t>02 = 段2 似目草100m</t>
    <phoneticPr fontId="4" type="noConversion"/>
  </si>
  <si>
    <t>03 = 段1 似目草后</t>
    <phoneticPr fontId="4" type="noConversion"/>
  </si>
  <si>
    <t>02 = 段2 似目草200m</t>
    <phoneticPr fontId="4" type="noConversion"/>
  </si>
  <si>
    <t>8942,8946</t>
    <phoneticPr fontId="9" type="noConversion"/>
  </si>
  <si>
    <t>8842,8846</t>
    <phoneticPr fontId="9" type="noConversion"/>
  </si>
  <si>
    <t>00. 新手关演出怪 （max长度158）</t>
    <phoneticPr fontId="9" type="noConversion"/>
  </si>
  <si>
    <t>100,100</t>
    <phoneticPr fontId="9" type="noConversion"/>
  </si>
  <si>
    <t>-1205,-1200</t>
    <phoneticPr fontId="9" type="noConversion"/>
  </si>
  <si>
    <t>-1805,-1800</t>
    <phoneticPr fontId="9" type="noConversion"/>
  </si>
  <si>
    <t>-2505,-2500</t>
    <phoneticPr fontId="9" type="noConversion"/>
  </si>
  <si>
    <t>01-49 = 普通怪</t>
    <phoneticPr fontId="4" type="noConversion"/>
  </si>
  <si>
    <t>00 = 初始场景固定怪与追兵</t>
    <phoneticPr fontId="4" type="noConversion"/>
  </si>
  <si>
    <t>兽潮做在追兵里</t>
  </si>
  <si>
    <t>05. 基础 遭遇战 陆战近战</t>
    <phoneticPr fontId="9" type="noConversion"/>
  </si>
  <si>
    <t>06. 基础 遭遇战 陆战远程</t>
    <phoneticPr fontId="9" type="noConversion"/>
  </si>
  <si>
    <t>00-01. 追兵模拟-等级1</t>
    <phoneticPr fontId="9" type="noConversion"/>
  </si>
  <si>
    <t>00-02. 追兵模拟-等级2</t>
    <phoneticPr fontId="9" type="noConversion"/>
  </si>
  <si>
    <t>00-03. 追兵模拟-等级3</t>
    <phoneticPr fontId="9" type="noConversion"/>
  </si>
  <si>
    <t>Purchasing Enemy</t>
    <phoneticPr fontId="4" type="noConversion"/>
  </si>
  <si>
    <t>追兵等级</t>
    <phoneticPr fontId="4" type="noConversion"/>
  </si>
  <si>
    <t>临界速度</t>
    <phoneticPr fontId="4" type="noConversion"/>
  </si>
  <si>
    <t>最大值速度</t>
    <phoneticPr fontId="4" type="noConversion"/>
  </si>
  <si>
    <t>1200,1200</t>
    <phoneticPr fontId="9" type="noConversion"/>
  </si>
  <si>
    <t>120,120</t>
    <phoneticPr fontId="9" type="noConversion"/>
  </si>
  <si>
    <t>240,240</t>
    <phoneticPr fontId="9" type="noConversion"/>
  </si>
  <si>
    <t>360,360</t>
    <phoneticPr fontId="9" type="noConversion"/>
  </si>
  <si>
    <t>480,480</t>
    <phoneticPr fontId="9" type="noConversion"/>
  </si>
  <si>
    <t>720,720</t>
    <phoneticPr fontId="9" type="noConversion"/>
  </si>
  <si>
    <t>960,960</t>
    <phoneticPr fontId="9" type="noConversion"/>
  </si>
  <si>
    <t>enemy_201801</t>
  </si>
  <si>
    <t>enemy_201802</t>
  </si>
  <si>
    <t>enemy_201803</t>
  </si>
  <si>
    <t>enemy_201804</t>
  </si>
  <si>
    <t>enemy_201805</t>
  </si>
  <si>
    <t>enemy_201806</t>
  </si>
  <si>
    <t>enemy_201807</t>
  </si>
  <si>
    <t>enemy_201808</t>
  </si>
  <si>
    <t>enemy_201809</t>
  </si>
  <si>
    <t>enemy_201810</t>
  </si>
  <si>
    <t>enemy_201811</t>
  </si>
  <si>
    <t>enemy_201813</t>
  </si>
  <si>
    <t>enemy_201850</t>
  </si>
  <si>
    <t>enemy_201860</t>
  </si>
  <si>
    <t>enemy_201870</t>
  </si>
  <si>
    <t>弱小螃蟹</t>
  </si>
  <si>
    <t>大钳螃蟹</t>
  </si>
  <si>
    <t>04. 基础 近战追逐演出</t>
    <phoneticPr fontId="9" type="noConversion"/>
  </si>
  <si>
    <t>enemy_201818</t>
  </si>
  <si>
    <t>enemy_201819</t>
  </si>
  <si>
    <t>凶猛海贝</t>
  </si>
  <si>
    <t>生成速率</t>
    <phoneticPr fontId="4" type="noConversion"/>
  </si>
  <si>
    <t>00-04. 追兵模拟-等级4</t>
    <phoneticPr fontId="9" type="noConversion"/>
  </si>
  <si>
    <t>00-05. 追兵模拟-等级5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</si>
</sst>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charset val="134"/>
      <scheme val="minor"/>
    </font>
    <font>
      <sz val="11"/>
      <color theme="0"/>
      <name val="等线"/>
      <family val="2"/>
      <scheme val="minor"/>
    </font>
    <font>
      <sz val="11"/>
      <color theme="5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i/>
      <sz val="11"/>
      <color theme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i/>
      <sz val="11"/>
      <color theme="1" tint="0.499984740745262"/>
      <name val="等线"/>
      <family val="3"/>
      <charset val="134"/>
      <scheme val="minor"/>
    </font>
    <font>
      <b/>
      <i/>
      <sz val="11"/>
      <color theme="1" tint="0.499984740745262"/>
      <name val="等线"/>
      <family val="3"/>
      <charset val="134"/>
      <scheme val="minor"/>
    </font>
    <font>
      <b/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i/>
      <sz val="9"/>
      <color theme="1"/>
      <name val="等线"/>
      <family val="3"/>
      <charset val="134"/>
      <scheme val="minor"/>
    </font>
    <font>
      <i/>
      <sz val="9"/>
      <color theme="0"/>
      <name val="等线"/>
      <family val="3"/>
      <charset val="134"/>
      <scheme val="minor"/>
    </font>
    <font>
      <i/>
      <sz val="9"/>
      <color theme="5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9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7" fillId="0" borderId="0"/>
    <xf numFmtId="0" fontId="3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1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3" fontId="8" fillId="0" borderId="0" xfId="0" quotePrefix="1" applyNumberFormat="1" applyFont="1" applyAlignment="1">
      <alignment horizontal="center"/>
    </xf>
    <xf numFmtId="0" fontId="8" fillId="0" borderId="0" xfId="0" quotePrefix="1" applyFont="1" applyAlignment="1">
      <alignment horizontal="center"/>
    </xf>
    <xf numFmtId="0" fontId="3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8" fillId="9" borderId="0" xfId="0" applyFont="1" applyFill="1" applyAlignment="1">
      <alignment horizontal="center"/>
    </xf>
    <xf numFmtId="49" fontId="3" fillId="10" borderId="0" xfId="0" applyNumberFormat="1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8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3" fillId="12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10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5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1" fillId="12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5" fillId="0" borderId="0" xfId="0" quotePrefix="1" applyFont="1" applyAlignment="1">
      <alignment horizontal="center"/>
    </xf>
    <xf numFmtId="0" fontId="10" fillId="13" borderId="0" xfId="0" applyFont="1" applyFill="1" applyAlignment="1">
      <alignment horizontal="center"/>
    </xf>
    <xf numFmtId="0" fontId="12" fillId="0" borderId="0" xfId="3" applyFont="1" applyAlignment="1">
      <alignment vertical="center"/>
    </xf>
    <xf numFmtId="0" fontId="8" fillId="4" borderId="0" xfId="0" applyFont="1" applyFill="1" applyAlignment="1">
      <alignment horizontal="center"/>
    </xf>
    <xf numFmtId="0" fontId="8" fillId="4" borderId="0" xfId="0" quotePrefix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13" fillId="0" borderId="0" xfId="3" quotePrefix="1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Fill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2 2" xfId="2" xr:uid="{D2489BA3-7AF3-4E35-8F0A-46AEE03BE09D}"/>
    <cellStyle name="常规 2 3" xfId="3" xr:uid="{E756B243-32BC-4450-9D47-3F95F34FB5B5}"/>
  </cellStyles>
  <dxfs count="1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family val="3"/>
        <charset val="134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F2BB62-03EA-4780-A0C0-3552B7AB7BBD}" name="monsters" displayName="monsters" ref="B6:F79" totalsRowShown="0" dataDxfId="18" dataCellStyle="常规 2 3">
  <autoFilter ref="B6:F79" xr:uid="{D8F2BB62-03EA-4780-A0C0-3552B7AB7BBD}"/>
  <tableColumns count="5">
    <tableColumn id="1" xr3:uid="{DE1344EF-E53D-45EF-B3DD-BE70A4250977}" name="怪物id" dataDxfId="17" dataCellStyle="常规 2 3"/>
    <tableColumn id="2" xr3:uid="{D71E5F22-1064-419C-A762-01B0CC9CC587}" name="怪物名称" dataDxfId="16" dataCellStyle="常规 2 3"/>
    <tableColumn id="3" xr3:uid="{93ABD482-96EE-4305-AD79-6FBCDC6679AD}" name="备注1 地区" dataDxfId="15" dataCellStyle="常规 2 3"/>
    <tableColumn id="4" xr3:uid="{33E8C574-77F4-4BD2-8C21-54E385BCA1A8}" name="备注2 名称" dataDxfId="14" dataCellStyle="常规 2 3"/>
    <tableColumn id="5" xr3:uid="{4197CEDF-143E-47D7-AD45-96D4EA532F56}" name="HP" dataDxfId="13" dataCellStyle="常规 2 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7B06C4-A69B-434C-85A2-8CAD6C3CCE7F}" name="tb_config" displayName="tb_config" ref="H6:J10" totalsRowShown="0" headerRowDxfId="12" dataDxfId="11" headerRowCellStyle="常规 2 3" dataCellStyle="常规 2 3">
  <autoFilter ref="H6:J10" xr:uid="{627B06C4-A69B-434C-85A2-8CAD6C3CCE7F}"/>
  <tableColumns count="3">
    <tableColumn id="1" xr3:uid="{BAA0BB8C-83F5-467D-AB83-4846A7069C69}" name="key" dataDxfId="10" dataCellStyle="常规 2 3"/>
    <tableColumn id="2" xr3:uid="{98D40C74-76B7-48F2-8247-185919548A43}" name="value" dataDxfId="9" dataCellStyle="常规 2 3"/>
    <tableColumn id="3" xr3:uid="{E7A13180-7F59-45F4-A0DA-333B2D608C00}" name="单位" dataDxfId="8" dataCellStyle="常规 2 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1F763C-08D6-4DDC-9A3B-55F9B28C7F9A}" name="Tb_Purchasing" displayName="Tb_Purchasing" ref="H16:K21" totalsRowShown="0" headerRowDxfId="7" dataDxfId="6" headerRowCellStyle="常规 2 3" dataCellStyle="常规 2 3">
  <autoFilter ref="H16:K21" xr:uid="{4C1F763C-08D6-4DDC-9A3B-55F9B28C7F9A}"/>
  <tableColumns count="4">
    <tableColumn id="1" xr3:uid="{F936E4FB-B182-496A-BD3E-6D6BEC72ED52}" name="追兵等级" dataDxfId="5" dataCellStyle="常规 2 3"/>
    <tableColumn id="2" xr3:uid="{CA954BC2-121A-4904-8121-A469460D0A54}" name="临界速度" dataDxfId="4" dataCellStyle="常规 2 3"/>
    <tableColumn id="3" xr3:uid="{BEECB3A9-070A-4889-994A-DB0ADD85C90D}" name="最大值速度" dataDxfId="3" dataCellStyle="常规 2 3"/>
    <tableColumn id="4" xr3:uid="{199FA100-39CA-4178-A69D-315F937F2C7D}" name="生成速率" dataDxfId="2" dataCellStyle="常规 2 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1DEC-4163-4099-B959-59F74A052E95}">
  <dimension ref="A1:Y35"/>
  <sheetViews>
    <sheetView zoomScaleNormal="100" workbookViewId="0">
      <pane ySplit="3" topLeftCell="A4" activePane="bottomLeft" state="frozen"/>
      <selection pane="bottomLeft" activeCell="R21" sqref="R21"/>
    </sheetView>
  </sheetViews>
  <sheetFormatPr defaultColWidth="9.125" defaultRowHeight="14.25" x14ac:dyDescent="0.2"/>
  <cols>
    <col min="1" max="2" width="8.75" style="9" bestFit="1" customWidth="1"/>
    <col min="3" max="3" width="11.875" style="30" bestFit="1" customWidth="1"/>
    <col min="4" max="4" width="5.75" style="15" bestFit="1" customWidth="1"/>
    <col min="5" max="5" width="12.875" style="15" bestFit="1" customWidth="1"/>
    <col min="6" max="8" width="9.5" style="26" bestFit="1" customWidth="1"/>
    <col min="9" max="9" width="10.5" style="9" bestFit="1" customWidth="1"/>
    <col min="10" max="11" width="9.5" style="15" bestFit="1" customWidth="1"/>
    <col min="12" max="13" width="9" style="9" bestFit="1" customWidth="1"/>
    <col min="14" max="15" width="6.25" style="24" bestFit="1" customWidth="1"/>
    <col min="16" max="16" width="14" style="9" bestFit="1" customWidth="1"/>
    <col min="17" max="17" width="10.375" style="9" bestFit="1" customWidth="1"/>
    <col min="18" max="18" width="19.5" style="9" bestFit="1" customWidth="1"/>
    <col min="19" max="19" width="5" style="24" bestFit="1" customWidth="1"/>
    <col min="20" max="20" width="5.5" style="24" bestFit="1" customWidth="1"/>
    <col min="21" max="21" width="14.125" style="9" bestFit="1" customWidth="1"/>
    <col min="22" max="22" width="8.5" style="24" bestFit="1" customWidth="1"/>
    <col min="23" max="23" width="15.25" style="9" customWidth="1"/>
    <col min="24" max="24" width="8.5" style="24" bestFit="1" customWidth="1"/>
    <col min="25" max="25" width="9" style="9" bestFit="1" customWidth="1"/>
    <col min="26" max="16384" width="9.125" style="9"/>
  </cols>
  <sheetData>
    <row r="1" spans="1:25" s="1" customFormat="1" x14ac:dyDescent="0.2">
      <c r="A1" s="1" t="s">
        <v>0</v>
      </c>
      <c r="B1" s="1" t="s">
        <v>12</v>
      </c>
      <c r="C1" s="27"/>
      <c r="D1" s="13"/>
      <c r="E1" s="13"/>
      <c r="F1" s="3"/>
      <c r="G1" s="3"/>
      <c r="H1" s="3"/>
      <c r="I1" s="1" t="s">
        <v>13</v>
      </c>
      <c r="J1" s="13"/>
      <c r="K1" s="13"/>
      <c r="L1" s="1" t="s">
        <v>24</v>
      </c>
      <c r="M1" s="1" t="s">
        <v>14</v>
      </c>
      <c r="N1" s="10"/>
      <c r="O1" s="10"/>
      <c r="P1" s="1" t="s">
        <v>56</v>
      </c>
      <c r="Q1" s="1" t="s">
        <v>15</v>
      </c>
      <c r="R1" s="1" t="s">
        <v>37</v>
      </c>
      <c r="S1" s="10"/>
      <c r="T1" s="10"/>
      <c r="U1" s="1" t="s">
        <v>50</v>
      </c>
      <c r="V1" s="10"/>
      <c r="W1" s="1" t="s">
        <v>49</v>
      </c>
      <c r="X1" s="10"/>
      <c r="Y1" s="1" t="s">
        <v>19</v>
      </c>
    </row>
    <row r="2" spans="1:25" s="4" customFormat="1" x14ac:dyDescent="0.2">
      <c r="A2" s="4" t="s">
        <v>1</v>
      </c>
      <c r="B2" s="4" t="s">
        <v>8</v>
      </c>
      <c r="C2" s="28"/>
      <c r="D2" s="14"/>
      <c r="E2" s="14"/>
      <c r="F2" s="5"/>
      <c r="G2" s="5"/>
      <c r="H2" s="5"/>
      <c r="I2" s="4" t="s">
        <v>9</v>
      </c>
      <c r="J2" s="14"/>
      <c r="K2" s="14"/>
      <c r="L2" s="4" t="s">
        <v>25</v>
      </c>
      <c r="M2" s="4" t="s">
        <v>23</v>
      </c>
      <c r="N2" s="11"/>
      <c r="O2" s="11"/>
      <c r="P2" s="4" t="s">
        <v>11</v>
      </c>
      <c r="Q2" s="4" t="s">
        <v>10</v>
      </c>
      <c r="R2" s="4" t="s">
        <v>38</v>
      </c>
      <c r="S2" s="11"/>
      <c r="T2" s="11"/>
      <c r="U2" s="4" t="s">
        <v>23</v>
      </c>
      <c r="V2" s="11"/>
      <c r="W2" s="4" t="s">
        <v>23</v>
      </c>
      <c r="X2" s="11"/>
      <c r="Y2" s="4" t="s">
        <v>11</v>
      </c>
    </row>
    <row r="3" spans="1:25" s="2" customFormat="1" ht="50.25" x14ac:dyDescent="0.2">
      <c r="A3" s="7" t="s">
        <v>3</v>
      </c>
      <c r="B3" s="7" t="s">
        <v>4</v>
      </c>
      <c r="C3" s="29" t="s">
        <v>57</v>
      </c>
      <c r="D3" s="20" t="s">
        <v>111</v>
      </c>
      <c r="E3" s="20" t="s">
        <v>110</v>
      </c>
      <c r="F3" s="6" t="s">
        <v>29</v>
      </c>
      <c r="G3" s="6" t="s">
        <v>35</v>
      </c>
      <c r="H3" s="6" t="s">
        <v>30</v>
      </c>
      <c r="I3" s="7" t="s">
        <v>2</v>
      </c>
      <c r="J3" s="20" t="s">
        <v>34</v>
      </c>
      <c r="K3" s="20" t="s">
        <v>33</v>
      </c>
      <c r="L3" s="7" t="s">
        <v>26</v>
      </c>
      <c r="M3" s="7" t="s">
        <v>5</v>
      </c>
      <c r="N3" s="23" t="s">
        <v>31</v>
      </c>
      <c r="O3" s="23" t="s">
        <v>32</v>
      </c>
      <c r="P3" s="8" t="s">
        <v>55</v>
      </c>
      <c r="Q3" s="7" t="s">
        <v>6</v>
      </c>
      <c r="R3" s="8" t="s">
        <v>39</v>
      </c>
      <c r="S3" s="23" t="s">
        <v>40</v>
      </c>
      <c r="T3" s="23" t="s">
        <v>41</v>
      </c>
      <c r="U3" s="8" t="s">
        <v>51</v>
      </c>
      <c r="V3" s="23" t="s">
        <v>53</v>
      </c>
      <c r="W3" s="8" t="s">
        <v>52</v>
      </c>
      <c r="X3" s="23" t="s">
        <v>53</v>
      </c>
      <c r="Y3" s="8" t="s">
        <v>48</v>
      </c>
    </row>
    <row r="5" spans="1:25" x14ac:dyDescent="0.2">
      <c r="A5" s="22">
        <v>460703</v>
      </c>
      <c r="B5" s="9" t="str" cm="1">
        <f t="array" ref="B5">F5&amp;_xlfn.TEXTJOIN("",1,TEXT(G5:H5,"00"))</f>
        <v>10100</v>
      </c>
      <c r="C5" s="30" t="str">
        <f t="shared" ref="C5:C9" si="0">_xlfn.TEXTJOIN(",",1,A5:B5)</f>
        <v>460703,10100</v>
      </c>
      <c r="D5" s="15" t="s">
        <v>150</v>
      </c>
      <c r="E5" s="15" t="s">
        <v>193</v>
      </c>
      <c r="F5" s="26">
        <v>1</v>
      </c>
      <c r="G5" s="26">
        <v>1</v>
      </c>
      <c r="H5" s="26">
        <v>0</v>
      </c>
      <c r="I5" s="9">
        <v>201702</v>
      </c>
      <c r="J5" s="15" t="str">
        <f>IFERROR(VLOOKUP(I5,monsters[#All],4,0),"")</f>
        <v>沙漠蛇</v>
      </c>
      <c r="K5" s="15" t="str" cm="1">
        <f t="array" ref="K5">_xlfn.LET(_xlpm.v6p,ABS(ATAN2(N5,O5))*6/PI(),
_xlpm.output,_xlfn.IFS(_xlpm.v6p&lt;1,"正前",_xlpm.v6p&gt;5,"正后",AND(_xlpm.v6p&lt;5,_xlpm.v6p&gt;2,O5&lt;-1),"脚底",_xlpm.v6p&gt;4,"后上",_xlpm.v6p&lt;2,"前上",TRUE,"顶部"),
IFERROR(_xlpm.output,""))</f>
        <v>正前</v>
      </c>
      <c r="L5" s="12" t="s">
        <v>63</v>
      </c>
      <c r="M5" s="19" t="str">
        <f>N5+0&amp;","&amp;O5+0</f>
        <v>12,-2</v>
      </c>
      <c r="N5" s="24">
        <v>12</v>
      </c>
      <c r="O5" s="24">
        <v>-2</v>
      </c>
      <c r="P5" s="19">
        <f>IF(R5&lt;&gt;"",1,"")</f>
        <v>1</v>
      </c>
      <c r="Q5" s="9">
        <v>10</v>
      </c>
      <c r="R5" s="19" t="str">
        <f>IF(S5&lt;&gt;"", S5+0&amp;","&amp;T5+0,"")</f>
        <v>1,3</v>
      </c>
      <c r="S5" s="24">
        <v>1</v>
      </c>
      <c r="T5" s="24">
        <v>3</v>
      </c>
      <c r="U5" s="19" t="str">
        <f>IF($A5&lt;&gt;"",IF($V5&lt;&gt;"",$V5,"0,0"),"")</f>
        <v>0,45</v>
      </c>
      <c r="V5" s="42" t="s">
        <v>108</v>
      </c>
      <c r="W5" s="19" t="str">
        <f>IF($A5&lt;&gt;"",IF($X5&lt;&gt;"",$X5,"80,120"),"")</f>
        <v>50,150</v>
      </c>
      <c r="X5" s="42" t="s">
        <v>65</v>
      </c>
      <c r="Y5" s="9">
        <v>1</v>
      </c>
    </row>
    <row r="6" spans="1:25" x14ac:dyDescent="0.2">
      <c r="A6" s="22">
        <v>460703</v>
      </c>
      <c r="B6" s="9" t="str" cm="1">
        <f t="array" ref="B6">F6&amp;_xlfn.TEXTJOIN("",1,TEXT(G6:H6,"00"))</f>
        <v>10200</v>
      </c>
      <c r="C6" s="30" t="str">
        <f t="shared" si="0"/>
        <v>460703,10200</v>
      </c>
      <c r="D6" s="15" t="s">
        <v>150</v>
      </c>
      <c r="E6" s="15" t="s">
        <v>193</v>
      </c>
      <c r="F6" s="26">
        <v>1</v>
      </c>
      <c r="G6" s="26">
        <v>2</v>
      </c>
      <c r="H6" s="26">
        <v>0</v>
      </c>
      <c r="I6" s="9">
        <v>201702</v>
      </c>
      <c r="J6" s="15" t="str">
        <f>IFERROR(VLOOKUP(I6,monsters[#All],4,0),"")</f>
        <v>沙漠蛇</v>
      </c>
      <c r="K6" s="15" t="str" cm="1">
        <f t="array" ref="K6">_xlfn.LET(_xlpm.v6p,ABS(ATAN2(N6,O6))*6/PI(),
_xlpm.output,_xlfn.IFS(_xlpm.v6p&lt;1,"正前",_xlpm.v6p&gt;5,"正后",AND(_xlpm.v6p&lt;5,_xlpm.v6p&gt;2,O6&lt;-1),"脚底",_xlpm.v6p&gt;4,"后上",_xlpm.v6p&lt;2,"前上",TRUE,"顶部"),
IFERROR(_xlpm.output,""))</f>
        <v>正前</v>
      </c>
      <c r="L6" s="12" t="s">
        <v>63</v>
      </c>
      <c r="M6" s="19" t="str">
        <f>N6+0&amp;","&amp;O6+0</f>
        <v>6,-2</v>
      </c>
      <c r="N6" s="24">
        <v>6</v>
      </c>
      <c r="O6" s="24">
        <v>-2</v>
      </c>
      <c r="P6" s="19">
        <f t="shared" ref="P6:P9" si="1">IF(R6&lt;&gt;"",1,"")</f>
        <v>1</v>
      </c>
      <c r="Q6" s="9">
        <v>10</v>
      </c>
      <c r="R6" s="19" t="str">
        <f>IF(S6&lt;&gt;"", S6+0&amp;","&amp;T6+0,"")</f>
        <v>1,3</v>
      </c>
      <c r="S6" s="24">
        <v>1</v>
      </c>
      <c r="T6" s="24">
        <v>3</v>
      </c>
      <c r="U6" s="19" t="str">
        <f t="shared" ref="U6:U9" si="2">IF($A6&lt;&gt;"",IF($V6&lt;&gt;"",$V6,"0,0"),"")</f>
        <v>0,45</v>
      </c>
      <c r="V6" s="42" t="s">
        <v>108</v>
      </c>
      <c r="W6" s="19" t="str">
        <f>IF($A6&lt;&gt;"",IF($X6&lt;&gt;"",$X6,"80,120"),"")</f>
        <v>50,150</v>
      </c>
      <c r="X6" s="42" t="s">
        <v>65</v>
      </c>
      <c r="Y6" s="9">
        <v>0.85</v>
      </c>
    </row>
    <row r="7" spans="1:25" x14ac:dyDescent="0.2">
      <c r="A7" s="22">
        <v>460703</v>
      </c>
      <c r="B7" s="9" t="str" cm="1">
        <f t="array" ref="B7">F7&amp;_xlfn.TEXTJOIN("",1,TEXT(G7:H7,"00"))</f>
        <v>10300</v>
      </c>
      <c r="C7" s="30" t="str">
        <f t="shared" si="0"/>
        <v>460703,10300</v>
      </c>
      <c r="D7" s="15" t="s">
        <v>150</v>
      </c>
      <c r="E7" s="15" t="s">
        <v>193</v>
      </c>
      <c r="F7" s="26">
        <v>1</v>
      </c>
      <c r="G7" s="26">
        <v>3</v>
      </c>
      <c r="H7" s="26">
        <v>0</v>
      </c>
      <c r="I7" s="9">
        <v>201702</v>
      </c>
      <c r="J7" s="15" t="str">
        <f>IFERROR(VLOOKUP(I7,monsters[#All],4,0),"")</f>
        <v>沙漠蛇</v>
      </c>
      <c r="K7" s="15" t="str" cm="1">
        <f t="array" ref="K7">_xlfn.LET(_xlpm.v6p,ABS(ATAN2(N7,O7))*6/PI(),
_xlpm.output,_xlfn.IFS(_xlpm.v6p&lt;1,"正前",_xlpm.v6p&gt;5,"正后",AND(_xlpm.v6p&lt;5,_xlpm.v6p&gt;2,O7&lt;-1),"脚底",_xlpm.v6p&gt;4,"后上",_xlpm.v6p&lt;2,"前上",TRUE,"顶部"),
IFERROR(_xlpm.output,""))</f>
        <v>脚底</v>
      </c>
      <c r="L7" s="12" t="s">
        <v>63</v>
      </c>
      <c r="M7" s="19" t="str">
        <f>N7+0&amp;","&amp;O7+0</f>
        <v>1,-2</v>
      </c>
      <c r="N7" s="24">
        <v>1</v>
      </c>
      <c r="O7" s="24">
        <v>-2</v>
      </c>
      <c r="P7" s="19">
        <f t="shared" si="1"/>
        <v>1</v>
      </c>
      <c r="Q7" s="9">
        <v>10</v>
      </c>
      <c r="R7" s="19" t="str">
        <f>IF(S7&lt;&gt;"", S7+0&amp;","&amp;T7+0,"")</f>
        <v>1,3</v>
      </c>
      <c r="S7" s="24">
        <v>1</v>
      </c>
      <c r="T7" s="24">
        <v>3</v>
      </c>
      <c r="U7" s="19" t="str">
        <f t="shared" si="2"/>
        <v>60,75</v>
      </c>
      <c r="V7" s="42" t="s">
        <v>109</v>
      </c>
      <c r="W7" s="19" t="str">
        <f>IF($A7&lt;&gt;"",IF($X7&lt;&gt;"",$X7,"80,120"),"")</f>
        <v>80,120</v>
      </c>
      <c r="X7" s="42"/>
      <c r="Y7" s="9">
        <v>0.7</v>
      </c>
    </row>
    <row r="8" spans="1:25" x14ac:dyDescent="0.2">
      <c r="A8" s="22">
        <v>460703</v>
      </c>
      <c r="B8" s="9" t="str" cm="1">
        <f t="array" ref="B8">F8&amp;_xlfn.TEXTJOIN("",1,TEXT(G8:H8,"00"))</f>
        <v>10400</v>
      </c>
      <c r="C8" s="30" t="str">
        <f t="shared" si="0"/>
        <v>460703,10400</v>
      </c>
      <c r="D8" s="15" t="s">
        <v>150</v>
      </c>
      <c r="E8" s="15" t="s">
        <v>193</v>
      </c>
      <c r="F8" s="26">
        <v>1</v>
      </c>
      <c r="G8" s="26">
        <v>4</v>
      </c>
      <c r="H8" s="26">
        <v>0</v>
      </c>
      <c r="I8" s="9">
        <v>201702</v>
      </c>
      <c r="J8" s="15" t="str">
        <f>IFERROR(VLOOKUP(I8,monsters[#All],4,0),"")</f>
        <v>沙漠蛇</v>
      </c>
      <c r="K8" s="15" t="str" cm="1">
        <f t="array" ref="K8">_xlfn.LET(_xlpm.v6p,ABS(ATAN2(N8,O8))*6/PI(),
_xlpm.output,_xlfn.IFS(_xlpm.v6p&lt;1,"正前",_xlpm.v6p&gt;5,"正后",AND(_xlpm.v6p&lt;5,_xlpm.v6p&gt;2,O8&lt;-1),"脚底",_xlpm.v6p&gt;4,"后上",_xlpm.v6p&lt;2,"前上",TRUE,"顶部"),
IFERROR(_xlpm.output,""))</f>
        <v>脚底</v>
      </c>
      <c r="L8" s="12" t="s">
        <v>63</v>
      </c>
      <c r="M8" s="19" t="str">
        <f>N8+0&amp;","&amp;O8+0</f>
        <v>-3,-2</v>
      </c>
      <c r="N8" s="24">
        <v>-3</v>
      </c>
      <c r="O8" s="24">
        <v>-2</v>
      </c>
      <c r="P8" s="19">
        <f t="shared" si="1"/>
        <v>1</v>
      </c>
      <c r="Q8" s="9">
        <v>10</v>
      </c>
      <c r="R8" s="19" t="str">
        <f>IF(S8&lt;&gt;"", S8+0&amp;","&amp;T8+0,"")</f>
        <v>1,3</v>
      </c>
      <c r="S8" s="24">
        <v>1</v>
      </c>
      <c r="T8" s="24">
        <v>3</v>
      </c>
      <c r="U8" s="19" t="str">
        <f t="shared" si="2"/>
        <v>0,45</v>
      </c>
      <c r="V8" s="42" t="s">
        <v>108</v>
      </c>
      <c r="W8" s="19" t="str">
        <f>IF($A8&lt;&gt;"",IF($X8&lt;&gt;"",$X8,"80,120"),"")</f>
        <v>50,150</v>
      </c>
      <c r="X8" s="42" t="s">
        <v>65</v>
      </c>
      <c r="Y8" s="9">
        <v>0.55000000000000004</v>
      </c>
    </row>
    <row r="9" spans="1:25" x14ac:dyDescent="0.2">
      <c r="A9" s="22">
        <v>460703</v>
      </c>
      <c r="B9" s="9" t="str" cm="1">
        <f t="array" ref="B9">F9&amp;_xlfn.TEXTJOIN("",1,TEXT(G9:H9,"00"))</f>
        <v>10500</v>
      </c>
      <c r="C9" s="30" t="str">
        <f t="shared" si="0"/>
        <v>460703,10500</v>
      </c>
      <c r="D9" s="15" t="s">
        <v>150</v>
      </c>
      <c r="E9" s="15" t="s">
        <v>193</v>
      </c>
      <c r="F9" s="26">
        <v>1</v>
      </c>
      <c r="G9" s="26">
        <v>5</v>
      </c>
      <c r="H9" s="26">
        <v>0</v>
      </c>
      <c r="I9" s="9">
        <v>201702</v>
      </c>
      <c r="J9" s="15" t="str">
        <f>IFERROR(VLOOKUP(I9,monsters[#All],4,0),"")</f>
        <v>沙漠蛇</v>
      </c>
      <c r="K9" s="15" t="str" cm="1">
        <f t="array" ref="K9">_xlfn.LET(_xlpm.v6p,ABS(ATAN2(N9,O9))*6/PI(),
_xlpm.output,_xlfn.IFS(_xlpm.v6p&lt;1,"正前",_xlpm.v6p&gt;5,"正后",AND(_xlpm.v6p&lt;5,_xlpm.v6p&gt;2,O9&lt;-1),"脚底",_xlpm.v6p&gt;4,"后上",_xlpm.v6p&lt;2,"前上",TRUE,"顶部"),
IFERROR(_xlpm.output,""))</f>
        <v>正后</v>
      </c>
      <c r="L9" s="12" t="s">
        <v>63</v>
      </c>
      <c r="M9" s="19" t="str">
        <f>N9+0&amp;","&amp;O9+0</f>
        <v>-8,-2</v>
      </c>
      <c r="N9" s="24">
        <v>-8</v>
      </c>
      <c r="O9" s="24">
        <v>-2</v>
      </c>
      <c r="P9" s="19">
        <f t="shared" si="1"/>
        <v>1</v>
      </c>
      <c r="Q9" s="9">
        <v>10</v>
      </c>
      <c r="R9" s="19" t="str">
        <f>IF(S9&lt;&gt;"", S9+0&amp;","&amp;T9+0,"")</f>
        <v>1,3</v>
      </c>
      <c r="S9" s="24">
        <v>1</v>
      </c>
      <c r="T9" s="24">
        <v>3</v>
      </c>
      <c r="U9" s="19" t="str">
        <f t="shared" si="2"/>
        <v>0,45</v>
      </c>
      <c r="V9" s="42" t="s">
        <v>108</v>
      </c>
      <c r="W9" s="19" t="str">
        <f>IF($A9&lt;&gt;"",IF($X9&lt;&gt;"",$X9,"80,120"),"")</f>
        <v>50,150</v>
      </c>
      <c r="X9" s="42" t="s">
        <v>65</v>
      </c>
      <c r="Y9" s="9">
        <v>0.4</v>
      </c>
    </row>
    <row r="11" spans="1:25" x14ac:dyDescent="0.2">
      <c r="A11" s="22">
        <v>460704</v>
      </c>
      <c r="B11" s="9" t="str" cm="1">
        <f t="array" ref="B11">F11&amp;_xlfn.TEXTJOIN("",1,TEXT(G11:H11,"00"))</f>
        <v>10100</v>
      </c>
      <c r="C11" s="30" t="str">
        <f t="shared" ref="C11:C15" si="3">_xlfn.TEXTJOIN(",",1,A11:B11)</f>
        <v>460704,10100</v>
      </c>
      <c r="D11" s="15" t="s">
        <v>150</v>
      </c>
      <c r="E11" s="15" t="s">
        <v>194</v>
      </c>
      <c r="F11" s="26">
        <v>1</v>
      </c>
      <c r="G11" s="26">
        <v>1</v>
      </c>
      <c r="H11" s="26">
        <v>0</v>
      </c>
      <c r="I11" s="9">
        <v>201702</v>
      </c>
      <c r="J11" s="15" t="str">
        <f>IFERROR(VLOOKUP(I11,monsters[#All],4,0),"")</f>
        <v>沙漠蛇</v>
      </c>
      <c r="K11" s="15" t="str" cm="1">
        <f t="array" ref="K11">_xlfn.LET(_xlpm.v6p,ABS(ATAN2(N11,O11))*6/PI(),
_xlpm.output,_xlfn.IFS(_xlpm.v6p&lt;1,"正前",_xlpm.v6p&gt;5,"正后",AND(_xlpm.v6p&lt;5,_xlpm.v6p&gt;2,O11&lt;-1),"脚底",_xlpm.v6p&gt;4,"后上",_xlpm.v6p&lt;2,"前上",TRUE,"顶部"),
IFERROR(_xlpm.output,""))</f>
        <v>正前</v>
      </c>
      <c r="L11" s="12" t="s">
        <v>63</v>
      </c>
      <c r="M11" s="19" t="str">
        <f>N11+0&amp;","&amp;O11+0</f>
        <v>12,-2</v>
      </c>
      <c r="N11" s="24">
        <v>12</v>
      </c>
      <c r="O11" s="24">
        <v>-2</v>
      </c>
      <c r="P11" s="19">
        <f>IF(R11&lt;&gt;"",1,"")</f>
        <v>1</v>
      </c>
      <c r="Q11" s="9">
        <v>10</v>
      </c>
      <c r="R11" s="19" t="str">
        <f>IF(S11&lt;&gt;"", S11+0&amp;","&amp;T11+0,"")</f>
        <v>1,3</v>
      </c>
      <c r="S11" s="24">
        <v>1</v>
      </c>
      <c r="T11" s="24">
        <v>3</v>
      </c>
      <c r="U11" s="19" t="str">
        <f>IF($A11&lt;&gt;"",IF($V11&lt;&gt;"",$V11,"0,0"),"")</f>
        <v>0,45</v>
      </c>
      <c r="V11" s="42" t="s">
        <v>108</v>
      </c>
      <c r="W11" s="19" t="str">
        <f>IF($A11&lt;&gt;"",IF($X11&lt;&gt;"",$X11,"80,120"),"")</f>
        <v>50,150</v>
      </c>
      <c r="X11" s="42" t="s">
        <v>65</v>
      </c>
      <c r="Y11" s="9">
        <v>1</v>
      </c>
    </row>
    <row r="12" spans="1:25" x14ac:dyDescent="0.2">
      <c r="A12" s="22">
        <v>460704</v>
      </c>
      <c r="B12" s="9" t="str" cm="1">
        <f t="array" ref="B12">F12&amp;_xlfn.TEXTJOIN("",1,TEXT(G12:H12,"00"))</f>
        <v>10200</v>
      </c>
      <c r="C12" s="30" t="str">
        <f t="shared" si="3"/>
        <v>460704,10200</v>
      </c>
      <c r="D12" s="15" t="s">
        <v>150</v>
      </c>
      <c r="E12" s="15" t="s">
        <v>194</v>
      </c>
      <c r="F12" s="26">
        <v>1</v>
      </c>
      <c r="G12" s="26">
        <v>2</v>
      </c>
      <c r="H12" s="26">
        <v>0</v>
      </c>
      <c r="I12" s="9">
        <v>201702</v>
      </c>
      <c r="J12" s="15" t="str">
        <f>IFERROR(VLOOKUP(I12,monsters[#All],4,0),"")</f>
        <v>沙漠蛇</v>
      </c>
      <c r="K12" s="15" t="str" cm="1">
        <f t="array" ref="K12">_xlfn.LET(_xlpm.v6p,ABS(ATAN2(N12,O12))*6/PI(),
_xlpm.output,_xlfn.IFS(_xlpm.v6p&lt;1,"正前",_xlpm.v6p&gt;5,"正后",AND(_xlpm.v6p&lt;5,_xlpm.v6p&gt;2,O12&lt;-1),"脚底",_xlpm.v6p&gt;4,"后上",_xlpm.v6p&lt;2,"前上",TRUE,"顶部"),
IFERROR(_xlpm.output,""))</f>
        <v>正前</v>
      </c>
      <c r="L12" s="12" t="s">
        <v>63</v>
      </c>
      <c r="M12" s="19" t="str">
        <f>N12+0&amp;","&amp;O12+0</f>
        <v>6,-2</v>
      </c>
      <c r="N12" s="24">
        <v>6</v>
      </c>
      <c r="O12" s="24">
        <v>-2</v>
      </c>
      <c r="P12" s="19">
        <f t="shared" ref="P12:P15" si="4">IF(R12&lt;&gt;"",1,"")</f>
        <v>1</v>
      </c>
      <c r="Q12" s="9">
        <v>10</v>
      </c>
      <c r="R12" s="19" t="str">
        <f>IF(S12&lt;&gt;"", S12+0&amp;","&amp;T12+0,"")</f>
        <v>1,3</v>
      </c>
      <c r="S12" s="24">
        <v>1</v>
      </c>
      <c r="T12" s="24">
        <v>3</v>
      </c>
      <c r="U12" s="19" t="str">
        <f t="shared" ref="U12:U15" si="5">IF($A12&lt;&gt;"",IF($V12&lt;&gt;"",$V12,"0,0"),"")</f>
        <v>0,45</v>
      </c>
      <c r="V12" s="42" t="s">
        <v>108</v>
      </c>
      <c r="W12" s="19" t="str">
        <f>IF($A12&lt;&gt;"",IF($X12&lt;&gt;"",$X12,"80,120"),"")</f>
        <v>50,150</v>
      </c>
      <c r="X12" s="42" t="s">
        <v>65</v>
      </c>
      <c r="Y12" s="9">
        <v>0.85</v>
      </c>
    </row>
    <row r="13" spans="1:25" x14ac:dyDescent="0.2">
      <c r="A13" s="22">
        <v>460704</v>
      </c>
      <c r="B13" s="9" t="str" cm="1">
        <f t="array" ref="B13">F13&amp;_xlfn.TEXTJOIN("",1,TEXT(G13:H13,"00"))</f>
        <v>10300</v>
      </c>
      <c r="C13" s="30" t="str">
        <f t="shared" si="3"/>
        <v>460704,10300</v>
      </c>
      <c r="D13" s="15" t="s">
        <v>150</v>
      </c>
      <c r="E13" s="15" t="s">
        <v>194</v>
      </c>
      <c r="F13" s="26">
        <v>1</v>
      </c>
      <c r="G13" s="26">
        <v>3</v>
      </c>
      <c r="H13" s="26">
        <v>0</v>
      </c>
      <c r="I13" s="9">
        <v>201702</v>
      </c>
      <c r="J13" s="15" t="str">
        <f>IFERROR(VLOOKUP(I13,monsters[#All],4,0),"")</f>
        <v>沙漠蛇</v>
      </c>
      <c r="K13" s="15" t="str" cm="1">
        <f t="array" ref="K13">_xlfn.LET(_xlpm.v6p,ABS(ATAN2(N13,O13))*6/PI(),
_xlpm.output,_xlfn.IFS(_xlpm.v6p&lt;1,"正前",_xlpm.v6p&gt;5,"正后",AND(_xlpm.v6p&lt;5,_xlpm.v6p&gt;2,O13&lt;-1),"脚底",_xlpm.v6p&gt;4,"后上",_xlpm.v6p&lt;2,"前上",TRUE,"顶部"),
IFERROR(_xlpm.output,""))</f>
        <v>脚底</v>
      </c>
      <c r="L13" s="12" t="s">
        <v>63</v>
      </c>
      <c r="M13" s="19" t="str">
        <f>N13+0&amp;","&amp;O13+0</f>
        <v>1,-2</v>
      </c>
      <c r="N13" s="24">
        <v>1</v>
      </c>
      <c r="O13" s="24">
        <v>-2</v>
      </c>
      <c r="P13" s="19">
        <f t="shared" si="4"/>
        <v>1</v>
      </c>
      <c r="Q13" s="9">
        <v>10</v>
      </c>
      <c r="R13" s="19" t="str">
        <f>IF(S13&lt;&gt;"", S13+0&amp;","&amp;T13+0,"")</f>
        <v>1,3</v>
      </c>
      <c r="S13" s="24">
        <v>1</v>
      </c>
      <c r="T13" s="24">
        <v>3</v>
      </c>
      <c r="U13" s="19" t="str">
        <f t="shared" si="5"/>
        <v>60,75</v>
      </c>
      <c r="V13" s="42" t="s">
        <v>109</v>
      </c>
      <c r="W13" s="19" t="str">
        <f>IF($A13&lt;&gt;"",IF($X13&lt;&gt;"",$X13,"80,120"),"")</f>
        <v>80,120</v>
      </c>
      <c r="X13" s="42"/>
      <c r="Y13" s="9">
        <v>0.7</v>
      </c>
    </row>
    <row r="14" spans="1:25" x14ac:dyDescent="0.2">
      <c r="A14" s="22">
        <v>460704</v>
      </c>
      <c r="B14" s="9" t="str" cm="1">
        <f t="array" ref="B14">F14&amp;_xlfn.TEXTJOIN("",1,TEXT(G14:H14,"00"))</f>
        <v>10400</v>
      </c>
      <c r="C14" s="30" t="str">
        <f t="shared" si="3"/>
        <v>460704,10400</v>
      </c>
      <c r="D14" s="15" t="s">
        <v>150</v>
      </c>
      <c r="E14" s="15" t="s">
        <v>194</v>
      </c>
      <c r="F14" s="26">
        <v>1</v>
      </c>
      <c r="G14" s="26">
        <v>4</v>
      </c>
      <c r="H14" s="26">
        <v>0</v>
      </c>
      <c r="I14" s="9">
        <v>201702</v>
      </c>
      <c r="J14" s="15" t="str">
        <f>IFERROR(VLOOKUP(I14,monsters[#All],4,0),"")</f>
        <v>沙漠蛇</v>
      </c>
      <c r="K14" s="15" t="str" cm="1">
        <f t="array" ref="K14">_xlfn.LET(_xlpm.v6p,ABS(ATAN2(N14,O14))*6/PI(),
_xlpm.output,_xlfn.IFS(_xlpm.v6p&lt;1,"正前",_xlpm.v6p&gt;5,"正后",AND(_xlpm.v6p&lt;5,_xlpm.v6p&gt;2,O14&lt;-1),"脚底",_xlpm.v6p&gt;4,"后上",_xlpm.v6p&lt;2,"前上",TRUE,"顶部"),
IFERROR(_xlpm.output,""))</f>
        <v>脚底</v>
      </c>
      <c r="L14" s="12" t="s">
        <v>63</v>
      </c>
      <c r="M14" s="19" t="str">
        <f>N14+0&amp;","&amp;O14+0</f>
        <v>-3,-2</v>
      </c>
      <c r="N14" s="24">
        <v>-3</v>
      </c>
      <c r="O14" s="24">
        <v>-2</v>
      </c>
      <c r="P14" s="19">
        <f t="shared" si="4"/>
        <v>1</v>
      </c>
      <c r="Q14" s="9">
        <v>10</v>
      </c>
      <c r="R14" s="19" t="str">
        <f>IF(S14&lt;&gt;"", S14+0&amp;","&amp;T14+0,"")</f>
        <v>1,3</v>
      </c>
      <c r="S14" s="24">
        <v>1</v>
      </c>
      <c r="T14" s="24">
        <v>3</v>
      </c>
      <c r="U14" s="19" t="str">
        <f t="shared" si="5"/>
        <v>0,45</v>
      </c>
      <c r="V14" s="42" t="s">
        <v>108</v>
      </c>
      <c r="W14" s="19" t="str">
        <f>IF($A14&lt;&gt;"",IF($X14&lt;&gt;"",$X14,"80,120"),"")</f>
        <v>50,150</v>
      </c>
      <c r="X14" s="42" t="s">
        <v>65</v>
      </c>
      <c r="Y14" s="9">
        <v>0.55000000000000004</v>
      </c>
    </row>
    <row r="15" spans="1:25" x14ac:dyDescent="0.2">
      <c r="A15" s="22">
        <v>460704</v>
      </c>
      <c r="B15" s="9" t="str" cm="1">
        <f t="array" ref="B15">F15&amp;_xlfn.TEXTJOIN("",1,TEXT(G15:H15,"00"))</f>
        <v>10500</v>
      </c>
      <c r="C15" s="30" t="str">
        <f t="shared" si="3"/>
        <v>460704,10500</v>
      </c>
      <c r="D15" s="15" t="s">
        <v>150</v>
      </c>
      <c r="E15" s="15" t="s">
        <v>194</v>
      </c>
      <c r="F15" s="26">
        <v>1</v>
      </c>
      <c r="G15" s="26">
        <v>5</v>
      </c>
      <c r="H15" s="26">
        <v>0</v>
      </c>
      <c r="I15" s="9">
        <v>201702</v>
      </c>
      <c r="J15" s="15" t="str">
        <f>IFERROR(VLOOKUP(I15,monsters[#All],4,0),"")</f>
        <v>沙漠蛇</v>
      </c>
      <c r="K15" s="15" t="str" cm="1">
        <f t="array" ref="K15">_xlfn.LET(_xlpm.v6p,ABS(ATAN2(N15,O15))*6/PI(),
_xlpm.output,_xlfn.IFS(_xlpm.v6p&lt;1,"正前",_xlpm.v6p&gt;5,"正后",AND(_xlpm.v6p&lt;5,_xlpm.v6p&gt;2,O15&lt;-1),"脚底",_xlpm.v6p&gt;4,"后上",_xlpm.v6p&lt;2,"前上",TRUE,"顶部"),
IFERROR(_xlpm.output,""))</f>
        <v>正后</v>
      </c>
      <c r="L15" s="12" t="s">
        <v>63</v>
      </c>
      <c r="M15" s="19" t="str">
        <f>N15+0&amp;","&amp;O15+0</f>
        <v>-8,-2</v>
      </c>
      <c r="N15" s="24">
        <v>-8</v>
      </c>
      <c r="O15" s="24">
        <v>-2</v>
      </c>
      <c r="P15" s="19">
        <f t="shared" si="4"/>
        <v>1</v>
      </c>
      <c r="Q15" s="9">
        <v>10</v>
      </c>
      <c r="R15" s="19" t="str">
        <f>IF(S15&lt;&gt;"", S15+0&amp;","&amp;T15+0,"")</f>
        <v>1,3</v>
      </c>
      <c r="S15" s="24">
        <v>1</v>
      </c>
      <c r="T15" s="24">
        <v>3</v>
      </c>
      <c r="U15" s="19" t="str">
        <f t="shared" si="5"/>
        <v>0,45</v>
      </c>
      <c r="V15" s="42" t="s">
        <v>108</v>
      </c>
      <c r="W15" s="19" t="str">
        <f>IF($A15&lt;&gt;"",IF($X15&lt;&gt;"",$X15,"80,120"),"")</f>
        <v>50,150</v>
      </c>
      <c r="X15" s="42" t="s">
        <v>65</v>
      </c>
      <c r="Y15" s="9">
        <v>0.4</v>
      </c>
    </row>
    <row r="17" spans="1:25" x14ac:dyDescent="0.2">
      <c r="A17" s="22">
        <v>460705</v>
      </c>
      <c r="B17" s="9" t="str" cm="1">
        <f t="array" ref="B17">F17&amp;_xlfn.TEXTJOIN("",1,TEXT(G17:H17,"00"))</f>
        <v>10100</v>
      </c>
      <c r="C17" s="30" t="str">
        <f t="shared" ref="C17:C21" si="6">_xlfn.TEXTJOIN(",",1,A17:B17)</f>
        <v>460705,10100</v>
      </c>
      <c r="D17" s="15" t="s">
        <v>150</v>
      </c>
      <c r="E17" s="15" t="s">
        <v>195</v>
      </c>
      <c r="F17" s="26">
        <v>1</v>
      </c>
      <c r="G17" s="26">
        <v>1</v>
      </c>
      <c r="H17" s="26">
        <v>0</v>
      </c>
      <c r="I17" s="9">
        <v>201702</v>
      </c>
      <c r="J17" s="15" t="str">
        <f>IFERROR(VLOOKUP(I17,monsters[#All],4,0),"")</f>
        <v>沙漠蛇</v>
      </c>
      <c r="K17" s="15" t="str" cm="1">
        <f t="array" ref="K17">_xlfn.LET(_xlpm.v6p,ABS(ATAN2(N17,O17))*6/PI(),
_xlpm.output,_xlfn.IFS(_xlpm.v6p&lt;1,"正前",_xlpm.v6p&gt;5,"正后",AND(_xlpm.v6p&lt;5,_xlpm.v6p&gt;2,O17&lt;-1),"脚底",_xlpm.v6p&gt;4,"后上",_xlpm.v6p&lt;2,"前上",TRUE,"顶部"),
IFERROR(_xlpm.output,""))</f>
        <v>正前</v>
      </c>
      <c r="L17" s="12" t="s">
        <v>63</v>
      </c>
      <c r="M17" s="19" t="str">
        <f>N17+0&amp;","&amp;O17+0</f>
        <v>12,-2</v>
      </c>
      <c r="N17" s="24">
        <v>12</v>
      </c>
      <c r="O17" s="24">
        <v>-2</v>
      </c>
      <c r="P17" s="19">
        <f>IF(R17&lt;&gt;"",1,"")</f>
        <v>1</v>
      </c>
      <c r="Q17" s="9">
        <v>10</v>
      </c>
      <c r="R17" s="19" t="str">
        <f>IF(S17&lt;&gt;"", S17+0&amp;","&amp;T17+0,"")</f>
        <v>1,3</v>
      </c>
      <c r="S17" s="24">
        <v>1</v>
      </c>
      <c r="T17" s="24">
        <v>3</v>
      </c>
      <c r="U17" s="19" t="str">
        <f>IF($A17&lt;&gt;"",IF($V17&lt;&gt;"",$V17,"0,0"),"")</f>
        <v>0,45</v>
      </c>
      <c r="V17" s="42" t="s">
        <v>108</v>
      </c>
      <c r="W17" s="19" t="str">
        <f>IF($A17&lt;&gt;"",IF($X17&lt;&gt;"",$X17,"80,120"),"")</f>
        <v>50,150</v>
      </c>
      <c r="X17" s="42" t="s">
        <v>65</v>
      </c>
      <c r="Y17" s="9">
        <v>1</v>
      </c>
    </row>
    <row r="18" spans="1:25" x14ac:dyDescent="0.2">
      <c r="A18" s="22">
        <v>460705</v>
      </c>
      <c r="B18" s="9" t="str" cm="1">
        <f t="array" ref="B18">F18&amp;_xlfn.TEXTJOIN("",1,TEXT(G18:H18,"00"))</f>
        <v>10200</v>
      </c>
      <c r="C18" s="30" t="str">
        <f t="shared" si="6"/>
        <v>460705,10200</v>
      </c>
      <c r="D18" s="15" t="s">
        <v>150</v>
      </c>
      <c r="E18" s="15" t="s">
        <v>195</v>
      </c>
      <c r="F18" s="26">
        <v>1</v>
      </c>
      <c r="G18" s="26">
        <v>2</v>
      </c>
      <c r="H18" s="26">
        <v>0</v>
      </c>
      <c r="I18" s="9">
        <v>201702</v>
      </c>
      <c r="J18" s="15" t="str">
        <f>IFERROR(VLOOKUP(I18,monsters[#All],4,0),"")</f>
        <v>沙漠蛇</v>
      </c>
      <c r="K18" s="15" t="str" cm="1">
        <f t="array" ref="K18">_xlfn.LET(_xlpm.v6p,ABS(ATAN2(N18,O18))*6/PI(),
_xlpm.output,_xlfn.IFS(_xlpm.v6p&lt;1,"正前",_xlpm.v6p&gt;5,"正后",AND(_xlpm.v6p&lt;5,_xlpm.v6p&gt;2,O18&lt;-1),"脚底",_xlpm.v6p&gt;4,"后上",_xlpm.v6p&lt;2,"前上",TRUE,"顶部"),
IFERROR(_xlpm.output,""))</f>
        <v>正前</v>
      </c>
      <c r="L18" s="12" t="s">
        <v>63</v>
      </c>
      <c r="M18" s="19" t="str">
        <f>N18+0&amp;","&amp;O18+0</f>
        <v>6,-2</v>
      </c>
      <c r="N18" s="24">
        <v>6</v>
      </c>
      <c r="O18" s="24">
        <v>-2</v>
      </c>
      <c r="P18" s="19">
        <f t="shared" ref="P18:P21" si="7">IF(R18&lt;&gt;"",1,"")</f>
        <v>1</v>
      </c>
      <c r="Q18" s="9">
        <v>10</v>
      </c>
      <c r="R18" s="19" t="str">
        <f>IF(S18&lt;&gt;"", S18+0&amp;","&amp;T18+0,"")</f>
        <v>1,3</v>
      </c>
      <c r="S18" s="24">
        <v>1</v>
      </c>
      <c r="T18" s="24">
        <v>3</v>
      </c>
      <c r="U18" s="19" t="str">
        <f t="shared" ref="U18:U21" si="8">IF($A18&lt;&gt;"",IF($V18&lt;&gt;"",$V18,"0,0"),"")</f>
        <v>0,45</v>
      </c>
      <c r="V18" s="42" t="s">
        <v>108</v>
      </c>
      <c r="W18" s="19" t="str">
        <f>IF($A18&lt;&gt;"",IF($X18&lt;&gt;"",$X18,"80,120"),"")</f>
        <v>50,150</v>
      </c>
      <c r="X18" s="42" t="s">
        <v>65</v>
      </c>
      <c r="Y18" s="9">
        <v>0.85</v>
      </c>
    </row>
    <row r="19" spans="1:25" x14ac:dyDescent="0.2">
      <c r="A19" s="22">
        <v>460705</v>
      </c>
      <c r="B19" s="9" t="str" cm="1">
        <f t="array" ref="B19">F19&amp;_xlfn.TEXTJOIN("",1,TEXT(G19:H19,"00"))</f>
        <v>10300</v>
      </c>
      <c r="C19" s="30" t="str">
        <f t="shared" si="6"/>
        <v>460705,10300</v>
      </c>
      <c r="D19" s="15" t="s">
        <v>150</v>
      </c>
      <c r="E19" s="15" t="s">
        <v>195</v>
      </c>
      <c r="F19" s="26">
        <v>1</v>
      </c>
      <c r="G19" s="26">
        <v>3</v>
      </c>
      <c r="H19" s="26">
        <v>0</v>
      </c>
      <c r="I19" s="9">
        <v>201702</v>
      </c>
      <c r="J19" s="15" t="str">
        <f>IFERROR(VLOOKUP(I19,monsters[#All],4,0),"")</f>
        <v>沙漠蛇</v>
      </c>
      <c r="K19" s="15" t="str" cm="1">
        <f t="array" ref="K19">_xlfn.LET(_xlpm.v6p,ABS(ATAN2(N19,O19))*6/PI(),
_xlpm.output,_xlfn.IFS(_xlpm.v6p&lt;1,"正前",_xlpm.v6p&gt;5,"正后",AND(_xlpm.v6p&lt;5,_xlpm.v6p&gt;2,O19&lt;-1),"脚底",_xlpm.v6p&gt;4,"后上",_xlpm.v6p&lt;2,"前上",TRUE,"顶部"),
IFERROR(_xlpm.output,""))</f>
        <v>脚底</v>
      </c>
      <c r="L19" s="12" t="s">
        <v>63</v>
      </c>
      <c r="M19" s="19" t="str">
        <f>N19+0&amp;","&amp;O19+0</f>
        <v>1,-2</v>
      </c>
      <c r="N19" s="24">
        <v>1</v>
      </c>
      <c r="O19" s="24">
        <v>-2</v>
      </c>
      <c r="P19" s="19">
        <f t="shared" si="7"/>
        <v>1</v>
      </c>
      <c r="Q19" s="9">
        <v>10</v>
      </c>
      <c r="R19" s="19" t="str">
        <f>IF(S19&lt;&gt;"", S19+0&amp;","&amp;T19+0,"")</f>
        <v>1,3</v>
      </c>
      <c r="S19" s="24">
        <v>1</v>
      </c>
      <c r="T19" s="24">
        <v>3</v>
      </c>
      <c r="U19" s="19" t="str">
        <f t="shared" si="8"/>
        <v>60,75</v>
      </c>
      <c r="V19" s="42" t="s">
        <v>109</v>
      </c>
      <c r="W19" s="19" t="str">
        <f>IF($A19&lt;&gt;"",IF($X19&lt;&gt;"",$X19,"80,120"),"")</f>
        <v>80,120</v>
      </c>
      <c r="X19" s="42"/>
      <c r="Y19" s="9">
        <v>0.7</v>
      </c>
    </row>
    <row r="20" spans="1:25" x14ac:dyDescent="0.2">
      <c r="A20" s="22">
        <v>460705</v>
      </c>
      <c r="B20" s="9" t="str" cm="1">
        <f t="array" ref="B20">F20&amp;_xlfn.TEXTJOIN("",1,TEXT(G20:H20,"00"))</f>
        <v>10400</v>
      </c>
      <c r="C20" s="30" t="str">
        <f t="shared" si="6"/>
        <v>460705,10400</v>
      </c>
      <c r="D20" s="15" t="s">
        <v>150</v>
      </c>
      <c r="E20" s="15" t="s">
        <v>195</v>
      </c>
      <c r="F20" s="26">
        <v>1</v>
      </c>
      <c r="G20" s="26">
        <v>4</v>
      </c>
      <c r="H20" s="26">
        <v>0</v>
      </c>
      <c r="I20" s="9">
        <v>201702</v>
      </c>
      <c r="J20" s="15" t="str">
        <f>IFERROR(VLOOKUP(I20,monsters[#All],4,0),"")</f>
        <v>沙漠蛇</v>
      </c>
      <c r="K20" s="15" t="str" cm="1">
        <f t="array" ref="K20">_xlfn.LET(_xlpm.v6p,ABS(ATAN2(N20,O20))*6/PI(),
_xlpm.output,_xlfn.IFS(_xlpm.v6p&lt;1,"正前",_xlpm.v6p&gt;5,"正后",AND(_xlpm.v6p&lt;5,_xlpm.v6p&gt;2,O20&lt;-1),"脚底",_xlpm.v6p&gt;4,"后上",_xlpm.v6p&lt;2,"前上",TRUE,"顶部"),
IFERROR(_xlpm.output,""))</f>
        <v>脚底</v>
      </c>
      <c r="L20" s="12" t="s">
        <v>63</v>
      </c>
      <c r="M20" s="19" t="str">
        <f>N20+0&amp;","&amp;O20+0</f>
        <v>-3,-2</v>
      </c>
      <c r="N20" s="24">
        <v>-3</v>
      </c>
      <c r="O20" s="24">
        <v>-2</v>
      </c>
      <c r="P20" s="19">
        <f t="shared" si="7"/>
        <v>1</v>
      </c>
      <c r="Q20" s="9">
        <v>10</v>
      </c>
      <c r="R20" s="19" t="str">
        <f>IF(S20&lt;&gt;"", S20+0&amp;","&amp;T20+0,"")</f>
        <v>1,3</v>
      </c>
      <c r="S20" s="24">
        <v>1</v>
      </c>
      <c r="T20" s="24">
        <v>3</v>
      </c>
      <c r="U20" s="19" t="str">
        <f t="shared" si="8"/>
        <v>0,45</v>
      </c>
      <c r="V20" s="42" t="s">
        <v>108</v>
      </c>
      <c r="W20" s="19" t="str">
        <f>IF($A20&lt;&gt;"",IF($X20&lt;&gt;"",$X20,"80,120"),"")</f>
        <v>50,150</v>
      </c>
      <c r="X20" s="42" t="s">
        <v>65</v>
      </c>
      <c r="Y20" s="9">
        <v>0.55000000000000004</v>
      </c>
    </row>
    <row r="21" spans="1:25" x14ac:dyDescent="0.2">
      <c r="A21" s="22">
        <v>460705</v>
      </c>
      <c r="B21" s="9" t="str" cm="1">
        <f t="array" ref="B21">F21&amp;_xlfn.TEXTJOIN("",1,TEXT(G21:H21,"00"))</f>
        <v>10500</v>
      </c>
      <c r="C21" s="30" t="str">
        <f t="shared" si="6"/>
        <v>460705,10500</v>
      </c>
      <c r="D21" s="15" t="s">
        <v>150</v>
      </c>
      <c r="E21" s="15" t="s">
        <v>195</v>
      </c>
      <c r="F21" s="26">
        <v>1</v>
      </c>
      <c r="G21" s="26">
        <v>5</v>
      </c>
      <c r="H21" s="26">
        <v>0</v>
      </c>
      <c r="I21" s="9">
        <v>201702</v>
      </c>
      <c r="J21" s="15" t="str">
        <f>IFERROR(VLOOKUP(I21,monsters[#All],4,0),"")</f>
        <v>沙漠蛇</v>
      </c>
      <c r="K21" s="15" t="str" cm="1">
        <f t="array" ref="K21">_xlfn.LET(_xlpm.v6p,ABS(ATAN2(N21,O21))*6/PI(),
_xlpm.output,_xlfn.IFS(_xlpm.v6p&lt;1,"正前",_xlpm.v6p&gt;5,"正后",AND(_xlpm.v6p&lt;5,_xlpm.v6p&gt;2,O21&lt;-1),"脚底",_xlpm.v6p&gt;4,"后上",_xlpm.v6p&lt;2,"前上",TRUE,"顶部"),
IFERROR(_xlpm.output,""))</f>
        <v>正后</v>
      </c>
      <c r="L21" s="12" t="s">
        <v>63</v>
      </c>
      <c r="M21" s="19" t="str">
        <f>N21+0&amp;","&amp;O21+0</f>
        <v>-8,-2</v>
      </c>
      <c r="N21" s="24">
        <v>-8</v>
      </c>
      <c r="O21" s="24">
        <v>-2</v>
      </c>
      <c r="P21" s="19">
        <f t="shared" si="7"/>
        <v>1</v>
      </c>
      <c r="Q21" s="9">
        <v>10</v>
      </c>
      <c r="R21" s="19" t="str">
        <f>IF(S21&lt;&gt;"", S21+0&amp;","&amp;T21+0,"")</f>
        <v>1,3</v>
      </c>
      <c r="S21" s="24">
        <v>1</v>
      </c>
      <c r="T21" s="24">
        <v>3</v>
      </c>
      <c r="U21" s="19" t="str">
        <f t="shared" si="8"/>
        <v>0,45</v>
      </c>
      <c r="V21" s="42" t="s">
        <v>108</v>
      </c>
      <c r="W21" s="19" t="str">
        <f>IF($A21&lt;&gt;"",IF($X21&lt;&gt;"",$X21,"80,120"),"")</f>
        <v>50,150</v>
      </c>
      <c r="X21" s="42" t="s">
        <v>65</v>
      </c>
      <c r="Y21" s="9">
        <v>0.4</v>
      </c>
    </row>
    <row r="25" spans="1:25" x14ac:dyDescent="0.2">
      <c r="A25" s="22">
        <v>460803</v>
      </c>
      <c r="B25" s="9" t="str" cm="1">
        <f t="array" ref="B25">F25&amp;_xlfn.TEXTJOIN("",1,TEXT(G25:H25,"00"))</f>
        <v>10100</v>
      </c>
      <c r="C25" s="30" t="str">
        <f t="shared" ref="C25:C26" si="9">_xlfn.TEXTJOIN(",",1,A25:B25)</f>
        <v>460803,10100</v>
      </c>
      <c r="D25" s="15" t="s">
        <v>112</v>
      </c>
      <c r="E25" s="15" t="s">
        <v>113</v>
      </c>
      <c r="F25" s="26">
        <v>1</v>
      </c>
      <c r="G25" s="26">
        <v>1</v>
      </c>
      <c r="H25" s="26">
        <v>0</v>
      </c>
      <c r="I25" s="9">
        <v>201814</v>
      </c>
      <c r="J25" s="15" t="str">
        <f>IFERROR(VLOOKUP(I25,monsters[#All],4,0),"")</f>
        <v>弱小螃蟹</v>
      </c>
      <c r="K25" s="15" t="str" cm="1">
        <f t="array" ref="K25">_xlfn.LET(_xlpm.v6p,ABS(ATAN2(N25,O25))*6/PI(),
_xlpm.output,_xlfn.IFS(_xlpm.v6p&lt;1,"正前",_xlpm.v6p&gt;5,"正后",AND(_xlpm.v6p&lt;5,_xlpm.v6p&gt;2,O25&lt;-1),"脚底",_xlpm.v6p&gt;4,"后上",_xlpm.v6p&lt;2,"前上",TRUE,"顶部"),
IFERROR(_xlpm.output,""))</f>
        <v>前上</v>
      </c>
      <c r="L25" s="12" t="s">
        <v>63</v>
      </c>
      <c r="M25" s="19" t="str">
        <f>N25+0&amp;","&amp;O25+0</f>
        <v>12,15</v>
      </c>
      <c r="N25" s="24">
        <v>12</v>
      </c>
      <c r="O25" s="24">
        <v>15</v>
      </c>
      <c r="P25" s="19">
        <f>IF(R25&lt;&gt;"",1,"")</f>
        <v>1</v>
      </c>
      <c r="Q25" s="9">
        <v>10</v>
      </c>
      <c r="R25" s="19" t="str">
        <f>IF(S25&lt;&gt;"", S25+0&amp;","&amp;T25+0,"")</f>
        <v>1,3</v>
      </c>
      <c r="S25" s="24">
        <v>1</v>
      </c>
      <c r="T25" s="24">
        <v>3</v>
      </c>
      <c r="U25" s="19" t="str">
        <f>IF($A25&lt;&gt;"",IF($V25&lt;&gt;"",$V25,"0,0"),"")</f>
        <v>0,45</v>
      </c>
      <c r="V25" s="42" t="s">
        <v>108</v>
      </c>
      <c r="W25" s="19" t="str">
        <f>IF($A25&lt;&gt;"",IF($X25&lt;&gt;"",$X25,"80,120"),"")</f>
        <v>50,150</v>
      </c>
      <c r="X25" s="42" t="s">
        <v>65</v>
      </c>
      <c r="Y25" s="9">
        <v>1</v>
      </c>
    </row>
    <row r="26" spans="1:25" x14ac:dyDescent="0.2">
      <c r="A26" s="22">
        <v>460803</v>
      </c>
      <c r="B26" s="9" t="str" cm="1">
        <f t="array" ref="B26">F26&amp;_xlfn.TEXTJOIN("",1,TEXT(G26:H26,"00"))</f>
        <v>10200</v>
      </c>
      <c r="C26" s="30" t="str">
        <f t="shared" si="9"/>
        <v>460803,10200</v>
      </c>
      <c r="D26" s="15" t="s">
        <v>112</v>
      </c>
      <c r="E26" s="15" t="s">
        <v>113</v>
      </c>
      <c r="F26" s="26">
        <v>1</v>
      </c>
      <c r="G26" s="26">
        <v>2</v>
      </c>
      <c r="H26" s="26">
        <v>0</v>
      </c>
      <c r="I26" s="9">
        <v>201814</v>
      </c>
      <c r="J26" s="15" t="str">
        <f>IFERROR(VLOOKUP(I26,monsters[#All],4,0),"")</f>
        <v>弱小螃蟹</v>
      </c>
      <c r="K26" s="15" t="str" cm="1">
        <f t="array" ref="K26">_xlfn.LET(_xlpm.v6p,ABS(ATAN2(N26,O26))*6/PI(),
_xlpm.output,_xlfn.IFS(_xlpm.v6p&lt;1,"正前",_xlpm.v6p&gt;5,"正后",AND(_xlpm.v6p&lt;5,_xlpm.v6p&gt;2,O26&lt;-1),"脚底",_xlpm.v6p&gt;4,"后上",_xlpm.v6p&lt;2,"前上",TRUE,"顶部"),
IFERROR(_xlpm.output,""))</f>
        <v>顶部</v>
      </c>
      <c r="L26" s="12" t="s">
        <v>63</v>
      </c>
      <c r="M26" s="19" t="str">
        <f>N26+0&amp;","&amp;O26+0</f>
        <v>6,15</v>
      </c>
      <c r="N26" s="24">
        <v>6</v>
      </c>
      <c r="O26" s="24">
        <v>15</v>
      </c>
      <c r="P26" s="19">
        <f t="shared" ref="P26" si="10">IF(R26&lt;&gt;"",1,"")</f>
        <v>1</v>
      </c>
      <c r="Q26" s="9">
        <v>10</v>
      </c>
      <c r="R26" s="19" t="str">
        <f>IF(S26&lt;&gt;"", S26+0&amp;","&amp;T26+0,"")</f>
        <v>1,3</v>
      </c>
      <c r="S26" s="24">
        <v>1</v>
      </c>
      <c r="T26" s="24">
        <v>3</v>
      </c>
      <c r="U26" s="19" t="str">
        <f t="shared" ref="U26:U29" si="11">IF($A26&lt;&gt;"",IF($V26&lt;&gt;"",$V26,"0,0"),"")</f>
        <v>0,45</v>
      </c>
      <c r="V26" s="42" t="s">
        <v>108</v>
      </c>
      <c r="W26" s="19" t="str">
        <f>IF($A26&lt;&gt;"",IF($X26&lt;&gt;"",$X26,"80,120"),"")</f>
        <v>50,150</v>
      </c>
      <c r="X26" s="42" t="s">
        <v>65</v>
      </c>
      <c r="Y26" s="9">
        <v>0.85</v>
      </c>
    </row>
    <row r="27" spans="1:25" x14ac:dyDescent="0.2">
      <c r="A27" s="22">
        <v>460803</v>
      </c>
      <c r="B27" s="9" t="str" cm="1">
        <f t="array" ref="B27">F27&amp;_xlfn.TEXTJOIN("",1,TEXT(G27:H27,"00"))</f>
        <v>10300</v>
      </c>
      <c r="C27" s="30" t="str">
        <f t="shared" ref="C27:C28" si="12">_xlfn.TEXTJOIN(",",1,A27:B27)</f>
        <v>460803,10300</v>
      </c>
      <c r="D27" s="15" t="s">
        <v>112</v>
      </c>
      <c r="E27" s="15" t="s">
        <v>113</v>
      </c>
      <c r="F27" s="26">
        <v>1</v>
      </c>
      <c r="G27" s="26">
        <v>3</v>
      </c>
      <c r="H27" s="26">
        <v>0</v>
      </c>
      <c r="I27" s="9">
        <v>201814</v>
      </c>
      <c r="J27" s="15" t="str">
        <f>IFERROR(VLOOKUP(I27,monsters[#All],4,0),"")</f>
        <v>弱小螃蟹</v>
      </c>
      <c r="K27" s="15" t="str" cm="1">
        <f t="array" ref="K27">_xlfn.LET(_xlpm.v6p,ABS(ATAN2(N27,O27))*6/PI(),
_xlpm.output,_xlfn.IFS(_xlpm.v6p&lt;1,"正前",_xlpm.v6p&gt;5,"正后",AND(_xlpm.v6p&lt;5,_xlpm.v6p&gt;2,O27&lt;-1),"脚底",_xlpm.v6p&gt;4,"后上",_xlpm.v6p&lt;2,"前上",TRUE,"顶部"),
IFERROR(_xlpm.output,""))</f>
        <v>顶部</v>
      </c>
      <c r="L27" s="12" t="s">
        <v>63</v>
      </c>
      <c r="M27" s="19" t="str">
        <f>N27+0&amp;","&amp;O27+0</f>
        <v>1,15</v>
      </c>
      <c r="N27" s="24">
        <v>1</v>
      </c>
      <c r="O27" s="24">
        <v>15</v>
      </c>
      <c r="P27" s="19">
        <f t="shared" ref="P27:P28" si="13">IF(R27&lt;&gt;"",1,"")</f>
        <v>1</v>
      </c>
      <c r="Q27" s="9">
        <v>10</v>
      </c>
      <c r="R27" s="19" t="str">
        <f>IF(S27&lt;&gt;"", S27+0&amp;","&amp;T27+0,"")</f>
        <v>1,3</v>
      </c>
      <c r="S27" s="24">
        <v>1</v>
      </c>
      <c r="T27" s="24">
        <v>3</v>
      </c>
      <c r="U27" s="19" t="str">
        <f t="shared" si="11"/>
        <v>60,75</v>
      </c>
      <c r="V27" s="42" t="s">
        <v>109</v>
      </c>
      <c r="W27" s="19" t="str">
        <f>IF($A27&lt;&gt;"",IF($X27&lt;&gt;"",$X27,"80,120"),"")</f>
        <v>80,120</v>
      </c>
      <c r="X27" s="42"/>
      <c r="Y27" s="9">
        <v>0.7</v>
      </c>
    </row>
    <row r="28" spans="1:25" x14ac:dyDescent="0.2">
      <c r="A28" s="22">
        <v>460803</v>
      </c>
      <c r="B28" s="9" t="str" cm="1">
        <f t="array" ref="B28">F28&amp;_xlfn.TEXTJOIN("",1,TEXT(G28:H28,"00"))</f>
        <v>10400</v>
      </c>
      <c r="C28" s="30" t="str">
        <f t="shared" si="12"/>
        <v>460803,10400</v>
      </c>
      <c r="D28" s="15" t="s">
        <v>112</v>
      </c>
      <c r="E28" s="15" t="s">
        <v>113</v>
      </c>
      <c r="F28" s="26">
        <v>1</v>
      </c>
      <c r="G28" s="26">
        <v>4</v>
      </c>
      <c r="H28" s="26">
        <v>0</v>
      </c>
      <c r="I28" s="9">
        <v>201814</v>
      </c>
      <c r="J28" s="15" t="str">
        <f>IFERROR(VLOOKUP(I28,monsters[#All],4,0),"")</f>
        <v>弱小螃蟹</v>
      </c>
      <c r="K28" s="15" t="str" cm="1">
        <f t="array" ref="K28">_xlfn.LET(_xlpm.v6p,ABS(ATAN2(N28,O28))*6/PI(),
_xlpm.output,_xlfn.IFS(_xlpm.v6p&lt;1,"正前",_xlpm.v6p&gt;5,"正后",AND(_xlpm.v6p&lt;5,_xlpm.v6p&gt;2,O28&lt;-1),"脚底",_xlpm.v6p&gt;4,"后上",_xlpm.v6p&lt;2,"前上",TRUE,"顶部"),
IFERROR(_xlpm.output,""))</f>
        <v>顶部</v>
      </c>
      <c r="L28" s="12" t="s">
        <v>63</v>
      </c>
      <c r="M28" s="19" t="str">
        <f>N28+0&amp;","&amp;O28+0</f>
        <v>-3,15</v>
      </c>
      <c r="N28" s="24">
        <v>-3</v>
      </c>
      <c r="O28" s="24">
        <v>15</v>
      </c>
      <c r="P28" s="19">
        <f t="shared" si="13"/>
        <v>1</v>
      </c>
      <c r="Q28" s="9">
        <v>10</v>
      </c>
      <c r="R28" s="19" t="str">
        <f>IF(S28&lt;&gt;"", S28+0&amp;","&amp;T28+0,"")</f>
        <v>1,3</v>
      </c>
      <c r="S28" s="24">
        <v>1</v>
      </c>
      <c r="T28" s="24">
        <v>3</v>
      </c>
      <c r="U28" s="19" t="str">
        <f t="shared" si="11"/>
        <v>0,45</v>
      </c>
      <c r="V28" s="42" t="s">
        <v>108</v>
      </c>
      <c r="W28" s="19" t="str">
        <f>IF($A28&lt;&gt;"",IF($X28&lt;&gt;"",$X28,"80,120"),"")</f>
        <v>50,150</v>
      </c>
      <c r="X28" s="42" t="s">
        <v>65</v>
      </c>
      <c r="Y28" s="9">
        <v>0.55000000000000004</v>
      </c>
    </row>
    <row r="29" spans="1:25" x14ac:dyDescent="0.2">
      <c r="A29" s="22">
        <v>460803</v>
      </c>
      <c r="B29" s="9" t="str" cm="1">
        <f t="array" ref="B29">F29&amp;_xlfn.TEXTJOIN("",1,TEXT(G29:H29,"00"))</f>
        <v>10500</v>
      </c>
      <c r="C29" s="30" t="str">
        <f t="shared" ref="C29" si="14">_xlfn.TEXTJOIN(",",1,A29:B29)</f>
        <v>460803,10500</v>
      </c>
      <c r="D29" s="15" t="s">
        <v>112</v>
      </c>
      <c r="E29" s="15" t="s">
        <v>113</v>
      </c>
      <c r="F29" s="26">
        <v>1</v>
      </c>
      <c r="G29" s="26">
        <v>5</v>
      </c>
      <c r="H29" s="26">
        <v>0</v>
      </c>
      <c r="I29" s="9">
        <v>201814</v>
      </c>
      <c r="J29" s="15" t="str">
        <f>IFERROR(VLOOKUP(I29,monsters[#All],4,0),"")</f>
        <v>弱小螃蟹</v>
      </c>
      <c r="K29" s="15" t="str" cm="1">
        <f t="array" ref="K29">_xlfn.LET(_xlpm.v6p,ABS(ATAN2(N29,O29))*6/PI(),
_xlpm.output,_xlfn.IFS(_xlpm.v6p&lt;1,"正前",_xlpm.v6p&gt;5,"正后",AND(_xlpm.v6p&lt;5,_xlpm.v6p&gt;2,O29&lt;-1),"脚底",_xlpm.v6p&gt;4,"后上",_xlpm.v6p&lt;2,"前上",TRUE,"顶部"),
IFERROR(_xlpm.output,""))</f>
        <v>顶部</v>
      </c>
      <c r="L29" s="12" t="s">
        <v>63</v>
      </c>
      <c r="M29" s="19" t="str">
        <f>N29+0&amp;","&amp;O29+0</f>
        <v>-8,15</v>
      </c>
      <c r="N29" s="24">
        <v>-8</v>
      </c>
      <c r="O29" s="24">
        <v>15</v>
      </c>
      <c r="P29" s="19">
        <f t="shared" ref="P29" si="15">IF(R29&lt;&gt;"",1,"")</f>
        <v>1</v>
      </c>
      <c r="Q29" s="9">
        <v>10</v>
      </c>
      <c r="R29" s="19" t="str">
        <f>IF(S29&lt;&gt;"", S29+0&amp;","&amp;T29+0,"")</f>
        <v>1,3</v>
      </c>
      <c r="S29" s="24">
        <v>1</v>
      </c>
      <c r="T29" s="24">
        <v>3</v>
      </c>
      <c r="U29" s="19" t="str">
        <f t="shared" si="11"/>
        <v>0,45</v>
      </c>
      <c r="V29" s="42" t="s">
        <v>108</v>
      </c>
      <c r="W29" s="19" t="str">
        <f>IF($A29&lt;&gt;"",IF($X29&lt;&gt;"",$X29,"80,120"),"")</f>
        <v>50,150</v>
      </c>
      <c r="X29" s="42" t="s">
        <v>65</v>
      </c>
      <c r="Y29" s="9">
        <v>0.4</v>
      </c>
    </row>
    <row r="31" spans="1:25" x14ac:dyDescent="0.2">
      <c r="A31" s="22">
        <v>460804</v>
      </c>
      <c r="B31" s="9" t="str" cm="1">
        <f t="array" ref="B31">F31&amp;_xlfn.TEXTJOIN("",1,TEXT(G31:H31,"00"))</f>
        <v>10100</v>
      </c>
      <c r="C31" s="30" t="str">
        <f t="shared" ref="C31:C35" si="16">_xlfn.TEXTJOIN(",",1,A31:B31)</f>
        <v>460804,10100</v>
      </c>
      <c r="D31" s="15" t="s">
        <v>112</v>
      </c>
      <c r="E31" s="15" t="s">
        <v>114</v>
      </c>
      <c r="F31" s="26">
        <v>1</v>
      </c>
      <c r="G31" s="26">
        <v>1</v>
      </c>
      <c r="H31" s="26">
        <v>0</v>
      </c>
      <c r="I31" s="9">
        <v>201814</v>
      </c>
      <c r="J31" s="15" t="str">
        <f>IFERROR(VLOOKUP(I31,monsters[#All],4,0),"")</f>
        <v>弱小螃蟹</v>
      </c>
      <c r="K31" s="15" t="str" cm="1">
        <f t="array" ref="K31">_xlfn.LET(_xlpm.v6p,ABS(ATAN2(N31,O31))*6/PI(),
_xlpm.output,_xlfn.IFS(_xlpm.v6p&lt;1,"正前",_xlpm.v6p&gt;5,"正后",AND(_xlpm.v6p&lt;5,_xlpm.v6p&gt;2,O31&lt;-1),"脚底",_xlpm.v6p&gt;4,"后上",_xlpm.v6p&lt;2,"前上",TRUE,"顶部"),
IFERROR(_xlpm.output,""))</f>
        <v>前上</v>
      </c>
      <c r="L31" s="12" t="s">
        <v>63</v>
      </c>
      <c r="M31" s="19" t="str">
        <f>N31+0&amp;","&amp;O31+0</f>
        <v>12,15</v>
      </c>
      <c r="N31" s="24">
        <v>12</v>
      </c>
      <c r="O31" s="24">
        <v>15</v>
      </c>
      <c r="P31" s="19">
        <f>IF(R31&lt;&gt;"",1,"")</f>
        <v>1</v>
      </c>
      <c r="Q31" s="9">
        <v>10</v>
      </c>
      <c r="R31" s="19" t="str">
        <f>IF(S31&lt;&gt;"", S31+0&amp;","&amp;T31+0,"")</f>
        <v>1,3</v>
      </c>
      <c r="S31" s="24">
        <v>1</v>
      </c>
      <c r="T31" s="24">
        <v>3</v>
      </c>
      <c r="U31" s="19" t="str">
        <f>IF($A31&lt;&gt;"",IF($V31&lt;&gt;"",$V31,"0,0"),"")</f>
        <v>0,45</v>
      </c>
      <c r="V31" s="42" t="s">
        <v>108</v>
      </c>
      <c r="W31" s="19" t="str">
        <f>IF($A31&lt;&gt;"",IF($X31&lt;&gt;"",$X31,"80,120"),"")</f>
        <v>50,150</v>
      </c>
      <c r="X31" s="42" t="s">
        <v>65</v>
      </c>
      <c r="Y31" s="9">
        <v>1.5</v>
      </c>
    </row>
    <row r="32" spans="1:25" x14ac:dyDescent="0.2">
      <c r="A32" s="22">
        <v>460804</v>
      </c>
      <c r="B32" s="9" t="str" cm="1">
        <f t="array" ref="B32">F32&amp;_xlfn.TEXTJOIN("",1,TEXT(G32:H32,"00"))</f>
        <v>10200</v>
      </c>
      <c r="C32" s="30" t="str">
        <f t="shared" si="16"/>
        <v>460804,10200</v>
      </c>
      <c r="D32" s="15" t="s">
        <v>112</v>
      </c>
      <c r="E32" s="15" t="s">
        <v>114</v>
      </c>
      <c r="F32" s="26">
        <v>1</v>
      </c>
      <c r="G32" s="26">
        <v>2</v>
      </c>
      <c r="H32" s="26">
        <v>0</v>
      </c>
      <c r="I32" s="9">
        <v>201814</v>
      </c>
      <c r="J32" s="15" t="str">
        <f>IFERROR(VLOOKUP(I32,monsters[#All],4,0),"")</f>
        <v>弱小螃蟹</v>
      </c>
      <c r="K32" s="15" t="str" cm="1">
        <f t="array" ref="K32">_xlfn.LET(_xlpm.v6p,ABS(ATAN2(N32,O32))*6/PI(),
_xlpm.output,_xlfn.IFS(_xlpm.v6p&lt;1,"正前",_xlpm.v6p&gt;5,"正后",AND(_xlpm.v6p&lt;5,_xlpm.v6p&gt;2,O32&lt;-1),"脚底",_xlpm.v6p&gt;4,"后上",_xlpm.v6p&lt;2,"前上",TRUE,"顶部"),
IFERROR(_xlpm.output,""))</f>
        <v>顶部</v>
      </c>
      <c r="L32" s="12" t="s">
        <v>63</v>
      </c>
      <c r="M32" s="19" t="str">
        <f>N32+0&amp;","&amp;O32+0</f>
        <v>6,15</v>
      </c>
      <c r="N32" s="24">
        <v>6</v>
      </c>
      <c r="O32" s="24">
        <v>15</v>
      </c>
      <c r="P32" s="19">
        <f t="shared" ref="P32:P35" si="17">IF(R32&lt;&gt;"",1,"")</f>
        <v>1</v>
      </c>
      <c r="Q32" s="9">
        <v>10</v>
      </c>
      <c r="R32" s="19" t="str">
        <f>IF(S32&lt;&gt;"", S32+0&amp;","&amp;T32+0,"")</f>
        <v>1,3</v>
      </c>
      <c r="S32" s="24">
        <v>1</v>
      </c>
      <c r="T32" s="24">
        <v>3</v>
      </c>
      <c r="U32" s="19" t="str">
        <f t="shared" ref="U32:U35" si="18">IF($A32&lt;&gt;"",IF($V32&lt;&gt;"",$V32,"0,0"),"")</f>
        <v>0,45</v>
      </c>
      <c r="V32" s="42" t="s">
        <v>108</v>
      </c>
      <c r="W32" s="19" t="str">
        <f>IF($A32&lt;&gt;"",IF($X32&lt;&gt;"",$X32,"80,120"),"")</f>
        <v>50,150</v>
      </c>
      <c r="X32" s="42" t="s">
        <v>65</v>
      </c>
      <c r="Y32" s="9">
        <v>1.25</v>
      </c>
    </row>
    <row r="33" spans="1:25" x14ac:dyDescent="0.2">
      <c r="A33" s="22">
        <v>460804</v>
      </c>
      <c r="B33" s="9" t="str" cm="1">
        <f t="array" ref="B33">F33&amp;_xlfn.TEXTJOIN("",1,TEXT(G33:H33,"00"))</f>
        <v>10300</v>
      </c>
      <c r="C33" s="30" t="str">
        <f t="shared" si="16"/>
        <v>460804,10300</v>
      </c>
      <c r="D33" s="15" t="s">
        <v>112</v>
      </c>
      <c r="E33" s="15" t="s">
        <v>114</v>
      </c>
      <c r="F33" s="26">
        <v>1</v>
      </c>
      <c r="G33" s="26">
        <v>3</v>
      </c>
      <c r="H33" s="26">
        <v>0</v>
      </c>
      <c r="I33" s="9">
        <v>201814</v>
      </c>
      <c r="J33" s="15" t="str">
        <f>IFERROR(VLOOKUP(I33,monsters[#All],4,0),"")</f>
        <v>弱小螃蟹</v>
      </c>
      <c r="K33" s="15" t="str" cm="1">
        <f t="array" ref="K33">_xlfn.LET(_xlpm.v6p,ABS(ATAN2(N33,O33))*6/PI(),
_xlpm.output,_xlfn.IFS(_xlpm.v6p&lt;1,"正前",_xlpm.v6p&gt;5,"正后",AND(_xlpm.v6p&lt;5,_xlpm.v6p&gt;2,O33&lt;-1),"脚底",_xlpm.v6p&gt;4,"后上",_xlpm.v6p&lt;2,"前上",TRUE,"顶部"),
IFERROR(_xlpm.output,""))</f>
        <v>顶部</v>
      </c>
      <c r="L33" s="12" t="s">
        <v>63</v>
      </c>
      <c r="M33" s="19" t="str">
        <f>N33+0&amp;","&amp;O33+0</f>
        <v>1,15</v>
      </c>
      <c r="N33" s="24">
        <v>1</v>
      </c>
      <c r="O33" s="24">
        <v>15</v>
      </c>
      <c r="P33" s="19">
        <f t="shared" si="17"/>
        <v>1</v>
      </c>
      <c r="Q33" s="9">
        <v>10</v>
      </c>
      <c r="R33" s="19" t="str">
        <f>IF(S33&lt;&gt;"", S33+0&amp;","&amp;T33+0,"")</f>
        <v>1,3</v>
      </c>
      <c r="S33" s="24">
        <v>1</v>
      </c>
      <c r="T33" s="24">
        <v>3</v>
      </c>
      <c r="U33" s="19" t="str">
        <f t="shared" si="18"/>
        <v>60,75</v>
      </c>
      <c r="V33" s="42" t="s">
        <v>109</v>
      </c>
      <c r="W33" s="19" t="str">
        <f>IF($A33&lt;&gt;"",IF($X33&lt;&gt;"",$X33,"80,120"),"")</f>
        <v>80,120</v>
      </c>
      <c r="X33" s="42"/>
      <c r="Y33" s="9">
        <v>1</v>
      </c>
    </row>
    <row r="34" spans="1:25" x14ac:dyDescent="0.2">
      <c r="A34" s="22">
        <v>460804</v>
      </c>
      <c r="B34" s="9" t="str" cm="1">
        <f t="array" ref="B34">F34&amp;_xlfn.TEXTJOIN("",1,TEXT(G34:H34,"00"))</f>
        <v>10400</v>
      </c>
      <c r="C34" s="30" t="str">
        <f t="shared" si="16"/>
        <v>460804,10400</v>
      </c>
      <c r="D34" s="15" t="s">
        <v>112</v>
      </c>
      <c r="E34" s="15" t="s">
        <v>114</v>
      </c>
      <c r="F34" s="26">
        <v>1</v>
      </c>
      <c r="G34" s="26">
        <v>4</v>
      </c>
      <c r="H34" s="26">
        <v>0</v>
      </c>
      <c r="I34" s="9">
        <v>201814</v>
      </c>
      <c r="J34" s="15" t="str">
        <f>IFERROR(VLOOKUP(I34,monsters[#All],4,0),"")</f>
        <v>弱小螃蟹</v>
      </c>
      <c r="K34" s="15" t="str" cm="1">
        <f t="array" ref="K34">_xlfn.LET(_xlpm.v6p,ABS(ATAN2(N34,O34))*6/PI(),
_xlpm.output,_xlfn.IFS(_xlpm.v6p&lt;1,"正前",_xlpm.v6p&gt;5,"正后",AND(_xlpm.v6p&lt;5,_xlpm.v6p&gt;2,O34&lt;-1),"脚底",_xlpm.v6p&gt;4,"后上",_xlpm.v6p&lt;2,"前上",TRUE,"顶部"),
IFERROR(_xlpm.output,""))</f>
        <v>顶部</v>
      </c>
      <c r="L34" s="12" t="s">
        <v>63</v>
      </c>
      <c r="M34" s="19" t="str">
        <f>N34+0&amp;","&amp;O34+0</f>
        <v>-3,15</v>
      </c>
      <c r="N34" s="24">
        <v>-3</v>
      </c>
      <c r="O34" s="24">
        <v>15</v>
      </c>
      <c r="P34" s="19">
        <f t="shared" si="17"/>
        <v>1</v>
      </c>
      <c r="Q34" s="9">
        <v>10</v>
      </c>
      <c r="R34" s="19" t="str">
        <f>IF(S34&lt;&gt;"", S34+0&amp;","&amp;T34+0,"")</f>
        <v>1,3</v>
      </c>
      <c r="S34" s="24">
        <v>1</v>
      </c>
      <c r="T34" s="24">
        <v>3</v>
      </c>
      <c r="U34" s="19" t="str">
        <f t="shared" si="18"/>
        <v>0,45</v>
      </c>
      <c r="V34" s="42" t="s">
        <v>108</v>
      </c>
      <c r="W34" s="19" t="str">
        <f>IF($A34&lt;&gt;"",IF($X34&lt;&gt;"",$X34,"80,120"),"")</f>
        <v>50,150</v>
      </c>
      <c r="X34" s="42" t="s">
        <v>65</v>
      </c>
      <c r="Y34" s="9">
        <v>0.75</v>
      </c>
    </row>
    <row r="35" spans="1:25" x14ac:dyDescent="0.2">
      <c r="A35" s="22">
        <v>460804</v>
      </c>
      <c r="B35" s="9" t="str" cm="1">
        <f t="array" ref="B35">F35&amp;_xlfn.TEXTJOIN("",1,TEXT(G35:H35,"00"))</f>
        <v>10500</v>
      </c>
      <c r="C35" s="30" t="str">
        <f t="shared" si="16"/>
        <v>460804,10500</v>
      </c>
      <c r="D35" s="15" t="s">
        <v>112</v>
      </c>
      <c r="E35" s="15" t="s">
        <v>114</v>
      </c>
      <c r="F35" s="26">
        <v>1</v>
      </c>
      <c r="G35" s="26">
        <v>5</v>
      </c>
      <c r="H35" s="26">
        <v>0</v>
      </c>
      <c r="I35" s="9">
        <v>201814</v>
      </c>
      <c r="J35" s="15" t="str">
        <f>IFERROR(VLOOKUP(I35,monsters[#All],4,0),"")</f>
        <v>弱小螃蟹</v>
      </c>
      <c r="K35" s="15" t="str" cm="1">
        <f t="array" ref="K35">_xlfn.LET(_xlpm.v6p,ABS(ATAN2(N35,O35))*6/PI(),
_xlpm.output,_xlfn.IFS(_xlpm.v6p&lt;1,"正前",_xlpm.v6p&gt;5,"正后",AND(_xlpm.v6p&lt;5,_xlpm.v6p&gt;2,O35&lt;-1),"脚底",_xlpm.v6p&gt;4,"后上",_xlpm.v6p&lt;2,"前上",TRUE,"顶部"),
IFERROR(_xlpm.output,""))</f>
        <v>顶部</v>
      </c>
      <c r="L35" s="12" t="s">
        <v>63</v>
      </c>
      <c r="M35" s="19" t="str">
        <f>N35+0&amp;","&amp;O35+0</f>
        <v>-8,15</v>
      </c>
      <c r="N35" s="24">
        <v>-8</v>
      </c>
      <c r="O35" s="24">
        <v>15</v>
      </c>
      <c r="P35" s="19">
        <f t="shared" si="17"/>
        <v>1</v>
      </c>
      <c r="Q35" s="9">
        <v>10</v>
      </c>
      <c r="R35" s="19" t="str">
        <f>IF(S35&lt;&gt;"", S35+0&amp;","&amp;T35+0,"")</f>
        <v>1,3</v>
      </c>
      <c r="S35" s="24">
        <v>1</v>
      </c>
      <c r="T35" s="24">
        <v>3</v>
      </c>
      <c r="U35" s="19" t="str">
        <f t="shared" si="18"/>
        <v>0,45</v>
      </c>
      <c r="V35" s="42" t="s">
        <v>108</v>
      </c>
      <c r="W35" s="19" t="str">
        <f>IF($A35&lt;&gt;"",IF($X35&lt;&gt;"",$X35,"80,120"),"")</f>
        <v>50,150</v>
      </c>
      <c r="X35" s="42" t="s">
        <v>65</v>
      </c>
      <c r="Y35" s="9">
        <v>0.5</v>
      </c>
    </row>
  </sheetData>
  <phoneticPr fontId="4" type="noConversion"/>
  <conditionalFormatting sqref="C1:C1048576">
    <cfRule type="containsBlanks" priority="1" stopIfTrue="1">
      <formula>LEN(TRIM(C1))=0</formula>
    </cfRule>
    <cfRule type="duplicateValues" dxfId="1" priority="2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5730-0C5F-4390-82DB-B0D702DF6F41}">
  <dimension ref="A1:AO936"/>
  <sheetViews>
    <sheetView tabSelected="1" zoomScaleNormal="100" workbookViewId="0">
      <pane xSplit="11" ySplit="3" topLeftCell="Y681" activePane="bottomRight" state="frozen"/>
      <selection pane="topRight" activeCell="L1" sqref="L1"/>
      <selection pane="bottomLeft" activeCell="A4" sqref="A4"/>
      <selection pane="bottomRight" activeCell="J702" sqref="J702"/>
    </sheetView>
  </sheetViews>
  <sheetFormatPr defaultColWidth="9.125" defaultRowHeight="14.25" x14ac:dyDescent="0.2"/>
  <cols>
    <col min="1" max="2" width="9.5" style="9" bestFit="1" customWidth="1"/>
    <col min="3" max="3" width="12.375" style="30" bestFit="1" customWidth="1"/>
    <col min="4" max="7" width="5.75" style="26" bestFit="1" customWidth="1"/>
    <col min="8" max="8" width="10.5" style="9" bestFit="1" customWidth="1"/>
    <col min="9" max="9" width="18.875" style="15" bestFit="1" customWidth="1"/>
    <col min="10" max="10" width="5.75" style="15" bestFit="1" customWidth="1"/>
    <col min="11" max="11" width="6.75" style="9" bestFit="1" customWidth="1"/>
    <col min="12" max="12" width="15" style="9" bestFit="1" customWidth="1"/>
    <col min="13" max="13" width="9.375" style="9" bestFit="1" customWidth="1"/>
    <col min="14" max="14" width="9" style="9" bestFit="1" customWidth="1"/>
    <col min="15" max="16" width="6.25" style="24" bestFit="1" customWidth="1"/>
    <col min="17" max="17" width="10.5" style="9" customWidth="1"/>
    <col min="18" max="18" width="8.5" style="24" bestFit="1" customWidth="1"/>
    <col min="19" max="19" width="10.375" style="9" bestFit="1" customWidth="1"/>
    <col min="20" max="20" width="11.75" style="9" customWidth="1"/>
    <col min="21" max="21" width="5" style="24" bestFit="1" customWidth="1"/>
    <col min="22" max="22" width="5.5" style="24" bestFit="1" customWidth="1"/>
    <col min="23" max="24" width="11.25" style="9" customWidth="1"/>
    <col min="25" max="25" width="14.125" style="9" bestFit="1" customWidth="1"/>
    <col min="26" max="26" width="10.375" style="24" bestFit="1" customWidth="1"/>
    <col min="27" max="27" width="15.25" style="9" customWidth="1"/>
    <col min="28" max="28" width="10.375" style="24" bestFit="1" customWidth="1"/>
    <col min="29" max="30" width="10.375" style="9" customWidth="1"/>
    <col min="31" max="31" width="11.25" style="9" bestFit="1" customWidth="1"/>
    <col min="32" max="33" width="8.5" style="9" customWidth="1"/>
    <col min="34" max="34" width="9.125" style="9"/>
    <col min="35" max="41" width="9.125" style="69"/>
    <col min="42" max="16384" width="9.125" style="9"/>
  </cols>
  <sheetData>
    <row r="1" spans="1:41" s="1" customFormat="1" x14ac:dyDescent="0.2">
      <c r="A1" s="1" t="s">
        <v>0</v>
      </c>
      <c r="B1" s="1" t="s">
        <v>12</v>
      </c>
      <c r="C1" s="27"/>
      <c r="D1" s="3"/>
      <c r="E1" s="3"/>
      <c r="F1" s="3"/>
      <c r="G1" s="3"/>
      <c r="H1" s="1" t="s">
        <v>13</v>
      </c>
      <c r="I1" s="13"/>
      <c r="J1" s="13"/>
      <c r="K1" s="1" t="s">
        <v>137</v>
      </c>
      <c r="L1" s="1" t="s">
        <v>24</v>
      </c>
      <c r="M1" s="1" t="s">
        <v>135</v>
      </c>
      <c r="N1" s="1" t="s">
        <v>14</v>
      </c>
      <c r="O1" s="10"/>
      <c r="P1" s="10"/>
      <c r="Q1" s="1" t="s">
        <v>56</v>
      </c>
      <c r="R1" s="10"/>
      <c r="S1" s="1" t="s">
        <v>15</v>
      </c>
      <c r="T1" s="1" t="s">
        <v>37</v>
      </c>
      <c r="U1" s="10"/>
      <c r="V1" s="10"/>
      <c r="W1" s="1" t="s">
        <v>16</v>
      </c>
      <c r="X1" s="1" t="s">
        <v>17</v>
      </c>
      <c r="Y1" s="1" t="s">
        <v>50</v>
      </c>
      <c r="Z1" s="10"/>
      <c r="AA1" s="1" t="s">
        <v>49</v>
      </c>
      <c r="AB1" s="10"/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I1" s="67"/>
      <c r="AJ1" s="67"/>
      <c r="AK1" s="67"/>
      <c r="AL1" s="67"/>
      <c r="AM1" s="67"/>
      <c r="AN1" s="67"/>
      <c r="AO1" s="67"/>
    </row>
    <row r="2" spans="1:41" s="4" customFormat="1" x14ac:dyDescent="0.2">
      <c r="A2" s="4" t="s">
        <v>1</v>
      </c>
      <c r="B2" s="4" t="s">
        <v>8</v>
      </c>
      <c r="C2" s="28"/>
      <c r="D2" s="5"/>
      <c r="E2" s="5"/>
      <c r="F2" s="5"/>
      <c r="G2" s="5"/>
      <c r="H2" s="4" t="s">
        <v>9</v>
      </c>
      <c r="I2" s="14"/>
      <c r="J2" s="14"/>
      <c r="K2" s="4" t="s">
        <v>138</v>
      </c>
      <c r="L2" s="4" t="s">
        <v>25</v>
      </c>
      <c r="M2" s="4" t="s">
        <v>25</v>
      </c>
      <c r="N2" s="4" t="s">
        <v>23</v>
      </c>
      <c r="O2" s="11"/>
      <c r="P2" s="11"/>
      <c r="Q2" s="4" t="s">
        <v>11</v>
      </c>
      <c r="R2" s="11"/>
      <c r="S2" s="4" t="s">
        <v>10</v>
      </c>
      <c r="T2" s="4" t="s">
        <v>38</v>
      </c>
      <c r="U2" s="11"/>
      <c r="V2" s="11"/>
      <c r="W2" s="4" t="s">
        <v>10</v>
      </c>
      <c r="X2" s="4" t="s">
        <v>10</v>
      </c>
      <c r="Y2" s="4" t="s">
        <v>23</v>
      </c>
      <c r="Z2" s="11"/>
      <c r="AA2" s="4" t="s">
        <v>23</v>
      </c>
      <c r="AB2" s="11"/>
      <c r="AC2" s="4" t="s">
        <v>11</v>
      </c>
      <c r="AD2" s="4" t="s">
        <v>11</v>
      </c>
      <c r="AE2" s="4" t="s">
        <v>11</v>
      </c>
      <c r="AF2" s="4" t="s">
        <v>10</v>
      </c>
      <c r="AG2" s="4" t="s">
        <v>11</v>
      </c>
      <c r="AI2" s="68"/>
      <c r="AJ2" s="68"/>
      <c r="AK2" s="68"/>
      <c r="AL2" s="68"/>
      <c r="AM2" s="68"/>
      <c r="AN2" s="68"/>
      <c r="AO2" s="68"/>
    </row>
    <row r="3" spans="1:41" s="2" customFormat="1" ht="76.5" x14ac:dyDescent="0.2">
      <c r="A3" s="7" t="s">
        <v>3</v>
      </c>
      <c r="B3" s="7" t="s">
        <v>4</v>
      </c>
      <c r="C3" s="29" t="s">
        <v>57</v>
      </c>
      <c r="D3" s="6" t="s">
        <v>272</v>
      </c>
      <c r="E3" s="6" t="s">
        <v>274</v>
      </c>
      <c r="F3" s="6" t="s">
        <v>271</v>
      </c>
      <c r="G3" s="6" t="s">
        <v>273</v>
      </c>
      <c r="H3" s="7" t="s">
        <v>2</v>
      </c>
      <c r="I3" s="20" t="s">
        <v>34</v>
      </c>
      <c r="J3" s="20" t="s">
        <v>275</v>
      </c>
      <c r="K3" s="7" t="s">
        <v>276</v>
      </c>
      <c r="L3" s="7" t="s">
        <v>26</v>
      </c>
      <c r="M3" s="7" t="s">
        <v>136</v>
      </c>
      <c r="N3" s="7" t="s">
        <v>5</v>
      </c>
      <c r="O3" s="23" t="s">
        <v>31</v>
      </c>
      <c r="P3" s="23" t="s">
        <v>32</v>
      </c>
      <c r="Q3" s="8" t="s">
        <v>55</v>
      </c>
      <c r="R3" s="23" t="s">
        <v>53</v>
      </c>
      <c r="S3" s="7" t="s">
        <v>6</v>
      </c>
      <c r="T3" s="8" t="s">
        <v>39</v>
      </c>
      <c r="U3" s="23" t="s">
        <v>40</v>
      </c>
      <c r="V3" s="23" t="s">
        <v>41</v>
      </c>
      <c r="W3" s="8" t="s">
        <v>45</v>
      </c>
      <c r="X3" s="8" t="s">
        <v>46</v>
      </c>
      <c r="Y3" s="8" t="s">
        <v>51</v>
      </c>
      <c r="Z3" s="23" t="s">
        <v>53</v>
      </c>
      <c r="AA3" s="8" t="s">
        <v>52</v>
      </c>
      <c r="AB3" s="23" t="s">
        <v>53</v>
      </c>
      <c r="AC3" s="8" t="s">
        <v>47</v>
      </c>
      <c r="AD3" s="8" t="s">
        <v>278</v>
      </c>
      <c r="AE3" s="7" t="s">
        <v>7</v>
      </c>
      <c r="AF3" s="8" t="s">
        <v>281</v>
      </c>
      <c r="AG3" s="8" t="s">
        <v>282</v>
      </c>
      <c r="AI3" s="20" t="s">
        <v>277</v>
      </c>
      <c r="AJ3" s="20" t="s">
        <v>303</v>
      </c>
      <c r="AK3" s="20" t="s">
        <v>302</v>
      </c>
      <c r="AL3" s="20" t="s">
        <v>308</v>
      </c>
      <c r="AM3" s="20" t="s">
        <v>309</v>
      </c>
      <c r="AN3" s="20" t="s">
        <v>285</v>
      </c>
      <c r="AO3" s="20" t="s">
        <v>288</v>
      </c>
    </row>
    <row r="4" spans="1:41" x14ac:dyDescent="0.2">
      <c r="A4" s="9">
        <v>1</v>
      </c>
      <c r="B4" s="9" t="str" cm="1">
        <f t="array" ref="B4">D4&amp;_xlfn.TEXTJOIN("",1,TEXT(E4:G4,"00"))</f>
        <v>1010000</v>
      </c>
      <c r="C4" s="30" t="str">
        <f>_xlfn.TEXTJOIN(",",1,A4:B4)</f>
        <v>1,1010000</v>
      </c>
      <c r="D4" s="26">
        <v>1</v>
      </c>
      <c r="E4" s="26">
        <v>1</v>
      </c>
      <c r="F4" s="26">
        <f>W4</f>
        <v>0</v>
      </c>
      <c r="G4" s="26">
        <v>0</v>
      </c>
      <c r="H4" s="9">
        <v>201101</v>
      </c>
      <c r="I4" s="15" t="str">
        <f>IFERROR(VLOOKUP(H4,monsters[#All],4,0),"")</f>
        <v>地宫蝙蝠</v>
      </c>
      <c r="J4" s="15" t="str" cm="1">
        <f t="array" ref="J4">_xlfn.LET(_xlpm.v6p,ABS(ATAN2(O4,P4))*6/PI(),
_xlpm.output,_xlfn.IFS(_xlpm.v6p&lt;1,"正前",_xlpm.v6p&gt;5,"正后",AND(_xlpm.v6p&lt;5,_xlpm.v6p&gt;2,P4&lt;-1),"脚底",_xlpm.v6p&gt;4,"后上",_xlpm.v6p&lt;2,"前上",TRUE,"顶部"),
IFERROR(_xlpm.output,""))</f>
        <v>前上</v>
      </c>
      <c r="L4" s="12" t="s">
        <v>27</v>
      </c>
      <c r="M4" s="12"/>
      <c r="N4" s="19" t="str">
        <f>O4+0&amp;","&amp;P4+0</f>
        <v>15,10</v>
      </c>
      <c r="O4" s="24">
        <v>15</v>
      </c>
      <c r="P4" s="24">
        <v>10</v>
      </c>
      <c r="Q4" s="19">
        <f>_xlfn.LET(_xlpm._default,1,
_xlpm._custom,R4,
IF($A4&lt;&gt;"",IF(_xlpm._custom&lt;&gt;"",_xlpm._custom,_xlpm._default),""))</f>
        <v>1</v>
      </c>
      <c r="S4" s="9">
        <v>8</v>
      </c>
      <c r="T4" s="19" t="str">
        <f>IF(U4&lt;&gt;"", U4+0&amp;","&amp;V4+0,"")</f>
        <v>1,3</v>
      </c>
      <c r="U4" s="24">
        <v>1</v>
      </c>
      <c r="V4" s="24">
        <v>3</v>
      </c>
      <c r="W4" s="9">
        <v>0</v>
      </c>
      <c r="X4" s="9">
        <v>11</v>
      </c>
      <c r="Y4" s="19" t="str">
        <f t="shared" ref="Y4:Y35" si="0">IF($A4&lt;&gt;"",IF($Z4&lt;&gt;"",$Z4,"0,0"),"")</f>
        <v>65,70</v>
      </c>
      <c r="Z4" s="24" t="s">
        <v>130</v>
      </c>
      <c r="AA4" s="19" t="str">
        <f t="shared" ref="AA4:AA35" si="1">IF($A4&lt;&gt;"",IF($AB4&lt;&gt;"",$AB4,"80,120"),"")</f>
        <v>80,120</v>
      </c>
      <c r="AC4" s="9">
        <v>2</v>
      </c>
      <c r="AD4" s="9">
        <v>2.5</v>
      </c>
      <c r="AE4" s="9">
        <v>0.3</v>
      </c>
      <c r="AF4" s="9">
        <v>3</v>
      </c>
      <c r="AG4" s="9">
        <v>100</v>
      </c>
    </row>
    <row r="5" spans="1:41" x14ac:dyDescent="0.2">
      <c r="A5" s="9">
        <v>1</v>
      </c>
      <c r="B5" s="9" t="str" cm="1">
        <f t="array" ref="B5">D5&amp;_xlfn.TEXTJOIN("",1,TEXT(E5:G5,"00"))</f>
        <v>1010100</v>
      </c>
      <c r="C5" s="30" t="str">
        <f t="shared" ref="C5:C7" si="2">_xlfn.TEXTJOIN(",",1,A5:B5)</f>
        <v>1,1010100</v>
      </c>
      <c r="D5" s="26">
        <v>1</v>
      </c>
      <c r="E5" s="26">
        <v>1</v>
      </c>
      <c r="F5" s="26">
        <f>W5</f>
        <v>1</v>
      </c>
      <c r="G5" s="26">
        <v>0</v>
      </c>
      <c r="H5" s="9">
        <v>201101</v>
      </c>
      <c r="I5" s="15" t="str">
        <f>IFERROR(VLOOKUP(H5,monsters[#All],4,0),"")</f>
        <v>地宫蝙蝠</v>
      </c>
      <c r="J5" s="15" t="str" cm="1">
        <f t="array" ref="J5">_xlfn.LET(_xlpm.v6p,ABS(ATAN2(O5,P5))*6/PI(),
_xlpm.output,_xlfn.IFS(_xlpm.v6p&lt;1,"正前",_xlpm.v6p&gt;5,"正后",AND(_xlpm.v6p&lt;5,_xlpm.v6p&gt;2,P5&lt;-1),"脚底",_xlpm.v6p&gt;4,"后上",_xlpm.v6p&lt;2,"前上",TRUE,"顶部"),
IFERROR(_xlpm.output,""))</f>
        <v>前上</v>
      </c>
      <c r="K5" s="12"/>
      <c r="L5" s="12" t="s">
        <v>27</v>
      </c>
      <c r="M5" s="12"/>
      <c r="N5" s="19" t="str">
        <f t="shared" ref="N5:N22" si="3">O5+0&amp;","&amp;P5+0</f>
        <v>15,10</v>
      </c>
      <c r="O5" s="24">
        <v>15</v>
      </c>
      <c r="P5" s="24">
        <v>10</v>
      </c>
      <c r="Q5" s="19">
        <f t="shared" ref="Q5:Q65" si="4">_xlfn.LET(_xlpm._default,1,
_xlpm._custom,R5,
IF($A5&lt;&gt;"",IF(_xlpm._custom&lt;&gt;"",_xlpm._custom,_xlpm._default),""))</f>
        <v>1</v>
      </c>
      <c r="S5" s="9">
        <v>4</v>
      </c>
      <c r="T5" s="19" t="str">
        <f>IF(U5&lt;&gt;"", U5+0&amp;","&amp;V5+0,"")</f>
        <v>1,3</v>
      </c>
      <c r="U5" s="24">
        <v>1</v>
      </c>
      <c r="V5" s="24">
        <v>3</v>
      </c>
      <c r="W5" s="9">
        <v>1</v>
      </c>
      <c r="X5" s="9">
        <v>11</v>
      </c>
      <c r="Y5" s="19" t="str">
        <f t="shared" si="0"/>
        <v>0,0</v>
      </c>
      <c r="AA5" s="19" t="str">
        <f t="shared" si="1"/>
        <v>80,120</v>
      </c>
      <c r="AC5" s="9">
        <v>2</v>
      </c>
      <c r="AD5" s="9">
        <v>0.5</v>
      </c>
      <c r="AE5" s="9">
        <v>0.3</v>
      </c>
      <c r="AF5" s="9">
        <v>2</v>
      </c>
      <c r="AG5" s="9">
        <v>20</v>
      </c>
    </row>
    <row r="6" spans="1:41" x14ac:dyDescent="0.2">
      <c r="A6" s="9">
        <v>1</v>
      </c>
      <c r="B6" s="9" t="str" cm="1">
        <f t="array" ref="B6">D6&amp;_xlfn.TEXTJOIN("",1,TEXT(E6:G6,"00"))</f>
        <v>1010200</v>
      </c>
      <c r="C6" s="30" t="str">
        <f t="shared" si="2"/>
        <v>1,1010200</v>
      </c>
      <c r="D6" s="26">
        <v>1</v>
      </c>
      <c r="E6" s="26">
        <v>1</v>
      </c>
      <c r="F6" s="26">
        <f>W6</f>
        <v>2</v>
      </c>
      <c r="G6" s="26">
        <v>0</v>
      </c>
      <c r="H6" s="9">
        <v>201101</v>
      </c>
      <c r="I6" s="15" t="str">
        <f>IFERROR(VLOOKUP(H6,monsters[#All],4,0),"")</f>
        <v>地宫蝙蝠</v>
      </c>
      <c r="J6" s="15" t="str" cm="1">
        <f t="array" ref="J6">_xlfn.LET(_xlpm.v6p,ABS(ATAN2(O6,P6))*6/PI(),
_xlpm.output,_xlfn.IFS(_xlpm.v6p&lt;1,"正前",_xlpm.v6p&gt;5,"正后",AND(_xlpm.v6p&lt;5,_xlpm.v6p&gt;2,P6&lt;-1),"脚底",_xlpm.v6p&gt;4,"后上",_xlpm.v6p&lt;2,"前上",TRUE,"顶部"),
IFERROR(_xlpm.output,""))</f>
        <v>前上</v>
      </c>
      <c r="K6" s="12"/>
      <c r="L6" s="12" t="s">
        <v>27</v>
      </c>
      <c r="M6" s="12"/>
      <c r="N6" s="19" t="str">
        <f t="shared" si="3"/>
        <v>15,10</v>
      </c>
      <c r="O6" s="24">
        <v>15</v>
      </c>
      <c r="P6" s="24">
        <v>10</v>
      </c>
      <c r="Q6" s="19">
        <f t="shared" si="4"/>
        <v>1</v>
      </c>
      <c r="S6" s="9">
        <v>4</v>
      </c>
      <c r="T6" s="19" t="str">
        <f>IF(U6&lt;&gt;"", U6+0&amp;","&amp;V6+0,"")</f>
        <v>1,3</v>
      </c>
      <c r="U6" s="24">
        <v>1</v>
      </c>
      <c r="V6" s="24">
        <v>3</v>
      </c>
      <c r="W6" s="9">
        <v>2</v>
      </c>
      <c r="X6" s="9">
        <v>11</v>
      </c>
      <c r="Y6" s="19" t="str">
        <f t="shared" si="0"/>
        <v>0,0</v>
      </c>
      <c r="AA6" s="19" t="str">
        <f t="shared" si="1"/>
        <v>80,120</v>
      </c>
      <c r="AC6" s="9">
        <v>2</v>
      </c>
      <c r="AD6" s="9">
        <v>0.5</v>
      </c>
      <c r="AE6" s="9">
        <v>0.3</v>
      </c>
      <c r="AF6" s="9">
        <v>2</v>
      </c>
      <c r="AG6" s="9">
        <v>20</v>
      </c>
    </row>
    <row r="7" spans="1:41" x14ac:dyDescent="0.2">
      <c r="A7" s="9">
        <v>1</v>
      </c>
      <c r="B7" s="9" t="str" cm="1">
        <f t="array" ref="B7">D7&amp;_xlfn.TEXTJOIN("",1,TEXT(E7:G7,"00"))</f>
        <v>1010300</v>
      </c>
      <c r="C7" s="30" t="str">
        <f t="shared" si="2"/>
        <v>1,1010300</v>
      </c>
      <c r="D7" s="26">
        <v>1</v>
      </c>
      <c r="E7" s="26">
        <v>1</v>
      </c>
      <c r="F7" s="26">
        <f>W7</f>
        <v>3</v>
      </c>
      <c r="G7" s="26">
        <v>0</v>
      </c>
      <c r="H7" s="9">
        <v>201101</v>
      </c>
      <c r="I7" s="15" t="str">
        <f>IFERROR(VLOOKUP(H7,monsters[#All],4,0),"")</f>
        <v>地宫蝙蝠</v>
      </c>
      <c r="J7" s="15" t="str" cm="1">
        <f t="array" ref="J7">_xlfn.LET(_xlpm.v6p,ABS(ATAN2(O7,P7))*6/PI(),
_xlpm.output,_xlfn.IFS(_xlpm.v6p&lt;1,"正前",_xlpm.v6p&gt;5,"正后",AND(_xlpm.v6p&lt;5,_xlpm.v6p&gt;2,P7&lt;-1),"脚底",_xlpm.v6p&gt;4,"后上",_xlpm.v6p&lt;2,"前上",TRUE,"顶部"),
IFERROR(_xlpm.output,""))</f>
        <v>前上</v>
      </c>
      <c r="K7" s="12"/>
      <c r="L7" s="12" t="s">
        <v>27</v>
      </c>
      <c r="M7" s="12"/>
      <c r="N7" s="19" t="str">
        <f t="shared" si="3"/>
        <v>15,10</v>
      </c>
      <c r="O7" s="24">
        <v>15</v>
      </c>
      <c r="P7" s="24">
        <v>10</v>
      </c>
      <c r="Q7" s="19">
        <f t="shared" si="4"/>
        <v>1</v>
      </c>
      <c r="S7" s="9">
        <v>12</v>
      </c>
      <c r="T7" s="19" t="str">
        <f>IF(U7&lt;&gt;"", U7+0&amp;","&amp;V7+0,"")</f>
        <v>1,3</v>
      </c>
      <c r="U7" s="24">
        <v>1</v>
      </c>
      <c r="V7" s="24">
        <v>3</v>
      </c>
      <c r="W7" s="9">
        <v>3</v>
      </c>
      <c r="X7" s="9">
        <v>11</v>
      </c>
      <c r="Y7" s="19" t="str">
        <f t="shared" si="0"/>
        <v>0,0</v>
      </c>
      <c r="AA7" s="19" t="str">
        <f t="shared" si="1"/>
        <v>80,120</v>
      </c>
      <c r="AC7" s="9">
        <v>12</v>
      </c>
      <c r="AD7" s="9">
        <v>8</v>
      </c>
      <c r="AE7" s="9">
        <v>0.3</v>
      </c>
      <c r="AF7" s="9">
        <v>6</v>
      </c>
      <c r="AG7" s="9">
        <v>200</v>
      </c>
    </row>
    <row r="8" spans="1:41" x14ac:dyDescent="0.2">
      <c r="C8" s="30" t="str">
        <f>_xlfn.TEXTJOIN(",",1,A8:B8)</f>
        <v/>
      </c>
      <c r="I8" s="15" t="str">
        <f>IFERROR(VLOOKUP(H8,monsters[#All],4,0),"")</f>
        <v/>
      </c>
      <c r="J8" s="15" t="str" cm="1">
        <f t="array" ref="J8">_xlfn.LET(_xlpm.v6p,ABS(ATAN2(O8,P8))*6/PI(),
_xlpm.output,_xlfn.IFS(_xlpm.v6p&lt;1,"正前",_xlpm.v6p&gt;5,"正后",AND(_xlpm.v6p&lt;5,_xlpm.v6p&gt;2,P8&lt;-1),"脚底",_xlpm.v6p&gt;4,"后上",_xlpm.v6p&lt;2,"前上",TRUE,"顶部"),
IFERROR(_xlpm.output,""))</f>
        <v/>
      </c>
      <c r="N8" s="19"/>
      <c r="Q8" s="19" t="str">
        <f t="shared" si="4"/>
        <v/>
      </c>
      <c r="S8" s="9" t="s">
        <v>62</v>
      </c>
      <c r="T8" s="19" t="str">
        <f t="shared" ref="T8:T37" si="5">IF(U8&lt;&gt;"", U8+0&amp;","&amp;V8+0,"")</f>
        <v/>
      </c>
      <c r="Y8" s="19" t="str">
        <f t="shared" si="0"/>
        <v/>
      </c>
      <c r="AA8" s="19" t="str">
        <f t="shared" si="1"/>
        <v/>
      </c>
      <c r="AC8" s="9" t="s">
        <v>62</v>
      </c>
    </row>
    <row r="9" spans="1:41" x14ac:dyDescent="0.2">
      <c r="A9" s="9">
        <v>1</v>
      </c>
      <c r="B9" s="9" t="str" cm="1">
        <f t="array" ref="B9">D9&amp;_xlfn.TEXTJOIN("",1,TEXT(E9:G9,"00"))</f>
        <v>1020000</v>
      </c>
      <c r="C9" s="30" t="str">
        <f>_xlfn.TEXTJOIN(",",1,A9:B9)</f>
        <v>1,1020000</v>
      </c>
      <c r="D9" s="26">
        <v>1</v>
      </c>
      <c r="E9" s="26">
        <v>2</v>
      </c>
      <c r="F9" s="26">
        <f>W9</f>
        <v>0</v>
      </c>
      <c r="G9" s="26">
        <v>0</v>
      </c>
      <c r="H9" s="9">
        <v>201101</v>
      </c>
      <c r="I9" s="15" t="str">
        <f>IFERROR(VLOOKUP(H9,monsters[#All],4,0),"")</f>
        <v>地宫蝙蝠</v>
      </c>
      <c r="J9" s="15" t="str" cm="1">
        <f t="array" ref="J9">_xlfn.LET(_xlpm.v6p,ABS(ATAN2(O9,P9))*6/PI(),
_xlpm.output,_xlfn.IFS(_xlpm.v6p&lt;1,"正前",_xlpm.v6p&gt;5,"正后",AND(_xlpm.v6p&lt;5,_xlpm.v6p&gt;2,P9&lt;-1),"脚底",_xlpm.v6p&gt;4,"后上",_xlpm.v6p&lt;2,"前上",TRUE,"顶部"),
IFERROR(_xlpm.output,""))</f>
        <v>后上</v>
      </c>
      <c r="K9" s="12"/>
      <c r="L9" s="12" t="s">
        <v>27</v>
      </c>
      <c r="M9" s="12"/>
      <c r="N9" s="19" t="str">
        <f t="shared" si="3"/>
        <v>-15,10</v>
      </c>
      <c r="O9" s="24">
        <v>-15</v>
      </c>
      <c r="P9" s="24">
        <v>10</v>
      </c>
      <c r="Q9" s="19">
        <f t="shared" si="4"/>
        <v>1</v>
      </c>
      <c r="S9" s="9">
        <v>12</v>
      </c>
      <c r="T9" s="19" t="str">
        <f>IF(U9&lt;&gt;"", U9+0&amp;","&amp;V9+0,"")</f>
        <v>1,3</v>
      </c>
      <c r="U9" s="24">
        <v>1</v>
      </c>
      <c r="V9" s="24">
        <v>3</v>
      </c>
      <c r="W9" s="9">
        <v>0</v>
      </c>
      <c r="X9" s="9">
        <v>11</v>
      </c>
      <c r="Y9" s="19" t="str">
        <f t="shared" si="0"/>
        <v>35,40</v>
      </c>
      <c r="Z9" s="24" t="s">
        <v>131</v>
      </c>
      <c r="AA9" s="19" t="str">
        <f t="shared" si="1"/>
        <v>80,120</v>
      </c>
      <c r="AC9" s="9">
        <v>2</v>
      </c>
      <c r="AD9" s="9">
        <v>2</v>
      </c>
      <c r="AE9" s="9">
        <v>0.3</v>
      </c>
      <c r="AF9" s="9">
        <v>4</v>
      </c>
      <c r="AG9" s="9">
        <v>100</v>
      </c>
    </row>
    <row r="10" spans="1:41" x14ac:dyDescent="0.2">
      <c r="A10" s="9">
        <v>1</v>
      </c>
      <c r="B10" s="9" t="str" cm="1">
        <f t="array" ref="B10">D10&amp;_xlfn.TEXTJOIN("",1,TEXT(E10:G10,"00"))</f>
        <v>1020100</v>
      </c>
      <c r="C10" s="30" t="str">
        <f t="shared" ref="C10:C87" si="6">_xlfn.TEXTJOIN(",",1,A10:B10)</f>
        <v>1,1020100</v>
      </c>
      <c r="D10" s="26">
        <v>1</v>
      </c>
      <c r="E10" s="26">
        <v>2</v>
      </c>
      <c r="F10" s="26">
        <f>W10</f>
        <v>1</v>
      </c>
      <c r="G10" s="26">
        <v>0</v>
      </c>
      <c r="H10" s="9">
        <v>201101</v>
      </c>
      <c r="I10" s="15" t="str">
        <f>IFERROR(VLOOKUP(H10,monsters[#All],4,0),"")</f>
        <v>地宫蝙蝠</v>
      </c>
      <c r="J10" s="15" t="str" cm="1">
        <f t="array" ref="J10">_xlfn.LET(_xlpm.v6p,ABS(ATAN2(O10,P10))*6/PI(),
_xlpm.output,_xlfn.IFS(_xlpm.v6p&lt;1,"正前",_xlpm.v6p&gt;5,"正后",AND(_xlpm.v6p&lt;5,_xlpm.v6p&gt;2,P10&lt;-1),"脚底",_xlpm.v6p&gt;4,"后上",_xlpm.v6p&lt;2,"前上",TRUE,"顶部"),
IFERROR(_xlpm.output,""))</f>
        <v>后上</v>
      </c>
      <c r="K10" s="12"/>
      <c r="L10" s="12" t="s">
        <v>27</v>
      </c>
      <c r="M10" s="12"/>
      <c r="N10" s="19" t="str">
        <f t="shared" si="3"/>
        <v>-15,10</v>
      </c>
      <c r="O10" s="24">
        <v>-15</v>
      </c>
      <c r="P10" s="24">
        <v>10</v>
      </c>
      <c r="Q10" s="19">
        <f t="shared" si="4"/>
        <v>1</v>
      </c>
      <c r="S10" s="9">
        <v>4</v>
      </c>
      <c r="T10" s="19" t="str">
        <f>IF(U10&lt;&gt;"", U10+0&amp;","&amp;V10+0,"")</f>
        <v>1,3</v>
      </c>
      <c r="U10" s="24">
        <v>1</v>
      </c>
      <c r="V10" s="24">
        <v>3</v>
      </c>
      <c r="W10" s="9">
        <v>1</v>
      </c>
      <c r="X10" s="9">
        <v>11</v>
      </c>
      <c r="Y10" s="19" t="str">
        <f t="shared" si="0"/>
        <v>0,0</v>
      </c>
      <c r="AA10" s="19" t="str">
        <f t="shared" si="1"/>
        <v>80,120</v>
      </c>
      <c r="AC10" s="9">
        <v>2</v>
      </c>
      <c r="AD10" s="9">
        <v>0.5</v>
      </c>
      <c r="AE10" s="9">
        <v>0.3</v>
      </c>
      <c r="AF10" s="9">
        <v>2</v>
      </c>
      <c r="AG10" s="9">
        <v>20</v>
      </c>
    </row>
    <row r="11" spans="1:41" x14ac:dyDescent="0.2">
      <c r="A11" s="9">
        <v>1</v>
      </c>
      <c r="B11" s="9" t="str" cm="1">
        <f t="array" ref="B11">D11&amp;_xlfn.TEXTJOIN("",1,TEXT(E11:G11,"00"))</f>
        <v>1020200</v>
      </c>
      <c r="C11" s="30" t="str">
        <f t="shared" si="6"/>
        <v>1,1020200</v>
      </c>
      <c r="D11" s="26">
        <v>1</v>
      </c>
      <c r="E11" s="26">
        <v>2</v>
      </c>
      <c r="F11" s="26">
        <f>W11</f>
        <v>2</v>
      </c>
      <c r="G11" s="26">
        <v>0</v>
      </c>
      <c r="H11" s="9">
        <v>201101</v>
      </c>
      <c r="I11" s="15" t="str">
        <f>IFERROR(VLOOKUP(H11,monsters[#All],4,0),"")</f>
        <v>地宫蝙蝠</v>
      </c>
      <c r="J11" s="15" t="str" cm="1">
        <f t="array" ref="J11">_xlfn.LET(_xlpm.v6p,ABS(ATAN2(O11,P11))*6/PI(),
_xlpm.output,_xlfn.IFS(_xlpm.v6p&lt;1,"正前",_xlpm.v6p&gt;5,"正后",AND(_xlpm.v6p&lt;5,_xlpm.v6p&gt;2,P11&lt;-1),"脚底",_xlpm.v6p&gt;4,"后上",_xlpm.v6p&lt;2,"前上",TRUE,"顶部"),
IFERROR(_xlpm.output,""))</f>
        <v>后上</v>
      </c>
      <c r="K11" s="12"/>
      <c r="L11" s="12" t="s">
        <v>27</v>
      </c>
      <c r="M11" s="12"/>
      <c r="N11" s="19" t="str">
        <f t="shared" si="3"/>
        <v>-15,10</v>
      </c>
      <c r="O11" s="24">
        <v>-15</v>
      </c>
      <c r="P11" s="24">
        <v>10</v>
      </c>
      <c r="Q11" s="19">
        <f t="shared" si="4"/>
        <v>1</v>
      </c>
      <c r="S11" s="9">
        <v>20</v>
      </c>
      <c r="T11" s="19" t="str">
        <f>IF(U11&lt;&gt;"", U11+0&amp;","&amp;V11+0,"")</f>
        <v>1,3</v>
      </c>
      <c r="U11" s="24">
        <v>1</v>
      </c>
      <c r="V11" s="24">
        <v>3</v>
      </c>
      <c r="W11" s="9">
        <v>2</v>
      </c>
      <c r="X11" s="9">
        <v>11</v>
      </c>
      <c r="Y11" s="19" t="str">
        <f t="shared" si="0"/>
        <v>0,0</v>
      </c>
      <c r="AA11" s="19" t="str">
        <f t="shared" si="1"/>
        <v>80,120</v>
      </c>
      <c r="AC11" s="9">
        <v>2</v>
      </c>
      <c r="AD11" s="9">
        <v>0.5</v>
      </c>
      <c r="AE11" s="9">
        <v>0.3</v>
      </c>
      <c r="AF11" s="9">
        <v>2</v>
      </c>
      <c r="AG11" s="9">
        <v>20</v>
      </c>
    </row>
    <row r="12" spans="1:41" x14ac:dyDescent="0.2">
      <c r="A12" s="9">
        <v>1</v>
      </c>
      <c r="B12" s="9" t="str" cm="1">
        <f t="array" ref="B12">D12&amp;_xlfn.TEXTJOIN("",1,TEXT(E12:G12,"00"))</f>
        <v>1020300</v>
      </c>
      <c r="C12" s="30" t="str">
        <f t="shared" si="6"/>
        <v>1,1020300</v>
      </c>
      <c r="D12" s="26">
        <v>1</v>
      </c>
      <c r="E12" s="26">
        <v>2</v>
      </c>
      <c r="F12" s="26">
        <f>W12</f>
        <v>3</v>
      </c>
      <c r="G12" s="26">
        <v>0</v>
      </c>
      <c r="H12" s="9">
        <v>201101</v>
      </c>
      <c r="I12" s="15" t="str">
        <f>IFERROR(VLOOKUP(H12,monsters[#All],4,0),"")</f>
        <v>地宫蝙蝠</v>
      </c>
      <c r="J12" s="15" t="str" cm="1">
        <f t="array" ref="J12">_xlfn.LET(_xlpm.v6p,ABS(ATAN2(O12,P12))*6/PI(),
_xlpm.output,_xlfn.IFS(_xlpm.v6p&lt;1,"正前",_xlpm.v6p&gt;5,"正后",AND(_xlpm.v6p&lt;5,_xlpm.v6p&gt;2,P12&lt;-1),"脚底",_xlpm.v6p&gt;4,"后上",_xlpm.v6p&lt;2,"前上",TRUE,"顶部"),
IFERROR(_xlpm.output,""))</f>
        <v>后上</v>
      </c>
      <c r="K12" s="12"/>
      <c r="L12" s="12" t="s">
        <v>27</v>
      </c>
      <c r="M12" s="12"/>
      <c r="N12" s="19" t="str">
        <f t="shared" si="3"/>
        <v>-15,10</v>
      </c>
      <c r="O12" s="24">
        <v>-15</v>
      </c>
      <c r="P12" s="24">
        <v>10</v>
      </c>
      <c r="Q12" s="19">
        <f t="shared" si="4"/>
        <v>1</v>
      </c>
      <c r="S12" s="9">
        <v>20</v>
      </c>
      <c r="T12" s="19" t="str">
        <f>IF(U12&lt;&gt;"", U12+0&amp;","&amp;V12+0,"")</f>
        <v>1,3</v>
      </c>
      <c r="U12" s="24">
        <v>1</v>
      </c>
      <c r="V12" s="24">
        <v>3</v>
      </c>
      <c r="W12" s="9">
        <v>3</v>
      </c>
      <c r="X12" s="9">
        <v>11</v>
      </c>
      <c r="Y12" s="19" t="str">
        <f t="shared" si="0"/>
        <v>0,0</v>
      </c>
      <c r="AA12" s="19" t="str">
        <f t="shared" si="1"/>
        <v>80,120</v>
      </c>
      <c r="AC12" s="9">
        <v>40</v>
      </c>
      <c r="AD12" s="9">
        <v>6</v>
      </c>
      <c r="AE12" s="9">
        <v>0.3</v>
      </c>
      <c r="AF12" s="9">
        <v>6</v>
      </c>
      <c r="AG12" s="9">
        <v>200</v>
      </c>
    </row>
    <row r="13" spans="1:41" x14ac:dyDescent="0.2">
      <c r="C13" s="30" t="str">
        <f t="shared" si="6"/>
        <v/>
      </c>
      <c r="I13" s="15" t="str">
        <f>IFERROR(VLOOKUP(H13,monsters[#All],4,0),"")</f>
        <v/>
      </c>
      <c r="J13" s="15" t="str" cm="1">
        <f t="array" ref="J13">_xlfn.LET(_xlpm.v6p,ABS(ATAN2(O13,P13))*6/PI(),
_xlpm.output,_xlfn.IFS(_xlpm.v6p&lt;1,"正前",_xlpm.v6p&gt;5,"正后",AND(_xlpm.v6p&lt;5,_xlpm.v6p&gt;2,P13&lt;-1),"脚底",_xlpm.v6p&gt;4,"后上",_xlpm.v6p&lt;2,"前上",TRUE,"顶部"),
IFERROR(_xlpm.output,""))</f>
        <v/>
      </c>
      <c r="K13" s="12"/>
      <c r="L13" s="12"/>
      <c r="M13" s="12"/>
      <c r="N13" s="19"/>
      <c r="Q13" s="19" t="str">
        <f t="shared" si="4"/>
        <v/>
      </c>
      <c r="S13" s="9" t="s">
        <v>62</v>
      </c>
      <c r="T13" s="19" t="str">
        <f t="shared" si="5"/>
        <v/>
      </c>
      <c r="Y13" s="19" t="str">
        <f t="shared" si="0"/>
        <v/>
      </c>
      <c r="AA13" s="19" t="str">
        <f t="shared" si="1"/>
        <v/>
      </c>
      <c r="AC13" s="9" t="s">
        <v>62</v>
      </c>
    </row>
    <row r="14" spans="1:41" x14ac:dyDescent="0.2">
      <c r="A14" s="9">
        <v>1</v>
      </c>
      <c r="B14" s="9" t="str" cm="1">
        <f t="array" ref="B14">D14&amp;_xlfn.TEXTJOIN("",1,TEXT(E14:G14,"00"))</f>
        <v>2010000</v>
      </c>
      <c r="C14" s="30" t="str">
        <f t="shared" si="6"/>
        <v>1,2010000</v>
      </c>
      <c r="D14" s="26">
        <v>2</v>
      </c>
      <c r="E14" s="26">
        <v>1</v>
      </c>
      <c r="F14" s="26">
        <f>W14</f>
        <v>0</v>
      </c>
      <c r="G14" s="26">
        <v>0</v>
      </c>
      <c r="H14" s="9">
        <v>201102</v>
      </c>
      <c r="I14" s="15" t="str">
        <f>IFERROR(VLOOKUP(H14,monsters[#All],4,0),"")</f>
        <v>自爆甲虫</v>
      </c>
      <c r="J14" s="15" t="str" cm="1">
        <f t="array" ref="J14">_xlfn.LET(_xlpm.v6p,ABS(ATAN2(O14,P14))*6/PI(),
_xlpm.output,_xlfn.IFS(_xlpm.v6p&lt;1,"正前",_xlpm.v6p&gt;5,"正后",AND(_xlpm.v6p&lt;5,_xlpm.v6p&gt;2,P14&lt;-1),"脚底",_xlpm.v6p&gt;4,"后上",_xlpm.v6p&lt;2,"前上",TRUE,"顶部"),
IFERROR(_xlpm.output,""))</f>
        <v>正前</v>
      </c>
      <c r="K14" s="12"/>
      <c r="L14" s="12" t="s">
        <v>27</v>
      </c>
      <c r="M14" s="12"/>
      <c r="N14" s="19" t="str">
        <f t="shared" si="3"/>
        <v>15,-1</v>
      </c>
      <c r="O14" s="24">
        <v>15</v>
      </c>
      <c r="P14" s="24">
        <v>-1</v>
      </c>
      <c r="Q14" s="19">
        <f t="shared" si="4"/>
        <v>1</v>
      </c>
      <c r="S14" s="9">
        <v>4</v>
      </c>
      <c r="T14" s="19" t="str">
        <f t="shared" si="5"/>
        <v/>
      </c>
      <c r="W14" s="9">
        <v>0</v>
      </c>
      <c r="X14" s="9">
        <v>11</v>
      </c>
      <c r="Y14" s="19" t="str">
        <f t="shared" si="0"/>
        <v>0,0</v>
      </c>
      <c r="AA14" s="19" t="str">
        <f t="shared" si="1"/>
        <v>80,120</v>
      </c>
      <c r="AC14" s="9">
        <v>0.12</v>
      </c>
      <c r="AD14" s="9">
        <v>0</v>
      </c>
      <c r="AE14" s="9">
        <v>2</v>
      </c>
      <c r="AF14" s="16"/>
      <c r="AG14" s="16">
        <v>99</v>
      </c>
    </row>
    <row r="15" spans="1:41" x14ac:dyDescent="0.2">
      <c r="A15" s="9">
        <v>1</v>
      </c>
      <c r="B15" s="9" t="str" cm="1">
        <f t="array" ref="B15">D15&amp;_xlfn.TEXTJOIN("",1,TEXT(E15:G15,"00"))</f>
        <v>2010100</v>
      </c>
      <c r="C15" s="30" t="str">
        <f t="shared" si="6"/>
        <v>1,2010100</v>
      </c>
      <c r="D15" s="26">
        <v>2</v>
      </c>
      <c r="E15" s="26">
        <v>1</v>
      </c>
      <c r="F15" s="26">
        <f>W15</f>
        <v>1</v>
      </c>
      <c r="G15" s="26">
        <v>0</v>
      </c>
      <c r="H15" s="9">
        <v>201102</v>
      </c>
      <c r="I15" s="15" t="str">
        <f>IFERROR(VLOOKUP(H15,monsters[#All],4,0),"")</f>
        <v>自爆甲虫</v>
      </c>
      <c r="J15" s="15" t="str" cm="1">
        <f t="array" ref="J15">_xlfn.LET(_xlpm.v6p,ABS(ATAN2(O15,P15))*6/PI(),
_xlpm.output,_xlfn.IFS(_xlpm.v6p&lt;1,"正前",_xlpm.v6p&gt;5,"正后",AND(_xlpm.v6p&lt;5,_xlpm.v6p&gt;2,P15&lt;-1),"脚底",_xlpm.v6p&gt;4,"后上",_xlpm.v6p&lt;2,"前上",TRUE,"顶部"),
IFERROR(_xlpm.output,""))</f>
        <v>正前</v>
      </c>
      <c r="K15" s="12"/>
      <c r="L15" s="12" t="s">
        <v>27</v>
      </c>
      <c r="M15" s="12"/>
      <c r="N15" s="19" t="str">
        <f t="shared" si="3"/>
        <v>15,-1</v>
      </c>
      <c r="O15" s="24">
        <v>15</v>
      </c>
      <c r="P15" s="24">
        <v>-1</v>
      </c>
      <c r="Q15" s="19">
        <f t="shared" si="4"/>
        <v>1</v>
      </c>
      <c r="S15" s="9">
        <v>2</v>
      </c>
      <c r="T15" s="19" t="str">
        <f t="shared" si="5"/>
        <v/>
      </c>
      <c r="W15" s="9">
        <v>1</v>
      </c>
      <c r="X15" s="9">
        <v>11</v>
      </c>
      <c r="Y15" s="19" t="str">
        <f t="shared" si="0"/>
        <v>0,0</v>
      </c>
      <c r="AA15" s="19" t="str">
        <f t="shared" si="1"/>
        <v>80,120</v>
      </c>
      <c r="AC15" s="9">
        <v>0.04</v>
      </c>
      <c r="AD15" s="9">
        <v>0</v>
      </c>
      <c r="AE15" s="9">
        <v>2</v>
      </c>
      <c r="AF15" s="16"/>
      <c r="AG15" s="16">
        <v>99</v>
      </c>
    </row>
    <row r="16" spans="1:41" x14ac:dyDescent="0.2">
      <c r="A16" s="9">
        <v>1</v>
      </c>
      <c r="B16" s="9" t="str" cm="1">
        <f t="array" ref="B16">D16&amp;_xlfn.TEXTJOIN("",1,TEXT(E16:G16,"00"))</f>
        <v>2010300</v>
      </c>
      <c r="C16" s="30" t="str">
        <f t="shared" si="6"/>
        <v>1,2010300</v>
      </c>
      <c r="D16" s="26">
        <v>2</v>
      </c>
      <c r="E16" s="26">
        <v>1</v>
      </c>
      <c r="F16" s="26">
        <f>W16</f>
        <v>3</v>
      </c>
      <c r="G16" s="26">
        <v>0</v>
      </c>
      <c r="H16" s="9">
        <v>201102</v>
      </c>
      <c r="I16" s="15" t="str">
        <f>IFERROR(VLOOKUP(H16,monsters[#All],4,0),"")</f>
        <v>自爆甲虫</v>
      </c>
      <c r="J16" s="15" t="str" cm="1">
        <f t="array" ref="J16">_xlfn.LET(_xlpm.v6p,ABS(ATAN2(O16,P16))*6/PI(),
_xlpm.output,_xlfn.IFS(_xlpm.v6p&lt;1,"正前",_xlpm.v6p&gt;5,"正后",AND(_xlpm.v6p&lt;5,_xlpm.v6p&gt;2,P16&lt;-1),"脚底",_xlpm.v6p&gt;4,"后上",_xlpm.v6p&lt;2,"前上",TRUE,"顶部"),
IFERROR(_xlpm.output,""))</f>
        <v>正前</v>
      </c>
      <c r="K16" s="12"/>
      <c r="L16" s="12" t="s">
        <v>27</v>
      </c>
      <c r="M16" s="12"/>
      <c r="N16" s="19" t="str">
        <f t="shared" si="3"/>
        <v>15,-1</v>
      </c>
      <c r="O16" s="24">
        <v>15</v>
      </c>
      <c r="P16" s="24">
        <v>-1</v>
      </c>
      <c r="Q16" s="19">
        <f t="shared" si="4"/>
        <v>1</v>
      </c>
      <c r="S16" s="9">
        <v>4</v>
      </c>
      <c r="T16" s="19" t="str">
        <f t="shared" si="5"/>
        <v/>
      </c>
      <c r="W16" s="9">
        <v>3</v>
      </c>
      <c r="X16" s="9">
        <v>11</v>
      </c>
      <c r="Y16" s="19" t="str">
        <f t="shared" si="0"/>
        <v>0,0</v>
      </c>
      <c r="AA16" s="19" t="str">
        <f t="shared" si="1"/>
        <v>80,120</v>
      </c>
      <c r="AC16" s="9">
        <v>14</v>
      </c>
      <c r="AD16" s="9">
        <v>0</v>
      </c>
      <c r="AE16" s="9">
        <v>2</v>
      </c>
      <c r="AF16" s="16"/>
      <c r="AG16" s="16">
        <v>99</v>
      </c>
    </row>
    <row r="17" spans="1:33" x14ac:dyDescent="0.2">
      <c r="C17" s="30" t="str">
        <f t="shared" si="6"/>
        <v/>
      </c>
      <c r="I17" s="15" t="str">
        <f>IFERROR(VLOOKUP(H17,monsters[#All],4,0),"")</f>
        <v/>
      </c>
      <c r="J17" s="15" t="str" cm="1">
        <f t="array" ref="J17">_xlfn.LET(_xlpm.v6p,ABS(ATAN2(O17,P17))*6/PI(),
_xlpm.output,_xlfn.IFS(_xlpm.v6p&lt;1,"正前",_xlpm.v6p&gt;5,"正后",AND(_xlpm.v6p&lt;5,_xlpm.v6p&gt;2,P17&lt;-1),"脚底",_xlpm.v6p&gt;4,"后上",_xlpm.v6p&lt;2,"前上",TRUE,"顶部"),
IFERROR(_xlpm.output,""))</f>
        <v/>
      </c>
      <c r="N17" s="19"/>
      <c r="Q17" s="19" t="str">
        <f t="shared" si="4"/>
        <v/>
      </c>
      <c r="S17" s="9" t="s">
        <v>62</v>
      </c>
      <c r="T17" s="19" t="str">
        <f t="shared" si="5"/>
        <v/>
      </c>
      <c r="Y17" s="19" t="str">
        <f t="shared" si="0"/>
        <v/>
      </c>
      <c r="AA17" s="19" t="str">
        <f t="shared" si="1"/>
        <v/>
      </c>
      <c r="AC17" s="9" t="s">
        <v>62</v>
      </c>
    </row>
    <row r="18" spans="1:33" x14ac:dyDescent="0.2">
      <c r="A18" s="9">
        <v>1</v>
      </c>
      <c r="B18" s="9" t="str" cm="1">
        <f t="array" ref="B18">D18&amp;_xlfn.TEXTJOIN("",1,TEXT(E18:G18,"00"))</f>
        <v>2020001</v>
      </c>
      <c r="C18" s="30" t="str">
        <f t="shared" si="6"/>
        <v>1,2020001</v>
      </c>
      <c r="D18" s="26">
        <v>2</v>
      </c>
      <c r="E18" s="26">
        <v>2</v>
      </c>
      <c r="F18" s="26">
        <f>W18</f>
        <v>0</v>
      </c>
      <c r="G18" s="26">
        <v>1</v>
      </c>
      <c r="H18" s="9">
        <v>201102</v>
      </c>
      <c r="I18" s="15" t="str">
        <f>IFERROR(VLOOKUP(H18,monsters[#All],4,0),"")</f>
        <v>自爆甲虫</v>
      </c>
      <c r="J18" s="15" t="str" cm="1">
        <f t="array" ref="J18">_xlfn.LET(_xlpm.v6p,ABS(ATAN2(O18,P18))*6/PI(),
_xlpm.output,_xlfn.IFS(_xlpm.v6p&lt;1,"正前",_xlpm.v6p&gt;5,"正后",AND(_xlpm.v6p&lt;5,_xlpm.v6p&gt;2,P18&lt;-1),"脚底",_xlpm.v6p&gt;4,"后上",_xlpm.v6p&lt;2,"前上",TRUE,"顶部"),
IFERROR(_xlpm.output,""))</f>
        <v>前上</v>
      </c>
      <c r="K18" s="12"/>
      <c r="L18" s="12" t="s">
        <v>28</v>
      </c>
      <c r="M18" s="12"/>
      <c r="N18" s="19" t="str">
        <f t="shared" si="3"/>
        <v>20,12</v>
      </c>
      <c r="O18" s="24">
        <v>20</v>
      </c>
      <c r="P18" s="24">
        <v>12</v>
      </c>
      <c r="Q18" s="19">
        <f t="shared" si="4"/>
        <v>1</v>
      </c>
      <c r="S18" s="16" t="s">
        <v>62</v>
      </c>
      <c r="T18" s="19" t="str">
        <f t="shared" si="5"/>
        <v/>
      </c>
      <c r="W18" s="9">
        <v>0</v>
      </c>
      <c r="X18" s="9">
        <v>11</v>
      </c>
      <c r="Y18" s="19" t="str">
        <f t="shared" si="0"/>
        <v>0,0</v>
      </c>
      <c r="AA18" s="19" t="str">
        <f t="shared" si="1"/>
        <v>80,120</v>
      </c>
      <c r="AC18" s="16" t="s">
        <v>62</v>
      </c>
      <c r="AD18" s="16"/>
      <c r="AE18" s="9">
        <v>0</v>
      </c>
      <c r="AF18" s="9">
        <v>1</v>
      </c>
      <c r="AG18" s="19">
        <v>1.8</v>
      </c>
    </row>
    <row r="19" spans="1:33" x14ac:dyDescent="0.2">
      <c r="A19" s="9">
        <v>1</v>
      </c>
      <c r="B19" s="9" t="str" cm="1">
        <f t="array" ref="B19">D19&amp;_xlfn.TEXTJOIN("",1,TEXT(E19:G19,"00"))</f>
        <v>2020002</v>
      </c>
      <c r="C19" s="30" t="str">
        <f t="shared" si="6"/>
        <v>1,2020002</v>
      </c>
      <c r="D19" s="26">
        <v>2</v>
      </c>
      <c r="E19" s="26">
        <v>2</v>
      </c>
      <c r="F19" s="26">
        <f>W19</f>
        <v>0</v>
      </c>
      <c r="G19" s="26">
        <v>2</v>
      </c>
      <c r="H19" s="9">
        <v>201102</v>
      </c>
      <c r="I19" s="15" t="str">
        <f>IFERROR(VLOOKUP(H19,monsters[#All],4,0),"")</f>
        <v>自爆甲虫</v>
      </c>
      <c r="J19" s="15" t="str" cm="1">
        <f t="array" ref="J19">_xlfn.LET(_xlpm.v6p,ABS(ATAN2(O19,P19))*6/PI(),
_xlpm.output,_xlfn.IFS(_xlpm.v6p&lt;1,"正前",_xlpm.v6p&gt;5,"正后",AND(_xlpm.v6p&lt;5,_xlpm.v6p&gt;2,P19&lt;-1),"脚底",_xlpm.v6p&gt;4,"后上",_xlpm.v6p&lt;2,"前上",TRUE,"顶部"),
IFERROR(_xlpm.output,""))</f>
        <v>正前</v>
      </c>
      <c r="K19" s="12"/>
      <c r="L19" s="12" t="s">
        <v>28</v>
      </c>
      <c r="M19" s="12"/>
      <c r="N19" s="19" t="str">
        <f t="shared" si="3"/>
        <v>20,8</v>
      </c>
      <c r="O19" s="24">
        <v>20</v>
      </c>
      <c r="P19" s="24">
        <v>8</v>
      </c>
      <c r="Q19" s="19">
        <f t="shared" si="4"/>
        <v>1</v>
      </c>
      <c r="S19" s="16" t="s">
        <v>62</v>
      </c>
      <c r="T19" s="19" t="str">
        <f t="shared" si="5"/>
        <v/>
      </c>
      <c r="W19" s="9">
        <v>0</v>
      </c>
      <c r="X19" s="9">
        <v>11</v>
      </c>
      <c r="Y19" s="19" t="str">
        <f t="shared" si="0"/>
        <v>0,0</v>
      </c>
      <c r="AA19" s="19" t="str">
        <f t="shared" si="1"/>
        <v>80,120</v>
      </c>
      <c r="AC19" s="16" t="s">
        <v>62</v>
      </c>
      <c r="AD19" s="16"/>
      <c r="AE19" s="9">
        <v>0</v>
      </c>
      <c r="AF19" s="9">
        <v>1</v>
      </c>
      <c r="AG19" s="9">
        <v>2.6</v>
      </c>
    </row>
    <row r="20" spans="1:33" x14ac:dyDescent="0.2">
      <c r="A20" s="9">
        <v>1</v>
      </c>
      <c r="B20" s="9" t="str" cm="1">
        <f t="array" ref="B20">D20&amp;_xlfn.TEXTJOIN("",1,TEXT(E20:G20,"00"))</f>
        <v>2020003</v>
      </c>
      <c r="C20" s="30" t="str">
        <f t="shared" si="6"/>
        <v>1,2020003</v>
      </c>
      <c r="D20" s="26">
        <v>2</v>
      </c>
      <c r="E20" s="26">
        <v>2</v>
      </c>
      <c r="F20" s="26">
        <f>W20</f>
        <v>0</v>
      </c>
      <c r="G20" s="26">
        <v>3</v>
      </c>
      <c r="H20" s="9">
        <v>201102</v>
      </c>
      <c r="I20" s="15" t="str">
        <f>IFERROR(VLOOKUP(H20,monsters[#All],4,0),"")</f>
        <v>自爆甲虫</v>
      </c>
      <c r="J20" s="15" t="str" cm="1">
        <f t="array" ref="J20">_xlfn.LET(_xlpm.v6p,ABS(ATAN2(O20,P20))*6/PI(),
_xlpm.output,_xlfn.IFS(_xlpm.v6p&lt;1,"正前",_xlpm.v6p&gt;5,"正后",AND(_xlpm.v6p&lt;5,_xlpm.v6p&gt;2,P20&lt;-1),"脚底",_xlpm.v6p&gt;4,"后上",_xlpm.v6p&lt;2,"前上",TRUE,"顶部"),
IFERROR(_xlpm.output,""))</f>
        <v>正前</v>
      </c>
      <c r="K20" s="12"/>
      <c r="L20" s="12" t="s">
        <v>28</v>
      </c>
      <c r="M20" s="12"/>
      <c r="N20" s="19" t="str">
        <f t="shared" si="3"/>
        <v>20,5</v>
      </c>
      <c r="O20" s="24">
        <v>20</v>
      </c>
      <c r="P20" s="24">
        <v>5</v>
      </c>
      <c r="Q20" s="19">
        <f t="shared" si="4"/>
        <v>1</v>
      </c>
      <c r="S20" s="16" t="s">
        <v>62</v>
      </c>
      <c r="T20" s="19" t="str">
        <f t="shared" si="5"/>
        <v/>
      </c>
      <c r="W20" s="9">
        <v>0</v>
      </c>
      <c r="X20" s="9">
        <v>11</v>
      </c>
      <c r="Y20" s="19" t="str">
        <f t="shared" si="0"/>
        <v>0,0</v>
      </c>
      <c r="AA20" s="19" t="str">
        <f t="shared" si="1"/>
        <v>80,120</v>
      </c>
      <c r="AC20" s="16" t="s">
        <v>62</v>
      </c>
      <c r="AD20" s="16"/>
      <c r="AE20" s="9">
        <v>0</v>
      </c>
      <c r="AF20" s="9">
        <v>1</v>
      </c>
      <c r="AG20" s="9">
        <v>3.4000000000000004</v>
      </c>
    </row>
    <row r="21" spans="1:33" x14ac:dyDescent="0.2">
      <c r="A21" s="9">
        <v>1</v>
      </c>
      <c r="B21" s="9" t="str" cm="1">
        <f t="array" ref="B21">D21&amp;_xlfn.TEXTJOIN("",1,TEXT(E21:G21,"00"))</f>
        <v>2020004</v>
      </c>
      <c r="C21" s="30" t="str">
        <f t="shared" si="6"/>
        <v>1,2020004</v>
      </c>
      <c r="D21" s="26">
        <v>2</v>
      </c>
      <c r="E21" s="26">
        <v>2</v>
      </c>
      <c r="F21" s="26">
        <f>W21</f>
        <v>0</v>
      </c>
      <c r="G21" s="26">
        <v>4</v>
      </c>
      <c r="H21" s="9">
        <v>201102</v>
      </c>
      <c r="I21" s="15" t="str">
        <f>IFERROR(VLOOKUP(H21,monsters[#All],4,0),"")</f>
        <v>自爆甲虫</v>
      </c>
      <c r="J21" s="15" t="str" cm="1">
        <f t="array" ref="J21">_xlfn.LET(_xlpm.v6p,ABS(ATAN2(O21,P21))*6/PI(),
_xlpm.output,_xlfn.IFS(_xlpm.v6p&lt;1,"正前",_xlpm.v6p&gt;5,"正后",AND(_xlpm.v6p&lt;5,_xlpm.v6p&gt;2,P21&lt;-1),"脚底",_xlpm.v6p&gt;4,"后上",_xlpm.v6p&lt;2,"前上",TRUE,"顶部"),
IFERROR(_xlpm.output,""))</f>
        <v>正前</v>
      </c>
      <c r="K21" s="12"/>
      <c r="L21" s="12" t="s">
        <v>28</v>
      </c>
      <c r="M21" s="12"/>
      <c r="N21" s="19" t="str">
        <f t="shared" si="3"/>
        <v>20,2</v>
      </c>
      <c r="O21" s="24">
        <v>20</v>
      </c>
      <c r="P21" s="24">
        <v>2</v>
      </c>
      <c r="Q21" s="19">
        <f t="shared" si="4"/>
        <v>1</v>
      </c>
      <c r="S21" s="16" t="s">
        <v>62</v>
      </c>
      <c r="T21" s="19" t="str">
        <f t="shared" si="5"/>
        <v/>
      </c>
      <c r="W21" s="9">
        <v>0</v>
      </c>
      <c r="X21" s="9">
        <v>11</v>
      </c>
      <c r="Y21" s="19" t="str">
        <f t="shared" si="0"/>
        <v>0,0</v>
      </c>
      <c r="AA21" s="19" t="str">
        <f t="shared" si="1"/>
        <v>80,120</v>
      </c>
      <c r="AC21" s="16" t="s">
        <v>62</v>
      </c>
      <c r="AD21" s="16"/>
      <c r="AE21" s="9">
        <v>0</v>
      </c>
      <c r="AF21" s="9">
        <v>1</v>
      </c>
      <c r="AG21" s="9">
        <v>4.6000000000000005</v>
      </c>
    </row>
    <row r="22" spans="1:33" x14ac:dyDescent="0.2">
      <c r="A22" s="9">
        <v>1</v>
      </c>
      <c r="B22" s="9" t="str" cm="1">
        <f t="array" ref="B22">D22&amp;_xlfn.TEXTJOIN("",1,TEXT(E22:G22,"00"))</f>
        <v>2020005</v>
      </c>
      <c r="C22" s="30" t="str">
        <f t="shared" si="6"/>
        <v>1,2020005</v>
      </c>
      <c r="D22" s="26">
        <v>2</v>
      </c>
      <c r="E22" s="26">
        <v>2</v>
      </c>
      <c r="F22" s="26">
        <f>W22</f>
        <v>0</v>
      </c>
      <c r="G22" s="26">
        <v>5</v>
      </c>
      <c r="H22" s="9">
        <v>201102</v>
      </c>
      <c r="I22" s="15" t="str">
        <f>IFERROR(VLOOKUP(H22,monsters[#All],4,0),"")</f>
        <v>自爆甲虫</v>
      </c>
      <c r="J22" s="15" t="str" cm="1">
        <f t="array" ref="J22">_xlfn.LET(_xlpm.v6p,ABS(ATAN2(O22,P22))*6/PI(),
_xlpm.output,_xlfn.IFS(_xlpm.v6p&lt;1,"正前",_xlpm.v6p&gt;5,"正后",AND(_xlpm.v6p&lt;5,_xlpm.v6p&gt;2,P22&lt;-1),"脚底",_xlpm.v6p&gt;4,"后上",_xlpm.v6p&lt;2,"前上",TRUE,"顶部"),
IFERROR(_xlpm.output,""))</f>
        <v>正后</v>
      </c>
      <c r="K22" s="12"/>
      <c r="L22" s="12" t="s">
        <v>28</v>
      </c>
      <c r="M22" s="12"/>
      <c r="N22" s="19" t="str">
        <f t="shared" si="3"/>
        <v>-15,5</v>
      </c>
      <c r="O22" s="24">
        <v>-15</v>
      </c>
      <c r="P22" s="24">
        <v>5</v>
      </c>
      <c r="Q22" s="19">
        <f t="shared" si="4"/>
        <v>1</v>
      </c>
      <c r="S22" s="16" t="s">
        <v>62</v>
      </c>
      <c r="T22" s="19" t="str">
        <f t="shared" si="5"/>
        <v/>
      </c>
      <c r="W22" s="9">
        <v>0</v>
      </c>
      <c r="X22" s="9">
        <v>11</v>
      </c>
      <c r="Y22" s="19" t="str">
        <f t="shared" si="0"/>
        <v>0,0</v>
      </c>
      <c r="AA22" s="19" t="str">
        <f t="shared" si="1"/>
        <v>80,120</v>
      </c>
      <c r="AC22" s="16" t="s">
        <v>62</v>
      </c>
      <c r="AD22" s="16"/>
      <c r="AE22" s="9">
        <v>0</v>
      </c>
      <c r="AF22" s="9">
        <v>1</v>
      </c>
      <c r="AG22" s="9">
        <v>6.2</v>
      </c>
    </row>
    <row r="23" spans="1:33" x14ac:dyDescent="0.2">
      <c r="C23" s="30" t="str">
        <f t="shared" si="6"/>
        <v/>
      </c>
      <c r="I23" s="15" t="str">
        <f>IFERROR(VLOOKUP(H23,monsters[#All],4,0),"")</f>
        <v/>
      </c>
      <c r="J23" s="15" t="str" cm="1">
        <f t="array" ref="J23">_xlfn.LET(_xlpm.v6p,ABS(ATAN2(O23,P23))*6/PI(),
_xlpm.output,_xlfn.IFS(_xlpm.v6p&lt;1,"正前",_xlpm.v6p&gt;5,"正后",AND(_xlpm.v6p&lt;5,_xlpm.v6p&gt;2,P23&lt;-1),"脚底",_xlpm.v6p&gt;4,"后上",_xlpm.v6p&lt;2,"前上",TRUE,"顶部"),
IFERROR(_xlpm.output,""))</f>
        <v/>
      </c>
      <c r="K23" s="12"/>
      <c r="L23" s="12"/>
      <c r="M23" s="12"/>
      <c r="N23" s="19"/>
      <c r="Q23" s="19" t="str">
        <f t="shared" si="4"/>
        <v/>
      </c>
      <c r="S23" s="9" t="s">
        <v>62</v>
      </c>
      <c r="T23" s="19" t="str">
        <f t="shared" si="5"/>
        <v/>
      </c>
      <c r="Y23" s="19" t="str">
        <f t="shared" si="0"/>
        <v/>
      </c>
      <c r="AA23" s="19" t="str">
        <f t="shared" si="1"/>
        <v/>
      </c>
      <c r="AC23" s="9" t="s">
        <v>62</v>
      </c>
    </row>
    <row r="24" spans="1:33" x14ac:dyDescent="0.2">
      <c r="A24" s="9">
        <v>1</v>
      </c>
      <c r="B24" s="9" t="str" cm="1">
        <f t="array" ref="B24">D24&amp;_xlfn.TEXTJOIN("",1,TEXT(E24:G24,"00"))</f>
        <v>3010000</v>
      </c>
      <c r="C24" s="30" t="str">
        <f t="shared" si="6"/>
        <v>1,3010000</v>
      </c>
      <c r="D24" s="26">
        <v>3</v>
      </c>
      <c r="E24" s="26">
        <v>1</v>
      </c>
      <c r="F24" s="26">
        <v>0</v>
      </c>
      <c r="G24" s="26">
        <v>0</v>
      </c>
      <c r="H24" s="9">
        <v>201103</v>
      </c>
      <c r="I24" s="15" t="str">
        <f>IFERROR(VLOOKUP(H24,monsters[#All],4,0),"")</f>
        <v>跳虫</v>
      </c>
      <c r="J24" s="15" t="str" cm="1">
        <f t="array" ref="J24">_xlfn.LET(_xlpm.v6p,ABS(ATAN2(O24,P24))*6/PI(),
_xlpm.output,_xlfn.IFS(_xlpm.v6p&lt;1,"正前",_xlpm.v6p&gt;5,"正后",AND(_xlpm.v6p&lt;5,_xlpm.v6p&gt;2,P24&lt;-1),"脚底",_xlpm.v6p&gt;4,"后上",_xlpm.v6p&lt;2,"前上",TRUE,"顶部"),
IFERROR(_xlpm.output,""))</f>
        <v>正后</v>
      </c>
      <c r="K24" s="12"/>
      <c r="L24" s="12" t="s">
        <v>27</v>
      </c>
      <c r="M24" s="12"/>
      <c r="N24" s="19" t="str">
        <f t="shared" ref="N24:N27" si="7">O24+0&amp;","&amp;P24+0</f>
        <v>-14,-1</v>
      </c>
      <c r="O24" s="24">
        <v>-14</v>
      </c>
      <c r="P24" s="24">
        <v>-1</v>
      </c>
      <c r="Q24" s="19">
        <f t="shared" si="4"/>
        <v>1</v>
      </c>
      <c r="S24" s="25">
        <v>8</v>
      </c>
      <c r="T24" s="19"/>
      <c r="W24" s="9">
        <v>0</v>
      </c>
      <c r="X24" s="9">
        <v>11</v>
      </c>
      <c r="Y24" s="19" t="str">
        <f t="shared" si="0"/>
        <v>0,0</v>
      </c>
      <c r="AA24" s="19" t="str">
        <f t="shared" si="1"/>
        <v>1,120</v>
      </c>
      <c r="AB24" s="24" t="str">
        <f>"1,120"</f>
        <v>1,120</v>
      </c>
      <c r="AC24" s="9">
        <v>1.44</v>
      </c>
      <c r="AD24" s="9">
        <v>7.4999999999999997E-2</v>
      </c>
      <c r="AE24" s="9">
        <v>0.25</v>
      </c>
      <c r="AF24" s="9">
        <v>2</v>
      </c>
      <c r="AG24" s="9">
        <v>3</v>
      </c>
    </row>
    <row r="25" spans="1:33" x14ac:dyDescent="0.2">
      <c r="A25" s="9">
        <v>1</v>
      </c>
      <c r="B25" s="9" t="str" cm="1">
        <f t="array" ref="B25">D25&amp;_xlfn.TEXTJOIN("",1,TEXT(E25:G25,"00"))</f>
        <v>3020000</v>
      </c>
      <c r="C25" s="30" t="str">
        <f t="shared" si="6"/>
        <v>1,3020000</v>
      </c>
      <c r="D25" s="26">
        <v>3</v>
      </c>
      <c r="E25" s="26">
        <v>2</v>
      </c>
      <c r="F25" s="26">
        <v>0</v>
      </c>
      <c r="G25" s="26">
        <v>0</v>
      </c>
      <c r="H25" s="9">
        <v>201103</v>
      </c>
      <c r="I25" s="15" t="str">
        <f>IFERROR(VLOOKUP(H25,monsters[#All],4,0),"")</f>
        <v>跳虫</v>
      </c>
      <c r="J25" s="15" t="str" cm="1">
        <f t="array" ref="J25">_xlfn.LET(_xlpm.v6p,ABS(ATAN2(O25,P25))*6/PI(),
_xlpm.output,_xlfn.IFS(_xlpm.v6p&lt;1,"正前",_xlpm.v6p&gt;5,"正后",AND(_xlpm.v6p&lt;5,_xlpm.v6p&gt;2,P25&lt;-1),"脚底",_xlpm.v6p&gt;4,"后上",_xlpm.v6p&lt;2,"前上",TRUE,"顶部"),
IFERROR(_xlpm.output,""))</f>
        <v>正前</v>
      </c>
      <c r="K25" s="12"/>
      <c r="L25" s="12" t="s">
        <v>27</v>
      </c>
      <c r="M25" s="12"/>
      <c r="N25" s="19" t="str">
        <f t="shared" si="7"/>
        <v>14,-1</v>
      </c>
      <c r="O25" s="24">
        <v>14</v>
      </c>
      <c r="P25" s="24">
        <v>-1</v>
      </c>
      <c r="Q25" s="19">
        <f t="shared" si="4"/>
        <v>1</v>
      </c>
      <c r="S25" s="25">
        <v>8</v>
      </c>
      <c r="T25" s="19"/>
      <c r="W25" s="9">
        <v>0</v>
      </c>
      <c r="X25" s="9">
        <v>11</v>
      </c>
      <c r="Y25" s="19" t="str">
        <f t="shared" si="0"/>
        <v>0,0</v>
      </c>
      <c r="AA25" s="19" t="str">
        <f t="shared" si="1"/>
        <v>1,120</v>
      </c>
      <c r="AB25" s="24" t="str">
        <f>"1,120"</f>
        <v>1,120</v>
      </c>
      <c r="AC25" s="9">
        <v>1.48</v>
      </c>
      <c r="AD25" s="9">
        <v>8.2000000000000003E-2</v>
      </c>
      <c r="AE25" s="9">
        <v>0.25</v>
      </c>
      <c r="AF25" s="9">
        <v>2</v>
      </c>
      <c r="AG25" s="9">
        <v>3</v>
      </c>
    </row>
    <row r="26" spans="1:33" x14ac:dyDescent="0.2">
      <c r="A26" s="9">
        <v>1</v>
      </c>
      <c r="B26" s="9" t="str" cm="1">
        <f t="array" ref="B26">D26&amp;_xlfn.TEXTJOIN("",1,TEXT(E26:G26,"00"))</f>
        <v>3030001</v>
      </c>
      <c r="C26" s="30" t="str">
        <f t="shared" si="6"/>
        <v>1,3030001</v>
      </c>
      <c r="D26" s="26">
        <v>3</v>
      </c>
      <c r="E26" s="26">
        <v>3</v>
      </c>
      <c r="F26" s="26">
        <v>0</v>
      </c>
      <c r="G26" s="26">
        <v>1</v>
      </c>
      <c r="H26" s="9">
        <v>201103</v>
      </c>
      <c r="I26" s="15" t="str">
        <f>IFERROR(VLOOKUP(H26,monsters[#All],4,0),"")</f>
        <v>跳虫</v>
      </c>
      <c r="J26" s="15" t="str" cm="1">
        <f t="array" ref="J26">_xlfn.LET(_xlpm.v6p,ABS(ATAN2(O26,P26))*6/PI(),
_xlpm.output,_xlfn.IFS(_xlpm.v6p&lt;1,"正前",_xlpm.v6p&gt;5,"正后",AND(_xlpm.v6p&lt;5,_xlpm.v6p&gt;2,P26&lt;-1),"脚底",_xlpm.v6p&gt;4,"后上",_xlpm.v6p&lt;2,"前上",TRUE,"顶部"),
IFERROR(_xlpm.output,""))</f>
        <v>顶部</v>
      </c>
      <c r="K26" s="12"/>
      <c r="L26" s="12" t="s">
        <v>27</v>
      </c>
      <c r="M26" s="12"/>
      <c r="N26" s="19" t="str">
        <f t="shared" si="7"/>
        <v>3,12</v>
      </c>
      <c r="O26" s="24">
        <v>3</v>
      </c>
      <c r="P26" s="24">
        <v>12</v>
      </c>
      <c r="Q26" s="19">
        <f t="shared" si="4"/>
        <v>1</v>
      </c>
      <c r="S26" s="25">
        <v>8</v>
      </c>
      <c r="T26" s="19"/>
      <c r="W26" s="9">
        <v>0</v>
      </c>
      <c r="X26" s="9">
        <v>11</v>
      </c>
      <c r="Y26" s="19" t="str">
        <f t="shared" si="0"/>
        <v>0,0</v>
      </c>
      <c r="AA26" s="19" t="str">
        <f t="shared" si="1"/>
        <v>1,120</v>
      </c>
      <c r="AB26" s="24" t="str">
        <f>"1,120"</f>
        <v>1,120</v>
      </c>
      <c r="AC26" s="9">
        <v>0.88</v>
      </c>
      <c r="AD26" s="9">
        <v>5.0999999999999997E-2</v>
      </c>
      <c r="AE26" s="9">
        <v>0.25</v>
      </c>
      <c r="AF26" s="9">
        <v>2</v>
      </c>
      <c r="AG26" s="9">
        <v>3</v>
      </c>
    </row>
    <row r="27" spans="1:33" x14ac:dyDescent="0.2">
      <c r="A27" s="9">
        <v>1</v>
      </c>
      <c r="B27" s="9" t="str" cm="1">
        <f t="array" ref="B27">D27&amp;_xlfn.TEXTJOIN("",1,TEXT(E27:G27,"00"))</f>
        <v>3030002</v>
      </c>
      <c r="C27" s="30" t="str">
        <f t="shared" si="6"/>
        <v>1,3030002</v>
      </c>
      <c r="D27" s="26">
        <v>3</v>
      </c>
      <c r="E27" s="26">
        <v>3</v>
      </c>
      <c r="F27" s="26">
        <v>0</v>
      </c>
      <c r="G27" s="26">
        <v>2</v>
      </c>
      <c r="H27" s="9">
        <v>201103</v>
      </c>
      <c r="I27" s="15" t="str">
        <f>IFERROR(VLOOKUP(H27,monsters[#All],4,0),"")</f>
        <v>跳虫</v>
      </c>
      <c r="J27" s="15" t="str" cm="1">
        <f t="array" ref="J27">_xlfn.LET(_xlpm.v6p,ABS(ATAN2(O27,P27))*6/PI(),
_xlpm.output,_xlfn.IFS(_xlpm.v6p&lt;1,"正前",_xlpm.v6p&gt;5,"正后",AND(_xlpm.v6p&lt;5,_xlpm.v6p&gt;2,P27&lt;-1),"脚底",_xlpm.v6p&gt;4,"后上",_xlpm.v6p&lt;2,"前上",TRUE,"顶部"),
IFERROR(_xlpm.output,""))</f>
        <v>顶部</v>
      </c>
      <c r="K27" s="12"/>
      <c r="L27" s="12" t="s">
        <v>27</v>
      </c>
      <c r="M27" s="12"/>
      <c r="N27" s="19" t="str">
        <f t="shared" si="7"/>
        <v>-3,12</v>
      </c>
      <c r="O27" s="24">
        <v>-3</v>
      </c>
      <c r="P27" s="24">
        <v>12</v>
      </c>
      <c r="Q27" s="19">
        <f t="shared" si="4"/>
        <v>1</v>
      </c>
      <c r="S27" s="25">
        <v>8</v>
      </c>
      <c r="T27" s="19"/>
      <c r="W27" s="9">
        <v>0</v>
      </c>
      <c r="X27" s="9">
        <v>11</v>
      </c>
      <c r="Y27" s="19" t="str">
        <f t="shared" si="0"/>
        <v>0,0</v>
      </c>
      <c r="AA27" s="19" t="str">
        <f t="shared" si="1"/>
        <v>1,120</v>
      </c>
      <c r="AB27" s="24" t="str">
        <f>"1,120"</f>
        <v>1,120</v>
      </c>
      <c r="AC27" s="9">
        <v>1</v>
      </c>
      <c r="AD27" s="9">
        <v>4.2000000000000003E-2</v>
      </c>
      <c r="AE27" s="9">
        <v>0.25</v>
      </c>
      <c r="AF27" s="9">
        <v>2</v>
      </c>
      <c r="AG27" s="9">
        <v>3</v>
      </c>
    </row>
    <row r="28" spans="1:33" x14ac:dyDescent="0.2">
      <c r="C28" s="30" t="str">
        <f t="shared" si="6"/>
        <v/>
      </c>
      <c r="I28" s="15" t="str">
        <f>IFERROR(VLOOKUP(H28,monsters[#All],4,0),"")</f>
        <v/>
      </c>
      <c r="J28" s="15" t="str" cm="1">
        <f t="array" ref="J28">_xlfn.LET(_xlpm.v6p,ABS(ATAN2(O28,P28))*6/PI(),
_xlpm.output,_xlfn.IFS(_xlpm.v6p&lt;1,"正前",_xlpm.v6p&gt;5,"正后",AND(_xlpm.v6p&lt;5,_xlpm.v6p&gt;2,P28&lt;-1),"脚底",_xlpm.v6p&gt;4,"后上",_xlpm.v6p&lt;2,"前上",TRUE,"顶部"),
IFERROR(_xlpm.output,""))</f>
        <v/>
      </c>
      <c r="N28" s="19"/>
      <c r="Q28" s="19" t="str">
        <f t="shared" si="4"/>
        <v/>
      </c>
      <c r="S28" s="9" t="s">
        <v>62</v>
      </c>
      <c r="T28" s="19" t="str">
        <f t="shared" ref="T28:T32" si="8">IF(U28&lt;&gt;"", U28+0&amp;","&amp;V28+0,"")</f>
        <v/>
      </c>
      <c r="Y28" s="19" t="str">
        <f t="shared" si="0"/>
        <v/>
      </c>
      <c r="AA28" s="19" t="str">
        <f t="shared" si="1"/>
        <v/>
      </c>
      <c r="AC28" s="9" t="s">
        <v>62</v>
      </c>
    </row>
    <row r="29" spans="1:33" x14ac:dyDescent="0.2">
      <c r="A29" s="9">
        <v>1</v>
      </c>
      <c r="B29" s="9" t="str" cm="1">
        <f t="array" ref="B29">D29&amp;_xlfn.TEXTJOIN("",1,TEXT(E29:G29,"00"))</f>
        <v>4010000</v>
      </c>
      <c r="C29" s="30" t="str">
        <f t="shared" si="6"/>
        <v>1,4010000</v>
      </c>
      <c r="D29" s="26">
        <v>4</v>
      </c>
      <c r="E29" s="26">
        <v>1</v>
      </c>
      <c r="F29" s="26">
        <v>0</v>
      </c>
      <c r="G29" s="26">
        <v>0</v>
      </c>
      <c r="H29" s="9">
        <v>201107</v>
      </c>
      <c r="I29" s="15" t="str">
        <f>IFERROR(VLOOKUP(H29,monsters[#All],4,0),"")</f>
        <v>流浪洞穴人</v>
      </c>
      <c r="J29" s="15" t="str" cm="1">
        <f t="array" ref="J29">_xlfn.LET(_xlpm.v6p,ABS(ATAN2(O29,P29))*6/PI(),
_xlpm.output,_xlfn.IFS(_xlpm.v6p&lt;1,"正前",_xlpm.v6p&gt;5,"正后",AND(_xlpm.v6p&lt;5,_xlpm.v6p&gt;2,P29&lt;-1),"脚底",_xlpm.v6p&gt;4,"后上",_xlpm.v6p&lt;2,"前上",TRUE,"顶部"),
IFERROR(_xlpm.output,""))</f>
        <v>正前</v>
      </c>
      <c r="K29" s="12"/>
      <c r="L29" s="12" t="s">
        <v>27</v>
      </c>
      <c r="M29" s="12"/>
      <c r="N29" s="19" t="str">
        <f>O29+0&amp;","&amp;P29+0</f>
        <v>18,-1</v>
      </c>
      <c r="O29" s="24">
        <v>18</v>
      </c>
      <c r="P29" s="24">
        <v>-1</v>
      </c>
      <c r="Q29" s="19">
        <f t="shared" si="4"/>
        <v>1</v>
      </c>
      <c r="S29" s="9">
        <v>28</v>
      </c>
      <c r="T29" s="19" t="str">
        <f t="shared" si="8"/>
        <v>2,3</v>
      </c>
      <c r="U29" s="24">
        <v>2</v>
      </c>
      <c r="V29" s="24">
        <v>3</v>
      </c>
      <c r="W29" s="9">
        <v>0</v>
      </c>
      <c r="X29" s="9">
        <v>11</v>
      </c>
      <c r="Y29" s="19" t="str">
        <f t="shared" si="0"/>
        <v>0,0</v>
      </c>
      <c r="AA29" s="19" t="str">
        <f t="shared" si="1"/>
        <v>80,120</v>
      </c>
      <c r="AC29" s="9">
        <v>0.8</v>
      </c>
      <c r="AD29" s="9">
        <v>1.5</v>
      </c>
      <c r="AE29" s="9">
        <v>0.6</v>
      </c>
      <c r="AF29" s="16"/>
      <c r="AG29" s="16"/>
    </row>
    <row r="30" spans="1:33" x14ac:dyDescent="0.2">
      <c r="A30" s="9">
        <v>1</v>
      </c>
      <c r="B30" s="9" t="str" cm="1">
        <f t="array" ref="B30">D30&amp;_xlfn.TEXTJOIN("",1,TEXT(E30:G30,"00"))</f>
        <v>4020001</v>
      </c>
      <c r="C30" s="30" t="str">
        <f t="shared" si="6"/>
        <v>1,4020001</v>
      </c>
      <c r="D30" s="26">
        <v>4</v>
      </c>
      <c r="E30" s="26">
        <v>2</v>
      </c>
      <c r="F30" s="26">
        <v>0</v>
      </c>
      <c r="G30" s="26">
        <v>1</v>
      </c>
      <c r="H30" s="9">
        <v>201107</v>
      </c>
      <c r="I30" s="15" t="str">
        <f>IFERROR(VLOOKUP(H30,monsters[#All],4,0),"")</f>
        <v>流浪洞穴人</v>
      </c>
      <c r="J30" s="15" t="str" cm="1">
        <f t="array" ref="J30">_xlfn.LET(_xlpm.v6p,ABS(ATAN2(O30,P30))*6/PI(),
_xlpm.output,_xlfn.IFS(_xlpm.v6p&lt;1,"正前",_xlpm.v6p&gt;5,"正后",AND(_xlpm.v6p&lt;5,_xlpm.v6p&gt;2,P30&lt;-1),"脚底",_xlpm.v6p&gt;4,"后上",_xlpm.v6p&lt;2,"前上",TRUE,"顶部"),
IFERROR(_xlpm.output,""))</f>
        <v>正前</v>
      </c>
      <c r="K30" s="12"/>
      <c r="L30" s="12" t="s">
        <v>27</v>
      </c>
      <c r="M30" s="12"/>
      <c r="N30" s="19" t="str">
        <f>O30+0&amp;","&amp;P30+0</f>
        <v>18,-1</v>
      </c>
      <c r="O30" s="24">
        <v>18</v>
      </c>
      <c r="P30" s="24">
        <v>-1</v>
      </c>
      <c r="Q30" s="19">
        <f t="shared" si="4"/>
        <v>1</v>
      </c>
      <c r="S30" s="16" t="s">
        <v>62</v>
      </c>
      <c r="T30" s="19" t="str">
        <f t="shared" si="8"/>
        <v/>
      </c>
      <c r="W30" s="9">
        <v>0</v>
      </c>
      <c r="X30" s="9">
        <v>11</v>
      </c>
      <c r="Y30" s="19" t="str">
        <f t="shared" si="0"/>
        <v>0,0</v>
      </c>
      <c r="AA30" s="19" t="str">
        <f t="shared" si="1"/>
        <v>80,120</v>
      </c>
      <c r="AC30" s="16" t="s">
        <v>62</v>
      </c>
      <c r="AD30" s="16"/>
      <c r="AE30" s="9">
        <v>0.6</v>
      </c>
      <c r="AF30" s="9">
        <v>2</v>
      </c>
      <c r="AG30" s="9">
        <v>10.199999999999999</v>
      </c>
    </row>
    <row r="31" spans="1:33" x14ac:dyDescent="0.2">
      <c r="A31" s="9">
        <v>1</v>
      </c>
      <c r="B31" s="9" t="str" cm="1">
        <f t="array" ref="B31">D31&amp;_xlfn.TEXTJOIN("",1,TEXT(E31:G31,"00"))</f>
        <v>4020002</v>
      </c>
      <c r="C31" s="30" t="str">
        <f t="shared" si="6"/>
        <v>1,4020002</v>
      </c>
      <c r="D31" s="26">
        <v>4</v>
      </c>
      <c r="E31" s="26">
        <v>2</v>
      </c>
      <c r="F31" s="26">
        <v>0</v>
      </c>
      <c r="G31" s="26">
        <v>2</v>
      </c>
      <c r="H31" s="9">
        <v>201107</v>
      </c>
      <c r="I31" s="15" t="str">
        <f>IFERROR(VLOOKUP(H31,monsters[#All],4,0),"")</f>
        <v>流浪洞穴人</v>
      </c>
      <c r="J31" s="15" t="str" cm="1">
        <f t="array" ref="J31">_xlfn.LET(_xlpm.v6p,ABS(ATAN2(O31,P31))*6/PI(),
_xlpm.output,_xlfn.IFS(_xlpm.v6p&lt;1,"正前",_xlpm.v6p&gt;5,"正后",AND(_xlpm.v6p&lt;5,_xlpm.v6p&gt;2,P31&lt;-1),"脚底",_xlpm.v6p&gt;4,"后上",_xlpm.v6p&lt;2,"前上",TRUE,"顶部"),
IFERROR(_xlpm.output,""))</f>
        <v>正后</v>
      </c>
      <c r="K31" s="12"/>
      <c r="L31" s="12" t="s">
        <v>27</v>
      </c>
      <c r="M31" s="12"/>
      <c r="N31" s="19" t="str">
        <f t="shared" ref="N31" si="9">O31+0&amp;","&amp;P31+0</f>
        <v>-14,-1</v>
      </c>
      <c r="O31" s="24">
        <v>-14</v>
      </c>
      <c r="P31" s="24">
        <v>-1</v>
      </c>
      <c r="Q31" s="19">
        <f t="shared" si="4"/>
        <v>1</v>
      </c>
      <c r="S31" s="16" t="s">
        <v>62</v>
      </c>
      <c r="T31" s="19" t="str">
        <f t="shared" si="8"/>
        <v/>
      </c>
      <c r="W31" s="9">
        <v>0</v>
      </c>
      <c r="X31" s="9">
        <v>11</v>
      </c>
      <c r="Y31" s="19" t="str">
        <f t="shared" si="0"/>
        <v>0,0</v>
      </c>
      <c r="AA31" s="19" t="str">
        <f t="shared" si="1"/>
        <v>80,120</v>
      </c>
      <c r="AC31" s="16" t="s">
        <v>62</v>
      </c>
      <c r="AD31" s="16"/>
      <c r="AE31" s="9">
        <v>0.6</v>
      </c>
      <c r="AF31" s="9">
        <v>2</v>
      </c>
      <c r="AG31" s="9">
        <v>6.8</v>
      </c>
    </row>
    <row r="32" spans="1:33" x14ac:dyDescent="0.2">
      <c r="C32" s="30" t="str">
        <f t="shared" si="6"/>
        <v/>
      </c>
      <c r="I32" s="15" t="str">
        <f>IFERROR(VLOOKUP(H32,monsters[#All],4,0),"")</f>
        <v/>
      </c>
      <c r="J32" s="15" t="str" cm="1">
        <f t="array" ref="J32">_xlfn.LET(_xlpm.v6p,ABS(ATAN2(O32,P32))*6/PI(),
_xlpm.output,_xlfn.IFS(_xlpm.v6p&lt;1,"正前",_xlpm.v6p&gt;5,"正后",AND(_xlpm.v6p&lt;5,_xlpm.v6p&gt;2,P32&lt;-1),"脚底",_xlpm.v6p&gt;4,"后上",_xlpm.v6p&lt;2,"前上",TRUE,"顶部"),
IFERROR(_xlpm.output,""))</f>
        <v/>
      </c>
      <c r="Q32" s="19" t="str">
        <f t="shared" si="4"/>
        <v/>
      </c>
      <c r="S32" s="9" t="s">
        <v>62</v>
      </c>
      <c r="T32" s="19" t="str">
        <f t="shared" si="8"/>
        <v/>
      </c>
      <c r="Y32" s="19" t="str">
        <f t="shared" si="0"/>
        <v/>
      </c>
      <c r="AA32" s="19" t="str">
        <f t="shared" si="1"/>
        <v/>
      </c>
      <c r="AC32" s="9" t="s">
        <v>62</v>
      </c>
    </row>
    <row r="33" spans="1:33" x14ac:dyDescent="0.2">
      <c r="A33" s="19">
        <v>1</v>
      </c>
      <c r="B33" s="9" t="str" cm="1">
        <f t="array" ref="B33">D33&amp;_xlfn.TEXTJOIN("",1,TEXT(E33:G33,"00"))</f>
        <v>5010001</v>
      </c>
      <c r="C33" s="30" t="str">
        <f t="shared" si="6"/>
        <v>1,5010001</v>
      </c>
      <c r="D33" s="26">
        <v>5</v>
      </c>
      <c r="E33" s="26">
        <v>1</v>
      </c>
      <c r="F33" s="26">
        <v>0</v>
      </c>
      <c r="G33" s="26">
        <v>1</v>
      </c>
      <c r="H33" s="9">
        <v>201106</v>
      </c>
      <c r="I33" s="15" t="str">
        <f>IFERROR(VLOOKUP(H33,monsters[#All],4,0),"")</f>
        <v>蝙蝠骑手</v>
      </c>
      <c r="J33" s="15" t="str" cm="1">
        <f t="array" ref="J33">_xlfn.LET(_xlpm.v6p,ABS(ATAN2(O33,P33))*6/PI(),
_xlpm.output,_xlfn.IFS(_xlpm.v6p&lt;1,"正前",_xlpm.v6p&gt;5,"正后",AND(_xlpm.v6p&lt;5,_xlpm.v6p&gt;2,P33&lt;-1),"脚底",_xlpm.v6p&gt;4,"后上",_xlpm.v6p&lt;2,"前上",TRUE,"顶部"),
IFERROR(_xlpm.output,""))</f>
        <v>前上</v>
      </c>
      <c r="K33" s="12"/>
      <c r="L33" s="12" t="s">
        <v>27</v>
      </c>
      <c r="M33" s="12"/>
      <c r="N33" s="19" t="str">
        <f t="shared" ref="N33:N34" si="10">O33+0&amp;","&amp;P33+0</f>
        <v>7,12</v>
      </c>
      <c r="O33" s="24">
        <v>7</v>
      </c>
      <c r="P33" s="24">
        <v>12</v>
      </c>
      <c r="Q33" s="19">
        <f t="shared" si="4"/>
        <v>1</v>
      </c>
      <c r="S33" s="9">
        <v>4</v>
      </c>
      <c r="T33" s="19" t="str">
        <f t="shared" ref="T33" si="11">IF(U33&lt;&gt;"", U33+0&amp;","&amp;V33+0,"")</f>
        <v>1,2</v>
      </c>
      <c r="U33" s="24">
        <v>1</v>
      </c>
      <c r="V33" s="24">
        <v>2</v>
      </c>
      <c r="W33" s="9">
        <v>0</v>
      </c>
      <c r="X33" s="9">
        <v>11</v>
      </c>
      <c r="Y33" s="19" t="str">
        <f t="shared" si="0"/>
        <v>0,0</v>
      </c>
      <c r="AA33" s="19" t="str">
        <f t="shared" si="1"/>
        <v>80,120</v>
      </c>
      <c r="AC33" s="9">
        <v>1.28</v>
      </c>
      <c r="AD33" s="9">
        <v>0.06</v>
      </c>
      <c r="AE33" s="9">
        <v>1.2</v>
      </c>
      <c r="AF33" s="9">
        <v>1</v>
      </c>
      <c r="AG33" s="9">
        <v>7.7</v>
      </c>
    </row>
    <row r="34" spans="1:33" x14ac:dyDescent="0.2">
      <c r="A34" s="19">
        <v>1</v>
      </c>
      <c r="B34" s="9" t="str" cm="1">
        <f t="array" ref="B34">D34&amp;_xlfn.TEXTJOIN("",1,TEXT(E34:G34,"00"))</f>
        <v>5010002</v>
      </c>
      <c r="C34" s="30" t="str">
        <f t="shared" si="6"/>
        <v>1,5010002</v>
      </c>
      <c r="D34" s="26">
        <v>5</v>
      </c>
      <c r="E34" s="26">
        <v>1</v>
      </c>
      <c r="F34" s="26">
        <v>0</v>
      </c>
      <c r="G34" s="26">
        <v>2</v>
      </c>
      <c r="H34" s="9">
        <v>201106</v>
      </c>
      <c r="I34" s="15" t="str">
        <f>IFERROR(VLOOKUP(H34,monsters[#All],4,0),"")</f>
        <v>蝙蝠骑手</v>
      </c>
      <c r="J34" s="15" t="str" cm="1">
        <f t="array" ref="J34">_xlfn.LET(_xlpm.v6p,ABS(ATAN2(O34,P34))*6/PI(),
_xlpm.output,_xlfn.IFS(_xlpm.v6p&lt;1,"正前",_xlpm.v6p&gt;5,"正后",AND(_xlpm.v6p&lt;5,_xlpm.v6p&gt;2,P34&lt;-1),"脚底",_xlpm.v6p&gt;4,"后上",_xlpm.v6p&lt;2,"前上",TRUE,"顶部"),
IFERROR(_xlpm.output,""))</f>
        <v>后上</v>
      </c>
      <c r="K34" s="12"/>
      <c r="L34" s="12" t="s">
        <v>27</v>
      </c>
      <c r="M34" s="12"/>
      <c r="N34" s="19" t="str">
        <f t="shared" si="10"/>
        <v>-7,12</v>
      </c>
      <c r="O34" s="24">
        <v>-7</v>
      </c>
      <c r="P34" s="24">
        <v>12</v>
      </c>
      <c r="Q34" s="19">
        <f t="shared" si="4"/>
        <v>1</v>
      </c>
      <c r="S34" s="9">
        <v>4</v>
      </c>
      <c r="T34" s="19" t="str">
        <f t="shared" ref="T34" si="12">IF(U34&lt;&gt;"", U34+0&amp;","&amp;V34+0,"")</f>
        <v>1,2</v>
      </c>
      <c r="U34" s="24">
        <v>1</v>
      </c>
      <c r="V34" s="24">
        <v>2</v>
      </c>
      <c r="W34" s="9">
        <v>0</v>
      </c>
      <c r="X34" s="9">
        <v>11</v>
      </c>
      <c r="Y34" s="19" t="str">
        <f t="shared" si="0"/>
        <v>0,0</v>
      </c>
      <c r="AA34" s="19" t="str">
        <f t="shared" si="1"/>
        <v>80,120</v>
      </c>
      <c r="AC34" s="9">
        <v>1.24</v>
      </c>
      <c r="AD34" s="9">
        <v>0.06</v>
      </c>
      <c r="AE34" s="9">
        <v>1.2</v>
      </c>
      <c r="AF34" s="9">
        <v>1</v>
      </c>
      <c r="AG34" s="9">
        <v>5.5</v>
      </c>
    </row>
    <row r="35" spans="1:33" x14ac:dyDescent="0.2">
      <c r="C35" s="30" t="str">
        <f t="shared" si="6"/>
        <v/>
      </c>
      <c r="I35" s="15" t="str">
        <f>IFERROR(VLOOKUP(H35,monsters[#All],4,0),"")</f>
        <v/>
      </c>
      <c r="J35" s="15" t="str" cm="1">
        <f t="array" ref="J35">_xlfn.LET(_xlpm.v6p,ABS(ATAN2(O35,P35))*6/PI(),
_xlpm.output,_xlfn.IFS(_xlpm.v6p&lt;1,"正前",_xlpm.v6p&gt;5,"正后",AND(_xlpm.v6p&lt;5,_xlpm.v6p&gt;2,P35&lt;-1),"脚底",_xlpm.v6p&gt;4,"后上",_xlpm.v6p&lt;2,"前上",TRUE,"顶部"),
IFERROR(_xlpm.output,""))</f>
        <v/>
      </c>
      <c r="Q35" s="19" t="str">
        <f t="shared" si="4"/>
        <v/>
      </c>
      <c r="S35" s="9" t="s">
        <v>62</v>
      </c>
      <c r="T35" s="19" t="str">
        <f>IF(U35&lt;&gt;"", U35+0&amp;","&amp;V35+0,"")</f>
        <v/>
      </c>
      <c r="Y35" s="19" t="str">
        <f t="shared" si="0"/>
        <v/>
      </c>
      <c r="AA35" s="19" t="str">
        <f t="shared" si="1"/>
        <v/>
      </c>
      <c r="AC35" s="9" t="s">
        <v>62</v>
      </c>
    </row>
    <row r="36" spans="1:33" x14ac:dyDescent="0.2">
      <c r="A36" s="9">
        <v>1</v>
      </c>
      <c r="B36" s="9" t="str" cm="1">
        <f t="array" ref="B36">D36&amp;_xlfn.TEXTJOIN("",1,TEXT(E36:G36,"00"))</f>
        <v>6010001</v>
      </c>
      <c r="C36" s="30" t="str">
        <f t="shared" si="6"/>
        <v>1,6010001</v>
      </c>
      <c r="D36" s="26">
        <v>6</v>
      </c>
      <c r="E36" s="26">
        <v>1</v>
      </c>
      <c r="F36" s="26">
        <f t="shared" ref="F36" si="13">W36</f>
        <v>0</v>
      </c>
      <c r="G36" s="26">
        <v>1</v>
      </c>
      <c r="H36" s="9">
        <v>201105</v>
      </c>
      <c r="I36" s="15" t="str">
        <f>IFERROR(VLOOKUP(H36,monsters[#All],4,0),"")</f>
        <v>跳虫骑手</v>
      </c>
      <c r="J36" s="15" t="str" cm="1">
        <f t="array" ref="J36">_xlfn.LET(_xlpm.v6p,ABS(ATAN2(O36,P36))*6/PI(),
_xlpm.output,_xlfn.IFS(_xlpm.v6p&lt;1,"正前",_xlpm.v6p&gt;5,"正后",AND(_xlpm.v6p&lt;5,_xlpm.v6p&gt;2,P36&lt;-1),"脚底",_xlpm.v6p&gt;4,"后上",_xlpm.v6p&lt;2,"前上",TRUE,"顶部"),
IFERROR(_xlpm.output,""))</f>
        <v>正前</v>
      </c>
      <c r="K36" s="12"/>
      <c r="L36" s="12" t="s">
        <v>27</v>
      </c>
      <c r="M36" s="12"/>
      <c r="N36" s="19" t="str">
        <f>O36+0&amp;","&amp;P36+0</f>
        <v>14,-1</v>
      </c>
      <c r="O36" s="24">
        <v>14</v>
      </c>
      <c r="P36" s="24">
        <v>-1</v>
      </c>
      <c r="Q36" s="19">
        <f t="shared" si="4"/>
        <v>1</v>
      </c>
      <c r="S36" s="9">
        <v>8</v>
      </c>
      <c r="T36" s="19" t="str">
        <f>IF(U36&lt;&gt;"", U36+0&amp;","&amp;V36+0,"")</f>
        <v/>
      </c>
      <c r="W36" s="9">
        <v>0</v>
      </c>
      <c r="X36" s="9">
        <v>11</v>
      </c>
      <c r="Y36" s="19" t="str">
        <f t="shared" ref="Y36:Y65" si="14">IF($A36&lt;&gt;"",IF($Z36&lt;&gt;"",$Z36,"0,0"),"")</f>
        <v>0,0</v>
      </c>
      <c r="AA36" s="19" t="str">
        <f t="shared" ref="AA36:AA65" si="15">IF($A36&lt;&gt;"",IF($AB36&lt;&gt;"",$AB36,"80,120"),"")</f>
        <v>80,120</v>
      </c>
      <c r="AC36" s="9">
        <v>2.44</v>
      </c>
      <c r="AD36" s="9">
        <v>0.11</v>
      </c>
      <c r="AE36" s="9">
        <v>1.2</v>
      </c>
      <c r="AF36" s="16"/>
      <c r="AG36" s="16"/>
    </row>
    <row r="37" spans="1:33" x14ac:dyDescent="0.2">
      <c r="C37" s="30" t="str">
        <f t="shared" si="6"/>
        <v/>
      </c>
      <c r="I37" s="15" t="str">
        <f>IFERROR(VLOOKUP(H37,monsters[#All],4,0),"")</f>
        <v/>
      </c>
      <c r="J37" s="15" t="str" cm="1">
        <f t="array" ref="J37">_xlfn.LET(_xlpm.v6p,ABS(ATAN2(O37,P37))*6/PI(),
_xlpm.output,_xlfn.IFS(_xlpm.v6p&lt;1,"正前",_xlpm.v6p&gt;5,"正后",AND(_xlpm.v6p&lt;5,_xlpm.v6p&gt;2,P37&lt;-1),"脚底",_xlpm.v6p&gt;4,"后上",_xlpm.v6p&lt;2,"前上",TRUE,"顶部"),
IFERROR(_xlpm.output,""))</f>
        <v/>
      </c>
      <c r="N37" s="19"/>
      <c r="Q37" s="19" t="str">
        <f t="shared" si="4"/>
        <v/>
      </c>
      <c r="S37" s="9" t="s">
        <v>62</v>
      </c>
      <c r="T37" s="19" t="str">
        <f t="shared" si="5"/>
        <v/>
      </c>
      <c r="Y37" s="19" t="str">
        <f t="shared" si="14"/>
        <v/>
      </c>
      <c r="AA37" s="19" t="str">
        <f t="shared" si="15"/>
        <v/>
      </c>
      <c r="AC37" s="9" t="s">
        <v>62</v>
      </c>
    </row>
    <row r="38" spans="1:33" x14ac:dyDescent="0.2">
      <c r="A38" s="9">
        <v>1</v>
      </c>
      <c r="B38" s="9" t="str" cm="1">
        <f t="array" ref="B38">D38&amp;_xlfn.TEXTJOIN("",1,TEXT(E38:G38,"00"))</f>
        <v>7010000</v>
      </c>
      <c r="C38" s="30" t="str">
        <f t="shared" si="6"/>
        <v>1,7010000</v>
      </c>
      <c r="D38" s="26">
        <v>7</v>
      </c>
      <c r="E38" s="26">
        <v>1</v>
      </c>
      <c r="F38" s="26">
        <v>0</v>
      </c>
      <c r="G38" s="26">
        <v>0</v>
      </c>
      <c r="H38" s="9">
        <v>201104</v>
      </c>
      <c r="I38" s="15" t="str">
        <f>IFERROR(VLOOKUP(H38,monsters[#All],4,0),"")</f>
        <v>地宫洞穴人</v>
      </c>
      <c r="J38" s="15" t="str" cm="1">
        <f t="array" ref="J38">_xlfn.LET(_xlpm.v6p,ABS(ATAN2(O38,P38))*6/PI(),
_xlpm.output,_xlfn.IFS(_xlpm.v6p&lt;1,"正前",_xlpm.v6p&gt;5,"正后",AND(_xlpm.v6p&lt;5,_xlpm.v6p&gt;2,P38&lt;-1),"脚底",_xlpm.v6p&gt;4,"后上",_xlpm.v6p&lt;2,"前上",TRUE,"顶部"),
IFERROR(_xlpm.output,""))</f>
        <v>正前</v>
      </c>
      <c r="K38" s="12"/>
      <c r="L38" s="12" t="s">
        <v>27</v>
      </c>
      <c r="M38" s="12"/>
      <c r="N38" s="19" t="str">
        <f>O38+0&amp;","&amp;P38+0</f>
        <v>18,-1</v>
      </c>
      <c r="O38" s="24">
        <v>18</v>
      </c>
      <c r="P38" s="24">
        <v>-1</v>
      </c>
      <c r="Q38" s="19">
        <f t="shared" si="4"/>
        <v>1</v>
      </c>
      <c r="S38" s="9">
        <v>16</v>
      </c>
      <c r="T38" s="19" t="str">
        <f>IF(U38&lt;&gt;"", U38+0&amp;","&amp;V38+0,"")</f>
        <v>2,3</v>
      </c>
      <c r="U38" s="24">
        <v>2</v>
      </c>
      <c r="V38" s="24">
        <v>3</v>
      </c>
      <c r="W38" s="9">
        <v>0</v>
      </c>
      <c r="X38" s="9">
        <v>11</v>
      </c>
      <c r="Y38" s="19" t="str">
        <f t="shared" si="14"/>
        <v>0,0</v>
      </c>
      <c r="AA38" s="19" t="str">
        <f t="shared" si="15"/>
        <v>80,120</v>
      </c>
      <c r="AC38" s="9">
        <v>0.4</v>
      </c>
      <c r="AD38" s="9">
        <v>0.4</v>
      </c>
      <c r="AE38" s="9">
        <v>1</v>
      </c>
      <c r="AF38" s="16"/>
      <c r="AG38" s="16"/>
    </row>
    <row r="39" spans="1:33" x14ac:dyDescent="0.2">
      <c r="A39" s="9">
        <v>1</v>
      </c>
      <c r="B39" s="9" t="str" cm="1">
        <f t="array" ref="B39">D39&amp;_xlfn.TEXTJOIN("",1,TEXT(E39:G39,"00"))</f>
        <v>7020001</v>
      </c>
      <c r="C39" s="30" t="str">
        <f t="shared" si="6"/>
        <v>1,7020001</v>
      </c>
      <c r="D39" s="26">
        <v>7</v>
      </c>
      <c r="E39" s="26">
        <v>2</v>
      </c>
      <c r="F39" s="26">
        <v>0</v>
      </c>
      <c r="G39" s="26">
        <v>1</v>
      </c>
      <c r="H39" s="9">
        <v>201104</v>
      </c>
      <c r="I39" s="15" t="str">
        <f>IFERROR(VLOOKUP(H39,monsters[#All],4,0),"")</f>
        <v>地宫洞穴人</v>
      </c>
      <c r="J39" s="15" t="str" cm="1">
        <f t="array" ref="J39">_xlfn.LET(_xlpm.v6p,ABS(ATAN2(O39,P39))*6/PI(),
_xlpm.output,_xlfn.IFS(_xlpm.v6p&lt;1,"正前",_xlpm.v6p&gt;5,"正后",AND(_xlpm.v6p&lt;5,_xlpm.v6p&gt;2,P39&lt;-1),"脚底",_xlpm.v6p&gt;4,"后上",_xlpm.v6p&lt;2,"前上",TRUE,"顶部"),
IFERROR(_xlpm.output,""))</f>
        <v>正前</v>
      </c>
      <c r="K39" s="12"/>
      <c r="L39" s="12" t="s">
        <v>27</v>
      </c>
      <c r="M39" s="12"/>
      <c r="N39" s="19" t="str">
        <f>O39+0&amp;","&amp;P39+0</f>
        <v>18,-1</v>
      </c>
      <c r="O39" s="24">
        <v>18</v>
      </c>
      <c r="P39" s="24">
        <v>-1</v>
      </c>
      <c r="Q39" s="19">
        <f t="shared" si="4"/>
        <v>1</v>
      </c>
      <c r="S39" s="16" t="s">
        <v>62</v>
      </c>
      <c r="T39" s="19" t="str">
        <f>IF(U39&lt;&gt;"", U39+0&amp;","&amp;V39+0,"")</f>
        <v>2,3</v>
      </c>
      <c r="U39" s="24">
        <v>2</v>
      </c>
      <c r="V39" s="24">
        <v>3</v>
      </c>
      <c r="W39" s="9">
        <v>0</v>
      </c>
      <c r="X39" s="9">
        <v>11</v>
      </c>
      <c r="Y39" s="19" t="str">
        <f t="shared" si="14"/>
        <v>0,0</v>
      </c>
      <c r="AA39" s="19" t="str">
        <f t="shared" si="15"/>
        <v>80,120</v>
      </c>
      <c r="AC39" s="16" t="s">
        <v>62</v>
      </c>
      <c r="AD39" s="16"/>
      <c r="AE39" s="16"/>
      <c r="AF39" s="9">
        <v>1</v>
      </c>
      <c r="AG39" s="9">
        <v>10.199999999999999</v>
      </c>
    </row>
    <row r="40" spans="1:33" x14ac:dyDescent="0.2">
      <c r="A40" s="9">
        <v>1</v>
      </c>
      <c r="B40" s="9" t="str" cm="1">
        <f t="array" ref="B40">D40&amp;_xlfn.TEXTJOIN("",1,TEXT(E40:G40,"00"))</f>
        <v>7020002</v>
      </c>
      <c r="C40" s="30" t="str">
        <f t="shared" si="6"/>
        <v>1,7020002</v>
      </c>
      <c r="D40" s="26">
        <v>7</v>
      </c>
      <c r="E40" s="26">
        <v>2</v>
      </c>
      <c r="F40" s="26">
        <v>0</v>
      </c>
      <c r="G40" s="26">
        <v>2</v>
      </c>
      <c r="H40" s="9">
        <v>201104</v>
      </c>
      <c r="I40" s="15" t="str">
        <f>IFERROR(VLOOKUP(H40,monsters[#All],4,0),"")</f>
        <v>地宫洞穴人</v>
      </c>
      <c r="J40" s="15" t="str" cm="1">
        <f t="array" ref="J40">_xlfn.LET(_xlpm.v6p,ABS(ATAN2(O40,P40))*6/PI(),
_xlpm.output,_xlfn.IFS(_xlpm.v6p&lt;1,"正前",_xlpm.v6p&gt;5,"正后",AND(_xlpm.v6p&lt;5,_xlpm.v6p&gt;2,P40&lt;-1),"脚底",_xlpm.v6p&gt;4,"后上",_xlpm.v6p&lt;2,"前上",TRUE,"顶部"),
IFERROR(_xlpm.output,""))</f>
        <v>正后</v>
      </c>
      <c r="K40" s="12"/>
      <c r="L40" s="12" t="s">
        <v>27</v>
      </c>
      <c r="M40" s="12"/>
      <c r="N40" s="19" t="str">
        <f t="shared" ref="N40" si="16">O40+0&amp;","&amp;P40+0</f>
        <v>-14,-1</v>
      </c>
      <c r="O40" s="24">
        <v>-14</v>
      </c>
      <c r="P40" s="24">
        <v>-1</v>
      </c>
      <c r="Q40" s="19">
        <f t="shared" si="4"/>
        <v>1</v>
      </c>
      <c r="S40" s="16" t="s">
        <v>62</v>
      </c>
      <c r="T40" s="19" t="str">
        <f>IF(U40&lt;&gt;"", U40+0&amp;","&amp;V40+0,"")</f>
        <v>2,3</v>
      </c>
      <c r="U40" s="24">
        <v>2</v>
      </c>
      <c r="V40" s="24">
        <v>3</v>
      </c>
      <c r="W40" s="9">
        <v>0</v>
      </c>
      <c r="X40" s="9">
        <v>11</v>
      </c>
      <c r="Y40" s="19" t="str">
        <f t="shared" si="14"/>
        <v>0,0</v>
      </c>
      <c r="AA40" s="19" t="str">
        <f t="shared" si="15"/>
        <v>80,120</v>
      </c>
      <c r="AC40" s="16" t="s">
        <v>62</v>
      </c>
      <c r="AD40" s="16"/>
      <c r="AE40" s="16"/>
      <c r="AF40" s="9">
        <v>1</v>
      </c>
      <c r="AG40" s="9">
        <v>6.8</v>
      </c>
    </row>
    <row r="41" spans="1:33" x14ac:dyDescent="0.2">
      <c r="C41" s="30" t="str">
        <f t="shared" si="6"/>
        <v/>
      </c>
      <c r="I41" s="15" t="str">
        <f>IFERROR(VLOOKUP(H41,monsters[#All],4,0),"")</f>
        <v/>
      </c>
      <c r="J41" s="15" t="str" cm="1">
        <f t="array" ref="J41">_xlfn.LET(_xlpm.v6p,ABS(ATAN2(O41,P41))*6/PI(),
_xlpm.output,_xlfn.IFS(_xlpm.v6p&lt;1,"正前",_xlpm.v6p&gt;5,"正后",AND(_xlpm.v6p&lt;5,_xlpm.v6p&gt;2,P41&lt;-1),"脚底",_xlpm.v6p&gt;4,"后上",_xlpm.v6p&lt;2,"前上",TRUE,"顶部"),
IFERROR(_xlpm.output,""))</f>
        <v/>
      </c>
      <c r="N41" s="19"/>
      <c r="Q41" s="19" t="str">
        <f t="shared" si="4"/>
        <v/>
      </c>
      <c r="S41" s="9" t="s">
        <v>62</v>
      </c>
      <c r="T41" s="19" t="str">
        <f t="shared" ref="T41" si="17">IF(U41&lt;&gt;"", U41+0&amp;","&amp;V41+0,"")</f>
        <v/>
      </c>
      <c r="Y41" s="19" t="str">
        <f t="shared" si="14"/>
        <v/>
      </c>
      <c r="AA41" s="19" t="str">
        <f t="shared" si="15"/>
        <v/>
      </c>
      <c r="AC41" s="9" t="s">
        <v>62</v>
      </c>
    </row>
    <row r="42" spans="1:33" x14ac:dyDescent="0.2">
      <c r="A42" s="9">
        <v>1</v>
      </c>
      <c r="B42" s="9" t="str" cm="1">
        <f t="array" ref="B42">D42&amp;_xlfn.TEXTJOIN("",1,TEXT(E42:G42,"00"))</f>
        <v>8010000</v>
      </c>
      <c r="C42" s="30" t="str">
        <f t="shared" si="6"/>
        <v>1,8010000</v>
      </c>
      <c r="D42" s="26">
        <v>8</v>
      </c>
      <c r="E42" s="26">
        <v>1</v>
      </c>
      <c r="F42" s="26">
        <v>0</v>
      </c>
      <c r="G42" s="26">
        <v>0</v>
      </c>
      <c r="H42" s="9">
        <v>201108</v>
      </c>
      <c r="I42" s="15" t="str">
        <f>IFERROR(VLOOKUP(H42,monsters[#All],4,0),"")</f>
        <v>纵火洞穴人</v>
      </c>
      <c r="J42" s="15" t="str" cm="1">
        <f t="array" ref="J42">_xlfn.LET(_xlpm.v6p,ABS(ATAN2(O42,P42))*6/PI(),
_xlpm.output,_xlfn.IFS(_xlpm.v6p&lt;1,"正前",_xlpm.v6p&gt;5,"正后",AND(_xlpm.v6p&lt;5,_xlpm.v6p&gt;2,P42&lt;-1),"脚底",_xlpm.v6p&gt;4,"后上",_xlpm.v6p&lt;2,"前上",TRUE,"顶部"),
IFERROR(_xlpm.output,""))</f>
        <v>正前</v>
      </c>
      <c r="K42" s="12"/>
      <c r="L42" s="12" t="s">
        <v>27</v>
      </c>
      <c r="M42" s="12"/>
      <c r="N42" s="19" t="str">
        <f>O42+0&amp;","&amp;P42+0</f>
        <v>18,-1</v>
      </c>
      <c r="O42" s="24">
        <v>18</v>
      </c>
      <c r="P42" s="24">
        <v>-1</v>
      </c>
      <c r="Q42" s="19">
        <f t="shared" si="4"/>
        <v>1</v>
      </c>
      <c r="S42" s="9">
        <v>8</v>
      </c>
      <c r="T42" s="19" t="str">
        <f>IF(U42&lt;&gt;"", U42+0&amp;","&amp;V42+0,"")</f>
        <v>1,2</v>
      </c>
      <c r="U42" s="24">
        <v>1</v>
      </c>
      <c r="V42" s="24">
        <v>2</v>
      </c>
      <c r="W42" s="9">
        <v>0</v>
      </c>
      <c r="X42" s="9">
        <v>11</v>
      </c>
      <c r="Y42" s="19" t="str">
        <f t="shared" si="14"/>
        <v>0,0</v>
      </c>
      <c r="AA42" s="19" t="str">
        <f t="shared" si="15"/>
        <v>80,120</v>
      </c>
      <c r="AC42" s="9">
        <v>0.8</v>
      </c>
      <c r="AD42" s="9">
        <v>0.12</v>
      </c>
      <c r="AE42" s="9">
        <v>1</v>
      </c>
      <c r="AF42" s="16"/>
      <c r="AG42" s="16"/>
    </row>
    <row r="43" spans="1:33" x14ac:dyDescent="0.2">
      <c r="A43" s="9">
        <v>1</v>
      </c>
      <c r="B43" s="9" t="str" cm="1">
        <f t="array" ref="B43">D43&amp;_xlfn.TEXTJOIN("",1,TEXT(E43:G43,"00"))</f>
        <v>8020001</v>
      </c>
      <c r="C43" s="30" t="str">
        <f t="shared" si="6"/>
        <v>1,8020001</v>
      </c>
      <c r="D43" s="26">
        <v>8</v>
      </c>
      <c r="E43" s="26">
        <v>2</v>
      </c>
      <c r="F43" s="26">
        <v>0</v>
      </c>
      <c r="G43" s="26">
        <v>1</v>
      </c>
      <c r="H43" s="9">
        <v>201108</v>
      </c>
      <c r="I43" s="15" t="str">
        <f>IFERROR(VLOOKUP(H43,monsters[#All],4,0),"")</f>
        <v>纵火洞穴人</v>
      </c>
      <c r="J43" s="15" t="str" cm="1">
        <f t="array" ref="J43">_xlfn.LET(_xlpm.v6p,ABS(ATAN2(O43,P43))*6/PI(),
_xlpm.output,_xlfn.IFS(_xlpm.v6p&lt;1,"正前",_xlpm.v6p&gt;5,"正后",AND(_xlpm.v6p&lt;5,_xlpm.v6p&gt;2,P43&lt;-1),"脚底",_xlpm.v6p&gt;4,"后上",_xlpm.v6p&lt;2,"前上",TRUE,"顶部"),
IFERROR(_xlpm.output,""))</f>
        <v>正前</v>
      </c>
      <c r="K43" s="12"/>
      <c r="L43" s="12" t="s">
        <v>27</v>
      </c>
      <c r="M43" s="12"/>
      <c r="N43" s="19" t="str">
        <f>O43+0&amp;","&amp;P43+0</f>
        <v>18,-1</v>
      </c>
      <c r="O43" s="24">
        <v>18</v>
      </c>
      <c r="P43" s="24">
        <v>-1</v>
      </c>
      <c r="Q43" s="19">
        <f t="shared" si="4"/>
        <v>1</v>
      </c>
      <c r="S43" s="16" t="s">
        <v>62</v>
      </c>
      <c r="T43" s="19" t="str">
        <f t="shared" ref="T43" si="18">IF(U43&lt;&gt;"", U43+0&amp;","&amp;V43+0,"")</f>
        <v/>
      </c>
      <c r="W43" s="9">
        <v>0</v>
      </c>
      <c r="X43" s="9">
        <v>11</v>
      </c>
      <c r="Y43" s="19" t="str">
        <f t="shared" si="14"/>
        <v>0,0</v>
      </c>
      <c r="AA43" s="19" t="str">
        <f t="shared" si="15"/>
        <v>80,120</v>
      </c>
      <c r="AC43" s="16" t="s">
        <v>62</v>
      </c>
      <c r="AD43" s="16"/>
      <c r="AE43" s="16"/>
      <c r="AF43" s="9">
        <v>3</v>
      </c>
      <c r="AG43" s="9">
        <v>10.199999999999999</v>
      </c>
    </row>
    <row r="44" spans="1:33" x14ac:dyDescent="0.2">
      <c r="A44" s="9">
        <v>1</v>
      </c>
      <c r="B44" s="9" t="str" cm="1">
        <f t="array" ref="B44">D44&amp;_xlfn.TEXTJOIN("",1,TEXT(E44:G44,"00"))</f>
        <v>8020002</v>
      </c>
      <c r="C44" s="30" t="str">
        <f t="shared" si="6"/>
        <v>1,8020002</v>
      </c>
      <c r="D44" s="26">
        <v>8</v>
      </c>
      <c r="E44" s="26">
        <v>2</v>
      </c>
      <c r="F44" s="26">
        <v>0</v>
      </c>
      <c r="G44" s="26">
        <v>2</v>
      </c>
      <c r="H44" s="9">
        <v>201108</v>
      </c>
      <c r="I44" s="15" t="str">
        <f>IFERROR(VLOOKUP(H44,monsters[#All],4,0),"")</f>
        <v>纵火洞穴人</v>
      </c>
      <c r="J44" s="15" t="str" cm="1">
        <f t="array" ref="J44">_xlfn.LET(_xlpm.v6p,ABS(ATAN2(O44,P44))*6/PI(),
_xlpm.output,_xlfn.IFS(_xlpm.v6p&lt;1,"正前",_xlpm.v6p&gt;5,"正后",AND(_xlpm.v6p&lt;5,_xlpm.v6p&gt;2,P44&lt;-1),"脚底",_xlpm.v6p&gt;4,"后上",_xlpm.v6p&lt;2,"前上",TRUE,"顶部"),
IFERROR(_xlpm.output,""))</f>
        <v>正后</v>
      </c>
      <c r="K44" s="12"/>
      <c r="L44" s="12" t="s">
        <v>27</v>
      </c>
      <c r="M44" s="12"/>
      <c r="N44" s="19" t="str">
        <f t="shared" ref="N44" si="19">O44+0&amp;","&amp;P44+0</f>
        <v>-14,-1</v>
      </c>
      <c r="O44" s="24">
        <v>-14</v>
      </c>
      <c r="P44" s="24">
        <v>-1</v>
      </c>
      <c r="Q44" s="19">
        <f t="shared" si="4"/>
        <v>1</v>
      </c>
      <c r="S44" s="16" t="s">
        <v>62</v>
      </c>
      <c r="T44" s="19" t="str">
        <f t="shared" ref="T44" si="20">IF(U44&lt;&gt;"", U44+0&amp;","&amp;V44+0,"")</f>
        <v/>
      </c>
      <c r="W44" s="9">
        <v>0</v>
      </c>
      <c r="X44" s="9">
        <v>11</v>
      </c>
      <c r="Y44" s="19" t="str">
        <f t="shared" si="14"/>
        <v>0,0</v>
      </c>
      <c r="AA44" s="19" t="str">
        <f t="shared" si="15"/>
        <v>80,120</v>
      </c>
      <c r="AC44" s="16" t="s">
        <v>62</v>
      </c>
      <c r="AD44" s="16"/>
      <c r="AE44" s="16"/>
      <c r="AF44" s="9">
        <v>3</v>
      </c>
      <c r="AG44" s="9">
        <v>6.8</v>
      </c>
    </row>
    <row r="45" spans="1:33" x14ac:dyDescent="0.2">
      <c r="C45" s="30" t="str">
        <f t="shared" si="6"/>
        <v/>
      </c>
      <c r="I45" s="15" t="str">
        <f>IFERROR(VLOOKUP(H45,monsters[#All],4,0),"")</f>
        <v/>
      </c>
      <c r="J45" s="15" t="str" cm="1">
        <f t="array" ref="J45">_xlfn.LET(_xlpm.v6p,ABS(ATAN2(O45,P45))*6/PI(),
_xlpm.output,_xlfn.IFS(_xlpm.v6p&lt;1,"正前",_xlpm.v6p&gt;5,"正后",AND(_xlpm.v6p&lt;5,_xlpm.v6p&gt;2,P45&lt;-1),"脚底",_xlpm.v6p&gt;4,"后上",_xlpm.v6p&lt;2,"前上",TRUE,"顶部"),
IFERROR(_xlpm.output,""))</f>
        <v/>
      </c>
      <c r="N45" s="19"/>
      <c r="Q45" s="19" t="str">
        <f t="shared" si="4"/>
        <v/>
      </c>
      <c r="S45" s="9" t="s">
        <v>62</v>
      </c>
      <c r="T45" s="19" t="str">
        <f t="shared" ref="T45" si="21">IF(U45&lt;&gt;"", U45+0&amp;","&amp;V45+0,"")</f>
        <v/>
      </c>
      <c r="Y45" s="19" t="str">
        <f t="shared" si="14"/>
        <v/>
      </c>
      <c r="AA45" s="19" t="str">
        <f t="shared" si="15"/>
        <v/>
      </c>
      <c r="AC45" s="9" t="s">
        <v>62</v>
      </c>
    </row>
    <row r="46" spans="1:33" x14ac:dyDescent="0.2">
      <c r="A46" s="9">
        <v>1</v>
      </c>
      <c r="B46" s="9" t="str" cm="1">
        <f t="array" ref="B46">D46&amp;_xlfn.TEXTJOIN("",1,TEXT(E46:G46,"00"))</f>
        <v>9010000</v>
      </c>
      <c r="C46" s="30" t="str">
        <f t="shared" si="6"/>
        <v>1,9010000</v>
      </c>
      <c r="D46" s="26">
        <v>9</v>
      </c>
      <c r="E46" s="26">
        <v>1</v>
      </c>
      <c r="F46" s="26">
        <v>0</v>
      </c>
      <c r="G46" s="26">
        <v>0</v>
      </c>
      <c r="H46" s="9">
        <v>201109</v>
      </c>
      <c r="I46" s="15" t="str">
        <f>IFERROR(VLOOKUP(H46,monsters[#All],4,0),"")</f>
        <v>暴徒洞穴人</v>
      </c>
      <c r="J46" s="15" t="str" cm="1">
        <f t="array" ref="J46">_xlfn.LET(_xlpm.v6p,ABS(ATAN2(O46,P46))*6/PI(),
_xlpm.output,_xlfn.IFS(_xlpm.v6p&lt;1,"正前",_xlpm.v6p&gt;5,"正后",AND(_xlpm.v6p&lt;5,_xlpm.v6p&gt;2,P46&lt;-1),"脚底",_xlpm.v6p&gt;4,"后上",_xlpm.v6p&lt;2,"前上",TRUE,"顶部"),
IFERROR(_xlpm.output,""))</f>
        <v>正前</v>
      </c>
      <c r="K46" s="12"/>
      <c r="L46" s="12" t="s">
        <v>27</v>
      </c>
      <c r="M46" s="12"/>
      <c r="N46" s="19" t="str">
        <f>O46+0&amp;","&amp;P46+0</f>
        <v>18,-1</v>
      </c>
      <c r="O46" s="24">
        <v>18</v>
      </c>
      <c r="P46" s="24">
        <v>-1</v>
      </c>
      <c r="Q46" s="19">
        <f t="shared" si="4"/>
        <v>1</v>
      </c>
      <c r="S46" s="9">
        <v>28</v>
      </c>
      <c r="T46" s="19" t="str">
        <f>IF(U46&lt;&gt;"", U46+0&amp;","&amp;V46+0,"")</f>
        <v>2,3</v>
      </c>
      <c r="U46" s="24">
        <v>2</v>
      </c>
      <c r="V46" s="24">
        <v>3</v>
      </c>
      <c r="W46" s="9">
        <v>0</v>
      </c>
      <c r="X46" s="9">
        <v>11</v>
      </c>
      <c r="Y46" s="19" t="str">
        <f t="shared" si="14"/>
        <v>0,0</v>
      </c>
      <c r="AA46" s="19" t="str">
        <f t="shared" si="15"/>
        <v>80,120</v>
      </c>
      <c r="AC46" s="9">
        <v>0.6</v>
      </c>
      <c r="AD46" s="9">
        <v>0.08</v>
      </c>
      <c r="AE46" s="9">
        <v>1</v>
      </c>
      <c r="AF46" s="16"/>
      <c r="AG46" s="16"/>
    </row>
    <row r="47" spans="1:33" x14ac:dyDescent="0.2">
      <c r="A47" s="9">
        <v>1</v>
      </c>
      <c r="B47" s="9" t="str" cm="1">
        <f t="array" ref="B47">D47&amp;_xlfn.TEXTJOIN("",1,TEXT(E47:G47,"00"))</f>
        <v>9020001</v>
      </c>
      <c r="C47" s="30" t="str">
        <f t="shared" si="6"/>
        <v>1,9020001</v>
      </c>
      <c r="D47" s="26">
        <v>9</v>
      </c>
      <c r="E47" s="26">
        <v>2</v>
      </c>
      <c r="F47" s="26">
        <v>0</v>
      </c>
      <c r="G47" s="26">
        <v>1</v>
      </c>
      <c r="H47" s="9">
        <v>201109</v>
      </c>
      <c r="I47" s="15" t="str">
        <f>IFERROR(VLOOKUP(H47,monsters[#All],4,0),"")</f>
        <v>暴徒洞穴人</v>
      </c>
      <c r="J47" s="15" t="str" cm="1">
        <f t="array" ref="J47">_xlfn.LET(_xlpm.v6p,ABS(ATAN2(O47,P47))*6/PI(),
_xlpm.output,_xlfn.IFS(_xlpm.v6p&lt;1,"正前",_xlpm.v6p&gt;5,"正后",AND(_xlpm.v6p&lt;5,_xlpm.v6p&gt;2,P47&lt;-1),"脚底",_xlpm.v6p&gt;4,"后上",_xlpm.v6p&lt;2,"前上",TRUE,"顶部"),
IFERROR(_xlpm.output,""))</f>
        <v>正前</v>
      </c>
      <c r="K47" s="12"/>
      <c r="L47" s="12" t="s">
        <v>27</v>
      </c>
      <c r="M47" s="12"/>
      <c r="N47" s="19" t="str">
        <f>O47+0&amp;","&amp;P47+0</f>
        <v>18,-1</v>
      </c>
      <c r="O47" s="24">
        <v>18</v>
      </c>
      <c r="P47" s="24">
        <v>-1</v>
      </c>
      <c r="Q47" s="19">
        <f t="shared" si="4"/>
        <v>1</v>
      </c>
      <c r="S47" s="16" t="s">
        <v>62</v>
      </c>
      <c r="T47" s="19" t="str">
        <f t="shared" ref="T47:T48" si="22">IF(U47&lt;&gt;"", U47+0&amp;","&amp;V47+0,"")</f>
        <v/>
      </c>
      <c r="W47" s="9">
        <v>0</v>
      </c>
      <c r="X47" s="9">
        <v>11</v>
      </c>
      <c r="Y47" s="19" t="str">
        <f t="shared" si="14"/>
        <v>0,0</v>
      </c>
      <c r="AA47" s="19" t="str">
        <f t="shared" si="15"/>
        <v>80,120</v>
      </c>
      <c r="AC47" s="16" t="s">
        <v>62</v>
      </c>
      <c r="AD47" s="16"/>
      <c r="AE47" s="16"/>
      <c r="AF47" s="9">
        <v>2</v>
      </c>
      <c r="AG47" s="9">
        <v>10.199999999999999</v>
      </c>
    </row>
    <row r="48" spans="1:33" x14ac:dyDescent="0.2">
      <c r="A48" s="9">
        <v>1</v>
      </c>
      <c r="B48" s="9" t="str" cm="1">
        <f t="array" ref="B48">D48&amp;_xlfn.TEXTJOIN("",1,TEXT(E48:G48,"00"))</f>
        <v>9020002</v>
      </c>
      <c r="C48" s="30" t="str">
        <f t="shared" si="6"/>
        <v>1,9020002</v>
      </c>
      <c r="D48" s="26">
        <v>9</v>
      </c>
      <c r="E48" s="26">
        <v>2</v>
      </c>
      <c r="F48" s="26">
        <v>0</v>
      </c>
      <c r="G48" s="26">
        <v>2</v>
      </c>
      <c r="H48" s="9">
        <v>201109</v>
      </c>
      <c r="I48" s="15" t="str">
        <f>IFERROR(VLOOKUP(H48,monsters[#All],4,0),"")</f>
        <v>暴徒洞穴人</v>
      </c>
      <c r="J48" s="15" t="str" cm="1">
        <f t="array" ref="J48">_xlfn.LET(_xlpm.v6p,ABS(ATAN2(O48,P48))*6/PI(),
_xlpm.output,_xlfn.IFS(_xlpm.v6p&lt;1,"正前",_xlpm.v6p&gt;5,"正后",AND(_xlpm.v6p&lt;5,_xlpm.v6p&gt;2,P48&lt;-1),"脚底",_xlpm.v6p&gt;4,"后上",_xlpm.v6p&lt;2,"前上",TRUE,"顶部"),
IFERROR(_xlpm.output,""))</f>
        <v>正后</v>
      </c>
      <c r="K48" s="12"/>
      <c r="L48" s="12" t="s">
        <v>27</v>
      </c>
      <c r="M48" s="12"/>
      <c r="N48" s="19" t="str">
        <f t="shared" ref="N48" si="23">O48+0&amp;","&amp;P48+0</f>
        <v>-14,-1</v>
      </c>
      <c r="O48" s="24">
        <v>-14</v>
      </c>
      <c r="P48" s="24">
        <v>-1</v>
      </c>
      <c r="Q48" s="19">
        <f t="shared" si="4"/>
        <v>1</v>
      </c>
      <c r="S48" s="16" t="s">
        <v>62</v>
      </c>
      <c r="T48" s="19" t="str">
        <f t="shared" si="22"/>
        <v/>
      </c>
      <c r="W48" s="9">
        <v>0</v>
      </c>
      <c r="X48" s="9">
        <v>11</v>
      </c>
      <c r="Y48" s="19" t="str">
        <f t="shared" si="14"/>
        <v>0,0</v>
      </c>
      <c r="AA48" s="19" t="str">
        <f t="shared" si="15"/>
        <v>80,120</v>
      </c>
      <c r="AC48" s="16" t="s">
        <v>62</v>
      </c>
      <c r="AD48" s="16"/>
      <c r="AE48" s="16"/>
      <c r="AF48" s="9">
        <v>2</v>
      </c>
      <c r="AG48" s="9">
        <v>6.8</v>
      </c>
    </row>
    <row r="49" spans="1:33" x14ac:dyDescent="0.2">
      <c r="C49" s="30" t="str">
        <f t="shared" si="6"/>
        <v/>
      </c>
      <c r="I49" s="15" t="str">
        <f>IFERROR(VLOOKUP(H49,monsters[#All],4,0),"")</f>
        <v/>
      </c>
      <c r="J49" s="15" t="str" cm="1">
        <f t="array" ref="J49">_xlfn.LET(_xlpm.v6p,ABS(ATAN2(O49,P49))*6/PI(),
_xlpm.output,_xlfn.IFS(_xlpm.v6p&lt;1,"正前",_xlpm.v6p&gt;5,"正后",AND(_xlpm.v6p&lt;5,_xlpm.v6p&gt;2,P49&lt;-1),"脚底",_xlpm.v6p&gt;4,"后上",_xlpm.v6p&lt;2,"前上",TRUE,"顶部"),
IFERROR(_xlpm.output,""))</f>
        <v/>
      </c>
      <c r="K49" s="12"/>
      <c r="L49" s="12"/>
      <c r="M49" s="12"/>
      <c r="N49" s="19"/>
      <c r="Q49" s="19" t="str">
        <f t="shared" si="4"/>
        <v/>
      </c>
      <c r="S49" s="9" t="s">
        <v>62</v>
      </c>
      <c r="T49" s="19" t="str">
        <f t="shared" ref="T49:T65" si="24">IF(U49&lt;&gt;"", U49+0&amp;","&amp;V49+0,"")</f>
        <v/>
      </c>
      <c r="Y49" s="19" t="str">
        <f t="shared" si="14"/>
        <v/>
      </c>
      <c r="AA49" s="19" t="str">
        <f t="shared" si="15"/>
        <v/>
      </c>
      <c r="AC49" s="9" t="s">
        <v>62</v>
      </c>
    </row>
    <row r="50" spans="1:33" x14ac:dyDescent="0.2">
      <c r="A50" s="9">
        <v>99</v>
      </c>
      <c r="B50" s="9">
        <v>99201</v>
      </c>
      <c r="C50" s="30" t="str">
        <f t="shared" si="6"/>
        <v>99,99201</v>
      </c>
      <c r="H50" s="9">
        <v>201103</v>
      </c>
      <c r="I50" s="15" t="str">
        <f>IFERROR(VLOOKUP(H50,monsters[#All],4,0),"")</f>
        <v>跳虫</v>
      </c>
      <c r="J50" s="15" t="str" cm="1">
        <f t="array" ref="J50">_xlfn.LET(_xlpm.v6p,ABS(ATAN2(O50,P50))*6/PI(),
_xlpm.output,_xlfn.IFS(_xlpm.v6p&lt;1,"正前",_xlpm.v6p&gt;5,"正后",AND(_xlpm.v6p&lt;5,_xlpm.v6p&gt;2,P50&lt;-1),"脚底",_xlpm.v6p&gt;4,"后上",_xlpm.v6p&lt;2,"前上",TRUE,"顶部"),
IFERROR(_xlpm.output,""))</f>
        <v>正后</v>
      </c>
      <c r="K50" s="12"/>
      <c r="L50" s="12" t="s">
        <v>27</v>
      </c>
      <c r="M50" s="12"/>
      <c r="N50" s="19" t="str">
        <f t="shared" ref="N50:N51" si="25">O50+0&amp;","&amp;P50+0</f>
        <v>-14,-1</v>
      </c>
      <c r="O50" s="24">
        <v>-14</v>
      </c>
      <c r="P50" s="24">
        <v>-1</v>
      </c>
      <c r="Q50" s="19">
        <f t="shared" si="4"/>
        <v>1</v>
      </c>
      <c r="S50" s="9">
        <v>0</v>
      </c>
      <c r="T50" s="19" t="str">
        <f t="shared" si="24"/>
        <v/>
      </c>
      <c r="W50" s="9">
        <v>0</v>
      </c>
      <c r="X50" s="9">
        <v>11</v>
      </c>
      <c r="Y50" s="19" t="str">
        <f t="shared" si="14"/>
        <v>0,0</v>
      </c>
      <c r="AA50" s="19" t="str">
        <f t="shared" si="15"/>
        <v>80,120</v>
      </c>
      <c r="AC50" s="9">
        <v>0</v>
      </c>
      <c r="AD50" s="9">
        <v>400</v>
      </c>
      <c r="AE50" s="9">
        <v>0</v>
      </c>
      <c r="AF50" s="16"/>
      <c r="AG50" s="16"/>
    </row>
    <row r="51" spans="1:33" x14ac:dyDescent="0.2">
      <c r="A51" s="9">
        <v>99</v>
      </c>
      <c r="B51" s="9">
        <v>99202</v>
      </c>
      <c r="C51" s="30" t="str">
        <f t="shared" si="6"/>
        <v>99,99202</v>
      </c>
      <c r="H51" s="9">
        <v>201103</v>
      </c>
      <c r="I51" s="15" t="str">
        <f>IFERROR(VLOOKUP(H51,monsters[#All],4,0),"")</f>
        <v>跳虫</v>
      </c>
      <c r="J51" s="15" t="str" cm="1">
        <f t="array" ref="J51">_xlfn.LET(_xlpm.v6p,ABS(ATAN2(O51,P51))*6/PI(),
_xlpm.output,_xlfn.IFS(_xlpm.v6p&lt;1,"正前",_xlpm.v6p&gt;5,"正后",AND(_xlpm.v6p&lt;5,_xlpm.v6p&gt;2,P51&lt;-1),"脚底",_xlpm.v6p&gt;4,"后上",_xlpm.v6p&lt;2,"前上",TRUE,"顶部"),
IFERROR(_xlpm.output,""))</f>
        <v>正前</v>
      </c>
      <c r="K51" s="12"/>
      <c r="L51" s="12" t="s">
        <v>27</v>
      </c>
      <c r="M51" s="12"/>
      <c r="N51" s="19" t="str">
        <f t="shared" si="25"/>
        <v>14,-1</v>
      </c>
      <c r="O51" s="24">
        <v>14</v>
      </c>
      <c r="P51" s="24">
        <v>-1</v>
      </c>
      <c r="Q51" s="19">
        <f t="shared" si="4"/>
        <v>1</v>
      </c>
      <c r="S51" s="9">
        <v>2</v>
      </c>
      <c r="T51" s="19" t="str">
        <f t="shared" si="24"/>
        <v/>
      </c>
      <c r="W51" s="9">
        <v>0</v>
      </c>
      <c r="X51" s="9">
        <v>11</v>
      </c>
      <c r="Y51" s="19" t="str">
        <f t="shared" si="14"/>
        <v>0,0</v>
      </c>
      <c r="AA51" s="19" t="str">
        <f t="shared" si="15"/>
        <v>80,120</v>
      </c>
      <c r="AC51" s="9">
        <v>0</v>
      </c>
      <c r="AD51" s="9">
        <v>400</v>
      </c>
      <c r="AE51" s="9">
        <v>0</v>
      </c>
      <c r="AF51" s="16"/>
      <c r="AG51" s="16"/>
    </row>
    <row r="52" spans="1:33" x14ac:dyDescent="0.2">
      <c r="A52" s="9">
        <v>99</v>
      </c>
      <c r="B52" s="9">
        <v>99203</v>
      </c>
      <c r="C52" s="30" t="str">
        <f t="shared" si="6"/>
        <v>99,99203</v>
      </c>
      <c r="H52" s="9">
        <v>201103</v>
      </c>
      <c r="I52" s="15" t="str">
        <f>IFERROR(VLOOKUP(H52,monsters[#All],4,0),"")</f>
        <v>跳虫</v>
      </c>
      <c r="J52" s="15" t="str" cm="1">
        <f t="array" ref="J52">_xlfn.LET(_xlpm.v6p,ABS(ATAN2(O52,P52))*6/PI(),
_xlpm.output,_xlfn.IFS(_xlpm.v6p&lt;1,"正前",_xlpm.v6p&gt;5,"正后",AND(_xlpm.v6p&lt;5,_xlpm.v6p&gt;2,P52&lt;-1),"脚底",_xlpm.v6p&gt;4,"后上",_xlpm.v6p&lt;2,"前上",TRUE,"顶部"),
IFERROR(_xlpm.output,""))</f>
        <v>顶部</v>
      </c>
      <c r="K52" s="12"/>
      <c r="L52" s="12" t="s">
        <v>27</v>
      </c>
      <c r="M52" s="12"/>
      <c r="N52" s="19" t="str">
        <f t="shared" ref="N52" si="26">O52+0&amp;","&amp;P52+0</f>
        <v>3,12</v>
      </c>
      <c r="O52" s="24">
        <v>3</v>
      </c>
      <c r="P52" s="24">
        <v>12</v>
      </c>
      <c r="Q52" s="19">
        <f t="shared" si="4"/>
        <v>1</v>
      </c>
      <c r="S52" s="9">
        <v>2</v>
      </c>
      <c r="T52" s="19" t="str">
        <f t="shared" si="24"/>
        <v/>
      </c>
      <c r="W52" s="9">
        <v>0</v>
      </c>
      <c r="X52" s="9">
        <v>11</v>
      </c>
      <c r="Y52" s="19" t="str">
        <f t="shared" si="14"/>
        <v>0,0</v>
      </c>
      <c r="AA52" s="19" t="str">
        <f t="shared" si="15"/>
        <v>80,120</v>
      </c>
      <c r="AC52" s="9">
        <v>0</v>
      </c>
      <c r="AD52" s="9">
        <v>400</v>
      </c>
      <c r="AE52" s="9">
        <v>0</v>
      </c>
      <c r="AF52" s="16"/>
      <c r="AG52" s="16"/>
    </row>
    <row r="53" spans="1:33" x14ac:dyDescent="0.2">
      <c r="A53" s="9">
        <v>99</v>
      </c>
      <c r="B53" s="9">
        <v>99204</v>
      </c>
      <c r="C53" s="30" t="str">
        <f t="shared" si="6"/>
        <v>99,99204</v>
      </c>
      <c r="H53" s="9">
        <v>201103</v>
      </c>
      <c r="I53" s="15" t="str">
        <f>IFERROR(VLOOKUP(H53,monsters[#All],4,0),"")</f>
        <v>跳虫</v>
      </c>
      <c r="J53" s="15" t="str" cm="1">
        <f t="array" ref="J53">_xlfn.LET(_xlpm.v6p,ABS(ATAN2(O53,P53))*6/PI(),
_xlpm.output,_xlfn.IFS(_xlpm.v6p&lt;1,"正前",_xlpm.v6p&gt;5,"正后",AND(_xlpm.v6p&lt;5,_xlpm.v6p&gt;2,P53&lt;-1),"脚底",_xlpm.v6p&gt;4,"后上",_xlpm.v6p&lt;2,"前上",TRUE,"顶部"),
IFERROR(_xlpm.output,""))</f>
        <v>顶部</v>
      </c>
      <c r="K53" s="12"/>
      <c r="L53" s="12" t="s">
        <v>27</v>
      </c>
      <c r="M53" s="12"/>
      <c r="N53" s="19" t="str">
        <f t="shared" ref="N53" si="27">O53+0&amp;","&amp;P53+0</f>
        <v>-3,12</v>
      </c>
      <c r="O53" s="24">
        <v>-3</v>
      </c>
      <c r="P53" s="24">
        <v>12</v>
      </c>
      <c r="Q53" s="19">
        <f t="shared" si="4"/>
        <v>1</v>
      </c>
      <c r="S53" s="9">
        <v>2</v>
      </c>
      <c r="T53" s="19" t="str">
        <f t="shared" si="24"/>
        <v/>
      </c>
      <c r="W53" s="9">
        <v>0</v>
      </c>
      <c r="X53" s="9">
        <v>11</v>
      </c>
      <c r="Y53" s="19" t="str">
        <f t="shared" si="14"/>
        <v>0,0</v>
      </c>
      <c r="AA53" s="19" t="str">
        <f t="shared" si="15"/>
        <v>80,120</v>
      </c>
      <c r="AC53" s="9">
        <v>0</v>
      </c>
      <c r="AD53" s="9">
        <v>400</v>
      </c>
      <c r="AE53" s="9">
        <v>0</v>
      </c>
      <c r="AF53" s="16"/>
      <c r="AG53" s="16"/>
    </row>
    <row r="54" spans="1:33" x14ac:dyDescent="0.2">
      <c r="C54" s="30" t="str">
        <f t="shared" si="6"/>
        <v/>
      </c>
      <c r="I54" s="15" t="str">
        <f>IFERROR(VLOOKUP(H54,monsters[#All],4,0),"")</f>
        <v/>
      </c>
      <c r="J54" s="15" t="str" cm="1">
        <f t="array" ref="J54">_xlfn.LET(_xlpm.v6p,ABS(ATAN2(O54,P54))*6/PI(),
_xlpm.output,_xlfn.IFS(_xlpm.v6p&lt;1,"正前",_xlpm.v6p&gt;5,"正后",AND(_xlpm.v6p&lt;5,_xlpm.v6p&gt;2,P54&lt;-1),"脚底",_xlpm.v6p&gt;4,"后上",_xlpm.v6p&lt;2,"前上",TRUE,"顶部"),
IFERROR(_xlpm.output,""))</f>
        <v/>
      </c>
      <c r="Q54" s="19" t="str">
        <f t="shared" si="4"/>
        <v/>
      </c>
      <c r="S54" s="9" t="s">
        <v>62</v>
      </c>
      <c r="T54" s="19" t="str">
        <f t="shared" si="24"/>
        <v/>
      </c>
      <c r="Y54" s="19" t="str">
        <f t="shared" si="14"/>
        <v/>
      </c>
      <c r="AA54" s="19" t="str">
        <f t="shared" si="15"/>
        <v/>
      </c>
      <c r="AC54" s="9" t="s">
        <v>62</v>
      </c>
    </row>
    <row r="55" spans="1:33" x14ac:dyDescent="0.2">
      <c r="A55" s="9">
        <v>99</v>
      </c>
      <c r="B55" s="9">
        <v>99001</v>
      </c>
      <c r="C55" s="30" t="str">
        <f t="shared" si="6"/>
        <v>99,99001</v>
      </c>
      <c r="H55" s="9">
        <v>201104</v>
      </c>
      <c r="I55" s="15" t="str">
        <f>IFERROR(VLOOKUP(H55,monsters[#All],4,0),"")</f>
        <v>地宫洞穴人</v>
      </c>
      <c r="J55" s="15" t="str" cm="1">
        <f t="array" ref="J55">_xlfn.LET(_xlpm.v6p,ABS(ATAN2(O55,P55))*6/PI(),
_xlpm.output,_xlfn.IFS(_xlpm.v6p&lt;1,"正前",_xlpm.v6p&gt;5,"正后",AND(_xlpm.v6p&lt;5,_xlpm.v6p&gt;2,P55&lt;-1),"脚底",_xlpm.v6p&gt;4,"后上",_xlpm.v6p&lt;2,"前上",TRUE,"顶部"),
IFERROR(_xlpm.output,""))</f>
        <v>正后</v>
      </c>
      <c r="K55" s="12"/>
      <c r="L55" s="12" t="s">
        <v>27</v>
      </c>
      <c r="M55" s="12"/>
      <c r="N55" s="19" t="str">
        <f t="shared" ref="N55:N58" si="28">O55+0&amp;","&amp;P55+0</f>
        <v>-14,-1</v>
      </c>
      <c r="O55" s="24">
        <v>-14</v>
      </c>
      <c r="P55" s="24">
        <v>-1</v>
      </c>
      <c r="Q55" s="19">
        <f t="shared" si="4"/>
        <v>1</v>
      </c>
      <c r="S55" s="9">
        <v>0</v>
      </c>
      <c r="T55" s="19" t="str">
        <f t="shared" si="24"/>
        <v/>
      </c>
      <c r="W55" s="9">
        <v>0</v>
      </c>
      <c r="X55" s="9">
        <v>11</v>
      </c>
      <c r="Y55" s="19" t="str">
        <f t="shared" si="14"/>
        <v>0,0</v>
      </c>
      <c r="AA55" s="19" t="str">
        <f t="shared" si="15"/>
        <v>80,120</v>
      </c>
      <c r="AC55" s="9">
        <v>0</v>
      </c>
      <c r="AD55" s="9">
        <v>400</v>
      </c>
      <c r="AE55" s="9">
        <v>0</v>
      </c>
      <c r="AF55" s="16"/>
      <c r="AG55" s="16"/>
    </row>
    <row r="56" spans="1:33" x14ac:dyDescent="0.2">
      <c r="A56" s="9">
        <v>99</v>
      </c>
      <c r="B56" s="9">
        <v>99002</v>
      </c>
      <c r="C56" s="30" t="str">
        <f t="shared" si="6"/>
        <v>99,99002</v>
      </c>
      <c r="H56" s="9">
        <v>201104</v>
      </c>
      <c r="I56" s="15" t="str">
        <f>IFERROR(VLOOKUP(H56,monsters[#All],4,0),"")</f>
        <v>地宫洞穴人</v>
      </c>
      <c r="J56" s="15" t="str" cm="1">
        <f t="array" ref="J56">_xlfn.LET(_xlpm.v6p,ABS(ATAN2(O56,P56))*6/PI(),
_xlpm.output,_xlfn.IFS(_xlpm.v6p&lt;1,"正前",_xlpm.v6p&gt;5,"正后",AND(_xlpm.v6p&lt;5,_xlpm.v6p&gt;2,P56&lt;-1),"脚底",_xlpm.v6p&gt;4,"后上",_xlpm.v6p&lt;2,"前上",TRUE,"顶部"),
IFERROR(_xlpm.output,""))</f>
        <v>正前</v>
      </c>
      <c r="K56" s="12"/>
      <c r="L56" s="12" t="s">
        <v>27</v>
      </c>
      <c r="M56" s="12"/>
      <c r="N56" s="19" t="str">
        <f t="shared" si="28"/>
        <v>14,-1</v>
      </c>
      <c r="O56" s="24">
        <v>14</v>
      </c>
      <c r="P56" s="24">
        <v>-1</v>
      </c>
      <c r="Q56" s="19">
        <f t="shared" si="4"/>
        <v>1</v>
      </c>
      <c r="S56" s="9">
        <v>2</v>
      </c>
      <c r="T56" s="19" t="str">
        <f t="shared" si="24"/>
        <v/>
      </c>
      <c r="W56" s="9">
        <v>0</v>
      </c>
      <c r="X56" s="9">
        <v>11</v>
      </c>
      <c r="Y56" s="19" t="str">
        <f t="shared" si="14"/>
        <v>0,0</v>
      </c>
      <c r="AA56" s="19" t="str">
        <f t="shared" si="15"/>
        <v>80,120</v>
      </c>
      <c r="AC56" s="9">
        <v>0</v>
      </c>
      <c r="AD56" s="9">
        <v>400</v>
      </c>
      <c r="AE56" s="9">
        <v>0</v>
      </c>
      <c r="AF56" s="16"/>
      <c r="AG56" s="16"/>
    </row>
    <row r="57" spans="1:33" x14ac:dyDescent="0.2">
      <c r="A57" s="9">
        <v>99</v>
      </c>
      <c r="B57" s="9">
        <v>99003</v>
      </c>
      <c r="C57" s="30" t="str">
        <f t="shared" si="6"/>
        <v>99,99003</v>
      </c>
      <c r="H57" s="9">
        <v>201104</v>
      </c>
      <c r="I57" s="15" t="str">
        <f>IFERROR(VLOOKUP(H57,monsters[#All],4,0),"")</f>
        <v>地宫洞穴人</v>
      </c>
      <c r="J57" s="15" t="str" cm="1">
        <f t="array" ref="J57">_xlfn.LET(_xlpm.v6p,ABS(ATAN2(O57,P57))*6/PI(),
_xlpm.output,_xlfn.IFS(_xlpm.v6p&lt;1,"正前",_xlpm.v6p&gt;5,"正后",AND(_xlpm.v6p&lt;5,_xlpm.v6p&gt;2,P57&lt;-1),"脚底",_xlpm.v6p&gt;4,"后上",_xlpm.v6p&lt;2,"前上",TRUE,"顶部"),
IFERROR(_xlpm.output,""))</f>
        <v>顶部</v>
      </c>
      <c r="K57" s="12"/>
      <c r="L57" s="12" t="s">
        <v>27</v>
      </c>
      <c r="M57" s="12"/>
      <c r="N57" s="19" t="str">
        <f t="shared" si="28"/>
        <v>4,12</v>
      </c>
      <c r="O57" s="24">
        <v>4</v>
      </c>
      <c r="P57" s="24">
        <v>12</v>
      </c>
      <c r="Q57" s="19">
        <f t="shared" si="4"/>
        <v>1</v>
      </c>
      <c r="S57" s="9">
        <v>2</v>
      </c>
      <c r="T57" s="19" t="str">
        <f t="shared" si="24"/>
        <v/>
      </c>
      <c r="W57" s="9">
        <v>0</v>
      </c>
      <c r="X57" s="9">
        <v>11</v>
      </c>
      <c r="Y57" s="19" t="str">
        <f t="shared" si="14"/>
        <v>0,0</v>
      </c>
      <c r="AA57" s="19" t="str">
        <f t="shared" si="15"/>
        <v>80,120</v>
      </c>
      <c r="AC57" s="9">
        <v>0</v>
      </c>
      <c r="AD57" s="9">
        <v>400</v>
      </c>
      <c r="AE57" s="9">
        <v>0</v>
      </c>
      <c r="AF57" s="16"/>
      <c r="AG57" s="16"/>
    </row>
    <row r="58" spans="1:33" x14ac:dyDescent="0.2">
      <c r="A58" s="9">
        <v>99</v>
      </c>
      <c r="B58" s="9">
        <v>99004</v>
      </c>
      <c r="C58" s="30" t="str">
        <f t="shared" si="6"/>
        <v>99,99004</v>
      </c>
      <c r="H58" s="9">
        <v>201104</v>
      </c>
      <c r="I58" s="15" t="str">
        <f>IFERROR(VLOOKUP(H58,monsters[#All],4,0),"")</f>
        <v>地宫洞穴人</v>
      </c>
      <c r="J58" s="15" t="str" cm="1">
        <f t="array" ref="J58">_xlfn.LET(_xlpm.v6p,ABS(ATAN2(O58,P58))*6/PI(),
_xlpm.output,_xlfn.IFS(_xlpm.v6p&lt;1,"正前",_xlpm.v6p&gt;5,"正后",AND(_xlpm.v6p&lt;5,_xlpm.v6p&gt;2,P58&lt;-1),"脚底",_xlpm.v6p&gt;4,"后上",_xlpm.v6p&lt;2,"前上",TRUE,"顶部"),
IFERROR(_xlpm.output,""))</f>
        <v>顶部</v>
      </c>
      <c r="K58" s="12"/>
      <c r="L58" s="12" t="s">
        <v>27</v>
      </c>
      <c r="M58" s="12"/>
      <c r="N58" s="19" t="str">
        <f t="shared" si="28"/>
        <v>-4,12</v>
      </c>
      <c r="O58" s="24">
        <v>-4</v>
      </c>
      <c r="P58" s="24">
        <v>12</v>
      </c>
      <c r="Q58" s="19">
        <f t="shared" si="4"/>
        <v>1</v>
      </c>
      <c r="S58" s="9">
        <v>2</v>
      </c>
      <c r="T58" s="19" t="str">
        <f t="shared" si="24"/>
        <v/>
      </c>
      <c r="W58" s="9">
        <v>0</v>
      </c>
      <c r="X58" s="9">
        <v>11</v>
      </c>
      <c r="Y58" s="19" t="str">
        <f t="shared" si="14"/>
        <v>0,0</v>
      </c>
      <c r="AA58" s="19" t="str">
        <f t="shared" si="15"/>
        <v>80,120</v>
      </c>
      <c r="AC58" s="9">
        <v>0</v>
      </c>
      <c r="AD58" s="9">
        <v>400</v>
      </c>
      <c r="AE58" s="9">
        <v>0</v>
      </c>
      <c r="AF58" s="16"/>
      <c r="AG58" s="16"/>
    </row>
    <row r="59" spans="1:33" x14ac:dyDescent="0.2">
      <c r="C59" s="30" t="str">
        <f t="shared" si="6"/>
        <v/>
      </c>
      <c r="I59" s="15" t="str">
        <f>IFERROR(VLOOKUP(H59,monsters[#All],4,0),"")</f>
        <v/>
      </c>
      <c r="J59" s="15" t="str" cm="1">
        <f t="array" ref="J59">_xlfn.LET(_xlpm.v6p,ABS(ATAN2(O59,P59))*6/PI(),
_xlpm.output,_xlfn.IFS(_xlpm.v6p&lt;1,"正前",_xlpm.v6p&gt;5,"正后",AND(_xlpm.v6p&lt;5,_xlpm.v6p&gt;2,P59&lt;-1),"脚底",_xlpm.v6p&gt;4,"后上",_xlpm.v6p&lt;2,"前上",TRUE,"顶部"),
IFERROR(_xlpm.output,""))</f>
        <v/>
      </c>
      <c r="Q59" s="19" t="str">
        <f t="shared" si="4"/>
        <v/>
      </c>
      <c r="S59" s="9" t="s">
        <v>62</v>
      </c>
      <c r="T59" s="19" t="str">
        <f t="shared" si="24"/>
        <v/>
      </c>
      <c r="Y59" s="19" t="str">
        <f t="shared" si="14"/>
        <v/>
      </c>
      <c r="AA59" s="19" t="str">
        <f t="shared" si="15"/>
        <v/>
      </c>
      <c r="AC59" s="9" t="s">
        <v>62</v>
      </c>
    </row>
    <row r="60" spans="1:33" x14ac:dyDescent="0.2">
      <c r="A60" s="9">
        <v>99</v>
      </c>
      <c r="B60" s="9">
        <v>99101</v>
      </c>
      <c r="C60" s="30" t="str">
        <f t="shared" si="6"/>
        <v>99,99101</v>
      </c>
      <c r="H60" s="9">
        <v>201105</v>
      </c>
      <c r="I60" s="15" t="str">
        <f>IFERROR(VLOOKUP(H60,monsters[#All],4,0),"")</f>
        <v>跳虫骑手</v>
      </c>
      <c r="J60" s="15" t="str" cm="1">
        <f t="array" ref="J60">_xlfn.LET(_xlpm.v6p,ABS(ATAN2(O60,P60))*6/PI(),
_xlpm.output,_xlfn.IFS(_xlpm.v6p&lt;1,"正前",_xlpm.v6p&gt;5,"正后",AND(_xlpm.v6p&lt;5,_xlpm.v6p&gt;2,P60&lt;-1),"脚底",_xlpm.v6p&gt;4,"后上",_xlpm.v6p&lt;2,"前上",TRUE,"顶部"),
IFERROR(_xlpm.output,""))</f>
        <v>正前</v>
      </c>
      <c r="K60" s="12"/>
      <c r="L60" s="12" t="s">
        <v>27</v>
      </c>
      <c r="M60" s="12"/>
      <c r="N60" s="19" t="str">
        <f t="shared" ref="N60:N62" si="29">O60+0&amp;","&amp;P60+0</f>
        <v>14,-1</v>
      </c>
      <c r="O60" s="24">
        <v>14</v>
      </c>
      <c r="P60" s="24">
        <v>-1</v>
      </c>
      <c r="Q60" s="19">
        <f t="shared" si="4"/>
        <v>1</v>
      </c>
      <c r="S60" s="9">
        <v>2</v>
      </c>
      <c r="T60" s="19" t="str">
        <f t="shared" si="24"/>
        <v/>
      </c>
      <c r="W60" s="9">
        <v>0</v>
      </c>
      <c r="X60" s="9">
        <v>11</v>
      </c>
      <c r="Y60" s="19" t="str">
        <f t="shared" si="14"/>
        <v>0,0</v>
      </c>
      <c r="AA60" s="19" t="str">
        <f t="shared" si="15"/>
        <v>80,120</v>
      </c>
      <c r="AC60" s="9">
        <v>0</v>
      </c>
      <c r="AD60" s="9">
        <v>400</v>
      </c>
      <c r="AE60" s="9">
        <v>0</v>
      </c>
      <c r="AF60" s="16"/>
      <c r="AG60" s="16"/>
    </row>
    <row r="61" spans="1:33" x14ac:dyDescent="0.2">
      <c r="A61" s="19">
        <v>99</v>
      </c>
      <c r="B61" s="9">
        <v>99103</v>
      </c>
      <c r="C61" s="30" t="str">
        <f t="shared" si="6"/>
        <v>99,99103</v>
      </c>
      <c r="H61" s="9">
        <v>201105</v>
      </c>
      <c r="I61" s="15" t="str">
        <f>IFERROR(VLOOKUP(H61,monsters[#All],4,0),"")</f>
        <v>跳虫骑手</v>
      </c>
      <c r="J61" s="15" t="str" cm="1">
        <f t="array" ref="J61">_xlfn.LET(_xlpm.v6p,ABS(ATAN2(O61,P61))*6/PI(),
_xlpm.output,_xlfn.IFS(_xlpm.v6p&lt;1,"正前",_xlpm.v6p&gt;5,"正后",AND(_xlpm.v6p&lt;5,_xlpm.v6p&gt;2,P61&lt;-1),"脚底",_xlpm.v6p&gt;4,"后上",_xlpm.v6p&lt;2,"前上",TRUE,"顶部"),
IFERROR(_xlpm.output,""))</f>
        <v>前上</v>
      </c>
      <c r="K61" s="12"/>
      <c r="L61" s="12" t="s">
        <v>27</v>
      </c>
      <c r="M61" s="12"/>
      <c r="N61" s="19" t="str">
        <f t="shared" si="29"/>
        <v>7,12</v>
      </c>
      <c r="O61" s="24">
        <v>7</v>
      </c>
      <c r="P61" s="24">
        <v>12</v>
      </c>
      <c r="Q61" s="19">
        <f t="shared" si="4"/>
        <v>1</v>
      </c>
      <c r="S61" s="9">
        <v>2</v>
      </c>
      <c r="T61" s="19" t="str">
        <f t="shared" si="24"/>
        <v/>
      </c>
      <c r="W61" s="9">
        <v>0</v>
      </c>
      <c r="X61" s="9">
        <v>11</v>
      </c>
      <c r="Y61" s="19" t="str">
        <f t="shared" si="14"/>
        <v>0,0</v>
      </c>
      <c r="AA61" s="19" t="str">
        <f t="shared" si="15"/>
        <v>80,120</v>
      </c>
      <c r="AC61" s="9">
        <v>0</v>
      </c>
      <c r="AD61" s="9">
        <v>400</v>
      </c>
      <c r="AE61" s="9">
        <v>0</v>
      </c>
      <c r="AF61" s="16"/>
      <c r="AG61" s="16"/>
    </row>
    <row r="62" spans="1:33" x14ac:dyDescent="0.2">
      <c r="A62" s="19">
        <v>99</v>
      </c>
      <c r="B62" s="9">
        <v>99104</v>
      </c>
      <c r="C62" s="30" t="str">
        <f t="shared" si="6"/>
        <v>99,99104</v>
      </c>
      <c r="H62" s="9">
        <v>201105</v>
      </c>
      <c r="I62" s="15" t="str">
        <f>IFERROR(VLOOKUP(H62,monsters[#All],4,0),"")</f>
        <v>跳虫骑手</v>
      </c>
      <c r="J62" s="15" t="str" cm="1">
        <f t="array" ref="J62">_xlfn.LET(_xlpm.v6p,ABS(ATAN2(O62,P62))*6/PI(),
_xlpm.output,_xlfn.IFS(_xlpm.v6p&lt;1,"正前",_xlpm.v6p&gt;5,"正后",AND(_xlpm.v6p&lt;5,_xlpm.v6p&gt;2,P62&lt;-1),"脚底",_xlpm.v6p&gt;4,"后上",_xlpm.v6p&lt;2,"前上",TRUE,"顶部"),
IFERROR(_xlpm.output,""))</f>
        <v>后上</v>
      </c>
      <c r="K62" s="12"/>
      <c r="L62" s="12" t="s">
        <v>27</v>
      </c>
      <c r="M62" s="12"/>
      <c r="N62" s="19" t="str">
        <f t="shared" si="29"/>
        <v>-7,12</v>
      </c>
      <c r="O62" s="24">
        <v>-7</v>
      </c>
      <c r="P62" s="24">
        <v>12</v>
      </c>
      <c r="Q62" s="19">
        <f t="shared" si="4"/>
        <v>1</v>
      </c>
      <c r="S62" s="9">
        <v>2</v>
      </c>
      <c r="T62" s="19" t="str">
        <f t="shared" si="24"/>
        <v/>
      </c>
      <c r="W62" s="9">
        <v>0</v>
      </c>
      <c r="X62" s="9">
        <v>11</v>
      </c>
      <c r="Y62" s="19" t="str">
        <f t="shared" si="14"/>
        <v>0,0</v>
      </c>
      <c r="AA62" s="19" t="str">
        <f t="shared" si="15"/>
        <v>80,120</v>
      </c>
      <c r="AC62" s="9">
        <v>0</v>
      </c>
      <c r="AD62" s="9">
        <v>400</v>
      </c>
      <c r="AE62" s="9">
        <v>0</v>
      </c>
      <c r="AF62" s="16"/>
      <c r="AG62" s="16"/>
    </row>
    <row r="63" spans="1:33" x14ac:dyDescent="0.2">
      <c r="C63" s="30" t="str">
        <f t="shared" si="6"/>
        <v/>
      </c>
      <c r="I63" s="15" t="str">
        <f>IFERROR(VLOOKUP(H63,monsters[#All],4,0),"")</f>
        <v/>
      </c>
      <c r="J63" s="15" t="str" cm="1">
        <f t="array" ref="J63">_xlfn.LET(_xlpm.v6p,ABS(ATAN2(O63,P63))*6/PI(),
_xlpm.output,_xlfn.IFS(_xlpm.v6p&lt;1,"正前",_xlpm.v6p&gt;5,"正后",AND(_xlpm.v6p&lt;5,_xlpm.v6p&gt;2,P63&lt;-1),"脚底",_xlpm.v6p&gt;4,"后上",_xlpm.v6p&lt;2,"前上",TRUE,"顶部"),
IFERROR(_xlpm.output,""))</f>
        <v/>
      </c>
      <c r="Q63" s="19" t="str">
        <f t="shared" si="4"/>
        <v/>
      </c>
      <c r="S63" s="9" t="s">
        <v>62</v>
      </c>
      <c r="T63" s="19" t="str">
        <f t="shared" si="24"/>
        <v/>
      </c>
      <c r="Y63" s="19" t="str">
        <f t="shared" si="14"/>
        <v/>
      </c>
      <c r="AA63" s="19" t="str">
        <f t="shared" si="15"/>
        <v/>
      </c>
      <c r="AC63" s="9" t="s">
        <v>62</v>
      </c>
    </row>
    <row r="64" spans="1:33" x14ac:dyDescent="0.2">
      <c r="A64" s="19">
        <v>99</v>
      </c>
      <c r="B64" s="9">
        <v>99301</v>
      </c>
      <c r="C64" s="30" t="str">
        <f t="shared" si="6"/>
        <v>99,99301</v>
      </c>
      <c r="H64" s="9">
        <v>201106</v>
      </c>
      <c r="I64" s="15" t="str">
        <f>IFERROR(VLOOKUP(H64,monsters[#All],4,0),"")</f>
        <v>蝙蝠骑手</v>
      </c>
      <c r="J64" s="15" t="str" cm="1">
        <f t="array" ref="J64">_xlfn.LET(_xlpm.v6p,ABS(ATAN2(O64,P64))*6/PI(),
_xlpm.output,_xlfn.IFS(_xlpm.v6p&lt;1,"正前",_xlpm.v6p&gt;5,"正后",AND(_xlpm.v6p&lt;5,_xlpm.v6p&gt;2,P64&lt;-1),"脚底",_xlpm.v6p&gt;4,"后上",_xlpm.v6p&lt;2,"前上",TRUE,"顶部"),
IFERROR(_xlpm.output,""))</f>
        <v>前上</v>
      </c>
      <c r="K64" s="12"/>
      <c r="L64" s="12" t="s">
        <v>27</v>
      </c>
      <c r="M64" s="12"/>
      <c r="N64" s="19" t="str">
        <f t="shared" ref="N64:N65" si="30">O64+0&amp;","&amp;P64+0</f>
        <v>7,12</v>
      </c>
      <c r="O64" s="24">
        <v>7</v>
      </c>
      <c r="P64" s="24">
        <v>12</v>
      </c>
      <c r="Q64" s="19">
        <f t="shared" si="4"/>
        <v>1</v>
      </c>
      <c r="S64" s="9">
        <v>2</v>
      </c>
      <c r="T64" s="19" t="str">
        <f t="shared" si="24"/>
        <v/>
      </c>
      <c r="W64" s="9">
        <v>0</v>
      </c>
      <c r="X64" s="9">
        <v>11</v>
      </c>
      <c r="Y64" s="19" t="str">
        <f t="shared" si="14"/>
        <v>0,0</v>
      </c>
      <c r="AA64" s="19" t="str">
        <f t="shared" si="15"/>
        <v>80,120</v>
      </c>
      <c r="AC64" s="9">
        <v>0</v>
      </c>
      <c r="AD64" s="9">
        <v>400</v>
      </c>
      <c r="AE64" s="9">
        <v>0</v>
      </c>
      <c r="AF64" s="16"/>
      <c r="AG64" s="16"/>
    </row>
    <row r="65" spans="1:41" x14ac:dyDescent="0.2">
      <c r="A65" s="19">
        <v>99</v>
      </c>
      <c r="B65" s="9">
        <v>33302</v>
      </c>
      <c r="C65" s="30" t="str">
        <f t="shared" si="6"/>
        <v>99,33302</v>
      </c>
      <c r="H65" s="9">
        <v>201106</v>
      </c>
      <c r="I65" s="15" t="str">
        <f>IFERROR(VLOOKUP(H65,monsters[#All],4,0),"")</f>
        <v>蝙蝠骑手</v>
      </c>
      <c r="J65" s="15" t="str" cm="1">
        <f t="array" ref="J65">_xlfn.LET(_xlpm.v6p,ABS(ATAN2(O65,P65))*6/PI(),
_xlpm.output,_xlfn.IFS(_xlpm.v6p&lt;1,"正前",_xlpm.v6p&gt;5,"正后",AND(_xlpm.v6p&lt;5,_xlpm.v6p&gt;2,P65&lt;-1),"脚底",_xlpm.v6p&gt;4,"后上",_xlpm.v6p&lt;2,"前上",TRUE,"顶部"),
IFERROR(_xlpm.output,""))</f>
        <v>后上</v>
      </c>
      <c r="K65" s="12"/>
      <c r="L65" s="12" t="s">
        <v>27</v>
      </c>
      <c r="M65" s="12"/>
      <c r="N65" s="19" t="str">
        <f t="shared" si="30"/>
        <v>-7,12</v>
      </c>
      <c r="O65" s="24">
        <v>-7</v>
      </c>
      <c r="P65" s="24">
        <v>12</v>
      </c>
      <c r="Q65" s="19">
        <f t="shared" si="4"/>
        <v>1</v>
      </c>
      <c r="S65" s="9">
        <v>2</v>
      </c>
      <c r="T65" s="19" t="str">
        <f t="shared" si="24"/>
        <v/>
      </c>
      <c r="W65" s="9">
        <v>0</v>
      </c>
      <c r="X65" s="9">
        <v>11</v>
      </c>
      <c r="Y65" s="19" t="str">
        <f t="shared" si="14"/>
        <v>0,0</v>
      </c>
      <c r="AA65" s="19" t="str">
        <f t="shared" si="15"/>
        <v>80,120</v>
      </c>
      <c r="AC65" s="9">
        <v>0</v>
      </c>
      <c r="AD65" s="9">
        <v>400</v>
      </c>
      <c r="AE65" s="9">
        <v>0</v>
      </c>
      <c r="AF65" s="16"/>
      <c r="AG65" s="16"/>
    </row>
    <row r="66" spans="1:41" x14ac:dyDescent="0.2">
      <c r="C66" s="30" t="str">
        <f t="shared" si="6"/>
        <v/>
      </c>
      <c r="S66" s="9" t="s">
        <v>62</v>
      </c>
      <c r="AC66" s="9" t="s">
        <v>62</v>
      </c>
    </row>
    <row r="67" spans="1:41" s="21" customFormat="1" x14ac:dyDescent="0.2">
      <c r="C67" s="31" t="str">
        <f t="shared" si="6"/>
        <v/>
      </c>
      <c r="D67" s="32"/>
      <c r="E67" s="32"/>
      <c r="F67" s="32"/>
      <c r="G67" s="32"/>
      <c r="I67" s="33"/>
      <c r="J67" s="33"/>
      <c r="O67" s="34"/>
      <c r="P67" s="34"/>
      <c r="R67" s="34"/>
      <c r="S67" s="21" t="s">
        <v>62</v>
      </c>
      <c r="U67" s="34"/>
      <c r="V67" s="34"/>
      <c r="Z67" s="34"/>
      <c r="AB67" s="34"/>
      <c r="AC67" s="21" t="s">
        <v>62</v>
      </c>
      <c r="AI67" s="70"/>
      <c r="AJ67" s="70"/>
      <c r="AK67" s="70"/>
      <c r="AL67" s="70"/>
      <c r="AM67" s="70"/>
      <c r="AN67" s="70"/>
      <c r="AO67" s="70"/>
    </row>
    <row r="68" spans="1:41" x14ac:dyDescent="0.2">
      <c r="C68" s="30" t="str">
        <f t="shared" ref="C68:C83" si="31">_xlfn.TEXTJOIN(",",1,A68:B68)</f>
        <v/>
      </c>
      <c r="S68" s="9" t="s">
        <v>62</v>
      </c>
      <c r="AC68" s="9" t="s">
        <v>62</v>
      </c>
    </row>
    <row r="69" spans="1:41" x14ac:dyDescent="0.2">
      <c r="C69" s="30" t="str">
        <f t="shared" si="31"/>
        <v/>
      </c>
      <c r="S69" s="9" t="s">
        <v>62</v>
      </c>
      <c r="AC69" s="9" t="s">
        <v>62</v>
      </c>
    </row>
    <row r="70" spans="1:41" x14ac:dyDescent="0.2">
      <c r="A70" s="9">
        <v>42011</v>
      </c>
      <c r="B70" s="9" t="str" cm="1">
        <f t="array" ref="B70">D70&amp;_xlfn.TEXTJOIN("",1,TEXT(E70:G70,"00"))</f>
        <v>1010000</v>
      </c>
      <c r="C70" s="30" t="str">
        <f t="shared" si="31"/>
        <v>42011,1010000</v>
      </c>
      <c r="D70" s="26">
        <v>1</v>
      </c>
      <c r="E70" s="26">
        <v>1</v>
      </c>
      <c r="F70" s="26">
        <f>W70</f>
        <v>0</v>
      </c>
      <c r="G70" s="26">
        <v>0</v>
      </c>
      <c r="H70" s="9">
        <v>201101</v>
      </c>
      <c r="I70" s="15" t="str">
        <f>IFERROR(VLOOKUP(H70,monsters[#All],4,0),"")</f>
        <v>地宫蝙蝠</v>
      </c>
      <c r="J70" s="15" t="str" cm="1">
        <f t="array" ref="J70">_xlfn.LET(_xlpm.v6p,ABS(ATAN2(O70,P70))*6/PI(),
_xlpm.output,_xlfn.IFS(_xlpm.v6p&lt;1,"正前",_xlpm.v6p&gt;5,"正后",AND(_xlpm.v6p&lt;5,_xlpm.v6p&gt;2,P70&lt;-1),"脚底",_xlpm.v6p&gt;4,"后上",_xlpm.v6p&lt;2,"前上",TRUE,"顶部"),
IFERROR(_xlpm.output,""))</f>
        <v>前上</v>
      </c>
      <c r="K70" s="12"/>
      <c r="L70" s="12" t="s">
        <v>27</v>
      </c>
      <c r="M70" s="12"/>
      <c r="N70" s="19" t="str">
        <f>O70+0&amp;","&amp;P70+0</f>
        <v>15,10</v>
      </c>
      <c r="O70" s="24">
        <v>15</v>
      </c>
      <c r="P70" s="24">
        <v>10</v>
      </c>
      <c r="Q70" s="19">
        <f t="shared" ref="Q70:Q83" si="32">_xlfn.LET(_xlpm._default,1,
_xlpm._custom,R70,
IF($A70&lt;&gt;"",IF(_xlpm._custom&lt;&gt;"",_xlpm._custom,_xlpm._default),""))</f>
        <v>1</v>
      </c>
      <c r="S70" s="9">
        <v>5</v>
      </c>
      <c r="T70" s="19" t="str">
        <f>IF(U70&lt;&gt;"", U70+0&amp;","&amp;V70+0,"")</f>
        <v>1,2</v>
      </c>
      <c r="U70" s="24">
        <v>1</v>
      </c>
      <c r="V70" s="24">
        <v>2</v>
      </c>
      <c r="W70" s="9">
        <v>0</v>
      </c>
      <c r="X70" s="9">
        <v>11</v>
      </c>
      <c r="Y70" s="19" t="str">
        <f t="shared" ref="Y70:Y82" si="33">IF($A70&lt;&gt;"",IF($Z70&lt;&gt;"",$Z70,"0,0"),"")</f>
        <v>65,70</v>
      </c>
      <c r="Z70" s="24" t="s">
        <v>130</v>
      </c>
      <c r="AA70" s="19" t="str">
        <f t="shared" ref="AA70:AA83" si="34">IF($A70&lt;&gt;"",IF($AB70&lt;&gt;"",$AB70,"80,120"),"")</f>
        <v>80,120</v>
      </c>
      <c r="AC70" s="9">
        <v>2</v>
      </c>
      <c r="AD70" s="9">
        <v>2.5</v>
      </c>
      <c r="AE70" s="9">
        <v>0.3</v>
      </c>
      <c r="AF70" s="9">
        <v>3</v>
      </c>
      <c r="AG70" s="9">
        <v>100</v>
      </c>
    </row>
    <row r="71" spans="1:41" x14ac:dyDescent="0.2">
      <c r="A71" s="9">
        <v>42011</v>
      </c>
      <c r="B71" s="9" t="str" cm="1">
        <f t="array" ref="B71">D71&amp;_xlfn.TEXTJOIN("",1,TEXT(E71:G71,"00"))</f>
        <v>1010100</v>
      </c>
      <c r="C71" s="30" t="str">
        <f t="shared" si="31"/>
        <v>42011,1010100</v>
      </c>
      <c r="D71" s="26">
        <v>1</v>
      </c>
      <c r="E71" s="26">
        <v>1</v>
      </c>
      <c r="F71" s="26">
        <f>W71</f>
        <v>1</v>
      </c>
      <c r="G71" s="26">
        <v>0</v>
      </c>
      <c r="H71" s="9">
        <v>201101</v>
      </c>
      <c r="I71" s="15" t="str">
        <f>IFERROR(VLOOKUP(H71,monsters[#All],4,0),"")</f>
        <v>地宫蝙蝠</v>
      </c>
      <c r="J71" s="15" t="str" cm="1">
        <f t="array" ref="J71">_xlfn.LET(_xlpm.v6p,ABS(ATAN2(O71,P71))*6/PI(),
_xlpm.output,_xlfn.IFS(_xlpm.v6p&lt;1,"正前",_xlpm.v6p&gt;5,"正后",AND(_xlpm.v6p&lt;5,_xlpm.v6p&gt;2,P71&lt;-1),"脚底",_xlpm.v6p&gt;4,"后上",_xlpm.v6p&lt;2,"前上",TRUE,"顶部"),
IFERROR(_xlpm.output,""))</f>
        <v>前上</v>
      </c>
      <c r="K71" s="12"/>
      <c r="L71" s="12" t="s">
        <v>27</v>
      </c>
      <c r="M71" s="12"/>
      <c r="N71" s="19" t="str">
        <f t="shared" ref="N71:N73" si="35">O71+0&amp;","&amp;P71+0</f>
        <v>15,10</v>
      </c>
      <c r="O71" s="24">
        <v>15</v>
      </c>
      <c r="P71" s="24">
        <v>10</v>
      </c>
      <c r="Q71" s="19">
        <f t="shared" si="32"/>
        <v>1</v>
      </c>
      <c r="S71" s="9">
        <v>2</v>
      </c>
      <c r="T71" s="19" t="str">
        <f>IF(U71&lt;&gt;"", U71+0&amp;","&amp;V71+0,"")</f>
        <v>1,2</v>
      </c>
      <c r="U71" s="24">
        <v>1</v>
      </c>
      <c r="V71" s="24">
        <v>2</v>
      </c>
      <c r="W71" s="9">
        <v>1</v>
      </c>
      <c r="X71" s="9">
        <v>11</v>
      </c>
      <c r="Y71" s="19" t="str">
        <f t="shared" si="33"/>
        <v>0,0</v>
      </c>
      <c r="AA71" s="19" t="str">
        <f t="shared" si="34"/>
        <v>80,120</v>
      </c>
      <c r="AC71" s="9">
        <v>2</v>
      </c>
      <c r="AD71" s="9">
        <v>0.5</v>
      </c>
      <c r="AE71" s="9">
        <v>0.3</v>
      </c>
      <c r="AF71" s="9">
        <v>2</v>
      </c>
      <c r="AG71" s="9">
        <v>20</v>
      </c>
    </row>
    <row r="72" spans="1:41" x14ac:dyDescent="0.2">
      <c r="A72" s="9">
        <v>42011</v>
      </c>
      <c r="B72" s="9" t="str" cm="1">
        <f t="array" ref="B72">D72&amp;_xlfn.TEXTJOIN("",1,TEXT(E72:G72,"00"))</f>
        <v>1010200</v>
      </c>
      <c r="C72" s="30" t="str">
        <f t="shared" si="31"/>
        <v>42011,1010200</v>
      </c>
      <c r="D72" s="26">
        <v>1</v>
      </c>
      <c r="E72" s="26">
        <v>1</v>
      </c>
      <c r="F72" s="26">
        <f>W72</f>
        <v>2</v>
      </c>
      <c r="G72" s="26">
        <v>0</v>
      </c>
      <c r="H72" s="9">
        <v>201101</v>
      </c>
      <c r="I72" s="15" t="str">
        <f>IFERROR(VLOOKUP(H72,monsters[#All],4,0),"")</f>
        <v>地宫蝙蝠</v>
      </c>
      <c r="J72" s="15" t="str" cm="1">
        <f t="array" ref="J72">_xlfn.LET(_xlpm.v6p,ABS(ATAN2(O72,P72))*6/PI(),
_xlpm.output,_xlfn.IFS(_xlpm.v6p&lt;1,"正前",_xlpm.v6p&gt;5,"正后",AND(_xlpm.v6p&lt;5,_xlpm.v6p&gt;2,P72&lt;-1),"脚底",_xlpm.v6p&gt;4,"后上",_xlpm.v6p&lt;2,"前上",TRUE,"顶部"),
IFERROR(_xlpm.output,""))</f>
        <v>前上</v>
      </c>
      <c r="K72" s="12"/>
      <c r="L72" s="12" t="s">
        <v>27</v>
      </c>
      <c r="M72" s="12"/>
      <c r="N72" s="19" t="str">
        <f t="shared" si="35"/>
        <v>15,10</v>
      </c>
      <c r="O72" s="24">
        <v>15</v>
      </c>
      <c r="P72" s="24">
        <v>10</v>
      </c>
      <c r="Q72" s="19">
        <f t="shared" si="32"/>
        <v>1</v>
      </c>
      <c r="S72" s="9">
        <v>2</v>
      </c>
      <c r="T72" s="19" t="str">
        <f>IF(U72&lt;&gt;"", U72+0&amp;","&amp;V72+0,"")</f>
        <v>1,2</v>
      </c>
      <c r="U72" s="24">
        <v>1</v>
      </c>
      <c r="V72" s="24">
        <v>2</v>
      </c>
      <c r="W72" s="9">
        <v>2</v>
      </c>
      <c r="X72" s="9">
        <v>11</v>
      </c>
      <c r="Y72" s="19" t="str">
        <f t="shared" si="33"/>
        <v>0,0</v>
      </c>
      <c r="AA72" s="19" t="str">
        <f t="shared" si="34"/>
        <v>80,120</v>
      </c>
      <c r="AC72" s="9">
        <v>2</v>
      </c>
      <c r="AD72" s="9">
        <v>0.5</v>
      </c>
      <c r="AE72" s="9">
        <v>0.3</v>
      </c>
      <c r="AF72" s="9">
        <v>2</v>
      </c>
      <c r="AG72" s="9">
        <v>20</v>
      </c>
    </row>
    <row r="73" spans="1:41" x14ac:dyDescent="0.2">
      <c r="A73" s="9">
        <v>42011</v>
      </c>
      <c r="B73" s="9" t="str" cm="1">
        <f t="array" ref="B73">D73&amp;_xlfn.TEXTJOIN("",1,TEXT(E73:G73,"00"))</f>
        <v>1010300</v>
      </c>
      <c r="C73" s="30" t="str">
        <f t="shared" si="31"/>
        <v>42011,1010300</v>
      </c>
      <c r="D73" s="26">
        <v>1</v>
      </c>
      <c r="E73" s="26">
        <v>1</v>
      </c>
      <c r="F73" s="26">
        <f>W73</f>
        <v>3</v>
      </c>
      <c r="G73" s="26">
        <v>0</v>
      </c>
      <c r="H73" s="9">
        <v>201101</v>
      </c>
      <c r="I73" s="15" t="str">
        <f>IFERROR(VLOOKUP(H73,monsters[#All],4,0),"")</f>
        <v>地宫蝙蝠</v>
      </c>
      <c r="J73" s="15" t="str" cm="1">
        <f t="array" ref="J73">_xlfn.LET(_xlpm.v6p,ABS(ATAN2(O73,P73))*6/PI(),
_xlpm.output,_xlfn.IFS(_xlpm.v6p&lt;1,"正前",_xlpm.v6p&gt;5,"正后",AND(_xlpm.v6p&lt;5,_xlpm.v6p&gt;2,P73&lt;-1),"脚底",_xlpm.v6p&gt;4,"后上",_xlpm.v6p&lt;2,"前上",TRUE,"顶部"),
IFERROR(_xlpm.output,""))</f>
        <v>前上</v>
      </c>
      <c r="K73" s="12"/>
      <c r="L73" s="12" t="s">
        <v>27</v>
      </c>
      <c r="M73" s="12"/>
      <c r="N73" s="19" t="str">
        <f t="shared" si="35"/>
        <v>15,10</v>
      </c>
      <c r="O73" s="24">
        <v>15</v>
      </c>
      <c r="P73" s="24">
        <v>10</v>
      </c>
      <c r="Q73" s="19">
        <f t="shared" si="32"/>
        <v>1</v>
      </c>
      <c r="S73" s="9">
        <v>6</v>
      </c>
      <c r="T73" s="19" t="str">
        <f>IF(U73&lt;&gt;"", U73+0&amp;","&amp;V73+0,"")</f>
        <v>1,2</v>
      </c>
      <c r="U73" s="24">
        <v>1</v>
      </c>
      <c r="V73" s="24">
        <v>2</v>
      </c>
      <c r="W73" s="9">
        <v>3</v>
      </c>
      <c r="X73" s="9">
        <v>11</v>
      </c>
      <c r="Y73" s="19" t="str">
        <f t="shared" si="33"/>
        <v>0,0</v>
      </c>
      <c r="AA73" s="19" t="str">
        <f t="shared" si="34"/>
        <v>80,120</v>
      </c>
      <c r="AC73" s="9">
        <v>12</v>
      </c>
      <c r="AD73" s="9">
        <v>8</v>
      </c>
      <c r="AE73" s="9">
        <v>0.3</v>
      </c>
      <c r="AF73" s="9">
        <v>6</v>
      </c>
      <c r="AG73" s="9">
        <v>200</v>
      </c>
    </row>
    <row r="74" spans="1:41" x14ac:dyDescent="0.2">
      <c r="C74" s="30" t="str">
        <f t="shared" si="31"/>
        <v/>
      </c>
      <c r="I74" s="15" t="str">
        <f>IFERROR(VLOOKUP(H74,monsters[#All],4,0),"")</f>
        <v/>
      </c>
      <c r="J74" s="15" t="str" cm="1">
        <f t="array" ref="J74">_xlfn.LET(_xlpm.v6p,ABS(ATAN2(O74,P74))*6/PI(),
_xlpm.output,_xlfn.IFS(_xlpm.v6p&lt;1,"正前",_xlpm.v6p&gt;5,"正后",AND(_xlpm.v6p&lt;5,_xlpm.v6p&gt;2,P74&lt;-1),"脚底",_xlpm.v6p&gt;4,"后上",_xlpm.v6p&lt;2,"前上",TRUE,"顶部"),
IFERROR(_xlpm.output,""))</f>
        <v/>
      </c>
      <c r="N74" s="19"/>
      <c r="Q74" s="19" t="str">
        <f t="shared" si="32"/>
        <v/>
      </c>
      <c r="S74" s="9" t="s">
        <v>62</v>
      </c>
      <c r="T74" s="19" t="str">
        <f t="shared" ref="T74" si="36">IF(U74&lt;&gt;"", U74+0&amp;","&amp;V74+0,"")</f>
        <v/>
      </c>
      <c r="Y74" s="19" t="str">
        <f t="shared" si="33"/>
        <v/>
      </c>
      <c r="AA74" s="19" t="str">
        <f t="shared" si="34"/>
        <v/>
      </c>
      <c r="AC74" s="9" t="s">
        <v>62</v>
      </c>
    </row>
    <row r="75" spans="1:41" x14ac:dyDescent="0.2">
      <c r="A75" s="9">
        <v>42011</v>
      </c>
      <c r="B75" s="9" t="str" cm="1">
        <f t="array" ref="B75">D75&amp;_xlfn.TEXTJOIN("",1,TEXT(E75:G75,"00"))</f>
        <v>1020000</v>
      </c>
      <c r="C75" s="30" t="str">
        <f t="shared" si="31"/>
        <v>42011,1020000</v>
      </c>
      <c r="D75" s="26">
        <v>1</v>
      </c>
      <c r="E75" s="26">
        <v>2</v>
      </c>
      <c r="F75" s="26">
        <f>W75</f>
        <v>0</v>
      </c>
      <c r="G75" s="26">
        <v>0</v>
      </c>
      <c r="H75" s="9">
        <v>201101</v>
      </c>
      <c r="I75" s="15" t="str">
        <f>IFERROR(VLOOKUP(H75,monsters[#All],4,0),"")</f>
        <v>地宫蝙蝠</v>
      </c>
      <c r="J75" s="15" t="str" cm="1">
        <f t="array" ref="J75">_xlfn.LET(_xlpm.v6p,ABS(ATAN2(O75,P75))*6/PI(),
_xlpm.output,_xlfn.IFS(_xlpm.v6p&lt;1,"正前",_xlpm.v6p&gt;5,"正后",AND(_xlpm.v6p&lt;5,_xlpm.v6p&gt;2,P75&lt;-1),"脚底",_xlpm.v6p&gt;4,"后上",_xlpm.v6p&lt;2,"前上",TRUE,"顶部"),
IFERROR(_xlpm.output,""))</f>
        <v>后上</v>
      </c>
      <c r="K75" s="12"/>
      <c r="L75" s="12" t="s">
        <v>27</v>
      </c>
      <c r="M75" s="12"/>
      <c r="N75" s="19" t="str">
        <f t="shared" ref="N75:N78" si="37">O75+0&amp;","&amp;P75+0</f>
        <v>-15,10</v>
      </c>
      <c r="O75" s="24">
        <v>-15</v>
      </c>
      <c r="P75" s="24">
        <v>10</v>
      </c>
      <c r="Q75" s="19">
        <f t="shared" si="32"/>
        <v>1</v>
      </c>
      <c r="S75" s="9">
        <v>7</v>
      </c>
      <c r="T75" s="19" t="str">
        <f>IF(U75&lt;&gt;"", U75+0&amp;","&amp;V75+0,"")</f>
        <v>1,2</v>
      </c>
      <c r="U75" s="24">
        <v>1</v>
      </c>
      <c r="V75" s="24">
        <v>2</v>
      </c>
      <c r="W75" s="9">
        <v>0</v>
      </c>
      <c r="X75" s="9">
        <v>11</v>
      </c>
      <c r="Y75" s="19" t="str">
        <f t="shared" si="33"/>
        <v>35,40</v>
      </c>
      <c r="Z75" s="24" t="s">
        <v>131</v>
      </c>
      <c r="AA75" s="19" t="str">
        <f t="shared" si="34"/>
        <v>80,120</v>
      </c>
      <c r="AC75" s="9">
        <v>2</v>
      </c>
      <c r="AD75" s="9">
        <v>2</v>
      </c>
      <c r="AE75" s="9">
        <v>0.3</v>
      </c>
      <c r="AF75" s="9">
        <v>4</v>
      </c>
      <c r="AG75" s="9">
        <v>100</v>
      </c>
    </row>
    <row r="76" spans="1:41" x14ac:dyDescent="0.2">
      <c r="A76" s="9">
        <v>42011</v>
      </c>
      <c r="B76" s="9" t="str" cm="1">
        <f t="array" ref="B76">D76&amp;_xlfn.TEXTJOIN("",1,TEXT(E76:G76,"00"))</f>
        <v>1020100</v>
      </c>
      <c r="C76" s="30" t="str">
        <f t="shared" si="31"/>
        <v>42011,1020100</v>
      </c>
      <c r="D76" s="26">
        <v>1</v>
      </c>
      <c r="E76" s="26">
        <v>2</v>
      </c>
      <c r="F76" s="26">
        <f>W76</f>
        <v>1</v>
      </c>
      <c r="G76" s="26">
        <v>0</v>
      </c>
      <c r="H76" s="9">
        <v>201101</v>
      </c>
      <c r="I76" s="15" t="str">
        <f>IFERROR(VLOOKUP(H76,monsters[#All],4,0),"")</f>
        <v>地宫蝙蝠</v>
      </c>
      <c r="J76" s="15" t="str" cm="1">
        <f t="array" ref="J76">_xlfn.LET(_xlpm.v6p,ABS(ATAN2(O76,P76))*6/PI(),
_xlpm.output,_xlfn.IFS(_xlpm.v6p&lt;1,"正前",_xlpm.v6p&gt;5,"正后",AND(_xlpm.v6p&lt;5,_xlpm.v6p&gt;2,P76&lt;-1),"脚底",_xlpm.v6p&gt;4,"后上",_xlpm.v6p&lt;2,"前上",TRUE,"顶部"),
IFERROR(_xlpm.output,""))</f>
        <v>后上</v>
      </c>
      <c r="K76" s="12"/>
      <c r="L76" s="12" t="s">
        <v>27</v>
      </c>
      <c r="M76" s="12"/>
      <c r="N76" s="19" t="str">
        <f t="shared" si="37"/>
        <v>-15,10</v>
      </c>
      <c r="O76" s="24">
        <v>-15</v>
      </c>
      <c r="P76" s="24">
        <v>10</v>
      </c>
      <c r="Q76" s="19">
        <f t="shared" si="32"/>
        <v>1</v>
      </c>
      <c r="S76" s="9">
        <v>2</v>
      </c>
      <c r="T76" s="19" t="str">
        <f>IF(U76&lt;&gt;"", U76+0&amp;","&amp;V76+0,"")</f>
        <v>1,2</v>
      </c>
      <c r="U76" s="24">
        <v>1</v>
      </c>
      <c r="V76" s="24">
        <v>2</v>
      </c>
      <c r="W76" s="9">
        <v>1</v>
      </c>
      <c r="X76" s="9">
        <v>11</v>
      </c>
      <c r="Y76" s="19" t="str">
        <f t="shared" si="33"/>
        <v>0,0</v>
      </c>
      <c r="AA76" s="19" t="str">
        <f t="shared" si="34"/>
        <v>80,120</v>
      </c>
      <c r="AC76" s="9">
        <v>2</v>
      </c>
      <c r="AD76" s="9">
        <v>0.5</v>
      </c>
      <c r="AE76" s="9">
        <v>0.3</v>
      </c>
      <c r="AF76" s="9">
        <v>2</v>
      </c>
      <c r="AG76" s="9">
        <v>20</v>
      </c>
    </row>
    <row r="77" spans="1:41" x14ac:dyDescent="0.2">
      <c r="A77" s="9">
        <v>42011</v>
      </c>
      <c r="B77" s="9" t="str" cm="1">
        <f t="array" ref="B77">D77&amp;_xlfn.TEXTJOIN("",1,TEXT(E77:G77,"00"))</f>
        <v>1020200</v>
      </c>
      <c r="C77" s="30" t="str">
        <f t="shared" si="31"/>
        <v>42011,1020200</v>
      </c>
      <c r="D77" s="26">
        <v>1</v>
      </c>
      <c r="E77" s="26">
        <v>2</v>
      </c>
      <c r="F77" s="26">
        <f>W77</f>
        <v>2</v>
      </c>
      <c r="G77" s="26">
        <v>0</v>
      </c>
      <c r="H77" s="9">
        <v>201101</v>
      </c>
      <c r="I77" s="15" t="str">
        <f>IFERROR(VLOOKUP(H77,monsters[#All],4,0),"")</f>
        <v>地宫蝙蝠</v>
      </c>
      <c r="J77" s="15" t="str" cm="1">
        <f t="array" ref="J77">_xlfn.LET(_xlpm.v6p,ABS(ATAN2(O77,P77))*6/PI(),
_xlpm.output,_xlfn.IFS(_xlpm.v6p&lt;1,"正前",_xlpm.v6p&gt;5,"正后",AND(_xlpm.v6p&lt;5,_xlpm.v6p&gt;2,P77&lt;-1),"脚底",_xlpm.v6p&gt;4,"后上",_xlpm.v6p&lt;2,"前上",TRUE,"顶部"),
IFERROR(_xlpm.output,""))</f>
        <v>后上</v>
      </c>
      <c r="K77" s="12"/>
      <c r="L77" s="12" t="s">
        <v>27</v>
      </c>
      <c r="M77" s="12"/>
      <c r="N77" s="19" t="str">
        <f t="shared" si="37"/>
        <v>-15,10</v>
      </c>
      <c r="O77" s="24">
        <v>-15</v>
      </c>
      <c r="P77" s="24">
        <v>10</v>
      </c>
      <c r="Q77" s="19">
        <f t="shared" si="32"/>
        <v>1</v>
      </c>
      <c r="S77" s="9">
        <v>10</v>
      </c>
      <c r="T77" s="19" t="str">
        <f>IF(U77&lt;&gt;"", U77+0&amp;","&amp;V77+0,"")</f>
        <v>1,2</v>
      </c>
      <c r="U77" s="24">
        <v>1</v>
      </c>
      <c r="V77" s="24">
        <v>2</v>
      </c>
      <c r="W77" s="9">
        <v>2</v>
      </c>
      <c r="X77" s="9">
        <v>11</v>
      </c>
      <c r="Y77" s="19" t="str">
        <f t="shared" si="33"/>
        <v>0,0</v>
      </c>
      <c r="AA77" s="19" t="str">
        <f t="shared" si="34"/>
        <v>80,120</v>
      </c>
      <c r="AC77" s="9">
        <v>2</v>
      </c>
      <c r="AD77" s="9">
        <v>0.5</v>
      </c>
      <c r="AE77" s="9">
        <v>0.3</v>
      </c>
      <c r="AF77" s="9">
        <v>2</v>
      </c>
      <c r="AG77" s="9">
        <v>20</v>
      </c>
    </row>
    <row r="78" spans="1:41" x14ac:dyDescent="0.2">
      <c r="A78" s="9">
        <v>42011</v>
      </c>
      <c r="B78" s="9" t="str" cm="1">
        <f t="array" ref="B78">D78&amp;_xlfn.TEXTJOIN("",1,TEXT(E78:G78,"00"))</f>
        <v>1020300</v>
      </c>
      <c r="C78" s="30" t="str">
        <f t="shared" si="31"/>
        <v>42011,1020300</v>
      </c>
      <c r="D78" s="26">
        <v>1</v>
      </c>
      <c r="E78" s="26">
        <v>2</v>
      </c>
      <c r="F78" s="26">
        <f>W78</f>
        <v>3</v>
      </c>
      <c r="G78" s="26">
        <v>0</v>
      </c>
      <c r="H78" s="9">
        <v>201101</v>
      </c>
      <c r="I78" s="15" t="str">
        <f>IFERROR(VLOOKUP(H78,monsters[#All],4,0),"")</f>
        <v>地宫蝙蝠</v>
      </c>
      <c r="J78" s="15" t="str" cm="1">
        <f t="array" ref="J78">_xlfn.LET(_xlpm.v6p,ABS(ATAN2(O78,P78))*6/PI(),
_xlpm.output,_xlfn.IFS(_xlpm.v6p&lt;1,"正前",_xlpm.v6p&gt;5,"正后",AND(_xlpm.v6p&lt;5,_xlpm.v6p&gt;2,P78&lt;-1),"脚底",_xlpm.v6p&gt;4,"后上",_xlpm.v6p&lt;2,"前上",TRUE,"顶部"),
IFERROR(_xlpm.output,""))</f>
        <v>后上</v>
      </c>
      <c r="K78" s="12"/>
      <c r="L78" s="12" t="s">
        <v>27</v>
      </c>
      <c r="M78" s="12"/>
      <c r="N78" s="19" t="str">
        <f t="shared" si="37"/>
        <v>-15,10</v>
      </c>
      <c r="O78" s="24">
        <v>-15</v>
      </c>
      <c r="P78" s="24">
        <v>10</v>
      </c>
      <c r="Q78" s="19">
        <f t="shared" si="32"/>
        <v>1</v>
      </c>
      <c r="S78" s="9">
        <v>10</v>
      </c>
      <c r="T78" s="19" t="str">
        <f>IF(U78&lt;&gt;"", U78+0&amp;","&amp;V78+0,"")</f>
        <v>1,2</v>
      </c>
      <c r="U78" s="24">
        <v>1</v>
      </c>
      <c r="V78" s="24">
        <v>2</v>
      </c>
      <c r="W78" s="9">
        <v>3</v>
      </c>
      <c r="X78" s="9">
        <v>11</v>
      </c>
      <c r="Y78" s="19" t="str">
        <f t="shared" si="33"/>
        <v>0,0</v>
      </c>
      <c r="AA78" s="19" t="str">
        <f t="shared" si="34"/>
        <v>80,120</v>
      </c>
      <c r="AC78" s="9">
        <v>40</v>
      </c>
      <c r="AD78" s="9">
        <v>6</v>
      </c>
      <c r="AE78" s="9">
        <v>0.3</v>
      </c>
      <c r="AF78" s="9">
        <v>6</v>
      </c>
      <c r="AG78" s="9">
        <v>200</v>
      </c>
    </row>
    <row r="79" spans="1:41" x14ac:dyDescent="0.2">
      <c r="C79" s="30" t="str">
        <f t="shared" si="31"/>
        <v/>
      </c>
      <c r="I79" s="15" t="str">
        <f>IFERROR(VLOOKUP(H79,monsters[#All],4,0),"")</f>
        <v/>
      </c>
      <c r="J79" s="15" t="str" cm="1">
        <f t="array" ref="J79">_xlfn.LET(_xlpm.v6p,ABS(ATAN2(O79,P79))*6/PI(),
_xlpm.output,_xlfn.IFS(_xlpm.v6p&lt;1,"正前",_xlpm.v6p&gt;5,"正后",AND(_xlpm.v6p&lt;5,_xlpm.v6p&gt;2,P79&lt;-1),"脚底",_xlpm.v6p&gt;4,"后上",_xlpm.v6p&lt;2,"前上",TRUE,"顶部"),
IFERROR(_xlpm.output,""))</f>
        <v/>
      </c>
      <c r="K79" s="12"/>
      <c r="L79" s="12"/>
      <c r="M79" s="12"/>
      <c r="N79" s="19"/>
      <c r="Q79" s="19" t="str">
        <f t="shared" si="32"/>
        <v/>
      </c>
      <c r="S79" s="9" t="s">
        <v>62</v>
      </c>
      <c r="T79" s="19" t="str">
        <f t="shared" ref="T79" si="38">IF(U79&lt;&gt;"", U79+0&amp;","&amp;V79+0,"")</f>
        <v/>
      </c>
      <c r="Y79" s="19" t="str">
        <f t="shared" si="33"/>
        <v/>
      </c>
      <c r="AA79" s="19" t="str">
        <f t="shared" si="34"/>
        <v/>
      </c>
      <c r="AC79" s="9" t="s">
        <v>62</v>
      </c>
    </row>
    <row r="80" spans="1:41" x14ac:dyDescent="0.2">
      <c r="A80" s="9">
        <v>42011</v>
      </c>
      <c r="B80" s="9" t="str" cm="1">
        <f t="array" ref="B80">D80&amp;_xlfn.TEXTJOIN("",1,TEXT(E80:G80,"00"))</f>
        <v>4010000</v>
      </c>
      <c r="C80" s="30" t="str">
        <f t="shared" si="31"/>
        <v>42011,4010000</v>
      </c>
      <c r="D80" s="26">
        <v>4</v>
      </c>
      <c r="E80" s="26">
        <v>1</v>
      </c>
      <c r="F80" s="26">
        <v>0</v>
      </c>
      <c r="G80" s="26">
        <v>0</v>
      </c>
      <c r="H80" s="9">
        <v>201107</v>
      </c>
      <c r="I80" s="15" t="str">
        <f>IFERROR(VLOOKUP(H80,monsters[#All],4,0),"")</f>
        <v>流浪洞穴人</v>
      </c>
      <c r="J80" s="15" t="str" cm="1">
        <f t="array" ref="J80">_xlfn.LET(_xlpm.v6p,ABS(ATAN2(O80,P80))*6/PI(),
_xlpm.output,_xlfn.IFS(_xlpm.v6p&lt;1,"正前",_xlpm.v6p&gt;5,"正后",AND(_xlpm.v6p&lt;5,_xlpm.v6p&gt;2,P80&lt;-1),"脚底",_xlpm.v6p&gt;4,"后上",_xlpm.v6p&lt;2,"前上",TRUE,"顶部"),
IFERROR(_xlpm.output,""))</f>
        <v>正前</v>
      </c>
      <c r="K80" s="12"/>
      <c r="L80" s="12" t="s">
        <v>27</v>
      </c>
      <c r="M80" s="12"/>
      <c r="N80" s="19" t="str">
        <f>O80+0&amp;","&amp;P80+0</f>
        <v>18,-1</v>
      </c>
      <c r="O80" s="24">
        <v>18</v>
      </c>
      <c r="P80" s="24">
        <v>-1</v>
      </c>
      <c r="Q80" s="19">
        <f t="shared" si="32"/>
        <v>1</v>
      </c>
      <c r="S80" s="9">
        <v>3</v>
      </c>
      <c r="T80" s="19" t="str">
        <f t="shared" ref="T80:T82" si="39">IF(U80&lt;&gt;"", U80+0&amp;","&amp;V80+0,"")</f>
        <v>1,2</v>
      </c>
      <c r="U80" s="24">
        <v>1</v>
      </c>
      <c r="V80" s="24">
        <v>2</v>
      </c>
      <c r="W80" s="9">
        <v>0</v>
      </c>
      <c r="X80" s="9">
        <v>11</v>
      </c>
      <c r="Y80" s="19" t="str">
        <f t="shared" si="33"/>
        <v>0,0</v>
      </c>
      <c r="AA80" s="19" t="str">
        <f t="shared" si="34"/>
        <v>80,120</v>
      </c>
      <c r="AC80" s="9">
        <v>0.8</v>
      </c>
      <c r="AD80" s="9">
        <v>1.5</v>
      </c>
      <c r="AE80" s="9">
        <v>0.6</v>
      </c>
      <c r="AF80" s="16"/>
      <c r="AG80" s="16"/>
    </row>
    <row r="81" spans="1:41" x14ac:dyDescent="0.2">
      <c r="A81" s="9">
        <v>42011</v>
      </c>
      <c r="B81" s="9" t="str" cm="1">
        <f t="array" ref="B81">D81&amp;_xlfn.TEXTJOIN("",1,TEXT(E81:G81,"00"))</f>
        <v>4020001</v>
      </c>
      <c r="C81" s="30" t="str">
        <f t="shared" si="31"/>
        <v>42011,4020001</v>
      </c>
      <c r="D81" s="26">
        <v>4</v>
      </c>
      <c r="E81" s="26">
        <v>2</v>
      </c>
      <c r="F81" s="26">
        <v>0</v>
      </c>
      <c r="G81" s="26">
        <v>1</v>
      </c>
      <c r="H81" s="9">
        <v>201107</v>
      </c>
      <c r="I81" s="15" t="str">
        <f>IFERROR(VLOOKUP(H81,monsters[#All],4,0),"")</f>
        <v>流浪洞穴人</v>
      </c>
      <c r="J81" s="15" t="str" cm="1">
        <f t="array" ref="J81">_xlfn.LET(_xlpm.v6p,ABS(ATAN2(O81,P81))*6/PI(),
_xlpm.output,_xlfn.IFS(_xlpm.v6p&lt;1,"正前",_xlpm.v6p&gt;5,"正后",AND(_xlpm.v6p&lt;5,_xlpm.v6p&gt;2,P81&lt;-1),"脚底",_xlpm.v6p&gt;4,"后上",_xlpm.v6p&lt;2,"前上",TRUE,"顶部"),
IFERROR(_xlpm.output,""))</f>
        <v>正前</v>
      </c>
      <c r="K81" s="12"/>
      <c r="L81" s="12" t="s">
        <v>27</v>
      </c>
      <c r="M81" s="12"/>
      <c r="N81" s="19" t="str">
        <f>O81+0&amp;","&amp;P81+0</f>
        <v>18,-1</v>
      </c>
      <c r="O81" s="24">
        <v>18</v>
      </c>
      <c r="P81" s="24">
        <v>-1</v>
      </c>
      <c r="Q81" s="19">
        <f t="shared" si="32"/>
        <v>1</v>
      </c>
      <c r="S81" s="16" t="s">
        <v>62</v>
      </c>
      <c r="T81" s="19" t="str">
        <f t="shared" si="39"/>
        <v/>
      </c>
      <c r="W81" s="9">
        <v>0</v>
      </c>
      <c r="X81" s="9">
        <v>11</v>
      </c>
      <c r="Y81" s="19" t="str">
        <f t="shared" si="33"/>
        <v>0,0</v>
      </c>
      <c r="AA81" s="19" t="str">
        <f t="shared" si="34"/>
        <v>80,120</v>
      </c>
      <c r="AC81" s="16" t="s">
        <v>62</v>
      </c>
      <c r="AD81" s="16"/>
      <c r="AE81" s="9">
        <v>0.6</v>
      </c>
      <c r="AF81" s="9">
        <v>2</v>
      </c>
      <c r="AG81" s="9">
        <v>10.199999999999999</v>
      </c>
    </row>
    <row r="82" spans="1:41" x14ac:dyDescent="0.2">
      <c r="A82" s="9">
        <v>42011</v>
      </c>
      <c r="B82" s="9" t="str" cm="1">
        <f t="array" ref="B82">D82&amp;_xlfn.TEXTJOIN("",1,TEXT(E82:G82,"00"))</f>
        <v>4020002</v>
      </c>
      <c r="C82" s="30" t="str">
        <f t="shared" si="31"/>
        <v>42011,4020002</v>
      </c>
      <c r="D82" s="26">
        <v>4</v>
      </c>
      <c r="E82" s="26">
        <v>2</v>
      </c>
      <c r="F82" s="26">
        <v>0</v>
      </c>
      <c r="G82" s="26">
        <v>2</v>
      </c>
      <c r="H82" s="9">
        <v>201107</v>
      </c>
      <c r="I82" s="15" t="str">
        <f>IFERROR(VLOOKUP(H82,monsters[#All],4,0),"")</f>
        <v>流浪洞穴人</v>
      </c>
      <c r="J82" s="15" t="str" cm="1">
        <f t="array" ref="J82">_xlfn.LET(_xlpm.v6p,ABS(ATAN2(O82,P82))*6/PI(),
_xlpm.output,_xlfn.IFS(_xlpm.v6p&lt;1,"正前",_xlpm.v6p&gt;5,"正后",AND(_xlpm.v6p&lt;5,_xlpm.v6p&gt;2,P82&lt;-1),"脚底",_xlpm.v6p&gt;4,"后上",_xlpm.v6p&lt;2,"前上",TRUE,"顶部"),
IFERROR(_xlpm.output,""))</f>
        <v>正后</v>
      </c>
      <c r="K82" s="12"/>
      <c r="L82" s="12" t="s">
        <v>27</v>
      </c>
      <c r="M82" s="12"/>
      <c r="N82" s="19" t="str">
        <f t="shared" ref="N82" si="40">O82+0&amp;","&amp;P82+0</f>
        <v>-14,-1</v>
      </c>
      <c r="O82" s="24">
        <v>-14</v>
      </c>
      <c r="P82" s="24">
        <v>-1</v>
      </c>
      <c r="Q82" s="19">
        <f t="shared" si="32"/>
        <v>1</v>
      </c>
      <c r="S82" s="16" t="s">
        <v>62</v>
      </c>
      <c r="T82" s="19" t="str">
        <f t="shared" si="39"/>
        <v/>
      </c>
      <c r="W82" s="9">
        <v>0</v>
      </c>
      <c r="X82" s="9">
        <v>11</v>
      </c>
      <c r="Y82" s="19" t="str">
        <f t="shared" si="33"/>
        <v>0,0</v>
      </c>
      <c r="AA82" s="19" t="str">
        <f t="shared" si="34"/>
        <v>80,120</v>
      </c>
      <c r="AC82" s="16" t="s">
        <v>62</v>
      </c>
      <c r="AD82" s="16"/>
      <c r="AE82" s="9">
        <v>0.6</v>
      </c>
      <c r="AF82" s="9">
        <v>2</v>
      </c>
      <c r="AG82" s="9">
        <v>6.8</v>
      </c>
    </row>
    <row r="83" spans="1:41" x14ac:dyDescent="0.2">
      <c r="C83" s="30" t="str">
        <f t="shared" si="31"/>
        <v/>
      </c>
      <c r="Q83" s="19" t="str">
        <f t="shared" si="32"/>
        <v/>
      </c>
      <c r="S83" s="9" t="s">
        <v>62</v>
      </c>
      <c r="T83" s="19" t="str">
        <f>IF(U83&lt;&gt;"", U83+0&amp;","&amp;V83+0,"")</f>
        <v/>
      </c>
      <c r="Y83" s="19" t="str">
        <f>IF($A83&lt;&gt;"","0,0","")</f>
        <v/>
      </c>
      <c r="AA83" s="19" t="str">
        <f t="shared" si="34"/>
        <v/>
      </c>
      <c r="AC83" s="9" t="s">
        <v>62</v>
      </c>
    </row>
    <row r="84" spans="1:41" x14ac:dyDescent="0.2">
      <c r="S84" s="9" t="s">
        <v>62</v>
      </c>
      <c r="AC84" s="9" t="s">
        <v>62</v>
      </c>
    </row>
    <row r="85" spans="1:41" s="35" customFormat="1" x14ac:dyDescent="0.2">
      <c r="C85" s="36"/>
      <c r="D85" s="37"/>
      <c r="E85" s="37"/>
      <c r="F85" s="37"/>
      <c r="G85" s="37"/>
      <c r="I85" s="38"/>
      <c r="J85" s="38"/>
      <c r="O85" s="39"/>
      <c r="P85" s="39"/>
      <c r="R85" s="39"/>
      <c r="S85" s="35" t="s">
        <v>62</v>
      </c>
      <c r="U85" s="39"/>
      <c r="V85" s="39"/>
      <c r="Z85" s="39"/>
      <c r="AB85" s="39"/>
      <c r="AC85" s="35" t="s">
        <v>62</v>
      </c>
      <c r="AI85" s="71"/>
      <c r="AJ85" s="71"/>
      <c r="AK85" s="71"/>
      <c r="AL85" s="71"/>
      <c r="AM85" s="71"/>
      <c r="AN85" s="71"/>
      <c r="AO85" s="71"/>
    </row>
    <row r="86" spans="1:41" x14ac:dyDescent="0.2">
      <c r="C86" s="30" t="str">
        <f t="shared" si="6"/>
        <v/>
      </c>
      <c r="S86" s="9" t="s">
        <v>62</v>
      </c>
      <c r="AC86" s="9" t="s">
        <v>62</v>
      </c>
    </row>
    <row r="87" spans="1:41" x14ac:dyDescent="0.2">
      <c r="C87" s="30" t="str">
        <f t="shared" si="6"/>
        <v/>
      </c>
      <c r="S87" s="9" t="s">
        <v>62</v>
      </c>
      <c r="AC87" s="9" t="s">
        <v>62</v>
      </c>
    </row>
    <row r="88" spans="1:41" x14ac:dyDescent="0.2">
      <c r="A88" s="9">
        <v>42012</v>
      </c>
      <c r="B88" s="9" t="str" cm="1">
        <f t="array" ref="B88">D88&amp;_xlfn.TEXTJOIN("",1,TEXT(E88:G88,"00"))</f>
        <v>1010000</v>
      </c>
      <c r="C88" s="30" t="str">
        <f t="shared" ref="C88:C110" si="41">_xlfn.TEXTJOIN(",",1,A88:B88)</f>
        <v>42012,1010000</v>
      </c>
      <c r="D88" s="26">
        <v>1</v>
      </c>
      <c r="E88" s="26">
        <v>1</v>
      </c>
      <c r="F88" s="26">
        <f>W88</f>
        <v>0</v>
      </c>
      <c r="G88" s="26">
        <v>0</v>
      </c>
      <c r="H88" s="9">
        <v>201101</v>
      </c>
      <c r="I88" s="15" t="str">
        <f>IFERROR(VLOOKUP(H88,monsters[#All],4,0),"")</f>
        <v>地宫蝙蝠</v>
      </c>
      <c r="J88" s="15" t="str" cm="1">
        <f t="array" ref="J88">_xlfn.LET(_xlpm.v6p,ABS(ATAN2(O88,P88))*6/PI(),
_xlpm.output,_xlfn.IFS(_xlpm.v6p&lt;1,"正前",_xlpm.v6p&gt;5,"正后",AND(_xlpm.v6p&lt;5,_xlpm.v6p&gt;2,P88&lt;-1),"脚底",_xlpm.v6p&gt;4,"后上",_xlpm.v6p&lt;2,"前上",TRUE,"顶部"),
IFERROR(_xlpm.output,""))</f>
        <v>前上</v>
      </c>
      <c r="K88" s="12"/>
      <c r="L88" s="12" t="s">
        <v>27</v>
      </c>
      <c r="M88" s="12"/>
      <c r="N88" s="19" t="str">
        <f>O88+0&amp;","&amp;P88+0</f>
        <v>15,10</v>
      </c>
      <c r="O88" s="24">
        <v>15</v>
      </c>
      <c r="P88" s="24">
        <v>10</v>
      </c>
      <c r="Q88" s="19">
        <f t="shared" ref="Q88:Q110" si="42">_xlfn.LET(_xlpm._default,1,
_xlpm._custom,R88,
IF($A88&lt;&gt;"",IF(_xlpm._custom&lt;&gt;"",_xlpm._custom,_xlpm._default),""))</f>
        <v>1</v>
      </c>
      <c r="S88" s="9">
        <v>8</v>
      </c>
      <c r="T88" s="19" t="str">
        <f>IF(U88&lt;&gt;"", U88+0&amp;","&amp;V88+0,"")</f>
        <v>1,3</v>
      </c>
      <c r="U88" s="24">
        <v>1</v>
      </c>
      <c r="V88" s="24">
        <v>3</v>
      </c>
      <c r="W88" s="9">
        <v>0</v>
      </c>
      <c r="X88" s="9">
        <v>11</v>
      </c>
      <c r="Y88" s="19" t="str">
        <f t="shared" ref="Y88:Y110" si="43">IF($A88&lt;&gt;"",IF($Z88&lt;&gt;"",$Z88,"0,0"),"")</f>
        <v>65,70</v>
      </c>
      <c r="Z88" s="24" t="s">
        <v>130</v>
      </c>
      <c r="AA88" s="19" t="str">
        <f t="shared" ref="AA88:AA110" si="44">IF($A88&lt;&gt;"",IF($AB88&lt;&gt;"",$AB88,"80,120"),"")</f>
        <v>80,120</v>
      </c>
      <c r="AC88" s="9">
        <v>2</v>
      </c>
      <c r="AD88" s="9">
        <v>2.5</v>
      </c>
      <c r="AE88" s="9">
        <v>0.3</v>
      </c>
      <c r="AF88" s="9">
        <v>3</v>
      </c>
      <c r="AG88" s="9">
        <v>100</v>
      </c>
    </row>
    <row r="89" spans="1:41" x14ac:dyDescent="0.2">
      <c r="A89" s="9">
        <v>42012</v>
      </c>
      <c r="B89" s="9" t="str" cm="1">
        <f t="array" ref="B89">D89&amp;_xlfn.TEXTJOIN("",1,TEXT(E89:G89,"00"))</f>
        <v>1010100</v>
      </c>
      <c r="C89" s="30" t="str">
        <f t="shared" si="41"/>
        <v>42012,1010100</v>
      </c>
      <c r="D89" s="26">
        <v>1</v>
      </c>
      <c r="E89" s="26">
        <v>1</v>
      </c>
      <c r="F89" s="26">
        <f>W89</f>
        <v>1</v>
      </c>
      <c r="G89" s="26">
        <v>0</v>
      </c>
      <c r="H89" s="9">
        <v>201101</v>
      </c>
      <c r="I89" s="15" t="str">
        <f>IFERROR(VLOOKUP(H89,monsters[#All],4,0),"")</f>
        <v>地宫蝙蝠</v>
      </c>
      <c r="J89" s="15" t="str" cm="1">
        <f t="array" ref="J89">_xlfn.LET(_xlpm.v6p,ABS(ATAN2(O89,P89))*6/PI(),
_xlpm.output,_xlfn.IFS(_xlpm.v6p&lt;1,"正前",_xlpm.v6p&gt;5,"正后",AND(_xlpm.v6p&lt;5,_xlpm.v6p&gt;2,P89&lt;-1),"脚底",_xlpm.v6p&gt;4,"后上",_xlpm.v6p&lt;2,"前上",TRUE,"顶部"),
IFERROR(_xlpm.output,""))</f>
        <v>前上</v>
      </c>
      <c r="K89" s="12"/>
      <c r="L89" s="12" t="s">
        <v>27</v>
      </c>
      <c r="M89" s="12"/>
      <c r="N89" s="19" t="str">
        <f t="shared" ref="N89:N91" si="45">O89+0&amp;","&amp;P89+0</f>
        <v>15,10</v>
      </c>
      <c r="O89" s="24">
        <v>15</v>
      </c>
      <c r="P89" s="24">
        <v>10</v>
      </c>
      <c r="Q89" s="19">
        <f t="shared" si="42"/>
        <v>1</v>
      </c>
      <c r="S89" s="9">
        <v>4</v>
      </c>
      <c r="T89" s="19" t="str">
        <f>IF(U89&lt;&gt;"", U89+0&amp;","&amp;V89+0,"")</f>
        <v>1,3</v>
      </c>
      <c r="U89" s="24">
        <v>1</v>
      </c>
      <c r="V89" s="24">
        <v>3</v>
      </c>
      <c r="W89" s="9">
        <v>1</v>
      </c>
      <c r="X89" s="9">
        <v>11</v>
      </c>
      <c r="Y89" s="19" t="str">
        <f t="shared" si="43"/>
        <v>0,0</v>
      </c>
      <c r="AA89" s="19" t="str">
        <f t="shared" si="44"/>
        <v>80,120</v>
      </c>
      <c r="AC89" s="9">
        <v>2</v>
      </c>
      <c r="AD89" s="9">
        <v>0.5</v>
      </c>
      <c r="AE89" s="9">
        <v>0.3</v>
      </c>
      <c r="AF89" s="9">
        <v>2</v>
      </c>
      <c r="AG89" s="9">
        <v>20</v>
      </c>
    </row>
    <row r="90" spans="1:41" x14ac:dyDescent="0.2">
      <c r="A90" s="9">
        <v>42012</v>
      </c>
      <c r="B90" s="9" t="str" cm="1">
        <f t="array" ref="B90">D90&amp;_xlfn.TEXTJOIN("",1,TEXT(E90:G90,"00"))</f>
        <v>1010200</v>
      </c>
      <c r="C90" s="30" t="str">
        <f t="shared" si="41"/>
        <v>42012,1010200</v>
      </c>
      <c r="D90" s="26">
        <v>1</v>
      </c>
      <c r="E90" s="26">
        <v>1</v>
      </c>
      <c r="F90" s="26">
        <f>W90</f>
        <v>2</v>
      </c>
      <c r="G90" s="26">
        <v>0</v>
      </c>
      <c r="H90" s="9">
        <v>201101</v>
      </c>
      <c r="I90" s="15" t="str">
        <f>IFERROR(VLOOKUP(H90,monsters[#All],4,0),"")</f>
        <v>地宫蝙蝠</v>
      </c>
      <c r="J90" s="15" t="str" cm="1">
        <f t="array" ref="J90">_xlfn.LET(_xlpm.v6p,ABS(ATAN2(O90,P90))*6/PI(),
_xlpm.output,_xlfn.IFS(_xlpm.v6p&lt;1,"正前",_xlpm.v6p&gt;5,"正后",AND(_xlpm.v6p&lt;5,_xlpm.v6p&gt;2,P90&lt;-1),"脚底",_xlpm.v6p&gt;4,"后上",_xlpm.v6p&lt;2,"前上",TRUE,"顶部"),
IFERROR(_xlpm.output,""))</f>
        <v>前上</v>
      </c>
      <c r="K90" s="12"/>
      <c r="L90" s="12" t="s">
        <v>27</v>
      </c>
      <c r="M90" s="12"/>
      <c r="N90" s="19" t="str">
        <f t="shared" si="45"/>
        <v>15,10</v>
      </c>
      <c r="O90" s="24">
        <v>15</v>
      </c>
      <c r="P90" s="24">
        <v>10</v>
      </c>
      <c r="Q90" s="19">
        <f t="shared" si="42"/>
        <v>1</v>
      </c>
      <c r="S90" s="9">
        <v>4</v>
      </c>
      <c r="T90" s="19" t="str">
        <f>IF(U90&lt;&gt;"", U90+0&amp;","&amp;V90+0,"")</f>
        <v>1,3</v>
      </c>
      <c r="U90" s="24">
        <v>1</v>
      </c>
      <c r="V90" s="24">
        <v>3</v>
      </c>
      <c r="W90" s="9">
        <v>2</v>
      </c>
      <c r="X90" s="9">
        <v>11</v>
      </c>
      <c r="Y90" s="19" t="str">
        <f t="shared" si="43"/>
        <v>0,0</v>
      </c>
      <c r="AA90" s="19" t="str">
        <f t="shared" si="44"/>
        <v>80,120</v>
      </c>
      <c r="AC90" s="9">
        <v>2</v>
      </c>
      <c r="AD90" s="9">
        <v>0.5</v>
      </c>
      <c r="AE90" s="9">
        <v>0.3</v>
      </c>
      <c r="AF90" s="9">
        <v>2</v>
      </c>
      <c r="AG90" s="9">
        <v>20</v>
      </c>
    </row>
    <row r="91" spans="1:41" x14ac:dyDescent="0.2">
      <c r="A91" s="9">
        <v>42012</v>
      </c>
      <c r="B91" s="9" t="str" cm="1">
        <f t="array" ref="B91">D91&amp;_xlfn.TEXTJOIN("",1,TEXT(E91:G91,"00"))</f>
        <v>1010300</v>
      </c>
      <c r="C91" s="30" t="str">
        <f t="shared" si="41"/>
        <v>42012,1010300</v>
      </c>
      <c r="D91" s="26">
        <v>1</v>
      </c>
      <c r="E91" s="26">
        <v>1</v>
      </c>
      <c r="F91" s="26">
        <f>W91</f>
        <v>3</v>
      </c>
      <c r="G91" s="26">
        <v>0</v>
      </c>
      <c r="H91" s="9">
        <v>201101</v>
      </c>
      <c r="I91" s="15" t="str">
        <f>IFERROR(VLOOKUP(H91,monsters[#All],4,0),"")</f>
        <v>地宫蝙蝠</v>
      </c>
      <c r="J91" s="15" t="str" cm="1">
        <f t="array" ref="J91">_xlfn.LET(_xlpm.v6p,ABS(ATAN2(O91,P91))*6/PI(),
_xlpm.output,_xlfn.IFS(_xlpm.v6p&lt;1,"正前",_xlpm.v6p&gt;5,"正后",AND(_xlpm.v6p&lt;5,_xlpm.v6p&gt;2,P91&lt;-1),"脚底",_xlpm.v6p&gt;4,"后上",_xlpm.v6p&lt;2,"前上",TRUE,"顶部"),
IFERROR(_xlpm.output,""))</f>
        <v>前上</v>
      </c>
      <c r="K91" s="12"/>
      <c r="L91" s="12" t="s">
        <v>27</v>
      </c>
      <c r="M91" s="12"/>
      <c r="N91" s="19" t="str">
        <f t="shared" si="45"/>
        <v>15,10</v>
      </c>
      <c r="O91" s="24">
        <v>15</v>
      </c>
      <c r="P91" s="24">
        <v>10</v>
      </c>
      <c r="Q91" s="19">
        <f t="shared" si="42"/>
        <v>1</v>
      </c>
      <c r="S91" s="9">
        <v>12</v>
      </c>
      <c r="T91" s="19" t="str">
        <f>IF(U91&lt;&gt;"", U91+0&amp;","&amp;V91+0,"")</f>
        <v>1,3</v>
      </c>
      <c r="U91" s="24">
        <v>1</v>
      </c>
      <c r="V91" s="24">
        <v>3</v>
      </c>
      <c r="W91" s="9">
        <v>3</v>
      </c>
      <c r="X91" s="9">
        <v>11</v>
      </c>
      <c r="Y91" s="19" t="str">
        <f t="shared" si="43"/>
        <v>0,0</v>
      </c>
      <c r="AA91" s="19" t="str">
        <f t="shared" si="44"/>
        <v>80,120</v>
      </c>
      <c r="AC91" s="9">
        <v>12</v>
      </c>
      <c r="AD91" s="9">
        <v>8</v>
      </c>
      <c r="AE91" s="9">
        <v>0.3</v>
      </c>
      <c r="AF91" s="9">
        <v>6</v>
      </c>
      <c r="AG91" s="9">
        <v>200</v>
      </c>
    </row>
    <row r="92" spans="1:41" x14ac:dyDescent="0.2">
      <c r="C92" s="30" t="str">
        <f t="shared" si="41"/>
        <v/>
      </c>
      <c r="I92" s="15" t="str">
        <f>IFERROR(VLOOKUP(H92,monsters[#All],4,0),"")</f>
        <v/>
      </c>
      <c r="J92" s="15" t="str" cm="1">
        <f t="array" ref="J92">_xlfn.LET(_xlpm.v6p,ABS(ATAN2(O92,P92))*6/PI(),
_xlpm.output,_xlfn.IFS(_xlpm.v6p&lt;1,"正前",_xlpm.v6p&gt;5,"正后",AND(_xlpm.v6p&lt;5,_xlpm.v6p&gt;2,P92&lt;-1),"脚底",_xlpm.v6p&gt;4,"后上",_xlpm.v6p&lt;2,"前上",TRUE,"顶部"),
IFERROR(_xlpm.output,""))</f>
        <v/>
      </c>
      <c r="N92" s="19"/>
      <c r="Q92" s="19" t="str">
        <f t="shared" si="42"/>
        <v/>
      </c>
      <c r="S92" s="9" t="s">
        <v>62</v>
      </c>
      <c r="T92" s="19" t="str">
        <f t="shared" ref="T92" si="46">IF(U92&lt;&gt;"", U92+0&amp;","&amp;V92+0,"")</f>
        <v/>
      </c>
      <c r="Y92" s="19" t="str">
        <f t="shared" si="43"/>
        <v/>
      </c>
      <c r="AA92" s="19" t="str">
        <f t="shared" si="44"/>
        <v/>
      </c>
      <c r="AC92" s="9" t="s">
        <v>62</v>
      </c>
    </row>
    <row r="93" spans="1:41" x14ac:dyDescent="0.2">
      <c r="A93" s="9">
        <v>42012</v>
      </c>
      <c r="B93" s="9" t="str" cm="1">
        <f t="array" ref="B93">D93&amp;_xlfn.TEXTJOIN("",1,TEXT(E93:G93,"00"))</f>
        <v>1020000</v>
      </c>
      <c r="C93" s="30" t="str">
        <f t="shared" si="41"/>
        <v>42012,1020000</v>
      </c>
      <c r="D93" s="26">
        <v>1</v>
      </c>
      <c r="E93" s="26">
        <v>2</v>
      </c>
      <c r="F93" s="26">
        <f>W93</f>
        <v>0</v>
      </c>
      <c r="G93" s="26">
        <v>0</v>
      </c>
      <c r="H93" s="9">
        <v>201101</v>
      </c>
      <c r="I93" s="15" t="str">
        <f>IFERROR(VLOOKUP(H93,monsters[#All],4,0),"")</f>
        <v>地宫蝙蝠</v>
      </c>
      <c r="J93" s="15" t="str" cm="1">
        <f t="array" ref="J93">_xlfn.LET(_xlpm.v6p,ABS(ATAN2(O93,P93))*6/PI(),
_xlpm.output,_xlfn.IFS(_xlpm.v6p&lt;1,"正前",_xlpm.v6p&gt;5,"正后",AND(_xlpm.v6p&lt;5,_xlpm.v6p&gt;2,P93&lt;-1),"脚底",_xlpm.v6p&gt;4,"后上",_xlpm.v6p&lt;2,"前上",TRUE,"顶部"),
IFERROR(_xlpm.output,""))</f>
        <v>后上</v>
      </c>
      <c r="K93" s="12"/>
      <c r="L93" s="12" t="s">
        <v>27</v>
      </c>
      <c r="M93" s="12"/>
      <c r="N93" s="19" t="str">
        <f t="shared" ref="N93:N96" si="47">O93+0&amp;","&amp;P93+0</f>
        <v>-15,10</v>
      </c>
      <c r="O93" s="24">
        <v>-15</v>
      </c>
      <c r="P93" s="24">
        <v>10</v>
      </c>
      <c r="Q93" s="19">
        <f t="shared" si="42"/>
        <v>1</v>
      </c>
      <c r="S93" s="9">
        <v>12</v>
      </c>
      <c r="T93" s="19" t="str">
        <f>IF(U93&lt;&gt;"", U93+0&amp;","&amp;V93+0,"")</f>
        <v>1,3</v>
      </c>
      <c r="U93" s="24">
        <v>1</v>
      </c>
      <c r="V93" s="24">
        <v>3</v>
      </c>
      <c r="W93" s="9">
        <v>0</v>
      </c>
      <c r="X93" s="9">
        <v>11</v>
      </c>
      <c r="Y93" s="19" t="str">
        <f t="shared" si="43"/>
        <v>35,40</v>
      </c>
      <c r="Z93" s="24" t="s">
        <v>131</v>
      </c>
      <c r="AA93" s="19" t="str">
        <f t="shared" si="44"/>
        <v>80,120</v>
      </c>
      <c r="AC93" s="9">
        <v>2</v>
      </c>
      <c r="AD93" s="9">
        <v>2</v>
      </c>
      <c r="AE93" s="9">
        <v>0.3</v>
      </c>
      <c r="AF93" s="9">
        <v>4</v>
      </c>
      <c r="AG93" s="9">
        <v>100</v>
      </c>
    </row>
    <row r="94" spans="1:41" x14ac:dyDescent="0.2">
      <c r="A94" s="9">
        <v>42012</v>
      </c>
      <c r="B94" s="9" t="str" cm="1">
        <f t="array" ref="B94">D94&amp;_xlfn.TEXTJOIN("",1,TEXT(E94:G94,"00"))</f>
        <v>1020100</v>
      </c>
      <c r="C94" s="30" t="str">
        <f t="shared" si="41"/>
        <v>42012,1020100</v>
      </c>
      <c r="D94" s="26">
        <v>1</v>
      </c>
      <c r="E94" s="26">
        <v>2</v>
      </c>
      <c r="F94" s="26">
        <f>W94</f>
        <v>1</v>
      </c>
      <c r="G94" s="26">
        <v>0</v>
      </c>
      <c r="H94" s="9">
        <v>201101</v>
      </c>
      <c r="I94" s="15" t="str">
        <f>IFERROR(VLOOKUP(H94,monsters[#All],4,0),"")</f>
        <v>地宫蝙蝠</v>
      </c>
      <c r="J94" s="15" t="str" cm="1">
        <f t="array" ref="J94">_xlfn.LET(_xlpm.v6p,ABS(ATAN2(O94,P94))*6/PI(),
_xlpm.output,_xlfn.IFS(_xlpm.v6p&lt;1,"正前",_xlpm.v6p&gt;5,"正后",AND(_xlpm.v6p&lt;5,_xlpm.v6p&gt;2,P94&lt;-1),"脚底",_xlpm.v6p&gt;4,"后上",_xlpm.v6p&lt;2,"前上",TRUE,"顶部"),
IFERROR(_xlpm.output,""))</f>
        <v>后上</v>
      </c>
      <c r="K94" s="12"/>
      <c r="L94" s="12" t="s">
        <v>27</v>
      </c>
      <c r="M94" s="12"/>
      <c r="N94" s="19" t="str">
        <f t="shared" si="47"/>
        <v>-15,10</v>
      </c>
      <c r="O94" s="24">
        <v>-15</v>
      </c>
      <c r="P94" s="24">
        <v>10</v>
      </c>
      <c r="Q94" s="19">
        <f t="shared" si="42"/>
        <v>1</v>
      </c>
      <c r="S94" s="9">
        <v>4</v>
      </c>
      <c r="T94" s="19" t="str">
        <f>IF(U94&lt;&gt;"", U94+0&amp;","&amp;V94+0,"")</f>
        <v>1,3</v>
      </c>
      <c r="U94" s="24">
        <v>1</v>
      </c>
      <c r="V94" s="24">
        <v>3</v>
      </c>
      <c r="W94" s="9">
        <v>1</v>
      </c>
      <c r="X94" s="9">
        <v>11</v>
      </c>
      <c r="Y94" s="19" t="str">
        <f t="shared" si="43"/>
        <v>0,0</v>
      </c>
      <c r="AA94" s="19" t="str">
        <f t="shared" si="44"/>
        <v>80,120</v>
      </c>
      <c r="AC94" s="9">
        <v>2</v>
      </c>
      <c r="AD94" s="9">
        <v>0.5</v>
      </c>
      <c r="AE94" s="9">
        <v>0.3</v>
      </c>
      <c r="AF94" s="9">
        <v>2</v>
      </c>
      <c r="AG94" s="9">
        <v>20</v>
      </c>
    </row>
    <row r="95" spans="1:41" x14ac:dyDescent="0.2">
      <c r="A95" s="9">
        <v>42012</v>
      </c>
      <c r="B95" s="9" t="str" cm="1">
        <f t="array" ref="B95">D95&amp;_xlfn.TEXTJOIN("",1,TEXT(E95:G95,"00"))</f>
        <v>1020200</v>
      </c>
      <c r="C95" s="30" t="str">
        <f t="shared" si="41"/>
        <v>42012,1020200</v>
      </c>
      <c r="D95" s="26">
        <v>1</v>
      </c>
      <c r="E95" s="26">
        <v>2</v>
      </c>
      <c r="F95" s="26">
        <f>W95</f>
        <v>2</v>
      </c>
      <c r="G95" s="26">
        <v>0</v>
      </c>
      <c r="H95" s="9">
        <v>201101</v>
      </c>
      <c r="I95" s="15" t="str">
        <f>IFERROR(VLOOKUP(H95,monsters[#All],4,0),"")</f>
        <v>地宫蝙蝠</v>
      </c>
      <c r="J95" s="15" t="str" cm="1">
        <f t="array" ref="J95">_xlfn.LET(_xlpm.v6p,ABS(ATAN2(O95,P95))*6/PI(),
_xlpm.output,_xlfn.IFS(_xlpm.v6p&lt;1,"正前",_xlpm.v6p&gt;5,"正后",AND(_xlpm.v6p&lt;5,_xlpm.v6p&gt;2,P95&lt;-1),"脚底",_xlpm.v6p&gt;4,"后上",_xlpm.v6p&lt;2,"前上",TRUE,"顶部"),
IFERROR(_xlpm.output,""))</f>
        <v>后上</v>
      </c>
      <c r="K95" s="12"/>
      <c r="L95" s="12" t="s">
        <v>27</v>
      </c>
      <c r="M95" s="12"/>
      <c r="N95" s="19" t="str">
        <f t="shared" si="47"/>
        <v>-15,10</v>
      </c>
      <c r="O95" s="24">
        <v>-15</v>
      </c>
      <c r="P95" s="24">
        <v>10</v>
      </c>
      <c r="Q95" s="19">
        <f t="shared" si="42"/>
        <v>1</v>
      </c>
      <c r="S95" s="9">
        <v>20</v>
      </c>
      <c r="T95" s="19" t="str">
        <f>IF(U95&lt;&gt;"", U95+0&amp;","&amp;V95+0,"")</f>
        <v>1,3</v>
      </c>
      <c r="U95" s="24">
        <v>1</v>
      </c>
      <c r="V95" s="24">
        <v>3</v>
      </c>
      <c r="W95" s="9">
        <v>2</v>
      </c>
      <c r="X95" s="9">
        <v>11</v>
      </c>
      <c r="Y95" s="19" t="str">
        <f t="shared" si="43"/>
        <v>0,0</v>
      </c>
      <c r="AA95" s="19" t="str">
        <f t="shared" si="44"/>
        <v>80,120</v>
      </c>
      <c r="AC95" s="9">
        <v>2</v>
      </c>
      <c r="AD95" s="9">
        <v>0.5</v>
      </c>
      <c r="AE95" s="9">
        <v>0.3</v>
      </c>
      <c r="AF95" s="9">
        <v>2</v>
      </c>
      <c r="AG95" s="9">
        <v>20</v>
      </c>
    </row>
    <row r="96" spans="1:41" x14ac:dyDescent="0.2">
      <c r="A96" s="9">
        <v>42012</v>
      </c>
      <c r="B96" s="9" t="str" cm="1">
        <f t="array" ref="B96">D96&amp;_xlfn.TEXTJOIN("",1,TEXT(E96:G96,"00"))</f>
        <v>1020300</v>
      </c>
      <c r="C96" s="30" t="str">
        <f t="shared" si="41"/>
        <v>42012,1020300</v>
      </c>
      <c r="D96" s="26">
        <v>1</v>
      </c>
      <c r="E96" s="26">
        <v>2</v>
      </c>
      <c r="F96" s="26">
        <f>W96</f>
        <v>3</v>
      </c>
      <c r="G96" s="26">
        <v>0</v>
      </c>
      <c r="H96" s="9">
        <v>201101</v>
      </c>
      <c r="I96" s="15" t="str">
        <f>IFERROR(VLOOKUP(H96,monsters[#All],4,0),"")</f>
        <v>地宫蝙蝠</v>
      </c>
      <c r="J96" s="15" t="str" cm="1">
        <f t="array" ref="J96">_xlfn.LET(_xlpm.v6p,ABS(ATAN2(O96,P96))*6/PI(),
_xlpm.output,_xlfn.IFS(_xlpm.v6p&lt;1,"正前",_xlpm.v6p&gt;5,"正后",AND(_xlpm.v6p&lt;5,_xlpm.v6p&gt;2,P96&lt;-1),"脚底",_xlpm.v6p&gt;4,"后上",_xlpm.v6p&lt;2,"前上",TRUE,"顶部"),
IFERROR(_xlpm.output,""))</f>
        <v>后上</v>
      </c>
      <c r="K96" s="12"/>
      <c r="L96" s="12" t="s">
        <v>27</v>
      </c>
      <c r="M96" s="12"/>
      <c r="N96" s="19" t="str">
        <f t="shared" si="47"/>
        <v>-15,10</v>
      </c>
      <c r="O96" s="24">
        <v>-15</v>
      </c>
      <c r="P96" s="24">
        <v>10</v>
      </c>
      <c r="Q96" s="19">
        <f t="shared" si="42"/>
        <v>1</v>
      </c>
      <c r="S96" s="9">
        <v>20</v>
      </c>
      <c r="T96" s="19" t="str">
        <f>IF(U96&lt;&gt;"", U96+0&amp;","&amp;V96+0,"")</f>
        <v>1,3</v>
      </c>
      <c r="U96" s="24">
        <v>1</v>
      </c>
      <c r="V96" s="24">
        <v>3</v>
      </c>
      <c r="W96" s="9">
        <v>3</v>
      </c>
      <c r="X96" s="9">
        <v>11</v>
      </c>
      <c r="Y96" s="19" t="str">
        <f t="shared" si="43"/>
        <v>0,0</v>
      </c>
      <c r="AA96" s="19" t="str">
        <f t="shared" si="44"/>
        <v>80,120</v>
      </c>
      <c r="AC96" s="9">
        <v>40</v>
      </c>
      <c r="AD96" s="9">
        <v>6</v>
      </c>
      <c r="AE96" s="9">
        <v>0.3</v>
      </c>
      <c r="AF96" s="9">
        <v>6</v>
      </c>
      <c r="AG96" s="9">
        <v>200</v>
      </c>
    </row>
    <row r="97" spans="1:41" x14ac:dyDescent="0.2">
      <c r="C97" s="30" t="str">
        <f t="shared" si="41"/>
        <v/>
      </c>
      <c r="I97" s="15" t="str">
        <f>IFERROR(VLOOKUP(H97,monsters[#All],4,0),"")</f>
        <v/>
      </c>
      <c r="J97" s="15" t="str" cm="1">
        <f t="array" ref="J97">_xlfn.LET(_xlpm.v6p,ABS(ATAN2(O97,P97))*6/PI(),
_xlpm.output,_xlfn.IFS(_xlpm.v6p&lt;1,"正前",_xlpm.v6p&gt;5,"正后",AND(_xlpm.v6p&lt;5,_xlpm.v6p&gt;2,P97&lt;-1),"脚底",_xlpm.v6p&gt;4,"后上",_xlpm.v6p&lt;2,"前上",TRUE,"顶部"),
IFERROR(_xlpm.output,""))</f>
        <v/>
      </c>
      <c r="K97" s="12"/>
      <c r="L97" s="12"/>
      <c r="M97" s="12"/>
      <c r="N97" s="19"/>
      <c r="Q97" s="19" t="str">
        <f t="shared" si="42"/>
        <v/>
      </c>
      <c r="S97" s="9" t="s">
        <v>62</v>
      </c>
      <c r="T97" s="19" t="str">
        <f t="shared" ref="T97" si="48">IF(U97&lt;&gt;"", U97+0&amp;","&amp;V97+0,"")</f>
        <v/>
      </c>
      <c r="Y97" s="19" t="str">
        <f t="shared" si="43"/>
        <v/>
      </c>
      <c r="AA97" s="19" t="str">
        <f t="shared" si="44"/>
        <v/>
      </c>
      <c r="AC97" s="9" t="s">
        <v>62</v>
      </c>
    </row>
    <row r="98" spans="1:41" x14ac:dyDescent="0.2">
      <c r="A98" s="9">
        <v>42012</v>
      </c>
      <c r="B98" s="9" t="str" cm="1">
        <f t="array" ref="B98">D98&amp;_xlfn.TEXTJOIN("",1,TEXT(E98:G98,"00"))</f>
        <v>3010000</v>
      </c>
      <c r="C98" s="30" t="str">
        <f t="shared" si="41"/>
        <v>42012,3010000</v>
      </c>
      <c r="D98" s="26">
        <v>3</v>
      </c>
      <c r="E98" s="26">
        <v>1</v>
      </c>
      <c r="F98" s="26">
        <v>0</v>
      </c>
      <c r="G98" s="26">
        <v>0</v>
      </c>
      <c r="H98" s="9">
        <v>201103</v>
      </c>
      <c r="I98" s="15" t="str">
        <f>IFERROR(VLOOKUP(H98,monsters[#All],4,0),"")</f>
        <v>跳虫</v>
      </c>
      <c r="J98" s="15" t="str" cm="1">
        <f t="array" ref="J98">_xlfn.LET(_xlpm.v6p,ABS(ATAN2(O98,P98))*6/PI(),
_xlpm.output,_xlfn.IFS(_xlpm.v6p&lt;1,"正前",_xlpm.v6p&gt;5,"正后",AND(_xlpm.v6p&lt;5,_xlpm.v6p&gt;2,P98&lt;-1),"脚底",_xlpm.v6p&gt;4,"后上",_xlpm.v6p&lt;2,"前上",TRUE,"顶部"),
IFERROR(_xlpm.output,""))</f>
        <v>正后</v>
      </c>
      <c r="K98" s="12"/>
      <c r="L98" s="12" t="s">
        <v>27</v>
      </c>
      <c r="M98" s="12"/>
      <c r="N98" s="19" t="str">
        <f t="shared" ref="N98:N100" si="49">O98+0&amp;","&amp;P98+0</f>
        <v>-14,-1</v>
      </c>
      <c r="O98" s="24">
        <v>-14</v>
      </c>
      <c r="P98" s="24">
        <v>-1</v>
      </c>
      <c r="Q98" s="19">
        <f t="shared" si="42"/>
        <v>1</v>
      </c>
      <c r="S98" s="9">
        <v>4</v>
      </c>
      <c r="T98" s="19"/>
      <c r="W98" s="9">
        <v>0</v>
      </c>
      <c r="X98" s="9">
        <v>11</v>
      </c>
      <c r="Y98" s="19" t="str">
        <f t="shared" si="43"/>
        <v>0,0</v>
      </c>
      <c r="AA98" s="19" t="str">
        <f t="shared" si="44"/>
        <v>100,220</v>
      </c>
      <c r="AB98" s="24" t="str">
        <f>"100,220"</f>
        <v>100,220</v>
      </c>
      <c r="AC98" s="9">
        <v>1.44</v>
      </c>
      <c r="AD98" s="9">
        <v>7.4999999999999997E-2</v>
      </c>
      <c r="AE98" s="9">
        <v>0.25</v>
      </c>
      <c r="AF98" s="9">
        <v>2</v>
      </c>
      <c r="AG98" s="9">
        <v>3</v>
      </c>
    </row>
    <row r="99" spans="1:41" x14ac:dyDescent="0.2">
      <c r="A99" s="9">
        <v>42012</v>
      </c>
      <c r="B99" s="9" t="str" cm="1">
        <f t="array" ref="B99">D99&amp;_xlfn.TEXTJOIN("",1,TEXT(E99:G99,"00"))</f>
        <v>3020000</v>
      </c>
      <c r="C99" s="30" t="str">
        <f t="shared" si="41"/>
        <v>42012,3020000</v>
      </c>
      <c r="D99" s="26">
        <v>3</v>
      </c>
      <c r="E99" s="26">
        <v>2</v>
      </c>
      <c r="F99" s="26">
        <v>0</v>
      </c>
      <c r="G99" s="26">
        <v>0</v>
      </c>
      <c r="H99" s="9">
        <v>201103</v>
      </c>
      <c r="I99" s="15" t="str">
        <f>IFERROR(VLOOKUP(H99,monsters[#All],4,0),"")</f>
        <v>跳虫</v>
      </c>
      <c r="J99" s="15" t="str" cm="1">
        <f t="array" ref="J99">_xlfn.LET(_xlpm.v6p,ABS(ATAN2(O99,P99))*6/PI(),
_xlpm.output,_xlfn.IFS(_xlpm.v6p&lt;1,"正前",_xlpm.v6p&gt;5,"正后",AND(_xlpm.v6p&lt;5,_xlpm.v6p&gt;2,P99&lt;-1),"脚底",_xlpm.v6p&gt;4,"后上",_xlpm.v6p&lt;2,"前上",TRUE,"顶部"),
IFERROR(_xlpm.output,""))</f>
        <v>正前</v>
      </c>
      <c r="K99" s="12"/>
      <c r="L99" s="12" t="s">
        <v>27</v>
      </c>
      <c r="M99" s="12"/>
      <c r="N99" s="19" t="str">
        <f t="shared" si="49"/>
        <v>14,-1</v>
      </c>
      <c r="O99" s="24">
        <v>14</v>
      </c>
      <c r="P99" s="24">
        <v>-1</v>
      </c>
      <c r="Q99" s="19">
        <f t="shared" si="42"/>
        <v>1</v>
      </c>
      <c r="S99" s="9">
        <v>4</v>
      </c>
      <c r="T99" s="19"/>
      <c r="W99" s="9">
        <v>0</v>
      </c>
      <c r="X99" s="9">
        <v>11</v>
      </c>
      <c r="Y99" s="19" t="str">
        <f t="shared" si="43"/>
        <v>0,0</v>
      </c>
      <c r="AA99" s="19" t="str">
        <f t="shared" si="44"/>
        <v>100,220</v>
      </c>
      <c r="AB99" s="24" t="str">
        <f>"100,220"</f>
        <v>100,220</v>
      </c>
      <c r="AC99" s="9">
        <v>1.48</v>
      </c>
      <c r="AD99" s="9">
        <v>8.2000000000000003E-2</v>
      </c>
      <c r="AE99" s="9">
        <v>0.25</v>
      </c>
      <c r="AF99" s="9">
        <v>2</v>
      </c>
      <c r="AG99" s="9">
        <v>3</v>
      </c>
    </row>
    <row r="100" spans="1:41" x14ac:dyDescent="0.2">
      <c r="A100" s="9">
        <v>42012</v>
      </c>
      <c r="B100" s="9" t="str" cm="1">
        <f t="array" ref="B100">D100&amp;_xlfn.TEXTJOIN("",1,TEXT(E100:G100,"00"))</f>
        <v>3030001</v>
      </c>
      <c r="C100" s="30" t="str">
        <f t="shared" si="41"/>
        <v>42012,3030001</v>
      </c>
      <c r="D100" s="26">
        <v>3</v>
      </c>
      <c r="E100" s="26">
        <v>3</v>
      </c>
      <c r="F100" s="26">
        <v>0</v>
      </c>
      <c r="G100" s="26">
        <v>1</v>
      </c>
      <c r="H100" s="9">
        <v>201103</v>
      </c>
      <c r="I100" s="15" t="str">
        <f>IFERROR(VLOOKUP(H100,monsters[#All],4,0),"")</f>
        <v>跳虫</v>
      </c>
      <c r="J100" s="15" t="str" cm="1">
        <f t="array" ref="J100">_xlfn.LET(_xlpm.v6p,ABS(ATAN2(O100,P100))*6/PI(),
_xlpm.output,_xlfn.IFS(_xlpm.v6p&lt;1,"正前",_xlpm.v6p&gt;5,"正后",AND(_xlpm.v6p&lt;5,_xlpm.v6p&gt;2,P100&lt;-1),"脚底",_xlpm.v6p&gt;4,"后上",_xlpm.v6p&lt;2,"前上",TRUE,"顶部"),
IFERROR(_xlpm.output,""))</f>
        <v>顶部</v>
      </c>
      <c r="K100" s="12"/>
      <c r="L100" s="12" t="s">
        <v>27</v>
      </c>
      <c r="M100" s="12"/>
      <c r="N100" s="19" t="str">
        <f t="shared" si="49"/>
        <v>3,12</v>
      </c>
      <c r="O100" s="24">
        <v>3</v>
      </c>
      <c r="P100" s="24">
        <v>12</v>
      </c>
      <c r="Q100" s="19">
        <f t="shared" si="42"/>
        <v>1</v>
      </c>
      <c r="S100" s="9">
        <v>4</v>
      </c>
      <c r="T100" s="19"/>
      <c r="W100" s="9">
        <v>0</v>
      </c>
      <c r="X100" s="9">
        <v>11</v>
      </c>
      <c r="Y100" s="19" t="str">
        <f t="shared" si="43"/>
        <v>0,0</v>
      </c>
      <c r="AA100" s="19" t="str">
        <f t="shared" si="44"/>
        <v>100,220</v>
      </c>
      <c r="AB100" s="24" t="str">
        <f>"100,220"</f>
        <v>100,220</v>
      </c>
      <c r="AC100" s="9">
        <v>0.88</v>
      </c>
      <c r="AD100" s="9">
        <v>5.0999999999999997E-2</v>
      </c>
      <c r="AE100" s="9">
        <v>0.25</v>
      </c>
      <c r="AF100" s="9">
        <v>2</v>
      </c>
      <c r="AG100" s="9">
        <v>3</v>
      </c>
    </row>
    <row r="101" spans="1:41" x14ac:dyDescent="0.2">
      <c r="C101" s="30" t="str">
        <f t="shared" si="41"/>
        <v/>
      </c>
      <c r="I101" s="15" t="str">
        <f>IFERROR(VLOOKUP(H101,monsters[#All],4,0),"")</f>
        <v/>
      </c>
      <c r="J101" s="15" t="str" cm="1">
        <f t="array" ref="J101">_xlfn.LET(_xlpm.v6p,ABS(ATAN2(O101,P101))*6/PI(),
_xlpm.output,_xlfn.IFS(_xlpm.v6p&lt;1,"正前",_xlpm.v6p&gt;5,"正后",AND(_xlpm.v6p&lt;5,_xlpm.v6p&gt;2,P101&lt;-1),"脚底",_xlpm.v6p&gt;4,"后上",_xlpm.v6p&lt;2,"前上",TRUE,"顶部"),
IFERROR(_xlpm.output,""))</f>
        <v/>
      </c>
      <c r="N101" s="19"/>
      <c r="Q101" s="19" t="str">
        <f t="shared" si="42"/>
        <v/>
      </c>
      <c r="S101" s="9" t="s">
        <v>62</v>
      </c>
      <c r="T101" s="19" t="str">
        <f t="shared" ref="T101:T107" si="50">IF(U101&lt;&gt;"", U101+0&amp;","&amp;V101+0,"")</f>
        <v/>
      </c>
      <c r="Y101" s="19" t="str">
        <f t="shared" si="43"/>
        <v/>
      </c>
      <c r="AA101" s="19" t="str">
        <f t="shared" si="44"/>
        <v/>
      </c>
      <c r="AC101" s="9" t="s">
        <v>62</v>
      </c>
    </row>
    <row r="102" spans="1:41" x14ac:dyDescent="0.2">
      <c r="A102" s="9">
        <v>42012</v>
      </c>
      <c r="B102" s="9" t="str" cm="1">
        <f t="array" ref="B102">D102&amp;_xlfn.TEXTJOIN("",1,TEXT(E102:G102,"00"))</f>
        <v>4010000</v>
      </c>
      <c r="C102" s="30" t="str">
        <f t="shared" si="41"/>
        <v>42012,4010000</v>
      </c>
      <c r="D102" s="26">
        <v>4</v>
      </c>
      <c r="E102" s="26">
        <v>1</v>
      </c>
      <c r="F102" s="26">
        <v>0</v>
      </c>
      <c r="G102" s="26">
        <v>0</v>
      </c>
      <c r="H102" s="9">
        <v>201107</v>
      </c>
      <c r="I102" s="15" t="str">
        <f>IFERROR(VLOOKUP(H102,monsters[#All],4,0),"")</f>
        <v>流浪洞穴人</v>
      </c>
      <c r="J102" s="15" t="str" cm="1">
        <f t="array" ref="J102">_xlfn.LET(_xlpm.v6p,ABS(ATAN2(O102,P102))*6/PI(),
_xlpm.output,_xlfn.IFS(_xlpm.v6p&lt;1,"正前",_xlpm.v6p&gt;5,"正后",AND(_xlpm.v6p&lt;5,_xlpm.v6p&gt;2,P102&lt;-1),"脚底",_xlpm.v6p&gt;4,"后上",_xlpm.v6p&lt;2,"前上",TRUE,"顶部"),
IFERROR(_xlpm.output,""))</f>
        <v>正前</v>
      </c>
      <c r="K102" s="12"/>
      <c r="L102" s="12" t="s">
        <v>27</v>
      </c>
      <c r="M102" s="12"/>
      <c r="N102" s="19" t="str">
        <f>O102+0&amp;","&amp;P102+0</f>
        <v>18,-1</v>
      </c>
      <c r="O102" s="24">
        <v>18</v>
      </c>
      <c r="P102" s="24">
        <v>-1</v>
      </c>
      <c r="Q102" s="19">
        <f t="shared" si="42"/>
        <v>1</v>
      </c>
      <c r="S102" s="9">
        <v>28</v>
      </c>
      <c r="T102" s="19" t="str">
        <f t="shared" si="50"/>
        <v>2,3</v>
      </c>
      <c r="U102" s="24">
        <v>2</v>
      </c>
      <c r="V102" s="24">
        <v>3</v>
      </c>
      <c r="W102" s="9">
        <v>0</v>
      </c>
      <c r="X102" s="9">
        <v>11</v>
      </c>
      <c r="Y102" s="19" t="str">
        <f t="shared" si="43"/>
        <v>0,0</v>
      </c>
      <c r="AA102" s="19" t="str">
        <f t="shared" si="44"/>
        <v>80,120</v>
      </c>
      <c r="AC102" s="9">
        <v>0.8</v>
      </c>
      <c r="AD102" s="9">
        <v>1.5</v>
      </c>
      <c r="AE102" s="9">
        <v>0.6</v>
      </c>
      <c r="AF102" s="16"/>
      <c r="AG102" s="16"/>
    </row>
    <row r="103" spans="1:41" x14ac:dyDescent="0.2">
      <c r="A103" s="9">
        <v>42012</v>
      </c>
      <c r="B103" s="9" t="str" cm="1">
        <f t="array" ref="B103">D103&amp;_xlfn.TEXTJOIN("",1,TEXT(E103:G103,"00"))</f>
        <v>4020001</v>
      </c>
      <c r="C103" s="30" t="str">
        <f t="shared" si="41"/>
        <v>42012,4020001</v>
      </c>
      <c r="D103" s="26">
        <v>4</v>
      </c>
      <c r="E103" s="26">
        <v>2</v>
      </c>
      <c r="F103" s="26">
        <v>0</v>
      </c>
      <c r="G103" s="26">
        <v>1</v>
      </c>
      <c r="H103" s="9">
        <v>201107</v>
      </c>
      <c r="I103" s="15" t="str">
        <f>IFERROR(VLOOKUP(H103,monsters[#All],4,0),"")</f>
        <v>流浪洞穴人</v>
      </c>
      <c r="J103" s="15" t="str" cm="1">
        <f t="array" ref="J103">_xlfn.LET(_xlpm.v6p,ABS(ATAN2(O103,P103))*6/PI(),
_xlpm.output,_xlfn.IFS(_xlpm.v6p&lt;1,"正前",_xlpm.v6p&gt;5,"正后",AND(_xlpm.v6p&lt;5,_xlpm.v6p&gt;2,P103&lt;-1),"脚底",_xlpm.v6p&gt;4,"后上",_xlpm.v6p&lt;2,"前上",TRUE,"顶部"),
IFERROR(_xlpm.output,""))</f>
        <v>正前</v>
      </c>
      <c r="K103" s="12"/>
      <c r="L103" s="12" t="s">
        <v>27</v>
      </c>
      <c r="M103" s="12"/>
      <c r="N103" s="19" t="str">
        <f>O103+0&amp;","&amp;P103+0</f>
        <v>18,-1</v>
      </c>
      <c r="O103" s="24">
        <v>18</v>
      </c>
      <c r="P103" s="24">
        <v>-1</v>
      </c>
      <c r="Q103" s="19">
        <f t="shared" si="42"/>
        <v>1</v>
      </c>
      <c r="S103" s="16" t="s">
        <v>62</v>
      </c>
      <c r="T103" s="19" t="str">
        <f t="shared" si="50"/>
        <v/>
      </c>
      <c r="W103" s="9">
        <v>0</v>
      </c>
      <c r="X103" s="9">
        <v>11</v>
      </c>
      <c r="Y103" s="19" t="str">
        <f t="shared" si="43"/>
        <v>0,0</v>
      </c>
      <c r="AA103" s="19" t="str">
        <f t="shared" si="44"/>
        <v>80,120</v>
      </c>
      <c r="AC103" s="16" t="s">
        <v>62</v>
      </c>
      <c r="AD103" s="16"/>
      <c r="AE103" s="9">
        <v>0.6</v>
      </c>
      <c r="AF103" s="9">
        <v>2</v>
      </c>
      <c r="AG103" s="9">
        <v>10.199999999999999</v>
      </c>
    </row>
    <row r="104" spans="1:41" x14ac:dyDescent="0.2">
      <c r="A104" s="9">
        <v>42012</v>
      </c>
      <c r="B104" s="9" t="str" cm="1">
        <f t="array" ref="B104">D104&amp;_xlfn.TEXTJOIN("",1,TEXT(E104:G104,"00"))</f>
        <v>4020002</v>
      </c>
      <c r="C104" s="30" t="str">
        <f t="shared" si="41"/>
        <v>42012,4020002</v>
      </c>
      <c r="D104" s="26">
        <v>4</v>
      </c>
      <c r="E104" s="26">
        <v>2</v>
      </c>
      <c r="F104" s="26">
        <v>0</v>
      </c>
      <c r="G104" s="26">
        <v>2</v>
      </c>
      <c r="H104" s="9">
        <v>201107</v>
      </c>
      <c r="I104" s="15" t="str">
        <f>IFERROR(VLOOKUP(H104,monsters[#All],4,0),"")</f>
        <v>流浪洞穴人</v>
      </c>
      <c r="J104" s="15" t="str" cm="1">
        <f t="array" ref="J104">_xlfn.LET(_xlpm.v6p,ABS(ATAN2(O104,P104))*6/PI(),
_xlpm.output,_xlfn.IFS(_xlpm.v6p&lt;1,"正前",_xlpm.v6p&gt;5,"正后",AND(_xlpm.v6p&lt;5,_xlpm.v6p&gt;2,P104&lt;-1),"脚底",_xlpm.v6p&gt;4,"后上",_xlpm.v6p&lt;2,"前上",TRUE,"顶部"),
IFERROR(_xlpm.output,""))</f>
        <v>正后</v>
      </c>
      <c r="K104" s="12"/>
      <c r="L104" s="12" t="s">
        <v>27</v>
      </c>
      <c r="M104" s="12"/>
      <c r="N104" s="19" t="str">
        <f t="shared" ref="N104" si="51">O104+0&amp;","&amp;P104+0</f>
        <v>-14,-1</v>
      </c>
      <c r="O104" s="24">
        <v>-14</v>
      </c>
      <c r="P104" s="24">
        <v>-1</v>
      </c>
      <c r="Q104" s="19">
        <f t="shared" si="42"/>
        <v>1</v>
      </c>
      <c r="S104" s="16" t="s">
        <v>62</v>
      </c>
      <c r="T104" s="19" t="str">
        <f t="shared" si="50"/>
        <v/>
      </c>
      <c r="W104" s="9">
        <v>0</v>
      </c>
      <c r="X104" s="9">
        <v>11</v>
      </c>
      <c r="Y104" s="19" t="str">
        <f t="shared" si="43"/>
        <v>0,0</v>
      </c>
      <c r="AA104" s="19" t="str">
        <f t="shared" si="44"/>
        <v>80,120</v>
      </c>
      <c r="AC104" s="16" t="s">
        <v>62</v>
      </c>
      <c r="AD104" s="16"/>
      <c r="AE104" s="9">
        <v>0.6</v>
      </c>
      <c r="AF104" s="9">
        <v>2</v>
      </c>
      <c r="AG104" s="9">
        <v>6.8</v>
      </c>
    </row>
    <row r="105" spans="1:41" x14ac:dyDescent="0.2">
      <c r="C105" s="30" t="str">
        <f t="shared" si="41"/>
        <v/>
      </c>
      <c r="I105" s="15" t="str">
        <f>IFERROR(VLOOKUP(H105,monsters[#All],4,0),"")</f>
        <v/>
      </c>
      <c r="J105" s="15" t="str" cm="1">
        <f t="array" ref="J105">_xlfn.LET(_xlpm.v6p,ABS(ATAN2(O105,P105))*6/PI(),
_xlpm.output,_xlfn.IFS(_xlpm.v6p&lt;1,"正前",_xlpm.v6p&gt;5,"正后",AND(_xlpm.v6p&lt;5,_xlpm.v6p&gt;2,P105&lt;-1),"脚底",_xlpm.v6p&gt;4,"后上",_xlpm.v6p&lt;2,"前上",TRUE,"顶部"),
IFERROR(_xlpm.output,""))</f>
        <v/>
      </c>
      <c r="Q105" s="19" t="str">
        <f t="shared" si="42"/>
        <v/>
      </c>
      <c r="S105" s="9" t="s">
        <v>62</v>
      </c>
      <c r="T105" s="19" t="str">
        <f>IF(U105&lt;&gt;"", U105+0&amp;","&amp;V105+0,"")</f>
        <v/>
      </c>
      <c r="Y105" s="19" t="str">
        <f t="shared" si="43"/>
        <v/>
      </c>
      <c r="AA105" s="19" t="str">
        <f t="shared" si="44"/>
        <v/>
      </c>
      <c r="AC105" s="9" t="s">
        <v>62</v>
      </c>
    </row>
    <row r="106" spans="1:41" x14ac:dyDescent="0.2">
      <c r="A106" s="9">
        <v>42012</v>
      </c>
      <c r="B106" s="9" t="str" cm="1">
        <f t="array" ref="B106">D106&amp;_xlfn.TEXTJOIN("",1,TEXT(E106:G106,"00"))</f>
        <v>6010001</v>
      </c>
      <c r="C106" s="30" t="str">
        <f t="shared" si="41"/>
        <v>42012,6010001</v>
      </c>
      <c r="D106" s="26">
        <v>6</v>
      </c>
      <c r="E106" s="26">
        <v>1</v>
      </c>
      <c r="F106" s="26">
        <f t="shared" ref="F106" si="52">W106</f>
        <v>0</v>
      </c>
      <c r="G106" s="26">
        <v>1</v>
      </c>
      <c r="H106" s="9">
        <v>201105</v>
      </c>
      <c r="I106" s="15" t="str">
        <f>IFERROR(VLOOKUP(H106,monsters[#All],4,0),"")</f>
        <v>跳虫骑手</v>
      </c>
      <c r="J106" s="15" t="str" cm="1">
        <f t="array" ref="J106">_xlfn.LET(_xlpm.v6p,ABS(ATAN2(O106,P106))*6/PI(),
_xlpm.output,_xlfn.IFS(_xlpm.v6p&lt;1,"正前",_xlpm.v6p&gt;5,"正后",AND(_xlpm.v6p&lt;5,_xlpm.v6p&gt;2,P106&lt;-1),"脚底",_xlpm.v6p&gt;4,"后上",_xlpm.v6p&lt;2,"前上",TRUE,"顶部"),
IFERROR(_xlpm.output,""))</f>
        <v>正前</v>
      </c>
      <c r="K106" s="12"/>
      <c r="L106" s="12" t="s">
        <v>27</v>
      </c>
      <c r="M106" s="12"/>
      <c r="N106" s="19" t="str">
        <f>O106+0&amp;","&amp;P106+0</f>
        <v>14,-1</v>
      </c>
      <c r="O106" s="24">
        <v>14</v>
      </c>
      <c r="P106" s="24">
        <v>-1</v>
      </c>
      <c r="Q106" s="19">
        <f t="shared" si="42"/>
        <v>1</v>
      </c>
      <c r="S106" s="9">
        <v>8</v>
      </c>
      <c r="T106" s="19" t="str">
        <f>IF(U106&lt;&gt;"", U106+0&amp;","&amp;V106+0,"")</f>
        <v/>
      </c>
      <c r="W106" s="9">
        <v>0</v>
      </c>
      <c r="X106" s="9">
        <v>11</v>
      </c>
      <c r="Y106" s="19" t="str">
        <f t="shared" si="43"/>
        <v>0,0</v>
      </c>
      <c r="AA106" s="19" t="str">
        <f t="shared" si="44"/>
        <v>1000,1120</v>
      </c>
      <c r="AB106" s="24" t="str">
        <f>"1000,1120"</f>
        <v>1000,1120</v>
      </c>
      <c r="AC106" s="9">
        <v>2.44</v>
      </c>
      <c r="AD106" s="9">
        <v>0.06</v>
      </c>
      <c r="AE106" s="9">
        <v>1.2</v>
      </c>
      <c r="AF106" s="16"/>
      <c r="AG106" s="16"/>
    </row>
    <row r="107" spans="1:41" x14ac:dyDescent="0.2">
      <c r="C107" s="30" t="str">
        <f t="shared" si="41"/>
        <v/>
      </c>
      <c r="I107" s="15" t="str">
        <f>IFERROR(VLOOKUP(H107,monsters[#All],4,0),"")</f>
        <v/>
      </c>
      <c r="J107" s="15" t="str" cm="1">
        <f t="array" ref="J107">_xlfn.LET(_xlpm.v6p,ABS(ATAN2(O107,P107))*6/PI(),
_xlpm.output,_xlfn.IFS(_xlpm.v6p&lt;1,"正前",_xlpm.v6p&gt;5,"正后",AND(_xlpm.v6p&lt;5,_xlpm.v6p&gt;2,P107&lt;-1),"脚底",_xlpm.v6p&gt;4,"后上",_xlpm.v6p&lt;2,"前上",TRUE,"顶部"),
IFERROR(_xlpm.output,""))</f>
        <v/>
      </c>
      <c r="Q107" s="19" t="str">
        <f t="shared" si="42"/>
        <v/>
      </c>
      <c r="S107" s="9" t="s">
        <v>62</v>
      </c>
      <c r="T107" s="19" t="str">
        <f t="shared" si="50"/>
        <v/>
      </c>
      <c r="Y107" s="19" t="str">
        <f t="shared" si="43"/>
        <v/>
      </c>
      <c r="AA107" s="19" t="str">
        <f t="shared" si="44"/>
        <v/>
      </c>
      <c r="AC107" s="9" t="s">
        <v>62</v>
      </c>
    </row>
    <row r="108" spans="1:41" x14ac:dyDescent="0.2">
      <c r="A108" s="9">
        <v>42012</v>
      </c>
      <c r="B108" s="9" t="str" cm="1">
        <f t="array" ref="B108">D108&amp;_xlfn.TEXTJOIN("",1,TEXT(E108:G108,"00"))</f>
        <v>7010000</v>
      </c>
      <c r="C108" s="30" t="str">
        <f t="shared" si="41"/>
        <v>42012,7010000</v>
      </c>
      <c r="D108" s="26">
        <v>7</v>
      </c>
      <c r="E108" s="26">
        <v>1</v>
      </c>
      <c r="F108" s="26">
        <v>0</v>
      </c>
      <c r="G108" s="26">
        <v>0</v>
      </c>
      <c r="H108" s="9">
        <v>201104</v>
      </c>
      <c r="I108" s="15" t="str">
        <f>IFERROR(VLOOKUP(H108,monsters[#All],4,0),"")</f>
        <v>地宫洞穴人</v>
      </c>
      <c r="J108" s="15" t="str" cm="1">
        <f t="array" ref="J108">_xlfn.LET(_xlpm.v6p,ABS(ATAN2(O108,P108))*6/PI(),
_xlpm.output,_xlfn.IFS(_xlpm.v6p&lt;1,"正前",_xlpm.v6p&gt;5,"正后",AND(_xlpm.v6p&lt;5,_xlpm.v6p&gt;2,P108&lt;-1),"脚底",_xlpm.v6p&gt;4,"后上",_xlpm.v6p&lt;2,"前上",TRUE,"顶部"),
IFERROR(_xlpm.output,""))</f>
        <v>正前</v>
      </c>
      <c r="K108" s="12"/>
      <c r="L108" s="12" t="s">
        <v>27</v>
      </c>
      <c r="M108" s="12"/>
      <c r="N108" s="19" t="str">
        <f>O108+0&amp;","&amp;P108+0</f>
        <v>18,-1</v>
      </c>
      <c r="O108" s="24">
        <v>18</v>
      </c>
      <c r="P108" s="24">
        <v>-1</v>
      </c>
      <c r="Q108" s="19">
        <f t="shared" si="42"/>
        <v>1</v>
      </c>
      <c r="S108" s="9">
        <v>16</v>
      </c>
      <c r="T108" s="19" t="str">
        <f>IF(U108&lt;&gt;"", U108+0&amp;","&amp;V108+0,"")</f>
        <v>2,3</v>
      </c>
      <c r="U108" s="24">
        <v>2</v>
      </c>
      <c r="V108" s="24">
        <v>3</v>
      </c>
      <c r="W108" s="9">
        <v>0</v>
      </c>
      <c r="X108" s="9">
        <v>11</v>
      </c>
      <c r="Y108" s="19" t="str">
        <f t="shared" si="43"/>
        <v>0,0</v>
      </c>
      <c r="AA108" s="19" t="str">
        <f t="shared" si="44"/>
        <v>80,120</v>
      </c>
      <c r="AC108" s="9">
        <v>0.4</v>
      </c>
      <c r="AD108" s="9">
        <v>0.4</v>
      </c>
      <c r="AE108" s="9">
        <v>1</v>
      </c>
      <c r="AF108" s="16"/>
      <c r="AG108" s="16"/>
    </row>
    <row r="109" spans="1:41" x14ac:dyDescent="0.2">
      <c r="A109" s="9">
        <v>42012</v>
      </c>
      <c r="B109" s="9" t="str" cm="1">
        <f t="array" ref="B109">D109&amp;_xlfn.TEXTJOIN("",1,TEXT(E109:G109,"00"))</f>
        <v>7020001</v>
      </c>
      <c r="C109" s="30" t="str">
        <f t="shared" si="41"/>
        <v>42012,7020001</v>
      </c>
      <c r="D109" s="26">
        <v>7</v>
      </c>
      <c r="E109" s="26">
        <v>2</v>
      </c>
      <c r="F109" s="26">
        <v>0</v>
      </c>
      <c r="G109" s="26">
        <v>1</v>
      </c>
      <c r="H109" s="9">
        <v>201104</v>
      </c>
      <c r="I109" s="15" t="str">
        <f>IFERROR(VLOOKUP(H109,monsters[#All],4,0),"")</f>
        <v>地宫洞穴人</v>
      </c>
      <c r="J109" s="15" t="str" cm="1">
        <f t="array" ref="J109">_xlfn.LET(_xlpm.v6p,ABS(ATAN2(O109,P109))*6/PI(),
_xlpm.output,_xlfn.IFS(_xlpm.v6p&lt;1,"正前",_xlpm.v6p&gt;5,"正后",AND(_xlpm.v6p&lt;5,_xlpm.v6p&gt;2,P109&lt;-1),"脚底",_xlpm.v6p&gt;4,"后上",_xlpm.v6p&lt;2,"前上",TRUE,"顶部"),
IFERROR(_xlpm.output,""))</f>
        <v>正前</v>
      </c>
      <c r="K109" s="12"/>
      <c r="L109" s="12" t="s">
        <v>27</v>
      </c>
      <c r="M109" s="12"/>
      <c r="N109" s="19" t="str">
        <f>O109+0&amp;","&amp;P109+0</f>
        <v>18,-1</v>
      </c>
      <c r="O109" s="24">
        <v>18</v>
      </c>
      <c r="P109" s="24">
        <v>-1</v>
      </c>
      <c r="Q109" s="19">
        <f t="shared" si="42"/>
        <v>1</v>
      </c>
      <c r="S109" s="16" t="s">
        <v>62</v>
      </c>
      <c r="T109" s="19" t="str">
        <f>IF(U109&lt;&gt;"", U109+0&amp;","&amp;V109+0,"")</f>
        <v>2,3</v>
      </c>
      <c r="U109" s="24">
        <v>2</v>
      </c>
      <c r="V109" s="24">
        <v>3</v>
      </c>
      <c r="W109" s="9">
        <v>0</v>
      </c>
      <c r="X109" s="9">
        <v>11</v>
      </c>
      <c r="Y109" s="19" t="str">
        <f t="shared" si="43"/>
        <v>0,0</v>
      </c>
      <c r="AA109" s="19" t="str">
        <f t="shared" si="44"/>
        <v>80,120</v>
      </c>
      <c r="AC109" s="16" t="s">
        <v>62</v>
      </c>
      <c r="AD109" s="16"/>
      <c r="AE109" s="16"/>
      <c r="AF109" s="9">
        <v>1</v>
      </c>
      <c r="AG109" s="9">
        <v>10.199999999999999</v>
      </c>
    </row>
    <row r="110" spans="1:41" x14ac:dyDescent="0.2">
      <c r="A110" s="9">
        <v>42012</v>
      </c>
      <c r="B110" s="9" t="str" cm="1">
        <f t="array" ref="B110">D110&amp;_xlfn.TEXTJOIN("",1,TEXT(E110:G110,"00"))</f>
        <v>7020002</v>
      </c>
      <c r="C110" s="30" t="str">
        <f t="shared" si="41"/>
        <v>42012,7020002</v>
      </c>
      <c r="D110" s="26">
        <v>7</v>
      </c>
      <c r="E110" s="26">
        <v>2</v>
      </c>
      <c r="F110" s="26">
        <v>0</v>
      </c>
      <c r="G110" s="26">
        <v>2</v>
      </c>
      <c r="H110" s="9">
        <v>201104</v>
      </c>
      <c r="I110" s="15" t="str">
        <f>IFERROR(VLOOKUP(H110,monsters[#All],4,0),"")</f>
        <v>地宫洞穴人</v>
      </c>
      <c r="J110" s="15" t="str" cm="1">
        <f t="array" ref="J110">_xlfn.LET(_xlpm.v6p,ABS(ATAN2(O110,P110))*6/PI(),
_xlpm.output,_xlfn.IFS(_xlpm.v6p&lt;1,"正前",_xlpm.v6p&gt;5,"正后",AND(_xlpm.v6p&lt;5,_xlpm.v6p&gt;2,P110&lt;-1),"脚底",_xlpm.v6p&gt;4,"后上",_xlpm.v6p&lt;2,"前上",TRUE,"顶部"),
IFERROR(_xlpm.output,""))</f>
        <v>正后</v>
      </c>
      <c r="K110" s="12"/>
      <c r="L110" s="12" t="s">
        <v>27</v>
      </c>
      <c r="M110" s="12"/>
      <c r="N110" s="19" t="str">
        <f t="shared" ref="N110" si="53">O110+0&amp;","&amp;P110+0</f>
        <v>-14,-1</v>
      </c>
      <c r="O110" s="24">
        <v>-14</v>
      </c>
      <c r="P110" s="24">
        <v>-1</v>
      </c>
      <c r="Q110" s="19">
        <f t="shared" si="42"/>
        <v>1</v>
      </c>
      <c r="S110" s="16" t="s">
        <v>62</v>
      </c>
      <c r="T110" s="19" t="str">
        <f>IF(U110&lt;&gt;"", U110+0&amp;","&amp;V110+0,"")</f>
        <v>2,3</v>
      </c>
      <c r="U110" s="24">
        <v>2</v>
      </c>
      <c r="V110" s="24">
        <v>3</v>
      </c>
      <c r="W110" s="9">
        <v>0</v>
      </c>
      <c r="X110" s="9">
        <v>11</v>
      </c>
      <c r="Y110" s="19" t="str">
        <f t="shared" si="43"/>
        <v>0,0</v>
      </c>
      <c r="AA110" s="19" t="str">
        <f t="shared" si="44"/>
        <v>80,120</v>
      </c>
      <c r="AC110" s="16" t="s">
        <v>62</v>
      </c>
      <c r="AD110" s="16"/>
      <c r="AE110" s="16"/>
      <c r="AF110" s="9">
        <v>1</v>
      </c>
      <c r="AG110" s="9">
        <v>6.8</v>
      </c>
    </row>
    <row r="111" spans="1:41" x14ac:dyDescent="0.2">
      <c r="S111" s="9" t="s">
        <v>62</v>
      </c>
      <c r="AC111" s="9" t="s">
        <v>62</v>
      </c>
    </row>
    <row r="112" spans="1:41" s="35" customFormat="1" x14ac:dyDescent="0.2">
      <c r="C112" s="36"/>
      <c r="D112" s="37"/>
      <c r="E112" s="37"/>
      <c r="F112" s="37"/>
      <c r="G112" s="37"/>
      <c r="I112" s="38"/>
      <c r="J112" s="38"/>
      <c r="O112" s="39"/>
      <c r="P112" s="39"/>
      <c r="R112" s="39"/>
      <c r="S112" s="35" t="s">
        <v>62</v>
      </c>
      <c r="U112" s="39"/>
      <c r="V112" s="39"/>
      <c r="Z112" s="39"/>
      <c r="AB112" s="39"/>
      <c r="AC112" s="35" t="s">
        <v>62</v>
      </c>
      <c r="AI112" s="71"/>
      <c r="AJ112" s="71"/>
      <c r="AK112" s="71"/>
      <c r="AL112" s="71"/>
      <c r="AM112" s="71"/>
      <c r="AN112" s="71"/>
      <c r="AO112" s="71"/>
    </row>
    <row r="113" spans="1:33" x14ac:dyDescent="0.2">
      <c r="C113" s="30" t="str">
        <f t="shared" ref="C113:C147" si="54">_xlfn.TEXTJOIN(",",1,A113:B113)</f>
        <v/>
      </c>
      <c r="S113" s="9" t="s">
        <v>62</v>
      </c>
      <c r="AC113" s="9" t="s">
        <v>62</v>
      </c>
    </row>
    <row r="114" spans="1:33" x14ac:dyDescent="0.2">
      <c r="A114" s="9">
        <v>42013</v>
      </c>
      <c r="B114" s="9" t="str" cm="1">
        <f t="array" ref="B114">D114&amp;_xlfn.TEXTJOIN("",1,TEXT(E114:G114,"00"))</f>
        <v>1010000</v>
      </c>
      <c r="C114" s="30" t="str">
        <f t="shared" si="54"/>
        <v>42013,1010000</v>
      </c>
      <c r="D114" s="26">
        <v>1</v>
      </c>
      <c r="E114" s="26">
        <v>1</v>
      </c>
      <c r="F114" s="26">
        <f>W114</f>
        <v>0</v>
      </c>
      <c r="G114" s="26">
        <v>0</v>
      </c>
      <c r="H114" s="9">
        <v>201101</v>
      </c>
      <c r="I114" s="15" t="str">
        <f>IFERROR(VLOOKUP(H114,monsters[#All],4,0),"")</f>
        <v>地宫蝙蝠</v>
      </c>
      <c r="J114" s="15" t="str" cm="1">
        <f t="array" ref="J114">_xlfn.LET(_xlpm.v6p,ABS(ATAN2(O114,P114))*6/PI(),
_xlpm.output,_xlfn.IFS(_xlpm.v6p&lt;1,"正前",_xlpm.v6p&gt;5,"正后",AND(_xlpm.v6p&lt;5,_xlpm.v6p&gt;2,P114&lt;-1),"脚底",_xlpm.v6p&gt;4,"后上",_xlpm.v6p&lt;2,"前上",TRUE,"顶部"),
IFERROR(_xlpm.output,""))</f>
        <v>前上</v>
      </c>
      <c r="K114" s="12"/>
      <c r="L114" s="12" t="s">
        <v>27</v>
      </c>
      <c r="M114" s="12"/>
      <c r="N114" s="19" t="str">
        <f>O114+0&amp;","&amp;P114+0</f>
        <v>15,10</v>
      </c>
      <c r="O114" s="24">
        <v>15</v>
      </c>
      <c r="P114" s="24">
        <v>10</v>
      </c>
      <c r="Q114" s="19">
        <f t="shared" ref="Q114:Q147" si="55">_xlfn.LET(_xlpm._default,1,
_xlpm._custom,R114,
IF($A114&lt;&gt;"",IF(_xlpm._custom&lt;&gt;"",_xlpm._custom,_xlpm._default),""))</f>
        <v>1</v>
      </c>
      <c r="S114" s="9">
        <v>8</v>
      </c>
      <c r="T114" s="19" t="str">
        <f>IF(U114&lt;&gt;"", U114+0&amp;","&amp;V114+0,"")</f>
        <v>1,3</v>
      </c>
      <c r="U114" s="24">
        <v>1</v>
      </c>
      <c r="V114" s="24">
        <v>3</v>
      </c>
      <c r="W114" s="9">
        <v>0</v>
      </c>
      <c r="X114" s="9">
        <v>11</v>
      </c>
      <c r="Y114" s="19" t="str">
        <f t="shared" ref="Y114:Y147" si="56">IF($A114&lt;&gt;"",IF($Z114&lt;&gt;"",$Z114,"0,0"),"")</f>
        <v>65,70</v>
      </c>
      <c r="Z114" s="24" t="s">
        <v>130</v>
      </c>
      <c r="AA114" s="19" t="str">
        <f t="shared" ref="AA114:AA147" si="57">IF($A114&lt;&gt;"",IF($AB114&lt;&gt;"",$AB114,"80,120"),"")</f>
        <v>80,120</v>
      </c>
      <c r="AC114" s="9">
        <v>2</v>
      </c>
      <c r="AD114" s="9">
        <v>2.5</v>
      </c>
      <c r="AE114" s="9">
        <v>0.3</v>
      </c>
      <c r="AF114" s="9">
        <v>3</v>
      </c>
      <c r="AG114" s="9">
        <v>100</v>
      </c>
    </row>
    <row r="115" spans="1:33" x14ac:dyDescent="0.2">
      <c r="A115" s="9">
        <v>42013</v>
      </c>
      <c r="B115" s="9" t="str" cm="1">
        <f t="array" ref="B115">D115&amp;_xlfn.TEXTJOIN("",1,TEXT(E115:G115,"00"))</f>
        <v>1010100</v>
      </c>
      <c r="C115" s="30" t="str">
        <f t="shared" si="54"/>
        <v>42013,1010100</v>
      </c>
      <c r="D115" s="26">
        <v>1</v>
      </c>
      <c r="E115" s="26">
        <v>1</v>
      </c>
      <c r="F115" s="26">
        <f>W115</f>
        <v>1</v>
      </c>
      <c r="G115" s="26">
        <v>0</v>
      </c>
      <c r="H115" s="9">
        <v>201101</v>
      </c>
      <c r="I115" s="15" t="str">
        <f>IFERROR(VLOOKUP(H115,monsters[#All],4,0),"")</f>
        <v>地宫蝙蝠</v>
      </c>
      <c r="J115" s="15" t="str" cm="1">
        <f t="array" ref="J115">_xlfn.LET(_xlpm.v6p,ABS(ATAN2(O115,P115))*6/PI(),
_xlpm.output,_xlfn.IFS(_xlpm.v6p&lt;1,"正前",_xlpm.v6p&gt;5,"正后",AND(_xlpm.v6p&lt;5,_xlpm.v6p&gt;2,P115&lt;-1),"脚底",_xlpm.v6p&gt;4,"后上",_xlpm.v6p&lt;2,"前上",TRUE,"顶部"),
IFERROR(_xlpm.output,""))</f>
        <v>前上</v>
      </c>
      <c r="K115" s="12"/>
      <c r="L115" s="12" t="s">
        <v>27</v>
      </c>
      <c r="M115" s="12"/>
      <c r="N115" s="19" t="str">
        <f t="shared" ref="N115:N117" si="58">O115+0&amp;","&amp;P115+0</f>
        <v>15,10</v>
      </c>
      <c r="O115" s="24">
        <v>15</v>
      </c>
      <c r="P115" s="24">
        <v>10</v>
      </c>
      <c r="Q115" s="19">
        <f t="shared" si="55"/>
        <v>1</v>
      </c>
      <c r="S115" s="9">
        <v>4</v>
      </c>
      <c r="T115" s="19" t="str">
        <f>IF(U115&lt;&gt;"", U115+0&amp;","&amp;V115+0,"")</f>
        <v>1,3</v>
      </c>
      <c r="U115" s="24">
        <v>1</v>
      </c>
      <c r="V115" s="24">
        <v>3</v>
      </c>
      <c r="W115" s="9">
        <v>1</v>
      </c>
      <c r="X115" s="9">
        <v>11</v>
      </c>
      <c r="Y115" s="19" t="str">
        <f t="shared" si="56"/>
        <v>0,0</v>
      </c>
      <c r="AA115" s="19" t="str">
        <f t="shared" si="57"/>
        <v>80,120</v>
      </c>
      <c r="AC115" s="9">
        <v>2</v>
      </c>
      <c r="AD115" s="9">
        <v>0.5</v>
      </c>
      <c r="AE115" s="9">
        <v>0.3</v>
      </c>
      <c r="AF115" s="9">
        <v>2</v>
      </c>
      <c r="AG115" s="9">
        <v>20</v>
      </c>
    </row>
    <row r="116" spans="1:33" x14ac:dyDescent="0.2">
      <c r="A116" s="9">
        <v>42013</v>
      </c>
      <c r="B116" s="9" t="str" cm="1">
        <f t="array" ref="B116">D116&amp;_xlfn.TEXTJOIN("",1,TEXT(E116:G116,"00"))</f>
        <v>1010200</v>
      </c>
      <c r="C116" s="30" t="str">
        <f t="shared" si="54"/>
        <v>42013,1010200</v>
      </c>
      <c r="D116" s="26">
        <v>1</v>
      </c>
      <c r="E116" s="26">
        <v>1</v>
      </c>
      <c r="F116" s="26">
        <f>W116</f>
        <v>2</v>
      </c>
      <c r="G116" s="26">
        <v>0</v>
      </c>
      <c r="H116" s="9">
        <v>201101</v>
      </c>
      <c r="I116" s="15" t="str">
        <f>IFERROR(VLOOKUP(H116,monsters[#All],4,0),"")</f>
        <v>地宫蝙蝠</v>
      </c>
      <c r="J116" s="15" t="str" cm="1">
        <f t="array" ref="J116">_xlfn.LET(_xlpm.v6p,ABS(ATAN2(O116,P116))*6/PI(),
_xlpm.output,_xlfn.IFS(_xlpm.v6p&lt;1,"正前",_xlpm.v6p&gt;5,"正后",AND(_xlpm.v6p&lt;5,_xlpm.v6p&gt;2,P116&lt;-1),"脚底",_xlpm.v6p&gt;4,"后上",_xlpm.v6p&lt;2,"前上",TRUE,"顶部"),
IFERROR(_xlpm.output,""))</f>
        <v>前上</v>
      </c>
      <c r="K116" s="12"/>
      <c r="L116" s="12" t="s">
        <v>27</v>
      </c>
      <c r="M116" s="12"/>
      <c r="N116" s="19" t="str">
        <f t="shared" si="58"/>
        <v>15,10</v>
      </c>
      <c r="O116" s="24">
        <v>15</v>
      </c>
      <c r="P116" s="24">
        <v>10</v>
      </c>
      <c r="Q116" s="19">
        <f t="shared" si="55"/>
        <v>1</v>
      </c>
      <c r="S116" s="9">
        <v>4</v>
      </c>
      <c r="T116" s="19" t="str">
        <f>IF(U116&lt;&gt;"", U116+0&amp;","&amp;V116+0,"")</f>
        <v>1,3</v>
      </c>
      <c r="U116" s="24">
        <v>1</v>
      </c>
      <c r="V116" s="24">
        <v>3</v>
      </c>
      <c r="W116" s="9">
        <v>2</v>
      </c>
      <c r="X116" s="9">
        <v>11</v>
      </c>
      <c r="Y116" s="19" t="str">
        <f t="shared" si="56"/>
        <v>0,0</v>
      </c>
      <c r="AA116" s="19" t="str">
        <f t="shared" si="57"/>
        <v>80,120</v>
      </c>
      <c r="AC116" s="9">
        <v>2</v>
      </c>
      <c r="AD116" s="9">
        <v>0.5</v>
      </c>
      <c r="AE116" s="9">
        <v>0.3</v>
      </c>
      <c r="AF116" s="9">
        <v>2</v>
      </c>
      <c r="AG116" s="9">
        <v>20</v>
      </c>
    </row>
    <row r="117" spans="1:33" x14ac:dyDescent="0.2">
      <c r="A117" s="9">
        <v>42013</v>
      </c>
      <c r="B117" s="9" t="str" cm="1">
        <f t="array" ref="B117">D117&amp;_xlfn.TEXTJOIN("",1,TEXT(E117:G117,"00"))</f>
        <v>1010300</v>
      </c>
      <c r="C117" s="30" t="str">
        <f t="shared" si="54"/>
        <v>42013,1010300</v>
      </c>
      <c r="D117" s="26">
        <v>1</v>
      </c>
      <c r="E117" s="26">
        <v>1</v>
      </c>
      <c r="F117" s="26">
        <f>W117</f>
        <v>3</v>
      </c>
      <c r="G117" s="26">
        <v>0</v>
      </c>
      <c r="H117" s="9">
        <v>201101</v>
      </c>
      <c r="I117" s="15" t="str">
        <f>IFERROR(VLOOKUP(H117,monsters[#All],4,0),"")</f>
        <v>地宫蝙蝠</v>
      </c>
      <c r="J117" s="15" t="str" cm="1">
        <f t="array" ref="J117">_xlfn.LET(_xlpm.v6p,ABS(ATAN2(O117,P117))*6/PI(),
_xlpm.output,_xlfn.IFS(_xlpm.v6p&lt;1,"正前",_xlpm.v6p&gt;5,"正后",AND(_xlpm.v6p&lt;5,_xlpm.v6p&gt;2,P117&lt;-1),"脚底",_xlpm.v6p&gt;4,"后上",_xlpm.v6p&lt;2,"前上",TRUE,"顶部"),
IFERROR(_xlpm.output,""))</f>
        <v>前上</v>
      </c>
      <c r="K117" s="12"/>
      <c r="L117" s="12" t="s">
        <v>27</v>
      </c>
      <c r="M117" s="12"/>
      <c r="N117" s="19" t="str">
        <f t="shared" si="58"/>
        <v>15,10</v>
      </c>
      <c r="O117" s="24">
        <v>15</v>
      </c>
      <c r="P117" s="24">
        <v>10</v>
      </c>
      <c r="Q117" s="19">
        <f t="shared" si="55"/>
        <v>1</v>
      </c>
      <c r="S117" s="9">
        <v>12</v>
      </c>
      <c r="T117" s="19" t="str">
        <f>IF(U117&lt;&gt;"", U117+0&amp;","&amp;V117+0,"")</f>
        <v>1,3</v>
      </c>
      <c r="U117" s="24">
        <v>1</v>
      </c>
      <c r="V117" s="24">
        <v>3</v>
      </c>
      <c r="W117" s="9">
        <v>3</v>
      </c>
      <c r="X117" s="9">
        <v>11</v>
      </c>
      <c r="Y117" s="19" t="str">
        <f t="shared" si="56"/>
        <v>0,0</v>
      </c>
      <c r="AA117" s="19" t="str">
        <f t="shared" si="57"/>
        <v>80,120</v>
      </c>
      <c r="AC117" s="9">
        <v>12</v>
      </c>
      <c r="AD117" s="9">
        <v>8</v>
      </c>
      <c r="AE117" s="9">
        <v>0.3</v>
      </c>
      <c r="AF117" s="9">
        <v>6</v>
      </c>
      <c r="AG117" s="9">
        <v>200</v>
      </c>
    </row>
    <row r="118" spans="1:33" x14ac:dyDescent="0.2">
      <c r="C118" s="30" t="str">
        <f t="shared" si="54"/>
        <v/>
      </c>
      <c r="I118" s="15" t="str">
        <f>IFERROR(VLOOKUP(H118,monsters[#All],4,0),"")</f>
        <v/>
      </c>
      <c r="J118" s="15" t="str" cm="1">
        <f t="array" ref="J118">_xlfn.LET(_xlpm.v6p,ABS(ATAN2(O118,P118))*6/PI(),
_xlpm.output,_xlfn.IFS(_xlpm.v6p&lt;1,"正前",_xlpm.v6p&gt;5,"正后",AND(_xlpm.v6p&lt;5,_xlpm.v6p&gt;2,P118&lt;-1),"脚底",_xlpm.v6p&gt;4,"后上",_xlpm.v6p&lt;2,"前上",TRUE,"顶部"),
IFERROR(_xlpm.output,""))</f>
        <v/>
      </c>
      <c r="N118" s="19"/>
      <c r="Q118" s="19" t="str">
        <f t="shared" si="55"/>
        <v/>
      </c>
      <c r="S118" s="9" t="s">
        <v>62</v>
      </c>
      <c r="T118" s="19" t="str">
        <f t="shared" ref="T118" si="59">IF(U118&lt;&gt;"", U118+0&amp;","&amp;V118+0,"")</f>
        <v/>
      </c>
      <c r="Y118" s="19" t="str">
        <f t="shared" si="56"/>
        <v/>
      </c>
      <c r="AA118" s="19" t="str">
        <f t="shared" si="57"/>
        <v/>
      </c>
      <c r="AC118" s="9" t="s">
        <v>62</v>
      </c>
    </row>
    <row r="119" spans="1:33" x14ac:dyDescent="0.2">
      <c r="A119" s="9">
        <v>42013</v>
      </c>
      <c r="B119" s="9" t="str" cm="1">
        <f t="array" ref="B119">D119&amp;_xlfn.TEXTJOIN("",1,TEXT(E119:G119,"00"))</f>
        <v>1020000</v>
      </c>
      <c r="C119" s="30" t="str">
        <f t="shared" si="54"/>
        <v>42013,1020000</v>
      </c>
      <c r="D119" s="26">
        <v>1</v>
      </c>
      <c r="E119" s="26">
        <v>2</v>
      </c>
      <c r="F119" s="26">
        <f>W119</f>
        <v>0</v>
      </c>
      <c r="G119" s="26">
        <v>0</v>
      </c>
      <c r="H119" s="9">
        <v>201101</v>
      </c>
      <c r="I119" s="15" t="str">
        <f>IFERROR(VLOOKUP(H119,monsters[#All],4,0),"")</f>
        <v>地宫蝙蝠</v>
      </c>
      <c r="J119" s="15" t="str" cm="1">
        <f t="array" ref="J119">_xlfn.LET(_xlpm.v6p,ABS(ATAN2(O119,P119))*6/PI(),
_xlpm.output,_xlfn.IFS(_xlpm.v6p&lt;1,"正前",_xlpm.v6p&gt;5,"正后",AND(_xlpm.v6p&lt;5,_xlpm.v6p&gt;2,P119&lt;-1),"脚底",_xlpm.v6p&gt;4,"后上",_xlpm.v6p&lt;2,"前上",TRUE,"顶部"),
IFERROR(_xlpm.output,""))</f>
        <v>后上</v>
      </c>
      <c r="K119" s="12"/>
      <c r="L119" s="12" t="s">
        <v>27</v>
      </c>
      <c r="M119" s="12"/>
      <c r="N119" s="19" t="str">
        <f t="shared" ref="N119:N122" si="60">O119+0&amp;","&amp;P119+0</f>
        <v>-15,10</v>
      </c>
      <c r="O119" s="24">
        <v>-15</v>
      </c>
      <c r="P119" s="24">
        <v>10</v>
      </c>
      <c r="Q119" s="19">
        <f t="shared" si="55"/>
        <v>1</v>
      </c>
      <c r="S119" s="9">
        <v>12</v>
      </c>
      <c r="T119" s="19" t="str">
        <f>IF(U119&lt;&gt;"", U119+0&amp;","&amp;V119+0,"")</f>
        <v>1,3</v>
      </c>
      <c r="U119" s="24">
        <v>1</v>
      </c>
      <c r="V119" s="24">
        <v>3</v>
      </c>
      <c r="W119" s="9">
        <v>0</v>
      </c>
      <c r="X119" s="9">
        <v>11</v>
      </c>
      <c r="Y119" s="19" t="str">
        <f t="shared" si="56"/>
        <v>35,40</v>
      </c>
      <c r="Z119" s="24" t="s">
        <v>131</v>
      </c>
      <c r="AA119" s="19" t="str">
        <f t="shared" si="57"/>
        <v>80,120</v>
      </c>
      <c r="AC119" s="9">
        <v>2</v>
      </c>
      <c r="AD119" s="9">
        <v>2</v>
      </c>
      <c r="AE119" s="9">
        <v>0.3</v>
      </c>
      <c r="AF119" s="9">
        <v>4</v>
      </c>
      <c r="AG119" s="9">
        <v>100</v>
      </c>
    </row>
    <row r="120" spans="1:33" x14ac:dyDescent="0.2">
      <c r="A120" s="9">
        <v>42013</v>
      </c>
      <c r="B120" s="9" t="str" cm="1">
        <f t="array" ref="B120">D120&amp;_xlfn.TEXTJOIN("",1,TEXT(E120:G120,"00"))</f>
        <v>1020100</v>
      </c>
      <c r="C120" s="30" t="str">
        <f t="shared" si="54"/>
        <v>42013,1020100</v>
      </c>
      <c r="D120" s="26">
        <v>1</v>
      </c>
      <c r="E120" s="26">
        <v>2</v>
      </c>
      <c r="F120" s="26">
        <f>W120</f>
        <v>1</v>
      </c>
      <c r="G120" s="26">
        <v>0</v>
      </c>
      <c r="H120" s="9">
        <v>201101</v>
      </c>
      <c r="I120" s="15" t="str">
        <f>IFERROR(VLOOKUP(H120,monsters[#All],4,0),"")</f>
        <v>地宫蝙蝠</v>
      </c>
      <c r="J120" s="15" t="str" cm="1">
        <f t="array" ref="J120">_xlfn.LET(_xlpm.v6p,ABS(ATAN2(O120,P120))*6/PI(),
_xlpm.output,_xlfn.IFS(_xlpm.v6p&lt;1,"正前",_xlpm.v6p&gt;5,"正后",AND(_xlpm.v6p&lt;5,_xlpm.v6p&gt;2,P120&lt;-1),"脚底",_xlpm.v6p&gt;4,"后上",_xlpm.v6p&lt;2,"前上",TRUE,"顶部"),
IFERROR(_xlpm.output,""))</f>
        <v>后上</v>
      </c>
      <c r="K120" s="12"/>
      <c r="L120" s="12" t="s">
        <v>27</v>
      </c>
      <c r="M120" s="12"/>
      <c r="N120" s="19" t="str">
        <f t="shared" si="60"/>
        <v>-15,10</v>
      </c>
      <c r="O120" s="24">
        <v>-15</v>
      </c>
      <c r="P120" s="24">
        <v>10</v>
      </c>
      <c r="Q120" s="19">
        <f t="shared" si="55"/>
        <v>1</v>
      </c>
      <c r="S120" s="9">
        <v>4</v>
      </c>
      <c r="T120" s="19" t="str">
        <f>IF(U120&lt;&gt;"", U120+0&amp;","&amp;V120+0,"")</f>
        <v>1,3</v>
      </c>
      <c r="U120" s="24">
        <v>1</v>
      </c>
      <c r="V120" s="24">
        <v>3</v>
      </c>
      <c r="W120" s="9">
        <v>1</v>
      </c>
      <c r="X120" s="9">
        <v>11</v>
      </c>
      <c r="Y120" s="19" t="str">
        <f t="shared" si="56"/>
        <v>0,0</v>
      </c>
      <c r="AA120" s="19" t="str">
        <f t="shared" si="57"/>
        <v>80,120</v>
      </c>
      <c r="AC120" s="9">
        <v>2</v>
      </c>
      <c r="AD120" s="9">
        <v>0.5</v>
      </c>
      <c r="AE120" s="9">
        <v>0.3</v>
      </c>
      <c r="AF120" s="9">
        <v>2</v>
      </c>
      <c r="AG120" s="9">
        <v>20</v>
      </c>
    </row>
    <row r="121" spans="1:33" x14ac:dyDescent="0.2">
      <c r="A121" s="9">
        <v>42013</v>
      </c>
      <c r="B121" s="9" t="str" cm="1">
        <f t="array" ref="B121">D121&amp;_xlfn.TEXTJOIN("",1,TEXT(E121:G121,"00"))</f>
        <v>1020200</v>
      </c>
      <c r="C121" s="30" t="str">
        <f t="shared" si="54"/>
        <v>42013,1020200</v>
      </c>
      <c r="D121" s="26">
        <v>1</v>
      </c>
      <c r="E121" s="26">
        <v>2</v>
      </c>
      <c r="F121" s="26">
        <f>W121</f>
        <v>2</v>
      </c>
      <c r="G121" s="26">
        <v>0</v>
      </c>
      <c r="H121" s="9">
        <v>201101</v>
      </c>
      <c r="I121" s="15" t="str">
        <f>IFERROR(VLOOKUP(H121,monsters[#All],4,0),"")</f>
        <v>地宫蝙蝠</v>
      </c>
      <c r="J121" s="15" t="str" cm="1">
        <f t="array" ref="J121">_xlfn.LET(_xlpm.v6p,ABS(ATAN2(O121,P121))*6/PI(),
_xlpm.output,_xlfn.IFS(_xlpm.v6p&lt;1,"正前",_xlpm.v6p&gt;5,"正后",AND(_xlpm.v6p&lt;5,_xlpm.v6p&gt;2,P121&lt;-1),"脚底",_xlpm.v6p&gt;4,"后上",_xlpm.v6p&lt;2,"前上",TRUE,"顶部"),
IFERROR(_xlpm.output,""))</f>
        <v>后上</v>
      </c>
      <c r="K121" s="12"/>
      <c r="L121" s="12" t="s">
        <v>27</v>
      </c>
      <c r="M121" s="12"/>
      <c r="N121" s="19" t="str">
        <f t="shared" si="60"/>
        <v>-15,10</v>
      </c>
      <c r="O121" s="24">
        <v>-15</v>
      </c>
      <c r="P121" s="24">
        <v>10</v>
      </c>
      <c r="Q121" s="19">
        <f t="shared" si="55"/>
        <v>1</v>
      </c>
      <c r="S121" s="9">
        <v>20</v>
      </c>
      <c r="T121" s="19" t="str">
        <f>IF(U121&lt;&gt;"", U121+0&amp;","&amp;V121+0,"")</f>
        <v>1,3</v>
      </c>
      <c r="U121" s="24">
        <v>1</v>
      </c>
      <c r="V121" s="24">
        <v>3</v>
      </c>
      <c r="W121" s="9">
        <v>2</v>
      </c>
      <c r="X121" s="9">
        <v>11</v>
      </c>
      <c r="Y121" s="19" t="str">
        <f t="shared" si="56"/>
        <v>0,0</v>
      </c>
      <c r="AA121" s="19" t="str">
        <f t="shared" si="57"/>
        <v>80,120</v>
      </c>
      <c r="AC121" s="9">
        <v>2</v>
      </c>
      <c r="AD121" s="9">
        <v>0.5</v>
      </c>
      <c r="AE121" s="9">
        <v>0.3</v>
      </c>
      <c r="AF121" s="9">
        <v>2</v>
      </c>
      <c r="AG121" s="9">
        <v>20</v>
      </c>
    </row>
    <row r="122" spans="1:33" x14ac:dyDescent="0.2">
      <c r="A122" s="9">
        <v>42013</v>
      </c>
      <c r="B122" s="9" t="str" cm="1">
        <f t="array" ref="B122">D122&amp;_xlfn.TEXTJOIN("",1,TEXT(E122:G122,"00"))</f>
        <v>1020300</v>
      </c>
      <c r="C122" s="30" t="str">
        <f t="shared" si="54"/>
        <v>42013,1020300</v>
      </c>
      <c r="D122" s="26">
        <v>1</v>
      </c>
      <c r="E122" s="26">
        <v>2</v>
      </c>
      <c r="F122" s="26">
        <f>W122</f>
        <v>3</v>
      </c>
      <c r="G122" s="26">
        <v>0</v>
      </c>
      <c r="H122" s="9">
        <v>201101</v>
      </c>
      <c r="I122" s="15" t="str">
        <f>IFERROR(VLOOKUP(H122,monsters[#All],4,0),"")</f>
        <v>地宫蝙蝠</v>
      </c>
      <c r="J122" s="15" t="str" cm="1">
        <f t="array" ref="J122">_xlfn.LET(_xlpm.v6p,ABS(ATAN2(O122,P122))*6/PI(),
_xlpm.output,_xlfn.IFS(_xlpm.v6p&lt;1,"正前",_xlpm.v6p&gt;5,"正后",AND(_xlpm.v6p&lt;5,_xlpm.v6p&gt;2,P122&lt;-1),"脚底",_xlpm.v6p&gt;4,"后上",_xlpm.v6p&lt;2,"前上",TRUE,"顶部"),
IFERROR(_xlpm.output,""))</f>
        <v>后上</v>
      </c>
      <c r="K122" s="12"/>
      <c r="L122" s="12" t="s">
        <v>27</v>
      </c>
      <c r="M122" s="12"/>
      <c r="N122" s="19" t="str">
        <f t="shared" si="60"/>
        <v>-15,10</v>
      </c>
      <c r="O122" s="24">
        <v>-15</v>
      </c>
      <c r="P122" s="24">
        <v>10</v>
      </c>
      <c r="Q122" s="19">
        <f t="shared" si="55"/>
        <v>1</v>
      </c>
      <c r="S122" s="9">
        <v>20</v>
      </c>
      <c r="T122" s="19" t="str">
        <f>IF(U122&lt;&gt;"", U122+0&amp;","&amp;V122+0,"")</f>
        <v>1,3</v>
      </c>
      <c r="U122" s="24">
        <v>1</v>
      </c>
      <c r="V122" s="24">
        <v>3</v>
      </c>
      <c r="W122" s="9">
        <v>3</v>
      </c>
      <c r="X122" s="9">
        <v>11</v>
      </c>
      <c r="Y122" s="19" t="str">
        <f t="shared" si="56"/>
        <v>0,0</v>
      </c>
      <c r="AA122" s="19" t="str">
        <f t="shared" si="57"/>
        <v>80,120</v>
      </c>
      <c r="AC122" s="9">
        <v>40</v>
      </c>
      <c r="AD122" s="9">
        <v>6</v>
      </c>
      <c r="AE122" s="9">
        <v>0.3</v>
      </c>
      <c r="AF122" s="9">
        <v>6</v>
      </c>
      <c r="AG122" s="9">
        <v>200</v>
      </c>
    </row>
    <row r="123" spans="1:33" x14ac:dyDescent="0.2">
      <c r="C123" s="30" t="str">
        <f t="shared" si="54"/>
        <v/>
      </c>
      <c r="I123" s="15" t="str">
        <f>IFERROR(VLOOKUP(H123,monsters[#All],4,0),"")</f>
        <v/>
      </c>
      <c r="J123" s="15" t="str" cm="1">
        <f t="array" ref="J123">_xlfn.LET(_xlpm.v6p,ABS(ATAN2(O123,P123))*6/PI(),
_xlpm.output,_xlfn.IFS(_xlpm.v6p&lt;1,"正前",_xlpm.v6p&gt;5,"正后",AND(_xlpm.v6p&lt;5,_xlpm.v6p&gt;2,P123&lt;-1),"脚底",_xlpm.v6p&gt;4,"后上",_xlpm.v6p&lt;2,"前上",TRUE,"顶部"),
IFERROR(_xlpm.output,""))</f>
        <v/>
      </c>
      <c r="K123" s="12"/>
      <c r="L123" s="12"/>
      <c r="M123" s="12"/>
      <c r="N123" s="19"/>
      <c r="Q123" s="19" t="str">
        <f t="shared" si="55"/>
        <v/>
      </c>
      <c r="S123" s="9" t="s">
        <v>62</v>
      </c>
      <c r="T123" s="19" t="str">
        <f t="shared" ref="T123" si="61">IF(U123&lt;&gt;"", U123+0&amp;","&amp;V123+0,"")</f>
        <v/>
      </c>
      <c r="Y123" s="19" t="str">
        <f t="shared" si="56"/>
        <v/>
      </c>
      <c r="AA123" s="19" t="str">
        <f t="shared" si="57"/>
        <v/>
      </c>
      <c r="AC123" s="9" t="s">
        <v>62</v>
      </c>
    </row>
    <row r="124" spans="1:33" x14ac:dyDescent="0.2">
      <c r="A124" s="9">
        <v>42013</v>
      </c>
      <c r="B124" s="9" t="str" cm="1">
        <f t="array" ref="B124">D124&amp;_xlfn.TEXTJOIN("",1,TEXT(E124:G124,"00"))</f>
        <v>3010000</v>
      </c>
      <c r="C124" s="30" t="str">
        <f t="shared" si="54"/>
        <v>42013,3010000</v>
      </c>
      <c r="D124" s="26">
        <v>3</v>
      </c>
      <c r="E124" s="26">
        <v>1</v>
      </c>
      <c r="F124" s="26">
        <v>0</v>
      </c>
      <c r="G124" s="26">
        <v>0</v>
      </c>
      <c r="H124" s="9">
        <v>201103</v>
      </c>
      <c r="I124" s="15" t="str">
        <f>IFERROR(VLOOKUP(H124,monsters[#All],4,0),"")</f>
        <v>跳虫</v>
      </c>
      <c r="J124" s="15" t="str" cm="1">
        <f t="array" ref="J124">_xlfn.LET(_xlpm.v6p,ABS(ATAN2(O124,P124))*6/PI(),
_xlpm.output,_xlfn.IFS(_xlpm.v6p&lt;1,"正前",_xlpm.v6p&gt;5,"正后",AND(_xlpm.v6p&lt;5,_xlpm.v6p&gt;2,P124&lt;-1),"脚底",_xlpm.v6p&gt;4,"后上",_xlpm.v6p&lt;2,"前上",TRUE,"顶部"),
IFERROR(_xlpm.output,""))</f>
        <v>正后</v>
      </c>
      <c r="K124" s="12"/>
      <c r="L124" s="12" t="s">
        <v>27</v>
      </c>
      <c r="M124" s="12"/>
      <c r="N124" s="19" t="str">
        <f t="shared" ref="N124:N127" si="62">O124+0&amp;","&amp;P124+0</f>
        <v>-14,-1</v>
      </c>
      <c r="O124" s="24">
        <v>-14</v>
      </c>
      <c r="P124" s="24">
        <v>-1</v>
      </c>
      <c r="Q124" s="19">
        <f t="shared" si="55"/>
        <v>1</v>
      </c>
      <c r="S124" s="25">
        <v>8</v>
      </c>
      <c r="T124" s="19"/>
      <c r="W124" s="9">
        <v>0</v>
      </c>
      <c r="X124" s="9">
        <v>11</v>
      </c>
      <c r="Y124" s="19" t="str">
        <f t="shared" si="56"/>
        <v>0,0</v>
      </c>
      <c r="AA124" s="19" t="str">
        <f t="shared" si="57"/>
        <v>1,120</v>
      </c>
      <c r="AB124" s="24" t="str">
        <f>"1,120"</f>
        <v>1,120</v>
      </c>
      <c r="AC124" s="9">
        <v>1.44</v>
      </c>
      <c r="AD124" s="9">
        <v>7.4999999999999997E-2</v>
      </c>
      <c r="AE124" s="9">
        <v>0.25</v>
      </c>
      <c r="AF124" s="9">
        <v>2</v>
      </c>
      <c r="AG124" s="9">
        <v>3</v>
      </c>
    </row>
    <row r="125" spans="1:33" x14ac:dyDescent="0.2">
      <c r="A125" s="9">
        <v>42013</v>
      </c>
      <c r="B125" s="9" t="str" cm="1">
        <f t="array" ref="B125">D125&amp;_xlfn.TEXTJOIN("",1,TEXT(E125:G125,"00"))</f>
        <v>3020000</v>
      </c>
      <c r="C125" s="30" t="str">
        <f t="shared" si="54"/>
        <v>42013,3020000</v>
      </c>
      <c r="D125" s="26">
        <v>3</v>
      </c>
      <c r="E125" s="26">
        <v>2</v>
      </c>
      <c r="F125" s="26">
        <v>0</v>
      </c>
      <c r="G125" s="26">
        <v>0</v>
      </c>
      <c r="H125" s="9">
        <v>201103</v>
      </c>
      <c r="I125" s="15" t="str">
        <f>IFERROR(VLOOKUP(H125,monsters[#All],4,0),"")</f>
        <v>跳虫</v>
      </c>
      <c r="J125" s="15" t="str" cm="1">
        <f t="array" ref="J125">_xlfn.LET(_xlpm.v6p,ABS(ATAN2(O125,P125))*6/PI(),
_xlpm.output,_xlfn.IFS(_xlpm.v6p&lt;1,"正前",_xlpm.v6p&gt;5,"正后",AND(_xlpm.v6p&lt;5,_xlpm.v6p&gt;2,P125&lt;-1),"脚底",_xlpm.v6p&gt;4,"后上",_xlpm.v6p&lt;2,"前上",TRUE,"顶部"),
IFERROR(_xlpm.output,""))</f>
        <v>正前</v>
      </c>
      <c r="K125" s="12"/>
      <c r="L125" s="12" t="s">
        <v>27</v>
      </c>
      <c r="M125" s="12"/>
      <c r="N125" s="19" t="str">
        <f t="shared" si="62"/>
        <v>14,-1</v>
      </c>
      <c r="O125" s="24">
        <v>14</v>
      </c>
      <c r="P125" s="24">
        <v>-1</v>
      </c>
      <c r="Q125" s="19">
        <f t="shared" si="55"/>
        <v>1</v>
      </c>
      <c r="S125" s="25">
        <v>8</v>
      </c>
      <c r="T125" s="19"/>
      <c r="W125" s="9">
        <v>0</v>
      </c>
      <c r="X125" s="9">
        <v>11</v>
      </c>
      <c r="Y125" s="19" t="str">
        <f t="shared" si="56"/>
        <v>0,0</v>
      </c>
      <c r="AA125" s="19" t="str">
        <f t="shared" si="57"/>
        <v>1,120</v>
      </c>
      <c r="AB125" s="24" t="str">
        <f>"1,120"</f>
        <v>1,120</v>
      </c>
      <c r="AC125" s="9">
        <v>1.48</v>
      </c>
      <c r="AD125" s="9">
        <v>8.2000000000000003E-2</v>
      </c>
      <c r="AE125" s="9">
        <v>0.25</v>
      </c>
      <c r="AF125" s="9">
        <v>2</v>
      </c>
      <c r="AG125" s="9">
        <v>3</v>
      </c>
    </row>
    <row r="126" spans="1:33" x14ac:dyDescent="0.2">
      <c r="A126" s="9">
        <v>42013</v>
      </c>
      <c r="B126" s="9" t="str" cm="1">
        <f t="array" ref="B126">D126&amp;_xlfn.TEXTJOIN("",1,TEXT(E126:G126,"00"))</f>
        <v>3030001</v>
      </c>
      <c r="C126" s="30" t="str">
        <f t="shared" si="54"/>
        <v>42013,3030001</v>
      </c>
      <c r="D126" s="26">
        <v>3</v>
      </c>
      <c r="E126" s="26">
        <v>3</v>
      </c>
      <c r="F126" s="26">
        <v>0</v>
      </c>
      <c r="G126" s="26">
        <v>1</v>
      </c>
      <c r="H126" s="9">
        <v>201103</v>
      </c>
      <c r="I126" s="15" t="str">
        <f>IFERROR(VLOOKUP(H126,monsters[#All],4,0),"")</f>
        <v>跳虫</v>
      </c>
      <c r="J126" s="15" t="str" cm="1">
        <f t="array" ref="J126">_xlfn.LET(_xlpm.v6p,ABS(ATAN2(O126,P126))*6/PI(),
_xlpm.output,_xlfn.IFS(_xlpm.v6p&lt;1,"正前",_xlpm.v6p&gt;5,"正后",AND(_xlpm.v6p&lt;5,_xlpm.v6p&gt;2,P126&lt;-1),"脚底",_xlpm.v6p&gt;4,"后上",_xlpm.v6p&lt;2,"前上",TRUE,"顶部"),
IFERROR(_xlpm.output,""))</f>
        <v>顶部</v>
      </c>
      <c r="K126" s="12"/>
      <c r="L126" s="12" t="s">
        <v>27</v>
      </c>
      <c r="M126" s="12"/>
      <c r="N126" s="19" t="str">
        <f t="shared" si="62"/>
        <v>3,12</v>
      </c>
      <c r="O126" s="24">
        <v>3</v>
      </c>
      <c r="P126" s="24">
        <v>12</v>
      </c>
      <c r="Q126" s="19">
        <f t="shared" si="55"/>
        <v>1</v>
      </c>
      <c r="S126" s="25">
        <v>8</v>
      </c>
      <c r="T126" s="19"/>
      <c r="W126" s="9">
        <v>0</v>
      </c>
      <c r="X126" s="9">
        <v>11</v>
      </c>
      <c r="Y126" s="19" t="str">
        <f t="shared" si="56"/>
        <v>0,0</v>
      </c>
      <c r="AA126" s="19" t="str">
        <f t="shared" si="57"/>
        <v>1,120</v>
      </c>
      <c r="AB126" s="24" t="str">
        <f>"1,120"</f>
        <v>1,120</v>
      </c>
      <c r="AC126" s="9">
        <v>0.88</v>
      </c>
      <c r="AD126" s="9">
        <v>5.0999999999999997E-2</v>
      </c>
      <c r="AE126" s="9">
        <v>0.25</v>
      </c>
      <c r="AF126" s="9">
        <v>2</v>
      </c>
      <c r="AG126" s="9">
        <v>3</v>
      </c>
    </row>
    <row r="127" spans="1:33" x14ac:dyDescent="0.2">
      <c r="A127" s="9">
        <v>42013</v>
      </c>
      <c r="B127" s="9" t="str" cm="1">
        <f t="array" ref="B127">D127&amp;_xlfn.TEXTJOIN("",1,TEXT(E127:G127,"00"))</f>
        <v>3030002</v>
      </c>
      <c r="C127" s="30" t="str">
        <f t="shared" si="54"/>
        <v>42013,3030002</v>
      </c>
      <c r="D127" s="26">
        <v>3</v>
      </c>
      <c r="E127" s="26">
        <v>3</v>
      </c>
      <c r="F127" s="26">
        <v>0</v>
      </c>
      <c r="G127" s="26">
        <v>2</v>
      </c>
      <c r="H127" s="9">
        <v>201103</v>
      </c>
      <c r="I127" s="15" t="str">
        <f>IFERROR(VLOOKUP(H127,monsters[#All],4,0),"")</f>
        <v>跳虫</v>
      </c>
      <c r="J127" s="15" t="str" cm="1">
        <f t="array" ref="J127">_xlfn.LET(_xlpm.v6p,ABS(ATAN2(O127,P127))*6/PI(),
_xlpm.output,_xlfn.IFS(_xlpm.v6p&lt;1,"正前",_xlpm.v6p&gt;5,"正后",AND(_xlpm.v6p&lt;5,_xlpm.v6p&gt;2,P127&lt;-1),"脚底",_xlpm.v6p&gt;4,"后上",_xlpm.v6p&lt;2,"前上",TRUE,"顶部"),
IFERROR(_xlpm.output,""))</f>
        <v>顶部</v>
      </c>
      <c r="K127" s="12"/>
      <c r="L127" s="12" t="s">
        <v>27</v>
      </c>
      <c r="M127" s="12"/>
      <c r="N127" s="19" t="str">
        <f t="shared" si="62"/>
        <v>-3,12</v>
      </c>
      <c r="O127" s="24">
        <v>-3</v>
      </c>
      <c r="P127" s="24">
        <v>12</v>
      </c>
      <c r="Q127" s="19">
        <f t="shared" si="55"/>
        <v>1</v>
      </c>
      <c r="S127" s="25">
        <v>8</v>
      </c>
      <c r="T127" s="19"/>
      <c r="W127" s="9">
        <v>0</v>
      </c>
      <c r="X127" s="9">
        <v>11</v>
      </c>
      <c r="Y127" s="19" t="str">
        <f t="shared" si="56"/>
        <v>0,0</v>
      </c>
      <c r="AA127" s="19" t="str">
        <f t="shared" si="57"/>
        <v>1,120</v>
      </c>
      <c r="AB127" s="24" t="str">
        <f>"1,120"</f>
        <v>1,120</v>
      </c>
      <c r="AC127" s="9">
        <v>1</v>
      </c>
      <c r="AD127" s="9">
        <v>4.2000000000000003E-2</v>
      </c>
      <c r="AE127" s="9">
        <v>0.25</v>
      </c>
      <c r="AF127" s="9">
        <v>2</v>
      </c>
      <c r="AG127" s="9">
        <v>3</v>
      </c>
    </row>
    <row r="128" spans="1:33" x14ac:dyDescent="0.2">
      <c r="C128" s="30" t="str">
        <f t="shared" si="54"/>
        <v/>
      </c>
      <c r="I128" s="15" t="str">
        <f>IFERROR(VLOOKUP(H128,monsters[#All],4,0),"")</f>
        <v/>
      </c>
      <c r="J128" s="15" t="str" cm="1">
        <f t="array" ref="J128">_xlfn.LET(_xlpm.v6p,ABS(ATAN2(O128,P128))*6/PI(),
_xlpm.output,_xlfn.IFS(_xlpm.v6p&lt;1,"正前",_xlpm.v6p&gt;5,"正后",AND(_xlpm.v6p&lt;5,_xlpm.v6p&gt;2,P128&lt;-1),"脚底",_xlpm.v6p&gt;4,"后上",_xlpm.v6p&lt;2,"前上",TRUE,"顶部"),
IFERROR(_xlpm.output,""))</f>
        <v/>
      </c>
      <c r="N128" s="19"/>
      <c r="Q128" s="19" t="str">
        <f t="shared" si="55"/>
        <v/>
      </c>
      <c r="S128" s="9" t="s">
        <v>62</v>
      </c>
      <c r="T128" s="19" t="str">
        <f t="shared" ref="T128:T131" si="63">IF(U128&lt;&gt;"", U128+0&amp;","&amp;V128+0,"")</f>
        <v/>
      </c>
      <c r="Y128" s="19" t="str">
        <f t="shared" si="56"/>
        <v/>
      </c>
      <c r="AA128" s="19" t="str">
        <f t="shared" si="57"/>
        <v/>
      </c>
      <c r="AC128" s="9" t="s">
        <v>62</v>
      </c>
    </row>
    <row r="129" spans="1:33" x14ac:dyDescent="0.2">
      <c r="A129" s="9">
        <v>42013</v>
      </c>
      <c r="B129" s="9" t="str" cm="1">
        <f t="array" ref="B129">D129&amp;_xlfn.TEXTJOIN("",1,TEXT(E129:G129,"00"))</f>
        <v>4010000</v>
      </c>
      <c r="C129" s="30" t="str">
        <f t="shared" si="54"/>
        <v>42013,4010000</v>
      </c>
      <c r="D129" s="26">
        <v>4</v>
      </c>
      <c r="E129" s="26">
        <v>1</v>
      </c>
      <c r="F129" s="26">
        <v>0</v>
      </c>
      <c r="G129" s="26">
        <v>0</v>
      </c>
      <c r="H129" s="9">
        <v>201107</v>
      </c>
      <c r="I129" s="15" t="str">
        <f>IFERROR(VLOOKUP(H129,monsters[#All],4,0),"")</f>
        <v>流浪洞穴人</v>
      </c>
      <c r="J129" s="15" t="str" cm="1">
        <f t="array" ref="J129">_xlfn.LET(_xlpm.v6p,ABS(ATAN2(O129,P129))*6/PI(),
_xlpm.output,_xlfn.IFS(_xlpm.v6p&lt;1,"正前",_xlpm.v6p&gt;5,"正后",AND(_xlpm.v6p&lt;5,_xlpm.v6p&gt;2,P129&lt;-1),"脚底",_xlpm.v6p&gt;4,"后上",_xlpm.v6p&lt;2,"前上",TRUE,"顶部"),
IFERROR(_xlpm.output,""))</f>
        <v>正前</v>
      </c>
      <c r="K129" s="12"/>
      <c r="L129" s="12" t="s">
        <v>27</v>
      </c>
      <c r="M129" s="12"/>
      <c r="N129" s="19" t="str">
        <f>O129+0&amp;","&amp;P129+0</f>
        <v>18,-1</v>
      </c>
      <c r="O129" s="24">
        <v>18</v>
      </c>
      <c r="P129" s="24">
        <v>-1</v>
      </c>
      <c r="Q129" s="19">
        <f t="shared" si="55"/>
        <v>1</v>
      </c>
      <c r="S129" s="9">
        <v>28</v>
      </c>
      <c r="T129" s="19" t="str">
        <f t="shared" si="63"/>
        <v>2,3</v>
      </c>
      <c r="U129" s="24">
        <v>2</v>
      </c>
      <c r="V129" s="24">
        <v>3</v>
      </c>
      <c r="W129" s="9">
        <v>0</v>
      </c>
      <c r="X129" s="9">
        <v>11</v>
      </c>
      <c r="Y129" s="19" t="str">
        <f t="shared" si="56"/>
        <v>0,0</v>
      </c>
      <c r="AA129" s="19" t="str">
        <f t="shared" si="57"/>
        <v>80,120</v>
      </c>
      <c r="AC129" s="9">
        <v>0.8</v>
      </c>
      <c r="AD129" s="9">
        <v>1.5</v>
      </c>
      <c r="AE129" s="9">
        <v>0.6</v>
      </c>
      <c r="AF129" s="16"/>
      <c r="AG129" s="16"/>
    </row>
    <row r="130" spans="1:33" x14ac:dyDescent="0.2">
      <c r="A130" s="9">
        <v>42013</v>
      </c>
      <c r="B130" s="9" t="str" cm="1">
        <f t="array" ref="B130">D130&amp;_xlfn.TEXTJOIN("",1,TEXT(E130:G130,"00"))</f>
        <v>4020001</v>
      </c>
      <c r="C130" s="30" t="str">
        <f t="shared" si="54"/>
        <v>42013,4020001</v>
      </c>
      <c r="D130" s="26">
        <v>4</v>
      </c>
      <c r="E130" s="26">
        <v>2</v>
      </c>
      <c r="F130" s="26">
        <v>0</v>
      </c>
      <c r="G130" s="26">
        <v>1</v>
      </c>
      <c r="H130" s="9">
        <v>201107</v>
      </c>
      <c r="I130" s="15" t="str">
        <f>IFERROR(VLOOKUP(H130,monsters[#All],4,0),"")</f>
        <v>流浪洞穴人</v>
      </c>
      <c r="J130" s="15" t="str" cm="1">
        <f t="array" ref="J130">_xlfn.LET(_xlpm.v6p,ABS(ATAN2(O130,P130))*6/PI(),
_xlpm.output,_xlfn.IFS(_xlpm.v6p&lt;1,"正前",_xlpm.v6p&gt;5,"正后",AND(_xlpm.v6p&lt;5,_xlpm.v6p&gt;2,P130&lt;-1),"脚底",_xlpm.v6p&gt;4,"后上",_xlpm.v6p&lt;2,"前上",TRUE,"顶部"),
IFERROR(_xlpm.output,""))</f>
        <v>正前</v>
      </c>
      <c r="K130" s="12"/>
      <c r="L130" s="12" t="s">
        <v>27</v>
      </c>
      <c r="M130" s="12"/>
      <c r="N130" s="19" t="str">
        <f>O130+0&amp;","&amp;P130+0</f>
        <v>18,-1</v>
      </c>
      <c r="O130" s="24">
        <v>18</v>
      </c>
      <c r="P130" s="24">
        <v>-1</v>
      </c>
      <c r="Q130" s="19">
        <f t="shared" si="55"/>
        <v>1</v>
      </c>
      <c r="S130" s="16" t="s">
        <v>62</v>
      </c>
      <c r="T130" s="19" t="str">
        <f t="shared" si="63"/>
        <v/>
      </c>
      <c r="W130" s="9">
        <v>0</v>
      </c>
      <c r="X130" s="9">
        <v>11</v>
      </c>
      <c r="Y130" s="19" t="str">
        <f t="shared" si="56"/>
        <v>0,0</v>
      </c>
      <c r="AA130" s="19" t="str">
        <f t="shared" si="57"/>
        <v>80,120</v>
      </c>
      <c r="AC130" s="16" t="s">
        <v>62</v>
      </c>
      <c r="AD130" s="16"/>
      <c r="AE130" s="9">
        <v>0.6</v>
      </c>
      <c r="AF130" s="9">
        <v>2</v>
      </c>
      <c r="AG130" s="9">
        <v>10.199999999999999</v>
      </c>
    </row>
    <row r="131" spans="1:33" x14ac:dyDescent="0.2">
      <c r="A131" s="9">
        <v>42013</v>
      </c>
      <c r="B131" s="9" t="str" cm="1">
        <f t="array" ref="B131">D131&amp;_xlfn.TEXTJOIN("",1,TEXT(E131:G131,"00"))</f>
        <v>4020002</v>
      </c>
      <c r="C131" s="30" t="str">
        <f t="shared" si="54"/>
        <v>42013,4020002</v>
      </c>
      <c r="D131" s="26">
        <v>4</v>
      </c>
      <c r="E131" s="26">
        <v>2</v>
      </c>
      <c r="F131" s="26">
        <v>0</v>
      </c>
      <c r="G131" s="26">
        <v>2</v>
      </c>
      <c r="H131" s="9">
        <v>201107</v>
      </c>
      <c r="I131" s="15" t="str">
        <f>IFERROR(VLOOKUP(H131,monsters[#All],4,0),"")</f>
        <v>流浪洞穴人</v>
      </c>
      <c r="J131" s="15" t="str" cm="1">
        <f t="array" ref="J131">_xlfn.LET(_xlpm.v6p,ABS(ATAN2(O131,P131))*6/PI(),
_xlpm.output,_xlfn.IFS(_xlpm.v6p&lt;1,"正前",_xlpm.v6p&gt;5,"正后",AND(_xlpm.v6p&lt;5,_xlpm.v6p&gt;2,P131&lt;-1),"脚底",_xlpm.v6p&gt;4,"后上",_xlpm.v6p&lt;2,"前上",TRUE,"顶部"),
IFERROR(_xlpm.output,""))</f>
        <v>正后</v>
      </c>
      <c r="K131" s="12"/>
      <c r="L131" s="12" t="s">
        <v>27</v>
      </c>
      <c r="M131" s="12"/>
      <c r="N131" s="19" t="str">
        <f t="shared" ref="N131" si="64">O131+0&amp;","&amp;P131+0</f>
        <v>-14,-1</v>
      </c>
      <c r="O131" s="24">
        <v>-14</v>
      </c>
      <c r="P131" s="24">
        <v>-1</v>
      </c>
      <c r="Q131" s="19">
        <f t="shared" si="55"/>
        <v>1</v>
      </c>
      <c r="S131" s="16" t="s">
        <v>62</v>
      </c>
      <c r="T131" s="19" t="str">
        <f t="shared" si="63"/>
        <v/>
      </c>
      <c r="W131" s="9">
        <v>0</v>
      </c>
      <c r="X131" s="9">
        <v>11</v>
      </c>
      <c r="Y131" s="19" t="str">
        <f t="shared" si="56"/>
        <v>0,0</v>
      </c>
      <c r="AA131" s="19" t="str">
        <f t="shared" si="57"/>
        <v>80,120</v>
      </c>
      <c r="AC131" s="16" t="s">
        <v>62</v>
      </c>
      <c r="AD131" s="16"/>
      <c r="AE131" s="9">
        <v>0.6</v>
      </c>
      <c r="AF131" s="9">
        <v>2</v>
      </c>
      <c r="AG131" s="9">
        <v>6.8</v>
      </c>
    </row>
    <row r="132" spans="1:33" x14ac:dyDescent="0.2">
      <c r="C132" s="30" t="str">
        <f t="shared" si="54"/>
        <v/>
      </c>
      <c r="I132" s="15" t="str">
        <f>IFERROR(VLOOKUP(H132,monsters[#All],4,0),"")</f>
        <v/>
      </c>
      <c r="J132" s="15" t="str" cm="1">
        <f t="array" ref="J132">_xlfn.LET(_xlpm.v6p,ABS(ATAN2(O132,P132))*6/PI(),
_xlpm.output,_xlfn.IFS(_xlpm.v6p&lt;1,"正前",_xlpm.v6p&gt;5,"正后",AND(_xlpm.v6p&lt;5,_xlpm.v6p&gt;2,P132&lt;-1),"脚底",_xlpm.v6p&gt;4,"后上",_xlpm.v6p&lt;2,"前上",TRUE,"顶部"),
IFERROR(_xlpm.output,""))</f>
        <v/>
      </c>
      <c r="Q132" s="19" t="str">
        <f t="shared" si="55"/>
        <v/>
      </c>
      <c r="S132" s="9" t="s">
        <v>62</v>
      </c>
      <c r="T132" s="19" t="str">
        <f>IF(U132&lt;&gt;"", U132+0&amp;","&amp;V132+0,"")</f>
        <v/>
      </c>
      <c r="Y132" s="19" t="str">
        <f t="shared" si="56"/>
        <v/>
      </c>
      <c r="AA132" s="19" t="str">
        <f t="shared" si="57"/>
        <v/>
      </c>
      <c r="AC132" s="9" t="s">
        <v>62</v>
      </c>
    </row>
    <row r="133" spans="1:33" x14ac:dyDescent="0.2">
      <c r="A133" s="9">
        <v>42013</v>
      </c>
      <c r="B133" s="9" t="str" cm="1">
        <f t="array" ref="B133">D133&amp;_xlfn.TEXTJOIN("",1,TEXT(E133:G133,"00"))</f>
        <v>6010001</v>
      </c>
      <c r="C133" s="30" t="str">
        <f t="shared" si="54"/>
        <v>42013,6010001</v>
      </c>
      <c r="D133" s="26">
        <v>6</v>
      </c>
      <c r="E133" s="26">
        <v>1</v>
      </c>
      <c r="F133" s="26">
        <f t="shared" ref="F133" si="65">W133</f>
        <v>0</v>
      </c>
      <c r="G133" s="26">
        <v>1</v>
      </c>
      <c r="H133" s="9">
        <v>201105</v>
      </c>
      <c r="I133" s="15" t="str">
        <f>IFERROR(VLOOKUP(H133,monsters[#All],4,0),"")</f>
        <v>跳虫骑手</v>
      </c>
      <c r="J133" s="15" t="str" cm="1">
        <f t="array" ref="J133">_xlfn.LET(_xlpm.v6p,ABS(ATAN2(O133,P133))*6/PI(),
_xlpm.output,_xlfn.IFS(_xlpm.v6p&lt;1,"正前",_xlpm.v6p&gt;5,"正后",AND(_xlpm.v6p&lt;5,_xlpm.v6p&gt;2,P133&lt;-1),"脚底",_xlpm.v6p&gt;4,"后上",_xlpm.v6p&lt;2,"前上",TRUE,"顶部"),
IFERROR(_xlpm.output,""))</f>
        <v>正前</v>
      </c>
      <c r="K133" s="12"/>
      <c r="L133" s="12" t="s">
        <v>27</v>
      </c>
      <c r="M133" s="12"/>
      <c r="N133" s="19" t="str">
        <f>O133+0&amp;","&amp;P133+0</f>
        <v>14,-1</v>
      </c>
      <c r="O133" s="24">
        <v>14</v>
      </c>
      <c r="P133" s="24">
        <v>-1</v>
      </c>
      <c r="Q133" s="19">
        <f t="shared" si="55"/>
        <v>1</v>
      </c>
      <c r="S133" s="9">
        <v>8</v>
      </c>
      <c r="T133" s="19" t="str">
        <f>IF(U133&lt;&gt;"", U133+0&amp;","&amp;V133+0,"")</f>
        <v/>
      </c>
      <c r="W133" s="9">
        <v>0</v>
      </c>
      <c r="X133" s="9">
        <v>11</v>
      </c>
      <c r="Y133" s="19" t="str">
        <f t="shared" si="56"/>
        <v>0,0</v>
      </c>
      <c r="AA133" s="19" t="str">
        <f t="shared" si="57"/>
        <v>80,120</v>
      </c>
      <c r="AC133" s="9">
        <v>2.44</v>
      </c>
      <c r="AD133" s="9">
        <v>0.11</v>
      </c>
      <c r="AE133" s="9">
        <v>1.2</v>
      </c>
      <c r="AF133" s="16"/>
      <c r="AG133" s="16"/>
    </row>
    <row r="134" spans="1:33" x14ac:dyDescent="0.2">
      <c r="C134" s="30" t="str">
        <f t="shared" si="54"/>
        <v/>
      </c>
      <c r="I134" s="15" t="str">
        <f>IFERROR(VLOOKUP(H134,monsters[#All],4,0),"")</f>
        <v/>
      </c>
      <c r="J134" s="15" t="str" cm="1">
        <f t="array" ref="J134">_xlfn.LET(_xlpm.v6p,ABS(ATAN2(O134,P134))*6/PI(),
_xlpm.output,_xlfn.IFS(_xlpm.v6p&lt;1,"正前",_xlpm.v6p&gt;5,"正后",AND(_xlpm.v6p&lt;5,_xlpm.v6p&gt;2,P134&lt;-1),"脚底",_xlpm.v6p&gt;4,"后上",_xlpm.v6p&lt;2,"前上",TRUE,"顶部"),
IFERROR(_xlpm.output,""))</f>
        <v/>
      </c>
      <c r="N134" s="19"/>
      <c r="Q134" s="19" t="str">
        <f t="shared" si="55"/>
        <v/>
      </c>
      <c r="S134" s="9" t="s">
        <v>62</v>
      </c>
      <c r="T134" s="19" t="str">
        <f t="shared" ref="T134" si="66">IF(U134&lt;&gt;"", U134+0&amp;","&amp;V134+0,"")</f>
        <v/>
      </c>
      <c r="Y134" s="19" t="str">
        <f t="shared" si="56"/>
        <v/>
      </c>
      <c r="AA134" s="19" t="str">
        <f t="shared" si="57"/>
        <v/>
      </c>
      <c r="AC134" s="9" t="s">
        <v>62</v>
      </c>
    </row>
    <row r="135" spans="1:33" x14ac:dyDescent="0.2">
      <c r="A135" s="9">
        <v>42013</v>
      </c>
      <c r="B135" s="9" t="str" cm="1">
        <f t="array" ref="B135">D135&amp;_xlfn.TEXTJOIN("",1,TEXT(E135:G135,"00"))</f>
        <v>7010000</v>
      </c>
      <c r="C135" s="30" t="str">
        <f t="shared" si="54"/>
        <v>42013,7010000</v>
      </c>
      <c r="D135" s="26">
        <v>7</v>
      </c>
      <c r="E135" s="26">
        <v>1</v>
      </c>
      <c r="F135" s="26">
        <v>0</v>
      </c>
      <c r="G135" s="26">
        <v>0</v>
      </c>
      <c r="H135" s="9">
        <v>201104</v>
      </c>
      <c r="I135" s="15" t="str">
        <f>IFERROR(VLOOKUP(H135,monsters[#All],4,0),"")</f>
        <v>地宫洞穴人</v>
      </c>
      <c r="J135" s="15" t="str" cm="1">
        <f t="array" ref="J135">_xlfn.LET(_xlpm.v6p,ABS(ATAN2(O135,P135))*6/PI(),
_xlpm.output,_xlfn.IFS(_xlpm.v6p&lt;1,"正前",_xlpm.v6p&gt;5,"正后",AND(_xlpm.v6p&lt;5,_xlpm.v6p&gt;2,P135&lt;-1),"脚底",_xlpm.v6p&gt;4,"后上",_xlpm.v6p&lt;2,"前上",TRUE,"顶部"),
IFERROR(_xlpm.output,""))</f>
        <v>正前</v>
      </c>
      <c r="K135" s="12"/>
      <c r="L135" s="12" t="s">
        <v>27</v>
      </c>
      <c r="M135" s="12"/>
      <c r="N135" s="19" t="str">
        <f>O135+0&amp;","&amp;P135+0</f>
        <v>18,-1</v>
      </c>
      <c r="O135" s="24">
        <v>18</v>
      </c>
      <c r="P135" s="24">
        <v>-1</v>
      </c>
      <c r="Q135" s="19">
        <f t="shared" si="55"/>
        <v>1</v>
      </c>
      <c r="S135" s="9">
        <v>16</v>
      </c>
      <c r="T135" s="19" t="str">
        <f>IF(U135&lt;&gt;"", U135+0&amp;","&amp;V135+0,"")</f>
        <v>1,3</v>
      </c>
      <c r="U135" s="24">
        <v>1</v>
      </c>
      <c r="V135" s="24">
        <v>3</v>
      </c>
      <c r="W135" s="9">
        <v>0</v>
      </c>
      <c r="X135" s="9">
        <v>11</v>
      </c>
      <c r="Y135" s="19" t="str">
        <f t="shared" si="56"/>
        <v>0,0</v>
      </c>
      <c r="AA135" s="19" t="str">
        <f t="shared" si="57"/>
        <v>80,120</v>
      </c>
      <c r="AC135" s="9">
        <v>0.4</v>
      </c>
      <c r="AD135" s="9">
        <v>0.4</v>
      </c>
      <c r="AE135" s="9">
        <v>1</v>
      </c>
      <c r="AF135" s="16"/>
      <c r="AG135" s="16"/>
    </row>
    <row r="136" spans="1:33" x14ac:dyDescent="0.2">
      <c r="A136" s="9">
        <v>42013</v>
      </c>
      <c r="B136" s="9" t="str" cm="1">
        <f t="array" ref="B136">D136&amp;_xlfn.TEXTJOIN("",1,TEXT(E136:G136,"00"))</f>
        <v>7020001</v>
      </c>
      <c r="C136" s="30" t="str">
        <f t="shared" si="54"/>
        <v>42013,7020001</v>
      </c>
      <c r="D136" s="26">
        <v>7</v>
      </c>
      <c r="E136" s="26">
        <v>2</v>
      </c>
      <c r="F136" s="26">
        <v>0</v>
      </c>
      <c r="G136" s="26">
        <v>1</v>
      </c>
      <c r="H136" s="9">
        <v>201104</v>
      </c>
      <c r="I136" s="15" t="str">
        <f>IFERROR(VLOOKUP(H136,monsters[#All],4,0),"")</f>
        <v>地宫洞穴人</v>
      </c>
      <c r="J136" s="15" t="str" cm="1">
        <f t="array" ref="J136">_xlfn.LET(_xlpm.v6p,ABS(ATAN2(O136,P136))*6/PI(),
_xlpm.output,_xlfn.IFS(_xlpm.v6p&lt;1,"正前",_xlpm.v6p&gt;5,"正后",AND(_xlpm.v6p&lt;5,_xlpm.v6p&gt;2,P136&lt;-1),"脚底",_xlpm.v6p&gt;4,"后上",_xlpm.v6p&lt;2,"前上",TRUE,"顶部"),
IFERROR(_xlpm.output,""))</f>
        <v>正前</v>
      </c>
      <c r="K136" s="12"/>
      <c r="L136" s="12" t="s">
        <v>27</v>
      </c>
      <c r="M136" s="12"/>
      <c r="N136" s="19" t="str">
        <f>O136+0&amp;","&amp;P136+0</f>
        <v>18,-1</v>
      </c>
      <c r="O136" s="24">
        <v>18</v>
      </c>
      <c r="P136" s="24">
        <v>-1</v>
      </c>
      <c r="Q136" s="19">
        <f t="shared" si="55"/>
        <v>1</v>
      </c>
      <c r="S136" s="16" t="s">
        <v>62</v>
      </c>
      <c r="T136" s="19" t="str">
        <f>IF(U136&lt;&gt;"", U136+0&amp;","&amp;V136+0,"")</f>
        <v>1,3</v>
      </c>
      <c r="U136" s="24">
        <v>1</v>
      </c>
      <c r="V136" s="24">
        <v>3</v>
      </c>
      <c r="W136" s="9">
        <v>0</v>
      </c>
      <c r="X136" s="9">
        <v>11</v>
      </c>
      <c r="Y136" s="19" t="str">
        <f t="shared" si="56"/>
        <v>0,0</v>
      </c>
      <c r="AA136" s="19" t="str">
        <f t="shared" si="57"/>
        <v>80,120</v>
      </c>
      <c r="AC136" s="16" t="s">
        <v>62</v>
      </c>
      <c r="AD136" s="16"/>
      <c r="AE136" s="16"/>
      <c r="AF136" s="9">
        <v>1</v>
      </c>
      <c r="AG136" s="9">
        <v>10.199999999999999</v>
      </c>
    </row>
    <row r="137" spans="1:33" x14ac:dyDescent="0.2">
      <c r="A137" s="9">
        <v>42013</v>
      </c>
      <c r="B137" s="9" t="str" cm="1">
        <f t="array" ref="B137">D137&amp;_xlfn.TEXTJOIN("",1,TEXT(E137:G137,"00"))</f>
        <v>7020002</v>
      </c>
      <c r="C137" s="30" t="str">
        <f t="shared" si="54"/>
        <v>42013,7020002</v>
      </c>
      <c r="D137" s="26">
        <v>7</v>
      </c>
      <c r="E137" s="26">
        <v>2</v>
      </c>
      <c r="F137" s="26">
        <v>0</v>
      </c>
      <c r="G137" s="26">
        <v>2</v>
      </c>
      <c r="H137" s="9">
        <v>201104</v>
      </c>
      <c r="I137" s="15" t="str">
        <f>IFERROR(VLOOKUP(H137,monsters[#All],4,0),"")</f>
        <v>地宫洞穴人</v>
      </c>
      <c r="J137" s="15" t="str" cm="1">
        <f t="array" ref="J137">_xlfn.LET(_xlpm.v6p,ABS(ATAN2(O137,P137))*6/PI(),
_xlpm.output,_xlfn.IFS(_xlpm.v6p&lt;1,"正前",_xlpm.v6p&gt;5,"正后",AND(_xlpm.v6p&lt;5,_xlpm.v6p&gt;2,P137&lt;-1),"脚底",_xlpm.v6p&gt;4,"后上",_xlpm.v6p&lt;2,"前上",TRUE,"顶部"),
IFERROR(_xlpm.output,""))</f>
        <v>正后</v>
      </c>
      <c r="K137" s="12"/>
      <c r="L137" s="12" t="s">
        <v>27</v>
      </c>
      <c r="M137" s="12"/>
      <c r="N137" s="19" t="str">
        <f t="shared" ref="N137" si="67">O137+0&amp;","&amp;P137+0</f>
        <v>-14,-1</v>
      </c>
      <c r="O137" s="24">
        <v>-14</v>
      </c>
      <c r="P137" s="24">
        <v>-1</v>
      </c>
      <c r="Q137" s="19">
        <f t="shared" si="55"/>
        <v>1</v>
      </c>
      <c r="S137" s="16" t="s">
        <v>62</v>
      </c>
      <c r="T137" s="19" t="str">
        <f>IF(U137&lt;&gt;"", U137+0&amp;","&amp;V137+0,"")</f>
        <v>1,3</v>
      </c>
      <c r="U137" s="24">
        <v>1</v>
      </c>
      <c r="V137" s="24">
        <v>3</v>
      </c>
      <c r="W137" s="9">
        <v>0</v>
      </c>
      <c r="X137" s="9">
        <v>11</v>
      </c>
      <c r="Y137" s="19" t="str">
        <f t="shared" si="56"/>
        <v>0,0</v>
      </c>
      <c r="AA137" s="19" t="str">
        <f t="shared" si="57"/>
        <v>80,120</v>
      </c>
      <c r="AC137" s="16" t="s">
        <v>62</v>
      </c>
      <c r="AD137" s="16"/>
      <c r="AE137" s="16"/>
      <c r="AF137" s="9">
        <v>1</v>
      </c>
      <c r="AG137" s="9">
        <v>6.8</v>
      </c>
    </row>
    <row r="138" spans="1:33" x14ac:dyDescent="0.2">
      <c r="C138" s="30" t="str">
        <f t="shared" si="54"/>
        <v/>
      </c>
      <c r="I138" s="15" t="str">
        <f>IFERROR(VLOOKUP(H138,monsters[#All],4,0),"")</f>
        <v/>
      </c>
      <c r="J138" s="15" t="str" cm="1">
        <f t="array" ref="J138">_xlfn.LET(_xlpm.v6p,ABS(ATAN2(O138,P138))*6/PI(),
_xlpm.output,_xlfn.IFS(_xlpm.v6p&lt;1,"正前",_xlpm.v6p&gt;5,"正后",AND(_xlpm.v6p&lt;5,_xlpm.v6p&gt;2,P138&lt;-1),"脚底",_xlpm.v6p&gt;4,"后上",_xlpm.v6p&lt;2,"前上",TRUE,"顶部"),
IFERROR(_xlpm.output,""))</f>
        <v/>
      </c>
      <c r="N138" s="19"/>
      <c r="Q138" s="19" t="str">
        <f t="shared" si="55"/>
        <v/>
      </c>
      <c r="S138" s="9" t="s">
        <v>62</v>
      </c>
      <c r="T138" s="19" t="str">
        <f t="shared" ref="T138" si="68">IF(U138&lt;&gt;"", U138+0&amp;","&amp;V138+0,"")</f>
        <v/>
      </c>
      <c r="Y138" s="19" t="str">
        <f t="shared" si="56"/>
        <v/>
      </c>
      <c r="AA138" s="19" t="str">
        <f t="shared" si="57"/>
        <v/>
      </c>
      <c r="AC138" s="9" t="s">
        <v>62</v>
      </c>
    </row>
    <row r="139" spans="1:33" x14ac:dyDescent="0.2">
      <c r="A139" s="9">
        <v>42013</v>
      </c>
      <c r="B139" s="9" t="str" cm="1">
        <f t="array" ref="B139">D139&amp;_xlfn.TEXTJOIN("",1,TEXT(E139:G139,"00"))</f>
        <v>8010000</v>
      </c>
      <c r="C139" s="30" t="str">
        <f t="shared" si="54"/>
        <v>42013,8010000</v>
      </c>
      <c r="D139" s="26">
        <v>8</v>
      </c>
      <c r="E139" s="26">
        <v>1</v>
      </c>
      <c r="F139" s="26">
        <v>0</v>
      </c>
      <c r="G139" s="26">
        <v>0</v>
      </c>
      <c r="H139" s="9">
        <v>201108</v>
      </c>
      <c r="I139" s="15" t="str">
        <f>IFERROR(VLOOKUP(H139,monsters[#All],4,0),"")</f>
        <v>纵火洞穴人</v>
      </c>
      <c r="J139" s="15" t="str" cm="1">
        <f t="array" ref="J139">_xlfn.LET(_xlpm.v6p,ABS(ATAN2(O139,P139))*6/PI(),
_xlpm.output,_xlfn.IFS(_xlpm.v6p&lt;1,"正前",_xlpm.v6p&gt;5,"正后",AND(_xlpm.v6p&lt;5,_xlpm.v6p&gt;2,P139&lt;-1),"脚底",_xlpm.v6p&gt;4,"后上",_xlpm.v6p&lt;2,"前上",TRUE,"顶部"),
IFERROR(_xlpm.output,""))</f>
        <v>正前</v>
      </c>
      <c r="K139" s="12"/>
      <c r="L139" s="12" t="s">
        <v>27</v>
      </c>
      <c r="M139" s="12"/>
      <c r="N139" s="19" t="str">
        <f>O139+0&amp;","&amp;P139+0</f>
        <v>18,-1</v>
      </c>
      <c r="O139" s="24">
        <v>18</v>
      </c>
      <c r="P139" s="24">
        <v>-1</v>
      </c>
      <c r="Q139" s="19">
        <f t="shared" si="55"/>
        <v>1</v>
      </c>
      <c r="S139" s="9">
        <v>8</v>
      </c>
      <c r="T139" s="19" t="str">
        <f>IF(U139&lt;&gt;"", U139+0&amp;","&amp;V139+0,"")</f>
        <v>1,2</v>
      </c>
      <c r="U139" s="24">
        <v>1</v>
      </c>
      <c r="V139" s="24">
        <v>2</v>
      </c>
      <c r="W139" s="9">
        <v>0</v>
      </c>
      <c r="X139" s="9">
        <v>11</v>
      </c>
      <c r="Y139" s="19" t="str">
        <f t="shared" si="56"/>
        <v>0,0</v>
      </c>
      <c r="AA139" s="19" t="str">
        <f t="shared" si="57"/>
        <v>80,120</v>
      </c>
      <c r="AC139" s="9">
        <v>0.8</v>
      </c>
      <c r="AD139" s="9">
        <v>0.12</v>
      </c>
      <c r="AE139" s="9">
        <v>1</v>
      </c>
      <c r="AF139" s="16"/>
      <c r="AG139" s="16"/>
    </row>
    <row r="140" spans="1:33" x14ac:dyDescent="0.2">
      <c r="A140" s="9">
        <v>42013</v>
      </c>
      <c r="B140" s="9" t="str" cm="1">
        <f t="array" ref="B140">D140&amp;_xlfn.TEXTJOIN("",1,TEXT(E140:G140,"00"))</f>
        <v>8020001</v>
      </c>
      <c r="C140" s="30" t="str">
        <f t="shared" si="54"/>
        <v>42013,8020001</v>
      </c>
      <c r="D140" s="26">
        <v>8</v>
      </c>
      <c r="E140" s="26">
        <v>2</v>
      </c>
      <c r="F140" s="26">
        <v>0</v>
      </c>
      <c r="G140" s="26">
        <v>1</v>
      </c>
      <c r="H140" s="9">
        <v>201108</v>
      </c>
      <c r="I140" s="15" t="str">
        <f>IFERROR(VLOOKUP(H140,monsters[#All],4,0),"")</f>
        <v>纵火洞穴人</v>
      </c>
      <c r="J140" s="15" t="str" cm="1">
        <f t="array" ref="J140">_xlfn.LET(_xlpm.v6p,ABS(ATAN2(O140,P140))*6/PI(),
_xlpm.output,_xlfn.IFS(_xlpm.v6p&lt;1,"正前",_xlpm.v6p&gt;5,"正后",AND(_xlpm.v6p&lt;5,_xlpm.v6p&gt;2,P140&lt;-1),"脚底",_xlpm.v6p&gt;4,"后上",_xlpm.v6p&lt;2,"前上",TRUE,"顶部"),
IFERROR(_xlpm.output,""))</f>
        <v>正前</v>
      </c>
      <c r="K140" s="12"/>
      <c r="L140" s="12" t="s">
        <v>27</v>
      </c>
      <c r="M140" s="12"/>
      <c r="N140" s="19" t="str">
        <f>O140+0&amp;","&amp;P140+0</f>
        <v>18,-1</v>
      </c>
      <c r="O140" s="24">
        <v>18</v>
      </c>
      <c r="P140" s="24">
        <v>-1</v>
      </c>
      <c r="Q140" s="19">
        <f t="shared" si="55"/>
        <v>1</v>
      </c>
      <c r="S140" s="16" t="s">
        <v>62</v>
      </c>
      <c r="T140" s="19" t="str">
        <f t="shared" ref="T140:T142" si="69">IF(U140&lt;&gt;"", U140+0&amp;","&amp;V140+0,"")</f>
        <v/>
      </c>
      <c r="W140" s="9">
        <v>0</v>
      </c>
      <c r="X140" s="9">
        <v>11</v>
      </c>
      <c r="Y140" s="19" t="str">
        <f t="shared" si="56"/>
        <v>0,0</v>
      </c>
      <c r="AA140" s="19" t="str">
        <f t="shared" si="57"/>
        <v>80,120</v>
      </c>
      <c r="AC140" s="16" t="s">
        <v>62</v>
      </c>
      <c r="AD140" s="16"/>
      <c r="AE140" s="16"/>
      <c r="AF140" s="9">
        <v>3</v>
      </c>
      <c r="AG140" s="9">
        <v>10.199999999999999</v>
      </c>
    </row>
    <row r="141" spans="1:33" x14ac:dyDescent="0.2">
      <c r="A141" s="9">
        <v>42013</v>
      </c>
      <c r="B141" s="9" t="str" cm="1">
        <f t="array" ref="B141">D141&amp;_xlfn.TEXTJOIN("",1,TEXT(E141:G141,"00"))</f>
        <v>8020002</v>
      </c>
      <c r="C141" s="30" t="str">
        <f t="shared" si="54"/>
        <v>42013,8020002</v>
      </c>
      <c r="D141" s="26">
        <v>8</v>
      </c>
      <c r="E141" s="26">
        <v>2</v>
      </c>
      <c r="F141" s="26">
        <v>0</v>
      </c>
      <c r="G141" s="26">
        <v>2</v>
      </c>
      <c r="H141" s="9">
        <v>201108</v>
      </c>
      <c r="I141" s="15" t="str">
        <f>IFERROR(VLOOKUP(H141,monsters[#All],4,0),"")</f>
        <v>纵火洞穴人</v>
      </c>
      <c r="J141" s="15" t="str" cm="1">
        <f t="array" ref="J141">_xlfn.LET(_xlpm.v6p,ABS(ATAN2(O141,P141))*6/PI(),
_xlpm.output,_xlfn.IFS(_xlpm.v6p&lt;1,"正前",_xlpm.v6p&gt;5,"正后",AND(_xlpm.v6p&lt;5,_xlpm.v6p&gt;2,P141&lt;-1),"脚底",_xlpm.v6p&gt;4,"后上",_xlpm.v6p&lt;2,"前上",TRUE,"顶部"),
IFERROR(_xlpm.output,""))</f>
        <v>正后</v>
      </c>
      <c r="K141" s="12"/>
      <c r="L141" s="12" t="s">
        <v>27</v>
      </c>
      <c r="M141" s="12"/>
      <c r="N141" s="19" t="str">
        <f t="shared" ref="N141" si="70">O141+0&amp;","&amp;P141+0</f>
        <v>-14,-1</v>
      </c>
      <c r="O141" s="24">
        <v>-14</v>
      </c>
      <c r="P141" s="24">
        <v>-1</v>
      </c>
      <c r="Q141" s="19">
        <f t="shared" si="55"/>
        <v>1</v>
      </c>
      <c r="S141" s="16" t="s">
        <v>62</v>
      </c>
      <c r="T141" s="19" t="str">
        <f t="shared" si="69"/>
        <v/>
      </c>
      <c r="W141" s="9">
        <v>0</v>
      </c>
      <c r="X141" s="9">
        <v>11</v>
      </c>
      <c r="Y141" s="19" t="str">
        <f t="shared" si="56"/>
        <v>0,0</v>
      </c>
      <c r="AA141" s="19" t="str">
        <f t="shared" si="57"/>
        <v>80,120</v>
      </c>
      <c r="AC141" s="16" t="s">
        <v>62</v>
      </c>
      <c r="AD141" s="16"/>
      <c r="AE141" s="16"/>
      <c r="AF141" s="9">
        <v>3</v>
      </c>
      <c r="AG141" s="9">
        <v>6.8</v>
      </c>
    </row>
    <row r="142" spans="1:33" x14ac:dyDescent="0.2">
      <c r="C142" s="30" t="str">
        <f t="shared" si="54"/>
        <v/>
      </c>
      <c r="I142" s="15" t="str">
        <f>IFERROR(VLOOKUP(H142,monsters[#All],4,0),"")</f>
        <v/>
      </c>
      <c r="J142" s="15" t="str" cm="1">
        <f t="array" ref="J142">_xlfn.LET(_xlpm.v6p,ABS(ATAN2(O142,P142))*6/PI(),
_xlpm.output,_xlfn.IFS(_xlpm.v6p&lt;1,"正前",_xlpm.v6p&gt;5,"正后",AND(_xlpm.v6p&lt;5,_xlpm.v6p&gt;2,P142&lt;-1),"脚底",_xlpm.v6p&gt;4,"后上",_xlpm.v6p&lt;2,"前上",TRUE,"顶部"),
IFERROR(_xlpm.output,""))</f>
        <v/>
      </c>
      <c r="N142" s="19"/>
      <c r="Q142" s="19" t="str">
        <f t="shared" si="55"/>
        <v/>
      </c>
      <c r="S142" s="9" t="s">
        <v>62</v>
      </c>
      <c r="T142" s="19" t="str">
        <f t="shared" si="69"/>
        <v/>
      </c>
      <c r="Y142" s="19" t="str">
        <f t="shared" si="56"/>
        <v/>
      </c>
      <c r="AA142" s="19" t="str">
        <f t="shared" si="57"/>
        <v/>
      </c>
      <c r="AC142" s="9" t="s">
        <v>62</v>
      </c>
    </row>
    <row r="143" spans="1:33" x14ac:dyDescent="0.2">
      <c r="A143" s="9">
        <v>42013</v>
      </c>
      <c r="B143" s="9" t="str" cm="1">
        <f t="array" ref="B143">D143&amp;_xlfn.TEXTJOIN("",1,TEXT(E143:G143,"00"))</f>
        <v>9010000</v>
      </c>
      <c r="C143" s="30" t="str">
        <f t="shared" si="54"/>
        <v>42013,9010000</v>
      </c>
      <c r="D143" s="26">
        <v>9</v>
      </c>
      <c r="E143" s="26">
        <v>1</v>
      </c>
      <c r="F143" s="26">
        <v>0</v>
      </c>
      <c r="G143" s="26">
        <v>0</v>
      </c>
      <c r="H143" s="9">
        <v>201109</v>
      </c>
      <c r="I143" s="15" t="str">
        <f>IFERROR(VLOOKUP(H143,monsters[#All],4,0),"")</f>
        <v>暴徒洞穴人</v>
      </c>
      <c r="J143" s="15" t="str" cm="1">
        <f t="array" ref="J143">_xlfn.LET(_xlpm.v6p,ABS(ATAN2(O143,P143))*6/PI(),
_xlpm.output,_xlfn.IFS(_xlpm.v6p&lt;1,"正前",_xlpm.v6p&gt;5,"正后",AND(_xlpm.v6p&lt;5,_xlpm.v6p&gt;2,P143&lt;-1),"脚底",_xlpm.v6p&gt;4,"后上",_xlpm.v6p&lt;2,"前上",TRUE,"顶部"),
IFERROR(_xlpm.output,""))</f>
        <v>正前</v>
      </c>
      <c r="K143" s="12"/>
      <c r="L143" s="12" t="s">
        <v>27</v>
      </c>
      <c r="M143" s="12"/>
      <c r="N143" s="19" t="str">
        <f>O143+0&amp;","&amp;P143+0</f>
        <v>18,-1</v>
      </c>
      <c r="O143" s="24">
        <v>18</v>
      </c>
      <c r="P143" s="24">
        <v>-1</v>
      </c>
      <c r="Q143" s="19">
        <f t="shared" si="55"/>
        <v>1</v>
      </c>
      <c r="S143" s="9">
        <v>28</v>
      </c>
      <c r="T143" s="19" t="str">
        <f>IF(U143&lt;&gt;"", U143+0&amp;","&amp;V143+0,"")</f>
        <v>1,3</v>
      </c>
      <c r="U143" s="24">
        <v>1</v>
      </c>
      <c r="V143" s="24">
        <v>3</v>
      </c>
      <c r="W143" s="9">
        <v>0</v>
      </c>
      <c r="X143" s="9">
        <v>11</v>
      </c>
      <c r="Y143" s="19" t="str">
        <f t="shared" si="56"/>
        <v>0,0</v>
      </c>
      <c r="AA143" s="19" t="str">
        <f t="shared" si="57"/>
        <v>80,120</v>
      </c>
      <c r="AC143" s="9">
        <v>0.6</v>
      </c>
      <c r="AD143" s="9">
        <v>0.08</v>
      </c>
      <c r="AE143" s="9">
        <v>1</v>
      </c>
      <c r="AF143" s="16"/>
      <c r="AG143" s="16"/>
    </row>
    <row r="144" spans="1:33" x14ac:dyDescent="0.2">
      <c r="A144" s="9">
        <v>42013</v>
      </c>
      <c r="B144" s="9" t="str" cm="1">
        <f t="array" ref="B144">D144&amp;_xlfn.TEXTJOIN("",1,TEXT(E144:G144,"00"))</f>
        <v>9020001</v>
      </c>
      <c r="C144" s="30" t="str">
        <f t="shared" si="54"/>
        <v>42013,9020001</v>
      </c>
      <c r="D144" s="26">
        <v>9</v>
      </c>
      <c r="E144" s="26">
        <v>2</v>
      </c>
      <c r="F144" s="26">
        <v>0</v>
      </c>
      <c r="G144" s="26">
        <v>1</v>
      </c>
      <c r="H144" s="9">
        <v>201109</v>
      </c>
      <c r="I144" s="15" t="str">
        <f>IFERROR(VLOOKUP(H144,monsters[#All],4,0),"")</f>
        <v>暴徒洞穴人</v>
      </c>
      <c r="J144" s="15" t="str" cm="1">
        <f t="array" ref="J144">_xlfn.LET(_xlpm.v6p,ABS(ATAN2(O144,P144))*6/PI(),
_xlpm.output,_xlfn.IFS(_xlpm.v6p&lt;1,"正前",_xlpm.v6p&gt;5,"正后",AND(_xlpm.v6p&lt;5,_xlpm.v6p&gt;2,P144&lt;-1),"脚底",_xlpm.v6p&gt;4,"后上",_xlpm.v6p&lt;2,"前上",TRUE,"顶部"),
IFERROR(_xlpm.output,""))</f>
        <v>正前</v>
      </c>
      <c r="K144" s="12"/>
      <c r="L144" s="12" t="s">
        <v>27</v>
      </c>
      <c r="M144" s="12"/>
      <c r="N144" s="19" t="str">
        <f>O144+0&amp;","&amp;P144+0</f>
        <v>18,-1</v>
      </c>
      <c r="O144" s="24">
        <v>18</v>
      </c>
      <c r="P144" s="24">
        <v>-1</v>
      </c>
      <c r="Q144" s="19">
        <f t="shared" si="55"/>
        <v>1</v>
      </c>
      <c r="S144" s="16" t="s">
        <v>62</v>
      </c>
      <c r="T144" s="19" t="str">
        <f t="shared" ref="T144:T147" si="71">IF(U144&lt;&gt;"", U144+0&amp;","&amp;V144+0,"")</f>
        <v/>
      </c>
      <c r="W144" s="9">
        <v>0</v>
      </c>
      <c r="X144" s="9">
        <v>11</v>
      </c>
      <c r="Y144" s="19" t="str">
        <f t="shared" si="56"/>
        <v>0,0</v>
      </c>
      <c r="AA144" s="19" t="str">
        <f t="shared" si="57"/>
        <v>80,120</v>
      </c>
      <c r="AC144" s="16" t="s">
        <v>62</v>
      </c>
      <c r="AD144" s="16"/>
      <c r="AE144" s="16"/>
      <c r="AF144" s="9">
        <v>2</v>
      </c>
      <c r="AG144" s="9">
        <v>10.199999999999999</v>
      </c>
    </row>
    <row r="145" spans="1:41" x14ac:dyDescent="0.2">
      <c r="A145" s="9">
        <v>42013</v>
      </c>
      <c r="B145" s="9" t="str" cm="1">
        <f t="array" ref="B145">D145&amp;_xlfn.TEXTJOIN("",1,TEXT(E145:G145,"00"))</f>
        <v>9020002</v>
      </c>
      <c r="C145" s="30" t="str">
        <f t="shared" si="54"/>
        <v>42013,9020002</v>
      </c>
      <c r="D145" s="26">
        <v>9</v>
      </c>
      <c r="E145" s="26">
        <v>2</v>
      </c>
      <c r="F145" s="26">
        <v>0</v>
      </c>
      <c r="G145" s="26">
        <v>2</v>
      </c>
      <c r="H145" s="9">
        <v>201109</v>
      </c>
      <c r="I145" s="15" t="str">
        <f>IFERROR(VLOOKUP(H145,monsters[#All],4,0),"")</f>
        <v>暴徒洞穴人</v>
      </c>
      <c r="J145" s="15" t="str" cm="1">
        <f t="array" ref="J145">_xlfn.LET(_xlpm.v6p,ABS(ATAN2(O145,P145))*6/PI(),
_xlpm.output,_xlfn.IFS(_xlpm.v6p&lt;1,"正前",_xlpm.v6p&gt;5,"正后",AND(_xlpm.v6p&lt;5,_xlpm.v6p&gt;2,P145&lt;-1),"脚底",_xlpm.v6p&gt;4,"后上",_xlpm.v6p&lt;2,"前上",TRUE,"顶部"),
IFERROR(_xlpm.output,""))</f>
        <v>正后</v>
      </c>
      <c r="K145" s="12"/>
      <c r="L145" s="12" t="s">
        <v>27</v>
      </c>
      <c r="M145" s="12"/>
      <c r="N145" s="19" t="str">
        <f t="shared" ref="N145" si="72">O145+0&amp;","&amp;P145+0</f>
        <v>-14,-1</v>
      </c>
      <c r="O145" s="24">
        <v>-14</v>
      </c>
      <c r="P145" s="24">
        <v>-1</v>
      </c>
      <c r="Q145" s="19">
        <f t="shared" si="55"/>
        <v>1</v>
      </c>
      <c r="S145" s="16" t="s">
        <v>62</v>
      </c>
      <c r="T145" s="19" t="str">
        <f t="shared" si="71"/>
        <v/>
      </c>
      <c r="W145" s="9">
        <v>0</v>
      </c>
      <c r="X145" s="9">
        <v>11</v>
      </c>
      <c r="Y145" s="19" t="str">
        <f t="shared" si="56"/>
        <v>0,0</v>
      </c>
      <c r="AA145" s="19" t="str">
        <f t="shared" si="57"/>
        <v>80,120</v>
      </c>
      <c r="AC145" s="16" t="s">
        <v>62</v>
      </c>
      <c r="AD145" s="16"/>
      <c r="AE145" s="16"/>
      <c r="AF145" s="9">
        <v>2</v>
      </c>
      <c r="AG145" s="9">
        <v>6.8</v>
      </c>
    </row>
    <row r="146" spans="1:41" x14ac:dyDescent="0.2">
      <c r="C146" s="30" t="str">
        <f t="shared" si="54"/>
        <v/>
      </c>
      <c r="I146" s="15" t="str">
        <f>IFERROR(VLOOKUP(H146,monsters[#All],4,0),"")</f>
        <v/>
      </c>
      <c r="J146" s="15" t="str" cm="1">
        <f t="array" ref="J146">_xlfn.LET(_xlpm.v6p,ABS(ATAN2(O146,P146))*6/PI(),
_xlpm.output,_xlfn.IFS(_xlpm.v6p&lt;1,"正前",_xlpm.v6p&gt;5,"正后",AND(_xlpm.v6p&lt;5,_xlpm.v6p&gt;2,P146&lt;-1),"脚底",_xlpm.v6p&gt;4,"后上",_xlpm.v6p&lt;2,"前上",TRUE,"顶部"),
IFERROR(_xlpm.output,""))</f>
        <v/>
      </c>
      <c r="K146" s="12"/>
      <c r="L146" s="12"/>
      <c r="M146" s="12"/>
      <c r="N146" s="19"/>
      <c r="Q146" s="19" t="str">
        <f t="shared" si="55"/>
        <v/>
      </c>
      <c r="S146" s="9" t="s">
        <v>62</v>
      </c>
      <c r="T146" s="19" t="str">
        <f t="shared" si="71"/>
        <v/>
      </c>
      <c r="Y146" s="19" t="str">
        <f t="shared" si="56"/>
        <v/>
      </c>
      <c r="AA146" s="19" t="str">
        <f t="shared" si="57"/>
        <v/>
      </c>
      <c r="AC146" s="9" t="s">
        <v>62</v>
      </c>
    </row>
    <row r="147" spans="1:41" x14ac:dyDescent="0.2">
      <c r="A147" s="9">
        <v>42013</v>
      </c>
      <c r="B147" s="9" t="str" cm="1">
        <f t="array" ref="B147">D147&amp;_xlfn.TEXTJOIN("",1,TEXT(E147:G147,"00"))</f>
        <v>10010000</v>
      </c>
      <c r="C147" s="30" t="str">
        <f t="shared" si="54"/>
        <v>42013,10010000</v>
      </c>
      <c r="D147" s="26">
        <v>10</v>
      </c>
      <c r="E147" s="26">
        <v>1</v>
      </c>
      <c r="F147" s="26">
        <v>0</v>
      </c>
      <c r="G147" s="26">
        <v>0</v>
      </c>
      <c r="H147" s="9">
        <v>211101</v>
      </c>
      <c r="I147" s="15" t="str">
        <f>IFERROR(VLOOKUP(H147,monsters[#All],4,0),"")</f>
        <v>地宫捕奴车-近战</v>
      </c>
      <c r="J147" s="15" t="str" cm="1">
        <f t="array" ref="J147">_xlfn.LET(_xlpm.v6p,ABS(ATAN2(O147,P147))*6/PI(),
_xlpm.output,_xlfn.IFS(_xlpm.v6p&lt;1,"正前",_xlpm.v6p&gt;5,"正后",AND(_xlpm.v6p&lt;5,_xlpm.v6p&gt;2,P147&lt;-1),"脚底",_xlpm.v6p&gt;4,"后上",_xlpm.v6p&lt;2,"前上",TRUE,"顶部"),
IFERROR(_xlpm.output,""))</f>
        <v>正前</v>
      </c>
      <c r="K147" s="12"/>
      <c r="L147" s="12" t="s">
        <v>36</v>
      </c>
      <c r="M147" s="12"/>
      <c r="N147" s="19" t="str">
        <f>O147+0&amp;","&amp;P147+0</f>
        <v>14,1</v>
      </c>
      <c r="O147" s="24">
        <v>14</v>
      </c>
      <c r="P147" s="24">
        <v>1</v>
      </c>
      <c r="Q147" s="19">
        <f t="shared" si="55"/>
        <v>1</v>
      </c>
      <c r="S147" s="9">
        <v>1</v>
      </c>
      <c r="T147" s="19" t="str">
        <f t="shared" si="71"/>
        <v/>
      </c>
      <c r="W147" s="9">
        <v>0</v>
      </c>
      <c r="X147" s="9">
        <v>11</v>
      </c>
      <c r="Y147" s="19" t="str">
        <f t="shared" si="56"/>
        <v>0,0</v>
      </c>
      <c r="AA147" s="19" t="str">
        <f t="shared" si="57"/>
        <v>2000,2000.1</v>
      </c>
      <c r="AB147" s="24" t="str">
        <f>"2000,2000.1"</f>
        <v>2000,2000.1</v>
      </c>
      <c r="AC147" s="40">
        <v>2</v>
      </c>
      <c r="AD147" s="16"/>
      <c r="AE147" s="9">
        <v>0</v>
      </c>
      <c r="AF147" s="16"/>
      <c r="AG147" s="16"/>
    </row>
    <row r="148" spans="1:41" x14ac:dyDescent="0.2">
      <c r="S148" s="9" t="s">
        <v>62</v>
      </c>
      <c r="AC148" s="9" t="s">
        <v>62</v>
      </c>
    </row>
    <row r="149" spans="1:41" s="35" customFormat="1" x14ac:dyDescent="0.2">
      <c r="C149" s="36"/>
      <c r="D149" s="37"/>
      <c r="E149" s="37"/>
      <c r="F149" s="37"/>
      <c r="G149" s="37"/>
      <c r="I149" s="38"/>
      <c r="J149" s="38"/>
      <c r="O149" s="39"/>
      <c r="P149" s="39"/>
      <c r="R149" s="39"/>
      <c r="S149" s="35" t="s">
        <v>62</v>
      </c>
      <c r="U149" s="39"/>
      <c r="V149" s="39"/>
      <c r="Z149" s="39"/>
      <c r="AB149" s="39"/>
      <c r="AC149" s="35" t="s">
        <v>62</v>
      </c>
      <c r="AI149" s="71"/>
      <c r="AJ149" s="71"/>
      <c r="AK149" s="71"/>
      <c r="AL149" s="71"/>
      <c r="AM149" s="71"/>
      <c r="AN149" s="71"/>
      <c r="AO149" s="71"/>
    </row>
    <row r="150" spans="1:41" x14ac:dyDescent="0.2">
      <c r="C150" s="30" t="str">
        <f t="shared" ref="C150:C197" si="73">_xlfn.TEXTJOIN(",",1,A150:B150)</f>
        <v/>
      </c>
      <c r="S150" s="9" t="s">
        <v>62</v>
      </c>
      <c r="AC150" s="9" t="s">
        <v>62</v>
      </c>
    </row>
    <row r="151" spans="1:41" x14ac:dyDescent="0.2">
      <c r="A151" s="9">
        <v>42014</v>
      </c>
      <c r="B151" s="9" t="str" cm="1">
        <f t="array" ref="B151">D151&amp;_xlfn.TEXTJOIN("",1,TEXT(E151:G151,"00"))</f>
        <v>1010000</v>
      </c>
      <c r="C151" s="30" t="str">
        <f t="shared" si="73"/>
        <v>42014,1010000</v>
      </c>
      <c r="D151" s="26">
        <v>1</v>
      </c>
      <c r="E151" s="26">
        <v>1</v>
      </c>
      <c r="F151" s="26">
        <f>W151</f>
        <v>0</v>
      </c>
      <c r="G151" s="26">
        <v>0</v>
      </c>
      <c r="H151" s="9">
        <v>201101</v>
      </c>
      <c r="I151" s="15" t="str">
        <f>IFERROR(VLOOKUP(H151,monsters[#All],4,0),"")</f>
        <v>地宫蝙蝠</v>
      </c>
      <c r="J151" s="15" t="str" cm="1">
        <f t="array" ref="J151">_xlfn.LET(_xlpm.v6p,ABS(ATAN2(O151,P151))*6/PI(),
_xlpm.output,_xlfn.IFS(_xlpm.v6p&lt;1,"正前",_xlpm.v6p&gt;5,"正后",AND(_xlpm.v6p&lt;5,_xlpm.v6p&gt;2,P151&lt;-1),"脚底",_xlpm.v6p&gt;4,"后上",_xlpm.v6p&lt;2,"前上",TRUE,"顶部"),
IFERROR(_xlpm.output,""))</f>
        <v>前上</v>
      </c>
      <c r="K151" s="12"/>
      <c r="L151" s="12" t="s">
        <v>27</v>
      </c>
      <c r="M151" s="12"/>
      <c r="N151" s="19" t="str">
        <f>O151+0&amp;","&amp;P151+0</f>
        <v>15,10</v>
      </c>
      <c r="O151" s="24">
        <v>15</v>
      </c>
      <c r="P151" s="24">
        <v>10</v>
      </c>
      <c r="Q151" s="19">
        <f t="shared" ref="Q151:Q197" si="74">_xlfn.LET(_xlpm._default,1,
_xlpm._custom,R151,
IF($A151&lt;&gt;"",IF(_xlpm._custom&lt;&gt;"",_xlpm._custom,_xlpm._default),""))</f>
        <v>1</v>
      </c>
      <c r="S151" s="9">
        <v>8</v>
      </c>
      <c r="T151" s="19" t="str">
        <f>IF(U151&lt;&gt;"", U151+0&amp;","&amp;V151+0,"")</f>
        <v>1,3</v>
      </c>
      <c r="U151" s="24">
        <v>1</v>
      </c>
      <c r="V151" s="24">
        <v>3</v>
      </c>
      <c r="W151" s="9">
        <v>0</v>
      </c>
      <c r="X151" s="9">
        <v>11</v>
      </c>
      <c r="Y151" s="19" t="str">
        <f t="shared" ref="Y151:Y197" si="75">IF($A151&lt;&gt;"",IF($Z151&lt;&gt;"",$Z151,"0,0"),"")</f>
        <v>65,70</v>
      </c>
      <c r="Z151" s="24" t="s">
        <v>130</v>
      </c>
      <c r="AA151" s="19" t="str">
        <f t="shared" ref="AA151:AA197" si="76">IF($A151&lt;&gt;"",IF($AB151&lt;&gt;"",$AB151,"80,120"),"")</f>
        <v>80,120</v>
      </c>
      <c r="AC151" s="9">
        <v>2</v>
      </c>
      <c r="AD151" s="9">
        <v>2.5</v>
      </c>
      <c r="AE151" s="9">
        <v>0.3</v>
      </c>
      <c r="AF151" s="9">
        <v>3</v>
      </c>
      <c r="AG151" s="9">
        <v>100</v>
      </c>
    </row>
    <row r="152" spans="1:41" x14ac:dyDescent="0.2">
      <c r="A152" s="9">
        <v>42014</v>
      </c>
      <c r="B152" s="9" t="str" cm="1">
        <f t="array" ref="B152">D152&amp;_xlfn.TEXTJOIN("",1,TEXT(E152:G152,"00"))</f>
        <v>1010100</v>
      </c>
      <c r="C152" s="30" t="str">
        <f t="shared" si="73"/>
        <v>42014,1010100</v>
      </c>
      <c r="D152" s="26">
        <v>1</v>
      </c>
      <c r="E152" s="26">
        <v>1</v>
      </c>
      <c r="F152" s="26">
        <f>W152</f>
        <v>1</v>
      </c>
      <c r="G152" s="26">
        <v>0</v>
      </c>
      <c r="H152" s="9">
        <v>201101</v>
      </c>
      <c r="I152" s="15" t="str">
        <f>IFERROR(VLOOKUP(H152,monsters[#All],4,0),"")</f>
        <v>地宫蝙蝠</v>
      </c>
      <c r="J152" s="15" t="str" cm="1">
        <f t="array" ref="J152">_xlfn.LET(_xlpm.v6p,ABS(ATAN2(O152,P152))*6/PI(),
_xlpm.output,_xlfn.IFS(_xlpm.v6p&lt;1,"正前",_xlpm.v6p&gt;5,"正后",AND(_xlpm.v6p&lt;5,_xlpm.v6p&gt;2,P152&lt;-1),"脚底",_xlpm.v6p&gt;4,"后上",_xlpm.v6p&lt;2,"前上",TRUE,"顶部"),
IFERROR(_xlpm.output,""))</f>
        <v>前上</v>
      </c>
      <c r="K152" s="12"/>
      <c r="L152" s="12" t="s">
        <v>27</v>
      </c>
      <c r="M152" s="12"/>
      <c r="N152" s="19" t="str">
        <f t="shared" ref="N152:N154" si="77">O152+0&amp;","&amp;P152+0</f>
        <v>15,10</v>
      </c>
      <c r="O152" s="24">
        <v>15</v>
      </c>
      <c r="P152" s="24">
        <v>10</v>
      </c>
      <c r="Q152" s="19">
        <f t="shared" si="74"/>
        <v>1</v>
      </c>
      <c r="S152" s="9">
        <v>4</v>
      </c>
      <c r="T152" s="19" t="str">
        <f>IF(U152&lt;&gt;"", U152+0&amp;","&amp;V152+0,"")</f>
        <v>1,3</v>
      </c>
      <c r="U152" s="24">
        <v>1</v>
      </c>
      <c r="V152" s="24">
        <v>3</v>
      </c>
      <c r="W152" s="9">
        <v>1</v>
      </c>
      <c r="X152" s="9">
        <v>11</v>
      </c>
      <c r="Y152" s="19" t="str">
        <f t="shared" si="75"/>
        <v>0,0</v>
      </c>
      <c r="AA152" s="19" t="str">
        <f t="shared" si="76"/>
        <v>80,120</v>
      </c>
      <c r="AC152" s="9">
        <v>2</v>
      </c>
      <c r="AD152" s="9">
        <v>0.5</v>
      </c>
      <c r="AE152" s="9">
        <v>0.3</v>
      </c>
      <c r="AF152" s="9">
        <v>2</v>
      </c>
      <c r="AG152" s="9">
        <v>20</v>
      </c>
    </row>
    <row r="153" spans="1:41" x14ac:dyDescent="0.2">
      <c r="A153" s="9">
        <v>42014</v>
      </c>
      <c r="B153" s="9" t="str" cm="1">
        <f t="array" ref="B153">D153&amp;_xlfn.TEXTJOIN("",1,TEXT(E153:G153,"00"))</f>
        <v>1010200</v>
      </c>
      <c r="C153" s="30" t="str">
        <f t="shared" si="73"/>
        <v>42014,1010200</v>
      </c>
      <c r="D153" s="26">
        <v>1</v>
      </c>
      <c r="E153" s="26">
        <v>1</v>
      </c>
      <c r="F153" s="26">
        <f>W153</f>
        <v>2</v>
      </c>
      <c r="G153" s="26">
        <v>0</v>
      </c>
      <c r="H153" s="9">
        <v>201101</v>
      </c>
      <c r="I153" s="15" t="str">
        <f>IFERROR(VLOOKUP(H153,monsters[#All],4,0),"")</f>
        <v>地宫蝙蝠</v>
      </c>
      <c r="J153" s="15" t="str" cm="1">
        <f t="array" ref="J153">_xlfn.LET(_xlpm.v6p,ABS(ATAN2(O153,P153))*6/PI(),
_xlpm.output,_xlfn.IFS(_xlpm.v6p&lt;1,"正前",_xlpm.v6p&gt;5,"正后",AND(_xlpm.v6p&lt;5,_xlpm.v6p&gt;2,P153&lt;-1),"脚底",_xlpm.v6p&gt;4,"后上",_xlpm.v6p&lt;2,"前上",TRUE,"顶部"),
IFERROR(_xlpm.output,""))</f>
        <v>前上</v>
      </c>
      <c r="K153" s="12"/>
      <c r="L153" s="12" t="s">
        <v>27</v>
      </c>
      <c r="M153" s="12"/>
      <c r="N153" s="19" t="str">
        <f t="shared" si="77"/>
        <v>15,10</v>
      </c>
      <c r="O153" s="24">
        <v>15</v>
      </c>
      <c r="P153" s="24">
        <v>10</v>
      </c>
      <c r="Q153" s="19">
        <f t="shared" si="74"/>
        <v>1</v>
      </c>
      <c r="S153" s="9">
        <v>4</v>
      </c>
      <c r="T153" s="19" t="str">
        <f>IF(U153&lt;&gt;"", U153+0&amp;","&amp;V153+0,"")</f>
        <v>1,3</v>
      </c>
      <c r="U153" s="24">
        <v>1</v>
      </c>
      <c r="V153" s="24">
        <v>3</v>
      </c>
      <c r="W153" s="9">
        <v>2</v>
      </c>
      <c r="X153" s="9">
        <v>11</v>
      </c>
      <c r="Y153" s="19" t="str">
        <f t="shared" si="75"/>
        <v>0,0</v>
      </c>
      <c r="AA153" s="19" t="str">
        <f t="shared" si="76"/>
        <v>80,120</v>
      </c>
      <c r="AC153" s="9">
        <v>2</v>
      </c>
      <c r="AD153" s="9">
        <v>0.5</v>
      </c>
      <c r="AE153" s="9">
        <v>0.3</v>
      </c>
      <c r="AF153" s="9">
        <v>2</v>
      </c>
      <c r="AG153" s="9">
        <v>20</v>
      </c>
    </row>
    <row r="154" spans="1:41" x14ac:dyDescent="0.2">
      <c r="A154" s="9">
        <v>42014</v>
      </c>
      <c r="B154" s="9" t="str" cm="1">
        <f t="array" ref="B154">D154&amp;_xlfn.TEXTJOIN("",1,TEXT(E154:G154,"00"))</f>
        <v>1010300</v>
      </c>
      <c r="C154" s="30" t="str">
        <f t="shared" si="73"/>
        <v>42014,1010300</v>
      </c>
      <c r="D154" s="26">
        <v>1</v>
      </c>
      <c r="E154" s="26">
        <v>1</v>
      </c>
      <c r="F154" s="26">
        <f>W154</f>
        <v>3</v>
      </c>
      <c r="G154" s="26">
        <v>0</v>
      </c>
      <c r="H154" s="9">
        <v>201101</v>
      </c>
      <c r="I154" s="15" t="str">
        <f>IFERROR(VLOOKUP(H154,monsters[#All],4,0),"")</f>
        <v>地宫蝙蝠</v>
      </c>
      <c r="J154" s="15" t="str" cm="1">
        <f t="array" ref="J154">_xlfn.LET(_xlpm.v6p,ABS(ATAN2(O154,P154))*6/PI(),
_xlpm.output,_xlfn.IFS(_xlpm.v6p&lt;1,"正前",_xlpm.v6p&gt;5,"正后",AND(_xlpm.v6p&lt;5,_xlpm.v6p&gt;2,P154&lt;-1),"脚底",_xlpm.v6p&gt;4,"后上",_xlpm.v6p&lt;2,"前上",TRUE,"顶部"),
IFERROR(_xlpm.output,""))</f>
        <v>前上</v>
      </c>
      <c r="K154" s="12"/>
      <c r="L154" s="12" t="s">
        <v>27</v>
      </c>
      <c r="M154" s="12"/>
      <c r="N154" s="19" t="str">
        <f t="shared" si="77"/>
        <v>15,10</v>
      </c>
      <c r="O154" s="24">
        <v>15</v>
      </c>
      <c r="P154" s="24">
        <v>10</v>
      </c>
      <c r="Q154" s="19">
        <f t="shared" si="74"/>
        <v>1</v>
      </c>
      <c r="S154" s="9">
        <v>12</v>
      </c>
      <c r="T154" s="19" t="str">
        <f>IF(U154&lt;&gt;"", U154+0&amp;","&amp;V154+0,"")</f>
        <v>1,3</v>
      </c>
      <c r="U154" s="24">
        <v>1</v>
      </c>
      <c r="V154" s="24">
        <v>3</v>
      </c>
      <c r="W154" s="9">
        <v>3</v>
      </c>
      <c r="X154" s="9">
        <v>11</v>
      </c>
      <c r="Y154" s="19" t="str">
        <f t="shared" si="75"/>
        <v>0,0</v>
      </c>
      <c r="AA154" s="19" t="str">
        <f t="shared" si="76"/>
        <v>80,120</v>
      </c>
      <c r="AC154" s="9">
        <v>12</v>
      </c>
      <c r="AD154" s="9">
        <v>8</v>
      </c>
      <c r="AE154" s="9">
        <v>0.3</v>
      </c>
      <c r="AF154" s="9">
        <v>6</v>
      </c>
      <c r="AG154" s="9">
        <v>200</v>
      </c>
    </row>
    <row r="155" spans="1:41" x14ac:dyDescent="0.2">
      <c r="C155" s="30" t="str">
        <f t="shared" si="73"/>
        <v/>
      </c>
      <c r="I155" s="15" t="str">
        <f>IFERROR(VLOOKUP(H155,monsters[#All],4,0),"")</f>
        <v/>
      </c>
      <c r="J155" s="15" t="str" cm="1">
        <f t="array" ref="J155">_xlfn.LET(_xlpm.v6p,ABS(ATAN2(O155,P155))*6/PI(),
_xlpm.output,_xlfn.IFS(_xlpm.v6p&lt;1,"正前",_xlpm.v6p&gt;5,"正后",AND(_xlpm.v6p&lt;5,_xlpm.v6p&gt;2,P155&lt;-1),"脚底",_xlpm.v6p&gt;4,"后上",_xlpm.v6p&lt;2,"前上",TRUE,"顶部"),
IFERROR(_xlpm.output,""))</f>
        <v/>
      </c>
      <c r="N155" s="19"/>
      <c r="Q155" s="19" t="str">
        <f t="shared" si="74"/>
        <v/>
      </c>
      <c r="S155" s="9" t="s">
        <v>62</v>
      </c>
      <c r="T155" s="19" t="str">
        <f t="shared" ref="T155" si="78">IF(U155&lt;&gt;"", U155+0&amp;","&amp;V155+0,"")</f>
        <v/>
      </c>
      <c r="Y155" s="19" t="str">
        <f t="shared" si="75"/>
        <v/>
      </c>
      <c r="AA155" s="19" t="str">
        <f t="shared" si="76"/>
        <v/>
      </c>
      <c r="AC155" s="9" t="s">
        <v>62</v>
      </c>
    </row>
    <row r="156" spans="1:41" x14ac:dyDescent="0.2">
      <c r="A156" s="9">
        <v>42014</v>
      </c>
      <c r="B156" s="9" t="str" cm="1">
        <f t="array" ref="B156">D156&amp;_xlfn.TEXTJOIN("",1,TEXT(E156:G156,"00"))</f>
        <v>1020000</v>
      </c>
      <c r="C156" s="30" t="str">
        <f t="shared" si="73"/>
        <v>42014,1020000</v>
      </c>
      <c r="D156" s="26">
        <v>1</v>
      </c>
      <c r="E156" s="26">
        <v>2</v>
      </c>
      <c r="F156" s="26">
        <f>W156</f>
        <v>0</v>
      </c>
      <c r="G156" s="26">
        <v>0</v>
      </c>
      <c r="H156" s="9">
        <v>201101</v>
      </c>
      <c r="I156" s="15" t="str">
        <f>IFERROR(VLOOKUP(H156,monsters[#All],4,0),"")</f>
        <v>地宫蝙蝠</v>
      </c>
      <c r="J156" s="15" t="str" cm="1">
        <f t="array" ref="J156">_xlfn.LET(_xlpm.v6p,ABS(ATAN2(O156,P156))*6/PI(),
_xlpm.output,_xlfn.IFS(_xlpm.v6p&lt;1,"正前",_xlpm.v6p&gt;5,"正后",AND(_xlpm.v6p&lt;5,_xlpm.v6p&gt;2,P156&lt;-1),"脚底",_xlpm.v6p&gt;4,"后上",_xlpm.v6p&lt;2,"前上",TRUE,"顶部"),
IFERROR(_xlpm.output,""))</f>
        <v>后上</v>
      </c>
      <c r="K156" s="12"/>
      <c r="L156" s="12" t="s">
        <v>27</v>
      </c>
      <c r="M156" s="12"/>
      <c r="N156" s="19" t="str">
        <f t="shared" ref="N156:N159" si="79">O156+0&amp;","&amp;P156+0</f>
        <v>-15,10</v>
      </c>
      <c r="O156" s="24">
        <v>-15</v>
      </c>
      <c r="P156" s="24">
        <v>10</v>
      </c>
      <c r="Q156" s="19">
        <f t="shared" si="74"/>
        <v>1</v>
      </c>
      <c r="S156" s="9">
        <v>12</v>
      </c>
      <c r="T156" s="19" t="str">
        <f>IF(U156&lt;&gt;"", U156+0&amp;","&amp;V156+0,"")</f>
        <v>1,3</v>
      </c>
      <c r="U156" s="24">
        <v>1</v>
      </c>
      <c r="V156" s="24">
        <v>3</v>
      </c>
      <c r="W156" s="9">
        <v>0</v>
      </c>
      <c r="X156" s="9">
        <v>11</v>
      </c>
      <c r="Y156" s="19" t="str">
        <f t="shared" si="75"/>
        <v>35,40</v>
      </c>
      <c r="Z156" s="24" t="s">
        <v>131</v>
      </c>
      <c r="AA156" s="19" t="str">
        <f t="shared" si="76"/>
        <v>80,120</v>
      </c>
      <c r="AC156" s="9">
        <v>2</v>
      </c>
      <c r="AD156" s="9">
        <v>2</v>
      </c>
      <c r="AE156" s="9">
        <v>0.3</v>
      </c>
      <c r="AF156" s="9">
        <v>4</v>
      </c>
      <c r="AG156" s="9">
        <v>100</v>
      </c>
    </row>
    <row r="157" spans="1:41" x14ac:dyDescent="0.2">
      <c r="A157" s="9">
        <v>42014</v>
      </c>
      <c r="B157" s="9" t="str" cm="1">
        <f t="array" ref="B157">D157&amp;_xlfn.TEXTJOIN("",1,TEXT(E157:G157,"00"))</f>
        <v>1020100</v>
      </c>
      <c r="C157" s="30" t="str">
        <f t="shared" si="73"/>
        <v>42014,1020100</v>
      </c>
      <c r="D157" s="26">
        <v>1</v>
      </c>
      <c r="E157" s="26">
        <v>2</v>
      </c>
      <c r="F157" s="26">
        <f>W157</f>
        <v>1</v>
      </c>
      <c r="G157" s="26">
        <v>0</v>
      </c>
      <c r="H157" s="9">
        <v>201101</v>
      </c>
      <c r="I157" s="15" t="str">
        <f>IFERROR(VLOOKUP(H157,monsters[#All],4,0),"")</f>
        <v>地宫蝙蝠</v>
      </c>
      <c r="J157" s="15" t="str" cm="1">
        <f t="array" ref="J157">_xlfn.LET(_xlpm.v6p,ABS(ATAN2(O157,P157))*6/PI(),
_xlpm.output,_xlfn.IFS(_xlpm.v6p&lt;1,"正前",_xlpm.v6p&gt;5,"正后",AND(_xlpm.v6p&lt;5,_xlpm.v6p&gt;2,P157&lt;-1),"脚底",_xlpm.v6p&gt;4,"后上",_xlpm.v6p&lt;2,"前上",TRUE,"顶部"),
IFERROR(_xlpm.output,""))</f>
        <v>后上</v>
      </c>
      <c r="K157" s="12"/>
      <c r="L157" s="12" t="s">
        <v>27</v>
      </c>
      <c r="M157" s="12"/>
      <c r="N157" s="19" t="str">
        <f t="shared" si="79"/>
        <v>-15,10</v>
      </c>
      <c r="O157" s="24">
        <v>-15</v>
      </c>
      <c r="P157" s="24">
        <v>10</v>
      </c>
      <c r="Q157" s="19">
        <f t="shared" si="74"/>
        <v>1</v>
      </c>
      <c r="S157" s="9">
        <v>4</v>
      </c>
      <c r="T157" s="19" t="str">
        <f>IF(U157&lt;&gt;"", U157+0&amp;","&amp;V157+0,"")</f>
        <v>1,3</v>
      </c>
      <c r="U157" s="24">
        <v>1</v>
      </c>
      <c r="V157" s="24">
        <v>3</v>
      </c>
      <c r="W157" s="9">
        <v>1</v>
      </c>
      <c r="X157" s="9">
        <v>11</v>
      </c>
      <c r="Y157" s="19" t="str">
        <f t="shared" si="75"/>
        <v>0,0</v>
      </c>
      <c r="AA157" s="19" t="str">
        <f t="shared" si="76"/>
        <v>80,120</v>
      </c>
      <c r="AC157" s="9">
        <v>2</v>
      </c>
      <c r="AD157" s="9">
        <v>0.5</v>
      </c>
      <c r="AE157" s="9">
        <v>0.3</v>
      </c>
      <c r="AF157" s="9">
        <v>2</v>
      </c>
      <c r="AG157" s="9">
        <v>20</v>
      </c>
    </row>
    <row r="158" spans="1:41" x14ac:dyDescent="0.2">
      <c r="A158" s="9">
        <v>42014</v>
      </c>
      <c r="B158" s="9" t="str" cm="1">
        <f t="array" ref="B158">D158&amp;_xlfn.TEXTJOIN("",1,TEXT(E158:G158,"00"))</f>
        <v>1020200</v>
      </c>
      <c r="C158" s="30" t="str">
        <f t="shared" si="73"/>
        <v>42014,1020200</v>
      </c>
      <c r="D158" s="26">
        <v>1</v>
      </c>
      <c r="E158" s="26">
        <v>2</v>
      </c>
      <c r="F158" s="26">
        <f>W158</f>
        <v>2</v>
      </c>
      <c r="G158" s="26">
        <v>0</v>
      </c>
      <c r="H158" s="9">
        <v>201101</v>
      </c>
      <c r="I158" s="15" t="str">
        <f>IFERROR(VLOOKUP(H158,monsters[#All],4,0),"")</f>
        <v>地宫蝙蝠</v>
      </c>
      <c r="J158" s="15" t="str" cm="1">
        <f t="array" ref="J158">_xlfn.LET(_xlpm.v6p,ABS(ATAN2(O158,P158))*6/PI(),
_xlpm.output,_xlfn.IFS(_xlpm.v6p&lt;1,"正前",_xlpm.v6p&gt;5,"正后",AND(_xlpm.v6p&lt;5,_xlpm.v6p&gt;2,P158&lt;-1),"脚底",_xlpm.v6p&gt;4,"后上",_xlpm.v6p&lt;2,"前上",TRUE,"顶部"),
IFERROR(_xlpm.output,""))</f>
        <v>后上</v>
      </c>
      <c r="K158" s="12"/>
      <c r="L158" s="12" t="s">
        <v>27</v>
      </c>
      <c r="M158" s="12"/>
      <c r="N158" s="19" t="str">
        <f t="shared" si="79"/>
        <v>-15,10</v>
      </c>
      <c r="O158" s="24">
        <v>-15</v>
      </c>
      <c r="P158" s="24">
        <v>10</v>
      </c>
      <c r="Q158" s="19">
        <f t="shared" si="74"/>
        <v>1</v>
      </c>
      <c r="S158" s="9">
        <v>20</v>
      </c>
      <c r="T158" s="19" t="str">
        <f>IF(U158&lt;&gt;"", U158+0&amp;","&amp;V158+0,"")</f>
        <v>1,3</v>
      </c>
      <c r="U158" s="24">
        <v>1</v>
      </c>
      <c r="V158" s="24">
        <v>3</v>
      </c>
      <c r="W158" s="9">
        <v>2</v>
      </c>
      <c r="X158" s="9">
        <v>11</v>
      </c>
      <c r="Y158" s="19" t="str">
        <f t="shared" si="75"/>
        <v>0,0</v>
      </c>
      <c r="AA158" s="19" t="str">
        <f t="shared" si="76"/>
        <v>80,120</v>
      </c>
      <c r="AC158" s="9">
        <v>2</v>
      </c>
      <c r="AD158" s="9">
        <v>0.5</v>
      </c>
      <c r="AE158" s="9">
        <v>0.3</v>
      </c>
      <c r="AF158" s="9">
        <v>2</v>
      </c>
      <c r="AG158" s="9">
        <v>20</v>
      </c>
    </row>
    <row r="159" spans="1:41" x14ac:dyDescent="0.2">
      <c r="A159" s="9">
        <v>42014</v>
      </c>
      <c r="B159" s="9" t="str" cm="1">
        <f t="array" ref="B159">D159&amp;_xlfn.TEXTJOIN("",1,TEXT(E159:G159,"00"))</f>
        <v>1020300</v>
      </c>
      <c r="C159" s="30" t="str">
        <f t="shared" si="73"/>
        <v>42014,1020300</v>
      </c>
      <c r="D159" s="26">
        <v>1</v>
      </c>
      <c r="E159" s="26">
        <v>2</v>
      </c>
      <c r="F159" s="26">
        <f>W159</f>
        <v>3</v>
      </c>
      <c r="G159" s="26">
        <v>0</v>
      </c>
      <c r="H159" s="9">
        <v>201101</v>
      </c>
      <c r="I159" s="15" t="str">
        <f>IFERROR(VLOOKUP(H159,monsters[#All],4,0),"")</f>
        <v>地宫蝙蝠</v>
      </c>
      <c r="J159" s="15" t="str" cm="1">
        <f t="array" ref="J159">_xlfn.LET(_xlpm.v6p,ABS(ATAN2(O159,P159))*6/PI(),
_xlpm.output,_xlfn.IFS(_xlpm.v6p&lt;1,"正前",_xlpm.v6p&gt;5,"正后",AND(_xlpm.v6p&lt;5,_xlpm.v6p&gt;2,P159&lt;-1),"脚底",_xlpm.v6p&gt;4,"后上",_xlpm.v6p&lt;2,"前上",TRUE,"顶部"),
IFERROR(_xlpm.output,""))</f>
        <v>后上</v>
      </c>
      <c r="K159" s="12"/>
      <c r="L159" s="12" t="s">
        <v>27</v>
      </c>
      <c r="M159" s="12"/>
      <c r="N159" s="19" t="str">
        <f t="shared" si="79"/>
        <v>-15,10</v>
      </c>
      <c r="O159" s="24">
        <v>-15</v>
      </c>
      <c r="P159" s="24">
        <v>10</v>
      </c>
      <c r="Q159" s="19">
        <f t="shared" si="74"/>
        <v>1</v>
      </c>
      <c r="S159" s="9">
        <v>20</v>
      </c>
      <c r="T159" s="19" t="str">
        <f>IF(U159&lt;&gt;"", U159+0&amp;","&amp;V159+0,"")</f>
        <v>1,3</v>
      </c>
      <c r="U159" s="24">
        <v>1</v>
      </c>
      <c r="V159" s="24">
        <v>3</v>
      </c>
      <c r="W159" s="9">
        <v>3</v>
      </c>
      <c r="X159" s="9">
        <v>11</v>
      </c>
      <c r="Y159" s="19" t="str">
        <f t="shared" si="75"/>
        <v>0,0</v>
      </c>
      <c r="AA159" s="19" t="str">
        <f t="shared" si="76"/>
        <v>80,120</v>
      </c>
      <c r="AC159" s="9">
        <v>40</v>
      </c>
      <c r="AD159" s="9">
        <v>6</v>
      </c>
      <c r="AE159" s="9">
        <v>0.3</v>
      </c>
      <c r="AF159" s="9">
        <v>6</v>
      </c>
      <c r="AG159" s="9">
        <v>200</v>
      </c>
    </row>
    <row r="160" spans="1:41" x14ac:dyDescent="0.2">
      <c r="C160" s="30" t="str">
        <f t="shared" si="73"/>
        <v/>
      </c>
      <c r="I160" s="15" t="str">
        <f>IFERROR(VLOOKUP(H160,monsters[#All],4,0),"")</f>
        <v/>
      </c>
      <c r="J160" s="15" t="str" cm="1">
        <f t="array" ref="J160">_xlfn.LET(_xlpm.v6p,ABS(ATAN2(O160,P160))*6/PI(),
_xlpm.output,_xlfn.IFS(_xlpm.v6p&lt;1,"正前",_xlpm.v6p&gt;5,"正后",AND(_xlpm.v6p&lt;5,_xlpm.v6p&gt;2,P160&lt;-1),"脚底",_xlpm.v6p&gt;4,"后上",_xlpm.v6p&lt;2,"前上",TRUE,"顶部"),
IFERROR(_xlpm.output,""))</f>
        <v/>
      </c>
      <c r="K160" s="12"/>
      <c r="L160" s="12"/>
      <c r="M160" s="12"/>
      <c r="N160" s="19"/>
      <c r="Q160" s="19" t="str">
        <f t="shared" si="74"/>
        <v/>
      </c>
      <c r="S160" s="9" t="s">
        <v>62</v>
      </c>
      <c r="T160" s="19" t="str">
        <f t="shared" ref="T160:T170" si="80">IF(U160&lt;&gt;"", U160+0&amp;","&amp;V160+0,"")</f>
        <v/>
      </c>
      <c r="Y160" s="19" t="str">
        <f t="shared" si="75"/>
        <v/>
      </c>
      <c r="AA160" s="19" t="str">
        <f t="shared" si="76"/>
        <v/>
      </c>
      <c r="AC160" s="9" t="s">
        <v>62</v>
      </c>
    </row>
    <row r="161" spans="1:33" x14ac:dyDescent="0.2">
      <c r="A161" s="9">
        <v>42014</v>
      </c>
      <c r="B161" s="9" t="str" cm="1">
        <f t="array" ref="B161">D161&amp;_xlfn.TEXTJOIN("",1,TEXT(E161:G161,"00"))</f>
        <v>2010000</v>
      </c>
      <c r="C161" s="30" t="str">
        <f t="shared" si="73"/>
        <v>42014,2010000</v>
      </c>
      <c r="D161" s="26">
        <v>2</v>
      </c>
      <c r="E161" s="26">
        <v>1</v>
      </c>
      <c r="F161" s="26">
        <f>W161</f>
        <v>0</v>
      </c>
      <c r="G161" s="26">
        <v>0</v>
      </c>
      <c r="H161" s="9">
        <v>201102</v>
      </c>
      <c r="I161" s="15" t="str">
        <f>IFERROR(VLOOKUP(H161,monsters[#All],4,0),"")</f>
        <v>自爆甲虫</v>
      </c>
      <c r="J161" s="15" t="str" cm="1">
        <f t="array" ref="J161">_xlfn.LET(_xlpm.v6p,ABS(ATAN2(O161,P161))*6/PI(),
_xlpm.output,_xlfn.IFS(_xlpm.v6p&lt;1,"正前",_xlpm.v6p&gt;5,"正后",AND(_xlpm.v6p&lt;5,_xlpm.v6p&gt;2,P161&lt;-1),"脚底",_xlpm.v6p&gt;4,"后上",_xlpm.v6p&lt;2,"前上",TRUE,"顶部"),
IFERROR(_xlpm.output,""))</f>
        <v>正前</v>
      </c>
      <c r="K161" s="12"/>
      <c r="L161" s="12" t="s">
        <v>27</v>
      </c>
      <c r="M161" s="12"/>
      <c r="N161" s="19" t="str">
        <f t="shared" ref="N161:N163" si="81">O161+0&amp;","&amp;P161+0</f>
        <v>15,-1</v>
      </c>
      <c r="O161" s="24">
        <v>15</v>
      </c>
      <c r="P161" s="24">
        <v>-1</v>
      </c>
      <c r="Q161" s="19">
        <f t="shared" si="74"/>
        <v>1</v>
      </c>
      <c r="S161" s="9">
        <v>8</v>
      </c>
      <c r="T161" s="19" t="str">
        <f t="shared" si="80"/>
        <v/>
      </c>
      <c r="W161" s="9">
        <v>0</v>
      </c>
      <c r="X161" s="9">
        <v>11</v>
      </c>
      <c r="Y161" s="19" t="str">
        <f t="shared" si="75"/>
        <v>0,0</v>
      </c>
      <c r="AA161" s="19" t="str">
        <f t="shared" si="76"/>
        <v>80,120</v>
      </c>
      <c r="AC161" s="9">
        <v>0.12</v>
      </c>
      <c r="AD161" s="9">
        <v>0</v>
      </c>
      <c r="AE161" s="9">
        <v>2</v>
      </c>
      <c r="AF161" s="16"/>
      <c r="AG161" s="16">
        <v>99</v>
      </c>
    </row>
    <row r="162" spans="1:33" x14ac:dyDescent="0.2">
      <c r="A162" s="9">
        <v>42014</v>
      </c>
      <c r="B162" s="9" t="str" cm="1">
        <f t="array" ref="B162">D162&amp;_xlfn.TEXTJOIN("",1,TEXT(E162:G162,"00"))</f>
        <v>2010100</v>
      </c>
      <c r="C162" s="30" t="str">
        <f t="shared" si="73"/>
        <v>42014,2010100</v>
      </c>
      <c r="D162" s="26">
        <v>2</v>
      </c>
      <c r="E162" s="26">
        <v>1</v>
      </c>
      <c r="F162" s="26">
        <f>W162</f>
        <v>1</v>
      </c>
      <c r="G162" s="26">
        <v>0</v>
      </c>
      <c r="H162" s="9">
        <v>201102</v>
      </c>
      <c r="I162" s="15" t="str">
        <f>IFERROR(VLOOKUP(H162,monsters[#All],4,0),"")</f>
        <v>自爆甲虫</v>
      </c>
      <c r="J162" s="15" t="str" cm="1">
        <f t="array" ref="J162">_xlfn.LET(_xlpm.v6p,ABS(ATAN2(O162,P162))*6/PI(),
_xlpm.output,_xlfn.IFS(_xlpm.v6p&lt;1,"正前",_xlpm.v6p&gt;5,"正后",AND(_xlpm.v6p&lt;5,_xlpm.v6p&gt;2,P162&lt;-1),"脚底",_xlpm.v6p&gt;4,"后上",_xlpm.v6p&lt;2,"前上",TRUE,"顶部"),
IFERROR(_xlpm.output,""))</f>
        <v>正前</v>
      </c>
      <c r="K162" s="12"/>
      <c r="L162" s="12" t="s">
        <v>27</v>
      </c>
      <c r="M162" s="12"/>
      <c r="N162" s="19" t="str">
        <f t="shared" si="81"/>
        <v>15,-1</v>
      </c>
      <c r="O162" s="24">
        <v>15</v>
      </c>
      <c r="P162" s="24">
        <v>-1</v>
      </c>
      <c r="Q162" s="19">
        <f t="shared" si="74"/>
        <v>1</v>
      </c>
      <c r="S162" s="9">
        <v>4</v>
      </c>
      <c r="T162" s="19" t="str">
        <f t="shared" si="80"/>
        <v/>
      </c>
      <c r="W162" s="9">
        <v>1</v>
      </c>
      <c r="X162" s="9">
        <v>11</v>
      </c>
      <c r="Y162" s="19" t="str">
        <f t="shared" si="75"/>
        <v>0,0</v>
      </c>
      <c r="AA162" s="19" t="str">
        <f t="shared" si="76"/>
        <v>80,120</v>
      </c>
      <c r="AC162" s="9">
        <v>0.04</v>
      </c>
      <c r="AD162" s="9">
        <v>0</v>
      </c>
      <c r="AE162" s="9">
        <v>2</v>
      </c>
      <c r="AF162" s="16"/>
      <c r="AG162" s="16">
        <v>99</v>
      </c>
    </row>
    <row r="163" spans="1:33" x14ac:dyDescent="0.2">
      <c r="A163" s="9">
        <v>42014</v>
      </c>
      <c r="B163" s="9" t="str" cm="1">
        <f t="array" ref="B163">D163&amp;_xlfn.TEXTJOIN("",1,TEXT(E163:G163,"00"))</f>
        <v>2010300</v>
      </c>
      <c r="C163" s="30" t="str">
        <f t="shared" si="73"/>
        <v>42014,2010300</v>
      </c>
      <c r="D163" s="26">
        <v>2</v>
      </c>
      <c r="E163" s="26">
        <v>1</v>
      </c>
      <c r="F163" s="26">
        <f>W163</f>
        <v>3</v>
      </c>
      <c r="G163" s="26">
        <v>0</v>
      </c>
      <c r="H163" s="9">
        <v>201102</v>
      </c>
      <c r="I163" s="15" t="str">
        <f>IFERROR(VLOOKUP(H163,monsters[#All],4,0),"")</f>
        <v>自爆甲虫</v>
      </c>
      <c r="J163" s="15" t="str" cm="1">
        <f t="array" ref="J163">_xlfn.LET(_xlpm.v6p,ABS(ATAN2(O163,P163))*6/PI(),
_xlpm.output,_xlfn.IFS(_xlpm.v6p&lt;1,"正前",_xlpm.v6p&gt;5,"正后",AND(_xlpm.v6p&lt;5,_xlpm.v6p&gt;2,P163&lt;-1),"脚底",_xlpm.v6p&gt;4,"后上",_xlpm.v6p&lt;2,"前上",TRUE,"顶部"),
IFERROR(_xlpm.output,""))</f>
        <v>正前</v>
      </c>
      <c r="K163" s="12"/>
      <c r="L163" s="12" t="s">
        <v>27</v>
      </c>
      <c r="M163" s="12"/>
      <c r="N163" s="19" t="str">
        <f t="shared" si="81"/>
        <v>15,-1</v>
      </c>
      <c r="O163" s="24">
        <v>15</v>
      </c>
      <c r="P163" s="24">
        <v>-1</v>
      </c>
      <c r="Q163" s="19">
        <f t="shared" si="74"/>
        <v>1</v>
      </c>
      <c r="S163" s="9">
        <v>8</v>
      </c>
      <c r="T163" s="19" t="str">
        <f t="shared" si="80"/>
        <v/>
      </c>
      <c r="W163" s="9">
        <v>3</v>
      </c>
      <c r="X163" s="9">
        <v>11</v>
      </c>
      <c r="Y163" s="19" t="str">
        <f t="shared" si="75"/>
        <v>0,0</v>
      </c>
      <c r="AA163" s="19" t="str">
        <f t="shared" si="76"/>
        <v>80,120</v>
      </c>
      <c r="AC163" s="9">
        <v>14</v>
      </c>
      <c r="AD163" s="9">
        <v>0</v>
      </c>
      <c r="AE163" s="9">
        <v>2</v>
      </c>
      <c r="AF163" s="16"/>
      <c r="AG163" s="16">
        <v>99</v>
      </c>
    </row>
    <row r="164" spans="1:33" x14ac:dyDescent="0.2">
      <c r="C164" s="30" t="str">
        <f t="shared" si="73"/>
        <v/>
      </c>
      <c r="I164" s="15" t="str">
        <f>IFERROR(VLOOKUP(H164,monsters[#All],4,0),"")</f>
        <v/>
      </c>
      <c r="J164" s="15" t="str" cm="1">
        <f t="array" ref="J164">_xlfn.LET(_xlpm.v6p,ABS(ATAN2(O164,P164))*6/PI(),
_xlpm.output,_xlfn.IFS(_xlpm.v6p&lt;1,"正前",_xlpm.v6p&gt;5,"正后",AND(_xlpm.v6p&lt;5,_xlpm.v6p&gt;2,P164&lt;-1),"脚底",_xlpm.v6p&gt;4,"后上",_xlpm.v6p&lt;2,"前上",TRUE,"顶部"),
IFERROR(_xlpm.output,""))</f>
        <v/>
      </c>
      <c r="N164" s="19"/>
      <c r="Q164" s="19" t="str">
        <f t="shared" si="74"/>
        <v/>
      </c>
      <c r="S164" s="9" t="s">
        <v>62</v>
      </c>
      <c r="T164" s="19" t="str">
        <f t="shared" si="80"/>
        <v/>
      </c>
      <c r="Y164" s="19" t="str">
        <f t="shared" si="75"/>
        <v/>
      </c>
      <c r="AA164" s="19" t="str">
        <f t="shared" si="76"/>
        <v/>
      </c>
      <c r="AC164" s="9" t="s">
        <v>62</v>
      </c>
    </row>
    <row r="165" spans="1:33" x14ac:dyDescent="0.2">
      <c r="A165" s="9">
        <v>42014</v>
      </c>
      <c r="B165" s="9" t="str" cm="1">
        <f t="array" ref="B165">D165&amp;_xlfn.TEXTJOIN("",1,TEXT(E165:G165,"00"))</f>
        <v>2020001</v>
      </c>
      <c r="C165" s="30" t="str">
        <f t="shared" si="73"/>
        <v>42014,2020001</v>
      </c>
      <c r="D165" s="26">
        <v>2</v>
      </c>
      <c r="E165" s="26">
        <v>2</v>
      </c>
      <c r="F165" s="26">
        <f>W165</f>
        <v>0</v>
      </c>
      <c r="G165" s="26">
        <v>1</v>
      </c>
      <c r="H165" s="9">
        <v>201102</v>
      </c>
      <c r="I165" s="15" t="str">
        <f>IFERROR(VLOOKUP(H165,monsters[#All],4,0),"")</f>
        <v>自爆甲虫</v>
      </c>
      <c r="J165" s="15" t="str" cm="1">
        <f t="array" ref="J165">_xlfn.LET(_xlpm.v6p,ABS(ATAN2(O165,P165))*6/PI(),
_xlpm.output,_xlfn.IFS(_xlpm.v6p&lt;1,"正前",_xlpm.v6p&gt;5,"正后",AND(_xlpm.v6p&lt;5,_xlpm.v6p&gt;2,P165&lt;-1),"脚底",_xlpm.v6p&gt;4,"后上",_xlpm.v6p&lt;2,"前上",TRUE,"顶部"),
IFERROR(_xlpm.output,""))</f>
        <v>前上</v>
      </c>
      <c r="K165" s="12"/>
      <c r="L165" s="12" t="s">
        <v>28</v>
      </c>
      <c r="M165" s="12"/>
      <c r="N165" s="19" t="str">
        <f t="shared" ref="N165:N169" si="82">O165+0&amp;","&amp;P165+0</f>
        <v>20,12</v>
      </c>
      <c r="O165" s="24">
        <v>20</v>
      </c>
      <c r="P165" s="24">
        <v>12</v>
      </c>
      <c r="Q165" s="19">
        <f t="shared" si="74"/>
        <v>1</v>
      </c>
      <c r="S165" s="16" t="s">
        <v>62</v>
      </c>
      <c r="T165" s="19" t="str">
        <f t="shared" si="80"/>
        <v/>
      </c>
      <c r="W165" s="9">
        <v>0</v>
      </c>
      <c r="X165" s="9">
        <v>11</v>
      </c>
      <c r="Y165" s="19" t="str">
        <f t="shared" si="75"/>
        <v>0,0</v>
      </c>
      <c r="AA165" s="19" t="str">
        <f t="shared" si="76"/>
        <v>80,120</v>
      </c>
      <c r="AC165" s="16" t="s">
        <v>62</v>
      </c>
      <c r="AD165" s="16"/>
      <c r="AE165" s="9">
        <v>0</v>
      </c>
      <c r="AF165" s="9">
        <v>1</v>
      </c>
      <c r="AG165" s="19">
        <v>1.8</v>
      </c>
    </row>
    <row r="166" spans="1:33" x14ac:dyDescent="0.2">
      <c r="A166" s="9">
        <v>42014</v>
      </c>
      <c r="B166" s="9" t="str" cm="1">
        <f t="array" ref="B166">D166&amp;_xlfn.TEXTJOIN("",1,TEXT(E166:G166,"00"))</f>
        <v>2020002</v>
      </c>
      <c r="C166" s="30" t="str">
        <f t="shared" si="73"/>
        <v>42014,2020002</v>
      </c>
      <c r="D166" s="26">
        <v>2</v>
      </c>
      <c r="E166" s="26">
        <v>2</v>
      </c>
      <c r="F166" s="26">
        <f>W166</f>
        <v>0</v>
      </c>
      <c r="G166" s="26">
        <v>2</v>
      </c>
      <c r="H166" s="9">
        <v>201102</v>
      </c>
      <c r="I166" s="15" t="str">
        <f>IFERROR(VLOOKUP(H166,monsters[#All],4,0),"")</f>
        <v>自爆甲虫</v>
      </c>
      <c r="J166" s="15" t="str" cm="1">
        <f t="array" ref="J166">_xlfn.LET(_xlpm.v6p,ABS(ATAN2(O166,P166))*6/PI(),
_xlpm.output,_xlfn.IFS(_xlpm.v6p&lt;1,"正前",_xlpm.v6p&gt;5,"正后",AND(_xlpm.v6p&lt;5,_xlpm.v6p&gt;2,P166&lt;-1),"脚底",_xlpm.v6p&gt;4,"后上",_xlpm.v6p&lt;2,"前上",TRUE,"顶部"),
IFERROR(_xlpm.output,""))</f>
        <v>正前</v>
      </c>
      <c r="K166" s="12"/>
      <c r="L166" s="12" t="s">
        <v>28</v>
      </c>
      <c r="M166" s="12"/>
      <c r="N166" s="19" t="str">
        <f t="shared" si="82"/>
        <v>20,8</v>
      </c>
      <c r="O166" s="24">
        <v>20</v>
      </c>
      <c r="P166" s="24">
        <v>8</v>
      </c>
      <c r="Q166" s="19">
        <f t="shared" si="74"/>
        <v>1</v>
      </c>
      <c r="S166" s="16" t="s">
        <v>62</v>
      </c>
      <c r="T166" s="19" t="str">
        <f t="shared" si="80"/>
        <v/>
      </c>
      <c r="W166" s="9">
        <v>0</v>
      </c>
      <c r="X166" s="9">
        <v>11</v>
      </c>
      <c r="Y166" s="19" t="str">
        <f t="shared" si="75"/>
        <v>0,0</v>
      </c>
      <c r="AA166" s="19" t="str">
        <f t="shared" si="76"/>
        <v>80,120</v>
      </c>
      <c r="AC166" s="16" t="s">
        <v>62</v>
      </c>
      <c r="AD166" s="16"/>
      <c r="AE166" s="9">
        <v>0</v>
      </c>
      <c r="AF166" s="9">
        <v>1</v>
      </c>
      <c r="AG166" s="9">
        <v>2.6</v>
      </c>
    </row>
    <row r="167" spans="1:33" x14ac:dyDescent="0.2">
      <c r="A167" s="9">
        <v>42014</v>
      </c>
      <c r="B167" s="9" t="str" cm="1">
        <f t="array" ref="B167">D167&amp;_xlfn.TEXTJOIN("",1,TEXT(E167:G167,"00"))</f>
        <v>2020003</v>
      </c>
      <c r="C167" s="30" t="str">
        <f t="shared" si="73"/>
        <v>42014,2020003</v>
      </c>
      <c r="D167" s="26">
        <v>2</v>
      </c>
      <c r="E167" s="26">
        <v>2</v>
      </c>
      <c r="F167" s="26">
        <f>W167</f>
        <v>0</v>
      </c>
      <c r="G167" s="26">
        <v>3</v>
      </c>
      <c r="H167" s="9">
        <v>201102</v>
      </c>
      <c r="I167" s="15" t="str">
        <f>IFERROR(VLOOKUP(H167,monsters[#All],4,0),"")</f>
        <v>自爆甲虫</v>
      </c>
      <c r="J167" s="15" t="str" cm="1">
        <f t="array" ref="J167">_xlfn.LET(_xlpm.v6p,ABS(ATAN2(O167,P167))*6/PI(),
_xlpm.output,_xlfn.IFS(_xlpm.v6p&lt;1,"正前",_xlpm.v6p&gt;5,"正后",AND(_xlpm.v6p&lt;5,_xlpm.v6p&gt;2,P167&lt;-1),"脚底",_xlpm.v6p&gt;4,"后上",_xlpm.v6p&lt;2,"前上",TRUE,"顶部"),
IFERROR(_xlpm.output,""))</f>
        <v>正前</v>
      </c>
      <c r="K167" s="12"/>
      <c r="L167" s="12" t="s">
        <v>28</v>
      </c>
      <c r="M167" s="12"/>
      <c r="N167" s="19" t="str">
        <f t="shared" si="82"/>
        <v>20,5</v>
      </c>
      <c r="O167" s="24">
        <v>20</v>
      </c>
      <c r="P167" s="24">
        <v>5</v>
      </c>
      <c r="Q167" s="19">
        <f t="shared" si="74"/>
        <v>1</v>
      </c>
      <c r="S167" s="16" t="s">
        <v>62</v>
      </c>
      <c r="T167" s="19" t="str">
        <f t="shared" si="80"/>
        <v/>
      </c>
      <c r="W167" s="9">
        <v>0</v>
      </c>
      <c r="X167" s="9">
        <v>11</v>
      </c>
      <c r="Y167" s="19" t="str">
        <f t="shared" si="75"/>
        <v>0,0</v>
      </c>
      <c r="AA167" s="19" t="str">
        <f t="shared" si="76"/>
        <v>80,120</v>
      </c>
      <c r="AC167" s="16" t="s">
        <v>62</v>
      </c>
      <c r="AD167" s="16"/>
      <c r="AE167" s="9">
        <v>0</v>
      </c>
      <c r="AF167" s="9">
        <v>1</v>
      </c>
      <c r="AG167" s="9">
        <v>3.4000000000000004</v>
      </c>
    </row>
    <row r="168" spans="1:33" x14ac:dyDescent="0.2">
      <c r="A168" s="9">
        <v>42014</v>
      </c>
      <c r="B168" s="9" t="str" cm="1">
        <f t="array" ref="B168">D168&amp;_xlfn.TEXTJOIN("",1,TEXT(E168:G168,"00"))</f>
        <v>2020004</v>
      </c>
      <c r="C168" s="30" t="str">
        <f t="shared" si="73"/>
        <v>42014,2020004</v>
      </c>
      <c r="D168" s="26">
        <v>2</v>
      </c>
      <c r="E168" s="26">
        <v>2</v>
      </c>
      <c r="F168" s="26">
        <f>W168</f>
        <v>0</v>
      </c>
      <c r="G168" s="26">
        <v>4</v>
      </c>
      <c r="H168" s="9">
        <v>201102</v>
      </c>
      <c r="I168" s="15" t="str">
        <f>IFERROR(VLOOKUP(H168,monsters[#All],4,0),"")</f>
        <v>自爆甲虫</v>
      </c>
      <c r="J168" s="15" t="str" cm="1">
        <f t="array" ref="J168">_xlfn.LET(_xlpm.v6p,ABS(ATAN2(O168,P168))*6/PI(),
_xlpm.output,_xlfn.IFS(_xlpm.v6p&lt;1,"正前",_xlpm.v6p&gt;5,"正后",AND(_xlpm.v6p&lt;5,_xlpm.v6p&gt;2,P168&lt;-1),"脚底",_xlpm.v6p&gt;4,"后上",_xlpm.v6p&lt;2,"前上",TRUE,"顶部"),
IFERROR(_xlpm.output,""))</f>
        <v>正前</v>
      </c>
      <c r="K168" s="12"/>
      <c r="L168" s="12" t="s">
        <v>28</v>
      </c>
      <c r="M168" s="12"/>
      <c r="N168" s="19" t="str">
        <f t="shared" si="82"/>
        <v>20,2</v>
      </c>
      <c r="O168" s="24">
        <v>20</v>
      </c>
      <c r="P168" s="24">
        <v>2</v>
      </c>
      <c r="Q168" s="19">
        <f t="shared" si="74"/>
        <v>1</v>
      </c>
      <c r="S168" s="16" t="s">
        <v>62</v>
      </c>
      <c r="T168" s="19" t="str">
        <f t="shared" si="80"/>
        <v/>
      </c>
      <c r="W168" s="9">
        <v>0</v>
      </c>
      <c r="X168" s="9">
        <v>11</v>
      </c>
      <c r="Y168" s="19" t="str">
        <f t="shared" si="75"/>
        <v>0,0</v>
      </c>
      <c r="AA168" s="19" t="str">
        <f t="shared" si="76"/>
        <v>80,120</v>
      </c>
      <c r="AC168" s="16" t="s">
        <v>62</v>
      </c>
      <c r="AD168" s="16"/>
      <c r="AE168" s="9">
        <v>0</v>
      </c>
      <c r="AF168" s="9">
        <v>1</v>
      </c>
      <c r="AG168" s="9">
        <v>4.6000000000000005</v>
      </c>
    </row>
    <row r="169" spans="1:33" x14ac:dyDescent="0.2">
      <c r="A169" s="9">
        <v>42014</v>
      </c>
      <c r="B169" s="9" t="str" cm="1">
        <f t="array" ref="B169">D169&amp;_xlfn.TEXTJOIN("",1,TEXT(E169:G169,"00"))</f>
        <v>2020005</v>
      </c>
      <c r="C169" s="30" t="str">
        <f t="shared" si="73"/>
        <v>42014,2020005</v>
      </c>
      <c r="D169" s="26">
        <v>2</v>
      </c>
      <c r="E169" s="26">
        <v>2</v>
      </c>
      <c r="F169" s="26">
        <f>W169</f>
        <v>0</v>
      </c>
      <c r="G169" s="26">
        <v>5</v>
      </c>
      <c r="H169" s="9">
        <v>201102</v>
      </c>
      <c r="I169" s="15" t="str">
        <f>IFERROR(VLOOKUP(H169,monsters[#All],4,0),"")</f>
        <v>自爆甲虫</v>
      </c>
      <c r="J169" s="15" t="str" cm="1">
        <f t="array" ref="J169">_xlfn.LET(_xlpm.v6p,ABS(ATAN2(O169,P169))*6/PI(),
_xlpm.output,_xlfn.IFS(_xlpm.v6p&lt;1,"正前",_xlpm.v6p&gt;5,"正后",AND(_xlpm.v6p&lt;5,_xlpm.v6p&gt;2,P169&lt;-1),"脚底",_xlpm.v6p&gt;4,"后上",_xlpm.v6p&lt;2,"前上",TRUE,"顶部"),
IFERROR(_xlpm.output,""))</f>
        <v>正后</v>
      </c>
      <c r="K169" s="12"/>
      <c r="L169" s="12" t="s">
        <v>28</v>
      </c>
      <c r="M169" s="12"/>
      <c r="N169" s="19" t="str">
        <f t="shared" si="82"/>
        <v>-15,5</v>
      </c>
      <c r="O169" s="24">
        <v>-15</v>
      </c>
      <c r="P169" s="24">
        <v>5</v>
      </c>
      <c r="Q169" s="19">
        <f t="shared" si="74"/>
        <v>1</v>
      </c>
      <c r="S169" s="16" t="s">
        <v>62</v>
      </c>
      <c r="T169" s="19" t="str">
        <f t="shared" si="80"/>
        <v/>
      </c>
      <c r="W169" s="9">
        <v>0</v>
      </c>
      <c r="X169" s="9">
        <v>11</v>
      </c>
      <c r="Y169" s="19" t="str">
        <f t="shared" si="75"/>
        <v>0,0</v>
      </c>
      <c r="AA169" s="19" t="str">
        <f t="shared" si="76"/>
        <v>80,120</v>
      </c>
      <c r="AC169" s="16" t="s">
        <v>62</v>
      </c>
      <c r="AD169" s="16"/>
      <c r="AE169" s="9">
        <v>0</v>
      </c>
      <c r="AF169" s="9">
        <v>1</v>
      </c>
      <c r="AG169" s="9">
        <v>6.2</v>
      </c>
    </row>
    <row r="170" spans="1:33" x14ac:dyDescent="0.2">
      <c r="C170" s="30" t="str">
        <f t="shared" si="73"/>
        <v/>
      </c>
      <c r="I170" s="15" t="str">
        <f>IFERROR(VLOOKUP(H170,monsters[#All],4,0),"")</f>
        <v/>
      </c>
      <c r="J170" s="15" t="str" cm="1">
        <f t="array" ref="J170">_xlfn.LET(_xlpm.v6p,ABS(ATAN2(O170,P170))*6/PI(),
_xlpm.output,_xlfn.IFS(_xlpm.v6p&lt;1,"正前",_xlpm.v6p&gt;5,"正后",AND(_xlpm.v6p&lt;5,_xlpm.v6p&gt;2,P170&lt;-1),"脚底",_xlpm.v6p&gt;4,"后上",_xlpm.v6p&lt;2,"前上",TRUE,"顶部"),
IFERROR(_xlpm.output,""))</f>
        <v/>
      </c>
      <c r="K170" s="12"/>
      <c r="L170" s="12"/>
      <c r="M170" s="12"/>
      <c r="N170" s="19"/>
      <c r="Q170" s="19" t="str">
        <f t="shared" si="74"/>
        <v/>
      </c>
      <c r="S170" s="9" t="s">
        <v>62</v>
      </c>
      <c r="T170" s="19" t="str">
        <f t="shared" si="80"/>
        <v/>
      </c>
      <c r="Y170" s="19" t="str">
        <f t="shared" si="75"/>
        <v/>
      </c>
      <c r="AA170" s="19" t="str">
        <f t="shared" si="76"/>
        <v/>
      </c>
      <c r="AC170" s="9" t="s">
        <v>62</v>
      </c>
    </row>
    <row r="171" spans="1:33" x14ac:dyDescent="0.2">
      <c r="A171" s="9">
        <v>42014</v>
      </c>
      <c r="B171" s="9" t="str" cm="1">
        <f t="array" ref="B171">D171&amp;_xlfn.TEXTJOIN("",1,TEXT(E171:G171,"00"))</f>
        <v>3010000</v>
      </c>
      <c r="C171" s="30" t="str">
        <f t="shared" si="73"/>
        <v>42014,3010000</v>
      </c>
      <c r="D171" s="26">
        <v>3</v>
      </c>
      <c r="E171" s="26">
        <v>1</v>
      </c>
      <c r="F171" s="26">
        <v>0</v>
      </c>
      <c r="G171" s="26">
        <v>0</v>
      </c>
      <c r="H171" s="9">
        <v>201103</v>
      </c>
      <c r="I171" s="15" t="str">
        <f>IFERROR(VLOOKUP(H171,monsters[#All],4,0),"")</f>
        <v>跳虫</v>
      </c>
      <c r="J171" s="15" t="str" cm="1">
        <f t="array" ref="J171">_xlfn.LET(_xlpm.v6p,ABS(ATAN2(O171,P171))*6/PI(),
_xlpm.output,_xlfn.IFS(_xlpm.v6p&lt;1,"正前",_xlpm.v6p&gt;5,"正后",AND(_xlpm.v6p&lt;5,_xlpm.v6p&gt;2,P171&lt;-1),"脚底",_xlpm.v6p&gt;4,"后上",_xlpm.v6p&lt;2,"前上",TRUE,"顶部"),
IFERROR(_xlpm.output,""))</f>
        <v>正后</v>
      </c>
      <c r="K171" s="12"/>
      <c r="L171" s="12" t="s">
        <v>27</v>
      </c>
      <c r="M171" s="12"/>
      <c r="N171" s="19" t="str">
        <f t="shared" ref="N171:N174" si="83">O171+0&amp;","&amp;P171+0</f>
        <v>-14,-1</v>
      </c>
      <c r="O171" s="24">
        <v>-14</v>
      </c>
      <c r="P171" s="24">
        <v>-1</v>
      </c>
      <c r="Q171" s="19">
        <f t="shared" si="74"/>
        <v>1</v>
      </c>
      <c r="S171" s="25">
        <v>8</v>
      </c>
      <c r="T171" s="19"/>
      <c r="W171" s="9">
        <v>0</v>
      </c>
      <c r="X171" s="9">
        <v>11</v>
      </c>
      <c r="Y171" s="19" t="str">
        <f t="shared" si="75"/>
        <v>0,0</v>
      </c>
      <c r="AA171" s="19" t="str">
        <f t="shared" si="76"/>
        <v>1,120</v>
      </c>
      <c r="AB171" s="24" t="str">
        <f>"1,120"</f>
        <v>1,120</v>
      </c>
      <c r="AC171" s="9">
        <v>1.44</v>
      </c>
      <c r="AD171" s="9">
        <v>7.4999999999999997E-2</v>
      </c>
      <c r="AE171" s="9">
        <v>0.25</v>
      </c>
      <c r="AF171" s="9">
        <v>2</v>
      </c>
      <c r="AG171" s="9">
        <v>3</v>
      </c>
    </row>
    <row r="172" spans="1:33" x14ac:dyDescent="0.2">
      <c r="A172" s="9">
        <v>42014</v>
      </c>
      <c r="B172" s="9" t="str" cm="1">
        <f t="array" ref="B172">D172&amp;_xlfn.TEXTJOIN("",1,TEXT(E172:G172,"00"))</f>
        <v>3020000</v>
      </c>
      <c r="C172" s="30" t="str">
        <f t="shared" si="73"/>
        <v>42014,3020000</v>
      </c>
      <c r="D172" s="26">
        <v>3</v>
      </c>
      <c r="E172" s="26">
        <v>2</v>
      </c>
      <c r="F172" s="26">
        <v>0</v>
      </c>
      <c r="G172" s="26">
        <v>0</v>
      </c>
      <c r="H172" s="9">
        <v>201103</v>
      </c>
      <c r="I172" s="15" t="str">
        <f>IFERROR(VLOOKUP(H172,monsters[#All],4,0),"")</f>
        <v>跳虫</v>
      </c>
      <c r="J172" s="15" t="str" cm="1">
        <f t="array" ref="J172">_xlfn.LET(_xlpm.v6p,ABS(ATAN2(O172,P172))*6/PI(),
_xlpm.output,_xlfn.IFS(_xlpm.v6p&lt;1,"正前",_xlpm.v6p&gt;5,"正后",AND(_xlpm.v6p&lt;5,_xlpm.v6p&gt;2,P172&lt;-1),"脚底",_xlpm.v6p&gt;4,"后上",_xlpm.v6p&lt;2,"前上",TRUE,"顶部"),
IFERROR(_xlpm.output,""))</f>
        <v>正前</v>
      </c>
      <c r="K172" s="12"/>
      <c r="L172" s="12" t="s">
        <v>27</v>
      </c>
      <c r="M172" s="12"/>
      <c r="N172" s="19" t="str">
        <f t="shared" si="83"/>
        <v>14,-1</v>
      </c>
      <c r="O172" s="24">
        <v>14</v>
      </c>
      <c r="P172" s="24">
        <v>-1</v>
      </c>
      <c r="Q172" s="19">
        <f t="shared" si="74"/>
        <v>1</v>
      </c>
      <c r="S172" s="25">
        <v>8</v>
      </c>
      <c r="T172" s="19"/>
      <c r="W172" s="9">
        <v>0</v>
      </c>
      <c r="X172" s="9">
        <v>11</v>
      </c>
      <c r="Y172" s="19" t="str">
        <f t="shared" si="75"/>
        <v>0,0</v>
      </c>
      <c r="AA172" s="19" t="str">
        <f t="shared" si="76"/>
        <v>1,120</v>
      </c>
      <c r="AB172" s="24" t="str">
        <f>"1,120"</f>
        <v>1,120</v>
      </c>
      <c r="AC172" s="9">
        <v>1.48</v>
      </c>
      <c r="AD172" s="9">
        <v>8.2000000000000003E-2</v>
      </c>
      <c r="AE172" s="9">
        <v>0.25</v>
      </c>
      <c r="AF172" s="9">
        <v>2</v>
      </c>
      <c r="AG172" s="9">
        <v>3</v>
      </c>
    </row>
    <row r="173" spans="1:33" x14ac:dyDescent="0.2">
      <c r="A173" s="9">
        <v>42014</v>
      </c>
      <c r="B173" s="9" t="str" cm="1">
        <f t="array" ref="B173">D173&amp;_xlfn.TEXTJOIN("",1,TEXT(E173:G173,"00"))</f>
        <v>3030001</v>
      </c>
      <c r="C173" s="30" t="str">
        <f t="shared" si="73"/>
        <v>42014,3030001</v>
      </c>
      <c r="D173" s="26">
        <v>3</v>
      </c>
      <c r="E173" s="26">
        <v>3</v>
      </c>
      <c r="F173" s="26">
        <v>0</v>
      </c>
      <c r="G173" s="26">
        <v>1</v>
      </c>
      <c r="H173" s="9">
        <v>201103</v>
      </c>
      <c r="I173" s="15" t="str">
        <f>IFERROR(VLOOKUP(H173,monsters[#All],4,0),"")</f>
        <v>跳虫</v>
      </c>
      <c r="J173" s="15" t="str" cm="1">
        <f t="array" ref="J173">_xlfn.LET(_xlpm.v6p,ABS(ATAN2(O173,P173))*6/PI(),
_xlpm.output,_xlfn.IFS(_xlpm.v6p&lt;1,"正前",_xlpm.v6p&gt;5,"正后",AND(_xlpm.v6p&lt;5,_xlpm.v6p&gt;2,P173&lt;-1),"脚底",_xlpm.v6p&gt;4,"后上",_xlpm.v6p&lt;2,"前上",TRUE,"顶部"),
IFERROR(_xlpm.output,""))</f>
        <v>顶部</v>
      </c>
      <c r="K173" s="12"/>
      <c r="L173" s="12" t="s">
        <v>27</v>
      </c>
      <c r="M173" s="12"/>
      <c r="N173" s="19" t="str">
        <f t="shared" si="83"/>
        <v>3,12</v>
      </c>
      <c r="O173" s="24">
        <v>3</v>
      </c>
      <c r="P173" s="24">
        <v>12</v>
      </c>
      <c r="Q173" s="19">
        <f t="shared" si="74"/>
        <v>1</v>
      </c>
      <c r="S173" s="25">
        <v>8</v>
      </c>
      <c r="T173" s="19"/>
      <c r="W173" s="9">
        <v>0</v>
      </c>
      <c r="X173" s="9">
        <v>11</v>
      </c>
      <c r="Y173" s="19" t="str">
        <f t="shared" si="75"/>
        <v>0,0</v>
      </c>
      <c r="AA173" s="19" t="str">
        <f t="shared" si="76"/>
        <v>1,120</v>
      </c>
      <c r="AB173" s="24" t="str">
        <f>"1,120"</f>
        <v>1,120</v>
      </c>
      <c r="AC173" s="9">
        <v>0.88</v>
      </c>
      <c r="AD173" s="9">
        <v>5.0999999999999997E-2</v>
      </c>
      <c r="AE173" s="9">
        <v>0.25</v>
      </c>
      <c r="AF173" s="9">
        <v>2</v>
      </c>
      <c r="AG173" s="9">
        <v>3</v>
      </c>
    </row>
    <row r="174" spans="1:33" x14ac:dyDescent="0.2">
      <c r="A174" s="9">
        <v>42014</v>
      </c>
      <c r="B174" s="9" t="str" cm="1">
        <f t="array" ref="B174">D174&amp;_xlfn.TEXTJOIN("",1,TEXT(E174:G174,"00"))</f>
        <v>3030002</v>
      </c>
      <c r="C174" s="30" t="str">
        <f t="shared" si="73"/>
        <v>42014,3030002</v>
      </c>
      <c r="D174" s="26">
        <v>3</v>
      </c>
      <c r="E174" s="26">
        <v>3</v>
      </c>
      <c r="F174" s="26">
        <v>0</v>
      </c>
      <c r="G174" s="26">
        <v>2</v>
      </c>
      <c r="H174" s="9">
        <v>201103</v>
      </c>
      <c r="I174" s="15" t="str">
        <f>IFERROR(VLOOKUP(H174,monsters[#All],4,0),"")</f>
        <v>跳虫</v>
      </c>
      <c r="J174" s="15" t="str" cm="1">
        <f t="array" ref="J174">_xlfn.LET(_xlpm.v6p,ABS(ATAN2(O174,P174))*6/PI(),
_xlpm.output,_xlfn.IFS(_xlpm.v6p&lt;1,"正前",_xlpm.v6p&gt;5,"正后",AND(_xlpm.v6p&lt;5,_xlpm.v6p&gt;2,P174&lt;-1),"脚底",_xlpm.v6p&gt;4,"后上",_xlpm.v6p&lt;2,"前上",TRUE,"顶部"),
IFERROR(_xlpm.output,""))</f>
        <v>顶部</v>
      </c>
      <c r="K174" s="12"/>
      <c r="L174" s="12" t="s">
        <v>27</v>
      </c>
      <c r="M174" s="12"/>
      <c r="N174" s="19" t="str">
        <f t="shared" si="83"/>
        <v>-3,12</v>
      </c>
      <c r="O174" s="24">
        <v>-3</v>
      </c>
      <c r="P174" s="24">
        <v>12</v>
      </c>
      <c r="Q174" s="19">
        <f t="shared" si="74"/>
        <v>1</v>
      </c>
      <c r="S174" s="25">
        <v>8</v>
      </c>
      <c r="T174" s="19"/>
      <c r="W174" s="9">
        <v>0</v>
      </c>
      <c r="X174" s="9">
        <v>11</v>
      </c>
      <c r="Y174" s="19" t="str">
        <f t="shared" si="75"/>
        <v>0,0</v>
      </c>
      <c r="AA174" s="19" t="str">
        <f t="shared" si="76"/>
        <v>1,120</v>
      </c>
      <c r="AB174" s="24" t="str">
        <f>"1,120"</f>
        <v>1,120</v>
      </c>
      <c r="AC174" s="9">
        <v>1</v>
      </c>
      <c r="AD174" s="9">
        <v>4.2000000000000003E-2</v>
      </c>
      <c r="AE174" s="9">
        <v>0.25</v>
      </c>
      <c r="AF174" s="9">
        <v>2</v>
      </c>
      <c r="AG174" s="9">
        <v>3</v>
      </c>
    </row>
    <row r="175" spans="1:33" x14ac:dyDescent="0.2">
      <c r="C175" s="30" t="str">
        <f t="shared" si="73"/>
        <v/>
      </c>
      <c r="I175" s="15" t="str">
        <f>IFERROR(VLOOKUP(H175,monsters[#All],4,0),"")</f>
        <v/>
      </c>
      <c r="J175" s="15" t="str" cm="1">
        <f t="array" ref="J175">_xlfn.LET(_xlpm.v6p,ABS(ATAN2(O175,P175))*6/PI(),
_xlpm.output,_xlfn.IFS(_xlpm.v6p&lt;1,"正前",_xlpm.v6p&gt;5,"正后",AND(_xlpm.v6p&lt;5,_xlpm.v6p&gt;2,P175&lt;-1),"脚底",_xlpm.v6p&gt;4,"后上",_xlpm.v6p&lt;2,"前上",TRUE,"顶部"),
IFERROR(_xlpm.output,""))</f>
        <v/>
      </c>
      <c r="N175" s="19"/>
      <c r="Q175" s="19" t="str">
        <f t="shared" si="74"/>
        <v/>
      </c>
      <c r="S175" s="9" t="s">
        <v>62</v>
      </c>
      <c r="T175" s="19" t="str">
        <f t="shared" ref="T175:T181" si="84">IF(U175&lt;&gt;"", U175+0&amp;","&amp;V175+0,"")</f>
        <v/>
      </c>
      <c r="Y175" s="19" t="str">
        <f t="shared" si="75"/>
        <v/>
      </c>
      <c r="AA175" s="19" t="str">
        <f t="shared" si="76"/>
        <v/>
      </c>
      <c r="AC175" s="9" t="s">
        <v>62</v>
      </c>
    </row>
    <row r="176" spans="1:33" x14ac:dyDescent="0.2">
      <c r="A176" s="9">
        <v>42014</v>
      </c>
      <c r="B176" s="9" t="str" cm="1">
        <f t="array" ref="B176">D176&amp;_xlfn.TEXTJOIN("",1,TEXT(E176:G176,"00"))</f>
        <v>4010000</v>
      </c>
      <c r="C176" s="30" t="str">
        <f t="shared" si="73"/>
        <v>42014,4010000</v>
      </c>
      <c r="D176" s="26">
        <v>4</v>
      </c>
      <c r="E176" s="26">
        <v>1</v>
      </c>
      <c r="F176" s="26">
        <v>0</v>
      </c>
      <c r="G176" s="26">
        <v>0</v>
      </c>
      <c r="H176" s="9">
        <v>201107</v>
      </c>
      <c r="I176" s="15" t="str">
        <f>IFERROR(VLOOKUP(H176,monsters[#All],4,0),"")</f>
        <v>流浪洞穴人</v>
      </c>
      <c r="J176" s="15" t="str" cm="1">
        <f t="array" ref="J176">_xlfn.LET(_xlpm.v6p,ABS(ATAN2(O176,P176))*6/PI(),
_xlpm.output,_xlfn.IFS(_xlpm.v6p&lt;1,"正前",_xlpm.v6p&gt;5,"正后",AND(_xlpm.v6p&lt;5,_xlpm.v6p&gt;2,P176&lt;-1),"脚底",_xlpm.v6p&gt;4,"后上",_xlpm.v6p&lt;2,"前上",TRUE,"顶部"),
IFERROR(_xlpm.output,""))</f>
        <v>正前</v>
      </c>
      <c r="K176" s="12"/>
      <c r="L176" s="12" t="s">
        <v>27</v>
      </c>
      <c r="M176" s="12"/>
      <c r="N176" s="19" t="str">
        <f>O176+0&amp;","&amp;P176+0</f>
        <v>18,-1</v>
      </c>
      <c r="O176" s="24">
        <v>18</v>
      </c>
      <c r="P176" s="24">
        <v>-1</v>
      </c>
      <c r="Q176" s="19">
        <f t="shared" si="74"/>
        <v>1</v>
      </c>
      <c r="S176" s="9">
        <v>28</v>
      </c>
      <c r="T176" s="19" t="str">
        <f t="shared" si="84"/>
        <v>2,3</v>
      </c>
      <c r="U176" s="24">
        <v>2</v>
      </c>
      <c r="V176" s="24">
        <v>3</v>
      </c>
      <c r="W176" s="9">
        <v>0</v>
      </c>
      <c r="X176" s="9">
        <v>11</v>
      </c>
      <c r="Y176" s="19" t="str">
        <f t="shared" si="75"/>
        <v>0,0</v>
      </c>
      <c r="AA176" s="19" t="str">
        <f t="shared" si="76"/>
        <v>80,120</v>
      </c>
      <c r="AC176" s="9">
        <v>0.8</v>
      </c>
      <c r="AD176" s="9">
        <v>1.5</v>
      </c>
      <c r="AE176" s="9">
        <v>0.6</v>
      </c>
      <c r="AF176" s="16"/>
      <c r="AG176" s="16"/>
    </row>
    <row r="177" spans="1:33" x14ac:dyDescent="0.2">
      <c r="A177" s="9">
        <v>42014</v>
      </c>
      <c r="B177" s="9" t="str" cm="1">
        <f t="array" ref="B177">D177&amp;_xlfn.TEXTJOIN("",1,TEXT(E177:G177,"00"))</f>
        <v>4020001</v>
      </c>
      <c r="C177" s="30" t="str">
        <f t="shared" si="73"/>
        <v>42014,4020001</v>
      </c>
      <c r="D177" s="26">
        <v>4</v>
      </c>
      <c r="E177" s="26">
        <v>2</v>
      </c>
      <c r="F177" s="26">
        <v>0</v>
      </c>
      <c r="G177" s="26">
        <v>1</v>
      </c>
      <c r="H177" s="9">
        <v>201107</v>
      </c>
      <c r="I177" s="15" t="str">
        <f>IFERROR(VLOOKUP(H177,monsters[#All],4,0),"")</f>
        <v>流浪洞穴人</v>
      </c>
      <c r="J177" s="15" t="str" cm="1">
        <f t="array" ref="J177">_xlfn.LET(_xlpm.v6p,ABS(ATAN2(O177,P177))*6/PI(),
_xlpm.output,_xlfn.IFS(_xlpm.v6p&lt;1,"正前",_xlpm.v6p&gt;5,"正后",AND(_xlpm.v6p&lt;5,_xlpm.v6p&gt;2,P177&lt;-1),"脚底",_xlpm.v6p&gt;4,"后上",_xlpm.v6p&lt;2,"前上",TRUE,"顶部"),
IFERROR(_xlpm.output,""))</f>
        <v>正前</v>
      </c>
      <c r="K177" s="12"/>
      <c r="L177" s="12" t="s">
        <v>27</v>
      </c>
      <c r="M177" s="12"/>
      <c r="N177" s="19" t="str">
        <f>O177+0&amp;","&amp;P177+0</f>
        <v>18,-1</v>
      </c>
      <c r="O177" s="24">
        <v>18</v>
      </c>
      <c r="P177" s="24">
        <v>-1</v>
      </c>
      <c r="Q177" s="19">
        <f t="shared" si="74"/>
        <v>1</v>
      </c>
      <c r="S177" s="16" t="s">
        <v>62</v>
      </c>
      <c r="T177" s="19" t="str">
        <f t="shared" si="84"/>
        <v/>
      </c>
      <c r="W177" s="9">
        <v>0</v>
      </c>
      <c r="X177" s="9">
        <v>11</v>
      </c>
      <c r="Y177" s="19" t="str">
        <f t="shared" si="75"/>
        <v>0,0</v>
      </c>
      <c r="AA177" s="19" t="str">
        <f t="shared" si="76"/>
        <v>80,120</v>
      </c>
      <c r="AC177" s="16" t="s">
        <v>62</v>
      </c>
      <c r="AD177" s="16"/>
      <c r="AE177" s="9">
        <v>0.6</v>
      </c>
      <c r="AF177" s="9">
        <v>2</v>
      </c>
      <c r="AG177" s="9">
        <v>10.199999999999999</v>
      </c>
    </row>
    <row r="178" spans="1:33" x14ac:dyDescent="0.2">
      <c r="A178" s="9">
        <v>42014</v>
      </c>
      <c r="B178" s="9" t="str" cm="1">
        <f t="array" ref="B178">D178&amp;_xlfn.TEXTJOIN("",1,TEXT(E178:G178,"00"))</f>
        <v>4020002</v>
      </c>
      <c r="C178" s="30" t="str">
        <f t="shared" si="73"/>
        <v>42014,4020002</v>
      </c>
      <c r="D178" s="26">
        <v>4</v>
      </c>
      <c r="E178" s="26">
        <v>2</v>
      </c>
      <c r="F178" s="26">
        <v>0</v>
      </c>
      <c r="G178" s="26">
        <v>2</v>
      </c>
      <c r="H178" s="9">
        <v>201107</v>
      </c>
      <c r="I178" s="15" t="str">
        <f>IFERROR(VLOOKUP(H178,monsters[#All],4,0),"")</f>
        <v>流浪洞穴人</v>
      </c>
      <c r="J178" s="15" t="str" cm="1">
        <f t="array" ref="J178">_xlfn.LET(_xlpm.v6p,ABS(ATAN2(O178,P178))*6/PI(),
_xlpm.output,_xlfn.IFS(_xlpm.v6p&lt;1,"正前",_xlpm.v6p&gt;5,"正后",AND(_xlpm.v6p&lt;5,_xlpm.v6p&gt;2,P178&lt;-1),"脚底",_xlpm.v6p&gt;4,"后上",_xlpm.v6p&lt;2,"前上",TRUE,"顶部"),
IFERROR(_xlpm.output,""))</f>
        <v>正后</v>
      </c>
      <c r="K178" s="12"/>
      <c r="L178" s="12" t="s">
        <v>27</v>
      </c>
      <c r="M178" s="12"/>
      <c r="N178" s="19" t="str">
        <f t="shared" ref="N178" si="85">O178+0&amp;","&amp;P178+0</f>
        <v>-14,-1</v>
      </c>
      <c r="O178" s="24">
        <v>-14</v>
      </c>
      <c r="P178" s="24">
        <v>-1</v>
      </c>
      <c r="Q178" s="19">
        <f t="shared" si="74"/>
        <v>1</v>
      </c>
      <c r="S178" s="16" t="s">
        <v>62</v>
      </c>
      <c r="T178" s="19" t="str">
        <f t="shared" si="84"/>
        <v/>
      </c>
      <c r="W178" s="9">
        <v>0</v>
      </c>
      <c r="X178" s="9">
        <v>11</v>
      </c>
      <c r="Y178" s="19" t="str">
        <f t="shared" si="75"/>
        <v>0,0</v>
      </c>
      <c r="AA178" s="19" t="str">
        <f t="shared" si="76"/>
        <v>80,120</v>
      </c>
      <c r="AC178" s="16" t="s">
        <v>62</v>
      </c>
      <c r="AD178" s="16"/>
      <c r="AE178" s="9">
        <v>0.6</v>
      </c>
      <c r="AF178" s="9">
        <v>2</v>
      </c>
      <c r="AG178" s="9">
        <v>6.8</v>
      </c>
    </row>
    <row r="179" spans="1:33" x14ac:dyDescent="0.2">
      <c r="C179" s="30" t="str">
        <f t="shared" si="73"/>
        <v/>
      </c>
      <c r="I179" s="15" t="str">
        <f>IFERROR(VLOOKUP(H179,monsters[#All],4,0),"")</f>
        <v/>
      </c>
      <c r="J179" s="15" t="str" cm="1">
        <f t="array" ref="J179">_xlfn.LET(_xlpm.v6p,ABS(ATAN2(O179,P179))*6/PI(),
_xlpm.output,_xlfn.IFS(_xlpm.v6p&lt;1,"正前",_xlpm.v6p&gt;5,"正后",AND(_xlpm.v6p&lt;5,_xlpm.v6p&gt;2,P179&lt;-1),"脚底",_xlpm.v6p&gt;4,"后上",_xlpm.v6p&lt;2,"前上",TRUE,"顶部"),
IFERROR(_xlpm.output,""))</f>
        <v/>
      </c>
      <c r="Q179" s="19" t="str">
        <f t="shared" si="74"/>
        <v/>
      </c>
      <c r="S179" s="9" t="s">
        <v>62</v>
      </c>
      <c r="T179" s="19" t="str">
        <f t="shared" si="84"/>
        <v/>
      </c>
      <c r="Y179" s="19" t="str">
        <f t="shared" si="75"/>
        <v/>
      </c>
      <c r="AA179" s="19" t="str">
        <f t="shared" si="76"/>
        <v/>
      </c>
      <c r="AC179" s="9" t="s">
        <v>62</v>
      </c>
    </row>
    <row r="180" spans="1:33" x14ac:dyDescent="0.2">
      <c r="A180" s="19">
        <v>42014</v>
      </c>
      <c r="B180" s="9" t="str" cm="1">
        <f t="array" ref="B180">D180&amp;_xlfn.TEXTJOIN("",1,TEXT(E180:G180,"00"))</f>
        <v>5010001</v>
      </c>
      <c r="C180" s="30" t="str">
        <f t="shared" si="73"/>
        <v>42014,5010001</v>
      </c>
      <c r="D180" s="26">
        <v>5</v>
      </c>
      <c r="E180" s="26">
        <v>1</v>
      </c>
      <c r="F180" s="26">
        <v>0</v>
      </c>
      <c r="G180" s="26">
        <v>1</v>
      </c>
      <c r="H180" s="9">
        <v>201106</v>
      </c>
      <c r="I180" s="15" t="str">
        <f>IFERROR(VLOOKUP(H180,monsters[#All],4,0),"")</f>
        <v>蝙蝠骑手</v>
      </c>
      <c r="J180" s="15" t="str" cm="1">
        <f t="array" ref="J180">_xlfn.LET(_xlpm.v6p,ABS(ATAN2(O180,P180))*6/PI(),
_xlpm.output,_xlfn.IFS(_xlpm.v6p&lt;1,"正前",_xlpm.v6p&gt;5,"正后",AND(_xlpm.v6p&lt;5,_xlpm.v6p&gt;2,P180&lt;-1),"脚底",_xlpm.v6p&gt;4,"后上",_xlpm.v6p&lt;2,"前上",TRUE,"顶部"),
IFERROR(_xlpm.output,""))</f>
        <v>前上</v>
      </c>
      <c r="K180" s="12"/>
      <c r="L180" s="12" t="s">
        <v>27</v>
      </c>
      <c r="M180" s="12"/>
      <c r="N180" s="19" t="str">
        <f t="shared" ref="N180:N181" si="86">O180+0&amp;","&amp;P180+0</f>
        <v>7,12</v>
      </c>
      <c r="O180" s="24">
        <v>7</v>
      </c>
      <c r="P180" s="24">
        <v>12</v>
      </c>
      <c r="Q180" s="19">
        <f t="shared" si="74"/>
        <v>1</v>
      </c>
      <c r="S180" s="9">
        <v>4</v>
      </c>
      <c r="T180" s="19" t="str">
        <f t="shared" si="84"/>
        <v>1,2</v>
      </c>
      <c r="U180" s="24">
        <v>1</v>
      </c>
      <c r="V180" s="24">
        <v>2</v>
      </c>
      <c r="W180" s="9">
        <v>0</v>
      </c>
      <c r="X180" s="9">
        <v>11</v>
      </c>
      <c r="Y180" s="19" t="str">
        <f t="shared" si="75"/>
        <v>0,0</v>
      </c>
      <c r="AA180" s="19" t="str">
        <f t="shared" si="76"/>
        <v>80,120</v>
      </c>
      <c r="AC180" s="9">
        <v>1.28</v>
      </c>
      <c r="AD180" s="9">
        <v>0.06</v>
      </c>
      <c r="AE180" s="9">
        <v>1.2</v>
      </c>
      <c r="AF180" s="9">
        <v>1</v>
      </c>
      <c r="AG180" s="9">
        <v>7.7</v>
      </c>
    </row>
    <row r="181" spans="1:33" x14ac:dyDescent="0.2">
      <c r="A181" s="19">
        <v>42014</v>
      </c>
      <c r="B181" s="9" t="str" cm="1">
        <f t="array" ref="B181">D181&amp;_xlfn.TEXTJOIN("",1,TEXT(E181:G181,"00"))</f>
        <v>5010002</v>
      </c>
      <c r="C181" s="30" t="str">
        <f t="shared" si="73"/>
        <v>42014,5010002</v>
      </c>
      <c r="D181" s="26">
        <v>5</v>
      </c>
      <c r="E181" s="26">
        <v>1</v>
      </c>
      <c r="F181" s="26">
        <v>0</v>
      </c>
      <c r="G181" s="26">
        <v>2</v>
      </c>
      <c r="H181" s="9">
        <v>201106</v>
      </c>
      <c r="I181" s="15" t="str">
        <f>IFERROR(VLOOKUP(H181,monsters[#All],4,0),"")</f>
        <v>蝙蝠骑手</v>
      </c>
      <c r="J181" s="15" t="str" cm="1">
        <f t="array" ref="J181">_xlfn.LET(_xlpm.v6p,ABS(ATAN2(O181,P181))*6/PI(),
_xlpm.output,_xlfn.IFS(_xlpm.v6p&lt;1,"正前",_xlpm.v6p&gt;5,"正后",AND(_xlpm.v6p&lt;5,_xlpm.v6p&gt;2,P181&lt;-1),"脚底",_xlpm.v6p&gt;4,"后上",_xlpm.v6p&lt;2,"前上",TRUE,"顶部"),
IFERROR(_xlpm.output,""))</f>
        <v>后上</v>
      </c>
      <c r="K181" s="12"/>
      <c r="L181" s="12" t="s">
        <v>27</v>
      </c>
      <c r="M181" s="12"/>
      <c r="N181" s="19" t="str">
        <f t="shared" si="86"/>
        <v>-7,12</v>
      </c>
      <c r="O181" s="24">
        <v>-7</v>
      </c>
      <c r="P181" s="24">
        <v>12</v>
      </c>
      <c r="Q181" s="19">
        <f t="shared" si="74"/>
        <v>1</v>
      </c>
      <c r="S181" s="9">
        <v>4</v>
      </c>
      <c r="T181" s="19" t="str">
        <f t="shared" si="84"/>
        <v>1,2</v>
      </c>
      <c r="U181" s="24">
        <v>1</v>
      </c>
      <c r="V181" s="24">
        <v>2</v>
      </c>
      <c r="W181" s="9">
        <v>0</v>
      </c>
      <c r="X181" s="9">
        <v>11</v>
      </c>
      <c r="Y181" s="19" t="str">
        <f t="shared" si="75"/>
        <v>0,0</v>
      </c>
      <c r="AA181" s="19" t="str">
        <f t="shared" si="76"/>
        <v>80,120</v>
      </c>
      <c r="AC181" s="9">
        <v>1.24</v>
      </c>
      <c r="AD181" s="9">
        <v>0.06</v>
      </c>
      <c r="AE181" s="9">
        <v>1.2</v>
      </c>
      <c r="AF181" s="9">
        <v>1</v>
      </c>
      <c r="AG181" s="9">
        <v>5.5</v>
      </c>
    </row>
    <row r="182" spans="1:33" x14ac:dyDescent="0.2">
      <c r="C182" s="30" t="str">
        <f t="shared" si="73"/>
        <v/>
      </c>
      <c r="I182" s="15" t="str">
        <f>IFERROR(VLOOKUP(H182,monsters[#All],4,0),"")</f>
        <v/>
      </c>
      <c r="J182" s="15" t="str" cm="1">
        <f t="array" ref="J182">_xlfn.LET(_xlpm.v6p,ABS(ATAN2(O182,P182))*6/PI(),
_xlpm.output,_xlfn.IFS(_xlpm.v6p&lt;1,"正前",_xlpm.v6p&gt;5,"正后",AND(_xlpm.v6p&lt;5,_xlpm.v6p&gt;2,P182&lt;-1),"脚底",_xlpm.v6p&gt;4,"后上",_xlpm.v6p&lt;2,"前上",TRUE,"顶部"),
IFERROR(_xlpm.output,""))</f>
        <v/>
      </c>
      <c r="Q182" s="19" t="str">
        <f t="shared" si="74"/>
        <v/>
      </c>
      <c r="S182" s="9" t="s">
        <v>62</v>
      </c>
      <c r="T182" s="19" t="str">
        <f>IF(U182&lt;&gt;"", U182+0&amp;","&amp;V182+0,"")</f>
        <v/>
      </c>
      <c r="Y182" s="19" t="str">
        <f t="shared" si="75"/>
        <v/>
      </c>
      <c r="AA182" s="19" t="str">
        <f t="shared" si="76"/>
        <v/>
      </c>
      <c r="AC182" s="9" t="s">
        <v>62</v>
      </c>
    </row>
    <row r="183" spans="1:33" x14ac:dyDescent="0.2">
      <c r="A183" s="9">
        <v>42014</v>
      </c>
      <c r="B183" s="9" t="str" cm="1">
        <f t="array" ref="B183">D183&amp;_xlfn.TEXTJOIN("",1,TEXT(E183:G183,"00"))</f>
        <v>6010001</v>
      </c>
      <c r="C183" s="30" t="str">
        <f t="shared" si="73"/>
        <v>42014,6010001</v>
      </c>
      <c r="D183" s="26">
        <v>6</v>
      </c>
      <c r="E183" s="26">
        <v>1</v>
      </c>
      <c r="F183" s="26">
        <f t="shared" ref="F183" si="87">W183</f>
        <v>0</v>
      </c>
      <c r="G183" s="26">
        <v>1</v>
      </c>
      <c r="H183" s="9">
        <v>201105</v>
      </c>
      <c r="I183" s="15" t="str">
        <f>IFERROR(VLOOKUP(H183,monsters[#All],4,0),"")</f>
        <v>跳虫骑手</v>
      </c>
      <c r="J183" s="15" t="str" cm="1">
        <f t="array" ref="J183">_xlfn.LET(_xlpm.v6p,ABS(ATAN2(O183,P183))*6/PI(),
_xlpm.output,_xlfn.IFS(_xlpm.v6p&lt;1,"正前",_xlpm.v6p&gt;5,"正后",AND(_xlpm.v6p&lt;5,_xlpm.v6p&gt;2,P183&lt;-1),"脚底",_xlpm.v6p&gt;4,"后上",_xlpm.v6p&lt;2,"前上",TRUE,"顶部"),
IFERROR(_xlpm.output,""))</f>
        <v>正前</v>
      </c>
      <c r="K183" s="12"/>
      <c r="L183" s="12" t="s">
        <v>27</v>
      </c>
      <c r="M183" s="12"/>
      <c r="N183" s="19" t="str">
        <f>O183+0&amp;","&amp;P183+0</f>
        <v>14,-1</v>
      </c>
      <c r="O183" s="24">
        <v>14</v>
      </c>
      <c r="P183" s="24">
        <v>-1</v>
      </c>
      <c r="Q183" s="19">
        <f t="shared" si="74"/>
        <v>1</v>
      </c>
      <c r="S183" s="9">
        <v>8</v>
      </c>
      <c r="T183" s="19" t="str">
        <f>IF(U183&lt;&gt;"", U183+0&amp;","&amp;V183+0,"")</f>
        <v/>
      </c>
      <c r="W183" s="9">
        <v>0</v>
      </c>
      <c r="X183" s="9">
        <v>11</v>
      </c>
      <c r="Y183" s="19" t="str">
        <f t="shared" si="75"/>
        <v>0,0</v>
      </c>
      <c r="AA183" s="19" t="str">
        <f t="shared" si="76"/>
        <v>80,120</v>
      </c>
      <c r="AC183" s="9">
        <v>2.44</v>
      </c>
      <c r="AD183" s="9">
        <v>0.11</v>
      </c>
      <c r="AE183" s="9">
        <v>1.2</v>
      </c>
      <c r="AF183" s="16"/>
      <c r="AG183" s="16"/>
    </row>
    <row r="184" spans="1:33" x14ac:dyDescent="0.2">
      <c r="C184" s="30" t="str">
        <f t="shared" si="73"/>
        <v/>
      </c>
      <c r="I184" s="15" t="str">
        <f>IFERROR(VLOOKUP(H184,monsters[#All],4,0),"")</f>
        <v/>
      </c>
      <c r="J184" s="15" t="str" cm="1">
        <f t="array" ref="J184">_xlfn.LET(_xlpm.v6p,ABS(ATAN2(O184,P184))*6/PI(),
_xlpm.output,_xlfn.IFS(_xlpm.v6p&lt;1,"正前",_xlpm.v6p&gt;5,"正后",AND(_xlpm.v6p&lt;5,_xlpm.v6p&gt;2,P184&lt;-1),"脚底",_xlpm.v6p&gt;4,"后上",_xlpm.v6p&lt;2,"前上",TRUE,"顶部"),
IFERROR(_xlpm.output,""))</f>
        <v/>
      </c>
      <c r="N184" s="19"/>
      <c r="Q184" s="19" t="str">
        <f t="shared" si="74"/>
        <v/>
      </c>
      <c r="S184" s="9" t="s">
        <v>62</v>
      </c>
      <c r="T184" s="19" t="str">
        <f t="shared" ref="T184" si="88">IF(U184&lt;&gt;"", U184+0&amp;","&amp;V184+0,"")</f>
        <v/>
      </c>
      <c r="Y184" s="19" t="str">
        <f t="shared" si="75"/>
        <v/>
      </c>
      <c r="AA184" s="19" t="str">
        <f t="shared" si="76"/>
        <v/>
      </c>
      <c r="AC184" s="9" t="s">
        <v>62</v>
      </c>
    </row>
    <row r="185" spans="1:33" x14ac:dyDescent="0.2">
      <c r="A185" s="9">
        <v>42014</v>
      </c>
      <c r="B185" s="9" t="str" cm="1">
        <f t="array" ref="B185">D185&amp;_xlfn.TEXTJOIN("",1,TEXT(E185:G185,"00"))</f>
        <v>7010000</v>
      </c>
      <c r="C185" s="30" t="str">
        <f t="shared" si="73"/>
        <v>42014,7010000</v>
      </c>
      <c r="D185" s="26">
        <v>7</v>
      </c>
      <c r="E185" s="26">
        <v>1</v>
      </c>
      <c r="F185" s="26">
        <v>0</v>
      </c>
      <c r="G185" s="26">
        <v>0</v>
      </c>
      <c r="H185" s="9">
        <v>201104</v>
      </c>
      <c r="I185" s="15" t="str">
        <f>IFERROR(VLOOKUP(H185,monsters[#All],4,0),"")</f>
        <v>地宫洞穴人</v>
      </c>
      <c r="J185" s="15" t="str" cm="1">
        <f t="array" ref="J185">_xlfn.LET(_xlpm.v6p,ABS(ATAN2(O185,P185))*6/PI(),
_xlpm.output,_xlfn.IFS(_xlpm.v6p&lt;1,"正前",_xlpm.v6p&gt;5,"正后",AND(_xlpm.v6p&lt;5,_xlpm.v6p&gt;2,P185&lt;-1),"脚底",_xlpm.v6p&gt;4,"后上",_xlpm.v6p&lt;2,"前上",TRUE,"顶部"),
IFERROR(_xlpm.output,""))</f>
        <v>正前</v>
      </c>
      <c r="K185" s="12"/>
      <c r="L185" s="12" t="s">
        <v>27</v>
      </c>
      <c r="M185" s="12"/>
      <c r="N185" s="19" t="str">
        <f>O185+0&amp;","&amp;P185+0</f>
        <v>18,-1</v>
      </c>
      <c r="O185" s="24">
        <v>18</v>
      </c>
      <c r="P185" s="24">
        <v>-1</v>
      </c>
      <c r="Q185" s="19">
        <f t="shared" si="74"/>
        <v>1</v>
      </c>
      <c r="S185" s="9">
        <v>16</v>
      </c>
      <c r="T185" s="19" t="str">
        <f>IF(U185&lt;&gt;"", U185+0&amp;","&amp;V185+0,"")</f>
        <v>2,3</v>
      </c>
      <c r="U185" s="24">
        <v>2</v>
      </c>
      <c r="V185" s="24">
        <v>3</v>
      </c>
      <c r="W185" s="9">
        <v>0</v>
      </c>
      <c r="X185" s="9">
        <v>11</v>
      </c>
      <c r="Y185" s="19" t="str">
        <f t="shared" si="75"/>
        <v>0,0</v>
      </c>
      <c r="AA185" s="19" t="str">
        <f t="shared" si="76"/>
        <v>80,120</v>
      </c>
      <c r="AC185" s="9">
        <v>0.4</v>
      </c>
      <c r="AD185" s="9">
        <v>0.4</v>
      </c>
      <c r="AE185" s="9">
        <v>1</v>
      </c>
      <c r="AF185" s="16"/>
      <c r="AG185" s="16"/>
    </row>
    <row r="186" spans="1:33" x14ac:dyDescent="0.2">
      <c r="A186" s="9">
        <v>42014</v>
      </c>
      <c r="B186" s="9" t="str" cm="1">
        <f t="array" ref="B186">D186&amp;_xlfn.TEXTJOIN("",1,TEXT(E186:G186,"00"))</f>
        <v>7020001</v>
      </c>
      <c r="C186" s="30" t="str">
        <f t="shared" si="73"/>
        <v>42014,7020001</v>
      </c>
      <c r="D186" s="26">
        <v>7</v>
      </c>
      <c r="E186" s="26">
        <v>2</v>
      </c>
      <c r="F186" s="26">
        <v>0</v>
      </c>
      <c r="G186" s="26">
        <v>1</v>
      </c>
      <c r="H186" s="9">
        <v>201104</v>
      </c>
      <c r="I186" s="15" t="str">
        <f>IFERROR(VLOOKUP(H186,monsters[#All],4,0),"")</f>
        <v>地宫洞穴人</v>
      </c>
      <c r="J186" s="15" t="str" cm="1">
        <f t="array" ref="J186">_xlfn.LET(_xlpm.v6p,ABS(ATAN2(O186,P186))*6/PI(),
_xlpm.output,_xlfn.IFS(_xlpm.v6p&lt;1,"正前",_xlpm.v6p&gt;5,"正后",AND(_xlpm.v6p&lt;5,_xlpm.v6p&gt;2,P186&lt;-1),"脚底",_xlpm.v6p&gt;4,"后上",_xlpm.v6p&lt;2,"前上",TRUE,"顶部"),
IFERROR(_xlpm.output,""))</f>
        <v>正前</v>
      </c>
      <c r="K186" s="12"/>
      <c r="L186" s="12" t="s">
        <v>27</v>
      </c>
      <c r="M186" s="12"/>
      <c r="N186" s="19" t="str">
        <f>O186+0&amp;","&amp;P186+0</f>
        <v>18,-1</v>
      </c>
      <c r="O186" s="24">
        <v>18</v>
      </c>
      <c r="P186" s="24">
        <v>-1</v>
      </c>
      <c r="Q186" s="19">
        <f t="shared" si="74"/>
        <v>1</v>
      </c>
      <c r="S186" s="16" t="s">
        <v>62</v>
      </c>
      <c r="T186" s="19" t="str">
        <f>IF(U186&lt;&gt;"", U186+0&amp;","&amp;V186+0,"")</f>
        <v>2,3</v>
      </c>
      <c r="U186" s="24">
        <v>2</v>
      </c>
      <c r="V186" s="24">
        <v>3</v>
      </c>
      <c r="W186" s="9">
        <v>0</v>
      </c>
      <c r="X186" s="9">
        <v>11</v>
      </c>
      <c r="Y186" s="19" t="str">
        <f t="shared" si="75"/>
        <v>0,0</v>
      </c>
      <c r="AA186" s="19" t="str">
        <f t="shared" si="76"/>
        <v>80,120</v>
      </c>
      <c r="AC186" s="16" t="s">
        <v>62</v>
      </c>
      <c r="AD186" s="16"/>
      <c r="AE186" s="16"/>
      <c r="AF186" s="9">
        <v>1</v>
      </c>
      <c r="AG186" s="9">
        <v>10.199999999999999</v>
      </c>
    </row>
    <row r="187" spans="1:33" x14ac:dyDescent="0.2">
      <c r="A187" s="9">
        <v>42014</v>
      </c>
      <c r="B187" s="9" t="str" cm="1">
        <f t="array" ref="B187">D187&amp;_xlfn.TEXTJOIN("",1,TEXT(E187:G187,"00"))</f>
        <v>7020002</v>
      </c>
      <c r="C187" s="30" t="str">
        <f t="shared" si="73"/>
        <v>42014,7020002</v>
      </c>
      <c r="D187" s="26">
        <v>7</v>
      </c>
      <c r="E187" s="26">
        <v>2</v>
      </c>
      <c r="F187" s="26">
        <v>0</v>
      </c>
      <c r="G187" s="26">
        <v>2</v>
      </c>
      <c r="H187" s="9">
        <v>201104</v>
      </c>
      <c r="I187" s="15" t="str">
        <f>IFERROR(VLOOKUP(H187,monsters[#All],4,0),"")</f>
        <v>地宫洞穴人</v>
      </c>
      <c r="J187" s="15" t="str" cm="1">
        <f t="array" ref="J187">_xlfn.LET(_xlpm.v6p,ABS(ATAN2(O187,P187))*6/PI(),
_xlpm.output,_xlfn.IFS(_xlpm.v6p&lt;1,"正前",_xlpm.v6p&gt;5,"正后",AND(_xlpm.v6p&lt;5,_xlpm.v6p&gt;2,P187&lt;-1),"脚底",_xlpm.v6p&gt;4,"后上",_xlpm.v6p&lt;2,"前上",TRUE,"顶部"),
IFERROR(_xlpm.output,""))</f>
        <v>正后</v>
      </c>
      <c r="K187" s="12"/>
      <c r="L187" s="12" t="s">
        <v>27</v>
      </c>
      <c r="M187" s="12"/>
      <c r="N187" s="19" t="str">
        <f t="shared" ref="N187" si="89">O187+0&amp;","&amp;P187+0</f>
        <v>-14,-1</v>
      </c>
      <c r="O187" s="24">
        <v>-14</v>
      </c>
      <c r="P187" s="24">
        <v>-1</v>
      </c>
      <c r="Q187" s="19">
        <f t="shared" si="74"/>
        <v>1</v>
      </c>
      <c r="S187" s="16" t="s">
        <v>62</v>
      </c>
      <c r="T187" s="19" t="str">
        <f>IF(U187&lt;&gt;"", U187+0&amp;","&amp;V187+0,"")</f>
        <v>2,3</v>
      </c>
      <c r="U187" s="24">
        <v>2</v>
      </c>
      <c r="V187" s="24">
        <v>3</v>
      </c>
      <c r="W187" s="9">
        <v>0</v>
      </c>
      <c r="X187" s="9">
        <v>11</v>
      </c>
      <c r="Y187" s="19" t="str">
        <f t="shared" si="75"/>
        <v>0,0</v>
      </c>
      <c r="AA187" s="19" t="str">
        <f t="shared" si="76"/>
        <v>80,120</v>
      </c>
      <c r="AC187" s="16" t="s">
        <v>62</v>
      </c>
      <c r="AD187" s="16"/>
      <c r="AE187" s="16"/>
      <c r="AF187" s="9">
        <v>1</v>
      </c>
      <c r="AG187" s="9">
        <v>6.8</v>
      </c>
    </row>
    <row r="188" spans="1:33" x14ac:dyDescent="0.2">
      <c r="C188" s="30" t="str">
        <f t="shared" si="73"/>
        <v/>
      </c>
      <c r="I188" s="15" t="str">
        <f>IFERROR(VLOOKUP(H188,monsters[#All],4,0),"")</f>
        <v/>
      </c>
      <c r="J188" s="15" t="str" cm="1">
        <f t="array" ref="J188">_xlfn.LET(_xlpm.v6p,ABS(ATAN2(O188,P188))*6/PI(),
_xlpm.output,_xlfn.IFS(_xlpm.v6p&lt;1,"正前",_xlpm.v6p&gt;5,"正后",AND(_xlpm.v6p&lt;5,_xlpm.v6p&gt;2,P188&lt;-1),"脚底",_xlpm.v6p&gt;4,"后上",_xlpm.v6p&lt;2,"前上",TRUE,"顶部"),
IFERROR(_xlpm.output,""))</f>
        <v/>
      </c>
      <c r="N188" s="19"/>
      <c r="Q188" s="19" t="str">
        <f t="shared" si="74"/>
        <v/>
      </c>
      <c r="S188" s="9" t="s">
        <v>62</v>
      </c>
      <c r="T188" s="19" t="str">
        <f t="shared" ref="T188" si="90">IF(U188&lt;&gt;"", U188+0&amp;","&amp;V188+0,"")</f>
        <v/>
      </c>
      <c r="Y188" s="19" t="str">
        <f t="shared" si="75"/>
        <v/>
      </c>
      <c r="AA188" s="19" t="str">
        <f t="shared" si="76"/>
        <v/>
      </c>
      <c r="AC188" s="9" t="s">
        <v>62</v>
      </c>
    </row>
    <row r="189" spans="1:33" x14ac:dyDescent="0.2">
      <c r="A189" s="9">
        <v>42014</v>
      </c>
      <c r="B189" s="9" t="str" cm="1">
        <f t="array" ref="B189">D189&amp;_xlfn.TEXTJOIN("",1,TEXT(E189:G189,"00"))</f>
        <v>8010000</v>
      </c>
      <c r="C189" s="30" t="str">
        <f t="shared" si="73"/>
        <v>42014,8010000</v>
      </c>
      <c r="D189" s="26">
        <v>8</v>
      </c>
      <c r="E189" s="26">
        <v>1</v>
      </c>
      <c r="F189" s="26">
        <v>0</v>
      </c>
      <c r="G189" s="26">
        <v>0</v>
      </c>
      <c r="H189" s="9">
        <v>201108</v>
      </c>
      <c r="I189" s="15" t="str">
        <f>IFERROR(VLOOKUP(H189,monsters[#All],4,0),"")</f>
        <v>纵火洞穴人</v>
      </c>
      <c r="J189" s="15" t="str" cm="1">
        <f t="array" ref="J189">_xlfn.LET(_xlpm.v6p,ABS(ATAN2(O189,P189))*6/PI(),
_xlpm.output,_xlfn.IFS(_xlpm.v6p&lt;1,"正前",_xlpm.v6p&gt;5,"正后",AND(_xlpm.v6p&lt;5,_xlpm.v6p&gt;2,P189&lt;-1),"脚底",_xlpm.v6p&gt;4,"后上",_xlpm.v6p&lt;2,"前上",TRUE,"顶部"),
IFERROR(_xlpm.output,""))</f>
        <v>正前</v>
      </c>
      <c r="K189" s="12"/>
      <c r="L189" s="12" t="s">
        <v>27</v>
      </c>
      <c r="M189" s="12"/>
      <c r="N189" s="19" t="str">
        <f>O189+0&amp;","&amp;P189+0</f>
        <v>18,-1</v>
      </c>
      <c r="O189" s="24">
        <v>18</v>
      </c>
      <c r="P189" s="24">
        <v>-1</v>
      </c>
      <c r="Q189" s="19">
        <f t="shared" si="74"/>
        <v>1</v>
      </c>
      <c r="S189" s="9">
        <v>8</v>
      </c>
      <c r="T189" s="19" t="str">
        <f>IF(U189&lt;&gt;"", U189+0&amp;","&amp;V189+0,"")</f>
        <v>1,2</v>
      </c>
      <c r="U189" s="24">
        <v>1</v>
      </c>
      <c r="V189" s="24">
        <v>2</v>
      </c>
      <c r="W189" s="9">
        <v>0</v>
      </c>
      <c r="X189" s="9">
        <v>11</v>
      </c>
      <c r="Y189" s="19" t="str">
        <f t="shared" si="75"/>
        <v>0,0</v>
      </c>
      <c r="AA189" s="19" t="str">
        <f t="shared" si="76"/>
        <v>80,120</v>
      </c>
      <c r="AC189" s="9">
        <v>0.8</v>
      </c>
      <c r="AD189" s="9">
        <v>0.12</v>
      </c>
      <c r="AE189" s="9">
        <v>1</v>
      </c>
      <c r="AF189" s="16"/>
      <c r="AG189" s="16"/>
    </row>
    <row r="190" spans="1:33" x14ac:dyDescent="0.2">
      <c r="A190" s="9">
        <v>42014</v>
      </c>
      <c r="B190" s="9" t="str" cm="1">
        <f t="array" ref="B190">D190&amp;_xlfn.TEXTJOIN("",1,TEXT(E190:G190,"00"))</f>
        <v>8020001</v>
      </c>
      <c r="C190" s="30" t="str">
        <f t="shared" si="73"/>
        <v>42014,8020001</v>
      </c>
      <c r="D190" s="26">
        <v>8</v>
      </c>
      <c r="E190" s="26">
        <v>2</v>
      </c>
      <c r="F190" s="26">
        <v>0</v>
      </c>
      <c r="G190" s="26">
        <v>1</v>
      </c>
      <c r="H190" s="9">
        <v>201108</v>
      </c>
      <c r="I190" s="15" t="str">
        <f>IFERROR(VLOOKUP(H190,monsters[#All],4,0),"")</f>
        <v>纵火洞穴人</v>
      </c>
      <c r="J190" s="15" t="str" cm="1">
        <f t="array" ref="J190">_xlfn.LET(_xlpm.v6p,ABS(ATAN2(O190,P190))*6/PI(),
_xlpm.output,_xlfn.IFS(_xlpm.v6p&lt;1,"正前",_xlpm.v6p&gt;5,"正后",AND(_xlpm.v6p&lt;5,_xlpm.v6p&gt;2,P190&lt;-1),"脚底",_xlpm.v6p&gt;4,"后上",_xlpm.v6p&lt;2,"前上",TRUE,"顶部"),
IFERROR(_xlpm.output,""))</f>
        <v>正前</v>
      </c>
      <c r="K190" s="12"/>
      <c r="L190" s="12" t="s">
        <v>27</v>
      </c>
      <c r="M190" s="12"/>
      <c r="N190" s="19" t="str">
        <f>O190+0&amp;","&amp;P190+0</f>
        <v>18,-1</v>
      </c>
      <c r="O190" s="24">
        <v>18</v>
      </c>
      <c r="P190" s="24">
        <v>-1</v>
      </c>
      <c r="Q190" s="19">
        <f t="shared" si="74"/>
        <v>1</v>
      </c>
      <c r="S190" s="16" t="s">
        <v>62</v>
      </c>
      <c r="T190" s="19" t="str">
        <f t="shared" ref="T190:T192" si="91">IF(U190&lt;&gt;"", U190+0&amp;","&amp;V190+0,"")</f>
        <v/>
      </c>
      <c r="W190" s="9">
        <v>0</v>
      </c>
      <c r="X190" s="9">
        <v>11</v>
      </c>
      <c r="Y190" s="19" t="str">
        <f t="shared" si="75"/>
        <v>0,0</v>
      </c>
      <c r="AA190" s="19" t="str">
        <f t="shared" si="76"/>
        <v>80,120</v>
      </c>
      <c r="AC190" s="16" t="s">
        <v>62</v>
      </c>
      <c r="AD190" s="16"/>
      <c r="AE190" s="16"/>
      <c r="AF190" s="9">
        <v>3</v>
      </c>
      <c r="AG190" s="9">
        <v>10.199999999999999</v>
      </c>
    </row>
    <row r="191" spans="1:33" x14ac:dyDescent="0.2">
      <c r="A191" s="9">
        <v>42014</v>
      </c>
      <c r="B191" s="9" t="str" cm="1">
        <f t="array" ref="B191">D191&amp;_xlfn.TEXTJOIN("",1,TEXT(E191:G191,"00"))</f>
        <v>8020002</v>
      </c>
      <c r="C191" s="30" t="str">
        <f t="shared" si="73"/>
        <v>42014,8020002</v>
      </c>
      <c r="D191" s="26">
        <v>8</v>
      </c>
      <c r="E191" s="26">
        <v>2</v>
      </c>
      <c r="F191" s="26">
        <v>0</v>
      </c>
      <c r="G191" s="26">
        <v>2</v>
      </c>
      <c r="H191" s="9">
        <v>201108</v>
      </c>
      <c r="I191" s="15" t="str">
        <f>IFERROR(VLOOKUP(H191,monsters[#All],4,0),"")</f>
        <v>纵火洞穴人</v>
      </c>
      <c r="J191" s="15" t="str" cm="1">
        <f t="array" ref="J191">_xlfn.LET(_xlpm.v6p,ABS(ATAN2(O191,P191))*6/PI(),
_xlpm.output,_xlfn.IFS(_xlpm.v6p&lt;1,"正前",_xlpm.v6p&gt;5,"正后",AND(_xlpm.v6p&lt;5,_xlpm.v6p&gt;2,P191&lt;-1),"脚底",_xlpm.v6p&gt;4,"后上",_xlpm.v6p&lt;2,"前上",TRUE,"顶部"),
IFERROR(_xlpm.output,""))</f>
        <v>正后</v>
      </c>
      <c r="K191" s="12"/>
      <c r="L191" s="12" t="s">
        <v>27</v>
      </c>
      <c r="M191" s="12"/>
      <c r="N191" s="19" t="str">
        <f t="shared" ref="N191" si="92">O191+0&amp;","&amp;P191+0</f>
        <v>-14,-1</v>
      </c>
      <c r="O191" s="24">
        <v>-14</v>
      </c>
      <c r="P191" s="24">
        <v>-1</v>
      </c>
      <c r="Q191" s="19">
        <f t="shared" si="74"/>
        <v>1</v>
      </c>
      <c r="S191" s="16" t="s">
        <v>62</v>
      </c>
      <c r="T191" s="19" t="str">
        <f t="shared" si="91"/>
        <v/>
      </c>
      <c r="W191" s="9">
        <v>0</v>
      </c>
      <c r="X191" s="9">
        <v>11</v>
      </c>
      <c r="Y191" s="19" t="str">
        <f t="shared" si="75"/>
        <v>0,0</v>
      </c>
      <c r="AA191" s="19" t="str">
        <f t="shared" si="76"/>
        <v>80,120</v>
      </c>
      <c r="AC191" s="16" t="s">
        <v>62</v>
      </c>
      <c r="AD191" s="16"/>
      <c r="AE191" s="16"/>
      <c r="AF191" s="9">
        <v>3</v>
      </c>
      <c r="AG191" s="9">
        <v>6.8</v>
      </c>
    </row>
    <row r="192" spans="1:33" x14ac:dyDescent="0.2">
      <c r="C192" s="30" t="str">
        <f t="shared" si="73"/>
        <v/>
      </c>
      <c r="I192" s="15" t="str">
        <f>IFERROR(VLOOKUP(H192,monsters[#All],4,0),"")</f>
        <v/>
      </c>
      <c r="J192" s="15" t="str" cm="1">
        <f t="array" ref="J192">_xlfn.LET(_xlpm.v6p,ABS(ATAN2(O192,P192))*6/PI(),
_xlpm.output,_xlfn.IFS(_xlpm.v6p&lt;1,"正前",_xlpm.v6p&gt;5,"正后",AND(_xlpm.v6p&lt;5,_xlpm.v6p&gt;2,P192&lt;-1),"脚底",_xlpm.v6p&gt;4,"后上",_xlpm.v6p&lt;2,"前上",TRUE,"顶部"),
IFERROR(_xlpm.output,""))</f>
        <v/>
      </c>
      <c r="N192" s="19"/>
      <c r="Q192" s="19" t="str">
        <f t="shared" si="74"/>
        <v/>
      </c>
      <c r="S192" s="9" t="s">
        <v>62</v>
      </c>
      <c r="T192" s="19" t="str">
        <f t="shared" si="91"/>
        <v/>
      </c>
      <c r="Y192" s="19" t="str">
        <f t="shared" si="75"/>
        <v/>
      </c>
      <c r="AA192" s="19" t="str">
        <f t="shared" si="76"/>
        <v/>
      </c>
      <c r="AC192" s="9" t="s">
        <v>62</v>
      </c>
    </row>
    <row r="193" spans="1:41" x14ac:dyDescent="0.2">
      <c r="A193" s="9">
        <v>42014</v>
      </c>
      <c r="B193" s="9" t="str" cm="1">
        <f t="array" ref="B193">D193&amp;_xlfn.TEXTJOIN("",1,TEXT(E193:G193,"00"))</f>
        <v>9010000</v>
      </c>
      <c r="C193" s="30" t="str">
        <f t="shared" si="73"/>
        <v>42014,9010000</v>
      </c>
      <c r="D193" s="26">
        <v>9</v>
      </c>
      <c r="E193" s="26">
        <v>1</v>
      </c>
      <c r="F193" s="26">
        <v>0</v>
      </c>
      <c r="G193" s="26">
        <v>0</v>
      </c>
      <c r="H193" s="9">
        <v>201109</v>
      </c>
      <c r="I193" s="15" t="str">
        <f>IFERROR(VLOOKUP(H193,monsters[#All],4,0),"")</f>
        <v>暴徒洞穴人</v>
      </c>
      <c r="J193" s="15" t="str" cm="1">
        <f t="array" ref="J193">_xlfn.LET(_xlpm.v6p,ABS(ATAN2(O193,P193))*6/PI(),
_xlpm.output,_xlfn.IFS(_xlpm.v6p&lt;1,"正前",_xlpm.v6p&gt;5,"正后",AND(_xlpm.v6p&lt;5,_xlpm.v6p&gt;2,P193&lt;-1),"脚底",_xlpm.v6p&gt;4,"后上",_xlpm.v6p&lt;2,"前上",TRUE,"顶部"),
IFERROR(_xlpm.output,""))</f>
        <v>正前</v>
      </c>
      <c r="K193" s="12"/>
      <c r="L193" s="12" t="s">
        <v>27</v>
      </c>
      <c r="M193" s="12"/>
      <c r="N193" s="19" t="str">
        <f>O193+0&amp;","&amp;P193+0</f>
        <v>18,-1</v>
      </c>
      <c r="O193" s="24">
        <v>18</v>
      </c>
      <c r="P193" s="24">
        <v>-1</v>
      </c>
      <c r="Q193" s="19">
        <f t="shared" si="74"/>
        <v>1</v>
      </c>
      <c r="S193" s="9">
        <v>28</v>
      </c>
      <c r="T193" s="19" t="str">
        <f>IF(U193&lt;&gt;"", U193+0&amp;","&amp;V193+0,"")</f>
        <v>2,3</v>
      </c>
      <c r="U193" s="24">
        <v>2</v>
      </c>
      <c r="V193" s="24">
        <v>3</v>
      </c>
      <c r="W193" s="9">
        <v>0</v>
      </c>
      <c r="X193" s="9">
        <v>11</v>
      </c>
      <c r="Y193" s="19" t="str">
        <f t="shared" si="75"/>
        <v>0,0</v>
      </c>
      <c r="AA193" s="19" t="str">
        <f t="shared" si="76"/>
        <v>80,120</v>
      </c>
      <c r="AC193" s="9">
        <v>0.6</v>
      </c>
      <c r="AD193" s="9">
        <v>0.08</v>
      </c>
      <c r="AE193" s="9">
        <v>1</v>
      </c>
      <c r="AF193" s="16"/>
      <c r="AG193" s="16"/>
    </row>
    <row r="194" spans="1:41" x14ac:dyDescent="0.2">
      <c r="A194" s="9">
        <v>42014</v>
      </c>
      <c r="B194" s="9" t="str" cm="1">
        <f t="array" ref="B194">D194&amp;_xlfn.TEXTJOIN("",1,TEXT(E194:G194,"00"))</f>
        <v>9020001</v>
      </c>
      <c r="C194" s="30" t="str">
        <f t="shared" si="73"/>
        <v>42014,9020001</v>
      </c>
      <c r="D194" s="26">
        <v>9</v>
      </c>
      <c r="E194" s="26">
        <v>2</v>
      </c>
      <c r="F194" s="26">
        <v>0</v>
      </c>
      <c r="G194" s="26">
        <v>1</v>
      </c>
      <c r="H194" s="9">
        <v>201109</v>
      </c>
      <c r="I194" s="15" t="str">
        <f>IFERROR(VLOOKUP(H194,monsters[#All],4,0),"")</f>
        <v>暴徒洞穴人</v>
      </c>
      <c r="J194" s="15" t="str" cm="1">
        <f t="array" ref="J194">_xlfn.LET(_xlpm.v6p,ABS(ATAN2(O194,P194))*6/PI(),
_xlpm.output,_xlfn.IFS(_xlpm.v6p&lt;1,"正前",_xlpm.v6p&gt;5,"正后",AND(_xlpm.v6p&lt;5,_xlpm.v6p&gt;2,P194&lt;-1),"脚底",_xlpm.v6p&gt;4,"后上",_xlpm.v6p&lt;2,"前上",TRUE,"顶部"),
IFERROR(_xlpm.output,""))</f>
        <v>正前</v>
      </c>
      <c r="K194" s="12"/>
      <c r="L194" s="12" t="s">
        <v>27</v>
      </c>
      <c r="M194" s="12"/>
      <c r="N194" s="19" t="str">
        <f>O194+0&amp;","&amp;P194+0</f>
        <v>18,-1</v>
      </c>
      <c r="O194" s="24">
        <v>18</v>
      </c>
      <c r="P194" s="24">
        <v>-1</v>
      </c>
      <c r="Q194" s="19">
        <f t="shared" si="74"/>
        <v>1</v>
      </c>
      <c r="S194" s="16" t="s">
        <v>62</v>
      </c>
      <c r="T194" s="19" t="str">
        <f t="shared" ref="T194:T197" si="93">IF(U194&lt;&gt;"", U194+0&amp;","&amp;V194+0,"")</f>
        <v/>
      </c>
      <c r="W194" s="9">
        <v>0</v>
      </c>
      <c r="X194" s="9">
        <v>11</v>
      </c>
      <c r="Y194" s="19" t="str">
        <f t="shared" si="75"/>
        <v>0,0</v>
      </c>
      <c r="AA194" s="19" t="str">
        <f t="shared" si="76"/>
        <v>80,120</v>
      </c>
      <c r="AC194" s="16" t="s">
        <v>62</v>
      </c>
      <c r="AD194" s="16"/>
      <c r="AE194" s="16"/>
      <c r="AF194" s="9">
        <v>2</v>
      </c>
      <c r="AG194" s="9">
        <v>10.199999999999999</v>
      </c>
    </row>
    <row r="195" spans="1:41" x14ac:dyDescent="0.2">
      <c r="A195" s="9">
        <v>42014</v>
      </c>
      <c r="B195" s="9" t="str" cm="1">
        <f t="array" ref="B195">D195&amp;_xlfn.TEXTJOIN("",1,TEXT(E195:G195,"00"))</f>
        <v>9020002</v>
      </c>
      <c r="C195" s="30" t="str">
        <f t="shared" si="73"/>
        <v>42014,9020002</v>
      </c>
      <c r="D195" s="26">
        <v>9</v>
      </c>
      <c r="E195" s="26">
        <v>2</v>
      </c>
      <c r="F195" s="26">
        <v>0</v>
      </c>
      <c r="G195" s="26">
        <v>2</v>
      </c>
      <c r="H195" s="9">
        <v>201109</v>
      </c>
      <c r="I195" s="15" t="str">
        <f>IFERROR(VLOOKUP(H195,monsters[#All],4,0),"")</f>
        <v>暴徒洞穴人</v>
      </c>
      <c r="J195" s="15" t="str" cm="1">
        <f t="array" ref="J195">_xlfn.LET(_xlpm.v6p,ABS(ATAN2(O195,P195))*6/PI(),
_xlpm.output,_xlfn.IFS(_xlpm.v6p&lt;1,"正前",_xlpm.v6p&gt;5,"正后",AND(_xlpm.v6p&lt;5,_xlpm.v6p&gt;2,P195&lt;-1),"脚底",_xlpm.v6p&gt;4,"后上",_xlpm.v6p&lt;2,"前上",TRUE,"顶部"),
IFERROR(_xlpm.output,""))</f>
        <v>正后</v>
      </c>
      <c r="K195" s="12"/>
      <c r="L195" s="12" t="s">
        <v>27</v>
      </c>
      <c r="M195" s="12"/>
      <c r="N195" s="19" t="str">
        <f t="shared" ref="N195" si="94">O195+0&amp;","&amp;P195+0</f>
        <v>-14,-1</v>
      </c>
      <c r="O195" s="24">
        <v>-14</v>
      </c>
      <c r="P195" s="24">
        <v>-1</v>
      </c>
      <c r="Q195" s="19">
        <f t="shared" si="74"/>
        <v>1</v>
      </c>
      <c r="S195" s="16" t="s">
        <v>62</v>
      </c>
      <c r="T195" s="19" t="str">
        <f t="shared" si="93"/>
        <v/>
      </c>
      <c r="W195" s="9">
        <v>0</v>
      </c>
      <c r="X195" s="9">
        <v>11</v>
      </c>
      <c r="Y195" s="19" t="str">
        <f t="shared" si="75"/>
        <v>0,0</v>
      </c>
      <c r="AA195" s="19" t="str">
        <f t="shared" si="76"/>
        <v>80,120</v>
      </c>
      <c r="AC195" s="16" t="s">
        <v>62</v>
      </c>
      <c r="AD195" s="16"/>
      <c r="AE195" s="16"/>
      <c r="AF195" s="9">
        <v>2</v>
      </c>
      <c r="AG195" s="9">
        <v>6.8</v>
      </c>
    </row>
    <row r="196" spans="1:41" x14ac:dyDescent="0.2">
      <c r="C196" s="30" t="str">
        <f t="shared" si="73"/>
        <v/>
      </c>
      <c r="I196" s="15" t="str">
        <f>IFERROR(VLOOKUP(H196,monsters[#All],4,0),"")</f>
        <v/>
      </c>
      <c r="J196" s="15" t="str" cm="1">
        <f t="array" ref="J196">_xlfn.LET(_xlpm.v6p,ABS(ATAN2(O196,P196))*6/PI(),
_xlpm.output,_xlfn.IFS(_xlpm.v6p&lt;1,"正前",_xlpm.v6p&gt;5,"正后",AND(_xlpm.v6p&lt;5,_xlpm.v6p&gt;2,P196&lt;-1),"脚底",_xlpm.v6p&gt;4,"后上",_xlpm.v6p&lt;2,"前上",TRUE,"顶部"),
IFERROR(_xlpm.output,""))</f>
        <v/>
      </c>
      <c r="K196" s="12"/>
      <c r="L196" s="12"/>
      <c r="M196" s="12"/>
      <c r="N196" s="19"/>
      <c r="Q196" s="19" t="str">
        <f t="shared" si="74"/>
        <v/>
      </c>
      <c r="S196" s="9" t="s">
        <v>62</v>
      </c>
      <c r="T196" s="19" t="str">
        <f t="shared" si="93"/>
        <v/>
      </c>
      <c r="Y196" s="19" t="str">
        <f t="shared" si="75"/>
        <v/>
      </c>
      <c r="AA196" s="19" t="str">
        <f t="shared" si="76"/>
        <v/>
      </c>
      <c r="AC196" s="9" t="s">
        <v>62</v>
      </c>
    </row>
    <row r="197" spans="1:41" x14ac:dyDescent="0.2">
      <c r="A197" s="9">
        <v>42014</v>
      </c>
      <c r="B197" s="9" t="str" cm="1">
        <f t="array" ref="B197">D197&amp;_xlfn.TEXTJOIN("",1,TEXT(E197:G197,"00"))</f>
        <v>10010000</v>
      </c>
      <c r="C197" s="30" t="str">
        <f t="shared" si="73"/>
        <v>42014,10010000</v>
      </c>
      <c r="D197" s="26">
        <v>10</v>
      </c>
      <c r="E197" s="26">
        <v>1</v>
      </c>
      <c r="F197" s="26">
        <v>0</v>
      </c>
      <c r="G197" s="26">
        <v>0</v>
      </c>
      <c r="H197" s="9">
        <v>211102</v>
      </c>
      <c r="I197" s="15" t="str">
        <f>IFERROR(VLOOKUP(H197,monsters[#All],4,0),"")</f>
        <v>地宫捕奴车-远程</v>
      </c>
      <c r="J197" s="15" t="str" cm="1">
        <f t="array" ref="J197">_xlfn.LET(_xlpm.v6p,ABS(ATAN2(O197,P197))*6/PI(),
_xlpm.output,_xlfn.IFS(_xlpm.v6p&lt;1,"正前",_xlpm.v6p&gt;5,"正后",AND(_xlpm.v6p&lt;5,_xlpm.v6p&gt;2,P197&lt;-1),"脚底",_xlpm.v6p&gt;4,"后上",_xlpm.v6p&lt;2,"前上",TRUE,"顶部"),
IFERROR(_xlpm.output,""))</f>
        <v>正前</v>
      </c>
      <c r="K197" s="12"/>
      <c r="L197" s="12" t="s">
        <v>36</v>
      </c>
      <c r="M197" s="12"/>
      <c r="N197" s="19" t="str">
        <f>O197+0&amp;","&amp;P197+0</f>
        <v>14,1</v>
      </c>
      <c r="O197" s="24">
        <v>14</v>
      </c>
      <c r="P197" s="24">
        <v>1</v>
      </c>
      <c r="Q197" s="19">
        <f t="shared" si="74"/>
        <v>1</v>
      </c>
      <c r="S197" s="9">
        <v>1</v>
      </c>
      <c r="T197" s="19" t="str">
        <f t="shared" si="93"/>
        <v/>
      </c>
      <c r="W197" s="9">
        <v>0</v>
      </c>
      <c r="X197" s="9">
        <v>11</v>
      </c>
      <c r="Y197" s="19" t="str">
        <f t="shared" si="75"/>
        <v>0,0</v>
      </c>
      <c r="AA197" s="19" t="str">
        <f t="shared" si="76"/>
        <v>3000,3000.1</v>
      </c>
      <c r="AB197" s="24" t="str">
        <f>"3000,3000.1"</f>
        <v>3000,3000.1</v>
      </c>
      <c r="AC197" s="40">
        <v>2</v>
      </c>
      <c r="AD197" s="16"/>
      <c r="AE197" s="9">
        <v>0</v>
      </c>
      <c r="AF197" s="16"/>
      <c r="AG197" s="16"/>
    </row>
    <row r="199" spans="1:41" s="21" customFormat="1" x14ac:dyDescent="0.2">
      <c r="C199" s="31" t="str">
        <f t="shared" ref="C199" si="95">_xlfn.TEXTJOIN(",",1,A199:B199)</f>
        <v/>
      </c>
      <c r="D199" s="32"/>
      <c r="E199" s="32"/>
      <c r="F199" s="32"/>
      <c r="G199" s="32"/>
      <c r="I199" s="33"/>
      <c r="J199" s="33"/>
      <c r="O199" s="34"/>
      <c r="P199" s="34"/>
      <c r="R199" s="34"/>
      <c r="S199" s="21" t="s">
        <v>62</v>
      </c>
      <c r="U199" s="34"/>
      <c r="V199" s="34"/>
      <c r="Z199" s="34"/>
      <c r="AB199" s="34"/>
      <c r="AC199" s="21" t="s">
        <v>62</v>
      </c>
      <c r="AI199" s="70"/>
      <c r="AJ199" s="70"/>
      <c r="AK199" s="70"/>
      <c r="AL199" s="70"/>
      <c r="AM199" s="70"/>
      <c r="AN199" s="70"/>
      <c r="AO199" s="70"/>
    </row>
    <row r="201" spans="1:41" s="61" customFormat="1" x14ac:dyDescent="0.2">
      <c r="B201" s="62" t="s">
        <v>243</v>
      </c>
      <c r="C201" s="63" t="str">
        <f>_xlfn.TEXTJOIN(",",1,A201:B201)</f>
        <v>地宫</v>
      </c>
      <c r="D201" s="64"/>
      <c r="E201" s="64"/>
      <c r="F201" s="64"/>
      <c r="G201" s="64"/>
      <c r="H201" s="62" t="s">
        <v>255</v>
      </c>
      <c r="I201" s="65"/>
      <c r="J201" s="65"/>
      <c r="O201" s="66"/>
      <c r="P201" s="66"/>
      <c r="R201" s="66"/>
      <c r="S201" s="61" t="s">
        <v>62</v>
      </c>
      <c r="U201" s="66"/>
      <c r="V201" s="66"/>
      <c r="Z201" s="66"/>
      <c r="AB201" s="66"/>
      <c r="AC201" s="61" t="s">
        <v>62</v>
      </c>
      <c r="AI201" s="72"/>
      <c r="AJ201" s="72"/>
      <c r="AK201" s="72"/>
      <c r="AL201" s="72">
        <f>SUM(AL203:AL205)</f>
        <v>442.20000000000005</v>
      </c>
      <c r="AM201" s="72">
        <f>SUM(AM203:AM205)</f>
        <v>0</v>
      </c>
      <c r="AN201" s="72"/>
      <c r="AO201" s="72"/>
    </row>
    <row r="202" spans="1:41" x14ac:dyDescent="0.2">
      <c r="C202" s="30" t="str">
        <f t="shared" ref="C202:C205" si="96">_xlfn.TEXTJOIN(",",1,A202:B202)</f>
        <v/>
      </c>
      <c r="S202" s="9" t="s">
        <v>62</v>
      </c>
      <c r="AC202" s="9" t="s">
        <v>62</v>
      </c>
    </row>
    <row r="203" spans="1:41" x14ac:dyDescent="0.2">
      <c r="A203" s="9">
        <v>420103</v>
      </c>
      <c r="B203" s="9" t="str" cm="1">
        <f t="array" ref="B203">D203&amp;_xlfn.TEXTJOIN("",1,TEXT(E203:G203,"00"))</f>
        <v>1010000</v>
      </c>
      <c r="C203" s="30" t="str">
        <f t="shared" si="96"/>
        <v>420103,1010000</v>
      </c>
      <c r="D203" s="26">
        <v>1</v>
      </c>
      <c r="E203" s="26">
        <v>1</v>
      </c>
      <c r="F203" s="26">
        <f>W203</f>
        <v>0</v>
      </c>
      <c r="G203" s="26">
        <v>0</v>
      </c>
      <c r="H203" s="9">
        <v>201107</v>
      </c>
      <c r="I203" s="15" t="str">
        <f>IFERROR(VLOOKUP(H203,monsters[#All],4,0),"")</f>
        <v>流浪洞穴人</v>
      </c>
      <c r="J203" s="15" t="str" cm="1">
        <f t="array" ref="J203">_xlfn.LET(_xlpm.v6p,ABS(ATAN2(O203,P203))*6/PI(),
_xlpm.output,_xlfn.IFS(_xlpm.v6p&lt;1,"正前",_xlpm.v6p&gt;5,"正后",AND(_xlpm.v6p&lt;5,_xlpm.v6p&gt;2,P203&lt;-1),"脚底",_xlpm.v6p&gt;4,"后上",_xlpm.v6p&lt;2,"前上",TRUE,"顶部"),
IFERROR(_xlpm.output,""))</f>
        <v>正前</v>
      </c>
      <c r="K203" s="12"/>
      <c r="L203" s="12" t="s">
        <v>63</v>
      </c>
      <c r="M203" s="12" t="s">
        <v>63</v>
      </c>
      <c r="N203" s="19" t="str">
        <f>O203+0&amp;","&amp;P203+0</f>
        <v>14,-1</v>
      </c>
      <c r="O203" s="24">
        <v>14</v>
      </c>
      <c r="P203" s="24">
        <v>-1</v>
      </c>
      <c r="Q203" s="19">
        <f>_xlfn.LET(_xlpm._default,1,
_xlpm._custom,R203,
IF($A203&lt;&gt;"",IF(_xlpm._custom&lt;&gt;"",_xlpm._custom,_xlpm._default),""))</f>
        <v>1</v>
      </c>
      <c r="S203" s="9">
        <v>5</v>
      </c>
      <c r="T203" s="19" t="str">
        <f>IF(U203&lt;&gt;"", U203+0&amp;","&amp;V203+0,"")</f>
        <v>1,2</v>
      </c>
      <c r="U203" s="24">
        <v>1</v>
      </c>
      <c r="V203" s="24">
        <v>2</v>
      </c>
      <c r="W203" s="9">
        <v>0</v>
      </c>
      <c r="X203" s="9">
        <v>11</v>
      </c>
      <c r="Y203" s="19" t="str">
        <f>IF($A203&lt;&gt;"",IF($Z203&lt;&gt;"",$Z203,"0,0"),"")</f>
        <v>70,75</v>
      </c>
      <c r="Z203" s="24" t="s">
        <v>132</v>
      </c>
      <c r="AA203" s="19" t="str">
        <f>IF($A203&lt;&gt;"",IF($AB203&lt;&gt;"",$AB203,"80,120"),"")</f>
        <v>80,120</v>
      </c>
      <c r="AC203" s="9">
        <v>1.2</v>
      </c>
      <c r="AD203" s="9">
        <v>0</v>
      </c>
      <c r="AE203" s="9">
        <v>0.3</v>
      </c>
      <c r="AF203" s="9">
        <v>3</v>
      </c>
      <c r="AG203" s="9">
        <v>100</v>
      </c>
      <c r="AI203" s="69" cm="1">
        <f t="array" ref="AI203">tuple_avg(T203)/tuple_avg(AA203)</f>
        <v>1.4999999999999999E-2</v>
      </c>
      <c r="AJ203" s="69">
        <f>AC203*AI203*'-配置辅助'!$I$8</f>
        <v>1.7999999999999998</v>
      </c>
      <c r="AK203" s="69">
        <f>AD203*AI203*'-配置辅助'!$I$10</f>
        <v>0</v>
      </c>
      <c r="AL203" s="69">
        <f>AJ203*_xlfn.XLOOKUP(H203,monsters[怪物id],monsters[HP],-1)</f>
        <v>79.199999999999989</v>
      </c>
      <c r="AM203" s="69">
        <f>AK203*_xlfn.XLOOKUP(H203,monsters[怪物id],monsters[HP],-1)</f>
        <v>0</v>
      </c>
    </row>
    <row r="204" spans="1:41" x14ac:dyDescent="0.2">
      <c r="A204" s="9">
        <v>420103</v>
      </c>
      <c r="B204" s="9" t="str" cm="1">
        <f t="array" ref="B204">D204&amp;_xlfn.TEXTJOIN("",1,TEXT(E204:G204,"00"))</f>
        <v>1010001</v>
      </c>
      <c r="C204" s="30" t="str">
        <f t="shared" si="96"/>
        <v>420103,1010001</v>
      </c>
      <c r="D204" s="26">
        <v>1</v>
      </c>
      <c r="E204" s="26">
        <v>1</v>
      </c>
      <c r="F204" s="26">
        <f>W204</f>
        <v>0</v>
      </c>
      <c r="G204" s="26">
        <v>1</v>
      </c>
      <c r="H204" s="9">
        <v>201107</v>
      </c>
      <c r="I204" s="15" t="str">
        <f>IFERROR(VLOOKUP(H204,monsters[#All],4,0),"")</f>
        <v>流浪洞穴人</v>
      </c>
      <c r="J204" s="15" t="str" cm="1">
        <f t="array" ref="J204">_xlfn.LET(_xlpm.v6p,ABS(ATAN2(O204,P204))*6/PI(),
_xlpm.output,_xlfn.IFS(_xlpm.v6p&lt;1,"正前",_xlpm.v6p&gt;5,"正后",AND(_xlpm.v6p&lt;5,_xlpm.v6p&gt;2,P204&lt;-1),"脚底",_xlpm.v6p&gt;4,"后上",_xlpm.v6p&lt;2,"前上",TRUE,"顶部"),
IFERROR(_xlpm.output,""))</f>
        <v>正前</v>
      </c>
      <c r="K204" s="12"/>
      <c r="L204" s="12" t="s">
        <v>63</v>
      </c>
      <c r="M204" s="12" t="s">
        <v>63</v>
      </c>
      <c r="N204" s="19" t="str">
        <f>O204+0&amp;","&amp;P204+0</f>
        <v>14,-1</v>
      </c>
      <c r="O204" s="24">
        <v>14</v>
      </c>
      <c r="P204" s="24">
        <v>-1</v>
      </c>
      <c r="Q204" s="19">
        <f>_xlfn.LET(_xlpm._default,1,
_xlpm._custom,R204,
IF($A204&lt;&gt;"",IF(_xlpm._custom&lt;&gt;"",_xlpm._custom,_xlpm._default),""))</f>
        <v>1</v>
      </c>
      <c r="S204" s="9">
        <v>6</v>
      </c>
      <c r="T204" s="19" t="str">
        <f>IF(U204&lt;&gt;"", U204+0&amp;","&amp;V204+0,"")</f>
        <v>2,3</v>
      </c>
      <c r="U204" s="24">
        <v>2</v>
      </c>
      <c r="V204" s="24">
        <v>3</v>
      </c>
      <c r="W204" s="9">
        <v>0</v>
      </c>
      <c r="X204" s="9">
        <v>11</v>
      </c>
      <c r="Y204" s="19" t="str">
        <f>IF($A204&lt;&gt;"",IF($Z204&lt;&gt;"",$Z204,"0,0"),"")</f>
        <v>0,0</v>
      </c>
      <c r="AA204" s="19" t="str">
        <f>IF($A204&lt;&gt;"",IF($AB204&lt;&gt;"",$AB204,"80,120"),"")</f>
        <v>80,120</v>
      </c>
      <c r="AC204" s="9">
        <v>1.5</v>
      </c>
      <c r="AD204" s="9">
        <v>0</v>
      </c>
      <c r="AE204" s="9">
        <v>0.3</v>
      </c>
      <c r="AF204" s="9">
        <v>3</v>
      </c>
      <c r="AG204" s="9">
        <v>100</v>
      </c>
      <c r="AI204" s="69" cm="1">
        <f t="array" ref="AI204">tuple_avg(T204)/tuple_avg(AA204)</f>
        <v>2.5000000000000001E-2</v>
      </c>
      <c r="AJ204" s="69">
        <f>AC204*AI204*'-配置辅助'!$I$8</f>
        <v>3.7500000000000004</v>
      </c>
      <c r="AK204" s="69">
        <f>AD204*AI204*'-配置辅助'!$I$10</f>
        <v>0</v>
      </c>
      <c r="AL204" s="69">
        <f>AJ204*_xlfn.XLOOKUP(H204,monsters[怪物id],monsters[HP],-1)</f>
        <v>165.00000000000003</v>
      </c>
      <c r="AM204" s="69">
        <f>AK204*_xlfn.XLOOKUP(H204,monsters[怪物id],monsters[HP],-1)</f>
        <v>0</v>
      </c>
    </row>
    <row r="205" spans="1:41" x14ac:dyDescent="0.2">
      <c r="A205" s="9">
        <v>420103</v>
      </c>
      <c r="B205" s="9" t="str" cm="1">
        <f t="array" ref="B205">D205&amp;_xlfn.TEXTJOIN("",1,TEXT(E205:G205,"00"))</f>
        <v>1010002</v>
      </c>
      <c r="C205" s="30" t="str">
        <f t="shared" si="96"/>
        <v>420103,1010002</v>
      </c>
      <c r="D205" s="26">
        <v>1</v>
      </c>
      <c r="E205" s="26">
        <v>1</v>
      </c>
      <c r="F205" s="26">
        <f>W205</f>
        <v>0</v>
      </c>
      <c r="G205" s="26">
        <v>2</v>
      </c>
      <c r="H205" s="9">
        <v>201107</v>
      </c>
      <c r="I205" s="15" t="str">
        <f>IFERROR(VLOOKUP(H205,monsters[#All],4,0),"")</f>
        <v>流浪洞穴人</v>
      </c>
      <c r="J205" s="15" t="str" cm="1">
        <f t="array" ref="J205">_xlfn.LET(_xlpm.v6p,ABS(ATAN2(O205,P205))*6/PI(),
_xlpm.output,_xlfn.IFS(_xlpm.v6p&lt;1,"正前",_xlpm.v6p&gt;5,"正后",AND(_xlpm.v6p&lt;5,_xlpm.v6p&gt;2,P205&lt;-1),"脚底",_xlpm.v6p&gt;4,"后上",_xlpm.v6p&lt;2,"前上",TRUE,"顶部"),
IFERROR(_xlpm.output,""))</f>
        <v>正前</v>
      </c>
      <c r="K205" s="12"/>
      <c r="L205" s="12" t="s">
        <v>63</v>
      </c>
      <c r="M205" s="12" t="s">
        <v>63</v>
      </c>
      <c r="N205" s="19" t="str">
        <f>O205+0&amp;","&amp;P205+0</f>
        <v>14,-1</v>
      </c>
      <c r="O205" s="24">
        <v>14</v>
      </c>
      <c r="P205" s="24">
        <v>-1</v>
      </c>
      <c r="Q205" s="19">
        <f>_xlfn.LET(_xlpm._default,1,
_xlpm._custom,R205,
IF($A205&lt;&gt;"",IF(_xlpm._custom&lt;&gt;"",_xlpm._custom,_xlpm._default),""))</f>
        <v>1</v>
      </c>
      <c r="R205" s="42"/>
      <c r="S205" s="9">
        <v>7</v>
      </c>
      <c r="T205" s="19" t="str">
        <f>IF(U205&lt;&gt;"", U205+0&amp;","&amp;V205+0,"")</f>
        <v>2,3</v>
      </c>
      <c r="U205" s="24">
        <v>2</v>
      </c>
      <c r="V205" s="24">
        <v>3</v>
      </c>
      <c r="W205" s="9">
        <v>0</v>
      </c>
      <c r="X205" s="9">
        <v>11</v>
      </c>
      <c r="Y205" s="19" t="str">
        <f>IF($A205&lt;&gt;"",IF($Z205&lt;&gt;"",$Z205,"0,0"),"")</f>
        <v>-105,-100</v>
      </c>
      <c r="Z205" s="42" t="s">
        <v>133</v>
      </c>
      <c r="AA205" s="19" t="str">
        <f>IF($A205&lt;&gt;"",IF($AB205&lt;&gt;"",$AB205,"80,120"),"")</f>
        <v>80,120</v>
      </c>
      <c r="AC205" s="9">
        <v>1.8</v>
      </c>
      <c r="AD205" s="9">
        <v>0</v>
      </c>
      <c r="AE205" s="9">
        <v>0.3</v>
      </c>
      <c r="AF205" s="9">
        <v>3</v>
      </c>
      <c r="AG205" s="9">
        <v>100</v>
      </c>
      <c r="AI205" s="69" cm="1">
        <f t="array" ref="AI205">tuple_avg(T205)/tuple_avg(AA205)</f>
        <v>2.5000000000000001E-2</v>
      </c>
      <c r="AJ205" s="69">
        <f>AC205*AI205*'-配置辅助'!$I$8</f>
        <v>4.5000000000000009</v>
      </c>
      <c r="AK205" s="69">
        <f>AD205*AI205*'-配置辅助'!$I$10</f>
        <v>0</v>
      </c>
      <c r="AL205" s="69">
        <f>AJ205*_xlfn.XLOOKUP(H205,monsters[怪物id],monsters[HP],-1)</f>
        <v>198.00000000000003</v>
      </c>
      <c r="AM205" s="69">
        <f>AK205*_xlfn.XLOOKUP(H205,monsters[怪物id],monsters[HP],-1)</f>
        <v>0</v>
      </c>
    </row>
    <row r="208" spans="1:41" s="61" customFormat="1" x14ac:dyDescent="0.2">
      <c r="B208" s="62"/>
      <c r="C208" s="63" t="str">
        <f>_xlfn.TEXTJOIN(",",1,A208:B208)</f>
        <v/>
      </c>
      <c r="D208" s="64"/>
      <c r="E208" s="64"/>
      <c r="F208" s="64"/>
      <c r="G208" s="64"/>
      <c r="H208" s="62" t="s">
        <v>245</v>
      </c>
      <c r="I208" s="65"/>
      <c r="J208" s="65"/>
      <c r="O208" s="66"/>
      <c r="P208" s="66"/>
      <c r="R208" s="66"/>
      <c r="S208" s="61" t="s">
        <v>62</v>
      </c>
      <c r="U208" s="66"/>
      <c r="V208" s="66"/>
      <c r="Z208" s="66"/>
      <c r="AB208" s="66"/>
      <c r="AC208" s="61" t="s">
        <v>62</v>
      </c>
      <c r="AI208" s="72"/>
      <c r="AJ208" s="72"/>
      <c r="AK208" s="72"/>
      <c r="AL208" s="72">
        <f>SUM(AL210:AL220)</f>
        <v>899.80000000000018</v>
      </c>
      <c r="AM208" s="72">
        <f>SUM(AM210:AM220)</f>
        <v>76.26666666666668</v>
      </c>
      <c r="AN208" s="72"/>
      <c r="AO208" s="72"/>
    </row>
    <row r="209" spans="1:41" x14ac:dyDescent="0.2">
      <c r="C209" s="30" t="str">
        <f t="shared" ref="C209:C212" si="97">_xlfn.TEXTJOIN(",",1,A209:B209)</f>
        <v/>
      </c>
      <c r="S209" s="9" t="s">
        <v>62</v>
      </c>
      <c r="AC209" s="9" t="s">
        <v>62</v>
      </c>
    </row>
    <row r="210" spans="1:41" x14ac:dyDescent="0.2">
      <c r="A210" s="9">
        <v>420104</v>
      </c>
      <c r="B210" s="9" t="str" cm="1">
        <f t="array" ref="B210">D210&amp;_xlfn.TEXTJOIN("",1,TEXT(E210:G210,"00"))</f>
        <v>1010000</v>
      </c>
      <c r="C210" s="30" t="str">
        <f t="shared" si="97"/>
        <v>420104,1010000</v>
      </c>
      <c r="D210" s="26">
        <v>1</v>
      </c>
      <c r="E210" s="26">
        <v>1</v>
      </c>
      <c r="F210" s="26">
        <f>W210</f>
        <v>0</v>
      </c>
      <c r="G210" s="26">
        <v>0</v>
      </c>
      <c r="H210" s="9">
        <v>201103</v>
      </c>
      <c r="I210" s="15" t="str">
        <f>IFERROR(VLOOKUP(H210,monsters[#All],4,0),"")</f>
        <v>跳虫</v>
      </c>
      <c r="J210" s="15" t="str" cm="1">
        <f t="array" ref="J210">_xlfn.LET(_xlpm.v6p,ABS(ATAN2(O210,P210))*6/PI(),
_xlpm.output,_xlfn.IFS(_xlpm.v6p&lt;1,"正前",_xlpm.v6p&gt;5,"正后",AND(_xlpm.v6p&lt;5,_xlpm.v6p&gt;2,P210&lt;-1),"脚底",_xlpm.v6p&gt;4,"后上",_xlpm.v6p&lt;2,"前上",TRUE,"顶部"),
IFERROR(_xlpm.output,""))</f>
        <v>顶部</v>
      </c>
      <c r="K210" s="12"/>
      <c r="L210" s="12" t="s">
        <v>63</v>
      </c>
      <c r="M210" s="12" t="s">
        <v>63</v>
      </c>
      <c r="N210" s="19" t="str">
        <f>O210+0&amp;","&amp;P210+0</f>
        <v>8,14</v>
      </c>
      <c r="O210" s="24">
        <v>8</v>
      </c>
      <c r="P210" s="24">
        <v>14</v>
      </c>
      <c r="Q210" s="19">
        <f t="shared" ref="Q210:Q216" si="98">_xlfn.LET(_xlpm._default,1,
_xlpm._custom,R210,
IF($A210&lt;&gt;"",IF(_xlpm._custom&lt;&gt;"",_xlpm._custom,_xlpm._default),""))</f>
        <v>1</v>
      </c>
      <c r="S210" s="9">
        <v>1</v>
      </c>
      <c r="T210" s="19" t="str">
        <f>IF(U210&lt;&gt;"", U210+0&amp;","&amp;V210+0,"")</f>
        <v>1,1</v>
      </c>
      <c r="U210" s="24">
        <v>1</v>
      </c>
      <c r="V210" s="24">
        <v>1</v>
      </c>
      <c r="W210" s="9">
        <v>0</v>
      </c>
      <c r="X210" s="9">
        <v>11</v>
      </c>
      <c r="Y210" s="19" t="str">
        <f>IF($A210&lt;&gt;"",IF($Z210&lt;&gt;"",$Z210,"0,0"),"")</f>
        <v>70,75</v>
      </c>
      <c r="Z210" s="24" t="s">
        <v>132</v>
      </c>
      <c r="AA210" s="19" t="str">
        <f>IF($A210&lt;&gt;"",IF($AB210&lt;&gt;"",$AB210,"80,120"),"")</f>
        <v>80,120</v>
      </c>
      <c r="AC210" s="9">
        <v>2.1</v>
      </c>
      <c r="AD210" s="9">
        <v>0.3</v>
      </c>
      <c r="AE210" s="9">
        <v>0.3</v>
      </c>
      <c r="AF210" s="9">
        <v>3</v>
      </c>
      <c r="AG210" s="9">
        <v>100</v>
      </c>
      <c r="AI210" s="69" cm="1">
        <f t="array" ref="AI210">tuple_avg(T210)/tuple_avg(AA210)</f>
        <v>0.01</v>
      </c>
      <c r="AJ210" s="69">
        <f>AC210*AI210*'-配置辅助'!$I$8</f>
        <v>2.1</v>
      </c>
      <c r="AK210" s="69">
        <f>AD210*AI210*'-配置辅助'!$I$10</f>
        <v>0.05</v>
      </c>
      <c r="AL210" s="69">
        <f>AJ210*_xlfn.XLOOKUP(H210,monsters[怪物id],monsters[HP],-1)</f>
        <v>92.4</v>
      </c>
      <c r="AM210" s="69">
        <f>AK210*_xlfn.XLOOKUP(H210,monsters[怪物id],monsters[HP],-1)</f>
        <v>2.2000000000000002</v>
      </c>
    </row>
    <row r="211" spans="1:41" x14ac:dyDescent="0.2">
      <c r="A211" s="9">
        <v>420104</v>
      </c>
      <c r="B211" s="9" t="str" cm="1">
        <f t="array" ref="B211">D211&amp;_xlfn.TEXTJOIN("",1,TEXT(E211:G211,"00"))</f>
        <v>1010001</v>
      </c>
      <c r="C211" s="30" t="str">
        <f t="shared" si="97"/>
        <v>420104,1010001</v>
      </c>
      <c r="D211" s="26">
        <v>1</v>
      </c>
      <c r="E211" s="26">
        <v>1</v>
      </c>
      <c r="F211" s="26">
        <f>W211</f>
        <v>0</v>
      </c>
      <c r="G211" s="26">
        <v>1</v>
      </c>
      <c r="H211" s="9">
        <v>201103</v>
      </c>
      <c r="I211" s="15" t="str">
        <f>IFERROR(VLOOKUP(H211,monsters[#All],4,0),"")</f>
        <v>跳虫</v>
      </c>
      <c r="J211" s="15" t="str" cm="1">
        <f t="array" ref="J211">_xlfn.LET(_xlpm.v6p,ABS(ATAN2(O211,P211))*6/PI(),
_xlpm.output,_xlfn.IFS(_xlpm.v6p&lt;1,"正前",_xlpm.v6p&gt;5,"正后",AND(_xlpm.v6p&lt;5,_xlpm.v6p&gt;2,P211&lt;-1),"脚底",_xlpm.v6p&gt;4,"后上",_xlpm.v6p&lt;2,"前上",TRUE,"顶部"),
IFERROR(_xlpm.output,""))</f>
        <v>顶部</v>
      </c>
      <c r="K211" s="12"/>
      <c r="L211" s="12" t="s">
        <v>63</v>
      </c>
      <c r="M211" s="12" t="s">
        <v>63</v>
      </c>
      <c r="N211" s="19" t="str">
        <f>O211+0&amp;","&amp;P211+0</f>
        <v>8,14</v>
      </c>
      <c r="O211" s="24">
        <v>8</v>
      </c>
      <c r="P211" s="24">
        <v>14</v>
      </c>
      <c r="Q211" s="19">
        <f t="shared" si="98"/>
        <v>1</v>
      </c>
      <c r="S211" s="9">
        <v>2</v>
      </c>
      <c r="T211" s="19" t="str">
        <f>IF(U211&lt;&gt;"", U211+0&amp;","&amp;V211+0,"")</f>
        <v>1,2</v>
      </c>
      <c r="U211" s="24">
        <v>1</v>
      </c>
      <c r="V211" s="24">
        <v>2</v>
      </c>
      <c r="W211" s="9">
        <v>0</v>
      </c>
      <c r="X211" s="9">
        <v>11</v>
      </c>
      <c r="Y211" s="19" t="str">
        <f>IF($A211&lt;&gt;"",IF($Z211&lt;&gt;"",$Z211,"0,0"),"")</f>
        <v>0,0</v>
      </c>
      <c r="AA211" s="19" t="str">
        <f>IF($A211&lt;&gt;"",IF($AB211&lt;&gt;"",$AB211,"80,120"),"")</f>
        <v>80,120</v>
      </c>
      <c r="AC211" s="9">
        <v>1.8</v>
      </c>
      <c r="AD211" s="9">
        <v>0.2</v>
      </c>
      <c r="AE211" s="9">
        <v>0.3</v>
      </c>
      <c r="AF211" s="9">
        <v>3</v>
      </c>
      <c r="AG211" s="9">
        <v>100</v>
      </c>
      <c r="AI211" s="69" cm="1">
        <f t="array" ref="AI211">tuple_avg(T211)/tuple_avg(AA211)</f>
        <v>1.4999999999999999E-2</v>
      </c>
      <c r="AJ211" s="69">
        <f>AC211*AI211*'-配置辅助'!$I$8</f>
        <v>2.7</v>
      </c>
      <c r="AK211" s="69">
        <f>AD211*AI211*'-配置辅助'!$I$10</f>
        <v>0.05</v>
      </c>
      <c r="AL211" s="69">
        <f>AJ211*_xlfn.XLOOKUP(H211,monsters[怪物id],monsters[HP],-1)</f>
        <v>118.80000000000001</v>
      </c>
      <c r="AM211" s="69">
        <f>AK211*_xlfn.XLOOKUP(H211,monsters[怪物id],monsters[HP],-1)</f>
        <v>2.2000000000000002</v>
      </c>
    </row>
    <row r="212" spans="1:41" x14ac:dyDescent="0.2">
      <c r="A212" s="9">
        <v>420104</v>
      </c>
      <c r="B212" s="9" t="str" cm="1">
        <f t="array" ref="B212">D212&amp;_xlfn.TEXTJOIN("",1,TEXT(E212:G212,"00"))</f>
        <v>1010002</v>
      </c>
      <c r="C212" s="30" t="str">
        <f t="shared" si="97"/>
        <v>420104,1010002</v>
      </c>
      <c r="D212" s="26">
        <v>1</v>
      </c>
      <c r="E212" s="26">
        <v>1</v>
      </c>
      <c r="F212" s="26">
        <f>W212</f>
        <v>0</v>
      </c>
      <c r="G212" s="26">
        <v>2</v>
      </c>
      <c r="H212" s="9">
        <v>201103</v>
      </c>
      <c r="I212" s="15" t="str">
        <f>IFERROR(VLOOKUP(H212,monsters[#All],4,0),"")</f>
        <v>跳虫</v>
      </c>
      <c r="J212" s="15" t="str" cm="1">
        <f t="array" ref="J212">_xlfn.LET(_xlpm.v6p,ABS(ATAN2(O212,P212))*6/PI(),
_xlpm.output,_xlfn.IFS(_xlpm.v6p&lt;1,"正前",_xlpm.v6p&gt;5,"正后",AND(_xlpm.v6p&lt;5,_xlpm.v6p&gt;2,P212&lt;-1),"脚底",_xlpm.v6p&gt;4,"后上",_xlpm.v6p&lt;2,"前上",TRUE,"顶部"),
IFERROR(_xlpm.output,""))</f>
        <v>顶部</v>
      </c>
      <c r="K212" s="12"/>
      <c r="L212" s="12" t="s">
        <v>63</v>
      </c>
      <c r="M212" s="12" t="s">
        <v>63</v>
      </c>
      <c r="N212" s="19" t="str">
        <f>O212+0&amp;","&amp;P212+0</f>
        <v>8,14</v>
      </c>
      <c r="O212" s="24">
        <v>8</v>
      </c>
      <c r="P212" s="24">
        <v>14</v>
      </c>
      <c r="Q212" s="19">
        <f t="shared" si="98"/>
        <v>1</v>
      </c>
      <c r="R212" s="42"/>
      <c r="S212" s="9">
        <v>2</v>
      </c>
      <c r="T212" s="19" t="str">
        <f>IF(U212&lt;&gt;"", U212+0&amp;","&amp;V212+0,"")</f>
        <v>2,3</v>
      </c>
      <c r="U212" s="24">
        <v>2</v>
      </c>
      <c r="V212" s="24">
        <v>3</v>
      </c>
      <c r="W212" s="9">
        <v>0</v>
      </c>
      <c r="X212" s="9">
        <v>11</v>
      </c>
      <c r="Y212" s="19" t="str">
        <f>IF($A212&lt;&gt;"",IF($Z212&lt;&gt;"",$Z212,"0,0"),"")</f>
        <v>-105,-100</v>
      </c>
      <c r="Z212" s="42" t="s">
        <v>133</v>
      </c>
      <c r="AA212" s="19" t="str">
        <f>IF($A212&lt;&gt;"",IF($AB212&lt;&gt;"",$AB212,"80,120"),"")</f>
        <v>80,120</v>
      </c>
      <c r="AC212" s="9">
        <v>1.5</v>
      </c>
      <c r="AD212" s="9">
        <v>0.1</v>
      </c>
      <c r="AE212" s="9">
        <v>0.3</v>
      </c>
      <c r="AF212" s="9">
        <v>3</v>
      </c>
      <c r="AG212" s="9">
        <v>100</v>
      </c>
      <c r="AI212" s="69" cm="1">
        <f t="array" ref="AI212">tuple_avg(T212)/tuple_avg(AA212)</f>
        <v>2.5000000000000001E-2</v>
      </c>
      <c r="AJ212" s="69">
        <f>AC212*AI212*'-配置辅助'!$I$8</f>
        <v>3.7500000000000004</v>
      </c>
      <c r="AK212" s="69">
        <f>AD212*AI212*'-配置辅助'!$I$10</f>
        <v>4.1666666666666678E-2</v>
      </c>
      <c r="AL212" s="69">
        <f>AJ212*_xlfn.XLOOKUP(H212,monsters[怪物id],monsters[HP],-1)</f>
        <v>165.00000000000003</v>
      </c>
      <c r="AM212" s="69">
        <f>AK212*_xlfn.XLOOKUP(H212,monsters[怪物id],monsters[HP],-1)</f>
        <v>1.8333333333333339</v>
      </c>
    </row>
    <row r="213" spans="1:41" x14ac:dyDescent="0.2">
      <c r="J213" s="15" t="str" cm="1">
        <f t="array" ref="J213">_xlfn.LET(_xlpm.v6p,ABS(ATAN2(O213,P213))*6/PI(),
_xlpm.output,_xlfn.IFS(_xlpm.v6p&lt;1,"正前",_xlpm.v6p&gt;5,"正后",AND(_xlpm.v6p&lt;5,_xlpm.v6p&gt;2,P213&lt;-1),"脚底",_xlpm.v6p&gt;4,"后上",_xlpm.v6p&lt;2,"前上",TRUE,"顶部"),
IFERROR(_xlpm.output,""))</f>
        <v/>
      </c>
      <c r="Q213" s="19" t="str">
        <f t="shared" si="98"/>
        <v/>
      </c>
    </row>
    <row r="214" spans="1:41" x14ac:dyDescent="0.2">
      <c r="A214" s="9">
        <v>420104</v>
      </c>
      <c r="B214" s="9" t="str" cm="1">
        <f t="array" ref="B214">D214&amp;_xlfn.TEXTJOIN("",1,TEXT(E214:G214,"00"))</f>
        <v>1020000</v>
      </c>
      <c r="C214" s="30" t="str">
        <f t="shared" ref="C214:C216" si="99">_xlfn.TEXTJOIN(",",1,A214:B214)</f>
        <v>420104,1020000</v>
      </c>
      <c r="D214" s="26">
        <v>1</v>
      </c>
      <c r="E214" s="26">
        <v>2</v>
      </c>
      <c r="F214" s="26">
        <f>W214</f>
        <v>0</v>
      </c>
      <c r="G214" s="26">
        <v>0</v>
      </c>
      <c r="H214" s="9">
        <v>201103</v>
      </c>
      <c r="I214" s="15" t="str">
        <f>IFERROR(VLOOKUP(H214,monsters[#All],4,0),"")</f>
        <v>跳虫</v>
      </c>
      <c r="J214" s="15" t="str" cm="1">
        <f t="array" ref="J214">_xlfn.LET(_xlpm.v6p,ABS(ATAN2(O214,P214))*6/PI(),
_xlpm.output,_xlfn.IFS(_xlpm.v6p&lt;1,"正前",_xlpm.v6p&gt;5,"正后",AND(_xlpm.v6p&lt;5,_xlpm.v6p&gt;2,P214&lt;-1),"脚底",_xlpm.v6p&gt;4,"后上",_xlpm.v6p&lt;2,"前上",TRUE,"顶部"),
IFERROR(_xlpm.output,""))</f>
        <v>顶部</v>
      </c>
      <c r="K214" s="12"/>
      <c r="L214" s="12" t="s">
        <v>63</v>
      </c>
      <c r="M214" s="12" t="s">
        <v>63</v>
      </c>
      <c r="N214" s="19" t="str">
        <f>O214+0&amp;","&amp;P214+0</f>
        <v>0,14</v>
      </c>
      <c r="O214" s="24">
        <v>0</v>
      </c>
      <c r="P214" s="24">
        <v>14</v>
      </c>
      <c r="Q214" s="19">
        <f t="shared" si="98"/>
        <v>1</v>
      </c>
      <c r="S214" s="9">
        <v>1</v>
      </c>
      <c r="T214" s="19" t="str">
        <f>IF(U214&lt;&gt;"", U214+0&amp;","&amp;V214+0,"")</f>
        <v>1,1</v>
      </c>
      <c r="U214" s="24">
        <v>1</v>
      </c>
      <c r="V214" s="24">
        <v>1</v>
      </c>
      <c r="W214" s="9">
        <v>0</v>
      </c>
      <c r="X214" s="9">
        <v>11</v>
      </c>
      <c r="Y214" s="19" t="str">
        <f>IF($A214&lt;&gt;"",IF($Z214&lt;&gt;"",$Z214,"0,0"),"")</f>
        <v>70,75</v>
      </c>
      <c r="Z214" s="24" t="s">
        <v>132</v>
      </c>
      <c r="AA214" s="19" t="str">
        <f>IF($A214&lt;&gt;"",IF($AB214&lt;&gt;"",$AB214,"80,120"),"")</f>
        <v>80,120</v>
      </c>
      <c r="AC214" s="9">
        <v>2.1</v>
      </c>
      <c r="AD214" s="9">
        <v>0.3</v>
      </c>
      <c r="AE214" s="9">
        <v>0.3</v>
      </c>
      <c r="AF214" s="9">
        <v>3</v>
      </c>
      <c r="AG214" s="9">
        <v>100</v>
      </c>
      <c r="AI214" s="69" cm="1">
        <f t="array" ref="AI214">tuple_avg(T214)/tuple_avg(AA214)</f>
        <v>0.01</v>
      </c>
      <c r="AJ214" s="69">
        <f>AC214*AI214*'-配置辅助'!$I$8</f>
        <v>2.1</v>
      </c>
      <c r="AK214" s="69">
        <f>AD214*AI214*'-配置辅助'!$I$10</f>
        <v>0.05</v>
      </c>
      <c r="AL214" s="69">
        <f>AJ214*_xlfn.XLOOKUP(H214,monsters[怪物id],monsters[HP],-1)</f>
        <v>92.4</v>
      </c>
      <c r="AM214" s="69">
        <f>AK214*_xlfn.XLOOKUP(H214,monsters[怪物id],monsters[HP],-1)</f>
        <v>2.2000000000000002</v>
      </c>
    </row>
    <row r="215" spans="1:41" x14ac:dyDescent="0.2">
      <c r="A215" s="9">
        <v>420104</v>
      </c>
      <c r="B215" s="9" t="str" cm="1">
        <f t="array" ref="B215">D215&amp;_xlfn.TEXTJOIN("",1,TEXT(E215:G215,"00"))</f>
        <v>1020001</v>
      </c>
      <c r="C215" s="30" t="str">
        <f t="shared" si="99"/>
        <v>420104,1020001</v>
      </c>
      <c r="D215" s="26">
        <v>1</v>
      </c>
      <c r="E215" s="26">
        <v>2</v>
      </c>
      <c r="F215" s="26">
        <f>W215</f>
        <v>0</v>
      </c>
      <c r="G215" s="26">
        <v>1</v>
      </c>
      <c r="H215" s="9">
        <v>201103</v>
      </c>
      <c r="I215" s="15" t="str">
        <f>IFERROR(VLOOKUP(H215,monsters[#All],4,0),"")</f>
        <v>跳虫</v>
      </c>
      <c r="J215" s="15" t="str" cm="1">
        <f t="array" ref="J215">_xlfn.LET(_xlpm.v6p,ABS(ATAN2(O215,P215))*6/PI(),
_xlpm.output,_xlfn.IFS(_xlpm.v6p&lt;1,"正前",_xlpm.v6p&gt;5,"正后",AND(_xlpm.v6p&lt;5,_xlpm.v6p&gt;2,P215&lt;-1),"脚底",_xlpm.v6p&gt;4,"后上",_xlpm.v6p&lt;2,"前上",TRUE,"顶部"),
IFERROR(_xlpm.output,""))</f>
        <v>顶部</v>
      </c>
      <c r="K215" s="12"/>
      <c r="L215" s="12" t="s">
        <v>63</v>
      </c>
      <c r="M215" s="12" t="s">
        <v>63</v>
      </c>
      <c r="N215" s="19" t="str">
        <f>O215+0&amp;","&amp;P215+0</f>
        <v>0,14</v>
      </c>
      <c r="O215" s="24">
        <v>0</v>
      </c>
      <c r="P215" s="24">
        <v>14</v>
      </c>
      <c r="Q215" s="19">
        <f t="shared" si="98"/>
        <v>1</v>
      </c>
      <c r="S215" s="9">
        <v>2</v>
      </c>
      <c r="T215" s="19" t="str">
        <f>IF(U215&lt;&gt;"", U215+0&amp;","&amp;V215+0,"")</f>
        <v>1,2</v>
      </c>
      <c r="U215" s="24">
        <v>1</v>
      </c>
      <c r="V215" s="24">
        <v>2</v>
      </c>
      <c r="W215" s="9">
        <v>0</v>
      </c>
      <c r="X215" s="9">
        <v>11</v>
      </c>
      <c r="Y215" s="19" t="str">
        <f>IF($A215&lt;&gt;"",IF($Z215&lt;&gt;"",$Z215,"0,0"),"")</f>
        <v>0,0</v>
      </c>
      <c r="AA215" s="19" t="str">
        <f>IF($A215&lt;&gt;"",IF($AB215&lt;&gt;"",$AB215,"80,120"),"")</f>
        <v>80,120</v>
      </c>
      <c r="AC215" s="9">
        <v>1.8</v>
      </c>
      <c r="AD215" s="9">
        <v>0.2</v>
      </c>
      <c r="AE215" s="9">
        <v>0.3</v>
      </c>
      <c r="AF215" s="9">
        <v>3</v>
      </c>
      <c r="AG215" s="9">
        <v>100</v>
      </c>
      <c r="AI215" s="69" cm="1">
        <f t="array" ref="AI215">tuple_avg(T215)/tuple_avg(AA215)</f>
        <v>1.4999999999999999E-2</v>
      </c>
      <c r="AJ215" s="69">
        <f>AC215*AI215*'-配置辅助'!$I$8</f>
        <v>2.7</v>
      </c>
      <c r="AK215" s="69">
        <f>AD215*AI215*'-配置辅助'!$I$10</f>
        <v>0.05</v>
      </c>
      <c r="AL215" s="69">
        <f>AJ215*_xlfn.XLOOKUP(H215,monsters[怪物id],monsters[HP],-1)</f>
        <v>118.80000000000001</v>
      </c>
      <c r="AM215" s="69">
        <f>AK215*_xlfn.XLOOKUP(H215,monsters[怪物id],monsters[HP],-1)</f>
        <v>2.2000000000000002</v>
      </c>
    </row>
    <row r="216" spans="1:41" x14ac:dyDescent="0.2">
      <c r="A216" s="9">
        <v>420104</v>
      </c>
      <c r="B216" s="9" t="str" cm="1">
        <f t="array" ref="B216">D216&amp;_xlfn.TEXTJOIN("",1,TEXT(E216:G216,"00"))</f>
        <v>1020002</v>
      </c>
      <c r="C216" s="30" t="str">
        <f t="shared" si="99"/>
        <v>420104,1020002</v>
      </c>
      <c r="D216" s="26">
        <v>1</v>
      </c>
      <c r="E216" s="26">
        <v>2</v>
      </c>
      <c r="F216" s="26">
        <f>W216</f>
        <v>0</v>
      </c>
      <c r="G216" s="26">
        <v>2</v>
      </c>
      <c r="H216" s="9">
        <v>201103</v>
      </c>
      <c r="I216" s="15" t="str">
        <f>IFERROR(VLOOKUP(H216,monsters[#All],4,0),"")</f>
        <v>跳虫</v>
      </c>
      <c r="J216" s="15" t="str" cm="1">
        <f t="array" ref="J216">_xlfn.LET(_xlpm.v6p,ABS(ATAN2(O216,P216))*6/PI(),
_xlpm.output,_xlfn.IFS(_xlpm.v6p&lt;1,"正前",_xlpm.v6p&gt;5,"正后",AND(_xlpm.v6p&lt;5,_xlpm.v6p&gt;2,P216&lt;-1),"脚底",_xlpm.v6p&gt;4,"后上",_xlpm.v6p&lt;2,"前上",TRUE,"顶部"),
IFERROR(_xlpm.output,""))</f>
        <v>顶部</v>
      </c>
      <c r="K216" s="12"/>
      <c r="L216" s="12" t="s">
        <v>63</v>
      </c>
      <c r="M216" s="12" t="s">
        <v>63</v>
      </c>
      <c r="N216" s="19" t="str">
        <f>O216+0&amp;","&amp;P216+0</f>
        <v>0,14</v>
      </c>
      <c r="O216" s="24">
        <v>0</v>
      </c>
      <c r="P216" s="24">
        <v>14</v>
      </c>
      <c r="Q216" s="19">
        <f t="shared" si="98"/>
        <v>1</v>
      </c>
      <c r="R216" s="42"/>
      <c r="S216" s="9">
        <v>2</v>
      </c>
      <c r="T216" s="19" t="str">
        <f>IF(U216&lt;&gt;"", U216+0&amp;","&amp;V216+0,"")</f>
        <v>2,3</v>
      </c>
      <c r="U216" s="24">
        <v>2</v>
      </c>
      <c r="V216" s="24">
        <v>3</v>
      </c>
      <c r="W216" s="9">
        <v>0</v>
      </c>
      <c r="X216" s="9">
        <v>11</v>
      </c>
      <c r="Y216" s="19" t="str">
        <f>IF($A216&lt;&gt;"",IF($Z216&lt;&gt;"",$Z216,"0,0"),"")</f>
        <v>-105,-100</v>
      </c>
      <c r="Z216" s="42" t="s">
        <v>133</v>
      </c>
      <c r="AA216" s="19" t="str">
        <f>IF($A216&lt;&gt;"",IF($AB216&lt;&gt;"",$AB216,"80,120"),"")</f>
        <v>80,120</v>
      </c>
      <c r="AC216" s="9">
        <v>1.5</v>
      </c>
      <c r="AD216" s="9">
        <v>0.1</v>
      </c>
      <c r="AE216" s="9">
        <v>0.3</v>
      </c>
      <c r="AF216" s="9">
        <v>3</v>
      </c>
      <c r="AG216" s="9">
        <v>100</v>
      </c>
      <c r="AI216" s="69" cm="1">
        <f t="array" ref="AI216">tuple_avg(T216)/tuple_avg(AA216)</f>
        <v>2.5000000000000001E-2</v>
      </c>
      <c r="AJ216" s="69">
        <f>AC216*AI216*'-配置辅助'!$I$8</f>
        <v>3.7500000000000004</v>
      </c>
      <c r="AK216" s="69">
        <f>AD216*AI216*'-配置辅助'!$I$10</f>
        <v>4.1666666666666678E-2</v>
      </c>
      <c r="AL216" s="69">
        <f>AJ216*_xlfn.XLOOKUP(H216,monsters[怪物id],monsters[HP],-1)</f>
        <v>165.00000000000003</v>
      </c>
      <c r="AM216" s="69">
        <f>AK216*_xlfn.XLOOKUP(H216,monsters[怪物id],monsters[HP],-1)</f>
        <v>1.8333333333333339</v>
      </c>
    </row>
    <row r="217" spans="1:41" x14ac:dyDescent="0.2">
      <c r="J217" s="15" t="str" cm="1">
        <f t="array" ref="J217">_xlfn.LET(_xlpm.v6p,ABS(ATAN2(O217,P217))*6/PI(),
_xlpm.output,_xlfn.IFS(_xlpm.v6p&lt;1,"正前",_xlpm.v6p&gt;5,"正后",AND(_xlpm.v6p&lt;5,_xlpm.v6p&gt;2,P217&lt;-1),"脚底",_xlpm.v6p&gt;4,"后上",_xlpm.v6p&lt;2,"前上",TRUE,"顶部"),
IFERROR(_xlpm.output,""))</f>
        <v/>
      </c>
    </row>
    <row r="218" spans="1:41" x14ac:dyDescent="0.2">
      <c r="A218" s="9">
        <v>420104</v>
      </c>
      <c r="B218" s="9" t="str" cm="1">
        <f t="array" ref="B218">D218&amp;_xlfn.TEXTJOIN("",1,TEXT(E218:G218,"00"))</f>
        <v>1030000</v>
      </c>
      <c r="C218" s="30" t="str">
        <f t="shared" ref="C218:C220" si="100">_xlfn.TEXTJOIN(",",1,A218:B218)</f>
        <v>420104,1030000</v>
      </c>
      <c r="D218" s="26">
        <v>1</v>
      </c>
      <c r="E218" s="26">
        <v>3</v>
      </c>
      <c r="F218" s="26">
        <f>W218</f>
        <v>0</v>
      </c>
      <c r="G218" s="26">
        <v>0</v>
      </c>
      <c r="H218" s="9">
        <v>201103</v>
      </c>
      <c r="I218" s="15" t="str">
        <f>IFERROR(VLOOKUP(H218,monsters[#All],4,0),"")</f>
        <v>跳虫</v>
      </c>
      <c r="J218" s="15" t="str" cm="1">
        <f t="array" ref="J218">_xlfn.LET(_xlpm.v6p,ABS(ATAN2(O218,P218))*6/PI(),
_xlpm.output,_xlfn.IFS(_xlpm.v6p&lt;1,"正前",_xlpm.v6p&gt;5,"正后",AND(_xlpm.v6p&lt;5,_xlpm.v6p&gt;2,P218&lt;-1),"脚底",_xlpm.v6p&gt;4,"后上",_xlpm.v6p&lt;2,"前上",TRUE,"顶部"),
IFERROR(_xlpm.output,""))</f>
        <v>正前</v>
      </c>
      <c r="K218" s="12"/>
      <c r="L218" s="12" t="s">
        <v>63</v>
      </c>
      <c r="M218" s="12" t="s">
        <v>63</v>
      </c>
      <c r="N218" s="19" t="str">
        <f>O218+0&amp;","&amp;P218+0</f>
        <v>14,1</v>
      </c>
      <c r="O218" s="24">
        <v>14</v>
      </c>
      <c r="P218" s="24">
        <v>1</v>
      </c>
      <c r="Q218" s="19">
        <f t="shared" ref="Q218:Q220" si="101">_xlfn.LET(_xlpm._default,1,
_xlpm._custom,R218,
IF($A218&lt;&gt;"",IF(_xlpm._custom&lt;&gt;"",_xlpm._custom,_xlpm._default),""))</f>
        <v>1</v>
      </c>
      <c r="S218" s="9">
        <v>1</v>
      </c>
      <c r="T218" s="19" t="str">
        <f>IF(U218&lt;&gt;"", U218+0&amp;","&amp;V218+0,"")</f>
        <v>1,1</v>
      </c>
      <c r="U218" s="24">
        <v>1</v>
      </c>
      <c r="V218" s="24">
        <v>1</v>
      </c>
      <c r="W218" s="9">
        <v>0</v>
      </c>
      <c r="X218" s="9">
        <v>11</v>
      </c>
      <c r="Y218" s="19" t="str">
        <f>IF($A218&lt;&gt;"",IF($Z218&lt;&gt;"",$Z218,"0,0"),"")</f>
        <v>70,75</v>
      </c>
      <c r="Z218" s="24" t="s">
        <v>132</v>
      </c>
      <c r="AA218" s="19" t="str">
        <f>IF($A218&lt;&gt;"",IF($AB218&lt;&gt;"",$AB218,"80,120"),"")</f>
        <v>80,120</v>
      </c>
      <c r="AC218" s="9">
        <v>0.8</v>
      </c>
      <c r="AD218" s="9">
        <v>2</v>
      </c>
      <c r="AE218" s="9">
        <v>0.3</v>
      </c>
      <c r="AF218" s="9">
        <v>3</v>
      </c>
      <c r="AG218" s="9">
        <v>100</v>
      </c>
      <c r="AI218" s="69" cm="1">
        <f t="array" ref="AI218">tuple_avg(T218)/tuple_avg(AA218)</f>
        <v>0.01</v>
      </c>
      <c r="AJ218" s="69">
        <f>AC218*AI218*'-配置辅助'!$I$8</f>
        <v>0.8</v>
      </c>
      <c r="AK218" s="69">
        <f>AD218*AI218*'-配置辅助'!$I$10</f>
        <v>0.33333333333333337</v>
      </c>
      <c r="AL218" s="69">
        <f>AJ218*_xlfn.XLOOKUP(H218,monsters[怪物id],monsters[HP],-1)</f>
        <v>35.200000000000003</v>
      </c>
      <c r="AM218" s="69">
        <f>AK218*_xlfn.XLOOKUP(H218,monsters[怪物id],monsters[HP],-1)</f>
        <v>14.666666666666668</v>
      </c>
    </row>
    <row r="219" spans="1:41" x14ac:dyDescent="0.2">
      <c r="A219" s="9">
        <v>420104</v>
      </c>
      <c r="B219" s="9" t="str" cm="1">
        <f t="array" ref="B219">D219&amp;_xlfn.TEXTJOIN("",1,TEXT(E219:G219,"00"))</f>
        <v>1030001</v>
      </c>
      <c r="C219" s="30" t="str">
        <f t="shared" si="100"/>
        <v>420104,1030001</v>
      </c>
      <c r="D219" s="26">
        <v>1</v>
      </c>
      <c r="E219" s="26">
        <v>3</v>
      </c>
      <c r="F219" s="26">
        <f>W219</f>
        <v>0</v>
      </c>
      <c r="G219" s="26">
        <v>1</v>
      </c>
      <c r="H219" s="9">
        <v>201103</v>
      </c>
      <c r="I219" s="15" t="str">
        <f>IFERROR(VLOOKUP(H219,monsters[#All],4,0),"")</f>
        <v>跳虫</v>
      </c>
      <c r="J219" s="15" t="str" cm="1">
        <f t="array" ref="J219">_xlfn.LET(_xlpm.v6p,ABS(ATAN2(O219,P219))*6/PI(),
_xlpm.output,_xlfn.IFS(_xlpm.v6p&lt;1,"正前",_xlpm.v6p&gt;5,"正后",AND(_xlpm.v6p&lt;5,_xlpm.v6p&gt;2,P219&lt;-1),"脚底",_xlpm.v6p&gt;4,"后上",_xlpm.v6p&lt;2,"前上",TRUE,"顶部"),
IFERROR(_xlpm.output,""))</f>
        <v>正前</v>
      </c>
      <c r="K219" s="12"/>
      <c r="L219" s="12" t="s">
        <v>63</v>
      </c>
      <c r="M219" s="12" t="s">
        <v>63</v>
      </c>
      <c r="N219" s="19" t="str">
        <f>O219+0&amp;","&amp;P219+0</f>
        <v>14,1</v>
      </c>
      <c r="O219" s="24">
        <v>14</v>
      </c>
      <c r="P219" s="24">
        <v>1</v>
      </c>
      <c r="Q219" s="19">
        <f t="shared" si="101"/>
        <v>1</v>
      </c>
      <c r="S219" s="9">
        <v>2</v>
      </c>
      <c r="T219" s="19" t="str">
        <f>IF(U219&lt;&gt;"", U219+0&amp;","&amp;V219+0,"")</f>
        <v>1,2</v>
      </c>
      <c r="U219" s="24">
        <v>1</v>
      </c>
      <c r="V219" s="24">
        <v>2</v>
      </c>
      <c r="W219" s="9">
        <v>0</v>
      </c>
      <c r="X219" s="9">
        <v>11</v>
      </c>
      <c r="Y219" s="19" t="str">
        <f>IF($A219&lt;&gt;"",IF($Z219&lt;&gt;"",$Z219,"0,0"),"")</f>
        <v>0,0</v>
      </c>
      <c r="AA219" s="19" t="str">
        <f>IF($A219&lt;&gt;"",IF($AB219&lt;&gt;"",$AB219,"80,120"),"")</f>
        <v>80,120</v>
      </c>
      <c r="AC219" s="9">
        <v>0.7</v>
      </c>
      <c r="AD219" s="9">
        <v>1.8</v>
      </c>
      <c r="AE219" s="9">
        <v>0.3</v>
      </c>
      <c r="AF219" s="9">
        <v>3</v>
      </c>
      <c r="AG219" s="9">
        <v>100</v>
      </c>
      <c r="AI219" s="69" cm="1">
        <f t="array" ref="AI219">tuple_avg(T219)/tuple_avg(AA219)</f>
        <v>1.4999999999999999E-2</v>
      </c>
      <c r="AJ219" s="69">
        <f>AC219*AI219*'-配置辅助'!$I$8</f>
        <v>1.0499999999999998</v>
      </c>
      <c r="AK219" s="69">
        <f>AD219*AI219*'-配置辅助'!$I$10</f>
        <v>0.45</v>
      </c>
      <c r="AL219" s="69">
        <f>AJ219*_xlfn.XLOOKUP(H219,monsters[怪物id],monsters[HP],-1)</f>
        <v>46.199999999999989</v>
      </c>
      <c r="AM219" s="69">
        <f>AK219*_xlfn.XLOOKUP(H219,monsters[怪物id],monsters[HP],-1)</f>
        <v>19.8</v>
      </c>
    </row>
    <row r="220" spans="1:41" x14ac:dyDescent="0.2">
      <c r="A220" s="9">
        <v>420104</v>
      </c>
      <c r="B220" s="9" t="str" cm="1">
        <f t="array" ref="B220">D220&amp;_xlfn.TEXTJOIN("",1,TEXT(E220:G220,"00"))</f>
        <v>1030002</v>
      </c>
      <c r="C220" s="30" t="str">
        <f t="shared" si="100"/>
        <v>420104,1030002</v>
      </c>
      <c r="D220" s="26">
        <v>1</v>
      </c>
      <c r="E220" s="26">
        <v>3</v>
      </c>
      <c r="F220" s="26">
        <f>W220</f>
        <v>0</v>
      </c>
      <c r="G220" s="26">
        <v>2</v>
      </c>
      <c r="H220" s="9">
        <v>201103</v>
      </c>
      <c r="I220" s="15" t="str">
        <f>IFERROR(VLOOKUP(H220,monsters[#All],4,0),"")</f>
        <v>跳虫</v>
      </c>
      <c r="J220" s="15" t="str" cm="1">
        <f t="array" ref="J220">_xlfn.LET(_xlpm.v6p,ABS(ATAN2(O220,P220))*6/PI(),
_xlpm.output,_xlfn.IFS(_xlpm.v6p&lt;1,"正前",_xlpm.v6p&gt;5,"正后",AND(_xlpm.v6p&lt;5,_xlpm.v6p&gt;2,P220&lt;-1),"脚底",_xlpm.v6p&gt;4,"后上",_xlpm.v6p&lt;2,"前上",TRUE,"顶部"),
IFERROR(_xlpm.output,""))</f>
        <v>正前</v>
      </c>
      <c r="K220" s="12"/>
      <c r="L220" s="12" t="s">
        <v>63</v>
      </c>
      <c r="M220" s="12" t="s">
        <v>63</v>
      </c>
      <c r="N220" s="19" t="str">
        <f>O220+0&amp;","&amp;P220+0</f>
        <v>14,1</v>
      </c>
      <c r="O220" s="24">
        <v>14</v>
      </c>
      <c r="P220" s="24">
        <v>1</v>
      </c>
      <c r="Q220" s="19">
        <f t="shared" si="101"/>
        <v>1</v>
      </c>
      <c r="R220" s="42"/>
      <c r="S220" s="9">
        <v>2</v>
      </c>
      <c r="T220" s="19" t="str">
        <f>IF(U220&lt;&gt;"", U220+0&amp;","&amp;V220+0,"")</f>
        <v>2,3</v>
      </c>
      <c r="U220" s="24">
        <v>2</v>
      </c>
      <c r="V220" s="24">
        <v>3</v>
      </c>
      <c r="W220" s="9">
        <v>0</v>
      </c>
      <c r="X220" s="9">
        <v>11</v>
      </c>
      <c r="Y220" s="19" t="str">
        <f>IF($A220&lt;&gt;"",IF($Z220&lt;&gt;"",$Z220,"0,0"),"")</f>
        <v>-105,-100</v>
      </c>
      <c r="Z220" s="42" t="s">
        <v>133</v>
      </c>
      <c r="AA220" s="19" t="str">
        <f>IF($A220&lt;&gt;"",IF($AB220&lt;&gt;"",$AB220,"80,120"),"")</f>
        <v>80,120</v>
      </c>
      <c r="AC220" s="9">
        <v>0.6</v>
      </c>
      <c r="AD220" s="9">
        <v>1.6</v>
      </c>
      <c r="AE220" s="9">
        <v>0.3</v>
      </c>
      <c r="AF220" s="9">
        <v>3</v>
      </c>
      <c r="AG220" s="9">
        <v>100</v>
      </c>
      <c r="AI220" s="69" cm="1">
        <f t="array" ref="AI220">tuple_avg(T220)/tuple_avg(AA220)</f>
        <v>2.5000000000000001E-2</v>
      </c>
      <c r="AJ220" s="69">
        <f>AC220*AI220*'-配置辅助'!$I$8</f>
        <v>1.5</v>
      </c>
      <c r="AK220" s="69">
        <f>AD220*AI220*'-配置辅助'!$I$10</f>
        <v>0.66666666666666685</v>
      </c>
      <c r="AL220" s="69">
        <f>AJ220*_xlfn.XLOOKUP(H220,monsters[怪物id],monsters[HP],-1)</f>
        <v>66</v>
      </c>
      <c r="AM220" s="69">
        <f>AK220*_xlfn.XLOOKUP(H220,monsters[怪物id],monsters[HP],-1)</f>
        <v>29.333333333333343</v>
      </c>
    </row>
    <row r="223" spans="1:41" s="61" customFormat="1" x14ac:dyDescent="0.2">
      <c r="B223" s="62"/>
      <c r="C223" s="63" t="str">
        <f>_xlfn.TEXTJOIN(",",1,A223:B223)</f>
        <v/>
      </c>
      <c r="D223" s="64"/>
      <c r="E223" s="64"/>
      <c r="F223" s="64"/>
      <c r="G223" s="64"/>
      <c r="H223" s="62" t="s">
        <v>246</v>
      </c>
      <c r="I223" s="65"/>
      <c r="J223" s="65"/>
      <c r="O223" s="66"/>
      <c r="P223" s="66"/>
      <c r="R223" s="66"/>
      <c r="S223" s="61" t="s">
        <v>62</v>
      </c>
      <c r="U223" s="66"/>
      <c r="V223" s="66"/>
      <c r="Z223" s="66"/>
      <c r="AB223" s="66"/>
      <c r="AC223" s="61" t="s">
        <v>62</v>
      </c>
      <c r="AI223" s="72"/>
      <c r="AJ223" s="72"/>
      <c r="AK223" s="72"/>
      <c r="AL223" s="72">
        <f>SUM(AL225:AL231)</f>
        <v>224.95000000000002</v>
      </c>
      <c r="AM223" s="72">
        <f>SUM(AM225:AM231)</f>
        <v>48.583333333333343</v>
      </c>
      <c r="AN223" s="72"/>
      <c r="AO223" s="72"/>
    </row>
    <row r="224" spans="1:41" x14ac:dyDescent="0.2">
      <c r="C224" s="30" t="str">
        <f t="shared" ref="C224" si="102">_xlfn.TEXTJOIN(",",1,A224:B224)</f>
        <v/>
      </c>
      <c r="S224" s="9" t="s">
        <v>62</v>
      </c>
      <c r="AC224" s="9" t="s">
        <v>62</v>
      </c>
    </row>
    <row r="225" spans="1:41" x14ac:dyDescent="0.2">
      <c r="A225" s="9">
        <v>420105</v>
      </c>
      <c r="B225" s="9" t="str" cm="1">
        <f t="array" ref="B225">D225&amp;_xlfn.TEXTJOIN("",1,TEXT(E225:G225,"00"))</f>
        <v>1010000</v>
      </c>
      <c r="C225" s="30" t="str">
        <f t="shared" ref="C225:C227" si="103">_xlfn.TEXTJOIN(",",1,A225:B225)</f>
        <v>420105,1010000</v>
      </c>
      <c r="D225" s="26">
        <v>1</v>
      </c>
      <c r="E225" s="26">
        <v>1</v>
      </c>
      <c r="F225" s="26">
        <f>W225</f>
        <v>0</v>
      </c>
      <c r="G225" s="26">
        <v>0</v>
      </c>
      <c r="H225" s="9">
        <v>201105</v>
      </c>
      <c r="I225" s="15" t="str">
        <f>IFERROR(VLOOKUP(H225,monsters[#All],4,0),"")</f>
        <v>跳虫骑手</v>
      </c>
      <c r="J225" s="15" t="str" cm="1">
        <f t="array" ref="J225">_xlfn.LET(_xlpm.v6p,ABS(ATAN2(O225,P225))*6/PI(),
_xlpm.output,_xlfn.IFS(_xlpm.v6p&lt;1,"正前",_xlpm.v6p&gt;5,"正后",AND(_xlpm.v6p&lt;5,_xlpm.v6p&gt;2,P225&lt;-1),"脚底",_xlpm.v6p&gt;4,"后上",_xlpm.v6p&lt;2,"前上",TRUE,"顶部"),
IFERROR(_xlpm.output,""))</f>
        <v>正后</v>
      </c>
      <c r="K225" s="12"/>
      <c r="L225" s="12" t="s">
        <v>63</v>
      </c>
      <c r="M225" s="12" t="s">
        <v>63</v>
      </c>
      <c r="N225" s="19" t="str">
        <f>O225+0&amp;","&amp;P225+0</f>
        <v>-14,-1</v>
      </c>
      <c r="O225" s="24">
        <v>-14</v>
      </c>
      <c r="P225" s="24">
        <v>-1</v>
      </c>
      <c r="Q225" s="19">
        <f t="shared" ref="Q225:Q227" si="104">_xlfn.LET(_xlpm._default,1,
_xlpm._custom,R225,
IF($A225&lt;&gt;"",IF(_xlpm._custom&lt;&gt;"",_xlpm._custom,_xlpm._default),""))</f>
        <v>1</v>
      </c>
      <c r="S225" s="9">
        <v>4</v>
      </c>
      <c r="T225" s="19" t="str">
        <f>IF(U225&lt;&gt;"", U225+0&amp;","&amp;V225+0,"")</f>
        <v>1,1</v>
      </c>
      <c r="U225" s="24">
        <v>1</v>
      </c>
      <c r="V225" s="24">
        <v>1</v>
      </c>
      <c r="W225" s="9">
        <v>0</v>
      </c>
      <c r="X225" s="9">
        <v>11</v>
      </c>
      <c r="Y225" s="19" t="str">
        <f>IF($A225&lt;&gt;"",IF($Z225&lt;&gt;"",$Z225,"0,0"),"")</f>
        <v>70,75</v>
      </c>
      <c r="Z225" s="24" t="s">
        <v>132</v>
      </c>
      <c r="AA225" s="19" t="str">
        <f>IF($A225&lt;&gt;"",IF($AB225&lt;&gt;"",$AB225,"80,120"),"")</f>
        <v>80,120</v>
      </c>
      <c r="AC225" s="9">
        <v>0.6</v>
      </c>
      <c r="AD225" s="9">
        <v>1.2</v>
      </c>
      <c r="AE225" s="9">
        <v>0.3</v>
      </c>
      <c r="AF225" s="9">
        <v>3</v>
      </c>
      <c r="AG225" s="9">
        <v>100</v>
      </c>
      <c r="AI225" s="69" cm="1">
        <f t="array" ref="AI225">tuple_avg(T225)/tuple_avg(AA225)</f>
        <v>0.01</v>
      </c>
      <c r="AJ225" s="69">
        <f>AC225*AI225*'-配置辅助'!$I$8</f>
        <v>0.6</v>
      </c>
      <c r="AK225" s="69">
        <f>AD225*AI225*'-配置辅助'!$I$10</f>
        <v>0.2</v>
      </c>
      <c r="AL225" s="69">
        <f>AJ225*_xlfn.XLOOKUP(H225,monsters[怪物id],monsters[HP],-1)</f>
        <v>33</v>
      </c>
      <c r="AM225" s="69">
        <f>AK225*_xlfn.XLOOKUP(H225,monsters[怪物id],monsters[HP],-1)</f>
        <v>11</v>
      </c>
    </row>
    <row r="226" spans="1:41" x14ac:dyDescent="0.2">
      <c r="A226" s="9">
        <v>420105</v>
      </c>
      <c r="B226" s="9" t="str" cm="1">
        <f t="array" ref="B226">D226&amp;_xlfn.TEXTJOIN("",1,TEXT(E226:G226,"00"))</f>
        <v>1010001</v>
      </c>
      <c r="C226" s="30" t="str">
        <f t="shared" si="103"/>
        <v>420105,1010001</v>
      </c>
      <c r="D226" s="26">
        <v>1</v>
      </c>
      <c r="E226" s="26">
        <v>1</v>
      </c>
      <c r="F226" s="26">
        <f>W226</f>
        <v>0</v>
      </c>
      <c r="G226" s="26">
        <v>1</v>
      </c>
      <c r="H226" s="9">
        <v>201105</v>
      </c>
      <c r="I226" s="15" t="str">
        <f>IFERROR(VLOOKUP(H226,monsters[#All],4,0),"")</f>
        <v>跳虫骑手</v>
      </c>
      <c r="J226" s="15" t="str" cm="1">
        <f t="array" ref="J226">_xlfn.LET(_xlpm.v6p,ABS(ATAN2(O226,P226))*6/PI(),
_xlpm.output,_xlfn.IFS(_xlpm.v6p&lt;1,"正前",_xlpm.v6p&gt;5,"正后",AND(_xlpm.v6p&lt;5,_xlpm.v6p&gt;2,P226&lt;-1),"脚底",_xlpm.v6p&gt;4,"后上",_xlpm.v6p&lt;2,"前上",TRUE,"顶部"),
IFERROR(_xlpm.output,""))</f>
        <v>正后</v>
      </c>
      <c r="K226" s="12"/>
      <c r="L226" s="12" t="s">
        <v>63</v>
      </c>
      <c r="M226" s="12" t="s">
        <v>63</v>
      </c>
      <c r="N226" s="19" t="str">
        <f>O226+0&amp;","&amp;P226+0</f>
        <v>-14,-1</v>
      </c>
      <c r="O226" s="24">
        <v>-14</v>
      </c>
      <c r="P226" s="24">
        <v>-1</v>
      </c>
      <c r="Q226" s="19">
        <f t="shared" si="104"/>
        <v>1</v>
      </c>
      <c r="S226" s="9">
        <v>5</v>
      </c>
      <c r="T226" s="19" t="str">
        <f>IF(U226&lt;&gt;"", U226+0&amp;","&amp;V226+0,"")</f>
        <v>1,2</v>
      </c>
      <c r="U226" s="24">
        <v>1</v>
      </c>
      <c r="V226" s="24">
        <v>2</v>
      </c>
      <c r="W226" s="9">
        <v>0</v>
      </c>
      <c r="X226" s="9">
        <v>11</v>
      </c>
      <c r="Y226" s="19" t="str">
        <f>IF($A226&lt;&gt;"",IF($Z226&lt;&gt;"",$Z226,"0,0"),"")</f>
        <v>0,0</v>
      </c>
      <c r="AA226" s="19" t="str">
        <f>IF($A226&lt;&gt;"",IF($AB226&lt;&gt;"",$AB226,"80,120"),"")</f>
        <v>80,120</v>
      </c>
      <c r="AC226" s="9">
        <v>0.6</v>
      </c>
      <c r="AD226" s="9">
        <v>1</v>
      </c>
      <c r="AE226" s="9">
        <v>0.3</v>
      </c>
      <c r="AF226" s="9">
        <v>3</v>
      </c>
      <c r="AG226" s="9">
        <v>100</v>
      </c>
      <c r="AI226" s="69" cm="1">
        <f t="array" ref="AI226">tuple_avg(T226)/tuple_avg(AA226)</f>
        <v>1.4999999999999999E-2</v>
      </c>
      <c r="AJ226" s="69">
        <f>AC226*AI226*'-配置辅助'!$I$8</f>
        <v>0.89999999999999991</v>
      </c>
      <c r="AK226" s="69">
        <f>AD226*AI226*'-配置辅助'!$I$10</f>
        <v>0.25</v>
      </c>
      <c r="AL226" s="69">
        <f>AJ226*_xlfn.XLOOKUP(H226,monsters[怪物id],monsters[HP],-1)</f>
        <v>49.499999999999993</v>
      </c>
      <c r="AM226" s="69">
        <f>AK226*_xlfn.XLOOKUP(H226,monsters[怪物id],monsters[HP],-1)</f>
        <v>13.75</v>
      </c>
    </row>
    <row r="227" spans="1:41" x14ac:dyDescent="0.2">
      <c r="A227" s="9">
        <v>420105</v>
      </c>
      <c r="B227" s="9" t="str" cm="1">
        <f t="array" ref="B227">D227&amp;_xlfn.TEXTJOIN("",1,TEXT(E227:G227,"00"))</f>
        <v>1010002</v>
      </c>
      <c r="C227" s="30" t="str">
        <f t="shared" si="103"/>
        <v>420105,1010002</v>
      </c>
      <c r="D227" s="26">
        <v>1</v>
      </c>
      <c r="E227" s="26">
        <v>1</v>
      </c>
      <c r="F227" s="26">
        <f>W227</f>
        <v>0</v>
      </c>
      <c r="G227" s="26">
        <v>2</v>
      </c>
      <c r="H227" s="9">
        <v>201105</v>
      </c>
      <c r="I227" s="15" t="str">
        <f>IFERROR(VLOOKUP(H227,monsters[#All],4,0),"")</f>
        <v>跳虫骑手</v>
      </c>
      <c r="J227" s="15" t="str" cm="1">
        <f t="array" ref="J227">_xlfn.LET(_xlpm.v6p,ABS(ATAN2(O227,P227))*6/PI(),
_xlpm.output,_xlfn.IFS(_xlpm.v6p&lt;1,"正前",_xlpm.v6p&gt;5,"正后",AND(_xlpm.v6p&lt;5,_xlpm.v6p&gt;2,P227&lt;-1),"脚底",_xlpm.v6p&gt;4,"后上",_xlpm.v6p&lt;2,"前上",TRUE,"顶部"),
IFERROR(_xlpm.output,""))</f>
        <v>正后</v>
      </c>
      <c r="K227" s="12"/>
      <c r="L227" s="12" t="s">
        <v>63</v>
      </c>
      <c r="M227" s="12" t="s">
        <v>63</v>
      </c>
      <c r="N227" s="19" t="str">
        <f>O227+0&amp;","&amp;P227+0</f>
        <v>-14,-1</v>
      </c>
      <c r="O227" s="24">
        <v>-14</v>
      </c>
      <c r="P227" s="24">
        <v>-1</v>
      </c>
      <c r="Q227" s="19">
        <f t="shared" si="104"/>
        <v>1</v>
      </c>
      <c r="R227" s="42"/>
      <c r="S227" s="9">
        <v>6</v>
      </c>
      <c r="T227" s="19" t="str">
        <f>IF(U227&lt;&gt;"", U227+0&amp;","&amp;V227+0,"")</f>
        <v>2,3</v>
      </c>
      <c r="U227" s="24">
        <v>2</v>
      </c>
      <c r="V227" s="24">
        <v>3</v>
      </c>
      <c r="W227" s="9">
        <v>0</v>
      </c>
      <c r="X227" s="9">
        <v>11</v>
      </c>
      <c r="Y227" s="19" t="str">
        <f>IF($A227&lt;&gt;"",IF($Z227&lt;&gt;"",$Z227,"0,0"),"")</f>
        <v>-105,-100</v>
      </c>
      <c r="Z227" s="42" t="s">
        <v>133</v>
      </c>
      <c r="AA227" s="19" t="str">
        <f>IF($A227&lt;&gt;"",IF($AB227&lt;&gt;"",$AB227,"80,120"),"")</f>
        <v>80,120</v>
      </c>
      <c r="AC227" s="9">
        <v>0.6</v>
      </c>
      <c r="AD227" s="9">
        <v>0.8</v>
      </c>
      <c r="AE227" s="9">
        <v>0.3</v>
      </c>
      <c r="AF227" s="9">
        <v>3</v>
      </c>
      <c r="AG227" s="9">
        <v>100</v>
      </c>
      <c r="AI227" s="69" cm="1">
        <f t="array" ref="AI227">tuple_avg(T227)/tuple_avg(AA227)</f>
        <v>2.5000000000000001E-2</v>
      </c>
      <c r="AJ227" s="69">
        <f>AC227*AI227*'-配置辅助'!$I$8</f>
        <v>1.5</v>
      </c>
      <c r="AK227" s="69">
        <f>AD227*AI227*'-配置辅助'!$I$10</f>
        <v>0.33333333333333343</v>
      </c>
      <c r="AL227" s="69">
        <f>AJ227*_xlfn.XLOOKUP(H227,monsters[怪物id],monsters[HP],-1)</f>
        <v>82.5</v>
      </c>
      <c r="AM227" s="69">
        <f>AK227*_xlfn.XLOOKUP(H227,monsters[怪物id],monsters[HP],-1)</f>
        <v>18.333333333333339</v>
      </c>
    </row>
    <row r="228" spans="1:41" x14ac:dyDescent="0.2">
      <c r="J228" s="15" t="str" cm="1">
        <f t="array" ref="J228">_xlfn.LET(_xlpm.v6p,ABS(ATAN2(O228,P228))*6/PI(),
_xlpm.output,_xlfn.IFS(_xlpm.v6p&lt;1,"正前",_xlpm.v6p&gt;5,"正后",AND(_xlpm.v6p&lt;5,_xlpm.v6p&gt;2,P228&lt;-1),"脚底",_xlpm.v6p&gt;4,"后上",_xlpm.v6p&lt;2,"前上",TRUE,"顶部"),
IFERROR(_xlpm.output,""))</f>
        <v/>
      </c>
    </row>
    <row r="229" spans="1:41" x14ac:dyDescent="0.2">
      <c r="A229" s="9">
        <v>420105</v>
      </c>
      <c r="B229" s="9" t="str" cm="1">
        <f t="array" ref="B229">D229&amp;_xlfn.TEXTJOIN("",1,TEXT(E229:G229,"00"))</f>
        <v>1020000</v>
      </c>
      <c r="C229" s="30" t="str">
        <f t="shared" ref="C229:C231" si="105">_xlfn.TEXTJOIN(",",1,A229:B229)</f>
        <v>420105,1020000</v>
      </c>
      <c r="D229" s="26">
        <v>1</v>
      </c>
      <c r="E229" s="26">
        <v>2</v>
      </c>
      <c r="F229" s="26">
        <f>W229</f>
        <v>0</v>
      </c>
      <c r="G229" s="26">
        <v>0</v>
      </c>
      <c r="H229" s="9">
        <v>201105</v>
      </c>
      <c r="I229" s="15" t="str">
        <f>IFERROR(VLOOKUP(H229,monsters[#All],4,0),"")</f>
        <v>跳虫骑手</v>
      </c>
      <c r="J229" s="15" t="str" cm="1">
        <f t="array" ref="J229">_xlfn.LET(_xlpm.v6p,ABS(ATAN2(O229,P229))*6/PI(),
_xlpm.output,_xlfn.IFS(_xlpm.v6p&lt;1,"正前",_xlpm.v6p&gt;5,"正后",AND(_xlpm.v6p&lt;5,_xlpm.v6p&gt;2,P229&lt;-1),"脚底",_xlpm.v6p&gt;4,"后上",_xlpm.v6p&lt;2,"前上",TRUE,"顶部"),
IFERROR(_xlpm.output,""))</f>
        <v>正前</v>
      </c>
      <c r="K229" s="12"/>
      <c r="L229" s="12" t="s">
        <v>63</v>
      </c>
      <c r="M229" s="12" t="s">
        <v>63</v>
      </c>
      <c r="N229" s="19" t="str">
        <f>O229+0&amp;","&amp;P229+0</f>
        <v>14,-1</v>
      </c>
      <c r="O229" s="24">
        <v>14</v>
      </c>
      <c r="P229" s="24">
        <v>-1</v>
      </c>
      <c r="Q229" s="19">
        <f t="shared" ref="Q229:Q231" si="106">_xlfn.LET(_xlpm._default,1,
_xlpm._custom,R229,
IF($A229&lt;&gt;"",IF(_xlpm._custom&lt;&gt;"",_xlpm._custom,_xlpm._default),""))</f>
        <v>1</v>
      </c>
      <c r="S229" s="9">
        <v>1</v>
      </c>
      <c r="T229" s="19" t="str">
        <f>IF(U229&lt;&gt;"", U229+0&amp;","&amp;V229+0,"")</f>
        <v>1,1</v>
      </c>
      <c r="U229" s="24">
        <v>1</v>
      </c>
      <c r="V229" s="24">
        <v>1</v>
      </c>
      <c r="W229" s="9">
        <v>0</v>
      </c>
      <c r="X229" s="9">
        <v>11</v>
      </c>
      <c r="Y229" s="19" t="str">
        <f>IF($A229&lt;&gt;"",IF($Z229&lt;&gt;"",$Z229,"0,0"),"")</f>
        <v>70,75</v>
      </c>
      <c r="Z229" s="24" t="s">
        <v>132</v>
      </c>
      <c r="AA229" s="19" t="str">
        <f>IF($A229&lt;&gt;"",IF($AB229&lt;&gt;"",$AB229,"80,120"),"")</f>
        <v>80,120</v>
      </c>
      <c r="AC229" s="9">
        <v>0.4</v>
      </c>
      <c r="AD229" s="9">
        <v>0.3</v>
      </c>
      <c r="AE229" s="9">
        <v>0.3</v>
      </c>
      <c r="AF229" s="9">
        <v>3</v>
      </c>
      <c r="AG229" s="9">
        <v>100</v>
      </c>
      <c r="AI229" s="69" cm="1">
        <f t="array" ref="AI229">tuple_avg(T229)/tuple_avg(AA229)</f>
        <v>0.01</v>
      </c>
      <c r="AJ229" s="69">
        <f>AC229*AI229*'-配置辅助'!$I$8</f>
        <v>0.4</v>
      </c>
      <c r="AK229" s="69">
        <f>AD229*AI229*'-配置辅助'!$I$10</f>
        <v>0.05</v>
      </c>
      <c r="AL229" s="69">
        <f>AJ229*_xlfn.XLOOKUP(H229,monsters[怪物id],monsters[HP],-1)</f>
        <v>22</v>
      </c>
      <c r="AM229" s="69">
        <f>AK229*_xlfn.XLOOKUP(H229,monsters[怪物id],monsters[HP],-1)</f>
        <v>2.75</v>
      </c>
    </row>
    <row r="230" spans="1:41" x14ac:dyDescent="0.2">
      <c r="A230" s="9">
        <v>420105</v>
      </c>
      <c r="B230" s="9" t="str" cm="1">
        <f t="array" ref="B230">D230&amp;_xlfn.TEXTJOIN("",1,TEXT(E230:G230,"00"))</f>
        <v>1020001</v>
      </c>
      <c r="C230" s="30" t="str">
        <f t="shared" si="105"/>
        <v>420105,1020001</v>
      </c>
      <c r="D230" s="26">
        <v>1</v>
      </c>
      <c r="E230" s="26">
        <v>2</v>
      </c>
      <c r="F230" s="26">
        <f>W230</f>
        <v>0</v>
      </c>
      <c r="G230" s="26">
        <v>1</v>
      </c>
      <c r="H230" s="9">
        <v>201105</v>
      </c>
      <c r="I230" s="15" t="str">
        <f>IFERROR(VLOOKUP(H230,monsters[#All],4,0),"")</f>
        <v>跳虫骑手</v>
      </c>
      <c r="J230" s="15" t="str" cm="1">
        <f t="array" ref="J230">_xlfn.LET(_xlpm.v6p,ABS(ATAN2(O230,P230))*6/PI(),
_xlpm.output,_xlfn.IFS(_xlpm.v6p&lt;1,"正前",_xlpm.v6p&gt;5,"正后",AND(_xlpm.v6p&lt;5,_xlpm.v6p&gt;2,P230&lt;-1),"脚底",_xlpm.v6p&gt;4,"后上",_xlpm.v6p&lt;2,"前上",TRUE,"顶部"),
IFERROR(_xlpm.output,""))</f>
        <v>正前</v>
      </c>
      <c r="K230" s="12"/>
      <c r="L230" s="12" t="s">
        <v>63</v>
      </c>
      <c r="M230" s="12" t="s">
        <v>63</v>
      </c>
      <c r="N230" s="19" t="str">
        <f>O230+0&amp;","&amp;P230+0</f>
        <v>14,-1</v>
      </c>
      <c r="O230" s="24">
        <v>14</v>
      </c>
      <c r="P230" s="24">
        <v>-1</v>
      </c>
      <c r="Q230" s="19">
        <f t="shared" si="106"/>
        <v>1</v>
      </c>
      <c r="S230" s="9">
        <v>2</v>
      </c>
      <c r="T230" s="19" t="str">
        <f>IF(U230&lt;&gt;"", U230+0&amp;","&amp;V230+0,"")</f>
        <v>1,1</v>
      </c>
      <c r="U230" s="24">
        <v>1</v>
      </c>
      <c r="V230" s="24">
        <v>1</v>
      </c>
      <c r="W230" s="9">
        <v>0</v>
      </c>
      <c r="X230" s="9">
        <v>11</v>
      </c>
      <c r="Y230" s="19" t="str">
        <f>IF($A230&lt;&gt;"",IF($Z230&lt;&gt;"",$Z230,"0,0"),"")</f>
        <v>0,0</v>
      </c>
      <c r="AA230" s="19" t="str">
        <f>IF($A230&lt;&gt;"",IF($AB230&lt;&gt;"",$AB230,"80,120"),"")</f>
        <v>80,120</v>
      </c>
      <c r="AC230" s="9">
        <v>0.36</v>
      </c>
      <c r="AD230" s="9">
        <v>0.2</v>
      </c>
      <c r="AE230" s="9">
        <v>0.3</v>
      </c>
      <c r="AF230" s="9">
        <v>3</v>
      </c>
      <c r="AG230" s="9">
        <v>100</v>
      </c>
      <c r="AI230" s="69" cm="1">
        <f t="array" ref="AI230">tuple_avg(T230)/tuple_avg(AA230)</f>
        <v>0.01</v>
      </c>
      <c r="AJ230" s="69">
        <f>AC230*AI230*'-配置辅助'!$I$8</f>
        <v>0.36</v>
      </c>
      <c r="AK230" s="69">
        <f>AD230*AI230*'-配置辅助'!$I$10</f>
        <v>3.333333333333334E-2</v>
      </c>
      <c r="AL230" s="69">
        <f>AJ230*_xlfn.XLOOKUP(H230,monsters[怪物id],monsters[HP],-1)</f>
        <v>19.8</v>
      </c>
      <c r="AM230" s="69">
        <f>AK230*_xlfn.XLOOKUP(H230,monsters[怪物id],monsters[HP],-1)</f>
        <v>1.8333333333333337</v>
      </c>
    </row>
    <row r="231" spans="1:41" x14ac:dyDescent="0.2">
      <c r="A231" s="9">
        <v>420105</v>
      </c>
      <c r="B231" s="9" t="str" cm="1">
        <f t="array" ref="B231">D231&amp;_xlfn.TEXTJOIN("",1,TEXT(E231:G231,"00"))</f>
        <v>1020002</v>
      </c>
      <c r="C231" s="30" t="str">
        <f t="shared" si="105"/>
        <v>420105,1020002</v>
      </c>
      <c r="D231" s="26">
        <v>1</v>
      </c>
      <c r="E231" s="26">
        <v>2</v>
      </c>
      <c r="F231" s="26">
        <f>W231</f>
        <v>0</v>
      </c>
      <c r="G231" s="26">
        <v>2</v>
      </c>
      <c r="H231" s="9">
        <v>201105</v>
      </c>
      <c r="I231" s="15" t="str">
        <f>IFERROR(VLOOKUP(H231,monsters[#All],4,0),"")</f>
        <v>跳虫骑手</v>
      </c>
      <c r="J231" s="15" t="str" cm="1">
        <f t="array" ref="J231">_xlfn.LET(_xlpm.v6p,ABS(ATAN2(O231,P231))*6/PI(),
_xlpm.output,_xlfn.IFS(_xlpm.v6p&lt;1,"正前",_xlpm.v6p&gt;5,"正后",AND(_xlpm.v6p&lt;5,_xlpm.v6p&gt;2,P231&lt;-1),"脚底",_xlpm.v6p&gt;4,"后上",_xlpm.v6p&lt;2,"前上",TRUE,"顶部"),
IFERROR(_xlpm.output,""))</f>
        <v>正前</v>
      </c>
      <c r="K231" s="12"/>
      <c r="L231" s="12" t="s">
        <v>63</v>
      </c>
      <c r="M231" s="12" t="s">
        <v>63</v>
      </c>
      <c r="N231" s="19" t="str">
        <f>O231+0&amp;","&amp;P231+0</f>
        <v>14,-1</v>
      </c>
      <c r="O231" s="24">
        <v>14</v>
      </c>
      <c r="P231" s="24">
        <v>-1</v>
      </c>
      <c r="Q231" s="19">
        <f t="shared" si="106"/>
        <v>1</v>
      </c>
      <c r="R231" s="42"/>
      <c r="S231" s="9">
        <v>2</v>
      </c>
      <c r="T231" s="19" t="str">
        <f>IF(U231&lt;&gt;"", U231+0&amp;","&amp;V231+0,"")</f>
        <v>1,1</v>
      </c>
      <c r="U231" s="24">
        <v>1</v>
      </c>
      <c r="V231" s="24">
        <v>1</v>
      </c>
      <c r="W231" s="9">
        <v>0</v>
      </c>
      <c r="X231" s="9">
        <v>11</v>
      </c>
      <c r="Y231" s="19" t="str">
        <f>IF($A231&lt;&gt;"",IF($Z231&lt;&gt;"",$Z231,"0,0"),"")</f>
        <v>-105,-100</v>
      </c>
      <c r="Z231" s="42" t="s">
        <v>133</v>
      </c>
      <c r="AA231" s="19" t="str">
        <f>IF($A231&lt;&gt;"",IF($AB231&lt;&gt;"",$AB231,"80,120"),"")</f>
        <v>80,120</v>
      </c>
      <c r="AC231" s="9">
        <v>0.33</v>
      </c>
      <c r="AD231" s="9">
        <v>0.1</v>
      </c>
      <c r="AE231" s="9">
        <v>0.3</v>
      </c>
      <c r="AF231" s="9">
        <v>3</v>
      </c>
      <c r="AG231" s="9">
        <v>100</v>
      </c>
      <c r="AI231" s="69" cm="1">
        <f t="array" ref="AI231">tuple_avg(T231)/tuple_avg(AA231)</f>
        <v>0.01</v>
      </c>
      <c r="AJ231" s="69">
        <f>AC231*AI231*'-配置辅助'!$I$8</f>
        <v>0.33</v>
      </c>
      <c r="AK231" s="69">
        <f>AD231*AI231*'-配置辅助'!$I$10</f>
        <v>1.666666666666667E-2</v>
      </c>
      <c r="AL231" s="69">
        <f>AJ231*_xlfn.XLOOKUP(H231,monsters[怪物id],monsters[HP],-1)</f>
        <v>18.150000000000002</v>
      </c>
      <c r="AM231" s="69">
        <f>AK231*_xlfn.XLOOKUP(H231,monsters[怪物id],monsters[HP],-1)</f>
        <v>0.91666666666666685</v>
      </c>
    </row>
    <row r="234" spans="1:41" s="61" customFormat="1" x14ac:dyDescent="0.2">
      <c r="B234" s="62"/>
      <c r="C234" s="63" t="str">
        <f>_xlfn.TEXTJOIN(",",1,A234:B234)</f>
        <v/>
      </c>
      <c r="D234" s="64"/>
      <c r="E234" s="64"/>
      <c r="F234" s="64"/>
      <c r="G234" s="64"/>
      <c r="H234" s="62" t="s">
        <v>253</v>
      </c>
      <c r="I234" s="65"/>
      <c r="J234" s="65"/>
      <c r="O234" s="66"/>
      <c r="P234" s="66"/>
      <c r="R234" s="66"/>
      <c r="S234" s="61" t="s">
        <v>62</v>
      </c>
      <c r="U234" s="66"/>
      <c r="V234" s="66"/>
      <c r="Z234" s="66"/>
      <c r="AB234" s="66"/>
      <c r="AC234" s="61" t="s">
        <v>62</v>
      </c>
      <c r="AI234" s="72"/>
      <c r="AJ234" s="72"/>
      <c r="AK234" s="72"/>
      <c r="AL234" s="72">
        <f>SUM(AL236:AL246)</f>
        <v>215.48999999999998</v>
      </c>
      <c r="AM234" s="72">
        <f>SUM(AM236:AM246)</f>
        <v>35.200000000000003</v>
      </c>
      <c r="AN234" s="72"/>
      <c r="AO234" s="72"/>
    </row>
    <row r="235" spans="1:41" x14ac:dyDescent="0.2">
      <c r="C235" s="30" t="str">
        <f t="shared" ref="C235:C238" si="107">_xlfn.TEXTJOIN(",",1,A235:B235)</f>
        <v/>
      </c>
      <c r="S235" s="9" t="s">
        <v>62</v>
      </c>
      <c r="AC235" s="9" t="s">
        <v>62</v>
      </c>
    </row>
    <row r="236" spans="1:41" x14ac:dyDescent="0.2">
      <c r="A236" s="9">
        <v>420111</v>
      </c>
      <c r="B236" s="9" t="str" cm="1">
        <f t="array" ref="B236">D236&amp;_xlfn.TEXTJOIN("",1,TEXT(E236:G236,"00"))</f>
        <v>1010000</v>
      </c>
      <c r="C236" s="30" t="str">
        <f t="shared" si="107"/>
        <v>420111,1010000</v>
      </c>
      <c r="D236" s="26">
        <v>1</v>
      </c>
      <c r="E236" s="26">
        <v>1</v>
      </c>
      <c r="F236" s="26">
        <f>W236</f>
        <v>0</v>
      </c>
      <c r="G236" s="26">
        <v>0</v>
      </c>
      <c r="H236" s="9">
        <v>201106</v>
      </c>
      <c r="I236" s="15" t="str">
        <f>IFERROR(VLOOKUP(H236,monsters[#All],4,0),"")</f>
        <v>蝙蝠骑手</v>
      </c>
      <c r="J236" s="15" t="str" cm="1">
        <f t="array" ref="J236">_xlfn.LET(_xlpm.v6p,ABS(ATAN2(O236,P236))*6/PI(),
_xlpm.output,_xlfn.IFS(_xlpm.v6p&lt;1,"正前",_xlpm.v6p&gt;5,"正后",AND(_xlpm.v6p&lt;5,_xlpm.v6p&gt;2,P236&lt;-1),"脚底",_xlpm.v6p&gt;4,"后上",_xlpm.v6p&lt;2,"前上",TRUE,"顶部"),
IFERROR(_xlpm.output,""))</f>
        <v>后上</v>
      </c>
      <c r="K236" s="12"/>
      <c r="L236" s="12" t="s">
        <v>63</v>
      </c>
      <c r="M236" s="12" t="s">
        <v>63</v>
      </c>
      <c r="N236" s="19" t="str">
        <f>O236+0&amp;","&amp;P236+0</f>
        <v>-14,13</v>
      </c>
      <c r="O236" s="24">
        <v>-14</v>
      </c>
      <c r="P236" s="24">
        <v>13</v>
      </c>
      <c r="Q236" s="19">
        <f t="shared" ref="Q236:Q238" si="108">_xlfn.LET(_xlpm._default,1,
_xlpm._custom,R236,
IF($A236&lt;&gt;"",IF(_xlpm._custom&lt;&gt;"",_xlpm._custom,_xlpm._default),""))</f>
        <v>1</v>
      </c>
      <c r="S236" s="9">
        <v>1</v>
      </c>
      <c r="T236" s="19" t="str">
        <f>IF(U236&lt;&gt;"", U236+0&amp;","&amp;V236+0,"")</f>
        <v>1,1</v>
      </c>
      <c r="U236" s="24">
        <v>1</v>
      </c>
      <c r="V236" s="24">
        <v>1</v>
      </c>
      <c r="W236" s="9">
        <v>0</v>
      </c>
      <c r="X236" s="9">
        <v>11</v>
      </c>
      <c r="Y236" s="19" t="str">
        <f>IF($A236&lt;&gt;"",IF($Z236&lt;&gt;"",$Z236,"0,0"),"")</f>
        <v>70,75</v>
      </c>
      <c r="Z236" s="24" t="s">
        <v>132</v>
      </c>
      <c r="AA236" s="19" t="str">
        <f>IF($A236&lt;&gt;"",IF($AB236&lt;&gt;"",$AB236,"80,120"),"")</f>
        <v>80,120</v>
      </c>
      <c r="AC236" s="9">
        <v>0.6</v>
      </c>
      <c r="AD236" s="9">
        <v>1.2</v>
      </c>
      <c r="AE236" s="9">
        <v>0.3</v>
      </c>
      <c r="AF236" s="9">
        <v>3</v>
      </c>
      <c r="AG236" s="9">
        <v>100</v>
      </c>
      <c r="AI236" s="69" cm="1">
        <f t="array" ref="AI236">tuple_avg(T236)/tuple_avg(AA236)</f>
        <v>0.01</v>
      </c>
      <c r="AJ236" s="69">
        <f>AC236*AI236*'-配置辅助'!$I$8</f>
        <v>0.6</v>
      </c>
      <c r="AK236" s="69">
        <f>AD236*AI236*'-配置辅助'!$I$10</f>
        <v>0.2</v>
      </c>
      <c r="AL236" s="69">
        <f>AJ236*_xlfn.XLOOKUP(H236,monsters[怪物id],monsters[HP],-1)</f>
        <v>19.8</v>
      </c>
      <c r="AM236" s="69">
        <f>AK236*_xlfn.XLOOKUP(H236,monsters[怪物id],monsters[HP],-1)</f>
        <v>6.6000000000000005</v>
      </c>
    </row>
    <row r="237" spans="1:41" x14ac:dyDescent="0.2">
      <c r="A237" s="9">
        <v>420111</v>
      </c>
      <c r="B237" s="9" t="str" cm="1">
        <f t="array" ref="B237">D237&amp;_xlfn.TEXTJOIN("",1,TEXT(E237:G237,"00"))</f>
        <v>1010001</v>
      </c>
      <c r="C237" s="30" t="str">
        <f t="shared" si="107"/>
        <v>420111,1010001</v>
      </c>
      <c r="D237" s="26">
        <v>1</v>
      </c>
      <c r="E237" s="26">
        <v>1</v>
      </c>
      <c r="F237" s="26">
        <f>W237</f>
        <v>0</v>
      </c>
      <c r="G237" s="26">
        <v>1</v>
      </c>
      <c r="H237" s="9">
        <v>201106</v>
      </c>
      <c r="I237" s="15" t="str">
        <f>IFERROR(VLOOKUP(H237,monsters[#All],4,0),"")</f>
        <v>蝙蝠骑手</v>
      </c>
      <c r="J237" s="15" t="str" cm="1">
        <f t="array" ref="J237">_xlfn.LET(_xlpm.v6p,ABS(ATAN2(O237,P237))*6/PI(),
_xlpm.output,_xlfn.IFS(_xlpm.v6p&lt;1,"正前",_xlpm.v6p&gt;5,"正后",AND(_xlpm.v6p&lt;5,_xlpm.v6p&gt;2,P237&lt;-1),"脚底",_xlpm.v6p&gt;4,"后上",_xlpm.v6p&lt;2,"前上",TRUE,"顶部"),
IFERROR(_xlpm.output,""))</f>
        <v>后上</v>
      </c>
      <c r="K237" s="12"/>
      <c r="L237" s="12" t="s">
        <v>63</v>
      </c>
      <c r="M237" s="12" t="s">
        <v>63</v>
      </c>
      <c r="N237" s="19" t="str">
        <f>O237+0&amp;","&amp;P237+0</f>
        <v>-14,13</v>
      </c>
      <c r="O237" s="24">
        <v>-14</v>
      </c>
      <c r="P237" s="24">
        <v>13</v>
      </c>
      <c r="Q237" s="19">
        <f t="shared" si="108"/>
        <v>1</v>
      </c>
      <c r="S237" s="9">
        <v>2</v>
      </c>
      <c r="T237" s="19" t="str">
        <f>IF(U237&lt;&gt;"", U237+0&amp;","&amp;V237+0,"")</f>
        <v>1,2</v>
      </c>
      <c r="U237" s="24">
        <v>1</v>
      </c>
      <c r="V237" s="24">
        <v>2</v>
      </c>
      <c r="W237" s="9">
        <v>0</v>
      </c>
      <c r="X237" s="9">
        <v>11</v>
      </c>
      <c r="Y237" s="19" t="str">
        <f>IF($A237&lt;&gt;"",IF($Z237&lt;&gt;"",$Z237,"0,0"),"")</f>
        <v>0,0</v>
      </c>
      <c r="AA237" s="19" t="str">
        <f>IF($A237&lt;&gt;"",IF($AB237&lt;&gt;"",$AB237,"80,120"),"")</f>
        <v>80,120</v>
      </c>
      <c r="AC237" s="9">
        <v>0.6</v>
      </c>
      <c r="AD237" s="9">
        <v>1</v>
      </c>
      <c r="AE237" s="9">
        <v>0.3</v>
      </c>
      <c r="AF237" s="9">
        <v>3</v>
      </c>
      <c r="AG237" s="9">
        <v>100</v>
      </c>
      <c r="AI237" s="69" cm="1">
        <f t="array" ref="AI237">tuple_avg(T237)/tuple_avg(AA237)</f>
        <v>1.4999999999999999E-2</v>
      </c>
      <c r="AJ237" s="69">
        <f>AC237*AI237*'-配置辅助'!$I$8</f>
        <v>0.89999999999999991</v>
      </c>
      <c r="AK237" s="69">
        <f>AD237*AI237*'-配置辅助'!$I$10</f>
        <v>0.25</v>
      </c>
      <c r="AL237" s="69">
        <f>AJ237*_xlfn.XLOOKUP(H237,monsters[怪物id],monsters[HP],-1)</f>
        <v>29.699999999999996</v>
      </c>
      <c r="AM237" s="69">
        <f>AK237*_xlfn.XLOOKUP(H237,monsters[怪物id],monsters[HP],-1)</f>
        <v>8.25</v>
      </c>
    </row>
    <row r="238" spans="1:41" x14ac:dyDescent="0.2">
      <c r="A238" s="9">
        <v>420111</v>
      </c>
      <c r="B238" s="9" t="str" cm="1">
        <f t="array" ref="B238">D238&amp;_xlfn.TEXTJOIN("",1,TEXT(E238:G238,"00"))</f>
        <v>1010002</v>
      </c>
      <c r="C238" s="30" t="str">
        <f t="shared" si="107"/>
        <v>420111,1010002</v>
      </c>
      <c r="D238" s="26">
        <v>1</v>
      </c>
      <c r="E238" s="26">
        <v>1</v>
      </c>
      <c r="F238" s="26">
        <f>W238</f>
        <v>0</v>
      </c>
      <c r="G238" s="26">
        <v>2</v>
      </c>
      <c r="H238" s="9">
        <v>201106</v>
      </c>
      <c r="I238" s="15" t="str">
        <f>IFERROR(VLOOKUP(H238,monsters[#All],4,0),"")</f>
        <v>蝙蝠骑手</v>
      </c>
      <c r="J238" s="15" t="str" cm="1">
        <f t="array" ref="J238">_xlfn.LET(_xlpm.v6p,ABS(ATAN2(O238,P238))*6/PI(),
_xlpm.output,_xlfn.IFS(_xlpm.v6p&lt;1,"正前",_xlpm.v6p&gt;5,"正后",AND(_xlpm.v6p&lt;5,_xlpm.v6p&gt;2,P238&lt;-1),"脚底",_xlpm.v6p&gt;4,"后上",_xlpm.v6p&lt;2,"前上",TRUE,"顶部"),
IFERROR(_xlpm.output,""))</f>
        <v>后上</v>
      </c>
      <c r="K238" s="12"/>
      <c r="L238" s="12" t="s">
        <v>63</v>
      </c>
      <c r="M238" s="12" t="s">
        <v>63</v>
      </c>
      <c r="N238" s="19" t="str">
        <f>O238+0&amp;","&amp;P238+0</f>
        <v>-14,13</v>
      </c>
      <c r="O238" s="24">
        <v>-14</v>
      </c>
      <c r="P238" s="24">
        <v>13</v>
      </c>
      <c r="Q238" s="19">
        <f t="shared" si="108"/>
        <v>1</v>
      </c>
      <c r="R238" s="42"/>
      <c r="S238" s="9">
        <v>2</v>
      </c>
      <c r="T238" s="19" t="str">
        <f>IF(U238&lt;&gt;"", U238+0&amp;","&amp;V238+0,"")</f>
        <v>2,3</v>
      </c>
      <c r="U238" s="24">
        <v>2</v>
      </c>
      <c r="V238" s="24">
        <v>3</v>
      </c>
      <c r="W238" s="9">
        <v>0</v>
      </c>
      <c r="X238" s="9">
        <v>11</v>
      </c>
      <c r="Y238" s="19" t="str">
        <f>IF($A238&lt;&gt;"",IF($Z238&lt;&gt;"",$Z238,"0,0"),"")</f>
        <v>-105,-100</v>
      </c>
      <c r="Z238" s="42" t="s">
        <v>133</v>
      </c>
      <c r="AA238" s="19" t="str">
        <f>IF($A238&lt;&gt;"",IF($AB238&lt;&gt;"",$AB238,"80,120"),"")</f>
        <v>80,120</v>
      </c>
      <c r="AC238" s="9">
        <v>0.6</v>
      </c>
      <c r="AD238" s="9">
        <v>0.8</v>
      </c>
      <c r="AE238" s="9">
        <v>0.3</v>
      </c>
      <c r="AF238" s="9">
        <v>3</v>
      </c>
      <c r="AG238" s="9">
        <v>100</v>
      </c>
      <c r="AI238" s="69" cm="1">
        <f t="array" ref="AI238">tuple_avg(T238)/tuple_avg(AA238)</f>
        <v>2.5000000000000001E-2</v>
      </c>
      <c r="AJ238" s="69">
        <f>AC238*AI238*'-配置辅助'!$I$8</f>
        <v>1.5</v>
      </c>
      <c r="AK238" s="69">
        <f>AD238*AI238*'-配置辅助'!$I$10</f>
        <v>0.33333333333333343</v>
      </c>
      <c r="AL238" s="69">
        <f>AJ238*_xlfn.XLOOKUP(H238,monsters[怪物id],monsters[HP],-1)</f>
        <v>49.5</v>
      </c>
      <c r="AM238" s="69">
        <f>AK238*_xlfn.XLOOKUP(H238,monsters[怪物id],monsters[HP],-1)</f>
        <v>11.000000000000004</v>
      </c>
    </row>
    <row r="239" spans="1:41" x14ac:dyDescent="0.2">
      <c r="J239" s="15" t="str" cm="1">
        <f t="array" ref="J239">_xlfn.LET(_xlpm.v6p,ABS(ATAN2(O239,P239))*6/PI(),
_xlpm.output,_xlfn.IFS(_xlpm.v6p&lt;1,"正前",_xlpm.v6p&gt;5,"正后",AND(_xlpm.v6p&lt;5,_xlpm.v6p&gt;2,P239&lt;-1),"脚底",_xlpm.v6p&gt;4,"后上",_xlpm.v6p&lt;2,"前上",TRUE,"顶部"),
IFERROR(_xlpm.output,""))</f>
        <v/>
      </c>
    </row>
    <row r="240" spans="1:41" x14ac:dyDescent="0.2">
      <c r="A240" s="9">
        <v>420111</v>
      </c>
      <c r="B240" s="9" t="str" cm="1">
        <f t="array" ref="B240">D240&amp;_xlfn.TEXTJOIN("",1,TEXT(E240:G240,"00"))</f>
        <v>1020000</v>
      </c>
      <c r="C240" s="30" t="str">
        <f t="shared" ref="C240:C242" si="109">_xlfn.TEXTJOIN(",",1,A240:B240)</f>
        <v>420111,1020000</v>
      </c>
      <c r="D240" s="26">
        <v>1</v>
      </c>
      <c r="E240" s="26">
        <v>2</v>
      </c>
      <c r="F240" s="26">
        <f>W240</f>
        <v>0</v>
      </c>
      <c r="G240" s="26">
        <v>0</v>
      </c>
      <c r="H240" s="9">
        <v>201106</v>
      </c>
      <c r="I240" s="15" t="str">
        <f>IFERROR(VLOOKUP(H240,monsters[#All],4,0),"")</f>
        <v>蝙蝠骑手</v>
      </c>
      <c r="J240" s="15" t="str" cm="1">
        <f t="array" ref="J240">_xlfn.LET(_xlpm.v6p,ABS(ATAN2(O240,P240))*6/PI(),
_xlpm.output,_xlfn.IFS(_xlpm.v6p&lt;1,"正前",_xlpm.v6p&gt;5,"正后",AND(_xlpm.v6p&lt;5,_xlpm.v6p&gt;2,P240&lt;-1),"脚底",_xlpm.v6p&gt;4,"后上",_xlpm.v6p&lt;2,"前上",TRUE,"顶部"),
IFERROR(_xlpm.output,""))</f>
        <v>顶部</v>
      </c>
      <c r="K240" s="12"/>
      <c r="L240" s="12" t="s">
        <v>63</v>
      </c>
      <c r="M240" s="12" t="s">
        <v>63</v>
      </c>
      <c r="N240" s="19" t="str">
        <f>O240+0&amp;","&amp;P240+0</f>
        <v>3,15</v>
      </c>
      <c r="O240" s="24">
        <v>3</v>
      </c>
      <c r="P240" s="24">
        <v>15</v>
      </c>
      <c r="Q240" s="19">
        <f t="shared" ref="Q240:Q242" si="110">_xlfn.LET(_xlpm._default,1,
_xlpm._custom,R240,
IF($A240&lt;&gt;"",IF(_xlpm._custom&lt;&gt;"",_xlpm._custom,_xlpm._default),""))</f>
        <v>1</v>
      </c>
      <c r="S240" s="9">
        <v>1</v>
      </c>
      <c r="T240" s="19" t="str">
        <f>IF(U240&lt;&gt;"", U240+0&amp;","&amp;V240+0,"")</f>
        <v>1,1</v>
      </c>
      <c r="U240" s="24">
        <v>1</v>
      </c>
      <c r="V240" s="24">
        <v>1</v>
      </c>
      <c r="W240" s="9">
        <v>0</v>
      </c>
      <c r="X240" s="9">
        <v>11</v>
      </c>
      <c r="Y240" s="19" t="str">
        <f>IF($A240&lt;&gt;"",IF($Z240&lt;&gt;"",$Z240,"0,0"),"")</f>
        <v>70,75</v>
      </c>
      <c r="Z240" s="24" t="s">
        <v>132</v>
      </c>
      <c r="AA240" s="19" t="str">
        <f>IF($A240&lt;&gt;"",IF($AB240&lt;&gt;"",$AB240,"80,120"),"")</f>
        <v>80,120</v>
      </c>
      <c r="AC240" s="9">
        <v>0.4</v>
      </c>
      <c r="AD240" s="9">
        <v>0.3</v>
      </c>
      <c r="AE240" s="9">
        <v>0.3</v>
      </c>
      <c r="AF240" s="9">
        <v>3</v>
      </c>
      <c r="AG240" s="9">
        <v>100</v>
      </c>
      <c r="AI240" s="69" cm="1">
        <f t="array" ref="AI240">tuple_avg(T240)/tuple_avg(AA240)</f>
        <v>0.01</v>
      </c>
      <c r="AJ240" s="69">
        <f>AC240*AI240*'-配置辅助'!$I$8</f>
        <v>0.4</v>
      </c>
      <c r="AK240" s="69">
        <f>AD240*AI240*'-配置辅助'!$I$10</f>
        <v>0.05</v>
      </c>
      <c r="AL240" s="69">
        <f>AJ240*_xlfn.XLOOKUP(H240,monsters[怪物id],monsters[HP],-1)</f>
        <v>13.200000000000001</v>
      </c>
      <c r="AM240" s="69">
        <f>AK240*_xlfn.XLOOKUP(H240,monsters[怪物id],monsters[HP],-1)</f>
        <v>1.6500000000000001</v>
      </c>
    </row>
    <row r="241" spans="1:41" x14ac:dyDescent="0.2">
      <c r="A241" s="9">
        <v>420111</v>
      </c>
      <c r="B241" s="9" t="str" cm="1">
        <f t="array" ref="B241">D241&amp;_xlfn.TEXTJOIN("",1,TEXT(E241:G241,"00"))</f>
        <v>1020001</v>
      </c>
      <c r="C241" s="30" t="str">
        <f t="shared" si="109"/>
        <v>420111,1020001</v>
      </c>
      <c r="D241" s="26">
        <v>1</v>
      </c>
      <c r="E241" s="26">
        <v>2</v>
      </c>
      <c r="F241" s="26">
        <f>W241</f>
        <v>0</v>
      </c>
      <c r="G241" s="26">
        <v>1</v>
      </c>
      <c r="H241" s="9">
        <v>201106</v>
      </c>
      <c r="I241" s="15" t="str">
        <f>IFERROR(VLOOKUP(H241,monsters[#All],4,0),"")</f>
        <v>蝙蝠骑手</v>
      </c>
      <c r="J241" s="15" t="str" cm="1">
        <f t="array" ref="J241">_xlfn.LET(_xlpm.v6p,ABS(ATAN2(O241,P241))*6/PI(),
_xlpm.output,_xlfn.IFS(_xlpm.v6p&lt;1,"正前",_xlpm.v6p&gt;5,"正后",AND(_xlpm.v6p&lt;5,_xlpm.v6p&gt;2,P241&lt;-1),"脚底",_xlpm.v6p&gt;4,"后上",_xlpm.v6p&lt;2,"前上",TRUE,"顶部"),
IFERROR(_xlpm.output,""))</f>
        <v>顶部</v>
      </c>
      <c r="K241" s="12"/>
      <c r="L241" s="12" t="s">
        <v>63</v>
      </c>
      <c r="M241" s="12" t="s">
        <v>63</v>
      </c>
      <c r="N241" s="19" t="str">
        <f>O241+0&amp;","&amp;P241+0</f>
        <v>3,15</v>
      </c>
      <c r="O241" s="24">
        <v>3</v>
      </c>
      <c r="P241" s="24">
        <v>15</v>
      </c>
      <c r="Q241" s="19">
        <f t="shared" si="110"/>
        <v>1</v>
      </c>
      <c r="S241" s="9">
        <v>2</v>
      </c>
      <c r="T241" s="19" t="str">
        <f>IF(U241&lt;&gt;"", U241+0&amp;","&amp;V241+0,"")</f>
        <v>1,2</v>
      </c>
      <c r="U241" s="24">
        <v>1</v>
      </c>
      <c r="V241" s="24">
        <v>2</v>
      </c>
      <c r="W241" s="9">
        <v>0</v>
      </c>
      <c r="X241" s="9">
        <v>11</v>
      </c>
      <c r="Y241" s="19" t="str">
        <f>IF($A241&lt;&gt;"",IF($Z241&lt;&gt;"",$Z241,"0,0"),"")</f>
        <v>0,0</v>
      </c>
      <c r="AA241" s="19" t="str">
        <f>IF($A241&lt;&gt;"",IF($AB241&lt;&gt;"",$AB241,"80,120"),"")</f>
        <v>80,120</v>
      </c>
      <c r="AC241" s="9">
        <v>0.36</v>
      </c>
      <c r="AD241" s="9">
        <v>0.2</v>
      </c>
      <c r="AE241" s="9">
        <v>0.3</v>
      </c>
      <c r="AF241" s="9">
        <v>3</v>
      </c>
      <c r="AG241" s="9">
        <v>100</v>
      </c>
      <c r="AI241" s="69" cm="1">
        <f t="array" ref="AI241">tuple_avg(T241)/tuple_avg(AA241)</f>
        <v>1.4999999999999999E-2</v>
      </c>
      <c r="AJ241" s="69">
        <f>AC241*AI241*'-配置辅助'!$I$8</f>
        <v>0.53999999999999992</v>
      </c>
      <c r="AK241" s="69">
        <f>AD241*AI241*'-配置辅助'!$I$10</f>
        <v>0.05</v>
      </c>
      <c r="AL241" s="69">
        <f>AJ241*_xlfn.XLOOKUP(H241,monsters[怪物id],monsters[HP],-1)</f>
        <v>17.819999999999997</v>
      </c>
      <c r="AM241" s="69">
        <f>AK241*_xlfn.XLOOKUP(H241,monsters[怪物id],monsters[HP],-1)</f>
        <v>1.6500000000000001</v>
      </c>
    </row>
    <row r="242" spans="1:41" x14ac:dyDescent="0.2">
      <c r="A242" s="9">
        <v>420111</v>
      </c>
      <c r="B242" s="9" t="str" cm="1">
        <f t="array" ref="B242">D242&amp;_xlfn.TEXTJOIN("",1,TEXT(E242:G242,"00"))</f>
        <v>1020002</v>
      </c>
      <c r="C242" s="30" t="str">
        <f t="shared" si="109"/>
        <v>420111,1020002</v>
      </c>
      <c r="D242" s="26">
        <v>1</v>
      </c>
      <c r="E242" s="26">
        <v>2</v>
      </c>
      <c r="F242" s="26">
        <f>W242</f>
        <v>0</v>
      </c>
      <c r="G242" s="26">
        <v>2</v>
      </c>
      <c r="H242" s="9">
        <v>201106</v>
      </c>
      <c r="I242" s="15" t="str">
        <f>IFERROR(VLOOKUP(H242,monsters[#All],4,0),"")</f>
        <v>蝙蝠骑手</v>
      </c>
      <c r="J242" s="15" t="str" cm="1">
        <f t="array" ref="J242">_xlfn.LET(_xlpm.v6p,ABS(ATAN2(O242,P242))*6/PI(),
_xlpm.output,_xlfn.IFS(_xlpm.v6p&lt;1,"正前",_xlpm.v6p&gt;5,"正后",AND(_xlpm.v6p&lt;5,_xlpm.v6p&gt;2,P242&lt;-1),"脚底",_xlpm.v6p&gt;4,"后上",_xlpm.v6p&lt;2,"前上",TRUE,"顶部"),
IFERROR(_xlpm.output,""))</f>
        <v>顶部</v>
      </c>
      <c r="K242" s="12"/>
      <c r="L242" s="12" t="s">
        <v>63</v>
      </c>
      <c r="M242" s="12" t="s">
        <v>63</v>
      </c>
      <c r="N242" s="19" t="str">
        <f>O242+0&amp;","&amp;P242+0</f>
        <v>3,15</v>
      </c>
      <c r="O242" s="24">
        <v>3</v>
      </c>
      <c r="P242" s="24">
        <v>15</v>
      </c>
      <c r="Q242" s="19">
        <f t="shared" si="110"/>
        <v>1</v>
      </c>
      <c r="R242" s="42"/>
      <c r="S242" s="9">
        <v>2</v>
      </c>
      <c r="T242" s="19" t="str">
        <f>IF(U242&lt;&gt;"", U242+0&amp;","&amp;V242+0,"")</f>
        <v>2,3</v>
      </c>
      <c r="U242" s="24">
        <v>2</v>
      </c>
      <c r="V242" s="24">
        <v>3</v>
      </c>
      <c r="W242" s="9">
        <v>0</v>
      </c>
      <c r="X242" s="9">
        <v>11</v>
      </c>
      <c r="Y242" s="19" t="str">
        <f>IF($A242&lt;&gt;"",IF($Z242&lt;&gt;"",$Z242,"0,0"),"")</f>
        <v>-105,-100</v>
      </c>
      <c r="Z242" s="42" t="s">
        <v>133</v>
      </c>
      <c r="AA242" s="19" t="str">
        <f>IF($A242&lt;&gt;"",IF($AB242&lt;&gt;"",$AB242,"80,120"),"")</f>
        <v>80,120</v>
      </c>
      <c r="AC242" s="9">
        <v>0.33</v>
      </c>
      <c r="AD242" s="9">
        <v>0.1</v>
      </c>
      <c r="AE242" s="9">
        <v>0.3</v>
      </c>
      <c r="AF242" s="9">
        <v>3</v>
      </c>
      <c r="AG242" s="9">
        <v>100</v>
      </c>
      <c r="AI242" s="69" cm="1">
        <f t="array" ref="AI242">tuple_avg(T242)/tuple_avg(AA242)</f>
        <v>2.5000000000000001E-2</v>
      </c>
      <c r="AJ242" s="69">
        <f>AC242*AI242*'-配置辅助'!$I$8</f>
        <v>0.82500000000000007</v>
      </c>
      <c r="AK242" s="69">
        <f>AD242*AI242*'-配置辅助'!$I$10</f>
        <v>4.1666666666666678E-2</v>
      </c>
      <c r="AL242" s="69">
        <f>AJ242*_xlfn.XLOOKUP(H242,monsters[怪物id],monsters[HP],-1)</f>
        <v>27.225000000000001</v>
      </c>
      <c r="AM242" s="69">
        <f>AK242*_xlfn.XLOOKUP(H242,monsters[怪物id],monsters[HP],-1)</f>
        <v>1.3750000000000004</v>
      </c>
    </row>
    <row r="243" spans="1:41" x14ac:dyDescent="0.2">
      <c r="J243" s="15" t="str" cm="1">
        <f t="array" ref="J243">_xlfn.LET(_xlpm.v6p,ABS(ATAN2(O243,P243))*6/PI(),
_xlpm.output,_xlfn.IFS(_xlpm.v6p&lt;1,"正前",_xlpm.v6p&gt;5,"正后",AND(_xlpm.v6p&lt;5,_xlpm.v6p&gt;2,P243&lt;-1),"脚底",_xlpm.v6p&gt;4,"后上",_xlpm.v6p&lt;2,"前上",TRUE,"顶部"),
IFERROR(_xlpm.output,""))</f>
        <v/>
      </c>
    </row>
    <row r="244" spans="1:41" x14ac:dyDescent="0.2">
      <c r="A244" s="9">
        <v>420111</v>
      </c>
      <c r="B244" s="9" t="str" cm="1">
        <f t="array" ref="B244">D244&amp;_xlfn.TEXTJOIN("",1,TEXT(E244:G244,"00"))</f>
        <v>1030000</v>
      </c>
      <c r="C244" s="30" t="str">
        <f t="shared" ref="C244:C246" si="111">_xlfn.TEXTJOIN(",",1,A244:B244)</f>
        <v>420111,1030000</v>
      </c>
      <c r="D244" s="26">
        <v>1</v>
      </c>
      <c r="E244" s="26">
        <v>3</v>
      </c>
      <c r="F244" s="26">
        <f>W244</f>
        <v>0</v>
      </c>
      <c r="G244" s="26">
        <v>0</v>
      </c>
      <c r="H244" s="9">
        <v>201106</v>
      </c>
      <c r="I244" s="15" t="str">
        <f>IFERROR(VLOOKUP(H244,monsters[#All],4,0),"")</f>
        <v>蝙蝠骑手</v>
      </c>
      <c r="J244" s="15" t="str" cm="1">
        <f t="array" ref="J244">_xlfn.LET(_xlpm.v6p,ABS(ATAN2(O244,P244))*6/PI(),
_xlpm.output,_xlfn.IFS(_xlpm.v6p&lt;1,"正前",_xlpm.v6p&gt;5,"正后",AND(_xlpm.v6p&lt;5,_xlpm.v6p&gt;2,P244&lt;-1),"脚底",_xlpm.v6p&gt;4,"后上",_xlpm.v6p&lt;2,"前上",TRUE,"顶部"),
IFERROR(_xlpm.output,""))</f>
        <v>前上</v>
      </c>
      <c r="K244" s="12"/>
      <c r="L244" s="12" t="s">
        <v>63</v>
      </c>
      <c r="M244" s="12" t="s">
        <v>63</v>
      </c>
      <c r="N244" s="19" t="str">
        <f>O244+0&amp;","&amp;P244+0</f>
        <v>14,13</v>
      </c>
      <c r="O244" s="24">
        <v>14</v>
      </c>
      <c r="P244" s="24">
        <v>13</v>
      </c>
      <c r="Q244" s="19">
        <f t="shared" ref="Q244:Q246" si="112">_xlfn.LET(_xlpm._default,1,
_xlpm._custom,R244,
IF($A244&lt;&gt;"",IF(_xlpm._custom&lt;&gt;"",_xlpm._custom,_xlpm._default),""))</f>
        <v>1</v>
      </c>
      <c r="S244" s="9">
        <v>1</v>
      </c>
      <c r="T244" s="19" t="str">
        <f>IF(U244&lt;&gt;"", U244+0&amp;","&amp;V244+0,"")</f>
        <v>1,1</v>
      </c>
      <c r="U244" s="24">
        <v>1</v>
      </c>
      <c r="V244" s="24">
        <v>1</v>
      </c>
      <c r="W244" s="9">
        <v>0</v>
      </c>
      <c r="X244" s="9">
        <v>11</v>
      </c>
      <c r="Y244" s="19" t="str">
        <f>IF($A244&lt;&gt;"",IF($Z244&lt;&gt;"",$Z244,"0,0"),"")</f>
        <v>70,75</v>
      </c>
      <c r="Z244" s="24" t="s">
        <v>132</v>
      </c>
      <c r="AA244" s="19" t="str">
        <f>IF($A244&lt;&gt;"",IF($AB244&lt;&gt;"",$AB244,"80,120"),"")</f>
        <v>80,120</v>
      </c>
      <c r="AC244" s="9">
        <v>0.4</v>
      </c>
      <c r="AD244" s="9">
        <v>0.3</v>
      </c>
      <c r="AE244" s="9">
        <v>0.3</v>
      </c>
      <c r="AF244" s="9">
        <v>3</v>
      </c>
      <c r="AG244" s="9">
        <v>100</v>
      </c>
      <c r="AI244" s="69" cm="1">
        <f t="array" ref="AI244">tuple_avg(T244)/tuple_avg(AA244)</f>
        <v>0.01</v>
      </c>
      <c r="AJ244" s="69">
        <f>AC244*AI244*'-配置辅助'!$I$8</f>
        <v>0.4</v>
      </c>
      <c r="AK244" s="69">
        <f>AD244*AI244*'-配置辅助'!$I$10</f>
        <v>0.05</v>
      </c>
      <c r="AL244" s="69">
        <f>AJ244*_xlfn.XLOOKUP(H244,monsters[怪物id],monsters[HP],-1)</f>
        <v>13.200000000000001</v>
      </c>
      <c r="AM244" s="69">
        <f>AK244*_xlfn.XLOOKUP(H244,monsters[怪物id],monsters[HP],-1)</f>
        <v>1.6500000000000001</v>
      </c>
    </row>
    <row r="245" spans="1:41" x14ac:dyDescent="0.2">
      <c r="A245" s="9">
        <v>420111</v>
      </c>
      <c r="B245" s="9" t="str" cm="1">
        <f t="array" ref="B245">D245&amp;_xlfn.TEXTJOIN("",1,TEXT(E245:G245,"00"))</f>
        <v>1030001</v>
      </c>
      <c r="C245" s="30" t="str">
        <f t="shared" si="111"/>
        <v>420111,1030001</v>
      </c>
      <c r="D245" s="26">
        <v>1</v>
      </c>
      <c r="E245" s="26">
        <v>3</v>
      </c>
      <c r="F245" s="26">
        <f>W245</f>
        <v>0</v>
      </c>
      <c r="G245" s="26">
        <v>1</v>
      </c>
      <c r="H245" s="9">
        <v>201106</v>
      </c>
      <c r="I245" s="15" t="str">
        <f>IFERROR(VLOOKUP(H245,monsters[#All],4,0),"")</f>
        <v>蝙蝠骑手</v>
      </c>
      <c r="J245" s="15" t="str" cm="1">
        <f t="array" ref="J245">_xlfn.LET(_xlpm.v6p,ABS(ATAN2(O245,P245))*6/PI(),
_xlpm.output,_xlfn.IFS(_xlpm.v6p&lt;1,"正前",_xlpm.v6p&gt;5,"正后",AND(_xlpm.v6p&lt;5,_xlpm.v6p&gt;2,P245&lt;-1),"脚底",_xlpm.v6p&gt;4,"后上",_xlpm.v6p&lt;2,"前上",TRUE,"顶部"),
IFERROR(_xlpm.output,""))</f>
        <v>前上</v>
      </c>
      <c r="K245" s="12"/>
      <c r="L245" s="12" t="s">
        <v>63</v>
      </c>
      <c r="M245" s="12" t="s">
        <v>63</v>
      </c>
      <c r="N245" s="19" t="str">
        <f>O245+0&amp;","&amp;P245+0</f>
        <v>14,13</v>
      </c>
      <c r="O245" s="24">
        <v>14</v>
      </c>
      <c r="P245" s="24">
        <v>13</v>
      </c>
      <c r="Q245" s="19">
        <f t="shared" si="112"/>
        <v>1</v>
      </c>
      <c r="S245" s="9">
        <v>2</v>
      </c>
      <c r="T245" s="19" t="str">
        <f>IF(U245&lt;&gt;"", U245+0&amp;","&amp;V245+0,"")</f>
        <v>1,2</v>
      </c>
      <c r="U245" s="24">
        <v>1</v>
      </c>
      <c r="V245" s="24">
        <v>2</v>
      </c>
      <c r="W245" s="9">
        <v>0</v>
      </c>
      <c r="X245" s="9">
        <v>11</v>
      </c>
      <c r="Y245" s="19" t="str">
        <f>IF($A245&lt;&gt;"",IF($Z245&lt;&gt;"",$Z245,"0,0"),"")</f>
        <v>0,0</v>
      </c>
      <c r="AA245" s="19" t="str">
        <f>IF($A245&lt;&gt;"",IF($AB245&lt;&gt;"",$AB245,"80,120"),"")</f>
        <v>80,120</v>
      </c>
      <c r="AC245" s="9">
        <v>0.36</v>
      </c>
      <c r="AD245" s="9">
        <v>0.2</v>
      </c>
      <c r="AE245" s="9">
        <v>0.3</v>
      </c>
      <c r="AF245" s="9">
        <v>3</v>
      </c>
      <c r="AG245" s="9">
        <v>100</v>
      </c>
      <c r="AI245" s="69" cm="1">
        <f t="array" ref="AI245">tuple_avg(T245)/tuple_avg(AA245)</f>
        <v>1.4999999999999999E-2</v>
      </c>
      <c r="AJ245" s="69">
        <f>AC245*AI245*'-配置辅助'!$I$8</f>
        <v>0.53999999999999992</v>
      </c>
      <c r="AK245" s="69">
        <f>AD245*AI245*'-配置辅助'!$I$10</f>
        <v>0.05</v>
      </c>
      <c r="AL245" s="69">
        <f>AJ245*_xlfn.XLOOKUP(H245,monsters[怪物id],monsters[HP],-1)</f>
        <v>17.819999999999997</v>
      </c>
      <c r="AM245" s="69">
        <f>AK245*_xlfn.XLOOKUP(H245,monsters[怪物id],monsters[HP],-1)</f>
        <v>1.6500000000000001</v>
      </c>
    </row>
    <row r="246" spans="1:41" x14ac:dyDescent="0.2">
      <c r="A246" s="9">
        <v>420111</v>
      </c>
      <c r="B246" s="9" t="str" cm="1">
        <f t="array" ref="B246">D246&amp;_xlfn.TEXTJOIN("",1,TEXT(E246:G246,"00"))</f>
        <v>1030002</v>
      </c>
      <c r="C246" s="30" t="str">
        <f t="shared" si="111"/>
        <v>420111,1030002</v>
      </c>
      <c r="D246" s="26">
        <v>1</v>
      </c>
      <c r="E246" s="26">
        <v>3</v>
      </c>
      <c r="F246" s="26">
        <f>W246</f>
        <v>0</v>
      </c>
      <c r="G246" s="26">
        <v>2</v>
      </c>
      <c r="H246" s="9">
        <v>201106</v>
      </c>
      <c r="I246" s="15" t="str">
        <f>IFERROR(VLOOKUP(H246,monsters[#All],4,0),"")</f>
        <v>蝙蝠骑手</v>
      </c>
      <c r="J246" s="15" t="str" cm="1">
        <f t="array" ref="J246">_xlfn.LET(_xlpm.v6p,ABS(ATAN2(O246,P246))*6/PI(),
_xlpm.output,_xlfn.IFS(_xlpm.v6p&lt;1,"正前",_xlpm.v6p&gt;5,"正后",AND(_xlpm.v6p&lt;5,_xlpm.v6p&gt;2,P246&lt;-1),"脚底",_xlpm.v6p&gt;4,"后上",_xlpm.v6p&lt;2,"前上",TRUE,"顶部"),
IFERROR(_xlpm.output,""))</f>
        <v>前上</v>
      </c>
      <c r="K246" s="12"/>
      <c r="L246" s="12" t="s">
        <v>63</v>
      </c>
      <c r="M246" s="12" t="s">
        <v>63</v>
      </c>
      <c r="N246" s="19" t="str">
        <f>O246+0&amp;","&amp;P246+0</f>
        <v>14,13</v>
      </c>
      <c r="O246" s="24">
        <v>14</v>
      </c>
      <c r="P246" s="24">
        <v>13</v>
      </c>
      <c r="Q246" s="19">
        <f t="shared" si="112"/>
        <v>1</v>
      </c>
      <c r="R246" s="42"/>
      <c r="S246" s="9">
        <v>2</v>
      </c>
      <c r="T246" s="19" t="str">
        <f>IF(U246&lt;&gt;"", U246+0&amp;","&amp;V246+0,"")</f>
        <v>2,3</v>
      </c>
      <c r="U246" s="24">
        <v>2</v>
      </c>
      <c r="V246" s="24">
        <v>3</v>
      </c>
      <c r="W246" s="9">
        <v>0</v>
      </c>
      <c r="X246" s="9">
        <v>11</v>
      </c>
      <c r="Y246" s="19" t="str">
        <f>IF($A246&lt;&gt;"",IF($Z246&lt;&gt;"",$Z246,"0,0"),"")</f>
        <v>-105,-100</v>
      </c>
      <c r="Z246" s="42" t="s">
        <v>133</v>
      </c>
      <c r="AA246" s="19" t="str">
        <f>IF($A246&lt;&gt;"",IF($AB246&lt;&gt;"",$AB246,"80,120"),"")</f>
        <v>80,120</v>
      </c>
      <c r="AC246" s="9">
        <v>0.33</v>
      </c>
      <c r="AD246" s="9">
        <v>0.1</v>
      </c>
      <c r="AE246" s="9">
        <v>0.3</v>
      </c>
      <c r="AF246" s="9">
        <v>3</v>
      </c>
      <c r="AG246" s="9">
        <v>100</v>
      </c>
      <c r="AI246" s="69" cm="1">
        <f t="array" ref="AI246">tuple_avg(T246)/tuple_avg(AA246)</f>
        <v>2.5000000000000001E-2</v>
      </c>
      <c r="AJ246" s="69">
        <f>AC246*AI246*'-配置辅助'!$I$8</f>
        <v>0.82500000000000007</v>
      </c>
      <c r="AK246" s="69">
        <f>AD246*AI246*'-配置辅助'!$I$10</f>
        <v>4.1666666666666678E-2</v>
      </c>
      <c r="AL246" s="69">
        <f>AJ246*_xlfn.XLOOKUP(H246,monsters[怪物id],monsters[HP],-1)</f>
        <v>27.225000000000001</v>
      </c>
      <c r="AM246" s="69">
        <f>AK246*_xlfn.XLOOKUP(H246,monsters[怪物id],monsters[HP],-1)</f>
        <v>1.3750000000000004</v>
      </c>
    </row>
    <row r="249" spans="1:41" s="61" customFormat="1" x14ac:dyDescent="0.2">
      <c r="B249" s="62"/>
      <c r="C249" s="63" t="str">
        <f>_xlfn.TEXTJOIN(",",1,A249:B249)</f>
        <v/>
      </c>
      <c r="D249" s="64"/>
      <c r="E249" s="64"/>
      <c r="F249" s="64"/>
      <c r="G249" s="64"/>
      <c r="H249" s="62" t="s">
        <v>244</v>
      </c>
      <c r="I249" s="65"/>
      <c r="J249" s="65"/>
      <c r="O249" s="66"/>
      <c r="P249" s="66"/>
      <c r="R249" s="66"/>
      <c r="S249" s="61" t="s">
        <v>62</v>
      </c>
      <c r="U249" s="66"/>
      <c r="V249" s="66"/>
      <c r="Z249" s="66"/>
      <c r="AB249" s="66"/>
      <c r="AC249" s="61" t="s">
        <v>62</v>
      </c>
      <c r="AI249" s="72"/>
      <c r="AJ249" s="72"/>
      <c r="AK249" s="72"/>
      <c r="AL249" s="72">
        <f>SUM(AL251:AL261)</f>
        <v>234</v>
      </c>
      <c r="AM249" s="72">
        <f>SUM(AM251:AM261)</f>
        <v>52.000000000000014</v>
      </c>
      <c r="AN249" s="72"/>
      <c r="AO249" s="72"/>
    </row>
    <row r="250" spans="1:41" x14ac:dyDescent="0.2">
      <c r="C250" s="30" t="str">
        <f t="shared" ref="C250" si="113">_xlfn.TEXTJOIN(",",1,A250:B250)</f>
        <v/>
      </c>
      <c r="S250" s="9" t="s">
        <v>62</v>
      </c>
      <c r="AC250" s="9" t="s">
        <v>62</v>
      </c>
    </row>
    <row r="251" spans="1:41" x14ac:dyDescent="0.2">
      <c r="A251" s="9">
        <v>420112</v>
      </c>
      <c r="B251" s="9" t="str" cm="1">
        <f t="array" ref="B251">D251&amp;_xlfn.TEXTJOIN("",1,TEXT(E251:G251,"00"))</f>
        <v>1010000</v>
      </c>
      <c r="C251" s="30" t="str">
        <f t="shared" ref="C251:C253" si="114">_xlfn.TEXTJOIN(",",1,A251:B251)</f>
        <v>420112,1010000</v>
      </c>
      <c r="D251" s="26">
        <v>1</v>
      </c>
      <c r="E251" s="26">
        <v>1</v>
      </c>
      <c r="F251" s="26">
        <f>W251</f>
        <v>0</v>
      </c>
      <c r="G251" s="26">
        <v>0</v>
      </c>
      <c r="H251" s="9">
        <v>201101</v>
      </c>
      <c r="I251" s="15" t="str">
        <f>IFERROR(VLOOKUP(H251,monsters[#All],4,0),"")</f>
        <v>地宫蝙蝠</v>
      </c>
      <c r="J251" s="15" t="str" cm="1">
        <f t="array" ref="J251">_xlfn.LET(_xlpm.v6p,ABS(ATAN2(O251,P251))*6/PI(),
_xlpm.output,_xlfn.IFS(_xlpm.v6p&lt;1,"正前",_xlpm.v6p&gt;5,"正后",AND(_xlpm.v6p&lt;5,_xlpm.v6p&gt;2,P251&lt;-1),"脚底",_xlpm.v6p&gt;4,"后上",_xlpm.v6p&lt;2,"前上",TRUE,"顶部"),
IFERROR(_xlpm.output,""))</f>
        <v>前上</v>
      </c>
      <c r="K251" s="12"/>
      <c r="L251" s="12" t="s">
        <v>63</v>
      </c>
      <c r="M251" s="12" t="s">
        <v>63</v>
      </c>
      <c r="N251" s="19" t="str">
        <f>O251+0&amp;","&amp;P251+0</f>
        <v>15,10</v>
      </c>
      <c r="O251" s="24">
        <v>15</v>
      </c>
      <c r="P251" s="24">
        <v>10</v>
      </c>
      <c r="Q251" s="19">
        <f t="shared" ref="Q251:Q257" si="115">_xlfn.LET(_xlpm._default,1,
_xlpm._custom,R251,
IF($A251&lt;&gt;"",IF(_xlpm._custom&lt;&gt;"",_xlpm._custom,_xlpm._default),""))</f>
        <v>1</v>
      </c>
      <c r="S251" s="9">
        <v>1</v>
      </c>
      <c r="T251" s="19" t="str">
        <f>IF(U251&lt;&gt;"", U251+0&amp;","&amp;V251+0,"")</f>
        <v>1,1</v>
      </c>
      <c r="U251" s="24">
        <v>1</v>
      </c>
      <c r="V251" s="24">
        <v>1</v>
      </c>
      <c r="W251" s="9">
        <v>0</v>
      </c>
      <c r="X251" s="9">
        <v>11</v>
      </c>
      <c r="Y251" s="19" t="str">
        <f>IF($A251&lt;&gt;"",IF($Z251&lt;&gt;"",$Z251,"0,0"),"")</f>
        <v>70,75</v>
      </c>
      <c r="Z251" s="24" t="s">
        <v>132</v>
      </c>
      <c r="AA251" s="19" t="str">
        <f>IF($A251&lt;&gt;"",IF($AB251&lt;&gt;"",$AB251,"80,120"),"")</f>
        <v>80,120</v>
      </c>
      <c r="AC251" s="9">
        <v>0.6</v>
      </c>
      <c r="AD251" s="9">
        <v>0.8</v>
      </c>
      <c r="AE251" s="9">
        <v>0.3</v>
      </c>
      <c r="AF251" s="9">
        <v>3</v>
      </c>
      <c r="AG251" s="9">
        <v>100</v>
      </c>
      <c r="AI251" s="69" cm="1">
        <f t="array" ref="AI251">tuple_avg(T251)/tuple_avg(AA251)</f>
        <v>0.01</v>
      </c>
      <c r="AJ251" s="69">
        <f>AC251*AI251*'-配置辅助'!$I$8</f>
        <v>0.6</v>
      </c>
      <c r="AK251" s="69">
        <f>AD251*AI251*'-配置辅助'!$I$10</f>
        <v>0.13333333333333336</v>
      </c>
      <c r="AL251" s="69">
        <f>AJ251*_xlfn.XLOOKUP(H251,monsters[怪物id],monsters[HP],-1)</f>
        <v>15.6</v>
      </c>
      <c r="AM251" s="69">
        <f>AK251*_xlfn.XLOOKUP(H251,monsters[怪物id],monsters[HP],-1)</f>
        <v>3.4666666666666672</v>
      </c>
    </row>
    <row r="252" spans="1:41" x14ac:dyDescent="0.2">
      <c r="A252" s="9">
        <v>420112</v>
      </c>
      <c r="B252" s="9" t="str" cm="1">
        <f t="array" ref="B252">D252&amp;_xlfn.TEXTJOIN("",1,TEXT(E252:G252,"00"))</f>
        <v>1010001</v>
      </c>
      <c r="C252" s="30" t="str">
        <f t="shared" si="114"/>
        <v>420112,1010001</v>
      </c>
      <c r="D252" s="26">
        <v>1</v>
      </c>
      <c r="E252" s="26">
        <v>1</v>
      </c>
      <c r="F252" s="26">
        <f>W252</f>
        <v>0</v>
      </c>
      <c r="G252" s="26">
        <v>1</v>
      </c>
      <c r="H252" s="9">
        <v>201101</v>
      </c>
      <c r="I252" s="15" t="str">
        <f>IFERROR(VLOOKUP(H252,monsters[#All],4,0),"")</f>
        <v>地宫蝙蝠</v>
      </c>
      <c r="J252" s="15" t="str" cm="1">
        <f t="array" ref="J252">_xlfn.LET(_xlpm.v6p,ABS(ATAN2(O252,P252))*6/PI(),
_xlpm.output,_xlfn.IFS(_xlpm.v6p&lt;1,"正前",_xlpm.v6p&gt;5,"正后",AND(_xlpm.v6p&lt;5,_xlpm.v6p&gt;2,P252&lt;-1),"脚底",_xlpm.v6p&gt;4,"后上",_xlpm.v6p&lt;2,"前上",TRUE,"顶部"),
IFERROR(_xlpm.output,""))</f>
        <v>前上</v>
      </c>
      <c r="K252" s="12"/>
      <c r="L252" s="12" t="s">
        <v>63</v>
      </c>
      <c r="M252" s="12" t="s">
        <v>63</v>
      </c>
      <c r="N252" s="19" t="str">
        <f>O252+0&amp;","&amp;P252+0</f>
        <v>15,10</v>
      </c>
      <c r="O252" s="24">
        <v>15</v>
      </c>
      <c r="P252" s="24">
        <v>10</v>
      </c>
      <c r="Q252" s="19">
        <f t="shared" si="115"/>
        <v>1</v>
      </c>
      <c r="S252" s="9">
        <v>2</v>
      </c>
      <c r="T252" s="19" t="str">
        <f>IF(U252&lt;&gt;"", U252+0&amp;","&amp;V252+0,"")</f>
        <v>1,2</v>
      </c>
      <c r="U252" s="24">
        <v>1</v>
      </c>
      <c r="V252" s="24">
        <v>2</v>
      </c>
      <c r="W252" s="9">
        <v>0</v>
      </c>
      <c r="X252" s="9">
        <v>11</v>
      </c>
      <c r="Y252" s="19" t="str">
        <f>IF($A252&lt;&gt;"",IF($Z252&lt;&gt;"",$Z252,"0,0"),"")</f>
        <v>0,0</v>
      </c>
      <c r="AA252" s="19" t="str">
        <f>IF($A252&lt;&gt;"",IF($AB252&lt;&gt;"",$AB252,"80,120"),"")</f>
        <v>80,120</v>
      </c>
      <c r="AC252" s="9">
        <v>0.6</v>
      </c>
      <c r="AD252" s="9">
        <v>0.8</v>
      </c>
      <c r="AE252" s="9">
        <v>0.3</v>
      </c>
      <c r="AF252" s="9">
        <v>3</v>
      </c>
      <c r="AG252" s="9">
        <v>100</v>
      </c>
      <c r="AI252" s="69" cm="1">
        <f t="array" ref="AI252">tuple_avg(T252)/tuple_avg(AA252)</f>
        <v>1.4999999999999999E-2</v>
      </c>
      <c r="AJ252" s="69">
        <f>AC252*AI252*'-配置辅助'!$I$8</f>
        <v>0.89999999999999991</v>
      </c>
      <c r="AK252" s="69">
        <f>AD252*AI252*'-配置辅助'!$I$10</f>
        <v>0.2</v>
      </c>
      <c r="AL252" s="69">
        <f>AJ252*_xlfn.XLOOKUP(H252,monsters[怪物id],monsters[HP],-1)</f>
        <v>23.4</v>
      </c>
      <c r="AM252" s="69">
        <f>AK252*_xlfn.XLOOKUP(H252,monsters[怪物id],monsters[HP],-1)</f>
        <v>5.2</v>
      </c>
    </row>
    <row r="253" spans="1:41" x14ac:dyDescent="0.2">
      <c r="A253" s="9">
        <v>420112</v>
      </c>
      <c r="B253" s="9" t="str" cm="1">
        <f t="array" ref="B253">D253&amp;_xlfn.TEXTJOIN("",1,TEXT(E253:G253,"00"))</f>
        <v>1010002</v>
      </c>
      <c r="C253" s="30" t="str">
        <f t="shared" si="114"/>
        <v>420112,1010002</v>
      </c>
      <c r="D253" s="26">
        <v>1</v>
      </c>
      <c r="E253" s="26">
        <v>1</v>
      </c>
      <c r="F253" s="26">
        <f>W253</f>
        <v>0</v>
      </c>
      <c r="G253" s="26">
        <v>2</v>
      </c>
      <c r="H253" s="9">
        <v>201101</v>
      </c>
      <c r="I253" s="15" t="str">
        <f>IFERROR(VLOOKUP(H253,monsters[#All],4,0),"")</f>
        <v>地宫蝙蝠</v>
      </c>
      <c r="J253" s="15" t="str" cm="1">
        <f t="array" ref="J253">_xlfn.LET(_xlpm.v6p,ABS(ATAN2(O253,P253))*6/PI(),
_xlpm.output,_xlfn.IFS(_xlpm.v6p&lt;1,"正前",_xlpm.v6p&gt;5,"正后",AND(_xlpm.v6p&lt;5,_xlpm.v6p&gt;2,P253&lt;-1),"脚底",_xlpm.v6p&gt;4,"后上",_xlpm.v6p&lt;2,"前上",TRUE,"顶部"),
IFERROR(_xlpm.output,""))</f>
        <v>前上</v>
      </c>
      <c r="K253" s="12"/>
      <c r="L253" s="12" t="s">
        <v>63</v>
      </c>
      <c r="M253" s="12" t="s">
        <v>63</v>
      </c>
      <c r="N253" s="19" t="str">
        <f>O253+0&amp;","&amp;P253+0</f>
        <v>15,10</v>
      </c>
      <c r="O253" s="24">
        <v>15</v>
      </c>
      <c r="P253" s="24">
        <v>10</v>
      </c>
      <c r="Q253" s="19">
        <f t="shared" si="115"/>
        <v>1</v>
      </c>
      <c r="R253" s="42"/>
      <c r="S253" s="9">
        <v>2</v>
      </c>
      <c r="T253" s="19" t="str">
        <f>IF(U253&lt;&gt;"", U253+0&amp;","&amp;V253+0,"")</f>
        <v>2,3</v>
      </c>
      <c r="U253" s="24">
        <v>2</v>
      </c>
      <c r="V253" s="24">
        <v>3</v>
      </c>
      <c r="W253" s="9">
        <v>0</v>
      </c>
      <c r="X253" s="9">
        <v>11</v>
      </c>
      <c r="Y253" s="19" t="str">
        <f>IF($A253&lt;&gt;"",IF($Z253&lt;&gt;"",$Z253,"0,0"),"")</f>
        <v>-105,-100</v>
      </c>
      <c r="Z253" s="42" t="s">
        <v>133</v>
      </c>
      <c r="AA253" s="19" t="str">
        <f>IF($A253&lt;&gt;"",IF($AB253&lt;&gt;"",$AB253,"80,120"),"")</f>
        <v>80,120</v>
      </c>
      <c r="AC253" s="9">
        <v>0.6</v>
      </c>
      <c r="AD253" s="9">
        <v>0.8</v>
      </c>
      <c r="AE253" s="9">
        <v>0.3</v>
      </c>
      <c r="AF253" s="9">
        <v>3</v>
      </c>
      <c r="AG253" s="9">
        <v>100</v>
      </c>
      <c r="AI253" s="69" cm="1">
        <f t="array" ref="AI253">tuple_avg(T253)/tuple_avg(AA253)</f>
        <v>2.5000000000000001E-2</v>
      </c>
      <c r="AJ253" s="69">
        <f>AC253*AI253*'-配置辅助'!$I$8</f>
        <v>1.5</v>
      </c>
      <c r="AK253" s="69">
        <f>AD253*AI253*'-配置辅助'!$I$10</f>
        <v>0.33333333333333343</v>
      </c>
      <c r="AL253" s="69">
        <f>AJ253*_xlfn.XLOOKUP(H253,monsters[怪物id],monsters[HP],-1)</f>
        <v>39</v>
      </c>
      <c r="AM253" s="69">
        <f>AK253*_xlfn.XLOOKUP(H253,monsters[怪物id],monsters[HP],-1)</f>
        <v>8.6666666666666696</v>
      </c>
    </row>
    <row r="254" spans="1:41" x14ac:dyDescent="0.2">
      <c r="J254" s="15" t="str" cm="1">
        <f t="array" ref="J254">_xlfn.LET(_xlpm.v6p,ABS(ATAN2(O254,P254))*6/PI(),
_xlpm.output,_xlfn.IFS(_xlpm.v6p&lt;1,"正前",_xlpm.v6p&gt;5,"正后",AND(_xlpm.v6p&lt;5,_xlpm.v6p&gt;2,P254&lt;-1),"脚底",_xlpm.v6p&gt;4,"后上",_xlpm.v6p&lt;2,"前上",TRUE,"顶部"),
IFERROR(_xlpm.output,""))</f>
        <v/>
      </c>
      <c r="Q254" s="19" t="str">
        <f t="shared" si="115"/>
        <v/>
      </c>
    </row>
    <row r="255" spans="1:41" x14ac:dyDescent="0.2">
      <c r="A255" s="9">
        <v>420112</v>
      </c>
      <c r="B255" s="9" t="str" cm="1">
        <f t="array" ref="B255">D255&amp;_xlfn.TEXTJOIN("",1,TEXT(E255:G255,"00"))</f>
        <v>1020000</v>
      </c>
      <c r="C255" s="30" t="str">
        <f t="shared" ref="C255:C257" si="116">_xlfn.TEXTJOIN(",",1,A255:B255)</f>
        <v>420112,1020000</v>
      </c>
      <c r="D255" s="26">
        <v>1</v>
      </c>
      <c r="E255" s="26">
        <v>2</v>
      </c>
      <c r="F255" s="26">
        <f>W255</f>
        <v>0</v>
      </c>
      <c r="G255" s="26">
        <v>0</v>
      </c>
      <c r="H255" s="9">
        <v>201101</v>
      </c>
      <c r="I255" s="15" t="str">
        <f>IFERROR(VLOOKUP(H255,monsters[#All],4,0),"")</f>
        <v>地宫蝙蝠</v>
      </c>
      <c r="J255" s="15" t="str" cm="1">
        <f t="array" ref="J255">_xlfn.LET(_xlpm.v6p,ABS(ATAN2(O255,P255))*6/PI(),
_xlpm.output,_xlfn.IFS(_xlpm.v6p&lt;1,"正前",_xlpm.v6p&gt;5,"正后",AND(_xlpm.v6p&lt;5,_xlpm.v6p&gt;2,P255&lt;-1),"脚底",_xlpm.v6p&gt;4,"后上",_xlpm.v6p&lt;2,"前上",TRUE,"顶部"),
IFERROR(_xlpm.output,""))</f>
        <v>后上</v>
      </c>
      <c r="K255" s="12"/>
      <c r="L255" s="12" t="s">
        <v>63</v>
      </c>
      <c r="M255" s="12" t="s">
        <v>63</v>
      </c>
      <c r="N255" s="19" t="str">
        <f>O255+0&amp;","&amp;P255+0</f>
        <v>-15,10</v>
      </c>
      <c r="O255" s="24">
        <v>-15</v>
      </c>
      <c r="P255" s="24">
        <v>10</v>
      </c>
      <c r="Q255" s="19">
        <f t="shared" si="115"/>
        <v>1</v>
      </c>
      <c r="S255" s="9">
        <v>1</v>
      </c>
      <c r="T255" s="19" t="str">
        <f>IF(U255&lt;&gt;"", U255+0&amp;","&amp;V255+0,"")</f>
        <v>1,1</v>
      </c>
      <c r="U255" s="24">
        <v>1</v>
      </c>
      <c r="V255" s="24">
        <v>1</v>
      </c>
      <c r="W255" s="9">
        <v>0</v>
      </c>
      <c r="X255" s="9">
        <v>11</v>
      </c>
      <c r="Y255" s="19" t="str">
        <f>IF($A255&lt;&gt;"",IF($Z255&lt;&gt;"",$Z255,"0,0"),"")</f>
        <v>70,75</v>
      </c>
      <c r="Z255" s="24" t="s">
        <v>132</v>
      </c>
      <c r="AA255" s="19" t="str">
        <f>IF($A255&lt;&gt;"",IF($AB255&lt;&gt;"",$AB255,"80,120"),"")</f>
        <v>80,120</v>
      </c>
      <c r="AC255" s="9">
        <v>0.6</v>
      </c>
      <c r="AD255" s="9">
        <v>0.8</v>
      </c>
      <c r="AE255" s="9">
        <v>0.3</v>
      </c>
      <c r="AF255" s="9">
        <v>3</v>
      </c>
      <c r="AG255" s="9">
        <v>100</v>
      </c>
      <c r="AI255" s="69" cm="1">
        <f t="array" ref="AI255">tuple_avg(T255)/tuple_avg(AA255)</f>
        <v>0.01</v>
      </c>
      <c r="AJ255" s="69">
        <f>AC255*AI255*'-配置辅助'!$I$8</f>
        <v>0.6</v>
      </c>
      <c r="AK255" s="69">
        <f>AD255*AI255*'-配置辅助'!$I$10</f>
        <v>0.13333333333333336</v>
      </c>
      <c r="AL255" s="69">
        <f>AJ255*_xlfn.XLOOKUP(H255,monsters[怪物id],monsters[HP],-1)</f>
        <v>15.6</v>
      </c>
      <c r="AM255" s="69">
        <f>AK255*_xlfn.XLOOKUP(H255,monsters[怪物id],monsters[HP],-1)</f>
        <v>3.4666666666666672</v>
      </c>
    </row>
    <row r="256" spans="1:41" x14ac:dyDescent="0.2">
      <c r="A256" s="9">
        <v>420112</v>
      </c>
      <c r="B256" s="9" t="str" cm="1">
        <f t="array" ref="B256">D256&amp;_xlfn.TEXTJOIN("",1,TEXT(E256:G256,"00"))</f>
        <v>1020001</v>
      </c>
      <c r="C256" s="30" t="str">
        <f t="shared" si="116"/>
        <v>420112,1020001</v>
      </c>
      <c r="D256" s="26">
        <v>1</v>
      </c>
      <c r="E256" s="26">
        <v>2</v>
      </c>
      <c r="F256" s="26">
        <f>W256</f>
        <v>0</v>
      </c>
      <c r="G256" s="26">
        <v>1</v>
      </c>
      <c r="H256" s="9">
        <v>201101</v>
      </c>
      <c r="I256" s="15" t="str">
        <f>IFERROR(VLOOKUP(H256,monsters[#All],4,0),"")</f>
        <v>地宫蝙蝠</v>
      </c>
      <c r="J256" s="15" t="str" cm="1">
        <f t="array" ref="J256">_xlfn.LET(_xlpm.v6p,ABS(ATAN2(O256,P256))*6/PI(),
_xlpm.output,_xlfn.IFS(_xlpm.v6p&lt;1,"正前",_xlpm.v6p&gt;5,"正后",AND(_xlpm.v6p&lt;5,_xlpm.v6p&gt;2,P256&lt;-1),"脚底",_xlpm.v6p&gt;4,"后上",_xlpm.v6p&lt;2,"前上",TRUE,"顶部"),
IFERROR(_xlpm.output,""))</f>
        <v>后上</v>
      </c>
      <c r="K256" s="12"/>
      <c r="L256" s="12" t="s">
        <v>63</v>
      </c>
      <c r="M256" s="12" t="s">
        <v>63</v>
      </c>
      <c r="N256" s="19" t="str">
        <f>O256+0&amp;","&amp;P256+0</f>
        <v>-15,10</v>
      </c>
      <c r="O256" s="24">
        <v>-15</v>
      </c>
      <c r="P256" s="24">
        <v>10</v>
      </c>
      <c r="Q256" s="19">
        <f t="shared" si="115"/>
        <v>1</v>
      </c>
      <c r="S256" s="9">
        <v>2</v>
      </c>
      <c r="T256" s="19" t="str">
        <f>IF(U256&lt;&gt;"", U256+0&amp;","&amp;V256+0,"")</f>
        <v>1,2</v>
      </c>
      <c r="U256" s="24">
        <v>1</v>
      </c>
      <c r="V256" s="24">
        <v>2</v>
      </c>
      <c r="W256" s="9">
        <v>0</v>
      </c>
      <c r="X256" s="9">
        <v>11</v>
      </c>
      <c r="Y256" s="19" t="str">
        <f>IF($A256&lt;&gt;"",IF($Z256&lt;&gt;"",$Z256,"0,0"),"")</f>
        <v>0,0</v>
      </c>
      <c r="AA256" s="19" t="str">
        <f>IF($A256&lt;&gt;"",IF($AB256&lt;&gt;"",$AB256,"80,120"),"")</f>
        <v>80,120</v>
      </c>
      <c r="AC256" s="9">
        <v>0.6</v>
      </c>
      <c r="AD256" s="9">
        <v>0.8</v>
      </c>
      <c r="AE256" s="9">
        <v>0.3</v>
      </c>
      <c r="AF256" s="9">
        <v>3</v>
      </c>
      <c r="AG256" s="9">
        <v>100</v>
      </c>
      <c r="AI256" s="69" cm="1">
        <f t="array" ref="AI256">tuple_avg(T256)/tuple_avg(AA256)</f>
        <v>1.4999999999999999E-2</v>
      </c>
      <c r="AJ256" s="69">
        <f>AC256*AI256*'-配置辅助'!$I$8</f>
        <v>0.89999999999999991</v>
      </c>
      <c r="AK256" s="69">
        <f>AD256*AI256*'-配置辅助'!$I$10</f>
        <v>0.2</v>
      </c>
      <c r="AL256" s="69">
        <f>AJ256*_xlfn.XLOOKUP(H256,monsters[怪物id],monsters[HP],-1)</f>
        <v>23.4</v>
      </c>
      <c r="AM256" s="69">
        <f>AK256*_xlfn.XLOOKUP(H256,monsters[怪物id],monsters[HP],-1)</f>
        <v>5.2</v>
      </c>
    </row>
    <row r="257" spans="1:41" x14ac:dyDescent="0.2">
      <c r="A257" s="9">
        <v>420112</v>
      </c>
      <c r="B257" s="9" t="str" cm="1">
        <f t="array" ref="B257">D257&amp;_xlfn.TEXTJOIN("",1,TEXT(E257:G257,"00"))</f>
        <v>1020002</v>
      </c>
      <c r="C257" s="30" t="str">
        <f t="shared" si="116"/>
        <v>420112,1020002</v>
      </c>
      <c r="D257" s="26">
        <v>1</v>
      </c>
      <c r="E257" s="26">
        <v>2</v>
      </c>
      <c r="F257" s="26">
        <f>W257</f>
        <v>0</v>
      </c>
      <c r="G257" s="26">
        <v>2</v>
      </c>
      <c r="H257" s="9">
        <v>201101</v>
      </c>
      <c r="I257" s="15" t="str">
        <f>IFERROR(VLOOKUP(H257,monsters[#All],4,0),"")</f>
        <v>地宫蝙蝠</v>
      </c>
      <c r="J257" s="15" t="str" cm="1">
        <f t="array" ref="J257">_xlfn.LET(_xlpm.v6p,ABS(ATAN2(O257,P257))*6/PI(),
_xlpm.output,_xlfn.IFS(_xlpm.v6p&lt;1,"正前",_xlpm.v6p&gt;5,"正后",AND(_xlpm.v6p&lt;5,_xlpm.v6p&gt;2,P257&lt;-1),"脚底",_xlpm.v6p&gt;4,"后上",_xlpm.v6p&lt;2,"前上",TRUE,"顶部"),
IFERROR(_xlpm.output,""))</f>
        <v>后上</v>
      </c>
      <c r="K257" s="12"/>
      <c r="L257" s="12" t="s">
        <v>63</v>
      </c>
      <c r="M257" s="12" t="s">
        <v>63</v>
      </c>
      <c r="N257" s="19" t="str">
        <f>O257+0&amp;","&amp;P257+0</f>
        <v>-15,10</v>
      </c>
      <c r="O257" s="24">
        <v>-15</v>
      </c>
      <c r="P257" s="24">
        <v>10</v>
      </c>
      <c r="Q257" s="19">
        <f t="shared" si="115"/>
        <v>1</v>
      </c>
      <c r="R257" s="42"/>
      <c r="S257" s="9">
        <v>2</v>
      </c>
      <c r="T257" s="19" t="str">
        <f>IF(U257&lt;&gt;"", U257+0&amp;","&amp;V257+0,"")</f>
        <v>2,3</v>
      </c>
      <c r="U257" s="24">
        <v>2</v>
      </c>
      <c r="V257" s="24">
        <v>3</v>
      </c>
      <c r="W257" s="9">
        <v>0</v>
      </c>
      <c r="X257" s="9">
        <v>11</v>
      </c>
      <c r="Y257" s="19" t="str">
        <f>IF($A257&lt;&gt;"",IF($Z257&lt;&gt;"",$Z257,"0,0"),"")</f>
        <v>-105,-100</v>
      </c>
      <c r="Z257" s="42" t="s">
        <v>133</v>
      </c>
      <c r="AA257" s="19" t="str">
        <f>IF($A257&lt;&gt;"",IF($AB257&lt;&gt;"",$AB257,"80,120"),"")</f>
        <v>80,120</v>
      </c>
      <c r="AC257" s="9">
        <v>0.6</v>
      </c>
      <c r="AD257" s="9">
        <v>0.8</v>
      </c>
      <c r="AE257" s="9">
        <v>0.3</v>
      </c>
      <c r="AF257" s="9">
        <v>3</v>
      </c>
      <c r="AG257" s="9">
        <v>100</v>
      </c>
      <c r="AI257" s="69" cm="1">
        <f t="array" ref="AI257">tuple_avg(T257)/tuple_avg(AA257)</f>
        <v>2.5000000000000001E-2</v>
      </c>
      <c r="AJ257" s="69">
        <f>AC257*AI257*'-配置辅助'!$I$8</f>
        <v>1.5</v>
      </c>
      <c r="AK257" s="69">
        <f>AD257*AI257*'-配置辅助'!$I$10</f>
        <v>0.33333333333333343</v>
      </c>
      <c r="AL257" s="69">
        <f>AJ257*_xlfn.XLOOKUP(H257,monsters[怪物id],monsters[HP],-1)</f>
        <v>39</v>
      </c>
      <c r="AM257" s="69">
        <f>AK257*_xlfn.XLOOKUP(H257,monsters[怪物id],monsters[HP],-1)</f>
        <v>8.6666666666666696</v>
      </c>
    </row>
    <row r="258" spans="1:41" x14ac:dyDescent="0.2">
      <c r="J258" s="15" t="str" cm="1">
        <f t="array" ref="J258">_xlfn.LET(_xlpm.v6p,ABS(ATAN2(O258,P258))*6/PI(),
_xlpm.output,_xlfn.IFS(_xlpm.v6p&lt;1,"正前",_xlpm.v6p&gt;5,"正后",AND(_xlpm.v6p&lt;5,_xlpm.v6p&gt;2,P258&lt;-1),"脚底",_xlpm.v6p&gt;4,"后上",_xlpm.v6p&lt;2,"前上",TRUE,"顶部"),
IFERROR(_xlpm.output,""))</f>
        <v/>
      </c>
    </row>
    <row r="259" spans="1:41" x14ac:dyDescent="0.2">
      <c r="A259" s="9">
        <v>420112</v>
      </c>
      <c r="B259" s="9" t="str" cm="1">
        <f t="array" ref="B259">D259&amp;_xlfn.TEXTJOIN("",1,TEXT(E259:G259,"00"))</f>
        <v>1030000</v>
      </c>
      <c r="C259" s="30" t="str">
        <f t="shared" ref="C259:C261" si="117">_xlfn.TEXTJOIN(",",1,A259:B259)</f>
        <v>420112,1030000</v>
      </c>
      <c r="D259" s="26">
        <v>1</v>
      </c>
      <c r="E259" s="26">
        <v>3</v>
      </c>
      <c r="F259" s="26">
        <f>W259</f>
        <v>0</v>
      </c>
      <c r="G259" s="26">
        <v>0</v>
      </c>
      <c r="H259" s="9">
        <v>201101</v>
      </c>
      <c r="I259" s="15" t="str">
        <f>IFERROR(VLOOKUP(H259,monsters[#All],4,0),"")</f>
        <v>地宫蝙蝠</v>
      </c>
      <c r="J259" s="15" t="str" cm="1">
        <f t="array" ref="J259">_xlfn.LET(_xlpm.v6p,ABS(ATAN2(O259,P259))*6/PI(),
_xlpm.output,_xlfn.IFS(_xlpm.v6p&lt;1,"正前",_xlpm.v6p&gt;5,"正后",AND(_xlpm.v6p&lt;5,_xlpm.v6p&gt;2,P259&lt;-1),"脚底",_xlpm.v6p&gt;4,"后上",_xlpm.v6p&lt;2,"前上",TRUE,"顶部"),
IFERROR(_xlpm.output,""))</f>
        <v>顶部</v>
      </c>
      <c r="K259" s="12"/>
      <c r="L259" s="12" t="s">
        <v>63</v>
      </c>
      <c r="M259" s="12" t="s">
        <v>63</v>
      </c>
      <c r="N259" s="19" t="str">
        <f>O259+0&amp;","&amp;P259+0</f>
        <v>3,15</v>
      </c>
      <c r="O259" s="24">
        <v>3</v>
      </c>
      <c r="P259" s="24">
        <v>15</v>
      </c>
      <c r="Q259" s="19">
        <f t="shared" ref="Q259:Q261" si="118">_xlfn.LET(_xlpm._default,1,
_xlpm._custom,R259,
IF($A259&lt;&gt;"",IF(_xlpm._custom&lt;&gt;"",_xlpm._custom,_xlpm._default),""))</f>
        <v>1</v>
      </c>
      <c r="S259" s="9">
        <v>1</v>
      </c>
      <c r="T259" s="19" t="str">
        <f>IF(U259&lt;&gt;"", U259+0&amp;","&amp;V259+0,"")</f>
        <v>1,1</v>
      </c>
      <c r="U259" s="24">
        <v>1</v>
      </c>
      <c r="V259" s="24">
        <v>1</v>
      </c>
      <c r="W259" s="9">
        <v>0</v>
      </c>
      <c r="X259" s="9">
        <v>11</v>
      </c>
      <c r="Y259" s="19" t="str">
        <f>IF($A259&lt;&gt;"",IF($Z259&lt;&gt;"",$Z259,"0,0"),"")</f>
        <v>70,75</v>
      </c>
      <c r="Z259" s="24" t="s">
        <v>132</v>
      </c>
      <c r="AA259" s="19" t="str">
        <f>IF($A259&lt;&gt;"",IF($AB259&lt;&gt;"",$AB259,"80,120"),"")</f>
        <v>80,120</v>
      </c>
      <c r="AC259" s="9">
        <v>0.6</v>
      </c>
      <c r="AD259" s="9">
        <v>0.8</v>
      </c>
      <c r="AE259" s="9">
        <v>0.3</v>
      </c>
      <c r="AF259" s="9">
        <v>3</v>
      </c>
      <c r="AG259" s="9">
        <v>100</v>
      </c>
      <c r="AI259" s="69" cm="1">
        <f t="array" ref="AI259">tuple_avg(T259)/tuple_avg(AA259)</f>
        <v>0.01</v>
      </c>
      <c r="AJ259" s="69">
        <f>AC259*AI259*'-配置辅助'!$I$8</f>
        <v>0.6</v>
      </c>
      <c r="AK259" s="69">
        <f>AD259*AI259*'-配置辅助'!$I$10</f>
        <v>0.13333333333333336</v>
      </c>
      <c r="AL259" s="69">
        <f>AJ259*_xlfn.XLOOKUP(H259,monsters[怪物id],monsters[HP],-1)</f>
        <v>15.6</v>
      </c>
      <c r="AM259" s="69">
        <f>AK259*_xlfn.XLOOKUP(H259,monsters[怪物id],monsters[HP],-1)</f>
        <v>3.4666666666666672</v>
      </c>
    </row>
    <row r="260" spans="1:41" x14ac:dyDescent="0.2">
      <c r="A260" s="9">
        <v>420112</v>
      </c>
      <c r="B260" s="9" t="str" cm="1">
        <f t="array" ref="B260">D260&amp;_xlfn.TEXTJOIN("",1,TEXT(E260:G260,"00"))</f>
        <v>1030001</v>
      </c>
      <c r="C260" s="30" t="str">
        <f t="shared" si="117"/>
        <v>420112,1030001</v>
      </c>
      <c r="D260" s="26">
        <v>1</v>
      </c>
      <c r="E260" s="26">
        <v>3</v>
      </c>
      <c r="F260" s="26">
        <f>W260</f>
        <v>0</v>
      </c>
      <c r="G260" s="26">
        <v>1</v>
      </c>
      <c r="H260" s="9">
        <v>201101</v>
      </c>
      <c r="I260" s="15" t="str">
        <f>IFERROR(VLOOKUP(H260,monsters[#All],4,0),"")</f>
        <v>地宫蝙蝠</v>
      </c>
      <c r="J260" s="15" t="str" cm="1">
        <f t="array" ref="J260">_xlfn.LET(_xlpm.v6p,ABS(ATAN2(O260,P260))*6/PI(),
_xlpm.output,_xlfn.IFS(_xlpm.v6p&lt;1,"正前",_xlpm.v6p&gt;5,"正后",AND(_xlpm.v6p&lt;5,_xlpm.v6p&gt;2,P260&lt;-1),"脚底",_xlpm.v6p&gt;4,"后上",_xlpm.v6p&lt;2,"前上",TRUE,"顶部"),
IFERROR(_xlpm.output,""))</f>
        <v>顶部</v>
      </c>
      <c r="K260" s="12"/>
      <c r="L260" s="12" t="s">
        <v>63</v>
      </c>
      <c r="M260" s="12" t="s">
        <v>63</v>
      </c>
      <c r="N260" s="19" t="str">
        <f>O260+0&amp;","&amp;P260+0</f>
        <v>3,15</v>
      </c>
      <c r="O260" s="24">
        <v>3</v>
      </c>
      <c r="P260" s="24">
        <v>15</v>
      </c>
      <c r="Q260" s="19">
        <f t="shared" si="118"/>
        <v>1</v>
      </c>
      <c r="S260" s="9">
        <v>2</v>
      </c>
      <c r="T260" s="19" t="str">
        <f>IF(U260&lt;&gt;"", U260+0&amp;","&amp;V260+0,"")</f>
        <v>1,2</v>
      </c>
      <c r="U260" s="24">
        <v>1</v>
      </c>
      <c r="V260" s="24">
        <v>2</v>
      </c>
      <c r="W260" s="9">
        <v>0</v>
      </c>
      <c r="X260" s="9">
        <v>11</v>
      </c>
      <c r="Y260" s="19" t="str">
        <f>IF($A260&lt;&gt;"",IF($Z260&lt;&gt;"",$Z260,"0,0"),"")</f>
        <v>0,0</v>
      </c>
      <c r="AA260" s="19" t="str">
        <f>IF($A260&lt;&gt;"",IF($AB260&lt;&gt;"",$AB260,"80,120"),"")</f>
        <v>80,120</v>
      </c>
      <c r="AC260" s="9">
        <v>0.6</v>
      </c>
      <c r="AD260" s="9">
        <v>0.8</v>
      </c>
      <c r="AE260" s="9">
        <v>0.3</v>
      </c>
      <c r="AF260" s="9">
        <v>3</v>
      </c>
      <c r="AG260" s="9">
        <v>100</v>
      </c>
      <c r="AI260" s="69" cm="1">
        <f t="array" ref="AI260">tuple_avg(T260)/tuple_avg(AA260)</f>
        <v>1.4999999999999999E-2</v>
      </c>
      <c r="AJ260" s="69">
        <f>AC260*AI260*'-配置辅助'!$I$8</f>
        <v>0.89999999999999991</v>
      </c>
      <c r="AK260" s="69">
        <f>AD260*AI260*'-配置辅助'!$I$10</f>
        <v>0.2</v>
      </c>
      <c r="AL260" s="69">
        <f>AJ260*_xlfn.XLOOKUP(H260,monsters[怪物id],monsters[HP],-1)</f>
        <v>23.4</v>
      </c>
      <c r="AM260" s="69">
        <f>AK260*_xlfn.XLOOKUP(H260,monsters[怪物id],monsters[HP],-1)</f>
        <v>5.2</v>
      </c>
    </row>
    <row r="261" spans="1:41" x14ac:dyDescent="0.2">
      <c r="A261" s="9">
        <v>420112</v>
      </c>
      <c r="B261" s="9" t="str" cm="1">
        <f t="array" ref="B261">D261&amp;_xlfn.TEXTJOIN("",1,TEXT(E261:G261,"00"))</f>
        <v>1030002</v>
      </c>
      <c r="C261" s="30" t="str">
        <f t="shared" si="117"/>
        <v>420112,1030002</v>
      </c>
      <c r="D261" s="26">
        <v>1</v>
      </c>
      <c r="E261" s="26">
        <v>3</v>
      </c>
      <c r="F261" s="26">
        <f>W261</f>
        <v>0</v>
      </c>
      <c r="G261" s="26">
        <v>2</v>
      </c>
      <c r="H261" s="9">
        <v>201101</v>
      </c>
      <c r="I261" s="15" t="str">
        <f>IFERROR(VLOOKUP(H261,monsters[#All],4,0),"")</f>
        <v>地宫蝙蝠</v>
      </c>
      <c r="J261" s="15" t="str" cm="1">
        <f t="array" ref="J261">_xlfn.LET(_xlpm.v6p,ABS(ATAN2(O261,P261))*6/PI(),
_xlpm.output,_xlfn.IFS(_xlpm.v6p&lt;1,"正前",_xlpm.v6p&gt;5,"正后",AND(_xlpm.v6p&lt;5,_xlpm.v6p&gt;2,P261&lt;-1),"脚底",_xlpm.v6p&gt;4,"后上",_xlpm.v6p&lt;2,"前上",TRUE,"顶部"),
IFERROR(_xlpm.output,""))</f>
        <v>顶部</v>
      </c>
      <c r="K261" s="12"/>
      <c r="L261" s="12" t="s">
        <v>63</v>
      </c>
      <c r="M261" s="12" t="s">
        <v>63</v>
      </c>
      <c r="N261" s="19" t="str">
        <f>O261+0&amp;","&amp;P261+0</f>
        <v>3,15</v>
      </c>
      <c r="O261" s="24">
        <v>3</v>
      </c>
      <c r="P261" s="24">
        <v>15</v>
      </c>
      <c r="Q261" s="19">
        <f t="shared" si="118"/>
        <v>1</v>
      </c>
      <c r="R261" s="42"/>
      <c r="S261" s="9">
        <v>2</v>
      </c>
      <c r="T261" s="19" t="str">
        <f>IF(U261&lt;&gt;"", U261+0&amp;","&amp;V261+0,"")</f>
        <v>2,3</v>
      </c>
      <c r="U261" s="24">
        <v>2</v>
      </c>
      <c r="V261" s="24">
        <v>3</v>
      </c>
      <c r="W261" s="9">
        <v>0</v>
      </c>
      <c r="X261" s="9">
        <v>11</v>
      </c>
      <c r="Y261" s="19" t="str">
        <f>IF($A261&lt;&gt;"",IF($Z261&lt;&gt;"",$Z261,"0,0"),"")</f>
        <v>-105,-100</v>
      </c>
      <c r="Z261" s="42" t="s">
        <v>133</v>
      </c>
      <c r="AA261" s="19" t="str">
        <f>IF($A261&lt;&gt;"",IF($AB261&lt;&gt;"",$AB261,"80,120"),"")</f>
        <v>80,120</v>
      </c>
      <c r="AC261" s="9">
        <v>0.6</v>
      </c>
      <c r="AD261" s="9">
        <v>0.8</v>
      </c>
      <c r="AE261" s="9">
        <v>0.3</v>
      </c>
      <c r="AF261" s="9">
        <v>3</v>
      </c>
      <c r="AG261" s="9">
        <v>100</v>
      </c>
      <c r="AI261" s="69" cm="1">
        <f t="array" ref="AI261">tuple_avg(T261)/tuple_avg(AA261)</f>
        <v>2.5000000000000001E-2</v>
      </c>
      <c r="AJ261" s="69">
        <f>AC261*AI261*'-配置辅助'!$I$8</f>
        <v>1.5</v>
      </c>
      <c r="AK261" s="69">
        <f>AD261*AI261*'-配置辅助'!$I$10</f>
        <v>0.33333333333333343</v>
      </c>
      <c r="AL261" s="69">
        <f>AJ261*_xlfn.XLOOKUP(H261,monsters[怪物id],monsters[HP],-1)</f>
        <v>39</v>
      </c>
      <c r="AM261" s="69">
        <f>AK261*_xlfn.XLOOKUP(H261,monsters[怪物id],monsters[HP],-1)</f>
        <v>8.6666666666666696</v>
      </c>
    </row>
    <row r="264" spans="1:41" s="61" customFormat="1" x14ac:dyDescent="0.2">
      <c r="B264" s="62"/>
      <c r="C264" s="63" t="str">
        <f>_xlfn.TEXTJOIN(",",1,A264:B264)</f>
        <v/>
      </c>
      <c r="D264" s="64"/>
      <c r="E264" s="64"/>
      <c r="F264" s="64"/>
      <c r="G264" s="64"/>
      <c r="H264" s="62" t="s">
        <v>254</v>
      </c>
      <c r="I264" s="65"/>
      <c r="J264" s="65"/>
      <c r="O264" s="66"/>
      <c r="P264" s="66"/>
      <c r="R264" s="66"/>
      <c r="S264" s="61" t="s">
        <v>62</v>
      </c>
      <c r="U264" s="66"/>
      <c r="V264" s="66"/>
      <c r="Z264" s="66"/>
      <c r="AB264" s="66"/>
      <c r="AC264" s="61" t="s">
        <v>62</v>
      </c>
      <c r="AI264" s="72"/>
      <c r="AJ264" s="72"/>
      <c r="AK264" s="72"/>
      <c r="AL264" s="72">
        <f>SUM(AL266:AL268)</f>
        <v>253.70000000000002</v>
      </c>
      <c r="AM264" s="72">
        <f>SUM(AM266:AM268)</f>
        <v>19.765000000000001</v>
      </c>
      <c r="AN264" s="72"/>
      <c r="AO264" s="72"/>
    </row>
    <row r="265" spans="1:41" x14ac:dyDescent="0.2">
      <c r="C265" s="30" t="str">
        <f t="shared" ref="C265:C268" si="119">_xlfn.TEXTJOIN(",",1,A265:B265)</f>
        <v/>
      </c>
      <c r="S265" s="9" t="s">
        <v>62</v>
      </c>
      <c r="AC265" s="9" t="s">
        <v>62</v>
      </c>
    </row>
    <row r="266" spans="1:41" x14ac:dyDescent="0.2">
      <c r="A266" s="9">
        <v>420113</v>
      </c>
      <c r="B266" s="9" t="str" cm="1">
        <f t="array" ref="B266">D266&amp;_xlfn.TEXTJOIN("",1,TEXT(E266:G266,"00"))</f>
        <v>1010000</v>
      </c>
      <c r="C266" s="30" t="str">
        <f t="shared" si="119"/>
        <v>420113,1010000</v>
      </c>
      <c r="D266" s="26">
        <v>1</v>
      </c>
      <c r="E266" s="26">
        <v>1</v>
      </c>
      <c r="F266" s="26">
        <f>W266</f>
        <v>0</v>
      </c>
      <c r="G266" s="26">
        <v>0</v>
      </c>
      <c r="H266" s="9">
        <v>201109</v>
      </c>
      <c r="I266" s="15" t="str">
        <f>IFERROR(VLOOKUP(H266,monsters[#All],4,0),"")</f>
        <v>暴徒洞穴人</v>
      </c>
      <c r="J266" s="15" t="str" cm="1">
        <f t="array" ref="J266">_xlfn.LET(_xlpm.v6p,ABS(ATAN2(O266,P266))*6/PI(),
_xlpm.output,_xlfn.IFS(_xlpm.v6p&lt;1,"正前",_xlpm.v6p&gt;5,"正后",AND(_xlpm.v6p&lt;5,_xlpm.v6p&gt;2,P266&lt;-1),"脚底",_xlpm.v6p&gt;4,"后上",_xlpm.v6p&lt;2,"前上",TRUE,"顶部"),
IFERROR(_xlpm.output,""))</f>
        <v>正前</v>
      </c>
      <c r="K266" s="12"/>
      <c r="L266" s="12" t="s">
        <v>63</v>
      </c>
      <c r="M266" s="12" t="s">
        <v>63</v>
      </c>
      <c r="N266" s="19" t="str">
        <f>O266+0&amp;","&amp;P266+0</f>
        <v>15,-1</v>
      </c>
      <c r="O266" s="24">
        <v>15</v>
      </c>
      <c r="P266" s="24">
        <v>-1</v>
      </c>
      <c r="Q266" s="19">
        <f t="shared" ref="Q266:Q269" si="120">_xlfn.LET(_xlpm._default,1,
_xlpm._custom,R266,
IF($A266&lt;&gt;"",IF(_xlpm._custom&lt;&gt;"",_xlpm._custom,_xlpm._default),""))</f>
        <v>1</v>
      </c>
      <c r="S266" s="9">
        <v>5</v>
      </c>
      <c r="T266" s="19" t="str">
        <f>IF(U266&lt;&gt;"", U266+0&amp;","&amp;V266+0,"")</f>
        <v>1,2</v>
      </c>
      <c r="U266" s="24">
        <v>1</v>
      </c>
      <c r="V266" s="24">
        <v>2</v>
      </c>
      <c r="W266" s="9">
        <v>0</v>
      </c>
      <c r="X266" s="9">
        <v>11</v>
      </c>
      <c r="Y266" s="19" t="str">
        <f>IF($A266&lt;&gt;"",IF($Z266&lt;&gt;"",$Z266,"0,0"),"")</f>
        <v>70,75</v>
      </c>
      <c r="Z266" s="24" t="s">
        <v>132</v>
      </c>
      <c r="AA266" s="19" t="str">
        <f>IF($A266&lt;&gt;"",IF($AB266&lt;&gt;"",$AB266,"80,120"),"")</f>
        <v>80,120</v>
      </c>
      <c r="AC266" s="9">
        <v>0.6</v>
      </c>
      <c r="AD266" s="9">
        <v>0.3</v>
      </c>
      <c r="AE266" s="9">
        <v>0.3</v>
      </c>
      <c r="AF266" s="9">
        <v>3</v>
      </c>
      <c r="AG266" s="9">
        <v>100</v>
      </c>
      <c r="AI266" s="69" cm="1">
        <f t="array" ref="AI266">tuple_avg(T266)/tuple_avg(AA266)</f>
        <v>1.4999999999999999E-2</v>
      </c>
      <c r="AJ266" s="69">
        <f>AC266*AI266*'-配置辅助'!$I$8</f>
        <v>0.89999999999999991</v>
      </c>
      <c r="AK266" s="69">
        <f>AD266*AI266*'-配置辅助'!$I$10</f>
        <v>7.4999999999999997E-2</v>
      </c>
      <c r="AL266" s="69">
        <f>AJ266*_xlfn.XLOOKUP(H266,monsters[怪物id],monsters[HP],-1)</f>
        <v>53.099999999999994</v>
      </c>
      <c r="AM266" s="69">
        <f>AK266*_xlfn.XLOOKUP(H266,monsters[怪物id],monsters[HP],-1)</f>
        <v>4.4249999999999998</v>
      </c>
    </row>
    <row r="267" spans="1:41" x14ac:dyDescent="0.2">
      <c r="A267" s="9">
        <v>420113</v>
      </c>
      <c r="B267" s="9" t="str" cm="1">
        <f t="array" ref="B267">D267&amp;_xlfn.TEXTJOIN("",1,TEXT(E267:G267,"00"))</f>
        <v>1010001</v>
      </c>
      <c r="C267" s="30" t="str">
        <f t="shared" si="119"/>
        <v>420113,1010001</v>
      </c>
      <c r="D267" s="26">
        <v>1</v>
      </c>
      <c r="E267" s="26">
        <v>1</v>
      </c>
      <c r="F267" s="26">
        <f>W267</f>
        <v>0</v>
      </c>
      <c r="G267" s="26">
        <v>1</v>
      </c>
      <c r="H267" s="9">
        <v>201109</v>
      </c>
      <c r="I267" s="15" t="str">
        <f>IFERROR(VLOOKUP(H267,monsters[#All],4,0),"")</f>
        <v>暴徒洞穴人</v>
      </c>
      <c r="J267" s="15" t="str" cm="1">
        <f t="array" ref="J267">_xlfn.LET(_xlpm.v6p,ABS(ATAN2(O267,P267))*6/PI(),
_xlpm.output,_xlfn.IFS(_xlpm.v6p&lt;1,"正前",_xlpm.v6p&gt;5,"正后",AND(_xlpm.v6p&lt;5,_xlpm.v6p&gt;2,P267&lt;-1),"脚底",_xlpm.v6p&gt;4,"后上",_xlpm.v6p&lt;2,"前上",TRUE,"顶部"),
IFERROR(_xlpm.output,""))</f>
        <v>正前</v>
      </c>
      <c r="K267" s="12"/>
      <c r="L267" s="12" t="s">
        <v>63</v>
      </c>
      <c r="M267" s="12" t="s">
        <v>63</v>
      </c>
      <c r="N267" s="19" t="str">
        <f>O267+0&amp;","&amp;P267+0</f>
        <v>15,-1</v>
      </c>
      <c r="O267" s="24">
        <v>15</v>
      </c>
      <c r="P267" s="24">
        <v>-1</v>
      </c>
      <c r="Q267" s="19">
        <f t="shared" si="120"/>
        <v>1</v>
      </c>
      <c r="S267" s="9">
        <v>6</v>
      </c>
      <c r="T267" s="19" t="str">
        <f>IF(U267&lt;&gt;"", U267+0&amp;","&amp;V267+0,"")</f>
        <v>1,3</v>
      </c>
      <c r="U267" s="24">
        <v>1</v>
      </c>
      <c r="V267" s="24">
        <v>3</v>
      </c>
      <c r="W267" s="9">
        <v>0</v>
      </c>
      <c r="X267" s="9">
        <v>11</v>
      </c>
      <c r="Y267" s="19" t="str">
        <f>IF($A267&lt;&gt;"",IF($Z267&lt;&gt;"",$Z267,"0,0"),"")</f>
        <v>0,0</v>
      </c>
      <c r="AA267" s="19" t="str">
        <f>IF($A267&lt;&gt;"",IF($AB267&lt;&gt;"",$AB267,"80,120"),"")</f>
        <v>80,120</v>
      </c>
      <c r="AC267" s="9">
        <v>0.7</v>
      </c>
      <c r="AD267" s="9">
        <v>0.33</v>
      </c>
      <c r="AE267" s="9">
        <v>0.3</v>
      </c>
      <c r="AF267" s="9">
        <v>3</v>
      </c>
      <c r="AG267" s="9">
        <v>100</v>
      </c>
      <c r="AI267" s="69" cm="1">
        <f t="array" ref="AI267">tuple_avg(T267)/tuple_avg(AA267)</f>
        <v>0.02</v>
      </c>
      <c r="AJ267" s="69">
        <f>AC267*AI267*'-配置辅助'!$I$8</f>
        <v>1.4</v>
      </c>
      <c r="AK267" s="69">
        <f>AD267*AI267*'-配置辅助'!$I$10</f>
        <v>0.11000000000000003</v>
      </c>
      <c r="AL267" s="69">
        <f>AJ267*_xlfn.XLOOKUP(H267,monsters[怪物id],monsters[HP],-1)</f>
        <v>82.6</v>
      </c>
      <c r="AM267" s="69">
        <f>AK267*_xlfn.XLOOKUP(H267,monsters[怪物id],monsters[HP],-1)</f>
        <v>6.490000000000002</v>
      </c>
    </row>
    <row r="268" spans="1:41" x14ac:dyDescent="0.2">
      <c r="A268" s="9">
        <v>420113</v>
      </c>
      <c r="B268" s="9" t="str" cm="1">
        <f t="array" ref="B268">D268&amp;_xlfn.TEXTJOIN("",1,TEXT(E268:G268,"00"))</f>
        <v>1010002</v>
      </c>
      <c r="C268" s="30" t="str">
        <f t="shared" si="119"/>
        <v>420113,1010002</v>
      </c>
      <c r="D268" s="26">
        <v>1</v>
      </c>
      <c r="E268" s="26">
        <v>1</v>
      </c>
      <c r="F268" s="26">
        <f>W268</f>
        <v>0</v>
      </c>
      <c r="G268" s="26">
        <v>2</v>
      </c>
      <c r="H268" s="9">
        <v>201109</v>
      </c>
      <c r="I268" s="15" t="str">
        <f>IFERROR(VLOOKUP(H268,monsters[#All],4,0),"")</f>
        <v>暴徒洞穴人</v>
      </c>
      <c r="J268" s="15" t="str" cm="1">
        <f t="array" ref="J268">_xlfn.LET(_xlpm.v6p,ABS(ATAN2(O268,P268))*6/PI(),
_xlpm.output,_xlfn.IFS(_xlpm.v6p&lt;1,"正前",_xlpm.v6p&gt;5,"正后",AND(_xlpm.v6p&lt;5,_xlpm.v6p&gt;2,P268&lt;-1),"脚底",_xlpm.v6p&gt;4,"后上",_xlpm.v6p&lt;2,"前上",TRUE,"顶部"),
IFERROR(_xlpm.output,""))</f>
        <v>正前</v>
      </c>
      <c r="K268" s="12"/>
      <c r="L268" s="12" t="s">
        <v>63</v>
      </c>
      <c r="M268" s="12" t="s">
        <v>63</v>
      </c>
      <c r="N268" s="19" t="str">
        <f>O268+0&amp;","&amp;P268+0</f>
        <v>15,-1</v>
      </c>
      <c r="O268" s="24">
        <v>15</v>
      </c>
      <c r="P268" s="24">
        <v>-1</v>
      </c>
      <c r="Q268" s="19">
        <f t="shared" si="120"/>
        <v>1</v>
      </c>
      <c r="R268" s="42"/>
      <c r="S268" s="9">
        <v>7</v>
      </c>
      <c r="T268" s="19" t="str">
        <f>IF(U268&lt;&gt;"", U268+0&amp;","&amp;V268+0,"")</f>
        <v>2,3</v>
      </c>
      <c r="U268" s="24">
        <v>2</v>
      </c>
      <c r="V268" s="24">
        <v>3</v>
      </c>
      <c r="W268" s="9">
        <v>0</v>
      </c>
      <c r="X268" s="9">
        <v>11</v>
      </c>
      <c r="Y268" s="19" t="str">
        <f>IF($A268&lt;&gt;"",IF($Z268&lt;&gt;"",$Z268,"0,0"),"")</f>
        <v>-105,-100</v>
      </c>
      <c r="Z268" s="42" t="s">
        <v>133</v>
      </c>
      <c r="AA268" s="19" t="str">
        <f>IF($A268&lt;&gt;"",IF($AB268&lt;&gt;"",$AB268,"80,120"),"")</f>
        <v>80,120</v>
      </c>
      <c r="AC268" s="9">
        <v>0.8</v>
      </c>
      <c r="AD268" s="9">
        <v>0.36</v>
      </c>
      <c r="AE268" s="9">
        <v>0.3</v>
      </c>
      <c r="AF268" s="9">
        <v>3</v>
      </c>
      <c r="AG268" s="9">
        <v>100</v>
      </c>
      <c r="AI268" s="69" cm="1">
        <f t="array" ref="AI268">tuple_avg(T268)/tuple_avg(AA268)</f>
        <v>2.5000000000000001E-2</v>
      </c>
      <c r="AJ268" s="69">
        <f>AC268*AI268*'-配置辅助'!$I$8</f>
        <v>2.0000000000000004</v>
      </c>
      <c r="AK268" s="69">
        <f>AD268*AI268*'-配置辅助'!$I$10</f>
        <v>0.15</v>
      </c>
      <c r="AL268" s="69">
        <f>AJ268*_xlfn.XLOOKUP(H268,monsters[怪物id],monsters[HP],-1)</f>
        <v>118.00000000000003</v>
      </c>
      <c r="AM268" s="69">
        <f>AK268*_xlfn.XLOOKUP(H268,monsters[怪物id],monsters[HP],-1)</f>
        <v>8.85</v>
      </c>
    </row>
    <row r="269" spans="1:41" x14ac:dyDescent="0.2">
      <c r="J269" s="15" t="str" cm="1">
        <f t="array" ref="J269">_xlfn.LET(_xlpm.v6p,ABS(ATAN2(O269,P269))*6/PI(),
_xlpm.output,_xlfn.IFS(_xlpm.v6p&lt;1,"正前",_xlpm.v6p&gt;5,"正后",AND(_xlpm.v6p&lt;5,_xlpm.v6p&gt;2,P269&lt;-1),"脚底",_xlpm.v6p&gt;4,"后上",_xlpm.v6p&lt;2,"前上",TRUE,"顶部"),
IFERROR(_xlpm.output,""))</f>
        <v/>
      </c>
      <c r="Q269" s="19" t="str">
        <f t="shared" si="120"/>
        <v/>
      </c>
    </row>
    <row r="270" spans="1:41" x14ac:dyDescent="0.2">
      <c r="J270" s="15" t="str" cm="1">
        <f t="array" ref="J270">_xlfn.LET(_xlpm.v6p,ABS(ATAN2(O270,P270))*6/PI(),
_xlpm.output,_xlfn.IFS(_xlpm.v6p&lt;1,"正前",_xlpm.v6p&gt;5,"正后",AND(_xlpm.v6p&lt;5,_xlpm.v6p&gt;2,P270&lt;-1),"脚底",_xlpm.v6p&gt;4,"后上",_xlpm.v6p&lt;2,"前上",TRUE,"顶部"),
IFERROR(_xlpm.output,""))</f>
        <v/>
      </c>
    </row>
    <row r="271" spans="1:41" s="61" customFormat="1" x14ac:dyDescent="0.2">
      <c r="B271" s="62"/>
      <c r="C271" s="63" t="str">
        <f>_xlfn.TEXTJOIN(",",1,A271:B271)</f>
        <v/>
      </c>
      <c r="D271" s="64"/>
      <c r="E271" s="64"/>
      <c r="F271" s="64"/>
      <c r="G271" s="64"/>
      <c r="H271" s="62" t="s">
        <v>256</v>
      </c>
      <c r="I271" s="65"/>
      <c r="J271" s="65"/>
      <c r="O271" s="66"/>
      <c r="P271" s="66"/>
      <c r="R271" s="66"/>
      <c r="S271" s="61" t="s">
        <v>62</v>
      </c>
      <c r="U271" s="66"/>
      <c r="V271" s="66"/>
      <c r="Z271" s="66"/>
      <c r="AB271" s="66"/>
      <c r="AC271" s="61" t="s">
        <v>62</v>
      </c>
      <c r="AI271" s="72"/>
      <c r="AJ271" s="72"/>
      <c r="AK271" s="72"/>
      <c r="AL271" s="72">
        <f>SUM(AL273:AL275)</f>
        <v>402.6</v>
      </c>
      <c r="AM271" s="72">
        <f>SUM(AM273:AM275)</f>
        <v>44.22</v>
      </c>
      <c r="AN271" s="72"/>
      <c r="AO271" s="72"/>
    </row>
    <row r="272" spans="1:41" x14ac:dyDescent="0.2">
      <c r="C272" s="30" t="str">
        <f t="shared" ref="C272:C275" si="121">_xlfn.TEXTJOIN(",",1,A272:B272)</f>
        <v/>
      </c>
      <c r="S272" s="9" t="s">
        <v>62</v>
      </c>
      <c r="AC272" s="9" t="s">
        <v>62</v>
      </c>
    </row>
    <row r="273" spans="1:41" x14ac:dyDescent="0.2">
      <c r="A273" s="9">
        <v>420114</v>
      </c>
      <c r="B273" s="9" t="str" cm="1">
        <f t="array" ref="B273">D273&amp;_xlfn.TEXTJOIN("",1,TEXT(E273:G273,"00"))</f>
        <v>1010000</v>
      </c>
      <c r="C273" s="30" t="str">
        <f t="shared" si="121"/>
        <v>420114,1010000</v>
      </c>
      <c r="D273" s="26">
        <v>1</v>
      </c>
      <c r="E273" s="26">
        <v>1</v>
      </c>
      <c r="F273" s="26">
        <f>W273</f>
        <v>0</v>
      </c>
      <c r="G273" s="26">
        <v>0</v>
      </c>
      <c r="H273" s="9">
        <v>201104</v>
      </c>
      <c r="I273" s="15" t="str">
        <f>IFERROR(VLOOKUP(H273,monsters[#All],4,0),"")</f>
        <v>地宫洞穴人</v>
      </c>
      <c r="J273" s="15" t="str" cm="1">
        <f t="array" ref="J273">_xlfn.LET(_xlpm.v6p,ABS(ATAN2(O273,P273))*6/PI(),
_xlpm.output,_xlfn.IFS(_xlpm.v6p&lt;1,"正前",_xlpm.v6p&gt;5,"正后",AND(_xlpm.v6p&lt;5,_xlpm.v6p&gt;2,P273&lt;-1),"脚底",_xlpm.v6p&gt;4,"后上",_xlpm.v6p&lt;2,"前上",TRUE,"顶部"),
IFERROR(_xlpm.output,""))</f>
        <v>正前</v>
      </c>
      <c r="K273" s="12"/>
      <c r="L273" s="12" t="s">
        <v>63</v>
      </c>
      <c r="M273" s="12" t="s">
        <v>63</v>
      </c>
      <c r="N273" s="19" t="str">
        <f>O273+0&amp;","&amp;P273+0</f>
        <v>15,-1</v>
      </c>
      <c r="O273" s="24">
        <v>15</v>
      </c>
      <c r="P273" s="24">
        <v>-1</v>
      </c>
      <c r="Q273" s="19">
        <f t="shared" ref="Q273:Q275" si="122">_xlfn.LET(_xlpm._default,1,
_xlpm._custom,R273,
IF($A273&lt;&gt;"",IF(_xlpm._custom&lt;&gt;"",_xlpm._custom,_xlpm._default),""))</f>
        <v>1</v>
      </c>
      <c r="S273" s="9">
        <v>9</v>
      </c>
      <c r="T273" s="19" t="str">
        <f>IF(U273&lt;&gt;"", U273+0&amp;","&amp;V273+0,"")</f>
        <v>2,4</v>
      </c>
      <c r="U273" s="24">
        <v>2</v>
      </c>
      <c r="V273" s="24">
        <v>4</v>
      </c>
      <c r="W273" s="9">
        <v>0</v>
      </c>
      <c r="X273" s="9">
        <v>11</v>
      </c>
      <c r="Y273" s="19" t="str">
        <f>IF($A273&lt;&gt;"",IF($Z273&lt;&gt;"",$Z273,"0,0"),"")</f>
        <v>70,75</v>
      </c>
      <c r="Z273" s="24" t="s">
        <v>132</v>
      </c>
      <c r="AA273" s="19" t="str">
        <f>IF($A273&lt;&gt;"",IF($AB273&lt;&gt;"",$AB273,"80,120"),"")</f>
        <v>80,120</v>
      </c>
      <c r="AC273" s="9">
        <v>0.45</v>
      </c>
      <c r="AD273" s="9">
        <v>0.3</v>
      </c>
      <c r="AE273" s="9">
        <v>0.3</v>
      </c>
      <c r="AF273" s="9">
        <v>3</v>
      </c>
      <c r="AG273" s="9">
        <v>100</v>
      </c>
      <c r="AI273" s="69" cm="1">
        <f t="array" ref="AI273">tuple_avg(T273)/tuple_avg(AA273)</f>
        <v>0.03</v>
      </c>
      <c r="AJ273" s="69">
        <f>AC273*AI273*'-配置辅助'!$I$8</f>
        <v>1.35</v>
      </c>
      <c r="AK273" s="69">
        <f>AD273*AI273*'-配置辅助'!$I$10</f>
        <v>0.15</v>
      </c>
      <c r="AL273" s="69">
        <f>AJ273*_xlfn.XLOOKUP(H273,monsters[怪物id],monsters[HP],-1)</f>
        <v>89.100000000000009</v>
      </c>
      <c r="AM273" s="69">
        <f>AK273*_xlfn.XLOOKUP(H273,monsters[怪物id],monsters[HP],-1)</f>
        <v>9.9</v>
      </c>
    </row>
    <row r="274" spans="1:41" x14ac:dyDescent="0.2">
      <c r="A274" s="9">
        <v>420114</v>
      </c>
      <c r="B274" s="9" t="str" cm="1">
        <f t="array" ref="B274">D274&amp;_xlfn.TEXTJOIN("",1,TEXT(E274:G274,"00"))</f>
        <v>1010001</v>
      </c>
      <c r="C274" s="30" t="str">
        <f t="shared" si="121"/>
        <v>420114,1010001</v>
      </c>
      <c r="D274" s="26">
        <v>1</v>
      </c>
      <c r="E274" s="26">
        <v>1</v>
      </c>
      <c r="F274" s="26">
        <f>W274</f>
        <v>0</v>
      </c>
      <c r="G274" s="26">
        <v>1</v>
      </c>
      <c r="H274" s="9">
        <v>201104</v>
      </c>
      <c r="I274" s="15" t="str">
        <f>IFERROR(VLOOKUP(H274,monsters[#All],4,0),"")</f>
        <v>地宫洞穴人</v>
      </c>
      <c r="J274" s="15" t="str" cm="1">
        <f t="array" ref="J274">_xlfn.LET(_xlpm.v6p,ABS(ATAN2(O274,P274))*6/PI(),
_xlpm.output,_xlfn.IFS(_xlpm.v6p&lt;1,"正前",_xlpm.v6p&gt;5,"正后",AND(_xlpm.v6p&lt;5,_xlpm.v6p&gt;2,P274&lt;-1),"脚底",_xlpm.v6p&gt;4,"后上",_xlpm.v6p&lt;2,"前上",TRUE,"顶部"),
IFERROR(_xlpm.output,""))</f>
        <v>正前</v>
      </c>
      <c r="K274" s="12"/>
      <c r="L274" s="12" t="s">
        <v>63</v>
      </c>
      <c r="M274" s="12" t="s">
        <v>63</v>
      </c>
      <c r="N274" s="19" t="str">
        <f>O274+0&amp;","&amp;P274+0</f>
        <v>15,-1</v>
      </c>
      <c r="O274" s="24">
        <v>15</v>
      </c>
      <c r="P274" s="24">
        <v>-1</v>
      </c>
      <c r="Q274" s="19">
        <f t="shared" si="122"/>
        <v>1</v>
      </c>
      <c r="S274" s="9">
        <v>11</v>
      </c>
      <c r="T274" s="19" t="str">
        <f>IF(U274&lt;&gt;"", U274+0&amp;","&amp;V274+0,"")</f>
        <v>3,5</v>
      </c>
      <c r="U274" s="24">
        <v>3</v>
      </c>
      <c r="V274" s="24">
        <v>5</v>
      </c>
      <c r="W274" s="9">
        <v>0</v>
      </c>
      <c r="X274" s="9">
        <v>11</v>
      </c>
      <c r="Y274" s="19" t="str">
        <f>IF($A274&lt;&gt;"",IF($Z274&lt;&gt;"",$Z274,"0,0"),"")</f>
        <v>0,0</v>
      </c>
      <c r="AA274" s="19" t="str">
        <f>IF($A274&lt;&gt;"",IF($AB274&lt;&gt;"",$AB274,"80,120"),"")</f>
        <v>80,120</v>
      </c>
      <c r="AC274" s="9">
        <v>0.5</v>
      </c>
      <c r="AD274" s="9">
        <v>0.33</v>
      </c>
      <c r="AE274" s="9">
        <v>0.3</v>
      </c>
      <c r="AF274" s="9">
        <v>3</v>
      </c>
      <c r="AG274" s="9">
        <v>100</v>
      </c>
      <c r="AI274" s="69" cm="1">
        <f t="array" ref="AI274">tuple_avg(T274)/tuple_avg(AA274)</f>
        <v>0.04</v>
      </c>
      <c r="AJ274" s="69">
        <f>AC274*AI274*'-配置辅助'!$I$8</f>
        <v>2</v>
      </c>
      <c r="AK274" s="69">
        <f>AD274*AI274*'-配置辅助'!$I$10</f>
        <v>0.22000000000000006</v>
      </c>
      <c r="AL274" s="69">
        <f>AJ274*_xlfn.XLOOKUP(H274,monsters[怪物id],monsters[HP],-1)</f>
        <v>132</v>
      </c>
      <c r="AM274" s="69">
        <f>AK274*_xlfn.XLOOKUP(H274,monsters[怪物id],monsters[HP],-1)</f>
        <v>14.520000000000003</v>
      </c>
    </row>
    <row r="275" spans="1:41" x14ac:dyDescent="0.2">
      <c r="A275" s="9">
        <v>420114</v>
      </c>
      <c r="B275" s="9" t="str" cm="1">
        <f t="array" ref="B275">D275&amp;_xlfn.TEXTJOIN("",1,TEXT(E275:G275,"00"))</f>
        <v>1010002</v>
      </c>
      <c r="C275" s="30" t="str">
        <f t="shared" si="121"/>
        <v>420114,1010002</v>
      </c>
      <c r="D275" s="26">
        <v>1</v>
      </c>
      <c r="E275" s="26">
        <v>1</v>
      </c>
      <c r="F275" s="26">
        <f>W275</f>
        <v>0</v>
      </c>
      <c r="G275" s="26">
        <v>2</v>
      </c>
      <c r="H275" s="9">
        <v>201104</v>
      </c>
      <c r="I275" s="15" t="str">
        <f>IFERROR(VLOOKUP(H275,monsters[#All],4,0),"")</f>
        <v>地宫洞穴人</v>
      </c>
      <c r="J275" s="15" t="str" cm="1">
        <f t="array" ref="J275">_xlfn.LET(_xlpm.v6p,ABS(ATAN2(O275,P275))*6/PI(),
_xlpm.output,_xlfn.IFS(_xlpm.v6p&lt;1,"正前",_xlpm.v6p&gt;5,"正后",AND(_xlpm.v6p&lt;5,_xlpm.v6p&gt;2,P275&lt;-1),"脚底",_xlpm.v6p&gt;4,"后上",_xlpm.v6p&lt;2,"前上",TRUE,"顶部"),
IFERROR(_xlpm.output,""))</f>
        <v>正前</v>
      </c>
      <c r="K275" s="12"/>
      <c r="L275" s="12" t="s">
        <v>63</v>
      </c>
      <c r="M275" s="12" t="s">
        <v>63</v>
      </c>
      <c r="N275" s="19" t="str">
        <f>O275+0&amp;","&amp;P275+0</f>
        <v>15,-1</v>
      </c>
      <c r="O275" s="24">
        <v>15</v>
      </c>
      <c r="P275" s="24">
        <v>-1</v>
      </c>
      <c r="Q275" s="19">
        <f t="shared" si="122"/>
        <v>1</v>
      </c>
      <c r="R275" s="42"/>
      <c r="S275" s="9">
        <v>13</v>
      </c>
      <c r="T275" s="19" t="str">
        <f>IF(U275&lt;&gt;"", U275+0&amp;","&amp;V275+0,"")</f>
        <v>4,6</v>
      </c>
      <c r="U275" s="24">
        <v>4</v>
      </c>
      <c r="V275" s="24">
        <v>6</v>
      </c>
      <c r="W275" s="9">
        <v>0</v>
      </c>
      <c r="X275" s="9">
        <v>11</v>
      </c>
      <c r="Y275" s="19" t="str">
        <f>IF($A275&lt;&gt;"",IF($Z275&lt;&gt;"",$Z275,"0,0"),"")</f>
        <v>-105,-100</v>
      </c>
      <c r="Z275" s="42" t="s">
        <v>133</v>
      </c>
      <c r="AA275" s="19" t="str">
        <f>IF($A275&lt;&gt;"",IF($AB275&lt;&gt;"",$AB275,"80,120"),"")</f>
        <v>80,120</v>
      </c>
      <c r="AC275" s="9">
        <v>0.55000000000000004</v>
      </c>
      <c r="AD275" s="9">
        <v>0.36</v>
      </c>
      <c r="AE275" s="9">
        <v>0.3</v>
      </c>
      <c r="AF275" s="9">
        <v>3</v>
      </c>
      <c r="AG275" s="9">
        <v>100</v>
      </c>
      <c r="AI275" s="69" cm="1">
        <f t="array" ref="AI275">tuple_avg(T275)/tuple_avg(AA275)</f>
        <v>0.05</v>
      </c>
      <c r="AJ275" s="69">
        <f>AC275*AI275*'-配置辅助'!$I$8</f>
        <v>2.7500000000000004</v>
      </c>
      <c r="AK275" s="69">
        <f>AD275*AI275*'-配置辅助'!$I$10</f>
        <v>0.3</v>
      </c>
      <c r="AL275" s="69">
        <f>AJ275*_xlfn.XLOOKUP(H275,monsters[怪物id],monsters[HP],-1)</f>
        <v>181.50000000000003</v>
      </c>
      <c r="AM275" s="69">
        <f>AK275*_xlfn.XLOOKUP(H275,monsters[怪物id],monsters[HP],-1)</f>
        <v>19.8</v>
      </c>
    </row>
    <row r="278" spans="1:41" s="61" customFormat="1" x14ac:dyDescent="0.2">
      <c r="B278" s="62"/>
      <c r="C278" s="63" t="str">
        <f>_xlfn.TEXTJOIN(",",1,A278:B278)</f>
        <v/>
      </c>
      <c r="D278" s="64"/>
      <c r="E278" s="64"/>
      <c r="F278" s="64"/>
      <c r="G278" s="64"/>
      <c r="H278" s="62" t="s">
        <v>257</v>
      </c>
      <c r="I278" s="65"/>
      <c r="J278" s="65"/>
      <c r="O278" s="66"/>
      <c r="P278" s="66"/>
      <c r="R278" s="66"/>
      <c r="S278" s="61" t="s">
        <v>62</v>
      </c>
      <c r="U278" s="66"/>
      <c r="V278" s="66"/>
      <c r="Z278" s="66"/>
      <c r="AB278" s="66"/>
      <c r="AC278" s="61" t="s">
        <v>62</v>
      </c>
      <c r="AI278" s="72"/>
      <c r="AJ278" s="72"/>
      <c r="AK278" s="72"/>
      <c r="AL278" s="72"/>
      <c r="AM278" s="72"/>
      <c r="AN278" s="72"/>
      <c r="AO278" s="72"/>
    </row>
    <row r="279" spans="1:41" x14ac:dyDescent="0.2">
      <c r="C279" s="30" t="str">
        <f t="shared" ref="C279:C282" si="123">_xlfn.TEXTJOIN(",",1,A279:B279)</f>
        <v/>
      </c>
      <c r="S279" s="9" t="s">
        <v>62</v>
      </c>
      <c r="AC279" s="9" t="s">
        <v>62</v>
      </c>
    </row>
    <row r="280" spans="1:41" x14ac:dyDescent="0.2">
      <c r="A280" s="9">
        <v>420123</v>
      </c>
      <c r="B280" s="9" t="str" cm="1">
        <f t="array" ref="B280">D280&amp;_xlfn.TEXTJOIN("",1,TEXT(E280:G280,"00"))</f>
        <v>1010000</v>
      </c>
      <c r="C280" s="30" t="str">
        <f t="shared" si="123"/>
        <v>420123,1010000</v>
      </c>
      <c r="D280" s="26">
        <v>1</v>
      </c>
      <c r="E280" s="26">
        <v>1</v>
      </c>
      <c r="F280" s="26">
        <f>W280</f>
        <v>0</v>
      </c>
      <c r="G280" s="26">
        <v>0</v>
      </c>
      <c r="H280" s="9">
        <v>201102</v>
      </c>
      <c r="I280" s="15" t="str">
        <f>IFERROR(VLOOKUP(H280,monsters[#All],4,0),"")</f>
        <v>自爆甲虫</v>
      </c>
      <c r="J280" s="15" t="str" cm="1">
        <f t="array" ref="J280">_xlfn.LET(_xlpm.v6p,ABS(ATAN2(O280,P280))*6/PI(),
_xlpm.output,_xlfn.IFS(_xlpm.v6p&lt;1,"正前",_xlpm.v6p&gt;5,"正后",AND(_xlpm.v6p&lt;5,_xlpm.v6p&gt;2,P280&lt;-1),"脚底",_xlpm.v6p&gt;4,"后上",_xlpm.v6p&lt;2,"前上",TRUE,"顶部"),
IFERROR(_xlpm.output,""))</f>
        <v>正前</v>
      </c>
      <c r="K280" s="12"/>
      <c r="L280" s="12" t="s">
        <v>63</v>
      </c>
      <c r="M280" s="12" t="s">
        <v>63</v>
      </c>
      <c r="N280" s="19" t="str">
        <f>O280+0&amp;","&amp;P280+0</f>
        <v>15,-1</v>
      </c>
      <c r="O280" s="24">
        <v>15</v>
      </c>
      <c r="P280" s="24">
        <v>-1</v>
      </c>
      <c r="Q280" s="19">
        <f t="shared" ref="Q280:Q282" si="124">_xlfn.LET(_xlpm._default,1,
_xlpm._custom,R280,
IF($A280&lt;&gt;"",IF(_xlpm._custom&lt;&gt;"",_xlpm._custom,_xlpm._default),""))</f>
        <v>1</v>
      </c>
      <c r="S280" s="9">
        <v>3</v>
      </c>
      <c r="T280" s="19" t="str">
        <f>IF(U280&lt;&gt;"", U280+0&amp;","&amp;V280+0,"")</f>
        <v>1,1</v>
      </c>
      <c r="U280" s="24">
        <v>1</v>
      </c>
      <c r="V280" s="24">
        <v>1</v>
      </c>
      <c r="W280" s="9">
        <v>0</v>
      </c>
      <c r="X280" s="9">
        <v>11</v>
      </c>
      <c r="Y280" s="19" t="str">
        <f>IF($A280&lt;&gt;"",IF($Z280&lt;&gt;"",$Z280,"0,0"),"")</f>
        <v>70,75</v>
      </c>
      <c r="Z280" s="24" t="s">
        <v>132</v>
      </c>
      <c r="AA280" s="19" t="str">
        <f>IF($A280&lt;&gt;"",IF($AB280&lt;&gt;"",$AB280,"80,120"),"")</f>
        <v>80,120</v>
      </c>
      <c r="AC280" s="9">
        <v>0.35</v>
      </c>
      <c r="AD280" s="9">
        <v>0</v>
      </c>
      <c r="AE280" s="9">
        <v>0.3</v>
      </c>
      <c r="AF280" s="9">
        <v>3</v>
      </c>
      <c r="AG280" s="9">
        <v>100</v>
      </c>
    </row>
    <row r="281" spans="1:41" x14ac:dyDescent="0.2">
      <c r="A281" s="9">
        <v>420123</v>
      </c>
      <c r="B281" s="9" t="str" cm="1">
        <f t="array" ref="B281">D281&amp;_xlfn.TEXTJOIN("",1,TEXT(E281:G281,"00"))</f>
        <v>1010001</v>
      </c>
      <c r="C281" s="30" t="str">
        <f t="shared" si="123"/>
        <v>420123,1010001</v>
      </c>
      <c r="D281" s="26">
        <v>1</v>
      </c>
      <c r="E281" s="26">
        <v>1</v>
      </c>
      <c r="F281" s="26">
        <f>W281</f>
        <v>0</v>
      </c>
      <c r="G281" s="26">
        <v>1</v>
      </c>
      <c r="H281" s="9">
        <v>201102</v>
      </c>
      <c r="I281" s="15" t="str">
        <f>IFERROR(VLOOKUP(H281,monsters[#All],4,0),"")</f>
        <v>自爆甲虫</v>
      </c>
      <c r="J281" s="15" t="str" cm="1">
        <f t="array" ref="J281">_xlfn.LET(_xlpm.v6p,ABS(ATAN2(O281,P281))*6/PI(),
_xlpm.output,_xlfn.IFS(_xlpm.v6p&lt;1,"正前",_xlpm.v6p&gt;5,"正后",AND(_xlpm.v6p&lt;5,_xlpm.v6p&gt;2,P281&lt;-1),"脚底",_xlpm.v6p&gt;4,"后上",_xlpm.v6p&lt;2,"前上",TRUE,"顶部"),
IFERROR(_xlpm.output,""))</f>
        <v>正前</v>
      </c>
      <c r="K281" s="12"/>
      <c r="L281" s="12" t="s">
        <v>63</v>
      </c>
      <c r="M281" s="12" t="s">
        <v>63</v>
      </c>
      <c r="N281" s="19" t="str">
        <f>O281+0&amp;","&amp;P281+0</f>
        <v>15,-1</v>
      </c>
      <c r="O281" s="24">
        <v>15</v>
      </c>
      <c r="P281" s="24">
        <v>-1</v>
      </c>
      <c r="Q281" s="19">
        <f t="shared" si="124"/>
        <v>3</v>
      </c>
      <c r="R281" s="24">
        <v>3</v>
      </c>
      <c r="S281" s="9">
        <v>3</v>
      </c>
      <c r="T281" s="19" t="str">
        <f>IF(U281&lt;&gt;"", U281+0&amp;","&amp;V281+0,"")</f>
        <v>1,2</v>
      </c>
      <c r="U281" s="24">
        <v>1</v>
      </c>
      <c r="V281" s="24">
        <v>2</v>
      </c>
      <c r="W281" s="9">
        <v>0</v>
      </c>
      <c r="X281" s="9">
        <v>11</v>
      </c>
      <c r="Y281" s="19" t="str">
        <f>IF($A281&lt;&gt;"",IF($Z281&lt;&gt;"",$Z281,"0,0"),"")</f>
        <v>0,0</v>
      </c>
      <c r="AA281" s="19" t="str">
        <f>IF($A281&lt;&gt;"",IF($AB281&lt;&gt;"",$AB281,"80,120"),"")</f>
        <v>80,120</v>
      </c>
      <c r="AC281" s="9">
        <v>0.6</v>
      </c>
      <c r="AD281" s="9">
        <v>0</v>
      </c>
      <c r="AE281" s="9">
        <v>0.3</v>
      </c>
      <c r="AF281" s="9">
        <v>3</v>
      </c>
      <c r="AG281" s="9">
        <v>100</v>
      </c>
    </row>
    <row r="282" spans="1:41" x14ac:dyDescent="0.2">
      <c r="A282" s="9">
        <v>420123</v>
      </c>
      <c r="B282" s="9" t="str" cm="1">
        <f t="array" ref="B282">D282&amp;_xlfn.TEXTJOIN("",1,TEXT(E282:G282,"00"))</f>
        <v>1010002</v>
      </c>
      <c r="C282" s="30" t="str">
        <f t="shared" si="123"/>
        <v>420123,1010002</v>
      </c>
      <c r="D282" s="26">
        <v>1</v>
      </c>
      <c r="E282" s="26">
        <v>1</v>
      </c>
      <c r="F282" s="26">
        <f>W282</f>
        <v>0</v>
      </c>
      <c r="G282" s="26">
        <v>2</v>
      </c>
      <c r="H282" s="9">
        <v>201102</v>
      </c>
      <c r="I282" s="15" t="str">
        <f>IFERROR(VLOOKUP(H282,monsters[#All],4,0),"")</f>
        <v>自爆甲虫</v>
      </c>
      <c r="J282" s="15" t="str" cm="1">
        <f t="array" ref="J282">_xlfn.LET(_xlpm.v6p,ABS(ATAN2(O282,P282))*6/PI(),
_xlpm.output,_xlfn.IFS(_xlpm.v6p&lt;1,"正前",_xlpm.v6p&gt;5,"正后",AND(_xlpm.v6p&lt;5,_xlpm.v6p&gt;2,P282&lt;-1),"脚底",_xlpm.v6p&gt;4,"后上",_xlpm.v6p&lt;2,"前上",TRUE,"顶部"),
IFERROR(_xlpm.output,""))</f>
        <v>正前</v>
      </c>
      <c r="K282" s="12"/>
      <c r="L282" s="12" t="s">
        <v>63</v>
      </c>
      <c r="M282" s="12" t="s">
        <v>63</v>
      </c>
      <c r="N282" s="19" t="str">
        <f>O282+0&amp;","&amp;P282+0</f>
        <v>15,-1</v>
      </c>
      <c r="O282" s="24">
        <v>15</v>
      </c>
      <c r="P282" s="24">
        <v>-1</v>
      </c>
      <c r="Q282" s="19">
        <f t="shared" si="124"/>
        <v>3</v>
      </c>
      <c r="R282" s="42">
        <v>3</v>
      </c>
      <c r="S282" s="9">
        <v>4</v>
      </c>
      <c r="T282" s="19" t="str">
        <f>IF(U282&lt;&gt;"", U282+0&amp;","&amp;V282+0,"")</f>
        <v>1,2</v>
      </c>
      <c r="U282" s="24">
        <v>1</v>
      </c>
      <c r="V282" s="24">
        <v>2</v>
      </c>
      <c r="W282" s="9">
        <v>0</v>
      </c>
      <c r="X282" s="9">
        <v>11</v>
      </c>
      <c r="Y282" s="19" t="str">
        <f>IF($A282&lt;&gt;"",IF($Z282&lt;&gt;"",$Z282,"0,0"),"")</f>
        <v>-105,-100</v>
      </c>
      <c r="Z282" s="42" t="s">
        <v>133</v>
      </c>
      <c r="AA282" s="19" t="str">
        <f>IF($A282&lt;&gt;"",IF($AB282&lt;&gt;"",$AB282,"80,120"),"")</f>
        <v>80,120</v>
      </c>
      <c r="AC282" s="9">
        <v>1</v>
      </c>
      <c r="AD282" s="9">
        <v>0</v>
      </c>
      <c r="AE282" s="9">
        <v>0.3</v>
      </c>
      <c r="AF282" s="9">
        <v>3</v>
      </c>
      <c r="AG282" s="9">
        <v>100</v>
      </c>
    </row>
    <row r="284" spans="1:41" x14ac:dyDescent="0.2">
      <c r="A284" s="9">
        <v>420123</v>
      </c>
      <c r="B284" s="9" t="str" cm="1">
        <f t="array" ref="B284">D284&amp;_xlfn.TEXTJOIN("",1,TEXT(E284:G284,"00"))</f>
        <v>2010001</v>
      </c>
      <c r="C284" s="30" t="str">
        <f t="shared" ref="C284:C288" si="125">_xlfn.TEXTJOIN(",",1,A284:B284)</f>
        <v>420123,2010001</v>
      </c>
      <c r="D284" s="26">
        <v>2</v>
      </c>
      <c r="E284" s="26">
        <v>1</v>
      </c>
      <c r="F284" s="26">
        <f>W284</f>
        <v>0</v>
      </c>
      <c r="G284" s="26">
        <v>1</v>
      </c>
      <c r="H284" s="9">
        <v>201102</v>
      </c>
      <c r="I284" s="15" t="str">
        <f>IFERROR(VLOOKUP(H284,monsters[#All],4,0),"")</f>
        <v>自爆甲虫</v>
      </c>
      <c r="J284" s="15" t="str" cm="1">
        <f t="array" ref="J284">_xlfn.LET(_xlpm.v6p,ABS(ATAN2(O284,P284))*6/PI(),
_xlpm.output,_xlfn.IFS(_xlpm.v6p&lt;1,"正前",_xlpm.v6p&gt;5,"正后",AND(_xlpm.v6p&lt;5,_xlpm.v6p&gt;2,P284&lt;-1),"脚底",_xlpm.v6p&gt;4,"后上",_xlpm.v6p&lt;2,"前上",TRUE,"顶部"),
IFERROR(_xlpm.output,""))</f>
        <v>前上</v>
      </c>
      <c r="K284" s="12"/>
      <c r="L284" s="12" t="s">
        <v>28</v>
      </c>
      <c r="M284" s="12" t="s">
        <v>63</v>
      </c>
      <c r="N284" s="19" t="str">
        <f t="shared" ref="N284:N288" si="126">O284+0&amp;","&amp;P284+0</f>
        <v>20,12</v>
      </c>
      <c r="O284" s="24">
        <v>20</v>
      </c>
      <c r="P284" s="24">
        <v>12</v>
      </c>
      <c r="Q284" s="19">
        <f t="shared" ref="Q284:Q288" si="127">_xlfn.LET(_xlpm._default,1,
_xlpm._custom,R284,
IF($A284&lt;&gt;"",IF(_xlpm._custom&lt;&gt;"",_xlpm._custom,_xlpm._default),""))</f>
        <v>1</v>
      </c>
      <c r="S284" s="9">
        <v>1</v>
      </c>
      <c r="T284" s="19" t="str">
        <f t="shared" ref="T284:T288" si="128">IF(U284&lt;&gt;"", U284+0&amp;","&amp;V284+0,"")</f>
        <v/>
      </c>
      <c r="W284" s="9">
        <v>0</v>
      </c>
      <c r="X284" s="9">
        <v>11</v>
      </c>
      <c r="Y284" s="19" t="str">
        <f t="shared" ref="Y284:Y288" si="129">IF($A284&lt;&gt;"",IF($Z284&lt;&gt;"",$Z284,"0,0"),"")</f>
        <v>-250,-200</v>
      </c>
      <c r="Z284" s="42" t="s">
        <v>258</v>
      </c>
      <c r="AA284" s="19" t="str">
        <f>IF($A284&lt;&gt;"",IF($AB284&lt;&gt;"",$AB284,"80,120"),"")</f>
        <v>80,120</v>
      </c>
      <c r="AC284" s="9">
        <v>0</v>
      </c>
      <c r="AD284" s="9">
        <v>1.1000000000000001</v>
      </c>
      <c r="AE284" s="9">
        <v>0</v>
      </c>
      <c r="AF284" s="9">
        <v>1</v>
      </c>
      <c r="AG284" s="19">
        <v>1.8</v>
      </c>
    </row>
    <row r="285" spans="1:41" x14ac:dyDescent="0.2">
      <c r="A285" s="9">
        <v>420123</v>
      </c>
      <c r="B285" s="9" t="str" cm="1">
        <f t="array" ref="B285">D285&amp;_xlfn.TEXTJOIN("",1,TEXT(E285:G285,"00"))</f>
        <v>2010002</v>
      </c>
      <c r="C285" s="30" t="str">
        <f t="shared" si="125"/>
        <v>420123,2010002</v>
      </c>
      <c r="D285" s="26">
        <v>2</v>
      </c>
      <c r="E285" s="26">
        <v>1</v>
      </c>
      <c r="F285" s="26">
        <f>W285</f>
        <v>0</v>
      </c>
      <c r="G285" s="26">
        <v>2</v>
      </c>
      <c r="H285" s="9">
        <v>201102</v>
      </c>
      <c r="I285" s="15" t="str">
        <f>IFERROR(VLOOKUP(H285,monsters[#All],4,0),"")</f>
        <v>自爆甲虫</v>
      </c>
      <c r="J285" s="15" t="str" cm="1">
        <f t="array" ref="J285">_xlfn.LET(_xlpm.v6p,ABS(ATAN2(O285,P285))*6/PI(),
_xlpm.output,_xlfn.IFS(_xlpm.v6p&lt;1,"正前",_xlpm.v6p&gt;5,"正后",AND(_xlpm.v6p&lt;5,_xlpm.v6p&gt;2,P285&lt;-1),"脚底",_xlpm.v6p&gt;4,"后上",_xlpm.v6p&lt;2,"前上",TRUE,"顶部"),
IFERROR(_xlpm.output,""))</f>
        <v>正前</v>
      </c>
      <c r="K285" s="12"/>
      <c r="L285" s="12" t="s">
        <v>28</v>
      </c>
      <c r="M285" s="12" t="s">
        <v>63</v>
      </c>
      <c r="N285" s="19" t="str">
        <f t="shared" si="126"/>
        <v>20,8</v>
      </c>
      <c r="O285" s="24">
        <v>20</v>
      </c>
      <c r="P285" s="24">
        <v>8</v>
      </c>
      <c r="Q285" s="19">
        <f t="shared" si="127"/>
        <v>1</v>
      </c>
      <c r="S285" s="9">
        <v>1</v>
      </c>
      <c r="T285" s="19" t="str">
        <f t="shared" si="128"/>
        <v/>
      </c>
      <c r="W285" s="9">
        <v>0</v>
      </c>
      <c r="X285" s="9">
        <v>11</v>
      </c>
      <c r="Y285" s="19" t="str">
        <f t="shared" si="129"/>
        <v>-350,-300</v>
      </c>
      <c r="Z285" s="42" t="s">
        <v>259</v>
      </c>
      <c r="AA285" s="19" t="str">
        <f>IF($A285&lt;&gt;"",IF($AB285&lt;&gt;"",$AB285,"80,120"),"")</f>
        <v>80,120</v>
      </c>
      <c r="AC285" s="9">
        <v>0</v>
      </c>
      <c r="AD285" s="9">
        <v>1.3</v>
      </c>
      <c r="AE285" s="9">
        <v>0</v>
      </c>
      <c r="AF285" s="9">
        <v>1</v>
      </c>
      <c r="AG285" s="9">
        <v>2.6</v>
      </c>
    </row>
    <row r="286" spans="1:41" x14ac:dyDescent="0.2">
      <c r="A286" s="9">
        <v>420123</v>
      </c>
      <c r="B286" s="9" t="str" cm="1">
        <f t="array" ref="B286">D286&amp;_xlfn.TEXTJOIN("",1,TEXT(E286:G286,"00"))</f>
        <v>2010003</v>
      </c>
      <c r="C286" s="30" t="str">
        <f t="shared" si="125"/>
        <v>420123,2010003</v>
      </c>
      <c r="D286" s="26">
        <v>2</v>
      </c>
      <c r="E286" s="26">
        <v>1</v>
      </c>
      <c r="F286" s="26">
        <f>W286</f>
        <v>0</v>
      </c>
      <c r="G286" s="26">
        <v>3</v>
      </c>
      <c r="H286" s="9">
        <v>201102</v>
      </c>
      <c r="I286" s="15" t="str">
        <f>IFERROR(VLOOKUP(H286,monsters[#All],4,0),"")</f>
        <v>自爆甲虫</v>
      </c>
      <c r="J286" s="15" t="str" cm="1">
        <f t="array" ref="J286">_xlfn.LET(_xlpm.v6p,ABS(ATAN2(O286,P286))*6/PI(),
_xlpm.output,_xlfn.IFS(_xlpm.v6p&lt;1,"正前",_xlpm.v6p&gt;5,"正后",AND(_xlpm.v6p&lt;5,_xlpm.v6p&gt;2,P286&lt;-1),"脚底",_xlpm.v6p&gt;4,"后上",_xlpm.v6p&lt;2,"前上",TRUE,"顶部"),
IFERROR(_xlpm.output,""))</f>
        <v>正前</v>
      </c>
      <c r="K286" s="12"/>
      <c r="L286" s="12" t="s">
        <v>28</v>
      </c>
      <c r="M286" s="12" t="s">
        <v>63</v>
      </c>
      <c r="N286" s="19" t="str">
        <f t="shared" si="126"/>
        <v>20,5</v>
      </c>
      <c r="O286" s="24">
        <v>20</v>
      </c>
      <c r="P286" s="24">
        <v>5</v>
      </c>
      <c r="Q286" s="19">
        <f t="shared" si="127"/>
        <v>1</v>
      </c>
      <c r="S286" s="9">
        <v>1</v>
      </c>
      <c r="T286" s="19" t="str">
        <f t="shared" si="128"/>
        <v/>
      </c>
      <c r="W286" s="9">
        <v>0</v>
      </c>
      <c r="X286" s="9">
        <v>11</v>
      </c>
      <c r="Y286" s="19" t="str">
        <f t="shared" si="129"/>
        <v>-450,-400</v>
      </c>
      <c r="Z286" s="42" t="s">
        <v>260</v>
      </c>
      <c r="AA286" s="19" t="str">
        <f>IF($A286&lt;&gt;"",IF($AB286&lt;&gt;"",$AB286,"80,120"),"")</f>
        <v>80,120</v>
      </c>
      <c r="AC286" s="9">
        <v>0</v>
      </c>
      <c r="AD286" s="9">
        <v>1.6</v>
      </c>
      <c r="AE286" s="9">
        <v>0</v>
      </c>
      <c r="AF286" s="9">
        <v>1</v>
      </c>
      <c r="AG286" s="9">
        <v>3.4000000000000004</v>
      </c>
    </row>
    <row r="287" spans="1:41" x14ac:dyDescent="0.2">
      <c r="A287" s="9">
        <v>420123</v>
      </c>
      <c r="B287" s="9" t="str" cm="1">
        <f t="array" ref="B287">D287&amp;_xlfn.TEXTJOIN("",1,TEXT(E287:G287,"00"))</f>
        <v>2010004</v>
      </c>
      <c r="C287" s="30" t="str">
        <f t="shared" si="125"/>
        <v>420123,2010004</v>
      </c>
      <c r="D287" s="26">
        <v>2</v>
      </c>
      <c r="E287" s="26">
        <v>1</v>
      </c>
      <c r="F287" s="26">
        <f>W287</f>
        <v>0</v>
      </c>
      <c r="G287" s="26">
        <v>4</v>
      </c>
      <c r="H287" s="9">
        <v>201102</v>
      </c>
      <c r="I287" s="15" t="str">
        <f>IFERROR(VLOOKUP(H287,monsters[#All],4,0),"")</f>
        <v>自爆甲虫</v>
      </c>
      <c r="J287" s="15" t="str" cm="1">
        <f t="array" ref="J287">_xlfn.LET(_xlpm.v6p,ABS(ATAN2(O287,P287))*6/PI(),
_xlpm.output,_xlfn.IFS(_xlpm.v6p&lt;1,"正前",_xlpm.v6p&gt;5,"正后",AND(_xlpm.v6p&lt;5,_xlpm.v6p&gt;2,P287&lt;-1),"脚底",_xlpm.v6p&gt;4,"后上",_xlpm.v6p&lt;2,"前上",TRUE,"顶部"),
IFERROR(_xlpm.output,""))</f>
        <v>正前</v>
      </c>
      <c r="K287" s="12"/>
      <c r="L287" s="12" t="s">
        <v>28</v>
      </c>
      <c r="M287" s="12" t="s">
        <v>63</v>
      </c>
      <c r="N287" s="19" t="str">
        <f t="shared" si="126"/>
        <v>20,2</v>
      </c>
      <c r="O287" s="24">
        <v>20</v>
      </c>
      <c r="P287" s="24">
        <v>2</v>
      </c>
      <c r="Q287" s="19">
        <f t="shared" si="127"/>
        <v>1</v>
      </c>
      <c r="S287" s="9">
        <v>1</v>
      </c>
      <c r="T287" s="19" t="str">
        <f t="shared" si="128"/>
        <v/>
      </c>
      <c r="W287" s="9">
        <v>0</v>
      </c>
      <c r="X287" s="9">
        <v>11</v>
      </c>
      <c r="Y287" s="19" t="str">
        <f t="shared" si="129"/>
        <v>-550,-500</v>
      </c>
      <c r="Z287" s="42" t="s">
        <v>261</v>
      </c>
      <c r="AA287" s="19" t="str">
        <f>IF($A287&lt;&gt;"",IF($AB287&lt;&gt;"",$AB287,"80,120"),"")</f>
        <v>80,120</v>
      </c>
      <c r="AC287" s="9">
        <v>0</v>
      </c>
      <c r="AD287" s="9">
        <v>1.9</v>
      </c>
      <c r="AE287" s="9">
        <v>0</v>
      </c>
      <c r="AF287" s="9">
        <v>1</v>
      </c>
      <c r="AG287" s="9">
        <v>4.6000000000000005</v>
      </c>
    </row>
    <row r="288" spans="1:41" x14ac:dyDescent="0.2">
      <c r="A288" s="9">
        <v>420123</v>
      </c>
      <c r="B288" s="9" t="str" cm="1">
        <f t="array" ref="B288">D288&amp;_xlfn.TEXTJOIN("",1,TEXT(E288:G288,"00"))</f>
        <v>2010005</v>
      </c>
      <c r="C288" s="30" t="str">
        <f t="shared" si="125"/>
        <v>420123,2010005</v>
      </c>
      <c r="D288" s="26">
        <v>2</v>
      </c>
      <c r="E288" s="26">
        <v>1</v>
      </c>
      <c r="F288" s="26">
        <f>W288</f>
        <v>0</v>
      </c>
      <c r="G288" s="26">
        <v>5</v>
      </c>
      <c r="H288" s="9">
        <v>201102</v>
      </c>
      <c r="I288" s="15" t="str">
        <f>IFERROR(VLOOKUP(H288,monsters[#All],4,0),"")</f>
        <v>自爆甲虫</v>
      </c>
      <c r="J288" s="15" t="str" cm="1">
        <f t="array" ref="J288">_xlfn.LET(_xlpm.v6p,ABS(ATAN2(O288,P288))*6/PI(),
_xlpm.output,_xlfn.IFS(_xlpm.v6p&lt;1,"正前",_xlpm.v6p&gt;5,"正后",AND(_xlpm.v6p&lt;5,_xlpm.v6p&gt;2,P288&lt;-1),"脚底",_xlpm.v6p&gt;4,"后上",_xlpm.v6p&lt;2,"前上",TRUE,"顶部"),
IFERROR(_xlpm.output,""))</f>
        <v>正后</v>
      </c>
      <c r="K288" s="12"/>
      <c r="L288" s="12" t="s">
        <v>28</v>
      </c>
      <c r="M288" s="12" t="s">
        <v>63</v>
      </c>
      <c r="N288" s="19" t="str">
        <f t="shared" si="126"/>
        <v>-15,5</v>
      </c>
      <c r="O288" s="24">
        <v>-15</v>
      </c>
      <c r="P288" s="24">
        <v>5</v>
      </c>
      <c r="Q288" s="19">
        <f t="shared" si="127"/>
        <v>1</v>
      </c>
      <c r="S288" s="9">
        <v>1</v>
      </c>
      <c r="T288" s="19" t="str">
        <f t="shared" si="128"/>
        <v/>
      </c>
      <c r="W288" s="9">
        <v>0</v>
      </c>
      <c r="X288" s="9">
        <v>11</v>
      </c>
      <c r="Y288" s="19" t="str">
        <f t="shared" si="129"/>
        <v>-650,-600</v>
      </c>
      <c r="Z288" s="42" t="s">
        <v>262</v>
      </c>
      <c r="AA288" s="19" t="str">
        <f>IF($A288&lt;&gt;"",IF($AB288&lt;&gt;"",$AB288,"80,120"),"")</f>
        <v>80,120</v>
      </c>
      <c r="AC288" s="9">
        <v>0</v>
      </c>
      <c r="AD288" s="9">
        <v>2.5</v>
      </c>
      <c r="AE288" s="9">
        <v>0</v>
      </c>
      <c r="AF288" s="9">
        <v>1</v>
      </c>
      <c r="AG288" s="9">
        <v>6.2</v>
      </c>
    </row>
    <row r="292" spans="1:41" s="59" customFormat="1" x14ac:dyDescent="0.2">
      <c r="A292" s="55"/>
      <c r="B292" s="55" t="s">
        <v>197</v>
      </c>
      <c r="C292" s="56" t="str">
        <f>_xlfn.TEXTJOIN(",",1,A292:B292)</f>
        <v>树梢</v>
      </c>
      <c r="D292" s="57"/>
      <c r="E292" s="57"/>
      <c r="F292" s="57"/>
      <c r="G292" s="57"/>
      <c r="H292" s="55" t="s">
        <v>239</v>
      </c>
      <c r="I292" s="58"/>
      <c r="J292" s="58"/>
      <c r="O292" s="60"/>
      <c r="P292" s="60"/>
      <c r="R292" s="60"/>
      <c r="S292" s="59" t="s">
        <v>62</v>
      </c>
      <c r="U292" s="60"/>
      <c r="V292" s="60"/>
      <c r="Z292" s="60"/>
      <c r="AB292" s="60"/>
      <c r="AC292" s="59" t="s">
        <v>62</v>
      </c>
      <c r="AI292" s="73"/>
      <c r="AJ292" s="73">
        <f>SUM(AJ294:AJ307)</f>
        <v>32.799999999999997</v>
      </c>
      <c r="AK292" s="73">
        <f>SUM(AK294:AK307)</f>
        <v>54.666666666666679</v>
      </c>
      <c r="AL292" s="73">
        <f>SUM(AL294:AL308)</f>
        <v>213.60000000000002</v>
      </c>
      <c r="AM292" s="73">
        <f>SUM(AM294:AM308)</f>
        <v>356.00000000000006</v>
      </c>
      <c r="AN292" s="73"/>
      <c r="AO292" s="73"/>
    </row>
    <row r="294" spans="1:41" x14ac:dyDescent="0.2">
      <c r="A294" s="9">
        <v>420401</v>
      </c>
      <c r="B294" s="9" t="str" cm="1">
        <f t="array" ref="B294">D294&amp;_xlfn.TEXTJOIN("",1,TEXT(E294:G294,"00"))</f>
        <v>1010000</v>
      </c>
      <c r="C294" s="30" t="str">
        <f t="shared" ref="C294:C296" si="130">_xlfn.TEXTJOIN(",",1,A294:B294)</f>
        <v>420401,1010000</v>
      </c>
      <c r="D294" s="26">
        <v>1</v>
      </c>
      <c r="E294" s="26">
        <v>1</v>
      </c>
      <c r="F294" s="26">
        <f>W294</f>
        <v>0</v>
      </c>
      <c r="G294" s="26">
        <v>0</v>
      </c>
      <c r="H294" s="9">
        <v>201407</v>
      </c>
      <c r="I294" s="15" t="str">
        <f>IFERROR(VLOOKUP(H294,monsters[#All],4,0),"")</f>
        <v>鬼狰</v>
      </c>
      <c r="J294" s="15" t="str" cm="1">
        <f t="array" ref="J294">_xlfn.LET(_xlpm.v6p,ABS(ATAN2(O294,P294))*6/PI(),
_xlpm.output,_xlfn.IFS(_xlpm.v6p&lt;1,"正前",_xlpm.v6p&gt;5,"正后",AND(_xlpm.v6p&lt;5,_xlpm.v6p&gt;2,P294&lt;-1),"脚底",_xlpm.v6p&gt;4,"后上",_xlpm.v6p&lt;2,"前上",TRUE,"顶部"),
IFERROR(_xlpm.output,""))</f>
        <v>正前</v>
      </c>
      <c r="K294" s="12"/>
      <c r="L294" s="12" t="s">
        <v>63</v>
      </c>
      <c r="M294" s="12" t="s">
        <v>63</v>
      </c>
      <c r="N294" s="19" t="str">
        <f>O294+0&amp;","&amp;P294+0</f>
        <v>14,8</v>
      </c>
      <c r="O294" s="24">
        <v>14</v>
      </c>
      <c r="P294" s="24">
        <v>8</v>
      </c>
      <c r="Q294" s="19">
        <f t="shared" ref="Q294:Q302" si="131">_xlfn.LET(_xlpm._default,1,
_xlpm._custom,R294,
IF($A294&lt;&gt;"",IF(_xlpm._custom&lt;&gt;"",_xlpm._custom,_xlpm._default),""))</f>
        <v>4</v>
      </c>
      <c r="R294" s="24">
        <v>4</v>
      </c>
      <c r="S294" s="9">
        <v>3</v>
      </c>
      <c r="T294" s="19" t="str">
        <f>IF(U294&lt;&gt;"", U294+0&amp;","&amp;V294+0,"")</f>
        <v>1,1</v>
      </c>
      <c r="U294" s="24">
        <v>1</v>
      </c>
      <c r="V294" s="24">
        <v>1</v>
      </c>
      <c r="W294" s="9">
        <v>0</v>
      </c>
      <c r="X294" s="9">
        <v>11</v>
      </c>
      <c r="Y294" s="19" t="str">
        <f>IF($A294&lt;&gt;"",IF($Z294&lt;&gt;"",$Z294,"0,0"),"")</f>
        <v>70,75</v>
      </c>
      <c r="Z294" s="24" t="s">
        <v>132</v>
      </c>
      <c r="AA294" s="19" t="str">
        <f>IF($A294&lt;&gt;"",IF($AB294&lt;&gt;"",$AB294,"80,120"),"")</f>
        <v>80,120</v>
      </c>
      <c r="AC294" s="9">
        <v>1</v>
      </c>
      <c r="AD294" s="9">
        <v>10</v>
      </c>
      <c r="AE294" s="9">
        <v>0.3</v>
      </c>
      <c r="AF294" s="9">
        <v>3</v>
      </c>
      <c r="AG294" s="9">
        <v>100</v>
      </c>
      <c r="AI294" s="69" cm="1">
        <f t="array" ref="AI294">tuple_avg(T294)/tuple_avg(AA294)</f>
        <v>0.01</v>
      </c>
      <c r="AJ294" s="69">
        <f>AC294*AI294*'-配置辅助'!$I$8</f>
        <v>1</v>
      </c>
      <c r="AK294" s="69">
        <f>AD294*AI294*'-配置辅助'!$I$10</f>
        <v>1.666666666666667</v>
      </c>
      <c r="AL294" s="69">
        <f>AJ294*_xlfn.XLOOKUP(H294,monsters[怪物id],monsters[HP],-1)</f>
        <v>6</v>
      </c>
      <c r="AM294" s="69">
        <f>AK294*_xlfn.XLOOKUP(H294,monsters[怪物id],monsters[HP],-1)</f>
        <v>10.000000000000002</v>
      </c>
    </row>
    <row r="295" spans="1:41" x14ac:dyDescent="0.2">
      <c r="A295" s="9">
        <v>420401</v>
      </c>
      <c r="B295" s="9" t="str" cm="1">
        <f t="array" ref="B295">D295&amp;_xlfn.TEXTJOIN("",1,TEXT(E295:G295,"00"))</f>
        <v>1010001</v>
      </c>
      <c r="C295" s="30" t="str">
        <f t="shared" si="130"/>
        <v>420401,1010001</v>
      </c>
      <c r="D295" s="26">
        <v>1</v>
      </c>
      <c r="E295" s="26">
        <v>1</v>
      </c>
      <c r="F295" s="26">
        <f>W295</f>
        <v>0</v>
      </c>
      <c r="G295" s="26">
        <v>1</v>
      </c>
      <c r="H295" s="9">
        <v>201407</v>
      </c>
      <c r="I295" s="15" t="str">
        <f>IFERROR(VLOOKUP(H295,monsters[#All],4,0),"")</f>
        <v>鬼狰</v>
      </c>
      <c r="J295" s="15" t="str" cm="1">
        <f t="array" ref="J295">_xlfn.LET(_xlpm.v6p,ABS(ATAN2(O295,P295))*6/PI(),
_xlpm.output,_xlfn.IFS(_xlpm.v6p&lt;1,"正前",_xlpm.v6p&gt;5,"正后",AND(_xlpm.v6p&lt;5,_xlpm.v6p&gt;2,P295&lt;-1),"脚底",_xlpm.v6p&gt;4,"后上",_xlpm.v6p&lt;2,"前上",TRUE,"顶部"),
IFERROR(_xlpm.output,""))</f>
        <v>正前</v>
      </c>
      <c r="K295" s="12"/>
      <c r="L295" s="12" t="s">
        <v>63</v>
      </c>
      <c r="M295" s="12" t="s">
        <v>63</v>
      </c>
      <c r="N295" s="19" t="str">
        <f>O295+0&amp;","&amp;P295+0</f>
        <v>14,8</v>
      </c>
      <c r="O295" s="24">
        <v>14</v>
      </c>
      <c r="P295" s="24">
        <v>8</v>
      </c>
      <c r="Q295" s="19">
        <f t="shared" si="131"/>
        <v>4</v>
      </c>
      <c r="R295" s="24">
        <v>4</v>
      </c>
      <c r="S295" s="9">
        <v>6</v>
      </c>
      <c r="T295" s="19" t="str">
        <f>IF(U295&lt;&gt;"", U295+0&amp;","&amp;V295+0,"")</f>
        <v>1,2</v>
      </c>
      <c r="U295" s="24">
        <v>1</v>
      </c>
      <c r="V295" s="24">
        <v>2</v>
      </c>
      <c r="W295" s="9">
        <v>0</v>
      </c>
      <c r="X295" s="9">
        <v>11</v>
      </c>
      <c r="Y295" s="19" t="str">
        <f>IF($A295&lt;&gt;"",IF($Z295&lt;&gt;"",$Z295,"0,0"),"")</f>
        <v>0,0</v>
      </c>
      <c r="AA295" s="19" t="str">
        <f>IF($A295&lt;&gt;"",IF($AB295&lt;&gt;"",$AB295,"80,120"),"")</f>
        <v>80,120</v>
      </c>
      <c r="AC295" s="9">
        <v>1.2</v>
      </c>
      <c r="AD295" s="9">
        <v>12</v>
      </c>
      <c r="AE295" s="9">
        <v>0.3</v>
      </c>
      <c r="AF295" s="9">
        <v>3</v>
      </c>
      <c r="AG295" s="9">
        <v>100</v>
      </c>
      <c r="AI295" s="69" cm="1">
        <f t="array" ref="AI295">tuple_avg(T295)/tuple_avg(AA295)</f>
        <v>1.4999999999999999E-2</v>
      </c>
      <c r="AJ295" s="69">
        <f>AC295*AI295*'-配置辅助'!$I$8</f>
        <v>1.7999999999999998</v>
      </c>
      <c r="AK295" s="69">
        <f>AD295*AI295*'-配置辅助'!$I$10</f>
        <v>3</v>
      </c>
      <c r="AL295" s="69">
        <f>AJ295*_xlfn.XLOOKUP(H295,monsters[怪物id],monsters[HP],-1)</f>
        <v>10.799999999999999</v>
      </c>
      <c r="AM295" s="69">
        <f>AK295*_xlfn.XLOOKUP(H295,monsters[怪物id],monsters[HP],-1)</f>
        <v>18</v>
      </c>
    </row>
    <row r="296" spans="1:41" x14ac:dyDescent="0.2">
      <c r="A296" s="9">
        <v>420401</v>
      </c>
      <c r="B296" s="9" t="str" cm="1">
        <f t="array" ref="B296">D296&amp;_xlfn.TEXTJOIN("",1,TEXT(E296:G296,"00"))</f>
        <v>1010002</v>
      </c>
      <c r="C296" s="30" t="str">
        <f t="shared" si="130"/>
        <v>420401,1010002</v>
      </c>
      <c r="D296" s="26">
        <v>1</v>
      </c>
      <c r="E296" s="26">
        <v>1</v>
      </c>
      <c r="F296" s="26">
        <f>W296</f>
        <v>0</v>
      </c>
      <c r="G296" s="26">
        <v>2</v>
      </c>
      <c r="H296" s="9">
        <v>201407</v>
      </c>
      <c r="I296" s="15" t="str">
        <f>IFERROR(VLOOKUP(H296,monsters[#All],4,0),"")</f>
        <v>鬼狰</v>
      </c>
      <c r="J296" s="15" t="str" cm="1">
        <f t="array" ref="J296">_xlfn.LET(_xlpm.v6p,ABS(ATAN2(O296,P296))*6/PI(),
_xlpm.output,_xlfn.IFS(_xlpm.v6p&lt;1,"正前",_xlpm.v6p&gt;5,"正后",AND(_xlpm.v6p&lt;5,_xlpm.v6p&gt;2,P296&lt;-1),"脚底",_xlpm.v6p&gt;4,"后上",_xlpm.v6p&lt;2,"前上",TRUE,"顶部"),
IFERROR(_xlpm.output,""))</f>
        <v>正前</v>
      </c>
      <c r="K296" s="12"/>
      <c r="L296" s="12" t="s">
        <v>63</v>
      </c>
      <c r="M296" s="12" t="s">
        <v>63</v>
      </c>
      <c r="N296" s="19" t="str">
        <f>O296+0&amp;","&amp;P296+0</f>
        <v>14,8</v>
      </c>
      <c r="O296" s="24">
        <v>14</v>
      </c>
      <c r="P296" s="24">
        <v>8</v>
      </c>
      <c r="Q296" s="19">
        <f t="shared" si="131"/>
        <v>4</v>
      </c>
      <c r="R296" s="42">
        <v>4</v>
      </c>
      <c r="S296" s="9">
        <v>6</v>
      </c>
      <c r="T296" s="19" t="str">
        <f>IF(U296&lt;&gt;"", U296+0&amp;","&amp;V296+0,"")</f>
        <v>2,2</v>
      </c>
      <c r="U296" s="24">
        <v>2</v>
      </c>
      <c r="V296" s="24">
        <v>2</v>
      </c>
      <c r="W296" s="9">
        <v>0</v>
      </c>
      <c r="X296" s="9">
        <v>11</v>
      </c>
      <c r="Y296" s="19" t="str">
        <f>IF($A296&lt;&gt;"",IF($Z296&lt;&gt;"",$Z296,"0,0"),"")</f>
        <v>-105,-100</v>
      </c>
      <c r="Z296" s="42" t="s">
        <v>133</v>
      </c>
      <c r="AA296" s="19" t="str">
        <f>IF($A296&lt;&gt;"",IF($AB296&lt;&gt;"",$AB296,"80,120"),"")</f>
        <v>80,120</v>
      </c>
      <c r="AC296" s="9">
        <v>1.4</v>
      </c>
      <c r="AD296" s="9">
        <v>14</v>
      </c>
      <c r="AE296" s="9">
        <v>0.3</v>
      </c>
      <c r="AF296" s="9">
        <v>3</v>
      </c>
      <c r="AG296" s="9">
        <v>100</v>
      </c>
      <c r="AI296" s="69" cm="1">
        <f t="array" ref="AI296">tuple_avg(T296)/tuple_avg(AA296)</f>
        <v>0.02</v>
      </c>
      <c r="AJ296" s="69">
        <f>AC296*AI296*'-配置辅助'!$I$8</f>
        <v>2.8</v>
      </c>
      <c r="AK296" s="69">
        <f>AD296*AI296*'-配置辅助'!$I$10</f>
        <v>4.6666666666666679</v>
      </c>
      <c r="AL296" s="69">
        <f>AJ296*_xlfn.XLOOKUP(H296,monsters[怪物id],monsters[HP],-1)</f>
        <v>16.799999999999997</v>
      </c>
      <c r="AM296" s="69">
        <f>AK296*_xlfn.XLOOKUP(H296,monsters[怪物id],monsters[HP],-1)</f>
        <v>28.000000000000007</v>
      </c>
    </row>
    <row r="297" spans="1:41" x14ac:dyDescent="0.2">
      <c r="A297" s="9">
        <v>420401</v>
      </c>
      <c r="B297" s="9" t="str" cm="1">
        <f t="array" ref="B297">D297&amp;_xlfn.TEXTJOIN("",1,TEXT(E297:G297,"00"))</f>
        <v>1010003</v>
      </c>
      <c r="C297" s="30" t="str">
        <f t="shared" ref="C297" si="132">_xlfn.TEXTJOIN(",",1,A297:B297)</f>
        <v>420401,1010003</v>
      </c>
      <c r="D297" s="26">
        <v>1</v>
      </c>
      <c r="E297" s="26">
        <v>1</v>
      </c>
      <c r="F297" s="26">
        <f>W297</f>
        <v>0</v>
      </c>
      <c r="G297" s="26">
        <v>3</v>
      </c>
      <c r="H297" s="9">
        <v>201407</v>
      </c>
      <c r="I297" s="15" t="str">
        <f>IFERROR(VLOOKUP(H297,monsters[#All],4,0),"")</f>
        <v>鬼狰</v>
      </c>
      <c r="J297" s="15" t="str" cm="1">
        <f t="array" ref="J297">_xlfn.LET(_xlpm.v6p,ABS(ATAN2(O297,P297))*6/PI(),
_xlpm.output,_xlfn.IFS(_xlpm.v6p&lt;1,"正前",_xlpm.v6p&gt;5,"正后",AND(_xlpm.v6p&lt;5,_xlpm.v6p&gt;2,P297&lt;-1),"脚底",_xlpm.v6p&gt;4,"后上",_xlpm.v6p&lt;2,"前上",TRUE,"顶部"),
IFERROR(_xlpm.output,""))</f>
        <v>正前</v>
      </c>
      <c r="K297" s="12"/>
      <c r="L297" s="12" t="s">
        <v>63</v>
      </c>
      <c r="M297" s="12" t="s">
        <v>63</v>
      </c>
      <c r="N297" s="19" t="str">
        <f>O297+0&amp;","&amp;P297+0</f>
        <v>14,8</v>
      </c>
      <c r="O297" s="24">
        <v>14</v>
      </c>
      <c r="P297" s="24">
        <v>8</v>
      </c>
      <c r="Q297" s="19">
        <f t="shared" ref="Q297" si="133">_xlfn.LET(_xlpm._default,1,
_xlpm._custom,R297,
IF($A297&lt;&gt;"",IF(_xlpm._custom&lt;&gt;"",_xlpm._custom,_xlpm._default),""))</f>
        <v>4</v>
      </c>
      <c r="R297" s="24">
        <v>4</v>
      </c>
      <c r="S297" s="9">
        <v>6</v>
      </c>
      <c r="T297" s="19" t="str">
        <f>IF(U297&lt;&gt;"", U297+0&amp;","&amp;V297+0,"")</f>
        <v>2,3</v>
      </c>
      <c r="U297" s="24">
        <v>2</v>
      </c>
      <c r="V297" s="24">
        <v>3</v>
      </c>
      <c r="W297" s="9">
        <v>0</v>
      </c>
      <c r="X297" s="9">
        <v>11</v>
      </c>
      <c r="Y297" s="19" t="str">
        <f>IF($A297&lt;&gt;"",IF($Z297&lt;&gt;"",$Z297,"0,0"),"")</f>
        <v>-245,-240</v>
      </c>
      <c r="Z297" s="42" t="s">
        <v>265</v>
      </c>
      <c r="AA297" s="19" t="str">
        <f>IF($A297&lt;&gt;"",IF($AB297&lt;&gt;"",$AB297,"80,120"),"")</f>
        <v>80,120</v>
      </c>
      <c r="AC297" s="9">
        <v>1.6</v>
      </c>
      <c r="AD297" s="9">
        <v>16</v>
      </c>
      <c r="AE297" s="9">
        <v>0.3</v>
      </c>
      <c r="AF297" s="9">
        <v>3</v>
      </c>
      <c r="AG297" s="9">
        <v>100</v>
      </c>
      <c r="AI297" s="69" cm="1">
        <f t="array" ref="AI297">tuple_avg(T297)/tuple_avg(AA297)</f>
        <v>2.5000000000000001E-2</v>
      </c>
      <c r="AJ297" s="69">
        <f>AC297*AI297*'-配置辅助'!$I$8</f>
        <v>4.0000000000000009</v>
      </c>
      <c r="AK297" s="69">
        <f>AD297*AI297*'-配置辅助'!$I$10</f>
        <v>6.6666666666666679</v>
      </c>
      <c r="AL297" s="69">
        <f>AJ297*_xlfn.XLOOKUP(H297,monsters[怪物id],monsters[HP],-1)</f>
        <v>24.000000000000007</v>
      </c>
      <c r="AM297" s="69">
        <f>AK297*_xlfn.XLOOKUP(H297,monsters[怪物id],monsters[HP],-1)</f>
        <v>40.000000000000007</v>
      </c>
    </row>
    <row r="298" spans="1:41" x14ac:dyDescent="0.2">
      <c r="A298" s="9">
        <v>420401</v>
      </c>
      <c r="B298" s="9" t="str" cm="1">
        <f t="array" ref="B298">D298&amp;_xlfn.TEXTJOIN("",1,TEXT(E298:G298,"00"))</f>
        <v>1010004</v>
      </c>
      <c r="C298" s="30" t="str">
        <f t="shared" ref="C298" si="134">_xlfn.TEXTJOIN(",",1,A298:B298)</f>
        <v>420401,1010004</v>
      </c>
      <c r="D298" s="26">
        <v>1</v>
      </c>
      <c r="E298" s="26">
        <v>1</v>
      </c>
      <c r="F298" s="26">
        <f>W298</f>
        <v>0</v>
      </c>
      <c r="G298" s="26">
        <v>4</v>
      </c>
      <c r="H298" s="9">
        <v>201407</v>
      </c>
      <c r="I298" s="15" t="str">
        <f>IFERROR(VLOOKUP(H298,monsters[#All],4,0),"")</f>
        <v>鬼狰</v>
      </c>
      <c r="J298" s="15" t="str" cm="1">
        <f t="array" ref="J298">_xlfn.LET(_xlpm.v6p,ABS(ATAN2(O298,P298))*6/PI(),
_xlpm.output,_xlfn.IFS(_xlpm.v6p&lt;1,"正前",_xlpm.v6p&gt;5,"正后",AND(_xlpm.v6p&lt;5,_xlpm.v6p&gt;2,P298&lt;-1),"脚底",_xlpm.v6p&gt;4,"后上",_xlpm.v6p&lt;2,"前上",TRUE,"顶部"),
IFERROR(_xlpm.output,""))</f>
        <v>正前</v>
      </c>
      <c r="K298" s="12"/>
      <c r="L298" s="12" t="s">
        <v>63</v>
      </c>
      <c r="M298" s="12" t="s">
        <v>63</v>
      </c>
      <c r="N298" s="19" t="str">
        <f>O298+0&amp;","&amp;P298+0</f>
        <v>14,8</v>
      </c>
      <c r="O298" s="24">
        <v>14</v>
      </c>
      <c r="P298" s="24">
        <v>8</v>
      </c>
      <c r="Q298" s="19">
        <f t="shared" ref="Q298" si="135">_xlfn.LET(_xlpm._default,1,
_xlpm._custom,R298,
IF($A298&lt;&gt;"",IF(_xlpm._custom&lt;&gt;"",_xlpm._custom,_xlpm._default),""))</f>
        <v>4</v>
      </c>
      <c r="R298" s="42">
        <v>4</v>
      </c>
      <c r="S298" s="9">
        <v>6</v>
      </c>
      <c r="T298" s="19" t="str">
        <f>IF(U298&lt;&gt;"", U298+0&amp;","&amp;V298+0,"")</f>
        <v>3,3</v>
      </c>
      <c r="U298" s="24">
        <v>3</v>
      </c>
      <c r="V298" s="24">
        <v>3</v>
      </c>
      <c r="W298" s="9">
        <v>0</v>
      </c>
      <c r="X298" s="9">
        <v>11</v>
      </c>
      <c r="Y298" s="19" t="str">
        <f>IF($A298&lt;&gt;"",IF($Z298&lt;&gt;"",$Z298,"0,0"),"")</f>
        <v>-405,-400</v>
      </c>
      <c r="Z298" s="42" t="s">
        <v>264</v>
      </c>
      <c r="AA298" s="19" t="str">
        <f>IF($A298&lt;&gt;"",IF($AB298&lt;&gt;"",$AB298,"80,120"),"")</f>
        <v>80,120</v>
      </c>
      <c r="AC298" s="9">
        <v>1.8</v>
      </c>
      <c r="AD298" s="9">
        <v>18</v>
      </c>
      <c r="AE298" s="9">
        <v>0.3</v>
      </c>
      <c r="AF298" s="9">
        <v>3</v>
      </c>
      <c r="AG298" s="9">
        <v>100</v>
      </c>
      <c r="AI298" s="69" cm="1">
        <f t="array" ref="AI298">tuple_avg(T298)/tuple_avg(AA298)</f>
        <v>0.03</v>
      </c>
      <c r="AJ298" s="69">
        <f>AC298*AI298*'-配置辅助'!$I$8</f>
        <v>5.4</v>
      </c>
      <c r="AK298" s="69">
        <f>AD298*AI298*'-配置辅助'!$I$10</f>
        <v>9.0000000000000018</v>
      </c>
      <c r="AL298" s="69">
        <f>AJ298*_xlfn.XLOOKUP(H298,monsters[怪物id],monsters[HP],-1)</f>
        <v>32.400000000000006</v>
      </c>
      <c r="AM298" s="69">
        <f>AK298*_xlfn.XLOOKUP(H298,monsters[怪物id],monsters[HP],-1)</f>
        <v>54.000000000000014</v>
      </c>
    </row>
    <row r="299" spans="1:41" x14ac:dyDescent="0.2">
      <c r="J299" s="15" t="str" cm="1">
        <f t="array" ref="J299">_xlfn.LET(_xlpm.v6p,ABS(ATAN2(O299,P299))*6/PI(),
_xlpm.output,_xlfn.IFS(_xlpm.v6p&lt;1,"正前",_xlpm.v6p&gt;5,"正后",AND(_xlpm.v6p&lt;5,_xlpm.v6p&gt;2,P299&lt;-1),"脚底",_xlpm.v6p&gt;4,"后上",_xlpm.v6p&lt;2,"前上",TRUE,"顶部"),
IFERROR(_xlpm.output,""))</f>
        <v/>
      </c>
      <c r="Q299" s="19" t="str">
        <f t="shared" si="131"/>
        <v/>
      </c>
    </row>
    <row r="300" spans="1:41" x14ac:dyDescent="0.2">
      <c r="A300" s="9">
        <v>420401</v>
      </c>
      <c r="B300" s="9" t="str" cm="1">
        <f t="array" ref="B300">D300&amp;_xlfn.TEXTJOIN("",1,TEXT(E300:G300,"00"))</f>
        <v>1020000</v>
      </c>
      <c r="C300" s="30" t="str">
        <f t="shared" ref="C300:C302" si="136">_xlfn.TEXTJOIN(",",1,A300:B300)</f>
        <v>420401,1020000</v>
      </c>
      <c r="D300" s="26">
        <v>1</v>
      </c>
      <c r="E300" s="26">
        <v>2</v>
      </c>
      <c r="F300" s="26">
        <f>W300</f>
        <v>0</v>
      </c>
      <c r="G300" s="26">
        <v>0</v>
      </c>
      <c r="H300" s="9">
        <v>201407</v>
      </c>
      <c r="I300" s="15" t="str">
        <f>IFERROR(VLOOKUP(H300,monsters[#All],4,0),"")</f>
        <v>鬼狰</v>
      </c>
      <c r="J300" s="15" t="str" cm="1">
        <f t="array" ref="J300">_xlfn.LET(_xlpm.v6p,ABS(ATAN2(O300,P300))*6/PI(),
_xlpm.output,_xlfn.IFS(_xlpm.v6p&lt;1,"正前",_xlpm.v6p&gt;5,"正后",AND(_xlpm.v6p&lt;5,_xlpm.v6p&gt;2,P300&lt;-1),"脚底",_xlpm.v6p&gt;4,"后上",_xlpm.v6p&lt;2,"前上",TRUE,"顶部"),
IFERROR(_xlpm.output,""))</f>
        <v>正后</v>
      </c>
      <c r="K300" s="12"/>
      <c r="L300" s="12" t="s">
        <v>63</v>
      </c>
      <c r="M300" s="12" t="s">
        <v>63</v>
      </c>
      <c r="N300" s="19" t="str">
        <f>O300+0&amp;","&amp;P300+0</f>
        <v>-14,8</v>
      </c>
      <c r="O300" s="24">
        <v>-14</v>
      </c>
      <c r="P300" s="24">
        <v>8</v>
      </c>
      <c r="Q300" s="19">
        <f t="shared" si="131"/>
        <v>4</v>
      </c>
      <c r="R300" s="24">
        <v>4</v>
      </c>
      <c r="S300" s="9">
        <v>3</v>
      </c>
      <c r="T300" s="19" t="str">
        <f>IF(U300&lt;&gt;"", U300+0&amp;","&amp;V300+0,"")</f>
        <v>1,1</v>
      </c>
      <c r="U300" s="24">
        <v>1</v>
      </c>
      <c r="V300" s="24">
        <v>1</v>
      </c>
      <c r="W300" s="9">
        <v>0</v>
      </c>
      <c r="X300" s="9">
        <v>11</v>
      </c>
      <c r="Y300" s="19" t="str">
        <f>IF($A300&lt;&gt;"",IF($Z300&lt;&gt;"",$Z300,"0,0"),"")</f>
        <v>70,75</v>
      </c>
      <c r="Z300" s="24" t="s">
        <v>132</v>
      </c>
      <c r="AA300" s="19" t="str">
        <f>IF($A300&lt;&gt;"",IF($AB300&lt;&gt;"",$AB300,"80,120"),"")</f>
        <v>80,120</v>
      </c>
      <c r="AC300" s="9">
        <v>1</v>
      </c>
      <c r="AD300" s="9">
        <v>10</v>
      </c>
      <c r="AE300" s="9">
        <v>0.3</v>
      </c>
      <c r="AF300" s="9">
        <v>3</v>
      </c>
      <c r="AG300" s="9">
        <v>100</v>
      </c>
      <c r="AI300" s="69" cm="1">
        <f t="array" ref="AI300">tuple_avg(T300)/tuple_avg(AA300)</f>
        <v>0.01</v>
      </c>
      <c r="AJ300" s="69">
        <f>AC300*AI300*'-配置辅助'!$I$8</f>
        <v>1</v>
      </c>
      <c r="AK300" s="69">
        <f>AD300*AI300*'-配置辅助'!$I$10</f>
        <v>1.666666666666667</v>
      </c>
      <c r="AL300" s="69">
        <f>AJ300*_xlfn.XLOOKUP(H300,monsters[怪物id],monsters[HP],-1)</f>
        <v>6</v>
      </c>
      <c r="AM300" s="69">
        <f>AK300*_xlfn.XLOOKUP(H300,monsters[怪物id],monsters[HP],-1)</f>
        <v>10.000000000000002</v>
      </c>
    </row>
    <row r="301" spans="1:41" x14ac:dyDescent="0.2">
      <c r="A301" s="9">
        <v>420401</v>
      </c>
      <c r="B301" s="9" t="str" cm="1">
        <f t="array" ref="B301">D301&amp;_xlfn.TEXTJOIN("",1,TEXT(E301:G301,"00"))</f>
        <v>1020001</v>
      </c>
      <c r="C301" s="30" t="str">
        <f t="shared" si="136"/>
        <v>420401,1020001</v>
      </c>
      <c r="D301" s="26">
        <v>1</v>
      </c>
      <c r="E301" s="26">
        <v>2</v>
      </c>
      <c r="F301" s="26">
        <f>W301</f>
        <v>0</v>
      </c>
      <c r="G301" s="26">
        <v>1</v>
      </c>
      <c r="H301" s="9">
        <v>201407</v>
      </c>
      <c r="I301" s="15" t="str">
        <f>IFERROR(VLOOKUP(H301,monsters[#All],4,0),"")</f>
        <v>鬼狰</v>
      </c>
      <c r="J301" s="15" t="str" cm="1">
        <f t="array" ref="J301">_xlfn.LET(_xlpm.v6p,ABS(ATAN2(O301,P301))*6/PI(),
_xlpm.output,_xlfn.IFS(_xlpm.v6p&lt;1,"正前",_xlpm.v6p&gt;5,"正后",AND(_xlpm.v6p&lt;5,_xlpm.v6p&gt;2,P301&lt;-1),"脚底",_xlpm.v6p&gt;4,"后上",_xlpm.v6p&lt;2,"前上",TRUE,"顶部"),
IFERROR(_xlpm.output,""))</f>
        <v>正后</v>
      </c>
      <c r="K301" s="12"/>
      <c r="L301" s="12" t="s">
        <v>63</v>
      </c>
      <c r="M301" s="12" t="s">
        <v>63</v>
      </c>
      <c r="N301" s="19" t="str">
        <f>O301+0&amp;","&amp;P301+0</f>
        <v>-14,8</v>
      </c>
      <c r="O301" s="24">
        <v>-14</v>
      </c>
      <c r="P301" s="24">
        <v>8</v>
      </c>
      <c r="Q301" s="19">
        <f t="shared" si="131"/>
        <v>4</v>
      </c>
      <c r="R301" s="24">
        <v>4</v>
      </c>
      <c r="S301" s="9">
        <v>6</v>
      </c>
      <c r="T301" s="19" t="str">
        <f>IF(U301&lt;&gt;"", U301+0&amp;","&amp;V301+0,"")</f>
        <v>1,2</v>
      </c>
      <c r="U301" s="24">
        <v>1</v>
      </c>
      <c r="V301" s="24">
        <v>2</v>
      </c>
      <c r="W301" s="9">
        <v>0</v>
      </c>
      <c r="X301" s="9">
        <v>11</v>
      </c>
      <c r="Y301" s="19" t="str">
        <f>IF($A301&lt;&gt;"",IF($Z301&lt;&gt;"",$Z301,"0,0"),"")</f>
        <v>0,0</v>
      </c>
      <c r="AA301" s="19" t="str">
        <f>IF($A301&lt;&gt;"",IF($AB301&lt;&gt;"",$AB301,"80,120"),"")</f>
        <v>80,120</v>
      </c>
      <c r="AC301" s="9">
        <v>1.2</v>
      </c>
      <c r="AD301" s="9">
        <v>12</v>
      </c>
      <c r="AE301" s="9">
        <v>0.3</v>
      </c>
      <c r="AF301" s="9">
        <v>3</v>
      </c>
      <c r="AG301" s="9">
        <v>100</v>
      </c>
      <c r="AI301" s="69" cm="1">
        <f t="array" ref="AI301">tuple_avg(T301)/tuple_avg(AA301)</f>
        <v>1.4999999999999999E-2</v>
      </c>
      <c r="AJ301" s="69">
        <f>AC301*AI301*'-配置辅助'!$I$8</f>
        <v>1.7999999999999998</v>
      </c>
      <c r="AK301" s="69">
        <f>AD301*AI301*'-配置辅助'!$I$10</f>
        <v>3</v>
      </c>
      <c r="AL301" s="69">
        <f>AJ301*_xlfn.XLOOKUP(H301,monsters[怪物id],monsters[HP],-1)</f>
        <v>10.799999999999999</v>
      </c>
      <c r="AM301" s="69">
        <f>AK301*_xlfn.XLOOKUP(H301,monsters[怪物id],monsters[HP],-1)</f>
        <v>18</v>
      </c>
    </row>
    <row r="302" spans="1:41" x14ac:dyDescent="0.2">
      <c r="A302" s="9">
        <v>420401</v>
      </c>
      <c r="B302" s="9" t="str" cm="1">
        <f t="array" ref="B302">D302&amp;_xlfn.TEXTJOIN("",1,TEXT(E302:G302,"00"))</f>
        <v>1020002</v>
      </c>
      <c r="C302" s="30" t="str">
        <f t="shared" si="136"/>
        <v>420401,1020002</v>
      </c>
      <c r="D302" s="26">
        <v>1</v>
      </c>
      <c r="E302" s="26">
        <v>2</v>
      </c>
      <c r="F302" s="26">
        <f>W302</f>
        <v>0</v>
      </c>
      <c r="G302" s="26">
        <v>2</v>
      </c>
      <c r="H302" s="9">
        <v>201407</v>
      </c>
      <c r="I302" s="15" t="str">
        <f>IFERROR(VLOOKUP(H302,monsters[#All],4,0),"")</f>
        <v>鬼狰</v>
      </c>
      <c r="J302" s="15" t="str" cm="1">
        <f t="array" ref="J302">_xlfn.LET(_xlpm.v6p,ABS(ATAN2(O302,P302))*6/PI(),
_xlpm.output,_xlfn.IFS(_xlpm.v6p&lt;1,"正前",_xlpm.v6p&gt;5,"正后",AND(_xlpm.v6p&lt;5,_xlpm.v6p&gt;2,P302&lt;-1),"脚底",_xlpm.v6p&gt;4,"后上",_xlpm.v6p&lt;2,"前上",TRUE,"顶部"),
IFERROR(_xlpm.output,""))</f>
        <v>正后</v>
      </c>
      <c r="K302" s="12"/>
      <c r="L302" s="12" t="s">
        <v>63</v>
      </c>
      <c r="M302" s="12" t="s">
        <v>63</v>
      </c>
      <c r="N302" s="19" t="str">
        <f>O302+0&amp;","&amp;P302+0</f>
        <v>-14,8</v>
      </c>
      <c r="O302" s="24">
        <v>-14</v>
      </c>
      <c r="P302" s="24">
        <v>8</v>
      </c>
      <c r="Q302" s="19">
        <f t="shared" si="131"/>
        <v>4</v>
      </c>
      <c r="R302" s="42">
        <v>4</v>
      </c>
      <c r="S302" s="9">
        <v>6</v>
      </c>
      <c r="T302" s="19" t="str">
        <f>IF(U302&lt;&gt;"", U302+0&amp;","&amp;V302+0,"")</f>
        <v>2,2</v>
      </c>
      <c r="U302" s="24">
        <v>2</v>
      </c>
      <c r="V302" s="24">
        <v>2</v>
      </c>
      <c r="W302" s="9">
        <v>0</v>
      </c>
      <c r="X302" s="9">
        <v>11</v>
      </c>
      <c r="Y302" s="19" t="str">
        <f>IF($A302&lt;&gt;"",IF($Z302&lt;&gt;"",$Z302,"0,0"),"")</f>
        <v>-105,-100</v>
      </c>
      <c r="Z302" s="42" t="s">
        <v>133</v>
      </c>
      <c r="AA302" s="19" t="str">
        <f>IF($A302&lt;&gt;"",IF($AB302&lt;&gt;"",$AB302,"80,120"),"")</f>
        <v>80,120</v>
      </c>
      <c r="AC302" s="9">
        <v>1.4</v>
      </c>
      <c r="AD302" s="9">
        <v>14</v>
      </c>
      <c r="AE302" s="9">
        <v>0.3</v>
      </c>
      <c r="AF302" s="9">
        <v>3</v>
      </c>
      <c r="AG302" s="9">
        <v>100</v>
      </c>
      <c r="AI302" s="69" cm="1">
        <f t="array" ref="AI302">tuple_avg(T302)/tuple_avg(AA302)</f>
        <v>0.02</v>
      </c>
      <c r="AJ302" s="69">
        <f>AC302*AI302*'-配置辅助'!$I$8</f>
        <v>2.8</v>
      </c>
      <c r="AK302" s="69">
        <f>AD302*AI302*'-配置辅助'!$I$10</f>
        <v>4.6666666666666679</v>
      </c>
      <c r="AL302" s="69">
        <f>AJ302*_xlfn.XLOOKUP(H302,monsters[怪物id],monsters[HP],-1)</f>
        <v>16.799999999999997</v>
      </c>
      <c r="AM302" s="69">
        <f>AK302*_xlfn.XLOOKUP(H302,monsters[怪物id],monsters[HP],-1)</f>
        <v>28.000000000000007</v>
      </c>
    </row>
    <row r="303" spans="1:41" x14ac:dyDescent="0.2">
      <c r="A303" s="9">
        <v>420401</v>
      </c>
      <c r="B303" s="9" t="str" cm="1">
        <f t="array" ref="B303">D303&amp;_xlfn.TEXTJOIN("",1,TEXT(E303:G303,"00"))</f>
        <v>1020003</v>
      </c>
      <c r="C303" s="30" t="str">
        <f t="shared" ref="C303:C304" si="137">_xlfn.TEXTJOIN(",",1,A303:B303)</f>
        <v>420401,1020003</v>
      </c>
      <c r="D303" s="26">
        <v>1</v>
      </c>
      <c r="E303" s="26">
        <v>2</v>
      </c>
      <c r="F303" s="26">
        <f>W303</f>
        <v>0</v>
      </c>
      <c r="G303" s="26">
        <v>3</v>
      </c>
      <c r="H303" s="9">
        <v>201407</v>
      </c>
      <c r="I303" s="15" t="str">
        <f>IFERROR(VLOOKUP(H303,monsters[#All],4,0),"")</f>
        <v>鬼狰</v>
      </c>
      <c r="J303" s="15" t="str" cm="1">
        <f t="array" ref="J303">_xlfn.LET(_xlpm.v6p,ABS(ATAN2(O303,P303))*6/PI(),
_xlpm.output,_xlfn.IFS(_xlpm.v6p&lt;1,"正前",_xlpm.v6p&gt;5,"正后",AND(_xlpm.v6p&lt;5,_xlpm.v6p&gt;2,P303&lt;-1),"脚底",_xlpm.v6p&gt;4,"后上",_xlpm.v6p&lt;2,"前上",TRUE,"顶部"),
IFERROR(_xlpm.output,""))</f>
        <v>正后</v>
      </c>
      <c r="K303" s="12"/>
      <c r="L303" s="12" t="s">
        <v>63</v>
      </c>
      <c r="M303" s="12" t="s">
        <v>63</v>
      </c>
      <c r="N303" s="19" t="str">
        <f>O303+0&amp;","&amp;P303+0</f>
        <v>-14,8</v>
      </c>
      <c r="O303" s="24">
        <v>-14</v>
      </c>
      <c r="P303" s="24">
        <v>8</v>
      </c>
      <c r="Q303" s="19">
        <f t="shared" ref="Q303:Q304" si="138">_xlfn.LET(_xlpm._default,1,
_xlpm._custom,R303,
IF($A303&lt;&gt;"",IF(_xlpm._custom&lt;&gt;"",_xlpm._custom,_xlpm._default),""))</f>
        <v>4</v>
      </c>
      <c r="R303" s="24">
        <v>4</v>
      </c>
      <c r="S303" s="9">
        <v>6</v>
      </c>
      <c r="T303" s="19" t="str">
        <f>IF(U303&lt;&gt;"", U303+0&amp;","&amp;V303+0,"")</f>
        <v>2,3</v>
      </c>
      <c r="U303" s="24">
        <v>2</v>
      </c>
      <c r="V303" s="24">
        <v>3</v>
      </c>
      <c r="W303" s="9">
        <v>0</v>
      </c>
      <c r="X303" s="9">
        <v>11</v>
      </c>
      <c r="Y303" s="19" t="str">
        <f>IF($A303&lt;&gt;"",IF($Z303&lt;&gt;"",$Z303,"0,0"),"")</f>
        <v>-245,-240</v>
      </c>
      <c r="Z303" s="42" t="s">
        <v>265</v>
      </c>
      <c r="AA303" s="19" t="str">
        <f>IF($A303&lt;&gt;"",IF($AB303&lt;&gt;"",$AB303,"80,120"),"")</f>
        <v>80,120</v>
      </c>
      <c r="AC303" s="9">
        <v>1.6</v>
      </c>
      <c r="AD303" s="9">
        <v>16</v>
      </c>
      <c r="AE303" s="9">
        <v>0.3</v>
      </c>
      <c r="AF303" s="9">
        <v>3</v>
      </c>
      <c r="AG303" s="9">
        <v>100</v>
      </c>
      <c r="AI303" s="69" cm="1">
        <f t="array" ref="AI303">tuple_avg(T303)/tuple_avg(AA303)</f>
        <v>2.5000000000000001E-2</v>
      </c>
      <c r="AJ303" s="69">
        <f>AC303*AI303*'-配置辅助'!$I$8</f>
        <v>4.0000000000000009</v>
      </c>
      <c r="AK303" s="69">
        <f>AD303*AI303*'-配置辅助'!$I$10</f>
        <v>6.6666666666666679</v>
      </c>
      <c r="AL303" s="69">
        <f>AJ303*_xlfn.XLOOKUP(H303,monsters[怪物id],monsters[HP],-1)</f>
        <v>24.000000000000007</v>
      </c>
      <c r="AM303" s="69">
        <f>AK303*_xlfn.XLOOKUP(H303,monsters[怪物id],monsters[HP],-1)</f>
        <v>40.000000000000007</v>
      </c>
    </row>
    <row r="304" spans="1:41" x14ac:dyDescent="0.2">
      <c r="A304" s="9">
        <v>420401</v>
      </c>
      <c r="B304" s="9" t="str" cm="1">
        <f t="array" ref="B304">D304&amp;_xlfn.TEXTJOIN("",1,TEXT(E304:G304,"00"))</f>
        <v>1020004</v>
      </c>
      <c r="C304" s="30" t="str">
        <f t="shared" si="137"/>
        <v>420401,1020004</v>
      </c>
      <c r="D304" s="26">
        <v>1</v>
      </c>
      <c r="E304" s="26">
        <v>2</v>
      </c>
      <c r="F304" s="26">
        <f>W304</f>
        <v>0</v>
      </c>
      <c r="G304" s="26">
        <v>4</v>
      </c>
      <c r="H304" s="9">
        <v>201407</v>
      </c>
      <c r="I304" s="15" t="str">
        <f>IFERROR(VLOOKUP(H304,monsters[#All],4,0),"")</f>
        <v>鬼狰</v>
      </c>
      <c r="J304" s="15" t="str" cm="1">
        <f t="array" ref="J304">_xlfn.LET(_xlpm.v6p,ABS(ATAN2(O304,P304))*6/PI(),
_xlpm.output,_xlfn.IFS(_xlpm.v6p&lt;1,"正前",_xlpm.v6p&gt;5,"正后",AND(_xlpm.v6p&lt;5,_xlpm.v6p&gt;2,P304&lt;-1),"脚底",_xlpm.v6p&gt;4,"后上",_xlpm.v6p&lt;2,"前上",TRUE,"顶部"),
IFERROR(_xlpm.output,""))</f>
        <v>正后</v>
      </c>
      <c r="K304" s="12"/>
      <c r="L304" s="12" t="s">
        <v>63</v>
      </c>
      <c r="M304" s="12" t="s">
        <v>63</v>
      </c>
      <c r="N304" s="19" t="str">
        <f>O304+0&amp;","&amp;P304+0</f>
        <v>-14,8</v>
      </c>
      <c r="O304" s="24">
        <v>-14</v>
      </c>
      <c r="P304" s="24">
        <v>8</v>
      </c>
      <c r="Q304" s="19">
        <f t="shared" si="138"/>
        <v>4</v>
      </c>
      <c r="R304" s="42">
        <v>4</v>
      </c>
      <c r="S304" s="9">
        <v>6</v>
      </c>
      <c r="T304" s="19" t="str">
        <f>IF(U304&lt;&gt;"", U304+0&amp;","&amp;V304+0,"")</f>
        <v>3,3</v>
      </c>
      <c r="U304" s="24">
        <v>3</v>
      </c>
      <c r="V304" s="24">
        <v>3</v>
      </c>
      <c r="W304" s="9">
        <v>0</v>
      </c>
      <c r="X304" s="9">
        <v>11</v>
      </c>
      <c r="Y304" s="19" t="str">
        <f>IF($A304&lt;&gt;"",IF($Z304&lt;&gt;"",$Z304,"0,0"),"")</f>
        <v>-405,-400</v>
      </c>
      <c r="Z304" s="42" t="s">
        <v>264</v>
      </c>
      <c r="AA304" s="19" t="str">
        <f>IF($A304&lt;&gt;"",IF($AB304&lt;&gt;"",$AB304,"80,120"),"")</f>
        <v>80,120</v>
      </c>
      <c r="AC304" s="9">
        <v>1.8</v>
      </c>
      <c r="AD304" s="9">
        <v>18</v>
      </c>
      <c r="AE304" s="9">
        <v>0.3</v>
      </c>
      <c r="AF304" s="9">
        <v>3</v>
      </c>
      <c r="AG304" s="9">
        <v>100</v>
      </c>
      <c r="AI304" s="69" cm="1">
        <f t="array" ref="AI304">tuple_avg(T304)/tuple_avg(AA304)</f>
        <v>0.03</v>
      </c>
      <c r="AJ304" s="69">
        <f>AC304*AI304*'-配置辅助'!$I$8</f>
        <v>5.4</v>
      </c>
      <c r="AK304" s="69">
        <f>AD304*AI304*'-配置辅助'!$I$10</f>
        <v>9.0000000000000018</v>
      </c>
      <c r="AL304" s="69">
        <f>AJ304*_xlfn.XLOOKUP(H304,monsters[怪物id],monsters[HP],-1)</f>
        <v>32.400000000000006</v>
      </c>
      <c r="AM304" s="69">
        <f>AK304*_xlfn.XLOOKUP(H304,monsters[怪物id],monsters[HP],-1)</f>
        <v>54.000000000000014</v>
      </c>
    </row>
    <row r="305" spans="1:41" x14ac:dyDescent="0.2">
      <c r="J305" s="15" t="str" cm="1">
        <f t="array" ref="J305">_xlfn.LET(_xlpm.v6p,ABS(ATAN2(O305,P305))*6/PI(),
_xlpm.output,_xlfn.IFS(_xlpm.v6p&lt;1,"正前",_xlpm.v6p&gt;5,"正后",AND(_xlpm.v6p&lt;5,_xlpm.v6p&gt;2,P305&lt;-1),"脚底",_xlpm.v6p&gt;4,"后上",_xlpm.v6p&lt;2,"前上",TRUE,"顶部"),
IFERROR(_xlpm.output,""))</f>
        <v/>
      </c>
    </row>
    <row r="306" spans="1:41" x14ac:dyDescent="0.2">
      <c r="A306" s="9">
        <v>420401</v>
      </c>
      <c r="B306" s="9" t="str" cm="1">
        <f t="array" ref="B306">D306&amp;_xlfn.TEXTJOIN("",1,TEXT(E306:G306,"00"))</f>
        <v>1030000</v>
      </c>
      <c r="C306" s="30" t="str">
        <f t="shared" ref="C306:C308" si="139">_xlfn.TEXTJOIN(",",1,A306:B306)</f>
        <v>420401,1030000</v>
      </c>
      <c r="D306" s="26">
        <v>1</v>
      </c>
      <c r="E306" s="26">
        <v>3</v>
      </c>
      <c r="F306" s="26">
        <f>W306</f>
        <v>0</v>
      </c>
      <c r="G306" s="26">
        <v>0</v>
      </c>
      <c r="H306" s="9">
        <v>201407</v>
      </c>
      <c r="I306" s="15" t="str">
        <f>IFERROR(VLOOKUP(H306,monsters[#All],4,0),"")</f>
        <v>鬼狰</v>
      </c>
      <c r="J306" s="15" t="str" cm="1">
        <f t="array" ref="J306">_xlfn.LET(_xlpm.v6p,ABS(ATAN2(O306,P306))*6/PI(),
_xlpm.output,_xlfn.IFS(_xlpm.v6p&lt;1,"正前",_xlpm.v6p&gt;5,"正后",AND(_xlpm.v6p&lt;5,_xlpm.v6p&gt;2,P306&lt;-1),"脚底",_xlpm.v6p&gt;4,"后上",_xlpm.v6p&lt;2,"前上",TRUE,"顶部"),
IFERROR(_xlpm.output,""))</f>
        <v>顶部</v>
      </c>
      <c r="K306" s="12"/>
      <c r="L306" s="12" t="s">
        <v>63</v>
      </c>
      <c r="M306" s="12" t="s">
        <v>63</v>
      </c>
      <c r="N306" s="19" t="str">
        <f>O306+0&amp;","&amp;P306+0</f>
        <v>3,14</v>
      </c>
      <c r="O306" s="24">
        <v>3</v>
      </c>
      <c r="P306" s="24">
        <v>14</v>
      </c>
      <c r="Q306" s="19">
        <f t="shared" ref="Q306:Q308" si="140">_xlfn.LET(_xlpm._default,1,
_xlpm._custom,R306,
IF($A306&lt;&gt;"",IF(_xlpm._custom&lt;&gt;"",_xlpm._custom,_xlpm._default),""))</f>
        <v>4</v>
      </c>
      <c r="R306" s="24">
        <v>4</v>
      </c>
      <c r="S306" s="9">
        <v>3</v>
      </c>
      <c r="T306" s="19" t="str">
        <f>IF(U306&lt;&gt;"", U306+0&amp;","&amp;V306+0,"")</f>
        <v>1,1</v>
      </c>
      <c r="U306" s="24">
        <v>1</v>
      </c>
      <c r="V306" s="24">
        <v>1</v>
      </c>
      <c r="W306" s="9">
        <v>0</v>
      </c>
      <c r="X306" s="9">
        <v>11</v>
      </c>
      <c r="Y306" s="19" t="str">
        <f>IF($A306&lt;&gt;"",IF($Z306&lt;&gt;"",$Z306,"0,0"),"")</f>
        <v>70,75</v>
      </c>
      <c r="Z306" s="24" t="s">
        <v>132</v>
      </c>
      <c r="AA306" s="19" t="str">
        <f>IF($A306&lt;&gt;"",IF($AB306&lt;&gt;"",$AB306,"80,120"),"")</f>
        <v>80,120</v>
      </c>
      <c r="AC306" s="9">
        <v>1</v>
      </c>
      <c r="AD306" s="9">
        <v>10</v>
      </c>
      <c r="AE306" s="9">
        <v>0.3</v>
      </c>
      <c r="AF306" s="9">
        <v>3</v>
      </c>
      <c r="AG306" s="9">
        <v>100</v>
      </c>
      <c r="AI306" s="69" cm="1">
        <f t="array" ref="AI306">tuple_avg(T306)/tuple_avg(AA306)</f>
        <v>0.01</v>
      </c>
      <c r="AJ306" s="69">
        <f>AC306*AI306*'-配置辅助'!$I$8</f>
        <v>1</v>
      </c>
      <c r="AK306" s="69">
        <f>AD306*AI306*'-配置辅助'!$I$10</f>
        <v>1.666666666666667</v>
      </c>
      <c r="AL306" s="69">
        <f>AJ306*_xlfn.XLOOKUP(H306,monsters[怪物id],monsters[HP],-1)</f>
        <v>6</v>
      </c>
      <c r="AM306" s="69">
        <f>AK306*_xlfn.XLOOKUP(H306,monsters[怪物id],monsters[HP],-1)</f>
        <v>10.000000000000002</v>
      </c>
    </row>
    <row r="307" spans="1:41" x14ac:dyDescent="0.2">
      <c r="A307" s="9">
        <v>420401</v>
      </c>
      <c r="B307" s="9" t="str" cm="1">
        <f t="array" ref="B307">D307&amp;_xlfn.TEXTJOIN("",1,TEXT(E307:G307,"00"))</f>
        <v>1030001</v>
      </c>
      <c r="C307" s="30" t="str">
        <f t="shared" si="139"/>
        <v>420401,1030001</v>
      </c>
      <c r="D307" s="26">
        <v>1</v>
      </c>
      <c r="E307" s="26">
        <v>3</v>
      </c>
      <c r="F307" s="26">
        <f>W307</f>
        <v>0</v>
      </c>
      <c r="G307" s="26">
        <v>1</v>
      </c>
      <c r="H307" s="9">
        <v>201407</v>
      </c>
      <c r="I307" s="15" t="str">
        <f>IFERROR(VLOOKUP(H307,monsters[#All],4,0),"")</f>
        <v>鬼狰</v>
      </c>
      <c r="J307" s="15" t="str" cm="1">
        <f t="array" ref="J307">_xlfn.LET(_xlpm.v6p,ABS(ATAN2(O307,P307))*6/PI(),
_xlpm.output,_xlfn.IFS(_xlpm.v6p&lt;1,"正前",_xlpm.v6p&gt;5,"正后",AND(_xlpm.v6p&lt;5,_xlpm.v6p&gt;2,P307&lt;-1),"脚底",_xlpm.v6p&gt;4,"后上",_xlpm.v6p&lt;2,"前上",TRUE,"顶部"),
IFERROR(_xlpm.output,""))</f>
        <v>顶部</v>
      </c>
      <c r="K307" s="12"/>
      <c r="L307" s="12" t="s">
        <v>63</v>
      </c>
      <c r="M307" s="12" t="s">
        <v>63</v>
      </c>
      <c r="N307" s="19" t="str">
        <f>O307+0&amp;","&amp;P307+0</f>
        <v>3,14</v>
      </c>
      <c r="O307" s="24">
        <v>3</v>
      </c>
      <c r="P307" s="24">
        <v>14</v>
      </c>
      <c r="Q307" s="19">
        <f t="shared" si="140"/>
        <v>4</v>
      </c>
      <c r="R307" s="24">
        <v>4</v>
      </c>
      <c r="S307" s="9">
        <v>6</v>
      </c>
      <c r="T307" s="19" t="str">
        <f>IF(U307&lt;&gt;"", U307+0&amp;","&amp;V307+0,"")</f>
        <v>1,2</v>
      </c>
      <c r="U307" s="24">
        <v>1</v>
      </c>
      <c r="V307" s="24">
        <v>2</v>
      </c>
      <c r="W307" s="9">
        <v>0</v>
      </c>
      <c r="X307" s="9">
        <v>11</v>
      </c>
      <c r="Y307" s="19" t="str">
        <f>IF($A307&lt;&gt;"",IF($Z307&lt;&gt;"",$Z307,"0,0"),"")</f>
        <v>0,0</v>
      </c>
      <c r="AA307" s="19" t="str">
        <f>IF($A307&lt;&gt;"",IF($AB307&lt;&gt;"",$AB307,"80,120"),"")</f>
        <v>80,120</v>
      </c>
      <c r="AC307" s="9">
        <v>1.2</v>
      </c>
      <c r="AD307" s="9">
        <v>12</v>
      </c>
      <c r="AE307" s="9">
        <v>0.3</v>
      </c>
      <c r="AF307" s="9">
        <v>3</v>
      </c>
      <c r="AG307" s="9">
        <v>100</v>
      </c>
      <c r="AI307" s="69" cm="1">
        <f t="array" ref="AI307">tuple_avg(T307)/tuple_avg(AA307)</f>
        <v>1.4999999999999999E-2</v>
      </c>
      <c r="AJ307" s="69">
        <f>AC307*AI307*'-配置辅助'!$I$8</f>
        <v>1.7999999999999998</v>
      </c>
      <c r="AK307" s="69">
        <f>AD307*AI307*'-配置辅助'!$I$10</f>
        <v>3</v>
      </c>
      <c r="AL307" s="69">
        <f>AJ307*_xlfn.XLOOKUP(H307,monsters[怪物id],monsters[HP],-1)</f>
        <v>10.799999999999999</v>
      </c>
      <c r="AM307" s="69">
        <f>AK307*_xlfn.XLOOKUP(H307,monsters[怪物id],monsters[HP],-1)</f>
        <v>18</v>
      </c>
    </row>
    <row r="308" spans="1:41" x14ac:dyDescent="0.2">
      <c r="A308" s="9">
        <v>420401</v>
      </c>
      <c r="B308" s="9" t="str" cm="1">
        <f t="array" ref="B308">D308&amp;_xlfn.TEXTJOIN("",1,TEXT(E308:G308,"00"))</f>
        <v>1030002</v>
      </c>
      <c r="C308" s="30" t="str">
        <f t="shared" si="139"/>
        <v>420401,1030002</v>
      </c>
      <c r="D308" s="26">
        <v>1</v>
      </c>
      <c r="E308" s="26">
        <v>3</v>
      </c>
      <c r="F308" s="26">
        <f>W308</f>
        <v>0</v>
      </c>
      <c r="G308" s="26">
        <v>2</v>
      </c>
      <c r="H308" s="9">
        <v>201407</v>
      </c>
      <c r="I308" s="15" t="str">
        <f>IFERROR(VLOOKUP(H308,monsters[#All],4,0),"")</f>
        <v>鬼狰</v>
      </c>
      <c r="J308" s="15" t="str" cm="1">
        <f t="array" ref="J308">_xlfn.LET(_xlpm.v6p,ABS(ATAN2(O308,P308))*6/PI(),
_xlpm.output,_xlfn.IFS(_xlpm.v6p&lt;1,"正前",_xlpm.v6p&gt;5,"正后",AND(_xlpm.v6p&lt;5,_xlpm.v6p&gt;2,P308&lt;-1),"脚底",_xlpm.v6p&gt;4,"后上",_xlpm.v6p&lt;2,"前上",TRUE,"顶部"),
IFERROR(_xlpm.output,""))</f>
        <v>顶部</v>
      </c>
      <c r="K308" s="12"/>
      <c r="L308" s="12" t="s">
        <v>63</v>
      </c>
      <c r="M308" s="12" t="s">
        <v>63</v>
      </c>
      <c r="N308" s="19" t="str">
        <f>O308+0&amp;","&amp;P308+0</f>
        <v>3,14</v>
      </c>
      <c r="O308" s="24">
        <v>3</v>
      </c>
      <c r="P308" s="24">
        <v>14</v>
      </c>
      <c r="Q308" s="19">
        <f t="shared" si="140"/>
        <v>4</v>
      </c>
      <c r="R308" s="42">
        <v>4</v>
      </c>
      <c r="S308" s="9">
        <v>6</v>
      </c>
      <c r="T308" s="19" t="str">
        <f>IF(U308&lt;&gt;"", U308+0&amp;","&amp;V308+0,"")</f>
        <v>2,2</v>
      </c>
      <c r="U308" s="24">
        <v>2</v>
      </c>
      <c r="V308" s="24">
        <v>2</v>
      </c>
      <c r="W308" s="9">
        <v>0</v>
      </c>
      <c r="X308" s="9">
        <v>11</v>
      </c>
      <c r="Y308" s="19" t="str">
        <f>IF($A308&lt;&gt;"",IF($Z308&lt;&gt;"",$Z308,"0,0"),"")</f>
        <v>-105,-100</v>
      </c>
      <c r="Z308" s="42" t="s">
        <v>133</v>
      </c>
      <c r="AA308" s="19" t="str">
        <f>IF($A308&lt;&gt;"",IF($AB308&lt;&gt;"",$AB308,"80,120"),"")</f>
        <v>80,120</v>
      </c>
      <c r="AC308" s="9">
        <v>1.4</v>
      </c>
      <c r="AD308" s="9">
        <v>14</v>
      </c>
      <c r="AE308" s="9">
        <v>0.3</v>
      </c>
      <c r="AF308" s="9">
        <v>3</v>
      </c>
      <c r="AG308" s="9">
        <v>100</v>
      </c>
      <c r="AI308" s="69" cm="1">
        <f t="array" ref="AI308">tuple_avg(T308)/tuple_avg(AA308)</f>
        <v>0.02</v>
      </c>
      <c r="AJ308" s="69">
        <f>AC308*AI308*'-配置辅助'!$I$8</f>
        <v>2.8</v>
      </c>
      <c r="AK308" s="69">
        <f>AD308*AI308*'-配置辅助'!$I$10</f>
        <v>4.6666666666666679</v>
      </c>
      <c r="AL308" s="69">
        <f>AJ308*_xlfn.XLOOKUP(H308,monsters[怪物id],monsters[HP],-1)</f>
        <v>16.799999999999997</v>
      </c>
      <c r="AM308" s="69">
        <f>AK308*_xlfn.XLOOKUP(H308,monsters[怪物id],monsters[HP],-1)</f>
        <v>28.000000000000007</v>
      </c>
    </row>
    <row r="309" spans="1:41" x14ac:dyDescent="0.2">
      <c r="A309" s="9">
        <v>420401</v>
      </c>
      <c r="B309" s="9" t="str" cm="1">
        <f t="array" ref="B309">D309&amp;_xlfn.TEXTJOIN("",1,TEXT(E309:G309,"00"))</f>
        <v>1030003</v>
      </c>
      <c r="C309" s="30" t="str">
        <f t="shared" ref="C309:C310" si="141">_xlfn.TEXTJOIN(",",1,A309:B309)</f>
        <v>420401,1030003</v>
      </c>
      <c r="D309" s="26">
        <v>1</v>
      </c>
      <c r="E309" s="26">
        <v>3</v>
      </c>
      <c r="F309" s="26">
        <f>W309</f>
        <v>0</v>
      </c>
      <c r="G309" s="26">
        <v>3</v>
      </c>
      <c r="H309" s="9">
        <v>201407</v>
      </c>
      <c r="I309" s="15" t="str">
        <f>IFERROR(VLOOKUP(H309,monsters[#All],4,0),"")</f>
        <v>鬼狰</v>
      </c>
      <c r="J309" s="15" t="str" cm="1">
        <f t="array" ref="J309">_xlfn.LET(_xlpm.v6p,ABS(ATAN2(O309,P309))*6/PI(),
_xlpm.output,_xlfn.IFS(_xlpm.v6p&lt;1,"正前",_xlpm.v6p&gt;5,"正后",AND(_xlpm.v6p&lt;5,_xlpm.v6p&gt;2,P309&lt;-1),"脚底",_xlpm.v6p&gt;4,"后上",_xlpm.v6p&lt;2,"前上",TRUE,"顶部"),
IFERROR(_xlpm.output,""))</f>
        <v>顶部</v>
      </c>
      <c r="K309" s="12"/>
      <c r="L309" s="12" t="s">
        <v>63</v>
      </c>
      <c r="M309" s="12" t="s">
        <v>63</v>
      </c>
      <c r="N309" s="19" t="str">
        <f>O309+0&amp;","&amp;P309+0</f>
        <v>3,14</v>
      </c>
      <c r="O309" s="24">
        <v>3</v>
      </c>
      <c r="P309" s="24">
        <v>14</v>
      </c>
      <c r="Q309" s="19">
        <f t="shared" ref="Q309:Q310" si="142">_xlfn.LET(_xlpm._default,1,
_xlpm._custom,R309,
IF($A309&lt;&gt;"",IF(_xlpm._custom&lt;&gt;"",_xlpm._custom,_xlpm._default),""))</f>
        <v>4</v>
      </c>
      <c r="R309" s="24">
        <v>4</v>
      </c>
      <c r="S309" s="9">
        <v>6</v>
      </c>
      <c r="T309" s="19" t="str">
        <f>IF(U309&lt;&gt;"", U309+0&amp;","&amp;V309+0,"")</f>
        <v>2,3</v>
      </c>
      <c r="U309" s="24">
        <v>2</v>
      </c>
      <c r="V309" s="24">
        <v>3</v>
      </c>
      <c r="W309" s="9">
        <v>0</v>
      </c>
      <c r="X309" s="9">
        <v>11</v>
      </c>
      <c r="Y309" s="19" t="str">
        <f>IF($A309&lt;&gt;"",IF($Z309&lt;&gt;"",$Z309,"0,0"),"")</f>
        <v>-245,-240</v>
      </c>
      <c r="Z309" s="42" t="s">
        <v>265</v>
      </c>
      <c r="AA309" s="19" t="str">
        <f>IF($A309&lt;&gt;"",IF($AB309&lt;&gt;"",$AB309,"80,120"),"")</f>
        <v>80,120</v>
      </c>
      <c r="AC309" s="9">
        <v>1.6</v>
      </c>
      <c r="AD309" s="9">
        <v>16</v>
      </c>
      <c r="AE309" s="9">
        <v>0.3</v>
      </c>
      <c r="AF309" s="9">
        <v>3</v>
      </c>
      <c r="AG309" s="9">
        <v>100</v>
      </c>
      <c r="AI309" s="69" cm="1">
        <f t="array" ref="AI309">tuple_avg(T309)/tuple_avg(AA309)</f>
        <v>2.5000000000000001E-2</v>
      </c>
      <c r="AJ309" s="69">
        <f>AC309*AI309*'-配置辅助'!$I$8</f>
        <v>4.0000000000000009</v>
      </c>
      <c r="AK309" s="69">
        <f>AD309*AI309*'-配置辅助'!$I$10</f>
        <v>6.6666666666666679</v>
      </c>
      <c r="AL309" s="69">
        <f>AJ309*_xlfn.XLOOKUP(H309,monsters[怪物id],monsters[HP],-1)</f>
        <v>24.000000000000007</v>
      </c>
      <c r="AM309" s="69">
        <f>AK309*_xlfn.XLOOKUP(H309,monsters[怪物id],monsters[HP],-1)</f>
        <v>40.000000000000007</v>
      </c>
    </row>
    <row r="310" spans="1:41" x14ac:dyDescent="0.2">
      <c r="A310" s="9">
        <v>420401</v>
      </c>
      <c r="B310" s="9" t="str" cm="1">
        <f t="array" ref="B310">D310&amp;_xlfn.TEXTJOIN("",1,TEXT(E310:G310,"00"))</f>
        <v>1030004</v>
      </c>
      <c r="C310" s="30" t="str">
        <f t="shared" si="141"/>
        <v>420401,1030004</v>
      </c>
      <c r="D310" s="26">
        <v>1</v>
      </c>
      <c r="E310" s="26">
        <v>3</v>
      </c>
      <c r="F310" s="26">
        <f>W310</f>
        <v>0</v>
      </c>
      <c r="G310" s="26">
        <v>4</v>
      </c>
      <c r="H310" s="9">
        <v>201407</v>
      </c>
      <c r="I310" s="15" t="str">
        <f>IFERROR(VLOOKUP(H310,monsters[#All],4,0),"")</f>
        <v>鬼狰</v>
      </c>
      <c r="J310" s="15" t="str" cm="1">
        <f t="array" ref="J310">_xlfn.LET(_xlpm.v6p,ABS(ATAN2(O310,P310))*6/PI(),
_xlpm.output,_xlfn.IFS(_xlpm.v6p&lt;1,"正前",_xlpm.v6p&gt;5,"正后",AND(_xlpm.v6p&lt;5,_xlpm.v6p&gt;2,P310&lt;-1),"脚底",_xlpm.v6p&gt;4,"后上",_xlpm.v6p&lt;2,"前上",TRUE,"顶部"),
IFERROR(_xlpm.output,""))</f>
        <v>顶部</v>
      </c>
      <c r="K310" s="12"/>
      <c r="L310" s="12" t="s">
        <v>63</v>
      </c>
      <c r="M310" s="12" t="s">
        <v>63</v>
      </c>
      <c r="N310" s="19" t="str">
        <f>O310+0&amp;","&amp;P310+0</f>
        <v>3,14</v>
      </c>
      <c r="O310" s="24">
        <v>3</v>
      </c>
      <c r="P310" s="24">
        <v>14</v>
      </c>
      <c r="Q310" s="19">
        <f t="shared" si="142"/>
        <v>4</v>
      </c>
      <c r="R310" s="42">
        <v>4</v>
      </c>
      <c r="S310" s="9">
        <v>6</v>
      </c>
      <c r="T310" s="19" t="str">
        <f>IF(U310&lt;&gt;"", U310+0&amp;","&amp;V310+0,"")</f>
        <v>3,3</v>
      </c>
      <c r="U310" s="24">
        <v>3</v>
      </c>
      <c r="V310" s="24">
        <v>3</v>
      </c>
      <c r="W310" s="9">
        <v>0</v>
      </c>
      <c r="X310" s="9">
        <v>11</v>
      </c>
      <c r="Y310" s="19" t="str">
        <f>IF($A310&lt;&gt;"",IF($Z310&lt;&gt;"",$Z310,"0,0"),"")</f>
        <v>-405,-400</v>
      </c>
      <c r="Z310" s="42" t="s">
        <v>264</v>
      </c>
      <c r="AA310" s="19" t="str">
        <f>IF($A310&lt;&gt;"",IF($AB310&lt;&gt;"",$AB310,"80,120"),"")</f>
        <v>80,120</v>
      </c>
      <c r="AC310" s="9">
        <v>1.8</v>
      </c>
      <c r="AD310" s="9">
        <v>18</v>
      </c>
      <c r="AE310" s="9">
        <v>0.3</v>
      </c>
      <c r="AF310" s="9">
        <v>3</v>
      </c>
      <c r="AG310" s="9">
        <v>100</v>
      </c>
      <c r="AI310" s="69" cm="1">
        <f t="array" ref="AI310">tuple_avg(T310)/tuple_avg(AA310)</f>
        <v>0.03</v>
      </c>
      <c r="AJ310" s="69">
        <f>AC310*AI310*'-配置辅助'!$I$8</f>
        <v>5.4</v>
      </c>
      <c r="AK310" s="69">
        <f>AD310*AI310*'-配置辅助'!$I$10</f>
        <v>9.0000000000000018</v>
      </c>
      <c r="AL310" s="69">
        <f>AJ310*_xlfn.XLOOKUP(H310,monsters[怪物id],monsters[HP],-1)</f>
        <v>32.400000000000006</v>
      </c>
      <c r="AM310" s="69">
        <f>AK310*_xlfn.XLOOKUP(H310,monsters[怪物id],monsters[HP],-1)</f>
        <v>54.000000000000014</v>
      </c>
    </row>
    <row r="313" spans="1:41" s="59" customFormat="1" x14ac:dyDescent="0.2">
      <c r="A313" s="55"/>
      <c r="B313" s="55"/>
      <c r="C313" s="56" t="str">
        <f t="shared" ref="C313" si="143">_xlfn.TEXTJOIN(",",1,A313:B313)</f>
        <v/>
      </c>
      <c r="D313" s="57"/>
      <c r="E313" s="57"/>
      <c r="F313" s="57"/>
      <c r="G313" s="57"/>
      <c r="H313" s="55" t="s">
        <v>238</v>
      </c>
      <c r="I313" s="58"/>
      <c r="J313" s="58"/>
      <c r="O313" s="60"/>
      <c r="P313" s="60"/>
      <c r="R313" s="60"/>
      <c r="S313" s="59" t="s">
        <v>62</v>
      </c>
      <c r="U313" s="60"/>
      <c r="V313" s="60"/>
      <c r="Z313" s="60"/>
      <c r="AB313" s="60"/>
      <c r="AC313" s="59" t="s">
        <v>62</v>
      </c>
      <c r="AI313" s="73"/>
      <c r="AJ313" s="73"/>
      <c r="AK313" s="73"/>
      <c r="AL313" s="73">
        <f>SUM(AL315:AL325)</f>
        <v>-4.5</v>
      </c>
      <c r="AM313" s="73">
        <f>SUM(AM315:AM325)</f>
        <v>-1</v>
      </c>
      <c r="AN313" s="73"/>
      <c r="AO313" s="73"/>
    </row>
    <row r="315" spans="1:41" x14ac:dyDescent="0.2">
      <c r="A315" s="9">
        <v>420402</v>
      </c>
      <c r="B315" s="9" t="str" cm="1">
        <f t="array" ref="B315">D315&amp;_xlfn.TEXTJOIN("",1,TEXT(E315:G315,"00"))</f>
        <v>1010000</v>
      </c>
      <c r="C315" s="30" t="str">
        <f t="shared" ref="C315:C317" si="144">_xlfn.TEXTJOIN(",",1,A315:B315)</f>
        <v>420402,1010000</v>
      </c>
      <c r="D315" s="26">
        <v>1</v>
      </c>
      <c r="E315" s="26">
        <v>1</v>
      </c>
      <c r="F315" s="26">
        <f>W315</f>
        <v>0</v>
      </c>
      <c r="G315" s="26">
        <v>0</v>
      </c>
      <c r="H315" s="9">
        <v>201404</v>
      </c>
      <c r="I315" s="15" t="str">
        <f>IFERROR(VLOOKUP(H315,monsters[#All],4,0),"")</f>
        <v>画中仙</v>
      </c>
      <c r="J315" s="15" t="str" cm="1">
        <f t="array" ref="J315">_xlfn.LET(_xlpm.v6p,ABS(ATAN2(O315,P315))*6/PI(),
_xlpm.output,_xlfn.IFS(_xlpm.v6p&lt;1,"正前",_xlpm.v6p&gt;5,"正后",AND(_xlpm.v6p&lt;5,_xlpm.v6p&gt;2,P315&lt;-1),"脚底",_xlpm.v6p&gt;4,"后上",_xlpm.v6p&lt;2,"前上",TRUE,"顶部"),
IFERROR(_xlpm.output,""))</f>
        <v>前上</v>
      </c>
      <c r="K315" s="12"/>
      <c r="L315" s="12" t="s">
        <v>63</v>
      </c>
      <c r="M315" s="12" t="s">
        <v>63</v>
      </c>
      <c r="N315" s="19" t="str">
        <f>O315+0&amp;","&amp;P315+0</f>
        <v>15,10</v>
      </c>
      <c r="O315" s="24">
        <v>15</v>
      </c>
      <c r="P315" s="24">
        <v>10</v>
      </c>
      <c r="Q315" s="19">
        <f t="shared" ref="Q315:Q321" si="145">_xlfn.LET(_xlpm._default,1,
_xlpm._custom,R315,
IF($A315&lt;&gt;"",IF(_xlpm._custom&lt;&gt;"",_xlpm._custom,_xlpm._default),""))</f>
        <v>1</v>
      </c>
      <c r="S315" s="9">
        <v>1</v>
      </c>
      <c r="T315" s="19" t="str">
        <f>IF(U315&lt;&gt;"", U315+0&amp;","&amp;V315+0,"")</f>
        <v>1,1</v>
      </c>
      <c r="U315" s="24">
        <v>1</v>
      </c>
      <c r="V315" s="24">
        <v>1</v>
      </c>
      <c r="W315" s="9">
        <v>0</v>
      </c>
      <c r="X315" s="9">
        <v>11</v>
      </c>
      <c r="Y315" s="19" t="str">
        <f>IF($A315&lt;&gt;"",IF($Z315&lt;&gt;"",$Z315,"0,0"),"")</f>
        <v>70,75</v>
      </c>
      <c r="Z315" s="24" t="s">
        <v>132</v>
      </c>
      <c r="AA315" s="19" t="str">
        <f>IF($A315&lt;&gt;"",IF($AB315&lt;&gt;"",$AB315,"80,120"),"")</f>
        <v>80,120</v>
      </c>
      <c r="AC315" s="9">
        <v>0.3</v>
      </c>
      <c r="AD315" s="9">
        <v>0.4</v>
      </c>
      <c r="AE315" s="9">
        <v>0.3</v>
      </c>
      <c r="AF315" s="9">
        <v>3</v>
      </c>
      <c r="AG315" s="9">
        <v>100</v>
      </c>
      <c r="AI315" s="69" cm="1">
        <f t="array" ref="AI315">tuple_avg(T315)/tuple_avg(AA315)</f>
        <v>0.01</v>
      </c>
      <c r="AJ315" s="69">
        <f>AC315*AI315*'-配置辅助'!$I$8</f>
        <v>0.3</v>
      </c>
      <c r="AK315" s="69">
        <f>AD315*AI315*'-配置辅助'!$I$10</f>
        <v>6.666666666666668E-2</v>
      </c>
      <c r="AL315" s="69">
        <f>AJ315*_xlfn.XLOOKUP(H315,monsters[怪物id],monsters[HP],-1)</f>
        <v>-0.3</v>
      </c>
      <c r="AM315" s="69">
        <f>AK315*_xlfn.XLOOKUP(H315,monsters[怪物id],monsters[HP],-1)</f>
        <v>-6.666666666666668E-2</v>
      </c>
    </row>
    <row r="316" spans="1:41" x14ac:dyDescent="0.2">
      <c r="A316" s="9">
        <v>420402</v>
      </c>
      <c r="B316" s="9" t="str" cm="1">
        <f t="array" ref="B316">D316&amp;_xlfn.TEXTJOIN("",1,TEXT(E316:G316,"00"))</f>
        <v>1010001</v>
      </c>
      <c r="C316" s="30" t="str">
        <f t="shared" si="144"/>
        <v>420402,1010001</v>
      </c>
      <c r="D316" s="26">
        <v>1</v>
      </c>
      <c r="E316" s="26">
        <v>1</v>
      </c>
      <c r="F316" s="26">
        <f>W316</f>
        <v>0</v>
      </c>
      <c r="G316" s="26">
        <v>1</v>
      </c>
      <c r="H316" s="9">
        <v>201404</v>
      </c>
      <c r="I316" s="15" t="str">
        <f>IFERROR(VLOOKUP(H316,monsters[#All],4,0),"")</f>
        <v>画中仙</v>
      </c>
      <c r="J316" s="15" t="str" cm="1">
        <f t="array" ref="J316">_xlfn.LET(_xlpm.v6p,ABS(ATAN2(O316,P316))*6/PI(),
_xlpm.output,_xlfn.IFS(_xlpm.v6p&lt;1,"正前",_xlpm.v6p&gt;5,"正后",AND(_xlpm.v6p&lt;5,_xlpm.v6p&gt;2,P316&lt;-1),"脚底",_xlpm.v6p&gt;4,"后上",_xlpm.v6p&lt;2,"前上",TRUE,"顶部"),
IFERROR(_xlpm.output,""))</f>
        <v>前上</v>
      </c>
      <c r="K316" s="12"/>
      <c r="L316" s="12" t="s">
        <v>63</v>
      </c>
      <c r="M316" s="12" t="s">
        <v>63</v>
      </c>
      <c r="N316" s="19" t="str">
        <f>O316+0&amp;","&amp;P316+0</f>
        <v>15,10</v>
      </c>
      <c r="O316" s="24">
        <v>15</v>
      </c>
      <c r="P316" s="24">
        <v>10</v>
      </c>
      <c r="Q316" s="19">
        <f t="shared" si="145"/>
        <v>1</v>
      </c>
      <c r="S316" s="9">
        <v>2</v>
      </c>
      <c r="T316" s="19" t="str">
        <f>IF(U316&lt;&gt;"", U316+0&amp;","&amp;V316+0,"")</f>
        <v>1,2</v>
      </c>
      <c r="U316" s="24">
        <v>1</v>
      </c>
      <c r="V316" s="24">
        <v>2</v>
      </c>
      <c r="W316" s="9">
        <v>0</v>
      </c>
      <c r="X316" s="9">
        <v>11</v>
      </c>
      <c r="Y316" s="19" t="str">
        <f>IF($A316&lt;&gt;"",IF($Z316&lt;&gt;"",$Z316,"0,0"),"")</f>
        <v>0,0</v>
      </c>
      <c r="AA316" s="19" t="str">
        <f>IF($A316&lt;&gt;"",IF($AB316&lt;&gt;"",$AB316,"80,120"),"")</f>
        <v>80,120</v>
      </c>
      <c r="AC316" s="9">
        <v>0.3</v>
      </c>
      <c r="AD316" s="9">
        <v>0.4</v>
      </c>
      <c r="AE316" s="9">
        <v>0.3</v>
      </c>
      <c r="AF316" s="9">
        <v>3</v>
      </c>
      <c r="AG316" s="9">
        <v>100</v>
      </c>
      <c r="AI316" s="69" cm="1">
        <f t="array" ref="AI316">tuple_avg(T316)/tuple_avg(AA316)</f>
        <v>1.4999999999999999E-2</v>
      </c>
      <c r="AJ316" s="69">
        <f>AC316*AI316*'-配置辅助'!$I$8</f>
        <v>0.44999999999999996</v>
      </c>
      <c r="AK316" s="69">
        <f>AD316*AI316*'-配置辅助'!$I$10</f>
        <v>0.1</v>
      </c>
      <c r="AL316" s="69">
        <f>AJ316*_xlfn.XLOOKUP(H316,monsters[怪物id],monsters[HP],-1)</f>
        <v>-0.44999999999999996</v>
      </c>
      <c r="AM316" s="69">
        <f>AK316*_xlfn.XLOOKUP(H316,monsters[怪物id],monsters[HP],-1)</f>
        <v>-0.1</v>
      </c>
    </row>
    <row r="317" spans="1:41" x14ac:dyDescent="0.2">
      <c r="A317" s="9">
        <v>420402</v>
      </c>
      <c r="B317" s="9" t="str" cm="1">
        <f t="array" ref="B317">D317&amp;_xlfn.TEXTJOIN("",1,TEXT(E317:G317,"00"))</f>
        <v>1010002</v>
      </c>
      <c r="C317" s="30" t="str">
        <f t="shared" si="144"/>
        <v>420402,1010002</v>
      </c>
      <c r="D317" s="26">
        <v>1</v>
      </c>
      <c r="E317" s="26">
        <v>1</v>
      </c>
      <c r="F317" s="26">
        <f>W317</f>
        <v>0</v>
      </c>
      <c r="G317" s="26">
        <v>2</v>
      </c>
      <c r="H317" s="9">
        <v>201404</v>
      </c>
      <c r="I317" s="15" t="str">
        <f>IFERROR(VLOOKUP(H317,monsters[#All],4,0),"")</f>
        <v>画中仙</v>
      </c>
      <c r="J317" s="15" t="str" cm="1">
        <f t="array" ref="J317">_xlfn.LET(_xlpm.v6p,ABS(ATAN2(O317,P317))*6/PI(),
_xlpm.output,_xlfn.IFS(_xlpm.v6p&lt;1,"正前",_xlpm.v6p&gt;5,"正后",AND(_xlpm.v6p&lt;5,_xlpm.v6p&gt;2,P317&lt;-1),"脚底",_xlpm.v6p&gt;4,"后上",_xlpm.v6p&lt;2,"前上",TRUE,"顶部"),
IFERROR(_xlpm.output,""))</f>
        <v>前上</v>
      </c>
      <c r="K317" s="12"/>
      <c r="L317" s="12" t="s">
        <v>63</v>
      </c>
      <c r="M317" s="12" t="s">
        <v>63</v>
      </c>
      <c r="N317" s="19" t="str">
        <f>O317+0&amp;","&amp;P317+0</f>
        <v>15,10</v>
      </c>
      <c r="O317" s="24">
        <v>15</v>
      </c>
      <c r="P317" s="24">
        <v>10</v>
      </c>
      <c r="Q317" s="19">
        <f t="shared" si="145"/>
        <v>1</v>
      </c>
      <c r="R317" s="42"/>
      <c r="S317" s="9">
        <v>2</v>
      </c>
      <c r="T317" s="19" t="str">
        <f>IF(U317&lt;&gt;"", U317+0&amp;","&amp;V317+0,"")</f>
        <v>2,3</v>
      </c>
      <c r="U317" s="24">
        <v>2</v>
      </c>
      <c r="V317" s="24">
        <v>3</v>
      </c>
      <c r="W317" s="9">
        <v>0</v>
      </c>
      <c r="X317" s="9">
        <v>11</v>
      </c>
      <c r="Y317" s="19" t="str">
        <f>IF($A317&lt;&gt;"",IF($Z317&lt;&gt;"",$Z317,"0,0"),"")</f>
        <v>-105,-100</v>
      </c>
      <c r="Z317" s="42" t="s">
        <v>133</v>
      </c>
      <c r="AA317" s="19" t="str">
        <f>IF($A317&lt;&gt;"",IF($AB317&lt;&gt;"",$AB317,"80,120"),"")</f>
        <v>80,120</v>
      </c>
      <c r="AC317" s="9">
        <v>0.3</v>
      </c>
      <c r="AD317" s="9">
        <v>0.4</v>
      </c>
      <c r="AE317" s="9">
        <v>0.3</v>
      </c>
      <c r="AF317" s="9">
        <v>3</v>
      </c>
      <c r="AG317" s="9">
        <v>100</v>
      </c>
      <c r="AI317" s="69" cm="1">
        <f t="array" ref="AI317">tuple_avg(T317)/tuple_avg(AA317)</f>
        <v>2.5000000000000001E-2</v>
      </c>
      <c r="AJ317" s="69">
        <f>AC317*AI317*'-配置辅助'!$I$8</f>
        <v>0.75</v>
      </c>
      <c r="AK317" s="69">
        <f>AD317*AI317*'-配置辅助'!$I$10</f>
        <v>0.16666666666666671</v>
      </c>
      <c r="AL317" s="69">
        <f>AJ317*_xlfn.XLOOKUP(H317,monsters[怪物id],monsters[HP],-1)</f>
        <v>-0.75</v>
      </c>
      <c r="AM317" s="69">
        <f>AK317*_xlfn.XLOOKUP(H317,monsters[怪物id],monsters[HP],-1)</f>
        <v>-0.16666666666666671</v>
      </c>
    </row>
    <row r="318" spans="1:41" x14ac:dyDescent="0.2">
      <c r="J318" s="15" t="str" cm="1">
        <f t="array" ref="J318">_xlfn.LET(_xlpm.v6p,ABS(ATAN2(O318,P318))*6/PI(),
_xlpm.output,_xlfn.IFS(_xlpm.v6p&lt;1,"正前",_xlpm.v6p&gt;5,"正后",AND(_xlpm.v6p&lt;5,_xlpm.v6p&gt;2,P318&lt;-1),"脚底",_xlpm.v6p&gt;4,"后上",_xlpm.v6p&lt;2,"前上",TRUE,"顶部"),
IFERROR(_xlpm.output,""))</f>
        <v/>
      </c>
      <c r="Q318" s="19" t="str">
        <f t="shared" si="145"/>
        <v/>
      </c>
    </row>
    <row r="319" spans="1:41" x14ac:dyDescent="0.2">
      <c r="A319" s="9">
        <v>420402</v>
      </c>
      <c r="B319" s="9" t="str" cm="1">
        <f t="array" ref="B319">D319&amp;_xlfn.TEXTJOIN("",1,TEXT(E319:G319,"00"))</f>
        <v>1020000</v>
      </c>
      <c r="C319" s="30" t="str">
        <f t="shared" ref="C319:C321" si="146">_xlfn.TEXTJOIN(",",1,A319:B319)</f>
        <v>420402,1020000</v>
      </c>
      <c r="D319" s="26">
        <v>1</v>
      </c>
      <c r="E319" s="26">
        <v>2</v>
      </c>
      <c r="F319" s="26">
        <f>W319</f>
        <v>0</v>
      </c>
      <c r="G319" s="26">
        <v>0</v>
      </c>
      <c r="H319" s="9">
        <v>201404</v>
      </c>
      <c r="I319" s="15" t="str">
        <f>IFERROR(VLOOKUP(H319,monsters[#All],4,0),"")</f>
        <v>画中仙</v>
      </c>
      <c r="J319" s="15" t="str" cm="1">
        <f t="array" ref="J319">_xlfn.LET(_xlpm.v6p,ABS(ATAN2(O319,P319))*6/PI(),
_xlpm.output,_xlfn.IFS(_xlpm.v6p&lt;1,"正前",_xlpm.v6p&gt;5,"正后",AND(_xlpm.v6p&lt;5,_xlpm.v6p&gt;2,P319&lt;-1),"脚底",_xlpm.v6p&gt;4,"后上",_xlpm.v6p&lt;2,"前上",TRUE,"顶部"),
IFERROR(_xlpm.output,""))</f>
        <v>后上</v>
      </c>
      <c r="K319" s="12"/>
      <c r="L319" s="12" t="s">
        <v>63</v>
      </c>
      <c r="M319" s="12" t="s">
        <v>63</v>
      </c>
      <c r="N319" s="19" t="str">
        <f>O319+0&amp;","&amp;P319+0</f>
        <v>-15,10</v>
      </c>
      <c r="O319" s="24">
        <v>-15</v>
      </c>
      <c r="P319" s="24">
        <v>10</v>
      </c>
      <c r="Q319" s="19">
        <f t="shared" si="145"/>
        <v>1</v>
      </c>
      <c r="S319" s="9">
        <v>1</v>
      </c>
      <c r="T319" s="19" t="str">
        <f>IF(U319&lt;&gt;"", U319+0&amp;","&amp;V319+0,"")</f>
        <v>1,1</v>
      </c>
      <c r="U319" s="24">
        <v>1</v>
      </c>
      <c r="V319" s="24">
        <v>1</v>
      </c>
      <c r="W319" s="9">
        <v>0</v>
      </c>
      <c r="X319" s="9">
        <v>11</v>
      </c>
      <c r="Y319" s="19" t="str">
        <f>IF($A319&lt;&gt;"",IF($Z319&lt;&gt;"",$Z319,"0,0"),"")</f>
        <v>70,75</v>
      </c>
      <c r="Z319" s="24" t="s">
        <v>132</v>
      </c>
      <c r="AA319" s="19" t="str">
        <f>IF($A319&lt;&gt;"",IF($AB319&lt;&gt;"",$AB319,"80,120"),"")</f>
        <v>80,120</v>
      </c>
      <c r="AC319" s="9">
        <v>0.3</v>
      </c>
      <c r="AD319" s="9">
        <v>0.4</v>
      </c>
      <c r="AE319" s="9">
        <v>0.3</v>
      </c>
      <c r="AF319" s="9">
        <v>3</v>
      </c>
      <c r="AG319" s="9">
        <v>100</v>
      </c>
      <c r="AI319" s="69" cm="1">
        <f t="array" ref="AI319">tuple_avg(T319)/tuple_avg(AA319)</f>
        <v>0.01</v>
      </c>
      <c r="AJ319" s="69">
        <f>AC319*AI319*'-配置辅助'!$I$8</f>
        <v>0.3</v>
      </c>
      <c r="AK319" s="69">
        <f>AD319*AI319*'-配置辅助'!$I$10</f>
        <v>6.666666666666668E-2</v>
      </c>
      <c r="AL319" s="69">
        <f>AJ319*_xlfn.XLOOKUP(H319,monsters[怪物id],monsters[HP],-1)</f>
        <v>-0.3</v>
      </c>
      <c r="AM319" s="69">
        <f>AK319*_xlfn.XLOOKUP(H319,monsters[怪物id],monsters[HP],-1)</f>
        <v>-6.666666666666668E-2</v>
      </c>
    </row>
    <row r="320" spans="1:41" x14ac:dyDescent="0.2">
      <c r="A320" s="9">
        <v>420402</v>
      </c>
      <c r="B320" s="9" t="str" cm="1">
        <f t="array" ref="B320">D320&amp;_xlfn.TEXTJOIN("",1,TEXT(E320:G320,"00"))</f>
        <v>1020001</v>
      </c>
      <c r="C320" s="30" t="str">
        <f t="shared" si="146"/>
        <v>420402,1020001</v>
      </c>
      <c r="D320" s="26">
        <v>1</v>
      </c>
      <c r="E320" s="26">
        <v>2</v>
      </c>
      <c r="F320" s="26">
        <f>W320</f>
        <v>0</v>
      </c>
      <c r="G320" s="26">
        <v>1</v>
      </c>
      <c r="H320" s="9">
        <v>201404</v>
      </c>
      <c r="I320" s="15" t="str">
        <f>IFERROR(VLOOKUP(H320,monsters[#All],4,0),"")</f>
        <v>画中仙</v>
      </c>
      <c r="J320" s="15" t="str" cm="1">
        <f t="array" ref="J320">_xlfn.LET(_xlpm.v6p,ABS(ATAN2(O320,P320))*6/PI(),
_xlpm.output,_xlfn.IFS(_xlpm.v6p&lt;1,"正前",_xlpm.v6p&gt;5,"正后",AND(_xlpm.v6p&lt;5,_xlpm.v6p&gt;2,P320&lt;-1),"脚底",_xlpm.v6p&gt;4,"后上",_xlpm.v6p&lt;2,"前上",TRUE,"顶部"),
IFERROR(_xlpm.output,""))</f>
        <v>后上</v>
      </c>
      <c r="K320" s="12"/>
      <c r="L320" s="12" t="s">
        <v>63</v>
      </c>
      <c r="M320" s="12" t="s">
        <v>63</v>
      </c>
      <c r="N320" s="19" t="str">
        <f>O320+0&amp;","&amp;P320+0</f>
        <v>-15,10</v>
      </c>
      <c r="O320" s="24">
        <v>-15</v>
      </c>
      <c r="P320" s="24">
        <v>10</v>
      </c>
      <c r="Q320" s="19">
        <f t="shared" si="145"/>
        <v>1</v>
      </c>
      <c r="S320" s="9">
        <v>2</v>
      </c>
      <c r="T320" s="19" t="str">
        <f>IF(U320&lt;&gt;"", U320+0&amp;","&amp;V320+0,"")</f>
        <v>1,2</v>
      </c>
      <c r="U320" s="24">
        <v>1</v>
      </c>
      <c r="V320" s="24">
        <v>2</v>
      </c>
      <c r="W320" s="9">
        <v>0</v>
      </c>
      <c r="X320" s="9">
        <v>11</v>
      </c>
      <c r="Y320" s="19" t="str">
        <f>IF($A320&lt;&gt;"",IF($Z320&lt;&gt;"",$Z320,"0,0"),"")</f>
        <v>0,0</v>
      </c>
      <c r="AA320" s="19" t="str">
        <f>IF($A320&lt;&gt;"",IF($AB320&lt;&gt;"",$AB320,"80,120"),"")</f>
        <v>80,120</v>
      </c>
      <c r="AC320" s="9">
        <v>0.3</v>
      </c>
      <c r="AD320" s="9">
        <v>0.4</v>
      </c>
      <c r="AE320" s="9">
        <v>0.3</v>
      </c>
      <c r="AF320" s="9">
        <v>3</v>
      </c>
      <c r="AG320" s="9">
        <v>100</v>
      </c>
      <c r="AI320" s="69" cm="1">
        <f t="array" ref="AI320">tuple_avg(T320)/tuple_avg(AA320)</f>
        <v>1.4999999999999999E-2</v>
      </c>
      <c r="AJ320" s="69">
        <f>AC320*AI320*'-配置辅助'!$I$8</f>
        <v>0.44999999999999996</v>
      </c>
      <c r="AK320" s="69">
        <f>AD320*AI320*'-配置辅助'!$I$10</f>
        <v>0.1</v>
      </c>
      <c r="AL320" s="69">
        <f>AJ320*_xlfn.XLOOKUP(H320,monsters[怪物id],monsters[HP],-1)</f>
        <v>-0.44999999999999996</v>
      </c>
      <c r="AM320" s="69">
        <f>AK320*_xlfn.XLOOKUP(H320,monsters[怪物id],monsters[HP],-1)</f>
        <v>-0.1</v>
      </c>
    </row>
    <row r="321" spans="1:41" x14ac:dyDescent="0.2">
      <c r="A321" s="9">
        <v>420402</v>
      </c>
      <c r="B321" s="9" t="str" cm="1">
        <f t="array" ref="B321">D321&amp;_xlfn.TEXTJOIN("",1,TEXT(E321:G321,"00"))</f>
        <v>1020002</v>
      </c>
      <c r="C321" s="30" t="str">
        <f t="shared" si="146"/>
        <v>420402,1020002</v>
      </c>
      <c r="D321" s="26">
        <v>1</v>
      </c>
      <c r="E321" s="26">
        <v>2</v>
      </c>
      <c r="F321" s="26">
        <f>W321</f>
        <v>0</v>
      </c>
      <c r="G321" s="26">
        <v>2</v>
      </c>
      <c r="H321" s="9">
        <v>201404</v>
      </c>
      <c r="I321" s="15" t="str">
        <f>IFERROR(VLOOKUP(H321,monsters[#All],4,0),"")</f>
        <v>画中仙</v>
      </c>
      <c r="J321" s="15" t="str" cm="1">
        <f t="array" ref="J321">_xlfn.LET(_xlpm.v6p,ABS(ATAN2(O321,P321))*6/PI(),
_xlpm.output,_xlfn.IFS(_xlpm.v6p&lt;1,"正前",_xlpm.v6p&gt;5,"正后",AND(_xlpm.v6p&lt;5,_xlpm.v6p&gt;2,P321&lt;-1),"脚底",_xlpm.v6p&gt;4,"后上",_xlpm.v6p&lt;2,"前上",TRUE,"顶部"),
IFERROR(_xlpm.output,""))</f>
        <v>后上</v>
      </c>
      <c r="K321" s="12"/>
      <c r="L321" s="12" t="s">
        <v>63</v>
      </c>
      <c r="M321" s="12" t="s">
        <v>63</v>
      </c>
      <c r="N321" s="19" t="str">
        <f>O321+0&amp;","&amp;P321+0</f>
        <v>-15,10</v>
      </c>
      <c r="O321" s="24">
        <v>-15</v>
      </c>
      <c r="P321" s="24">
        <v>10</v>
      </c>
      <c r="Q321" s="19">
        <f t="shared" si="145"/>
        <v>1</v>
      </c>
      <c r="R321" s="42"/>
      <c r="S321" s="9">
        <v>2</v>
      </c>
      <c r="T321" s="19" t="str">
        <f>IF(U321&lt;&gt;"", U321+0&amp;","&amp;V321+0,"")</f>
        <v>2,3</v>
      </c>
      <c r="U321" s="24">
        <v>2</v>
      </c>
      <c r="V321" s="24">
        <v>3</v>
      </c>
      <c r="W321" s="9">
        <v>0</v>
      </c>
      <c r="X321" s="9">
        <v>11</v>
      </c>
      <c r="Y321" s="19" t="str">
        <f>IF($A321&lt;&gt;"",IF($Z321&lt;&gt;"",$Z321,"0,0"),"")</f>
        <v>-105,-100</v>
      </c>
      <c r="Z321" s="42" t="s">
        <v>133</v>
      </c>
      <c r="AA321" s="19" t="str">
        <f>IF($A321&lt;&gt;"",IF($AB321&lt;&gt;"",$AB321,"80,120"),"")</f>
        <v>80,120</v>
      </c>
      <c r="AC321" s="9">
        <v>0.3</v>
      </c>
      <c r="AD321" s="9">
        <v>0.4</v>
      </c>
      <c r="AE321" s="9">
        <v>0.3</v>
      </c>
      <c r="AF321" s="9">
        <v>3</v>
      </c>
      <c r="AG321" s="9">
        <v>100</v>
      </c>
      <c r="AI321" s="69" cm="1">
        <f t="array" ref="AI321">tuple_avg(T321)/tuple_avg(AA321)</f>
        <v>2.5000000000000001E-2</v>
      </c>
      <c r="AJ321" s="69">
        <f>AC321*AI321*'-配置辅助'!$I$8</f>
        <v>0.75</v>
      </c>
      <c r="AK321" s="69">
        <f>AD321*AI321*'-配置辅助'!$I$10</f>
        <v>0.16666666666666671</v>
      </c>
      <c r="AL321" s="69">
        <f>AJ321*_xlfn.XLOOKUP(H321,monsters[怪物id],monsters[HP],-1)</f>
        <v>-0.75</v>
      </c>
      <c r="AM321" s="69">
        <f>AK321*_xlfn.XLOOKUP(H321,monsters[怪物id],monsters[HP],-1)</f>
        <v>-0.16666666666666671</v>
      </c>
    </row>
    <row r="322" spans="1:41" x14ac:dyDescent="0.2">
      <c r="J322" s="15" t="str" cm="1">
        <f t="array" ref="J322">_xlfn.LET(_xlpm.v6p,ABS(ATAN2(O322,P322))*6/PI(),
_xlpm.output,_xlfn.IFS(_xlpm.v6p&lt;1,"正前",_xlpm.v6p&gt;5,"正后",AND(_xlpm.v6p&lt;5,_xlpm.v6p&gt;2,P322&lt;-1),"脚底",_xlpm.v6p&gt;4,"后上",_xlpm.v6p&lt;2,"前上",TRUE,"顶部"),
IFERROR(_xlpm.output,""))</f>
        <v/>
      </c>
    </row>
    <row r="323" spans="1:41" x14ac:dyDescent="0.2">
      <c r="A323" s="9">
        <v>420402</v>
      </c>
      <c r="B323" s="9" t="str" cm="1">
        <f t="array" ref="B323">D323&amp;_xlfn.TEXTJOIN("",1,TEXT(E323:G323,"00"))</f>
        <v>1030000</v>
      </c>
      <c r="C323" s="30" t="str">
        <f t="shared" ref="C323:C325" si="147">_xlfn.TEXTJOIN(",",1,A323:B323)</f>
        <v>420402,1030000</v>
      </c>
      <c r="D323" s="26">
        <v>1</v>
      </c>
      <c r="E323" s="26">
        <v>3</v>
      </c>
      <c r="F323" s="26">
        <f>W323</f>
        <v>0</v>
      </c>
      <c r="G323" s="26">
        <v>0</v>
      </c>
      <c r="H323" s="9">
        <v>201404</v>
      </c>
      <c r="I323" s="15" t="str">
        <f>IFERROR(VLOOKUP(H323,monsters[#All],4,0),"")</f>
        <v>画中仙</v>
      </c>
      <c r="J323" s="15" t="str" cm="1">
        <f t="array" ref="J323">_xlfn.LET(_xlpm.v6p,ABS(ATAN2(O323,P323))*6/PI(),
_xlpm.output,_xlfn.IFS(_xlpm.v6p&lt;1,"正前",_xlpm.v6p&gt;5,"正后",AND(_xlpm.v6p&lt;5,_xlpm.v6p&gt;2,P323&lt;-1),"脚底",_xlpm.v6p&gt;4,"后上",_xlpm.v6p&lt;2,"前上",TRUE,"顶部"),
IFERROR(_xlpm.output,""))</f>
        <v>顶部</v>
      </c>
      <c r="K323" s="12"/>
      <c r="L323" s="12" t="s">
        <v>63</v>
      </c>
      <c r="M323" s="12" t="s">
        <v>63</v>
      </c>
      <c r="N323" s="19" t="str">
        <f>O323+0&amp;","&amp;P323+0</f>
        <v>3,15</v>
      </c>
      <c r="O323" s="24">
        <v>3</v>
      </c>
      <c r="P323" s="24">
        <v>15</v>
      </c>
      <c r="Q323" s="19">
        <f t="shared" ref="Q323:Q325" si="148">_xlfn.LET(_xlpm._default,1,
_xlpm._custom,R323,
IF($A323&lt;&gt;"",IF(_xlpm._custom&lt;&gt;"",_xlpm._custom,_xlpm._default),""))</f>
        <v>1</v>
      </c>
      <c r="S323" s="9">
        <v>1</v>
      </c>
      <c r="T323" s="19" t="str">
        <f>IF(U323&lt;&gt;"", U323+0&amp;","&amp;V323+0,"")</f>
        <v>1,1</v>
      </c>
      <c r="U323" s="24">
        <v>1</v>
      </c>
      <c r="V323" s="24">
        <v>1</v>
      </c>
      <c r="W323" s="9">
        <v>0</v>
      </c>
      <c r="X323" s="9">
        <v>11</v>
      </c>
      <c r="Y323" s="19" t="str">
        <f>IF($A323&lt;&gt;"",IF($Z323&lt;&gt;"",$Z323,"0,0"),"")</f>
        <v>70,75</v>
      </c>
      <c r="Z323" s="24" t="s">
        <v>132</v>
      </c>
      <c r="AA323" s="19" t="str">
        <f>IF($A323&lt;&gt;"",IF($AB323&lt;&gt;"",$AB323,"80,120"),"")</f>
        <v>80,120</v>
      </c>
      <c r="AC323" s="9">
        <v>0.3</v>
      </c>
      <c r="AD323" s="9">
        <v>0.4</v>
      </c>
      <c r="AE323" s="9">
        <v>0.3</v>
      </c>
      <c r="AF323" s="9">
        <v>3</v>
      </c>
      <c r="AG323" s="9">
        <v>100</v>
      </c>
      <c r="AI323" s="69" cm="1">
        <f t="array" ref="AI323">tuple_avg(T323)/tuple_avg(AA323)</f>
        <v>0.01</v>
      </c>
      <c r="AJ323" s="69">
        <f>AC323*AI323*'-配置辅助'!$I$8</f>
        <v>0.3</v>
      </c>
      <c r="AK323" s="69">
        <f>AD323*AI323*'-配置辅助'!$I$10</f>
        <v>6.666666666666668E-2</v>
      </c>
      <c r="AL323" s="69">
        <f>AJ323*_xlfn.XLOOKUP(H323,monsters[怪物id],monsters[HP],-1)</f>
        <v>-0.3</v>
      </c>
      <c r="AM323" s="69">
        <f>AK323*_xlfn.XLOOKUP(H323,monsters[怪物id],monsters[HP],-1)</f>
        <v>-6.666666666666668E-2</v>
      </c>
    </row>
    <row r="324" spans="1:41" x14ac:dyDescent="0.2">
      <c r="A324" s="9">
        <v>420402</v>
      </c>
      <c r="B324" s="9" t="str" cm="1">
        <f t="array" ref="B324">D324&amp;_xlfn.TEXTJOIN("",1,TEXT(E324:G324,"00"))</f>
        <v>1030001</v>
      </c>
      <c r="C324" s="30" t="str">
        <f t="shared" si="147"/>
        <v>420402,1030001</v>
      </c>
      <c r="D324" s="26">
        <v>1</v>
      </c>
      <c r="E324" s="26">
        <v>3</v>
      </c>
      <c r="F324" s="26">
        <f>W324</f>
        <v>0</v>
      </c>
      <c r="G324" s="26">
        <v>1</v>
      </c>
      <c r="H324" s="9">
        <v>201404</v>
      </c>
      <c r="I324" s="15" t="str">
        <f>IFERROR(VLOOKUP(H324,monsters[#All],4,0),"")</f>
        <v>画中仙</v>
      </c>
      <c r="J324" s="15" t="str" cm="1">
        <f t="array" ref="J324">_xlfn.LET(_xlpm.v6p,ABS(ATAN2(O324,P324))*6/PI(),
_xlpm.output,_xlfn.IFS(_xlpm.v6p&lt;1,"正前",_xlpm.v6p&gt;5,"正后",AND(_xlpm.v6p&lt;5,_xlpm.v6p&gt;2,P324&lt;-1),"脚底",_xlpm.v6p&gt;4,"后上",_xlpm.v6p&lt;2,"前上",TRUE,"顶部"),
IFERROR(_xlpm.output,""))</f>
        <v>顶部</v>
      </c>
      <c r="K324" s="12"/>
      <c r="L324" s="12" t="s">
        <v>63</v>
      </c>
      <c r="M324" s="12" t="s">
        <v>63</v>
      </c>
      <c r="N324" s="19" t="str">
        <f>O324+0&amp;","&amp;P324+0</f>
        <v>3,15</v>
      </c>
      <c r="O324" s="24">
        <v>3</v>
      </c>
      <c r="P324" s="24">
        <v>15</v>
      </c>
      <c r="Q324" s="19">
        <f t="shared" si="148"/>
        <v>1</v>
      </c>
      <c r="S324" s="9">
        <v>2</v>
      </c>
      <c r="T324" s="19" t="str">
        <f>IF(U324&lt;&gt;"", U324+0&amp;","&amp;V324+0,"")</f>
        <v>1,2</v>
      </c>
      <c r="U324" s="24">
        <v>1</v>
      </c>
      <c r="V324" s="24">
        <v>2</v>
      </c>
      <c r="W324" s="9">
        <v>0</v>
      </c>
      <c r="X324" s="9">
        <v>11</v>
      </c>
      <c r="Y324" s="19" t="str">
        <f>IF($A324&lt;&gt;"",IF($Z324&lt;&gt;"",$Z324,"0,0"),"")</f>
        <v>0,0</v>
      </c>
      <c r="AA324" s="19" t="str">
        <f>IF($A324&lt;&gt;"",IF($AB324&lt;&gt;"",$AB324,"80,120"),"")</f>
        <v>80,120</v>
      </c>
      <c r="AC324" s="9">
        <v>0.3</v>
      </c>
      <c r="AD324" s="9">
        <v>0.4</v>
      </c>
      <c r="AE324" s="9">
        <v>0.3</v>
      </c>
      <c r="AF324" s="9">
        <v>3</v>
      </c>
      <c r="AG324" s="9">
        <v>100</v>
      </c>
      <c r="AI324" s="69" cm="1">
        <f t="array" ref="AI324">tuple_avg(T324)/tuple_avg(AA324)</f>
        <v>1.4999999999999999E-2</v>
      </c>
      <c r="AJ324" s="69">
        <f>AC324*AI324*'-配置辅助'!$I$8</f>
        <v>0.44999999999999996</v>
      </c>
      <c r="AK324" s="69">
        <f>AD324*AI324*'-配置辅助'!$I$10</f>
        <v>0.1</v>
      </c>
      <c r="AL324" s="69">
        <f>AJ324*_xlfn.XLOOKUP(H324,monsters[怪物id],monsters[HP],-1)</f>
        <v>-0.44999999999999996</v>
      </c>
      <c r="AM324" s="69">
        <f>AK324*_xlfn.XLOOKUP(H324,monsters[怪物id],monsters[HP],-1)</f>
        <v>-0.1</v>
      </c>
    </row>
    <row r="325" spans="1:41" x14ac:dyDescent="0.2">
      <c r="A325" s="9">
        <v>420402</v>
      </c>
      <c r="B325" s="9" t="str" cm="1">
        <f t="array" ref="B325">D325&amp;_xlfn.TEXTJOIN("",1,TEXT(E325:G325,"00"))</f>
        <v>1030002</v>
      </c>
      <c r="C325" s="30" t="str">
        <f t="shared" si="147"/>
        <v>420402,1030002</v>
      </c>
      <c r="D325" s="26">
        <v>1</v>
      </c>
      <c r="E325" s="26">
        <v>3</v>
      </c>
      <c r="F325" s="26">
        <f>W325</f>
        <v>0</v>
      </c>
      <c r="G325" s="26">
        <v>2</v>
      </c>
      <c r="H325" s="9">
        <v>201404</v>
      </c>
      <c r="I325" s="15" t="str">
        <f>IFERROR(VLOOKUP(H325,monsters[#All],4,0),"")</f>
        <v>画中仙</v>
      </c>
      <c r="J325" s="15" t="str" cm="1">
        <f t="array" ref="J325">_xlfn.LET(_xlpm.v6p,ABS(ATAN2(O325,P325))*6/PI(),
_xlpm.output,_xlfn.IFS(_xlpm.v6p&lt;1,"正前",_xlpm.v6p&gt;5,"正后",AND(_xlpm.v6p&lt;5,_xlpm.v6p&gt;2,P325&lt;-1),"脚底",_xlpm.v6p&gt;4,"后上",_xlpm.v6p&lt;2,"前上",TRUE,"顶部"),
IFERROR(_xlpm.output,""))</f>
        <v>顶部</v>
      </c>
      <c r="K325" s="12"/>
      <c r="L325" s="12" t="s">
        <v>63</v>
      </c>
      <c r="M325" s="12" t="s">
        <v>63</v>
      </c>
      <c r="N325" s="19" t="str">
        <f>O325+0&amp;","&amp;P325+0</f>
        <v>3,15</v>
      </c>
      <c r="O325" s="24">
        <v>3</v>
      </c>
      <c r="P325" s="24">
        <v>15</v>
      </c>
      <c r="Q325" s="19">
        <f t="shared" si="148"/>
        <v>1</v>
      </c>
      <c r="R325" s="42"/>
      <c r="S325" s="9">
        <v>2</v>
      </c>
      <c r="T325" s="19" t="str">
        <f>IF(U325&lt;&gt;"", U325+0&amp;","&amp;V325+0,"")</f>
        <v>2,3</v>
      </c>
      <c r="U325" s="24">
        <v>2</v>
      </c>
      <c r="V325" s="24">
        <v>3</v>
      </c>
      <c r="W325" s="9">
        <v>0</v>
      </c>
      <c r="X325" s="9">
        <v>11</v>
      </c>
      <c r="Y325" s="19" t="str">
        <f>IF($A325&lt;&gt;"",IF($Z325&lt;&gt;"",$Z325,"0,0"),"")</f>
        <v>-105,-100</v>
      </c>
      <c r="Z325" s="42" t="s">
        <v>133</v>
      </c>
      <c r="AA325" s="19" t="str">
        <f>IF($A325&lt;&gt;"",IF($AB325&lt;&gt;"",$AB325,"80,120"),"")</f>
        <v>80,120</v>
      </c>
      <c r="AC325" s="9">
        <v>0.3</v>
      </c>
      <c r="AD325" s="9">
        <v>0.4</v>
      </c>
      <c r="AE325" s="9">
        <v>0.3</v>
      </c>
      <c r="AF325" s="9">
        <v>3</v>
      </c>
      <c r="AG325" s="9">
        <v>100</v>
      </c>
      <c r="AI325" s="69" cm="1">
        <f t="array" ref="AI325">tuple_avg(T325)/tuple_avg(AA325)</f>
        <v>2.5000000000000001E-2</v>
      </c>
      <c r="AJ325" s="69">
        <f>AC325*AI325*'-配置辅助'!$I$8</f>
        <v>0.75</v>
      </c>
      <c r="AK325" s="69">
        <f>AD325*AI325*'-配置辅助'!$I$10</f>
        <v>0.16666666666666671</v>
      </c>
      <c r="AL325" s="69">
        <f>AJ325*_xlfn.XLOOKUP(H325,monsters[怪物id],monsters[HP],-1)</f>
        <v>-0.75</v>
      </c>
      <c r="AM325" s="69">
        <f>AK325*_xlfn.XLOOKUP(H325,monsters[怪物id],monsters[HP],-1)</f>
        <v>-0.16666666666666671</v>
      </c>
    </row>
    <row r="328" spans="1:41" s="59" customFormat="1" x14ac:dyDescent="0.2">
      <c r="A328" s="55"/>
      <c r="B328" s="55"/>
      <c r="C328" s="56" t="str">
        <f t="shared" ref="C328" si="149">_xlfn.TEXTJOIN(",",1,A328:B328)</f>
        <v/>
      </c>
      <c r="D328" s="57"/>
      <c r="E328" s="57"/>
      <c r="F328" s="57"/>
      <c r="G328" s="57"/>
      <c r="H328" s="55" t="s">
        <v>240</v>
      </c>
      <c r="I328" s="58"/>
      <c r="J328" s="58"/>
      <c r="O328" s="60"/>
      <c r="P328" s="60"/>
      <c r="R328" s="60"/>
      <c r="S328" s="59" t="s">
        <v>62</v>
      </c>
      <c r="U328" s="60"/>
      <c r="V328" s="60"/>
      <c r="Z328" s="60"/>
      <c r="AB328" s="60"/>
      <c r="AC328" s="59" t="s">
        <v>62</v>
      </c>
      <c r="AI328" s="73"/>
      <c r="AJ328" s="73"/>
      <c r="AK328" s="73"/>
      <c r="AL328" s="73">
        <f>SUM(AL330:AL340)</f>
        <v>72</v>
      </c>
      <c r="AM328" s="73">
        <f>SUM(AM330:AM340)</f>
        <v>18</v>
      </c>
      <c r="AN328" s="73"/>
      <c r="AO328" s="73"/>
    </row>
    <row r="330" spans="1:41" x14ac:dyDescent="0.2">
      <c r="A330" s="9">
        <v>420403</v>
      </c>
      <c r="B330" s="9" t="str" cm="1">
        <f t="array" ref="B330">D330&amp;_xlfn.TEXTJOIN("",1,TEXT(E330:G330,"00"))</f>
        <v>1010000</v>
      </c>
      <c r="C330" s="30" t="str">
        <f t="shared" ref="C330:C332" si="150">_xlfn.TEXTJOIN(",",1,A330:B330)</f>
        <v>420403,1010000</v>
      </c>
      <c r="D330" s="26">
        <v>1</v>
      </c>
      <c r="E330" s="26">
        <v>1</v>
      </c>
      <c r="F330" s="26">
        <f>W330</f>
        <v>0</v>
      </c>
      <c r="G330" s="26">
        <v>0</v>
      </c>
      <c r="H330" s="9">
        <v>201405</v>
      </c>
      <c r="I330" s="15" t="str">
        <f>IFERROR(VLOOKUP(H330,monsters[#All],4,0),"")</f>
        <v>鱼妖</v>
      </c>
      <c r="J330" s="15" t="str" cm="1">
        <f t="array" ref="J330">_xlfn.LET(_xlpm.v6p,ABS(ATAN2(O330,P330))*6/PI(),
_xlpm.output,_xlfn.IFS(_xlpm.v6p&lt;1,"正前",_xlpm.v6p&gt;5,"正后",AND(_xlpm.v6p&lt;5,_xlpm.v6p&gt;2,P330&lt;-1),"脚底",_xlpm.v6p&gt;4,"后上",_xlpm.v6p&lt;2,"前上",TRUE,"顶部"),
IFERROR(_xlpm.output,""))</f>
        <v>前上</v>
      </c>
      <c r="K330" s="12"/>
      <c r="L330" s="12" t="s">
        <v>63</v>
      </c>
      <c r="M330" s="12" t="s">
        <v>63</v>
      </c>
      <c r="N330" s="19" t="str">
        <f>O330+0&amp;","&amp;P330+0</f>
        <v>15,10</v>
      </c>
      <c r="O330" s="24">
        <v>15</v>
      </c>
      <c r="P330" s="24">
        <v>10</v>
      </c>
      <c r="Q330" s="19">
        <f t="shared" ref="Q330:Q336" si="151">_xlfn.LET(_xlpm._default,1,
_xlpm._custom,R330,
IF($A330&lt;&gt;"",IF(_xlpm._custom&lt;&gt;"",_xlpm._custom,_xlpm._default),""))</f>
        <v>1</v>
      </c>
      <c r="S330" s="9">
        <v>1</v>
      </c>
      <c r="T330" s="19" t="str">
        <f>IF(U330&lt;&gt;"", U330+0&amp;","&amp;V330+0,"")</f>
        <v>1,1</v>
      </c>
      <c r="U330" s="24">
        <v>1</v>
      </c>
      <c r="V330" s="24">
        <v>1</v>
      </c>
      <c r="W330" s="9">
        <v>0</v>
      </c>
      <c r="X330" s="9">
        <v>11</v>
      </c>
      <c r="Y330" s="19" t="str">
        <f>IF($A330&lt;&gt;"",IF($Z330&lt;&gt;"",$Z330,"0,0"),"")</f>
        <v>70,75</v>
      </c>
      <c r="Z330" s="24" t="s">
        <v>132</v>
      </c>
      <c r="AA330" s="19" t="str">
        <f>IF($A330&lt;&gt;"",IF($AB330&lt;&gt;"",$AB330,"80,120"),"")</f>
        <v>80,120</v>
      </c>
      <c r="AC330" s="9">
        <v>0.6</v>
      </c>
      <c r="AD330" s="9">
        <v>0.8</v>
      </c>
      <c r="AE330" s="9">
        <v>0.3</v>
      </c>
      <c r="AF330" s="9">
        <v>3</v>
      </c>
      <c r="AG330" s="9">
        <v>100</v>
      </c>
      <c r="AI330" s="69" cm="1">
        <f t="array" ref="AI330">tuple_avg(T330)/tuple_avg(AA330)</f>
        <v>0.01</v>
      </c>
      <c r="AJ330" s="69">
        <f>AC330*AI330*'-配置辅助'!$I$8</f>
        <v>0.6</v>
      </c>
      <c r="AK330" s="69">
        <f>AD330*AI330*'-配置辅助'!$I$10</f>
        <v>0.13333333333333336</v>
      </c>
      <c r="AL330" s="69">
        <f>AJ330*_xlfn.XLOOKUP(H330,monsters[怪物id],monsters[HP],-1)</f>
        <v>6</v>
      </c>
      <c r="AM330" s="69">
        <f>AK330*_xlfn.XLOOKUP(H330,monsters[怪物id],monsters[HP],-1)</f>
        <v>1.3333333333333335</v>
      </c>
    </row>
    <row r="331" spans="1:41" x14ac:dyDescent="0.2">
      <c r="A331" s="9">
        <v>420403</v>
      </c>
      <c r="B331" s="9" t="str" cm="1">
        <f t="array" ref="B331">D331&amp;_xlfn.TEXTJOIN("",1,TEXT(E331:G331,"00"))</f>
        <v>1010001</v>
      </c>
      <c r="C331" s="30" t="str">
        <f t="shared" si="150"/>
        <v>420403,1010001</v>
      </c>
      <c r="D331" s="26">
        <v>1</v>
      </c>
      <c r="E331" s="26">
        <v>1</v>
      </c>
      <c r="F331" s="26">
        <f>W331</f>
        <v>0</v>
      </c>
      <c r="G331" s="26">
        <v>1</v>
      </c>
      <c r="H331" s="9">
        <v>201405</v>
      </c>
      <c r="I331" s="15" t="str">
        <f>IFERROR(VLOOKUP(H331,monsters[#All],4,0),"")</f>
        <v>鱼妖</v>
      </c>
      <c r="J331" s="15" t="str" cm="1">
        <f t="array" ref="J331">_xlfn.LET(_xlpm.v6p,ABS(ATAN2(O331,P331))*6/PI(),
_xlpm.output,_xlfn.IFS(_xlpm.v6p&lt;1,"正前",_xlpm.v6p&gt;5,"正后",AND(_xlpm.v6p&lt;5,_xlpm.v6p&gt;2,P331&lt;-1),"脚底",_xlpm.v6p&gt;4,"后上",_xlpm.v6p&lt;2,"前上",TRUE,"顶部"),
IFERROR(_xlpm.output,""))</f>
        <v>前上</v>
      </c>
      <c r="K331" s="12"/>
      <c r="L331" s="12" t="s">
        <v>63</v>
      </c>
      <c r="M331" s="12" t="s">
        <v>63</v>
      </c>
      <c r="N331" s="19" t="str">
        <f>O331+0&amp;","&amp;P331+0</f>
        <v>15,10</v>
      </c>
      <c r="O331" s="24">
        <v>15</v>
      </c>
      <c r="P331" s="24">
        <v>10</v>
      </c>
      <c r="Q331" s="19">
        <f t="shared" si="151"/>
        <v>1</v>
      </c>
      <c r="S331" s="9">
        <v>2</v>
      </c>
      <c r="T331" s="19" t="str">
        <f>IF(U331&lt;&gt;"", U331+0&amp;","&amp;V331+0,"")</f>
        <v>1,1</v>
      </c>
      <c r="U331" s="24">
        <v>1</v>
      </c>
      <c r="V331" s="24">
        <v>1</v>
      </c>
      <c r="W331" s="9">
        <v>0</v>
      </c>
      <c r="X331" s="9">
        <v>11</v>
      </c>
      <c r="Y331" s="19" t="str">
        <f>IF($A331&lt;&gt;"",IF($Z331&lt;&gt;"",$Z331,"0,0"),"")</f>
        <v>0,0</v>
      </c>
      <c r="AA331" s="19" t="str">
        <f>IF($A331&lt;&gt;"",IF($AB331&lt;&gt;"",$AB331,"80,120"),"")</f>
        <v>60,140</v>
      </c>
      <c r="AB331" s="42" t="s">
        <v>241</v>
      </c>
      <c r="AC331" s="9">
        <v>0.8</v>
      </c>
      <c r="AD331" s="9">
        <v>1.2</v>
      </c>
      <c r="AE331" s="9">
        <v>0.3</v>
      </c>
      <c r="AF331" s="9">
        <v>3</v>
      </c>
      <c r="AG331" s="9">
        <v>100</v>
      </c>
      <c r="AI331" s="69" cm="1">
        <f t="array" ref="AI331">tuple_avg(T331)/tuple_avg(AA331)</f>
        <v>0.01</v>
      </c>
      <c r="AJ331" s="69">
        <f>AC331*AI331*'-配置辅助'!$I$8</f>
        <v>0.8</v>
      </c>
      <c r="AK331" s="69">
        <f>AD331*AI331*'-配置辅助'!$I$10</f>
        <v>0.2</v>
      </c>
      <c r="AL331" s="69">
        <f>AJ331*_xlfn.XLOOKUP(H331,monsters[怪物id],monsters[HP],-1)</f>
        <v>8</v>
      </c>
      <c r="AM331" s="69">
        <f>AK331*_xlfn.XLOOKUP(H331,monsters[怪物id],monsters[HP],-1)</f>
        <v>2</v>
      </c>
    </row>
    <row r="332" spans="1:41" x14ac:dyDescent="0.2">
      <c r="A332" s="9">
        <v>420403</v>
      </c>
      <c r="B332" s="9" t="str" cm="1">
        <f t="array" ref="B332">D332&amp;_xlfn.TEXTJOIN("",1,TEXT(E332:G332,"00"))</f>
        <v>1010002</v>
      </c>
      <c r="C332" s="30" t="str">
        <f t="shared" si="150"/>
        <v>420403,1010002</v>
      </c>
      <c r="D332" s="26">
        <v>1</v>
      </c>
      <c r="E332" s="26">
        <v>1</v>
      </c>
      <c r="F332" s="26">
        <f>W332</f>
        <v>0</v>
      </c>
      <c r="G332" s="26">
        <v>2</v>
      </c>
      <c r="H332" s="9">
        <v>201405</v>
      </c>
      <c r="I332" s="15" t="str">
        <f>IFERROR(VLOOKUP(H332,monsters[#All],4,0),"")</f>
        <v>鱼妖</v>
      </c>
      <c r="J332" s="15" t="str" cm="1">
        <f t="array" ref="J332">_xlfn.LET(_xlpm.v6p,ABS(ATAN2(O332,P332))*6/PI(),
_xlpm.output,_xlfn.IFS(_xlpm.v6p&lt;1,"正前",_xlpm.v6p&gt;5,"正后",AND(_xlpm.v6p&lt;5,_xlpm.v6p&gt;2,P332&lt;-1),"脚底",_xlpm.v6p&gt;4,"后上",_xlpm.v6p&lt;2,"前上",TRUE,"顶部"),
IFERROR(_xlpm.output,""))</f>
        <v>前上</v>
      </c>
      <c r="K332" s="12"/>
      <c r="L332" s="12" t="s">
        <v>63</v>
      </c>
      <c r="M332" s="12" t="s">
        <v>63</v>
      </c>
      <c r="N332" s="19" t="str">
        <f>O332+0&amp;","&amp;P332+0</f>
        <v>15,10</v>
      </c>
      <c r="O332" s="24">
        <v>15</v>
      </c>
      <c r="P332" s="24">
        <v>10</v>
      </c>
      <c r="Q332" s="19">
        <f t="shared" si="151"/>
        <v>1</v>
      </c>
      <c r="R332" s="42"/>
      <c r="S332" s="9">
        <v>2</v>
      </c>
      <c r="T332" s="19" t="str">
        <f>IF(U332&lt;&gt;"", U332+0&amp;","&amp;V332+0,"")</f>
        <v>1,1</v>
      </c>
      <c r="U332" s="24">
        <v>1</v>
      </c>
      <c r="V332" s="24">
        <v>1</v>
      </c>
      <c r="W332" s="9">
        <v>0</v>
      </c>
      <c r="X332" s="9">
        <v>11</v>
      </c>
      <c r="Y332" s="19" t="str">
        <f>IF($A332&lt;&gt;"",IF($Z332&lt;&gt;"",$Z332,"0,0"),"")</f>
        <v>-105,-100</v>
      </c>
      <c r="Z332" s="42" t="s">
        <v>133</v>
      </c>
      <c r="AA332" s="19" t="str">
        <f>IF($A332&lt;&gt;"",IF($AB332&lt;&gt;"",$AB332,"80,120"),"")</f>
        <v>40,160</v>
      </c>
      <c r="AB332" s="42" t="s">
        <v>242</v>
      </c>
      <c r="AC332" s="9">
        <v>1</v>
      </c>
      <c r="AD332" s="9">
        <v>1.6</v>
      </c>
      <c r="AE332" s="9">
        <v>0.3</v>
      </c>
      <c r="AF332" s="9">
        <v>3</v>
      </c>
      <c r="AG332" s="9">
        <v>100</v>
      </c>
      <c r="AI332" s="69" cm="1">
        <f t="array" ref="AI332">tuple_avg(T332)/tuple_avg(AA332)</f>
        <v>0.01</v>
      </c>
      <c r="AJ332" s="69">
        <f>AC332*AI332*'-配置辅助'!$I$8</f>
        <v>1</v>
      </c>
      <c r="AK332" s="69">
        <f>AD332*AI332*'-配置辅助'!$I$10</f>
        <v>0.26666666666666672</v>
      </c>
      <c r="AL332" s="69">
        <f>AJ332*_xlfn.XLOOKUP(H332,monsters[怪物id],monsters[HP],-1)</f>
        <v>10</v>
      </c>
      <c r="AM332" s="69">
        <f>AK332*_xlfn.XLOOKUP(H332,monsters[怪物id],monsters[HP],-1)</f>
        <v>2.666666666666667</v>
      </c>
    </row>
    <row r="333" spans="1:41" x14ac:dyDescent="0.2">
      <c r="J333" s="15" t="str" cm="1">
        <f t="array" ref="J333">_xlfn.LET(_xlpm.v6p,ABS(ATAN2(O333,P333))*6/PI(),
_xlpm.output,_xlfn.IFS(_xlpm.v6p&lt;1,"正前",_xlpm.v6p&gt;5,"正后",AND(_xlpm.v6p&lt;5,_xlpm.v6p&gt;2,P333&lt;-1),"脚底",_xlpm.v6p&gt;4,"后上",_xlpm.v6p&lt;2,"前上",TRUE,"顶部"),
IFERROR(_xlpm.output,""))</f>
        <v/>
      </c>
      <c r="Q333" s="19" t="str">
        <f t="shared" si="151"/>
        <v/>
      </c>
    </row>
    <row r="334" spans="1:41" x14ac:dyDescent="0.2">
      <c r="A334" s="9">
        <v>420403</v>
      </c>
      <c r="B334" s="9" t="str" cm="1">
        <f t="array" ref="B334">D334&amp;_xlfn.TEXTJOIN("",1,TEXT(E334:G334,"00"))</f>
        <v>1020000</v>
      </c>
      <c r="C334" s="30" t="str">
        <f t="shared" ref="C334:C336" si="152">_xlfn.TEXTJOIN(",",1,A334:B334)</f>
        <v>420403,1020000</v>
      </c>
      <c r="D334" s="26">
        <v>1</v>
      </c>
      <c r="E334" s="26">
        <v>2</v>
      </c>
      <c r="F334" s="26">
        <f>W334</f>
        <v>0</v>
      </c>
      <c r="G334" s="26">
        <v>0</v>
      </c>
      <c r="H334" s="9">
        <v>201405</v>
      </c>
      <c r="I334" s="15" t="str">
        <f>IFERROR(VLOOKUP(H334,monsters[#All],4,0),"")</f>
        <v>鱼妖</v>
      </c>
      <c r="J334" s="15" t="str" cm="1">
        <f t="array" ref="J334">_xlfn.LET(_xlpm.v6p,ABS(ATAN2(O334,P334))*6/PI(),
_xlpm.output,_xlfn.IFS(_xlpm.v6p&lt;1,"正前",_xlpm.v6p&gt;5,"正后",AND(_xlpm.v6p&lt;5,_xlpm.v6p&gt;2,P334&lt;-1),"脚底",_xlpm.v6p&gt;4,"后上",_xlpm.v6p&lt;2,"前上",TRUE,"顶部"),
IFERROR(_xlpm.output,""))</f>
        <v>后上</v>
      </c>
      <c r="K334" s="12"/>
      <c r="L334" s="12" t="s">
        <v>63</v>
      </c>
      <c r="M334" s="12" t="s">
        <v>63</v>
      </c>
      <c r="N334" s="19" t="str">
        <f>O334+0&amp;","&amp;P334+0</f>
        <v>-15,10</v>
      </c>
      <c r="O334" s="24">
        <v>-15</v>
      </c>
      <c r="P334" s="24">
        <v>10</v>
      </c>
      <c r="Q334" s="19">
        <f t="shared" si="151"/>
        <v>1</v>
      </c>
      <c r="S334" s="9">
        <v>1</v>
      </c>
      <c r="T334" s="19" t="str">
        <f>IF(U334&lt;&gt;"", U334+0&amp;","&amp;V334+0,"")</f>
        <v>1,1</v>
      </c>
      <c r="U334" s="24">
        <v>1</v>
      </c>
      <c r="V334" s="24">
        <v>1</v>
      </c>
      <c r="W334" s="9">
        <v>0</v>
      </c>
      <c r="X334" s="9">
        <v>11</v>
      </c>
      <c r="Y334" s="19" t="str">
        <f>IF($A334&lt;&gt;"",IF($Z334&lt;&gt;"",$Z334,"0,0"),"")</f>
        <v>70,75</v>
      </c>
      <c r="Z334" s="24" t="s">
        <v>132</v>
      </c>
      <c r="AA334" s="19" t="str">
        <f>IF($A334&lt;&gt;"",IF($AB334&lt;&gt;"",$AB334,"80,120"),"")</f>
        <v>80,120</v>
      </c>
      <c r="AC334" s="9">
        <v>0.6</v>
      </c>
      <c r="AD334" s="9">
        <v>0.8</v>
      </c>
      <c r="AE334" s="9">
        <v>0.3</v>
      </c>
      <c r="AF334" s="9">
        <v>3</v>
      </c>
      <c r="AG334" s="9">
        <v>100</v>
      </c>
      <c r="AI334" s="69" cm="1">
        <f t="array" ref="AI334">tuple_avg(T334)/tuple_avg(AA334)</f>
        <v>0.01</v>
      </c>
      <c r="AJ334" s="69">
        <f>AC334*AI334*'-配置辅助'!$I$8</f>
        <v>0.6</v>
      </c>
      <c r="AK334" s="69">
        <f>AD334*AI334*'-配置辅助'!$I$10</f>
        <v>0.13333333333333336</v>
      </c>
      <c r="AL334" s="69">
        <f>AJ334*_xlfn.XLOOKUP(H334,monsters[怪物id],monsters[HP],-1)</f>
        <v>6</v>
      </c>
      <c r="AM334" s="69">
        <f>AK334*_xlfn.XLOOKUP(H334,monsters[怪物id],monsters[HP],-1)</f>
        <v>1.3333333333333335</v>
      </c>
    </row>
    <row r="335" spans="1:41" x14ac:dyDescent="0.2">
      <c r="A335" s="9">
        <v>420403</v>
      </c>
      <c r="B335" s="9" t="str" cm="1">
        <f t="array" ref="B335">D335&amp;_xlfn.TEXTJOIN("",1,TEXT(E335:G335,"00"))</f>
        <v>1020001</v>
      </c>
      <c r="C335" s="30" t="str">
        <f t="shared" si="152"/>
        <v>420403,1020001</v>
      </c>
      <c r="D335" s="26">
        <v>1</v>
      </c>
      <c r="E335" s="26">
        <v>2</v>
      </c>
      <c r="F335" s="26">
        <f>W335</f>
        <v>0</v>
      </c>
      <c r="G335" s="26">
        <v>1</v>
      </c>
      <c r="H335" s="9">
        <v>201405</v>
      </c>
      <c r="I335" s="15" t="str">
        <f>IFERROR(VLOOKUP(H335,monsters[#All],4,0),"")</f>
        <v>鱼妖</v>
      </c>
      <c r="J335" s="15" t="str" cm="1">
        <f t="array" ref="J335">_xlfn.LET(_xlpm.v6p,ABS(ATAN2(O335,P335))*6/PI(),
_xlpm.output,_xlfn.IFS(_xlpm.v6p&lt;1,"正前",_xlpm.v6p&gt;5,"正后",AND(_xlpm.v6p&lt;5,_xlpm.v6p&gt;2,P335&lt;-1),"脚底",_xlpm.v6p&gt;4,"后上",_xlpm.v6p&lt;2,"前上",TRUE,"顶部"),
IFERROR(_xlpm.output,""))</f>
        <v>后上</v>
      </c>
      <c r="K335" s="12"/>
      <c r="L335" s="12" t="s">
        <v>63</v>
      </c>
      <c r="M335" s="12" t="s">
        <v>63</v>
      </c>
      <c r="N335" s="19" t="str">
        <f>O335+0&amp;","&amp;P335+0</f>
        <v>-15,10</v>
      </c>
      <c r="O335" s="24">
        <v>-15</v>
      </c>
      <c r="P335" s="24">
        <v>10</v>
      </c>
      <c r="Q335" s="19">
        <f t="shared" si="151"/>
        <v>1</v>
      </c>
      <c r="S335" s="9">
        <v>2</v>
      </c>
      <c r="T335" s="19" t="str">
        <f>IF(U335&lt;&gt;"", U335+0&amp;","&amp;V335+0,"")</f>
        <v>1,1</v>
      </c>
      <c r="U335" s="24">
        <v>1</v>
      </c>
      <c r="V335" s="24">
        <v>1</v>
      </c>
      <c r="W335" s="9">
        <v>0</v>
      </c>
      <c r="X335" s="9">
        <v>11</v>
      </c>
      <c r="Y335" s="19" t="str">
        <f>IF($A335&lt;&gt;"",IF($Z335&lt;&gt;"",$Z335,"0,0"),"")</f>
        <v>0,0</v>
      </c>
      <c r="AA335" s="19" t="str">
        <f>IF($A335&lt;&gt;"",IF($AB335&lt;&gt;"",$AB335,"80,120"),"")</f>
        <v>60,140</v>
      </c>
      <c r="AB335" s="42" t="s">
        <v>241</v>
      </c>
      <c r="AC335" s="9">
        <v>0.8</v>
      </c>
      <c r="AD335" s="9">
        <v>1.2</v>
      </c>
      <c r="AE335" s="9">
        <v>0.3</v>
      </c>
      <c r="AF335" s="9">
        <v>3</v>
      </c>
      <c r="AG335" s="9">
        <v>100</v>
      </c>
      <c r="AI335" s="69" cm="1">
        <f t="array" ref="AI335">tuple_avg(T335)/tuple_avg(AA335)</f>
        <v>0.01</v>
      </c>
      <c r="AJ335" s="69">
        <f>AC335*AI335*'-配置辅助'!$I$8</f>
        <v>0.8</v>
      </c>
      <c r="AK335" s="69">
        <f>AD335*AI335*'-配置辅助'!$I$10</f>
        <v>0.2</v>
      </c>
      <c r="AL335" s="69">
        <f>AJ335*_xlfn.XLOOKUP(H335,monsters[怪物id],monsters[HP],-1)</f>
        <v>8</v>
      </c>
      <c r="AM335" s="69">
        <f>AK335*_xlfn.XLOOKUP(H335,monsters[怪物id],monsters[HP],-1)</f>
        <v>2</v>
      </c>
    </row>
    <row r="336" spans="1:41" x14ac:dyDescent="0.2">
      <c r="A336" s="9">
        <v>420403</v>
      </c>
      <c r="B336" s="9" t="str" cm="1">
        <f t="array" ref="B336">D336&amp;_xlfn.TEXTJOIN("",1,TEXT(E336:G336,"00"))</f>
        <v>1020002</v>
      </c>
      <c r="C336" s="30" t="str">
        <f t="shared" si="152"/>
        <v>420403,1020002</v>
      </c>
      <c r="D336" s="26">
        <v>1</v>
      </c>
      <c r="E336" s="26">
        <v>2</v>
      </c>
      <c r="F336" s="26">
        <f>W336</f>
        <v>0</v>
      </c>
      <c r="G336" s="26">
        <v>2</v>
      </c>
      <c r="H336" s="9">
        <v>201405</v>
      </c>
      <c r="I336" s="15" t="str">
        <f>IFERROR(VLOOKUP(H336,monsters[#All],4,0),"")</f>
        <v>鱼妖</v>
      </c>
      <c r="J336" s="15" t="str" cm="1">
        <f t="array" ref="J336">_xlfn.LET(_xlpm.v6p,ABS(ATAN2(O336,P336))*6/PI(),
_xlpm.output,_xlfn.IFS(_xlpm.v6p&lt;1,"正前",_xlpm.v6p&gt;5,"正后",AND(_xlpm.v6p&lt;5,_xlpm.v6p&gt;2,P336&lt;-1),"脚底",_xlpm.v6p&gt;4,"后上",_xlpm.v6p&lt;2,"前上",TRUE,"顶部"),
IFERROR(_xlpm.output,""))</f>
        <v>后上</v>
      </c>
      <c r="K336" s="12"/>
      <c r="L336" s="12" t="s">
        <v>63</v>
      </c>
      <c r="M336" s="12" t="s">
        <v>63</v>
      </c>
      <c r="N336" s="19" t="str">
        <f>O336+0&amp;","&amp;P336+0</f>
        <v>-15,10</v>
      </c>
      <c r="O336" s="24">
        <v>-15</v>
      </c>
      <c r="P336" s="24">
        <v>10</v>
      </c>
      <c r="Q336" s="19">
        <f t="shared" si="151"/>
        <v>1</v>
      </c>
      <c r="R336" s="42"/>
      <c r="S336" s="9">
        <v>2</v>
      </c>
      <c r="T336" s="19" t="str">
        <f>IF(U336&lt;&gt;"", U336+0&amp;","&amp;V336+0,"")</f>
        <v>1,1</v>
      </c>
      <c r="U336" s="24">
        <v>1</v>
      </c>
      <c r="V336" s="24">
        <v>1</v>
      </c>
      <c r="W336" s="9">
        <v>0</v>
      </c>
      <c r="X336" s="9">
        <v>11</v>
      </c>
      <c r="Y336" s="19" t="str">
        <f>IF($A336&lt;&gt;"",IF($Z336&lt;&gt;"",$Z336,"0,0"),"")</f>
        <v>-105,-100</v>
      </c>
      <c r="Z336" s="42" t="s">
        <v>133</v>
      </c>
      <c r="AA336" s="19" t="str">
        <f>IF($A336&lt;&gt;"",IF($AB336&lt;&gt;"",$AB336,"80,120"),"")</f>
        <v>40,160</v>
      </c>
      <c r="AB336" s="42" t="s">
        <v>242</v>
      </c>
      <c r="AC336" s="9">
        <v>1</v>
      </c>
      <c r="AD336" s="9">
        <v>1.6</v>
      </c>
      <c r="AE336" s="9">
        <v>0.3</v>
      </c>
      <c r="AF336" s="9">
        <v>3</v>
      </c>
      <c r="AG336" s="9">
        <v>100</v>
      </c>
      <c r="AI336" s="69" cm="1">
        <f t="array" ref="AI336">tuple_avg(T336)/tuple_avg(AA336)</f>
        <v>0.01</v>
      </c>
      <c r="AJ336" s="69">
        <f>AC336*AI336*'-配置辅助'!$I$8</f>
        <v>1</v>
      </c>
      <c r="AK336" s="69">
        <f>AD336*AI336*'-配置辅助'!$I$10</f>
        <v>0.26666666666666672</v>
      </c>
      <c r="AL336" s="69">
        <f>AJ336*_xlfn.XLOOKUP(H336,monsters[怪物id],monsters[HP],-1)</f>
        <v>10</v>
      </c>
      <c r="AM336" s="69">
        <f>AK336*_xlfn.XLOOKUP(H336,monsters[怪物id],monsters[HP],-1)</f>
        <v>2.666666666666667</v>
      </c>
    </row>
    <row r="337" spans="1:41" x14ac:dyDescent="0.2">
      <c r="J337" s="15" t="str" cm="1">
        <f t="array" ref="J337">_xlfn.LET(_xlpm.v6p,ABS(ATAN2(O337,P337))*6/PI(),
_xlpm.output,_xlfn.IFS(_xlpm.v6p&lt;1,"正前",_xlpm.v6p&gt;5,"正后",AND(_xlpm.v6p&lt;5,_xlpm.v6p&gt;2,P337&lt;-1),"脚底",_xlpm.v6p&gt;4,"后上",_xlpm.v6p&lt;2,"前上",TRUE,"顶部"),
IFERROR(_xlpm.output,""))</f>
        <v/>
      </c>
    </row>
    <row r="338" spans="1:41" x14ac:dyDescent="0.2">
      <c r="A338" s="9">
        <v>420403</v>
      </c>
      <c r="B338" s="9" t="str" cm="1">
        <f t="array" ref="B338">D338&amp;_xlfn.TEXTJOIN("",1,TEXT(E338:G338,"00"))</f>
        <v>1030000</v>
      </c>
      <c r="C338" s="30" t="str">
        <f t="shared" ref="C338:C340" si="153">_xlfn.TEXTJOIN(",",1,A338:B338)</f>
        <v>420403,1030000</v>
      </c>
      <c r="D338" s="26">
        <v>1</v>
      </c>
      <c r="E338" s="26">
        <v>3</v>
      </c>
      <c r="F338" s="26">
        <f>W338</f>
        <v>0</v>
      </c>
      <c r="G338" s="26">
        <v>0</v>
      </c>
      <c r="H338" s="9">
        <v>201405</v>
      </c>
      <c r="I338" s="15" t="str">
        <f>IFERROR(VLOOKUP(H338,monsters[#All],4,0),"")</f>
        <v>鱼妖</v>
      </c>
      <c r="J338" s="15" t="str" cm="1">
        <f t="array" ref="J338">_xlfn.LET(_xlpm.v6p,ABS(ATAN2(O338,P338))*6/PI(),
_xlpm.output,_xlfn.IFS(_xlpm.v6p&lt;1,"正前",_xlpm.v6p&gt;5,"正后",AND(_xlpm.v6p&lt;5,_xlpm.v6p&gt;2,P338&lt;-1),"脚底",_xlpm.v6p&gt;4,"后上",_xlpm.v6p&lt;2,"前上",TRUE,"顶部"),
IFERROR(_xlpm.output,""))</f>
        <v>顶部</v>
      </c>
      <c r="K338" s="12"/>
      <c r="L338" s="12" t="s">
        <v>63</v>
      </c>
      <c r="M338" s="12" t="s">
        <v>63</v>
      </c>
      <c r="N338" s="19" t="str">
        <f>O338+0&amp;","&amp;P338+0</f>
        <v>3,15</v>
      </c>
      <c r="O338" s="24">
        <v>3</v>
      </c>
      <c r="P338" s="24">
        <v>15</v>
      </c>
      <c r="Q338" s="19">
        <f t="shared" ref="Q338:Q340" si="154">_xlfn.LET(_xlpm._default,1,
_xlpm._custom,R338,
IF($A338&lt;&gt;"",IF(_xlpm._custom&lt;&gt;"",_xlpm._custom,_xlpm._default),""))</f>
        <v>1</v>
      </c>
      <c r="S338" s="9">
        <v>1</v>
      </c>
      <c r="T338" s="19" t="str">
        <f>IF(U338&lt;&gt;"", U338+0&amp;","&amp;V338+0,"")</f>
        <v>1,1</v>
      </c>
      <c r="U338" s="24">
        <v>1</v>
      </c>
      <c r="V338" s="24">
        <v>1</v>
      </c>
      <c r="W338" s="9">
        <v>0</v>
      </c>
      <c r="X338" s="9">
        <v>11</v>
      </c>
      <c r="Y338" s="19" t="str">
        <f>IF($A338&lt;&gt;"",IF($Z338&lt;&gt;"",$Z338,"0,0"),"")</f>
        <v>70,75</v>
      </c>
      <c r="Z338" s="24" t="s">
        <v>132</v>
      </c>
      <c r="AA338" s="19" t="str">
        <f>IF($A338&lt;&gt;"",IF($AB338&lt;&gt;"",$AB338,"80,120"),"")</f>
        <v>80,120</v>
      </c>
      <c r="AC338" s="9">
        <v>0.6</v>
      </c>
      <c r="AD338" s="9">
        <v>0.8</v>
      </c>
      <c r="AE338" s="9">
        <v>0.3</v>
      </c>
      <c r="AF338" s="9">
        <v>3</v>
      </c>
      <c r="AG338" s="9">
        <v>100</v>
      </c>
      <c r="AI338" s="69" cm="1">
        <f t="array" ref="AI338">tuple_avg(T338)/tuple_avg(AA338)</f>
        <v>0.01</v>
      </c>
      <c r="AJ338" s="69">
        <f>AC338*AI338*'-配置辅助'!$I$8</f>
        <v>0.6</v>
      </c>
      <c r="AK338" s="69">
        <f>AD338*AI338*'-配置辅助'!$I$10</f>
        <v>0.13333333333333336</v>
      </c>
      <c r="AL338" s="69">
        <f>AJ338*_xlfn.XLOOKUP(H338,monsters[怪物id],monsters[HP],-1)</f>
        <v>6</v>
      </c>
      <c r="AM338" s="69">
        <f>AK338*_xlfn.XLOOKUP(H338,monsters[怪物id],monsters[HP],-1)</f>
        <v>1.3333333333333335</v>
      </c>
    </row>
    <row r="339" spans="1:41" x14ac:dyDescent="0.2">
      <c r="A339" s="9">
        <v>420403</v>
      </c>
      <c r="B339" s="9" t="str" cm="1">
        <f t="array" ref="B339">D339&amp;_xlfn.TEXTJOIN("",1,TEXT(E339:G339,"00"))</f>
        <v>1030001</v>
      </c>
      <c r="C339" s="30" t="str">
        <f t="shared" si="153"/>
        <v>420403,1030001</v>
      </c>
      <c r="D339" s="26">
        <v>1</v>
      </c>
      <c r="E339" s="26">
        <v>3</v>
      </c>
      <c r="F339" s="26">
        <f>W339</f>
        <v>0</v>
      </c>
      <c r="G339" s="26">
        <v>1</v>
      </c>
      <c r="H339" s="9">
        <v>201405</v>
      </c>
      <c r="I339" s="15" t="str">
        <f>IFERROR(VLOOKUP(H339,monsters[#All],4,0),"")</f>
        <v>鱼妖</v>
      </c>
      <c r="J339" s="15" t="str" cm="1">
        <f t="array" ref="J339">_xlfn.LET(_xlpm.v6p,ABS(ATAN2(O339,P339))*6/PI(),
_xlpm.output,_xlfn.IFS(_xlpm.v6p&lt;1,"正前",_xlpm.v6p&gt;5,"正后",AND(_xlpm.v6p&lt;5,_xlpm.v6p&gt;2,P339&lt;-1),"脚底",_xlpm.v6p&gt;4,"后上",_xlpm.v6p&lt;2,"前上",TRUE,"顶部"),
IFERROR(_xlpm.output,""))</f>
        <v>顶部</v>
      </c>
      <c r="K339" s="12"/>
      <c r="L339" s="12" t="s">
        <v>63</v>
      </c>
      <c r="M339" s="12" t="s">
        <v>63</v>
      </c>
      <c r="N339" s="19" t="str">
        <f>O339+0&amp;","&amp;P339+0</f>
        <v>3,15</v>
      </c>
      <c r="O339" s="24">
        <v>3</v>
      </c>
      <c r="P339" s="24">
        <v>15</v>
      </c>
      <c r="Q339" s="19">
        <f t="shared" si="154"/>
        <v>1</v>
      </c>
      <c r="S339" s="9">
        <v>2</v>
      </c>
      <c r="T339" s="19" t="str">
        <f>IF(U339&lt;&gt;"", U339+0&amp;","&amp;V339+0,"")</f>
        <v>1,1</v>
      </c>
      <c r="U339" s="24">
        <v>1</v>
      </c>
      <c r="V339" s="24">
        <v>1</v>
      </c>
      <c r="W339" s="9">
        <v>0</v>
      </c>
      <c r="X339" s="9">
        <v>11</v>
      </c>
      <c r="Y339" s="19" t="str">
        <f>IF($A339&lt;&gt;"",IF($Z339&lt;&gt;"",$Z339,"0,0"),"")</f>
        <v>0,0</v>
      </c>
      <c r="AA339" s="19" t="str">
        <f>IF($A339&lt;&gt;"",IF($AB339&lt;&gt;"",$AB339,"80,120"),"")</f>
        <v>60,140</v>
      </c>
      <c r="AB339" s="42" t="s">
        <v>241</v>
      </c>
      <c r="AC339" s="9">
        <v>0.8</v>
      </c>
      <c r="AD339" s="9">
        <v>1.2</v>
      </c>
      <c r="AE339" s="9">
        <v>0.3</v>
      </c>
      <c r="AF339" s="9">
        <v>3</v>
      </c>
      <c r="AG339" s="9">
        <v>100</v>
      </c>
      <c r="AI339" s="69" cm="1">
        <f t="array" ref="AI339">tuple_avg(T339)/tuple_avg(AA339)</f>
        <v>0.01</v>
      </c>
      <c r="AJ339" s="69">
        <f>AC339*AI339*'-配置辅助'!$I$8</f>
        <v>0.8</v>
      </c>
      <c r="AK339" s="69">
        <f>AD339*AI339*'-配置辅助'!$I$10</f>
        <v>0.2</v>
      </c>
      <c r="AL339" s="69">
        <f>AJ339*_xlfn.XLOOKUP(H339,monsters[怪物id],monsters[HP],-1)</f>
        <v>8</v>
      </c>
      <c r="AM339" s="69">
        <f>AK339*_xlfn.XLOOKUP(H339,monsters[怪物id],monsters[HP],-1)</f>
        <v>2</v>
      </c>
    </row>
    <row r="340" spans="1:41" x14ac:dyDescent="0.2">
      <c r="A340" s="9">
        <v>420403</v>
      </c>
      <c r="B340" s="9" t="str" cm="1">
        <f t="array" ref="B340">D340&amp;_xlfn.TEXTJOIN("",1,TEXT(E340:G340,"00"))</f>
        <v>1030002</v>
      </c>
      <c r="C340" s="30" t="str">
        <f t="shared" si="153"/>
        <v>420403,1030002</v>
      </c>
      <c r="D340" s="26">
        <v>1</v>
      </c>
      <c r="E340" s="26">
        <v>3</v>
      </c>
      <c r="F340" s="26">
        <f>W340</f>
        <v>0</v>
      </c>
      <c r="G340" s="26">
        <v>2</v>
      </c>
      <c r="H340" s="9">
        <v>201405</v>
      </c>
      <c r="I340" s="15" t="str">
        <f>IFERROR(VLOOKUP(H340,monsters[#All],4,0),"")</f>
        <v>鱼妖</v>
      </c>
      <c r="J340" s="15" t="str" cm="1">
        <f t="array" ref="J340">_xlfn.LET(_xlpm.v6p,ABS(ATAN2(O340,P340))*6/PI(),
_xlpm.output,_xlfn.IFS(_xlpm.v6p&lt;1,"正前",_xlpm.v6p&gt;5,"正后",AND(_xlpm.v6p&lt;5,_xlpm.v6p&gt;2,P340&lt;-1),"脚底",_xlpm.v6p&gt;4,"后上",_xlpm.v6p&lt;2,"前上",TRUE,"顶部"),
IFERROR(_xlpm.output,""))</f>
        <v>顶部</v>
      </c>
      <c r="K340" s="12"/>
      <c r="L340" s="12" t="s">
        <v>63</v>
      </c>
      <c r="M340" s="12" t="s">
        <v>63</v>
      </c>
      <c r="N340" s="19" t="str">
        <f>O340+0&amp;","&amp;P340+0</f>
        <v>3,15</v>
      </c>
      <c r="O340" s="24">
        <v>3</v>
      </c>
      <c r="P340" s="24">
        <v>15</v>
      </c>
      <c r="Q340" s="19">
        <f t="shared" si="154"/>
        <v>1</v>
      </c>
      <c r="R340" s="42"/>
      <c r="S340" s="9">
        <v>2</v>
      </c>
      <c r="T340" s="19" t="str">
        <f>IF(U340&lt;&gt;"", U340+0&amp;","&amp;V340+0,"")</f>
        <v>1,1</v>
      </c>
      <c r="U340" s="24">
        <v>1</v>
      </c>
      <c r="V340" s="24">
        <v>1</v>
      </c>
      <c r="W340" s="9">
        <v>0</v>
      </c>
      <c r="X340" s="9">
        <v>11</v>
      </c>
      <c r="Y340" s="19" t="str">
        <f>IF($A340&lt;&gt;"",IF($Z340&lt;&gt;"",$Z340,"0,0"),"")</f>
        <v>-105,-100</v>
      </c>
      <c r="Z340" s="42" t="s">
        <v>133</v>
      </c>
      <c r="AA340" s="19" t="str">
        <f>IF($A340&lt;&gt;"",IF($AB340&lt;&gt;"",$AB340,"80,120"),"")</f>
        <v>40,160</v>
      </c>
      <c r="AB340" s="42" t="s">
        <v>242</v>
      </c>
      <c r="AC340" s="9">
        <v>1</v>
      </c>
      <c r="AD340" s="9">
        <v>1.6</v>
      </c>
      <c r="AE340" s="9">
        <v>0.3</v>
      </c>
      <c r="AF340" s="9">
        <v>3</v>
      </c>
      <c r="AG340" s="9">
        <v>100</v>
      </c>
      <c r="AI340" s="69" cm="1">
        <f t="array" ref="AI340">tuple_avg(T340)/tuple_avg(AA340)</f>
        <v>0.01</v>
      </c>
      <c r="AJ340" s="69">
        <f>AC340*AI340*'-配置辅助'!$I$8</f>
        <v>1</v>
      </c>
      <c r="AK340" s="69">
        <f>AD340*AI340*'-配置辅助'!$I$10</f>
        <v>0.26666666666666672</v>
      </c>
      <c r="AL340" s="69">
        <f>AJ340*_xlfn.XLOOKUP(H340,monsters[怪物id],monsters[HP],-1)</f>
        <v>10</v>
      </c>
      <c r="AM340" s="69">
        <f>AK340*_xlfn.XLOOKUP(H340,monsters[怪物id],monsters[HP],-1)</f>
        <v>2.666666666666667</v>
      </c>
    </row>
    <row r="343" spans="1:41" s="59" customFormat="1" x14ac:dyDescent="0.2">
      <c r="A343" s="55"/>
      <c r="B343" s="55"/>
      <c r="C343" s="56"/>
      <c r="D343" s="57"/>
      <c r="E343" s="57"/>
      <c r="F343" s="57"/>
      <c r="G343" s="57"/>
      <c r="H343" s="55" t="s">
        <v>235</v>
      </c>
      <c r="I343" s="58"/>
      <c r="J343" s="58"/>
      <c r="O343" s="60"/>
      <c r="P343" s="60"/>
      <c r="R343" s="60"/>
      <c r="S343" s="59" t="s">
        <v>62</v>
      </c>
      <c r="U343" s="60"/>
      <c r="V343" s="60"/>
      <c r="Z343" s="60"/>
      <c r="AB343" s="60"/>
      <c r="AC343" s="59" t="s">
        <v>62</v>
      </c>
      <c r="AI343" s="73"/>
      <c r="AJ343" s="73"/>
      <c r="AK343" s="73"/>
      <c r="AL343" s="73">
        <f>SUM(AL345:AL351)</f>
        <v>-37.5</v>
      </c>
      <c r="AM343" s="73">
        <f>SUM(AM345:AM351)</f>
        <v>0</v>
      </c>
      <c r="AN343" s="73"/>
      <c r="AO343" s="73"/>
    </row>
    <row r="345" spans="1:41" x14ac:dyDescent="0.2">
      <c r="A345" s="9">
        <v>420404</v>
      </c>
      <c r="B345" s="9" t="str" cm="1">
        <f t="array" ref="B345">D345&amp;_xlfn.TEXTJOIN("",1,TEXT(E345:G345,"00"))</f>
        <v>1010000</v>
      </c>
      <c r="C345" s="30" t="str">
        <f t="shared" ref="C345:C347" si="155">_xlfn.TEXTJOIN(",",1,A345:B345)</f>
        <v>420404,1010000</v>
      </c>
      <c r="D345" s="26">
        <v>1</v>
      </c>
      <c r="E345" s="26">
        <v>1</v>
      </c>
      <c r="F345" s="26">
        <f t="shared" ref="F345:F350" si="156">W345</f>
        <v>0</v>
      </c>
      <c r="G345" s="26">
        <v>0</v>
      </c>
      <c r="H345" s="9">
        <v>201402</v>
      </c>
      <c r="I345" s="15" t="str">
        <f>IFERROR(VLOOKUP(H345,monsters[#All],4,0),"")</f>
        <v>毒刺果实丛</v>
      </c>
      <c r="J345" s="15" t="str" cm="1">
        <f t="array" ref="J345">_xlfn.LET(_xlpm.v6p,ABS(ATAN2(O345,P345))*6/PI(),
_xlpm.output,_xlfn.IFS(_xlpm.v6p&lt;1,"正前",_xlpm.v6p&gt;5,"正后",AND(_xlpm.v6p&lt;5,_xlpm.v6p&gt;2,P345&lt;-1),"脚底",_xlpm.v6p&gt;4,"后上",_xlpm.v6p&lt;2,"前上",TRUE,"顶部"),
IFERROR(_xlpm.output,""))</f>
        <v>前上</v>
      </c>
      <c r="K345" s="12"/>
      <c r="L345" s="12" t="s">
        <v>63</v>
      </c>
      <c r="M345" s="12" t="s">
        <v>63</v>
      </c>
      <c r="N345" s="19" t="str">
        <f t="shared" ref="N345:N350" si="157">O345+0&amp;","&amp;P345+0</f>
        <v>15,9</v>
      </c>
      <c r="O345" s="24">
        <v>15</v>
      </c>
      <c r="P345" s="24">
        <v>9</v>
      </c>
      <c r="Q345" s="19">
        <f t="shared" ref="Q345:Q347" si="158">_xlfn.LET(_xlpm._default,1,
_xlpm._custom,R345,
IF($A345&lt;&gt;"",IF(_xlpm._custom&lt;&gt;"",_xlpm._custom,_xlpm._default),""))</f>
        <v>2</v>
      </c>
      <c r="R345" s="24">
        <v>2</v>
      </c>
      <c r="S345" s="9">
        <v>1</v>
      </c>
      <c r="T345" s="19" t="str">
        <f t="shared" ref="T345:T350" si="159">IF(U345&lt;&gt;"", U345+0&amp;","&amp;V345+0,"")</f>
        <v>1,1</v>
      </c>
      <c r="U345" s="24">
        <v>1</v>
      </c>
      <c r="V345" s="24">
        <v>1</v>
      </c>
      <c r="W345" s="9">
        <v>0</v>
      </c>
      <c r="X345" s="9">
        <v>11</v>
      </c>
      <c r="Y345" s="19" t="str">
        <f t="shared" ref="Y345:Y350" si="160">IF($A345&lt;&gt;"",IF($Z345&lt;&gt;"",$Z345,"0,0"),"")</f>
        <v>70,75</v>
      </c>
      <c r="Z345" s="24" t="s">
        <v>132</v>
      </c>
      <c r="AA345" s="19" t="str">
        <f t="shared" ref="AA345:AA350" si="161">IF($A345&lt;&gt;"",IF($AB345&lt;&gt;"",$AB345,"80,120"),"")</f>
        <v>80,120</v>
      </c>
      <c r="AC345" s="9">
        <v>5</v>
      </c>
      <c r="AD345" s="9">
        <v>0</v>
      </c>
      <c r="AE345" s="9">
        <v>0.3</v>
      </c>
      <c r="AF345" s="16"/>
      <c r="AG345" s="16"/>
      <c r="AI345" s="69" cm="1">
        <f t="array" ref="AI345">tuple_avg(T345)/tuple_avg(AA345)</f>
        <v>0.01</v>
      </c>
      <c r="AJ345" s="69">
        <f>AC345*AI345*'-配置辅助'!$I$8</f>
        <v>5</v>
      </c>
      <c r="AK345" s="69">
        <f>AD345*AI345*'-配置辅助'!$I$10</f>
        <v>0</v>
      </c>
      <c r="AL345" s="69">
        <f>AJ345*_xlfn.XLOOKUP(H345,monsters[怪物id],monsters[HP],-1)</f>
        <v>-5</v>
      </c>
      <c r="AM345" s="69">
        <f>AK345*_xlfn.XLOOKUP(H345,monsters[怪物id],monsters[HP],-1)</f>
        <v>0</v>
      </c>
    </row>
    <row r="346" spans="1:41" x14ac:dyDescent="0.2">
      <c r="A346" s="9">
        <v>420404</v>
      </c>
      <c r="B346" s="9" t="str" cm="1">
        <f t="array" ref="B346">D346&amp;_xlfn.TEXTJOIN("",1,TEXT(E346:G346,"00"))</f>
        <v>1010001</v>
      </c>
      <c r="C346" s="30" t="str">
        <f t="shared" si="155"/>
        <v>420404,1010001</v>
      </c>
      <c r="D346" s="26">
        <v>1</v>
      </c>
      <c r="E346" s="26">
        <v>1</v>
      </c>
      <c r="F346" s="26">
        <f t="shared" si="156"/>
        <v>0</v>
      </c>
      <c r="G346" s="26">
        <v>1</v>
      </c>
      <c r="H346" s="9">
        <v>201402</v>
      </c>
      <c r="I346" s="15" t="str">
        <f>IFERROR(VLOOKUP(H346,monsters[#All],4,0),"")</f>
        <v>毒刺果实丛</v>
      </c>
      <c r="J346" s="15" t="str" cm="1">
        <f t="array" ref="J346">_xlfn.LET(_xlpm.v6p,ABS(ATAN2(O346,P346))*6/PI(),
_xlpm.output,_xlfn.IFS(_xlpm.v6p&lt;1,"正前",_xlpm.v6p&gt;5,"正后",AND(_xlpm.v6p&lt;5,_xlpm.v6p&gt;2,P346&lt;-1),"脚底",_xlpm.v6p&gt;4,"后上",_xlpm.v6p&lt;2,"前上",TRUE,"顶部"),
IFERROR(_xlpm.output,""))</f>
        <v>前上</v>
      </c>
      <c r="K346" s="12"/>
      <c r="L346" s="12" t="s">
        <v>63</v>
      </c>
      <c r="M346" s="12" t="s">
        <v>63</v>
      </c>
      <c r="N346" s="19" t="str">
        <f t="shared" si="157"/>
        <v>15,9</v>
      </c>
      <c r="O346" s="24">
        <v>15</v>
      </c>
      <c r="P346" s="24">
        <v>9</v>
      </c>
      <c r="Q346" s="19">
        <f t="shared" si="158"/>
        <v>2</v>
      </c>
      <c r="R346" s="24">
        <v>2</v>
      </c>
      <c r="S346" s="9">
        <v>2</v>
      </c>
      <c r="T346" s="19" t="str">
        <f t="shared" si="159"/>
        <v>1,1</v>
      </c>
      <c r="U346" s="24">
        <v>1</v>
      </c>
      <c r="V346" s="24">
        <v>1</v>
      </c>
      <c r="W346" s="9">
        <v>0</v>
      </c>
      <c r="X346" s="9">
        <v>11</v>
      </c>
      <c r="Y346" s="19" t="str">
        <f t="shared" si="160"/>
        <v>0,0</v>
      </c>
      <c r="AA346" s="19" t="str">
        <f t="shared" si="161"/>
        <v>80,120</v>
      </c>
      <c r="AC346" s="9">
        <v>5.5</v>
      </c>
      <c r="AD346" s="9">
        <v>0</v>
      </c>
      <c r="AE346" s="9">
        <v>0.3</v>
      </c>
      <c r="AF346" s="16"/>
      <c r="AG346" s="16"/>
      <c r="AI346" s="69" cm="1">
        <f t="array" ref="AI346">tuple_avg(T346)/tuple_avg(AA346)</f>
        <v>0.01</v>
      </c>
      <c r="AJ346" s="69">
        <f>AC346*AI346*'-配置辅助'!$I$8</f>
        <v>5.5</v>
      </c>
      <c r="AK346" s="69">
        <f>AD346*AI346*'-配置辅助'!$I$10</f>
        <v>0</v>
      </c>
      <c r="AL346" s="69">
        <f>AJ346*_xlfn.XLOOKUP(H346,monsters[怪物id],monsters[HP],-1)</f>
        <v>-5.5</v>
      </c>
      <c r="AM346" s="69">
        <f>AK346*_xlfn.XLOOKUP(H346,monsters[怪物id],monsters[HP],-1)</f>
        <v>0</v>
      </c>
    </row>
    <row r="347" spans="1:41" x14ac:dyDescent="0.2">
      <c r="A347" s="9">
        <v>420404</v>
      </c>
      <c r="B347" s="9" t="str" cm="1">
        <f t="array" ref="B347">D347&amp;_xlfn.TEXTJOIN("",1,TEXT(E347:G347,"00"))</f>
        <v>1010002</v>
      </c>
      <c r="C347" s="30" t="str">
        <f t="shared" si="155"/>
        <v>420404,1010002</v>
      </c>
      <c r="D347" s="26">
        <v>1</v>
      </c>
      <c r="E347" s="26">
        <v>1</v>
      </c>
      <c r="F347" s="26">
        <f t="shared" si="156"/>
        <v>0</v>
      </c>
      <c r="G347" s="26">
        <v>2</v>
      </c>
      <c r="H347" s="9">
        <v>201402</v>
      </c>
      <c r="I347" s="15" t="str">
        <f>IFERROR(VLOOKUP(H347,monsters[#All],4,0),"")</f>
        <v>毒刺果实丛</v>
      </c>
      <c r="J347" s="15" t="str" cm="1">
        <f t="array" ref="J347">_xlfn.LET(_xlpm.v6p,ABS(ATAN2(O347,P347))*6/PI(),
_xlpm.output,_xlfn.IFS(_xlpm.v6p&lt;1,"正前",_xlpm.v6p&gt;5,"正后",AND(_xlpm.v6p&lt;5,_xlpm.v6p&gt;2,P347&lt;-1),"脚底",_xlpm.v6p&gt;4,"后上",_xlpm.v6p&lt;2,"前上",TRUE,"顶部"),
IFERROR(_xlpm.output,""))</f>
        <v>前上</v>
      </c>
      <c r="K347" s="12"/>
      <c r="L347" s="12" t="s">
        <v>63</v>
      </c>
      <c r="M347" s="12" t="s">
        <v>63</v>
      </c>
      <c r="N347" s="19" t="str">
        <f t="shared" si="157"/>
        <v>15,9</v>
      </c>
      <c r="O347" s="24">
        <v>15</v>
      </c>
      <c r="P347" s="24">
        <v>9</v>
      </c>
      <c r="Q347" s="19">
        <f t="shared" si="158"/>
        <v>2</v>
      </c>
      <c r="R347" s="24">
        <v>2</v>
      </c>
      <c r="S347" s="9">
        <v>2</v>
      </c>
      <c r="T347" s="19" t="str">
        <f t="shared" si="159"/>
        <v>1,1</v>
      </c>
      <c r="U347" s="24">
        <v>1</v>
      </c>
      <c r="V347" s="24">
        <v>1</v>
      </c>
      <c r="W347" s="9">
        <v>0</v>
      </c>
      <c r="X347" s="9">
        <v>11</v>
      </c>
      <c r="Y347" s="19" t="str">
        <f t="shared" si="160"/>
        <v>-105,-100</v>
      </c>
      <c r="Z347" s="42" t="s">
        <v>133</v>
      </c>
      <c r="AA347" s="19" t="str">
        <f t="shared" si="161"/>
        <v>80,120</v>
      </c>
      <c r="AC347" s="9">
        <v>6</v>
      </c>
      <c r="AD347" s="9">
        <v>0</v>
      </c>
      <c r="AE347" s="9">
        <v>0.3</v>
      </c>
      <c r="AF347" s="16"/>
      <c r="AG347" s="16"/>
      <c r="AI347" s="69" cm="1">
        <f t="array" ref="AI347">tuple_avg(T347)/tuple_avg(AA347)</f>
        <v>0.01</v>
      </c>
      <c r="AJ347" s="69">
        <f>AC347*AI347*'-配置辅助'!$I$8</f>
        <v>6</v>
      </c>
      <c r="AK347" s="69">
        <f>AD347*AI347*'-配置辅助'!$I$10</f>
        <v>0</v>
      </c>
      <c r="AL347" s="69">
        <f>AJ347*_xlfn.XLOOKUP(H347,monsters[怪物id],monsters[HP],-1)</f>
        <v>-6</v>
      </c>
      <c r="AM347" s="69">
        <f>AK347*_xlfn.XLOOKUP(H347,monsters[怪物id],monsters[HP],-1)</f>
        <v>0</v>
      </c>
    </row>
    <row r="348" spans="1:41" x14ac:dyDescent="0.2">
      <c r="A348" s="9">
        <v>420404</v>
      </c>
      <c r="B348" s="9" t="str" cm="1">
        <f t="array" ref="B348">D348&amp;_xlfn.TEXTJOIN("",1,TEXT(E348:G348,"00"))</f>
        <v>1010003</v>
      </c>
      <c r="C348" s="30" t="str">
        <f t="shared" ref="C348:C350" si="162">_xlfn.TEXTJOIN(",",1,A348:B348)</f>
        <v>420404,1010003</v>
      </c>
      <c r="D348" s="26">
        <v>1</v>
      </c>
      <c r="E348" s="26">
        <v>1</v>
      </c>
      <c r="F348" s="26">
        <f t="shared" si="156"/>
        <v>0</v>
      </c>
      <c r="G348" s="26">
        <v>3</v>
      </c>
      <c r="H348" s="9">
        <v>201402</v>
      </c>
      <c r="I348" s="15" t="str">
        <f>IFERROR(VLOOKUP(H348,monsters[#All],4,0),"")</f>
        <v>毒刺果实丛</v>
      </c>
      <c r="J348" s="15" t="str" cm="1">
        <f t="array" ref="J348">_xlfn.LET(_xlpm.v6p,ABS(ATAN2(O348,P348))*6/PI(),
_xlpm.output,_xlfn.IFS(_xlpm.v6p&lt;1,"正前",_xlpm.v6p&gt;5,"正后",AND(_xlpm.v6p&lt;5,_xlpm.v6p&gt;2,P348&lt;-1),"脚底",_xlpm.v6p&gt;4,"后上",_xlpm.v6p&lt;2,"前上",TRUE,"顶部"),
IFERROR(_xlpm.output,""))</f>
        <v>前上</v>
      </c>
      <c r="K348" s="12"/>
      <c r="L348" s="12" t="s">
        <v>63</v>
      </c>
      <c r="M348" s="12" t="s">
        <v>63</v>
      </c>
      <c r="N348" s="19" t="str">
        <f t="shared" si="157"/>
        <v>15,9</v>
      </c>
      <c r="O348" s="24">
        <v>15</v>
      </c>
      <c r="P348" s="24">
        <v>9</v>
      </c>
      <c r="Q348" s="19">
        <f t="shared" ref="Q348:Q350" si="163">_xlfn.LET(_xlpm._default,1,
_xlpm._custom,R348,
IF($A348&lt;&gt;"",IF(_xlpm._custom&lt;&gt;"",_xlpm._custom,_xlpm._default),""))</f>
        <v>2</v>
      </c>
      <c r="R348" s="24">
        <v>2</v>
      </c>
      <c r="S348" s="9">
        <v>1</v>
      </c>
      <c r="T348" s="19" t="str">
        <f t="shared" si="159"/>
        <v>1,1</v>
      </c>
      <c r="U348" s="24">
        <v>1</v>
      </c>
      <c r="V348" s="24">
        <v>1</v>
      </c>
      <c r="W348" s="9">
        <v>0</v>
      </c>
      <c r="X348" s="9">
        <v>11</v>
      </c>
      <c r="Y348" s="19" t="str">
        <f t="shared" si="160"/>
        <v>-245,-240</v>
      </c>
      <c r="Z348" s="42" t="s">
        <v>265</v>
      </c>
      <c r="AA348" s="19" t="str">
        <f t="shared" si="161"/>
        <v>80,120</v>
      </c>
      <c r="AC348" s="9">
        <v>6.5</v>
      </c>
      <c r="AD348" s="9">
        <v>0</v>
      </c>
      <c r="AE348" s="9">
        <v>0.3</v>
      </c>
      <c r="AF348" s="16"/>
      <c r="AG348" s="16"/>
      <c r="AI348" s="69" cm="1">
        <f t="array" ref="AI348">tuple_avg(T348)/tuple_avg(AA348)</f>
        <v>0.01</v>
      </c>
      <c r="AJ348" s="69">
        <f>AC348*AI348*'-配置辅助'!$I$8</f>
        <v>6.5</v>
      </c>
      <c r="AK348" s="69">
        <f>AD348*AI348*'-配置辅助'!$I$10</f>
        <v>0</v>
      </c>
      <c r="AL348" s="69">
        <f>AJ348*_xlfn.XLOOKUP(H348,monsters[怪物id],monsters[HP],-1)</f>
        <v>-6.5</v>
      </c>
      <c r="AM348" s="69">
        <f>AK348*_xlfn.XLOOKUP(H348,monsters[怪物id],monsters[HP],-1)</f>
        <v>0</v>
      </c>
    </row>
    <row r="349" spans="1:41" x14ac:dyDescent="0.2">
      <c r="A349" s="9">
        <v>420404</v>
      </c>
      <c r="B349" s="9" t="str" cm="1">
        <f t="array" ref="B349">D349&amp;_xlfn.TEXTJOIN("",1,TEXT(E349:G349,"00"))</f>
        <v>1010004</v>
      </c>
      <c r="C349" s="30" t="str">
        <f t="shared" si="162"/>
        <v>420404,1010004</v>
      </c>
      <c r="D349" s="26">
        <v>1</v>
      </c>
      <c r="E349" s="26">
        <v>1</v>
      </c>
      <c r="F349" s="26">
        <f t="shared" si="156"/>
        <v>0</v>
      </c>
      <c r="G349" s="26">
        <v>4</v>
      </c>
      <c r="H349" s="9">
        <v>201402</v>
      </c>
      <c r="I349" s="15" t="str">
        <f>IFERROR(VLOOKUP(H349,monsters[#All],4,0),"")</f>
        <v>毒刺果实丛</v>
      </c>
      <c r="J349" s="15" t="str" cm="1">
        <f t="array" ref="J349">_xlfn.LET(_xlpm.v6p,ABS(ATAN2(O349,P349))*6/PI(),
_xlpm.output,_xlfn.IFS(_xlpm.v6p&lt;1,"正前",_xlpm.v6p&gt;5,"正后",AND(_xlpm.v6p&lt;5,_xlpm.v6p&gt;2,P349&lt;-1),"脚底",_xlpm.v6p&gt;4,"后上",_xlpm.v6p&lt;2,"前上",TRUE,"顶部"),
IFERROR(_xlpm.output,""))</f>
        <v>前上</v>
      </c>
      <c r="K349" s="12"/>
      <c r="L349" s="12" t="s">
        <v>63</v>
      </c>
      <c r="M349" s="12" t="s">
        <v>63</v>
      </c>
      <c r="N349" s="19" t="str">
        <f t="shared" si="157"/>
        <v>15,9</v>
      </c>
      <c r="O349" s="24">
        <v>15</v>
      </c>
      <c r="P349" s="24">
        <v>9</v>
      </c>
      <c r="Q349" s="19">
        <f t="shared" si="163"/>
        <v>2</v>
      </c>
      <c r="R349" s="24">
        <v>2</v>
      </c>
      <c r="S349" s="9">
        <v>2</v>
      </c>
      <c r="T349" s="19" t="str">
        <f t="shared" si="159"/>
        <v>1,1</v>
      </c>
      <c r="U349" s="24">
        <v>1</v>
      </c>
      <c r="V349" s="24">
        <v>1</v>
      </c>
      <c r="W349" s="9">
        <v>0</v>
      </c>
      <c r="X349" s="9">
        <v>11</v>
      </c>
      <c r="Y349" s="19" t="str">
        <f t="shared" si="160"/>
        <v>-405,-400</v>
      </c>
      <c r="Z349" s="42" t="s">
        <v>264</v>
      </c>
      <c r="AA349" s="19" t="str">
        <f t="shared" si="161"/>
        <v>80,120</v>
      </c>
      <c r="AC349" s="9">
        <v>7</v>
      </c>
      <c r="AD349" s="9">
        <v>0</v>
      </c>
      <c r="AE349" s="9">
        <v>0.3</v>
      </c>
      <c r="AF349" s="16"/>
      <c r="AG349" s="16"/>
      <c r="AI349" s="69" cm="1">
        <f t="array" ref="AI349">tuple_avg(T349)/tuple_avg(AA349)</f>
        <v>0.01</v>
      </c>
      <c r="AJ349" s="69">
        <f>AC349*AI349*'-配置辅助'!$I$8</f>
        <v>7.0000000000000009</v>
      </c>
      <c r="AK349" s="69">
        <f>AD349*AI349*'-配置辅助'!$I$10</f>
        <v>0</v>
      </c>
      <c r="AL349" s="69">
        <f>AJ349*_xlfn.XLOOKUP(H349,monsters[怪物id],monsters[HP],-1)</f>
        <v>-7.0000000000000009</v>
      </c>
      <c r="AM349" s="69">
        <f>AK349*_xlfn.XLOOKUP(H349,monsters[怪物id],monsters[HP],-1)</f>
        <v>0</v>
      </c>
    </row>
    <row r="350" spans="1:41" x14ac:dyDescent="0.2">
      <c r="A350" s="9">
        <v>420404</v>
      </c>
      <c r="B350" s="9" t="str" cm="1">
        <f t="array" ref="B350">D350&amp;_xlfn.TEXTJOIN("",1,TEXT(E350:G350,"00"))</f>
        <v>1010005</v>
      </c>
      <c r="C350" s="30" t="str">
        <f t="shared" si="162"/>
        <v>420404,1010005</v>
      </c>
      <c r="D350" s="26">
        <v>1</v>
      </c>
      <c r="E350" s="26">
        <v>1</v>
      </c>
      <c r="F350" s="26">
        <f t="shared" si="156"/>
        <v>0</v>
      </c>
      <c r="G350" s="26">
        <v>5</v>
      </c>
      <c r="H350" s="9">
        <v>201402</v>
      </c>
      <c r="I350" s="15" t="str">
        <f>IFERROR(VLOOKUP(H350,monsters[#All],4,0),"")</f>
        <v>毒刺果实丛</v>
      </c>
      <c r="J350" s="15" t="str" cm="1">
        <f t="array" ref="J350">_xlfn.LET(_xlpm.v6p,ABS(ATAN2(O350,P350))*6/PI(),
_xlpm.output,_xlfn.IFS(_xlpm.v6p&lt;1,"正前",_xlpm.v6p&gt;5,"正后",AND(_xlpm.v6p&lt;5,_xlpm.v6p&gt;2,P350&lt;-1),"脚底",_xlpm.v6p&gt;4,"后上",_xlpm.v6p&lt;2,"前上",TRUE,"顶部"),
IFERROR(_xlpm.output,""))</f>
        <v>前上</v>
      </c>
      <c r="K350" s="12"/>
      <c r="L350" s="12" t="s">
        <v>63</v>
      </c>
      <c r="M350" s="12" t="s">
        <v>63</v>
      </c>
      <c r="N350" s="19" t="str">
        <f t="shared" si="157"/>
        <v>15,9</v>
      </c>
      <c r="O350" s="24">
        <v>15</v>
      </c>
      <c r="P350" s="24">
        <v>9</v>
      </c>
      <c r="Q350" s="19">
        <f t="shared" si="163"/>
        <v>2</v>
      </c>
      <c r="R350" s="24">
        <v>2</v>
      </c>
      <c r="S350" s="9">
        <v>2</v>
      </c>
      <c r="T350" s="19" t="str">
        <f t="shared" si="159"/>
        <v>1,1</v>
      </c>
      <c r="U350" s="24">
        <v>1</v>
      </c>
      <c r="V350" s="24">
        <v>1</v>
      </c>
      <c r="W350" s="9">
        <v>0</v>
      </c>
      <c r="X350" s="9">
        <v>11</v>
      </c>
      <c r="Y350" s="19" t="str">
        <f t="shared" si="160"/>
        <v>-605,-600</v>
      </c>
      <c r="Z350" s="42" t="s">
        <v>280</v>
      </c>
      <c r="AA350" s="19" t="str">
        <f t="shared" si="161"/>
        <v>80,120</v>
      </c>
      <c r="AC350" s="9">
        <v>7.5</v>
      </c>
      <c r="AD350" s="9">
        <v>0</v>
      </c>
      <c r="AE350" s="9">
        <v>0.3</v>
      </c>
      <c r="AF350" s="16"/>
      <c r="AG350" s="16"/>
      <c r="AI350" s="69" cm="1">
        <f t="array" ref="AI350">tuple_avg(T350)/tuple_avg(AA350)</f>
        <v>0.01</v>
      </c>
      <c r="AJ350" s="69">
        <f>AC350*AI350*'-配置辅助'!$I$8</f>
        <v>7.5</v>
      </c>
      <c r="AK350" s="69">
        <f>AD350*AI350*'-配置辅助'!$I$10</f>
        <v>0</v>
      </c>
      <c r="AL350" s="69">
        <f>AJ350*_xlfn.XLOOKUP(H350,monsters[怪物id],monsters[HP],-1)</f>
        <v>-7.5</v>
      </c>
      <c r="AM350" s="69">
        <f>AK350*_xlfn.XLOOKUP(H350,monsters[怪物id],monsters[HP],-1)</f>
        <v>0</v>
      </c>
    </row>
    <row r="352" spans="1:41" x14ac:dyDescent="0.2">
      <c r="A352" s="9">
        <v>420404</v>
      </c>
      <c r="B352" s="9" t="str" cm="1">
        <f t="array" ref="B352">D352&amp;_xlfn.TEXTJOIN("",1,TEXT(E352:G352,"00"))</f>
        <v>2010000</v>
      </c>
      <c r="C352" s="30" t="str">
        <f t="shared" ref="C352:C353" si="164">_xlfn.TEXTJOIN(",",1,A352:B352)</f>
        <v>420404,2010000</v>
      </c>
      <c r="D352" s="26">
        <v>2</v>
      </c>
      <c r="E352" s="26">
        <v>1</v>
      </c>
      <c r="F352" s="26">
        <v>0</v>
      </c>
      <c r="G352" s="26">
        <v>0</v>
      </c>
      <c r="H352" s="9">
        <v>201406</v>
      </c>
      <c r="I352" s="15" t="str">
        <f>IFERROR(VLOOKUP(H352,monsters[#All],4,0),"")</f>
        <v>鬼瓮</v>
      </c>
      <c r="J352" s="15" t="str" cm="1">
        <f t="array" ref="J352">_xlfn.LET(_xlpm.v6p,ABS(ATAN2(O352,P352))*6/PI(),
_xlpm.output,_xlfn.IFS(_xlpm.v6p&lt;1,"正前",_xlpm.v6p&gt;5,"正后",AND(_xlpm.v6p&lt;5,_xlpm.v6p&gt;2,P352&lt;-1),"脚底",_xlpm.v6p&gt;4,"后上",_xlpm.v6p&lt;2,"前上",TRUE,"顶部"),
IFERROR(_xlpm.output,""))</f>
        <v>正前</v>
      </c>
      <c r="K352" s="12"/>
      <c r="L352" s="12" t="s">
        <v>63</v>
      </c>
      <c r="M352" s="12" t="s">
        <v>63</v>
      </c>
      <c r="N352" s="19" t="str">
        <f>O352+0&amp;","&amp;P352+0</f>
        <v>18,-1</v>
      </c>
      <c r="O352" s="24">
        <v>18</v>
      </c>
      <c r="P352" s="24">
        <v>-1</v>
      </c>
      <c r="Q352" s="19">
        <f t="shared" ref="Q352:Q353" si="165">_xlfn.LET(_xlpm._default,1,
_xlpm._custom,R352,
IF($A352&lt;&gt;"",IF(_xlpm._custom&lt;&gt;"",_xlpm._custom,_xlpm._default),""))</f>
        <v>1</v>
      </c>
      <c r="S352" s="9">
        <v>8</v>
      </c>
      <c r="T352" s="19" t="str">
        <f t="shared" ref="T352:T353" si="166">IF(U352&lt;&gt;"", U352+0&amp;","&amp;V352+0,"")</f>
        <v>1,1</v>
      </c>
      <c r="U352" s="24">
        <v>1</v>
      </c>
      <c r="V352" s="24">
        <v>1</v>
      </c>
      <c r="W352" s="9">
        <v>0</v>
      </c>
      <c r="X352" s="9">
        <v>11</v>
      </c>
      <c r="Y352" s="19" t="str">
        <f>IF($A352&lt;&gt;"",IF($Z352&lt;&gt;"",$Z352,"0,0"),"")</f>
        <v>-105,-100</v>
      </c>
      <c r="Z352" s="42" t="s">
        <v>133</v>
      </c>
      <c r="AA352" s="19" t="str">
        <f>IF($A352&lt;&gt;"",IF($AB352&lt;&gt;"",$AB352,"80,120"),"")</f>
        <v>80,120</v>
      </c>
      <c r="AB352" s="41"/>
      <c r="AC352" s="9">
        <v>1.2</v>
      </c>
      <c r="AD352" s="9">
        <v>0</v>
      </c>
      <c r="AE352" s="9">
        <v>0</v>
      </c>
      <c r="AF352" s="16"/>
      <c r="AG352" s="16"/>
      <c r="AI352" s="69" cm="1">
        <f t="array" ref="AI352">tuple_avg(T352)/tuple_avg(AA352)</f>
        <v>0.01</v>
      </c>
      <c r="AJ352" s="69">
        <f>AC352*AI352*'-配置辅助'!$I$8</f>
        <v>1.2</v>
      </c>
      <c r="AK352" s="69">
        <f>AD352*AI352*'-配置辅助'!$I$10</f>
        <v>0</v>
      </c>
      <c r="AL352" s="69">
        <f>AJ352*_xlfn.XLOOKUP(H352,monsters[怪物id],monsters[HP],-1)</f>
        <v>1.2</v>
      </c>
      <c r="AM352" s="69">
        <f>AK352*_xlfn.XLOOKUP(H352,monsters[怪物id],monsters[HP],-1)</f>
        <v>0</v>
      </c>
    </row>
    <row r="353" spans="1:41" x14ac:dyDescent="0.2">
      <c r="A353" s="9">
        <v>420404</v>
      </c>
      <c r="B353" s="9" t="str" cm="1">
        <f t="array" ref="B353">D353&amp;_xlfn.TEXTJOIN("",1,TEXT(E353:G353,"00"))</f>
        <v>2010001</v>
      </c>
      <c r="C353" s="30" t="str">
        <f t="shared" si="164"/>
        <v>420404,2010001</v>
      </c>
      <c r="D353" s="26">
        <v>2</v>
      </c>
      <c r="E353" s="26">
        <v>1</v>
      </c>
      <c r="F353" s="26">
        <v>0</v>
      </c>
      <c r="G353" s="26">
        <v>1</v>
      </c>
      <c r="H353" s="9">
        <v>201406</v>
      </c>
      <c r="I353" s="15" t="str">
        <f>IFERROR(VLOOKUP(H353,monsters[#All],4,0),"")</f>
        <v>鬼瓮</v>
      </c>
      <c r="J353" s="15" t="str" cm="1">
        <f t="array" ref="J353">_xlfn.LET(_xlpm.v6p,ABS(ATAN2(O353,P353))*6/PI(),
_xlpm.output,_xlfn.IFS(_xlpm.v6p&lt;1,"正前",_xlpm.v6p&gt;5,"正后",AND(_xlpm.v6p&lt;5,_xlpm.v6p&gt;2,P353&lt;-1),"脚底",_xlpm.v6p&gt;4,"后上",_xlpm.v6p&lt;2,"前上",TRUE,"顶部"),
IFERROR(_xlpm.output,""))</f>
        <v>正前</v>
      </c>
      <c r="K353" s="12"/>
      <c r="L353" s="12" t="s">
        <v>63</v>
      </c>
      <c r="M353" s="12" t="s">
        <v>63</v>
      </c>
      <c r="N353" s="19" t="str">
        <f>O353+0&amp;","&amp;P353+0</f>
        <v>18,-1</v>
      </c>
      <c r="O353" s="24">
        <v>18</v>
      </c>
      <c r="P353" s="24">
        <v>-1</v>
      </c>
      <c r="Q353" s="19">
        <f t="shared" si="165"/>
        <v>1</v>
      </c>
      <c r="R353" s="42"/>
      <c r="S353" s="9">
        <v>40</v>
      </c>
      <c r="T353" s="19" t="str">
        <f t="shared" si="166"/>
        <v>1,1</v>
      </c>
      <c r="U353" s="24">
        <v>1</v>
      </c>
      <c r="V353" s="24">
        <v>1</v>
      </c>
      <c r="W353" s="9">
        <v>0</v>
      </c>
      <c r="X353" s="9">
        <v>11</v>
      </c>
      <c r="Y353" s="19" t="str">
        <f>IF($A353&lt;&gt;"",IF($Z353&lt;&gt;"",$Z353,"0,0"),"")</f>
        <v>-405,-400</v>
      </c>
      <c r="Z353" s="42" t="s">
        <v>264</v>
      </c>
      <c r="AA353" s="19" t="str">
        <f>IF($A353&lt;&gt;"",IF($AB353&lt;&gt;"",$AB353,"80,120"),"")</f>
        <v>50,150</v>
      </c>
      <c r="AB353" s="42" t="s">
        <v>65</v>
      </c>
      <c r="AC353" s="9">
        <v>5</v>
      </c>
      <c r="AD353" s="9">
        <v>0</v>
      </c>
      <c r="AE353" s="9">
        <v>0</v>
      </c>
      <c r="AF353" s="16"/>
      <c r="AG353" s="16"/>
      <c r="AI353" s="69" cm="1">
        <f t="array" ref="AI353">tuple_avg(T353)/tuple_avg(AA353)</f>
        <v>0.01</v>
      </c>
      <c r="AJ353" s="69">
        <f>AC353*AI353*'-配置辅助'!$I$8</f>
        <v>5</v>
      </c>
      <c r="AK353" s="69">
        <f>AD353*AI353*'-配置辅助'!$I$10</f>
        <v>0</v>
      </c>
      <c r="AL353" s="69">
        <f>AJ353*_xlfn.XLOOKUP(H353,monsters[怪物id],monsters[HP],-1)</f>
        <v>5</v>
      </c>
      <c r="AM353" s="69">
        <f>AK353*_xlfn.XLOOKUP(H353,monsters[怪物id],monsters[HP],-1)</f>
        <v>0</v>
      </c>
    </row>
    <row r="356" spans="1:41" s="59" customFormat="1" x14ac:dyDescent="0.2">
      <c r="A356" s="55"/>
      <c r="B356" s="55"/>
      <c r="C356" s="56" t="str">
        <f t="shared" ref="C356" si="167">_xlfn.TEXTJOIN(",",1,A356:B356)</f>
        <v/>
      </c>
      <c r="D356" s="57"/>
      <c r="E356" s="57"/>
      <c r="F356" s="57"/>
      <c r="G356" s="57"/>
      <c r="H356" s="55" t="s">
        <v>236</v>
      </c>
      <c r="I356" s="58"/>
      <c r="J356" s="58"/>
      <c r="O356" s="60"/>
      <c r="P356" s="60"/>
      <c r="R356" s="60"/>
      <c r="S356" s="59" t="s">
        <v>62</v>
      </c>
      <c r="U356" s="60"/>
      <c r="V356" s="60"/>
      <c r="Z356" s="60"/>
      <c r="AB356" s="60"/>
      <c r="AC356" s="59" t="s">
        <v>62</v>
      </c>
      <c r="AI356" s="73"/>
      <c r="AJ356" s="73"/>
      <c r="AK356" s="73"/>
      <c r="AL356" s="73">
        <f>SUM(AL358:AL368)</f>
        <v>-9</v>
      </c>
      <c r="AM356" s="73">
        <f>SUM(AM358:AM368)</f>
        <v>-2</v>
      </c>
      <c r="AN356" s="73"/>
      <c r="AO356" s="73"/>
    </row>
    <row r="358" spans="1:41" x14ac:dyDescent="0.2">
      <c r="A358" s="9">
        <v>420413</v>
      </c>
      <c r="B358" s="9" t="str" cm="1">
        <f t="array" ref="B358">D358&amp;_xlfn.TEXTJOIN("",1,TEXT(E358:G358,"00"))</f>
        <v>1010000</v>
      </c>
      <c r="C358" s="30" t="str">
        <f t="shared" ref="C358:C360" si="168">_xlfn.TEXTJOIN(",",1,A358:B358)</f>
        <v>420413,1010000</v>
      </c>
      <c r="D358" s="26">
        <v>1</v>
      </c>
      <c r="E358" s="26">
        <v>1</v>
      </c>
      <c r="F358" s="26">
        <f>W358</f>
        <v>0</v>
      </c>
      <c r="G358" s="26">
        <v>0</v>
      </c>
      <c r="H358" s="9">
        <v>201408</v>
      </c>
      <c r="I358" s="15" t="str">
        <f>IFERROR(VLOOKUP(H358,monsters[#All],4,0),"")</f>
        <v>铁针鸟</v>
      </c>
      <c r="J358" s="15" t="str" cm="1">
        <f t="array" ref="J358">_xlfn.LET(_xlpm.v6p,ABS(ATAN2(O358,P358))*6/PI(),
_xlpm.output,_xlfn.IFS(_xlpm.v6p&lt;1,"正前",_xlpm.v6p&gt;5,"正后",AND(_xlpm.v6p&lt;5,_xlpm.v6p&gt;2,P358&lt;-1),"脚底",_xlpm.v6p&gt;4,"后上",_xlpm.v6p&lt;2,"前上",TRUE,"顶部"),
IFERROR(_xlpm.output,""))</f>
        <v>前上</v>
      </c>
      <c r="K358" s="12"/>
      <c r="L358" s="12" t="s">
        <v>63</v>
      </c>
      <c r="M358" s="12" t="s">
        <v>63</v>
      </c>
      <c r="N358" s="19" t="str">
        <f>O358+0&amp;","&amp;P358+0</f>
        <v>15,10</v>
      </c>
      <c r="O358" s="24">
        <v>15</v>
      </c>
      <c r="P358" s="24">
        <v>10</v>
      </c>
      <c r="Q358" s="19">
        <f t="shared" ref="Q358:Q364" si="169">_xlfn.LET(_xlpm._default,1,
_xlpm._custom,R358,
IF($A358&lt;&gt;"",IF(_xlpm._custom&lt;&gt;"",_xlpm._custom,_xlpm._default),""))</f>
        <v>1</v>
      </c>
      <c r="S358" s="9">
        <v>1</v>
      </c>
      <c r="T358" s="19" t="str">
        <f>IF(U358&lt;&gt;"", U358+0&amp;","&amp;V358+0,"")</f>
        <v>1,1</v>
      </c>
      <c r="U358" s="24">
        <v>1</v>
      </c>
      <c r="V358" s="24">
        <v>1</v>
      </c>
      <c r="W358" s="9">
        <v>0</v>
      </c>
      <c r="X358" s="9">
        <v>11</v>
      </c>
      <c r="Y358" s="19" t="str">
        <f>IF($A358&lt;&gt;"",IF($Z358&lt;&gt;"",$Z358,"0,0"),"")</f>
        <v>70,75</v>
      </c>
      <c r="Z358" s="24" t="s">
        <v>132</v>
      </c>
      <c r="AA358" s="19" t="str">
        <f>IF($A358&lt;&gt;"",IF($AB358&lt;&gt;"",$AB358,"80,120"),"")</f>
        <v>80,120</v>
      </c>
      <c r="AC358" s="9">
        <v>0.6</v>
      </c>
      <c r="AD358" s="9">
        <v>0.8</v>
      </c>
      <c r="AE358" s="9">
        <v>0.3</v>
      </c>
      <c r="AF358" s="9">
        <v>3</v>
      </c>
      <c r="AG358" s="9">
        <v>100</v>
      </c>
      <c r="AI358" s="69" cm="1">
        <f t="array" ref="AI358">tuple_avg(T358)/tuple_avg(AA358)</f>
        <v>0.01</v>
      </c>
      <c r="AJ358" s="69">
        <f>AC358*AI358*'-配置辅助'!$I$8</f>
        <v>0.6</v>
      </c>
      <c r="AK358" s="69">
        <f>AD358*AI358*'-配置辅助'!$I$10</f>
        <v>0.13333333333333336</v>
      </c>
      <c r="AL358" s="69">
        <f>AJ358*_xlfn.XLOOKUP(H358,monsters[怪物id],monsters[HP],-1)</f>
        <v>-0.6</v>
      </c>
      <c r="AM358" s="69">
        <f>AK358*_xlfn.XLOOKUP(H358,monsters[怪物id],monsters[HP],-1)</f>
        <v>-0.13333333333333336</v>
      </c>
    </row>
    <row r="359" spans="1:41" x14ac:dyDescent="0.2">
      <c r="A359" s="9">
        <v>420413</v>
      </c>
      <c r="B359" s="9" t="str" cm="1">
        <f t="array" ref="B359">D359&amp;_xlfn.TEXTJOIN("",1,TEXT(E359:G359,"00"))</f>
        <v>1010001</v>
      </c>
      <c r="C359" s="30" t="str">
        <f t="shared" si="168"/>
        <v>420413,1010001</v>
      </c>
      <c r="D359" s="26">
        <v>1</v>
      </c>
      <c r="E359" s="26">
        <v>1</v>
      </c>
      <c r="F359" s="26">
        <f>W359</f>
        <v>0</v>
      </c>
      <c r="G359" s="26">
        <v>1</v>
      </c>
      <c r="H359" s="9">
        <v>201408</v>
      </c>
      <c r="I359" s="15" t="str">
        <f>IFERROR(VLOOKUP(H359,monsters[#All],4,0),"")</f>
        <v>铁针鸟</v>
      </c>
      <c r="J359" s="15" t="str" cm="1">
        <f t="array" ref="J359">_xlfn.LET(_xlpm.v6p,ABS(ATAN2(O359,P359))*6/PI(),
_xlpm.output,_xlfn.IFS(_xlpm.v6p&lt;1,"正前",_xlpm.v6p&gt;5,"正后",AND(_xlpm.v6p&lt;5,_xlpm.v6p&gt;2,P359&lt;-1),"脚底",_xlpm.v6p&gt;4,"后上",_xlpm.v6p&lt;2,"前上",TRUE,"顶部"),
IFERROR(_xlpm.output,""))</f>
        <v>前上</v>
      </c>
      <c r="K359" s="12"/>
      <c r="L359" s="12" t="s">
        <v>63</v>
      </c>
      <c r="M359" s="12" t="s">
        <v>63</v>
      </c>
      <c r="N359" s="19" t="str">
        <f>O359+0&amp;","&amp;P359+0</f>
        <v>15,10</v>
      </c>
      <c r="O359" s="24">
        <v>15</v>
      </c>
      <c r="P359" s="24">
        <v>10</v>
      </c>
      <c r="Q359" s="19">
        <f t="shared" si="169"/>
        <v>1</v>
      </c>
      <c r="S359" s="9">
        <v>2</v>
      </c>
      <c r="T359" s="19" t="str">
        <f>IF(U359&lt;&gt;"", U359+0&amp;","&amp;V359+0,"")</f>
        <v>1,2</v>
      </c>
      <c r="U359" s="24">
        <v>1</v>
      </c>
      <c r="V359" s="24">
        <v>2</v>
      </c>
      <c r="W359" s="9">
        <v>0</v>
      </c>
      <c r="X359" s="9">
        <v>11</v>
      </c>
      <c r="Y359" s="19" t="str">
        <f>IF($A359&lt;&gt;"",IF($Z359&lt;&gt;"",$Z359,"0,0"),"")</f>
        <v>0,0</v>
      </c>
      <c r="AA359" s="19" t="str">
        <f>IF($A359&lt;&gt;"",IF($AB359&lt;&gt;"",$AB359,"80,120"),"")</f>
        <v>80,120</v>
      </c>
      <c r="AC359" s="9">
        <v>0.6</v>
      </c>
      <c r="AD359" s="9">
        <v>0.8</v>
      </c>
      <c r="AE359" s="9">
        <v>0.3</v>
      </c>
      <c r="AF359" s="9">
        <v>3</v>
      </c>
      <c r="AG359" s="9">
        <v>100</v>
      </c>
      <c r="AI359" s="69" cm="1">
        <f t="array" ref="AI359">tuple_avg(T359)/tuple_avg(AA359)</f>
        <v>1.4999999999999999E-2</v>
      </c>
      <c r="AJ359" s="69">
        <f>AC359*AI359*'-配置辅助'!$I$8</f>
        <v>0.89999999999999991</v>
      </c>
      <c r="AK359" s="69">
        <f>AD359*AI359*'-配置辅助'!$I$10</f>
        <v>0.2</v>
      </c>
      <c r="AL359" s="69">
        <f>AJ359*_xlfn.XLOOKUP(H359,monsters[怪物id],monsters[HP],-1)</f>
        <v>-0.89999999999999991</v>
      </c>
      <c r="AM359" s="69">
        <f>AK359*_xlfn.XLOOKUP(H359,monsters[怪物id],monsters[HP],-1)</f>
        <v>-0.2</v>
      </c>
    </row>
    <row r="360" spans="1:41" x14ac:dyDescent="0.2">
      <c r="A360" s="9">
        <v>420413</v>
      </c>
      <c r="B360" s="9" t="str" cm="1">
        <f t="array" ref="B360">D360&amp;_xlfn.TEXTJOIN("",1,TEXT(E360:G360,"00"))</f>
        <v>1010002</v>
      </c>
      <c r="C360" s="30" t="str">
        <f t="shared" si="168"/>
        <v>420413,1010002</v>
      </c>
      <c r="D360" s="26">
        <v>1</v>
      </c>
      <c r="E360" s="26">
        <v>1</v>
      </c>
      <c r="F360" s="26">
        <f>W360</f>
        <v>0</v>
      </c>
      <c r="G360" s="26">
        <v>2</v>
      </c>
      <c r="H360" s="9">
        <v>201408</v>
      </c>
      <c r="I360" s="15" t="str">
        <f>IFERROR(VLOOKUP(H360,monsters[#All],4,0),"")</f>
        <v>铁针鸟</v>
      </c>
      <c r="J360" s="15" t="str" cm="1">
        <f t="array" ref="J360">_xlfn.LET(_xlpm.v6p,ABS(ATAN2(O360,P360))*6/PI(),
_xlpm.output,_xlfn.IFS(_xlpm.v6p&lt;1,"正前",_xlpm.v6p&gt;5,"正后",AND(_xlpm.v6p&lt;5,_xlpm.v6p&gt;2,P360&lt;-1),"脚底",_xlpm.v6p&gt;4,"后上",_xlpm.v6p&lt;2,"前上",TRUE,"顶部"),
IFERROR(_xlpm.output,""))</f>
        <v>前上</v>
      </c>
      <c r="K360" s="12"/>
      <c r="L360" s="12" t="s">
        <v>63</v>
      </c>
      <c r="M360" s="12" t="s">
        <v>63</v>
      </c>
      <c r="N360" s="19" t="str">
        <f>O360+0&amp;","&amp;P360+0</f>
        <v>15,10</v>
      </c>
      <c r="O360" s="24">
        <v>15</v>
      </c>
      <c r="P360" s="24">
        <v>10</v>
      </c>
      <c r="Q360" s="19">
        <f t="shared" si="169"/>
        <v>1</v>
      </c>
      <c r="R360" s="42"/>
      <c r="S360" s="9">
        <v>2</v>
      </c>
      <c r="T360" s="19" t="str">
        <f>IF(U360&lt;&gt;"", U360+0&amp;","&amp;V360+0,"")</f>
        <v>2,3</v>
      </c>
      <c r="U360" s="24">
        <v>2</v>
      </c>
      <c r="V360" s="24">
        <v>3</v>
      </c>
      <c r="W360" s="9">
        <v>0</v>
      </c>
      <c r="X360" s="9">
        <v>11</v>
      </c>
      <c r="Y360" s="19" t="str">
        <f>IF($A360&lt;&gt;"",IF($Z360&lt;&gt;"",$Z360,"0,0"),"")</f>
        <v>-105,-100</v>
      </c>
      <c r="Z360" s="42" t="s">
        <v>133</v>
      </c>
      <c r="AA360" s="19" t="str">
        <f>IF($A360&lt;&gt;"",IF($AB360&lt;&gt;"",$AB360,"80,120"),"")</f>
        <v>80,120</v>
      </c>
      <c r="AC360" s="9">
        <v>0.6</v>
      </c>
      <c r="AD360" s="9">
        <v>0.8</v>
      </c>
      <c r="AE360" s="9">
        <v>0.3</v>
      </c>
      <c r="AF360" s="9">
        <v>3</v>
      </c>
      <c r="AG360" s="9">
        <v>100</v>
      </c>
      <c r="AI360" s="69" cm="1">
        <f t="array" ref="AI360">tuple_avg(T360)/tuple_avg(AA360)</f>
        <v>2.5000000000000001E-2</v>
      </c>
      <c r="AJ360" s="69">
        <f>AC360*AI360*'-配置辅助'!$I$8</f>
        <v>1.5</v>
      </c>
      <c r="AK360" s="69">
        <f>AD360*AI360*'-配置辅助'!$I$10</f>
        <v>0.33333333333333343</v>
      </c>
      <c r="AL360" s="69">
        <f>AJ360*_xlfn.XLOOKUP(H360,monsters[怪物id],monsters[HP],-1)</f>
        <v>-1.5</v>
      </c>
      <c r="AM360" s="69">
        <f>AK360*_xlfn.XLOOKUP(H360,monsters[怪物id],monsters[HP],-1)</f>
        <v>-0.33333333333333343</v>
      </c>
    </row>
    <row r="361" spans="1:41" x14ac:dyDescent="0.2">
      <c r="J361" s="15" t="str" cm="1">
        <f t="array" ref="J361">_xlfn.LET(_xlpm.v6p,ABS(ATAN2(O361,P361))*6/PI(),
_xlpm.output,_xlfn.IFS(_xlpm.v6p&lt;1,"正前",_xlpm.v6p&gt;5,"正后",AND(_xlpm.v6p&lt;5,_xlpm.v6p&gt;2,P361&lt;-1),"脚底",_xlpm.v6p&gt;4,"后上",_xlpm.v6p&lt;2,"前上",TRUE,"顶部"),
IFERROR(_xlpm.output,""))</f>
        <v/>
      </c>
      <c r="Q361" s="19" t="str">
        <f t="shared" si="169"/>
        <v/>
      </c>
    </row>
    <row r="362" spans="1:41" x14ac:dyDescent="0.2">
      <c r="A362" s="9">
        <v>420413</v>
      </c>
      <c r="B362" s="9" t="str" cm="1">
        <f t="array" ref="B362">D362&amp;_xlfn.TEXTJOIN("",1,TEXT(E362:G362,"00"))</f>
        <v>1020000</v>
      </c>
      <c r="C362" s="30" t="str">
        <f t="shared" ref="C362:C364" si="170">_xlfn.TEXTJOIN(",",1,A362:B362)</f>
        <v>420413,1020000</v>
      </c>
      <c r="D362" s="26">
        <v>1</v>
      </c>
      <c r="E362" s="26">
        <v>2</v>
      </c>
      <c r="F362" s="26">
        <f>W362</f>
        <v>0</v>
      </c>
      <c r="G362" s="26">
        <v>0</v>
      </c>
      <c r="H362" s="9">
        <v>201408</v>
      </c>
      <c r="I362" s="15" t="str">
        <f>IFERROR(VLOOKUP(H362,monsters[#All],4,0),"")</f>
        <v>铁针鸟</v>
      </c>
      <c r="J362" s="15" t="str" cm="1">
        <f t="array" ref="J362">_xlfn.LET(_xlpm.v6p,ABS(ATAN2(O362,P362))*6/PI(),
_xlpm.output,_xlfn.IFS(_xlpm.v6p&lt;1,"正前",_xlpm.v6p&gt;5,"正后",AND(_xlpm.v6p&lt;5,_xlpm.v6p&gt;2,P362&lt;-1),"脚底",_xlpm.v6p&gt;4,"后上",_xlpm.v6p&lt;2,"前上",TRUE,"顶部"),
IFERROR(_xlpm.output,""))</f>
        <v>后上</v>
      </c>
      <c r="K362" s="12"/>
      <c r="L362" s="12" t="s">
        <v>63</v>
      </c>
      <c r="M362" s="12" t="s">
        <v>63</v>
      </c>
      <c r="N362" s="19" t="str">
        <f>O362+0&amp;","&amp;P362+0</f>
        <v>-15,10</v>
      </c>
      <c r="O362" s="24">
        <v>-15</v>
      </c>
      <c r="P362" s="24">
        <v>10</v>
      </c>
      <c r="Q362" s="19">
        <f t="shared" si="169"/>
        <v>1</v>
      </c>
      <c r="S362" s="9">
        <v>1</v>
      </c>
      <c r="T362" s="19" t="str">
        <f>IF(U362&lt;&gt;"", U362+0&amp;","&amp;V362+0,"")</f>
        <v>1,1</v>
      </c>
      <c r="U362" s="24">
        <v>1</v>
      </c>
      <c r="V362" s="24">
        <v>1</v>
      </c>
      <c r="W362" s="9">
        <v>0</v>
      </c>
      <c r="X362" s="9">
        <v>11</v>
      </c>
      <c r="Y362" s="19" t="str">
        <f>IF($A362&lt;&gt;"",IF($Z362&lt;&gt;"",$Z362,"0,0"),"")</f>
        <v>70,75</v>
      </c>
      <c r="Z362" s="24" t="s">
        <v>132</v>
      </c>
      <c r="AA362" s="19" t="str">
        <f>IF($A362&lt;&gt;"",IF($AB362&lt;&gt;"",$AB362,"80,120"),"")</f>
        <v>80,120</v>
      </c>
      <c r="AC362" s="9">
        <v>0.6</v>
      </c>
      <c r="AD362" s="9">
        <v>0.8</v>
      </c>
      <c r="AE362" s="9">
        <v>0.3</v>
      </c>
      <c r="AF362" s="9">
        <v>3</v>
      </c>
      <c r="AG362" s="9">
        <v>100</v>
      </c>
      <c r="AI362" s="69" cm="1">
        <f t="array" ref="AI362">tuple_avg(T362)/tuple_avg(AA362)</f>
        <v>0.01</v>
      </c>
      <c r="AJ362" s="69">
        <f>AC362*AI362*'-配置辅助'!$I$8</f>
        <v>0.6</v>
      </c>
      <c r="AK362" s="69">
        <f>AD362*AI362*'-配置辅助'!$I$10</f>
        <v>0.13333333333333336</v>
      </c>
      <c r="AL362" s="69">
        <f>AJ362*_xlfn.XLOOKUP(H362,monsters[怪物id],monsters[HP],-1)</f>
        <v>-0.6</v>
      </c>
      <c r="AM362" s="69">
        <f>AK362*_xlfn.XLOOKUP(H362,monsters[怪物id],monsters[HP],-1)</f>
        <v>-0.13333333333333336</v>
      </c>
    </row>
    <row r="363" spans="1:41" x14ac:dyDescent="0.2">
      <c r="A363" s="9">
        <v>420413</v>
      </c>
      <c r="B363" s="9" t="str" cm="1">
        <f t="array" ref="B363">D363&amp;_xlfn.TEXTJOIN("",1,TEXT(E363:G363,"00"))</f>
        <v>1020001</v>
      </c>
      <c r="C363" s="30" t="str">
        <f t="shared" si="170"/>
        <v>420413,1020001</v>
      </c>
      <c r="D363" s="26">
        <v>1</v>
      </c>
      <c r="E363" s="26">
        <v>2</v>
      </c>
      <c r="F363" s="26">
        <f>W363</f>
        <v>0</v>
      </c>
      <c r="G363" s="26">
        <v>1</v>
      </c>
      <c r="H363" s="9">
        <v>201408</v>
      </c>
      <c r="I363" s="15" t="str">
        <f>IFERROR(VLOOKUP(H363,monsters[#All],4,0),"")</f>
        <v>铁针鸟</v>
      </c>
      <c r="J363" s="15" t="str" cm="1">
        <f t="array" ref="J363">_xlfn.LET(_xlpm.v6p,ABS(ATAN2(O363,P363))*6/PI(),
_xlpm.output,_xlfn.IFS(_xlpm.v6p&lt;1,"正前",_xlpm.v6p&gt;5,"正后",AND(_xlpm.v6p&lt;5,_xlpm.v6p&gt;2,P363&lt;-1),"脚底",_xlpm.v6p&gt;4,"后上",_xlpm.v6p&lt;2,"前上",TRUE,"顶部"),
IFERROR(_xlpm.output,""))</f>
        <v>后上</v>
      </c>
      <c r="K363" s="12"/>
      <c r="L363" s="12" t="s">
        <v>63</v>
      </c>
      <c r="M363" s="12" t="s">
        <v>63</v>
      </c>
      <c r="N363" s="19" t="str">
        <f>O363+0&amp;","&amp;P363+0</f>
        <v>-15,10</v>
      </c>
      <c r="O363" s="24">
        <v>-15</v>
      </c>
      <c r="P363" s="24">
        <v>10</v>
      </c>
      <c r="Q363" s="19">
        <f t="shared" si="169"/>
        <v>1</v>
      </c>
      <c r="S363" s="9">
        <v>2</v>
      </c>
      <c r="T363" s="19" t="str">
        <f>IF(U363&lt;&gt;"", U363+0&amp;","&amp;V363+0,"")</f>
        <v>1,2</v>
      </c>
      <c r="U363" s="24">
        <v>1</v>
      </c>
      <c r="V363" s="24">
        <v>2</v>
      </c>
      <c r="W363" s="9">
        <v>0</v>
      </c>
      <c r="X363" s="9">
        <v>11</v>
      </c>
      <c r="Y363" s="19" t="str">
        <f>IF($A363&lt;&gt;"",IF($Z363&lt;&gt;"",$Z363,"0,0"),"")</f>
        <v>0,0</v>
      </c>
      <c r="AA363" s="19" t="str">
        <f>IF($A363&lt;&gt;"",IF($AB363&lt;&gt;"",$AB363,"80,120"),"")</f>
        <v>80,120</v>
      </c>
      <c r="AC363" s="9">
        <v>0.6</v>
      </c>
      <c r="AD363" s="9">
        <v>0.8</v>
      </c>
      <c r="AE363" s="9">
        <v>0.3</v>
      </c>
      <c r="AF363" s="9">
        <v>3</v>
      </c>
      <c r="AG363" s="9">
        <v>100</v>
      </c>
      <c r="AI363" s="69" cm="1">
        <f t="array" ref="AI363">tuple_avg(T363)/tuple_avg(AA363)</f>
        <v>1.4999999999999999E-2</v>
      </c>
      <c r="AJ363" s="69">
        <f>AC363*AI363*'-配置辅助'!$I$8</f>
        <v>0.89999999999999991</v>
      </c>
      <c r="AK363" s="69">
        <f>AD363*AI363*'-配置辅助'!$I$10</f>
        <v>0.2</v>
      </c>
      <c r="AL363" s="69">
        <f>AJ363*_xlfn.XLOOKUP(H363,monsters[怪物id],monsters[HP],-1)</f>
        <v>-0.89999999999999991</v>
      </c>
      <c r="AM363" s="69">
        <f>AK363*_xlfn.XLOOKUP(H363,monsters[怪物id],monsters[HP],-1)</f>
        <v>-0.2</v>
      </c>
    </row>
    <row r="364" spans="1:41" x14ac:dyDescent="0.2">
      <c r="A364" s="9">
        <v>420413</v>
      </c>
      <c r="B364" s="9" t="str" cm="1">
        <f t="array" ref="B364">D364&amp;_xlfn.TEXTJOIN("",1,TEXT(E364:G364,"00"))</f>
        <v>1020002</v>
      </c>
      <c r="C364" s="30" t="str">
        <f t="shared" si="170"/>
        <v>420413,1020002</v>
      </c>
      <c r="D364" s="26">
        <v>1</v>
      </c>
      <c r="E364" s="26">
        <v>2</v>
      </c>
      <c r="F364" s="26">
        <f>W364</f>
        <v>0</v>
      </c>
      <c r="G364" s="26">
        <v>2</v>
      </c>
      <c r="H364" s="9">
        <v>201408</v>
      </c>
      <c r="I364" s="15" t="str">
        <f>IFERROR(VLOOKUP(H364,monsters[#All],4,0),"")</f>
        <v>铁针鸟</v>
      </c>
      <c r="J364" s="15" t="str" cm="1">
        <f t="array" ref="J364">_xlfn.LET(_xlpm.v6p,ABS(ATAN2(O364,P364))*6/PI(),
_xlpm.output,_xlfn.IFS(_xlpm.v6p&lt;1,"正前",_xlpm.v6p&gt;5,"正后",AND(_xlpm.v6p&lt;5,_xlpm.v6p&gt;2,P364&lt;-1),"脚底",_xlpm.v6p&gt;4,"后上",_xlpm.v6p&lt;2,"前上",TRUE,"顶部"),
IFERROR(_xlpm.output,""))</f>
        <v>后上</v>
      </c>
      <c r="K364" s="12"/>
      <c r="L364" s="12" t="s">
        <v>63</v>
      </c>
      <c r="M364" s="12" t="s">
        <v>63</v>
      </c>
      <c r="N364" s="19" t="str">
        <f>O364+0&amp;","&amp;P364+0</f>
        <v>-15,10</v>
      </c>
      <c r="O364" s="24">
        <v>-15</v>
      </c>
      <c r="P364" s="24">
        <v>10</v>
      </c>
      <c r="Q364" s="19">
        <f t="shared" si="169"/>
        <v>1</v>
      </c>
      <c r="R364" s="42"/>
      <c r="S364" s="9">
        <v>2</v>
      </c>
      <c r="T364" s="19" t="str">
        <f>IF(U364&lt;&gt;"", U364+0&amp;","&amp;V364+0,"")</f>
        <v>2,3</v>
      </c>
      <c r="U364" s="24">
        <v>2</v>
      </c>
      <c r="V364" s="24">
        <v>3</v>
      </c>
      <c r="W364" s="9">
        <v>0</v>
      </c>
      <c r="X364" s="9">
        <v>11</v>
      </c>
      <c r="Y364" s="19" t="str">
        <f>IF($A364&lt;&gt;"",IF($Z364&lt;&gt;"",$Z364,"0,0"),"")</f>
        <v>-105,-100</v>
      </c>
      <c r="Z364" s="42" t="s">
        <v>133</v>
      </c>
      <c r="AA364" s="19" t="str">
        <f>IF($A364&lt;&gt;"",IF($AB364&lt;&gt;"",$AB364,"80,120"),"")</f>
        <v>80,120</v>
      </c>
      <c r="AC364" s="9">
        <v>0.6</v>
      </c>
      <c r="AD364" s="9">
        <v>0.8</v>
      </c>
      <c r="AE364" s="9">
        <v>0.3</v>
      </c>
      <c r="AF364" s="9">
        <v>3</v>
      </c>
      <c r="AG364" s="9">
        <v>100</v>
      </c>
      <c r="AI364" s="69" cm="1">
        <f t="array" ref="AI364">tuple_avg(T364)/tuple_avg(AA364)</f>
        <v>2.5000000000000001E-2</v>
      </c>
      <c r="AJ364" s="69">
        <f>AC364*AI364*'-配置辅助'!$I$8</f>
        <v>1.5</v>
      </c>
      <c r="AK364" s="69">
        <f>AD364*AI364*'-配置辅助'!$I$10</f>
        <v>0.33333333333333343</v>
      </c>
      <c r="AL364" s="69">
        <f>AJ364*_xlfn.XLOOKUP(H364,monsters[怪物id],monsters[HP],-1)</f>
        <v>-1.5</v>
      </c>
      <c r="AM364" s="69">
        <f>AK364*_xlfn.XLOOKUP(H364,monsters[怪物id],monsters[HP],-1)</f>
        <v>-0.33333333333333343</v>
      </c>
    </row>
    <row r="365" spans="1:41" x14ac:dyDescent="0.2">
      <c r="J365" s="15" t="str" cm="1">
        <f t="array" ref="J365">_xlfn.LET(_xlpm.v6p,ABS(ATAN2(O365,P365))*6/PI(),
_xlpm.output,_xlfn.IFS(_xlpm.v6p&lt;1,"正前",_xlpm.v6p&gt;5,"正后",AND(_xlpm.v6p&lt;5,_xlpm.v6p&gt;2,P365&lt;-1),"脚底",_xlpm.v6p&gt;4,"后上",_xlpm.v6p&lt;2,"前上",TRUE,"顶部"),
IFERROR(_xlpm.output,""))</f>
        <v/>
      </c>
    </row>
    <row r="366" spans="1:41" x14ac:dyDescent="0.2">
      <c r="A366" s="9">
        <v>420413</v>
      </c>
      <c r="B366" s="9" t="str" cm="1">
        <f t="array" ref="B366">D366&amp;_xlfn.TEXTJOIN("",1,TEXT(E366:G366,"00"))</f>
        <v>1030000</v>
      </c>
      <c r="C366" s="30" t="str">
        <f t="shared" ref="C366:C368" si="171">_xlfn.TEXTJOIN(",",1,A366:B366)</f>
        <v>420413,1030000</v>
      </c>
      <c r="D366" s="26">
        <v>1</v>
      </c>
      <c r="E366" s="26">
        <v>3</v>
      </c>
      <c r="F366" s="26">
        <f>W366</f>
        <v>0</v>
      </c>
      <c r="G366" s="26">
        <v>0</v>
      </c>
      <c r="H366" s="9">
        <v>201408</v>
      </c>
      <c r="I366" s="15" t="str">
        <f>IFERROR(VLOOKUP(H366,monsters[#All],4,0),"")</f>
        <v>铁针鸟</v>
      </c>
      <c r="J366" s="15" t="str" cm="1">
        <f t="array" ref="J366">_xlfn.LET(_xlpm.v6p,ABS(ATAN2(O366,P366))*6/PI(),
_xlpm.output,_xlfn.IFS(_xlpm.v6p&lt;1,"正前",_xlpm.v6p&gt;5,"正后",AND(_xlpm.v6p&lt;5,_xlpm.v6p&gt;2,P366&lt;-1),"脚底",_xlpm.v6p&gt;4,"后上",_xlpm.v6p&lt;2,"前上",TRUE,"顶部"),
IFERROR(_xlpm.output,""))</f>
        <v>顶部</v>
      </c>
      <c r="K366" s="12"/>
      <c r="L366" s="12" t="s">
        <v>63</v>
      </c>
      <c r="M366" s="12" t="s">
        <v>63</v>
      </c>
      <c r="N366" s="19" t="str">
        <f>O366+0&amp;","&amp;P366+0</f>
        <v>3,15</v>
      </c>
      <c r="O366" s="24">
        <v>3</v>
      </c>
      <c r="P366" s="24">
        <v>15</v>
      </c>
      <c r="Q366" s="19">
        <f t="shared" ref="Q366:Q368" si="172">_xlfn.LET(_xlpm._default,1,
_xlpm._custom,R366,
IF($A366&lt;&gt;"",IF(_xlpm._custom&lt;&gt;"",_xlpm._custom,_xlpm._default),""))</f>
        <v>1</v>
      </c>
      <c r="S366" s="9">
        <v>1</v>
      </c>
      <c r="T366" s="19" t="str">
        <f>IF(U366&lt;&gt;"", U366+0&amp;","&amp;V366+0,"")</f>
        <v>1,1</v>
      </c>
      <c r="U366" s="24">
        <v>1</v>
      </c>
      <c r="V366" s="24">
        <v>1</v>
      </c>
      <c r="W366" s="9">
        <v>0</v>
      </c>
      <c r="X366" s="9">
        <v>11</v>
      </c>
      <c r="Y366" s="19" t="str">
        <f>IF($A366&lt;&gt;"",IF($Z366&lt;&gt;"",$Z366,"0,0"),"")</f>
        <v>70,75</v>
      </c>
      <c r="Z366" s="24" t="s">
        <v>132</v>
      </c>
      <c r="AA366" s="19" t="str">
        <f>IF($A366&lt;&gt;"",IF($AB366&lt;&gt;"",$AB366,"80,120"),"")</f>
        <v>80,120</v>
      </c>
      <c r="AC366" s="9">
        <v>0.6</v>
      </c>
      <c r="AD366" s="9">
        <v>0.8</v>
      </c>
      <c r="AE366" s="9">
        <v>0.3</v>
      </c>
      <c r="AF366" s="9">
        <v>3</v>
      </c>
      <c r="AG366" s="9">
        <v>100</v>
      </c>
      <c r="AI366" s="69" cm="1">
        <f t="array" ref="AI366">tuple_avg(T366)/tuple_avg(AA366)</f>
        <v>0.01</v>
      </c>
      <c r="AJ366" s="69">
        <f>AC366*AI366*'-配置辅助'!$I$8</f>
        <v>0.6</v>
      </c>
      <c r="AK366" s="69">
        <f>AD366*AI366*'-配置辅助'!$I$10</f>
        <v>0.13333333333333336</v>
      </c>
      <c r="AL366" s="69">
        <f>AJ366*_xlfn.XLOOKUP(H366,monsters[怪物id],monsters[HP],-1)</f>
        <v>-0.6</v>
      </c>
      <c r="AM366" s="69">
        <f>AK366*_xlfn.XLOOKUP(H366,monsters[怪物id],monsters[HP],-1)</f>
        <v>-0.13333333333333336</v>
      </c>
    </row>
    <row r="367" spans="1:41" x14ac:dyDescent="0.2">
      <c r="A367" s="9">
        <v>420413</v>
      </c>
      <c r="B367" s="9" t="str" cm="1">
        <f t="array" ref="B367">D367&amp;_xlfn.TEXTJOIN("",1,TEXT(E367:G367,"00"))</f>
        <v>1030001</v>
      </c>
      <c r="C367" s="30" t="str">
        <f t="shared" si="171"/>
        <v>420413,1030001</v>
      </c>
      <c r="D367" s="26">
        <v>1</v>
      </c>
      <c r="E367" s="26">
        <v>3</v>
      </c>
      <c r="F367" s="26">
        <f>W367</f>
        <v>0</v>
      </c>
      <c r="G367" s="26">
        <v>1</v>
      </c>
      <c r="H367" s="9">
        <v>201408</v>
      </c>
      <c r="I367" s="15" t="str">
        <f>IFERROR(VLOOKUP(H367,monsters[#All],4,0),"")</f>
        <v>铁针鸟</v>
      </c>
      <c r="J367" s="15" t="str" cm="1">
        <f t="array" ref="J367">_xlfn.LET(_xlpm.v6p,ABS(ATAN2(O367,P367))*6/PI(),
_xlpm.output,_xlfn.IFS(_xlpm.v6p&lt;1,"正前",_xlpm.v6p&gt;5,"正后",AND(_xlpm.v6p&lt;5,_xlpm.v6p&gt;2,P367&lt;-1),"脚底",_xlpm.v6p&gt;4,"后上",_xlpm.v6p&lt;2,"前上",TRUE,"顶部"),
IFERROR(_xlpm.output,""))</f>
        <v>顶部</v>
      </c>
      <c r="K367" s="12"/>
      <c r="L367" s="12" t="s">
        <v>63</v>
      </c>
      <c r="M367" s="12" t="s">
        <v>63</v>
      </c>
      <c r="N367" s="19" t="str">
        <f>O367+0&amp;","&amp;P367+0</f>
        <v>3,15</v>
      </c>
      <c r="O367" s="24">
        <v>3</v>
      </c>
      <c r="P367" s="24">
        <v>15</v>
      </c>
      <c r="Q367" s="19">
        <f t="shared" si="172"/>
        <v>1</v>
      </c>
      <c r="S367" s="9">
        <v>2</v>
      </c>
      <c r="T367" s="19" t="str">
        <f>IF(U367&lt;&gt;"", U367+0&amp;","&amp;V367+0,"")</f>
        <v>1,2</v>
      </c>
      <c r="U367" s="24">
        <v>1</v>
      </c>
      <c r="V367" s="24">
        <v>2</v>
      </c>
      <c r="W367" s="9">
        <v>0</v>
      </c>
      <c r="X367" s="9">
        <v>11</v>
      </c>
      <c r="Y367" s="19" t="str">
        <f>IF($A367&lt;&gt;"",IF($Z367&lt;&gt;"",$Z367,"0,0"),"")</f>
        <v>0,0</v>
      </c>
      <c r="AA367" s="19" t="str">
        <f>IF($A367&lt;&gt;"",IF($AB367&lt;&gt;"",$AB367,"80,120"),"")</f>
        <v>80,120</v>
      </c>
      <c r="AC367" s="9">
        <v>0.6</v>
      </c>
      <c r="AD367" s="9">
        <v>0.8</v>
      </c>
      <c r="AE367" s="9">
        <v>0.3</v>
      </c>
      <c r="AF367" s="9">
        <v>3</v>
      </c>
      <c r="AG367" s="9">
        <v>100</v>
      </c>
      <c r="AI367" s="69" cm="1">
        <f t="array" ref="AI367">tuple_avg(T367)/tuple_avg(AA367)</f>
        <v>1.4999999999999999E-2</v>
      </c>
      <c r="AJ367" s="69">
        <f>AC367*AI367*'-配置辅助'!$I$8</f>
        <v>0.89999999999999991</v>
      </c>
      <c r="AK367" s="69">
        <f>AD367*AI367*'-配置辅助'!$I$10</f>
        <v>0.2</v>
      </c>
      <c r="AL367" s="69">
        <f>AJ367*_xlfn.XLOOKUP(H367,monsters[怪物id],monsters[HP],-1)</f>
        <v>-0.89999999999999991</v>
      </c>
      <c r="AM367" s="69">
        <f>AK367*_xlfn.XLOOKUP(H367,monsters[怪物id],monsters[HP],-1)</f>
        <v>-0.2</v>
      </c>
    </row>
    <row r="368" spans="1:41" x14ac:dyDescent="0.2">
      <c r="A368" s="9">
        <v>420413</v>
      </c>
      <c r="B368" s="9" t="str" cm="1">
        <f t="array" ref="B368">D368&amp;_xlfn.TEXTJOIN("",1,TEXT(E368:G368,"00"))</f>
        <v>1030002</v>
      </c>
      <c r="C368" s="30" t="str">
        <f t="shared" si="171"/>
        <v>420413,1030002</v>
      </c>
      <c r="D368" s="26">
        <v>1</v>
      </c>
      <c r="E368" s="26">
        <v>3</v>
      </c>
      <c r="F368" s="26">
        <f>W368</f>
        <v>0</v>
      </c>
      <c r="G368" s="26">
        <v>2</v>
      </c>
      <c r="H368" s="9">
        <v>201408</v>
      </c>
      <c r="I368" s="15" t="str">
        <f>IFERROR(VLOOKUP(H368,monsters[#All],4,0),"")</f>
        <v>铁针鸟</v>
      </c>
      <c r="J368" s="15" t="str" cm="1">
        <f t="array" ref="J368">_xlfn.LET(_xlpm.v6p,ABS(ATAN2(O368,P368))*6/PI(),
_xlpm.output,_xlfn.IFS(_xlpm.v6p&lt;1,"正前",_xlpm.v6p&gt;5,"正后",AND(_xlpm.v6p&lt;5,_xlpm.v6p&gt;2,P368&lt;-1),"脚底",_xlpm.v6p&gt;4,"后上",_xlpm.v6p&lt;2,"前上",TRUE,"顶部"),
IFERROR(_xlpm.output,""))</f>
        <v>顶部</v>
      </c>
      <c r="K368" s="12"/>
      <c r="L368" s="12" t="s">
        <v>63</v>
      </c>
      <c r="M368" s="12" t="s">
        <v>63</v>
      </c>
      <c r="N368" s="19" t="str">
        <f>O368+0&amp;","&amp;P368+0</f>
        <v>3,15</v>
      </c>
      <c r="O368" s="24">
        <v>3</v>
      </c>
      <c r="P368" s="24">
        <v>15</v>
      </c>
      <c r="Q368" s="19">
        <f t="shared" si="172"/>
        <v>1</v>
      </c>
      <c r="R368" s="42"/>
      <c r="S368" s="9">
        <v>2</v>
      </c>
      <c r="T368" s="19" t="str">
        <f>IF(U368&lt;&gt;"", U368+0&amp;","&amp;V368+0,"")</f>
        <v>2,3</v>
      </c>
      <c r="U368" s="24">
        <v>2</v>
      </c>
      <c r="V368" s="24">
        <v>3</v>
      </c>
      <c r="W368" s="9">
        <v>0</v>
      </c>
      <c r="X368" s="9">
        <v>11</v>
      </c>
      <c r="Y368" s="19" t="str">
        <f>IF($A368&lt;&gt;"",IF($Z368&lt;&gt;"",$Z368,"0,0"),"")</f>
        <v>-105,-100</v>
      </c>
      <c r="Z368" s="42" t="s">
        <v>133</v>
      </c>
      <c r="AA368" s="19" t="str">
        <f>IF($A368&lt;&gt;"",IF($AB368&lt;&gt;"",$AB368,"80,120"),"")</f>
        <v>80,120</v>
      </c>
      <c r="AC368" s="9">
        <v>0.6</v>
      </c>
      <c r="AD368" s="9">
        <v>0.8</v>
      </c>
      <c r="AE368" s="9">
        <v>0.3</v>
      </c>
      <c r="AF368" s="9">
        <v>3</v>
      </c>
      <c r="AG368" s="9">
        <v>100</v>
      </c>
      <c r="AI368" s="69" cm="1">
        <f t="array" ref="AI368">tuple_avg(T368)/tuple_avg(AA368)</f>
        <v>2.5000000000000001E-2</v>
      </c>
      <c r="AJ368" s="69">
        <f>AC368*AI368*'-配置辅助'!$I$8</f>
        <v>1.5</v>
      </c>
      <c r="AK368" s="69">
        <f>AD368*AI368*'-配置辅助'!$I$10</f>
        <v>0.33333333333333343</v>
      </c>
      <c r="AL368" s="69">
        <f>AJ368*_xlfn.XLOOKUP(H368,monsters[怪物id],monsters[HP],-1)</f>
        <v>-1.5</v>
      </c>
      <c r="AM368" s="69">
        <f>AK368*_xlfn.XLOOKUP(H368,monsters[怪物id],monsters[HP],-1)</f>
        <v>-0.33333333333333343</v>
      </c>
    </row>
    <row r="371" spans="1:41" s="59" customFormat="1" x14ac:dyDescent="0.2">
      <c r="A371" s="55"/>
      <c r="B371" s="55"/>
      <c r="C371" s="56" t="str">
        <f t="shared" ref="C371" si="173">_xlfn.TEXTJOIN(",",1,A371:B371)</f>
        <v/>
      </c>
      <c r="D371" s="57"/>
      <c r="E371" s="57"/>
      <c r="F371" s="57"/>
      <c r="G371" s="57"/>
      <c r="H371" s="55" t="s">
        <v>237</v>
      </c>
      <c r="I371" s="58"/>
      <c r="J371" s="58"/>
      <c r="O371" s="60"/>
      <c r="P371" s="60"/>
      <c r="R371" s="60"/>
      <c r="S371" s="59" t="s">
        <v>62</v>
      </c>
      <c r="U371" s="60"/>
      <c r="V371" s="60"/>
      <c r="Z371" s="60"/>
      <c r="AB371" s="60"/>
      <c r="AC371" s="59" t="s">
        <v>62</v>
      </c>
      <c r="AI371" s="73"/>
      <c r="AJ371" s="73"/>
      <c r="AK371" s="73"/>
      <c r="AL371" s="73">
        <f>SUM(AL373:AL383)</f>
        <v>-3</v>
      </c>
      <c r="AM371" s="73">
        <f>SUM(AM373:AM383)</f>
        <v>-0.67500000000000004</v>
      </c>
      <c r="AN371" s="73"/>
      <c r="AO371" s="73"/>
    </row>
    <row r="373" spans="1:41" x14ac:dyDescent="0.2">
      <c r="A373" s="9">
        <v>420414</v>
      </c>
      <c r="B373" s="9" t="str" cm="1">
        <f t="array" ref="B373">D373&amp;_xlfn.TEXTJOIN("",1,TEXT(E373:G373,"00"))</f>
        <v>1010000</v>
      </c>
      <c r="C373" s="30" t="str">
        <f t="shared" ref="C373:C375" si="174">_xlfn.TEXTJOIN(",",1,A373:B373)</f>
        <v>420414,1010000</v>
      </c>
      <c r="D373" s="26">
        <v>1</v>
      </c>
      <c r="E373" s="26">
        <v>1</v>
      </c>
      <c r="F373" s="26">
        <f>W373</f>
        <v>0</v>
      </c>
      <c r="G373" s="26">
        <v>0</v>
      </c>
      <c r="H373" s="9">
        <v>201413</v>
      </c>
      <c r="I373" s="15" t="str">
        <f>IFERROR(VLOOKUP(H373,monsters[#All],4,0),"")</f>
        <v>春花雀（蓝）</v>
      </c>
      <c r="J373" s="15" t="str" cm="1">
        <f t="array" ref="J373">_xlfn.LET(_xlpm.v6p,ABS(ATAN2(O373,P373))*6/PI(),
_xlpm.output,_xlfn.IFS(_xlpm.v6p&lt;1,"正前",_xlpm.v6p&gt;5,"正后",AND(_xlpm.v6p&lt;5,_xlpm.v6p&gt;2,P373&lt;-1),"脚底",_xlpm.v6p&gt;4,"后上",_xlpm.v6p&lt;2,"前上",TRUE,"顶部"),
IFERROR(_xlpm.output,""))</f>
        <v>前上</v>
      </c>
      <c r="K373" s="12"/>
      <c r="L373" s="12" t="s">
        <v>63</v>
      </c>
      <c r="M373" s="12" t="s">
        <v>63</v>
      </c>
      <c r="N373" s="19" t="str">
        <f>O373+0&amp;","&amp;P373+0</f>
        <v>15,10</v>
      </c>
      <c r="O373" s="24">
        <v>15</v>
      </c>
      <c r="P373" s="24">
        <v>10</v>
      </c>
      <c r="Q373" s="19">
        <f t="shared" ref="Q373:Q379" si="175">_xlfn.LET(_xlpm._default,1,
_xlpm._custom,R373,
IF($A373&lt;&gt;"",IF(_xlpm._custom&lt;&gt;"",_xlpm._custom,_xlpm._default),""))</f>
        <v>1</v>
      </c>
      <c r="S373" s="9">
        <v>1</v>
      </c>
      <c r="T373" s="19" t="str">
        <f>IF(U373&lt;&gt;"", U373+0&amp;","&amp;V373+0,"")</f>
        <v>1,1</v>
      </c>
      <c r="U373" s="24">
        <v>1</v>
      </c>
      <c r="V373" s="24">
        <v>1</v>
      </c>
      <c r="W373" s="9">
        <v>0</v>
      </c>
      <c r="X373" s="9">
        <v>11</v>
      </c>
      <c r="Y373" s="19" t="str">
        <f>IF($A373&lt;&gt;"",IF($Z373&lt;&gt;"",$Z373,"0,0"),"")</f>
        <v>70,75</v>
      </c>
      <c r="Z373" s="24" t="s">
        <v>132</v>
      </c>
      <c r="AA373" s="19" t="str">
        <f>IF($A373&lt;&gt;"",IF($AB373&lt;&gt;"",$AB373,"80,120"),"")</f>
        <v>80,120</v>
      </c>
      <c r="AC373" s="9">
        <v>0.2</v>
      </c>
      <c r="AD373" s="9">
        <v>0.27</v>
      </c>
      <c r="AE373" s="9">
        <v>0.3</v>
      </c>
      <c r="AF373" s="9">
        <v>3</v>
      </c>
      <c r="AG373" s="9">
        <v>100</v>
      </c>
      <c r="AI373" s="69" cm="1">
        <f t="array" ref="AI373">tuple_avg(T373)/tuple_avg(AA373)</f>
        <v>0.01</v>
      </c>
      <c r="AJ373" s="69">
        <f>AC373*AI373*'-配置辅助'!$I$8</f>
        <v>0.2</v>
      </c>
      <c r="AK373" s="69">
        <f>AD373*AI373*'-配置辅助'!$I$10</f>
        <v>4.5000000000000005E-2</v>
      </c>
      <c r="AL373" s="69">
        <f>AJ373*_xlfn.XLOOKUP(H373,monsters[怪物id],monsters[HP],-1)</f>
        <v>-0.2</v>
      </c>
      <c r="AM373" s="69">
        <f>AK373*_xlfn.XLOOKUP(H373,monsters[怪物id],monsters[HP],-1)</f>
        <v>-4.5000000000000005E-2</v>
      </c>
    </row>
    <row r="374" spans="1:41" x14ac:dyDescent="0.2">
      <c r="A374" s="9">
        <v>420414</v>
      </c>
      <c r="B374" s="9" t="str" cm="1">
        <f t="array" ref="B374">D374&amp;_xlfn.TEXTJOIN("",1,TEXT(E374:G374,"00"))</f>
        <v>1010001</v>
      </c>
      <c r="C374" s="30" t="str">
        <f t="shared" si="174"/>
        <v>420414,1010001</v>
      </c>
      <c r="D374" s="26">
        <v>1</v>
      </c>
      <c r="E374" s="26">
        <v>1</v>
      </c>
      <c r="F374" s="26">
        <f>W374</f>
        <v>0</v>
      </c>
      <c r="G374" s="26">
        <v>1</v>
      </c>
      <c r="H374" s="9">
        <v>201413</v>
      </c>
      <c r="I374" s="15" t="str">
        <f>IFERROR(VLOOKUP(H374,monsters[#All],4,0),"")</f>
        <v>春花雀（蓝）</v>
      </c>
      <c r="J374" s="15" t="str" cm="1">
        <f t="array" ref="J374">_xlfn.LET(_xlpm.v6p,ABS(ATAN2(O374,P374))*6/PI(),
_xlpm.output,_xlfn.IFS(_xlpm.v6p&lt;1,"正前",_xlpm.v6p&gt;5,"正后",AND(_xlpm.v6p&lt;5,_xlpm.v6p&gt;2,P374&lt;-1),"脚底",_xlpm.v6p&gt;4,"后上",_xlpm.v6p&lt;2,"前上",TRUE,"顶部"),
IFERROR(_xlpm.output,""))</f>
        <v>前上</v>
      </c>
      <c r="K374" s="12"/>
      <c r="L374" s="12" t="s">
        <v>63</v>
      </c>
      <c r="M374" s="12" t="s">
        <v>63</v>
      </c>
      <c r="N374" s="19" t="str">
        <f>O374+0&amp;","&amp;P374+0</f>
        <v>15,10</v>
      </c>
      <c r="O374" s="24">
        <v>15</v>
      </c>
      <c r="P374" s="24">
        <v>10</v>
      </c>
      <c r="Q374" s="19">
        <f t="shared" si="175"/>
        <v>1</v>
      </c>
      <c r="S374" s="9">
        <v>2</v>
      </c>
      <c r="T374" s="19" t="str">
        <f>IF(U374&lt;&gt;"", U374+0&amp;","&amp;V374+0,"")</f>
        <v>1,2</v>
      </c>
      <c r="U374" s="24">
        <v>1</v>
      </c>
      <c r="V374" s="24">
        <v>2</v>
      </c>
      <c r="W374" s="9">
        <v>0</v>
      </c>
      <c r="X374" s="9">
        <v>11</v>
      </c>
      <c r="Y374" s="19" t="str">
        <f>IF($A374&lt;&gt;"",IF($Z374&lt;&gt;"",$Z374,"0,0"),"")</f>
        <v>0,0</v>
      </c>
      <c r="AA374" s="19" t="str">
        <f>IF($A374&lt;&gt;"",IF($AB374&lt;&gt;"",$AB374,"80,120"),"")</f>
        <v>80,120</v>
      </c>
      <c r="AC374" s="9">
        <v>0.2</v>
      </c>
      <c r="AD374" s="9">
        <v>0.27</v>
      </c>
      <c r="AE374" s="9">
        <v>0.3</v>
      </c>
      <c r="AF374" s="9">
        <v>3</v>
      </c>
      <c r="AG374" s="9">
        <v>100</v>
      </c>
      <c r="AI374" s="69" cm="1">
        <f t="array" ref="AI374">tuple_avg(T374)/tuple_avg(AA374)</f>
        <v>1.4999999999999999E-2</v>
      </c>
      <c r="AJ374" s="69">
        <f>AC374*AI374*'-配置辅助'!$I$8</f>
        <v>0.3</v>
      </c>
      <c r="AK374" s="69">
        <f>AD374*AI374*'-配置辅助'!$I$10</f>
        <v>6.7500000000000004E-2</v>
      </c>
      <c r="AL374" s="69">
        <f>AJ374*_xlfn.XLOOKUP(H374,monsters[怪物id],monsters[HP],-1)</f>
        <v>-0.3</v>
      </c>
      <c r="AM374" s="69">
        <f>AK374*_xlfn.XLOOKUP(H374,monsters[怪物id],monsters[HP],-1)</f>
        <v>-6.7500000000000004E-2</v>
      </c>
    </row>
    <row r="375" spans="1:41" x14ac:dyDescent="0.2">
      <c r="A375" s="9">
        <v>420414</v>
      </c>
      <c r="B375" s="9" t="str" cm="1">
        <f t="array" ref="B375">D375&amp;_xlfn.TEXTJOIN("",1,TEXT(E375:G375,"00"))</f>
        <v>1010002</v>
      </c>
      <c r="C375" s="30" t="str">
        <f t="shared" si="174"/>
        <v>420414,1010002</v>
      </c>
      <c r="D375" s="26">
        <v>1</v>
      </c>
      <c r="E375" s="26">
        <v>1</v>
      </c>
      <c r="F375" s="26">
        <f>W375</f>
        <v>0</v>
      </c>
      <c r="G375" s="26">
        <v>2</v>
      </c>
      <c r="H375" s="9">
        <v>201413</v>
      </c>
      <c r="I375" s="15" t="str">
        <f>IFERROR(VLOOKUP(H375,monsters[#All],4,0),"")</f>
        <v>春花雀（蓝）</v>
      </c>
      <c r="J375" s="15" t="str" cm="1">
        <f t="array" ref="J375">_xlfn.LET(_xlpm.v6p,ABS(ATAN2(O375,P375))*6/PI(),
_xlpm.output,_xlfn.IFS(_xlpm.v6p&lt;1,"正前",_xlpm.v6p&gt;5,"正后",AND(_xlpm.v6p&lt;5,_xlpm.v6p&gt;2,P375&lt;-1),"脚底",_xlpm.v6p&gt;4,"后上",_xlpm.v6p&lt;2,"前上",TRUE,"顶部"),
IFERROR(_xlpm.output,""))</f>
        <v>前上</v>
      </c>
      <c r="K375" s="12"/>
      <c r="L375" s="12" t="s">
        <v>63</v>
      </c>
      <c r="M375" s="12" t="s">
        <v>63</v>
      </c>
      <c r="N375" s="19" t="str">
        <f>O375+0&amp;","&amp;P375+0</f>
        <v>15,10</v>
      </c>
      <c r="O375" s="24">
        <v>15</v>
      </c>
      <c r="P375" s="24">
        <v>10</v>
      </c>
      <c r="Q375" s="19">
        <f t="shared" si="175"/>
        <v>1</v>
      </c>
      <c r="R375" s="42"/>
      <c r="S375" s="9">
        <v>2</v>
      </c>
      <c r="T375" s="19" t="str">
        <f>IF(U375&lt;&gt;"", U375+0&amp;","&amp;V375+0,"")</f>
        <v>2,3</v>
      </c>
      <c r="U375" s="24">
        <v>2</v>
      </c>
      <c r="V375" s="24">
        <v>3</v>
      </c>
      <c r="W375" s="9">
        <v>0</v>
      </c>
      <c r="X375" s="9">
        <v>11</v>
      </c>
      <c r="Y375" s="19" t="str">
        <f>IF($A375&lt;&gt;"",IF($Z375&lt;&gt;"",$Z375,"0,0"),"")</f>
        <v>-105,-100</v>
      </c>
      <c r="Z375" s="42" t="s">
        <v>133</v>
      </c>
      <c r="AA375" s="19" t="str">
        <f>IF($A375&lt;&gt;"",IF($AB375&lt;&gt;"",$AB375,"80,120"),"")</f>
        <v>80,120</v>
      </c>
      <c r="AC375" s="9">
        <v>0.2</v>
      </c>
      <c r="AD375" s="9">
        <v>0.27</v>
      </c>
      <c r="AE375" s="9">
        <v>0.3</v>
      </c>
      <c r="AF375" s="9">
        <v>3</v>
      </c>
      <c r="AG375" s="9">
        <v>100</v>
      </c>
      <c r="AI375" s="69" cm="1">
        <f t="array" ref="AI375">tuple_avg(T375)/tuple_avg(AA375)</f>
        <v>2.5000000000000001E-2</v>
      </c>
      <c r="AJ375" s="69">
        <f>AC375*AI375*'-配置辅助'!$I$8</f>
        <v>0.50000000000000011</v>
      </c>
      <c r="AK375" s="69">
        <f>AD375*AI375*'-配置辅助'!$I$10</f>
        <v>0.11250000000000002</v>
      </c>
      <c r="AL375" s="69">
        <f>AJ375*_xlfn.XLOOKUP(H375,monsters[怪物id],monsters[HP],-1)</f>
        <v>-0.50000000000000011</v>
      </c>
      <c r="AM375" s="69">
        <f>AK375*_xlfn.XLOOKUP(H375,monsters[怪物id],monsters[HP],-1)</f>
        <v>-0.11250000000000002</v>
      </c>
    </row>
    <row r="376" spans="1:41" x14ac:dyDescent="0.2">
      <c r="J376" s="15" t="str" cm="1">
        <f t="array" ref="J376">_xlfn.LET(_xlpm.v6p,ABS(ATAN2(O376,P376))*6/PI(),
_xlpm.output,_xlfn.IFS(_xlpm.v6p&lt;1,"正前",_xlpm.v6p&gt;5,"正后",AND(_xlpm.v6p&lt;5,_xlpm.v6p&gt;2,P376&lt;-1),"脚底",_xlpm.v6p&gt;4,"后上",_xlpm.v6p&lt;2,"前上",TRUE,"顶部"),
IFERROR(_xlpm.output,""))</f>
        <v/>
      </c>
      <c r="Q376" s="19" t="str">
        <f t="shared" si="175"/>
        <v/>
      </c>
    </row>
    <row r="377" spans="1:41" x14ac:dyDescent="0.2">
      <c r="A377" s="9">
        <v>420414</v>
      </c>
      <c r="B377" s="9" t="str" cm="1">
        <f t="array" ref="B377">D377&amp;_xlfn.TEXTJOIN("",1,TEXT(E377:G377,"00"))</f>
        <v>1020000</v>
      </c>
      <c r="C377" s="30" t="str">
        <f t="shared" ref="C377:C379" si="176">_xlfn.TEXTJOIN(",",1,A377:B377)</f>
        <v>420414,1020000</v>
      </c>
      <c r="D377" s="26">
        <v>1</v>
      </c>
      <c r="E377" s="26">
        <v>2</v>
      </c>
      <c r="F377" s="26">
        <f>W377</f>
        <v>0</v>
      </c>
      <c r="G377" s="26">
        <v>0</v>
      </c>
      <c r="H377" s="9">
        <v>201413</v>
      </c>
      <c r="I377" s="15" t="str">
        <f>IFERROR(VLOOKUP(H377,monsters[#All],4,0),"")</f>
        <v>春花雀（蓝）</v>
      </c>
      <c r="J377" s="15" t="str" cm="1">
        <f t="array" ref="J377">_xlfn.LET(_xlpm.v6p,ABS(ATAN2(O377,P377))*6/PI(),
_xlpm.output,_xlfn.IFS(_xlpm.v6p&lt;1,"正前",_xlpm.v6p&gt;5,"正后",AND(_xlpm.v6p&lt;5,_xlpm.v6p&gt;2,P377&lt;-1),"脚底",_xlpm.v6p&gt;4,"后上",_xlpm.v6p&lt;2,"前上",TRUE,"顶部"),
IFERROR(_xlpm.output,""))</f>
        <v>后上</v>
      </c>
      <c r="K377" s="12"/>
      <c r="L377" s="12" t="s">
        <v>63</v>
      </c>
      <c r="M377" s="12" t="s">
        <v>63</v>
      </c>
      <c r="N377" s="19" t="str">
        <f>O377+0&amp;","&amp;P377+0</f>
        <v>-15,10</v>
      </c>
      <c r="O377" s="24">
        <v>-15</v>
      </c>
      <c r="P377" s="24">
        <v>10</v>
      </c>
      <c r="Q377" s="19">
        <f t="shared" si="175"/>
        <v>1</v>
      </c>
      <c r="S377" s="9">
        <v>1</v>
      </c>
      <c r="T377" s="19" t="str">
        <f>IF(U377&lt;&gt;"", U377+0&amp;","&amp;V377+0,"")</f>
        <v>1,1</v>
      </c>
      <c r="U377" s="24">
        <v>1</v>
      </c>
      <c r="V377" s="24">
        <v>1</v>
      </c>
      <c r="W377" s="9">
        <v>0</v>
      </c>
      <c r="X377" s="9">
        <v>11</v>
      </c>
      <c r="Y377" s="19" t="str">
        <f>IF($A377&lt;&gt;"",IF($Z377&lt;&gt;"",$Z377,"0,0"),"")</f>
        <v>70,75</v>
      </c>
      <c r="Z377" s="24" t="s">
        <v>132</v>
      </c>
      <c r="AA377" s="19" t="str">
        <f>IF($A377&lt;&gt;"",IF($AB377&lt;&gt;"",$AB377,"80,120"),"")</f>
        <v>80,120</v>
      </c>
      <c r="AC377" s="9">
        <v>0.2</v>
      </c>
      <c r="AD377" s="9">
        <v>0.27</v>
      </c>
      <c r="AE377" s="9">
        <v>0.3</v>
      </c>
      <c r="AF377" s="9">
        <v>3</v>
      </c>
      <c r="AG377" s="9">
        <v>100</v>
      </c>
      <c r="AI377" s="69" cm="1">
        <f t="array" ref="AI377">tuple_avg(T377)/tuple_avg(AA377)</f>
        <v>0.01</v>
      </c>
      <c r="AJ377" s="69">
        <f>AC377*AI377*'-配置辅助'!$I$8</f>
        <v>0.2</v>
      </c>
      <c r="AK377" s="69">
        <f>AD377*AI377*'-配置辅助'!$I$10</f>
        <v>4.5000000000000005E-2</v>
      </c>
      <c r="AL377" s="69">
        <f>AJ377*_xlfn.XLOOKUP(H377,monsters[怪物id],monsters[HP],-1)</f>
        <v>-0.2</v>
      </c>
      <c r="AM377" s="69">
        <f>AK377*_xlfn.XLOOKUP(H377,monsters[怪物id],monsters[HP],-1)</f>
        <v>-4.5000000000000005E-2</v>
      </c>
    </row>
    <row r="378" spans="1:41" x14ac:dyDescent="0.2">
      <c r="A378" s="9">
        <v>420414</v>
      </c>
      <c r="B378" s="9" t="str" cm="1">
        <f t="array" ref="B378">D378&amp;_xlfn.TEXTJOIN("",1,TEXT(E378:G378,"00"))</f>
        <v>1020001</v>
      </c>
      <c r="C378" s="30" t="str">
        <f t="shared" si="176"/>
        <v>420414,1020001</v>
      </c>
      <c r="D378" s="26">
        <v>1</v>
      </c>
      <c r="E378" s="26">
        <v>2</v>
      </c>
      <c r="F378" s="26">
        <f>W378</f>
        <v>0</v>
      </c>
      <c r="G378" s="26">
        <v>1</v>
      </c>
      <c r="H378" s="9">
        <v>201413</v>
      </c>
      <c r="I378" s="15" t="str">
        <f>IFERROR(VLOOKUP(H378,monsters[#All],4,0),"")</f>
        <v>春花雀（蓝）</v>
      </c>
      <c r="J378" s="15" t="str" cm="1">
        <f t="array" ref="J378">_xlfn.LET(_xlpm.v6p,ABS(ATAN2(O378,P378))*6/PI(),
_xlpm.output,_xlfn.IFS(_xlpm.v6p&lt;1,"正前",_xlpm.v6p&gt;5,"正后",AND(_xlpm.v6p&lt;5,_xlpm.v6p&gt;2,P378&lt;-1),"脚底",_xlpm.v6p&gt;4,"后上",_xlpm.v6p&lt;2,"前上",TRUE,"顶部"),
IFERROR(_xlpm.output,""))</f>
        <v>后上</v>
      </c>
      <c r="K378" s="12"/>
      <c r="L378" s="12" t="s">
        <v>63</v>
      </c>
      <c r="M378" s="12" t="s">
        <v>63</v>
      </c>
      <c r="N378" s="19" t="str">
        <f>O378+0&amp;","&amp;P378+0</f>
        <v>-15,10</v>
      </c>
      <c r="O378" s="24">
        <v>-15</v>
      </c>
      <c r="P378" s="24">
        <v>10</v>
      </c>
      <c r="Q378" s="19">
        <f t="shared" si="175"/>
        <v>1</v>
      </c>
      <c r="S378" s="9">
        <v>2</v>
      </c>
      <c r="T378" s="19" t="str">
        <f>IF(U378&lt;&gt;"", U378+0&amp;","&amp;V378+0,"")</f>
        <v>1,2</v>
      </c>
      <c r="U378" s="24">
        <v>1</v>
      </c>
      <c r="V378" s="24">
        <v>2</v>
      </c>
      <c r="W378" s="9">
        <v>0</v>
      </c>
      <c r="X378" s="9">
        <v>11</v>
      </c>
      <c r="Y378" s="19" t="str">
        <f>IF($A378&lt;&gt;"",IF($Z378&lt;&gt;"",$Z378,"0,0"),"")</f>
        <v>0,0</v>
      </c>
      <c r="AA378" s="19" t="str">
        <f>IF($A378&lt;&gt;"",IF($AB378&lt;&gt;"",$AB378,"80,120"),"")</f>
        <v>80,120</v>
      </c>
      <c r="AC378" s="9">
        <v>0.2</v>
      </c>
      <c r="AD378" s="9">
        <v>0.27</v>
      </c>
      <c r="AE378" s="9">
        <v>0.3</v>
      </c>
      <c r="AF378" s="9">
        <v>3</v>
      </c>
      <c r="AG378" s="9">
        <v>100</v>
      </c>
      <c r="AI378" s="69" cm="1">
        <f t="array" ref="AI378">tuple_avg(T378)/tuple_avg(AA378)</f>
        <v>1.4999999999999999E-2</v>
      </c>
      <c r="AJ378" s="69">
        <f>AC378*AI378*'-配置辅助'!$I$8</f>
        <v>0.3</v>
      </c>
      <c r="AK378" s="69">
        <f>AD378*AI378*'-配置辅助'!$I$10</f>
        <v>6.7500000000000004E-2</v>
      </c>
      <c r="AL378" s="69">
        <f>AJ378*_xlfn.XLOOKUP(H378,monsters[怪物id],monsters[HP],-1)</f>
        <v>-0.3</v>
      </c>
      <c r="AM378" s="69">
        <f>AK378*_xlfn.XLOOKUP(H378,monsters[怪物id],monsters[HP],-1)</f>
        <v>-6.7500000000000004E-2</v>
      </c>
    </row>
    <row r="379" spans="1:41" x14ac:dyDescent="0.2">
      <c r="A379" s="9">
        <v>420414</v>
      </c>
      <c r="B379" s="9" t="str" cm="1">
        <f t="array" ref="B379">D379&amp;_xlfn.TEXTJOIN("",1,TEXT(E379:G379,"00"))</f>
        <v>1020002</v>
      </c>
      <c r="C379" s="30" t="str">
        <f t="shared" si="176"/>
        <v>420414,1020002</v>
      </c>
      <c r="D379" s="26">
        <v>1</v>
      </c>
      <c r="E379" s="26">
        <v>2</v>
      </c>
      <c r="F379" s="26">
        <f>W379</f>
        <v>0</v>
      </c>
      <c r="G379" s="26">
        <v>2</v>
      </c>
      <c r="H379" s="9">
        <v>201413</v>
      </c>
      <c r="I379" s="15" t="str">
        <f>IFERROR(VLOOKUP(H379,monsters[#All],4,0),"")</f>
        <v>春花雀（蓝）</v>
      </c>
      <c r="J379" s="15" t="str" cm="1">
        <f t="array" ref="J379">_xlfn.LET(_xlpm.v6p,ABS(ATAN2(O379,P379))*6/PI(),
_xlpm.output,_xlfn.IFS(_xlpm.v6p&lt;1,"正前",_xlpm.v6p&gt;5,"正后",AND(_xlpm.v6p&lt;5,_xlpm.v6p&gt;2,P379&lt;-1),"脚底",_xlpm.v6p&gt;4,"后上",_xlpm.v6p&lt;2,"前上",TRUE,"顶部"),
IFERROR(_xlpm.output,""))</f>
        <v>后上</v>
      </c>
      <c r="K379" s="12"/>
      <c r="L379" s="12" t="s">
        <v>63</v>
      </c>
      <c r="M379" s="12" t="s">
        <v>63</v>
      </c>
      <c r="N379" s="19" t="str">
        <f>O379+0&amp;","&amp;P379+0</f>
        <v>-15,10</v>
      </c>
      <c r="O379" s="24">
        <v>-15</v>
      </c>
      <c r="P379" s="24">
        <v>10</v>
      </c>
      <c r="Q379" s="19">
        <f t="shared" si="175"/>
        <v>1</v>
      </c>
      <c r="R379" s="42"/>
      <c r="S379" s="9">
        <v>2</v>
      </c>
      <c r="T379" s="19" t="str">
        <f>IF(U379&lt;&gt;"", U379+0&amp;","&amp;V379+0,"")</f>
        <v>2,3</v>
      </c>
      <c r="U379" s="24">
        <v>2</v>
      </c>
      <c r="V379" s="24">
        <v>3</v>
      </c>
      <c r="W379" s="9">
        <v>0</v>
      </c>
      <c r="X379" s="9">
        <v>11</v>
      </c>
      <c r="Y379" s="19" t="str">
        <f>IF($A379&lt;&gt;"",IF($Z379&lt;&gt;"",$Z379,"0,0"),"")</f>
        <v>-105,-100</v>
      </c>
      <c r="Z379" s="42" t="s">
        <v>133</v>
      </c>
      <c r="AA379" s="19" t="str">
        <f>IF($A379&lt;&gt;"",IF($AB379&lt;&gt;"",$AB379,"80,120"),"")</f>
        <v>80,120</v>
      </c>
      <c r="AC379" s="9">
        <v>0.2</v>
      </c>
      <c r="AD379" s="9">
        <v>0.27</v>
      </c>
      <c r="AE379" s="9">
        <v>0.3</v>
      </c>
      <c r="AF379" s="9">
        <v>3</v>
      </c>
      <c r="AG379" s="9">
        <v>100</v>
      </c>
      <c r="AI379" s="69" cm="1">
        <f t="array" ref="AI379">tuple_avg(T379)/tuple_avg(AA379)</f>
        <v>2.5000000000000001E-2</v>
      </c>
      <c r="AJ379" s="69">
        <f>AC379*AI379*'-配置辅助'!$I$8</f>
        <v>0.50000000000000011</v>
      </c>
      <c r="AK379" s="69">
        <f>AD379*AI379*'-配置辅助'!$I$10</f>
        <v>0.11250000000000002</v>
      </c>
      <c r="AL379" s="69">
        <f>AJ379*_xlfn.XLOOKUP(H379,monsters[怪物id],monsters[HP],-1)</f>
        <v>-0.50000000000000011</v>
      </c>
      <c r="AM379" s="69">
        <f>AK379*_xlfn.XLOOKUP(H379,monsters[怪物id],monsters[HP],-1)</f>
        <v>-0.11250000000000002</v>
      </c>
    </row>
    <row r="380" spans="1:41" x14ac:dyDescent="0.2">
      <c r="J380" s="15" t="str" cm="1">
        <f t="array" ref="J380">_xlfn.LET(_xlpm.v6p,ABS(ATAN2(O380,P380))*6/PI(),
_xlpm.output,_xlfn.IFS(_xlpm.v6p&lt;1,"正前",_xlpm.v6p&gt;5,"正后",AND(_xlpm.v6p&lt;5,_xlpm.v6p&gt;2,P380&lt;-1),"脚底",_xlpm.v6p&gt;4,"后上",_xlpm.v6p&lt;2,"前上",TRUE,"顶部"),
IFERROR(_xlpm.output,""))</f>
        <v/>
      </c>
    </row>
    <row r="381" spans="1:41" x14ac:dyDescent="0.2">
      <c r="A381" s="9">
        <v>420414</v>
      </c>
      <c r="B381" s="9" t="str" cm="1">
        <f t="array" ref="B381">D381&amp;_xlfn.TEXTJOIN("",1,TEXT(E381:G381,"00"))</f>
        <v>1030000</v>
      </c>
      <c r="C381" s="30" t="str">
        <f t="shared" ref="C381:C383" si="177">_xlfn.TEXTJOIN(",",1,A381:B381)</f>
        <v>420414,1030000</v>
      </c>
      <c r="D381" s="26">
        <v>1</v>
      </c>
      <c r="E381" s="26">
        <v>3</v>
      </c>
      <c r="F381" s="26">
        <f>W381</f>
        <v>0</v>
      </c>
      <c r="G381" s="26">
        <v>0</v>
      </c>
      <c r="H381" s="9">
        <v>201413</v>
      </c>
      <c r="I381" s="15" t="str">
        <f>IFERROR(VLOOKUP(H381,monsters[#All],4,0),"")</f>
        <v>春花雀（蓝）</v>
      </c>
      <c r="J381" s="15" t="str" cm="1">
        <f t="array" ref="J381">_xlfn.LET(_xlpm.v6p,ABS(ATAN2(O381,P381))*6/PI(),
_xlpm.output,_xlfn.IFS(_xlpm.v6p&lt;1,"正前",_xlpm.v6p&gt;5,"正后",AND(_xlpm.v6p&lt;5,_xlpm.v6p&gt;2,P381&lt;-1),"脚底",_xlpm.v6p&gt;4,"后上",_xlpm.v6p&lt;2,"前上",TRUE,"顶部"),
IFERROR(_xlpm.output,""))</f>
        <v>顶部</v>
      </c>
      <c r="K381" s="12"/>
      <c r="L381" s="12" t="s">
        <v>63</v>
      </c>
      <c r="M381" s="12" t="s">
        <v>63</v>
      </c>
      <c r="N381" s="19" t="str">
        <f>O381+0&amp;","&amp;P381+0</f>
        <v>3,15</v>
      </c>
      <c r="O381" s="24">
        <v>3</v>
      </c>
      <c r="P381" s="24">
        <v>15</v>
      </c>
      <c r="Q381" s="19">
        <f t="shared" ref="Q381:Q383" si="178">_xlfn.LET(_xlpm._default,1,
_xlpm._custom,R381,
IF($A381&lt;&gt;"",IF(_xlpm._custom&lt;&gt;"",_xlpm._custom,_xlpm._default),""))</f>
        <v>1</v>
      </c>
      <c r="S381" s="9">
        <v>1</v>
      </c>
      <c r="T381" s="19" t="str">
        <f>IF(U381&lt;&gt;"", U381+0&amp;","&amp;V381+0,"")</f>
        <v>1,1</v>
      </c>
      <c r="U381" s="24">
        <v>1</v>
      </c>
      <c r="V381" s="24">
        <v>1</v>
      </c>
      <c r="W381" s="9">
        <v>0</v>
      </c>
      <c r="X381" s="9">
        <v>11</v>
      </c>
      <c r="Y381" s="19" t="str">
        <f>IF($A381&lt;&gt;"",IF($Z381&lt;&gt;"",$Z381,"0,0"),"")</f>
        <v>70,75</v>
      </c>
      <c r="Z381" s="24" t="s">
        <v>132</v>
      </c>
      <c r="AA381" s="19" t="str">
        <f>IF($A381&lt;&gt;"",IF($AB381&lt;&gt;"",$AB381,"80,120"),"")</f>
        <v>80,120</v>
      </c>
      <c r="AC381" s="9">
        <v>0.2</v>
      </c>
      <c r="AD381" s="9">
        <v>0.27</v>
      </c>
      <c r="AE381" s="9">
        <v>0.3</v>
      </c>
      <c r="AF381" s="9">
        <v>3</v>
      </c>
      <c r="AG381" s="9">
        <v>100</v>
      </c>
      <c r="AI381" s="69" cm="1">
        <f t="array" ref="AI381">tuple_avg(T381)/tuple_avg(AA381)</f>
        <v>0.01</v>
      </c>
      <c r="AJ381" s="69">
        <f>AC381*AI381*'-配置辅助'!$I$8</f>
        <v>0.2</v>
      </c>
      <c r="AK381" s="69">
        <f>AD381*AI381*'-配置辅助'!$I$10</f>
        <v>4.5000000000000005E-2</v>
      </c>
      <c r="AL381" s="69">
        <f>AJ381*_xlfn.XLOOKUP(H381,monsters[怪物id],monsters[HP],-1)</f>
        <v>-0.2</v>
      </c>
      <c r="AM381" s="69">
        <f>AK381*_xlfn.XLOOKUP(H381,monsters[怪物id],monsters[HP],-1)</f>
        <v>-4.5000000000000005E-2</v>
      </c>
    </row>
    <row r="382" spans="1:41" x14ac:dyDescent="0.2">
      <c r="A382" s="9">
        <v>420414</v>
      </c>
      <c r="B382" s="9" t="str" cm="1">
        <f t="array" ref="B382">D382&amp;_xlfn.TEXTJOIN("",1,TEXT(E382:G382,"00"))</f>
        <v>1030001</v>
      </c>
      <c r="C382" s="30" t="str">
        <f t="shared" si="177"/>
        <v>420414,1030001</v>
      </c>
      <c r="D382" s="26">
        <v>1</v>
      </c>
      <c r="E382" s="26">
        <v>3</v>
      </c>
      <c r="F382" s="26">
        <f>W382</f>
        <v>0</v>
      </c>
      <c r="G382" s="26">
        <v>1</v>
      </c>
      <c r="H382" s="9">
        <v>201413</v>
      </c>
      <c r="I382" s="15" t="str">
        <f>IFERROR(VLOOKUP(H382,monsters[#All],4,0),"")</f>
        <v>春花雀（蓝）</v>
      </c>
      <c r="J382" s="15" t="str" cm="1">
        <f t="array" ref="J382">_xlfn.LET(_xlpm.v6p,ABS(ATAN2(O382,P382))*6/PI(),
_xlpm.output,_xlfn.IFS(_xlpm.v6p&lt;1,"正前",_xlpm.v6p&gt;5,"正后",AND(_xlpm.v6p&lt;5,_xlpm.v6p&gt;2,P382&lt;-1),"脚底",_xlpm.v6p&gt;4,"后上",_xlpm.v6p&lt;2,"前上",TRUE,"顶部"),
IFERROR(_xlpm.output,""))</f>
        <v>顶部</v>
      </c>
      <c r="K382" s="12"/>
      <c r="L382" s="12" t="s">
        <v>63</v>
      </c>
      <c r="M382" s="12" t="s">
        <v>63</v>
      </c>
      <c r="N382" s="19" t="str">
        <f>O382+0&amp;","&amp;P382+0</f>
        <v>3,15</v>
      </c>
      <c r="O382" s="24">
        <v>3</v>
      </c>
      <c r="P382" s="24">
        <v>15</v>
      </c>
      <c r="Q382" s="19">
        <f t="shared" si="178"/>
        <v>1</v>
      </c>
      <c r="S382" s="9">
        <v>2</v>
      </c>
      <c r="T382" s="19" t="str">
        <f>IF(U382&lt;&gt;"", U382+0&amp;","&amp;V382+0,"")</f>
        <v>1,2</v>
      </c>
      <c r="U382" s="24">
        <v>1</v>
      </c>
      <c r="V382" s="24">
        <v>2</v>
      </c>
      <c r="W382" s="9">
        <v>0</v>
      </c>
      <c r="X382" s="9">
        <v>11</v>
      </c>
      <c r="Y382" s="19" t="str">
        <f>IF($A382&lt;&gt;"",IF($Z382&lt;&gt;"",$Z382,"0,0"),"")</f>
        <v>0,0</v>
      </c>
      <c r="AA382" s="19" t="str">
        <f>IF($A382&lt;&gt;"",IF($AB382&lt;&gt;"",$AB382,"80,120"),"")</f>
        <v>80,120</v>
      </c>
      <c r="AC382" s="9">
        <v>0.2</v>
      </c>
      <c r="AD382" s="9">
        <v>0.27</v>
      </c>
      <c r="AE382" s="9">
        <v>0.3</v>
      </c>
      <c r="AF382" s="9">
        <v>3</v>
      </c>
      <c r="AG382" s="9">
        <v>100</v>
      </c>
      <c r="AI382" s="69" cm="1">
        <f t="array" ref="AI382">tuple_avg(T382)/tuple_avg(AA382)</f>
        <v>1.4999999999999999E-2</v>
      </c>
      <c r="AJ382" s="69">
        <f>AC382*AI382*'-配置辅助'!$I$8</f>
        <v>0.3</v>
      </c>
      <c r="AK382" s="69">
        <f>AD382*AI382*'-配置辅助'!$I$10</f>
        <v>6.7500000000000004E-2</v>
      </c>
      <c r="AL382" s="69">
        <f>AJ382*_xlfn.XLOOKUP(H382,monsters[怪物id],monsters[HP],-1)</f>
        <v>-0.3</v>
      </c>
      <c r="AM382" s="69">
        <f>AK382*_xlfn.XLOOKUP(H382,monsters[怪物id],monsters[HP],-1)</f>
        <v>-6.7500000000000004E-2</v>
      </c>
    </row>
    <row r="383" spans="1:41" x14ac:dyDescent="0.2">
      <c r="A383" s="9">
        <v>420414</v>
      </c>
      <c r="B383" s="9" t="str" cm="1">
        <f t="array" ref="B383">D383&amp;_xlfn.TEXTJOIN("",1,TEXT(E383:G383,"00"))</f>
        <v>1030002</v>
      </c>
      <c r="C383" s="30" t="str">
        <f t="shared" si="177"/>
        <v>420414,1030002</v>
      </c>
      <c r="D383" s="26">
        <v>1</v>
      </c>
      <c r="E383" s="26">
        <v>3</v>
      </c>
      <c r="F383" s="26">
        <f>W383</f>
        <v>0</v>
      </c>
      <c r="G383" s="26">
        <v>2</v>
      </c>
      <c r="H383" s="9">
        <v>201413</v>
      </c>
      <c r="I383" s="15" t="str">
        <f>IFERROR(VLOOKUP(H383,monsters[#All],4,0),"")</f>
        <v>春花雀（蓝）</v>
      </c>
      <c r="J383" s="15" t="str" cm="1">
        <f t="array" ref="J383">_xlfn.LET(_xlpm.v6p,ABS(ATAN2(O383,P383))*6/PI(),
_xlpm.output,_xlfn.IFS(_xlpm.v6p&lt;1,"正前",_xlpm.v6p&gt;5,"正后",AND(_xlpm.v6p&lt;5,_xlpm.v6p&gt;2,P383&lt;-1),"脚底",_xlpm.v6p&gt;4,"后上",_xlpm.v6p&lt;2,"前上",TRUE,"顶部"),
IFERROR(_xlpm.output,""))</f>
        <v>顶部</v>
      </c>
      <c r="K383" s="12"/>
      <c r="L383" s="12" t="s">
        <v>63</v>
      </c>
      <c r="M383" s="12" t="s">
        <v>63</v>
      </c>
      <c r="N383" s="19" t="str">
        <f>O383+0&amp;","&amp;P383+0</f>
        <v>3,15</v>
      </c>
      <c r="O383" s="24">
        <v>3</v>
      </c>
      <c r="P383" s="24">
        <v>15</v>
      </c>
      <c r="Q383" s="19">
        <f t="shared" si="178"/>
        <v>1</v>
      </c>
      <c r="R383" s="42"/>
      <c r="S383" s="9">
        <v>2</v>
      </c>
      <c r="T383" s="19" t="str">
        <f>IF(U383&lt;&gt;"", U383+0&amp;","&amp;V383+0,"")</f>
        <v>2,3</v>
      </c>
      <c r="U383" s="24">
        <v>2</v>
      </c>
      <c r="V383" s="24">
        <v>3</v>
      </c>
      <c r="W383" s="9">
        <v>0</v>
      </c>
      <c r="X383" s="9">
        <v>11</v>
      </c>
      <c r="Y383" s="19" t="str">
        <f>IF($A383&lt;&gt;"",IF($Z383&lt;&gt;"",$Z383,"0,0"),"")</f>
        <v>-105,-100</v>
      </c>
      <c r="Z383" s="42" t="s">
        <v>133</v>
      </c>
      <c r="AA383" s="19" t="str">
        <f>IF($A383&lt;&gt;"",IF($AB383&lt;&gt;"",$AB383,"80,120"),"")</f>
        <v>80,120</v>
      </c>
      <c r="AC383" s="9">
        <v>0.2</v>
      </c>
      <c r="AD383" s="9">
        <v>0.27</v>
      </c>
      <c r="AE383" s="9">
        <v>0.3</v>
      </c>
      <c r="AF383" s="9">
        <v>3</v>
      </c>
      <c r="AG383" s="9">
        <v>100</v>
      </c>
      <c r="AI383" s="69" cm="1">
        <f t="array" ref="AI383">tuple_avg(T383)/tuple_avg(AA383)</f>
        <v>2.5000000000000001E-2</v>
      </c>
      <c r="AJ383" s="69">
        <f>AC383*AI383*'-配置辅助'!$I$8</f>
        <v>0.50000000000000011</v>
      </c>
      <c r="AK383" s="69">
        <f>AD383*AI383*'-配置辅助'!$I$10</f>
        <v>0.11250000000000002</v>
      </c>
      <c r="AL383" s="69">
        <f>AJ383*_xlfn.XLOOKUP(H383,monsters[怪物id],monsters[HP],-1)</f>
        <v>-0.50000000000000011</v>
      </c>
      <c r="AM383" s="69">
        <f>AK383*_xlfn.XLOOKUP(H383,monsters[怪物id],monsters[HP],-1)</f>
        <v>-0.11250000000000002</v>
      </c>
    </row>
    <row r="385" spans="1:39" x14ac:dyDescent="0.2">
      <c r="A385" s="9">
        <v>420414</v>
      </c>
      <c r="B385" s="9" t="str" cm="1">
        <f t="array" ref="B385">D385&amp;_xlfn.TEXTJOIN("",1,TEXT(E385:G385,"00"))</f>
        <v>2010000</v>
      </c>
      <c r="C385" s="30" t="str">
        <f t="shared" ref="C385:C387" si="179">_xlfn.TEXTJOIN(",",1,A385:B385)</f>
        <v>420414,2010000</v>
      </c>
      <c r="D385" s="26">
        <v>2</v>
      </c>
      <c r="E385" s="26">
        <v>1</v>
      </c>
      <c r="F385" s="26">
        <f>W385</f>
        <v>0</v>
      </c>
      <c r="G385" s="26">
        <v>0</v>
      </c>
      <c r="H385" s="9">
        <v>201414</v>
      </c>
      <c r="I385" s="15" t="str">
        <f>IFERROR(VLOOKUP(H385,monsters[#All],4,0),"")</f>
        <v>春花雀（红）</v>
      </c>
      <c r="J385" s="15" t="str" cm="1">
        <f t="array" ref="J385">_xlfn.LET(_xlpm.v6p,ABS(ATAN2(O385,P385))*6/PI(),
_xlpm.output,_xlfn.IFS(_xlpm.v6p&lt;1,"正前",_xlpm.v6p&gt;5,"正后",AND(_xlpm.v6p&lt;5,_xlpm.v6p&gt;2,P385&lt;-1),"脚底",_xlpm.v6p&gt;4,"后上",_xlpm.v6p&lt;2,"前上",TRUE,"顶部"),
IFERROR(_xlpm.output,""))</f>
        <v>前上</v>
      </c>
      <c r="K385" s="12"/>
      <c r="L385" s="12" t="s">
        <v>63</v>
      </c>
      <c r="M385" s="12" t="s">
        <v>63</v>
      </c>
      <c r="N385" s="19" t="str">
        <f>O385+0&amp;","&amp;P385+0</f>
        <v>15,10</v>
      </c>
      <c r="O385" s="24">
        <v>15</v>
      </c>
      <c r="P385" s="24">
        <v>10</v>
      </c>
      <c r="Q385" s="19">
        <f t="shared" ref="Q385:Q391" si="180">_xlfn.LET(_xlpm._default,1,
_xlpm._custom,R385,
IF($A385&lt;&gt;"",IF(_xlpm._custom&lt;&gt;"",_xlpm._custom,_xlpm._default),""))</f>
        <v>1</v>
      </c>
      <c r="S385" s="9">
        <v>1</v>
      </c>
      <c r="T385" s="19" t="str">
        <f>IF(U385&lt;&gt;"", U385+0&amp;","&amp;V385+0,"")</f>
        <v>1,1</v>
      </c>
      <c r="U385" s="24">
        <v>1</v>
      </c>
      <c r="V385" s="24">
        <v>1</v>
      </c>
      <c r="W385" s="9">
        <v>0</v>
      </c>
      <c r="X385" s="9">
        <v>11</v>
      </c>
      <c r="Y385" s="19" t="str">
        <f>IF($A385&lt;&gt;"",IF($Z385&lt;&gt;"",$Z385,"0,0"),"")</f>
        <v>70,75</v>
      </c>
      <c r="Z385" s="24" t="s">
        <v>132</v>
      </c>
      <c r="AA385" s="19" t="str">
        <f>IF($A385&lt;&gt;"",IF($AB385&lt;&gt;"",$AB385,"80,120"),"")</f>
        <v>80,120</v>
      </c>
      <c r="AC385" s="9">
        <v>0.2</v>
      </c>
      <c r="AD385" s="9">
        <v>0.27</v>
      </c>
      <c r="AE385" s="9">
        <v>0.3</v>
      </c>
      <c r="AF385" s="9">
        <v>3</v>
      </c>
      <c r="AG385" s="9">
        <v>100</v>
      </c>
      <c r="AI385" s="69" cm="1">
        <f t="array" ref="AI385">tuple_avg(T385)/tuple_avg(AA385)</f>
        <v>0.01</v>
      </c>
      <c r="AJ385" s="69">
        <f>AC385*AI385*'-配置辅助'!$I$8</f>
        <v>0.2</v>
      </c>
      <c r="AK385" s="69">
        <f>AD385*AI385*'-配置辅助'!$I$10</f>
        <v>4.5000000000000005E-2</v>
      </c>
      <c r="AL385" s="69">
        <f>AJ385*_xlfn.XLOOKUP(H385,monsters[怪物id],monsters[HP],-1)</f>
        <v>-0.2</v>
      </c>
      <c r="AM385" s="69">
        <f>AK385*_xlfn.XLOOKUP(H385,monsters[怪物id],monsters[HP],-1)</f>
        <v>-4.5000000000000005E-2</v>
      </c>
    </row>
    <row r="386" spans="1:39" x14ac:dyDescent="0.2">
      <c r="A386" s="9">
        <v>420414</v>
      </c>
      <c r="B386" s="9" t="str" cm="1">
        <f t="array" ref="B386">D386&amp;_xlfn.TEXTJOIN("",1,TEXT(E386:G386,"00"))</f>
        <v>2010001</v>
      </c>
      <c r="C386" s="30" t="str">
        <f t="shared" si="179"/>
        <v>420414,2010001</v>
      </c>
      <c r="D386" s="26">
        <v>2</v>
      </c>
      <c r="E386" s="26">
        <v>1</v>
      </c>
      <c r="F386" s="26">
        <f>W386</f>
        <v>0</v>
      </c>
      <c r="G386" s="26">
        <v>1</v>
      </c>
      <c r="H386" s="9">
        <v>201414</v>
      </c>
      <c r="I386" s="15" t="str">
        <f>IFERROR(VLOOKUP(H386,monsters[#All],4,0),"")</f>
        <v>春花雀（红）</v>
      </c>
      <c r="J386" s="15" t="str" cm="1">
        <f t="array" ref="J386">_xlfn.LET(_xlpm.v6p,ABS(ATAN2(O386,P386))*6/PI(),
_xlpm.output,_xlfn.IFS(_xlpm.v6p&lt;1,"正前",_xlpm.v6p&gt;5,"正后",AND(_xlpm.v6p&lt;5,_xlpm.v6p&gt;2,P386&lt;-1),"脚底",_xlpm.v6p&gt;4,"后上",_xlpm.v6p&lt;2,"前上",TRUE,"顶部"),
IFERROR(_xlpm.output,""))</f>
        <v>前上</v>
      </c>
      <c r="K386" s="12"/>
      <c r="L386" s="12" t="s">
        <v>63</v>
      </c>
      <c r="M386" s="12" t="s">
        <v>63</v>
      </c>
      <c r="N386" s="19" t="str">
        <f>O386+0&amp;","&amp;P386+0</f>
        <v>15,10</v>
      </c>
      <c r="O386" s="24">
        <v>15</v>
      </c>
      <c r="P386" s="24">
        <v>10</v>
      </c>
      <c r="Q386" s="19">
        <f t="shared" si="180"/>
        <v>1</v>
      </c>
      <c r="S386" s="9">
        <v>2</v>
      </c>
      <c r="T386" s="19" t="str">
        <f>IF(U386&lt;&gt;"", U386+0&amp;","&amp;V386+0,"")</f>
        <v>1,2</v>
      </c>
      <c r="U386" s="24">
        <v>1</v>
      </c>
      <c r="V386" s="24">
        <v>2</v>
      </c>
      <c r="W386" s="9">
        <v>0</v>
      </c>
      <c r="X386" s="9">
        <v>11</v>
      </c>
      <c r="Y386" s="19" t="str">
        <f>IF($A386&lt;&gt;"",IF($Z386&lt;&gt;"",$Z386,"0,0"),"")</f>
        <v>0,0</v>
      </c>
      <c r="AA386" s="19" t="str">
        <f>IF($A386&lt;&gt;"",IF($AB386&lt;&gt;"",$AB386,"80,120"),"")</f>
        <v>80,120</v>
      </c>
      <c r="AC386" s="9">
        <v>0.2</v>
      </c>
      <c r="AD386" s="9">
        <v>0.27</v>
      </c>
      <c r="AE386" s="9">
        <v>0.3</v>
      </c>
      <c r="AF386" s="9">
        <v>3</v>
      </c>
      <c r="AG386" s="9">
        <v>100</v>
      </c>
      <c r="AI386" s="69" cm="1">
        <f t="array" ref="AI386">tuple_avg(T386)/tuple_avg(AA386)</f>
        <v>1.4999999999999999E-2</v>
      </c>
      <c r="AJ386" s="69">
        <f>AC386*AI386*'-配置辅助'!$I$8</f>
        <v>0.3</v>
      </c>
      <c r="AK386" s="69">
        <f>AD386*AI386*'-配置辅助'!$I$10</f>
        <v>6.7500000000000004E-2</v>
      </c>
      <c r="AL386" s="69">
        <f>AJ386*_xlfn.XLOOKUP(H386,monsters[怪物id],monsters[HP],-1)</f>
        <v>-0.3</v>
      </c>
      <c r="AM386" s="69">
        <f>AK386*_xlfn.XLOOKUP(H386,monsters[怪物id],monsters[HP],-1)</f>
        <v>-6.7500000000000004E-2</v>
      </c>
    </row>
    <row r="387" spans="1:39" x14ac:dyDescent="0.2">
      <c r="A387" s="9">
        <v>420414</v>
      </c>
      <c r="B387" s="9" t="str" cm="1">
        <f t="array" ref="B387">D387&amp;_xlfn.TEXTJOIN("",1,TEXT(E387:G387,"00"))</f>
        <v>2010002</v>
      </c>
      <c r="C387" s="30" t="str">
        <f t="shared" si="179"/>
        <v>420414,2010002</v>
      </c>
      <c r="D387" s="26">
        <v>2</v>
      </c>
      <c r="E387" s="26">
        <v>1</v>
      </c>
      <c r="F387" s="26">
        <f>W387</f>
        <v>0</v>
      </c>
      <c r="G387" s="26">
        <v>2</v>
      </c>
      <c r="H387" s="9">
        <v>201414</v>
      </c>
      <c r="I387" s="15" t="str">
        <f>IFERROR(VLOOKUP(H387,monsters[#All],4,0),"")</f>
        <v>春花雀（红）</v>
      </c>
      <c r="J387" s="15" t="str" cm="1">
        <f t="array" ref="J387">_xlfn.LET(_xlpm.v6p,ABS(ATAN2(O387,P387))*6/PI(),
_xlpm.output,_xlfn.IFS(_xlpm.v6p&lt;1,"正前",_xlpm.v6p&gt;5,"正后",AND(_xlpm.v6p&lt;5,_xlpm.v6p&gt;2,P387&lt;-1),"脚底",_xlpm.v6p&gt;4,"后上",_xlpm.v6p&lt;2,"前上",TRUE,"顶部"),
IFERROR(_xlpm.output,""))</f>
        <v>前上</v>
      </c>
      <c r="K387" s="12"/>
      <c r="L387" s="12" t="s">
        <v>63</v>
      </c>
      <c r="M387" s="12" t="s">
        <v>63</v>
      </c>
      <c r="N387" s="19" t="str">
        <f>O387+0&amp;","&amp;P387+0</f>
        <v>15,10</v>
      </c>
      <c r="O387" s="24">
        <v>15</v>
      </c>
      <c r="P387" s="24">
        <v>10</v>
      </c>
      <c r="Q387" s="19">
        <f t="shared" si="180"/>
        <v>1</v>
      </c>
      <c r="R387" s="42"/>
      <c r="S387" s="9">
        <v>2</v>
      </c>
      <c r="T387" s="19" t="str">
        <f>IF(U387&lt;&gt;"", U387+0&amp;","&amp;V387+0,"")</f>
        <v>2,3</v>
      </c>
      <c r="U387" s="24">
        <v>2</v>
      </c>
      <c r="V387" s="24">
        <v>3</v>
      </c>
      <c r="W387" s="9">
        <v>0</v>
      </c>
      <c r="X387" s="9">
        <v>11</v>
      </c>
      <c r="Y387" s="19" t="str">
        <f>IF($A387&lt;&gt;"",IF($Z387&lt;&gt;"",$Z387,"0,0"),"")</f>
        <v>-105,-100</v>
      </c>
      <c r="Z387" s="42" t="s">
        <v>133</v>
      </c>
      <c r="AA387" s="19" t="str">
        <f>IF($A387&lt;&gt;"",IF($AB387&lt;&gt;"",$AB387,"80,120"),"")</f>
        <v>80,120</v>
      </c>
      <c r="AC387" s="9">
        <v>0.2</v>
      </c>
      <c r="AD387" s="9">
        <v>0.27</v>
      </c>
      <c r="AE387" s="9">
        <v>0.3</v>
      </c>
      <c r="AF387" s="9">
        <v>3</v>
      </c>
      <c r="AG387" s="9">
        <v>100</v>
      </c>
      <c r="AI387" s="69" cm="1">
        <f t="array" ref="AI387">tuple_avg(T387)/tuple_avg(AA387)</f>
        <v>2.5000000000000001E-2</v>
      </c>
      <c r="AJ387" s="69">
        <f>AC387*AI387*'-配置辅助'!$I$8</f>
        <v>0.50000000000000011</v>
      </c>
      <c r="AK387" s="69">
        <f>AD387*AI387*'-配置辅助'!$I$10</f>
        <v>0.11250000000000002</v>
      </c>
      <c r="AL387" s="69">
        <f>AJ387*_xlfn.XLOOKUP(H387,monsters[怪物id],monsters[HP],-1)</f>
        <v>-0.50000000000000011</v>
      </c>
      <c r="AM387" s="69">
        <f>AK387*_xlfn.XLOOKUP(H387,monsters[怪物id],monsters[HP],-1)</f>
        <v>-0.11250000000000002</v>
      </c>
    </row>
    <row r="388" spans="1:39" x14ac:dyDescent="0.2">
      <c r="J388" s="15" t="str" cm="1">
        <f t="array" ref="J388">_xlfn.LET(_xlpm.v6p,ABS(ATAN2(O388,P388))*6/PI(),
_xlpm.output,_xlfn.IFS(_xlpm.v6p&lt;1,"正前",_xlpm.v6p&gt;5,"正后",AND(_xlpm.v6p&lt;5,_xlpm.v6p&gt;2,P388&lt;-1),"脚底",_xlpm.v6p&gt;4,"后上",_xlpm.v6p&lt;2,"前上",TRUE,"顶部"),
IFERROR(_xlpm.output,""))</f>
        <v/>
      </c>
      <c r="Q388" s="19" t="str">
        <f t="shared" si="180"/>
        <v/>
      </c>
    </row>
    <row r="389" spans="1:39" x14ac:dyDescent="0.2">
      <c r="A389" s="9">
        <v>420414</v>
      </c>
      <c r="B389" s="9" t="str" cm="1">
        <f t="array" ref="B389">D389&amp;_xlfn.TEXTJOIN("",1,TEXT(E389:G389,"00"))</f>
        <v>2020000</v>
      </c>
      <c r="C389" s="30" t="str">
        <f t="shared" ref="C389:C391" si="181">_xlfn.TEXTJOIN(",",1,A389:B389)</f>
        <v>420414,2020000</v>
      </c>
      <c r="D389" s="26">
        <v>2</v>
      </c>
      <c r="E389" s="26">
        <v>2</v>
      </c>
      <c r="F389" s="26">
        <f>W389</f>
        <v>0</v>
      </c>
      <c r="G389" s="26">
        <v>0</v>
      </c>
      <c r="H389" s="9">
        <v>201414</v>
      </c>
      <c r="I389" s="15" t="str">
        <f>IFERROR(VLOOKUP(H389,monsters[#All],4,0),"")</f>
        <v>春花雀（红）</v>
      </c>
      <c r="J389" s="15" t="str" cm="1">
        <f t="array" ref="J389">_xlfn.LET(_xlpm.v6p,ABS(ATAN2(O389,P389))*6/PI(),
_xlpm.output,_xlfn.IFS(_xlpm.v6p&lt;1,"正前",_xlpm.v6p&gt;5,"正后",AND(_xlpm.v6p&lt;5,_xlpm.v6p&gt;2,P389&lt;-1),"脚底",_xlpm.v6p&gt;4,"后上",_xlpm.v6p&lt;2,"前上",TRUE,"顶部"),
IFERROR(_xlpm.output,""))</f>
        <v>后上</v>
      </c>
      <c r="K389" s="12"/>
      <c r="L389" s="12" t="s">
        <v>63</v>
      </c>
      <c r="M389" s="12" t="s">
        <v>63</v>
      </c>
      <c r="N389" s="19" t="str">
        <f>O389+0&amp;","&amp;P389+0</f>
        <v>-15,10</v>
      </c>
      <c r="O389" s="24">
        <v>-15</v>
      </c>
      <c r="P389" s="24">
        <v>10</v>
      </c>
      <c r="Q389" s="19">
        <f t="shared" si="180"/>
        <v>1</v>
      </c>
      <c r="S389" s="9">
        <v>1</v>
      </c>
      <c r="T389" s="19" t="str">
        <f>IF(U389&lt;&gt;"", U389+0&amp;","&amp;V389+0,"")</f>
        <v>1,1</v>
      </c>
      <c r="U389" s="24">
        <v>1</v>
      </c>
      <c r="V389" s="24">
        <v>1</v>
      </c>
      <c r="W389" s="9">
        <v>0</v>
      </c>
      <c r="X389" s="9">
        <v>11</v>
      </c>
      <c r="Y389" s="19" t="str">
        <f>IF($A389&lt;&gt;"",IF($Z389&lt;&gt;"",$Z389,"0,0"),"")</f>
        <v>70,75</v>
      </c>
      <c r="Z389" s="24" t="s">
        <v>132</v>
      </c>
      <c r="AA389" s="19" t="str">
        <f>IF($A389&lt;&gt;"",IF($AB389&lt;&gt;"",$AB389,"80,120"),"")</f>
        <v>80,120</v>
      </c>
      <c r="AC389" s="9">
        <v>0.2</v>
      </c>
      <c r="AD389" s="9">
        <v>0.27</v>
      </c>
      <c r="AE389" s="9">
        <v>0.3</v>
      </c>
      <c r="AF389" s="9">
        <v>3</v>
      </c>
      <c r="AG389" s="9">
        <v>100</v>
      </c>
      <c r="AI389" s="69" cm="1">
        <f t="array" ref="AI389">tuple_avg(T389)/tuple_avg(AA389)</f>
        <v>0.01</v>
      </c>
      <c r="AJ389" s="69">
        <f>AC389*AI389*'-配置辅助'!$I$8</f>
        <v>0.2</v>
      </c>
      <c r="AK389" s="69">
        <f>AD389*AI389*'-配置辅助'!$I$10</f>
        <v>4.5000000000000005E-2</v>
      </c>
      <c r="AL389" s="69">
        <f>AJ389*_xlfn.XLOOKUP(H389,monsters[怪物id],monsters[HP],-1)</f>
        <v>-0.2</v>
      </c>
      <c r="AM389" s="69">
        <f>AK389*_xlfn.XLOOKUP(H389,monsters[怪物id],monsters[HP],-1)</f>
        <v>-4.5000000000000005E-2</v>
      </c>
    </row>
    <row r="390" spans="1:39" x14ac:dyDescent="0.2">
      <c r="A390" s="9">
        <v>420414</v>
      </c>
      <c r="B390" s="9" t="str" cm="1">
        <f t="array" ref="B390">D390&amp;_xlfn.TEXTJOIN("",1,TEXT(E390:G390,"00"))</f>
        <v>2020001</v>
      </c>
      <c r="C390" s="30" t="str">
        <f t="shared" si="181"/>
        <v>420414,2020001</v>
      </c>
      <c r="D390" s="26">
        <v>2</v>
      </c>
      <c r="E390" s="26">
        <v>2</v>
      </c>
      <c r="F390" s="26">
        <f>W390</f>
        <v>0</v>
      </c>
      <c r="G390" s="26">
        <v>1</v>
      </c>
      <c r="H390" s="9">
        <v>201414</v>
      </c>
      <c r="I390" s="15" t="str">
        <f>IFERROR(VLOOKUP(H390,monsters[#All],4,0),"")</f>
        <v>春花雀（红）</v>
      </c>
      <c r="J390" s="15" t="str" cm="1">
        <f t="array" ref="J390">_xlfn.LET(_xlpm.v6p,ABS(ATAN2(O390,P390))*6/PI(),
_xlpm.output,_xlfn.IFS(_xlpm.v6p&lt;1,"正前",_xlpm.v6p&gt;5,"正后",AND(_xlpm.v6p&lt;5,_xlpm.v6p&gt;2,P390&lt;-1),"脚底",_xlpm.v6p&gt;4,"后上",_xlpm.v6p&lt;2,"前上",TRUE,"顶部"),
IFERROR(_xlpm.output,""))</f>
        <v>后上</v>
      </c>
      <c r="K390" s="12"/>
      <c r="L390" s="12" t="s">
        <v>63</v>
      </c>
      <c r="M390" s="12" t="s">
        <v>63</v>
      </c>
      <c r="N390" s="19" t="str">
        <f>O390+0&amp;","&amp;P390+0</f>
        <v>-15,10</v>
      </c>
      <c r="O390" s="24">
        <v>-15</v>
      </c>
      <c r="P390" s="24">
        <v>10</v>
      </c>
      <c r="Q390" s="19">
        <f t="shared" si="180"/>
        <v>1</v>
      </c>
      <c r="S390" s="9">
        <v>2</v>
      </c>
      <c r="T390" s="19" t="str">
        <f>IF(U390&lt;&gt;"", U390+0&amp;","&amp;V390+0,"")</f>
        <v>1,2</v>
      </c>
      <c r="U390" s="24">
        <v>1</v>
      </c>
      <c r="V390" s="24">
        <v>2</v>
      </c>
      <c r="W390" s="9">
        <v>0</v>
      </c>
      <c r="X390" s="9">
        <v>11</v>
      </c>
      <c r="Y390" s="19" t="str">
        <f>IF($A390&lt;&gt;"",IF($Z390&lt;&gt;"",$Z390,"0,0"),"")</f>
        <v>0,0</v>
      </c>
      <c r="AA390" s="19" t="str">
        <f>IF($A390&lt;&gt;"",IF($AB390&lt;&gt;"",$AB390,"80,120"),"")</f>
        <v>80,120</v>
      </c>
      <c r="AC390" s="9">
        <v>0.2</v>
      </c>
      <c r="AD390" s="9">
        <v>0.27</v>
      </c>
      <c r="AE390" s="9">
        <v>0.3</v>
      </c>
      <c r="AF390" s="9">
        <v>3</v>
      </c>
      <c r="AG390" s="9">
        <v>100</v>
      </c>
      <c r="AI390" s="69" cm="1">
        <f t="array" ref="AI390">tuple_avg(T390)/tuple_avg(AA390)</f>
        <v>1.4999999999999999E-2</v>
      </c>
      <c r="AJ390" s="69">
        <f>AC390*AI390*'-配置辅助'!$I$8</f>
        <v>0.3</v>
      </c>
      <c r="AK390" s="69">
        <f>AD390*AI390*'-配置辅助'!$I$10</f>
        <v>6.7500000000000004E-2</v>
      </c>
      <c r="AL390" s="69">
        <f>AJ390*_xlfn.XLOOKUP(H390,monsters[怪物id],monsters[HP],-1)</f>
        <v>-0.3</v>
      </c>
      <c r="AM390" s="69">
        <f>AK390*_xlfn.XLOOKUP(H390,monsters[怪物id],monsters[HP],-1)</f>
        <v>-6.7500000000000004E-2</v>
      </c>
    </row>
    <row r="391" spans="1:39" x14ac:dyDescent="0.2">
      <c r="A391" s="9">
        <v>420414</v>
      </c>
      <c r="B391" s="9" t="str" cm="1">
        <f t="array" ref="B391">D391&amp;_xlfn.TEXTJOIN("",1,TEXT(E391:G391,"00"))</f>
        <v>2020002</v>
      </c>
      <c r="C391" s="30" t="str">
        <f t="shared" si="181"/>
        <v>420414,2020002</v>
      </c>
      <c r="D391" s="26">
        <v>2</v>
      </c>
      <c r="E391" s="26">
        <v>2</v>
      </c>
      <c r="F391" s="26">
        <f>W391</f>
        <v>0</v>
      </c>
      <c r="G391" s="26">
        <v>2</v>
      </c>
      <c r="H391" s="9">
        <v>201414</v>
      </c>
      <c r="I391" s="15" t="str">
        <f>IFERROR(VLOOKUP(H391,monsters[#All],4,0),"")</f>
        <v>春花雀（红）</v>
      </c>
      <c r="J391" s="15" t="str" cm="1">
        <f t="array" ref="J391">_xlfn.LET(_xlpm.v6p,ABS(ATAN2(O391,P391))*6/PI(),
_xlpm.output,_xlfn.IFS(_xlpm.v6p&lt;1,"正前",_xlpm.v6p&gt;5,"正后",AND(_xlpm.v6p&lt;5,_xlpm.v6p&gt;2,P391&lt;-1),"脚底",_xlpm.v6p&gt;4,"后上",_xlpm.v6p&lt;2,"前上",TRUE,"顶部"),
IFERROR(_xlpm.output,""))</f>
        <v>后上</v>
      </c>
      <c r="K391" s="12"/>
      <c r="L391" s="12" t="s">
        <v>63</v>
      </c>
      <c r="M391" s="12" t="s">
        <v>63</v>
      </c>
      <c r="N391" s="19" t="str">
        <f>O391+0&amp;","&amp;P391+0</f>
        <v>-15,10</v>
      </c>
      <c r="O391" s="24">
        <v>-15</v>
      </c>
      <c r="P391" s="24">
        <v>10</v>
      </c>
      <c r="Q391" s="19">
        <f t="shared" si="180"/>
        <v>1</v>
      </c>
      <c r="R391" s="42"/>
      <c r="S391" s="9">
        <v>2</v>
      </c>
      <c r="T391" s="19" t="str">
        <f>IF(U391&lt;&gt;"", U391+0&amp;","&amp;V391+0,"")</f>
        <v>2,3</v>
      </c>
      <c r="U391" s="24">
        <v>2</v>
      </c>
      <c r="V391" s="24">
        <v>3</v>
      </c>
      <c r="W391" s="9">
        <v>0</v>
      </c>
      <c r="X391" s="9">
        <v>11</v>
      </c>
      <c r="Y391" s="19" t="str">
        <f>IF($A391&lt;&gt;"",IF($Z391&lt;&gt;"",$Z391,"0,0"),"")</f>
        <v>-105,-100</v>
      </c>
      <c r="Z391" s="42" t="s">
        <v>133</v>
      </c>
      <c r="AA391" s="19" t="str">
        <f>IF($A391&lt;&gt;"",IF($AB391&lt;&gt;"",$AB391,"80,120"),"")</f>
        <v>80,120</v>
      </c>
      <c r="AC391" s="9">
        <v>0.2</v>
      </c>
      <c r="AD391" s="9">
        <v>0.27</v>
      </c>
      <c r="AE391" s="9">
        <v>0.3</v>
      </c>
      <c r="AF391" s="9">
        <v>3</v>
      </c>
      <c r="AG391" s="9">
        <v>100</v>
      </c>
      <c r="AI391" s="69" cm="1">
        <f t="array" ref="AI391">tuple_avg(T391)/tuple_avg(AA391)</f>
        <v>2.5000000000000001E-2</v>
      </c>
      <c r="AJ391" s="69">
        <f>AC391*AI391*'-配置辅助'!$I$8</f>
        <v>0.50000000000000011</v>
      </c>
      <c r="AK391" s="69">
        <f>AD391*AI391*'-配置辅助'!$I$10</f>
        <v>0.11250000000000002</v>
      </c>
      <c r="AL391" s="69">
        <f>AJ391*_xlfn.XLOOKUP(H391,monsters[怪物id],monsters[HP],-1)</f>
        <v>-0.50000000000000011</v>
      </c>
      <c r="AM391" s="69">
        <f>AK391*_xlfn.XLOOKUP(H391,monsters[怪物id],monsters[HP],-1)</f>
        <v>-0.11250000000000002</v>
      </c>
    </row>
    <row r="392" spans="1:39" x14ac:dyDescent="0.2">
      <c r="J392" s="15" t="str" cm="1">
        <f t="array" ref="J392">_xlfn.LET(_xlpm.v6p,ABS(ATAN2(O392,P392))*6/PI(),
_xlpm.output,_xlfn.IFS(_xlpm.v6p&lt;1,"正前",_xlpm.v6p&gt;5,"正后",AND(_xlpm.v6p&lt;5,_xlpm.v6p&gt;2,P392&lt;-1),"脚底",_xlpm.v6p&gt;4,"后上",_xlpm.v6p&lt;2,"前上",TRUE,"顶部"),
IFERROR(_xlpm.output,""))</f>
        <v/>
      </c>
    </row>
    <row r="393" spans="1:39" x14ac:dyDescent="0.2">
      <c r="A393" s="9">
        <v>420414</v>
      </c>
      <c r="B393" s="9" t="str" cm="1">
        <f t="array" ref="B393">D393&amp;_xlfn.TEXTJOIN("",1,TEXT(E393:G393,"00"))</f>
        <v>2030000</v>
      </c>
      <c r="C393" s="30" t="str">
        <f t="shared" ref="C393:C395" si="182">_xlfn.TEXTJOIN(",",1,A393:B393)</f>
        <v>420414,2030000</v>
      </c>
      <c r="D393" s="26">
        <v>2</v>
      </c>
      <c r="E393" s="26">
        <v>3</v>
      </c>
      <c r="F393" s="26">
        <f>W393</f>
        <v>0</v>
      </c>
      <c r="G393" s="26">
        <v>0</v>
      </c>
      <c r="H393" s="9">
        <v>201414</v>
      </c>
      <c r="I393" s="15" t="str">
        <f>IFERROR(VLOOKUP(H393,monsters[#All],4,0),"")</f>
        <v>春花雀（红）</v>
      </c>
      <c r="J393" s="15" t="str" cm="1">
        <f t="array" ref="J393">_xlfn.LET(_xlpm.v6p,ABS(ATAN2(O393,P393))*6/PI(),
_xlpm.output,_xlfn.IFS(_xlpm.v6p&lt;1,"正前",_xlpm.v6p&gt;5,"正后",AND(_xlpm.v6p&lt;5,_xlpm.v6p&gt;2,P393&lt;-1),"脚底",_xlpm.v6p&gt;4,"后上",_xlpm.v6p&lt;2,"前上",TRUE,"顶部"),
IFERROR(_xlpm.output,""))</f>
        <v>顶部</v>
      </c>
      <c r="K393" s="12"/>
      <c r="L393" s="12" t="s">
        <v>63</v>
      </c>
      <c r="M393" s="12" t="s">
        <v>63</v>
      </c>
      <c r="N393" s="19" t="str">
        <f>O393+0&amp;","&amp;P393+0</f>
        <v>3,15</v>
      </c>
      <c r="O393" s="24">
        <v>3</v>
      </c>
      <c r="P393" s="24">
        <v>15</v>
      </c>
      <c r="Q393" s="19">
        <f t="shared" ref="Q393:Q395" si="183">_xlfn.LET(_xlpm._default,1,
_xlpm._custom,R393,
IF($A393&lt;&gt;"",IF(_xlpm._custom&lt;&gt;"",_xlpm._custom,_xlpm._default),""))</f>
        <v>1</v>
      </c>
      <c r="S393" s="9">
        <v>1</v>
      </c>
      <c r="T393" s="19" t="str">
        <f>IF(U393&lt;&gt;"", U393+0&amp;","&amp;V393+0,"")</f>
        <v>1,1</v>
      </c>
      <c r="U393" s="24">
        <v>1</v>
      </c>
      <c r="V393" s="24">
        <v>1</v>
      </c>
      <c r="W393" s="9">
        <v>0</v>
      </c>
      <c r="X393" s="9">
        <v>11</v>
      </c>
      <c r="Y393" s="19" t="str">
        <f>IF($A393&lt;&gt;"",IF($Z393&lt;&gt;"",$Z393,"0,0"),"")</f>
        <v>70,75</v>
      </c>
      <c r="Z393" s="24" t="s">
        <v>132</v>
      </c>
      <c r="AA393" s="19" t="str">
        <f>IF($A393&lt;&gt;"",IF($AB393&lt;&gt;"",$AB393,"80,120"),"")</f>
        <v>80,120</v>
      </c>
      <c r="AC393" s="9">
        <v>0.2</v>
      </c>
      <c r="AD393" s="9">
        <v>0.27</v>
      </c>
      <c r="AE393" s="9">
        <v>0.3</v>
      </c>
      <c r="AF393" s="9">
        <v>3</v>
      </c>
      <c r="AG393" s="9">
        <v>100</v>
      </c>
      <c r="AI393" s="69" cm="1">
        <f t="array" ref="AI393">tuple_avg(T393)/tuple_avg(AA393)</f>
        <v>0.01</v>
      </c>
      <c r="AJ393" s="69">
        <f>AC393*AI393*'-配置辅助'!$I$8</f>
        <v>0.2</v>
      </c>
      <c r="AK393" s="69">
        <f>AD393*AI393*'-配置辅助'!$I$10</f>
        <v>4.5000000000000005E-2</v>
      </c>
      <c r="AL393" s="69">
        <f>AJ393*_xlfn.XLOOKUP(H393,monsters[怪物id],monsters[HP],-1)</f>
        <v>-0.2</v>
      </c>
      <c r="AM393" s="69">
        <f>AK393*_xlfn.XLOOKUP(H393,monsters[怪物id],monsters[HP],-1)</f>
        <v>-4.5000000000000005E-2</v>
      </c>
    </row>
    <row r="394" spans="1:39" x14ac:dyDescent="0.2">
      <c r="A394" s="9">
        <v>420414</v>
      </c>
      <c r="B394" s="9" t="str" cm="1">
        <f t="array" ref="B394">D394&amp;_xlfn.TEXTJOIN("",1,TEXT(E394:G394,"00"))</f>
        <v>2030001</v>
      </c>
      <c r="C394" s="30" t="str">
        <f t="shared" si="182"/>
        <v>420414,2030001</v>
      </c>
      <c r="D394" s="26">
        <v>2</v>
      </c>
      <c r="E394" s="26">
        <v>3</v>
      </c>
      <c r="F394" s="26">
        <f>W394</f>
        <v>0</v>
      </c>
      <c r="G394" s="26">
        <v>1</v>
      </c>
      <c r="H394" s="9">
        <v>201414</v>
      </c>
      <c r="I394" s="15" t="str">
        <f>IFERROR(VLOOKUP(H394,monsters[#All],4,0),"")</f>
        <v>春花雀（红）</v>
      </c>
      <c r="J394" s="15" t="str" cm="1">
        <f t="array" ref="J394">_xlfn.LET(_xlpm.v6p,ABS(ATAN2(O394,P394))*6/PI(),
_xlpm.output,_xlfn.IFS(_xlpm.v6p&lt;1,"正前",_xlpm.v6p&gt;5,"正后",AND(_xlpm.v6p&lt;5,_xlpm.v6p&gt;2,P394&lt;-1),"脚底",_xlpm.v6p&gt;4,"后上",_xlpm.v6p&lt;2,"前上",TRUE,"顶部"),
IFERROR(_xlpm.output,""))</f>
        <v>顶部</v>
      </c>
      <c r="K394" s="12"/>
      <c r="L394" s="12" t="s">
        <v>63</v>
      </c>
      <c r="M394" s="12" t="s">
        <v>63</v>
      </c>
      <c r="N394" s="19" t="str">
        <f>O394+0&amp;","&amp;P394+0</f>
        <v>3,15</v>
      </c>
      <c r="O394" s="24">
        <v>3</v>
      </c>
      <c r="P394" s="24">
        <v>15</v>
      </c>
      <c r="Q394" s="19">
        <f t="shared" si="183"/>
        <v>1</v>
      </c>
      <c r="S394" s="9">
        <v>2</v>
      </c>
      <c r="T394" s="19" t="str">
        <f>IF(U394&lt;&gt;"", U394+0&amp;","&amp;V394+0,"")</f>
        <v>1,2</v>
      </c>
      <c r="U394" s="24">
        <v>1</v>
      </c>
      <c r="V394" s="24">
        <v>2</v>
      </c>
      <c r="W394" s="9">
        <v>0</v>
      </c>
      <c r="X394" s="9">
        <v>11</v>
      </c>
      <c r="Y394" s="19" t="str">
        <f>IF($A394&lt;&gt;"",IF($Z394&lt;&gt;"",$Z394,"0,0"),"")</f>
        <v>0,0</v>
      </c>
      <c r="AA394" s="19" t="str">
        <f>IF($A394&lt;&gt;"",IF($AB394&lt;&gt;"",$AB394,"80,120"),"")</f>
        <v>80,120</v>
      </c>
      <c r="AC394" s="9">
        <v>0.2</v>
      </c>
      <c r="AD394" s="9">
        <v>0.27</v>
      </c>
      <c r="AE394" s="9">
        <v>0.3</v>
      </c>
      <c r="AF394" s="9">
        <v>3</v>
      </c>
      <c r="AG394" s="9">
        <v>100</v>
      </c>
      <c r="AI394" s="69" cm="1">
        <f t="array" ref="AI394">tuple_avg(T394)/tuple_avg(AA394)</f>
        <v>1.4999999999999999E-2</v>
      </c>
      <c r="AJ394" s="69">
        <f>AC394*AI394*'-配置辅助'!$I$8</f>
        <v>0.3</v>
      </c>
      <c r="AK394" s="69">
        <f>AD394*AI394*'-配置辅助'!$I$10</f>
        <v>6.7500000000000004E-2</v>
      </c>
      <c r="AL394" s="69">
        <f>AJ394*_xlfn.XLOOKUP(H394,monsters[怪物id],monsters[HP],-1)</f>
        <v>-0.3</v>
      </c>
      <c r="AM394" s="69">
        <f>AK394*_xlfn.XLOOKUP(H394,monsters[怪物id],monsters[HP],-1)</f>
        <v>-6.7500000000000004E-2</v>
      </c>
    </row>
    <row r="395" spans="1:39" x14ac:dyDescent="0.2">
      <c r="A395" s="9">
        <v>420414</v>
      </c>
      <c r="B395" s="9" t="str" cm="1">
        <f t="array" ref="B395">D395&amp;_xlfn.TEXTJOIN("",1,TEXT(E395:G395,"00"))</f>
        <v>2030002</v>
      </c>
      <c r="C395" s="30" t="str">
        <f t="shared" si="182"/>
        <v>420414,2030002</v>
      </c>
      <c r="D395" s="26">
        <v>2</v>
      </c>
      <c r="E395" s="26">
        <v>3</v>
      </c>
      <c r="F395" s="26">
        <f>W395</f>
        <v>0</v>
      </c>
      <c r="G395" s="26">
        <v>2</v>
      </c>
      <c r="H395" s="9">
        <v>201414</v>
      </c>
      <c r="I395" s="15" t="str">
        <f>IFERROR(VLOOKUP(H395,monsters[#All],4,0),"")</f>
        <v>春花雀（红）</v>
      </c>
      <c r="J395" s="15" t="str" cm="1">
        <f t="array" ref="J395">_xlfn.LET(_xlpm.v6p,ABS(ATAN2(O395,P395))*6/PI(),
_xlpm.output,_xlfn.IFS(_xlpm.v6p&lt;1,"正前",_xlpm.v6p&gt;5,"正后",AND(_xlpm.v6p&lt;5,_xlpm.v6p&gt;2,P395&lt;-1),"脚底",_xlpm.v6p&gt;4,"后上",_xlpm.v6p&lt;2,"前上",TRUE,"顶部"),
IFERROR(_xlpm.output,""))</f>
        <v>顶部</v>
      </c>
      <c r="K395" s="12"/>
      <c r="L395" s="12" t="s">
        <v>63</v>
      </c>
      <c r="M395" s="12" t="s">
        <v>63</v>
      </c>
      <c r="N395" s="19" t="str">
        <f>O395+0&amp;","&amp;P395+0</f>
        <v>3,15</v>
      </c>
      <c r="O395" s="24">
        <v>3</v>
      </c>
      <c r="P395" s="24">
        <v>15</v>
      </c>
      <c r="Q395" s="19">
        <f t="shared" si="183"/>
        <v>1</v>
      </c>
      <c r="R395" s="42"/>
      <c r="S395" s="9">
        <v>2</v>
      </c>
      <c r="T395" s="19" t="str">
        <f>IF(U395&lt;&gt;"", U395+0&amp;","&amp;V395+0,"")</f>
        <v>2,3</v>
      </c>
      <c r="U395" s="24">
        <v>2</v>
      </c>
      <c r="V395" s="24">
        <v>3</v>
      </c>
      <c r="W395" s="9">
        <v>0</v>
      </c>
      <c r="X395" s="9">
        <v>11</v>
      </c>
      <c r="Y395" s="19" t="str">
        <f>IF($A395&lt;&gt;"",IF($Z395&lt;&gt;"",$Z395,"0,0"),"")</f>
        <v>-105,-100</v>
      </c>
      <c r="Z395" s="42" t="s">
        <v>133</v>
      </c>
      <c r="AA395" s="19" t="str">
        <f>IF($A395&lt;&gt;"",IF($AB395&lt;&gt;"",$AB395,"80,120"),"")</f>
        <v>80,120</v>
      </c>
      <c r="AC395" s="9">
        <v>0.2</v>
      </c>
      <c r="AD395" s="9">
        <v>0.27</v>
      </c>
      <c r="AE395" s="9">
        <v>0.3</v>
      </c>
      <c r="AF395" s="9">
        <v>3</v>
      </c>
      <c r="AG395" s="9">
        <v>100</v>
      </c>
      <c r="AI395" s="69" cm="1">
        <f t="array" ref="AI395">tuple_avg(T395)/tuple_avg(AA395)</f>
        <v>2.5000000000000001E-2</v>
      </c>
      <c r="AJ395" s="69">
        <f>AC395*AI395*'-配置辅助'!$I$8</f>
        <v>0.50000000000000011</v>
      </c>
      <c r="AK395" s="69">
        <f>AD395*AI395*'-配置辅助'!$I$10</f>
        <v>0.11250000000000002</v>
      </c>
      <c r="AL395" s="69">
        <f>AJ395*_xlfn.XLOOKUP(H395,monsters[怪物id],monsters[HP],-1)</f>
        <v>-0.50000000000000011</v>
      </c>
      <c r="AM395" s="69">
        <f>AK395*_xlfn.XLOOKUP(H395,monsters[怪物id],monsters[HP],-1)</f>
        <v>-0.11250000000000002</v>
      </c>
    </row>
    <row r="397" spans="1:39" x14ac:dyDescent="0.2">
      <c r="A397" s="9">
        <v>420414</v>
      </c>
      <c r="B397" s="9" t="str" cm="1">
        <f t="array" ref="B397">D397&amp;_xlfn.TEXTJOIN("",1,TEXT(E397:G397,"00"))</f>
        <v>3010000</v>
      </c>
      <c r="C397" s="30" t="str">
        <f t="shared" ref="C397:C399" si="184">_xlfn.TEXTJOIN(",",1,A397:B397)</f>
        <v>420414,3010000</v>
      </c>
      <c r="D397" s="26">
        <v>3</v>
      </c>
      <c r="E397" s="26">
        <v>1</v>
      </c>
      <c r="F397" s="26">
        <f>W397</f>
        <v>0</v>
      </c>
      <c r="G397" s="26">
        <v>0</v>
      </c>
      <c r="H397" s="9">
        <v>201415</v>
      </c>
      <c r="I397" s="15" t="str">
        <f>IFERROR(VLOOKUP(H397,monsters[#All],4,0),"")</f>
        <v>春花雀（黄）</v>
      </c>
      <c r="J397" s="15" t="str" cm="1">
        <f t="array" ref="J397">_xlfn.LET(_xlpm.v6p,ABS(ATAN2(O397,P397))*6/PI(),
_xlpm.output,_xlfn.IFS(_xlpm.v6p&lt;1,"正前",_xlpm.v6p&gt;5,"正后",AND(_xlpm.v6p&lt;5,_xlpm.v6p&gt;2,P397&lt;-1),"脚底",_xlpm.v6p&gt;4,"后上",_xlpm.v6p&lt;2,"前上",TRUE,"顶部"),
IFERROR(_xlpm.output,""))</f>
        <v>前上</v>
      </c>
      <c r="K397" s="12"/>
      <c r="L397" s="12" t="s">
        <v>63</v>
      </c>
      <c r="M397" s="12" t="s">
        <v>63</v>
      </c>
      <c r="N397" s="19" t="str">
        <f>O397+0&amp;","&amp;P397+0</f>
        <v>15,10</v>
      </c>
      <c r="O397" s="24">
        <v>15</v>
      </c>
      <c r="P397" s="24">
        <v>10</v>
      </c>
      <c r="Q397" s="19">
        <f t="shared" ref="Q397:Q403" si="185">_xlfn.LET(_xlpm._default,1,
_xlpm._custom,R397,
IF($A397&lt;&gt;"",IF(_xlpm._custom&lt;&gt;"",_xlpm._custom,_xlpm._default),""))</f>
        <v>1</v>
      </c>
      <c r="S397" s="9">
        <v>1</v>
      </c>
      <c r="T397" s="19" t="str">
        <f>IF(U397&lt;&gt;"", U397+0&amp;","&amp;V397+0,"")</f>
        <v>1,1</v>
      </c>
      <c r="U397" s="24">
        <v>1</v>
      </c>
      <c r="V397" s="24">
        <v>1</v>
      </c>
      <c r="W397" s="9">
        <v>0</v>
      </c>
      <c r="X397" s="9">
        <v>11</v>
      </c>
      <c r="Y397" s="19" t="str">
        <f>IF($A397&lt;&gt;"",IF($Z397&lt;&gt;"",$Z397,"0,0"),"")</f>
        <v>70,75</v>
      </c>
      <c r="Z397" s="24" t="s">
        <v>132</v>
      </c>
      <c r="AA397" s="19" t="str">
        <f>IF($A397&lt;&gt;"",IF($AB397&lt;&gt;"",$AB397,"80,120"),"")</f>
        <v>80,120</v>
      </c>
      <c r="AC397" s="9">
        <v>0.2</v>
      </c>
      <c r="AD397" s="9">
        <v>0.27</v>
      </c>
      <c r="AE397" s="9">
        <v>0.3</v>
      </c>
      <c r="AF397" s="9">
        <v>3</v>
      </c>
      <c r="AG397" s="9">
        <v>100</v>
      </c>
      <c r="AI397" s="69" cm="1">
        <f t="array" ref="AI397">tuple_avg(T397)/tuple_avg(AA397)</f>
        <v>0.01</v>
      </c>
      <c r="AJ397" s="69">
        <f>AC397*AI397*'-配置辅助'!$I$8</f>
        <v>0.2</v>
      </c>
      <c r="AK397" s="69">
        <f>AD397*AI397*'-配置辅助'!$I$10</f>
        <v>4.5000000000000005E-2</v>
      </c>
      <c r="AL397" s="69">
        <f>AJ397*_xlfn.XLOOKUP(H397,monsters[怪物id],monsters[HP],-1)</f>
        <v>-0.2</v>
      </c>
      <c r="AM397" s="69">
        <f>AK397*_xlfn.XLOOKUP(H397,monsters[怪物id],monsters[HP],-1)</f>
        <v>-4.5000000000000005E-2</v>
      </c>
    </row>
    <row r="398" spans="1:39" x14ac:dyDescent="0.2">
      <c r="A398" s="9">
        <v>420414</v>
      </c>
      <c r="B398" s="9" t="str" cm="1">
        <f t="array" ref="B398">D398&amp;_xlfn.TEXTJOIN("",1,TEXT(E398:G398,"00"))</f>
        <v>3010001</v>
      </c>
      <c r="C398" s="30" t="str">
        <f t="shared" si="184"/>
        <v>420414,3010001</v>
      </c>
      <c r="D398" s="26">
        <v>3</v>
      </c>
      <c r="E398" s="26">
        <v>1</v>
      </c>
      <c r="F398" s="26">
        <f>W398</f>
        <v>0</v>
      </c>
      <c r="G398" s="26">
        <v>1</v>
      </c>
      <c r="H398" s="9">
        <v>201415</v>
      </c>
      <c r="I398" s="15" t="str">
        <f>IFERROR(VLOOKUP(H398,monsters[#All],4,0),"")</f>
        <v>春花雀（黄）</v>
      </c>
      <c r="J398" s="15" t="str" cm="1">
        <f t="array" ref="J398">_xlfn.LET(_xlpm.v6p,ABS(ATAN2(O398,P398))*6/PI(),
_xlpm.output,_xlfn.IFS(_xlpm.v6p&lt;1,"正前",_xlpm.v6p&gt;5,"正后",AND(_xlpm.v6p&lt;5,_xlpm.v6p&gt;2,P398&lt;-1),"脚底",_xlpm.v6p&gt;4,"后上",_xlpm.v6p&lt;2,"前上",TRUE,"顶部"),
IFERROR(_xlpm.output,""))</f>
        <v>前上</v>
      </c>
      <c r="K398" s="12"/>
      <c r="L398" s="12" t="s">
        <v>63</v>
      </c>
      <c r="M398" s="12" t="s">
        <v>63</v>
      </c>
      <c r="N398" s="19" t="str">
        <f>O398+0&amp;","&amp;P398+0</f>
        <v>15,10</v>
      </c>
      <c r="O398" s="24">
        <v>15</v>
      </c>
      <c r="P398" s="24">
        <v>10</v>
      </c>
      <c r="Q398" s="19">
        <f t="shared" si="185"/>
        <v>1</v>
      </c>
      <c r="S398" s="9">
        <v>2</v>
      </c>
      <c r="T398" s="19" t="str">
        <f>IF(U398&lt;&gt;"", U398+0&amp;","&amp;V398+0,"")</f>
        <v>1,2</v>
      </c>
      <c r="U398" s="24">
        <v>1</v>
      </c>
      <c r="V398" s="24">
        <v>2</v>
      </c>
      <c r="W398" s="9">
        <v>0</v>
      </c>
      <c r="X398" s="9">
        <v>11</v>
      </c>
      <c r="Y398" s="19" t="str">
        <f>IF($A398&lt;&gt;"",IF($Z398&lt;&gt;"",$Z398,"0,0"),"")</f>
        <v>0,0</v>
      </c>
      <c r="AA398" s="19" t="str">
        <f>IF($A398&lt;&gt;"",IF($AB398&lt;&gt;"",$AB398,"80,120"),"")</f>
        <v>80,120</v>
      </c>
      <c r="AC398" s="9">
        <v>0.2</v>
      </c>
      <c r="AD398" s="9">
        <v>0.27</v>
      </c>
      <c r="AE398" s="9">
        <v>0.3</v>
      </c>
      <c r="AF398" s="9">
        <v>3</v>
      </c>
      <c r="AG398" s="9">
        <v>100</v>
      </c>
      <c r="AI398" s="69" cm="1">
        <f t="array" ref="AI398">tuple_avg(T398)/tuple_avg(AA398)</f>
        <v>1.4999999999999999E-2</v>
      </c>
      <c r="AJ398" s="69">
        <f>AC398*AI398*'-配置辅助'!$I$8</f>
        <v>0.3</v>
      </c>
      <c r="AK398" s="69">
        <f>AD398*AI398*'-配置辅助'!$I$10</f>
        <v>6.7500000000000004E-2</v>
      </c>
      <c r="AL398" s="69">
        <f>AJ398*_xlfn.XLOOKUP(H398,monsters[怪物id],monsters[HP],-1)</f>
        <v>-0.3</v>
      </c>
      <c r="AM398" s="69">
        <f>AK398*_xlfn.XLOOKUP(H398,monsters[怪物id],monsters[HP],-1)</f>
        <v>-6.7500000000000004E-2</v>
      </c>
    </row>
    <row r="399" spans="1:39" x14ac:dyDescent="0.2">
      <c r="A399" s="9">
        <v>420414</v>
      </c>
      <c r="B399" s="9" t="str" cm="1">
        <f t="array" ref="B399">D399&amp;_xlfn.TEXTJOIN("",1,TEXT(E399:G399,"00"))</f>
        <v>3010002</v>
      </c>
      <c r="C399" s="30" t="str">
        <f t="shared" si="184"/>
        <v>420414,3010002</v>
      </c>
      <c r="D399" s="26">
        <v>3</v>
      </c>
      <c r="E399" s="26">
        <v>1</v>
      </c>
      <c r="F399" s="26">
        <f>W399</f>
        <v>0</v>
      </c>
      <c r="G399" s="26">
        <v>2</v>
      </c>
      <c r="H399" s="9">
        <v>201415</v>
      </c>
      <c r="I399" s="15" t="str">
        <f>IFERROR(VLOOKUP(H399,monsters[#All],4,0),"")</f>
        <v>春花雀（黄）</v>
      </c>
      <c r="J399" s="15" t="str" cm="1">
        <f t="array" ref="J399">_xlfn.LET(_xlpm.v6p,ABS(ATAN2(O399,P399))*6/PI(),
_xlpm.output,_xlfn.IFS(_xlpm.v6p&lt;1,"正前",_xlpm.v6p&gt;5,"正后",AND(_xlpm.v6p&lt;5,_xlpm.v6p&gt;2,P399&lt;-1),"脚底",_xlpm.v6p&gt;4,"后上",_xlpm.v6p&lt;2,"前上",TRUE,"顶部"),
IFERROR(_xlpm.output,""))</f>
        <v>前上</v>
      </c>
      <c r="K399" s="12"/>
      <c r="L399" s="12" t="s">
        <v>63</v>
      </c>
      <c r="M399" s="12" t="s">
        <v>63</v>
      </c>
      <c r="N399" s="19" t="str">
        <f>O399+0&amp;","&amp;P399+0</f>
        <v>15,10</v>
      </c>
      <c r="O399" s="24">
        <v>15</v>
      </c>
      <c r="P399" s="24">
        <v>10</v>
      </c>
      <c r="Q399" s="19">
        <f t="shared" si="185"/>
        <v>1</v>
      </c>
      <c r="R399" s="42"/>
      <c r="S399" s="9">
        <v>2</v>
      </c>
      <c r="T399" s="19" t="str">
        <f>IF(U399&lt;&gt;"", U399+0&amp;","&amp;V399+0,"")</f>
        <v>2,3</v>
      </c>
      <c r="U399" s="24">
        <v>2</v>
      </c>
      <c r="V399" s="24">
        <v>3</v>
      </c>
      <c r="W399" s="9">
        <v>0</v>
      </c>
      <c r="X399" s="9">
        <v>11</v>
      </c>
      <c r="Y399" s="19" t="str">
        <f>IF($A399&lt;&gt;"",IF($Z399&lt;&gt;"",$Z399,"0,0"),"")</f>
        <v>-105,-100</v>
      </c>
      <c r="Z399" s="42" t="s">
        <v>133</v>
      </c>
      <c r="AA399" s="19" t="str">
        <f>IF($A399&lt;&gt;"",IF($AB399&lt;&gt;"",$AB399,"80,120"),"")</f>
        <v>80,120</v>
      </c>
      <c r="AC399" s="9">
        <v>0.2</v>
      </c>
      <c r="AD399" s="9">
        <v>0.27</v>
      </c>
      <c r="AE399" s="9">
        <v>0.3</v>
      </c>
      <c r="AF399" s="9">
        <v>3</v>
      </c>
      <c r="AG399" s="9">
        <v>100</v>
      </c>
      <c r="AI399" s="69" cm="1">
        <f t="array" ref="AI399">tuple_avg(T399)/tuple_avg(AA399)</f>
        <v>2.5000000000000001E-2</v>
      </c>
      <c r="AJ399" s="69">
        <f>AC399*AI399*'-配置辅助'!$I$8</f>
        <v>0.50000000000000011</v>
      </c>
      <c r="AK399" s="69">
        <f>AD399*AI399*'-配置辅助'!$I$10</f>
        <v>0.11250000000000002</v>
      </c>
      <c r="AL399" s="69">
        <f>AJ399*_xlfn.XLOOKUP(H399,monsters[怪物id],monsters[HP],-1)</f>
        <v>-0.50000000000000011</v>
      </c>
      <c r="AM399" s="69">
        <f>AK399*_xlfn.XLOOKUP(H399,monsters[怪物id],monsters[HP],-1)</f>
        <v>-0.11250000000000002</v>
      </c>
    </row>
    <row r="400" spans="1:39" x14ac:dyDescent="0.2">
      <c r="J400" s="15" t="str" cm="1">
        <f t="array" ref="J400">_xlfn.LET(_xlpm.v6p,ABS(ATAN2(O400,P400))*6/PI(),
_xlpm.output,_xlfn.IFS(_xlpm.v6p&lt;1,"正前",_xlpm.v6p&gt;5,"正后",AND(_xlpm.v6p&lt;5,_xlpm.v6p&gt;2,P400&lt;-1),"脚底",_xlpm.v6p&gt;4,"后上",_xlpm.v6p&lt;2,"前上",TRUE,"顶部"),
IFERROR(_xlpm.output,""))</f>
        <v/>
      </c>
      <c r="Q400" s="19" t="str">
        <f t="shared" si="185"/>
        <v/>
      </c>
    </row>
    <row r="401" spans="1:41" x14ac:dyDescent="0.2">
      <c r="A401" s="9">
        <v>420414</v>
      </c>
      <c r="B401" s="9" t="str" cm="1">
        <f t="array" ref="B401">D401&amp;_xlfn.TEXTJOIN("",1,TEXT(E401:G401,"00"))</f>
        <v>3020000</v>
      </c>
      <c r="C401" s="30" t="str">
        <f t="shared" ref="C401:C403" si="186">_xlfn.TEXTJOIN(",",1,A401:B401)</f>
        <v>420414,3020000</v>
      </c>
      <c r="D401" s="26">
        <v>3</v>
      </c>
      <c r="E401" s="26">
        <v>2</v>
      </c>
      <c r="F401" s="26">
        <f>W401</f>
        <v>0</v>
      </c>
      <c r="G401" s="26">
        <v>0</v>
      </c>
      <c r="H401" s="9">
        <v>201415</v>
      </c>
      <c r="I401" s="15" t="str">
        <f>IFERROR(VLOOKUP(H401,monsters[#All],4,0),"")</f>
        <v>春花雀（黄）</v>
      </c>
      <c r="J401" s="15" t="str" cm="1">
        <f t="array" ref="J401">_xlfn.LET(_xlpm.v6p,ABS(ATAN2(O401,P401))*6/PI(),
_xlpm.output,_xlfn.IFS(_xlpm.v6p&lt;1,"正前",_xlpm.v6p&gt;5,"正后",AND(_xlpm.v6p&lt;5,_xlpm.v6p&gt;2,P401&lt;-1),"脚底",_xlpm.v6p&gt;4,"后上",_xlpm.v6p&lt;2,"前上",TRUE,"顶部"),
IFERROR(_xlpm.output,""))</f>
        <v>后上</v>
      </c>
      <c r="K401" s="12"/>
      <c r="L401" s="12" t="s">
        <v>63</v>
      </c>
      <c r="M401" s="12" t="s">
        <v>63</v>
      </c>
      <c r="N401" s="19" t="str">
        <f>O401+0&amp;","&amp;P401+0</f>
        <v>-15,10</v>
      </c>
      <c r="O401" s="24">
        <v>-15</v>
      </c>
      <c r="P401" s="24">
        <v>10</v>
      </c>
      <c r="Q401" s="19">
        <f t="shared" si="185"/>
        <v>1</v>
      </c>
      <c r="S401" s="9">
        <v>1</v>
      </c>
      <c r="T401" s="19" t="str">
        <f>IF(U401&lt;&gt;"", U401+0&amp;","&amp;V401+0,"")</f>
        <v>1,1</v>
      </c>
      <c r="U401" s="24">
        <v>1</v>
      </c>
      <c r="V401" s="24">
        <v>1</v>
      </c>
      <c r="W401" s="9">
        <v>0</v>
      </c>
      <c r="X401" s="9">
        <v>11</v>
      </c>
      <c r="Y401" s="19" t="str">
        <f>IF($A401&lt;&gt;"",IF($Z401&lt;&gt;"",$Z401,"0,0"),"")</f>
        <v>70,75</v>
      </c>
      <c r="Z401" s="24" t="s">
        <v>132</v>
      </c>
      <c r="AA401" s="19" t="str">
        <f>IF($A401&lt;&gt;"",IF($AB401&lt;&gt;"",$AB401,"80,120"),"")</f>
        <v>80,120</v>
      </c>
      <c r="AC401" s="9">
        <v>0.2</v>
      </c>
      <c r="AD401" s="9">
        <v>0.27</v>
      </c>
      <c r="AE401" s="9">
        <v>0.3</v>
      </c>
      <c r="AF401" s="9">
        <v>3</v>
      </c>
      <c r="AG401" s="9">
        <v>100</v>
      </c>
      <c r="AI401" s="69" cm="1">
        <f t="array" ref="AI401">tuple_avg(T401)/tuple_avg(AA401)</f>
        <v>0.01</v>
      </c>
      <c r="AJ401" s="69">
        <f>AC401*AI401*'-配置辅助'!$I$8</f>
        <v>0.2</v>
      </c>
      <c r="AK401" s="69">
        <f>AD401*AI401*'-配置辅助'!$I$10</f>
        <v>4.5000000000000005E-2</v>
      </c>
      <c r="AL401" s="69">
        <f>AJ401*_xlfn.XLOOKUP(H401,monsters[怪物id],monsters[HP],-1)</f>
        <v>-0.2</v>
      </c>
      <c r="AM401" s="69">
        <f>AK401*_xlfn.XLOOKUP(H401,monsters[怪物id],monsters[HP],-1)</f>
        <v>-4.5000000000000005E-2</v>
      </c>
    </row>
    <row r="402" spans="1:41" x14ac:dyDescent="0.2">
      <c r="A402" s="9">
        <v>420414</v>
      </c>
      <c r="B402" s="9" t="str" cm="1">
        <f t="array" ref="B402">D402&amp;_xlfn.TEXTJOIN("",1,TEXT(E402:G402,"00"))</f>
        <v>3020001</v>
      </c>
      <c r="C402" s="30" t="str">
        <f t="shared" si="186"/>
        <v>420414,3020001</v>
      </c>
      <c r="D402" s="26">
        <v>3</v>
      </c>
      <c r="E402" s="26">
        <v>2</v>
      </c>
      <c r="F402" s="26">
        <f>W402</f>
        <v>0</v>
      </c>
      <c r="G402" s="26">
        <v>1</v>
      </c>
      <c r="H402" s="9">
        <v>201415</v>
      </c>
      <c r="I402" s="15" t="str">
        <f>IFERROR(VLOOKUP(H402,monsters[#All],4,0),"")</f>
        <v>春花雀（黄）</v>
      </c>
      <c r="J402" s="15" t="str" cm="1">
        <f t="array" ref="J402">_xlfn.LET(_xlpm.v6p,ABS(ATAN2(O402,P402))*6/PI(),
_xlpm.output,_xlfn.IFS(_xlpm.v6p&lt;1,"正前",_xlpm.v6p&gt;5,"正后",AND(_xlpm.v6p&lt;5,_xlpm.v6p&gt;2,P402&lt;-1),"脚底",_xlpm.v6p&gt;4,"后上",_xlpm.v6p&lt;2,"前上",TRUE,"顶部"),
IFERROR(_xlpm.output,""))</f>
        <v>后上</v>
      </c>
      <c r="K402" s="12"/>
      <c r="L402" s="12" t="s">
        <v>63</v>
      </c>
      <c r="M402" s="12" t="s">
        <v>63</v>
      </c>
      <c r="N402" s="19" t="str">
        <f>O402+0&amp;","&amp;P402+0</f>
        <v>-15,10</v>
      </c>
      <c r="O402" s="24">
        <v>-15</v>
      </c>
      <c r="P402" s="24">
        <v>10</v>
      </c>
      <c r="Q402" s="19">
        <f t="shared" si="185"/>
        <v>1</v>
      </c>
      <c r="S402" s="9">
        <v>2</v>
      </c>
      <c r="T402" s="19" t="str">
        <f>IF(U402&lt;&gt;"", U402+0&amp;","&amp;V402+0,"")</f>
        <v>1,2</v>
      </c>
      <c r="U402" s="24">
        <v>1</v>
      </c>
      <c r="V402" s="24">
        <v>2</v>
      </c>
      <c r="W402" s="9">
        <v>0</v>
      </c>
      <c r="X402" s="9">
        <v>11</v>
      </c>
      <c r="Y402" s="19" t="str">
        <f>IF($A402&lt;&gt;"",IF($Z402&lt;&gt;"",$Z402,"0,0"),"")</f>
        <v>0,0</v>
      </c>
      <c r="AA402" s="19" t="str">
        <f>IF($A402&lt;&gt;"",IF($AB402&lt;&gt;"",$AB402,"80,120"),"")</f>
        <v>80,120</v>
      </c>
      <c r="AC402" s="9">
        <v>0.2</v>
      </c>
      <c r="AD402" s="9">
        <v>0.27</v>
      </c>
      <c r="AE402" s="9">
        <v>0.3</v>
      </c>
      <c r="AF402" s="9">
        <v>3</v>
      </c>
      <c r="AG402" s="9">
        <v>100</v>
      </c>
      <c r="AI402" s="69" cm="1">
        <f t="array" ref="AI402">tuple_avg(T402)/tuple_avg(AA402)</f>
        <v>1.4999999999999999E-2</v>
      </c>
      <c r="AJ402" s="69">
        <f>AC402*AI402*'-配置辅助'!$I$8</f>
        <v>0.3</v>
      </c>
      <c r="AK402" s="69">
        <f>AD402*AI402*'-配置辅助'!$I$10</f>
        <v>6.7500000000000004E-2</v>
      </c>
      <c r="AL402" s="69">
        <f>AJ402*_xlfn.XLOOKUP(H402,monsters[怪物id],monsters[HP],-1)</f>
        <v>-0.3</v>
      </c>
      <c r="AM402" s="69">
        <f>AK402*_xlfn.XLOOKUP(H402,monsters[怪物id],monsters[HP],-1)</f>
        <v>-6.7500000000000004E-2</v>
      </c>
    </row>
    <row r="403" spans="1:41" x14ac:dyDescent="0.2">
      <c r="A403" s="9">
        <v>420414</v>
      </c>
      <c r="B403" s="9" t="str" cm="1">
        <f t="array" ref="B403">D403&amp;_xlfn.TEXTJOIN("",1,TEXT(E403:G403,"00"))</f>
        <v>3020002</v>
      </c>
      <c r="C403" s="30" t="str">
        <f t="shared" si="186"/>
        <v>420414,3020002</v>
      </c>
      <c r="D403" s="26">
        <v>3</v>
      </c>
      <c r="E403" s="26">
        <v>2</v>
      </c>
      <c r="F403" s="26">
        <f>W403</f>
        <v>0</v>
      </c>
      <c r="G403" s="26">
        <v>2</v>
      </c>
      <c r="H403" s="9">
        <v>201415</v>
      </c>
      <c r="I403" s="15" t="str">
        <f>IFERROR(VLOOKUP(H403,monsters[#All],4,0),"")</f>
        <v>春花雀（黄）</v>
      </c>
      <c r="J403" s="15" t="str" cm="1">
        <f t="array" ref="J403">_xlfn.LET(_xlpm.v6p,ABS(ATAN2(O403,P403))*6/PI(),
_xlpm.output,_xlfn.IFS(_xlpm.v6p&lt;1,"正前",_xlpm.v6p&gt;5,"正后",AND(_xlpm.v6p&lt;5,_xlpm.v6p&gt;2,P403&lt;-1),"脚底",_xlpm.v6p&gt;4,"后上",_xlpm.v6p&lt;2,"前上",TRUE,"顶部"),
IFERROR(_xlpm.output,""))</f>
        <v>后上</v>
      </c>
      <c r="K403" s="12"/>
      <c r="L403" s="12" t="s">
        <v>63</v>
      </c>
      <c r="M403" s="12" t="s">
        <v>63</v>
      </c>
      <c r="N403" s="19" t="str">
        <f>O403+0&amp;","&amp;P403+0</f>
        <v>-15,10</v>
      </c>
      <c r="O403" s="24">
        <v>-15</v>
      </c>
      <c r="P403" s="24">
        <v>10</v>
      </c>
      <c r="Q403" s="19">
        <f t="shared" si="185"/>
        <v>1</v>
      </c>
      <c r="R403" s="42"/>
      <c r="S403" s="9">
        <v>2</v>
      </c>
      <c r="T403" s="19" t="str">
        <f>IF(U403&lt;&gt;"", U403+0&amp;","&amp;V403+0,"")</f>
        <v>2,3</v>
      </c>
      <c r="U403" s="24">
        <v>2</v>
      </c>
      <c r="V403" s="24">
        <v>3</v>
      </c>
      <c r="W403" s="9">
        <v>0</v>
      </c>
      <c r="X403" s="9">
        <v>11</v>
      </c>
      <c r="Y403" s="19" t="str">
        <f>IF($A403&lt;&gt;"",IF($Z403&lt;&gt;"",$Z403,"0,0"),"")</f>
        <v>-105,-100</v>
      </c>
      <c r="Z403" s="42" t="s">
        <v>133</v>
      </c>
      <c r="AA403" s="19" t="str">
        <f>IF($A403&lt;&gt;"",IF($AB403&lt;&gt;"",$AB403,"80,120"),"")</f>
        <v>80,120</v>
      </c>
      <c r="AC403" s="9">
        <v>0.2</v>
      </c>
      <c r="AD403" s="9">
        <v>0.27</v>
      </c>
      <c r="AE403" s="9">
        <v>0.3</v>
      </c>
      <c r="AF403" s="9">
        <v>3</v>
      </c>
      <c r="AG403" s="9">
        <v>100</v>
      </c>
      <c r="AI403" s="69" cm="1">
        <f t="array" ref="AI403">tuple_avg(T403)/tuple_avg(AA403)</f>
        <v>2.5000000000000001E-2</v>
      </c>
      <c r="AJ403" s="69">
        <f>AC403*AI403*'-配置辅助'!$I$8</f>
        <v>0.50000000000000011</v>
      </c>
      <c r="AK403" s="69">
        <f>AD403*AI403*'-配置辅助'!$I$10</f>
        <v>0.11250000000000002</v>
      </c>
      <c r="AL403" s="69">
        <f>AJ403*_xlfn.XLOOKUP(H403,monsters[怪物id],monsters[HP],-1)</f>
        <v>-0.50000000000000011</v>
      </c>
      <c r="AM403" s="69">
        <f>AK403*_xlfn.XLOOKUP(H403,monsters[怪物id],monsters[HP],-1)</f>
        <v>-0.11250000000000002</v>
      </c>
    </row>
    <row r="404" spans="1:41" x14ac:dyDescent="0.2">
      <c r="J404" s="15" t="str" cm="1">
        <f t="array" ref="J404">_xlfn.LET(_xlpm.v6p,ABS(ATAN2(O404,P404))*6/PI(),
_xlpm.output,_xlfn.IFS(_xlpm.v6p&lt;1,"正前",_xlpm.v6p&gt;5,"正后",AND(_xlpm.v6p&lt;5,_xlpm.v6p&gt;2,P404&lt;-1),"脚底",_xlpm.v6p&gt;4,"后上",_xlpm.v6p&lt;2,"前上",TRUE,"顶部"),
IFERROR(_xlpm.output,""))</f>
        <v/>
      </c>
    </row>
    <row r="405" spans="1:41" x14ac:dyDescent="0.2">
      <c r="A405" s="9">
        <v>420414</v>
      </c>
      <c r="B405" s="9" t="str" cm="1">
        <f t="array" ref="B405">D405&amp;_xlfn.TEXTJOIN("",1,TEXT(E405:G405,"00"))</f>
        <v>3030000</v>
      </c>
      <c r="C405" s="30" t="str">
        <f t="shared" ref="C405:C407" si="187">_xlfn.TEXTJOIN(",",1,A405:B405)</f>
        <v>420414,3030000</v>
      </c>
      <c r="D405" s="26">
        <v>3</v>
      </c>
      <c r="E405" s="26">
        <v>3</v>
      </c>
      <c r="F405" s="26">
        <f>W405</f>
        <v>0</v>
      </c>
      <c r="G405" s="26">
        <v>0</v>
      </c>
      <c r="H405" s="9">
        <v>201415</v>
      </c>
      <c r="I405" s="15" t="str">
        <f>IFERROR(VLOOKUP(H405,monsters[#All],4,0),"")</f>
        <v>春花雀（黄）</v>
      </c>
      <c r="J405" s="15" t="str" cm="1">
        <f t="array" ref="J405">_xlfn.LET(_xlpm.v6p,ABS(ATAN2(O405,P405))*6/PI(),
_xlpm.output,_xlfn.IFS(_xlpm.v6p&lt;1,"正前",_xlpm.v6p&gt;5,"正后",AND(_xlpm.v6p&lt;5,_xlpm.v6p&gt;2,P405&lt;-1),"脚底",_xlpm.v6p&gt;4,"后上",_xlpm.v6p&lt;2,"前上",TRUE,"顶部"),
IFERROR(_xlpm.output,""))</f>
        <v>顶部</v>
      </c>
      <c r="K405" s="12"/>
      <c r="L405" s="12" t="s">
        <v>63</v>
      </c>
      <c r="M405" s="12" t="s">
        <v>63</v>
      </c>
      <c r="N405" s="19" t="str">
        <f>O405+0&amp;","&amp;P405+0</f>
        <v>3,15</v>
      </c>
      <c r="O405" s="24">
        <v>3</v>
      </c>
      <c r="P405" s="24">
        <v>15</v>
      </c>
      <c r="Q405" s="19">
        <f t="shared" ref="Q405:Q407" si="188">_xlfn.LET(_xlpm._default,1,
_xlpm._custom,R405,
IF($A405&lt;&gt;"",IF(_xlpm._custom&lt;&gt;"",_xlpm._custom,_xlpm._default),""))</f>
        <v>1</v>
      </c>
      <c r="S405" s="9">
        <v>1</v>
      </c>
      <c r="T405" s="19" t="str">
        <f>IF(U405&lt;&gt;"", U405+0&amp;","&amp;V405+0,"")</f>
        <v>1,1</v>
      </c>
      <c r="U405" s="24">
        <v>1</v>
      </c>
      <c r="V405" s="24">
        <v>1</v>
      </c>
      <c r="W405" s="9">
        <v>0</v>
      </c>
      <c r="X405" s="9">
        <v>11</v>
      </c>
      <c r="Y405" s="19" t="str">
        <f>IF($A405&lt;&gt;"",IF($Z405&lt;&gt;"",$Z405,"0,0"),"")</f>
        <v>70,75</v>
      </c>
      <c r="Z405" s="24" t="s">
        <v>132</v>
      </c>
      <c r="AA405" s="19" t="str">
        <f>IF($A405&lt;&gt;"",IF($AB405&lt;&gt;"",$AB405,"80,120"),"")</f>
        <v>80,120</v>
      </c>
      <c r="AC405" s="9">
        <v>0.2</v>
      </c>
      <c r="AD405" s="9">
        <v>0.27</v>
      </c>
      <c r="AE405" s="9">
        <v>0.3</v>
      </c>
      <c r="AF405" s="9">
        <v>3</v>
      </c>
      <c r="AG405" s="9">
        <v>100</v>
      </c>
      <c r="AI405" s="69" cm="1">
        <f t="array" ref="AI405">tuple_avg(T405)/tuple_avg(AA405)</f>
        <v>0.01</v>
      </c>
      <c r="AJ405" s="69">
        <f>AC405*AI405*'-配置辅助'!$I$8</f>
        <v>0.2</v>
      </c>
      <c r="AK405" s="69">
        <f>AD405*AI405*'-配置辅助'!$I$10</f>
        <v>4.5000000000000005E-2</v>
      </c>
      <c r="AL405" s="69">
        <f>AJ405*_xlfn.XLOOKUP(H405,monsters[怪物id],monsters[HP],-1)</f>
        <v>-0.2</v>
      </c>
      <c r="AM405" s="69">
        <f>AK405*_xlfn.XLOOKUP(H405,monsters[怪物id],monsters[HP],-1)</f>
        <v>-4.5000000000000005E-2</v>
      </c>
    </row>
    <row r="406" spans="1:41" x14ac:dyDescent="0.2">
      <c r="A406" s="9">
        <v>420414</v>
      </c>
      <c r="B406" s="9" t="str" cm="1">
        <f t="array" ref="B406">D406&amp;_xlfn.TEXTJOIN("",1,TEXT(E406:G406,"00"))</f>
        <v>3030001</v>
      </c>
      <c r="C406" s="30" t="str">
        <f t="shared" si="187"/>
        <v>420414,3030001</v>
      </c>
      <c r="D406" s="26">
        <v>3</v>
      </c>
      <c r="E406" s="26">
        <v>3</v>
      </c>
      <c r="F406" s="26">
        <f>W406</f>
        <v>0</v>
      </c>
      <c r="G406" s="26">
        <v>1</v>
      </c>
      <c r="H406" s="9">
        <v>201415</v>
      </c>
      <c r="I406" s="15" t="str">
        <f>IFERROR(VLOOKUP(H406,monsters[#All],4,0),"")</f>
        <v>春花雀（黄）</v>
      </c>
      <c r="J406" s="15" t="str" cm="1">
        <f t="array" ref="J406">_xlfn.LET(_xlpm.v6p,ABS(ATAN2(O406,P406))*6/PI(),
_xlpm.output,_xlfn.IFS(_xlpm.v6p&lt;1,"正前",_xlpm.v6p&gt;5,"正后",AND(_xlpm.v6p&lt;5,_xlpm.v6p&gt;2,P406&lt;-1),"脚底",_xlpm.v6p&gt;4,"后上",_xlpm.v6p&lt;2,"前上",TRUE,"顶部"),
IFERROR(_xlpm.output,""))</f>
        <v>顶部</v>
      </c>
      <c r="K406" s="12"/>
      <c r="L406" s="12" t="s">
        <v>63</v>
      </c>
      <c r="M406" s="12" t="s">
        <v>63</v>
      </c>
      <c r="N406" s="19" t="str">
        <f>O406+0&amp;","&amp;P406+0</f>
        <v>3,15</v>
      </c>
      <c r="O406" s="24">
        <v>3</v>
      </c>
      <c r="P406" s="24">
        <v>15</v>
      </c>
      <c r="Q406" s="19">
        <f t="shared" si="188"/>
        <v>1</v>
      </c>
      <c r="S406" s="9">
        <v>2</v>
      </c>
      <c r="T406" s="19" t="str">
        <f>IF(U406&lt;&gt;"", U406+0&amp;","&amp;V406+0,"")</f>
        <v>1,2</v>
      </c>
      <c r="U406" s="24">
        <v>1</v>
      </c>
      <c r="V406" s="24">
        <v>2</v>
      </c>
      <c r="W406" s="9">
        <v>0</v>
      </c>
      <c r="X406" s="9">
        <v>11</v>
      </c>
      <c r="Y406" s="19" t="str">
        <f>IF($A406&lt;&gt;"",IF($Z406&lt;&gt;"",$Z406,"0,0"),"")</f>
        <v>0,0</v>
      </c>
      <c r="AA406" s="19" t="str">
        <f>IF($A406&lt;&gt;"",IF($AB406&lt;&gt;"",$AB406,"80,120"),"")</f>
        <v>80,120</v>
      </c>
      <c r="AC406" s="9">
        <v>0.2</v>
      </c>
      <c r="AD406" s="9">
        <v>0.27</v>
      </c>
      <c r="AE406" s="9">
        <v>0.3</v>
      </c>
      <c r="AF406" s="9">
        <v>3</v>
      </c>
      <c r="AG406" s="9">
        <v>100</v>
      </c>
      <c r="AI406" s="69" cm="1">
        <f t="array" ref="AI406">tuple_avg(T406)/tuple_avg(AA406)</f>
        <v>1.4999999999999999E-2</v>
      </c>
      <c r="AJ406" s="69">
        <f>AC406*AI406*'-配置辅助'!$I$8</f>
        <v>0.3</v>
      </c>
      <c r="AK406" s="69">
        <f>AD406*AI406*'-配置辅助'!$I$10</f>
        <v>6.7500000000000004E-2</v>
      </c>
      <c r="AL406" s="69">
        <f>AJ406*_xlfn.XLOOKUP(H406,monsters[怪物id],monsters[HP],-1)</f>
        <v>-0.3</v>
      </c>
      <c r="AM406" s="69">
        <f>AK406*_xlfn.XLOOKUP(H406,monsters[怪物id],monsters[HP],-1)</f>
        <v>-6.7500000000000004E-2</v>
      </c>
    </row>
    <row r="407" spans="1:41" x14ac:dyDescent="0.2">
      <c r="A407" s="9">
        <v>420414</v>
      </c>
      <c r="B407" s="9" t="str" cm="1">
        <f t="array" ref="B407">D407&amp;_xlfn.TEXTJOIN("",1,TEXT(E407:G407,"00"))</f>
        <v>3030002</v>
      </c>
      <c r="C407" s="30" t="str">
        <f t="shared" si="187"/>
        <v>420414,3030002</v>
      </c>
      <c r="D407" s="26">
        <v>3</v>
      </c>
      <c r="E407" s="26">
        <v>3</v>
      </c>
      <c r="F407" s="26">
        <f>W407</f>
        <v>0</v>
      </c>
      <c r="G407" s="26">
        <v>2</v>
      </c>
      <c r="H407" s="9">
        <v>201415</v>
      </c>
      <c r="I407" s="15" t="str">
        <f>IFERROR(VLOOKUP(H407,monsters[#All],4,0),"")</f>
        <v>春花雀（黄）</v>
      </c>
      <c r="J407" s="15" t="str" cm="1">
        <f t="array" ref="J407">_xlfn.LET(_xlpm.v6p,ABS(ATAN2(O407,P407))*6/PI(),
_xlpm.output,_xlfn.IFS(_xlpm.v6p&lt;1,"正前",_xlpm.v6p&gt;5,"正后",AND(_xlpm.v6p&lt;5,_xlpm.v6p&gt;2,P407&lt;-1),"脚底",_xlpm.v6p&gt;4,"后上",_xlpm.v6p&lt;2,"前上",TRUE,"顶部"),
IFERROR(_xlpm.output,""))</f>
        <v>顶部</v>
      </c>
      <c r="K407" s="12"/>
      <c r="L407" s="12" t="s">
        <v>63</v>
      </c>
      <c r="M407" s="12" t="s">
        <v>63</v>
      </c>
      <c r="N407" s="19" t="str">
        <f>O407+0&amp;","&amp;P407+0</f>
        <v>3,15</v>
      </c>
      <c r="O407" s="24">
        <v>3</v>
      </c>
      <c r="P407" s="24">
        <v>15</v>
      </c>
      <c r="Q407" s="19">
        <f t="shared" si="188"/>
        <v>1</v>
      </c>
      <c r="R407" s="42"/>
      <c r="S407" s="9">
        <v>2</v>
      </c>
      <c r="T407" s="19" t="str">
        <f>IF(U407&lt;&gt;"", U407+0&amp;","&amp;V407+0,"")</f>
        <v>2,3</v>
      </c>
      <c r="U407" s="24">
        <v>2</v>
      </c>
      <c r="V407" s="24">
        <v>3</v>
      </c>
      <c r="W407" s="9">
        <v>0</v>
      </c>
      <c r="X407" s="9">
        <v>11</v>
      </c>
      <c r="Y407" s="19" t="str">
        <f>IF($A407&lt;&gt;"",IF($Z407&lt;&gt;"",$Z407,"0,0"),"")</f>
        <v>-105,-100</v>
      </c>
      <c r="Z407" s="42" t="s">
        <v>133</v>
      </c>
      <c r="AA407" s="19" t="str">
        <f>IF($A407&lt;&gt;"",IF($AB407&lt;&gt;"",$AB407,"80,120"),"")</f>
        <v>80,120</v>
      </c>
      <c r="AC407" s="9">
        <v>0.2</v>
      </c>
      <c r="AD407" s="9">
        <v>0.27</v>
      </c>
      <c r="AE407" s="9">
        <v>0.3</v>
      </c>
      <c r="AF407" s="9">
        <v>3</v>
      </c>
      <c r="AG407" s="9">
        <v>100</v>
      </c>
      <c r="AI407" s="69" cm="1">
        <f t="array" ref="AI407">tuple_avg(T407)/tuple_avg(AA407)</f>
        <v>2.5000000000000001E-2</v>
      </c>
      <c r="AJ407" s="69">
        <f>AC407*AI407*'-配置辅助'!$I$8</f>
        <v>0.50000000000000011</v>
      </c>
      <c r="AK407" s="69">
        <f>AD407*AI407*'-配置辅助'!$I$10</f>
        <v>0.11250000000000002</v>
      </c>
      <c r="AL407" s="69">
        <f>AJ407*_xlfn.XLOOKUP(H407,monsters[怪物id],monsters[HP],-1)</f>
        <v>-0.50000000000000011</v>
      </c>
      <c r="AM407" s="69">
        <f>AK407*_xlfn.XLOOKUP(H407,monsters[怪物id],monsters[HP],-1)</f>
        <v>-0.11250000000000002</v>
      </c>
    </row>
    <row r="410" spans="1:41" s="52" customFormat="1" x14ac:dyDescent="0.2">
      <c r="A410" s="48"/>
      <c r="B410" s="48" t="s">
        <v>172</v>
      </c>
      <c r="C410" s="49" t="str">
        <f t="shared" ref="C410" si="189">_xlfn.TEXTJOIN(",",1,A410:B410)</f>
        <v>荒漠</v>
      </c>
      <c r="D410" s="50"/>
      <c r="E410" s="50"/>
      <c r="F410" s="50"/>
      <c r="G410" s="50"/>
      <c r="H410" s="48" t="s">
        <v>173</v>
      </c>
      <c r="I410" s="51"/>
      <c r="J410" s="51"/>
      <c r="O410" s="53"/>
      <c r="P410" s="53"/>
      <c r="R410" s="53"/>
      <c r="S410" s="52" t="s">
        <v>62</v>
      </c>
      <c r="U410" s="53"/>
      <c r="V410" s="53"/>
      <c r="Z410" s="53"/>
      <c r="AB410" s="53"/>
      <c r="AC410" s="52" t="s">
        <v>62</v>
      </c>
      <c r="AI410" s="74"/>
      <c r="AJ410" s="74">
        <f>SUM(AJ412:AJ425)</f>
        <v>16.350000000000001</v>
      </c>
      <c r="AK410" s="74">
        <f>SUM(AK412:AK425)</f>
        <v>1.7500000000000002</v>
      </c>
      <c r="AL410" s="74">
        <f>SUM(AL412:AL425)</f>
        <v>899.25</v>
      </c>
      <c r="AM410" s="74">
        <f>SUM(AM412:AM425)</f>
        <v>96.25</v>
      </c>
      <c r="AN410" s="74"/>
      <c r="AO410" s="74"/>
    </row>
    <row r="412" spans="1:41" x14ac:dyDescent="0.2">
      <c r="A412" s="9">
        <v>420701</v>
      </c>
      <c r="B412" s="9" t="str" cm="1">
        <f t="array" ref="B412">D412&amp;_xlfn.TEXTJOIN("",1,TEXT(E412:G412,"00"))</f>
        <v>1010000</v>
      </c>
      <c r="C412" s="30" t="str">
        <f t="shared" ref="C412:C414" si="190">_xlfn.TEXTJOIN(",",1,A412:B412)</f>
        <v>420701,1010000</v>
      </c>
      <c r="D412" s="26">
        <v>1</v>
      </c>
      <c r="E412" s="26">
        <v>1</v>
      </c>
      <c r="F412" s="26">
        <f>W412</f>
        <v>0</v>
      </c>
      <c r="G412" s="26">
        <v>0</v>
      </c>
      <c r="H412" s="9">
        <v>201707</v>
      </c>
      <c r="I412" s="15" t="str">
        <f>IFERROR(VLOOKUP(H412,monsters[#All],4,0),"")</f>
        <v>基础守卫</v>
      </c>
      <c r="J412" s="15" t="str" cm="1">
        <f t="array" ref="J412">_xlfn.LET(_xlpm.v6p,ABS(ATAN2(O412,P412))*6/PI(),
_xlpm.output,_xlfn.IFS(_xlpm.v6p&lt;1,"正前",_xlpm.v6p&gt;5,"正后",AND(_xlpm.v6p&lt;5,_xlpm.v6p&gt;2,P412&lt;-1),"脚底",_xlpm.v6p&gt;4,"后上",_xlpm.v6p&lt;2,"前上",TRUE,"顶部"),
IFERROR(_xlpm.output,""))</f>
        <v>前上</v>
      </c>
      <c r="K412" s="12"/>
      <c r="L412" s="12" t="s">
        <v>63</v>
      </c>
      <c r="M412" s="12" t="s">
        <v>63</v>
      </c>
      <c r="N412" s="19" t="str">
        <f>O412+0&amp;","&amp;P412+0</f>
        <v>15,10</v>
      </c>
      <c r="O412" s="24">
        <v>15</v>
      </c>
      <c r="P412" s="24">
        <v>10</v>
      </c>
      <c r="Q412" s="19">
        <f t="shared" ref="Q412:Q416" si="191">_xlfn.LET(_xlpm._default,1,
_xlpm._custom,R412,
IF($A412&lt;&gt;"",IF(_xlpm._custom&lt;&gt;"",_xlpm._custom,_xlpm._default),""))</f>
        <v>1</v>
      </c>
      <c r="S412" s="9">
        <v>1</v>
      </c>
      <c r="T412" s="19" t="str">
        <f>IF(U412&lt;&gt;"", U412+0&amp;","&amp;V412+0,"")</f>
        <v>1,1</v>
      </c>
      <c r="U412" s="24">
        <v>1</v>
      </c>
      <c r="V412" s="24">
        <v>1</v>
      </c>
      <c r="W412" s="9">
        <v>0</v>
      </c>
      <c r="X412" s="9">
        <v>11</v>
      </c>
      <c r="Y412" s="19" t="str">
        <f>IF($A412&lt;&gt;"",IF($Z412&lt;&gt;"",$Z412,"0,0"),"")</f>
        <v>70,75</v>
      </c>
      <c r="Z412" s="24" t="s">
        <v>132</v>
      </c>
      <c r="AA412" s="19" t="str">
        <f>IF($A412&lt;&gt;"",IF($AB412&lt;&gt;"",$AB412,"80,120"),"")</f>
        <v>80,120</v>
      </c>
      <c r="AC412" s="9">
        <v>0.6</v>
      </c>
      <c r="AD412" s="9">
        <v>0.3</v>
      </c>
      <c r="AE412" s="9">
        <v>0.3</v>
      </c>
      <c r="AF412" s="9">
        <v>3</v>
      </c>
      <c r="AG412" s="9">
        <v>100</v>
      </c>
      <c r="AI412" s="69" cm="1">
        <f t="array" ref="AI412">tuple_avg(T412)/tuple_avg(AA412)</f>
        <v>0.01</v>
      </c>
      <c r="AJ412" s="69">
        <f>AC412*AI412*'-配置辅助'!$I$8</f>
        <v>0.6</v>
      </c>
      <c r="AK412" s="69">
        <f>AD412*AI412*'-配置辅助'!$I$10</f>
        <v>0.05</v>
      </c>
      <c r="AL412" s="69">
        <f>AJ412*_xlfn.XLOOKUP(H412,monsters[怪物id],monsters[HP],-1)</f>
        <v>33</v>
      </c>
      <c r="AM412" s="69">
        <f>AK412*_xlfn.XLOOKUP(H412,monsters[怪物id],monsters[HP],-1)</f>
        <v>2.75</v>
      </c>
    </row>
    <row r="413" spans="1:41" x14ac:dyDescent="0.2">
      <c r="A413" s="9">
        <v>420701</v>
      </c>
      <c r="B413" s="9" t="str" cm="1">
        <f t="array" ref="B413">D413&amp;_xlfn.TEXTJOIN("",1,TEXT(E413:G413,"00"))</f>
        <v>1010001</v>
      </c>
      <c r="C413" s="30" t="str">
        <f t="shared" si="190"/>
        <v>420701,1010001</v>
      </c>
      <c r="D413" s="26">
        <v>1</v>
      </c>
      <c r="E413" s="26">
        <v>1</v>
      </c>
      <c r="F413" s="26">
        <f>W413</f>
        <v>0</v>
      </c>
      <c r="G413" s="26">
        <v>1</v>
      </c>
      <c r="H413" s="9">
        <v>201707</v>
      </c>
      <c r="I413" s="15" t="str">
        <f>IFERROR(VLOOKUP(H413,monsters[#All],4,0),"")</f>
        <v>基础守卫</v>
      </c>
      <c r="J413" s="15" t="str" cm="1">
        <f t="array" ref="J413">_xlfn.LET(_xlpm.v6p,ABS(ATAN2(O413,P413))*6/PI(),
_xlpm.output,_xlfn.IFS(_xlpm.v6p&lt;1,"正前",_xlpm.v6p&gt;5,"正后",AND(_xlpm.v6p&lt;5,_xlpm.v6p&gt;2,P413&lt;-1),"脚底",_xlpm.v6p&gt;4,"后上",_xlpm.v6p&lt;2,"前上",TRUE,"顶部"),
IFERROR(_xlpm.output,""))</f>
        <v>前上</v>
      </c>
      <c r="K413" s="12"/>
      <c r="L413" s="12" t="s">
        <v>63</v>
      </c>
      <c r="M413" s="12" t="s">
        <v>63</v>
      </c>
      <c r="N413" s="19" t="str">
        <f>O413+0&amp;","&amp;P413+0</f>
        <v>15,10</v>
      </c>
      <c r="O413" s="24">
        <v>15</v>
      </c>
      <c r="P413" s="24">
        <v>10</v>
      </c>
      <c r="Q413" s="19">
        <f t="shared" si="191"/>
        <v>1</v>
      </c>
      <c r="S413" s="9">
        <v>2</v>
      </c>
      <c r="T413" s="19" t="str">
        <f>IF(U413&lt;&gt;"", U413+0&amp;","&amp;V413+0,"")</f>
        <v>1,2</v>
      </c>
      <c r="U413" s="24">
        <v>1</v>
      </c>
      <c r="V413" s="24">
        <v>2</v>
      </c>
      <c r="W413" s="9">
        <v>0</v>
      </c>
      <c r="X413" s="9">
        <v>11</v>
      </c>
      <c r="Y413" s="19" t="str">
        <f>IF($A413&lt;&gt;"",IF($Z413&lt;&gt;"",$Z413,"0,0"),"")</f>
        <v>0,0</v>
      </c>
      <c r="AA413" s="19" t="str">
        <f>IF($A413&lt;&gt;"",IF($AB413&lt;&gt;"",$AB413,"80,120"),"")</f>
        <v>80,120</v>
      </c>
      <c r="AC413" s="9">
        <v>0.7</v>
      </c>
      <c r="AD413" s="9">
        <v>0.4</v>
      </c>
      <c r="AE413" s="9">
        <v>0.3</v>
      </c>
      <c r="AF413" s="9">
        <v>3</v>
      </c>
      <c r="AG413" s="9">
        <v>100</v>
      </c>
      <c r="AI413" s="69" cm="1">
        <f t="array" ref="AI413">tuple_avg(T413)/tuple_avg(AA413)</f>
        <v>1.4999999999999999E-2</v>
      </c>
      <c r="AJ413" s="69">
        <f>AC413*AI413*'-配置辅助'!$I$8</f>
        <v>1.0499999999999998</v>
      </c>
      <c r="AK413" s="69">
        <f>AD413*AI413*'-配置辅助'!$I$10</f>
        <v>0.1</v>
      </c>
      <c r="AL413" s="69">
        <f>AJ413*_xlfn.XLOOKUP(H413,monsters[怪物id],monsters[HP],-1)</f>
        <v>57.749999999999993</v>
      </c>
      <c r="AM413" s="69">
        <f>AK413*_xlfn.XLOOKUP(H413,monsters[怪物id],monsters[HP],-1)</f>
        <v>5.5</v>
      </c>
    </row>
    <row r="414" spans="1:41" x14ac:dyDescent="0.2">
      <c r="A414" s="9">
        <v>420701</v>
      </c>
      <c r="B414" s="9" t="str" cm="1">
        <f t="array" ref="B414">D414&amp;_xlfn.TEXTJOIN("",1,TEXT(E414:G414,"00"))</f>
        <v>1010002</v>
      </c>
      <c r="C414" s="30" t="str">
        <f t="shared" si="190"/>
        <v>420701,1010002</v>
      </c>
      <c r="D414" s="26">
        <v>1</v>
      </c>
      <c r="E414" s="26">
        <v>1</v>
      </c>
      <c r="F414" s="26">
        <f>W414</f>
        <v>0</v>
      </c>
      <c r="G414" s="26">
        <v>2</v>
      </c>
      <c r="H414" s="9">
        <v>201707</v>
      </c>
      <c r="I414" s="15" t="str">
        <f>IFERROR(VLOOKUP(H414,monsters[#All],4,0),"")</f>
        <v>基础守卫</v>
      </c>
      <c r="J414" s="15" t="str" cm="1">
        <f t="array" ref="J414">_xlfn.LET(_xlpm.v6p,ABS(ATAN2(O414,P414))*6/PI(),
_xlpm.output,_xlfn.IFS(_xlpm.v6p&lt;1,"正前",_xlpm.v6p&gt;5,"正后",AND(_xlpm.v6p&lt;5,_xlpm.v6p&gt;2,P414&lt;-1),"脚底",_xlpm.v6p&gt;4,"后上",_xlpm.v6p&lt;2,"前上",TRUE,"顶部"),
IFERROR(_xlpm.output,""))</f>
        <v>前上</v>
      </c>
      <c r="K414" s="12"/>
      <c r="L414" s="12" t="s">
        <v>63</v>
      </c>
      <c r="M414" s="12" t="s">
        <v>63</v>
      </c>
      <c r="N414" s="19" t="str">
        <f>O414+0&amp;","&amp;P414+0</f>
        <v>15,10</v>
      </c>
      <c r="O414" s="24">
        <v>15</v>
      </c>
      <c r="P414" s="24">
        <v>10</v>
      </c>
      <c r="Q414" s="19">
        <f t="shared" si="191"/>
        <v>1</v>
      </c>
      <c r="R414" s="42"/>
      <c r="S414" s="9">
        <v>2</v>
      </c>
      <c r="T414" s="19" t="str">
        <f>IF(U414&lt;&gt;"", U414+0&amp;","&amp;V414+0,"")</f>
        <v>2,2</v>
      </c>
      <c r="U414" s="24">
        <v>2</v>
      </c>
      <c r="V414" s="24">
        <v>2</v>
      </c>
      <c r="W414" s="9">
        <v>0</v>
      </c>
      <c r="X414" s="9">
        <v>11</v>
      </c>
      <c r="Y414" s="19" t="str">
        <f>IF($A414&lt;&gt;"",IF($Z414&lt;&gt;"",$Z414,"0,0"),"")</f>
        <v>-105,-100</v>
      </c>
      <c r="Z414" s="42" t="s">
        <v>133</v>
      </c>
      <c r="AA414" s="19" t="str">
        <f>IF($A414&lt;&gt;"",IF($AB414&lt;&gt;"",$AB414,"80,120"),"")</f>
        <v>80,120</v>
      </c>
      <c r="AC414" s="9">
        <v>0.85</v>
      </c>
      <c r="AD414" s="9">
        <v>0.55000000000000004</v>
      </c>
      <c r="AE414" s="9">
        <v>0.3</v>
      </c>
      <c r="AF414" s="9">
        <v>3</v>
      </c>
      <c r="AG414" s="9">
        <v>100</v>
      </c>
      <c r="AI414" s="69" cm="1">
        <f t="array" ref="AI414">tuple_avg(T414)/tuple_avg(AA414)</f>
        <v>0.02</v>
      </c>
      <c r="AJ414" s="69">
        <f>AC414*AI414*'-配置辅助'!$I$8</f>
        <v>1.7000000000000002</v>
      </c>
      <c r="AK414" s="69">
        <f>AD414*AI414*'-配置辅助'!$I$10</f>
        <v>0.18333333333333338</v>
      </c>
      <c r="AL414" s="69">
        <f>AJ414*_xlfn.XLOOKUP(H414,monsters[怪物id],monsters[HP],-1)</f>
        <v>93.500000000000014</v>
      </c>
      <c r="AM414" s="69">
        <f>AK414*_xlfn.XLOOKUP(H414,monsters[怪物id],monsters[HP],-1)</f>
        <v>10.083333333333336</v>
      </c>
    </row>
    <row r="415" spans="1:41" x14ac:dyDescent="0.2">
      <c r="A415" s="9">
        <v>420701</v>
      </c>
      <c r="B415" s="9" t="str" cm="1">
        <f t="array" ref="B415">D415&amp;_xlfn.TEXTJOIN("",1,TEXT(E415:G415,"00"))</f>
        <v>1010003</v>
      </c>
      <c r="C415" s="30" t="str">
        <f t="shared" ref="C415" si="192">_xlfn.TEXTJOIN(",",1,A415:B415)</f>
        <v>420701,1010003</v>
      </c>
      <c r="D415" s="26">
        <v>1</v>
      </c>
      <c r="E415" s="26">
        <v>1</v>
      </c>
      <c r="F415" s="26">
        <f>W415</f>
        <v>0</v>
      </c>
      <c r="G415" s="26">
        <v>3</v>
      </c>
      <c r="H415" s="9">
        <v>201707</v>
      </c>
      <c r="I415" s="15" t="str">
        <f>IFERROR(VLOOKUP(H415,monsters[#All],4,0),"")</f>
        <v>基础守卫</v>
      </c>
      <c r="J415" s="15" t="str" cm="1">
        <f t="array" ref="J415">_xlfn.LET(_xlpm.v6p,ABS(ATAN2(O415,P415))*6/PI(),
_xlpm.output,_xlfn.IFS(_xlpm.v6p&lt;1,"正前",_xlpm.v6p&gt;5,"正后",AND(_xlpm.v6p&lt;5,_xlpm.v6p&gt;2,P415&lt;-1),"脚底",_xlpm.v6p&gt;4,"后上",_xlpm.v6p&lt;2,"前上",TRUE,"顶部"),
IFERROR(_xlpm.output,""))</f>
        <v>前上</v>
      </c>
      <c r="K415" s="12"/>
      <c r="L415" s="12" t="s">
        <v>63</v>
      </c>
      <c r="M415" s="12" t="s">
        <v>63</v>
      </c>
      <c r="N415" s="19" t="str">
        <f>O415+0&amp;","&amp;P415+0</f>
        <v>15,10</v>
      </c>
      <c r="O415" s="24">
        <v>15</v>
      </c>
      <c r="P415" s="24">
        <v>10</v>
      </c>
      <c r="Q415" s="19">
        <f t="shared" ref="Q415" si="193">_xlfn.LET(_xlpm._default,1,
_xlpm._custom,R415,
IF($A415&lt;&gt;"",IF(_xlpm._custom&lt;&gt;"",_xlpm._custom,_xlpm._default),""))</f>
        <v>1</v>
      </c>
      <c r="R415" s="42"/>
      <c r="S415" s="9">
        <v>2</v>
      </c>
      <c r="T415" s="19" t="str">
        <f>IF(U415&lt;&gt;"", U415+0&amp;","&amp;V415+0,"")</f>
        <v>2,2</v>
      </c>
      <c r="U415" s="24">
        <v>2</v>
      </c>
      <c r="V415" s="24">
        <v>2</v>
      </c>
      <c r="W415" s="9">
        <v>0</v>
      </c>
      <c r="X415" s="9">
        <v>11</v>
      </c>
      <c r="Y415" s="19" t="str">
        <f>IF($A415&lt;&gt;"",IF($Z415&lt;&gt;"",$Z415,"0,0"),"")</f>
        <v>-255,-250</v>
      </c>
      <c r="Z415" s="42" t="s">
        <v>266</v>
      </c>
      <c r="AA415" s="19" t="str">
        <f>IF($A415&lt;&gt;"",IF($AB415&lt;&gt;"",$AB415,"80,120"),"")</f>
        <v>80,120</v>
      </c>
      <c r="AC415" s="9">
        <v>1.05</v>
      </c>
      <c r="AD415" s="9">
        <v>0.75</v>
      </c>
      <c r="AE415" s="9">
        <v>0.3</v>
      </c>
      <c r="AF415" s="9">
        <v>3</v>
      </c>
      <c r="AG415" s="9">
        <v>100</v>
      </c>
      <c r="AI415" s="69" cm="1">
        <f t="array" ref="AI415">tuple_avg(T415)/tuple_avg(AA415)</f>
        <v>0.02</v>
      </c>
      <c r="AJ415" s="69">
        <f>AC415*AI415*'-配置辅助'!$I$8</f>
        <v>2.1</v>
      </c>
      <c r="AK415" s="69">
        <f>AD415*AI415*'-配置辅助'!$I$10</f>
        <v>0.25</v>
      </c>
      <c r="AL415" s="69">
        <f>AJ415*_xlfn.XLOOKUP(H415,monsters[怪物id],monsters[HP],-1)</f>
        <v>115.5</v>
      </c>
      <c r="AM415" s="69">
        <f>AK415*_xlfn.XLOOKUP(H415,monsters[怪物id],monsters[HP],-1)</f>
        <v>13.75</v>
      </c>
    </row>
    <row r="416" spans="1:41" x14ac:dyDescent="0.2">
      <c r="J416" s="15" t="str" cm="1">
        <f t="array" ref="J416">_xlfn.LET(_xlpm.v6p,ABS(ATAN2(O416,P416))*6/PI(),
_xlpm.output,_xlfn.IFS(_xlpm.v6p&lt;1,"正前",_xlpm.v6p&gt;5,"正后",AND(_xlpm.v6p&lt;5,_xlpm.v6p&gt;2,P416&lt;-1),"脚底",_xlpm.v6p&gt;4,"后上",_xlpm.v6p&lt;2,"前上",TRUE,"顶部"),
IFERROR(_xlpm.output,""))</f>
        <v/>
      </c>
      <c r="Q416" s="19" t="str">
        <f t="shared" si="191"/>
        <v/>
      </c>
    </row>
    <row r="417" spans="1:41" x14ac:dyDescent="0.2">
      <c r="A417" s="9">
        <v>420701</v>
      </c>
      <c r="B417" s="9" t="str" cm="1">
        <f t="array" ref="B417">D417&amp;_xlfn.TEXTJOIN("",1,TEXT(E417:G417,"00"))</f>
        <v>1020000</v>
      </c>
      <c r="C417" s="30" t="str">
        <f t="shared" ref="C417:C419" si="194">_xlfn.TEXTJOIN(",",1,A417:B417)</f>
        <v>420701,1020000</v>
      </c>
      <c r="D417" s="26">
        <v>1</v>
      </c>
      <c r="E417" s="26">
        <v>2</v>
      </c>
      <c r="F417" s="26">
        <f>W417</f>
        <v>0</v>
      </c>
      <c r="G417" s="26">
        <v>0</v>
      </c>
      <c r="H417" s="9">
        <v>201707</v>
      </c>
      <c r="I417" s="15" t="str">
        <f>IFERROR(VLOOKUP(H417,monsters[#All],4,0),"")</f>
        <v>基础守卫</v>
      </c>
      <c r="J417" s="15" t="str" cm="1">
        <f t="array" ref="J417">_xlfn.LET(_xlpm.v6p,ABS(ATAN2(O417,P417))*6/PI(),
_xlpm.output,_xlfn.IFS(_xlpm.v6p&lt;1,"正前",_xlpm.v6p&gt;5,"正后",AND(_xlpm.v6p&lt;5,_xlpm.v6p&gt;2,P417&lt;-1),"脚底",_xlpm.v6p&gt;4,"后上",_xlpm.v6p&lt;2,"前上",TRUE,"顶部"),
IFERROR(_xlpm.output,""))</f>
        <v>后上</v>
      </c>
      <c r="K417" s="12"/>
      <c r="L417" s="12" t="s">
        <v>63</v>
      </c>
      <c r="M417" s="12" t="s">
        <v>63</v>
      </c>
      <c r="N417" s="19" t="str">
        <f>O417+0&amp;","&amp;P417+0</f>
        <v>-15,10</v>
      </c>
      <c r="O417" s="24">
        <v>-15</v>
      </c>
      <c r="P417" s="24">
        <v>10</v>
      </c>
      <c r="Q417" s="19">
        <f t="shared" ref="Q417:Q419" si="195">_xlfn.LET(_xlpm._default,1,
_xlpm._custom,R417,
IF($A417&lt;&gt;"",IF(_xlpm._custom&lt;&gt;"",_xlpm._custom,_xlpm._default),""))</f>
        <v>1</v>
      </c>
      <c r="S417" s="9">
        <v>1</v>
      </c>
      <c r="T417" s="19" t="str">
        <f>IF(U417&lt;&gt;"", U417+0&amp;","&amp;V417+0,"")</f>
        <v>1,1</v>
      </c>
      <c r="U417" s="24">
        <v>1</v>
      </c>
      <c r="V417" s="24">
        <v>1</v>
      </c>
      <c r="W417" s="9">
        <v>0</v>
      </c>
      <c r="X417" s="9">
        <v>11</v>
      </c>
      <c r="Y417" s="19" t="str">
        <f>IF($A417&lt;&gt;"",IF($Z417&lt;&gt;"",$Z417,"0,0"),"")</f>
        <v>70,75</v>
      </c>
      <c r="Z417" s="24" t="s">
        <v>132</v>
      </c>
      <c r="AA417" s="19" t="str">
        <f>IF($A417&lt;&gt;"",IF($AB417&lt;&gt;"",$AB417,"80,120"),"")</f>
        <v>80,120</v>
      </c>
      <c r="AC417" s="9">
        <v>0.6</v>
      </c>
      <c r="AD417" s="9">
        <v>0.3</v>
      </c>
      <c r="AE417" s="9">
        <v>0.3</v>
      </c>
      <c r="AF417" s="9">
        <v>3</v>
      </c>
      <c r="AG417" s="9">
        <v>100</v>
      </c>
      <c r="AI417" s="69" cm="1">
        <f t="array" ref="AI417">tuple_avg(T417)/tuple_avg(AA417)</f>
        <v>0.01</v>
      </c>
      <c r="AJ417" s="69">
        <f>AC417*AI417*'-配置辅助'!$I$8</f>
        <v>0.6</v>
      </c>
      <c r="AK417" s="69">
        <f>AD417*AI417*'-配置辅助'!$I$10</f>
        <v>0.05</v>
      </c>
      <c r="AL417" s="69">
        <f>AJ417*_xlfn.XLOOKUP(H417,monsters[怪物id],monsters[HP],-1)</f>
        <v>33</v>
      </c>
      <c r="AM417" s="69">
        <f>AK417*_xlfn.XLOOKUP(H417,monsters[怪物id],monsters[HP],-1)</f>
        <v>2.75</v>
      </c>
    </row>
    <row r="418" spans="1:41" x14ac:dyDescent="0.2">
      <c r="A418" s="9">
        <v>420701</v>
      </c>
      <c r="B418" s="9" t="str" cm="1">
        <f t="array" ref="B418">D418&amp;_xlfn.TEXTJOIN("",1,TEXT(E418:G418,"00"))</f>
        <v>1020001</v>
      </c>
      <c r="C418" s="30" t="str">
        <f t="shared" si="194"/>
        <v>420701,1020001</v>
      </c>
      <c r="D418" s="26">
        <v>1</v>
      </c>
      <c r="E418" s="26">
        <v>2</v>
      </c>
      <c r="F418" s="26">
        <f>W418</f>
        <v>0</v>
      </c>
      <c r="G418" s="26">
        <v>1</v>
      </c>
      <c r="H418" s="9">
        <v>201707</v>
      </c>
      <c r="I418" s="15" t="str">
        <f>IFERROR(VLOOKUP(H418,monsters[#All],4,0),"")</f>
        <v>基础守卫</v>
      </c>
      <c r="J418" s="15" t="str" cm="1">
        <f t="array" ref="J418">_xlfn.LET(_xlpm.v6p,ABS(ATAN2(O418,P418))*6/PI(),
_xlpm.output,_xlfn.IFS(_xlpm.v6p&lt;1,"正前",_xlpm.v6p&gt;5,"正后",AND(_xlpm.v6p&lt;5,_xlpm.v6p&gt;2,P418&lt;-1),"脚底",_xlpm.v6p&gt;4,"后上",_xlpm.v6p&lt;2,"前上",TRUE,"顶部"),
IFERROR(_xlpm.output,""))</f>
        <v>后上</v>
      </c>
      <c r="K418" s="12"/>
      <c r="L418" s="12" t="s">
        <v>63</v>
      </c>
      <c r="M418" s="12" t="s">
        <v>63</v>
      </c>
      <c r="N418" s="19" t="str">
        <f>O418+0&amp;","&amp;P418+0</f>
        <v>-15,10</v>
      </c>
      <c r="O418" s="24">
        <v>-15</v>
      </c>
      <c r="P418" s="24">
        <v>10</v>
      </c>
      <c r="Q418" s="19">
        <f t="shared" si="195"/>
        <v>1</v>
      </c>
      <c r="S418" s="9">
        <v>2</v>
      </c>
      <c r="T418" s="19" t="str">
        <f>IF(U418&lt;&gt;"", U418+0&amp;","&amp;V418+0,"")</f>
        <v>1,2</v>
      </c>
      <c r="U418" s="24">
        <v>1</v>
      </c>
      <c r="V418" s="24">
        <v>2</v>
      </c>
      <c r="W418" s="9">
        <v>0</v>
      </c>
      <c r="X418" s="9">
        <v>11</v>
      </c>
      <c r="Y418" s="19" t="str">
        <f>IF($A418&lt;&gt;"",IF($Z418&lt;&gt;"",$Z418,"0,0"),"")</f>
        <v>0,0</v>
      </c>
      <c r="AA418" s="19" t="str">
        <f>IF($A418&lt;&gt;"",IF($AB418&lt;&gt;"",$AB418,"80,120"),"")</f>
        <v>80,120</v>
      </c>
      <c r="AC418" s="9">
        <v>0.7</v>
      </c>
      <c r="AD418" s="9">
        <v>0.4</v>
      </c>
      <c r="AE418" s="9">
        <v>0.3</v>
      </c>
      <c r="AF418" s="9">
        <v>3</v>
      </c>
      <c r="AG418" s="9">
        <v>100</v>
      </c>
      <c r="AI418" s="69" cm="1">
        <f t="array" ref="AI418">tuple_avg(T418)/tuple_avg(AA418)</f>
        <v>1.4999999999999999E-2</v>
      </c>
      <c r="AJ418" s="69">
        <f>AC418*AI418*'-配置辅助'!$I$8</f>
        <v>1.0499999999999998</v>
      </c>
      <c r="AK418" s="69">
        <f>AD418*AI418*'-配置辅助'!$I$10</f>
        <v>0.1</v>
      </c>
      <c r="AL418" s="69">
        <f>AJ418*_xlfn.XLOOKUP(H418,monsters[怪物id],monsters[HP],-1)</f>
        <v>57.749999999999993</v>
      </c>
      <c r="AM418" s="69">
        <f>AK418*_xlfn.XLOOKUP(H418,monsters[怪物id],monsters[HP],-1)</f>
        <v>5.5</v>
      </c>
    </row>
    <row r="419" spans="1:41" x14ac:dyDescent="0.2">
      <c r="A419" s="9">
        <v>420701</v>
      </c>
      <c r="B419" s="9" t="str" cm="1">
        <f t="array" ref="B419">D419&amp;_xlfn.TEXTJOIN("",1,TEXT(E419:G419,"00"))</f>
        <v>1020002</v>
      </c>
      <c r="C419" s="30" t="str">
        <f t="shared" si="194"/>
        <v>420701,1020002</v>
      </c>
      <c r="D419" s="26">
        <v>1</v>
      </c>
      <c r="E419" s="26">
        <v>2</v>
      </c>
      <c r="F419" s="26">
        <f>W419</f>
        <v>0</v>
      </c>
      <c r="G419" s="26">
        <v>2</v>
      </c>
      <c r="H419" s="9">
        <v>201707</v>
      </c>
      <c r="I419" s="15" t="str">
        <f>IFERROR(VLOOKUP(H419,monsters[#All],4,0),"")</f>
        <v>基础守卫</v>
      </c>
      <c r="J419" s="15" t="str" cm="1">
        <f t="array" ref="J419">_xlfn.LET(_xlpm.v6p,ABS(ATAN2(O419,P419))*6/PI(),
_xlpm.output,_xlfn.IFS(_xlpm.v6p&lt;1,"正前",_xlpm.v6p&gt;5,"正后",AND(_xlpm.v6p&lt;5,_xlpm.v6p&gt;2,P419&lt;-1),"脚底",_xlpm.v6p&gt;4,"后上",_xlpm.v6p&lt;2,"前上",TRUE,"顶部"),
IFERROR(_xlpm.output,""))</f>
        <v>后上</v>
      </c>
      <c r="K419" s="12"/>
      <c r="L419" s="12" t="s">
        <v>63</v>
      </c>
      <c r="M419" s="12" t="s">
        <v>63</v>
      </c>
      <c r="N419" s="19" t="str">
        <f>O419+0&amp;","&amp;P419+0</f>
        <v>-15,10</v>
      </c>
      <c r="O419" s="24">
        <v>-15</v>
      </c>
      <c r="P419" s="24">
        <v>10</v>
      </c>
      <c r="Q419" s="19">
        <f t="shared" si="195"/>
        <v>1</v>
      </c>
      <c r="R419" s="42"/>
      <c r="S419" s="9">
        <v>2</v>
      </c>
      <c r="T419" s="19" t="str">
        <f>IF(U419&lt;&gt;"", U419+0&amp;","&amp;V419+0,"")</f>
        <v>2,2</v>
      </c>
      <c r="U419" s="24">
        <v>2</v>
      </c>
      <c r="V419" s="24">
        <v>2</v>
      </c>
      <c r="W419" s="9">
        <v>0</v>
      </c>
      <c r="X419" s="9">
        <v>11</v>
      </c>
      <c r="Y419" s="19" t="str">
        <f>IF($A419&lt;&gt;"",IF($Z419&lt;&gt;"",$Z419,"0,0"),"")</f>
        <v>-105,-100</v>
      </c>
      <c r="Z419" s="42" t="s">
        <v>133</v>
      </c>
      <c r="AA419" s="19" t="str">
        <f>IF($A419&lt;&gt;"",IF($AB419&lt;&gt;"",$AB419,"80,120"),"")</f>
        <v>80,120</v>
      </c>
      <c r="AC419" s="9">
        <v>0.85</v>
      </c>
      <c r="AD419" s="9">
        <v>0.55000000000000004</v>
      </c>
      <c r="AE419" s="9">
        <v>0.3</v>
      </c>
      <c r="AF419" s="9">
        <v>3</v>
      </c>
      <c r="AG419" s="9">
        <v>100</v>
      </c>
      <c r="AI419" s="69" cm="1">
        <f t="array" ref="AI419">tuple_avg(T419)/tuple_avg(AA419)</f>
        <v>0.02</v>
      </c>
      <c r="AJ419" s="69">
        <f>AC419*AI419*'-配置辅助'!$I$8</f>
        <v>1.7000000000000002</v>
      </c>
      <c r="AK419" s="69">
        <f>AD419*AI419*'-配置辅助'!$I$10</f>
        <v>0.18333333333333338</v>
      </c>
      <c r="AL419" s="69">
        <f>AJ419*_xlfn.XLOOKUP(H419,monsters[怪物id],monsters[HP],-1)</f>
        <v>93.500000000000014</v>
      </c>
      <c r="AM419" s="69">
        <f>AK419*_xlfn.XLOOKUP(H419,monsters[怪物id],monsters[HP],-1)</f>
        <v>10.083333333333336</v>
      </c>
    </row>
    <row r="420" spans="1:41" x14ac:dyDescent="0.2">
      <c r="A420" s="9">
        <v>420701</v>
      </c>
      <c r="B420" s="9" t="str" cm="1">
        <f t="array" ref="B420">D420&amp;_xlfn.TEXTJOIN("",1,TEXT(E420:G420,"00"))</f>
        <v>1020003</v>
      </c>
      <c r="C420" s="30" t="str">
        <f t="shared" ref="C420" si="196">_xlfn.TEXTJOIN(",",1,A420:B420)</f>
        <v>420701,1020003</v>
      </c>
      <c r="D420" s="26">
        <v>1</v>
      </c>
      <c r="E420" s="26">
        <v>2</v>
      </c>
      <c r="F420" s="26">
        <f>W420</f>
        <v>0</v>
      </c>
      <c r="G420" s="26">
        <v>3</v>
      </c>
      <c r="H420" s="9">
        <v>201707</v>
      </c>
      <c r="I420" s="15" t="str">
        <f>IFERROR(VLOOKUP(H420,monsters[#All],4,0),"")</f>
        <v>基础守卫</v>
      </c>
      <c r="J420" s="15" t="str" cm="1">
        <f t="array" ref="J420">_xlfn.LET(_xlpm.v6p,ABS(ATAN2(O420,P420))*6/PI(),
_xlpm.output,_xlfn.IFS(_xlpm.v6p&lt;1,"正前",_xlpm.v6p&gt;5,"正后",AND(_xlpm.v6p&lt;5,_xlpm.v6p&gt;2,P420&lt;-1),"脚底",_xlpm.v6p&gt;4,"后上",_xlpm.v6p&lt;2,"前上",TRUE,"顶部"),
IFERROR(_xlpm.output,""))</f>
        <v>后上</v>
      </c>
      <c r="K420" s="12"/>
      <c r="L420" s="12" t="s">
        <v>63</v>
      </c>
      <c r="M420" s="12" t="s">
        <v>63</v>
      </c>
      <c r="N420" s="19" t="str">
        <f>O420+0&amp;","&amp;P420+0</f>
        <v>-15,10</v>
      </c>
      <c r="O420" s="24">
        <v>-15</v>
      </c>
      <c r="P420" s="24">
        <v>10</v>
      </c>
      <c r="Q420" s="19">
        <f t="shared" ref="Q420" si="197">_xlfn.LET(_xlpm._default,1,
_xlpm._custom,R420,
IF($A420&lt;&gt;"",IF(_xlpm._custom&lt;&gt;"",_xlpm._custom,_xlpm._default),""))</f>
        <v>1</v>
      </c>
      <c r="R420" s="42"/>
      <c r="S420" s="9">
        <v>2</v>
      </c>
      <c r="T420" s="19" t="str">
        <f>IF(U420&lt;&gt;"", U420+0&amp;","&amp;V420+0,"")</f>
        <v>2,2</v>
      </c>
      <c r="U420" s="24">
        <v>2</v>
      </c>
      <c r="V420" s="24">
        <v>2</v>
      </c>
      <c r="W420" s="9">
        <v>0</v>
      </c>
      <c r="X420" s="9">
        <v>11</v>
      </c>
      <c r="Y420" s="19" t="str">
        <f>IF($A420&lt;&gt;"",IF($Z420&lt;&gt;"",$Z420,"0,0"),"")</f>
        <v>-255,-250</v>
      </c>
      <c r="Z420" s="42" t="s">
        <v>266</v>
      </c>
      <c r="AA420" s="19" t="str">
        <f>IF($A420&lt;&gt;"",IF($AB420&lt;&gt;"",$AB420,"80,120"),"")</f>
        <v>80,120</v>
      </c>
      <c r="AC420" s="9">
        <v>1.05</v>
      </c>
      <c r="AD420" s="9">
        <v>0.75</v>
      </c>
      <c r="AE420" s="9">
        <v>0.3</v>
      </c>
      <c r="AF420" s="9">
        <v>3</v>
      </c>
      <c r="AG420" s="9">
        <v>100</v>
      </c>
      <c r="AI420" s="69" cm="1">
        <f t="array" ref="AI420">tuple_avg(T420)/tuple_avg(AA420)</f>
        <v>0.02</v>
      </c>
      <c r="AJ420" s="69">
        <f>AC420*AI420*'-配置辅助'!$I$8</f>
        <v>2.1</v>
      </c>
      <c r="AK420" s="69">
        <f>AD420*AI420*'-配置辅助'!$I$10</f>
        <v>0.25</v>
      </c>
      <c r="AL420" s="69">
        <f>AJ420*_xlfn.XLOOKUP(H420,monsters[怪物id],monsters[HP],-1)</f>
        <v>115.5</v>
      </c>
      <c r="AM420" s="69">
        <f>AK420*_xlfn.XLOOKUP(H420,monsters[怪物id],monsters[HP],-1)</f>
        <v>13.75</v>
      </c>
    </row>
    <row r="421" spans="1:41" x14ac:dyDescent="0.2">
      <c r="J421" s="15" t="str" cm="1">
        <f t="array" ref="J421">_xlfn.LET(_xlpm.v6p,ABS(ATAN2(O421,P421))*6/PI(),
_xlpm.output,_xlfn.IFS(_xlpm.v6p&lt;1,"正前",_xlpm.v6p&gt;5,"正后",AND(_xlpm.v6p&lt;5,_xlpm.v6p&gt;2,P421&lt;-1),"脚底",_xlpm.v6p&gt;4,"后上",_xlpm.v6p&lt;2,"前上",TRUE,"顶部"),
IFERROR(_xlpm.output,""))</f>
        <v/>
      </c>
    </row>
    <row r="422" spans="1:41" x14ac:dyDescent="0.2">
      <c r="A422" s="9">
        <v>420701</v>
      </c>
      <c r="B422" s="9" t="str" cm="1">
        <f t="array" ref="B422">D422&amp;_xlfn.TEXTJOIN("",1,TEXT(E422:G422,"00"))</f>
        <v>1030000</v>
      </c>
      <c r="C422" s="30" t="str">
        <f t="shared" ref="C422:C424" si="198">_xlfn.TEXTJOIN(",",1,A422:B422)</f>
        <v>420701,1030000</v>
      </c>
      <c r="D422" s="26">
        <v>1</v>
      </c>
      <c r="E422" s="26">
        <v>3</v>
      </c>
      <c r="F422" s="26">
        <f>W422</f>
        <v>0</v>
      </c>
      <c r="G422" s="26">
        <v>0</v>
      </c>
      <c r="H422" s="9">
        <v>201707</v>
      </c>
      <c r="I422" s="15" t="str">
        <f>IFERROR(VLOOKUP(H422,monsters[#All],4,0),"")</f>
        <v>基础守卫</v>
      </c>
      <c r="J422" s="15" t="str" cm="1">
        <f t="array" ref="J422">_xlfn.LET(_xlpm.v6p,ABS(ATAN2(O422,P422))*6/PI(),
_xlpm.output,_xlfn.IFS(_xlpm.v6p&lt;1,"正前",_xlpm.v6p&gt;5,"正后",AND(_xlpm.v6p&lt;5,_xlpm.v6p&gt;2,P422&lt;-1),"脚底",_xlpm.v6p&gt;4,"后上",_xlpm.v6p&lt;2,"前上",TRUE,"顶部"),
IFERROR(_xlpm.output,""))</f>
        <v>顶部</v>
      </c>
      <c r="K422" s="12"/>
      <c r="L422" s="12" t="s">
        <v>63</v>
      </c>
      <c r="M422" s="12" t="s">
        <v>63</v>
      </c>
      <c r="N422" s="19" t="str">
        <f>O422+0&amp;","&amp;P422+0</f>
        <v>3,15</v>
      </c>
      <c r="O422" s="24">
        <v>3</v>
      </c>
      <c r="P422" s="24">
        <v>15</v>
      </c>
      <c r="Q422" s="19">
        <f t="shared" ref="Q422:Q424" si="199">_xlfn.LET(_xlpm._default,1,
_xlpm._custom,R422,
IF($A422&lt;&gt;"",IF(_xlpm._custom&lt;&gt;"",_xlpm._custom,_xlpm._default),""))</f>
        <v>1</v>
      </c>
      <c r="S422" s="9">
        <v>1</v>
      </c>
      <c r="T422" s="19" t="str">
        <f>IF(U422&lt;&gt;"", U422+0&amp;","&amp;V422+0,"")</f>
        <v>1,1</v>
      </c>
      <c r="U422" s="24">
        <v>1</v>
      </c>
      <c r="V422" s="24">
        <v>1</v>
      </c>
      <c r="W422" s="9">
        <v>0</v>
      </c>
      <c r="X422" s="9">
        <v>11</v>
      </c>
      <c r="Y422" s="19" t="str">
        <f>IF($A422&lt;&gt;"",IF($Z422&lt;&gt;"",$Z422,"0,0"),"")</f>
        <v>70,75</v>
      </c>
      <c r="Z422" s="24" t="s">
        <v>132</v>
      </c>
      <c r="AA422" s="19" t="str">
        <f>IF($A422&lt;&gt;"",IF($AB422&lt;&gt;"",$AB422,"80,120"),"")</f>
        <v>80,120</v>
      </c>
      <c r="AC422" s="9">
        <v>0.6</v>
      </c>
      <c r="AD422" s="9">
        <v>0.3</v>
      </c>
      <c r="AE422" s="9">
        <v>0.3</v>
      </c>
      <c r="AF422" s="9">
        <v>3</v>
      </c>
      <c r="AG422" s="9">
        <v>100</v>
      </c>
      <c r="AI422" s="69" cm="1">
        <f t="array" ref="AI422">tuple_avg(T422)/tuple_avg(AA422)</f>
        <v>0.01</v>
      </c>
      <c r="AJ422" s="69">
        <f>AC422*AI422*'-配置辅助'!$I$8</f>
        <v>0.6</v>
      </c>
      <c r="AK422" s="69">
        <f>AD422*AI422*'-配置辅助'!$I$10</f>
        <v>0.05</v>
      </c>
      <c r="AL422" s="69">
        <f>AJ422*_xlfn.XLOOKUP(H422,monsters[怪物id],monsters[HP],-1)</f>
        <v>33</v>
      </c>
      <c r="AM422" s="69">
        <f>AK422*_xlfn.XLOOKUP(H422,monsters[怪物id],monsters[HP],-1)</f>
        <v>2.75</v>
      </c>
    </row>
    <row r="423" spans="1:41" x14ac:dyDescent="0.2">
      <c r="A423" s="9">
        <v>420701</v>
      </c>
      <c r="B423" s="9" t="str" cm="1">
        <f t="array" ref="B423">D423&amp;_xlfn.TEXTJOIN("",1,TEXT(E423:G423,"00"))</f>
        <v>1030001</v>
      </c>
      <c r="C423" s="30" t="str">
        <f t="shared" si="198"/>
        <v>420701,1030001</v>
      </c>
      <c r="D423" s="26">
        <v>1</v>
      </c>
      <c r="E423" s="26">
        <v>3</v>
      </c>
      <c r="F423" s="26">
        <f>W423</f>
        <v>0</v>
      </c>
      <c r="G423" s="26">
        <v>1</v>
      </c>
      <c r="H423" s="9">
        <v>201707</v>
      </c>
      <c r="I423" s="15" t="str">
        <f>IFERROR(VLOOKUP(H423,monsters[#All],4,0),"")</f>
        <v>基础守卫</v>
      </c>
      <c r="J423" s="15" t="str" cm="1">
        <f t="array" ref="J423">_xlfn.LET(_xlpm.v6p,ABS(ATAN2(O423,P423))*6/PI(),
_xlpm.output,_xlfn.IFS(_xlpm.v6p&lt;1,"正前",_xlpm.v6p&gt;5,"正后",AND(_xlpm.v6p&lt;5,_xlpm.v6p&gt;2,P423&lt;-1),"脚底",_xlpm.v6p&gt;4,"后上",_xlpm.v6p&lt;2,"前上",TRUE,"顶部"),
IFERROR(_xlpm.output,""))</f>
        <v>顶部</v>
      </c>
      <c r="K423" s="12"/>
      <c r="L423" s="12" t="s">
        <v>63</v>
      </c>
      <c r="M423" s="12" t="s">
        <v>63</v>
      </c>
      <c r="N423" s="19" t="str">
        <f>O423+0&amp;","&amp;P423+0</f>
        <v>3,15</v>
      </c>
      <c r="O423" s="24">
        <v>3</v>
      </c>
      <c r="P423" s="24">
        <v>15</v>
      </c>
      <c r="Q423" s="19">
        <f t="shared" si="199"/>
        <v>1</v>
      </c>
      <c r="S423" s="9">
        <v>2</v>
      </c>
      <c r="T423" s="19" t="str">
        <f>IF(U423&lt;&gt;"", U423+0&amp;","&amp;V423+0,"")</f>
        <v>1,2</v>
      </c>
      <c r="U423" s="24">
        <v>1</v>
      </c>
      <c r="V423" s="24">
        <v>2</v>
      </c>
      <c r="W423" s="9">
        <v>0</v>
      </c>
      <c r="X423" s="9">
        <v>11</v>
      </c>
      <c r="Y423" s="19" t="str">
        <f>IF($A423&lt;&gt;"",IF($Z423&lt;&gt;"",$Z423,"0,0"),"")</f>
        <v>0,0</v>
      </c>
      <c r="AA423" s="19" t="str">
        <f>IF($A423&lt;&gt;"",IF($AB423&lt;&gt;"",$AB423,"80,120"),"")</f>
        <v>80,120</v>
      </c>
      <c r="AC423" s="9">
        <v>0.7</v>
      </c>
      <c r="AD423" s="9">
        <v>0.4</v>
      </c>
      <c r="AE423" s="9">
        <v>0.3</v>
      </c>
      <c r="AF423" s="9">
        <v>3</v>
      </c>
      <c r="AG423" s="9">
        <v>100</v>
      </c>
      <c r="AI423" s="69" cm="1">
        <f t="array" ref="AI423">tuple_avg(T423)/tuple_avg(AA423)</f>
        <v>1.4999999999999999E-2</v>
      </c>
      <c r="AJ423" s="69">
        <f>AC423*AI423*'-配置辅助'!$I$8</f>
        <v>1.0499999999999998</v>
      </c>
      <c r="AK423" s="69">
        <f>AD423*AI423*'-配置辅助'!$I$10</f>
        <v>0.1</v>
      </c>
      <c r="AL423" s="69">
        <f>AJ423*_xlfn.XLOOKUP(H423,monsters[怪物id],monsters[HP],-1)</f>
        <v>57.749999999999993</v>
      </c>
      <c r="AM423" s="69">
        <f>AK423*_xlfn.XLOOKUP(H423,monsters[怪物id],monsters[HP],-1)</f>
        <v>5.5</v>
      </c>
    </row>
    <row r="424" spans="1:41" x14ac:dyDescent="0.2">
      <c r="A424" s="9">
        <v>420701</v>
      </c>
      <c r="B424" s="9" t="str" cm="1">
        <f t="array" ref="B424">D424&amp;_xlfn.TEXTJOIN("",1,TEXT(E424:G424,"00"))</f>
        <v>1030002</v>
      </c>
      <c r="C424" s="30" t="str">
        <f t="shared" si="198"/>
        <v>420701,1030002</v>
      </c>
      <c r="D424" s="26">
        <v>1</v>
      </c>
      <c r="E424" s="26">
        <v>3</v>
      </c>
      <c r="F424" s="26">
        <f>W424</f>
        <v>0</v>
      </c>
      <c r="G424" s="26">
        <v>2</v>
      </c>
      <c r="H424" s="9">
        <v>201707</v>
      </c>
      <c r="I424" s="15" t="str">
        <f>IFERROR(VLOOKUP(H424,monsters[#All],4,0),"")</f>
        <v>基础守卫</v>
      </c>
      <c r="J424" s="15" t="str" cm="1">
        <f t="array" ref="J424">_xlfn.LET(_xlpm.v6p,ABS(ATAN2(O424,P424))*6/PI(),
_xlpm.output,_xlfn.IFS(_xlpm.v6p&lt;1,"正前",_xlpm.v6p&gt;5,"正后",AND(_xlpm.v6p&lt;5,_xlpm.v6p&gt;2,P424&lt;-1),"脚底",_xlpm.v6p&gt;4,"后上",_xlpm.v6p&lt;2,"前上",TRUE,"顶部"),
IFERROR(_xlpm.output,""))</f>
        <v>顶部</v>
      </c>
      <c r="K424" s="12"/>
      <c r="L424" s="12" t="s">
        <v>63</v>
      </c>
      <c r="M424" s="12" t="s">
        <v>63</v>
      </c>
      <c r="N424" s="19" t="str">
        <f>O424+0&amp;","&amp;P424+0</f>
        <v>3,15</v>
      </c>
      <c r="O424" s="24">
        <v>3</v>
      </c>
      <c r="P424" s="24">
        <v>15</v>
      </c>
      <c r="Q424" s="19">
        <f t="shared" si="199"/>
        <v>1</v>
      </c>
      <c r="R424" s="42"/>
      <c r="S424" s="9">
        <v>2</v>
      </c>
      <c r="T424" s="19" t="str">
        <f>IF(U424&lt;&gt;"", U424+0&amp;","&amp;V424+0,"")</f>
        <v>2,2</v>
      </c>
      <c r="U424" s="24">
        <v>2</v>
      </c>
      <c r="V424" s="24">
        <v>2</v>
      </c>
      <c r="W424" s="9">
        <v>0</v>
      </c>
      <c r="X424" s="9">
        <v>11</v>
      </c>
      <c r="Y424" s="19" t="str">
        <f>IF($A424&lt;&gt;"",IF($Z424&lt;&gt;"",$Z424,"0,0"),"")</f>
        <v>-105,-100</v>
      </c>
      <c r="Z424" s="42" t="s">
        <v>133</v>
      </c>
      <c r="AA424" s="19" t="str">
        <f>IF($A424&lt;&gt;"",IF($AB424&lt;&gt;"",$AB424,"80,120"),"")</f>
        <v>80,120</v>
      </c>
      <c r="AC424" s="9">
        <v>0.85</v>
      </c>
      <c r="AD424" s="9">
        <v>0.55000000000000004</v>
      </c>
      <c r="AE424" s="9">
        <v>0.3</v>
      </c>
      <c r="AF424" s="9">
        <v>3</v>
      </c>
      <c r="AG424" s="9">
        <v>100</v>
      </c>
      <c r="AI424" s="69" cm="1">
        <f t="array" ref="AI424">tuple_avg(T424)/tuple_avg(AA424)</f>
        <v>0.02</v>
      </c>
      <c r="AJ424" s="69">
        <f>AC424*AI424*'-配置辅助'!$I$8</f>
        <v>1.7000000000000002</v>
      </c>
      <c r="AK424" s="69">
        <f>AD424*AI424*'-配置辅助'!$I$10</f>
        <v>0.18333333333333338</v>
      </c>
      <c r="AL424" s="69">
        <f>AJ424*_xlfn.XLOOKUP(H424,monsters[怪物id],monsters[HP],-1)</f>
        <v>93.500000000000014</v>
      </c>
      <c r="AM424" s="69">
        <f>AK424*_xlfn.XLOOKUP(H424,monsters[怪物id],monsters[HP],-1)</f>
        <v>10.083333333333336</v>
      </c>
    </row>
    <row r="425" spans="1:41" x14ac:dyDescent="0.2">
      <c r="A425" s="9">
        <v>420701</v>
      </c>
      <c r="B425" s="9" t="str" cm="1">
        <f t="array" ref="B425">D425&amp;_xlfn.TEXTJOIN("",1,TEXT(E425:G425,"00"))</f>
        <v>1030003</v>
      </c>
      <c r="C425" s="30" t="str">
        <f t="shared" ref="C425" si="200">_xlfn.TEXTJOIN(",",1,A425:B425)</f>
        <v>420701,1030003</v>
      </c>
      <c r="D425" s="26">
        <v>1</v>
      </c>
      <c r="E425" s="26">
        <v>3</v>
      </c>
      <c r="F425" s="26">
        <f>W425</f>
        <v>0</v>
      </c>
      <c r="G425" s="26">
        <v>3</v>
      </c>
      <c r="H425" s="9">
        <v>201707</v>
      </c>
      <c r="I425" s="15" t="str">
        <f>IFERROR(VLOOKUP(H425,monsters[#All],4,0),"")</f>
        <v>基础守卫</v>
      </c>
      <c r="J425" s="15" t="str" cm="1">
        <f t="array" ref="J425">_xlfn.LET(_xlpm.v6p,ABS(ATAN2(O425,P425))*6/PI(),
_xlpm.output,_xlfn.IFS(_xlpm.v6p&lt;1,"正前",_xlpm.v6p&gt;5,"正后",AND(_xlpm.v6p&lt;5,_xlpm.v6p&gt;2,P425&lt;-1),"脚底",_xlpm.v6p&gt;4,"后上",_xlpm.v6p&lt;2,"前上",TRUE,"顶部"),
IFERROR(_xlpm.output,""))</f>
        <v>顶部</v>
      </c>
      <c r="K425" s="12"/>
      <c r="L425" s="12" t="s">
        <v>63</v>
      </c>
      <c r="M425" s="12" t="s">
        <v>63</v>
      </c>
      <c r="N425" s="19" t="str">
        <f>O425+0&amp;","&amp;P425+0</f>
        <v>3,15</v>
      </c>
      <c r="O425" s="24">
        <v>3</v>
      </c>
      <c r="P425" s="24">
        <v>15</v>
      </c>
      <c r="Q425" s="19">
        <f t="shared" ref="Q425" si="201">_xlfn.LET(_xlpm._default,1,
_xlpm._custom,R425,
IF($A425&lt;&gt;"",IF(_xlpm._custom&lt;&gt;"",_xlpm._custom,_xlpm._default),""))</f>
        <v>1</v>
      </c>
      <c r="R425" s="42"/>
      <c r="S425" s="9">
        <v>2</v>
      </c>
      <c r="T425" s="19" t="str">
        <f>IF(U425&lt;&gt;"", U425+0&amp;","&amp;V425+0,"")</f>
        <v>2,2</v>
      </c>
      <c r="U425" s="24">
        <v>2</v>
      </c>
      <c r="V425" s="24">
        <v>2</v>
      </c>
      <c r="W425" s="9">
        <v>0</v>
      </c>
      <c r="X425" s="9">
        <v>11</v>
      </c>
      <c r="Y425" s="19" t="str">
        <f>IF($A425&lt;&gt;"",IF($Z425&lt;&gt;"",$Z425,"0,0"),"")</f>
        <v>-255,-250</v>
      </c>
      <c r="Z425" s="42" t="s">
        <v>266</v>
      </c>
      <c r="AA425" s="19" t="str">
        <f>IF($A425&lt;&gt;"",IF($AB425&lt;&gt;"",$AB425,"80,120"),"")</f>
        <v>80,120</v>
      </c>
      <c r="AC425" s="9">
        <v>1.05</v>
      </c>
      <c r="AD425" s="9">
        <v>0.75</v>
      </c>
      <c r="AE425" s="9">
        <v>0.3</v>
      </c>
      <c r="AF425" s="9">
        <v>3</v>
      </c>
      <c r="AG425" s="9">
        <v>100</v>
      </c>
      <c r="AI425" s="69" cm="1">
        <f t="array" ref="AI425">tuple_avg(T425)/tuple_avg(AA425)</f>
        <v>0.02</v>
      </c>
      <c r="AJ425" s="69">
        <f>AC425*AI425*'-配置辅助'!$I$8</f>
        <v>2.1</v>
      </c>
      <c r="AK425" s="69">
        <f>AD425*AI425*'-配置辅助'!$I$10</f>
        <v>0.25</v>
      </c>
      <c r="AL425" s="69">
        <f>AJ425*_xlfn.XLOOKUP(H425,monsters[怪物id],monsters[HP],-1)</f>
        <v>115.5</v>
      </c>
      <c r="AM425" s="69">
        <f>AK425*_xlfn.XLOOKUP(H425,monsters[怪物id],monsters[HP],-1)</f>
        <v>13.75</v>
      </c>
    </row>
    <row r="428" spans="1:41" s="52" customFormat="1" x14ac:dyDescent="0.2">
      <c r="A428" s="48"/>
      <c r="B428" s="48"/>
      <c r="C428" s="49" t="str">
        <f t="shared" ref="C428" si="202">_xlfn.TEXTJOIN(",",1,A428:B428)</f>
        <v/>
      </c>
      <c r="D428" s="50"/>
      <c r="E428" s="50"/>
      <c r="F428" s="50"/>
      <c r="G428" s="50"/>
      <c r="H428" s="48" t="s">
        <v>174</v>
      </c>
      <c r="I428" s="51"/>
      <c r="J428" s="51"/>
      <c r="O428" s="53"/>
      <c r="P428" s="53"/>
      <c r="R428" s="53"/>
      <c r="S428" s="52" t="s">
        <v>62</v>
      </c>
      <c r="U428" s="53"/>
      <c r="V428" s="53"/>
      <c r="Z428" s="53"/>
      <c r="AB428" s="53"/>
      <c r="AC428" s="52" t="s">
        <v>62</v>
      </c>
      <c r="AI428" s="74"/>
      <c r="AJ428" s="74"/>
      <c r="AK428" s="74"/>
      <c r="AL428" s="74">
        <f>SUM(AL430:AL437)</f>
        <v>768.5</v>
      </c>
      <c r="AM428" s="74">
        <f>SUM(AM430:AM437)</f>
        <v>8.25</v>
      </c>
      <c r="AN428" s="74"/>
      <c r="AO428" s="74"/>
    </row>
    <row r="430" spans="1:41" x14ac:dyDescent="0.2">
      <c r="A430" s="9">
        <v>420702</v>
      </c>
      <c r="B430" s="9" t="str" cm="1">
        <f t="array" ref="B430">D430&amp;_xlfn.TEXTJOIN("",1,TEXT(E430:G430,"00"))</f>
        <v>1000000</v>
      </c>
      <c r="C430" s="30" t="str">
        <f t="shared" ref="C430:C431" si="203">_xlfn.TEXTJOIN(",",1,A430:B430)</f>
        <v>420702,1000000</v>
      </c>
      <c r="D430" s="26">
        <v>1</v>
      </c>
      <c r="E430" s="26">
        <v>0</v>
      </c>
      <c r="F430" s="26">
        <v>0</v>
      </c>
      <c r="G430" s="26">
        <v>0</v>
      </c>
      <c r="H430" s="9">
        <v>201709</v>
      </c>
      <c r="I430" s="15" t="str">
        <f>IFERROR(VLOOKUP(H430,monsters[#All],4,0),"")</f>
        <v>大仙人掌</v>
      </c>
      <c r="J430" s="15" t="str" cm="1">
        <f t="array" ref="J430">_xlfn.LET(_xlpm.v6p,ABS(ATAN2(O430,P430))*6/PI(),
_xlpm.output,_xlfn.IFS(_xlpm.v6p&lt;1,"正前",_xlpm.v6p&gt;5,"正后",AND(_xlpm.v6p&lt;5,_xlpm.v6p&gt;2,P430&lt;-1),"脚底",_xlpm.v6p&gt;4,"后上",_xlpm.v6p&lt;2,"前上",TRUE,"顶部"),
IFERROR(_xlpm.output,""))</f>
        <v>正前</v>
      </c>
      <c r="K430" s="12"/>
      <c r="L430" s="12" t="s">
        <v>63</v>
      </c>
      <c r="M430" s="12" t="s">
        <v>63</v>
      </c>
      <c r="N430" s="19" t="str">
        <f>O430+0&amp;","&amp;P430+0</f>
        <v>18,-1</v>
      </c>
      <c r="O430" s="24">
        <v>18</v>
      </c>
      <c r="P430" s="24">
        <v>-1</v>
      </c>
      <c r="Q430" s="19">
        <f t="shared" ref="Q430:Q431" si="204">_xlfn.LET(_xlpm._default,1,
_xlpm._custom,R430,
IF($A430&lt;&gt;"",IF(_xlpm._custom&lt;&gt;"",_xlpm._custom,_xlpm._default),""))</f>
        <v>1</v>
      </c>
      <c r="S430" s="9">
        <v>8</v>
      </c>
      <c r="T430" s="19" t="str">
        <f t="shared" ref="T430:T431" si="205">IF(U430&lt;&gt;"", U430+0&amp;","&amp;V430+0,"")</f>
        <v>1,1</v>
      </c>
      <c r="U430" s="24">
        <v>1</v>
      </c>
      <c r="V430" s="24">
        <v>1</v>
      </c>
      <c r="W430" s="9">
        <v>0</v>
      </c>
      <c r="X430" s="9">
        <v>11</v>
      </c>
      <c r="Y430" s="19" t="str">
        <f>IF($A430&lt;&gt;"",IF($Z430&lt;&gt;"",$Z430,"0,0"),"")</f>
        <v>70,75</v>
      </c>
      <c r="Z430" s="24" t="s">
        <v>132</v>
      </c>
      <c r="AA430" s="19" t="str">
        <f>IF($A430&lt;&gt;"",IF($AB430&lt;&gt;"",$AB430,"80,120"),"")</f>
        <v>80,120</v>
      </c>
      <c r="AB430" s="41"/>
      <c r="AC430" s="9">
        <v>1</v>
      </c>
      <c r="AD430" s="9">
        <v>0</v>
      </c>
      <c r="AE430" s="9">
        <v>0</v>
      </c>
      <c r="AF430" s="16"/>
      <c r="AG430" s="16"/>
      <c r="AI430" s="69" cm="1">
        <f t="array" ref="AI430">tuple_avg(T430)/tuple_avg(AA430)</f>
        <v>0.01</v>
      </c>
      <c r="AJ430" s="69">
        <f>AC430*AI430*'-配置辅助'!$I$8</f>
        <v>1</v>
      </c>
      <c r="AK430" s="69">
        <f>AD430*AI430*'-配置辅助'!$I$10</f>
        <v>0</v>
      </c>
      <c r="AL430" s="69">
        <f>AJ430*_xlfn.XLOOKUP(H430,monsters[怪物id],monsters[HP],-1)</f>
        <v>43</v>
      </c>
      <c r="AM430" s="69">
        <f>AK430*_xlfn.XLOOKUP(H430,monsters[怪物id],monsters[HP],-1)</f>
        <v>0</v>
      </c>
    </row>
    <row r="431" spans="1:41" x14ac:dyDescent="0.2">
      <c r="A431" s="9">
        <v>420702</v>
      </c>
      <c r="B431" s="9" t="str" cm="1">
        <f t="array" ref="B431">D431&amp;_xlfn.TEXTJOIN("",1,TEXT(E431:G431,"00"))</f>
        <v>1000001</v>
      </c>
      <c r="C431" s="30" t="str">
        <f t="shared" si="203"/>
        <v>420702,1000001</v>
      </c>
      <c r="D431" s="26">
        <v>1</v>
      </c>
      <c r="E431" s="26">
        <v>0</v>
      </c>
      <c r="F431" s="26">
        <v>0</v>
      </c>
      <c r="G431" s="26">
        <v>1</v>
      </c>
      <c r="H431" s="9">
        <v>201709</v>
      </c>
      <c r="I431" s="15" t="str">
        <f>IFERROR(VLOOKUP(H431,monsters[#All],4,0),"")</f>
        <v>大仙人掌</v>
      </c>
      <c r="J431" s="15" t="str" cm="1">
        <f t="array" ref="J431">_xlfn.LET(_xlpm.v6p,ABS(ATAN2(O431,P431))*6/PI(),
_xlpm.output,_xlfn.IFS(_xlpm.v6p&lt;1,"正前",_xlpm.v6p&gt;5,"正后",AND(_xlpm.v6p&lt;5,_xlpm.v6p&gt;2,P431&lt;-1),"脚底",_xlpm.v6p&gt;4,"后上",_xlpm.v6p&lt;2,"前上",TRUE,"顶部"),
IFERROR(_xlpm.output,""))</f>
        <v>正前</v>
      </c>
      <c r="K431" s="12"/>
      <c r="L431" s="12" t="s">
        <v>63</v>
      </c>
      <c r="M431" s="12" t="s">
        <v>63</v>
      </c>
      <c r="N431" s="19" t="str">
        <f>O431+0&amp;","&amp;P431+0</f>
        <v>18,-1</v>
      </c>
      <c r="O431" s="24">
        <v>18</v>
      </c>
      <c r="P431" s="24">
        <v>-1</v>
      </c>
      <c r="Q431" s="19">
        <f t="shared" si="204"/>
        <v>1</v>
      </c>
      <c r="R431" s="42"/>
      <c r="S431" s="9">
        <v>20</v>
      </c>
      <c r="T431" s="19" t="str">
        <f t="shared" si="205"/>
        <v>1,1</v>
      </c>
      <c r="U431" s="24">
        <v>1</v>
      </c>
      <c r="V431" s="24">
        <v>1</v>
      </c>
      <c r="W431" s="9">
        <v>0</v>
      </c>
      <c r="X431" s="9">
        <v>11</v>
      </c>
      <c r="Y431" s="19" t="str">
        <f>IF($A431&lt;&gt;"",IF($Z431&lt;&gt;"",$Z431,"0,0"),"")</f>
        <v>-705,-700</v>
      </c>
      <c r="Z431" s="42" t="s">
        <v>134</v>
      </c>
      <c r="AA431" s="19" t="str">
        <f>IF($A431&lt;&gt;"",IF($AB431&lt;&gt;"",$AB431,"80,120"),"")</f>
        <v>50,150</v>
      </c>
      <c r="AB431" s="42" t="s">
        <v>65</v>
      </c>
      <c r="AC431" s="9">
        <v>2.5</v>
      </c>
      <c r="AD431" s="9">
        <v>0</v>
      </c>
      <c r="AE431" s="9">
        <v>0</v>
      </c>
      <c r="AF431" s="16"/>
      <c r="AG431" s="16"/>
      <c r="AI431" s="69" cm="1">
        <f t="array" ref="AI431">tuple_avg(T431)/tuple_avg(AA431)</f>
        <v>0.01</v>
      </c>
      <c r="AJ431" s="69">
        <f>AC431*AI431*'-配置辅助'!$I$8</f>
        <v>2.5</v>
      </c>
      <c r="AK431" s="69">
        <f>AD431*AI431*'-配置辅助'!$I$10</f>
        <v>0</v>
      </c>
      <c r="AL431" s="69">
        <f>AJ431*_xlfn.XLOOKUP(H431,monsters[怪物id],monsters[HP],-1)</f>
        <v>107.5</v>
      </c>
      <c r="AM431" s="69">
        <f>AK431*_xlfn.XLOOKUP(H431,monsters[怪物id],monsters[HP],-1)</f>
        <v>0</v>
      </c>
    </row>
    <row r="432" spans="1:41" x14ac:dyDescent="0.2">
      <c r="J432" s="15" t="str" cm="1">
        <f t="array" ref="J432">_xlfn.LET(_xlpm.v6p,ABS(ATAN2(O432,P432))*6/PI(),
_xlpm.output,_xlfn.IFS(_xlpm.v6p&lt;1,"正前",_xlpm.v6p&gt;5,"正后",AND(_xlpm.v6p&lt;5,_xlpm.v6p&gt;2,P432&lt;-1),"脚底",_xlpm.v6p&gt;4,"后上",_xlpm.v6p&lt;2,"前上",TRUE,"顶部"),
IFERROR(_xlpm.output,""))</f>
        <v/>
      </c>
    </row>
    <row r="433" spans="1:41" x14ac:dyDescent="0.2">
      <c r="A433" s="9">
        <v>420702</v>
      </c>
      <c r="B433" s="9" t="str" cm="1">
        <f t="array" ref="B433">D433&amp;_xlfn.TEXTJOIN("",1,TEXT(E433:G433,"00"))</f>
        <v>2000000</v>
      </c>
      <c r="C433" s="30" t="str">
        <f t="shared" ref="C433:C434" si="206">_xlfn.TEXTJOIN(",",1,A433:B433)</f>
        <v>420702,2000000</v>
      </c>
      <c r="D433" s="26">
        <v>2</v>
      </c>
      <c r="E433" s="26">
        <v>0</v>
      </c>
      <c r="F433" s="26">
        <v>0</v>
      </c>
      <c r="G433" s="26">
        <v>0</v>
      </c>
      <c r="H433" s="9">
        <v>201710</v>
      </c>
      <c r="I433" s="15" t="str">
        <f>IFERROR(VLOOKUP(H433,monsters[#All],4,0),"")</f>
        <v>小仙人掌</v>
      </c>
      <c r="J433" s="15" t="str" cm="1">
        <f t="array" ref="J433">_xlfn.LET(_xlpm.v6p,ABS(ATAN2(O433,P433))*6/PI(),
_xlpm.output,_xlfn.IFS(_xlpm.v6p&lt;1,"正前",_xlpm.v6p&gt;5,"正后",AND(_xlpm.v6p&lt;5,_xlpm.v6p&gt;2,P433&lt;-1),"脚底",_xlpm.v6p&gt;4,"后上",_xlpm.v6p&lt;2,"前上",TRUE,"顶部"),
IFERROR(_xlpm.output,""))</f>
        <v>正前</v>
      </c>
      <c r="K433" s="12"/>
      <c r="L433" s="12" t="s">
        <v>63</v>
      </c>
      <c r="M433" s="12" t="s">
        <v>63</v>
      </c>
      <c r="N433" s="19" t="str">
        <f>O433+0&amp;","&amp;P433+0</f>
        <v>18,-2</v>
      </c>
      <c r="O433" s="24">
        <v>18</v>
      </c>
      <c r="P433" s="24">
        <v>-2</v>
      </c>
      <c r="Q433" s="19">
        <f t="shared" ref="Q433:Q434" si="207">_xlfn.LET(_xlpm._default,1,
_xlpm._custom,R433,
IF($A433&lt;&gt;"",IF(_xlpm._custom&lt;&gt;"",_xlpm._custom,_xlpm._default),""))</f>
        <v>2</v>
      </c>
      <c r="R433" s="24">
        <v>2</v>
      </c>
      <c r="S433" s="9">
        <v>16</v>
      </c>
      <c r="T433" s="19" t="str">
        <f t="shared" ref="T433:T434" si="208">IF(U433&lt;&gt;"", U433+0&amp;","&amp;V433+0,"")</f>
        <v>1,2</v>
      </c>
      <c r="U433" s="24">
        <v>1</v>
      </c>
      <c r="V433" s="24">
        <v>2</v>
      </c>
      <c r="W433" s="9">
        <v>0</v>
      </c>
      <c r="X433" s="9">
        <v>11</v>
      </c>
      <c r="Y433" s="19" t="str">
        <f>IF($A433&lt;&gt;"",IF($Z433&lt;&gt;"",$Z433,"0,0"),"")</f>
        <v>70,75</v>
      </c>
      <c r="Z433" s="24" t="s">
        <v>132</v>
      </c>
      <c r="AA433" s="19" t="str">
        <f>IF($A433&lt;&gt;"",IF($AB433&lt;&gt;"",$AB433,"80,120"),"")</f>
        <v>80,120</v>
      </c>
      <c r="AB433" s="41"/>
      <c r="AC433" s="9">
        <v>5</v>
      </c>
      <c r="AD433" s="9">
        <v>0</v>
      </c>
      <c r="AE433" s="9">
        <v>0</v>
      </c>
      <c r="AF433" s="16"/>
      <c r="AG433" s="16"/>
      <c r="AI433" s="69" cm="1">
        <f t="array" ref="AI433">tuple_avg(T433)/tuple_avg(AA433)</f>
        <v>1.4999999999999999E-2</v>
      </c>
      <c r="AJ433" s="69">
        <f>AC433*AI433*'-配置辅助'!$I$8</f>
        <v>7.5</v>
      </c>
      <c r="AK433" s="69">
        <f>AD433*AI433*'-配置辅助'!$I$10</f>
        <v>0</v>
      </c>
      <c r="AL433" s="69">
        <f>AJ433*_xlfn.XLOOKUP(H433,monsters[怪物id],monsters[HP],-1)</f>
        <v>135</v>
      </c>
      <c r="AM433" s="69">
        <f>AK433*_xlfn.XLOOKUP(H433,monsters[怪物id],monsters[HP],-1)</f>
        <v>0</v>
      </c>
    </row>
    <row r="434" spans="1:41" x14ac:dyDescent="0.2">
      <c r="A434" s="9">
        <v>420702</v>
      </c>
      <c r="B434" s="9" t="str" cm="1">
        <f t="array" ref="B434">D434&amp;_xlfn.TEXTJOIN("",1,TEXT(E434:G434,"00"))</f>
        <v>2000001</v>
      </c>
      <c r="C434" s="30" t="str">
        <f t="shared" si="206"/>
        <v>420702,2000001</v>
      </c>
      <c r="D434" s="26">
        <v>2</v>
      </c>
      <c r="E434" s="26">
        <v>0</v>
      </c>
      <c r="F434" s="26">
        <v>0</v>
      </c>
      <c r="G434" s="26">
        <v>1</v>
      </c>
      <c r="H434" s="9">
        <v>201710</v>
      </c>
      <c r="I434" s="15" t="str">
        <f>IFERROR(VLOOKUP(H434,monsters[#All],4,0),"")</f>
        <v>小仙人掌</v>
      </c>
      <c r="J434" s="15" t="str" cm="1">
        <f t="array" ref="J434">_xlfn.LET(_xlpm.v6p,ABS(ATAN2(O434,P434))*6/PI(),
_xlpm.output,_xlfn.IFS(_xlpm.v6p&lt;1,"正前",_xlpm.v6p&gt;5,"正后",AND(_xlpm.v6p&lt;5,_xlpm.v6p&gt;2,P434&lt;-1),"脚底",_xlpm.v6p&gt;4,"后上",_xlpm.v6p&lt;2,"前上",TRUE,"顶部"),
IFERROR(_xlpm.output,""))</f>
        <v>正前</v>
      </c>
      <c r="K434" s="12"/>
      <c r="L434" s="12" t="s">
        <v>63</v>
      </c>
      <c r="M434" s="12" t="s">
        <v>63</v>
      </c>
      <c r="N434" s="19" t="str">
        <f>O434+0&amp;","&amp;P434+0</f>
        <v>18,-2.5</v>
      </c>
      <c r="O434" s="24">
        <v>18</v>
      </c>
      <c r="P434" s="24">
        <v>-2.5</v>
      </c>
      <c r="Q434" s="19">
        <f t="shared" si="207"/>
        <v>2.5</v>
      </c>
      <c r="R434" s="42">
        <v>2.5</v>
      </c>
      <c r="S434" s="9">
        <v>40</v>
      </c>
      <c r="T434" s="19" t="str">
        <f t="shared" si="208"/>
        <v>1,3</v>
      </c>
      <c r="U434" s="24">
        <v>1</v>
      </c>
      <c r="V434" s="24">
        <v>3</v>
      </c>
      <c r="W434" s="9">
        <v>0</v>
      </c>
      <c r="X434" s="9">
        <v>11</v>
      </c>
      <c r="Y434" s="19" t="str">
        <f>IF($A434&lt;&gt;"",IF($Z434&lt;&gt;"",$Z434,"0,0"),"")</f>
        <v>-705,-700</v>
      </c>
      <c r="Z434" s="42" t="s">
        <v>134</v>
      </c>
      <c r="AA434" s="19" t="str">
        <f>IF($A434&lt;&gt;"",IF($AB434&lt;&gt;"",$AB434,"80,120"),"")</f>
        <v>50,150</v>
      </c>
      <c r="AB434" s="42" t="s">
        <v>65</v>
      </c>
      <c r="AC434" s="9">
        <v>12.5</v>
      </c>
      <c r="AD434" s="9">
        <v>0</v>
      </c>
      <c r="AE434" s="9">
        <v>0</v>
      </c>
      <c r="AF434" s="16"/>
      <c r="AG434" s="16"/>
      <c r="AI434" s="69" cm="1">
        <f t="array" ref="AI434">tuple_avg(T434)/tuple_avg(AA434)</f>
        <v>0.02</v>
      </c>
      <c r="AJ434" s="69">
        <f>AC434*AI434*'-配置辅助'!$I$8</f>
        <v>25</v>
      </c>
      <c r="AK434" s="69">
        <f>AD434*AI434*'-配置辅助'!$I$10</f>
        <v>0</v>
      </c>
      <c r="AL434" s="69">
        <f>AJ434*_xlfn.XLOOKUP(H434,monsters[怪物id],monsters[HP],-1)</f>
        <v>450</v>
      </c>
      <c r="AM434" s="69">
        <f>AK434*_xlfn.XLOOKUP(H434,monsters[怪物id],monsters[HP],-1)</f>
        <v>0</v>
      </c>
    </row>
    <row r="435" spans="1:41" x14ac:dyDescent="0.2">
      <c r="J435" s="15" t="str" cm="1">
        <f t="array" ref="J435">_xlfn.LET(_xlpm.v6p,ABS(ATAN2(O435,P435))*6/PI(),
_xlpm.output,_xlfn.IFS(_xlpm.v6p&lt;1,"正前",_xlpm.v6p&gt;5,"正后",AND(_xlpm.v6p&lt;5,_xlpm.v6p&gt;2,P435&lt;-1),"脚底",_xlpm.v6p&gt;4,"后上",_xlpm.v6p&lt;2,"前上",TRUE,"顶部"),
IFERROR(_xlpm.output,""))</f>
        <v/>
      </c>
    </row>
    <row r="436" spans="1:41" x14ac:dyDescent="0.2">
      <c r="A436" s="9">
        <v>420702</v>
      </c>
      <c r="B436" s="9" t="str" cm="1">
        <f t="array" ref="B436">D436&amp;_xlfn.TEXTJOIN("",1,TEXT(E436:G436,"00"))</f>
        <v>3000000</v>
      </c>
      <c r="C436" s="30" t="str">
        <f t="shared" ref="C436:C437" si="209">_xlfn.TEXTJOIN(",",1,A436:B436)</f>
        <v>420702,3000000</v>
      </c>
      <c r="D436" s="26">
        <v>3</v>
      </c>
      <c r="E436" s="26">
        <v>0</v>
      </c>
      <c r="F436" s="26">
        <f>W436</f>
        <v>0</v>
      </c>
      <c r="G436" s="26">
        <v>0</v>
      </c>
      <c r="H436" s="9">
        <v>201707</v>
      </c>
      <c r="I436" s="15" t="str">
        <f>IFERROR(VLOOKUP(H436,monsters[#All],4,0),"")</f>
        <v>基础守卫</v>
      </c>
      <c r="J436" s="15" t="str" cm="1">
        <f t="array" ref="J436">_xlfn.LET(_xlpm.v6p,ABS(ATAN2(O436,P436))*6/PI(),
_xlpm.output,_xlfn.IFS(_xlpm.v6p&lt;1,"正前",_xlpm.v6p&gt;5,"正后",AND(_xlpm.v6p&lt;5,_xlpm.v6p&gt;2,P436&lt;-1),"脚底",_xlpm.v6p&gt;4,"后上",_xlpm.v6p&lt;2,"前上",TRUE,"顶部"),
IFERROR(_xlpm.output,""))</f>
        <v>后上</v>
      </c>
      <c r="K436" s="12"/>
      <c r="L436" s="12" t="s">
        <v>63</v>
      </c>
      <c r="M436" s="12" t="s">
        <v>63</v>
      </c>
      <c r="N436" s="19" t="str">
        <f>O436+0&amp;","&amp;P436+0</f>
        <v>-15,10</v>
      </c>
      <c r="O436" s="24">
        <v>-15</v>
      </c>
      <c r="P436" s="24">
        <v>10</v>
      </c>
      <c r="Q436" s="19">
        <f t="shared" ref="Q436:Q437" si="210">_xlfn.LET(_xlpm._default,1,
_xlpm._custom,R436,
IF($A436&lt;&gt;"",IF(_xlpm._custom&lt;&gt;"",_xlpm._custom,_xlpm._default),""))</f>
        <v>1</v>
      </c>
      <c r="S436" s="9">
        <v>2</v>
      </c>
      <c r="T436" s="19" t="str">
        <f>IF(U436&lt;&gt;"", U436+0&amp;","&amp;V436+0,"")</f>
        <v>1,2</v>
      </c>
      <c r="U436" s="24">
        <v>1</v>
      </c>
      <c r="V436" s="24">
        <v>2</v>
      </c>
      <c r="W436" s="9">
        <v>0</v>
      </c>
      <c r="X436" s="9">
        <v>11</v>
      </c>
      <c r="Y436" s="19" t="str">
        <f>IF($A436&lt;&gt;"",IF($Z436&lt;&gt;"",$Z436,"0,0"),"")</f>
        <v>0,0</v>
      </c>
      <c r="AA436" s="19" t="str">
        <f>IF($A436&lt;&gt;"",IF($AB436&lt;&gt;"",$AB436,"80,120"),"")</f>
        <v>80,120</v>
      </c>
      <c r="AC436" s="9">
        <v>0.3</v>
      </c>
      <c r="AD436" s="9">
        <v>0.4</v>
      </c>
      <c r="AE436" s="9">
        <v>0.3</v>
      </c>
      <c r="AF436" s="9">
        <v>3</v>
      </c>
      <c r="AG436" s="9">
        <v>100</v>
      </c>
      <c r="AI436" s="69" cm="1">
        <f t="array" ref="AI436">tuple_avg(T436)/tuple_avg(AA436)</f>
        <v>1.4999999999999999E-2</v>
      </c>
      <c r="AJ436" s="69">
        <f>AC436*AI436*'-配置辅助'!$I$8</f>
        <v>0.44999999999999996</v>
      </c>
      <c r="AK436" s="69">
        <f>AD436*AI436*'-配置辅助'!$I$10</f>
        <v>0.1</v>
      </c>
      <c r="AL436" s="69">
        <f>AJ436*_xlfn.XLOOKUP(H436,monsters[怪物id],monsters[HP],-1)</f>
        <v>24.749999999999996</v>
      </c>
      <c r="AM436" s="69">
        <f>AK436*_xlfn.XLOOKUP(H436,monsters[怪物id],monsters[HP],-1)</f>
        <v>5.5</v>
      </c>
    </row>
    <row r="437" spans="1:41" x14ac:dyDescent="0.2">
      <c r="A437" s="9">
        <v>420702</v>
      </c>
      <c r="B437" s="9" t="str" cm="1">
        <f t="array" ref="B437">D437&amp;_xlfn.TEXTJOIN("",1,TEXT(E437:G437,"00"))</f>
        <v>3010000</v>
      </c>
      <c r="C437" s="30" t="str">
        <f t="shared" si="209"/>
        <v>420702,3010000</v>
      </c>
      <c r="D437" s="26">
        <v>3</v>
      </c>
      <c r="E437" s="26">
        <v>1</v>
      </c>
      <c r="F437" s="26">
        <f>W437</f>
        <v>0</v>
      </c>
      <c r="G437" s="26">
        <v>0</v>
      </c>
      <c r="H437" s="9">
        <v>201707</v>
      </c>
      <c r="I437" s="15" t="str">
        <f>IFERROR(VLOOKUP(H437,monsters[#All],4,0),"")</f>
        <v>基础守卫</v>
      </c>
      <c r="J437" s="15" t="str" cm="1">
        <f t="array" ref="J437">_xlfn.LET(_xlpm.v6p,ABS(ATAN2(O437,P437))*6/PI(),
_xlpm.output,_xlfn.IFS(_xlpm.v6p&lt;1,"正前",_xlpm.v6p&gt;5,"正后",AND(_xlpm.v6p&lt;5,_xlpm.v6p&gt;2,P437&lt;-1),"脚底",_xlpm.v6p&gt;4,"后上",_xlpm.v6p&lt;2,"前上",TRUE,"顶部"),
IFERROR(_xlpm.output,""))</f>
        <v>顶部</v>
      </c>
      <c r="K437" s="12"/>
      <c r="L437" s="12" t="s">
        <v>63</v>
      </c>
      <c r="M437" s="12" t="s">
        <v>63</v>
      </c>
      <c r="N437" s="19" t="str">
        <f>O437+0&amp;","&amp;P437+0</f>
        <v>3,15</v>
      </c>
      <c r="O437" s="24">
        <v>3</v>
      </c>
      <c r="P437" s="24">
        <v>15</v>
      </c>
      <c r="Q437" s="19">
        <f t="shared" si="210"/>
        <v>1</v>
      </c>
      <c r="R437" s="42"/>
      <c r="S437" s="9">
        <v>2</v>
      </c>
      <c r="T437" s="19" t="str">
        <f>IF(U437&lt;&gt;"", U437+0&amp;","&amp;V437+0,"")</f>
        <v>1,2</v>
      </c>
      <c r="U437" s="24">
        <v>1</v>
      </c>
      <c r="V437" s="24">
        <v>2</v>
      </c>
      <c r="W437" s="9">
        <v>0</v>
      </c>
      <c r="X437" s="9">
        <v>11</v>
      </c>
      <c r="Y437" s="19" t="str">
        <f>IF($A437&lt;&gt;"",IF($Z437&lt;&gt;"",$Z437,"0,0"),"")</f>
        <v>-105,-100</v>
      </c>
      <c r="Z437" s="42" t="s">
        <v>133</v>
      </c>
      <c r="AA437" s="19" t="str">
        <f>IF($A437&lt;&gt;"",IF($AB437&lt;&gt;"",$AB437,"80,120"),"")</f>
        <v>80,120</v>
      </c>
      <c r="AC437" s="9">
        <v>0.1</v>
      </c>
      <c r="AD437" s="9">
        <v>0.2</v>
      </c>
      <c r="AE437" s="9">
        <v>0.3</v>
      </c>
      <c r="AF437" s="9">
        <v>3</v>
      </c>
      <c r="AG437" s="9">
        <v>100</v>
      </c>
      <c r="AI437" s="69" cm="1">
        <f t="array" ref="AI437">tuple_avg(T437)/tuple_avg(AA437)</f>
        <v>1.4999999999999999E-2</v>
      </c>
      <c r="AJ437" s="69">
        <f>AC437*AI437*'-配置辅助'!$I$8</f>
        <v>0.15</v>
      </c>
      <c r="AK437" s="69">
        <f>AD437*AI437*'-配置辅助'!$I$10</f>
        <v>0.05</v>
      </c>
      <c r="AL437" s="69">
        <f>AJ437*_xlfn.XLOOKUP(H437,monsters[怪物id],monsters[HP],-1)</f>
        <v>8.25</v>
      </c>
      <c r="AM437" s="69">
        <f>AK437*_xlfn.XLOOKUP(H437,monsters[怪物id],monsters[HP],-1)</f>
        <v>2.75</v>
      </c>
    </row>
    <row r="440" spans="1:41" s="52" customFormat="1" x14ac:dyDescent="0.2">
      <c r="A440" s="48"/>
      <c r="B440" s="48"/>
      <c r="C440" s="49" t="str">
        <f t="shared" ref="C440" si="211">_xlfn.TEXTJOIN(",",1,A440:B440)</f>
        <v/>
      </c>
      <c r="D440" s="50"/>
      <c r="E440" s="50"/>
      <c r="F440" s="50"/>
      <c r="G440" s="50"/>
      <c r="H440" s="48" t="s">
        <v>176</v>
      </c>
      <c r="I440" s="51"/>
      <c r="J440" s="51"/>
      <c r="O440" s="53"/>
      <c r="P440" s="53"/>
      <c r="R440" s="53"/>
      <c r="S440" s="52" t="s">
        <v>62</v>
      </c>
      <c r="U440" s="53"/>
      <c r="V440" s="53"/>
      <c r="Z440" s="53"/>
      <c r="AB440" s="53"/>
      <c r="AC440" s="52" t="s">
        <v>62</v>
      </c>
      <c r="AI440" s="74"/>
      <c r="AJ440" s="74"/>
      <c r="AK440" s="74"/>
      <c r="AL440" s="74">
        <f>SUM(AL442:AL451)</f>
        <v>63.401756406257626</v>
      </c>
      <c r="AM440" s="74">
        <f>SUM(AM442:AM451)</f>
        <v>146.43155515578673</v>
      </c>
      <c r="AN440" s="74"/>
      <c r="AO440" s="74"/>
    </row>
    <row r="442" spans="1:41" x14ac:dyDescent="0.2">
      <c r="A442" s="9">
        <v>420703</v>
      </c>
      <c r="B442" s="9" t="str" cm="1">
        <f t="array" ref="B442">D442&amp;_xlfn.TEXTJOIN("",1,TEXT(E442:G442,"00"))</f>
        <v>1000000</v>
      </c>
      <c r="C442" s="30" t="str">
        <f t="shared" ref="C442:C443" si="212">_xlfn.TEXTJOIN(",",1,A442:B442)</f>
        <v>420703,1000000</v>
      </c>
      <c r="D442" s="26">
        <v>1</v>
      </c>
      <c r="E442" s="26">
        <v>0</v>
      </c>
      <c r="F442" s="26">
        <v>0</v>
      </c>
      <c r="G442" s="26">
        <v>0</v>
      </c>
      <c r="H442" s="9">
        <v>201711</v>
      </c>
      <c r="I442" s="15" t="str">
        <f>IFERROR(VLOOKUP(H442,monsters[#All],4,0),"")</f>
        <v>大风滚草</v>
      </c>
      <c r="J442" s="15" t="str" cm="1">
        <f t="array" ref="J442">_xlfn.LET(_xlpm.v6p,ABS(ATAN2(O442,P442))*6/PI(),
_xlpm.output,_xlfn.IFS(_xlpm.v6p&lt;1,"正前",_xlpm.v6p&gt;5,"正后",AND(_xlpm.v6p&lt;5,_xlpm.v6p&gt;2,P442&lt;-1),"脚底",_xlpm.v6p&gt;4,"后上",_xlpm.v6p&lt;2,"前上",TRUE,"顶部"),
IFERROR(_xlpm.output,""))</f>
        <v>正前</v>
      </c>
      <c r="K442" s="12"/>
      <c r="L442" s="12" t="s">
        <v>63</v>
      </c>
      <c r="M442" s="12" t="s">
        <v>63</v>
      </c>
      <c r="N442" s="19" t="str">
        <f>O442+0&amp;","&amp;P442+0</f>
        <v>18,-1</v>
      </c>
      <c r="O442" s="24">
        <v>18</v>
      </c>
      <c r="P442" s="24">
        <v>-1</v>
      </c>
      <c r="Q442" s="19">
        <f t="shared" ref="Q442:Q443" si="213">_xlfn.LET(_xlpm._default,1,
_xlpm._custom,R442,
IF($A442&lt;&gt;"",IF(_xlpm._custom&lt;&gt;"",_xlpm._custom,_xlpm._default),""))</f>
        <v>1</v>
      </c>
      <c r="S442" s="9">
        <v>5</v>
      </c>
      <c r="T442" s="19" t="str">
        <f t="shared" ref="T442:T443" si="214">IF(U442&lt;&gt;"", U442+0&amp;","&amp;V442+0,"")</f>
        <v>1,1</v>
      </c>
      <c r="U442" s="24">
        <v>1</v>
      </c>
      <c r="V442" s="24">
        <v>1</v>
      </c>
      <c r="W442" s="9">
        <v>0</v>
      </c>
      <c r="X442" s="9">
        <v>11</v>
      </c>
      <c r="Y442" s="19" t="str">
        <f>IF($A442&lt;&gt;"",IF($Z442&lt;&gt;"",$Z442,"0,0"),"")</f>
        <v>110,114</v>
      </c>
      <c r="Z442" s="42" t="s">
        <v>183</v>
      </c>
      <c r="AA442" s="19" t="str">
        <f>IF($A442&lt;&gt;"",IF($AB442&lt;&gt;"",$AB442,"80,120"),"")</f>
        <v>115,120</v>
      </c>
      <c r="AB442" s="42" t="s">
        <v>182</v>
      </c>
      <c r="AC442" s="9">
        <v>0.1</v>
      </c>
      <c r="AD442" s="9">
        <v>10</v>
      </c>
      <c r="AE442" s="9">
        <v>0</v>
      </c>
      <c r="AF442" s="16"/>
      <c r="AG442" s="16"/>
      <c r="AI442" s="69" cm="1">
        <f t="array" ref="AI442">tuple_avg(T442)/tuple_avg(AA442)</f>
        <v>8.5106382978723406E-3</v>
      </c>
      <c r="AJ442" s="69">
        <f>AC442*AI442*'-配置辅助'!$I$8</f>
        <v>8.5106382978723416E-2</v>
      </c>
      <c r="AK442" s="69">
        <f>AD442*AI442*'-配置辅助'!$I$10</f>
        <v>1.4184397163120568</v>
      </c>
      <c r="AL442" s="69">
        <f>AJ442*_xlfn.XLOOKUP(H442,monsters[怪物id],monsters[HP],-1)</f>
        <v>1.4468085106382982</v>
      </c>
      <c r="AM442" s="69">
        <f>AK442*_xlfn.XLOOKUP(H442,monsters[怪物id],monsters[HP],-1)</f>
        <v>24.113475177304966</v>
      </c>
    </row>
    <row r="443" spans="1:41" x14ac:dyDescent="0.2">
      <c r="A443" s="9">
        <v>420703</v>
      </c>
      <c r="B443" s="9" t="str" cm="1">
        <f t="array" ref="B443">D443&amp;_xlfn.TEXTJOIN("",1,TEXT(E443:G443,"00"))</f>
        <v>1000001</v>
      </c>
      <c r="C443" s="30" t="str">
        <f t="shared" si="212"/>
        <v>420703,1000001</v>
      </c>
      <c r="D443" s="26">
        <v>1</v>
      </c>
      <c r="E443" s="26">
        <v>0</v>
      </c>
      <c r="F443" s="26">
        <v>0</v>
      </c>
      <c r="G443" s="26">
        <v>1</v>
      </c>
      <c r="H443" s="9">
        <v>201711</v>
      </c>
      <c r="I443" s="15" t="str">
        <f>IFERROR(VLOOKUP(H443,monsters[#All],4,0),"")</f>
        <v>大风滚草</v>
      </c>
      <c r="J443" s="15" t="str" cm="1">
        <f t="array" ref="J443">_xlfn.LET(_xlpm.v6p,ABS(ATAN2(O443,P443))*6/PI(),
_xlpm.output,_xlfn.IFS(_xlpm.v6p&lt;1,"正前",_xlpm.v6p&gt;5,"正后",AND(_xlpm.v6p&lt;5,_xlpm.v6p&gt;2,P443&lt;-1),"脚底",_xlpm.v6p&gt;4,"后上",_xlpm.v6p&lt;2,"前上",TRUE,"顶部"),
IFERROR(_xlpm.output,""))</f>
        <v>正前</v>
      </c>
      <c r="K443" s="12"/>
      <c r="L443" s="12" t="s">
        <v>63</v>
      </c>
      <c r="M443" s="12" t="s">
        <v>63</v>
      </c>
      <c r="N443" s="19" t="str">
        <f>O443+0&amp;","&amp;P443+0</f>
        <v>18,-1</v>
      </c>
      <c r="O443" s="24">
        <v>18</v>
      </c>
      <c r="P443" s="24">
        <v>-1</v>
      </c>
      <c r="Q443" s="19">
        <f t="shared" si="213"/>
        <v>1</v>
      </c>
      <c r="R443" s="42"/>
      <c r="S443" s="9">
        <v>5</v>
      </c>
      <c r="T443" s="19" t="str">
        <f t="shared" si="214"/>
        <v>1,1</v>
      </c>
      <c r="U443" s="24">
        <v>1</v>
      </c>
      <c r="V443" s="24">
        <v>1</v>
      </c>
      <c r="W443" s="9">
        <v>0</v>
      </c>
      <c r="X443" s="9">
        <v>11</v>
      </c>
      <c r="Y443" s="19" t="str">
        <f>IF($A443&lt;&gt;"",IF($Z443&lt;&gt;"",$Z443,"0,0"),"")</f>
        <v>190,194</v>
      </c>
      <c r="Z443" s="42" t="s">
        <v>184</v>
      </c>
      <c r="AA443" s="19" t="str">
        <f>IF($A443&lt;&gt;"",IF($AB443&lt;&gt;"",$AB443,"80,120"),"")</f>
        <v>195,200</v>
      </c>
      <c r="AB443" s="42" t="s">
        <v>178</v>
      </c>
      <c r="AC443" s="9">
        <v>0.15</v>
      </c>
      <c r="AD443" s="9">
        <v>12</v>
      </c>
      <c r="AE443" s="9">
        <v>0</v>
      </c>
      <c r="AF443" s="16"/>
      <c r="AG443" s="16"/>
      <c r="AI443" s="69" cm="1">
        <f t="array" ref="AI443">tuple_avg(T443)/tuple_avg(AA443)</f>
        <v>5.0632911392405064E-3</v>
      </c>
      <c r="AJ443" s="69">
        <f>AC443*AI443*'-配置辅助'!$I$8</f>
        <v>7.5949367088607597E-2</v>
      </c>
      <c r="AK443" s="69">
        <f>AD443*AI443*'-配置辅助'!$I$10</f>
        <v>1.0126582278481013</v>
      </c>
      <c r="AL443" s="69">
        <f>AJ443*_xlfn.XLOOKUP(H443,monsters[怪物id],monsters[HP],-1)</f>
        <v>1.2911392405063291</v>
      </c>
      <c r="AM443" s="69">
        <f>AK443*_xlfn.XLOOKUP(H443,monsters[怪物id],monsters[HP],-1)</f>
        <v>17.215189873417721</v>
      </c>
    </row>
    <row r="444" spans="1:41" x14ac:dyDescent="0.2">
      <c r="A444" s="9">
        <v>420703</v>
      </c>
      <c r="B444" s="9" t="str" cm="1">
        <f t="array" ref="B444">D444&amp;_xlfn.TEXTJOIN("",1,TEXT(E444:G444,"00"))</f>
        <v>1000002</v>
      </c>
      <c r="C444" s="30" t="str">
        <f t="shared" ref="C444" si="215">_xlfn.TEXTJOIN(",",1,A444:B444)</f>
        <v>420703,1000002</v>
      </c>
      <c r="D444" s="26">
        <v>1</v>
      </c>
      <c r="E444" s="26">
        <v>0</v>
      </c>
      <c r="F444" s="26">
        <v>0</v>
      </c>
      <c r="G444" s="26">
        <v>2</v>
      </c>
      <c r="H444" s="9">
        <v>201711</v>
      </c>
      <c r="I444" s="15" t="str">
        <f>IFERROR(VLOOKUP(H444,monsters[#All],4,0),"")</f>
        <v>大风滚草</v>
      </c>
      <c r="J444" s="15" t="str" cm="1">
        <f t="array" ref="J444">_xlfn.LET(_xlpm.v6p,ABS(ATAN2(O444,P444))*6/PI(),
_xlpm.output,_xlfn.IFS(_xlpm.v6p&lt;1,"正前",_xlpm.v6p&gt;5,"正后",AND(_xlpm.v6p&lt;5,_xlpm.v6p&gt;2,P444&lt;-1),"脚底",_xlpm.v6p&gt;4,"后上",_xlpm.v6p&lt;2,"前上",TRUE,"顶部"),
IFERROR(_xlpm.output,""))</f>
        <v>正前</v>
      </c>
      <c r="K444" s="12"/>
      <c r="L444" s="12" t="s">
        <v>63</v>
      </c>
      <c r="M444" s="12" t="s">
        <v>63</v>
      </c>
      <c r="N444" s="19" t="str">
        <f>O444+0&amp;","&amp;P444+0</f>
        <v>18,-1</v>
      </c>
      <c r="O444" s="24">
        <v>18</v>
      </c>
      <c r="P444" s="24">
        <v>-1</v>
      </c>
      <c r="Q444" s="19">
        <f t="shared" ref="Q444" si="216">_xlfn.LET(_xlpm._default,1,
_xlpm._custom,R444,
IF($A444&lt;&gt;"",IF(_xlpm._custom&lt;&gt;"",_xlpm._custom,_xlpm._default),""))</f>
        <v>1</v>
      </c>
      <c r="R444" s="42"/>
      <c r="S444" s="9">
        <v>5</v>
      </c>
      <c r="T444" s="19" t="str">
        <f t="shared" ref="T444" si="217">IF(U444&lt;&gt;"", U444+0&amp;","&amp;V444+0,"")</f>
        <v>1,1</v>
      </c>
      <c r="U444" s="24">
        <v>1</v>
      </c>
      <c r="V444" s="24">
        <v>1</v>
      </c>
      <c r="W444" s="9">
        <v>0</v>
      </c>
      <c r="X444" s="9">
        <v>11</v>
      </c>
      <c r="Y444" s="19" t="str">
        <f>IF($A444&lt;&gt;"",IF($Z444&lt;&gt;"",$Z444,"0,0"),"")</f>
        <v>280,284</v>
      </c>
      <c r="Z444" s="42" t="s">
        <v>187</v>
      </c>
      <c r="AA444" s="19" t="str">
        <f>IF($A444&lt;&gt;"",IF($AB444&lt;&gt;"",$AB444,"80,120"),"")</f>
        <v>285,290</v>
      </c>
      <c r="AB444" s="42" t="s">
        <v>186</v>
      </c>
      <c r="AC444" s="9">
        <v>0.25</v>
      </c>
      <c r="AD444" s="9">
        <v>14</v>
      </c>
      <c r="AE444" s="9">
        <v>0</v>
      </c>
      <c r="AF444" s="16"/>
      <c r="AG444" s="16"/>
      <c r="AI444" s="69" cm="1">
        <f t="array" ref="AI444">tuple_avg(T444)/tuple_avg(AA444)</f>
        <v>3.4782608695652175E-3</v>
      </c>
      <c r="AJ444" s="69">
        <f>AC444*AI444*'-配置辅助'!$I$8</f>
        <v>8.6956521739130432E-2</v>
      </c>
      <c r="AK444" s="69">
        <f>AD444*AI444*'-配置辅助'!$I$10</f>
        <v>0.81159420289855078</v>
      </c>
      <c r="AL444" s="69">
        <f>AJ444*_xlfn.XLOOKUP(H444,monsters[怪物id],monsters[HP],-1)</f>
        <v>1.4782608695652173</v>
      </c>
      <c r="AM444" s="69">
        <f>AK444*_xlfn.XLOOKUP(H444,monsters[怪物id],monsters[HP],-1)</f>
        <v>13.797101449275363</v>
      </c>
    </row>
    <row r="445" spans="1:41" x14ac:dyDescent="0.2">
      <c r="J445" s="15" t="str" cm="1">
        <f t="array" ref="J445">_xlfn.LET(_xlpm.v6p,ABS(ATAN2(O445,P445))*6/PI(),
_xlpm.output,_xlfn.IFS(_xlpm.v6p&lt;1,"正前",_xlpm.v6p&gt;5,"正后",AND(_xlpm.v6p&lt;5,_xlpm.v6p&gt;2,P445&lt;-1),"脚底",_xlpm.v6p&gt;4,"后上",_xlpm.v6p&lt;2,"前上",TRUE,"顶部"),
IFERROR(_xlpm.output,""))</f>
        <v/>
      </c>
    </row>
    <row r="446" spans="1:41" x14ac:dyDescent="0.2">
      <c r="A446" s="9">
        <v>420703</v>
      </c>
      <c r="B446" s="9" t="str" cm="1">
        <f t="array" ref="B446">D446&amp;_xlfn.TEXTJOIN("",1,TEXT(E446:G446,"00"))</f>
        <v>2000000</v>
      </c>
      <c r="C446" s="30" t="str">
        <f t="shared" ref="C446:C447" si="218">_xlfn.TEXTJOIN(",",1,A446:B446)</f>
        <v>420703,2000000</v>
      </c>
      <c r="D446" s="26">
        <v>2</v>
      </c>
      <c r="E446" s="26">
        <v>0</v>
      </c>
      <c r="F446" s="26">
        <v>0</v>
      </c>
      <c r="G446" s="26">
        <v>0</v>
      </c>
      <c r="H446" s="9">
        <v>201712</v>
      </c>
      <c r="I446" s="15" t="str">
        <f>IFERROR(VLOOKUP(H446,monsters[#All],4,0),"")</f>
        <v>小风滚草</v>
      </c>
      <c r="J446" s="15" t="str" cm="1">
        <f t="array" ref="J446">_xlfn.LET(_xlpm.v6p,ABS(ATAN2(O446,P446))*6/PI(),
_xlpm.output,_xlfn.IFS(_xlpm.v6p&lt;1,"正前",_xlpm.v6p&gt;5,"正后",AND(_xlpm.v6p&lt;5,_xlpm.v6p&gt;2,P446&lt;-1),"脚底",_xlpm.v6p&gt;4,"后上",_xlpm.v6p&lt;2,"前上",TRUE,"顶部"),
IFERROR(_xlpm.output,""))</f>
        <v>正前</v>
      </c>
      <c r="K446" s="12"/>
      <c r="L446" s="12" t="s">
        <v>63</v>
      </c>
      <c r="M446" s="12" t="s">
        <v>63</v>
      </c>
      <c r="N446" s="19" t="str">
        <f>O446+0&amp;","&amp;P446+0</f>
        <v>18,-1</v>
      </c>
      <c r="O446" s="24">
        <v>18</v>
      </c>
      <c r="P446" s="24">
        <v>-1</v>
      </c>
      <c r="Q446" s="19">
        <f t="shared" ref="Q446:Q447" si="219">_xlfn.LET(_xlpm._default,1,
_xlpm._custom,R446,
IF($A446&lt;&gt;"",IF(_xlpm._custom&lt;&gt;"",_xlpm._custom,_xlpm._default),""))</f>
        <v>2</v>
      </c>
      <c r="R446" s="24">
        <v>2</v>
      </c>
      <c r="S446" s="9">
        <v>12</v>
      </c>
      <c r="T446" s="19" t="str">
        <f t="shared" ref="T446:T447" si="220">IF(U446&lt;&gt;"", U446+0&amp;","&amp;V446+0,"")</f>
        <v>1,3</v>
      </c>
      <c r="U446" s="24">
        <v>1</v>
      </c>
      <c r="V446" s="24">
        <v>3</v>
      </c>
      <c r="W446" s="9">
        <v>0</v>
      </c>
      <c r="X446" s="9">
        <v>11</v>
      </c>
      <c r="Y446" s="19" t="str">
        <f>IF($A446&lt;&gt;"",IF($Z446&lt;&gt;"",$Z446,"0,0"),"")</f>
        <v>90,94</v>
      </c>
      <c r="Z446" s="42" t="s">
        <v>185</v>
      </c>
      <c r="AA446" s="19" t="str">
        <f>IF($A446&lt;&gt;"",IF($AB446&lt;&gt;"",$AB446,"80,120"),"")</f>
        <v>95,100</v>
      </c>
      <c r="AB446" s="42" t="s">
        <v>179</v>
      </c>
      <c r="AC446" s="9">
        <v>0.5</v>
      </c>
      <c r="AD446" s="9">
        <v>14</v>
      </c>
      <c r="AE446" s="9">
        <v>0</v>
      </c>
      <c r="AF446" s="16"/>
      <c r="AG446" s="16"/>
      <c r="AI446" s="69" cm="1">
        <f t="array" ref="AI446">tuple_avg(T446)/tuple_avg(AA446)</f>
        <v>2.0512820512820513E-2</v>
      </c>
      <c r="AJ446" s="69">
        <f>AC446*AI446*'-配置辅助'!$I$8</f>
        <v>1.0256410256410255</v>
      </c>
      <c r="AK446" s="69">
        <f>AD446*AI446*'-配置辅助'!$I$10</f>
        <v>4.7863247863247862</v>
      </c>
      <c r="AL446" s="69">
        <f>AJ446*_xlfn.XLOOKUP(H446,monsters[怪物id],monsters[HP],-1)</f>
        <v>7.1794871794871788</v>
      </c>
      <c r="AM446" s="69">
        <f>AK446*_xlfn.XLOOKUP(H446,monsters[怪物id],monsters[HP],-1)</f>
        <v>33.504273504273506</v>
      </c>
    </row>
    <row r="447" spans="1:41" x14ac:dyDescent="0.2">
      <c r="A447" s="9">
        <v>420703</v>
      </c>
      <c r="B447" s="9" t="str" cm="1">
        <f t="array" ref="B447">D447&amp;_xlfn.TEXTJOIN("",1,TEXT(E447:G447,"00"))</f>
        <v>2000001</v>
      </c>
      <c r="C447" s="30" t="str">
        <f t="shared" si="218"/>
        <v>420703,2000001</v>
      </c>
      <c r="D447" s="26">
        <v>2</v>
      </c>
      <c r="E447" s="26">
        <v>0</v>
      </c>
      <c r="F447" s="26">
        <v>0</v>
      </c>
      <c r="G447" s="26">
        <v>1</v>
      </c>
      <c r="H447" s="9">
        <v>201712</v>
      </c>
      <c r="I447" s="15" t="str">
        <f>IFERROR(VLOOKUP(H447,monsters[#All],4,0),"")</f>
        <v>小风滚草</v>
      </c>
      <c r="J447" s="15" t="str" cm="1">
        <f t="array" ref="J447">_xlfn.LET(_xlpm.v6p,ABS(ATAN2(O447,P447))*6/PI(),
_xlpm.output,_xlfn.IFS(_xlpm.v6p&lt;1,"正前",_xlpm.v6p&gt;5,"正后",AND(_xlpm.v6p&lt;5,_xlpm.v6p&gt;2,P447&lt;-1),"脚底",_xlpm.v6p&gt;4,"后上",_xlpm.v6p&lt;2,"前上",TRUE,"顶部"),
IFERROR(_xlpm.output,""))</f>
        <v>正前</v>
      </c>
      <c r="K447" s="12"/>
      <c r="L447" s="12" t="s">
        <v>63</v>
      </c>
      <c r="M447" s="12" t="s">
        <v>63</v>
      </c>
      <c r="N447" s="19" t="str">
        <f>O447+0&amp;","&amp;P447+0</f>
        <v>18,-1</v>
      </c>
      <c r="O447" s="24">
        <v>18</v>
      </c>
      <c r="P447" s="24">
        <v>-1</v>
      </c>
      <c r="Q447" s="19">
        <f t="shared" si="219"/>
        <v>2</v>
      </c>
      <c r="R447" s="42">
        <v>2</v>
      </c>
      <c r="S447" s="9">
        <v>12</v>
      </c>
      <c r="T447" s="19" t="str">
        <f t="shared" si="220"/>
        <v>1,3</v>
      </c>
      <c r="U447" s="24">
        <v>1</v>
      </c>
      <c r="V447" s="24">
        <v>3</v>
      </c>
      <c r="W447" s="9">
        <v>0</v>
      </c>
      <c r="X447" s="9">
        <v>11</v>
      </c>
      <c r="Y447" s="19" t="str">
        <f>IF($A447&lt;&gt;"",IF($Z447&lt;&gt;"",$Z447,"0,0"),"")</f>
        <v>130,134</v>
      </c>
      <c r="Z447" s="42" t="s">
        <v>188</v>
      </c>
      <c r="AA447" s="19" t="str">
        <f>IF($A447&lt;&gt;"",IF($AB447&lt;&gt;"",$AB447,"80,120"),"")</f>
        <v>135,140</v>
      </c>
      <c r="AB447" s="42" t="s">
        <v>181</v>
      </c>
      <c r="AC447" s="9">
        <v>0.95</v>
      </c>
      <c r="AD447" s="9">
        <v>16</v>
      </c>
      <c r="AE447" s="9">
        <v>0</v>
      </c>
      <c r="AF447" s="16"/>
      <c r="AG447" s="16"/>
      <c r="AI447" s="69" cm="1">
        <f t="array" ref="AI447">tuple_avg(T447)/tuple_avg(AA447)</f>
        <v>1.4545454545454545E-2</v>
      </c>
      <c r="AJ447" s="69">
        <f>AC447*AI447*'-配置辅助'!$I$8</f>
        <v>1.3818181818181818</v>
      </c>
      <c r="AK447" s="69">
        <f>AD447*AI447*'-配置辅助'!$I$10</f>
        <v>3.8787878787878789</v>
      </c>
      <c r="AL447" s="69">
        <f>AJ447*_xlfn.XLOOKUP(H447,monsters[怪物id],monsters[HP],-1)</f>
        <v>9.672727272727272</v>
      </c>
      <c r="AM447" s="69">
        <f>AK447*_xlfn.XLOOKUP(H447,monsters[怪物id],monsters[HP],-1)</f>
        <v>27.151515151515152</v>
      </c>
    </row>
    <row r="448" spans="1:41" x14ac:dyDescent="0.2">
      <c r="A448" s="9">
        <v>420703</v>
      </c>
      <c r="B448" s="9" t="str" cm="1">
        <f t="array" ref="B448">D448&amp;_xlfn.TEXTJOIN("",1,TEXT(E448:G448,"00"))</f>
        <v>2000003</v>
      </c>
      <c r="C448" s="30" t="str">
        <f t="shared" ref="C448" si="221">_xlfn.TEXTJOIN(",",1,A448:B448)</f>
        <v>420703,2000003</v>
      </c>
      <c r="D448" s="26">
        <v>2</v>
      </c>
      <c r="E448" s="26">
        <v>0</v>
      </c>
      <c r="F448" s="26">
        <v>0</v>
      </c>
      <c r="G448" s="26">
        <v>3</v>
      </c>
      <c r="H448" s="9">
        <v>201712</v>
      </c>
      <c r="I448" s="15" t="str">
        <f>IFERROR(VLOOKUP(H448,monsters[#All],4,0),"")</f>
        <v>小风滚草</v>
      </c>
      <c r="J448" s="15" t="str" cm="1">
        <f t="array" ref="J448">_xlfn.LET(_xlpm.v6p,ABS(ATAN2(O448,P448))*6/PI(),
_xlpm.output,_xlfn.IFS(_xlpm.v6p&lt;1,"正前",_xlpm.v6p&gt;5,"正后",AND(_xlpm.v6p&lt;5,_xlpm.v6p&gt;2,P448&lt;-1),"脚底",_xlpm.v6p&gt;4,"后上",_xlpm.v6p&lt;2,"前上",TRUE,"顶部"),
IFERROR(_xlpm.output,""))</f>
        <v>正前</v>
      </c>
      <c r="K448" s="12"/>
      <c r="L448" s="12" t="s">
        <v>63</v>
      </c>
      <c r="M448" s="12" t="s">
        <v>63</v>
      </c>
      <c r="N448" s="19" t="str">
        <f>O448+0&amp;","&amp;P448+0</f>
        <v>18,-1</v>
      </c>
      <c r="O448" s="24">
        <v>18</v>
      </c>
      <c r="P448" s="24">
        <v>-1</v>
      </c>
      <c r="Q448" s="19">
        <f t="shared" ref="Q448" si="222">_xlfn.LET(_xlpm._default,1,
_xlpm._custom,R448,
IF($A448&lt;&gt;"",IF(_xlpm._custom&lt;&gt;"",_xlpm._custom,_xlpm._default),""))</f>
        <v>2</v>
      </c>
      <c r="R448" s="42">
        <v>2</v>
      </c>
      <c r="S448" s="9">
        <v>12</v>
      </c>
      <c r="T448" s="19" t="str">
        <f t="shared" ref="T448" si="223">IF(U448&lt;&gt;"", U448+0&amp;","&amp;V448+0,"")</f>
        <v>1,3</v>
      </c>
      <c r="U448" s="24">
        <v>1</v>
      </c>
      <c r="V448" s="24">
        <v>3</v>
      </c>
      <c r="W448" s="9">
        <v>0</v>
      </c>
      <c r="X448" s="9">
        <v>11</v>
      </c>
      <c r="Y448" s="19" t="str">
        <f>IF($A448&lt;&gt;"",IF($Z448&lt;&gt;"",$Z448,"0,0"),"")</f>
        <v>180,184</v>
      </c>
      <c r="Z448" s="42" t="s">
        <v>189</v>
      </c>
      <c r="AA448" s="19" t="str">
        <f>IF($A448&lt;&gt;"",IF($AB448&lt;&gt;"",$AB448,"80,120"),"")</f>
        <v>185,190</v>
      </c>
      <c r="AB448" s="42" t="s">
        <v>180</v>
      </c>
      <c r="AC448" s="9">
        <v>1.25</v>
      </c>
      <c r="AD448" s="9">
        <v>18</v>
      </c>
      <c r="AE448" s="9">
        <v>0</v>
      </c>
      <c r="AF448" s="16"/>
      <c r="AG448" s="16"/>
      <c r="AI448" s="69" cm="1">
        <f t="array" ref="AI448">tuple_avg(T448)/tuple_avg(AA448)</f>
        <v>1.0666666666666666E-2</v>
      </c>
      <c r="AJ448" s="69">
        <f>AC448*AI448*'-配置辅助'!$I$8</f>
        <v>1.3333333333333333</v>
      </c>
      <c r="AK448" s="69">
        <f>AD448*AI448*'-配置辅助'!$I$10</f>
        <v>3.2</v>
      </c>
      <c r="AL448" s="69">
        <f>AJ448*_xlfn.XLOOKUP(H448,monsters[怪物id],monsters[HP],-1)</f>
        <v>9.3333333333333321</v>
      </c>
      <c r="AM448" s="69">
        <f>AK448*_xlfn.XLOOKUP(H448,monsters[怪物id],monsters[HP],-1)</f>
        <v>22.400000000000002</v>
      </c>
    </row>
    <row r="449" spans="1:41" x14ac:dyDescent="0.2">
      <c r="J449" s="15" t="str" cm="1">
        <f t="array" ref="J449">_xlfn.LET(_xlpm.v6p,ABS(ATAN2(O449,P449))*6/PI(),
_xlpm.output,_xlfn.IFS(_xlpm.v6p&lt;1,"正前",_xlpm.v6p&gt;5,"正后",AND(_xlpm.v6p&lt;5,_xlpm.v6p&gt;2,P449&lt;-1),"脚底",_xlpm.v6p&gt;4,"后上",_xlpm.v6p&lt;2,"前上",TRUE,"顶部"),
IFERROR(_xlpm.output,""))</f>
        <v/>
      </c>
    </row>
    <row r="450" spans="1:41" x14ac:dyDescent="0.2">
      <c r="A450" s="9">
        <v>420703</v>
      </c>
      <c r="B450" s="9" t="str" cm="1">
        <f t="array" ref="B450">D450&amp;_xlfn.TEXTJOIN("",1,TEXT(E450:G450,"00"))</f>
        <v>3000000</v>
      </c>
      <c r="C450" s="30" t="str">
        <f t="shared" ref="C450:C451" si="224">_xlfn.TEXTJOIN(",",1,A450:B450)</f>
        <v>420703,3000000</v>
      </c>
      <c r="D450" s="26">
        <v>3</v>
      </c>
      <c r="E450" s="26">
        <v>0</v>
      </c>
      <c r="F450" s="26">
        <f>W450</f>
        <v>0</v>
      </c>
      <c r="G450" s="26">
        <v>0</v>
      </c>
      <c r="H450" s="9">
        <v>201707</v>
      </c>
      <c r="I450" s="15" t="str">
        <f>IFERROR(VLOOKUP(H450,monsters[#All],4,0),"")</f>
        <v>基础守卫</v>
      </c>
      <c r="J450" s="15" t="str" cm="1">
        <f t="array" ref="J450">_xlfn.LET(_xlpm.v6p,ABS(ATAN2(O450,P450))*6/PI(),
_xlpm.output,_xlfn.IFS(_xlpm.v6p&lt;1,"正前",_xlpm.v6p&gt;5,"正后",AND(_xlpm.v6p&lt;5,_xlpm.v6p&gt;2,P450&lt;-1),"脚底",_xlpm.v6p&gt;4,"后上",_xlpm.v6p&lt;2,"前上",TRUE,"顶部"),
IFERROR(_xlpm.output,""))</f>
        <v>后上</v>
      </c>
      <c r="K450" s="12"/>
      <c r="L450" s="12" t="s">
        <v>63</v>
      </c>
      <c r="M450" s="12" t="s">
        <v>63</v>
      </c>
      <c r="N450" s="19" t="str">
        <f>O450+0&amp;","&amp;P450+0</f>
        <v>-15,10</v>
      </c>
      <c r="O450" s="24">
        <v>-15</v>
      </c>
      <c r="P450" s="24">
        <v>10</v>
      </c>
      <c r="Q450" s="19">
        <f t="shared" ref="Q450:Q451" si="225">_xlfn.LET(_xlpm._default,1,
_xlpm._custom,R450,
IF($A450&lt;&gt;"",IF(_xlpm._custom&lt;&gt;"",_xlpm._custom,_xlpm._default),""))</f>
        <v>1</v>
      </c>
      <c r="S450" s="9">
        <v>2</v>
      </c>
      <c r="T450" s="19" t="str">
        <f>IF(U450&lt;&gt;"", U450+0&amp;","&amp;V450+0,"")</f>
        <v>1,2</v>
      </c>
      <c r="U450" s="24">
        <v>1</v>
      </c>
      <c r="V450" s="24">
        <v>2</v>
      </c>
      <c r="W450" s="9">
        <v>0</v>
      </c>
      <c r="X450" s="9">
        <v>11</v>
      </c>
      <c r="Y450" s="19" t="str">
        <f>IF($A450&lt;&gt;"",IF($Z450&lt;&gt;"",$Z450,"0,0"),"")</f>
        <v>0,0</v>
      </c>
      <c r="AA450" s="19" t="str">
        <f>IF($A450&lt;&gt;"",IF($AB450&lt;&gt;"",$AB450,"80,120"),"")</f>
        <v>80,120</v>
      </c>
      <c r="AC450" s="9">
        <v>0.3</v>
      </c>
      <c r="AD450" s="9">
        <v>0.4</v>
      </c>
      <c r="AE450" s="9">
        <v>0.3</v>
      </c>
      <c r="AF450" s="9">
        <v>3</v>
      </c>
      <c r="AG450" s="9">
        <v>100</v>
      </c>
      <c r="AI450" s="69" cm="1">
        <f t="array" ref="AI450">tuple_avg(T450)/tuple_avg(AA450)</f>
        <v>1.4999999999999999E-2</v>
      </c>
      <c r="AJ450" s="69">
        <f>AC450*AI450*'-配置辅助'!$I$8</f>
        <v>0.44999999999999996</v>
      </c>
      <c r="AK450" s="69">
        <f>AD450*AI450*'-配置辅助'!$I$10</f>
        <v>0.1</v>
      </c>
      <c r="AL450" s="69">
        <f>AJ450*_xlfn.XLOOKUP(H450,monsters[怪物id],monsters[HP],-1)</f>
        <v>24.749999999999996</v>
      </c>
      <c r="AM450" s="69">
        <f>AK450*_xlfn.XLOOKUP(H450,monsters[怪物id],monsters[HP],-1)</f>
        <v>5.5</v>
      </c>
    </row>
    <row r="451" spans="1:41" x14ac:dyDescent="0.2">
      <c r="A451" s="9">
        <v>420703</v>
      </c>
      <c r="B451" s="9" t="str" cm="1">
        <f t="array" ref="B451">D451&amp;_xlfn.TEXTJOIN("",1,TEXT(E451:G451,"00"))</f>
        <v>3010000</v>
      </c>
      <c r="C451" s="30" t="str">
        <f t="shared" si="224"/>
        <v>420703,3010000</v>
      </c>
      <c r="D451" s="26">
        <v>3</v>
      </c>
      <c r="E451" s="26">
        <v>1</v>
      </c>
      <c r="F451" s="26">
        <f>W451</f>
        <v>0</v>
      </c>
      <c r="G451" s="26">
        <v>0</v>
      </c>
      <c r="H451" s="9">
        <v>201707</v>
      </c>
      <c r="I451" s="15" t="str">
        <f>IFERROR(VLOOKUP(H451,monsters[#All],4,0),"")</f>
        <v>基础守卫</v>
      </c>
      <c r="J451" s="15" t="str" cm="1">
        <f t="array" ref="J451">_xlfn.LET(_xlpm.v6p,ABS(ATAN2(O451,P451))*6/PI(),
_xlpm.output,_xlfn.IFS(_xlpm.v6p&lt;1,"正前",_xlpm.v6p&gt;5,"正后",AND(_xlpm.v6p&lt;5,_xlpm.v6p&gt;2,P451&lt;-1),"脚底",_xlpm.v6p&gt;4,"后上",_xlpm.v6p&lt;2,"前上",TRUE,"顶部"),
IFERROR(_xlpm.output,""))</f>
        <v>顶部</v>
      </c>
      <c r="K451" s="12"/>
      <c r="L451" s="12" t="s">
        <v>63</v>
      </c>
      <c r="M451" s="12" t="s">
        <v>63</v>
      </c>
      <c r="N451" s="19" t="str">
        <f>O451+0&amp;","&amp;P451+0</f>
        <v>3,15</v>
      </c>
      <c r="O451" s="24">
        <v>3</v>
      </c>
      <c r="P451" s="24">
        <v>15</v>
      </c>
      <c r="Q451" s="19">
        <f t="shared" si="225"/>
        <v>1</v>
      </c>
      <c r="R451" s="42"/>
      <c r="S451" s="9">
        <v>2</v>
      </c>
      <c r="T451" s="19" t="str">
        <f>IF(U451&lt;&gt;"", U451+0&amp;","&amp;V451+0,"")</f>
        <v>1,2</v>
      </c>
      <c r="U451" s="24">
        <v>1</v>
      </c>
      <c r="V451" s="24">
        <v>2</v>
      </c>
      <c r="W451" s="9">
        <v>0</v>
      </c>
      <c r="X451" s="9">
        <v>11</v>
      </c>
      <c r="Y451" s="19" t="str">
        <f>IF($A451&lt;&gt;"",IF($Z451&lt;&gt;"",$Z451,"0,0"),"")</f>
        <v>-105,-100</v>
      </c>
      <c r="Z451" s="42" t="s">
        <v>133</v>
      </c>
      <c r="AA451" s="19" t="str">
        <f>IF($A451&lt;&gt;"",IF($AB451&lt;&gt;"",$AB451,"80,120"),"")</f>
        <v>80,120</v>
      </c>
      <c r="AC451" s="9">
        <v>0.1</v>
      </c>
      <c r="AD451" s="9">
        <v>0.2</v>
      </c>
      <c r="AE451" s="9">
        <v>0.3</v>
      </c>
      <c r="AF451" s="9">
        <v>3</v>
      </c>
      <c r="AG451" s="9">
        <v>100</v>
      </c>
      <c r="AI451" s="69" cm="1">
        <f t="array" ref="AI451">tuple_avg(T451)/tuple_avg(AA451)</f>
        <v>1.4999999999999999E-2</v>
      </c>
      <c r="AJ451" s="69">
        <f>AC451*AI451*'-配置辅助'!$I$8</f>
        <v>0.15</v>
      </c>
      <c r="AK451" s="69">
        <f>AD451*AI451*'-配置辅助'!$I$10</f>
        <v>0.05</v>
      </c>
      <c r="AL451" s="69">
        <f>AJ451*_xlfn.XLOOKUP(H451,monsters[怪物id],monsters[HP],-1)</f>
        <v>8.25</v>
      </c>
      <c r="AM451" s="69">
        <f>AK451*_xlfn.XLOOKUP(H451,monsters[怪物id],monsters[HP],-1)</f>
        <v>2.75</v>
      </c>
    </row>
    <row r="454" spans="1:41" s="52" customFormat="1" x14ac:dyDescent="0.2">
      <c r="A454" s="48"/>
      <c r="B454" s="48"/>
      <c r="C454" s="49" t="str">
        <f t="shared" ref="C454" si="226">_xlfn.TEXTJOIN(",",1,A454:B454)</f>
        <v/>
      </c>
      <c r="D454" s="50"/>
      <c r="E454" s="50"/>
      <c r="F454" s="50"/>
      <c r="G454" s="50"/>
      <c r="H454" s="48" t="s">
        <v>175</v>
      </c>
      <c r="I454" s="51"/>
      <c r="J454" s="51"/>
      <c r="O454" s="53"/>
      <c r="P454" s="53"/>
      <c r="R454" s="53"/>
      <c r="S454" s="52" t="s">
        <v>62</v>
      </c>
      <c r="U454" s="53"/>
      <c r="V454" s="53"/>
      <c r="Z454" s="53"/>
      <c r="AB454" s="53"/>
      <c r="AC454" s="52" t="s">
        <v>62</v>
      </c>
      <c r="AI454" s="74"/>
      <c r="AJ454" s="74"/>
      <c r="AK454" s="74"/>
      <c r="AL454" s="74">
        <f>SUM(AL456:AL460)</f>
        <v>932.8</v>
      </c>
      <c r="AM454" s="74">
        <f>SUM(AM456:AM460)</f>
        <v>0</v>
      </c>
      <c r="AN454" s="74"/>
      <c r="AO454" s="74"/>
    </row>
    <row r="456" spans="1:41" x14ac:dyDescent="0.2">
      <c r="A456" s="9">
        <v>420712</v>
      </c>
      <c r="B456" s="9" t="str" cm="1">
        <f t="array" ref="B456">D456&amp;_xlfn.TEXTJOIN("",1,TEXT(E456:G456,"00"))</f>
        <v>1000000</v>
      </c>
      <c r="C456" s="30" t="str">
        <f t="shared" ref="C456:C458" si="227">_xlfn.TEXTJOIN(",",1,A456:B456)</f>
        <v>420712,1000000</v>
      </c>
      <c r="D456" s="26">
        <v>1</v>
      </c>
      <c r="E456" s="26">
        <v>0</v>
      </c>
      <c r="F456" s="26">
        <f>W456</f>
        <v>0</v>
      </c>
      <c r="G456" s="26">
        <v>0</v>
      </c>
      <c r="H456" s="9">
        <v>201703</v>
      </c>
      <c r="I456" s="15" t="str">
        <f>IFERROR(VLOOKUP(H456,monsters[#All],4,0),"")</f>
        <v>巨牙蝎</v>
      </c>
      <c r="J456" s="15" t="str" cm="1">
        <f t="array" ref="J456">_xlfn.LET(_xlpm.v6p,ABS(ATAN2(O456,P456))*6/PI(),
_xlpm.output,_xlfn.IFS(_xlpm.v6p&lt;1,"正前",_xlpm.v6p&gt;5,"正后",AND(_xlpm.v6p&lt;5,_xlpm.v6p&gt;2,P456&lt;-1),"脚底",_xlpm.v6p&gt;4,"后上",_xlpm.v6p&lt;2,"前上",TRUE,"顶部"),
IFERROR(_xlpm.output,""))</f>
        <v>正前</v>
      </c>
      <c r="K456" s="12"/>
      <c r="L456" s="12" t="s">
        <v>63</v>
      </c>
      <c r="M456" s="12" t="s">
        <v>63</v>
      </c>
      <c r="N456" s="19" t="str">
        <f>O456+0&amp;","&amp;P456+0</f>
        <v>16,-1</v>
      </c>
      <c r="O456" s="24">
        <v>16</v>
      </c>
      <c r="P456" s="24">
        <v>-1</v>
      </c>
      <c r="Q456" s="19">
        <f t="shared" ref="Q456:Q458" si="228">_xlfn.LET(_xlpm._default,1,
_xlpm._custom,R456,
IF($A456&lt;&gt;"",IF(_xlpm._custom&lt;&gt;"",_xlpm._custom,_xlpm._default),""))</f>
        <v>2</v>
      </c>
      <c r="R456" s="24">
        <v>2</v>
      </c>
      <c r="S456" s="9">
        <v>3</v>
      </c>
      <c r="T456" s="19" t="str">
        <f>IF(U456&lt;&gt;"", U456+0&amp;","&amp;V456+0,"")</f>
        <v>3,5</v>
      </c>
      <c r="U456" s="24">
        <v>3</v>
      </c>
      <c r="V456" s="24">
        <v>5</v>
      </c>
      <c r="W456" s="9">
        <v>0</v>
      </c>
      <c r="X456" s="9">
        <v>11</v>
      </c>
      <c r="Y456" s="19" t="str">
        <f>IF($A456&lt;&gt;"",IF($Z456&lt;&gt;"",$Z456,"0,0"),"")</f>
        <v>65,70</v>
      </c>
      <c r="Z456" s="24" t="s">
        <v>130</v>
      </c>
      <c r="AA456" s="19" t="str">
        <f>IF($A456&lt;&gt;"",IF($AB456&lt;&gt;"",$AB456,"80,120"),"")</f>
        <v>80,120</v>
      </c>
      <c r="AC456" s="9">
        <v>1.5</v>
      </c>
      <c r="AD456" s="16"/>
      <c r="AE456" s="9">
        <v>0.3</v>
      </c>
      <c r="AF456" s="9">
        <v>3</v>
      </c>
      <c r="AG456" s="9">
        <v>100</v>
      </c>
      <c r="AI456" s="69" cm="1">
        <f t="array" ref="AI456">tuple_avg(T456)/tuple_avg(AA456)</f>
        <v>0.04</v>
      </c>
      <c r="AJ456" s="69">
        <f>AC456*AI456*'-配置辅助'!$I$8</f>
        <v>6</v>
      </c>
      <c r="AK456" s="69">
        <f>AD456*AI456*'-配置辅助'!$I$10</f>
        <v>0</v>
      </c>
      <c r="AL456" s="69">
        <f>AJ456*_xlfn.XLOOKUP(H456,monsters[怪物id],monsters[HP],-1)</f>
        <v>132</v>
      </c>
      <c r="AM456" s="69">
        <f>AK456*_xlfn.XLOOKUP(H456,monsters[怪物id],monsters[HP],-1)</f>
        <v>0</v>
      </c>
    </row>
    <row r="457" spans="1:41" x14ac:dyDescent="0.2">
      <c r="A457" s="9">
        <v>420712</v>
      </c>
      <c r="B457" s="9" t="str" cm="1">
        <f t="array" ref="B457">D457&amp;_xlfn.TEXTJOIN("",1,TEXT(E457:G457,"00"))</f>
        <v>1000001</v>
      </c>
      <c r="C457" s="30" t="str">
        <f t="shared" si="227"/>
        <v>420712,1000001</v>
      </c>
      <c r="D457" s="26">
        <v>1</v>
      </c>
      <c r="E457" s="26">
        <v>0</v>
      </c>
      <c r="F457" s="26">
        <f>W457</f>
        <v>0</v>
      </c>
      <c r="G457" s="26">
        <v>1</v>
      </c>
      <c r="H457" s="9">
        <v>201703</v>
      </c>
      <c r="I457" s="15" t="str">
        <f>IFERROR(VLOOKUP(H457,monsters[#All],4,0),"")</f>
        <v>巨牙蝎</v>
      </c>
      <c r="J457" s="15" t="str" cm="1">
        <f t="array" ref="J457">_xlfn.LET(_xlpm.v6p,ABS(ATAN2(O457,P457))*6/PI(),
_xlpm.output,_xlfn.IFS(_xlpm.v6p&lt;1,"正前",_xlpm.v6p&gt;5,"正后",AND(_xlpm.v6p&lt;5,_xlpm.v6p&gt;2,P457&lt;-1),"脚底",_xlpm.v6p&gt;4,"后上",_xlpm.v6p&lt;2,"前上",TRUE,"顶部"),
IFERROR(_xlpm.output,""))</f>
        <v>正前</v>
      </c>
      <c r="K457" s="12"/>
      <c r="L457" s="12" t="s">
        <v>63</v>
      </c>
      <c r="M457" s="12" t="s">
        <v>63</v>
      </c>
      <c r="N457" s="19" t="str">
        <f>O457+0&amp;","&amp;P457+0</f>
        <v>16,-1</v>
      </c>
      <c r="O457" s="24">
        <v>16</v>
      </c>
      <c r="P457" s="24">
        <v>-1</v>
      </c>
      <c r="Q457" s="19">
        <f t="shared" si="228"/>
        <v>2</v>
      </c>
      <c r="R457" s="24">
        <v>2</v>
      </c>
      <c r="S457" s="9">
        <v>3</v>
      </c>
      <c r="T457" s="19" t="str">
        <f>IF(U457&lt;&gt;"", U457+0&amp;","&amp;V457+0,"")</f>
        <v>3,5</v>
      </c>
      <c r="U457" s="24">
        <v>3</v>
      </c>
      <c r="V457" s="24">
        <v>5</v>
      </c>
      <c r="W457" s="9">
        <v>0</v>
      </c>
      <c r="X457" s="9">
        <v>11</v>
      </c>
      <c r="Y457" s="19" t="str">
        <f>IF($A457&lt;&gt;"",IF($Z457&lt;&gt;"",$Z457,"0,0"),"")</f>
        <v>0,0</v>
      </c>
      <c r="AA457" s="19" t="str">
        <f>IF($A457&lt;&gt;"",IF($AB457&lt;&gt;"",$AB457,"80,120"),"")</f>
        <v>80,120</v>
      </c>
      <c r="AC457" s="9">
        <v>1.7</v>
      </c>
      <c r="AD457" s="16"/>
      <c r="AE457" s="9">
        <v>0.3</v>
      </c>
      <c r="AF457" s="9">
        <v>3</v>
      </c>
      <c r="AG457" s="9">
        <v>100</v>
      </c>
      <c r="AI457" s="69" cm="1">
        <f t="array" ref="AI457">tuple_avg(T457)/tuple_avg(AA457)</f>
        <v>0.04</v>
      </c>
      <c r="AJ457" s="69">
        <f>AC457*AI457*'-配置辅助'!$I$8</f>
        <v>6.8000000000000007</v>
      </c>
      <c r="AK457" s="69">
        <f>AD457*AI457*'-配置辅助'!$I$10</f>
        <v>0</v>
      </c>
      <c r="AL457" s="69">
        <f>AJ457*_xlfn.XLOOKUP(H457,monsters[怪物id],monsters[HP],-1)</f>
        <v>149.60000000000002</v>
      </c>
      <c r="AM457" s="69">
        <f>AK457*_xlfn.XLOOKUP(H457,monsters[怪物id],monsters[HP],-1)</f>
        <v>0</v>
      </c>
    </row>
    <row r="458" spans="1:41" x14ac:dyDescent="0.2">
      <c r="A458" s="9">
        <v>420712</v>
      </c>
      <c r="B458" s="9" t="str" cm="1">
        <f t="array" ref="B458">D458&amp;_xlfn.TEXTJOIN("",1,TEXT(E458:G458,"00"))</f>
        <v>1000002</v>
      </c>
      <c r="C458" s="30" t="str">
        <f t="shared" si="227"/>
        <v>420712,1000002</v>
      </c>
      <c r="D458" s="26">
        <v>1</v>
      </c>
      <c r="E458" s="26">
        <v>0</v>
      </c>
      <c r="F458" s="26">
        <f>W458</f>
        <v>0</v>
      </c>
      <c r="G458" s="26">
        <v>2</v>
      </c>
      <c r="H458" s="9">
        <v>201703</v>
      </c>
      <c r="I458" s="15" t="str">
        <f>IFERROR(VLOOKUP(H458,monsters[#All],4,0),"")</f>
        <v>巨牙蝎</v>
      </c>
      <c r="J458" s="15" t="str" cm="1">
        <f t="array" ref="J458">_xlfn.LET(_xlpm.v6p,ABS(ATAN2(O458,P458))*6/PI(),
_xlpm.output,_xlfn.IFS(_xlpm.v6p&lt;1,"正前",_xlpm.v6p&gt;5,"正后",AND(_xlpm.v6p&lt;5,_xlpm.v6p&gt;2,P458&lt;-1),"脚底",_xlpm.v6p&gt;4,"后上",_xlpm.v6p&lt;2,"前上",TRUE,"顶部"),
IFERROR(_xlpm.output,""))</f>
        <v>正前</v>
      </c>
      <c r="K458" s="12"/>
      <c r="L458" s="12" t="s">
        <v>63</v>
      </c>
      <c r="M458" s="12" t="s">
        <v>63</v>
      </c>
      <c r="N458" s="19" t="str">
        <f>O458+0&amp;","&amp;P458+0</f>
        <v>16,-1</v>
      </c>
      <c r="O458" s="24">
        <v>16</v>
      </c>
      <c r="P458" s="24">
        <v>-1</v>
      </c>
      <c r="Q458" s="19">
        <f t="shared" si="228"/>
        <v>2</v>
      </c>
      <c r="R458" s="42">
        <v>2</v>
      </c>
      <c r="S458" s="9">
        <v>6</v>
      </c>
      <c r="T458" s="19" t="str">
        <f>IF(U458&lt;&gt;"", U458+0&amp;","&amp;V458+0,"")</f>
        <v>3,5</v>
      </c>
      <c r="U458" s="24">
        <v>3</v>
      </c>
      <c r="V458" s="24">
        <v>5</v>
      </c>
      <c r="W458" s="9">
        <v>0</v>
      </c>
      <c r="X458" s="9">
        <v>11</v>
      </c>
      <c r="Y458" s="19" t="str">
        <f>IF($A458&lt;&gt;"",IF($Z458&lt;&gt;"",$Z458,"0,0"),"")</f>
        <v>-105,-100</v>
      </c>
      <c r="Z458" s="42" t="s">
        <v>133</v>
      </c>
      <c r="AA458" s="19" t="str">
        <f>IF($A458&lt;&gt;"",IF($AB458&lt;&gt;"",$AB458,"80,120"),"")</f>
        <v>80,120</v>
      </c>
      <c r="AC458" s="9">
        <v>2</v>
      </c>
      <c r="AD458" s="16"/>
      <c r="AE458" s="9">
        <v>0.3</v>
      </c>
      <c r="AF458" s="9">
        <v>3</v>
      </c>
      <c r="AG458" s="9">
        <v>100</v>
      </c>
      <c r="AI458" s="69" cm="1">
        <f t="array" ref="AI458">tuple_avg(T458)/tuple_avg(AA458)</f>
        <v>0.04</v>
      </c>
      <c r="AJ458" s="69">
        <f>AC458*AI458*'-配置辅助'!$I$8</f>
        <v>8</v>
      </c>
      <c r="AK458" s="69">
        <f>AD458*AI458*'-配置辅助'!$I$10</f>
        <v>0</v>
      </c>
      <c r="AL458" s="69">
        <f>AJ458*_xlfn.XLOOKUP(H458,monsters[怪物id],monsters[HP],-1)</f>
        <v>176</v>
      </c>
      <c r="AM458" s="69">
        <f>AK458*_xlfn.XLOOKUP(H458,monsters[怪物id],monsters[HP],-1)</f>
        <v>0</v>
      </c>
    </row>
    <row r="459" spans="1:41" x14ac:dyDescent="0.2">
      <c r="A459" s="9">
        <v>420712</v>
      </c>
      <c r="B459" s="9" t="str" cm="1">
        <f t="array" ref="B459">D459&amp;_xlfn.TEXTJOIN("",1,TEXT(E459:G459,"00"))</f>
        <v>1000003</v>
      </c>
      <c r="C459" s="30" t="str">
        <f t="shared" ref="C459" si="229">_xlfn.TEXTJOIN(",",1,A459:B459)</f>
        <v>420712,1000003</v>
      </c>
      <c r="D459" s="26">
        <v>1</v>
      </c>
      <c r="E459" s="26">
        <v>0</v>
      </c>
      <c r="F459" s="26">
        <f>W459</f>
        <v>0</v>
      </c>
      <c r="G459" s="26">
        <v>3</v>
      </c>
      <c r="H459" s="9">
        <v>201703</v>
      </c>
      <c r="I459" s="15" t="str">
        <f>IFERROR(VLOOKUP(H459,monsters[#All],4,0),"")</f>
        <v>巨牙蝎</v>
      </c>
      <c r="J459" s="15" t="str" cm="1">
        <f t="array" ref="J459">_xlfn.LET(_xlpm.v6p,ABS(ATAN2(O459,P459))*6/PI(),
_xlpm.output,_xlfn.IFS(_xlpm.v6p&lt;1,"正前",_xlpm.v6p&gt;5,"正后",AND(_xlpm.v6p&lt;5,_xlpm.v6p&gt;2,P459&lt;-1),"脚底",_xlpm.v6p&gt;4,"后上",_xlpm.v6p&lt;2,"前上",TRUE,"顶部"),
IFERROR(_xlpm.output,""))</f>
        <v>正前</v>
      </c>
      <c r="K459" s="12"/>
      <c r="L459" s="12" t="s">
        <v>63</v>
      </c>
      <c r="M459" s="12" t="s">
        <v>63</v>
      </c>
      <c r="N459" s="19" t="str">
        <f>O459+0&amp;","&amp;P459+0</f>
        <v>16,-1</v>
      </c>
      <c r="O459" s="24">
        <v>16</v>
      </c>
      <c r="P459" s="24">
        <v>-1</v>
      </c>
      <c r="Q459" s="19">
        <f t="shared" ref="Q459" si="230">_xlfn.LET(_xlpm._default,1,
_xlpm._custom,R459,
IF($A459&lt;&gt;"",IF(_xlpm._custom&lt;&gt;"",_xlpm._custom,_xlpm._default),""))</f>
        <v>2</v>
      </c>
      <c r="R459" s="42">
        <v>2</v>
      </c>
      <c r="S459" s="9">
        <v>6</v>
      </c>
      <c r="T459" s="19" t="str">
        <f>IF(U459&lt;&gt;"", U459+0&amp;","&amp;V459+0,"")</f>
        <v>3,5</v>
      </c>
      <c r="U459" s="24">
        <v>3</v>
      </c>
      <c r="V459" s="24">
        <v>5</v>
      </c>
      <c r="W459" s="9">
        <v>0</v>
      </c>
      <c r="X459" s="9">
        <v>11</v>
      </c>
      <c r="Y459" s="19" t="str">
        <f>IF($A459&lt;&gt;"",IF($Z459&lt;&gt;"",$Z459,"0,0"),"")</f>
        <v>-305,-300</v>
      </c>
      <c r="Z459" s="42" t="s">
        <v>269</v>
      </c>
      <c r="AA459" s="19" t="str">
        <f>IF($A459&lt;&gt;"",IF($AB459&lt;&gt;"",$AB459,"80,120"),"")</f>
        <v>80,120</v>
      </c>
      <c r="AC459" s="9">
        <v>2.4</v>
      </c>
      <c r="AD459" s="16"/>
      <c r="AE459" s="9">
        <v>0.3</v>
      </c>
      <c r="AF459" s="9">
        <v>3</v>
      </c>
      <c r="AG459" s="9">
        <v>100</v>
      </c>
      <c r="AI459" s="69" cm="1">
        <f t="array" ref="AI459">tuple_avg(T459)/tuple_avg(AA459)</f>
        <v>0.04</v>
      </c>
      <c r="AJ459" s="69">
        <f>AC459*AI459*'-配置辅助'!$I$8</f>
        <v>9.6</v>
      </c>
      <c r="AK459" s="69">
        <f>AD459*AI459*'-配置辅助'!$I$10</f>
        <v>0</v>
      </c>
      <c r="AL459" s="69">
        <f>AJ459*_xlfn.XLOOKUP(H459,monsters[怪物id],monsters[HP],-1)</f>
        <v>211.2</v>
      </c>
      <c r="AM459" s="69">
        <f>AK459*_xlfn.XLOOKUP(H459,monsters[怪物id],monsters[HP],-1)</f>
        <v>0</v>
      </c>
    </row>
    <row r="460" spans="1:41" x14ac:dyDescent="0.2">
      <c r="A460" s="9">
        <v>420712</v>
      </c>
      <c r="B460" s="9" t="str" cm="1">
        <f t="array" ref="B460">D460&amp;_xlfn.TEXTJOIN("",1,TEXT(E460:G460,"00"))</f>
        <v>1000004</v>
      </c>
      <c r="C460" s="30" t="str">
        <f t="shared" ref="C460" si="231">_xlfn.TEXTJOIN(",",1,A460:B460)</f>
        <v>420712,1000004</v>
      </c>
      <c r="D460" s="26">
        <v>1</v>
      </c>
      <c r="E460" s="26">
        <v>0</v>
      </c>
      <c r="F460" s="26">
        <f>W460</f>
        <v>0</v>
      </c>
      <c r="G460" s="26">
        <v>4</v>
      </c>
      <c r="H460" s="9">
        <v>201703</v>
      </c>
      <c r="I460" s="15" t="str">
        <f>IFERROR(VLOOKUP(H460,monsters[#All],4,0),"")</f>
        <v>巨牙蝎</v>
      </c>
      <c r="J460" s="15" t="str" cm="1">
        <f t="array" ref="J460">_xlfn.LET(_xlpm.v6p,ABS(ATAN2(O460,P460))*6/PI(),
_xlpm.output,_xlfn.IFS(_xlpm.v6p&lt;1,"正前",_xlpm.v6p&gt;5,"正后",AND(_xlpm.v6p&lt;5,_xlpm.v6p&gt;2,P460&lt;-1),"脚底",_xlpm.v6p&gt;4,"后上",_xlpm.v6p&lt;2,"前上",TRUE,"顶部"),
IFERROR(_xlpm.output,""))</f>
        <v>正前</v>
      </c>
      <c r="K460" s="12"/>
      <c r="L460" s="12" t="s">
        <v>63</v>
      </c>
      <c r="M460" s="12" t="s">
        <v>63</v>
      </c>
      <c r="N460" s="19" t="str">
        <f>O460+0&amp;","&amp;P460+0</f>
        <v>16,-1</v>
      </c>
      <c r="O460" s="24">
        <v>16</v>
      </c>
      <c r="P460" s="24">
        <v>-1</v>
      </c>
      <c r="Q460" s="19">
        <f t="shared" ref="Q460" si="232">_xlfn.LET(_xlpm._default,1,
_xlpm._custom,R460,
IF($A460&lt;&gt;"",IF(_xlpm._custom&lt;&gt;"",_xlpm._custom,_xlpm._default),""))</f>
        <v>2</v>
      </c>
      <c r="R460" s="42">
        <v>2</v>
      </c>
      <c r="S460" s="9">
        <v>6</v>
      </c>
      <c r="T460" s="19" t="str">
        <f>IF(U460&lt;&gt;"", U460+0&amp;","&amp;V460+0,"")</f>
        <v>3,5</v>
      </c>
      <c r="U460" s="24">
        <v>3</v>
      </c>
      <c r="V460" s="24">
        <v>5</v>
      </c>
      <c r="W460" s="9">
        <v>0</v>
      </c>
      <c r="X460" s="9">
        <v>11</v>
      </c>
      <c r="Y460" s="19" t="str">
        <f>IF($A460&lt;&gt;"",IF($Z460&lt;&gt;"",$Z460,"0,0"),"")</f>
        <v>-555,-550</v>
      </c>
      <c r="Z460" s="42" t="s">
        <v>270</v>
      </c>
      <c r="AA460" s="19" t="str">
        <f>IF($A460&lt;&gt;"",IF($AB460&lt;&gt;"",$AB460,"80,120"),"")</f>
        <v>80,120</v>
      </c>
      <c r="AC460" s="9">
        <v>3</v>
      </c>
      <c r="AD460" s="16"/>
      <c r="AE460" s="9">
        <v>0.3</v>
      </c>
      <c r="AF460" s="9">
        <v>3</v>
      </c>
      <c r="AG460" s="9">
        <v>100</v>
      </c>
      <c r="AI460" s="69" cm="1">
        <f t="array" ref="AI460">tuple_avg(T460)/tuple_avg(AA460)</f>
        <v>0.04</v>
      </c>
      <c r="AJ460" s="69">
        <f>AC460*AI460*'-配置辅助'!$I$8</f>
        <v>12</v>
      </c>
      <c r="AK460" s="69">
        <f>AD460*AI460*'-配置辅助'!$I$10</f>
        <v>0</v>
      </c>
      <c r="AL460" s="69">
        <f>AJ460*_xlfn.XLOOKUP(H460,monsters[怪物id],monsters[HP],-1)</f>
        <v>264</v>
      </c>
      <c r="AM460" s="69">
        <f>AK460*_xlfn.XLOOKUP(H460,monsters[怪物id],monsters[HP],-1)</f>
        <v>0</v>
      </c>
    </row>
    <row r="463" spans="1:41" s="52" customFormat="1" x14ac:dyDescent="0.2">
      <c r="A463" s="48"/>
      <c r="B463" s="48"/>
      <c r="C463" s="49" t="str">
        <f t="shared" ref="C463" si="233">_xlfn.TEXTJOIN(",",1,A463:B463)</f>
        <v/>
      </c>
      <c r="D463" s="50"/>
      <c r="E463" s="50"/>
      <c r="F463" s="50"/>
      <c r="G463" s="50"/>
      <c r="H463" s="48" t="s">
        <v>190</v>
      </c>
      <c r="I463" s="51"/>
      <c r="J463" s="51"/>
      <c r="O463" s="53"/>
      <c r="P463" s="53"/>
      <c r="R463" s="53"/>
      <c r="S463" s="52" t="s">
        <v>62</v>
      </c>
      <c r="U463" s="53"/>
      <c r="V463" s="53"/>
      <c r="Z463" s="53"/>
      <c r="AB463" s="53"/>
      <c r="AC463" s="52" t="s">
        <v>62</v>
      </c>
      <c r="AI463" s="74"/>
      <c r="AJ463" s="74"/>
      <c r="AK463" s="74"/>
      <c r="AL463" s="74">
        <f>SUM(AL465:AL471)</f>
        <v>393.27925407925409</v>
      </c>
      <c r="AM463" s="74">
        <f>SUM(AM465:AM471)</f>
        <v>272.07210567210569</v>
      </c>
      <c r="AN463" s="74"/>
      <c r="AO463" s="74"/>
    </row>
    <row r="465" spans="1:41" x14ac:dyDescent="0.2">
      <c r="A465" s="9">
        <v>420713</v>
      </c>
      <c r="B465" s="9" t="str" cm="1">
        <f t="array" ref="B465">D465&amp;_xlfn.TEXTJOIN("",1,TEXT(E465:G465,"00"))</f>
        <v>1010000</v>
      </c>
      <c r="C465" s="30" t="str">
        <f t="shared" ref="C465:C467" si="234">_xlfn.TEXTJOIN(",",1,A465:B465)</f>
        <v>420713,1010000</v>
      </c>
      <c r="D465" s="26">
        <v>1</v>
      </c>
      <c r="E465" s="26">
        <v>1</v>
      </c>
      <c r="F465" s="26">
        <v>0</v>
      </c>
      <c r="G465" s="26">
        <v>0</v>
      </c>
      <c r="H465" s="9">
        <v>201702</v>
      </c>
      <c r="I465" s="15" t="str">
        <f>IFERROR(VLOOKUP(H465,monsters[#All],4,0),"")</f>
        <v>沙漠蛇</v>
      </c>
      <c r="J465" s="15" t="str" cm="1">
        <f t="array" ref="J465">_xlfn.LET(_xlpm.v6p,ABS(ATAN2(O465,P465))*6/PI(),
_xlpm.output,_xlfn.IFS(_xlpm.v6p&lt;1,"正前",_xlpm.v6p&gt;5,"正后",AND(_xlpm.v6p&lt;5,_xlpm.v6p&gt;2,P465&lt;-1),"脚底",_xlpm.v6p&gt;4,"后上",_xlpm.v6p&lt;2,"前上",TRUE,"顶部"),
IFERROR(_xlpm.output,""))</f>
        <v>正前</v>
      </c>
      <c r="K465" s="12"/>
      <c r="L465" s="12" t="s">
        <v>63</v>
      </c>
      <c r="M465" s="12" t="s">
        <v>63</v>
      </c>
      <c r="N465" s="19" t="str">
        <f>O465+0&amp;","&amp;P465+0</f>
        <v>16,-1</v>
      </c>
      <c r="O465" s="24">
        <v>16</v>
      </c>
      <c r="P465" s="24">
        <v>-1</v>
      </c>
      <c r="Q465" s="19">
        <f t="shared" ref="Q465:Q467" si="235">_xlfn.LET(_xlpm._default,1,
_xlpm._custom,R465,
IF($A465&lt;&gt;"",IF(_xlpm._custom&lt;&gt;"",_xlpm._custom,_xlpm._default),""))</f>
        <v>1</v>
      </c>
      <c r="S465" s="9">
        <v>3</v>
      </c>
      <c r="T465" s="19" t="str">
        <f t="shared" ref="T465:T467" si="236">IF(U465&lt;&gt;"", U465+0&amp;","&amp;V465+0,"")</f>
        <v>1,1</v>
      </c>
      <c r="U465" s="24">
        <v>1</v>
      </c>
      <c r="V465" s="24">
        <v>1</v>
      </c>
      <c r="W465" s="9">
        <v>0</v>
      </c>
      <c r="X465" s="9">
        <v>11</v>
      </c>
      <c r="Y465" s="19" t="str">
        <f>IF($A465&lt;&gt;"",IF($Z465&lt;&gt;"",$Z465,"0,0"),"")</f>
        <v>90,94</v>
      </c>
      <c r="Z465" s="42" t="s">
        <v>185</v>
      </c>
      <c r="AA465" s="19" t="str">
        <f>IF($A465&lt;&gt;"",IF($AB465&lt;&gt;"",$AB465,"80,120"),"")</f>
        <v>95,100</v>
      </c>
      <c r="AB465" s="42" t="s">
        <v>179</v>
      </c>
      <c r="AC465" s="9">
        <v>1</v>
      </c>
      <c r="AD465" s="9">
        <v>7</v>
      </c>
      <c r="AE465" s="9">
        <v>0</v>
      </c>
      <c r="AF465" s="16"/>
      <c r="AG465" s="16"/>
      <c r="AI465" s="69" cm="1">
        <f t="array" ref="AI465">tuple_avg(T465)/tuple_avg(AA465)</f>
        <v>1.0256410256410256E-2</v>
      </c>
      <c r="AJ465" s="69">
        <f>AC465*AI465*'-配置辅助'!$I$8</f>
        <v>1.0256410256410255</v>
      </c>
      <c r="AK465" s="69">
        <f>AD465*AI465*'-配置辅助'!$I$10</f>
        <v>1.1965811965811965</v>
      </c>
      <c r="AL465" s="69">
        <f>AJ465*_xlfn.XLOOKUP(H465,monsters[怪物id],monsters[HP],-1)</f>
        <v>32.820512820512818</v>
      </c>
      <c r="AM465" s="69">
        <f>AK465*_xlfn.XLOOKUP(H465,monsters[怪物id],monsters[HP],-1)</f>
        <v>38.29059829059829</v>
      </c>
    </row>
    <row r="466" spans="1:41" x14ac:dyDescent="0.2">
      <c r="A466" s="9">
        <v>420713</v>
      </c>
      <c r="B466" s="9" t="str" cm="1">
        <f t="array" ref="B466">D466&amp;_xlfn.TEXTJOIN("",1,TEXT(E466:G466,"00"))</f>
        <v>1010001</v>
      </c>
      <c r="C466" s="30" t="str">
        <f t="shared" si="234"/>
        <v>420713,1010001</v>
      </c>
      <c r="D466" s="26">
        <v>1</v>
      </c>
      <c r="E466" s="26">
        <v>1</v>
      </c>
      <c r="F466" s="26">
        <v>0</v>
      </c>
      <c r="G466" s="26">
        <v>1</v>
      </c>
      <c r="H466" s="9">
        <v>201702</v>
      </c>
      <c r="I466" s="15" t="str">
        <f>IFERROR(VLOOKUP(H466,monsters[#All],4,0),"")</f>
        <v>沙漠蛇</v>
      </c>
      <c r="J466" s="15" t="str" cm="1">
        <f t="array" ref="J466">_xlfn.LET(_xlpm.v6p,ABS(ATAN2(O466,P466))*6/PI(),
_xlpm.output,_xlfn.IFS(_xlpm.v6p&lt;1,"正前",_xlpm.v6p&gt;5,"正后",AND(_xlpm.v6p&lt;5,_xlpm.v6p&gt;2,P466&lt;-1),"脚底",_xlpm.v6p&gt;4,"后上",_xlpm.v6p&lt;2,"前上",TRUE,"顶部"),
IFERROR(_xlpm.output,""))</f>
        <v>正前</v>
      </c>
      <c r="K466" s="12"/>
      <c r="L466" s="12" t="s">
        <v>63</v>
      </c>
      <c r="M466" s="12" t="s">
        <v>63</v>
      </c>
      <c r="N466" s="19" t="str">
        <f>O466+0&amp;","&amp;P466+0</f>
        <v>16,-1</v>
      </c>
      <c r="O466" s="24">
        <v>16</v>
      </c>
      <c r="P466" s="24">
        <v>-1</v>
      </c>
      <c r="Q466" s="19">
        <f t="shared" si="235"/>
        <v>1</v>
      </c>
      <c r="R466" s="42"/>
      <c r="S466" s="9">
        <v>3</v>
      </c>
      <c r="T466" s="19" t="str">
        <f t="shared" si="236"/>
        <v>1,2</v>
      </c>
      <c r="U466" s="24">
        <v>1</v>
      </c>
      <c r="V466" s="24">
        <v>2</v>
      </c>
      <c r="W466" s="9">
        <v>0</v>
      </c>
      <c r="X466" s="9">
        <v>11</v>
      </c>
      <c r="Y466" s="19" t="str">
        <f>IF($A466&lt;&gt;"",IF($Z466&lt;&gt;"",$Z466,"0,0"),"")</f>
        <v>130,134</v>
      </c>
      <c r="Z466" s="42" t="s">
        <v>188</v>
      </c>
      <c r="AA466" s="19" t="str">
        <f>IF($A466&lt;&gt;"",IF($AB466&lt;&gt;"",$AB466,"80,120"),"")</f>
        <v>135,140</v>
      </c>
      <c r="AB466" s="42" t="s">
        <v>181</v>
      </c>
      <c r="AC466" s="9">
        <v>2</v>
      </c>
      <c r="AD466" s="9">
        <v>8</v>
      </c>
      <c r="AE466" s="9">
        <v>0</v>
      </c>
      <c r="AF466" s="16"/>
      <c r="AG466" s="16"/>
      <c r="AI466" s="69" cm="1">
        <f t="array" ref="AI466">tuple_avg(T466)/tuple_avg(AA466)</f>
        <v>1.090909090909091E-2</v>
      </c>
      <c r="AJ466" s="69">
        <f>AC466*AI466*'-配置辅助'!$I$8</f>
        <v>2.1818181818181821</v>
      </c>
      <c r="AK466" s="69">
        <f>AD466*AI466*'-配置辅助'!$I$10</f>
        <v>1.4545454545454548</v>
      </c>
      <c r="AL466" s="69">
        <f>AJ466*_xlfn.XLOOKUP(H466,monsters[怪物id],monsters[HP],-1)</f>
        <v>69.818181818181827</v>
      </c>
      <c r="AM466" s="69">
        <f>AK466*_xlfn.XLOOKUP(H466,monsters[怪物id],monsters[HP],-1)</f>
        <v>46.545454545454554</v>
      </c>
    </row>
    <row r="467" spans="1:41" x14ac:dyDescent="0.2">
      <c r="A467" s="9">
        <v>420713</v>
      </c>
      <c r="B467" s="9" t="str" cm="1">
        <f t="array" ref="B467">D467&amp;_xlfn.TEXTJOIN("",1,TEXT(E467:G467,"00"))</f>
        <v>1010002</v>
      </c>
      <c r="C467" s="30" t="str">
        <f t="shared" si="234"/>
        <v>420713,1010002</v>
      </c>
      <c r="D467" s="26">
        <v>1</v>
      </c>
      <c r="E467" s="26">
        <v>1</v>
      </c>
      <c r="F467" s="26">
        <v>0</v>
      </c>
      <c r="G467" s="26">
        <v>2</v>
      </c>
      <c r="H467" s="9">
        <v>201702</v>
      </c>
      <c r="I467" s="15" t="str">
        <f>IFERROR(VLOOKUP(H467,monsters[#All],4,0),"")</f>
        <v>沙漠蛇</v>
      </c>
      <c r="J467" s="15" t="str" cm="1">
        <f t="array" ref="J467">_xlfn.LET(_xlpm.v6p,ABS(ATAN2(O467,P467))*6/PI(),
_xlpm.output,_xlfn.IFS(_xlpm.v6p&lt;1,"正前",_xlpm.v6p&gt;5,"正后",AND(_xlpm.v6p&lt;5,_xlpm.v6p&gt;2,P467&lt;-1),"脚底",_xlpm.v6p&gt;4,"后上",_xlpm.v6p&lt;2,"前上",TRUE,"顶部"),
IFERROR(_xlpm.output,""))</f>
        <v>正前</v>
      </c>
      <c r="K467" s="12"/>
      <c r="L467" s="12" t="s">
        <v>63</v>
      </c>
      <c r="M467" s="12" t="s">
        <v>63</v>
      </c>
      <c r="N467" s="19" t="str">
        <f>O467+0&amp;","&amp;P467+0</f>
        <v>16,-1</v>
      </c>
      <c r="O467" s="24">
        <v>16</v>
      </c>
      <c r="P467" s="24">
        <v>-1</v>
      </c>
      <c r="Q467" s="19">
        <f t="shared" si="235"/>
        <v>1</v>
      </c>
      <c r="R467" s="42"/>
      <c r="S467" s="9">
        <v>3</v>
      </c>
      <c r="T467" s="19" t="str">
        <f t="shared" si="236"/>
        <v>2,2</v>
      </c>
      <c r="U467" s="24">
        <v>2</v>
      </c>
      <c r="V467" s="24">
        <v>2</v>
      </c>
      <c r="W467" s="9">
        <v>0</v>
      </c>
      <c r="X467" s="9">
        <v>11</v>
      </c>
      <c r="Y467" s="19" t="str">
        <f>IF($A467&lt;&gt;"",IF($Z467&lt;&gt;"",$Z467,"0,0"),"")</f>
        <v>180,184</v>
      </c>
      <c r="Z467" s="42" t="s">
        <v>189</v>
      </c>
      <c r="AA467" s="19" t="str">
        <f>IF($A467&lt;&gt;"",IF($AB467&lt;&gt;"",$AB467,"80,120"),"")</f>
        <v>185,190</v>
      </c>
      <c r="AB467" s="42" t="s">
        <v>180</v>
      </c>
      <c r="AC467" s="9">
        <v>4</v>
      </c>
      <c r="AD467" s="9">
        <v>9</v>
      </c>
      <c r="AE467" s="9">
        <v>0</v>
      </c>
      <c r="AF467" s="16"/>
      <c r="AG467" s="16"/>
      <c r="AI467" s="69" cm="1">
        <f t="array" ref="AI467">tuple_avg(T467)/tuple_avg(AA467)</f>
        <v>1.0666666666666666E-2</v>
      </c>
      <c r="AJ467" s="69">
        <f>AC467*AI467*'-配置辅助'!$I$8</f>
        <v>4.2666666666666666</v>
      </c>
      <c r="AK467" s="69">
        <f>AD467*AI467*'-配置辅助'!$I$10</f>
        <v>1.6</v>
      </c>
      <c r="AL467" s="69">
        <f>AJ467*_xlfn.XLOOKUP(H467,monsters[怪物id],monsters[HP],-1)</f>
        <v>136.53333333333333</v>
      </c>
      <c r="AM467" s="69">
        <f>AK467*_xlfn.XLOOKUP(H467,monsters[怪物id],monsters[HP],-1)</f>
        <v>51.2</v>
      </c>
    </row>
    <row r="468" spans="1:41" x14ac:dyDescent="0.2">
      <c r="J468" s="15" t="str" cm="1">
        <f t="array" ref="J468">_xlfn.LET(_xlpm.v6p,ABS(ATAN2(O468,P468))*6/PI(),
_xlpm.output,_xlfn.IFS(_xlpm.v6p&lt;1,"正前",_xlpm.v6p&gt;5,"正后",AND(_xlpm.v6p&lt;5,_xlpm.v6p&gt;2,P468&lt;-1),"脚底",_xlpm.v6p&gt;4,"后上",_xlpm.v6p&lt;2,"前上",TRUE,"顶部"),
IFERROR(_xlpm.output,""))</f>
        <v/>
      </c>
    </row>
    <row r="469" spans="1:41" x14ac:dyDescent="0.2">
      <c r="A469" s="9">
        <v>420713</v>
      </c>
      <c r="B469" s="9" t="str" cm="1">
        <f t="array" ref="B469">D469&amp;_xlfn.TEXTJOIN("",1,TEXT(E469:G469,"00"))</f>
        <v>1020000</v>
      </c>
      <c r="C469" s="30" t="str">
        <f t="shared" ref="C469:C471" si="237">_xlfn.TEXTJOIN(",",1,A469:B469)</f>
        <v>420713,1020000</v>
      </c>
      <c r="D469" s="26">
        <v>1</v>
      </c>
      <c r="E469" s="26">
        <v>2</v>
      </c>
      <c r="F469" s="26">
        <v>0</v>
      </c>
      <c r="G469" s="26">
        <v>0</v>
      </c>
      <c r="H469" s="9">
        <v>201702</v>
      </c>
      <c r="I469" s="15" t="str">
        <f>IFERROR(VLOOKUP(H469,monsters[#All],4,0),"")</f>
        <v>沙漠蛇</v>
      </c>
      <c r="J469" s="15" t="str" cm="1">
        <f t="array" ref="J469">_xlfn.LET(_xlpm.v6p,ABS(ATAN2(O469,P469))*6/PI(),
_xlpm.output,_xlfn.IFS(_xlpm.v6p&lt;1,"正前",_xlpm.v6p&gt;5,"正后",AND(_xlpm.v6p&lt;5,_xlpm.v6p&gt;2,P469&lt;-1),"脚底",_xlpm.v6p&gt;4,"后上",_xlpm.v6p&lt;2,"前上",TRUE,"顶部"),
IFERROR(_xlpm.output,""))</f>
        <v>正后</v>
      </c>
      <c r="K469" s="12"/>
      <c r="L469" s="12" t="s">
        <v>63</v>
      </c>
      <c r="M469" s="12" t="s">
        <v>63</v>
      </c>
      <c r="N469" s="19" t="str">
        <f>O469+0&amp;","&amp;P469+0</f>
        <v>-16,-1</v>
      </c>
      <c r="O469" s="24">
        <v>-16</v>
      </c>
      <c r="P469" s="24">
        <v>-1</v>
      </c>
      <c r="Q469" s="19">
        <f t="shared" ref="Q469:Q471" si="238">_xlfn.LET(_xlpm._default,1,
_xlpm._custom,R469,
IF($A469&lt;&gt;"",IF(_xlpm._custom&lt;&gt;"",_xlpm._custom,_xlpm._default),""))</f>
        <v>1</v>
      </c>
      <c r="S469" s="9">
        <v>3</v>
      </c>
      <c r="T469" s="19" t="str">
        <f t="shared" ref="T469:T471" si="239">IF(U469&lt;&gt;"", U469+0&amp;","&amp;V469+0,"")</f>
        <v>1,1</v>
      </c>
      <c r="U469" s="24">
        <v>1</v>
      </c>
      <c r="V469" s="24">
        <v>1</v>
      </c>
      <c r="W469" s="9">
        <v>0</v>
      </c>
      <c r="X469" s="9">
        <v>11</v>
      </c>
      <c r="Y469" s="19" t="str">
        <f>IF($A469&lt;&gt;"",IF($Z469&lt;&gt;"",$Z469,"0,0"),"")</f>
        <v>90,94</v>
      </c>
      <c r="Z469" s="42" t="s">
        <v>185</v>
      </c>
      <c r="AA469" s="19" t="str">
        <f>IF($A469&lt;&gt;"",IF($AB469&lt;&gt;"",$AB469,"80,120"),"")</f>
        <v>95,100</v>
      </c>
      <c r="AB469" s="42" t="s">
        <v>179</v>
      </c>
      <c r="AC469" s="9">
        <v>0.5</v>
      </c>
      <c r="AD469" s="9">
        <v>7</v>
      </c>
      <c r="AE469" s="9">
        <v>0</v>
      </c>
      <c r="AF469" s="16"/>
      <c r="AG469" s="16"/>
      <c r="AI469" s="69" cm="1">
        <f t="array" ref="AI469">tuple_avg(T469)/tuple_avg(AA469)</f>
        <v>1.0256410256410256E-2</v>
      </c>
      <c r="AJ469" s="69">
        <f>AC469*AI469*'-配置辅助'!$I$8</f>
        <v>0.51282051282051277</v>
      </c>
      <c r="AK469" s="69">
        <f>AD469*AI469*'-配置辅助'!$I$10</f>
        <v>1.1965811965811965</v>
      </c>
      <c r="AL469" s="69">
        <f>AJ469*_xlfn.XLOOKUP(H469,monsters[怪物id],monsters[HP],-1)</f>
        <v>16.410256410256409</v>
      </c>
      <c r="AM469" s="69">
        <f>AK469*_xlfn.XLOOKUP(H469,monsters[怪物id],monsters[HP],-1)</f>
        <v>38.29059829059829</v>
      </c>
    </row>
    <row r="470" spans="1:41" x14ac:dyDescent="0.2">
      <c r="A470" s="9">
        <v>420713</v>
      </c>
      <c r="B470" s="9" t="str" cm="1">
        <f t="array" ref="B470">D470&amp;_xlfn.TEXTJOIN("",1,TEXT(E470:G470,"00"))</f>
        <v>1020001</v>
      </c>
      <c r="C470" s="30" t="str">
        <f t="shared" si="237"/>
        <v>420713,1020001</v>
      </c>
      <c r="D470" s="26">
        <v>1</v>
      </c>
      <c r="E470" s="26">
        <v>2</v>
      </c>
      <c r="F470" s="26">
        <v>0</v>
      </c>
      <c r="G470" s="26">
        <v>1</v>
      </c>
      <c r="H470" s="9">
        <v>201702</v>
      </c>
      <c r="I470" s="15" t="str">
        <f>IFERROR(VLOOKUP(H470,monsters[#All],4,0),"")</f>
        <v>沙漠蛇</v>
      </c>
      <c r="J470" s="15" t="str" cm="1">
        <f t="array" ref="J470">_xlfn.LET(_xlpm.v6p,ABS(ATAN2(O470,P470))*6/PI(),
_xlpm.output,_xlfn.IFS(_xlpm.v6p&lt;1,"正前",_xlpm.v6p&gt;5,"正后",AND(_xlpm.v6p&lt;5,_xlpm.v6p&gt;2,P470&lt;-1),"脚底",_xlpm.v6p&gt;4,"后上",_xlpm.v6p&lt;2,"前上",TRUE,"顶部"),
IFERROR(_xlpm.output,""))</f>
        <v>正后</v>
      </c>
      <c r="K470" s="12"/>
      <c r="L470" s="12" t="s">
        <v>63</v>
      </c>
      <c r="M470" s="12" t="s">
        <v>63</v>
      </c>
      <c r="N470" s="19" t="str">
        <f>O470+0&amp;","&amp;P470+0</f>
        <v>-16,-1</v>
      </c>
      <c r="O470" s="24">
        <v>-16</v>
      </c>
      <c r="P470" s="24">
        <v>-1</v>
      </c>
      <c r="Q470" s="19">
        <f t="shared" si="238"/>
        <v>1</v>
      </c>
      <c r="R470" s="42"/>
      <c r="S470" s="9">
        <v>3</v>
      </c>
      <c r="T470" s="19" t="str">
        <f t="shared" si="239"/>
        <v>1,2</v>
      </c>
      <c r="U470" s="24">
        <v>1</v>
      </c>
      <c r="V470" s="24">
        <v>2</v>
      </c>
      <c r="W470" s="9">
        <v>0</v>
      </c>
      <c r="X470" s="9">
        <v>11</v>
      </c>
      <c r="Y470" s="19" t="str">
        <f>IF($A470&lt;&gt;"",IF($Z470&lt;&gt;"",$Z470,"0,0"),"")</f>
        <v>130,134</v>
      </c>
      <c r="Z470" s="42" t="s">
        <v>188</v>
      </c>
      <c r="AA470" s="19" t="str">
        <f>IF($A470&lt;&gt;"",IF($AB470&lt;&gt;"",$AB470,"80,120"),"")</f>
        <v>135,140</v>
      </c>
      <c r="AB470" s="42" t="s">
        <v>181</v>
      </c>
      <c r="AC470" s="9">
        <v>1.5</v>
      </c>
      <c r="AD470" s="9">
        <v>8</v>
      </c>
      <c r="AE470" s="9">
        <v>0</v>
      </c>
      <c r="AF470" s="16"/>
      <c r="AG470" s="16"/>
      <c r="AI470" s="69" cm="1">
        <f t="array" ref="AI470">tuple_avg(T470)/tuple_avg(AA470)</f>
        <v>1.090909090909091E-2</v>
      </c>
      <c r="AJ470" s="69">
        <f>AC470*AI470*'-配置辅助'!$I$8</f>
        <v>1.6363636363636365</v>
      </c>
      <c r="AK470" s="69">
        <f>AD470*AI470*'-配置辅助'!$I$10</f>
        <v>1.4545454545454548</v>
      </c>
      <c r="AL470" s="69">
        <f>AJ470*_xlfn.XLOOKUP(H470,monsters[怪物id],monsters[HP],-1)</f>
        <v>52.363636363636367</v>
      </c>
      <c r="AM470" s="69">
        <f>AK470*_xlfn.XLOOKUP(H470,monsters[怪物id],monsters[HP],-1)</f>
        <v>46.545454545454554</v>
      </c>
    </row>
    <row r="471" spans="1:41" x14ac:dyDescent="0.2">
      <c r="A471" s="9">
        <v>420713</v>
      </c>
      <c r="B471" s="9" t="str" cm="1">
        <f t="array" ref="B471">D471&amp;_xlfn.TEXTJOIN("",1,TEXT(E471:G471,"00"))</f>
        <v>1020003</v>
      </c>
      <c r="C471" s="30" t="str">
        <f t="shared" si="237"/>
        <v>420713,1020003</v>
      </c>
      <c r="D471" s="26">
        <v>1</v>
      </c>
      <c r="E471" s="26">
        <v>2</v>
      </c>
      <c r="F471" s="26">
        <v>0</v>
      </c>
      <c r="G471" s="26">
        <v>3</v>
      </c>
      <c r="H471" s="9">
        <v>201702</v>
      </c>
      <c r="I471" s="15" t="str">
        <f>IFERROR(VLOOKUP(H471,monsters[#All],4,0),"")</f>
        <v>沙漠蛇</v>
      </c>
      <c r="J471" s="15" t="str" cm="1">
        <f t="array" ref="J471">_xlfn.LET(_xlpm.v6p,ABS(ATAN2(O471,P471))*6/PI(),
_xlpm.output,_xlfn.IFS(_xlpm.v6p&lt;1,"正前",_xlpm.v6p&gt;5,"正后",AND(_xlpm.v6p&lt;5,_xlpm.v6p&gt;2,P471&lt;-1),"脚底",_xlpm.v6p&gt;4,"后上",_xlpm.v6p&lt;2,"前上",TRUE,"顶部"),
IFERROR(_xlpm.output,""))</f>
        <v>正后</v>
      </c>
      <c r="K471" s="12"/>
      <c r="L471" s="12" t="s">
        <v>63</v>
      </c>
      <c r="M471" s="12" t="s">
        <v>63</v>
      </c>
      <c r="N471" s="19" t="str">
        <f>O471+0&amp;","&amp;P471+0</f>
        <v>-16,-1</v>
      </c>
      <c r="O471" s="24">
        <v>-16</v>
      </c>
      <c r="P471" s="24">
        <v>-1</v>
      </c>
      <c r="Q471" s="19">
        <f t="shared" si="238"/>
        <v>1</v>
      </c>
      <c r="R471" s="42"/>
      <c r="S471" s="9">
        <v>3</v>
      </c>
      <c r="T471" s="19" t="str">
        <f t="shared" si="239"/>
        <v>2,2</v>
      </c>
      <c r="U471" s="24">
        <v>2</v>
      </c>
      <c r="V471" s="24">
        <v>2</v>
      </c>
      <c r="W471" s="9">
        <v>0</v>
      </c>
      <c r="X471" s="9">
        <v>11</v>
      </c>
      <c r="Y471" s="19" t="str">
        <f>IF($A471&lt;&gt;"",IF($Z471&lt;&gt;"",$Z471,"0,0"),"")</f>
        <v>180,184</v>
      </c>
      <c r="Z471" s="42" t="s">
        <v>189</v>
      </c>
      <c r="AA471" s="19" t="str">
        <f>IF($A471&lt;&gt;"",IF($AB471&lt;&gt;"",$AB471,"80,120"),"")</f>
        <v>185,190</v>
      </c>
      <c r="AB471" s="42" t="s">
        <v>180</v>
      </c>
      <c r="AC471" s="9">
        <v>2.5</v>
      </c>
      <c r="AD471" s="9">
        <v>9</v>
      </c>
      <c r="AE471" s="9">
        <v>0</v>
      </c>
      <c r="AF471" s="16"/>
      <c r="AG471" s="16"/>
      <c r="AI471" s="69" cm="1">
        <f t="array" ref="AI471">tuple_avg(T471)/tuple_avg(AA471)</f>
        <v>1.0666666666666666E-2</v>
      </c>
      <c r="AJ471" s="69">
        <f>AC471*AI471*'-配置辅助'!$I$8</f>
        <v>2.6666666666666665</v>
      </c>
      <c r="AK471" s="69">
        <f>AD471*AI471*'-配置辅助'!$I$10</f>
        <v>1.6</v>
      </c>
      <c r="AL471" s="69">
        <f>AJ471*_xlfn.XLOOKUP(H471,monsters[怪物id],monsters[HP],-1)</f>
        <v>85.333333333333329</v>
      </c>
      <c r="AM471" s="69">
        <f>AK471*_xlfn.XLOOKUP(H471,monsters[怪物id],monsters[HP],-1)</f>
        <v>51.2</v>
      </c>
    </row>
    <row r="474" spans="1:41" s="52" customFormat="1" x14ac:dyDescent="0.2">
      <c r="A474" s="48"/>
      <c r="B474" s="48"/>
      <c r="C474" s="49" t="str">
        <f t="shared" ref="C474" si="240">_xlfn.TEXTJOIN(",",1,A474:B474)</f>
        <v/>
      </c>
      <c r="D474" s="50"/>
      <c r="E474" s="50"/>
      <c r="F474" s="50"/>
      <c r="G474" s="50"/>
      <c r="H474" s="48" t="s">
        <v>177</v>
      </c>
      <c r="I474" s="51"/>
      <c r="J474" s="51"/>
      <c r="O474" s="53"/>
      <c r="P474" s="53"/>
      <c r="R474" s="53"/>
      <c r="S474" s="52" t="s">
        <v>62</v>
      </c>
      <c r="U474" s="53"/>
      <c r="V474" s="53"/>
      <c r="Z474" s="53"/>
      <c r="AB474" s="53"/>
      <c r="AC474" s="52" t="s">
        <v>62</v>
      </c>
      <c r="AI474" s="74"/>
      <c r="AJ474" s="74"/>
      <c r="AK474" s="74"/>
      <c r="AL474" s="74">
        <f>SUM(AL476:AL490)</f>
        <v>567.00000000000011</v>
      </c>
      <c r="AM474" s="74">
        <f>SUM(AM476:AM490)</f>
        <v>190.65000000000003</v>
      </c>
      <c r="AN474" s="74"/>
      <c r="AO474" s="74"/>
    </row>
    <row r="476" spans="1:41" x14ac:dyDescent="0.2">
      <c r="A476" s="9">
        <v>420714</v>
      </c>
      <c r="B476" s="9" t="str" cm="1">
        <f t="array" ref="B476">D476&amp;_xlfn.TEXTJOIN("",1,TEXT(E476:G476,"00"))</f>
        <v>1010000</v>
      </c>
      <c r="C476" s="30" t="str">
        <f t="shared" ref="C476:C478" si="241">_xlfn.TEXTJOIN(",",1,A476:B476)</f>
        <v>420714,1010000</v>
      </c>
      <c r="D476" s="26">
        <v>1</v>
      </c>
      <c r="E476" s="26">
        <v>1</v>
      </c>
      <c r="F476" s="26">
        <f>W476</f>
        <v>0</v>
      </c>
      <c r="G476" s="26">
        <v>0</v>
      </c>
      <c r="H476" s="9">
        <v>201701</v>
      </c>
      <c r="I476" s="15" t="str">
        <f>IFERROR(VLOOKUP(H476,monsters[#All],4,0),"")</f>
        <v>涂涂鸟</v>
      </c>
      <c r="J476" s="15" t="str" cm="1">
        <f t="array" ref="J476">_xlfn.LET(_xlpm.v6p,ABS(ATAN2(O476,P476))*6/PI(),
_xlpm.output,_xlfn.IFS(_xlpm.v6p&lt;1,"正前",_xlpm.v6p&gt;5,"正后",AND(_xlpm.v6p&lt;5,_xlpm.v6p&gt;2,P476&lt;-1),"脚底",_xlpm.v6p&gt;4,"后上",_xlpm.v6p&lt;2,"前上",TRUE,"顶部"),
IFERROR(_xlpm.output,""))</f>
        <v>前上</v>
      </c>
      <c r="K476" s="12"/>
      <c r="L476" s="12" t="s">
        <v>63</v>
      </c>
      <c r="M476" s="12" t="s">
        <v>63</v>
      </c>
      <c r="N476" s="19" t="str">
        <f>O476+0&amp;","&amp;P476+0</f>
        <v>15,10</v>
      </c>
      <c r="O476" s="24">
        <v>15</v>
      </c>
      <c r="P476" s="24">
        <v>10</v>
      </c>
      <c r="Q476" s="19">
        <f t="shared" ref="Q476:Q484" si="242">_xlfn.LET(_xlpm._default,1,
_xlpm._custom,R476,
IF($A476&lt;&gt;"",IF(_xlpm._custom&lt;&gt;"",_xlpm._custom,_xlpm._default),""))</f>
        <v>1</v>
      </c>
      <c r="S476" s="9">
        <v>1</v>
      </c>
      <c r="T476" s="19" t="str">
        <f>IF(U476&lt;&gt;"", U476+0&amp;","&amp;V476+0,"")</f>
        <v>1,1</v>
      </c>
      <c r="U476" s="24">
        <v>1</v>
      </c>
      <c r="V476" s="24">
        <v>1</v>
      </c>
      <c r="W476" s="9">
        <v>0</v>
      </c>
      <c r="X476" s="9">
        <v>11</v>
      </c>
      <c r="Y476" s="19" t="str">
        <f>IF($A476&lt;&gt;"",IF($Z476&lt;&gt;"",$Z476,"0,0"),"")</f>
        <v>70,75</v>
      </c>
      <c r="Z476" s="24" t="s">
        <v>132</v>
      </c>
      <c r="AA476" s="19" t="str">
        <f>IF($A476&lt;&gt;"",IF($AB476&lt;&gt;"",$AB476,"80,120"),"")</f>
        <v>80,120</v>
      </c>
      <c r="AC476" s="9">
        <v>0.6</v>
      </c>
      <c r="AD476" s="9">
        <v>1.5</v>
      </c>
      <c r="AE476" s="9">
        <v>0.3</v>
      </c>
      <c r="AF476" s="9">
        <v>3</v>
      </c>
      <c r="AG476" s="9">
        <v>100</v>
      </c>
      <c r="AI476" s="69" cm="1">
        <f t="array" ref="AI476">tuple_avg(T476)/tuple_avg(AA476)</f>
        <v>0.01</v>
      </c>
      <c r="AJ476" s="69">
        <f>AC476*AI476*'-配置辅助'!$I$8</f>
        <v>0.6</v>
      </c>
      <c r="AK476" s="69">
        <f>AD476*AI476*'-配置辅助'!$I$10</f>
        <v>0.25</v>
      </c>
      <c r="AL476" s="69">
        <f>AJ476*_xlfn.XLOOKUP(H476,monsters[怪物id],monsters[HP],-1)</f>
        <v>10.799999999999999</v>
      </c>
      <c r="AM476" s="69">
        <f>AK476*_xlfn.XLOOKUP(H476,monsters[怪物id],monsters[HP],-1)</f>
        <v>4.5</v>
      </c>
    </row>
    <row r="477" spans="1:41" x14ac:dyDescent="0.2">
      <c r="A477" s="9">
        <v>420714</v>
      </c>
      <c r="B477" s="9" t="str" cm="1">
        <f t="array" ref="B477">D477&amp;_xlfn.TEXTJOIN("",1,TEXT(E477:G477,"00"))</f>
        <v>1010001</v>
      </c>
      <c r="C477" s="30" t="str">
        <f t="shared" si="241"/>
        <v>420714,1010001</v>
      </c>
      <c r="D477" s="26">
        <v>1</v>
      </c>
      <c r="E477" s="26">
        <v>1</v>
      </c>
      <c r="F477" s="26">
        <f>W477</f>
        <v>0</v>
      </c>
      <c r="G477" s="26">
        <v>1</v>
      </c>
      <c r="H477" s="9">
        <v>201701</v>
      </c>
      <c r="I477" s="15" t="str">
        <f>IFERROR(VLOOKUP(H477,monsters[#All],4,0),"")</f>
        <v>涂涂鸟</v>
      </c>
      <c r="J477" s="15" t="str" cm="1">
        <f t="array" ref="J477">_xlfn.LET(_xlpm.v6p,ABS(ATAN2(O477,P477))*6/PI(),
_xlpm.output,_xlfn.IFS(_xlpm.v6p&lt;1,"正前",_xlpm.v6p&gt;5,"正后",AND(_xlpm.v6p&lt;5,_xlpm.v6p&gt;2,P477&lt;-1),"脚底",_xlpm.v6p&gt;4,"后上",_xlpm.v6p&lt;2,"前上",TRUE,"顶部"),
IFERROR(_xlpm.output,""))</f>
        <v>前上</v>
      </c>
      <c r="K477" s="12"/>
      <c r="L477" s="12" t="s">
        <v>63</v>
      </c>
      <c r="M477" s="12" t="s">
        <v>63</v>
      </c>
      <c r="N477" s="19" t="str">
        <f>O477+0&amp;","&amp;P477+0</f>
        <v>15,10</v>
      </c>
      <c r="O477" s="24">
        <v>15</v>
      </c>
      <c r="P477" s="24">
        <v>10</v>
      </c>
      <c r="Q477" s="19">
        <f t="shared" si="242"/>
        <v>1</v>
      </c>
      <c r="S477" s="9">
        <v>2</v>
      </c>
      <c r="T477" s="19" t="str">
        <f>IF(U477&lt;&gt;"", U477+0&amp;","&amp;V477+0,"")</f>
        <v>1,2</v>
      </c>
      <c r="U477" s="24">
        <v>1</v>
      </c>
      <c r="V477" s="24">
        <v>2</v>
      </c>
      <c r="W477" s="9">
        <v>0</v>
      </c>
      <c r="X477" s="9">
        <v>11</v>
      </c>
      <c r="Y477" s="19" t="str">
        <f>IF($A477&lt;&gt;"",IF($Z477&lt;&gt;"",$Z477,"0,0"),"")</f>
        <v>0,0</v>
      </c>
      <c r="AA477" s="19" t="str">
        <f>IF($A477&lt;&gt;"",IF($AB477&lt;&gt;"",$AB477,"80,120"),"")</f>
        <v>80,120</v>
      </c>
      <c r="AC477" s="9">
        <v>0.8</v>
      </c>
      <c r="AD477" s="9">
        <v>2.2999999999999998</v>
      </c>
      <c r="AE477" s="9">
        <v>0.3</v>
      </c>
      <c r="AF477" s="9">
        <v>3</v>
      </c>
      <c r="AG477" s="9">
        <v>100</v>
      </c>
      <c r="AI477" s="69" cm="1">
        <f t="array" ref="AI477">tuple_avg(T477)/tuple_avg(AA477)</f>
        <v>1.4999999999999999E-2</v>
      </c>
      <c r="AJ477" s="69">
        <f>AC477*AI477*'-配置辅助'!$I$8</f>
        <v>1.2</v>
      </c>
      <c r="AK477" s="69">
        <f>AD477*AI477*'-配置辅助'!$I$10</f>
        <v>0.57499999999999996</v>
      </c>
      <c r="AL477" s="69">
        <f>AJ477*_xlfn.XLOOKUP(H477,monsters[怪物id],monsters[HP],-1)</f>
        <v>21.599999999999998</v>
      </c>
      <c r="AM477" s="69">
        <f>AK477*_xlfn.XLOOKUP(H477,monsters[怪物id],monsters[HP],-1)</f>
        <v>10.35</v>
      </c>
    </row>
    <row r="478" spans="1:41" x14ac:dyDescent="0.2">
      <c r="A478" s="9">
        <v>420714</v>
      </c>
      <c r="B478" s="9" t="str" cm="1">
        <f t="array" ref="B478">D478&amp;_xlfn.TEXTJOIN("",1,TEXT(E478:G478,"00"))</f>
        <v>1010002</v>
      </c>
      <c r="C478" s="30" t="str">
        <f t="shared" si="241"/>
        <v>420714,1010002</v>
      </c>
      <c r="D478" s="26">
        <v>1</v>
      </c>
      <c r="E478" s="26">
        <v>1</v>
      </c>
      <c r="F478" s="26">
        <f>W478</f>
        <v>0</v>
      </c>
      <c r="G478" s="26">
        <v>2</v>
      </c>
      <c r="H478" s="9">
        <v>201701</v>
      </c>
      <c r="I478" s="15" t="str">
        <f>IFERROR(VLOOKUP(H478,monsters[#All],4,0),"")</f>
        <v>涂涂鸟</v>
      </c>
      <c r="J478" s="15" t="str" cm="1">
        <f t="array" ref="J478">_xlfn.LET(_xlpm.v6p,ABS(ATAN2(O478,P478))*6/PI(),
_xlpm.output,_xlfn.IFS(_xlpm.v6p&lt;1,"正前",_xlpm.v6p&gt;5,"正后",AND(_xlpm.v6p&lt;5,_xlpm.v6p&gt;2,P478&lt;-1),"脚底",_xlpm.v6p&gt;4,"后上",_xlpm.v6p&lt;2,"前上",TRUE,"顶部"),
IFERROR(_xlpm.output,""))</f>
        <v>前上</v>
      </c>
      <c r="K478" s="12"/>
      <c r="L478" s="12" t="s">
        <v>63</v>
      </c>
      <c r="M478" s="12" t="s">
        <v>63</v>
      </c>
      <c r="N478" s="19" t="str">
        <f>O478+0&amp;","&amp;P478+0</f>
        <v>15,10</v>
      </c>
      <c r="O478" s="24">
        <v>15</v>
      </c>
      <c r="P478" s="24">
        <v>10</v>
      </c>
      <c r="Q478" s="19">
        <f t="shared" si="242"/>
        <v>1</v>
      </c>
      <c r="R478" s="42"/>
      <c r="S478" s="9">
        <v>2</v>
      </c>
      <c r="T478" s="19" t="str">
        <f>IF(U478&lt;&gt;"", U478+0&amp;","&amp;V478+0,"")</f>
        <v>2,2</v>
      </c>
      <c r="U478" s="24">
        <v>2</v>
      </c>
      <c r="V478" s="24">
        <v>2</v>
      </c>
      <c r="W478" s="9">
        <v>0</v>
      </c>
      <c r="X478" s="9">
        <v>11</v>
      </c>
      <c r="Y478" s="19" t="str">
        <f>IF($A478&lt;&gt;"",IF($Z478&lt;&gt;"",$Z478,"0,0"),"")</f>
        <v>-105,-100</v>
      </c>
      <c r="Z478" s="42" t="s">
        <v>133</v>
      </c>
      <c r="AA478" s="19" t="str">
        <f>IF($A478&lt;&gt;"",IF($AB478&lt;&gt;"",$AB478,"80,120"),"")</f>
        <v>80,120</v>
      </c>
      <c r="AC478" s="9">
        <v>1.1000000000000001</v>
      </c>
      <c r="AD478" s="9">
        <v>2.7</v>
      </c>
      <c r="AE478" s="9">
        <v>0.3</v>
      </c>
      <c r="AF478" s="9">
        <v>3</v>
      </c>
      <c r="AG478" s="9">
        <v>100</v>
      </c>
      <c r="AI478" s="69" cm="1">
        <f t="array" ref="AI478">tuple_avg(T478)/tuple_avg(AA478)</f>
        <v>0.02</v>
      </c>
      <c r="AJ478" s="69">
        <f>AC478*AI478*'-配置辅助'!$I$8</f>
        <v>2.2000000000000002</v>
      </c>
      <c r="AK478" s="69">
        <f>AD478*AI478*'-配置辅助'!$I$10</f>
        <v>0.90000000000000013</v>
      </c>
      <c r="AL478" s="69">
        <f>AJ478*_xlfn.XLOOKUP(H478,monsters[怪物id],monsters[HP],-1)</f>
        <v>39.6</v>
      </c>
      <c r="AM478" s="69">
        <f>AK478*_xlfn.XLOOKUP(H478,monsters[怪物id],monsters[HP],-1)</f>
        <v>16.200000000000003</v>
      </c>
    </row>
    <row r="479" spans="1:41" x14ac:dyDescent="0.2">
      <c r="A479" s="9">
        <v>420714</v>
      </c>
      <c r="B479" s="9" t="str" cm="1">
        <f t="array" ref="B479">D479&amp;_xlfn.TEXTJOIN("",1,TEXT(E479:G479,"00"))</f>
        <v>1010003</v>
      </c>
      <c r="C479" s="30" t="str">
        <f t="shared" ref="C479" si="243">_xlfn.TEXTJOIN(",",1,A479:B479)</f>
        <v>420714,1010003</v>
      </c>
      <c r="D479" s="26">
        <v>1</v>
      </c>
      <c r="E479" s="26">
        <v>1</v>
      </c>
      <c r="F479" s="26">
        <f>W479</f>
        <v>0</v>
      </c>
      <c r="G479" s="26">
        <v>3</v>
      </c>
      <c r="H479" s="9">
        <v>201701</v>
      </c>
      <c r="I479" s="15" t="str">
        <f>IFERROR(VLOOKUP(H479,monsters[#All],4,0),"")</f>
        <v>涂涂鸟</v>
      </c>
      <c r="J479" s="15" t="str" cm="1">
        <f t="array" ref="J479">_xlfn.LET(_xlpm.v6p,ABS(ATAN2(O479,P479))*6/PI(),
_xlpm.output,_xlfn.IFS(_xlpm.v6p&lt;1,"正前",_xlpm.v6p&gt;5,"正后",AND(_xlpm.v6p&lt;5,_xlpm.v6p&gt;2,P479&lt;-1),"脚底",_xlpm.v6p&gt;4,"后上",_xlpm.v6p&lt;2,"前上",TRUE,"顶部"),
IFERROR(_xlpm.output,""))</f>
        <v>前上</v>
      </c>
      <c r="K479" s="12"/>
      <c r="L479" s="12" t="s">
        <v>63</v>
      </c>
      <c r="M479" s="12" t="s">
        <v>63</v>
      </c>
      <c r="N479" s="19" t="str">
        <f>O479+0&amp;","&amp;P479+0</f>
        <v>15,10</v>
      </c>
      <c r="O479" s="24">
        <v>15</v>
      </c>
      <c r="P479" s="24">
        <v>10</v>
      </c>
      <c r="Q479" s="19">
        <f t="shared" ref="Q479" si="244">_xlfn.LET(_xlpm._default,1,
_xlpm._custom,R479,
IF($A479&lt;&gt;"",IF(_xlpm._custom&lt;&gt;"",_xlpm._custom,_xlpm._default),""))</f>
        <v>1</v>
      </c>
      <c r="R479" s="42"/>
      <c r="S479" s="9">
        <v>2</v>
      </c>
      <c r="T479" s="19" t="str">
        <f>IF(U479&lt;&gt;"", U479+0&amp;","&amp;V479+0,"")</f>
        <v>2,3</v>
      </c>
      <c r="U479" s="24">
        <v>2</v>
      </c>
      <c r="V479" s="24">
        <v>3</v>
      </c>
      <c r="W479" s="9">
        <v>0</v>
      </c>
      <c r="X479" s="9">
        <v>11</v>
      </c>
      <c r="Y479" s="19" t="str">
        <f>IF($A479&lt;&gt;"",IF($Z479&lt;&gt;"",$Z479,"0,0"),"")</f>
        <v>-255,-250</v>
      </c>
      <c r="Z479" s="42" t="s">
        <v>266</v>
      </c>
      <c r="AA479" s="19" t="str">
        <f>IF($A479&lt;&gt;"",IF($AB479&lt;&gt;"",$AB479,"80,120"),"")</f>
        <v>80,120</v>
      </c>
      <c r="AC479" s="9">
        <v>1.5</v>
      </c>
      <c r="AD479" s="9">
        <v>2.9</v>
      </c>
      <c r="AE479" s="9">
        <v>0.3</v>
      </c>
      <c r="AF479" s="9">
        <v>3</v>
      </c>
      <c r="AG479" s="9">
        <v>100</v>
      </c>
      <c r="AI479" s="69" cm="1">
        <f t="array" ref="AI479">tuple_avg(T479)/tuple_avg(AA479)</f>
        <v>2.5000000000000001E-2</v>
      </c>
      <c r="AJ479" s="69">
        <f>AC479*AI479*'-配置辅助'!$I$8</f>
        <v>3.7500000000000004</v>
      </c>
      <c r="AK479" s="69">
        <f>AD479*AI479*'-配置辅助'!$I$10</f>
        <v>1.2083333333333333</v>
      </c>
      <c r="AL479" s="69">
        <f>AJ479*_xlfn.XLOOKUP(H479,monsters[怪物id],monsters[HP],-1)</f>
        <v>67.500000000000014</v>
      </c>
      <c r="AM479" s="69">
        <f>AK479*_xlfn.XLOOKUP(H479,monsters[怪物id],monsters[HP],-1)</f>
        <v>21.75</v>
      </c>
    </row>
    <row r="480" spans="1:41" x14ac:dyDescent="0.2">
      <c r="A480" s="9">
        <v>420714</v>
      </c>
      <c r="B480" s="9" t="str" cm="1">
        <f t="array" ref="B480">D480&amp;_xlfn.TEXTJOIN("",1,TEXT(E480:G480,"00"))</f>
        <v>1010004</v>
      </c>
      <c r="C480" s="30" t="str">
        <f t="shared" ref="C480" si="245">_xlfn.TEXTJOIN(",",1,A480:B480)</f>
        <v>420714,1010004</v>
      </c>
      <c r="D480" s="26">
        <v>1</v>
      </c>
      <c r="E480" s="26">
        <v>1</v>
      </c>
      <c r="F480" s="26">
        <f>W480</f>
        <v>0</v>
      </c>
      <c r="G480" s="26">
        <v>4</v>
      </c>
      <c r="H480" s="9">
        <v>201701</v>
      </c>
      <c r="I480" s="15" t="str">
        <f>IFERROR(VLOOKUP(H480,monsters[#All],4,0),"")</f>
        <v>涂涂鸟</v>
      </c>
      <c r="J480" s="15" t="str" cm="1">
        <f t="array" ref="J480">_xlfn.LET(_xlpm.v6p,ABS(ATAN2(O480,P480))*6/PI(),
_xlpm.output,_xlfn.IFS(_xlpm.v6p&lt;1,"正前",_xlpm.v6p&gt;5,"正后",AND(_xlpm.v6p&lt;5,_xlpm.v6p&gt;2,P480&lt;-1),"脚底",_xlpm.v6p&gt;4,"后上",_xlpm.v6p&lt;2,"前上",TRUE,"顶部"),
IFERROR(_xlpm.output,""))</f>
        <v>前上</v>
      </c>
      <c r="K480" s="12"/>
      <c r="L480" s="12" t="s">
        <v>63</v>
      </c>
      <c r="M480" s="12" t="s">
        <v>63</v>
      </c>
      <c r="N480" s="19" t="str">
        <f>O480+0&amp;","&amp;P480+0</f>
        <v>15,10</v>
      </c>
      <c r="O480" s="24">
        <v>15</v>
      </c>
      <c r="P480" s="24">
        <v>10</v>
      </c>
      <c r="Q480" s="19">
        <f t="shared" ref="Q480" si="246">_xlfn.LET(_xlpm._default,1,
_xlpm._custom,R480,
IF($A480&lt;&gt;"",IF(_xlpm._custom&lt;&gt;"",_xlpm._custom,_xlpm._default),""))</f>
        <v>1</v>
      </c>
      <c r="R480" s="42"/>
      <c r="S480" s="9">
        <v>2</v>
      </c>
      <c r="T480" s="19" t="str">
        <f>IF(U480&lt;&gt;"", U480+0&amp;","&amp;V480+0,"")</f>
        <v>3,3</v>
      </c>
      <c r="U480" s="24">
        <v>3</v>
      </c>
      <c r="V480" s="24">
        <v>3</v>
      </c>
      <c r="W480" s="9">
        <v>0</v>
      </c>
      <c r="X480" s="9">
        <v>11</v>
      </c>
      <c r="Y480" s="19" t="str">
        <f>IF($A480&lt;&gt;"",IF($Z480&lt;&gt;"",$Z480,"0,0"),"")</f>
        <v>-405,-400</v>
      </c>
      <c r="Z480" s="42" t="s">
        <v>264</v>
      </c>
      <c r="AA480" s="19" t="str">
        <f>IF($A480&lt;&gt;"",IF($AB480&lt;&gt;"",$AB480,"80,120"),"")</f>
        <v>80,120</v>
      </c>
      <c r="AC480" s="9">
        <v>2</v>
      </c>
      <c r="AD480" s="9">
        <v>3</v>
      </c>
      <c r="AE480" s="9">
        <v>0.3</v>
      </c>
      <c r="AF480" s="9">
        <v>3</v>
      </c>
      <c r="AG480" s="9">
        <v>100</v>
      </c>
      <c r="AI480" s="69" cm="1">
        <f t="array" ref="AI480">tuple_avg(T480)/tuple_avg(AA480)</f>
        <v>0.03</v>
      </c>
      <c r="AJ480" s="69">
        <f>AC480*AI480*'-配置辅助'!$I$8</f>
        <v>6</v>
      </c>
      <c r="AK480" s="69">
        <f>AD480*AI480*'-配置辅助'!$I$10</f>
        <v>1.5</v>
      </c>
      <c r="AL480" s="69">
        <f>AJ480*_xlfn.XLOOKUP(H480,monsters[怪物id],monsters[HP],-1)</f>
        <v>108</v>
      </c>
      <c r="AM480" s="69">
        <f>AK480*_xlfn.XLOOKUP(H480,monsters[怪物id],monsters[HP],-1)</f>
        <v>27</v>
      </c>
    </row>
    <row r="481" spans="1:41" x14ac:dyDescent="0.2">
      <c r="J481" s="15" t="str" cm="1">
        <f t="array" ref="J481">_xlfn.LET(_xlpm.v6p,ABS(ATAN2(O481,P481))*6/PI(),
_xlpm.output,_xlfn.IFS(_xlpm.v6p&lt;1,"正前",_xlpm.v6p&gt;5,"正后",AND(_xlpm.v6p&lt;5,_xlpm.v6p&gt;2,P481&lt;-1),"脚底",_xlpm.v6p&gt;4,"后上",_xlpm.v6p&lt;2,"前上",TRUE,"顶部"),
IFERROR(_xlpm.output,""))</f>
        <v/>
      </c>
      <c r="Q481" s="19" t="str">
        <f t="shared" si="242"/>
        <v/>
      </c>
    </row>
    <row r="482" spans="1:41" x14ac:dyDescent="0.2">
      <c r="A482" s="9">
        <v>420714</v>
      </c>
      <c r="B482" s="9" t="str" cm="1">
        <f t="array" ref="B482">D482&amp;_xlfn.TEXTJOIN("",1,TEXT(E482:G482,"00"))</f>
        <v>1020000</v>
      </c>
      <c r="C482" s="30" t="str">
        <f t="shared" ref="C482:C484" si="247">_xlfn.TEXTJOIN(",",1,A482:B482)</f>
        <v>420714,1020000</v>
      </c>
      <c r="D482" s="26">
        <v>1</v>
      </c>
      <c r="E482" s="26">
        <v>2</v>
      </c>
      <c r="F482" s="26">
        <f>W482</f>
        <v>0</v>
      </c>
      <c r="G482" s="26">
        <v>0</v>
      </c>
      <c r="H482" s="9">
        <v>201701</v>
      </c>
      <c r="I482" s="15" t="str">
        <f>IFERROR(VLOOKUP(H482,monsters[#All],4,0),"")</f>
        <v>涂涂鸟</v>
      </c>
      <c r="J482" s="15" t="str" cm="1">
        <f t="array" ref="J482">_xlfn.LET(_xlpm.v6p,ABS(ATAN2(O482,P482))*6/PI(),
_xlpm.output,_xlfn.IFS(_xlpm.v6p&lt;1,"正前",_xlpm.v6p&gt;5,"正后",AND(_xlpm.v6p&lt;5,_xlpm.v6p&gt;2,P482&lt;-1),"脚底",_xlpm.v6p&gt;4,"后上",_xlpm.v6p&lt;2,"前上",TRUE,"顶部"),
IFERROR(_xlpm.output,""))</f>
        <v>后上</v>
      </c>
      <c r="K482" s="12"/>
      <c r="L482" s="12" t="s">
        <v>63</v>
      </c>
      <c r="M482" s="12" t="s">
        <v>63</v>
      </c>
      <c r="N482" s="19" t="str">
        <f>O482+0&amp;","&amp;P482+0</f>
        <v>-15,10</v>
      </c>
      <c r="O482" s="24">
        <v>-15</v>
      </c>
      <c r="P482" s="24">
        <v>10</v>
      </c>
      <c r="Q482" s="19">
        <f t="shared" si="242"/>
        <v>1</v>
      </c>
      <c r="S482" s="9">
        <v>1</v>
      </c>
      <c r="T482" s="19" t="str">
        <f>IF(U482&lt;&gt;"", U482+0&amp;","&amp;V482+0,"")</f>
        <v>1,1</v>
      </c>
      <c r="U482" s="24">
        <v>1</v>
      </c>
      <c r="V482" s="24">
        <v>1</v>
      </c>
      <c r="W482" s="9">
        <v>0</v>
      </c>
      <c r="X482" s="9">
        <v>11</v>
      </c>
      <c r="Y482" s="19" t="str">
        <f>IF($A482&lt;&gt;"",IF($Z482&lt;&gt;"",$Z482,"0,0"),"")</f>
        <v>70,75</v>
      </c>
      <c r="Z482" s="24" t="s">
        <v>132</v>
      </c>
      <c r="AA482" s="19" t="str">
        <f>IF($A482&lt;&gt;"",IF($AB482&lt;&gt;"",$AB482,"80,120"),"")</f>
        <v>80,120</v>
      </c>
      <c r="AC482" s="9">
        <v>0.6</v>
      </c>
      <c r="AD482" s="9">
        <v>1.5</v>
      </c>
      <c r="AE482" s="9">
        <v>0.3</v>
      </c>
      <c r="AF482" s="9">
        <v>3</v>
      </c>
      <c r="AG482" s="9">
        <v>100</v>
      </c>
      <c r="AI482" s="69" cm="1">
        <f t="array" ref="AI482">tuple_avg(T482)/tuple_avg(AA482)</f>
        <v>0.01</v>
      </c>
      <c r="AJ482" s="69">
        <f>AC482*AI482*'-配置辅助'!$I$8</f>
        <v>0.6</v>
      </c>
      <c r="AK482" s="69">
        <f>AD482*AI482*'-配置辅助'!$I$10</f>
        <v>0.25</v>
      </c>
      <c r="AL482" s="69">
        <f>AJ482*_xlfn.XLOOKUP(H482,monsters[怪物id],monsters[HP],-1)</f>
        <v>10.799999999999999</v>
      </c>
      <c r="AM482" s="69">
        <f>AK482*_xlfn.XLOOKUP(H482,monsters[怪物id],monsters[HP],-1)</f>
        <v>4.5</v>
      </c>
    </row>
    <row r="483" spans="1:41" x14ac:dyDescent="0.2">
      <c r="A483" s="9">
        <v>420714</v>
      </c>
      <c r="B483" s="9" t="str" cm="1">
        <f t="array" ref="B483">D483&amp;_xlfn.TEXTJOIN("",1,TEXT(E483:G483,"00"))</f>
        <v>1020001</v>
      </c>
      <c r="C483" s="30" t="str">
        <f t="shared" si="247"/>
        <v>420714,1020001</v>
      </c>
      <c r="D483" s="26">
        <v>1</v>
      </c>
      <c r="E483" s="26">
        <v>2</v>
      </c>
      <c r="F483" s="26">
        <f>W483</f>
        <v>0</v>
      </c>
      <c r="G483" s="26">
        <v>1</v>
      </c>
      <c r="H483" s="9">
        <v>201701</v>
      </c>
      <c r="I483" s="15" t="str">
        <f>IFERROR(VLOOKUP(H483,monsters[#All],4,0),"")</f>
        <v>涂涂鸟</v>
      </c>
      <c r="J483" s="15" t="str" cm="1">
        <f t="array" ref="J483">_xlfn.LET(_xlpm.v6p,ABS(ATAN2(O483,P483))*6/PI(),
_xlpm.output,_xlfn.IFS(_xlpm.v6p&lt;1,"正前",_xlpm.v6p&gt;5,"正后",AND(_xlpm.v6p&lt;5,_xlpm.v6p&gt;2,P483&lt;-1),"脚底",_xlpm.v6p&gt;4,"后上",_xlpm.v6p&lt;2,"前上",TRUE,"顶部"),
IFERROR(_xlpm.output,""))</f>
        <v>后上</v>
      </c>
      <c r="K483" s="12"/>
      <c r="L483" s="12" t="s">
        <v>63</v>
      </c>
      <c r="M483" s="12" t="s">
        <v>63</v>
      </c>
      <c r="N483" s="19" t="str">
        <f>O483+0&amp;","&amp;P483+0</f>
        <v>-15,10</v>
      </c>
      <c r="O483" s="24">
        <v>-15</v>
      </c>
      <c r="P483" s="24">
        <v>10</v>
      </c>
      <c r="Q483" s="19">
        <f t="shared" si="242"/>
        <v>1</v>
      </c>
      <c r="S483" s="9">
        <v>2</v>
      </c>
      <c r="T483" s="19" t="str">
        <f>IF(U483&lt;&gt;"", U483+0&amp;","&amp;V483+0,"")</f>
        <v>1,2</v>
      </c>
      <c r="U483" s="24">
        <v>1</v>
      </c>
      <c r="V483" s="24">
        <v>2</v>
      </c>
      <c r="W483" s="9">
        <v>0</v>
      </c>
      <c r="X483" s="9">
        <v>11</v>
      </c>
      <c r="Y483" s="19" t="str">
        <f>IF($A483&lt;&gt;"",IF($Z483&lt;&gt;"",$Z483,"0,0"),"")</f>
        <v>0,0</v>
      </c>
      <c r="AA483" s="19" t="str">
        <f>IF($A483&lt;&gt;"",IF($AB483&lt;&gt;"",$AB483,"80,120"),"")</f>
        <v>80,120</v>
      </c>
      <c r="AC483" s="9">
        <v>0.8</v>
      </c>
      <c r="AD483" s="9">
        <v>2.2999999999999998</v>
      </c>
      <c r="AE483" s="9">
        <v>0.3</v>
      </c>
      <c r="AF483" s="9">
        <v>3</v>
      </c>
      <c r="AG483" s="9">
        <v>100</v>
      </c>
      <c r="AI483" s="69" cm="1">
        <f t="array" ref="AI483">tuple_avg(T483)/tuple_avg(AA483)</f>
        <v>1.4999999999999999E-2</v>
      </c>
      <c r="AJ483" s="69">
        <f>AC483*AI483*'-配置辅助'!$I$8</f>
        <v>1.2</v>
      </c>
      <c r="AK483" s="69">
        <f>AD483*AI483*'-配置辅助'!$I$10</f>
        <v>0.57499999999999996</v>
      </c>
      <c r="AL483" s="69">
        <f>AJ483*_xlfn.XLOOKUP(H483,monsters[怪物id],monsters[HP],-1)</f>
        <v>21.599999999999998</v>
      </c>
      <c r="AM483" s="69">
        <f>AK483*_xlfn.XLOOKUP(H483,monsters[怪物id],monsters[HP],-1)</f>
        <v>10.35</v>
      </c>
    </row>
    <row r="484" spans="1:41" x14ac:dyDescent="0.2">
      <c r="A484" s="9">
        <v>420714</v>
      </c>
      <c r="B484" s="9" t="str" cm="1">
        <f t="array" ref="B484">D484&amp;_xlfn.TEXTJOIN("",1,TEXT(E484:G484,"00"))</f>
        <v>1020002</v>
      </c>
      <c r="C484" s="30" t="str">
        <f t="shared" si="247"/>
        <v>420714,1020002</v>
      </c>
      <c r="D484" s="26">
        <v>1</v>
      </c>
      <c r="E484" s="26">
        <v>2</v>
      </c>
      <c r="F484" s="26">
        <f>W484</f>
        <v>0</v>
      </c>
      <c r="G484" s="26">
        <v>2</v>
      </c>
      <c r="H484" s="9">
        <v>201701</v>
      </c>
      <c r="I484" s="15" t="str">
        <f>IFERROR(VLOOKUP(H484,monsters[#All],4,0),"")</f>
        <v>涂涂鸟</v>
      </c>
      <c r="J484" s="15" t="str" cm="1">
        <f t="array" ref="J484">_xlfn.LET(_xlpm.v6p,ABS(ATAN2(O484,P484))*6/PI(),
_xlpm.output,_xlfn.IFS(_xlpm.v6p&lt;1,"正前",_xlpm.v6p&gt;5,"正后",AND(_xlpm.v6p&lt;5,_xlpm.v6p&gt;2,P484&lt;-1),"脚底",_xlpm.v6p&gt;4,"后上",_xlpm.v6p&lt;2,"前上",TRUE,"顶部"),
IFERROR(_xlpm.output,""))</f>
        <v>后上</v>
      </c>
      <c r="K484" s="12"/>
      <c r="L484" s="12" t="s">
        <v>63</v>
      </c>
      <c r="M484" s="12" t="s">
        <v>63</v>
      </c>
      <c r="N484" s="19" t="str">
        <f>O484+0&amp;","&amp;P484+0</f>
        <v>-15,10</v>
      </c>
      <c r="O484" s="24">
        <v>-15</v>
      </c>
      <c r="P484" s="24">
        <v>10</v>
      </c>
      <c r="Q484" s="19">
        <f t="shared" si="242"/>
        <v>1</v>
      </c>
      <c r="R484" s="42"/>
      <c r="S484" s="9">
        <v>2</v>
      </c>
      <c r="T484" s="19" t="str">
        <f>IF(U484&lt;&gt;"", U484+0&amp;","&amp;V484+0,"")</f>
        <v>2,2</v>
      </c>
      <c r="U484" s="24">
        <v>2</v>
      </c>
      <c r="V484" s="24">
        <v>2</v>
      </c>
      <c r="W484" s="9">
        <v>0</v>
      </c>
      <c r="X484" s="9">
        <v>11</v>
      </c>
      <c r="Y484" s="19" t="str">
        <f>IF($A484&lt;&gt;"",IF($Z484&lt;&gt;"",$Z484,"0,0"),"")</f>
        <v>-105,-100</v>
      </c>
      <c r="Z484" s="42" t="s">
        <v>133</v>
      </c>
      <c r="AA484" s="19" t="str">
        <f>IF($A484&lt;&gt;"",IF($AB484&lt;&gt;"",$AB484,"80,120"),"")</f>
        <v>80,120</v>
      </c>
      <c r="AC484" s="9">
        <v>1.1000000000000001</v>
      </c>
      <c r="AD484" s="9">
        <v>2.7</v>
      </c>
      <c r="AE484" s="9">
        <v>0.3</v>
      </c>
      <c r="AF484" s="9">
        <v>3</v>
      </c>
      <c r="AG484" s="9">
        <v>100</v>
      </c>
      <c r="AI484" s="69" cm="1">
        <f t="array" ref="AI484">tuple_avg(T484)/tuple_avg(AA484)</f>
        <v>0.02</v>
      </c>
      <c r="AJ484" s="69">
        <f>AC484*AI484*'-配置辅助'!$I$8</f>
        <v>2.2000000000000002</v>
      </c>
      <c r="AK484" s="69">
        <f>AD484*AI484*'-配置辅助'!$I$10</f>
        <v>0.90000000000000013</v>
      </c>
      <c r="AL484" s="69">
        <f>AJ484*_xlfn.XLOOKUP(H484,monsters[怪物id],monsters[HP],-1)</f>
        <v>39.6</v>
      </c>
      <c r="AM484" s="69">
        <f>AK484*_xlfn.XLOOKUP(H484,monsters[怪物id],monsters[HP],-1)</f>
        <v>16.200000000000003</v>
      </c>
    </row>
    <row r="485" spans="1:41" x14ac:dyDescent="0.2">
      <c r="A485" s="9">
        <v>420714</v>
      </c>
      <c r="B485" s="9" t="str" cm="1">
        <f t="array" ref="B485">D485&amp;_xlfn.TEXTJOIN("",1,TEXT(E485:G485,"00"))</f>
        <v>1020003</v>
      </c>
      <c r="C485" s="30" t="str">
        <f t="shared" ref="C485" si="248">_xlfn.TEXTJOIN(",",1,A485:B485)</f>
        <v>420714,1020003</v>
      </c>
      <c r="D485" s="26">
        <v>1</v>
      </c>
      <c r="E485" s="26">
        <v>2</v>
      </c>
      <c r="F485" s="26">
        <f>W485</f>
        <v>0</v>
      </c>
      <c r="G485" s="26">
        <v>3</v>
      </c>
      <c r="H485" s="9">
        <v>201701</v>
      </c>
      <c r="I485" s="15" t="str">
        <f>IFERROR(VLOOKUP(H485,monsters[#All],4,0),"")</f>
        <v>涂涂鸟</v>
      </c>
      <c r="J485" s="15" t="str" cm="1">
        <f t="array" ref="J485">_xlfn.LET(_xlpm.v6p,ABS(ATAN2(O485,P485))*6/PI(),
_xlpm.output,_xlfn.IFS(_xlpm.v6p&lt;1,"正前",_xlpm.v6p&gt;5,"正后",AND(_xlpm.v6p&lt;5,_xlpm.v6p&gt;2,P485&lt;-1),"脚底",_xlpm.v6p&gt;4,"后上",_xlpm.v6p&lt;2,"前上",TRUE,"顶部"),
IFERROR(_xlpm.output,""))</f>
        <v>后上</v>
      </c>
      <c r="K485" s="12"/>
      <c r="L485" s="12" t="s">
        <v>63</v>
      </c>
      <c r="M485" s="12" t="s">
        <v>63</v>
      </c>
      <c r="N485" s="19" t="str">
        <f>O485+0&amp;","&amp;P485+0</f>
        <v>-15,10</v>
      </c>
      <c r="O485" s="24">
        <v>-15</v>
      </c>
      <c r="P485" s="24">
        <v>10</v>
      </c>
      <c r="Q485" s="19">
        <f t="shared" ref="Q485" si="249">_xlfn.LET(_xlpm._default,1,
_xlpm._custom,R485,
IF($A485&lt;&gt;"",IF(_xlpm._custom&lt;&gt;"",_xlpm._custom,_xlpm._default),""))</f>
        <v>1</v>
      </c>
      <c r="R485" s="42"/>
      <c r="S485" s="9">
        <v>2</v>
      </c>
      <c r="T485" s="19" t="str">
        <f>IF(U485&lt;&gt;"", U485+0&amp;","&amp;V485+0,"")</f>
        <v>2,3</v>
      </c>
      <c r="U485" s="24">
        <v>2</v>
      </c>
      <c r="V485" s="24">
        <v>3</v>
      </c>
      <c r="W485" s="9">
        <v>0</v>
      </c>
      <c r="X485" s="9">
        <v>11</v>
      </c>
      <c r="Y485" s="19" t="str">
        <f>IF($A485&lt;&gt;"",IF($Z485&lt;&gt;"",$Z485,"0,0"),"")</f>
        <v>-255,-250</v>
      </c>
      <c r="Z485" s="42" t="s">
        <v>266</v>
      </c>
      <c r="AA485" s="19" t="str">
        <f>IF($A485&lt;&gt;"",IF($AB485&lt;&gt;"",$AB485,"80,120"),"")</f>
        <v>80,120</v>
      </c>
      <c r="AC485" s="9">
        <v>1.5</v>
      </c>
      <c r="AD485" s="9">
        <v>2.9</v>
      </c>
      <c r="AE485" s="9">
        <v>0.3</v>
      </c>
      <c r="AF485" s="9">
        <v>3</v>
      </c>
      <c r="AG485" s="9">
        <v>100</v>
      </c>
      <c r="AI485" s="69" cm="1">
        <f t="array" ref="AI485">tuple_avg(T485)/tuple_avg(AA485)</f>
        <v>2.5000000000000001E-2</v>
      </c>
      <c r="AJ485" s="69">
        <f>AC485*AI485*'-配置辅助'!$I$8</f>
        <v>3.7500000000000004</v>
      </c>
      <c r="AK485" s="69">
        <f>AD485*AI485*'-配置辅助'!$I$10</f>
        <v>1.2083333333333333</v>
      </c>
      <c r="AL485" s="69">
        <f>AJ485*_xlfn.XLOOKUP(H485,monsters[怪物id],monsters[HP],-1)</f>
        <v>67.500000000000014</v>
      </c>
      <c r="AM485" s="69">
        <f>AK485*_xlfn.XLOOKUP(H485,monsters[怪物id],monsters[HP],-1)</f>
        <v>21.75</v>
      </c>
    </row>
    <row r="486" spans="1:41" x14ac:dyDescent="0.2">
      <c r="A486" s="9">
        <v>420714</v>
      </c>
      <c r="B486" s="9" t="str" cm="1">
        <f t="array" ref="B486">D486&amp;_xlfn.TEXTJOIN("",1,TEXT(E486:G486,"00"))</f>
        <v>1020004</v>
      </c>
      <c r="C486" s="30" t="str">
        <f t="shared" ref="C486" si="250">_xlfn.TEXTJOIN(",",1,A486:B486)</f>
        <v>420714,1020004</v>
      </c>
      <c r="D486" s="26">
        <v>1</v>
      </c>
      <c r="E486" s="26">
        <v>2</v>
      </c>
      <c r="F486" s="26">
        <f>W486</f>
        <v>0</v>
      </c>
      <c r="G486" s="26">
        <v>4</v>
      </c>
      <c r="H486" s="9">
        <v>201701</v>
      </c>
      <c r="I486" s="15" t="str">
        <f>IFERROR(VLOOKUP(H486,monsters[#All],4,0),"")</f>
        <v>涂涂鸟</v>
      </c>
      <c r="J486" s="15" t="str" cm="1">
        <f t="array" ref="J486">_xlfn.LET(_xlpm.v6p,ABS(ATAN2(O486,P486))*6/PI(),
_xlpm.output,_xlfn.IFS(_xlpm.v6p&lt;1,"正前",_xlpm.v6p&gt;5,"正后",AND(_xlpm.v6p&lt;5,_xlpm.v6p&gt;2,P486&lt;-1),"脚底",_xlpm.v6p&gt;4,"后上",_xlpm.v6p&lt;2,"前上",TRUE,"顶部"),
IFERROR(_xlpm.output,""))</f>
        <v>后上</v>
      </c>
      <c r="K486" s="12"/>
      <c r="L486" s="12" t="s">
        <v>63</v>
      </c>
      <c r="M486" s="12" t="s">
        <v>63</v>
      </c>
      <c r="N486" s="19" t="str">
        <f>O486+0&amp;","&amp;P486+0</f>
        <v>-15,10</v>
      </c>
      <c r="O486" s="24">
        <v>-15</v>
      </c>
      <c r="P486" s="24">
        <v>10</v>
      </c>
      <c r="Q486" s="19">
        <f t="shared" ref="Q486" si="251">_xlfn.LET(_xlpm._default,1,
_xlpm._custom,R486,
IF($A486&lt;&gt;"",IF(_xlpm._custom&lt;&gt;"",_xlpm._custom,_xlpm._default),""))</f>
        <v>1</v>
      </c>
      <c r="R486" s="42"/>
      <c r="S486" s="9">
        <v>2</v>
      </c>
      <c r="T486" s="19" t="str">
        <f>IF(U486&lt;&gt;"", U486+0&amp;","&amp;V486+0,"")</f>
        <v>3,3</v>
      </c>
      <c r="U486" s="24">
        <v>3</v>
      </c>
      <c r="V486" s="24">
        <v>3</v>
      </c>
      <c r="W486" s="9">
        <v>0</v>
      </c>
      <c r="X486" s="9">
        <v>11</v>
      </c>
      <c r="Y486" s="19" t="str">
        <f>IF($A486&lt;&gt;"",IF($Z486&lt;&gt;"",$Z486,"0,0"),"")</f>
        <v>-405,-400</v>
      </c>
      <c r="Z486" s="42" t="s">
        <v>264</v>
      </c>
      <c r="AA486" s="19" t="str">
        <f>IF($A486&lt;&gt;"",IF($AB486&lt;&gt;"",$AB486,"80,120"),"")</f>
        <v>80,120</v>
      </c>
      <c r="AC486" s="9">
        <v>2</v>
      </c>
      <c r="AD486" s="9">
        <v>3</v>
      </c>
      <c r="AE486" s="9">
        <v>0.3</v>
      </c>
      <c r="AF486" s="9">
        <v>3</v>
      </c>
      <c r="AG486" s="9">
        <v>100</v>
      </c>
      <c r="AI486" s="69" cm="1">
        <f t="array" ref="AI486">tuple_avg(T486)/tuple_avg(AA486)</f>
        <v>0.03</v>
      </c>
      <c r="AJ486" s="69">
        <f>AC486*AI486*'-配置辅助'!$I$8</f>
        <v>6</v>
      </c>
      <c r="AK486" s="69">
        <f>AD486*AI486*'-配置辅助'!$I$10</f>
        <v>1.5</v>
      </c>
      <c r="AL486" s="69">
        <f>AJ486*_xlfn.XLOOKUP(H486,monsters[怪物id],monsters[HP],-1)</f>
        <v>108</v>
      </c>
      <c r="AM486" s="69">
        <f>AK486*_xlfn.XLOOKUP(H486,monsters[怪物id],monsters[HP],-1)</f>
        <v>27</v>
      </c>
    </row>
    <row r="487" spans="1:41" x14ac:dyDescent="0.2">
      <c r="J487" s="15" t="str" cm="1">
        <f t="array" ref="J487">_xlfn.LET(_xlpm.v6p,ABS(ATAN2(O487,P487))*6/PI(),
_xlpm.output,_xlfn.IFS(_xlpm.v6p&lt;1,"正前",_xlpm.v6p&gt;5,"正后",AND(_xlpm.v6p&lt;5,_xlpm.v6p&gt;2,P487&lt;-1),"脚底",_xlpm.v6p&gt;4,"后上",_xlpm.v6p&lt;2,"前上",TRUE,"顶部"),
IFERROR(_xlpm.output,""))</f>
        <v/>
      </c>
    </row>
    <row r="488" spans="1:41" x14ac:dyDescent="0.2">
      <c r="A488" s="9">
        <v>420714</v>
      </c>
      <c r="B488" s="9" t="str" cm="1">
        <f t="array" ref="B488">D488&amp;_xlfn.TEXTJOIN("",1,TEXT(E488:G488,"00"))</f>
        <v>1030000</v>
      </c>
      <c r="C488" s="30" t="str">
        <f t="shared" ref="C488:C490" si="252">_xlfn.TEXTJOIN(",",1,A488:B488)</f>
        <v>420714,1030000</v>
      </c>
      <c r="D488" s="26">
        <v>1</v>
      </c>
      <c r="E488" s="26">
        <v>3</v>
      </c>
      <c r="F488" s="26">
        <f>W488</f>
        <v>0</v>
      </c>
      <c r="G488" s="26">
        <v>0</v>
      </c>
      <c r="H488" s="9">
        <v>201701</v>
      </c>
      <c r="I488" s="15" t="str">
        <f>IFERROR(VLOOKUP(H488,monsters[#All],4,0),"")</f>
        <v>涂涂鸟</v>
      </c>
      <c r="J488" s="15" t="str" cm="1">
        <f t="array" ref="J488">_xlfn.LET(_xlpm.v6p,ABS(ATAN2(O488,P488))*6/PI(),
_xlpm.output,_xlfn.IFS(_xlpm.v6p&lt;1,"正前",_xlpm.v6p&gt;5,"正后",AND(_xlpm.v6p&lt;5,_xlpm.v6p&gt;2,P488&lt;-1),"脚底",_xlpm.v6p&gt;4,"后上",_xlpm.v6p&lt;2,"前上",TRUE,"顶部"),
IFERROR(_xlpm.output,""))</f>
        <v>顶部</v>
      </c>
      <c r="K488" s="12"/>
      <c r="L488" s="12" t="s">
        <v>63</v>
      </c>
      <c r="M488" s="12" t="s">
        <v>63</v>
      </c>
      <c r="N488" s="19" t="str">
        <f>O488+0&amp;","&amp;P488+0</f>
        <v>3,15</v>
      </c>
      <c r="O488" s="24">
        <v>3</v>
      </c>
      <c r="P488" s="24">
        <v>15</v>
      </c>
      <c r="Q488" s="19">
        <f t="shared" ref="Q488:Q490" si="253">_xlfn.LET(_xlpm._default,1,
_xlpm._custom,R488,
IF($A488&lt;&gt;"",IF(_xlpm._custom&lt;&gt;"",_xlpm._custom,_xlpm._default),""))</f>
        <v>1</v>
      </c>
      <c r="S488" s="9">
        <v>1</v>
      </c>
      <c r="T488" s="19" t="str">
        <f>IF(U488&lt;&gt;"", U488+0&amp;","&amp;V488+0,"")</f>
        <v>1,1</v>
      </c>
      <c r="U488" s="24">
        <v>1</v>
      </c>
      <c r="V488" s="24">
        <v>1</v>
      </c>
      <c r="W488" s="9">
        <v>0</v>
      </c>
      <c r="X488" s="9">
        <v>11</v>
      </c>
      <c r="Y488" s="19" t="str">
        <f>IF($A488&lt;&gt;"",IF($Z488&lt;&gt;"",$Z488,"0,0"),"")</f>
        <v>70,75</v>
      </c>
      <c r="Z488" s="24" t="s">
        <v>132</v>
      </c>
      <c r="AA488" s="19" t="str">
        <f>IF($A488&lt;&gt;"",IF($AB488&lt;&gt;"",$AB488,"80,120"),"")</f>
        <v>80,120</v>
      </c>
      <c r="AC488" s="9">
        <v>0.6</v>
      </c>
      <c r="AD488" s="9">
        <v>1.5</v>
      </c>
      <c r="AE488" s="9">
        <v>0.3</v>
      </c>
      <c r="AF488" s="9">
        <v>3</v>
      </c>
      <c r="AG488" s="9">
        <v>100</v>
      </c>
      <c r="AI488" s="69" cm="1">
        <f t="array" ref="AI488">tuple_avg(T488)/tuple_avg(AA488)</f>
        <v>0.01</v>
      </c>
      <c r="AJ488" s="69">
        <f>AC488*AI488*'-配置辅助'!$I$8</f>
        <v>0.6</v>
      </c>
      <c r="AK488" s="69">
        <f>AD488*AI488*'-配置辅助'!$I$10</f>
        <v>0.25</v>
      </c>
      <c r="AL488" s="69">
        <f>AJ488*_xlfn.XLOOKUP(H488,monsters[怪物id],monsters[HP],-1)</f>
        <v>10.799999999999999</v>
      </c>
      <c r="AM488" s="69">
        <f>AK488*_xlfn.XLOOKUP(H488,monsters[怪物id],monsters[HP],-1)</f>
        <v>4.5</v>
      </c>
    </row>
    <row r="489" spans="1:41" x14ac:dyDescent="0.2">
      <c r="A489" s="9">
        <v>420714</v>
      </c>
      <c r="B489" s="9" t="str" cm="1">
        <f t="array" ref="B489">D489&amp;_xlfn.TEXTJOIN("",1,TEXT(E489:G489,"00"))</f>
        <v>1030001</v>
      </c>
      <c r="C489" s="30" t="str">
        <f t="shared" si="252"/>
        <v>420714,1030001</v>
      </c>
      <c r="D489" s="26">
        <v>1</v>
      </c>
      <c r="E489" s="26">
        <v>3</v>
      </c>
      <c r="F489" s="26">
        <f>W489</f>
        <v>0</v>
      </c>
      <c r="G489" s="26">
        <v>1</v>
      </c>
      <c r="H489" s="9">
        <v>201701</v>
      </c>
      <c r="I489" s="15" t="str">
        <f>IFERROR(VLOOKUP(H489,monsters[#All],4,0),"")</f>
        <v>涂涂鸟</v>
      </c>
      <c r="J489" s="15" t="str" cm="1">
        <f t="array" ref="J489">_xlfn.LET(_xlpm.v6p,ABS(ATAN2(O489,P489))*6/PI(),
_xlpm.output,_xlfn.IFS(_xlpm.v6p&lt;1,"正前",_xlpm.v6p&gt;5,"正后",AND(_xlpm.v6p&lt;5,_xlpm.v6p&gt;2,P489&lt;-1),"脚底",_xlpm.v6p&gt;4,"后上",_xlpm.v6p&lt;2,"前上",TRUE,"顶部"),
IFERROR(_xlpm.output,""))</f>
        <v>顶部</v>
      </c>
      <c r="K489" s="12"/>
      <c r="L489" s="12" t="s">
        <v>63</v>
      </c>
      <c r="M489" s="12" t="s">
        <v>63</v>
      </c>
      <c r="N489" s="19" t="str">
        <f>O489+0&amp;","&amp;P489+0</f>
        <v>3,15</v>
      </c>
      <c r="O489" s="24">
        <v>3</v>
      </c>
      <c r="P489" s="24">
        <v>15</v>
      </c>
      <c r="Q489" s="19">
        <f t="shared" si="253"/>
        <v>1</v>
      </c>
      <c r="S489" s="9">
        <v>2</v>
      </c>
      <c r="T489" s="19" t="str">
        <f>IF(U489&lt;&gt;"", U489+0&amp;","&amp;V489+0,"")</f>
        <v>1,2</v>
      </c>
      <c r="U489" s="24">
        <v>1</v>
      </c>
      <c r="V489" s="24">
        <v>2</v>
      </c>
      <c r="W489" s="9">
        <v>0</v>
      </c>
      <c r="X489" s="9">
        <v>11</v>
      </c>
      <c r="Y489" s="19" t="str">
        <f>IF($A489&lt;&gt;"",IF($Z489&lt;&gt;"",$Z489,"0,0"),"")</f>
        <v>0,0</v>
      </c>
      <c r="AA489" s="19" t="str">
        <f>IF($A489&lt;&gt;"",IF($AB489&lt;&gt;"",$AB489,"80,120"),"")</f>
        <v>80,120</v>
      </c>
      <c r="AC489" s="9">
        <v>0.8</v>
      </c>
      <c r="AD489" s="9">
        <v>2.2999999999999998</v>
      </c>
      <c r="AE489" s="9">
        <v>0.3</v>
      </c>
      <c r="AF489" s="9">
        <v>3</v>
      </c>
      <c r="AG489" s="9">
        <v>100</v>
      </c>
      <c r="AI489" s="69" cm="1">
        <f t="array" ref="AI489">tuple_avg(T489)/tuple_avg(AA489)</f>
        <v>1.4999999999999999E-2</v>
      </c>
      <c r="AJ489" s="69">
        <f>AC489*AI489*'-配置辅助'!$I$8</f>
        <v>1.2</v>
      </c>
      <c r="AK489" s="69">
        <f>AD489*AI489*'-配置辅助'!$I$10</f>
        <v>0.57499999999999996</v>
      </c>
      <c r="AL489" s="69">
        <f>AJ489*_xlfn.XLOOKUP(H489,monsters[怪物id],monsters[HP],-1)</f>
        <v>21.599999999999998</v>
      </c>
      <c r="AM489" s="69">
        <f>AK489*_xlfn.XLOOKUP(H489,monsters[怪物id],monsters[HP],-1)</f>
        <v>10.35</v>
      </c>
    </row>
    <row r="490" spans="1:41" x14ac:dyDescent="0.2">
      <c r="A490" s="9">
        <v>420714</v>
      </c>
      <c r="B490" s="9" t="str" cm="1">
        <f t="array" ref="B490">D490&amp;_xlfn.TEXTJOIN("",1,TEXT(E490:G490,"00"))</f>
        <v>1030002</v>
      </c>
      <c r="C490" s="30" t="str">
        <f t="shared" si="252"/>
        <v>420714,1030002</v>
      </c>
      <c r="D490" s="26">
        <v>1</v>
      </c>
      <c r="E490" s="26">
        <v>3</v>
      </c>
      <c r="F490" s="26">
        <f>W490</f>
        <v>0</v>
      </c>
      <c r="G490" s="26">
        <v>2</v>
      </c>
      <c r="H490" s="9">
        <v>201701</v>
      </c>
      <c r="I490" s="15" t="str">
        <f>IFERROR(VLOOKUP(H490,monsters[#All],4,0),"")</f>
        <v>涂涂鸟</v>
      </c>
      <c r="J490" s="15" t="str" cm="1">
        <f t="array" ref="J490">_xlfn.LET(_xlpm.v6p,ABS(ATAN2(O490,P490))*6/PI(),
_xlpm.output,_xlfn.IFS(_xlpm.v6p&lt;1,"正前",_xlpm.v6p&gt;5,"正后",AND(_xlpm.v6p&lt;5,_xlpm.v6p&gt;2,P490&lt;-1),"脚底",_xlpm.v6p&gt;4,"后上",_xlpm.v6p&lt;2,"前上",TRUE,"顶部"),
IFERROR(_xlpm.output,""))</f>
        <v>顶部</v>
      </c>
      <c r="K490" s="12"/>
      <c r="L490" s="12" t="s">
        <v>63</v>
      </c>
      <c r="M490" s="12" t="s">
        <v>63</v>
      </c>
      <c r="N490" s="19" t="str">
        <f>O490+0&amp;","&amp;P490+0</f>
        <v>3,15</v>
      </c>
      <c r="O490" s="24">
        <v>3</v>
      </c>
      <c r="P490" s="24">
        <v>15</v>
      </c>
      <c r="Q490" s="19">
        <f t="shared" si="253"/>
        <v>1</v>
      </c>
      <c r="R490" s="42"/>
      <c r="S490" s="9">
        <v>2</v>
      </c>
      <c r="T490" s="19" t="str">
        <f>IF(U490&lt;&gt;"", U490+0&amp;","&amp;V490+0,"")</f>
        <v>2,2</v>
      </c>
      <c r="U490" s="24">
        <v>2</v>
      </c>
      <c r="V490" s="24">
        <v>2</v>
      </c>
      <c r="W490" s="9">
        <v>0</v>
      </c>
      <c r="X490" s="9">
        <v>11</v>
      </c>
      <c r="Y490" s="19" t="str">
        <f>IF($A490&lt;&gt;"",IF($Z490&lt;&gt;"",$Z490,"0,0"),"")</f>
        <v>-105,-100</v>
      </c>
      <c r="Z490" s="42" t="s">
        <v>133</v>
      </c>
      <c r="AA490" s="19" t="str">
        <f>IF($A490&lt;&gt;"",IF($AB490&lt;&gt;"",$AB490,"80,120"),"")</f>
        <v>80,120</v>
      </c>
      <c r="AC490" s="9">
        <v>1.1000000000000001</v>
      </c>
      <c r="AD490" s="9">
        <v>2.7</v>
      </c>
      <c r="AE490" s="9">
        <v>0.3</v>
      </c>
      <c r="AF490" s="9">
        <v>3</v>
      </c>
      <c r="AG490" s="9">
        <v>100</v>
      </c>
      <c r="AI490" s="69" cm="1">
        <f t="array" ref="AI490">tuple_avg(T490)/tuple_avg(AA490)</f>
        <v>0.02</v>
      </c>
      <c r="AJ490" s="69">
        <f>AC490*AI490*'-配置辅助'!$I$8</f>
        <v>2.2000000000000002</v>
      </c>
      <c r="AK490" s="69">
        <f>AD490*AI490*'-配置辅助'!$I$10</f>
        <v>0.90000000000000013</v>
      </c>
      <c r="AL490" s="69">
        <f>AJ490*_xlfn.XLOOKUP(H490,monsters[怪物id],monsters[HP],-1)</f>
        <v>39.6</v>
      </c>
      <c r="AM490" s="69">
        <f>AK490*_xlfn.XLOOKUP(H490,monsters[怪物id],monsters[HP],-1)</f>
        <v>16.200000000000003</v>
      </c>
    </row>
    <row r="491" spans="1:41" x14ac:dyDescent="0.2">
      <c r="A491" s="9">
        <v>420714</v>
      </c>
      <c r="B491" s="9" t="str" cm="1">
        <f t="array" ref="B491">D491&amp;_xlfn.TEXTJOIN("",1,TEXT(E491:G491,"00"))</f>
        <v>1030003</v>
      </c>
      <c r="C491" s="30" t="str">
        <f t="shared" ref="C491" si="254">_xlfn.TEXTJOIN(",",1,A491:B491)</f>
        <v>420714,1030003</v>
      </c>
      <c r="D491" s="26">
        <v>1</v>
      </c>
      <c r="E491" s="26">
        <v>3</v>
      </c>
      <c r="F491" s="26">
        <f>W491</f>
        <v>0</v>
      </c>
      <c r="G491" s="26">
        <v>3</v>
      </c>
      <c r="H491" s="9">
        <v>201701</v>
      </c>
      <c r="I491" s="15" t="str">
        <f>IFERROR(VLOOKUP(H491,monsters[#All],4,0),"")</f>
        <v>涂涂鸟</v>
      </c>
      <c r="J491" s="15" t="str" cm="1">
        <f t="array" ref="J491">_xlfn.LET(_xlpm.v6p,ABS(ATAN2(O491,P491))*6/PI(),
_xlpm.output,_xlfn.IFS(_xlpm.v6p&lt;1,"正前",_xlpm.v6p&gt;5,"正后",AND(_xlpm.v6p&lt;5,_xlpm.v6p&gt;2,P491&lt;-1),"脚底",_xlpm.v6p&gt;4,"后上",_xlpm.v6p&lt;2,"前上",TRUE,"顶部"),
IFERROR(_xlpm.output,""))</f>
        <v>顶部</v>
      </c>
      <c r="K491" s="12"/>
      <c r="L491" s="12" t="s">
        <v>63</v>
      </c>
      <c r="M491" s="12" t="s">
        <v>63</v>
      </c>
      <c r="N491" s="19" t="str">
        <f>O491+0&amp;","&amp;P491+0</f>
        <v>3,15</v>
      </c>
      <c r="O491" s="24">
        <v>3</v>
      </c>
      <c r="P491" s="24">
        <v>15</v>
      </c>
      <c r="Q491" s="19">
        <f t="shared" ref="Q491" si="255">_xlfn.LET(_xlpm._default,1,
_xlpm._custom,R491,
IF($A491&lt;&gt;"",IF(_xlpm._custom&lt;&gt;"",_xlpm._custom,_xlpm._default),""))</f>
        <v>1</v>
      </c>
      <c r="R491" s="42"/>
      <c r="S491" s="9">
        <v>2</v>
      </c>
      <c r="T491" s="19" t="str">
        <f>IF(U491&lt;&gt;"", U491+0&amp;","&amp;V491+0,"")</f>
        <v>2,3</v>
      </c>
      <c r="U491" s="24">
        <v>2</v>
      </c>
      <c r="V491" s="24">
        <v>3</v>
      </c>
      <c r="W491" s="9">
        <v>0</v>
      </c>
      <c r="X491" s="9">
        <v>11</v>
      </c>
      <c r="Y491" s="19" t="str">
        <f>IF($A491&lt;&gt;"",IF($Z491&lt;&gt;"",$Z491,"0,0"),"")</f>
        <v>-255,-250</v>
      </c>
      <c r="Z491" s="42" t="s">
        <v>266</v>
      </c>
      <c r="AA491" s="19" t="str">
        <f>IF($A491&lt;&gt;"",IF($AB491&lt;&gt;"",$AB491,"80,120"),"")</f>
        <v>80,120</v>
      </c>
      <c r="AC491" s="9">
        <v>1.5</v>
      </c>
      <c r="AD491" s="9">
        <v>2.9</v>
      </c>
      <c r="AE491" s="9">
        <v>0.3</v>
      </c>
      <c r="AF491" s="9">
        <v>3</v>
      </c>
      <c r="AG491" s="9">
        <v>100</v>
      </c>
      <c r="AI491" s="69" cm="1">
        <f t="array" ref="AI491">tuple_avg(T491)/tuple_avg(AA491)</f>
        <v>2.5000000000000001E-2</v>
      </c>
      <c r="AJ491" s="69">
        <f>AC491*AI491*'-配置辅助'!$I$8</f>
        <v>3.7500000000000004</v>
      </c>
      <c r="AK491" s="69">
        <f>AD491*AI491*'-配置辅助'!$I$10</f>
        <v>1.2083333333333333</v>
      </c>
      <c r="AL491" s="69">
        <f>AJ491*_xlfn.XLOOKUP(H491,monsters[怪物id],monsters[HP],-1)</f>
        <v>67.500000000000014</v>
      </c>
      <c r="AM491" s="69">
        <f>AK491*_xlfn.XLOOKUP(H491,monsters[怪物id],monsters[HP],-1)</f>
        <v>21.75</v>
      </c>
    </row>
    <row r="492" spans="1:41" x14ac:dyDescent="0.2">
      <c r="A492" s="9">
        <v>420714</v>
      </c>
      <c r="B492" s="9" t="str" cm="1">
        <f t="array" ref="B492">D492&amp;_xlfn.TEXTJOIN("",1,TEXT(E492:G492,"00"))</f>
        <v>1030004</v>
      </c>
      <c r="C492" s="30" t="str">
        <f t="shared" ref="C492" si="256">_xlfn.TEXTJOIN(",",1,A492:B492)</f>
        <v>420714,1030004</v>
      </c>
      <c r="D492" s="26">
        <v>1</v>
      </c>
      <c r="E492" s="26">
        <v>3</v>
      </c>
      <c r="F492" s="26">
        <f>W492</f>
        <v>0</v>
      </c>
      <c r="G492" s="26">
        <v>4</v>
      </c>
      <c r="H492" s="9">
        <v>201701</v>
      </c>
      <c r="I492" s="15" t="str">
        <f>IFERROR(VLOOKUP(H492,monsters[#All],4,0),"")</f>
        <v>涂涂鸟</v>
      </c>
      <c r="J492" s="15" t="str" cm="1">
        <f t="array" ref="J492">_xlfn.LET(_xlpm.v6p,ABS(ATAN2(O492,P492))*6/PI(),
_xlpm.output,_xlfn.IFS(_xlpm.v6p&lt;1,"正前",_xlpm.v6p&gt;5,"正后",AND(_xlpm.v6p&lt;5,_xlpm.v6p&gt;2,P492&lt;-1),"脚底",_xlpm.v6p&gt;4,"后上",_xlpm.v6p&lt;2,"前上",TRUE,"顶部"),
IFERROR(_xlpm.output,""))</f>
        <v>顶部</v>
      </c>
      <c r="K492" s="12"/>
      <c r="L492" s="12" t="s">
        <v>63</v>
      </c>
      <c r="M492" s="12" t="s">
        <v>63</v>
      </c>
      <c r="N492" s="19" t="str">
        <f>O492+0&amp;","&amp;P492+0</f>
        <v>3,15</v>
      </c>
      <c r="O492" s="24">
        <v>3</v>
      </c>
      <c r="P492" s="24">
        <v>15</v>
      </c>
      <c r="Q492" s="19">
        <f t="shared" ref="Q492" si="257">_xlfn.LET(_xlpm._default,1,
_xlpm._custom,R492,
IF($A492&lt;&gt;"",IF(_xlpm._custom&lt;&gt;"",_xlpm._custom,_xlpm._default),""))</f>
        <v>1</v>
      </c>
      <c r="R492" s="42"/>
      <c r="S492" s="9">
        <v>2</v>
      </c>
      <c r="T492" s="19" t="str">
        <f>IF(U492&lt;&gt;"", U492+0&amp;","&amp;V492+0,"")</f>
        <v>3,3</v>
      </c>
      <c r="U492" s="24">
        <v>3</v>
      </c>
      <c r="V492" s="24">
        <v>3</v>
      </c>
      <c r="W492" s="9">
        <v>0</v>
      </c>
      <c r="X492" s="9">
        <v>11</v>
      </c>
      <c r="Y492" s="19" t="str">
        <f>IF($A492&lt;&gt;"",IF($Z492&lt;&gt;"",$Z492,"0,0"),"")</f>
        <v>-405,-400</v>
      </c>
      <c r="Z492" s="42" t="s">
        <v>264</v>
      </c>
      <c r="AA492" s="19" t="str">
        <f>IF($A492&lt;&gt;"",IF($AB492&lt;&gt;"",$AB492,"80,120"),"")</f>
        <v>80,120</v>
      </c>
      <c r="AC492" s="9">
        <v>2</v>
      </c>
      <c r="AD492" s="9">
        <v>3</v>
      </c>
      <c r="AE492" s="9">
        <v>0.3</v>
      </c>
      <c r="AF492" s="9">
        <v>3</v>
      </c>
      <c r="AG492" s="9">
        <v>100</v>
      </c>
      <c r="AI492" s="69" cm="1">
        <f t="array" ref="AI492">tuple_avg(T492)/tuple_avg(AA492)</f>
        <v>0.03</v>
      </c>
      <c r="AJ492" s="69">
        <f>AC492*AI492*'-配置辅助'!$I$8</f>
        <v>6</v>
      </c>
      <c r="AK492" s="69">
        <f>AD492*AI492*'-配置辅助'!$I$10</f>
        <v>1.5</v>
      </c>
      <c r="AL492" s="69">
        <f>AJ492*_xlfn.XLOOKUP(H492,monsters[怪物id],monsters[HP],-1)</f>
        <v>108</v>
      </c>
      <c r="AM492" s="69">
        <f>AK492*_xlfn.XLOOKUP(H492,monsters[怪物id],monsters[HP],-1)</f>
        <v>27</v>
      </c>
    </row>
    <row r="495" spans="1:41" s="52" customFormat="1" x14ac:dyDescent="0.2">
      <c r="A495" s="48"/>
      <c r="B495" s="48"/>
      <c r="C495" s="49" t="str">
        <f t="shared" ref="C495" si="258">_xlfn.TEXTJOIN(",",1,A495:B495)</f>
        <v/>
      </c>
      <c r="D495" s="50"/>
      <c r="E495" s="50"/>
      <c r="F495" s="50"/>
      <c r="G495" s="50"/>
      <c r="H495" s="48" t="s">
        <v>191</v>
      </c>
      <c r="I495" s="51"/>
      <c r="J495" s="51"/>
      <c r="O495" s="53"/>
      <c r="P495" s="53"/>
      <c r="R495" s="53"/>
      <c r="S495" s="52" t="s">
        <v>62</v>
      </c>
      <c r="U495" s="53"/>
      <c r="V495" s="53"/>
      <c r="Z495" s="53"/>
      <c r="AB495" s="53"/>
      <c r="AC495" s="52" t="s">
        <v>62</v>
      </c>
      <c r="AI495" s="74"/>
      <c r="AJ495" s="74"/>
      <c r="AK495" s="74"/>
      <c r="AL495" s="74">
        <f>SUM(AL497:AL507)</f>
        <v>975.3</v>
      </c>
      <c r="AM495" s="74">
        <f>SUM(AM497:AM507)</f>
        <v>56</v>
      </c>
      <c r="AN495" s="74"/>
      <c r="AO495" s="74"/>
    </row>
    <row r="497" spans="1:41" x14ac:dyDescent="0.2">
      <c r="A497" s="9">
        <v>420724</v>
      </c>
      <c r="B497" s="9" t="str" cm="1">
        <f t="array" ref="B497">D497&amp;_xlfn.TEXTJOIN("",1,TEXT(E497:G497,"00"))</f>
        <v>1000000</v>
      </c>
      <c r="C497" s="30" t="str">
        <f t="shared" ref="C497:C499" si="259">_xlfn.TEXTJOIN(",",1,A497:B497)</f>
        <v>420724,1000000</v>
      </c>
      <c r="D497" s="26">
        <v>1</v>
      </c>
      <c r="E497" s="26">
        <v>0</v>
      </c>
      <c r="F497" s="26">
        <f>W497</f>
        <v>0</v>
      </c>
      <c r="G497" s="26">
        <v>0</v>
      </c>
      <c r="H497" s="9">
        <v>201705</v>
      </c>
      <c r="I497" s="15" t="str">
        <f>IFERROR(VLOOKUP(H497,monsters[#All],4,0),"")</f>
        <v>小石头人</v>
      </c>
      <c r="J497" s="15" t="str" cm="1">
        <f t="array" ref="J497">_xlfn.LET(_xlpm.v6p,ABS(ATAN2(O497,P497))*6/PI(),
_xlpm.output,_xlfn.IFS(_xlpm.v6p&lt;1,"正前",_xlpm.v6p&gt;5,"正后",AND(_xlpm.v6p&lt;5,_xlpm.v6p&gt;2,P497&lt;-1),"脚底",_xlpm.v6p&gt;4,"后上",_xlpm.v6p&lt;2,"前上",TRUE,"顶部"),
IFERROR(_xlpm.output,""))</f>
        <v>正前</v>
      </c>
      <c r="K497" s="12"/>
      <c r="L497" s="12" t="s">
        <v>63</v>
      </c>
      <c r="M497" s="12" t="s">
        <v>63</v>
      </c>
      <c r="N497" s="19" t="str">
        <f>O497+0&amp;","&amp;P497+0</f>
        <v>16,-1</v>
      </c>
      <c r="O497" s="24">
        <v>16</v>
      </c>
      <c r="P497" s="24">
        <v>-1</v>
      </c>
      <c r="Q497" s="19">
        <f t="shared" ref="Q497:Q503" si="260">_xlfn.LET(_xlpm._default,1,
_xlpm._custom,R497,
IF($A497&lt;&gt;"",IF(_xlpm._custom&lt;&gt;"",_xlpm._custom,_xlpm._default),""))</f>
        <v>2.5</v>
      </c>
      <c r="R497" s="24">
        <v>2.5</v>
      </c>
      <c r="S497" s="9">
        <v>2</v>
      </c>
      <c r="T497" s="19" t="str">
        <f>IF(U497&lt;&gt;"", U497+0&amp;","&amp;V497+0,"")</f>
        <v>1,2</v>
      </c>
      <c r="U497" s="24">
        <v>1</v>
      </c>
      <c r="V497" s="24">
        <v>2</v>
      </c>
      <c r="W497" s="9">
        <v>0</v>
      </c>
      <c r="X497" s="9">
        <v>11</v>
      </c>
      <c r="Y497" s="19" t="str">
        <f>IF($A497&lt;&gt;"",IF($Z497&lt;&gt;"",$Z497,"0,0"),"")</f>
        <v>70,75</v>
      </c>
      <c r="Z497" s="24" t="s">
        <v>132</v>
      </c>
      <c r="AA497" s="19" t="str">
        <f>IF($A497&lt;&gt;"",IF($AB497&lt;&gt;"",$AB497,"80,120"),"")</f>
        <v>80,120</v>
      </c>
      <c r="AC497" s="9">
        <v>2.1800000000000002</v>
      </c>
      <c r="AD497" s="9">
        <v>0</v>
      </c>
      <c r="AE497" s="9">
        <v>0.3</v>
      </c>
      <c r="AF497" s="9">
        <v>3</v>
      </c>
      <c r="AG497" s="9">
        <v>100</v>
      </c>
      <c r="AI497" s="69" cm="1">
        <f t="array" ref="AI497">tuple_avg(T497)/tuple_avg(AA497)</f>
        <v>1.4999999999999999E-2</v>
      </c>
      <c r="AJ497" s="69">
        <f>AC497*AI497*'-配置辅助'!$I$8</f>
        <v>3.27</v>
      </c>
      <c r="AK497" s="69">
        <f>AD497*AI497*'-配置辅助'!$I$10</f>
        <v>0</v>
      </c>
      <c r="AL497" s="69">
        <f>AJ497*_xlfn.XLOOKUP(H497,monsters[怪物id],monsters[HP],-1)</f>
        <v>179.85</v>
      </c>
      <c r="AM497" s="69">
        <f>AK497*_xlfn.XLOOKUP(H497,monsters[怪物id],monsters[HP],-1)</f>
        <v>0</v>
      </c>
    </row>
    <row r="498" spans="1:41" x14ac:dyDescent="0.2">
      <c r="A498" s="9">
        <v>420724</v>
      </c>
      <c r="B498" s="9" t="str" cm="1">
        <f t="array" ref="B498">D498&amp;_xlfn.TEXTJOIN("",1,TEXT(E498:G498,"00"))</f>
        <v>1000001</v>
      </c>
      <c r="C498" s="30" t="str">
        <f t="shared" si="259"/>
        <v>420724,1000001</v>
      </c>
      <c r="D498" s="26">
        <v>1</v>
      </c>
      <c r="E498" s="26">
        <v>0</v>
      </c>
      <c r="F498" s="26">
        <f>W498</f>
        <v>0</v>
      </c>
      <c r="G498" s="26">
        <v>1</v>
      </c>
      <c r="H498" s="9">
        <v>201705</v>
      </c>
      <c r="I498" s="15" t="str">
        <f>IFERROR(VLOOKUP(H498,monsters[#All],4,0),"")</f>
        <v>小石头人</v>
      </c>
      <c r="J498" s="15" t="str" cm="1">
        <f t="array" ref="J498">_xlfn.LET(_xlpm.v6p,ABS(ATAN2(O498,P498))*6/PI(),
_xlpm.output,_xlfn.IFS(_xlpm.v6p&lt;1,"正前",_xlpm.v6p&gt;5,"正后",AND(_xlpm.v6p&lt;5,_xlpm.v6p&gt;2,P498&lt;-1),"脚底",_xlpm.v6p&gt;4,"后上",_xlpm.v6p&lt;2,"前上",TRUE,"顶部"),
IFERROR(_xlpm.output,""))</f>
        <v>正前</v>
      </c>
      <c r="K498" s="12"/>
      <c r="L498" s="12" t="s">
        <v>63</v>
      </c>
      <c r="M498" s="12" t="s">
        <v>63</v>
      </c>
      <c r="N498" s="19" t="str">
        <f>O498+0&amp;","&amp;P498+0</f>
        <v>16,-1</v>
      </c>
      <c r="O498" s="24">
        <v>16</v>
      </c>
      <c r="P498" s="24">
        <v>-1</v>
      </c>
      <c r="Q498" s="19">
        <f t="shared" si="260"/>
        <v>2.5</v>
      </c>
      <c r="R498" s="24">
        <v>2.5</v>
      </c>
      <c r="S498" s="9">
        <v>2</v>
      </c>
      <c r="T498" s="19" t="str">
        <f>IF(U498&lt;&gt;"", U498+0&amp;","&amp;V498+0,"")</f>
        <v>1,2</v>
      </c>
      <c r="U498" s="24">
        <v>1</v>
      </c>
      <c r="V498" s="24">
        <v>2</v>
      </c>
      <c r="W498" s="9">
        <v>0</v>
      </c>
      <c r="X498" s="9">
        <v>11</v>
      </c>
      <c r="Y498" s="19" t="str">
        <f>IF($A498&lt;&gt;"",IF($Z498&lt;&gt;"",$Z498,"0,0"),"")</f>
        <v>0,0</v>
      </c>
      <c r="AA498" s="19" t="str">
        <f>IF($A498&lt;&gt;"",IF($AB498&lt;&gt;"",$AB498,"80,120"),"")</f>
        <v>80,120</v>
      </c>
      <c r="AC498" s="9">
        <v>2.1800000000000002</v>
      </c>
      <c r="AD498" s="9">
        <v>0</v>
      </c>
      <c r="AE498" s="9">
        <v>0.3</v>
      </c>
      <c r="AF498" s="9">
        <v>3</v>
      </c>
      <c r="AG498" s="9">
        <v>100</v>
      </c>
      <c r="AI498" s="69" cm="1">
        <f t="array" ref="AI498">tuple_avg(T498)/tuple_avg(AA498)</f>
        <v>1.4999999999999999E-2</v>
      </c>
      <c r="AJ498" s="69">
        <f>AC498*AI498*'-配置辅助'!$I$8</f>
        <v>3.27</v>
      </c>
      <c r="AK498" s="69">
        <f>AD498*AI498*'-配置辅助'!$I$10</f>
        <v>0</v>
      </c>
      <c r="AL498" s="69">
        <f>AJ498*_xlfn.XLOOKUP(H498,monsters[怪物id],monsters[HP],-1)</f>
        <v>179.85</v>
      </c>
      <c r="AM498" s="69">
        <f>AK498*_xlfn.XLOOKUP(H498,monsters[怪物id],monsters[HP],-1)</f>
        <v>0</v>
      </c>
    </row>
    <row r="499" spans="1:41" x14ac:dyDescent="0.2">
      <c r="A499" s="9">
        <v>420724</v>
      </c>
      <c r="B499" s="9" t="str" cm="1">
        <f t="array" ref="B499">D499&amp;_xlfn.TEXTJOIN("",1,TEXT(E499:G499,"00"))</f>
        <v>1000002</v>
      </c>
      <c r="C499" s="30" t="str">
        <f t="shared" si="259"/>
        <v>420724,1000002</v>
      </c>
      <c r="D499" s="26">
        <v>1</v>
      </c>
      <c r="E499" s="26">
        <v>0</v>
      </c>
      <c r="F499" s="26">
        <f>W499</f>
        <v>0</v>
      </c>
      <c r="G499" s="26">
        <v>2</v>
      </c>
      <c r="H499" s="9">
        <v>201705</v>
      </c>
      <c r="I499" s="15" t="str">
        <f>IFERROR(VLOOKUP(H499,monsters[#All],4,0),"")</f>
        <v>小石头人</v>
      </c>
      <c r="J499" s="15" t="str" cm="1">
        <f t="array" ref="J499">_xlfn.LET(_xlpm.v6p,ABS(ATAN2(O499,P499))*6/PI(),
_xlpm.output,_xlfn.IFS(_xlpm.v6p&lt;1,"正前",_xlpm.v6p&gt;5,"正后",AND(_xlpm.v6p&lt;5,_xlpm.v6p&gt;2,P499&lt;-1),"脚底",_xlpm.v6p&gt;4,"后上",_xlpm.v6p&lt;2,"前上",TRUE,"顶部"),
IFERROR(_xlpm.output,""))</f>
        <v>正前</v>
      </c>
      <c r="K499" s="12"/>
      <c r="L499" s="12" t="s">
        <v>63</v>
      </c>
      <c r="M499" s="12" t="s">
        <v>63</v>
      </c>
      <c r="N499" s="19" t="str">
        <f>O499+0&amp;","&amp;P499+0</f>
        <v>16,-1</v>
      </c>
      <c r="O499" s="24">
        <v>16</v>
      </c>
      <c r="P499" s="24">
        <v>-1</v>
      </c>
      <c r="Q499" s="19">
        <f t="shared" si="260"/>
        <v>2.5</v>
      </c>
      <c r="R499" s="24">
        <v>2.5</v>
      </c>
      <c r="S499" s="9">
        <v>2</v>
      </c>
      <c r="T499" s="19" t="str">
        <f>IF(U499&lt;&gt;"", U499+0&amp;","&amp;V499+0,"")</f>
        <v>1,2</v>
      </c>
      <c r="U499" s="24">
        <v>1</v>
      </c>
      <c r="V499" s="24">
        <v>2</v>
      </c>
      <c r="W499" s="9">
        <v>0</v>
      </c>
      <c r="X499" s="9">
        <v>11</v>
      </c>
      <c r="Y499" s="19" t="str">
        <f>IF($A499&lt;&gt;"",IF($Z499&lt;&gt;"",$Z499,"0,0"),"")</f>
        <v>-105,-100</v>
      </c>
      <c r="Z499" s="42" t="s">
        <v>133</v>
      </c>
      <c r="AA499" s="19" t="str">
        <f>IF($A499&lt;&gt;"",IF($AB499&lt;&gt;"",$AB499,"80,120"),"")</f>
        <v>80,120</v>
      </c>
      <c r="AC499" s="9">
        <v>2.1800000000000002</v>
      </c>
      <c r="AD499" s="9">
        <v>0</v>
      </c>
      <c r="AE499" s="9">
        <v>0.3</v>
      </c>
      <c r="AF499" s="9">
        <v>3</v>
      </c>
      <c r="AG499" s="9">
        <v>100</v>
      </c>
      <c r="AI499" s="69" cm="1">
        <f t="array" ref="AI499">tuple_avg(T499)/tuple_avg(AA499)</f>
        <v>1.4999999999999999E-2</v>
      </c>
      <c r="AJ499" s="69">
        <f>AC499*AI499*'-配置辅助'!$I$8</f>
        <v>3.27</v>
      </c>
      <c r="AK499" s="69">
        <f>AD499*AI499*'-配置辅助'!$I$10</f>
        <v>0</v>
      </c>
      <c r="AL499" s="69">
        <f>AJ499*_xlfn.XLOOKUP(H499,monsters[怪物id],monsters[HP],-1)</f>
        <v>179.85</v>
      </c>
      <c r="AM499" s="69">
        <f>AK499*_xlfn.XLOOKUP(H499,monsters[怪物id],monsters[HP],-1)</f>
        <v>0</v>
      </c>
    </row>
    <row r="500" spans="1:41" x14ac:dyDescent="0.2">
      <c r="J500" s="15" t="str" cm="1">
        <f t="array" ref="J500">_xlfn.LET(_xlpm.v6p,ABS(ATAN2(O500,P500))*6/PI(),
_xlpm.output,_xlfn.IFS(_xlpm.v6p&lt;1,"正前",_xlpm.v6p&gt;5,"正后",AND(_xlpm.v6p&lt;5,_xlpm.v6p&gt;2,P500&lt;-1),"脚底",_xlpm.v6p&gt;4,"后上",_xlpm.v6p&lt;2,"前上",TRUE,"顶部"),
IFERROR(_xlpm.output,""))</f>
        <v/>
      </c>
      <c r="Q500" s="19" t="str">
        <f t="shared" si="260"/>
        <v/>
      </c>
    </row>
    <row r="501" spans="1:41" x14ac:dyDescent="0.2">
      <c r="A501" s="9">
        <v>420724</v>
      </c>
      <c r="B501" s="9" t="str" cm="1">
        <f t="array" ref="B501">D501&amp;_xlfn.TEXTJOIN("",1,TEXT(E501:G501,"00"))</f>
        <v>2000000</v>
      </c>
      <c r="C501" s="30" t="str">
        <f t="shared" ref="C501:C503" si="261">_xlfn.TEXTJOIN(",",1,A501:B501)</f>
        <v>420724,2000000</v>
      </c>
      <c r="D501" s="26">
        <v>2</v>
      </c>
      <c r="E501" s="26">
        <v>0</v>
      </c>
      <c r="F501" s="26">
        <f>W501</f>
        <v>0</v>
      </c>
      <c r="G501" s="26">
        <v>0</v>
      </c>
      <c r="H501" s="9">
        <v>201704</v>
      </c>
      <c r="I501" s="15" t="str">
        <f>IFERROR(VLOOKUP(H501,monsters[#All],4,0),"")</f>
        <v>巨型石头人</v>
      </c>
      <c r="J501" s="15" t="str" cm="1">
        <f t="array" ref="J501">_xlfn.LET(_xlpm.v6p,ABS(ATAN2(O501,P501))*6/PI(),
_xlpm.output,_xlfn.IFS(_xlpm.v6p&lt;1,"正前",_xlpm.v6p&gt;5,"正后",AND(_xlpm.v6p&lt;5,_xlpm.v6p&gt;2,P501&lt;-1),"脚底",_xlpm.v6p&gt;4,"后上",_xlpm.v6p&lt;2,"前上",TRUE,"顶部"),
IFERROR(_xlpm.output,""))</f>
        <v>前上</v>
      </c>
      <c r="K501" s="12"/>
      <c r="L501" s="54" t="s">
        <v>192</v>
      </c>
      <c r="M501" s="12" t="s">
        <v>63</v>
      </c>
      <c r="N501" s="19" t="str">
        <f>O501+0&amp;","&amp;P501+0</f>
        <v>13,12.5</v>
      </c>
      <c r="O501" s="24">
        <v>13</v>
      </c>
      <c r="P501" s="24">
        <v>12.5</v>
      </c>
      <c r="Q501" s="19">
        <f t="shared" si="260"/>
        <v>1</v>
      </c>
      <c r="S501" s="9">
        <v>1</v>
      </c>
      <c r="T501" s="19" t="str">
        <f>IF(U501&lt;&gt;"", U501+0&amp;","&amp;V501+0,"")</f>
        <v>1,1</v>
      </c>
      <c r="U501" s="24">
        <v>1</v>
      </c>
      <c r="V501" s="24">
        <v>1</v>
      </c>
      <c r="W501" s="9">
        <v>0</v>
      </c>
      <c r="X501" s="9">
        <v>11</v>
      </c>
      <c r="Y501" s="19" t="str">
        <f>IF($A501&lt;&gt;"",IF($Z501&lt;&gt;"",$Z501,"0,0"),"")</f>
        <v>70,75</v>
      </c>
      <c r="Z501" s="24" t="s">
        <v>132</v>
      </c>
      <c r="AA501" s="19" t="str">
        <f>IF($A501&lt;&gt;"",IF($AB501&lt;&gt;"",$AB501,"80,120"),"")</f>
        <v>80,120</v>
      </c>
      <c r="AC501" s="9">
        <v>0.48</v>
      </c>
      <c r="AD501" s="9">
        <v>0.25</v>
      </c>
      <c r="AE501" s="9">
        <v>0.3</v>
      </c>
      <c r="AF501" s="9">
        <v>3</v>
      </c>
      <c r="AG501" s="9">
        <v>100</v>
      </c>
      <c r="AI501" s="69" cm="1">
        <f t="array" ref="AI501">tuple_avg(T501)/tuple_avg(AA501)</f>
        <v>0.01</v>
      </c>
      <c r="AJ501" s="69">
        <f>AC501*AI501*'-配置辅助'!$I$8</f>
        <v>0.48</v>
      </c>
      <c r="AK501" s="69">
        <f>AD501*AI501*'-配置辅助'!$I$10</f>
        <v>4.1666666666666671E-2</v>
      </c>
      <c r="AL501" s="69">
        <f>AJ501*_xlfn.XLOOKUP(H501,monsters[怪物id],monsters[HP],-1)</f>
        <v>84</v>
      </c>
      <c r="AM501" s="69">
        <f>AK501*_xlfn.XLOOKUP(H501,monsters[怪物id],monsters[HP],-1)</f>
        <v>7.2916666666666679</v>
      </c>
    </row>
    <row r="502" spans="1:41" x14ac:dyDescent="0.2">
      <c r="A502" s="9">
        <v>420724</v>
      </c>
      <c r="B502" s="9" t="str" cm="1">
        <f t="array" ref="B502">D502&amp;_xlfn.TEXTJOIN("",1,TEXT(E502:G502,"00"))</f>
        <v>2000001</v>
      </c>
      <c r="C502" s="30" t="str">
        <f t="shared" si="261"/>
        <v>420724,2000001</v>
      </c>
      <c r="D502" s="26">
        <v>2</v>
      </c>
      <c r="E502" s="26">
        <v>0</v>
      </c>
      <c r="F502" s="26">
        <f>W502</f>
        <v>0</v>
      </c>
      <c r="G502" s="26">
        <v>1</v>
      </c>
      <c r="H502" s="9">
        <v>201704</v>
      </c>
      <c r="I502" s="15" t="str">
        <f>IFERROR(VLOOKUP(H502,monsters[#All],4,0),"")</f>
        <v>巨型石头人</v>
      </c>
      <c r="J502" s="15" t="str" cm="1">
        <f t="array" ref="J502">_xlfn.LET(_xlpm.v6p,ABS(ATAN2(O502,P502))*6/PI(),
_xlpm.output,_xlfn.IFS(_xlpm.v6p&lt;1,"正前",_xlpm.v6p&gt;5,"正后",AND(_xlpm.v6p&lt;5,_xlpm.v6p&gt;2,P502&lt;-1),"脚底",_xlpm.v6p&gt;4,"后上",_xlpm.v6p&lt;2,"前上",TRUE,"顶部"),
IFERROR(_xlpm.output,""))</f>
        <v>前上</v>
      </c>
      <c r="K502" s="12"/>
      <c r="L502" s="54" t="s">
        <v>192</v>
      </c>
      <c r="M502" s="12" t="s">
        <v>63</v>
      </c>
      <c r="N502" s="19" t="str">
        <f>O502+0&amp;","&amp;P502+0</f>
        <v>13,12.5</v>
      </c>
      <c r="O502" s="24">
        <v>13</v>
      </c>
      <c r="P502" s="24">
        <v>12.5</v>
      </c>
      <c r="Q502" s="19">
        <f t="shared" si="260"/>
        <v>1</v>
      </c>
      <c r="S502" s="9">
        <v>1</v>
      </c>
      <c r="T502" s="19" t="str">
        <f>IF(U502&lt;&gt;"", U502+0&amp;","&amp;V502+0,"")</f>
        <v>1,1</v>
      </c>
      <c r="U502" s="24">
        <v>1</v>
      </c>
      <c r="V502" s="24">
        <v>1</v>
      </c>
      <c r="W502" s="9">
        <v>0</v>
      </c>
      <c r="X502" s="9">
        <v>11</v>
      </c>
      <c r="Y502" s="19" t="str">
        <f>IF($A502&lt;&gt;"",IF($Z502&lt;&gt;"",$Z502,"0,0"),"")</f>
        <v>0,0</v>
      </c>
      <c r="AA502" s="19" t="str">
        <f>IF($A502&lt;&gt;"",IF($AB502&lt;&gt;"",$AB502,"80,120"),"")</f>
        <v>80,120</v>
      </c>
      <c r="AC502" s="9">
        <v>0.48</v>
      </c>
      <c r="AD502" s="9">
        <v>0.25</v>
      </c>
      <c r="AE502" s="9">
        <v>0.3</v>
      </c>
      <c r="AF502" s="9">
        <v>3</v>
      </c>
      <c r="AG502" s="9">
        <v>100</v>
      </c>
      <c r="AI502" s="69" cm="1">
        <f t="array" ref="AI502">tuple_avg(T502)/tuple_avg(AA502)</f>
        <v>0.01</v>
      </c>
      <c r="AJ502" s="69">
        <f>AC502*AI502*'-配置辅助'!$I$8</f>
        <v>0.48</v>
      </c>
      <c r="AK502" s="69">
        <f>AD502*AI502*'-配置辅助'!$I$10</f>
        <v>4.1666666666666671E-2</v>
      </c>
      <c r="AL502" s="69">
        <f>AJ502*_xlfn.XLOOKUP(H502,monsters[怪物id],monsters[HP],-1)</f>
        <v>84</v>
      </c>
      <c r="AM502" s="69">
        <f>AK502*_xlfn.XLOOKUP(H502,monsters[怪物id],monsters[HP],-1)</f>
        <v>7.2916666666666679</v>
      </c>
    </row>
    <row r="503" spans="1:41" x14ac:dyDescent="0.2">
      <c r="A503" s="9">
        <v>420724</v>
      </c>
      <c r="B503" s="9" t="str" cm="1">
        <f t="array" ref="B503">D503&amp;_xlfn.TEXTJOIN("",1,TEXT(E503:G503,"00"))</f>
        <v>2000002</v>
      </c>
      <c r="C503" s="30" t="str">
        <f t="shared" si="261"/>
        <v>420724,2000002</v>
      </c>
      <c r="D503" s="26">
        <v>2</v>
      </c>
      <c r="E503" s="26">
        <v>0</v>
      </c>
      <c r="F503" s="26">
        <f>W503</f>
        <v>0</v>
      </c>
      <c r="G503" s="26">
        <v>2</v>
      </c>
      <c r="H503" s="9">
        <v>201704</v>
      </c>
      <c r="I503" s="15" t="str">
        <f>IFERROR(VLOOKUP(H503,monsters[#All],4,0),"")</f>
        <v>巨型石头人</v>
      </c>
      <c r="J503" s="15" t="str" cm="1">
        <f t="array" ref="J503">_xlfn.LET(_xlpm.v6p,ABS(ATAN2(O503,P503))*6/PI(),
_xlpm.output,_xlfn.IFS(_xlpm.v6p&lt;1,"正前",_xlpm.v6p&gt;5,"正后",AND(_xlpm.v6p&lt;5,_xlpm.v6p&gt;2,P503&lt;-1),"脚底",_xlpm.v6p&gt;4,"后上",_xlpm.v6p&lt;2,"前上",TRUE,"顶部"),
IFERROR(_xlpm.output,""))</f>
        <v>前上</v>
      </c>
      <c r="K503" s="12"/>
      <c r="L503" s="54" t="s">
        <v>192</v>
      </c>
      <c r="M503" s="12" t="s">
        <v>63</v>
      </c>
      <c r="N503" s="19" t="str">
        <f>O503+0&amp;","&amp;P503+0</f>
        <v>13,12.5</v>
      </c>
      <c r="O503" s="24">
        <v>13</v>
      </c>
      <c r="P503" s="24">
        <v>12.5</v>
      </c>
      <c r="Q503" s="19">
        <f t="shared" si="260"/>
        <v>1</v>
      </c>
      <c r="R503" s="42"/>
      <c r="S503" s="9">
        <v>1</v>
      </c>
      <c r="T503" s="19" t="str">
        <f>IF(U503&lt;&gt;"", U503+0&amp;","&amp;V503+0,"")</f>
        <v>1,1</v>
      </c>
      <c r="U503" s="24">
        <v>1</v>
      </c>
      <c r="V503" s="24">
        <v>1</v>
      </c>
      <c r="W503" s="9">
        <v>0</v>
      </c>
      <c r="X503" s="9">
        <v>11</v>
      </c>
      <c r="Y503" s="19" t="str">
        <f>IF($A503&lt;&gt;"",IF($Z503&lt;&gt;"",$Z503,"0,0"),"")</f>
        <v>-105,-100</v>
      </c>
      <c r="Z503" s="42" t="s">
        <v>133</v>
      </c>
      <c r="AA503" s="19" t="str">
        <f>IF($A503&lt;&gt;"",IF($AB503&lt;&gt;"",$AB503,"80,120"),"")</f>
        <v>80,120</v>
      </c>
      <c r="AC503" s="9">
        <v>0.48</v>
      </c>
      <c r="AD503" s="9">
        <v>0.25</v>
      </c>
      <c r="AE503" s="9">
        <v>0.3</v>
      </c>
      <c r="AF503" s="9">
        <v>3</v>
      </c>
      <c r="AG503" s="9">
        <v>100</v>
      </c>
      <c r="AI503" s="69" cm="1">
        <f t="array" ref="AI503">tuple_avg(T503)/tuple_avg(AA503)</f>
        <v>0.01</v>
      </c>
      <c r="AJ503" s="69">
        <f>AC503*AI503*'-配置辅助'!$I$8</f>
        <v>0.48</v>
      </c>
      <c r="AK503" s="69">
        <f>AD503*AI503*'-配置辅助'!$I$10</f>
        <v>4.1666666666666671E-2</v>
      </c>
      <c r="AL503" s="69">
        <f>AJ503*_xlfn.XLOOKUP(H503,monsters[怪物id],monsters[HP],-1)</f>
        <v>84</v>
      </c>
      <c r="AM503" s="69">
        <f>AK503*_xlfn.XLOOKUP(H503,monsters[怪物id],monsters[HP],-1)</f>
        <v>7.2916666666666679</v>
      </c>
    </row>
    <row r="504" spans="1:41" x14ac:dyDescent="0.2">
      <c r="J504" s="15" t="str" cm="1">
        <f t="array" ref="J504">_xlfn.LET(_xlpm.v6p,ABS(ATAN2(O504,P504))*6/PI(),
_xlpm.output,_xlfn.IFS(_xlpm.v6p&lt;1,"正前",_xlpm.v6p&gt;5,"正后",AND(_xlpm.v6p&lt;5,_xlpm.v6p&gt;2,P504&lt;-1),"脚底",_xlpm.v6p&gt;4,"后上",_xlpm.v6p&lt;2,"前上",TRUE,"顶部"),
IFERROR(_xlpm.output,""))</f>
        <v/>
      </c>
    </row>
    <row r="505" spans="1:41" x14ac:dyDescent="0.2">
      <c r="A505" s="9">
        <v>420724</v>
      </c>
      <c r="B505" s="9" t="str" cm="1">
        <f t="array" ref="B505">D505&amp;_xlfn.TEXTJOIN("",1,TEXT(E505:G505,"00"))</f>
        <v>2010000</v>
      </c>
      <c r="C505" s="30" t="str">
        <f t="shared" ref="C505:C507" si="262">_xlfn.TEXTJOIN(",",1,A505:B505)</f>
        <v>420724,2010000</v>
      </c>
      <c r="D505" s="26">
        <v>2</v>
      </c>
      <c r="E505" s="26">
        <v>1</v>
      </c>
      <c r="F505" s="26">
        <f>W505</f>
        <v>0</v>
      </c>
      <c r="G505" s="26">
        <v>0</v>
      </c>
      <c r="H505" s="9">
        <v>201704</v>
      </c>
      <c r="I505" s="15" t="str">
        <f>IFERROR(VLOOKUP(H505,monsters[#All],4,0),"")</f>
        <v>巨型石头人</v>
      </c>
      <c r="J505" s="15" t="str" cm="1">
        <f t="array" ref="J505">_xlfn.LET(_xlpm.v6p,ABS(ATAN2(O505,P505))*6/PI(),
_xlpm.output,_xlfn.IFS(_xlpm.v6p&lt;1,"正前",_xlpm.v6p&gt;5,"正后",AND(_xlpm.v6p&lt;5,_xlpm.v6p&gt;2,P505&lt;-1),"脚底",_xlpm.v6p&gt;4,"后上",_xlpm.v6p&lt;2,"前上",TRUE,"顶部"),
IFERROR(_xlpm.output,""))</f>
        <v>顶部</v>
      </c>
      <c r="K505" s="12"/>
      <c r="L505" s="54" t="s">
        <v>192</v>
      </c>
      <c r="M505" s="12" t="s">
        <v>63</v>
      </c>
      <c r="N505" s="19" t="str">
        <f>O505+0&amp;","&amp;P505+0</f>
        <v>5,12.5</v>
      </c>
      <c r="O505" s="24">
        <v>5</v>
      </c>
      <c r="P505" s="24">
        <v>12.5</v>
      </c>
      <c r="Q505" s="19">
        <f t="shared" ref="Q505:Q507" si="263">_xlfn.LET(_xlpm._default,1,
_xlpm._custom,R505,
IF($A505&lt;&gt;"",IF(_xlpm._custom&lt;&gt;"",_xlpm._custom,_xlpm._default),""))</f>
        <v>1</v>
      </c>
      <c r="S505" s="9">
        <v>1</v>
      </c>
      <c r="T505" s="19" t="str">
        <f>IF(U505&lt;&gt;"", U505+0&amp;","&amp;V505+0,"")</f>
        <v>1,1</v>
      </c>
      <c r="U505" s="24">
        <v>1</v>
      </c>
      <c r="V505" s="24">
        <v>1</v>
      </c>
      <c r="W505" s="9">
        <v>0</v>
      </c>
      <c r="X505" s="9">
        <v>11</v>
      </c>
      <c r="Y505" s="19" t="str">
        <f>IF($A505&lt;&gt;"",IF($Z505&lt;&gt;"",$Z505,"0,0"),"")</f>
        <v>70,75</v>
      </c>
      <c r="Z505" s="24" t="s">
        <v>132</v>
      </c>
      <c r="AA505" s="19" t="str">
        <f>IF($A505&lt;&gt;"",IF($AB505&lt;&gt;"",$AB505,"80,120"),"")</f>
        <v>80,120</v>
      </c>
      <c r="AC505" s="9">
        <v>0.35</v>
      </c>
      <c r="AD505" s="9">
        <v>0.39</v>
      </c>
      <c r="AE505" s="9">
        <v>0.3</v>
      </c>
      <c r="AF505" s="9">
        <v>3</v>
      </c>
      <c r="AG505" s="9">
        <v>100</v>
      </c>
      <c r="AI505" s="69" cm="1">
        <f t="array" ref="AI505">tuple_avg(T505)/tuple_avg(AA505)</f>
        <v>0.01</v>
      </c>
      <c r="AJ505" s="69">
        <f>AC505*AI505*'-配置辅助'!$I$8</f>
        <v>0.35</v>
      </c>
      <c r="AK505" s="69">
        <f>AD505*AI505*'-配置辅助'!$I$10</f>
        <v>6.5000000000000002E-2</v>
      </c>
      <c r="AL505" s="69">
        <f>AJ505*_xlfn.XLOOKUP(H505,monsters[怪物id],monsters[HP],-1)</f>
        <v>61.249999999999993</v>
      </c>
      <c r="AM505" s="69">
        <f>AK505*_xlfn.XLOOKUP(H505,monsters[怪物id],monsters[HP],-1)</f>
        <v>11.375</v>
      </c>
    </row>
    <row r="506" spans="1:41" x14ac:dyDescent="0.2">
      <c r="A506" s="9">
        <v>420724</v>
      </c>
      <c r="B506" s="9" t="str" cm="1">
        <f t="array" ref="B506">D506&amp;_xlfn.TEXTJOIN("",1,TEXT(E506:G506,"00"))</f>
        <v>2010001</v>
      </c>
      <c r="C506" s="30" t="str">
        <f t="shared" si="262"/>
        <v>420724,2010001</v>
      </c>
      <c r="D506" s="26">
        <v>2</v>
      </c>
      <c r="E506" s="26">
        <v>1</v>
      </c>
      <c r="F506" s="26">
        <f>W506</f>
        <v>0</v>
      </c>
      <c r="G506" s="26">
        <v>1</v>
      </c>
      <c r="H506" s="9">
        <v>201704</v>
      </c>
      <c r="I506" s="15" t="str">
        <f>IFERROR(VLOOKUP(H506,monsters[#All],4,0),"")</f>
        <v>巨型石头人</v>
      </c>
      <c r="J506" s="15" t="str" cm="1">
        <f t="array" ref="J506">_xlfn.LET(_xlpm.v6p,ABS(ATAN2(O506,P506))*6/PI(),
_xlpm.output,_xlfn.IFS(_xlpm.v6p&lt;1,"正前",_xlpm.v6p&gt;5,"正后",AND(_xlpm.v6p&lt;5,_xlpm.v6p&gt;2,P506&lt;-1),"脚底",_xlpm.v6p&gt;4,"后上",_xlpm.v6p&lt;2,"前上",TRUE,"顶部"),
IFERROR(_xlpm.output,""))</f>
        <v>顶部</v>
      </c>
      <c r="K506" s="12"/>
      <c r="L506" s="54" t="s">
        <v>192</v>
      </c>
      <c r="M506" s="12" t="s">
        <v>63</v>
      </c>
      <c r="N506" s="19" t="str">
        <f>O506+0&amp;","&amp;P506+0</f>
        <v>5,12.5</v>
      </c>
      <c r="O506" s="24">
        <v>5</v>
      </c>
      <c r="P506" s="24">
        <v>12.5</v>
      </c>
      <c r="Q506" s="19">
        <f t="shared" si="263"/>
        <v>1</v>
      </c>
      <c r="S506" s="9">
        <v>1</v>
      </c>
      <c r="T506" s="19" t="str">
        <f>IF(U506&lt;&gt;"", U506+0&amp;","&amp;V506+0,"")</f>
        <v>1,1</v>
      </c>
      <c r="U506" s="24">
        <v>1</v>
      </c>
      <c r="V506" s="24">
        <v>1</v>
      </c>
      <c r="W506" s="9">
        <v>0</v>
      </c>
      <c r="X506" s="9">
        <v>11</v>
      </c>
      <c r="Y506" s="19" t="str">
        <f>IF($A506&lt;&gt;"",IF($Z506&lt;&gt;"",$Z506,"0,0"),"")</f>
        <v>0,0</v>
      </c>
      <c r="AA506" s="19" t="str">
        <f>IF($A506&lt;&gt;"",IF($AB506&lt;&gt;"",$AB506,"80,120"),"")</f>
        <v>80,120</v>
      </c>
      <c r="AC506" s="9">
        <v>0.35</v>
      </c>
      <c r="AD506" s="9">
        <v>0.39</v>
      </c>
      <c r="AE506" s="9">
        <v>0.3</v>
      </c>
      <c r="AF506" s="9">
        <v>3</v>
      </c>
      <c r="AG506" s="9">
        <v>100</v>
      </c>
      <c r="AI506" s="69" cm="1">
        <f t="array" ref="AI506">tuple_avg(T506)/tuple_avg(AA506)</f>
        <v>0.01</v>
      </c>
      <c r="AJ506" s="69">
        <f>AC506*AI506*'-配置辅助'!$I$8</f>
        <v>0.35</v>
      </c>
      <c r="AK506" s="69">
        <f>AD506*AI506*'-配置辅助'!$I$10</f>
        <v>6.5000000000000002E-2</v>
      </c>
      <c r="AL506" s="69">
        <f>AJ506*_xlfn.XLOOKUP(H506,monsters[怪物id],monsters[HP],-1)</f>
        <v>61.249999999999993</v>
      </c>
      <c r="AM506" s="69">
        <f>AK506*_xlfn.XLOOKUP(H506,monsters[怪物id],monsters[HP],-1)</f>
        <v>11.375</v>
      </c>
    </row>
    <row r="507" spans="1:41" x14ac:dyDescent="0.2">
      <c r="A507" s="9">
        <v>420724</v>
      </c>
      <c r="B507" s="9" t="str" cm="1">
        <f t="array" ref="B507">D507&amp;_xlfn.TEXTJOIN("",1,TEXT(E507:G507,"00"))</f>
        <v>2010002</v>
      </c>
      <c r="C507" s="30" t="str">
        <f t="shared" si="262"/>
        <v>420724,2010002</v>
      </c>
      <c r="D507" s="26">
        <v>2</v>
      </c>
      <c r="E507" s="26">
        <v>1</v>
      </c>
      <c r="F507" s="26">
        <f>W507</f>
        <v>0</v>
      </c>
      <c r="G507" s="26">
        <v>2</v>
      </c>
      <c r="H507" s="9">
        <v>201704</v>
      </c>
      <c r="I507" s="15" t="str">
        <f>IFERROR(VLOOKUP(H507,monsters[#All],4,0),"")</f>
        <v>巨型石头人</v>
      </c>
      <c r="J507" s="15" t="str" cm="1">
        <f t="array" ref="J507">_xlfn.LET(_xlpm.v6p,ABS(ATAN2(O507,P507))*6/PI(),
_xlpm.output,_xlfn.IFS(_xlpm.v6p&lt;1,"正前",_xlpm.v6p&gt;5,"正后",AND(_xlpm.v6p&lt;5,_xlpm.v6p&gt;2,P507&lt;-1),"脚底",_xlpm.v6p&gt;4,"后上",_xlpm.v6p&lt;2,"前上",TRUE,"顶部"),
IFERROR(_xlpm.output,""))</f>
        <v>顶部</v>
      </c>
      <c r="K507" s="12"/>
      <c r="L507" s="54" t="s">
        <v>192</v>
      </c>
      <c r="M507" s="12" t="s">
        <v>63</v>
      </c>
      <c r="N507" s="19" t="str">
        <f>O507+0&amp;","&amp;P507+0</f>
        <v>5,12.5</v>
      </c>
      <c r="O507" s="24">
        <v>5</v>
      </c>
      <c r="P507" s="24">
        <v>12.5</v>
      </c>
      <c r="Q507" s="19">
        <f t="shared" si="263"/>
        <v>1</v>
      </c>
      <c r="R507" s="42"/>
      <c r="S507" s="9">
        <v>1</v>
      </c>
      <c r="T507" s="19" t="str">
        <f>IF(U507&lt;&gt;"", U507+0&amp;","&amp;V507+0,"")</f>
        <v>1,1</v>
      </c>
      <c r="U507" s="24">
        <v>1</v>
      </c>
      <c r="V507" s="24">
        <v>1</v>
      </c>
      <c r="W507" s="9">
        <v>0</v>
      </c>
      <c r="X507" s="9">
        <v>11</v>
      </c>
      <c r="Y507" s="19" t="str">
        <f>IF($A507&lt;&gt;"",IF($Z507&lt;&gt;"",$Z507,"0,0"),"")</f>
        <v>-105,-100</v>
      </c>
      <c r="Z507" s="42" t="s">
        <v>133</v>
      </c>
      <c r="AA507" s="19" t="str">
        <f>IF($A507&lt;&gt;"",IF($AB507&lt;&gt;"",$AB507,"80,120"),"")</f>
        <v>80,120</v>
      </c>
      <c r="AC507" s="9">
        <v>0.35</v>
      </c>
      <c r="AD507" s="9">
        <v>0.39</v>
      </c>
      <c r="AE507" s="9">
        <v>0.3</v>
      </c>
      <c r="AF507" s="9">
        <v>3</v>
      </c>
      <c r="AG507" s="9">
        <v>100</v>
      </c>
      <c r="AI507" s="69" cm="1">
        <f t="array" ref="AI507">tuple_avg(T507)/tuple_avg(AA507)</f>
        <v>0.01</v>
      </c>
      <c r="AJ507" s="69">
        <f>AC507*AI507*'-配置辅助'!$I$8</f>
        <v>0.35</v>
      </c>
      <c r="AK507" s="69">
        <f>AD507*AI507*'-配置辅助'!$I$10</f>
        <v>6.5000000000000002E-2</v>
      </c>
      <c r="AL507" s="69">
        <f>AJ507*_xlfn.XLOOKUP(H507,monsters[怪物id],monsters[HP],-1)</f>
        <v>61.249999999999993</v>
      </c>
      <c r="AM507" s="69">
        <f>AK507*_xlfn.XLOOKUP(H507,monsters[怪物id],monsters[HP],-1)</f>
        <v>11.375</v>
      </c>
    </row>
    <row r="511" spans="1:41" s="40" customFormat="1" x14ac:dyDescent="0.2">
      <c r="A511" s="43"/>
      <c r="B511" s="43" t="s">
        <v>64</v>
      </c>
      <c r="C511" s="44" t="str">
        <f t="shared" ref="C511" si="264">_xlfn.TEXTJOIN(",",1,A511:B511)</f>
        <v>大湖</v>
      </c>
      <c r="D511" s="45"/>
      <c r="E511" s="45"/>
      <c r="F511" s="45"/>
      <c r="G511" s="45"/>
      <c r="H511" s="43" t="s">
        <v>342</v>
      </c>
      <c r="I511" s="46"/>
      <c r="J511" s="46"/>
      <c r="O511" s="47"/>
      <c r="P511" s="47"/>
      <c r="R511" s="47"/>
      <c r="S511" s="40" t="s">
        <v>62</v>
      </c>
      <c r="U511" s="47"/>
      <c r="V511" s="47"/>
      <c r="Z511" s="47"/>
      <c r="AB511" s="47"/>
      <c r="AC511" s="40" t="s">
        <v>62</v>
      </c>
      <c r="AI511" s="75"/>
      <c r="AJ511" s="75"/>
      <c r="AK511" s="75"/>
      <c r="AL511" s="75"/>
      <c r="AM511" s="75"/>
      <c r="AN511" s="75"/>
      <c r="AO511" s="75">
        <f>SUM(AO513:AO516)</f>
        <v>101.33333333333334</v>
      </c>
    </row>
    <row r="513" spans="1:41" x14ac:dyDescent="0.2">
      <c r="A513" s="9">
        <v>420800</v>
      </c>
      <c r="B513" s="9" t="str" cm="1">
        <f t="array" ref="B513">D513&amp;_xlfn.TEXTJOIN("",1,TEXT(E513:G513,"00"))</f>
        <v>1010000</v>
      </c>
      <c r="C513" s="30" t="str">
        <f t="shared" ref="C513:C516" si="265">_xlfn.TEXTJOIN(",",1,A513:B513)</f>
        <v>420800,1010000</v>
      </c>
      <c r="D513" s="26">
        <v>1</v>
      </c>
      <c r="E513" s="26">
        <v>1</v>
      </c>
      <c r="F513" s="26">
        <f>W513</f>
        <v>0</v>
      </c>
      <c r="G513" s="26">
        <v>0</v>
      </c>
      <c r="H513" s="9">
        <v>201801</v>
      </c>
      <c r="I513" s="15" t="str">
        <f>IFERROR(VLOOKUP(H513,monsters[#All],4,0),"")</f>
        <v>金鱼</v>
      </c>
      <c r="J513" s="15" t="str" cm="1">
        <f t="array" ref="J513">_xlfn.LET(_xlpm.v6p,ABS(ATAN2(O513,P513))*6/PI(),
_xlpm.output,_xlfn.IFS(_xlpm.v6p&lt;1,"正前",_xlpm.v6p&gt;5,"正后",AND(_xlpm.v6p&lt;5,_xlpm.v6p&gt;2,P513&lt;-1),"脚底",_xlpm.v6p&gt;4,"后上",_xlpm.v6p&lt;2,"前上",TRUE,"顶部"),
IFERROR(_xlpm.output,""))</f>
        <v>正前</v>
      </c>
      <c r="K513" s="12"/>
      <c r="L513" s="12" t="s">
        <v>63</v>
      </c>
      <c r="M513" s="12" t="s">
        <v>63</v>
      </c>
      <c r="N513" s="19" t="str">
        <f>O513+0&amp;","&amp;P513+0</f>
        <v>15,6</v>
      </c>
      <c r="O513" s="24">
        <v>15</v>
      </c>
      <c r="P513" s="24">
        <v>6</v>
      </c>
      <c r="Q513" s="19">
        <f t="shared" ref="Q513:Q516" si="266">_xlfn.LET(_xlpm._default,1,
_xlpm._custom,R513,
IF($A513&lt;&gt;"",IF(_xlpm._custom&lt;&gt;"",_xlpm._custom,_xlpm._default),""))</f>
        <v>1</v>
      </c>
      <c r="R513" s="24">
        <v>1</v>
      </c>
      <c r="S513" s="9">
        <v>1</v>
      </c>
      <c r="T513" s="19" t="str">
        <f>IF(U513&lt;&gt;"", U513+0&amp;","&amp;V513+0,"")</f>
        <v>1,1</v>
      </c>
      <c r="U513" s="24">
        <v>1</v>
      </c>
      <c r="V513" s="24">
        <v>1</v>
      </c>
      <c r="W513" s="9">
        <v>0</v>
      </c>
      <c r="X513" s="9">
        <v>11</v>
      </c>
      <c r="Y513" s="19" t="str">
        <f>IF($A513&lt;&gt;"",IF($Z513&lt;&gt;"",$Z513,"0,0"),"")</f>
        <v>8992,8996</v>
      </c>
      <c r="Z513" s="41" t="s">
        <v>328</v>
      </c>
      <c r="AA513" s="19" t="str">
        <f>IF($A513&lt;&gt;"",IF($AB513&lt;&gt;"",$AB513,"80,120"),"")</f>
        <v>9000,9000</v>
      </c>
      <c r="AB513" s="41" t="s">
        <v>304</v>
      </c>
      <c r="AC513" s="9">
        <v>1</v>
      </c>
      <c r="AD513" s="16"/>
      <c r="AE513" s="16"/>
      <c r="AF513" s="16"/>
      <c r="AG513" s="16"/>
      <c r="AI513" s="69" cm="1">
        <f t="array" ref="AI513">tuple_avg(T513)/tuple_avg(AA513)</f>
        <v>1.1111111111111112E-4</v>
      </c>
      <c r="AN513" s="69">
        <f>S513</f>
        <v>1</v>
      </c>
      <c r="AO513" s="69">
        <f>AN513*_xlfn.XLOOKUP($H513,monsters[怪物id],monsters[HP],-1)*'-配置辅助'!$I$8/'-配置辅助'!$I$7</f>
        <v>6.333333333333333</v>
      </c>
    </row>
    <row r="514" spans="1:41" x14ac:dyDescent="0.2">
      <c r="A514" s="9">
        <v>420800</v>
      </c>
      <c r="B514" s="9" t="str" cm="1">
        <f t="array" ref="B514">D514&amp;_xlfn.TEXTJOIN("",1,TEXT(E514:G514,"00"))</f>
        <v>1020000</v>
      </c>
      <c r="C514" s="30" t="str">
        <f t="shared" si="265"/>
        <v>420800,1020000</v>
      </c>
      <c r="D514" s="26">
        <v>1</v>
      </c>
      <c r="E514" s="26">
        <v>2</v>
      </c>
      <c r="F514" s="26">
        <f>W514</f>
        <v>0</v>
      </c>
      <c r="G514" s="26">
        <v>0</v>
      </c>
      <c r="H514" s="9">
        <v>201801</v>
      </c>
      <c r="I514" s="15" t="str">
        <f>IFERROR(VLOOKUP(H514,monsters[#All],4,0),"")</f>
        <v>金鱼</v>
      </c>
      <c r="J514" s="15" t="str" cm="1">
        <f t="array" ref="J514">_xlfn.LET(_xlpm.v6p,ABS(ATAN2(O514,P514))*6/PI(),
_xlpm.output,_xlfn.IFS(_xlpm.v6p&lt;1,"正前",_xlpm.v6p&gt;5,"正后",AND(_xlpm.v6p&lt;5,_xlpm.v6p&gt;2,P514&lt;-1),"脚底",_xlpm.v6p&gt;4,"后上",_xlpm.v6p&lt;2,"前上",TRUE,"顶部"),
IFERROR(_xlpm.output,""))</f>
        <v>顶部</v>
      </c>
      <c r="K514" s="12"/>
      <c r="L514" s="12" t="s">
        <v>63</v>
      </c>
      <c r="M514" s="12" t="s">
        <v>63</v>
      </c>
      <c r="N514" s="19" t="str">
        <f>O514+0&amp;","&amp;P514+0</f>
        <v>6,14</v>
      </c>
      <c r="O514" s="24">
        <v>6</v>
      </c>
      <c r="P514" s="24">
        <v>14</v>
      </c>
      <c r="Q514" s="19">
        <f t="shared" si="266"/>
        <v>1.7321</v>
      </c>
      <c r="R514" s="24">
        <v>1.7321</v>
      </c>
      <c r="S514" s="9">
        <v>3</v>
      </c>
      <c r="T514" s="19" t="str">
        <f>IF(U514&lt;&gt;"", U514+0&amp;","&amp;V514+0,"")</f>
        <v>3,3</v>
      </c>
      <c r="U514" s="24">
        <v>3</v>
      </c>
      <c r="V514" s="24">
        <v>3</v>
      </c>
      <c r="W514" s="9">
        <v>0</v>
      </c>
      <c r="X514" s="9">
        <v>11</v>
      </c>
      <c r="Y514" s="19" t="str">
        <f>IF($A514&lt;&gt;"",IF($Z514&lt;&gt;"",$Z514,"0,0"),"")</f>
        <v>8942,8946</v>
      </c>
      <c r="Z514" s="41" t="s">
        <v>340</v>
      </c>
      <c r="AA514" s="19" t="str">
        <f>IF($A514&lt;&gt;"",IF($AB514&lt;&gt;"",$AB514,"80,120"),"")</f>
        <v>9000,9000</v>
      </c>
      <c r="AB514" s="41" t="s">
        <v>304</v>
      </c>
      <c r="AC514" s="9">
        <v>1</v>
      </c>
      <c r="AD514" s="16"/>
      <c r="AE514" s="16"/>
      <c r="AF514" s="16"/>
      <c r="AG514" s="16"/>
      <c r="AI514" s="69" cm="1">
        <f t="array" ref="AI514">tuple_avg(T514)/tuple_avg(AA514)</f>
        <v>3.3333333333333332E-4</v>
      </c>
      <c r="AN514" s="69">
        <f>S514</f>
        <v>3</v>
      </c>
      <c r="AO514" s="69">
        <f>AN514*_xlfn.XLOOKUP($H514,monsters[怪物id],monsters[HP],-1)*'-配置辅助'!$I$8/'-配置辅助'!$I$7</f>
        <v>19</v>
      </c>
    </row>
    <row r="515" spans="1:41" x14ac:dyDescent="0.2">
      <c r="A515" s="9">
        <v>420800</v>
      </c>
      <c r="B515" s="9" t="str" cm="1">
        <f t="array" ref="B515">D515&amp;_xlfn.TEXTJOIN("",1,TEXT(E515:G515,"00"))</f>
        <v>1030000</v>
      </c>
      <c r="C515" s="30" t="str">
        <f t="shared" si="265"/>
        <v>420800,1030000</v>
      </c>
      <c r="D515" s="26">
        <v>1</v>
      </c>
      <c r="E515" s="26">
        <v>3</v>
      </c>
      <c r="F515" s="26">
        <f>W515</f>
        <v>0</v>
      </c>
      <c r="G515" s="26">
        <v>0</v>
      </c>
      <c r="H515" s="9">
        <v>201801</v>
      </c>
      <c r="I515" s="15" t="str">
        <f>IFERROR(VLOOKUP(H515,monsters[#All],4,0),"")</f>
        <v>金鱼</v>
      </c>
      <c r="J515" s="15" t="str" cm="1">
        <f t="array" ref="J515">_xlfn.LET(_xlpm.v6p,ABS(ATAN2(O515,P515))*6/PI(),
_xlpm.output,_xlfn.IFS(_xlpm.v6p&lt;1,"正前",_xlpm.v6p&gt;5,"正后",AND(_xlpm.v6p&lt;5,_xlpm.v6p&gt;2,P515&lt;-1),"脚底",_xlpm.v6p&gt;4,"后上",_xlpm.v6p&lt;2,"前上",TRUE,"顶部"),
IFERROR(_xlpm.output,""))</f>
        <v>正前</v>
      </c>
      <c r="K515" s="12"/>
      <c r="L515" s="12" t="s">
        <v>63</v>
      </c>
      <c r="M515" s="12" t="s">
        <v>63</v>
      </c>
      <c r="N515" s="19" t="str">
        <f>O515+0&amp;","&amp;P515+0</f>
        <v>15,6</v>
      </c>
      <c r="O515" s="24">
        <v>15</v>
      </c>
      <c r="P515" s="24">
        <v>6</v>
      </c>
      <c r="Q515" s="19">
        <f t="shared" si="266"/>
        <v>2.2361</v>
      </c>
      <c r="R515" s="24">
        <v>2.2361</v>
      </c>
      <c r="S515" s="9">
        <v>5</v>
      </c>
      <c r="T515" s="19" t="str">
        <f>IF(U515&lt;&gt;"", U515+0&amp;","&amp;V515+0,"")</f>
        <v>5,5</v>
      </c>
      <c r="U515" s="24">
        <v>5</v>
      </c>
      <c r="V515" s="24">
        <v>5</v>
      </c>
      <c r="W515" s="9">
        <v>0</v>
      </c>
      <c r="X515" s="9">
        <v>11</v>
      </c>
      <c r="Y515" s="19" t="str">
        <f>IF($A515&lt;&gt;"",IF($Z515&lt;&gt;"",$Z515,"0,0"),"")</f>
        <v>8892,8896</v>
      </c>
      <c r="Z515" s="41" t="s">
        <v>335</v>
      </c>
      <c r="AA515" s="19" t="str">
        <f>IF($A515&lt;&gt;"",IF($AB515&lt;&gt;"",$AB515,"80,120"),"")</f>
        <v>9000,9000</v>
      </c>
      <c r="AB515" s="41" t="s">
        <v>304</v>
      </c>
      <c r="AC515" s="9">
        <v>1</v>
      </c>
      <c r="AD515" s="16"/>
      <c r="AE515" s="16"/>
      <c r="AF515" s="16"/>
      <c r="AG515" s="16"/>
      <c r="AI515" s="69" cm="1">
        <f t="array" ref="AI515">tuple_avg(T515)/tuple_avg(AA515)</f>
        <v>5.5555555555555556E-4</v>
      </c>
      <c r="AN515" s="69">
        <f>S515</f>
        <v>5</v>
      </c>
      <c r="AO515" s="69">
        <f>AN515*_xlfn.XLOOKUP($H515,monsters[怪物id],monsters[HP],-1)*'-配置辅助'!$I$8/'-配置辅助'!$I$7</f>
        <v>31.666666666666668</v>
      </c>
    </row>
    <row r="516" spans="1:41" x14ac:dyDescent="0.2">
      <c r="A516" s="9">
        <v>420800</v>
      </c>
      <c r="B516" s="9" t="str" cm="1">
        <f t="array" ref="B516">D516&amp;_xlfn.TEXTJOIN("",1,TEXT(E516:G516,"00"))</f>
        <v>1040000</v>
      </c>
      <c r="C516" s="30" t="str">
        <f t="shared" si="265"/>
        <v>420800,1040000</v>
      </c>
      <c r="D516" s="26">
        <v>1</v>
      </c>
      <c r="E516" s="26">
        <v>4</v>
      </c>
      <c r="F516" s="26">
        <f>W516</f>
        <v>0</v>
      </c>
      <c r="G516" s="26">
        <v>0</v>
      </c>
      <c r="H516" s="9">
        <v>201801</v>
      </c>
      <c r="I516" s="15" t="str">
        <f>IFERROR(VLOOKUP(H516,monsters[#All],4,0),"")</f>
        <v>金鱼</v>
      </c>
      <c r="J516" s="15" t="str" cm="1">
        <f t="array" ref="J516">_xlfn.LET(_xlpm.v6p,ABS(ATAN2(O516,P516))*6/PI(),
_xlpm.output,_xlfn.IFS(_xlpm.v6p&lt;1,"正前",_xlpm.v6p&gt;5,"正后",AND(_xlpm.v6p&lt;5,_xlpm.v6p&gt;2,P516&lt;-1),"脚底",_xlpm.v6p&gt;4,"后上",_xlpm.v6p&lt;2,"前上",TRUE,"顶部"),
IFERROR(_xlpm.output,""))</f>
        <v>正后</v>
      </c>
      <c r="K516" s="12"/>
      <c r="L516" s="12" t="s">
        <v>63</v>
      </c>
      <c r="M516" s="12" t="s">
        <v>63</v>
      </c>
      <c r="N516" s="19" t="str">
        <f>O516+0&amp;","&amp;P516+0</f>
        <v>-15,6</v>
      </c>
      <c r="O516" s="24">
        <v>-15</v>
      </c>
      <c r="P516" s="24">
        <v>6</v>
      </c>
      <c r="Q516" s="19">
        <f t="shared" si="266"/>
        <v>2.6457999999999999</v>
      </c>
      <c r="R516" s="24">
        <v>2.6457999999999999</v>
      </c>
      <c r="S516" s="9">
        <v>7</v>
      </c>
      <c r="T516" s="19" t="str">
        <f>IF(U516&lt;&gt;"", U516+0&amp;","&amp;V516+0,"")</f>
        <v>7,7</v>
      </c>
      <c r="U516" s="24">
        <v>7</v>
      </c>
      <c r="V516" s="24">
        <v>7</v>
      </c>
      <c r="W516" s="9">
        <v>0</v>
      </c>
      <c r="X516" s="9">
        <v>11</v>
      </c>
      <c r="Y516" s="19" t="str">
        <f>IF($A516&lt;&gt;"",IF($Z516&lt;&gt;"",$Z516,"0,0"),"")</f>
        <v>8842,8846</v>
      </c>
      <c r="Z516" s="41" t="s">
        <v>341</v>
      </c>
      <c r="AA516" s="19" t="str">
        <f>IF($A516&lt;&gt;"",IF($AB516&lt;&gt;"",$AB516,"80,120"),"")</f>
        <v>9000,9000</v>
      </c>
      <c r="AB516" s="41" t="s">
        <v>304</v>
      </c>
      <c r="AC516" s="9">
        <v>1</v>
      </c>
      <c r="AD516" s="16"/>
      <c r="AE516" s="16"/>
      <c r="AF516" s="16"/>
      <c r="AG516" s="16"/>
      <c r="AI516" s="69" cm="1">
        <f t="array" ref="AI516">tuple_avg(T516)/tuple_avg(AA516)</f>
        <v>7.7777777777777773E-4</v>
      </c>
      <c r="AN516" s="69">
        <f>S516</f>
        <v>7</v>
      </c>
      <c r="AO516" s="69">
        <f>AN516*_xlfn.XLOOKUP($H516,monsters[怪物id],monsters[HP],-1)*'-配置辅助'!$I$8/'-配置辅助'!$I$7</f>
        <v>44.333333333333336</v>
      </c>
    </row>
    <row r="519" spans="1:41" s="40" customFormat="1" x14ac:dyDescent="0.2">
      <c r="A519" s="43"/>
      <c r="B519" s="43"/>
      <c r="C519" s="44"/>
      <c r="D519" s="45"/>
      <c r="E519" s="45"/>
      <c r="F519" s="45"/>
      <c r="G519" s="45"/>
      <c r="H519" s="43" t="s">
        <v>352</v>
      </c>
      <c r="I519" s="46"/>
      <c r="J519" s="46"/>
      <c r="O519" s="47"/>
      <c r="P519" s="47"/>
      <c r="R519" s="47"/>
      <c r="S519" s="40" t="s">
        <v>62</v>
      </c>
      <c r="U519" s="47"/>
      <c r="V519" s="47"/>
      <c r="Z519" s="47"/>
      <c r="AB519" s="47"/>
      <c r="AC519" s="40" t="s">
        <v>62</v>
      </c>
      <c r="AI519" s="75"/>
      <c r="AJ519" s="75"/>
      <c r="AK519" s="75"/>
      <c r="AL519" s="75"/>
      <c r="AM519" s="75"/>
      <c r="AN519" s="75"/>
      <c r="AO519" s="75"/>
    </row>
    <row r="521" spans="1:41" x14ac:dyDescent="0.2">
      <c r="A521" s="9">
        <v>42080001</v>
      </c>
      <c r="B521" s="9" t="str" cm="1">
        <f t="array" ref="B521">D521&amp;_xlfn.TEXTJOIN("",1,TEXT(E521:G521,"00"))</f>
        <v>1000000</v>
      </c>
      <c r="C521" s="30" t="str">
        <f t="shared" ref="C521:C524" si="267">_xlfn.TEXTJOIN(",",1,A521:B521)</f>
        <v>42080001,1000000</v>
      </c>
      <c r="D521" s="26">
        <v>1</v>
      </c>
      <c r="E521" s="26">
        <v>0</v>
      </c>
      <c r="F521" s="26">
        <f t="shared" ref="F521:F526" si="268">W521</f>
        <v>0</v>
      </c>
      <c r="G521" s="26">
        <v>0</v>
      </c>
      <c r="H521" s="9">
        <v>201801</v>
      </c>
      <c r="I521" s="15" t="str">
        <f>IFERROR(VLOOKUP(H521,monsters[#All],4,0),"")</f>
        <v>金鱼</v>
      </c>
      <c r="J521" s="15" t="str" cm="1">
        <f t="array" ref="J521">_xlfn.LET(_xlpm.v6p,ABS(ATAN2(O521,P521))*6/PI(),
_xlpm.output,_xlfn.IFS(_xlpm.v6p&lt;1,"正前",_xlpm.v6p&gt;5,"正后",AND(_xlpm.v6p&lt;5,_xlpm.v6p&gt;2,P521&lt;-1),"脚底",_xlpm.v6p&gt;4,"后上",_xlpm.v6p&lt;2,"前上",TRUE,"顶部"),
IFERROR(_xlpm.output,""))</f>
        <v>正后</v>
      </c>
      <c r="K521" s="12"/>
      <c r="L521" s="12" t="s">
        <v>63</v>
      </c>
      <c r="M521" s="12" t="s">
        <v>63</v>
      </c>
      <c r="N521" s="19" t="str">
        <f t="shared" ref="N521:N526" si="269">O521+0&amp;","&amp;P521+0</f>
        <v>-20,5</v>
      </c>
      <c r="O521" s="24">
        <v>-20</v>
      </c>
      <c r="P521" s="24">
        <v>5</v>
      </c>
      <c r="Q521" s="19">
        <f t="shared" ref="Q521:Q524" si="270">_xlfn.LET(_xlpm._default,1,
_xlpm._custom,R521,
IF($A521&lt;&gt;"",IF(_xlpm._custom&lt;&gt;"",_xlpm._custom,_xlpm._default),""))</f>
        <v>1</v>
      </c>
      <c r="R521" s="24">
        <v>1</v>
      </c>
      <c r="S521" s="9">
        <v>8</v>
      </c>
      <c r="T521" s="19" t="str">
        <f t="shared" ref="T521:T526" si="271">IF(U521&lt;&gt;"", U521+0&amp;","&amp;V521+0,"")</f>
        <v>1,1</v>
      </c>
      <c r="U521" s="24">
        <v>1</v>
      </c>
      <c r="V521" s="24">
        <v>1</v>
      </c>
      <c r="W521" s="9">
        <v>0</v>
      </c>
      <c r="X521" s="9">
        <v>11</v>
      </c>
      <c r="Y521" s="19" t="str">
        <f t="shared" ref="Y521:Y547" si="272">IF($A521&lt;&gt;"",IF($Z521&lt;&gt;"",$Z521,"0,0"),"")</f>
        <v>0,0</v>
      </c>
      <c r="Z521" s="41"/>
      <c r="AA521" s="19" t="str">
        <f t="shared" ref="AA521:AA547" si="273">IF($A521&lt;&gt;"",IF($AB521&lt;&gt;"",$AB521,"80,120"),"")</f>
        <v>80,120</v>
      </c>
      <c r="AB521" s="41"/>
      <c r="AC521" s="9" cm="1">
        <f t="array" ref="AC521:AD526">_xlfn.LET(_xlpm._lvl,MOD($A521,10),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_xlpm._seq,G521:G526,
_xlfn.MAKEARRAY(ROWS(_xlpm._seq),2,_xlfn.LAMBDA(_xlpm.x,_xlpm.y,IF(_xlpm.y=1,-_xlpm._generate_rate/_xlpm._v_begin*(_xlpm._v_begin/_xlpm._v_max)^(INDEX(_xlpm._seq,_xlpm.x)/MAX(_xlpm._seq)),_xlpm._generate_rate))
))</f>
        <v>-27.69230769230769</v>
      </c>
      <c r="AD521" s="9">
        <v>72</v>
      </c>
      <c r="AE521" s="16"/>
      <c r="AF521" s="16"/>
      <c r="AG521" s="16"/>
      <c r="AI521" s="69" cm="1">
        <f t="array" ref="AI521">tuple_avg(T521)/tuple_avg(AA521)</f>
        <v>0.01</v>
      </c>
      <c r="AK521" s="69">
        <f>AD521*AI521*'-配置辅助'!$I$10</f>
        <v>12</v>
      </c>
      <c r="AM521" s="69">
        <f>AK521*_xlfn.XLOOKUP(H521,monsters[怪物id],monsters[HP],-1)</f>
        <v>228</v>
      </c>
    </row>
    <row r="522" spans="1:41" x14ac:dyDescent="0.2">
      <c r="A522" s="9">
        <v>42080001</v>
      </c>
      <c r="B522" s="9" t="str" cm="1">
        <f t="array" ref="B522">D522&amp;_xlfn.TEXTJOIN("",1,TEXT(E522:G522,"00"))</f>
        <v>1000001</v>
      </c>
      <c r="C522" s="30" t="str">
        <f t="shared" si="267"/>
        <v>42080001,1000001</v>
      </c>
      <c r="D522" s="26">
        <v>1</v>
      </c>
      <c r="E522" s="76">
        <v>0</v>
      </c>
      <c r="F522" s="26">
        <f t="shared" si="268"/>
        <v>0</v>
      </c>
      <c r="G522" s="26">
        <v>1</v>
      </c>
      <c r="H522" s="9">
        <v>201801</v>
      </c>
      <c r="I522" s="15" t="str">
        <f>IFERROR(VLOOKUP(H522,monsters[#All],4,0),"")</f>
        <v>金鱼</v>
      </c>
      <c r="J522" s="15" t="str" cm="1">
        <f t="array" ref="J522">_xlfn.LET(_xlpm.v6p,ABS(ATAN2(O522,P522))*6/PI(),
_xlpm.output,_xlfn.IFS(_xlpm.v6p&lt;1,"正前",_xlpm.v6p&gt;5,"正后",AND(_xlpm.v6p&lt;5,_xlpm.v6p&gt;2,P522&lt;-1),"脚底",_xlpm.v6p&gt;4,"后上",_xlpm.v6p&lt;2,"前上",TRUE,"顶部"),
IFERROR(_xlpm.output,""))</f>
        <v>正后</v>
      </c>
      <c r="K522" s="12"/>
      <c r="L522" s="12" t="s">
        <v>63</v>
      </c>
      <c r="M522" s="12" t="s">
        <v>63</v>
      </c>
      <c r="N522" s="19" t="str">
        <f t="shared" si="269"/>
        <v>-20,5</v>
      </c>
      <c r="O522" s="24">
        <v>-20</v>
      </c>
      <c r="P522" s="24">
        <v>5</v>
      </c>
      <c r="Q522" s="19">
        <f t="shared" si="270"/>
        <v>1.7321</v>
      </c>
      <c r="R522" s="24">
        <v>1.7321</v>
      </c>
      <c r="S522" s="9">
        <v>8</v>
      </c>
      <c r="T522" s="19" t="str">
        <f t="shared" si="271"/>
        <v>1,1</v>
      </c>
      <c r="U522" s="24">
        <v>1</v>
      </c>
      <c r="V522" s="24">
        <v>1</v>
      </c>
      <c r="W522" s="9">
        <v>0</v>
      </c>
      <c r="X522" s="9">
        <v>11</v>
      </c>
      <c r="Y522" s="19" t="str">
        <f t="shared" si="272"/>
        <v>-305,-300</v>
      </c>
      <c r="Z522" s="42" t="s">
        <v>269</v>
      </c>
      <c r="AA522" s="19" t="str">
        <f t="shared" si="273"/>
        <v>80,120</v>
      </c>
      <c r="AB522" s="41"/>
      <c r="AC522" s="9">
        <v>-38.508785077929701</v>
      </c>
      <c r="AD522" s="9">
        <v>72</v>
      </c>
      <c r="AE522" s="16"/>
      <c r="AF522" s="16"/>
      <c r="AG522" s="16"/>
      <c r="AI522" s="69" cm="1">
        <f t="array" ref="AI522">tuple_avg(T522)/tuple_avg(AA522)</f>
        <v>0.01</v>
      </c>
      <c r="AK522" s="69">
        <f>AD522*AI522*'-配置辅助'!$I$10</f>
        <v>12</v>
      </c>
      <c r="AM522" s="69">
        <f>AK522*_xlfn.XLOOKUP(H522,monsters[怪物id],monsters[HP],-1)</f>
        <v>228</v>
      </c>
    </row>
    <row r="523" spans="1:41" x14ac:dyDescent="0.2">
      <c r="A523" s="9">
        <v>42080001</v>
      </c>
      <c r="B523" s="9" t="str" cm="1">
        <f t="array" ref="B523">D523&amp;_xlfn.TEXTJOIN("",1,TEXT(E523:G523,"00"))</f>
        <v>1000002</v>
      </c>
      <c r="C523" s="30" t="str">
        <f t="shared" si="267"/>
        <v>42080001,1000002</v>
      </c>
      <c r="D523" s="26">
        <v>1</v>
      </c>
      <c r="E523" s="26">
        <v>0</v>
      </c>
      <c r="F523" s="26">
        <f t="shared" si="268"/>
        <v>0</v>
      </c>
      <c r="G523" s="26">
        <v>2</v>
      </c>
      <c r="H523" s="9">
        <v>201801</v>
      </c>
      <c r="I523" s="15" t="str">
        <f>IFERROR(VLOOKUP(H523,monsters[#All],4,0),"")</f>
        <v>金鱼</v>
      </c>
      <c r="J523" s="15" t="str" cm="1">
        <f t="array" ref="J523">_xlfn.LET(_xlpm.v6p,ABS(ATAN2(O523,P523))*6/PI(),
_xlpm.output,_xlfn.IFS(_xlpm.v6p&lt;1,"正前",_xlpm.v6p&gt;5,"正后",AND(_xlpm.v6p&lt;5,_xlpm.v6p&gt;2,P523&lt;-1),"脚底",_xlpm.v6p&gt;4,"后上",_xlpm.v6p&lt;2,"前上",TRUE,"顶部"),
IFERROR(_xlpm.output,""))</f>
        <v>正后</v>
      </c>
      <c r="K523" s="12"/>
      <c r="L523" s="12" t="s">
        <v>63</v>
      </c>
      <c r="M523" s="12" t="s">
        <v>63</v>
      </c>
      <c r="N523" s="19" t="str">
        <f t="shared" si="269"/>
        <v>-20,5</v>
      </c>
      <c r="O523" s="24">
        <v>-20</v>
      </c>
      <c r="P523" s="24">
        <v>5</v>
      </c>
      <c r="Q523" s="19">
        <f t="shared" si="270"/>
        <v>2.2361</v>
      </c>
      <c r="R523" s="24">
        <v>2.2361</v>
      </c>
      <c r="S523" s="9">
        <v>7</v>
      </c>
      <c r="T523" s="19" t="str">
        <f t="shared" si="271"/>
        <v>1,1</v>
      </c>
      <c r="U523" s="24">
        <v>1</v>
      </c>
      <c r="V523" s="24">
        <v>1</v>
      </c>
      <c r="W523" s="9">
        <v>0</v>
      </c>
      <c r="X523" s="9">
        <v>11</v>
      </c>
      <c r="Y523" s="19" t="str">
        <f t="shared" si="272"/>
        <v>-705,-700</v>
      </c>
      <c r="Z523" s="42" t="s">
        <v>134</v>
      </c>
      <c r="AA523" s="19" t="str">
        <f t="shared" si="273"/>
        <v>80,120</v>
      </c>
      <c r="AB523" s="41"/>
      <c r="AC523" s="9">
        <v>-53.550124628656555</v>
      </c>
      <c r="AD523" s="9">
        <v>72</v>
      </c>
      <c r="AE523" s="16"/>
      <c r="AF523" s="16"/>
      <c r="AG523" s="16"/>
      <c r="AI523" s="69" cm="1">
        <f t="array" ref="AI523">tuple_avg(T523)/tuple_avg(AA523)</f>
        <v>0.01</v>
      </c>
      <c r="AK523" s="69">
        <f>AD523*AI523*'-配置辅助'!$I$10</f>
        <v>12</v>
      </c>
      <c r="AM523" s="69">
        <f>AK523*_xlfn.XLOOKUP(H523,monsters[怪物id],monsters[HP],-1)</f>
        <v>228</v>
      </c>
    </row>
    <row r="524" spans="1:41" x14ac:dyDescent="0.2">
      <c r="A524" s="9">
        <v>42080001</v>
      </c>
      <c r="B524" s="9" t="str" cm="1">
        <f t="array" ref="B524">D524&amp;_xlfn.TEXTJOIN("",1,TEXT(E524:G524,"00"))</f>
        <v>1000003</v>
      </c>
      <c r="C524" s="30" t="str">
        <f t="shared" si="267"/>
        <v>42080001,1000003</v>
      </c>
      <c r="D524" s="26">
        <v>1</v>
      </c>
      <c r="E524" s="26">
        <v>0</v>
      </c>
      <c r="F524" s="26">
        <f t="shared" si="268"/>
        <v>0</v>
      </c>
      <c r="G524" s="26">
        <v>3</v>
      </c>
      <c r="H524" s="9">
        <v>201801</v>
      </c>
      <c r="I524" s="15" t="str">
        <f>IFERROR(VLOOKUP(H524,monsters[#All],4,0),"")</f>
        <v>金鱼</v>
      </c>
      <c r="J524" s="15" t="str" cm="1">
        <f t="array" ref="J524">_xlfn.LET(_xlpm.v6p,ABS(ATAN2(O524,P524))*6/PI(),
_xlpm.output,_xlfn.IFS(_xlpm.v6p&lt;1,"正前",_xlpm.v6p&gt;5,"正后",AND(_xlpm.v6p&lt;5,_xlpm.v6p&gt;2,P524&lt;-1),"脚底",_xlpm.v6p&gt;4,"后上",_xlpm.v6p&lt;2,"前上",TRUE,"顶部"),
IFERROR(_xlpm.output,""))</f>
        <v>正后</v>
      </c>
      <c r="K524" s="12"/>
      <c r="L524" s="12" t="s">
        <v>63</v>
      </c>
      <c r="M524" s="12" t="s">
        <v>63</v>
      </c>
      <c r="N524" s="19" t="str">
        <f t="shared" si="269"/>
        <v>-20,5</v>
      </c>
      <c r="O524" s="24">
        <v>-20</v>
      </c>
      <c r="P524" s="24">
        <v>5</v>
      </c>
      <c r="Q524" s="19">
        <f t="shared" si="270"/>
        <v>2.6457999999999999</v>
      </c>
      <c r="R524" s="24">
        <v>2.6457999999999999</v>
      </c>
      <c r="S524" s="9">
        <v>6</v>
      </c>
      <c r="T524" s="19" t="str">
        <f t="shared" si="271"/>
        <v>1,1</v>
      </c>
      <c r="U524" s="24">
        <v>1</v>
      </c>
      <c r="V524" s="24">
        <v>1</v>
      </c>
      <c r="W524" s="9">
        <v>0</v>
      </c>
      <c r="X524" s="9">
        <v>11</v>
      </c>
      <c r="Y524" s="19" t="str">
        <f t="shared" si="272"/>
        <v>-1205,-1200</v>
      </c>
      <c r="Z524" s="42" t="s">
        <v>344</v>
      </c>
      <c r="AA524" s="19" t="str">
        <f t="shared" si="273"/>
        <v>80,120</v>
      </c>
      <c r="AB524" s="41"/>
      <c r="AC524" s="9">
        <v>-74.466536452435307</v>
      </c>
      <c r="AD524" s="9">
        <v>72</v>
      </c>
      <c r="AE524" s="16"/>
      <c r="AF524" s="16"/>
      <c r="AG524" s="16"/>
      <c r="AI524" s="69" cm="1">
        <f t="array" ref="AI524">tuple_avg(T524)/tuple_avg(AA524)</f>
        <v>0.01</v>
      </c>
      <c r="AK524" s="69">
        <f>AD524*AI524*'-配置辅助'!$I$10</f>
        <v>12</v>
      </c>
      <c r="AM524" s="69">
        <f>AK524*_xlfn.XLOOKUP(H524,monsters[怪物id],monsters[HP],-1)</f>
        <v>228</v>
      </c>
    </row>
    <row r="525" spans="1:41" x14ac:dyDescent="0.2">
      <c r="A525" s="9">
        <v>42080001</v>
      </c>
      <c r="B525" s="9" t="str" cm="1">
        <f t="array" ref="B525">D525&amp;_xlfn.TEXTJOIN("",1,TEXT(E525:G525,"00"))</f>
        <v>1000004</v>
      </c>
      <c r="C525" s="30" t="str">
        <f t="shared" ref="C525:C526" si="274">_xlfn.TEXTJOIN(",",1,A525:B525)</f>
        <v>42080001,1000004</v>
      </c>
      <c r="D525" s="26">
        <v>1</v>
      </c>
      <c r="E525" s="26">
        <v>0</v>
      </c>
      <c r="F525" s="26">
        <f t="shared" si="268"/>
        <v>0</v>
      </c>
      <c r="G525" s="26">
        <v>4</v>
      </c>
      <c r="H525" s="9">
        <v>201801</v>
      </c>
      <c r="I525" s="15" t="str">
        <f>IFERROR(VLOOKUP(H525,monsters[#All],4,0),"")</f>
        <v>金鱼</v>
      </c>
      <c r="J525" s="15" t="str" cm="1">
        <f t="array" ref="J525">_xlfn.LET(_xlpm.v6p,ABS(ATAN2(O525,P525))*6/PI(),
_xlpm.output,_xlfn.IFS(_xlpm.v6p&lt;1,"正前",_xlpm.v6p&gt;5,"正后",AND(_xlpm.v6p&lt;5,_xlpm.v6p&gt;2,P525&lt;-1),"脚底",_xlpm.v6p&gt;4,"后上",_xlpm.v6p&lt;2,"前上",TRUE,"顶部"),
IFERROR(_xlpm.output,""))</f>
        <v>正后</v>
      </c>
      <c r="K525" s="12"/>
      <c r="L525" s="12" t="s">
        <v>63</v>
      </c>
      <c r="M525" s="12" t="s">
        <v>63</v>
      </c>
      <c r="N525" s="19" t="str">
        <f t="shared" si="269"/>
        <v>-20,5</v>
      </c>
      <c r="O525" s="24">
        <v>-20</v>
      </c>
      <c r="P525" s="24">
        <v>5</v>
      </c>
      <c r="Q525" s="19">
        <f t="shared" ref="Q525:Q526" si="275">_xlfn.LET(_xlpm._default,1,
_xlpm._custom,R525,
IF($A525&lt;&gt;"",IF(_xlpm._custom&lt;&gt;"",_xlpm._custom,_xlpm._default),""))</f>
        <v>2.6457999999999999</v>
      </c>
      <c r="R525" s="24">
        <v>2.6457999999999999</v>
      </c>
      <c r="S525" s="9">
        <v>5</v>
      </c>
      <c r="T525" s="19" t="str">
        <f t="shared" si="271"/>
        <v>1,1</v>
      </c>
      <c r="U525" s="24">
        <v>1</v>
      </c>
      <c r="V525" s="24">
        <v>1</v>
      </c>
      <c r="W525" s="9">
        <v>0</v>
      </c>
      <c r="X525" s="9">
        <v>11</v>
      </c>
      <c r="Y525" s="19" t="str">
        <f t="shared" si="272"/>
        <v>-1805,-1800</v>
      </c>
      <c r="Z525" s="42" t="s">
        <v>345</v>
      </c>
      <c r="AA525" s="19" t="str">
        <f t="shared" si="273"/>
        <v>80,120</v>
      </c>
      <c r="AB525" s="41"/>
      <c r="AC525" s="9">
        <v>-103.55279450189012</v>
      </c>
      <c r="AD525" s="9">
        <v>72</v>
      </c>
      <c r="AE525" s="16"/>
      <c r="AF525" s="16"/>
      <c r="AG525" s="16"/>
      <c r="AI525" s="69" cm="1">
        <f t="array" ref="AI525">tuple_avg(T525)/tuple_avg(AA525)</f>
        <v>0.01</v>
      </c>
      <c r="AK525" s="69">
        <f>AD525*AI525*'-配置辅助'!$I$10</f>
        <v>12</v>
      </c>
      <c r="AM525" s="69">
        <f>AK525*_xlfn.XLOOKUP(H525,monsters[怪物id],monsters[HP],-1)</f>
        <v>228</v>
      </c>
    </row>
    <row r="526" spans="1:41" x14ac:dyDescent="0.2">
      <c r="A526" s="9">
        <v>42080001</v>
      </c>
      <c r="B526" s="9" t="str" cm="1">
        <f t="array" ref="B526">D526&amp;_xlfn.TEXTJOIN("",1,TEXT(E526:G526,"00"))</f>
        <v>1000005</v>
      </c>
      <c r="C526" s="30" t="str">
        <f t="shared" si="274"/>
        <v>42080001,1000005</v>
      </c>
      <c r="D526" s="26">
        <v>1</v>
      </c>
      <c r="E526" s="26">
        <v>0</v>
      </c>
      <c r="F526" s="26">
        <f t="shared" si="268"/>
        <v>0</v>
      </c>
      <c r="G526" s="26">
        <v>5</v>
      </c>
      <c r="H526" s="9">
        <v>201801</v>
      </c>
      <c r="I526" s="15" t="str">
        <f>IFERROR(VLOOKUP(H526,monsters[#All],4,0),"")</f>
        <v>金鱼</v>
      </c>
      <c r="J526" s="15" t="str" cm="1">
        <f t="array" ref="J526">_xlfn.LET(_xlpm.v6p,ABS(ATAN2(O526,P526))*6/PI(),
_xlpm.output,_xlfn.IFS(_xlpm.v6p&lt;1,"正前",_xlpm.v6p&gt;5,"正后",AND(_xlpm.v6p&lt;5,_xlpm.v6p&gt;2,P526&lt;-1),"脚底",_xlpm.v6p&gt;4,"后上",_xlpm.v6p&lt;2,"前上",TRUE,"顶部"),
IFERROR(_xlpm.output,""))</f>
        <v>正后</v>
      </c>
      <c r="K526" s="12"/>
      <c r="L526" s="12" t="s">
        <v>63</v>
      </c>
      <c r="M526" s="12" t="s">
        <v>63</v>
      </c>
      <c r="N526" s="19" t="str">
        <f t="shared" si="269"/>
        <v>-20,5</v>
      </c>
      <c r="O526" s="24">
        <v>-20</v>
      </c>
      <c r="P526" s="24">
        <v>5</v>
      </c>
      <c r="Q526" s="19">
        <f t="shared" si="275"/>
        <v>2.6457999999999999</v>
      </c>
      <c r="R526" s="24">
        <v>2.6457999999999999</v>
      </c>
      <c r="S526" s="9">
        <v>5</v>
      </c>
      <c r="T526" s="19" t="str">
        <f t="shared" si="271"/>
        <v>1,1</v>
      </c>
      <c r="U526" s="24">
        <v>1</v>
      </c>
      <c r="V526" s="24">
        <v>1</v>
      </c>
      <c r="W526" s="9">
        <v>0</v>
      </c>
      <c r="X526" s="9">
        <v>11</v>
      </c>
      <c r="Y526" s="19" t="str">
        <f t="shared" si="272"/>
        <v>-2505,-2500</v>
      </c>
      <c r="Z526" s="42" t="s">
        <v>346</v>
      </c>
      <c r="AA526" s="19" t="str">
        <f t="shared" si="273"/>
        <v>80,120</v>
      </c>
      <c r="AB526" s="41"/>
      <c r="AC526" s="9">
        <v>-144</v>
      </c>
      <c r="AD526" s="9">
        <v>72</v>
      </c>
      <c r="AE526" s="16"/>
      <c r="AF526" s="16"/>
      <c r="AG526" s="16"/>
      <c r="AI526" s="69" cm="1">
        <f t="array" ref="AI526">tuple_avg(T526)/tuple_avg(AA526)</f>
        <v>0.01</v>
      </c>
      <c r="AK526" s="69">
        <f>AD526*AI526*'-配置辅助'!$I$10</f>
        <v>12</v>
      </c>
      <c r="AM526" s="69">
        <f>AK526*_xlfn.XLOOKUP(H526,monsters[怪物id],monsters[HP],-1)</f>
        <v>228</v>
      </c>
    </row>
    <row r="528" spans="1:41" x14ac:dyDescent="0.2">
      <c r="A528" s="9">
        <v>42080001</v>
      </c>
      <c r="B528" s="9" t="str" cm="1">
        <f t="array" ref="B528">D528&amp;_xlfn.TEXTJOIN("",1,TEXT(E528:G528,"00"))</f>
        <v>2000000</v>
      </c>
      <c r="C528" s="30" t="str">
        <f t="shared" ref="C528:C533" si="276">_xlfn.TEXTJOIN(",",1,A528:B528)</f>
        <v>42080001,2000000</v>
      </c>
      <c r="D528" s="26">
        <v>2</v>
      </c>
      <c r="E528" s="26">
        <v>0</v>
      </c>
      <c r="F528" s="26">
        <f t="shared" ref="F528:F533" si="277">W528</f>
        <v>0</v>
      </c>
      <c r="G528" s="26">
        <v>0</v>
      </c>
      <c r="H528" s="9">
        <v>201803</v>
      </c>
      <c r="I528" s="15" t="str">
        <f>IFERROR(VLOOKUP(H528,monsters[#All],4,0),"")</f>
        <v>海藻小妖</v>
      </c>
      <c r="J528" s="15" t="str" cm="1">
        <f t="array" ref="J528">_xlfn.LET(_xlpm.v6p,ABS(ATAN2(O528,P528))*6/PI(),
_xlpm.output,_xlfn.IFS(_xlpm.v6p&lt;1,"正前",_xlpm.v6p&gt;5,"正后",AND(_xlpm.v6p&lt;5,_xlpm.v6p&gt;2,P528&lt;-1),"脚底",_xlpm.v6p&gt;4,"后上",_xlpm.v6p&lt;2,"前上",TRUE,"顶部"),
IFERROR(_xlpm.output,""))</f>
        <v>正后</v>
      </c>
      <c r="K528" s="12"/>
      <c r="L528" s="12" t="s">
        <v>63</v>
      </c>
      <c r="M528" s="12" t="s">
        <v>63</v>
      </c>
      <c r="N528" s="19" t="str">
        <f t="shared" ref="N528:N533" si="278">O528+0&amp;","&amp;P528+0</f>
        <v>-20,5</v>
      </c>
      <c r="O528" s="24">
        <v>-20</v>
      </c>
      <c r="P528" s="24">
        <v>5</v>
      </c>
      <c r="Q528" s="19">
        <f t="shared" ref="Q528:Q533" si="279">_xlfn.LET(_xlpm._default,1,
_xlpm._custom,R528,
IF($A528&lt;&gt;"",IF(_xlpm._custom&lt;&gt;"",_xlpm._custom,_xlpm._default),""))</f>
        <v>1</v>
      </c>
      <c r="R528" s="24">
        <v>1</v>
      </c>
      <c r="S528" s="9">
        <v>8</v>
      </c>
      <c r="T528" s="19" t="str">
        <f t="shared" ref="T528:T533" si="280">IF(U528&lt;&gt;"", U528+0&amp;","&amp;V528+0,"")</f>
        <v>1,1</v>
      </c>
      <c r="U528" s="24">
        <v>1</v>
      </c>
      <c r="V528" s="24">
        <v>1</v>
      </c>
      <c r="W528" s="9">
        <v>0</v>
      </c>
      <c r="X528" s="9">
        <v>11</v>
      </c>
      <c r="Y528" s="19" t="str">
        <f t="shared" si="272"/>
        <v>0,0</v>
      </c>
      <c r="Z528" s="41"/>
      <c r="AA528" s="19" t="str">
        <f t="shared" si="273"/>
        <v>80,120</v>
      </c>
      <c r="AB528" s="41"/>
      <c r="AC528" s="9" cm="1">
        <f t="array" ref="AC528:AD533">_xlfn.LET(_xlpm._lvl,MOD($A528,10),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_xlpm._seq,G528:G533,
_xlfn.MAKEARRAY(ROWS(_xlpm._seq),2,_xlfn.LAMBDA(_xlpm.x,_xlpm.y,IF(_xlpm.y=1,-_xlpm._generate_rate/_xlpm._v_begin*(_xlpm._v_begin/_xlpm._v_max)^(INDEX(_xlpm._seq,_xlpm.x)/MAX(_xlpm._seq)),_xlpm._generate_rate))
))</f>
        <v>-27.69230769230769</v>
      </c>
      <c r="AD528" s="9">
        <v>72</v>
      </c>
      <c r="AE528" s="16"/>
      <c r="AF528" s="16"/>
      <c r="AG528" s="16"/>
      <c r="AI528" s="69" cm="1">
        <f t="array" ref="AI528">tuple_avg(T528)/tuple_avg(AA528)</f>
        <v>0.01</v>
      </c>
      <c r="AK528" s="69">
        <f>AD528*AI528*'-配置辅助'!$I$10</f>
        <v>12</v>
      </c>
      <c r="AM528" s="69">
        <f>AK528*_xlfn.XLOOKUP(H528,monsters[怪物id],monsters[HP],-1)</f>
        <v>288</v>
      </c>
    </row>
    <row r="529" spans="1:39" x14ac:dyDescent="0.2">
      <c r="A529" s="9">
        <v>42080001</v>
      </c>
      <c r="B529" s="9" t="str" cm="1">
        <f t="array" ref="B529">D529&amp;_xlfn.TEXTJOIN("",1,TEXT(E529:G529,"00"))</f>
        <v>2000001</v>
      </c>
      <c r="C529" s="30" t="str">
        <f t="shared" si="276"/>
        <v>42080001,2000001</v>
      </c>
      <c r="D529" s="26">
        <v>2</v>
      </c>
      <c r="E529" s="76">
        <v>0</v>
      </c>
      <c r="F529" s="26">
        <f t="shared" si="277"/>
        <v>0</v>
      </c>
      <c r="G529" s="26">
        <v>1</v>
      </c>
      <c r="H529" s="9">
        <v>201803</v>
      </c>
      <c r="I529" s="15" t="str">
        <f>IFERROR(VLOOKUP(H529,monsters[#All],4,0),"")</f>
        <v>海藻小妖</v>
      </c>
      <c r="J529" s="15" t="str" cm="1">
        <f t="array" ref="J529">_xlfn.LET(_xlpm.v6p,ABS(ATAN2(O529,P529))*6/PI(),
_xlpm.output,_xlfn.IFS(_xlpm.v6p&lt;1,"正前",_xlpm.v6p&gt;5,"正后",AND(_xlpm.v6p&lt;5,_xlpm.v6p&gt;2,P529&lt;-1),"脚底",_xlpm.v6p&gt;4,"后上",_xlpm.v6p&lt;2,"前上",TRUE,"顶部"),
IFERROR(_xlpm.output,""))</f>
        <v>正后</v>
      </c>
      <c r="K529" s="12"/>
      <c r="L529" s="12" t="s">
        <v>63</v>
      </c>
      <c r="M529" s="12" t="s">
        <v>63</v>
      </c>
      <c r="N529" s="19" t="str">
        <f t="shared" si="278"/>
        <v>-20,5</v>
      </c>
      <c r="O529" s="24">
        <v>-20</v>
      </c>
      <c r="P529" s="24">
        <v>5</v>
      </c>
      <c r="Q529" s="19">
        <f t="shared" si="279"/>
        <v>1.7321</v>
      </c>
      <c r="R529" s="24">
        <v>1.7321</v>
      </c>
      <c r="S529" s="9">
        <v>8</v>
      </c>
      <c r="T529" s="19" t="str">
        <f t="shared" si="280"/>
        <v>1,1</v>
      </c>
      <c r="U529" s="24">
        <v>1</v>
      </c>
      <c r="V529" s="24">
        <v>1</v>
      </c>
      <c r="W529" s="9">
        <v>0</v>
      </c>
      <c r="X529" s="9">
        <v>11</v>
      </c>
      <c r="Y529" s="19" t="str">
        <f t="shared" si="272"/>
        <v>-305,-300</v>
      </c>
      <c r="Z529" s="42" t="s">
        <v>269</v>
      </c>
      <c r="AA529" s="19" t="str">
        <f t="shared" si="273"/>
        <v>80,120</v>
      </c>
      <c r="AB529" s="41"/>
      <c r="AC529" s="9">
        <v>-38.508785077929701</v>
      </c>
      <c r="AD529" s="9">
        <v>72</v>
      </c>
      <c r="AE529" s="16"/>
      <c r="AF529" s="16"/>
      <c r="AG529" s="16"/>
      <c r="AI529" s="69" cm="1">
        <f t="array" ref="AI529">tuple_avg(T529)/tuple_avg(AA529)</f>
        <v>0.01</v>
      </c>
      <c r="AK529" s="69">
        <f>AD529*AI529*'-配置辅助'!$I$10</f>
        <v>12</v>
      </c>
      <c r="AM529" s="69">
        <f>AK529*_xlfn.XLOOKUP(H529,monsters[怪物id],monsters[HP],-1)</f>
        <v>288</v>
      </c>
    </row>
    <row r="530" spans="1:39" x14ac:dyDescent="0.2">
      <c r="A530" s="9">
        <v>42080001</v>
      </c>
      <c r="B530" s="9" t="str" cm="1">
        <f t="array" ref="B530">D530&amp;_xlfn.TEXTJOIN("",1,TEXT(E530:G530,"00"))</f>
        <v>2000002</v>
      </c>
      <c r="C530" s="30" t="str">
        <f t="shared" si="276"/>
        <v>42080001,2000002</v>
      </c>
      <c r="D530" s="26">
        <v>2</v>
      </c>
      <c r="E530" s="26">
        <v>0</v>
      </c>
      <c r="F530" s="26">
        <f t="shared" si="277"/>
        <v>0</v>
      </c>
      <c r="G530" s="26">
        <v>2</v>
      </c>
      <c r="H530" s="9">
        <v>201803</v>
      </c>
      <c r="I530" s="15" t="str">
        <f>IFERROR(VLOOKUP(H530,monsters[#All],4,0),"")</f>
        <v>海藻小妖</v>
      </c>
      <c r="J530" s="15" t="str" cm="1">
        <f t="array" ref="J530">_xlfn.LET(_xlpm.v6p,ABS(ATAN2(O530,P530))*6/PI(),
_xlpm.output,_xlfn.IFS(_xlpm.v6p&lt;1,"正前",_xlpm.v6p&gt;5,"正后",AND(_xlpm.v6p&lt;5,_xlpm.v6p&gt;2,P530&lt;-1),"脚底",_xlpm.v6p&gt;4,"后上",_xlpm.v6p&lt;2,"前上",TRUE,"顶部"),
IFERROR(_xlpm.output,""))</f>
        <v>正后</v>
      </c>
      <c r="K530" s="12"/>
      <c r="L530" s="12" t="s">
        <v>63</v>
      </c>
      <c r="M530" s="12" t="s">
        <v>63</v>
      </c>
      <c r="N530" s="19" t="str">
        <f t="shared" si="278"/>
        <v>-20,5</v>
      </c>
      <c r="O530" s="24">
        <v>-20</v>
      </c>
      <c r="P530" s="24">
        <v>5</v>
      </c>
      <c r="Q530" s="19">
        <f t="shared" si="279"/>
        <v>2.2361</v>
      </c>
      <c r="R530" s="24">
        <v>2.2361</v>
      </c>
      <c r="S530" s="9">
        <v>7</v>
      </c>
      <c r="T530" s="19" t="str">
        <f t="shared" si="280"/>
        <v>1,1</v>
      </c>
      <c r="U530" s="24">
        <v>1</v>
      </c>
      <c r="V530" s="24">
        <v>1</v>
      </c>
      <c r="W530" s="9">
        <v>0</v>
      </c>
      <c r="X530" s="9">
        <v>11</v>
      </c>
      <c r="Y530" s="19" t="str">
        <f t="shared" si="272"/>
        <v>-705,-700</v>
      </c>
      <c r="Z530" s="42" t="s">
        <v>134</v>
      </c>
      <c r="AA530" s="19" t="str">
        <f t="shared" si="273"/>
        <v>80,120</v>
      </c>
      <c r="AB530" s="41"/>
      <c r="AC530" s="9">
        <v>-53.550124628656555</v>
      </c>
      <c r="AD530" s="9">
        <v>72</v>
      </c>
      <c r="AE530" s="16"/>
      <c r="AF530" s="16"/>
      <c r="AG530" s="16"/>
      <c r="AI530" s="69" cm="1">
        <f t="array" ref="AI530">tuple_avg(T530)/tuple_avg(AA530)</f>
        <v>0.01</v>
      </c>
      <c r="AK530" s="69">
        <f>AD530*AI530*'-配置辅助'!$I$10</f>
        <v>12</v>
      </c>
      <c r="AM530" s="69">
        <f>AK530*_xlfn.XLOOKUP(H530,monsters[怪物id],monsters[HP],-1)</f>
        <v>288</v>
      </c>
    </row>
    <row r="531" spans="1:39" x14ac:dyDescent="0.2">
      <c r="A531" s="9">
        <v>42080001</v>
      </c>
      <c r="B531" s="9" t="str" cm="1">
        <f t="array" ref="B531">D531&amp;_xlfn.TEXTJOIN("",1,TEXT(E531:G531,"00"))</f>
        <v>2000003</v>
      </c>
      <c r="C531" s="30" t="str">
        <f t="shared" si="276"/>
        <v>42080001,2000003</v>
      </c>
      <c r="D531" s="26">
        <v>2</v>
      </c>
      <c r="E531" s="26">
        <v>0</v>
      </c>
      <c r="F531" s="26">
        <f t="shared" si="277"/>
        <v>0</v>
      </c>
      <c r="G531" s="26">
        <v>3</v>
      </c>
      <c r="H531" s="9">
        <v>201803</v>
      </c>
      <c r="I531" s="15" t="str">
        <f>IFERROR(VLOOKUP(H531,monsters[#All],4,0),"")</f>
        <v>海藻小妖</v>
      </c>
      <c r="J531" s="15" t="str" cm="1">
        <f t="array" ref="J531">_xlfn.LET(_xlpm.v6p,ABS(ATAN2(O531,P531))*6/PI(),
_xlpm.output,_xlfn.IFS(_xlpm.v6p&lt;1,"正前",_xlpm.v6p&gt;5,"正后",AND(_xlpm.v6p&lt;5,_xlpm.v6p&gt;2,P531&lt;-1),"脚底",_xlpm.v6p&gt;4,"后上",_xlpm.v6p&lt;2,"前上",TRUE,"顶部"),
IFERROR(_xlpm.output,""))</f>
        <v>正后</v>
      </c>
      <c r="K531" s="12"/>
      <c r="L531" s="12" t="s">
        <v>63</v>
      </c>
      <c r="M531" s="12" t="s">
        <v>63</v>
      </c>
      <c r="N531" s="19" t="str">
        <f t="shared" si="278"/>
        <v>-20,5</v>
      </c>
      <c r="O531" s="24">
        <v>-20</v>
      </c>
      <c r="P531" s="24">
        <v>5</v>
      </c>
      <c r="Q531" s="19">
        <f t="shared" si="279"/>
        <v>2.6457999999999999</v>
      </c>
      <c r="R531" s="24">
        <v>2.6457999999999999</v>
      </c>
      <c r="S531" s="9">
        <v>6</v>
      </c>
      <c r="T531" s="19" t="str">
        <f t="shared" si="280"/>
        <v>1,1</v>
      </c>
      <c r="U531" s="24">
        <v>1</v>
      </c>
      <c r="V531" s="24">
        <v>1</v>
      </c>
      <c r="W531" s="9">
        <v>0</v>
      </c>
      <c r="X531" s="9">
        <v>11</v>
      </c>
      <c r="Y531" s="19" t="str">
        <f t="shared" si="272"/>
        <v>-1205,-1200</v>
      </c>
      <c r="Z531" s="42" t="s">
        <v>344</v>
      </c>
      <c r="AA531" s="19" t="str">
        <f t="shared" si="273"/>
        <v>80,120</v>
      </c>
      <c r="AB531" s="41"/>
      <c r="AC531" s="9">
        <v>-74.466536452435307</v>
      </c>
      <c r="AD531" s="9">
        <v>72</v>
      </c>
      <c r="AE531" s="16"/>
      <c r="AF531" s="16"/>
      <c r="AG531" s="16"/>
      <c r="AI531" s="69" cm="1">
        <f t="array" ref="AI531">tuple_avg(T531)/tuple_avg(AA531)</f>
        <v>0.01</v>
      </c>
      <c r="AK531" s="69">
        <f>AD531*AI531*'-配置辅助'!$I$10</f>
        <v>12</v>
      </c>
      <c r="AM531" s="69">
        <f>AK531*_xlfn.XLOOKUP(H531,monsters[怪物id],monsters[HP],-1)</f>
        <v>288</v>
      </c>
    </row>
    <row r="532" spans="1:39" x14ac:dyDescent="0.2">
      <c r="A532" s="9">
        <v>42080001</v>
      </c>
      <c r="B532" s="9" t="str" cm="1">
        <f t="array" ref="B532">D532&amp;_xlfn.TEXTJOIN("",1,TEXT(E532:G532,"00"))</f>
        <v>2000004</v>
      </c>
      <c r="C532" s="30" t="str">
        <f t="shared" si="276"/>
        <v>42080001,2000004</v>
      </c>
      <c r="D532" s="26">
        <v>2</v>
      </c>
      <c r="E532" s="26">
        <v>0</v>
      </c>
      <c r="F532" s="26">
        <f t="shared" si="277"/>
        <v>0</v>
      </c>
      <c r="G532" s="26">
        <v>4</v>
      </c>
      <c r="H532" s="9">
        <v>201803</v>
      </c>
      <c r="I532" s="15" t="str">
        <f>IFERROR(VLOOKUP(H532,monsters[#All],4,0),"")</f>
        <v>海藻小妖</v>
      </c>
      <c r="J532" s="15" t="str" cm="1">
        <f t="array" ref="J532">_xlfn.LET(_xlpm.v6p,ABS(ATAN2(O532,P532))*6/PI(),
_xlpm.output,_xlfn.IFS(_xlpm.v6p&lt;1,"正前",_xlpm.v6p&gt;5,"正后",AND(_xlpm.v6p&lt;5,_xlpm.v6p&gt;2,P532&lt;-1),"脚底",_xlpm.v6p&gt;4,"后上",_xlpm.v6p&lt;2,"前上",TRUE,"顶部"),
IFERROR(_xlpm.output,""))</f>
        <v>正后</v>
      </c>
      <c r="K532" s="12"/>
      <c r="L532" s="12" t="s">
        <v>63</v>
      </c>
      <c r="M532" s="12" t="s">
        <v>63</v>
      </c>
      <c r="N532" s="19" t="str">
        <f t="shared" si="278"/>
        <v>-20,5</v>
      </c>
      <c r="O532" s="24">
        <v>-20</v>
      </c>
      <c r="P532" s="24">
        <v>5</v>
      </c>
      <c r="Q532" s="19">
        <f t="shared" si="279"/>
        <v>2.6457999999999999</v>
      </c>
      <c r="R532" s="24">
        <v>2.6457999999999999</v>
      </c>
      <c r="S532" s="9">
        <v>5</v>
      </c>
      <c r="T532" s="19" t="str">
        <f t="shared" si="280"/>
        <v>1,1</v>
      </c>
      <c r="U532" s="24">
        <v>1</v>
      </c>
      <c r="V532" s="24">
        <v>1</v>
      </c>
      <c r="W532" s="9">
        <v>0</v>
      </c>
      <c r="X532" s="9">
        <v>11</v>
      </c>
      <c r="Y532" s="19" t="str">
        <f t="shared" si="272"/>
        <v>-1805,-1800</v>
      </c>
      <c r="Z532" s="42" t="s">
        <v>345</v>
      </c>
      <c r="AA532" s="19" t="str">
        <f t="shared" si="273"/>
        <v>80,120</v>
      </c>
      <c r="AB532" s="41"/>
      <c r="AC532" s="9">
        <v>-103.55279450189012</v>
      </c>
      <c r="AD532" s="9">
        <v>72</v>
      </c>
      <c r="AE532" s="16"/>
      <c r="AF532" s="16"/>
      <c r="AG532" s="16"/>
      <c r="AI532" s="69" cm="1">
        <f t="array" ref="AI532">tuple_avg(T532)/tuple_avg(AA532)</f>
        <v>0.01</v>
      </c>
      <c r="AK532" s="69">
        <f>AD532*AI532*'-配置辅助'!$I$10</f>
        <v>12</v>
      </c>
      <c r="AM532" s="69">
        <f>AK532*_xlfn.XLOOKUP(H532,monsters[怪物id],monsters[HP],-1)</f>
        <v>288</v>
      </c>
    </row>
    <row r="533" spans="1:39" x14ac:dyDescent="0.2">
      <c r="A533" s="9">
        <v>42080001</v>
      </c>
      <c r="B533" s="9" t="str" cm="1">
        <f t="array" ref="B533">D533&amp;_xlfn.TEXTJOIN("",1,TEXT(E533:G533,"00"))</f>
        <v>2000005</v>
      </c>
      <c r="C533" s="30" t="str">
        <f t="shared" si="276"/>
        <v>42080001,2000005</v>
      </c>
      <c r="D533" s="26">
        <v>2</v>
      </c>
      <c r="E533" s="26">
        <v>0</v>
      </c>
      <c r="F533" s="26">
        <f t="shared" si="277"/>
        <v>0</v>
      </c>
      <c r="G533" s="26">
        <v>5</v>
      </c>
      <c r="H533" s="9">
        <v>201803</v>
      </c>
      <c r="I533" s="15" t="str">
        <f>IFERROR(VLOOKUP(H533,monsters[#All],4,0),"")</f>
        <v>海藻小妖</v>
      </c>
      <c r="J533" s="15" t="str" cm="1">
        <f t="array" ref="J533">_xlfn.LET(_xlpm.v6p,ABS(ATAN2(O533,P533))*6/PI(),
_xlpm.output,_xlfn.IFS(_xlpm.v6p&lt;1,"正前",_xlpm.v6p&gt;5,"正后",AND(_xlpm.v6p&lt;5,_xlpm.v6p&gt;2,P533&lt;-1),"脚底",_xlpm.v6p&gt;4,"后上",_xlpm.v6p&lt;2,"前上",TRUE,"顶部"),
IFERROR(_xlpm.output,""))</f>
        <v>正后</v>
      </c>
      <c r="K533" s="12"/>
      <c r="L533" s="12" t="s">
        <v>63</v>
      </c>
      <c r="M533" s="12" t="s">
        <v>63</v>
      </c>
      <c r="N533" s="19" t="str">
        <f t="shared" si="278"/>
        <v>-20,5</v>
      </c>
      <c r="O533" s="24">
        <v>-20</v>
      </c>
      <c r="P533" s="24">
        <v>5</v>
      </c>
      <c r="Q533" s="19">
        <f t="shared" si="279"/>
        <v>2.6457999999999999</v>
      </c>
      <c r="R533" s="24">
        <v>2.6457999999999999</v>
      </c>
      <c r="S533" s="9">
        <v>5</v>
      </c>
      <c r="T533" s="19" t="str">
        <f t="shared" si="280"/>
        <v>1,1</v>
      </c>
      <c r="U533" s="24">
        <v>1</v>
      </c>
      <c r="V533" s="24">
        <v>1</v>
      </c>
      <c r="W533" s="9">
        <v>0</v>
      </c>
      <c r="X533" s="9">
        <v>11</v>
      </c>
      <c r="Y533" s="19" t="str">
        <f t="shared" si="272"/>
        <v>-2505,-2500</v>
      </c>
      <c r="Z533" s="42" t="s">
        <v>346</v>
      </c>
      <c r="AA533" s="19" t="str">
        <f t="shared" si="273"/>
        <v>80,120</v>
      </c>
      <c r="AB533" s="41"/>
      <c r="AC533" s="9">
        <v>-144</v>
      </c>
      <c r="AD533" s="9">
        <v>72</v>
      </c>
      <c r="AE533" s="16"/>
      <c r="AF533" s="16"/>
      <c r="AG533" s="16"/>
      <c r="AI533" s="69" cm="1">
        <f t="array" ref="AI533">tuple_avg(T533)/tuple_avg(AA533)</f>
        <v>0.01</v>
      </c>
      <c r="AK533" s="69">
        <f>AD533*AI533*'-配置辅助'!$I$10</f>
        <v>12</v>
      </c>
      <c r="AM533" s="69">
        <f>AK533*_xlfn.XLOOKUP(H533,monsters[怪物id],monsters[HP],-1)</f>
        <v>288</v>
      </c>
    </row>
    <row r="535" spans="1:39" x14ac:dyDescent="0.2">
      <c r="A535" s="9">
        <v>42080001</v>
      </c>
      <c r="B535" s="9" t="str" cm="1">
        <f t="array" ref="B535">D535&amp;_xlfn.TEXTJOIN("",1,TEXT(E535:G535,"00"))</f>
        <v>3000000</v>
      </c>
      <c r="C535" s="30" t="str">
        <f t="shared" ref="C535:C540" si="281">_xlfn.TEXTJOIN(",",1,A535:B535)</f>
        <v>42080001,3000000</v>
      </c>
      <c r="D535" s="26">
        <v>3</v>
      </c>
      <c r="E535" s="26">
        <v>0</v>
      </c>
      <c r="F535" s="26">
        <f t="shared" ref="F535:F540" si="282">W535</f>
        <v>0</v>
      </c>
      <c r="G535" s="26">
        <v>0</v>
      </c>
      <c r="H535" s="9">
        <v>201814</v>
      </c>
      <c r="I535" s="15" t="str">
        <f>IFERROR(VLOOKUP(H535,monsters[#All],4,0),"")</f>
        <v>弱小螃蟹</v>
      </c>
      <c r="J535" s="15" t="str" cm="1">
        <f t="array" ref="J535">_xlfn.LET(_xlpm.v6p,ABS(ATAN2(O535,P535))*6/PI(),
_xlpm.output,_xlfn.IFS(_xlpm.v6p&lt;1,"正前",_xlpm.v6p&gt;5,"正后",AND(_xlpm.v6p&lt;5,_xlpm.v6p&gt;2,P535&lt;-1),"脚底",_xlpm.v6p&gt;4,"后上",_xlpm.v6p&lt;2,"前上",TRUE,"顶部"),
IFERROR(_xlpm.output,""))</f>
        <v>正后</v>
      </c>
      <c r="K535" s="12"/>
      <c r="L535" s="12" t="s">
        <v>63</v>
      </c>
      <c r="M535" s="12" t="s">
        <v>63</v>
      </c>
      <c r="N535" s="19" t="str">
        <f t="shared" ref="N535:N540" si="283">O535+0&amp;","&amp;P535+0</f>
        <v>-20,5</v>
      </c>
      <c r="O535" s="24">
        <v>-20</v>
      </c>
      <c r="P535" s="24">
        <v>5</v>
      </c>
      <c r="Q535" s="19">
        <f t="shared" ref="Q535:Q540" si="284">_xlfn.LET(_xlpm._default,1,
_xlpm._custom,R535,
IF($A535&lt;&gt;"",IF(_xlpm._custom&lt;&gt;"",_xlpm._custom,_xlpm._default),""))</f>
        <v>1</v>
      </c>
      <c r="R535" s="24">
        <v>1</v>
      </c>
      <c r="S535" s="9">
        <v>8</v>
      </c>
      <c r="T535" s="19" t="str">
        <f t="shared" ref="T535:T540" si="285">IF(U535&lt;&gt;"", U535+0&amp;","&amp;V535+0,"")</f>
        <v>1,1</v>
      </c>
      <c r="U535" s="24">
        <v>1</v>
      </c>
      <c r="V535" s="24">
        <v>1</v>
      </c>
      <c r="W535" s="9">
        <v>0</v>
      </c>
      <c r="X535" s="9">
        <v>11</v>
      </c>
      <c r="Y535" s="19" t="str">
        <f t="shared" si="272"/>
        <v>0,0</v>
      </c>
      <c r="Z535" s="41"/>
      <c r="AA535" s="19" t="str">
        <f t="shared" si="273"/>
        <v>80,120</v>
      </c>
      <c r="AB535" s="41"/>
      <c r="AC535" s="9" cm="1">
        <f t="array" ref="AC535:AD540">_xlfn.LET(_xlpm._lvl,MOD($A535,10),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_xlpm._seq,G535:G540,
_xlfn.MAKEARRAY(ROWS(_xlpm._seq),2,_xlfn.LAMBDA(_xlpm.x,_xlpm.y,IF(_xlpm.y=1,-_xlpm._generate_rate/_xlpm._v_begin*(_xlpm._v_begin/_xlpm._v_max)^(INDEX(_xlpm._seq,_xlpm.x)/MAX(_xlpm._seq)),_xlpm._generate_rate))
))</f>
        <v>-27.69230769230769</v>
      </c>
      <c r="AD535" s="9">
        <v>72</v>
      </c>
      <c r="AE535" s="16"/>
      <c r="AF535" s="16"/>
      <c r="AG535" s="16"/>
      <c r="AI535" s="69" cm="1">
        <f t="array" ref="AI535">tuple_avg(T535)/tuple_avg(AA535)</f>
        <v>0.01</v>
      </c>
      <c r="AK535" s="69">
        <f>AD535*AI535*'-配置辅助'!$I$10</f>
        <v>12</v>
      </c>
      <c r="AM535" s="69">
        <f>AK535*_xlfn.XLOOKUP(H535,monsters[怪物id],monsters[HP],-1)</f>
        <v>324</v>
      </c>
    </row>
    <row r="536" spans="1:39" x14ac:dyDescent="0.2">
      <c r="A536" s="9">
        <v>42080001</v>
      </c>
      <c r="B536" s="9" t="str" cm="1">
        <f t="array" ref="B536">D536&amp;_xlfn.TEXTJOIN("",1,TEXT(E536:G536,"00"))</f>
        <v>3000001</v>
      </c>
      <c r="C536" s="30" t="str">
        <f t="shared" si="281"/>
        <v>42080001,3000001</v>
      </c>
      <c r="D536" s="26">
        <v>3</v>
      </c>
      <c r="E536" s="76">
        <v>0</v>
      </c>
      <c r="F536" s="26">
        <f t="shared" si="282"/>
        <v>0</v>
      </c>
      <c r="G536" s="26">
        <v>1</v>
      </c>
      <c r="H536" s="9">
        <v>201814</v>
      </c>
      <c r="I536" s="15" t="str">
        <f>IFERROR(VLOOKUP(H536,monsters[#All],4,0),"")</f>
        <v>弱小螃蟹</v>
      </c>
      <c r="J536" s="15" t="str" cm="1">
        <f t="array" ref="J536">_xlfn.LET(_xlpm.v6p,ABS(ATAN2(O536,P536))*6/PI(),
_xlpm.output,_xlfn.IFS(_xlpm.v6p&lt;1,"正前",_xlpm.v6p&gt;5,"正后",AND(_xlpm.v6p&lt;5,_xlpm.v6p&gt;2,P536&lt;-1),"脚底",_xlpm.v6p&gt;4,"后上",_xlpm.v6p&lt;2,"前上",TRUE,"顶部"),
IFERROR(_xlpm.output,""))</f>
        <v>正后</v>
      </c>
      <c r="K536" s="12"/>
      <c r="L536" s="12" t="s">
        <v>63</v>
      </c>
      <c r="M536" s="12" t="s">
        <v>63</v>
      </c>
      <c r="N536" s="19" t="str">
        <f t="shared" si="283"/>
        <v>-20,5</v>
      </c>
      <c r="O536" s="24">
        <v>-20</v>
      </c>
      <c r="P536" s="24">
        <v>5</v>
      </c>
      <c r="Q536" s="19">
        <f t="shared" si="284"/>
        <v>1.7321</v>
      </c>
      <c r="R536" s="24">
        <v>1.7321</v>
      </c>
      <c r="S536" s="9">
        <v>8</v>
      </c>
      <c r="T536" s="19" t="str">
        <f t="shared" si="285"/>
        <v>1,1</v>
      </c>
      <c r="U536" s="24">
        <v>1</v>
      </c>
      <c r="V536" s="24">
        <v>1</v>
      </c>
      <c r="W536" s="9">
        <v>0</v>
      </c>
      <c r="X536" s="9">
        <v>11</v>
      </c>
      <c r="Y536" s="19" t="str">
        <f t="shared" si="272"/>
        <v>-305,-300</v>
      </c>
      <c r="Z536" s="42" t="s">
        <v>269</v>
      </c>
      <c r="AA536" s="19" t="str">
        <f t="shared" si="273"/>
        <v>80,120</v>
      </c>
      <c r="AB536" s="41"/>
      <c r="AC536" s="9">
        <v>-38.508785077929701</v>
      </c>
      <c r="AD536" s="9">
        <v>72</v>
      </c>
      <c r="AE536" s="16"/>
      <c r="AF536" s="16"/>
      <c r="AG536" s="16"/>
      <c r="AI536" s="69" cm="1">
        <f t="array" ref="AI536">tuple_avg(T536)/tuple_avg(AA536)</f>
        <v>0.01</v>
      </c>
      <c r="AK536" s="69">
        <f>AD536*AI536*'-配置辅助'!$I$10</f>
        <v>12</v>
      </c>
      <c r="AM536" s="69">
        <f>AK536*_xlfn.XLOOKUP(H536,monsters[怪物id],monsters[HP],-1)</f>
        <v>324</v>
      </c>
    </row>
    <row r="537" spans="1:39" x14ac:dyDescent="0.2">
      <c r="A537" s="9">
        <v>42080001</v>
      </c>
      <c r="B537" s="9" t="str" cm="1">
        <f t="array" ref="B537">D537&amp;_xlfn.TEXTJOIN("",1,TEXT(E537:G537,"00"))</f>
        <v>3000002</v>
      </c>
      <c r="C537" s="30" t="str">
        <f t="shared" si="281"/>
        <v>42080001,3000002</v>
      </c>
      <c r="D537" s="26">
        <v>3</v>
      </c>
      <c r="E537" s="26">
        <v>0</v>
      </c>
      <c r="F537" s="26">
        <f t="shared" si="282"/>
        <v>0</v>
      </c>
      <c r="G537" s="26">
        <v>2</v>
      </c>
      <c r="H537" s="9">
        <v>201814</v>
      </c>
      <c r="I537" s="15" t="str">
        <f>IFERROR(VLOOKUP(H537,monsters[#All],4,0),"")</f>
        <v>弱小螃蟹</v>
      </c>
      <c r="J537" s="15" t="str" cm="1">
        <f t="array" ref="J537">_xlfn.LET(_xlpm.v6p,ABS(ATAN2(O537,P537))*6/PI(),
_xlpm.output,_xlfn.IFS(_xlpm.v6p&lt;1,"正前",_xlpm.v6p&gt;5,"正后",AND(_xlpm.v6p&lt;5,_xlpm.v6p&gt;2,P537&lt;-1),"脚底",_xlpm.v6p&gt;4,"后上",_xlpm.v6p&lt;2,"前上",TRUE,"顶部"),
IFERROR(_xlpm.output,""))</f>
        <v>正后</v>
      </c>
      <c r="K537" s="12"/>
      <c r="L537" s="12" t="s">
        <v>63</v>
      </c>
      <c r="M537" s="12" t="s">
        <v>63</v>
      </c>
      <c r="N537" s="19" t="str">
        <f t="shared" si="283"/>
        <v>-20,5</v>
      </c>
      <c r="O537" s="24">
        <v>-20</v>
      </c>
      <c r="P537" s="24">
        <v>5</v>
      </c>
      <c r="Q537" s="19">
        <f t="shared" si="284"/>
        <v>2.2361</v>
      </c>
      <c r="R537" s="24">
        <v>2.2361</v>
      </c>
      <c r="S537" s="9">
        <v>7</v>
      </c>
      <c r="T537" s="19" t="str">
        <f t="shared" si="285"/>
        <v>1,1</v>
      </c>
      <c r="U537" s="24">
        <v>1</v>
      </c>
      <c r="V537" s="24">
        <v>1</v>
      </c>
      <c r="W537" s="9">
        <v>0</v>
      </c>
      <c r="X537" s="9">
        <v>11</v>
      </c>
      <c r="Y537" s="19" t="str">
        <f t="shared" si="272"/>
        <v>-705,-700</v>
      </c>
      <c r="Z537" s="42" t="s">
        <v>134</v>
      </c>
      <c r="AA537" s="19" t="str">
        <f t="shared" si="273"/>
        <v>80,120</v>
      </c>
      <c r="AB537" s="41"/>
      <c r="AC537" s="9">
        <v>-53.550124628656555</v>
      </c>
      <c r="AD537" s="9">
        <v>72</v>
      </c>
      <c r="AE537" s="16"/>
      <c r="AF537" s="16"/>
      <c r="AG537" s="16"/>
      <c r="AI537" s="69" cm="1">
        <f t="array" ref="AI537">tuple_avg(T537)/tuple_avg(AA537)</f>
        <v>0.01</v>
      </c>
      <c r="AK537" s="69">
        <f>AD537*AI537*'-配置辅助'!$I$10</f>
        <v>12</v>
      </c>
      <c r="AM537" s="69">
        <f>AK537*_xlfn.XLOOKUP(H537,monsters[怪物id],monsters[HP],-1)</f>
        <v>324</v>
      </c>
    </row>
    <row r="538" spans="1:39" x14ac:dyDescent="0.2">
      <c r="A538" s="9">
        <v>42080001</v>
      </c>
      <c r="B538" s="9" t="str" cm="1">
        <f t="array" ref="B538">D538&amp;_xlfn.TEXTJOIN("",1,TEXT(E538:G538,"00"))</f>
        <v>3000003</v>
      </c>
      <c r="C538" s="30" t="str">
        <f t="shared" si="281"/>
        <v>42080001,3000003</v>
      </c>
      <c r="D538" s="26">
        <v>3</v>
      </c>
      <c r="E538" s="26">
        <v>0</v>
      </c>
      <c r="F538" s="26">
        <f t="shared" si="282"/>
        <v>0</v>
      </c>
      <c r="G538" s="26">
        <v>3</v>
      </c>
      <c r="H538" s="9">
        <v>201814</v>
      </c>
      <c r="I538" s="15" t="str">
        <f>IFERROR(VLOOKUP(H538,monsters[#All],4,0),"")</f>
        <v>弱小螃蟹</v>
      </c>
      <c r="J538" s="15" t="str" cm="1">
        <f t="array" ref="J538">_xlfn.LET(_xlpm.v6p,ABS(ATAN2(O538,P538))*6/PI(),
_xlpm.output,_xlfn.IFS(_xlpm.v6p&lt;1,"正前",_xlpm.v6p&gt;5,"正后",AND(_xlpm.v6p&lt;5,_xlpm.v6p&gt;2,P538&lt;-1),"脚底",_xlpm.v6p&gt;4,"后上",_xlpm.v6p&lt;2,"前上",TRUE,"顶部"),
IFERROR(_xlpm.output,""))</f>
        <v>正后</v>
      </c>
      <c r="K538" s="12"/>
      <c r="L538" s="12" t="s">
        <v>63</v>
      </c>
      <c r="M538" s="12" t="s">
        <v>63</v>
      </c>
      <c r="N538" s="19" t="str">
        <f t="shared" si="283"/>
        <v>-20,5</v>
      </c>
      <c r="O538" s="24">
        <v>-20</v>
      </c>
      <c r="P538" s="24">
        <v>5</v>
      </c>
      <c r="Q538" s="19">
        <f t="shared" si="284"/>
        <v>2.6457999999999999</v>
      </c>
      <c r="R538" s="24">
        <v>2.6457999999999999</v>
      </c>
      <c r="S538" s="9">
        <v>6</v>
      </c>
      <c r="T538" s="19" t="str">
        <f t="shared" si="285"/>
        <v>1,1</v>
      </c>
      <c r="U538" s="24">
        <v>1</v>
      </c>
      <c r="V538" s="24">
        <v>1</v>
      </c>
      <c r="W538" s="9">
        <v>0</v>
      </c>
      <c r="X538" s="9">
        <v>11</v>
      </c>
      <c r="Y538" s="19" t="str">
        <f t="shared" si="272"/>
        <v>-1205,-1200</v>
      </c>
      <c r="Z538" s="42" t="s">
        <v>344</v>
      </c>
      <c r="AA538" s="19" t="str">
        <f t="shared" si="273"/>
        <v>80,120</v>
      </c>
      <c r="AB538" s="41"/>
      <c r="AC538" s="9">
        <v>-74.466536452435307</v>
      </c>
      <c r="AD538" s="9">
        <v>72</v>
      </c>
      <c r="AE538" s="16"/>
      <c r="AF538" s="16"/>
      <c r="AG538" s="16"/>
      <c r="AI538" s="69" cm="1">
        <f t="array" ref="AI538">tuple_avg(T538)/tuple_avg(AA538)</f>
        <v>0.01</v>
      </c>
      <c r="AK538" s="69">
        <f>AD538*AI538*'-配置辅助'!$I$10</f>
        <v>12</v>
      </c>
      <c r="AM538" s="69">
        <f>AK538*_xlfn.XLOOKUP(H538,monsters[怪物id],monsters[HP],-1)</f>
        <v>324</v>
      </c>
    </row>
    <row r="539" spans="1:39" x14ac:dyDescent="0.2">
      <c r="A539" s="9">
        <v>42080001</v>
      </c>
      <c r="B539" s="9" t="str" cm="1">
        <f t="array" ref="B539">D539&amp;_xlfn.TEXTJOIN("",1,TEXT(E539:G539,"00"))</f>
        <v>3000004</v>
      </c>
      <c r="C539" s="30" t="str">
        <f t="shared" si="281"/>
        <v>42080001,3000004</v>
      </c>
      <c r="D539" s="26">
        <v>3</v>
      </c>
      <c r="E539" s="26">
        <v>0</v>
      </c>
      <c r="F539" s="26">
        <f t="shared" si="282"/>
        <v>0</v>
      </c>
      <c r="G539" s="26">
        <v>4</v>
      </c>
      <c r="H539" s="9">
        <v>201814</v>
      </c>
      <c r="I539" s="15" t="str">
        <f>IFERROR(VLOOKUP(H539,monsters[#All],4,0),"")</f>
        <v>弱小螃蟹</v>
      </c>
      <c r="J539" s="15" t="str" cm="1">
        <f t="array" ref="J539">_xlfn.LET(_xlpm.v6p,ABS(ATAN2(O539,P539))*6/PI(),
_xlpm.output,_xlfn.IFS(_xlpm.v6p&lt;1,"正前",_xlpm.v6p&gt;5,"正后",AND(_xlpm.v6p&lt;5,_xlpm.v6p&gt;2,P539&lt;-1),"脚底",_xlpm.v6p&gt;4,"后上",_xlpm.v6p&lt;2,"前上",TRUE,"顶部"),
IFERROR(_xlpm.output,""))</f>
        <v>正后</v>
      </c>
      <c r="K539" s="12"/>
      <c r="L539" s="12" t="s">
        <v>63</v>
      </c>
      <c r="M539" s="12" t="s">
        <v>63</v>
      </c>
      <c r="N539" s="19" t="str">
        <f t="shared" si="283"/>
        <v>-20,5</v>
      </c>
      <c r="O539" s="24">
        <v>-20</v>
      </c>
      <c r="P539" s="24">
        <v>5</v>
      </c>
      <c r="Q539" s="19">
        <f t="shared" si="284"/>
        <v>2.6457999999999999</v>
      </c>
      <c r="R539" s="24">
        <v>2.6457999999999999</v>
      </c>
      <c r="S539" s="9">
        <v>5</v>
      </c>
      <c r="T539" s="19" t="str">
        <f t="shared" si="285"/>
        <v>1,1</v>
      </c>
      <c r="U539" s="24">
        <v>1</v>
      </c>
      <c r="V539" s="24">
        <v>1</v>
      </c>
      <c r="W539" s="9">
        <v>0</v>
      </c>
      <c r="X539" s="9">
        <v>11</v>
      </c>
      <c r="Y539" s="19" t="str">
        <f t="shared" si="272"/>
        <v>-1805,-1800</v>
      </c>
      <c r="Z539" s="42" t="s">
        <v>345</v>
      </c>
      <c r="AA539" s="19" t="str">
        <f t="shared" si="273"/>
        <v>80,120</v>
      </c>
      <c r="AB539" s="41"/>
      <c r="AC539" s="9">
        <v>-103.55279450189012</v>
      </c>
      <c r="AD539" s="9">
        <v>72</v>
      </c>
      <c r="AE539" s="16"/>
      <c r="AF539" s="16"/>
      <c r="AG539" s="16"/>
      <c r="AI539" s="69" cm="1">
        <f t="array" ref="AI539">tuple_avg(T539)/tuple_avg(AA539)</f>
        <v>0.01</v>
      </c>
      <c r="AK539" s="69">
        <f>AD539*AI539*'-配置辅助'!$I$10</f>
        <v>12</v>
      </c>
      <c r="AM539" s="69">
        <f>AK539*_xlfn.XLOOKUP(H539,monsters[怪物id],monsters[HP],-1)</f>
        <v>324</v>
      </c>
    </row>
    <row r="540" spans="1:39" x14ac:dyDescent="0.2">
      <c r="A540" s="9">
        <v>42080001</v>
      </c>
      <c r="B540" s="9" t="str" cm="1">
        <f t="array" ref="B540">D540&amp;_xlfn.TEXTJOIN("",1,TEXT(E540:G540,"00"))</f>
        <v>3000005</v>
      </c>
      <c r="C540" s="30" t="str">
        <f t="shared" si="281"/>
        <v>42080001,3000005</v>
      </c>
      <c r="D540" s="26">
        <v>3</v>
      </c>
      <c r="E540" s="26">
        <v>0</v>
      </c>
      <c r="F540" s="26">
        <f t="shared" si="282"/>
        <v>0</v>
      </c>
      <c r="G540" s="26">
        <v>5</v>
      </c>
      <c r="H540" s="9">
        <v>201814</v>
      </c>
      <c r="I540" s="15" t="str">
        <f>IFERROR(VLOOKUP(H540,monsters[#All],4,0),"")</f>
        <v>弱小螃蟹</v>
      </c>
      <c r="J540" s="15" t="str" cm="1">
        <f t="array" ref="J540">_xlfn.LET(_xlpm.v6p,ABS(ATAN2(O540,P540))*6/PI(),
_xlpm.output,_xlfn.IFS(_xlpm.v6p&lt;1,"正前",_xlpm.v6p&gt;5,"正后",AND(_xlpm.v6p&lt;5,_xlpm.v6p&gt;2,P540&lt;-1),"脚底",_xlpm.v6p&gt;4,"后上",_xlpm.v6p&lt;2,"前上",TRUE,"顶部"),
IFERROR(_xlpm.output,""))</f>
        <v>正后</v>
      </c>
      <c r="K540" s="12"/>
      <c r="L540" s="12" t="s">
        <v>63</v>
      </c>
      <c r="M540" s="12" t="s">
        <v>63</v>
      </c>
      <c r="N540" s="19" t="str">
        <f t="shared" si="283"/>
        <v>-20,5</v>
      </c>
      <c r="O540" s="24">
        <v>-20</v>
      </c>
      <c r="P540" s="24">
        <v>5</v>
      </c>
      <c r="Q540" s="19">
        <f t="shared" si="284"/>
        <v>2.6457999999999999</v>
      </c>
      <c r="R540" s="24">
        <v>2.6457999999999999</v>
      </c>
      <c r="S540" s="9">
        <v>5</v>
      </c>
      <c r="T540" s="19" t="str">
        <f t="shared" si="285"/>
        <v>1,1</v>
      </c>
      <c r="U540" s="24">
        <v>1</v>
      </c>
      <c r="V540" s="24">
        <v>1</v>
      </c>
      <c r="W540" s="9">
        <v>0</v>
      </c>
      <c r="X540" s="9">
        <v>11</v>
      </c>
      <c r="Y540" s="19" t="str">
        <f t="shared" si="272"/>
        <v>-2505,-2500</v>
      </c>
      <c r="Z540" s="42" t="s">
        <v>346</v>
      </c>
      <c r="AA540" s="19" t="str">
        <f t="shared" si="273"/>
        <v>80,120</v>
      </c>
      <c r="AB540" s="41"/>
      <c r="AC540" s="9">
        <v>-144</v>
      </c>
      <c r="AD540" s="9">
        <v>72</v>
      </c>
      <c r="AE540" s="16"/>
      <c r="AF540" s="16"/>
      <c r="AG540" s="16"/>
      <c r="AI540" s="69" cm="1">
        <f t="array" ref="AI540">tuple_avg(T540)/tuple_avg(AA540)</f>
        <v>0.01</v>
      </c>
      <c r="AK540" s="69">
        <f>AD540*AI540*'-配置辅助'!$I$10</f>
        <v>12</v>
      </c>
      <c r="AM540" s="69">
        <f>AK540*_xlfn.XLOOKUP(H540,monsters[怪物id],monsters[HP],-1)</f>
        <v>324</v>
      </c>
    </row>
    <row r="542" spans="1:39" x14ac:dyDescent="0.2">
      <c r="A542" s="9">
        <v>42080001</v>
      </c>
      <c r="B542" s="9" t="str" cm="1">
        <f t="array" ref="B542">D542&amp;_xlfn.TEXTJOIN("",1,TEXT(E542:G542,"00"))</f>
        <v>4000000</v>
      </c>
      <c r="C542" s="30" t="str">
        <f t="shared" ref="C542:C547" si="286">_xlfn.TEXTJOIN(",",1,A542:B542)</f>
        <v>42080001,4000000</v>
      </c>
      <c r="D542" s="26">
        <v>4</v>
      </c>
      <c r="E542" s="26">
        <v>0</v>
      </c>
      <c r="F542" s="26">
        <f t="shared" ref="F542:F547" si="287">W542</f>
        <v>0</v>
      </c>
      <c r="G542" s="26">
        <v>0</v>
      </c>
      <c r="H542" s="9">
        <v>201818</v>
      </c>
      <c r="I542" s="15" t="str">
        <f>IFERROR(VLOOKUP(H542,monsters[#All],4,0),"")</f>
        <v>聒噪海贝</v>
      </c>
      <c r="J542" s="15" t="str" cm="1">
        <f t="array" ref="J542">_xlfn.LET(_xlpm.v6p,ABS(ATAN2(O542,P542))*6/PI(),
_xlpm.output,_xlfn.IFS(_xlpm.v6p&lt;1,"正前",_xlpm.v6p&gt;5,"正后",AND(_xlpm.v6p&lt;5,_xlpm.v6p&gt;2,P542&lt;-1),"脚底",_xlpm.v6p&gt;4,"后上",_xlpm.v6p&lt;2,"前上",TRUE,"顶部"),
IFERROR(_xlpm.output,""))</f>
        <v>正后</v>
      </c>
      <c r="K542" s="12"/>
      <c r="L542" s="12" t="s">
        <v>63</v>
      </c>
      <c r="M542" s="12" t="s">
        <v>63</v>
      </c>
      <c r="N542" s="19" t="str">
        <f t="shared" ref="N542:N547" si="288">O542+0&amp;","&amp;P542+0</f>
        <v>-20,5</v>
      </c>
      <c r="O542" s="24">
        <v>-20</v>
      </c>
      <c r="P542" s="24">
        <v>5</v>
      </c>
      <c r="Q542" s="19">
        <f t="shared" ref="Q542:Q547" si="289">_xlfn.LET(_xlpm._default,1,
_xlpm._custom,R542,
IF($A542&lt;&gt;"",IF(_xlpm._custom&lt;&gt;"",_xlpm._custom,_xlpm._default),""))</f>
        <v>1</v>
      </c>
      <c r="R542" s="24">
        <v>1</v>
      </c>
      <c r="S542" s="9">
        <v>8</v>
      </c>
      <c r="T542" s="19" t="str">
        <f t="shared" ref="T542:T547" si="290">IF(U542&lt;&gt;"", U542+0&amp;","&amp;V542+0,"")</f>
        <v>1,1</v>
      </c>
      <c r="U542" s="24">
        <v>1</v>
      </c>
      <c r="V542" s="24">
        <v>1</v>
      </c>
      <c r="W542" s="9">
        <v>0</v>
      </c>
      <c r="X542" s="9">
        <v>11</v>
      </c>
      <c r="Y542" s="19" t="str">
        <f t="shared" si="272"/>
        <v>0,0</v>
      </c>
      <c r="Z542" s="41"/>
      <c r="AA542" s="19" t="str">
        <f t="shared" si="273"/>
        <v>80,120</v>
      </c>
      <c r="AB542" s="41"/>
      <c r="AC542" s="9" cm="1">
        <f t="array" ref="AC542:AD547">_xlfn.LET(_xlpm._lvl,MOD($A542,10),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_xlpm._seq,G542:G547,
_xlfn.MAKEARRAY(ROWS(_xlpm._seq),2,_xlfn.LAMBDA(_xlpm.x,_xlpm.y,IF(_xlpm.y=1,-_xlpm._generate_rate/_xlpm._v_begin*(_xlpm._v_begin/_xlpm._v_max)^(INDEX(_xlpm._seq,_xlpm.x)/MAX(_xlpm._seq)),_xlpm._generate_rate))
))</f>
        <v>-27.69230769230769</v>
      </c>
      <c r="AD542" s="9">
        <v>72</v>
      </c>
      <c r="AE542" s="16"/>
      <c r="AF542" s="16"/>
      <c r="AG542" s="16"/>
      <c r="AI542" s="69" cm="1">
        <f t="array" ref="AI542">tuple_avg(T542)/tuple_avg(AA542)</f>
        <v>0.01</v>
      </c>
      <c r="AK542" s="69">
        <f>AD542*AI542*'-配置辅助'!$I$10</f>
        <v>12</v>
      </c>
      <c r="AM542" s="69">
        <f>AK542*_xlfn.XLOOKUP(H542,monsters[怪物id],monsters[HP],-1)</f>
        <v>372</v>
      </c>
    </row>
    <row r="543" spans="1:39" x14ac:dyDescent="0.2">
      <c r="A543" s="9">
        <v>42080001</v>
      </c>
      <c r="B543" s="9" t="str" cm="1">
        <f t="array" ref="B543">D543&amp;_xlfn.TEXTJOIN("",1,TEXT(E543:G543,"00"))</f>
        <v>4000001</v>
      </c>
      <c r="C543" s="30" t="str">
        <f t="shared" si="286"/>
        <v>42080001,4000001</v>
      </c>
      <c r="D543" s="26">
        <v>4</v>
      </c>
      <c r="E543" s="76">
        <v>0</v>
      </c>
      <c r="F543" s="26">
        <f t="shared" si="287"/>
        <v>0</v>
      </c>
      <c r="G543" s="26">
        <v>1</v>
      </c>
      <c r="H543" s="9">
        <v>201818</v>
      </c>
      <c r="I543" s="15" t="str">
        <f>IFERROR(VLOOKUP(H543,monsters[#All],4,0),"")</f>
        <v>聒噪海贝</v>
      </c>
      <c r="J543" s="15" t="str" cm="1">
        <f t="array" ref="J543">_xlfn.LET(_xlpm.v6p,ABS(ATAN2(O543,P543))*6/PI(),
_xlpm.output,_xlfn.IFS(_xlpm.v6p&lt;1,"正前",_xlpm.v6p&gt;5,"正后",AND(_xlpm.v6p&lt;5,_xlpm.v6p&gt;2,P543&lt;-1),"脚底",_xlpm.v6p&gt;4,"后上",_xlpm.v6p&lt;2,"前上",TRUE,"顶部"),
IFERROR(_xlpm.output,""))</f>
        <v>正后</v>
      </c>
      <c r="K543" s="12"/>
      <c r="L543" s="12" t="s">
        <v>63</v>
      </c>
      <c r="M543" s="12" t="s">
        <v>63</v>
      </c>
      <c r="N543" s="19" t="str">
        <f t="shared" si="288"/>
        <v>-20,5</v>
      </c>
      <c r="O543" s="24">
        <v>-20</v>
      </c>
      <c r="P543" s="24">
        <v>5</v>
      </c>
      <c r="Q543" s="19">
        <f t="shared" si="289"/>
        <v>1.7321</v>
      </c>
      <c r="R543" s="24">
        <v>1.7321</v>
      </c>
      <c r="S543" s="9">
        <v>8</v>
      </c>
      <c r="T543" s="19" t="str">
        <f t="shared" si="290"/>
        <v>1,1</v>
      </c>
      <c r="U543" s="24">
        <v>1</v>
      </c>
      <c r="V543" s="24">
        <v>1</v>
      </c>
      <c r="W543" s="9">
        <v>0</v>
      </c>
      <c r="X543" s="9">
        <v>11</v>
      </c>
      <c r="Y543" s="19" t="str">
        <f t="shared" si="272"/>
        <v>-305,-300</v>
      </c>
      <c r="Z543" s="42" t="s">
        <v>269</v>
      </c>
      <c r="AA543" s="19" t="str">
        <f t="shared" si="273"/>
        <v>80,120</v>
      </c>
      <c r="AB543" s="41"/>
      <c r="AC543" s="9">
        <v>-38.508785077929701</v>
      </c>
      <c r="AD543" s="9">
        <v>72</v>
      </c>
      <c r="AE543" s="16"/>
      <c r="AF543" s="16"/>
      <c r="AG543" s="16"/>
      <c r="AI543" s="69" cm="1">
        <f t="array" ref="AI543">tuple_avg(T543)/tuple_avg(AA543)</f>
        <v>0.01</v>
      </c>
      <c r="AK543" s="69">
        <f>AD543*AI543*'-配置辅助'!$I$10</f>
        <v>12</v>
      </c>
      <c r="AM543" s="69">
        <f>AK543*_xlfn.XLOOKUP(H543,monsters[怪物id],monsters[HP],-1)</f>
        <v>372</v>
      </c>
    </row>
    <row r="544" spans="1:39" x14ac:dyDescent="0.2">
      <c r="A544" s="9">
        <v>42080001</v>
      </c>
      <c r="B544" s="9" t="str" cm="1">
        <f t="array" ref="B544">D544&amp;_xlfn.TEXTJOIN("",1,TEXT(E544:G544,"00"))</f>
        <v>4000002</v>
      </c>
      <c r="C544" s="30" t="str">
        <f t="shared" si="286"/>
        <v>42080001,4000002</v>
      </c>
      <c r="D544" s="26">
        <v>4</v>
      </c>
      <c r="E544" s="26">
        <v>0</v>
      </c>
      <c r="F544" s="26">
        <f t="shared" si="287"/>
        <v>0</v>
      </c>
      <c r="G544" s="26">
        <v>2</v>
      </c>
      <c r="H544" s="9">
        <v>201818</v>
      </c>
      <c r="I544" s="15" t="str">
        <f>IFERROR(VLOOKUP(H544,monsters[#All],4,0),"")</f>
        <v>聒噪海贝</v>
      </c>
      <c r="J544" s="15" t="str" cm="1">
        <f t="array" ref="J544">_xlfn.LET(_xlpm.v6p,ABS(ATAN2(O544,P544))*6/PI(),
_xlpm.output,_xlfn.IFS(_xlpm.v6p&lt;1,"正前",_xlpm.v6p&gt;5,"正后",AND(_xlpm.v6p&lt;5,_xlpm.v6p&gt;2,P544&lt;-1),"脚底",_xlpm.v6p&gt;4,"后上",_xlpm.v6p&lt;2,"前上",TRUE,"顶部"),
IFERROR(_xlpm.output,""))</f>
        <v>正后</v>
      </c>
      <c r="K544" s="12"/>
      <c r="L544" s="12" t="s">
        <v>63</v>
      </c>
      <c r="M544" s="12" t="s">
        <v>63</v>
      </c>
      <c r="N544" s="19" t="str">
        <f t="shared" si="288"/>
        <v>-20,5</v>
      </c>
      <c r="O544" s="24">
        <v>-20</v>
      </c>
      <c r="P544" s="24">
        <v>5</v>
      </c>
      <c r="Q544" s="19">
        <f t="shared" si="289"/>
        <v>2.2361</v>
      </c>
      <c r="R544" s="24">
        <v>2.2361</v>
      </c>
      <c r="S544" s="9">
        <v>7</v>
      </c>
      <c r="T544" s="19" t="str">
        <f t="shared" si="290"/>
        <v>1,1</v>
      </c>
      <c r="U544" s="24">
        <v>1</v>
      </c>
      <c r="V544" s="24">
        <v>1</v>
      </c>
      <c r="W544" s="9">
        <v>0</v>
      </c>
      <c r="X544" s="9">
        <v>11</v>
      </c>
      <c r="Y544" s="19" t="str">
        <f t="shared" si="272"/>
        <v>-705,-700</v>
      </c>
      <c r="Z544" s="42" t="s">
        <v>134</v>
      </c>
      <c r="AA544" s="19" t="str">
        <f t="shared" si="273"/>
        <v>80,120</v>
      </c>
      <c r="AB544" s="41"/>
      <c r="AC544" s="9">
        <v>-53.550124628656555</v>
      </c>
      <c r="AD544" s="9">
        <v>72</v>
      </c>
      <c r="AE544" s="16"/>
      <c r="AF544" s="16"/>
      <c r="AG544" s="16"/>
      <c r="AI544" s="69" cm="1">
        <f t="array" ref="AI544">tuple_avg(T544)/tuple_avg(AA544)</f>
        <v>0.01</v>
      </c>
      <c r="AK544" s="69">
        <f>AD544*AI544*'-配置辅助'!$I$10</f>
        <v>12</v>
      </c>
      <c r="AM544" s="69">
        <f>AK544*_xlfn.XLOOKUP(H544,monsters[怪物id],monsters[HP],-1)</f>
        <v>372</v>
      </c>
    </row>
    <row r="545" spans="1:41" x14ac:dyDescent="0.2">
      <c r="A545" s="9">
        <v>42080001</v>
      </c>
      <c r="B545" s="9" t="str" cm="1">
        <f t="array" ref="B545">D545&amp;_xlfn.TEXTJOIN("",1,TEXT(E545:G545,"00"))</f>
        <v>4000003</v>
      </c>
      <c r="C545" s="30" t="str">
        <f t="shared" si="286"/>
        <v>42080001,4000003</v>
      </c>
      <c r="D545" s="26">
        <v>4</v>
      </c>
      <c r="E545" s="26">
        <v>0</v>
      </c>
      <c r="F545" s="26">
        <f t="shared" si="287"/>
        <v>0</v>
      </c>
      <c r="G545" s="26">
        <v>3</v>
      </c>
      <c r="H545" s="9">
        <v>201818</v>
      </c>
      <c r="I545" s="15" t="str">
        <f>IFERROR(VLOOKUP(H545,monsters[#All],4,0),"")</f>
        <v>聒噪海贝</v>
      </c>
      <c r="J545" s="15" t="str" cm="1">
        <f t="array" ref="J545">_xlfn.LET(_xlpm.v6p,ABS(ATAN2(O545,P545))*6/PI(),
_xlpm.output,_xlfn.IFS(_xlpm.v6p&lt;1,"正前",_xlpm.v6p&gt;5,"正后",AND(_xlpm.v6p&lt;5,_xlpm.v6p&gt;2,P545&lt;-1),"脚底",_xlpm.v6p&gt;4,"后上",_xlpm.v6p&lt;2,"前上",TRUE,"顶部"),
IFERROR(_xlpm.output,""))</f>
        <v>正后</v>
      </c>
      <c r="K545" s="12"/>
      <c r="L545" s="12" t="s">
        <v>63</v>
      </c>
      <c r="M545" s="12" t="s">
        <v>63</v>
      </c>
      <c r="N545" s="19" t="str">
        <f t="shared" si="288"/>
        <v>-20,5</v>
      </c>
      <c r="O545" s="24">
        <v>-20</v>
      </c>
      <c r="P545" s="24">
        <v>5</v>
      </c>
      <c r="Q545" s="19">
        <f t="shared" si="289"/>
        <v>2.6457999999999999</v>
      </c>
      <c r="R545" s="24">
        <v>2.6457999999999999</v>
      </c>
      <c r="S545" s="9">
        <v>6</v>
      </c>
      <c r="T545" s="19" t="str">
        <f t="shared" si="290"/>
        <v>1,1</v>
      </c>
      <c r="U545" s="24">
        <v>1</v>
      </c>
      <c r="V545" s="24">
        <v>1</v>
      </c>
      <c r="W545" s="9">
        <v>0</v>
      </c>
      <c r="X545" s="9">
        <v>11</v>
      </c>
      <c r="Y545" s="19" t="str">
        <f t="shared" si="272"/>
        <v>-1205,-1200</v>
      </c>
      <c r="Z545" s="42" t="s">
        <v>344</v>
      </c>
      <c r="AA545" s="19" t="str">
        <f t="shared" si="273"/>
        <v>80,120</v>
      </c>
      <c r="AB545" s="41"/>
      <c r="AC545" s="9">
        <v>-74.466536452435307</v>
      </c>
      <c r="AD545" s="9">
        <v>72</v>
      </c>
      <c r="AE545" s="16"/>
      <c r="AF545" s="16"/>
      <c r="AG545" s="16"/>
      <c r="AI545" s="69" cm="1">
        <f t="array" ref="AI545">tuple_avg(T545)/tuple_avg(AA545)</f>
        <v>0.01</v>
      </c>
      <c r="AK545" s="69">
        <f>AD545*AI545*'-配置辅助'!$I$10</f>
        <v>12</v>
      </c>
      <c r="AM545" s="69">
        <f>AK545*_xlfn.XLOOKUP(H545,monsters[怪物id],monsters[HP],-1)</f>
        <v>372</v>
      </c>
    </row>
    <row r="546" spans="1:41" x14ac:dyDescent="0.2">
      <c r="A546" s="9">
        <v>42080001</v>
      </c>
      <c r="B546" s="9" t="str" cm="1">
        <f t="array" ref="B546">D546&amp;_xlfn.TEXTJOIN("",1,TEXT(E546:G546,"00"))</f>
        <v>4000004</v>
      </c>
      <c r="C546" s="30" t="str">
        <f t="shared" si="286"/>
        <v>42080001,4000004</v>
      </c>
      <c r="D546" s="26">
        <v>4</v>
      </c>
      <c r="E546" s="26">
        <v>0</v>
      </c>
      <c r="F546" s="26">
        <f t="shared" si="287"/>
        <v>0</v>
      </c>
      <c r="G546" s="26">
        <v>4</v>
      </c>
      <c r="H546" s="9">
        <v>201818</v>
      </c>
      <c r="I546" s="15" t="str">
        <f>IFERROR(VLOOKUP(H546,monsters[#All],4,0),"")</f>
        <v>聒噪海贝</v>
      </c>
      <c r="J546" s="15" t="str" cm="1">
        <f t="array" ref="J546">_xlfn.LET(_xlpm.v6p,ABS(ATAN2(O546,P546))*6/PI(),
_xlpm.output,_xlfn.IFS(_xlpm.v6p&lt;1,"正前",_xlpm.v6p&gt;5,"正后",AND(_xlpm.v6p&lt;5,_xlpm.v6p&gt;2,P546&lt;-1),"脚底",_xlpm.v6p&gt;4,"后上",_xlpm.v6p&lt;2,"前上",TRUE,"顶部"),
IFERROR(_xlpm.output,""))</f>
        <v>正后</v>
      </c>
      <c r="K546" s="12"/>
      <c r="L546" s="12" t="s">
        <v>63</v>
      </c>
      <c r="M546" s="12" t="s">
        <v>63</v>
      </c>
      <c r="N546" s="19" t="str">
        <f t="shared" si="288"/>
        <v>-20,5</v>
      </c>
      <c r="O546" s="24">
        <v>-20</v>
      </c>
      <c r="P546" s="24">
        <v>5</v>
      </c>
      <c r="Q546" s="19">
        <f t="shared" si="289"/>
        <v>2.6457999999999999</v>
      </c>
      <c r="R546" s="24">
        <v>2.6457999999999999</v>
      </c>
      <c r="S546" s="9">
        <v>5</v>
      </c>
      <c r="T546" s="19" t="str">
        <f t="shared" si="290"/>
        <v>1,1</v>
      </c>
      <c r="U546" s="24">
        <v>1</v>
      </c>
      <c r="V546" s="24">
        <v>1</v>
      </c>
      <c r="W546" s="9">
        <v>0</v>
      </c>
      <c r="X546" s="9">
        <v>11</v>
      </c>
      <c r="Y546" s="19" t="str">
        <f t="shared" si="272"/>
        <v>-1805,-1800</v>
      </c>
      <c r="Z546" s="42" t="s">
        <v>345</v>
      </c>
      <c r="AA546" s="19" t="str">
        <f t="shared" si="273"/>
        <v>80,120</v>
      </c>
      <c r="AB546" s="41"/>
      <c r="AC546" s="9">
        <v>-103.55279450189012</v>
      </c>
      <c r="AD546" s="9">
        <v>72</v>
      </c>
      <c r="AE546" s="16"/>
      <c r="AF546" s="16"/>
      <c r="AG546" s="16"/>
      <c r="AI546" s="69" cm="1">
        <f t="array" ref="AI546">tuple_avg(T546)/tuple_avg(AA546)</f>
        <v>0.01</v>
      </c>
      <c r="AK546" s="69">
        <f>AD546*AI546*'-配置辅助'!$I$10</f>
        <v>12</v>
      </c>
      <c r="AM546" s="69">
        <f>AK546*_xlfn.XLOOKUP(H546,monsters[怪物id],monsters[HP],-1)</f>
        <v>372</v>
      </c>
    </row>
    <row r="547" spans="1:41" x14ac:dyDescent="0.2">
      <c r="A547" s="9">
        <v>42080001</v>
      </c>
      <c r="B547" s="9" t="str" cm="1">
        <f t="array" ref="B547">D547&amp;_xlfn.TEXTJOIN("",1,TEXT(E547:G547,"00"))</f>
        <v>4000005</v>
      </c>
      <c r="C547" s="30" t="str">
        <f t="shared" si="286"/>
        <v>42080001,4000005</v>
      </c>
      <c r="D547" s="26">
        <v>4</v>
      </c>
      <c r="E547" s="26">
        <v>0</v>
      </c>
      <c r="F547" s="26">
        <f t="shared" si="287"/>
        <v>0</v>
      </c>
      <c r="G547" s="26">
        <v>5</v>
      </c>
      <c r="H547" s="9">
        <v>201818</v>
      </c>
      <c r="I547" s="15" t="str">
        <f>IFERROR(VLOOKUP(H547,monsters[#All],4,0),"")</f>
        <v>聒噪海贝</v>
      </c>
      <c r="J547" s="15" t="str" cm="1">
        <f t="array" ref="J547">_xlfn.LET(_xlpm.v6p,ABS(ATAN2(O547,P547))*6/PI(),
_xlpm.output,_xlfn.IFS(_xlpm.v6p&lt;1,"正前",_xlpm.v6p&gt;5,"正后",AND(_xlpm.v6p&lt;5,_xlpm.v6p&gt;2,P547&lt;-1),"脚底",_xlpm.v6p&gt;4,"后上",_xlpm.v6p&lt;2,"前上",TRUE,"顶部"),
IFERROR(_xlpm.output,""))</f>
        <v>正后</v>
      </c>
      <c r="K547" s="12"/>
      <c r="L547" s="12" t="s">
        <v>63</v>
      </c>
      <c r="M547" s="12" t="s">
        <v>63</v>
      </c>
      <c r="N547" s="19" t="str">
        <f t="shared" si="288"/>
        <v>-20,5</v>
      </c>
      <c r="O547" s="24">
        <v>-20</v>
      </c>
      <c r="P547" s="24">
        <v>5</v>
      </c>
      <c r="Q547" s="19">
        <f t="shared" si="289"/>
        <v>2.6457999999999999</v>
      </c>
      <c r="R547" s="24">
        <v>2.6457999999999999</v>
      </c>
      <c r="S547" s="9">
        <v>5</v>
      </c>
      <c r="T547" s="19" t="str">
        <f t="shared" si="290"/>
        <v>1,1</v>
      </c>
      <c r="U547" s="24">
        <v>1</v>
      </c>
      <c r="V547" s="24">
        <v>1</v>
      </c>
      <c r="W547" s="9">
        <v>0</v>
      </c>
      <c r="X547" s="9">
        <v>11</v>
      </c>
      <c r="Y547" s="19" t="str">
        <f t="shared" si="272"/>
        <v>-2505,-2500</v>
      </c>
      <c r="Z547" s="42" t="s">
        <v>346</v>
      </c>
      <c r="AA547" s="19" t="str">
        <f t="shared" si="273"/>
        <v>80,120</v>
      </c>
      <c r="AB547" s="41"/>
      <c r="AC547" s="9">
        <v>-144</v>
      </c>
      <c r="AD547" s="9">
        <v>72</v>
      </c>
      <c r="AE547" s="16"/>
      <c r="AF547" s="16"/>
      <c r="AG547" s="16"/>
      <c r="AI547" s="69" cm="1">
        <f t="array" ref="AI547">tuple_avg(T547)/tuple_avg(AA547)</f>
        <v>0.01</v>
      </c>
      <c r="AK547" s="69">
        <f>AD547*AI547*'-配置辅助'!$I$10</f>
        <v>12</v>
      </c>
      <c r="AM547" s="69">
        <f>AK547*_xlfn.XLOOKUP(H547,monsters[怪物id],monsters[HP],-1)</f>
        <v>372</v>
      </c>
    </row>
    <row r="549" spans="1:41" x14ac:dyDescent="0.2">
      <c r="I549" s="77" t="s">
        <v>349</v>
      </c>
    </row>
    <row r="550" spans="1:41" x14ac:dyDescent="0.2">
      <c r="A550" s="9">
        <v>42080001</v>
      </c>
      <c r="B550" s="9" t="str" cm="1">
        <f t="array" ref="B550">D550&amp;_xlfn.TEXTJOIN("",1,TEXT(E550:G550,"00"))</f>
        <v>1020000</v>
      </c>
      <c r="C550" s="30" t="str">
        <f t="shared" ref="C550:C553" si="291">_xlfn.TEXTJOIN(",",1,A550:B550)</f>
        <v>42080001,1020000</v>
      </c>
      <c r="D550" s="26">
        <v>1</v>
      </c>
      <c r="E550" s="26">
        <v>2</v>
      </c>
      <c r="F550" s="26">
        <f>W550</f>
        <v>0</v>
      </c>
      <c r="G550" s="26">
        <v>0</v>
      </c>
      <c r="H550" s="9">
        <v>201801</v>
      </c>
      <c r="I550" s="15" t="str">
        <f>IFERROR(VLOOKUP(H550,monsters[#All],4,0),"")</f>
        <v>金鱼</v>
      </c>
      <c r="J550" s="15" t="str" cm="1">
        <f t="array" ref="J550">_xlfn.LET(_xlpm.v6p,ABS(ATAN2(O550,P550))*6/PI(),
_xlpm.output,_xlfn.IFS(_xlpm.v6p&lt;1,"正前",_xlpm.v6p&gt;5,"正后",AND(_xlpm.v6p&lt;5,_xlpm.v6p&gt;2,P550&lt;-1),"脚底",_xlpm.v6p&gt;4,"后上",_xlpm.v6p&lt;2,"前上",TRUE,"顶部"),
IFERROR(_xlpm.output,""))</f>
        <v>正前</v>
      </c>
      <c r="K550" s="12"/>
      <c r="L550" s="12" t="s">
        <v>63</v>
      </c>
      <c r="M550" s="12" t="s">
        <v>63</v>
      </c>
      <c r="N550" s="19" t="str">
        <f>O550+0&amp;","&amp;P550+0</f>
        <v>15,6</v>
      </c>
      <c r="O550" s="24">
        <v>15</v>
      </c>
      <c r="P550" s="24">
        <v>6</v>
      </c>
      <c r="Q550" s="19">
        <f>_xlfn.LET(_xlpm._default,1,
_xlpm._custom,R550,
IF($A550&lt;&gt;"",IF(_xlpm._custom&lt;&gt;"",_xlpm._custom,_xlpm._default),""))</f>
        <v>1</v>
      </c>
      <c r="R550" s="24">
        <v>1</v>
      </c>
      <c r="S550" s="16"/>
      <c r="T550" s="19" t="str">
        <f>IF(U550&lt;&gt;"", U550+0&amp;","&amp;V550+0,"")</f>
        <v>0,0</v>
      </c>
      <c r="U550" s="24">
        <v>0</v>
      </c>
      <c r="V550" s="24">
        <v>0</v>
      </c>
      <c r="W550" s="9">
        <v>0</v>
      </c>
      <c r="X550" s="9">
        <v>11</v>
      </c>
      <c r="Y550" s="19" t="str">
        <f>IF($A550&lt;&gt;"",IF($Z550&lt;&gt;"",$Z550,"0,0"),"")</f>
        <v>0,0</v>
      </c>
      <c r="Z550" s="41"/>
      <c r="AA550" s="19" t="str">
        <f>IF($A550&lt;&gt;"",IF($AB550&lt;&gt;"",$AB550,"80,120"),"")</f>
        <v>100,100</v>
      </c>
      <c r="AB550" s="41" t="s">
        <v>343</v>
      </c>
      <c r="AC550" s="16"/>
      <c r="AD550" s="16"/>
      <c r="AE550" s="16"/>
      <c r="AF550" s="9">
        <v>33</v>
      </c>
      <c r="AG550" s="9">
        <v>40</v>
      </c>
      <c r="AI550" s="69" cm="1">
        <f t="array" ref="AI550">tuple_avg(T550)/tuple_avg(AA550)</f>
        <v>0</v>
      </c>
      <c r="AK550" s="69">
        <f>AD550*AI550*'-配置辅助'!$I$10</f>
        <v>0</v>
      </c>
      <c r="AM550" s="69">
        <f>AK550*_xlfn.XLOOKUP(H550,monsters[怪物id],monsters[HP],-1)</f>
        <v>0</v>
      </c>
    </row>
    <row r="551" spans="1:41" x14ac:dyDescent="0.2">
      <c r="A551" s="9">
        <v>42080001</v>
      </c>
      <c r="B551" s="9" t="str" cm="1">
        <f t="array" ref="B551">D551&amp;_xlfn.TEXTJOIN("",1,TEXT(E551:G551,"00"))</f>
        <v>1020001</v>
      </c>
      <c r="C551" s="30" t="str">
        <f t="shared" si="291"/>
        <v>42080001,1020001</v>
      </c>
      <c r="D551" s="26">
        <v>1</v>
      </c>
      <c r="E551" s="26">
        <v>2</v>
      </c>
      <c r="F551" s="26">
        <f>W551</f>
        <v>0</v>
      </c>
      <c r="G551" s="26">
        <v>1</v>
      </c>
      <c r="H551" s="9">
        <v>201801</v>
      </c>
      <c r="I551" s="15" t="str">
        <f>IFERROR(VLOOKUP(H551,monsters[#All],4,0),"")</f>
        <v>金鱼</v>
      </c>
      <c r="J551" s="15" t="str" cm="1">
        <f t="array" ref="J551">_xlfn.LET(_xlpm.v6p,ABS(ATAN2(O551,P551))*6/PI(),
_xlpm.output,_xlfn.IFS(_xlpm.v6p&lt;1,"正前",_xlpm.v6p&gt;5,"正后",AND(_xlpm.v6p&lt;5,_xlpm.v6p&gt;2,P551&lt;-1),"脚底",_xlpm.v6p&gt;4,"后上",_xlpm.v6p&lt;2,"前上",TRUE,"顶部"),
IFERROR(_xlpm.output,""))</f>
        <v>顶部</v>
      </c>
      <c r="K551" s="12"/>
      <c r="L551" s="12" t="s">
        <v>63</v>
      </c>
      <c r="M551" s="12" t="s">
        <v>63</v>
      </c>
      <c r="N551" s="19" t="str">
        <f>O551+0&amp;","&amp;P551+0</f>
        <v>6,14</v>
      </c>
      <c r="O551" s="24">
        <v>6</v>
      </c>
      <c r="P551" s="24">
        <v>14</v>
      </c>
      <c r="Q551" s="19">
        <f>_xlfn.LET(_xlpm._default,1,
_xlpm._custom,R551,
IF($A551&lt;&gt;"",IF(_xlpm._custom&lt;&gt;"",_xlpm._custom,_xlpm._default),""))</f>
        <v>1.7321</v>
      </c>
      <c r="R551" s="24">
        <v>1.7321</v>
      </c>
      <c r="S551" s="16"/>
      <c r="T551" s="19" t="str">
        <f>IF(U551&lt;&gt;"", U551+0&amp;","&amp;V551+0,"")</f>
        <v>0,0</v>
      </c>
      <c r="U551" s="24">
        <v>0</v>
      </c>
      <c r="V551" s="24">
        <v>0</v>
      </c>
      <c r="W551" s="9">
        <v>0</v>
      </c>
      <c r="X551" s="9">
        <v>11</v>
      </c>
      <c r="Y551" s="19" t="str">
        <f>IF($A551&lt;&gt;"",IF($Z551&lt;&gt;"",$Z551,"0,0"),"")</f>
        <v>0,0</v>
      </c>
      <c r="Z551" s="41"/>
      <c r="AA551" s="19" t="str">
        <f>IF($A551&lt;&gt;"",IF($AB551&lt;&gt;"",$AB551,"80,120"),"")</f>
        <v>100,100</v>
      </c>
      <c r="AB551" s="41" t="s">
        <v>343</v>
      </c>
      <c r="AC551" s="16"/>
      <c r="AD551" s="16"/>
      <c r="AE551" s="16"/>
      <c r="AF551" s="9">
        <v>33</v>
      </c>
      <c r="AG551" s="9">
        <v>40</v>
      </c>
      <c r="AI551" s="69" cm="1">
        <f t="array" ref="AI551">tuple_avg(T551)/tuple_avg(AA551)</f>
        <v>0</v>
      </c>
      <c r="AK551" s="69">
        <f>AD551*AI551*'-配置辅助'!$I$10</f>
        <v>0</v>
      </c>
      <c r="AM551" s="69">
        <f>AK551*_xlfn.XLOOKUP(H551,monsters[怪物id],monsters[HP],-1)</f>
        <v>0</v>
      </c>
    </row>
    <row r="552" spans="1:41" x14ac:dyDescent="0.2">
      <c r="A552" s="9">
        <v>42080001</v>
      </c>
      <c r="B552" s="9" t="str" cm="1">
        <f t="array" ref="B552">D552&amp;_xlfn.TEXTJOIN("",1,TEXT(E552:G552,"00"))</f>
        <v>1020002</v>
      </c>
      <c r="C552" s="30" t="str">
        <f t="shared" si="291"/>
        <v>42080001,1020002</v>
      </c>
      <c r="D552" s="26">
        <v>1</v>
      </c>
      <c r="E552" s="26">
        <v>2</v>
      </c>
      <c r="F552" s="26">
        <f>W552</f>
        <v>0</v>
      </c>
      <c r="G552" s="26">
        <v>2</v>
      </c>
      <c r="H552" s="9">
        <v>201801</v>
      </c>
      <c r="I552" s="15" t="str">
        <f>IFERROR(VLOOKUP(H552,monsters[#All],4,0),"")</f>
        <v>金鱼</v>
      </c>
      <c r="J552" s="15" t="str" cm="1">
        <f t="array" ref="J552">_xlfn.LET(_xlpm.v6p,ABS(ATAN2(O552,P552))*6/PI(),
_xlpm.output,_xlfn.IFS(_xlpm.v6p&lt;1,"正前",_xlpm.v6p&gt;5,"正后",AND(_xlpm.v6p&lt;5,_xlpm.v6p&gt;2,P552&lt;-1),"脚底",_xlpm.v6p&gt;4,"后上",_xlpm.v6p&lt;2,"前上",TRUE,"顶部"),
IFERROR(_xlpm.output,""))</f>
        <v>正前</v>
      </c>
      <c r="K552" s="12"/>
      <c r="L552" s="12" t="s">
        <v>63</v>
      </c>
      <c r="M552" s="12" t="s">
        <v>63</v>
      </c>
      <c r="N552" s="19" t="str">
        <f>O552+0&amp;","&amp;P552+0</f>
        <v>15,6</v>
      </c>
      <c r="O552" s="24">
        <v>15</v>
      </c>
      <c r="P552" s="24">
        <v>6</v>
      </c>
      <c r="Q552" s="19">
        <f>_xlfn.LET(_xlpm._default,1,
_xlpm._custom,R552,
IF($A552&lt;&gt;"",IF(_xlpm._custom&lt;&gt;"",_xlpm._custom,_xlpm._default),""))</f>
        <v>2.2361</v>
      </c>
      <c r="R552" s="24">
        <v>2.2361</v>
      </c>
      <c r="S552" s="16"/>
      <c r="T552" s="19" t="str">
        <f>IF(U552&lt;&gt;"", U552+0&amp;","&amp;V552+0,"")</f>
        <v>0,0</v>
      </c>
      <c r="U552" s="24">
        <v>0</v>
      </c>
      <c r="V552" s="24">
        <v>0</v>
      </c>
      <c r="W552" s="9">
        <v>0</v>
      </c>
      <c r="X552" s="9">
        <v>11</v>
      </c>
      <c r="Y552" s="19" t="str">
        <f>IF($A552&lt;&gt;"",IF($Z552&lt;&gt;"",$Z552,"0,0"),"")</f>
        <v>0,0</v>
      </c>
      <c r="Z552" s="41"/>
      <c r="AA552" s="19" t="str">
        <f>IF($A552&lt;&gt;"",IF($AB552&lt;&gt;"",$AB552,"80,120"),"")</f>
        <v>100,100</v>
      </c>
      <c r="AB552" s="41" t="s">
        <v>343</v>
      </c>
      <c r="AC552" s="16"/>
      <c r="AD552" s="16"/>
      <c r="AE552" s="16"/>
      <c r="AF552" s="9">
        <v>33</v>
      </c>
      <c r="AG552" s="9">
        <v>40</v>
      </c>
      <c r="AI552" s="69" cm="1">
        <f t="array" ref="AI552">tuple_avg(T552)/tuple_avg(AA552)</f>
        <v>0</v>
      </c>
      <c r="AK552" s="69">
        <f>AD552*AI552*'-配置辅助'!$I$10</f>
        <v>0</v>
      </c>
      <c r="AM552" s="69">
        <f>AK552*_xlfn.XLOOKUP(H552,monsters[怪物id],monsters[HP],-1)</f>
        <v>0</v>
      </c>
    </row>
    <row r="553" spans="1:41" x14ac:dyDescent="0.2">
      <c r="A553" s="9">
        <v>42080001</v>
      </c>
      <c r="B553" s="9" t="str" cm="1">
        <f t="array" ref="B553">D553&amp;_xlfn.TEXTJOIN("",1,TEXT(E553:G553,"00"))</f>
        <v>1020003</v>
      </c>
      <c r="C553" s="30" t="str">
        <f t="shared" si="291"/>
        <v>42080001,1020003</v>
      </c>
      <c r="D553" s="26">
        <v>1</v>
      </c>
      <c r="E553" s="26">
        <v>2</v>
      </c>
      <c r="F553" s="26">
        <f>W553</f>
        <v>0</v>
      </c>
      <c r="G553" s="26">
        <v>3</v>
      </c>
      <c r="H553" s="9">
        <v>201801</v>
      </c>
      <c r="I553" s="15" t="str">
        <f>IFERROR(VLOOKUP(H553,monsters[#All],4,0),"")</f>
        <v>金鱼</v>
      </c>
      <c r="J553" s="15" t="str" cm="1">
        <f t="array" ref="J553">_xlfn.LET(_xlpm.v6p,ABS(ATAN2(O553,P553))*6/PI(),
_xlpm.output,_xlfn.IFS(_xlpm.v6p&lt;1,"正前",_xlpm.v6p&gt;5,"正后",AND(_xlpm.v6p&lt;5,_xlpm.v6p&gt;2,P553&lt;-1),"脚底",_xlpm.v6p&gt;4,"后上",_xlpm.v6p&lt;2,"前上",TRUE,"顶部"),
IFERROR(_xlpm.output,""))</f>
        <v>正后</v>
      </c>
      <c r="K553" s="12"/>
      <c r="L553" s="12" t="s">
        <v>63</v>
      </c>
      <c r="M553" s="12" t="s">
        <v>63</v>
      </c>
      <c r="N553" s="19" t="str">
        <f>O553+0&amp;","&amp;P553+0</f>
        <v>-15,6</v>
      </c>
      <c r="O553" s="24">
        <v>-15</v>
      </c>
      <c r="P553" s="24">
        <v>6</v>
      </c>
      <c r="Q553" s="19">
        <f>_xlfn.LET(_xlpm._default,1,
_xlpm._custom,R553,
IF($A553&lt;&gt;"",IF(_xlpm._custom&lt;&gt;"",_xlpm._custom,_xlpm._default),""))</f>
        <v>2.6457999999999999</v>
      </c>
      <c r="R553" s="24">
        <v>2.6457999999999999</v>
      </c>
      <c r="S553" s="16"/>
      <c r="T553" s="19" t="str">
        <f>IF(U553&lt;&gt;"", U553+0&amp;","&amp;V553+0,"")</f>
        <v>0,0</v>
      </c>
      <c r="U553" s="24">
        <v>0</v>
      </c>
      <c r="V553" s="24">
        <v>0</v>
      </c>
      <c r="W553" s="9">
        <v>0</v>
      </c>
      <c r="X553" s="9">
        <v>11</v>
      </c>
      <c r="Y553" s="19" t="str">
        <f>IF($A553&lt;&gt;"",IF($Z553&lt;&gt;"",$Z553,"0,0"),"")</f>
        <v>0,0</v>
      </c>
      <c r="Z553" s="41"/>
      <c r="AA553" s="19" t="str">
        <f>IF($A553&lt;&gt;"",IF($AB553&lt;&gt;"",$AB553,"80,120"),"")</f>
        <v>100,100</v>
      </c>
      <c r="AB553" s="41" t="s">
        <v>343</v>
      </c>
      <c r="AC553" s="16"/>
      <c r="AD553" s="16"/>
      <c r="AE553" s="16"/>
      <c r="AF553" s="9">
        <v>33</v>
      </c>
      <c r="AG553" s="9">
        <v>40</v>
      </c>
      <c r="AI553" s="69" cm="1">
        <f t="array" ref="AI553">tuple_avg(T553)/tuple_avg(AA553)</f>
        <v>0</v>
      </c>
      <c r="AK553" s="69">
        <f>AD553*AI553*'-配置辅助'!$I$10</f>
        <v>0</v>
      </c>
      <c r="AM553" s="69">
        <f>AK553*_xlfn.XLOOKUP(H553,monsters[怪物id],monsters[HP],-1)</f>
        <v>0</v>
      </c>
    </row>
    <row r="556" spans="1:41" s="40" customFormat="1" x14ac:dyDescent="0.2">
      <c r="A556" s="43"/>
      <c r="B556" s="43"/>
      <c r="C556" s="44"/>
      <c r="D556" s="45"/>
      <c r="E556" s="45"/>
      <c r="F556" s="45"/>
      <c r="G556" s="45"/>
      <c r="H556" s="43" t="s">
        <v>353</v>
      </c>
      <c r="I556" s="46"/>
      <c r="J556" s="46"/>
      <c r="O556" s="47"/>
      <c r="P556" s="47"/>
      <c r="R556" s="47"/>
      <c r="S556" s="40" t="s">
        <v>62</v>
      </c>
      <c r="U556" s="47"/>
      <c r="V556" s="47"/>
      <c r="Z556" s="47"/>
      <c r="AB556" s="47"/>
      <c r="AC556" s="40" t="s">
        <v>62</v>
      </c>
      <c r="AI556" s="75"/>
      <c r="AJ556" s="75"/>
      <c r="AK556" s="75">
        <f>SUM(AK558:AK563)</f>
        <v>96</v>
      </c>
      <c r="AL556" s="75"/>
      <c r="AM556" s="75">
        <f>SUM(AM558:AM563)</f>
        <v>1824</v>
      </c>
      <c r="AN556" s="75"/>
      <c r="AO556" s="75"/>
    </row>
    <row r="558" spans="1:41" x14ac:dyDescent="0.2">
      <c r="A558" s="9">
        <v>42080002</v>
      </c>
      <c r="B558" s="9" t="str" cm="1">
        <f t="array" ref="B558">D558&amp;_xlfn.TEXTJOIN("",1,TEXT(E558:G558,"00"))</f>
        <v>1000000</v>
      </c>
      <c r="C558" s="30" t="str">
        <f t="shared" ref="C558:C563" si="292">_xlfn.TEXTJOIN(",",1,A558:B558)</f>
        <v>42080002,1000000</v>
      </c>
      <c r="D558" s="26">
        <v>1</v>
      </c>
      <c r="E558" s="26">
        <v>0</v>
      </c>
      <c r="F558" s="26">
        <f t="shared" ref="F558:F563" si="293">W558</f>
        <v>0</v>
      </c>
      <c r="G558" s="26">
        <v>0</v>
      </c>
      <c r="H558" s="9">
        <v>201801</v>
      </c>
      <c r="I558" s="15" t="str">
        <f>IFERROR(VLOOKUP(H558,monsters[#All],4,0),"")</f>
        <v>金鱼</v>
      </c>
      <c r="J558" s="15" t="str" cm="1">
        <f t="array" ref="J558">_xlfn.LET(_xlpm.v6p,ABS(ATAN2(O558,P558))*6/PI(),
_xlpm.output,_xlfn.IFS(_xlpm.v6p&lt;1,"正前",_xlpm.v6p&gt;5,"正后",AND(_xlpm.v6p&lt;5,_xlpm.v6p&gt;2,P558&lt;-1),"脚底",_xlpm.v6p&gt;4,"后上",_xlpm.v6p&lt;2,"前上",TRUE,"顶部"),
IFERROR(_xlpm.output,""))</f>
        <v>正后</v>
      </c>
      <c r="K558" s="12"/>
      <c r="L558" s="12" t="s">
        <v>63</v>
      </c>
      <c r="M558" s="12" t="s">
        <v>63</v>
      </c>
      <c r="N558" s="19" t="str">
        <f t="shared" ref="N558:N563" si="294">O558+0&amp;","&amp;P558+0</f>
        <v>-20,5</v>
      </c>
      <c r="O558" s="24">
        <v>-20</v>
      </c>
      <c r="P558" s="24">
        <v>5</v>
      </c>
      <c r="Q558" s="19">
        <f t="shared" ref="Q558:Q563" si="295">_xlfn.LET(_xlpm._default,1,
_xlpm._custom,R558,
IF($A558&lt;&gt;"",IF(_xlpm._custom&lt;&gt;"",_xlpm._custom,_xlpm._default),""))</f>
        <v>1</v>
      </c>
      <c r="R558" s="24">
        <v>1</v>
      </c>
      <c r="S558" s="9">
        <v>8</v>
      </c>
      <c r="T558" s="19" t="str">
        <f t="shared" ref="T558:T563" si="296">IF(U558&lt;&gt;"", U558+0&amp;","&amp;V558+0,"")</f>
        <v>1,1</v>
      </c>
      <c r="U558" s="24">
        <v>1</v>
      </c>
      <c r="V558" s="24">
        <v>1</v>
      </c>
      <c r="W558" s="9">
        <v>0</v>
      </c>
      <c r="X558" s="9">
        <v>11</v>
      </c>
      <c r="Y558" s="19" t="str">
        <f t="shared" ref="Y558:Y563" si="297">IF($A558&lt;&gt;"",IF($Z558&lt;&gt;"",$Z558,"0,0"),"")</f>
        <v>0,0</v>
      </c>
      <c r="Z558" s="41"/>
      <c r="AA558" s="19" t="str">
        <f t="shared" ref="AA558:AA563" si="298">IF($A558&lt;&gt;"",IF($AB558&lt;&gt;"",$AB558,"80,120"),"")</f>
        <v>80,120</v>
      </c>
      <c r="AB558" s="41"/>
      <c r="AC558" s="9" cm="1">
        <f t="array" ref="AC558:AD563">_xlfn.LET(_xlpm._lvl,MOD($A558,10),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_xlpm._seq,G558:G563,
_xlfn.MAKEARRAY(ROWS(_xlpm._seq),2,_xlfn.LAMBDA(_xlpm.x,_xlpm.y,IF(_xlpm.y=1,-_xlpm._generate_rate/_xlpm._v_begin*(_xlpm._v_begin/_xlpm._v_max)^(INDEX(_xlpm._seq,_xlpm.x)/MAX(_xlpm._seq)),_xlpm._generate_rate))
))</f>
        <v>-30</v>
      </c>
      <c r="AD558" s="9">
        <v>96</v>
      </c>
      <c r="AE558" s="16"/>
      <c r="AF558" s="16"/>
      <c r="AG558" s="16"/>
      <c r="AI558" s="69" cm="1">
        <f t="array" ref="AI558">tuple_avg(T558)/tuple_avg(AA558)</f>
        <v>0.01</v>
      </c>
      <c r="AK558" s="69">
        <f>AD558*AI558*'-配置辅助'!$I$10</f>
        <v>16</v>
      </c>
      <c r="AM558" s="69">
        <f>AK558*_xlfn.XLOOKUP(H558,monsters[怪物id],monsters[HP],-1)</f>
        <v>304</v>
      </c>
    </row>
    <row r="559" spans="1:41" x14ac:dyDescent="0.2">
      <c r="A559" s="9">
        <v>42080002</v>
      </c>
      <c r="B559" s="9" t="str" cm="1">
        <f t="array" ref="B559">D559&amp;_xlfn.TEXTJOIN("",1,TEXT(E559:G559,"00"))</f>
        <v>1000001</v>
      </c>
      <c r="C559" s="30" t="str">
        <f t="shared" si="292"/>
        <v>42080002,1000001</v>
      </c>
      <c r="D559" s="26">
        <v>1</v>
      </c>
      <c r="E559" s="76">
        <v>0</v>
      </c>
      <c r="F559" s="26">
        <f t="shared" si="293"/>
        <v>0</v>
      </c>
      <c r="G559" s="26">
        <v>1</v>
      </c>
      <c r="H559" s="9">
        <v>201801</v>
      </c>
      <c r="I559" s="15" t="str">
        <f>IFERROR(VLOOKUP(H559,monsters[#All],4,0),"")</f>
        <v>金鱼</v>
      </c>
      <c r="J559" s="15" t="str" cm="1">
        <f t="array" ref="J559">_xlfn.LET(_xlpm.v6p,ABS(ATAN2(O559,P559))*6/PI(),
_xlpm.output,_xlfn.IFS(_xlpm.v6p&lt;1,"正前",_xlpm.v6p&gt;5,"正后",AND(_xlpm.v6p&lt;5,_xlpm.v6p&gt;2,P559&lt;-1),"脚底",_xlpm.v6p&gt;4,"后上",_xlpm.v6p&lt;2,"前上",TRUE,"顶部"),
IFERROR(_xlpm.output,""))</f>
        <v>正后</v>
      </c>
      <c r="K559" s="12"/>
      <c r="L559" s="12" t="s">
        <v>63</v>
      </c>
      <c r="M559" s="12" t="s">
        <v>63</v>
      </c>
      <c r="N559" s="19" t="str">
        <f t="shared" si="294"/>
        <v>-20,5</v>
      </c>
      <c r="O559" s="24">
        <v>-20</v>
      </c>
      <c r="P559" s="24">
        <v>5</v>
      </c>
      <c r="Q559" s="19">
        <f t="shared" si="295"/>
        <v>1.7321</v>
      </c>
      <c r="R559" s="24">
        <v>1.7321</v>
      </c>
      <c r="S559" s="9">
        <v>8</v>
      </c>
      <c r="T559" s="19" t="str">
        <f t="shared" si="296"/>
        <v>1,1</v>
      </c>
      <c r="U559" s="24">
        <v>1</v>
      </c>
      <c r="V559" s="24">
        <v>1</v>
      </c>
      <c r="W559" s="9">
        <v>0</v>
      </c>
      <c r="X559" s="9">
        <v>11</v>
      </c>
      <c r="Y559" s="19" t="str">
        <f t="shared" si="297"/>
        <v>-305,-300</v>
      </c>
      <c r="Z559" s="42" t="s">
        <v>269</v>
      </c>
      <c r="AA559" s="19" t="str">
        <f t="shared" si="298"/>
        <v>80,120</v>
      </c>
      <c r="AB559" s="41"/>
      <c r="AC559" s="9">
        <v>-37.857440668811591</v>
      </c>
      <c r="AD559" s="9">
        <v>96</v>
      </c>
      <c r="AE559" s="16"/>
      <c r="AF559" s="16"/>
      <c r="AG559" s="16"/>
      <c r="AI559" s="69" cm="1">
        <f t="array" ref="AI559">tuple_avg(T559)/tuple_avg(AA559)</f>
        <v>0.01</v>
      </c>
      <c r="AK559" s="69">
        <f>AD559*AI559*'-配置辅助'!$I$10</f>
        <v>16</v>
      </c>
      <c r="AM559" s="69">
        <f>AK559*_xlfn.XLOOKUP(H559,monsters[怪物id],monsters[HP],-1)</f>
        <v>304</v>
      </c>
    </row>
    <row r="560" spans="1:41" x14ac:dyDescent="0.2">
      <c r="A560" s="9">
        <v>42080002</v>
      </c>
      <c r="B560" s="9" t="str" cm="1">
        <f t="array" ref="B560">D560&amp;_xlfn.TEXTJOIN("",1,TEXT(E560:G560,"00"))</f>
        <v>1000002</v>
      </c>
      <c r="C560" s="30" t="str">
        <f t="shared" si="292"/>
        <v>42080002,1000002</v>
      </c>
      <c r="D560" s="26">
        <v>1</v>
      </c>
      <c r="E560" s="26">
        <v>0</v>
      </c>
      <c r="F560" s="26">
        <f t="shared" si="293"/>
        <v>0</v>
      </c>
      <c r="G560" s="26">
        <v>2</v>
      </c>
      <c r="H560" s="9">
        <v>201801</v>
      </c>
      <c r="I560" s="15" t="str">
        <f>IFERROR(VLOOKUP(H560,monsters[#All],4,0),"")</f>
        <v>金鱼</v>
      </c>
      <c r="J560" s="15" t="str" cm="1">
        <f t="array" ref="J560">_xlfn.LET(_xlpm.v6p,ABS(ATAN2(O560,P560))*6/PI(),
_xlpm.output,_xlfn.IFS(_xlpm.v6p&lt;1,"正前",_xlpm.v6p&gt;5,"正后",AND(_xlpm.v6p&lt;5,_xlpm.v6p&gt;2,P560&lt;-1),"脚底",_xlpm.v6p&gt;4,"后上",_xlpm.v6p&lt;2,"前上",TRUE,"顶部"),
IFERROR(_xlpm.output,""))</f>
        <v>正后</v>
      </c>
      <c r="K560" s="12"/>
      <c r="L560" s="12" t="s">
        <v>63</v>
      </c>
      <c r="M560" s="12" t="s">
        <v>63</v>
      </c>
      <c r="N560" s="19" t="str">
        <f t="shared" si="294"/>
        <v>-20,5</v>
      </c>
      <c r="O560" s="24">
        <v>-20</v>
      </c>
      <c r="P560" s="24">
        <v>5</v>
      </c>
      <c r="Q560" s="19">
        <f t="shared" si="295"/>
        <v>2.2361</v>
      </c>
      <c r="R560" s="24">
        <v>2.2361</v>
      </c>
      <c r="S560" s="9">
        <v>7</v>
      </c>
      <c r="T560" s="19" t="str">
        <f t="shared" si="296"/>
        <v>1,1</v>
      </c>
      <c r="U560" s="24">
        <v>1</v>
      </c>
      <c r="V560" s="24">
        <v>1</v>
      </c>
      <c r="W560" s="9">
        <v>0</v>
      </c>
      <c r="X560" s="9">
        <v>11</v>
      </c>
      <c r="Y560" s="19" t="str">
        <f t="shared" si="297"/>
        <v>-705,-700</v>
      </c>
      <c r="Z560" s="42" t="s">
        <v>134</v>
      </c>
      <c r="AA560" s="19" t="str">
        <f t="shared" si="298"/>
        <v>80,120</v>
      </c>
      <c r="AB560" s="41"/>
      <c r="AC560" s="9">
        <v>-47.772860466419672</v>
      </c>
      <c r="AD560" s="9">
        <v>96</v>
      </c>
      <c r="AE560" s="16"/>
      <c r="AF560" s="16"/>
      <c r="AG560" s="16"/>
      <c r="AI560" s="69" cm="1">
        <f t="array" ref="AI560">tuple_avg(T560)/tuple_avg(AA560)</f>
        <v>0.01</v>
      </c>
      <c r="AK560" s="69">
        <f>AD560*AI560*'-配置辅助'!$I$10</f>
        <v>16</v>
      </c>
      <c r="AM560" s="69">
        <f>AK560*_xlfn.XLOOKUP(H560,monsters[怪物id],monsters[HP],-1)</f>
        <v>304</v>
      </c>
    </row>
    <row r="561" spans="1:39" x14ac:dyDescent="0.2">
      <c r="A561" s="9">
        <v>42080002</v>
      </c>
      <c r="B561" s="9" t="str" cm="1">
        <f t="array" ref="B561">D561&amp;_xlfn.TEXTJOIN("",1,TEXT(E561:G561,"00"))</f>
        <v>1000003</v>
      </c>
      <c r="C561" s="30" t="str">
        <f t="shared" si="292"/>
        <v>42080002,1000003</v>
      </c>
      <c r="D561" s="26">
        <v>1</v>
      </c>
      <c r="E561" s="26">
        <v>0</v>
      </c>
      <c r="F561" s="26">
        <f t="shared" si="293"/>
        <v>0</v>
      </c>
      <c r="G561" s="26">
        <v>3</v>
      </c>
      <c r="H561" s="9">
        <v>201801</v>
      </c>
      <c r="I561" s="15" t="str">
        <f>IFERROR(VLOOKUP(H561,monsters[#All],4,0),"")</f>
        <v>金鱼</v>
      </c>
      <c r="J561" s="15" t="str" cm="1">
        <f t="array" ref="J561">_xlfn.LET(_xlpm.v6p,ABS(ATAN2(O561,P561))*6/PI(),
_xlpm.output,_xlfn.IFS(_xlpm.v6p&lt;1,"正前",_xlpm.v6p&gt;5,"正后",AND(_xlpm.v6p&lt;5,_xlpm.v6p&gt;2,P561&lt;-1),"脚底",_xlpm.v6p&gt;4,"后上",_xlpm.v6p&lt;2,"前上",TRUE,"顶部"),
IFERROR(_xlpm.output,""))</f>
        <v>正后</v>
      </c>
      <c r="K561" s="12"/>
      <c r="L561" s="12" t="s">
        <v>63</v>
      </c>
      <c r="M561" s="12" t="s">
        <v>63</v>
      </c>
      <c r="N561" s="19" t="str">
        <f t="shared" si="294"/>
        <v>-20,5</v>
      </c>
      <c r="O561" s="24">
        <v>-20</v>
      </c>
      <c r="P561" s="24">
        <v>5</v>
      </c>
      <c r="Q561" s="19">
        <f t="shared" si="295"/>
        <v>2.6457999999999999</v>
      </c>
      <c r="R561" s="24">
        <v>2.6457999999999999</v>
      </c>
      <c r="S561" s="9">
        <v>6</v>
      </c>
      <c r="T561" s="19" t="str">
        <f t="shared" si="296"/>
        <v>1,1</v>
      </c>
      <c r="U561" s="24">
        <v>1</v>
      </c>
      <c r="V561" s="24">
        <v>1</v>
      </c>
      <c r="W561" s="9">
        <v>0</v>
      </c>
      <c r="X561" s="9">
        <v>11</v>
      </c>
      <c r="Y561" s="19" t="str">
        <f t="shared" si="297"/>
        <v>-1205,-1200</v>
      </c>
      <c r="Z561" s="42" t="s">
        <v>344</v>
      </c>
      <c r="AA561" s="19" t="str">
        <f t="shared" si="298"/>
        <v>80,120</v>
      </c>
      <c r="AB561" s="41"/>
      <c r="AC561" s="9">
        <v>-60.28527435622992</v>
      </c>
      <c r="AD561" s="9">
        <v>96</v>
      </c>
      <c r="AE561" s="16"/>
      <c r="AF561" s="16"/>
      <c r="AG561" s="16"/>
      <c r="AI561" s="69" cm="1">
        <f t="array" ref="AI561">tuple_avg(T561)/tuple_avg(AA561)</f>
        <v>0.01</v>
      </c>
      <c r="AK561" s="69">
        <f>AD561*AI561*'-配置辅助'!$I$10</f>
        <v>16</v>
      </c>
      <c r="AM561" s="69">
        <f>AK561*_xlfn.XLOOKUP(H561,monsters[怪物id],monsters[HP],-1)</f>
        <v>304</v>
      </c>
    </row>
    <row r="562" spans="1:39" x14ac:dyDescent="0.2">
      <c r="A562" s="9">
        <v>42080002</v>
      </c>
      <c r="B562" s="9" t="str" cm="1">
        <f t="array" ref="B562">D562&amp;_xlfn.TEXTJOIN("",1,TEXT(E562:G562,"00"))</f>
        <v>1000004</v>
      </c>
      <c r="C562" s="30" t="str">
        <f t="shared" si="292"/>
        <v>42080002,1000004</v>
      </c>
      <c r="D562" s="26">
        <v>1</v>
      </c>
      <c r="E562" s="26">
        <v>0</v>
      </c>
      <c r="F562" s="26">
        <f t="shared" si="293"/>
        <v>0</v>
      </c>
      <c r="G562" s="26">
        <v>4</v>
      </c>
      <c r="H562" s="9">
        <v>201801</v>
      </c>
      <c r="I562" s="15" t="str">
        <f>IFERROR(VLOOKUP(H562,monsters[#All],4,0),"")</f>
        <v>金鱼</v>
      </c>
      <c r="J562" s="15" t="str" cm="1">
        <f t="array" ref="J562">_xlfn.LET(_xlpm.v6p,ABS(ATAN2(O562,P562))*6/PI(),
_xlpm.output,_xlfn.IFS(_xlpm.v6p&lt;1,"正前",_xlpm.v6p&gt;5,"正后",AND(_xlpm.v6p&lt;5,_xlpm.v6p&gt;2,P562&lt;-1),"脚底",_xlpm.v6p&gt;4,"后上",_xlpm.v6p&lt;2,"前上",TRUE,"顶部"),
IFERROR(_xlpm.output,""))</f>
        <v>正后</v>
      </c>
      <c r="K562" s="12"/>
      <c r="L562" s="12" t="s">
        <v>63</v>
      </c>
      <c r="M562" s="12" t="s">
        <v>63</v>
      </c>
      <c r="N562" s="19" t="str">
        <f t="shared" si="294"/>
        <v>-20,5</v>
      </c>
      <c r="O562" s="24">
        <v>-20</v>
      </c>
      <c r="P562" s="24">
        <v>5</v>
      </c>
      <c r="Q562" s="19">
        <f t="shared" si="295"/>
        <v>2.6457999999999999</v>
      </c>
      <c r="R562" s="24">
        <v>2.6457999999999999</v>
      </c>
      <c r="S562" s="9">
        <v>5</v>
      </c>
      <c r="T562" s="19" t="str">
        <f t="shared" si="296"/>
        <v>1,1</v>
      </c>
      <c r="U562" s="24">
        <v>1</v>
      </c>
      <c r="V562" s="24">
        <v>1</v>
      </c>
      <c r="W562" s="9">
        <v>0</v>
      </c>
      <c r="X562" s="9">
        <v>11</v>
      </c>
      <c r="Y562" s="19" t="str">
        <f t="shared" si="297"/>
        <v>-1805,-1800</v>
      </c>
      <c r="Z562" s="42" t="s">
        <v>345</v>
      </c>
      <c r="AA562" s="19" t="str">
        <f t="shared" si="298"/>
        <v>80,120</v>
      </c>
      <c r="AB562" s="41"/>
      <c r="AC562" s="9">
        <v>-76.074873238133449</v>
      </c>
      <c r="AD562" s="9">
        <v>96</v>
      </c>
      <c r="AE562" s="16"/>
      <c r="AF562" s="16"/>
      <c r="AG562" s="16"/>
      <c r="AI562" s="69" cm="1">
        <f t="array" ref="AI562">tuple_avg(T562)/tuple_avg(AA562)</f>
        <v>0.01</v>
      </c>
      <c r="AK562" s="69">
        <f>AD562*AI562*'-配置辅助'!$I$10</f>
        <v>16</v>
      </c>
      <c r="AM562" s="69">
        <f>AK562*_xlfn.XLOOKUP(H562,monsters[怪物id],monsters[HP],-1)</f>
        <v>304</v>
      </c>
    </row>
    <row r="563" spans="1:39" x14ac:dyDescent="0.2">
      <c r="A563" s="9">
        <v>42080002</v>
      </c>
      <c r="B563" s="9" t="str" cm="1">
        <f t="array" ref="B563">D563&amp;_xlfn.TEXTJOIN("",1,TEXT(E563:G563,"00"))</f>
        <v>1000005</v>
      </c>
      <c r="C563" s="30" t="str">
        <f t="shared" si="292"/>
        <v>42080002,1000005</v>
      </c>
      <c r="D563" s="26">
        <v>1</v>
      </c>
      <c r="E563" s="26">
        <v>0</v>
      </c>
      <c r="F563" s="26">
        <f t="shared" si="293"/>
        <v>0</v>
      </c>
      <c r="G563" s="26">
        <v>5</v>
      </c>
      <c r="H563" s="9">
        <v>201801</v>
      </c>
      <c r="I563" s="15" t="str">
        <f>IFERROR(VLOOKUP(H563,monsters[#All],4,0),"")</f>
        <v>金鱼</v>
      </c>
      <c r="J563" s="15" t="str" cm="1">
        <f t="array" ref="J563">_xlfn.LET(_xlpm.v6p,ABS(ATAN2(O563,P563))*6/PI(),
_xlpm.output,_xlfn.IFS(_xlpm.v6p&lt;1,"正前",_xlpm.v6p&gt;5,"正后",AND(_xlpm.v6p&lt;5,_xlpm.v6p&gt;2,P563&lt;-1),"脚底",_xlpm.v6p&gt;4,"后上",_xlpm.v6p&lt;2,"前上",TRUE,"顶部"),
IFERROR(_xlpm.output,""))</f>
        <v>正后</v>
      </c>
      <c r="K563" s="12"/>
      <c r="L563" s="12" t="s">
        <v>63</v>
      </c>
      <c r="M563" s="12" t="s">
        <v>63</v>
      </c>
      <c r="N563" s="19" t="str">
        <f t="shared" si="294"/>
        <v>-20,5</v>
      </c>
      <c r="O563" s="24">
        <v>-20</v>
      </c>
      <c r="P563" s="24">
        <v>5</v>
      </c>
      <c r="Q563" s="19">
        <f t="shared" si="295"/>
        <v>2.6457999999999999</v>
      </c>
      <c r="R563" s="24">
        <v>2.6457999999999999</v>
      </c>
      <c r="S563" s="9">
        <v>5</v>
      </c>
      <c r="T563" s="19" t="str">
        <f t="shared" si="296"/>
        <v>1,1</v>
      </c>
      <c r="U563" s="24">
        <v>1</v>
      </c>
      <c r="V563" s="24">
        <v>1</v>
      </c>
      <c r="W563" s="9">
        <v>0</v>
      </c>
      <c r="X563" s="9">
        <v>11</v>
      </c>
      <c r="Y563" s="19" t="str">
        <f t="shared" si="297"/>
        <v>-2505,-2500</v>
      </c>
      <c r="Z563" s="42" t="s">
        <v>346</v>
      </c>
      <c r="AA563" s="19" t="str">
        <f t="shared" si="298"/>
        <v>80,120</v>
      </c>
      <c r="AB563" s="41"/>
      <c r="AC563" s="9">
        <v>-96</v>
      </c>
      <c r="AD563" s="9">
        <v>96</v>
      </c>
      <c r="AE563" s="16"/>
      <c r="AF563" s="16"/>
      <c r="AG563" s="16"/>
      <c r="AI563" s="69" cm="1">
        <f t="array" ref="AI563">tuple_avg(T563)/tuple_avg(AA563)</f>
        <v>0.01</v>
      </c>
      <c r="AK563" s="69">
        <f>AD563*AI563*'-配置辅助'!$I$10</f>
        <v>16</v>
      </c>
      <c r="AM563" s="69">
        <f>AK563*_xlfn.XLOOKUP(H563,monsters[怪物id],monsters[HP],-1)</f>
        <v>304</v>
      </c>
    </row>
    <row r="565" spans="1:39" x14ac:dyDescent="0.2">
      <c r="A565" s="9">
        <v>42080002</v>
      </c>
      <c r="B565" s="9" t="str" cm="1">
        <f t="array" ref="B565">D565&amp;_xlfn.TEXTJOIN("",1,TEXT(E565:G565,"00"))</f>
        <v>2000000</v>
      </c>
      <c r="C565" s="30" t="str">
        <f t="shared" ref="C565:C570" si="299">_xlfn.TEXTJOIN(",",1,A565:B565)</f>
        <v>42080002,2000000</v>
      </c>
      <c r="D565" s="26">
        <v>2</v>
      </c>
      <c r="E565" s="26">
        <v>0</v>
      </c>
      <c r="F565" s="26">
        <f t="shared" ref="F565:F570" si="300">W565</f>
        <v>0</v>
      </c>
      <c r="G565" s="26">
        <v>0</v>
      </c>
      <c r="H565" s="9">
        <v>201803</v>
      </c>
      <c r="I565" s="15" t="str">
        <f>IFERROR(VLOOKUP(H565,monsters[#All],4,0),"")</f>
        <v>海藻小妖</v>
      </c>
      <c r="J565" s="15" t="str" cm="1">
        <f t="array" ref="J565">_xlfn.LET(_xlpm.v6p,ABS(ATAN2(O565,P565))*6/PI(),
_xlpm.output,_xlfn.IFS(_xlpm.v6p&lt;1,"正前",_xlpm.v6p&gt;5,"正后",AND(_xlpm.v6p&lt;5,_xlpm.v6p&gt;2,P565&lt;-1),"脚底",_xlpm.v6p&gt;4,"后上",_xlpm.v6p&lt;2,"前上",TRUE,"顶部"),
IFERROR(_xlpm.output,""))</f>
        <v>正后</v>
      </c>
      <c r="K565" s="12"/>
      <c r="L565" s="12" t="s">
        <v>63</v>
      </c>
      <c r="M565" s="12" t="s">
        <v>63</v>
      </c>
      <c r="N565" s="19" t="str">
        <f t="shared" ref="N565:N570" si="301">O565+0&amp;","&amp;P565+0</f>
        <v>-20,5</v>
      </c>
      <c r="O565" s="24">
        <v>-20</v>
      </c>
      <c r="P565" s="24">
        <v>5</v>
      </c>
      <c r="Q565" s="19">
        <f t="shared" ref="Q565:Q570" si="302">_xlfn.LET(_xlpm._default,1,
_xlpm._custom,R565,
IF($A565&lt;&gt;"",IF(_xlpm._custom&lt;&gt;"",_xlpm._custom,_xlpm._default),""))</f>
        <v>1</v>
      </c>
      <c r="R565" s="24">
        <v>1</v>
      </c>
      <c r="S565" s="9">
        <v>8</v>
      </c>
      <c r="T565" s="19" t="str">
        <f t="shared" ref="T565:T570" si="303">IF(U565&lt;&gt;"", U565+0&amp;","&amp;V565+0,"")</f>
        <v>1,1</v>
      </c>
      <c r="U565" s="24">
        <v>1</v>
      </c>
      <c r="V565" s="24">
        <v>1</v>
      </c>
      <c r="W565" s="9">
        <v>0</v>
      </c>
      <c r="X565" s="9">
        <v>11</v>
      </c>
      <c r="Y565" s="19" t="str">
        <f t="shared" ref="Y565:Y584" si="304">IF($A565&lt;&gt;"",IF($Z565&lt;&gt;"",$Z565,"0,0"),"")</f>
        <v>0,0</v>
      </c>
      <c r="Z565" s="41"/>
      <c r="AA565" s="19" t="str">
        <f t="shared" ref="AA565:AA584" si="305">IF($A565&lt;&gt;"",IF($AB565&lt;&gt;"",$AB565,"80,120"),"")</f>
        <v>80,120</v>
      </c>
      <c r="AB565" s="41"/>
      <c r="AC565" s="9" cm="1">
        <f t="array" ref="AC565:AD570">_xlfn.LET(_xlpm._lvl,MOD($A565,10),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_xlpm._seq,G565:G570,
_xlfn.MAKEARRAY(ROWS(_xlpm._seq),2,_xlfn.LAMBDA(_xlpm.x,_xlpm.y,IF(_xlpm.y=1,-_xlpm._generate_rate/_xlpm._v_begin*(_xlpm._v_begin/_xlpm._v_max)^(INDEX(_xlpm._seq,_xlpm.x)/MAX(_xlpm._seq)),_xlpm._generate_rate))
))</f>
        <v>-30</v>
      </c>
      <c r="AD565" s="9">
        <v>96</v>
      </c>
      <c r="AE565" s="16"/>
      <c r="AF565" s="16"/>
      <c r="AG565" s="16"/>
      <c r="AI565" s="69" cm="1">
        <f t="array" ref="AI565">tuple_avg(T565)/tuple_avg(AA565)</f>
        <v>0.01</v>
      </c>
      <c r="AK565" s="69">
        <f>AD565*AI565*'-配置辅助'!$I$10</f>
        <v>16</v>
      </c>
      <c r="AM565" s="69">
        <f>AK565*_xlfn.XLOOKUP(H565,monsters[怪物id],monsters[HP],-1)</f>
        <v>384</v>
      </c>
    </row>
    <row r="566" spans="1:39" x14ac:dyDescent="0.2">
      <c r="A566" s="9">
        <v>42080002</v>
      </c>
      <c r="B566" s="9" t="str" cm="1">
        <f t="array" ref="B566">D566&amp;_xlfn.TEXTJOIN("",1,TEXT(E566:G566,"00"))</f>
        <v>2000001</v>
      </c>
      <c r="C566" s="30" t="str">
        <f t="shared" si="299"/>
        <v>42080002,2000001</v>
      </c>
      <c r="D566" s="26">
        <v>2</v>
      </c>
      <c r="E566" s="76">
        <v>0</v>
      </c>
      <c r="F566" s="26">
        <f t="shared" si="300"/>
        <v>0</v>
      </c>
      <c r="G566" s="26">
        <v>1</v>
      </c>
      <c r="H566" s="9">
        <v>201803</v>
      </c>
      <c r="I566" s="15" t="str">
        <f>IFERROR(VLOOKUP(H566,monsters[#All],4,0),"")</f>
        <v>海藻小妖</v>
      </c>
      <c r="J566" s="15" t="str" cm="1">
        <f t="array" ref="J566">_xlfn.LET(_xlpm.v6p,ABS(ATAN2(O566,P566))*6/PI(),
_xlpm.output,_xlfn.IFS(_xlpm.v6p&lt;1,"正前",_xlpm.v6p&gt;5,"正后",AND(_xlpm.v6p&lt;5,_xlpm.v6p&gt;2,P566&lt;-1),"脚底",_xlpm.v6p&gt;4,"后上",_xlpm.v6p&lt;2,"前上",TRUE,"顶部"),
IFERROR(_xlpm.output,""))</f>
        <v>正后</v>
      </c>
      <c r="K566" s="12"/>
      <c r="L566" s="12" t="s">
        <v>63</v>
      </c>
      <c r="M566" s="12" t="s">
        <v>63</v>
      </c>
      <c r="N566" s="19" t="str">
        <f t="shared" si="301"/>
        <v>-20,5</v>
      </c>
      <c r="O566" s="24">
        <v>-20</v>
      </c>
      <c r="P566" s="24">
        <v>5</v>
      </c>
      <c r="Q566" s="19">
        <f t="shared" si="302"/>
        <v>1.7321</v>
      </c>
      <c r="R566" s="24">
        <v>1.7321</v>
      </c>
      <c r="S566" s="9">
        <v>8</v>
      </c>
      <c r="T566" s="19" t="str">
        <f t="shared" si="303"/>
        <v>1,1</v>
      </c>
      <c r="U566" s="24">
        <v>1</v>
      </c>
      <c r="V566" s="24">
        <v>1</v>
      </c>
      <c r="W566" s="9">
        <v>0</v>
      </c>
      <c r="X566" s="9">
        <v>11</v>
      </c>
      <c r="Y566" s="19" t="str">
        <f t="shared" si="304"/>
        <v>-305,-300</v>
      </c>
      <c r="Z566" s="42" t="s">
        <v>269</v>
      </c>
      <c r="AA566" s="19" t="str">
        <f t="shared" si="305"/>
        <v>80,120</v>
      </c>
      <c r="AB566" s="41"/>
      <c r="AC566" s="9">
        <v>-37.857440668811591</v>
      </c>
      <c r="AD566" s="9">
        <v>96</v>
      </c>
      <c r="AE566" s="16"/>
      <c r="AF566" s="16"/>
      <c r="AG566" s="16"/>
      <c r="AI566" s="69" cm="1">
        <f t="array" ref="AI566">tuple_avg(T566)/tuple_avg(AA566)</f>
        <v>0.01</v>
      </c>
      <c r="AK566" s="69">
        <f>AD566*AI566*'-配置辅助'!$I$10</f>
        <v>16</v>
      </c>
      <c r="AM566" s="69">
        <f>AK566*_xlfn.XLOOKUP(H566,monsters[怪物id],monsters[HP],-1)</f>
        <v>384</v>
      </c>
    </row>
    <row r="567" spans="1:39" x14ac:dyDescent="0.2">
      <c r="A567" s="9">
        <v>42080002</v>
      </c>
      <c r="B567" s="9" t="str" cm="1">
        <f t="array" ref="B567">D567&amp;_xlfn.TEXTJOIN("",1,TEXT(E567:G567,"00"))</f>
        <v>2000002</v>
      </c>
      <c r="C567" s="30" t="str">
        <f t="shared" si="299"/>
        <v>42080002,2000002</v>
      </c>
      <c r="D567" s="26">
        <v>2</v>
      </c>
      <c r="E567" s="26">
        <v>0</v>
      </c>
      <c r="F567" s="26">
        <f t="shared" si="300"/>
        <v>0</v>
      </c>
      <c r="G567" s="26">
        <v>2</v>
      </c>
      <c r="H567" s="9">
        <v>201803</v>
      </c>
      <c r="I567" s="15" t="str">
        <f>IFERROR(VLOOKUP(H567,monsters[#All],4,0),"")</f>
        <v>海藻小妖</v>
      </c>
      <c r="J567" s="15" t="str" cm="1">
        <f t="array" ref="J567">_xlfn.LET(_xlpm.v6p,ABS(ATAN2(O567,P567))*6/PI(),
_xlpm.output,_xlfn.IFS(_xlpm.v6p&lt;1,"正前",_xlpm.v6p&gt;5,"正后",AND(_xlpm.v6p&lt;5,_xlpm.v6p&gt;2,P567&lt;-1),"脚底",_xlpm.v6p&gt;4,"后上",_xlpm.v6p&lt;2,"前上",TRUE,"顶部"),
IFERROR(_xlpm.output,""))</f>
        <v>正后</v>
      </c>
      <c r="K567" s="12"/>
      <c r="L567" s="12" t="s">
        <v>63</v>
      </c>
      <c r="M567" s="12" t="s">
        <v>63</v>
      </c>
      <c r="N567" s="19" t="str">
        <f t="shared" si="301"/>
        <v>-20,5</v>
      </c>
      <c r="O567" s="24">
        <v>-20</v>
      </c>
      <c r="P567" s="24">
        <v>5</v>
      </c>
      <c r="Q567" s="19">
        <f t="shared" si="302"/>
        <v>2.2361</v>
      </c>
      <c r="R567" s="24">
        <v>2.2361</v>
      </c>
      <c r="S567" s="9">
        <v>7</v>
      </c>
      <c r="T567" s="19" t="str">
        <f t="shared" si="303"/>
        <v>1,1</v>
      </c>
      <c r="U567" s="24">
        <v>1</v>
      </c>
      <c r="V567" s="24">
        <v>1</v>
      </c>
      <c r="W567" s="9">
        <v>0</v>
      </c>
      <c r="X567" s="9">
        <v>11</v>
      </c>
      <c r="Y567" s="19" t="str">
        <f t="shared" si="304"/>
        <v>-705,-700</v>
      </c>
      <c r="Z567" s="42" t="s">
        <v>134</v>
      </c>
      <c r="AA567" s="19" t="str">
        <f t="shared" si="305"/>
        <v>80,120</v>
      </c>
      <c r="AB567" s="41"/>
      <c r="AC567" s="9">
        <v>-47.772860466419672</v>
      </c>
      <c r="AD567" s="9">
        <v>96</v>
      </c>
      <c r="AE567" s="16"/>
      <c r="AF567" s="16"/>
      <c r="AG567" s="16"/>
      <c r="AI567" s="69" cm="1">
        <f t="array" ref="AI567">tuple_avg(T567)/tuple_avg(AA567)</f>
        <v>0.01</v>
      </c>
      <c r="AK567" s="69">
        <f>AD567*AI567*'-配置辅助'!$I$10</f>
        <v>16</v>
      </c>
      <c r="AM567" s="69">
        <f>AK567*_xlfn.XLOOKUP(H567,monsters[怪物id],monsters[HP],-1)</f>
        <v>384</v>
      </c>
    </row>
    <row r="568" spans="1:39" x14ac:dyDescent="0.2">
      <c r="A568" s="9">
        <v>42080002</v>
      </c>
      <c r="B568" s="9" t="str" cm="1">
        <f t="array" ref="B568">D568&amp;_xlfn.TEXTJOIN("",1,TEXT(E568:G568,"00"))</f>
        <v>2000003</v>
      </c>
      <c r="C568" s="30" t="str">
        <f t="shared" si="299"/>
        <v>42080002,2000003</v>
      </c>
      <c r="D568" s="26">
        <v>2</v>
      </c>
      <c r="E568" s="26">
        <v>0</v>
      </c>
      <c r="F568" s="26">
        <f t="shared" si="300"/>
        <v>0</v>
      </c>
      <c r="G568" s="26">
        <v>3</v>
      </c>
      <c r="H568" s="9">
        <v>201803</v>
      </c>
      <c r="I568" s="15" t="str">
        <f>IFERROR(VLOOKUP(H568,monsters[#All],4,0),"")</f>
        <v>海藻小妖</v>
      </c>
      <c r="J568" s="15" t="str" cm="1">
        <f t="array" ref="J568">_xlfn.LET(_xlpm.v6p,ABS(ATAN2(O568,P568))*6/PI(),
_xlpm.output,_xlfn.IFS(_xlpm.v6p&lt;1,"正前",_xlpm.v6p&gt;5,"正后",AND(_xlpm.v6p&lt;5,_xlpm.v6p&gt;2,P568&lt;-1),"脚底",_xlpm.v6p&gt;4,"后上",_xlpm.v6p&lt;2,"前上",TRUE,"顶部"),
IFERROR(_xlpm.output,""))</f>
        <v>正后</v>
      </c>
      <c r="K568" s="12"/>
      <c r="L568" s="12" t="s">
        <v>63</v>
      </c>
      <c r="M568" s="12" t="s">
        <v>63</v>
      </c>
      <c r="N568" s="19" t="str">
        <f t="shared" si="301"/>
        <v>-20,5</v>
      </c>
      <c r="O568" s="24">
        <v>-20</v>
      </c>
      <c r="P568" s="24">
        <v>5</v>
      </c>
      <c r="Q568" s="19">
        <f t="shared" si="302"/>
        <v>2.6457999999999999</v>
      </c>
      <c r="R568" s="24">
        <v>2.6457999999999999</v>
      </c>
      <c r="S568" s="9">
        <v>6</v>
      </c>
      <c r="T568" s="19" t="str">
        <f t="shared" si="303"/>
        <v>1,1</v>
      </c>
      <c r="U568" s="24">
        <v>1</v>
      </c>
      <c r="V568" s="24">
        <v>1</v>
      </c>
      <c r="W568" s="9">
        <v>0</v>
      </c>
      <c r="X568" s="9">
        <v>11</v>
      </c>
      <c r="Y568" s="19" t="str">
        <f t="shared" si="304"/>
        <v>-1205,-1200</v>
      </c>
      <c r="Z568" s="42" t="s">
        <v>344</v>
      </c>
      <c r="AA568" s="19" t="str">
        <f t="shared" si="305"/>
        <v>80,120</v>
      </c>
      <c r="AB568" s="41"/>
      <c r="AC568" s="9">
        <v>-60.28527435622992</v>
      </c>
      <c r="AD568" s="9">
        <v>96</v>
      </c>
      <c r="AE568" s="16"/>
      <c r="AF568" s="16"/>
      <c r="AG568" s="16"/>
      <c r="AI568" s="69" cm="1">
        <f t="array" ref="AI568">tuple_avg(T568)/tuple_avg(AA568)</f>
        <v>0.01</v>
      </c>
      <c r="AK568" s="69">
        <f>AD568*AI568*'-配置辅助'!$I$10</f>
        <v>16</v>
      </c>
      <c r="AM568" s="69">
        <f>AK568*_xlfn.XLOOKUP(H568,monsters[怪物id],monsters[HP],-1)</f>
        <v>384</v>
      </c>
    </row>
    <row r="569" spans="1:39" x14ac:dyDescent="0.2">
      <c r="A569" s="9">
        <v>42080002</v>
      </c>
      <c r="B569" s="9" t="str" cm="1">
        <f t="array" ref="B569">D569&amp;_xlfn.TEXTJOIN("",1,TEXT(E569:G569,"00"))</f>
        <v>2000004</v>
      </c>
      <c r="C569" s="30" t="str">
        <f t="shared" si="299"/>
        <v>42080002,2000004</v>
      </c>
      <c r="D569" s="26">
        <v>2</v>
      </c>
      <c r="E569" s="26">
        <v>0</v>
      </c>
      <c r="F569" s="26">
        <f t="shared" si="300"/>
        <v>0</v>
      </c>
      <c r="G569" s="26">
        <v>4</v>
      </c>
      <c r="H569" s="9">
        <v>201803</v>
      </c>
      <c r="I569" s="15" t="str">
        <f>IFERROR(VLOOKUP(H569,monsters[#All],4,0),"")</f>
        <v>海藻小妖</v>
      </c>
      <c r="J569" s="15" t="str" cm="1">
        <f t="array" ref="J569">_xlfn.LET(_xlpm.v6p,ABS(ATAN2(O569,P569))*6/PI(),
_xlpm.output,_xlfn.IFS(_xlpm.v6p&lt;1,"正前",_xlpm.v6p&gt;5,"正后",AND(_xlpm.v6p&lt;5,_xlpm.v6p&gt;2,P569&lt;-1),"脚底",_xlpm.v6p&gt;4,"后上",_xlpm.v6p&lt;2,"前上",TRUE,"顶部"),
IFERROR(_xlpm.output,""))</f>
        <v>正后</v>
      </c>
      <c r="K569" s="12"/>
      <c r="L569" s="12" t="s">
        <v>63</v>
      </c>
      <c r="M569" s="12" t="s">
        <v>63</v>
      </c>
      <c r="N569" s="19" t="str">
        <f t="shared" si="301"/>
        <v>-20,5</v>
      </c>
      <c r="O569" s="24">
        <v>-20</v>
      </c>
      <c r="P569" s="24">
        <v>5</v>
      </c>
      <c r="Q569" s="19">
        <f t="shared" si="302"/>
        <v>2.6457999999999999</v>
      </c>
      <c r="R569" s="24">
        <v>2.6457999999999999</v>
      </c>
      <c r="S569" s="9">
        <v>5</v>
      </c>
      <c r="T569" s="19" t="str">
        <f t="shared" si="303"/>
        <v>1,1</v>
      </c>
      <c r="U569" s="24">
        <v>1</v>
      </c>
      <c r="V569" s="24">
        <v>1</v>
      </c>
      <c r="W569" s="9">
        <v>0</v>
      </c>
      <c r="X569" s="9">
        <v>11</v>
      </c>
      <c r="Y569" s="19" t="str">
        <f t="shared" si="304"/>
        <v>-1805,-1800</v>
      </c>
      <c r="Z569" s="42" t="s">
        <v>345</v>
      </c>
      <c r="AA569" s="19" t="str">
        <f t="shared" si="305"/>
        <v>80,120</v>
      </c>
      <c r="AB569" s="41"/>
      <c r="AC569" s="9">
        <v>-76.074873238133449</v>
      </c>
      <c r="AD569" s="9">
        <v>96</v>
      </c>
      <c r="AE569" s="16"/>
      <c r="AF569" s="16"/>
      <c r="AG569" s="16"/>
      <c r="AI569" s="69" cm="1">
        <f t="array" ref="AI569">tuple_avg(T569)/tuple_avg(AA569)</f>
        <v>0.01</v>
      </c>
      <c r="AK569" s="69">
        <f>AD569*AI569*'-配置辅助'!$I$10</f>
        <v>16</v>
      </c>
      <c r="AM569" s="69">
        <f>AK569*_xlfn.XLOOKUP(H569,monsters[怪物id],monsters[HP],-1)</f>
        <v>384</v>
      </c>
    </row>
    <row r="570" spans="1:39" x14ac:dyDescent="0.2">
      <c r="A570" s="9">
        <v>42080002</v>
      </c>
      <c r="B570" s="9" t="str" cm="1">
        <f t="array" ref="B570">D570&amp;_xlfn.TEXTJOIN("",1,TEXT(E570:G570,"00"))</f>
        <v>2000005</v>
      </c>
      <c r="C570" s="30" t="str">
        <f t="shared" si="299"/>
        <v>42080002,2000005</v>
      </c>
      <c r="D570" s="26">
        <v>2</v>
      </c>
      <c r="E570" s="26">
        <v>0</v>
      </c>
      <c r="F570" s="26">
        <f t="shared" si="300"/>
        <v>0</v>
      </c>
      <c r="G570" s="26">
        <v>5</v>
      </c>
      <c r="H570" s="9">
        <v>201803</v>
      </c>
      <c r="I570" s="15" t="str">
        <f>IFERROR(VLOOKUP(H570,monsters[#All],4,0),"")</f>
        <v>海藻小妖</v>
      </c>
      <c r="J570" s="15" t="str" cm="1">
        <f t="array" ref="J570">_xlfn.LET(_xlpm.v6p,ABS(ATAN2(O570,P570))*6/PI(),
_xlpm.output,_xlfn.IFS(_xlpm.v6p&lt;1,"正前",_xlpm.v6p&gt;5,"正后",AND(_xlpm.v6p&lt;5,_xlpm.v6p&gt;2,P570&lt;-1),"脚底",_xlpm.v6p&gt;4,"后上",_xlpm.v6p&lt;2,"前上",TRUE,"顶部"),
IFERROR(_xlpm.output,""))</f>
        <v>正后</v>
      </c>
      <c r="K570" s="12"/>
      <c r="L570" s="12" t="s">
        <v>63</v>
      </c>
      <c r="M570" s="12" t="s">
        <v>63</v>
      </c>
      <c r="N570" s="19" t="str">
        <f t="shared" si="301"/>
        <v>-20,5</v>
      </c>
      <c r="O570" s="24">
        <v>-20</v>
      </c>
      <c r="P570" s="24">
        <v>5</v>
      </c>
      <c r="Q570" s="19">
        <f t="shared" si="302"/>
        <v>2.6457999999999999</v>
      </c>
      <c r="R570" s="24">
        <v>2.6457999999999999</v>
      </c>
      <c r="S570" s="9">
        <v>5</v>
      </c>
      <c r="T570" s="19" t="str">
        <f t="shared" si="303"/>
        <v>1,1</v>
      </c>
      <c r="U570" s="24">
        <v>1</v>
      </c>
      <c r="V570" s="24">
        <v>1</v>
      </c>
      <c r="W570" s="9">
        <v>0</v>
      </c>
      <c r="X570" s="9">
        <v>11</v>
      </c>
      <c r="Y570" s="19" t="str">
        <f t="shared" si="304"/>
        <v>-2505,-2500</v>
      </c>
      <c r="Z570" s="42" t="s">
        <v>346</v>
      </c>
      <c r="AA570" s="19" t="str">
        <f t="shared" si="305"/>
        <v>80,120</v>
      </c>
      <c r="AB570" s="41"/>
      <c r="AC570" s="9">
        <v>-96</v>
      </c>
      <c r="AD570" s="9">
        <v>96</v>
      </c>
      <c r="AE570" s="16"/>
      <c r="AF570" s="16"/>
      <c r="AG570" s="16"/>
      <c r="AI570" s="69" cm="1">
        <f t="array" ref="AI570">tuple_avg(T570)/tuple_avg(AA570)</f>
        <v>0.01</v>
      </c>
      <c r="AK570" s="69">
        <f>AD570*AI570*'-配置辅助'!$I$10</f>
        <v>16</v>
      </c>
      <c r="AM570" s="69">
        <f>AK570*_xlfn.XLOOKUP(H570,monsters[怪物id],monsters[HP],-1)</f>
        <v>384</v>
      </c>
    </row>
    <row r="572" spans="1:39" x14ac:dyDescent="0.2">
      <c r="A572" s="9">
        <v>42080002</v>
      </c>
      <c r="B572" s="9" t="str" cm="1">
        <f t="array" ref="B572">D572&amp;_xlfn.TEXTJOIN("",1,TEXT(E572:G572,"00"))</f>
        <v>3000000</v>
      </c>
      <c r="C572" s="30" t="str">
        <f t="shared" ref="C572:C577" si="306">_xlfn.TEXTJOIN(",",1,A572:B572)</f>
        <v>42080002,3000000</v>
      </c>
      <c r="D572" s="26">
        <v>3</v>
      </c>
      <c r="E572" s="26">
        <v>0</v>
      </c>
      <c r="F572" s="26">
        <f t="shared" ref="F572:F577" si="307">W572</f>
        <v>0</v>
      </c>
      <c r="G572" s="26">
        <v>0</v>
      </c>
      <c r="H572" s="9">
        <v>201814</v>
      </c>
      <c r="I572" s="15" t="str">
        <f>IFERROR(VLOOKUP(H572,monsters[#All],4,0),"")</f>
        <v>弱小螃蟹</v>
      </c>
      <c r="J572" s="15" t="str" cm="1">
        <f t="array" ref="J572">_xlfn.LET(_xlpm.v6p,ABS(ATAN2(O572,P572))*6/PI(),
_xlpm.output,_xlfn.IFS(_xlpm.v6p&lt;1,"正前",_xlpm.v6p&gt;5,"正后",AND(_xlpm.v6p&lt;5,_xlpm.v6p&gt;2,P572&lt;-1),"脚底",_xlpm.v6p&gt;4,"后上",_xlpm.v6p&lt;2,"前上",TRUE,"顶部"),
IFERROR(_xlpm.output,""))</f>
        <v>正后</v>
      </c>
      <c r="K572" s="12"/>
      <c r="L572" s="12" t="s">
        <v>63</v>
      </c>
      <c r="M572" s="12" t="s">
        <v>63</v>
      </c>
      <c r="N572" s="19" t="str">
        <f t="shared" ref="N572:N577" si="308">O572+0&amp;","&amp;P572+0</f>
        <v>-20,5</v>
      </c>
      <c r="O572" s="24">
        <v>-20</v>
      </c>
      <c r="P572" s="24">
        <v>5</v>
      </c>
      <c r="Q572" s="19">
        <f t="shared" ref="Q572:Q577" si="309">_xlfn.LET(_xlpm._default,1,
_xlpm._custom,R572,
IF($A572&lt;&gt;"",IF(_xlpm._custom&lt;&gt;"",_xlpm._custom,_xlpm._default),""))</f>
        <v>1</v>
      </c>
      <c r="R572" s="24">
        <v>1</v>
      </c>
      <c r="S572" s="9">
        <v>8</v>
      </c>
      <c r="T572" s="19" t="str">
        <f t="shared" ref="T572:T577" si="310">IF(U572&lt;&gt;"", U572+0&amp;","&amp;V572+0,"")</f>
        <v>1,1</v>
      </c>
      <c r="U572" s="24">
        <v>1</v>
      </c>
      <c r="V572" s="24">
        <v>1</v>
      </c>
      <c r="W572" s="9">
        <v>0</v>
      </c>
      <c r="X572" s="9">
        <v>11</v>
      </c>
      <c r="Y572" s="19" t="str">
        <f t="shared" ref="Y572:Y584" si="311">IF($A572&lt;&gt;"",IF($Z572&lt;&gt;"",$Z572,"0,0"),"")</f>
        <v>0,0</v>
      </c>
      <c r="Z572" s="41"/>
      <c r="AA572" s="19" t="str">
        <f t="shared" ref="AA572:AA584" si="312">IF($A572&lt;&gt;"",IF($AB572&lt;&gt;"",$AB572,"80,120"),"")</f>
        <v>80,120</v>
      </c>
      <c r="AB572" s="41"/>
      <c r="AC572" s="9" cm="1">
        <f t="array" ref="AC572:AD577">_xlfn.LET(_xlpm._lvl,MOD($A572,10),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_xlpm._seq,G572:G577,
_xlfn.MAKEARRAY(ROWS(_xlpm._seq),2,_xlfn.LAMBDA(_xlpm.x,_xlpm.y,IF(_xlpm.y=1,-_xlpm._generate_rate/_xlpm._v_begin*(_xlpm._v_begin/_xlpm._v_max)^(INDEX(_xlpm._seq,_xlpm.x)/MAX(_xlpm._seq)),_xlpm._generate_rate))
))</f>
        <v>-30</v>
      </c>
      <c r="AD572" s="9">
        <v>96</v>
      </c>
      <c r="AE572" s="16"/>
      <c r="AF572" s="16"/>
      <c r="AG572" s="16"/>
      <c r="AI572" s="69" cm="1">
        <f t="array" ref="AI572">tuple_avg(T572)/tuple_avg(AA572)</f>
        <v>0.01</v>
      </c>
      <c r="AK572" s="69">
        <f>AD572*AI572*'-配置辅助'!$I$10</f>
        <v>16</v>
      </c>
      <c r="AM572" s="69">
        <f>AK572*_xlfn.XLOOKUP(H572,monsters[怪物id],monsters[HP],-1)</f>
        <v>432</v>
      </c>
    </row>
    <row r="573" spans="1:39" x14ac:dyDescent="0.2">
      <c r="A573" s="9">
        <v>42080002</v>
      </c>
      <c r="B573" s="9" t="str" cm="1">
        <f t="array" ref="B573">D573&amp;_xlfn.TEXTJOIN("",1,TEXT(E573:G573,"00"))</f>
        <v>3000001</v>
      </c>
      <c r="C573" s="30" t="str">
        <f t="shared" si="306"/>
        <v>42080002,3000001</v>
      </c>
      <c r="D573" s="26">
        <v>3</v>
      </c>
      <c r="E573" s="76">
        <v>0</v>
      </c>
      <c r="F573" s="26">
        <f t="shared" si="307"/>
        <v>0</v>
      </c>
      <c r="G573" s="26">
        <v>1</v>
      </c>
      <c r="H573" s="9">
        <v>201814</v>
      </c>
      <c r="I573" s="15" t="str">
        <f>IFERROR(VLOOKUP(H573,monsters[#All],4,0),"")</f>
        <v>弱小螃蟹</v>
      </c>
      <c r="J573" s="15" t="str" cm="1">
        <f t="array" ref="J573">_xlfn.LET(_xlpm.v6p,ABS(ATAN2(O573,P573))*6/PI(),
_xlpm.output,_xlfn.IFS(_xlpm.v6p&lt;1,"正前",_xlpm.v6p&gt;5,"正后",AND(_xlpm.v6p&lt;5,_xlpm.v6p&gt;2,P573&lt;-1),"脚底",_xlpm.v6p&gt;4,"后上",_xlpm.v6p&lt;2,"前上",TRUE,"顶部"),
IFERROR(_xlpm.output,""))</f>
        <v>正后</v>
      </c>
      <c r="K573" s="12"/>
      <c r="L573" s="12" t="s">
        <v>63</v>
      </c>
      <c r="M573" s="12" t="s">
        <v>63</v>
      </c>
      <c r="N573" s="19" t="str">
        <f t="shared" si="308"/>
        <v>-20,5</v>
      </c>
      <c r="O573" s="24">
        <v>-20</v>
      </c>
      <c r="P573" s="24">
        <v>5</v>
      </c>
      <c r="Q573" s="19">
        <f t="shared" si="309"/>
        <v>1.7321</v>
      </c>
      <c r="R573" s="24">
        <v>1.7321</v>
      </c>
      <c r="S573" s="9">
        <v>8</v>
      </c>
      <c r="T573" s="19" t="str">
        <f t="shared" si="310"/>
        <v>1,1</v>
      </c>
      <c r="U573" s="24">
        <v>1</v>
      </c>
      <c r="V573" s="24">
        <v>1</v>
      </c>
      <c r="W573" s="9">
        <v>0</v>
      </c>
      <c r="X573" s="9">
        <v>11</v>
      </c>
      <c r="Y573" s="19" t="str">
        <f t="shared" si="311"/>
        <v>-305,-300</v>
      </c>
      <c r="Z573" s="42" t="s">
        <v>269</v>
      </c>
      <c r="AA573" s="19" t="str">
        <f t="shared" si="312"/>
        <v>80,120</v>
      </c>
      <c r="AB573" s="41"/>
      <c r="AC573" s="9">
        <v>-37.857440668811591</v>
      </c>
      <c r="AD573" s="9">
        <v>96</v>
      </c>
      <c r="AE573" s="16"/>
      <c r="AF573" s="16"/>
      <c r="AG573" s="16"/>
      <c r="AI573" s="69" cm="1">
        <f t="array" ref="AI573">tuple_avg(T573)/tuple_avg(AA573)</f>
        <v>0.01</v>
      </c>
      <c r="AK573" s="69">
        <f>AD573*AI573*'-配置辅助'!$I$10</f>
        <v>16</v>
      </c>
      <c r="AM573" s="69">
        <f>AK573*_xlfn.XLOOKUP(H573,monsters[怪物id],monsters[HP],-1)</f>
        <v>432</v>
      </c>
    </row>
    <row r="574" spans="1:39" x14ac:dyDescent="0.2">
      <c r="A574" s="9">
        <v>42080002</v>
      </c>
      <c r="B574" s="9" t="str" cm="1">
        <f t="array" ref="B574">D574&amp;_xlfn.TEXTJOIN("",1,TEXT(E574:G574,"00"))</f>
        <v>3000002</v>
      </c>
      <c r="C574" s="30" t="str">
        <f t="shared" si="306"/>
        <v>42080002,3000002</v>
      </c>
      <c r="D574" s="26">
        <v>3</v>
      </c>
      <c r="E574" s="26">
        <v>0</v>
      </c>
      <c r="F574" s="26">
        <f t="shared" si="307"/>
        <v>0</v>
      </c>
      <c r="G574" s="26">
        <v>2</v>
      </c>
      <c r="H574" s="9">
        <v>201814</v>
      </c>
      <c r="I574" s="15" t="str">
        <f>IFERROR(VLOOKUP(H574,monsters[#All],4,0),"")</f>
        <v>弱小螃蟹</v>
      </c>
      <c r="J574" s="15" t="str" cm="1">
        <f t="array" ref="J574">_xlfn.LET(_xlpm.v6p,ABS(ATAN2(O574,P574))*6/PI(),
_xlpm.output,_xlfn.IFS(_xlpm.v6p&lt;1,"正前",_xlpm.v6p&gt;5,"正后",AND(_xlpm.v6p&lt;5,_xlpm.v6p&gt;2,P574&lt;-1),"脚底",_xlpm.v6p&gt;4,"后上",_xlpm.v6p&lt;2,"前上",TRUE,"顶部"),
IFERROR(_xlpm.output,""))</f>
        <v>正后</v>
      </c>
      <c r="K574" s="12"/>
      <c r="L574" s="12" t="s">
        <v>63</v>
      </c>
      <c r="M574" s="12" t="s">
        <v>63</v>
      </c>
      <c r="N574" s="19" t="str">
        <f t="shared" si="308"/>
        <v>-20,5</v>
      </c>
      <c r="O574" s="24">
        <v>-20</v>
      </c>
      <c r="P574" s="24">
        <v>5</v>
      </c>
      <c r="Q574" s="19">
        <f t="shared" si="309"/>
        <v>2.2361</v>
      </c>
      <c r="R574" s="24">
        <v>2.2361</v>
      </c>
      <c r="S574" s="9">
        <v>7</v>
      </c>
      <c r="T574" s="19" t="str">
        <f t="shared" si="310"/>
        <v>1,1</v>
      </c>
      <c r="U574" s="24">
        <v>1</v>
      </c>
      <c r="V574" s="24">
        <v>1</v>
      </c>
      <c r="W574" s="9">
        <v>0</v>
      </c>
      <c r="X574" s="9">
        <v>11</v>
      </c>
      <c r="Y574" s="19" t="str">
        <f t="shared" si="311"/>
        <v>-705,-700</v>
      </c>
      <c r="Z574" s="42" t="s">
        <v>134</v>
      </c>
      <c r="AA574" s="19" t="str">
        <f t="shared" si="312"/>
        <v>80,120</v>
      </c>
      <c r="AB574" s="41"/>
      <c r="AC574" s="9">
        <v>-47.772860466419672</v>
      </c>
      <c r="AD574" s="9">
        <v>96</v>
      </c>
      <c r="AE574" s="16"/>
      <c r="AF574" s="16"/>
      <c r="AG574" s="16"/>
      <c r="AI574" s="69" cm="1">
        <f t="array" ref="AI574">tuple_avg(T574)/tuple_avg(AA574)</f>
        <v>0.01</v>
      </c>
      <c r="AK574" s="69">
        <f>AD574*AI574*'-配置辅助'!$I$10</f>
        <v>16</v>
      </c>
      <c r="AM574" s="69">
        <f>AK574*_xlfn.XLOOKUP(H574,monsters[怪物id],monsters[HP],-1)</f>
        <v>432</v>
      </c>
    </row>
    <row r="575" spans="1:39" x14ac:dyDescent="0.2">
      <c r="A575" s="9">
        <v>42080002</v>
      </c>
      <c r="B575" s="9" t="str" cm="1">
        <f t="array" ref="B575">D575&amp;_xlfn.TEXTJOIN("",1,TEXT(E575:G575,"00"))</f>
        <v>3000003</v>
      </c>
      <c r="C575" s="30" t="str">
        <f t="shared" si="306"/>
        <v>42080002,3000003</v>
      </c>
      <c r="D575" s="26">
        <v>3</v>
      </c>
      <c r="E575" s="26">
        <v>0</v>
      </c>
      <c r="F575" s="26">
        <f t="shared" si="307"/>
        <v>0</v>
      </c>
      <c r="G575" s="26">
        <v>3</v>
      </c>
      <c r="H575" s="9">
        <v>201814</v>
      </c>
      <c r="I575" s="15" t="str">
        <f>IFERROR(VLOOKUP(H575,monsters[#All],4,0),"")</f>
        <v>弱小螃蟹</v>
      </c>
      <c r="J575" s="15" t="str" cm="1">
        <f t="array" ref="J575">_xlfn.LET(_xlpm.v6p,ABS(ATAN2(O575,P575))*6/PI(),
_xlpm.output,_xlfn.IFS(_xlpm.v6p&lt;1,"正前",_xlpm.v6p&gt;5,"正后",AND(_xlpm.v6p&lt;5,_xlpm.v6p&gt;2,P575&lt;-1),"脚底",_xlpm.v6p&gt;4,"后上",_xlpm.v6p&lt;2,"前上",TRUE,"顶部"),
IFERROR(_xlpm.output,""))</f>
        <v>正后</v>
      </c>
      <c r="K575" s="12"/>
      <c r="L575" s="12" t="s">
        <v>63</v>
      </c>
      <c r="M575" s="12" t="s">
        <v>63</v>
      </c>
      <c r="N575" s="19" t="str">
        <f t="shared" si="308"/>
        <v>-20,5</v>
      </c>
      <c r="O575" s="24">
        <v>-20</v>
      </c>
      <c r="P575" s="24">
        <v>5</v>
      </c>
      <c r="Q575" s="19">
        <f t="shared" si="309"/>
        <v>2.6457999999999999</v>
      </c>
      <c r="R575" s="24">
        <v>2.6457999999999999</v>
      </c>
      <c r="S575" s="9">
        <v>6</v>
      </c>
      <c r="T575" s="19" t="str">
        <f t="shared" si="310"/>
        <v>1,1</v>
      </c>
      <c r="U575" s="24">
        <v>1</v>
      </c>
      <c r="V575" s="24">
        <v>1</v>
      </c>
      <c r="W575" s="9">
        <v>0</v>
      </c>
      <c r="X575" s="9">
        <v>11</v>
      </c>
      <c r="Y575" s="19" t="str">
        <f t="shared" si="311"/>
        <v>-1205,-1200</v>
      </c>
      <c r="Z575" s="42" t="s">
        <v>344</v>
      </c>
      <c r="AA575" s="19" t="str">
        <f t="shared" si="312"/>
        <v>80,120</v>
      </c>
      <c r="AB575" s="41"/>
      <c r="AC575" s="9">
        <v>-60.28527435622992</v>
      </c>
      <c r="AD575" s="9">
        <v>96</v>
      </c>
      <c r="AE575" s="16"/>
      <c r="AF575" s="16"/>
      <c r="AG575" s="16"/>
      <c r="AI575" s="69" cm="1">
        <f t="array" ref="AI575">tuple_avg(T575)/tuple_avg(AA575)</f>
        <v>0.01</v>
      </c>
      <c r="AK575" s="69">
        <f>AD575*AI575*'-配置辅助'!$I$10</f>
        <v>16</v>
      </c>
      <c r="AM575" s="69">
        <f>AK575*_xlfn.XLOOKUP(H575,monsters[怪物id],monsters[HP],-1)</f>
        <v>432</v>
      </c>
    </row>
    <row r="576" spans="1:39" x14ac:dyDescent="0.2">
      <c r="A576" s="9">
        <v>42080002</v>
      </c>
      <c r="B576" s="9" t="str" cm="1">
        <f t="array" ref="B576">D576&amp;_xlfn.TEXTJOIN("",1,TEXT(E576:G576,"00"))</f>
        <v>3000004</v>
      </c>
      <c r="C576" s="30" t="str">
        <f t="shared" si="306"/>
        <v>42080002,3000004</v>
      </c>
      <c r="D576" s="26">
        <v>3</v>
      </c>
      <c r="E576" s="26">
        <v>0</v>
      </c>
      <c r="F576" s="26">
        <f t="shared" si="307"/>
        <v>0</v>
      </c>
      <c r="G576" s="26">
        <v>4</v>
      </c>
      <c r="H576" s="9">
        <v>201814</v>
      </c>
      <c r="I576" s="15" t="str">
        <f>IFERROR(VLOOKUP(H576,monsters[#All],4,0),"")</f>
        <v>弱小螃蟹</v>
      </c>
      <c r="J576" s="15" t="str" cm="1">
        <f t="array" ref="J576">_xlfn.LET(_xlpm.v6p,ABS(ATAN2(O576,P576))*6/PI(),
_xlpm.output,_xlfn.IFS(_xlpm.v6p&lt;1,"正前",_xlpm.v6p&gt;5,"正后",AND(_xlpm.v6p&lt;5,_xlpm.v6p&gt;2,P576&lt;-1),"脚底",_xlpm.v6p&gt;4,"后上",_xlpm.v6p&lt;2,"前上",TRUE,"顶部"),
IFERROR(_xlpm.output,""))</f>
        <v>正后</v>
      </c>
      <c r="K576" s="12"/>
      <c r="L576" s="12" t="s">
        <v>63</v>
      </c>
      <c r="M576" s="12" t="s">
        <v>63</v>
      </c>
      <c r="N576" s="19" t="str">
        <f t="shared" si="308"/>
        <v>-20,5</v>
      </c>
      <c r="O576" s="24">
        <v>-20</v>
      </c>
      <c r="P576" s="24">
        <v>5</v>
      </c>
      <c r="Q576" s="19">
        <f t="shared" si="309"/>
        <v>2.6457999999999999</v>
      </c>
      <c r="R576" s="24">
        <v>2.6457999999999999</v>
      </c>
      <c r="S576" s="9">
        <v>5</v>
      </c>
      <c r="T576" s="19" t="str">
        <f t="shared" si="310"/>
        <v>1,1</v>
      </c>
      <c r="U576" s="24">
        <v>1</v>
      </c>
      <c r="V576" s="24">
        <v>1</v>
      </c>
      <c r="W576" s="9">
        <v>0</v>
      </c>
      <c r="X576" s="9">
        <v>11</v>
      </c>
      <c r="Y576" s="19" t="str">
        <f t="shared" si="311"/>
        <v>-1805,-1800</v>
      </c>
      <c r="Z576" s="42" t="s">
        <v>345</v>
      </c>
      <c r="AA576" s="19" t="str">
        <f t="shared" si="312"/>
        <v>80,120</v>
      </c>
      <c r="AB576" s="41"/>
      <c r="AC576" s="9">
        <v>-76.074873238133449</v>
      </c>
      <c r="AD576" s="9">
        <v>96</v>
      </c>
      <c r="AE576" s="16"/>
      <c r="AF576" s="16"/>
      <c r="AG576" s="16"/>
      <c r="AI576" s="69" cm="1">
        <f t="array" ref="AI576">tuple_avg(T576)/tuple_avg(AA576)</f>
        <v>0.01</v>
      </c>
      <c r="AK576" s="69">
        <f>AD576*AI576*'-配置辅助'!$I$10</f>
        <v>16</v>
      </c>
      <c r="AM576" s="69">
        <f>AK576*_xlfn.XLOOKUP(H576,monsters[怪物id],monsters[HP],-1)</f>
        <v>432</v>
      </c>
    </row>
    <row r="577" spans="1:39" x14ac:dyDescent="0.2">
      <c r="A577" s="9">
        <v>42080002</v>
      </c>
      <c r="B577" s="9" t="str" cm="1">
        <f t="array" ref="B577">D577&amp;_xlfn.TEXTJOIN("",1,TEXT(E577:G577,"00"))</f>
        <v>3000005</v>
      </c>
      <c r="C577" s="30" t="str">
        <f t="shared" si="306"/>
        <v>42080002,3000005</v>
      </c>
      <c r="D577" s="26">
        <v>3</v>
      </c>
      <c r="E577" s="26">
        <v>0</v>
      </c>
      <c r="F577" s="26">
        <f t="shared" si="307"/>
        <v>0</v>
      </c>
      <c r="G577" s="26">
        <v>5</v>
      </c>
      <c r="H577" s="9">
        <v>201814</v>
      </c>
      <c r="I577" s="15" t="str">
        <f>IFERROR(VLOOKUP(H577,monsters[#All],4,0),"")</f>
        <v>弱小螃蟹</v>
      </c>
      <c r="J577" s="15" t="str" cm="1">
        <f t="array" ref="J577">_xlfn.LET(_xlpm.v6p,ABS(ATAN2(O577,P577))*6/PI(),
_xlpm.output,_xlfn.IFS(_xlpm.v6p&lt;1,"正前",_xlpm.v6p&gt;5,"正后",AND(_xlpm.v6p&lt;5,_xlpm.v6p&gt;2,P577&lt;-1),"脚底",_xlpm.v6p&gt;4,"后上",_xlpm.v6p&lt;2,"前上",TRUE,"顶部"),
IFERROR(_xlpm.output,""))</f>
        <v>正后</v>
      </c>
      <c r="K577" s="12"/>
      <c r="L577" s="12" t="s">
        <v>63</v>
      </c>
      <c r="M577" s="12" t="s">
        <v>63</v>
      </c>
      <c r="N577" s="19" t="str">
        <f t="shared" si="308"/>
        <v>-20,5</v>
      </c>
      <c r="O577" s="24">
        <v>-20</v>
      </c>
      <c r="P577" s="24">
        <v>5</v>
      </c>
      <c r="Q577" s="19">
        <f t="shared" si="309"/>
        <v>2.6457999999999999</v>
      </c>
      <c r="R577" s="24">
        <v>2.6457999999999999</v>
      </c>
      <c r="S577" s="9">
        <v>5</v>
      </c>
      <c r="T577" s="19" t="str">
        <f t="shared" si="310"/>
        <v>1,1</v>
      </c>
      <c r="U577" s="24">
        <v>1</v>
      </c>
      <c r="V577" s="24">
        <v>1</v>
      </c>
      <c r="W577" s="9">
        <v>0</v>
      </c>
      <c r="X577" s="9">
        <v>11</v>
      </c>
      <c r="Y577" s="19" t="str">
        <f t="shared" si="311"/>
        <v>-2505,-2500</v>
      </c>
      <c r="Z577" s="42" t="s">
        <v>346</v>
      </c>
      <c r="AA577" s="19" t="str">
        <f t="shared" si="312"/>
        <v>80,120</v>
      </c>
      <c r="AB577" s="41"/>
      <c r="AC577" s="9">
        <v>-96</v>
      </c>
      <c r="AD577" s="9">
        <v>96</v>
      </c>
      <c r="AE577" s="16"/>
      <c r="AF577" s="16"/>
      <c r="AG577" s="16"/>
      <c r="AI577" s="69" cm="1">
        <f t="array" ref="AI577">tuple_avg(T577)/tuple_avg(AA577)</f>
        <v>0.01</v>
      </c>
      <c r="AK577" s="69">
        <f>AD577*AI577*'-配置辅助'!$I$10</f>
        <v>16</v>
      </c>
      <c r="AM577" s="69">
        <f>AK577*_xlfn.XLOOKUP(H577,monsters[怪物id],monsters[HP],-1)</f>
        <v>432</v>
      </c>
    </row>
    <row r="579" spans="1:39" x14ac:dyDescent="0.2">
      <c r="A579" s="9">
        <v>42080002</v>
      </c>
      <c r="B579" s="9" t="str" cm="1">
        <f t="array" ref="B579">D579&amp;_xlfn.TEXTJOIN("",1,TEXT(E579:G579,"00"))</f>
        <v>4000000</v>
      </c>
      <c r="C579" s="30" t="str">
        <f t="shared" ref="C579:C584" si="313">_xlfn.TEXTJOIN(",",1,A579:B579)</f>
        <v>42080002,4000000</v>
      </c>
      <c r="D579" s="26">
        <v>4</v>
      </c>
      <c r="E579" s="26">
        <v>0</v>
      </c>
      <c r="F579" s="26">
        <f t="shared" ref="F579:F584" si="314">W579</f>
        <v>0</v>
      </c>
      <c r="G579" s="26">
        <v>0</v>
      </c>
      <c r="H579" s="9">
        <v>201818</v>
      </c>
      <c r="I579" s="15" t="str">
        <f>IFERROR(VLOOKUP(H579,monsters[#All],4,0),"")</f>
        <v>聒噪海贝</v>
      </c>
      <c r="J579" s="15" t="str" cm="1">
        <f t="array" ref="J579">_xlfn.LET(_xlpm.v6p,ABS(ATAN2(O579,P579))*6/PI(),
_xlpm.output,_xlfn.IFS(_xlpm.v6p&lt;1,"正前",_xlpm.v6p&gt;5,"正后",AND(_xlpm.v6p&lt;5,_xlpm.v6p&gt;2,P579&lt;-1),"脚底",_xlpm.v6p&gt;4,"后上",_xlpm.v6p&lt;2,"前上",TRUE,"顶部"),
IFERROR(_xlpm.output,""))</f>
        <v>正后</v>
      </c>
      <c r="K579" s="12"/>
      <c r="L579" s="12" t="s">
        <v>63</v>
      </c>
      <c r="M579" s="12" t="s">
        <v>63</v>
      </c>
      <c r="N579" s="19" t="str">
        <f t="shared" ref="N579:N584" si="315">O579+0&amp;","&amp;P579+0</f>
        <v>-20,5</v>
      </c>
      <c r="O579" s="24">
        <v>-20</v>
      </c>
      <c r="P579" s="24">
        <v>5</v>
      </c>
      <c r="Q579" s="19">
        <f t="shared" ref="Q579:Q584" si="316">_xlfn.LET(_xlpm._default,1,
_xlpm._custom,R579,
IF($A579&lt;&gt;"",IF(_xlpm._custom&lt;&gt;"",_xlpm._custom,_xlpm._default),""))</f>
        <v>1</v>
      </c>
      <c r="R579" s="24">
        <v>1</v>
      </c>
      <c r="S579" s="9">
        <v>8</v>
      </c>
      <c r="T579" s="19" t="str">
        <f t="shared" ref="T579:T584" si="317">IF(U579&lt;&gt;"", U579+0&amp;","&amp;V579+0,"")</f>
        <v>1,1</v>
      </c>
      <c r="U579" s="24">
        <v>1</v>
      </c>
      <c r="V579" s="24">
        <v>1</v>
      </c>
      <c r="W579" s="9">
        <v>0</v>
      </c>
      <c r="X579" s="9">
        <v>11</v>
      </c>
      <c r="Y579" s="19" t="str">
        <f t="shared" ref="Y579:Y584" si="318">IF($A579&lt;&gt;"",IF($Z579&lt;&gt;"",$Z579,"0,0"),"")</f>
        <v>0,0</v>
      </c>
      <c r="Z579" s="41"/>
      <c r="AA579" s="19" t="str">
        <f t="shared" ref="AA579:AA584" si="319">IF($A579&lt;&gt;"",IF($AB579&lt;&gt;"",$AB579,"80,120"),"")</f>
        <v>80,120</v>
      </c>
      <c r="AB579" s="41"/>
      <c r="AC579" s="9" cm="1">
        <f t="array" ref="AC579:AD584">_xlfn.LET(_xlpm._lvl,MOD($A579,10),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_xlpm._seq,G579:G584,
_xlfn.MAKEARRAY(ROWS(_xlpm._seq),2,_xlfn.LAMBDA(_xlpm.x,_xlpm.y,IF(_xlpm.y=1,-_xlpm._generate_rate/_xlpm._v_begin*(_xlpm._v_begin/_xlpm._v_max)^(INDEX(_xlpm._seq,_xlpm.x)/MAX(_xlpm._seq)),_xlpm._generate_rate))
))</f>
        <v>-30</v>
      </c>
      <c r="AD579" s="9">
        <v>96</v>
      </c>
      <c r="AE579" s="16"/>
      <c r="AF579" s="16"/>
      <c r="AG579" s="16"/>
      <c r="AI579" s="69" cm="1">
        <f t="array" ref="AI579">tuple_avg(T579)/tuple_avg(AA579)</f>
        <v>0.01</v>
      </c>
      <c r="AK579" s="69">
        <f>AD579*AI579*'-配置辅助'!$I$10</f>
        <v>16</v>
      </c>
      <c r="AM579" s="69">
        <f>AK579*_xlfn.XLOOKUP(H579,monsters[怪物id],monsters[HP],-1)</f>
        <v>496</v>
      </c>
    </row>
    <row r="580" spans="1:39" x14ac:dyDescent="0.2">
      <c r="A580" s="9">
        <v>42080002</v>
      </c>
      <c r="B580" s="9" t="str" cm="1">
        <f t="array" ref="B580">D580&amp;_xlfn.TEXTJOIN("",1,TEXT(E580:G580,"00"))</f>
        <v>4000001</v>
      </c>
      <c r="C580" s="30" t="str">
        <f t="shared" si="313"/>
        <v>42080002,4000001</v>
      </c>
      <c r="D580" s="26">
        <v>4</v>
      </c>
      <c r="E580" s="76">
        <v>0</v>
      </c>
      <c r="F580" s="26">
        <f t="shared" si="314"/>
        <v>0</v>
      </c>
      <c r="G580" s="26">
        <v>1</v>
      </c>
      <c r="H580" s="9">
        <v>201818</v>
      </c>
      <c r="I580" s="15" t="str">
        <f>IFERROR(VLOOKUP(H580,monsters[#All],4,0),"")</f>
        <v>聒噪海贝</v>
      </c>
      <c r="J580" s="15" t="str" cm="1">
        <f t="array" ref="J580">_xlfn.LET(_xlpm.v6p,ABS(ATAN2(O580,P580))*6/PI(),
_xlpm.output,_xlfn.IFS(_xlpm.v6p&lt;1,"正前",_xlpm.v6p&gt;5,"正后",AND(_xlpm.v6p&lt;5,_xlpm.v6p&gt;2,P580&lt;-1),"脚底",_xlpm.v6p&gt;4,"后上",_xlpm.v6p&lt;2,"前上",TRUE,"顶部"),
IFERROR(_xlpm.output,""))</f>
        <v>正后</v>
      </c>
      <c r="K580" s="12"/>
      <c r="L580" s="12" t="s">
        <v>63</v>
      </c>
      <c r="M580" s="12" t="s">
        <v>63</v>
      </c>
      <c r="N580" s="19" t="str">
        <f t="shared" si="315"/>
        <v>-20,5</v>
      </c>
      <c r="O580" s="24">
        <v>-20</v>
      </c>
      <c r="P580" s="24">
        <v>5</v>
      </c>
      <c r="Q580" s="19">
        <f t="shared" si="316"/>
        <v>1.7321</v>
      </c>
      <c r="R580" s="24">
        <v>1.7321</v>
      </c>
      <c r="S580" s="9">
        <v>8</v>
      </c>
      <c r="T580" s="19" t="str">
        <f t="shared" si="317"/>
        <v>1,1</v>
      </c>
      <c r="U580" s="24">
        <v>1</v>
      </c>
      <c r="V580" s="24">
        <v>1</v>
      </c>
      <c r="W580" s="9">
        <v>0</v>
      </c>
      <c r="X580" s="9">
        <v>11</v>
      </c>
      <c r="Y580" s="19" t="str">
        <f t="shared" si="318"/>
        <v>-305,-300</v>
      </c>
      <c r="Z580" s="42" t="s">
        <v>269</v>
      </c>
      <c r="AA580" s="19" t="str">
        <f t="shared" si="319"/>
        <v>80,120</v>
      </c>
      <c r="AB580" s="41"/>
      <c r="AC580" s="9">
        <v>-37.857440668811591</v>
      </c>
      <c r="AD580" s="9">
        <v>96</v>
      </c>
      <c r="AE580" s="16"/>
      <c r="AF580" s="16"/>
      <c r="AG580" s="16"/>
      <c r="AI580" s="69" cm="1">
        <f t="array" ref="AI580">tuple_avg(T580)/tuple_avg(AA580)</f>
        <v>0.01</v>
      </c>
      <c r="AK580" s="69">
        <f>AD580*AI580*'-配置辅助'!$I$10</f>
        <v>16</v>
      </c>
      <c r="AM580" s="69">
        <f>AK580*_xlfn.XLOOKUP(H580,monsters[怪物id],monsters[HP],-1)</f>
        <v>496</v>
      </c>
    </row>
    <row r="581" spans="1:39" x14ac:dyDescent="0.2">
      <c r="A581" s="9">
        <v>42080002</v>
      </c>
      <c r="B581" s="9" t="str" cm="1">
        <f t="array" ref="B581">D581&amp;_xlfn.TEXTJOIN("",1,TEXT(E581:G581,"00"))</f>
        <v>4000002</v>
      </c>
      <c r="C581" s="30" t="str">
        <f t="shared" si="313"/>
        <v>42080002,4000002</v>
      </c>
      <c r="D581" s="26">
        <v>4</v>
      </c>
      <c r="E581" s="26">
        <v>0</v>
      </c>
      <c r="F581" s="26">
        <f t="shared" si="314"/>
        <v>0</v>
      </c>
      <c r="G581" s="26">
        <v>2</v>
      </c>
      <c r="H581" s="9">
        <v>201818</v>
      </c>
      <c r="I581" s="15" t="str">
        <f>IFERROR(VLOOKUP(H581,monsters[#All],4,0),"")</f>
        <v>聒噪海贝</v>
      </c>
      <c r="J581" s="15" t="str" cm="1">
        <f t="array" ref="J581">_xlfn.LET(_xlpm.v6p,ABS(ATAN2(O581,P581))*6/PI(),
_xlpm.output,_xlfn.IFS(_xlpm.v6p&lt;1,"正前",_xlpm.v6p&gt;5,"正后",AND(_xlpm.v6p&lt;5,_xlpm.v6p&gt;2,P581&lt;-1),"脚底",_xlpm.v6p&gt;4,"后上",_xlpm.v6p&lt;2,"前上",TRUE,"顶部"),
IFERROR(_xlpm.output,""))</f>
        <v>正后</v>
      </c>
      <c r="K581" s="12"/>
      <c r="L581" s="12" t="s">
        <v>63</v>
      </c>
      <c r="M581" s="12" t="s">
        <v>63</v>
      </c>
      <c r="N581" s="19" t="str">
        <f t="shared" si="315"/>
        <v>-20,5</v>
      </c>
      <c r="O581" s="24">
        <v>-20</v>
      </c>
      <c r="P581" s="24">
        <v>5</v>
      </c>
      <c r="Q581" s="19">
        <f t="shared" si="316"/>
        <v>2.2361</v>
      </c>
      <c r="R581" s="24">
        <v>2.2361</v>
      </c>
      <c r="S581" s="9">
        <v>7</v>
      </c>
      <c r="T581" s="19" t="str">
        <f t="shared" si="317"/>
        <v>1,1</v>
      </c>
      <c r="U581" s="24">
        <v>1</v>
      </c>
      <c r="V581" s="24">
        <v>1</v>
      </c>
      <c r="W581" s="9">
        <v>0</v>
      </c>
      <c r="X581" s="9">
        <v>11</v>
      </c>
      <c r="Y581" s="19" t="str">
        <f t="shared" si="318"/>
        <v>-705,-700</v>
      </c>
      <c r="Z581" s="42" t="s">
        <v>134</v>
      </c>
      <c r="AA581" s="19" t="str">
        <f t="shared" si="319"/>
        <v>80,120</v>
      </c>
      <c r="AB581" s="41"/>
      <c r="AC581" s="9">
        <v>-47.772860466419672</v>
      </c>
      <c r="AD581" s="9">
        <v>96</v>
      </c>
      <c r="AE581" s="16"/>
      <c r="AF581" s="16"/>
      <c r="AG581" s="16"/>
      <c r="AI581" s="69" cm="1">
        <f t="array" ref="AI581">tuple_avg(T581)/tuple_avg(AA581)</f>
        <v>0.01</v>
      </c>
      <c r="AK581" s="69">
        <f>AD581*AI581*'-配置辅助'!$I$10</f>
        <v>16</v>
      </c>
      <c r="AM581" s="69">
        <f>AK581*_xlfn.XLOOKUP(H581,monsters[怪物id],monsters[HP],-1)</f>
        <v>496</v>
      </c>
    </row>
    <row r="582" spans="1:39" x14ac:dyDescent="0.2">
      <c r="A582" s="9">
        <v>42080002</v>
      </c>
      <c r="B582" s="9" t="str" cm="1">
        <f t="array" ref="B582">D582&amp;_xlfn.TEXTJOIN("",1,TEXT(E582:G582,"00"))</f>
        <v>4000003</v>
      </c>
      <c r="C582" s="30" t="str">
        <f t="shared" si="313"/>
        <v>42080002,4000003</v>
      </c>
      <c r="D582" s="26">
        <v>4</v>
      </c>
      <c r="E582" s="26">
        <v>0</v>
      </c>
      <c r="F582" s="26">
        <f t="shared" si="314"/>
        <v>0</v>
      </c>
      <c r="G582" s="26">
        <v>3</v>
      </c>
      <c r="H582" s="9">
        <v>201818</v>
      </c>
      <c r="I582" s="15" t="str">
        <f>IFERROR(VLOOKUP(H582,monsters[#All],4,0),"")</f>
        <v>聒噪海贝</v>
      </c>
      <c r="J582" s="15" t="str" cm="1">
        <f t="array" ref="J582">_xlfn.LET(_xlpm.v6p,ABS(ATAN2(O582,P582))*6/PI(),
_xlpm.output,_xlfn.IFS(_xlpm.v6p&lt;1,"正前",_xlpm.v6p&gt;5,"正后",AND(_xlpm.v6p&lt;5,_xlpm.v6p&gt;2,P582&lt;-1),"脚底",_xlpm.v6p&gt;4,"后上",_xlpm.v6p&lt;2,"前上",TRUE,"顶部"),
IFERROR(_xlpm.output,""))</f>
        <v>正后</v>
      </c>
      <c r="K582" s="12"/>
      <c r="L582" s="12" t="s">
        <v>63</v>
      </c>
      <c r="M582" s="12" t="s">
        <v>63</v>
      </c>
      <c r="N582" s="19" t="str">
        <f t="shared" si="315"/>
        <v>-20,5</v>
      </c>
      <c r="O582" s="24">
        <v>-20</v>
      </c>
      <c r="P582" s="24">
        <v>5</v>
      </c>
      <c r="Q582" s="19">
        <f t="shared" si="316"/>
        <v>2.6457999999999999</v>
      </c>
      <c r="R582" s="24">
        <v>2.6457999999999999</v>
      </c>
      <c r="S582" s="9">
        <v>6</v>
      </c>
      <c r="T582" s="19" t="str">
        <f t="shared" si="317"/>
        <v>1,1</v>
      </c>
      <c r="U582" s="24">
        <v>1</v>
      </c>
      <c r="V582" s="24">
        <v>1</v>
      </c>
      <c r="W582" s="9">
        <v>0</v>
      </c>
      <c r="X582" s="9">
        <v>11</v>
      </c>
      <c r="Y582" s="19" t="str">
        <f t="shared" si="318"/>
        <v>-1205,-1200</v>
      </c>
      <c r="Z582" s="42" t="s">
        <v>344</v>
      </c>
      <c r="AA582" s="19" t="str">
        <f t="shared" si="319"/>
        <v>80,120</v>
      </c>
      <c r="AB582" s="41"/>
      <c r="AC582" s="9">
        <v>-60.28527435622992</v>
      </c>
      <c r="AD582" s="9">
        <v>96</v>
      </c>
      <c r="AE582" s="16"/>
      <c r="AF582" s="16"/>
      <c r="AG582" s="16"/>
      <c r="AI582" s="69" cm="1">
        <f t="array" ref="AI582">tuple_avg(T582)/tuple_avg(AA582)</f>
        <v>0.01</v>
      </c>
      <c r="AK582" s="69">
        <f>AD582*AI582*'-配置辅助'!$I$10</f>
        <v>16</v>
      </c>
      <c r="AM582" s="69">
        <f>AK582*_xlfn.XLOOKUP(H582,monsters[怪物id],monsters[HP],-1)</f>
        <v>496</v>
      </c>
    </row>
    <row r="583" spans="1:39" x14ac:dyDescent="0.2">
      <c r="A583" s="9">
        <v>42080002</v>
      </c>
      <c r="B583" s="9" t="str" cm="1">
        <f t="array" ref="B583">D583&amp;_xlfn.TEXTJOIN("",1,TEXT(E583:G583,"00"))</f>
        <v>4000004</v>
      </c>
      <c r="C583" s="30" t="str">
        <f t="shared" si="313"/>
        <v>42080002,4000004</v>
      </c>
      <c r="D583" s="26">
        <v>4</v>
      </c>
      <c r="E583" s="26">
        <v>0</v>
      </c>
      <c r="F583" s="26">
        <f t="shared" si="314"/>
        <v>0</v>
      </c>
      <c r="G583" s="26">
        <v>4</v>
      </c>
      <c r="H583" s="9">
        <v>201818</v>
      </c>
      <c r="I583" s="15" t="str">
        <f>IFERROR(VLOOKUP(H583,monsters[#All],4,0),"")</f>
        <v>聒噪海贝</v>
      </c>
      <c r="J583" s="15" t="str" cm="1">
        <f t="array" ref="J583">_xlfn.LET(_xlpm.v6p,ABS(ATAN2(O583,P583))*6/PI(),
_xlpm.output,_xlfn.IFS(_xlpm.v6p&lt;1,"正前",_xlpm.v6p&gt;5,"正后",AND(_xlpm.v6p&lt;5,_xlpm.v6p&gt;2,P583&lt;-1),"脚底",_xlpm.v6p&gt;4,"后上",_xlpm.v6p&lt;2,"前上",TRUE,"顶部"),
IFERROR(_xlpm.output,""))</f>
        <v>正后</v>
      </c>
      <c r="K583" s="12"/>
      <c r="L583" s="12" t="s">
        <v>63</v>
      </c>
      <c r="M583" s="12" t="s">
        <v>63</v>
      </c>
      <c r="N583" s="19" t="str">
        <f t="shared" si="315"/>
        <v>-20,5</v>
      </c>
      <c r="O583" s="24">
        <v>-20</v>
      </c>
      <c r="P583" s="24">
        <v>5</v>
      </c>
      <c r="Q583" s="19">
        <f t="shared" si="316"/>
        <v>2.6457999999999999</v>
      </c>
      <c r="R583" s="24">
        <v>2.6457999999999999</v>
      </c>
      <c r="S583" s="9">
        <v>5</v>
      </c>
      <c r="T583" s="19" t="str">
        <f t="shared" si="317"/>
        <v>1,1</v>
      </c>
      <c r="U583" s="24">
        <v>1</v>
      </c>
      <c r="V583" s="24">
        <v>1</v>
      </c>
      <c r="W583" s="9">
        <v>0</v>
      </c>
      <c r="X583" s="9">
        <v>11</v>
      </c>
      <c r="Y583" s="19" t="str">
        <f t="shared" si="318"/>
        <v>-1805,-1800</v>
      </c>
      <c r="Z583" s="42" t="s">
        <v>345</v>
      </c>
      <c r="AA583" s="19" t="str">
        <f t="shared" si="319"/>
        <v>80,120</v>
      </c>
      <c r="AB583" s="41"/>
      <c r="AC583" s="9">
        <v>-76.074873238133449</v>
      </c>
      <c r="AD583" s="9">
        <v>96</v>
      </c>
      <c r="AE583" s="16"/>
      <c r="AF583" s="16"/>
      <c r="AG583" s="16"/>
      <c r="AI583" s="69" cm="1">
        <f t="array" ref="AI583">tuple_avg(T583)/tuple_avg(AA583)</f>
        <v>0.01</v>
      </c>
      <c r="AK583" s="69">
        <f>AD583*AI583*'-配置辅助'!$I$10</f>
        <v>16</v>
      </c>
      <c r="AM583" s="69">
        <f>AK583*_xlfn.XLOOKUP(H583,monsters[怪物id],monsters[HP],-1)</f>
        <v>496</v>
      </c>
    </row>
    <row r="584" spans="1:39" x14ac:dyDescent="0.2">
      <c r="A584" s="9">
        <v>42080002</v>
      </c>
      <c r="B584" s="9" t="str" cm="1">
        <f t="array" ref="B584">D584&amp;_xlfn.TEXTJOIN("",1,TEXT(E584:G584,"00"))</f>
        <v>4000005</v>
      </c>
      <c r="C584" s="30" t="str">
        <f t="shared" si="313"/>
        <v>42080002,4000005</v>
      </c>
      <c r="D584" s="26">
        <v>4</v>
      </c>
      <c r="E584" s="26">
        <v>0</v>
      </c>
      <c r="F584" s="26">
        <f t="shared" si="314"/>
        <v>0</v>
      </c>
      <c r="G584" s="26">
        <v>5</v>
      </c>
      <c r="H584" s="9">
        <v>201818</v>
      </c>
      <c r="I584" s="15" t="str">
        <f>IFERROR(VLOOKUP(H584,monsters[#All],4,0),"")</f>
        <v>聒噪海贝</v>
      </c>
      <c r="J584" s="15" t="str" cm="1">
        <f t="array" ref="J584">_xlfn.LET(_xlpm.v6p,ABS(ATAN2(O584,P584))*6/PI(),
_xlpm.output,_xlfn.IFS(_xlpm.v6p&lt;1,"正前",_xlpm.v6p&gt;5,"正后",AND(_xlpm.v6p&lt;5,_xlpm.v6p&gt;2,P584&lt;-1),"脚底",_xlpm.v6p&gt;4,"后上",_xlpm.v6p&lt;2,"前上",TRUE,"顶部"),
IFERROR(_xlpm.output,""))</f>
        <v>正后</v>
      </c>
      <c r="K584" s="12"/>
      <c r="L584" s="12" t="s">
        <v>63</v>
      </c>
      <c r="M584" s="12" t="s">
        <v>63</v>
      </c>
      <c r="N584" s="19" t="str">
        <f t="shared" si="315"/>
        <v>-20,5</v>
      </c>
      <c r="O584" s="24">
        <v>-20</v>
      </c>
      <c r="P584" s="24">
        <v>5</v>
      </c>
      <c r="Q584" s="19">
        <f t="shared" si="316"/>
        <v>2.6457999999999999</v>
      </c>
      <c r="R584" s="24">
        <v>2.6457999999999999</v>
      </c>
      <c r="S584" s="9">
        <v>5</v>
      </c>
      <c r="T584" s="19" t="str">
        <f t="shared" si="317"/>
        <v>1,1</v>
      </c>
      <c r="U584" s="24">
        <v>1</v>
      </c>
      <c r="V584" s="24">
        <v>1</v>
      </c>
      <c r="W584" s="9">
        <v>0</v>
      </c>
      <c r="X584" s="9">
        <v>11</v>
      </c>
      <c r="Y584" s="19" t="str">
        <f t="shared" si="318"/>
        <v>-2505,-2500</v>
      </c>
      <c r="Z584" s="42" t="s">
        <v>346</v>
      </c>
      <c r="AA584" s="19" t="str">
        <f t="shared" si="319"/>
        <v>80,120</v>
      </c>
      <c r="AB584" s="41"/>
      <c r="AC584" s="9">
        <v>-96</v>
      </c>
      <c r="AD584" s="9">
        <v>96</v>
      </c>
      <c r="AE584" s="16"/>
      <c r="AF584" s="16"/>
      <c r="AG584" s="16"/>
      <c r="AI584" s="69" cm="1">
        <f t="array" ref="AI584">tuple_avg(T584)/tuple_avg(AA584)</f>
        <v>0.01</v>
      </c>
      <c r="AK584" s="69">
        <f>AD584*AI584*'-配置辅助'!$I$10</f>
        <v>16</v>
      </c>
      <c r="AM584" s="69">
        <f>AK584*_xlfn.XLOOKUP(H584,monsters[怪物id],monsters[HP],-1)</f>
        <v>496</v>
      </c>
    </row>
    <row r="586" spans="1:39" x14ac:dyDescent="0.2">
      <c r="I586" s="77" t="s">
        <v>349</v>
      </c>
    </row>
    <row r="587" spans="1:39" x14ac:dyDescent="0.2">
      <c r="A587" s="9">
        <v>42080002</v>
      </c>
      <c r="B587" s="9" t="str" cm="1">
        <f t="array" ref="B587">D587&amp;_xlfn.TEXTJOIN("",1,TEXT(E587:G587,"00"))</f>
        <v>2010000</v>
      </c>
      <c r="C587" s="30" t="str">
        <f t="shared" ref="C587:C590" si="320">_xlfn.TEXTJOIN(",",1,A587:B587)</f>
        <v>42080002,2010000</v>
      </c>
      <c r="D587" s="26">
        <v>2</v>
      </c>
      <c r="E587" s="26">
        <v>1</v>
      </c>
      <c r="F587" s="26">
        <f>W587</f>
        <v>0</v>
      </c>
      <c r="G587" s="26">
        <v>0</v>
      </c>
      <c r="H587" s="9">
        <v>201801</v>
      </c>
      <c r="I587" s="15" t="str">
        <f>IFERROR(VLOOKUP(H587,monsters[#All],4,0),"")</f>
        <v>金鱼</v>
      </c>
      <c r="J587" s="15" t="str" cm="1">
        <f t="array" ref="J587">_xlfn.LET(_xlpm.v6p,ABS(ATAN2(O587,P587))*6/PI(),
_xlpm.output,_xlfn.IFS(_xlpm.v6p&lt;1,"正前",_xlpm.v6p&gt;5,"正后",AND(_xlpm.v6p&lt;5,_xlpm.v6p&gt;2,P587&lt;-1),"脚底",_xlpm.v6p&gt;4,"后上",_xlpm.v6p&lt;2,"前上",TRUE,"顶部"),
IFERROR(_xlpm.output,""))</f>
        <v>正前</v>
      </c>
      <c r="K587" s="12"/>
      <c r="L587" s="12" t="s">
        <v>63</v>
      </c>
      <c r="M587" s="12" t="s">
        <v>63</v>
      </c>
      <c r="N587" s="19" t="str">
        <f>O587+0&amp;","&amp;P587+0</f>
        <v>15,6</v>
      </c>
      <c r="O587" s="24">
        <v>15</v>
      </c>
      <c r="P587" s="24">
        <v>6</v>
      </c>
      <c r="Q587" s="19">
        <f>_xlfn.LET(_xlpm._default,1,
_xlpm._custom,R587,
IF($A587&lt;&gt;"",IF(_xlpm._custom&lt;&gt;"",_xlpm._custom,_xlpm._default),""))</f>
        <v>1</v>
      </c>
      <c r="R587" s="24">
        <v>1</v>
      </c>
      <c r="S587" s="16"/>
      <c r="T587" s="19" t="str">
        <f>IF(U587&lt;&gt;"", U587+0&amp;","&amp;V587+0,"")</f>
        <v>0,0</v>
      </c>
      <c r="U587" s="24">
        <v>0</v>
      </c>
      <c r="V587" s="24">
        <v>0</v>
      </c>
      <c r="W587" s="9">
        <v>0</v>
      </c>
      <c r="X587" s="9">
        <v>11</v>
      </c>
      <c r="Y587" s="19" t="str">
        <f>IF($A587&lt;&gt;"",IF($Z587&lt;&gt;"",$Z587,"0,0"),"")</f>
        <v>0,0</v>
      </c>
      <c r="Z587" s="41"/>
      <c r="AA587" s="19" t="str">
        <f>IF($A587&lt;&gt;"",IF($AB587&lt;&gt;"",$AB587,"80,120"),"")</f>
        <v>100,100</v>
      </c>
      <c r="AB587" s="41" t="s">
        <v>343</v>
      </c>
      <c r="AC587" s="16"/>
      <c r="AD587" s="16"/>
      <c r="AE587" s="16"/>
      <c r="AF587" s="9">
        <v>33</v>
      </c>
      <c r="AG587" s="9">
        <v>40</v>
      </c>
      <c r="AI587" s="69" cm="1">
        <f t="array" ref="AI587">tuple_avg(T587)/tuple_avg(AA587)</f>
        <v>0</v>
      </c>
      <c r="AK587" s="69">
        <f>AD587*AI587*'-配置辅助'!$I$10</f>
        <v>0</v>
      </c>
      <c r="AM587" s="69">
        <f>AK587*_xlfn.XLOOKUP(H587,monsters[怪物id],monsters[HP],-1)</f>
        <v>0</v>
      </c>
    </row>
    <row r="588" spans="1:39" x14ac:dyDescent="0.2">
      <c r="A588" s="9">
        <v>42080002</v>
      </c>
      <c r="B588" s="9" t="str" cm="1">
        <f t="array" ref="B588">D588&amp;_xlfn.TEXTJOIN("",1,TEXT(E588:G588,"00"))</f>
        <v>2020000</v>
      </c>
      <c r="C588" s="30" t="str">
        <f t="shared" si="320"/>
        <v>42080002,2020000</v>
      </c>
      <c r="D588" s="26">
        <v>2</v>
      </c>
      <c r="E588" s="26">
        <v>2</v>
      </c>
      <c r="F588" s="26">
        <f>W588</f>
        <v>0</v>
      </c>
      <c r="G588" s="26">
        <v>0</v>
      </c>
      <c r="H588" s="9">
        <v>201801</v>
      </c>
      <c r="I588" s="15" t="str">
        <f>IFERROR(VLOOKUP(H588,monsters[#All],4,0),"")</f>
        <v>金鱼</v>
      </c>
      <c r="J588" s="15" t="str" cm="1">
        <f t="array" ref="J588">_xlfn.LET(_xlpm.v6p,ABS(ATAN2(O588,P588))*6/PI(),
_xlpm.output,_xlfn.IFS(_xlpm.v6p&lt;1,"正前",_xlpm.v6p&gt;5,"正后",AND(_xlpm.v6p&lt;5,_xlpm.v6p&gt;2,P588&lt;-1),"脚底",_xlpm.v6p&gt;4,"后上",_xlpm.v6p&lt;2,"前上",TRUE,"顶部"),
IFERROR(_xlpm.output,""))</f>
        <v>顶部</v>
      </c>
      <c r="K588" s="12"/>
      <c r="L588" s="12" t="s">
        <v>63</v>
      </c>
      <c r="M588" s="12" t="s">
        <v>63</v>
      </c>
      <c r="N588" s="19" t="str">
        <f>O588+0&amp;","&amp;P588+0</f>
        <v>6,14</v>
      </c>
      <c r="O588" s="24">
        <v>6</v>
      </c>
      <c r="P588" s="24">
        <v>14</v>
      </c>
      <c r="Q588" s="19">
        <f>_xlfn.LET(_xlpm._default,1,
_xlpm._custom,R588,
IF($A588&lt;&gt;"",IF(_xlpm._custom&lt;&gt;"",_xlpm._custom,_xlpm._default),""))</f>
        <v>1.7321</v>
      </c>
      <c r="R588" s="24">
        <v>1.7321</v>
      </c>
      <c r="S588" s="16"/>
      <c r="T588" s="19" t="str">
        <f>IF(U588&lt;&gt;"", U588+0&amp;","&amp;V588+0,"")</f>
        <v>0,0</v>
      </c>
      <c r="U588" s="24">
        <v>0</v>
      </c>
      <c r="V588" s="24">
        <v>0</v>
      </c>
      <c r="W588" s="9">
        <v>0</v>
      </c>
      <c r="X588" s="9">
        <v>11</v>
      </c>
      <c r="Y588" s="19" t="str">
        <f>IF($A588&lt;&gt;"",IF($Z588&lt;&gt;"",$Z588,"0,0"),"")</f>
        <v>0,0</v>
      </c>
      <c r="Z588" s="41"/>
      <c r="AA588" s="19" t="str">
        <f>IF($A588&lt;&gt;"",IF($AB588&lt;&gt;"",$AB588,"80,120"),"")</f>
        <v>100,100</v>
      </c>
      <c r="AB588" s="41" t="s">
        <v>343</v>
      </c>
      <c r="AC588" s="16"/>
      <c r="AD588" s="16"/>
      <c r="AE588" s="16"/>
      <c r="AF588" s="9">
        <v>33</v>
      </c>
      <c r="AG588" s="9">
        <v>40</v>
      </c>
      <c r="AI588" s="69" cm="1">
        <f t="array" ref="AI588">tuple_avg(T588)/tuple_avg(AA588)</f>
        <v>0</v>
      </c>
      <c r="AK588" s="69">
        <f>AD588*AI588*'-配置辅助'!$I$10</f>
        <v>0</v>
      </c>
      <c r="AM588" s="69">
        <f>AK588*_xlfn.XLOOKUP(H588,monsters[怪物id],monsters[HP],-1)</f>
        <v>0</v>
      </c>
    </row>
    <row r="589" spans="1:39" x14ac:dyDescent="0.2">
      <c r="A589" s="9">
        <v>42080002</v>
      </c>
      <c r="B589" s="9" t="str" cm="1">
        <f t="array" ref="B589">D589&amp;_xlfn.TEXTJOIN("",1,TEXT(E589:G589,"00"))</f>
        <v>2030000</v>
      </c>
      <c r="C589" s="30" t="str">
        <f t="shared" si="320"/>
        <v>42080002,2030000</v>
      </c>
      <c r="D589" s="26">
        <v>2</v>
      </c>
      <c r="E589" s="26">
        <v>3</v>
      </c>
      <c r="F589" s="26">
        <f>W589</f>
        <v>0</v>
      </c>
      <c r="G589" s="26">
        <v>0</v>
      </c>
      <c r="H589" s="9">
        <v>201801</v>
      </c>
      <c r="I589" s="15" t="str">
        <f>IFERROR(VLOOKUP(H589,monsters[#All],4,0),"")</f>
        <v>金鱼</v>
      </c>
      <c r="J589" s="15" t="str" cm="1">
        <f t="array" ref="J589">_xlfn.LET(_xlpm.v6p,ABS(ATAN2(O589,P589))*6/PI(),
_xlpm.output,_xlfn.IFS(_xlpm.v6p&lt;1,"正前",_xlpm.v6p&gt;5,"正后",AND(_xlpm.v6p&lt;5,_xlpm.v6p&gt;2,P589&lt;-1),"脚底",_xlpm.v6p&gt;4,"后上",_xlpm.v6p&lt;2,"前上",TRUE,"顶部"),
IFERROR(_xlpm.output,""))</f>
        <v>正前</v>
      </c>
      <c r="K589" s="12"/>
      <c r="L589" s="12" t="s">
        <v>63</v>
      </c>
      <c r="M589" s="12" t="s">
        <v>63</v>
      </c>
      <c r="N589" s="19" t="str">
        <f>O589+0&amp;","&amp;P589+0</f>
        <v>15,6</v>
      </c>
      <c r="O589" s="24">
        <v>15</v>
      </c>
      <c r="P589" s="24">
        <v>6</v>
      </c>
      <c r="Q589" s="19">
        <f>_xlfn.LET(_xlpm._default,1,
_xlpm._custom,R589,
IF($A589&lt;&gt;"",IF(_xlpm._custom&lt;&gt;"",_xlpm._custom,_xlpm._default),""))</f>
        <v>2.2361</v>
      </c>
      <c r="R589" s="24">
        <v>2.2361</v>
      </c>
      <c r="S589" s="16"/>
      <c r="T589" s="19" t="str">
        <f>IF(U589&lt;&gt;"", U589+0&amp;","&amp;V589+0,"")</f>
        <v>0,0</v>
      </c>
      <c r="U589" s="24">
        <v>0</v>
      </c>
      <c r="V589" s="24">
        <v>0</v>
      </c>
      <c r="W589" s="9">
        <v>0</v>
      </c>
      <c r="X589" s="9">
        <v>11</v>
      </c>
      <c r="Y589" s="19" t="str">
        <f>IF($A589&lt;&gt;"",IF($Z589&lt;&gt;"",$Z589,"0,0"),"")</f>
        <v>0,0</v>
      </c>
      <c r="Z589" s="41"/>
      <c r="AA589" s="19" t="str">
        <f>IF($A589&lt;&gt;"",IF($AB589&lt;&gt;"",$AB589,"80,120"),"")</f>
        <v>100,100</v>
      </c>
      <c r="AB589" s="41" t="s">
        <v>343</v>
      </c>
      <c r="AC589" s="16"/>
      <c r="AD589" s="16"/>
      <c r="AE589" s="16"/>
      <c r="AF589" s="9">
        <v>33</v>
      </c>
      <c r="AG589" s="9">
        <v>40</v>
      </c>
      <c r="AI589" s="69" cm="1">
        <f t="array" ref="AI589">tuple_avg(T589)/tuple_avg(AA589)</f>
        <v>0</v>
      </c>
      <c r="AK589" s="69">
        <f>AD589*AI589*'-配置辅助'!$I$10</f>
        <v>0</v>
      </c>
      <c r="AM589" s="69">
        <f>AK589*_xlfn.XLOOKUP(H589,monsters[怪物id],monsters[HP],-1)</f>
        <v>0</v>
      </c>
    </row>
    <row r="590" spans="1:39" x14ac:dyDescent="0.2">
      <c r="A590" s="9">
        <v>42080002</v>
      </c>
      <c r="B590" s="9" t="str" cm="1">
        <f t="array" ref="B590">D590&amp;_xlfn.TEXTJOIN("",1,TEXT(E590:G590,"00"))</f>
        <v>2040000</v>
      </c>
      <c r="C590" s="30" t="str">
        <f t="shared" si="320"/>
        <v>42080002,2040000</v>
      </c>
      <c r="D590" s="26">
        <v>2</v>
      </c>
      <c r="E590" s="26">
        <v>4</v>
      </c>
      <c r="F590" s="26">
        <f>W590</f>
        <v>0</v>
      </c>
      <c r="G590" s="26">
        <v>0</v>
      </c>
      <c r="H590" s="9">
        <v>201801</v>
      </c>
      <c r="I590" s="15" t="str">
        <f>IFERROR(VLOOKUP(H590,monsters[#All],4,0),"")</f>
        <v>金鱼</v>
      </c>
      <c r="J590" s="15" t="str" cm="1">
        <f t="array" ref="J590">_xlfn.LET(_xlpm.v6p,ABS(ATAN2(O590,P590))*6/PI(),
_xlpm.output,_xlfn.IFS(_xlpm.v6p&lt;1,"正前",_xlpm.v6p&gt;5,"正后",AND(_xlpm.v6p&lt;5,_xlpm.v6p&gt;2,P590&lt;-1),"脚底",_xlpm.v6p&gt;4,"后上",_xlpm.v6p&lt;2,"前上",TRUE,"顶部"),
IFERROR(_xlpm.output,""))</f>
        <v>正后</v>
      </c>
      <c r="K590" s="12"/>
      <c r="L590" s="12" t="s">
        <v>63</v>
      </c>
      <c r="M590" s="12" t="s">
        <v>63</v>
      </c>
      <c r="N590" s="19" t="str">
        <f>O590+0&amp;","&amp;P590+0</f>
        <v>-15,6</v>
      </c>
      <c r="O590" s="24">
        <v>-15</v>
      </c>
      <c r="P590" s="24">
        <v>6</v>
      </c>
      <c r="Q590" s="19">
        <f>_xlfn.LET(_xlpm._default,1,
_xlpm._custom,R590,
IF($A590&lt;&gt;"",IF(_xlpm._custom&lt;&gt;"",_xlpm._custom,_xlpm._default),""))</f>
        <v>2.6457999999999999</v>
      </c>
      <c r="R590" s="24">
        <v>2.6457999999999999</v>
      </c>
      <c r="S590" s="16"/>
      <c r="T590" s="19" t="str">
        <f>IF(U590&lt;&gt;"", U590+0&amp;","&amp;V590+0,"")</f>
        <v>0,0</v>
      </c>
      <c r="U590" s="24">
        <v>0</v>
      </c>
      <c r="V590" s="24">
        <v>0</v>
      </c>
      <c r="W590" s="9">
        <v>0</v>
      </c>
      <c r="X590" s="9">
        <v>11</v>
      </c>
      <c r="Y590" s="19" t="str">
        <f>IF($A590&lt;&gt;"",IF($Z590&lt;&gt;"",$Z590,"0,0"),"")</f>
        <v>0,0</v>
      </c>
      <c r="Z590" s="41"/>
      <c r="AA590" s="19" t="str">
        <f>IF($A590&lt;&gt;"",IF($AB590&lt;&gt;"",$AB590,"80,120"),"")</f>
        <v>100,100</v>
      </c>
      <c r="AB590" s="41" t="s">
        <v>343</v>
      </c>
      <c r="AC590" s="16"/>
      <c r="AD590" s="16"/>
      <c r="AE590" s="16"/>
      <c r="AF590" s="9">
        <v>33</v>
      </c>
      <c r="AG590" s="9">
        <v>40</v>
      </c>
      <c r="AI590" s="69" cm="1">
        <f t="array" ref="AI590">tuple_avg(T590)/tuple_avg(AA590)</f>
        <v>0</v>
      </c>
      <c r="AK590" s="69">
        <f>AD590*AI590*'-配置辅助'!$I$10</f>
        <v>0</v>
      </c>
      <c r="AM590" s="69">
        <f>AK590*_xlfn.XLOOKUP(H590,monsters[怪物id],monsters[HP],-1)</f>
        <v>0</v>
      </c>
    </row>
    <row r="593" spans="1:41" s="40" customFormat="1" x14ac:dyDescent="0.2">
      <c r="A593" s="43"/>
      <c r="B593" s="43"/>
      <c r="C593" s="44"/>
      <c r="D593" s="45"/>
      <c r="E593" s="45"/>
      <c r="F593" s="45"/>
      <c r="G593" s="45"/>
      <c r="H593" s="43" t="s">
        <v>354</v>
      </c>
      <c r="I593" s="46"/>
      <c r="J593" s="46"/>
      <c r="O593" s="47"/>
      <c r="P593" s="47"/>
      <c r="R593" s="47"/>
      <c r="S593" s="40" t="s">
        <v>62</v>
      </c>
      <c r="U593" s="47"/>
      <c r="V593" s="47"/>
      <c r="Z593" s="47"/>
      <c r="AB593" s="47"/>
      <c r="AC593" s="40" t="s">
        <v>62</v>
      </c>
      <c r="AI593" s="75"/>
      <c r="AJ593" s="75"/>
      <c r="AK593" s="75">
        <f>SUM(AK595:AK600)</f>
        <v>120</v>
      </c>
      <c r="AL593" s="75"/>
      <c r="AM593" s="75">
        <f>SUM(AM595:AM600)</f>
        <v>2280</v>
      </c>
      <c r="AN593" s="75"/>
      <c r="AO593" s="75"/>
    </row>
    <row r="595" spans="1:41" x14ac:dyDescent="0.2">
      <c r="A595" s="9">
        <v>42080003</v>
      </c>
      <c r="B595" s="9" t="str" cm="1">
        <f t="array" ref="B595">D595&amp;_xlfn.TEXTJOIN("",1,TEXT(E595:G595,"00"))</f>
        <v>1000000</v>
      </c>
      <c r="C595" s="30" t="str">
        <f t="shared" ref="C595:C600" si="321">_xlfn.TEXTJOIN(",",1,A595:B595)</f>
        <v>42080003,1000000</v>
      </c>
      <c r="D595" s="26">
        <v>1</v>
      </c>
      <c r="E595" s="26">
        <v>0</v>
      </c>
      <c r="F595" s="26">
        <f t="shared" ref="F595:F600" si="322">W595</f>
        <v>0</v>
      </c>
      <c r="G595" s="26">
        <v>0</v>
      </c>
      <c r="H595" s="9">
        <v>201801</v>
      </c>
      <c r="I595" s="15" t="str">
        <f>IFERROR(VLOOKUP(H595,monsters[#All],4,0),"")</f>
        <v>金鱼</v>
      </c>
      <c r="J595" s="15" t="str" cm="1">
        <f t="array" ref="J595">_xlfn.LET(_xlpm.v6p,ABS(ATAN2(O595,P595))*6/PI(),
_xlpm.output,_xlfn.IFS(_xlpm.v6p&lt;1,"正前",_xlpm.v6p&gt;5,"正后",AND(_xlpm.v6p&lt;5,_xlpm.v6p&gt;2,P595&lt;-1),"脚底",_xlpm.v6p&gt;4,"后上",_xlpm.v6p&lt;2,"前上",TRUE,"顶部"),
IFERROR(_xlpm.output,""))</f>
        <v>正后</v>
      </c>
      <c r="K595" s="12"/>
      <c r="L595" s="12" t="s">
        <v>63</v>
      </c>
      <c r="M595" s="12" t="s">
        <v>63</v>
      </c>
      <c r="N595" s="19" t="str">
        <f t="shared" ref="N595:N600" si="323">O595+0&amp;","&amp;P595+0</f>
        <v>-20,5</v>
      </c>
      <c r="O595" s="24">
        <v>-20</v>
      </c>
      <c r="P595" s="24">
        <v>5</v>
      </c>
      <c r="Q595" s="19">
        <f t="shared" ref="Q595:Q600" si="324">_xlfn.LET(_xlpm._default,1,
_xlpm._custom,R595,
IF($A595&lt;&gt;"",IF(_xlpm._custom&lt;&gt;"",_xlpm._custom,_xlpm._default),""))</f>
        <v>1</v>
      </c>
      <c r="R595" s="24">
        <v>1</v>
      </c>
      <c r="S595" s="9">
        <v>8</v>
      </c>
      <c r="T595" s="19" t="str">
        <f t="shared" ref="T595:T600" si="325">IF(U595&lt;&gt;"", U595+0&amp;","&amp;V595+0,"")</f>
        <v>1,1</v>
      </c>
      <c r="U595" s="24">
        <v>1</v>
      </c>
      <c r="V595" s="24">
        <v>1</v>
      </c>
      <c r="W595" s="9">
        <v>0</v>
      </c>
      <c r="X595" s="9">
        <v>11</v>
      </c>
      <c r="Y595" s="19" t="str">
        <f t="shared" ref="Y595:Y600" si="326">IF($A595&lt;&gt;"",IF($Z595&lt;&gt;"",$Z595,"0,0"),"")</f>
        <v>0,0</v>
      </c>
      <c r="Z595" s="41"/>
      <c r="AA595" s="19" t="str">
        <f t="shared" ref="AA595:AA600" si="327">IF($A595&lt;&gt;"",IF($AB595&lt;&gt;"",$AB595,"80,120"),"")</f>
        <v>80,120</v>
      </c>
      <c r="AB595" s="41"/>
      <c r="AC595" s="9" cm="1">
        <f t="array" ref="AC595:AD600">_xlfn.LET(_xlpm._lvl,MOD($A595,10),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_xlpm._seq,G595:G600,
_xlfn.MAKEARRAY(ROWS(_xlpm._seq),2,_xlfn.LAMBDA(_xlpm.x,_xlpm.y,IF(_xlpm.y=1,-_xlpm._generate_rate/_xlpm._v_begin*(_xlpm._v_begin/_xlpm._v_max)^(INDEX(_xlpm._seq,_xlpm.x)/MAX(_xlpm._seq)),_xlpm._generate_rate))
))</f>
        <v>-31.578947368421055</v>
      </c>
      <c r="AD595" s="9">
        <v>120</v>
      </c>
      <c r="AE595" s="16"/>
      <c r="AF595" s="16"/>
      <c r="AG595" s="16"/>
      <c r="AI595" s="69" cm="1">
        <f t="array" ref="AI595">tuple_avg(T595)/tuple_avg(AA595)</f>
        <v>0.01</v>
      </c>
      <c r="AK595" s="69">
        <f>AD595*AI595*'-配置辅助'!$I$10</f>
        <v>20</v>
      </c>
      <c r="AM595" s="69">
        <f>AK595*_xlfn.XLOOKUP(H595,monsters[怪物id],monsters[HP],-1)</f>
        <v>380</v>
      </c>
    </row>
    <row r="596" spans="1:41" x14ac:dyDescent="0.2">
      <c r="A596" s="9">
        <v>42080003</v>
      </c>
      <c r="B596" s="9" t="str" cm="1">
        <f t="array" ref="B596">D596&amp;_xlfn.TEXTJOIN("",1,TEXT(E596:G596,"00"))</f>
        <v>1000001</v>
      </c>
      <c r="C596" s="30" t="str">
        <f t="shared" si="321"/>
        <v>42080003,1000001</v>
      </c>
      <c r="D596" s="26">
        <v>1</v>
      </c>
      <c r="E596" s="76">
        <v>0</v>
      </c>
      <c r="F596" s="26">
        <f t="shared" si="322"/>
        <v>0</v>
      </c>
      <c r="G596" s="26">
        <v>1</v>
      </c>
      <c r="H596" s="9">
        <v>201801</v>
      </c>
      <c r="I596" s="15" t="str">
        <f>IFERROR(VLOOKUP(H596,monsters[#All],4,0),"")</f>
        <v>金鱼</v>
      </c>
      <c r="J596" s="15" t="str" cm="1">
        <f t="array" ref="J596">_xlfn.LET(_xlpm.v6p,ABS(ATAN2(O596,P596))*6/PI(),
_xlpm.output,_xlfn.IFS(_xlpm.v6p&lt;1,"正前",_xlpm.v6p&gt;5,"正后",AND(_xlpm.v6p&lt;5,_xlpm.v6p&gt;2,P596&lt;-1),"脚底",_xlpm.v6p&gt;4,"后上",_xlpm.v6p&lt;2,"前上",TRUE,"顶部"),
IFERROR(_xlpm.output,""))</f>
        <v>正后</v>
      </c>
      <c r="K596" s="12"/>
      <c r="L596" s="12" t="s">
        <v>63</v>
      </c>
      <c r="M596" s="12" t="s">
        <v>63</v>
      </c>
      <c r="N596" s="19" t="str">
        <f t="shared" si="323"/>
        <v>-20,5</v>
      </c>
      <c r="O596" s="24">
        <v>-20</v>
      </c>
      <c r="P596" s="24">
        <v>5</v>
      </c>
      <c r="Q596" s="19">
        <f t="shared" si="324"/>
        <v>1.7321</v>
      </c>
      <c r="R596" s="24">
        <v>1.7321</v>
      </c>
      <c r="S596" s="9">
        <v>8</v>
      </c>
      <c r="T596" s="19" t="str">
        <f t="shared" si="325"/>
        <v>1,1</v>
      </c>
      <c r="U596" s="24">
        <v>1</v>
      </c>
      <c r="V596" s="24">
        <v>1</v>
      </c>
      <c r="W596" s="9">
        <v>0</v>
      </c>
      <c r="X596" s="9">
        <v>11</v>
      </c>
      <c r="Y596" s="19" t="str">
        <f t="shared" si="326"/>
        <v>-305,-300</v>
      </c>
      <c r="Z596" s="42" t="s">
        <v>269</v>
      </c>
      <c r="AA596" s="19" t="str">
        <f t="shared" si="327"/>
        <v>80,120</v>
      </c>
      <c r="AB596" s="41"/>
      <c r="AC596" s="9">
        <v>-38.030857427746881</v>
      </c>
      <c r="AD596" s="9">
        <v>120</v>
      </c>
      <c r="AE596" s="16"/>
      <c r="AF596" s="16"/>
      <c r="AG596" s="16"/>
      <c r="AI596" s="69" cm="1">
        <f t="array" ref="AI596">tuple_avg(T596)/tuple_avg(AA596)</f>
        <v>0.01</v>
      </c>
      <c r="AK596" s="69">
        <f>AD596*AI596*'-配置辅助'!$I$10</f>
        <v>20</v>
      </c>
      <c r="AM596" s="69">
        <f>AK596*_xlfn.XLOOKUP(H596,monsters[怪物id],monsters[HP],-1)</f>
        <v>380</v>
      </c>
    </row>
    <row r="597" spans="1:41" x14ac:dyDescent="0.2">
      <c r="A597" s="9">
        <v>42080003</v>
      </c>
      <c r="B597" s="9" t="str" cm="1">
        <f t="array" ref="B597">D597&amp;_xlfn.TEXTJOIN("",1,TEXT(E597:G597,"00"))</f>
        <v>1000002</v>
      </c>
      <c r="C597" s="30" t="str">
        <f t="shared" si="321"/>
        <v>42080003,1000002</v>
      </c>
      <c r="D597" s="26">
        <v>1</v>
      </c>
      <c r="E597" s="26">
        <v>0</v>
      </c>
      <c r="F597" s="26">
        <f t="shared" si="322"/>
        <v>0</v>
      </c>
      <c r="G597" s="26">
        <v>2</v>
      </c>
      <c r="H597" s="9">
        <v>201801</v>
      </c>
      <c r="I597" s="15" t="str">
        <f>IFERROR(VLOOKUP(H597,monsters[#All],4,0),"")</f>
        <v>金鱼</v>
      </c>
      <c r="J597" s="15" t="str" cm="1">
        <f t="array" ref="J597">_xlfn.LET(_xlpm.v6p,ABS(ATAN2(O597,P597))*6/PI(),
_xlpm.output,_xlfn.IFS(_xlpm.v6p&lt;1,"正前",_xlpm.v6p&gt;5,"正后",AND(_xlpm.v6p&lt;5,_xlpm.v6p&gt;2,P597&lt;-1),"脚底",_xlpm.v6p&gt;4,"后上",_xlpm.v6p&lt;2,"前上",TRUE,"顶部"),
IFERROR(_xlpm.output,""))</f>
        <v>正后</v>
      </c>
      <c r="K597" s="12"/>
      <c r="L597" s="12" t="s">
        <v>63</v>
      </c>
      <c r="M597" s="12" t="s">
        <v>63</v>
      </c>
      <c r="N597" s="19" t="str">
        <f t="shared" si="323"/>
        <v>-20,5</v>
      </c>
      <c r="O597" s="24">
        <v>-20</v>
      </c>
      <c r="P597" s="24">
        <v>5</v>
      </c>
      <c r="Q597" s="19">
        <f t="shared" si="324"/>
        <v>2.2361</v>
      </c>
      <c r="R597" s="24">
        <v>2.2361</v>
      </c>
      <c r="S597" s="9">
        <v>7</v>
      </c>
      <c r="T597" s="19" t="str">
        <f t="shared" si="325"/>
        <v>1,1</v>
      </c>
      <c r="U597" s="24">
        <v>1</v>
      </c>
      <c r="V597" s="24">
        <v>1</v>
      </c>
      <c r="W597" s="9">
        <v>0</v>
      </c>
      <c r="X597" s="9">
        <v>11</v>
      </c>
      <c r="Y597" s="19" t="str">
        <f t="shared" si="326"/>
        <v>-705,-700</v>
      </c>
      <c r="Z597" s="42" t="s">
        <v>134</v>
      </c>
      <c r="AA597" s="19" t="str">
        <f t="shared" si="327"/>
        <v>80,120</v>
      </c>
      <c r="AB597" s="41"/>
      <c r="AC597" s="9">
        <v>-45.800960361837632</v>
      </c>
      <c r="AD597" s="9">
        <v>120</v>
      </c>
      <c r="AE597" s="16"/>
      <c r="AF597" s="16"/>
      <c r="AG597" s="16"/>
      <c r="AI597" s="69" cm="1">
        <f t="array" ref="AI597">tuple_avg(T597)/tuple_avg(AA597)</f>
        <v>0.01</v>
      </c>
      <c r="AK597" s="69">
        <f>AD597*AI597*'-配置辅助'!$I$10</f>
        <v>20</v>
      </c>
      <c r="AM597" s="69">
        <f>AK597*_xlfn.XLOOKUP(H597,monsters[怪物id],monsters[HP],-1)</f>
        <v>380</v>
      </c>
    </row>
    <row r="598" spans="1:41" x14ac:dyDescent="0.2">
      <c r="A598" s="9">
        <v>42080003</v>
      </c>
      <c r="B598" s="9" t="str" cm="1">
        <f t="array" ref="B598">D598&amp;_xlfn.TEXTJOIN("",1,TEXT(E598:G598,"00"))</f>
        <v>1000003</v>
      </c>
      <c r="C598" s="30" t="str">
        <f t="shared" si="321"/>
        <v>42080003,1000003</v>
      </c>
      <c r="D598" s="26">
        <v>1</v>
      </c>
      <c r="E598" s="26">
        <v>0</v>
      </c>
      <c r="F598" s="26">
        <f t="shared" si="322"/>
        <v>0</v>
      </c>
      <c r="G598" s="26">
        <v>3</v>
      </c>
      <c r="H598" s="9">
        <v>201801</v>
      </c>
      <c r="I598" s="15" t="str">
        <f>IFERROR(VLOOKUP(H598,monsters[#All],4,0),"")</f>
        <v>金鱼</v>
      </c>
      <c r="J598" s="15" t="str" cm="1">
        <f t="array" ref="J598">_xlfn.LET(_xlpm.v6p,ABS(ATAN2(O598,P598))*6/PI(),
_xlpm.output,_xlfn.IFS(_xlpm.v6p&lt;1,"正前",_xlpm.v6p&gt;5,"正后",AND(_xlpm.v6p&lt;5,_xlpm.v6p&gt;2,P598&lt;-1),"脚底",_xlpm.v6p&gt;4,"后上",_xlpm.v6p&lt;2,"前上",TRUE,"顶部"),
IFERROR(_xlpm.output,""))</f>
        <v>正后</v>
      </c>
      <c r="K598" s="12"/>
      <c r="L598" s="12" t="s">
        <v>63</v>
      </c>
      <c r="M598" s="12" t="s">
        <v>63</v>
      </c>
      <c r="N598" s="19" t="str">
        <f t="shared" si="323"/>
        <v>-20,5</v>
      </c>
      <c r="O598" s="24">
        <v>-20</v>
      </c>
      <c r="P598" s="24">
        <v>5</v>
      </c>
      <c r="Q598" s="19">
        <f t="shared" si="324"/>
        <v>2.6457999999999999</v>
      </c>
      <c r="R598" s="24">
        <v>2.6457999999999999</v>
      </c>
      <c r="S598" s="9">
        <v>6</v>
      </c>
      <c r="T598" s="19" t="str">
        <f t="shared" si="325"/>
        <v>1,1</v>
      </c>
      <c r="U598" s="24">
        <v>1</v>
      </c>
      <c r="V598" s="24">
        <v>1</v>
      </c>
      <c r="W598" s="9">
        <v>0</v>
      </c>
      <c r="X598" s="9">
        <v>11</v>
      </c>
      <c r="Y598" s="19" t="str">
        <f t="shared" si="326"/>
        <v>-1205,-1200</v>
      </c>
      <c r="Z598" s="42" t="s">
        <v>344</v>
      </c>
      <c r="AA598" s="19" t="str">
        <f t="shared" si="327"/>
        <v>80,120</v>
      </c>
      <c r="AB598" s="41"/>
      <c r="AC598" s="9">
        <v>-55.158576796539535</v>
      </c>
      <c r="AD598" s="9">
        <v>120</v>
      </c>
      <c r="AE598" s="16"/>
      <c r="AF598" s="16"/>
      <c r="AG598" s="16"/>
      <c r="AI598" s="69" cm="1">
        <f t="array" ref="AI598">tuple_avg(T598)/tuple_avg(AA598)</f>
        <v>0.01</v>
      </c>
      <c r="AK598" s="69">
        <f>AD598*AI598*'-配置辅助'!$I$10</f>
        <v>20</v>
      </c>
      <c r="AM598" s="69">
        <f>AK598*_xlfn.XLOOKUP(H598,monsters[怪物id],monsters[HP],-1)</f>
        <v>380</v>
      </c>
    </row>
    <row r="599" spans="1:41" x14ac:dyDescent="0.2">
      <c r="A599" s="9">
        <v>42080003</v>
      </c>
      <c r="B599" s="9" t="str" cm="1">
        <f t="array" ref="B599">D599&amp;_xlfn.TEXTJOIN("",1,TEXT(E599:G599,"00"))</f>
        <v>1000004</v>
      </c>
      <c r="C599" s="30" t="str">
        <f t="shared" si="321"/>
        <v>42080003,1000004</v>
      </c>
      <c r="D599" s="26">
        <v>1</v>
      </c>
      <c r="E599" s="26">
        <v>0</v>
      </c>
      <c r="F599" s="26">
        <f t="shared" si="322"/>
        <v>0</v>
      </c>
      <c r="G599" s="26">
        <v>4</v>
      </c>
      <c r="H599" s="9">
        <v>201801</v>
      </c>
      <c r="I599" s="15" t="str">
        <f>IFERROR(VLOOKUP(H599,monsters[#All],4,0),"")</f>
        <v>金鱼</v>
      </c>
      <c r="J599" s="15" t="str" cm="1">
        <f t="array" ref="J599">_xlfn.LET(_xlpm.v6p,ABS(ATAN2(O599,P599))*6/PI(),
_xlpm.output,_xlfn.IFS(_xlpm.v6p&lt;1,"正前",_xlpm.v6p&gt;5,"正后",AND(_xlpm.v6p&lt;5,_xlpm.v6p&gt;2,P599&lt;-1),"脚底",_xlpm.v6p&gt;4,"后上",_xlpm.v6p&lt;2,"前上",TRUE,"顶部"),
IFERROR(_xlpm.output,""))</f>
        <v>正后</v>
      </c>
      <c r="K599" s="12"/>
      <c r="L599" s="12" t="s">
        <v>63</v>
      </c>
      <c r="M599" s="12" t="s">
        <v>63</v>
      </c>
      <c r="N599" s="19" t="str">
        <f t="shared" si="323"/>
        <v>-20,5</v>
      </c>
      <c r="O599" s="24">
        <v>-20</v>
      </c>
      <c r="P599" s="24">
        <v>5</v>
      </c>
      <c r="Q599" s="19">
        <f t="shared" si="324"/>
        <v>2.6457999999999999</v>
      </c>
      <c r="R599" s="24">
        <v>2.6457999999999999</v>
      </c>
      <c r="S599" s="9">
        <v>5</v>
      </c>
      <c r="T599" s="19" t="str">
        <f t="shared" si="325"/>
        <v>1,1</v>
      </c>
      <c r="U599" s="24">
        <v>1</v>
      </c>
      <c r="V599" s="24">
        <v>1</v>
      </c>
      <c r="W599" s="9">
        <v>0</v>
      </c>
      <c r="X599" s="9">
        <v>11</v>
      </c>
      <c r="Y599" s="19" t="str">
        <f t="shared" si="326"/>
        <v>-1805,-1800</v>
      </c>
      <c r="Z599" s="42" t="s">
        <v>345</v>
      </c>
      <c r="AA599" s="19" t="str">
        <f t="shared" si="327"/>
        <v>80,120</v>
      </c>
      <c r="AB599" s="41"/>
      <c r="AC599" s="9">
        <v>-66.428052385443038</v>
      </c>
      <c r="AD599" s="9">
        <v>120</v>
      </c>
      <c r="AE599" s="16"/>
      <c r="AF599" s="16"/>
      <c r="AG599" s="16"/>
      <c r="AI599" s="69" cm="1">
        <f t="array" ref="AI599">tuple_avg(T599)/tuple_avg(AA599)</f>
        <v>0.01</v>
      </c>
      <c r="AK599" s="69">
        <f>AD599*AI599*'-配置辅助'!$I$10</f>
        <v>20</v>
      </c>
      <c r="AM599" s="69">
        <f>AK599*_xlfn.XLOOKUP(H599,monsters[怪物id],monsters[HP],-1)</f>
        <v>380</v>
      </c>
    </row>
    <row r="600" spans="1:41" x14ac:dyDescent="0.2">
      <c r="A600" s="9">
        <v>42080003</v>
      </c>
      <c r="B600" s="9" t="str" cm="1">
        <f t="array" ref="B600">D600&amp;_xlfn.TEXTJOIN("",1,TEXT(E600:G600,"00"))</f>
        <v>1000005</v>
      </c>
      <c r="C600" s="30" t="str">
        <f t="shared" si="321"/>
        <v>42080003,1000005</v>
      </c>
      <c r="D600" s="26">
        <v>1</v>
      </c>
      <c r="E600" s="26">
        <v>0</v>
      </c>
      <c r="F600" s="26">
        <f t="shared" si="322"/>
        <v>0</v>
      </c>
      <c r="G600" s="26">
        <v>5</v>
      </c>
      <c r="H600" s="9">
        <v>201801</v>
      </c>
      <c r="I600" s="15" t="str">
        <f>IFERROR(VLOOKUP(H600,monsters[#All],4,0),"")</f>
        <v>金鱼</v>
      </c>
      <c r="J600" s="15" t="str" cm="1">
        <f t="array" ref="J600">_xlfn.LET(_xlpm.v6p,ABS(ATAN2(O600,P600))*6/PI(),
_xlpm.output,_xlfn.IFS(_xlpm.v6p&lt;1,"正前",_xlpm.v6p&gt;5,"正后",AND(_xlpm.v6p&lt;5,_xlpm.v6p&gt;2,P600&lt;-1),"脚底",_xlpm.v6p&gt;4,"后上",_xlpm.v6p&lt;2,"前上",TRUE,"顶部"),
IFERROR(_xlpm.output,""))</f>
        <v>正后</v>
      </c>
      <c r="K600" s="12"/>
      <c r="L600" s="12" t="s">
        <v>63</v>
      </c>
      <c r="M600" s="12" t="s">
        <v>63</v>
      </c>
      <c r="N600" s="19" t="str">
        <f t="shared" si="323"/>
        <v>-20,5</v>
      </c>
      <c r="O600" s="24">
        <v>-20</v>
      </c>
      <c r="P600" s="24">
        <v>5</v>
      </c>
      <c r="Q600" s="19">
        <f t="shared" si="324"/>
        <v>2.6457999999999999</v>
      </c>
      <c r="R600" s="24">
        <v>2.6457999999999999</v>
      </c>
      <c r="S600" s="9">
        <v>5</v>
      </c>
      <c r="T600" s="19" t="str">
        <f t="shared" si="325"/>
        <v>1,1</v>
      </c>
      <c r="U600" s="24">
        <v>1</v>
      </c>
      <c r="V600" s="24">
        <v>1</v>
      </c>
      <c r="W600" s="9">
        <v>0</v>
      </c>
      <c r="X600" s="9">
        <v>11</v>
      </c>
      <c r="Y600" s="19" t="str">
        <f t="shared" si="326"/>
        <v>-2505,-2500</v>
      </c>
      <c r="Z600" s="42" t="s">
        <v>346</v>
      </c>
      <c r="AA600" s="19" t="str">
        <f t="shared" si="327"/>
        <v>80,120</v>
      </c>
      <c r="AB600" s="41"/>
      <c r="AC600" s="9">
        <v>-80</v>
      </c>
      <c r="AD600" s="9">
        <v>120</v>
      </c>
      <c r="AE600" s="16"/>
      <c r="AF600" s="16"/>
      <c r="AG600" s="16"/>
      <c r="AI600" s="69" cm="1">
        <f t="array" ref="AI600">tuple_avg(T600)/tuple_avg(AA600)</f>
        <v>0.01</v>
      </c>
      <c r="AK600" s="69">
        <f>AD600*AI600*'-配置辅助'!$I$10</f>
        <v>20</v>
      </c>
      <c r="AM600" s="69">
        <f>AK600*_xlfn.XLOOKUP(H600,monsters[怪物id],monsters[HP],-1)</f>
        <v>380</v>
      </c>
    </row>
    <row r="602" spans="1:41" x14ac:dyDescent="0.2">
      <c r="A602" s="9">
        <v>42080003</v>
      </c>
      <c r="B602" s="9" t="str" cm="1">
        <f t="array" ref="B602">D602&amp;_xlfn.TEXTJOIN("",1,TEXT(E602:G602,"00"))</f>
        <v>2000000</v>
      </c>
      <c r="C602" s="30" t="str">
        <f t="shared" ref="C602:C607" si="328">_xlfn.TEXTJOIN(",",1,A602:B602)</f>
        <v>42080003,2000000</v>
      </c>
      <c r="D602" s="26">
        <v>2</v>
      </c>
      <c r="E602" s="26">
        <v>0</v>
      </c>
      <c r="F602" s="26">
        <f t="shared" ref="F602:F607" si="329">W602</f>
        <v>0</v>
      </c>
      <c r="G602" s="26">
        <v>0</v>
      </c>
      <c r="H602" s="9">
        <v>201803</v>
      </c>
      <c r="I602" s="15" t="str">
        <f>IFERROR(VLOOKUP(H602,monsters[#All],4,0),"")</f>
        <v>海藻小妖</v>
      </c>
      <c r="J602" s="15" t="str" cm="1">
        <f t="array" ref="J602">_xlfn.LET(_xlpm.v6p,ABS(ATAN2(O602,P602))*6/PI(),
_xlpm.output,_xlfn.IFS(_xlpm.v6p&lt;1,"正前",_xlpm.v6p&gt;5,"正后",AND(_xlpm.v6p&lt;5,_xlpm.v6p&gt;2,P602&lt;-1),"脚底",_xlpm.v6p&gt;4,"后上",_xlpm.v6p&lt;2,"前上",TRUE,"顶部"),
IFERROR(_xlpm.output,""))</f>
        <v>正后</v>
      </c>
      <c r="K602" s="12"/>
      <c r="L602" s="12" t="s">
        <v>63</v>
      </c>
      <c r="M602" s="12" t="s">
        <v>63</v>
      </c>
      <c r="N602" s="19" t="str">
        <f t="shared" ref="N602:N607" si="330">O602+0&amp;","&amp;P602+0</f>
        <v>-20,5</v>
      </c>
      <c r="O602" s="24">
        <v>-20</v>
      </c>
      <c r="P602" s="24">
        <v>5</v>
      </c>
      <c r="Q602" s="19">
        <f t="shared" ref="Q602:Q607" si="331">_xlfn.LET(_xlpm._default,1,
_xlpm._custom,R602,
IF($A602&lt;&gt;"",IF(_xlpm._custom&lt;&gt;"",_xlpm._custom,_xlpm._default),""))</f>
        <v>1</v>
      </c>
      <c r="R602" s="24">
        <v>1</v>
      </c>
      <c r="S602" s="9">
        <v>8</v>
      </c>
      <c r="T602" s="19" t="str">
        <f t="shared" ref="T602:T607" si="332">IF(U602&lt;&gt;"", U602+0&amp;","&amp;V602+0,"")</f>
        <v>1,1</v>
      </c>
      <c r="U602" s="24">
        <v>1</v>
      </c>
      <c r="V602" s="24">
        <v>1</v>
      </c>
      <c r="W602" s="9">
        <v>0</v>
      </c>
      <c r="X602" s="9">
        <v>11</v>
      </c>
      <c r="Y602" s="19" t="str">
        <f t="shared" ref="Y602:Y621" si="333">IF($A602&lt;&gt;"",IF($Z602&lt;&gt;"",$Z602,"0,0"),"")</f>
        <v>0,0</v>
      </c>
      <c r="Z602" s="41"/>
      <c r="AA602" s="19" t="str">
        <f t="shared" ref="AA602:AA621" si="334">IF($A602&lt;&gt;"",IF($AB602&lt;&gt;"",$AB602,"80,120"),"")</f>
        <v>80,120</v>
      </c>
      <c r="AB602" s="41"/>
      <c r="AC602" s="9" cm="1">
        <f t="array" ref="AC602:AD607">_xlfn.LET(_xlpm._lvl,MOD($A602,10),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_xlpm._seq,G602:G607,
_xlfn.MAKEARRAY(ROWS(_xlpm._seq),2,_xlfn.LAMBDA(_xlpm.x,_xlpm.y,IF(_xlpm.y=1,-_xlpm._generate_rate/_xlpm._v_begin*(_xlpm._v_begin/_xlpm._v_max)^(INDEX(_xlpm._seq,_xlpm.x)/MAX(_xlpm._seq)),_xlpm._generate_rate))
))</f>
        <v>-31.578947368421055</v>
      </c>
      <c r="AD602" s="9">
        <v>120</v>
      </c>
      <c r="AE602" s="16"/>
      <c r="AF602" s="16"/>
      <c r="AG602" s="16"/>
      <c r="AI602" s="69" cm="1">
        <f t="array" ref="AI602">tuple_avg(T602)/tuple_avg(AA602)</f>
        <v>0.01</v>
      </c>
      <c r="AK602" s="69">
        <f>AD602*AI602*'-配置辅助'!$I$10</f>
        <v>20</v>
      </c>
      <c r="AM602" s="69">
        <f>AK602*_xlfn.XLOOKUP(H602,monsters[怪物id],monsters[HP],-1)</f>
        <v>480</v>
      </c>
    </row>
    <row r="603" spans="1:41" x14ac:dyDescent="0.2">
      <c r="A603" s="9">
        <v>42080003</v>
      </c>
      <c r="B603" s="9" t="str" cm="1">
        <f t="array" ref="B603">D603&amp;_xlfn.TEXTJOIN("",1,TEXT(E603:G603,"00"))</f>
        <v>2000001</v>
      </c>
      <c r="C603" s="30" t="str">
        <f t="shared" si="328"/>
        <v>42080003,2000001</v>
      </c>
      <c r="D603" s="26">
        <v>2</v>
      </c>
      <c r="E603" s="76">
        <v>0</v>
      </c>
      <c r="F603" s="26">
        <f t="shared" si="329"/>
        <v>0</v>
      </c>
      <c r="G603" s="26">
        <v>1</v>
      </c>
      <c r="H603" s="9">
        <v>201803</v>
      </c>
      <c r="I603" s="15" t="str">
        <f>IFERROR(VLOOKUP(H603,monsters[#All],4,0),"")</f>
        <v>海藻小妖</v>
      </c>
      <c r="J603" s="15" t="str" cm="1">
        <f t="array" ref="J603">_xlfn.LET(_xlpm.v6p,ABS(ATAN2(O603,P603))*6/PI(),
_xlpm.output,_xlfn.IFS(_xlpm.v6p&lt;1,"正前",_xlpm.v6p&gt;5,"正后",AND(_xlpm.v6p&lt;5,_xlpm.v6p&gt;2,P603&lt;-1),"脚底",_xlpm.v6p&gt;4,"后上",_xlpm.v6p&lt;2,"前上",TRUE,"顶部"),
IFERROR(_xlpm.output,""))</f>
        <v>正后</v>
      </c>
      <c r="K603" s="12"/>
      <c r="L603" s="12" t="s">
        <v>63</v>
      </c>
      <c r="M603" s="12" t="s">
        <v>63</v>
      </c>
      <c r="N603" s="19" t="str">
        <f t="shared" si="330"/>
        <v>-20,5</v>
      </c>
      <c r="O603" s="24">
        <v>-20</v>
      </c>
      <c r="P603" s="24">
        <v>5</v>
      </c>
      <c r="Q603" s="19">
        <f t="shared" si="331"/>
        <v>1.7321</v>
      </c>
      <c r="R603" s="24">
        <v>1.7321</v>
      </c>
      <c r="S603" s="9">
        <v>8</v>
      </c>
      <c r="T603" s="19" t="str">
        <f t="shared" si="332"/>
        <v>1,1</v>
      </c>
      <c r="U603" s="24">
        <v>1</v>
      </c>
      <c r="V603" s="24">
        <v>1</v>
      </c>
      <c r="W603" s="9">
        <v>0</v>
      </c>
      <c r="X603" s="9">
        <v>11</v>
      </c>
      <c r="Y603" s="19" t="str">
        <f t="shared" si="333"/>
        <v>-305,-300</v>
      </c>
      <c r="Z603" s="42" t="s">
        <v>269</v>
      </c>
      <c r="AA603" s="19" t="str">
        <f t="shared" si="334"/>
        <v>80,120</v>
      </c>
      <c r="AB603" s="41"/>
      <c r="AC603" s="9">
        <v>-38.030857427746881</v>
      </c>
      <c r="AD603" s="9">
        <v>120</v>
      </c>
      <c r="AE603" s="16"/>
      <c r="AF603" s="16"/>
      <c r="AG603" s="16"/>
      <c r="AI603" s="69" cm="1">
        <f t="array" ref="AI603">tuple_avg(T603)/tuple_avg(AA603)</f>
        <v>0.01</v>
      </c>
      <c r="AK603" s="69">
        <f>AD603*AI603*'-配置辅助'!$I$10</f>
        <v>20</v>
      </c>
      <c r="AM603" s="69">
        <f>AK603*_xlfn.XLOOKUP(H603,monsters[怪物id],monsters[HP],-1)</f>
        <v>480</v>
      </c>
    </row>
    <row r="604" spans="1:41" x14ac:dyDescent="0.2">
      <c r="A604" s="9">
        <v>42080003</v>
      </c>
      <c r="B604" s="9" t="str" cm="1">
        <f t="array" ref="B604">D604&amp;_xlfn.TEXTJOIN("",1,TEXT(E604:G604,"00"))</f>
        <v>2000002</v>
      </c>
      <c r="C604" s="30" t="str">
        <f t="shared" si="328"/>
        <v>42080003,2000002</v>
      </c>
      <c r="D604" s="26">
        <v>2</v>
      </c>
      <c r="E604" s="26">
        <v>0</v>
      </c>
      <c r="F604" s="26">
        <f t="shared" si="329"/>
        <v>0</v>
      </c>
      <c r="G604" s="26">
        <v>2</v>
      </c>
      <c r="H604" s="9">
        <v>201803</v>
      </c>
      <c r="I604" s="15" t="str">
        <f>IFERROR(VLOOKUP(H604,monsters[#All],4,0),"")</f>
        <v>海藻小妖</v>
      </c>
      <c r="J604" s="15" t="str" cm="1">
        <f t="array" ref="J604">_xlfn.LET(_xlpm.v6p,ABS(ATAN2(O604,P604))*6/PI(),
_xlpm.output,_xlfn.IFS(_xlpm.v6p&lt;1,"正前",_xlpm.v6p&gt;5,"正后",AND(_xlpm.v6p&lt;5,_xlpm.v6p&gt;2,P604&lt;-1),"脚底",_xlpm.v6p&gt;4,"后上",_xlpm.v6p&lt;2,"前上",TRUE,"顶部"),
IFERROR(_xlpm.output,""))</f>
        <v>正后</v>
      </c>
      <c r="K604" s="12"/>
      <c r="L604" s="12" t="s">
        <v>63</v>
      </c>
      <c r="M604" s="12" t="s">
        <v>63</v>
      </c>
      <c r="N604" s="19" t="str">
        <f t="shared" si="330"/>
        <v>-20,5</v>
      </c>
      <c r="O604" s="24">
        <v>-20</v>
      </c>
      <c r="P604" s="24">
        <v>5</v>
      </c>
      <c r="Q604" s="19">
        <f t="shared" si="331"/>
        <v>2.2361</v>
      </c>
      <c r="R604" s="24">
        <v>2.2361</v>
      </c>
      <c r="S604" s="9">
        <v>7</v>
      </c>
      <c r="T604" s="19" t="str">
        <f t="shared" si="332"/>
        <v>1,1</v>
      </c>
      <c r="U604" s="24">
        <v>1</v>
      </c>
      <c r="V604" s="24">
        <v>1</v>
      </c>
      <c r="W604" s="9">
        <v>0</v>
      </c>
      <c r="X604" s="9">
        <v>11</v>
      </c>
      <c r="Y604" s="19" t="str">
        <f t="shared" si="333"/>
        <v>-705,-700</v>
      </c>
      <c r="Z604" s="42" t="s">
        <v>134</v>
      </c>
      <c r="AA604" s="19" t="str">
        <f t="shared" si="334"/>
        <v>80,120</v>
      </c>
      <c r="AB604" s="41"/>
      <c r="AC604" s="9">
        <v>-45.800960361837632</v>
      </c>
      <c r="AD604" s="9">
        <v>120</v>
      </c>
      <c r="AE604" s="16"/>
      <c r="AF604" s="16"/>
      <c r="AG604" s="16"/>
      <c r="AI604" s="69" cm="1">
        <f t="array" ref="AI604">tuple_avg(T604)/tuple_avg(AA604)</f>
        <v>0.01</v>
      </c>
      <c r="AK604" s="69">
        <f>AD604*AI604*'-配置辅助'!$I$10</f>
        <v>20</v>
      </c>
      <c r="AM604" s="69">
        <f>AK604*_xlfn.XLOOKUP(H604,monsters[怪物id],monsters[HP],-1)</f>
        <v>480</v>
      </c>
    </row>
    <row r="605" spans="1:41" x14ac:dyDescent="0.2">
      <c r="A605" s="9">
        <v>42080003</v>
      </c>
      <c r="B605" s="9" t="str" cm="1">
        <f t="array" ref="B605">D605&amp;_xlfn.TEXTJOIN("",1,TEXT(E605:G605,"00"))</f>
        <v>2000003</v>
      </c>
      <c r="C605" s="30" t="str">
        <f t="shared" si="328"/>
        <v>42080003,2000003</v>
      </c>
      <c r="D605" s="26">
        <v>2</v>
      </c>
      <c r="E605" s="26">
        <v>0</v>
      </c>
      <c r="F605" s="26">
        <f t="shared" si="329"/>
        <v>0</v>
      </c>
      <c r="G605" s="26">
        <v>3</v>
      </c>
      <c r="H605" s="9">
        <v>201803</v>
      </c>
      <c r="I605" s="15" t="str">
        <f>IFERROR(VLOOKUP(H605,monsters[#All],4,0),"")</f>
        <v>海藻小妖</v>
      </c>
      <c r="J605" s="15" t="str" cm="1">
        <f t="array" ref="J605">_xlfn.LET(_xlpm.v6p,ABS(ATAN2(O605,P605))*6/PI(),
_xlpm.output,_xlfn.IFS(_xlpm.v6p&lt;1,"正前",_xlpm.v6p&gt;5,"正后",AND(_xlpm.v6p&lt;5,_xlpm.v6p&gt;2,P605&lt;-1),"脚底",_xlpm.v6p&gt;4,"后上",_xlpm.v6p&lt;2,"前上",TRUE,"顶部"),
IFERROR(_xlpm.output,""))</f>
        <v>正后</v>
      </c>
      <c r="K605" s="12"/>
      <c r="L605" s="12" t="s">
        <v>63</v>
      </c>
      <c r="M605" s="12" t="s">
        <v>63</v>
      </c>
      <c r="N605" s="19" t="str">
        <f t="shared" si="330"/>
        <v>-20,5</v>
      </c>
      <c r="O605" s="24">
        <v>-20</v>
      </c>
      <c r="P605" s="24">
        <v>5</v>
      </c>
      <c r="Q605" s="19">
        <f t="shared" si="331"/>
        <v>2.6457999999999999</v>
      </c>
      <c r="R605" s="24">
        <v>2.6457999999999999</v>
      </c>
      <c r="S605" s="9">
        <v>6</v>
      </c>
      <c r="T605" s="19" t="str">
        <f t="shared" si="332"/>
        <v>1,1</v>
      </c>
      <c r="U605" s="24">
        <v>1</v>
      </c>
      <c r="V605" s="24">
        <v>1</v>
      </c>
      <c r="W605" s="9">
        <v>0</v>
      </c>
      <c r="X605" s="9">
        <v>11</v>
      </c>
      <c r="Y605" s="19" t="str">
        <f t="shared" si="333"/>
        <v>-1205,-1200</v>
      </c>
      <c r="Z605" s="42" t="s">
        <v>344</v>
      </c>
      <c r="AA605" s="19" t="str">
        <f t="shared" si="334"/>
        <v>80,120</v>
      </c>
      <c r="AB605" s="41"/>
      <c r="AC605" s="9">
        <v>-55.158576796539535</v>
      </c>
      <c r="AD605" s="9">
        <v>120</v>
      </c>
      <c r="AE605" s="16"/>
      <c r="AF605" s="16"/>
      <c r="AG605" s="16"/>
      <c r="AI605" s="69" cm="1">
        <f t="array" ref="AI605">tuple_avg(T605)/tuple_avg(AA605)</f>
        <v>0.01</v>
      </c>
      <c r="AK605" s="69">
        <f>AD605*AI605*'-配置辅助'!$I$10</f>
        <v>20</v>
      </c>
      <c r="AM605" s="69">
        <f>AK605*_xlfn.XLOOKUP(H605,monsters[怪物id],monsters[HP],-1)</f>
        <v>480</v>
      </c>
    </row>
    <row r="606" spans="1:41" x14ac:dyDescent="0.2">
      <c r="A606" s="9">
        <v>42080003</v>
      </c>
      <c r="B606" s="9" t="str" cm="1">
        <f t="array" ref="B606">D606&amp;_xlfn.TEXTJOIN("",1,TEXT(E606:G606,"00"))</f>
        <v>2000004</v>
      </c>
      <c r="C606" s="30" t="str">
        <f t="shared" si="328"/>
        <v>42080003,2000004</v>
      </c>
      <c r="D606" s="26">
        <v>2</v>
      </c>
      <c r="E606" s="26">
        <v>0</v>
      </c>
      <c r="F606" s="26">
        <f t="shared" si="329"/>
        <v>0</v>
      </c>
      <c r="G606" s="26">
        <v>4</v>
      </c>
      <c r="H606" s="9">
        <v>201803</v>
      </c>
      <c r="I606" s="15" t="str">
        <f>IFERROR(VLOOKUP(H606,monsters[#All],4,0),"")</f>
        <v>海藻小妖</v>
      </c>
      <c r="J606" s="15" t="str" cm="1">
        <f t="array" ref="J606">_xlfn.LET(_xlpm.v6p,ABS(ATAN2(O606,P606))*6/PI(),
_xlpm.output,_xlfn.IFS(_xlpm.v6p&lt;1,"正前",_xlpm.v6p&gt;5,"正后",AND(_xlpm.v6p&lt;5,_xlpm.v6p&gt;2,P606&lt;-1),"脚底",_xlpm.v6p&gt;4,"后上",_xlpm.v6p&lt;2,"前上",TRUE,"顶部"),
IFERROR(_xlpm.output,""))</f>
        <v>正后</v>
      </c>
      <c r="K606" s="12"/>
      <c r="L606" s="12" t="s">
        <v>63</v>
      </c>
      <c r="M606" s="12" t="s">
        <v>63</v>
      </c>
      <c r="N606" s="19" t="str">
        <f t="shared" si="330"/>
        <v>-20,5</v>
      </c>
      <c r="O606" s="24">
        <v>-20</v>
      </c>
      <c r="P606" s="24">
        <v>5</v>
      </c>
      <c r="Q606" s="19">
        <f t="shared" si="331"/>
        <v>2.6457999999999999</v>
      </c>
      <c r="R606" s="24">
        <v>2.6457999999999999</v>
      </c>
      <c r="S606" s="9">
        <v>5</v>
      </c>
      <c r="T606" s="19" t="str">
        <f t="shared" si="332"/>
        <v>1,1</v>
      </c>
      <c r="U606" s="24">
        <v>1</v>
      </c>
      <c r="V606" s="24">
        <v>1</v>
      </c>
      <c r="W606" s="9">
        <v>0</v>
      </c>
      <c r="X606" s="9">
        <v>11</v>
      </c>
      <c r="Y606" s="19" t="str">
        <f t="shared" si="333"/>
        <v>-1805,-1800</v>
      </c>
      <c r="Z606" s="42" t="s">
        <v>345</v>
      </c>
      <c r="AA606" s="19" t="str">
        <f t="shared" si="334"/>
        <v>80,120</v>
      </c>
      <c r="AB606" s="41"/>
      <c r="AC606" s="9">
        <v>-66.428052385443038</v>
      </c>
      <c r="AD606" s="9">
        <v>120</v>
      </c>
      <c r="AE606" s="16"/>
      <c r="AF606" s="16"/>
      <c r="AG606" s="16"/>
      <c r="AI606" s="69" cm="1">
        <f t="array" ref="AI606">tuple_avg(T606)/tuple_avg(AA606)</f>
        <v>0.01</v>
      </c>
      <c r="AK606" s="69">
        <f>AD606*AI606*'-配置辅助'!$I$10</f>
        <v>20</v>
      </c>
      <c r="AM606" s="69">
        <f>AK606*_xlfn.XLOOKUP(H606,monsters[怪物id],monsters[HP],-1)</f>
        <v>480</v>
      </c>
    </row>
    <row r="607" spans="1:41" x14ac:dyDescent="0.2">
      <c r="A607" s="9">
        <v>42080003</v>
      </c>
      <c r="B607" s="9" t="str" cm="1">
        <f t="array" ref="B607">D607&amp;_xlfn.TEXTJOIN("",1,TEXT(E607:G607,"00"))</f>
        <v>2000005</v>
      </c>
      <c r="C607" s="30" t="str">
        <f t="shared" si="328"/>
        <v>42080003,2000005</v>
      </c>
      <c r="D607" s="26">
        <v>2</v>
      </c>
      <c r="E607" s="26">
        <v>0</v>
      </c>
      <c r="F607" s="26">
        <f t="shared" si="329"/>
        <v>0</v>
      </c>
      <c r="G607" s="26">
        <v>5</v>
      </c>
      <c r="H607" s="9">
        <v>201803</v>
      </c>
      <c r="I607" s="15" t="str">
        <f>IFERROR(VLOOKUP(H607,monsters[#All],4,0),"")</f>
        <v>海藻小妖</v>
      </c>
      <c r="J607" s="15" t="str" cm="1">
        <f t="array" ref="J607">_xlfn.LET(_xlpm.v6p,ABS(ATAN2(O607,P607))*6/PI(),
_xlpm.output,_xlfn.IFS(_xlpm.v6p&lt;1,"正前",_xlpm.v6p&gt;5,"正后",AND(_xlpm.v6p&lt;5,_xlpm.v6p&gt;2,P607&lt;-1),"脚底",_xlpm.v6p&gt;4,"后上",_xlpm.v6p&lt;2,"前上",TRUE,"顶部"),
IFERROR(_xlpm.output,""))</f>
        <v>正后</v>
      </c>
      <c r="K607" s="12"/>
      <c r="L607" s="12" t="s">
        <v>63</v>
      </c>
      <c r="M607" s="12" t="s">
        <v>63</v>
      </c>
      <c r="N607" s="19" t="str">
        <f t="shared" si="330"/>
        <v>-20,5</v>
      </c>
      <c r="O607" s="24">
        <v>-20</v>
      </c>
      <c r="P607" s="24">
        <v>5</v>
      </c>
      <c r="Q607" s="19">
        <f t="shared" si="331"/>
        <v>2.6457999999999999</v>
      </c>
      <c r="R607" s="24">
        <v>2.6457999999999999</v>
      </c>
      <c r="S607" s="9">
        <v>5</v>
      </c>
      <c r="T607" s="19" t="str">
        <f t="shared" si="332"/>
        <v>1,1</v>
      </c>
      <c r="U607" s="24">
        <v>1</v>
      </c>
      <c r="V607" s="24">
        <v>1</v>
      </c>
      <c r="W607" s="9">
        <v>0</v>
      </c>
      <c r="X607" s="9">
        <v>11</v>
      </c>
      <c r="Y607" s="19" t="str">
        <f t="shared" si="333"/>
        <v>-2505,-2500</v>
      </c>
      <c r="Z607" s="42" t="s">
        <v>346</v>
      </c>
      <c r="AA607" s="19" t="str">
        <f t="shared" si="334"/>
        <v>80,120</v>
      </c>
      <c r="AB607" s="41"/>
      <c r="AC607" s="9">
        <v>-80</v>
      </c>
      <c r="AD607" s="9">
        <v>120</v>
      </c>
      <c r="AE607" s="16"/>
      <c r="AF607" s="16"/>
      <c r="AG607" s="16"/>
      <c r="AI607" s="69" cm="1">
        <f t="array" ref="AI607">tuple_avg(T607)/tuple_avg(AA607)</f>
        <v>0.01</v>
      </c>
      <c r="AK607" s="69">
        <f>AD607*AI607*'-配置辅助'!$I$10</f>
        <v>20</v>
      </c>
      <c r="AM607" s="69">
        <f>AK607*_xlfn.XLOOKUP(H607,monsters[怪物id],monsters[HP],-1)</f>
        <v>480</v>
      </c>
    </row>
    <row r="609" spans="1:39" x14ac:dyDescent="0.2">
      <c r="A609" s="9">
        <v>42080003</v>
      </c>
      <c r="B609" s="9" t="str" cm="1">
        <f t="array" ref="B609">D609&amp;_xlfn.TEXTJOIN("",1,TEXT(E609:G609,"00"))</f>
        <v>3000000</v>
      </c>
      <c r="C609" s="30" t="str">
        <f t="shared" ref="C609:C614" si="335">_xlfn.TEXTJOIN(",",1,A609:B609)</f>
        <v>42080003,3000000</v>
      </c>
      <c r="D609" s="26">
        <v>3</v>
      </c>
      <c r="E609" s="26">
        <v>0</v>
      </c>
      <c r="F609" s="26">
        <f t="shared" ref="F609:F614" si="336">W609</f>
        <v>0</v>
      </c>
      <c r="G609" s="26">
        <v>0</v>
      </c>
      <c r="H609" s="9">
        <v>201814</v>
      </c>
      <c r="I609" s="15" t="str">
        <f>IFERROR(VLOOKUP(H609,monsters[#All],4,0),"")</f>
        <v>弱小螃蟹</v>
      </c>
      <c r="J609" s="15" t="str" cm="1">
        <f t="array" ref="J609">_xlfn.LET(_xlpm.v6p,ABS(ATAN2(O609,P609))*6/PI(),
_xlpm.output,_xlfn.IFS(_xlpm.v6p&lt;1,"正前",_xlpm.v6p&gt;5,"正后",AND(_xlpm.v6p&lt;5,_xlpm.v6p&gt;2,P609&lt;-1),"脚底",_xlpm.v6p&gt;4,"后上",_xlpm.v6p&lt;2,"前上",TRUE,"顶部"),
IFERROR(_xlpm.output,""))</f>
        <v>正后</v>
      </c>
      <c r="K609" s="12"/>
      <c r="L609" s="12" t="s">
        <v>63</v>
      </c>
      <c r="M609" s="12" t="s">
        <v>63</v>
      </c>
      <c r="N609" s="19" t="str">
        <f t="shared" ref="N609:N614" si="337">O609+0&amp;","&amp;P609+0</f>
        <v>-20,5</v>
      </c>
      <c r="O609" s="24">
        <v>-20</v>
      </c>
      <c r="P609" s="24">
        <v>5</v>
      </c>
      <c r="Q609" s="19">
        <f t="shared" ref="Q609:Q614" si="338">_xlfn.LET(_xlpm._default,1,
_xlpm._custom,R609,
IF($A609&lt;&gt;"",IF(_xlpm._custom&lt;&gt;"",_xlpm._custom,_xlpm._default),""))</f>
        <v>1</v>
      </c>
      <c r="R609" s="24">
        <v>1</v>
      </c>
      <c r="S609" s="9">
        <v>8</v>
      </c>
      <c r="T609" s="19" t="str">
        <f t="shared" ref="T609:T614" si="339">IF(U609&lt;&gt;"", U609+0&amp;","&amp;V609+0,"")</f>
        <v>1,1</v>
      </c>
      <c r="U609" s="24">
        <v>1</v>
      </c>
      <c r="V609" s="24">
        <v>1</v>
      </c>
      <c r="W609" s="9">
        <v>0</v>
      </c>
      <c r="X609" s="9">
        <v>11</v>
      </c>
      <c r="Y609" s="19" t="str">
        <f t="shared" ref="Y609:Y621" si="340">IF($A609&lt;&gt;"",IF($Z609&lt;&gt;"",$Z609,"0,0"),"")</f>
        <v>0,0</v>
      </c>
      <c r="Z609" s="41"/>
      <c r="AA609" s="19" t="str">
        <f t="shared" ref="AA609:AA621" si="341">IF($A609&lt;&gt;"",IF($AB609&lt;&gt;"",$AB609,"80,120"),"")</f>
        <v>80,120</v>
      </c>
      <c r="AB609" s="41"/>
      <c r="AC609" s="9" cm="1">
        <f t="array" ref="AC609:AD614">_xlfn.LET(_xlpm._lvl,MOD($A609,10),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_xlpm._seq,G609:G614,
_xlfn.MAKEARRAY(ROWS(_xlpm._seq),2,_xlfn.LAMBDA(_xlpm.x,_xlpm.y,IF(_xlpm.y=1,-_xlpm._generate_rate/_xlpm._v_begin*(_xlpm._v_begin/_xlpm._v_max)^(INDEX(_xlpm._seq,_xlpm.x)/MAX(_xlpm._seq)),_xlpm._generate_rate))
))</f>
        <v>-31.578947368421055</v>
      </c>
      <c r="AD609" s="9">
        <v>120</v>
      </c>
      <c r="AE609" s="16"/>
      <c r="AF609" s="16"/>
      <c r="AG609" s="16"/>
      <c r="AI609" s="69" cm="1">
        <f t="array" ref="AI609">tuple_avg(T609)/tuple_avg(AA609)</f>
        <v>0.01</v>
      </c>
      <c r="AK609" s="69">
        <f>AD609*AI609*'-配置辅助'!$I$10</f>
        <v>20</v>
      </c>
      <c r="AM609" s="69">
        <f>AK609*_xlfn.XLOOKUP(H609,monsters[怪物id],monsters[HP],-1)</f>
        <v>540</v>
      </c>
    </row>
    <row r="610" spans="1:39" x14ac:dyDescent="0.2">
      <c r="A610" s="9">
        <v>42080003</v>
      </c>
      <c r="B610" s="9" t="str" cm="1">
        <f t="array" ref="B610">D610&amp;_xlfn.TEXTJOIN("",1,TEXT(E610:G610,"00"))</f>
        <v>3000001</v>
      </c>
      <c r="C610" s="30" t="str">
        <f t="shared" si="335"/>
        <v>42080003,3000001</v>
      </c>
      <c r="D610" s="26">
        <v>3</v>
      </c>
      <c r="E610" s="76">
        <v>0</v>
      </c>
      <c r="F610" s="26">
        <f t="shared" si="336"/>
        <v>0</v>
      </c>
      <c r="G610" s="26">
        <v>1</v>
      </c>
      <c r="H610" s="9">
        <v>201814</v>
      </c>
      <c r="I610" s="15" t="str">
        <f>IFERROR(VLOOKUP(H610,monsters[#All],4,0),"")</f>
        <v>弱小螃蟹</v>
      </c>
      <c r="J610" s="15" t="str" cm="1">
        <f t="array" ref="J610">_xlfn.LET(_xlpm.v6p,ABS(ATAN2(O610,P610))*6/PI(),
_xlpm.output,_xlfn.IFS(_xlpm.v6p&lt;1,"正前",_xlpm.v6p&gt;5,"正后",AND(_xlpm.v6p&lt;5,_xlpm.v6p&gt;2,P610&lt;-1),"脚底",_xlpm.v6p&gt;4,"后上",_xlpm.v6p&lt;2,"前上",TRUE,"顶部"),
IFERROR(_xlpm.output,""))</f>
        <v>正后</v>
      </c>
      <c r="K610" s="12"/>
      <c r="L610" s="12" t="s">
        <v>63</v>
      </c>
      <c r="M610" s="12" t="s">
        <v>63</v>
      </c>
      <c r="N610" s="19" t="str">
        <f t="shared" si="337"/>
        <v>-20,5</v>
      </c>
      <c r="O610" s="24">
        <v>-20</v>
      </c>
      <c r="P610" s="24">
        <v>5</v>
      </c>
      <c r="Q610" s="19">
        <f t="shared" si="338"/>
        <v>1.7321</v>
      </c>
      <c r="R610" s="24">
        <v>1.7321</v>
      </c>
      <c r="S610" s="9">
        <v>8</v>
      </c>
      <c r="T610" s="19" t="str">
        <f t="shared" si="339"/>
        <v>1,1</v>
      </c>
      <c r="U610" s="24">
        <v>1</v>
      </c>
      <c r="V610" s="24">
        <v>1</v>
      </c>
      <c r="W610" s="9">
        <v>0</v>
      </c>
      <c r="X610" s="9">
        <v>11</v>
      </c>
      <c r="Y610" s="19" t="str">
        <f t="shared" si="340"/>
        <v>-305,-300</v>
      </c>
      <c r="Z610" s="42" t="s">
        <v>269</v>
      </c>
      <c r="AA610" s="19" t="str">
        <f t="shared" si="341"/>
        <v>80,120</v>
      </c>
      <c r="AB610" s="41"/>
      <c r="AC610" s="9">
        <v>-38.030857427746881</v>
      </c>
      <c r="AD610" s="9">
        <v>120</v>
      </c>
      <c r="AE610" s="16"/>
      <c r="AF610" s="16"/>
      <c r="AG610" s="16"/>
      <c r="AI610" s="69" cm="1">
        <f t="array" ref="AI610">tuple_avg(T610)/tuple_avg(AA610)</f>
        <v>0.01</v>
      </c>
      <c r="AK610" s="69">
        <f>AD610*AI610*'-配置辅助'!$I$10</f>
        <v>20</v>
      </c>
      <c r="AM610" s="69">
        <f>AK610*_xlfn.XLOOKUP(H610,monsters[怪物id],monsters[HP],-1)</f>
        <v>540</v>
      </c>
    </row>
    <row r="611" spans="1:39" x14ac:dyDescent="0.2">
      <c r="A611" s="9">
        <v>42080003</v>
      </c>
      <c r="B611" s="9" t="str" cm="1">
        <f t="array" ref="B611">D611&amp;_xlfn.TEXTJOIN("",1,TEXT(E611:G611,"00"))</f>
        <v>3000002</v>
      </c>
      <c r="C611" s="30" t="str">
        <f t="shared" si="335"/>
        <v>42080003,3000002</v>
      </c>
      <c r="D611" s="26">
        <v>3</v>
      </c>
      <c r="E611" s="26">
        <v>0</v>
      </c>
      <c r="F611" s="26">
        <f t="shared" si="336"/>
        <v>0</v>
      </c>
      <c r="G611" s="26">
        <v>2</v>
      </c>
      <c r="H611" s="9">
        <v>201814</v>
      </c>
      <c r="I611" s="15" t="str">
        <f>IFERROR(VLOOKUP(H611,monsters[#All],4,0),"")</f>
        <v>弱小螃蟹</v>
      </c>
      <c r="J611" s="15" t="str" cm="1">
        <f t="array" ref="J611">_xlfn.LET(_xlpm.v6p,ABS(ATAN2(O611,P611))*6/PI(),
_xlpm.output,_xlfn.IFS(_xlpm.v6p&lt;1,"正前",_xlpm.v6p&gt;5,"正后",AND(_xlpm.v6p&lt;5,_xlpm.v6p&gt;2,P611&lt;-1),"脚底",_xlpm.v6p&gt;4,"后上",_xlpm.v6p&lt;2,"前上",TRUE,"顶部"),
IFERROR(_xlpm.output,""))</f>
        <v>正后</v>
      </c>
      <c r="K611" s="12"/>
      <c r="L611" s="12" t="s">
        <v>63</v>
      </c>
      <c r="M611" s="12" t="s">
        <v>63</v>
      </c>
      <c r="N611" s="19" t="str">
        <f t="shared" si="337"/>
        <v>-20,5</v>
      </c>
      <c r="O611" s="24">
        <v>-20</v>
      </c>
      <c r="P611" s="24">
        <v>5</v>
      </c>
      <c r="Q611" s="19">
        <f t="shared" si="338"/>
        <v>2.2361</v>
      </c>
      <c r="R611" s="24">
        <v>2.2361</v>
      </c>
      <c r="S611" s="9">
        <v>7</v>
      </c>
      <c r="T611" s="19" t="str">
        <f t="shared" si="339"/>
        <v>1,1</v>
      </c>
      <c r="U611" s="24">
        <v>1</v>
      </c>
      <c r="V611" s="24">
        <v>1</v>
      </c>
      <c r="W611" s="9">
        <v>0</v>
      </c>
      <c r="X611" s="9">
        <v>11</v>
      </c>
      <c r="Y611" s="19" t="str">
        <f t="shared" si="340"/>
        <v>-705,-700</v>
      </c>
      <c r="Z611" s="42" t="s">
        <v>134</v>
      </c>
      <c r="AA611" s="19" t="str">
        <f t="shared" si="341"/>
        <v>80,120</v>
      </c>
      <c r="AB611" s="41"/>
      <c r="AC611" s="9">
        <v>-45.800960361837632</v>
      </c>
      <c r="AD611" s="9">
        <v>120</v>
      </c>
      <c r="AE611" s="16"/>
      <c r="AF611" s="16"/>
      <c r="AG611" s="16"/>
      <c r="AI611" s="69" cm="1">
        <f t="array" ref="AI611">tuple_avg(T611)/tuple_avg(AA611)</f>
        <v>0.01</v>
      </c>
      <c r="AK611" s="69">
        <f>AD611*AI611*'-配置辅助'!$I$10</f>
        <v>20</v>
      </c>
      <c r="AM611" s="69">
        <f>AK611*_xlfn.XLOOKUP(H611,monsters[怪物id],monsters[HP],-1)</f>
        <v>540</v>
      </c>
    </row>
    <row r="612" spans="1:39" x14ac:dyDescent="0.2">
      <c r="A612" s="9">
        <v>42080003</v>
      </c>
      <c r="B612" s="9" t="str" cm="1">
        <f t="array" ref="B612">D612&amp;_xlfn.TEXTJOIN("",1,TEXT(E612:G612,"00"))</f>
        <v>3000003</v>
      </c>
      <c r="C612" s="30" t="str">
        <f t="shared" si="335"/>
        <v>42080003,3000003</v>
      </c>
      <c r="D612" s="26">
        <v>3</v>
      </c>
      <c r="E612" s="26">
        <v>0</v>
      </c>
      <c r="F612" s="26">
        <f t="shared" si="336"/>
        <v>0</v>
      </c>
      <c r="G612" s="26">
        <v>3</v>
      </c>
      <c r="H612" s="9">
        <v>201814</v>
      </c>
      <c r="I612" s="15" t="str">
        <f>IFERROR(VLOOKUP(H612,monsters[#All],4,0),"")</f>
        <v>弱小螃蟹</v>
      </c>
      <c r="J612" s="15" t="str" cm="1">
        <f t="array" ref="J612">_xlfn.LET(_xlpm.v6p,ABS(ATAN2(O612,P612))*6/PI(),
_xlpm.output,_xlfn.IFS(_xlpm.v6p&lt;1,"正前",_xlpm.v6p&gt;5,"正后",AND(_xlpm.v6p&lt;5,_xlpm.v6p&gt;2,P612&lt;-1),"脚底",_xlpm.v6p&gt;4,"后上",_xlpm.v6p&lt;2,"前上",TRUE,"顶部"),
IFERROR(_xlpm.output,""))</f>
        <v>正后</v>
      </c>
      <c r="K612" s="12"/>
      <c r="L612" s="12" t="s">
        <v>63</v>
      </c>
      <c r="M612" s="12" t="s">
        <v>63</v>
      </c>
      <c r="N612" s="19" t="str">
        <f t="shared" si="337"/>
        <v>-20,5</v>
      </c>
      <c r="O612" s="24">
        <v>-20</v>
      </c>
      <c r="P612" s="24">
        <v>5</v>
      </c>
      <c r="Q612" s="19">
        <f t="shared" si="338"/>
        <v>2.6457999999999999</v>
      </c>
      <c r="R612" s="24">
        <v>2.6457999999999999</v>
      </c>
      <c r="S612" s="9">
        <v>6</v>
      </c>
      <c r="T612" s="19" t="str">
        <f t="shared" si="339"/>
        <v>1,1</v>
      </c>
      <c r="U612" s="24">
        <v>1</v>
      </c>
      <c r="V612" s="24">
        <v>1</v>
      </c>
      <c r="W612" s="9">
        <v>0</v>
      </c>
      <c r="X612" s="9">
        <v>11</v>
      </c>
      <c r="Y612" s="19" t="str">
        <f t="shared" si="340"/>
        <v>-1205,-1200</v>
      </c>
      <c r="Z612" s="42" t="s">
        <v>344</v>
      </c>
      <c r="AA612" s="19" t="str">
        <f t="shared" si="341"/>
        <v>80,120</v>
      </c>
      <c r="AB612" s="41"/>
      <c r="AC612" s="9">
        <v>-55.158576796539535</v>
      </c>
      <c r="AD612" s="9">
        <v>120</v>
      </c>
      <c r="AE612" s="16"/>
      <c r="AF612" s="16"/>
      <c r="AG612" s="16"/>
      <c r="AI612" s="69" cm="1">
        <f t="array" ref="AI612">tuple_avg(T612)/tuple_avg(AA612)</f>
        <v>0.01</v>
      </c>
      <c r="AK612" s="69">
        <f>AD612*AI612*'-配置辅助'!$I$10</f>
        <v>20</v>
      </c>
      <c r="AM612" s="69">
        <f>AK612*_xlfn.XLOOKUP(H612,monsters[怪物id],monsters[HP],-1)</f>
        <v>540</v>
      </c>
    </row>
    <row r="613" spans="1:39" x14ac:dyDescent="0.2">
      <c r="A613" s="9">
        <v>42080003</v>
      </c>
      <c r="B613" s="9" t="str" cm="1">
        <f t="array" ref="B613">D613&amp;_xlfn.TEXTJOIN("",1,TEXT(E613:G613,"00"))</f>
        <v>3000004</v>
      </c>
      <c r="C613" s="30" t="str">
        <f t="shared" si="335"/>
        <v>42080003,3000004</v>
      </c>
      <c r="D613" s="26">
        <v>3</v>
      </c>
      <c r="E613" s="26">
        <v>0</v>
      </c>
      <c r="F613" s="26">
        <f t="shared" si="336"/>
        <v>0</v>
      </c>
      <c r="G613" s="26">
        <v>4</v>
      </c>
      <c r="H613" s="9">
        <v>201814</v>
      </c>
      <c r="I613" s="15" t="str">
        <f>IFERROR(VLOOKUP(H613,monsters[#All],4,0),"")</f>
        <v>弱小螃蟹</v>
      </c>
      <c r="J613" s="15" t="str" cm="1">
        <f t="array" ref="J613">_xlfn.LET(_xlpm.v6p,ABS(ATAN2(O613,P613))*6/PI(),
_xlpm.output,_xlfn.IFS(_xlpm.v6p&lt;1,"正前",_xlpm.v6p&gt;5,"正后",AND(_xlpm.v6p&lt;5,_xlpm.v6p&gt;2,P613&lt;-1),"脚底",_xlpm.v6p&gt;4,"后上",_xlpm.v6p&lt;2,"前上",TRUE,"顶部"),
IFERROR(_xlpm.output,""))</f>
        <v>正后</v>
      </c>
      <c r="K613" s="12"/>
      <c r="L613" s="12" t="s">
        <v>63</v>
      </c>
      <c r="M613" s="12" t="s">
        <v>63</v>
      </c>
      <c r="N613" s="19" t="str">
        <f t="shared" si="337"/>
        <v>-20,5</v>
      </c>
      <c r="O613" s="24">
        <v>-20</v>
      </c>
      <c r="P613" s="24">
        <v>5</v>
      </c>
      <c r="Q613" s="19">
        <f t="shared" si="338"/>
        <v>2.6457999999999999</v>
      </c>
      <c r="R613" s="24">
        <v>2.6457999999999999</v>
      </c>
      <c r="S613" s="9">
        <v>5</v>
      </c>
      <c r="T613" s="19" t="str">
        <f t="shared" si="339"/>
        <v>1,1</v>
      </c>
      <c r="U613" s="24">
        <v>1</v>
      </c>
      <c r="V613" s="24">
        <v>1</v>
      </c>
      <c r="W613" s="9">
        <v>0</v>
      </c>
      <c r="X613" s="9">
        <v>11</v>
      </c>
      <c r="Y613" s="19" t="str">
        <f t="shared" si="340"/>
        <v>-1805,-1800</v>
      </c>
      <c r="Z613" s="42" t="s">
        <v>345</v>
      </c>
      <c r="AA613" s="19" t="str">
        <f t="shared" si="341"/>
        <v>80,120</v>
      </c>
      <c r="AB613" s="41"/>
      <c r="AC613" s="9">
        <v>-66.428052385443038</v>
      </c>
      <c r="AD613" s="9">
        <v>120</v>
      </c>
      <c r="AE613" s="16"/>
      <c r="AF613" s="16"/>
      <c r="AG613" s="16"/>
      <c r="AI613" s="69" cm="1">
        <f t="array" ref="AI613">tuple_avg(T613)/tuple_avg(AA613)</f>
        <v>0.01</v>
      </c>
      <c r="AK613" s="69">
        <f>AD613*AI613*'-配置辅助'!$I$10</f>
        <v>20</v>
      </c>
      <c r="AM613" s="69">
        <f>AK613*_xlfn.XLOOKUP(H613,monsters[怪物id],monsters[HP],-1)</f>
        <v>540</v>
      </c>
    </row>
    <row r="614" spans="1:39" x14ac:dyDescent="0.2">
      <c r="A614" s="9">
        <v>42080003</v>
      </c>
      <c r="B614" s="9" t="str" cm="1">
        <f t="array" ref="B614">D614&amp;_xlfn.TEXTJOIN("",1,TEXT(E614:G614,"00"))</f>
        <v>3000005</v>
      </c>
      <c r="C614" s="30" t="str">
        <f t="shared" si="335"/>
        <v>42080003,3000005</v>
      </c>
      <c r="D614" s="26">
        <v>3</v>
      </c>
      <c r="E614" s="26">
        <v>0</v>
      </c>
      <c r="F614" s="26">
        <f t="shared" si="336"/>
        <v>0</v>
      </c>
      <c r="G614" s="26">
        <v>5</v>
      </c>
      <c r="H614" s="9">
        <v>201814</v>
      </c>
      <c r="I614" s="15" t="str">
        <f>IFERROR(VLOOKUP(H614,monsters[#All],4,0),"")</f>
        <v>弱小螃蟹</v>
      </c>
      <c r="J614" s="15" t="str" cm="1">
        <f t="array" ref="J614">_xlfn.LET(_xlpm.v6p,ABS(ATAN2(O614,P614))*6/PI(),
_xlpm.output,_xlfn.IFS(_xlpm.v6p&lt;1,"正前",_xlpm.v6p&gt;5,"正后",AND(_xlpm.v6p&lt;5,_xlpm.v6p&gt;2,P614&lt;-1),"脚底",_xlpm.v6p&gt;4,"后上",_xlpm.v6p&lt;2,"前上",TRUE,"顶部"),
IFERROR(_xlpm.output,""))</f>
        <v>正后</v>
      </c>
      <c r="K614" s="12"/>
      <c r="L614" s="12" t="s">
        <v>63</v>
      </c>
      <c r="M614" s="12" t="s">
        <v>63</v>
      </c>
      <c r="N614" s="19" t="str">
        <f t="shared" si="337"/>
        <v>-20,5</v>
      </c>
      <c r="O614" s="24">
        <v>-20</v>
      </c>
      <c r="P614" s="24">
        <v>5</v>
      </c>
      <c r="Q614" s="19">
        <f t="shared" si="338"/>
        <v>2.6457999999999999</v>
      </c>
      <c r="R614" s="24">
        <v>2.6457999999999999</v>
      </c>
      <c r="S614" s="9">
        <v>5</v>
      </c>
      <c r="T614" s="19" t="str">
        <f t="shared" si="339"/>
        <v>1,1</v>
      </c>
      <c r="U614" s="24">
        <v>1</v>
      </c>
      <c r="V614" s="24">
        <v>1</v>
      </c>
      <c r="W614" s="9">
        <v>0</v>
      </c>
      <c r="X614" s="9">
        <v>11</v>
      </c>
      <c r="Y614" s="19" t="str">
        <f t="shared" si="340"/>
        <v>-2505,-2500</v>
      </c>
      <c r="Z614" s="42" t="s">
        <v>346</v>
      </c>
      <c r="AA614" s="19" t="str">
        <f t="shared" si="341"/>
        <v>80,120</v>
      </c>
      <c r="AB614" s="41"/>
      <c r="AC614" s="9">
        <v>-80</v>
      </c>
      <c r="AD614" s="9">
        <v>120</v>
      </c>
      <c r="AE614" s="16"/>
      <c r="AF614" s="16"/>
      <c r="AG614" s="16"/>
      <c r="AI614" s="69" cm="1">
        <f t="array" ref="AI614">tuple_avg(T614)/tuple_avg(AA614)</f>
        <v>0.01</v>
      </c>
      <c r="AK614" s="69">
        <f>AD614*AI614*'-配置辅助'!$I$10</f>
        <v>20</v>
      </c>
      <c r="AM614" s="69">
        <f>AK614*_xlfn.XLOOKUP(H614,monsters[怪物id],monsters[HP],-1)</f>
        <v>540</v>
      </c>
    </row>
    <row r="616" spans="1:39" x14ac:dyDescent="0.2">
      <c r="A616" s="9">
        <v>42080003</v>
      </c>
      <c r="B616" s="9" t="str" cm="1">
        <f t="array" ref="B616">D616&amp;_xlfn.TEXTJOIN("",1,TEXT(E616:G616,"00"))</f>
        <v>4000000</v>
      </c>
      <c r="C616" s="30" t="str">
        <f t="shared" ref="C616:C621" si="342">_xlfn.TEXTJOIN(",",1,A616:B616)</f>
        <v>42080003,4000000</v>
      </c>
      <c r="D616" s="26">
        <v>4</v>
      </c>
      <c r="E616" s="26">
        <v>0</v>
      </c>
      <c r="F616" s="26">
        <f t="shared" ref="F616:F621" si="343">W616</f>
        <v>0</v>
      </c>
      <c r="G616" s="26">
        <v>0</v>
      </c>
      <c r="H616" s="9">
        <v>201818</v>
      </c>
      <c r="I616" s="15" t="str">
        <f>IFERROR(VLOOKUP(H616,monsters[#All],4,0),"")</f>
        <v>聒噪海贝</v>
      </c>
      <c r="J616" s="15" t="str" cm="1">
        <f t="array" ref="J616">_xlfn.LET(_xlpm.v6p,ABS(ATAN2(O616,P616))*6/PI(),
_xlpm.output,_xlfn.IFS(_xlpm.v6p&lt;1,"正前",_xlpm.v6p&gt;5,"正后",AND(_xlpm.v6p&lt;5,_xlpm.v6p&gt;2,P616&lt;-1),"脚底",_xlpm.v6p&gt;4,"后上",_xlpm.v6p&lt;2,"前上",TRUE,"顶部"),
IFERROR(_xlpm.output,""))</f>
        <v>正后</v>
      </c>
      <c r="K616" s="12"/>
      <c r="L616" s="12" t="s">
        <v>63</v>
      </c>
      <c r="M616" s="12" t="s">
        <v>63</v>
      </c>
      <c r="N616" s="19" t="str">
        <f t="shared" ref="N616:N621" si="344">O616+0&amp;","&amp;P616+0</f>
        <v>-20,5</v>
      </c>
      <c r="O616" s="24">
        <v>-20</v>
      </c>
      <c r="P616" s="24">
        <v>5</v>
      </c>
      <c r="Q616" s="19">
        <f t="shared" ref="Q616:Q621" si="345">_xlfn.LET(_xlpm._default,1,
_xlpm._custom,R616,
IF($A616&lt;&gt;"",IF(_xlpm._custom&lt;&gt;"",_xlpm._custom,_xlpm._default),""))</f>
        <v>1</v>
      </c>
      <c r="R616" s="24">
        <v>1</v>
      </c>
      <c r="S616" s="9">
        <v>8</v>
      </c>
      <c r="T616" s="19" t="str">
        <f t="shared" ref="T616:T621" si="346">IF(U616&lt;&gt;"", U616+0&amp;","&amp;V616+0,"")</f>
        <v>1,1</v>
      </c>
      <c r="U616" s="24">
        <v>1</v>
      </c>
      <c r="V616" s="24">
        <v>1</v>
      </c>
      <c r="W616" s="9">
        <v>0</v>
      </c>
      <c r="X616" s="9">
        <v>11</v>
      </c>
      <c r="Y616" s="19" t="str">
        <f t="shared" ref="Y616:Y621" si="347">IF($A616&lt;&gt;"",IF($Z616&lt;&gt;"",$Z616,"0,0"),"")</f>
        <v>0,0</v>
      </c>
      <c r="Z616" s="41"/>
      <c r="AA616" s="19" t="str">
        <f t="shared" ref="AA616:AA621" si="348">IF($A616&lt;&gt;"",IF($AB616&lt;&gt;"",$AB616,"80,120"),"")</f>
        <v>80,120</v>
      </c>
      <c r="AB616" s="41"/>
      <c r="AC616" s="9" cm="1">
        <f t="array" ref="AC616:AD621">_xlfn.LET(_xlpm._lvl,MOD($A616,10),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_xlpm._seq,G616:G621,
_xlfn.MAKEARRAY(ROWS(_xlpm._seq),2,_xlfn.LAMBDA(_xlpm.x,_xlpm.y,IF(_xlpm.y=1,-_xlpm._generate_rate/_xlpm._v_begin*(_xlpm._v_begin/_xlpm._v_max)^(INDEX(_xlpm._seq,_xlpm.x)/MAX(_xlpm._seq)),_xlpm._generate_rate))
))</f>
        <v>-31.578947368421055</v>
      </c>
      <c r="AD616" s="9">
        <v>120</v>
      </c>
      <c r="AE616" s="16"/>
      <c r="AF616" s="16"/>
      <c r="AG616" s="16"/>
      <c r="AI616" s="69" cm="1">
        <f t="array" ref="AI616">tuple_avg(T616)/tuple_avg(AA616)</f>
        <v>0.01</v>
      </c>
      <c r="AK616" s="69">
        <f>AD616*AI616*'-配置辅助'!$I$10</f>
        <v>20</v>
      </c>
      <c r="AM616" s="69">
        <f>AK616*_xlfn.XLOOKUP(H616,monsters[怪物id],monsters[HP],-1)</f>
        <v>620</v>
      </c>
    </row>
    <row r="617" spans="1:39" x14ac:dyDescent="0.2">
      <c r="A617" s="9">
        <v>42080003</v>
      </c>
      <c r="B617" s="9" t="str" cm="1">
        <f t="array" ref="B617">D617&amp;_xlfn.TEXTJOIN("",1,TEXT(E617:G617,"00"))</f>
        <v>4000001</v>
      </c>
      <c r="C617" s="30" t="str">
        <f t="shared" si="342"/>
        <v>42080003,4000001</v>
      </c>
      <c r="D617" s="26">
        <v>4</v>
      </c>
      <c r="E617" s="76">
        <v>0</v>
      </c>
      <c r="F617" s="26">
        <f t="shared" si="343"/>
        <v>0</v>
      </c>
      <c r="G617" s="26">
        <v>1</v>
      </c>
      <c r="H617" s="9">
        <v>201818</v>
      </c>
      <c r="I617" s="15" t="str">
        <f>IFERROR(VLOOKUP(H617,monsters[#All],4,0),"")</f>
        <v>聒噪海贝</v>
      </c>
      <c r="J617" s="15" t="str" cm="1">
        <f t="array" ref="J617">_xlfn.LET(_xlpm.v6p,ABS(ATAN2(O617,P617))*6/PI(),
_xlpm.output,_xlfn.IFS(_xlpm.v6p&lt;1,"正前",_xlpm.v6p&gt;5,"正后",AND(_xlpm.v6p&lt;5,_xlpm.v6p&gt;2,P617&lt;-1),"脚底",_xlpm.v6p&gt;4,"后上",_xlpm.v6p&lt;2,"前上",TRUE,"顶部"),
IFERROR(_xlpm.output,""))</f>
        <v>正后</v>
      </c>
      <c r="K617" s="12"/>
      <c r="L617" s="12" t="s">
        <v>63</v>
      </c>
      <c r="M617" s="12" t="s">
        <v>63</v>
      </c>
      <c r="N617" s="19" t="str">
        <f t="shared" si="344"/>
        <v>-20,5</v>
      </c>
      <c r="O617" s="24">
        <v>-20</v>
      </c>
      <c r="P617" s="24">
        <v>5</v>
      </c>
      <c r="Q617" s="19">
        <f t="shared" si="345"/>
        <v>1.7321</v>
      </c>
      <c r="R617" s="24">
        <v>1.7321</v>
      </c>
      <c r="S617" s="9">
        <v>8</v>
      </c>
      <c r="T617" s="19" t="str">
        <f t="shared" si="346"/>
        <v>1,1</v>
      </c>
      <c r="U617" s="24">
        <v>1</v>
      </c>
      <c r="V617" s="24">
        <v>1</v>
      </c>
      <c r="W617" s="9">
        <v>0</v>
      </c>
      <c r="X617" s="9">
        <v>11</v>
      </c>
      <c r="Y617" s="19" t="str">
        <f t="shared" si="347"/>
        <v>-305,-300</v>
      </c>
      <c r="Z617" s="42" t="s">
        <v>269</v>
      </c>
      <c r="AA617" s="19" t="str">
        <f t="shared" si="348"/>
        <v>80,120</v>
      </c>
      <c r="AB617" s="41"/>
      <c r="AC617" s="9">
        <v>-38.030857427746881</v>
      </c>
      <c r="AD617" s="9">
        <v>120</v>
      </c>
      <c r="AE617" s="16"/>
      <c r="AF617" s="16"/>
      <c r="AG617" s="16"/>
      <c r="AI617" s="69" cm="1">
        <f t="array" ref="AI617">tuple_avg(T617)/tuple_avg(AA617)</f>
        <v>0.01</v>
      </c>
      <c r="AK617" s="69">
        <f>AD617*AI617*'-配置辅助'!$I$10</f>
        <v>20</v>
      </c>
      <c r="AM617" s="69">
        <f>AK617*_xlfn.XLOOKUP(H617,monsters[怪物id],monsters[HP],-1)</f>
        <v>620</v>
      </c>
    </row>
    <row r="618" spans="1:39" x14ac:dyDescent="0.2">
      <c r="A618" s="9">
        <v>42080003</v>
      </c>
      <c r="B618" s="9" t="str" cm="1">
        <f t="array" ref="B618">D618&amp;_xlfn.TEXTJOIN("",1,TEXT(E618:G618,"00"))</f>
        <v>4000002</v>
      </c>
      <c r="C618" s="30" t="str">
        <f t="shared" si="342"/>
        <v>42080003,4000002</v>
      </c>
      <c r="D618" s="26">
        <v>4</v>
      </c>
      <c r="E618" s="26">
        <v>0</v>
      </c>
      <c r="F618" s="26">
        <f t="shared" si="343"/>
        <v>0</v>
      </c>
      <c r="G618" s="26">
        <v>2</v>
      </c>
      <c r="H618" s="9">
        <v>201818</v>
      </c>
      <c r="I618" s="15" t="str">
        <f>IFERROR(VLOOKUP(H618,monsters[#All],4,0),"")</f>
        <v>聒噪海贝</v>
      </c>
      <c r="J618" s="15" t="str" cm="1">
        <f t="array" ref="J618">_xlfn.LET(_xlpm.v6p,ABS(ATAN2(O618,P618))*6/PI(),
_xlpm.output,_xlfn.IFS(_xlpm.v6p&lt;1,"正前",_xlpm.v6p&gt;5,"正后",AND(_xlpm.v6p&lt;5,_xlpm.v6p&gt;2,P618&lt;-1),"脚底",_xlpm.v6p&gt;4,"后上",_xlpm.v6p&lt;2,"前上",TRUE,"顶部"),
IFERROR(_xlpm.output,""))</f>
        <v>正后</v>
      </c>
      <c r="K618" s="12"/>
      <c r="L618" s="12" t="s">
        <v>63</v>
      </c>
      <c r="M618" s="12" t="s">
        <v>63</v>
      </c>
      <c r="N618" s="19" t="str">
        <f t="shared" si="344"/>
        <v>-20,5</v>
      </c>
      <c r="O618" s="24">
        <v>-20</v>
      </c>
      <c r="P618" s="24">
        <v>5</v>
      </c>
      <c r="Q618" s="19">
        <f t="shared" si="345"/>
        <v>2.2361</v>
      </c>
      <c r="R618" s="24">
        <v>2.2361</v>
      </c>
      <c r="S618" s="9">
        <v>7</v>
      </c>
      <c r="T618" s="19" t="str">
        <f t="shared" si="346"/>
        <v>1,1</v>
      </c>
      <c r="U618" s="24">
        <v>1</v>
      </c>
      <c r="V618" s="24">
        <v>1</v>
      </c>
      <c r="W618" s="9">
        <v>0</v>
      </c>
      <c r="X618" s="9">
        <v>11</v>
      </c>
      <c r="Y618" s="19" t="str">
        <f t="shared" si="347"/>
        <v>-705,-700</v>
      </c>
      <c r="Z618" s="42" t="s">
        <v>134</v>
      </c>
      <c r="AA618" s="19" t="str">
        <f t="shared" si="348"/>
        <v>80,120</v>
      </c>
      <c r="AB618" s="41"/>
      <c r="AC618" s="9">
        <v>-45.800960361837632</v>
      </c>
      <c r="AD618" s="9">
        <v>120</v>
      </c>
      <c r="AE618" s="16"/>
      <c r="AF618" s="16"/>
      <c r="AG618" s="16"/>
      <c r="AI618" s="69" cm="1">
        <f t="array" ref="AI618">tuple_avg(T618)/tuple_avg(AA618)</f>
        <v>0.01</v>
      </c>
      <c r="AK618" s="69">
        <f>AD618*AI618*'-配置辅助'!$I$10</f>
        <v>20</v>
      </c>
      <c r="AM618" s="69">
        <f>AK618*_xlfn.XLOOKUP(H618,monsters[怪物id],monsters[HP],-1)</f>
        <v>620</v>
      </c>
    </row>
    <row r="619" spans="1:39" x14ac:dyDescent="0.2">
      <c r="A619" s="9">
        <v>42080003</v>
      </c>
      <c r="B619" s="9" t="str" cm="1">
        <f t="array" ref="B619">D619&amp;_xlfn.TEXTJOIN("",1,TEXT(E619:G619,"00"))</f>
        <v>4000003</v>
      </c>
      <c r="C619" s="30" t="str">
        <f t="shared" si="342"/>
        <v>42080003,4000003</v>
      </c>
      <c r="D619" s="26">
        <v>4</v>
      </c>
      <c r="E619" s="26">
        <v>0</v>
      </c>
      <c r="F619" s="26">
        <f t="shared" si="343"/>
        <v>0</v>
      </c>
      <c r="G619" s="26">
        <v>3</v>
      </c>
      <c r="H619" s="9">
        <v>201818</v>
      </c>
      <c r="I619" s="15" t="str">
        <f>IFERROR(VLOOKUP(H619,monsters[#All],4,0),"")</f>
        <v>聒噪海贝</v>
      </c>
      <c r="J619" s="15" t="str" cm="1">
        <f t="array" ref="J619">_xlfn.LET(_xlpm.v6p,ABS(ATAN2(O619,P619))*6/PI(),
_xlpm.output,_xlfn.IFS(_xlpm.v6p&lt;1,"正前",_xlpm.v6p&gt;5,"正后",AND(_xlpm.v6p&lt;5,_xlpm.v6p&gt;2,P619&lt;-1),"脚底",_xlpm.v6p&gt;4,"后上",_xlpm.v6p&lt;2,"前上",TRUE,"顶部"),
IFERROR(_xlpm.output,""))</f>
        <v>正后</v>
      </c>
      <c r="K619" s="12"/>
      <c r="L619" s="12" t="s">
        <v>63</v>
      </c>
      <c r="M619" s="12" t="s">
        <v>63</v>
      </c>
      <c r="N619" s="19" t="str">
        <f t="shared" si="344"/>
        <v>-20,5</v>
      </c>
      <c r="O619" s="24">
        <v>-20</v>
      </c>
      <c r="P619" s="24">
        <v>5</v>
      </c>
      <c r="Q619" s="19">
        <f t="shared" si="345"/>
        <v>2.6457999999999999</v>
      </c>
      <c r="R619" s="24">
        <v>2.6457999999999999</v>
      </c>
      <c r="S619" s="9">
        <v>6</v>
      </c>
      <c r="T619" s="19" t="str">
        <f t="shared" si="346"/>
        <v>1,1</v>
      </c>
      <c r="U619" s="24">
        <v>1</v>
      </c>
      <c r="V619" s="24">
        <v>1</v>
      </c>
      <c r="W619" s="9">
        <v>0</v>
      </c>
      <c r="X619" s="9">
        <v>11</v>
      </c>
      <c r="Y619" s="19" t="str">
        <f t="shared" si="347"/>
        <v>-1205,-1200</v>
      </c>
      <c r="Z619" s="42" t="s">
        <v>344</v>
      </c>
      <c r="AA619" s="19" t="str">
        <f t="shared" si="348"/>
        <v>80,120</v>
      </c>
      <c r="AB619" s="41"/>
      <c r="AC619" s="9">
        <v>-55.158576796539535</v>
      </c>
      <c r="AD619" s="9">
        <v>120</v>
      </c>
      <c r="AE619" s="16"/>
      <c r="AF619" s="16"/>
      <c r="AG619" s="16"/>
      <c r="AI619" s="69" cm="1">
        <f t="array" ref="AI619">tuple_avg(T619)/tuple_avg(AA619)</f>
        <v>0.01</v>
      </c>
      <c r="AK619" s="69">
        <f>AD619*AI619*'-配置辅助'!$I$10</f>
        <v>20</v>
      </c>
      <c r="AM619" s="69">
        <f>AK619*_xlfn.XLOOKUP(H619,monsters[怪物id],monsters[HP],-1)</f>
        <v>620</v>
      </c>
    </row>
    <row r="620" spans="1:39" x14ac:dyDescent="0.2">
      <c r="A620" s="9">
        <v>42080003</v>
      </c>
      <c r="B620" s="9" t="str" cm="1">
        <f t="array" ref="B620">D620&amp;_xlfn.TEXTJOIN("",1,TEXT(E620:G620,"00"))</f>
        <v>4000004</v>
      </c>
      <c r="C620" s="30" t="str">
        <f t="shared" si="342"/>
        <v>42080003,4000004</v>
      </c>
      <c r="D620" s="26">
        <v>4</v>
      </c>
      <c r="E620" s="26">
        <v>0</v>
      </c>
      <c r="F620" s="26">
        <f t="shared" si="343"/>
        <v>0</v>
      </c>
      <c r="G620" s="26">
        <v>4</v>
      </c>
      <c r="H620" s="9">
        <v>201818</v>
      </c>
      <c r="I620" s="15" t="str">
        <f>IFERROR(VLOOKUP(H620,monsters[#All],4,0),"")</f>
        <v>聒噪海贝</v>
      </c>
      <c r="J620" s="15" t="str" cm="1">
        <f t="array" ref="J620">_xlfn.LET(_xlpm.v6p,ABS(ATAN2(O620,P620))*6/PI(),
_xlpm.output,_xlfn.IFS(_xlpm.v6p&lt;1,"正前",_xlpm.v6p&gt;5,"正后",AND(_xlpm.v6p&lt;5,_xlpm.v6p&gt;2,P620&lt;-1),"脚底",_xlpm.v6p&gt;4,"后上",_xlpm.v6p&lt;2,"前上",TRUE,"顶部"),
IFERROR(_xlpm.output,""))</f>
        <v>正后</v>
      </c>
      <c r="K620" s="12"/>
      <c r="L620" s="12" t="s">
        <v>63</v>
      </c>
      <c r="M620" s="12" t="s">
        <v>63</v>
      </c>
      <c r="N620" s="19" t="str">
        <f t="shared" si="344"/>
        <v>-20,5</v>
      </c>
      <c r="O620" s="24">
        <v>-20</v>
      </c>
      <c r="P620" s="24">
        <v>5</v>
      </c>
      <c r="Q620" s="19">
        <f t="shared" si="345"/>
        <v>2.6457999999999999</v>
      </c>
      <c r="R620" s="24">
        <v>2.6457999999999999</v>
      </c>
      <c r="S620" s="9">
        <v>5</v>
      </c>
      <c r="T620" s="19" t="str">
        <f t="shared" si="346"/>
        <v>1,1</v>
      </c>
      <c r="U620" s="24">
        <v>1</v>
      </c>
      <c r="V620" s="24">
        <v>1</v>
      </c>
      <c r="W620" s="9">
        <v>0</v>
      </c>
      <c r="X620" s="9">
        <v>11</v>
      </c>
      <c r="Y620" s="19" t="str">
        <f t="shared" si="347"/>
        <v>-1805,-1800</v>
      </c>
      <c r="Z620" s="42" t="s">
        <v>345</v>
      </c>
      <c r="AA620" s="19" t="str">
        <f t="shared" si="348"/>
        <v>80,120</v>
      </c>
      <c r="AB620" s="41"/>
      <c r="AC620" s="9">
        <v>-66.428052385443038</v>
      </c>
      <c r="AD620" s="9">
        <v>120</v>
      </c>
      <c r="AE620" s="16"/>
      <c r="AF620" s="16"/>
      <c r="AG620" s="16"/>
      <c r="AI620" s="69" cm="1">
        <f t="array" ref="AI620">tuple_avg(T620)/tuple_avg(AA620)</f>
        <v>0.01</v>
      </c>
      <c r="AK620" s="69">
        <f>AD620*AI620*'-配置辅助'!$I$10</f>
        <v>20</v>
      </c>
      <c r="AM620" s="69">
        <f>AK620*_xlfn.XLOOKUP(H620,monsters[怪物id],monsters[HP],-1)</f>
        <v>620</v>
      </c>
    </row>
    <row r="621" spans="1:39" x14ac:dyDescent="0.2">
      <c r="A621" s="9">
        <v>42080003</v>
      </c>
      <c r="B621" s="9" t="str" cm="1">
        <f t="array" ref="B621">D621&amp;_xlfn.TEXTJOIN("",1,TEXT(E621:G621,"00"))</f>
        <v>4000005</v>
      </c>
      <c r="C621" s="30" t="str">
        <f t="shared" si="342"/>
        <v>42080003,4000005</v>
      </c>
      <c r="D621" s="26">
        <v>4</v>
      </c>
      <c r="E621" s="26">
        <v>0</v>
      </c>
      <c r="F621" s="26">
        <f t="shared" si="343"/>
        <v>0</v>
      </c>
      <c r="G621" s="26">
        <v>5</v>
      </c>
      <c r="H621" s="9">
        <v>201818</v>
      </c>
      <c r="I621" s="15" t="str">
        <f>IFERROR(VLOOKUP(H621,monsters[#All],4,0),"")</f>
        <v>聒噪海贝</v>
      </c>
      <c r="J621" s="15" t="str" cm="1">
        <f t="array" ref="J621">_xlfn.LET(_xlpm.v6p,ABS(ATAN2(O621,P621))*6/PI(),
_xlpm.output,_xlfn.IFS(_xlpm.v6p&lt;1,"正前",_xlpm.v6p&gt;5,"正后",AND(_xlpm.v6p&lt;5,_xlpm.v6p&gt;2,P621&lt;-1),"脚底",_xlpm.v6p&gt;4,"后上",_xlpm.v6p&lt;2,"前上",TRUE,"顶部"),
IFERROR(_xlpm.output,""))</f>
        <v>正后</v>
      </c>
      <c r="K621" s="12"/>
      <c r="L621" s="12" t="s">
        <v>63</v>
      </c>
      <c r="M621" s="12" t="s">
        <v>63</v>
      </c>
      <c r="N621" s="19" t="str">
        <f t="shared" si="344"/>
        <v>-20,5</v>
      </c>
      <c r="O621" s="24">
        <v>-20</v>
      </c>
      <c r="P621" s="24">
        <v>5</v>
      </c>
      <c r="Q621" s="19">
        <f t="shared" si="345"/>
        <v>2.6457999999999999</v>
      </c>
      <c r="R621" s="24">
        <v>2.6457999999999999</v>
      </c>
      <c r="S621" s="9">
        <v>5</v>
      </c>
      <c r="T621" s="19" t="str">
        <f t="shared" si="346"/>
        <v>1,1</v>
      </c>
      <c r="U621" s="24">
        <v>1</v>
      </c>
      <c r="V621" s="24">
        <v>1</v>
      </c>
      <c r="W621" s="9">
        <v>0</v>
      </c>
      <c r="X621" s="9">
        <v>11</v>
      </c>
      <c r="Y621" s="19" t="str">
        <f t="shared" si="347"/>
        <v>-2505,-2500</v>
      </c>
      <c r="Z621" s="42" t="s">
        <v>346</v>
      </c>
      <c r="AA621" s="19" t="str">
        <f t="shared" si="348"/>
        <v>80,120</v>
      </c>
      <c r="AB621" s="41"/>
      <c r="AC621" s="9">
        <v>-80</v>
      </c>
      <c r="AD621" s="9">
        <v>120</v>
      </c>
      <c r="AE621" s="16"/>
      <c r="AF621" s="16"/>
      <c r="AG621" s="16"/>
      <c r="AI621" s="69" cm="1">
        <f t="array" ref="AI621">tuple_avg(T621)/tuple_avg(AA621)</f>
        <v>0.01</v>
      </c>
      <c r="AK621" s="69">
        <f>AD621*AI621*'-配置辅助'!$I$10</f>
        <v>20</v>
      </c>
      <c r="AM621" s="69">
        <f>AK621*_xlfn.XLOOKUP(H621,monsters[怪物id],monsters[HP],-1)</f>
        <v>620</v>
      </c>
    </row>
    <row r="623" spans="1:39" x14ac:dyDescent="0.2">
      <c r="I623" s="77" t="s">
        <v>349</v>
      </c>
    </row>
    <row r="624" spans="1:39" x14ac:dyDescent="0.2">
      <c r="A624" s="9">
        <v>42080003</v>
      </c>
      <c r="B624" s="9" t="str" cm="1">
        <f t="array" ref="B624">D624&amp;_xlfn.TEXTJOIN("",1,TEXT(E624:G624,"00"))</f>
        <v>2010000</v>
      </c>
      <c r="C624" s="30" t="str">
        <f t="shared" ref="C624:C627" si="349">_xlfn.TEXTJOIN(",",1,A624:B624)</f>
        <v>42080003,2010000</v>
      </c>
      <c r="D624" s="26">
        <v>2</v>
      </c>
      <c r="E624" s="26">
        <v>1</v>
      </c>
      <c r="F624" s="26">
        <f>W624</f>
        <v>0</v>
      </c>
      <c r="G624" s="26">
        <v>0</v>
      </c>
      <c r="H624" s="9">
        <v>201801</v>
      </c>
      <c r="I624" s="15" t="str">
        <f>IFERROR(VLOOKUP(H624,monsters[#All],4,0),"")</f>
        <v>金鱼</v>
      </c>
      <c r="J624" s="15" t="str" cm="1">
        <f t="array" ref="J624">_xlfn.LET(_xlpm.v6p,ABS(ATAN2(O624,P624))*6/PI(),
_xlpm.output,_xlfn.IFS(_xlpm.v6p&lt;1,"正前",_xlpm.v6p&gt;5,"正后",AND(_xlpm.v6p&lt;5,_xlpm.v6p&gt;2,P624&lt;-1),"脚底",_xlpm.v6p&gt;4,"后上",_xlpm.v6p&lt;2,"前上",TRUE,"顶部"),
IFERROR(_xlpm.output,""))</f>
        <v>正前</v>
      </c>
      <c r="K624" s="12"/>
      <c r="L624" s="12" t="s">
        <v>63</v>
      </c>
      <c r="M624" s="12" t="s">
        <v>63</v>
      </c>
      <c r="N624" s="19" t="str">
        <f>O624+0&amp;","&amp;P624+0</f>
        <v>15,6</v>
      </c>
      <c r="O624" s="24">
        <v>15</v>
      </c>
      <c r="P624" s="24">
        <v>6</v>
      </c>
      <c r="Q624" s="19">
        <f>_xlfn.LET(_xlpm._default,1,
_xlpm._custom,R624,
IF($A624&lt;&gt;"",IF(_xlpm._custom&lt;&gt;"",_xlpm._custom,_xlpm._default),""))</f>
        <v>1</v>
      </c>
      <c r="R624" s="24">
        <v>1</v>
      </c>
      <c r="S624" s="16"/>
      <c r="T624" s="19" t="str">
        <f>IF(U624&lt;&gt;"", U624+0&amp;","&amp;V624+0,"")</f>
        <v>0,0</v>
      </c>
      <c r="U624" s="24">
        <v>0</v>
      </c>
      <c r="V624" s="24">
        <v>0</v>
      </c>
      <c r="W624" s="9">
        <v>0</v>
      </c>
      <c r="X624" s="9">
        <v>11</v>
      </c>
      <c r="Y624" s="19" t="str">
        <f>IF($A624&lt;&gt;"",IF($Z624&lt;&gt;"",$Z624,"0,0"),"")</f>
        <v>0,0</v>
      </c>
      <c r="Z624" s="41"/>
      <c r="AA624" s="19" t="str">
        <f>IF($A624&lt;&gt;"",IF($AB624&lt;&gt;"",$AB624,"80,120"),"")</f>
        <v>100,100</v>
      </c>
      <c r="AB624" s="41" t="s">
        <v>343</v>
      </c>
      <c r="AC624" s="16"/>
      <c r="AD624" s="16"/>
      <c r="AE624" s="16"/>
      <c r="AF624" s="9">
        <v>33</v>
      </c>
      <c r="AG624" s="9">
        <v>40</v>
      </c>
      <c r="AI624" s="69" cm="1">
        <f t="array" ref="AI624">tuple_avg(T624)/tuple_avg(AA624)</f>
        <v>0</v>
      </c>
      <c r="AK624" s="69">
        <f>AD624*AI624*'-配置辅助'!$I$10</f>
        <v>0</v>
      </c>
      <c r="AM624" s="69">
        <f>AK624*_xlfn.XLOOKUP(H624,monsters[怪物id],monsters[HP],-1)</f>
        <v>0</v>
      </c>
    </row>
    <row r="625" spans="1:41" x14ac:dyDescent="0.2">
      <c r="A625" s="9">
        <v>42080003</v>
      </c>
      <c r="B625" s="9" t="str" cm="1">
        <f t="array" ref="B625">D625&amp;_xlfn.TEXTJOIN("",1,TEXT(E625:G625,"00"))</f>
        <v>2020000</v>
      </c>
      <c r="C625" s="30" t="str">
        <f t="shared" si="349"/>
        <v>42080003,2020000</v>
      </c>
      <c r="D625" s="26">
        <v>2</v>
      </c>
      <c r="E625" s="26">
        <v>2</v>
      </c>
      <c r="F625" s="26">
        <f>W625</f>
        <v>0</v>
      </c>
      <c r="G625" s="26">
        <v>0</v>
      </c>
      <c r="H625" s="9">
        <v>201801</v>
      </c>
      <c r="I625" s="15" t="str">
        <f>IFERROR(VLOOKUP(H625,monsters[#All],4,0),"")</f>
        <v>金鱼</v>
      </c>
      <c r="J625" s="15" t="str" cm="1">
        <f t="array" ref="J625">_xlfn.LET(_xlpm.v6p,ABS(ATAN2(O625,P625))*6/PI(),
_xlpm.output,_xlfn.IFS(_xlpm.v6p&lt;1,"正前",_xlpm.v6p&gt;5,"正后",AND(_xlpm.v6p&lt;5,_xlpm.v6p&gt;2,P625&lt;-1),"脚底",_xlpm.v6p&gt;4,"后上",_xlpm.v6p&lt;2,"前上",TRUE,"顶部"),
IFERROR(_xlpm.output,""))</f>
        <v>顶部</v>
      </c>
      <c r="K625" s="12"/>
      <c r="L625" s="12" t="s">
        <v>63</v>
      </c>
      <c r="M625" s="12" t="s">
        <v>63</v>
      </c>
      <c r="N625" s="19" t="str">
        <f>O625+0&amp;","&amp;P625+0</f>
        <v>6,14</v>
      </c>
      <c r="O625" s="24">
        <v>6</v>
      </c>
      <c r="P625" s="24">
        <v>14</v>
      </c>
      <c r="Q625" s="19">
        <f>_xlfn.LET(_xlpm._default,1,
_xlpm._custom,R625,
IF($A625&lt;&gt;"",IF(_xlpm._custom&lt;&gt;"",_xlpm._custom,_xlpm._default),""))</f>
        <v>1.7321</v>
      </c>
      <c r="R625" s="24">
        <v>1.7321</v>
      </c>
      <c r="S625" s="16"/>
      <c r="T625" s="19" t="str">
        <f>IF(U625&lt;&gt;"", U625+0&amp;","&amp;V625+0,"")</f>
        <v>0,0</v>
      </c>
      <c r="U625" s="24">
        <v>0</v>
      </c>
      <c r="V625" s="24">
        <v>0</v>
      </c>
      <c r="W625" s="9">
        <v>0</v>
      </c>
      <c r="X625" s="9">
        <v>11</v>
      </c>
      <c r="Y625" s="19" t="str">
        <f>IF($A625&lt;&gt;"",IF($Z625&lt;&gt;"",$Z625,"0,0"),"")</f>
        <v>0,0</v>
      </c>
      <c r="Z625" s="41"/>
      <c r="AA625" s="19" t="str">
        <f>IF($A625&lt;&gt;"",IF($AB625&lt;&gt;"",$AB625,"80,120"),"")</f>
        <v>100,100</v>
      </c>
      <c r="AB625" s="41" t="s">
        <v>343</v>
      </c>
      <c r="AC625" s="16"/>
      <c r="AD625" s="16"/>
      <c r="AE625" s="16"/>
      <c r="AF625" s="9">
        <v>33</v>
      </c>
      <c r="AG625" s="9">
        <v>40</v>
      </c>
      <c r="AI625" s="69" cm="1">
        <f t="array" ref="AI625">tuple_avg(T625)/tuple_avg(AA625)</f>
        <v>0</v>
      </c>
      <c r="AK625" s="69">
        <f>AD625*AI625*'-配置辅助'!$I$10</f>
        <v>0</v>
      </c>
      <c r="AM625" s="69">
        <f>AK625*_xlfn.XLOOKUP(H625,monsters[怪物id],monsters[HP],-1)</f>
        <v>0</v>
      </c>
    </row>
    <row r="626" spans="1:41" x14ac:dyDescent="0.2">
      <c r="A626" s="9">
        <v>42080003</v>
      </c>
      <c r="B626" s="9" t="str" cm="1">
        <f t="array" ref="B626">D626&amp;_xlfn.TEXTJOIN("",1,TEXT(E626:G626,"00"))</f>
        <v>2030000</v>
      </c>
      <c r="C626" s="30" t="str">
        <f t="shared" si="349"/>
        <v>42080003,2030000</v>
      </c>
      <c r="D626" s="26">
        <v>2</v>
      </c>
      <c r="E626" s="26">
        <v>3</v>
      </c>
      <c r="F626" s="26">
        <f>W626</f>
        <v>0</v>
      </c>
      <c r="G626" s="26">
        <v>0</v>
      </c>
      <c r="H626" s="9">
        <v>201801</v>
      </c>
      <c r="I626" s="15" t="str">
        <f>IFERROR(VLOOKUP(H626,monsters[#All],4,0),"")</f>
        <v>金鱼</v>
      </c>
      <c r="J626" s="15" t="str" cm="1">
        <f t="array" ref="J626">_xlfn.LET(_xlpm.v6p,ABS(ATAN2(O626,P626))*6/PI(),
_xlpm.output,_xlfn.IFS(_xlpm.v6p&lt;1,"正前",_xlpm.v6p&gt;5,"正后",AND(_xlpm.v6p&lt;5,_xlpm.v6p&gt;2,P626&lt;-1),"脚底",_xlpm.v6p&gt;4,"后上",_xlpm.v6p&lt;2,"前上",TRUE,"顶部"),
IFERROR(_xlpm.output,""))</f>
        <v>正前</v>
      </c>
      <c r="K626" s="12"/>
      <c r="L626" s="12" t="s">
        <v>63</v>
      </c>
      <c r="M626" s="12" t="s">
        <v>63</v>
      </c>
      <c r="N626" s="19" t="str">
        <f>O626+0&amp;","&amp;P626+0</f>
        <v>15,6</v>
      </c>
      <c r="O626" s="24">
        <v>15</v>
      </c>
      <c r="P626" s="24">
        <v>6</v>
      </c>
      <c r="Q626" s="19">
        <f>_xlfn.LET(_xlpm._default,1,
_xlpm._custom,R626,
IF($A626&lt;&gt;"",IF(_xlpm._custom&lt;&gt;"",_xlpm._custom,_xlpm._default),""))</f>
        <v>2.2361</v>
      </c>
      <c r="R626" s="24">
        <v>2.2361</v>
      </c>
      <c r="S626" s="16"/>
      <c r="T626" s="19" t="str">
        <f>IF(U626&lt;&gt;"", U626+0&amp;","&amp;V626+0,"")</f>
        <v>0,0</v>
      </c>
      <c r="U626" s="24">
        <v>0</v>
      </c>
      <c r="V626" s="24">
        <v>0</v>
      </c>
      <c r="W626" s="9">
        <v>0</v>
      </c>
      <c r="X626" s="9">
        <v>11</v>
      </c>
      <c r="Y626" s="19" t="str">
        <f>IF($A626&lt;&gt;"",IF($Z626&lt;&gt;"",$Z626,"0,0"),"")</f>
        <v>0,0</v>
      </c>
      <c r="Z626" s="41"/>
      <c r="AA626" s="19" t="str">
        <f>IF($A626&lt;&gt;"",IF($AB626&lt;&gt;"",$AB626,"80,120"),"")</f>
        <v>100,100</v>
      </c>
      <c r="AB626" s="41" t="s">
        <v>343</v>
      </c>
      <c r="AC626" s="16"/>
      <c r="AD626" s="16"/>
      <c r="AE626" s="16"/>
      <c r="AF626" s="9">
        <v>33</v>
      </c>
      <c r="AG626" s="9">
        <v>40</v>
      </c>
      <c r="AI626" s="69" cm="1">
        <f t="array" ref="AI626">tuple_avg(T626)/tuple_avg(AA626)</f>
        <v>0</v>
      </c>
      <c r="AK626" s="69">
        <f>AD626*AI626*'-配置辅助'!$I$10</f>
        <v>0</v>
      </c>
      <c r="AM626" s="69">
        <f>AK626*_xlfn.XLOOKUP(H626,monsters[怪物id],monsters[HP],-1)</f>
        <v>0</v>
      </c>
    </row>
    <row r="627" spans="1:41" x14ac:dyDescent="0.2">
      <c r="A627" s="9">
        <v>42080003</v>
      </c>
      <c r="B627" s="9" t="str" cm="1">
        <f t="array" ref="B627">D627&amp;_xlfn.TEXTJOIN("",1,TEXT(E627:G627,"00"))</f>
        <v>2040000</v>
      </c>
      <c r="C627" s="30" t="str">
        <f t="shared" si="349"/>
        <v>42080003,2040000</v>
      </c>
      <c r="D627" s="26">
        <v>2</v>
      </c>
      <c r="E627" s="26">
        <v>4</v>
      </c>
      <c r="F627" s="26">
        <f>W627</f>
        <v>0</v>
      </c>
      <c r="G627" s="26">
        <v>0</v>
      </c>
      <c r="H627" s="9">
        <v>201801</v>
      </c>
      <c r="I627" s="15" t="str">
        <f>IFERROR(VLOOKUP(H627,monsters[#All],4,0),"")</f>
        <v>金鱼</v>
      </c>
      <c r="J627" s="15" t="str" cm="1">
        <f t="array" ref="J627">_xlfn.LET(_xlpm.v6p,ABS(ATAN2(O627,P627))*6/PI(),
_xlpm.output,_xlfn.IFS(_xlpm.v6p&lt;1,"正前",_xlpm.v6p&gt;5,"正后",AND(_xlpm.v6p&lt;5,_xlpm.v6p&gt;2,P627&lt;-1),"脚底",_xlpm.v6p&gt;4,"后上",_xlpm.v6p&lt;2,"前上",TRUE,"顶部"),
IFERROR(_xlpm.output,""))</f>
        <v>正后</v>
      </c>
      <c r="K627" s="12"/>
      <c r="L627" s="12" t="s">
        <v>63</v>
      </c>
      <c r="M627" s="12" t="s">
        <v>63</v>
      </c>
      <c r="N627" s="19" t="str">
        <f>O627+0&amp;","&amp;P627+0</f>
        <v>-15,6</v>
      </c>
      <c r="O627" s="24">
        <v>-15</v>
      </c>
      <c r="P627" s="24">
        <v>6</v>
      </c>
      <c r="Q627" s="19">
        <f>_xlfn.LET(_xlpm._default,1,
_xlpm._custom,R627,
IF($A627&lt;&gt;"",IF(_xlpm._custom&lt;&gt;"",_xlpm._custom,_xlpm._default),""))</f>
        <v>2.6457999999999999</v>
      </c>
      <c r="R627" s="24">
        <v>2.6457999999999999</v>
      </c>
      <c r="S627" s="16"/>
      <c r="T627" s="19" t="str">
        <f>IF(U627&lt;&gt;"", U627+0&amp;","&amp;V627+0,"")</f>
        <v>0,0</v>
      </c>
      <c r="U627" s="24">
        <v>0</v>
      </c>
      <c r="V627" s="24">
        <v>0</v>
      </c>
      <c r="W627" s="9">
        <v>0</v>
      </c>
      <c r="X627" s="9">
        <v>11</v>
      </c>
      <c r="Y627" s="19" t="str">
        <f>IF($A627&lt;&gt;"",IF($Z627&lt;&gt;"",$Z627,"0,0"),"")</f>
        <v>0,0</v>
      </c>
      <c r="Z627" s="41"/>
      <c r="AA627" s="19" t="str">
        <f>IF($A627&lt;&gt;"",IF($AB627&lt;&gt;"",$AB627,"80,120"),"")</f>
        <v>100,100</v>
      </c>
      <c r="AB627" s="41" t="s">
        <v>343</v>
      </c>
      <c r="AC627" s="16"/>
      <c r="AD627" s="16"/>
      <c r="AE627" s="16"/>
      <c r="AF627" s="9">
        <v>33</v>
      </c>
      <c r="AG627" s="9">
        <v>40</v>
      </c>
      <c r="AI627" s="69" cm="1">
        <f t="array" ref="AI627">tuple_avg(T627)/tuple_avg(AA627)</f>
        <v>0</v>
      </c>
      <c r="AK627" s="69">
        <f>AD627*AI627*'-配置辅助'!$I$10</f>
        <v>0</v>
      </c>
      <c r="AM627" s="69">
        <f>AK627*_xlfn.XLOOKUP(H627,monsters[怪物id],monsters[HP],-1)</f>
        <v>0</v>
      </c>
    </row>
    <row r="630" spans="1:41" s="40" customFormat="1" x14ac:dyDescent="0.2">
      <c r="A630" s="43"/>
      <c r="B630" s="43"/>
      <c r="C630" s="44"/>
      <c r="D630" s="45"/>
      <c r="E630" s="45"/>
      <c r="F630" s="45"/>
      <c r="G630" s="45"/>
      <c r="H630" s="43" t="s">
        <v>388</v>
      </c>
      <c r="I630" s="46"/>
      <c r="J630" s="46"/>
      <c r="O630" s="47"/>
      <c r="P630" s="47"/>
      <c r="R630" s="47"/>
      <c r="S630" s="40" t="s">
        <v>62</v>
      </c>
      <c r="U630" s="47"/>
      <c r="V630" s="47"/>
      <c r="Z630" s="47"/>
      <c r="AB630" s="47"/>
      <c r="AC630" s="40" t="s">
        <v>62</v>
      </c>
      <c r="AI630" s="75"/>
      <c r="AJ630" s="75"/>
      <c r="AK630" s="75">
        <f>SUM(AK632:AK637)</f>
        <v>144</v>
      </c>
      <c r="AL630" s="75"/>
      <c r="AM630" s="75">
        <f>SUM(AM632:AM637)</f>
        <v>2736</v>
      </c>
      <c r="AN630" s="75"/>
      <c r="AO630" s="75"/>
    </row>
    <row r="632" spans="1:41" x14ac:dyDescent="0.2">
      <c r="A632" s="9">
        <v>42080004</v>
      </c>
      <c r="B632" s="9" t="str" cm="1">
        <f t="array" ref="B632">D632&amp;_xlfn.TEXTJOIN("",1,TEXT(E632:G632,"00"))</f>
        <v>1000000</v>
      </c>
      <c r="C632" s="30" t="str">
        <f t="shared" ref="C632:C637" si="350">_xlfn.TEXTJOIN(",",1,A632:B632)</f>
        <v>42080004,1000000</v>
      </c>
      <c r="D632" s="26">
        <v>1</v>
      </c>
      <c r="E632" s="26">
        <v>0</v>
      </c>
      <c r="F632" s="26">
        <f t="shared" ref="F632:F637" si="351">W632</f>
        <v>0</v>
      </c>
      <c r="G632" s="26">
        <v>0</v>
      </c>
      <c r="H632" s="9">
        <v>201801</v>
      </c>
      <c r="I632" s="15" t="str">
        <f>IFERROR(VLOOKUP(H632,monsters[#All],4,0),"")</f>
        <v>金鱼</v>
      </c>
      <c r="J632" s="15" t="str" cm="1">
        <f t="array" ref="J632">_xlfn.LET(_xlpm.v6p,ABS(ATAN2(O632,P632))*6/PI(),
_xlpm.output,_xlfn.IFS(_xlpm.v6p&lt;1,"正前",_xlpm.v6p&gt;5,"正后",AND(_xlpm.v6p&lt;5,_xlpm.v6p&gt;2,P632&lt;-1),"脚底",_xlpm.v6p&gt;4,"后上",_xlpm.v6p&lt;2,"前上",TRUE,"顶部"),
IFERROR(_xlpm.output,""))</f>
        <v>正后</v>
      </c>
      <c r="K632" s="12"/>
      <c r="L632" s="12" t="s">
        <v>63</v>
      </c>
      <c r="M632" s="12" t="s">
        <v>63</v>
      </c>
      <c r="N632" s="19" t="str">
        <f t="shared" ref="N632:N637" si="352">O632+0&amp;","&amp;P632+0</f>
        <v>-20,5</v>
      </c>
      <c r="O632" s="24">
        <v>-20</v>
      </c>
      <c r="P632" s="24">
        <v>5</v>
      </c>
      <c r="Q632" s="19">
        <f t="shared" ref="Q632:Q637" si="353">_xlfn.LET(_xlpm._default,1,
_xlpm._custom,R632,
IF($A632&lt;&gt;"",IF(_xlpm._custom&lt;&gt;"",_xlpm._custom,_xlpm._default),""))</f>
        <v>1</v>
      </c>
      <c r="R632" s="24">
        <v>1</v>
      </c>
      <c r="S632" s="9">
        <v>8</v>
      </c>
      <c r="T632" s="19" t="str">
        <f t="shared" ref="T632:T637" si="354">IF(U632&lt;&gt;"", U632+0&amp;","&amp;V632+0,"")</f>
        <v>1,1</v>
      </c>
      <c r="U632" s="24">
        <v>1</v>
      </c>
      <c r="V632" s="24">
        <v>1</v>
      </c>
      <c r="W632" s="9">
        <v>0</v>
      </c>
      <c r="X632" s="9">
        <v>11</v>
      </c>
      <c r="Y632" s="19" t="str">
        <f t="shared" ref="Y632:Y637" si="355">IF($A632&lt;&gt;"",IF($Z632&lt;&gt;"",$Z632,"0,0"),"")</f>
        <v>0,0</v>
      </c>
      <c r="Z632" s="41"/>
      <c r="AA632" s="19" t="str">
        <f t="shared" ref="AA632:AA637" si="356">IF($A632&lt;&gt;"",IF($AB632&lt;&gt;"",$AB632,"80,120"),"")</f>
        <v>80,120</v>
      </c>
      <c r="AB632" s="41"/>
      <c r="AC632" s="9" cm="1">
        <f t="array" ref="AC632:AD637">_xlfn.LET(_xlpm._lvl,MOD($A632,10),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_xlpm._seq,G632:G637,
_xlfn.MAKEARRAY(ROWS(_xlpm._seq),2,_xlfn.LAMBDA(_xlpm.x,_xlpm.y,IF(_xlpm.y=1,-_xlpm._generate_rate/_xlpm._v_begin*(_xlpm._v_begin/_xlpm._v_max)^(INDEX(_xlpm._seq,_xlpm.x)/MAX(_xlpm._seq)),_xlpm._generate_rate))
))</f>
        <v>-32.727272727272727</v>
      </c>
      <c r="AD632" s="9">
        <v>144</v>
      </c>
      <c r="AE632" s="16"/>
      <c r="AF632" s="16"/>
      <c r="AG632" s="16"/>
      <c r="AI632" s="69" cm="1">
        <f t="array" ref="AI632">tuple_avg(T632)/tuple_avg(AA632)</f>
        <v>0.01</v>
      </c>
      <c r="AK632" s="69">
        <f>AD632*AI632*'-配置辅助'!$I$10</f>
        <v>24</v>
      </c>
      <c r="AM632" s="69">
        <f>AK632*_xlfn.XLOOKUP(H632,monsters[怪物id],monsters[HP],-1)</f>
        <v>456</v>
      </c>
    </row>
    <row r="633" spans="1:41" x14ac:dyDescent="0.2">
      <c r="A633" s="9">
        <v>42080004</v>
      </c>
      <c r="B633" s="9" t="str" cm="1">
        <f t="array" ref="B633">D633&amp;_xlfn.TEXTJOIN("",1,TEXT(E633:G633,"00"))</f>
        <v>1000001</v>
      </c>
      <c r="C633" s="30" t="str">
        <f t="shared" si="350"/>
        <v>42080004,1000001</v>
      </c>
      <c r="D633" s="26">
        <v>1</v>
      </c>
      <c r="E633" s="76">
        <v>0</v>
      </c>
      <c r="F633" s="26">
        <f t="shared" si="351"/>
        <v>0</v>
      </c>
      <c r="G633" s="26">
        <v>1</v>
      </c>
      <c r="H633" s="9">
        <v>201801</v>
      </c>
      <c r="I633" s="15" t="str">
        <f>IFERROR(VLOOKUP(H633,monsters[#All],4,0),"")</f>
        <v>金鱼</v>
      </c>
      <c r="J633" s="15" t="str" cm="1">
        <f t="array" ref="J633">_xlfn.LET(_xlpm.v6p,ABS(ATAN2(O633,P633))*6/PI(),
_xlpm.output,_xlfn.IFS(_xlpm.v6p&lt;1,"正前",_xlpm.v6p&gt;5,"正后",AND(_xlpm.v6p&lt;5,_xlpm.v6p&gt;2,P633&lt;-1),"脚底",_xlpm.v6p&gt;4,"后上",_xlpm.v6p&lt;2,"前上",TRUE,"顶部"),
IFERROR(_xlpm.output,""))</f>
        <v>正后</v>
      </c>
      <c r="K633" s="12"/>
      <c r="L633" s="12" t="s">
        <v>63</v>
      </c>
      <c r="M633" s="12" t="s">
        <v>63</v>
      </c>
      <c r="N633" s="19" t="str">
        <f t="shared" si="352"/>
        <v>-20,5</v>
      </c>
      <c r="O633" s="24">
        <v>-20</v>
      </c>
      <c r="P633" s="24">
        <v>5</v>
      </c>
      <c r="Q633" s="19">
        <f t="shared" si="353"/>
        <v>1.7321</v>
      </c>
      <c r="R633" s="24">
        <v>1.7321</v>
      </c>
      <c r="S633" s="9">
        <v>8</v>
      </c>
      <c r="T633" s="19" t="str">
        <f t="shared" si="354"/>
        <v>1,1</v>
      </c>
      <c r="U633" s="24">
        <v>1</v>
      </c>
      <c r="V633" s="24">
        <v>1</v>
      </c>
      <c r="W633" s="9">
        <v>0</v>
      </c>
      <c r="X633" s="9">
        <v>11</v>
      </c>
      <c r="Y633" s="19" t="str">
        <f t="shared" si="355"/>
        <v>-305,-300</v>
      </c>
      <c r="Z633" s="42" t="s">
        <v>269</v>
      </c>
      <c r="AA633" s="19" t="str">
        <f t="shared" si="356"/>
        <v>80,120</v>
      </c>
      <c r="AB633" s="41"/>
      <c r="AC633" s="9">
        <v>-38.317251697032837</v>
      </c>
      <c r="AD633" s="9">
        <v>144</v>
      </c>
      <c r="AE633" s="16"/>
      <c r="AF633" s="16"/>
      <c r="AG633" s="16"/>
      <c r="AI633" s="69" cm="1">
        <f t="array" ref="AI633">tuple_avg(T633)/tuple_avg(AA633)</f>
        <v>0.01</v>
      </c>
      <c r="AK633" s="69">
        <f>AD633*AI633*'-配置辅助'!$I$10</f>
        <v>24</v>
      </c>
      <c r="AM633" s="69">
        <f>AK633*_xlfn.XLOOKUP(H633,monsters[怪物id],monsters[HP],-1)</f>
        <v>456</v>
      </c>
    </row>
    <row r="634" spans="1:41" x14ac:dyDescent="0.2">
      <c r="A634" s="9">
        <v>42080004</v>
      </c>
      <c r="B634" s="9" t="str" cm="1">
        <f t="array" ref="B634">D634&amp;_xlfn.TEXTJOIN("",1,TEXT(E634:G634,"00"))</f>
        <v>1000002</v>
      </c>
      <c r="C634" s="30" t="str">
        <f t="shared" si="350"/>
        <v>42080004,1000002</v>
      </c>
      <c r="D634" s="26">
        <v>1</v>
      </c>
      <c r="E634" s="26">
        <v>0</v>
      </c>
      <c r="F634" s="26">
        <f t="shared" si="351"/>
        <v>0</v>
      </c>
      <c r="G634" s="26">
        <v>2</v>
      </c>
      <c r="H634" s="9">
        <v>201801</v>
      </c>
      <c r="I634" s="15" t="str">
        <f>IFERROR(VLOOKUP(H634,monsters[#All],4,0),"")</f>
        <v>金鱼</v>
      </c>
      <c r="J634" s="15" t="str" cm="1">
        <f t="array" ref="J634">_xlfn.LET(_xlpm.v6p,ABS(ATAN2(O634,P634))*6/PI(),
_xlpm.output,_xlfn.IFS(_xlpm.v6p&lt;1,"正前",_xlpm.v6p&gt;5,"正后",AND(_xlpm.v6p&lt;5,_xlpm.v6p&gt;2,P634&lt;-1),"脚底",_xlpm.v6p&gt;4,"后上",_xlpm.v6p&lt;2,"前上",TRUE,"顶部"),
IFERROR(_xlpm.output,""))</f>
        <v>正后</v>
      </c>
      <c r="K634" s="12"/>
      <c r="L634" s="12" t="s">
        <v>63</v>
      </c>
      <c r="M634" s="12" t="s">
        <v>63</v>
      </c>
      <c r="N634" s="19" t="str">
        <f t="shared" si="352"/>
        <v>-20,5</v>
      </c>
      <c r="O634" s="24">
        <v>-20</v>
      </c>
      <c r="P634" s="24">
        <v>5</v>
      </c>
      <c r="Q634" s="19">
        <f t="shared" si="353"/>
        <v>2.2361</v>
      </c>
      <c r="R634" s="24">
        <v>2.2361</v>
      </c>
      <c r="S634" s="9">
        <v>7</v>
      </c>
      <c r="T634" s="19" t="str">
        <f t="shared" si="354"/>
        <v>1,1</v>
      </c>
      <c r="U634" s="24">
        <v>1</v>
      </c>
      <c r="V634" s="24">
        <v>1</v>
      </c>
      <c r="W634" s="9">
        <v>0</v>
      </c>
      <c r="X634" s="9">
        <v>11</v>
      </c>
      <c r="Y634" s="19" t="str">
        <f t="shared" si="355"/>
        <v>-705,-700</v>
      </c>
      <c r="Z634" s="42" t="s">
        <v>134</v>
      </c>
      <c r="AA634" s="19" t="str">
        <f t="shared" si="356"/>
        <v>80,120</v>
      </c>
      <c r="AB634" s="41"/>
      <c r="AC634" s="9">
        <v>-44.862026538198407</v>
      </c>
      <c r="AD634" s="9">
        <v>144</v>
      </c>
      <c r="AE634" s="16"/>
      <c r="AF634" s="16"/>
      <c r="AG634" s="16"/>
      <c r="AI634" s="69" cm="1">
        <f t="array" ref="AI634">tuple_avg(T634)/tuple_avg(AA634)</f>
        <v>0.01</v>
      </c>
      <c r="AK634" s="69">
        <f>AD634*AI634*'-配置辅助'!$I$10</f>
        <v>24</v>
      </c>
      <c r="AM634" s="69">
        <f>AK634*_xlfn.XLOOKUP(H634,monsters[怪物id],monsters[HP],-1)</f>
        <v>456</v>
      </c>
    </row>
    <row r="635" spans="1:41" x14ac:dyDescent="0.2">
      <c r="A635" s="9">
        <v>42080004</v>
      </c>
      <c r="B635" s="9" t="str" cm="1">
        <f t="array" ref="B635">D635&amp;_xlfn.TEXTJOIN("",1,TEXT(E635:G635,"00"))</f>
        <v>1000003</v>
      </c>
      <c r="C635" s="30" t="str">
        <f t="shared" si="350"/>
        <v>42080004,1000003</v>
      </c>
      <c r="D635" s="26">
        <v>1</v>
      </c>
      <c r="E635" s="26">
        <v>0</v>
      </c>
      <c r="F635" s="26">
        <f t="shared" si="351"/>
        <v>0</v>
      </c>
      <c r="G635" s="26">
        <v>3</v>
      </c>
      <c r="H635" s="9">
        <v>201801</v>
      </c>
      <c r="I635" s="15" t="str">
        <f>IFERROR(VLOOKUP(H635,monsters[#All],4,0),"")</f>
        <v>金鱼</v>
      </c>
      <c r="J635" s="15" t="str" cm="1">
        <f t="array" ref="J635">_xlfn.LET(_xlpm.v6p,ABS(ATAN2(O635,P635))*6/PI(),
_xlpm.output,_xlfn.IFS(_xlpm.v6p&lt;1,"正前",_xlpm.v6p&gt;5,"正后",AND(_xlpm.v6p&lt;5,_xlpm.v6p&gt;2,P635&lt;-1),"脚底",_xlpm.v6p&gt;4,"后上",_xlpm.v6p&lt;2,"前上",TRUE,"顶部"),
IFERROR(_xlpm.output,""))</f>
        <v>正后</v>
      </c>
      <c r="K635" s="12"/>
      <c r="L635" s="12" t="s">
        <v>63</v>
      </c>
      <c r="M635" s="12" t="s">
        <v>63</v>
      </c>
      <c r="N635" s="19" t="str">
        <f t="shared" si="352"/>
        <v>-20,5</v>
      </c>
      <c r="O635" s="24">
        <v>-20</v>
      </c>
      <c r="P635" s="24">
        <v>5</v>
      </c>
      <c r="Q635" s="19">
        <f t="shared" si="353"/>
        <v>2.6457999999999999</v>
      </c>
      <c r="R635" s="24">
        <v>2.6457999999999999</v>
      </c>
      <c r="S635" s="9">
        <v>6</v>
      </c>
      <c r="T635" s="19" t="str">
        <f t="shared" si="354"/>
        <v>1,1</v>
      </c>
      <c r="U635" s="24">
        <v>1</v>
      </c>
      <c r="V635" s="24">
        <v>1</v>
      </c>
      <c r="W635" s="9">
        <v>0</v>
      </c>
      <c r="X635" s="9">
        <v>11</v>
      </c>
      <c r="Y635" s="19" t="str">
        <f t="shared" si="355"/>
        <v>-1205,-1200</v>
      </c>
      <c r="Z635" s="42" t="s">
        <v>344</v>
      </c>
      <c r="AA635" s="19" t="str">
        <f t="shared" si="356"/>
        <v>80,120</v>
      </c>
      <c r="AB635" s="41"/>
      <c r="AC635" s="9">
        <v>-52.524681076484079</v>
      </c>
      <c r="AD635" s="9">
        <v>144</v>
      </c>
      <c r="AE635" s="16"/>
      <c r="AF635" s="16"/>
      <c r="AG635" s="16"/>
      <c r="AI635" s="69" cm="1">
        <f t="array" ref="AI635">tuple_avg(T635)/tuple_avg(AA635)</f>
        <v>0.01</v>
      </c>
      <c r="AK635" s="69">
        <f>AD635*AI635*'-配置辅助'!$I$10</f>
        <v>24</v>
      </c>
      <c r="AM635" s="69">
        <f>AK635*_xlfn.XLOOKUP(H635,monsters[怪物id],monsters[HP],-1)</f>
        <v>456</v>
      </c>
    </row>
    <row r="636" spans="1:41" x14ac:dyDescent="0.2">
      <c r="A636" s="9">
        <v>42080004</v>
      </c>
      <c r="B636" s="9" t="str" cm="1">
        <f t="array" ref="B636">D636&amp;_xlfn.TEXTJOIN("",1,TEXT(E636:G636,"00"))</f>
        <v>1000004</v>
      </c>
      <c r="C636" s="30" t="str">
        <f t="shared" si="350"/>
        <v>42080004,1000004</v>
      </c>
      <c r="D636" s="26">
        <v>1</v>
      </c>
      <c r="E636" s="26">
        <v>0</v>
      </c>
      <c r="F636" s="26">
        <f t="shared" si="351"/>
        <v>0</v>
      </c>
      <c r="G636" s="26">
        <v>4</v>
      </c>
      <c r="H636" s="9">
        <v>201801</v>
      </c>
      <c r="I636" s="15" t="str">
        <f>IFERROR(VLOOKUP(H636,monsters[#All],4,0),"")</f>
        <v>金鱼</v>
      </c>
      <c r="J636" s="15" t="str" cm="1">
        <f t="array" ref="J636">_xlfn.LET(_xlpm.v6p,ABS(ATAN2(O636,P636))*6/PI(),
_xlpm.output,_xlfn.IFS(_xlpm.v6p&lt;1,"正前",_xlpm.v6p&gt;5,"正后",AND(_xlpm.v6p&lt;5,_xlpm.v6p&gt;2,P636&lt;-1),"脚底",_xlpm.v6p&gt;4,"后上",_xlpm.v6p&lt;2,"前上",TRUE,"顶部"),
IFERROR(_xlpm.output,""))</f>
        <v>正后</v>
      </c>
      <c r="K636" s="12"/>
      <c r="L636" s="12" t="s">
        <v>63</v>
      </c>
      <c r="M636" s="12" t="s">
        <v>63</v>
      </c>
      <c r="N636" s="19" t="str">
        <f t="shared" si="352"/>
        <v>-20,5</v>
      </c>
      <c r="O636" s="24">
        <v>-20</v>
      </c>
      <c r="P636" s="24">
        <v>5</v>
      </c>
      <c r="Q636" s="19">
        <f t="shared" si="353"/>
        <v>2.6457999999999999</v>
      </c>
      <c r="R636" s="24">
        <v>2.6457999999999999</v>
      </c>
      <c r="S636" s="9">
        <v>5</v>
      </c>
      <c r="T636" s="19" t="str">
        <f t="shared" si="354"/>
        <v>1,1</v>
      </c>
      <c r="U636" s="24">
        <v>1</v>
      </c>
      <c r="V636" s="24">
        <v>1</v>
      </c>
      <c r="W636" s="9">
        <v>0</v>
      </c>
      <c r="X636" s="9">
        <v>11</v>
      </c>
      <c r="Y636" s="19" t="str">
        <f t="shared" si="355"/>
        <v>-1805,-1800</v>
      </c>
      <c r="Z636" s="42" t="s">
        <v>345</v>
      </c>
      <c r="AA636" s="19" t="str">
        <f t="shared" si="356"/>
        <v>80,120</v>
      </c>
      <c r="AB636" s="41"/>
      <c r="AC636" s="9">
        <v>-61.496154656261673</v>
      </c>
      <c r="AD636" s="9">
        <v>144</v>
      </c>
      <c r="AE636" s="16"/>
      <c r="AF636" s="16"/>
      <c r="AG636" s="16"/>
      <c r="AI636" s="69" cm="1">
        <f t="array" ref="AI636">tuple_avg(T636)/tuple_avg(AA636)</f>
        <v>0.01</v>
      </c>
      <c r="AK636" s="69">
        <f>AD636*AI636*'-配置辅助'!$I$10</f>
        <v>24</v>
      </c>
      <c r="AM636" s="69">
        <f>AK636*_xlfn.XLOOKUP(H636,monsters[怪物id],monsters[HP],-1)</f>
        <v>456</v>
      </c>
    </row>
    <row r="637" spans="1:41" x14ac:dyDescent="0.2">
      <c r="A637" s="9">
        <v>42080004</v>
      </c>
      <c r="B637" s="9" t="str" cm="1">
        <f t="array" ref="B637">D637&amp;_xlfn.TEXTJOIN("",1,TEXT(E637:G637,"00"))</f>
        <v>1000005</v>
      </c>
      <c r="C637" s="30" t="str">
        <f t="shared" si="350"/>
        <v>42080004,1000005</v>
      </c>
      <c r="D637" s="26">
        <v>1</v>
      </c>
      <c r="E637" s="26">
        <v>0</v>
      </c>
      <c r="F637" s="26">
        <f t="shared" si="351"/>
        <v>0</v>
      </c>
      <c r="G637" s="26">
        <v>5</v>
      </c>
      <c r="H637" s="9">
        <v>201801</v>
      </c>
      <c r="I637" s="15" t="str">
        <f>IFERROR(VLOOKUP(H637,monsters[#All],4,0),"")</f>
        <v>金鱼</v>
      </c>
      <c r="J637" s="15" t="str" cm="1">
        <f t="array" ref="J637">_xlfn.LET(_xlpm.v6p,ABS(ATAN2(O637,P637))*6/PI(),
_xlpm.output,_xlfn.IFS(_xlpm.v6p&lt;1,"正前",_xlpm.v6p&gt;5,"正后",AND(_xlpm.v6p&lt;5,_xlpm.v6p&gt;2,P637&lt;-1),"脚底",_xlpm.v6p&gt;4,"后上",_xlpm.v6p&lt;2,"前上",TRUE,"顶部"),
IFERROR(_xlpm.output,""))</f>
        <v>正后</v>
      </c>
      <c r="K637" s="12"/>
      <c r="L637" s="12" t="s">
        <v>63</v>
      </c>
      <c r="M637" s="12" t="s">
        <v>63</v>
      </c>
      <c r="N637" s="19" t="str">
        <f t="shared" si="352"/>
        <v>-20,5</v>
      </c>
      <c r="O637" s="24">
        <v>-20</v>
      </c>
      <c r="P637" s="24">
        <v>5</v>
      </c>
      <c r="Q637" s="19">
        <f t="shared" si="353"/>
        <v>2.6457999999999999</v>
      </c>
      <c r="R637" s="24">
        <v>2.6457999999999999</v>
      </c>
      <c r="S637" s="9">
        <v>5</v>
      </c>
      <c r="T637" s="19" t="str">
        <f t="shared" si="354"/>
        <v>1,1</v>
      </c>
      <c r="U637" s="24">
        <v>1</v>
      </c>
      <c r="V637" s="24">
        <v>1</v>
      </c>
      <c r="W637" s="9">
        <v>0</v>
      </c>
      <c r="X637" s="9">
        <v>11</v>
      </c>
      <c r="Y637" s="19" t="str">
        <f t="shared" si="355"/>
        <v>-2505,-2500</v>
      </c>
      <c r="Z637" s="42" t="s">
        <v>346</v>
      </c>
      <c r="AA637" s="19" t="str">
        <f t="shared" si="356"/>
        <v>80,120</v>
      </c>
      <c r="AB637" s="41"/>
      <c r="AC637" s="9">
        <v>-72</v>
      </c>
      <c r="AD637" s="9">
        <v>144</v>
      </c>
      <c r="AE637" s="16"/>
      <c r="AF637" s="16"/>
      <c r="AG637" s="16"/>
      <c r="AI637" s="69" cm="1">
        <f t="array" ref="AI637">tuple_avg(T637)/tuple_avg(AA637)</f>
        <v>0.01</v>
      </c>
      <c r="AK637" s="69">
        <f>AD637*AI637*'-配置辅助'!$I$10</f>
        <v>24</v>
      </c>
      <c r="AM637" s="69">
        <f>AK637*_xlfn.XLOOKUP(H637,monsters[怪物id],monsters[HP],-1)</f>
        <v>456</v>
      </c>
    </row>
    <row r="639" spans="1:41" x14ac:dyDescent="0.2">
      <c r="A639" s="9">
        <v>42080004</v>
      </c>
      <c r="B639" s="9" t="str" cm="1">
        <f t="array" ref="B639">D639&amp;_xlfn.TEXTJOIN("",1,TEXT(E639:G639,"00"))</f>
        <v>2000000</v>
      </c>
      <c r="C639" s="30" t="str">
        <f t="shared" ref="C639:C644" si="357">_xlfn.TEXTJOIN(",",1,A639:B639)</f>
        <v>42080004,2000000</v>
      </c>
      <c r="D639" s="26">
        <v>2</v>
      </c>
      <c r="E639" s="26">
        <v>0</v>
      </c>
      <c r="F639" s="26">
        <f t="shared" ref="F639:F644" si="358">W639</f>
        <v>0</v>
      </c>
      <c r="G639" s="26">
        <v>0</v>
      </c>
      <c r="H639" s="9">
        <v>201803</v>
      </c>
      <c r="I639" s="15" t="str">
        <f>IFERROR(VLOOKUP(H639,monsters[#All],4,0),"")</f>
        <v>海藻小妖</v>
      </c>
      <c r="J639" s="15" t="str" cm="1">
        <f t="array" ref="J639">_xlfn.LET(_xlpm.v6p,ABS(ATAN2(O639,P639))*6/PI(),
_xlpm.output,_xlfn.IFS(_xlpm.v6p&lt;1,"正前",_xlpm.v6p&gt;5,"正后",AND(_xlpm.v6p&lt;5,_xlpm.v6p&gt;2,P639&lt;-1),"脚底",_xlpm.v6p&gt;4,"后上",_xlpm.v6p&lt;2,"前上",TRUE,"顶部"),
IFERROR(_xlpm.output,""))</f>
        <v>正后</v>
      </c>
      <c r="K639" s="12"/>
      <c r="L639" s="12" t="s">
        <v>63</v>
      </c>
      <c r="M639" s="12" t="s">
        <v>63</v>
      </c>
      <c r="N639" s="19" t="str">
        <f t="shared" ref="N639:N644" si="359">O639+0&amp;","&amp;P639+0</f>
        <v>-20,5</v>
      </c>
      <c r="O639" s="24">
        <v>-20</v>
      </c>
      <c r="P639" s="24">
        <v>5</v>
      </c>
      <c r="Q639" s="19">
        <f t="shared" ref="Q639:Q644" si="360">_xlfn.LET(_xlpm._default,1,
_xlpm._custom,R639,
IF($A639&lt;&gt;"",IF(_xlpm._custom&lt;&gt;"",_xlpm._custom,_xlpm._default),""))</f>
        <v>1</v>
      </c>
      <c r="R639" s="24">
        <v>1</v>
      </c>
      <c r="S639" s="9">
        <v>8</v>
      </c>
      <c r="T639" s="19" t="str">
        <f t="shared" ref="T639:T644" si="361">IF(U639&lt;&gt;"", U639+0&amp;","&amp;V639+0,"")</f>
        <v>1,1</v>
      </c>
      <c r="U639" s="24">
        <v>1</v>
      </c>
      <c r="V639" s="24">
        <v>1</v>
      </c>
      <c r="W639" s="9">
        <v>0</v>
      </c>
      <c r="X639" s="9">
        <v>11</v>
      </c>
      <c r="Y639" s="19" t="str">
        <f t="shared" ref="Y639:Y658" si="362">IF($A639&lt;&gt;"",IF($Z639&lt;&gt;"",$Z639,"0,0"),"")</f>
        <v>0,0</v>
      </c>
      <c r="Z639" s="41"/>
      <c r="AA639" s="19" t="str">
        <f t="shared" ref="AA639:AA658" si="363">IF($A639&lt;&gt;"",IF($AB639&lt;&gt;"",$AB639,"80,120"),"")</f>
        <v>80,120</v>
      </c>
      <c r="AB639" s="41"/>
      <c r="AC639" s="9" cm="1">
        <f t="array" ref="AC639:AD644">_xlfn.LET(_xlpm._lvl,MOD($A639,10),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_xlpm._seq,G639:G644,
_xlfn.MAKEARRAY(ROWS(_xlpm._seq),2,_xlfn.LAMBDA(_xlpm.x,_xlpm.y,IF(_xlpm.y=1,-_xlpm._generate_rate/_xlpm._v_begin*(_xlpm._v_begin/_xlpm._v_max)^(INDEX(_xlpm._seq,_xlpm.x)/MAX(_xlpm._seq)),_xlpm._generate_rate))
))</f>
        <v>-32.727272727272727</v>
      </c>
      <c r="AD639" s="9">
        <v>144</v>
      </c>
      <c r="AE639" s="16"/>
      <c r="AF639" s="16"/>
      <c r="AG639" s="16"/>
      <c r="AI639" s="69" cm="1">
        <f t="array" ref="AI639">tuple_avg(T639)/tuple_avg(AA639)</f>
        <v>0.01</v>
      </c>
      <c r="AK639" s="69">
        <f>AD639*AI639*'-配置辅助'!$I$10</f>
        <v>24</v>
      </c>
      <c r="AM639" s="69">
        <f>AK639*_xlfn.XLOOKUP(H639,monsters[怪物id],monsters[HP],-1)</f>
        <v>576</v>
      </c>
    </row>
    <row r="640" spans="1:41" x14ac:dyDescent="0.2">
      <c r="A640" s="9">
        <v>42080004</v>
      </c>
      <c r="B640" s="9" t="str" cm="1">
        <f t="array" ref="B640">D640&amp;_xlfn.TEXTJOIN("",1,TEXT(E640:G640,"00"))</f>
        <v>2000001</v>
      </c>
      <c r="C640" s="30" t="str">
        <f t="shared" si="357"/>
        <v>42080004,2000001</v>
      </c>
      <c r="D640" s="26">
        <v>2</v>
      </c>
      <c r="E640" s="76">
        <v>0</v>
      </c>
      <c r="F640" s="26">
        <f t="shared" si="358"/>
        <v>0</v>
      </c>
      <c r="G640" s="26">
        <v>1</v>
      </c>
      <c r="H640" s="9">
        <v>201803</v>
      </c>
      <c r="I640" s="15" t="str">
        <f>IFERROR(VLOOKUP(H640,monsters[#All],4,0),"")</f>
        <v>海藻小妖</v>
      </c>
      <c r="J640" s="15" t="str" cm="1">
        <f t="array" ref="J640">_xlfn.LET(_xlpm.v6p,ABS(ATAN2(O640,P640))*6/PI(),
_xlpm.output,_xlfn.IFS(_xlpm.v6p&lt;1,"正前",_xlpm.v6p&gt;5,"正后",AND(_xlpm.v6p&lt;5,_xlpm.v6p&gt;2,P640&lt;-1),"脚底",_xlpm.v6p&gt;4,"后上",_xlpm.v6p&lt;2,"前上",TRUE,"顶部"),
IFERROR(_xlpm.output,""))</f>
        <v>正后</v>
      </c>
      <c r="K640" s="12"/>
      <c r="L640" s="12" t="s">
        <v>63</v>
      </c>
      <c r="M640" s="12" t="s">
        <v>63</v>
      </c>
      <c r="N640" s="19" t="str">
        <f t="shared" si="359"/>
        <v>-20,5</v>
      </c>
      <c r="O640" s="24">
        <v>-20</v>
      </c>
      <c r="P640" s="24">
        <v>5</v>
      </c>
      <c r="Q640" s="19">
        <f t="shared" si="360"/>
        <v>1.7321</v>
      </c>
      <c r="R640" s="24">
        <v>1.7321</v>
      </c>
      <c r="S640" s="9">
        <v>8</v>
      </c>
      <c r="T640" s="19" t="str">
        <f t="shared" si="361"/>
        <v>1,1</v>
      </c>
      <c r="U640" s="24">
        <v>1</v>
      </c>
      <c r="V640" s="24">
        <v>1</v>
      </c>
      <c r="W640" s="9">
        <v>0</v>
      </c>
      <c r="X640" s="9">
        <v>11</v>
      </c>
      <c r="Y640" s="19" t="str">
        <f t="shared" si="362"/>
        <v>-305,-300</v>
      </c>
      <c r="Z640" s="42" t="s">
        <v>269</v>
      </c>
      <c r="AA640" s="19" t="str">
        <f t="shared" si="363"/>
        <v>80,120</v>
      </c>
      <c r="AB640" s="41"/>
      <c r="AC640" s="9">
        <v>-38.317251697032837</v>
      </c>
      <c r="AD640" s="9">
        <v>144</v>
      </c>
      <c r="AE640" s="16"/>
      <c r="AF640" s="16"/>
      <c r="AG640" s="16"/>
      <c r="AI640" s="69" cm="1">
        <f t="array" ref="AI640">tuple_avg(T640)/tuple_avg(AA640)</f>
        <v>0.01</v>
      </c>
      <c r="AK640" s="69">
        <f>AD640*AI640*'-配置辅助'!$I$10</f>
        <v>24</v>
      </c>
      <c r="AM640" s="69">
        <f>AK640*_xlfn.XLOOKUP(H640,monsters[怪物id],monsters[HP],-1)</f>
        <v>576</v>
      </c>
    </row>
    <row r="641" spans="1:39" x14ac:dyDescent="0.2">
      <c r="A641" s="9">
        <v>42080004</v>
      </c>
      <c r="B641" s="9" t="str" cm="1">
        <f t="array" ref="B641">D641&amp;_xlfn.TEXTJOIN("",1,TEXT(E641:G641,"00"))</f>
        <v>2000002</v>
      </c>
      <c r="C641" s="30" t="str">
        <f t="shared" si="357"/>
        <v>42080004,2000002</v>
      </c>
      <c r="D641" s="26">
        <v>2</v>
      </c>
      <c r="E641" s="26">
        <v>0</v>
      </c>
      <c r="F641" s="26">
        <f t="shared" si="358"/>
        <v>0</v>
      </c>
      <c r="G641" s="26">
        <v>2</v>
      </c>
      <c r="H641" s="9">
        <v>201803</v>
      </c>
      <c r="I641" s="15" t="str">
        <f>IFERROR(VLOOKUP(H641,monsters[#All],4,0),"")</f>
        <v>海藻小妖</v>
      </c>
      <c r="J641" s="15" t="str" cm="1">
        <f t="array" ref="J641">_xlfn.LET(_xlpm.v6p,ABS(ATAN2(O641,P641))*6/PI(),
_xlpm.output,_xlfn.IFS(_xlpm.v6p&lt;1,"正前",_xlpm.v6p&gt;5,"正后",AND(_xlpm.v6p&lt;5,_xlpm.v6p&gt;2,P641&lt;-1),"脚底",_xlpm.v6p&gt;4,"后上",_xlpm.v6p&lt;2,"前上",TRUE,"顶部"),
IFERROR(_xlpm.output,""))</f>
        <v>正后</v>
      </c>
      <c r="K641" s="12"/>
      <c r="L641" s="12" t="s">
        <v>63</v>
      </c>
      <c r="M641" s="12" t="s">
        <v>63</v>
      </c>
      <c r="N641" s="19" t="str">
        <f t="shared" si="359"/>
        <v>-20,5</v>
      </c>
      <c r="O641" s="24">
        <v>-20</v>
      </c>
      <c r="P641" s="24">
        <v>5</v>
      </c>
      <c r="Q641" s="19">
        <f t="shared" si="360"/>
        <v>2.2361</v>
      </c>
      <c r="R641" s="24">
        <v>2.2361</v>
      </c>
      <c r="S641" s="9">
        <v>7</v>
      </c>
      <c r="T641" s="19" t="str">
        <f t="shared" si="361"/>
        <v>1,1</v>
      </c>
      <c r="U641" s="24">
        <v>1</v>
      </c>
      <c r="V641" s="24">
        <v>1</v>
      </c>
      <c r="W641" s="9">
        <v>0</v>
      </c>
      <c r="X641" s="9">
        <v>11</v>
      </c>
      <c r="Y641" s="19" t="str">
        <f t="shared" si="362"/>
        <v>-705,-700</v>
      </c>
      <c r="Z641" s="42" t="s">
        <v>134</v>
      </c>
      <c r="AA641" s="19" t="str">
        <f t="shared" si="363"/>
        <v>80,120</v>
      </c>
      <c r="AB641" s="41"/>
      <c r="AC641" s="9">
        <v>-44.862026538198407</v>
      </c>
      <c r="AD641" s="9">
        <v>144</v>
      </c>
      <c r="AE641" s="16"/>
      <c r="AF641" s="16"/>
      <c r="AG641" s="16"/>
      <c r="AI641" s="69" cm="1">
        <f t="array" ref="AI641">tuple_avg(T641)/tuple_avg(AA641)</f>
        <v>0.01</v>
      </c>
      <c r="AK641" s="69">
        <f>AD641*AI641*'-配置辅助'!$I$10</f>
        <v>24</v>
      </c>
      <c r="AM641" s="69">
        <f>AK641*_xlfn.XLOOKUP(H641,monsters[怪物id],monsters[HP],-1)</f>
        <v>576</v>
      </c>
    </row>
    <row r="642" spans="1:39" x14ac:dyDescent="0.2">
      <c r="A642" s="9">
        <v>42080004</v>
      </c>
      <c r="B642" s="9" t="str" cm="1">
        <f t="array" ref="B642">D642&amp;_xlfn.TEXTJOIN("",1,TEXT(E642:G642,"00"))</f>
        <v>2000003</v>
      </c>
      <c r="C642" s="30" t="str">
        <f t="shared" si="357"/>
        <v>42080004,2000003</v>
      </c>
      <c r="D642" s="26">
        <v>2</v>
      </c>
      <c r="E642" s="26">
        <v>0</v>
      </c>
      <c r="F642" s="26">
        <f t="shared" si="358"/>
        <v>0</v>
      </c>
      <c r="G642" s="26">
        <v>3</v>
      </c>
      <c r="H642" s="9">
        <v>201803</v>
      </c>
      <c r="I642" s="15" t="str">
        <f>IFERROR(VLOOKUP(H642,monsters[#All],4,0),"")</f>
        <v>海藻小妖</v>
      </c>
      <c r="J642" s="15" t="str" cm="1">
        <f t="array" ref="J642">_xlfn.LET(_xlpm.v6p,ABS(ATAN2(O642,P642))*6/PI(),
_xlpm.output,_xlfn.IFS(_xlpm.v6p&lt;1,"正前",_xlpm.v6p&gt;5,"正后",AND(_xlpm.v6p&lt;5,_xlpm.v6p&gt;2,P642&lt;-1),"脚底",_xlpm.v6p&gt;4,"后上",_xlpm.v6p&lt;2,"前上",TRUE,"顶部"),
IFERROR(_xlpm.output,""))</f>
        <v>正后</v>
      </c>
      <c r="K642" s="12"/>
      <c r="L642" s="12" t="s">
        <v>63</v>
      </c>
      <c r="M642" s="12" t="s">
        <v>63</v>
      </c>
      <c r="N642" s="19" t="str">
        <f t="shared" si="359"/>
        <v>-20,5</v>
      </c>
      <c r="O642" s="24">
        <v>-20</v>
      </c>
      <c r="P642" s="24">
        <v>5</v>
      </c>
      <c r="Q642" s="19">
        <f t="shared" si="360"/>
        <v>2.6457999999999999</v>
      </c>
      <c r="R642" s="24">
        <v>2.6457999999999999</v>
      </c>
      <c r="S642" s="9">
        <v>6</v>
      </c>
      <c r="T642" s="19" t="str">
        <f t="shared" si="361"/>
        <v>1,1</v>
      </c>
      <c r="U642" s="24">
        <v>1</v>
      </c>
      <c r="V642" s="24">
        <v>1</v>
      </c>
      <c r="W642" s="9">
        <v>0</v>
      </c>
      <c r="X642" s="9">
        <v>11</v>
      </c>
      <c r="Y642" s="19" t="str">
        <f t="shared" si="362"/>
        <v>-1205,-1200</v>
      </c>
      <c r="Z642" s="42" t="s">
        <v>344</v>
      </c>
      <c r="AA642" s="19" t="str">
        <f t="shared" si="363"/>
        <v>80,120</v>
      </c>
      <c r="AB642" s="41"/>
      <c r="AC642" s="9">
        <v>-52.524681076484079</v>
      </c>
      <c r="AD642" s="9">
        <v>144</v>
      </c>
      <c r="AE642" s="16"/>
      <c r="AF642" s="16"/>
      <c r="AG642" s="16"/>
      <c r="AI642" s="69" cm="1">
        <f t="array" ref="AI642">tuple_avg(T642)/tuple_avg(AA642)</f>
        <v>0.01</v>
      </c>
      <c r="AK642" s="69">
        <f>AD642*AI642*'-配置辅助'!$I$10</f>
        <v>24</v>
      </c>
      <c r="AM642" s="69">
        <f>AK642*_xlfn.XLOOKUP(H642,monsters[怪物id],monsters[HP],-1)</f>
        <v>576</v>
      </c>
    </row>
    <row r="643" spans="1:39" x14ac:dyDescent="0.2">
      <c r="A643" s="9">
        <v>42080004</v>
      </c>
      <c r="B643" s="9" t="str" cm="1">
        <f t="array" ref="B643">D643&amp;_xlfn.TEXTJOIN("",1,TEXT(E643:G643,"00"))</f>
        <v>2000004</v>
      </c>
      <c r="C643" s="30" t="str">
        <f t="shared" si="357"/>
        <v>42080004,2000004</v>
      </c>
      <c r="D643" s="26">
        <v>2</v>
      </c>
      <c r="E643" s="26">
        <v>0</v>
      </c>
      <c r="F643" s="26">
        <f t="shared" si="358"/>
        <v>0</v>
      </c>
      <c r="G643" s="26">
        <v>4</v>
      </c>
      <c r="H643" s="9">
        <v>201803</v>
      </c>
      <c r="I643" s="15" t="str">
        <f>IFERROR(VLOOKUP(H643,monsters[#All],4,0),"")</f>
        <v>海藻小妖</v>
      </c>
      <c r="J643" s="15" t="str" cm="1">
        <f t="array" ref="J643">_xlfn.LET(_xlpm.v6p,ABS(ATAN2(O643,P643))*6/PI(),
_xlpm.output,_xlfn.IFS(_xlpm.v6p&lt;1,"正前",_xlpm.v6p&gt;5,"正后",AND(_xlpm.v6p&lt;5,_xlpm.v6p&gt;2,P643&lt;-1),"脚底",_xlpm.v6p&gt;4,"后上",_xlpm.v6p&lt;2,"前上",TRUE,"顶部"),
IFERROR(_xlpm.output,""))</f>
        <v>正后</v>
      </c>
      <c r="K643" s="12"/>
      <c r="L643" s="12" t="s">
        <v>63</v>
      </c>
      <c r="M643" s="12" t="s">
        <v>63</v>
      </c>
      <c r="N643" s="19" t="str">
        <f t="shared" si="359"/>
        <v>-20,5</v>
      </c>
      <c r="O643" s="24">
        <v>-20</v>
      </c>
      <c r="P643" s="24">
        <v>5</v>
      </c>
      <c r="Q643" s="19">
        <f t="shared" si="360"/>
        <v>2.6457999999999999</v>
      </c>
      <c r="R643" s="24">
        <v>2.6457999999999999</v>
      </c>
      <c r="S643" s="9">
        <v>5</v>
      </c>
      <c r="T643" s="19" t="str">
        <f t="shared" si="361"/>
        <v>1,1</v>
      </c>
      <c r="U643" s="24">
        <v>1</v>
      </c>
      <c r="V643" s="24">
        <v>1</v>
      </c>
      <c r="W643" s="9">
        <v>0</v>
      </c>
      <c r="X643" s="9">
        <v>11</v>
      </c>
      <c r="Y643" s="19" t="str">
        <f t="shared" si="362"/>
        <v>-1805,-1800</v>
      </c>
      <c r="Z643" s="42" t="s">
        <v>345</v>
      </c>
      <c r="AA643" s="19" t="str">
        <f t="shared" si="363"/>
        <v>80,120</v>
      </c>
      <c r="AB643" s="41"/>
      <c r="AC643" s="9">
        <v>-61.496154656261673</v>
      </c>
      <c r="AD643" s="9">
        <v>144</v>
      </c>
      <c r="AE643" s="16"/>
      <c r="AF643" s="16"/>
      <c r="AG643" s="16"/>
      <c r="AI643" s="69" cm="1">
        <f t="array" ref="AI643">tuple_avg(T643)/tuple_avg(AA643)</f>
        <v>0.01</v>
      </c>
      <c r="AK643" s="69">
        <f>AD643*AI643*'-配置辅助'!$I$10</f>
        <v>24</v>
      </c>
      <c r="AM643" s="69">
        <f>AK643*_xlfn.XLOOKUP(H643,monsters[怪物id],monsters[HP],-1)</f>
        <v>576</v>
      </c>
    </row>
    <row r="644" spans="1:39" x14ac:dyDescent="0.2">
      <c r="A644" s="9">
        <v>42080004</v>
      </c>
      <c r="B644" s="9" t="str" cm="1">
        <f t="array" ref="B644">D644&amp;_xlfn.TEXTJOIN("",1,TEXT(E644:G644,"00"))</f>
        <v>2000005</v>
      </c>
      <c r="C644" s="30" t="str">
        <f t="shared" si="357"/>
        <v>42080004,2000005</v>
      </c>
      <c r="D644" s="26">
        <v>2</v>
      </c>
      <c r="E644" s="26">
        <v>0</v>
      </c>
      <c r="F644" s="26">
        <f t="shared" si="358"/>
        <v>0</v>
      </c>
      <c r="G644" s="26">
        <v>5</v>
      </c>
      <c r="H644" s="9">
        <v>201803</v>
      </c>
      <c r="I644" s="15" t="str">
        <f>IFERROR(VLOOKUP(H644,monsters[#All],4,0),"")</f>
        <v>海藻小妖</v>
      </c>
      <c r="J644" s="15" t="str" cm="1">
        <f t="array" ref="J644">_xlfn.LET(_xlpm.v6p,ABS(ATAN2(O644,P644))*6/PI(),
_xlpm.output,_xlfn.IFS(_xlpm.v6p&lt;1,"正前",_xlpm.v6p&gt;5,"正后",AND(_xlpm.v6p&lt;5,_xlpm.v6p&gt;2,P644&lt;-1),"脚底",_xlpm.v6p&gt;4,"后上",_xlpm.v6p&lt;2,"前上",TRUE,"顶部"),
IFERROR(_xlpm.output,""))</f>
        <v>正后</v>
      </c>
      <c r="K644" s="12"/>
      <c r="L644" s="12" t="s">
        <v>63</v>
      </c>
      <c r="M644" s="12" t="s">
        <v>63</v>
      </c>
      <c r="N644" s="19" t="str">
        <f t="shared" si="359"/>
        <v>-20,5</v>
      </c>
      <c r="O644" s="24">
        <v>-20</v>
      </c>
      <c r="P644" s="24">
        <v>5</v>
      </c>
      <c r="Q644" s="19">
        <f t="shared" si="360"/>
        <v>2.6457999999999999</v>
      </c>
      <c r="R644" s="24">
        <v>2.6457999999999999</v>
      </c>
      <c r="S644" s="9">
        <v>5</v>
      </c>
      <c r="T644" s="19" t="str">
        <f t="shared" si="361"/>
        <v>1,1</v>
      </c>
      <c r="U644" s="24">
        <v>1</v>
      </c>
      <c r="V644" s="24">
        <v>1</v>
      </c>
      <c r="W644" s="9">
        <v>0</v>
      </c>
      <c r="X644" s="9">
        <v>11</v>
      </c>
      <c r="Y644" s="19" t="str">
        <f t="shared" si="362"/>
        <v>-2505,-2500</v>
      </c>
      <c r="Z644" s="42" t="s">
        <v>346</v>
      </c>
      <c r="AA644" s="19" t="str">
        <f t="shared" si="363"/>
        <v>80,120</v>
      </c>
      <c r="AB644" s="41"/>
      <c r="AC644" s="9">
        <v>-72</v>
      </c>
      <c r="AD644" s="9">
        <v>144</v>
      </c>
      <c r="AE644" s="16"/>
      <c r="AF644" s="16"/>
      <c r="AG644" s="16"/>
      <c r="AI644" s="69" cm="1">
        <f t="array" ref="AI644">tuple_avg(T644)/tuple_avg(AA644)</f>
        <v>0.01</v>
      </c>
      <c r="AK644" s="69">
        <f>AD644*AI644*'-配置辅助'!$I$10</f>
        <v>24</v>
      </c>
      <c r="AM644" s="69">
        <f>AK644*_xlfn.XLOOKUP(H644,monsters[怪物id],monsters[HP],-1)</f>
        <v>576</v>
      </c>
    </row>
    <row r="646" spans="1:39" x14ac:dyDescent="0.2">
      <c r="A646" s="9">
        <v>42080004</v>
      </c>
      <c r="B646" s="9" t="str" cm="1">
        <f t="array" ref="B646">D646&amp;_xlfn.TEXTJOIN("",1,TEXT(E646:G646,"00"))</f>
        <v>3000000</v>
      </c>
      <c r="C646" s="30" t="str">
        <f t="shared" ref="C646:C651" si="364">_xlfn.TEXTJOIN(",",1,A646:B646)</f>
        <v>42080004,3000000</v>
      </c>
      <c r="D646" s="26">
        <v>3</v>
      </c>
      <c r="E646" s="26">
        <v>0</v>
      </c>
      <c r="F646" s="26">
        <f t="shared" ref="F646:F651" si="365">W646</f>
        <v>0</v>
      </c>
      <c r="G646" s="26">
        <v>0</v>
      </c>
      <c r="H646" s="9">
        <v>201814</v>
      </c>
      <c r="I646" s="15" t="str">
        <f>IFERROR(VLOOKUP(H646,monsters[#All],4,0),"")</f>
        <v>弱小螃蟹</v>
      </c>
      <c r="J646" s="15" t="str" cm="1">
        <f t="array" ref="J646">_xlfn.LET(_xlpm.v6p,ABS(ATAN2(O646,P646))*6/PI(),
_xlpm.output,_xlfn.IFS(_xlpm.v6p&lt;1,"正前",_xlpm.v6p&gt;5,"正后",AND(_xlpm.v6p&lt;5,_xlpm.v6p&gt;2,P646&lt;-1),"脚底",_xlpm.v6p&gt;4,"后上",_xlpm.v6p&lt;2,"前上",TRUE,"顶部"),
IFERROR(_xlpm.output,""))</f>
        <v>正后</v>
      </c>
      <c r="K646" s="12"/>
      <c r="L646" s="12" t="s">
        <v>63</v>
      </c>
      <c r="M646" s="12" t="s">
        <v>63</v>
      </c>
      <c r="N646" s="19" t="str">
        <f t="shared" ref="N646:N651" si="366">O646+0&amp;","&amp;P646+0</f>
        <v>-20,5</v>
      </c>
      <c r="O646" s="24">
        <v>-20</v>
      </c>
      <c r="P646" s="24">
        <v>5</v>
      </c>
      <c r="Q646" s="19">
        <f t="shared" ref="Q646:Q651" si="367">_xlfn.LET(_xlpm._default,1,
_xlpm._custom,R646,
IF($A646&lt;&gt;"",IF(_xlpm._custom&lt;&gt;"",_xlpm._custom,_xlpm._default),""))</f>
        <v>1</v>
      </c>
      <c r="R646" s="24">
        <v>1</v>
      </c>
      <c r="S646" s="9">
        <v>8</v>
      </c>
      <c r="T646" s="19" t="str">
        <f t="shared" ref="T646:T651" si="368">IF(U646&lt;&gt;"", U646+0&amp;","&amp;V646+0,"")</f>
        <v>1,1</v>
      </c>
      <c r="U646" s="24">
        <v>1</v>
      </c>
      <c r="V646" s="24">
        <v>1</v>
      </c>
      <c r="W646" s="9">
        <v>0</v>
      </c>
      <c r="X646" s="9">
        <v>11</v>
      </c>
      <c r="Y646" s="19" t="str">
        <f t="shared" ref="Y646:Y658" si="369">IF($A646&lt;&gt;"",IF($Z646&lt;&gt;"",$Z646,"0,0"),"")</f>
        <v>0,0</v>
      </c>
      <c r="Z646" s="41"/>
      <c r="AA646" s="19" t="str">
        <f t="shared" ref="AA646:AA658" si="370">IF($A646&lt;&gt;"",IF($AB646&lt;&gt;"",$AB646,"80,120"),"")</f>
        <v>80,120</v>
      </c>
      <c r="AB646" s="41"/>
      <c r="AC646" s="9" cm="1">
        <f t="array" ref="AC646:AD651">_xlfn.LET(_xlpm._lvl,MOD($A646,10),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_xlpm._seq,G646:G651,
_xlfn.MAKEARRAY(ROWS(_xlpm._seq),2,_xlfn.LAMBDA(_xlpm.x,_xlpm.y,IF(_xlpm.y=1,-_xlpm._generate_rate/_xlpm._v_begin*(_xlpm._v_begin/_xlpm._v_max)^(INDEX(_xlpm._seq,_xlpm.x)/MAX(_xlpm._seq)),_xlpm._generate_rate))
))</f>
        <v>-32.727272727272727</v>
      </c>
      <c r="AD646" s="9">
        <v>144</v>
      </c>
      <c r="AE646" s="16"/>
      <c r="AF646" s="16"/>
      <c r="AG646" s="16"/>
      <c r="AI646" s="69" cm="1">
        <f t="array" ref="AI646">tuple_avg(T646)/tuple_avg(AA646)</f>
        <v>0.01</v>
      </c>
      <c r="AK646" s="69">
        <f>AD646*AI646*'-配置辅助'!$I$10</f>
        <v>24</v>
      </c>
      <c r="AM646" s="69">
        <f>AK646*_xlfn.XLOOKUP(H646,monsters[怪物id],monsters[HP],-1)</f>
        <v>648</v>
      </c>
    </row>
    <row r="647" spans="1:39" x14ac:dyDescent="0.2">
      <c r="A647" s="9">
        <v>42080004</v>
      </c>
      <c r="B647" s="9" t="str" cm="1">
        <f t="array" ref="B647">D647&amp;_xlfn.TEXTJOIN("",1,TEXT(E647:G647,"00"))</f>
        <v>3000001</v>
      </c>
      <c r="C647" s="30" t="str">
        <f t="shared" si="364"/>
        <v>42080004,3000001</v>
      </c>
      <c r="D647" s="26">
        <v>3</v>
      </c>
      <c r="E647" s="76">
        <v>0</v>
      </c>
      <c r="F647" s="26">
        <f t="shared" si="365"/>
        <v>0</v>
      </c>
      <c r="G647" s="26">
        <v>1</v>
      </c>
      <c r="H647" s="9">
        <v>201814</v>
      </c>
      <c r="I647" s="15" t="str">
        <f>IFERROR(VLOOKUP(H647,monsters[#All],4,0),"")</f>
        <v>弱小螃蟹</v>
      </c>
      <c r="J647" s="15" t="str" cm="1">
        <f t="array" ref="J647">_xlfn.LET(_xlpm.v6p,ABS(ATAN2(O647,P647))*6/PI(),
_xlpm.output,_xlfn.IFS(_xlpm.v6p&lt;1,"正前",_xlpm.v6p&gt;5,"正后",AND(_xlpm.v6p&lt;5,_xlpm.v6p&gt;2,P647&lt;-1),"脚底",_xlpm.v6p&gt;4,"后上",_xlpm.v6p&lt;2,"前上",TRUE,"顶部"),
IFERROR(_xlpm.output,""))</f>
        <v>正后</v>
      </c>
      <c r="K647" s="12"/>
      <c r="L647" s="12" t="s">
        <v>63</v>
      </c>
      <c r="M647" s="12" t="s">
        <v>63</v>
      </c>
      <c r="N647" s="19" t="str">
        <f t="shared" si="366"/>
        <v>-20,5</v>
      </c>
      <c r="O647" s="24">
        <v>-20</v>
      </c>
      <c r="P647" s="24">
        <v>5</v>
      </c>
      <c r="Q647" s="19">
        <f t="shared" si="367"/>
        <v>1.7321</v>
      </c>
      <c r="R647" s="24">
        <v>1.7321</v>
      </c>
      <c r="S647" s="9">
        <v>8</v>
      </c>
      <c r="T647" s="19" t="str">
        <f t="shared" si="368"/>
        <v>1,1</v>
      </c>
      <c r="U647" s="24">
        <v>1</v>
      </c>
      <c r="V647" s="24">
        <v>1</v>
      </c>
      <c r="W647" s="9">
        <v>0</v>
      </c>
      <c r="X647" s="9">
        <v>11</v>
      </c>
      <c r="Y647" s="19" t="str">
        <f t="shared" si="369"/>
        <v>-305,-300</v>
      </c>
      <c r="Z647" s="42" t="s">
        <v>269</v>
      </c>
      <c r="AA647" s="19" t="str">
        <f t="shared" si="370"/>
        <v>80,120</v>
      </c>
      <c r="AB647" s="41"/>
      <c r="AC647" s="9">
        <v>-38.317251697032837</v>
      </c>
      <c r="AD647" s="9">
        <v>144</v>
      </c>
      <c r="AE647" s="16"/>
      <c r="AF647" s="16"/>
      <c r="AG647" s="16"/>
      <c r="AI647" s="69" cm="1">
        <f t="array" ref="AI647">tuple_avg(T647)/tuple_avg(AA647)</f>
        <v>0.01</v>
      </c>
      <c r="AK647" s="69">
        <f>AD647*AI647*'-配置辅助'!$I$10</f>
        <v>24</v>
      </c>
      <c r="AM647" s="69">
        <f>AK647*_xlfn.XLOOKUP(H647,monsters[怪物id],monsters[HP],-1)</f>
        <v>648</v>
      </c>
    </row>
    <row r="648" spans="1:39" x14ac:dyDescent="0.2">
      <c r="A648" s="9">
        <v>42080004</v>
      </c>
      <c r="B648" s="9" t="str" cm="1">
        <f t="array" ref="B648">D648&amp;_xlfn.TEXTJOIN("",1,TEXT(E648:G648,"00"))</f>
        <v>3000002</v>
      </c>
      <c r="C648" s="30" t="str">
        <f t="shared" si="364"/>
        <v>42080004,3000002</v>
      </c>
      <c r="D648" s="26">
        <v>3</v>
      </c>
      <c r="E648" s="26">
        <v>0</v>
      </c>
      <c r="F648" s="26">
        <f t="shared" si="365"/>
        <v>0</v>
      </c>
      <c r="G648" s="26">
        <v>2</v>
      </c>
      <c r="H648" s="9">
        <v>201814</v>
      </c>
      <c r="I648" s="15" t="str">
        <f>IFERROR(VLOOKUP(H648,monsters[#All],4,0),"")</f>
        <v>弱小螃蟹</v>
      </c>
      <c r="J648" s="15" t="str" cm="1">
        <f t="array" ref="J648">_xlfn.LET(_xlpm.v6p,ABS(ATAN2(O648,P648))*6/PI(),
_xlpm.output,_xlfn.IFS(_xlpm.v6p&lt;1,"正前",_xlpm.v6p&gt;5,"正后",AND(_xlpm.v6p&lt;5,_xlpm.v6p&gt;2,P648&lt;-1),"脚底",_xlpm.v6p&gt;4,"后上",_xlpm.v6p&lt;2,"前上",TRUE,"顶部"),
IFERROR(_xlpm.output,""))</f>
        <v>正后</v>
      </c>
      <c r="K648" s="12"/>
      <c r="L648" s="12" t="s">
        <v>63</v>
      </c>
      <c r="M648" s="12" t="s">
        <v>63</v>
      </c>
      <c r="N648" s="19" t="str">
        <f t="shared" si="366"/>
        <v>-20,5</v>
      </c>
      <c r="O648" s="24">
        <v>-20</v>
      </c>
      <c r="P648" s="24">
        <v>5</v>
      </c>
      <c r="Q648" s="19">
        <f t="shared" si="367"/>
        <v>2.2361</v>
      </c>
      <c r="R648" s="24">
        <v>2.2361</v>
      </c>
      <c r="S648" s="9">
        <v>7</v>
      </c>
      <c r="T648" s="19" t="str">
        <f t="shared" si="368"/>
        <v>1,1</v>
      </c>
      <c r="U648" s="24">
        <v>1</v>
      </c>
      <c r="V648" s="24">
        <v>1</v>
      </c>
      <c r="W648" s="9">
        <v>0</v>
      </c>
      <c r="X648" s="9">
        <v>11</v>
      </c>
      <c r="Y648" s="19" t="str">
        <f t="shared" si="369"/>
        <v>-705,-700</v>
      </c>
      <c r="Z648" s="42" t="s">
        <v>134</v>
      </c>
      <c r="AA648" s="19" t="str">
        <f t="shared" si="370"/>
        <v>80,120</v>
      </c>
      <c r="AB648" s="41"/>
      <c r="AC648" s="9">
        <v>-44.862026538198407</v>
      </c>
      <c r="AD648" s="9">
        <v>144</v>
      </c>
      <c r="AE648" s="16"/>
      <c r="AF648" s="16"/>
      <c r="AG648" s="16"/>
      <c r="AI648" s="69" cm="1">
        <f t="array" ref="AI648">tuple_avg(T648)/tuple_avg(AA648)</f>
        <v>0.01</v>
      </c>
      <c r="AK648" s="69">
        <f>AD648*AI648*'-配置辅助'!$I$10</f>
        <v>24</v>
      </c>
      <c r="AM648" s="69">
        <f>AK648*_xlfn.XLOOKUP(H648,monsters[怪物id],monsters[HP],-1)</f>
        <v>648</v>
      </c>
    </row>
    <row r="649" spans="1:39" x14ac:dyDescent="0.2">
      <c r="A649" s="9">
        <v>42080004</v>
      </c>
      <c r="B649" s="9" t="str" cm="1">
        <f t="array" ref="B649">D649&amp;_xlfn.TEXTJOIN("",1,TEXT(E649:G649,"00"))</f>
        <v>3000003</v>
      </c>
      <c r="C649" s="30" t="str">
        <f t="shared" si="364"/>
        <v>42080004,3000003</v>
      </c>
      <c r="D649" s="26">
        <v>3</v>
      </c>
      <c r="E649" s="26">
        <v>0</v>
      </c>
      <c r="F649" s="26">
        <f t="shared" si="365"/>
        <v>0</v>
      </c>
      <c r="G649" s="26">
        <v>3</v>
      </c>
      <c r="H649" s="9">
        <v>201814</v>
      </c>
      <c r="I649" s="15" t="str">
        <f>IFERROR(VLOOKUP(H649,monsters[#All],4,0),"")</f>
        <v>弱小螃蟹</v>
      </c>
      <c r="J649" s="15" t="str" cm="1">
        <f t="array" ref="J649">_xlfn.LET(_xlpm.v6p,ABS(ATAN2(O649,P649))*6/PI(),
_xlpm.output,_xlfn.IFS(_xlpm.v6p&lt;1,"正前",_xlpm.v6p&gt;5,"正后",AND(_xlpm.v6p&lt;5,_xlpm.v6p&gt;2,P649&lt;-1),"脚底",_xlpm.v6p&gt;4,"后上",_xlpm.v6p&lt;2,"前上",TRUE,"顶部"),
IFERROR(_xlpm.output,""))</f>
        <v>正后</v>
      </c>
      <c r="K649" s="12"/>
      <c r="L649" s="12" t="s">
        <v>63</v>
      </c>
      <c r="M649" s="12" t="s">
        <v>63</v>
      </c>
      <c r="N649" s="19" t="str">
        <f t="shared" si="366"/>
        <v>-20,5</v>
      </c>
      <c r="O649" s="24">
        <v>-20</v>
      </c>
      <c r="P649" s="24">
        <v>5</v>
      </c>
      <c r="Q649" s="19">
        <f t="shared" si="367"/>
        <v>2.6457999999999999</v>
      </c>
      <c r="R649" s="24">
        <v>2.6457999999999999</v>
      </c>
      <c r="S649" s="9">
        <v>6</v>
      </c>
      <c r="T649" s="19" t="str">
        <f t="shared" si="368"/>
        <v>1,1</v>
      </c>
      <c r="U649" s="24">
        <v>1</v>
      </c>
      <c r="V649" s="24">
        <v>1</v>
      </c>
      <c r="W649" s="9">
        <v>0</v>
      </c>
      <c r="X649" s="9">
        <v>11</v>
      </c>
      <c r="Y649" s="19" t="str">
        <f t="shared" si="369"/>
        <v>-1205,-1200</v>
      </c>
      <c r="Z649" s="42" t="s">
        <v>344</v>
      </c>
      <c r="AA649" s="19" t="str">
        <f t="shared" si="370"/>
        <v>80,120</v>
      </c>
      <c r="AB649" s="41"/>
      <c r="AC649" s="9">
        <v>-52.524681076484079</v>
      </c>
      <c r="AD649" s="9">
        <v>144</v>
      </c>
      <c r="AE649" s="16"/>
      <c r="AF649" s="16"/>
      <c r="AG649" s="16"/>
      <c r="AI649" s="69" cm="1">
        <f t="array" ref="AI649">tuple_avg(T649)/tuple_avg(AA649)</f>
        <v>0.01</v>
      </c>
      <c r="AK649" s="69">
        <f>AD649*AI649*'-配置辅助'!$I$10</f>
        <v>24</v>
      </c>
      <c r="AM649" s="69">
        <f>AK649*_xlfn.XLOOKUP(H649,monsters[怪物id],monsters[HP],-1)</f>
        <v>648</v>
      </c>
    </row>
    <row r="650" spans="1:39" x14ac:dyDescent="0.2">
      <c r="A650" s="9">
        <v>42080004</v>
      </c>
      <c r="B650" s="9" t="str" cm="1">
        <f t="array" ref="B650">D650&amp;_xlfn.TEXTJOIN("",1,TEXT(E650:G650,"00"))</f>
        <v>3000004</v>
      </c>
      <c r="C650" s="30" t="str">
        <f t="shared" si="364"/>
        <v>42080004,3000004</v>
      </c>
      <c r="D650" s="26">
        <v>3</v>
      </c>
      <c r="E650" s="26">
        <v>0</v>
      </c>
      <c r="F650" s="26">
        <f t="shared" si="365"/>
        <v>0</v>
      </c>
      <c r="G650" s="26">
        <v>4</v>
      </c>
      <c r="H650" s="9">
        <v>201814</v>
      </c>
      <c r="I650" s="15" t="str">
        <f>IFERROR(VLOOKUP(H650,monsters[#All],4,0),"")</f>
        <v>弱小螃蟹</v>
      </c>
      <c r="J650" s="15" t="str" cm="1">
        <f t="array" ref="J650">_xlfn.LET(_xlpm.v6p,ABS(ATAN2(O650,P650))*6/PI(),
_xlpm.output,_xlfn.IFS(_xlpm.v6p&lt;1,"正前",_xlpm.v6p&gt;5,"正后",AND(_xlpm.v6p&lt;5,_xlpm.v6p&gt;2,P650&lt;-1),"脚底",_xlpm.v6p&gt;4,"后上",_xlpm.v6p&lt;2,"前上",TRUE,"顶部"),
IFERROR(_xlpm.output,""))</f>
        <v>正后</v>
      </c>
      <c r="K650" s="12"/>
      <c r="L650" s="12" t="s">
        <v>63</v>
      </c>
      <c r="M650" s="12" t="s">
        <v>63</v>
      </c>
      <c r="N650" s="19" t="str">
        <f t="shared" si="366"/>
        <v>-20,5</v>
      </c>
      <c r="O650" s="24">
        <v>-20</v>
      </c>
      <c r="P650" s="24">
        <v>5</v>
      </c>
      <c r="Q650" s="19">
        <f t="shared" si="367"/>
        <v>2.6457999999999999</v>
      </c>
      <c r="R650" s="24">
        <v>2.6457999999999999</v>
      </c>
      <c r="S650" s="9">
        <v>5</v>
      </c>
      <c r="T650" s="19" t="str">
        <f t="shared" si="368"/>
        <v>1,1</v>
      </c>
      <c r="U650" s="24">
        <v>1</v>
      </c>
      <c r="V650" s="24">
        <v>1</v>
      </c>
      <c r="W650" s="9">
        <v>0</v>
      </c>
      <c r="X650" s="9">
        <v>11</v>
      </c>
      <c r="Y650" s="19" t="str">
        <f t="shared" si="369"/>
        <v>-1805,-1800</v>
      </c>
      <c r="Z650" s="42" t="s">
        <v>345</v>
      </c>
      <c r="AA650" s="19" t="str">
        <f t="shared" si="370"/>
        <v>80,120</v>
      </c>
      <c r="AB650" s="41"/>
      <c r="AC650" s="9">
        <v>-61.496154656261673</v>
      </c>
      <c r="AD650" s="9">
        <v>144</v>
      </c>
      <c r="AE650" s="16"/>
      <c r="AF650" s="16"/>
      <c r="AG650" s="16"/>
      <c r="AI650" s="69" cm="1">
        <f t="array" ref="AI650">tuple_avg(T650)/tuple_avg(AA650)</f>
        <v>0.01</v>
      </c>
      <c r="AK650" s="69">
        <f>AD650*AI650*'-配置辅助'!$I$10</f>
        <v>24</v>
      </c>
      <c r="AM650" s="69">
        <f>AK650*_xlfn.XLOOKUP(H650,monsters[怪物id],monsters[HP],-1)</f>
        <v>648</v>
      </c>
    </row>
    <row r="651" spans="1:39" x14ac:dyDescent="0.2">
      <c r="A651" s="9">
        <v>42080004</v>
      </c>
      <c r="B651" s="9" t="str" cm="1">
        <f t="array" ref="B651">D651&amp;_xlfn.TEXTJOIN("",1,TEXT(E651:G651,"00"))</f>
        <v>3000005</v>
      </c>
      <c r="C651" s="30" t="str">
        <f t="shared" si="364"/>
        <v>42080004,3000005</v>
      </c>
      <c r="D651" s="26">
        <v>3</v>
      </c>
      <c r="E651" s="26">
        <v>0</v>
      </c>
      <c r="F651" s="26">
        <f t="shared" si="365"/>
        <v>0</v>
      </c>
      <c r="G651" s="26">
        <v>5</v>
      </c>
      <c r="H651" s="9">
        <v>201814</v>
      </c>
      <c r="I651" s="15" t="str">
        <f>IFERROR(VLOOKUP(H651,monsters[#All],4,0),"")</f>
        <v>弱小螃蟹</v>
      </c>
      <c r="J651" s="15" t="str" cm="1">
        <f t="array" ref="J651">_xlfn.LET(_xlpm.v6p,ABS(ATAN2(O651,P651))*6/PI(),
_xlpm.output,_xlfn.IFS(_xlpm.v6p&lt;1,"正前",_xlpm.v6p&gt;5,"正后",AND(_xlpm.v6p&lt;5,_xlpm.v6p&gt;2,P651&lt;-1),"脚底",_xlpm.v6p&gt;4,"后上",_xlpm.v6p&lt;2,"前上",TRUE,"顶部"),
IFERROR(_xlpm.output,""))</f>
        <v>正后</v>
      </c>
      <c r="K651" s="12"/>
      <c r="L651" s="12" t="s">
        <v>63</v>
      </c>
      <c r="M651" s="12" t="s">
        <v>63</v>
      </c>
      <c r="N651" s="19" t="str">
        <f t="shared" si="366"/>
        <v>-20,5</v>
      </c>
      <c r="O651" s="24">
        <v>-20</v>
      </c>
      <c r="P651" s="24">
        <v>5</v>
      </c>
      <c r="Q651" s="19">
        <f t="shared" si="367"/>
        <v>2.6457999999999999</v>
      </c>
      <c r="R651" s="24">
        <v>2.6457999999999999</v>
      </c>
      <c r="S651" s="9">
        <v>5</v>
      </c>
      <c r="T651" s="19" t="str">
        <f t="shared" si="368"/>
        <v>1,1</v>
      </c>
      <c r="U651" s="24">
        <v>1</v>
      </c>
      <c r="V651" s="24">
        <v>1</v>
      </c>
      <c r="W651" s="9">
        <v>0</v>
      </c>
      <c r="X651" s="9">
        <v>11</v>
      </c>
      <c r="Y651" s="19" t="str">
        <f t="shared" si="369"/>
        <v>-2505,-2500</v>
      </c>
      <c r="Z651" s="42" t="s">
        <v>346</v>
      </c>
      <c r="AA651" s="19" t="str">
        <f t="shared" si="370"/>
        <v>80,120</v>
      </c>
      <c r="AB651" s="41"/>
      <c r="AC651" s="9">
        <v>-72</v>
      </c>
      <c r="AD651" s="9">
        <v>144</v>
      </c>
      <c r="AE651" s="16"/>
      <c r="AF651" s="16"/>
      <c r="AG651" s="16"/>
      <c r="AI651" s="69" cm="1">
        <f t="array" ref="AI651">tuple_avg(T651)/tuple_avg(AA651)</f>
        <v>0.01</v>
      </c>
      <c r="AK651" s="69">
        <f>AD651*AI651*'-配置辅助'!$I$10</f>
        <v>24</v>
      </c>
      <c r="AM651" s="69">
        <f>AK651*_xlfn.XLOOKUP(H651,monsters[怪物id],monsters[HP],-1)</f>
        <v>648</v>
      </c>
    </row>
    <row r="653" spans="1:39" x14ac:dyDescent="0.2">
      <c r="A653" s="9">
        <v>42080004</v>
      </c>
      <c r="B653" s="9" t="str" cm="1">
        <f t="array" ref="B653">D653&amp;_xlfn.TEXTJOIN("",1,TEXT(E653:G653,"00"))</f>
        <v>4000000</v>
      </c>
      <c r="C653" s="30" t="str">
        <f t="shared" ref="C653:C658" si="371">_xlfn.TEXTJOIN(",",1,A653:B653)</f>
        <v>42080004,4000000</v>
      </c>
      <c r="D653" s="26">
        <v>4</v>
      </c>
      <c r="E653" s="26">
        <v>0</v>
      </c>
      <c r="F653" s="26">
        <f t="shared" ref="F653:F658" si="372">W653</f>
        <v>0</v>
      </c>
      <c r="G653" s="26">
        <v>0</v>
      </c>
      <c r="H653" s="9">
        <v>201818</v>
      </c>
      <c r="I653" s="15" t="str">
        <f>IFERROR(VLOOKUP(H653,monsters[#All],4,0),"")</f>
        <v>聒噪海贝</v>
      </c>
      <c r="J653" s="15" t="str" cm="1">
        <f t="array" ref="J653">_xlfn.LET(_xlpm.v6p,ABS(ATAN2(O653,P653))*6/PI(),
_xlpm.output,_xlfn.IFS(_xlpm.v6p&lt;1,"正前",_xlpm.v6p&gt;5,"正后",AND(_xlpm.v6p&lt;5,_xlpm.v6p&gt;2,P653&lt;-1),"脚底",_xlpm.v6p&gt;4,"后上",_xlpm.v6p&lt;2,"前上",TRUE,"顶部"),
IFERROR(_xlpm.output,""))</f>
        <v>正后</v>
      </c>
      <c r="K653" s="12"/>
      <c r="L653" s="12" t="s">
        <v>63</v>
      </c>
      <c r="M653" s="12" t="s">
        <v>63</v>
      </c>
      <c r="N653" s="19" t="str">
        <f t="shared" ref="N653:N658" si="373">O653+0&amp;","&amp;P653+0</f>
        <v>-20,5</v>
      </c>
      <c r="O653" s="24">
        <v>-20</v>
      </c>
      <c r="P653" s="24">
        <v>5</v>
      </c>
      <c r="Q653" s="19">
        <f t="shared" ref="Q653:Q658" si="374">_xlfn.LET(_xlpm._default,1,
_xlpm._custom,R653,
IF($A653&lt;&gt;"",IF(_xlpm._custom&lt;&gt;"",_xlpm._custom,_xlpm._default),""))</f>
        <v>1</v>
      </c>
      <c r="R653" s="24">
        <v>1</v>
      </c>
      <c r="S653" s="9">
        <v>8</v>
      </c>
      <c r="T653" s="19" t="str">
        <f t="shared" ref="T653:T658" si="375">IF(U653&lt;&gt;"", U653+0&amp;","&amp;V653+0,"")</f>
        <v>1,1</v>
      </c>
      <c r="U653" s="24">
        <v>1</v>
      </c>
      <c r="V653" s="24">
        <v>1</v>
      </c>
      <c r="W653" s="9">
        <v>0</v>
      </c>
      <c r="X653" s="9">
        <v>11</v>
      </c>
      <c r="Y653" s="19" t="str">
        <f t="shared" ref="Y653:Y658" si="376">IF($A653&lt;&gt;"",IF($Z653&lt;&gt;"",$Z653,"0,0"),"")</f>
        <v>0,0</v>
      </c>
      <c r="Z653" s="41"/>
      <c r="AA653" s="19" t="str">
        <f t="shared" ref="AA653:AA658" si="377">IF($A653&lt;&gt;"",IF($AB653&lt;&gt;"",$AB653,"80,120"),"")</f>
        <v>80,120</v>
      </c>
      <c r="AB653" s="41"/>
      <c r="AC653" s="9" cm="1">
        <f t="array" ref="AC653:AD658">_xlfn.LET(_xlpm._lvl,MOD($A653,10),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_xlpm._seq,G653:G658,
_xlfn.MAKEARRAY(ROWS(_xlpm._seq),2,_xlfn.LAMBDA(_xlpm.x,_xlpm.y,IF(_xlpm.y=1,-_xlpm._generate_rate/_xlpm._v_begin*(_xlpm._v_begin/_xlpm._v_max)^(INDEX(_xlpm._seq,_xlpm.x)/MAX(_xlpm._seq)),_xlpm._generate_rate))
))</f>
        <v>-32.727272727272727</v>
      </c>
      <c r="AD653" s="9">
        <v>144</v>
      </c>
      <c r="AE653" s="16"/>
      <c r="AF653" s="16"/>
      <c r="AG653" s="16"/>
      <c r="AI653" s="69" cm="1">
        <f t="array" ref="AI653">tuple_avg(T653)/tuple_avg(AA653)</f>
        <v>0.01</v>
      </c>
      <c r="AK653" s="69">
        <f>AD653*AI653*'-配置辅助'!$I$10</f>
        <v>24</v>
      </c>
      <c r="AM653" s="69">
        <f>AK653*_xlfn.XLOOKUP(H653,monsters[怪物id],monsters[HP],-1)</f>
        <v>744</v>
      </c>
    </row>
    <row r="654" spans="1:39" x14ac:dyDescent="0.2">
      <c r="A654" s="9">
        <v>42080004</v>
      </c>
      <c r="B654" s="9" t="str" cm="1">
        <f t="array" ref="B654">D654&amp;_xlfn.TEXTJOIN("",1,TEXT(E654:G654,"00"))</f>
        <v>4000001</v>
      </c>
      <c r="C654" s="30" t="str">
        <f t="shared" si="371"/>
        <v>42080004,4000001</v>
      </c>
      <c r="D654" s="26">
        <v>4</v>
      </c>
      <c r="E654" s="76">
        <v>0</v>
      </c>
      <c r="F654" s="26">
        <f t="shared" si="372"/>
        <v>0</v>
      </c>
      <c r="G654" s="26">
        <v>1</v>
      </c>
      <c r="H654" s="9">
        <v>201818</v>
      </c>
      <c r="I654" s="15" t="str">
        <f>IFERROR(VLOOKUP(H654,monsters[#All],4,0),"")</f>
        <v>聒噪海贝</v>
      </c>
      <c r="J654" s="15" t="str" cm="1">
        <f t="array" ref="J654">_xlfn.LET(_xlpm.v6p,ABS(ATAN2(O654,P654))*6/PI(),
_xlpm.output,_xlfn.IFS(_xlpm.v6p&lt;1,"正前",_xlpm.v6p&gt;5,"正后",AND(_xlpm.v6p&lt;5,_xlpm.v6p&gt;2,P654&lt;-1),"脚底",_xlpm.v6p&gt;4,"后上",_xlpm.v6p&lt;2,"前上",TRUE,"顶部"),
IFERROR(_xlpm.output,""))</f>
        <v>正后</v>
      </c>
      <c r="K654" s="12"/>
      <c r="L654" s="12" t="s">
        <v>63</v>
      </c>
      <c r="M654" s="12" t="s">
        <v>63</v>
      </c>
      <c r="N654" s="19" t="str">
        <f t="shared" si="373"/>
        <v>-20,5</v>
      </c>
      <c r="O654" s="24">
        <v>-20</v>
      </c>
      <c r="P654" s="24">
        <v>5</v>
      </c>
      <c r="Q654" s="19">
        <f t="shared" si="374"/>
        <v>1.7321</v>
      </c>
      <c r="R654" s="24">
        <v>1.7321</v>
      </c>
      <c r="S654" s="9">
        <v>8</v>
      </c>
      <c r="T654" s="19" t="str">
        <f t="shared" si="375"/>
        <v>1,1</v>
      </c>
      <c r="U654" s="24">
        <v>1</v>
      </c>
      <c r="V654" s="24">
        <v>1</v>
      </c>
      <c r="W654" s="9">
        <v>0</v>
      </c>
      <c r="X654" s="9">
        <v>11</v>
      </c>
      <c r="Y654" s="19" t="str">
        <f t="shared" si="376"/>
        <v>-305,-300</v>
      </c>
      <c r="Z654" s="42" t="s">
        <v>269</v>
      </c>
      <c r="AA654" s="19" t="str">
        <f t="shared" si="377"/>
        <v>80,120</v>
      </c>
      <c r="AB654" s="41"/>
      <c r="AC654" s="9">
        <v>-38.317251697032837</v>
      </c>
      <c r="AD654" s="9">
        <v>144</v>
      </c>
      <c r="AE654" s="16"/>
      <c r="AF654" s="16"/>
      <c r="AG654" s="16"/>
      <c r="AI654" s="69" cm="1">
        <f t="array" ref="AI654">tuple_avg(T654)/tuple_avg(AA654)</f>
        <v>0.01</v>
      </c>
      <c r="AK654" s="69">
        <f>AD654*AI654*'-配置辅助'!$I$10</f>
        <v>24</v>
      </c>
      <c r="AM654" s="69">
        <f>AK654*_xlfn.XLOOKUP(H654,monsters[怪物id],monsters[HP],-1)</f>
        <v>744</v>
      </c>
    </row>
    <row r="655" spans="1:39" x14ac:dyDescent="0.2">
      <c r="A655" s="9">
        <v>42080004</v>
      </c>
      <c r="B655" s="9" t="str" cm="1">
        <f t="array" ref="B655">D655&amp;_xlfn.TEXTJOIN("",1,TEXT(E655:G655,"00"))</f>
        <v>4000002</v>
      </c>
      <c r="C655" s="30" t="str">
        <f t="shared" si="371"/>
        <v>42080004,4000002</v>
      </c>
      <c r="D655" s="26">
        <v>4</v>
      </c>
      <c r="E655" s="26">
        <v>0</v>
      </c>
      <c r="F655" s="26">
        <f t="shared" si="372"/>
        <v>0</v>
      </c>
      <c r="G655" s="26">
        <v>2</v>
      </c>
      <c r="H655" s="9">
        <v>201818</v>
      </c>
      <c r="I655" s="15" t="str">
        <f>IFERROR(VLOOKUP(H655,monsters[#All],4,0),"")</f>
        <v>聒噪海贝</v>
      </c>
      <c r="J655" s="15" t="str" cm="1">
        <f t="array" ref="J655">_xlfn.LET(_xlpm.v6p,ABS(ATAN2(O655,P655))*6/PI(),
_xlpm.output,_xlfn.IFS(_xlpm.v6p&lt;1,"正前",_xlpm.v6p&gt;5,"正后",AND(_xlpm.v6p&lt;5,_xlpm.v6p&gt;2,P655&lt;-1),"脚底",_xlpm.v6p&gt;4,"后上",_xlpm.v6p&lt;2,"前上",TRUE,"顶部"),
IFERROR(_xlpm.output,""))</f>
        <v>正后</v>
      </c>
      <c r="K655" s="12"/>
      <c r="L655" s="12" t="s">
        <v>63</v>
      </c>
      <c r="M655" s="12" t="s">
        <v>63</v>
      </c>
      <c r="N655" s="19" t="str">
        <f t="shared" si="373"/>
        <v>-20,5</v>
      </c>
      <c r="O655" s="24">
        <v>-20</v>
      </c>
      <c r="P655" s="24">
        <v>5</v>
      </c>
      <c r="Q655" s="19">
        <f t="shared" si="374"/>
        <v>2.2361</v>
      </c>
      <c r="R655" s="24">
        <v>2.2361</v>
      </c>
      <c r="S655" s="9">
        <v>7</v>
      </c>
      <c r="T655" s="19" t="str">
        <f t="shared" si="375"/>
        <v>1,1</v>
      </c>
      <c r="U655" s="24">
        <v>1</v>
      </c>
      <c r="V655" s="24">
        <v>1</v>
      </c>
      <c r="W655" s="9">
        <v>0</v>
      </c>
      <c r="X655" s="9">
        <v>11</v>
      </c>
      <c r="Y655" s="19" t="str">
        <f t="shared" si="376"/>
        <v>-705,-700</v>
      </c>
      <c r="Z655" s="42" t="s">
        <v>134</v>
      </c>
      <c r="AA655" s="19" t="str">
        <f t="shared" si="377"/>
        <v>80,120</v>
      </c>
      <c r="AB655" s="41"/>
      <c r="AC655" s="9">
        <v>-44.862026538198407</v>
      </c>
      <c r="AD655" s="9">
        <v>144</v>
      </c>
      <c r="AE655" s="16"/>
      <c r="AF655" s="16"/>
      <c r="AG655" s="16"/>
      <c r="AI655" s="69" cm="1">
        <f t="array" ref="AI655">tuple_avg(T655)/tuple_avg(AA655)</f>
        <v>0.01</v>
      </c>
      <c r="AK655" s="69">
        <f>AD655*AI655*'-配置辅助'!$I$10</f>
        <v>24</v>
      </c>
      <c r="AM655" s="69">
        <f>AK655*_xlfn.XLOOKUP(H655,monsters[怪物id],monsters[HP],-1)</f>
        <v>744</v>
      </c>
    </row>
    <row r="656" spans="1:39" x14ac:dyDescent="0.2">
      <c r="A656" s="9">
        <v>42080004</v>
      </c>
      <c r="B656" s="9" t="str" cm="1">
        <f t="array" ref="B656">D656&amp;_xlfn.TEXTJOIN("",1,TEXT(E656:G656,"00"))</f>
        <v>4000003</v>
      </c>
      <c r="C656" s="30" t="str">
        <f t="shared" si="371"/>
        <v>42080004,4000003</v>
      </c>
      <c r="D656" s="26">
        <v>4</v>
      </c>
      <c r="E656" s="26">
        <v>0</v>
      </c>
      <c r="F656" s="26">
        <f t="shared" si="372"/>
        <v>0</v>
      </c>
      <c r="G656" s="26">
        <v>3</v>
      </c>
      <c r="H656" s="9">
        <v>201818</v>
      </c>
      <c r="I656" s="15" t="str">
        <f>IFERROR(VLOOKUP(H656,monsters[#All],4,0),"")</f>
        <v>聒噪海贝</v>
      </c>
      <c r="J656" s="15" t="str" cm="1">
        <f t="array" ref="J656">_xlfn.LET(_xlpm.v6p,ABS(ATAN2(O656,P656))*6/PI(),
_xlpm.output,_xlfn.IFS(_xlpm.v6p&lt;1,"正前",_xlpm.v6p&gt;5,"正后",AND(_xlpm.v6p&lt;5,_xlpm.v6p&gt;2,P656&lt;-1),"脚底",_xlpm.v6p&gt;4,"后上",_xlpm.v6p&lt;2,"前上",TRUE,"顶部"),
IFERROR(_xlpm.output,""))</f>
        <v>正后</v>
      </c>
      <c r="K656" s="12"/>
      <c r="L656" s="12" t="s">
        <v>63</v>
      </c>
      <c r="M656" s="12" t="s">
        <v>63</v>
      </c>
      <c r="N656" s="19" t="str">
        <f t="shared" si="373"/>
        <v>-20,5</v>
      </c>
      <c r="O656" s="24">
        <v>-20</v>
      </c>
      <c r="P656" s="24">
        <v>5</v>
      </c>
      <c r="Q656" s="19">
        <f t="shared" si="374"/>
        <v>2.6457999999999999</v>
      </c>
      <c r="R656" s="24">
        <v>2.6457999999999999</v>
      </c>
      <c r="S656" s="9">
        <v>6</v>
      </c>
      <c r="T656" s="19" t="str">
        <f t="shared" si="375"/>
        <v>1,1</v>
      </c>
      <c r="U656" s="24">
        <v>1</v>
      </c>
      <c r="V656" s="24">
        <v>1</v>
      </c>
      <c r="W656" s="9">
        <v>0</v>
      </c>
      <c r="X656" s="9">
        <v>11</v>
      </c>
      <c r="Y656" s="19" t="str">
        <f t="shared" si="376"/>
        <v>-1205,-1200</v>
      </c>
      <c r="Z656" s="42" t="s">
        <v>344</v>
      </c>
      <c r="AA656" s="19" t="str">
        <f t="shared" si="377"/>
        <v>80,120</v>
      </c>
      <c r="AB656" s="41"/>
      <c r="AC656" s="9">
        <v>-52.524681076484079</v>
      </c>
      <c r="AD656" s="9">
        <v>144</v>
      </c>
      <c r="AE656" s="16"/>
      <c r="AF656" s="16"/>
      <c r="AG656" s="16"/>
      <c r="AI656" s="69" cm="1">
        <f t="array" ref="AI656">tuple_avg(T656)/tuple_avg(AA656)</f>
        <v>0.01</v>
      </c>
      <c r="AK656" s="69">
        <f>AD656*AI656*'-配置辅助'!$I$10</f>
        <v>24</v>
      </c>
      <c r="AM656" s="69">
        <f>AK656*_xlfn.XLOOKUP(H656,monsters[怪物id],monsters[HP],-1)</f>
        <v>744</v>
      </c>
    </row>
    <row r="657" spans="1:41" x14ac:dyDescent="0.2">
      <c r="A657" s="9">
        <v>42080004</v>
      </c>
      <c r="B657" s="9" t="str" cm="1">
        <f t="array" ref="B657">D657&amp;_xlfn.TEXTJOIN("",1,TEXT(E657:G657,"00"))</f>
        <v>4000004</v>
      </c>
      <c r="C657" s="30" t="str">
        <f t="shared" si="371"/>
        <v>42080004,4000004</v>
      </c>
      <c r="D657" s="26">
        <v>4</v>
      </c>
      <c r="E657" s="26">
        <v>0</v>
      </c>
      <c r="F657" s="26">
        <f t="shared" si="372"/>
        <v>0</v>
      </c>
      <c r="G657" s="26">
        <v>4</v>
      </c>
      <c r="H657" s="9">
        <v>201818</v>
      </c>
      <c r="I657" s="15" t="str">
        <f>IFERROR(VLOOKUP(H657,monsters[#All],4,0),"")</f>
        <v>聒噪海贝</v>
      </c>
      <c r="J657" s="15" t="str" cm="1">
        <f t="array" ref="J657">_xlfn.LET(_xlpm.v6p,ABS(ATAN2(O657,P657))*6/PI(),
_xlpm.output,_xlfn.IFS(_xlpm.v6p&lt;1,"正前",_xlpm.v6p&gt;5,"正后",AND(_xlpm.v6p&lt;5,_xlpm.v6p&gt;2,P657&lt;-1),"脚底",_xlpm.v6p&gt;4,"后上",_xlpm.v6p&lt;2,"前上",TRUE,"顶部"),
IFERROR(_xlpm.output,""))</f>
        <v>正后</v>
      </c>
      <c r="K657" s="12"/>
      <c r="L657" s="12" t="s">
        <v>63</v>
      </c>
      <c r="M657" s="12" t="s">
        <v>63</v>
      </c>
      <c r="N657" s="19" t="str">
        <f t="shared" si="373"/>
        <v>-20,5</v>
      </c>
      <c r="O657" s="24">
        <v>-20</v>
      </c>
      <c r="P657" s="24">
        <v>5</v>
      </c>
      <c r="Q657" s="19">
        <f t="shared" si="374"/>
        <v>2.6457999999999999</v>
      </c>
      <c r="R657" s="24">
        <v>2.6457999999999999</v>
      </c>
      <c r="S657" s="9">
        <v>5</v>
      </c>
      <c r="T657" s="19" t="str">
        <f t="shared" si="375"/>
        <v>1,1</v>
      </c>
      <c r="U657" s="24">
        <v>1</v>
      </c>
      <c r="V657" s="24">
        <v>1</v>
      </c>
      <c r="W657" s="9">
        <v>0</v>
      </c>
      <c r="X657" s="9">
        <v>11</v>
      </c>
      <c r="Y657" s="19" t="str">
        <f t="shared" si="376"/>
        <v>-1805,-1800</v>
      </c>
      <c r="Z657" s="42" t="s">
        <v>345</v>
      </c>
      <c r="AA657" s="19" t="str">
        <f t="shared" si="377"/>
        <v>80,120</v>
      </c>
      <c r="AB657" s="41"/>
      <c r="AC657" s="9">
        <v>-61.496154656261673</v>
      </c>
      <c r="AD657" s="9">
        <v>144</v>
      </c>
      <c r="AE657" s="16"/>
      <c r="AF657" s="16"/>
      <c r="AG657" s="16"/>
      <c r="AI657" s="69" cm="1">
        <f t="array" ref="AI657">tuple_avg(T657)/tuple_avg(AA657)</f>
        <v>0.01</v>
      </c>
      <c r="AK657" s="69">
        <f>AD657*AI657*'-配置辅助'!$I$10</f>
        <v>24</v>
      </c>
      <c r="AM657" s="69">
        <f>AK657*_xlfn.XLOOKUP(H657,monsters[怪物id],monsters[HP],-1)</f>
        <v>744</v>
      </c>
    </row>
    <row r="658" spans="1:41" x14ac:dyDescent="0.2">
      <c r="A658" s="9">
        <v>42080004</v>
      </c>
      <c r="B658" s="9" t="str" cm="1">
        <f t="array" ref="B658">D658&amp;_xlfn.TEXTJOIN("",1,TEXT(E658:G658,"00"))</f>
        <v>4000005</v>
      </c>
      <c r="C658" s="30" t="str">
        <f t="shared" si="371"/>
        <v>42080004,4000005</v>
      </c>
      <c r="D658" s="26">
        <v>4</v>
      </c>
      <c r="E658" s="26">
        <v>0</v>
      </c>
      <c r="F658" s="26">
        <f t="shared" si="372"/>
        <v>0</v>
      </c>
      <c r="G658" s="26">
        <v>5</v>
      </c>
      <c r="H658" s="9">
        <v>201818</v>
      </c>
      <c r="I658" s="15" t="str">
        <f>IFERROR(VLOOKUP(H658,monsters[#All],4,0),"")</f>
        <v>聒噪海贝</v>
      </c>
      <c r="J658" s="15" t="str" cm="1">
        <f t="array" ref="J658">_xlfn.LET(_xlpm.v6p,ABS(ATAN2(O658,P658))*6/PI(),
_xlpm.output,_xlfn.IFS(_xlpm.v6p&lt;1,"正前",_xlpm.v6p&gt;5,"正后",AND(_xlpm.v6p&lt;5,_xlpm.v6p&gt;2,P658&lt;-1),"脚底",_xlpm.v6p&gt;4,"后上",_xlpm.v6p&lt;2,"前上",TRUE,"顶部"),
IFERROR(_xlpm.output,""))</f>
        <v>正后</v>
      </c>
      <c r="K658" s="12"/>
      <c r="L658" s="12" t="s">
        <v>63</v>
      </c>
      <c r="M658" s="12" t="s">
        <v>63</v>
      </c>
      <c r="N658" s="19" t="str">
        <f t="shared" si="373"/>
        <v>-20,5</v>
      </c>
      <c r="O658" s="24">
        <v>-20</v>
      </c>
      <c r="P658" s="24">
        <v>5</v>
      </c>
      <c r="Q658" s="19">
        <f t="shared" si="374"/>
        <v>2.6457999999999999</v>
      </c>
      <c r="R658" s="24">
        <v>2.6457999999999999</v>
      </c>
      <c r="S658" s="9">
        <v>5</v>
      </c>
      <c r="T658" s="19" t="str">
        <f t="shared" si="375"/>
        <v>1,1</v>
      </c>
      <c r="U658" s="24">
        <v>1</v>
      </c>
      <c r="V658" s="24">
        <v>1</v>
      </c>
      <c r="W658" s="9">
        <v>0</v>
      </c>
      <c r="X658" s="9">
        <v>11</v>
      </c>
      <c r="Y658" s="19" t="str">
        <f t="shared" si="376"/>
        <v>-2505,-2500</v>
      </c>
      <c r="Z658" s="42" t="s">
        <v>346</v>
      </c>
      <c r="AA658" s="19" t="str">
        <f t="shared" si="377"/>
        <v>80,120</v>
      </c>
      <c r="AB658" s="41"/>
      <c r="AC658" s="9">
        <v>-72</v>
      </c>
      <c r="AD658" s="9">
        <v>144</v>
      </c>
      <c r="AE658" s="16"/>
      <c r="AF658" s="16"/>
      <c r="AG658" s="16"/>
      <c r="AI658" s="69" cm="1">
        <f t="array" ref="AI658">tuple_avg(T658)/tuple_avg(AA658)</f>
        <v>0.01</v>
      </c>
      <c r="AK658" s="69">
        <f>AD658*AI658*'-配置辅助'!$I$10</f>
        <v>24</v>
      </c>
      <c r="AM658" s="69">
        <f>AK658*_xlfn.XLOOKUP(H658,monsters[怪物id],monsters[HP],-1)</f>
        <v>744</v>
      </c>
    </row>
    <row r="660" spans="1:41" x14ac:dyDescent="0.2">
      <c r="I660" s="77" t="s">
        <v>349</v>
      </c>
    </row>
    <row r="661" spans="1:41" x14ac:dyDescent="0.2">
      <c r="A661" s="9">
        <v>42080004</v>
      </c>
      <c r="B661" s="9" t="str" cm="1">
        <f t="array" ref="B661">D661&amp;_xlfn.TEXTJOIN("",1,TEXT(E661:G661,"00"))</f>
        <v>2010000</v>
      </c>
      <c r="C661" s="30" t="str">
        <f t="shared" ref="C661:C664" si="378">_xlfn.TEXTJOIN(",",1,A661:B661)</f>
        <v>42080004,2010000</v>
      </c>
      <c r="D661" s="26">
        <v>2</v>
      </c>
      <c r="E661" s="26">
        <v>1</v>
      </c>
      <c r="F661" s="26">
        <f>W661</f>
        <v>0</v>
      </c>
      <c r="G661" s="26">
        <v>0</v>
      </c>
      <c r="H661" s="9">
        <v>201801</v>
      </c>
      <c r="I661" s="15" t="str">
        <f>IFERROR(VLOOKUP(H661,monsters[#All],4,0),"")</f>
        <v>金鱼</v>
      </c>
      <c r="J661" s="15" t="str" cm="1">
        <f t="array" ref="J661">_xlfn.LET(_xlpm.v6p,ABS(ATAN2(O661,P661))*6/PI(),
_xlpm.output,_xlfn.IFS(_xlpm.v6p&lt;1,"正前",_xlpm.v6p&gt;5,"正后",AND(_xlpm.v6p&lt;5,_xlpm.v6p&gt;2,P661&lt;-1),"脚底",_xlpm.v6p&gt;4,"后上",_xlpm.v6p&lt;2,"前上",TRUE,"顶部"),
IFERROR(_xlpm.output,""))</f>
        <v>正前</v>
      </c>
      <c r="K661" s="12"/>
      <c r="L661" s="12" t="s">
        <v>63</v>
      </c>
      <c r="M661" s="12" t="s">
        <v>63</v>
      </c>
      <c r="N661" s="19" t="str">
        <f>O661+0&amp;","&amp;P661+0</f>
        <v>15,6</v>
      </c>
      <c r="O661" s="24">
        <v>15</v>
      </c>
      <c r="P661" s="24">
        <v>6</v>
      </c>
      <c r="Q661" s="19">
        <f>_xlfn.LET(_xlpm._default,1,
_xlpm._custom,R661,
IF($A661&lt;&gt;"",IF(_xlpm._custom&lt;&gt;"",_xlpm._custom,_xlpm._default),""))</f>
        <v>1</v>
      </c>
      <c r="R661" s="24">
        <v>1</v>
      </c>
      <c r="S661" s="16"/>
      <c r="T661" s="19" t="str">
        <f>IF(U661&lt;&gt;"", U661+0&amp;","&amp;V661+0,"")</f>
        <v>0,0</v>
      </c>
      <c r="U661" s="24">
        <v>0</v>
      </c>
      <c r="V661" s="24">
        <v>0</v>
      </c>
      <c r="W661" s="9">
        <v>0</v>
      </c>
      <c r="X661" s="9">
        <v>11</v>
      </c>
      <c r="Y661" s="19" t="str">
        <f>IF($A661&lt;&gt;"",IF($Z661&lt;&gt;"",$Z661,"0,0"),"")</f>
        <v>0,0</v>
      </c>
      <c r="Z661" s="41"/>
      <c r="AA661" s="19" t="str">
        <f>IF($A661&lt;&gt;"",IF($AB661&lt;&gt;"",$AB661,"80,120"),"")</f>
        <v>100,100</v>
      </c>
      <c r="AB661" s="41" t="s">
        <v>343</v>
      </c>
      <c r="AC661" s="16"/>
      <c r="AD661" s="16"/>
      <c r="AE661" s="16"/>
      <c r="AF661" s="9">
        <v>33</v>
      </c>
      <c r="AG661" s="9">
        <v>40</v>
      </c>
      <c r="AI661" s="69" cm="1">
        <f t="array" ref="AI661">tuple_avg(T661)/tuple_avg(AA661)</f>
        <v>0</v>
      </c>
      <c r="AK661" s="69">
        <f>AD661*AI661*'-配置辅助'!$I$10</f>
        <v>0</v>
      </c>
      <c r="AM661" s="69">
        <f>AK661*_xlfn.XLOOKUP(H661,monsters[怪物id],monsters[HP],-1)</f>
        <v>0</v>
      </c>
    </row>
    <row r="662" spans="1:41" x14ac:dyDescent="0.2">
      <c r="A662" s="9">
        <v>42080004</v>
      </c>
      <c r="B662" s="9" t="str" cm="1">
        <f t="array" ref="B662">D662&amp;_xlfn.TEXTJOIN("",1,TEXT(E662:G662,"00"))</f>
        <v>2020000</v>
      </c>
      <c r="C662" s="30" t="str">
        <f t="shared" si="378"/>
        <v>42080004,2020000</v>
      </c>
      <c r="D662" s="26">
        <v>2</v>
      </c>
      <c r="E662" s="26">
        <v>2</v>
      </c>
      <c r="F662" s="26">
        <f>W662</f>
        <v>0</v>
      </c>
      <c r="G662" s="26">
        <v>0</v>
      </c>
      <c r="H662" s="9">
        <v>201801</v>
      </c>
      <c r="I662" s="15" t="str">
        <f>IFERROR(VLOOKUP(H662,monsters[#All],4,0),"")</f>
        <v>金鱼</v>
      </c>
      <c r="J662" s="15" t="str" cm="1">
        <f t="array" ref="J662">_xlfn.LET(_xlpm.v6p,ABS(ATAN2(O662,P662))*6/PI(),
_xlpm.output,_xlfn.IFS(_xlpm.v6p&lt;1,"正前",_xlpm.v6p&gt;5,"正后",AND(_xlpm.v6p&lt;5,_xlpm.v6p&gt;2,P662&lt;-1),"脚底",_xlpm.v6p&gt;4,"后上",_xlpm.v6p&lt;2,"前上",TRUE,"顶部"),
IFERROR(_xlpm.output,""))</f>
        <v>顶部</v>
      </c>
      <c r="K662" s="12"/>
      <c r="L662" s="12" t="s">
        <v>63</v>
      </c>
      <c r="M662" s="12" t="s">
        <v>63</v>
      </c>
      <c r="N662" s="19" t="str">
        <f>O662+0&amp;","&amp;P662+0</f>
        <v>6,14</v>
      </c>
      <c r="O662" s="24">
        <v>6</v>
      </c>
      <c r="P662" s="24">
        <v>14</v>
      </c>
      <c r="Q662" s="19">
        <f>_xlfn.LET(_xlpm._default,1,
_xlpm._custom,R662,
IF($A662&lt;&gt;"",IF(_xlpm._custom&lt;&gt;"",_xlpm._custom,_xlpm._default),""))</f>
        <v>1.7321</v>
      </c>
      <c r="R662" s="24">
        <v>1.7321</v>
      </c>
      <c r="S662" s="16"/>
      <c r="T662" s="19" t="str">
        <f>IF(U662&lt;&gt;"", U662+0&amp;","&amp;V662+0,"")</f>
        <v>0,0</v>
      </c>
      <c r="U662" s="24">
        <v>0</v>
      </c>
      <c r="V662" s="24">
        <v>0</v>
      </c>
      <c r="W662" s="9">
        <v>0</v>
      </c>
      <c r="X662" s="9">
        <v>11</v>
      </c>
      <c r="Y662" s="19" t="str">
        <f>IF($A662&lt;&gt;"",IF($Z662&lt;&gt;"",$Z662,"0,0"),"")</f>
        <v>0,0</v>
      </c>
      <c r="Z662" s="41"/>
      <c r="AA662" s="19" t="str">
        <f>IF($A662&lt;&gt;"",IF($AB662&lt;&gt;"",$AB662,"80,120"),"")</f>
        <v>100,100</v>
      </c>
      <c r="AB662" s="41" t="s">
        <v>343</v>
      </c>
      <c r="AC662" s="16"/>
      <c r="AD662" s="16"/>
      <c r="AE662" s="16"/>
      <c r="AF662" s="9">
        <v>33</v>
      </c>
      <c r="AG662" s="9">
        <v>40</v>
      </c>
      <c r="AI662" s="69" cm="1">
        <f t="array" ref="AI662">tuple_avg(T662)/tuple_avg(AA662)</f>
        <v>0</v>
      </c>
      <c r="AK662" s="69">
        <f>AD662*AI662*'-配置辅助'!$I$10</f>
        <v>0</v>
      </c>
      <c r="AM662" s="69">
        <f>AK662*_xlfn.XLOOKUP(H662,monsters[怪物id],monsters[HP],-1)</f>
        <v>0</v>
      </c>
    </row>
    <row r="663" spans="1:41" x14ac:dyDescent="0.2">
      <c r="A663" s="9">
        <v>42080004</v>
      </c>
      <c r="B663" s="9" t="str" cm="1">
        <f t="array" ref="B663">D663&amp;_xlfn.TEXTJOIN("",1,TEXT(E663:G663,"00"))</f>
        <v>2030000</v>
      </c>
      <c r="C663" s="30" t="str">
        <f t="shared" si="378"/>
        <v>42080004,2030000</v>
      </c>
      <c r="D663" s="26">
        <v>2</v>
      </c>
      <c r="E663" s="26">
        <v>3</v>
      </c>
      <c r="F663" s="26">
        <f>W663</f>
        <v>0</v>
      </c>
      <c r="G663" s="26">
        <v>0</v>
      </c>
      <c r="H663" s="9">
        <v>201801</v>
      </c>
      <c r="I663" s="15" t="str">
        <f>IFERROR(VLOOKUP(H663,monsters[#All],4,0),"")</f>
        <v>金鱼</v>
      </c>
      <c r="J663" s="15" t="str" cm="1">
        <f t="array" ref="J663">_xlfn.LET(_xlpm.v6p,ABS(ATAN2(O663,P663))*6/PI(),
_xlpm.output,_xlfn.IFS(_xlpm.v6p&lt;1,"正前",_xlpm.v6p&gt;5,"正后",AND(_xlpm.v6p&lt;5,_xlpm.v6p&gt;2,P663&lt;-1),"脚底",_xlpm.v6p&gt;4,"后上",_xlpm.v6p&lt;2,"前上",TRUE,"顶部"),
IFERROR(_xlpm.output,""))</f>
        <v>正前</v>
      </c>
      <c r="K663" s="12"/>
      <c r="L663" s="12" t="s">
        <v>63</v>
      </c>
      <c r="M663" s="12" t="s">
        <v>63</v>
      </c>
      <c r="N663" s="19" t="str">
        <f>O663+0&amp;","&amp;P663+0</f>
        <v>15,6</v>
      </c>
      <c r="O663" s="24">
        <v>15</v>
      </c>
      <c r="P663" s="24">
        <v>6</v>
      </c>
      <c r="Q663" s="19">
        <f>_xlfn.LET(_xlpm._default,1,
_xlpm._custom,R663,
IF($A663&lt;&gt;"",IF(_xlpm._custom&lt;&gt;"",_xlpm._custom,_xlpm._default),""))</f>
        <v>2.2361</v>
      </c>
      <c r="R663" s="24">
        <v>2.2361</v>
      </c>
      <c r="S663" s="16"/>
      <c r="T663" s="19" t="str">
        <f>IF(U663&lt;&gt;"", U663+0&amp;","&amp;V663+0,"")</f>
        <v>0,0</v>
      </c>
      <c r="U663" s="24">
        <v>0</v>
      </c>
      <c r="V663" s="24">
        <v>0</v>
      </c>
      <c r="W663" s="9">
        <v>0</v>
      </c>
      <c r="X663" s="9">
        <v>11</v>
      </c>
      <c r="Y663" s="19" t="str">
        <f>IF($A663&lt;&gt;"",IF($Z663&lt;&gt;"",$Z663,"0,0"),"")</f>
        <v>0,0</v>
      </c>
      <c r="Z663" s="41"/>
      <c r="AA663" s="19" t="str">
        <f>IF($A663&lt;&gt;"",IF($AB663&lt;&gt;"",$AB663,"80,120"),"")</f>
        <v>100,100</v>
      </c>
      <c r="AB663" s="41" t="s">
        <v>343</v>
      </c>
      <c r="AC663" s="16"/>
      <c r="AD663" s="16"/>
      <c r="AE663" s="16"/>
      <c r="AF663" s="9">
        <v>33</v>
      </c>
      <c r="AG663" s="9">
        <v>40</v>
      </c>
      <c r="AI663" s="69" cm="1">
        <f t="array" ref="AI663">tuple_avg(T663)/tuple_avg(AA663)</f>
        <v>0</v>
      </c>
      <c r="AK663" s="69">
        <f>AD663*AI663*'-配置辅助'!$I$10</f>
        <v>0</v>
      </c>
      <c r="AM663" s="69">
        <f>AK663*_xlfn.XLOOKUP(H663,monsters[怪物id],monsters[HP],-1)</f>
        <v>0</v>
      </c>
    </row>
    <row r="664" spans="1:41" x14ac:dyDescent="0.2">
      <c r="A664" s="9">
        <v>42080004</v>
      </c>
      <c r="B664" s="9" t="str" cm="1">
        <f t="array" ref="B664">D664&amp;_xlfn.TEXTJOIN("",1,TEXT(E664:G664,"00"))</f>
        <v>2040000</v>
      </c>
      <c r="C664" s="30" t="str">
        <f t="shared" si="378"/>
        <v>42080004,2040000</v>
      </c>
      <c r="D664" s="26">
        <v>2</v>
      </c>
      <c r="E664" s="26">
        <v>4</v>
      </c>
      <c r="F664" s="26">
        <f>W664</f>
        <v>0</v>
      </c>
      <c r="G664" s="26">
        <v>0</v>
      </c>
      <c r="H664" s="9">
        <v>201801</v>
      </c>
      <c r="I664" s="15" t="str">
        <f>IFERROR(VLOOKUP(H664,monsters[#All],4,0),"")</f>
        <v>金鱼</v>
      </c>
      <c r="J664" s="15" t="str" cm="1">
        <f t="array" ref="J664">_xlfn.LET(_xlpm.v6p,ABS(ATAN2(O664,P664))*6/PI(),
_xlpm.output,_xlfn.IFS(_xlpm.v6p&lt;1,"正前",_xlpm.v6p&gt;5,"正后",AND(_xlpm.v6p&lt;5,_xlpm.v6p&gt;2,P664&lt;-1),"脚底",_xlpm.v6p&gt;4,"后上",_xlpm.v6p&lt;2,"前上",TRUE,"顶部"),
IFERROR(_xlpm.output,""))</f>
        <v>正后</v>
      </c>
      <c r="K664" s="12"/>
      <c r="L664" s="12" t="s">
        <v>63</v>
      </c>
      <c r="M664" s="12" t="s">
        <v>63</v>
      </c>
      <c r="N664" s="19" t="str">
        <f>O664+0&amp;","&amp;P664+0</f>
        <v>-15,6</v>
      </c>
      <c r="O664" s="24">
        <v>-15</v>
      </c>
      <c r="P664" s="24">
        <v>6</v>
      </c>
      <c r="Q664" s="19">
        <f>_xlfn.LET(_xlpm._default,1,
_xlpm._custom,R664,
IF($A664&lt;&gt;"",IF(_xlpm._custom&lt;&gt;"",_xlpm._custom,_xlpm._default),""))</f>
        <v>2.6457999999999999</v>
      </c>
      <c r="R664" s="24">
        <v>2.6457999999999999</v>
      </c>
      <c r="S664" s="16"/>
      <c r="T664" s="19" t="str">
        <f>IF(U664&lt;&gt;"", U664+0&amp;","&amp;V664+0,"")</f>
        <v>0,0</v>
      </c>
      <c r="U664" s="24">
        <v>0</v>
      </c>
      <c r="V664" s="24">
        <v>0</v>
      </c>
      <c r="W664" s="9">
        <v>0</v>
      </c>
      <c r="X664" s="9">
        <v>11</v>
      </c>
      <c r="Y664" s="19" t="str">
        <f>IF($A664&lt;&gt;"",IF($Z664&lt;&gt;"",$Z664,"0,0"),"")</f>
        <v>0,0</v>
      </c>
      <c r="Z664" s="41"/>
      <c r="AA664" s="19" t="str">
        <f>IF($A664&lt;&gt;"",IF($AB664&lt;&gt;"",$AB664,"80,120"),"")</f>
        <v>100,100</v>
      </c>
      <c r="AB664" s="41" t="s">
        <v>343</v>
      </c>
      <c r="AC664" s="16"/>
      <c r="AD664" s="16"/>
      <c r="AE664" s="16"/>
      <c r="AF664" s="9">
        <v>33</v>
      </c>
      <c r="AG664" s="9">
        <v>40</v>
      </c>
      <c r="AI664" s="69" cm="1">
        <f t="array" ref="AI664">tuple_avg(T664)/tuple_avg(AA664)</f>
        <v>0</v>
      </c>
      <c r="AK664" s="69">
        <f>AD664*AI664*'-配置辅助'!$I$10</f>
        <v>0</v>
      </c>
      <c r="AM664" s="69">
        <f>AK664*_xlfn.XLOOKUP(H664,monsters[怪物id],monsters[HP],-1)</f>
        <v>0</v>
      </c>
    </row>
    <row r="667" spans="1:41" s="40" customFormat="1" x14ac:dyDescent="0.2">
      <c r="A667" s="43"/>
      <c r="B667" s="43"/>
      <c r="C667" s="44"/>
      <c r="D667" s="45"/>
      <c r="E667" s="45"/>
      <c r="F667" s="45"/>
      <c r="G667" s="45"/>
      <c r="H667" s="43" t="s">
        <v>389</v>
      </c>
      <c r="I667" s="46"/>
      <c r="J667" s="46"/>
      <c r="O667" s="47"/>
      <c r="P667" s="47"/>
      <c r="R667" s="47"/>
      <c r="S667" s="40" t="s">
        <v>62</v>
      </c>
      <c r="U667" s="47"/>
      <c r="V667" s="47"/>
      <c r="Z667" s="47"/>
      <c r="AB667" s="47"/>
      <c r="AC667" s="40" t="s">
        <v>62</v>
      </c>
      <c r="AI667" s="75"/>
      <c r="AJ667" s="75"/>
      <c r="AK667" s="75">
        <f>SUM(AK669:AK674)</f>
        <v>168</v>
      </c>
      <c r="AL667" s="75"/>
      <c r="AM667" s="75">
        <f>SUM(AM669:AM674)</f>
        <v>3192</v>
      </c>
      <c r="AN667" s="75"/>
      <c r="AO667" s="75"/>
    </row>
    <row r="669" spans="1:41" x14ac:dyDescent="0.2">
      <c r="A669" s="9">
        <v>42080005</v>
      </c>
      <c r="B669" s="9" t="str" cm="1">
        <f t="array" ref="B669">D669&amp;_xlfn.TEXTJOIN("",1,TEXT(E669:G669,"00"))</f>
        <v>1000000</v>
      </c>
      <c r="C669" s="30" t="str">
        <f t="shared" ref="C669:C674" si="379">_xlfn.TEXTJOIN(",",1,A669:B669)</f>
        <v>42080005,1000000</v>
      </c>
      <c r="D669" s="26">
        <v>1</v>
      </c>
      <c r="E669" s="26">
        <v>0</v>
      </c>
      <c r="F669" s="26">
        <f t="shared" ref="F669:F674" si="380">W669</f>
        <v>0</v>
      </c>
      <c r="G669" s="26">
        <v>0</v>
      </c>
      <c r="H669" s="9">
        <v>201801</v>
      </c>
      <c r="I669" s="15" t="str">
        <f>IFERROR(VLOOKUP(H669,monsters[#All],4,0),"")</f>
        <v>金鱼</v>
      </c>
      <c r="J669" s="15" t="str" cm="1">
        <f t="array" ref="J669">_xlfn.LET(_xlpm.v6p,ABS(ATAN2(O669,P669))*6/PI(),
_xlpm.output,_xlfn.IFS(_xlpm.v6p&lt;1,"正前",_xlpm.v6p&gt;5,"正后",AND(_xlpm.v6p&lt;5,_xlpm.v6p&gt;2,P669&lt;-1),"脚底",_xlpm.v6p&gt;4,"后上",_xlpm.v6p&lt;2,"前上",TRUE,"顶部"),
IFERROR(_xlpm.output,""))</f>
        <v>正后</v>
      </c>
      <c r="K669" s="12"/>
      <c r="L669" s="12" t="s">
        <v>63</v>
      </c>
      <c r="M669" s="12" t="s">
        <v>63</v>
      </c>
      <c r="N669" s="19" t="str">
        <f t="shared" ref="N669:N674" si="381">O669+0&amp;","&amp;P669+0</f>
        <v>-20,5</v>
      </c>
      <c r="O669" s="24">
        <v>-20</v>
      </c>
      <c r="P669" s="24">
        <v>5</v>
      </c>
      <c r="Q669" s="19">
        <f t="shared" ref="Q669:Q674" si="382">_xlfn.LET(_xlpm._default,1,
_xlpm._custom,R669,
IF($A669&lt;&gt;"",IF(_xlpm._custom&lt;&gt;"",_xlpm._custom,_xlpm._default),""))</f>
        <v>1</v>
      </c>
      <c r="R669" s="24">
        <v>1</v>
      </c>
      <c r="S669" s="9">
        <v>8</v>
      </c>
      <c r="T669" s="19" t="str">
        <f t="shared" ref="T669:T674" si="383">IF(U669&lt;&gt;"", U669+0&amp;","&amp;V669+0,"")</f>
        <v>1,1</v>
      </c>
      <c r="U669" s="24">
        <v>1</v>
      </c>
      <c r="V669" s="24">
        <v>1</v>
      </c>
      <c r="W669" s="9">
        <v>0</v>
      </c>
      <c r="X669" s="9">
        <v>11</v>
      </c>
      <c r="Y669" s="19" t="str">
        <f t="shared" ref="Y669:Y674" si="384">IF($A669&lt;&gt;"",IF($Z669&lt;&gt;"",$Z669,"0,0"),"")</f>
        <v>0,0</v>
      </c>
      <c r="Z669" s="41"/>
      <c r="AA669" s="19" t="str">
        <f t="shared" ref="AA669:AA674" si="385">IF($A669&lt;&gt;"",IF($AB669&lt;&gt;"",$AB669,"80,120"),"")</f>
        <v>80,120</v>
      </c>
      <c r="AB669" s="41"/>
      <c r="AC669" s="9" cm="1">
        <f t="array" ref="AC669:AD674">_xlfn.LET(_xlpm._lvl,MOD($A669,10),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_xlpm._seq,G669:G674,
_xlfn.MAKEARRAY(ROWS(_xlpm._seq),2,_xlfn.LAMBDA(_xlpm.x,_xlpm.y,IF(_xlpm.y=1,-_xlpm._generate_rate/_xlpm._v_begin*(_xlpm._v_begin/_xlpm._v_max)^(INDEX(_xlpm._seq,_xlpm.x)/MAX(_xlpm._seq)),_xlpm._generate_rate))
))</f>
        <v>-33.6</v>
      </c>
      <c r="AD669" s="9">
        <v>168</v>
      </c>
      <c r="AE669" s="16"/>
      <c r="AF669" s="16"/>
      <c r="AG669" s="16"/>
      <c r="AI669" s="69" cm="1">
        <f t="array" ref="AI669">tuple_avg(T669)/tuple_avg(AA669)</f>
        <v>0.01</v>
      </c>
      <c r="AK669" s="69">
        <f>AD669*AI669*'-配置辅助'!$I$10</f>
        <v>28</v>
      </c>
      <c r="AM669" s="69">
        <f>AK669*_xlfn.XLOOKUP(H669,monsters[怪物id],monsters[HP],-1)</f>
        <v>532</v>
      </c>
    </row>
    <row r="670" spans="1:41" x14ac:dyDescent="0.2">
      <c r="A670" s="9">
        <v>42080005</v>
      </c>
      <c r="B670" s="9" t="str" cm="1">
        <f t="array" ref="B670">D670&amp;_xlfn.TEXTJOIN("",1,TEXT(E670:G670,"00"))</f>
        <v>1000001</v>
      </c>
      <c r="C670" s="30" t="str">
        <f t="shared" si="379"/>
        <v>42080005,1000001</v>
      </c>
      <c r="D670" s="26">
        <v>1</v>
      </c>
      <c r="E670" s="76">
        <v>0</v>
      </c>
      <c r="F670" s="26">
        <f t="shared" si="380"/>
        <v>0</v>
      </c>
      <c r="G670" s="26">
        <v>1</v>
      </c>
      <c r="H670" s="9">
        <v>201801</v>
      </c>
      <c r="I670" s="15" t="str">
        <f>IFERROR(VLOOKUP(H670,monsters[#All],4,0),"")</f>
        <v>金鱼</v>
      </c>
      <c r="J670" s="15" t="str" cm="1">
        <f t="array" ref="J670">_xlfn.LET(_xlpm.v6p,ABS(ATAN2(O670,P670))*6/PI(),
_xlpm.output,_xlfn.IFS(_xlpm.v6p&lt;1,"正前",_xlpm.v6p&gt;5,"正后",AND(_xlpm.v6p&lt;5,_xlpm.v6p&gt;2,P670&lt;-1),"脚底",_xlpm.v6p&gt;4,"后上",_xlpm.v6p&lt;2,"前上",TRUE,"顶部"),
IFERROR(_xlpm.output,""))</f>
        <v>正后</v>
      </c>
      <c r="K670" s="12"/>
      <c r="L670" s="12" t="s">
        <v>63</v>
      </c>
      <c r="M670" s="12" t="s">
        <v>63</v>
      </c>
      <c r="N670" s="19" t="str">
        <f t="shared" si="381"/>
        <v>-20,5</v>
      </c>
      <c r="O670" s="24">
        <v>-20</v>
      </c>
      <c r="P670" s="24">
        <v>5</v>
      </c>
      <c r="Q670" s="19">
        <f t="shared" si="382"/>
        <v>1.7321</v>
      </c>
      <c r="R670" s="24">
        <v>1.7321</v>
      </c>
      <c r="S670" s="9">
        <v>8</v>
      </c>
      <c r="T670" s="19" t="str">
        <f t="shared" si="383"/>
        <v>1,1</v>
      </c>
      <c r="U670" s="24">
        <v>1</v>
      </c>
      <c r="V670" s="24">
        <v>1</v>
      </c>
      <c r="W670" s="9">
        <v>0</v>
      </c>
      <c r="X670" s="9">
        <v>11</v>
      </c>
      <c r="Y670" s="19" t="str">
        <f t="shared" si="384"/>
        <v>-305,-300</v>
      </c>
      <c r="Z670" s="42" t="s">
        <v>269</v>
      </c>
      <c r="AA670" s="19" t="str">
        <f t="shared" si="385"/>
        <v>80,120</v>
      </c>
      <c r="AB670" s="41"/>
      <c r="AC670" s="9">
        <v>-38.596264727900383</v>
      </c>
      <c r="AD670" s="9">
        <v>168</v>
      </c>
      <c r="AE670" s="16"/>
      <c r="AF670" s="16"/>
      <c r="AG670" s="16"/>
      <c r="AI670" s="69" cm="1">
        <f t="array" ref="AI670">tuple_avg(T670)/tuple_avg(AA670)</f>
        <v>0.01</v>
      </c>
      <c r="AK670" s="69">
        <f>AD670*AI670*'-配置辅助'!$I$10</f>
        <v>28</v>
      </c>
      <c r="AM670" s="69">
        <f>AK670*_xlfn.XLOOKUP(H670,monsters[怪物id],monsters[HP],-1)</f>
        <v>532</v>
      </c>
    </row>
    <row r="671" spans="1:41" x14ac:dyDescent="0.2">
      <c r="A671" s="9">
        <v>42080005</v>
      </c>
      <c r="B671" s="9" t="str" cm="1">
        <f t="array" ref="B671">D671&amp;_xlfn.TEXTJOIN("",1,TEXT(E671:G671,"00"))</f>
        <v>1000002</v>
      </c>
      <c r="C671" s="30" t="str">
        <f t="shared" si="379"/>
        <v>42080005,1000002</v>
      </c>
      <c r="D671" s="26">
        <v>1</v>
      </c>
      <c r="E671" s="26">
        <v>0</v>
      </c>
      <c r="F671" s="26">
        <f t="shared" si="380"/>
        <v>0</v>
      </c>
      <c r="G671" s="26">
        <v>2</v>
      </c>
      <c r="H671" s="9">
        <v>201801</v>
      </c>
      <c r="I671" s="15" t="str">
        <f>IFERROR(VLOOKUP(H671,monsters[#All],4,0),"")</f>
        <v>金鱼</v>
      </c>
      <c r="J671" s="15" t="str" cm="1">
        <f t="array" ref="J671">_xlfn.LET(_xlpm.v6p,ABS(ATAN2(O671,P671))*6/PI(),
_xlpm.output,_xlfn.IFS(_xlpm.v6p&lt;1,"正前",_xlpm.v6p&gt;5,"正后",AND(_xlpm.v6p&lt;5,_xlpm.v6p&gt;2,P671&lt;-1),"脚底",_xlpm.v6p&gt;4,"后上",_xlpm.v6p&lt;2,"前上",TRUE,"顶部"),
IFERROR(_xlpm.output,""))</f>
        <v>正后</v>
      </c>
      <c r="K671" s="12"/>
      <c r="L671" s="12" t="s">
        <v>63</v>
      </c>
      <c r="M671" s="12" t="s">
        <v>63</v>
      </c>
      <c r="N671" s="19" t="str">
        <f t="shared" si="381"/>
        <v>-20,5</v>
      </c>
      <c r="O671" s="24">
        <v>-20</v>
      </c>
      <c r="P671" s="24">
        <v>5</v>
      </c>
      <c r="Q671" s="19">
        <f t="shared" si="382"/>
        <v>2.2361</v>
      </c>
      <c r="R671" s="24">
        <v>2.2361</v>
      </c>
      <c r="S671" s="9">
        <v>7</v>
      </c>
      <c r="T671" s="19" t="str">
        <f t="shared" si="383"/>
        <v>1,1</v>
      </c>
      <c r="U671" s="24">
        <v>1</v>
      </c>
      <c r="V671" s="24">
        <v>1</v>
      </c>
      <c r="W671" s="9">
        <v>0</v>
      </c>
      <c r="X671" s="9">
        <v>11</v>
      </c>
      <c r="Y671" s="19" t="str">
        <f t="shared" si="384"/>
        <v>-705,-700</v>
      </c>
      <c r="Z671" s="42" t="s">
        <v>134</v>
      </c>
      <c r="AA671" s="19" t="str">
        <f t="shared" si="385"/>
        <v>80,120</v>
      </c>
      <c r="AB671" s="41"/>
      <c r="AC671" s="9">
        <v>-44.335465801969249</v>
      </c>
      <c r="AD671" s="9">
        <v>168</v>
      </c>
      <c r="AE671" s="16"/>
      <c r="AF671" s="16"/>
      <c r="AG671" s="16"/>
      <c r="AI671" s="69" cm="1">
        <f t="array" ref="AI671">tuple_avg(T671)/tuple_avg(AA671)</f>
        <v>0.01</v>
      </c>
      <c r="AK671" s="69">
        <f>AD671*AI671*'-配置辅助'!$I$10</f>
        <v>28</v>
      </c>
      <c r="AM671" s="69">
        <f>AK671*_xlfn.XLOOKUP(H671,monsters[怪物id],monsters[HP],-1)</f>
        <v>532</v>
      </c>
    </row>
    <row r="672" spans="1:41" x14ac:dyDescent="0.2">
      <c r="A672" s="9">
        <v>42080005</v>
      </c>
      <c r="B672" s="9" t="str" cm="1">
        <f t="array" ref="B672">D672&amp;_xlfn.TEXTJOIN("",1,TEXT(E672:G672,"00"))</f>
        <v>1000003</v>
      </c>
      <c r="C672" s="30" t="str">
        <f t="shared" si="379"/>
        <v>42080005,1000003</v>
      </c>
      <c r="D672" s="26">
        <v>1</v>
      </c>
      <c r="E672" s="26">
        <v>0</v>
      </c>
      <c r="F672" s="26">
        <f t="shared" si="380"/>
        <v>0</v>
      </c>
      <c r="G672" s="26">
        <v>3</v>
      </c>
      <c r="H672" s="9">
        <v>201801</v>
      </c>
      <c r="I672" s="15" t="str">
        <f>IFERROR(VLOOKUP(H672,monsters[#All],4,0),"")</f>
        <v>金鱼</v>
      </c>
      <c r="J672" s="15" t="str" cm="1">
        <f t="array" ref="J672">_xlfn.LET(_xlpm.v6p,ABS(ATAN2(O672,P672))*6/PI(),
_xlpm.output,_xlfn.IFS(_xlpm.v6p&lt;1,"正前",_xlpm.v6p&gt;5,"正后",AND(_xlpm.v6p&lt;5,_xlpm.v6p&gt;2,P672&lt;-1),"脚底",_xlpm.v6p&gt;4,"后上",_xlpm.v6p&lt;2,"前上",TRUE,"顶部"),
IFERROR(_xlpm.output,""))</f>
        <v>正后</v>
      </c>
      <c r="K672" s="12"/>
      <c r="L672" s="12" t="s">
        <v>63</v>
      </c>
      <c r="M672" s="12" t="s">
        <v>63</v>
      </c>
      <c r="N672" s="19" t="str">
        <f t="shared" si="381"/>
        <v>-20,5</v>
      </c>
      <c r="O672" s="24">
        <v>-20</v>
      </c>
      <c r="P672" s="24">
        <v>5</v>
      </c>
      <c r="Q672" s="19">
        <f t="shared" si="382"/>
        <v>2.6457999999999999</v>
      </c>
      <c r="R672" s="24">
        <v>2.6457999999999999</v>
      </c>
      <c r="S672" s="9">
        <v>6</v>
      </c>
      <c r="T672" s="19" t="str">
        <f t="shared" si="383"/>
        <v>1,1</v>
      </c>
      <c r="U672" s="24">
        <v>1</v>
      </c>
      <c r="V672" s="24">
        <v>1</v>
      </c>
      <c r="W672" s="9">
        <v>0</v>
      </c>
      <c r="X672" s="9">
        <v>11</v>
      </c>
      <c r="Y672" s="19" t="str">
        <f t="shared" si="384"/>
        <v>-1205,-1200</v>
      </c>
      <c r="Z672" s="42" t="s">
        <v>344</v>
      </c>
      <c r="AA672" s="19" t="str">
        <f t="shared" si="385"/>
        <v>80,120</v>
      </c>
      <c r="AB672" s="41"/>
      <c r="AC672" s="9">
        <v>-50.928076634749374</v>
      </c>
      <c r="AD672" s="9">
        <v>168</v>
      </c>
      <c r="AE672" s="16"/>
      <c r="AF672" s="16"/>
      <c r="AG672" s="16"/>
      <c r="AI672" s="69" cm="1">
        <f t="array" ref="AI672">tuple_avg(T672)/tuple_avg(AA672)</f>
        <v>0.01</v>
      </c>
      <c r="AK672" s="69">
        <f>AD672*AI672*'-配置辅助'!$I$10</f>
        <v>28</v>
      </c>
      <c r="AM672" s="69">
        <f>AK672*_xlfn.XLOOKUP(H672,monsters[怪物id],monsters[HP],-1)</f>
        <v>532</v>
      </c>
    </row>
    <row r="673" spans="1:39" x14ac:dyDescent="0.2">
      <c r="A673" s="9">
        <v>42080005</v>
      </c>
      <c r="B673" s="9" t="str" cm="1">
        <f t="array" ref="B673">D673&amp;_xlfn.TEXTJOIN("",1,TEXT(E673:G673,"00"))</f>
        <v>1000004</v>
      </c>
      <c r="C673" s="30" t="str">
        <f t="shared" si="379"/>
        <v>42080005,1000004</v>
      </c>
      <c r="D673" s="26">
        <v>1</v>
      </c>
      <c r="E673" s="26">
        <v>0</v>
      </c>
      <c r="F673" s="26">
        <f t="shared" si="380"/>
        <v>0</v>
      </c>
      <c r="G673" s="26">
        <v>4</v>
      </c>
      <c r="H673" s="9">
        <v>201801</v>
      </c>
      <c r="I673" s="15" t="str">
        <f>IFERROR(VLOOKUP(H673,monsters[#All],4,0),"")</f>
        <v>金鱼</v>
      </c>
      <c r="J673" s="15" t="str" cm="1">
        <f t="array" ref="J673">_xlfn.LET(_xlpm.v6p,ABS(ATAN2(O673,P673))*6/PI(),
_xlpm.output,_xlfn.IFS(_xlpm.v6p&lt;1,"正前",_xlpm.v6p&gt;5,"正后",AND(_xlpm.v6p&lt;5,_xlpm.v6p&gt;2,P673&lt;-1),"脚底",_xlpm.v6p&gt;4,"后上",_xlpm.v6p&lt;2,"前上",TRUE,"顶部"),
IFERROR(_xlpm.output,""))</f>
        <v>正后</v>
      </c>
      <c r="K673" s="12"/>
      <c r="L673" s="12" t="s">
        <v>63</v>
      </c>
      <c r="M673" s="12" t="s">
        <v>63</v>
      </c>
      <c r="N673" s="19" t="str">
        <f t="shared" si="381"/>
        <v>-20,5</v>
      </c>
      <c r="O673" s="24">
        <v>-20</v>
      </c>
      <c r="P673" s="24">
        <v>5</v>
      </c>
      <c r="Q673" s="19">
        <f t="shared" si="382"/>
        <v>2.6457999999999999</v>
      </c>
      <c r="R673" s="24">
        <v>2.6457999999999999</v>
      </c>
      <c r="S673" s="9">
        <v>5</v>
      </c>
      <c r="T673" s="19" t="str">
        <f t="shared" si="383"/>
        <v>1,1</v>
      </c>
      <c r="U673" s="24">
        <v>1</v>
      </c>
      <c r="V673" s="24">
        <v>1</v>
      </c>
      <c r="W673" s="9">
        <v>0</v>
      </c>
      <c r="X673" s="9">
        <v>11</v>
      </c>
      <c r="Y673" s="19" t="str">
        <f t="shared" si="384"/>
        <v>-1805,-1800</v>
      </c>
      <c r="Z673" s="42" t="s">
        <v>345</v>
      </c>
      <c r="AA673" s="19" t="str">
        <f t="shared" si="385"/>
        <v>80,120</v>
      </c>
      <c r="AB673" s="41"/>
      <c r="AC673" s="9">
        <v>-58.500997853499541</v>
      </c>
      <c r="AD673" s="9">
        <v>168</v>
      </c>
      <c r="AE673" s="16"/>
      <c r="AF673" s="16"/>
      <c r="AG673" s="16"/>
      <c r="AI673" s="69" cm="1">
        <f t="array" ref="AI673">tuple_avg(T673)/tuple_avg(AA673)</f>
        <v>0.01</v>
      </c>
      <c r="AK673" s="69">
        <f>AD673*AI673*'-配置辅助'!$I$10</f>
        <v>28</v>
      </c>
      <c r="AM673" s="69">
        <f>AK673*_xlfn.XLOOKUP(H673,monsters[怪物id],monsters[HP],-1)</f>
        <v>532</v>
      </c>
    </row>
    <row r="674" spans="1:39" x14ac:dyDescent="0.2">
      <c r="A674" s="9">
        <v>42080005</v>
      </c>
      <c r="B674" s="9" t="str" cm="1">
        <f t="array" ref="B674">D674&amp;_xlfn.TEXTJOIN("",1,TEXT(E674:G674,"00"))</f>
        <v>1000005</v>
      </c>
      <c r="C674" s="30" t="str">
        <f t="shared" si="379"/>
        <v>42080005,1000005</v>
      </c>
      <c r="D674" s="26">
        <v>1</v>
      </c>
      <c r="E674" s="26">
        <v>0</v>
      </c>
      <c r="F674" s="26">
        <f t="shared" si="380"/>
        <v>0</v>
      </c>
      <c r="G674" s="26">
        <v>5</v>
      </c>
      <c r="H674" s="9">
        <v>201801</v>
      </c>
      <c r="I674" s="15" t="str">
        <f>IFERROR(VLOOKUP(H674,monsters[#All],4,0),"")</f>
        <v>金鱼</v>
      </c>
      <c r="J674" s="15" t="str" cm="1">
        <f t="array" ref="J674">_xlfn.LET(_xlpm.v6p,ABS(ATAN2(O674,P674))*6/PI(),
_xlpm.output,_xlfn.IFS(_xlpm.v6p&lt;1,"正前",_xlpm.v6p&gt;5,"正后",AND(_xlpm.v6p&lt;5,_xlpm.v6p&gt;2,P674&lt;-1),"脚底",_xlpm.v6p&gt;4,"后上",_xlpm.v6p&lt;2,"前上",TRUE,"顶部"),
IFERROR(_xlpm.output,""))</f>
        <v>正后</v>
      </c>
      <c r="K674" s="12"/>
      <c r="L674" s="12" t="s">
        <v>63</v>
      </c>
      <c r="M674" s="12" t="s">
        <v>63</v>
      </c>
      <c r="N674" s="19" t="str">
        <f t="shared" si="381"/>
        <v>-20,5</v>
      </c>
      <c r="O674" s="24">
        <v>-20</v>
      </c>
      <c r="P674" s="24">
        <v>5</v>
      </c>
      <c r="Q674" s="19">
        <f t="shared" si="382"/>
        <v>2.6457999999999999</v>
      </c>
      <c r="R674" s="24">
        <v>2.6457999999999999</v>
      </c>
      <c r="S674" s="9">
        <v>5</v>
      </c>
      <c r="T674" s="19" t="str">
        <f t="shared" si="383"/>
        <v>1,1</v>
      </c>
      <c r="U674" s="24">
        <v>1</v>
      </c>
      <c r="V674" s="24">
        <v>1</v>
      </c>
      <c r="W674" s="9">
        <v>0</v>
      </c>
      <c r="X674" s="9">
        <v>11</v>
      </c>
      <c r="Y674" s="19" t="str">
        <f t="shared" si="384"/>
        <v>-2505,-2500</v>
      </c>
      <c r="Z674" s="42" t="s">
        <v>346</v>
      </c>
      <c r="AA674" s="19" t="str">
        <f t="shared" si="385"/>
        <v>80,120</v>
      </c>
      <c r="AB674" s="41"/>
      <c r="AC674" s="9">
        <v>-67.2</v>
      </c>
      <c r="AD674" s="9">
        <v>168</v>
      </c>
      <c r="AE674" s="16"/>
      <c r="AF674" s="16"/>
      <c r="AG674" s="16"/>
      <c r="AI674" s="69" cm="1">
        <f t="array" ref="AI674">tuple_avg(T674)/tuple_avg(AA674)</f>
        <v>0.01</v>
      </c>
      <c r="AK674" s="69">
        <f>AD674*AI674*'-配置辅助'!$I$10</f>
        <v>28</v>
      </c>
      <c r="AM674" s="69">
        <f>AK674*_xlfn.XLOOKUP(H674,monsters[怪物id],monsters[HP],-1)</f>
        <v>532</v>
      </c>
    </row>
    <row r="676" spans="1:39" x14ac:dyDescent="0.2">
      <c r="A676" s="9">
        <v>42080005</v>
      </c>
      <c r="B676" s="9" t="str" cm="1">
        <f t="array" ref="B676">D676&amp;_xlfn.TEXTJOIN("",1,TEXT(E676:G676,"00"))</f>
        <v>2000000</v>
      </c>
      <c r="C676" s="30" t="str">
        <f t="shared" ref="C676:C681" si="386">_xlfn.TEXTJOIN(",",1,A676:B676)</f>
        <v>42080005,2000000</v>
      </c>
      <c r="D676" s="26">
        <v>2</v>
      </c>
      <c r="E676" s="26">
        <v>0</v>
      </c>
      <c r="F676" s="26">
        <f t="shared" ref="F676:F681" si="387">W676</f>
        <v>0</v>
      </c>
      <c r="G676" s="26">
        <v>0</v>
      </c>
      <c r="H676" s="9">
        <v>201803</v>
      </c>
      <c r="I676" s="15" t="str">
        <f>IFERROR(VLOOKUP(H676,monsters[#All],4,0),"")</f>
        <v>海藻小妖</v>
      </c>
      <c r="J676" s="15" t="str" cm="1">
        <f t="array" ref="J676">_xlfn.LET(_xlpm.v6p,ABS(ATAN2(O676,P676))*6/PI(),
_xlpm.output,_xlfn.IFS(_xlpm.v6p&lt;1,"正前",_xlpm.v6p&gt;5,"正后",AND(_xlpm.v6p&lt;5,_xlpm.v6p&gt;2,P676&lt;-1),"脚底",_xlpm.v6p&gt;4,"后上",_xlpm.v6p&lt;2,"前上",TRUE,"顶部"),
IFERROR(_xlpm.output,""))</f>
        <v>正后</v>
      </c>
      <c r="K676" s="12"/>
      <c r="L676" s="12" t="s">
        <v>63</v>
      </c>
      <c r="M676" s="12" t="s">
        <v>63</v>
      </c>
      <c r="N676" s="19" t="str">
        <f t="shared" ref="N676:N681" si="388">O676+0&amp;","&amp;P676+0</f>
        <v>-20,5</v>
      </c>
      <c r="O676" s="24">
        <v>-20</v>
      </c>
      <c r="P676" s="24">
        <v>5</v>
      </c>
      <c r="Q676" s="19">
        <f t="shared" ref="Q676:Q681" si="389">_xlfn.LET(_xlpm._default,1,
_xlpm._custom,R676,
IF($A676&lt;&gt;"",IF(_xlpm._custom&lt;&gt;"",_xlpm._custom,_xlpm._default),""))</f>
        <v>1</v>
      </c>
      <c r="R676" s="24">
        <v>1</v>
      </c>
      <c r="S676" s="9">
        <v>8</v>
      </c>
      <c r="T676" s="19" t="str">
        <f t="shared" ref="T676:T681" si="390">IF(U676&lt;&gt;"", U676+0&amp;","&amp;V676+0,"")</f>
        <v>1,1</v>
      </c>
      <c r="U676" s="24">
        <v>1</v>
      </c>
      <c r="V676" s="24">
        <v>1</v>
      </c>
      <c r="W676" s="9">
        <v>0</v>
      </c>
      <c r="X676" s="9">
        <v>11</v>
      </c>
      <c r="Y676" s="19" t="str">
        <f t="shared" ref="Y676:Y695" si="391">IF($A676&lt;&gt;"",IF($Z676&lt;&gt;"",$Z676,"0,0"),"")</f>
        <v>0,0</v>
      </c>
      <c r="Z676" s="41"/>
      <c r="AA676" s="19" t="str">
        <f t="shared" ref="AA676:AA695" si="392">IF($A676&lt;&gt;"",IF($AB676&lt;&gt;"",$AB676,"80,120"),"")</f>
        <v>80,120</v>
      </c>
      <c r="AB676" s="41"/>
      <c r="AC676" s="9" cm="1">
        <f t="array" ref="AC676:AD681">_xlfn.LET(_xlpm._lvl,MOD($A676,10),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_xlpm._seq,G676:G681,
_xlfn.MAKEARRAY(ROWS(_xlpm._seq),2,_xlfn.LAMBDA(_xlpm.x,_xlpm.y,IF(_xlpm.y=1,-_xlpm._generate_rate/_xlpm._v_begin*(_xlpm._v_begin/_xlpm._v_max)^(INDEX(_xlpm._seq,_xlpm.x)/MAX(_xlpm._seq)),_xlpm._generate_rate))
))</f>
        <v>-33.6</v>
      </c>
      <c r="AD676" s="9">
        <v>168</v>
      </c>
      <c r="AE676" s="16"/>
      <c r="AF676" s="16"/>
      <c r="AG676" s="16"/>
      <c r="AI676" s="69" cm="1">
        <f t="array" ref="AI676">tuple_avg(T676)/tuple_avg(AA676)</f>
        <v>0.01</v>
      </c>
      <c r="AK676" s="69">
        <f>AD676*AI676*'-配置辅助'!$I$10</f>
        <v>28</v>
      </c>
      <c r="AM676" s="69">
        <f>AK676*_xlfn.XLOOKUP(H676,monsters[怪物id],monsters[HP],-1)</f>
        <v>672</v>
      </c>
    </row>
    <row r="677" spans="1:39" x14ac:dyDescent="0.2">
      <c r="A677" s="9">
        <v>42080005</v>
      </c>
      <c r="B677" s="9" t="str" cm="1">
        <f t="array" ref="B677">D677&amp;_xlfn.TEXTJOIN("",1,TEXT(E677:G677,"00"))</f>
        <v>2000001</v>
      </c>
      <c r="C677" s="30" t="str">
        <f t="shared" si="386"/>
        <v>42080005,2000001</v>
      </c>
      <c r="D677" s="26">
        <v>2</v>
      </c>
      <c r="E677" s="76">
        <v>0</v>
      </c>
      <c r="F677" s="26">
        <f t="shared" si="387"/>
        <v>0</v>
      </c>
      <c r="G677" s="26">
        <v>1</v>
      </c>
      <c r="H677" s="9">
        <v>201803</v>
      </c>
      <c r="I677" s="15" t="str">
        <f>IFERROR(VLOOKUP(H677,monsters[#All],4,0),"")</f>
        <v>海藻小妖</v>
      </c>
      <c r="J677" s="15" t="str" cm="1">
        <f t="array" ref="J677">_xlfn.LET(_xlpm.v6p,ABS(ATAN2(O677,P677))*6/PI(),
_xlpm.output,_xlfn.IFS(_xlpm.v6p&lt;1,"正前",_xlpm.v6p&gt;5,"正后",AND(_xlpm.v6p&lt;5,_xlpm.v6p&gt;2,P677&lt;-1),"脚底",_xlpm.v6p&gt;4,"后上",_xlpm.v6p&lt;2,"前上",TRUE,"顶部"),
IFERROR(_xlpm.output,""))</f>
        <v>正后</v>
      </c>
      <c r="K677" s="12"/>
      <c r="L677" s="12" t="s">
        <v>63</v>
      </c>
      <c r="M677" s="12" t="s">
        <v>63</v>
      </c>
      <c r="N677" s="19" t="str">
        <f t="shared" si="388"/>
        <v>-20,5</v>
      </c>
      <c r="O677" s="24">
        <v>-20</v>
      </c>
      <c r="P677" s="24">
        <v>5</v>
      </c>
      <c r="Q677" s="19">
        <f t="shared" si="389"/>
        <v>1.7321</v>
      </c>
      <c r="R677" s="24">
        <v>1.7321</v>
      </c>
      <c r="S677" s="9">
        <v>8</v>
      </c>
      <c r="T677" s="19" t="str">
        <f t="shared" si="390"/>
        <v>1,1</v>
      </c>
      <c r="U677" s="24">
        <v>1</v>
      </c>
      <c r="V677" s="24">
        <v>1</v>
      </c>
      <c r="W677" s="9">
        <v>0</v>
      </c>
      <c r="X677" s="9">
        <v>11</v>
      </c>
      <c r="Y677" s="19" t="str">
        <f t="shared" si="391"/>
        <v>-305,-300</v>
      </c>
      <c r="Z677" s="42" t="s">
        <v>269</v>
      </c>
      <c r="AA677" s="19" t="str">
        <f t="shared" si="392"/>
        <v>80,120</v>
      </c>
      <c r="AB677" s="41"/>
      <c r="AC677" s="9">
        <v>-38.596264727900383</v>
      </c>
      <c r="AD677" s="9">
        <v>168</v>
      </c>
      <c r="AE677" s="16"/>
      <c r="AF677" s="16"/>
      <c r="AG677" s="16"/>
      <c r="AI677" s="69" cm="1">
        <f t="array" ref="AI677">tuple_avg(T677)/tuple_avg(AA677)</f>
        <v>0.01</v>
      </c>
      <c r="AK677" s="69">
        <f>AD677*AI677*'-配置辅助'!$I$10</f>
        <v>28</v>
      </c>
      <c r="AM677" s="69">
        <f>AK677*_xlfn.XLOOKUP(H677,monsters[怪物id],monsters[HP],-1)</f>
        <v>672</v>
      </c>
    </row>
    <row r="678" spans="1:39" x14ac:dyDescent="0.2">
      <c r="A678" s="9">
        <v>42080005</v>
      </c>
      <c r="B678" s="9" t="str" cm="1">
        <f t="array" ref="B678">D678&amp;_xlfn.TEXTJOIN("",1,TEXT(E678:G678,"00"))</f>
        <v>2000002</v>
      </c>
      <c r="C678" s="30" t="str">
        <f t="shared" si="386"/>
        <v>42080005,2000002</v>
      </c>
      <c r="D678" s="26">
        <v>2</v>
      </c>
      <c r="E678" s="26">
        <v>0</v>
      </c>
      <c r="F678" s="26">
        <f t="shared" si="387"/>
        <v>0</v>
      </c>
      <c r="G678" s="26">
        <v>2</v>
      </c>
      <c r="H678" s="9">
        <v>201803</v>
      </c>
      <c r="I678" s="15" t="str">
        <f>IFERROR(VLOOKUP(H678,monsters[#All],4,0),"")</f>
        <v>海藻小妖</v>
      </c>
      <c r="J678" s="15" t="str" cm="1">
        <f t="array" ref="J678">_xlfn.LET(_xlpm.v6p,ABS(ATAN2(O678,P678))*6/PI(),
_xlpm.output,_xlfn.IFS(_xlpm.v6p&lt;1,"正前",_xlpm.v6p&gt;5,"正后",AND(_xlpm.v6p&lt;5,_xlpm.v6p&gt;2,P678&lt;-1),"脚底",_xlpm.v6p&gt;4,"后上",_xlpm.v6p&lt;2,"前上",TRUE,"顶部"),
IFERROR(_xlpm.output,""))</f>
        <v>正后</v>
      </c>
      <c r="K678" s="12"/>
      <c r="L678" s="12" t="s">
        <v>63</v>
      </c>
      <c r="M678" s="12" t="s">
        <v>63</v>
      </c>
      <c r="N678" s="19" t="str">
        <f t="shared" si="388"/>
        <v>-20,5</v>
      </c>
      <c r="O678" s="24">
        <v>-20</v>
      </c>
      <c r="P678" s="24">
        <v>5</v>
      </c>
      <c r="Q678" s="19">
        <f t="shared" si="389"/>
        <v>2.2361</v>
      </c>
      <c r="R678" s="24">
        <v>2.2361</v>
      </c>
      <c r="S678" s="9">
        <v>7</v>
      </c>
      <c r="T678" s="19" t="str">
        <f t="shared" si="390"/>
        <v>1,1</v>
      </c>
      <c r="U678" s="24">
        <v>1</v>
      </c>
      <c r="V678" s="24">
        <v>1</v>
      </c>
      <c r="W678" s="9">
        <v>0</v>
      </c>
      <c r="X678" s="9">
        <v>11</v>
      </c>
      <c r="Y678" s="19" t="str">
        <f t="shared" si="391"/>
        <v>-705,-700</v>
      </c>
      <c r="Z678" s="42" t="s">
        <v>134</v>
      </c>
      <c r="AA678" s="19" t="str">
        <f t="shared" si="392"/>
        <v>80,120</v>
      </c>
      <c r="AB678" s="41"/>
      <c r="AC678" s="9">
        <v>-44.335465801969249</v>
      </c>
      <c r="AD678" s="9">
        <v>168</v>
      </c>
      <c r="AE678" s="16"/>
      <c r="AF678" s="16"/>
      <c r="AG678" s="16"/>
      <c r="AI678" s="69" cm="1">
        <f t="array" ref="AI678">tuple_avg(T678)/tuple_avg(AA678)</f>
        <v>0.01</v>
      </c>
      <c r="AK678" s="69">
        <f>AD678*AI678*'-配置辅助'!$I$10</f>
        <v>28</v>
      </c>
      <c r="AM678" s="69">
        <f>AK678*_xlfn.XLOOKUP(H678,monsters[怪物id],monsters[HP],-1)</f>
        <v>672</v>
      </c>
    </row>
    <row r="679" spans="1:39" x14ac:dyDescent="0.2">
      <c r="A679" s="9">
        <v>42080005</v>
      </c>
      <c r="B679" s="9" t="str" cm="1">
        <f t="array" ref="B679">D679&amp;_xlfn.TEXTJOIN("",1,TEXT(E679:G679,"00"))</f>
        <v>2000003</v>
      </c>
      <c r="C679" s="30" t="str">
        <f t="shared" si="386"/>
        <v>42080005,2000003</v>
      </c>
      <c r="D679" s="26">
        <v>2</v>
      </c>
      <c r="E679" s="26">
        <v>0</v>
      </c>
      <c r="F679" s="26">
        <f t="shared" si="387"/>
        <v>0</v>
      </c>
      <c r="G679" s="26">
        <v>3</v>
      </c>
      <c r="H679" s="9">
        <v>201803</v>
      </c>
      <c r="I679" s="15" t="str">
        <f>IFERROR(VLOOKUP(H679,monsters[#All],4,0),"")</f>
        <v>海藻小妖</v>
      </c>
      <c r="J679" s="15" t="str" cm="1">
        <f t="array" ref="J679">_xlfn.LET(_xlpm.v6p,ABS(ATAN2(O679,P679))*6/PI(),
_xlpm.output,_xlfn.IFS(_xlpm.v6p&lt;1,"正前",_xlpm.v6p&gt;5,"正后",AND(_xlpm.v6p&lt;5,_xlpm.v6p&gt;2,P679&lt;-1),"脚底",_xlpm.v6p&gt;4,"后上",_xlpm.v6p&lt;2,"前上",TRUE,"顶部"),
IFERROR(_xlpm.output,""))</f>
        <v>正后</v>
      </c>
      <c r="K679" s="12"/>
      <c r="L679" s="12" t="s">
        <v>63</v>
      </c>
      <c r="M679" s="12" t="s">
        <v>63</v>
      </c>
      <c r="N679" s="19" t="str">
        <f t="shared" si="388"/>
        <v>-20,5</v>
      </c>
      <c r="O679" s="24">
        <v>-20</v>
      </c>
      <c r="P679" s="24">
        <v>5</v>
      </c>
      <c r="Q679" s="19">
        <f t="shared" si="389"/>
        <v>2.6457999999999999</v>
      </c>
      <c r="R679" s="24">
        <v>2.6457999999999999</v>
      </c>
      <c r="S679" s="9">
        <v>6</v>
      </c>
      <c r="T679" s="19" t="str">
        <f t="shared" si="390"/>
        <v>1,1</v>
      </c>
      <c r="U679" s="24">
        <v>1</v>
      </c>
      <c r="V679" s="24">
        <v>1</v>
      </c>
      <c r="W679" s="9">
        <v>0</v>
      </c>
      <c r="X679" s="9">
        <v>11</v>
      </c>
      <c r="Y679" s="19" t="str">
        <f t="shared" si="391"/>
        <v>-1205,-1200</v>
      </c>
      <c r="Z679" s="42" t="s">
        <v>344</v>
      </c>
      <c r="AA679" s="19" t="str">
        <f t="shared" si="392"/>
        <v>80,120</v>
      </c>
      <c r="AB679" s="41"/>
      <c r="AC679" s="9">
        <v>-50.928076634749374</v>
      </c>
      <c r="AD679" s="9">
        <v>168</v>
      </c>
      <c r="AE679" s="16"/>
      <c r="AF679" s="16"/>
      <c r="AG679" s="16"/>
      <c r="AI679" s="69" cm="1">
        <f t="array" ref="AI679">tuple_avg(T679)/tuple_avg(AA679)</f>
        <v>0.01</v>
      </c>
      <c r="AK679" s="69">
        <f>AD679*AI679*'-配置辅助'!$I$10</f>
        <v>28</v>
      </c>
      <c r="AM679" s="69">
        <f>AK679*_xlfn.XLOOKUP(H679,monsters[怪物id],monsters[HP],-1)</f>
        <v>672</v>
      </c>
    </row>
    <row r="680" spans="1:39" x14ac:dyDescent="0.2">
      <c r="A680" s="9">
        <v>42080005</v>
      </c>
      <c r="B680" s="9" t="str" cm="1">
        <f t="array" ref="B680">D680&amp;_xlfn.TEXTJOIN("",1,TEXT(E680:G680,"00"))</f>
        <v>2000004</v>
      </c>
      <c r="C680" s="30" t="str">
        <f t="shared" si="386"/>
        <v>42080005,2000004</v>
      </c>
      <c r="D680" s="26">
        <v>2</v>
      </c>
      <c r="E680" s="26">
        <v>0</v>
      </c>
      <c r="F680" s="26">
        <f t="shared" si="387"/>
        <v>0</v>
      </c>
      <c r="G680" s="26">
        <v>4</v>
      </c>
      <c r="H680" s="9">
        <v>201803</v>
      </c>
      <c r="I680" s="15" t="str">
        <f>IFERROR(VLOOKUP(H680,monsters[#All],4,0),"")</f>
        <v>海藻小妖</v>
      </c>
      <c r="J680" s="15" t="str" cm="1">
        <f t="array" ref="J680">_xlfn.LET(_xlpm.v6p,ABS(ATAN2(O680,P680))*6/PI(),
_xlpm.output,_xlfn.IFS(_xlpm.v6p&lt;1,"正前",_xlpm.v6p&gt;5,"正后",AND(_xlpm.v6p&lt;5,_xlpm.v6p&gt;2,P680&lt;-1),"脚底",_xlpm.v6p&gt;4,"后上",_xlpm.v6p&lt;2,"前上",TRUE,"顶部"),
IFERROR(_xlpm.output,""))</f>
        <v>正后</v>
      </c>
      <c r="K680" s="12"/>
      <c r="L680" s="12" t="s">
        <v>63</v>
      </c>
      <c r="M680" s="12" t="s">
        <v>63</v>
      </c>
      <c r="N680" s="19" t="str">
        <f t="shared" si="388"/>
        <v>-20,5</v>
      </c>
      <c r="O680" s="24">
        <v>-20</v>
      </c>
      <c r="P680" s="24">
        <v>5</v>
      </c>
      <c r="Q680" s="19">
        <f t="shared" si="389"/>
        <v>2.6457999999999999</v>
      </c>
      <c r="R680" s="24">
        <v>2.6457999999999999</v>
      </c>
      <c r="S680" s="9">
        <v>5</v>
      </c>
      <c r="T680" s="19" t="str">
        <f t="shared" si="390"/>
        <v>1,1</v>
      </c>
      <c r="U680" s="24">
        <v>1</v>
      </c>
      <c r="V680" s="24">
        <v>1</v>
      </c>
      <c r="W680" s="9">
        <v>0</v>
      </c>
      <c r="X680" s="9">
        <v>11</v>
      </c>
      <c r="Y680" s="19" t="str">
        <f t="shared" si="391"/>
        <v>-1805,-1800</v>
      </c>
      <c r="Z680" s="42" t="s">
        <v>345</v>
      </c>
      <c r="AA680" s="19" t="str">
        <f t="shared" si="392"/>
        <v>80,120</v>
      </c>
      <c r="AB680" s="41"/>
      <c r="AC680" s="9">
        <v>-58.500997853499541</v>
      </c>
      <c r="AD680" s="9">
        <v>168</v>
      </c>
      <c r="AE680" s="16"/>
      <c r="AF680" s="16"/>
      <c r="AG680" s="16"/>
      <c r="AI680" s="69" cm="1">
        <f t="array" ref="AI680">tuple_avg(T680)/tuple_avg(AA680)</f>
        <v>0.01</v>
      </c>
      <c r="AK680" s="69">
        <f>AD680*AI680*'-配置辅助'!$I$10</f>
        <v>28</v>
      </c>
      <c r="AM680" s="69">
        <f>AK680*_xlfn.XLOOKUP(H680,monsters[怪物id],monsters[HP],-1)</f>
        <v>672</v>
      </c>
    </row>
    <row r="681" spans="1:39" x14ac:dyDescent="0.2">
      <c r="A681" s="9">
        <v>42080005</v>
      </c>
      <c r="B681" s="9" t="str" cm="1">
        <f t="array" ref="B681">D681&amp;_xlfn.TEXTJOIN("",1,TEXT(E681:G681,"00"))</f>
        <v>2000005</v>
      </c>
      <c r="C681" s="30" t="str">
        <f t="shared" si="386"/>
        <v>42080005,2000005</v>
      </c>
      <c r="D681" s="26">
        <v>2</v>
      </c>
      <c r="E681" s="26">
        <v>0</v>
      </c>
      <c r="F681" s="26">
        <f t="shared" si="387"/>
        <v>0</v>
      </c>
      <c r="G681" s="26">
        <v>5</v>
      </c>
      <c r="H681" s="9">
        <v>201803</v>
      </c>
      <c r="I681" s="15" t="str">
        <f>IFERROR(VLOOKUP(H681,monsters[#All],4,0),"")</f>
        <v>海藻小妖</v>
      </c>
      <c r="J681" s="15" t="str" cm="1">
        <f t="array" ref="J681">_xlfn.LET(_xlpm.v6p,ABS(ATAN2(O681,P681))*6/PI(),
_xlpm.output,_xlfn.IFS(_xlpm.v6p&lt;1,"正前",_xlpm.v6p&gt;5,"正后",AND(_xlpm.v6p&lt;5,_xlpm.v6p&gt;2,P681&lt;-1),"脚底",_xlpm.v6p&gt;4,"后上",_xlpm.v6p&lt;2,"前上",TRUE,"顶部"),
IFERROR(_xlpm.output,""))</f>
        <v>正后</v>
      </c>
      <c r="K681" s="12"/>
      <c r="L681" s="12" t="s">
        <v>63</v>
      </c>
      <c r="M681" s="12" t="s">
        <v>63</v>
      </c>
      <c r="N681" s="19" t="str">
        <f t="shared" si="388"/>
        <v>-20,5</v>
      </c>
      <c r="O681" s="24">
        <v>-20</v>
      </c>
      <c r="P681" s="24">
        <v>5</v>
      </c>
      <c r="Q681" s="19">
        <f t="shared" si="389"/>
        <v>2.6457999999999999</v>
      </c>
      <c r="R681" s="24">
        <v>2.6457999999999999</v>
      </c>
      <c r="S681" s="9">
        <v>5</v>
      </c>
      <c r="T681" s="19" t="str">
        <f t="shared" si="390"/>
        <v>1,1</v>
      </c>
      <c r="U681" s="24">
        <v>1</v>
      </c>
      <c r="V681" s="24">
        <v>1</v>
      </c>
      <c r="W681" s="9">
        <v>0</v>
      </c>
      <c r="X681" s="9">
        <v>11</v>
      </c>
      <c r="Y681" s="19" t="str">
        <f t="shared" si="391"/>
        <v>-2505,-2500</v>
      </c>
      <c r="Z681" s="42" t="s">
        <v>346</v>
      </c>
      <c r="AA681" s="19" t="str">
        <f t="shared" si="392"/>
        <v>80,120</v>
      </c>
      <c r="AB681" s="41"/>
      <c r="AC681" s="9">
        <v>-67.2</v>
      </c>
      <c r="AD681" s="9">
        <v>168</v>
      </c>
      <c r="AE681" s="16"/>
      <c r="AF681" s="16"/>
      <c r="AG681" s="16"/>
      <c r="AI681" s="69" cm="1">
        <f t="array" ref="AI681">tuple_avg(T681)/tuple_avg(AA681)</f>
        <v>0.01</v>
      </c>
      <c r="AK681" s="69">
        <f>AD681*AI681*'-配置辅助'!$I$10</f>
        <v>28</v>
      </c>
      <c r="AM681" s="69">
        <f>AK681*_xlfn.XLOOKUP(H681,monsters[怪物id],monsters[HP],-1)</f>
        <v>672</v>
      </c>
    </row>
    <row r="683" spans="1:39" x14ac:dyDescent="0.2">
      <c r="A683" s="9">
        <v>42080005</v>
      </c>
      <c r="B683" s="9" t="str" cm="1">
        <f t="array" ref="B683">D683&amp;_xlfn.TEXTJOIN("",1,TEXT(E683:G683,"00"))</f>
        <v>3000000</v>
      </c>
      <c r="C683" s="30" t="str">
        <f t="shared" ref="C683:C688" si="393">_xlfn.TEXTJOIN(",",1,A683:B683)</f>
        <v>42080005,3000000</v>
      </c>
      <c r="D683" s="26">
        <v>3</v>
      </c>
      <c r="E683" s="26">
        <v>0</v>
      </c>
      <c r="F683" s="26">
        <f t="shared" ref="F683:F688" si="394">W683</f>
        <v>0</v>
      </c>
      <c r="G683" s="26">
        <v>0</v>
      </c>
      <c r="H683" s="9">
        <v>201814</v>
      </c>
      <c r="I683" s="15" t="str">
        <f>IFERROR(VLOOKUP(H683,monsters[#All],4,0),"")</f>
        <v>弱小螃蟹</v>
      </c>
      <c r="J683" s="15" t="str" cm="1">
        <f t="array" ref="J683">_xlfn.LET(_xlpm.v6p,ABS(ATAN2(O683,P683))*6/PI(),
_xlpm.output,_xlfn.IFS(_xlpm.v6p&lt;1,"正前",_xlpm.v6p&gt;5,"正后",AND(_xlpm.v6p&lt;5,_xlpm.v6p&gt;2,P683&lt;-1),"脚底",_xlpm.v6p&gt;4,"后上",_xlpm.v6p&lt;2,"前上",TRUE,"顶部"),
IFERROR(_xlpm.output,""))</f>
        <v>正后</v>
      </c>
      <c r="K683" s="12"/>
      <c r="L683" s="12" t="s">
        <v>63</v>
      </c>
      <c r="M683" s="12" t="s">
        <v>63</v>
      </c>
      <c r="N683" s="19" t="str">
        <f t="shared" ref="N683:N688" si="395">O683+0&amp;","&amp;P683+0</f>
        <v>-20,5</v>
      </c>
      <c r="O683" s="24">
        <v>-20</v>
      </c>
      <c r="P683" s="24">
        <v>5</v>
      </c>
      <c r="Q683" s="19">
        <f t="shared" ref="Q683:Q688" si="396">_xlfn.LET(_xlpm._default,1,
_xlpm._custom,R683,
IF($A683&lt;&gt;"",IF(_xlpm._custom&lt;&gt;"",_xlpm._custom,_xlpm._default),""))</f>
        <v>1</v>
      </c>
      <c r="R683" s="24">
        <v>1</v>
      </c>
      <c r="S683" s="9">
        <v>8</v>
      </c>
      <c r="T683" s="19" t="str">
        <f t="shared" ref="T683:T688" si="397">IF(U683&lt;&gt;"", U683+0&amp;","&amp;V683+0,"")</f>
        <v>1,1</v>
      </c>
      <c r="U683" s="24">
        <v>1</v>
      </c>
      <c r="V683" s="24">
        <v>1</v>
      </c>
      <c r="W683" s="9">
        <v>0</v>
      </c>
      <c r="X683" s="9">
        <v>11</v>
      </c>
      <c r="Y683" s="19" t="str">
        <f t="shared" ref="Y683:Y695" si="398">IF($A683&lt;&gt;"",IF($Z683&lt;&gt;"",$Z683,"0,0"),"")</f>
        <v>0,0</v>
      </c>
      <c r="Z683" s="41"/>
      <c r="AA683" s="19" t="str">
        <f t="shared" ref="AA683:AA695" si="399">IF($A683&lt;&gt;"",IF($AB683&lt;&gt;"",$AB683,"80,120"),"")</f>
        <v>80,120</v>
      </c>
      <c r="AB683" s="41"/>
      <c r="AC683" s="9" cm="1">
        <f t="array" ref="AC683:AD688">_xlfn.LET(_xlpm._lvl,MOD($A683,10),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_xlpm._seq,G683:G688,
_xlfn.MAKEARRAY(ROWS(_xlpm._seq),2,_xlfn.LAMBDA(_xlpm.x,_xlpm.y,IF(_xlpm.y=1,-_xlpm._generate_rate/_xlpm._v_begin*(_xlpm._v_begin/_xlpm._v_max)^(INDEX(_xlpm._seq,_xlpm.x)/MAX(_xlpm._seq)),_xlpm._generate_rate))
))</f>
        <v>-33.6</v>
      </c>
      <c r="AD683" s="9">
        <v>168</v>
      </c>
      <c r="AE683" s="16"/>
      <c r="AF683" s="16"/>
      <c r="AG683" s="16"/>
      <c r="AI683" s="69" cm="1">
        <f t="array" ref="AI683">tuple_avg(T683)/tuple_avg(AA683)</f>
        <v>0.01</v>
      </c>
      <c r="AK683" s="69">
        <f>AD683*AI683*'-配置辅助'!$I$10</f>
        <v>28</v>
      </c>
      <c r="AM683" s="69">
        <f>AK683*_xlfn.XLOOKUP(H683,monsters[怪物id],monsters[HP],-1)</f>
        <v>756</v>
      </c>
    </row>
    <row r="684" spans="1:39" x14ac:dyDescent="0.2">
      <c r="A684" s="9">
        <v>42080005</v>
      </c>
      <c r="B684" s="9" t="str" cm="1">
        <f t="array" ref="B684">D684&amp;_xlfn.TEXTJOIN("",1,TEXT(E684:G684,"00"))</f>
        <v>3000001</v>
      </c>
      <c r="C684" s="30" t="str">
        <f t="shared" si="393"/>
        <v>42080005,3000001</v>
      </c>
      <c r="D684" s="26">
        <v>3</v>
      </c>
      <c r="E684" s="76">
        <v>0</v>
      </c>
      <c r="F684" s="26">
        <f t="shared" si="394"/>
        <v>0</v>
      </c>
      <c r="G684" s="26">
        <v>1</v>
      </c>
      <c r="H684" s="9">
        <v>201814</v>
      </c>
      <c r="I684" s="15" t="str">
        <f>IFERROR(VLOOKUP(H684,monsters[#All],4,0),"")</f>
        <v>弱小螃蟹</v>
      </c>
      <c r="J684" s="15" t="str" cm="1">
        <f t="array" ref="J684">_xlfn.LET(_xlpm.v6p,ABS(ATAN2(O684,P684))*6/PI(),
_xlpm.output,_xlfn.IFS(_xlpm.v6p&lt;1,"正前",_xlpm.v6p&gt;5,"正后",AND(_xlpm.v6p&lt;5,_xlpm.v6p&gt;2,P684&lt;-1),"脚底",_xlpm.v6p&gt;4,"后上",_xlpm.v6p&lt;2,"前上",TRUE,"顶部"),
IFERROR(_xlpm.output,""))</f>
        <v>正后</v>
      </c>
      <c r="K684" s="12"/>
      <c r="L684" s="12" t="s">
        <v>63</v>
      </c>
      <c r="M684" s="12" t="s">
        <v>63</v>
      </c>
      <c r="N684" s="19" t="str">
        <f t="shared" si="395"/>
        <v>-20,5</v>
      </c>
      <c r="O684" s="24">
        <v>-20</v>
      </c>
      <c r="P684" s="24">
        <v>5</v>
      </c>
      <c r="Q684" s="19">
        <f t="shared" si="396"/>
        <v>1.7321</v>
      </c>
      <c r="R684" s="24">
        <v>1.7321</v>
      </c>
      <c r="S684" s="9">
        <v>8</v>
      </c>
      <c r="T684" s="19" t="str">
        <f t="shared" si="397"/>
        <v>1,1</v>
      </c>
      <c r="U684" s="24">
        <v>1</v>
      </c>
      <c r="V684" s="24">
        <v>1</v>
      </c>
      <c r="W684" s="9">
        <v>0</v>
      </c>
      <c r="X684" s="9">
        <v>11</v>
      </c>
      <c r="Y684" s="19" t="str">
        <f t="shared" si="398"/>
        <v>-305,-300</v>
      </c>
      <c r="Z684" s="42" t="s">
        <v>269</v>
      </c>
      <c r="AA684" s="19" t="str">
        <f t="shared" si="399"/>
        <v>80,120</v>
      </c>
      <c r="AB684" s="41"/>
      <c r="AC684" s="9">
        <v>-38.596264727900383</v>
      </c>
      <c r="AD684" s="9">
        <v>168</v>
      </c>
      <c r="AE684" s="16"/>
      <c r="AF684" s="16"/>
      <c r="AG684" s="16"/>
      <c r="AI684" s="69" cm="1">
        <f t="array" ref="AI684">tuple_avg(T684)/tuple_avg(AA684)</f>
        <v>0.01</v>
      </c>
      <c r="AK684" s="69">
        <f>AD684*AI684*'-配置辅助'!$I$10</f>
        <v>28</v>
      </c>
      <c r="AM684" s="69">
        <f>AK684*_xlfn.XLOOKUP(H684,monsters[怪物id],monsters[HP],-1)</f>
        <v>756</v>
      </c>
    </row>
    <row r="685" spans="1:39" x14ac:dyDescent="0.2">
      <c r="A685" s="9">
        <v>42080005</v>
      </c>
      <c r="B685" s="9" t="str" cm="1">
        <f t="array" ref="B685">D685&amp;_xlfn.TEXTJOIN("",1,TEXT(E685:G685,"00"))</f>
        <v>3000002</v>
      </c>
      <c r="C685" s="30" t="str">
        <f t="shared" si="393"/>
        <v>42080005,3000002</v>
      </c>
      <c r="D685" s="26">
        <v>3</v>
      </c>
      <c r="E685" s="26">
        <v>0</v>
      </c>
      <c r="F685" s="26">
        <f t="shared" si="394"/>
        <v>0</v>
      </c>
      <c r="G685" s="26">
        <v>2</v>
      </c>
      <c r="H685" s="9">
        <v>201814</v>
      </c>
      <c r="I685" s="15" t="str">
        <f>IFERROR(VLOOKUP(H685,monsters[#All],4,0),"")</f>
        <v>弱小螃蟹</v>
      </c>
      <c r="J685" s="15" t="str" cm="1">
        <f t="array" ref="J685">_xlfn.LET(_xlpm.v6p,ABS(ATAN2(O685,P685))*6/PI(),
_xlpm.output,_xlfn.IFS(_xlpm.v6p&lt;1,"正前",_xlpm.v6p&gt;5,"正后",AND(_xlpm.v6p&lt;5,_xlpm.v6p&gt;2,P685&lt;-1),"脚底",_xlpm.v6p&gt;4,"后上",_xlpm.v6p&lt;2,"前上",TRUE,"顶部"),
IFERROR(_xlpm.output,""))</f>
        <v>正后</v>
      </c>
      <c r="K685" s="12"/>
      <c r="L685" s="12" t="s">
        <v>63</v>
      </c>
      <c r="M685" s="12" t="s">
        <v>63</v>
      </c>
      <c r="N685" s="19" t="str">
        <f t="shared" si="395"/>
        <v>-20,5</v>
      </c>
      <c r="O685" s="24">
        <v>-20</v>
      </c>
      <c r="P685" s="24">
        <v>5</v>
      </c>
      <c r="Q685" s="19">
        <f t="shared" si="396"/>
        <v>2.2361</v>
      </c>
      <c r="R685" s="24">
        <v>2.2361</v>
      </c>
      <c r="S685" s="9">
        <v>7</v>
      </c>
      <c r="T685" s="19" t="str">
        <f t="shared" si="397"/>
        <v>1,1</v>
      </c>
      <c r="U685" s="24">
        <v>1</v>
      </c>
      <c r="V685" s="24">
        <v>1</v>
      </c>
      <c r="W685" s="9">
        <v>0</v>
      </c>
      <c r="X685" s="9">
        <v>11</v>
      </c>
      <c r="Y685" s="19" t="str">
        <f t="shared" si="398"/>
        <v>-705,-700</v>
      </c>
      <c r="Z685" s="42" t="s">
        <v>134</v>
      </c>
      <c r="AA685" s="19" t="str">
        <f t="shared" si="399"/>
        <v>80,120</v>
      </c>
      <c r="AB685" s="41"/>
      <c r="AC685" s="9">
        <v>-44.335465801969249</v>
      </c>
      <c r="AD685" s="9">
        <v>168</v>
      </c>
      <c r="AE685" s="16"/>
      <c r="AF685" s="16"/>
      <c r="AG685" s="16"/>
      <c r="AI685" s="69" cm="1">
        <f t="array" ref="AI685">tuple_avg(T685)/tuple_avg(AA685)</f>
        <v>0.01</v>
      </c>
      <c r="AK685" s="69">
        <f>AD685*AI685*'-配置辅助'!$I$10</f>
        <v>28</v>
      </c>
      <c r="AM685" s="69">
        <f>AK685*_xlfn.XLOOKUP(H685,monsters[怪物id],monsters[HP],-1)</f>
        <v>756</v>
      </c>
    </row>
    <row r="686" spans="1:39" x14ac:dyDescent="0.2">
      <c r="A686" s="9">
        <v>42080005</v>
      </c>
      <c r="B686" s="9" t="str" cm="1">
        <f t="array" ref="B686">D686&amp;_xlfn.TEXTJOIN("",1,TEXT(E686:G686,"00"))</f>
        <v>3000003</v>
      </c>
      <c r="C686" s="30" t="str">
        <f t="shared" si="393"/>
        <v>42080005,3000003</v>
      </c>
      <c r="D686" s="26">
        <v>3</v>
      </c>
      <c r="E686" s="26">
        <v>0</v>
      </c>
      <c r="F686" s="26">
        <f t="shared" si="394"/>
        <v>0</v>
      </c>
      <c r="G686" s="26">
        <v>3</v>
      </c>
      <c r="H686" s="9">
        <v>201814</v>
      </c>
      <c r="I686" s="15" t="str">
        <f>IFERROR(VLOOKUP(H686,monsters[#All],4,0),"")</f>
        <v>弱小螃蟹</v>
      </c>
      <c r="J686" s="15" t="str" cm="1">
        <f t="array" ref="J686">_xlfn.LET(_xlpm.v6p,ABS(ATAN2(O686,P686))*6/PI(),
_xlpm.output,_xlfn.IFS(_xlpm.v6p&lt;1,"正前",_xlpm.v6p&gt;5,"正后",AND(_xlpm.v6p&lt;5,_xlpm.v6p&gt;2,P686&lt;-1),"脚底",_xlpm.v6p&gt;4,"后上",_xlpm.v6p&lt;2,"前上",TRUE,"顶部"),
IFERROR(_xlpm.output,""))</f>
        <v>正后</v>
      </c>
      <c r="K686" s="12"/>
      <c r="L686" s="12" t="s">
        <v>63</v>
      </c>
      <c r="M686" s="12" t="s">
        <v>63</v>
      </c>
      <c r="N686" s="19" t="str">
        <f t="shared" si="395"/>
        <v>-20,5</v>
      </c>
      <c r="O686" s="24">
        <v>-20</v>
      </c>
      <c r="P686" s="24">
        <v>5</v>
      </c>
      <c r="Q686" s="19">
        <f t="shared" si="396"/>
        <v>2.6457999999999999</v>
      </c>
      <c r="R686" s="24">
        <v>2.6457999999999999</v>
      </c>
      <c r="S686" s="9">
        <v>6</v>
      </c>
      <c r="T686" s="19" t="str">
        <f t="shared" si="397"/>
        <v>1,1</v>
      </c>
      <c r="U686" s="24">
        <v>1</v>
      </c>
      <c r="V686" s="24">
        <v>1</v>
      </c>
      <c r="W686" s="9">
        <v>0</v>
      </c>
      <c r="X686" s="9">
        <v>11</v>
      </c>
      <c r="Y686" s="19" t="str">
        <f t="shared" si="398"/>
        <v>-1205,-1200</v>
      </c>
      <c r="Z686" s="42" t="s">
        <v>344</v>
      </c>
      <c r="AA686" s="19" t="str">
        <f t="shared" si="399"/>
        <v>80,120</v>
      </c>
      <c r="AB686" s="41"/>
      <c r="AC686" s="9">
        <v>-50.928076634749374</v>
      </c>
      <c r="AD686" s="9">
        <v>168</v>
      </c>
      <c r="AE686" s="16"/>
      <c r="AF686" s="16"/>
      <c r="AG686" s="16"/>
      <c r="AI686" s="69" cm="1">
        <f t="array" ref="AI686">tuple_avg(T686)/tuple_avg(AA686)</f>
        <v>0.01</v>
      </c>
      <c r="AK686" s="69">
        <f>AD686*AI686*'-配置辅助'!$I$10</f>
        <v>28</v>
      </c>
      <c r="AM686" s="69">
        <f>AK686*_xlfn.XLOOKUP(H686,monsters[怪物id],monsters[HP],-1)</f>
        <v>756</v>
      </c>
    </row>
    <row r="687" spans="1:39" x14ac:dyDescent="0.2">
      <c r="A687" s="9">
        <v>42080005</v>
      </c>
      <c r="B687" s="9" t="str" cm="1">
        <f t="array" ref="B687">D687&amp;_xlfn.TEXTJOIN("",1,TEXT(E687:G687,"00"))</f>
        <v>3000004</v>
      </c>
      <c r="C687" s="30" t="str">
        <f t="shared" si="393"/>
        <v>42080005,3000004</v>
      </c>
      <c r="D687" s="26">
        <v>3</v>
      </c>
      <c r="E687" s="26">
        <v>0</v>
      </c>
      <c r="F687" s="26">
        <f t="shared" si="394"/>
        <v>0</v>
      </c>
      <c r="G687" s="26">
        <v>4</v>
      </c>
      <c r="H687" s="9">
        <v>201814</v>
      </c>
      <c r="I687" s="15" t="str">
        <f>IFERROR(VLOOKUP(H687,monsters[#All],4,0),"")</f>
        <v>弱小螃蟹</v>
      </c>
      <c r="J687" s="15" t="str" cm="1">
        <f t="array" ref="J687">_xlfn.LET(_xlpm.v6p,ABS(ATAN2(O687,P687))*6/PI(),
_xlpm.output,_xlfn.IFS(_xlpm.v6p&lt;1,"正前",_xlpm.v6p&gt;5,"正后",AND(_xlpm.v6p&lt;5,_xlpm.v6p&gt;2,P687&lt;-1),"脚底",_xlpm.v6p&gt;4,"后上",_xlpm.v6p&lt;2,"前上",TRUE,"顶部"),
IFERROR(_xlpm.output,""))</f>
        <v>正后</v>
      </c>
      <c r="K687" s="12"/>
      <c r="L687" s="12" t="s">
        <v>63</v>
      </c>
      <c r="M687" s="12" t="s">
        <v>63</v>
      </c>
      <c r="N687" s="19" t="str">
        <f t="shared" si="395"/>
        <v>-20,5</v>
      </c>
      <c r="O687" s="24">
        <v>-20</v>
      </c>
      <c r="P687" s="24">
        <v>5</v>
      </c>
      <c r="Q687" s="19">
        <f t="shared" si="396"/>
        <v>2.6457999999999999</v>
      </c>
      <c r="R687" s="24">
        <v>2.6457999999999999</v>
      </c>
      <c r="S687" s="9">
        <v>5</v>
      </c>
      <c r="T687" s="19" t="str">
        <f t="shared" si="397"/>
        <v>1,1</v>
      </c>
      <c r="U687" s="24">
        <v>1</v>
      </c>
      <c r="V687" s="24">
        <v>1</v>
      </c>
      <c r="W687" s="9">
        <v>0</v>
      </c>
      <c r="X687" s="9">
        <v>11</v>
      </c>
      <c r="Y687" s="19" t="str">
        <f t="shared" si="398"/>
        <v>-1805,-1800</v>
      </c>
      <c r="Z687" s="42" t="s">
        <v>345</v>
      </c>
      <c r="AA687" s="19" t="str">
        <f t="shared" si="399"/>
        <v>80,120</v>
      </c>
      <c r="AB687" s="41"/>
      <c r="AC687" s="9">
        <v>-58.500997853499541</v>
      </c>
      <c r="AD687" s="9">
        <v>168</v>
      </c>
      <c r="AE687" s="16"/>
      <c r="AF687" s="16"/>
      <c r="AG687" s="16"/>
      <c r="AI687" s="69" cm="1">
        <f t="array" ref="AI687">tuple_avg(T687)/tuple_avg(AA687)</f>
        <v>0.01</v>
      </c>
      <c r="AK687" s="69">
        <f>AD687*AI687*'-配置辅助'!$I$10</f>
        <v>28</v>
      </c>
      <c r="AM687" s="69">
        <f>AK687*_xlfn.XLOOKUP(H687,monsters[怪物id],monsters[HP],-1)</f>
        <v>756</v>
      </c>
    </row>
    <row r="688" spans="1:39" x14ac:dyDescent="0.2">
      <c r="A688" s="9">
        <v>42080005</v>
      </c>
      <c r="B688" s="9" t="str" cm="1">
        <f t="array" ref="B688">D688&amp;_xlfn.TEXTJOIN("",1,TEXT(E688:G688,"00"))</f>
        <v>3000005</v>
      </c>
      <c r="C688" s="30" t="str">
        <f t="shared" si="393"/>
        <v>42080005,3000005</v>
      </c>
      <c r="D688" s="26">
        <v>3</v>
      </c>
      <c r="E688" s="26">
        <v>0</v>
      </c>
      <c r="F688" s="26">
        <f t="shared" si="394"/>
        <v>0</v>
      </c>
      <c r="G688" s="26">
        <v>5</v>
      </c>
      <c r="H688" s="9">
        <v>201814</v>
      </c>
      <c r="I688" s="15" t="str">
        <f>IFERROR(VLOOKUP(H688,monsters[#All],4,0),"")</f>
        <v>弱小螃蟹</v>
      </c>
      <c r="J688" s="15" t="str" cm="1">
        <f t="array" ref="J688">_xlfn.LET(_xlpm.v6p,ABS(ATAN2(O688,P688))*6/PI(),
_xlpm.output,_xlfn.IFS(_xlpm.v6p&lt;1,"正前",_xlpm.v6p&gt;5,"正后",AND(_xlpm.v6p&lt;5,_xlpm.v6p&gt;2,P688&lt;-1),"脚底",_xlpm.v6p&gt;4,"后上",_xlpm.v6p&lt;2,"前上",TRUE,"顶部"),
IFERROR(_xlpm.output,""))</f>
        <v>正后</v>
      </c>
      <c r="K688" s="12"/>
      <c r="L688" s="12" t="s">
        <v>63</v>
      </c>
      <c r="M688" s="12" t="s">
        <v>63</v>
      </c>
      <c r="N688" s="19" t="str">
        <f t="shared" si="395"/>
        <v>-20,5</v>
      </c>
      <c r="O688" s="24">
        <v>-20</v>
      </c>
      <c r="P688" s="24">
        <v>5</v>
      </c>
      <c r="Q688" s="19">
        <f t="shared" si="396"/>
        <v>2.6457999999999999</v>
      </c>
      <c r="R688" s="24">
        <v>2.6457999999999999</v>
      </c>
      <c r="S688" s="9">
        <v>5</v>
      </c>
      <c r="T688" s="19" t="str">
        <f t="shared" si="397"/>
        <v>1,1</v>
      </c>
      <c r="U688" s="24">
        <v>1</v>
      </c>
      <c r="V688" s="24">
        <v>1</v>
      </c>
      <c r="W688" s="9">
        <v>0</v>
      </c>
      <c r="X688" s="9">
        <v>11</v>
      </c>
      <c r="Y688" s="19" t="str">
        <f t="shared" si="398"/>
        <v>-2505,-2500</v>
      </c>
      <c r="Z688" s="42" t="s">
        <v>346</v>
      </c>
      <c r="AA688" s="19" t="str">
        <f t="shared" si="399"/>
        <v>80,120</v>
      </c>
      <c r="AB688" s="41"/>
      <c r="AC688" s="9">
        <v>-67.2</v>
      </c>
      <c r="AD688" s="9">
        <v>168</v>
      </c>
      <c r="AE688" s="16"/>
      <c r="AF688" s="16"/>
      <c r="AG688" s="16"/>
      <c r="AI688" s="69" cm="1">
        <f t="array" ref="AI688">tuple_avg(T688)/tuple_avg(AA688)</f>
        <v>0.01</v>
      </c>
      <c r="AK688" s="69">
        <f>AD688*AI688*'-配置辅助'!$I$10</f>
        <v>28</v>
      </c>
      <c r="AM688" s="69">
        <f>AK688*_xlfn.XLOOKUP(H688,monsters[怪物id],monsters[HP],-1)</f>
        <v>756</v>
      </c>
    </row>
    <row r="690" spans="1:41" x14ac:dyDescent="0.2">
      <c r="A690" s="9">
        <v>42080005</v>
      </c>
      <c r="B690" s="9" t="str" cm="1">
        <f t="array" ref="B690">D690&amp;_xlfn.TEXTJOIN("",1,TEXT(E690:G690,"00"))</f>
        <v>4000000</v>
      </c>
      <c r="C690" s="30" t="str">
        <f t="shared" ref="C690:C695" si="400">_xlfn.TEXTJOIN(",",1,A690:B690)</f>
        <v>42080005,4000000</v>
      </c>
      <c r="D690" s="26">
        <v>4</v>
      </c>
      <c r="E690" s="26">
        <v>0</v>
      </c>
      <c r="F690" s="26">
        <f t="shared" ref="F690:F695" si="401">W690</f>
        <v>0</v>
      </c>
      <c r="G690" s="26">
        <v>0</v>
      </c>
      <c r="H690" s="9">
        <v>201818</v>
      </c>
      <c r="I690" s="15" t="str">
        <f>IFERROR(VLOOKUP(H690,monsters[#All],4,0),"")</f>
        <v>聒噪海贝</v>
      </c>
      <c r="J690" s="15" t="str" cm="1">
        <f t="array" ref="J690">_xlfn.LET(_xlpm.v6p,ABS(ATAN2(O690,P690))*6/PI(),
_xlpm.output,_xlfn.IFS(_xlpm.v6p&lt;1,"正前",_xlpm.v6p&gt;5,"正后",AND(_xlpm.v6p&lt;5,_xlpm.v6p&gt;2,P690&lt;-1),"脚底",_xlpm.v6p&gt;4,"后上",_xlpm.v6p&lt;2,"前上",TRUE,"顶部"),
IFERROR(_xlpm.output,""))</f>
        <v>正后</v>
      </c>
      <c r="K690" s="12"/>
      <c r="L690" s="12" t="s">
        <v>63</v>
      </c>
      <c r="M690" s="12" t="s">
        <v>63</v>
      </c>
      <c r="N690" s="19" t="str">
        <f t="shared" ref="N690:N695" si="402">O690+0&amp;","&amp;P690+0</f>
        <v>-20,5</v>
      </c>
      <c r="O690" s="24">
        <v>-20</v>
      </c>
      <c r="P690" s="24">
        <v>5</v>
      </c>
      <c r="Q690" s="19">
        <f t="shared" ref="Q690:Q695" si="403">_xlfn.LET(_xlpm._default,1,
_xlpm._custom,R690,
IF($A690&lt;&gt;"",IF(_xlpm._custom&lt;&gt;"",_xlpm._custom,_xlpm._default),""))</f>
        <v>1</v>
      </c>
      <c r="R690" s="24">
        <v>1</v>
      </c>
      <c r="S690" s="9">
        <v>8</v>
      </c>
      <c r="T690" s="19" t="str">
        <f t="shared" ref="T690:T695" si="404">IF(U690&lt;&gt;"", U690+0&amp;","&amp;V690+0,"")</f>
        <v>1,1</v>
      </c>
      <c r="U690" s="24">
        <v>1</v>
      </c>
      <c r="V690" s="24">
        <v>1</v>
      </c>
      <c r="W690" s="9">
        <v>0</v>
      </c>
      <c r="X690" s="9">
        <v>11</v>
      </c>
      <c r="Y690" s="19" t="str">
        <f t="shared" ref="Y690:Y695" si="405">IF($A690&lt;&gt;"",IF($Z690&lt;&gt;"",$Z690,"0,0"),"")</f>
        <v>0,0</v>
      </c>
      <c r="Z690" s="41"/>
      <c r="AA690" s="19" t="str">
        <f t="shared" ref="AA690:AA695" si="406">IF($A690&lt;&gt;"",IF($AB690&lt;&gt;"",$AB690,"80,120"),"")</f>
        <v>80,120</v>
      </c>
      <c r="AB690" s="41"/>
      <c r="AC690" s="9" cm="1">
        <f t="array" ref="AC690:AD695">_xlfn.LET(_xlpm._lvl,MOD($A690,10),
_xlpm._v_begin,_xlfn.XLOOKUP(_xlpm._lvl,Tb_Purchasing[追兵等级],Tb_Purchasing[临界速度]),
_xlpm._v_max,_xlfn.XLOOKUP(_xlpm._lvl,Tb_Purchasing[追兵等级],Tb_Purchasing[最大值速度]),
_xlpm._generate_rate,_xlfn.XLOOKUP(_xlpm._lvl,Tb_Purchasing[追兵等级],Tb_Purchasing[生成速率]*120),
_xlpm._seq,G690:G695,
_xlfn.MAKEARRAY(ROWS(_xlpm._seq),2,_xlfn.LAMBDA(_xlpm.x,_xlpm.y,IF(_xlpm.y=1,-_xlpm._generate_rate/_xlpm._v_begin*(_xlpm._v_begin/_xlpm._v_max)^(INDEX(_xlpm._seq,_xlpm.x)/MAX(_xlpm._seq)),_xlpm._generate_rate))
))</f>
        <v>-33.6</v>
      </c>
      <c r="AD690" s="9">
        <v>168</v>
      </c>
      <c r="AE690" s="16"/>
      <c r="AF690" s="16"/>
      <c r="AG690" s="16"/>
      <c r="AI690" s="69" cm="1">
        <f t="array" ref="AI690">tuple_avg(T690)/tuple_avg(AA690)</f>
        <v>0.01</v>
      </c>
      <c r="AK690" s="69">
        <f>AD690*AI690*'-配置辅助'!$I$10</f>
        <v>28</v>
      </c>
      <c r="AM690" s="69">
        <f>AK690*_xlfn.XLOOKUP(H690,monsters[怪物id],monsters[HP],-1)</f>
        <v>868</v>
      </c>
    </row>
    <row r="691" spans="1:41" x14ac:dyDescent="0.2">
      <c r="A691" s="9">
        <v>42080005</v>
      </c>
      <c r="B691" s="9" t="str" cm="1">
        <f t="array" ref="B691">D691&amp;_xlfn.TEXTJOIN("",1,TEXT(E691:G691,"00"))</f>
        <v>4000001</v>
      </c>
      <c r="C691" s="30" t="str">
        <f t="shared" si="400"/>
        <v>42080005,4000001</v>
      </c>
      <c r="D691" s="26">
        <v>4</v>
      </c>
      <c r="E691" s="76">
        <v>0</v>
      </c>
      <c r="F691" s="26">
        <f t="shared" si="401"/>
        <v>0</v>
      </c>
      <c r="G691" s="26">
        <v>1</v>
      </c>
      <c r="H691" s="9">
        <v>201818</v>
      </c>
      <c r="I691" s="15" t="str">
        <f>IFERROR(VLOOKUP(H691,monsters[#All],4,0),"")</f>
        <v>聒噪海贝</v>
      </c>
      <c r="J691" s="15" t="str" cm="1">
        <f t="array" ref="J691">_xlfn.LET(_xlpm.v6p,ABS(ATAN2(O691,P691))*6/PI(),
_xlpm.output,_xlfn.IFS(_xlpm.v6p&lt;1,"正前",_xlpm.v6p&gt;5,"正后",AND(_xlpm.v6p&lt;5,_xlpm.v6p&gt;2,P691&lt;-1),"脚底",_xlpm.v6p&gt;4,"后上",_xlpm.v6p&lt;2,"前上",TRUE,"顶部"),
IFERROR(_xlpm.output,""))</f>
        <v>正后</v>
      </c>
      <c r="K691" s="12"/>
      <c r="L691" s="12" t="s">
        <v>63</v>
      </c>
      <c r="M691" s="12" t="s">
        <v>63</v>
      </c>
      <c r="N691" s="19" t="str">
        <f t="shared" si="402"/>
        <v>-20,5</v>
      </c>
      <c r="O691" s="24">
        <v>-20</v>
      </c>
      <c r="P691" s="24">
        <v>5</v>
      </c>
      <c r="Q691" s="19">
        <f t="shared" si="403"/>
        <v>1.7321</v>
      </c>
      <c r="R691" s="24">
        <v>1.7321</v>
      </c>
      <c r="S691" s="9">
        <v>8</v>
      </c>
      <c r="T691" s="19" t="str">
        <f t="shared" si="404"/>
        <v>1,1</v>
      </c>
      <c r="U691" s="24">
        <v>1</v>
      </c>
      <c r="V691" s="24">
        <v>1</v>
      </c>
      <c r="W691" s="9">
        <v>0</v>
      </c>
      <c r="X691" s="9">
        <v>11</v>
      </c>
      <c r="Y691" s="19" t="str">
        <f t="shared" si="405"/>
        <v>-305,-300</v>
      </c>
      <c r="Z691" s="42" t="s">
        <v>269</v>
      </c>
      <c r="AA691" s="19" t="str">
        <f t="shared" si="406"/>
        <v>80,120</v>
      </c>
      <c r="AB691" s="41"/>
      <c r="AC691" s="9">
        <v>-38.596264727900383</v>
      </c>
      <c r="AD691" s="9">
        <v>168</v>
      </c>
      <c r="AE691" s="16"/>
      <c r="AF691" s="16"/>
      <c r="AG691" s="16"/>
      <c r="AI691" s="69" cm="1">
        <f t="array" ref="AI691">tuple_avg(T691)/tuple_avg(AA691)</f>
        <v>0.01</v>
      </c>
      <c r="AK691" s="69">
        <f>AD691*AI691*'-配置辅助'!$I$10</f>
        <v>28</v>
      </c>
      <c r="AM691" s="69">
        <f>AK691*_xlfn.XLOOKUP(H691,monsters[怪物id],monsters[HP],-1)</f>
        <v>868</v>
      </c>
    </row>
    <row r="692" spans="1:41" x14ac:dyDescent="0.2">
      <c r="A692" s="9">
        <v>42080005</v>
      </c>
      <c r="B692" s="9" t="str" cm="1">
        <f t="array" ref="B692">D692&amp;_xlfn.TEXTJOIN("",1,TEXT(E692:G692,"00"))</f>
        <v>4000002</v>
      </c>
      <c r="C692" s="30" t="str">
        <f t="shared" si="400"/>
        <v>42080005,4000002</v>
      </c>
      <c r="D692" s="26">
        <v>4</v>
      </c>
      <c r="E692" s="26">
        <v>0</v>
      </c>
      <c r="F692" s="26">
        <f t="shared" si="401"/>
        <v>0</v>
      </c>
      <c r="G692" s="26">
        <v>2</v>
      </c>
      <c r="H692" s="9">
        <v>201818</v>
      </c>
      <c r="I692" s="15" t="str">
        <f>IFERROR(VLOOKUP(H692,monsters[#All],4,0),"")</f>
        <v>聒噪海贝</v>
      </c>
      <c r="J692" s="15" t="str" cm="1">
        <f t="array" ref="J692">_xlfn.LET(_xlpm.v6p,ABS(ATAN2(O692,P692))*6/PI(),
_xlpm.output,_xlfn.IFS(_xlpm.v6p&lt;1,"正前",_xlpm.v6p&gt;5,"正后",AND(_xlpm.v6p&lt;5,_xlpm.v6p&gt;2,P692&lt;-1),"脚底",_xlpm.v6p&gt;4,"后上",_xlpm.v6p&lt;2,"前上",TRUE,"顶部"),
IFERROR(_xlpm.output,""))</f>
        <v>正后</v>
      </c>
      <c r="K692" s="12"/>
      <c r="L692" s="12" t="s">
        <v>63</v>
      </c>
      <c r="M692" s="12" t="s">
        <v>63</v>
      </c>
      <c r="N692" s="19" t="str">
        <f t="shared" si="402"/>
        <v>-20,5</v>
      </c>
      <c r="O692" s="24">
        <v>-20</v>
      </c>
      <c r="P692" s="24">
        <v>5</v>
      </c>
      <c r="Q692" s="19">
        <f t="shared" si="403"/>
        <v>2.2361</v>
      </c>
      <c r="R692" s="24">
        <v>2.2361</v>
      </c>
      <c r="S692" s="9">
        <v>7</v>
      </c>
      <c r="T692" s="19" t="str">
        <f t="shared" si="404"/>
        <v>1,1</v>
      </c>
      <c r="U692" s="24">
        <v>1</v>
      </c>
      <c r="V692" s="24">
        <v>1</v>
      </c>
      <c r="W692" s="9">
        <v>0</v>
      </c>
      <c r="X692" s="9">
        <v>11</v>
      </c>
      <c r="Y692" s="19" t="str">
        <f t="shared" si="405"/>
        <v>-705,-700</v>
      </c>
      <c r="Z692" s="42" t="s">
        <v>134</v>
      </c>
      <c r="AA692" s="19" t="str">
        <f t="shared" si="406"/>
        <v>80,120</v>
      </c>
      <c r="AB692" s="41"/>
      <c r="AC692" s="9">
        <v>-44.335465801969249</v>
      </c>
      <c r="AD692" s="9">
        <v>168</v>
      </c>
      <c r="AE692" s="16"/>
      <c r="AF692" s="16"/>
      <c r="AG692" s="16"/>
      <c r="AI692" s="69" cm="1">
        <f t="array" ref="AI692">tuple_avg(T692)/tuple_avg(AA692)</f>
        <v>0.01</v>
      </c>
      <c r="AK692" s="69">
        <f>AD692*AI692*'-配置辅助'!$I$10</f>
        <v>28</v>
      </c>
      <c r="AM692" s="69">
        <f>AK692*_xlfn.XLOOKUP(H692,monsters[怪物id],monsters[HP],-1)</f>
        <v>868</v>
      </c>
    </row>
    <row r="693" spans="1:41" x14ac:dyDescent="0.2">
      <c r="A693" s="9">
        <v>42080005</v>
      </c>
      <c r="B693" s="9" t="str" cm="1">
        <f t="array" ref="B693">D693&amp;_xlfn.TEXTJOIN("",1,TEXT(E693:G693,"00"))</f>
        <v>4000003</v>
      </c>
      <c r="C693" s="30" t="str">
        <f t="shared" si="400"/>
        <v>42080005,4000003</v>
      </c>
      <c r="D693" s="26">
        <v>4</v>
      </c>
      <c r="E693" s="26">
        <v>0</v>
      </c>
      <c r="F693" s="26">
        <f t="shared" si="401"/>
        <v>0</v>
      </c>
      <c r="G693" s="26">
        <v>3</v>
      </c>
      <c r="H693" s="9">
        <v>201818</v>
      </c>
      <c r="I693" s="15" t="str">
        <f>IFERROR(VLOOKUP(H693,monsters[#All],4,0),"")</f>
        <v>聒噪海贝</v>
      </c>
      <c r="J693" s="15" t="str" cm="1">
        <f t="array" ref="J693">_xlfn.LET(_xlpm.v6p,ABS(ATAN2(O693,P693))*6/PI(),
_xlpm.output,_xlfn.IFS(_xlpm.v6p&lt;1,"正前",_xlpm.v6p&gt;5,"正后",AND(_xlpm.v6p&lt;5,_xlpm.v6p&gt;2,P693&lt;-1),"脚底",_xlpm.v6p&gt;4,"后上",_xlpm.v6p&lt;2,"前上",TRUE,"顶部"),
IFERROR(_xlpm.output,""))</f>
        <v>正后</v>
      </c>
      <c r="K693" s="12"/>
      <c r="L693" s="12" t="s">
        <v>63</v>
      </c>
      <c r="M693" s="12" t="s">
        <v>63</v>
      </c>
      <c r="N693" s="19" t="str">
        <f t="shared" si="402"/>
        <v>-20,5</v>
      </c>
      <c r="O693" s="24">
        <v>-20</v>
      </c>
      <c r="P693" s="24">
        <v>5</v>
      </c>
      <c r="Q693" s="19">
        <f t="shared" si="403"/>
        <v>2.6457999999999999</v>
      </c>
      <c r="R693" s="24">
        <v>2.6457999999999999</v>
      </c>
      <c r="S693" s="9">
        <v>6</v>
      </c>
      <c r="T693" s="19" t="str">
        <f t="shared" si="404"/>
        <v>1,1</v>
      </c>
      <c r="U693" s="24">
        <v>1</v>
      </c>
      <c r="V693" s="24">
        <v>1</v>
      </c>
      <c r="W693" s="9">
        <v>0</v>
      </c>
      <c r="X693" s="9">
        <v>11</v>
      </c>
      <c r="Y693" s="19" t="str">
        <f t="shared" si="405"/>
        <v>-1205,-1200</v>
      </c>
      <c r="Z693" s="42" t="s">
        <v>344</v>
      </c>
      <c r="AA693" s="19" t="str">
        <f t="shared" si="406"/>
        <v>80,120</v>
      </c>
      <c r="AB693" s="41"/>
      <c r="AC693" s="9">
        <v>-50.928076634749374</v>
      </c>
      <c r="AD693" s="9">
        <v>168</v>
      </c>
      <c r="AE693" s="16"/>
      <c r="AF693" s="16"/>
      <c r="AG693" s="16"/>
      <c r="AI693" s="69" cm="1">
        <f t="array" ref="AI693">tuple_avg(T693)/tuple_avg(AA693)</f>
        <v>0.01</v>
      </c>
      <c r="AK693" s="69">
        <f>AD693*AI693*'-配置辅助'!$I$10</f>
        <v>28</v>
      </c>
      <c r="AM693" s="69">
        <f>AK693*_xlfn.XLOOKUP(H693,monsters[怪物id],monsters[HP],-1)</f>
        <v>868</v>
      </c>
    </row>
    <row r="694" spans="1:41" x14ac:dyDescent="0.2">
      <c r="A694" s="9">
        <v>42080005</v>
      </c>
      <c r="B694" s="9" t="str" cm="1">
        <f t="array" ref="B694">D694&amp;_xlfn.TEXTJOIN("",1,TEXT(E694:G694,"00"))</f>
        <v>4000004</v>
      </c>
      <c r="C694" s="30" t="str">
        <f t="shared" si="400"/>
        <v>42080005,4000004</v>
      </c>
      <c r="D694" s="26">
        <v>4</v>
      </c>
      <c r="E694" s="26">
        <v>0</v>
      </c>
      <c r="F694" s="26">
        <f t="shared" si="401"/>
        <v>0</v>
      </c>
      <c r="G694" s="26">
        <v>4</v>
      </c>
      <c r="H694" s="9">
        <v>201818</v>
      </c>
      <c r="I694" s="15" t="str">
        <f>IFERROR(VLOOKUP(H694,monsters[#All],4,0),"")</f>
        <v>聒噪海贝</v>
      </c>
      <c r="J694" s="15" t="str" cm="1">
        <f t="array" ref="J694">_xlfn.LET(_xlpm.v6p,ABS(ATAN2(O694,P694))*6/PI(),
_xlpm.output,_xlfn.IFS(_xlpm.v6p&lt;1,"正前",_xlpm.v6p&gt;5,"正后",AND(_xlpm.v6p&lt;5,_xlpm.v6p&gt;2,P694&lt;-1),"脚底",_xlpm.v6p&gt;4,"后上",_xlpm.v6p&lt;2,"前上",TRUE,"顶部"),
IFERROR(_xlpm.output,""))</f>
        <v>正后</v>
      </c>
      <c r="K694" s="12"/>
      <c r="L694" s="12" t="s">
        <v>63</v>
      </c>
      <c r="M694" s="12" t="s">
        <v>63</v>
      </c>
      <c r="N694" s="19" t="str">
        <f t="shared" si="402"/>
        <v>-20,5</v>
      </c>
      <c r="O694" s="24">
        <v>-20</v>
      </c>
      <c r="P694" s="24">
        <v>5</v>
      </c>
      <c r="Q694" s="19">
        <f t="shared" si="403"/>
        <v>2.6457999999999999</v>
      </c>
      <c r="R694" s="24">
        <v>2.6457999999999999</v>
      </c>
      <c r="S694" s="9">
        <v>5</v>
      </c>
      <c r="T694" s="19" t="str">
        <f t="shared" si="404"/>
        <v>1,1</v>
      </c>
      <c r="U694" s="24">
        <v>1</v>
      </c>
      <c r="V694" s="24">
        <v>1</v>
      </c>
      <c r="W694" s="9">
        <v>0</v>
      </c>
      <c r="X694" s="9">
        <v>11</v>
      </c>
      <c r="Y694" s="19" t="str">
        <f t="shared" si="405"/>
        <v>-1805,-1800</v>
      </c>
      <c r="Z694" s="42" t="s">
        <v>345</v>
      </c>
      <c r="AA694" s="19" t="str">
        <f t="shared" si="406"/>
        <v>80,120</v>
      </c>
      <c r="AB694" s="41"/>
      <c r="AC694" s="9">
        <v>-58.500997853499541</v>
      </c>
      <c r="AD694" s="9">
        <v>168</v>
      </c>
      <c r="AE694" s="16"/>
      <c r="AF694" s="16"/>
      <c r="AG694" s="16"/>
      <c r="AI694" s="69" cm="1">
        <f t="array" ref="AI694">tuple_avg(T694)/tuple_avg(AA694)</f>
        <v>0.01</v>
      </c>
      <c r="AK694" s="69">
        <f>AD694*AI694*'-配置辅助'!$I$10</f>
        <v>28</v>
      </c>
      <c r="AM694" s="69">
        <f>AK694*_xlfn.XLOOKUP(H694,monsters[怪物id],monsters[HP],-1)</f>
        <v>868</v>
      </c>
    </row>
    <row r="695" spans="1:41" x14ac:dyDescent="0.2">
      <c r="A695" s="9">
        <v>42080005</v>
      </c>
      <c r="B695" s="9" t="str" cm="1">
        <f t="array" ref="B695">D695&amp;_xlfn.TEXTJOIN("",1,TEXT(E695:G695,"00"))</f>
        <v>4000005</v>
      </c>
      <c r="C695" s="30" t="str">
        <f t="shared" si="400"/>
        <v>42080005,4000005</v>
      </c>
      <c r="D695" s="26">
        <v>4</v>
      </c>
      <c r="E695" s="26">
        <v>0</v>
      </c>
      <c r="F695" s="26">
        <f t="shared" si="401"/>
        <v>0</v>
      </c>
      <c r="G695" s="26">
        <v>5</v>
      </c>
      <c r="H695" s="9">
        <v>201818</v>
      </c>
      <c r="I695" s="15" t="str">
        <f>IFERROR(VLOOKUP(H695,monsters[#All],4,0),"")</f>
        <v>聒噪海贝</v>
      </c>
      <c r="J695" s="15" t="str" cm="1">
        <f t="array" ref="J695">_xlfn.LET(_xlpm.v6p,ABS(ATAN2(O695,P695))*6/PI(),
_xlpm.output,_xlfn.IFS(_xlpm.v6p&lt;1,"正前",_xlpm.v6p&gt;5,"正后",AND(_xlpm.v6p&lt;5,_xlpm.v6p&gt;2,P695&lt;-1),"脚底",_xlpm.v6p&gt;4,"后上",_xlpm.v6p&lt;2,"前上",TRUE,"顶部"),
IFERROR(_xlpm.output,""))</f>
        <v>正后</v>
      </c>
      <c r="K695" s="12"/>
      <c r="L695" s="12" t="s">
        <v>63</v>
      </c>
      <c r="M695" s="12" t="s">
        <v>63</v>
      </c>
      <c r="N695" s="19" t="str">
        <f t="shared" si="402"/>
        <v>-20,5</v>
      </c>
      <c r="O695" s="24">
        <v>-20</v>
      </c>
      <c r="P695" s="24">
        <v>5</v>
      </c>
      <c r="Q695" s="19">
        <f t="shared" si="403"/>
        <v>2.6457999999999999</v>
      </c>
      <c r="R695" s="24">
        <v>2.6457999999999999</v>
      </c>
      <c r="S695" s="9">
        <v>5</v>
      </c>
      <c r="T695" s="19" t="str">
        <f t="shared" si="404"/>
        <v>1,1</v>
      </c>
      <c r="U695" s="24">
        <v>1</v>
      </c>
      <c r="V695" s="24">
        <v>1</v>
      </c>
      <c r="W695" s="9">
        <v>0</v>
      </c>
      <c r="X695" s="9">
        <v>11</v>
      </c>
      <c r="Y695" s="19" t="str">
        <f t="shared" si="405"/>
        <v>-2505,-2500</v>
      </c>
      <c r="Z695" s="42" t="s">
        <v>346</v>
      </c>
      <c r="AA695" s="19" t="str">
        <f t="shared" si="406"/>
        <v>80,120</v>
      </c>
      <c r="AB695" s="41"/>
      <c r="AC695" s="9">
        <v>-67.2</v>
      </c>
      <c r="AD695" s="9">
        <v>168</v>
      </c>
      <c r="AE695" s="16"/>
      <c r="AF695" s="16"/>
      <c r="AG695" s="16"/>
      <c r="AI695" s="69" cm="1">
        <f t="array" ref="AI695">tuple_avg(T695)/tuple_avg(AA695)</f>
        <v>0.01</v>
      </c>
      <c r="AK695" s="69">
        <f>AD695*AI695*'-配置辅助'!$I$10</f>
        <v>28</v>
      </c>
      <c r="AM695" s="69">
        <f>AK695*_xlfn.XLOOKUP(H695,monsters[怪物id],monsters[HP],-1)</f>
        <v>868</v>
      </c>
    </row>
    <row r="697" spans="1:41" x14ac:dyDescent="0.2">
      <c r="I697" s="77" t="s">
        <v>349</v>
      </c>
    </row>
    <row r="698" spans="1:41" x14ac:dyDescent="0.2">
      <c r="A698" s="9">
        <v>42080005</v>
      </c>
      <c r="B698" s="9" t="str" cm="1">
        <f t="array" ref="B698">D698&amp;_xlfn.TEXTJOIN("",1,TEXT(E698:G698,"00"))</f>
        <v>2010000</v>
      </c>
      <c r="C698" s="30" t="str">
        <f t="shared" ref="C698:C701" si="407">_xlfn.TEXTJOIN(",",1,A698:B698)</f>
        <v>42080005,2010000</v>
      </c>
      <c r="D698" s="26">
        <v>2</v>
      </c>
      <c r="E698" s="26">
        <v>1</v>
      </c>
      <c r="F698" s="26">
        <f>W698</f>
        <v>0</v>
      </c>
      <c r="G698" s="26">
        <v>0</v>
      </c>
      <c r="H698" s="9">
        <v>201801</v>
      </c>
      <c r="I698" s="15" t="str">
        <f>IFERROR(VLOOKUP(H698,monsters[#All],4,0),"")</f>
        <v>金鱼</v>
      </c>
      <c r="J698" s="15" t="str" cm="1">
        <f t="array" ref="J698">_xlfn.LET(_xlpm.v6p,ABS(ATAN2(O698,P698))*6/PI(),
_xlpm.output,_xlfn.IFS(_xlpm.v6p&lt;1,"正前",_xlpm.v6p&gt;5,"正后",AND(_xlpm.v6p&lt;5,_xlpm.v6p&gt;2,P698&lt;-1),"脚底",_xlpm.v6p&gt;4,"后上",_xlpm.v6p&lt;2,"前上",TRUE,"顶部"),
IFERROR(_xlpm.output,""))</f>
        <v>正前</v>
      </c>
      <c r="K698" s="12"/>
      <c r="L698" s="12" t="s">
        <v>63</v>
      </c>
      <c r="M698" s="12" t="s">
        <v>63</v>
      </c>
      <c r="N698" s="19" t="str">
        <f>O698+0&amp;","&amp;P698+0</f>
        <v>15,6</v>
      </c>
      <c r="O698" s="24">
        <v>15</v>
      </c>
      <c r="P698" s="24">
        <v>6</v>
      </c>
      <c r="Q698" s="19">
        <f>_xlfn.LET(_xlpm._default,1,
_xlpm._custom,R698,
IF($A698&lt;&gt;"",IF(_xlpm._custom&lt;&gt;"",_xlpm._custom,_xlpm._default),""))</f>
        <v>1</v>
      </c>
      <c r="R698" s="24">
        <v>1</v>
      </c>
      <c r="S698" s="16"/>
      <c r="T698" s="19" t="str">
        <f>IF(U698&lt;&gt;"", U698+0&amp;","&amp;V698+0,"")</f>
        <v>0,0</v>
      </c>
      <c r="U698" s="24">
        <v>0</v>
      </c>
      <c r="V698" s="24">
        <v>0</v>
      </c>
      <c r="W698" s="9">
        <v>0</v>
      </c>
      <c r="X698" s="9">
        <v>11</v>
      </c>
      <c r="Y698" s="19" t="str">
        <f>IF($A698&lt;&gt;"",IF($Z698&lt;&gt;"",$Z698,"0,0"),"")</f>
        <v>0,0</v>
      </c>
      <c r="Z698" s="41"/>
      <c r="AA698" s="19" t="str">
        <f>IF($A698&lt;&gt;"",IF($AB698&lt;&gt;"",$AB698,"80,120"),"")</f>
        <v>100,100</v>
      </c>
      <c r="AB698" s="41" t="s">
        <v>343</v>
      </c>
      <c r="AC698" s="16"/>
      <c r="AD698" s="16"/>
      <c r="AE698" s="16"/>
      <c r="AF698" s="9">
        <v>33</v>
      </c>
      <c r="AG698" s="9">
        <v>40</v>
      </c>
      <c r="AI698" s="69" cm="1">
        <f t="array" ref="AI698">tuple_avg(T698)/tuple_avg(AA698)</f>
        <v>0</v>
      </c>
      <c r="AK698" s="69">
        <f>AD698*AI698*'-配置辅助'!$I$10</f>
        <v>0</v>
      </c>
      <c r="AM698" s="69">
        <f>AK698*_xlfn.XLOOKUP(H698,monsters[怪物id],monsters[HP],-1)</f>
        <v>0</v>
      </c>
    </row>
    <row r="699" spans="1:41" x14ac:dyDescent="0.2">
      <c r="A699" s="9">
        <v>42080005</v>
      </c>
      <c r="B699" s="9" t="str" cm="1">
        <f t="array" ref="B699">D699&amp;_xlfn.TEXTJOIN("",1,TEXT(E699:G699,"00"))</f>
        <v>2020000</v>
      </c>
      <c r="C699" s="30" t="str">
        <f t="shared" si="407"/>
        <v>42080005,2020000</v>
      </c>
      <c r="D699" s="26">
        <v>2</v>
      </c>
      <c r="E699" s="26">
        <v>2</v>
      </c>
      <c r="F699" s="26">
        <f>W699</f>
        <v>0</v>
      </c>
      <c r="G699" s="26">
        <v>0</v>
      </c>
      <c r="H699" s="9">
        <v>201801</v>
      </c>
      <c r="I699" s="15" t="str">
        <f>IFERROR(VLOOKUP(H699,monsters[#All],4,0),"")</f>
        <v>金鱼</v>
      </c>
      <c r="J699" s="15" t="str" cm="1">
        <f t="array" ref="J699">_xlfn.LET(_xlpm.v6p,ABS(ATAN2(O699,P699))*6/PI(),
_xlpm.output,_xlfn.IFS(_xlpm.v6p&lt;1,"正前",_xlpm.v6p&gt;5,"正后",AND(_xlpm.v6p&lt;5,_xlpm.v6p&gt;2,P699&lt;-1),"脚底",_xlpm.v6p&gt;4,"后上",_xlpm.v6p&lt;2,"前上",TRUE,"顶部"),
IFERROR(_xlpm.output,""))</f>
        <v>顶部</v>
      </c>
      <c r="K699" s="12"/>
      <c r="L699" s="12" t="s">
        <v>63</v>
      </c>
      <c r="M699" s="12" t="s">
        <v>63</v>
      </c>
      <c r="N699" s="19" t="str">
        <f>O699+0&amp;","&amp;P699+0</f>
        <v>6,14</v>
      </c>
      <c r="O699" s="24">
        <v>6</v>
      </c>
      <c r="P699" s="24">
        <v>14</v>
      </c>
      <c r="Q699" s="19">
        <f>_xlfn.LET(_xlpm._default,1,
_xlpm._custom,R699,
IF($A699&lt;&gt;"",IF(_xlpm._custom&lt;&gt;"",_xlpm._custom,_xlpm._default),""))</f>
        <v>1.7321</v>
      </c>
      <c r="R699" s="24">
        <v>1.7321</v>
      </c>
      <c r="S699" s="16"/>
      <c r="T699" s="19" t="str">
        <f>IF(U699&lt;&gt;"", U699+0&amp;","&amp;V699+0,"")</f>
        <v>0,0</v>
      </c>
      <c r="U699" s="24">
        <v>0</v>
      </c>
      <c r="V699" s="24">
        <v>0</v>
      </c>
      <c r="W699" s="9">
        <v>0</v>
      </c>
      <c r="X699" s="9">
        <v>11</v>
      </c>
      <c r="Y699" s="19" t="str">
        <f>IF($A699&lt;&gt;"",IF($Z699&lt;&gt;"",$Z699,"0,0"),"")</f>
        <v>0,0</v>
      </c>
      <c r="Z699" s="41"/>
      <c r="AA699" s="19" t="str">
        <f>IF($A699&lt;&gt;"",IF($AB699&lt;&gt;"",$AB699,"80,120"),"")</f>
        <v>100,100</v>
      </c>
      <c r="AB699" s="41" t="s">
        <v>343</v>
      </c>
      <c r="AC699" s="16"/>
      <c r="AD699" s="16"/>
      <c r="AE699" s="16"/>
      <c r="AF699" s="9">
        <v>33</v>
      </c>
      <c r="AG699" s="9">
        <v>40</v>
      </c>
      <c r="AI699" s="69" cm="1">
        <f t="array" ref="AI699">tuple_avg(T699)/tuple_avg(AA699)</f>
        <v>0</v>
      </c>
      <c r="AK699" s="69">
        <f>AD699*AI699*'-配置辅助'!$I$10</f>
        <v>0</v>
      </c>
      <c r="AM699" s="69">
        <f>AK699*_xlfn.XLOOKUP(H699,monsters[怪物id],monsters[HP],-1)</f>
        <v>0</v>
      </c>
    </row>
    <row r="700" spans="1:41" x14ac:dyDescent="0.2">
      <c r="A700" s="9">
        <v>42080005</v>
      </c>
      <c r="B700" s="9" t="str" cm="1">
        <f t="array" ref="B700">D700&amp;_xlfn.TEXTJOIN("",1,TEXT(E700:G700,"00"))</f>
        <v>2030000</v>
      </c>
      <c r="C700" s="30" t="str">
        <f t="shared" si="407"/>
        <v>42080005,2030000</v>
      </c>
      <c r="D700" s="26">
        <v>2</v>
      </c>
      <c r="E700" s="26">
        <v>3</v>
      </c>
      <c r="F700" s="26">
        <f>W700</f>
        <v>0</v>
      </c>
      <c r="G700" s="26">
        <v>0</v>
      </c>
      <c r="H700" s="9">
        <v>201801</v>
      </c>
      <c r="I700" s="15" t="str">
        <f>IFERROR(VLOOKUP(H700,monsters[#All],4,0),"")</f>
        <v>金鱼</v>
      </c>
      <c r="J700" s="15" t="str" cm="1">
        <f t="array" ref="J700">_xlfn.LET(_xlpm.v6p,ABS(ATAN2(O700,P700))*6/PI(),
_xlpm.output,_xlfn.IFS(_xlpm.v6p&lt;1,"正前",_xlpm.v6p&gt;5,"正后",AND(_xlpm.v6p&lt;5,_xlpm.v6p&gt;2,P700&lt;-1),"脚底",_xlpm.v6p&gt;4,"后上",_xlpm.v6p&lt;2,"前上",TRUE,"顶部"),
IFERROR(_xlpm.output,""))</f>
        <v>正前</v>
      </c>
      <c r="K700" s="12"/>
      <c r="L700" s="12" t="s">
        <v>63</v>
      </c>
      <c r="M700" s="12" t="s">
        <v>63</v>
      </c>
      <c r="N700" s="19" t="str">
        <f>O700+0&amp;","&amp;P700+0</f>
        <v>15,6</v>
      </c>
      <c r="O700" s="24">
        <v>15</v>
      </c>
      <c r="P700" s="24">
        <v>6</v>
      </c>
      <c r="Q700" s="19">
        <f>_xlfn.LET(_xlpm._default,1,
_xlpm._custom,R700,
IF($A700&lt;&gt;"",IF(_xlpm._custom&lt;&gt;"",_xlpm._custom,_xlpm._default),""))</f>
        <v>2.2361</v>
      </c>
      <c r="R700" s="24">
        <v>2.2361</v>
      </c>
      <c r="S700" s="16"/>
      <c r="T700" s="19" t="str">
        <f>IF(U700&lt;&gt;"", U700+0&amp;","&amp;V700+0,"")</f>
        <v>0,0</v>
      </c>
      <c r="U700" s="24">
        <v>0</v>
      </c>
      <c r="V700" s="24">
        <v>0</v>
      </c>
      <c r="W700" s="9">
        <v>0</v>
      </c>
      <c r="X700" s="9">
        <v>11</v>
      </c>
      <c r="Y700" s="19" t="str">
        <f>IF($A700&lt;&gt;"",IF($Z700&lt;&gt;"",$Z700,"0,0"),"")</f>
        <v>0,0</v>
      </c>
      <c r="Z700" s="41"/>
      <c r="AA700" s="19" t="str">
        <f>IF($A700&lt;&gt;"",IF($AB700&lt;&gt;"",$AB700,"80,120"),"")</f>
        <v>100,100</v>
      </c>
      <c r="AB700" s="41" t="s">
        <v>343</v>
      </c>
      <c r="AC700" s="16"/>
      <c r="AD700" s="16"/>
      <c r="AE700" s="16"/>
      <c r="AF700" s="9">
        <v>33</v>
      </c>
      <c r="AG700" s="9">
        <v>40</v>
      </c>
      <c r="AI700" s="69" cm="1">
        <f t="array" ref="AI700">tuple_avg(T700)/tuple_avg(AA700)</f>
        <v>0</v>
      </c>
      <c r="AK700" s="69">
        <f>AD700*AI700*'-配置辅助'!$I$10</f>
        <v>0</v>
      </c>
      <c r="AM700" s="69">
        <f>AK700*_xlfn.XLOOKUP(H700,monsters[怪物id],monsters[HP],-1)</f>
        <v>0</v>
      </c>
    </row>
    <row r="701" spans="1:41" x14ac:dyDescent="0.2">
      <c r="A701" s="9">
        <v>42080005</v>
      </c>
      <c r="B701" s="9" t="str" cm="1">
        <f t="array" ref="B701">D701&amp;_xlfn.TEXTJOIN("",1,TEXT(E701:G701,"00"))</f>
        <v>2040000</v>
      </c>
      <c r="C701" s="30" t="str">
        <f t="shared" si="407"/>
        <v>42080005,2040000</v>
      </c>
      <c r="D701" s="26">
        <v>2</v>
      </c>
      <c r="E701" s="26">
        <v>4</v>
      </c>
      <c r="F701" s="26">
        <f>W701</f>
        <v>0</v>
      </c>
      <c r="G701" s="26">
        <v>0</v>
      </c>
      <c r="H701" s="9">
        <v>201801</v>
      </c>
      <c r="I701" s="15" t="str">
        <f>IFERROR(VLOOKUP(H701,monsters[#All],4,0),"")</f>
        <v>金鱼</v>
      </c>
      <c r="J701" s="15" t="str" cm="1">
        <f t="array" ref="J701">_xlfn.LET(_xlpm.v6p,ABS(ATAN2(O701,P701))*6/PI(),
_xlpm.output,_xlfn.IFS(_xlpm.v6p&lt;1,"正前",_xlpm.v6p&gt;5,"正后",AND(_xlpm.v6p&lt;5,_xlpm.v6p&gt;2,P701&lt;-1),"脚底",_xlpm.v6p&gt;4,"后上",_xlpm.v6p&lt;2,"前上",TRUE,"顶部"),
IFERROR(_xlpm.output,""))</f>
        <v>正后</v>
      </c>
      <c r="K701" s="12"/>
      <c r="L701" s="12" t="s">
        <v>63</v>
      </c>
      <c r="M701" s="12" t="s">
        <v>63</v>
      </c>
      <c r="N701" s="19" t="str">
        <f>O701+0&amp;","&amp;P701+0</f>
        <v>-15,6</v>
      </c>
      <c r="O701" s="24">
        <v>-15</v>
      </c>
      <c r="P701" s="24">
        <v>6</v>
      </c>
      <c r="Q701" s="19">
        <f>_xlfn.LET(_xlpm._default,1,
_xlpm._custom,R701,
IF($A701&lt;&gt;"",IF(_xlpm._custom&lt;&gt;"",_xlpm._custom,_xlpm._default),""))</f>
        <v>2.6457999999999999</v>
      </c>
      <c r="R701" s="24">
        <v>2.6457999999999999</v>
      </c>
      <c r="S701" s="16"/>
      <c r="T701" s="19" t="str">
        <f>IF(U701&lt;&gt;"", U701+0&amp;","&amp;V701+0,"")</f>
        <v>0,0</v>
      </c>
      <c r="U701" s="24">
        <v>0</v>
      </c>
      <c r="V701" s="24">
        <v>0</v>
      </c>
      <c r="W701" s="9">
        <v>0</v>
      </c>
      <c r="X701" s="9">
        <v>11</v>
      </c>
      <c r="Y701" s="19" t="str">
        <f>IF($A701&lt;&gt;"",IF($Z701&lt;&gt;"",$Z701,"0,0"),"")</f>
        <v>0,0</v>
      </c>
      <c r="Z701" s="41"/>
      <c r="AA701" s="19" t="str">
        <f>IF($A701&lt;&gt;"",IF($AB701&lt;&gt;"",$AB701,"80,120"),"")</f>
        <v>100,100</v>
      </c>
      <c r="AB701" s="41" t="s">
        <v>343</v>
      </c>
      <c r="AC701" s="16"/>
      <c r="AD701" s="16"/>
      <c r="AE701" s="16"/>
      <c r="AF701" s="9">
        <v>33</v>
      </c>
      <c r="AG701" s="9">
        <v>40</v>
      </c>
      <c r="AI701" s="69" cm="1">
        <f t="array" ref="AI701">tuple_avg(T701)/tuple_avg(AA701)</f>
        <v>0</v>
      </c>
      <c r="AK701" s="69">
        <f>AD701*AI701*'-配置辅助'!$I$10</f>
        <v>0</v>
      </c>
      <c r="AM701" s="69">
        <f>AK701*_xlfn.XLOOKUP(H701,monsters[怪物id],monsters[HP],-1)</f>
        <v>0</v>
      </c>
    </row>
    <row r="704" spans="1:41" s="40" customFormat="1" x14ac:dyDescent="0.2">
      <c r="A704" s="43"/>
      <c r="B704" s="43"/>
      <c r="C704" s="44" t="str">
        <f t="shared" ref="C704" si="408">_xlfn.TEXTJOIN(",",1,A704:B704)</f>
        <v/>
      </c>
      <c r="D704" s="45"/>
      <c r="E704" s="45"/>
      <c r="F704" s="45"/>
      <c r="G704" s="45"/>
      <c r="H704" s="43" t="s">
        <v>115</v>
      </c>
      <c r="I704" s="46"/>
      <c r="J704" s="46"/>
      <c r="O704" s="47"/>
      <c r="P704" s="47"/>
      <c r="R704" s="47"/>
      <c r="S704" s="40" t="s">
        <v>62</v>
      </c>
      <c r="U704" s="47"/>
      <c r="V704" s="47"/>
      <c r="Z704" s="47"/>
      <c r="AB704" s="47"/>
      <c r="AC704" s="40" t="s">
        <v>62</v>
      </c>
      <c r="AI704" s="75"/>
      <c r="AJ704" s="75">
        <f>SUM(AJ706:AJ716)</f>
        <v>14.399999999999999</v>
      </c>
      <c r="AK704" s="75">
        <f>SUM(AK706:AK716)</f>
        <v>35</v>
      </c>
      <c r="AL704" s="75">
        <f>SUM(AL706:AL716)</f>
        <v>273.60000000000002</v>
      </c>
      <c r="AM704" s="75">
        <f>SUM(AM706:AM716)</f>
        <v>665</v>
      </c>
      <c r="AN704" s="75"/>
      <c r="AO704" s="75"/>
    </row>
    <row r="706" spans="1:41" x14ac:dyDescent="0.2">
      <c r="A706" s="9">
        <v>420801</v>
      </c>
      <c r="B706" s="9" t="str" cm="1">
        <f t="array" ref="B706">D706&amp;_xlfn.TEXTJOIN("",1,TEXT(E706:G706,"00"))</f>
        <v>1000000</v>
      </c>
      <c r="C706" s="30" t="str">
        <f t="shared" ref="C706:C710" si="409">_xlfn.TEXTJOIN(",",1,A706:B706)</f>
        <v>420801,1000000</v>
      </c>
      <c r="D706" s="26">
        <v>1</v>
      </c>
      <c r="E706" s="26">
        <v>0</v>
      </c>
      <c r="F706" s="26">
        <f>W706</f>
        <v>0</v>
      </c>
      <c r="G706" s="26">
        <v>0</v>
      </c>
      <c r="H706" s="9">
        <v>201801</v>
      </c>
      <c r="I706" s="15" t="str">
        <f>IFERROR(VLOOKUP(H706,monsters[#All],4,0),"")</f>
        <v>金鱼</v>
      </c>
      <c r="J706" s="15" t="str" cm="1">
        <f t="array" ref="J706">_xlfn.LET(_xlpm.v6p,ABS(ATAN2(O706,P706))*6/PI(),
_xlpm.output,_xlfn.IFS(_xlpm.v6p&lt;1,"正前",_xlpm.v6p&gt;5,"正后",AND(_xlpm.v6p&lt;5,_xlpm.v6p&gt;2,P706&lt;-1),"脚底",_xlpm.v6p&gt;4,"后上",_xlpm.v6p&lt;2,"前上",TRUE,"顶部"),
IFERROR(_xlpm.output,""))</f>
        <v>正前</v>
      </c>
      <c r="K706" s="12"/>
      <c r="L706" s="12" t="s">
        <v>63</v>
      </c>
      <c r="M706" s="12" t="s">
        <v>63</v>
      </c>
      <c r="N706" s="19" t="str">
        <f>O706+0&amp;","&amp;P706+0</f>
        <v>15,8</v>
      </c>
      <c r="O706" s="24">
        <v>15</v>
      </c>
      <c r="P706" s="24">
        <v>8</v>
      </c>
      <c r="Q706" s="19">
        <f t="shared" ref="Q706:Q710" si="410">_xlfn.LET(_xlpm._default,1,
_xlpm._custom,R706,
IF($A706&lt;&gt;"",IF(_xlpm._custom&lt;&gt;"",_xlpm._custom,_xlpm._default),""))</f>
        <v>1</v>
      </c>
      <c r="S706" s="9">
        <v>6</v>
      </c>
      <c r="T706" s="19" t="str">
        <f>IF(U706&lt;&gt;"", U706+0&amp;","&amp;V706+0,"")</f>
        <v>1,1</v>
      </c>
      <c r="U706" s="24">
        <v>1</v>
      </c>
      <c r="V706" s="24">
        <v>1</v>
      </c>
      <c r="W706" s="9">
        <v>0</v>
      </c>
      <c r="X706" s="9">
        <v>11</v>
      </c>
      <c r="Y706" s="19" t="str">
        <f>IF($A706&lt;&gt;"",IF($Z706&lt;&gt;"",$Z706,"0,0"),"")</f>
        <v>70,75</v>
      </c>
      <c r="Z706" s="24" t="s">
        <v>132</v>
      </c>
      <c r="AA706" s="19" t="str">
        <f>IF($A706&lt;&gt;"",IF($AB706&lt;&gt;"",$AB706,"80,120"),"")</f>
        <v>80,120</v>
      </c>
      <c r="AC706" s="9">
        <v>0.5</v>
      </c>
      <c r="AD706" s="9">
        <v>8</v>
      </c>
      <c r="AE706" s="9">
        <v>0.3</v>
      </c>
      <c r="AF706" s="16"/>
      <c r="AG706" s="16"/>
      <c r="AI706" s="69" cm="1">
        <f t="array" ref="AI706">tuple_avg(T706)/tuple_avg(AA706)</f>
        <v>0.01</v>
      </c>
      <c r="AJ706" s="69">
        <f>AC706*AI706*'-配置辅助'!$I$8</f>
        <v>0.5</v>
      </c>
      <c r="AK706" s="69">
        <f>AD706*AI706*'-配置辅助'!$I$10</f>
        <v>1.3333333333333335</v>
      </c>
      <c r="AL706" s="69">
        <f>AJ706*_xlfn.XLOOKUP(H706,monsters[怪物id],monsters[HP],-1)</f>
        <v>9.5</v>
      </c>
      <c r="AM706" s="69">
        <f>AK706*_xlfn.XLOOKUP(H706,monsters[怪物id],monsters[HP],-1)</f>
        <v>25.333333333333336</v>
      </c>
    </row>
    <row r="707" spans="1:41" x14ac:dyDescent="0.2">
      <c r="A707" s="9">
        <v>420801</v>
      </c>
      <c r="B707" s="9" t="str" cm="1">
        <f t="array" ref="B707">D707&amp;_xlfn.TEXTJOIN("",1,TEXT(E707:G707,"00"))</f>
        <v>1000001</v>
      </c>
      <c r="C707" s="30" t="str">
        <f t="shared" si="409"/>
        <v>420801,1000001</v>
      </c>
      <c r="D707" s="26">
        <v>1</v>
      </c>
      <c r="E707" s="26">
        <v>0</v>
      </c>
      <c r="F707" s="26">
        <f>W707</f>
        <v>0</v>
      </c>
      <c r="G707" s="26">
        <v>1</v>
      </c>
      <c r="H707" s="9">
        <v>201801</v>
      </c>
      <c r="I707" s="15" t="str">
        <f>IFERROR(VLOOKUP(H707,monsters[#All],4,0),"")</f>
        <v>金鱼</v>
      </c>
      <c r="J707" s="15" t="str" cm="1">
        <f t="array" ref="J707">_xlfn.LET(_xlpm.v6p,ABS(ATAN2(O707,P707))*6/PI(),
_xlpm.output,_xlfn.IFS(_xlpm.v6p&lt;1,"正前",_xlpm.v6p&gt;5,"正后",AND(_xlpm.v6p&lt;5,_xlpm.v6p&gt;2,P707&lt;-1),"脚底",_xlpm.v6p&gt;4,"后上",_xlpm.v6p&lt;2,"前上",TRUE,"顶部"),
IFERROR(_xlpm.output,""))</f>
        <v>正前</v>
      </c>
      <c r="K707" s="12"/>
      <c r="L707" s="12" t="s">
        <v>63</v>
      </c>
      <c r="M707" s="12" t="s">
        <v>63</v>
      </c>
      <c r="N707" s="19" t="str">
        <f>O707+0&amp;","&amp;P707+0</f>
        <v>15,8</v>
      </c>
      <c r="O707" s="24">
        <v>15</v>
      </c>
      <c r="P707" s="24">
        <v>8</v>
      </c>
      <c r="Q707" s="19">
        <f t="shared" si="410"/>
        <v>1.5</v>
      </c>
      <c r="R707" s="24">
        <v>1.5</v>
      </c>
      <c r="S707" s="9">
        <v>7</v>
      </c>
      <c r="T707" s="19" t="str">
        <f>IF(U707&lt;&gt;"", U707+0&amp;","&amp;V707+0,"")</f>
        <v>1,2</v>
      </c>
      <c r="U707" s="24">
        <v>1</v>
      </c>
      <c r="V707" s="24">
        <v>2</v>
      </c>
      <c r="W707" s="9">
        <v>0</v>
      </c>
      <c r="X707" s="9">
        <v>11</v>
      </c>
      <c r="Y707" s="19" t="str">
        <f>IF($A707&lt;&gt;"",IF($Z707&lt;&gt;"",$Z707,"0,0"),"")</f>
        <v>0,0</v>
      </c>
      <c r="AA707" s="19" t="str">
        <f>IF($A707&lt;&gt;"",IF($AB707&lt;&gt;"",$AB707,"80,120"),"")</f>
        <v>80,120</v>
      </c>
      <c r="AC707" s="9">
        <v>0.55000000000000004</v>
      </c>
      <c r="AD707" s="9">
        <v>9</v>
      </c>
      <c r="AE707" s="9">
        <v>0.3</v>
      </c>
      <c r="AF707" s="16"/>
      <c r="AG707" s="16"/>
      <c r="AI707" s="69" cm="1">
        <f t="array" ref="AI707">tuple_avg(T707)/tuple_avg(AA707)</f>
        <v>1.4999999999999999E-2</v>
      </c>
      <c r="AJ707" s="69">
        <f>AC707*AI707*'-配置辅助'!$I$8</f>
        <v>0.82500000000000007</v>
      </c>
      <c r="AK707" s="69">
        <f>AD707*AI707*'-配置辅助'!$I$10</f>
        <v>2.2500000000000004</v>
      </c>
      <c r="AL707" s="69">
        <f>AJ707*_xlfn.XLOOKUP(H707,monsters[怪物id],monsters[HP],-1)</f>
        <v>15.675000000000001</v>
      </c>
      <c r="AM707" s="69">
        <f>AK707*_xlfn.XLOOKUP(H707,monsters[怪物id],monsters[HP],-1)</f>
        <v>42.750000000000007</v>
      </c>
    </row>
    <row r="708" spans="1:41" x14ac:dyDescent="0.2">
      <c r="A708" s="9">
        <v>420801</v>
      </c>
      <c r="B708" s="9" t="str" cm="1">
        <f t="array" ref="B708">D708&amp;_xlfn.TEXTJOIN("",1,TEXT(E708:G708,"00"))</f>
        <v>1000002</v>
      </c>
      <c r="C708" s="30" t="str">
        <f t="shared" si="409"/>
        <v>420801,1000002</v>
      </c>
      <c r="D708" s="26">
        <v>1</v>
      </c>
      <c r="E708" s="26">
        <v>0</v>
      </c>
      <c r="F708" s="26">
        <f>W708</f>
        <v>0</v>
      </c>
      <c r="G708" s="26">
        <v>2</v>
      </c>
      <c r="H708" s="9">
        <v>201801</v>
      </c>
      <c r="I708" s="15" t="str">
        <f>IFERROR(VLOOKUP(H708,monsters[#All],4,0),"")</f>
        <v>金鱼</v>
      </c>
      <c r="J708" s="15" t="str" cm="1">
        <f t="array" ref="J708">_xlfn.LET(_xlpm.v6p,ABS(ATAN2(O708,P708))*6/PI(),
_xlpm.output,_xlfn.IFS(_xlpm.v6p&lt;1,"正前",_xlpm.v6p&gt;5,"正后",AND(_xlpm.v6p&lt;5,_xlpm.v6p&gt;2,P708&lt;-1),"脚底",_xlpm.v6p&gt;4,"后上",_xlpm.v6p&lt;2,"前上",TRUE,"顶部"),
IFERROR(_xlpm.output,""))</f>
        <v>正前</v>
      </c>
      <c r="K708" s="12"/>
      <c r="L708" s="12" t="s">
        <v>63</v>
      </c>
      <c r="M708" s="12" t="s">
        <v>63</v>
      </c>
      <c r="N708" s="19" t="str">
        <f>O708+0&amp;","&amp;P708+0</f>
        <v>15,8</v>
      </c>
      <c r="O708" s="24">
        <v>15</v>
      </c>
      <c r="P708" s="24">
        <v>8</v>
      </c>
      <c r="Q708" s="19">
        <f t="shared" si="410"/>
        <v>2</v>
      </c>
      <c r="R708" s="42">
        <v>2</v>
      </c>
      <c r="S708" s="9">
        <v>9</v>
      </c>
      <c r="T708" s="19" t="str">
        <f>IF(U708&lt;&gt;"", U708+0&amp;","&amp;V708+0,"")</f>
        <v>2,2</v>
      </c>
      <c r="U708" s="24">
        <v>2</v>
      </c>
      <c r="V708" s="24">
        <v>2</v>
      </c>
      <c r="W708" s="9">
        <v>0</v>
      </c>
      <c r="X708" s="9">
        <v>11</v>
      </c>
      <c r="Y708" s="19" t="str">
        <f>IF($A708&lt;&gt;"",IF($Z708&lt;&gt;"",$Z708,"0,0"),"")</f>
        <v>-105,-100</v>
      </c>
      <c r="Z708" s="42" t="s">
        <v>133</v>
      </c>
      <c r="AA708" s="19" t="str">
        <f>IF($A708&lt;&gt;"",IF($AB708&lt;&gt;"",$AB708,"80,120"),"")</f>
        <v>80,120</v>
      </c>
      <c r="AC708" s="9">
        <v>0.65</v>
      </c>
      <c r="AD708" s="9">
        <v>10</v>
      </c>
      <c r="AE708" s="9">
        <v>0.3</v>
      </c>
      <c r="AF708" s="16"/>
      <c r="AG708" s="16"/>
      <c r="AI708" s="69" cm="1">
        <f t="array" ref="AI708">tuple_avg(T708)/tuple_avg(AA708)</f>
        <v>0.02</v>
      </c>
      <c r="AJ708" s="69">
        <f>AC708*AI708*'-配置辅助'!$I$8</f>
        <v>1.3</v>
      </c>
      <c r="AK708" s="69">
        <f>AD708*AI708*'-配置辅助'!$I$10</f>
        <v>3.3333333333333339</v>
      </c>
      <c r="AL708" s="69">
        <f>AJ708*_xlfn.XLOOKUP(H708,monsters[怪物id],monsters[HP],-1)</f>
        <v>24.7</v>
      </c>
      <c r="AM708" s="69">
        <f>AK708*_xlfn.XLOOKUP(H708,monsters[怪物id],monsters[HP],-1)</f>
        <v>63.333333333333343</v>
      </c>
    </row>
    <row r="709" spans="1:41" x14ac:dyDescent="0.2">
      <c r="A709" s="9">
        <v>420801</v>
      </c>
      <c r="B709" s="9" t="str" cm="1">
        <f t="array" ref="B709">D709&amp;_xlfn.TEXTJOIN("",1,TEXT(E709:G709,"00"))</f>
        <v>1000003</v>
      </c>
      <c r="C709" s="30" t="str">
        <f t="shared" si="409"/>
        <v>420801,1000003</v>
      </c>
      <c r="D709" s="26">
        <v>1</v>
      </c>
      <c r="E709" s="26">
        <v>0</v>
      </c>
      <c r="F709" s="26">
        <f>W709</f>
        <v>0</v>
      </c>
      <c r="G709" s="26">
        <v>3</v>
      </c>
      <c r="H709" s="9">
        <v>201801</v>
      </c>
      <c r="I709" s="15" t="str">
        <f>IFERROR(VLOOKUP(H709,monsters[#All],4,0),"")</f>
        <v>金鱼</v>
      </c>
      <c r="J709" s="15" t="str" cm="1">
        <f t="array" ref="J709">_xlfn.LET(_xlpm.v6p,ABS(ATAN2(O709,P709))*6/PI(),
_xlpm.output,_xlfn.IFS(_xlpm.v6p&lt;1,"正前",_xlpm.v6p&gt;5,"正后",AND(_xlpm.v6p&lt;5,_xlpm.v6p&gt;2,P709&lt;-1),"脚底",_xlpm.v6p&gt;4,"后上",_xlpm.v6p&lt;2,"前上",TRUE,"顶部"),
IFERROR(_xlpm.output,""))</f>
        <v>正前</v>
      </c>
      <c r="K709" s="12"/>
      <c r="L709" s="12" t="s">
        <v>63</v>
      </c>
      <c r="M709" s="12" t="s">
        <v>63</v>
      </c>
      <c r="N709" s="19" t="str">
        <f>O709+0&amp;","&amp;P709+0</f>
        <v>15,8</v>
      </c>
      <c r="O709" s="24">
        <v>15</v>
      </c>
      <c r="P709" s="24">
        <v>8</v>
      </c>
      <c r="Q709" s="19">
        <f t="shared" si="410"/>
        <v>2.5</v>
      </c>
      <c r="R709" s="42">
        <v>2.5</v>
      </c>
      <c r="S709" s="9">
        <v>12</v>
      </c>
      <c r="T709" s="19" t="str">
        <f>IF(U709&lt;&gt;"", U709+0&amp;","&amp;V709+0,"")</f>
        <v>2,3</v>
      </c>
      <c r="U709" s="24">
        <v>2</v>
      </c>
      <c r="V709" s="24">
        <v>3</v>
      </c>
      <c r="W709" s="9">
        <v>0</v>
      </c>
      <c r="X709" s="9">
        <v>11</v>
      </c>
      <c r="Y709" s="19" t="str">
        <f>IF($A709&lt;&gt;"",IF($Z709&lt;&gt;"",$Z709,"0,0"),"")</f>
        <v>-245,-240</v>
      </c>
      <c r="Z709" s="42" t="s">
        <v>265</v>
      </c>
      <c r="AA709" s="19" t="str">
        <f>IF($A709&lt;&gt;"",IF($AB709&lt;&gt;"",$AB709,"80,120"),"")</f>
        <v>80,120</v>
      </c>
      <c r="AC709" s="9">
        <v>0.75</v>
      </c>
      <c r="AD709" s="9">
        <v>11</v>
      </c>
      <c r="AE709" s="9">
        <v>0.3</v>
      </c>
      <c r="AF709" s="16"/>
      <c r="AG709" s="16"/>
      <c r="AI709" s="69" cm="1">
        <f t="array" ref="AI709">tuple_avg(T709)/tuple_avg(AA709)</f>
        <v>2.5000000000000001E-2</v>
      </c>
      <c r="AJ709" s="69">
        <f>AC709*AI709*'-配置辅助'!$I$8</f>
        <v>1.8750000000000002</v>
      </c>
      <c r="AK709" s="69">
        <f>AD709*AI709*'-配置辅助'!$I$10</f>
        <v>4.5833333333333339</v>
      </c>
      <c r="AL709" s="69">
        <f>AJ709*_xlfn.XLOOKUP(H709,monsters[怪物id],monsters[HP],-1)</f>
        <v>35.625000000000007</v>
      </c>
      <c r="AM709" s="69">
        <f>AK709*_xlfn.XLOOKUP(H709,monsters[怪物id],monsters[HP],-1)</f>
        <v>87.083333333333343</v>
      </c>
    </row>
    <row r="710" spans="1:41" x14ac:dyDescent="0.2">
      <c r="A710" s="9">
        <v>420801</v>
      </c>
      <c r="B710" s="9" t="str" cm="1">
        <f t="array" ref="B710">D710&amp;_xlfn.TEXTJOIN("",1,TEXT(E710:G710,"00"))</f>
        <v>1000004</v>
      </c>
      <c r="C710" s="30" t="str">
        <f t="shared" si="409"/>
        <v>420801,1000004</v>
      </c>
      <c r="D710" s="26">
        <v>1</v>
      </c>
      <c r="E710" s="26">
        <v>0</v>
      </c>
      <c r="F710" s="26">
        <f>W710</f>
        <v>0</v>
      </c>
      <c r="G710" s="26">
        <v>4</v>
      </c>
      <c r="H710" s="9">
        <v>201801</v>
      </c>
      <c r="I710" s="15" t="str">
        <f>IFERROR(VLOOKUP(H710,monsters[#All],4,0),"")</f>
        <v>金鱼</v>
      </c>
      <c r="J710" s="15" t="str" cm="1">
        <f t="array" ref="J710">_xlfn.LET(_xlpm.v6p,ABS(ATAN2(O710,P710))*6/PI(),
_xlpm.output,_xlfn.IFS(_xlpm.v6p&lt;1,"正前",_xlpm.v6p&gt;5,"正后",AND(_xlpm.v6p&lt;5,_xlpm.v6p&gt;2,P710&lt;-1),"脚底",_xlpm.v6p&gt;4,"后上",_xlpm.v6p&lt;2,"前上",TRUE,"顶部"),
IFERROR(_xlpm.output,""))</f>
        <v>正前</v>
      </c>
      <c r="K710" s="12"/>
      <c r="L710" s="12" t="s">
        <v>63</v>
      </c>
      <c r="M710" s="12" t="s">
        <v>63</v>
      </c>
      <c r="N710" s="19" t="str">
        <f>O710+0&amp;","&amp;P710+0</f>
        <v>15,8</v>
      </c>
      <c r="O710" s="24">
        <v>15</v>
      </c>
      <c r="P710" s="24">
        <v>8</v>
      </c>
      <c r="Q710" s="19">
        <f t="shared" si="410"/>
        <v>3</v>
      </c>
      <c r="R710" s="42">
        <v>3</v>
      </c>
      <c r="S710" s="9">
        <v>14</v>
      </c>
      <c r="T710" s="19" t="str">
        <f>IF(U710&lt;&gt;"", U710+0&amp;","&amp;V710+0,"")</f>
        <v>3,3</v>
      </c>
      <c r="U710" s="24">
        <v>3</v>
      </c>
      <c r="V710" s="24">
        <v>3</v>
      </c>
      <c r="W710" s="9">
        <v>0</v>
      </c>
      <c r="X710" s="9">
        <v>11</v>
      </c>
      <c r="Y710" s="19" t="str">
        <f>IF($A710&lt;&gt;"",IF($Z710&lt;&gt;"",$Z710,"0,0"),"")</f>
        <v>-405,-400</v>
      </c>
      <c r="Z710" s="42" t="s">
        <v>264</v>
      </c>
      <c r="AA710" s="19" t="str">
        <f>IF($A710&lt;&gt;"",IF($AB710&lt;&gt;"",$AB710,"80,120"),"")</f>
        <v>80,120</v>
      </c>
      <c r="AC710" s="9">
        <v>0.89999999999999991</v>
      </c>
      <c r="AD710" s="9">
        <v>12</v>
      </c>
      <c r="AE710" s="9">
        <v>0.3</v>
      </c>
      <c r="AF710" s="16"/>
      <c r="AG710" s="16"/>
      <c r="AI710" s="69" cm="1">
        <f t="array" ref="AI710">tuple_avg(T710)/tuple_avg(AA710)</f>
        <v>0.03</v>
      </c>
      <c r="AJ710" s="69">
        <f>AC710*AI710*'-配置辅助'!$I$8</f>
        <v>2.6999999999999997</v>
      </c>
      <c r="AK710" s="69">
        <f>AD710*AI710*'-配置辅助'!$I$10</f>
        <v>6</v>
      </c>
      <c r="AL710" s="69">
        <f>AJ710*_xlfn.XLOOKUP(H710,monsters[怪物id],monsters[HP],-1)</f>
        <v>51.3</v>
      </c>
      <c r="AM710" s="69">
        <f>AK710*_xlfn.XLOOKUP(H710,monsters[怪物id],monsters[HP],-1)</f>
        <v>114</v>
      </c>
    </row>
    <row r="711" spans="1:41" x14ac:dyDescent="0.2">
      <c r="Q711" s="19"/>
    </row>
    <row r="712" spans="1:41" x14ac:dyDescent="0.2">
      <c r="A712" s="9">
        <v>420801</v>
      </c>
      <c r="B712" s="9" t="str" cm="1">
        <f t="array" ref="B712">D712&amp;_xlfn.TEXTJOIN("",1,TEXT(E712:G712,"00"))</f>
        <v>1010000</v>
      </c>
      <c r="C712" s="30" t="str">
        <f t="shared" ref="C712:C716" si="411">_xlfn.TEXTJOIN(",",1,A712:B712)</f>
        <v>420801,1010000</v>
      </c>
      <c r="D712" s="26">
        <v>1</v>
      </c>
      <c r="E712" s="26">
        <v>1</v>
      </c>
      <c r="F712" s="26">
        <f>W712</f>
        <v>0</v>
      </c>
      <c r="G712" s="26">
        <v>0</v>
      </c>
      <c r="H712" s="9">
        <v>201801</v>
      </c>
      <c r="I712" s="15" t="str">
        <f>IFERROR(VLOOKUP(H712,monsters[#All],4,0),"")</f>
        <v>金鱼</v>
      </c>
      <c r="J712" s="15" t="str" cm="1">
        <f t="array" ref="J712">_xlfn.LET(_xlpm.v6p,ABS(ATAN2(O712,P712))*6/PI(),
_xlpm.output,_xlfn.IFS(_xlpm.v6p&lt;1,"正前",_xlpm.v6p&gt;5,"正后",AND(_xlpm.v6p&lt;5,_xlpm.v6p&gt;2,P712&lt;-1),"脚底",_xlpm.v6p&gt;4,"后上",_xlpm.v6p&lt;2,"前上",TRUE,"顶部"),
IFERROR(_xlpm.output,""))</f>
        <v>顶部</v>
      </c>
      <c r="K712" s="12"/>
      <c r="L712" s="12" t="s">
        <v>63</v>
      </c>
      <c r="M712" s="12" t="s">
        <v>63</v>
      </c>
      <c r="N712" s="19" t="str">
        <f>O712+0&amp;","&amp;P712+0</f>
        <v>7,14</v>
      </c>
      <c r="O712" s="24">
        <v>7</v>
      </c>
      <c r="P712" s="24">
        <v>14</v>
      </c>
      <c r="Q712" s="19">
        <f t="shared" ref="Q712:Q716" si="412">_xlfn.LET(_xlpm._default,1,
_xlpm._custom,R712,
IF($A712&lt;&gt;"",IF(_xlpm._custom&lt;&gt;"",_xlpm._custom,_xlpm._default),""))</f>
        <v>1</v>
      </c>
      <c r="S712" s="9">
        <v>6</v>
      </c>
      <c r="T712" s="19" t="str">
        <f>IF(U712&lt;&gt;"", U712+0&amp;","&amp;V712+0,"")</f>
        <v>1,1</v>
      </c>
      <c r="U712" s="24">
        <v>1</v>
      </c>
      <c r="V712" s="24">
        <v>1</v>
      </c>
      <c r="W712" s="9">
        <v>0</v>
      </c>
      <c r="X712" s="9">
        <v>11</v>
      </c>
      <c r="Y712" s="19" t="str">
        <f>IF($A712&lt;&gt;"",IF($Z712&lt;&gt;"",$Z712,"0,0"),"")</f>
        <v>70,75</v>
      </c>
      <c r="Z712" s="24" t="s">
        <v>132</v>
      </c>
      <c r="AA712" s="19" t="str">
        <f>IF($A712&lt;&gt;"",IF($AB712&lt;&gt;"",$AB712,"80,120"),"")</f>
        <v>80,120</v>
      </c>
      <c r="AC712" s="9">
        <v>0.5</v>
      </c>
      <c r="AD712" s="9">
        <v>8</v>
      </c>
      <c r="AE712" s="9">
        <v>0.3</v>
      </c>
      <c r="AF712" s="16"/>
      <c r="AG712" s="16"/>
      <c r="AI712" s="69" cm="1">
        <f t="array" ref="AI712">tuple_avg(T712)/tuple_avg(AA712)</f>
        <v>0.01</v>
      </c>
      <c r="AJ712" s="69">
        <f>AC712*AI712*'-配置辅助'!$I$8</f>
        <v>0.5</v>
      </c>
      <c r="AK712" s="69">
        <f>AD712*AI712*'-配置辅助'!$I$10</f>
        <v>1.3333333333333335</v>
      </c>
      <c r="AL712" s="69">
        <f>AJ712*_xlfn.XLOOKUP(H712,monsters[怪物id],monsters[HP],-1)</f>
        <v>9.5</v>
      </c>
      <c r="AM712" s="69">
        <f>AK712*_xlfn.XLOOKUP(H712,monsters[怪物id],monsters[HP],-1)</f>
        <v>25.333333333333336</v>
      </c>
    </row>
    <row r="713" spans="1:41" x14ac:dyDescent="0.2">
      <c r="A713" s="9">
        <v>420801</v>
      </c>
      <c r="B713" s="9" t="str" cm="1">
        <f t="array" ref="B713">D713&amp;_xlfn.TEXTJOIN("",1,TEXT(E713:G713,"00"))</f>
        <v>1010001</v>
      </c>
      <c r="C713" s="30" t="str">
        <f t="shared" si="411"/>
        <v>420801,1010001</v>
      </c>
      <c r="D713" s="26">
        <v>1</v>
      </c>
      <c r="E713" s="26">
        <v>1</v>
      </c>
      <c r="F713" s="26">
        <f>W713</f>
        <v>0</v>
      </c>
      <c r="G713" s="26">
        <v>1</v>
      </c>
      <c r="H713" s="9">
        <v>201801</v>
      </c>
      <c r="I713" s="15" t="str">
        <f>IFERROR(VLOOKUP(H713,monsters[#All],4,0),"")</f>
        <v>金鱼</v>
      </c>
      <c r="J713" s="15" t="str" cm="1">
        <f t="array" ref="J713">_xlfn.LET(_xlpm.v6p,ABS(ATAN2(O713,P713))*6/PI(),
_xlpm.output,_xlfn.IFS(_xlpm.v6p&lt;1,"正前",_xlpm.v6p&gt;5,"正后",AND(_xlpm.v6p&lt;5,_xlpm.v6p&gt;2,P713&lt;-1),"脚底",_xlpm.v6p&gt;4,"后上",_xlpm.v6p&lt;2,"前上",TRUE,"顶部"),
IFERROR(_xlpm.output,""))</f>
        <v>顶部</v>
      </c>
      <c r="K713" s="12"/>
      <c r="L713" s="12" t="s">
        <v>63</v>
      </c>
      <c r="M713" s="12" t="s">
        <v>63</v>
      </c>
      <c r="N713" s="19" t="str">
        <f>O713+0&amp;","&amp;P713+0</f>
        <v>7,14</v>
      </c>
      <c r="O713" s="24">
        <v>7</v>
      </c>
      <c r="P713" s="24">
        <v>14</v>
      </c>
      <c r="Q713" s="19">
        <f t="shared" si="412"/>
        <v>1.5</v>
      </c>
      <c r="R713" s="24">
        <v>1.5</v>
      </c>
      <c r="S713" s="9">
        <v>7</v>
      </c>
      <c r="T713" s="19" t="str">
        <f>IF(U713&lt;&gt;"", U713+0&amp;","&amp;V713+0,"")</f>
        <v>1,2</v>
      </c>
      <c r="U713" s="24">
        <v>1</v>
      </c>
      <c r="V713" s="24">
        <v>2</v>
      </c>
      <c r="W713" s="9">
        <v>0</v>
      </c>
      <c r="X713" s="9">
        <v>11</v>
      </c>
      <c r="Y713" s="19" t="str">
        <f>IF($A713&lt;&gt;"",IF($Z713&lt;&gt;"",$Z713,"0,0"),"")</f>
        <v>0,0</v>
      </c>
      <c r="AA713" s="19" t="str">
        <f>IF($A713&lt;&gt;"",IF($AB713&lt;&gt;"",$AB713,"80,120"),"")</f>
        <v>80,120</v>
      </c>
      <c r="AC713" s="9">
        <v>0.55000000000000004</v>
      </c>
      <c r="AD713" s="9">
        <v>9</v>
      </c>
      <c r="AE713" s="9">
        <v>0.3</v>
      </c>
      <c r="AF713" s="16"/>
      <c r="AG713" s="16"/>
      <c r="AI713" s="69" cm="1">
        <f t="array" ref="AI713">tuple_avg(T713)/tuple_avg(AA713)</f>
        <v>1.4999999999999999E-2</v>
      </c>
      <c r="AJ713" s="69">
        <f>AC713*AI713*'-配置辅助'!$I$8</f>
        <v>0.82500000000000007</v>
      </c>
      <c r="AK713" s="69">
        <f>AD713*AI713*'-配置辅助'!$I$10</f>
        <v>2.2500000000000004</v>
      </c>
      <c r="AL713" s="69">
        <f>AJ713*_xlfn.XLOOKUP(H713,monsters[怪物id],monsters[HP],-1)</f>
        <v>15.675000000000001</v>
      </c>
      <c r="AM713" s="69">
        <f>AK713*_xlfn.XLOOKUP(H713,monsters[怪物id],monsters[HP],-1)</f>
        <v>42.750000000000007</v>
      </c>
    </row>
    <row r="714" spans="1:41" x14ac:dyDescent="0.2">
      <c r="A714" s="9">
        <v>420801</v>
      </c>
      <c r="B714" s="9" t="str" cm="1">
        <f t="array" ref="B714">D714&amp;_xlfn.TEXTJOIN("",1,TEXT(E714:G714,"00"))</f>
        <v>1010002</v>
      </c>
      <c r="C714" s="30" t="str">
        <f t="shared" si="411"/>
        <v>420801,1010002</v>
      </c>
      <c r="D714" s="26">
        <v>1</v>
      </c>
      <c r="E714" s="26">
        <v>1</v>
      </c>
      <c r="F714" s="26">
        <f>W714</f>
        <v>0</v>
      </c>
      <c r="G714" s="26">
        <v>2</v>
      </c>
      <c r="H714" s="9">
        <v>201801</v>
      </c>
      <c r="I714" s="15" t="str">
        <f>IFERROR(VLOOKUP(H714,monsters[#All],4,0),"")</f>
        <v>金鱼</v>
      </c>
      <c r="J714" s="15" t="str" cm="1">
        <f t="array" ref="J714">_xlfn.LET(_xlpm.v6p,ABS(ATAN2(O714,P714))*6/PI(),
_xlpm.output,_xlfn.IFS(_xlpm.v6p&lt;1,"正前",_xlpm.v6p&gt;5,"正后",AND(_xlpm.v6p&lt;5,_xlpm.v6p&gt;2,P714&lt;-1),"脚底",_xlpm.v6p&gt;4,"后上",_xlpm.v6p&lt;2,"前上",TRUE,"顶部"),
IFERROR(_xlpm.output,""))</f>
        <v>顶部</v>
      </c>
      <c r="K714" s="12"/>
      <c r="L714" s="12" t="s">
        <v>63</v>
      </c>
      <c r="M714" s="12" t="s">
        <v>63</v>
      </c>
      <c r="N714" s="19" t="str">
        <f>O714+0&amp;","&amp;P714+0</f>
        <v>7,14</v>
      </c>
      <c r="O714" s="24">
        <v>7</v>
      </c>
      <c r="P714" s="24">
        <v>14</v>
      </c>
      <c r="Q714" s="19">
        <f t="shared" si="412"/>
        <v>2</v>
      </c>
      <c r="R714" s="42">
        <v>2</v>
      </c>
      <c r="S714" s="9">
        <v>9</v>
      </c>
      <c r="T714" s="19" t="str">
        <f>IF(U714&lt;&gt;"", U714+0&amp;","&amp;V714+0,"")</f>
        <v>2,2</v>
      </c>
      <c r="U714" s="24">
        <v>2</v>
      </c>
      <c r="V714" s="24">
        <v>2</v>
      </c>
      <c r="W714" s="9">
        <v>0</v>
      </c>
      <c r="X714" s="9">
        <v>11</v>
      </c>
      <c r="Y714" s="19" t="str">
        <f>IF($A714&lt;&gt;"",IF($Z714&lt;&gt;"",$Z714,"0,0"),"")</f>
        <v>-105,-100</v>
      </c>
      <c r="Z714" s="42" t="s">
        <v>133</v>
      </c>
      <c r="AA714" s="19" t="str">
        <f>IF($A714&lt;&gt;"",IF($AB714&lt;&gt;"",$AB714,"80,120"),"")</f>
        <v>80,120</v>
      </c>
      <c r="AC714" s="9">
        <v>0.65</v>
      </c>
      <c r="AD714" s="9">
        <v>10</v>
      </c>
      <c r="AE714" s="9">
        <v>0.3</v>
      </c>
      <c r="AF714" s="16"/>
      <c r="AG714" s="16"/>
      <c r="AI714" s="69" cm="1">
        <f t="array" ref="AI714">tuple_avg(T714)/tuple_avg(AA714)</f>
        <v>0.02</v>
      </c>
      <c r="AJ714" s="69">
        <f>AC714*AI714*'-配置辅助'!$I$8</f>
        <v>1.3</v>
      </c>
      <c r="AK714" s="69">
        <f>AD714*AI714*'-配置辅助'!$I$10</f>
        <v>3.3333333333333339</v>
      </c>
      <c r="AL714" s="69">
        <f>AJ714*_xlfn.XLOOKUP(H714,monsters[怪物id],monsters[HP],-1)</f>
        <v>24.7</v>
      </c>
      <c r="AM714" s="69">
        <f>AK714*_xlfn.XLOOKUP(H714,monsters[怪物id],monsters[HP],-1)</f>
        <v>63.333333333333343</v>
      </c>
    </row>
    <row r="715" spans="1:41" x14ac:dyDescent="0.2">
      <c r="A715" s="9">
        <v>420801</v>
      </c>
      <c r="B715" s="9" t="str" cm="1">
        <f t="array" ref="B715">D715&amp;_xlfn.TEXTJOIN("",1,TEXT(E715:G715,"00"))</f>
        <v>1010003</v>
      </c>
      <c r="C715" s="30" t="str">
        <f t="shared" si="411"/>
        <v>420801,1010003</v>
      </c>
      <c r="D715" s="26">
        <v>1</v>
      </c>
      <c r="E715" s="26">
        <v>1</v>
      </c>
      <c r="F715" s="26">
        <f>W715</f>
        <v>0</v>
      </c>
      <c r="G715" s="26">
        <v>3</v>
      </c>
      <c r="H715" s="9">
        <v>201801</v>
      </c>
      <c r="I715" s="15" t="str">
        <f>IFERROR(VLOOKUP(H715,monsters[#All],4,0),"")</f>
        <v>金鱼</v>
      </c>
      <c r="J715" s="15" t="str" cm="1">
        <f t="array" ref="J715">_xlfn.LET(_xlpm.v6p,ABS(ATAN2(O715,P715))*6/PI(),
_xlpm.output,_xlfn.IFS(_xlpm.v6p&lt;1,"正前",_xlpm.v6p&gt;5,"正后",AND(_xlpm.v6p&lt;5,_xlpm.v6p&gt;2,P715&lt;-1),"脚底",_xlpm.v6p&gt;4,"后上",_xlpm.v6p&lt;2,"前上",TRUE,"顶部"),
IFERROR(_xlpm.output,""))</f>
        <v>顶部</v>
      </c>
      <c r="K715" s="12"/>
      <c r="L715" s="12" t="s">
        <v>63</v>
      </c>
      <c r="M715" s="12" t="s">
        <v>63</v>
      </c>
      <c r="N715" s="19" t="str">
        <f>O715+0&amp;","&amp;P715+0</f>
        <v>7,14</v>
      </c>
      <c r="O715" s="24">
        <v>7</v>
      </c>
      <c r="P715" s="24">
        <v>14</v>
      </c>
      <c r="Q715" s="19">
        <f t="shared" si="412"/>
        <v>2.5</v>
      </c>
      <c r="R715" s="42">
        <v>2.5</v>
      </c>
      <c r="S715" s="9">
        <v>12</v>
      </c>
      <c r="T715" s="19" t="str">
        <f>IF(U715&lt;&gt;"", U715+0&amp;","&amp;V715+0,"")</f>
        <v>2,3</v>
      </c>
      <c r="U715" s="24">
        <v>2</v>
      </c>
      <c r="V715" s="24">
        <v>3</v>
      </c>
      <c r="W715" s="9">
        <v>0</v>
      </c>
      <c r="X715" s="9">
        <v>11</v>
      </c>
      <c r="Y715" s="19" t="str">
        <f>IF($A715&lt;&gt;"",IF($Z715&lt;&gt;"",$Z715,"0,0"),"")</f>
        <v>-245,-240</v>
      </c>
      <c r="Z715" s="42" t="s">
        <v>265</v>
      </c>
      <c r="AA715" s="19" t="str">
        <f>IF($A715&lt;&gt;"",IF($AB715&lt;&gt;"",$AB715,"80,120"),"")</f>
        <v>80,120</v>
      </c>
      <c r="AC715" s="9">
        <v>0.75</v>
      </c>
      <c r="AD715" s="9">
        <v>11</v>
      </c>
      <c r="AE715" s="9">
        <v>0.3</v>
      </c>
      <c r="AF715" s="16"/>
      <c r="AG715" s="16"/>
      <c r="AI715" s="69" cm="1">
        <f t="array" ref="AI715">tuple_avg(T715)/tuple_avg(AA715)</f>
        <v>2.5000000000000001E-2</v>
      </c>
      <c r="AJ715" s="69">
        <f>AC715*AI715*'-配置辅助'!$I$8</f>
        <v>1.8750000000000002</v>
      </c>
      <c r="AK715" s="69">
        <f>AD715*AI715*'-配置辅助'!$I$10</f>
        <v>4.5833333333333339</v>
      </c>
      <c r="AL715" s="69">
        <f>AJ715*_xlfn.XLOOKUP(H715,monsters[怪物id],monsters[HP],-1)</f>
        <v>35.625000000000007</v>
      </c>
      <c r="AM715" s="69">
        <f>AK715*_xlfn.XLOOKUP(H715,monsters[怪物id],monsters[HP],-1)</f>
        <v>87.083333333333343</v>
      </c>
    </row>
    <row r="716" spans="1:41" x14ac:dyDescent="0.2">
      <c r="A716" s="9">
        <v>420801</v>
      </c>
      <c r="B716" s="9" t="str" cm="1">
        <f t="array" ref="B716">D716&amp;_xlfn.TEXTJOIN("",1,TEXT(E716:G716,"00"))</f>
        <v>1010004</v>
      </c>
      <c r="C716" s="30" t="str">
        <f t="shared" si="411"/>
        <v>420801,1010004</v>
      </c>
      <c r="D716" s="26">
        <v>1</v>
      </c>
      <c r="E716" s="26">
        <v>1</v>
      </c>
      <c r="F716" s="26">
        <f>W716</f>
        <v>0</v>
      </c>
      <c r="G716" s="26">
        <v>4</v>
      </c>
      <c r="H716" s="9">
        <v>201801</v>
      </c>
      <c r="I716" s="15" t="str">
        <f>IFERROR(VLOOKUP(H716,monsters[#All],4,0),"")</f>
        <v>金鱼</v>
      </c>
      <c r="J716" s="15" t="str" cm="1">
        <f t="array" ref="J716">_xlfn.LET(_xlpm.v6p,ABS(ATAN2(O716,P716))*6/PI(),
_xlpm.output,_xlfn.IFS(_xlpm.v6p&lt;1,"正前",_xlpm.v6p&gt;5,"正后",AND(_xlpm.v6p&lt;5,_xlpm.v6p&gt;2,P716&lt;-1),"脚底",_xlpm.v6p&gt;4,"后上",_xlpm.v6p&lt;2,"前上",TRUE,"顶部"),
IFERROR(_xlpm.output,""))</f>
        <v>顶部</v>
      </c>
      <c r="K716" s="12"/>
      <c r="L716" s="12" t="s">
        <v>63</v>
      </c>
      <c r="M716" s="12" t="s">
        <v>63</v>
      </c>
      <c r="N716" s="19" t="str">
        <f>O716+0&amp;","&amp;P716+0</f>
        <v>7,14</v>
      </c>
      <c r="O716" s="24">
        <v>7</v>
      </c>
      <c r="P716" s="24">
        <v>14</v>
      </c>
      <c r="Q716" s="19">
        <f t="shared" si="412"/>
        <v>3</v>
      </c>
      <c r="R716" s="42">
        <v>3</v>
      </c>
      <c r="S716" s="9">
        <v>14</v>
      </c>
      <c r="T716" s="19" t="str">
        <f>IF(U716&lt;&gt;"", U716+0&amp;","&amp;V716+0,"")</f>
        <v>3,3</v>
      </c>
      <c r="U716" s="24">
        <v>3</v>
      </c>
      <c r="V716" s="24">
        <v>3</v>
      </c>
      <c r="W716" s="9">
        <v>0</v>
      </c>
      <c r="X716" s="9">
        <v>11</v>
      </c>
      <c r="Y716" s="19" t="str">
        <f>IF($A716&lt;&gt;"",IF($Z716&lt;&gt;"",$Z716,"0,0"),"")</f>
        <v>-405,-400</v>
      </c>
      <c r="Z716" s="42" t="s">
        <v>264</v>
      </c>
      <c r="AA716" s="19" t="str">
        <f>IF($A716&lt;&gt;"",IF($AB716&lt;&gt;"",$AB716,"80,120"),"")</f>
        <v>80,120</v>
      </c>
      <c r="AC716" s="9">
        <v>0.89999999999999991</v>
      </c>
      <c r="AD716" s="9">
        <v>12</v>
      </c>
      <c r="AE716" s="9">
        <v>0.3</v>
      </c>
      <c r="AF716" s="16"/>
      <c r="AG716" s="16"/>
      <c r="AI716" s="69" cm="1">
        <f t="array" ref="AI716">tuple_avg(T716)/tuple_avg(AA716)</f>
        <v>0.03</v>
      </c>
      <c r="AJ716" s="69">
        <f>AC716*AI716*'-配置辅助'!$I$8</f>
        <v>2.6999999999999997</v>
      </c>
      <c r="AK716" s="69">
        <f>AD716*AI716*'-配置辅助'!$I$10</f>
        <v>6</v>
      </c>
      <c r="AL716" s="69">
        <f>AJ716*_xlfn.XLOOKUP(H716,monsters[怪物id],monsters[HP],-1)</f>
        <v>51.3</v>
      </c>
      <c r="AM716" s="69">
        <f>AK716*_xlfn.XLOOKUP(H716,monsters[怪物id],monsters[HP],-1)</f>
        <v>114</v>
      </c>
    </row>
    <row r="719" spans="1:41" s="40" customFormat="1" x14ac:dyDescent="0.2">
      <c r="A719" s="43"/>
      <c r="B719" s="43"/>
      <c r="C719" s="44" t="str">
        <f t="shared" ref="C719" si="413">_xlfn.TEXTJOIN(",",1,A719:B719)</f>
        <v/>
      </c>
      <c r="D719" s="45"/>
      <c r="E719" s="45"/>
      <c r="F719" s="45"/>
      <c r="G719" s="45"/>
      <c r="H719" s="43" t="s">
        <v>116</v>
      </c>
      <c r="I719" s="46"/>
      <c r="J719" s="46"/>
      <c r="O719" s="47"/>
      <c r="P719" s="47"/>
      <c r="R719" s="47"/>
      <c r="S719" s="40" t="s">
        <v>62</v>
      </c>
      <c r="U719" s="47"/>
      <c r="V719" s="47"/>
      <c r="Z719" s="47"/>
      <c r="AB719" s="47"/>
      <c r="AC719" s="40" t="s">
        <v>62</v>
      </c>
      <c r="AI719" s="75"/>
      <c r="AJ719" s="75">
        <f>SUM(AJ721:AJ722)</f>
        <v>1.65</v>
      </c>
      <c r="AK719" s="75">
        <f>SUM(AK721:AK722)</f>
        <v>3.8333333333333335</v>
      </c>
      <c r="AL719" s="75">
        <f>SUM(AL721:AL729)</f>
        <v>280.8</v>
      </c>
      <c r="AM719" s="75">
        <f>SUM(AM721:AM729)</f>
        <v>676</v>
      </c>
      <c r="AN719" s="75"/>
      <c r="AO719" s="75">
        <f>SUM(AO721:AO734)</f>
        <v>128</v>
      </c>
    </row>
    <row r="721" spans="1:41" x14ac:dyDescent="0.2">
      <c r="A721" s="9">
        <v>420802</v>
      </c>
      <c r="B721" s="9" t="str" cm="1">
        <f t="array" ref="B721">D721&amp;_xlfn.TEXTJOIN("",1,TEXT(E721:G721,"00"))</f>
        <v>1000000</v>
      </c>
      <c r="C721" s="30" t="str">
        <f t="shared" ref="C721" si="414">_xlfn.TEXTJOIN(",",1,A721:B721)</f>
        <v>420802,1000000</v>
      </c>
      <c r="D721" s="26">
        <v>1</v>
      </c>
      <c r="E721" s="26">
        <v>0</v>
      </c>
      <c r="F721" s="26">
        <f>W721</f>
        <v>0</v>
      </c>
      <c r="G721" s="26">
        <v>0</v>
      </c>
      <c r="H721" s="9">
        <v>201803</v>
      </c>
      <c r="I721" s="15" t="str">
        <f>IFERROR(VLOOKUP(H721,monsters[#All],4,0),"")</f>
        <v>海藻小妖</v>
      </c>
      <c r="J721" s="15" t="str" cm="1">
        <f t="array" ref="J721">_xlfn.LET(_xlpm.v6p,ABS(ATAN2(O721,P721))*6/PI(),
_xlpm.output,_xlfn.IFS(_xlpm.v6p&lt;1,"正前",_xlpm.v6p&gt;5,"正后",AND(_xlpm.v6p&lt;5,_xlpm.v6p&gt;2,P721&lt;-1),"脚底",_xlpm.v6p&gt;4,"后上",_xlpm.v6p&lt;2,"前上",TRUE,"顶部"),
IFERROR(_xlpm.output,""))</f>
        <v>前上</v>
      </c>
      <c r="K721" s="12"/>
      <c r="L721" s="12" t="s">
        <v>63</v>
      </c>
      <c r="M721" s="12" t="s">
        <v>63</v>
      </c>
      <c r="N721" s="19" t="str">
        <f>O721+0&amp;","&amp;P721+0</f>
        <v>15,9</v>
      </c>
      <c r="O721" s="24">
        <v>15</v>
      </c>
      <c r="P721" s="24">
        <v>9</v>
      </c>
      <c r="Q721" s="19">
        <f t="shared" ref="Q721:Q736" si="415">_xlfn.LET(_xlpm._default,1,
_xlpm._custom,R721,
IF($A721&lt;&gt;"",IF(_xlpm._custom&lt;&gt;"",_xlpm._custom,_xlpm._default),""))</f>
        <v>1</v>
      </c>
      <c r="S721" s="9">
        <v>5</v>
      </c>
      <c r="T721" s="19" t="str">
        <f>IF(U721&lt;&gt;"", U721+0&amp;","&amp;V721+0,"")</f>
        <v>1,1</v>
      </c>
      <c r="U721" s="24">
        <v>1</v>
      </c>
      <c r="V721" s="24">
        <v>1</v>
      </c>
      <c r="W721" s="9">
        <v>0</v>
      </c>
      <c r="X721" s="9">
        <v>11</v>
      </c>
      <c r="Y721" s="19" t="str">
        <f t="shared" ref="Y721:Y734" si="416">IF($A721&lt;&gt;"",IF($Z721&lt;&gt;"",$Z721,"0,0"),"")</f>
        <v>70,75</v>
      </c>
      <c r="Z721" s="24" t="s">
        <v>132</v>
      </c>
      <c r="AA721" s="19" t="str">
        <f>IF($A721&lt;&gt;"",IF($AB721&lt;&gt;"",$AB721,"80,120"),"")</f>
        <v>80,120</v>
      </c>
      <c r="AC721" s="9">
        <v>0.6</v>
      </c>
      <c r="AD721" s="9">
        <v>8</v>
      </c>
      <c r="AE721" s="9">
        <v>0.3</v>
      </c>
      <c r="AF721" s="16"/>
      <c r="AG721" s="16"/>
      <c r="AI721" s="69" cm="1">
        <f t="array" ref="AI721">tuple_avg(T721)/tuple_avg(AA721)</f>
        <v>0.01</v>
      </c>
      <c r="AJ721" s="69">
        <f>AC721*AI721*'-配置辅助'!$I$8</f>
        <v>0.6</v>
      </c>
      <c r="AK721" s="69">
        <f>AD721*AI721*'-配置辅助'!$I$10</f>
        <v>1.3333333333333335</v>
      </c>
      <c r="AL721" s="69">
        <f>AJ721*_xlfn.XLOOKUP(H721,monsters[怪物id],monsters[HP],-1)</f>
        <v>14.399999999999999</v>
      </c>
      <c r="AM721" s="69">
        <f>AK721*_xlfn.XLOOKUP(H721,monsters[怪物id],monsters[HP],-1)</f>
        <v>32</v>
      </c>
    </row>
    <row r="722" spans="1:41" x14ac:dyDescent="0.2">
      <c r="A722" s="9">
        <v>420802</v>
      </c>
      <c r="B722" s="9" t="str" cm="1">
        <f t="array" ref="B722">D722&amp;_xlfn.TEXTJOIN("",1,TEXT(E722:G722,"00"))</f>
        <v>1000001</v>
      </c>
      <c r="C722" s="30" t="str">
        <f t="shared" ref="C722" si="417">_xlfn.TEXTJOIN(",",1,A722:B722)</f>
        <v>420802,1000001</v>
      </c>
      <c r="D722" s="26">
        <v>1</v>
      </c>
      <c r="E722" s="26">
        <v>0</v>
      </c>
      <c r="F722" s="26">
        <f>W722</f>
        <v>0</v>
      </c>
      <c r="G722" s="26">
        <v>1</v>
      </c>
      <c r="H722" s="9">
        <v>201803</v>
      </c>
      <c r="I722" s="15" t="str">
        <f>IFERROR(VLOOKUP(H722,monsters[#All],4,0),"")</f>
        <v>海藻小妖</v>
      </c>
      <c r="J722" s="15" t="str" cm="1">
        <f t="array" ref="J722">_xlfn.LET(_xlpm.v6p,ABS(ATAN2(O722,P722))*6/PI(),
_xlpm.output,_xlfn.IFS(_xlpm.v6p&lt;1,"正前",_xlpm.v6p&gt;5,"正后",AND(_xlpm.v6p&lt;5,_xlpm.v6p&gt;2,P722&lt;-1),"脚底",_xlpm.v6p&gt;4,"后上",_xlpm.v6p&lt;2,"前上",TRUE,"顶部"),
IFERROR(_xlpm.output,""))</f>
        <v>前上</v>
      </c>
      <c r="K722" s="12"/>
      <c r="L722" s="12" t="s">
        <v>63</v>
      </c>
      <c r="M722" s="12" t="s">
        <v>63</v>
      </c>
      <c r="N722" s="19" t="str">
        <f>O722+0&amp;","&amp;P722+0</f>
        <v>15,9</v>
      </c>
      <c r="O722" s="24">
        <v>15</v>
      </c>
      <c r="P722" s="24">
        <v>9</v>
      </c>
      <c r="Q722" s="19">
        <f t="shared" si="415"/>
        <v>1</v>
      </c>
      <c r="S722" s="9">
        <v>6</v>
      </c>
      <c r="T722" s="19" t="str">
        <f>IF(U722&lt;&gt;"", U722+0&amp;","&amp;V722+0,"")</f>
        <v>1,2</v>
      </c>
      <c r="U722" s="24">
        <v>1</v>
      </c>
      <c r="V722" s="24">
        <v>2</v>
      </c>
      <c r="W722" s="9">
        <v>0</v>
      </c>
      <c r="X722" s="9">
        <v>11</v>
      </c>
      <c r="Y722" s="19" t="str">
        <f t="shared" si="416"/>
        <v>0,0</v>
      </c>
      <c r="AA722" s="19" t="str">
        <f>IF($A722&lt;&gt;"",IF($AB722&lt;&gt;"",$AB722,"80,120"),"")</f>
        <v>80,120</v>
      </c>
      <c r="AC722" s="9">
        <v>0.7</v>
      </c>
      <c r="AD722" s="9">
        <v>10</v>
      </c>
      <c r="AE722" s="9">
        <v>0.3</v>
      </c>
      <c r="AF722" s="16"/>
      <c r="AG722" s="16"/>
      <c r="AI722" s="69" cm="1">
        <f t="array" ref="AI722">tuple_avg(T722)/tuple_avg(AA722)</f>
        <v>1.4999999999999999E-2</v>
      </c>
      <c r="AJ722" s="69">
        <f>AC722*AI722*'-配置辅助'!$I$8</f>
        <v>1.0499999999999998</v>
      </c>
      <c r="AK722" s="69">
        <f>AD722*AI722*'-配置辅助'!$I$10</f>
        <v>2.5</v>
      </c>
      <c r="AL722" s="69">
        <f>AJ722*_xlfn.XLOOKUP(H722,monsters[怪物id],monsters[HP],-1)</f>
        <v>25.199999999999996</v>
      </c>
      <c r="AM722" s="69">
        <f>AK722*_xlfn.XLOOKUP(H722,monsters[怪物id],monsters[HP],-1)</f>
        <v>60</v>
      </c>
    </row>
    <row r="723" spans="1:41" x14ac:dyDescent="0.2">
      <c r="A723" s="9">
        <v>420802</v>
      </c>
      <c r="B723" s="9" t="str" cm="1">
        <f t="array" ref="B723">D723&amp;_xlfn.TEXTJOIN("",1,TEXT(E723:G723,"00"))</f>
        <v>1000002</v>
      </c>
      <c r="C723" s="30" t="str">
        <f t="shared" ref="C723" si="418">_xlfn.TEXTJOIN(",",1,A723:B723)</f>
        <v>420802,1000002</v>
      </c>
      <c r="D723" s="26">
        <v>1</v>
      </c>
      <c r="E723" s="26">
        <v>0</v>
      </c>
      <c r="F723" s="26">
        <f>W723</f>
        <v>0</v>
      </c>
      <c r="G723" s="26">
        <v>2</v>
      </c>
      <c r="H723" s="9">
        <v>201803</v>
      </c>
      <c r="I723" s="15" t="str">
        <f>IFERROR(VLOOKUP(H723,monsters[#All],4,0),"")</f>
        <v>海藻小妖</v>
      </c>
      <c r="J723" s="15" t="str" cm="1">
        <f t="array" ref="J723">_xlfn.LET(_xlpm.v6p,ABS(ATAN2(O723,P723))*6/PI(),
_xlpm.output,_xlfn.IFS(_xlpm.v6p&lt;1,"正前",_xlpm.v6p&gt;5,"正后",AND(_xlpm.v6p&lt;5,_xlpm.v6p&gt;2,P723&lt;-1),"脚底",_xlpm.v6p&gt;4,"后上",_xlpm.v6p&lt;2,"前上",TRUE,"顶部"),
IFERROR(_xlpm.output,""))</f>
        <v>前上</v>
      </c>
      <c r="K723" s="12"/>
      <c r="L723" s="12" t="s">
        <v>63</v>
      </c>
      <c r="M723" s="12" t="s">
        <v>63</v>
      </c>
      <c r="N723" s="19" t="str">
        <f>O723+0&amp;","&amp;P723+0</f>
        <v>15,9</v>
      </c>
      <c r="O723" s="24">
        <v>15</v>
      </c>
      <c r="P723" s="24">
        <v>9</v>
      </c>
      <c r="Q723" s="19">
        <f t="shared" si="415"/>
        <v>1</v>
      </c>
      <c r="R723" s="42"/>
      <c r="S723" s="9">
        <v>7</v>
      </c>
      <c r="T723" s="19" t="str">
        <f>IF(U723&lt;&gt;"", U723+0&amp;","&amp;V723+0,"")</f>
        <v>2,2</v>
      </c>
      <c r="U723" s="24">
        <v>2</v>
      </c>
      <c r="V723" s="24">
        <v>2</v>
      </c>
      <c r="W723" s="9">
        <v>0</v>
      </c>
      <c r="X723" s="9">
        <v>11</v>
      </c>
      <c r="Y723" s="19" t="str">
        <f t="shared" si="416"/>
        <v>-105,-100</v>
      </c>
      <c r="Z723" s="42" t="s">
        <v>133</v>
      </c>
      <c r="AA723" s="19" t="str">
        <f>IF($A723&lt;&gt;"",IF($AB723&lt;&gt;"",$AB723,"80,120"),"")</f>
        <v>80,120</v>
      </c>
      <c r="AC723" s="9">
        <v>0.85</v>
      </c>
      <c r="AD723" s="9">
        <v>12</v>
      </c>
      <c r="AE723" s="9">
        <v>0.3</v>
      </c>
      <c r="AF723" s="16"/>
      <c r="AG723" s="16"/>
      <c r="AI723" s="69" cm="1">
        <f t="array" ref="AI723">tuple_avg(T723)/tuple_avg(AA723)</f>
        <v>0.02</v>
      </c>
      <c r="AJ723" s="69">
        <f>AC723*AI723*'-配置辅助'!$I$8</f>
        <v>1.7000000000000002</v>
      </c>
      <c r="AK723" s="69">
        <f>AD723*AI723*'-配置辅助'!$I$10</f>
        <v>4</v>
      </c>
      <c r="AL723" s="69">
        <f>AJ723*_xlfn.XLOOKUP(H723,monsters[怪物id],monsters[HP],-1)</f>
        <v>40.800000000000004</v>
      </c>
      <c r="AM723" s="69">
        <f>AK723*_xlfn.XLOOKUP(H723,monsters[怪物id],monsters[HP],-1)</f>
        <v>96</v>
      </c>
    </row>
    <row r="724" spans="1:41" x14ac:dyDescent="0.2">
      <c r="A724" s="9">
        <v>420802</v>
      </c>
      <c r="B724" s="9" t="str" cm="1">
        <f t="array" ref="B724">D724&amp;_xlfn.TEXTJOIN("",1,TEXT(E724:G724,"00"))</f>
        <v>1000003</v>
      </c>
      <c r="C724" s="30" t="str">
        <f t="shared" ref="C724" si="419">_xlfn.TEXTJOIN(",",1,A724:B724)</f>
        <v>420802,1000003</v>
      </c>
      <c r="D724" s="26">
        <v>1</v>
      </c>
      <c r="E724" s="26">
        <v>0</v>
      </c>
      <c r="F724" s="26">
        <f>W724</f>
        <v>0</v>
      </c>
      <c r="G724" s="26">
        <v>3</v>
      </c>
      <c r="H724" s="9">
        <v>201803</v>
      </c>
      <c r="I724" s="15" t="str">
        <f>IFERROR(VLOOKUP(H724,monsters[#All],4,0),"")</f>
        <v>海藻小妖</v>
      </c>
      <c r="J724" s="15" t="str" cm="1">
        <f t="array" ref="J724">_xlfn.LET(_xlpm.v6p,ABS(ATAN2(O724,P724))*6/PI(),
_xlpm.output,_xlfn.IFS(_xlpm.v6p&lt;1,"正前",_xlpm.v6p&gt;5,"正后",AND(_xlpm.v6p&lt;5,_xlpm.v6p&gt;2,P724&lt;-1),"脚底",_xlpm.v6p&gt;4,"后上",_xlpm.v6p&lt;2,"前上",TRUE,"顶部"),
IFERROR(_xlpm.output,""))</f>
        <v>前上</v>
      </c>
      <c r="K724" s="12"/>
      <c r="L724" s="12" t="s">
        <v>63</v>
      </c>
      <c r="M724" s="12" t="s">
        <v>63</v>
      </c>
      <c r="N724" s="19" t="str">
        <f>O724+0&amp;","&amp;P724+0</f>
        <v>15,9</v>
      </c>
      <c r="O724" s="24">
        <v>15</v>
      </c>
      <c r="P724" s="24">
        <v>9</v>
      </c>
      <c r="Q724" s="19">
        <f t="shared" ref="Q724" si="420">_xlfn.LET(_xlpm._default,1,
_xlpm._custom,R724,
IF($A724&lt;&gt;"",IF(_xlpm._custom&lt;&gt;"",_xlpm._custom,_xlpm._default),""))</f>
        <v>1</v>
      </c>
      <c r="R724" s="42"/>
      <c r="S724" s="9">
        <v>9</v>
      </c>
      <c r="T724" s="19" t="str">
        <f>IF(U724&lt;&gt;"", U724+0&amp;","&amp;V724+0,"")</f>
        <v>2,3</v>
      </c>
      <c r="U724" s="24">
        <v>2</v>
      </c>
      <c r="V724" s="24">
        <v>3</v>
      </c>
      <c r="W724" s="9">
        <v>0</v>
      </c>
      <c r="X724" s="9">
        <v>11</v>
      </c>
      <c r="Y724" s="19" t="str">
        <f t="shared" si="416"/>
        <v>-235,-240</v>
      </c>
      <c r="Z724" s="42" t="s">
        <v>263</v>
      </c>
      <c r="AA724" s="19" t="str">
        <f>IF($A724&lt;&gt;"",IF($AB724&lt;&gt;"",$AB724,"80,120"),"")</f>
        <v>80,120</v>
      </c>
      <c r="AC724" s="9">
        <v>1</v>
      </c>
      <c r="AD724" s="9">
        <v>15</v>
      </c>
      <c r="AE724" s="9">
        <v>0.3</v>
      </c>
      <c r="AF724" s="16"/>
      <c r="AG724" s="16"/>
      <c r="AI724" s="69" cm="1">
        <f t="array" ref="AI724">tuple_avg(T724)/tuple_avg(AA724)</f>
        <v>2.5000000000000001E-2</v>
      </c>
      <c r="AJ724" s="69">
        <f>AC724*AI724*'-配置辅助'!$I$8</f>
        <v>2.5</v>
      </c>
      <c r="AK724" s="69">
        <f>AD724*AI724*'-配置辅助'!$I$10</f>
        <v>6.25</v>
      </c>
      <c r="AL724" s="69">
        <f>AJ724*_xlfn.XLOOKUP(H724,monsters[怪物id],monsters[HP],-1)</f>
        <v>60</v>
      </c>
      <c r="AM724" s="69">
        <f>AK724*_xlfn.XLOOKUP(H724,monsters[怪物id],monsters[HP],-1)</f>
        <v>150</v>
      </c>
    </row>
    <row r="726" spans="1:41" x14ac:dyDescent="0.2">
      <c r="A726" s="9">
        <v>420802</v>
      </c>
      <c r="B726" s="9" t="str" cm="1">
        <f t="array" ref="B726">D726&amp;_xlfn.TEXTJOIN("",1,TEXT(E726:G726,"00"))</f>
        <v>1010000</v>
      </c>
      <c r="C726" s="30" t="str">
        <f t="shared" ref="C726:C729" si="421">_xlfn.TEXTJOIN(",",1,A726:B726)</f>
        <v>420802,1010000</v>
      </c>
      <c r="D726" s="26">
        <v>1</v>
      </c>
      <c r="E726" s="26">
        <v>1</v>
      </c>
      <c r="F726" s="26">
        <f>W726</f>
        <v>0</v>
      </c>
      <c r="G726" s="26">
        <v>0</v>
      </c>
      <c r="H726" s="9">
        <v>201803</v>
      </c>
      <c r="I726" s="15" t="str">
        <f>IFERROR(VLOOKUP(H726,monsters[#All],4,0),"")</f>
        <v>海藻小妖</v>
      </c>
      <c r="J726" s="15" t="str" cm="1">
        <f t="array" ref="J726">_xlfn.LET(_xlpm.v6p,ABS(ATAN2(O726,P726))*6/PI(),
_xlpm.output,_xlfn.IFS(_xlpm.v6p&lt;1,"正前",_xlpm.v6p&gt;5,"正后",AND(_xlpm.v6p&lt;5,_xlpm.v6p&gt;2,P726&lt;-1),"脚底",_xlpm.v6p&gt;4,"后上",_xlpm.v6p&lt;2,"前上",TRUE,"顶部"),
IFERROR(_xlpm.output,""))</f>
        <v>顶部</v>
      </c>
      <c r="K726" s="12"/>
      <c r="L726" s="12" t="s">
        <v>63</v>
      </c>
      <c r="M726" s="12" t="s">
        <v>63</v>
      </c>
      <c r="N726" s="19" t="str">
        <f>O726+0&amp;","&amp;P726+0</f>
        <v>7,14</v>
      </c>
      <c r="O726" s="24">
        <v>7</v>
      </c>
      <c r="P726" s="24">
        <v>14</v>
      </c>
      <c r="Q726" s="19">
        <f t="shared" ref="Q726:Q729" si="422">_xlfn.LET(_xlpm._default,1,
_xlpm._custom,R726,
IF($A726&lt;&gt;"",IF(_xlpm._custom&lt;&gt;"",_xlpm._custom,_xlpm._default),""))</f>
        <v>1</v>
      </c>
      <c r="S726" s="9">
        <v>5</v>
      </c>
      <c r="T726" s="19" t="str">
        <f>IF(U726&lt;&gt;"", U726+0&amp;","&amp;V726+0,"")</f>
        <v>1,1</v>
      </c>
      <c r="U726" s="24">
        <v>1</v>
      </c>
      <c r="V726" s="24">
        <v>1</v>
      </c>
      <c r="W726" s="9">
        <v>0</v>
      </c>
      <c r="X726" s="9">
        <v>11</v>
      </c>
      <c r="Y726" s="19" t="str">
        <f t="shared" si="416"/>
        <v>70,75</v>
      </c>
      <c r="Z726" s="24" t="s">
        <v>132</v>
      </c>
      <c r="AA726" s="19" t="str">
        <f>IF($A726&lt;&gt;"",IF($AB726&lt;&gt;"",$AB726,"80,120"),"")</f>
        <v>80,120</v>
      </c>
      <c r="AC726" s="9">
        <v>0.6</v>
      </c>
      <c r="AD726" s="9">
        <v>8</v>
      </c>
      <c r="AE726" s="9">
        <v>0.3</v>
      </c>
      <c r="AF726" s="16"/>
      <c r="AG726" s="16"/>
      <c r="AI726" s="69" cm="1">
        <f t="array" ref="AI726">tuple_avg(T726)/tuple_avg(AA726)</f>
        <v>0.01</v>
      </c>
      <c r="AJ726" s="69">
        <f>AC726*AI726*'-配置辅助'!$I$8</f>
        <v>0.6</v>
      </c>
      <c r="AK726" s="69">
        <f>AD726*AI726*'-配置辅助'!$I$10</f>
        <v>1.3333333333333335</v>
      </c>
      <c r="AL726" s="69">
        <f>AJ726*_xlfn.XLOOKUP(H726,monsters[怪物id],monsters[HP],-1)</f>
        <v>14.399999999999999</v>
      </c>
      <c r="AM726" s="69">
        <f>AK726*_xlfn.XLOOKUP(H726,monsters[怪物id],monsters[HP],-1)</f>
        <v>32</v>
      </c>
    </row>
    <row r="727" spans="1:41" x14ac:dyDescent="0.2">
      <c r="A727" s="9">
        <v>420802</v>
      </c>
      <c r="B727" s="9" t="str" cm="1">
        <f t="array" ref="B727">D727&amp;_xlfn.TEXTJOIN("",1,TEXT(E727:G727,"00"))</f>
        <v>1010001</v>
      </c>
      <c r="C727" s="30" t="str">
        <f t="shared" si="421"/>
        <v>420802,1010001</v>
      </c>
      <c r="D727" s="26">
        <v>1</v>
      </c>
      <c r="E727" s="26">
        <v>1</v>
      </c>
      <c r="F727" s="26">
        <f>W727</f>
        <v>0</v>
      </c>
      <c r="G727" s="26">
        <v>1</v>
      </c>
      <c r="H727" s="9">
        <v>201803</v>
      </c>
      <c r="I727" s="15" t="str">
        <f>IFERROR(VLOOKUP(H727,monsters[#All],4,0),"")</f>
        <v>海藻小妖</v>
      </c>
      <c r="J727" s="15" t="str" cm="1">
        <f t="array" ref="J727">_xlfn.LET(_xlpm.v6p,ABS(ATAN2(O727,P727))*6/PI(),
_xlpm.output,_xlfn.IFS(_xlpm.v6p&lt;1,"正前",_xlpm.v6p&gt;5,"正后",AND(_xlpm.v6p&lt;5,_xlpm.v6p&gt;2,P727&lt;-1),"脚底",_xlpm.v6p&gt;4,"后上",_xlpm.v6p&lt;2,"前上",TRUE,"顶部"),
IFERROR(_xlpm.output,""))</f>
        <v>顶部</v>
      </c>
      <c r="K727" s="12"/>
      <c r="L727" s="12" t="s">
        <v>63</v>
      </c>
      <c r="M727" s="12" t="s">
        <v>63</v>
      </c>
      <c r="N727" s="19" t="str">
        <f>O727+0&amp;","&amp;P727+0</f>
        <v>7,14</v>
      </c>
      <c r="O727" s="24">
        <v>7</v>
      </c>
      <c r="P727" s="24">
        <v>14</v>
      </c>
      <c r="Q727" s="19">
        <f t="shared" si="422"/>
        <v>1</v>
      </c>
      <c r="S727" s="9">
        <v>6</v>
      </c>
      <c r="T727" s="19" t="str">
        <f>IF(U727&lt;&gt;"", U727+0&amp;","&amp;V727+0,"")</f>
        <v>1,2</v>
      </c>
      <c r="U727" s="24">
        <v>1</v>
      </c>
      <c r="V727" s="24">
        <v>2</v>
      </c>
      <c r="W727" s="9">
        <v>0</v>
      </c>
      <c r="X727" s="9">
        <v>11</v>
      </c>
      <c r="Y727" s="19" t="str">
        <f t="shared" si="416"/>
        <v>0,0</v>
      </c>
      <c r="AA727" s="19" t="str">
        <f>IF($A727&lt;&gt;"",IF($AB727&lt;&gt;"",$AB727,"80,120"),"")</f>
        <v>80,120</v>
      </c>
      <c r="AC727" s="9">
        <v>0.7</v>
      </c>
      <c r="AD727" s="9">
        <v>10</v>
      </c>
      <c r="AE727" s="9">
        <v>0.3</v>
      </c>
      <c r="AF727" s="16"/>
      <c r="AG727" s="16"/>
      <c r="AI727" s="69" cm="1">
        <f t="array" ref="AI727">tuple_avg(T727)/tuple_avg(AA727)</f>
        <v>1.4999999999999999E-2</v>
      </c>
      <c r="AJ727" s="69">
        <f>AC727*AI727*'-配置辅助'!$I$8</f>
        <v>1.0499999999999998</v>
      </c>
      <c r="AK727" s="69">
        <f>AD727*AI727*'-配置辅助'!$I$10</f>
        <v>2.5</v>
      </c>
      <c r="AL727" s="69">
        <f>AJ727*_xlfn.XLOOKUP(H727,monsters[怪物id],monsters[HP],-1)</f>
        <v>25.199999999999996</v>
      </c>
      <c r="AM727" s="69">
        <f>AK727*_xlfn.XLOOKUP(H727,monsters[怪物id],monsters[HP],-1)</f>
        <v>60</v>
      </c>
    </row>
    <row r="728" spans="1:41" x14ac:dyDescent="0.2">
      <c r="A728" s="9">
        <v>420802</v>
      </c>
      <c r="B728" s="9" t="str" cm="1">
        <f t="array" ref="B728">D728&amp;_xlfn.TEXTJOIN("",1,TEXT(E728:G728,"00"))</f>
        <v>1010002</v>
      </c>
      <c r="C728" s="30" t="str">
        <f t="shared" si="421"/>
        <v>420802,1010002</v>
      </c>
      <c r="D728" s="26">
        <v>1</v>
      </c>
      <c r="E728" s="26">
        <v>1</v>
      </c>
      <c r="F728" s="26">
        <f>W728</f>
        <v>0</v>
      </c>
      <c r="G728" s="26">
        <v>2</v>
      </c>
      <c r="H728" s="9">
        <v>201803</v>
      </c>
      <c r="I728" s="15" t="str">
        <f>IFERROR(VLOOKUP(H728,monsters[#All],4,0),"")</f>
        <v>海藻小妖</v>
      </c>
      <c r="J728" s="15" t="str" cm="1">
        <f t="array" ref="J728">_xlfn.LET(_xlpm.v6p,ABS(ATAN2(O728,P728))*6/PI(),
_xlpm.output,_xlfn.IFS(_xlpm.v6p&lt;1,"正前",_xlpm.v6p&gt;5,"正后",AND(_xlpm.v6p&lt;5,_xlpm.v6p&gt;2,P728&lt;-1),"脚底",_xlpm.v6p&gt;4,"后上",_xlpm.v6p&lt;2,"前上",TRUE,"顶部"),
IFERROR(_xlpm.output,""))</f>
        <v>顶部</v>
      </c>
      <c r="K728" s="12"/>
      <c r="L728" s="12" t="s">
        <v>63</v>
      </c>
      <c r="M728" s="12" t="s">
        <v>63</v>
      </c>
      <c r="N728" s="19" t="str">
        <f>O728+0&amp;","&amp;P728+0</f>
        <v>7,14</v>
      </c>
      <c r="O728" s="24">
        <v>7</v>
      </c>
      <c r="P728" s="24">
        <v>14</v>
      </c>
      <c r="Q728" s="19">
        <f t="shared" si="422"/>
        <v>1</v>
      </c>
      <c r="R728" s="42"/>
      <c r="S728" s="9">
        <v>7</v>
      </c>
      <c r="T728" s="19" t="str">
        <f>IF(U728&lt;&gt;"", U728+0&amp;","&amp;V728+0,"")</f>
        <v>2,2</v>
      </c>
      <c r="U728" s="24">
        <v>2</v>
      </c>
      <c r="V728" s="24">
        <v>2</v>
      </c>
      <c r="W728" s="9">
        <v>0</v>
      </c>
      <c r="X728" s="9">
        <v>11</v>
      </c>
      <c r="Y728" s="19" t="str">
        <f t="shared" si="416"/>
        <v>-105,-100</v>
      </c>
      <c r="Z728" s="42" t="s">
        <v>133</v>
      </c>
      <c r="AA728" s="19" t="str">
        <f>IF($A728&lt;&gt;"",IF($AB728&lt;&gt;"",$AB728,"80,120"),"")</f>
        <v>80,120</v>
      </c>
      <c r="AC728" s="9">
        <v>0.85</v>
      </c>
      <c r="AD728" s="9">
        <v>12</v>
      </c>
      <c r="AE728" s="9">
        <v>0.3</v>
      </c>
      <c r="AF728" s="16"/>
      <c r="AG728" s="16"/>
      <c r="AI728" s="69" cm="1">
        <f t="array" ref="AI728">tuple_avg(T728)/tuple_avg(AA728)</f>
        <v>0.02</v>
      </c>
      <c r="AJ728" s="69">
        <f>AC728*AI728*'-配置辅助'!$I$8</f>
        <v>1.7000000000000002</v>
      </c>
      <c r="AK728" s="69">
        <f>AD728*AI728*'-配置辅助'!$I$10</f>
        <v>4</v>
      </c>
      <c r="AL728" s="69">
        <f>AJ728*_xlfn.XLOOKUP(H728,monsters[怪物id],monsters[HP],-1)</f>
        <v>40.800000000000004</v>
      </c>
      <c r="AM728" s="69">
        <f>AK728*_xlfn.XLOOKUP(H728,monsters[怪物id],monsters[HP],-1)</f>
        <v>96</v>
      </c>
    </row>
    <row r="729" spans="1:41" x14ac:dyDescent="0.2">
      <c r="A729" s="9">
        <v>420802</v>
      </c>
      <c r="B729" s="9" t="str" cm="1">
        <f t="array" ref="B729">D729&amp;_xlfn.TEXTJOIN("",1,TEXT(E729:G729,"00"))</f>
        <v>1010003</v>
      </c>
      <c r="C729" s="30" t="str">
        <f t="shared" si="421"/>
        <v>420802,1010003</v>
      </c>
      <c r="D729" s="26">
        <v>1</v>
      </c>
      <c r="E729" s="26">
        <v>1</v>
      </c>
      <c r="F729" s="26">
        <f>W729</f>
        <v>0</v>
      </c>
      <c r="G729" s="26">
        <v>3</v>
      </c>
      <c r="H729" s="9">
        <v>201803</v>
      </c>
      <c r="I729" s="15" t="str">
        <f>IFERROR(VLOOKUP(H729,monsters[#All],4,0),"")</f>
        <v>海藻小妖</v>
      </c>
      <c r="J729" s="15" t="str" cm="1">
        <f t="array" ref="J729">_xlfn.LET(_xlpm.v6p,ABS(ATAN2(O729,P729))*6/PI(),
_xlpm.output,_xlfn.IFS(_xlpm.v6p&lt;1,"正前",_xlpm.v6p&gt;5,"正后",AND(_xlpm.v6p&lt;5,_xlpm.v6p&gt;2,P729&lt;-1),"脚底",_xlpm.v6p&gt;4,"后上",_xlpm.v6p&lt;2,"前上",TRUE,"顶部"),
IFERROR(_xlpm.output,""))</f>
        <v>顶部</v>
      </c>
      <c r="K729" s="12"/>
      <c r="L729" s="12" t="s">
        <v>63</v>
      </c>
      <c r="M729" s="12" t="s">
        <v>63</v>
      </c>
      <c r="N729" s="19" t="str">
        <f>O729+0&amp;","&amp;P729+0</f>
        <v>7,14</v>
      </c>
      <c r="O729" s="24">
        <v>7</v>
      </c>
      <c r="P729" s="24">
        <v>14</v>
      </c>
      <c r="Q729" s="19">
        <f t="shared" si="422"/>
        <v>1</v>
      </c>
      <c r="R729" s="42"/>
      <c r="S729" s="9">
        <v>9</v>
      </c>
      <c r="T729" s="19" t="str">
        <f>IF(U729&lt;&gt;"", U729+0&amp;","&amp;V729+0,"")</f>
        <v>2,3</v>
      </c>
      <c r="U729" s="24">
        <v>2</v>
      </c>
      <c r="V729" s="24">
        <v>3</v>
      </c>
      <c r="W729" s="9">
        <v>0</v>
      </c>
      <c r="X729" s="9">
        <v>11</v>
      </c>
      <c r="Y729" s="19" t="str">
        <f t="shared" si="416"/>
        <v>-235,-240</v>
      </c>
      <c r="Z729" s="42" t="s">
        <v>263</v>
      </c>
      <c r="AA729" s="19" t="str">
        <f>IF($A729&lt;&gt;"",IF($AB729&lt;&gt;"",$AB729,"80,120"),"")</f>
        <v>80,120</v>
      </c>
      <c r="AC729" s="9">
        <v>1</v>
      </c>
      <c r="AD729" s="9">
        <v>15</v>
      </c>
      <c r="AE729" s="9">
        <v>0.3</v>
      </c>
      <c r="AF729" s="16"/>
      <c r="AG729" s="16"/>
      <c r="AI729" s="69" cm="1">
        <f t="array" ref="AI729">tuple_avg(T729)/tuple_avg(AA729)</f>
        <v>2.5000000000000001E-2</v>
      </c>
      <c r="AJ729" s="69">
        <f>AC729*AI729*'-配置辅助'!$I$8</f>
        <v>2.5</v>
      </c>
      <c r="AK729" s="69">
        <f>AD729*AI729*'-配置辅助'!$I$10</f>
        <v>6.25</v>
      </c>
      <c r="AL729" s="69">
        <f>AJ729*_xlfn.XLOOKUP(H729,monsters[怪物id],monsters[HP],-1)</f>
        <v>60</v>
      </c>
      <c r="AM729" s="69">
        <f>AK729*_xlfn.XLOOKUP(H729,monsters[怪物id],monsters[HP],-1)</f>
        <v>150</v>
      </c>
    </row>
    <row r="731" spans="1:41" x14ac:dyDescent="0.2">
      <c r="A731" s="9">
        <v>420802</v>
      </c>
      <c r="B731" s="9" t="str" cm="1">
        <f t="array" ref="B731">D731&amp;_xlfn.TEXTJOIN("",1,TEXT(E731:G731,"00"))</f>
        <v>1020000</v>
      </c>
      <c r="C731" s="30" t="str">
        <f t="shared" ref="C731:C734" si="423">_xlfn.TEXTJOIN(",",1,A731:B731)</f>
        <v>420802,1020000</v>
      </c>
      <c r="D731" s="26">
        <v>1</v>
      </c>
      <c r="E731" s="26">
        <v>2</v>
      </c>
      <c r="F731" s="26">
        <f>W731</f>
        <v>0</v>
      </c>
      <c r="G731" s="26">
        <v>0</v>
      </c>
      <c r="H731" s="9">
        <v>201803</v>
      </c>
      <c r="I731" s="15" t="str">
        <f>IFERROR(VLOOKUP(H731,monsters[#All],4,0),"")</f>
        <v>海藻小妖</v>
      </c>
      <c r="J731" s="15" t="str" cm="1">
        <f t="array" ref="J731">_xlfn.LET(_xlpm.v6p,ABS(ATAN2(O731,P731))*6/PI(),
_xlpm.output,_xlfn.IFS(_xlpm.v6p&lt;1,"正前",_xlpm.v6p&gt;5,"正后",AND(_xlpm.v6p&lt;5,_xlpm.v6p&gt;2,P731&lt;-1),"脚底",_xlpm.v6p&gt;4,"后上",_xlpm.v6p&lt;2,"前上",TRUE,"顶部"),
IFERROR(_xlpm.output,""))</f>
        <v>正前</v>
      </c>
      <c r="K731" s="12"/>
      <c r="L731" s="12" t="s">
        <v>63</v>
      </c>
      <c r="M731" s="12" t="s">
        <v>63</v>
      </c>
      <c r="N731" s="19" t="str">
        <f>O731+0&amp;","&amp;P731+0</f>
        <v>10,5</v>
      </c>
      <c r="O731" s="24">
        <v>10</v>
      </c>
      <c r="P731" s="24">
        <v>5</v>
      </c>
      <c r="Q731" s="19">
        <f t="shared" ref="Q731:Q734" si="424">_xlfn.LET(_xlpm._default,1,
_xlpm._custom,R731,
IF($A731&lt;&gt;"",IF(_xlpm._custom&lt;&gt;"",_xlpm._custom,_xlpm._default),""))</f>
        <v>2.5</v>
      </c>
      <c r="R731" s="24">
        <v>2.5</v>
      </c>
      <c r="S731" s="9">
        <v>1</v>
      </c>
      <c r="T731" s="19" t="str">
        <f>IF(U731&lt;&gt;"", U731+0&amp;","&amp;V731+0,"")</f>
        <v>4,4</v>
      </c>
      <c r="U731" s="24">
        <v>4</v>
      </c>
      <c r="V731" s="24">
        <v>4</v>
      </c>
      <c r="W731" s="9">
        <v>0</v>
      </c>
      <c r="X731" s="9">
        <v>11</v>
      </c>
      <c r="Y731" s="19" t="str">
        <f t="shared" si="416"/>
        <v>8700,8700</v>
      </c>
      <c r="Z731" s="41" t="s">
        <v>312</v>
      </c>
      <c r="AA731" s="19" t="str">
        <f>IF($A731&lt;&gt;"",IF($AB731&lt;&gt;"",$AB731,"80,120"),"")</f>
        <v>9000,9000</v>
      </c>
      <c r="AB731" s="41" t="s">
        <v>304</v>
      </c>
      <c r="AC731" s="9">
        <v>1</v>
      </c>
      <c r="AD731" s="9">
        <v>0</v>
      </c>
      <c r="AE731" s="9">
        <v>0.3</v>
      </c>
      <c r="AF731" s="16"/>
      <c r="AG731" s="16"/>
      <c r="AN731" s="69" cm="1">
        <f t="array" ref="AN731">tuple_avg(T731)</f>
        <v>4</v>
      </c>
      <c r="AO731" s="69">
        <f>AN731*_xlfn.XLOOKUP($H731,monsters[怪物id],monsters[HP],-1)*'-配置辅助'!$I$8/'-配置辅助'!$I$7</f>
        <v>32</v>
      </c>
    </row>
    <row r="732" spans="1:41" x14ac:dyDescent="0.2">
      <c r="A732" s="9">
        <v>420802</v>
      </c>
      <c r="B732" s="9" t="str" cm="1">
        <f t="array" ref="B732">D732&amp;_xlfn.TEXTJOIN("",1,TEXT(E732:G732,"00"))</f>
        <v>1020001</v>
      </c>
      <c r="C732" s="30" t="str">
        <f t="shared" si="423"/>
        <v>420802,1020001</v>
      </c>
      <c r="D732" s="26">
        <v>1</v>
      </c>
      <c r="E732" s="26">
        <v>2</v>
      </c>
      <c r="F732" s="26">
        <f>W732</f>
        <v>0</v>
      </c>
      <c r="G732" s="26">
        <v>1</v>
      </c>
      <c r="H732" s="9">
        <v>201803</v>
      </c>
      <c r="I732" s="15" t="str">
        <f>IFERROR(VLOOKUP(H732,monsters[#All],4,0),"")</f>
        <v>海藻小妖</v>
      </c>
      <c r="J732" s="15" t="str" cm="1">
        <f t="array" ref="J732">_xlfn.LET(_xlpm.v6p,ABS(ATAN2(O732,P732))*6/PI(),
_xlpm.output,_xlfn.IFS(_xlpm.v6p&lt;1,"正前",_xlpm.v6p&gt;5,"正后",AND(_xlpm.v6p&lt;5,_xlpm.v6p&gt;2,P732&lt;-1),"脚底",_xlpm.v6p&gt;4,"后上",_xlpm.v6p&lt;2,"前上",TRUE,"顶部"),
IFERROR(_xlpm.output,""))</f>
        <v>顶部</v>
      </c>
      <c r="K732" s="12"/>
      <c r="L732" s="12" t="s">
        <v>63</v>
      </c>
      <c r="M732" s="12" t="s">
        <v>63</v>
      </c>
      <c r="N732" s="19" t="str">
        <f>O732+0&amp;","&amp;P732+0</f>
        <v>3,11</v>
      </c>
      <c r="O732" s="24">
        <v>3</v>
      </c>
      <c r="P732" s="24">
        <v>11</v>
      </c>
      <c r="Q732" s="19">
        <f t="shared" si="424"/>
        <v>2.5</v>
      </c>
      <c r="R732" s="24">
        <v>2.5</v>
      </c>
      <c r="S732" s="9">
        <v>1</v>
      </c>
      <c r="T732" s="19" t="str">
        <f>IF(U732&lt;&gt;"", U732+0&amp;","&amp;V732+0,"")</f>
        <v>4,4</v>
      </c>
      <c r="U732" s="24">
        <v>4</v>
      </c>
      <c r="V732" s="24">
        <v>4</v>
      </c>
      <c r="W732" s="9">
        <v>0</v>
      </c>
      <c r="X732" s="9">
        <v>11</v>
      </c>
      <c r="Y732" s="19" t="str">
        <f t="shared" si="416"/>
        <v>8700,8700</v>
      </c>
      <c r="Z732" s="41" t="s">
        <v>312</v>
      </c>
      <c r="AA732" s="19" t="str">
        <f>IF($A732&lt;&gt;"",IF($AB732&lt;&gt;"",$AB732,"80,120"),"")</f>
        <v>9000,9000</v>
      </c>
      <c r="AB732" s="41" t="s">
        <v>304</v>
      </c>
      <c r="AC732" s="9">
        <v>1</v>
      </c>
      <c r="AD732" s="9">
        <v>0</v>
      </c>
      <c r="AE732" s="9">
        <v>0.3</v>
      </c>
      <c r="AF732" s="16"/>
      <c r="AG732" s="16"/>
      <c r="AN732" s="69" cm="1">
        <f t="array" ref="AN732">tuple_avg(T732)</f>
        <v>4</v>
      </c>
      <c r="AO732" s="69">
        <f>AN732*_xlfn.XLOOKUP($H732,monsters[怪物id],monsters[HP],-1)*'-配置辅助'!$I$8/'-配置辅助'!$I$7</f>
        <v>32</v>
      </c>
    </row>
    <row r="733" spans="1:41" x14ac:dyDescent="0.2">
      <c r="A733" s="9">
        <v>420802</v>
      </c>
      <c r="B733" s="9" t="str" cm="1">
        <f t="array" ref="B733">D733&amp;_xlfn.TEXTJOIN("",1,TEXT(E733:G733,"00"))</f>
        <v>1020002</v>
      </c>
      <c r="C733" s="30" t="str">
        <f t="shared" si="423"/>
        <v>420802,1020002</v>
      </c>
      <c r="D733" s="26">
        <v>1</v>
      </c>
      <c r="E733" s="26">
        <v>2</v>
      </c>
      <c r="F733" s="26">
        <f>W733</f>
        <v>0</v>
      </c>
      <c r="G733" s="26">
        <v>2</v>
      </c>
      <c r="H733" s="9">
        <v>201803</v>
      </c>
      <c r="I733" s="15" t="str">
        <f>IFERROR(VLOOKUP(H733,monsters[#All],4,0),"")</f>
        <v>海藻小妖</v>
      </c>
      <c r="J733" s="15" t="str" cm="1">
        <f t="array" ref="J733">_xlfn.LET(_xlpm.v6p,ABS(ATAN2(O733,P733))*6/PI(),
_xlpm.output,_xlfn.IFS(_xlpm.v6p&lt;1,"正前",_xlpm.v6p&gt;5,"正后",AND(_xlpm.v6p&lt;5,_xlpm.v6p&gt;2,P733&lt;-1),"脚底",_xlpm.v6p&gt;4,"后上",_xlpm.v6p&lt;2,"前上",TRUE,"顶部"),
IFERROR(_xlpm.output,""))</f>
        <v>顶部</v>
      </c>
      <c r="K733" s="12"/>
      <c r="L733" s="12" t="s">
        <v>63</v>
      </c>
      <c r="M733" s="12" t="s">
        <v>63</v>
      </c>
      <c r="N733" s="19" t="str">
        <f>O733+0&amp;","&amp;P733+0</f>
        <v>-1,11</v>
      </c>
      <c r="O733" s="24">
        <v>-1</v>
      </c>
      <c r="P733" s="24">
        <v>11</v>
      </c>
      <c r="Q733" s="19">
        <f t="shared" si="424"/>
        <v>2.5</v>
      </c>
      <c r="R733" s="24">
        <v>2.5</v>
      </c>
      <c r="S733" s="9">
        <v>1</v>
      </c>
      <c r="T733" s="19" t="str">
        <f>IF(U733&lt;&gt;"", U733+0&amp;","&amp;V733+0,"")</f>
        <v>4,4</v>
      </c>
      <c r="U733" s="24">
        <v>4</v>
      </c>
      <c r="V733" s="24">
        <v>4</v>
      </c>
      <c r="W733" s="9">
        <v>0</v>
      </c>
      <c r="X733" s="9">
        <v>11</v>
      </c>
      <c r="Y733" s="19" t="str">
        <f t="shared" si="416"/>
        <v>8700,8700</v>
      </c>
      <c r="Z733" s="41" t="s">
        <v>312</v>
      </c>
      <c r="AA733" s="19" t="str">
        <f>IF($A733&lt;&gt;"",IF($AB733&lt;&gt;"",$AB733,"80,120"),"")</f>
        <v>9000,9000</v>
      </c>
      <c r="AB733" s="41" t="s">
        <v>304</v>
      </c>
      <c r="AC733" s="9">
        <v>1</v>
      </c>
      <c r="AD733" s="9">
        <v>0</v>
      </c>
      <c r="AE733" s="9">
        <v>0.3</v>
      </c>
      <c r="AF733" s="16"/>
      <c r="AG733" s="16"/>
      <c r="AN733" s="69" cm="1">
        <f t="array" ref="AN733">tuple_avg(T733)</f>
        <v>4</v>
      </c>
      <c r="AO733" s="69">
        <f>AN733*_xlfn.XLOOKUP($H733,monsters[怪物id],monsters[HP],-1)*'-配置辅助'!$I$8/'-配置辅助'!$I$7</f>
        <v>32</v>
      </c>
    </row>
    <row r="734" spans="1:41" x14ac:dyDescent="0.2">
      <c r="A734" s="9">
        <v>420802</v>
      </c>
      <c r="B734" s="9" t="str" cm="1">
        <f t="array" ref="B734">D734&amp;_xlfn.TEXTJOIN("",1,TEXT(E734:G734,"00"))</f>
        <v>1020003</v>
      </c>
      <c r="C734" s="30" t="str">
        <f t="shared" si="423"/>
        <v>420802,1020003</v>
      </c>
      <c r="D734" s="26">
        <v>1</v>
      </c>
      <c r="E734" s="26">
        <v>2</v>
      </c>
      <c r="F734" s="26">
        <f>W734</f>
        <v>0</v>
      </c>
      <c r="G734" s="26">
        <v>3</v>
      </c>
      <c r="H734" s="9">
        <v>201803</v>
      </c>
      <c r="I734" s="15" t="str">
        <f>IFERROR(VLOOKUP(H734,monsters[#All],4,0),"")</f>
        <v>海藻小妖</v>
      </c>
      <c r="J734" s="15" t="str" cm="1">
        <f t="array" ref="J734">_xlfn.LET(_xlpm.v6p,ABS(ATAN2(O734,P734))*6/PI(),
_xlpm.output,_xlfn.IFS(_xlpm.v6p&lt;1,"正前",_xlpm.v6p&gt;5,"正后",AND(_xlpm.v6p&lt;5,_xlpm.v6p&gt;2,P734&lt;-1),"脚底",_xlpm.v6p&gt;4,"后上",_xlpm.v6p&lt;2,"前上",TRUE,"顶部"),
IFERROR(_xlpm.output,""))</f>
        <v>后上</v>
      </c>
      <c r="K734" s="12"/>
      <c r="L734" s="12" t="s">
        <v>63</v>
      </c>
      <c r="M734" s="12" t="s">
        <v>63</v>
      </c>
      <c r="N734" s="19" t="str">
        <f>O734+0&amp;","&amp;P734+0</f>
        <v>-8,5</v>
      </c>
      <c r="O734" s="24">
        <v>-8</v>
      </c>
      <c r="P734" s="24">
        <v>5</v>
      </c>
      <c r="Q734" s="19">
        <f t="shared" si="424"/>
        <v>2.5</v>
      </c>
      <c r="R734" s="24">
        <v>2.5</v>
      </c>
      <c r="S734" s="9">
        <v>1</v>
      </c>
      <c r="T734" s="19" t="str">
        <f>IF(U734&lt;&gt;"", U734+0&amp;","&amp;V734+0,"")</f>
        <v>4,4</v>
      </c>
      <c r="U734" s="24">
        <v>4</v>
      </c>
      <c r="V734" s="24">
        <v>4</v>
      </c>
      <c r="W734" s="9">
        <v>0</v>
      </c>
      <c r="X734" s="9">
        <v>11</v>
      </c>
      <c r="Y734" s="19" t="str">
        <f t="shared" si="416"/>
        <v>8700,8700</v>
      </c>
      <c r="Z734" s="41" t="s">
        <v>312</v>
      </c>
      <c r="AA734" s="19" t="str">
        <f>IF($A734&lt;&gt;"",IF($AB734&lt;&gt;"",$AB734,"80,120"),"")</f>
        <v>9000,9000</v>
      </c>
      <c r="AB734" s="41" t="s">
        <v>304</v>
      </c>
      <c r="AC734" s="9">
        <v>1</v>
      </c>
      <c r="AD734" s="9">
        <v>0</v>
      </c>
      <c r="AE734" s="9">
        <v>0.3</v>
      </c>
      <c r="AF734" s="16"/>
      <c r="AG734" s="16"/>
      <c r="AN734" s="69" cm="1">
        <f t="array" ref="AN734">tuple_avg(T734)</f>
        <v>4</v>
      </c>
      <c r="AO734" s="69">
        <f>AN734*_xlfn.XLOOKUP($H734,monsters[怪物id],monsters[HP],-1)*'-配置辅助'!$I$8/'-配置辅助'!$I$7</f>
        <v>32</v>
      </c>
    </row>
    <row r="735" spans="1:41" x14ac:dyDescent="0.2">
      <c r="J735" s="15" t="str" cm="1">
        <f t="array" ref="J735">_xlfn.LET(_xlpm.v6p,ABS(ATAN2(O735,P735))*6/PI(),
_xlpm.output,_xlfn.IFS(_xlpm.v6p&lt;1,"正前",_xlpm.v6p&gt;5,"正后",AND(_xlpm.v6p&lt;5,_xlpm.v6p&gt;2,P735&lt;-1),"脚底",_xlpm.v6p&gt;4,"后上",_xlpm.v6p&lt;2,"前上",TRUE,"顶部"),
IFERROR(_xlpm.output,""))</f>
        <v/>
      </c>
      <c r="Q735" s="19" t="str">
        <f t="shared" si="415"/>
        <v/>
      </c>
    </row>
    <row r="736" spans="1:41" x14ac:dyDescent="0.2">
      <c r="J736" s="15" t="str" cm="1">
        <f t="array" ref="J736">_xlfn.LET(_xlpm.v6p,ABS(ATAN2(O736,P736))*6/PI(),
_xlpm.output,_xlfn.IFS(_xlpm.v6p&lt;1,"正前",_xlpm.v6p&gt;5,"正后",AND(_xlpm.v6p&lt;5,_xlpm.v6p&gt;2,P736&lt;-1),"脚底",_xlpm.v6p&gt;4,"后上",_xlpm.v6p&lt;2,"前上",TRUE,"顶部"),
IFERROR(_xlpm.output,""))</f>
        <v/>
      </c>
      <c r="Q736" s="19" t="str">
        <f t="shared" si="415"/>
        <v/>
      </c>
    </row>
    <row r="737" spans="1:41" s="40" customFormat="1" x14ac:dyDescent="0.2">
      <c r="A737" s="43"/>
      <c r="B737" s="43"/>
      <c r="C737" s="44" t="str">
        <f t="shared" ref="C737" si="425">_xlfn.TEXTJOIN(",",1,A737:B737)</f>
        <v/>
      </c>
      <c r="D737" s="45"/>
      <c r="E737" s="45"/>
      <c r="F737" s="45"/>
      <c r="G737" s="45"/>
      <c r="H737" s="43" t="s">
        <v>117</v>
      </c>
      <c r="I737" s="46"/>
      <c r="J737" s="46"/>
      <c r="O737" s="47"/>
      <c r="P737" s="47"/>
      <c r="R737" s="47"/>
      <c r="S737" s="40" t="s">
        <v>62</v>
      </c>
      <c r="U737" s="47"/>
      <c r="V737" s="47"/>
      <c r="Z737" s="47"/>
      <c r="AB737" s="47"/>
      <c r="AC737" s="40" t="s">
        <v>62</v>
      </c>
      <c r="AI737" s="75"/>
      <c r="AJ737" s="75">
        <f>SUM(AJ739:AJ740)</f>
        <v>115</v>
      </c>
      <c r="AK737" s="75">
        <f>SUM(AK739:AK740)</f>
        <v>0</v>
      </c>
      <c r="AL737" s="75">
        <f>SUM(AL739:AL740)</f>
        <v>1380</v>
      </c>
      <c r="AM737" s="75">
        <f>SUM(AM739:AM740)</f>
        <v>0</v>
      </c>
      <c r="AN737" s="75"/>
      <c r="AO737" s="75"/>
    </row>
    <row r="739" spans="1:41" x14ac:dyDescent="0.2">
      <c r="A739" s="9">
        <v>420803</v>
      </c>
      <c r="B739" s="9" t="str" cm="1">
        <f t="array" ref="B739">D739&amp;_xlfn.TEXTJOIN("",1,TEXT(E739:G739,"00"))</f>
        <v>1000000</v>
      </c>
      <c r="C739" s="30" t="str">
        <f t="shared" ref="C739" si="426">_xlfn.TEXTJOIN(",",1,A739:B739)</f>
        <v>420803,1000000</v>
      </c>
      <c r="D739" s="26">
        <v>1</v>
      </c>
      <c r="E739" s="26">
        <v>0</v>
      </c>
      <c r="F739" s="26">
        <v>0</v>
      </c>
      <c r="G739" s="26">
        <v>0</v>
      </c>
      <c r="H739" s="9">
        <v>201805</v>
      </c>
      <c r="I739" s="15" t="str">
        <f>IFERROR(VLOOKUP(H739,monsters[#All],4,0),"")</f>
        <v>似目草</v>
      </c>
      <c r="J739" s="15" t="str" cm="1">
        <f t="array" ref="J739">_xlfn.LET(_xlpm.v6p,ABS(ATAN2(O739,P739))*6/PI(),
_xlpm.output,_xlfn.IFS(_xlpm.v6p&lt;1,"正前",_xlpm.v6p&gt;5,"正后",AND(_xlpm.v6p&lt;5,_xlpm.v6p&gt;2,P739&lt;-1),"脚底",_xlpm.v6p&gt;4,"后上",_xlpm.v6p&lt;2,"前上",TRUE,"顶部"),
IFERROR(_xlpm.output,""))</f>
        <v>正前</v>
      </c>
      <c r="K739" s="12"/>
      <c r="L739" s="12" t="s">
        <v>63</v>
      </c>
      <c r="M739" s="12" t="s">
        <v>63</v>
      </c>
      <c r="N739" s="19" t="str">
        <f>O739+0&amp;","&amp;P739+0</f>
        <v>18,-1</v>
      </c>
      <c r="O739" s="24">
        <v>18</v>
      </c>
      <c r="P739" s="24">
        <v>-1</v>
      </c>
      <c r="Q739" s="19">
        <f t="shared" ref="Q739:Q740" si="427">_xlfn.LET(_xlpm._default,1,
_xlpm._custom,R739,
IF($A739&lt;&gt;"",IF(_xlpm._custom&lt;&gt;"",_xlpm._custom,_xlpm._default),""))</f>
        <v>1</v>
      </c>
      <c r="S739" s="9">
        <v>8</v>
      </c>
      <c r="T739" s="19" t="str">
        <f t="shared" ref="T739" si="428">IF(U739&lt;&gt;"", U739+0&amp;","&amp;V739+0,"")</f>
        <v>1,2</v>
      </c>
      <c r="U739" s="24">
        <v>1</v>
      </c>
      <c r="V739" s="24">
        <v>2</v>
      </c>
      <c r="W739" s="9">
        <v>0</v>
      </c>
      <c r="X739" s="9">
        <v>11</v>
      </c>
      <c r="Y739" s="19" t="str">
        <f>IF($A739&lt;&gt;"",IF($Z739&lt;&gt;"",$Z739,"0,0"),"")</f>
        <v>70,75</v>
      </c>
      <c r="Z739" s="24" t="s">
        <v>132</v>
      </c>
      <c r="AA739" s="19" t="str">
        <f>IF($A739&lt;&gt;"",IF($AB739&lt;&gt;"",$AB739,"80,120"),"")</f>
        <v>80,120</v>
      </c>
      <c r="AB739" s="41"/>
      <c r="AC739" s="9">
        <v>10</v>
      </c>
      <c r="AD739" s="9">
        <v>0</v>
      </c>
      <c r="AE739" s="9">
        <v>0</v>
      </c>
      <c r="AF739" s="16"/>
      <c r="AG739" s="16"/>
      <c r="AI739" s="69" cm="1">
        <f t="array" ref="AI739">tuple_avg(T739)/tuple_avg(AA739)</f>
        <v>1.4999999999999999E-2</v>
      </c>
      <c r="AJ739" s="69">
        <f>AC739*AI739*'-配置辅助'!$I$8</f>
        <v>15</v>
      </c>
      <c r="AK739" s="69">
        <f>AD739*AI739*'-配置辅助'!$I$10</f>
        <v>0</v>
      </c>
      <c r="AL739" s="69">
        <f>AJ739*_xlfn.XLOOKUP(H739,monsters[怪物id],monsters[HP],-1)</f>
        <v>180</v>
      </c>
      <c r="AM739" s="69">
        <f>AK739*_xlfn.XLOOKUP(H739,monsters[怪物id],monsters[HP],-1)</f>
        <v>0</v>
      </c>
    </row>
    <row r="740" spans="1:41" x14ac:dyDescent="0.2">
      <c r="A740" s="9">
        <v>420803</v>
      </c>
      <c r="B740" s="9" t="str" cm="1">
        <f t="array" ref="B740">D740&amp;_xlfn.TEXTJOIN("",1,TEXT(E740:G740,"00"))</f>
        <v>1000001</v>
      </c>
      <c r="C740" s="30" t="str">
        <f t="shared" ref="C740" si="429">_xlfn.TEXTJOIN(",",1,A740:B740)</f>
        <v>420803,1000001</v>
      </c>
      <c r="D740" s="26">
        <v>1</v>
      </c>
      <c r="E740" s="26">
        <v>0</v>
      </c>
      <c r="F740" s="26">
        <v>0</v>
      </c>
      <c r="G740" s="26">
        <v>1</v>
      </c>
      <c r="H740" s="9">
        <v>201805</v>
      </c>
      <c r="I740" s="15" t="str">
        <f>IFERROR(VLOOKUP(H740,monsters[#All],4,0),"")</f>
        <v>似目草</v>
      </c>
      <c r="J740" s="15" t="str" cm="1">
        <f t="array" ref="J740">_xlfn.LET(_xlpm.v6p,ABS(ATAN2(O740,P740))*6/PI(),
_xlpm.output,_xlfn.IFS(_xlpm.v6p&lt;1,"正前",_xlpm.v6p&gt;5,"正后",AND(_xlpm.v6p&lt;5,_xlpm.v6p&gt;2,P740&lt;-1),"脚底",_xlpm.v6p&gt;4,"后上",_xlpm.v6p&lt;2,"前上",TRUE,"顶部"),
IFERROR(_xlpm.output,""))</f>
        <v>正前</v>
      </c>
      <c r="K740" s="12"/>
      <c r="L740" s="12" t="s">
        <v>63</v>
      </c>
      <c r="M740" s="12" t="s">
        <v>63</v>
      </c>
      <c r="N740" s="19" t="str">
        <f>O740+0&amp;","&amp;P740+0</f>
        <v>18,-1</v>
      </c>
      <c r="O740" s="24">
        <v>18</v>
      </c>
      <c r="P740" s="24">
        <v>-1</v>
      </c>
      <c r="Q740" s="19">
        <f t="shared" si="427"/>
        <v>1</v>
      </c>
      <c r="R740" s="42"/>
      <c r="S740" s="9">
        <v>48</v>
      </c>
      <c r="T740" s="19" t="str">
        <f t="shared" ref="T740" si="430">IF(U740&lt;&gt;"", U740+0&amp;","&amp;V740+0,"")</f>
        <v>1,3</v>
      </c>
      <c r="U740" s="24">
        <v>1</v>
      </c>
      <c r="V740" s="24">
        <v>3</v>
      </c>
      <c r="W740" s="9">
        <v>0</v>
      </c>
      <c r="X740" s="9">
        <v>11</v>
      </c>
      <c r="Y740" s="19" t="str">
        <f>IF($A740&lt;&gt;"",IF($Z740&lt;&gt;"",$Z740,"0,0"),"")</f>
        <v>-705,-700</v>
      </c>
      <c r="Z740" s="42" t="s">
        <v>134</v>
      </c>
      <c r="AA740" s="19" t="str">
        <f>IF($A740&lt;&gt;"",IF($AB740&lt;&gt;"",$AB740,"80,120"),"")</f>
        <v>50,150</v>
      </c>
      <c r="AB740" s="41" t="s">
        <v>65</v>
      </c>
      <c r="AC740" s="9">
        <v>50</v>
      </c>
      <c r="AD740" s="9">
        <v>0</v>
      </c>
      <c r="AE740" s="9">
        <v>0</v>
      </c>
      <c r="AF740" s="16"/>
      <c r="AG740" s="16"/>
      <c r="AI740" s="69" cm="1">
        <f t="array" ref="AI740">tuple_avg(T740)/tuple_avg(AA740)</f>
        <v>0.02</v>
      </c>
      <c r="AJ740" s="69">
        <f>AC740*AI740*'-配置辅助'!$I$8</f>
        <v>100</v>
      </c>
      <c r="AK740" s="69">
        <f>AD740*AI740*'-配置辅助'!$I$10</f>
        <v>0</v>
      </c>
      <c r="AL740" s="69">
        <f>AJ740*_xlfn.XLOOKUP(H740,monsters[怪物id],monsters[HP],-1)</f>
        <v>1200</v>
      </c>
      <c r="AM740" s="69">
        <f>AK740*_xlfn.XLOOKUP(H740,monsters[怪物id],monsters[HP],-1)</f>
        <v>0</v>
      </c>
    </row>
    <row r="741" spans="1:41" x14ac:dyDescent="0.2">
      <c r="J741" s="15" t="str" cm="1">
        <f t="array" ref="J741">_xlfn.LET(_xlpm.v6p,ABS(ATAN2(O741,P741))*6/PI(),
_xlpm.output,_xlfn.IFS(_xlpm.v6p&lt;1,"正前",_xlpm.v6p&gt;5,"正后",AND(_xlpm.v6p&lt;5,_xlpm.v6p&gt;2,P741&lt;-1),"脚底",_xlpm.v6p&gt;4,"后上",_xlpm.v6p&lt;2,"前上",TRUE,"顶部"),
IFERROR(_xlpm.output,""))</f>
        <v/>
      </c>
    </row>
    <row r="743" spans="1:41" s="40" customFormat="1" x14ac:dyDescent="0.2">
      <c r="A743" s="43"/>
      <c r="B743" s="43"/>
      <c r="C743" s="44" t="str">
        <f t="shared" ref="C743" si="431">_xlfn.TEXTJOIN(",",1,A743:B743)</f>
        <v/>
      </c>
      <c r="D743" s="45"/>
      <c r="E743" s="45"/>
      <c r="F743" s="45"/>
      <c r="G743" s="45"/>
      <c r="H743" s="43" t="s">
        <v>310</v>
      </c>
      <c r="I743" s="46"/>
      <c r="J743" s="46"/>
      <c r="O743" s="47"/>
      <c r="P743" s="47"/>
      <c r="R743" s="47"/>
      <c r="S743" s="40" t="s">
        <v>62</v>
      </c>
      <c r="U743" s="47"/>
      <c r="V743" s="47"/>
      <c r="Z743" s="47"/>
      <c r="AB743" s="47"/>
      <c r="AC743" s="40" t="s">
        <v>62</v>
      </c>
      <c r="AI743" s="75"/>
      <c r="AJ743" s="75">
        <f>SUM(AJ745:AJ752)</f>
        <v>131.75</v>
      </c>
      <c r="AK743" s="75">
        <f>SUM(AK745:AK752)</f>
        <v>2.5</v>
      </c>
      <c r="AL743" s="75">
        <f>SUM(AL745:AL752)</f>
        <v>1965.25</v>
      </c>
      <c r="AM743" s="75">
        <f>SUM(AM745:AM752)</f>
        <v>77.500000000000014</v>
      </c>
      <c r="AN743" s="75"/>
      <c r="AO743" s="75"/>
    </row>
    <row r="745" spans="1:41" x14ac:dyDescent="0.2">
      <c r="A745" s="9">
        <v>42080301</v>
      </c>
      <c r="B745" s="9" t="str" cm="1">
        <f t="array" ref="B745">D745&amp;_xlfn.TEXTJOIN("",1,TEXT(E745:G745,"00"))</f>
        <v>1000000</v>
      </c>
      <c r="C745" s="30" t="str">
        <f t="shared" ref="C745:C746" si="432">_xlfn.TEXTJOIN(",",1,A745:B745)</f>
        <v>42080301,1000000</v>
      </c>
      <c r="D745" s="26">
        <v>1</v>
      </c>
      <c r="E745" s="26">
        <v>0</v>
      </c>
      <c r="F745" s="26">
        <v>0</v>
      </c>
      <c r="G745" s="26">
        <v>0</v>
      </c>
      <c r="H745" s="9">
        <v>201805</v>
      </c>
      <c r="I745" s="15" t="str">
        <f>IFERROR(VLOOKUP(H745,monsters[#All],4,0),"")</f>
        <v>似目草</v>
      </c>
      <c r="J745" s="15" t="str" cm="1">
        <f t="array" ref="J745">_xlfn.LET(_xlpm.v6p,ABS(ATAN2(O745,P745))*6/PI(),
_xlpm.output,_xlfn.IFS(_xlpm.v6p&lt;1,"正前",_xlpm.v6p&gt;5,"正后",AND(_xlpm.v6p&lt;5,_xlpm.v6p&gt;2,P745&lt;-1),"脚底",_xlpm.v6p&gt;4,"后上",_xlpm.v6p&lt;2,"前上",TRUE,"顶部"),
IFERROR(_xlpm.output,""))</f>
        <v>正前</v>
      </c>
      <c r="K745" s="12"/>
      <c r="L745" s="12" t="s">
        <v>63</v>
      </c>
      <c r="M745" s="12" t="s">
        <v>63</v>
      </c>
      <c r="N745" s="19" t="str">
        <f>O745+0&amp;","&amp;P745+0</f>
        <v>18,-1</v>
      </c>
      <c r="O745" s="24">
        <v>18</v>
      </c>
      <c r="P745" s="24">
        <v>-1</v>
      </c>
      <c r="Q745" s="19">
        <f t="shared" ref="Q745:Q746" si="433">_xlfn.LET(_xlpm._default,1,
_xlpm._custom,R745,
IF($A745&lt;&gt;"",IF(_xlpm._custom&lt;&gt;"",_xlpm._custom,_xlpm._default),""))</f>
        <v>1</v>
      </c>
      <c r="S745" s="9">
        <v>8</v>
      </c>
      <c r="T745" s="19" t="str">
        <f t="shared" ref="T745:T746" si="434">IF(U745&lt;&gt;"", U745+0&amp;","&amp;V745+0,"")</f>
        <v>1,2</v>
      </c>
      <c r="U745" s="24">
        <v>1</v>
      </c>
      <c r="V745" s="24">
        <v>2</v>
      </c>
      <c r="W745" s="9">
        <v>0</v>
      </c>
      <c r="X745" s="9">
        <v>11</v>
      </c>
      <c r="Y745" s="19" t="str">
        <f>IF($A745&lt;&gt;"",IF($Z745&lt;&gt;"",$Z745,"0,0"),"")</f>
        <v>70,75</v>
      </c>
      <c r="Z745" s="24" t="s">
        <v>132</v>
      </c>
      <c r="AA745" s="19" t="str">
        <f>IF($A745&lt;&gt;"",IF($AB745&lt;&gt;"",$AB745,"80,120"),"")</f>
        <v>80,120</v>
      </c>
      <c r="AB745" s="41"/>
      <c r="AC745" s="9">
        <v>10</v>
      </c>
      <c r="AD745" s="9">
        <v>0</v>
      </c>
      <c r="AE745" s="9">
        <v>0</v>
      </c>
      <c r="AF745" s="16"/>
      <c r="AG745" s="16"/>
      <c r="AI745" s="69" cm="1">
        <f t="array" ref="AI745">tuple_avg(T745)/tuple_avg(AA745)</f>
        <v>1.4999999999999999E-2</v>
      </c>
      <c r="AJ745" s="69">
        <f>AC745*AI745*'-配置辅助'!$I$8</f>
        <v>15</v>
      </c>
      <c r="AK745" s="69">
        <f>AD745*AI745*'-配置辅助'!$I$10</f>
        <v>0</v>
      </c>
      <c r="AL745" s="69">
        <f>AJ745*_xlfn.XLOOKUP(H745,monsters[怪物id],monsters[HP],-1)</f>
        <v>180</v>
      </c>
      <c r="AM745" s="69">
        <f>AK745*_xlfn.XLOOKUP(H745,monsters[怪物id],monsters[HP],-1)</f>
        <v>0</v>
      </c>
    </row>
    <row r="746" spans="1:41" x14ac:dyDescent="0.2">
      <c r="A746" s="9">
        <v>42080301</v>
      </c>
      <c r="B746" s="9" t="str" cm="1">
        <f t="array" ref="B746">D746&amp;_xlfn.TEXTJOIN("",1,TEXT(E746:G746,"00"))</f>
        <v>1000001</v>
      </c>
      <c r="C746" s="30" t="str">
        <f t="shared" si="432"/>
        <v>42080301,1000001</v>
      </c>
      <c r="D746" s="26">
        <v>1</v>
      </c>
      <c r="E746" s="26">
        <v>0</v>
      </c>
      <c r="F746" s="26">
        <v>0</v>
      </c>
      <c r="G746" s="26">
        <v>1</v>
      </c>
      <c r="H746" s="9">
        <v>201805</v>
      </c>
      <c r="I746" s="15" t="str">
        <f>IFERROR(VLOOKUP(H746,monsters[#All],4,0),"")</f>
        <v>似目草</v>
      </c>
      <c r="J746" s="15" t="str" cm="1">
        <f t="array" ref="J746">_xlfn.LET(_xlpm.v6p,ABS(ATAN2(O746,P746))*6/PI(),
_xlpm.output,_xlfn.IFS(_xlpm.v6p&lt;1,"正前",_xlpm.v6p&gt;5,"正后",AND(_xlpm.v6p&lt;5,_xlpm.v6p&gt;2,P746&lt;-1),"脚底",_xlpm.v6p&gt;4,"后上",_xlpm.v6p&lt;2,"前上",TRUE,"顶部"),
IFERROR(_xlpm.output,""))</f>
        <v>正前</v>
      </c>
      <c r="K746" s="12"/>
      <c r="L746" s="12" t="s">
        <v>63</v>
      </c>
      <c r="M746" s="12" t="s">
        <v>63</v>
      </c>
      <c r="N746" s="19" t="str">
        <f>O746+0&amp;","&amp;P746+0</f>
        <v>18,-1</v>
      </c>
      <c r="O746" s="24">
        <v>18</v>
      </c>
      <c r="P746" s="24">
        <v>-1</v>
      </c>
      <c r="Q746" s="19">
        <f t="shared" si="433"/>
        <v>1</v>
      </c>
      <c r="R746" s="42"/>
      <c r="S746" s="9">
        <v>40</v>
      </c>
      <c r="T746" s="19" t="str">
        <f t="shared" si="434"/>
        <v>1,3</v>
      </c>
      <c r="U746" s="24">
        <v>1</v>
      </c>
      <c r="V746" s="24">
        <v>3</v>
      </c>
      <c r="W746" s="9">
        <v>0</v>
      </c>
      <c r="X746" s="9">
        <v>11</v>
      </c>
      <c r="Y746" s="19" t="str">
        <f>IF($A746&lt;&gt;"",IF($Z746&lt;&gt;"",$Z746,"0,0"),"")</f>
        <v>-705,-700</v>
      </c>
      <c r="Z746" s="42" t="s">
        <v>134</v>
      </c>
      <c r="AA746" s="19" t="str">
        <f>IF($A746&lt;&gt;"",IF($AB746&lt;&gt;"",$AB746,"80,120"),"")</f>
        <v>50,150</v>
      </c>
      <c r="AB746" s="41" t="s">
        <v>65</v>
      </c>
      <c r="AC746" s="9">
        <v>50</v>
      </c>
      <c r="AD746" s="9">
        <v>0</v>
      </c>
      <c r="AE746" s="9">
        <v>0</v>
      </c>
      <c r="AF746" s="16"/>
      <c r="AG746" s="16"/>
      <c r="AI746" s="69" cm="1">
        <f t="array" ref="AI746">tuple_avg(T746)/tuple_avg(AA746)</f>
        <v>0.02</v>
      </c>
      <c r="AJ746" s="69">
        <f>AC746*AI746*'-配置辅助'!$I$8</f>
        <v>100</v>
      </c>
      <c r="AK746" s="69">
        <f>AD746*AI746*'-配置辅助'!$I$10</f>
        <v>0</v>
      </c>
      <c r="AL746" s="69">
        <f>AJ746*_xlfn.XLOOKUP(H746,monsters[怪物id],monsters[HP],-1)</f>
        <v>1200</v>
      </c>
      <c r="AM746" s="69">
        <f>AK746*_xlfn.XLOOKUP(H746,monsters[怪物id],monsters[HP],-1)</f>
        <v>0</v>
      </c>
    </row>
    <row r="748" spans="1:41" x14ac:dyDescent="0.2">
      <c r="A748" s="9">
        <v>42080301</v>
      </c>
      <c r="B748" s="9" t="str" cm="1">
        <f t="array" ref="B748">D748&amp;_xlfn.TEXTJOIN("",1,TEXT(E748:G748,"00"))</f>
        <v>0010000</v>
      </c>
      <c r="C748" s="30" t="str">
        <f t="shared" ref="C748:C750" si="435">_xlfn.TEXTJOIN(",",1,A748:B748)</f>
        <v>42080301,0010000</v>
      </c>
      <c r="D748" s="26">
        <v>0</v>
      </c>
      <c r="E748" s="26">
        <v>1</v>
      </c>
      <c r="F748" s="26">
        <f>W748</f>
        <v>0</v>
      </c>
      <c r="G748" s="26">
        <v>0</v>
      </c>
      <c r="H748" s="9">
        <v>201818</v>
      </c>
      <c r="I748" s="15" t="str">
        <f>IFERROR(VLOOKUP(H748,monsters[#All],4,0),"")</f>
        <v>聒噪海贝</v>
      </c>
      <c r="J748" s="15" t="str" cm="1">
        <f t="array" ref="J748">_xlfn.LET(_xlpm.v6p,ABS(ATAN2(O748,P748))*6/PI(),
_xlpm.output,_xlfn.IFS(_xlpm.v6p&lt;1,"正前",_xlpm.v6p&gt;5,"正后",AND(_xlpm.v6p&lt;5,_xlpm.v6p&gt;2,P748&lt;-1),"脚底",_xlpm.v6p&gt;4,"后上",_xlpm.v6p&lt;2,"前上",TRUE,"顶部"),
IFERROR(_xlpm.output,""))</f>
        <v>正前</v>
      </c>
      <c r="K748" s="12"/>
      <c r="L748" s="12" t="s">
        <v>63</v>
      </c>
      <c r="M748" s="12" t="s">
        <v>63</v>
      </c>
      <c r="N748" s="19" t="str">
        <f>O748+0&amp;","&amp;P748+0</f>
        <v>18,-1</v>
      </c>
      <c r="O748" s="24">
        <v>18</v>
      </c>
      <c r="P748" s="24">
        <v>-1</v>
      </c>
      <c r="Q748" s="19">
        <f t="shared" ref="Q748:Q750" si="436">_xlfn.LET(_xlpm._default,1,
_xlpm._custom,R748,
IF($A748&lt;&gt;"",IF(_xlpm._custom&lt;&gt;"",_xlpm._custom,_xlpm._default),""))</f>
        <v>1</v>
      </c>
      <c r="S748" s="9">
        <v>8</v>
      </c>
      <c r="T748" s="19" t="str">
        <f>IF(U748&lt;&gt;"", U748+0&amp;","&amp;V748+0,"")</f>
        <v>1,2</v>
      </c>
      <c r="U748" s="24">
        <v>1</v>
      </c>
      <c r="V748" s="24">
        <v>2</v>
      </c>
      <c r="W748" s="9">
        <v>0</v>
      </c>
      <c r="X748" s="9">
        <v>11</v>
      </c>
      <c r="Y748" s="19" t="str">
        <f>IF($A748&lt;&gt;"",IF($Z748&lt;&gt;"",$Z748,"0,0"),"")</f>
        <v>70,75</v>
      </c>
      <c r="Z748" s="24" t="s">
        <v>132</v>
      </c>
      <c r="AA748" s="19" t="str">
        <f>IF($A748&lt;&gt;"",IF($AB748&lt;&gt;"",$AB748,"80,120"),"")</f>
        <v>80,120</v>
      </c>
      <c r="AC748" s="9">
        <v>2</v>
      </c>
      <c r="AD748" s="9">
        <v>2.5</v>
      </c>
      <c r="AE748" s="9">
        <v>0.3</v>
      </c>
      <c r="AF748" s="16"/>
      <c r="AG748" s="16"/>
      <c r="AI748" s="69" cm="1">
        <f t="array" ref="AI748">tuple_avg(T748)/tuple_avg(AA748)</f>
        <v>1.4999999999999999E-2</v>
      </c>
      <c r="AJ748" s="69">
        <f>AC748*AI748*'-配置辅助'!$I$8</f>
        <v>3</v>
      </c>
      <c r="AK748" s="69">
        <f>AD748*AI748*'-配置辅助'!$I$10</f>
        <v>0.625</v>
      </c>
      <c r="AL748" s="69">
        <f>AJ748*_xlfn.XLOOKUP(H748,monsters[怪物id],monsters[HP],-1)</f>
        <v>93</v>
      </c>
      <c r="AM748" s="69">
        <f>AK748*_xlfn.XLOOKUP(H748,monsters[怪物id],monsters[HP],-1)</f>
        <v>19.375</v>
      </c>
    </row>
    <row r="749" spans="1:41" x14ac:dyDescent="0.2">
      <c r="A749" s="9">
        <v>42080301</v>
      </c>
      <c r="B749" s="9" t="str" cm="1">
        <f t="array" ref="B749">D749&amp;_xlfn.TEXTJOIN("",1,TEXT(E749:G749,"00"))</f>
        <v>0010001</v>
      </c>
      <c r="C749" s="30" t="str">
        <f t="shared" si="435"/>
        <v>42080301,0010001</v>
      </c>
      <c r="D749" s="26">
        <v>0</v>
      </c>
      <c r="E749" s="26">
        <v>1</v>
      </c>
      <c r="F749" s="26">
        <f>W749</f>
        <v>0</v>
      </c>
      <c r="G749" s="26">
        <v>1</v>
      </c>
      <c r="H749" s="9">
        <v>201818</v>
      </c>
      <c r="I749" s="15" t="str">
        <f>IFERROR(VLOOKUP(H749,monsters[#All],4,0),"")</f>
        <v>聒噪海贝</v>
      </c>
      <c r="J749" s="15" t="str" cm="1">
        <f t="array" ref="J749">_xlfn.LET(_xlpm.v6p,ABS(ATAN2(O749,P749))*6/PI(),
_xlpm.output,_xlfn.IFS(_xlpm.v6p&lt;1,"正前",_xlpm.v6p&gt;5,"正后",AND(_xlpm.v6p&lt;5,_xlpm.v6p&gt;2,P749&lt;-1),"脚底",_xlpm.v6p&gt;4,"后上",_xlpm.v6p&lt;2,"前上",TRUE,"顶部"),
IFERROR(_xlpm.output,""))</f>
        <v>正前</v>
      </c>
      <c r="K749" s="12"/>
      <c r="L749" s="12" t="s">
        <v>63</v>
      </c>
      <c r="M749" s="12" t="s">
        <v>63</v>
      </c>
      <c r="N749" s="19" t="str">
        <f>O749+0&amp;","&amp;P749+0</f>
        <v>18,-1</v>
      </c>
      <c r="O749" s="24">
        <v>18</v>
      </c>
      <c r="P749" s="24">
        <v>-1</v>
      </c>
      <c r="Q749" s="19">
        <f t="shared" si="436"/>
        <v>1</v>
      </c>
      <c r="S749" s="9">
        <v>8</v>
      </c>
      <c r="T749" s="19" t="str">
        <f>IF(U749&lt;&gt;"", U749+0&amp;","&amp;V749+0,"")</f>
        <v>1,3</v>
      </c>
      <c r="U749" s="24">
        <v>1</v>
      </c>
      <c r="V749" s="24">
        <v>3</v>
      </c>
      <c r="W749" s="9">
        <v>0</v>
      </c>
      <c r="X749" s="9">
        <v>11</v>
      </c>
      <c r="Y749" s="19" t="str">
        <f>IF($A749&lt;&gt;"",IF($Z749&lt;&gt;"",$Z749,"0,0"),"")</f>
        <v>0,0</v>
      </c>
      <c r="AA749" s="19" t="str">
        <f>IF($A749&lt;&gt;"",IF($AB749&lt;&gt;"",$AB749,"80,120"),"")</f>
        <v>80,120</v>
      </c>
      <c r="AC749" s="9">
        <v>2.25</v>
      </c>
      <c r="AD749" s="9">
        <v>2.5</v>
      </c>
      <c r="AE749" s="9">
        <v>0.3</v>
      </c>
      <c r="AF749" s="16"/>
      <c r="AG749" s="16"/>
      <c r="AI749" s="69" cm="1">
        <f t="array" ref="AI749">tuple_avg(T749)/tuple_avg(AA749)</f>
        <v>0.02</v>
      </c>
      <c r="AJ749" s="69">
        <f>AC749*AI749*'-配置辅助'!$I$8</f>
        <v>4.5</v>
      </c>
      <c r="AK749" s="69">
        <f>AD749*AI749*'-配置辅助'!$I$10</f>
        <v>0.83333333333333348</v>
      </c>
      <c r="AL749" s="69">
        <f>AJ749*_xlfn.XLOOKUP(H749,monsters[怪物id],monsters[HP],-1)</f>
        <v>139.5</v>
      </c>
      <c r="AM749" s="69">
        <f>AK749*_xlfn.XLOOKUP(H749,monsters[怪物id],monsters[HP],-1)</f>
        <v>25.833333333333339</v>
      </c>
    </row>
    <row r="750" spans="1:41" x14ac:dyDescent="0.2">
      <c r="A750" s="9">
        <v>42080301</v>
      </c>
      <c r="B750" s="9" t="str" cm="1">
        <f t="array" ref="B750">D750&amp;_xlfn.TEXTJOIN("",1,TEXT(E750:G750,"00"))</f>
        <v>0010002</v>
      </c>
      <c r="C750" s="30" t="str">
        <f t="shared" si="435"/>
        <v>42080301,0010002</v>
      </c>
      <c r="D750" s="26">
        <v>0</v>
      </c>
      <c r="E750" s="26">
        <v>1</v>
      </c>
      <c r="F750" s="26">
        <f>W750</f>
        <v>0</v>
      </c>
      <c r="G750" s="26">
        <v>2</v>
      </c>
      <c r="H750" s="9">
        <v>201818</v>
      </c>
      <c r="I750" s="15" t="str">
        <f>IFERROR(VLOOKUP(H750,monsters[#All],4,0),"")</f>
        <v>聒噪海贝</v>
      </c>
      <c r="J750" s="15" t="str" cm="1">
        <f t="array" ref="J750">_xlfn.LET(_xlpm.v6p,ABS(ATAN2(O750,P750))*6/PI(),
_xlpm.output,_xlfn.IFS(_xlpm.v6p&lt;1,"正前",_xlpm.v6p&gt;5,"正后",AND(_xlpm.v6p&lt;5,_xlpm.v6p&gt;2,P750&lt;-1),"脚底",_xlpm.v6p&gt;4,"后上",_xlpm.v6p&lt;2,"前上",TRUE,"顶部"),
IFERROR(_xlpm.output,""))</f>
        <v>正前</v>
      </c>
      <c r="K750" s="12"/>
      <c r="L750" s="12" t="s">
        <v>63</v>
      </c>
      <c r="M750" s="12" t="s">
        <v>63</v>
      </c>
      <c r="N750" s="19" t="str">
        <f>O750+0&amp;","&amp;P750+0</f>
        <v>18,-1</v>
      </c>
      <c r="O750" s="24">
        <v>18</v>
      </c>
      <c r="P750" s="24">
        <v>-1</v>
      </c>
      <c r="Q750" s="19">
        <f t="shared" si="436"/>
        <v>1</v>
      </c>
      <c r="R750" s="42"/>
      <c r="S750" s="9">
        <v>8</v>
      </c>
      <c r="T750" s="19" t="str">
        <f>IF(U750&lt;&gt;"", U750+0&amp;","&amp;V750+0,"")</f>
        <v>2,3</v>
      </c>
      <c r="U750" s="24">
        <v>2</v>
      </c>
      <c r="V750" s="24">
        <v>3</v>
      </c>
      <c r="W750" s="9">
        <v>0</v>
      </c>
      <c r="X750" s="9">
        <v>11</v>
      </c>
      <c r="Y750" s="19" t="str">
        <f>IF($A750&lt;&gt;"",IF($Z750&lt;&gt;"",$Z750,"0,0"),"")</f>
        <v>-105,-100</v>
      </c>
      <c r="Z750" s="42" t="s">
        <v>133</v>
      </c>
      <c r="AA750" s="19" t="str">
        <f>IF($A750&lt;&gt;"",IF($AB750&lt;&gt;"",$AB750,"80,120"),"")</f>
        <v>80,120</v>
      </c>
      <c r="AC750" s="9">
        <v>2.5</v>
      </c>
      <c r="AD750" s="9">
        <v>2.5</v>
      </c>
      <c r="AE750" s="9">
        <v>0.3</v>
      </c>
      <c r="AF750" s="16"/>
      <c r="AG750" s="16"/>
      <c r="AI750" s="69" cm="1">
        <f t="array" ref="AI750">tuple_avg(T750)/tuple_avg(AA750)</f>
        <v>2.5000000000000001E-2</v>
      </c>
      <c r="AJ750" s="69">
        <f>AC750*AI750*'-配置辅助'!$I$8</f>
        <v>6.25</v>
      </c>
      <c r="AK750" s="69">
        <f>AD750*AI750*'-配置辅助'!$I$10</f>
        <v>1.0416666666666667</v>
      </c>
      <c r="AL750" s="69">
        <f>AJ750*_xlfn.XLOOKUP(H750,monsters[怪物id],monsters[HP],-1)</f>
        <v>193.75</v>
      </c>
      <c r="AM750" s="69">
        <f>AK750*_xlfn.XLOOKUP(H750,monsters[怪物id],monsters[HP],-1)</f>
        <v>32.291666666666671</v>
      </c>
    </row>
    <row r="752" spans="1:41" x14ac:dyDescent="0.2">
      <c r="A752" s="9">
        <v>42080301</v>
      </c>
      <c r="B752" s="9" t="str" cm="1">
        <f t="array" ref="B752">D752&amp;_xlfn.TEXTJOIN("",1,TEXT(E752:G752,"00"))</f>
        <v>1010000</v>
      </c>
      <c r="C752" s="30" t="str">
        <f t="shared" ref="C752" si="437">_xlfn.TEXTJOIN(",",1,A752:B752)</f>
        <v>42080301,1010000</v>
      </c>
      <c r="D752" s="26">
        <v>1</v>
      </c>
      <c r="E752" s="26">
        <v>1</v>
      </c>
      <c r="F752" s="26">
        <v>0</v>
      </c>
      <c r="G752" s="26">
        <v>0</v>
      </c>
      <c r="H752" s="9">
        <v>201819</v>
      </c>
      <c r="I752" s="15" t="str">
        <f>IFERROR(VLOOKUP(H752,monsters[#All],4,0),"")</f>
        <v>凶猛海贝</v>
      </c>
      <c r="J752" s="15" t="str" cm="1">
        <f t="array" ref="J752">_xlfn.LET(_xlpm.v6p,ABS(ATAN2(O752,P752))*6/PI(),
_xlpm.output,_xlfn.IFS(_xlpm.v6p&lt;1,"正前",_xlpm.v6p&gt;5,"正后",AND(_xlpm.v6p&lt;5,_xlpm.v6p&gt;2,P752&lt;-1),"脚底",_xlpm.v6p&gt;4,"后上",_xlpm.v6p&lt;2,"前上",TRUE,"顶部"),
IFERROR(_xlpm.output,""))</f>
        <v>正前</v>
      </c>
      <c r="K752" s="12"/>
      <c r="L752" s="12" t="s">
        <v>63</v>
      </c>
      <c r="M752" s="12" t="s">
        <v>63</v>
      </c>
      <c r="N752" s="19" t="str">
        <f>O752+0&amp;","&amp;P752+0</f>
        <v>18,-1</v>
      </c>
      <c r="O752" s="24">
        <v>18</v>
      </c>
      <c r="P752" s="24">
        <v>-1</v>
      </c>
      <c r="Q752" s="19">
        <f t="shared" ref="Q752" si="438">_xlfn.LET(_xlpm._default,1,
_xlpm._custom,R752,
IF($A752&lt;&gt;"",IF(_xlpm._custom&lt;&gt;"",_xlpm._custom,_xlpm._default),""))</f>
        <v>1</v>
      </c>
      <c r="S752" s="9">
        <v>8</v>
      </c>
      <c r="T752" s="19" t="str">
        <f t="shared" ref="T752" si="439">IF(U752&lt;&gt;"", U752+0&amp;","&amp;V752+0,"")</f>
        <v>1,1</v>
      </c>
      <c r="U752" s="24">
        <v>1</v>
      </c>
      <c r="V752" s="24">
        <v>1</v>
      </c>
      <c r="W752" s="9">
        <v>0</v>
      </c>
      <c r="X752" s="9">
        <v>11</v>
      </c>
      <c r="Y752" s="19" t="str">
        <f>IF($A752&lt;&gt;"",IF($Z752&lt;&gt;"",$Z752,"0,0"),"")</f>
        <v>0,0</v>
      </c>
      <c r="Z752" s="42"/>
      <c r="AA752" s="19" t="str">
        <f>IF($A752&lt;&gt;"",IF($AB752&lt;&gt;"",$AB752,"80,120"),"")</f>
        <v>80,120</v>
      </c>
      <c r="AB752" s="41"/>
      <c r="AC752" s="9">
        <v>3</v>
      </c>
      <c r="AD752" s="9">
        <v>0</v>
      </c>
      <c r="AE752" s="9">
        <v>0</v>
      </c>
      <c r="AF752" s="16"/>
      <c r="AG752" s="16"/>
      <c r="AI752" s="69" cm="1">
        <f t="array" ref="AI752">tuple_avg(T752)/tuple_avg(AA752)</f>
        <v>0.01</v>
      </c>
      <c r="AJ752" s="69">
        <f>AC752*AI752*'-配置辅助'!$I$8</f>
        <v>3</v>
      </c>
      <c r="AK752" s="69">
        <f>AD752*AI752*'-配置辅助'!$I$10</f>
        <v>0</v>
      </c>
      <c r="AL752" s="69">
        <f>AJ752*_xlfn.XLOOKUP(H752,monsters[怪物id],monsters[HP],-1)</f>
        <v>159</v>
      </c>
      <c r="AM752" s="69">
        <f>AK752*_xlfn.XLOOKUP(H752,monsters[怪物id],monsters[HP],-1)</f>
        <v>0</v>
      </c>
    </row>
    <row r="753" spans="1:41" x14ac:dyDescent="0.2">
      <c r="J753" s="15" t="str" cm="1">
        <f t="array" ref="J753">_xlfn.LET(_xlpm.v6p,ABS(ATAN2(O753,P753))*6/PI(),
_xlpm.output,_xlfn.IFS(_xlpm.v6p&lt;1,"正前",_xlpm.v6p&gt;5,"正后",AND(_xlpm.v6p&lt;5,_xlpm.v6p&gt;2,P753&lt;-1),"脚底",_xlpm.v6p&gt;4,"后上",_xlpm.v6p&lt;2,"前上",TRUE,"顶部"),
IFERROR(_xlpm.output,""))</f>
        <v/>
      </c>
    </row>
    <row r="755" spans="1:41" s="40" customFormat="1" x14ac:dyDescent="0.2">
      <c r="A755" s="43"/>
      <c r="B755" s="43"/>
      <c r="C755" s="44" t="str">
        <f t="shared" ref="C755" si="440">_xlfn.TEXTJOIN(",",1,A755:B755)</f>
        <v/>
      </c>
      <c r="D755" s="45"/>
      <c r="E755" s="45"/>
      <c r="F755" s="45"/>
      <c r="G755" s="45"/>
      <c r="H755" s="43" t="s">
        <v>383</v>
      </c>
      <c r="I755" s="46"/>
      <c r="J755" s="46"/>
      <c r="O755" s="47"/>
      <c r="P755" s="47"/>
      <c r="R755" s="47"/>
      <c r="S755" s="40" t="s">
        <v>62</v>
      </c>
      <c r="U755" s="47"/>
      <c r="V755" s="47"/>
      <c r="Z755" s="47"/>
      <c r="AB755" s="47"/>
      <c r="AC755" s="40" t="s">
        <v>62</v>
      </c>
      <c r="AI755" s="75"/>
      <c r="AJ755" s="75">
        <f>SUM(AJ757:AJ762)</f>
        <v>14.8</v>
      </c>
      <c r="AK755" s="75">
        <f>SUM(AK757:AK762)</f>
        <v>10.5</v>
      </c>
      <c r="AL755" s="75">
        <f>SUM(AL757:AL762)</f>
        <v>524.80000000000007</v>
      </c>
      <c r="AM755" s="75">
        <f>SUM(AM757:AM762)</f>
        <v>325.5</v>
      </c>
      <c r="AN755" s="75"/>
      <c r="AO755" s="75"/>
    </row>
    <row r="757" spans="1:41" x14ac:dyDescent="0.2">
      <c r="A757" s="9">
        <v>420804</v>
      </c>
      <c r="B757" s="9" t="str" cm="1">
        <f t="array" ref="B757">D757&amp;_xlfn.TEXTJOIN("",1,TEXT(E757:G757,"00"))</f>
        <v>1000000</v>
      </c>
      <c r="C757" s="30" t="str">
        <f t="shared" ref="C757" si="441">_xlfn.TEXTJOIN(",",1,A757:B757)</f>
        <v>420804,1000000</v>
      </c>
      <c r="D757" s="26">
        <v>1</v>
      </c>
      <c r="E757" s="26">
        <v>0</v>
      </c>
      <c r="F757" s="26">
        <f>W757</f>
        <v>0</v>
      </c>
      <c r="G757" s="26">
        <v>0</v>
      </c>
      <c r="H757" s="9">
        <v>201818</v>
      </c>
      <c r="I757" s="15" t="str">
        <f>IFERROR(VLOOKUP(H757,monsters[#All],4,0),"")</f>
        <v>聒噪海贝</v>
      </c>
      <c r="J757" s="15" t="str" cm="1">
        <f t="array" ref="J757">_xlfn.LET(_xlpm.v6p,ABS(ATAN2(O757,P757))*6/PI(),
_xlpm.output,_xlfn.IFS(_xlpm.v6p&lt;1,"正前",_xlpm.v6p&gt;5,"正后",AND(_xlpm.v6p&lt;5,_xlpm.v6p&gt;2,P757&lt;-1),"脚底",_xlpm.v6p&gt;4,"后上",_xlpm.v6p&lt;2,"前上",TRUE,"顶部"),
IFERROR(_xlpm.output,""))</f>
        <v>正前</v>
      </c>
      <c r="K757" s="12"/>
      <c r="L757" s="12" t="s">
        <v>63</v>
      </c>
      <c r="M757" s="12" t="s">
        <v>63</v>
      </c>
      <c r="N757" s="19" t="str">
        <f>O757+0&amp;","&amp;P757+0</f>
        <v>18,-1</v>
      </c>
      <c r="O757" s="24">
        <v>18</v>
      </c>
      <c r="P757" s="24">
        <v>-1</v>
      </c>
      <c r="Q757" s="19">
        <f t="shared" ref="Q757:Q763" si="442">_xlfn.LET(_xlpm._default,1,
_xlpm._custom,R757,
IF($A757&lt;&gt;"",IF(_xlpm._custom&lt;&gt;"",_xlpm._custom,_xlpm._default),""))</f>
        <v>1</v>
      </c>
      <c r="S757" s="9">
        <v>10</v>
      </c>
      <c r="T757" s="19" t="str">
        <f>IF(U757&lt;&gt;"", U757+0&amp;","&amp;V757+0,"")</f>
        <v>1,1</v>
      </c>
      <c r="U757" s="24">
        <v>1</v>
      </c>
      <c r="V757" s="24">
        <v>1</v>
      </c>
      <c r="W757" s="9">
        <v>0</v>
      </c>
      <c r="X757" s="9">
        <v>11</v>
      </c>
      <c r="Y757" s="19" t="str">
        <f>IF($A757&lt;&gt;"",IF($Z757&lt;&gt;"",$Z757,"0,0"),"")</f>
        <v>70,75</v>
      </c>
      <c r="Z757" s="24" t="s">
        <v>132</v>
      </c>
      <c r="AA757" s="19" t="str">
        <f>IF($A757&lt;&gt;"",IF($AB757&lt;&gt;"",$AB757,"80,120"),"")</f>
        <v>80,120</v>
      </c>
      <c r="AC757" s="9">
        <v>1.5</v>
      </c>
      <c r="AD757" s="9">
        <v>9</v>
      </c>
      <c r="AE757" s="9">
        <v>0.3</v>
      </c>
      <c r="AF757" s="16"/>
      <c r="AG757" s="16"/>
      <c r="AI757" s="69" cm="1">
        <f t="array" ref="AI757">tuple_avg(T757)/tuple_avg(AA757)</f>
        <v>0.01</v>
      </c>
      <c r="AJ757" s="69">
        <f>AC757*AI757*'-配置辅助'!$I$8</f>
        <v>1.5</v>
      </c>
      <c r="AK757" s="69">
        <f>AD757*AI757*'-配置辅助'!$I$10</f>
        <v>1.5</v>
      </c>
      <c r="AL757" s="69">
        <f>AJ757*_xlfn.XLOOKUP(H757,monsters[怪物id],monsters[HP],-1)</f>
        <v>46.5</v>
      </c>
      <c r="AM757" s="69">
        <f>AK757*_xlfn.XLOOKUP(H757,monsters[怪物id],monsters[HP],-1)</f>
        <v>46.5</v>
      </c>
    </row>
    <row r="758" spans="1:41" x14ac:dyDescent="0.2">
      <c r="A758" s="9">
        <v>420804</v>
      </c>
      <c r="B758" s="9" t="str" cm="1">
        <f t="array" ref="B758">D758&amp;_xlfn.TEXTJOIN("",1,TEXT(E758:G758,"00"))</f>
        <v>1000001</v>
      </c>
      <c r="C758" s="30" t="str">
        <f t="shared" ref="C758:C759" si="443">_xlfn.TEXTJOIN(",",1,A758:B758)</f>
        <v>420804,1000001</v>
      </c>
      <c r="D758" s="26">
        <v>1</v>
      </c>
      <c r="E758" s="26">
        <v>0</v>
      </c>
      <c r="F758" s="26">
        <f>W758</f>
        <v>0</v>
      </c>
      <c r="G758" s="26">
        <v>1</v>
      </c>
      <c r="H758" s="9">
        <v>201818</v>
      </c>
      <c r="I758" s="15" t="str">
        <f>IFERROR(VLOOKUP(H758,monsters[#All],4,0),"")</f>
        <v>聒噪海贝</v>
      </c>
      <c r="J758" s="15" t="str" cm="1">
        <f t="array" ref="J758">_xlfn.LET(_xlpm.v6p,ABS(ATAN2(O758,P758))*6/PI(),
_xlpm.output,_xlfn.IFS(_xlpm.v6p&lt;1,"正前",_xlpm.v6p&gt;5,"正后",AND(_xlpm.v6p&lt;5,_xlpm.v6p&gt;2,P758&lt;-1),"脚底",_xlpm.v6p&gt;4,"后上",_xlpm.v6p&lt;2,"前上",TRUE,"顶部"),
IFERROR(_xlpm.output,""))</f>
        <v>正前</v>
      </c>
      <c r="K758" s="12"/>
      <c r="L758" s="12" t="s">
        <v>63</v>
      </c>
      <c r="M758" s="12" t="s">
        <v>63</v>
      </c>
      <c r="N758" s="19" t="str">
        <f>O758+0&amp;","&amp;P758+0</f>
        <v>18,-1</v>
      </c>
      <c r="O758" s="24">
        <v>18</v>
      </c>
      <c r="P758" s="24">
        <v>-1</v>
      </c>
      <c r="Q758" s="19">
        <f t="shared" si="442"/>
        <v>1</v>
      </c>
      <c r="S758" s="9">
        <v>12</v>
      </c>
      <c r="T758" s="19" t="str">
        <f>IF(U758&lt;&gt;"", U758+0&amp;","&amp;V758+0,"")</f>
        <v>1,2</v>
      </c>
      <c r="U758" s="24">
        <v>1</v>
      </c>
      <c r="V758" s="24">
        <v>2</v>
      </c>
      <c r="W758" s="9">
        <v>0</v>
      </c>
      <c r="X758" s="9">
        <v>11</v>
      </c>
      <c r="Y758" s="19" t="str">
        <f>IF($A758&lt;&gt;"",IF($Z758&lt;&gt;"",$Z758,"0,0"),"")</f>
        <v>0,0</v>
      </c>
      <c r="AA758" s="19" t="str">
        <f>IF($A758&lt;&gt;"",IF($AB758&lt;&gt;"",$AB758,"80,120"),"")</f>
        <v>80,120</v>
      </c>
      <c r="AC758" s="9">
        <v>1.6</v>
      </c>
      <c r="AD758" s="9">
        <v>9</v>
      </c>
      <c r="AE758" s="9">
        <v>0.3</v>
      </c>
      <c r="AF758" s="16"/>
      <c r="AG758" s="16"/>
      <c r="AI758" s="69" cm="1">
        <f t="array" ref="AI758">tuple_avg(T758)/tuple_avg(AA758)</f>
        <v>1.4999999999999999E-2</v>
      </c>
      <c r="AJ758" s="69">
        <f>AC758*AI758*'-配置辅助'!$I$8</f>
        <v>2.4</v>
      </c>
      <c r="AK758" s="69">
        <f>AD758*AI758*'-配置辅助'!$I$10</f>
        <v>2.2500000000000004</v>
      </c>
      <c r="AL758" s="69">
        <f>AJ758*_xlfn.XLOOKUP(H758,monsters[怪物id],monsters[HP],-1)</f>
        <v>74.399999999999991</v>
      </c>
      <c r="AM758" s="69">
        <f>AK758*_xlfn.XLOOKUP(H758,monsters[怪物id],monsters[HP],-1)</f>
        <v>69.750000000000014</v>
      </c>
    </row>
    <row r="759" spans="1:41" x14ac:dyDescent="0.2">
      <c r="A759" s="9">
        <v>420804</v>
      </c>
      <c r="B759" s="9" t="str" cm="1">
        <f t="array" ref="B759">D759&amp;_xlfn.TEXTJOIN("",1,TEXT(E759:G759,"00"))</f>
        <v>1000002</v>
      </c>
      <c r="C759" s="30" t="str">
        <f t="shared" si="443"/>
        <v>420804,1000002</v>
      </c>
      <c r="D759" s="26">
        <v>1</v>
      </c>
      <c r="E759" s="26">
        <v>0</v>
      </c>
      <c r="F759" s="26">
        <f>W759</f>
        <v>0</v>
      </c>
      <c r="G759" s="26">
        <v>2</v>
      </c>
      <c r="H759" s="9">
        <v>201818</v>
      </c>
      <c r="I759" s="15" t="str">
        <f>IFERROR(VLOOKUP(H759,monsters[#All],4,0),"")</f>
        <v>聒噪海贝</v>
      </c>
      <c r="J759" s="15" t="str" cm="1">
        <f t="array" ref="J759">_xlfn.LET(_xlpm.v6p,ABS(ATAN2(O759,P759))*6/PI(),
_xlpm.output,_xlfn.IFS(_xlpm.v6p&lt;1,"正前",_xlpm.v6p&gt;5,"正后",AND(_xlpm.v6p&lt;5,_xlpm.v6p&gt;2,P759&lt;-1),"脚底",_xlpm.v6p&gt;4,"后上",_xlpm.v6p&lt;2,"前上",TRUE,"顶部"),
IFERROR(_xlpm.output,""))</f>
        <v>正前</v>
      </c>
      <c r="K759" s="12"/>
      <c r="L759" s="12" t="s">
        <v>63</v>
      </c>
      <c r="M759" s="12" t="s">
        <v>63</v>
      </c>
      <c r="N759" s="19" t="str">
        <f>O759+0&amp;","&amp;P759+0</f>
        <v>18,-1</v>
      </c>
      <c r="O759" s="24">
        <v>18</v>
      </c>
      <c r="P759" s="24">
        <v>-1</v>
      </c>
      <c r="Q759" s="19">
        <f t="shared" ref="Q759" si="444">_xlfn.LET(_xlpm._default,1,
_xlpm._custom,R759,
IF($A759&lt;&gt;"",IF(_xlpm._custom&lt;&gt;"",_xlpm._custom,_xlpm._default),""))</f>
        <v>1</v>
      </c>
      <c r="R759" s="42"/>
      <c r="S759" s="9">
        <v>14</v>
      </c>
      <c r="T759" s="19" t="str">
        <f>IF(U759&lt;&gt;"", U759+0&amp;","&amp;V759+0,"")</f>
        <v>1,3</v>
      </c>
      <c r="U759" s="24">
        <v>1</v>
      </c>
      <c r="V759" s="24">
        <v>3</v>
      </c>
      <c r="W759" s="9">
        <v>0</v>
      </c>
      <c r="X759" s="9">
        <v>11</v>
      </c>
      <c r="Y759" s="19" t="str">
        <f>IF($A759&lt;&gt;"",IF($Z759&lt;&gt;"",$Z759,"0,0"),"")</f>
        <v>-105,-100</v>
      </c>
      <c r="Z759" s="42" t="s">
        <v>133</v>
      </c>
      <c r="AA759" s="19" t="str">
        <f>IF($A759&lt;&gt;"",IF($AB759&lt;&gt;"",$AB759,"80,120"),"")</f>
        <v>80,120</v>
      </c>
      <c r="AC759" s="9">
        <v>1.7</v>
      </c>
      <c r="AD759" s="9">
        <v>9</v>
      </c>
      <c r="AE759" s="9">
        <v>0.3</v>
      </c>
      <c r="AF759" s="16"/>
      <c r="AG759" s="16"/>
      <c r="AI759" s="69" cm="1">
        <f t="array" ref="AI759">tuple_avg(T759)/tuple_avg(AA759)</f>
        <v>0.02</v>
      </c>
      <c r="AJ759" s="69">
        <f>AC759*AI759*'-配置辅助'!$I$8</f>
        <v>3.4000000000000004</v>
      </c>
      <c r="AK759" s="69">
        <f>AD759*AI759*'-配置辅助'!$I$10</f>
        <v>3</v>
      </c>
      <c r="AL759" s="69">
        <f>AJ759*_xlfn.XLOOKUP(H759,monsters[怪物id],monsters[HP],-1)</f>
        <v>105.4</v>
      </c>
      <c r="AM759" s="69">
        <f>AK759*_xlfn.XLOOKUP(H759,monsters[怪物id],monsters[HP],-1)</f>
        <v>93</v>
      </c>
    </row>
    <row r="760" spans="1:41" x14ac:dyDescent="0.2">
      <c r="A760" s="9">
        <v>420804</v>
      </c>
      <c r="B760" s="9" t="str" cm="1">
        <f t="array" ref="B760">D760&amp;_xlfn.TEXTJOIN("",1,TEXT(E760:G760,"00"))</f>
        <v>1000003</v>
      </c>
      <c r="C760" s="30" t="str">
        <f t="shared" ref="C760" si="445">_xlfn.TEXTJOIN(",",1,A760:B760)</f>
        <v>420804,1000003</v>
      </c>
      <c r="D760" s="26">
        <v>1</v>
      </c>
      <c r="E760" s="26">
        <v>0</v>
      </c>
      <c r="F760" s="26">
        <f>W760</f>
        <v>0</v>
      </c>
      <c r="G760" s="26">
        <v>3</v>
      </c>
      <c r="H760" s="9">
        <v>201818</v>
      </c>
      <c r="I760" s="15" t="str">
        <f>IFERROR(VLOOKUP(H760,monsters[#All],4,0),"")</f>
        <v>聒噪海贝</v>
      </c>
      <c r="J760" s="15" t="str" cm="1">
        <f t="array" ref="J760">_xlfn.LET(_xlpm.v6p,ABS(ATAN2(O760,P760))*6/PI(),
_xlpm.output,_xlfn.IFS(_xlpm.v6p&lt;1,"正前",_xlpm.v6p&gt;5,"正后",AND(_xlpm.v6p&lt;5,_xlpm.v6p&gt;2,P760&lt;-1),"脚底",_xlpm.v6p&gt;4,"后上",_xlpm.v6p&lt;2,"前上",TRUE,"顶部"),
IFERROR(_xlpm.output,""))</f>
        <v>正前</v>
      </c>
      <c r="K760" s="12"/>
      <c r="L760" s="12" t="s">
        <v>63</v>
      </c>
      <c r="M760" s="12" t="s">
        <v>63</v>
      </c>
      <c r="N760" s="19" t="str">
        <f>O760+0&amp;","&amp;P760+0</f>
        <v>18,-1</v>
      </c>
      <c r="O760" s="24">
        <v>18</v>
      </c>
      <c r="P760" s="24">
        <v>-1</v>
      </c>
      <c r="Q760" s="19">
        <f t="shared" si="442"/>
        <v>1</v>
      </c>
      <c r="R760" s="42"/>
      <c r="S760" s="9">
        <v>16</v>
      </c>
      <c r="T760" s="19" t="str">
        <f>IF(U760&lt;&gt;"", U760+0&amp;","&amp;V760+0,"")</f>
        <v>2,3</v>
      </c>
      <c r="U760" s="24">
        <v>2</v>
      </c>
      <c r="V760" s="24">
        <v>3</v>
      </c>
      <c r="W760" s="9">
        <v>0</v>
      </c>
      <c r="X760" s="9">
        <v>11</v>
      </c>
      <c r="Y760" s="19" t="str">
        <f>IF($A760&lt;&gt;"",IF($Z760&lt;&gt;"",$Z760,"0,0"),"")</f>
        <v>-235,-240</v>
      </c>
      <c r="Z760" s="42" t="s">
        <v>263</v>
      </c>
      <c r="AA760" s="19" t="str">
        <f>IF($A760&lt;&gt;"",IF($AB760&lt;&gt;"",$AB760,"80,120"),"")</f>
        <v>80,120</v>
      </c>
      <c r="AC760" s="9">
        <v>1.8</v>
      </c>
      <c r="AD760" s="9">
        <v>9</v>
      </c>
      <c r="AE760" s="9">
        <v>0.3</v>
      </c>
      <c r="AF760" s="16"/>
      <c r="AG760" s="16"/>
      <c r="AI760" s="69" cm="1">
        <f t="array" ref="AI760">tuple_avg(T760)/tuple_avg(AA760)</f>
        <v>2.5000000000000001E-2</v>
      </c>
      <c r="AJ760" s="69">
        <f>AC760*AI760*'-配置辅助'!$I$8</f>
        <v>4.5000000000000009</v>
      </c>
      <c r="AK760" s="69">
        <f>AD760*AI760*'-配置辅助'!$I$10</f>
        <v>3.7500000000000004</v>
      </c>
      <c r="AL760" s="69">
        <f>AJ760*_xlfn.XLOOKUP(H760,monsters[怪物id],monsters[HP],-1)</f>
        <v>139.50000000000003</v>
      </c>
      <c r="AM760" s="69">
        <f>AK760*_xlfn.XLOOKUP(H760,monsters[怪物id],monsters[HP],-1)</f>
        <v>116.25000000000001</v>
      </c>
    </row>
    <row r="762" spans="1:41" x14ac:dyDescent="0.2">
      <c r="A762" s="9">
        <v>420804</v>
      </c>
      <c r="B762" s="9" t="str" cm="1">
        <f t="array" ref="B762">D762&amp;_xlfn.TEXTJOIN("",1,TEXT(E762:G762,"00"))</f>
        <v>2000000</v>
      </c>
      <c r="C762" s="30" t="str">
        <f t="shared" ref="C762" si="446">_xlfn.TEXTJOIN(",",1,A762:B762)</f>
        <v>420804,2000000</v>
      </c>
      <c r="D762" s="26">
        <v>2</v>
      </c>
      <c r="E762" s="26">
        <v>0</v>
      </c>
      <c r="F762" s="26">
        <v>0</v>
      </c>
      <c r="G762" s="26">
        <v>0</v>
      </c>
      <c r="H762" s="9">
        <v>201819</v>
      </c>
      <c r="I762" s="15" t="str">
        <f>IFERROR(VLOOKUP(H762,monsters[#All],4,0),"")</f>
        <v>凶猛海贝</v>
      </c>
      <c r="J762" s="15" t="str" cm="1">
        <f t="array" ref="J762">_xlfn.LET(_xlpm.v6p,ABS(ATAN2(O762,P762))*6/PI(),
_xlpm.output,_xlfn.IFS(_xlpm.v6p&lt;1,"正前",_xlpm.v6p&gt;5,"正后",AND(_xlpm.v6p&lt;5,_xlpm.v6p&gt;2,P762&lt;-1),"脚底",_xlpm.v6p&gt;4,"后上",_xlpm.v6p&lt;2,"前上",TRUE,"顶部"),
IFERROR(_xlpm.output,""))</f>
        <v>正前</v>
      </c>
      <c r="K762" s="12"/>
      <c r="L762" s="12" t="s">
        <v>63</v>
      </c>
      <c r="M762" s="12" t="s">
        <v>63</v>
      </c>
      <c r="N762" s="19" t="str">
        <f>O762+0&amp;","&amp;P762+0</f>
        <v>18,-1</v>
      </c>
      <c r="O762" s="24">
        <v>18</v>
      </c>
      <c r="P762" s="24">
        <v>-1</v>
      </c>
      <c r="Q762" s="19">
        <f t="shared" ref="Q762" si="447">_xlfn.LET(_xlpm._default,1,
_xlpm._custom,R762,
IF($A762&lt;&gt;"",IF(_xlpm._custom&lt;&gt;"",_xlpm._custom,_xlpm._default),""))</f>
        <v>1</v>
      </c>
      <c r="S762" s="9">
        <v>8</v>
      </c>
      <c r="T762" s="19" t="str">
        <f t="shared" ref="T762" si="448">IF(U762&lt;&gt;"", U762+0&amp;","&amp;V762+0,"")</f>
        <v>1,1</v>
      </c>
      <c r="U762" s="24">
        <v>1</v>
      </c>
      <c r="V762" s="24">
        <v>1</v>
      </c>
      <c r="W762" s="9">
        <v>0</v>
      </c>
      <c r="X762" s="9">
        <v>11</v>
      </c>
      <c r="Y762" s="19" t="str">
        <f>IF($A762&lt;&gt;"",IF($Z762&lt;&gt;"",$Z762,"0,0"),"")</f>
        <v>0,0</v>
      </c>
      <c r="Z762" s="42"/>
      <c r="AA762" s="19" t="str">
        <f>IF($A762&lt;&gt;"",IF($AB762&lt;&gt;"",$AB762,"80,120"),"")</f>
        <v>80,120</v>
      </c>
      <c r="AB762" s="41"/>
      <c r="AC762" s="9">
        <v>3</v>
      </c>
      <c r="AD762" s="9">
        <v>0</v>
      </c>
      <c r="AE762" s="9">
        <v>0</v>
      </c>
      <c r="AF762" s="16"/>
      <c r="AG762" s="16"/>
      <c r="AI762" s="69" cm="1">
        <f t="array" ref="AI762">tuple_avg(T762)/tuple_avg(AA762)</f>
        <v>0.01</v>
      </c>
      <c r="AJ762" s="69">
        <f>AC762*AI762*'-配置辅助'!$I$8</f>
        <v>3</v>
      </c>
      <c r="AK762" s="69">
        <f>AD762*AI762*'-配置辅助'!$I$10</f>
        <v>0</v>
      </c>
      <c r="AL762" s="69">
        <f>AJ762*_xlfn.XLOOKUP(H762,monsters[怪物id],monsters[HP],-1)</f>
        <v>159</v>
      </c>
      <c r="AM762" s="69">
        <f>AK762*_xlfn.XLOOKUP(H762,monsters[怪物id],monsters[HP],-1)</f>
        <v>0</v>
      </c>
    </row>
    <row r="763" spans="1:41" x14ac:dyDescent="0.2">
      <c r="J763" s="15" t="str" cm="1">
        <f t="array" ref="J763">_xlfn.LET(_xlpm.v6p,ABS(ATAN2(O763,P763))*6/PI(),
_xlpm.output,_xlfn.IFS(_xlpm.v6p&lt;1,"正前",_xlpm.v6p&gt;5,"正后",AND(_xlpm.v6p&lt;5,_xlpm.v6p&gt;2,P763&lt;-1),"脚底",_xlpm.v6p&gt;4,"后上",_xlpm.v6p&lt;2,"前上",TRUE,"顶部"),
IFERROR(_xlpm.output,""))</f>
        <v/>
      </c>
      <c r="Q763" s="19" t="str">
        <f t="shared" si="442"/>
        <v/>
      </c>
    </row>
    <row r="765" spans="1:41" s="40" customFormat="1" x14ac:dyDescent="0.2">
      <c r="A765" s="43"/>
      <c r="B765" s="43"/>
      <c r="C765" s="44" t="str">
        <f t="shared" ref="C765" si="449">_xlfn.TEXTJOIN(",",1,A765:B765)</f>
        <v/>
      </c>
      <c r="D765" s="45"/>
      <c r="E765" s="45"/>
      <c r="F765" s="45"/>
      <c r="G765" s="45"/>
      <c r="H765" s="43" t="s">
        <v>350</v>
      </c>
      <c r="I765" s="46"/>
      <c r="J765" s="46"/>
      <c r="O765" s="47"/>
      <c r="P765" s="47"/>
      <c r="R765" s="47"/>
      <c r="S765" s="40" t="s">
        <v>62</v>
      </c>
      <c r="U765" s="47"/>
      <c r="V765" s="47"/>
      <c r="Z765" s="47"/>
      <c r="AB765" s="47"/>
      <c r="AC765" s="40" t="s">
        <v>62</v>
      </c>
      <c r="AI765" s="75"/>
      <c r="AJ765" s="75">
        <f>SUM(AJ767:AJ772)</f>
        <v>19</v>
      </c>
      <c r="AK765" s="75">
        <f>SUM(AK767:AK772)</f>
        <v>15.583333333333336</v>
      </c>
      <c r="AL765" s="75">
        <f>SUM(AL767:AL772)</f>
        <v>579</v>
      </c>
      <c r="AM765" s="75">
        <f>SUM(AM767:AM772)</f>
        <v>420.75000000000011</v>
      </c>
      <c r="AN765" s="75"/>
      <c r="AO765" s="75"/>
    </row>
    <row r="767" spans="1:41" x14ac:dyDescent="0.2">
      <c r="A767" s="9">
        <v>420805</v>
      </c>
      <c r="B767" s="9" t="str" cm="1">
        <f t="array" ref="B767">D767&amp;_xlfn.TEXTJOIN("",1,TEXT(E767:G767,"00"))</f>
        <v>1000000</v>
      </c>
      <c r="C767" s="30" t="str">
        <f t="shared" ref="C767:C772" si="450">_xlfn.TEXTJOIN(",",1,A767:B767)</f>
        <v>420805,1000000</v>
      </c>
      <c r="D767" s="26">
        <v>1</v>
      </c>
      <c r="E767" s="26">
        <v>0</v>
      </c>
      <c r="F767" s="26">
        <f>W767</f>
        <v>0</v>
      </c>
      <c r="G767" s="26">
        <v>0</v>
      </c>
      <c r="H767" s="9">
        <v>201814</v>
      </c>
      <c r="I767" s="15" t="str">
        <f>IFERROR(VLOOKUP(H767,monsters[#All],4,0),"")</f>
        <v>弱小螃蟹</v>
      </c>
      <c r="J767" s="15" t="str" cm="1">
        <f t="array" ref="J767">_xlfn.LET(_xlpm.v6p,ABS(ATAN2(O767,P767))*6/PI(),
_xlpm.output,_xlfn.IFS(_xlpm.v6p&lt;1,"正前",_xlpm.v6p&gt;5,"正后",AND(_xlpm.v6p&lt;5,_xlpm.v6p&gt;2,P767&lt;-1),"脚底",_xlpm.v6p&gt;4,"后上",_xlpm.v6p&lt;2,"前上",TRUE,"顶部"),
IFERROR(_xlpm.output,""))</f>
        <v>正前</v>
      </c>
      <c r="K767" s="12"/>
      <c r="L767" s="12" t="s">
        <v>63</v>
      </c>
      <c r="M767" s="12" t="s">
        <v>63</v>
      </c>
      <c r="N767" s="19" t="str">
        <f>O767+0&amp;","&amp;P767+0</f>
        <v>16,-1</v>
      </c>
      <c r="O767" s="24">
        <v>16</v>
      </c>
      <c r="P767" s="24">
        <v>-1</v>
      </c>
      <c r="Q767" s="19">
        <f t="shared" ref="Q767:Q772" si="451">_xlfn.LET(_xlpm._default,1,
_xlpm._custom,R767,
IF($A767&lt;&gt;"",IF(_xlpm._custom&lt;&gt;"",_xlpm._custom,_xlpm._default),""))</f>
        <v>2</v>
      </c>
      <c r="R767" s="24">
        <v>2</v>
      </c>
      <c r="S767" s="9">
        <v>8</v>
      </c>
      <c r="T767" s="19" t="str">
        <f>IF(U767&lt;&gt;"", U767+0&amp;","&amp;V767+0,"")</f>
        <v>1,2</v>
      </c>
      <c r="U767" s="24">
        <v>1</v>
      </c>
      <c r="V767" s="24">
        <v>2</v>
      </c>
      <c r="W767" s="9">
        <v>0</v>
      </c>
      <c r="X767" s="9">
        <v>11</v>
      </c>
      <c r="Y767" s="19" t="str">
        <f>IF($A767&lt;&gt;"",IF($Z767&lt;&gt;"",$Z767,"0,0"),"")</f>
        <v>65,70</v>
      </c>
      <c r="Z767" s="24" t="s">
        <v>130</v>
      </c>
      <c r="AA767" s="19" t="str">
        <f>IF($A767&lt;&gt;"",IF($AB767&lt;&gt;"",$AB767,"80,120"),"")</f>
        <v>80,120</v>
      </c>
      <c r="AC767" s="9">
        <v>1</v>
      </c>
      <c r="AD767" s="9">
        <v>7</v>
      </c>
      <c r="AE767" s="9">
        <v>0.3</v>
      </c>
      <c r="AF767" s="16"/>
      <c r="AG767" s="16"/>
      <c r="AI767" s="69" cm="1">
        <f t="array" ref="AI767">tuple_avg(T767)/tuple_avg(AA767)</f>
        <v>1.4999999999999999E-2</v>
      </c>
      <c r="AJ767" s="69">
        <f>AC767*AI767*'-配置辅助'!$I$8</f>
        <v>1.5</v>
      </c>
      <c r="AK767" s="69">
        <f>AD767*AI767*'-配置辅助'!$I$10</f>
        <v>1.75</v>
      </c>
      <c r="AL767" s="69">
        <f>AJ767*_xlfn.XLOOKUP(H767,monsters[怪物id],monsters[HP],-1)</f>
        <v>40.5</v>
      </c>
      <c r="AM767" s="69">
        <f>AK767*_xlfn.XLOOKUP(H767,monsters[怪物id],monsters[HP],-1)</f>
        <v>47.25</v>
      </c>
    </row>
    <row r="768" spans="1:41" x14ac:dyDescent="0.2">
      <c r="A768" s="9">
        <v>420805</v>
      </c>
      <c r="B768" s="9" t="str" cm="1">
        <f t="array" ref="B768">D768&amp;_xlfn.TEXTJOIN("",1,TEXT(E768:G768,"00"))</f>
        <v>1000001</v>
      </c>
      <c r="C768" s="30" t="str">
        <f t="shared" si="450"/>
        <v>420805,1000001</v>
      </c>
      <c r="D768" s="26">
        <v>1</v>
      </c>
      <c r="E768" s="26">
        <v>0</v>
      </c>
      <c r="F768" s="26">
        <f>W768</f>
        <v>0</v>
      </c>
      <c r="G768" s="26">
        <v>1</v>
      </c>
      <c r="H768" s="9">
        <v>201814</v>
      </c>
      <c r="I768" s="15" t="str">
        <f>IFERROR(VLOOKUP(H768,monsters[#All],4,0),"")</f>
        <v>弱小螃蟹</v>
      </c>
      <c r="J768" s="15" t="str" cm="1">
        <f t="array" ref="J768">_xlfn.LET(_xlpm.v6p,ABS(ATAN2(O768,P768))*6/PI(),
_xlpm.output,_xlfn.IFS(_xlpm.v6p&lt;1,"正前",_xlpm.v6p&gt;5,"正后",AND(_xlpm.v6p&lt;5,_xlpm.v6p&gt;2,P768&lt;-1),"脚底",_xlpm.v6p&gt;4,"后上",_xlpm.v6p&lt;2,"前上",TRUE,"顶部"),
IFERROR(_xlpm.output,""))</f>
        <v>正前</v>
      </c>
      <c r="K768" s="12"/>
      <c r="L768" s="12" t="s">
        <v>63</v>
      </c>
      <c r="M768" s="12" t="s">
        <v>63</v>
      </c>
      <c r="N768" s="19" t="str">
        <f>O768+0&amp;","&amp;P768+0</f>
        <v>16,-1</v>
      </c>
      <c r="O768" s="24">
        <v>16</v>
      </c>
      <c r="P768" s="24">
        <v>-1</v>
      </c>
      <c r="Q768" s="19">
        <f t="shared" si="451"/>
        <v>2</v>
      </c>
      <c r="R768" s="24">
        <v>2</v>
      </c>
      <c r="S768" s="9">
        <v>10</v>
      </c>
      <c r="T768" s="19" t="str">
        <f>IF(U768&lt;&gt;"", U768+0&amp;","&amp;V768+0,"")</f>
        <v>1,3</v>
      </c>
      <c r="U768" s="24">
        <v>1</v>
      </c>
      <c r="V768" s="24">
        <v>3</v>
      </c>
      <c r="W768" s="9">
        <v>0</v>
      </c>
      <c r="X768" s="9">
        <v>11</v>
      </c>
      <c r="Y768" s="19" t="str">
        <f>IF($A768&lt;&gt;"",IF($Z768&lt;&gt;"",$Z768,"0,0"),"")</f>
        <v>0,0</v>
      </c>
      <c r="AA768" s="19" t="str">
        <f>IF($A768&lt;&gt;"",IF($AB768&lt;&gt;"",$AB768,"80,120"),"")</f>
        <v>80,120</v>
      </c>
      <c r="AC768" s="9">
        <v>1.2</v>
      </c>
      <c r="AD768" s="9">
        <v>8</v>
      </c>
      <c r="AE768" s="9">
        <v>0.3</v>
      </c>
      <c r="AF768" s="16"/>
      <c r="AG768" s="16"/>
      <c r="AI768" s="69" cm="1">
        <f t="array" ref="AI768">tuple_avg(T768)/tuple_avg(AA768)</f>
        <v>0.02</v>
      </c>
      <c r="AJ768" s="69">
        <f>AC768*AI768*'-配置辅助'!$I$8</f>
        <v>2.4</v>
      </c>
      <c r="AK768" s="69">
        <f>AD768*AI768*'-配置辅助'!$I$10</f>
        <v>2.666666666666667</v>
      </c>
      <c r="AL768" s="69">
        <f>AJ768*_xlfn.XLOOKUP(H768,monsters[怪物id],monsters[HP],-1)</f>
        <v>64.8</v>
      </c>
      <c r="AM768" s="69">
        <f>AK768*_xlfn.XLOOKUP(H768,monsters[怪物id],monsters[HP],-1)</f>
        <v>72.000000000000014</v>
      </c>
    </row>
    <row r="769" spans="1:41" x14ac:dyDescent="0.2">
      <c r="A769" s="9">
        <v>420805</v>
      </c>
      <c r="B769" s="9" t="str" cm="1">
        <f t="array" ref="B769">D769&amp;_xlfn.TEXTJOIN("",1,TEXT(E769:G769,"00"))</f>
        <v>1000002</v>
      </c>
      <c r="C769" s="30" t="str">
        <f t="shared" si="450"/>
        <v>420805,1000002</v>
      </c>
      <c r="D769" s="26">
        <v>1</v>
      </c>
      <c r="E769" s="26">
        <v>0</v>
      </c>
      <c r="F769" s="26">
        <f>W769</f>
        <v>0</v>
      </c>
      <c r="G769" s="26">
        <v>2</v>
      </c>
      <c r="H769" s="9">
        <v>201814</v>
      </c>
      <c r="I769" s="15" t="str">
        <f>IFERROR(VLOOKUP(H769,monsters[#All],4,0),"")</f>
        <v>弱小螃蟹</v>
      </c>
      <c r="J769" s="15" t="str" cm="1">
        <f t="array" ref="J769">_xlfn.LET(_xlpm.v6p,ABS(ATAN2(O769,P769))*6/PI(),
_xlpm.output,_xlfn.IFS(_xlpm.v6p&lt;1,"正前",_xlpm.v6p&gt;5,"正后",AND(_xlpm.v6p&lt;5,_xlpm.v6p&gt;2,P769&lt;-1),"脚底",_xlpm.v6p&gt;4,"后上",_xlpm.v6p&lt;2,"前上",TRUE,"顶部"),
IFERROR(_xlpm.output,""))</f>
        <v>正前</v>
      </c>
      <c r="K769" s="12"/>
      <c r="L769" s="12" t="s">
        <v>63</v>
      </c>
      <c r="M769" s="12" t="s">
        <v>63</v>
      </c>
      <c r="N769" s="19" t="str">
        <f>O769+0&amp;","&amp;P769+0</f>
        <v>16,-1</v>
      </c>
      <c r="O769" s="24">
        <v>16</v>
      </c>
      <c r="P769" s="24">
        <v>-1</v>
      </c>
      <c r="Q769" s="19">
        <f t="shared" si="451"/>
        <v>2</v>
      </c>
      <c r="R769" s="42">
        <v>2</v>
      </c>
      <c r="S769" s="9">
        <v>12</v>
      </c>
      <c r="T769" s="19" t="str">
        <f>IF(U769&lt;&gt;"", U769+0&amp;","&amp;V769+0,"")</f>
        <v>2,4</v>
      </c>
      <c r="U769" s="24">
        <v>2</v>
      </c>
      <c r="V769" s="24">
        <v>4</v>
      </c>
      <c r="W769" s="9">
        <v>0</v>
      </c>
      <c r="X769" s="9">
        <v>11</v>
      </c>
      <c r="Y769" s="19" t="str">
        <f>IF($A769&lt;&gt;"",IF($Z769&lt;&gt;"",$Z769,"0,0"),"")</f>
        <v>-105,-100</v>
      </c>
      <c r="Z769" s="42" t="s">
        <v>133</v>
      </c>
      <c r="AA769" s="19" t="str">
        <f>IF($A769&lt;&gt;"",IF($AB769&lt;&gt;"",$AB769,"80,120"),"")</f>
        <v>80,120</v>
      </c>
      <c r="AC769" s="9">
        <v>1.5</v>
      </c>
      <c r="AD769" s="9">
        <v>9</v>
      </c>
      <c r="AE769" s="9">
        <v>0.3</v>
      </c>
      <c r="AF769" s="16"/>
      <c r="AG769" s="16"/>
      <c r="AI769" s="69" cm="1">
        <f t="array" ref="AI769">tuple_avg(T769)/tuple_avg(AA769)</f>
        <v>0.03</v>
      </c>
      <c r="AJ769" s="69">
        <f>AC769*AI769*'-配置辅助'!$I$8</f>
        <v>4.5</v>
      </c>
      <c r="AK769" s="69">
        <f>AD769*AI769*'-配置辅助'!$I$10</f>
        <v>4.5000000000000009</v>
      </c>
      <c r="AL769" s="69">
        <f>AJ769*_xlfn.XLOOKUP(H769,monsters[怪物id],monsters[HP],-1)</f>
        <v>121.5</v>
      </c>
      <c r="AM769" s="69">
        <f>AK769*_xlfn.XLOOKUP(H769,monsters[怪物id],monsters[HP],-1)</f>
        <v>121.50000000000003</v>
      </c>
    </row>
    <row r="770" spans="1:41" x14ac:dyDescent="0.2">
      <c r="A770" s="9">
        <v>420805</v>
      </c>
      <c r="B770" s="9" t="str" cm="1">
        <f t="array" ref="B770">D770&amp;_xlfn.TEXTJOIN("",1,TEXT(E770:G770,"00"))</f>
        <v>1000003</v>
      </c>
      <c r="C770" s="30" t="str">
        <f t="shared" si="450"/>
        <v>420805,1000003</v>
      </c>
      <c r="D770" s="26">
        <v>1</v>
      </c>
      <c r="E770" s="26">
        <v>0</v>
      </c>
      <c r="F770" s="26">
        <f>W770</f>
        <v>0</v>
      </c>
      <c r="G770" s="26">
        <v>3</v>
      </c>
      <c r="H770" s="9">
        <v>201814</v>
      </c>
      <c r="I770" s="15" t="str">
        <f>IFERROR(VLOOKUP(H770,monsters[#All],4,0),"")</f>
        <v>弱小螃蟹</v>
      </c>
      <c r="J770" s="15" t="str" cm="1">
        <f t="array" ref="J770">_xlfn.LET(_xlpm.v6p,ABS(ATAN2(O770,P770))*6/PI(),
_xlpm.output,_xlfn.IFS(_xlpm.v6p&lt;1,"正前",_xlpm.v6p&gt;5,"正后",AND(_xlpm.v6p&lt;5,_xlpm.v6p&gt;2,P770&lt;-1),"脚底",_xlpm.v6p&gt;4,"后上",_xlpm.v6p&lt;2,"前上",TRUE,"顶部"),
IFERROR(_xlpm.output,""))</f>
        <v>正前</v>
      </c>
      <c r="K770" s="12"/>
      <c r="L770" s="12" t="s">
        <v>63</v>
      </c>
      <c r="M770" s="12" t="s">
        <v>63</v>
      </c>
      <c r="N770" s="19" t="str">
        <f>O770+0&amp;","&amp;P770+0</f>
        <v>16,-1</v>
      </c>
      <c r="O770" s="24">
        <v>16</v>
      </c>
      <c r="P770" s="24">
        <v>-1</v>
      </c>
      <c r="Q770" s="19">
        <f t="shared" si="451"/>
        <v>2</v>
      </c>
      <c r="R770" s="42">
        <v>2</v>
      </c>
      <c r="S770" s="9">
        <v>14</v>
      </c>
      <c r="T770" s="19" t="str">
        <f>IF(U770&lt;&gt;"", U770+0&amp;","&amp;V770+0,"")</f>
        <v>3,5</v>
      </c>
      <c r="U770" s="24">
        <v>3</v>
      </c>
      <c r="V770" s="24">
        <v>5</v>
      </c>
      <c r="W770" s="9">
        <v>0</v>
      </c>
      <c r="X770" s="9">
        <v>11</v>
      </c>
      <c r="Y770" s="19" t="str">
        <f>IF($A770&lt;&gt;"",IF($Z770&lt;&gt;"",$Z770,"0,0"),"")</f>
        <v>-235,-240</v>
      </c>
      <c r="Z770" s="42" t="s">
        <v>263</v>
      </c>
      <c r="AA770" s="19" t="str">
        <f>IF($A770&lt;&gt;"",IF($AB770&lt;&gt;"",$AB770,"80,120"),"")</f>
        <v>80,120</v>
      </c>
      <c r="AC770" s="9">
        <v>1.9</v>
      </c>
      <c r="AD770" s="9">
        <v>10</v>
      </c>
      <c r="AE770" s="9">
        <v>0.3</v>
      </c>
      <c r="AF770" s="16"/>
      <c r="AG770" s="16"/>
      <c r="AI770" s="69" cm="1">
        <f t="array" ref="AI770">tuple_avg(T770)/tuple_avg(AA770)</f>
        <v>0.04</v>
      </c>
      <c r="AJ770" s="69">
        <f>AC770*AI770*'-配置辅助'!$I$8</f>
        <v>7.6</v>
      </c>
      <c r="AK770" s="69">
        <f>AD770*AI770*'-配置辅助'!$I$10</f>
        <v>6.6666666666666679</v>
      </c>
      <c r="AL770" s="69">
        <f>AJ770*_xlfn.XLOOKUP(H770,monsters[怪物id],monsters[HP],-1)</f>
        <v>205.2</v>
      </c>
      <c r="AM770" s="69">
        <f>AK770*_xlfn.XLOOKUP(H770,monsters[怪物id],monsters[HP],-1)</f>
        <v>180.00000000000003</v>
      </c>
    </row>
    <row r="772" spans="1:41" x14ac:dyDescent="0.2">
      <c r="A772" s="9">
        <v>420805</v>
      </c>
      <c r="B772" s="9" t="str" cm="1">
        <f t="array" ref="B772">D772&amp;_xlfn.TEXTJOIN("",1,TEXT(E772:G772,"00"))</f>
        <v>2000000</v>
      </c>
      <c r="C772" s="30" t="str">
        <f t="shared" si="450"/>
        <v>420805,2000000</v>
      </c>
      <c r="D772" s="26">
        <v>2</v>
      </c>
      <c r="E772" s="26">
        <v>0</v>
      </c>
      <c r="F772" s="26">
        <v>0</v>
      </c>
      <c r="G772" s="26">
        <v>0</v>
      </c>
      <c r="H772" s="9">
        <v>201815</v>
      </c>
      <c r="I772" s="15" t="str">
        <f>IFERROR(VLOOKUP(H772,monsters[#All],4,0),"")</f>
        <v>大钳螃蟹</v>
      </c>
      <c r="J772" s="15" t="str" cm="1">
        <f t="array" ref="J772">_xlfn.LET(_xlpm.v6p,ABS(ATAN2(O772,P772))*6/PI(),
_xlpm.output,_xlfn.IFS(_xlpm.v6p&lt;1,"正前",_xlpm.v6p&gt;5,"正后",AND(_xlpm.v6p&lt;5,_xlpm.v6p&gt;2,P772&lt;-1),"脚底",_xlpm.v6p&gt;4,"后上",_xlpm.v6p&lt;2,"前上",TRUE,"顶部"),
IFERROR(_xlpm.output,""))</f>
        <v>正前</v>
      </c>
      <c r="K772" s="12"/>
      <c r="L772" s="12" t="s">
        <v>63</v>
      </c>
      <c r="M772" s="12" t="s">
        <v>63</v>
      </c>
      <c r="N772" s="19" t="str">
        <f>O772+0&amp;","&amp;P772+0</f>
        <v>18,-1</v>
      </c>
      <c r="O772" s="24">
        <v>18</v>
      </c>
      <c r="P772" s="24">
        <v>-1</v>
      </c>
      <c r="Q772" s="19">
        <f t="shared" si="451"/>
        <v>1</v>
      </c>
      <c r="S772" s="9">
        <v>8</v>
      </c>
      <c r="T772" s="19" t="str">
        <f t="shared" ref="T772" si="452">IF(U772&lt;&gt;"", U772+0&amp;","&amp;V772+0,"")</f>
        <v>1,1</v>
      </c>
      <c r="U772" s="24">
        <v>1</v>
      </c>
      <c r="V772" s="24">
        <v>1</v>
      </c>
      <c r="W772" s="9">
        <v>0</v>
      </c>
      <c r="X772" s="9">
        <v>11</v>
      </c>
      <c r="Y772" s="19" t="str">
        <f>IF($A772&lt;&gt;"",IF($Z772&lt;&gt;"",$Z772,"0,0"),"")</f>
        <v>0,0</v>
      </c>
      <c r="Z772" s="42"/>
      <c r="AA772" s="19" t="str">
        <f>IF($A772&lt;&gt;"",IF($AB772&lt;&gt;"",$AB772,"80,120"),"")</f>
        <v>80,120</v>
      </c>
      <c r="AB772" s="41"/>
      <c r="AC772" s="9">
        <v>3</v>
      </c>
      <c r="AD772" s="9">
        <v>0</v>
      </c>
      <c r="AE772" s="9">
        <v>0</v>
      </c>
      <c r="AF772" s="16"/>
      <c r="AG772" s="16"/>
      <c r="AI772" s="69" cm="1">
        <f t="array" ref="AI772">tuple_avg(T772)/tuple_avg(AA772)</f>
        <v>0.01</v>
      </c>
      <c r="AJ772" s="69">
        <f>AC772*AI772*'-配置辅助'!$I$8</f>
        <v>3</v>
      </c>
      <c r="AK772" s="69">
        <f>AD772*AI772*'-配置辅助'!$I$10</f>
        <v>0</v>
      </c>
      <c r="AL772" s="69">
        <f>AJ772*_xlfn.XLOOKUP(H772,monsters[怪物id],monsters[HP],-1)</f>
        <v>147</v>
      </c>
      <c r="AM772" s="69">
        <f>AK772*_xlfn.XLOOKUP(H772,monsters[怪物id],monsters[HP],-1)</f>
        <v>0</v>
      </c>
    </row>
    <row r="775" spans="1:41" s="40" customFormat="1" x14ac:dyDescent="0.2">
      <c r="A775" s="43"/>
      <c r="B775" s="43"/>
      <c r="C775" s="44" t="str">
        <f t="shared" ref="C775" si="453">_xlfn.TEXTJOIN(",",1,A775:B775)</f>
        <v/>
      </c>
      <c r="D775" s="45"/>
      <c r="E775" s="45"/>
      <c r="F775" s="45"/>
      <c r="G775" s="45"/>
      <c r="H775" s="43" t="s">
        <v>351</v>
      </c>
      <c r="I775" s="46"/>
      <c r="J775" s="46"/>
      <c r="O775" s="47"/>
      <c r="P775" s="47"/>
      <c r="R775" s="47"/>
      <c r="S775" s="40" t="s">
        <v>62</v>
      </c>
      <c r="U775" s="47"/>
      <c r="V775" s="47"/>
      <c r="Z775" s="47"/>
      <c r="AB775" s="47"/>
      <c r="AC775" s="40" t="s">
        <v>62</v>
      </c>
      <c r="AI775" s="75"/>
      <c r="AJ775" s="75">
        <f>SUM(AJ777:AJ780)</f>
        <v>5.4</v>
      </c>
      <c r="AK775" s="75">
        <f>SUM(AK777:AK780)</f>
        <v>6.9166666666666679</v>
      </c>
      <c r="AL775" s="75">
        <f>SUM(AL777:AL780)</f>
        <v>388.8</v>
      </c>
      <c r="AM775" s="75">
        <f>SUM(AM777:AM780)</f>
        <v>498.00000000000006</v>
      </c>
      <c r="AN775" s="75"/>
      <c r="AO775" s="75"/>
    </row>
    <row r="777" spans="1:41" x14ac:dyDescent="0.2">
      <c r="A777" s="9">
        <v>420806</v>
      </c>
      <c r="B777" s="9" t="str" cm="1">
        <f t="array" ref="B777">D777&amp;_xlfn.TEXTJOIN("",1,TEXT(E777:G777,"00"))</f>
        <v>1000000</v>
      </c>
      <c r="C777" s="30" t="str">
        <f t="shared" ref="C777:C780" si="454">_xlfn.TEXTJOIN(",",1,A777:B777)</f>
        <v>420806,1000000</v>
      </c>
      <c r="D777" s="26">
        <v>1</v>
      </c>
      <c r="E777" s="26">
        <v>0</v>
      </c>
      <c r="F777" s="26">
        <f>W777</f>
        <v>0</v>
      </c>
      <c r="G777" s="26">
        <v>0</v>
      </c>
      <c r="H777" s="9">
        <v>201813</v>
      </c>
      <c r="I777" s="15" t="str">
        <f>IFERROR(VLOOKUP(H777,monsters[#All],4,0),"")</f>
        <v>贝壳乌贼</v>
      </c>
      <c r="J777" s="15" t="str" cm="1">
        <f t="array" ref="J777">_xlfn.LET(_xlpm.v6p,ABS(ATAN2(O777,P777))*6/PI(),
_xlpm.output,_xlfn.IFS(_xlpm.v6p&lt;1,"正前",_xlpm.v6p&gt;5,"正后",AND(_xlpm.v6p&lt;5,_xlpm.v6p&gt;2,P777&lt;-1),"脚底",_xlpm.v6p&gt;4,"后上",_xlpm.v6p&lt;2,"前上",TRUE,"顶部"),
IFERROR(_xlpm.output,""))</f>
        <v>正前</v>
      </c>
      <c r="K777" s="12"/>
      <c r="L777" s="12" t="s">
        <v>63</v>
      </c>
      <c r="M777" s="12" t="s">
        <v>63</v>
      </c>
      <c r="N777" s="19" t="str">
        <f>O777+0&amp;","&amp;P777+0</f>
        <v>16,-1</v>
      </c>
      <c r="O777" s="24">
        <v>16</v>
      </c>
      <c r="P777" s="24">
        <v>-1</v>
      </c>
      <c r="Q777" s="19">
        <f t="shared" ref="Q777:Q780" si="455">_xlfn.LET(_xlpm._default,1,
_xlpm._custom,R777,
IF($A777&lt;&gt;"",IF(_xlpm._custom&lt;&gt;"",_xlpm._custom,_xlpm._default),""))</f>
        <v>3</v>
      </c>
      <c r="R777" s="24">
        <v>3</v>
      </c>
      <c r="S777" s="9">
        <v>4</v>
      </c>
      <c r="T777" s="19" t="str">
        <f>IF(U777&lt;&gt;"", U777+0&amp;","&amp;V777+0,"")</f>
        <v>1,1</v>
      </c>
      <c r="U777" s="24">
        <v>1</v>
      </c>
      <c r="V777" s="24">
        <v>1</v>
      </c>
      <c r="W777" s="9">
        <v>0</v>
      </c>
      <c r="X777" s="9">
        <v>11</v>
      </c>
      <c r="Y777" s="19" t="str">
        <f t="shared" ref="Y777:Y779" si="456">IF($A777&lt;&gt;"",IF($Z777&lt;&gt;"",$Z777,"0,0"),"")</f>
        <v>65,70</v>
      </c>
      <c r="Z777" s="24" t="s">
        <v>130</v>
      </c>
      <c r="AA777" s="19" t="str">
        <f>IF($A777&lt;&gt;"",IF($AB777&lt;&gt;"",$AB777,"80,120"),"")</f>
        <v>80,120</v>
      </c>
      <c r="AC777" s="9">
        <v>0.8</v>
      </c>
      <c r="AD777" s="9">
        <v>5</v>
      </c>
      <c r="AE777" s="9">
        <v>0.3</v>
      </c>
      <c r="AF777" s="16"/>
      <c r="AG777" s="16"/>
      <c r="AI777" s="69" cm="1">
        <f t="array" ref="AI777">tuple_avg(T777)/tuple_avg(AA777)</f>
        <v>0.01</v>
      </c>
      <c r="AJ777" s="69">
        <f>AC777*AI777*'-配置辅助'!$I$8</f>
        <v>0.8</v>
      </c>
      <c r="AK777" s="69">
        <f>AD777*AI777*'-配置辅助'!$I$10</f>
        <v>0.83333333333333348</v>
      </c>
      <c r="AL777" s="69">
        <f>AJ777*_xlfn.XLOOKUP(H777,monsters[怪物id],monsters[HP],-1)</f>
        <v>57.6</v>
      </c>
      <c r="AM777" s="69">
        <f>AK777*_xlfn.XLOOKUP(H777,monsters[怪物id],monsters[HP],-1)</f>
        <v>60.000000000000014</v>
      </c>
    </row>
    <row r="778" spans="1:41" x14ac:dyDescent="0.2">
      <c r="A778" s="9">
        <v>420806</v>
      </c>
      <c r="B778" s="9" t="str" cm="1">
        <f t="array" ref="B778">D778&amp;_xlfn.TEXTJOIN("",1,TEXT(E778:G778,"00"))</f>
        <v>1000001</v>
      </c>
      <c r="C778" s="30" t="str">
        <f t="shared" si="454"/>
        <v>420806,1000001</v>
      </c>
      <c r="D778" s="26">
        <v>1</v>
      </c>
      <c r="E778" s="26">
        <v>0</v>
      </c>
      <c r="F778" s="26">
        <f>W778</f>
        <v>0</v>
      </c>
      <c r="G778" s="26">
        <v>1</v>
      </c>
      <c r="H778" s="9">
        <v>201813</v>
      </c>
      <c r="I778" s="15" t="str">
        <f>IFERROR(VLOOKUP(H778,monsters[#All],4,0),"")</f>
        <v>贝壳乌贼</v>
      </c>
      <c r="J778" s="15" t="str" cm="1">
        <f t="array" ref="J778">_xlfn.LET(_xlpm.v6p,ABS(ATAN2(O778,P778))*6/PI(),
_xlpm.output,_xlfn.IFS(_xlpm.v6p&lt;1,"正前",_xlpm.v6p&gt;5,"正后",AND(_xlpm.v6p&lt;5,_xlpm.v6p&gt;2,P778&lt;-1),"脚底",_xlpm.v6p&gt;4,"后上",_xlpm.v6p&lt;2,"前上",TRUE,"顶部"),
IFERROR(_xlpm.output,""))</f>
        <v>正前</v>
      </c>
      <c r="K778" s="12"/>
      <c r="L778" s="12" t="s">
        <v>63</v>
      </c>
      <c r="M778" s="12" t="s">
        <v>63</v>
      </c>
      <c r="N778" s="19" t="str">
        <f>O778+0&amp;","&amp;P778+0</f>
        <v>16,-1</v>
      </c>
      <c r="O778" s="24">
        <v>16</v>
      </c>
      <c r="P778" s="24">
        <v>-1</v>
      </c>
      <c r="Q778" s="19">
        <f t="shared" si="455"/>
        <v>3</v>
      </c>
      <c r="R778" s="24">
        <v>3</v>
      </c>
      <c r="S778" s="9">
        <v>6</v>
      </c>
      <c r="T778" s="19" t="str">
        <f>IF(U778&lt;&gt;"", U778+0&amp;","&amp;V778+0,"")</f>
        <v>1,1</v>
      </c>
      <c r="U778" s="24">
        <v>1</v>
      </c>
      <c r="V778" s="24">
        <v>1</v>
      </c>
      <c r="W778" s="9">
        <v>0</v>
      </c>
      <c r="X778" s="9">
        <v>11</v>
      </c>
      <c r="Y778" s="19" t="str">
        <f t="shared" si="456"/>
        <v>0,0</v>
      </c>
      <c r="AA778" s="19" t="str">
        <f>IF($A778&lt;&gt;"",IF($AB778&lt;&gt;"",$AB778,"80,120"),"")</f>
        <v>80,120</v>
      </c>
      <c r="AC778" s="9">
        <v>0.9</v>
      </c>
      <c r="AD778" s="9">
        <v>6</v>
      </c>
      <c r="AE778" s="9">
        <v>0.3</v>
      </c>
      <c r="AF778" s="16"/>
      <c r="AG778" s="16"/>
      <c r="AI778" s="69" cm="1">
        <f t="array" ref="AI778">tuple_avg(T778)/tuple_avg(AA778)</f>
        <v>0.01</v>
      </c>
      <c r="AJ778" s="69">
        <f>AC778*AI778*'-配置辅助'!$I$8</f>
        <v>0.90000000000000013</v>
      </c>
      <c r="AK778" s="69">
        <f>AD778*AI778*'-配置辅助'!$I$10</f>
        <v>1</v>
      </c>
      <c r="AL778" s="69">
        <f>AJ778*_xlfn.XLOOKUP(H778,monsters[怪物id],monsters[HP],-1)</f>
        <v>64.800000000000011</v>
      </c>
      <c r="AM778" s="69">
        <f>AK778*_xlfn.XLOOKUP(H778,monsters[怪物id],monsters[HP],-1)</f>
        <v>72</v>
      </c>
    </row>
    <row r="779" spans="1:41" x14ac:dyDescent="0.2">
      <c r="A779" s="9">
        <v>420806</v>
      </c>
      <c r="B779" s="9" t="str" cm="1">
        <f t="array" ref="B779">D779&amp;_xlfn.TEXTJOIN("",1,TEXT(E779:G779,"00"))</f>
        <v>1000002</v>
      </c>
      <c r="C779" s="30" t="str">
        <f t="shared" si="454"/>
        <v>420806,1000002</v>
      </c>
      <c r="D779" s="26">
        <v>1</v>
      </c>
      <c r="E779" s="26">
        <v>0</v>
      </c>
      <c r="F779" s="26">
        <f>W779</f>
        <v>0</v>
      </c>
      <c r="G779" s="26">
        <v>2</v>
      </c>
      <c r="H779" s="9">
        <v>201813</v>
      </c>
      <c r="I779" s="15" t="str">
        <f>IFERROR(VLOOKUP(H779,monsters[#All],4,0),"")</f>
        <v>贝壳乌贼</v>
      </c>
      <c r="J779" s="15" t="str" cm="1">
        <f t="array" ref="J779">_xlfn.LET(_xlpm.v6p,ABS(ATAN2(O779,P779))*6/PI(),
_xlpm.output,_xlfn.IFS(_xlpm.v6p&lt;1,"正前",_xlpm.v6p&gt;5,"正后",AND(_xlpm.v6p&lt;5,_xlpm.v6p&gt;2,P779&lt;-1),"脚底",_xlpm.v6p&gt;4,"后上",_xlpm.v6p&lt;2,"前上",TRUE,"顶部"),
IFERROR(_xlpm.output,""))</f>
        <v>正前</v>
      </c>
      <c r="K779" s="12"/>
      <c r="L779" s="12" t="s">
        <v>63</v>
      </c>
      <c r="M779" s="12" t="s">
        <v>63</v>
      </c>
      <c r="N779" s="19" t="str">
        <f>O779+0&amp;","&amp;P779+0</f>
        <v>16,-1</v>
      </c>
      <c r="O779" s="24">
        <v>16</v>
      </c>
      <c r="P779" s="24">
        <v>-1</v>
      </c>
      <c r="Q779" s="19">
        <f t="shared" si="455"/>
        <v>3</v>
      </c>
      <c r="R779" s="42">
        <v>3</v>
      </c>
      <c r="S779" s="9">
        <v>8</v>
      </c>
      <c r="T779" s="19" t="str">
        <f>IF(U779&lt;&gt;"", U779+0&amp;","&amp;V779+0,"")</f>
        <v>1,2</v>
      </c>
      <c r="U779" s="24">
        <v>1</v>
      </c>
      <c r="V779" s="24">
        <v>2</v>
      </c>
      <c r="W779" s="9">
        <v>0</v>
      </c>
      <c r="X779" s="9">
        <v>11</v>
      </c>
      <c r="Y779" s="19" t="str">
        <f t="shared" si="456"/>
        <v>-105,-100</v>
      </c>
      <c r="Z779" s="42" t="s">
        <v>133</v>
      </c>
      <c r="AA779" s="19" t="str">
        <f>IF($A779&lt;&gt;"",IF($AB779&lt;&gt;"",$AB779,"80,120"),"")</f>
        <v>80,120</v>
      </c>
      <c r="AC779" s="9">
        <v>1</v>
      </c>
      <c r="AD779" s="9">
        <v>7</v>
      </c>
      <c r="AE779" s="9">
        <v>0.3</v>
      </c>
      <c r="AF779" s="16"/>
      <c r="AG779" s="16"/>
      <c r="AI779" s="69" cm="1">
        <f t="array" ref="AI779">tuple_avg(T779)/tuple_avg(AA779)</f>
        <v>1.4999999999999999E-2</v>
      </c>
      <c r="AJ779" s="69">
        <f>AC779*AI779*'-配置辅助'!$I$8</f>
        <v>1.5</v>
      </c>
      <c r="AK779" s="69">
        <f>AD779*AI779*'-配置辅助'!$I$10</f>
        <v>1.75</v>
      </c>
      <c r="AL779" s="69">
        <f>AJ779*_xlfn.XLOOKUP(H779,monsters[怪物id],monsters[HP],-1)</f>
        <v>108</v>
      </c>
      <c r="AM779" s="69">
        <f>AK779*_xlfn.XLOOKUP(H779,monsters[怪物id],monsters[HP],-1)</f>
        <v>126</v>
      </c>
    </row>
    <row r="780" spans="1:41" x14ac:dyDescent="0.2">
      <c r="A780" s="9">
        <v>420806</v>
      </c>
      <c r="B780" s="9" t="str" cm="1">
        <f t="array" ref="B780">D780&amp;_xlfn.TEXTJOIN("",1,TEXT(E780:G780,"00"))</f>
        <v>1000003</v>
      </c>
      <c r="C780" s="30" t="str">
        <f t="shared" si="454"/>
        <v>420806,1000003</v>
      </c>
      <c r="D780" s="26">
        <v>1</v>
      </c>
      <c r="E780" s="26">
        <v>0</v>
      </c>
      <c r="F780" s="26">
        <f>W780</f>
        <v>0</v>
      </c>
      <c r="G780" s="26">
        <v>3</v>
      </c>
      <c r="H780" s="9">
        <v>201813</v>
      </c>
      <c r="I780" s="15" t="str">
        <f>IFERROR(VLOOKUP(H780,monsters[#All],4,0),"")</f>
        <v>贝壳乌贼</v>
      </c>
      <c r="J780" s="15" t="str" cm="1">
        <f t="array" ref="J780">_xlfn.LET(_xlpm.v6p,ABS(ATAN2(O780,P780))*6/PI(),
_xlpm.output,_xlfn.IFS(_xlpm.v6p&lt;1,"正前",_xlpm.v6p&gt;5,"正后",AND(_xlpm.v6p&lt;5,_xlpm.v6p&gt;2,P780&lt;-1),"脚底",_xlpm.v6p&gt;4,"后上",_xlpm.v6p&lt;2,"前上",TRUE,"顶部"),
IFERROR(_xlpm.output,""))</f>
        <v>正前</v>
      </c>
      <c r="K780" s="12"/>
      <c r="L780" s="12" t="s">
        <v>63</v>
      </c>
      <c r="M780" s="12" t="s">
        <v>63</v>
      </c>
      <c r="N780" s="19" t="str">
        <f>O780+0&amp;","&amp;P780+0</f>
        <v>16,-1</v>
      </c>
      <c r="O780" s="24">
        <v>16</v>
      </c>
      <c r="P780" s="24">
        <v>-1</v>
      </c>
      <c r="Q780" s="19">
        <f t="shared" si="455"/>
        <v>3</v>
      </c>
      <c r="R780" s="42">
        <v>3</v>
      </c>
      <c r="S780" s="9">
        <v>10</v>
      </c>
      <c r="T780" s="19" t="str">
        <f>IF(U780&lt;&gt;"", U780+0&amp;","&amp;V780+0,"")</f>
        <v>2,2</v>
      </c>
      <c r="U780" s="24">
        <v>2</v>
      </c>
      <c r="V780" s="24">
        <v>2</v>
      </c>
      <c r="W780" s="9">
        <v>0</v>
      </c>
      <c r="X780" s="9">
        <v>11</v>
      </c>
      <c r="Y780" s="19" t="str">
        <f>IF($A780&lt;&gt;"",IF($Z780&lt;&gt;"",$Z780,"0,0"),"")</f>
        <v>-235,-240</v>
      </c>
      <c r="Z780" s="42" t="s">
        <v>263</v>
      </c>
      <c r="AA780" s="19" t="str">
        <f>IF($A780&lt;&gt;"",IF($AB780&lt;&gt;"",$AB780,"80,120"),"")</f>
        <v>80,120</v>
      </c>
      <c r="AC780" s="9">
        <v>1.1000000000000001</v>
      </c>
      <c r="AD780" s="9">
        <v>10</v>
      </c>
      <c r="AE780" s="9">
        <v>0.3</v>
      </c>
      <c r="AF780" s="16"/>
      <c r="AG780" s="16"/>
      <c r="AI780" s="69" cm="1">
        <f t="array" ref="AI780">tuple_avg(T780)/tuple_avg(AA780)</f>
        <v>0.02</v>
      </c>
      <c r="AJ780" s="69">
        <f>AC780*AI780*'-配置辅助'!$I$8</f>
        <v>2.2000000000000002</v>
      </c>
      <c r="AK780" s="69">
        <f>AD780*AI780*'-配置辅助'!$I$10</f>
        <v>3.3333333333333339</v>
      </c>
      <c r="AL780" s="69">
        <f>AJ780*_xlfn.XLOOKUP(H780,monsters[怪物id],monsters[HP],-1)</f>
        <v>158.4</v>
      </c>
      <c r="AM780" s="69">
        <f>AK780*_xlfn.XLOOKUP(H780,monsters[怪物id],monsters[HP],-1)</f>
        <v>240.00000000000006</v>
      </c>
    </row>
    <row r="781" spans="1:41" x14ac:dyDescent="0.2">
      <c r="J781" s="15" t="str" cm="1">
        <f t="array" ref="J781">_xlfn.LET(_xlpm.v6p,ABS(ATAN2(O781,P781))*6/PI(),
_xlpm.output,_xlfn.IFS(_xlpm.v6p&lt;1,"正前",_xlpm.v6p&gt;5,"正后",AND(_xlpm.v6p&lt;5,_xlpm.v6p&gt;2,P781&lt;-1),"脚底",_xlpm.v6p&gt;4,"后上",_xlpm.v6p&lt;2,"前上",TRUE,"顶部"),
IFERROR(_xlpm.output,""))</f>
        <v/>
      </c>
      <c r="Q781" s="19" t="str">
        <f t="shared" ref="Q781" si="457">_xlfn.LET(_xlpm._default,1,
_xlpm._custom,R781,
IF($A781&lt;&gt;"",IF(_xlpm._custom&lt;&gt;"",_xlpm._custom,_xlpm._default),""))</f>
        <v/>
      </c>
    </row>
    <row r="783" spans="1:41" s="40" customFormat="1" x14ac:dyDescent="0.2">
      <c r="A783" s="43"/>
      <c r="B783" s="43"/>
      <c r="C783" s="44" t="str">
        <f t="shared" ref="C783" si="458">_xlfn.TEXTJOIN(",",1,A783:B783)</f>
        <v/>
      </c>
      <c r="D783" s="45"/>
      <c r="E783" s="45"/>
      <c r="F783" s="45"/>
      <c r="G783" s="45"/>
      <c r="H783" s="43" t="s">
        <v>252</v>
      </c>
      <c r="I783" s="46"/>
      <c r="J783" s="46"/>
      <c r="O783" s="47"/>
      <c r="P783" s="47"/>
      <c r="R783" s="47"/>
      <c r="S783" s="40" t="s">
        <v>62</v>
      </c>
      <c r="U783" s="47"/>
      <c r="V783" s="47"/>
      <c r="Z783" s="47"/>
      <c r="AB783" s="47"/>
      <c r="AC783" s="40" t="s">
        <v>62</v>
      </c>
      <c r="AI783" s="75"/>
      <c r="AJ783" s="75"/>
      <c r="AK783" s="75">
        <f>SUM(AK798:AK800)</f>
        <v>0.33333333333333337</v>
      </c>
      <c r="AL783" s="75"/>
      <c r="AM783" s="75">
        <f>SUM(AM785:AM799)</f>
        <v>64</v>
      </c>
      <c r="AN783" s="75"/>
      <c r="AO783" s="75">
        <f>SUM(AO785:AO799)</f>
        <v>576</v>
      </c>
    </row>
    <row r="785" spans="1:41" x14ac:dyDescent="0.2">
      <c r="A785" s="9">
        <v>420811</v>
      </c>
      <c r="B785" s="9" t="str" cm="1">
        <f t="array" ref="B785">D785&amp;_xlfn.TEXTJOIN("",1,TEXT(E785:G785,"00"))</f>
        <v>1000001</v>
      </c>
      <c r="C785" s="30" t="str">
        <f t="shared" ref="C785:C802" si="459">_xlfn.TEXTJOIN(",",1,A785:B785)</f>
        <v>420811,1000001</v>
      </c>
      <c r="D785" s="26">
        <v>1</v>
      </c>
      <c r="E785" s="26">
        <v>0</v>
      </c>
      <c r="F785" s="26">
        <f>W785</f>
        <v>0</v>
      </c>
      <c r="G785" s="26">
        <v>1</v>
      </c>
      <c r="H785" s="9">
        <v>201806</v>
      </c>
      <c r="I785" s="15" t="str">
        <f>IFERROR(VLOOKUP(H785,monsters[#All],4,0),"")</f>
        <v>脑型大水母</v>
      </c>
      <c r="J785" s="15" t="str" cm="1">
        <f t="array" ref="J785">_xlfn.LET(_xlpm.v6p,ABS(ATAN2(O785,P785))*6/PI(),
_xlpm.output,_xlfn.IFS(_xlpm.v6p&lt;1,"正前",_xlpm.v6p&gt;5,"正后",AND(_xlpm.v6p&lt;5,_xlpm.v6p&gt;2,P785&lt;-1),"脚底",_xlpm.v6p&gt;4,"后上",_xlpm.v6p&lt;2,"前上",TRUE,"顶部"),
IFERROR(_xlpm.output,""))</f>
        <v>正前</v>
      </c>
      <c r="K785" s="12"/>
      <c r="L785" s="12" t="s">
        <v>63</v>
      </c>
      <c r="M785" s="12" t="s">
        <v>63</v>
      </c>
      <c r="N785" s="19" t="str">
        <f>O785+0&amp;","&amp;P785+0</f>
        <v>13,7</v>
      </c>
      <c r="O785" s="24">
        <v>13</v>
      </c>
      <c r="P785" s="24">
        <v>7</v>
      </c>
      <c r="Q785" s="19">
        <f t="shared" ref="Q785:Q803" si="460">_xlfn.LET(_xlpm._default,1,
_xlpm._custom,R785,
IF($A785&lt;&gt;"",IF(_xlpm._custom&lt;&gt;"",_xlpm._custom,_xlpm._default),""))</f>
        <v>0</v>
      </c>
      <c r="R785" s="24">
        <v>0</v>
      </c>
      <c r="S785" s="9">
        <v>1</v>
      </c>
      <c r="T785" s="19" t="str">
        <f>IF(U785&lt;&gt;"", U785+0&amp;","&amp;V785+0,"")</f>
        <v>1,1</v>
      </c>
      <c r="U785" s="24">
        <v>1</v>
      </c>
      <c r="V785" s="24">
        <v>1</v>
      </c>
      <c r="W785" s="9">
        <v>0</v>
      </c>
      <c r="X785" s="9">
        <v>11</v>
      </c>
      <c r="Y785" s="19" t="str">
        <f t="shared" ref="Y785:Y799" si="461">IF($A785&lt;&gt;"",IF($Z785&lt;&gt;"",$Z785,"0,0"),"")</f>
        <v>992,996</v>
      </c>
      <c r="Z785" s="41" t="s">
        <v>286</v>
      </c>
      <c r="AA785" s="19" t="str">
        <f>IF($A785&lt;&gt;"",IF($AB785&lt;&gt;"",$AB785,"80,120"),"")</f>
        <v>1000,1000</v>
      </c>
      <c r="AB785" s="41" t="s">
        <v>284</v>
      </c>
      <c r="AC785" s="9">
        <v>1</v>
      </c>
      <c r="AD785" s="16"/>
      <c r="AE785" s="9">
        <v>0.3</v>
      </c>
      <c r="AF785" s="9">
        <v>1</v>
      </c>
      <c r="AG785" s="9">
        <v>100</v>
      </c>
      <c r="AN785" s="69">
        <f>S785</f>
        <v>1</v>
      </c>
      <c r="AO785" s="69">
        <f>AN785*_xlfn.XLOOKUP($H785,monsters[怪物id],monsters[HP],-1)*'-配置辅助'!$I$8/'-配置辅助'!$I$7</f>
        <v>64</v>
      </c>
    </row>
    <row r="787" spans="1:41" x14ac:dyDescent="0.2">
      <c r="A787" s="9">
        <v>420811</v>
      </c>
      <c r="B787" s="9" t="str" cm="1">
        <f t="array" ref="B787">D787&amp;_xlfn.TEXTJOIN("",1,TEXT(E787:G787,"00"))</f>
        <v>1010001</v>
      </c>
      <c r="C787" s="30" t="str">
        <f t="shared" ref="C787" si="462">_xlfn.TEXTJOIN(",",1,A787:B787)</f>
        <v>420811,1010001</v>
      </c>
      <c r="D787" s="26">
        <v>1</v>
      </c>
      <c r="E787" s="26">
        <v>1</v>
      </c>
      <c r="F787" s="26">
        <f>W787</f>
        <v>0</v>
      </c>
      <c r="G787" s="26">
        <v>1</v>
      </c>
      <c r="H787" s="9">
        <v>201806</v>
      </c>
      <c r="I787" s="15" t="str">
        <f>IFERROR(VLOOKUP(H787,monsters[#All],4,0),"")</f>
        <v>脑型大水母</v>
      </c>
      <c r="J787" s="15" t="str" cm="1">
        <f t="array" ref="J787">_xlfn.LET(_xlpm.v6p,ABS(ATAN2(O787,P787))*6/PI(),
_xlpm.output,_xlfn.IFS(_xlpm.v6p&lt;1,"正前",_xlpm.v6p&gt;5,"正后",AND(_xlpm.v6p&lt;5,_xlpm.v6p&gt;2,P787&lt;-1),"脚底",_xlpm.v6p&gt;4,"后上",_xlpm.v6p&lt;2,"前上",TRUE,"顶部"),
IFERROR(_xlpm.output,""))</f>
        <v>正前</v>
      </c>
      <c r="K787" s="12"/>
      <c r="L787" s="12" t="s">
        <v>63</v>
      </c>
      <c r="M787" s="12" t="s">
        <v>63</v>
      </c>
      <c r="N787" s="19" t="str">
        <f>O787+0&amp;","&amp;P787+0</f>
        <v>13,7</v>
      </c>
      <c r="O787" s="24">
        <v>13</v>
      </c>
      <c r="P787" s="24">
        <v>7</v>
      </c>
      <c r="Q787" s="19">
        <f t="shared" ref="Q787" si="463">_xlfn.LET(_xlpm._default,1,
_xlpm._custom,R787,
IF($A787&lt;&gt;"",IF(_xlpm._custom&lt;&gt;"",_xlpm._custom,_xlpm._default),""))</f>
        <v>0</v>
      </c>
      <c r="R787" s="24">
        <v>0</v>
      </c>
      <c r="S787" s="9">
        <v>1</v>
      </c>
      <c r="T787" s="19" t="str">
        <f>IF(U787&lt;&gt;"", U787+0&amp;","&amp;V787+0,"")</f>
        <v>1,1</v>
      </c>
      <c r="U787" s="24">
        <v>1</v>
      </c>
      <c r="V787" s="24">
        <v>1</v>
      </c>
      <c r="W787" s="9">
        <v>0</v>
      </c>
      <c r="X787" s="9">
        <v>11</v>
      </c>
      <c r="Y787" s="19" t="str">
        <f t="shared" si="461"/>
        <v>942,946</v>
      </c>
      <c r="Z787" s="41" t="s">
        <v>292</v>
      </c>
      <c r="AA787" s="19" t="str">
        <f>IF($A787&lt;&gt;"",IF($AB787&lt;&gt;"",$AB787,"80,120"),"")</f>
        <v>1000,1000</v>
      </c>
      <c r="AB787" s="41" t="s">
        <v>284</v>
      </c>
      <c r="AC787" s="9">
        <v>1</v>
      </c>
      <c r="AD787" s="16"/>
      <c r="AE787" s="9">
        <v>0.3</v>
      </c>
      <c r="AF787" s="9">
        <v>1</v>
      </c>
      <c r="AG787" s="9">
        <v>100</v>
      </c>
      <c r="AN787" s="69">
        <f>S787</f>
        <v>1</v>
      </c>
      <c r="AO787" s="69">
        <f>AN787*_xlfn.XLOOKUP($H787,monsters[怪物id],monsters[HP],-1)*'-配置辅助'!$I$8/'-配置辅助'!$I$7</f>
        <v>64</v>
      </c>
    </row>
    <row r="788" spans="1:41" x14ac:dyDescent="0.2">
      <c r="A788" s="9">
        <v>420811</v>
      </c>
      <c r="B788" s="9" t="str" cm="1">
        <f t="array" ref="B788">D788&amp;_xlfn.TEXTJOIN("",1,TEXT(E788:G788,"00"))</f>
        <v>1010002</v>
      </c>
      <c r="C788" s="30" t="str">
        <f t="shared" ref="C788" si="464">_xlfn.TEXTJOIN(",",1,A788:B788)</f>
        <v>420811,1010002</v>
      </c>
      <c r="D788" s="26">
        <v>1</v>
      </c>
      <c r="E788" s="26">
        <v>1</v>
      </c>
      <c r="F788" s="26">
        <f>W788</f>
        <v>0</v>
      </c>
      <c r="G788" s="26">
        <v>2</v>
      </c>
      <c r="H788" s="9">
        <v>201806</v>
      </c>
      <c r="I788" s="15" t="str">
        <f>IFERROR(VLOOKUP(H788,monsters[#All],4,0),"")</f>
        <v>脑型大水母</v>
      </c>
      <c r="J788" s="15" t="str" cm="1">
        <f t="array" ref="J788">_xlfn.LET(_xlpm.v6p,ABS(ATAN2(O788,P788))*6/PI(),
_xlpm.output,_xlfn.IFS(_xlpm.v6p&lt;1,"正前",_xlpm.v6p&gt;5,"正后",AND(_xlpm.v6p&lt;5,_xlpm.v6p&gt;2,P788&lt;-1),"脚底",_xlpm.v6p&gt;4,"后上",_xlpm.v6p&lt;2,"前上",TRUE,"顶部"),
IFERROR(_xlpm.output,""))</f>
        <v>顶部</v>
      </c>
      <c r="K788" s="12"/>
      <c r="L788" s="12" t="s">
        <v>63</v>
      </c>
      <c r="M788" s="12" t="s">
        <v>63</v>
      </c>
      <c r="N788" s="19" t="str">
        <f>O788+0&amp;","&amp;P788+0</f>
        <v>2,11</v>
      </c>
      <c r="O788" s="24">
        <v>2</v>
      </c>
      <c r="P788" s="24">
        <v>11</v>
      </c>
      <c r="Q788" s="19">
        <f t="shared" ref="Q788" si="465">_xlfn.LET(_xlpm._default,1,
_xlpm._custom,R788,
IF($A788&lt;&gt;"",IF(_xlpm._custom&lt;&gt;"",_xlpm._custom,_xlpm._default),""))</f>
        <v>0</v>
      </c>
      <c r="R788" s="24">
        <v>0</v>
      </c>
      <c r="S788" s="9">
        <v>1</v>
      </c>
      <c r="T788" s="19" t="str">
        <f>IF(U788&lt;&gt;"", U788+0&amp;","&amp;V788+0,"")</f>
        <v>1,1</v>
      </c>
      <c r="U788" s="24">
        <v>1</v>
      </c>
      <c r="V788" s="24">
        <v>1</v>
      </c>
      <c r="W788" s="9">
        <v>0</v>
      </c>
      <c r="X788" s="9">
        <v>11</v>
      </c>
      <c r="Y788" s="19" t="str">
        <f t="shared" si="461"/>
        <v>942,946</v>
      </c>
      <c r="Z788" s="41" t="s">
        <v>292</v>
      </c>
      <c r="AA788" s="19" t="str">
        <f>IF($A788&lt;&gt;"",IF($AB788&lt;&gt;"",$AB788,"80,120"),"")</f>
        <v>1000,1000</v>
      </c>
      <c r="AB788" s="41" t="s">
        <v>284</v>
      </c>
      <c r="AC788" s="9">
        <v>1</v>
      </c>
      <c r="AD788" s="16"/>
      <c r="AE788" s="9">
        <v>0.3</v>
      </c>
      <c r="AF788" s="9">
        <v>1</v>
      </c>
      <c r="AG788" s="9">
        <v>100</v>
      </c>
      <c r="AN788" s="69">
        <f>S788</f>
        <v>1</v>
      </c>
      <c r="AO788" s="69">
        <f>AN788*_xlfn.XLOOKUP($H788,monsters[怪物id],monsters[HP],-1)*'-配置辅助'!$I$8/'-配置辅助'!$I$7</f>
        <v>64</v>
      </c>
    </row>
    <row r="790" spans="1:41" x14ac:dyDescent="0.2">
      <c r="A790" s="9">
        <v>420811</v>
      </c>
      <c r="B790" s="9" t="str" cm="1">
        <f t="array" ref="B790">D790&amp;_xlfn.TEXTJOIN("",1,TEXT(E790:G790,"00"))</f>
        <v>1020001</v>
      </c>
      <c r="C790" s="30" t="str">
        <f t="shared" ref="C790:C791" si="466">_xlfn.TEXTJOIN(",",1,A790:B790)</f>
        <v>420811,1020001</v>
      </c>
      <c r="D790" s="26">
        <v>1</v>
      </c>
      <c r="E790" s="26">
        <v>2</v>
      </c>
      <c r="F790" s="26">
        <f>W790</f>
        <v>0</v>
      </c>
      <c r="G790" s="26">
        <v>1</v>
      </c>
      <c r="H790" s="9">
        <v>201806</v>
      </c>
      <c r="I790" s="15" t="str">
        <f>IFERROR(VLOOKUP(H790,monsters[#All],4,0),"")</f>
        <v>脑型大水母</v>
      </c>
      <c r="J790" s="15" t="str" cm="1">
        <f t="array" ref="J790">_xlfn.LET(_xlpm.v6p,ABS(ATAN2(O790,P790))*6/PI(),
_xlpm.output,_xlfn.IFS(_xlpm.v6p&lt;1,"正前",_xlpm.v6p&gt;5,"正后",AND(_xlpm.v6p&lt;5,_xlpm.v6p&gt;2,P790&lt;-1),"脚底",_xlpm.v6p&gt;4,"后上",_xlpm.v6p&lt;2,"前上",TRUE,"顶部"),
IFERROR(_xlpm.output,""))</f>
        <v>正前</v>
      </c>
      <c r="K790" s="12"/>
      <c r="L790" s="12" t="s">
        <v>63</v>
      </c>
      <c r="M790" s="12" t="s">
        <v>63</v>
      </c>
      <c r="N790" s="19" t="str">
        <f>O790+0&amp;","&amp;P790+0</f>
        <v>13,7</v>
      </c>
      <c r="O790" s="24">
        <v>13</v>
      </c>
      <c r="P790" s="24">
        <v>7</v>
      </c>
      <c r="Q790" s="19">
        <f t="shared" ref="Q790:Q791" si="467">_xlfn.LET(_xlpm._default,1,
_xlpm._custom,R790,
IF($A790&lt;&gt;"",IF(_xlpm._custom&lt;&gt;"",_xlpm._custom,_xlpm._default),""))</f>
        <v>0</v>
      </c>
      <c r="R790" s="24">
        <v>0</v>
      </c>
      <c r="S790" s="9">
        <v>1</v>
      </c>
      <c r="T790" s="19" t="str">
        <f>IF(U790&lt;&gt;"", U790+0&amp;","&amp;V790+0,"")</f>
        <v>1,1</v>
      </c>
      <c r="U790" s="24">
        <v>1</v>
      </c>
      <c r="V790" s="24">
        <v>1</v>
      </c>
      <c r="W790" s="9">
        <v>0</v>
      </c>
      <c r="X790" s="9">
        <v>11</v>
      </c>
      <c r="Y790" s="19" t="str">
        <f t="shared" si="461"/>
        <v>842,846</v>
      </c>
      <c r="Z790" s="41" t="s">
        <v>291</v>
      </c>
      <c r="AA790" s="19" t="str">
        <f>IF($A790&lt;&gt;"",IF($AB790&lt;&gt;"",$AB790,"80,120"),"")</f>
        <v>1000,1000</v>
      </c>
      <c r="AB790" s="41" t="s">
        <v>284</v>
      </c>
      <c r="AC790" s="9">
        <v>1</v>
      </c>
      <c r="AD790" s="16"/>
      <c r="AE790" s="9">
        <v>0.3</v>
      </c>
      <c r="AF790" s="9">
        <v>1</v>
      </c>
      <c r="AG790" s="9">
        <v>100</v>
      </c>
      <c r="AN790" s="69">
        <f>S790</f>
        <v>1</v>
      </c>
      <c r="AO790" s="69">
        <f>AN790*_xlfn.XLOOKUP($H790,monsters[怪物id],monsters[HP],-1)*'-配置辅助'!$I$8/'-配置辅助'!$I$7</f>
        <v>64</v>
      </c>
    </row>
    <row r="791" spans="1:41" x14ac:dyDescent="0.2">
      <c r="A791" s="9">
        <v>420811</v>
      </c>
      <c r="B791" s="9" t="str" cm="1">
        <f t="array" ref="B791">D791&amp;_xlfn.TEXTJOIN("",1,TEXT(E791:G791,"00"))</f>
        <v>1020002</v>
      </c>
      <c r="C791" s="30" t="str">
        <f t="shared" si="466"/>
        <v>420811,1020002</v>
      </c>
      <c r="D791" s="26">
        <v>1</v>
      </c>
      <c r="E791" s="26">
        <v>2</v>
      </c>
      <c r="F791" s="26">
        <f>W791</f>
        <v>0</v>
      </c>
      <c r="G791" s="26">
        <v>2</v>
      </c>
      <c r="H791" s="9">
        <v>201806</v>
      </c>
      <c r="I791" s="15" t="str">
        <f>IFERROR(VLOOKUP(H791,monsters[#All],4,0),"")</f>
        <v>脑型大水母</v>
      </c>
      <c r="J791" s="15" t="str" cm="1">
        <f t="array" ref="J791">_xlfn.LET(_xlpm.v6p,ABS(ATAN2(O791,P791))*6/PI(),
_xlpm.output,_xlfn.IFS(_xlpm.v6p&lt;1,"正前",_xlpm.v6p&gt;5,"正后",AND(_xlpm.v6p&lt;5,_xlpm.v6p&gt;2,P791&lt;-1),"脚底",_xlpm.v6p&gt;4,"后上",_xlpm.v6p&lt;2,"前上",TRUE,"顶部"),
IFERROR(_xlpm.output,""))</f>
        <v>顶部</v>
      </c>
      <c r="K791" s="12"/>
      <c r="L791" s="12" t="s">
        <v>63</v>
      </c>
      <c r="M791" s="12" t="s">
        <v>63</v>
      </c>
      <c r="N791" s="19" t="str">
        <f>O791+0&amp;","&amp;P791+0</f>
        <v>2,11</v>
      </c>
      <c r="O791" s="24">
        <v>2</v>
      </c>
      <c r="P791" s="24">
        <v>11</v>
      </c>
      <c r="Q791" s="19">
        <f t="shared" si="467"/>
        <v>0</v>
      </c>
      <c r="R791" s="24">
        <v>0</v>
      </c>
      <c r="S791" s="9">
        <v>1</v>
      </c>
      <c r="T791" s="19" t="str">
        <f>IF(U791&lt;&gt;"", U791+0&amp;","&amp;V791+0,"")</f>
        <v>1,1</v>
      </c>
      <c r="U791" s="24">
        <v>1</v>
      </c>
      <c r="V791" s="24">
        <v>1</v>
      </c>
      <c r="W791" s="9">
        <v>0</v>
      </c>
      <c r="X791" s="9">
        <v>11</v>
      </c>
      <c r="Y791" s="19" t="str">
        <f t="shared" si="461"/>
        <v>842,846</v>
      </c>
      <c r="Z791" s="41" t="s">
        <v>291</v>
      </c>
      <c r="AA791" s="19" t="str">
        <f>IF($A791&lt;&gt;"",IF($AB791&lt;&gt;"",$AB791,"80,120"),"")</f>
        <v>1000,1000</v>
      </c>
      <c r="AB791" s="41" t="s">
        <v>284</v>
      </c>
      <c r="AC791" s="9">
        <v>1</v>
      </c>
      <c r="AD791" s="16"/>
      <c r="AE791" s="9">
        <v>0.3</v>
      </c>
      <c r="AF791" s="9">
        <v>1</v>
      </c>
      <c r="AG791" s="9">
        <v>100</v>
      </c>
      <c r="AN791" s="69">
        <f>S791</f>
        <v>1</v>
      </c>
      <c r="AO791" s="69">
        <f>AN791*_xlfn.XLOOKUP($H791,monsters[怪物id],monsters[HP],-1)*'-配置辅助'!$I$8/'-配置辅助'!$I$7</f>
        <v>64</v>
      </c>
    </row>
    <row r="793" spans="1:41" x14ac:dyDescent="0.2">
      <c r="A793" s="9">
        <v>420811</v>
      </c>
      <c r="B793" s="9" t="str" cm="1">
        <f t="array" ref="B793">D793&amp;_xlfn.TEXTJOIN("",1,TEXT(E793:G793,"00"))</f>
        <v>1030001</v>
      </c>
      <c r="C793" s="30" t="str">
        <f t="shared" ref="C793:C794" si="468">_xlfn.TEXTJOIN(",",1,A793:B793)</f>
        <v>420811,1030001</v>
      </c>
      <c r="D793" s="26">
        <v>1</v>
      </c>
      <c r="E793" s="26">
        <v>3</v>
      </c>
      <c r="F793" s="26">
        <f>W793</f>
        <v>0</v>
      </c>
      <c r="G793" s="26">
        <v>1</v>
      </c>
      <c r="H793" s="9">
        <v>201806</v>
      </c>
      <c r="I793" s="15" t="str">
        <f>IFERROR(VLOOKUP(H793,monsters[#All],4,0),"")</f>
        <v>脑型大水母</v>
      </c>
      <c r="J793" s="15" t="str" cm="1">
        <f t="array" ref="J793">_xlfn.LET(_xlpm.v6p,ABS(ATAN2(O793,P793))*6/PI(),
_xlpm.output,_xlfn.IFS(_xlpm.v6p&lt;1,"正前",_xlpm.v6p&gt;5,"正后",AND(_xlpm.v6p&lt;5,_xlpm.v6p&gt;2,P793&lt;-1),"脚底",_xlpm.v6p&gt;4,"后上",_xlpm.v6p&lt;2,"前上",TRUE,"顶部"),
IFERROR(_xlpm.output,""))</f>
        <v>正前</v>
      </c>
      <c r="K793" s="12"/>
      <c r="L793" s="12" t="s">
        <v>63</v>
      </c>
      <c r="M793" s="12" t="s">
        <v>63</v>
      </c>
      <c r="N793" s="19" t="str">
        <f>O793+0&amp;","&amp;P793+0</f>
        <v>13,7</v>
      </c>
      <c r="O793" s="24">
        <v>13</v>
      </c>
      <c r="P793" s="24">
        <v>7</v>
      </c>
      <c r="Q793" s="19">
        <f t="shared" ref="Q793:Q794" si="469">_xlfn.LET(_xlpm._default,1,
_xlpm._custom,R793,
IF($A793&lt;&gt;"",IF(_xlpm._custom&lt;&gt;"",_xlpm._custom,_xlpm._default),""))</f>
        <v>0</v>
      </c>
      <c r="R793" s="24">
        <v>0</v>
      </c>
      <c r="S793" s="9">
        <v>1</v>
      </c>
      <c r="T793" s="19" t="str">
        <f>IF(U793&lt;&gt;"", U793+0&amp;","&amp;V793+0,"")</f>
        <v>1,1</v>
      </c>
      <c r="U793" s="24">
        <v>1</v>
      </c>
      <c r="V793" s="24">
        <v>1</v>
      </c>
      <c r="W793" s="9">
        <v>0</v>
      </c>
      <c r="X793" s="9">
        <v>11</v>
      </c>
      <c r="Y793" s="19" t="str">
        <f t="shared" si="461"/>
        <v>692,696</v>
      </c>
      <c r="Z793" s="41" t="s">
        <v>287</v>
      </c>
      <c r="AA793" s="19" t="str">
        <f>IF($A793&lt;&gt;"",IF($AB793&lt;&gt;"",$AB793,"80,120"),"")</f>
        <v>1000,1000</v>
      </c>
      <c r="AB793" s="41" t="s">
        <v>284</v>
      </c>
      <c r="AC793" s="9">
        <v>1</v>
      </c>
      <c r="AD793" s="16"/>
      <c r="AE793" s="9">
        <v>0.3</v>
      </c>
      <c r="AF793" s="16"/>
      <c r="AG793" s="16"/>
      <c r="AN793" s="69">
        <f>S793</f>
        <v>1</v>
      </c>
      <c r="AO793" s="69">
        <f>AN793*_xlfn.XLOOKUP($H793,monsters[怪物id],monsters[HP],-1)*'-配置辅助'!$I$8/'-配置辅助'!$I$7</f>
        <v>64</v>
      </c>
    </row>
    <row r="794" spans="1:41" x14ac:dyDescent="0.2">
      <c r="A794" s="9">
        <v>420811</v>
      </c>
      <c r="B794" s="9" t="str" cm="1">
        <f t="array" ref="B794">D794&amp;_xlfn.TEXTJOIN("",1,TEXT(E794:G794,"00"))</f>
        <v>1030002</v>
      </c>
      <c r="C794" s="30" t="str">
        <f t="shared" si="468"/>
        <v>420811,1030002</v>
      </c>
      <c r="D794" s="26">
        <v>1</v>
      </c>
      <c r="E794" s="26">
        <v>3</v>
      </c>
      <c r="F794" s="26">
        <f>W794</f>
        <v>0</v>
      </c>
      <c r="G794" s="26">
        <v>2</v>
      </c>
      <c r="H794" s="9">
        <v>201806</v>
      </c>
      <c r="I794" s="15" t="str">
        <f>IFERROR(VLOOKUP(H794,monsters[#All],4,0),"")</f>
        <v>脑型大水母</v>
      </c>
      <c r="J794" s="15" t="str" cm="1">
        <f t="array" ref="J794">_xlfn.LET(_xlpm.v6p,ABS(ATAN2(O794,P794))*6/PI(),
_xlpm.output,_xlfn.IFS(_xlpm.v6p&lt;1,"正前",_xlpm.v6p&gt;5,"正后",AND(_xlpm.v6p&lt;5,_xlpm.v6p&gt;2,P794&lt;-1),"脚底",_xlpm.v6p&gt;4,"后上",_xlpm.v6p&lt;2,"前上",TRUE,"顶部"),
IFERROR(_xlpm.output,""))</f>
        <v>顶部</v>
      </c>
      <c r="K794" s="12"/>
      <c r="L794" s="12" t="s">
        <v>63</v>
      </c>
      <c r="M794" s="12" t="s">
        <v>63</v>
      </c>
      <c r="N794" s="19" t="str">
        <f>O794+0&amp;","&amp;P794+0</f>
        <v>2,11</v>
      </c>
      <c r="O794" s="24">
        <v>2</v>
      </c>
      <c r="P794" s="24">
        <v>11</v>
      </c>
      <c r="Q794" s="19">
        <f t="shared" si="469"/>
        <v>0</v>
      </c>
      <c r="R794" s="24">
        <v>0</v>
      </c>
      <c r="S794" s="9">
        <v>1</v>
      </c>
      <c r="T794" s="19" t="str">
        <f>IF(U794&lt;&gt;"", U794+0&amp;","&amp;V794+0,"")</f>
        <v>1,1</v>
      </c>
      <c r="U794" s="24">
        <v>1</v>
      </c>
      <c r="V794" s="24">
        <v>1</v>
      </c>
      <c r="W794" s="9">
        <v>0</v>
      </c>
      <c r="X794" s="9">
        <v>11</v>
      </c>
      <c r="Y794" s="19" t="str">
        <f t="shared" si="461"/>
        <v>692,696</v>
      </c>
      <c r="Z794" s="41" t="s">
        <v>287</v>
      </c>
      <c r="AA794" s="19" t="str">
        <f>IF($A794&lt;&gt;"",IF($AB794&lt;&gt;"",$AB794,"80,120"),"")</f>
        <v>1000,1000</v>
      </c>
      <c r="AB794" s="41" t="s">
        <v>284</v>
      </c>
      <c r="AC794" s="9">
        <v>1</v>
      </c>
      <c r="AD794" s="16"/>
      <c r="AE794" s="9">
        <v>0.3</v>
      </c>
      <c r="AF794" s="16"/>
      <c r="AG794" s="16"/>
      <c r="AN794" s="69">
        <f>S794</f>
        <v>1</v>
      </c>
      <c r="AO794" s="69">
        <f>AN794*_xlfn.XLOOKUP($H794,monsters[怪物id],monsters[HP],-1)*'-配置辅助'!$I$8/'-配置辅助'!$I$7</f>
        <v>64</v>
      </c>
    </row>
    <row r="796" spans="1:41" x14ac:dyDescent="0.2">
      <c r="A796" s="9">
        <v>420811</v>
      </c>
      <c r="B796" s="9" t="str" cm="1">
        <f t="array" ref="B796">D796&amp;_xlfn.TEXTJOIN("",1,TEXT(E796:G796,"00"))</f>
        <v>1040001</v>
      </c>
      <c r="C796" s="30" t="str">
        <f t="shared" ref="C796:C797" si="470">_xlfn.TEXTJOIN(",",1,A796:B796)</f>
        <v>420811,1040001</v>
      </c>
      <c r="D796" s="26">
        <v>1</v>
      </c>
      <c r="E796" s="26">
        <v>4</v>
      </c>
      <c r="F796" s="26">
        <f>W796</f>
        <v>0</v>
      </c>
      <c r="G796" s="26">
        <v>1</v>
      </c>
      <c r="H796" s="9">
        <v>201806</v>
      </c>
      <c r="I796" s="15" t="str">
        <f>IFERROR(VLOOKUP(H796,monsters[#All],4,0),"")</f>
        <v>脑型大水母</v>
      </c>
      <c r="J796" s="15" t="str" cm="1">
        <f t="array" ref="J796">_xlfn.LET(_xlpm.v6p,ABS(ATAN2(O796,P796))*6/PI(),
_xlpm.output,_xlfn.IFS(_xlpm.v6p&lt;1,"正前",_xlpm.v6p&gt;5,"正后",AND(_xlpm.v6p&lt;5,_xlpm.v6p&gt;2,P796&lt;-1),"脚底",_xlpm.v6p&gt;4,"后上",_xlpm.v6p&lt;2,"前上",TRUE,"顶部"),
IFERROR(_xlpm.output,""))</f>
        <v>正前</v>
      </c>
      <c r="K796" s="12"/>
      <c r="L796" s="12" t="s">
        <v>63</v>
      </c>
      <c r="M796" s="12" t="s">
        <v>63</v>
      </c>
      <c r="N796" s="19" t="str">
        <f>O796+0&amp;","&amp;P796+0</f>
        <v>13,7</v>
      </c>
      <c r="O796" s="24">
        <v>13</v>
      </c>
      <c r="P796" s="24">
        <v>7</v>
      </c>
      <c r="Q796" s="19">
        <f t="shared" ref="Q796:Q797" si="471">_xlfn.LET(_xlpm._default,1,
_xlpm._custom,R796,
IF($A796&lt;&gt;"",IF(_xlpm._custom&lt;&gt;"",_xlpm._custom,_xlpm._default),""))</f>
        <v>0</v>
      </c>
      <c r="R796" s="24">
        <v>0</v>
      </c>
      <c r="S796" s="9">
        <v>1</v>
      </c>
      <c r="T796" s="19" t="str">
        <f>IF(U796&lt;&gt;"", U796+0&amp;","&amp;V796+0,"")</f>
        <v>1,1</v>
      </c>
      <c r="U796" s="24">
        <v>1</v>
      </c>
      <c r="V796" s="24">
        <v>1</v>
      </c>
      <c r="W796" s="9">
        <v>0</v>
      </c>
      <c r="X796" s="9">
        <v>11</v>
      </c>
      <c r="Y796" s="19" t="str">
        <f t="shared" si="461"/>
        <v>642,646</v>
      </c>
      <c r="Z796" s="41" t="s">
        <v>293</v>
      </c>
      <c r="AA796" s="19" t="str">
        <f>IF($A796&lt;&gt;"",IF($AB796&lt;&gt;"",$AB796,"80,120"),"")</f>
        <v>1000,1000</v>
      </c>
      <c r="AB796" s="41" t="s">
        <v>284</v>
      </c>
      <c r="AC796" s="9">
        <v>1</v>
      </c>
      <c r="AD796" s="16"/>
      <c r="AE796" s="9">
        <v>0.3</v>
      </c>
      <c r="AF796" s="16"/>
      <c r="AG796" s="16"/>
      <c r="AN796" s="69">
        <f>S796</f>
        <v>1</v>
      </c>
      <c r="AO796" s="69">
        <f>AN796*_xlfn.XLOOKUP($H796,monsters[怪物id],monsters[HP],-1)*'-配置辅助'!$I$8/'-配置辅助'!$I$7</f>
        <v>64</v>
      </c>
    </row>
    <row r="797" spans="1:41" x14ac:dyDescent="0.2">
      <c r="A797" s="9">
        <v>420811</v>
      </c>
      <c r="B797" s="9" t="str" cm="1">
        <f t="array" ref="B797">D797&amp;_xlfn.TEXTJOIN("",1,TEXT(E797:G797,"00"))</f>
        <v>1040002</v>
      </c>
      <c r="C797" s="30" t="str">
        <f t="shared" si="470"/>
        <v>420811,1040002</v>
      </c>
      <c r="D797" s="26">
        <v>1</v>
      </c>
      <c r="E797" s="26">
        <v>4</v>
      </c>
      <c r="F797" s="26">
        <f>W797</f>
        <v>0</v>
      </c>
      <c r="G797" s="26">
        <v>2</v>
      </c>
      <c r="H797" s="9">
        <v>201806</v>
      </c>
      <c r="I797" s="15" t="str">
        <f>IFERROR(VLOOKUP(H797,monsters[#All],4,0),"")</f>
        <v>脑型大水母</v>
      </c>
      <c r="J797" s="15" t="str" cm="1">
        <f t="array" ref="J797">_xlfn.LET(_xlpm.v6p,ABS(ATAN2(O797,P797))*6/PI(),
_xlpm.output,_xlfn.IFS(_xlpm.v6p&lt;1,"正前",_xlpm.v6p&gt;5,"正后",AND(_xlpm.v6p&lt;5,_xlpm.v6p&gt;2,P797&lt;-1),"脚底",_xlpm.v6p&gt;4,"后上",_xlpm.v6p&lt;2,"前上",TRUE,"顶部"),
IFERROR(_xlpm.output,""))</f>
        <v>顶部</v>
      </c>
      <c r="K797" s="12"/>
      <c r="L797" s="12" t="s">
        <v>63</v>
      </c>
      <c r="M797" s="12" t="s">
        <v>63</v>
      </c>
      <c r="N797" s="19" t="str">
        <f>O797+0&amp;","&amp;P797+0</f>
        <v>2,11</v>
      </c>
      <c r="O797" s="24">
        <v>2</v>
      </c>
      <c r="P797" s="24">
        <v>11</v>
      </c>
      <c r="Q797" s="19">
        <f t="shared" si="471"/>
        <v>0</v>
      </c>
      <c r="R797" s="24">
        <v>0</v>
      </c>
      <c r="S797" s="9">
        <v>1</v>
      </c>
      <c r="T797" s="19" t="str">
        <f>IF(U797&lt;&gt;"", U797+0&amp;","&amp;V797+0,"")</f>
        <v>1,1</v>
      </c>
      <c r="U797" s="24">
        <v>1</v>
      </c>
      <c r="V797" s="24">
        <v>1</v>
      </c>
      <c r="W797" s="9">
        <v>0</v>
      </c>
      <c r="X797" s="9">
        <v>11</v>
      </c>
      <c r="Y797" s="19" t="str">
        <f t="shared" si="461"/>
        <v>642,646</v>
      </c>
      <c r="Z797" s="41" t="s">
        <v>293</v>
      </c>
      <c r="AA797" s="19" t="str">
        <f>IF($A797&lt;&gt;"",IF($AB797&lt;&gt;"",$AB797,"80,120"),"")</f>
        <v>1000,1000</v>
      </c>
      <c r="AB797" s="41" t="s">
        <v>284</v>
      </c>
      <c r="AC797" s="9">
        <v>1</v>
      </c>
      <c r="AD797" s="16"/>
      <c r="AE797" s="9">
        <v>0.3</v>
      </c>
      <c r="AF797" s="16"/>
      <c r="AG797" s="16"/>
      <c r="AN797" s="69">
        <f>S797</f>
        <v>1</v>
      </c>
      <c r="AO797" s="69">
        <f>AN797*_xlfn.XLOOKUP($H797,monsters[怪物id],monsters[HP],-1)*'-配置辅助'!$I$8/'-配置辅助'!$I$7</f>
        <v>64</v>
      </c>
    </row>
    <row r="798" spans="1:41" x14ac:dyDescent="0.2">
      <c r="J798" s="15" t="str" cm="1">
        <f t="array" ref="J798">_xlfn.LET(_xlpm.v6p,ABS(ATAN2(O798,P798))*6/PI(),
_xlpm.output,_xlfn.IFS(_xlpm.v6p&lt;1,"正前",_xlpm.v6p&gt;5,"正后",AND(_xlpm.v6p&lt;5,_xlpm.v6p&gt;2,P798&lt;-1),"脚底",_xlpm.v6p&gt;4,"后上",_xlpm.v6p&lt;2,"前上",TRUE,"顶部"),
IFERROR(_xlpm.output,""))</f>
        <v/>
      </c>
      <c r="Q798" s="19" t="str">
        <f t="shared" si="460"/>
        <v/>
      </c>
      <c r="Y798" s="19" t="str">
        <f t="shared" ref="Y798:Y802" si="472">IF($A798&lt;&gt;"",IF($Z798&lt;&gt;"",$Z798,"0,0"),"")</f>
        <v/>
      </c>
    </row>
    <row r="799" spans="1:41" x14ac:dyDescent="0.2">
      <c r="A799" s="9">
        <v>420811</v>
      </c>
      <c r="B799" s="9" t="str" cm="1">
        <f t="array" ref="B799">D799&amp;_xlfn.TEXTJOIN("",1,TEXT(E799:G799,"00"))</f>
        <v>1090003</v>
      </c>
      <c r="C799" s="30" t="str">
        <f t="shared" ref="C799" si="473">_xlfn.TEXTJOIN(",",1,A799:B799)</f>
        <v>420811,1090003</v>
      </c>
      <c r="D799" s="26">
        <v>1</v>
      </c>
      <c r="E799" s="26">
        <v>9</v>
      </c>
      <c r="F799" s="26">
        <f>W799</f>
        <v>0</v>
      </c>
      <c r="G799" s="26">
        <v>3</v>
      </c>
      <c r="H799" s="9">
        <v>201806</v>
      </c>
      <c r="I799" s="15" t="str">
        <f>IFERROR(VLOOKUP(H799,monsters[#All],4,0),"")</f>
        <v>脑型大水母</v>
      </c>
      <c r="J799" s="15" t="str" cm="1">
        <f t="array" ref="J799">_xlfn.LET(_xlpm.v6p,ABS(ATAN2(O799,P799))*6/PI(),
_xlpm.output,_xlfn.IFS(_xlpm.v6p&lt;1,"正前",_xlpm.v6p&gt;5,"正后",AND(_xlpm.v6p&lt;5,_xlpm.v6p&gt;2,P799&lt;-1),"脚底",_xlpm.v6p&gt;4,"后上",_xlpm.v6p&lt;2,"前上",TRUE,"顶部"),
IFERROR(_xlpm.output,""))</f>
        <v>正后</v>
      </c>
      <c r="K799" s="12"/>
      <c r="L799" s="12" t="s">
        <v>63</v>
      </c>
      <c r="M799" s="12" t="s">
        <v>63</v>
      </c>
      <c r="N799" s="19" t="str">
        <f>O799+0&amp;","&amp;P799+0</f>
        <v>-13.5,7</v>
      </c>
      <c r="O799" s="24">
        <v>-13.5</v>
      </c>
      <c r="P799" s="24">
        <v>7</v>
      </c>
      <c r="Q799" s="19">
        <f t="shared" si="460"/>
        <v>0</v>
      </c>
      <c r="R799" s="42">
        <v>0</v>
      </c>
      <c r="S799" s="9">
        <v>5</v>
      </c>
      <c r="T799" s="19" t="str">
        <f>IF(U799&lt;&gt;"", U799+0&amp;","&amp;V799+0,"")</f>
        <v>1,1</v>
      </c>
      <c r="U799" s="24">
        <v>1</v>
      </c>
      <c r="V799" s="24">
        <v>1</v>
      </c>
      <c r="W799" s="9">
        <v>0</v>
      </c>
      <c r="X799" s="9">
        <v>11</v>
      </c>
      <c r="Y799" s="19" t="str">
        <f t="shared" si="461"/>
        <v>0,0</v>
      </c>
      <c r="Z799" s="41"/>
      <c r="AA799" s="19" t="str">
        <f>IF($A799&lt;&gt;"",IF($AB799&lt;&gt;"",$AB799,"80,120"),"")</f>
        <v>80,120</v>
      </c>
      <c r="AB799" s="41"/>
      <c r="AC799" s="16"/>
      <c r="AD799" s="9">
        <v>2</v>
      </c>
      <c r="AE799" s="9">
        <v>0.3</v>
      </c>
      <c r="AF799" s="9">
        <v>3</v>
      </c>
      <c r="AG799" s="9">
        <v>15</v>
      </c>
      <c r="AI799" s="69" cm="1">
        <f t="array" ref="AI799">tuple_avg(T799)/tuple_avg(AA799)</f>
        <v>0.01</v>
      </c>
      <c r="AK799" s="69">
        <f>AD799*AI799*'-配置辅助'!$I$10</f>
        <v>0.33333333333333337</v>
      </c>
      <c r="AM799" s="69">
        <f>AK799*_xlfn.XLOOKUP($H799,monsters[怪物id],monsters[HP],-1)</f>
        <v>64</v>
      </c>
    </row>
    <row r="800" spans="1:41" x14ac:dyDescent="0.2">
      <c r="J800" s="15" t="str" cm="1">
        <f t="array" ref="J800">_xlfn.LET(_xlpm.v6p,ABS(ATAN2(O800,P800))*6/PI(),
_xlpm.output,_xlfn.IFS(_xlpm.v6p&lt;1,"正前",_xlpm.v6p&gt;5,"正后",AND(_xlpm.v6p&lt;5,_xlpm.v6p&gt;2,P800&lt;-1),"脚底",_xlpm.v6p&gt;4,"后上",_xlpm.v6p&lt;2,"前上",TRUE,"顶部"),
IFERROR(_xlpm.output,""))</f>
        <v/>
      </c>
      <c r="Q800" s="19" t="str">
        <f t="shared" ref="Q800" si="474">_xlfn.LET(_xlpm._default,1,
_xlpm._custom,R800,
IF($A800&lt;&gt;"",IF(_xlpm._custom&lt;&gt;"",_xlpm._custom,_xlpm._default),""))</f>
        <v/>
      </c>
    </row>
    <row r="801" spans="1:41" x14ac:dyDescent="0.2">
      <c r="A801" s="9">
        <v>420811</v>
      </c>
      <c r="B801" s="9" t="str" cm="1">
        <f t="array" ref="B801">D801&amp;_xlfn.TEXTJOIN("",1,TEXT(E801:G801,"00"))</f>
        <v>1000100</v>
      </c>
      <c r="C801" s="30" t="str">
        <f t="shared" si="459"/>
        <v>420811,1000100</v>
      </c>
      <c r="D801" s="26">
        <v>1</v>
      </c>
      <c r="E801" s="26">
        <v>0</v>
      </c>
      <c r="F801" s="26">
        <v>1</v>
      </c>
      <c r="G801" s="26">
        <v>0</v>
      </c>
      <c r="H801" s="9">
        <v>201806</v>
      </c>
      <c r="I801" s="15" t="str">
        <f>IFERROR(VLOOKUP(H801,monsters[#All],4,0),"")</f>
        <v>脑型大水母</v>
      </c>
      <c r="J801" s="15" t="str" cm="1">
        <f t="array" ref="J801">_xlfn.LET(_xlpm.v6p,ABS(ATAN2(O801,P801))*6/PI(),
_xlpm.output,_xlfn.IFS(_xlpm.v6p&lt;1,"正前",_xlpm.v6p&gt;5,"正后",AND(_xlpm.v6p&lt;5,_xlpm.v6p&gt;2,P801&lt;-1),"脚底",_xlpm.v6p&gt;4,"后上",_xlpm.v6p&lt;2,"前上",TRUE,"顶部"),
IFERROR(_xlpm.output,""))</f>
        <v>正前</v>
      </c>
      <c r="K801" s="12"/>
      <c r="L801" s="12" t="s">
        <v>63</v>
      </c>
      <c r="M801" s="12" t="s">
        <v>63</v>
      </c>
      <c r="N801" s="19" t="str">
        <f t="shared" ref="N801:N802" si="475">O801+0&amp;","&amp;P801+0</f>
        <v>18,-1</v>
      </c>
      <c r="O801" s="24">
        <v>18</v>
      </c>
      <c r="P801" s="24">
        <v>-1</v>
      </c>
      <c r="Q801" s="19">
        <f t="shared" si="460"/>
        <v>1</v>
      </c>
      <c r="R801" s="41"/>
      <c r="S801" s="9">
        <v>2</v>
      </c>
      <c r="T801" s="19" t="str">
        <f>IF(U801&lt;&gt;"", U801+0&amp;","&amp;V801+0,"")</f>
        <v>1,3</v>
      </c>
      <c r="U801" s="24">
        <v>1</v>
      </c>
      <c r="V801" s="24">
        <v>3</v>
      </c>
      <c r="W801" s="9">
        <v>1</v>
      </c>
      <c r="X801" s="9">
        <v>11</v>
      </c>
      <c r="Y801" s="19" t="str">
        <f t="shared" si="472"/>
        <v>0,0</v>
      </c>
      <c r="Z801" s="41"/>
      <c r="AA801" s="19" t="str">
        <f>IF($A801&lt;&gt;"",IF($AB801&lt;&gt;"",$AB801,"80,120"),"")</f>
        <v>80,120</v>
      </c>
      <c r="AB801" s="41"/>
      <c r="AC801" s="9">
        <v>2</v>
      </c>
      <c r="AD801" s="9">
        <v>0.5</v>
      </c>
      <c r="AE801" s="9">
        <v>0.3</v>
      </c>
      <c r="AF801" s="9">
        <v>2</v>
      </c>
      <c r="AG801" s="9">
        <v>20</v>
      </c>
    </row>
    <row r="802" spans="1:41" x14ac:dyDescent="0.2">
      <c r="A802" s="9">
        <v>420811</v>
      </c>
      <c r="B802" s="9" t="str" cm="1">
        <f t="array" ref="B802">D802&amp;_xlfn.TEXTJOIN("",1,TEXT(E802:G802,"00"))</f>
        <v>1000200</v>
      </c>
      <c r="C802" s="30" t="str">
        <f t="shared" si="459"/>
        <v>420811,1000200</v>
      </c>
      <c r="D802" s="26">
        <v>1</v>
      </c>
      <c r="E802" s="26">
        <v>0</v>
      </c>
      <c r="F802" s="26">
        <v>2</v>
      </c>
      <c r="G802" s="26">
        <v>0</v>
      </c>
      <c r="H802" s="9">
        <v>201806</v>
      </c>
      <c r="I802" s="15" t="str">
        <f>IFERROR(VLOOKUP(H802,monsters[#All],4,0),"")</f>
        <v>脑型大水母</v>
      </c>
      <c r="J802" s="15" t="str" cm="1">
        <f t="array" ref="J802">_xlfn.LET(_xlpm.v6p,ABS(ATAN2(O802,P802))*6/PI(),
_xlpm.output,_xlfn.IFS(_xlpm.v6p&lt;1,"正前",_xlpm.v6p&gt;5,"正后",AND(_xlpm.v6p&lt;5,_xlpm.v6p&gt;2,P802&lt;-1),"脚底",_xlpm.v6p&gt;4,"后上",_xlpm.v6p&lt;2,"前上",TRUE,"顶部"),
IFERROR(_xlpm.output,""))</f>
        <v>正后</v>
      </c>
      <c r="K802" s="12"/>
      <c r="L802" s="12" t="s">
        <v>63</v>
      </c>
      <c r="M802" s="12" t="s">
        <v>63</v>
      </c>
      <c r="N802" s="19" t="str">
        <f t="shared" si="475"/>
        <v>-14,-1</v>
      </c>
      <c r="O802" s="24">
        <v>-14</v>
      </c>
      <c r="P802" s="24">
        <v>-1</v>
      </c>
      <c r="Q802" s="19">
        <f t="shared" si="460"/>
        <v>1</v>
      </c>
      <c r="R802" s="41"/>
      <c r="S802" s="9">
        <v>2</v>
      </c>
      <c r="T802" s="19" t="str">
        <f>IF(U802&lt;&gt;"", U802+0&amp;","&amp;V802+0,"")</f>
        <v>1,3</v>
      </c>
      <c r="U802" s="24">
        <v>1</v>
      </c>
      <c r="V802" s="24">
        <v>3</v>
      </c>
      <c r="W802" s="9">
        <v>2</v>
      </c>
      <c r="X802" s="9">
        <v>11</v>
      </c>
      <c r="Y802" s="19" t="str">
        <f t="shared" si="472"/>
        <v>0,0</v>
      </c>
      <c r="Z802" s="41"/>
      <c r="AA802" s="19" t="str">
        <f>IF($A802&lt;&gt;"",IF($AB802&lt;&gt;"",$AB802,"80,120"),"")</f>
        <v>80,120</v>
      </c>
      <c r="AB802" s="41"/>
      <c r="AC802" s="9">
        <v>2</v>
      </c>
      <c r="AD802" s="9">
        <v>0.5</v>
      </c>
      <c r="AE802" s="9">
        <v>0.3</v>
      </c>
      <c r="AF802" s="9">
        <v>2</v>
      </c>
      <c r="AG802" s="9">
        <v>20</v>
      </c>
    </row>
    <row r="803" spans="1:41" x14ac:dyDescent="0.2">
      <c r="J803" s="15" t="str" cm="1">
        <f t="array" ref="J803">_xlfn.LET(_xlpm.v6p,ABS(ATAN2(O803,P803))*6/PI(),
_xlpm.output,_xlfn.IFS(_xlpm.v6p&lt;1,"正前",_xlpm.v6p&gt;5,"正后",AND(_xlpm.v6p&lt;5,_xlpm.v6p&gt;2,P803&lt;-1),"脚底",_xlpm.v6p&gt;4,"后上",_xlpm.v6p&lt;2,"前上",TRUE,"顶部"),
IFERROR(_xlpm.output,""))</f>
        <v/>
      </c>
      <c r="Q803" s="19" t="str">
        <f t="shared" si="460"/>
        <v/>
      </c>
    </row>
    <row r="805" spans="1:41" s="40" customFormat="1" x14ac:dyDescent="0.2">
      <c r="A805" s="43"/>
      <c r="B805" s="43"/>
      <c r="C805" s="44" t="str">
        <f t="shared" ref="C805" si="476">_xlfn.TEXTJOIN(",",1,A805:B805)</f>
        <v/>
      </c>
      <c r="D805" s="45"/>
      <c r="E805" s="45"/>
      <c r="F805" s="45"/>
      <c r="G805" s="45"/>
      <c r="H805" s="43" t="s">
        <v>251</v>
      </c>
      <c r="I805" s="46"/>
      <c r="J805" s="46"/>
      <c r="O805" s="47"/>
      <c r="P805" s="47"/>
      <c r="R805" s="47"/>
      <c r="S805" s="40" t="s">
        <v>62</v>
      </c>
      <c r="U805" s="47"/>
      <c r="V805" s="47"/>
      <c r="Z805" s="47"/>
      <c r="AB805" s="47"/>
      <c r="AC805" s="40" t="s">
        <v>62</v>
      </c>
      <c r="AI805" s="75"/>
      <c r="AJ805" s="75">
        <f>SUM(AJ807:AJ810)</f>
        <v>24</v>
      </c>
      <c r="AK805" s="75">
        <f>SUM(AK807:AK810)</f>
        <v>2.2000000000000002</v>
      </c>
      <c r="AL805" s="75">
        <f>SUM(AL807:AL810)</f>
        <v>1176</v>
      </c>
      <c r="AM805" s="75">
        <f>SUM(AM807:AM810)</f>
        <v>107.8</v>
      </c>
      <c r="AN805" s="75"/>
      <c r="AO805" s="75"/>
    </row>
    <row r="807" spans="1:41" x14ac:dyDescent="0.2">
      <c r="A807" s="9">
        <v>420813</v>
      </c>
      <c r="B807" s="9" t="str" cm="1">
        <f t="array" ref="B807">D807&amp;_xlfn.TEXTJOIN("",1,TEXT(E807:G807,"00"))</f>
        <v>1000000</v>
      </c>
      <c r="C807" s="30" t="str">
        <f t="shared" ref="C807" si="477">_xlfn.TEXTJOIN(",",1,A807:B807)</f>
        <v>420813,1000000</v>
      </c>
      <c r="D807" s="26">
        <v>1</v>
      </c>
      <c r="E807" s="26">
        <v>0</v>
      </c>
      <c r="F807" s="26">
        <f>W807</f>
        <v>0</v>
      </c>
      <c r="G807" s="26">
        <v>0</v>
      </c>
      <c r="H807" s="9">
        <v>201815</v>
      </c>
      <c r="I807" s="15" t="str">
        <f>IFERROR(VLOOKUP(H807,monsters[#All],4,0),"")</f>
        <v>大钳螃蟹</v>
      </c>
      <c r="J807" s="15" t="str" cm="1">
        <f t="array" ref="J807">_xlfn.LET(_xlpm.v6p,ABS(ATAN2(O807,P807))*6/PI(),
_xlpm.output,_xlfn.IFS(_xlpm.v6p&lt;1,"正前",_xlpm.v6p&gt;5,"正后",AND(_xlpm.v6p&lt;5,_xlpm.v6p&gt;2,P807&lt;-1),"脚底",_xlpm.v6p&gt;4,"后上",_xlpm.v6p&lt;2,"前上",TRUE,"顶部"),
IFERROR(_xlpm.output,""))</f>
        <v>正前</v>
      </c>
      <c r="K807" s="12"/>
      <c r="L807" s="12" t="s">
        <v>63</v>
      </c>
      <c r="M807" s="12" t="s">
        <v>63</v>
      </c>
      <c r="N807" s="19" t="str">
        <f>O807+0&amp;","&amp;P807+0</f>
        <v>16,-1</v>
      </c>
      <c r="O807" s="24">
        <v>16</v>
      </c>
      <c r="P807" s="24">
        <v>-1</v>
      </c>
      <c r="Q807" s="19">
        <f t="shared" ref="Q807:Q811" si="478">_xlfn.LET(_xlpm._default,1,
_xlpm._custom,R807,
IF($A807&lt;&gt;"",IF(_xlpm._custom&lt;&gt;"",_xlpm._custom,_xlpm._default),""))</f>
        <v>2</v>
      </c>
      <c r="R807" s="24">
        <v>2</v>
      </c>
      <c r="S807" s="9">
        <v>6</v>
      </c>
      <c r="T807" s="19" t="str">
        <f>IF(U807&lt;&gt;"", U807+0&amp;","&amp;V807+0,"")</f>
        <v>1,2</v>
      </c>
      <c r="U807" s="24">
        <v>1</v>
      </c>
      <c r="V807" s="24">
        <v>2</v>
      </c>
      <c r="W807" s="9">
        <v>0</v>
      </c>
      <c r="X807" s="9">
        <v>11</v>
      </c>
      <c r="Y807" s="19" t="str">
        <f>IF($A807&lt;&gt;"",IF($Z807&lt;&gt;"",$Z807,"0,0"),"")</f>
        <v>65,70</v>
      </c>
      <c r="Z807" s="24" t="s">
        <v>130</v>
      </c>
      <c r="AA807" s="19" t="str">
        <f>IF($A807&lt;&gt;"",IF($AB807&lt;&gt;"",$AB807,"80,120"),"")</f>
        <v>80,120</v>
      </c>
      <c r="AC807" s="9">
        <v>1.8</v>
      </c>
      <c r="AD807" s="9">
        <v>1</v>
      </c>
      <c r="AE807" s="9">
        <v>0.3</v>
      </c>
      <c r="AF807" s="9">
        <v>3</v>
      </c>
      <c r="AG807" s="9">
        <v>100</v>
      </c>
      <c r="AI807" s="69" cm="1">
        <f t="array" ref="AI807">tuple_avg(T807)/tuple_avg(AA807)</f>
        <v>1.4999999999999999E-2</v>
      </c>
      <c r="AJ807" s="69">
        <f>AC807*AI807*'-配置辅助'!$I$8</f>
        <v>2.7</v>
      </c>
      <c r="AK807" s="69">
        <f>AD807*AI807*'-配置辅助'!$I$10</f>
        <v>0.25</v>
      </c>
      <c r="AL807" s="69">
        <f>AJ807*_xlfn.XLOOKUP(H807,monsters[怪物id],monsters[HP],-1)</f>
        <v>132.30000000000001</v>
      </c>
      <c r="AM807" s="69">
        <f>AK807*_xlfn.XLOOKUP(H807,monsters[怪物id],monsters[HP],-1)</f>
        <v>12.25</v>
      </c>
    </row>
    <row r="808" spans="1:41" x14ac:dyDescent="0.2">
      <c r="A808" s="9">
        <v>420813</v>
      </c>
      <c r="B808" s="9" t="str" cm="1">
        <f t="array" ref="B808">D808&amp;_xlfn.TEXTJOIN("",1,TEXT(E808:G808,"00"))</f>
        <v>1000001</v>
      </c>
      <c r="C808" s="30" t="str">
        <f t="shared" ref="C808" si="479">_xlfn.TEXTJOIN(",",1,A808:B808)</f>
        <v>420813,1000001</v>
      </c>
      <c r="D808" s="26">
        <v>1</v>
      </c>
      <c r="E808" s="26">
        <v>0</v>
      </c>
      <c r="F808" s="26">
        <f>W808</f>
        <v>0</v>
      </c>
      <c r="G808" s="26">
        <v>1</v>
      </c>
      <c r="H808" s="9">
        <v>201815</v>
      </c>
      <c r="I808" s="15" t="str">
        <f>IFERROR(VLOOKUP(H808,monsters[#All],4,0),"")</f>
        <v>大钳螃蟹</v>
      </c>
      <c r="J808" s="15" t="str" cm="1">
        <f t="array" ref="J808">_xlfn.LET(_xlpm.v6p,ABS(ATAN2(O808,P808))*6/PI(),
_xlpm.output,_xlfn.IFS(_xlpm.v6p&lt;1,"正前",_xlpm.v6p&gt;5,"正后",AND(_xlpm.v6p&lt;5,_xlpm.v6p&gt;2,P808&lt;-1),"脚底",_xlpm.v6p&gt;4,"后上",_xlpm.v6p&lt;2,"前上",TRUE,"顶部"),
IFERROR(_xlpm.output,""))</f>
        <v>正前</v>
      </c>
      <c r="K808" s="12"/>
      <c r="L808" s="12" t="s">
        <v>63</v>
      </c>
      <c r="M808" s="12" t="s">
        <v>63</v>
      </c>
      <c r="N808" s="19" t="str">
        <f>O808+0&amp;","&amp;P808+0</f>
        <v>16,-1</v>
      </c>
      <c r="O808" s="24">
        <v>16</v>
      </c>
      <c r="P808" s="24">
        <v>-1</v>
      </c>
      <c r="Q808" s="19">
        <f t="shared" si="478"/>
        <v>2</v>
      </c>
      <c r="R808" s="24">
        <v>2</v>
      </c>
      <c r="S808" s="9">
        <v>6</v>
      </c>
      <c r="T808" s="19" t="str">
        <f>IF(U808&lt;&gt;"", U808+0&amp;","&amp;V808+0,"")</f>
        <v>1,3</v>
      </c>
      <c r="U808" s="24">
        <v>1</v>
      </c>
      <c r="V808" s="24">
        <v>3</v>
      </c>
      <c r="W808" s="9">
        <v>0</v>
      </c>
      <c r="X808" s="9">
        <v>11</v>
      </c>
      <c r="Y808" s="19" t="str">
        <f>IF($A808&lt;&gt;"",IF($Z808&lt;&gt;"",$Z808,"0,0"),"")</f>
        <v>0,0</v>
      </c>
      <c r="AA808" s="19" t="str">
        <f>IF($A808&lt;&gt;"",IF($AB808&lt;&gt;"",$AB808,"80,120"),"")</f>
        <v>80,120</v>
      </c>
      <c r="AC808" s="9">
        <v>2.2000000000000002</v>
      </c>
      <c r="AD808" s="9">
        <v>1.2</v>
      </c>
      <c r="AE808" s="9">
        <v>0.3</v>
      </c>
      <c r="AF808" s="9">
        <v>3</v>
      </c>
      <c r="AG808" s="9">
        <v>100</v>
      </c>
      <c r="AI808" s="69" cm="1">
        <f t="array" ref="AI808">tuple_avg(T808)/tuple_avg(AA808)</f>
        <v>0.02</v>
      </c>
      <c r="AJ808" s="69">
        <f>AC808*AI808*'-配置辅助'!$I$8</f>
        <v>4.4000000000000004</v>
      </c>
      <c r="AK808" s="69">
        <f>AD808*AI808*'-配置辅助'!$I$10</f>
        <v>0.4</v>
      </c>
      <c r="AL808" s="69">
        <f>AJ808*_xlfn.XLOOKUP(H808,monsters[怪物id],monsters[HP],-1)</f>
        <v>215.60000000000002</v>
      </c>
      <c r="AM808" s="69">
        <f>AK808*_xlfn.XLOOKUP(H808,monsters[怪物id],monsters[HP],-1)</f>
        <v>19.600000000000001</v>
      </c>
    </row>
    <row r="809" spans="1:41" x14ac:dyDescent="0.2">
      <c r="A809" s="9">
        <v>420813</v>
      </c>
      <c r="B809" s="9" t="str" cm="1">
        <f t="array" ref="B809">D809&amp;_xlfn.TEXTJOIN("",1,TEXT(E809:G809,"00"))</f>
        <v>1000002</v>
      </c>
      <c r="C809" s="30" t="str">
        <f t="shared" ref="C809" si="480">_xlfn.TEXTJOIN(",",1,A809:B809)</f>
        <v>420813,1000002</v>
      </c>
      <c r="D809" s="26">
        <v>1</v>
      </c>
      <c r="E809" s="26">
        <v>0</v>
      </c>
      <c r="F809" s="26">
        <f>W809</f>
        <v>0</v>
      </c>
      <c r="G809" s="26">
        <v>2</v>
      </c>
      <c r="H809" s="9">
        <v>201815</v>
      </c>
      <c r="I809" s="15" t="str">
        <f>IFERROR(VLOOKUP(H809,monsters[#All],4,0),"")</f>
        <v>大钳螃蟹</v>
      </c>
      <c r="J809" s="15" t="str" cm="1">
        <f t="array" ref="J809">_xlfn.LET(_xlpm.v6p,ABS(ATAN2(O809,P809))*6/PI(),
_xlpm.output,_xlfn.IFS(_xlpm.v6p&lt;1,"正前",_xlpm.v6p&gt;5,"正后",AND(_xlpm.v6p&lt;5,_xlpm.v6p&gt;2,P809&lt;-1),"脚底",_xlpm.v6p&gt;4,"后上",_xlpm.v6p&lt;2,"前上",TRUE,"顶部"),
IFERROR(_xlpm.output,""))</f>
        <v>正前</v>
      </c>
      <c r="K809" s="12"/>
      <c r="L809" s="12" t="s">
        <v>63</v>
      </c>
      <c r="M809" s="12" t="s">
        <v>63</v>
      </c>
      <c r="N809" s="19" t="str">
        <f>O809+0&amp;","&amp;P809+0</f>
        <v>16,-1</v>
      </c>
      <c r="O809" s="24">
        <v>16</v>
      </c>
      <c r="P809" s="24">
        <v>-1</v>
      </c>
      <c r="Q809" s="19">
        <f t="shared" si="478"/>
        <v>2</v>
      </c>
      <c r="R809" s="42">
        <v>2</v>
      </c>
      <c r="S809" s="9">
        <v>6</v>
      </c>
      <c r="T809" s="19" t="str">
        <f>IF(U809&lt;&gt;"", U809+0&amp;","&amp;V809+0,"")</f>
        <v>2,4</v>
      </c>
      <c r="U809" s="24">
        <v>2</v>
      </c>
      <c r="V809" s="24">
        <v>4</v>
      </c>
      <c r="W809" s="9">
        <v>0</v>
      </c>
      <c r="X809" s="9">
        <v>11</v>
      </c>
      <c r="Y809" s="19" t="str">
        <f>IF($A809&lt;&gt;"",IF($Z809&lt;&gt;"",$Z809,"0,0"),"")</f>
        <v>-105,-100</v>
      </c>
      <c r="Z809" s="42" t="s">
        <v>133</v>
      </c>
      <c r="AA809" s="19" t="str">
        <f>IF($A809&lt;&gt;"",IF($AB809&lt;&gt;"",$AB809,"80,120"),"")</f>
        <v>80,120</v>
      </c>
      <c r="AC809" s="9">
        <v>2.7</v>
      </c>
      <c r="AD809" s="9">
        <v>1.5</v>
      </c>
      <c r="AE809" s="9">
        <v>0.3</v>
      </c>
      <c r="AF809" s="9">
        <v>3</v>
      </c>
      <c r="AG809" s="9">
        <v>100</v>
      </c>
      <c r="AI809" s="69" cm="1">
        <f t="array" ref="AI809">tuple_avg(T809)/tuple_avg(AA809)</f>
        <v>0.03</v>
      </c>
      <c r="AJ809" s="69">
        <f>AC809*AI809*'-配置辅助'!$I$8</f>
        <v>8.1</v>
      </c>
      <c r="AK809" s="69">
        <f>AD809*AI809*'-配置辅助'!$I$10</f>
        <v>0.75</v>
      </c>
      <c r="AL809" s="69">
        <f>AJ809*_xlfn.XLOOKUP(H809,monsters[怪物id],monsters[HP],-1)</f>
        <v>396.9</v>
      </c>
      <c r="AM809" s="69">
        <f>AK809*_xlfn.XLOOKUP(H809,monsters[怪物id],monsters[HP],-1)</f>
        <v>36.75</v>
      </c>
    </row>
    <row r="810" spans="1:41" x14ac:dyDescent="0.2">
      <c r="A810" s="9">
        <v>420813</v>
      </c>
      <c r="B810" s="9" t="str" cm="1">
        <f t="array" ref="B810">D810&amp;_xlfn.TEXTJOIN("",1,TEXT(E810:G810,"00"))</f>
        <v>1000003</v>
      </c>
      <c r="C810" s="30" t="str">
        <f t="shared" ref="C810" si="481">_xlfn.TEXTJOIN(",",1,A810:B810)</f>
        <v>420813,1000003</v>
      </c>
      <c r="D810" s="26">
        <v>1</v>
      </c>
      <c r="E810" s="26">
        <v>0</v>
      </c>
      <c r="F810" s="26">
        <f>W810</f>
        <v>0</v>
      </c>
      <c r="G810" s="26">
        <v>3</v>
      </c>
      <c r="H810" s="9">
        <v>201815</v>
      </c>
      <c r="I810" s="15" t="str">
        <f>IFERROR(VLOOKUP(H810,monsters[#All],4,0),"")</f>
        <v>大钳螃蟹</v>
      </c>
      <c r="J810" s="15" t="str" cm="1">
        <f t="array" ref="J810">_xlfn.LET(_xlpm.v6p,ABS(ATAN2(O810,P810))*6/PI(),
_xlpm.output,_xlfn.IFS(_xlpm.v6p&lt;1,"正前",_xlpm.v6p&gt;5,"正后",AND(_xlpm.v6p&lt;5,_xlpm.v6p&gt;2,P810&lt;-1),"脚底",_xlpm.v6p&gt;4,"后上",_xlpm.v6p&lt;2,"前上",TRUE,"顶部"),
IFERROR(_xlpm.output,""))</f>
        <v>正前</v>
      </c>
      <c r="K810" s="12"/>
      <c r="L810" s="12" t="s">
        <v>63</v>
      </c>
      <c r="M810" s="12" t="s">
        <v>63</v>
      </c>
      <c r="N810" s="19" t="str">
        <f>O810+0&amp;","&amp;P810+0</f>
        <v>16,-1</v>
      </c>
      <c r="O810" s="24">
        <v>16</v>
      </c>
      <c r="P810" s="24">
        <v>-1</v>
      </c>
      <c r="Q810" s="19">
        <f t="shared" ref="Q810" si="482">_xlfn.LET(_xlpm._default,1,
_xlpm._custom,R810,
IF($A810&lt;&gt;"",IF(_xlpm._custom&lt;&gt;"",_xlpm._custom,_xlpm._default),""))</f>
        <v>2</v>
      </c>
      <c r="R810" s="42">
        <v>2</v>
      </c>
      <c r="S810" s="9">
        <v>6</v>
      </c>
      <c r="T810" s="19" t="str">
        <f>IF(U810&lt;&gt;"", U810+0&amp;","&amp;V810+0,"")</f>
        <v>3,5</v>
      </c>
      <c r="U810" s="24">
        <v>3</v>
      </c>
      <c r="V810" s="24">
        <v>5</v>
      </c>
      <c r="W810" s="9">
        <v>0</v>
      </c>
      <c r="X810" s="9">
        <v>11</v>
      </c>
      <c r="Y810" s="19" t="str">
        <f>IF($A810&lt;&gt;"",IF($Z810&lt;&gt;"",$Z810,"0,0"),"")</f>
        <v>-235,-240</v>
      </c>
      <c r="Z810" s="42" t="s">
        <v>263</v>
      </c>
      <c r="AA810" s="19" t="str">
        <f>IF($A810&lt;&gt;"",IF($AB810&lt;&gt;"",$AB810,"80,120"),"")</f>
        <v>80,120</v>
      </c>
      <c r="AC810" s="9">
        <v>2.2000000000000002</v>
      </c>
      <c r="AD810" s="9">
        <v>1.2</v>
      </c>
      <c r="AE810" s="9">
        <v>0.3</v>
      </c>
      <c r="AF810" s="9">
        <v>3</v>
      </c>
      <c r="AG810" s="9">
        <v>100</v>
      </c>
      <c r="AI810" s="69" cm="1">
        <f t="array" ref="AI810">tuple_avg(T810)/tuple_avg(AA810)</f>
        <v>0.04</v>
      </c>
      <c r="AJ810" s="69">
        <f>AC810*AI810*'-配置辅助'!$I$8</f>
        <v>8.8000000000000007</v>
      </c>
      <c r="AK810" s="69">
        <f>AD810*AI810*'-配置辅助'!$I$10</f>
        <v>0.8</v>
      </c>
      <c r="AL810" s="69">
        <f>AJ810*_xlfn.XLOOKUP(H810,monsters[怪物id],monsters[HP],-1)</f>
        <v>431.20000000000005</v>
      </c>
      <c r="AM810" s="69">
        <f>AK810*_xlfn.XLOOKUP(H810,monsters[怪物id],monsters[HP],-1)</f>
        <v>39.200000000000003</v>
      </c>
    </row>
    <row r="811" spans="1:41" x14ac:dyDescent="0.2">
      <c r="J811" s="15" t="str" cm="1">
        <f t="array" ref="J811">_xlfn.LET(_xlpm.v6p,ABS(ATAN2(O811,P811))*6/PI(),
_xlpm.output,_xlfn.IFS(_xlpm.v6p&lt;1,"正前",_xlpm.v6p&gt;5,"正后",AND(_xlpm.v6p&lt;5,_xlpm.v6p&gt;2,P811&lt;-1),"脚底",_xlpm.v6p&gt;4,"后上",_xlpm.v6p&lt;2,"前上",TRUE,"顶部"),
IFERROR(_xlpm.output,""))</f>
        <v/>
      </c>
      <c r="Q811" s="19" t="str">
        <f t="shared" si="478"/>
        <v/>
      </c>
    </row>
    <row r="813" spans="1:41" s="40" customFormat="1" x14ac:dyDescent="0.2">
      <c r="A813" s="43"/>
      <c r="B813" s="43"/>
      <c r="C813" s="44" t="str">
        <f t="shared" ref="C813" si="483">_xlfn.TEXTJOIN(",",1,A813:B813)</f>
        <v/>
      </c>
      <c r="D813" s="45"/>
      <c r="E813" s="45"/>
      <c r="F813" s="45"/>
      <c r="G813" s="45"/>
      <c r="H813" s="43" t="s">
        <v>250</v>
      </c>
      <c r="I813" s="46"/>
      <c r="J813" s="46"/>
      <c r="O813" s="47"/>
      <c r="P813" s="47"/>
      <c r="R813" s="47"/>
      <c r="S813" s="40" t="s">
        <v>62</v>
      </c>
      <c r="U813" s="47"/>
      <c r="V813" s="47"/>
      <c r="Z813" s="47"/>
      <c r="AB813" s="47"/>
      <c r="AC813" s="40" t="s">
        <v>62</v>
      </c>
      <c r="AI813" s="75"/>
      <c r="AJ813" s="75">
        <f>SUM(AJ815:AJ817)</f>
        <v>12</v>
      </c>
      <c r="AK813" s="75">
        <f>SUM(AK815:AK817)</f>
        <v>2.5</v>
      </c>
      <c r="AL813" s="75">
        <f>SUM(AL815:AL817)</f>
        <v>636</v>
      </c>
      <c r="AM813" s="75">
        <f>SUM(AM815:AM817)</f>
        <v>132.5</v>
      </c>
      <c r="AN813" s="75"/>
      <c r="AO813" s="75"/>
    </row>
    <row r="815" spans="1:41" x14ac:dyDescent="0.2">
      <c r="A815" s="9">
        <v>420815</v>
      </c>
      <c r="B815" s="9" t="str" cm="1">
        <f t="array" ref="B815">D815&amp;_xlfn.TEXTJOIN("",1,TEXT(E815:G815,"00"))</f>
        <v>1000000</v>
      </c>
      <c r="C815" s="30" t="str">
        <f t="shared" ref="C815:C817" si="484">_xlfn.TEXTJOIN(",",1,A815:B815)</f>
        <v>420815,1000000</v>
      </c>
      <c r="D815" s="26">
        <v>1</v>
      </c>
      <c r="E815" s="26">
        <v>0</v>
      </c>
      <c r="F815" s="26">
        <f>W815</f>
        <v>0</v>
      </c>
      <c r="G815" s="26">
        <v>0</v>
      </c>
      <c r="H815" s="9">
        <v>201819</v>
      </c>
      <c r="I815" s="15" t="str">
        <f>IFERROR(VLOOKUP(H815,monsters[#All],4,0),"")</f>
        <v>凶猛海贝</v>
      </c>
      <c r="J815" s="15" t="str" cm="1">
        <f t="array" ref="J815">_xlfn.LET(_xlpm.v6p,ABS(ATAN2(O815,P815))*6/PI(),
_xlpm.output,_xlfn.IFS(_xlpm.v6p&lt;1,"正前",_xlpm.v6p&gt;5,"正后",AND(_xlpm.v6p&lt;5,_xlpm.v6p&gt;2,P815&lt;-1),"脚底",_xlpm.v6p&gt;4,"后上",_xlpm.v6p&lt;2,"前上",TRUE,"顶部"),
IFERROR(_xlpm.output,""))</f>
        <v>正前</v>
      </c>
      <c r="K815" s="12"/>
      <c r="L815" s="12" t="s">
        <v>63</v>
      </c>
      <c r="M815" s="12" t="s">
        <v>63</v>
      </c>
      <c r="N815" s="19" t="str">
        <f>O815+0&amp;","&amp;P815+0</f>
        <v>18,-1</v>
      </c>
      <c r="O815" s="24">
        <v>18</v>
      </c>
      <c r="P815" s="24">
        <v>-1</v>
      </c>
      <c r="Q815" s="19">
        <f t="shared" ref="Q815:Q821" si="485">_xlfn.LET(_xlpm._default,1,
_xlpm._custom,R815,
IF($A815&lt;&gt;"",IF(_xlpm._custom&lt;&gt;"",_xlpm._custom,_xlpm._default),""))</f>
        <v>1</v>
      </c>
      <c r="S815" s="9">
        <v>7</v>
      </c>
      <c r="T815" s="19" t="str">
        <f>IF(U815&lt;&gt;"", U815+0&amp;","&amp;V815+0,"")</f>
        <v>1,2</v>
      </c>
      <c r="U815" s="24">
        <v>1</v>
      </c>
      <c r="V815" s="24">
        <v>2</v>
      </c>
      <c r="W815" s="9">
        <v>0</v>
      </c>
      <c r="X815" s="9">
        <v>11</v>
      </c>
      <c r="Y815" s="19" t="str">
        <f>IF($A815&lt;&gt;"",IF($Z815&lt;&gt;"",$Z815,"0,0"),"")</f>
        <v>70,75</v>
      </c>
      <c r="Z815" s="24" t="s">
        <v>132</v>
      </c>
      <c r="AA815" s="19" t="str">
        <f>IF($A815&lt;&gt;"",IF($AB815&lt;&gt;"",$AB815,"80,120"),"")</f>
        <v>80,120</v>
      </c>
      <c r="AC815" s="9">
        <v>2</v>
      </c>
      <c r="AD815" s="9">
        <v>2.5</v>
      </c>
      <c r="AE815" s="9">
        <v>0.3</v>
      </c>
      <c r="AF815" s="9">
        <v>3</v>
      </c>
      <c r="AG815" s="9">
        <v>100</v>
      </c>
      <c r="AI815" s="69" cm="1">
        <f t="array" ref="AI815">tuple_avg(T815)/tuple_avg(AA815)</f>
        <v>1.4999999999999999E-2</v>
      </c>
      <c r="AJ815" s="69">
        <f>AC815*AI815*'-配置辅助'!$I$8</f>
        <v>3</v>
      </c>
      <c r="AK815" s="69">
        <f>AD815*AI815*'-配置辅助'!$I$10</f>
        <v>0.625</v>
      </c>
      <c r="AL815" s="69">
        <f>AJ815*_xlfn.XLOOKUP(H815,monsters[怪物id],monsters[HP],-1)</f>
        <v>159</v>
      </c>
      <c r="AM815" s="69">
        <f>AK815*_xlfn.XLOOKUP(H815,monsters[怪物id],monsters[HP],-1)</f>
        <v>33.125</v>
      </c>
    </row>
    <row r="816" spans="1:41" x14ac:dyDescent="0.2">
      <c r="A816" s="9">
        <v>420815</v>
      </c>
      <c r="B816" s="9" t="str" cm="1">
        <f t="array" ref="B816">D816&amp;_xlfn.TEXTJOIN("",1,TEXT(E816:G816,"00"))</f>
        <v>1000001</v>
      </c>
      <c r="C816" s="30" t="str">
        <f t="shared" si="484"/>
        <v>420815,1000001</v>
      </c>
      <c r="D816" s="26">
        <v>1</v>
      </c>
      <c r="E816" s="26">
        <v>0</v>
      </c>
      <c r="F816" s="26">
        <f>W816</f>
        <v>0</v>
      </c>
      <c r="G816" s="26">
        <v>1</v>
      </c>
      <c r="H816" s="9">
        <v>201819</v>
      </c>
      <c r="I816" s="15" t="str">
        <f>IFERROR(VLOOKUP(H816,monsters[#All],4,0),"")</f>
        <v>凶猛海贝</v>
      </c>
      <c r="J816" s="15" t="str" cm="1">
        <f t="array" ref="J816">_xlfn.LET(_xlpm.v6p,ABS(ATAN2(O816,P816))*6/PI(),
_xlpm.output,_xlfn.IFS(_xlpm.v6p&lt;1,"正前",_xlpm.v6p&gt;5,"正后",AND(_xlpm.v6p&lt;5,_xlpm.v6p&gt;2,P816&lt;-1),"脚底",_xlpm.v6p&gt;4,"后上",_xlpm.v6p&lt;2,"前上",TRUE,"顶部"),
IFERROR(_xlpm.output,""))</f>
        <v>正前</v>
      </c>
      <c r="K816" s="12"/>
      <c r="L816" s="12" t="s">
        <v>63</v>
      </c>
      <c r="M816" s="12" t="s">
        <v>63</v>
      </c>
      <c r="N816" s="19" t="str">
        <f>O816+0&amp;","&amp;P816+0</f>
        <v>18,-1</v>
      </c>
      <c r="O816" s="24">
        <v>18</v>
      </c>
      <c r="P816" s="24">
        <v>-1</v>
      </c>
      <c r="Q816" s="19">
        <f t="shared" si="485"/>
        <v>1</v>
      </c>
      <c r="S816" s="9">
        <v>7</v>
      </c>
      <c r="T816" s="19" t="str">
        <f>IF(U816&lt;&gt;"", U816+0&amp;","&amp;V816+0,"")</f>
        <v>1,3</v>
      </c>
      <c r="U816" s="24">
        <v>1</v>
      </c>
      <c r="V816" s="24">
        <v>3</v>
      </c>
      <c r="W816" s="9">
        <v>0</v>
      </c>
      <c r="X816" s="9">
        <v>11</v>
      </c>
      <c r="Y816" s="19" t="str">
        <f>IF($A816&lt;&gt;"",IF($Z816&lt;&gt;"",$Z816,"0,0"),"")</f>
        <v>0,0</v>
      </c>
      <c r="AA816" s="19" t="str">
        <f>IF($A816&lt;&gt;"",IF($AB816&lt;&gt;"",$AB816,"80,120"),"")</f>
        <v>80,120</v>
      </c>
      <c r="AC816" s="9">
        <v>2</v>
      </c>
      <c r="AD816" s="9">
        <v>2.5</v>
      </c>
      <c r="AE816" s="9">
        <v>0.3</v>
      </c>
      <c r="AF816" s="9">
        <v>3</v>
      </c>
      <c r="AG816" s="9">
        <v>100</v>
      </c>
      <c r="AI816" s="69" cm="1">
        <f t="array" ref="AI816">tuple_avg(T816)/tuple_avg(AA816)</f>
        <v>0.02</v>
      </c>
      <c r="AJ816" s="69">
        <f>AC816*AI816*'-配置辅助'!$I$8</f>
        <v>4</v>
      </c>
      <c r="AK816" s="69">
        <f>AD816*AI816*'-配置辅助'!$I$10</f>
        <v>0.83333333333333348</v>
      </c>
      <c r="AL816" s="69">
        <f>AJ816*_xlfn.XLOOKUP(H816,monsters[怪物id],monsters[HP],-1)</f>
        <v>212</v>
      </c>
      <c r="AM816" s="69">
        <f>AK816*_xlfn.XLOOKUP(H816,monsters[怪物id],monsters[HP],-1)</f>
        <v>44.166666666666671</v>
      </c>
    </row>
    <row r="817" spans="1:41" x14ac:dyDescent="0.2">
      <c r="A817" s="9">
        <v>420815</v>
      </c>
      <c r="B817" s="9" t="str" cm="1">
        <f t="array" ref="B817">D817&amp;_xlfn.TEXTJOIN("",1,TEXT(E817:G817,"00"))</f>
        <v>1000002</v>
      </c>
      <c r="C817" s="30" t="str">
        <f t="shared" si="484"/>
        <v>420815,1000002</v>
      </c>
      <c r="D817" s="26">
        <v>1</v>
      </c>
      <c r="E817" s="26">
        <v>0</v>
      </c>
      <c r="F817" s="26">
        <f>W817</f>
        <v>0</v>
      </c>
      <c r="G817" s="26">
        <v>2</v>
      </c>
      <c r="H817" s="9">
        <v>201819</v>
      </c>
      <c r="I817" s="15" t="str">
        <f>IFERROR(VLOOKUP(H817,monsters[#All],4,0),"")</f>
        <v>凶猛海贝</v>
      </c>
      <c r="J817" s="15" t="str" cm="1">
        <f t="array" ref="J817">_xlfn.LET(_xlpm.v6p,ABS(ATAN2(O817,P817))*6/PI(),
_xlpm.output,_xlfn.IFS(_xlpm.v6p&lt;1,"正前",_xlpm.v6p&gt;5,"正后",AND(_xlpm.v6p&lt;5,_xlpm.v6p&gt;2,P817&lt;-1),"脚底",_xlpm.v6p&gt;4,"后上",_xlpm.v6p&lt;2,"前上",TRUE,"顶部"),
IFERROR(_xlpm.output,""))</f>
        <v>正前</v>
      </c>
      <c r="K817" s="12"/>
      <c r="L817" s="12" t="s">
        <v>63</v>
      </c>
      <c r="M817" s="12" t="s">
        <v>63</v>
      </c>
      <c r="N817" s="19" t="str">
        <f>O817+0&amp;","&amp;P817+0</f>
        <v>18,-1</v>
      </c>
      <c r="O817" s="24">
        <v>18</v>
      </c>
      <c r="P817" s="24">
        <v>-1</v>
      </c>
      <c r="Q817" s="19">
        <f t="shared" si="485"/>
        <v>1</v>
      </c>
      <c r="R817" s="42"/>
      <c r="S817" s="9">
        <v>7</v>
      </c>
      <c r="T817" s="19" t="str">
        <f>IF(U817&lt;&gt;"", U817+0&amp;","&amp;V817+0,"")</f>
        <v>2,3</v>
      </c>
      <c r="U817" s="24">
        <v>2</v>
      </c>
      <c r="V817" s="24">
        <v>3</v>
      </c>
      <c r="W817" s="9">
        <v>0</v>
      </c>
      <c r="X817" s="9">
        <v>11</v>
      </c>
      <c r="Y817" s="19" t="str">
        <f>IF($A817&lt;&gt;"",IF($Z817&lt;&gt;"",$Z817,"0,0"),"")</f>
        <v>-105,-100</v>
      </c>
      <c r="Z817" s="42" t="s">
        <v>133</v>
      </c>
      <c r="AA817" s="19" t="str">
        <f>IF($A817&lt;&gt;"",IF($AB817&lt;&gt;"",$AB817,"80,120"),"")</f>
        <v>80,120</v>
      </c>
      <c r="AC817" s="9">
        <v>2</v>
      </c>
      <c r="AD817" s="9">
        <v>2.5</v>
      </c>
      <c r="AE817" s="9">
        <v>0.3</v>
      </c>
      <c r="AF817" s="9">
        <v>3</v>
      </c>
      <c r="AG817" s="9">
        <v>100</v>
      </c>
      <c r="AI817" s="69" cm="1">
        <f t="array" ref="AI817">tuple_avg(T817)/tuple_avg(AA817)</f>
        <v>2.5000000000000001E-2</v>
      </c>
      <c r="AJ817" s="69">
        <f>AC817*AI817*'-配置辅助'!$I$8</f>
        <v>5</v>
      </c>
      <c r="AK817" s="69">
        <f>AD817*AI817*'-配置辅助'!$I$10</f>
        <v>1.0416666666666667</v>
      </c>
      <c r="AL817" s="69">
        <f>AJ817*_xlfn.XLOOKUP(H817,monsters[怪物id],monsters[HP],-1)</f>
        <v>265</v>
      </c>
      <c r="AM817" s="69">
        <f>AK817*_xlfn.XLOOKUP(H817,monsters[怪物id],monsters[HP],-1)</f>
        <v>55.208333333333336</v>
      </c>
    </row>
    <row r="818" spans="1:41" x14ac:dyDescent="0.2">
      <c r="J818" s="15" t="str" cm="1">
        <f t="array" ref="J818">_xlfn.LET(_xlpm.v6p,ABS(ATAN2(O818,P818))*6/PI(),
_xlpm.output,_xlfn.IFS(_xlpm.v6p&lt;1,"正前",_xlpm.v6p&gt;5,"正后",AND(_xlpm.v6p&lt;5,_xlpm.v6p&gt;2,P818&lt;-1),"脚底",_xlpm.v6p&gt;4,"后上",_xlpm.v6p&lt;2,"前上",TRUE,"顶部"),
IFERROR(_xlpm.output,""))</f>
        <v/>
      </c>
      <c r="Q818" s="19" t="str">
        <f t="shared" si="485"/>
        <v/>
      </c>
    </row>
    <row r="819" spans="1:41" x14ac:dyDescent="0.2">
      <c r="A819" s="9">
        <v>420815</v>
      </c>
      <c r="B819" s="9" t="str" cm="1">
        <f t="array" ref="B819">D819&amp;_xlfn.TEXTJOIN("",1,TEXT(E819:G819,"00"))</f>
        <v>2000000</v>
      </c>
      <c r="C819" s="30" t="str">
        <f t="shared" ref="C819:C820" si="486">_xlfn.TEXTJOIN(",",1,A819:B819)</f>
        <v>420815,2000000</v>
      </c>
      <c r="D819" s="26">
        <v>2</v>
      </c>
      <c r="E819" s="26">
        <v>0</v>
      </c>
      <c r="F819" s="26">
        <f>W819</f>
        <v>0</v>
      </c>
      <c r="G819" s="26">
        <v>0</v>
      </c>
      <c r="H819" s="9">
        <v>201811</v>
      </c>
      <c r="I819" s="15" t="str">
        <f>IFERROR(VLOOKUP(H819,monsters[#All],4,0),"")</f>
        <v>青蛙</v>
      </c>
      <c r="J819" s="15" t="str" cm="1">
        <f t="array" ref="J819">_xlfn.LET(_xlpm.v6p,ABS(ATAN2(O819,P819))*6/PI(),
_xlpm.output,_xlfn.IFS(_xlpm.v6p&lt;1,"正前",_xlpm.v6p&gt;5,"正后",AND(_xlpm.v6p&lt;5,_xlpm.v6p&gt;2,P819&lt;-1),"脚底",_xlpm.v6p&gt;4,"后上",_xlpm.v6p&lt;2,"前上",TRUE,"顶部"),
IFERROR(_xlpm.output,""))</f>
        <v>正前</v>
      </c>
      <c r="K819" s="12"/>
      <c r="L819" s="12" t="s">
        <v>63</v>
      </c>
      <c r="M819" s="12" t="s">
        <v>63</v>
      </c>
      <c r="N819" s="19" t="str">
        <f>O819+0&amp;","&amp;P819+0</f>
        <v>15,-1</v>
      </c>
      <c r="O819" s="24">
        <v>15</v>
      </c>
      <c r="P819" s="24">
        <v>-1</v>
      </c>
      <c r="Q819" s="19">
        <f t="shared" si="485"/>
        <v>1</v>
      </c>
      <c r="S819" s="9">
        <v>6</v>
      </c>
      <c r="T819" s="19" t="str">
        <f>IF(U819&lt;&gt;"", U819+0&amp;","&amp;V819+0,"")</f>
        <v>1,1</v>
      </c>
      <c r="U819" s="24">
        <v>1</v>
      </c>
      <c r="V819" s="24">
        <v>1</v>
      </c>
      <c r="W819" s="9">
        <v>0</v>
      </c>
      <c r="X819" s="9">
        <v>11</v>
      </c>
      <c r="Y819" s="19" t="str">
        <f>IF($A819&lt;&gt;"",IF($Z819&lt;&gt;"",$Z819,"0,0"),"")</f>
        <v>65,70</v>
      </c>
      <c r="Z819" s="24" t="s">
        <v>130</v>
      </c>
      <c r="AA819" s="19" t="str">
        <f>IF($A819&lt;&gt;"",IF($AB819&lt;&gt;"",$AB819,"80,120"),"")</f>
        <v>80,120</v>
      </c>
      <c r="AC819" s="9">
        <v>1.5</v>
      </c>
      <c r="AD819" s="9">
        <v>1</v>
      </c>
      <c r="AE819" s="9">
        <v>0.3</v>
      </c>
      <c r="AF819" s="9">
        <v>3</v>
      </c>
      <c r="AG819" s="9">
        <v>100</v>
      </c>
    </row>
    <row r="820" spans="1:41" x14ac:dyDescent="0.2">
      <c r="A820" s="9">
        <v>420815</v>
      </c>
      <c r="B820" s="9" t="str" cm="1">
        <f t="array" ref="B820">D820&amp;_xlfn.TEXTJOIN("",1,TEXT(E820:G820,"00"))</f>
        <v>2000001</v>
      </c>
      <c r="C820" s="30" t="str">
        <f t="shared" si="486"/>
        <v>420815,2000001</v>
      </c>
      <c r="D820" s="26">
        <v>2</v>
      </c>
      <c r="E820" s="26">
        <v>0</v>
      </c>
      <c r="F820" s="26">
        <f>W820</f>
        <v>0</v>
      </c>
      <c r="G820" s="26">
        <v>1</v>
      </c>
      <c r="H820" s="9">
        <v>201811</v>
      </c>
      <c r="I820" s="15" t="str">
        <f>IFERROR(VLOOKUP(H820,monsters[#All],4,0),"")</f>
        <v>青蛙</v>
      </c>
      <c r="J820" s="15" t="str" cm="1">
        <f t="array" ref="J820">_xlfn.LET(_xlpm.v6p,ABS(ATAN2(O820,P820))*6/PI(),
_xlpm.output,_xlfn.IFS(_xlpm.v6p&lt;1,"正前",_xlpm.v6p&gt;5,"正后",AND(_xlpm.v6p&lt;5,_xlpm.v6p&gt;2,P820&lt;-1),"脚底",_xlpm.v6p&gt;4,"后上",_xlpm.v6p&lt;2,"前上",TRUE,"顶部"),
IFERROR(_xlpm.output,""))</f>
        <v>正前</v>
      </c>
      <c r="K820" s="12"/>
      <c r="L820" s="12" t="s">
        <v>63</v>
      </c>
      <c r="M820" s="12" t="s">
        <v>63</v>
      </c>
      <c r="N820" s="19" t="str">
        <f>O820+0&amp;","&amp;P820+0</f>
        <v>16,-1</v>
      </c>
      <c r="O820" s="24">
        <v>16</v>
      </c>
      <c r="P820" s="24">
        <v>-1</v>
      </c>
      <c r="Q820" s="19">
        <f t="shared" si="485"/>
        <v>1</v>
      </c>
      <c r="S820" s="9">
        <v>9</v>
      </c>
      <c r="T820" s="19" t="str">
        <f>IF(U820&lt;&gt;"", U820+0&amp;","&amp;V820+0,"")</f>
        <v>1,2</v>
      </c>
      <c r="U820" s="24">
        <v>1</v>
      </c>
      <c r="V820" s="24">
        <v>2</v>
      </c>
      <c r="W820" s="9">
        <v>0</v>
      </c>
      <c r="X820" s="9">
        <v>11</v>
      </c>
      <c r="Y820" s="19" t="str">
        <f>IF($A820&lt;&gt;"",IF($Z820&lt;&gt;"",$Z820,"0,0"),"")</f>
        <v>0,0</v>
      </c>
      <c r="AA820" s="19" t="str">
        <f>IF($A820&lt;&gt;"",IF($AB820&lt;&gt;"",$AB820,"80,120"),"")</f>
        <v>80,120</v>
      </c>
      <c r="AC820" s="9">
        <v>1.5</v>
      </c>
      <c r="AD820" s="9">
        <v>1</v>
      </c>
      <c r="AE820" s="9">
        <v>0.3</v>
      </c>
      <c r="AF820" s="9">
        <v>3</v>
      </c>
      <c r="AG820" s="9">
        <v>100</v>
      </c>
    </row>
    <row r="821" spans="1:41" x14ac:dyDescent="0.2">
      <c r="J821" s="15" t="str" cm="1">
        <f t="array" ref="J821">_xlfn.LET(_xlpm.v6p,ABS(ATAN2(O821,P821))*6/PI(),
_xlpm.output,_xlfn.IFS(_xlpm.v6p&lt;1,"正前",_xlpm.v6p&gt;5,"正后",AND(_xlpm.v6p&lt;5,_xlpm.v6p&gt;2,P821&lt;-1),"脚底",_xlpm.v6p&gt;4,"后上",_xlpm.v6p&lt;2,"前上",TRUE,"顶部"),
IFERROR(_xlpm.output,""))</f>
        <v/>
      </c>
      <c r="Q821" s="19" t="str">
        <f t="shared" si="485"/>
        <v/>
      </c>
    </row>
    <row r="823" spans="1:41" s="40" customFormat="1" x14ac:dyDescent="0.2">
      <c r="A823" s="43"/>
      <c r="B823" s="43"/>
      <c r="C823" s="44" t="str">
        <f t="shared" ref="C823" si="487">_xlfn.TEXTJOIN(",",1,A823:B823)</f>
        <v/>
      </c>
      <c r="D823" s="45"/>
      <c r="E823" s="45"/>
      <c r="F823" s="45"/>
      <c r="G823" s="45"/>
      <c r="H823" s="43" t="s">
        <v>249</v>
      </c>
      <c r="I823" s="46"/>
      <c r="J823" s="46"/>
      <c r="O823" s="47"/>
      <c r="P823" s="47"/>
      <c r="R823" s="47"/>
      <c r="S823" s="40" t="s">
        <v>62</v>
      </c>
      <c r="U823" s="47"/>
      <c r="V823" s="47"/>
      <c r="Z823" s="47"/>
      <c r="AB823" s="47"/>
      <c r="AC823" s="40" t="s">
        <v>62</v>
      </c>
      <c r="AI823" s="75"/>
      <c r="AJ823" s="75">
        <f>SUM(AJ825:AJ827)</f>
        <v>10.25</v>
      </c>
      <c r="AK823" s="75">
        <f>SUM(AK825:AK827)</f>
        <v>4.0833333333333339</v>
      </c>
      <c r="AL823" s="75">
        <f>SUM(AL825:AL827)</f>
        <v>738</v>
      </c>
      <c r="AM823" s="75">
        <f>SUM(AM825:AM827)</f>
        <v>294</v>
      </c>
      <c r="AN823" s="75"/>
      <c r="AO823" s="75"/>
    </row>
    <row r="825" spans="1:41" x14ac:dyDescent="0.2">
      <c r="A825" s="9">
        <v>420821</v>
      </c>
      <c r="B825" s="9" t="str" cm="1">
        <f t="array" ref="B825">D825&amp;_xlfn.TEXTJOIN("",1,TEXT(E825:G825,"00"))</f>
        <v>1000000</v>
      </c>
      <c r="C825" s="30" t="str">
        <f t="shared" ref="C825:C826" si="488">_xlfn.TEXTJOIN(",",1,A825:B825)</f>
        <v>420821,1000000</v>
      </c>
      <c r="D825" s="26">
        <v>1</v>
      </c>
      <c r="E825" s="26">
        <v>0</v>
      </c>
      <c r="F825" s="26">
        <f>W825</f>
        <v>0</v>
      </c>
      <c r="G825" s="26">
        <v>0</v>
      </c>
      <c r="H825" s="9">
        <v>201813</v>
      </c>
      <c r="I825" s="15" t="str">
        <f>IFERROR(VLOOKUP(H825,monsters[#All],4,0),"")</f>
        <v>贝壳乌贼</v>
      </c>
      <c r="J825" s="15" t="str" cm="1">
        <f t="array" ref="J825">_xlfn.LET(_xlpm.v6p,ABS(ATAN2(O825,P825))*6/PI(),
_xlpm.output,_xlfn.IFS(_xlpm.v6p&lt;1,"正前",_xlpm.v6p&gt;5,"正后",AND(_xlpm.v6p&lt;5,_xlpm.v6p&gt;2,P825&lt;-1),"脚底",_xlpm.v6p&gt;4,"后上",_xlpm.v6p&lt;2,"前上",TRUE,"顶部"),
IFERROR(_xlpm.output,""))</f>
        <v>正前</v>
      </c>
      <c r="K825" s="12"/>
      <c r="L825" s="12" t="s">
        <v>63</v>
      </c>
      <c r="M825" s="12" t="s">
        <v>63</v>
      </c>
      <c r="N825" s="19" t="str">
        <f>O825+0&amp;","&amp;P825+0</f>
        <v>16,-1</v>
      </c>
      <c r="O825" s="24">
        <v>16</v>
      </c>
      <c r="P825" s="24">
        <v>-1</v>
      </c>
      <c r="Q825" s="19">
        <f t="shared" ref="Q825:Q831" si="489">_xlfn.LET(_xlpm._default,1,
_xlpm._custom,R825,
IF($A825&lt;&gt;"",IF(_xlpm._custom&lt;&gt;"",_xlpm._custom,_xlpm._default),""))</f>
        <v>3</v>
      </c>
      <c r="R825" s="24">
        <v>3</v>
      </c>
      <c r="S825" s="9">
        <v>8</v>
      </c>
      <c r="T825" s="19" t="str">
        <f>IF(U825&lt;&gt;"", U825+0&amp;","&amp;V825+0,"")</f>
        <v>1,1</v>
      </c>
      <c r="U825" s="24">
        <v>1</v>
      </c>
      <c r="V825" s="24">
        <v>1</v>
      </c>
      <c r="W825" s="9">
        <v>0</v>
      </c>
      <c r="X825" s="9">
        <v>11</v>
      </c>
      <c r="Y825" s="19" t="str">
        <f t="shared" ref="Y825:Y830" si="490">IF($A825&lt;&gt;"",IF($Z825&lt;&gt;"",$Z825,"0,0"),"")</f>
        <v>65,70</v>
      </c>
      <c r="Z825" s="24" t="s">
        <v>130</v>
      </c>
      <c r="AA825" s="19" t="str">
        <f>IF($A825&lt;&gt;"",IF($AB825&lt;&gt;"",$AB825,"80,120"),"")</f>
        <v>80,120</v>
      </c>
      <c r="AC825" s="9">
        <v>2</v>
      </c>
      <c r="AD825" s="9">
        <v>5</v>
      </c>
      <c r="AE825" s="9">
        <v>0.3</v>
      </c>
      <c r="AF825" s="9">
        <v>3</v>
      </c>
      <c r="AG825" s="9">
        <v>100</v>
      </c>
      <c r="AI825" s="69" cm="1">
        <f t="array" ref="AI825">tuple_avg(T825)/tuple_avg(AA825)</f>
        <v>0.01</v>
      </c>
      <c r="AJ825" s="69">
        <f>AC825*AI825*'-配置辅助'!$I$8</f>
        <v>2</v>
      </c>
      <c r="AK825" s="69">
        <f>AD825*AI825*'-配置辅助'!$I$10</f>
        <v>0.83333333333333348</v>
      </c>
      <c r="AL825" s="69">
        <f>AJ825*_xlfn.XLOOKUP(H825,monsters[怪物id],monsters[HP],-1)</f>
        <v>144</v>
      </c>
      <c r="AM825" s="69">
        <f>AK825*_xlfn.XLOOKUP(H825,monsters[怪物id],monsters[HP],-1)</f>
        <v>60.000000000000014</v>
      </c>
    </row>
    <row r="826" spans="1:41" x14ac:dyDescent="0.2">
      <c r="A826" s="9">
        <v>420821</v>
      </c>
      <c r="B826" s="9" t="str" cm="1">
        <f t="array" ref="B826">D826&amp;_xlfn.TEXTJOIN("",1,TEXT(E826:G826,"00"))</f>
        <v>1000001</v>
      </c>
      <c r="C826" s="30" t="str">
        <f t="shared" si="488"/>
        <v>420821,1000001</v>
      </c>
      <c r="D826" s="26">
        <v>1</v>
      </c>
      <c r="E826" s="26">
        <v>0</v>
      </c>
      <c r="F826" s="26">
        <f>W826</f>
        <v>0</v>
      </c>
      <c r="G826" s="26">
        <v>1</v>
      </c>
      <c r="H826" s="9">
        <v>201813</v>
      </c>
      <c r="I826" s="15" t="str">
        <f>IFERROR(VLOOKUP(H826,monsters[#All],4,0),"")</f>
        <v>贝壳乌贼</v>
      </c>
      <c r="J826" s="15" t="str" cm="1">
        <f t="array" ref="J826">_xlfn.LET(_xlpm.v6p,ABS(ATAN2(O826,P826))*6/PI(),
_xlpm.output,_xlfn.IFS(_xlpm.v6p&lt;1,"正前",_xlpm.v6p&gt;5,"正后",AND(_xlpm.v6p&lt;5,_xlpm.v6p&gt;2,P826&lt;-1),"脚底",_xlpm.v6p&gt;4,"后上",_xlpm.v6p&lt;2,"前上",TRUE,"顶部"),
IFERROR(_xlpm.output,""))</f>
        <v>正前</v>
      </c>
      <c r="K826" s="12"/>
      <c r="L826" s="12" t="s">
        <v>63</v>
      </c>
      <c r="M826" s="12" t="s">
        <v>63</v>
      </c>
      <c r="N826" s="19" t="str">
        <f>O826+0&amp;","&amp;P826+0</f>
        <v>16,-1</v>
      </c>
      <c r="O826" s="24">
        <v>16</v>
      </c>
      <c r="P826" s="24">
        <v>-1</v>
      </c>
      <c r="Q826" s="19">
        <f t="shared" si="489"/>
        <v>3</v>
      </c>
      <c r="R826" s="24">
        <v>3</v>
      </c>
      <c r="S826" s="9">
        <v>10</v>
      </c>
      <c r="T826" s="19" t="str">
        <f>IF(U826&lt;&gt;"", U826+0&amp;","&amp;V826+0,"")</f>
        <v>1,2</v>
      </c>
      <c r="U826" s="24">
        <v>1</v>
      </c>
      <c r="V826" s="24">
        <v>2</v>
      </c>
      <c r="W826" s="9">
        <v>0</v>
      </c>
      <c r="X826" s="9">
        <v>11</v>
      </c>
      <c r="Y826" s="19" t="str">
        <f t="shared" si="490"/>
        <v>0,0</v>
      </c>
      <c r="AA826" s="19" t="str">
        <f>IF($A826&lt;&gt;"",IF($AB826&lt;&gt;"",$AB826,"80,120"),"")</f>
        <v>80,120</v>
      </c>
      <c r="AC826" s="9">
        <v>2.5</v>
      </c>
      <c r="AD826" s="9">
        <v>6</v>
      </c>
      <c r="AE826" s="9">
        <v>0.3</v>
      </c>
      <c r="AF826" s="9">
        <v>3</v>
      </c>
      <c r="AG826" s="9">
        <v>100</v>
      </c>
      <c r="AI826" s="69" cm="1">
        <f t="array" ref="AI826">tuple_avg(T826)/tuple_avg(AA826)</f>
        <v>1.4999999999999999E-2</v>
      </c>
      <c r="AJ826" s="69">
        <f>AC826*AI826*'-配置辅助'!$I$8</f>
        <v>3.75</v>
      </c>
      <c r="AK826" s="69">
        <f>AD826*AI826*'-配置辅助'!$I$10</f>
        <v>1.5</v>
      </c>
      <c r="AL826" s="69">
        <f>AJ826*_xlfn.XLOOKUP(H826,monsters[怪物id],monsters[HP],-1)</f>
        <v>270</v>
      </c>
      <c r="AM826" s="69">
        <f>AK826*_xlfn.XLOOKUP(H826,monsters[怪物id],monsters[HP],-1)</f>
        <v>108</v>
      </c>
    </row>
    <row r="827" spans="1:41" x14ac:dyDescent="0.2">
      <c r="A827" s="9">
        <v>420821</v>
      </c>
      <c r="B827" s="9" t="str" cm="1">
        <f t="array" ref="B827">D827&amp;_xlfn.TEXTJOIN("",1,TEXT(E827:G827,"00"))</f>
        <v>1000002</v>
      </c>
      <c r="C827" s="30" t="str">
        <f t="shared" ref="C827" si="491">_xlfn.TEXTJOIN(",",1,A827:B827)</f>
        <v>420821,1000002</v>
      </c>
      <c r="D827" s="26">
        <v>1</v>
      </c>
      <c r="E827" s="26">
        <v>0</v>
      </c>
      <c r="F827" s="26">
        <f>W827</f>
        <v>0</v>
      </c>
      <c r="G827" s="26">
        <v>2</v>
      </c>
      <c r="H827" s="9">
        <v>201813</v>
      </c>
      <c r="I827" s="15" t="str">
        <f>IFERROR(VLOOKUP(H827,monsters[#All],4,0),"")</f>
        <v>贝壳乌贼</v>
      </c>
      <c r="J827" s="15" t="str" cm="1">
        <f t="array" ref="J827">_xlfn.LET(_xlpm.v6p,ABS(ATAN2(O827,P827))*6/PI(),
_xlpm.output,_xlfn.IFS(_xlpm.v6p&lt;1,"正前",_xlpm.v6p&gt;5,"正后",AND(_xlpm.v6p&lt;5,_xlpm.v6p&gt;2,P827&lt;-1),"脚底",_xlpm.v6p&gt;4,"后上",_xlpm.v6p&lt;2,"前上",TRUE,"顶部"),
IFERROR(_xlpm.output,""))</f>
        <v>正前</v>
      </c>
      <c r="K827" s="12"/>
      <c r="L827" s="12" t="s">
        <v>63</v>
      </c>
      <c r="M827" s="12" t="s">
        <v>63</v>
      </c>
      <c r="N827" s="19" t="str">
        <f>O827+0&amp;","&amp;P827+0</f>
        <v>16,-1</v>
      </c>
      <c r="O827" s="24">
        <v>16</v>
      </c>
      <c r="P827" s="24">
        <v>-1</v>
      </c>
      <c r="Q827" s="19">
        <f t="shared" si="489"/>
        <v>3</v>
      </c>
      <c r="R827" s="42">
        <v>3</v>
      </c>
      <c r="S827" s="9">
        <v>12</v>
      </c>
      <c r="T827" s="19" t="str">
        <f>IF(U827&lt;&gt;"", U827+0&amp;","&amp;V827+0,"")</f>
        <v>1,2</v>
      </c>
      <c r="U827" s="24">
        <v>1</v>
      </c>
      <c r="V827" s="24">
        <v>2</v>
      </c>
      <c r="W827" s="9">
        <v>0</v>
      </c>
      <c r="X827" s="9">
        <v>11</v>
      </c>
      <c r="Y827" s="19" t="str">
        <f t="shared" si="490"/>
        <v>-105,-100</v>
      </c>
      <c r="Z827" s="42" t="s">
        <v>133</v>
      </c>
      <c r="AA827" s="19" t="str">
        <f>IF($A827&lt;&gt;"",IF($AB827&lt;&gt;"",$AB827,"80,120"),"")</f>
        <v>80,120</v>
      </c>
      <c r="AC827" s="9">
        <v>3</v>
      </c>
      <c r="AD827" s="9">
        <v>7</v>
      </c>
      <c r="AE827" s="9">
        <v>0.3</v>
      </c>
      <c r="AF827" s="9">
        <v>3</v>
      </c>
      <c r="AG827" s="9">
        <v>100</v>
      </c>
      <c r="AI827" s="69" cm="1">
        <f t="array" ref="AI827">tuple_avg(T827)/tuple_avg(AA827)</f>
        <v>1.4999999999999999E-2</v>
      </c>
      <c r="AJ827" s="69">
        <f>AC827*AI827*'-配置辅助'!$I$8</f>
        <v>4.5</v>
      </c>
      <c r="AK827" s="69">
        <f>AD827*AI827*'-配置辅助'!$I$10</f>
        <v>1.75</v>
      </c>
      <c r="AL827" s="69">
        <f>AJ827*_xlfn.XLOOKUP(H827,monsters[怪物id],monsters[HP],-1)</f>
        <v>324</v>
      </c>
      <c r="AM827" s="69">
        <f>AK827*_xlfn.XLOOKUP(H827,monsters[怪物id],monsters[HP],-1)</f>
        <v>126</v>
      </c>
    </row>
    <row r="828" spans="1:41" x14ac:dyDescent="0.2">
      <c r="J828" s="15" t="str" cm="1">
        <f t="array" ref="J828">_xlfn.LET(_xlpm.v6p,ABS(ATAN2(O828,P828))*6/PI(),
_xlpm.output,_xlfn.IFS(_xlpm.v6p&lt;1,"正前",_xlpm.v6p&gt;5,"正后",AND(_xlpm.v6p&lt;5,_xlpm.v6p&gt;2,P828&lt;-1),"脚底",_xlpm.v6p&gt;4,"后上",_xlpm.v6p&lt;2,"前上",TRUE,"顶部"),
IFERROR(_xlpm.output,""))</f>
        <v/>
      </c>
      <c r="Q828" s="19" t="str">
        <f t="shared" si="489"/>
        <v/>
      </c>
      <c r="Y828" s="19" t="str">
        <f t="shared" si="490"/>
        <v/>
      </c>
    </row>
    <row r="829" spans="1:41" x14ac:dyDescent="0.2">
      <c r="A829" s="9">
        <v>420821</v>
      </c>
      <c r="B829" s="9" t="str" cm="1">
        <f t="array" ref="B829">D829&amp;_xlfn.TEXTJOIN("",1,TEXT(E829:G829,"00"))</f>
        <v>1000100</v>
      </c>
      <c r="C829" s="30" t="str">
        <f t="shared" ref="C829:C830" si="492">_xlfn.TEXTJOIN(",",1,A829:B829)</f>
        <v>420821,1000100</v>
      </c>
      <c r="D829" s="26">
        <v>1</v>
      </c>
      <c r="E829" s="26">
        <v>0</v>
      </c>
      <c r="F829" s="26">
        <v>1</v>
      </c>
      <c r="G829" s="26">
        <v>0</v>
      </c>
      <c r="H829" s="9">
        <v>201813</v>
      </c>
      <c r="I829" s="15" t="str">
        <f>IFERROR(VLOOKUP(H829,monsters[#All],4,0),"")</f>
        <v>贝壳乌贼</v>
      </c>
      <c r="J829" s="15" t="str" cm="1">
        <f t="array" ref="J829">_xlfn.LET(_xlpm.v6p,ABS(ATAN2(O829,P829))*6/PI(),
_xlpm.output,_xlfn.IFS(_xlpm.v6p&lt;1,"正前",_xlpm.v6p&gt;5,"正后",AND(_xlpm.v6p&lt;5,_xlpm.v6p&gt;2,P829&lt;-1),"脚底",_xlpm.v6p&gt;4,"后上",_xlpm.v6p&lt;2,"前上",TRUE,"顶部"),
IFERROR(_xlpm.output,""))</f>
        <v>正前</v>
      </c>
      <c r="K829" s="12"/>
      <c r="L829" s="12" t="s">
        <v>63</v>
      </c>
      <c r="M829" s="12" t="s">
        <v>63</v>
      </c>
      <c r="N829" s="19" t="str">
        <f t="shared" ref="N829:N830" si="493">O829+0&amp;","&amp;P829+0</f>
        <v>18,-1</v>
      </c>
      <c r="O829" s="24">
        <v>18</v>
      </c>
      <c r="P829" s="24">
        <v>-1</v>
      </c>
      <c r="Q829" s="19">
        <f t="shared" si="489"/>
        <v>3</v>
      </c>
      <c r="R829" s="41">
        <v>3</v>
      </c>
      <c r="S829" s="9">
        <v>2</v>
      </c>
      <c r="T829" s="19" t="str">
        <f>IF(U829&lt;&gt;"", U829+0&amp;","&amp;V829+0,"")</f>
        <v>1,3</v>
      </c>
      <c r="U829" s="24">
        <v>1</v>
      </c>
      <c r="V829" s="24">
        <v>3</v>
      </c>
      <c r="W829" s="9">
        <v>1</v>
      </c>
      <c r="X829" s="9">
        <v>11</v>
      </c>
      <c r="Y829" s="19" t="str">
        <f t="shared" si="490"/>
        <v>0,0</v>
      </c>
      <c r="Z829" s="41"/>
      <c r="AA829" s="19" t="str">
        <f>IF($A829&lt;&gt;"",IF($AB829&lt;&gt;"",$AB829,"80,120"),"")</f>
        <v>80,120</v>
      </c>
      <c r="AB829" s="41"/>
      <c r="AC829" s="9">
        <v>2</v>
      </c>
      <c r="AD829" s="9">
        <v>0.5</v>
      </c>
      <c r="AE829" s="9">
        <v>0.3</v>
      </c>
      <c r="AF829" s="9">
        <v>2</v>
      </c>
      <c r="AG829" s="9">
        <v>20</v>
      </c>
    </row>
    <row r="830" spans="1:41" x14ac:dyDescent="0.2">
      <c r="A830" s="9">
        <v>420821</v>
      </c>
      <c r="B830" s="9" t="str" cm="1">
        <f t="array" ref="B830">D830&amp;_xlfn.TEXTJOIN("",1,TEXT(E830:G830,"00"))</f>
        <v>1000200</v>
      </c>
      <c r="C830" s="30" t="str">
        <f t="shared" si="492"/>
        <v>420821,1000200</v>
      </c>
      <c r="D830" s="26">
        <v>1</v>
      </c>
      <c r="E830" s="26">
        <v>0</v>
      </c>
      <c r="F830" s="26">
        <v>2</v>
      </c>
      <c r="G830" s="26">
        <v>0</v>
      </c>
      <c r="H830" s="9">
        <v>201813</v>
      </c>
      <c r="I830" s="15" t="str">
        <f>IFERROR(VLOOKUP(H830,monsters[#All],4,0),"")</f>
        <v>贝壳乌贼</v>
      </c>
      <c r="J830" s="15" t="str" cm="1">
        <f t="array" ref="J830">_xlfn.LET(_xlpm.v6p,ABS(ATAN2(O830,P830))*6/PI(),
_xlpm.output,_xlfn.IFS(_xlpm.v6p&lt;1,"正前",_xlpm.v6p&gt;5,"正后",AND(_xlpm.v6p&lt;5,_xlpm.v6p&gt;2,P830&lt;-1),"脚底",_xlpm.v6p&gt;4,"后上",_xlpm.v6p&lt;2,"前上",TRUE,"顶部"),
IFERROR(_xlpm.output,""))</f>
        <v>正后</v>
      </c>
      <c r="K830" s="12"/>
      <c r="L830" s="12" t="s">
        <v>63</v>
      </c>
      <c r="M830" s="12" t="s">
        <v>63</v>
      </c>
      <c r="N830" s="19" t="str">
        <f t="shared" si="493"/>
        <v>-14,-1</v>
      </c>
      <c r="O830" s="24">
        <v>-14</v>
      </c>
      <c r="P830" s="24">
        <v>-1</v>
      </c>
      <c r="Q830" s="19">
        <f t="shared" si="489"/>
        <v>3</v>
      </c>
      <c r="R830" s="41">
        <v>3</v>
      </c>
      <c r="S830" s="9">
        <v>2</v>
      </c>
      <c r="T830" s="19" t="str">
        <f>IF(U830&lt;&gt;"", U830+0&amp;","&amp;V830+0,"")</f>
        <v>1,3</v>
      </c>
      <c r="U830" s="24">
        <v>1</v>
      </c>
      <c r="V830" s="24">
        <v>3</v>
      </c>
      <c r="W830" s="9">
        <v>2</v>
      </c>
      <c r="X830" s="9">
        <v>11</v>
      </c>
      <c r="Y830" s="19" t="str">
        <f t="shared" si="490"/>
        <v>0,0</v>
      </c>
      <c r="Z830" s="41"/>
      <c r="AA830" s="19" t="str">
        <f>IF($A830&lt;&gt;"",IF($AB830&lt;&gt;"",$AB830,"80,120"),"")</f>
        <v>80,120</v>
      </c>
      <c r="AB830" s="41"/>
      <c r="AC830" s="9">
        <v>2</v>
      </c>
      <c r="AD830" s="9">
        <v>0.5</v>
      </c>
      <c r="AE830" s="9">
        <v>0.3</v>
      </c>
      <c r="AF830" s="9">
        <v>2</v>
      </c>
      <c r="AG830" s="9">
        <v>20</v>
      </c>
    </row>
    <row r="831" spans="1:41" x14ac:dyDescent="0.2">
      <c r="J831" s="15" t="str" cm="1">
        <f t="array" ref="J831">_xlfn.LET(_xlpm.v6p,ABS(ATAN2(O831,P831))*6/PI(),
_xlpm.output,_xlfn.IFS(_xlpm.v6p&lt;1,"正前",_xlpm.v6p&gt;5,"正后",AND(_xlpm.v6p&lt;5,_xlpm.v6p&gt;2,P831&lt;-1),"脚底",_xlpm.v6p&gt;4,"后上",_xlpm.v6p&lt;2,"前上",TRUE,"顶部"),
IFERROR(_xlpm.output,""))</f>
        <v/>
      </c>
      <c r="Q831" s="19" t="str">
        <f t="shared" si="489"/>
        <v/>
      </c>
    </row>
    <row r="833" spans="1:41" s="40" customFormat="1" x14ac:dyDescent="0.2">
      <c r="A833" s="43"/>
      <c r="B833" s="43"/>
      <c r="C833" s="44" t="str">
        <f t="shared" ref="C833" si="494">_xlfn.TEXTJOIN(",",1,A833:B833)</f>
        <v/>
      </c>
      <c r="D833" s="45"/>
      <c r="E833" s="45"/>
      <c r="F833" s="45"/>
      <c r="G833" s="45"/>
      <c r="H833" s="43" t="s">
        <v>248</v>
      </c>
      <c r="I833" s="46"/>
      <c r="J833" s="46"/>
      <c r="O833" s="47"/>
      <c r="P833" s="47"/>
      <c r="R833" s="47"/>
      <c r="S833" s="40" t="s">
        <v>62</v>
      </c>
      <c r="U833" s="47"/>
      <c r="V833" s="47"/>
      <c r="Z833" s="47"/>
      <c r="AB833" s="47"/>
      <c r="AC833" s="40" t="s">
        <v>62</v>
      </c>
      <c r="AI833" s="75"/>
      <c r="AJ833" s="75">
        <f>SUM(AJ835:AJ847)</f>
        <v>3.9749999999999996</v>
      </c>
      <c r="AK833" s="75">
        <f>SUM(AK835:AK847)</f>
        <v>1</v>
      </c>
      <c r="AL833" s="75">
        <f>SUM(AL835:AL847)</f>
        <v>170.92500000000001</v>
      </c>
      <c r="AM833" s="75">
        <f>SUM(AM835:AM847)</f>
        <v>43</v>
      </c>
      <c r="AN833" s="75"/>
      <c r="AO833" s="75">
        <f>SUM(AO835:AO850)</f>
        <v>344</v>
      </c>
    </row>
    <row r="835" spans="1:41" x14ac:dyDescent="0.2">
      <c r="A835" s="9">
        <v>420822</v>
      </c>
      <c r="B835" s="9" t="str" cm="1">
        <f t="array" ref="B835">D835&amp;_xlfn.TEXTJOIN("",1,TEXT(E835:G835,"00"))</f>
        <v>1000001</v>
      </c>
      <c r="C835" s="30" t="str">
        <f t="shared" ref="C835" si="495">_xlfn.TEXTJOIN(",",1,A835:B835)</f>
        <v>420822,1000001</v>
      </c>
      <c r="D835" s="26">
        <v>1</v>
      </c>
      <c r="E835" s="26">
        <v>0</v>
      </c>
      <c r="F835" s="26">
        <f>W835</f>
        <v>0</v>
      </c>
      <c r="G835" s="26">
        <v>1</v>
      </c>
      <c r="H835" s="9">
        <v>201809</v>
      </c>
      <c r="I835" s="15" t="str">
        <f>IFERROR(VLOOKUP(H835,monsters[#All],4,0),"")</f>
        <v>印花水母</v>
      </c>
      <c r="J835" s="15" t="str" cm="1">
        <f t="array" ref="J835">_xlfn.LET(_xlpm.v6p,ABS(ATAN2(O835,P835))*6/PI(),
_xlpm.output,_xlfn.IFS(_xlpm.v6p&lt;1,"正前",_xlpm.v6p&gt;5,"正后",AND(_xlpm.v6p&lt;5,_xlpm.v6p&gt;2,P835&lt;-1),"脚底",_xlpm.v6p&gt;4,"后上",_xlpm.v6p&lt;2,"前上",TRUE,"顶部"),
IFERROR(_xlpm.output,""))</f>
        <v>正前</v>
      </c>
      <c r="K835" s="12"/>
      <c r="L835" s="12" t="s">
        <v>63</v>
      </c>
      <c r="M835" s="12" t="s">
        <v>63</v>
      </c>
      <c r="N835" s="19" t="str">
        <f>O835+0&amp;","&amp;P835+0</f>
        <v>16,6</v>
      </c>
      <c r="O835" s="24">
        <v>16</v>
      </c>
      <c r="P835" s="24">
        <v>6</v>
      </c>
      <c r="Q835" s="19">
        <f t="shared" ref="Q835:Q851" si="496">_xlfn.LET(_xlpm._default,1,
_xlpm._custom,R835,
IF($A835&lt;&gt;"",IF(_xlpm._custom&lt;&gt;"",_xlpm._custom,_xlpm._default),""))</f>
        <v>1</v>
      </c>
      <c r="S835" s="9">
        <v>4</v>
      </c>
      <c r="T835" s="19" t="str">
        <f>IF(U835&lt;&gt;"", U835+0&amp;","&amp;V835+0,"")</f>
        <v>1,1</v>
      </c>
      <c r="U835" s="24">
        <v>1</v>
      </c>
      <c r="V835" s="24">
        <v>1</v>
      </c>
      <c r="W835" s="9">
        <v>0</v>
      </c>
      <c r="X835" s="9">
        <v>11</v>
      </c>
      <c r="Y835" s="19" t="str">
        <f t="shared" ref="Y835:Y850" si="497">IF($A835&lt;&gt;"",IF($Z835&lt;&gt;"",$Z835,"0,0"),"")</f>
        <v>65,70</v>
      </c>
      <c r="Z835" s="24" t="s">
        <v>130</v>
      </c>
      <c r="AA835" s="19" t="str">
        <f>IF($A835&lt;&gt;"",IF($AB835&lt;&gt;"",$AB835,"80,120"),"")</f>
        <v>80,120</v>
      </c>
      <c r="AB835" s="41"/>
      <c r="AC835" s="9">
        <v>0.7</v>
      </c>
      <c r="AD835" s="16"/>
      <c r="AE835" s="9">
        <v>0.3</v>
      </c>
      <c r="AF835" s="9">
        <v>3</v>
      </c>
      <c r="AG835" s="9">
        <v>100</v>
      </c>
      <c r="AI835" s="69" cm="1">
        <f t="array" ref="AI835">tuple_avg(T835)/tuple_avg(AA835)</f>
        <v>0.01</v>
      </c>
      <c r="AJ835" s="69">
        <f>AC835*AI835*'-配置辅助'!$I$8</f>
        <v>0.7</v>
      </c>
      <c r="AK835" s="69">
        <f>AD835*AI835*'-配置辅助'!$I$10</f>
        <v>0</v>
      </c>
      <c r="AL835" s="69">
        <f>AJ835*_xlfn.XLOOKUP($H835,monsters[怪物id],monsters[HP],-1)</f>
        <v>30.099999999999998</v>
      </c>
      <c r="AM835" s="69">
        <f>AK835*_xlfn.XLOOKUP($H835,monsters[怪物id],monsters[HP],-1)</f>
        <v>0</v>
      </c>
    </row>
    <row r="836" spans="1:41" x14ac:dyDescent="0.2">
      <c r="A836" s="9">
        <v>420822</v>
      </c>
      <c r="B836" s="9" t="str" cm="1">
        <f t="array" ref="B836">D836&amp;_xlfn.TEXTJOIN("",1,TEXT(E836:G836,"00"))</f>
        <v>1000002</v>
      </c>
      <c r="C836" s="30" t="str">
        <f t="shared" ref="C836" si="498">_xlfn.TEXTJOIN(",",1,A836:B836)</f>
        <v>420822,1000002</v>
      </c>
      <c r="D836" s="26">
        <v>1</v>
      </c>
      <c r="E836" s="26">
        <v>0</v>
      </c>
      <c r="F836" s="26">
        <f>W836</f>
        <v>0</v>
      </c>
      <c r="G836" s="26">
        <v>2</v>
      </c>
      <c r="H836" s="9">
        <v>201809</v>
      </c>
      <c r="I836" s="15" t="str">
        <f>IFERROR(VLOOKUP(H836,monsters[#All],4,0),"")</f>
        <v>印花水母</v>
      </c>
      <c r="J836" s="15" t="str" cm="1">
        <f t="array" ref="J836">_xlfn.LET(_xlpm.v6p,ABS(ATAN2(O836,P836))*6/PI(),
_xlpm.output,_xlfn.IFS(_xlpm.v6p&lt;1,"正前",_xlpm.v6p&gt;5,"正后",AND(_xlpm.v6p&lt;5,_xlpm.v6p&gt;2,P836&lt;-1),"脚底",_xlpm.v6p&gt;4,"后上",_xlpm.v6p&lt;2,"前上",TRUE,"顶部"),
IFERROR(_xlpm.output,""))</f>
        <v>正前</v>
      </c>
      <c r="K836" s="12"/>
      <c r="L836" s="12" t="s">
        <v>63</v>
      </c>
      <c r="M836" s="12" t="s">
        <v>63</v>
      </c>
      <c r="N836" s="19" t="str">
        <f>O836+0&amp;","&amp;P836+0</f>
        <v>16,6</v>
      </c>
      <c r="O836" s="24">
        <v>16</v>
      </c>
      <c r="P836" s="24">
        <v>6</v>
      </c>
      <c r="Q836" s="19">
        <f t="shared" ref="Q836" si="499">_xlfn.LET(_xlpm._default,1,
_xlpm._custom,R836,
IF($A836&lt;&gt;"",IF(_xlpm._custom&lt;&gt;"",_xlpm._custom,_xlpm._default),""))</f>
        <v>2</v>
      </c>
      <c r="R836" s="24">
        <v>2</v>
      </c>
      <c r="S836" s="9">
        <v>6</v>
      </c>
      <c r="T836" s="19" t="str">
        <f>IF(U836&lt;&gt;"", U836+0&amp;","&amp;V836+0,"")</f>
        <v>1,2</v>
      </c>
      <c r="U836" s="24">
        <v>1</v>
      </c>
      <c r="V836" s="24">
        <v>2</v>
      </c>
      <c r="W836" s="9">
        <v>0</v>
      </c>
      <c r="X836" s="9">
        <v>11</v>
      </c>
      <c r="Y836" s="19" t="str">
        <f t="shared" si="497"/>
        <v>0,0</v>
      </c>
      <c r="AA836" s="19" t="str">
        <f>IF($A836&lt;&gt;"",IF($AB836&lt;&gt;"",$AB836,"80,120"),"")</f>
        <v>80,120</v>
      </c>
      <c r="AB836" s="41"/>
      <c r="AC836" s="9">
        <v>0.85</v>
      </c>
      <c r="AD836" s="16"/>
      <c r="AE836" s="9">
        <v>0.3</v>
      </c>
      <c r="AF836" s="9">
        <v>3</v>
      </c>
      <c r="AG836" s="9">
        <v>100</v>
      </c>
      <c r="AI836" s="69" cm="1">
        <f t="array" ref="AI836">tuple_avg(T836)/tuple_avg(AA836)</f>
        <v>1.4999999999999999E-2</v>
      </c>
      <c r="AJ836" s="69">
        <f>AC836*AI836*'-配置辅助'!$I$8</f>
        <v>1.2749999999999999</v>
      </c>
      <c r="AK836" s="69">
        <f>AD836*AI836*'-配置辅助'!$I$10</f>
        <v>0</v>
      </c>
      <c r="AL836" s="69">
        <f>AJ836*_xlfn.XLOOKUP($H836,monsters[怪物id],monsters[HP],-1)</f>
        <v>54.824999999999996</v>
      </c>
      <c r="AM836" s="69">
        <f>AK836*_xlfn.XLOOKUP($H836,monsters[怪物id],monsters[HP],-1)</f>
        <v>0</v>
      </c>
    </row>
    <row r="837" spans="1:41" x14ac:dyDescent="0.2">
      <c r="A837" s="9">
        <v>420822</v>
      </c>
      <c r="B837" s="9" t="str" cm="1">
        <f t="array" ref="B837">D837&amp;_xlfn.TEXTJOIN("",1,TEXT(E837:G837,"00"))</f>
        <v>1000003</v>
      </c>
      <c r="C837" s="30" t="str">
        <f t="shared" ref="C837" si="500">_xlfn.TEXTJOIN(",",1,A837:B837)</f>
        <v>420822,1000003</v>
      </c>
      <c r="D837" s="26">
        <v>1</v>
      </c>
      <c r="E837" s="26">
        <v>0</v>
      </c>
      <c r="F837" s="26">
        <f>W837</f>
        <v>0</v>
      </c>
      <c r="G837" s="26">
        <v>3</v>
      </c>
      <c r="H837" s="9">
        <v>201809</v>
      </c>
      <c r="I837" s="15" t="str">
        <f>IFERROR(VLOOKUP(H837,monsters[#All],4,0),"")</f>
        <v>印花水母</v>
      </c>
      <c r="J837" s="15" t="str" cm="1">
        <f t="array" ref="J837">_xlfn.LET(_xlpm.v6p,ABS(ATAN2(O837,P837))*6/PI(),
_xlpm.output,_xlfn.IFS(_xlpm.v6p&lt;1,"正前",_xlpm.v6p&gt;5,"正后",AND(_xlpm.v6p&lt;5,_xlpm.v6p&gt;2,P837&lt;-1),"脚底",_xlpm.v6p&gt;4,"后上",_xlpm.v6p&lt;2,"前上",TRUE,"顶部"),
IFERROR(_xlpm.output,""))</f>
        <v>正前</v>
      </c>
      <c r="K837" s="12"/>
      <c r="L837" s="12" t="s">
        <v>63</v>
      </c>
      <c r="M837" s="12" t="s">
        <v>63</v>
      </c>
      <c r="N837" s="19" t="str">
        <f>O837+0&amp;","&amp;P837+0</f>
        <v>16,6</v>
      </c>
      <c r="O837" s="24">
        <v>16</v>
      </c>
      <c r="P837" s="24">
        <v>6</v>
      </c>
      <c r="Q837" s="19">
        <f t="shared" ref="Q837" si="501">_xlfn.LET(_xlpm._default,1,
_xlpm._custom,R837,
IF($A837&lt;&gt;"",IF(_xlpm._custom&lt;&gt;"",_xlpm._custom,_xlpm._default),""))</f>
        <v>2</v>
      </c>
      <c r="R837" s="24">
        <v>2</v>
      </c>
      <c r="S837" s="9">
        <v>10</v>
      </c>
      <c r="T837" s="19" t="str">
        <f>IF(U837&lt;&gt;"", U837+0&amp;","&amp;V837+0,"")</f>
        <v>2,2</v>
      </c>
      <c r="U837" s="24">
        <v>2</v>
      </c>
      <c r="V837" s="24">
        <v>2</v>
      </c>
      <c r="W837" s="9">
        <v>0</v>
      </c>
      <c r="X837" s="9">
        <v>11</v>
      </c>
      <c r="Y837" s="19" t="str">
        <f t="shared" si="497"/>
        <v>-105,-100</v>
      </c>
      <c r="Z837" s="42" t="s">
        <v>133</v>
      </c>
      <c r="AA837" s="19" t="str">
        <f>IF($A837&lt;&gt;"",IF($AB837&lt;&gt;"",$AB837,"80,120"),"")</f>
        <v>80,120</v>
      </c>
      <c r="AB837" s="41"/>
      <c r="AC837" s="9">
        <v>1</v>
      </c>
      <c r="AD837" s="16"/>
      <c r="AE837" s="9">
        <v>0.3</v>
      </c>
      <c r="AF837" s="9">
        <v>3</v>
      </c>
      <c r="AG837" s="9">
        <v>100</v>
      </c>
      <c r="AI837" s="69" cm="1">
        <f t="array" ref="AI837">tuple_avg(T837)/tuple_avg(AA837)</f>
        <v>0.02</v>
      </c>
      <c r="AJ837" s="69">
        <f>AC837*AI837*'-配置辅助'!$I$8</f>
        <v>2</v>
      </c>
      <c r="AK837" s="69">
        <f>AD837*AI837*'-配置辅助'!$I$10</f>
        <v>0</v>
      </c>
      <c r="AL837" s="69">
        <f>AJ837*_xlfn.XLOOKUP($H837,monsters[怪物id],monsters[HP],-1)</f>
        <v>86</v>
      </c>
      <c r="AM837" s="69">
        <f>AK837*_xlfn.XLOOKUP($H837,monsters[怪物id],monsters[HP],-1)</f>
        <v>0</v>
      </c>
    </row>
    <row r="839" spans="1:41" x14ac:dyDescent="0.2">
      <c r="A839" s="9">
        <v>420822</v>
      </c>
      <c r="B839" s="9" t="str" cm="1">
        <f t="array" ref="B839">D839&amp;_xlfn.TEXTJOIN("",1,TEXT(E839:G839,"00"))</f>
        <v>1010001</v>
      </c>
      <c r="C839" s="30" t="str">
        <f t="shared" ref="C839:C841" si="502">_xlfn.TEXTJOIN(",",1,A839:B839)</f>
        <v>420822,1010001</v>
      </c>
      <c r="D839" s="26">
        <v>1</v>
      </c>
      <c r="E839" s="26">
        <v>1</v>
      </c>
      <c r="F839" s="26">
        <f>W839</f>
        <v>0</v>
      </c>
      <c r="G839" s="26">
        <v>1</v>
      </c>
      <c r="H839" s="9">
        <v>201809</v>
      </c>
      <c r="I839" s="15" t="str">
        <f>IFERROR(VLOOKUP(H839,monsters[#All],4,0),"")</f>
        <v>印花水母</v>
      </c>
      <c r="J839" s="15" t="str" cm="1">
        <f t="array" ref="J839">_xlfn.LET(_xlpm.v6p,ABS(ATAN2(O839,P839))*6/PI(),
_xlpm.output,_xlfn.IFS(_xlpm.v6p&lt;1,"正前",_xlpm.v6p&gt;5,"正后",AND(_xlpm.v6p&lt;5,_xlpm.v6p&gt;2,P839&lt;-1),"脚底",_xlpm.v6p&gt;4,"后上",_xlpm.v6p&lt;2,"前上",TRUE,"顶部"),
IFERROR(_xlpm.output,""))</f>
        <v>顶部</v>
      </c>
      <c r="K839" s="12"/>
      <c r="L839" s="12" t="s">
        <v>63</v>
      </c>
      <c r="M839" s="12" t="s">
        <v>63</v>
      </c>
      <c r="N839" s="19" t="str">
        <f>O839+0&amp;","&amp;P839+0</f>
        <v>7,15</v>
      </c>
      <c r="O839" s="24">
        <v>7</v>
      </c>
      <c r="P839" s="24">
        <v>15</v>
      </c>
      <c r="Q839" s="19">
        <f t="shared" ref="Q839:Q841" si="503">_xlfn.LET(_xlpm._default,1,
_xlpm._custom,R839,
IF($A839&lt;&gt;"",IF(_xlpm._custom&lt;&gt;"",_xlpm._custom,_xlpm._default),""))</f>
        <v>1</v>
      </c>
      <c r="S839" s="9">
        <v>3</v>
      </c>
      <c r="T839" s="19" t="str">
        <f>IF(U839&lt;&gt;"", U839+0&amp;","&amp;V839+0,"")</f>
        <v>3,3</v>
      </c>
      <c r="U839" s="24">
        <v>3</v>
      </c>
      <c r="V839" s="24">
        <v>3</v>
      </c>
      <c r="W839" s="9">
        <v>0</v>
      </c>
      <c r="X839" s="9">
        <v>11</v>
      </c>
      <c r="Y839" s="19" t="str">
        <f t="shared" si="497"/>
        <v>8710,8711</v>
      </c>
      <c r="Z839" s="42" t="s">
        <v>306</v>
      </c>
      <c r="AA839" s="19" t="str">
        <f>IF($A839&lt;&gt;"",IF($AB839&lt;&gt;"",$AB839,"80,120"),"")</f>
        <v>9000,9000</v>
      </c>
      <c r="AB839" s="41" t="s">
        <v>304</v>
      </c>
      <c r="AC839" s="9">
        <v>1</v>
      </c>
      <c r="AD839" s="16"/>
      <c r="AE839" s="9">
        <v>0.3</v>
      </c>
      <c r="AF839" s="9">
        <v>3</v>
      </c>
      <c r="AG839" s="9">
        <v>100</v>
      </c>
      <c r="AN839" s="69">
        <f>S839</f>
        <v>3</v>
      </c>
      <c r="AO839" s="69">
        <f>AN839*_xlfn.XLOOKUP($H839,monsters[怪物id],monsters[HP],-1)*'-配置辅助'!$I$8/'-配置辅助'!$I$7</f>
        <v>43</v>
      </c>
    </row>
    <row r="840" spans="1:41" x14ac:dyDescent="0.2">
      <c r="A840" s="9">
        <v>420822</v>
      </c>
      <c r="B840" s="9" t="str" cm="1">
        <f t="array" ref="B840">D840&amp;_xlfn.TEXTJOIN("",1,TEXT(E840:G840,"00"))</f>
        <v>1010002</v>
      </c>
      <c r="C840" s="30" t="str">
        <f t="shared" si="502"/>
        <v>420822,1010002</v>
      </c>
      <c r="D840" s="26">
        <v>1</v>
      </c>
      <c r="E840" s="26">
        <v>1</v>
      </c>
      <c r="F840" s="26">
        <f>W840</f>
        <v>0</v>
      </c>
      <c r="G840" s="26">
        <v>2</v>
      </c>
      <c r="H840" s="9">
        <v>201809</v>
      </c>
      <c r="I840" s="15" t="str">
        <f>IFERROR(VLOOKUP(H840,monsters[#All],4,0),"")</f>
        <v>印花水母</v>
      </c>
      <c r="J840" s="15" t="str" cm="1">
        <f t="array" ref="J840">_xlfn.LET(_xlpm.v6p,ABS(ATAN2(O840,P840))*6/PI(),
_xlpm.output,_xlfn.IFS(_xlpm.v6p&lt;1,"正前",_xlpm.v6p&gt;5,"正后",AND(_xlpm.v6p&lt;5,_xlpm.v6p&gt;2,P840&lt;-1),"脚底",_xlpm.v6p&gt;4,"后上",_xlpm.v6p&lt;2,"前上",TRUE,"顶部"),
IFERROR(_xlpm.output,""))</f>
        <v>顶部</v>
      </c>
      <c r="K840" s="12"/>
      <c r="L840" s="12" t="s">
        <v>63</v>
      </c>
      <c r="M840" s="12" t="s">
        <v>63</v>
      </c>
      <c r="N840" s="19" t="str">
        <f>O840+0&amp;","&amp;P840+0</f>
        <v>7,15</v>
      </c>
      <c r="O840" s="24">
        <v>7</v>
      </c>
      <c r="P840" s="24">
        <v>15</v>
      </c>
      <c r="Q840" s="19">
        <f t="shared" si="503"/>
        <v>2</v>
      </c>
      <c r="R840" s="24">
        <v>2</v>
      </c>
      <c r="S840" s="9">
        <v>4</v>
      </c>
      <c r="T840" s="19" t="str">
        <f>IF(U840&lt;&gt;"", U840+0&amp;","&amp;V840+0,"")</f>
        <v>4,4</v>
      </c>
      <c r="U840" s="24">
        <v>4</v>
      </c>
      <c r="V840" s="24">
        <v>4</v>
      </c>
      <c r="W840" s="9">
        <v>0</v>
      </c>
      <c r="X840" s="9">
        <v>11</v>
      </c>
      <c r="Y840" s="19" t="str">
        <f t="shared" si="497"/>
        <v>8705,8706</v>
      </c>
      <c r="Z840" s="42" t="s">
        <v>307</v>
      </c>
      <c r="AA840" s="19" t="str">
        <f>IF($A840&lt;&gt;"",IF($AB840&lt;&gt;"",$AB840,"80,120"),"")</f>
        <v>9000,9000</v>
      </c>
      <c r="AB840" s="41" t="s">
        <v>304</v>
      </c>
      <c r="AC840" s="9">
        <v>1</v>
      </c>
      <c r="AD840" s="16"/>
      <c r="AE840" s="9">
        <v>0.3</v>
      </c>
      <c r="AF840" s="9">
        <v>3</v>
      </c>
      <c r="AG840" s="9">
        <v>100</v>
      </c>
      <c r="AN840" s="69">
        <f>S840</f>
        <v>4</v>
      </c>
      <c r="AO840" s="69">
        <f>AN840*_xlfn.XLOOKUP($H840,monsters[怪物id],monsters[HP],-1)*'-配置辅助'!$I$8/'-配置辅助'!$I$7</f>
        <v>57.333333333333336</v>
      </c>
    </row>
    <row r="841" spans="1:41" x14ac:dyDescent="0.2">
      <c r="A841" s="9">
        <v>420822</v>
      </c>
      <c r="B841" s="9" t="str" cm="1">
        <f t="array" ref="B841">D841&amp;_xlfn.TEXTJOIN("",1,TEXT(E841:G841,"00"))</f>
        <v>1010003</v>
      </c>
      <c r="C841" s="30" t="str">
        <f t="shared" si="502"/>
        <v>420822,1010003</v>
      </c>
      <c r="D841" s="26">
        <v>1</v>
      </c>
      <c r="E841" s="26">
        <v>1</v>
      </c>
      <c r="F841" s="26">
        <f>W841</f>
        <v>0</v>
      </c>
      <c r="G841" s="26">
        <v>3</v>
      </c>
      <c r="H841" s="9">
        <v>201809</v>
      </c>
      <c r="I841" s="15" t="str">
        <f>IFERROR(VLOOKUP(H841,monsters[#All],4,0),"")</f>
        <v>印花水母</v>
      </c>
      <c r="J841" s="15" t="str" cm="1">
        <f t="array" ref="J841">_xlfn.LET(_xlpm.v6p,ABS(ATAN2(O841,P841))*6/PI(),
_xlpm.output,_xlfn.IFS(_xlpm.v6p&lt;1,"正前",_xlpm.v6p&gt;5,"正后",AND(_xlpm.v6p&lt;5,_xlpm.v6p&gt;2,P841&lt;-1),"脚底",_xlpm.v6p&gt;4,"后上",_xlpm.v6p&lt;2,"前上",TRUE,"顶部"),
IFERROR(_xlpm.output,""))</f>
        <v>顶部</v>
      </c>
      <c r="K841" s="12"/>
      <c r="L841" s="12" t="s">
        <v>63</v>
      </c>
      <c r="M841" s="12" t="s">
        <v>63</v>
      </c>
      <c r="N841" s="19" t="str">
        <f>O841+0&amp;","&amp;P841+0</f>
        <v>7,15</v>
      </c>
      <c r="O841" s="24">
        <v>7</v>
      </c>
      <c r="P841" s="24">
        <v>15</v>
      </c>
      <c r="Q841" s="19">
        <f t="shared" si="503"/>
        <v>3</v>
      </c>
      <c r="R841" s="24">
        <v>3</v>
      </c>
      <c r="S841" s="9">
        <v>5</v>
      </c>
      <c r="T841" s="19" t="str">
        <f>IF(U841&lt;&gt;"", U841+0&amp;","&amp;V841+0,"")</f>
        <v>5,5</v>
      </c>
      <c r="U841" s="24">
        <v>5</v>
      </c>
      <c r="V841" s="24">
        <v>5</v>
      </c>
      <c r="W841" s="9">
        <v>0</v>
      </c>
      <c r="X841" s="9">
        <v>11</v>
      </c>
      <c r="Y841" s="19" t="str">
        <f t="shared" si="497"/>
        <v>8700,8701</v>
      </c>
      <c r="Z841" s="42" t="s">
        <v>305</v>
      </c>
      <c r="AA841" s="19" t="str">
        <f>IF($A841&lt;&gt;"",IF($AB841&lt;&gt;"",$AB841,"80,120"),"")</f>
        <v>9000,9000</v>
      </c>
      <c r="AB841" s="41" t="s">
        <v>304</v>
      </c>
      <c r="AC841" s="9">
        <v>1</v>
      </c>
      <c r="AD841" s="16"/>
      <c r="AE841" s="9">
        <v>0.3</v>
      </c>
      <c r="AF841" s="9">
        <v>3</v>
      </c>
      <c r="AG841" s="9">
        <v>100</v>
      </c>
      <c r="AN841" s="69">
        <f>S841</f>
        <v>5</v>
      </c>
      <c r="AO841" s="69">
        <f>AN841*_xlfn.XLOOKUP($H841,monsters[怪物id],monsters[HP],-1)*'-配置辅助'!$I$8/'-配置辅助'!$I$7</f>
        <v>71.666666666666671</v>
      </c>
    </row>
    <row r="843" spans="1:41" x14ac:dyDescent="0.2">
      <c r="A843" s="9">
        <v>420822</v>
      </c>
      <c r="B843" s="9" t="str" cm="1">
        <f t="array" ref="B843">D843&amp;_xlfn.TEXTJOIN("",1,TEXT(E843:G843,"00"))</f>
        <v>1020001</v>
      </c>
      <c r="C843" s="30" t="str">
        <f t="shared" ref="C843:C845" si="504">_xlfn.TEXTJOIN(",",1,A843:B843)</f>
        <v>420822,1020001</v>
      </c>
      <c r="D843" s="26">
        <v>1</v>
      </c>
      <c r="E843" s="26">
        <v>2</v>
      </c>
      <c r="F843" s="26">
        <f>W843</f>
        <v>0</v>
      </c>
      <c r="G843" s="26">
        <v>1</v>
      </c>
      <c r="H843" s="9">
        <v>201809</v>
      </c>
      <c r="I843" s="15" t="str">
        <f>IFERROR(VLOOKUP(H843,monsters[#All],4,0),"")</f>
        <v>印花水母</v>
      </c>
      <c r="J843" s="15" t="str" cm="1">
        <f t="array" ref="J843">_xlfn.LET(_xlpm.v6p,ABS(ATAN2(O843,P843))*6/PI(),
_xlpm.output,_xlfn.IFS(_xlpm.v6p&lt;1,"正前",_xlpm.v6p&gt;5,"正后",AND(_xlpm.v6p&lt;5,_xlpm.v6p&gt;2,P843&lt;-1),"脚底",_xlpm.v6p&gt;4,"后上",_xlpm.v6p&lt;2,"前上",TRUE,"顶部"),
IFERROR(_xlpm.output,""))</f>
        <v>顶部</v>
      </c>
      <c r="K843" s="12"/>
      <c r="L843" s="12" t="s">
        <v>63</v>
      </c>
      <c r="M843" s="12" t="s">
        <v>63</v>
      </c>
      <c r="N843" s="19" t="str">
        <f>O843+0&amp;","&amp;P843+0</f>
        <v>-2,15</v>
      </c>
      <c r="O843" s="24">
        <v>-2</v>
      </c>
      <c r="P843" s="24">
        <v>15</v>
      </c>
      <c r="Q843" s="19">
        <f t="shared" ref="Q843:Q845" si="505">_xlfn.LET(_xlpm._default,1,
_xlpm._custom,R843,
IF($A843&lt;&gt;"",IF(_xlpm._custom&lt;&gt;"",_xlpm._custom,_xlpm._default),""))</f>
        <v>1</v>
      </c>
      <c r="S843" s="9">
        <v>3</v>
      </c>
      <c r="T843" s="19" t="str">
        <f>IF(U843&lt;&gt;"", U843+0&amp;","&amp;V843+0,"")</f>
        <v>3,3</v>
      </c>
      <c r="U843" s="24">
        <v>3</v>
      </c>
      <c r="V843" s="24">
        <v>3</v>
      </c>
      <c r="W843" s="9">
        <v>0</v>
      </c>
      <c r="X843" s="9">
        <v>11</v>
      </c>
      <c r="Y843" s="19" t="str">
        <f t="shared" si="497"/>
        <v>8710,8711</v>
      </c>
      <c r="Z843" s="42" t="s">
        <v>306</v>
      </c>
      <c r="AA843" s="19" t="str">
        <f>IF($A843&lt;&gt;"",IF($AB843&lt;&gt;"",$AB843,"80,120"),"")</f>
        <v>9000,9000</v>
      </c>
      <c r="AB843" s="41" t="s">
        <v>304</v>
      </c>
      <c r="AC843" s="9">
        <v>1</v>
      </c>
      <c r="AD843" s="16"/>
      <c r="AE843" s="9">
        <v>0.3</v>
      </c>
      <c r="AF843" s="9">
        <v>3</v>
      </c>
      <c r="AG843" s="9">
        <v>100</v>
      </c>
      <c r="AN843" s="69">
        <f>S843</f>
        <v>3</v>
      </c>
      <c r="AO843" s="69">
        <f>AN843*_xlfn.XLOOKUP($H843,monsters[怪物id],monsters[HP],-1)*'-配置辅助'!$I$8/'-配置辅助'!$I$7</f>
        <v>43</v>
      </c>
    </row>
    <row r="844" spans="1:41" x14ac:dyDescent="0.2">
      <c r="A844" s="9">
        <v>420822</v>
      </c>
      <c r="B844" s="9" t="str" cm="1">
        <f t="array" ref="B844">D844&amp;_xlfn.TEXTJOIN("",1,TEXT(E844:G844,"00"))</f>
        <v>1020002</v>
      </c>
      <c r="C844" s="30" t="str">
        <f t="shared" si="504"/>
        <v>420822,1020002</v>
      </c>
      <c r="D844" s="26">
        <v>1</v>
      </c>
      <c r="E844" s="26">
        <v>2</v>
      </c>
      <c r="F844" s="26">
        <f>W844</f>
        <v>0</v>
      </c>
      <c r="G844" s="26">
        <v>2</v>
      </c>
      <c r="H844" s="9">
        <v>201809</v>
      </c>
      <c r="I844" s="15" t="str">
        <f>IFERROR(VLOOKUP(H844,monsters[#All],4,0),"")</f>
        <v>印花水母</v>
      </c>
      <c r="J844" s="15" t="str" cm="1">
        <f t="array" ref="J844">_xlfn.LET(_xlpm.v6p,ABS(ATAN2(O844,P844))*6/PI(),
_xlpm.output,_xlfn.IFS(_xlpm.v6p&lt;1,"正前",_xlpm.v6p&gt;5,"正后",AND(_xlpm.v6p&lt;5,_xlpm.v6p&gt;2,P844&lt;-1),"脚底",_xlpm.v6p&gt;4,"后上",_xlpm.v6p&lt;2,"前上",TRUE,"顶部"),
IFERROR(_xlpm.output,""))</f>
        <v>顶部</v>
      </c>
      <c r="K844" s="12"/>
      <c r="L844" s="12" t="s">
        <v>63</v>
      </c>
      <c r="M844" s="12" t="s">
        <v>63</v>
      </c>
      <c r="N844" s="19" t="str">
        <f>O844+0&amp;","&amp;P844+0</f>
        <v>-2,15</v>
      </c>
      <c r="O844" s="24">
        <v>-2</v>
      </c>
      <c r="P844" s="24">
        <v>15</v>
      </c>
      <c r="Q844" s="19">
        <f t="shared" si="505"/>
        <v>2</v>
      </c>
      <c r="R844" s="24">
        <v>2</v>
      </c>
      <c r="S844" s="9">
        <v>4</v>
      </c>
      <c r="T844" s="19" t="str">
        <f>IF(U844&lt;&gt;"", U844+0&amp;","&amp;V844+0,"")</f>
        <v>4,4</v>
      </c>
      <c r="U844" s="24">
        <v>4</v>
      </c>
      <c r="V844" s="24">
        <v>4</v>
      </c>
      <c r="W844" s="9">
        <v>0</v>
      </c>
      <c r="X844" s="9">
        <v>11</v>
      </c>
      <c r="Y844" s="19" t="str">
        <f t="shared" si="497"/>
        <v>8705,8706</v>
      </c>
      <c r="Z844" s="42" t="s">
        <v>307</v>
      </c>
      <c r="AA844" s="19" t="str">
        <f>IF($A844&lt;&gt;"",IF($AB844&lt;&gt;"",$AB844,"80,120"),"")</f>
        <v>9000,9000</v>
      </c>
      <c r="AB844" s="41" t="s">
        <v>304</v>
      </c>
      <c r="AC844" s="9">
        <v>1</v>
      </c>
      <c r="AD844" s="16"/>
      <c r="AE844" s="9">
        <v>0.3</v>
      </c>
      <c r="AF844" s="9">
        <v>3</v>
      </c>
      <c r="AG844" s="9">
        <v>100</v>
      </c>
      <c r="AN844" s="69">
        <f>S844</f>
        <v>4</v>
      </c>
      <c r="AO844" s="69">
        <f>AN844*_xlfn.XLOOKUP($H844,monsters[怪物id],monsters[HP],-1)*'-配置辅助'!$I$8/'-配置辅助'!$I$7</f>
        <v>57.333333333333336</v>
      </c>
    </row>
    <row r="845" spans="1:41" x14ac:dyDescent="0.2">
      <c r="A845" s="9">
        <v>420822</v>
      </c>
      <c r="B845" s="9" t="str" cm="1">
        <f t="array" ref="B845">D845&amp;_xlfn.TEXTJOIN("",1,TEXT(E845:G845,"00"))</f>
        <v>1020003</v>
      </c>
      <c r="C845" s="30" t="str">
        <f t="shared" si="504"/>
        <v>420822,1020003</v>
      </c>
      <c r="D845" s="26">
        <v>1</v>
      </c>
      <c r="E845" s="26">
        <v>2</v>
      </c>
      <c r="F845" s="26">
        <f>W845</f>
        <v>0</v>
      </c>
      <c r="G845" s="26">
        <v>3</v>
      </c>
      <c r="H845" s="9">
        <v>201809</v>
      </c>
      <c r="I845" s="15" t="str">
        <f>IFERROR(VLOOKUP(H845,monsters[#All],4,0),"")</f>
        <v>印花水母</v>
      </c>
      <c r="J845" s="15" t="str" cm="1">
        <f t="array" ref="J845">_xlfn.LET(_xlpm.v6p,ABS(ATAN2(O845,P845))*6/PI(),
_xlpm.output,_xlfn.IFS(_xlpm.v6p&lt;1,"正前",_xlpm.v6p&gt;5,"正后",AND(_xlpm.v6p&lt;5,_xlpm.v6p&gt;2,P845&lt;-1),"脚底",_xlpm.v6p&gt;4,"后上",_xlpm.v6p&lt;2,"前上",TRUE,"顶部"),
IFERROR(_xlpm.output,""))</f>
        <v>顶部</v>
      </c>
      <c r="K845" s="12"/>
      <c r="L845" s="12" t="s">
        <v>63</v>
      </c>
      <c r="M845" s="12" t="s">
        <v>63</v>
      </c>
      <c r="N845" s="19" t="str">
        <f>O845+0&amp;","&amp;P845+0</f>
        <v>-2,15</v>
      </c>
      <c r="O845" s="24">
        <v>-2</v>
      </c>
      <c r="P845" s="24">
        <v>15</v>
      </c>
      <c r="Q845" s="19">
        <f t="shared" si="505"/>
        <v>3</v>
      </c>
      <c r="R845" s="24">
        <v>3</v>
      </c>
      <c r="S845" s="9">
        <v>5</v>
      </c>
      <c r="T845" s="19" t="str">
        <f>IF(U845&lt;&gt;"", U845+0&amp;","&amp;V845+0,"")</f>
        <v>5,5</v>
      </c>
      <c r="U845" s="24">
        <v>5</v>
      </c>
      <c r="V845" s="24">
        <v>5</v>
      </c>
      <c r="W845" s="9">
        <v>0</v>
      </c>
      <c r="X845" s="9">
        <v>11</v>
      </c>
      <c r="Y845" s="19" t="str">
        <f t="shared" si="497"/>
        <v>8700,8701</v>
      </c>
      <c r="Z845" s="42" t="s">
        <v>305</v>
      </c>
      <c r="AA845" s="19" t="str">
        <f>IF($A845&lt;&gt;"",IF($AB845&lt;&gt;"",$AB845,"80,120"),"")</f>
        <v>9000,9000</v>
      </c>
      <c r="AB845" s="41" t="s">
        <v>304</v>
      </c>
      <c r="AC845" s="9">
        <v>1</v>
      </c>
      <c r="AD845" s="16"/>
      <c r="AE845" s="9">
        <v>0.3</v>
      </c>
      <c r="AF845" s="9">
        <v>3</v>
      </c>
      <c r="AG845" s="9">
        <v>100</v>
      </c>
      <c r="AN845" s="69">
        <f>S845</f>
        <v>5</v>
      </c>
      <c r="AO845" s="69">
        <f>AN845*_xlfn.XLOOKUP($H845,monsters[怪物id],monsters[HP],-1)*'-配置辅助'!$I$8/'-配置辅助'!$I$7</f>
        <v>71.666666666666671</v>
      </c>
    </row>
    <row r="846" spans="1:41" x14ac:dyDescent="0.2">
      <c r="AD846" s="19"/>
    </row>
    <row r="847" spans="1:41" x14ac:dyDescent="0.2">
      <c r="A847" s="9">
        <v>420822</v>
      </c>
      <c r="B847" s="9" t="str" cm="1">
        <f t="array" ref="B847">D847&amp;_xlfn.TEXTJOIN("",1,TEXT(E847:G847,"00"))</f>
        <v>1040002</v>
      </c>
      <c r="C847" s="30" t="str">
        <f t="shared" ref="C847" si="506">_xlfn.TEXTJOIN(",",1,A847:B847)</f>
        <v>420822,1040002</v>
      </c>
      <c r="D847" s="26">
        <v>1</v>
      </c>
      <c r="E847" s="26">
        <v>4</v>
      </c>
      <c r="F847" s="26">
        <f>W847</f>
        <v>0</v>
      </c>
      <c r="G847" s="26">
        <v>2</v>
      </c>
      <c r="H847" s="9">
        <v>201809</v>
      </c>
      <c r="I847" s="15" t="str">
        <f>IFERROR(VLOOKUP(H847,monsters[#All],4,0),"")</f>
        <v>印花水母</v>
      </c>
      <c r="J847" s="15" t="str" cm="1">
        <f t="array" ref="J847">_xlfn.LET(_xlpm.v6p,ABS(ATAN2(O847,P847))*6/PI(),
_xlpm.output,_xlfn.IFS(_xlpm.v6p&lt;1,"正前",_xlpm.v6p&gt;5,"正后",AND(_xlpm.v6p&lt;5,_xlpm.v6p&gt;2,P847&lt;-1),"脚底",_xlpm.v6p&gt;4,"后上",_xlpm.v6p&lt;2,"前上",TRUE,"顶部"),
IFERROR(_xlpm.output,""))</f>
        <v>顶部</v>
      </c>
      <c r="K847" s="12"/>
      <c r="L847" s="12" t="s">
        <v>63</v>
      </c>
      <c r="M847" s="12" t="s">
        <v>63</v>
      </c>
      <c r="N847" s="19" t="str">
        <f>O847+0&amp;","&amp;P847+0</f>
        <v>3,15</v>
      </c>
      <c r="O847" s="24">
        <v>3</v>
      </c>
      <c r="P847" s="24">
        <v>15</v>
      </c>
      <c r="Q847" s="19">
        <f t="shared" ref="Q847" si="507">_xlfn.LET(_xlpm._default,1,
_xlpm._custom,R847,
IF($A847&lt;&gt;"",IF(_xlpm._custom&lt;&gt;"",_xlpm._custom,_xlpm._default),""))</f>
        <v>0.5</v>
      </c>
      <c r="R847" s="24">
        <v>0.5</v>
      </c>
      <c r="S847" s="9">
        <v>5</v>
      </c>
      <c r="T847" s="19" t="str">
        <f>IF(U847&lt;&gt;"", U847+0&amp;","&amp;V847+0,"")</f>
        <v>1,1</v>
      </c>
      <c r="U847" s="24">
        <v>1</v>
      </c>
      <c r="V847" s="24">
        <v>1</v>
      </c>
      <c r="W847" s="9">
        <v>0</v>
      </c>
      <c r="X847" s="9">
        <v>11</v>
      </c>
      <c r="Y847" s="19" t="str">
        <f t="shared" si="497"/>
        <v>0,0</v>
      </c>
      <c r="Z847" s="41"/>
      <c r="AA847" s="19" t="str">
        <f>IF($A847&lt;&gt;"",IF($AB847&lt;&gt;"",$AB847,"80,120"),"")</f>
        <v>80,120</v>
      </c>
      <c r="AB847" s="41"/>
      <c r="AC847" s="16"/>
      <c r="AD847" s="9">
        <v>6</v>
      </c>
      <c r="AE847" s="9">
        <v>0.3</v>
      </c>
      <c r="AF847" s="9">
        <v>3</v>
      </c>
      <c r="AG847" s="9">
        <v>100</v>
      </c>
      <c r="AI847" s="69" cm="1">
        <f t="array" ref="AI847">tuple_avg(T847)/tuple_avg(AA847)</f>
        <v>0.01</v>
      </c>
      <c r="AJ847" s="69">
        <f>AC847*AI847*'-配置辅助'!$I$8</f>
        <v>0</v>
      </c>
      <c r="AK847" s="69">
        <f>AD847*AI847*'-配置辅助'!$I$10</f>
        <v>1</v>
      </c>
      <c r="AL847" s="69">
        <f>AJ847*_xlfn.XLOOKUP($H847,monsters[怪物id],monsters[HP],-1)</f>
        <v>0</v>
      </c>
      <c r="AM847" s="69">
        <f>AK847*_xlfn.XLOOKUP($H847,monsters[怪物id],monsters[HP],-1)</f>
        <v>43</v>
      </c>
    </row>
    <row r="848" spans="1:41" x14ac:dyDescent="0.2">
      <c r="J848" s="15" t="str" cm="1">
        <f t="array" ref="J848">_xlfn.LET(_xlpm.v6p,ABS(ATAN2(O848,P848))*6/PI(),
_xlpm.output,_xlfn.IFS(_xlpm.v6p&lt;1,"正前",_xlpm.v6p&gt;5,"正后",AND(_xlpm.v6p&lt;5,_xlpm.v6p&gt;2,P848&lt;-1),"脚底",_xlpm.v6p&gt;4,"后上",_xlpm.v6p&lt;2,"前上",TRUE,"顶部"),
IFERROR(_xlpm.output,""))</f>
        <v/>
      </c>
      <c r="Q848" s="19" t="str">
        <f t="shared" si="496"/>
        <v/>
      </c>
      <c r="Y848" s="19" t="str">
        <f t="shared" si="497"/>
        <v/>
      </c>
    </row>
    <row r="849" spans="1:41" x14ac:dyDescent="0.2">
      <c r="A849" s="9">
        <v>420822</v>
      </c>
      <c r="B849" s="9" t="str" cm="1">
        <f t="array" ref="B849">D849&amp;_xlfn.TEXTJOIN("",1,TEXT(E849:G849,"00"))</f>
        <v>1040100</v>
      </c>
      <c r="C849" s="30" t="str">
        <f t="shared" ref="C849:C850" si="508">_xlfn.TEXTJOIN(",",1,A849:B849)</f>
        <v>420822,1040100</v>
      </c>
      <c r="D849" s="26">
        <v>1</v>
      </c>
      <c r="E849" s="26">
        <v>4</v>
      </c>
      <c r="F849" s="26">
        <v>1</v>
      </c>
      <c r="G849" s="26">
        <v>0</v>
      </c>
      <c r="H849" s="9">
        <v>201809</v>
      </c>
      <c r="I849" s="15" t="str">
        <f>IFERROR(VLOOKUP(H849,monsters[#All],4,0),"")</f>
        <v>印花水母</v>
      </c>
      <c r="J849" s="15" t="str" cm="1">
        <f t="array" ref="J849">_xlfn.LET(_xlpm.v6p,ABS(ATAN2(O849,P849))*6/PI(),
_xlpm.output,_xlfn.IFS(_xlpm.v6p&lt;1,"正前",_xlpm.v6p&gt;5,"正后",AND(_xlpm.v6p&lt;5,_xlpm.v6p&gt;2,P849&lt;-1),"脚底",_xlpm.v6p&gt;4,"后上",_xlpm.v6p&lt;2,"前上",TRUE,"顶部"),
IFERROR(_xlpm.output,""))</f>
        <v>正前</v>
      </c>
      <c r="K849" s="12"/>
      <c r="L849" s="12" t="s">
        <v>63</v>
      </c>
      <c r="M849" s="12" t="s">
        <v>63</v>
      </c>
      <c r="N849" s="19" t="str">
        <f t="shared" ref="N849:N850" si="509">O849+0&amp;","&amp;P849+0</f>
        <v>18,-1</v>
      </c>
      <c r="O849" s="24">
        <v>18</v>
      </c>
      <c r="P849" s="24">
        <v>-1</v>
      </c>
      <c r="Q849" s="19">
        <f t="shared" si="496"/>
        <v>1</v>
      </c>
      <c r="R849" s="41"/>
      <c r="S849" s="9">
        <v>2</v>
      </c>
      <c r="T849" s="19" t="str">
        <f>IF(U849&lt;&gt;"", U849+0&amp;","&amp;V849+0,"")</f>
        <v>1,3</v>
      </c>
      <c r="U849" s="24">
        <v>1</v>
      </c>
      <c r="V849" s="24">
        <v>3</v>
      </c>
      <c r="W849" s="9">
        <v>1</v>
      </c>
      <c r="X849" s="9">
        <v>11</v>
      </c>
      <c r="Y849" s="19" t="str">
        <f t="shared" si="497"/>
        <v>0,0</v>
      </c>
      <c r="Z849" s="41"/>
      <c r="AA849" s="19" t="str">
        <f>IF($A849&lt;&gt;"",IF($AB849&lt;&gt;"",$AB849,"80,120"),"")</f>
        <v>80,120</v>
      </c>
      <c r="AB849" s="41"/>
      <c r="AC849" s="9">
        <v>2</v>
      </c>
      <c r="AD849" s="9">
        <v>0.5</v>
      </c>
      <c r="AE849" s="9">
        <v>0.3</v>
      </c>
      <c r="AF849" s="9">
        <v>2</v>
      </c>
      <c r="AG849" s="9">
        <v>20</v>
      </c>
    </row>
    <row r="850" spans="1:41" x14ac:dyDescent="0.2">
      <c r="A850" s="9">
        <v>420822</v>
      </c>
      <c r="B850" s="9" t="str" cm="1">
        <f t="array" ref="B850">D850&amp;_xlfn.TEXTJOIN("",1,TEXT(E850:G850,"00"))</f>
        <v>1050200</v>
      </c>
      <c r="C850" s="30" t="str">
        <f t="shared" si="508"/>
        <v>420822,1050200</v>
      </c>
      <c r="D850" s="26">
        <v>1</v>
      </c>
      <c r="E850" s="26">
        <v>5</v>
      </c>
      <c r="F850" s="26">
        <v>2</v>
      </c>
      <c r="G850" s="26">
        <v>0</v>
      </c>
      <c r="H850" s="9">
        <v>201809</v>
      </c>
      <c r="I850" s="15" t="str">
        <f>IFERROR(VLOOKUP(H850,monsters[#All],4,0),"")</f>
        <v>印花水母</v>
      </c>
      <c r="J850" s="15" t="str" cm="1">
        <f t="array" ref="J850">_xlfn.LET(_xlpm.v6p,ABS(ATAN2(O850,P850))*6/PI(),
_xlpm.output,_xlfn.IFS(_xlpm.v6p&lt;1,"正前",_xlpm.v6p&gt;5,"正后",AND(_xlpm.v6p&lt;5,_xlpm.v6p&gt;2,P850&lt;-1),"脚底",_xlpm.v6p&gt;4,"后上",_xlpm.v6p&lt;2,"前上",TRUE,"顶部"),
IFERROR(_xlpm.output,""))</f>
        <v>正后</v>
      </c>
      <c r="K850" s="12"/>
      <c r="L850" s="12" t="s">
        <v>63</v>
      </c>
      <c r="M850" s="12" t="s">
        <v>63</v>
      </c>
      <c r="N850" s="19" t="str">
        <f t="shared" si="509"/>
        <v>-14,-1</v>
      </c>
      <c r="O850" s="24">
        <v>-14</v>
      </c>
      <c r="P850" s="24">
        <v>-1</v>
      </c>
      <c r="Q850" s="19">
        <f t="shared" si="496"/>
        <v>1</v>
      </c>
      <c r="R850" s="41"/>
      <c r="S850" s="9">
        <v>2</v>
      </c>
      <c r="T850" s="19" t="str">
        <f>IF(U850&lt;&gt;"", U850+0&amp;","&amp;V850+0,"")</f>
        <v>1,3</v>
      </c>
      <c r="U850" s="24">
        <v>1</v>
      </c>
      <c r="V850" s="24">
        <v>3</v>
      </c>
      <c r="W850" s="9">
        <v>2</v>
      </c>
      <c r="X850" s="9">
        <v>11</v>
      </c>
      <c r="Y850" s="19" t="str">
        <f t="shared" si="497"/>
        <v>0,0</v>
      </c>
      <c r="Z850" s="41"/>
      <c r="AA850" s="19" t="str">
        <f>IF($A850&lt;&gt;"",IF($AB850&lt;&gt;"",$AB850,"80,120"),"")</f>
        <v>80,120</v>
      </c>
      <c r="AB850" s="41"/>
      <c r="AC850" s="9">
        <v>2</v>
      </c>
      <c r="AD850" s="9">
        <v>0.5</v>
      </c>
      <c r="AE850" s="9">
        <v>0.3</v>
      </c>
      <c r="AF850" s="9">
        <v>2</v>
      </c>
      <c r="AG850" s="9">
        <v>20</v>
      </c>
    </row>
    <row r="851" spans="1:41" x14ac:dyDescent="0.2">
      <c r="J851" s="15" t="str" cm="1">
        <f t="array" ref="J851">_xlfn.LET(_xlpm.v6p,ABS(ATAN2(O851,P851))*6/PI(),
_xlpm.output,_xlfn.IFS(_xlpm.v6p&lt;1,"正前",_xlpm.v6p&gt;5,"正后",AND(_xlpm.v6p&lt;5,_xlpm.v6p&gt;2,P851&lt;-1),"脚底",_xlpm.v6p&gt;4,"后上",_xlpm.v6p&lt;2,"前上",TRUE,"顶部"),
IFERROR(_xlpm.output,""))</f>
        <v/>
      </c>
      <c r="Q851" s="19" t="str">
        <f t="shared" si="496"/>
        <v/>
      </c>
    </row>
    <row r="853" spans="1:41" s="40" customFormat="1" x14ac:dyDescent="0.2">
      <c r="A853" s="43"/>
      <c r="B853" s="43"/>
      <c r="C853" s="44" t="str">
        <f t="shared" ref="C853" si="510">_xlfn.TEXTJOIN(",",1,A853:B853)</f>
        <v/>
      </c>
      <c r="D853" s="45"/>
      <c r="E853" s="45"/>
      <c r="F853" s="45"/>
      <c r="G853" s="45"/>
      <c r="H853" s="43" t="s">
        <v>311</v>
      </c>
      <c r="I853" s="46"/>
      <c r="J853" s="46"/>
      <c r="O853" s="47"/>
      <c r="P853" s="47"/>
      <c r="R853" s="47"/>
      <c r="S853" s="40" t="s">
        <v>62</v>
      </c>
      <c r="U853" s="47"/>
      <c r="V853" s="47"/>
      <c r="Z853" s="47"/>
      <c r="AB853" s="47"/>
      <c r="AC853" s="40" t="s">
        <v>62</v>
      </c>
      <c r="AI853" s="75"/>
      <c r="AJ853" s="75">
        <f>SUM(AJ855:AJ861)</f>
        <v>10.1</v>
      </c>
      <c r="AK853" s="75">
        <f>SUM(AK855:AK865)</f>
        <v>2.25</v>
      </c>
      <c r="AL853" s="75">
        <f>SUM(AL855:AL861)</f>
        <v>434.3</v>
      </c>
      <c r="AM853" s="75">
        <f>SUM(AM855:AM865)</f>
        <v>183.66666666666669</v>
      </c>
      <c r="AN853" s="75"/>
      <c r="AO853" s="75"/>
    </row>
    <row r="855" spans="1:41" x14ac:dyDescent="0.2">
      <c r="A855" s="9">
        <v>42082211</v>
      </c>
      <c r="B855" s="9" t="str" cm="1">
        <f t="array" ref="B855">D855&amp;_xlfn.TEXTJOIN("",1,TEXT(E855:G855,"00"))</f>
        <v>1000001</v>
      </c>
      <c r="C855" s="30" t="str">
        <f t="shared" ref="C855:C857" si="511">_xlfn.TEXTJOIN(",",1,A855:B855)</f>
        <v>42082211,1000001</v>
      </c>
      <c r="D855" s="26">
        <v>1</v>
      </c>
      <c r="E855" s="26">
        <v>0</v>
      </c>
      <c r="F855" s="26">
        <f>W855</f>
        <v>0</v>
      </c>
      <c r="G855" s="26">
        <v>1</v>
      </c>
      <c r="H855" s="9">
        <v>201809</v>
      </c>
      <c r="I855" s="15" t="str">
        <f>IFERROR(VLOOKUP(H855,monsters[#All],4,0),"")</f>
        <v>印花水母</v>
      </c>
      <c r="J855" s="15" t="str" cm="1">
        <f t="array" ref="J855">_xlfn.LET(_xlpm.v6p,ABS(ATAN2(O855,P855))*6/PI(),
_xlpm.output,_xlfn.IFS(_xlpm.v6p&lt;1,"正前",_xlpm.v6p&gt;5,"正后",AND(_xlpm.v6p&lt;5,_xlpm.v6p&gt;2,P855&lt;-1),"脚底",_xlpm.v6p&gt;4,"后上",_xlpm.v6p&lt;2,"前上",TRUE,"顶部"),
IFERROR(_xlpm.output,""))</f>
        <v>正前</v>
      </c>
      <c r="K855" s="12"/>
      <c r="L855" s="12" t="s">
        <v>63</v>
      </c>
      <c r="M855" s="12" t="s">
        <v>63</v>
      </c>
      <c r="N855" s="19" t="str">
        <f>O855+0&amp;","&amp;P855+0</f>
        <v>16,6</v>
      </c>
      <c r="O855" s="24">
        <v>16</v>
      </c>
      <c r="P855" s="24">
        <v>6</v>
      </c>
      <c r="Q855" s="19">
        <f t="shared" ref="Q855:Q857" si="512">_xlfn.LET(_xlpm._default,1,
_xlpm._custom,R855,
IF($A855&lt;&gt;"",IF(_xlpm._custom&lt;&gt;"",_xlpm._custom,_xlpm._default),""))</f>
        <v>1</v>
      </c>
      <c r="S855" s="9">
        <v>4</v>
      </c>
      <c r="T855" s="19" t="str">
        <f>IF(U855&lt;&gt;"", U855+0&amp;","&amp;V855+0,"")</f>
        <v>1,1</v>
      </c>
      <c r="U855" s="24">
        <v>1</v>
      </c>
      <c r="V855" s="24">
        <v>1</v>
      </c>
      <c r="W855" s="9">
        <v>0</v>
      </c>
      <c r="X855" s="9">
        <v>11</v>
      </c>
      <c r="Y855" s="19" t="str">
        <f t="shared" ref="Y855:Y859" si="513">IF($A855&lt;&gt;"",IF($Z855&lt;&gt;"",$Z855,"0,0"),"")</f>
        <v>65,70</v>
      </c>
      <c r="Z855" s="24" t="s">
        <v>130</v>
      </c>
      <c r="AA855" s="19" t="str">
        <f>IF($A855&lt;&gt;"",IF($AB855&lt;&gt;"",$AB855,"80,120"),"")</f>
        <v>80,120</v>
      </c>
      <c r="AB855" s="41"/>
      <c r="AC855" s="9">
        <v>0.7</v>
      </c>
      <c r="AD855" s="16"/>
      <c r="AE855" s="9">
        <v>0.3</v>
      </c>
      <c r="AF855" s="9">
        <v>3</v>
      </c>
      <c r="AG855" s="9">
        <v>100</v>
      </c>
      <c r="AI855" s="69" cm="1">
        <f t="array" ref="AI855">tuple_avg(T855)/tuple_avg(AA855)</f>
        <v>0.01</v>
      </c>
      <c r="AJ855" s="69">
        <f>AC855*AI855*'-配置辅助'!$I$8</f>
        <v>0.7</v>
      </c>
      <c r="AL855" s="69">
        <f>AJ855*_xlfn.XLOOKUP($H855,monsters[怪物id],monsters[HP],-1)</f>
        <v>30.099999999999998</v>
      </c>
    </row>
    <row r="856" spans="1:41" x14ac:dyDescent="0.2">
      <c r="A856" s="9">
        <v>42082211</v>
      </c>
      <c r="B856" s="9" t="str" cm="1">
        <f t="array" ref="B856">D856&amp;_xlfn.TEXTJOIN("",1,TEXT(E856:G856,"00"))</f>
        <v>1000002</v>
      </c>
      <c r="C856" s="30" t="str">
        <f t="shared" si="511"/>
        <v>42082211,1000002</v>
      </c>
      <c r="D856" s="26">
        <v>1</v>
      </c>
      <c r="E856" s="26">
        <v>0</v>
      </c>
      <c r="F856" s="26">
        <f>W856</f>
        <v>0</v>
      </c>
      <c r="G856" s="26">
        <v>2</v>
      </c>
      <c r="H856" s="9">
        <v>201809</v>
      </c>
      <c r="I856" s="15" t="str">
        <f>IFERROR(VLOOKUP(H856,monsters[#All],4,0),"")</f>
        <v>印花水母</v>
      </c>
      <c r="J856" s="15" t="str" cm="1">
        <f t="array" ref="J856">_xlfn.LET(_xlpm.v6p,ABS(ATAN2(O856,P856))*6/PI(),
_xlpm.output,_xlfn.IFS(_xlpm.v6p&lt;1,"正前",_xlpm.v6p&gt;5,"正后",AND(_xlpm.v6p&lt;5,_xlpm.v6p&gt;2,P856&lt;-1),"脚底",_xlpm.v6p&gt;4,"后上",_xlpm.v6p&lt;2,"前上",TRUE,"顶部"),
IFERROR(_xlpm.output,""))</f>
        <v>正前</v>
      </c>
      <c r="K856" s="12"/>
      <c r="L856" s="12" t="s">
        <v>63</v>
      </c>
      <c r="M856" s="12" t="s">
        <v>63</v>
      </c>
      <c r="N856" s="19" t="str">
        <f>O856+0&amp;","&amp;P856+0</f>
        <v>16,6</v>
      </c>
      <c r="O856" s="24">
        <v>16</v>
      </c>
      <c r="P856" s="24">
        <v>6</v>
      </c>
      <c r="Q856" s="19">
        <f t="shared" si="512"/>
        <v>2</v>
      </c>
      <c r="R856" s="24">
        <v>2</v>
      </c>
      <c r="S856" s="9">
        <v>6</v>
      </c>
      <c r="T856" s="19" t="str">
        <f>IF(U856&lt;&gt;"", U856+0&amp;","&amp;V856+0,"")</f>
        <v>1,2</v>
      </c>
      <c r="U856" s="24">
        <v>1</v>
      </c>
      <c r="V856" s="24">
        <v>2</v>
      </c>
      <c r="W856" s="9">
        <v>0</v>
      </c>
      <c r="X856" s="9">
        <v>11</v>
      </c>
      <c r="Y856" s="19" t="str">
        <f t="shared" si="513"/>
        <v>0,0</v>
      </c>
      <c r="AA856" s="19" t="str">
        <f>IF($A856&lt;&gt;"",IF($AB856&lt;&gt;"",$AB856,"80,120"),"")</f>
        <v>80,120</v>
      </c>
      <c r="AB856" s="41"/>
      <c r="AC856" s="9">
        <v>0.85</v>
      </c>
      <c r="AD856" s="16"/>
      <c r="AE856" s="9">
        <v>0.3</v>
      </c>
      <c r="AF856" s="9">
        <v>3</v>
      </c>
      <c r="AG856" s="9">
        <v>100</v>
      </c>
      <c r="AI856" s="69" cm="1">
        <f t="array" ref="AI856">tuple_avg(T856)/tuple_avg(AA856)</f>
        <v>1.4999999999999999E-2</v>
      </c>
      <c r="AJ856" s="69">
        <f>AC856*AI856*'-配置辅助'!$I$8</f>
        <v>1.2749999999999999</v>
      </c>
      <c r="AL856" s="69">
        <f>AJ856*_xlfn.XLOOKUP($H856,monsters[怪物id],monsters[HP],-1)</f>
        <v>54.824999999999996</v>
      </c>
    </row>
    <row r="857" spans="1:41" x14ac:dyDescent="0.2">
      <c r="A857" s="9">
        <v>42082211</v>
      </c>
      <c r="B857" s="9" t="str" cm="1">
        <f t="array" ref="B857">D857&amp;_xlfn.TEXTJOIN("",1,TEXT(E857:G857,"00"))</f>
        <v>1000003</v>
      </c>
      <c r="C857" s="30" t="str">
        <f t="shared" si="511"/>
        <v>42082211,1000003</v>
      </c>
      <c r="D857" s="26">
        <v>1</v>
      </c>
      <c r="E857" s="26">
        <v>0</v>
      </c>
      <c r="F857" s="26">
        <f>W857</f>
        <v>0</v>
      </c>
      <c r="G857" s="26">
        <v>3</v>
      </c>
      <c r="H857" s="9">
        <v>201809</v>
      </c>
      <c r="I857" s="15" t="str">
        <f>IFERROR(VLOOKUP(H857,monsters[#All],4,0),"")</f>
        <v>印花水母</v>
      </c>
      <c r="J857" s="15" t="str" cm="1">
        <f t="array" ref="J857">_xlfn.LET(_xlpm.v6p,ABS(ATAN2(O857,P857))*6/PI(),
_xlpm.output,_xlfn.IFS(_xlpm.v6p&lt;1,"正前",_xlpm.v6p&gt;5,"正后",AND(_xlpm.v6p&lt;5,_xlpm.v6p&gt;2,P857&lt;-1),"脚底",_xlpm.v6p&gt;4,"后上",_xlpm.v6p&lt;2,"前上",TRUE,"顶部"),
IFERROR(_xlpm.output,""))</f>
        <v>正前</v>
      </c>
      <c r="K857" s="12"/>
      <c r="L857" s="12" t="s">
        <v>63</v>
      </c>
      <c r="M857" s="12" t="s">
        <v>63</v>
      </c>
      <c r="N857" s="19" t="str">
        <f>O857+0&amp;","&amp;P857+0</f>
        <v>16,6</v>
      </c>
      <c r="O857" s="24">
        <v>16</v>
      </c>
      <c r="P857" s="24">
        <v>6</v>
      </c>
      <c r="Q857" s="19">
        <f t="shared" si="512"/>
        <v>2</v>
      </c>
      <c r="R857" s="24">
        <v>2</v>
      </c>
      <c r="S857" s="9">
        <v>10</v>
      </c>
      <c r="T857" s="19" t="str">
        <f>IF(U857&lt;&gt;"", U857+0&amp;","&amp;V857+0,"")</f>
        <v>2,2</v>
      </c>
      <c r="U857" s="24">
        <v>2</v>
      </c>
      <c r="V857" s="24">
        <v>2</v>
      </c>
      <c r="W857" s="9">
        <v>0</v>
      </c>
      <c r="X857" s="9">
        <v>11</v>
      </c>
      <c r="Y857" s="19" t="str">
        <f t="shared" si="513"/>
        <v>-105,-100</v>
      </c>
      <c r="Z857" s="42" t="s">
        <v>133</v>
      </c>
      <c r="AA857" s="19" t="str">
        <f>IF($A857&lt;&gt;"",IF($AB857&lt;&gt;"",$AB857,"80,120"),"")</f>
        <v>80,120</v>
      </c>
      <c r="AB857" s="41"/>
      <c r="AC857" s="9">
        <v>1</v>
      </c>
      <c r="AD857" s="16"/>
      <c r="AE857" s="9">
        <v>0.3</v>
      </c>
      <c r="AF857" s="9">
        <v>3</v>
      </c>
      <c r="AG857" s="9">
        <v>100</v>
      </c>
      <c r="AI857" s="69" cm="1">
        <f t="array" ref="AI857">tuple_avg(T857)/tuple_avg(AA857)</f>
        <v>0.02</v>
      </c>
      <c r="AJ857" s="69">
        <f>AC857*AI857*'-配置辅助'!$I$8</f>
        <v>2</v>
      </c>
      <c r="AL857" s="69">
        <f>AJ857*_xlfn.XLOOKUP($H857,monsters[怪物id],monsters[HP],-1)</f>
        <v>86</v>
      </c>
    </row>
    <row r="858" spans="1:41" x14ac:dyDescent="0.2">
      <c r="A858" s="9">
        <v>42082211</v>
      </c>
      <c r="B858" s="9" t="str" cm="1">
        <f t="array" ref="B858">D858&amp;_xlfn.TEXTJOIN("",1,TEXT(E858:G858,"00"))</f>
        <v>1000004</v>
      </c>
      <c r="C858" s="30" t="str">
        <f t="shared" ref="C858:C859" si="514">_xlfn.TEXTJOIN(",",1,A858:B858)</f>
        <v>42082211,1000004</v>
      </c>
      <c r="D858" s="26">
        <v>1</v>
      </c>
      <c r="E858" s="26">
        <v>0</v>
      </c>
      <c r="F858" s="26">
        <f>W858</f>
        <v>0</v>
      </c>
      <c r="G858" s="26">
        <v>4</v>
      </c>
      <c r="H858" s="9">
        <v>201809</v>
      </c>
      <c r="I858" s="15" t="str">
        <f>IFERROR(VLOOKUP(H858,monsters[#All],4,0),"")</f>
        <v>印花水母</v>
      </c>
      <c r="J858" s="15" t="str" cm="1">
        <f t="array" ref="J858">_xlfn.LET(_xlpm.v6p,ABS(ATAN2(O858,P858))*6/PI(),
_xlpm.output,_xlfn.IFS(_xlpm.v6p&lt;1,"正前",_xlpm.v6p&gt;5,"正后",AND(_xlpm.v6p&lt;5,_xlpm.v6p&gt;2,P858&lt;-1),"脚底",_xlpm.v6p&gt;4,"后上",_xlpm.v6p&lt;2,"前上",TRUE,"顶部"),
IFERROR(_xlpm.output,""))</f>
        <v>正前</v>
      </c>
      <c r="K858" s="12"/>
      <c r="L858" s="12" t="s">
        <v>63</v>
      </c>
      <c r="M858" s="12" t="s">
        <v>63</v>
      </c>
      <c r="N858" s="19" t="str">
        <f>O858+0&amp;","&amp;P858+0</f>
        <v>16,6</v>
      </c>
      <c r="O858" s="24">
        <v>16</v>
      </c>
      <c r="P858" s="24">
        <v>6</v>
      </c>
      <c r="Q858" s="19">
        <f t="shared" ref="Q858:Q859" si="515">_xlfn.LET(_xlpm._default,1,
_xlpm._custom,R858,
IF($A858&lt;&gt;"",IF(_xlpm._custom&lt;&gt;"",_xlpm._custom,_xlpm._default),""))</f>
        <v>2</v>
      </c>
      <c r="R858" s="24">
        <v>2</v>
      </c>
      <c r="S858" s="9">
        <v>14</v>
      </c>
      <c r="T858" s="19" t="str">
        <f>IF(U858&lt;&gt;"", U858+0&amp;","&amp;V858+0,"")</f>
        <v>2,3</v>
      </c>
      <c r="U858" s="24">
        <v>2</v>
      </c>
      <c r="V858" s="24">
        <v>3</v>
      </c>
      <c r="W858" s="9">
        <v>0</v>
      </c>
      <c r="X858" s="9">
        <v>11</v>
      </c>
      <c r="Y858" s="19" t="str">
        <f t="shared" si="513"/>
        <v>-245,-240</v>
      </c>
      <c r="Z858" s="42" t="s">
        <v>265</v>
      </c>
      <c r="AA858" s="19" t="str">
        <f>IF($A858&lt;&gt;"",IF($AB858&lt;&gt;"",$AB858,"80,120"),"")</f>
        <v>80,120</v>
      </c>
      <c r="AB858" s="41"/>
      <c r="AC858" s="9">
        <v>1.1499999999999999</v>
      </c>
      <c r="AD858" s="16"/>
      <c r="AE858" s="9">
        <v>0.3</v>
      </c>
      <c r="AF858" s="9">
        <v>3</v>
      </c>
      <c r="AG858" s="9">
        <v>100</v>
      </c>
      <c r="AI858" s="69" cm="1">
        <f t="array" ref="AI858">tuple_avg(T858)/tuple_avg(AA858)</f>
        <v>2.5000000000000001E-2</v>
      </c>
      <c r="AJ858" s="69">
        <f>AC858*AI858*'-配置辅助'!$I$8</f>
        <v>2.875</v>
      </c>
      <c r="AL858" s="69">
        <f>AJ858*_xlfn.XLOOKUP($H858,monsters[怪物id],monsters[HP],-1)</f>
        <v>123.625</v>
      </c>
    </row>
    <row r="859" spans="1:41" x14ac:dyDescent="0.2">
      <c r="A859" s="9">
        <v>42082211</v>
      </c>
      <c r="B859" s="9" t="str" cm="1">
        <f t="array" ref="B859">D859&amp;_xlfn.TEXTJOIN("",1,TEXT(E859:G859,"00"))</f>
        <v>1000005</v>
      </c>
      <c r="C859" s="30" t="str">
        <f t="shared" si="514"/>
        <v>42082211,1000005</v>
      </c>
      <c r="D859" s="26">
        <v>1</v>
      </c>
      <c r="E859" s="26">
        <v>0</v>
      </c>
      <c r="F859" s="26">
        <f>W859</f>
        <v>0</v>
      </c>
      <c r="G859" s="26">
        <v>5</v>
      </c>
      <c r="H859" s="9">
        <v>201809</v>
      </c>
      <c r="I859" s="15" t="str">
        <f>IFERROR(VLOOKUP(H859,monsters[#All],4,0),"")</f>
        <v>印花水母</v>
      </c>
      <c r="J859" s="15" t="str" cm="1">
        <f t="array" ref="J859">_xlfn.LET(_xlpm.v6p,ABS(ATAN2(O859,P859))*6/PI(),
_xlpm.output,_xlfn.IFS(_xlpm.v6p&lt;1,"正前",_xlpm.v6p&gt;5,"正后",AND(_xlpm.v6p&lt;5,_xlpm.v6p&gt;2,P859&lt;-1),"脚底",_xlpm.v6p&gt;4,"后上",_xlpm.v6p&lt;2,"前上",TRUE,"顶部"),
IFERROR(_xlpm.output,""))</f>
        <v>正前</v>
      </c>
      <c r="K859" s="12"/>
      <c r="L859" s="12" t="s">
        <v>63</v>
      </c>
      <c r="M859" s="12" t="s">
        <v>63</v>
      </c>
      <c r="N859" s="19" t="str">
        <f>O859+0&amp;","&amp;P859+0</f>
        <v>16,6</v>
      </c>
      <c r="O859" s="24">
        <v>16</v>
      </c>
      <c r="P859" s="24">
        <v>6</v>
      </c>
      <c r="Q859" s="19">
        <f t="shared" si="515"/>
        <v>2</v>
      </c>
      <c r="R859" s="24">
        <v>2</v>
      </c>
      <c r="S859" s="9">
        <v>18</v>
      </c>
      <c r="T859" s="19" t="str">
        <f>IF(U859&lt;&gt;"", U859+0&amp;","&amp;V859+0,"")</f>
        <v>2,3</v>
      </c>
      <c r="U859" s="24">
        <v>2</v>
      </c>
      <c r="V859" s="24">
        <v>3</v>
      </c>
      <c r="W859" s="9">
        <v>0</v>
      </c>
      <c r="X859" s="9">
        <v>11</v>
      </c>
      <c r="Y859" s="19" t="str">
        <f t="shared" si="513"/>
        <v>-405,-400</v>
      </c>
      <c r="Z859" s="42" t="s">
        <v>264</v>
      </c>
      <c r="AA859" s="19" t="str">
        <f>IF($A859&lt;&gt;"",IF($AB859&lt;&gt;"",$AB859,"80,120"),"")</f>
        <v>80,120</v>
      </c>
      <c r="AB859" s="41"/>
      <c r="AC859" s="9">
        <v>1.3</v>
      </c>
      <c r="AD859" s="16"/>
      <c r="AE859" s="9">
        <v>0.3</v>
      </c>
      <c r="AF859" s="9">
        <v>3</v>
      </c>
      <c r="AG859" s="9">
        <v>100</v>
      </c>
      <c r="AI859" s="69" cm="1">
        <f t="array" ref="AI859">tuple_avg(T859)/tuple_avg(AA859)</f>
        <v>2.5000000000000001E-2</v>
      </c>
      <c r="AJ859" s="69">
        <f>AC859*AI859*'-配置辅助'!$I$8</f>
        <v>3.25</v>
      </c>
      <c r="AL859" s="69">
        <f>AJ859*_xlfn.XLOOKUP($H859,monsters[怪物id],monsters[HP],-1)</f>
        <v>139.75</v>
      </c>
    </row>
    <row r="860" spans="1:41" x14ac:dyDescent="0.2">
      <c r="AD860" s="19"/>
    </row>
    <row r="861" spans="1:41" x14ac:dyDescent="0.2">
      <c r="A861" s="9">
        <v>42082211</v>
      </c>
      <c r="B861" s="9" t="str" cm="1">
        <f t="array" ref="B861">D861&amp;_xlfn.TEXTJOIN("",1,TEXT(E861:G861,"00"))</f>
        <v>1010000</v>
      </c>
      <c r="C861" s="30" t="str">
        <f t="shared" ref="C861:C862" si="516">_xlfn.TEXTJOIN(",",1,A861:B861)</f>
        <v>42082211,1010000</v>
      </c>
      <c r="D861" s="26">
        <v>1</v>
      </c>
      <c r="E861" s="26">
        <v>1</v>
      </c>
      <c r="F861" s="26">
        <f>W861</f>
        <v>0</v>
      </c>
      <c r="G861" s="26">
        <v>0</v>
      </c>
      <c r="H861" s="9">
        <v>201809</v>
      </c>
      <c r="I861" s="15" t="str">
        <f>IFERROR(VLOOKUP(H861,monsters[#All],4,0),"")</f>
        <v>印花水母</v>
      </c>
      <c r="J861" s="15" t="str" cm="1">
        <f t="array" ref="J861">_xlfn.LET(_xlpm.v6p,ABS(ATAN2(O861,P861))*6/PI(),
_xlpm.output,_xlfn.IFS(_xlpm.v6p&lt;1,"正前",_xlpm.v6p&gt;5,"正后",AND(_xlpm.v6p&lt;5,_xlpm.v6p&gt;2,P861&lt;-1),"脚底",_xlpm.v6p&gt;4,"后上",_xlpm.v6p&lt;2,"前上",TRUE,"顶部"),
IFERROR(_xlpm.output,""))</f>
        <v>顶部</v>
      </c>
      <c r="K861" s="12"/>
      <c r="L861" s="12" t="s">
        <v>63</v>
      </c>
      <c r="M861" s="12" t="s">
        <v>63</v>
      </c>
      <c r="N861" s="19" t="str">
        <f>O861+0&amp;","&amp;P861+0</f>
        <v>3,15</v>
      </c>
      <c r="O861" s="24">
        <v>3</v>
      </c>
      <c r="P861" s="24">
        <v>15</v>
      </c>
      <c r="Q861" s="19">
        <f t="shared" ref="Q861:Q866" si="517">_xlfn.LET(_xlpm._default,1,
_xlpm._custom,R861,
IF($A861&lt;&gt;"",IF(_xlpm._custom&lt;&gt;"",_xlpm._custom,_xlpm._default),""))</f>
        <v>2</v>
      </c>
      <c r="R861" s="24">
        <v>2</v>
      </c>
      <c r="S861" s="9">
        <v>6</v>
      </c>
      <c r="T861" s="19" t="str">
        <f>IF(U861&lt;&gt;"", U861+0&amp;","&amp;V861+0,"")</f>
        <v>1,1</v>
      </c>
      <c r="U861" s="24">
        <v>1</v>
      </c>
      <c r="V861" s="24">
        <v>1</v>
      </c>
      <c r="W861" s="9">
        <v>0</v>
      </c>
      <c r="X861" s="9">
        <v>11</v>
      </c>
      <c r="Y861" s="19" t="str">
        <f t="shared" ref="Y861:Y862" si="518">IF($A861&lt;&gt;"",IF($Z861&lt;&gt;"",$Z861,"0,0"),"")</f>
        <v>0,0</v>
      </c>
      <c r="Z861" s="41"/>
      <c r="AA861" s="19" t="str">
        <f>IF($A861&lt;&gt;"",IF($AB861&lt;&gt;"",$AB861,"80,120"),"")</f>
        <v>80,120</v>
      </c>
      <c r="AB861" s="41"/>
      <c r="AC861" s="16"/>
      <c r="AD861" s="9">
        <v>4</v>
      </c>
      <c r="AE861" s="9">
        <v>0.3</v>
      </c>
      <c r="AF861" s="9">
        <v>3</v>
      </c>
      <c r="AG861" s="9">
        <v>100</v>
      </c>
      <c r="AI861" s="69" cm="1">
        <f t="array" ref="AI861">tuple_avg(T861)/tuple_avg(AA861)</f>
        <v>0.01</v>
      </c>
      <c r="AK861" s="69">
        <f>AD861*AI861*'-配置辅助'!$I$10</f>
        <v>0.66666666666666674</v>
      </c>
      <c r="AM861" s="69">
        <f>AK861*_xlfn.XLOOKUP($H861,monsters[怪物id],monsters[HP],-1)</f>
        <v>28.666666666666671</v>
      </c>
    </row>
    <row r="862" spans="1:41" x14ac:dyDescent="0.2">
      <c r="A862" s="9">
        <v>42082211</v>
      </c>
      <c r="B862" s="9" t="str" cm="1">
        <f t="array" ref="B862">D862&amp;_xlfn.TEXTJOIN("",1,TEXT(E862:G862,"00"))</f>
        <v>1010001</v>
      </c>
      <c r="C862" s="30" t="str">
        <f t="shared" si="516"/>
        <v>42082211,1010001</v>
      </c>
      <c r="D862" s="26">
        <v>1</v>
      </c>
      <c r="E862" s="26">
        <v>1</v>
      </c>
      <c r="F862" s="26">
        <f>W862</f>
        <v>0</v>
      </c>
      <c r="G862" s="26">
        <v>1</v>
      </c>
      <c r="H862" s="9">
        <v>201809</v>
      </c>
      <c r="I862" s="15" t="str">
        <f>IFERROR(VLOOKUP(H862,monsters[#All],4,0),"")</f>
        <v>印花水母</v>
      </c>
      <c r="J862" s="15" t="str" cm="1">
        <f t="array" ref="J862">_xlfn.LET(_xlpm.v6p,ABS(ATAN2(O862,P862))*6/PI(),
_xlpm.output,_xlfn.IFS(_xlpm.v6p&lt;1,"正前",_xlpm.v6p&gt;5,"正后",AND(_xlpm.v6p&lt;5,_xlpm.v6p&gt;2,P862&lt;-1),"脚底",_xlpm.v6p&gt;4,"后上",_xlpm.v6p&lt;2,"前上",TRUE,"顶部"),
IFERROR(_xlpm.output,""))</f>
        <v>顶部</v>
      </c>
      <c r="K862" s="12"/>
      <c r="L862" s="12" t="s">
        <v>63</v>
      </c>
      <c r="M862" s="12" t="s">
        <v>63</v>
      </c>
      <c r="N862" s="19" t="str">
        <f>O862+0&amp;","&amp;P862+0</f>
        <v>3,15</v>
      </c>
      <c r="O862" s="24">
        <v>3</v>
      </c>
      <c r="P862" s="24">
        <v>15</v>
      </c>
      <c r="Q862" s="19">
        <f t="shared" si="517"/>
        <v>2</v>
      </c>
      <c r="R862" s="24">
        <v>2</v>
      </c>
      <c r="S862" s="9">
        <v>10</v>
      </c>
      <c r="T862" s="19" t="str">
        <f>IF(U862&lt;&gt;"", U862+0&amp;","&amp;V862+0,"")</f>
        <v>1,2</v>
      </c>
      <c r="U862" s="24">
        <v>1</v>
      </c>
      <c r="V862" s="24">
        <v>2</v>
      </c>
      <c r="W862" s="9">
        <v>0</v>
      </c>
      <c r="X862" s="9">
        <v>11</v>
      </c>
      <c r="Y862" s="19" t="str">
        <f t="shared" si="518"/>
        <v>-105,-100</v>
      </c>
      <c r="Z862" s="42" t="s">
        <v>133</v>
      </c>
      <c r="AA862" s="19" t="str">
        <f>IF($A862&lt;&gt;"",IF($AB862&lt;&gt;"",$AB862,"80,120"),"")</f>
        <v>80,120</v>
      </c>
      <c r="AB862" s="41"/>
      <c r="AC862" s="16"/>
      <c r="AD862" s="9">
        <v>4</v>
      </c>
      <c r="AE862" s="9">
        <v>0.3</v>
      </c>
      <c r="AF862" s="9">
        <v>3</v>
      </c>
      <c r="AG862" s="9">
        <v>100</v>
      </c>
      <c r="AI862" s="69" cm="1">
        <f t="array" ref="AI862">tuple_avg(T862)/tuple_avg(AA862)</f>
        <v>1.4999999999999999E-2</v>
      </c>
      <c r="AK862" s="69">
        <f>AD862*AI862*'-配置辅助'!$I$10</f>
        <v>1</v>
      </c>
      <c r="AM862" s="69">
        <f>AK862*_xlfn.XLOOKUP($H862,monsters[怪物id],monsters[HP],-1)</f>
        <v>43</v>
      </c>
    </row>
    <row r="864" spans="1:41" x14ac:dyDescent="0.2">
      <c r="A864" s="9">
        <v>42082211</v>
      </c>
      <c r="B864" s="9" t="str" cm="1">
        <f t="array" ref="B864">D864&amp;_xlfn.TEXTJOIN("",1,TEXT(E864:G864,"00"))</f>
        <v>2010000</v>
      </c>
      <c r="C864" s="30" t="str">
        <f t="shared" ref="C864" si="519">_xlfn.TEXTJOIN(",",1,A864:B864)</f>
        <v>42082211,2010000</v>
      </c>
      <c r="D864" s="26">
        <v>2</v>
      </c>
      <c r="E864" s="26">
        <v>1</v>
      </c>
      <c r="F864" s="26">
        <f>W864</f>
        <v>0</v>
      </c>
      <c r="G864" s="26">
        <v>0</v>
      </c>
      <c r="H864" s="9">
        <v>201806</v>
      </c>
      <c r="I864" s="15" t="str">
        <f>IFERROR(VLOOKUP(H864,monsters[#All],4,0),"")</f>
        <v>脑型大水母</v>
      </c>
      <c r="J864" s="15" t="str" cm="1">
        <f t="array" ref="J864">_xlfn.LET(_xlpm.v6p,ABS(ATAN2(O864,P864))*6/PI(),
_xlpm.output,_xlfn.IFS(_xlpm.v6p&lt;1,"正前",_xlpm.v6p&gt;5,"正后",AND(_xlpm.v6p&lt;5,_xlpm.v6p&gt;2,P864&lt;-1),"脚底",_xlpm.v6p&gt;4,"后上",_xlpm.v6p&lt;2,"前上",TRUE,"顶部"),
IFERROR(_xlpm.output,""))</f>
        <v>正后</v>
      </c>
      <c r="K864" s="12"/>
      <c r="L864" s="12" t="s">
        <v>63</v>
      </c>
      <c r="M864" s="12" t="s">
        <v>63</v>
      </c>
      <c r="N864" s="19" t="str">
        <f>O864+0&amp;","&amp;P864+0</f>
        <v>-13.5,7</v>
      </c>
      <c r="O864" s="24">
        <v>-13.5</v>
      </c>
      <c r="P864" s="24">
        <v>7</v>
      </c>
      <c r="Q864" s="19">
        <f>_xlfn.LET(_xlpm._default,1,
_xlpm._custom,R864,
IF($A864&lt;&gt;"",IF(_xlpm._custom&lt;&gt;"",_xlpm._custom,_xlpm._default),""))</f>
        <v>0</v>
      </c>
      <c r="R864" s="42">
        <v>0</v>
      </c>
      <c r="S864" s="9">
        <v>5</v>
      </c>
      <c r="T864" s="19" t="str">
        <f>IF(U864&lt;&gt;"", U864+0&amp;","&amp;V864+0,"")</f>
        <v>1,1</v>
      </c>
      <c r="U864" s="24">
        <v>1</v>
      </c>
      <c r="V864" s="24">
        <v>1</v>
      </c>
      <c r="W864" s="9">
        <v>0</v>
      </c>
      <c r="X864" s="9">
        <v>11</v>
      </c>
      <c r="Y864" s="19" t="str">
        <f>IF($A864&lt;&gt;"",IF($Z864&lt;&gt;"",$Z864,"0,0"),"")</f>
        <v>0,0</v>
      </c>
      <c r="Z864" s="42"/>
      <c r="AA864" s="19" t="str">
        <f>IF($A864&lt;&gt;"",IF($AB864&lt;&gt;"",$AB864,"80,120"),"")</f>
        <v>80,120</v>
      </c>
      <c r="AB864" s="41"/>
      <c r="AC864" s="16"/>
      <c r="AD864" s="9">
        <v>2</v>
      </c>
      <c r="AE864" s="9">
        <v>0.3</v>
      </c>
      <c r="AF864" s="9">
        <v>3</v>
      </c>
      <c r="AG864" s="9">
        <v>15</v>
      </c>
      <c r="AI864" s="69" cm="1">
        <f t="array" ref="AI864">tuple_avg(T864)/tuple_avg(AA864)</f>
        <v>0.01</v>
      </c>
      <c r="AK864" s="69">
        <f>AD864*AI864*'-配置辅助'!$I$10</f>
        <v>0.33333333333333337</v>
      </c>
      <c r="AM864" s="69">
        <f>AK864*_xlfn.XLOOKUP($H864,monsters[怪物id],monsters[HP],-1)</f>
        <v>64</v>
      </c>
    </row>
    <row r="865" spans="1:41" x14ac:dyDescent="0.2">
      <c r="A865" s="9">
        <v>42082211</v>
      </c>
      <c r="B865" s="9" t="str" cm="1">
        <f t="array" ref="B865">D865&amp;_xlfn.TEXTJOIN("",1,TEXT(E865:G865,"00"))</f>
        <v>2020000</v>
      </c>
      <c r="C865" s="30" t="str">
        <f>_xlfn.TEXTJOIN(",",1,A865:B865)</f>
        <v>42082211,2020000</v>
      </c>
      <c r="D865" s="26">
        <v>2</v>
      </c>
      <c r="E865" s="26">
        <v>2</v>
      </c>
      <c r="F865" s="26">
        <f>W865</f>
        <v>0</v>
      </c>
      <c r="G865" s="26">
        <v>0</v>
      </c>
      <c r="H865" s="9">
        <v>201806</v>
      </c>
      <c r="I865" s="15" t="str">
        <f>IFERROR(VLOOKUP(H865,monsters[#All],4,0),"")</f>
        <v>脑型大水母</v>
      </c>
      <c r="J865" s="15" t="str" cm="1">
        <f t="array" ref="J865">_xlfn.LET(_xlpm.v6p,ABS(ATAN2(O865,P865))*6/PI(),
_xlpm.output,_xlfn.IFS(_xlpm.v6p&lt;1,"正前",_xlpm.v6p&gt;5,"正后",AND(_xlpm.v6p&lt;5,_xlpm.v6p&gt;2,P865&lt;-1),"脚底",_xlpm.v6p&gt;4,"后上",_xlpm.v6p&lt;2,"前上",TRUE,"顶部"),
IFERROR(_xlpm.output,""))</f>
        <v>顶部</v>
      </c>
      <c r="K865" s="12"/>
      <c r="L865" s="12" t="s">
        <v>63</v>
      </c>
      <c r="M865" s="12" t="s">
        <v>63</v>
      </c>
      <c r="N865" s="19" t="str">
        <f>O865+0&amp;","&amp;P865+0</f>
        <v>3,15</v>
      </c>
      <c r="O865" s="24">
        <v>3</v>
      </c>
      <c r="P865" s="24">
        <v>15</v>
      </c>
      <c r="Q865" s="19">
        <f>_xlfn.LET(_xlpm._default,1,
_xlpm._custom,R865,
IF($A865&lt;&gt;"",IF(_xlpm._custom&lt;&gt;"",_xlpm._custom,_xlpm._default),""))</f>
        <v>0</v>
      </c>
      <c r="R865" s="42">
        <v>0</v>
      </c>
      <c r="S865" s="9">
        <v>5</v>
      </c>
      <c r="T865" s="19" t="str">
        <f>IF(U865&lt;&gt;"", U865+0&amp;","&amp;V865+0,"")</f>
        <v>1,1</v>
      </c>
      <c r="U865" s="24">
        <v>1</v>
      </c>
      <c r="V865" s="24">
        <v>1</v>
      </c>
      <c r="W865" s="9">
        <v>0</v>
      </c>
      <c r="X865" s="9">
        <v>11</v>
      </c>
      <c r="Y865" s="19" t="str">
        <f>IF($A865&lt;&gt;"",IF($Z865&lt;&gt;"",$Z865,"0,0"),"")</f>
        <v>-105,-100</v>
      </c>
      <c r="Z865" s="42" t="s">
        <v>133</v>
      </c>
      <c r="AA865" s="19" t="str">
        <f>IF($A865&lt;&gt;"",IF($AB865&lt;&gt;"",$AB865,"80,120"),"")</f>
        <v>80,120</v>
      </c>
      <c r="AB865" s="41"/>
      <c r="AC865" s="16"/>
      <c r="AD865" s="9">
        <v>1.5</v>
      </c>
      <c r="AE865" s="9">
        <v>0.3</v>
      </c>
      <c r="AF865" s="9">
        <v>3</v>
      </c>
      <c r="AG865" s="9">
        <v>15</v>
      </c>
      <c r="AI865" s="69" cm="1">
        <f t="array" ref="AI865">tuple_avg(T865)/tuple_avg(AA865)</f>
        <v>0.01</v>
      </c>
      <c r="AK865" s="69">
        <f>AD865*AI865*'-配置辅助'!$I$10</f>
        <v>0.25</v>
      </c>
      <c r="AM865" s="69">
        <f>AK865*_xlfn.XLOOKUP($H865,monsters[怪物id],monsters[HP],-1)</f>
        <v>48</v>
      </c>
    </row>
    <row r="866" spans="1:41" x14ac:dyDescent="0.2">
      <c r="J866" s="15" t="str" cm="1">
        <f t="array" ref="J866">_xlfn.LET(_xlpm.v6p,ABS(ATAN2(O866,P866))*6/PI(),
_xlpm.output,_xlfn.IFS(_xlpm.v6p&lt;1,"正前",_xlpm.v6p&gt;5,"正后",AND(_xlpm.v6p&lt;5,_xlpm.v6p&gt;2,P866&lt;-1),"脚底",_xlpm.v6p&gt;4,"后上",_xlpm.v6p&lt;2,"前上",TRUE,"顶部"),
IFERROR(_xlpm.output,""))</f>
        <v/>
      </c>
      <c r="Q866" s="19" t="str">
        <f t="shared" si="517"/>
        <v/>
      </c>
    </row>
    <row r="868" spans="1:41" s="40" customFormat="1" x14ac:dyDescent="0.2">
      <c r="A868" s="43"/>
      <c r="B868" s="43"/>
      <c r="C868" s="44" t="str">
        <f t="shared" ref="C868" si="520">_xlfn.TEXTJOIN(",",1,A868:B868)</f>
        <v/>
      </c>
      <c r="D868" s="45"/>
      <c r="E868" s="45"/>
      <c r="F868" s="45"/>
      <c r="G868" s="45"/>
      <c r="H868" s="43" t="s">
        <v>247</v>
      </c>
      <c r="I868" s="46"/>
      <c r="J868" s="46"/>
      <c r="O868" s="47"/>
      <c r="P868" s="47"/>
      <c r="R868" s="47"/>
      <c r="S868" s="40" t="s">
        <v>62</v>
      </c>
      <c r="U868" s="47"/>
      <c r="V868" s="47"/>
      <c r="Z868" s="47"/>
      <c r="AB868" s="47"/>
      <c r="AC868" s="40" t="s">
        <v>62</v>
      </c>
      <c r="AI868" s="75"/>
      <c r="AJ868" s="75"/>
      <c r="AK868" s="75"/>
      <c r="AL868" s="75"/>
      <c r="AM868" s="75"/>
      <c r="AN868" s="75"/>
      <c r="AO868" s="75"/>
    </row>
    <row r="870" spans="1:41" x14ac:dyDescent="0.2">
      <c r="A870" s="9">
        <v>420823</v>
      </c>
      <c r="B870" s="9" t="str" cm="1">
        <f t="array" ref="B870">D870&amp;_xlfn.TEXTJOIN("",1,TEXT(E870:G870,"00"))</f>
        <v>1000000</v>
      </c>
      <c r="C870" s="30" t="str">
        <f t="shared" ref="C870" si="521">_xlfn.TEXTJOIN(",",1,A870:B870)</f>
        <v>420823,1000000</v>
      </c>
      <c r="D870" s="26">
        <v>1</v>
      </c>
      <c r="E870" s="26">
        <v>0</v>
      </c>
      <c r="F870" s="26">
        <v>0</v>
      </c>
      <c r="G870" s="26">
        <v>0</v>
      </c>
      <c r="H870" s="9">
        <v>201805</v>
      </c>
      <c r="I870" s="15" t="str">
        <f>IFERROR(VLOOKUP(H870,monsters[#All],4,0),"")</f>
        <v>似目草</v>
      </c>
      <c r="J870" s="15" t="str" cm="1">
        <f t="array" ref="J870">_xlfn.LET(_xlpm.v6p,ABS(ATAN2(O870,P870))*6/PI(),
_xlpm.output,_xlfn.IFS(_xlpm.v6p&lt;1,"正前",_xlpm.v6p&gt;5,"正后",AND(_xlpm.v6p&lt;5,_xlpm.v6p&gt;2,P870&lt;-1),"脚底",_xlpm.v6p&gt;4,"后上",_xlpm.v6p&lt;2,"前上",TRUE,"顶部"),
IFERROR(_xlpm.output,""))</f>
        <v>正前</v>
      </c>
      <c r="K870" s="12"/>
      <c r="L870" s="12" t="s">
        <v>63</v>
      </c>
      <c r="M870" s="12" t="s">
        <v>63</v>
      </c>
      <c r="N870" s="19" t="str">
        <f>O870+0&amp;","&amp;P870+0</f>
        <v>18,-1</v>
      </c>
      <c r="O870" s="24">
        <v>18</v>
      </c>
      <c r="P870" s="24">
        <v>-1</v>
      </c>
      <c r="Q870" s="19">
        <f t="shared" ref="Q870:Q873" si="522">_xlfn.LET(_xlpm._default,1,
_xlpm._custom,R870,
IF($A870&lt;&gt;"",IF(_xlpm._custom&lt;&gt;"",_xlpm._custom,_xlpm._default),""))</f>
        <v>1</v>
      </c>
      <c r="R870" s="41"/>
      <c r="S870" s="9">
        <v>40</v>
      </c>
      <c r="T870" s="19" t="str">
        <f t="shared" ref="T870" si="523">IF(U870&lt;&gt;"", U870+0&amp;","&amp;V870+0,"")</f>
        <v>1,3</v>
      </c>
      <c r="U870" s="24">
        <v>1</v>
      </c>
      <c r="V870" s="24">
        <v>3</v>
      </c>
      <c r="W870" s="9">
        <v>0</v>
      </c>
      <c r="X870" s="9">
        <v>11</v>
      </c>
      <c r="Y870" s="19" t="str">
        <f>IF($A870&lt;&gt;"",IF($Z870&lt;&gt;"",$Z870,"0,0"),"")</f>
        <v>0,0</v>
      </c>
      <c r="Z870" s="41"/>
      <c r="AA870" s="19" t="str">
        <f>IF($A870&lt;&gt;"",IF($AB870&lt;&gt;"",$AB870,"80,120"),"")</f>
        <v>50,150</v>
      </c>
      <c r="AB870" s="41" t="s">
        <v>65</v>
      </c>
      <c r="AC870" s="9">
        <v>50</v>
      </c>
      <c r="AD870" s="9">
        <v>0</v>
      </c>
      <c r="AE870" s="9">
        <v>0</v>
      </c>
      <c r="AF870" s="16"/>
      <c r="AG870" s="16"/>
    </row>
    <row r="871" spans="1:41" x14ac:dyDescent="0.2">
      <c r="J871" s="15" t="str" cm="1">
        <f t="array" ref="J871">_xlfn.LET(_xlpm.v6p,ABS(ATAN2(O871,P871))*6/PI(),
_xlpm.output,_xlfn.IFS(_xlpm.v6p&lt;1,"正前",_xlpm.v6p&gt;5,"正后",AND(_xlpm.v6p&lt;5,_xlpm.v6p&gt;2,P871&lt;-1),"脚底",_xlpm.v6p&gt;4,"后上",_xlpm.v6p&lt;2,"前上",TRUE,"顶部"),
IFERROR(_xlpm.output,""))</f>
        <v/>
      </c>
      <c r="Q871" s="19" t="str">
        <f t="shared" si="522"/>
        <v/>
      </c>
      <c r="Y871" s="19" t="str">
        <f>IF($A871&lt;&gt;"",IF($Z871&lt;&gt;"",$Z871,"0,0"),"")</f>
        <v/>
      </c>
    </row>
    <row r="872" spans="1:41" x14ac:dyDescent="0.2">
      <c r="A872" s="9">
        <v>420823</v>
      </c>
      <c r="B872" s="9" t="str" cm="1">
        <f t="array" ref="B872">D872&amp;_xlfn.TEXTJOIN("",1,TEXT(E872:G872,"00"))</f>
        <v>2000000</v>
      </c>
      <c r="C872" s="30" t="str">
        <f t="shared" ref="C872" si="524">_xlfn.TEXTJOIN(",",1,A872:B872)</f>
        <v>420823,2000000</v>
      </c>
      <c r="D872" s="26">
        <v>2</v>
      </c>
      <c r="E872" s="26">
        <v>0</v>
      </c>
      <c r="F872" s="26">
        <f>W872</f>
        <v>0</v>
      </c>
      <c r="G872" s="26">
        <v>0</v>
      </c>
      <c r="H872" s="9">
        <v>201811</v>
      </c>
      <c r="I872" s="15" t="str">
        <f>IFERROR(VLOOKUP(H872,monsters[#All],4,0),"")</f>
        <v>青蛙</v>
      </c>
      <c r="J872" s="15" t="str" cm="1">
        <f t="array" ref="J872">_xlfn.LET(_xlpm.v6p,ABS(ATAN2(O872,P872))*6/PI(),
_xlpm.output,_xlfn.IFS(_xlpm.v6p&lt;1,"正前",_xlpm.v6p&gt;5,"正后",AND(_xlpm.v6p&lt;5,_xlpm.v6p&gt;2,P872&lt;-1),"脚底",_xlpm.v6p&gt;4,"后上",_xlpm.v6p&lt;2,"前上",TRUE,"顶部"),
IFERROR(_xlpm.output,""))</f>
        <v>正前</v>
      </c>
      <c r="K872" s="12"/>
      <c r="L872" s="12" t="s">
        <v>63</v>
      </c>
      <c r="M872" s="12" t="s">
        <v>63</v>
      </c>
      <c r="N872" s="19" t="str">
        <f>O872+0&amp;","&amp;P872+0</f>
        <v>15,-1</v>
      </c>
      <c r="O872" s="24">
        <v>15</v>
      </c>
      <c r="P872" s="24">
        <v>-1</v>
      </c>
      <c r="Q872" s="19">
        <f t="shared" si="522"/>
        <v>1</v>
      </c>
      <c r="S872" s="9">
        <v>6</v>
      </c>
      <c r="T872" s="19" t="str">
        <f>IF(U872&lt;&gt;"", U872+0&amp;","&amp;V872+0,"")</f>
        <v>1,1</v>
      </c>
      <c r="U872" s="24">
        <v>1</v>
      </c>
      <c r="V872" s="24">
        <v>1</v>
      </c>
      <c r="W872" s="9">
        <v>0</v>
      </c>
      <c r="X872" s="9">
        <v>11</v>
      </c>
      <c r="Y872" s="19" t="str">
        <f>IF($A872&lt;&gt;"",IF($Z872&lt;&gt;"",$Z872,"0,0"),"")</f>
        <v>65,70</v>
      </c>
      <c r="Z872" s="24" t="s">
        <v>130</v>
      </c>
      <c r="AA872" s="19" t="str">
        <f>IF($A872&lt;&gt;"",IF($AB872&lt;&gt;"",$AB872,"80,120"),"")</f>
        <v>80,120</v>
      </c>
      <c r="AC872" s="9">
        <v>1.5</v>
      </c>
      <c r="AD872" s="9">
        <v>1</v>
      </c>
      <c r="AE872" s="9">
        <v>0.3</v>
      </c>
      <c r="AF872" s="9">
        <v>3</v>
      </c>
      <c r="AG872" s="9">
        <v>100</v>
      </c>
    </row>
    <row r="873" spans="1:41" x14ac:dyDescent="0.2">
      <c r="A873" s="9">
        <v>420823</v>
      </c>
      <c r="B873" s="9" t="str" cm="1">
        <f t="array" ref="B873">D873&amp;_xlfn.TEXTJOIN("",1,TEXT(E873:G873,"00"))</f>
        <v>2000001</v>
      </c>
      <c r="C873" s="30" t="str">
        <f t="shared" ref="C873" si="525">_xlfn.TEXTJOIN(",",1,A873:B873)</f>
        <v>420823,2000001</v>
      </c>
      <c r="D873" s="26">
        <v>2</v>
      </c>
      <c r="E873" s="26">
        <v>0</v>
      </c>
      <c r="F873" s="26">
        <f>W873</f>
        <v>0</v>
      </c>
      <c r="G873" s="26">
        <v>1</v>
      </c>
      <c r="H873" s="9">
        <v>201811</v>
      </c>
      <c r="I873" s="15" t="str">
        <f>IFERROR(VLOOKUP(H873,monsters[#All],4,0),"")</f>
        <v>青蛙</v>
      </c>
      <c r="J873" s="15" t="str" cm="1">
        <f t="array" ref="J873">_xlfn.LET(_xlpm.v6p,ABS(ATAN2(O873,P873))*6/PI(),
_xlpm.output,_xlfn.IFS(_xlpm.v6p&lt;1,"正前",_xlpm.v6p&gt;5,"正后",AND(_xlpm.v6p&lt;5,_xlpm.v6p&gt;2,P873&lt;-1),"脚底",_xlpm.v6p&gt;4,"后上",_xlpm.v6p&lt;2,"前上",TRUE,"顶部"),
IFERROR(_xlpm.output,""))</f>
        <v>正前</v>
      </c>
      <c r="K873" s="12"/>
      <c r="L873" s="12" t="s">
        <v>63</v>
      </c>
      <c r="M873" s="12" t="s">
        <v>63</v>
      </c>
      <c r="N873" s="19" t="str">
        <f>O873+0&amp;","&amp;P873+0</f>
        <v>16,-1</v>
      </c>
      <c r="O873" s="24">
        <v>16</v>
      </c>
      <c r="P873" s="24">
        <v>-1</v>
      </c>
      <c r="Q873" s="19">
        <f t="shared" si="522"/>
        <v>1</v>
      </c>
      <c r="S873" s="9">
        <v>9</v>
      </c>
      <c r="T873" s="19" t="str">
        <f>IF(U873&lt;&gt;"", U873+0&amp;","&amp;V873+0,"")</f>
        <v>1,2</v>
      </c>
      <c r="U873" s="24">
        <v>1</v>
      </c>
      <c r="V873" s="24">
        <v>2</v>
      </c>
      <c r="W873" s="9">
        <v>0</v>
      </c>
      <c r="X873" s="9">
        <v>11</v>
      </c>
      <c r="Y873" s="19" t="str">
        <f>IF($A873&lt;&gt;"",IF($Z873&lt;&gt;"",$Z873,"0,0"),"")</f>
        <v>0,0</v>
      </c>
      <c r="AA873" s="19" t="str">
        <f>IF($A873&lt;&gt;"",IF($AB873&lt;&gt;"",$AB873,"80,120"),"")</f>
        <v>80,120</v>
      </c>
      <c r="AC873" s="9">
        <v>1.5</v>
      </c>
      <c r="AD873" s="9">
        <v>1</v>
      </c>
      <c r="AE873" s="9">
        <v>0.3</v>
      </c>
      <c r="AF873" s="9">
        <v>3</v>
      </c>
      <c r="AG873" s="9">
        <v>100</v>
      </c>
    </row>
    <row r="876" spans="1:41" s="40" customFormat="1" x14ac:dyDescent="0.2">
      <c r="A876" s="43"/>
      <c r="B876" s="43"/>
      <c r="C876" s="44" t="str">
        <f>_xlfn.TEXTJOIN(",",1,A876:B876)</f>
        <v/>
      </c>
      <c r="D876" s="45"/>
      <c r="E876" s="45"/>
      <c r="F876" s="45"/>
      <c r="G876" s="45"/>
      <c r="H876" s="43" t="s">
        <v>142</v>
      </c>
      <c r="I876" s="46"/>
      <c r="J876" s="46"/>
      <c r="O876" s="47"/>
      <c r="P876" s="47"/>
      <c r="R876" s="47"/>
      <c r="S876" s="40" t="s">
        <v>62</v>
      </c>
      <c r="U876" s="47"/>
      <c r="V876" s="47"/>
      <c r="Z876" s="47"/>
      <c r="AB876" s="47"/>
      <c r="AC876" s="40" t="s">
        <v>62</v>
      </c>
      <c r="AI876" s="75"/>
      <c r="AJ876" s="75">
        <f>SUM(AJ878:AJ900)</f>
        <v>8.6</v>
      </c>
      <c r="AK876" s="75">
        <f>SUM(AK878:AK900)</f>
        <v>5.9833333333333343</v>
      </c>
      <c r="AL876" s="75">
        <f>SUM(AL878:AL900)</f>
        <v>206.4</v>
      </c>
      <c r="AM876" s="75">
        <f>SUM(AM878:AM900)</f>
        <v>143.6</v>
      </c>
      <c r="AN876" s="75"/>
      <c r="AO876" s="75"/>
    </row>
    <row r="878" spans="1:41" x14ac:dyDescent="0.2">
      <c r="A878" s="9">
        <v>420850</v>
      </c>
      <c r="B878" s="9" t="str" cm="1">
        <f t="array" ref="B878">D878&amp;_xlfn.TEXTJOIN("",1,TEXT(E878:G878,"00"))</f>
        <v>1000000</v>
      </c>
      <c r="C878" s="30" t="str">
        <f>_xlfn.TEXTJOIN(",",1,A878:B878)</f>
        <v>420850,1000000</v>
      </c>
      <c r="D878" s="26">
        <v>1</v>
      </c>
      <c r="E878" s="26">
        <v>0</v>
      </c>
      <c r="F878" s="26">
        <f>W878</f>
        <v>0</v>
      </c>
      <c r="G878" s="26">
        <v>0</v>
      </c>
      <c r="H878" s="9">
        <v>201860</v>
      </c>
      <c r="I878" s="15" t="str">
        <f>IFERROR(VLOOKUP(H878,monsters[#All],4,0),"")</f>
        <v>渊齿</v>
      </c>
      <c r="J878" s="15" t="str" cm="1">
        <f t="array" ref="J878">_xlfn.LET(_xlpm.v6p,ABS(ATAN2(O878,P878))*6/PI(),
_xlpm.output,_xlfn.IFS(_xlpm.v6p&lt;1,"正前",_xlpm.v6p&gt;5,"正后",AND(_xlpm.v6p&lt;5,_xlpm.v6p&gt;2,P878&lt;-1),"脚底",_xlpm.v6p&gt;4,"后上",_xlpm.v6p&lt;2,"前上",TRUE,"顶部"),
IFERROR(_xlpm.output,""))</f>
        <v>顶部</v>
      </c>
      <c r="K878" s="19" t="b">
        <v>1</v>
      </c>
      <c r="L878" s="12" t="s">
        <v>63</v>
      </c>
      <c r="M878" s="54" t="s">
        <v>139</v>
      </c>
      <c r="N878" s="19" t="str">
        <f>O878+0&amp;","&amp;P878+0</f>
        <v>0,20</v>
      </c>
      <c r="O878" s="24">
        <v>0</v>
      </c>
      <c r="P878" s="24">
        <v>20</v>
      </c>
      <c r="Q878" s="19">
        <v>5</v>
      </c>
      <c r="S878" s="9">
        <v>1</v>
      </c>
      <c r="T878" s="19" t="str">
        <f>IF(U878&lt;&gt;"", U878+0&amp;","&amp;V878+0,"")</f>
        <v>1,1</v>
      </c>
      <c r="U878" s="24">
        <v>1</v>
      </c>
      <c r="V878" s="24">
        <v>1</v>
      </c>
      <c r="W878" s="9">
        <v>0</v>
      </c>
      <c r="X878" s="9">
        <v>11</v>
      </c>
      <c r="Y878" s="19" t="str">
        <f>IF($A878&lt;&gt;"",IF($Z878&lt;&gt;"",$Z878,"0,0"),"")</f>
        <v>0,0</v>
      </c>
      <c r="AA878" s="19" t="str">
        <f>IF($A878&lt;&gt;"",IF($AB878&lt;&gt;"",$AB878,"80,120"),"")</f>
        <v>1200,1200</v>
      </c>
      <c r="AB878" s="41" t="s">
        <v>359</v>
      </c>
      <c r="AC878" s="16"/>
      <c r="AD878" s="9">
        <v>120</v>
      </c>
      <c r="AE878" s="16"/>
      <c r="AF878" s="16"/>
      <c r="AG878" s="16"/>
    </row>
    <row r="880" spans="1:41" x14ac:dyDescent="0.2">
      <c r="A880" s="9">
        <v>420850</v>
      </c>
      <c r="B880" s="9" t="str" cm="1">
        <f t="array" ref="B880">D880&amp;_xlfn.TEXTJOIN("",1,TEXT(E880:G880,"00"))</f>
        <v>1010000</v>
      </c>
      <c r="C880" s="30" t="str">
        <f t="shared" ref="C880:C883" si="526">_xlfn.TEXTJOIN(",",1,A880:B880)</f>
        <v>420850,1010000</v>
      </c>
      <c r="D880" s="26">
        <v>1</v>
      </c>
      <c r="E880" s="26">
        <v>1</v>
      </c>
      <c r="F880" s="26">
        <f>W880</f>
        <v>0</v>
      </c>
      <c r="G880" s="26">
        <v>0</v>
      </c>
      <c r="H880" s="9">
        <v>201803</v>
      </c>
      <c r="I880" s="15" t="str">
        <f>IFERROR(VLOOKUP(H880,monsters[#All],4,0),"")</f>
        <v>海藻小妖</v>
      </c>
      <c r="J880" s="15" t="str" cm="1">
        <f t="array" ref="J880">_xlfn.LET(_xlpm.v6p,ABS(ATAN2(O880,P880))*6/PI(),
_xlpm.output,_xlfn.IFS(_xlpm.v6p&lt;1,"正前",_xlpm.v6p&gt;5,"正后",AND(_xlpm.v6p&lt;5,_xlpm.v6p&gt;2,P880&lt;-1),"脚底",_xlpm.v6p&gt;4,"后上",_xlpm.v6p&lt;2,"前上",TRUE,"顶部"),
IFERROR(_xlpm.output,""))</f>
        <v>正前</v>
      </c>
      <c r="K880" s="19" t="b">
        <v>1</v>
      </c>
      <c r="L880" s="12" t="s">
        <v>63</v>
      </c>
      <c r="M880" s="12" t="s">
        <v>63</v>
      </c>
      <c r="N880" s="19" t="str">
        <f>O880+0&amp;","&amp;P880+0</f>
        <v>10,5</v>
      </c>
      <c r="O880" s="24">
        <v>10</v>
      </c>
      <c r="P880" s="24">
        <v>5</v>
      </c>
      <c r="Q880" s="19">
        <f t="shared" ref="Q880:Q883" si="527">_xlfn.LET(_xlpm._default,1,
_xlpm._custom,R880,
IF($A880&lt;&gt;"",IF(_xlpm._custom&lt;&gt;"",_xlpm._custom,_xlpm._default),""))</f>
        <v>2.5</v>
      </c>
      <c r="R880" s="24">
        <v>2.5</v>
      </c>
      <c r="S880" s="9">
        <v>2</v>
      </c>
      <c r="T880" s="19" t="str">
        <f>IF(U880&lt;&gt;"", U880+0&amp;","&amp;V880+0,"")</f>
        <v>2,2</v>
      </c>
      <c r="U880" s="24">
        <v>2</v>
      </c>
      <c r="V880" s="24">
        <v>2</v>
      </c>
      <c r="W880" s="9">
        <v>0</v>
      </c>
      <c r="X880" s="9">
        <v>11</v>
      </c>
      <c r="Y880" s="19" t="str">
        <f t="shared" ref="Y880:Y887" si="528">IF($A880&lt;&gt;"",IF($Z880&lt;&gt;"",$Z880,"0,0"),"")</f>
        <v>0,0</v>
      </c>
      <c r="Z880" s="79"/>
      <c r="AA880" s="19" t="str">
        <f>IF($A880&lt;&gt;"",IF($AB880&lt;&gt;"",$AB880,"80,120"),"")</f>
        <v>120,120</v>
      </c>
      <c r="AB880" s="41" t="s">
        <v>360</v>
      </c>
      <c r="AC880" s="16"/>
      <c r="AD880" s="9">
        <v>120</v>
      </c>
      <c r="AE880" s="16"/>
      <c r="AF880" s="16"/>
      <c r="AG880" s="16"/>
    </row>
    <row r="881" spans="1:39" x14ac:dyDescent="0.2">
      <c r="A881" s="9">
        <v>420850</v>
      </c>
      <c r="B881" s="9" t="str" cm="1">
        <f t="array" ref="B881">D881&amp;_xlfn.TEXTJOIN("",1,TEXT(E881:G881,"00"))</f>
        <v>1010001</v>
      </c>
      <c r="C881" s="30" t="str">
        <f t="shared" si="526"/>
        <v>420850,1010001</v>
      </c>
      <c r="D881" s="26">
        <v>1</v>
      </c>
      <c r="E881" s="26">
        <v>1</v>
      </c>
      <c r="F881" s="26">
        <f>W881</f>
        <v>0</v>
      </c>
      <c r="G881" s="26">
        <v>1</v>
      </c>
      <c r="H881" s="9">
        <v>201803</v>
      </c>
      <c r="I881" s="15" t="str">
        <f>IFERROR(VLOOKUP(H881,monsters[#All],4,0),"")</f>
        <v>海藻小妖</v>
      </c>
      <c r="J881" s="15" t="str" cm="1">
        <f t="array" ref="J881">_xlfn.LET(_xlpm.v6p,ABS(ATAN2(O881,P881))*6/PI(),
_xlpm.output,_xlfn.IFS(_xlpm.v6p&lt;1,"正前",_xlpm.v6p&gt;5,"正后",AND(_xlpm.v6p&lt;5,_xlpm.v6p&gt;2,P881&lt;-1),"脚底",_xlpm.v6p&gt;4,"后上",_xlpm.v6p&lt;2,"前上",TRUE,"顶部"),
IFERROR(_xlpm.output,""))</f>
        <v>顶部</v>
      </c>
      <c r="K881" s="19" t="b">
        <v>1</v>
      </c>
      <c r="L881" s="12" t="s">
        <v>63</v>
      </c>
      <c r="M881" s="12" t="s">
        <v>63</v>
      </c>
      <c r="N881" s="19" t="str">
        <f>O881+0&amp;","&amp;P881+0</f>
        <v>3,11</v>
      </c>
      <c r="O881" s="24">
        <v>3</v>
      </c>
      <c r="P881" s="24">
        <v>11</v>
      </c>
      <c r="Q881" s="19">
        <f t="shared" si="527"/>
        <v>2.5</v>
      </c>
      <c r="R881" s="24">
        <v>2.5</v>
      </c>
      <c r="S881" s="9">
        <v>2</v>
      </c>
      <c r="T881" s="19" t="str">
        <f>IF(U881&lt;&gt;"", U881+0&amp;","&amp;V881+0,"")</f>
        <v>2,2</v>
      </c>
      <c r="U881" s="24">
        <v>2</v>
      </c>
      <c r="V881" s="24">
        <v>2</v>
      </c>
      <c r="W881" s="9">
        <v>0</v>
      </c>
      <c r="X881" s="9">
        <v>11</v>
      </c>
      <c r="Y881" s="19" t="str">
        <f t="shared" si="528"/>
        <v>0,0</v>
      </c>
      <c r="Z881" s="79"/>
      <c r="AA881" s="19" t="str">
        <f>IF($A881&lt;&gt;"",IF($AB881&lt;&gt;"",$AB881,"80,120"),"")</f>
        <v>120,120</v>
      </c>
      <c r="AB881" s="41" t="s">
        <v>360</v>
      </c>
      <c r="AC881" s="16"/>
      <c r="AD881" s="9">
        <v>120</v>
      </c>
      <c r="AE881" s="16"/>
      <c r="AF881" s="16"/>
      <c r="AG881" s="16"/>
    </row>
    <row r="882" spans="1:39" x14ac:dyDescent="0.2">
      <c r="A882" s="9">
        <v>420850</v>
      </c>
      <c r="B882" s="9" t="str" cm="1">
        <f t="array" ref="B882">D882&amp;_xlfn.TEXTJOIN("",1,TEXT(E882:G882,"00"))</f>
        <v>1010002</v>
      </c>
      <c r="C882" s="30" t="str">
        <f t="shared" si="526"/>
        <v>420850,1010002</v>
      </c>
      <c r="D882" s="26">
        <v>1</v>
      </c>
      <c r="E882" s="26">
        <v>1</v>
      </c>
      <c r="F882" s="26">
        <f>W882</f>
        <v>0</v>
      </c>
      <c r="G882" s="26">
        <v>2</v>
      </c>
      <c r="H882" s="9">
        <v>201803</v>
      </c>
      <c r="I882" s="15" t="str">
        <f>IFERROR(VLOOKUP(H882,monsters[#All],4,0),"")</f>
        <v>海藻小妖</v>
      </c>
      <c r="J882" s="15" t="str" cm="1">
        <f t="array" ref="J882">_xlfn.LET(_xlpm.v6p,ABS(ATAN2(O882,P882))*6/PI(),
_xlpm.output,_xlfn.IFS(_xlpm.v6p&lt;1,"正前",_xlpm.v6p&gt;5,"正后",AND(_xlpm.v6p&lt;5,_xlpm.v6p&gt;2,P882&lt;-1),"脚底",_xlpm.v6p&gt;4,"后上",_xlpm.v6p&lt;2,"前上",TRUE,"顶部"),
IFERROR(_xlpm.output,""))</f>
        <v>顶部</v>
      </c>
      <c r="K882" s="19" t="b">
        <v>1</v>
      </c>
      <c r="L882" s="12" t="s">
        <v>63</v>
      </c>
      <c r="M882" s="12" t="s">
        <v>63</v>
      </c>
      <c r="N882" s="19" t="str">
        <f>O882+0&amp;","&amp;P882+0</f>
        <v>-1,11</v>
      </c>
      <c r="O882" s="24">
        <v>-1</v>
      </c>
      <c r="P882" s="24">
        <v>11</v>
      </c>
      <c r="Q882" s="19">
        <f t="shared" si="527"/>
        <v>2.5</v>
      </c>
      <c r="R882" s="24">
        <v>2.5</v>
      </c>
      <c r="S882" s="9">
        <v>2</v>
      </c>
      <c r="T882" s="19" t="str">
        <f>IF(U882&lt;&gt;"", U882+0&amp;","&amp;V882+0,"")</f>
        <v>2,2</v>
      </c>
      <c r="U882" s="24">
        <v>2</v>
      </c>
      <c r="V882" s="24">
        <v>2</v>
      </c>
      <c r="W882" s="9">
        <v>0</v>
      </c>
      <c r="X882" s="9">
        <v>11</v>
      </c>
      <c r="Y882" s="19" t="str">
        <f t="shared" si="528"/>
        <v>0,0</v>
      </c>
      <c r="Z882" s="79"/>
      <c r="AA882" s="19" t="str">
        <f>IF($A882&lt;&gt;"",IF($AB882&lt;&gt;"",$AB882,"80,120"),"")</f>
        <v>120,120</v>
      </c>
      <c r="AB882" s="41" t="s">
        <v>360</v>
      </c>
      <c r="AC882" s="16"/>
      <c r="AD882" s="9">
        <v>120</v>
      </c>
      <c r="AE882" s="16"/>
      <c r="AF882" s="16"/>
      <c r="AG882" s="16"/>
    </row>
    <row r="883" spans="1:39" x14ac:dyDescent="0.2">
      <c r="A883" s="9">
        <v>420850</v>
      </c>
      <c r="B883" s="9" t="str" cm="1">
        <f t="array" ref="B883">D883&amp;_xlfn.TEXTJOIN("",1,TEXT(E883:G883,"00"))</f>
        <v>1010003</v>
      </c>
      <c r="C883" s="30" t="str">
        <f t="shared" si="526"/>
        <v>420850,1010003</v>
      </c>
      <c r="D883" s="26">
        <v>1</v>
      </c>
      <c r="E883" s="26">
        <v>1</v>
      </c>
      <c r="F883" s="26">
        <f>W883</f>
        <v>0</v>
      </c>
      <c r="G883" s="26">
        <v>3</v>
      </c>
      <c r="H883" s="9">
        <v>201803</v>
      </c>
      <c r="I883" s="15" t="str">
        <f>IFERROR(VLOOKUP(H883,monsters[#All],4,0),"")</f>
        <v>海藻小妖</v>
      </c>
      <c r="J883" s="15" t="str" cm="1">
        <f t="array" ref="J883">_xlfn.LET(_xlpm.v6p,ABS(ATAN2(O883,P883))*6/PI(),
_xlpm.output,_xlfn.IFS(_xlpm.v6p&lt;1,"正前",_xlpm.v6p&gt;5,"正后",AND(_xlpm.v6p&lt;5,_xlpm.v6p&gt;2,P883&lt;-1),"脚底",_xlpm.v6p&gt;4,"后上",_xlpm.v6p&lt;2,"前上",TRUE,"顶部"),
IFERROR(_xlpm.output,""))</f>
        <v>后上</v>
      </c>
      <c r="K883" s="19" t="b">
        <v>1</v>
      </c>
      <c r="L883" s="12" t="s">
        <v>63</v>
      </c>
      <c r="M883" s="12" t="s">
        <v>63</v>
      </c>
      <c r="N883" s="19" t="str">
        <f>O883+0&amp;","&amp;P883+0</f>
        <v>-8,5</v>
      </c>
      <c r="O883" s="24">
        <v>-8</v>
      </c>
      <c r="P883" s="24">
        <v>5</v>
      </c>
      <c r="Q883" s="19">
        <f t="shared" si="527"/>
        <v>2.5</v>
      </c>
      <c r="R883" s="24">
        <v>2.5</v>
      </c>
      <c r="S883" s="9">
        <v>2</v>
      </c>
      <c r="T883" s="19" t="str">
        <f>IF(U883&lt;&gt;"", U883+0&amp;","&amp;V883+0,"")</f>
        <v>2,2</v>
      </c>
      <c r="U883" s="24">
        <v>2</v>
      </c>
      <c r="V883" s="24">
        <v>2</v>
      </c>
      <c r="W883" s="9">
        <v>0</v>
      </c>
      <c r="X883" s="9">
        <v>11</v>
      </c>
      <c r="Y883" s="19" t="str">
        <f t="shared" ref="Y883:Y898" si="529">IF($A883&lt;&gt;"",IF($Z883&lt;&gt;"",$Z883,"0,0"),"")</f>
        <v>0,0</v>
      </c>
      <c r="Z883" s="79"/>
      <c r="AA883" s="19" t="str">
        <f>IF($A883&lt;&gt;"",IF($AB883&lt;&gt;"",$AB883,"80,120"),"")</f>
        <v>120,120</v>
      </c>
      <c r="AB883" s="41" t="s">
        <v>360</v>
      </c>
      <c r="AC883" s="16"/>
      <c r="AD883" s="9">
        <v>120</v>
      </c>
      <c r="AE883" s="16"/>
      <c r="AF883" s="16"/>
      <c r="AG883" s="16"/>
    </row>
    <row r="885" spans="1:39" x14ac:dyDescent="0.2">
      <c r="A885" s="9">
        <v>420850</v>
      </c>
      <c r="B885" s="9" t="str" cm="1">
        <f t="array" ref="B885">D885&amp;_xlfn.TEXTJOIN("",1,TEXT(E885:G885,"00"))</f>
        <v>1020000</v>
      </c>
      <c r="C885" s="30" t="str">
        <f t="shared" ref="C885:C888" si="530">_xlfn.TEXTJOIN(",",1,A885:B885)</f>
        <v>420850,1020000</v>
      </c>
      <c r="D885" s="26">
        <v>1</v>
      </c>
      <c r="E885" s="26">
        <v>2</v>
      </c>
      <c r="F885" s="26">
        <f>W885</f>
        <v>0</v>
      </c>
      <c r="G885" s="26">
        <v>0</v>
      </c>
      <c r="H885" s="9">
        <v>201803</v>
      </c>
      <c r="I885" s="15" t="str">
        <f>IFERROR(VLOOKUP(H885,monsters[#All],4,0),"")</f>
        <v>海藻小妖</v>
      </c>
      <c r="J885" s="15" t="str" cm="1">
        <f t="array" ref="J885">_xlfn.LET(_xlpm.v6p,ABS(ATAN2(O885,P885))*6/PI(),
_xlpm.output,_xlfn.IFS(_xlpm.v6p&lt;1,"正前",_xlpm.v6p&gt;5,"正后",AND(_xlpm.v6p&lt;5,_xlpm.v6p&gt;2,P885&lt;-1),"脚底",_xlpm.v6p&gt;4,"后上",_xlpm.v6p&lt;2,"前上",TRUE,"顶部"),
IFERROR(_xlpm.output,""))</f>
        <v>正前</v>
      </c>
      <c r="K885" s="19" t="b">
        <v>1</v>
      </c>
      <c r="L885" s="12" t="s">
        <v>63</v>
      </c>
      <c r="M885" s="12" t="s">
        <v>63</v>
      </c>
      <c r="N885" s="19" t="str">
        <f>O885+0&amp;","&amp;P885+0</f>
        <v>10,5</v>
      </c>
      <c r="O885" s="24">
        <v>10</v>
      </c>
      <c r="P885" s="24">
        <v>5</v>
      </c>
      <c r="Q885" s="19">
        <f t="shared" ref="Q885:Q888" si="531">_xlfn.LET(_xlpm._default,1,
_xlpm._custom,R885,
IF($A885&lt;&gt;"",IF(_xlpm._custom&lt;&gt;"",_xlpm._custom,_xlpm._default),""))</f>
        <v>2.5</v>
      </c>
      <c r="R885" s="24">
        <v>2.5</v>
      </c>
      <c r="S885" s="9">
        <v>3</v>
      </c>
      <c r="T885" s="19" t="str">
        <f>IF(U885&lt;&gt;"", U885+0&amp;","&amp;V885+0,"")</f>
        <v>3,3</v>
      </c>
      <c r="U885" s="24">
        <v>3</v>
      </c>
      <c r="V885" s="24">
        <v>3</v>
      </c>
      <c r="W885" s="9">
        <v>0</v>
      </c>
      <c r="X885" s="9">
        <v>11</v>
      </c>
      <c r="Y885" s="19" t="str">
        <f t="shared" si="528"/>
        <v>0,0</v>
      </c>
      <c r="Z885" s="79"/>
      <c r="AA885" s="19" t="str">
        <f>IF($A885&lt;&gt;"",IF($AB885&lt;&gt;"",$AB885,"80,120"),"")</f>
        <v>360,360</v>
      </c>
      <c r="AB885" s="41" t="s">
        <v>362</v>
      </c>
      <c r="AC885" s="16"/>
      <c r="AD885" s="9">
        <v>120</v>
      </c>
      <c r="AE885" s="16"/>
      <c r="AF885" s="16"/>
      <c r="AG885" s="16"/>
    </row>
    <row r="886" spans="1:39" x14ac:dyDescent="0.2">
      <c r="A886" s="9">
        <v>420850</v>
      </c>
      <c r="B886" s="9" t="str" cm="1">
        <f t="array" ref="B886">D886&amp;_xlfn.TEXTJOIN("",1,TEXT(E886:G886,"00"))</f>
        <v>1020001</v>
      </c>
      <c r="C886" s="30" t="str">
        <f t="shared" si="530"/>
        <v>420850,1020001</v>
      </c>
      <c r="D886" s="26">
        <v>1</v>
      </c>
      <c r="E886" s="26">
        <v>2</v>
      </c>
      <c r="F886" s="26">
        <f>W886</f>
        <v>0</v>
      </c>
      <c r="G886" s="26">
        <v>1</v>
      </c>
      <c r="H886" s="9">
        <v>201803</v>
      </c>
      <c r="I886" s="15" t="str">
        <f>IFERROR(VLOOKUP(H886,monsters[#All],4,0),"")</f>
        <v>海藻小妖</v>
      </c>
      <c r="J886" s="15" t="str" cm="1">
        <f t="array" ref="J886">_xlfn.LET(_xlpm.v6p,ABS(ATAN2(O886,P886))*6/PI(),
_xlpm.output,_xlfn.IFS(_xlpm.v6p&lt;1,"正前",_xlpm.v6p&gt;5,"正后",AND(_xlpm.v6p&lt;5,_xlpm.v6p&gt;2,P886&lt;-1),"脚底",_xlpm.v6p&gt;4,"后上",_xlpm.v6p&lt;2,"前上",TRUE,"顶部"),
IFERROR(_xlpm.output,""))</f>
        <v>顶部</v>
      </c>
      <c r="K886" s="19" t="b">
        <v>1</v>
      </c>
      <c r="L886" s="12" t="s">
        <v>63</v>
      </c>
      <c r="M886" s="12" t="s">
        <v>63</v>
      </c>
      <c r="N886" s="19" t="str">
        <f>O886+0&amp;","&amp;P886+0</f>
        <v>3,11</v>
      </c>
      <c r="O886" s="24">
        <v>3</v>
      </c>
      <c r="P886" s="24">
        <v>11</v>
      </c>
      <c r="Q886" s="19">
        <f t="shared" si="531"/>
        <v>2.5</v>
      </c>
      <c r="R886" s="24">
        <v>2.5</v>
      </c>
      <c r="S886" s="9">
        <v>3</v>
      </c>
      <c r="T886" s="19" t="str">
        <f>IF(U886&lt;&gt;"", U886+0&amp;","&amp;V886+0,"")</f>
        <v>3,3</v>
      </c>
      <c r="U886" s="24">
        <v>3</v>
      </c>
      <c r="V886" s="24">
        <v>3</v>
      </c>
      <c r="W886" s="9">
        <v>0</v>
      </c>
      <c r="X886" s="9">
        <v>11</v>
      </c>
      <c r="Y886" s="19" t="str">
        <f t="shared" si="528"/>
        <v>0,0</v>
      </c>
      <c r="Z886" s="79"/>
      <c r="AA886" s="19" t="str">
        <f>IF($A886&lt;&gt;"",IF($AB886&lt;&gt;"",$AB886,"80,120"),"")</f>
        <v>360,360</v>
      </c>
      <c r="AB886" s="41" t="s">
        <v>362</v>
      </c>
      <c r="AC886" s="16"/>
      <c r="AD886" s="9">
        <v>120</v>
      </c>
      <c r="AE886" s="16"/>
      <c r="AF886" s="16"/>
      <c r="AG886" s="16"/>
    </row>
    <row r="887" spans="1:39" x14ac:dyDescent="0.2">
      <c r="A887" s="9">
        <v>420850</v>
      </c>
      <c r="B887" s="9" t="str" cm="1">
        <f t="array" ref="B887">D887&amp;_xlfn.TEXTJOIN("",1,TEXT(E887:G887,"00"))</f>
        <v>1020002</v>
      </c>
      <c r="C887" s="30" t="str">
        <f t="shared" si="530"/>
        <v>420850,1020002</v>
      </c>
      <c r="D887" s="26">
        <v>1</v>
      </c>
      <c r="E887" s="26">
        <v>2</v>
      </c>
      <c r="F887" s="26">
        <f>W887</f>
        <v>0</v>
      </c>
      <c r="G887" s="26">
        <v>2</v>
      </c>
      <c r="H887" s="9">
        <v>201803</v>
      </c>
      <c r="I887" s="15" t="str">
        <f>IFERROR(VLOOKUP(H887,monsters[#All],4,0),"")</f>
        <v>海藻小妖</v>
      </c>
      <c r="J887" s="15" t="str" cm="1">
        <f t="array" ref="J887">_xlfn.LET(_xlpm.v6p,ABS(ATAN2(O887,P887))*6/PI(),
_xlpm.output,_xlfn.IFS(_xlpm.v6p&lt;1,"正前",_xlpm.v6p&gt;5,"正后",AND(_xlpm.v6p&lt;5,_xlpm.v6p&gt;2,P887&lt;-1),"脚底",_xlpm.v6p&gt;4,"后上",_xlpm.v6p&lt;2,"前上",TRUE,"顶部"),
IFERROR(_xlpm.output,""))</f>
        <v>顶部</v>
      </c>
      <c r="K887" s="19" t="b">
        <v>1</v>
      </c>
      <c r="L887" s="12" t="s">
        <v>63</v>
      </c>
      <c r="M887" s="12" t="s">
        <v>63</v>
      </c>
      <c r="N887" s="19" t="str">
        <f>O887+0&amp;","&amp;P887+0</f>
        <v>-1,11</v>
      </c>
      <c r="O887" s="24">
        <v>-1</v>
      </c>
      <c r="P887" s="24">
        <v>11</v>
      </c>
      <c r="Q887" s="19">
        <f t="shared" si="531"/>
        <v>2.5</v>
      </c>
      <c r="R887" s="24">
        <v>2.5</v>
      </c>
      <c r="S887" s="9">
        <v>3</v>
      </c>
      <c r="T887" s="19" t="str">
        <f>IF(U887&lt;&gt;"", U887+0&amp;","&amp;V887+0,"")</f>
        <v>3,3</v>
      </c>
      <c r="U887" s="24">
        <v>3</v>
      </c>
      <c r="V887" s="24">
        <v>3</v>
      </c>
      <c r="W887" s="9">
        <v>0</v>
      </c>
      <c r="X887" s="9">
        <v>11</v>
      </c>
      <c r="Y887" s="19" t="str">
        <f t="shared" si="528"/>
        <v>0,0</v>
      </c>
      <c r="Z887" s="79"/>
      <c r="AA887" s="19" t="str">
        <f>IF($A887&lt;&gt;"",IF($AB887&lt;&gt;"",$AB887,"80,120"),"")</f>
        <v>360,360</v>
      </c>
      <c r="AB887" s="41" t="s">
        <v>362</v>
      </c>
      <c r="AC887" s="16"/>
      <c r="AD887" s="9">
        <v>120</v>
      </c>
      <c r="AE887" s="16"/>
      <c r="AF887" s="16"/>
      <c r="AG887" s="16"/>
    </row>
    <row r="888" spans="1:39" x14ac:dyDescent="0.2">
      <c r="A888" s="9">
        <v>420850</v>
      </c>
      <c r="B888" s="9" t="str" cm="1">
        <f t="array" ref="B888">D888&amp;_xlfn.TEXTJOIN("",1,TEXT(E888:G888,"00"))</f>
        <v>1020003</v>
      </c>
      <c r="C888" s="30" t="str">
        <f t="shared" si="530"/>
        <v>420850,1020003</v>
      </c>
      <c r="D888" s="26">
        <v>1</v>
      </c>
      <c r="E888" s="26">
        <v>2</v>
      </c>
      <c r="F888" s="26">
        <f>W888</f>
        <v>0</v>
      </c>
      <c r="G888" s="26">
        <v>3</v>
      </c>
      <c r="H888" s="9">
        <v>201803</v>
      </c>
      <c r="I888" s="15" t="str">
        <f>IFERROR(VLOOKUP(H888,monsters[#All],4,0),"")</f>
        <v>海藻小妖</v>
      </c>
      <c r="J888" s="15" t="str" cm="1">
        <f t="array" ref="J888">_xlfn.LET(_xlpm.v6p,ABS(ATAN2(O888,P888))*6/PI(),
_xlpm.output,_xlfn.IFS(_xlpm.v6p&lt;1,"正前",_xlpm.v6p&gt;5,"正后",AND(_xlpm.v6p&lt;5,_xlpm.v6p&gt;2,P888&lt;-1),"脚底",_xlpm.v6p&gt;4,"后上",_xlpm.v6p&lt;2,"前上",TRUE,"顶部"),
IFERROR(_xlpm.output,""))</f>
        <v>后上</v>
      </c>
      <c r="K888" s="19" t="b">
        <v>1</v>
      </c>
      <c r="L888" s="12" t="s">
        <v>63</v>
      </c>
      <c r="M888" s="12" t="s">
        <v>63</v>
      </c>
      <c r="N888" s="19" t="str">
        <f>O888+0&amp;","&amp;P888+0</f>
        <v>-8,5</v>
      </c>
      <c r="O888" s="24">
        <v>-8</v>
      </c>
      <c r="P888" s="24">
        <v>5</v>
      </c>
      <c r="Q888" s="19">
        <f t="shared" si="531"/>
        <v>2.5</v>
      </c>
      <c r="R888" s="24">
        <v>2.5</v>
      </c>
      <c r="S888" s="9">
        <v>3</v>
      </c>
      <c r="T888" s="19" t="str">
        <f>IF(U888&lt;&gt;"", U888+0&amp;","&amp;V888+0,"")</f>
        <v>3,3</v>
      </c>
      <c r="U888" s="24">
        <v>3</v>
      </c>
      <c r="V888" s="24">
        <v>3</v>
      </c>
      <c r="W888" s="9">
        <v>0</v>
      </c>
      <c r="X888" s="9">
        <v>11</v>
      </c>
      <c r="Y888" s="19" t="str">
        <f t="shared" si="529"/>
        <v>0,0</v>
      </c>
      <c r="Z888" s="79"/>
      <c r="AA888" s="19" t="str">
        <f>IF($A888&lt;&gt;"",IF($AB888&lt;&gt;"",$AB888,"80,120"),"")</f>
        <v>360,360</v>
      </c>
      <c r="AB888" s="41" t="s">
        <v>362</v>
      </c>
      <c r="AC888" s="16"/>
      <c r="AD888" s="9">
        <v>120</v>
      </c>
      <c r="AE888" s="16"/>
      <c r="AF888" s="16"/>
      <c r="AG888" s="16"/>
    </row>
    <row r="890" spans="1:39" x14ac:dyDescent="0.2">
      <c r="A890" s="9">
        <v>420850</v>
      </c>
      <c r="B890" s="9" t="str" cm="1">
        <f t="array" ref="B890">D890&amp;_xlfn.TEXTJOIN("",1,TEXT(E890:G890,"00"))</f>
        <v>1030000</v>
      </c>
      <c r="C890" s="30" t="str">
        <f t="shared" ref="C890:C893" si="532">_xlfn.TEXTJOIN(",",1,A890:B890)</f>
        <v>420850,1030000</v>
      </c>
      <c r="D890" s="26">
        <v>1</v>
      </c>
      <c r="E890" s="26">
        <v>3</v>
      </c>
      <c r="F890" s="26">
        <f>W890</f>
        <v>0</v>
      </c>
      <c r="G890" s="26">
        <v>0</v>
      </c>
      <c r="H890" s="9">
        <v>201803</v>
      </c>
      <c r="I890" s="15" t="str">
        <f>IFERROR(VLOOKUP(H890,monsters[#All],4,0),"")</f>
        <v>海藻小妖</v>
      </c>
      <c r="J890" s="15" t="str" cm="1">
        <f t="array" ref="J890">_xlfn.LET(_xlpm.v6p,ABS(ATAN2(O890,P890))*6/PI(),
_xlpm.output,_xlfn.IFS(_xlpm.v6p&lt;1,"正前",_xlpm.v6p&gt;5,"正后",AND(_xlpm.v6p&lt;5,_xlpm.v6p&gt;2,P890&lt;-1),"脚底",_xlpm.v6p&gt;4,"后上",_xlpm.v6p&lt;2,"前上",TRUE,"顶部"),
IFERROR(_xlpm.output,""))</f>
        <v>正前</v>
      </c>
      <c r="K890" s="19" t="b">
        <v>1</v>
      </c>
      <c r="L890" s="12" t="s">
        <v>63</v>
      </c>
      <c r="M890" s="12" t="s">
        <v>63</v>
      </c>
      <c r="N890" s="19" t="str">
        <f>O890+0&amp;","&amp;P890+0</f>
        <v>10,5</v>
      </c>
      <c r="O890" s="24">
        <v>10</v>
      </c>
      <c r="P890" s="24">
        <v>5</v>
      </c>
      <c r="Q890" s="19">
        <f t="shared" ref="Q890:Q893" si="533">_xlfn.LET(_xlpm._default,1,
_xlpm._custom,R890,
IF($A890&lt;&gt;"",IF(_xlpm._custom&lt;&gt;"",_xlpm._custom,_xlpm._default),""))</f>
        <v>2.5</v>
      </c>
      <c r="R890" s="24">
        <v>2.5</v>
      </c>
      <c r="S890" s="9">
        <v>4</v>
      </c>
      <c r="T890" s="19" t="str">
        <f>IF(U890&lt;&gt;"", U890+0&amp;","&amp;V890+0,"")</f>
        <v>4,4</v>
      </c>
      <c r="U890" s="24">
        <v>4</v>
      </c>
      <c r="V890" s="24">
        <v>4</v>
      </c>
      <c r="W890" s="9">
        <v>0</v>
      </c>
      <c r="X890" s="9">
        <v>11</v>
      </c>
      <c r="Y890" s="19" t="str">
        <f t="shared" ref="Y890:Y892" si="534">IF($A890&lt;&gt;"",IF($Z890&lt;&gt;"",$Z890,"0,0"),"")</f>
        <v>0,0</v>
      </c>
      <c r="Z890" s="79"/>
      <c r="AA890" s="19" t="str">
        <f>IF($A890&lt;&gt;"",IF($AB890&lt;&gt;"",$AB890,"80,120"),"")</f>
        <v>720,720</v>
      </c>
      <c r="AB890" s="41" t="s">
        <v>364</v>
      </c>
      <c r="AC890" s="16"/>
      <c r="AD890" s="9">
        <v>120</v>
      </c>
      <c r="AE890" s="16"/>
      <c r="AF890" s="16"/>
      <c r="AG890" s="16"/>
    </row>
    <row r="891" spans="1:39" x14ac:dyDescent="0.2">
      <c r="A891" s="9">
        <v>420850</v>
      </c>
      <c r="B891" s="9" t="str" cm="1">
        <f t="array" ref="B891">D891&amp;_xlfn.TEXTJOIN("",1,TEXT(E891:G891,"00"))</f>
        <v>1030001</v>
      </c>
      <c r="C891" s="30" t="str">
        <f t="shared" si="532"/>
        <v>420850,1030001</v>
      </c>
      <c r="D891" s="26">
        <v>1</v>
      </c>
      <c r="E891" s="26">
        <v>3</v>
      </c>
      <c r="F891" s="26">
        <f>W891</f>
        <v>0</v>
      </c>
      <c r="G891" s="26">
        <v>1</v>
      </c>
      <c r="H891" s="9">
        <v>201803</v>
      </c>
      <c r="I891" s="15" t="str">
        <f>IFERROR(VLOOKUP(H891,monsters[#All],4,0),"")</f>
        <v>海藻小妖</v>
      </c>
      <c r="J891" s="15" t="str" cm="1">
        <f t="array" ref="J891">_xlfn.LET(_xlpm.v6p,ABS(ATAN2(O891,P891))*6/PI(),
_xlpm.output,_xlfn.IFS(_xlpm.v6p&lt;1,"正前",_xlpm.v6p&gt;5,"正后",AND(_xlpm.v6p&lt;5,_xlpm.v6p&gt;2,P891&lt;-1),"脚底",_xlpm.v6p&gt;4,"后上",_xlpm.v6p&lt;2,"前上",TRUE,"顶部"),
IFERROR(_xlpm.output,""))</f>
        <v>顶部</v>
      </c>
      <c r="K891" s="19" t="b">
        <v>1</v>
      </c>
      <c r="L891" s="12" t="s">
        <v>63</v>
      </c>
      <c r="M891" s="12" t="s">
        <v>63</v>
      </c>
      <c r="N891" s="19" t="str">
        <f>O891+0&amp;","&amp;P891+0</f>
        <v>3,11</v>
      </c>
      <c r="O891" s="24">
        <v>3</v>
      </c>
      <c r="P891" s="24">
        <v>11</v>
      </c>
      <c r="Q891" s="19">
        <f t="shared" si="533"/>
        <v>2.5</v>
      </c>
      <c r="R891" s="24">
        <v>2.5</v>
      </c>
      <c r="S891" s="9">
        <v>4</v>
      </c>
      <c r="T891" s="19" t="str">
        <f>IF(U891&lt;&gt;"", U891+0&amp;","&amp;V891+0,"")</f>
        <v>4,4</v>
      </c>
      <c r="U891" s="24">
        <v>4</v>
      </c>
      <c r="V891" s="24">
        <v>4</v>
      </c>
      <c r="W891" s="9">
        <v>0</v>
      </c>
      <c r="X891" s="9">
        <v>11</v>
      </c>
      <c r="Y891" s="19" t="str">
        <f t="shared" si="534"/>
        <v>0,0</v>
      </c>
      <c r="Z891" s="79"/>
      <c r="AA891" s="19" t="str">
        <f>IF($A891&lt;&gt;"",IF($AB891&lt;&gt;"",$AB891,"80,120"),"")</f>
        <v>720,720</v>
      </c>
      <c r="AB891" s="41" t="s">
        <v>364</v>
      </c>
      <c r="AC891" s="16"/>
      <c r="AD891" s="9">
        <v>120</v>
      </c>
      <c r="AE891" s="16"/>
      <c r="AF891" s="16"/>
      <c r="AG891" s="16"/>
    </row>
    <row r="892" spans="1:39" x14ac:dyDescent="0.2">
      <c r="A892" s="9">
        <v>420850</v>
      </c>
      <c r="B892" s="9" t="str" cm="1">
        <f t="array" ref="B892">D892&amp;_xlfn.TEXTJOIN("",1,TEXT(E892:G892,"00"))</f>
        <v>1030002</v>
      </c>
      <c r="C892" s="30" t="str">
        <f t="shared" si="532"/>
        <v>420850,1030002</v>
      </c>
      <c r="D892" s="26">
        <v>1</v>
      </c>
      <c r="E892" s="26">
        <v>3</v>
      </c>
      <c r="F892" s="26">
        <f>W892</f>
        <v>0</v>
      </c>
      <c r="G892" s="26">
        <v>2</v>
      </c>
      <c r="H892" s="9">
        <v>201803</v>
      </c>
      <c r="I892" s="15" t="str">
        <f>IFERROR(VLOOKUP(H892,monsters[#All],4,0),"")</f>
        <v>海藻小妖</v>
      </c>
      <c r="J892" s="15" t="str" cm="1">
        <f t="array" ref="J892">_xlfn.LET(_xlpm.v6p,ABS(ATAN2(O892,P892))*6/PI(),
_xlpm.output,_xlfn.IFS(_xlpm.v6p&lt;1,"正前",_xlpm.v6p&gt;5,"正后",AND(_xlpm.v6p&lt;5,_xlpm.v6p&gt;2,P892&lt;-1),"脚底",_xlpm.v6p&gt;4,"后上",_xlpm.v6p&lt;2,"前上",TRUE,"顶部"),
IFERROR(_xlpm.output,""))</f>
        <v>顶部</v>
      </c>
      <c r="K892" s="19" t="b">
        <v>1</v>
      </c>
      <c r="L892" s="12" t="s">
        <v>63</v>
      </c>
      <c r="M892" s="12" t="s">
        <v>63</v>
      </c>
      <c r="N892" s="19" t="str">
        <f>O892+0&amp;","&amp;P892+0</f>
        <v>-1,11</v>
      </c>
      <c r="O892" s="24">
        <v>-1</v>
      </c>
      <c r="P892" s="24">
        <v>11</v>
      </c>
      <c r="Q892" s="19">
        <f t="shared" si="533"/>
        <v>2.5</v>
      </c>
      <c r="R892" s="24">
        <v>2.5</v>
      </c>
      <c r="S892" s="9">
        <v>4</v>
      </c>
      <c r="T892" s="19" t="str">
        <f>IF(U892&lt;&gt;"", U892+0&amp;","&amp;V892+0,"")</f>
        <v>4,4</v>
      </c>
      <c r="U892" s="24">
        <v>4</v>
      </c>
      <c r="V892" s="24">
        <v>4</v>
      </c>
      <c r="W892" s="9">
        <v>0</v>
      </c>
      <c r="X892" s="9">
        <v>11</v>
      </c>
      <c r="Y892" s="19" t="str">
        <f t="shared" si="534"/>
        <v>0,0</v>
      </c>
      <c r="Z892" s="79"/>
      <c r="AA892" s="19" t="str">
        <f>IF($A892&lt;&gt;"",IF($AB892&lt;&gt;"",$AB892,"80,120"),"")</f>
        <v>720,720</v>
      </c>
      <c r="AB892" s="41" t="s">
        <v>364</v>
      </c>
      <c r="AC892" s="16"/>
      <c r="AD892" s="9">
        <v>120</v>
      </c>
      <c r="AE892" s="16"/>
      <c r="AF892" s="16"/>
      <c r="AG892" s="16"/>
    </row>
    <row r="893" spans="1:39" x14ac:dyDescent="0.2">
      <c r="A893" s="9">
        <v>420850</v>
      </c>
      <c r="B893" s="9" t="str" cm="1">
        <f t="array" ref="B893">D893&amp;_xlfn.TEXTJOIN("",1,TEXT(E893:G893,"00"))</f>
        <v>1030003</v>
      </c>
      <c r="C893" s="30" t="str">
        <f t="shared" si="532"/>
        <v>420850,1030003</v>
      </c>
      <c r="D893" s="26">
        <v>1</v>
      </c>
      <c r="E893" s="26">
        <v>3</v>
      </c>
      <c r="F893" s="26">
        <f>W893</f>
        <v>0</v>
      </c>
      <c r="G893" s="26">
        <v>3</v>
      </c>
      <c r="H893" s="9">
        <v>201803</v>
      </c>
      <c r="I893" s="15" t="str">
        <f>IFERROR(VLOOKUP(H893,monsters[#All],4,0),"")</f>
        <v>海藻小妖</v>
      </c>
      <c r="J893" s="15" t="str" cm="1">
        <f t="array" ref="J893">_xlfn.LET(_xlpm.v6p,ABS(ATAN2(O893,P893))*6/PI(),
_xlpm.output,_xlfn.IFS(_xlpm.v6p&lt;1,"正前",_xlpm.v6p&gt;5,"正后",AND(_xlpm.v6p&lt;5,_xlpm.v6p&gt;2,P893&lt;-1),"脚底",_xlpm.v6p&gt;4,"后上",_xlpm.v6p&lt;2,"前上",TRUE,"顶部"),
IFERROR(_xlpm.output,""))</f>
        <v>后上</v>
      </c>
      <c r="K893" s="19" t="b">
        <v>1</v>
      </c>
      <c r="L893" s="12" t="s">
        <v>63</v>
      </c>
      <c r="M893" s="12" t="s">
        <v>63</v>
      </c>
      <c r="N893" s="19" t="str">
        <f>O893+0&amp;","&amp;P893+0</f>
        <v>-8,5</v>
      </c>
      <c r="O893" s="24">
        <v>-8</v>
      </c>
      <c r="P893" s="24">
        <v>5</v>
      </c>
      <c r="Q893" s="19">
        <f t="shared" si="533"/>
        <v>2.5</v>
      </c>
      <c r="R893" s="24">
        <v>2.5</v>
      </c>
      <c r="S893" s="9">
        <v>4</v>
      </c>
      <c r="T893" s="19" t="str">
        <f>IF(U893&lt;&gt;"", U893+0&amp;","&amp;V893+0,"")</f>
        <v>4,4</v>
      </c>
      <c r="U893" s="24">
        <v>4</v>
      </c>
      <c r="V893" s="24">
        <v>4</v>
      </c>
      <c r="W893" s="9">
        <v>0</v>
      </c>
      <c r="X893" s="9">
        <v>11</v>
      </c>
      <c r="Y893" s="19" t="str">
        <f t="shared" si="529"/>
        <v>0,0</v>
      </c>
      <c r="Z893" s="79"/>
      <c r="AA893" s="19" t="str">
        <f>IF($A893&lt;&gt;"",IF($AB893&lt;&gt;"",$AB893,"80,120"),"")</f>
        <v>720,720</v>
      </c>
      <c r="AB893" s="41" t="s">
        <v>364</v>
      </c>
      <c r="AC893" s="16"/>
      <c r="AD893" s="9">
        <v>120</v>
      </c>
      <c r="AE893" s="16"/>
      <c r="AF893" s="16"/>
      <c r="AG893" s="16"/>
    </row>
    <row r="895" spans="1:39" x14ac:dyDescent="0.2">
      <c r="A895" s="9">
        <v>420850</v>
      </c>
      <c r="B895" s="9" t="str" cm="1">
        <f t="array" ref="B895">D895&amp;_xlfn.TEXTJOIN("",1,TEXT(E895:G895,"00"))</f>
        <v>2010000</v>
      </c>
      <c r="C895" s="30" t="str">
        <f t="shared" ref="C895:C898" si="535">_xlfn.TEXTJOIN(",",1,A895:B895)</f>
        <v>420850,2010000</v>
      </c>
      <c r="D895" s="26">
        <v>2</v>
      </c>
      <c r="E895" s="26">
        <v>1</v>
      </c>
      <c r="F895" s="26">
        <f>W895</f>
        <v>0</v>
      </c>
      <c r="G895" s="26">
        <v>0</v>
      </c>
      <c r="H895" s="9">
        <v>201803</v>
      </c>
      <c r="I895" s="15" t="str">
        <f>IFERROR(VLOOKUP(H895,monsters[#All],4,0),"")</f>
        <v>海藻小妖</v>
      </c>
      <c r="J895" s="15" t="str" cm="1">
        <f t="array" ref="J895">_xlfn.LET(_xlpm.v6p,ABS(ATAN2(O895,P895))*6/PI(),
_xlpm.output,_xlfn.IFS(_xlpm.v6p&lt;1,"正前",_xlpm.v6p&gt;5,"正后",AND(_xlpm.v6p&lt;5,_xlpm.v6p&gt;2,P895&lt;-1),"脚底",_xlpm.v6p&gt;4,"后上",_xlpm.v6p&lt;2,"前上",TRUE,"顶部"),
IFERROR(_xlpm.output,""))</f>
        <v>正前</v>
      </c>
      <c r="K895" s="12"/>
      <c r="L895" s="12" t="s">
        <v>63</v>
      </c>
      <c r="M895" s="12" t="s">
        <v>63</v>
      </c>
      <c r="N895" s="19" t="str">
        <f>O895+0&amp;","&amp;P895+0</f>
        <v>10,5</v>
      </c>
      <c r="O895" s="24">
        <v>10</v>
      </c>
      <c r="P895" s="24">
        <v>5</v>
      </c>
      <c r="Q895" s="19">
        <f t="shared" ref="Q895:Q898" si="536">_xlfn.LET(_xlpm._default,1,
_xlpm._custom,R895,
IF($A895&lt;&gt;"",IF(_xlpm._custom&lt;&gt;"",_xlpm._custom,_xlpm._default),""))</f>
        <v>2.5</v>
      </c>
      <c r="R895" s="24">
        <v>2.5</v>
      </c>
      <c r="S895" s="9">
        <v>1</v>
      </c>
      <c r="T895" s="19" t="str">
        <f>IF(U895&lt;&gt;"", U895+0&amp;","&amp;V895+0,"")</f>
        <v>4,4</v>
      </c>
      <c r="U895" s="24">
        <v>4</v>
      </c>
      <c r="V895" s="24">
        <v>4</v>
      </c>
      <c r="W895" s="9">
        <v>0</v>
      </c>
      <c r="X895" s="9">
        <v>11</v>
      </c>
      <c r="Y895" s="19" t="str">
        <f t="shared" si="529"/>
        <v>180,180</v>
      </c>
      <c r="Z895" s="41" t="s">
        <v>315</v>
      </c>
      <c r="AA895" s="19" t="str">
        <f>IF($A895&lt;&gt;"",IF($AB895&lt;&gt;"",$AB895,"80,120"),"")</f>
        <v>200,200</v>
      </c>
      <c r="AB895" s="41" t="s">
        <v>314</v>
      </c>
      <c r="AC895" s="9">
        <v>1</v>
      </c>
      <c r="AD895" s="9">
        <v>4</v>
      </c>
      <c r="AE895" s="9">
        <v>0.3</v>
      </c>
      <c r="AF895" s="9">
        <v>3</v>
      </c>
      <c r="AG895" s="9">
        <v>100</v>
      </c>
      <c r="AI895" s="69" cm="1">
        <f t="array" ref="AI895">tuple_avg(T895)/tuple_avg(AA895)</f>
        <v>0.02</v>
      </c>
      <c r="AJ895" s="69">
        <f>AC895*AI895*'-配置辅助'!$I$8</f>
        <v>2</v>
      </c>
      <c r="AK895" s="69">
        <f>AD895*AI895*'-配置辅助'!$I$10</f>
        <v>1.3333333333333335</v>
      </c>
      <c r="AL895" s="69">
        <f>AJ895*_xlfn.XLOOKUP(H895,monsters[怪物id],monsters[HP],-1)</f>
        <v>48</v>
      </c>
      <c r="AM895" s="69">
        <f>AK895*_xlfn.XLOOKUP(H895,monsters[怪物id],monsters[HP],-1)</f>
        <v>32</v>
      </c>
    </row>
    <row r="896" spans="1:39" x14ac:dyDescent="0.2">
      <c r="A896" s="9">
        <v>420850</v>
      </c>
      <c r="B896" s="9" t="str" cm="1">
        <f t="array" ref="B896">D896&amp;_xlfn.TEXTJOIN("",1,TEXT(E896:G896,"00"))</f>
        <v>2010001</v>
      </c>
      <c r="C896" s="30" t="str">
        <f t="shared" si="535"/>
        <v>420850,2010001</v>
      </c>
      <c r="D896" s="26">
        <v>2</v>
      </c>
      <c r="E896" s="26">
        <v>1</v>
      </c>
      <c r="F896" s="26">
        <f>W896</f>
        <v>0</v>
      </c>
      <c r="G896" s="26">
        <v>1</v>
      </c>
      <c r="H896" s="9">
        <v>201803</v>
      </c>
      <c r="I896" s="15" t="str">
        <f>IFERROR(VLOOKUP(H896,monsters[#All],4,0),"")</f>
        <v>海藻小妖</v>
      </c>
      <c r="J896" s="15" t="str" cm="1">
        <f t="array" ref="J896">_xlfn.LET(_xlpm.v6p,ABS(ATAN2(O896,P896))*6/PI(),
_xlpm.output,_xlfn.IFS(_xlpm.v6p&lt;1,"正前",_xlpm.v6p&gt;5,"正后",AND(_xlpm.v6p&lt;5,_xlpm.v6p&gt;2,P896&lt;-1),"脚底",_xlpm.v6p&gt;4,"后上",_xlpm.v6p&lt;2,"前上",TRUE,"顶部"),
IFERROR(_xlpm.output,""))</f>
        <v>顶部</v>
      </c>
      <c r="K896" s="12"/>
      <c r="L896" s="12" t="s">
        <v>63</v>
      </c>
      <c r="M896" s="12" t="s">
        <v>63</v>
      </c>
      <c r="N896" s="19" t="str">
        <f>O896+0&amp;","&amp;P896+0</f>
        <v>3,11</v>
      </c>
      <c r="O896" s="24">
        <v>3</v>
      </c>
      <c r="P896" s="24">
        <v>11</v>
      </c>
      <c r="Q896" s="19">
        <f t="shared" si="536"/>
        <v>2.5</v>
      </c>
      <c r="R896" s="24">
        <v>2.5</v>
      </c>
      <c r="S896" s="9">
        <v>1</v>
      </c>
      <c r="T896" s="19" t="str">
        <f>IF(U896&lt;&gt;"", U896+0&amp;","&amp;V896+0,"")</f>
        <v>4,4</v>
      </c>
      <c r="U896" s="24">
        <v>4</v>
      </c>
      <c r="V896" s="24">
        <v>4</v>
      </c>
      <c r="W896" s="9">
        <v>0</v>
      </c>
      <c r="X896" s="9">
        <v>11</v>
      </c>
      <c r="Y896" s="19" t="str">
        <f t="shared" si="529"/>
        <v>180,180</v>
      </c>
      <c r="Z896" s="41" t="s">
        <v>315</v>
      </c>
      <c r="AA896" s="19" t="str">
        <f>IF($A896&lt;&gt;"",IF($AB896&lt;&gt;"",$AB896,"80,120"),"")</f>
        <v>200,200</v>
      </c>
      <c r="AB896" s="41" t="s">
        <v>314</v>
      </c>
      <c r="AC896" s="9">
        <v>1</v>
      </c>
      <c r="AD896" s="9">
        <v>4</v>
      </c>
      <c r="AE896" s="9">
        <v>0.3</v>
      </c>
      <c r="AF896" s="9">
        <v>3</v>
      </c>
      <c r="AG896" s="9">
        <v>100</v>
      </c>
      <c r="AI896" s="69" cm="1">
        <f t="array" ref="AI896">tuple_avg(T896)/tuple_avg(AA896)</f>
        <v>0.02</v>
      </c>
      <c r="AJ896" s="69">
        <f>AC896*AI896*'-配置辅助'!$I$8</f>
        <v>2</v>
      </c>
      <c r="AK896" s="69">
        <f>AD896*AI896*'-配置辅助'!$I$10</f>
        <v>1.3333333333333335</v>
      </c>
      <c r="AL896" s="69">
        <f>AJ896*_xlfn.XLOOKUP(H896,monsters[怪物id],monsters[HP],-1)</f>
        <v>48</v>
      </c>
      <c r="AM896" s="69">
        <f>AK896*_xlfn.XLOOKUP(H896,monsters[怪物id],monsters[HP],-1)</f>
        <v>32</v>
      </c>
    </row>
    <row r="897" spans="1:41" x14ac:dyDescent="0.2">
      <c r="A897" s="9">
        <v>420850</v>
      </c>
      <c r="B897" s="9" t="str" cm="1">
        <f t="array" ref="B897">D897&amp;_xlfn.TEXTJOIN("",1,TEXT(E897:G897,"00"))</f>
        <v>2010002</v>
      </c>
      <c r="C897" s="30" t="str">
        <f t="shared" si="535"/>
        <v>420850,2010002</v>
      </c>
      <c r="D897" s="26">
        <v>2</v>
      </c>
      <c r="E897" s="26">
        <v>1</v>
      </c>
      <c r="F897" s="26">
        <f>W897</f>
        <v>0</v>
      </c>
      <c r="G897" s="26">
        <v>2</v>
      </c>
      <c r="H897" s="9">
        <v>201803</v>
      </c>
      <c r="I897" s="15" t="str">
        <f>IFERROR(VLOOKUP(H897,monsters[#All],4,0),"")</f>
        <v>海藻小妖</v>
      </c>
      <c r="J897" s="15" t="str" cm="1">
        <f t="array" ref="J897">_xlfn.LET(_xlpm.v6p,ABS(ATAN2(O897,P897))*6/PI(),
_xlpm.output,_xlfn.IFS(_xlpm.v6p&lt;1,"正前",_xlpm.v6p&gt;5,"正后",AND(_xlpm.v6p&lt;5,_xlpm.v6p&gt;2,P897&lt;-1),"脚底",_xlpm.v6p&gt;4,"后上",_xlpm.v6p&lt;2,"前上",TRUE,"顶部"),
IFERROR(_xlpm.output,""))</f>
        <v>顶部</v>
      </c>
      <c r="K897" s="12"/>
      <c r="L897" s="12" t="s">
        <v>63</v>
      </c>
      <c r="M897" s="12" t="s">
        <v>63</v>
      </c>
      <c r="N897" s="19" t="str">
        <f>O897+0&amp;","&amp;P897+0</f>
        <v>-1,11</v>
      </c>
      <c r="O897" s="24">
        <v>-1</v>
      </c>
      <c r="P897" s="24">
        <v>11</v>
      </c>
      <c r="Q897" s="19">
        <f t="shared" si="536"/>
        <v>2.5</v>
      </c>
      <c r="R897" s="24">
        <v>2.5</v>
      </c>
      <c r="S897" s="9">
        <v>1</v>
      </c>
      <c r="T897" s="19" t="str">
        <f>IF(U897&lt;&gt;"", U897+0&amp;","&amp;V897+0,"")</f>
        <v>4,4</v>
      </c>
      <c r="U897" s="24">
        <v>4</v>
      </c>
      <c r="V897" s="24">
        <v>4</v>
      </c>
      <c r="W897" s="9">
        <v>0</v>
      </c>
      <c r="X897" s="9">
        <v>11</v>
      </c>
      <c r="Y897" s="19" t="str">
        <f t="shared" si="529"/>
        <v>180,180</v>
      </c>
      <c r="Z897" s="41" t="s">
        <v>315</v>
      </c>
      <c r="AA897" s="19" t="str">
        <f>IF($A897&lt;&gt;"",IF($AB897&lt;&gt;"",$AB897,"80,120"),"")</f>
        <v>200,200</v>
      </c>
      <c r="AB897" s="41" t="s">
        <v>314</v>
      </c>
      <c r="AC897" s="9">
        <v>1</v>
      </c>
      <c r="AD897" s="9">
        <v>4</v>
      </c>
      <c r="AE897" s="9">
        <v>0.3</v>
      </c>
      <c r="AF897" s="9">
        <v>3</v>
      </c>
      <c r="AG897" s="9">
        <v>100</v>
      </c>
      <c r="AI897" s="69" cm="1">
        <f t="array" ref="AI897">tuple_avg(T897)/tuple_avg(AA897)</f>
        <v>0.02</v>
      </c>
      <c r="AJ897" s="69">
        <f>AC897*AI897*'-配置辅助'!$I$8</f>
        <v>2</v>
      </c>
      <c r="AK897" s="69">
        <f>AD897*AI897*'-配置辅助'!$I$10</f>
        <v>1.3333333333333335</v>
      </c>
      <c r="AL897" s="69">
        <f>AJ897*_xlfn.XLOOKUP(H897,monsters[怪物id],monsters[HP],-1)</f>
        <v>48</v>
      </c>
      <c r="AM897" s="69">
        <f>AK897*_xlfn.XLOOKUP(H897,monsters[怪物id],monsters[HP],-1)</f>
        <v>32</v>
      </c>
    </row>
    <row r="898" spans="1:41" x14ac:dyDescent="0.2">
      <c r="A898" s="9">
        <v>420850</v>
      </c>
      <c r="B898" s="9" t="str" cm="1">
        <f t="array" ref="B898">D898&amp;_xlfn.TEXTJOIN("",1,TEXT(E898:G898,"00"))</f>
        <v>2010003</v>
      </c>
      <c r="C898" s="30" t="str">
        <f t="shared" si="535"/>
        <v>420850,2010003</v>
      </c>
      <c r="D898" s="26">
        <v>2</v>
      </c>
      <c r="E898" s="26">
        <v>1</v>
      </c>
      <c r="F898" s="26">
        <f>W898</f>
        <v>0</v>
      </c>
      <c r="G898" s="26">
        <v>3</v>
      </c>
      <c r="H898" s="9">
        <v>201803</v>
      </c>
      <c r="I898" s="15" t="str">
        <f>IFERROR(VLOOKUP(H898,monsters[#All],4,0),"")</f>
        <v>海藻小妖</v>
      </c>
      <c r="J898" s="15" t="str" cm="1">
        <f t="array" ref="J898">_xlfn.LET(_xlpm.v6p,ABS(ATAN2(O898,P898))*6/PI(),
_xlpm.output,_xlfn.IFS(_xlpm.v6p&lt;1,"正前",_xlpm.v6p&gt;5,"正后",AND(_xlpm.v6p&lt;5,_xlpm.v6p&gt;2,P898&lt;-1),"脚底",_xlpm.v6p&gt;4,"后上",_xlpm.v6p&lt;2,"前上",TRUE,"顶部"),
IFERROR(_xlpm.output,""))</f>
        <v>后上</v>
      </c>
      <c r="K898" s="12"/>
      <c r="L898" s="12" t="s">
        <v>63</v>
      </c>
      <c r="M898" s="12" t="s">
        <v>63</v>
      </c>
      <c r="N898" s="19" t="str">
        <f>O898+0&amp;","&amp;P898+0</f>
        <v>-8,5</v>
      </c>
      <c r="O898" s="24">
        <v>-8</v>
      </c>
      <c r="P898" s="24">
        <v>5</v>
      </c>
      <c r="Q898" s="19">
        <f t="shared" si="536"/>
        <v>2.5</v>
      </c>
      <c r="R898" s="24">
        <v>2.5</v>
      </c>
      <c r="S898" s="9">
        <v>1</v>
      </c>
      <c r="T898" s="19" t="str">
        <f>IF(U898&lt;&gt;"", U898+0&amp;","&amp;V898+0,"")</f>
        <v>4,4</v>
      </c>
      <c r="U898" s="24">
        <v>4</v>
      </c>
      <c r="V898" s="24">
        <v>4</v>
      </c>
      <c r="W898" s="9">
        <v>0</v>
      </c>
      <c r="X898" s="9">
        <v>11</v>
      </c>
      <c r="Y898" s="19" t="str">
        <f t="shared" si="529"/>
        <v>180,180</v>
      </c>
      <c r="Z898" s="41" t="s">
        <v>315</v>
      </c>
      <c r="AA898" s="19" t="str">
        <f>IF($A898&lt;&gt;"",IF($AB898&lt;&gt;"",$AB898,"80,120"),"")</f>
        <v>200,200</v>
      </c>
      <c r="AB898" s="41" t="s">
        <v>314</v>
      </c>
      <c r="AC898" s="9">
        <v>1</v>
      </c>
      <c r="AD898" s="9">
        <v>4</v>
      </c>
      <c r="AE898" s="9">
        <v>0.3</v>
      </c>
      <c r="AF898" s="9">
        <v>3</v>
      </c>
      <c r="AG898" s="9">
        <v>100</v>
      </c>
      <c r="AI898" s="69" cm="1">
        <f t="array" ref="AI898">tuple_avg(T898)/tuple_avg(AA898)</f>
        <v>0.02</v>
      </c>
      <c r="AJ898" s="69">
        <f>AC898*AI898*'-配置辅助'!$I$8</f>
        <v>2</v>
      </c>
      <c r="AK898" s="69">
        <f>AD898*AI898*'-配置辅助'!$I$10</f>
        <v>1.3333333333333335</v>
      </c>
      <c r="AL898" s="69">
        <f>AJ898*_xlfn.XLOOKUP(H898,monsters[怪物id],monsters[HP],-1)</f>
        <v>48</v>
      </c>
      <c r="AM898" s="69">
        <f>AK898*_xlfn.XLOOKUP(H898,monsters[怪物id],monsters[HP],-1)</f>
        <v>32</v>
      </c>
    </row>
    <row r="899" spans="1:41" x14ac:dyDescent="0.2">
      <c r="J899" s="15" t="str" cm="1">
        <f t="array" ref="J899">_xlfn.LET(_xlpm.v6p,ABS(ATAN2(O899,P899))*6/PI(),
_xlpm.output,_xlfn.IFS(_xlpm.v6p&lt;1,"正前",_xlpm.v6p&gt;5,"正后",AND(_xlpm.v6p&lt;5,_xlpm.v6p&gt;2,P899&lt;-1),"脚底",_xlpm.v6p&gt;4,"后上",_xlpm.v6p&lt;2,"前上",TRUE,"顶部"),
IFERROR(_xlpm.output,""))</f>
        <v/>
      </c>
      <c r="Q899" s="19" t="str">
        <f t="shared" ref="Q899:Q900" si="537">_xlfn.LET(_xlpm._default,1,
_xlpm._custom,R899,
IF($A899&lt;&gt;"",IF(_xlpm._custom&lt;&gt;"",_xlpm._custom,_xlpm._default),""))</f>
        <v/>
      </c>
    </row>
    <row r="900" spans="1:41" x14ac:dyDescent="0.2">
      <c r="A900" s="9">
        <v>420850</v>
      </c>
      <c r="B900" s="9" t="str" cm="1">
        <f t="array" ref="B900">D900&amp;_xlfn.TEXTJOIN("",1,TEXT(E900:G900,"00"))</f>
        <v>2020000</v>
      </c>
      <c r="C900" s="30" t="str">
        <f t="shared" ref="C900" si="538">_xlfn.TEXTJOIN(",",1,A900:B900)</f>
        <v>420850,2020000</v>
      </c>
      <c r="D900" s="26">
        <v>2</v>
      </c>
      <c r="E900" s="26">
        <v>2</v>
      </c>
      <c r="F900" s="26">
        <f>W900</f>
        <v>0</v>
      </c>
      <c r="G900" s="26">
        <v>0</v>
      </c>
      <c r="H900" s="9">
        <v>201803</v>
      </c>
      <c r="I900" s="15" t="str">
        <f>IFERROR(VLOOKUP(H900,monsters[#All],4,0),"")</f>
        <v>海藻小妖</v>
      </c>
      <c r="J900" s="15" t="str" cm="1">
        <f t="array" ref="J900">_xlfn.LET(_xlpm.v6p,ABS(ATAN2(O900,P900))*6/PI(),
_xlpm.output,_xlfn.IFS(_xlpm.v6p&lt;1,"正前",_xlpm.v6p&gt;5,"正后",AND(_xlpm.v6p&lt;5,_xlpm.v6p&gt;2,P900&lt;-1),"脚底",_xlpm.v6p&gt;4,"后上",_xlpm.v6p&lt;2,"前上",TRUE,"顶部"),
IFERROR(_xlpm.output,""))</f>
        <v>前上</v>
      </c>
      <c r="K900" s="12"/>
      <c r="L900" s="12" t="s">
        <v>63</v>
      </c>
      <c r="M900" s="12" t="s">
        <v>63</v>
      </c>
      <c r="N900" s="19" t="str">
        <f>O900+0&amp;","&amp;P900+0</f>
        <v>15,9</v>
      </c>
      <c r="O900" s="24">
        <v>15</v>
      </c>
      <c r="P900" s="24">
        <v>9</v>
      </c>
      <c r="Q900" s="19">
        <f t="shared" si="537"/>
        <v>1</v>
      </c>
      <c r="S900" s="9">
        <v>2</v>
      </c>
      <c r="T900" s="19" t="str">
        <f>IF(U900&lt;&gt;"", U900+0&amp;","&amp;V900+0,"")</f>
        <v>1,1</v>
      </c>
      <c r="U900" s="24">
        <v>1</v>
      </c>
      <c r="V900" s="24">
        <v>1</v>
      </c>
      <c r="W900" s="9">
        <v>0</v>
      </c>
      <c r="X900" s="9">
        <v>11</v>
      </c>
      <c r="Y900" s="19" t="str">
        <f t="shared" ref="Y900" si="539">IF($A900&lt;&gt;"",IF($Z900&lt;&gt;"",$Z900,"0,0"),"")</f>
        <v>70,75</v>
      </c>
      <c r="Z900" s="24" t="s">
        <v>132</v>
      </c>
      <c r="AA900" s="19" t="str">
        <f>IF($A900&lt;&gt;"",IF($AB900&lt;&gt;"",$AB900,"80,120"),"")</f>
        <v>80,120</v>
      </c>
      <c r="AC900" s="9">
        <v>0.6</v>
      </c>
      <c r="AD900" s="9">
        <v>3.9</v>
      </c>
      <c r="AE900" s="9">
        <v>0.3</v>
      </c>
      <c r="AF900" s="9">
        <v>3</v>
      </c>
      <c r="AG900" s="9">
        <v>100</v>
      </c>
      <c r="AI900" s="69" cm="1">
        <f t="array" ref="AI900">tuple_avg(T900)/tuple_avg(AA900)</f>
        <v>0.01</v>
      </c>
      <c r="AJ900" s="69">
        <f>AC900*AI900*'-配置辅助'!$I$8</f>
        <v>0.6</v>
      </c>
      <c r="AK900" s="69">
        <f>AD900*AI900*'-配置辅助'!$I$10</f>
        <v>0.65</v>
      </c>
      <c r="AL900" s="69">
        <f>AJ900*_xlfn.XLOOKUP(H900,monsters[怪物id],monsters[HP],-1)</f>
        <v>14.399999999999999</v>
      </c>
      <c r="AM900" s="69">
        <f>AK900*_xlfn.XLOOKUP(H900,monsters[怪物id],monsters[HP],-1)</f>
        <v>15.600000000000001</v>
      </c>
    </row>
    <row r="903" spans="1:41" s="40" customFormat="1" x14ac:dyDescent="0.2">
      <c r="A903" s="43"/>
      <c r="B903" s="43"/>
      <c r="C903" s="44" t="str">
        <f t="shared" ref="C903" si="540">_xlfn.TEXTJOIN(",",1,A903:B903)</f>
        <v/>
      </c>
      <c r="D903" s="45"/>
      <c r="E903" s="45"/>
      <c r="F903" s="45"/>
      <c r="G903" s="45"/>
      <c r="H903" s="43" t="s">
        <v>143</v>
      </c>
      <c r="I903" s="46"/>
      <c r="J903" s="46"/>
      <c r="O903" s="47"/>
      <c r="P903" s="47"/>
      <c r="R903" s="47"/>
      <c r="S903" s="40" t="s">
        <v>62</v>
      </c>
      <c r="U903" s="47"/>
      <c r="V903" s="47"/>
      <c r="Z903" s="47"/>
      <c r="AB903" s="47"/>
      <c r="AC903" s="40" t="s">
        <v>62</v>
      </c>
      <c r="AI903" s="75"/>
      <c r="AJ903" s="75"/>
      <c r="AK903" s="75"/>
      <c r="AL903" s="75"/>
      <c r="AM903" s="75"/>
      <c r="AN903" s="75"/>
      <c r="AO903" s="75"/>
    </row>
    <row r="905" spans="1:41" x14ac:dyDescent="0.2">
      <c r="A905" s="9">
        <v>420851</v>
      </c>
      <c r="B905" s="9" t="str" cm="1">
        <f t="array" ref="B905">D905&amp;_xlfn.TEXTJOIN("",1,TEXT(E905:G905,"00"))</f>
        <v>1000000</v>
      </c>
      <c r="C905" s="30" t="str">
        <f t="shared" ref="C905:C913" si="541">_xlfn.TEXTJOIN(",",1,A905:B905)</f>
        <v>420851,1000000</v>
      </c>
      <c r="D905" s="26">
        <v>1</v>
      </c>
      <c r="E905" s="26">
        <v>0</v>
      </c>
      <c r="F905" s="26">
        <f>W905</f>
        <v>0</v>
      </c>
      <c r="G905" s="26">
        <v>0</v>
      </c>
      <c r="H905" s="9">
        <v>201870</v>
      </c>
      <c r="I905" s="15" t="str">
        <f>IFERROR(VLOOKUP(H905,monsters[#All],4,0),"")</f>
        <v>缠绕水藻</v>
      </c>
      <c r="J905" s="15" t="str" cm="1">
        <f t="array" ref="J905">_xlfn.LET(_xlpm.v6p,ABS(ATAN2(O905,P905))*6/PI(),
_xlpm.output,_xlfn.IFS(_xlpm.v6p&lt;1,"正前",_xlpm.v6p&gt;5,"正后",AND(_xlpm.v6p&lt;5,_xlpm.v6p&gt;2,P905&lt;-1),"脚底",_xlpm.v6p&gt;4,"后上",_xlpm.v6p&lt;2,"前上",TRUE,"顶部"),
IFERROR(_xlpm.output,""))</f>
        <v>顶部</v>
      </c>
      <c r="K905" s="19" t="b">
        <v>1</v>
      </c>
      <c r="L905" s="12" t="s">
        <v>63</v>
      </c>
      <c r="M905" s="54" t="s">
        <v>139</v>
      </c>
      <c r="N905" s="19" t="str">
        <f>O905+0&amp;","&amp;P905+0</f>
        <v>0,20</v>
      </c>
      <c r="O905" s="24">
        <v>0</v>
      </c>
      <c r="P905" s="24">
        <v>20</v>
      </c>
      <c r="Q905" s="19">
        <v>5</v>
      </c>
      <c r="S905" s="9">
        <v>1</v>
      </c>
      <c r="T905" s="19" t="str">
        <f>IF(U905&lt;&gt;"", U905+0&amp;","&amp;V905+0,"")</f>
        <v>1,1</v>
      </c>
      <c r="U905" s="24">
        <v>1</v>
      </c>
      <c r="V905" s="24">
        <v>1</v>
      </c>
      <c r="W905" s="9">
        <v>0</v>
      </c>
      <c r="X905" s="9">
        <v>11</v>
      </c>
      <c r="Y905" s="19" t="str">
        <f t="shared" ref="Y905" si="542">IF($A905&lt;&gt;"",IF($Z905&lt;&gt;"",$Z905,"0,0"),"")</f>
        <v>0,0</v>
      </c>
      <c r="Z905" s="79"/>
      <c r="AA905" s="19" t="str">
        <f>IF($A905&lt;&gt;"",IF($AB905&lt;&gt;"",$AB905,"80,120"),"")</f>
        <v>1200,1200</v>
      </c>
      <c r="AB905" s="41" t="s">
        <v>359</v>
      </c>
      <c r="AC905" s="16"/>
      <c r="AD905" s="9">
        <v>120</v>
      </c>
      <c r="AE905" s="16"/>
      <c r="AF905" s="16"/>
      <c r="AG905" s="16"/>
    </row>
    <row r="906" spans="1:41" x14ac:dyDescent="0.2">
      <c r="J906" s="15" t="str" cm="1">
        <f t="array" ref="J906">_xlfn.LET(_xlpm.v6p,ABS(ATAN2(O906,P906))*6/PI(),
_xlpm.output,_xlfn.IFS(_xlpm.v6p&lt;1,"正前",_xlpm.v6p&gt;5,"正后",AND(_xlpm.v6p&lt;5,_xlpm.v6p&gt;2,P906&lt;-1),"脚底",_xlpm.v6p&gt;4,"后上",_xlpm.v6p&lt;2,"前上",TRUE,"顶部"),
IFERROR(_xlpm.output,""))</f>
        <v/>
      </c>
      <c r="Q906" s="19" t="str">
        <f t="shared" ref="Q906:Q909" si="543">_xlfn.LET(_xlpm._default,1,
_xlpm._custom,R906,
IF($A906&lt;&gt;"",IF(_xlpm._custom&lt;&gt;"",_xlpm._custom,_xlpm._default),""))</f>
        <v/>
      </c>
    </row>
    <row r="907" spans="1:41" x14ac:dyDescent="0.2">
      <c r="A907" s="9">
        <v>420851</v>
      </c>
      <c r="B907" s="9" t="str" cm="1">
        <f t="array" ref="B907">D907&amp;_xlfn.TEXTJOIN("",1,TEXT(E907:G907,"00"))</f>
        <v>3020001</v>
      </c>
      <c r="C907" s="30" t="str">
        <f t="shared" ref="C907:C909" si="544">_xlfn.TEXTJOIN(",",1,A907:B907)</f>
        <v>420851,3020001</v>
      </c>
      <c r="D907" s="26">
        <v>3</v>
      </c>
      <c r="E907" s="26">
        <v>2</v>
      </c>
      <c r="F907" s="26">
        <f>W907</f>
        <v>0</v>
      </c>
      <c r="G907" s="26">
        <v>1</v>
      </c>
      <c r="H907" s="9">
        <v>201806</v>
      </c>
      <c r="I907" s="15" t="str">
        <f>IFERROR(VLOOKUP(H907,monsters[#All],4,0),"")</f>
        <v>脑型大水母</v>
      </c>
      <c r="J907" s="15" t="str" cm="1">
        <f t="array" ref="J907">_xlfn.LET(_xlpm.v6p,ABS(ATAN2(O907,P907))*6/PI(),
_xlpm.output,_xlfn.IFS(_xlpm.v6p&lt;1,"正前",_xlpm.v6p&gt;5,"正后",AND(_xlpm.v6p&lt;5,_xlpm.v6p&gt;2,P907&lt;-1),"脚底",_xlpm.v6p&gt;4,"后上",_xlpm.v6p&lt;2,"前上",TRUE,"顶部"),
IFERROR(_xlpm.output,""))</f>
        <v>前上</v>
      </c>
      <c r="K907" s="19" t="b">
        <v>1</v>
      </c>
      <c r="L907" s="12" t="s">
        <v>63</v>
      </c>
      <c r="M907" s="12" t="s">
        <v>63</v>
      </c>
      <c r="N907" s="19" t="str">
        <f>O907+0&amp;","&amp;P907+0</f>
        <v>15,10</v>
      </c>
      <c r="O907" s="24">
        <v>15</v>
      </c>
      <c r="P907" s="24">
        <v>10</v>
      </c>
      <c r="Q907" s="19">
        <f t="shared" si="543"/>
        <v>1</v>
      </c>
      <c r="S907" s="9">
        <v>1</v>
      </c>
      <c r="T907" s="19" t="str">
        <f>IF(U907&lt;&gt;"", U907+0&amp;","&amp;V907+0,"")</f>
        <v>1,1</v>
      </c>
      <c r="U907" s="24">
        <v>1</v>
      </c>
      <c r="V907" s="24">
        <v>1</v>
      </c>
      <c r="W907" s="9">
        <v>0</v>
      </c>
      <c r="X907" s="9">
        <v>11</v>
      </c>
      <c r="Y907" s="19" t="str">
        <f t="shared" ref="Y907:Y909" si="545">IF($A907&lt;&gt;"",IF($Z907&lt;&gt;"",$Z907,"0,0"),"")</f>
        <v>0,0</v>
      </c>
      <c r="Z907" s="79"/>
      <c r="AA907" s="19" t="str">
        <f>IF($A907&lt;&gt;"",IF($AB907&lt;&gt;"",$AB907,"80,120"),"")</f>
        <v>0,0</v>
      </c>
      <c r="AB907" s="41" t="s">
        <v>140</v>
      </c>
      <c r="AC907" s="16"/>
      <c r="AD907" s="9">
        <v>120</v>
      </c>
      <c r="AE907" s="16"/>
      <c r="AF907" s="16"/>
      <c r="AG907" s="16"/>
    </row>
    <row r="908" spans="1:41" x14ac:dyDescent="0.2">
      <c r="A908" s="9">
        <v>420851</v>
      </c>
      <c r="B908" s="9" t="str" cm="1">
        <f t="array" ref="B908">D908&amp;_xlfn.TEXTJOIN("",1,TEXT(E908:G908,"00"))</f>
        <v>3020002</v>
      </c>
      <c r="C908" s="30" t="str">
        <f t="shared" si="544"/>
        <v>420851,3020002</v>
      </c>
      <c r="D908" s="26">
        <v>3</v>
      </c>
      <c r="E908" s="26">
        <v>2</v>
      </c>
      <c r="F908" s="26">
        <f>W908</f>
        <v>0</v>
      </c>
      <c r="G908" s="26">
        <v>2</v>
      </c>
      <c r="H908" s="9">
        <v>201806</v>
      </c>
      <c r="I908" s="15" t="str">
        <f>IFERROR(VLOOKUP(H908,monsters[#All],4,0),"")</f>
        <v>脑型大水母</v>
      </c>
      <c r="J908" s="15" t="str" cm="1">
        <f t="array" ref="J908">_xlfn.LET(_xlpm.v6p,ABS(ATAN2(O908,P908))*6/PI(),
_xlpm.output,_xlfn.IFS(_xlpm.v6p&lt;1,"正前",_xlpm.v6p&gt;5,"正后",AND(_xlpm.v6p&lt;5,_xlpm.v6p&gt;2,P908&lt;-1),"脚底",_xlpm.v6p&gt;4,"后上",_xlpm.v6p&lt;2,"前上",TRUE,"顶部"),
IFERROR(_xlpm.output,""))</f>
        <v>顶部</v>
      </c>
      <c r="K908" s="19" t="b">
        <v>1</v>
      </c>
      <c r="L908" s="12" t="s">
        <v>63</v>
      </c>
      <c r="M908" s="12" t="s">
        <v>63</v>
      </c>
      <c r="N908" s="19" t="str">
        <f>O908+0&amp;","&amp;P908+0</f>
        <v>0,15</v>
      </c>
      <c r="O908" s="24">
        <v>0</v>
      </c>
      <c r="P908" s="24">
        <v>15</v>
      </c>
      <c r="Q908" s="19">
        <f t="shared" si="543"/>
        <v>1</v>
      </c>
      <c r="S908" s="9">
        <v>1</v>
      </c>
      <c r="T908" s="19" t="str">
        <f>IF(U908&lt;&gt;"", U908+0&amp;","&amp;V908+0,"")</f>
        <v>1,1</v>
      </c>
      <c r="U908" s="24">
        <v>1</v>
      </c>
      <c r="V908" s="24">
        <v>1</v>
      </c>
      <c r="W908" s="9">
        <v>0</v>
      </c>
      <c r="X908" s="9">
        <v>11</v>
      </c>
      <c r="Y908" s="19" t="str">
        <f t="shared" si="545"/>
        <v>0,0</v>
      </c>
      <c r="Z908" s="79"/>
      <c r="AA908" s="19" t="str">
        <f>IF($A908&lt;&gt;"",IF($AB908&lt;&gt;"",$AB908,"80,120"),"")</f>
        <v>0,0</v>
      </c>
      <c r="AB908" s="41" t="s">
        <v>140</v>
      </c>
      <c r="AC908" s="16"/>
      <c r="AD908" s="9">
        <v>120</v>
      </c>
      <c r="AE908" s="16"/>
      <c r="AF908" s="16"/>
      <c r="AG908" s="16"/>
    </row>
    <row r="909" spans="1:41" x14ac:dyDescent="0.2">
      <c r="A909" s="9">
        <v>420851</v>
      </c>
      <c r="B909" s="9" t="str" cm="1">
        <f t="array" ref="B909">D909&amp;_xlfn.TEXTJOIN("",1,TEXT(E909:G909,"00"))</f>
        <v>3020000</v>
      </c>
      <c r="C909" s="30" t="str">
        <f t="shared" si="544"/>
        <v>420851,3020000</v>
      </c>
      <c r="D909" s="26">
        <v>3</v>
      </c>
      <c r="E909" s="26">
        <v>2</v>
      </c>
      <c r="F909" s="26">
        <f>W909</f>
        <v>0</v>
      </c>
      <c r="G909" s="26">
        <v>0</v>
      </c>
      <c r="H909" s="9">
        <v>201806</v>
      </c>
      <c r="I909" s="15" t="str">
        <f>IFERROR(VLOOKUP(H909,monsters[#All],4,0),"")</f>
        <v>脑型大水母</v>
      </c>
      <c r="J909" s="15" t="str" cm="1">
        <f t="array" ref="J909">_xlfn.LET(_xlpm.v6p,ABS(ATAN2(O909,P909))*6/PI(),
_xlpm.output,_xlfn.IFS(_xlpm.v6p&lt;1,"正前",_xlpm.v6p&gt;5,"正后",AND(_xlpm.v6p&lt;5,_xlpm.v6p&gt;2,P909&lt;-1),"脚底",_xlpm.v6p&gt;4,"后上",_xlpm.v6p&lt;2,"前上",TRUE,"顶部"),
IFERROR(_xlpm.output,""))</f>
        <v>后上</v>
      </c>
      <c r="K909" s="19" t="b">
        <v>1</v>
      </c>
      <c r="L909" s="12" t="s">
        <v>63</v>
      </c>
      <c r="M909" s="12" t="s">
        <v>63</v>
      </c>
      <c r="N909" s="19" t="str">
        <f>O909+0&amp;","&amp;P909+0</f>
        <v>-15,9</v>
      </c>
      <c r="O909" s="24">
        <v>-15</v>
      </c>
      <c r="P909" s="24">
        <v>9</v>
      </c>
      <c r="Q909" s="19">
        <f t="shared" si="543"/>
        <v>1</v>
      </c>
      <c r="R909" s="42"/>
      <c r="S909" s="9">
        <v>1</v>
      </c>
      <c r="T909" s="19" t="str">
        <f>IF(U909&lt;&gt;"", U909+0&amp;","&amp;V909+0,"")</f>
        <v>1,1</v>
      </c>
      <c r="U909" s="24">
        <v>1</v>
      </c>
      <c r="V909" s="24">
        <v>1</v>
      </c>
      <c r="W909" s="9">
        <v>0</v>
      </c>
      <c r="X909" s="9">
        <v>11</v>
      </c>
      <c r="Y909" s="19" t="str">
        <f t="shared" si="545"/>
        <v>0,0</v>
      </c>
      <c r="Z909" s="80"/>
      <c r="AA909" s="19" t="str">
        <f>IF($A909&lt;&gt;"",IF($AB909&lt;&gt;"",$AB909,"80,120"),"")</f>
        <v>0,0</v>
      </c>
      <c r="AB909" s="41" t="s">
        <v>140</v>
      </c>
      <c r="AC909" s="16"/>
      <c r="AD909" s="9">
        <v>120</v>
      </c>
      <c r="AE909" s="16"/>
      <c r="AF909" s="16"/>
      <c r="AG909" s="16"/>
    </row>
    <row r="911" spans="1:41" x14ac:dyDescent="0.2">
      <c r="A911" s="9">
        <v>420851</v>
      </c>
      <c r="B911" s="9" t="str" cm="1">
        <f t="array" ref="B911">D911&amp;_xlfn.TEXTJOIN("",1,TEXT(E911:G911,"00"))</f>
        <v>1010001</v>
      </c>
      <c r="C911" s="30" t="str">
        <f t="shared" si="541"/>
        <v>420851,1010001</v>
      </c>
      <c r="D911" s="26">
        <v>1</v>
      </c>
      <c r="E911" s="26">
        <v>1</v>
      </c>
      <c r="F911" s="26">
        <f>W911</f>
        <v>0</v>
      </c>
      <c r="G911" s="26">
        <v>1</v>
      </c>
      <c r="H911" s="9">
        <v>201801</v>
      </c>
      <c r="I911" s="15" t="str">
        <f>IFERROR(VLOOKUP(H911,monsters[#All],4,0),"")</f>
        <v>金鱼</v>
      </c>
      <c r="J911" s="15" t="str" cm="1">
        <f t="array" ref="J911">_xlfn.LET(_xlpm.v6p,ABS(ATAN2(O911,P911))*6/PI(),
_xlpm.output,_xlfn.IFS(_xlpm.v6p&lt;1,"正前",_xlpm.v6p&gt;5,"正后",AND(_xlpm.v6p&lt;5,_xlpm.v6p&gt;2,P911&lt;-1),"脚底",_xlpm.v6p&gt;4,"后上",_xlpm.v6p&lt;2,"前上",TRUE,"顶部"),
IFERROR(_xlpm.output,""))</f>
        <v>前上</v>
      </c>
      <c r="K911" s="12"/>
      <c r="L911" s="12" t="s">
        <v>63</v>
      </c>
      <c r="M911" s="12" t="s">
        <v>63</v>
      </c>
      <c r="N911" s="19" t="str">
        <f>O911+0&amp;","&amp;P911+0</f>
        <v>15,10</v>
      </c>
      <c r="O911" s="24">
        <v>15</v>
      </c>
      <c r="P911" s="24">
        <v>10</v>
      </c>
      <c r="Q911" s="19">
        <f t="shared" ref="Q911:Q914" si="546">_xlfn.LET(_xlpm._default,1,
_xlpm._custom,R911,
IF($A911&lt;&gt;"",IF(_xlpm._custom&lt;&gt;"",_xlpm._custom,_xlpm._default),""))</f>
        <v>1</v>
      </c>
      <c r="S911" s="9">
        <v>2</v>
      </c>
      <c r="T911" s="19" t="str">
        <f>IF(U911&lt;&gt;"", U911+0&amp;","&amp;V911+0,"")</f>
        <v>1,1</v>
      </c>
      <c r="U911" s="24">
        <v>1</v>
      </c>
      <c r="V911" s="24">
        <v>1</v>
      </c>
      <c r="W911" s="9">
        <v>0</v>
      </c>
      <c r="X911" s="9">
        <v>11</v>
      </c>
      <c r="Y911" s="19" t="str">
        <f>IF($A911&lt;&gt;"",IF($Z911&lt;&gt;"",$Z911,"0,0"),"")</f>
        <v>70,75</v>
      </c>
      <c r="Z911" s="24" t="s">
        <v>132</v>
      </c>
      <c r="AA911" s="19" t="str">
        <f>IF($A911&lt;&gt;"",IF($AB911&lt;&gt;"",$AB911,"80,120"),"")</f>
        <v>80,120</v>
      </c>
      <c r="AC911" s="9">
        <v>2</v>
      </c>
      <c r="AD911" s="9">
        <v>2.5</v>
      </c>
      <c r="AE911" s="9">
        <v>0.3</v>
      </c>
      <c r="AF911" s="9">
        <v>3</v>
      </c>
      <c r="AG911" s="9">
        <v>100</v>
      </c>
      <c r="AI911" s="69" cm="1">
        <f t="array" ref="AI911">tuple_avg(T911)/tuple_avg(AA911)</f>
        <v>0.01</v>
      </c>
      <c r="AJ911" s="69">
        <f>100*AC911*AI911</f>
        <v>2</v>
      </c>
      <c r="AK911" s="69">
        <f>AD911*AI911*10</f>
        <v>0.25</v>
      </c>
      <c r="AL911" s="69">
        <f>AJ911*_xlfn.XLOOKUP(H911,monsters[怪物id],monsters[HP],-1)</f>
        <v>38</v>
      </c>
      <c r="AM911" s="69">
        <f>AK911*_xlfn.XLOOKUP(H911,monsters[怪物id],monsters[HP],-1)</f>
        <v>4.75</v>
      </c>
    </row>
    <row r="912" spans="1:41" x14ac:dyDescent="0.2">
      <c r="A912" s="9">
        <v>420851</v>
      </c>
      <c r="B912" s="9" t="str" cm="1">
        <f t="array" ref="B912">D912&amp;_xlfn.TEXTJOIN("",1,TEXT(E912:G912,"00"))</f>
        <v>1010002</v>
      </c>
      <c r="C912" s="30" t="str">
        <f t="shared" si="541"/>
        <v>420851,1010002</v>
      </c>
      <c r="D912" s="26">
        <v>1</v>
      </c>
      <c r="E912" s="26">
        <v>1</v>
      </c>
      <c r="F912" s="26">
        <f>W912</f>
        <v>0</v>
      </c>
      <c r="G912" s="26">
        <v>2</v>
      </c>
      <c r="H912" s="9">
        <v>201801</v>
      </c>
      <c r="I912" s="15" t="str">
        <f>IFERROR(VLOOKUP(H912,monsters[#All],4,0),"")</f>
        <v>金鱼</v>
      </c>
      <c r="J912" s="15" t="str" cm="1">
        <f t="array" ref="J912">_xlfn.LET(_xlpm.v6p,ABS(ATAN2(O912,P912))*6/PI(),
_xlpm.output,_xlfn.IFS(_xlpm.v6p&lt;1,"正前",_xlpm.v6p&gt;5,"正后",AND(_xlpm.v6p&lt;5,_xlpm.v6p&gt;2,P912&lt;-1),"脚底",_xlpm.v6p&gt;4,"后上",_xlpm.v6p&lt;2,"前上",TRUE,"顶部"),
IFERROR(_xlpm.output,""))</f>
        <v>前上</v>
      </c>
      <c r="K912" s="12"/>
      <c r="L912" s="12" t="s">
        <v>63</v>
      </c>
      <c r="M912" s="12" t="s">
        <v>63</v>
      </c>
      <c r="N912" s="19" t="str">
        <f>O912+0&amp;","&amp;P912+0</f>
        <v>15,10</v>
      </c>
      <c r="O912" s="24">
        <v>15</v>
      </c>
      <c r="P912" s="24">
        <v>10</v>
      </c>
      <c r="Q912" s="19">
        <f t="shared" si="546"/>
        <v>1</v>
      </c>
      <c r="S912" s="9">
        <v>3</v>
      </c>
      <c r="T912" s="19" t="str">
        <f>IF(U912&lt;&gt;"", U912+0&amp;","&amp;V912+0,"")</f>
        <v>2,2</v>
      </c>
      <c r="U912" s="24">
        <v>2</v>
      </c>
      <c r="V912" s="24">
        <v>2</v>
      </c>
      <c r="W912" s="9">
        <v>0</v>
      </c>
      <c r="X912" s="9">
        <v>11</v>
      </c>
      <c r="Y912" s="19" t="str">
        <f>IF($A912&lt;&gt;"",IF($Z912&lt;&gt;"",$Z912,"0,0"),"")</f>
        <v>0,0</v>
      </c>
      <c r="AA912" s="19" t="str">
        <f>IF($A912&lt;&gt;"",IF($AB912&lt;&gt;"",$AB912,"80,120"),"")</f>
        <v>80,120</v>
      </c>
      <c r="AC912" s="9">
        <v>2</v>
      </c>
      <c r="AD912" s="9">
        <v>2.5</v>
      </c>
      <c r="AE912" s="9">
        <v>0.3</v>
      </c>
      <c r="AF912" s="9">
        <v>3</v>
      </c>
      <c r="AG912" s="9">
        <v>100</v>
      </c>
      <c r="AI912" s="69" cm="1">
        <f t="array" ref="AI912">tuple_avg(T912)/tuple_avg(AA912)</f>
        <v>0.02</v>
      </c>
      <c r="AJ912" s="69">
        <f>100*AC912*AI912</f>
        <v>4</v>
      </c>
      <c r="AK912" s="69">
        <f>AD912*AI912*10</f>
        <v>0.5</v>
      </c>
      <c r="AL912" s="69">
        <f>AJ912*_xlfn.XLOOKUP(H912,monsters[怪物id],monsters[HP],-1)</f>
        <v>76</v>
      </c>
      <c r="AM912" s="69">
        <f>AK912*_xlfn.XLOOKUP(H912,monsters[怪物id],monsters[HP],-1)</f>
        <v>9.5</v>
      </c>
    </row>
    <row r="913" spans="1:41" x14ac:dyDescent="0.2">
      <c r="A913" s="9">
        <v>420851</v>
      </c>
      <c r="B913" s="9" t="str" cm="1">
        <f t="array" ref="B913">D913&amp;_xlfn.TEXTJOIN("",1,TEXT(E913:G913,"00"))</f>
        <v>1010003</v>
      </c>
      <c r="C913" s="30" t="str">
        <f t="shared" si="541"/>
        <v>420851,1010003</v>
      </c>
      <c r="D913" s="26">
        <v>1</v>
      </c>
      <c r="E913" s="26">
        <v>1</v>
      </c>
      <c r="F913" s="26">
        <f>W913</f>
        <v>0</v>
      </c>
      <c r="G913" s="26">
        <v>3</v>
      </c>
      <c r="H913" s="9">
        <v>201801</v>
      </c>
      <c r="I913" s="15" t="str">
        <f>IFERROR(VLOOKUP(H913,monsters[#All],4,0),"")</f>
        <v>金鱼</v>
      </c>
      <c r="J913" s="15" t="str" cm="1">
        <f t="array" ref="J913">_xlfn.LET(_xlpm.v6p,ABS(ATAN2(O913,P913))*6/PI(),
_xlpm.output,_xlfn.IFS(_xlpm.v6p&lt;1,"正前",_xlpm.v6p&gt;5,"正后",AND(_xlpm.v6p&lt;5,_xlpm.v6p&gt;2,P913&lt;-1),"脚底",_xlpm.v6p&gt;4,"后上",_xlpm.v6p&lt;2,"前上",TRUE,"顶部"),
IFERROR(_xlpm.output,""))</f>
        <v>前上</v>
      </c>
      <c r="K913" s="12"/>
      <c r="L913" s="12" t="s">
        <v>63</v>
      </c>
      <c r="M913" s="12" t="s">
        <v>63</v>
      </c>
      <c r="N913" s="19" t="str">
        <f>O913+0&amp;","&amp;P913+0</f>
        <v>15,10</v>
      </c>
      <c r="O913" s="24">
        <v>15</v>
      </c>
      <c r="P913" s="24">
        <v>10</v>
      </c>
      <c r="Q913" s="19">
        <f t="shared" si="546"/>
        <v>1</v>
      </c>
      <c r="R913" s="42"/>
      <c r="S913" s="9">
        <v>4</v>
      </c>
      <c r="T913" s="19" t="str">
        <f>IF(U913&lt;&gt;"", U913+0&amp;","&amp;V913+0,"")</f>
        <v>2,3</v>
      </c>
      <c r="U913" s="24">
        <v>2</v>
      </c>
      <c r="V913" s="24">
        <v>3</v>
      </c>
      <c r="W913" s="9">
        <v>0</v>
      </c>
      <c r="X913" s="9">
        <v>11</v>
      </c>
      <c r="Y913" s="19" t="str">
        <f>IF($A913&lt;&gt;"",IF($Z913&lt;&gt;"",$Z913,"0,0"),"")</f>
        <v>-105,-100</v>
      </c>
      <c r="Z913" s="42" t="s">
        <v>133</v>
      </c>
      <c r="AA913" s="19" t="str">
        <f>IF($A913&lt;&gt;"",IF($AB913&lt;&gt;"",$AB913,"80,120"),"")</f>
        <v>80,120</v>
      </c>
      <c r="AC913" s="9">
        <v>2</v>
      </c>
      <c r="AD913" s="9">
        <v>2.5</v>
      </c>
      <c r="AE913" s="9">
        <v>0.3</v>
      </c>
      <c r="AF913" s="9">
        <v>3</v>
      </c>
      <c r="AG913" s="9">
        <v>100</v>
      </c>
      <c r="AI913" s="69" cm="1">
        <f t="array" ref="AI913">tuple_avg(T913)/tuple_avg(AA913)</f>
        <v>2.5000000000000001E-2</v>
      </c>
      <c r="AJ913" s="69">
        <f>100*AC913*AI913</f>
        <v>5</v>
      </c>
      <c r="AK913" s="69">
        <f>AD913*AI913*10</f>
        <v>0.625</v>
      </c>
      <c r="AL913" s="69">
        <f>AJ913*_xlfn.XLOOKUP(H913,monsters[怪物id],monsters[HP],-1)</f>
        <v>95</v>
      </c>
      <c r="AM913" s="69">
        <f>AK913*_xlfn.XLOOKUP(H913,monsters[怪物id],monsters[HP],-1)</f>
        <v>11.875</v>
      </c>
    </row>
    <row r="914" spans="1:41" x14ac:dyDescent="0.2">
      <c r="J914" s="15" t="str" cm="1">
        <f t="array" ref="J914">_xlfn.LET(_xlpm.v6p,ABS(ATAN2(O914,P914))*6/PI(),
_xlpm.output,_xlfn.IFS(_xlpm.v6p&lt;1,"正前",_xlpm.v6p&gt;5,"正后",AND(_xlpm.v6p&lt;5,_xlpm.v6p&gt;2,P914&lt;-1),"脚底",_xlpm.v6p&gt;4,"后上",_xlpm.v6p&lt;2,"前上",TRUE,"顶部"),
IFERROR(_xlpm.output,""))</f>
        <v/>
      </c>
      <c r="Q914" s="19" t="str">
        <f t="shared" si="546"/>
        <v/>
      </c>
    </row>
    <row r="916" spans="1:41" s="40" customFormat="1" x14ac:dyDescent="0.2">
      <c r="A916" s="43"/>
      <c r="B916" s="43"/>
      <c r="C916" s="44" t="str">
        <f t="shared" ref="C916:C922" si="547">_xlfn.TEXTJOIN(",",1,A916:B916)</f>
        <v/>
      </c>
      <c r="D916" s="45"/>
      <c r="E916" s="45"/>
      <c r="F916" s="45"/>
      <c r="G916" s="45"/>
      <c r="H916" s="43" t="s">
        <v>141</v>
      </c>
      <c r="I916" s="46"/>
      <c r="J916" s="46"/>
      <c r="O916" s="47"/>
      <c r="P916" s="47"/>
      <c r="R916" s="47"/>
      <c r="S916" s="40" t="s">
        <v>62</v>
      </c>
      <c r="U916" s="47"/>
      <c r="V916" s="47"/>
      <c r="Z916" s="47"/>
      <c r="AB916" s="47"/>
      <c r="AC916" s="40" t="s">
        <v>62</v>
      </c>
      <c r="AI916" s="75"/>
      <c r="AJ916" s="75"/>
      <c r="AK916" s="75"/>
      <c r="AL916" s="75"/>
      <c r="AM916" s="75"/>
      <c r="AN916" s="75"/>
      <c r="AO916" s="75"/>
    </row>
    <row r="918" spans="1:41" x14ac:dyDescent="0.2">
      <c r="A918" s="9">
        <v>420852</v>
      </c>
      <c r="B918" s="9" t="str" cm="1">
        <f t="array" ref="B918">D918&amp;_xlfn.TEXTJOIN("",1,TEXT(E918:G918,"00"))</f>
        <v>1000000</v>
      </c>
      <c r="C918" s="30" t="str">
        <f t="shared" si="547"/>
        <v>420852,1000000</v>
      </c>
      <c r="D918" s="26">
        <v>1</v>
      </c>
      <c r="E918" s="26">
        <v>0</v>
      </c>
      <c r="F918" s="26">
        <f>W918</f>
        <v>0</v>
      </c>
      <c r="G918" s="26">
        <v>0</v>
      </c>
      <c r="H918" s="9">
        <v>201850</v>
      </c>
      <c r="I918" s="15" t="str">
        <f>IFERROR(VLOOKUP(H918,monsters[#All],4,0),"")</f>
        <v>金鱼王</v>
      </c>
      <c r="J918" s="15" t="str" cm="1">
        <f t="array" ref="J918">_xlfn.LET(_xlpm.v6p,ABS(ATAN2(O918,P918))*6/PI(),
_xlpm.output,_xlfn.IFS(_xlpm.v6p&lt;1,"正前",_xlpm.v6p&gt;5,"正后",AND(_xlpm.v6p&lt;5,_xlpm.v6p&gt;2,P918&lt;-1),"脚底",_xlpm.v6p&gt;4,"后上",_xlpm.v6p&lt;2,"前上",TRUE,"顶部"),
IFERROR(_xlpm.output,""))</f>
        <v>顶部</v>
      </c>
      <c r="K918" s="19" t="b">
        <v>1</v>
      </c>
      <c r="L918" s="12" t="s">
        <v>63</v>
      </c>
      <c r="M918" s="54" t="s">
        <v>139</v>
      </c>
      <c r="N918" s="19" t="str">
        <f>O918+0&amp;","&amp;P918+0</f>
        <v>0,20</v>
      </c>
      <c r="O918" s="24">
        <v>0</v>
      </c>
      <c r="P918" s="24">
        <v>20</v>
      </c>
      <c r="Q918" s="19">
        <v>5</v>
      </c>
      <c r="S918" s="9">
        <v>1</v>
      </c>
      <c r="T918" s="19" t="str">
        <f>IF(U918&lt;&gt;"", U918+0&amp;","&amp;V918+0,"")</f>
        <v>1,1</v>
      </c>
      <c r="U918" s="24">
        <v>1</v>
      </c>
      <c r="V918" s="24">
        <v>1</v>
      </c>
      <c r="W918" s="9">
        <v>0</v>
      </c>
      <c r="X918" s="9">
        <v>11</v>
      </c>
      <c r="Y918" s="19" t="str">
        <f t="shared" ref="Y918" si="548">IF($A918&lt;&gt;"",IF($Z918&lt;&gt;"",$Z918,"0,0"),"")</f>
        <v>0,0</v>
      </c>
      <c r="Z918" s="79"/>
      <c r="AA918" s="19" t="str">
        <f>IF($A918&lt;&gt;"",IF($AB918&lt;&gt;"",$AB918,"80,120"),"")</f>
        <v>1200,1200</v>
      </c>
      <c r="AB918" s="41" t="s">
        <v>359</v>
      </c>
      <c r="AC918" s="16"/>
      <c r="AD918" s="9">
        <v>120</v>
      </c>
      <c r="AE918" s="16"/>
      <c r="AF918" s="16"/>
      <c r="AG918" s="16"/>
    </row>
    <row r="920" spans="1:41" x14ac:dyDescent="0.2">
      <c r="A920" s="9">
        <v>420852</v>
      </c>
      <c r="B920" s="9" t="str" cm="1">
        <f t="array" ref="B920">D920&amp;_xlfn.TEXTJOIN("",1,TEXT(E920:G920,"00"))</f>
        <v>1010001</v>
      </c>
      <c r="C920" s="30" t="str">
        <f t="shared" si="547"/>
        <v>420852,1010001</v>
      </c>
      <c r="D920" s="26">
        <v>1</v>
      </c>
      <c r="E920" s="26">
        <v>1</v>
      </c>
      <c r="F920" s="26">
        <f>W920</f>
        <v>0</v>
      </c>
      <c r="G920" s="26">
        <v>1</v>
      </c>
      <c r="H920" s="9">
        <v>201801</v>
      </c>
      <c r="I920" s="15" t="str">
        <f>IFERROR(VLOOKUP(H920,monsters[#All],4,0),"")</f>
        <v>金鱼</v>
      </c>
      <c r="J920" s="15" t="str" cm="1">
        <f t="array" ref="J920">_xlfn.LET(_xlpm.v6p,ABS(ATAN2(O920,P920))*6/PI(),
_xlpm.output,_xlfn.IFS(_xlpm.v6p&lt;1,"正前",_xlpm.v6p&gt;5,"正后",AND(_xlpm.v6p&lt;5,_xlpm.v6p&gt;2,P920&lt;-1),"脚底",_xlpm.v6p&gt;4,"后上",_xlpm.v6p&lt;2,"前上",TRUE,"顶部"),
IFERROR(_xlpm.output,""))</f>
        <v>前上</v>
      </c>
      <c r="K920" s="19" t="b">
        <v>1</v>
      </c>
      <c r="L920" s="12" t="s">
        <v>63</v>
      </c>
      <c r="M920" s="12" t="s">
        <v>63</v>
      </c>
      <c r="N920" s="19" t="str">
        <f>O920+0&amp;","&amp;P920+0</f>
        <v>15,10</v>
      </c>
      <c r="O920" s="24">
        <v>15</v>
      </c>
      <c r="P920" s="24">
        <v>10</v>
      </c>
      <c r="Q920" s="19">
        <f t="shared" ref="Q920:Q928" si="549">_xlfn.LET(_xlpm._default,1,
_xlpm._custom,R920,
IF($A920&lt;&gt;"",IF(_xlpm._custom&lt;&gt;"",_xlpm._custom,_xlpm._default),""))</f>
        <v>1</v>
      </c>
      <c r="S920" s="9">
        <v>1</v>
      </c>
      <c r="T920" s="19" t="str">
        <f>IF(U920&lt;&gt;"", U920+0&amp;","&amp;V920+0,"")</f>
        <v>1,1</v>
      </c>
      <c r="U920" s="24">
        <v>1</v>
      </c>
      <c r="V920" s="24">
        <v>1</v>
      </c>
      <c r="W920" s="9">
        <v>0</v>
      </c>
      <c r="X920" s="9">
        <v>11</v>
      </c>
      <c r="Y920" s="19" t="str">
        <f>IF($A920&lt;&gt;"",IF($Z920&lt;&gt;"",$Z920,"0,0"),"")</f>
        <v>0,0</v>
      </c>
      <c r="Z920" s="79"/>
      <c r="AA920" s="19" t="str">
        <f>IF($A920&lt;&gt;"",IF($AB920&lt;&gt;"",$AB920,"80,120"),"")</f>
        <v>120,120</v>
      </c>
      <c r="AB920" s="41" t="s">
        <v>360</v>
      </c>
      <c r="AC920" s="16"/>
      <c r="AD920" s="9">
        <v>120</v>
      </c>
      <c r="AE920" s="16"/>
      <c r="AF920" s="16"/>
      <c r="AG920" s="16"/>
    </row>
    <row r="921" spans="1:41" x14ac:dyDescent="0.2">
      <c r="A921" s="9">
        <v>420852</v>
      </c>
      <c r="B921" s="9" t="str" cm="1">
        <f t="array" ref="B921">D921&amp;_xlfn.TEXTJOIN("",1,TEXT(E921:G921,"00"))</f>
        <v>1010002</v>
      </c>
      <c r="C921" s="30" t="str">
        <f t="shared" si="547"/>
        <v>420852,1010002</v>
      </c>
      <c r="D921" s="26">
        <v>1</v>
      </c>
      <c r="E921" s="26">
        <v>1</v>
      </c>
      <c r="F921" s="26">
        <f>W921</f>
        <v>0</v>
      </c>
      <c r="G921" s="26">
        <v>2</v>
      </c>
      <c r="H921" s="9">
        <v>201801</v>
      </c>
      <c r="I921" s="15" t="str">
        <f>IFERROR(VLOOKUP(H921,monsters[#All],4,0),"")</f>
        <v>金鱼</v>
      </c>
      <c r="J921" s="15" t="str" cm="1">
        <f t="array" ref="J921">_xlfn.LET(_xlpm.v6p,ABS(ATAN2(O921,P921))*6/PI(),
_xlpm.output,_xlfn.IFS(_xlpm.v6p&lt;1,"正前",_xlpm.v6p&gt;5,"正后",AND(_xlpm.v6p&lt;5,_xlpm.v6p&gt;2,P921&lt;-1),"脚底",_xlpm.v6p&gt;4,"后上",_xlpm.v6p&lt;2,"前上",TRUE,"顶部"),
IFERROR(_xlpm.output,""))</f>
        <v>前上</v>
      </c>
      <c r="K921" s="19" t="b">
        <v>1</v>
      </c>
      <c r="L921" s="12" t="s">
        <v>63</v>
      </c>
      <c r="M921" s="12" t="s">
        <v>63</v>
      </c>
      <c r="N921" s="19" t="str">
        <f>O921+0&amp;","&amp;P921+0</f>
        <v>15,10</v>
      </c>
      <c r="O921" s="24">
        <v>15</v>
      </c>
      <c r="P921" s="24">
        <v>10</v>
      </c>
      <c r="Q921" s="19">
        <f t="shared" si="549"/>
        <v>1</v>
      </c>
      <c r="S921" s="9">
        <v>1</v>
      </c>
      <c r="T921" s="19" t="str">
        <f>IF(U921&lt;&gt;"", U921+0&amp;","&amp;V921+0,"")</f>
        <v>1,1</v>
      </c>
      <c r="U921" s="24">
        <v>1</v>
      </c>
      <c r="V921" s="24">
        <v>1</v>
      </c>
      <c r="W921" s="9">
        <v>0</v>
      </c>
      <c r="X921" s="9">
        <v>11</v>
      </c>
      <c r="Y921" s="19" t="str">
        <f>IF($A921&lt;&gt;"",IF($Z921&lt;&gt;"",$Z921,"0,0"),"")</f>
        <v>0,0</v>
      </c>
      <c r="Z921" s="79"/>
      <c r="AA921" s="19" t="str">
        <f>IF($A921&lt;&gt;"",IF($AB921&lt;&gt;"",$AB921,"80,120"),"")</f>
        <v>120,120</v>
      </c>
      <c r="AB921" s="41" t="s">
        <v>360</v>
      </c>
      <c r="AC921" s="16"/>
      <c r="AD921" s="9">
        <v>120</v>
      </c>
      <c r="AE921" s="16"/>
      <c r="AF921" s="16"/>
      <c r="AG921" s="16"/>
    </row>
    <row r="922" spans="1:41" x14ac:dyDescent="0.2">
      <c r="A922" s="9">
        <v>420852</v>
      </c>
      <c r="B922" s="9" t="str" cm="1">
        <f t="array" ref="B922">D922&amp;_xlfn.TEXTJOIN("",1,TEXT(E922:G922,"00"))</f>
        <v>1010003</v>
      </c>
      <c r="C922" s="30" t="str">
        <f t="shared" si="547"/>
        <v>420852,1010003</v>
      </c>
      <c r="D922" s="26">
        <v>1</v>
      </c>
      <c r="E922" s="26">
        <v>1</v>
      </c>
      <c r="F922" s="26">
        <f>W922</f>
        <v>0</v>
      </c>
      <c r="G922" s="26">
        <v>3</v>
      </c>
      <c r="H922" s="9">
        <v>201801</v>
      </c>
      <c r="I922" s="15" t="str">
        <f>IFERROR(VLOOKUP(H922,monsters[#All],4,0),"")</f>
        <v>金鱼</v>
      </c>
      <c r="J922" s="15" t="str" cm="1">
        <f t="array" ref="J922">_xlfn.LET(_xlpm.v6p,ABS(ATAN2(O922,P922))*6/PI(),
_xlpm.output,_xlfn.IFS(_xlpm.v6p&lt;1,"正前",_xlpm.v6p&gt;5,"正后",AND(_xlpm.v6p&lt;5,_xlpm.v6p&gt;2,P922&lt;-1),"脚底",_xlpm.v6p&gt;4,"后上",_xlpm.v6p&lt;2,"前上",TRUE,"顶部"),
IFERROR(_xlpm.output,""))</f>
        <v>前上</v>
      </c>
      <c r="K922" s="19" t="b">
        <v>1</v>
      </c>
      <c r="L922" s="12" t="s">
        <v>63</v>
      </c>
      <c r="M922" s="12" t="s">
        <v>63</v>
      </c>
      <c r="N922" s="19" t="str">
        <f>O922+0&amp;","&amp;P922+0</f>
        <v>15,10</v>
      </c>
      <c r="O922" s="24">
        <v>15</v>
      </c>
      <c r="P922" s="24">
        <v>10</v>
      </c>
      <c r="Q922" s="19">
        <f t="shared" si="549"/>
        <v>1</v>
      </c>
      <c r="R922" s="42"/>
      <c r="S922" s="9">
        <v>1</v>
      </c>
      <c r="T922" s="19" t="str">
        <f>IF(U922&lt;&gt;"", U922+0&amp;","&amp;V922+0,"")</f>
        <v>1,1</v>
      </c>
      <c r="U922" s="24">
        <v>1</v>
      </c>
      <c r="V922" s="24">
        <v>1</v>
      </c>
      <c r="W922" s="9">
        <v>0</v>
      </c>
      <c r="X922" s="9">
        <v>11</v>
      </c>
      <c r="Y922" s="19" t="str">
        <f>IF($A922&lt;&gt;"",IF($Z922&lt;&gt;"",$Z922,"0,0"),"")</f>
        <v>0,0</v>
      </c>
      <c r="Z922" s="80"/>
      <c r="AA922" s="19" t="str">
        <f>IF($A922&lt;&gt;"",IF($AB922&lt;&gt;"",$AB922,"80,120"),"")</f>
        <v>120,120</v>
      </c>
      <c r="AB922" s="41" t="s">
        <v>360</v>
      </c>
      <c r="AC922" s="16"/>
      <c r="AD922" s="9">
        <v>120</v>
      </c>
      <c r="AE922" s="16"/>
      <c r="AF922" s="16"/>
      <c r="AG922" s="16"/>
    </row>
    <row r="923" spans="1:41" x14ac:dyDescent="0.2">
      <c r="J923" s="15" t="str" cm="1">
        <f t="array" ref="J923">_xlfn.LET(_xlpm.v6p,ABS(ATAN2(O923,P923))*6/PI(),
_xlpm.output,_xlfn.IFS(_xlpm.v6p&lt;1,"正前",_xlpm.v6p&gt;5,"正后",AND(_xlpm.v6p&lt;5,_xlpm.v6p&gt;2,P923&lt;-1),"脚底",_xlpm.v6p&gt;4,"后上",_xlpm.v6p&lt;2,"前上",TRUE,"顶部"),
IFERROR(_xlpm.output,""))</f>
        <v/>
      </c>
      <c r="Q923" s="19" t="str">
        <f t="shared" si="549"/>
        <v/>
      </c>
    </row>
    <row r="924" spans="1:41" x14ac:dyDescent="0.2">
      <c r="A924" s="9">
        <v>420852</v>
      </c>
      <c r="B924" s="9" t="str" cm="1">
        <f t="array" ref="B924">D924&amp;_xlfn.TEXTJOIN("",1,TEXT(E924:G924,"00"))</f>
        <v>1020000</v>
      </c>
      <c r="C924" s="30" t="str">
        <f t="shared" ref="C924:C928" si="550">_xlfn.TEXTJOIN(",",1,A924:B924)</f>
        <v>420852,1020000</v>
      </c>
      <c r="D924" s="26">
        <v>1</v>
      </c>
      <c r="E924" s="26">
        <v>2</v>
      </c>
      <c r="F924" s="26">
        <f>W924</f>
        <v>0</v>
      </c>
      <c r="G924" s="26">
        <v>0</v>
      </c>
      <c r="H924" s="9">
        <v>201801</v>
      </c>
      <c r="I924" s="15" t="str">
        <f>IFERROR(VLOOKUP(H924,monsters[#All],4,0),"")</f>
        <v>金鱼</v>
      </c>
      <c r="J924" s="15" t="str" cm="1">
        <f t="array" ref="J924">_xlfn.LET(_xlpm.v6p,ABS(ATAN2(O924,P924))*6/PI(),
_xlpm.output,_xlfn.IFS(_xlpm.v6p&lt;1,"正前",_xlpm.v6p&gt;5,"正后",AND(_xlpm.v6p&lt;5,_xlpm.v6p&gt;2,P924&lt;-1),"脚底",_xlpm.v6p&gt;4,"后上",_xlpm.v6p&lt;2,"前上",TRUE,"顶部"),
IFERROR(_xlpm.output,""))</f>
        <v>顶部</v>
      </c>
      <c r="K924" s="19" t="b">
        <v>1</v>
      </c>
      <c r="L924" s="12" t="s">
        <v>63</v>
      </c>
      <c r="M924" s="12" t="s">
        <v>63</v>
      </c>
      <c r="N924" s="19" t="str">
        <f>O924+0&amp;","&amp;P924+0</f>
        <v>7,14</v>
      </c>
      <c r="O924" s="24">
        <v>7</v>
      </c>
      <c r="P924" s="24">
        <v>14</v>
      </c>
      <c r="Q924" s="19">
        <f t="shared" si="549"/>
        <v>1</v>
      </c>
      <c r="S924" s="9">
        <v>6</v>
      </c>
      <c r="T924" s="19" t="str">
        <f>IF(U924&lt;&gt;"", U924+0&amp;","&amp;V924+0,"")</f>
        <v>1,1</v>
      </c>
      <c r="U924" s="24">
        <v>1</v>
      </c>
      <c r="V924" s="24">
        <v>1</v>
      </c>
      <c r="W924" s="9">
        <v>0</v>
      </c>
      <c r="X924" s="9">
        <v>11</v>
      </c>
      <c r="Y924" s="19" t="str">
        <f>IF($A924&lt;&gt;"",IF($Z924&lt;&gt;"",$Z924,"0,0"),"")</f>
        <v>0,0</v>
      </c>
      <c r="Z924" s="79"/>
      <c r="AA924" s="19" t="str">
        <f>IF($A924&lt;&gt;"",IF($AB924&lt;&gt;"",$AB924,"80,120"),"")</f>
        <v>240,240</v>
      </c>
      <c r="AB924" s="41" t="s">
        <v>361</v>
      </c>
      <c r="AC924" s="16"/>
      <c r="AD924" s="9">
        <v>120</v>
      </c>
      <c r="AE924" s="16"/>
      <c r="AF924" s="16"/>
      <c r="AG924" s="16"/>
    </row>
    <row r="925" spans="1:41" x14ac:dyDescent="0.2">
      <c r="A925" s="9">
        <v>420852</v>
      </c>
      <c r="B925" s="9" t="str" cm="1">
        <f t="array" ref="B925">D925&amp;_xlfn.TEXTJOIN("",1,TEXT(E925:G925,"00"))</f>
        <v>1020001</v>
      </c>
      <c r="C925" s="30" t="str">
        <f t="shared" si="550"/>
        <v>420852,1020001</v>
      </c>
      <c r="D925" s="26">
        <v>1</v>
      </c>
      <c r="E925" s="26">
        <v>2</v>
      </c>
      <c r="F925" s="26">
        <f>W925</f>
        <v>0</v>
      </c>
      <c r="G925" s="26">
        <v>1</v>
      </c>
      <c r="H925" s="9">
        <v>201801</v>
      </c>
      <c r="I925" s="15" t="str">
        <f>IFERROR(VLOOKUP(H925,monsters[#All],4,0),"")</f>
        <v>金鱼</v>
      </c>
      <c r="J925" s="15" t="str" cm="1">
        <f t="array" ref="J925">_xlfn.LET(_xlpm.v6p,ABS(ATAN2(O925,P925))*6/PI(),
_xlpm.output,_xlfn.IFS(_xlpm.v6p&lt;1,"正前",_xlpm.v6p&gt;5,"正后",AND(_xlpm.v6p&lt;5,_xlpm.v6p&gt;2,P925&lt;-1),"脚底",_xlpm.v6p&gt;4,"后上",_xlpm.v6p&lt;2,"前上",TRUE,"顶部"),
IFERROR(_xlpm.output,""))</f>
        <v>顶部</v>
      </c>
      <c r="K925" s="19" t="b">
        <v>1</v>
      </c>
      <c r="L925" s="12" t="s">
        <v>63</v>
      </c>
      <c r="M925" s="12" t="s">
        <v>63</v>
      </c>
      <c r="N925" s="19" t="str">
        <f>O925+0&amp;","&amp;P925+0</f>
        <v>7,14</v>
      </c>
      <c r="O925" s="24">
        <v>7</v>
      </c>
      <c r="P925" s="24">
        <v>14</v>
      </c>
      <c r="Q925" s="19">
        <f t="shared" si="549"/>
        <v>1.5</v>
      </c>
      <c r="R925" s="24">
        <v>1.5</v>
      </c>
      <c r="S925" s="9">
        <v>7</v>
      </c>
      <c r="T925" s="19" t="str">
        <f>IF(U925&lt;&gt;"", U925+0&amp;","&amp;V925+0,"")</f>
        <v>1,2</v>
      </c>
      <c r="U925" s="24">
        <v>1</v>
      </c>
      <c r="V925" s="24">
        <v>2</v>
      </c>
      <c r="W925" s="9">
        <v>0</v>
      </c>
      <c r="X925" s="9">
        <v>11</v>
      </c>
      <c r="Y925" s="19" t="str">
        <f>IF($A925&lt;&gt;"",IF($Z925&lt;&gt;"",$Z925,"0,0"),"")</f>
        <v>0,0</v>
      </c>
      <c r="Z925" s="79"/>
      <c r="AA925" s="19" t="str">
        <f>IF($A925&lt;&gt;"",IF($AB925&lt;&gt;"",$AB925,"80,120"),"")</f>
        <v>360,360</v>
      </c>
      <c r="AB925" s="41" t="s">
        <v>362</v>
      </c>
      <c r="AC925" s="16"/>
      <c r="AD925" s="9">
        <v>120</v>
      </c>
      <c r="AE925" s="16"/>
      <c r="AF925" s="16"/>
      <c r="AG925" s="16"/>
    </row>
    <row r="926" spans="1:41" x14ac:dyDescent="0.2">
      <c r="A926" s="9">
        <v>420852</v>
      </c>
      <c r="B926" s="9" t="str" cm="1">
        <f t="array" ref="B926">D926&amp;_xlfn.TEXTJOIN("",1,TEXT(E926:G926,"00"))</f>
        <v>1020002</v>
      </c>
      <c r="C926" s="30" t="str">
        <f t="shared" si="550"/>
        <v>420852,1020002</v>
      </c>
      <c r="D926" s="26">
        <v>1</v>
      </c>
      <c r="E926" s="26">
        <v>2</v>
      </c>
      <c r="F926" s="26">
        <f>W926</f>
        <v>0</v>
      </c>
      <c r="G926" s="26">
        <v>2</v>
      </c>
      <c r="H926" s="9">
        <v>201801</v>
      </c>
      <c r="I926" s="15" t="str">
        <f>IFERROR(VLOOKUP(H926,monsters[#All],4,0),"")</f>
        <v>金鱼</v>
      </c>
      <c r="J926" s="15" t="str" cm="1">
        <f t="array" ref="J926">_xlfn.LET(_xlpm.v6p,ABS(ATAN2(O926,P926))*6/PI(),
_xlpm.output,_xlfn.IFS(_xlpm.v6p&lt;1,"正前",_xlpm.v6p&gt;5,"正后",AND(_xlpm.v6p&lt;5,_xlpm.v6p&gt;2,P926&lt;-1),"脚底",_xlpm.v6p&gt;4,"后上",_xlpm.v6p&lt;2,"前上",TRUE,"顶部"),
IFERROR(_xlpm.output,""))</f>
        <v>顶部</v>
      </c>
      <c r="K926" s="19" t="b">
        <v>1</v>
      </c>
      <c r="L926" s="12" t="s">
        <v>63</v>
      </c>
      <c r="M926" s="12" t="s">
        <v>63</v>
      </c>
      <c r="N926" s="19" t="str">
        <f>O926+0&amp;","&amp;P926+0</f>
        <v>7,14</v>
      </c>
      <c r="O926" s="24">
        <v>7</v>
      </c>
      <c r="P926" s="24">
        <v>14</v>
      </c>
      <c r="Q926" s="19">
        <f t="shared" si="549"/>
        <v>2</v>
      </c>
      <c r="R926" s="42">
        <v>2</v>
      </c>
      <c r="S926" s="9">
        <v>9</v>
      </c>
      <c r="T926" s="19" t="str">
        <f>IF(U926&lt;&gt;"", U926+0&amp;","&amp;V926+0,"")</f>
        <v>2,2</v>
      </c>
      <c r="U926" s="24">
        <v>2</v>
      </c>
      <c r="V926" s="24">
        <v>2</v>
      </c>
      <c r="W926" s="9">
        <v>0</v>
      </c>
      <c r="X926" s="9">
        <v>11</v>
      </c>
      <c r="Y926" s="19" t="str">
        <f>IF($A926&lt;&gt;"",IF($Z926&lt;&gt;"",$Z926,"0,0"),"")</f>
        <v>0,0</v>
      </c>
      <c r="Z926" s="80"/>
      <c r="AA926" s="19" t="str">
        <f>IF($A926&lt;&gt;"",IF($AB926&lt;&gt;"",$AB926,"80,120"),"")</f>
        <v>480,480</v>
      </c>
      <c r="AB926" s="41" t="s">
        <v>363</v>
      </c>
      <c r="AC926" s="16"/>
      <c r="AD926" s="9">
        <v>120</v>
      </c>
      <c r="AE926" s="16"/>
      <c r="AF926" s="16"/>
      <c r="AG926" s="16"/>
    </row>
    <row r="927" spans="1:41" x14ac:dyDescent="0.2">
      <c r="A927" s="9">
        <v>420852</v>
      </c>
      <c r="B927" s="9" t="str" cm="1">
        <f t="array" ref="B927">D927&amp;_xlfn.TEXTJOIN("",1,TEXT(E927:G927,"00"))</f>
        <v>1020003</v>
      </c>
      <c r="C927" s="30" t="str">
        <f t="shared" si="550"/>
        <v>420852,1020003</v>
      </c>
      <c r="D927" s="26">
        <v>1</v>
      </c>
      <c r="E927" s="26">
        <v>2</v>
      </c>
      <c r="F927" s="26">
        <f>W927</f>
        <v>0</v>
      </c>
      <c r="G927" s="26">
        <v>3</v>
      </c>
      <c r="H927" s="9">
        <v>201801</v>
      </c>
      <c r="I927" s="15" t="str">
        <f>IFERROR(VLOOKUP(H927,monsters[#All],4,0),"")</f>
        <v>金鱼</v>
      </c>
      <c r="J927" s="15" t="str" cm="1">
        <f t="array" ref="J927">_xlfn.LET(_xlpm.v6p,ABS(ATAN2(O927,P927))*6/PI(),
_xlpm.output,_xlfn.IFS(_xlpm.v6p&lt;1,"正前",_xlpm.v6p&gt;5,"正后",AND(_xlpm.v6p&lt;5,_xlpm.v6p&gt;2,P927&lt;-1),"脚底",_xlpm.v6p&gt;4,"后上",_xlpm.v6p&lt;2,"前上",TRUE,"顶部"),
IFERROR(_xlpm.output,""))</f>
        <v>顶部</v>
      </c>
      <c r="K927" s="19" t="b">
        <v>1</v>
      </c>
      <c r="L927" s="12" t="s">
        <v>63</v>
      </c>
      <c r="M927" s="12" t="s">
        <v>63</v>
      </c>
      <c r="N927" s="19" t="str">
        <f>O927+0&amp;","&amp;P927+0</f>
        <v>7,14</v>
      </c>
      <c r="O927" s="24">
        <v>7</v>
      </c>
      <c r="P927" s="24">
        <v>14</v>
      </c>
      <c r="Q927" s="19">
        <f t="shared" si="549"/>
        <v>2.5</v>
      </c>
      <c r="R927" s="42">
        <v>2.5</v>
      </c>
      <c r="S927" s="9">
        <v>12</v>
      </c>
      <c r="T927" s="19" t="str">
        <f>IF(U927&lt;&gt;"", U927+0&amp;","&amp;V927+0,"")</f>
        <v>2,3</v>
      </c>
      <c r="U927" s="24">
        <v>2</v>
      </c>
      <c r="V927" s="24">
        <v>3</v>
      </c>
      <c r="W927" s="9">
        <v>0</v>
      </c>
      <c r="X927" s="9">
        <v>11</v>
      </c>
      <c r="Y927" s="19" t="str">
        <f>IF($A927&lt;&gt;"",IF($Z927&lt;&gt;"",$Z927,"0,0"),"")</f>
        <v>0,0</v>
      </c>
      <c r="Z927" s="79"/>
      <c r="AA927" s="19" t="str">
        <f>IF($A927&lt;&gt;"",IF($AB927&lt;&gt;"",$AB927,"80,120"),"")</f>
        <v>720,720</v>
      </c>
      <c r="AB927" s="41" t="s">
        <v>364</v>
      </c>
      <c r="AC927" s="16"/>
      <c r="AD927" s="9">
        <v>120</v>
      </c>
      <c r="AE927" s="16"/>
      <c r="AF927" s="16"/>
      <c r="AG927" s="16"/>
    </row>
    <row r="928" spans="1:41" x14ac:dyDescent="0.2">
      <c r="A928" s="9">
        <v>420852</v>
      </c>
      <c r="B928" s="9" t="str" cm="1">
        <f t="array" ref="B928">D928&amp;_xlfn.TEXTJOIN("",1,TEXT(E928:G928,"00"))</f>
        <v>1020004</v>
      </c>
      <c r="C928" s="30" t="str">
        <f t="shared" si="550"/>
        <v>420852,1020004</v>
      </c>
      <c r="D928" s="26">
        <v>1</v>
      </c>
      <c r="E928" s="26">
        <v>2</v>
      </c>
      <c r="F928" s="26">
        <f>W928</f>
        <v>0</v>
      </c>
      <c r="G928" s="26">
        <v>4</v>
      </c>
      <c r="H928" s="9">
        <v>201801</v>
      </c>
      <c r="I928" s="15" t="str">
        <f>IFERROR(VLOOKUP(H928,monsters[#All],4,0),"")</f>
        <v>金鱼</v>
      </c>
      <c r="J928" s="15" t="str" cm="1">
        <f t="array" ref="J928">_xlfn.LET(_xlpm.v6p,ABS(ATAN2(O928,P928))*6/PI(),
_xlpm.output,_xlfn.IFS(_xlpm.v6p&lt;1,"正前",_xlpm.v6p&gt;5,"正后",AND(_xlpm.v6p&lt;5,_xlpm.v6p&gt;2,P928&lt;-1),"脚底",_xlpm.v6p&gt;4,"后上",_xlpm.v6p&lt;2,"前上",TRUE,"顶部"),
IFERROR(_xlpm.output,""))</f>
        <v>顶部</v>
      </c>
      <c r="K928" s="19" t="b">
        <v>1</v>
      </c>
      <c r="L928" s="12" t="s">
        <v>63</v>
      </c>
      <c r="M928" s="12" t="s">
        <v>63</v>
      </c>
      <c r="N928" s="19" t="str">
        <f>O928+0&amp;","&amp;P928+0</f>
        <v>7,14</v>
      </c>
      <c r="O928" s="24">
        <v>7</v>
      </c>
      <c r="P928" s="24">
        <v>14</v>
      </c>
      <c r="Q928" s="19">
        <f t="shared" si="549"/>
        <v>3</v>
      </c>
      <c r="R928" s="42">
        <v>3</v>
      </c>
      <c r="S928" s="9">
        <v>14</v>
      </c>
      <c r="T928" s="19" t="str">
        <f>IF(U928&lt;&gt;"", U928+0&amp;","&amp;V928+0,"")</f>
        <v>3,3</v>
      </c>
      <c r="U928" s="24">
        <v>3</v>
      </c>
      <c r="V928" s="24">
        <v>3</v>
      </c>
      <c r="W928" s="9">
        <v>0</v>
      </c>
      <c r="X928" s="9">
        <v>11</v>
      </c>
      <c r="Y928" s="19" t="str">
        <f>IF($A928&lt;&gt;"",IF($Z928&lt;&gt;"",$Z928,"0,0"),"")</f>
        <v>0,0</v>
      </c>
      <c r="Z928" s="80"/>
      <c r="AA928" s="19" t="str">
        <f>IF($A928&lt;&gt;"",IF($AB928&lt;&gt;"",$AB928,"80,120"),"")</f>
        <v>960,960</v>
      </c>
      <c r="AB928" s="41" t="s">
        <v>365</v>
      </c>
      <c r="AC928" s="16"/>
      <c r="AD928" s="9">
        <v>120</v>
      </c>
      <c r="AE928" s="16"/>
      <c r="AF928" s="16"/>
      <c r="AG928" s="16"/>
    </row>
    <row r="929" spans="1:33" x14ac:dyDescent="0.2">
      <c r="J929" s="15" t="str" cm="1">
        <f t="array" ref="J929">_xlfn.LET(_xlpm.v6p,ABS(ATAN2(O929,P929))*6/PI(),
_xlpm.output,_xlfn.IFS(_xlpm.v6p&lt;1,"正前",_xlpm.v6p&gt;5,"正后",AND(_xlpm.v6p&lt;5,_xlpm.v6p&gt;2,P929&lt;-1),"脚底",_xlpm.v6p&gt;4,"后上",_xlpm.v6p&lt;2,"前上",TRUE,"顶部"),
IFERROR(_xlpm.output,""))</f>
        <v/>
      </c>
    </row>
    <row r="930" spans="1:33" x14ac:dyDescent="0.2">
      <c r="A930" s="9">
        <v>420852</v>
      </c>
      <c r="B930" s="9" t="str" cm="1">
        <f t="array" ref="B930">D930&amp;_xlfn.TEXTJOIN("",1,TEXT(E930:G930,"00"))</f>
        <v>2020000</v>
      </c>
      <c r="C930" s="30" t="str">
        <f t="shared" ref="C930:C932" si="551">_xlfn.TEXTJOIN(",",1,A930:B930)</f>
        <v>420852,2020000</v>
      </c>
      <c r="D930" s="26">
        <v>2</v>
      </c>
      <c r="E930" s="26">
        <v>2</v>
      </c>
      <c r="F930" s="26">
        <f>W930</f>
        <v>0</v>
      </c>
      <c r="G930" s="26">
        <v>0</v>
      </c>
      <c r="H930" s="9">
        <v>201801</v>
      </c>
      <c r="I930" s="15" t="str">
        <f>IFERROR(VLOOKUP(H930,monsters[#All],4,0),"")</f>
        <v>金鱼</v>
      </c>
      <c r="J930" s="15" t="str" cm="1">
        <f t="array" ref="J930">_xlfn.LET(_xlpm.v6p,ABS(ATAN2(O930,P930))*6/PI(),
_xlpm.output,_xlfn.IFS(_xlpm.v6p&lt;1,"正前",_xlpm.v6p&gt;5,"正后",AND(_xlpm.v6p&lt;5,_xlpm.v6p&gt;2,P930&lt;-1),"脚底",_xlpm.v6p&gt;4,"后上",_xlpm.v6p&lt;2,"前上",TRUE,"顶部"),
IFERROR(_xlpm.output,""))</f>
        <v>前上</v>
      </c>
      <c r="K930" s="12"/>
      <c r="L930" s="12" t="s">
        <v>63</v>
      </c>
      <c r="M930" s="12" t="s">
        <v>63</v>
      </c>
      <c r="N930" s="19" t="str">
        <f>O930+0&amp;","&amp;P930+0</f>
        <v>15,10</v>
      </c>
      <c r="O930" s="24">
        <v>15</v>
      </c>
      <c r="P930" s="24">
        <v>10</v>
      </c>
      <c r="Q930" s="19">
        <f t="shared" ref="Q930:Q933" si="552">_xlfn.LET(_xlpm._default,1,
_xlpm._custom,R930,
IF($A930&lt;&gt;"",IF(_xlpm._custom&lt;&gt;"",_xlpm._custom,_xlpm._default),""))</f>
        <v>1</v>
      </c>
      <c r="S930" s="9">
        <v>2</v>
      </c>
      <c r="T930" s="19" t="str">
        <f>IF(U930&lt;&gt;"", U930+0&amp;","&amp;V930+0,"")</f>
        <v>1,1</v>
      </c>
      <c r="U930" s="24">
        <v>1</v>
      </c>
      <c r="V930" s="24">
        <v>1</v>
      </c>
      <c r="W930" s="9">
        <v>0</v>
      </c>
      <c r="X930" s="9">
        <v>11</v>
      </c>
      <c r="Y930" s="19" t="str">
        <f>IF($A930&lt;&gt;"",IF($Z930&lt;&gt;"",$Z930,"0,0"),"")</f>
        <v>70,75</v>
      </c>
      <c r="Z930" s="24" t="s">
        <v>132</v>
      </c>
      <c r="AA930" s="19" t="str">
        <f>IF($A930&lt;&gt;"",IF($AB930&lt;&gt;"",$AB930,"80,120"),"")</f>
        <v>80,120</v>
      </c>
      <c r="AC930" s="9">
        <v>2</v>
      </c>
      <c r="AD930" s="9">
        <v>2.5</v>
      </c>
      <c r="AE930" s="9">
        <v>0.3</v>
      </c>
      <c r="AF930" s="9">
        <v>3</v>
      </c>
      <c r="AG930" s="9">
        <v>100</v>
      </c>
    </row>
    <row r="931" spans="1:33" x14ac:dyDescent="0.2">
      <c r="A931" s="9">
        <v>420852</v>
      </c>
      <c r="B931" s="9" t="str" cm="1">
        <f t="array" ref="B931">D931&amp;_xlfn.TEXTJOIN("",1,TEXT(E931:G931,"00"))</f>
        <v>2020001</v>
      </c>
      <c r="C931" s="30" t="str">
        <f t="shared" si="551"/>
        <v>420852,2020001</v>
      </c>
      <c r="D931" s="26">
        <v>2</v>
      </c>
      <c r="E931" s="26">
        <v>2</v>
      </c>
      <c r="F931" s="26">
        <f>W931</f>
        <v>0</v>
      </c>
      <c r="G931" s="26">
        <v>1</v>
      </c>
      <c r="H931" s="9">
        <v>201801</v>
      </c>
      <c r="I931" s="15" t="str">
        <f>IFERROR(VLOOKUP(H931,monsters[#All],4,0),"")</f>
        <v>金鱼</v>
      </c>
      <c r="J931" s="15" t="str" cm="1">
        <f t="array" ref="J931">_xlfn.LET(_xlpm.v6p,ABS(ATAN2(O931,P931))*6/PI(),
_xlpm.output,_xlfn.IFS(_xlpm.v6p&lt;1,"正前",_xlpm.v6p&gt;5,"正后",AND(_xlpm.v6p&lt;5,_xlpm.v6p&gt;2,P931&lt;-1),"脚底",_xlpm.v6p&gt;4,"后上",_xlpm.v6p&lt;2,"前上",TRUE,"顶部"),
IFERROR(_xlpm.output,""))</f>
        <v>前上</v>
      </c>
      <c r="K931" s="12"/>
      <c r="L931" s="12" t="s">
        <v>63</v>
      </c>
      <c r="M931" s="12" t="s">
        <v>63</v>
      </c>
      <c r="N931" s="19" t="str">
        <f>O931+0&amp;","&amp;P931+0</f>
        <v>15,10</v>
      </c>
      <c r="O931" s="24">
        <v>15</v>
      </c>
      <c r="P931" s="24">
        <v>10</v>
      </c>
      <c r="Q931" s="19">
        <f t="shared" si="552"/>
        <v>1</v>
      </c>
      <c r="S931" s="9">
        <v>3</v>
      </c>
      <c r="T931" s="19" t="str">
        <f>IF(U931&lt;&gt;"", U931+0&amp;","&amp;V931+0,"")</f>
        <v>2,2</v>
      </c>
      <c r="U931" s="24">
        <v>2</v>
      </c>
      <c r="V931" s="24">
        <v>2</v>
      </c>
      <c r="W931" s="9">
        <v>0</v>
      </c>
      <c r="X931" s="9">
        <v>11</v>
      </c>
      <c r="Y931" s="19" t="str">
        <f>IF($A931&lt;&gt;"",IF($Z931&lt;&gt;"",$Z931,"0,0"),"")</f>
        <v>0,0</v>
      </c>
      <c r="AA931" s="19" t="str">
        <f>IF($A931&lt;&gt;"",IF($AB931&lt;&gt;"",$AB931,"80,120"),"")</f>
        <v>80,120</v>
      </c>
      <c r="AC931" s="9">
        <v>2</v>
      </c>
      <c r="AD931" s="9">
        <v>2.5</v>
      </c>
      <c r="AE931" s="9">
        <v>0.3</v>
      </c>
      <c r="AF931" s="9">
        <v>3</v>
      </c>
      <c r="AG931" s="9">
        <v>100</v>
      </c>
    </row>
    <row r="932" spans="1:33" x14ac:dyDescent="0.2">
      <c r="A932" s="9">
        <v>420852</v>
      </c>
      <c r="B932" s="9" t="str" cm="1">
        <f t="array" ref="B932">D932&amp;_xlfn.TEXTJOIN("",1,TEXT(E932:G932,"00"))</f>
        <v>2020002</v>
      </c>
      <c r="C932" s="30" t="str">
        <f t="shared" si="551"/>
        <v>420852,2020002</v>
      </c>
      <c r="D932" s="26">
        <v>2</v>
      </c>
      <c r="E932" s="26">
        <v>2</v>
      </c>
      <c r="F932" s="26">
        <f>W932</f>
        <v>0</v>
      </c>
      <c r="G932" s="26">
        <v>2</v>
      </c>
      <c r="H932" s="9">
        <v>201801</v>
      </c>
      <c r="I932" s="15" t="str">
        <f>IFERROR(VLOOKUP(H932,monsters[#All],4,0),"")</f>
        <v>金鱼</v>
      </c>
      <c r="J932" s="15" t="str" cm="1">
        <f t="array" ref="J932">_xlfn.LET(_xlpm.v6p,ABS(ATAN2(O932,P932))*6/PI(),
_xlpm.output,_xlfn.IFS(_xlpm.v6p&lt;1,"正前",_xlpm.v6p&gt;5,"正后",AND(_xlpm.v6p&lt;5,_xlpm.v6p&gt;2,P932&lt;-1),"脚底",_xlpm.v6p&gt;4,"后上",_xlpm.v6p&lt;2,"前上",TRUE,"顶部"),
IFERROR(_xlpm.output,""))</f>
        <v>前上</v>
      </c>
      <c r="K932" s="12"/>
      <c r="L932" s="12" t="s">
        <v>63</v>
      </c>
      <c r="M932" s="12" t="s">
        <v>63</v>
      </c>
      <c r="N932" s="19" t="str">
        <f>O932+0&amp;","&amp;P932+0</f>
        <v>15,10</v>
      </c>
      <c r="O932" s="24">
        <v>15</v>
      </c>
      <c r="P932" s="24">
        <v>10</v>
      </c>
      <c r="Q932" s="19">
        <f t="shared" si="552"/>
        <v>1</v>
      </c>
      <c r="R932" s="42"/>
      <c r="S932" s="9">
        <v>4</v>
      </c>
      <c r="T932" s="19" t="str">
        <f>IF(U932&lt;&gt;"", U932+0&amp;","&amp;V932+0,"")</f>
        <v>2,3</v>
      </c>
      <c r="U932" s="24">
        <v>2</v>
      </c>
      <c r="V932" s="24">
        <v>3</v>
      </c>
      <c r="W932" s="9">
        <v>0</v>
      </c>
      <c r="X932" s="9">
        <v>11</v>
      </c>
      <c r="Y932" s="19" t="str">
        <f>IF($A932&lt;&gt;"",IF($Z932&lt;&gt;"",$Z932,"0,0"),"")</f>
        <v>-105,-100</v>
      </c>
      <c r="Z932" s="42" t="s">
        <v>133</v>
      </c>
      <c r="AA932" s="19" t="str">
        <f>IF($A932&lt;&gt;"",IF($AB932&lt;&gt;"",$AB932,"80,120"),"")</f>
        <v>80,120</v>
      </c>
      <c r="AC932" s="9">
        <v>2</v>
      </c>
      <c r="AD932" s="9">
        <v>2.5</v>
      </c>
      <c r="AE932" s="9">
        <v>0.3</v>
      </c>
      <c r="AF932" s="9">
        <v>3</v>
      </c>
      <c r="AG932" s="9">
        <v>100</v>
      </c>
    </row>
    <row r="933" spans="1:33" x14ac:dyDescent="0.2">
      <c r="J933" s="15" t="str" cm="1">
        <f t="array" ref="J933">_xlfn.LET(_xlpm.v6p,ABS(ATAN2(O933,P933))*6/PI(),
_xlpm.output,_xlfn.IFS(_xlpm.v6p&lt;1,"正前",_xlpm.v6p&gt;5,"正后",AND(_xlpm.v6p&lt;5,_xlpm.v6p&gt;2,P933&lt;-1),"脚底",_xlpm.v6p&gt;4,"后上",_xlpm.v6p&lt;2,"前上",TRUE,"顶部"),
IFERROR(_xlpm.output,""))</f>
        <v/>
      </c>
      <c r="Q933" s="19" t="str">
        <f t="shared" si="552"/>
        <v/>
      </c>
    </row>
    <row r="934" spans="1:33" x14ac:dyDescent="0.2">
      <c r="A934" s="9">
        <v>420852</v>
      </c>
      <c r="B934" s="9" t="str" cm="1">
        <f t="array" ref="B934">D934&amp;_xlfn.TEXTJOIN("",1,TEXT(E934:G934,"00"))</f>
        <v>3020001</v>
      </c>
      <c r="C934" s="30" t="str">
        <f t="shared" ref="C934:C936" si="553">_xlfn.TEXTJOIN(",",1,A934:B934)</f>
        <v>420852,3020001</v>
      </c>
      <c r="D934" s="26">
        <v>3</v>
      </c>
      <c r="E934" s="26">
        <v>2</v>
      </c>
      <c r="F934" s="26">
        <f>W934</f>
        <v>0</v>
      </c>
      <c r="G934" s="26">
        <v>1</v>
      </c>
      <c r="H934" s="9">
        <v>201806</v>
      </c>
      <c r="I934" s="15" t="str">
        <f>IFERROR(VLOOKUP(H934,monsters[#All],4,0),"")</f>
        <v>脑型大水母</v>
      </c>
      <c r="J934" s="15" t="str" cm="1">
        <f t="array" ref="J934">_xlfn.LET(_xlpm.v6p,ABS(ATAN2(O934,P934))*6/PI(),
_xlpm.output,_xlfn.IFS(_xlpm.v6p&lt;1,"正前",_xlpm.v6p&gt;5,"正后",AND(_xlpm.v6p&lt;5,_xlpm.v6p&gt;2,P934&lt;-1),"脚底",_xlpm.v6p&gt;4,"后上",_xlpm.v6p&lt;2,"前上",TRUE,"顶部"),
IFERROR(_xlpm.output,""))</f>
        <v>前上</v>
      </c>
      <c r="K934" s="12"/>
      <c r="L934" s="12" t="s">
        <v>63</v>
      </c>
      <c r="M934" s="12" t="s">
        <v>63</v>
      </c>
      <c r="N934" s="19" t="str">
        <f>O934+0&amp;","&amp;P934+0</f>
        <v>15,10</v>
      </c>
      <c r="O934" s="24">
        <v>15</v>
      </c>
      <c r="P934" s="24">
        <v>10</v>
      </c>
      <c r="Q934" s="19">
        <f t="shared" ref="Q934:Q936" si="554">_xlfn.LET(_xlpm._default,1,
_xlpm._custom,R934,
IF($A934&lt;&gt;"",IF(_xlpm._custom&lt;&gt;"",_xlpm._custom,_xlpm._default),""))</f>
        <v>1</v>
      </c>
      <c r="S934" s="9">
        <v>1</v>
      </c>
      <c r="T934" s="19" t="str">
        <f>IF(U934&lt;&gt;"", U934+0&amp;","&amp;V934+0,"")</f>
        <v>1,1</v>
      </c>
      <c r="U934" s="24">
        <v>1</v>
      </c>
      <c r="V934" s="24">
        <v>1</v>
      </c>
      <c r="W934" s="9">
        <v>0</v>
      </c>
      <c r="X934" s="9">
        <v>11</v>
      </c>
      <c r="Y934" s="19" t="str">
        <f t="shared" ref="Y934:Y936" si="555">IF($A934&lt;&gt;"",IF($Z934&lt;&gt;"",$Z934,"0,0"),"")</f>
        <v>70,75</v>
      </c>
      <c r="Z934" s="24" t="s">
        <v>132</v>
      </c>
      <c r="AA934" s="19" t="str">
        <f>IF($A934&lt;&gt;"",IF($AB934&lt;&gt;"",$AB934,"80,120"),"")</f>
        <v>80,120</v>
      </c>
      <c r="AC934" s="9">
        <v>2</v>
      </c>
      <c r="AD934" s="9">
        <v>2.5</v>
      </c>
      <c r="AE934" s="9">
        <v>0.3</v>
      </c>
      <c r="AF934" s="9">
        <v>3</v>
      </c>
      <c r="AG934" s="9">
        <v>100</v>
      </c>
    </row>
    <row r="935" spans="1:33" x14ac:dyDescent="0.2">
      <c r="A935" s="9">
        <v>420852</v>
      </c>
      <c r="B935" s="9" t="str" cm="1">
        <f t="array" ref="B935">D935&amp;_xlfn.TEXTJOIN("",1,TEXT(E935:G935,"00"))</f>
        <v>3020002</v>
      </c>
      <c r="C935" s="30" t="str">
        <f t="shared" si="553"/>
        <v>420852,3020002</v>
      </c>
      <c r="D935" s="26">
        <v>3</v>
      </c>
      <c r="E935" s="26">
        <v>2</v>
      </c>
      <c r="F935" s="26">
        <f>W935</f>
        <v>0</v>
      </c>
      <c r="G935" s="26">
        <v>2</v>
      </c>
      <c r="H935" s="9">
        <v>201806</v>
      </c>
      <c r="I935" s="15" t="str">
        <f>IFERROR(VLOOKUP(H935,monsters[#All],4,0),"")</f>
        <v>脑型大水母</v>
      </c>
      <c r="J935" s="15" t="str" cm="1">
        <f t="array" ref="J935">_xlfn.LET(_xlpm.v6p,ABS(ATAN2(O935,P935))*6/PI(),
_xlpm.output,_xlfn.IFS(_xlpm.v6p&lt;1,"正前",_xlpm.v6p&gt;5,"正后",AND(_xlpm.v6p&lt;5,_xlpm.v6p&gt;2,P935&lt;-1),"脚底",_xlpm.v6p&gt;4,"后上",_xlpm.v6p&lt;2,"前上",TRUE,"顶部"),
IFERROR(_xlpm.output,""))</f>
        <v>顶部</v>
      </c>
      <c r="K935" s="12"/>
      <c r="L935" s="12" t="s">
        <v>63</v>
      </c>
      <c r="M935" s="12" t="s">
        <v>63</v>
      </c>
      <c r="N935" s="19" t="str">
        <f>O935+0&amp;","&amp;P935+0</f>
        <v>0,15</v>
      </c>
      <c r="O935" s="24">
        <v>0</v>
      </c>
      <c r="P935" s="24">
        <v>15</v>
      </c>
      <c r="Q935" s="19">
        <f t="shared" si="554"/>
        <v>1</v>
      </c>
      <c r="S935" s="9">
        <v>1</v>
      </c>
      <c r="T935" s="19" t="str">
        <f>IF(U935&lt;&gt;"", U935+0&amp;","&amp;V935+0,"")</f>
        <v>1,1</v>
      </c>
      <c r="U935" s="24">
        <v>1</v>
      </c>
      <c r="V935" s="24">
        <v>1</v>
      </c>
      <c r="W935" s="9">
        <v>0</v>
      </c>
      <c r="X935" s="9">
        <v>11</v>
      </c>
      <c r="Y935" s="19" t="str">
        <f t="shared" si="555"/>
        <v>0,0</v>
      </c>
      <c r="AA935" s="19" t="str">
        <f>IF($A935&lt;&gt;"",IF($AB935&lt;&gt;"",$AB935,"80,120"),"")</f>
        <v>80,120</v>
      </c>
      <c r="AC935" s="9">
        <v>2</v>
      </c>
      <c r="AD935" s="9">
        <v>2.5</v>
      </c>
      <c r="AE935" s="9">
        <v>0.3</v>
      </c>
      <c r="AF935" s="9">
        <v>3</v>
      </c>
      <c r="AG935" s="9">
        <v>100</v>
      </c>
    </row>
    <row r="936" spans="1:33" x14ac:dyDescent="0.2">
      <c r="A936" s="9">
        <v>420852</v>
      </c>
      <c r="B936" s="9" t="str" cm="1">
        <f t="array" ref="B936">D936&amp;_xlfn.TEXTJOIN("",1,TEXT(E936:G936,"00"))</f>
        <v>3020000</v>
      </c>
      <c r="C936" s="30" t="str">
        <f t="shared" si="553"/>
        <v>420852,3020000</v>
      </c>
      <c r="D936" s="26">
        <v>3</v>
      </c>
      <c r="E936" s="26">
        <v>2</v>
      </c>
      <c r="F936" s="26">
        <f>W936</f>
        <v>0</v>
      </c>
      <c r="G936" s="26">
        <v>0</v>
      </c>
      <c r="H936" s="9">
        <v>201806</v>
      </c>
      <c r="I936" s="15" t="str">
        <f>IFERROR(VLOOKUP(H936,monsters[#All],4,0),"")</f>
        <v>脑型大水母</v>
      </c>
      <c r="J936" s="15" t="str" cm="1">
        <f t="array" ref="J936">_xlfn.LET(_xlpm.v6p,ABS(ATAN2(O936,P936))*6/PI(),
_xlpm.output,_xlfn.IFS(_xlpm.v6p&lt;1,"正前",_xlpm.v6p&gt;5,"正后",AND(_xlpm.v6p&lt;5,_xlpm.v6p&gt;2,P936&lt;-1),"脚底",_xlpm.v6p&gt;4,"后上",_xlpm.v6p&lt;2,"前上",TRUE,"顶部"),
IFERROR(_xlpm.output,""))</f>
        <v>后上</v>
      </c>
      <c r="K936" s="12"/>
      <c r="L936" s="12" t="s">
        <v>63</v>
      </c>
      <c r="M936" s="12" t="s">
        <v>63</v>
      </c>
      <c r="N936" s="19" t="str">
        <f>O936+0&amp;","&amp;P936+0</f>
        <v>-15,9</v>
      </c>
      <c r="O936" s="24">
        <v>-15</v>
      </c>
      <c r="P936" s="24">
        <v>9</v>
      </c>
      <c r="Q936" s="19">
        <f t="shared" si="554"/>
        <v>1</v>
      </c>
      <c r="R936" s="42"/>
      <c r="S936" s="9">
        <v>1</v>
      </c>
      <c r="T936" s="19" t="str">
        <f>IF(U936&lt;&gt;"", U936+0&amp;","&amp;V936+0,"")</f>
        <v>1,1</v>
      </c>
      <c r="U936" s="24">
        <v>1</v>
      </c>
      <c r="V936" s="24">
        <v>1</v>
      </c>
      <c r="W936" s="9">
        <v>0</v>
      </c>
      <c r="X936" s="9">
        <v>11</v>
      </c>
      <c r="Y936" s="19" t="str">
        <f t="shared" si="555"/>
        <v>-105,-100</v>
      </c>
      <c r="Z936" s="42" t="s">
        <v>133</v>
      </c>
      <c r="AA936" s="19" t="str">
        <f>IF($A936&lt;&gt;"",IF($AB936&lt;&gt;"",$AB936,"80,120"),"")</f>
        <v>80,120</v>
      </c>
      <c r="AC936" s="9">
        <v>2</v>
      </c>
      <c r="AD936" s="9">
        <v>2.5</v>
      </c>
      <c r="AE936" s="9">
        <v>0.3</v>
      </c>
      <c r="AF936" s="9">
        <v>3</v>
      </c>
      <c r="AG936" s="9">
        <v>100</v>
      </c>
    </row>
  </sheetData>
  <phoneticPr fontId="9" type="noConversion"/>
  <conditionalFormatting sqref="C1:C1048576">
    <cfRule type="containsBlanks" priority="9" stopIfTrue="1">
      <formula>LEN(TRIM(C1))=0</formula>
    </cfRule>
    <cfRule type="duplicateValues" dxfId="0" priority="11"/>
  </conditionalFormatting>
  <conditionalFormatting sqref="AJ1:AK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{6A867CE2-EB96-42CA-A39D-5FD6A5FF0183}</x14:id>
        </ext>
      </extLst>
    </cfRule>
  </conditionalFormatting>
  <conditionalFormatting sqref="AO1:AO1048576 AL1:AM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{029FBE3F-08CB-4AA6-A578-2FB1595DCDBF}</x14:id>
        </ext>
      </extLst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867CE2-EB96-42CA-A39D-5FD6A5FF01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AJ1:AK1048576</xm:sqref>
        </x14:conditionalFormatting>
        <x14:conditionalFormatting xmlns:xm="http://schemas.microsoft.com/office/excel/2006/main">
          <x14:cfRule type="dataBar" id="{029FBE3F-08CB-4AA6-A578-2FB1595DC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AO1:AO1048576 AL1:AM1048576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4CAE-7EA6-4371-A095-945131482552}">
  <sheetPr>
    <tabColor rgb="FF7030A0"/>
  </sheetPr>
  <dimension ref="B1:N78"/>
  <sheetViews>
    <sheetView workbookViewId="0">
      <selection activeCell="L42" sqref="L42"/>
    </sheetView>
  </sheetViews>
  <sheetFormatPr defaultColWidth="12.5" defaultRowHeight="14.25" x14ac:dyDescent="0.2"/>
  <cols>
    <col min="1" max="1" width="12.5" style="18"/>
    <col min="2" max="2" width="10.875" style="18" bestFit="1" customWidth="1"/>
    <col min="3" max="3" width="14.125" style="18" bestFit="1" customWidth="1"/>
    <col min="4" max="4" width="14.5" style="18" bestFit="1" customWidth="1"/>
    <col min="5" max="5" width="16.25" style="18" bestFit="1" customWidth="1"/>
    <col min="6" max="16384" width="12.5" style="18"/>
  </cols>
  <sheetData>
    <row r="1" spans="2:14" s="17" customFormat="1" x14ac:dyDescent="0.2"/>
    <row r="5" spans="2:14" x14ac:dyDescent="0.2">
      <c r="B5" s="22"/>
      <c r="C5" s="22"/>
      <c r="H5" s="17" t="s">
        <v>301</v>
      </c>
    </row>
    <row r="6" spans="2:14" x14ac:dyDescent="0.2">
      <c r="B6" s="22" t="s">
        <v>104</v>
      </c>
      <c r="C6" s="22" t="s">
        <v>105</v>
      </c>
      <c r="D6" s="18" t="s">
        <v>106</v>
      </c>
      <c r="E6" s="18" t="s">
        <v>107</v>
      </c>
      <c r="F6" s="18" t="s">
        <v>279</v>
      </c>
      <c r="H6" s="18" t="s">
        <v>289</v>
      </c>
      <c r="I6" s="18" t="s">
        <v>290</v>
      </c>
      <c r="J6" s="18" t="s">
        <v>298</v>
      </c>
      <c r="M6" s="17" t="s">
        <v>320</v>
      </c>
      <c r="N6" s="17" t="s">
        <v>316</v>
      </c>
    </row>
    <row r="7" spans="2:14" x14ac:dyDescent="0.2">
      <c r="B7" s="22">
        <v>201101</v>
      </c>
      <c r="C7" s="22" t="s">
        <v>66</v>
      </c>
      <c r="D7" s="18" t="s">
        <v>54</v>
      </c>
      <c r="E7" s="18" t="s">
        <v>67</v>
      </c>
      <c r="F7" s="18">
        <v>26</v>
      </c>
      <c r="H7" s="18" t="s">
        <v>313</v>
      </c>
      <c r="I7" s="18">
        <v>300</v>
      </c>
      <c r="J7" s="18" t="s">
        <v>296</v>
      </c>
      <c r="M7" s="18" t="s">
        <v>317</v>
      </c>
      <c r="N7" s="62" t="s">
        <v>321</v>
      </c>
    </row>
    <row r="8" spans="2:14" x14ac:dyDescent="0.2">
      <c r="B8" s="22">
        <v>201102</v>
      </c>
      <c r="C8" s="22" t="s">
        <v>68</v>
      </c>
      <c r="D8" s="18" t="s">
        <v>54</v>
      </c>
      <c r="E8" s="18" t="s">
        <v>69</v>
      </c>
      <c r="F8" s="18">
        <v>2</v>
      </c>
      <c r="H8" s="18" t="s">
        <v>294</v>
      </c>
      <c r="I8" s="18">
        <v>100</v>
      </c>
      <c r="J8" s="18" t="s">
        <v>296</v>
      </c>
      <c r="M8" s="18" t="s">
        <v>318</v>
      </c>
      <c r="N8" s="55" t="s">
        <v>322</v>
      </c>
    </row>
    <row r="9" spans="2:14" x14ac:dyDescent="0.2">
      <c r="B9" s="22">
        <v>201103</v>
      </c>
      <c r="C9" s="22" t="s">
        <v>70</v>
      </c>
      <c r="D9" s="18" t="s">
        <v>54</v>
      </c>
      <c r="E9" s="18" t="s">
        <v>71</v>
      </c>
      <c r="F9" s="18">
        <v>44</v>
      </c>
      <c r="H9" s="18" t="s">
        <v>300</v>
      </c>
      <c r="I9" s="18">
        <v>6</v>
      </c>
      <c r="J9" s="18" t="s">
        <v>299</v>
      </c>
      <c r="M9" s="18" t="s">
        <v>319</v>
      </c>
      <c r="N9" s="48" t="s">
        <v>323</v>
      </c>
    </row>
    <row r="10" spans="2:14" x14ac:dyDescent="0.2">
      <c r="B10" s="22">
        <v>201104</v>
      </c>
      <c r="C10" s="22" t="s">
        <v>72</v>
      </c>
      <c r="D10" s="18" t="s">
        <v>54</v>
      </c>
      <c r="E10" s="18" t="s">
        <v>73</v>
      </c>
      <c r="F10" s="18">
        <v>66</v>
      </c>
      <c r="H10" s="18" t="s">
        <v>295</v>
      </c>
      <c r="I10" s="18">
        <f>I8/I9</f>
        <v>16.666666666666668</v>
      </c>
      <c r="J10" s="18" t="s">
        <v>297</v>
      </c>
      <c r="M10" s="18" t="s">
        <v>112</v>
      </c>
      <c r="N10" s="43" t="s">
        <v>324</v>
      </c>
    </row>
    <row r="11" spans="2:14" x14ac:dyDescent="0.2">
      <c r="B11" s="22">
        <v>201105</v>
      </c>
      <c r="C11" s="22" t="s">
        <v>74</v>
      </c>
      <c r="D11" s="18" t="s">
        <v>54</v>
      </c>
      <c r="E11" s="18" t="s">
        <v>75</v>
      </c>
      <c r="F11" s="18">
        <v>55</v>
      </c>
    </row>
    <row r="12" spans="2:14" x14ac:dyDescent="0.2">
      <c r="B12" s="22">
        <v>201106</v>
      </c>
      <c r="C12" s="22" t="s">
        <v>76</v>
      </c>
      <c r="D12" s="18" t="s">
        <v>54</v>
      </c>
      <c r="E12" s="18" t="s">
        <v>77</v>
      </c>
      <c r="F12" s="18">
        <v>33</v>
      </c>
    </row>
    <row r="13" spans="2:14" x14ac:dyDescent="0.2">
      <c r="B13" s="22">
        <v>201107</v>
      </c>
      <c r="C13" s="22" t="s">
        <v>78</v>
      </c>
      <c r="D13" s="18" t="s">
        <v>54</v>
      </c>
      <c r="E13" s="18" t="s">
        <v>42</v>
      </c>
      <c r="F13" s="18">
        <v>44</v>
      </c>
    </row>
    <row r="14" spans="2:14" x14ac:dyDescent="0.2">
      <c r="B14" s="22">
        <v>201108</v>
      </c>
      <c r="C14" s="22" t="s">
        <v>79</v>
      </c>
      <c r="D14" s="18" t="s">
        <v>54</v>
      </c>
      <c r="E14" s="18" t="s">
        <v>43</v>
      </c>
      <c r="F14" s="18">
        <v>52</v>
      </c>
    </row>
    <row r="15" spans="2:14" x14ac:dyDescent="0.2">
      <c r="B15" s="22">
        <v>201109</v>
      </c>
      <c r="C15" s="22" t="s">
        <v>80</v>
      </c>
      <c r="D15" s="18" t="s">
        <v>54</v>
      </c>
      <c r="E15" s="18" t="s">
        <v>44</v>
      </c>
      <c r="F15" s="18">
        <v>59</v>
      </c>
      <c r="H15" s="78" t="s">
        <v>355</v>
      </c>
    </row>
    <row r="16" spans="2:14" x14ac:dyDescent="0.2">
      <c r="B16" s="22"/>
      <c r="C16" s="22"/>
      <c r="H16" s="18" t="s">
        <v>356</v>
      </c>
      <c r="I16" s="18" t="s">
        <v>357</v>
      </c>
      <c r="J16" s="18" t="s">
        <v>358</v>
      </c>
      <c r="K16" s="84" t="s">
        <v>387</v>
      </c>
    </row>
    <row r="17" spans="2:11" x14ac:dyDescent="0.2">
      <c r="B17" s="18">
        <v>201401</v>
      </c>
      <c r="C17" s="18" t="s">
        <v>198</v>
      </c>
      <c r="D17" s="18" t="s">
        <v>196</v>
      </c>
      <c r="E17" s="18" t="s">
        <v>199</v>
      </c>
      <c r="F17" s="18">
        <v>-1</v>
      </c>
      <c r="H17" s="18">
        <v>1</v>
      </c>
      <c r="I17" s="18">
        <v>2.6</v>
      </c>
      <c r="J17" s="18">
        <v>0.5</v>
      </c>
      <c r="K17" s="84">
        <v>0.6</v>
      </c>
    </row>
    <row r="18" spans="2:11" x14ac:dyDescent="0.2">
      <c r="B18" s="18">
        <v>201402</v>
      </c>
      <c r="C18" s="18" t="s">
        <v>200</v>
      </c>
      <c r="D18" s="18" t="s">
        <v>196</v>
      </c>
      <c r="E18" s="18" t="s">
        <v>201</v>
      </c>
      <c r="F18" s="18">
        <v>-1</v>
      </c>
      <c r="H18" s="18">
        <v>2</v>
      </c>
      <c r="I18" s="18">
        <v>3.2</v>
      </c>
      <c r="J18" s="18">
        <v>1</v>
      </c>
      <c r="K18" s="84">
        <v>0.8</v>
      </c>
    </row>
    <row r="19" spans="2:11" x14ac:dyDescent="0.2">
      <c r="B19" s="18">
        <v>201403</v>
      </c>
      <c r="C19" s="18" t="s">
        <v>202</v>
      </c>
      <c r="D19" s="18" t="s">
        <v>196</v>
      </c>
      <c r="E19" s="18" t="s">
        <v>203</v>
      </c>
      <c r="F19" s="18">
        <v>-1</v>
      </c>
      <c r="H19" s="18">
        <v>3</v>
      </c>
      <c r="I19" s="18">
        <v>3.8</v>
      </c>
      <c r="J19" s="18">
        <v>1.5</v>
      </c>
      <c r="K19" s="84">
        <v>1</v>
      </c>
    </row>
    <row r="20" spans="2:11" x14ac:dyDescent="0.2">
      <c r="B20" s="18">
        <v>201404</v>
      </c>
      <c r="C20" s="18" t="s">
        <v>204</v>
      </c>
      <c r="D20" s="18" t="s">
        <v>196</v>
      </c>
      <c r="E20" s="18" t="s">
        <v>205</v>
      </c>
      <c r="F20" s="18">
        <v>-1</v>
      </c>
      <c r="H20" s="18">
        <v>4</v>
      </c>
      <c r="I20" s="18">
        <v>4.4000000000000004</v>
      </c>
      <c r="J20" s="18">
        <v>2</v>
      </c>
      <c r="K20" s="84">
        <v>1.2</v>
      </c>
    </row>
    <row r="21" spans="2:11" x14ac:dyDescent="0.2">
      <c r="B21" s="18">
        <v>201405</v>
      </c>
      <c r="C21" s="18" t="s">
        <v>206</v>
      </c>
      <c r="D21" s="18" t="s">
        <v>196</v>
      </c>
      <c r="E21" s="18" t="s">
        <v>207</v>
      </c>
      <c r="F21" s="18">
        <v>10</v>
      </c>
      <c r="H21" s="18">
        <v>5</v>
      </c>
      <c r="I21" s="18">
        <v>5</v>
      </c>
      <c r="J21" s="18">
        <v>2.5</v>
      </c>
      <c r="K21" s="84">
        <v>1.4</v>
      </c>
    </row>
    <row r="22" spans="2:11" x14ac:dyDescent="0.2">
      <c r="B22" s="18">
        <v>201406</v>
      </c>
      <c r="C22" s="18" t="s">
        <v>208</v>
      </c>
      <c r="D22" s="18" t="s">
        <v>196</v>
      </c>
      <c r="E22" s="18" t="s">
        <v>209</v>
      </c>
      <c r="F22" s="18">
        <v>1</v>
      </c>
    </row>
    <row r="23" spans="2:11" x14ac:dyDescent="0.2">
      <c r="B23" s="18">
        <v>201407</v>
      </c>
      <c r="C23" s="18" t="s">
        <v>210</v>
      </c>
      <c r="D23" s="18" t="s">
        <v>196</v>
      </c>
      <c r="E23" s="18" t="s">
        <v>283</v>
      </c>
      <c r="F23" s="18">
        <v>6</v>
      </c>
    </row>
    <row r="24" spans="2:11" x14ac:dyDescent="0.2">
      <c r="B24" s="18">
        <v>201408</v>
      </c>
      <c r="C24" s="18" t="s">
        <v>211</v>
      </c>
      <c r="D24" s="18" t="s">
        <v>196</v>
      </c>
      <c r="E24" s="18" t="s">
        <v>212</v>
      </c>
      <c r="F24" s="18">
        <v>-1</v>
      </c>
    </row>
    <row r="25" spans="2:11" x14ac:dyDescent="0.2">
      <c r="B25" s="18">
        <v>201409</v>
      </c>
      <c r="C25" s="18" t="s">
        <v>213</v>
      </c>
      <c r="D25" s="18" t="s">
        <v>196</v>
      </c>
      <c r="E25" s="18" t="s">
        <v>214</v>
      </c>
      <c r="F25" s="18">
        <v>-1</v>
      </c>
    </row>
    <row r="26" spans="2:11" x14ac:dyDescent="0.2">
      <c r="B26" s="18">
        <v>201410</v>
      </c>
      <c r="C26" s="18" t="s">
        <v>215</v>
      </c>
      <c r="D26" s="18" t="s">
        <v>196</v>
      </c>
      <c r="E26" s="18" t="s">
        <v>216</v>
      </c>
      <c r="F26" s="18">
        <v>-1</v>
      </c>
    </row>
    <row r="27" spans="2:11" x14ac:dyDescent="0.2">
      <c r="B27" s="18">
        <v>201411</v>
      </c>
      <c r="C27" s="18" t="s">
        <v>217</v>
      </c>
      <c r="D27" s="18" t="s">
        <v>196</v>
      </c>
      <c r="E27" s="18" t="s">
        <v>218</v>
      </c>
      <c r="F27" s="18">
        <v>-1</v>
      </c>
    </row>
    <row r="28" spans="2:11" x14ac:dyDescent="0.2">
      <c r="B28" s="18">
        <v>201412</v>
      </c>
      <c r="C28" s="18" t="s">
        <v>219</v>
      </c>
      <c r="D28" s="18" t="s">
        <v>196</v>
      </c>
      <c r="E28" s="18" t="s">
        <v>220</v>
      </c>
      <c r="F28" s="18">
        <v>-1</v>
      </c>
    </row>
    <row r="29" spans="2:11" x14ac:dyDescent="0.2">
      <c r="B29" s="18">
        <v>201413</v>
      </c>
      <c r="C29" s="18" t="s">
        <v>221</v>
      </c>
      <c r="D29" s="18" t="s">
        <v>196</v>
      </c>
      <c r="E29" s="18" t="s">
        <v>222</v>
      </c>
      <c r="F29" s="18">
        <v>-1</v>
      </c>
    </row>
    <row r="30" spans="2:11" x14ac:dyDescent="0.2">
      <c r="B30" s="18">
        <v>201414</v>
      </c>
      <c r="C30" s="18" t="s">
        <v>223</v>
      </c>
      <c r="D30" s="18" t="s">
        <v>196</v>
      </c>
      <c r="E30" s="18" t="s">
        <v>224</v>
      </c>
      <c r="F30" s="18">
        <v>-1</v>
      </c>
    </row>
    <row r="31" spans="2:11" x14ac:dyDescent="0.2">
      <c r="B31" s="18">
        <v>201415</v>
      </c>
      <c r="C31" s="18" t="s">
        <v>225</v>
      </c>
      <c r="D31" s="18" t="s">
        <v>196</v>
      </c>
      <c r="E31" s="18" t="s">
        <v>226</v>
      </c>
      <c r="F31" s="18">
        <v>-1</v>
      </c>
    </row>
    <row r="32" spans="2:11" x14ac:dyDescent="0.2">
      <c r="B32" s="18">
        <v>201416</v>
      </c>
      <c r="C32" s="18" t="s">
        <v>227</v>
      </c>
      <c r="D32" s="18" t="s">
        <v>196</v>
      </c>
      <c r="E32" s="18" t="s">
        <v>228</v>
      </c>
      <c r="F32" s="18">
        <v>-1</v>
      </c>
    </row>
    <row r="33" spans="2:6" x14ac:dyDescent="0.2">
      <c r="B33" s="18">
        <v>201417</v>
      </c>
      <c r="C33" s="18" t="s">
        <v>229</v>
      </c>
      <c r="D33" s="18" t="s">
        <v>196</v>
      </c>
      <c r="E33" s="18" t="s">
        <v>230</v>
      </c>
      <c r="F33" s="18">
        <v>-1</v>
      </c>
    </row>
    <row r="34" spans="2:6" x14ac:dyDescent="0.2">
      <c r="B34" s="18">
        <v>201418</v>
      </c>
      <c r="C34" s="18" t="s">
        <v>231</v>
      </c>
      <c r="D34" s="18" t="s">
        <v>196</v>
      </c>
      <c r="E34" s="18" t="s">
        <v>232</v>
      </c>
      <c r="F34" s="18">
        <v>-1</v>
      </c>
    </row>
    <row r="35" spans="2:6" x14ac:dyDescent="0.2">
      <c r="B35" s="18">
        <v>201419</v>
      </c>
      <c r="C35" s="18" t="s">
        <v>233</v>
      </c>
      <c r="D35" s="18" t="s">
        <v>196</v>
      </c>
      <c r="E35" s="18" t="s">
        <v>234</v>
      </c>
      <c r="F35" s="18">
        <v>-1</v>
      </c>
    </row>
    <row r="37" spans="2:6" x14ac:dyDescent="0.2">
      <c r="B37" s="18">
        <v>201701</v>
      </c>
      <c r="C37" s="18" t="s">
        <v>149</v>
      </c>
      <c r="D37" s="18" t="s">
        <v>150</v>
      </c>
      <c r="E37" s="18" t="s">
        <v>151</v>
      </c>
      <c r="F37" s="18">
        <v>18</v>
      </c>
    </row>
    <row r="38" spans="2:6" x14ac:dyDescent="0.2">
      <c r="B38" s="18">
        <v>201702</v>
      </c>
      <c r="C38" s="18" t="s">
        <v>152</v>
      </c>
      <c r="D38" s="18" t="s">
        <v>150</v>
      </c>
      <c r="E38" s="18" t="s">
        <v>153</v>
      </c>
      <c r="F38" s="18">
        <v>32</v>
      </c>
    </row>
    <row r="39" spans="2:6" x14ac:dyDescent="0.2">
      <c r="B39" s="18">
        <v>201703</v>
      </c>
      <c r="C39" s="18" t="s">
        <v>154</v>
      </c>
      <c r="D39" s="18" t="s">
        <v>150</v>
      </c>
      <c r="E39" s="18" t="s">
        <v>155</v>
      </c>
      <c r="F39" s="18">
        <v>22</v>
      </c>
    </row>
    <row r="40" spans="2:6" x14ac:dyDescent="0.2">
      <c r="B40" s="18">
        <v>201704</v>
      </c>
      <c r="C40" s="18" t="s">
        <v>156</v>
      </c>
      <c r="D40" s="18" t="s">
        <v>150</v>
      </c>
      <c r="E40" s="18" t="s">
        <v>157</v>
      </c>
      <c r="F40" s="18">
        <v>175</v>
      </c>
    </row>
    <row r="41" spans="2:6" x14ac:dyDescent="0.2">
      <c r="B41" s="18">
        <v>201705</v>
      </c>
      <c r="C41" s="18" t="s">
        <v>158</v>
      </c>
      <c r="D41" s="18" t="s">
        <v>150</v>
      </c>
      <c r="E41" s="18" t="s">
        <v>159</v>
      </c>
      <c r="F41" s="18">
        <v>55</v>
      </c>
    </row>
    <row r="42" spans="2:6" x14ac:dyDescent="0.2">
      <c r="B42" s="18">
        <v>201706</v>
      </c>
      <c r="C42" s="18" t="s">
        <v>160</v>
      </c>
      <c r="D42" s="18" t="s">
        <v>150</v>
      </c>
      <c r="E42" s="18" t="s">
        <v>268</v>
      </c>
      <c r="F42" s="18">
        <v>110</v>
      </c>
    </row>
    <row r="43" spans="2:6" x14ac:dyDescent="0.2">
      <c r="B43" s="18">
        <v>201707</v>
      </c>
      <c r="C43" s="18" t="s">
        <v>161</v>
      </c>
      <c r="D43" s="18" t="s">
        <v>150</v>
      </c>
      <c r="E43" s="18" t="s">
        <v>267</v>
      </c>
      <c r="F43" s="18">
        <v>55</v>
      </c>
    </row>
    <row r="44" spans="2:6" x14ac:dyDescent="0.2">
      <c r="B44" s="18">
        <v>201708</v>
      </c>
      <c r="C44" s="18" t="s">
        <v>162</v>
      </c>
      <c r="D44" s="18" t="s">
        <v>150</v>
      </c>
      <c r="E44" s="18" t="s">
        <v>163</v>
      </c>
      <c r="F44" s="18">
        <v>44</v>
      </c>
    </row>
    <row r="45" spans="2:6" x14ac:dyDescent="0.2">
      <c r="B45" s="18">
        <v>201709</v>
      </c>
      <c r="C45" s="18" t="s">
        <v>164</v>
      </c>
      <c r="D45" s="18" t="s">
        <v>150</v>
      </c>
      <c r="E45" s="18" t="s">
        <v>165</v>
      </c>
      <c r="F45" s="18">
        <v>43</v>
      </c>
    </row>
    <row r="46" spans="2:6" x14ac:dyDescent="0.2">
      <c r="B46" s="18">
        <v>201710</v>
      </c>
      <c r="C46" s="18" t="s">
        <v>166</v>
      </c>
      <c r="D46" s="18" t="s">
        <v>150</v>
      </c>
      <c r="E46" s="18" t="s">
        <v>167</v>
      </c>
      <c r="F46" s="18">
        <v>18</v>
      </c>
    </row>
    <row r="47" spans="2:6" x14ac:dyDescent="0.2">
      <c r="B47" s="18">
        <v>201711</v>
      </c>
      <c r="C47" s="18" t="s">
        <v>168</v>
      </c>
      <c r="D47" s="18" t="s">
        <v>150</v>
      </c>
      <c r="E47" s="18" t="s">
        <v>169</v>
      </c>
      <c r="F47" s="18">
        <v>17</v>
      </c>
    </row>
    <row r="48" spans="2:6" x14ac:dyDescent="0.2">
      <c r="B48" s="18">
        <v>201712</v>
      </c>
      <c r="C48" s="18" t="s">
        <v>170</v>
      </c>
      <c r="D48" s="18" t="s">
        <v>150</v>
      </c>
      <c r="E48" s="18" t="s">
        <v>171</v>
      </c>
      <c r="F48" s="18">
        <v>7</v>
      </c>
    </row>
    <row r="50" spans="2:6" x14ac:dyDescent="0.2">
      <c r="B50" s="22">
        <v>201801</v>
      </c>
      <c r="C50" s="22" t="s">
        <v>366</v>
      </c>
      <c r="D50" s="18" t="s">
        <v>81</v>
      </c>
      <c r="E50" s="18" t="s">
        <v>82</v>
      </c>
      <c r="F50" s="18">
        <v>19</v>
      </c>
    </row>
    <row r="51" spans="2:6" x14ac:dyDescent="0.2">
      <c r="B51" s="22">
        <v>201802</v>
      </c>
      <c r="C51" s="22" t="s">
        <v>367</v>
      </c>
      <c r="D51" s="18" t="s">
        <v>81</v>
      </c>
      <c r="E51" s="18" t="s">
        <v>83</v>
      </c>
      <c r="F51" s="18">
        <v>2</v>
      </c>
    </row>
    <row r="52" spans="2:6" x14ac:dyDescent="0.2">
      <c r="B52" s="22">
        <v>201803</v>
      </c>
      <c r="C52" s="22" t="s">
        <v>368</v>
      </c>
      <c r="D52" s="18" t="s">
        <v>81</v>
      </c>
      <c r="E52" s="18" t="s">
        <v>84</v>
      </c>
      <c r="F52" s="18">
        <v>24</v>
      </c>
    </row>
    <row r="53" spans="2:6" x14ac:dyDescent="0.2">
      <c r="B53" s="22">
        <v>201804</v>
      </c>
      <c r="C53" s="22" t="s">
        <v>369</v>
      </c>
      <c r="D53" s="18" t="s">
        <v>81</v>
      </c>
      <c r="E53" s="18" t="s">
        <v>85</v>
      </c>
      <c r="F53" s="18">
        <v>48</v>
      </c>
    </row>
    <row r="54" spans="2:6" x14ac:dyDescent="0.2">
      <c r="B54" s="22">
        <v>201805</v>
      </c>
      <c r="C54" s="22" t="s">
        <v>370</v>
      </c>
      <c r="D54" s="18" t="s">
        <v>81</v>
      </c>
      <c r="E54" s="18" t="s">
        <v>86</v>
      </c>
      <c r="F54" s="18">
        <v>12</v>
      </c>
    </row>
    <row r="55" spans="2:6" x14ac:dyDescent="0.2">
      <c r="B55" s="22">
        <v>201806</v>
      </c>
      <c r="C55" s="22" t="s">
        <v>371</v>
      </c>
      <c r="D55" s="18" t="s">
        <v>81</v>
      </c>
      <c r="E55" s="18" t="s">
        <v>87</v>
      </c>
      <c r="F55" s="18">
        <v>192</v>
      </c>
    </row>
    <row r="56" spans="2:6" x14ac:dyDescent="0.2">
      <c r="B56" s="22">
        <v>201807</v>
      </c>
      <c r="C56" s="18" t="s">
        <v>372</v>
      </c>
      <c r="D56" s="18" t="s">
        <v>81</v>
      </c>
      <c r="E56" s="18" t="s">
        <v>88</v>
      </c>
      <c r="F56" s="18">
        <v>2</v>
      </c>
    </row>
    <row r="57" spans="2:6" x14ac:dyDescent="0.2">
      <c r="B57" s="22">
        <v>201809</v>
      </c>
      <c r="C57" s="18" t="s">
        <v>374</v>
      </c>
      <c r="D57" s="18" t="s">
        <v>81</v>
      </c>
      <c r="E57" s="18" t="s">
        <v>89</v>
      </c>
      <c r="F57" s="18">
        <v>43</v>
      </c>
    </row>
    <row r="58" spans="2:6" x14ac:dyDescent="0.2">
      <c r="B58" s="22">
        <v>201810</v>
      </c>
      <c r="C58" s="18" t="s">
        <v>375</v>
      </c>
      <c r="D58" s="18" t="s">
        <v>81</v>
      </c>
      <c r="E58" s="18" t="s">
        <v>90</v>
      </c>
      <c r="F58" s="18">
        <v>60</v>
      </c>
    </row>
    <row r="59" spans="2:6" x14ac:dyDescent="0.2">
      <c r="B59" s="22">
        <v>201811</v>
      </c>
      <c r="C59" s="22" t="s">
        <v>376</v>
      </c>
      <c r="D59" s="22" t="s">
        <v>81</v>
      </c>
      <c r="E59" s="18" t="s">
        <v>91</v>
      </c>
      <c r="F59" s="18">
        <v>35</v>
      </c>
    </row>
    <row r="60" spans="2:6" x14ac:dyDescent="0.2">
      <c r="B60" s="22">
        <v>201813</v>
      </c>
      <c r="C60" s="22" t="s">
        <v>377</v>
      </c>
      <c r="D60" s="22" t="s">
        <v>81</v>
      </c>
      <c r="E60" s="18" t="s">
        <v>93</v>
      </c>
      <c r="F60" s="18">
        <v>72</v>
      </c>
    </row>
    <row r="61" spans="2:6" x14ac:dyDescent="0.2">
      <c r="B61" s="22">
        <v>201814</v>
      </c>
      <c r="C61" s="18" t="s">
        <v>373</v>
      </c>
      <c r="D61" s="18" t="s">
        <v>81</v>
      </c>
      <c r="E61" s="18" t="s">
        <v>381</v>
      </c>
      <c r="F61" s="18">
        <v>27</v>
      </c>
    </row>
    <row r="62" spans="2:6" x14ac:dyDescent="0.2">
      <c r="B62" s="22">
        <v>201815</v>
      </c>
      <c r="C62" s="18" t="s">
        <v>373</v>
      </c>
      <c r="D62" s="18" t="s">
        <v>81</v>
      </c>
      <c r="E62" s="18" t="s">
        <v>382</v>
      </c>
      <c r="F62" s="18">
        <v>49</v>
      </c>
    </row>
    <row r="63" spans="2:6" x14ac:dyDescent="0.2">
      <c r="B63" s="22">
        <v>201818</v>
      </c>
      <c r="C63" s="18" t="s">
        <v>384</v>
      </c>
      <c r="D63" s="18" t="s">
        <v>81</v>
      </c>
      <c r="E63" s="18" t="s">
        <v>92</v>
      </c>
      <c r="F63" s="18">
        <v>31</v>
      </c>
    </row>
    <row r="64" spans="2:6" x14ac:dyDescent="0.2">
      <c r="B64" s="22">
        <v>201819</v>
      </c>
      <c r="C64" s="18" t="s">
        <v>385</v>
      </c>
      <c r="D64" s="18" t="s">
        <v>81</v>
      </c>
      <c r="E64" s="18" t="s">
        <v>386</v>
      </c>
      <c r="F64" s="18">
        <v>53</v>
      </c>
    </row>
    <row r="65" spans="2:6" x14ac:dyDescent="0.2">
      <c r="B65" s="22">
        <v>201850</v>
      </c>
      <c r="C65" s="81" t="s">
        <v>378</v>
      </c>
      <c r="D65" s="22" t="s">
        <v>81</v>
      </c>
      <c r="E65" s="18" t="s">
        <v>148</v>
      </c>
      <c r="F65" s="18">
        <v>3500</v>
      </c>
    </row>
    <row r="66" spans="2:6" x14ac:dyDescent="0.2">
      <c r="B66" s="22">
        <v>201860</v>
      </c>
      <c r="C66" s="22" t="s">
        <v>379</v>
      </c>
      <c r="D66" s="22" t="s">
        <v>81</v>
      </c>
      <c r="E66" s="18" t="s">
        <v>146</v>
      </c>
      <c r="F66" s="18">
        <v>4000</v>
      </c>
    </row>
    <row r="67" spans="2:6" x14ac:dyDescent="0.2">
      <c r="B67" s="22">
        <v>201870</v>
      </c>
      <c r="C67" s="22" t="s">
        <v>380</v>
      </c>
      <c r="D67" s="22" t="s">
        <v>81</v>
      </c>
      <c r="E67" s="18" t="s">
        <v>147</v>
      </c>
      <c r="F67" s="18">
        <v>3000</v>
      </c>
    </row>
    <row r="69" spans="2:6" x14ac:dyDescent="0.2">
      <c r="C69" s="22"/>
      <c r="D69" s="22"/>
    </row>
    <row r="70" spans="2:6" x14ac:dyDescent="0.2">
      <c r="B70" s="18">
        <v>211101</v>
      </c>
      <c r="C70" s="22" t="s">
        <v>94</v>
      </c>
      <c r="D70" s="22" t="s">
        <v>54</v>
      </c>
      <c r="E70" s="18" t="s">
        <v>59</v>
      </c>
      <c r="F70" s="18">
        <v>-1</v>
      </c>
    </row>
    <row r="71" spans="2:6" x14ac:dyDescent="0.2">
      <c r="B71" s="18">
        <v>211102</v>
      </c>
      <c r="C71" s="22" t="s">
        <v>95</v>
      </c>
      <c r="D71" s="22" t="s">
        <v>54</v>
      </c>
      <c r="E71" s="18" t="s">
        <v>60</v>
      </c>
      <c r="F71" s="18">
        <v>-1</v>
      </c>
    </row>
    <row r="72" spans="2:6" x14ac:dyDescent="0.2">
      <c r="B72" s="18">
        <v>211111</v>
      </c>
      <c r="C72" s="22" t="s">
        <v>96</v>
      </c>
      <c r="D72" s="22" t="s">
        <v>54</v>
      </c>
      <c r="E72" s="18" t="s">
        <v>58</v>
      </c>
      <c r="F72" s="18">
        <v>-1</v>
      </c>
    </row>
    <row r="73" spans="2:6" x14ac:dyDescent="0.2">
      <c r="B73" s="18">
        <v>211112</v>
      </c>
      <c r="C73" s="22" t="s">
        <v>97</v>
      </c>
      <c r="D73" s="22" t="s">
        <v>54</v>
      </c>
      <c r="E73" s="18" t="s">
        <v>61</v>
      </c>
      <c r="F73" s="18">
        <v>-1</v>
      </c>
    </row>
    <row r="74" spans="2:6" x14ac:dyDescent="0.2">
      <c r="C74" s="22"/>
      <c r="D74" s="22"/>
      <c r="F74" s="18">
        <v>-1</v>
      </c>
    </row>
    <row r="75" spans="2:6" x14ac:dyDescent="0.2">
      <c r="B75" s="18">
        <v>219999</v>
      </c>
      <c r="C75" s="18" t="s">
        <v>98</v>
      </c>
      <c r="D75" s="18" t="s">
        <v>54</v>
      </c>
      <c r="E75" s="18" t="s">
        <v>99</v>
      </c>
      <c r="F75" s="18">
        <v>-1</v>
      </c>
    </row>
    <row r="76" spans="2:6" x14ac:dyDescent="0.2">
      <c r="F76" s="18">
        <v>-1</v>
      </c>
    </row>
    <row r="77" spans="2:6" x14ac:dyDescent="0.2">
      <c r="B77" s="18">
        <v>209000</v>
      </c>
      <c r="C77" s="18" t="s">
        <v>100</v>
      </c>
      <c r="E77" s="18" t="s">
        <v>101</v>
      </c>
      <c r="F77" s="18">
        <v>-1</v>
      </c>
    </row>
    <row r="78" spans="2:6" x14ac:dyDescent="0.2">
      <c r="B78" s="18">
        <v>209001</v>
      </c>
      <c r="C78" s="18" t="s">
        <v>102</v>
      </c>
      <c r="E78" s="18" t="s">
        <v>103</v>
      </c>
      <c r="F78" s="18">
        <v>-1</v>
      </c>
    </row>
  </sheetData>
  <phoneticPr fontId="4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39E1D-9FFF-439B-BB75-70E67C7D9576}">
  <sheetPr>
    <tabColor theme="1"/>
  </sheetPr>
  <dimension ref="A1:H30"/>
  <sheetViews>
    <sheetView zoomScaleNormal="100" workbookViewId="0">
      <selection activeCell="M19" sqref="M19"/>
    </sheetView>
  </sheetViews>
  <sheetFormatPr defaultColWidth="12.5" defaultRowHeight="14.25" x14ac:dyDescent="0.2"/>
  <cols>
    <col min="1" max="16384" width="12.5" style="18"/>
  </cols>
  <sheetData>
    <row r="1" spans="1:8" s="17" customFormat="1" x14ac:dyDescent="0.2">
      <c r="A1" s="17" t="s">
        <v>118</v>
      </c>
      <c r="B1" s="17" t="s">
        <v>119</v>
      </c>
      <c r="C1" s="17" t="s">
        <v>122</v>
      </c>
      <c r="D1" s="17" t="s">
        <v>120</v>
      </c>
      <c r="E1" s="17" t="s">
        <v>125</v>
      </c>
      <c r="F1" s="17" t="s">
        <v>126</v>
      </c>
      <c r="G1" s="17" t="s">
        <v>127</v>
      </c>
      <c r="H1" s="17" t="s">
        <v>128</v>
      </c>
    </row>
    <row r="2" spans="1:8" x14ac:dyDescent="0.2">
      <c r="A2" s="83" t="s">
        <v>121</v>
      </c>
      <c r="B2" s="83"/>
      <c r="C2" s="83" t="s">
        <v>123</v>
      </c>
      <c r="D2" s="83"/>
      <c r="E2" s="83" t="s">
        <v>348</v>
      </c>
      <c r="F2" s="83"/>
      <c r="G2" s="83" t="s">
        <v>129</v>
      </c>
      <c r="H2" s="83"/>
    </row>
    <row r="3" spans="1:8" x14ac:dyDescent="0.2">
      <c r="C3" s="83" t="s">
        <v>144</v>
      </c>
      <c r="D3" s="83"/>
      <c r="E3" s="83" t="s">
        <v>347</v>
      </c>
      <c r="F3" s="83"/>
    </row>
    <row r="4" spans="1:8" x14ac:dyDescent="0.2">
      <c r="C4" s="83" t="s">
        <v>145</v>
      </c>
      <c r="D4" s="83"/>
      <c r="E4" s="83" t="s">
        <v>326</v>
      </c>
      <c r="F4" s="83"/>
    </row>
    <row r="5" spans="1:8" x14ac:dyDescent="0.2">
      <c r="C5" s="83" t="s">
        <v>124</v>
      </c>
      <c r="D5" s="83"/>
      <c r="E5" s="83" t="s">
        <v>327</v>
      </c>
      <c r="F5" s="83"/>
    </row>
    <row r="8" spans="1:8" x14ac:dyDescent="0.2">
      <c r="C8" s="83" t="s">
        <v>325</v>
      </c>
      <c r="D8" s="83"/>
      <c r="E8" s="82" t="s">
        <v>329</v>
      </c>
      <c r="F8" s="83"/>
    </row>
    <row r="9" spans="1:8" x14ac:dyDescent="0.2">
      <c r="E9" s="82" t="s">
        <v>330</v>
      </c>
      <c r="F9" s="83"/>
    </row>
    <row r="10" spans="1:8" x14ac:dyDescent="0.2">
      <c r="E10" s="82" t="s">
        <v>331</v>
      </c>
      <c r="F10" s="83"/>
    </row>
    <row r="11" spans="1:8" x14ac:dyDescent="0.2">
      <c r="E11" s="82" t="s">
        <v>332</v>
      </c>
      <c r="F11" s="83"/>
      <c r="G11" s="82" t="s">
        <v>336</v>
      </c>
      <c r="H11" s="83"/>
    </row>
    <row r="12" spans="1:8" x14ac:dyDescent="0.2">
      <c r="G12" s="82" t="s">
        <v>337</v>
      </c>
      <c r="H12" s="83"/>
    </row>
    <row r="13" spans="1:8" x14ac:dyDescent="0.2">
      <c r="G13" s="82" t="s">
        <v>338</v>
      </c>
      <c r="H13" s="83"/>
    </row>
    <row r="14" spans="1:8" x14ac:dyDescent="0.2">
      <c r="E14" s="82" t="s">
        <v>333</v>
      </c>
      <c r="F14" s="83"/>
      <c r="G14" s="82" t="s">
        <v>336</v>
      </c>
      <c r="H14" s="83"/>
    </row>
    <row r="15" spans="1:8" x14ac:dyDescent="0.2">
      <c r="G15" s="82" t="s">
        <v>339</v>
      </c>
      <c r="H15" s="83"/>
    </row>
    <row r="16" spans="1:8" x14ac:dyDescent="0.2">
      <c r="E16" s="82"/>
      <c r="F16" s="83"/>
      <c r="G16" s="82" t="s">
        <v>338</v>
      </c>
      <c r="H16" s="83"/>
    </row>
    <row r="17" spans="5:6" x14ac:dyDescent="0.2">
      <c r="E17" s="82" t="s">
        <v>334</v>
      </c>
      <c r="F17" s="83"/>
    </row>
    <row r="18" spans="5:6" x14ac:dyDescent="0.2">
      <c r="E18" s="82"/>
      <c r="F18" s="83"/>
    </row>
    <row r="19" spans="5:6" x14ac:dyDescent="0.2">
      <c r="E19" s="82"/>
      <c r="F19" s="83"/>
    </row>
    <row r="20" spans="5:6" x14ac:dyDescent="0.2">
      <c r="E20" s="82"/>
      <c r="F20" s="83"/>
    </row>
    <row r="21" spans="5:6" x14ac:dyDescent="0.2">
      <c r="E21" s="82"/>
      <c r="F21" s="83"/>
    </row>
    <row r="22" spans="5:6" x14ac:dyDescent="0.2">
      <c r="E22" s="82"/>
      <c r="F22" s="83"/>
    </row>
    <row r="23" spans="5:6" x14ac:dyDescent="0.2">
      <c r="E23" s="82"/>
      <c r="F23" s="83"/>
    </row>
    <row r="24" spans="5:6" x14ac:dyDescent="0.2">
      <c r="E24" s="82"/>
      <c r="F24" s="83"/>
    </row>
    <row r="25" spans="5:6" x14ac:dyDescent="0.2">
      <c r="E25" s="82"/>
      <c r="F25" s="83"/>
    </row>
    <row r="26" spans="5:6" x14ac:dyDescent="0.2">
      <c r="E26" s="82"/>
      <c r="F26" s="83"/>
    </row>
    <row r="27" spans="5:6" x14ac:dyDescent="0.2">
      <c r="E27" s="82"/>
      <c r="F27" s="83"/>
    </row>
    <row r="28" spans="5:6" x14ac:dyDescent="0.2">
      <c r="E28" s="82"/>
      <c r="F28" s="83"/>
    </row>
    <row r="29" spans="5:6" x14ac:dyDescent="0.2">
      <c r="E29" s="82"/>
      <c r="F29" s="83"/>
    </row>
    <row r="30" spans="5:6" x14ac:dyDescent="0.2">
      <c r="E30" s="82"/>
      <c r="F30" s="83"/>
    </row>
  </sheetData>
  <mergeCells count="37">
    <mergeCell ref="E21:F21"/>
    <mergeCell ref="E22:F22"/>
    <mergeCell ref="E23:F23"/>
    <mergeCell ref="E29:F29"/>
    <mergeCell ref="E30:F30"/>
    <mergeCell ref="E24:F24"/>
    <mergeCell ref="E25:F25"/>
    <mergeCell ref="E26:F26"/>
    <mergeCell ref="E27:F27"/>
    <mergeCell ref="E28:F28"/>
    <mergeCell ref="E17:F17"/>
    <mergeCell ref="E16:F16"/>
    <mergeCell ref="E18:F18"/>
    <mergeCell ref="E19:F19"/>
    <mergeCell ref="E20:F20"/>
    <mergeCell ref="C8:D8"/>
    <mergeCell ref="E8:F8"/>
    <mergeCell ref="E9:F9"/>
    <mergeCell ref="E10:F10"/>
    <mergeCell ref="G2:H2"/>
    <mergeCell ref="E3:F3"/>
    <mergeCell ref="E4:F4"/>
    <mergeCell ref="E5:F5"/>
    <mergeCell ref="E2:F2"/>
    <mergeCell ref="A2:B2"/>
    <mergeCell ref="C2:D2"/>
    <mergeCell ref="C5:D5"/>
    <mergeCell ref="C3:D3"/>
    <mergeCell ref="C4:D4"/>
    <mergeCell ref="E11:F11"/>
    <mergeCell ref="E14:F14"/>
    <mergeCell ref="G16:H16"/>
    <mergeCell ref="G11:H11"/>
    <mergeCell ref="G12:H12"/>
    <mergeCell ref="G13:H13"/>
    <mergeCell ref="G14:H14"/>
    <mergeCell ref="G15:H1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mg_weather</vt:lpstr>
      <vt:lpstr>mg_scene</vt:lpstr>
      <vt:lpstr>-配置辅助</vt:lpstr>
      <vt:lpstr>-id 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Wenda Wang</cp:lastModifiedBy>
  <dcterms:created xsi:type="dcterms:W3CDTF">2015-06-05T18:19:00Z</dcterms:created>
  <dcterms:modified xsi:type="dcterms:W3CDTF">2025-11-27T10:04:28Z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1033-12.2.0.16909</vt:lpwstr>
  </property>
</Properties>
</file>