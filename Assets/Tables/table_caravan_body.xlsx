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YH\Assets\Tables\"/>
    </mc:Choice>
  </mc:AlternateContent>
  <xr:revisionPtr revIDLastSave="0" documentId="13_ncr:1_{E2910942-C4EF-4097-8C84-067FD8643289}" xr6:coauthVersionLast="47" xr6:coauthVersionMax="47" xr10:uidLastSave="{00000000-0000-0000-0000-000000000000}"/>
  <bookViews>
    <workbookView xWindow="-28920" yWindow="-990" windowWidth="29040" windowHeight="15720" xr2:uid="{00000000-000D-0000-FFFF-FFFF00000000}"/>
  </bookViews>
  <sheets>
    <sheet name="caravan_body" sheetId="3" r:id="rId1"/>
    <sheet name="-id 配置说明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 a="1"/>
  <c r="N4" i="3" s="1"/>
  <c r="N10" i="3" a="1"/>
  <c r="N10" i="3" s="1"/>
  <c r="N9" i="3" a="1"/>
  <c r="N9" i="3" s="1"/>
  <c r="N7" i="3" a="1"/>
  <c r="N7" i="3" s="1"/>
  <c r="N6" i="3" a="1"/>
  <c r="N6" i="3" s="1"/>
  <c r="F9" i="3"/>
  <c r="F10" i="3" l="1"/>
  <c r="C10" i="3"/>
  <c r="C9" i="3"/>
  <c r="F7" i="3"/>
  <c r="C7" i="3"/>
  <c r="F6" i="3"/>
  <c r="C6" i="3"/>
  <c r="F4" i="3" l="1"/>
  <c r="C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<sst xmlns="http://schemas.openxmlformats.org/spreadsheetml/2006/main" count="98" uniqueCount="74">
  <si>
    <t>id</t>
  </si>
  <si>
    <t>name</t>
  </si>
  <si>
    <t>uint key</t>
  </si>
  <si>
    <t>int</t>
  </si>
  <si>
    <t>rank</t>
    <phoneticPr fontId="4" type="noConversion"/>
  </si>
  <si>
    <t>wheel_to_caravan_dis</t>
    <phoneticPr fontId="4" type="noConversion"/>
  </si>
  <si>
    <t>hp</t>
  </si>
  <si>
    <t>uint key</t>
    <phoneticPr fontId="4" type="noConversion"/>
  </si>
  <si>
    <t>string</t>
    <phoneticPr fontId="4" type="noConversion"/>
  </si>
  <si>
    <t>float</t>
    <phoneticPr fontId="4" type="noConversion"/>
  </si>
  <si>
    <t>int</t>
    <phoneticPr fontId="4" type="noConversion"/>
  </si>
  <si>
    <t>车体id</t>
    <phoneticPr fontId="4" type="noConversion"/>
  </si>
  <si>
    <r>
      <rPr>
        <b/>
        <sz val="11"/>
        <color theme="1"/>
        <rFont val="等线"/>
        <family val="3"/>
        <charset val="134"/>
        <scheme val="minor"/>
      </rPr>
      <t>车体名称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查localization表id</t>
    </r>
    <phoneticPr fontId="4" type="noConversion"/>
  </si>
  <si>
    <t>备注1</t>
    <phoneticPr fontId="4" type="noConversion"/>
  </si>
  <si>
    <t>备注2</t>
    <phoneticPr fontId="4" type="noConversion"/>
  </si>
  <si>
    <t>unity
resource
name</t>
    <phoneticPr fontId="4" type="noConversion"/>
  </si>
  <si>
    <t>车体耐久</t>
  </si>
  <si>
    <t>简易篷车</t>
  </si>
  <si>
    <t>string</t>
    <phoneticPr fontId="5" type="noConversion"/>
  </si>
  <si>
    <t>view</t>
    <phoneticPr fontId="5" type="noConversion"/>
  </si>
  <si>
    <t>weight</t>
    <phoneticPr fontId="4" type="noConversion"/>
  </si>
  <si>
    <t>Prefeb</t>
    <phoneticPr fontId="4" type="noConversion"/>
  </si>
  <si>
    <t>work_id</t>
    <phoneticPr fontId="5" type="noConversion"/>
  </si>
  <si>
    <t>uint[]</t>
    <phoneticPr fontId="5" type="noConversion"/>
  </si>
  <si>
    <t>工作/工作位</t>
    <phoneticPr fontId="4" type="noConversion"/>
  </si>
  <si>
    <t>simple</t>
    <phoneticPr fontId="5" type="noConversion"/>
  </si>
  <si>
    <t>第1位</t>
  </si>
  <si>
    <t>第2位</t>
  </si>
  <si>
    <t>第3位</t>
  </si>
  <si>
    <t>第4位</t>
  </si>
  <si>
    <t>第5位</t>
  </si>
  <si>
    <t>10 = car_body</t>
    <phoneticPr fontId="14" type="noConversion"/>
  </si>
  <si>
    <t>第6位</t>
    <phoneticPr fontId="14" type="noConversion"/>
  </si>
  <si>
    <t>11 = 地宫车体</t>
    <phoneticPr fontId="14" type="noConversion"/>
  </si>
  <si>
    <t>12 ~19 = 其他关卡车体</t>
    <phoneticPr fontId="14" type="noConversion"/>
  </si>
  <si>
    <t>编号</t>
    <phoneticPr fontId="14" type="noConversion"/>
  </si>
  <si>
    <t>01 = 玩家基础车体</t>
    <phoneticPr fontId="14" type="noConversion"/>
  </si>
  <si>
    <t>地宫</t>
    <phoneticPr fontId="5" type="noConversion"/>
  </si>
  <si>
    <t>捕奴囚笼</t>
    <phoneticPr fontId="5" type="noConversion"/>
  </si>
  <si>
    <t>镇暴装甲</t>
    <phoneticPr fontId="5" type="noConversion"/>
  </si>
  <si>
    <t>玩家</t>
    <phoneticPr fontId="5" type="noConversion"/>
  </si>
  <si>
    <t>dungeon_01</t>
    <phoneticPr fontId="5" type="noConversion"/>
  </si>
  <si>
    <t>dungeon_02</t>
    <phoneticPr fontId="5" type="noConversion"/>
  </si>
  <si>
    <r>
      <t xml:space="preserve">车体品质
</t>
    </r>
    <r>
      <rPr>
        <i/>
        <sz val="11"/>
        <color theme="1"/>
        <rFont val="等线"/>
        <family val="3"/>
        <charset val="134"/>
        <scheme val="minor"/>
      </rPr>
      <t>先统一默认是0</t>
    </r>
    <phoneticPr fontId="4" type="noConversion"/>
  </si>
  <si>
    <t>车体减伤</t>
    <phoneticPr fontId="5" type="noConversion"/>
  </si>
  <si>
    <t>def</t>
    <phoneticPr fontId="5" type="noConversion"/>
  </si>
  <si>
    <t>大湖贝壳车</t>
    <phoneticPr fontId="5" type="noConversion"/>
  </si>
  <si>
    <t>大湖船车</t>
    <phoneticPr fontId="5" type="noConversion"/>
  </si>
  <si>
    <t>大湖</t>
    <phoneticPr fontId="5" type="noConversion"/>
  </si>
  <si>
    <t>lake_01</t>
    <phoneticPr fontId="5" type="noConversion"/>
  </si>
  <si>
    <t>lake_02</t>
    <phoneticPr fontId="5" type="noConversion"/>
  </si>
  <si>
    <t>device_slots</t>
    <phoneticPr fontId="4" type="noConversion"/>
  </si>
  <si>
    <t>dict&lt;string,int&gt;</t>
    <phoneticPr fontId="4" type="noConversion"/>
  </si>
  <si>
    <r>
      <t xml:space="preserve">设备槽位
</t>
    </r>
    <r>
      <rPr>
        <i/>
        <sz val="10"/>
        <color theme="1"/>
        <rFont val="等线"/>
        <family val="3"/>
        <charset val="134"/>
        <scheme val="minor"/>
      </rPr>
      <t>key: 槽位名称
value: 槽位宽度</t>
    </r>
    <phoneticPr fontId="4" type="noConversion"/>
  </si>
  <si>
    <r>
      <t xml:space="preserve">车体重量
</t>
    </r>
    <r>
      <rPr>
        <i/>
        <sz val="10"/>
        <color theme="1"/>
        <rFont val="等线"/>
        <family val="3"/>
        <charset val="134"/>
        <scheme val="minor"/>
      </rPr>
      <t>（单位：kg）</t>
    </r>
    <phoneticPr fontId="4" type="noConversion"/>
  </si>
  <si>
    <r>
      <rPr>
        <b/>
        <sz val="11"/>
        <color theme="1"/>
        <rFont val="等线"/>
        <family val="3"/>
        <charset val="134"/>
        <scheme val="minor"/>
      </rPr>
      <t xml:space="preserve">轮子到车体中心的距离
</t>
    </r>
    <r>
      <rPr>
        <i/>
        <sz val="10"/>
        <color theme="1"/>
        <rFont val="等线"/>
        <family val="3"/>
        <charset val="134"/>
        <scheme val="minor"/>
      </rPr>
      <t>用在装配界面，
调整小车快照的位置</t>
    </r>
    <phoneticPr fontId="4" type="noConversion"/>
  </si>
  <si>
    <t>slot_back</t>
    <phoneticPr fontId="5" type="noConversion"/>
  </si>
  <si>
    <t>辅助列
slot name
1</t>
    <phoneticPr fontId="5" type="noConversion"/>
  </si>
  <si>
    <t>辅助列
slot name
2</t>
  </si>
  <si>
    <t>辅助列
slot name
3</t>
  </si>
  <si>
    <t>辅助列
slot name
4</t>
  </si>
  <si>
    <t>辅助列
slot name
5</t>
  </si>
  <si>
    <t>slot_back_top</t>
    <phoneticPr fontId="5" type="noConversion"/>
  </si>
  <si>
    <t>slot_top</t>
    <phoneticPr fontId="5" type="noConversion"/>
  </si>
  <si>
    <t>slot_front_top</t>
    <phoneticPr fontId="5" type="noConversion"/>
  </si>
  <si>
    <t>slot_front</t>
    <phoneticPr fontId="5" type="noConversion"/>
  </si>
  <si>
    <t>辅助列
slot size
1</t>
    <phoneticPr fontId="5" type="noConversion"/>
  </si>
  <si>
    <t>辅助列
slot size
2</t>
  </si>
  <si>
    <t>辅助列
slot size
3</t>
  </si>
  <si>
    <t>辅助列
slot size
4</t>
  </si>
  <si>
    <t>辅助列
slot size
5</t>
  </si>
  <si>
    <t>k_hurt</t>
    <phoneticPr fontId="5" type="noConversion"/>
  </si>
  <si>
    <t>simple</t>
    <phoneticPr fontId="4" type="noConversion"/>
  </si>
  <si>
    <t>伤害修正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</si>
</sst>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charset val="134"/>
      <scheme val="minor"/>
    </font>
    <font>
      <sz val="11"/>
      <color theme="0"/>
      <name val="等线"/>
      <family val="2"/>
      <scheme val="minor"/>
    </font>
    <font>
      <sz val="11"/>
      <color theme="5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i/>
      <sz val="11"/>
      <color theme="1" tint="0.499984740745262"/>
      <name val="等线"/>
      <family val="2"/>
      <scheme val="minor"/>
    </font>
    <font>
      <i/>
      <sz val="11"/>
      <color theme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i/>
      <sz val="11"/>
      <color theme="9"/>
      <name val="等线"/>
      <family val="3"/>
      <charset val="134"/>
      <scheme val="minor"/>
    </font>
    <font>
      <sz val="11"/>
      <color theme="8"/>
      <name val="等线"/>
      <family val="3"/>
      <charset val="134"/>
      <scheme val="minor"/>
    </font>
    <font>
      <b/>
      <i/>
      <sz val="11"/>
      <color theme="8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1" fillId="0" borderId="0"/>
    <xf numFmtId="0" fontId="12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/>
    <xf numFmtId="0" fontId="11" fillId="0" borderId="0" xfId="0" applyFont="1"/>
    <xf numFmtId="0" fontId="7" fillId="0" borderId="0" xfId="0" applyFont="1"/>
    <xf numFmtId="0" fontId="11" fillId="0" borderId="0" xfId="0" applyFont="1" applyAlignment="1">
      <alignment horizontal="center"/>
    </xf>
    <xf numFmtId="0" fontId="13" fillId="0" borderId="0" xfId="3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3" borderId="0" xfId="2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20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8" fillId="5" borderId="0" xfId="2" applyFont="1" applyFill="1" applyAlignment="1">
      <alignment horizontal="center" vertical="center" wrapText="1"/>
    </xf>
    <xf numFmtId="0" fontId="16" fillId="0" borderId="0" xfId="3" applyFont="1" applyAlignment="1">
      <alignment horizontal="center" vertical="center"/>
    </xf>
    <xf numFmtId="0" fontId="15" fillId="0" borderId="0" xfId="3" applyFont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D2489BA3-7AF3-4E35-8F0A-46AEE03BE09D}"/>
    <cellStyle name="常规 2 3" xfId="3" xr:uid="{07A9781D-0780-4010-B29A-B9F5362C92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2D4E-177C-4FB4-ACF4-6C3B8984BA30}">
  <dimension ref="A1:X15"/>
  <sheetViews>
    <sheetView tabSelected="1" zoomScaleNormal="100" workbookViewId="0">
      <pane xSplit="5" ySplit="3" topLeftCell="F4" activePane="bottomRight" state="frozen"/>
      <selection pane="topRight" activeCell="D1" sqref="D1"/>
      <selection pane="bottomLeft" activeCell="A4" sqref="A4"/>
      <selection pane="bottomRight" activeCell="H16" sqref="H16"/>
    </sheetView>
  </sheetViews>
  <sheetFormatPr defaultColWidth="9.125" defaultRowHeight="14.25" x14ac:dyDescent="0.2"/>
  <cols>
    <col min="1" max="1" width="10.5" customWidth="1"/>
    <col min="2" max="2" width="9" style="15" bestFit="1" customWidth="1"/>
    <col min="3" max="3" width="24.875" style="15" bestFit="1" customWidth="1"/>
    <col min="4" max="4" width="10.75" style="16" bestFit="1" customWidth="1"/>
    <col min="5" max="5" width="6.75" style="16" bestFit="1" customWidth="1"/>
    <col min="6" max="6" width="29.75" customWidth="1"/>
    <col min="7" max="7" width="11.25" style="18" bestFit="1" customWidth="1"/>
    <col min="8" max="8" width="28.25" style="18" customWidth="1"/>
    <col min="9" max="9" width="16.375" style="15" bestFit="1" customWidth="1"/>
    <col min="10" max="10" width="21.375" bestFit="1" customWidth="1"/>
    <col min="11" max="12" width="9.125" style="15"/>
    <col min="13" max="13" width="14.125" style="4" customWidth="1"/>
    <col min="14" max="14" width="58.875" style="4" customWidth="1"/>
    <col min="15" max="19" width="11.75" style="32" customWidth="1"/>
    <col min="20" max="24" width="7.5" style="33" customWidth="1"/>
  </cols>
  <sheetData>
    <row r="1" spans="1:24" s="1" customFormat="1" x14ac:dyDescent="0.2">
      <c r="A1" s="1" t="s">
        <v>0</v>
      </c>
      <c r="B1" s="1" t="s">
        <v>4</v>
      </c>
      <c r="C1" s="1" t="s">
        <v>1</v>
      </c>
      <c r="D1" s="5"/>
      <c r="E1" s="5"/>
      <c r="F1" s="1" t="s">
        <v>19</v>
      </c>
      <c r="G1" s="6"/>
      <c r="H1" s="1" t="s">
        <v>71</v>
      </c>
      <c r="I1" s="1" t="s">
        <v>22</v>
      </c>
      <c r="J1" s="1" t="s">
        <v>5</v>
      </c>
      <c r="K1" s="1" t="s">
        <v>6</v>
      </c>
      <c r="L1" s="1" t="s">
        <v>45</v>
      </c>
      <c r="M1" s="1" t="s">
        <v>20</v>
      </c>
      <c r="N1" s="1" t="s">
        <v>51</v>
      </c>
      <c r="O1" s="6"/>
      <c r="P1" s="6"/>
      <c r="Q1" s="6"/>
      <c r="R1" s="6"/>
      <c r="S1" s="6"/>
      <c r="T1" s="29"/>
      <c r="U1" s="29"/>
      <c r="V1" s="29"/>
      <c r="W1" s="29"/>
      <c r="X1" s="29"/>
    </row>
    <row r="2" spans="1:24" s="7" customFormat="1" x14ac:dyDescent="0.2">
      <c r="A2" s="7" t="s">
        <v>2</v>
      </c>
      <c r="B2" s="7" t="s">
        <v>7</v>
      </c>
      <c r="C2" s="7" t="s">
        <v>8</v>
      </c>
      <c r="D2" s="8"/>
      <c r="E2" s="8"/>
      <c r="F2" s="7" t="s">
        <v>18</v>
      </c>
      <c r="G2" s="9" t="s">
        <v>72</v>
      </c>
      <c r="H2" s="7" t="s">
        <v>52</v>
      </c>
      <c r="I2" s="7" t="s">
        <v>23</v>
      </c>
      <c r="J2" s="7" t="s">
        <v>9</v>
      </c>
      <c r="K2" s="7" t="s">
        <v>3</v>
      </c>
      <c r="L2" s="7" t="s">
        <v>3</v>
      </c>
      <c r="M2" s="2" t="s">
        <v>10</v>
      </c>
      <c r="N2" s="2" t="s">
        <v>52</v>
      </c>
      <c r="O2" s="9"/>
      <c r="P2" s="9"/>
      <c r="Q2" s="9"/>
      <c r="R2" s="9"/>
      <c r="S2" s="9"/>
      <c r="T2" s="30"/>
      <c r="U2" s="30"/>
      <c r="V2" s="30"/>
      <c r="W2" s="30"/>
      <c r="X2" s="30"/>
    </row>
    <row r="3" spans="1:24" s="3" customFormat="1" ht="42.75" x14ac:dyDescent="0.2">
      <c r="A3" s="13" t="s">
        <v>11</v>
      </c>
      <c r="B3" s="14" t="s">
        <v>43</v>
      </c>
      <c r="C3" s="10" t="s">
        <v>12</v>
      </c>
      <c r="D3" s="11" t="s">
        <v>13</v>
      </c>
      <c r="E3" s="11" t="s">
        <v>14</v>
      </c>
      <c r="F3" s="14" t="s">
        <v>21</v>
      </c>
      <c r="G3" s="12" t="s">
        <v>15</v>
      </c>
      <c r="H3" s="14" t="s">
        <v>73</v>
      </c>
      <c r="I3" s="14" t="s">
        <v>24</v>
      </c>
      <c r="J3" s="25" t="s">
        <v>55</v>
      </c>
      <c r="K3" s="13" t="s">
        <v>16</v>
      </c>
      <c r="L3" s="13" t="s">
        <v>44</v>
      </c>
      <c r="M3" s="24" t="s">
        <v>54</v>
      </c>
      <c r="N3" s="34" t="s">
        <v>53</v>
      </c>
      <c r="O3" s="28" t="s">
        <v>57</v>
      </c>
      <c r="P3" s="28" t="s">
        <v>58</v>
      </c>
      <c r="Q3" s="28" t="s">
        <v>59</v>
      </c>
      <c r="R3" s="28" t="s">
        <v>60</v>
      </c>
      <c r="S3" s="28" t="s">
        <v>61</v>
      </c>
      <c r="T3" s="31" t="s">
        <v>66</v>
      </c>
      <c r="U3" s="31" t="s">
        <v>67</v>
      </c>
      <c r="V3" s="31" t="s">
        <v>68</v>
      </c>
      <c r="W3" s="31" t="s">
        <v>69</v>
      </c>
      <c r="X3" s="31" t="s">
        <v>70</v>
      </c>
    </row>
    <row r="4" spans="1:24" x14ac:dyDescent="0.2">
      <c r="A4">
        <v>100101</v>
      </c>
      <c r="B4" s="15">
        <v>0</v>
      </c>
      <c r="C4" s="15" t="str">
        <f>_xlfn.TEXTJOIN("_",1,"carbody_name",$A4)</f>
        <v>carbody_name_100101</v>
      </c>
      <c r="D4" s="16" t="s">
        <v>17</v>
      </c>
      <c r="E4" s="16" t="s">
        <v>40</v>
      </c>
      <c r="F4" s="17" t="str">
        <f>_xlfn.TEXTJOIN("_",1,"carbody",$A4,G4)</f>
        <v>carbody_100101_simple</v>
      </c>
      <c r="G4" s="18" t="s">
        <v>25</v>
      </c>
      <c r="I4" s="19">
        <v>14001</v>
      </c>
      <c r="J4" s="19">
        <v>1.5</v>
      </c>
      <c r="K4" s="15">
        <v>4000</v>
      </c>
      <c r="L4" s="15">
        <v>0</v>
      </c>
      <c r="M4" s="4">
        <v>2000</v>
      </c>
      <c r="N4" s="27" t="str" cm="1">
        <f t="array" ref="N4">_xlfn.TEXTJOIN(";",1,_xlfn.MAP(O4:S4,T4:X4,_xlfn.LAMBDA(_xlpm.x,_xlpm.y,IF(_xlpm.x="","",_xlpm.x&amp;"="&amp;_xlpm.y))))</f>
        <v>slot_back=1;slot_back_top=2;slot_top=3;slot_front_top=2;slot_front=1</v>
      </c>
      <c r="O4" s="32" t="s">
        <v>56</v>
      </c>
      <c r="P4" s="32" t="s">
        <v>62</v>
      </c>
      <c r="Q4" s="32" t="s">
        <v>63</v>
      </c>
      <c r="R4" s="32" t="s">
        <v>64</v>
      </c>
      <c r="S4" s="32" t="s">
        <v>65</v>
      </c>
      <c r="T4" s="33">
        <v>1</v>
      </c>
      <c r="U4" s="33">
        <v>2</v>
      </c>
      <c r="V4" s="33">
        <v>3</v>
      </c>
      <c r="W4" s="33">
        <v>2</v>
      </c>
      <c r="X4" s="33">
        <v>1</v>
      </c>
    </row>
    <row r="6" spans="1:24" x14ac:dyDescent="0.2">
      <c r="A6">
        <v>101101</v>
      </c>
      <c r="B6" s="15">
        <v>0</v>
      </c>
      <c r="C6" s="15" t="str">
        <f>_xlfn.TEXTJOIN("_",1,"carbody_name",$A6)</f>
        <v>carbody_name_101101</v>
      </c>
      <c r="D6" s="16" t="s">
        <v>38</v>
      </c>
      <c r="E6" s="16" t="s">
        <v>37</v>
      </c>
      <c r="F6" s="17" t="str">
        <f>_xlfn.TEXTJOIN("_",1,"carbody",$A6,G6)</f>
        <v>carbody_101101_dungeon_01</v>
      </c>
      <c r="G6" s="18" t="s">
        <v>41</v>
      </c>
      <c r="I6" s="19">
        <v>14001</v>
      </c>
      <c r="J6" s="19">
        <v>1.5</v>
      </c>
      <c r="K6" s="15">
        <v>2500</v>
      </c>
      <c r="L6" s="15">
        <v>1</v>
      </c>
      <c r="M6" s="4">
        <v>1600</v>
      </c>
      <c r="N6" s="27" t="str" cm="1">
        <f t="array" ref="N6">_xlfn.TEXTJOIN(";",1,_xlfn.MAP(O6:S6,T6:X6,_xlfn.LAMBDA(_xlpm.x,_xlpm.y,IF(_xlpm.x="","",_xlpm.x&amp;"="&amp;_xlpm.y))))</f>
        <v>slot_back=1;slot_back_top=2;slot_top=3;slot_front_top=2;slot_front=1</v>
      </c>
      <c r="O6" s="32" t="s">
        <v>56</v>
      </c>
      <c r="P6" s="32" t="s">
        <v>62</v>
      </c>
      <c r="Q6" s="32" t="s">
        <v>63</v>
      </c>
      <c r="R6" s="32" t="s">
        <v>64</v>
      </c>
      <c r="S6" s="32" t="s">
        <v>65</v>
      </c>
      <c r="T6" s="33">
        <v>1</v>
      </c>
      <c r="U6" s="33">
        <v>2</v>
      </c>
      <c r="V6" s="33">
        <v>3</v>
      </c>
      <c r="W6" s="33">
        <v>2</v>
      </c>
      <c r="X6" s="33">
        <v>1</v>
      </c>
    </row>
    <row r="7" spans="1:24" x14ac:dyDescent="0.2">
      <c r="A7">
        <v>101102</v>
      </c>
      <c r="B7" s="15">
        <v>0</v>
      </c>
      <c r="C7" s="15" t="str">
        <f>_xlfn.TEXTJOIN("_",1,"carbody_name",$A7)</f>
        <v>carbody_name_101102</v>
      </c>
      <c r="D7" s="16" t="s">
        <v>39</v>
      </c>
      <c r="E7" s="16" t="s">
        <v>37</v>
      </c>
      <c r="F7" s="17" t="str">
        <f t="shared" ref="F7:F10" si="0">_xlfn.TEXTJOIN("_",1,"carbody",$A7,G7)</f>
        <v>carbody_101102_dungeon_02</v>
      </c>
      <c r="G7" s="18" t="s">
        <v>42</v>
      </c>
      <c r="I7" s="19">
        <v>14001</v>
      </c>
      <c r="J7" s="19">
        <v>1.5</v>
      </c>
      <c r="K7" s="15">
        <v>6000</v>
      </c>
      <c r="L7" s="15">
        <v>3</v>
      </c>
      <c r="M7" s="4">
        <v>5000</v>
      </c>
      <c r="N7" s="27" t="str" cm="1">
        <f t="array" ref="N7">_xlfn.TEXTJOIN(";",1,_xlfn.MAP(O7:S7,T7:X7,_xlfn.LAMBDA(_xlpm.x,_xlpm.y,IF(_xlpm.x="","",_xlpm.x&amp;"="&amp;_xlpm.y))))</f>
        <v>slot_back=1;slot_back_top=2;slot_top=3;slot_front_top=2;slot_front=1</v>
      </c>
      <c r="O7" s="32" t="s">
        <v>56</v>
      </c>
      <c r="P7" s="32" t="s">
        <v>62</v>
      </c>
      <c r="Q7" s="32" t="s">
        <v>63</v>
      </c>
      <c r="R7" s="32" t="s">
        <v>64</v>
      </c>
      <c r="S7" s="32" t="s">
        <v>65</v>
      </c>
      <c r="T7" s="33">
        <v>1</v>
      </c>
      <c r="U7" s="33">
        <v>2</v>
      </c>
      <c r="V7" s="33">
        <v>3</v>
      </c>
      <c r="W7" s="33">
        <v>2</v>
      </c>
      <c r="X7" s="33">
        <v>1</v>
      </c>
    </row>
    <row r="9" spans="1:24" x14ac:dyDescent="0.2">
      <c r="A9">
        <v>101201</v>
      </c>
      <c r="B9" s="15">
        <v>0</v>
      </c>
      <c r="C9" s="15" t="str">
        <f>_xlfn.TEXTJOIN("_",1,"carbody_name",$A9)</f>
        <v>carbody_name_101201</v>
      </c>
      <c r="D9" s="16" t="s">
        <v>47</v>
      </c>
      <c r="E9" s="16" t="s">
        <v>48</v>
      </c>
      <c r="F9" s="17" t="str">
        <f>_xlfn.TEXTJOIN("_",1,"carbody",$A9,G9)</f>
        <v>carbody_101201_lake_01</v>
      </c>
      <c r="G9" s="18" t="s">
        <v>49</v>
      </c>
      <c r="I9" s="19">
        <v>14001</v>
      </c>
      <c r="J9" s="19">
        <v>1.5</v>
      </c>
      <c r="K9" s="15">
        <v>6000</v>
      </c>
      <c r="L9" s="15">
        <v>3</v>
      </c>
      <c r="M9" s="4">
        <v>5000</v>
      </c>
      <c r="N9" s="27" t="str" cm="1">
        <f t="array" ref="N9">_xlfn.TEXTJOIN(";",1,_xlfn.MAP(O9:S9,T9:X9,_xlfn.LAMBDA(_xlpm.x,_xlpm.y,IF(_xlpm.x="","",_xlpm.x&amp;"="&amp;_xlpm.y))))</f>
        <v>slot_back=1;slot_back_top=2;slot_top=3;slot_front_top=2;slot_front=1</v>
      </c>
      <c r="O9" s="32" t="s">
        <v>56</v>
      </c>
      <c r="P9" s="32" t="s">
        <v>62</v>
      </c>
      <c r="Q9" s="32" t="s">
        <v>63</v>
      </c>
      <c r="R9" s="32" t="s">
        <v>64</v>
      </c>
      <c r="S9" s="32" t="s">
        <v>65</v>
      </c>
      <c r="T9" s="33">
        <v>1</v>
      </c>
      <c r="U9" s="33">
        <v>2</v>
      </c>
      <c r="V9" s="33">
        <v>3</v>
      </c>
      <c r="W9" s="33">
        <v>2</v>
      </c>
      <c r="X9" s="33">
        <v>1</v>
      </c>
    </row>
    <row r="10" spans="1:24" x14ac:dyDescent="0.2">
      <c r="A10">
        <v>101202</v>
      </c>
      <c r="B10" s="15">
        <v>0</v>
      </c>
      <c r="C10" s="15" t="str">
        <f>_xlfn.TEXTJOIN("_",1,"carbody_name",$A10)</f>
        <v>carbody_name_101202</v>
      </c>
      <c r="D10" s="16" t="s">
        <v>46</v>
      </c>
      <c r="E10" s="16" t="s">
        <v>48</v>
      </c>
      <c r="F10" s="17" t="str">
        <f t="shared" si="0"/>
        <v>carbody_101202_lake_02</v>
      </c>
      <c r="G10" s="18" t="s">
        <v>50</v>
      </c>
      <c r="I10" s="19">
        <v>14001</v>
      </c>
      <c r="J10" s="19">
        <v>1.5</v>
      </c>
      <c r="K10" s="15">
        <v>6000</v>
      </c>
      <c r="L10" s="15">
        <v>3</v>
      </c>
      <c r="M10" s="4">
        <v>5000</v>
      </c>
      <c r="N10" s="27" t="str" cm="1">
        <f t="array" ref="N10">_xlfn.TEXTJOIN(";",1,_xlfn.MAP(O10:S10,T10:X10,_xlfn.LAMBDA(_xlpm.x,_xlpm.y,IF(_xlpm.x="","",_xlpm.x&amp;"="&amp;_xlpm.y))))</f>
        <v>slot_back=1;slot_back_top=2;slot_top=3;slot_front_top=2;slot_front=1</v>
      </c>
      <c r="O10" s="32" t="s">
        <v>56</v>
      </c>
      <c r="P10" s="32" t="s">
        <v>62</v>
      </c>
      <c r="Q10" s="32" t="s">
        <v>63</v>
      </c>
      <c r="R10" s="32" t="s">
        <v>64</v>
      </c>
      <c r="S10" s="32" t="s">
        <v>65</v>
      </c>
      <c r="T10" s="33">
        <v>1</v>
      </c>
      <c r="U10" s="33">
        <v>2</v>
      </c>
      <c r="V10" s="33">
        <v>3</v>
      </c>
      <c r="W10" s="33">
        <v>2</v>
      </c>
      <c r="X10" s="33">
        <v>1</v>
      </c>
    </row>
    <row r="15" spans="1:24" x14ac:dyDescent="0.2">
      <c r="F15" s="26"/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450C-32BD-4227-B79A-B9BCBBB08249}">
  <dimension ref="A1:I7"/>
  <sheetViews>
    <sheetView workbookViewId="0">
      <selection activeCell="C16" sqref="C16"/>
    </sheetView>
  </sheetViews>
  <sheetFormatPr defaultColWidth="12.5" defaultRowHeight="14.25" x14ac:dyDescent="0.2"/>
  <cols>
    <col min="1" max="16384" width="12.5" style="21"/>
  </cols>
  <sheetData>
    <row r="1" spans="1:9" s="20" customFormat="1" x14ac:dyDescent="0.2">
      <c r="A1" s="20" t="s">
        <v>26</v>
      </c>
      <c r="B1" s="20" t="s">
        <v>27</v>
      </c>
      <c r="C1" s="20" t="s">
        <v>28</v>
      </c>
      <c r="D1" s="20" t="s">
        <v>29</v>
      </c>
      <c r="E1" s="20" t="s">
        <v>30</v>
      </c>
      <c r="F1" s="23" t="s">
        <v>32</v>
      </c>
      <c r="G1" s="21"/>
      <c r="H1" s="21"/>
      <c r="I1" s="21"/>
    </row>
    <row r="2" spans="1:9" x14ac:dyDescent="0.2">
      <c r="A2" s="35" t="s">
        <v>31</v>
      </c>
      <c r="B2" s="36"/>
      <c r="C2" s="35" t="s">
        <v>36</v>
      </c>
      <c r="D2" s="36"/>
      <c r="E2" s="35" t="s">
        <v>35</v>
      </c>
      <c r="F2" s="36"/>
    </row>
    <row r="3" spans="1:9" x14ac:dyDescent="0.2">
      <c r="C3" s="35" t="s">
        <v>33</v>
      </c>
      <c r="D3" s="36"/>
    </row>
    <row r="4" spans="1:9" x14ac:dyDescent="0.2">
      <c r="C4" s="36" t="s">
        <v>34</v>
      </c>
      <c r="D4" s="36"/>
    </row>
    <row r="5" spans="1:9" x14ac:dyDescent="0.2">
      <c r="C5" s="22"/>
    </row>
    <row r="6" spans="1:9" x14ac:dyDescent="0.2">
      <c r="C6" s="22"/>
    </row>
    <row r="7" spans="1:9" x14ac:dyDescent="0.2">
      <c r="C7" s="22"/>
    </row>
  </sheetData>
  <mergeCells count="5">
    <mergeCell ref="A2:B2"/>
    <mergeCell ref="C2:D2"/>
    <mergeCell ref="C3:D3"/>
    <mergeCell ref="C4:D4"/>
    <mergeCell ref="E2:F2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caravan_body</vt:lpstr>
      <vt:lpstr>-id 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xiao cheng</cp:lastModifiedBy>
  <dcterms:created xsi:type="dcterms:W3CDTF">2015-06-05T18:19:00Z</dcterms:created>
  <dcterms:modified xsi:type="dcterms:W3CDTF">2025-12-08T03:09:42Z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1033-12.2.0.16909</vt:lpwstr>
  </property>
</Properties>
</file>