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31A4C5CC-D20A-4559-B137-C982813732CB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dialog_l10n" sheetId="3" r:id="rId1"/>
    <sheet name="-配置辅助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 a="1"/>
  <c r="I4" i="3" s="1"/>
  <c r="I6" i="3" a="1"/>
  <c r="I6" i="3" s="1"/>
  <c r="I7" i="3" a="1"/>
  <c r="I7" i="3" s="1"/>
  <c r="I10" i="3" a="1"/>
  <c r="I10" i="3" s="1"/>
  <c r="I9" i="3" a="1"/>
  <c r="I9" i="3" s="1"/>
  <c r="E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<sst xmlns="http://schemas.openxmlformats.org/spreadsheetml/2006/main" count="58" uniqueCount="43">
  <si>
    <t>id</t>
  </si>
  <si>
    <t>CN</t>
  </si>
  <si>
    <t>EN</t>
  </si>
  <si>
    <t>string key</t>
  </si>
  <si>
    <t>string</t>
  </si>
  <si>
    <t>key</t>
  </si>
  <si>
    <r>
      <rPr>
        <b/>
        <sz val="11"/>
        <color theme="1"/>
        <rFont val="等线"/>
        <family val="3"/>
        <charset val="134"/>
        <scheme val="minor"/>
      </rPr>
      <t xml:space="preserve">English
</t>
    </r>
    <r>
      <rPr>
        <i/>
        <sz val="11"/>
        <color theme="1"/>
        <rFont val="等线"/>
        <family val="3"/>
        <charset val="134"/>
        <scheme val="minor"/>
      </rPr>
      <t>英语</t>
    </r>
  </si>
  <si>
    <t>备注1 对话文件</t>
    <phoneticPr fontId="8" type="noConversion"/>
  </si>
  <si>
    <t>TITLE_coin_chest</t>
    <phoneticPr fontId="8" type="noConversion"/>
  </si>
  <si>
    <t>PAGE_coin_chest_01</t>
    <phoneticPr fontId="8" type="noConversion"/>
  </si>
  <si>
    <t>PAGE_coin_chest_02</t>
    <phoneticPr fontId="8" type="noConversion"/>
  </si>
  <si>
    <t>Button_coin_chest_01-01</t>
    <phoneticPr fontId="8" type="noConversion"/>
  </si>
  <si>
    <t>Button_coin_chest_02-01</t>
    <phoneticPr fontId="8" type="noConversion"/>
  </si>
  <si>
    <t>尝试撬锁</t>
    <phoneticPr fontId="8" type="noConversion"/>
  </si>
  <si>
    <t>区域的角落放置着一个上锁的货箱</t>
    <phoneticPr fontId="8" type="noConversion"/>
  </si>
  <si>
    <t>上锁的货箱</t>
    <phoneticPr fontId="8" type="noConversion"/>
  </si>
  <si>
    <t>在其中找到了一些铜币</t>
    <phoneticPr fontId="8" type="noConversion"/>
  </si>
  <si>
    <t>拿走其中的铜币|获得{loot_num}个{loot_name}</t>
    <phoneticPr fontId="8" type="noConversion"/>
  </si>
  <si>
    <t>关键字</t>
    <phoneticPr fontId="8" type="noConversion"/>
  </si>
  <si>
    <t>铜币</t>
    <phoneticPr fontId="8" type="noConversion"/>
  </si>
  <si>
    <t>处理模式</t>
    <phoneticPr fontId="8" type="noConversion"/>
  </si>
  <si>
    <t>color</t>
    <phoneticPr fontId="8" type="noConversion"/>
  </si>
  <si>
    <t>参数</t>
    <phoneticPr fontId="8" type="noConversion"/>
  </si>
  <si>
    <t>处理后</t>
    <phoneticPr fontId="8" type="noConversion"/>
  </si>
  <si>
    <t>#CE8F22</t>
    <phoneticPr fontId="8" type="noConversion"/>
  </si>
  <si>
    <t>本地关键字</t>
    <phoneticPr fontId="8" type="noConversion"/>
  </si>
  <si>
    <t>#C57C4C</t>
    <phoneticPr fontId="8" type="noConversion"/>
  </si>
  <si>
    <t>强调</t>
    <phoneticPr fontId="8" type="noConversion"/>
  </si>
  <si>
    <t>负面</t>
    <phoneticPr fontId="8" type="noConversion"/>
  </si>
  <si>
    <t>#821C00</t>
    <phoneticPr fontId="8" type="noConversion"/>
  </si>
  <si>
    <t>#5FAACF</t>
    <phoneticPr fontId="8" type="noConversion"/>
  </si>
  <si>
    <t>金币</t>
    <phoneticPr fontId="8" type="noConversion"/>
  </si>
  <si>
    <t>物品</t>
    <phoneticPr fontId="8" type="noConversion"/>
  </si>
  <si>
    <t>本地关键字
强调</t>
    <phoneticPr fontId="8" type="noConversion"/>
  </si>
  <si>
    <t>本地关键字
负面</t>
    <phoneticPr fontId="8" type="noConversion"/>
  </si>
  <si>
    <t>本地关键字
金币</t>
    <phoneticPr fontId="8" type="noConversion"/>
  </si>
  <si>
    <t>本地关键字
物品</t>
    <phoneticPr fontId="8" type="noConversion"/>
  </si>
  <si>
    <t>{loot_name}</t>
    <phoneticPr fontId="8" type="noConversion"/>
  </si>
  <si>
    <t>no_text_for_now</t>
    <phoneticPr fontId="8" type="noConversion"/>
  </si>
  <si>
    <t>{loot_num}</t>
    <phoneticPr fontId="8" type="noConversion"/>
  </si>
  <si>
    <t>撬锁</t>
    <phoneticPr fontId="8" type="noConversion"/>
  </si>
  <si>
    <r>
      <t xml:space="preserve">简体中文
</t>
    </r>
    <r>
      <rPr>
        <i/>
        <sz val="11"/>
        <color theme="1"/>
        <rFont val="等线"/>
        <family val="3"/>
        <charset val="134"/>
        <scheme val="minor"/>
      </rPr>
      <t>中文</t>
    </r>
    <phoneticPr fontId="8" type="noConversion"/>
  </si>
  <si>
    <r>
      <t xml:space="preserve">辅助配置 - 原始中文文本
</t>
    </r>
    <r>
      <rPr>
        <i/>
        <sz val="11"/>
        <color theme="1"/>
        <rFont val="等线"/>
        <family val="3"/>
        <charset val="134"/>
        <scheme val="minor"/>
      </rPr>
      <t>使用竖线符号 " | " 进行多段分割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</si>
</sst>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 tint="0.499984740745262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i/>
      <sz val="11"/>
      <color theme="0"/>
      <name val="等线"/>
      <family val="3"/>
      <charset val="134"/>
      <scheme val="minor"/>
    </font>
    <font>
      <i/>
      <sz val="11"/>
      <color theme="5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9" fillId="2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0" borderId="0" xfId="0" applyFont="1"/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E06A0-8864-4BB0-8C7C-09607DB894B9}" name="tb_global_keyword" displayName="tb_global_keyword" ref="B5:E9" totalsRowShown="0" headerRowDxfId="1">
  <autoFilter ref="B5:E9" xr:uid="{18FE06A0-8864-4BB0-8C7C-09607DB894B9}"/>
  <tableColumns count="4">
    <tableColumn id="1" xr3:uid="{82F7129D-A269-40EA-9118-BC0B8DCE2B9F}" name="关键字"/>
    <tableColumn id="2" xr3:uid="{0CD68994-B510-4890-9AF5-EF4EFDECD88C}" name="处理模式"/>
    <tableColumn id="3" xr3:uid="{9764D78A-0273-4062-A929-8CF958685236}" name="参数"/>
    <tableColumn id="4" xr3:uid="{34E75975-C7E6-4CF0-889A-AF117F47AE96}" name="处理后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D6E76-0274-48DD-8910-7EEB0B678DD9}" name="tb_local_keyword" displayName="tb_local_keyword" ref="B14:D18" totalsRowShown="0" headerRowDxfId="0">
  <autoFilter ref="B14:D18" xr:uid="{B7ED6E76-0274-48DD-8910-7EEB0B678DD9}"/>
  <tableColumns count="3">
    <tableColumn id="1" xr3:uid="{594C236B-3195-4FE8-A817-6939A7135928}" name="关键字"/>
    <tableColumn id="2" xr3:uid="{997A8693-5D67-4DD2-B61A-DEE8ACD12640}" name="处理模式"/>
    <tableColumn id="3" xr3:uid="{C49607C4-E3C7-4ADA-A92F-42683796E919}" name="参数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pane ySplit="3" topLeftCell="A4" activePane="bottomLeft" state="frozen"/>
      <selection pane="bottomLeft" activeCell="I16" sqref="I16"/>
    </sheetView>
  </sheetViews>
  <sheetFormatPr defaultColWidth="9.125" defaultRowHeight="14.25" x14ac:dyDescent="0.2"/>
  <cols>
    <col min="1" max="1" width="23" bestFit="1" customWidth="1"/>
    <col min="2" max="2" width="26" style="4" bestFit="1" customWidth="1"/>
    <col min="3" max="3" width="42" style="16" bestFit="1" customWidth="1"/>
    <col min="4" max="5" width="11" style="21" bestFit="1" customWidth="1"/>
    <col min="6" max="7" width="11.25" style="21" bestFit="1" customWidth="1"/>
    <col min="8" max="8" width="11" style="21" bestFit="1" customWidth="1"/>
    <col min="9" max="9" width="116.5" style="5" bestFit="1" customWidth="1"/>
    <col min="10" max="10" width="19.5" style="5" customWidth="1"/>
  </cols>
  <sheetData>
    <row r="1" spans="1:12" s="1" customFormat="1" x14ac:dyDescent="0.2">
      <c r="A1" s="1" t="s">
        <v>0</v>
      </c>
      <c r="B1" s="6"/>
      <c r="C1" s="17"/>
      <c r="D1" s="18"/>
      <c r="E1" s="18"/>
      <c r="F1" s="18"/>
      <c r="G1" s="18"/>
      <c r="H1" s="18"/>
      <c r="I1" s="1" t="s">
        <v>1</v>
      </c>
      <c r="J1" s="1" t="s">
        <v>2</v>
      </c>
    </row>
    <row r="2" spans="1:12" s="2" customFormat="1" x14ac:dyDescent="0.2">
      <c r="A2" s="2" t="s">
        <v>3</v>
      </c>
      <c r="B2" s="7"/>
      <c r="C2" s="14"/>
      <c r="D2" s="19"/>
      <c r="E2" s="19"/>
      <c r="F2" s="19"/>
      <c r="G2" s="19"/>
      <c r="H2" s="19"/>
      <c r="I2" s="2" t="s">
        <v>4</v>
      </c>
      <c r="J2" s="2" t="s">
        <v>4</v>
      </c>
    </row>
    <row r="3" spans="1:12" s="3" customFormat="1" ht="28.5" x14ac:dyDescent="0.2">
      <c r="A3" s="8" t="s">
        <v>5</v>
      </c>
      <c r="B3" s="9" t="s">
        <v>7</v>
      </c>
      <c r="C3" s="10" t="s">
        <v>42</v>
      </c>
      <c r="D3" s="20" t="s">
        <v>33</v>
      </c>
      <c r="E3" s="20" t="s">
        <v>34</v>
      </c>
      <c r="F3" s="20" t="s">
        <v>35</v>
      </c>
      <c r="G3" s="20" t="s">
        <v>35</v>
      </c>
      <c r="H3" s="20" t="s">
        <v>36</v>
      </c>
      <c r="I3" s="10" t="s">
        <v>41</v>
      </c>
      <c r="J3" s="10" t="s">
        <v>6</v>
      </c>
    </row>
    <row r="4" spans="1:12" x14ac:dyDescent="0.2">
      <c r="A4" s="12" t="s">
        <v>8</v>
      </c>
      <c r="C4" s="12" t="s">
        <v>15</v>
      </c>
      <c r="I4" s="15" t="str" cm="1">
        <f t="array" aca="1" ref="I4" ca="1">_xlfn.REDUCE(
_xlfn.REDUCE(C4,tb_global_keyword[关键字],_xlfn.LAMBDA(_xlpm._raw,_xlpm._keyword,SUBSTITUTE(_xlpm._raw,_xlpm._keyword,_xlfn.XLOOKUP(_xlpm._keyword,tb_global_keyword[关键字],tb_global_keyword[处理后])))),
D4:H4,_xlfn.LAMBDA(_xlpm._raw,_xlpm._local_keyword,
    IF(_xlpm._local_keyword="",_xlpm._raw,
        SUBSTITUTE(_xlpm._raw,_xlpm._local_keyword,_xlfn.CONCAT("&lt;color=",_xlfn.XLOOKUP(REPLACE(OFFSET(_xlpm._local_keyword,ROW(D$3:H$3)-ROW(),0),1,6,""),tb_local_keyword[关键字],tb_local_keyword[参数]),"&gt;",_xlpm._local_keyword,"&lt;/color&gt;"))
    ))
)</f>
        <v>上锁的货箱</v>
      </c>
      <c r="J4" s="11" t="s">
        <v>38</v>
      </c>
    </row>
    <row r="5" spans="1:12" x14ac:dyDescent="0.2">
      <c r="A5" s="12"/>
      <c r="C5" s="12"/>
      <c r="I5" s="11"/>
    </row>
    <row r="6" spans="1:12" x14ac:dyDescent="0.2">
      <c r="A6" s="12" t="s">
        <v>9</v>
      </c>
      <c r="C6" s="12" t="s">
        <v>14</v>
      </c>
      <c r="D6" s="21" t="s">
        <v>15</v>
      </c>
      <c r="I6" s="15" t="str" cm="1">
        <f t="array" aca="1" ref="I6" ca="1">_xlfn.REDUCE(
_xlfn.REDUCE(C6,tb_global_keyword[关键字],_xlfn.LAMBDA(_xlpm._raw,_xlpm._keyword,SUBSTITUTE(_xlpm._raw,_xlpm._keyword,_xlfn.XLOOKUP(_xlpm._keyword,tb_global_keyword[关键字],tb_global_keyword[处理后])))),
D6:H6,_xlfn.LAMBDA(_xlpm._raw,_xlpm._local_keyword,
    IF(_xlpm._local_keyword="",_xlpm._raw,
        SUBSTITUTE(_xlpm._raw,_xlpm._local_keyword,_xlfn.CONCAT("&lt;color=",_xlfn.XLOOKUP(REPLACE(OFFSET(_xlpm._local_keyword,ROW(D$3:H$3)-ROW(),0),1,6,""),tb_local_keyword[关键字],tb_local_keyword[参数]),"&gt;",_xlpm._local_keyword,"&lt;/color&gt;"))
    ))
)</f>
        <v>区域的角落放置着一个&lt;color=#C57C4C&gt;上锁的货箱&lt;/color&gt;</v>
      </c>
      <c r="J6" s="11" t="s">
        <v>38</v>
      </c>
    </row>
    <row r="7" spans="1:12" x14ac:dyDescent="0.2">
      <c r="A7" s="12" t="s">
        <v>11</v>
      </c>
      <c r="C7" s="12" t="s">
        <v>13</v>
      </c>
      <c r="D7" s="21" t="s">
        <v>40</v>
      </c>
      <c r="I7" s="15" t="str" cm="1">
        <f t="array" aca="1" ref="I7" ca="1">_xlfn.REDUCE(
_xlfn.REDUCE(C7,tb_global_keyword[关键字],_xlfn.LAMBDA(_xlpm._raw,_xlpm._keyword,SUBSTITUTE(_xlpm._raw,_xlpm._keyword,_xlfn.XLOOKUP(_xlpm._keyword,tb_global_keyword[关键字],tb_global_keyword[处理后])))),
D7:H7,_xlfn.LAMBDA(_xlpm._raw,_xlpm._local_keyword,
    IF(_xlpm._local_keyword="",_xlpm._raw,
        SUBSTITUTE(_xlpm._raw,_xlpm._local_keyword,_xlfn.CONCAT("&lt;color=",_xlfn.XLOOKUP(REPLACE(OFFSET(_xlpm._local_keyword,ROW(D$3:H$3)-ROW(),0),1,6,""),tb_local_keyword[关键字],tb_local_keyword[参数]),"&gt;",_xlpm._local_keyword,"&lt;/color&gt;"))
    ))
)</f>
        <v>尝试&lt;color=#C57C4C&gt;撬锁&lt;/color&gt;</v>
      </c>
      <c r="J7" s="11" t="s">
        <v>38</v>
      </c>
    </row>
    <row r="9" spans="1:12" x14ac:dyDescent="0.2">
      <c r="A9" s="12" t="s">
        <v>10</v>
      </c>
      <c r="C9" s="12" t="s">
        <v>16</v>
      </c>
      <c r="D9" s="22"/>
      <c r="E9" s="22"/>
      <c r="F9" s="22"/>
      <c r="G9" s="22"/>
      <c r="H9" s="22"/>
      <c r="I9" s="15" t="str" cm="1">
        <f t="array" aca="1" ref="I9" ca="1">_xlfn.REDUCE(
_xlfn.REDUCE(C9,tb_global_keyword[关键字],_xlfn.LAMBDA(_xlpm._raw,_xlpm._keyword,SUBSTITUTE(_xlpm._raw,_xlpm._keyword,_xlfn.XLOOKUP(_xlpm._keyword,tb_global_keyword[关键字],tb_global_keyword[处理后])))),
D9:H9,_xlfn.LAMBDA(_xlpm._raw,_xlpm._local_keyword,
    IF(_xlpm._local_keyword="",_xlpm._raw,
        SUBSTITUTE(_xlpm._raw,_xlpm._local_keyword,_xlfn.CONCAT("&lt;color=",_xlfn.XLOOKUP(REPLACE(OFFSET(_xlpm._local_keyword,ROW(D$3:H$3)-ROW(),0),1,6,""),tb_local_keyword[关键字],tb_local_keyword[参数]),"&gt;",_xlpm._local_keyword,"&lt;/color&gt;"))
    ))
)</f>
        <v>在其中找到了一些&lt;color=#CE8F22&gt;铜币&lt;/color&gt;</v>
      </c>
      <c r="J9" s="11" t="s">
        <v>38</v>
      </c>
    </row>
    <row r="10" spans="1:12" x14ac:dyDescent="0.2">
      <c r="A10" s="12" t="s">
        <v>12</v>
      </c>
      <c r="C10" s="12" t="s">
        <v>17</v>
      </c>
      <c r="D10" s="22"/>
      <c r="E10" s="22"/>
      <c r="F10" s="22" t="s">
        <v>39</v>
      </c>
      <c r="G10" s="22" t="s">
        <v>37</v>
      </c>
      <c r="H10" s="22"/>
      <c r="I10" s="15" t="str" cm="1">
        <f t="array" aca="1" ref="I10" ca="1">_xlfn.REDUCE(
_xlfn.REDUCE(C10,tb_global_keyword[关键字],_xlfn.LAMBDA(_xlpm._raw,_xlpm._keyword,SUBSTITUTE(_xlpm._raw,_xlpm._keyword,_xlfn.XLOOKUP(_xlpm._keyword,tb_global_keyword[关键字],tb_global_keyword[处理后])))),
D10:H10,_xlfn.LAMBDA(_xlpm._raw,_xlpm._local_keyword,
    IF(_xlpm._local_keyword="",_xlpm._raw,
        SUBSTITUTE(_xlpm._raw,_xlpm._local_keyword,_xlfn.CONCAT("&lt;color=",_xlfn.XLOOKUP(REPLACE(OFFSET(_xlpm._local_keyword,ROW(D$3:H$3)-ROW(),0),1,6,""),tb_local_keyword[关键字],tb_local_keyword[参数]),"&gt;",_xlpm._local_keyword,"&lt;/color&gt;"))
    ))
)</f>
        <v>拿走其中的&lt;color=#CE8F22&gt;铜币&lt;/color&gt;|获得&lt;color=#CE8F22&gt;{loot_num}&lt;/color&gt;个&lt;color=#CE8F22&gt;{loot_name}&lt;/color&gt;</v>
      </c>
      <c r="J10" s="11" t="s">
        <v>38</v>
      </c>
      <c r="L10" s="11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AAC1-8AC5-4A3C-A848-8EC939057678}">
  <sheetPr>
    <tabColor rgb="FF7030A0"/>
  </sheetPr>
  <dimension ref="B5:E18"/>
  <sheetViews>
    <sheetView workbookViewId="0">
      <selection activeCell="E39" sqref="E39"/>
    </sheetView>
  </sheetViews>
  <sheetFormatPr defaultRowHeight="14.25" x14ac:dyDescent="0.2"/>
  <cols>
    <col min="2" max="2" width="12.25" bestFit="1" customWidth="1"/>
    <col min="3" max="3" width="10.25" customWidth="1"/>
    <col min="5" max="5" width="37" bestFit="1" customWidth="1"/>
  </cols>
  <sheetData>
    <row r="5" spans="2:5" x14ac:dyDescent="0.2">
      <c r="B5" s="12" t="s">
        <v>18</v>
      </c>
      <c r="C5" s="12" t="s">
        <v>20</v>
      </c>
      <c r="D5" s="12" t="s">
        <v>22</v>
      </c>
      <c r="E5" s="12" t="s">
        <v>23</v>
      </c>
    </row>
    <row r="6" spans="2:5" x14ac:dyDescent="0.2">
      <c r="B6" s="12" t="s">
        <v>19</v>
      </c>
      <c r="C6" s="12" t="s">
        <v>21</v>
      </c>
      <c r="D6" s="12" t="s">
        <v>24</v>
      </c>
      <c r="E6" t="str">
        <f>_xlfn.CONCAT("&lt;color=",D6,"&gt;",B6,"&lt;/color&gt;")</f>
        <v>&lt;color=#CE8F22&gt;铜币&lt;/color&gt;</v>
      </c>
    </row>
    <row r="9" spans="2:5" x14ac:dyDescent="0.2">
      <c r="B9" s="12"/>
      <c r="C9" s="12"/>
      <c r="D9" s="12"/>
    </row>
    <row r="10" spans="2:5" x14ac:dyDescent="0.2">
      <c r="D10" s="12"/>
    </row>
    <row r="13" spans="2:5" x14ac:dyDescent="0.2">
      <c r="B13" s="13" t="s">
        <v>25</v>
      </c>
    </row>
    <row r="14" spans="2:5" x14ac:dyDescent="0.2">
      <c r="B14" s="12" t="s">
        <v>18</v>
      </c>
      <c r="C14" s="12" t="s">
        <v>20</v>
      </c>
      <c r="D14" s="12" t="s">
        <v>22</v>
      </c>
      <c r="E14" s="12"/>
    </row>
    <row r="15" spans="2:5" x14ac:dyDescent="0.2">
      <c r="B15" s="12" t="s">
        <v>27</v>
      </c>
      <c r="C15" s="12" t="s">
        <v>21</v>
      </c>
      <c r="D15" s="12" t="s">
        <v>26</v>
      </c>
    </row>
    <row r="16" spans="2:5" x14ac:dyDescent="0.2">
      <c r="B16" s="12" t="s">
        <v>28</v>
      </c>
      <c r="C16" s="12" t="s">
        <v>21</v>
      </c>
      <c r="D16" s="12" t="s">
        <v>29</v>
      </c>
    </row>
    <row r="17" spans="2:4" x14ac:dyDescent="0.2">
      <c r="B17" s="12" t="s">
        <v>31</v>
      </c>
      <c r="C17" s="12" t="s">
        <v>21</v>
      </c>
      <c r="D17" s="12" t="s">
        <v>24</v>
      </c>
    </row>
    <row r="18" spans="2:4" x14ac:dyDescent="0.2">
      <c r="B18" s="12" t="s">
        <v>32</v>
      </c>
      <c r="C18" s="12" t="s">
        <v>21</v>
      </c>
      <c r="D18" s="12" t="s">
        <v>30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dialog_l10n</vt:lpstr>
      <vt:lpstr>-配置辅助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2025-12-30T10:50:03Z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2052-12.1.0.19770</vt:lpwstr>
  </property>
</Properties>
</file>