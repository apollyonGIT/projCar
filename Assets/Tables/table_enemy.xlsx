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onster" sheetId="3" r:id="rId1"/>
    <sheet name="-diy_parm配置" sheetId="9" r:id="rId2"/>
    <sheet name="-loot_list辅助配置表" sheetId="8" r:id="rId3"/>
    <sheet name="sub_monster_car" sheetId="7" r:id="rId4"/>
    <sheet name="-配置辅助" sheetId="10" r:id="rId5"/>
    <sheet name="-id 配置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<sst xmlns="http://schemas.openxmlformats.org/spreadsheetml/2006/main" count="1384" uniqueCount="461">
  <si>
    <t>id</t>
  </si>
  <si>
    <t>name</t>
  </si>
  <si>
    <t>sub_table_name</t>
  </si>
  <si>
    <t>sub_table_key</t>
  </si>
  <si>
    <t>SE_attack</t>
  </si>
  <si>
    <t>hp</t>
  </si>
  <si>
    <t>def</t>
  </si>
  <si>
    <t>mass</t>
  </si>
  <si>
    <t>is_block_car</t>
  </si>
  <si>
    <t>is_elite</t>
  </si>
  <si>
    <t>diy_atk</t>
  </si>
  <si>
    <t>ts</t>
  </si>
  <si>
    <t>dodge</t>
  </si>
  <si>
    <t>base_speed</t>
  </si>
  <si>
    <t>max_force</t>
  </si>
  <si>
    <t>is_follow</t>
  </si>
  <si>
    <t>k_hurt</t>
  </si>
  <si>
    <t>monster_view</t>
  </si>
  <si>
    <t>monster_behaviour_tree</t>
  </si>
  <si>
    <t>fire_logic</t>
  </si>
  <si>
    <t>feedback</t>
  </si>
  <si>
    <t>loot_list</t>
  </si>
  <si>
    <t>death_vfx</t>
  </si>
  <si>
    <t>enemy_tags</t>
  </si>
  <si>
    <t>component</t>
  </si>
  <si>
    <t>sub_monsters</t>
  </si>
  <si>
    <t>diy_prms</t>
  </si>
  <si>
    <t>uint key</t>
  </si>
  <si>
    <t>string</t>
  </si>
  <si>
    <t>int</t>
  </si>
  <si>
    <t>float</t>
  </si>
  <si>
    <t>bool</t>
  </si>
  <si>
    <t>dict&lt;string,int&gt;</t>
  </si>
  <si>
    <t>dict&lt;uint,float&gt;</t>
  </si>
  <si>
    <t>string[]</t>
  </si>
  <si>
    <t>uint[]</t>
  </si>
  <si>
    <t>dict&lt;string,string&gt;</t>
  </si>
  <si>
    <t>怪物id</t>
  </si>
  <si>
    <r>
      <rPr>
        <b/>
        <sz val="11"/>
        <color theme="1"/>
        <rFont val="等线"/>
        <charset val="134"/>
        <scheme val="minor"/>
      </rPr>
      <t>怪物名称</t>
    </r>
    <r>
      <rPr>
        <sz val="11"/>
        <color theme="1"/>
        <rFont val="等线"/>
        <charset val="134"/>
        <scheme val="minor"/>
      </rPr>
      <t xml:space="preserve">
</t>
    </r>
    <r>
      <rPr>
        <i/>
        <sz val="10"/>
        <color theme="1"/>
        <rFont val="等线"/>
        <charset val="134"/>
        <scheme val="minor"/>
      </rPr>
      <t>查localization表id</t>
    </r>
  </si>
  <si>
    <t>备注1
地区</t>
  </si>
  <si>
    <t>备注2
名称</t>
  </si>
  <si>
    <t>攻击音效</t>
  </si>
  <si>
    <t>血量</t>
  </si>
  <si>
    <t>减伤</t>
  </si>
  <si>
    <t>重量</t>
  </si>
  <si>
    <t>阻碍车辆</t>
  </si>
  <si>
    <r>
      <rPr>
        <b/>
        <sz val="11"/>
        <color theme="1"/>
        <rFont val="等线"/>
        <charset val="134"/>
        <scheme val="minor"/>
      </rPr>
      <t xml:space="preserve">伤害
</t>
    </r>
    <r>
      <rPr>
        <i/>
        <sz val="10"/>
        <color theme="1"/>
        <rFont val="等线"/>
        <charset val="134"/>
        <scheme val="minor"/>
      </rPr>
      <t>近战用</t>
    </r>
  </si>
  <si>
    <t>sharp</t>
  </si>
  <si>
    <t>blunt</t>
  </si>
  <si>
    <t>fire</t>
  </si>
  <si>
    <t>acid</t>
  </si>
  <si>
    <t>wrap</t>
  </si>
  <si>
    <t>flash</t>
  </si>
  <si>
    <r>
      <rPr>
        <b/>
        <sz val="11"/>
        <color theme="1"/>
        <rFont val="等线"/>
        <charset val="134"/>
        <scheme val="minor"/>
      </rPr>
      <t xml:space="preserve">必中
</t>
    </r>
    <r>
      <rPr>
        <i/>
        <sz val="10"/>
        <color theme="1"/>
        <rFont val="等线"/>
        <charset val="134"/>
        <scheme val="minor"/>
      </rPr>
      <t>0~100</t>
    </r>
  </si>
  <si>
    <r>
      <rPr>
        <b/>
        <sz val="11"/>
        <color theme="1"/>
        <rFont val="等线"/>
        <charset val="134"/>
        <scheme val="minor"/>
      </rPr>
      <t xml:space="preserve">闪避
</t>
    </r>
    <r>
      <rPr>
        <i/>
        <sz val="10"/>
        <color theme="1"/>
        <rFont val="等线"/>
        <charset val="134"/>
        <scheme val="minor"/>
      </rPr>
      <t>0~100</t>
    </r>
  </si>
  <si>
    <r>
      <rPr>
        <b/>
        <sz val="11"/>
        <color theme="1"/>
        <rFont val="等线"/>
        <charset val="134"/>
        <scheme val="minor"/>
      </rPr>
      <t xml:space="preserve">基础速度
</t>
    </r>
    <r>
      <rPr>
        <i/>
        <sz val="10"/>
        <color theme="1"/>
        <rFont val="等线"/>
        <charset val="134"/>
        <scheme val="minor"/>
      </rPr>
      <t xml:space="preserve">飞行用
</t>
    </r>
    <r>
      <rPr>
        <i/>
        <sz val="8"/>
        <color theme="0" tint="-0.499984740745262"/>
        <rFont val="等线"/>
        <charset val="134"/>
        <scheme val="minor"/>
      </rPr>
      <t>灰色表示数据将由后方自定义参数控制</t>
    </r>
  </si>
  <si>
    <t>辅助列
加速度</t>
  </si>
  <si>
    <r>
      <rPr>
        <b/>
        <sz val="11"/>
        <color theme="1"/>
        <rFont val="等线"/>
        <charset val="134"/>
        <scheme val="minor"/>
      </rPr>
      <t xml:space="preserve">推力最大值
</t>
    </r>
    <r>
      <rPr>
        <i/>
        <sz val="10"/>
        <color theme="1"/>
        <rFont val="等线"/>
        <charset val="134"/>
        <scheme val="minor"/>
      </rPr>
      <t>飞行用</t>
    </r>
  </si>
  <si>
    <r>
      <rPr>
        <b/>
        <sz val="11"/>
        <color theme="1"/>
        <rFont val="等线"/>
        <charset val="134"/>
        <scheme val="minor"/>
      </rPr>
      <t xml:space="preserve">是否幽浮
</t>
    </r>
    <r>
      <rPr>
        <i/>
        <sz val="10"/>
        <color theme="1"/>
        <rFont val="等线"/>
        <charset val="134"/>
        <scheme val="minor"/>
      </rPr>
      <t>飞行用</t>
    </r>
  </si>
  <si>
    <t>伤害修正</t>
  </si>
  <si>
    <r>
      <rPr>
        <b/>
        <sz val="11"/>
        <color theme="1"/>
        <rFont val="等线"/>
        <charset val="134"/>
        <scheme val="minor"/>
      </rPr>
      <t xml:space="preserve">预制体
</t>
    </r>
    <r>
      <rPr>
        <sz val="11"/>
        <color theme="1"/>
        <rFont val="等线"/>
        <charset val="134"/>
        <scheme val="minor"/>
      </rPr>
      <t>address</t>
    </r>
  </si>
  <si>
    <t>unity
resource
name</t>
  </si>
  <si>
    <r>
      <rPr>
        <b/>
        <sz val="11"/>
        <color theme="1"/>
        <rFont val="等线"/>
        <charset val="134"/>
        <scheme val="minor"/>
      </rPr>
      <t xml:space="preserve">ai控制脚本
</t>
    </r>
    <r>
      <rPr>
        <i/>
        <sz val="11"/>
        <color theme="1"/>
        <rFont val="等线"/>
        <charset val="134"/>
        <scheme val="minor"/>
      </rPr>
      <t>Scripts/World/Enemys/BT</t>
    </r>
  </si>
  <si>
    <t>射击逻辑</t>
  </si>
  <si>
    <t>阻力系数</t>
  </si>
  <si>
    <r>
      <rPr>
        <b/>
        <sz val="11"/>
        <color theme="1"/>
        <rFont val="等线"/>
        <charset val="134"/>
        <scheme val="minor"/>
      </rPr>
      <t>掉落物列表</t>
    </r>
    <r>
      <rPr>
        <i/>
        <sz val="11"/>
        <color theme="1"/>
        <rFont val="等线"/>
        <charset val="134"/>
        <scheme val="minor"/>
      </rPr>
      <t xml:space="preserve">
dict&lt;loot表id, 概率&gt;
概率配置值1 = 100%</t>
    </r>
  </si>
  <si>
    <r>
      <rPr>
        <b/>
        <sz val="11"/>
        <color theme="1"/>
        <rFont val="等线"/>
        <charset val="134"/>
        <scheme val="minor"/>
      </rPr>
      <t xml:space="preserve">死亡特效
</t>
    </r>
    <r>
      <rPr>
        <i/>
        <sz val="11"/>
        <color theme="1"/>
        <rFont val="等线"/>
        <charset val="134"/>
        <scheme val="minor"/>
      </rPr>
      <t>null = 不播放任何特效</t>
    </r>
  </si>
  <si>
    <t>辅助列1</t>
  </si>
  <si>
    <t>辅助列2</t>
  </si>
  <si>
    <t>辅助列3</t>
  </si>
  <si>
    <t>辅助列4</t>
  </si>
  <si>
    <t>辅助列5</t>
  </si>
  <si>
    <t>怪物标签</t>
  </si>
  <si>
    <t>组合</t>
  </si>
  <si>
    <t>自定义参数</t>
  </si>
  <si>
    <t>地宫</t>
  </si>
  <si>
    <t>地宫蝙蝠</t>
  </si>
  <si>
    <t>se_ag_bat_bite</t>
  </si>
  <si>
    <t>dungeon_bat</t>
  </si>
  <si>
    <t>vfx_monster_die_1</t>
  </si>
  <si>
    <t>vfx_monster_die_2</t>
  </si>
  <si>
    <t>vfx_monster_die_3</t>
  </si>
  <si>
    <t>vfx_monster_die_4</t>
  </si>
  <si>
    <t>自爆甲虫</t>
  </si>
  <si>
    <t>dungeon_beatle</t>
  </si>
  <si>
    <t>vfx_monster_die_explosion</t>
  </si>
  <si>
    <t>跳虫</t>
  </si>
  <si>
    <t>dungeon_springtail</t>
  </si>
  <si>
    <t>地宫洞穴人</t>
  </si>
  <si>
    <t>dungeon_caveman</t>
  </si>
  <si>
    <t>跳虫骑手</t>
  </si>
  <si>
    <t>dungeon_springtail_rider</t>
  </si>
  <si>
    <t>null</t>
  </si>
  <si>
    <t>201103;201104</t>
  </si>
  <si>
    <t>Mount</t>
  </si>
  <si>
    <t>Rider</t>
  </si>
  <si>
    <t>蝙蝠骑手</t>
  </si>
  <si>
    <t>dungeon_bat_rider</t>
  </si>
  <si>
    <t>201101;201104</t>
  </si>
  <si>
    <t>流浪洞穴人</t>
  </si>
  <si>
    <t>dungeon_caveman_wanderer</t>
  </si>
  <si>
    <t>纵火洞穴人</t>
  </si>
  <si>
    <t>dungeon_caveman_arsonist</t>
  </si>
  <si>
    <t>BT_dungeon_caveman_wanderer</t>
  </si>
  <si>
    <t>暴徒洞穴人</t>
  </si>
  <si>
    <t>dungeon_caveman_mob</t>
  </si>
  <si>
    <t>地宫捕奴车-近战</t>
  </si>
  <si>
    <t>sub_monster_car</t>
  </si>
  <si>
    <t>地宫捕奴车-远程</t>
  </si>
  <si>
    <t>地宫装甲车-近战</t>
  </si>
  <si>
    <t>地宫装甲车-远程</t>
  </si>
  <si>
    <t>树梢</t>
  </si>
  <si>
    <t>古灯</t>
  </si>
  <si>
    <t>Treetop_Lamp</t>
  </si>
  <si>
    <t>毒刺果实丛</t>
  </si>
  <si>
    <t>Treetop_Berry_Bush</t>
  </si>
  <si>
    <t>毒刺果实</t>
  </si>
  <si>
    <t>Treetop_Berry</t>
  </si>
  <si>
    <t>vfx_monster_die_explode1</t>
  </si>
  <si>
    <t>画中仙</t>
  </si>
  <si>
    <t>Treetop_Fairy</t>
  </si>
  <si>
    <t>鱼妖</t>
  </si>
  <si>
    <t>Treetop_Fish</t>
  </si>
  <si>
    <t>鬼瓮</t>
  </si>
  <si>
    <t>Treetop_Vase</t>
  </si>
  <si>
    <t>鬼狰</t>
  </si>
  <si>
    <t>Treetop_Ghost</t>
  </si>
  <si>
    <t>铁针鸟</t>
  </si>
  <si>
    <t>Treetop_Spike_Bird</t>
  </si>
  <si>
    <t>密林松鼠</t>
  </si>
  <si>
    <t>Treetop_Squirrel</t>
  </si>
  <si>
    <t>暴躁金尾猴</t>
  </si>
  <si>
    <t>Treetop_Monkey</t>
  </si>
  <si>
    <t>祖蜂</t>
  </si>
  <si>
    <t>Treetop_Bee</t>
  </si>
  <si>
    <t>幼祖蜂</t>
  </si>
  <si>
    <t>Treetop_Young_Bee</t>
  </si>
  <si>
    <t>春花雀（蓝）</t>
  </si>
  <si>
    <t>Treetop_Blue_Sparrow</t>
  </si>
  <si>
    <t>春花雀（红）</t>
  </si>
  <si>
    <t>Treetop_Red_Sparrow</t>
  </si>
  <si>
    <t>春花雀（黄）</t>
  </si>
  <si>
    <t>Treetop_Yellow_Sparrow</t>
  </si>
  <si>
    <t>绿枝粟粟民</t>
  </si>
  <si>
    <t>Treetop_Branch_SuSu</t>
  </si>
  <si>
    <t>悬铃粟粟民</t>
  </si>
  <si>
    <t>Treetop_Bell_SuSu</t>
  </si>
  <si>
    <t>缓慢魔法飞弹</t>
  </si>
  <si>
    <t>Treetop_Slow_Magic_Missile</t>
  </si>
  <si>
    <t>空木粟粟民</t>
  </si>
  <si>
    <t>Treetop_Wood_SuSu</t>
  </si>
  <si>
    <t>荒漠</t>
  </si>
  <si>
    <t>涂涂鸟</t>
  </si>
  <si>
    <t>Desert_Bird</t>
  </si>
  <si>
    <t>沙漠蛇</t>
  </si>
  <si>
    <t>Desert_Snake</t>
  </si>
  <si>
    <t>巨牙蝎</t>
  </si>
  <si>
    <t>Desert_Scorpion</t>
  </si>
  <si>
    <t>巨型石头人</t>
  </si>
  <si>
    <t>Desert_Giant_Rock</t>
  </si>
  <si>
    <t>小石头人</t>
  </si>
  <si>
    <t>Desert_Small_Rock</t>
  </si>
  <si>
    <t>BT_Desert_Scorpion</t>
  </si>
  <si>
    <t>大盾守卫</t>
  </si>
  <si>
    <t>Desert_Shield_Guard</t>
  </si>
  <si>
    <t>基础守卫</t>
  </si>
  <si>
    <t>Desert_Balance_Guard</t>
  </si>
  <si>
    <t>BT_Desert_Shield_Guard</t>
  </si>
  <si>
    <t>双刀守卫</t>
  </si>
  <si>
    <t>Desert_Akimbo_Guard</t>
  </si>
  <si>
    <t>大仙人掌</t>
  </si>
  <si>
    <t>Desert_Giant_Cactus</t>
  </si>
  <si>
    <t>小仙人掌</t>
  </si>
  <si>
    <t>Desert_Small_Cactus</t>
  </si>
  <si>
    <t>BT_Desert_Giant_Cactus</t>
  </si>
  <si>
    <t>大风滚草</t>
  </si>
  <si>
    <t>Desert_Giant_Weed</t>
  </si>
  <si>
    <t>小风滚草</t>
  </si>
  <si>
    <t>Desert_Small_Weed</t>
  </si>
  <si>
    <t>BT_Desert_Giant_Weed</t>
  </si>
  <si>
    <t>大湖</t>
  </si>
  <si>
    <t>金鱼</t>
  </si>
  <si>
    <t>Lake_GoldFish</t>
  </si>
  <si>
    <t>aquatic</t>
  </si>
  <si>
    <t>金鱼泡泡</t>
  </si>
  <si>
    <t>Lake_GoldFish_Bubble</t>
  </si>
  <si>
    <t>海藻小妖</t>
  </si>
  <si>
    <t>Lake_XiaoYao</t>
  </si>
  <si>
    <t>鲶鱼</t>
  </si>
  <si>
    <t>Lake_CatFish</t>
  </si>
  <si>
    <t>似目草</t>
  </si>
  <si>
    <t>Lake_Flower</t>
  </si>
  <si>
    <t>脑型大水母</t>
  </si>
  <si>
    <t>Lake_GiantJelly</t>
  </si>
  <si>
    <t>针刺小水母</t>
  </si>
  <si>
    <t>Lake_SmallJelly</t>
  </si>
  <si>
    <t>印花水母</t>
  </si>
  <si>
    <t>Lake_ExplodeJelly</t>
  </si>
  <si>
    <t>混沌沼泽怪</t>
  </si>
  <si>
    <t>Lake_Swamp</t>
  </si>
  <si>
    <t>青蛙</t>
  </si>
  <si>
    <t>Lake_Frog</t>
  </si>
  <si>
    <t>贝壳乌贼</t>
  </si>
  <si>
    <t>Lake_Squid</t>
  </si>
  <si>
    <t>弱小螃蟹</t>
  </si>
  <si>
    <t>Lake_Crab</t>
  </si>
  <si>
    <t>大钳螃蟹</t>
  </si>
  <si>
    <t>聒噪海贝</t>
  </si>
  <si>
    <t>Lake_Shell</t>
  </si>
  <si>
    <t>凶猛海贝</t>
  </si>
  <si>
    <t>小·印花水母</t>
  </si>
  <si>
    <t>Lake_Lit_ExplodeJelly</t>
  </si>
  <si>
    <t>BT_Lake_ExplodeJelly</t>
  </si>
  <si>
    <t>小·聒噪海贝</t>
  </si>
  <si>
    <t>Lake_Lit_Shell</t>
  </si>
  <si>
    <t>BT_Lake_Shell</t>
  </si>
  <si>
    <t>小·海藻小妖</t>
  </si>
  <si>
    <t>Lake_Lit_XiaoYao</t>
  </si>
  <si>
    <t>BT_Lake_XiaoYao</t>
  </si>
  <si>
    <t>金鱼王</t>
  </si>
  <si>
    <t>Lake_GoldFish_King</t>
  </si>
  <si>
    <t>渊齿</t>
  </si>
  <si>
    <t>Lake_BigTeeth</t>
  </si>
  <si>
    <t>缠绕水藻</t>
  </si>
  <si>
    <t>Lake_Tangler</t>
  </si>
  <si>
    <t>渔获捕捞船</t>
  </si>
  <si>
    <t>渔人小艇</t>
  </si>
  <si>
    <t>测试敌人车</t>
  </si>
  <si>
    <t>vfx_monster_die_1;vfx_monster_die_2;vfx_monster_die_3;vfx_monster_die_4</t>
  </si>
  <si>
    <t>测试蝙蝠</t>
  </si>
  <si>
    <t>monster_209000_Lake_Bat</t>
  </si>
  <si>
    <t>BT_Lake_Bat</t>
  </si>
  <si>
    <t>测试蝙蝠_盘旋</t>
  </si>
  <si>
    <t>BT_FlyOnly</t>
  </si>
  <si>
    <t>FLYAROUND_DEG=10,170;FLYAROUND_RADIUS=5,12</t>
  </si>
  <si>
    <t>enemy_201870</t>
  </si>
  <si>
    <t>飞行远程</t>
  </si>
  <si>
    <t/>
  </si>
  <si>
    <t>monster_201870_Lake_Tangler</t>
  </si>
  <si>
    <t>BT_Common_FlyShoot</t>
  </si>
  <si>
    <t>FLYAROUND_DEG=30,150;FLYAROUND_RADIUS=8,12;FLYAROUND_COUNT_MAX=1;FLYAROUND_COUNT_MIN=1;BEFORE_ATTACK_SEC=0.6;AFTER_ATTACK_SEC=0.4;RUNNING_FIRE_COUNT=3</t>
  </si>
  <si>
    <t>enemy_201701</t>
  </si>
  <si>
    <t>飞行冲刺</t>
  </si>
  <si>
    <t>sharp=4</t>
  </si>
  <si>
    <t>BT_Common_FlyRush</t>
  </si>
  <si>
    <t>CHARGE_SPEED=30;MAX_CHARGE_SEC=4;FLYAROUND_DEG=80,160;FLYAROUND_RADIUS=8,16;FLYAROUND_COUNT_MAX=6;FLYAROUND_COUNT_MIN=4;ATTACK_DIS=2</t>
  </si>
  <si>
    <t>enemy_201706</t>
  </si>
  <si>
    <t>飞行近战</t>
  </si>
  <si>
    <t>sharp=3</t>
  </si>
  <si>
    <t>BT_Common_FlyMelee</t>
  </si>
  <si>
    <t>FLYAROUND_DEG_1=60,120;FLYAROUND_RADIUS_1=5,6;FLYAROUND_COUNT_MAX_1=1;FLYAROUND_COUNT_MIN_1=1;FLYAROUND_DEG_2=0,180;FLYAROUND_RADIUS_2=1,2;FLYAROUND_COUNT_MAX_2=1;FLYAROUND_COUNT_MIN_2=1;BEFORE_ATTACK_SEC=0.2;AFTER_ATTACK_SEC=0.3;BEGIN_ATK_DIS=1;ATK_DIS=1.5;ATK_CD=1</t>
  </si>
  <si>
    <t>parm_key</t>
  </si>
  <si>
    <t>参数说明</t>
  </si>
  <si>
    <t>parm_value</t>
  </si>
  <si>
    <t>v1</t>
  </si>
  <si>
    <t>v2</t>
  </si>
  <si>
    <t>SUB_CELL_COUNT</t>
  </si>
  <si>
    <t>果子数量</t>
  </si>
  <si>
    <t>CHARGE_SPEED</t>
  </si>
  <si>
    <t>FLYAROUND_DEG</t>
  </si>
  <si>
    <t>SUB_CELL_POS_X_AREA</t>
  </si>
  <si>
    <t>MAX_CHARGE_SEC</t>
  </si>
  <si>
    <t>FLYAROUND_RADIUS</t>
  </si>
  <si>
    <t>跟随距离</t>
  </si>
  <si>
    <t>SUB_CELL_POS_Y_AREA</t>
  </si>
  <si>
    <t>FLYAROUND_COUNT_MAX</t>
  </si>
  <si>
    <t>Tool 1</t>
  </si>
  <si>
    <t>Tool 2</t>
  </si>
  <si>
    <t>Tool 3</t>
  </si>
  <si>
    <t>Tool 4</t>
  </si>
  <si>
    <t>FLYAROUND_COUNT_MIN</t>
  </si>
  <si>
    <t>FLYFOLLOW_DIS</t>
  </si>
  <si>
    <t>攻击距离</t>
  </si>
  <si>
    <t>SUB_CELL_COUNT=10;SUB_CELL_POS_X_AREA=-0.5,0.5;SUB_CELL_POS_Y_AREA=-1.5,0</t>
  </si>
  <si>
    <t>BEFORE_ATTACK_SEC</t>
  </si>
  <si>
    <t>WALK_SPEED</t>
  </si>
  <si>
    <t>AFTER_ATTACK_SEC</t>
  </si>
  <si>
    <t>FLYAROUND_DEG=20,170;FLYAROUND_RADIUS=7,10;FLYAROUND_COUNT_MAX=6;FLYAROUND_COUNT_MIN=4;CREATE_CD_AREA=4,6;CREATE_INTERVAL_SEC=0.2;SUB_CELL_COUNT_SINGLE=3;SUB_CELL_SPEED_AREA=1,2</t>
  </si>
  <si>
    <t>CREATE_CD_AREA</t>
  </si>
  <si>
    <t>BURROW_SEC</t>
  </si>
  <si>
    <t>BUBBLE_COUNT</t>
  </si>
  <si>
    <t>泡泡吐出数</t>
  </si>
  <si>
    <t>EXPLOSION_RADIUS=1.2;BEHIT_RADIUS=1</t>
  </si>
  <si>
    <t>CREATE_INTERVAL_SEC</t>
  </si>
  <si>
    <t>BURROW_VALID_DIS</t>
  </si>
  <si>
    <t>BUBBLE_INTERVAL_SEC</t>
  </si>
  <si>
    <t>吐泡泡间隔</t>
  </si>
  <si>
    <t>CREATE_COUNT_AREA=1,3</t>
  </si>
  <si>
    <t>SUB_CELL_COUNT_SINGLE</t>
  </si>
  <si>
    <t>EXPLOSION_RADIUS</t>
  </si>
  <si>
    <t>FLYAROUND_DEG=20,170;FLYAROUND_RADIUS=1,5;ATTACK_CD_SEC=2</t>
  </si>
  <si>
    <t>SUB_CELL_SPEED_AREA</t>
  </si>
  <si>
    <t>BEHIT_RADIUS</t>
  </si>
  <si>
    <t>BEGIN_ATK_DIS</t>
  </si>
  <si>
    <t>ATK_DIS</t>
  </si>
  <si>
    <t>CREATE_COUNT_AREA</t>
  </si>
  <si>
    <t>鬼狰生成数</t>
  </si>
  <si>
    <t>ATK_CD</t>
  </si>
  <si>
    <t>ATTACK_CD_SEC</t>
  </si>
  <si>
    <t>钻出检测距离</t>
  </si>
  <si>
    <t>STAND_SEC</t>
  </si>
  <si>
    <t>JUMP_CD</t>
  </si>
  <si>
    <t>LAND_SEC</t>
  </si>
  <si>
    <t>JUMP_VELOCITY_X_MAX</t>
  </si>
  <si>
    <t>JUMP_HEIGHT_AREA</t>
  </si>
  <si>
    <t>ATTACK_LASTING_SEC</t>
  </si>
  <si>
    <t>ATTACK_COUNT</t>
  </si>
  <si>
    <t>ATK_INTERVAL_SEC</t>
  </si>
  <si>
    <t>TO_ATK_DELAY_SEC</t>
  </si>
  <si>
    <t>FLYAROUND_DEG_1</t>
  </si>
  <si>
    <t>游荡角度</t>
  </si>
  <si>
    <t>Tool 5</t>
  </si>
  <si>
    <t>Tool 6</t>
  </si>
  <si>
    <t>Tool 7</t>
  </si>
  <si>
    <t>FLYAROUND_RADIUS_1</t>
  </si>
  <si>
    <t>游荡距离</t>
  </si>
  <si>
    <t>SUB_CELL_COUNT_MAX</t>
  </si>
  <si>
    <t>FLYAROUND_COUNT_MAX_1</t>
  </si>
  <si>
    <t>召唤间隔</t>
  </si>
  <si>
    <t>FLYAROUND_COUNT_MIN_1</t>
  </si>
  <si>
    <t>CREATE_RADIUS</t>
  </si>
  <si>
    <t>FLYAROUND_DEG_2</t>
  </si>
  <si>
    <t>FLYAROUND_RADIUS_2</t>
  </si>
  <si>
    <t>FLYAROUND_COUNT_MAX_2</t>
  </si>
  <si>
    <t>FLYAROUND_COUNT_MIN_2</t>
  </si>
  <si>
    <t>IDLE_SPEED</t>
  </si>
  <si>
    <t>攻击间隔</t>
  </si>
  <si>
    <t>EXPLODE_DIS</t>
  </si>
  <si>
    <t>攻击悬停角度</t>
  </si>
  <si>
    <t>攻击悬停距离</t>
  </si>
  <si>
    <t>SHOOT_CD</t>
  </si>
  <si>
    <t>RUNNING_FIRE_COUNT</t>
  </si>
  <si>
    <t>TONGUE_LENGTH</t>
  </si>
  <si>
    <t>ATK_SEC</t>
  </si>
  <si>
    <t>ATK_AREA</t>
  </si>
  <si>
    <t>碰撞盒 宽 高</t>
  </si>
  <si>
    <t>最大横向跳速</t>
  </si>
  <si>
    <t>针刺数量</t>
  </si>
  <si>
    <t>SLOW_RATE</t>
  </si>
  <si>
    <t>JUMP_DEG_AREA</t>
  </si>
  <si>
    <t>JUMP_SPEED_AREA</t>
  </si>
  <si>
    <t>ROTATE_SPEED_AREA</t>
  </si>
  <si>
    <t>STICK_RATE</t>
  </si>
  <si>
    <t>CD</t>
  </si>
  <si>
    <t>HP_CLIP_COUNT</t>
  </si>
  <si>
    <t>Monster</t>
  </si>
  <si>
    <t>HP</t>
  </si>
  <si>
    <t>value
check</t>
  </si>
  <si>
    <t>value
delta</t>
  </si>
  <si>
    <t>Loot 1</t>
  </si>
  <si>
    <t>Loot 2</t>
  </si>
  <si>
    <t>Loot 3</t>
  </si>
  <si>
    <t>Loot 4</t>
  </si>
  <si>
    <t>Loot 5</t>
  </si>
  <si>
    <t>Loot 6</t>
  </si>
  <si>
    <t>Odds 1
万分比</t>
  </si>
  <si>
    <t>Odds 2
万分比</t>
  </si>
  <si>
    <t>Odds 3
万分比</t>
  </si>
  <si>
    <t>Odds 4
万分比</t>
  </si>
  <si>
    <t>Odds 5
万分比</t>
  </si>
  <si>
    <t>Odds 6
万分比</t>
  </si>
  <si>
    <t>说明</t>
  </si>
  <si>
    <t>List</t>
  </si>
  <si>
    <t>配置倍率</t>
  </si>
  <si>
    <t>万分比配置</t>
  </si>
  <si>
    <t>取倒数用于计算</t>
  </si>
  <si>
    <t>掉率控制系数</t>
  </si>
  <si>
    <t>数值越高，掉率越低</t>
  </si>
  <si>
    <t>sub_id</t>
  </si>
  <si>
    <t>odds</t>
  </si>
  <si>
    <t>carbody</t>
  </si>
  <si>
    <t>device</t>
  </si>
  <si>
    <t>ai</t>
  </si>
  <si>
    <t>hp_mod</t>
  </si>
  <si>
    <t>dmg_mod</t>
  </si>
  <si>
    <t>uint</t>
  </si>
  <si>
    <t>(int,int)</t>
  </si>
  <si>
    <t>车辆id</t>
  </si>
  <si>
    <t>变种id</t>
  </si>
  <si>
    <t>随机权重</t>
  </si>
  <si>
    <t>备注</t>
  </si>
  <si>
    <t>车体id</t>
  </si>
  <si>
    <t>各槽位设备</t>
  </si>
  <si>
    <t>device_slot_wheel</t>
  </si>
  <si>
    <t>slot_top</t>
  </si>
  <si>
    <t>slot_front</t>
  </si>
  <si>
    <t>slot_front_top</t>
  </si>
  <si>
    <t>slot_back</t>
  </si>
  <si>
    <t>slot_back_top</t>
  </si>
  <si>
    <r>
      <rPr>
        <b/>
        <sz val="11"/>
        <color theme="1"/>
        <rFont val="等线"/>
        <charset val="134"/>
        <scheme val="minor"/>
      </rPr>
      <t xml:space="preserve">ai控制脚本
</t>
    </r>
    <r>
      <rPr>
        <i/>
        <sz val="11"/>
        <color theme="1"/>
        <rFont val="等线"/>
        <charset val="134"/>
        <scheme val="minor"/>
      </rPr>
      <t>Scripts/World/Enemy_Cars/BT</t>
    </r>
  </si>
  <si>
    <r>
      <rPr>
        <b/>
        <sz val="11"/>
        <color theme="1"/>
        <rFont val="等线"/>
        <charset val="134"/>
        <scheme val="minor"/>
      </rPr>
      <t>耐久系数</t>
    </r>
    <r>
      <rPr>
        <i/>
        <sz val="11"/>
        <color theme="1"/>
        <rFont val="等线"/>
        <charset val="134"/>
        <scheme val="minor"/>
      </rPr>
      <t xml:space="preserve">
</t>
    </r>
    <r>
      <rPr>
        <i/>
        <sz val="10"/>
        <color theme="1"/>
        <rFont val="等线"/>
        <charset val="134"/>
        <scheme val="minor"/>
      </rPr>
      <t>item1: 车体耐久修正
item2: 各设备耐久修正
100 = 100% = 1</t>
    </r>
  </si>
  <si>
    <t>辅助列
车体血量</t>
  </si>
  <si>
    <t>辅助列
设备血量</t>
  </si>
  <si>
    <r>
      <rPr>
        <b/>
        <sz val="11"/>
        <color theme="1"/>
        <rFont val="等线"/>
        <charset val="134"/>
        <scheme val="minor"/>
      </rPr>
      <t xml:space="preserve">攻击者
伤害修正系数
</t>
    </r>
    <r>
      <rPr>
        <i/>
        <sz val="10"/>
        <color theme="1"/>
        <rFont val="等线"/>
        <charset val="134"/>
        <scheme val="minor"/>
      </rPr>
      <t>100 = 100% = 1</t>
    </r>
  </si>
  <si>
    <t>Basic</t>
  </si>
  <si>
    <t>Missile</t>
  </si>
  <si>
    <t>地宫 轻</t>
  </si>
  <si>
    <t>Car_AI_Missile</t>
  </si>
  <si>
    <t>该表格在 【配置辅助】页</t>
  </si>
  <si>
    <t>value</t>
  </si>
  <si>
    <t>通用钱币</t>
  </si>
  <si>
    <t>木武器柄</t>
  </si>
  <si>
    <t>洞穴人碎金</t>
  </si>
  <si>
    <t>狗头金</t>
  </si>
  <si>
    <t>洞穴人金块</t>
  </si>
  <si>
    <t>古代地宫柱梁</t>
  </si>
  <si>
    <t>古代地宫金砖</t>
  </si>
  <si>
    <t>古代地宫雕像</t>
  </si>
  <si>
    <t>大型鎏金木雕</t>
  </si>
  <si>
    <t>地宫怪物肉</t>
  </si>
  <si>
    <t>金属矛尖</t>
  </si>
  <si>
    <t>建木细枝</t>
  </si>
  <si>
    <t>建木粗枝</t>
  </si>
  <si>
    <t>系铃粗枝</t>
  </si>
  <si>
    <t>腐化粘液</t>
  </si>
  <si>
    <t>腐化细枝</t>
  </si>
  <si>
    <t>腐化粗枝</t>
  </si>
  <si>
    <t>腐化活木</t>
  </si>
  <si>
    <t>腐化新芽</t>
  </si>
  <si>
    <t>腐化果实</t>
  </si>
  <si>
    <t>焦腐朽木</t>
  </si>
  <si>
    <t>战箭残骸</t>
  </si>
  <si>
    <t>战刃残骸</t>
  </si>
  <si>
    <t>战斧残骸</t>
  </si>
  <si>
    <t>战盾残骸</t>
  </si>
  <si>
    <t>古代金币</t>
  </si>
  <si>
    <t>古代金饰</t>
  </si>
  <si>
    <t>古代金锭</t>
  </si>
  <si>
    <t>古代诅咒雕像1</t>
  </si>
  <si>
    <t>古代诅咒雕像2</t>
  </si>
  <si>
    <t>沙漠怪物肉</t>
  </si>
  <si>
    <t>海草</t>
  </si>
  <si>
    <t>鱼肉</t>
  </si>
  <si>
    <t>鱼油</t>
  </si>
  <si>
    <t>海蜇肉</t>
  </si>
  <si>
    <t>蟹肉</t>
  </si>
  <si>
    <t>蟹钳</t>
  </si>
  <si>
    <t>贝肉</t>
  </si>
  <si>
    <t>蚌壳</t>
  </si>
  <si>
    <t>珍珠</t>
  </si>
  <si>
    <t>黑珍珠</t>
  </si>
  <si>
    <t>朽木</t>
  </si>
  <si>
    <t>锈铁</t>
  </si>
  <si>
    <t>湖盐</t>
  </si>
  <si>
    <t>第1位</t>
  </si>
  <si>
    <t>第2位</t>
  </si>
  <si>
    <t>第3位</t>
  </si>
  <si>
    <t>第4位</t>
  </si>
  <si>
    <t>第5位</t>
  </si>
  <si>
    <t>第6位</t>
  </si>
  <si>
    <t>20 = monster</t>
  </si>
  <si>
    <t>11 = 地宫怪物</t>
  </si>
  <si>
    <t>00~99: 编号</t>
  </si>
  <si>
    <t>21 = enemy_car</t>
  </si>
  <si>
    <t>12 = 云间怪物</t>
  </si>
  <si>
    <t>13 = 密林怪物</t>
  </si>
  <si>
    <t>14 = 树梢怪物</t>
  </si>
  <si>
    <t>15 = 田间怪物</t>
  </si>
  <si>
    <t>16 = 永夜怪物</t>
  </si>
  <si>
    <t>17 = 荒漠怪物</t>
  </si>
  <si>
    <t>18 = 大湖怪物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</si>
</sst>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b/>
      <sz val="11"/>
      <color rgb="FFFF0000"/>
      <name val="等线"/>
      <charset val="134"/>
    </font>
    <font>
      <sz val="11"/>
      <color theme="0"/>
      <name val="等线"/>
      <charset val="134"/>
      <scheme val="minor"/>
    </font>
    <font>
      <sz val="11"/>
      <color theme="5"/>
      <name val="等线"/>
      <charset val="134"/>
      <scheme val="minor"/>
    </font>
    <font>
      <i/>
      <sz val="11"/>
      <color theme="1" tint="0.499984740745262"/>
      <name val="等线"/>
      <charset val="134"/>
      <scheme val="minor"/>
    </font>
    <font>
      <i/>
      <sz val="11"/>
      <color theme="1"/>
      <name val="等线"/>
      <charset val="134"/>
      <scheme val="minor"/>
    </font>
    <font>
      <i/>
      <sz val="11"/>
      <color theme="9"/>
      <name val="等线"/>
      <charset val="134"/>
      <scheme val="minor"/>
    </font>
    <font>
      <i/>
      <sz val="11"/>
      <color theme="0"/>
      <name val="等线"/>
      <charset val="134"/>
      <scheme val="minor"/>
    </font>
    <font>
      <i/>
      <sz val="11"/>
      <color theme="5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 tint="0.499984740745262"/>
      <name val="等线"/>
      <charset val="134"/>
      <scheme val="minor"/>
    </font>
    <font>
      <b/>
      <i/>
      <sz val="11"/>
      <color theme="1" tint="0.499984740745262"/>
      <name val="等线"/>
      <charset val="134"/>
      <scheme val="minor"/>
    </font>
    <font>
      <b/>
      <i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i/>
      <sz val="11"/>
      <color rgb="FF7030A0"/>
      <name val="等线"/>
      <charset val="134"/>
      <scheme val="minor"/>
    </font>
    <font>
      <b/>
      <i/>
      <sz val="11"/>
      <color theme="9"/>
      <name val="等线"/>
      <charset val="134"/>
      <scheme val="minor"/>
    </font>
    <font>
      <sz val="11"/>
      <color theme="8"/>
      <name val="等线"/>
      <charset val="134"/>
      <scheme val="minor"/>
    </font>
    <font>
      <i/>
      <sz val="11"/>
      <color theme="8"/>
      <name val="等线"/>
      <charset val="134"/>
      <scheme val="minor"/>
    </font>
    <font>
      <sz val="11"/>
      <color theme="9"/>
      <name val="等线"/>
      <charset val="134"/>
      <scheme val="minor"/>
    </font>
    <font>
      <i/>
      <sz val="11"/>
      <color theme="0" tint="-0.49998474074526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0"/>
      <color theme="1"/>
      <name val="等线"/>
      <charset val="134"/>
      <scheme val="minor"/>
    </font>
    <font>
      <i/>
      <sz val="8"/>
      <color theme="0" tint="-0.499984740745262"/>
      <name val="等线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39B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5" borderId="5" applyNumberFormat="0" applyAlignment="0" applyProtection="0">
      <alignment vertical="center"/>
    </xf>
    <xf numFmtId="0" fontId="31" fillId="16" borderId="6" applyNumberFormat="0" applyAlignment="0" applyProtection="0">
      <alignment vertical="center"/>
    </xf>
    <xf numFmtId="0" fontId="32" fillId="16" borderId="5" applyNumberFormat="0" applyAlignment="0" applyProtection="0">
      <alignment vertical="center"/>
    </xf>
    <xf numFmtId="0" fontId="33" fillId="17" borderId="7" applyNumberFormat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92">
    <xf numFmtId="0" fontId="0" fillId="0" borderId="0" xfId="0"/>
    <xf numFmtId="0" fontId="1" fillId="0" borderId="0" xfId="51" applyFont="1" applyAlignment="1">
      <alignment horizontal="center" vertical="center"/>
    </xf>
    <xf numFmtId="0" fontId="2" fillId="0" borderId="0" xfId="5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51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2" borderId="0" xfId="0" applyFill="1"/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8" fillId="0" borderId="0" xfId="0" applyFont="1"/>
    <xf numFmtId="0" fontId="19" fillId="0" borderId="0" xfId="0" applyFont="1"/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Font="1"/>
    <xf numFmtId="0" fontId="0" fillId="10" borderId="0" xfId="0" applyFont="1" applyFill="1"/>
    <xf numFmtId="0" fontId="0" fillId="2" borderId="0" xfId="0" applyFill="1" applyAlignment="1">
      <alignment horizontal="center"/>
    </xf>
    <xf numFmtId="0" fontId="6" fillId="2" borderId="0" xfId="0" applyFont="1" applyFill="1"/>
    <xf numFmtId="0" fontId="18" fillId="2" borderId="0" xfId="0" applyFont="1" applyFill="1" applyAlignment="1">
      <alignment horizontal="center"/>
    </xf>
    <xf numFmtId="0" fontId="8" fillId="2" borderId="0" xfId="0" applyFont="1" applyFill="1"/>
    <xf numFmtId="0" fontId="0" fillId="2" borderId="0" xfId="0" applyFont="1" applyFill="1" applyAlignment="1">
      <alignment horizontal="center"/>
    </xf>
    <xf numFmtId="0" fontId="19" fillId="2" borderId="0" xfId="0" applyFont="1" applyFill="1"/>
    <xf numFmtId="0" fontId="0" fillId="11" borderId="0" xfId="0" applyFont="1" applyFill="1" applyAlignment="1">
      <alignment horizontal="center"/>
    </xf>
    <xf numFmtId="0" fontId="0" fillId="2" borderId="0" xfId="0" applyFont="1" applyFill="1"/>
    <xf numFmtId="0" fontId="0" fillId="12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0" fillId="5" borderId="0" xfId="0" applyFont="1" applyFill="1"/>
    <xf numFmtId="0" fontId="17" fillId="8" borderId="0" xfId="0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0" fillId="13" borderId="0" xfId="0" applyFont="1" applyFill="1"/>
    <xf numFmtId="0" fontId="6" fillId="7" borderId="0" xfId="0" applyFont="1" applyFill="1"/>
    <xf numFmtId="0" fontId="0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0" fillId="7" borderId="0" xfId="0" applyFont="1" applyFill="1"/>
    <xf numFmtId="0" fontId="8" fillId="7" borderId="0" xfId="0" applyFont="1" applyFill="1"/>
    <xf numFmtId="0" fontId="19" fillId="7" borderId="0" xfId="0" applyFont="1" applyFill="1"/>
    <xf numFmtId="0" fontId="0" fillId="0" borderId="0" xfId="0" applyFont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</cellStyles>
  <dxfs count="31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font>
        <b val="1"/>
      </font>
      <numFmt numFmtId="0" formatCode="General"/>
      <alignment horizontal="center" vertical="center"/>
    </dxf>
    <dxf>
      <font>
        <b val="1"/>
      </font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font>
        <b val="1"/>
      </font>
      <numFmt numFmtId="0" formatCode="General"/>
      <alignment horizontal="center" vertical="center"/>
    </dxf>
    <dxf>
      <font>
        <b val="1"/>
      </font>
      <numFmt numFmtId="0" formatCode="General"/>
      <alignment horizontal="center" vertical="center"/>
    </dxf>
    <dxf>
      <numFmt numFmtId="0" formatCode="General"/>
      <alignment horizontal="center" vertical="center"/>
    </dxf>
    <dxf>
      <font>
        <family val="3"/>
        <i val="1"/>
      </font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font>
        <b val="1"/>
      </font>
      <numFmt numFmtId="0" formatCode="General"/>
      <alignment horizontal="center" vertical="center"/>
    </dxf>
    <dxf>
      <font>
        <b val="1"/>
      </font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colors>
    <mruColors>
      <color rgb="00C39B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228600</xdr:colOff>
      <xdr:row>17</xdr:row>
      <xdr:rowOff>28575</xdr:rowOff>
    </xdr:from>
    <xdr:to>
      <xdr:col>30</xdr:col>
      <xdr:colOff>237781</xdr:colOff>
      <xdr:row>67</xdr:row>
      <xdr:rowOff>27444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50050" y="3286125"/>
          <a:ext cx="2752090" cy="904748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id="2" name="tb_diy_01" displayName="tb_diy_01" ref="A3:G34" totalsRowShown="0">
  <autoFilter xmlns:etc="http://www.wps.cn/officeDocument/2017/etCustomData" ref="A3:G34" etc:filterBottomFollowUsedRange="0"/>
  <tableColumns count="7">
    <tableColumn id="1" name="id" dataDxfId="0"/>
    <tableColumn id="2" name="name" dataDxfId="1"/>
    <tableColumn id="3" name="parm_key" dataDxfId="2"/>
    <tableColumn id="5" name="参数说明" dataDxfId="3"/>
    <tableColumn id="4" name="parm_value" dataDxfId="4"/>
    <tableColumn id="6" name="v1" dataDxfId="5"/>
    <tableColumn id="7" name="v2" dataDxfId="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3" name="tb_diy_04" displayName="tb_diy_04" ref="I3:O20" totalsRowShown="0">
  <autoFilter xmlns:etc="http://www.wps.cn/officeDocument/2017/etCustomData" ref="I3:O20" etc:filterBottomFollowUsedRange="0"/>
  <tableColumns count="7">
    <tableColumn id="1" name="id" dataDxfId="7"/>
    <tableColumn id="2" name="name" dataDxfId="8">
      <calculatedColumnFormula>_xlfn.XLOOKUP(tb_diy_04[[#This Row],[id]],monster!A:A,monster!D:D,"",0)</calculatedColumnFormula>
    </tableColumn>
    <tableColumn id="3" name="parm_key" dataDxfId="9"/>
    <tableColumn id="5" name="参数说明" dataDxfId="10"/>
    <tableColumn id="4" name="parm_value" dataDxfId="11">
      <calculatedColumnFormula>_xlfn.TEXTJOIN(",",1,tb_diy_04[[#This Row],[v1]],tb_diy_04[[#This Row],[v2]])</calculatedColumnFormula>
    </tableColumn>
    <tableColumn id="6" name="v1" dataDxfId="12"/>
    <tableColumn id="7" name="v2" dataDxfId="1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4" name="tb_diy_07" displayName="tb_diy_07" ref="Q3:W93" totalsRowShown="0">
  <autoFilter xmlns:etc="http://www.wps.cn/officeDocument/2017/etCustomData" ref="Q3:W93" etc:filterBottomFollowUsedRange="0"/>
  <tableColumns count="7">
    <tableColumn id="1" name="id" dataDxfId="14"/>
    <tableColumn id="2" name="name" dataDxfId="15">
      <calculatedColumnFormula>_xlfn.XLOOKUP(tb_diy_07[[#This Row],[id]],monster!A:A,monster!D:D,"",0)</calculatedColumnFormula>
    </tableColumn>
    <tableColumn id="3" name="parm_key" dataDxfId="16"/>
    <tableColumn id="5" name="参数说明" dataDxfId="17"/>
    <tableColumn id="4" name="parm_value" dataDxfId="18">
      <calculatedColumnFormula>_xlfn.TEXTJOIN(",",1,tb_diy_07[[#This Row],[v1]],tb_diy_07[[#This Row],[v2]])</calculatedColumnFormula>
    </tableColumn>
    <tableColumn id="6" name="v1" dataDxfId="19"/>
    <tableColumn id="7" name="v2" dataDxfId="20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id="5" name="tb_diy_08" displayName="tb_diy_08" ref="Y3:AE135" totalsRowShown="0">
  <autoFilter xmlns:etc="http://www.wps.cn/officeDocument/2017/etCustomData" ref="Y3:AE135" etc:filterBottomFollowUsedRange="0"/>
  <tableColumns count="7">
    <tableColumn id="1" name="id" dataDxfId="21"/>
    <tableColumn id="2" name="name" dataDxfId="22">
      <calculatedColumnFormula>_xlfn.XLOOKUP(tb_diy_08[[#This Row],[id]],monster!A:A,monster!D:D,"",0)</calculatedColumnFormula>
    </tableColumn>
    <tableColumn id="3" name="parm_key" dataDxfId="23"/>
    <tableColumn id="5" name="参数说明" dataDxfId="24"/>
    <tableColumn id="4" name="parm_value" dataDxfId="25">
      <calculatedColumnFormula>_xlfn.TEXTJOIN(",",1,tb_diy_08[[#This Row],[v1]],tb_diy_08[[#This Row],[v2]])</calculatedColumnFormula>
    </tableColumn>
    <tableColumn id="6" name="v1" dataDxfId="26"/>
    <tableColumn id="7" name="v2" dataDxfId="2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1" name="table_loot" displayName="table_loot" ref="B3:D51" totalsRowShown="0">
  <autoFilter xmlns:etc="http://www.wps.cn/officeDocument/2017/etCustomData" ref="B3:D51" etc:filterBottomFollowUsedRange="0"/>
  <tableColumns count="3">
    <tableColumn id="1" name="id" dataDxfId="28"/>
    <tableColumn id="2" name="name" dataDxfId="29"/>
    <tableColumn id="3" name="value" dataDxfId="3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86"/>
  <sheetViews>
    <sheetView tabSelected="1" zoomScale="99" zoomScaleNormal="99" workbookViewId="0">
      <pane xSplit="4" ySplit="3" topLeftCell="AM58" activePane="bottomRight" state="frozen"/>
      <selection/>
      <selection pane="topRight"/>
      <selection pane="bottomLeft"/>
      <selection pane="bottomRight" activeCell="AT84" sqref="AT84"/>
    </sheetView>
  </sheetViews>
  <sheetFormatPr defaultColWidth="9.125" defaultRowHeight="14.25"/>
  <cols>
    <col min="1" max="1" width="7.75" style="24" customWidth="1"/>
    <col min="2" max="2" width="14.75" style="24" customWidth="1"/>
    <col min="3" max="3" width="6.875" style="25" customWidth="1"/>
    <col min="4" max="4" width="33.45" style="25" customWidth="1"/>
    <col min="5" max="5" width="15.75" style="24" customWidth="1"/>
    <col min="6" max="6" width="13.125" style="24" customWidth="1"/>
    <col min="7" max="7" width="14" style="24" customWidth="1"/>
    <col min="8" max="8" width="5.5" style="24" customWidth="1"/>
    <col min="9" max="9" width="6.625" style="24" customWidth="1"/>
    <col min="10" max="10" width="5.625" style="24" customWidth="1"/>
    <col min="11" max="12" width="11.5" style="24" customWidth="1"/>
    <col min="13" max="13" width="34.75" style="24" customWidth="1"/>
    <col min="14" max="19" width="9.375" style="47" customWidth="1"/>
    <col min="20" max="21" width="9.125" style="24" customWidth="1"/>
    <col min="22" max="22" width="11.375" style="24" customWidth="1"/>
    <col min="23" max="23" width="11.375" style="48" customWidth="1"/>
    <col min="24" max="24" width="11.125" style="49" customWidth="1"/>
    <col min="25" max="26" width="14.25" style="24" customWidth="1"/>
    <col min="27" max="27" width="43.625" customWidth="1"/>
    <col min="28" max="28" width="28" style="50" customWidth="1"/>
    <col min="29" max="29" width="30.5" customWidth="1"/>
    <col min="30" max="31" width="9" style="24" customWidth="1"/>
    <col min="32" max="32" width="44.125" style="24" customWidth="1"/>
    <col min="33" max="33" width="85.25" customWidth="1"/>
    <col min="34" max="37" width="17.25" style="51" customWidth="1"/>
    <col min="38" max="39" width="24" style="51" customWidth="1"/>
    <col min="40" max="40" width="14.25" style="24" customWidth="1"/>
    <col min="41" max="41" width="33.125" style="24" customWidth="1"/>
    <col min="42" max="45" width="10.75" style="51" customWidth="1"/>
    <col min="46" max="46" width="49.375" customWidth="1"/>
  </cols>
  <sheetData>
    <row r="1" s="6" customFormat="1" spans="1:46">
      <c r="A1" s="6" t="s">
        <v>0</v>
      </c>
      <c r="B1" s="6" t="s">
        <v>1</v>
      </c>
      <c r="C1" s="14"/>
      <c r="D1" s="14"/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52"/>
      <c r="O1" s="52"/>
      <c r="P1" s="52"/>
      <c r="Q1" s="52"/>
      <c r="R1" s="52"/>
      <c r="S1" s="52"/>
      <c r="T1" s="6" t="s">
        <v>11</v>
      </c>
      <c r="U1" s="6" t="s">
        <v>12</v>
      </c>
      <c r="V1" s="6" t="s">
        <v>13</v>
      </c>
      <c r="W1" s="53"/>
      <c r="X1" s="6" t="s">
        <v>14</v>
      </c>
      <c r="Y1" s="6" t="s">
        <v>15</v>
      </c>
      <c r="Z1" s="6" t="s">
        <v>16</v>
      </c>
      <c r="AA1" s="6" t="s">
        <v>17</v>
      </c>
      <c r="AB1" s="16"/>
      <c r="AC1" s="6" t="s">
        <v>18</v>
      </c>
      <c r="AD1" s="6" t="s">
        <v>19</v>
      </c>
      <c r="AE1" s="6" t="s">
        <v>20</v>
      </c>
      <c r="AF1" s="6" t="s">
        <v>21</v>
      </c>
      <c r="AG1" s="6" t="s">
        <v>22</v>
      </c>
      <c r="AH1" s="54"/>
      <c r="AI1" s="54"/>
      <c r="AJ1" s="54"/>
      <c r="AK1" s="54"/>
      <c r="AL1" s="54"/>
      <c r="AM1" s="6" t="s">
        <v>23</v>
      </c>
      <c r="AN1" s="6" t="s">
        <v>24</v>
      </c>
      <c r="AO1" s="6" t="s">
        <v>25</v>
      </c>
      <c r="AP1" s="54"/>
      <c r="AQ1" s="54"/>
      <c r="AR1" s="54"/>
      <c r="AS1" s="54"/>
      <c r="AT1" s="6" t="s">
        <v>26</v>
      </c>
    </row>
    <row r="2" s="44" customFormat="1" spans="1:46">
      <c r="A2" s="44" t="s">
        <v>27</v>
      </c>
      <c r="B2" s="44" t="s">
        <v>28</v>
      </c>
      <c r="C2" s="55"/>
      <c r="D2" s="55"/>
      <c r="E2" s="44" t="s">
        <v>28</v>
      </c>
      <c r="F2" s="44" t="s">
        <v>28</v>
      </c>
      <c r="G2" s="44" t="s">
        <v>28</v>
      </c>
      <c r="H2" s="44" t="s">
        <v>29</v>
      </c>
      <c r="I2" s="44" t="s">
        <v>29</v>
      </c>
      <c r="J2" s="44" t="s">
        <v>30</v>
      </c>
      <c r="K2" s="44" t="s">
        <v>31</v>
      </c>
      <c r="L2" s="44" t="s">
        <v>31</v>
      </c>
      <c r="M2" s="44" t="s">
        <v>32</v>
      </c>
      <c r="N2" s="56"/>
      <c r="O2" s="56"/>
      <c r="P2" s="56"/>
      <c r="Q2" s="56"/>
      <c r="R2" s="56"/>
      <c r="S2" s="56"/>
      <c r="T2" s="44" t="s">
        <v>29</v>
      </c>
      <c r="U2" s="44" t="s">
        <v>29</v>
      </c>
      <c r="V2" s="44" t="s">
        <v>30</v>
      </c>
      <c r="W2" s="57"/>
      <c r="X2" s="44" t="s">
        <v>30</v>
      </c>
      <c r="Y2" s="44" t="s">
        <v>31</v>
      </c>
      <c r="Z2" s="44" t="s">
        <v>32</v>
      </c>
      <c r="AA2" s="44" t="s">
        <v>28</v>
      </c>
      <c r="AB2" s="58"/>
      <c r="AC2" s="44" t="s">
        <v>28</v>
      </c>
      <c r="AD2" s="44" t="s">
        <v>29</v>
      </c>
      <c r="AE2" s="44" t="s">
        <v>30</v>
      </c>
      <c r="AF2" s="44" t="s">
        <v>33</v>
      </c>
      <c r="AG2" s="44" t="s">
        <v>34</v>
      </c>
      <c r="AH2" s="59"/>
      <c r="AI2" s="59"/>
      <c r="AJ2" s="59"/>
      <c r="AK2" s="59"/>
      <c r="AL2" s="59"/>
      <c r="AM2" s="44" t="s">
        <v>34</v>
      </c>
      <c r="AN2" s="44" t="s">
        <v>35</v>
      </c>
      <c r="AO2" s="44" t="s">
        <v>32</v>
      </c>
      <c r="AP2" s="59"/>
      <c r="AQ2" s="59"/>
      <c r="AR2" s="59"/>
      <c r="AS2" s="59"/>
      <c r="AT2" s="44" t="s">
        <v>36</v>
      </c>
    </row>
    <row r="3" s="8" customFormat="1" ht="60.75" spans="1:46">
      <c r="A3" s="18" t="s">
        <v>37</v>
      </c>
      <c r="B3" s="60" t="s">
        <v>38</v>
      </c>
      <c r="C3" s="61" t="s">
        <v>39</v>
      </c>
      <c r="D3" s="61" t="s">
        <v>40</v>
      </c>
      <c r="E3" s="20"/>
      <c r="F3" s="20"/>
      <c r="G3" s="20" t="s">
        <v>41</v>
      </c>
      <c r="H3" s="20" t="s">
        <v>42</v>
      </c>
      <c r="I3" s="20" t="s">
        <v>43</v>
      </c>
      <c r="J3" s="20" t="s">
        <v>44</v>
      </c>
      <c r="K3" s="20" t="s">
        <v>45</v>
      </c>
      <c r="L3" s="20"/>
      <c r="M3" s="62" t="s">
        <v>46</v>
      </c>
      <c r="N3" s="63" t="s">
        <v>47</v>
      </c>
      <c r="O3" s="63" t="s">
        <v>48</v>
      </c>
      <c r="P3" s="63" t="s">
        <v>49</v>
      </c>
      <c r="Q3" s="63" t="s">
        <v>50</v>
      </c>
      <c r="R3" s="63" t="s">
        <v>51</v>
      </c>
      <c r="S3" s="63" t="s">
        <v>52</v>
      </c>
      <c r="T3" s="20" t="s">
        <v>53</v>
      </c>
      <c r="U3" s="20" t="s">
        <v>54</v>
      </c>
      <c r="V3" s="20" t="s">
        <v>55</v>
      </c>
      <c r="W3" s="64" t="s">
        <v>56</v>
      </c>
      <c r="X3" s="20" t="s">
        <v>57</v>
      </c>
      <c r="Y3" s="20" t="s">
        <v>58</v>
      </c>
      <c r="Z3" s="20" t="s">
        <v>59</v>
      </c>
      <c r="AA3" s="20" t="s">
        <v>60</v>
      </c>
      <c r="AB3" s="22" t="s">
        <v>61</v>
      </c>
      <c r="AC3" s="20" t="s">
        <v>62</v>
      </c>
      <c r="AD3" s="20" t="s">
        <v>63</v>
      </c>
      <c r="AE3" s="20" t="s">
        <v>64</v>
      </c>
      <c r="AF3" s="20" t="s">
        <v>65</v>
      </c>
      <c r="AG3" s="20" t="s">
        <v>66</v>
      </c>
      <c r="AH3" s="65" t="s">
        <v>67</v>
      </c>
      <c r="AI3" s="65" t="s">
        <v>68</v>
      </c>
      <c r="AJ3" s="65" t="s">
        <v>69</v>
      </c>
      <c r="AK3" s="65" t="s">
        <v>70</v>
      </c>
      <c r="AL3" s="65" t="s">
        <v>71</v>
      </c>
      <c r="AM3" s="20" t="s">
        <v>72</v>
      </c>
      <c r="AN3" s="20" t="s">
        <v>73</v>
      </c>
      <c r="AO3" s="20" t="s">
        <v>73</v>
      </c>
      <c r="AP3" s="65" t="s">
        <v>69</v>
      </c>
      <c r="AQ3" s="65" t="s">
        <v>69</v>
      </c>
      <c r="AR3" s="65" t="s">
        <v>69</v>
      </c>
      <c r="AS3" s="65" t="s">
        <v>69</v>
      </c>
      <c r="AT3" s="20" t="s">
        <v>74</v>
      </c>
    </row>
    <row r="4" spans="1:46">
      <c r="A4" s="24">
        <v>201101</v>
      </c>
      <c r="B4" s="24" t="str">
        <f>_xlfn.TEXTJOIN("_",1,"enemy",$A4)</f>
        <v>enemy_201101</v>
      </c>
      <c r="C4" s="25" t="s">
        <v>75</v>
      </c>
      <c r="D4" s="25" t="s">
        <v>76</v>
      </c>
      <c r="E4" s="66"/>
      <c r="F4" s="66"/>
      <c r="G4" s="67" t="s">
        <v>77</v>
      </c>
      <c r="H4" s="24">
        <v>26</v>
      </c>
      <c r="I4" s="24">
        <v>0</v>
      </c>
      <c r="J4" s="24">
        <v>2.4</v>
      </c>
      <c r="M4" s="24" t="str" cm="1">
        <f ca="1" t="array" ref="M4">_xlfn.TEXTJOIN(";",1,_xlfn.LAMBDA(_xlpm.x,IF(_xlpm.x&lt;&gt;"",OFFSET(_xlpm.x,3-ROW(),0)&amp;"="&amp;_xlpm.x,""))(N4:S4))</f>
        <v>sharp=6</v>
      </c>
      <c r="N4" s="47">
        <v>6</v>
      </c>
      <c r="O4" s="68"/>
      <c r="P4" s="68"/>
      <c r="Q4" s="68"/>
      <c r="R4" s="68"/>
      <c r="S4" s="68"/>
      <c r="AA4" s="69" t="str">
        <f t="shared" ref="AA4:AA12" si="0">_xlfn.TEXTJOIN("_",1,"monster",$A4,$AB4)</f>
        <v>monster_201101_dungeon_bat</v>
      </c>
      <c r="AB4" s="50" t="s">
        <v>78</v>
      </c>
      <c r="AC4" s="69" t="str">
        <f t="shared" ref="AC4:AC10" si="1">_xlfn.TEXTJOIN("_",1,"BT",$AB4)</f>
        <v>BT_dungeon_bat</v>
      </c>
      <c r="AD4" s="68"/>
      <c r="AE4" s="24">
        <v>0.25</v>
      </c>
      <c r="AF4" s="67" t="str">
        <f>_xlfn.XLOOKUP(A4,'-loot_list辅助配置表'!A:A,'-loot_list辅助配置表'!V:V)</f>
        <v>10000=0.0048;600109=0.0001</v>
      </c>
      <c r="AG4" s="69" t="str">
        <f>_xlfn.TEXTJOIN(";",1,AH4:AL4)</f>
        <v>vfx_monster_die_1;vfx_monster_die_2;vfx_monster_die_3;vfx_monster_die_4</v>
      </c>
      <c r="AH4" s="51" t="s">
        <v>79</v>
      </c>
      <c r="AI4" s="51" t="s">
        <v>80</v>
      </c>
      <c r="AJ4" s="51" t="s">
        <v>81</v>
      </c>
      <c r="AK4" s="51" t="s">
        <v>82</v>
      </c>
      <c r="AN4" s="68">
        <v>0</v>
      </c>
      <c r="AO4" s="67" t="str" cm="1">
        <f t="array" ref="AO4">_xlfn.TEXTJOIN(";",1,IF(AP4:AQ4&lt;&gt;"",AP4:AQ4&amp;"="&amp;AR4:AS4,""))</f>
        <v/>
      </c>
    </row>
    <row r="5" spans="1:46">
      <c r="A5" s="24">
        <v>201102</v>
      </c>
      <c r="B5" s="24" t="str">
        <f t="shared" ref="B5:B77" si="2">_xlfn.TEXTJOIN("_",1,"enemy",$A5)</f>
        <v>enemy_201102</v>
      </c>
      <c r="C5" s="25" t="s">
        <v>75</v>
      </c>
      <c r="D5" s="25" t="s">
        <v>83</v>
      </c>
      <c r="E5" s="66"/>
      <c r="F5" s="66"/>
      <c r="G5" s="67"/>
      <c r="H5" s="24">
        <v>2</v>
      </c>
      <c r="I5" s="24">
        <v>-1</v>
      </c>
      <c r="J5" s="24">
        <v>0.8</v>
      </c>
      <c r="M5" s="24" t="str" cm="1">
        <f ca="1" t="array" ref="M5">_xlfn.TEXTJOIN(";",1,_xlfn.LAMBDA(_xlpm.x,IF(_xlpm.x&lt;&gt;"",OFFSET(_xlpm.x,3-ROW(),0)&amp;"="&amp;_xlpm.x,""))(N5:S5))</f>
        <v>sharp=10</v>
      </c>
      <c r="N5" s="47">
        <v>10</v>
      </c>
      <c r="O5" s="68"/>
      <c r="P5" s="68"/>
      <c r="Q5" s="68"/>
      <c r="R5" s="68"/>
      <c r="S5" s="68"/>
      <c r="AA5" s="69" t="str">
        <f t="shared" si="0"/>
        <v>monster_201102_dungeon_beatle</v>
      </c>
      <c r="AB5" s="50" t="s">
        <v>84</v>
      </c>
      <c r="AC5" s="69" t="str">
        <f t="shared" si="1"/>
        <v>BT_dungeon_beatle</v>
      </c>
      <c r="AD5" s="68"/>
      <c r="AE5" s="24">
        <v>0.1</v>
      </c>
      <c r="AF5" s="67" t="str">
        <f>_xlfn.XLOOKUP(A5,'-loot_list辅助配置表'!A:A,'-loot_list辅助配置表'!V:V)</f>
        <v/>
      </c>
      <c r="AG5" s="69" t="str">
        <f>_xlfn.TEXTJOIN(";",1,AH5:AL5)</f>
        <v>vfx_monster_die_1;vfx_monster_die_2;vfx_monster_die_3;vfx_monster_die_4;vfx_monster_die_explosion</v>
      </c>
      <c r="AH5" s="51" t="s">
        <v>79</v>
      </c>
      <c r="AI5" s="51" t="s">
        <v>80</v>
      </c>
      <c r="AJ5" s="51" t="s">
        <v>81</v>
      </c>
      <c r="AK5" s="51" t="s">
        <v>82</v>
      </c>
      <c r="AL5" s="51" t="s">
        <v>85</v>
      </c>
      <c r="AN5" s="68">
        <v>0</v>
      </c>
      <c r="AO5" s="67" t="str" cm="1">
        <f t="array" ref="AO5">_xlfn.TEXTJOIN(";",1,IF(AP5:AQ5&lt;&gt;"",AP5:AQ5&amp;"="&amp;AR5:AS5,""))</f>
        <v/>
      </c>
    </row>
    <row r="6" spans="1:46">
      <c r="A6" s="24">
        <v>201103</v>
      </c>
      <c r="B6" s="24" t="str">
        <f t="shared" si="2"/>
        <v>enemy_201103</v>
      </c>
      <c r="C6" s="25" t="s">
        <v>75</v>
      </c>
      <c r="D6" s="25" t="s">
        <v>86</v>
      </c>
      <c r="E6" s="66"/>
      <c r="F6" s="66"/>
      <c r="G6" s="67"/>
      <c r="H6" s="24">
        <v>44</v>
      </c>
      <c r="I6" s="24">
        <v>0</v>
      </c>
      <c r="J6" s="24">
        <v>7.5</v>
      </c>
      <c r="K6" s="24" t="b">
        <v>1</v>
      </c>
      <c r="M6" s="24" t="str" cm="1">
        <f ca="1" t="array" ref="M6">_xlfn.TEXTJOIN(";",1,_xlfn.LAMBDA(_xlpm.x,IF(_xlpm.x&lt;&gt;"",OFFSET(_xlpm.x,3-ROW(),0)&amp;"="&amp;_xlpm.x,""))(N6:S6))</f>
        <v>sharp=6</v>
      </c>
      <c r="N6" s="47">
        <v>6</v>
      </c>
      <c r="O6" s="68"/>
      <c r="P6" s="68"/>
      <c r="Q6" s="68"/>
      <c r="R6" s="68"/>
      <c r="S6" s="68"/>
      <c r="AA6" s="69" t="str">
        <f t="shared" si="0"/>
        <v>monster_201103_dungeon_springtail</v>
      </c>
      <c r="AB6" s="50" t="s">
        <v>87</v>
      </c>
      <c r="AC6" s="69" t="str">
        <f t="shared" si="1"/>
        <v>BT_dungeon_springtail</v>
      </c>
      <c r="AD6" s="68"/>
      <c r="AE6" s="24">
        <v>0.12</v>
      </c>
      <c r="AF6" s="67" t="str">
        <f>_xlfn.XLOOKUP(A6,'-loot_list辅助配置表'!A:A,'-loot_list辅助配置表'!V:V)</f>
        <v>10000=0.0048;600109=0.0001</v>
      </c>
      <c r="AG6" s="69" t="str">
        <f t="shared" ref="AG6:AG16" si="3">_xlfn.TEXTJOIN(";",1,AH6:AL6)</f>
        <v>vfx_monster_die_1;vfx_monster_die_2;vfx_monster_die_3;vfx_monster_die_4</v>
      </c>
      <c r="AH6" s="51" t="s">
        <v>79</v>
      </c>
      <c r="AI6" s="51" t="s">
        <v>80</v>
      </c>
      <c r="AJ6" s="51" t="s">
        <v>81</v>
      </c>
      <c r="AK6" s="51" t="s">
        <v>82</v>
      </c>
      <c r="AN6" s="68">
        <v>0</v>
      </c>
      <c r="AO6" s="67" t="str" cm="1">
        <f t="array" ref="AO6">_xlfn.TEXTJOIN(";",1,IF(AP6:AQ6&lt;&gt;"",AP6:AQ6&amp;"="&amp;AR6:AS6,""))</f>
        <v/>
      </c>
    </row>
    <row r="7" spans="1:46">
      <c r="A7" s="24">
        <v>201104</v>
      </c>
      <c r="B7" s="24" t="str">
        <f t="shared" si="2"/>
        <v>enemy_201104</v>
      </c>
      <c r="C7" s="25" t="s">
        <v>75</v>
      </c>
      <c r="D7" s="25" t="s">
        <v>88</v>
      </c>
      <c r="E7" s="66"/>
      <c r="F7" s="66"/>
      <c r="G7" s="67"/>
      <c r="H7" s="24">
        <v>66</v>
      </c>
      <c r="I7" s="24">
        <v>1</v>
      </c>
      <c r="J7" s="24">
        <v>20</v>
      </c>
      <c r="K7" s="24" t="b">
        <v>1</v>
      </c>
      <c r="M7" s="24" t="str" cm="1">
        <f ca="1" t="array" ref="M7">_xlfn.TEXTJOIN(";",1,_xlfn.LAMBDA(_xlpm.x,IF(_xlpm.x&lt;&gt;"",OFFSET(_xlpm.x,3-ROW(),0)&amp;"="&amp;_xlpm.x,""))(N7:S7))</f>
        <v>sharp=7</v>
      </c>
      <c r="N7" s="47">
        <v>7</v>
      </c>
      <c r="O7" s="68"/>
      <c r="P7" s="68"/>
      <c r="Q7" s="68"/>
      <c r="R7" s="68"/>
      <c r="S7" s="68"/>
      <c r="AA7" s="69" t="str">
        <f t="shared" si="0"/>
        <v>monster_201104_dungeon_caveman</v>
      </c>
      <c r="AB7" s="50" t="s">
        <v>89</v>
      </c>
      <c r="AC7" s="69" t="str">
        <f t="shared" si="1"/>
        <v>BT_dungeon_caveman</v>
      </c>
      <c r="AD7" s="67">
        <f t="shared" ref="AD7:AD12" si="4">A7</f>
        <v>201104</v>
      </c>
      <c r="AE7" s="24">
        <v>0.17</v>
      </c>
      <c r="AF7" s="67" t="str">
        <f>_xlfn.XLOOKUP(A7,'-loot_list辅助配置表'!A:A,'-loot_list辅助配置表'!V:V)</f>
        <v>10000=0.0048;600109=0.0001</v>
      </c>
      <c r="AG7" s="69" t="str">
        <f t="shared" si="3"/>
        <v>vfx_monster_die_1;vfx_monster_die_2;vfx_monster_die_3;vfx_monster_die_4</v>
      </c>
      <c r="AH7" s="51" t="s">
        <v>79</v>
      </c>
      <c r="AI7" s="51" t="s">
        <v>80</v>
      </c>
      <c r="AJ7" s="51" t="s">
        <v>81</v>
      </c>
      <c r="AK7" s="51" t="s">
        <v>82</v>
      </c>
      <c r="AN7" s="68">
        <v>0</v>
      </c>
      <c r="AO7" s="67" t="str" cm="1">
        <f t="array" ref="AO7">_xlfn.TEXTJOIN(";",1,IF(AP7:AQ7&lt;&gt;"",AP7:AQ7&amp;"="&amp;AR7:AS7,""))</f>
        <v/>
      </c>
    </row>
    <row r="8" spans="1:46">
      <c r="A8" s="24">
        <v>201105</v>
      </c>
      <c r="B8" s="24" t="str">
        <f t="shared" si="2"/>
        <v>enemy_201105</v>
      </c>
      <c r="C8" s="25" t="s">
        <v>75</v>
      </c>
      <c r="D8" s="25" t="s">
        <v>90</v>
      </c>
      <c r="E8" s="66"/>
      <c r="F8" s="66"/>
      <c r="G8" s="67"/>
      <c r="H8" s="24">
        <v>55</v>
      </c>
      <c r="I8" s="24">
        <v>2</v>
      </c>
      <c r="J8" s="24">
        <v>27.5</v>
      </c>
      <c r="K8" s="24" t="b">
        <v>1</v>
      </c>
      <c r="M8" s="24" t="str" cm="1">
        <f ca="1" t="array" ref="M8">_xlfn.TEXTJOIN(";",1,_xlfn.LAMBDA(_xlpm.x,IF(_xlpm.x&lt;&gt;"",OFFSET(_xlpm.x,3-ROW(),0)&amp;"="&amp;_xlpm.x,""))(N8:S8))</f>
        <v/>
      </c>
      <c r="N8" s="68"/>
      <c r="O8" s="68"/>
      <c r="P8" s="68"/>
      <c r="Q8" s="68"/>
      <c r="R8" s="68"/>
      <c r="S8" s="68"/>
      <c r="AA8" s="69" t="str">
        <f t="shared" si="0"/>
        <v>monster_201105_dungeon_springtail_rider</v>
      </c>
      <c r="AB8" s="50" t="s">
        <v>91</v>
      </c>
      <c r="AC8" s="69" t="str">
        <f t="shared" si="1"/>
        <v>BT_dungeon_springtail_rider</v>
      </c>
      <c r="AD8" s="67">
        <f t="shared" si="4"/>
        <v>201105</v>
      </c>
      <c r="AE8" s="24">
        <v>0.2</v>
      </c>
      <c r="AF8" s="67" t="str">
        <f>_xlfn.XLOOKUP(A8,'-loot_list辅助配置表'!A:A,'-loot_list辅助配置表'!V:V)</f>
        <v/>
      </c>
      <c r="AG8" s="69" t="str">
        <f t="shared" si="3"/>
        <v>vfx_monster_die_1;vfx_monster_die_2;vfx_monster_die_3;vfx_monster_die_4;null</v>
      </c>
      <c r="AH8" s="51" t="s">
        <v>79</v>
      </c>
      <c r="AI8" s="51" t="s">
        <v>80</v>
      </c>
      <c r="AJ8" s="51" t="s">
        <v>81</v>
      </c>
      <c r="AK8" s="51" t="s">
        <v>82</v>
      </c>
      <c r="AL8" s="51" t="s">
        <v>92</v>
      </c>
      <c r="AN8" s="67" t="s">
        <v>93</v>
      </c>
      <c r="AO8" s="67" t="str" cm="1">
        <f t="array" ref="AO8">_xlfn.TEXTJOIN(";",1,IF(AP8:AQ8&lt;&gt;"",AP8:AQ8&amp;"="&amp;AR8:AS8,""))</f>
        <v>Mount=201103;Rider=201104</v>
      </c>
      <c r="AP8" s="51" t="s">
        <v>94</v>
      </c>
      <c r="AQ8" s="51" t="s">
        <v>95</v>
      </c>
      <c r="AR8" s="51">
        <v>201103</v>
      </c>
      <c r="AS8" s="51">
        <v>201104</v>
      </c>
    </row>
    <row r="9" spans="1:46">
      <c r="A9" s="24">
        <v>201106</v>
      </c>
      <c r="B9" s="24" t="str">
        <f t="shared" si="2"/>
        <v>enemy_201106</v>
      </c>
      <c r="C9" s="25" t="s">
        <v>75</v>
      </c>
      <c r="D9" s="25" t="s">
        <v>96</v>
      </c>
      <c r="E9" s="66"/>
      <c r="F9" s="66"/>
      <c r="G9" s="67"/>
      <c r="H9" s="24">
        <v>33</v>
      </c>
      <c r="I9" s="24">
        <v>1</v>
      </c>
      <c r="J9" s="24">
        <v>22.4</v>
      </c>
      <c r="M9" s="24" t="str" cm="1">
        <f ca="1" t="array" ref="M9">_xlfn.TEXTJOIN(";",1,_xlfn.LAMBDA(_xlpm.x,IF(_xlpm.x&lt;&gt;"",OFFSET(_xlpm.x,3-ROW(),0)&amp;"="&amp;_xlpm.x,""))(N9:S9))</f>
        <v/>
      </c>
      <c r="N9" s="68"/>
      <c r="O9" s="68"/>
      <c r="P9" s="68"/>
      <c r="Q9" s="68"/>
      <c r="R9" s="68"/>
      <c r="S9" s="68"/>
      <c r="AA9" s="69" t="str">
        <f t="shared" si="0"/>
        <v>monster_201106_dungeon_bat_rider</v>
      </c>
      <c r="AB9" s="50" t="s">
        <v>97</v>
      </c>
      <c r="AC9" s="69" t="str">
        <f t="shared" si="1"/>
        <v>BT_dungeon_bat_rider</v>
      </c>
      <c r="AD9" s="67">
        <f t="shared" si="4"/>
        <v>201106</v>
      </c>
      <c r="AE9" s="24">
        <v>0.2</v>
      </c>
      <c r="AF9" s="67" t="str">
        <f>_xlfn.XLOOKUP(A9,'-loot_list辅助配置表'!A:A,'-loot_list辅助配置表'!V:V)</f>
        <v/>
      </c>
      <c r="AG9" s="69" t="str">
        <f t="shared" si="3"/>
        <v>vfx_monster_die_1;vfx_monster_die_2;vfx_monster_die_3;vfx_monster_die_4;null</v>
      </c>
      <c r="AH9" s="51" t="s">
        <v>79</v>
      </c>
      <c r="AI9" s="51" t="s">
        <v>80</v>
      </c>
      <c r="AJ9" s="51" t="s">
        <v>81</v>
      </c>
      <c r="AK9" s="51" t="s">
        <v>82</v>
      </c>
      <c r="AL9" s="51" t="s">
        <v>92</v>
      </c>
      <c r="AN9" s="67" t="s">
        <v>98</v>
      </c>
      <c r="AO9" s="67" t="str" cm="1">
        <f t="array" ref="AO9">_xlfn.TEXTJOIN(";",1,IF(AP9:AQ9&lt;&gt;"",AP9:AQ9&amp;"="&amp;AR9:AS9,""))</f>
        <v>Mount=201101;Rider=201104</v>
      </c>
      <c r="AP9" s="51" t="s">
        <v>94</v>
      </c>
      <c r="AQ9" s="51" t="s">
        <v>95</v>
      </c>
      <c r="AR9" s="51">
        <v>201101</v>
      </c>
      <c r="AS9" s="51">
        <v>201104</v>
      </c>
    </row>
    <row r="10" spans="1:46">
      <c r="A10" s="24">
        <v>201107</v>
      </c>
      <c r="B10" s="24" t="str">
        <f t="shared" si="2"/>
        <v>enemy_201107</v>
      </c>
      <c r="C10" s="25" t="s">
        <v>75</v>
      </c>
      <c r="D10" s="25" t="s">
        <v>99</v>
      </c>
      <c r="E10" s="66"/>
      <c r="F10" s="66"/>
      <c r="G10" s="67"/>
      <c r="H10" s="24">
        <v>44</v>
      </c>
      <c r="I10" s="24">
        <v>0</v>
      </c>
      <c r="J10" s="24">
        <v>20</v>
      </c>
      <c r="K10" s="24" t="b">
        <v>1</v>
      </c>
      <c r="M10" s="24" t="str" cm="1">
        <f ca="1" t="array" ref="M10">_xlfn.TEXTJOIN(";",1,_xlfn.LAMBDA(_xlpm.x,IF(_xlpm.x&lt;&gt;"",OFFSET(_xlpm.x,3-ROW(),0)&amp;"="&amp;_xlpm.x,""))(N10:S10))</f>
        <v/>
      </c>
      <c r="N10" s="68"/>
      <c r="O10" s="68"/>
      <c r="P10" s="68"/>
      <c r="Q10" s="68"/>
      <c r="R10" s="68"/>
      <c r="S10" s="68"/>
      <c r="AA10" s="69" t="str">
        <f t="shared" si="0"/>
        <v>monster_201107_dungeon_caveman_wanderer</v>
      </c>
      <c r="AB10" s="50" t="s">
        <v>100</v>
      </c>
      <c r="AC10" s="69" t="str">
        <f t="shared" si="1"/>
        <v>BT_dungeon_caveman_wanderer</v>
      </c>
      <c r="AD10" s="67">
        <f t="shared" si="4"/>
        <v>201107</v>
      </c>
      <c r="AE10" s="24">
        <v>0.17</v>
      </c>
      <c r="AF10" s="67" t="str">
        <f>_xlfn.XLOOKUP(A10,'-loot_list辅助配置表'!A:A,'-loot_list辅助配置表'!V:V)</f>
        <v>10000=0.0048;600109=0.0001</v>
      </c>
      <c r="AG10" s="69" t="str">
        <f t="shared" ref="AG10" si="5">_xlfn.TEXTJOIN(";",1,AH10:AL10)</f>
        <v>vfx_monster_die_1;vfx_monster_die_2;vfx_monster_die_3;vfx_monster_die_4</v>
      </c>
      <c r="AH10" s="51" t="s">
        <v>79</v>
      </c>
      <c r="AI10" s="51" t="s">
        <v>80</v>
      </c>
      <c r="AJ10" s="51" t="s">
        <v>81</v>
      </c>
      <c r="AK10" s="51" t="s">
        <v>82</v>
      </c>
      <c r="AN10" s="68">
        <v>0</v>
      </c>
      <c r="AO10" s="67" t="str" cm="1">
        <f t="array" ref="AO10">_xlfn.TEXTJOIN(";",1,IF(AP10:AQ10&lt;&gt;"",AP10:AQ10&amp;"="&amp;AR10:AS10,""))</f>
        <v/>
      </c>
    </row>
    <row r="11" spans="1:46">
      <c r="A11" s="24">
        <v>201108</v>
      </c>
      <c r="B11" s="24" t="str">
        <f t="shared" si="2"/>
        <v>enemy_201108</v>
      </c>
      <c r="C11" s="25" t="s">
        <v>75</v>
      </c>
      <c r="D11" s="25" t="s">
        <v>101</v>
      </c>
      <c r="E11" s="66"/>
      <c r="F11" s="66"/>
      <c r="G11" s="67"/>
      <c r="H11" s="24">
        <v>52</v>
      </c>
      <c r="I11" s="24">
        <v>0</v>
      </c>
      <c r="J11" s="24">
        <v>20</v>
      </c>
      <c r="K11" s="24" t="b">
        <v>1</v>
      </c>
      <c r="M11" s="24" t="str" cm="1">
        <f ca="1" t="array" ref="M11">_xlfn.TEXTJOIN(";",1,_xlfn.LAMBDA(_xlpm.x,IF(_xlpm.x&lt;&gt;"",OFFSET(_xlpm.x,3-ROW(),0)&amp;"="&amp;_xlpm.x,""))(N11:S11))</f>
        <v/>
      </c>
      <c r="N11" s="68"/>
      <c r="O11" s="68"/>
      <c r="P11" s="68"/>
      <c r="Q11" s="68"/>
      <c r="R11" s="68"/>
      <c r="S11" s="68"/>
      <c r="AA11" s="69" t="str">
        <f t="shared" si="0"/>
        <v>monster_201108_dungeon_caveman_arsonist</v>
      </c>
      <c r="AB11" s="50" t="s">
        <v>102</v>
      </c>
      <c r="AC11" s="70" t="s">
        <v>103</v>
      </c>
      <c r="AD11" s="67">
        <f t="shared" si="4"/>
        <v>201108</v>
      </c>
      <c r="AE11" s="24">
        <v>0.17</v>
      </c>
      <c r="AF11" s="67" t="str">
        <f>_xlfn.XLOOKUP(A11,'-loot_list辅助配置表'!A:A,'-loot_list辅助配置表'!V:V)</f>
        <v>10000=0.0048;600109=0.0001</v>
      </c>
      <c r="AG11" s="69" t="str">
        <f t="shared" ref="AG11" si="6">_xlfn.TEXTJOIN(";",1,AH11:AL11)</f>
        <v>vfx_monster_die_1;vfx_monster_die_2;vfx_monster_die_3;vfx_monster_die_4</v>
      </c>
      <c r="AH11" s="51" t="s">
        <v>79</v>
      </c>
      <c r="AI11" s="51" t="s">
        <v>80</v>
      </c>
      <c r="AJ11" s="51" t="s">
        <v>81</v>
      </c>
      <c r="AK11" s="51" t="s">
        <v>82</v>
      </c>
      <c r="AN11" s="68">
        <v>0</v>
      </c>
      <c r="AO11" s="67" t="str" cm="1">
        <f t="array" ref="AO11">_xlfn.TEXTJOIN(";",1,IF(AP11:AQ11&lt;&gt;"",AP11:AQ11&amp;"="&amp;AR11:AS11,""))</f>
        <v/>
      </c>
    </row>
    <row r="12" spans="1:46">
      <c r="A12" s="24">
        <v>201109</v>
      </c>
      <c r="B12" s="24" t="str">
        <f t="shared" si="2"/>
        <v>enemy_201109</v>
      </c>
      <c r="C12" s="25" t="s">
        <v>75</v>
      </c>
      <c r="D12" s="25" t="s">
        <v>104</v>
      </c>
      <c r="E12" s="66"/>
      <c r="F12" s="66"/>
      <c r="G12" s="67"/>
      <c r="H12" s="24">
        <v>59</v>
      </c>
      <c r="I12" s="24">
        <v>0</v>
      </c>
      <c r="J12" s="24">
        <v>20</v>
      </c>
      <c r="K12" s="24" t="b">
        <v>1</v>
      </c>
      <c r="M12" s="24" t="str" cm="1">
        <f ca="1" t="array" ref="M12">_xlfn.TEXTJOIN(";",1,_xlfn.LAMBDA(_xlpm.x,IF(_xlpm.x&lt;&gt;"",OFFSET(_xlpm.x,3-ROW(),0)&amp;"="&amp;_xlpm.x,""))(N12:S12))</f>
        <v/>
      </c>
      <c r="N12" s="68"/>
      <c r="O12" s="68"/>
      <c r="P12" s="68"/>
      <c r="Q12" s="68"/>
      <c r="R12" s="68"/>
      <c r="S12" s="68"/>
      <c r="AA12" s="69" t="str">
        <f t="shared" si="0"/>
        <v>monster_201109_dungeon_caveman_mob</v>
      </c>
      <c r="AB12" s="50" t="s">
        <v>105</v>
      </c>
      <c r="AC12" s="70" t="s">
        <v>103</v>
      </c>
      <c r="AD12" s="67">
        <f t="shared" si="4"/>
        <v>201109</v>
      </c>
      <c r="AE12" s="24">
        <v>0.17</v>
      </c>
      <c r="AF12" s="67" t="str">
        <f>_xlfn.XLOOKUP(A12,'-loot_list辅助配置表'!A:A,'-loot_list辅助配置表'!V:V)</f>
        <v>10000=0.0048;600109=0.0001</v>
      </c>
      <c r="AG12" s="69" t="str">
        <f t="shared" ref="AG12" si="7">_xlfn.TEXTJOIN(";",1,AH12:AL12)</f>
        <v>vfx_monster_die_1;vfx_monster_die_2;vfx_monster_die_3;vfx_monster_die_4</v>
      </c>
      <c r="AH12" s="51" t="s">
        <v>79</v>
      </c>
      <c r="AI12" s="51" t="s">
        <v>80</v>
      </c>
      <c r="AJ12" s="51" t="s">
        <v>81</v>
      </c>
      <c r="AK12" s="51" t="s">
        <v>82</v>
      </c>
      <c r="AN12" s="68">
        <v>0</v>
      </c>
      <c r="AO12" s="67" t="str" cm="1">
        <f t="array" ref="AO12">_xlfn.TEXTJOIN(";",1,IF(AP12:AQ12&lt;&gt;"",AP12:AQ12&amp;"="&amp;AR12:AS12,""))</f>
        <v/>
      </c>
    </row>
    <row r="13" s="45" customFormat="1" spans="1:46">
      <c r="A13" s="71"/>
      <c r="B13" s="71"/>
      <c r="C13" s="72"/>
      <c r="D13" s="72"/>
      <c r="E13" s="71"/>
      <c r="F13" s="71"/>
      <c r="G13" s="71"/>
      <c r="H13" s="71"/>
      <c r="I13" s="71"/>
      <c r="J13" s="71"/>
      <c r="K13" s="71"/>
      <c r="L13" s="71"/>
      <c r="M13" s="71"/>
      <c r="N13" s="56"/>
      <c r="O13" s="56"/>
      <c r="P13" s="56"/>
      <c r="Q13" s="56"/>
      <c r="R13" s="56"/>
      <c r="S13" s="56"/>
      <c r="T13" s="71"/>
      <c r="U13" s="71"/>
      <c r="V13" s="71"/>
      <c r="W13" s="57"/>
      <c r="X13" s="73"/>
      <c r="Y13" s="71"/>
      <c r="Z13" s="71"/>
      <c r="AB13" s="74"/>
      <c r="AD13" s="71"/>
      <c r="AE13" s="71"/>
      <c r="AF13" s="75"/>
      <c r="AH13" s="76"/>
      <c r="AI13" s="76"/>
      <c r="AJ13" s="76"/>
      <c r="AK13" s="76"/>
      <c r="AL13" s="76"/>
      <c r="AM13" s="76"/>
      <c r="AN13" s="71"/>
      <c r="AO13" s="71"/>
      <c r="AP13" s="76"/>
      <c r="AQ13" s="76"/>
      <c r="AR13" s="76"/>
      <c r="AS13" s="76"/>
    </row>
    <row r="14" spans="1:46">
      <c r="A14" s="24">
        <v>211101</v>
      </c>
      <c r="B14" s="24" t="str">
        <f t="shared" si="2"/>
        <v>enemy_211101</v>
      </c>
      <c r="C14" s="25" t="s">
        <v>75</v>
      </c>
      <c r="D14" s="25" t="s">
        <v>106</v>
      </c>
      <c r="E14" s="67" t="s">
        <v>107</v>
      </c>
      <c r="F14" s="77">
        <v>1</v>
      </c>
      <c r="G14" s="67"/>
      <c r="H14" s="66"/>
      <c r="I14" s="66"/>
      <c r="J14" s="24">
        <v>1200</v>
      </c>
      <c r="K14" s="66"/>
      <c r="L14" s="66"/>
      <c r="M14" s="24" t="str" cm="1">
        <f ca="1" t="array" ref="M14">_xlfn.TEXTJOIN(";",1,_xlfn.LAMBDA(_xlpm.x,IF(_xlpm.x&lt;&gt;"",OFFSET(_xlpm.x,3-ROW(),0)&amp;"="&amp;_xlpm.x,""))(N14:S14))</f>
        <v>sharp=20</v>
      </c>
      <c r="N14" s="47">
        <v>20</v>
      </c>
      <c r="O14" s="68"/>
      <c r="P14" s="68"/>
      <c r="Q14" s="68"/>
      <c r="R14" s="68"/>
      <c r="S14" s="68"/>
      <c r="AA14" s="66"/>
      <c r="AB14" s="66"/>
      <c r="AC14" s="66"/>
      <c r="AD14" s="66"/>
      <c r="AE14" s="66"/>
      <c r="AF14" s="67" t="str">
        <f>_xlfn.XLOOKUP(A14,'-loot_list辅助配置表'!A:A,'-loot_list辅助配置表'!V:V)</f>
        <v>10000=0.1</v>
      </c>
      <c r="AG14" s="69" t="str">
        <f t="shared" si="3"/>
        <v>vfx_monster_die_1;vfx_monster_die_2;vfx_monster_die_3;vfx_monster_die_4</v>
      </c>
      <c r="AH14" s="51" t="s">
        <v>79</v>
      </c>
      <c r="AI14" s="51" t="s">
        <v>80</v>
      </c>
      <c r="AJ14" s="51" t="s">
        <v>81</v>
      </c>
      <c r="AK14" s="51" t="s">
        <v>82</v>
      </c>
    </row>
    <row r="15" spans="1:46">
      <c r="A15" s="24">
        <v>211102</v>
      </c>
      <c r="B15" s="24" t="str">
        <f t="shared" si="2"/>
        <v>enemy_211102</v>
      </c>
      <c r="C15" s="25" t="s">
        <v>75</v>
      </c>
      <c r="D15" s="25" t="s">
        <v>108</v>
      </c>
      <c r="E15" s="67" t="s">
        <v>107</v>
      </c>
      <c r="F15" s="77">
        <v>2</v>
      </c>
      <c r="G15" s="67"/>
      <c r="H15" s="66"/>
      <c r="I15" s="66"/>
      <c r="J15" s="24">
        <v>1200</v>
      </c>
      <c r="K15" s="66"/>
      <c r="L15" s="66"/>
      <c r="M15" s="24" t="str" cm="1">
        <f ca="1" t="array" ref="M15">_xlfn.TEXTJOIN(";",1,_xlfn.LAMBDA(_xlpm.x,IF(_xlpm.x&lt;&gt;"",OFFSET(_xlpm.x,3-ROW(),0)&amp;"="&amp;_xlpm.x,""))(N15:S15))</f>
        <v>sharp=20</v>
      </c>
      <c r="N15" s="47">
        <v>20</v>
      </c>
      <c r="O15" s="68"/>
      <c r="P15" s="68"/>
      <c r="Q15" s="68"/>
      <c r="R15" s="68"/>
      <c r="S15" s="68"/>
      <c r="AA15" s="66"/>
      <c r="AB15" s="66"/>
      <c r="AC15" s="66"/>
      <c r="AD15" s="66"/>
      <c r="AE15" s="66"/>
      <c r="AF15" s="67" t="str">
        <f>_xlfn.XLOOKUP(A15,'-loot_list辅助配置表'!A:A,'-loot_list辅助配置表'!V:V)</f>
        <v>10000=0.1</v>
      </c>
      <c r="AG15" s="69" t="str">
        <f t="shared" ref="AG15" si="8">_xlfn.TEXTJOIN(";",1,AH15:AL15)</f>
        <v>vfx_monster_die_1;vfx_monster_die_2;vfx_monster_die_3;vfx_monster_die_4</v>
      </c>
      <c r="AH15" s="51" t="s">
        <v>79</v>
      </c>
      <c r="AI15" s="51" t="s">
        <v>80</v>
      </c>
      <c r="AJ15" s="51" t="s">
        <v>81</v>
      </c>
      <c r="AK15" s="51" t="s">
        <v>82</v>
      </c>
    </row>
    <row r="16" spans="1:46">
      <c r="A16" s="24">
        <v>211111</v>
      </c>
      <c r="B16" s="24" t="str">
        <f t="shared" si="2"/>
        <v>enemy_211111</v>
      </c>
      <c r="C16" s="25" t="s">
        <v>75</v>
      </c>
      <c r="D16" s="25" t="s">
        <v>109</v>
      </c>
      <c r="E16" s="67" t="s">
        <v>107</v>
      </c>
      <c r="F16" s="67">
        <f>A16</f>
        <v>211111</v>
      </c>
      <c r="G16" s="67"/>
      <c r="H16" s="66"/>
      <c r="I16" s="66"/>
      <c r="J16" s="24">
        <v>5000</v>
      </c>
      <c r="K16" s="66"/>
      <c r="L16" s="66"/>
      <c r="M16" s="24" t="str" cm="1">
        <f ca="1" t="array" ref="M16">_xlfn.TEXTJOIN(";",1,_xlfn.LAMBDA(_xlpm.x,IF(_xlpm.x&lt;&gt;"",OFFSET(_xlpm.x,3-ROW(),0)&amp;"="&amp;_xlpm.x,""))(N16:S16))</f>
        <v>sharp=20</v>
      </c>
      <c r="N16" s="47">
        <v>20</v>
      </c>
      <c r="O16" s="68"/>
      <c r="P16" s="68"/>
      <c r="Q16" s="68"/>
      <c r="R16" s="68"/>
      <c r="S16" s="68"/>
      <c r="AA16" s="66"/>
      <c r="AB16" s="66"/>
      <c r="AC16" s="66"/>
      <c r="AD16" s="66"/>
      <c r="AE16" s="66"/>
      <c r="AF16" s="67" t="str">
        <f>_xlfn.XLOOKUP(A16,'-loot_list辅助配置表'!A:A,'-loot_list辅助配置表'!V:V)</f>
        <v>10000=0.1</v>
      </c>
      <c r="AG16" s="69" t="str">
        <f t="shared" si="3"/>
        <v>vfx_monster_die_1;vfx_monster_die_2;vfx_monster_die_3;vfx_monster_die_4</v>
      </c>
      <c r="AH16" s="51" t="s">
        <v>79</v>
      </c>
      <c r="AI16" s="51" t="s">
        <v>80</v>
      </c>
      <c r="AJ16" s="51" t="s">
        <v>81</v>
      </c>
      <c r="AK16" s="51" t="s">
        <v>82</v>
      </c>
    </row>
    <row r="17" spans="1:46">
      <c r="A17" s="24">
        <v>211112</v>
      </c>
      <c r="B17" s="24" t="str">
        <f t="shared" si="2"/>
        <v>enemy_211112</v>
      </c>
      <c r="C17" s="25" t="s">
        <v>75</v>
      </c>
      <c r="D17" s="25" t="s">
        <v>110</v>
      </c>
      <c r="E17" s="67" t="s">
        <v>107</v>
      </c>
      <c r="F17" s="67">
        <f>A17</f>
        <v>211112</v>
      </c>
      <c r="G17" s="67"/>
      <c r="H17" s="66"/>
      <c r="I17" s="66"/>
      <c r="J17" s="24">
        <v>5000</v>
      </c>
      <c r="K17" s="66"/>
      <c r="L17" s="66"/>
      <c r="M17" s="24" t="str" cm="1">
        <f ca="1" t="array" ref="M17">_xlfn.TEXTJOIN(";",1,_xlfn.LAMBDA(_xlpm.x,IF(_xlpm.x&lt;&gt;"",OFFSET(_xlpm.x,3-ROW(),0)&amp;"="&amp;_xlpm.x,""))(N17:S17))</f>
        <v>sharp=20</v>
      </c>
      <c r="N17" s="47">
        <v>20</v>
      </c>
      <c r="O17" s="68"/>
      <c r="P17" s="68"/>
      <c r="Q17" s="68"/>
      <c r="R17" s="68"/>
      <c r="S17" s="68"/>
      <c r="AA17" s="66"/>
      <c r="AB17" s="66"/>
      <c r="AC17" s="66"/>
      <c r="AD17" s="66"/>
      <c r="AE17" s="66"/>
      <c r="AF17" s="67" t="str">
        <f>_xlfn.XLOOKUP(A17,'-loot_list辅助配置表'!A:A,'-loot_list辅助配置表'!V:V)</f>
        <v>10000=0.1</v>
      </c>
      <c r="AG17" s="69" t="str">
        <f t="shared" ref="AG17" si="9">_xlfn.TEXTJOIN(";",1,AH17:AL17)</f>
        <v>vfx_monster_die_1;vfx_monster_die_2;vfx_monster_die_3;vfx_monster_die_4</v>
      </c>
      <c r="AH17" s="51" t="s">
        <v>79</v>
      </c>
      <c r="AI17" s="51" t="s">
        <v>80</v>
      </c>
      <c r="AJ17" s="51" t="s">
        <v>81</v>
      </c>
      <c r="AK17" s="51" t="s">
        <v>82</v>
      </c>
    </row>
    <row r="18" s="45" customFormat="1" spans="1:46">
      <c r="A18" s="71"/>
      <c r="B18" s="71"/>
      <c r="C18" s="72"/>
      <c r="D18" s="72"/>
      <c r="E18" s="75"/>
      <c r="F18" s="75"/>
      <c r="G18" s="75"/>
      <c r="H18" s="71"/>
      <c r="I18" s="71"/>
      <c r="J18" s="71"/>
      <c r="K18" s="71"/>
      <c r="L18" s="71"/>
      <c r="M18" s="71"/>
      <c r="N18" s="56"/>
      <c r="O18" s="56"/>
      <c r="P18" s="56"/>
      <c r="Q18" s="56"/>
      <c r="R18" s="56"/>
      <c r="S18" s="56"/>
      <c r="T18" s="71"/>
      <c r="U18" s="71"/>
      <c r="V18" s="71"/>
      <c r="W18" s="57"/>
      <c r="X18" s="73"/>
      <c r="Y18" s="71"/>
      <c r="Z18" s="71"/>
      <c r="AB18" s="74"/>
      <c r="AD18" s="71"/>
      <c r="AE18" s="71"/>
      <c r="AF18" s="75"/>
      <c r="AG18" s="78"/>
      <c r="AH18" s="76"/>
      <c r="AI18" s="76"/>
      <c r="AJ18" s="76"/>
      <c r="AK18" s="76"/>
      <c r="AL18" s="76"/>
      <c r="AM18" s="76"/>
      <c r="AN18" s="71"/>
      <c r="AO18" s="71"/>
      <c r="AP18" s="76"/>
      <c r="AQ18" s="76"/>
      <c r="AR18" s="76"/>
      <c r="AS18" s="76"/>
    </row>
    <row r="19" spans="1:46">
      <c r="A19" s="24">
        <v>201401</v>
      </c>
      <c r="B19" s="24" t="str">
        <f t="shared" ref="B19:B50" si="10">_xlfn.TEXTJOIN("_",1,"enemy",$A19)</f>
        <v>enemy_201401</v>
      </c>
      <c r="C19" s="25" t="s">
        <v>111</v>
      </c>
      <c r="D19" s="25" t="s">
        <v>112</v>
      </c>
      <c r="E19" s="66"/>
      <c r="F19" s="66"/>
      <c r="G19" s="79" t="s">
        <v>77</v>
      </c>
      <c r="H19" s="24">
        <v>19</v>
      </c>
      <c r="I19" s="24">
        <v>0</v>
      </c>
      <c r="J19" s="24">
        <v>4</v>
      </c>
      <c r="M19" s="24" t="str" cm="1">
        <f ca="1" t="array" ref="M19">_xlfn.TEXTJOIN(";",1,_xlfn.LAMBDA(_xlpm.x,IF(_xlpm.x&lt;&gt;"",OFFSET(_xlpm.x,3-ROW(),0)&amp;"="&amp;_xlpm.x,""))(N19:S19))</f>
        <v>sharp=5</v>
      </c>
      <c r="N19" s="47">
        <v>5</v>
      </c>
      <c r="O19" s="68"/>
      <c r="P19" s="68"/>
      <c r="Q19" s="68"/>
      <c r="R19" s="68"/>
      <c r="S19" s="68"/>
      <c r="V19" s="24">
        <v>10</v>
      </c>
      <c r="W19" s="48">
        <v>25</v>
      </c>
      <c r="X19" s="49">
        <f t="shared" ref="X19:X37" si="11">$W19*$J19</f>
        <v>100</v>
      </c>
      <c r="Y19" s="80"/>
      <c r="Z19" s="80"/>
      <c r="AA19" s="69" t="str">
        <f t="shared" ref="AA19:AA37" si="12">_xlfn.TEXTJOIN("_",1,"monster",$A19,$AB19)</f>
        <v>monster_201401_Treetop_Lamp</v>
      </c>
      <c r="AB19" s="50" t="s">
        <v>113</v>
      </c>
      <c r="AC19" s="69" t="str">
        <f t="shared" ref="AC19:AC49" si="13">_xlfn.TEXTJOIN("_",1,"BT",$AB19)</f>
        <v>BT_Treetop_Lamp</v>
      </c>
      <c r="AD19" s="67"/>
      <c r="AE19" s="24">
        <v>0.15</v>
      </c>
      <c r="AF19" s="67" t="str">
        <f>_xlfn.XLOOKUP(A19,'-loot_list辅助配置表'!A:A,'-loot_list辅助配置表'!V:V)</f>
        <v>10000=0.0048;600404=0.0001</v>
      </c>
      <c r="AG19" s="69" t="str">
        <f t="shared" ref="AG19" si="14">_xlfn.TEXTJOIN(";",1,AH19:AL19)</f>
        <v>vfx_monster_die_1;vfx_monster_die_2;vfx_monster_die_3;vfx_monster_die_4</v>
      </c>
      <c r="AH19" s="51" t="s">
        <v>79</v>
      </c>
      <c r="AI19" s="51" t="s">
        <v>80</v>
      </c>
      <c r="AJ19" s="51" t="s">
        <v>81</v>
      </c>
      <c r="AK19" s="51" t="s">
        <v>82</v>
      </c>
      <c r="AN19" s="68">
        <v>0</v>
      </c>
      <c r="AO19" s="67" t="str" cm="1">
        <f t="array" ref="AO19">_xlfn.TEXTJOIN(";",1,IF(AP19:AQ19&lt;&gt;"",AP19:AQ19&amp;"="&amp;AR19:AS19,""))</f>
        <v/>
      </c>
      <c r="AT19" s="81" t="str" cm="1">
        <f ca="1" t="array" ref="AT19">_xlfn.LET(_xlpm._tb,"tb_diy_0"&amp;MID(A19,4,1),_xlfn.TEXTJOIN(";",1,_xlfn.MAP(INDIRECT(_xlpm._tb&amp;"[id]"),INDIRECT(_xlpm._tb&amp;"[parm_key]"),INDIRECT(_xlpm._tb&amp;"[parm_value]"),_xlfn.LAMBDA(_xlpm._id,_xlpm._k,_xlpm._v,IF(_xlpm._id=A19,_xlpm._k&amp;"="&amp;_xlpm._v,"")))))</f>
        <v/>
      </c>
    </row>
    <row r="20" spans="1:46">
      <c r="A20" s="24">
        <v>201402</v>
      </c>
      <c r="B20" s="24" t="str">
        <f t="shared" si="10"/>
        <v>enemy_201402</v>
      </c>
      <c r="C20" s="25" t="s">
        <v>111</v>
      </c>
      <c r="D20" s="25" t="s">
        <v>114</v>
      </c>
      <c r="E20" s="66"/>
      <c r="F20" s="66"/>
      <c r="G20" s="79" t="s">
        <v>77</v>
      </c>
      <c r="H20" s="24">
        <v>33</v>
      </c>
      <c r="I20" s="24">
        <v>0</v>
      </c>
      <c r="J20" s="24">
        <v>4</v>
      </c>
      <c r="M20" s="24" t="str" cm="1">
        <f ca="1" t="array" ref="M20">_xlfn.TEXTJOIN(";",1,_xlfn.LAMBDA(_xlpm.x,IF(_xlpm.x&lt;&gt;"",OFFSET(_xlpm.x,3-ROW(),0)&amp;"="&amp;_xlpm.x,""))(N20:S20))</f>
        <v/>
      </c>
      <c r="N20" s="68"/>
      <c r="O20" s="68"/>
      <c r="P20" s="68"/>
      <c r="Q20" s="68"/>
      <c r="R20" s="68"/>
      <c r="S20" s="68"/>
      <c r="V20" s="24">
        <v>10</v>
      </c>
      <c r="W20" s="48">
        <v>25</v>
      </c>
      <c r="X20" s="49">
        <f t="shared" si="11"/>
        <v>100</v>
      </c>
      <c r="Y20" s="80"/>
      <c r="Z20" s="80"/>
      <c r="AA20" s="69" t="str">
        <f t="shared" si="12"/>
        <v>monster_201402_Treetop_Berry_Bush</v>
      </c>
      <c r="AB20" s="50" t="s">
        <v>115</v>
      </c>
      <c r="AC20" s="69" t="str">
        <f t="shared" si="13"/>
        <v>BT_Treetop_Berry_Bush</v>
      </c>
      <c r="AD20" s="67"/>
      <c r="AE20" s="24">
        <v>0.15</v>
      </c>
      <c r="AF20" s="67" t="str">
        <f>_xlfn.XLOOKUP(A20,'-loot_list辅助配置表'!A:A,'-loot_list辅助配置表'!V:V)</f>
        <v>10000=0.0048;600404=0.0001</v>
      </c>
      <c r="AG20" s="69" t="str">
        <f t="shared" ref="AG20:AG37" si="15">_xlfn.TEXTJOIN(";",1,AH20:AL20)</f>
        <v>vfx_monster_die_1;vfx_monster_die_2;vfx_monster_die_3;vfx_monster_die_4</v>
      </c>
      <c r="AH20" s="51" t="s">
        <v>79</v>
      </c>
      <c r="AI20" s="51" t="s">
        <v>80</v>
      </c>
      <c r="AJ20" s="51" t="s">
        <v>81</v>
      </c>
      <c r="AK20" s="51" t="s">
        <v>82</v>
      </c>
      <c r="AN20" s="68">
        <v>0</v>
      </c>
      <c r="AO20" s="67" t="str" cm="1">
        <f t="array" ref="AO20">_xlfn.TEXTJOIN(";",1,IF(AP20:AQ20&lt;&gt;"",AP20:AQ20&amp;"="&amp;AR20:AS20,""))</f>
        <v/>
      </c>
      <c r="AT20" s="81" t="str" cm="1">
        <f ca="1" t="array" ref="AT20">_xlfn.LET(_xlpm._tb,"tb_diy_0"&amp;MID(A20,4,1),_xlfn.TEXTJOIN(";",1,_xlfn.MAP(INDIRECT(_xlpm._tb&amp;"[id]"),INDIRECT(_xlpm._tb&amp;"[parm_key]"),INDIRECT(_xlpm._tb&amp;"[parm_value]"),_xlfn.LAMBDA(_xlpm._id,_xlpm._k,_xlpm._v,IF(_xlpm._id=A20,_xlpm._k&amp;"="&amp;_xlpm._v,"")))))</f>
        <v>SUB_CELL_COUNT=4;SUB_CELL_POS_X_AREA=-0.5,0.5;SUB_CELL_POS_Y_AREA=-1.5,0</v>
      </c>
    </row>
    <row r="21" spans="1:46">
      <c r="A21" s="24">
        <v>201403</v>
      </c>
      <c r="B21" s="24" t="str">
        <f t="shared" si="10"/>
        <v>enemy_201403</v>
      </c>
      <c r="C21" s="25" t="s">
        <v>111</v>
      </c>
      <c r="D21" s="25" t="s">
        <v>116</v>
      </c>
      <c r="E21" s="66"/>
      <c r="F21" s="66"/>
      <c r="G21" s="79" t="s">
        <v>77</v>
      </c>
      <c r="H21" s="24">
        <v>18</v>
      </c>
      <c r="I21" s="24">
        <v>0</v>
      </c>
      <c r="J21" s="24">
        <v>4.5</v>
      </c>
      <c r="K21" s="24" t="b">
        <v>1</v>
      </c>
      <c r="M21" s="24" t="str" cm="1">
        <f ca="1" t="array" ref="M21">_xlfn.TEXTJOIN(";",1,_xlfn.LAMBDA(_xlpm.x,IF(_xlpm.x&lt;&gt;"",OFFSET(_xlpm.x,3-ROW(),0)&amp;"="&amp;_xlpm.x,""))(N21:S21))</f>
        <v>sharp=7</v>
      </c>
      <c r="N21" s="47">
        <v>7</v>
      </c>
      <c r="O21" s="68"/>
      <c r="P21" s="68"/>
      <c r="Q21" s="68"/>
      <c r="R21" s="68"/>
      <c r="S21" s="68"/>
      <c r="V21" s="24">
        <v>10</v>
      </c>
      <c r="W21" s="48">
        <v>25</v>
      </c>
      <c r="X21" s="49">
        <f t="shared" si="11"/>
        <v>112.5</v>
      </c>
      <c r="Y21" s="80"/>
      <c r="Z21" s="80"/>
      <c r="AA21" s="69" t="str">
        <f t="shared" si="12"/>
        <v>monster_201403_Treetop_Berry</v>
      </c>
      <c r="AB21" s="50" t="s">
        <v>117</v>
      </c>
      <c r="AC21" s="69" t="str">
        <f t="shared" si="13"/>
        <v>BT_Treetop_Berry</v>
      </c>
      <c r="AD21" s="67"/>
      <c r="AE21" s="24">
        <v>0.15</v>
      </c>
      <c r="AF21" s="67" t="str">
        <f>_xlfn.XLOOKUP(A21,'-loot_list辅助配置表'!A:A,'-loot_list辅助配置表'!V:V)</f>
        <v/>
      </c>
      <c r="AG21" s="69" t="str">
        <f t="shared" si="15"/>
        <v>vfx_monster_die_1;vfx_monster_die_2;vfx_monster_die_3;vfx_monster_die_4;vfx_monster_die_explode1</v>
      </c>
      <c r="AH21" s="51" t="s">
        <v>79</v>
      </c>
      <c r="AI21" s="51" t="s">
        <v>80</v>
      </c>
      <c r="AJ21" s="51" t="s">
        <v>81</v>
      </c>
      <c r="AK21" s="51" t="s">
        <v>82</v>
      </c>
      <c r="AL21" s="51" t="s">
        <v>118</v>
      </c>
      <c r="AN21" s="68">
        <v>0</v>
      </c>
      <c r="AO21" s="67" t="str" cm="1">
        <f t="array" ref="AO21">_xlfn.TEXTJOIN(";",1,IF(AP21:AQ21&lt;&gt;"",AP21:AQ21&amp;"="&amp;AR21:AS21,""))</f>
        <v/>
      </c>
      <c r="AT21" s="81" t="str" cm="1">
        <f ca="1" t="array" ref="AT21">_xlfn.LET(_xlpm._tb,"tb_diy_0"&amp;MID(A21,4,1),_xlfn.TEXTJOIN(";",1,_xlfn.MAP(INDIRECT(_xlpm._tb&amp;"[id]"),INDIRECT(_xlpm._tb&amp;"[parm_key]"),INDIRECT(_xlpm._tb&amp;"[parm_value]"),_xlfn.LAMBDA(_xlpm._id,_xlpm._k,_xlpm._v,IF(_xlpm._id=A21,_xlpm._k&amp;"="&amp;_xlpm._v,"")))))</f>
        <v/>
      </c>
    </row>
    <row r="22" spans="1:46">
      <c r="A22" s="24">
        <v>201404</v>
      </c>
      <c r="B22" s="24" t="str">
        <f t="shared" si="10"/>
        <v>enemy_201404</v>
      </c>
      <c r="C22" s="25" t="s">
        <v>111</v>
      </c>
      <c r="D22" s="25" t="s">
        <v>119</v>
      </c>
      <c r="E22" s="66"/>
      <c r="F22" s="66"/>
      <c r="G22" s="79" t="s">
        <v>77</v>
      </c>
      <c r="H22" s="24">
        <v>19</v>
      </c>
      <c r="I22" s="24">
        <v>0</v>
      </c>
      <c r="J22" s="24">
        <v>4</v>
      </c>
      <c r="M22" s="24" t="str" cm="1">
        <f ca="1" t="array" ref="M22">_xlfn.TEXTJOIN(";",1,_xlfn.LAMBDA(_xlpm.x,IF(_xlpm.x&lt;&gt;"",OFFSET(_xlpm.x,3-ROW(),0)&amp;"="&amp;_xlpm.x,""))(N22:S22))</f>
        <v>sharp=5</v>
      </c>
      <c r="N22" s="47">
        <v>5</v>
      </c>
      <c r="O22" s="68"/>
      <c r="P22" s="68"/>
      <c r="Q22" s="68"/>
      <c r="R22" s="68"/>
      <c r="S22" s="68"/>
      <c r="V22" s="24">
        <v>10</v>
      </c>
      <c r="W22" s="48">
        <v>25</v>
      </c>
      <c r="X22" s="49">
        <f t="shared" si="11"/>
        <v>100</v>
      </c>
      <c r="Y22" s="80"/>
      <c r="Z22" s="80"/>
      <c r="AA22" s="69" t="str">
        <f t="shared" si="12"/>
        <v>monster_201404_Treetop_Fairy</v>
      </c>
      <c r="AB22" s="50" t="s">
        <v>120</v>
      </c>
      <c r="AC22" s="69" t="str">
        <f t="shared" si="13"/>
        <v>BT_Treetop_Fairy</v>
      </c>
      <c r="AD22" s="67"/>
      <c r="AE22" s="24">
        <v>0.15</v>
      </c>
      <c r="AF22" s="67" t="str">
        <f>_xlfn.XLOOKUP(A22,'-loot_list辅助配置表'!A:A,'-loot_list辅助配置表'!V:V)</f>
        <v>10000=0.0048;600404=0.0001</v>
      </c>
      <c r="AG22" s="69" t="str">
        <f t="shared" si="15"/>
        <v>vfx_monster_die_1;vfx_monster_die_2;vfx_monster_die_3;vfx_monster_die_4</v>
      </c>
      <c r="AH22" s="51" t="s">
        <v>79</v>
      </c>
      <c r="AI22" s="51" t="s">
        <v>80</v>
      </c>
      <c r="AJ22" s="51" t="s">
        <v>81</v>
      </c>
      <c r="AK22" s="51" t="s">
        <v>82</v>
      </c>
      <c r="AN22" s="68">
        <v>0</v>
      </c>
      <c r="AO22" s="67" t="str" cm="1">
        <f t="array" ref="AO22">_xlfn.TEXTJOIN(";",1,IF(AP22:AQ22&lt;&gt;"",AP22:AQ22&amp;"="&amp;AR22:AS22,""))</f>
        <v/>
      </c>
      <c r="AT22" s="81" t="str" cm="1">
        <f ca="1" t="array" ref="AT22">_xlfn.LET(_xlpm._tb,"tb_diy_0"&amp;MID(A22,4,1),_xlfn.TEXTJOIN(";",1,_xlfn.MAP(INDIRECT(_xlpm._tb&amp;"[id]"),INDIRECT(_xlpm._tb&amp;"[parm_key]"),INDIRECT(_xlpm._tb&amp;"[parm_value]"),_xlfn.LAMBDA(_xlpm._id,_xlpm._k,_xlpm._v,IF(_xlpm._id=A22,_xlpm._k&amp;"="&amp;_xlpm._v,"")))))</f>
        <v>FLYAROUND_DEG=20,170;FLYAROUND_RADIUS=7,10;FLYAROUND_COUNT_MAX=6;FLYAROUND_COUNT_MIN=4;CREATE_CD_AREA=4,6;CREATE_INTERVAL_SEC=0.2;SUB_CELL_COUNT_SINGLE=3;SUB_CELL_SPEED_AREA=1,2</v>
      </c>
    </row>
    <row r="23" spans="1:46">
      <c r="A23" s="24">
        <v>201405</v>
      </c>
      <c r="B23" s="24" t="str">
        <f t="shared" si="10"/>
        <v>enemy_201405</v>
      </c>
      <c r="C23" s="25" t="s">
        <v>111</v>
      </c>
      <c r="D23" s="25" t="s">
        <v>121</v>
      </c>
      <c r="E23" s="66"/>
      <c r="F23" s="66"/>
      <c r="G23" s="79" t="s">
        <v>77</v>
      </c>
      <c r="H23" s="24">
        <v>10</v>
      </c>
      <c r="I23" s="24">
        <v>0</v>
      </c>
      <c r="J23" s="24">
        <v>9.9</v>
      </c>
      <c r="M23" s="24" t="str" cm="1">
        <f ca="1" t="array" ref="M23">_xlfn.TEXTJOIN(";",1,_xlfn.LAMBDA(_xlpm.x,IF(_xlpm.x&lt;&gt;"",OFFSET(_xlpm.x,3-ROW(),0)&amp;"="&amp;_xlpm.x,""))(N23:S23))</f>
        <v>sharp=5</v>
      </c>
      <c r="N23" s="47">
        <v>5</v>
      </c>
      <c r="O23" s="68"/>
      <c r="P23" s="68"/>
      <c r="Q23" s="68"/>
      <c r="R23" s="68"/>
      <c r="S23" s="68"/>
      <c r="V23" s="24">
        <v>10</v>
      </c>
      <c r="W23" s="48">
        <v>25</v>
      </c>
      <c r="X23" s="49">
        <f t="shared" si="11"/>
        <v>247.5</v>
      </c>
      <c r="Y23" s="80"/>
      <c r="Z23" s="80"/>
      <c r="AA23" s="69" t="str">
        <f t="shared" si="12"/>
        <v>monster_201405_Treetop_Fish</v>
      </c>
      <c r="AB23" s="50" t="s">
        <v>122</v>
      </c>
      <c r="AC23" s="69" t="str">
        <f t="shared" si="13"/>
        <v>BT_Treetop_Fish</v>
      </c>
      <c r="AD23" s="67"/>
      <c r="AE23" s="24">
        <v>0.15</v>
      </c>
      <c r="AF23" s="67" t="str">
        <f>_xlfn.XLOOKUP(A23,'-loot_list辅助配置表'!A:A,'-loot_list辅助配置表'!V:V)</f>
        <v/>
      </c>
      <c r="AG23" s="69" t="str">
        <f t="shared" si="15"/>
        <v>vfx_monster_die_1;vfx_monster_die_2;vfx_monster_die_3;vfx_monster_die_4</v>
      </c>
      <c r="AH23" s="51" t="s">
        <v>79</v>
      </c>
      <c r="AI23" s="51" t="s">
        <v>80</v>
      </c>
      <c r="AJ23" s="51" t="s">
        <v>81</v>
      </c>
      <c r="AK23" s="51" t="s">
        <v>82</v>
      </c>
      <c r="AN23" s="68">
        <v>0</v>
      </c>
      <c r="AO23" s="67" t="str" cm="1">
        <f t="array" ref="AO23">_xlfn.TEXTJOIN(";",1,IF(AP23:AQ23&lt;&gt;"",AP23:AQ23&amp;"="&amp;AR23:AS23,""))</f>
        <v/>
      </c>
      <c r="AT23" s="81" t="str" cm="1">
        <f ca="1" t="array" ref="AT23">_xlfn.LET(_xlpm._tb,"tb_diy_0"&amp;MID(A23,4,1),_xlfn.TEXTJOIN(";",1,_xlfn.MAP(INDIRECT(_xlpm._tb&amp;"[id]"),INDIRECT(_xlpm._tb&amp;"[parm_key]"),INDIRECT(_xlpm._tb&amp;"[parm_value]"),_xlfn.LAMBDA(_xlpm._id,_xlpm._k,_xlpm._v,IF(_xlpm._id=A23,_xlpm._k&amp;"="&amp;_xlpm._v,"")))))</f>
        <v>EXPLOSION_RADIUS=1.2;BEHIT_RADIUS=1</v>
      </c>
    </row>
    <row r="24" spans="1:46">
      <c r="A24" s="24">
        <v>201406</v>
      </c>
      <c r="B24" s="24" t="str">
        <f t="shared" si="10"/>
        <v>enemy_201406</v>
      </c>
      <c r="C24" s="25" t="s">
        <v>111</v>
      </c>
      <c r="D24" s="25" t="s">
        <v>123</v>
      </c>
      <c r="E24" s="66"/>
      <c r="F24" s="66"/>
      <c r="G24" s="79" t="s">
        <v>77</v>
      </c>
      <c r="H24" s="24">
        <v>1</v>
      </c>
      <c r="I24" s="24">
        <v>0</v>
      </c>
      <c r="J24" s="24">
        <v>10</v>
      </c>
      <c r="K24" s="24" t="b">
        <v>1</v>
      </c>
      <c r="M24" s="24" t="str" cm="1">
        <f ca="1" t="array" ref="M24">_xlfn.TEXTJOIN(";",1,_xlfn.LAMBDA(_xlpm.x,IF(_xlpm.x&lt;&gt;"",OFFSET(_xlpm.x,3-ROW(),0)&amp;"="&amp;_xlpm.x,""))(N24:S24))</f>
        <v/>
      </c>
      <c r="N24" s="68"/>
      <c r="O24" s="68"/>
      <c r="P24" s="68"/>
      <c r="Q24" s="68"/>
      <c r="R24" s="68"/>
      <c r="S24" s="68"/>
      <c r="V24" s="24">
        <v>10</v>
      </c>
      <c r="W24" s="48">
        <v>25</v>
      </c>
      <c r="X24" s="49">
        <f t="shared" si="11"/>
        <v>250</v>
      </c>
      <c r="Y24" s="80"/>
      <c r="Z24" s="80"/>
      <c r="AA24" s="69" t="str">
        <f t="shared" si="12"/>
        <v>monster_201406_Treetop_Vase</v>
      </c>
      <c r="AB24" s="50" t="s">
        <v>124</v>
      </c>
      <c r="AC24" s="69" t="str">
        <f t="shared" si="13"/>
        <v>BT_Treetop_Vase</v>
      </c>
      <c r="AD24" s="67"/>
      <c r="AE24" s="24">
        <v>0.15</v>
      </c>
      <c r="AF24" s="67" t="str">
        <f>_xlfn.XLOOKUP(A24,'-loot_list辅助配置表'!A:A,'-loot_list辅助配置表'!V:V)</f>
        <v>10000=0.0048;600404=0.0001</v>
      </c>
      <c r="AG24" s="69" t="str">
        <f t="shared" si="15"/>
        <v>vfx_monster_die_1;vfx_monster_die_2;vfx_monster_die_3;vfx_monster_die_4</v>
      </c>
      <c r="AH24" s="51" t="s">
        <v>79</v>
      </c>
      <c r="AI24" s="51" t="s">
        <v>80</v>
      </c>
      <c r="AJ24" s="51" t="s">
        <v>81</v>
      </c>
      <c r="AK24" s="51" t="s">
        <v>82</v>
      </c>
      <c r="AN24" s="68">
        <v>0</v>
      </c>
      <c r="AO24" s="67" t="str" cm="1">
        <f t="array" ref="AO24">_xlfn.TEXTJOIN(";",1,IF(AP24:AQ24&lt;&gt;"",AP24:AQ24&amp;"="&amp;AR24:AS24,""))</f>
        <v/>
      </c>
      <c r="AT24" s="81" t="str" cm="1">
        <f ca="1" t="array" ref="AT24">_xlfn.LET(_xlpm._tb,"tb_diy_0"&amp;MID(A24,4,1),_xlfn.TEXTJOIN(";",1,_xlfn.MAP(INDIRECT(_xlpm._tb&amp;"[id]"),INDIRECT(_xlpm._tb&amp;"[parm_key]"),INDIRECT(_xlpm._tb&amp;"[parm_value]"),_xlfn.LAMBDA(_xlpm._id,_xlpm._k,_xlpm._v,IF(_xlpm._id=A24,_xlpm._k&amp;"="&amp;_xlpm._v,"")))))</f>
        <v>CREATE_COUNT_AREA=0,3</v>
      </c>
    </row>
    <row r="25" spans="1:46">
      <c r="A25" s="24">
        <v>201407</v>
      </c>
      <c r="B25" s="24" t="str">
        <f t="shared" si="10"/>
        <v>enemy_201407</v>
      </c>
      <c r="C25" s="25" t="s">
        <v>111</v>
      </c>
      <c r="D25" s="25" t="s">
        <v>125</v>
      </c>
      <c r="E25" s="66"/>
      <c r="F25" s="66"/>
      <c r="G25" s="79" t="s">
        <v>77</v>
      </c>
      <c r="H25" s="24">
        <v>6</v>
      </c>
      <c r="I25" s="24">
        <v>0</v>
      </c>
      <c r="J25" s="24">
        <v>9.9</v>
      </c>
      <c r="M25" s="24" t="str" cm="1">
        <f ca="1" t="array" ref="M25">_xlfn.TEXTJOIN(";",1,_xlfn.LAMBDA(_xlpm.x,IF(_xlpm.x&lt;&gt;"",OFFSET(_xlpm.x,3-ROW(),0)&amp;"="&amp;_xlpm.x,""))(N25:S25))</f>
        <v>sharp=2</v>
      </c>
      <c r="N25" s="47">
        <v>2</v>
      </c>
      <c r="O25" s="68"/>
      <c r="P25" s="68"/>
      <c r="Q25" s="68"/>
      <c r="R25" s="68"/>
      <c r="S25" s="68"/>
      <c r="U25" s="24">
        <v>50</v>
      </c>
      <c r="V25" s="24">
        <v>2</v>
      </c>
      <c r="W25" s="48">
        <v>2</v>
      </c>
      <c r="X25" s="49">
        <f t="shared" si="11"/>
        <v>19.8</v>
      </c>
      <c r="Y25" s="80"/>
      <c r="Z25" s="80"/>
      <c r="AA25" s="69" t="str">
        <f t="shared" si="12"/>
        <v>monster_201407_Treetop_Ghost</v>
      </c>
      <c r="AB25" s="50" t="s">
        <v>126</v>
      </c>
      <c r="AC25" s="69" t="str">
        <f t="shared" si="13"/>
        <v>BT_Treetop_Ghost</v>
      </c>
      <c r="AD25" s="67"/>
      <c r="AE25" s="24">
        <v>0.15</v>
      </c>
      <c r="AF25" s="67" t="str">
        <f>_xlfn.XLOOKUP(A25,'-loot_list辅助配置表'!A:A,'-loot_list辅助配置表'!V:V)</f>
        <v/>
      </c>
      <c r="AG25" s="69" t="str">
        <f t="shared" si="15"/>
        <v>vfx_monster_die_1;vfx_monster_die_2;vfx_monster_die_3;vfx_monster_die_4</v>
      </c>
      <c r="AH25" s="51" t="s">
        <v>79</v>
      </c>
      <c r="AI25" s="51" t="s">
        <v>80</v>
      </c>
      <c r="AJ25" s="51" t="s">
        <v>81</v>
      </c>
      <c r="AK25" s="51" t="s">
        <v>82</v>
      </c>
      <c r="AN25" s="68">
        <v>0</v>
      </c>
      <c r="AO25" s="67" t="str" cm="1">
        <f t="array" ref="AO25">_xlfn.TEXTJOIN(";",1,IF(AP25:AQ25&lt;&gt;"",AP25:AQ25&amp;"="&amp;AR25:AS25,""))</f>
        <v/>
      </c>
      <c r="AT25" s="81" t="str" cm="1">
        <f ca="1" t="array" ref="AT25">_xlfn.LET(_xlpm._tb,"tb_diy_0"&amp;MID(A25,4,1),_xlfn.TEXTJOIN(";",1,_xlfn.MAP(INDIRECT(_xlpm._tb&amp;"[id]"),INDIRECT(_xlpm._tb&amp;"[parm_key]"),INDIRECT(_xlpm._tb&amp;"[parm_value]"),_xlfn.LAMBDA(_xlpm._id,_xlpm._k,_xlpm._v,IF(_xlpm._id=A25,_xlpm._k&amp;"="&amp;_xlpm._v,"")))))</f>
        <v>FLYAROUND_DEG=20,170;FLYAROUND_RADIUS=1,5;ATTACK_CD_SEC=3.5</v>
      </c>
    </row>
    <row r="26" spans="1:46">
      <c r="A26" s="24">
        <v>201408</v>
      </c>
      <c r="B26" s="24" t="str">
        <f t="shared" si="10"/>
        <v>enemy_201408</v>
      </c>
      <c r="C26" s="25" t="s">
        <v>111</v>
      </c>
      <c r="D26" s="25" t="s">
        <v>127</v>
      </c>
      <c r="E26" s="66"/>
      <c r="F26" s="66"/>
      <c r="G26" s="79" t="s">
        <v>77</v>
      </c>
      <c r="H26" s="24">
        <v>19</v>
      </c>
      <c r="I26" s="24">
        <v>0</v>
      </c>
      <c r="J26" s="24">
        <v>4</v>
      </c>
      <c r="M26" s="24" t="str" cm="1">
        <f ca="1" t="array" ref="M26">_xlfn.TEXTJOIN(";",1,_xlfn.LAMBDA(_xlpm.x,IF(_xlpm.x&lt;&gt;"",OFFSET(_xlpm.x,3-ROW(),0)&amp;"="&amp;_xlpm.x,""))(N26:S26))</f>
        <v>sharp=5</v>
      </c>
      <c r="N26" s="47">
        <v>5</v>
      </c>
      <c r="O26" s="68"/>
      <c r="P26" s="68"/>
      <c r="Q26" s="68"/>
      <c r="R26" s="68"/>
      <c r="S26" s="68"/>
      <c r="V26" s="24">
        <v>10</v>
      </c>
      <c r="W26" s="48">
        <v>25</v>
      </c>
      <c r="X26" s="49">
        <f t="shared" si="11"/>
        <v>100</v>
      </c>
      <c r="Y26" s="80"/>
      <c r="Z26" s="80"/>
      <c r="AA26" s="69" t="str">
        <f t="shared" si="12"/>
        <v>monster_201408_Treetop_Spike_Bird</v>
      </c>
      <c r="AB26" s="50" t="s">
        <v>128</v>
      </c>
      <c r="AC26" s="69" t="str">
        <f t="shared" si="13"/>
        <v>BT_Treetop_Spike_Bird</v>
      </c>
      <c r="AD26" s="67"/>
      <c r="AE26" s="24">
        <v>0.15</v>
      </c>
      <c r="AF26" s="67" t="str">
        <f>_xlfn.XLOOKUP(A26,'-loot_list辅助配置表'!A:A,'-loot_list辅助配置表'!V:V)</f>
        <v>10000=0.0048;600404=0.0001</v>
      </c>
      <c r="AG26" s="69" t="str">
        <f t="shared" si="15"/>
        <v>vfx_monster_die_1;vfx_monster_die_2;vfx_monster_die_3;vfx_monster_die_4</v>
      </c>
      <c r="AH26" s="51" t="s">
        <v>79</v>
      </c>
      <c r="AI26" s="51" t="s">
        <v>80</v>
      </c>
      <c r="AJ26" s="51" t="s">
        <v>81</v>
      </c>
      <c r="AK26" s="51" t="s">
        <v>82</v>
      </c>
      <c r="AN26" s="68">
        <v>0</v>
      </c>
      <c r="AO26" s="67" t="str" cm="1">
        <f t="array" ref="AO26">_xlfn.TEXTJOIN(";",1,IF(AP26:AQ26&lt;&gt;"",AP26:AQ26&amp;"="&amp;AR26:AS26,""))</f>
        <v/>
      </c>
      <c r="AT26" s="81" t="str" cm="1">
        <f ca="1" t="array" ref="AT26">_xlfn.LET(_xlpm._tb,"tb_diy_0"&amp;MID(A26,4,1),_xlfn.TEXTJOIN(";",1,_xlfn.MAP(INDIRECT(_xlpm._tb&amp;"[id]"),INDIRECT(_xlpm._tb&amp;"[parm_key]"),INDIRECT(_xlpm._tb&amp;"[parm_value]"),_xlfn.LAMBDA(_xlpm._id,_xlpm._k,_xlpm._v,IF(_xlpm._id=A26,_xlpm._k&amp;"="&amp;_xlpm._v,"")))))</f>
        <v/>
      </c>
    </row>
    <row r="27" spans="1:46">
      <c r="A27" s="24">
        <v>201409</v>
      </c>
      <c r="B27" s="24" t="str">
        <f t="shared" si="10"/>
        <v>enemy_201409</v>
      </c>
      <c r="C27" s="25" t="s">
        <v>111</v>
      </c>
      <c r="D27" s="25" t="s">
        <v>129</v>
      </c>
      <c r="E27" s="66"/>
      <c r="F27" s="66"/>
      <c r="G27" s="79" t="s">
        <v>77</v>
      </c>
      <c r="H27" s="24">
        <v>19</v>
      </c>
      <c r="I27" s="24">
        <v>0</v>
      </c>
      <c r="J27" s="24">
        <v>4</v>
      </c>
      <c r="M27" s="24" t="str" cm="1">
        <f ca="1" t="array" ref="M27">_xlfn.TEXTJOIN(";",1,_xlfn.LAMBDA(_xlpm.x,IF(_xlpm.x&lt;&gt;"",OFFSET(_xlpm.x,3-ROW(),0)&amp;"="&amp;_xlpm.x,""))(N27:S27))</f>
        <v>sharp=5</v>
      </c>
      <c r="N27" s="47">
        <v>5</v>
      </c>
      <c r="O27" s="68"/>
      <c r="P27" s="68"/>
      <c r="Q27" s="68"/>
      <c r="R27" s="68"/>
      <c r="S27" s="68"/>
      <c r="V27" s="24">
        <v>10</v>
      </c>
      <c r="W27" s="48">
        <v>25</v>
      </c>
      <c r="X27" s="49">
        <f t="shared" si="11"/>
        <v>100</v>
      </c>
      <c r="Y27" s="80"/>
      <c r="Z27" s="80"/>
      <c r="AA27" s="69" t="str">
        <f t="shared" si="12"/>
        <v>monster_201409_Treetop_Squirrel</v>
      </c>
      <c r="AB27" s="50" t="s">
        <v>130</v>
      </c>
      <c r="AC27" s="69" t="str">
        <f t="shared" si="13"/>
        <v>BT_Treetop_Squirrel</v>
      </c>
      <c r="AD27" s="67"/>
      <c r="AE27" s="24">
        <v>0.15</v>
      </c>
      <c r="AF27" s="67" t="str">
        <f>_xlfn.XLOOKUP(A27,'-loot_list辅助配置表'!A:A,'-loot_list辅助配置表'!V:V)</f>
        <v>10000=0.0048;600404=0.0001</v>
      </c>
      <c r="AG27" s="69" t="str">
        <f t="shared" si="15"/>
        <v>vfx_monster_die_1;vfx_monster_die_2;vfx_monster_die_3;vfx_monster_die_4</v>
      </c>
      <c r="AH27" s="51" t="s">
        <v>79</v>
      </c>
      <c r="AI27" s="51" t="s">
        <v>80</v>
      </c>
      <c r="AJ27" s="51" t="s">
        <v>81</v>
      </c>
      <c r="AK27" s="51" t="s">
        <v>82</v>
      </c>
      <c r="AN27" s="68">
        <v>0</v>
      </c>
      <c r="AO27" s="67" t="str" cm="1">
        <f t="array" ref="AO27">_xlfn.TEXTJOIN(";",1,IF(AP27:AQ27&lt;&gt;"",AP27:AQ27&amp;"="&amp;AR27:AS27,""))</f>
        <v/>
      </c>
      <c r="AT27" s="81" t="str" cm="1">
        <f ca="1" t="array" ref="AT27">_xlfn.LET(_xlpm._tb,"tb_diy_0"&amp;MID(A27,4,1),_xlfn.TEXTJOIN(";",1,_xlfn.MAP(INDIRECT(_xlpm._tb&amp;"[id]"),INDIRECT(_xlpm._tb&amp;"[parm_key]"),INDIRECT(_xlpm._tb&amp;"[parm_value]"),_xlfn.LAMBDA(_xlpm._id,_xlpm._k,_xlpm._v,IF(_xlpm._id=A27,_xlpm._k&amp;"="&amp;_xlpm._v,"")))))</f>
        <v/>
      </c>
    </row>
    <row r="28" spans="1:46">
      <c r="A28" s="24">
        <v>201410</v>
      </c>
      <c r="B28" s="24" t="str">
        <f t="shared" si="10"/>
        <v>enemy_201410</v>
      </c>
      <c r="C28" s="25" t="s">
        <v>111</v>
      </c>
      <c r="D28" s="25" t="s">
        <v>131</v>
      </c>
      <c r="E28" s="66"/>
      <c r="F28" s="66"/>
      <c r="G28" s="79" t="s">
        <v>77</v>
      </c>
      <c r="H28" s="24">
        <v>19</v>
      </c>
      <c r="I28" s="24">
        <v>0</v>
      </c>
      <c r="J28" s="24">
        <v>4</v>
      </c>
      <c r="M28" s="24" t="str" cm="1">
        <f ca="1" t="array" ref="M28">_xlfn.TEXTJOIN(";",1,_xlfn.LAMBDA(_xlpm.x,IF(_xlpm.x&lt;&gt;"",OFFSET(_xlpm.x,3-ROW(),0)&amp;"="&amp;_xlpm.x,""))(N28:S28))</f>
        <v>sharp=5</v>
      </c>
      <c r="N28" s="47">
        <v>5</v>
      </c>
      <c r="O28" s="68"/>
      <c r="P28" s="68"/>
      <c r="Q28" s="68"/>
      <c r="R28" s="68"/>
      <c r="S28" s="68"/>
      <c r="V28" s="24">
        <v>10</v>
      </c>
      <c r="W28" s="48">
        <v>25</v>
      </c>
      <c r="X28" s="49">
        <f t="shared" si="11"/>
        <v>100</v>
      </c>
      <c r="Y28" s="80"/>
      <c r="Z28" s="80"/>
      <c r="AA28" s="69" t="str">
        <f t="shared" si="12"/>
        <v>monster_201410_Treetop_Monkey</v>
      </c>
      <c r="AB28" s="50" t="s">
        <v>132</v>
      </c>
      <c r="AC28" s="69" t="str">
        <f t="shared" si="13"/>
        <v>BT_Treetop_Monkey</v>
      </c>
      <c r="AD28" s="67"/>
      <c r="AE28" s="24">
        <v>0.15</v>
      </c>
      <c r="AF28" s="67" t="str">
        <f>_xlfn.XLOOKUP(A28,'-loot_list辅助配置表'!A:A,'-loot_list辅助配置表'!V:V)</f>
        <v>10000=0.0048;600404=0.0001</v>
      </c>
      <c r="AG28" s="69" t="str">
        <f t="shared" si="15"/>
        <v>vfx_monster_die_1;vfx_monster_die_2;vfx_monster_die_3;vfx_monster_die_4</v>
      </c>
      <c r="AH28" s="51" t="s">
        <v>79</v>
      </c>
      <c r="AI28" s="51" t="s">
        <v>80</v>
      </c>
      <c r="AJ28" s="51" t="s">
        <v>81</v>
      </c>
      <c r="AK28" s="51" t="s">
        <v>82</v>
      </c>
      <c r="AN28" s="68">
        <v>0</v>
      </c>
      <c r="AO28" s="67" t="str" cm="1">
        <f t="array" ref="AO28">_xlfn.TEXTJOIN(";",1,IF(AP28:AQ28&lt;&gt;"",AP28:AQ28&amp;"="&amp;AR28:AS28,""))</f>
        <v/>
      </c>
      <c r="AT28" s="81" t="str" cm="1">
        <f ca="1" t="array" ref="AT28">_xlfn.LET(_xlpm._tb,"tb_diy_0"&amp;MID(A28,4,1),_xlfn.TEXTJOIN(";",1,_xlfn.MAP(INDIRECT(_xlpm._tb&amp;"[id]"),INDIRECT(_xlpm._tb&amp;"[parm_key]"),INDIRECT(_xlpm._tb&amp;"[parm_value]"),_xlfn.LAMBDA(_xlpm._id,_xlpm._k,_xlpm._v,IF(_xlpm._id=A28,_xlpm._k&amp;"="&amp;_xlpm._v,"")))))</f>
        <v/>
      </c>
    </row>
    <row r="29" spans="1:46">
      <c r="A29" s="24">
        <v>201411</v>
      </c>
      <c r="B29" s="24" t="str">
        <f t="shared" si="10"/>
        <v>enemy_201411</v>
      </c>
      <c r="C29" s="25" t="s">
        <v>111</v>
      </c>
      <c r="D29" s="25" t="s">
        <v>133</v>
      </c>
      <c r="E29" s="66"/>
      <c r="F29" s="66"/>
      <c r="G29" s="79" t="s">
        <v>77</v>
      </c>
      <c r="H29" s="24">
        <v>19</v>
      </c>
      <c r="I29" s="24">
        <v>0</v>
      </c>
      <c r="J29" s="24">
        <v>4</v>
      </c>
      <c r="M29" s="24" t="str" cm="1">
        <f ca="1" t="array" ref="M29">_xlfn.TEXTJOIN(";",1,_xlfn.LAMBDA(_xlpm.x,IF(_xlpm.x&lt;&gt;"",OFFSET(_xlpm.x,3-ROW(),0)&amp;"="&amp;_xlpm.x,""))(N29:S29))</f>
        <v>sharp=5</v>
      </c>
      <c r="N29" s="47">
        <v>5</v>
      </c>
      <c r="O29" s="68"/>
      <c r="P29" s="68"/>
      <c r="Q29" s="68"/>
      <c r="R29" s="68"/>
      <c r="S29" s="68"/>
      <c r="V29" s="24">
        <v>10</v>
      </c>
      <c r="W29" s="48">
        <v>25</v>
      </c>
      <c r="X29" s="49">
        <f t="shared" si="11"/>
        <v>100</v>
      </c>
      <c r="Y29" s="80"/>
      <c r="Z29" s="80"/>
      <c r="AA29" s="69" t="str">
        <f t="shared" si="12"/>
        <v>monster_201411_Treetop_Bee</v>
      </c>
      <c r="AB29" s="50" t="s">
        <v>134</v>
      </c>
      <c r="AC29" s="69" t="str">
        <f t="shared" si="13"/>
        <v>BT_Treetop_Bee</v>
      </c>
      <c r="AD29" s="67"/>
      <c r="AE29" s="24">
        <v>0.15</v>
      </c>
      <c r="AF29" s="67" t="str">
        <f>_xlfn.XLOOKUP(A29,'-loot_list辅助配置表'!A:A,'-loot_list辅助配置表'!V:V)</f>
        <v>10000=0.0048;600404=0.0001</v>
      </c>
      <c r="AG29" s="69" t="str">
        <f t="shared" si="15"/>
        <v>vfx_monster_die_1;vfx_monster_die_2;vfx_monster_die_3;vfx_monster_die_4</v>
      </c>
      <c r="AH29" s="51" t="s">
        <v>79</v>
      </c>
      <c r="AI29" s="51" t="s">
        <v>80</v>
      </c>
      <c r="AJ29" s="51" t="s">
        <v>81</v>
      </c>
      <c r="AK29" s="51" t="s">
        <v>82</v>
      </c>
      <c r="AN29" s="68">
        <v>0</v>
      </c>
      <c r="AO29" s="67" t="str" cm="1">
        <f t="array" ref="AO29">_xlfn.TEXTJOIN(";",1,IF(AP29:AQ29&lt;&gt;"",AP29:AQ29&amp;"="&amp;AR29:AS29,""))</f>
        <v/>
      </c>
      <c r="AT29" s="81" t="str" cm="1">
        <f ca="1" t="array" ref="AT29">_xlfn.LET(_xlpm._tb,"tb_diy_0"&amp;MID(A29,4,1),_xlfn.TEXTJOIN(";",1,_xlfn.MAP(INDIRECT(_xlpm._tb&amp;"[id]"),INDIRECT(_xlpm._tb&amp;"[parm_key]"),INDIRECT(_xlpm._tb&amp;"[parm_value]"),_xlfn.LAMBDA(_xlpm._id,_xlpm._k,_xlpm._v,IF(_xlpm._id=A29,_xlpm._k&amp;"="&amp;_xlpm._v,"")))))</f>
        <v/>
      </c>
    </row>
    <row r="30" spans="1:46">
      <c r="A30" s="24">
        <v>201412</v>
      </c>
      <c r="B30" s="24" t="str">
        <f t="shared" si="10"/>
        <v>enemy_201412</v>
      </c>
      <c r="C30" s="25" t="s">
        <v>111</v>
      </c>
      <c r="D30" s="25" t="s">
        <v>135</v>
      </c>
      <c r="E30" s="66"/>
      <c r="F30" s="66"/>
      <c r="G30" s="79" t="s">
        <v>77</v>
      </c>
      <c r="H30" s="24">
        <v>19</v>
      </c>
      <c r="I30" s="24">
        <v>0</v>
      </c>
      <c r="J30" s="24">
        <v>4</v>
      </c>
      <c r="M30" s="24" t="str" cm="1">
        <f ca="1" t="array" ref="M30">_xlfn.TEXTJOIN(";",1,_xlfn.LAMBDA(_xlpm.x,IF(_xlpm.x&lt;&gt;"",OFFSET(_xlpm.x,3-ROW(),0)&amp;"="&amp;_xlpm.x,""))(N30:S30))</f>
        <v>sharp=5</v>
      </c>
      <c r="N30" s="47">
        <v>5</v>
      </c>
      <c r="O30" s="68"/>
      <c r="P30" s="68"/>
      <c r="Q30" s="68"/>
      <c r="R30" s="68"/>
      <c r="S30" s="68"/>
      <c r="V30" s="24">
        <v>10</v>
      </c>
      <c r="W30" s="48">
        <v>25</v>
      </c>
      <c r="X30" s="49">
        <f t="shared" si="11"/>
        <v>100</v>
      </c>
      <c r="Y30" s="80"/>
      <c r="Z30" s="80"/>
      <c r="AA30" s="69" t="str">
        <f t="shared" si="12"/>
        <v>monster_201412_Treetop_Young_Bee</v>
      </c>
      <c r="AB30" s="50" t="s">
        <v>136</v>
      </c>
      <c r="AC30" s="69" t="str">
        <f t="shared" si="13"/>
        <v>BT_Treetop_Young_Bee</v>
      </c>
      <c r="AD30" s="67"/>
      <c r="AE30" s="24">
        <v>0.15</v>
      </c>
      <c r="AF30" s="67" t="str">
        <f>_xlfn.XLOOKUP(A30,'-loot_list辅助配置表'!A:A,'-loot_list辅助配置表'!V:V)</f>
        <v/>
      </c>
      <c r="AG30" s="69" t="str">
        <f t="shared" si="15"/>
        <v>vfx_monster_die_1;vfx_monster_die_2;vfx_monster_die_3;vfx_monster_die_4</v>
      </c>
      <c r="AH30" s="51" t="s">
        <v>79</v>
      </c>
      <c r="AI30" s="51" t="s">
        <v>80</v>
      </c>
      <c r="AJ30" s="51" t="s">
        <v>81</v>
      </c>
      <c r="AK30" s="51" t="s">
        <v>82</v>
      </c>
      <c r="AN30" s="68">
        <v>0</v>
      </c>
      <c r="AO30" s="67" t="str" cm="1">
        <f t="array" ref="AO30">_xlfn.TEXTJOIN(";",1,IF(AP30:AQ30&lt;&gt;"",AP30:AQ30&amp;"="&amp;AR30:AS30,""))</f>
        <v/>
      </c>
      <c r="AT30" s="81" t="str" cm="1">
        <f ca="1" t="array" ref="AT30">_xlfn.LET(_xlpm._tb,"tb_diy_0"&amp;MID(A30,4,1),_xlfn.TEXTJOIN(";",1,_xlfn.MAP(INDIRECT(_xlpm._tb&amp;"[id]"),INDIRECT(_xlpm._tb&amp;"[parm_key]"),INDIRECT(_xlpm._tb&amp;"[parm_value]"),_xlfn.LAMBDA(_xlpm._id,_xlpm._k,_xlpm._v,IF(_xlpm._id=A30,_xlpm._k&amp;"="&amp;_xlpm._v,"")))))</f>
        <v/>
      </c>
    </row>
    <row r="31" spans="1:46">
      <c r="A31" s="24">
        <v>201413</v>
      </c>
      <c r="B31" s="24" t="str">
        <f t="shared" si="10"/>
        <v>enemy_201413</v>
      </c>
      <c r="C31" s="25" t="s">
        <v>111</v>
      </c>
      <c r="D31" s="25" t="s">
        <v>137</v>
      </c>
      <c r="E31" s="66"/>
      <c r="F31" s="66"/>
      <c r="G31" s="79" t="s">
        <v>77</v>
      </c>
      <c r="H31" s="24">
        <v>19</v>
      </c>
      <c r="I31" s="24">
        <v>0</v>
      </c>
      <c r="J31" s="24">
        <v>4</v>
      </c>
      <c r="M31" s="24" t="str" cm="1">
        <f ca="1" t="array" ref="M31">_xlfn.TEXTJOIN(";",1,_xlfn.LAMBDA(_xlpm.x,IF(_xlpm.x&lt;&gt;"",OFFSET(_xlpm.x,3-ROW(),0)&amp;"="&amp;_xlpm.x,""))(N31:S31))</f>
        <v>sharp=5</v>
      </c>
      <c r="N31" s="47">
        <v>5</v>
      </c>
      <c r="O31" s="68"/>
      <c r="P31" s="68"/>
      <c r="Q31" s="68"/>
      <c r="R31" s="68"/>
      <c r="S31" s="68"/>
      <c r="V31" s="24">
        <v>10</v>
      </c>
      <c r="W31" s="48">
        <v>25</v>
      </c>
      <c r="X31" s="49">
        <f t="shared" si="11"/>
        <v>100</v>
      </c>
      <c r="Y31" s="80"/>
      <c r="Z31" s="80"/>
      <c r="AA31" s="69" t="str">
        <f t="shared" si="12"/>
        <v>monster_201413_Treetop_Blue_Sparrow</v>
      </c>
      <c r="AB31" s="50" t="s">
        <v>138</v>
      </c>
      <c r="AC31" s="69" t="str">
        <f t="shared" si="13"/>
        <v>BT_Treetop_Blue_Sparrow</v>
      </c>
      <c r="AD31" s="67"/>
      <c r="AE31" s="24">
        <v>0.15</v>
      </c>
      <c r="AF31" s="67" t="str">
        <f>_xlfn.XLOOKUP(A31,'-loot_list辅助配置表'!A:A,'-loot_list辅助配置表'!V:V)</f>
        <v>10000=0.0048;600404=0.0001</v>
      </c>
      <c r="AG31" s="69" t="str">
        <f t="shared" si="15"/>
        <v>vfx_monster_die_1;vfx_monster_die_2;vfx_monster_die_3;vfx_monster_die_4</v>
      </c>
      <c r="AH31" s="51" t="s">
        <v>79</v>
      </c>
      <c r="AI31" s="51" t="s">
        <v>80</v>
      </c>
      <c r="AJ31" s="51" t="s">
        <v>81</v>
      </c>
      <c r="AK31" s="51" t="s">
        <v>82</v>
      </c>
      <c r="AN31" s="68">
        <v>0</v>
      </c>
      <c r="AO31" s="67" t="str" cm="1">
        <f t="array" ref="AO31">_xlfn.TEXTJOIN(";",1,IF(AP31:AQ31&lt;&gt;"",AP31:AQ31&amp;"="&amp;AR31:AS31,""))</f>
        <v/>
      </c>
      <c r="AT31" s="81" t="str" cm="1">
        <f ca="1" t="array" ref="AT31">_xlfn.LET(_xlpm._tb,"tb_diy_0"&amp;MID(A31,4,1),_xlfn.TEXTJOIN(";",1,_xlfn.MAP(INDIRECT(_xlpm._tb&amp;"[id]"),INDIRECT(_xlpm._tb&amp;"[parm_key]"),INDIRECT(_xlpm._tb&amp;"[parm_value]"),_xlfn.LAMBDA(_xlpm._id,_xlpm._k,_xlpm._v,IF(_xlpm._id=A31,_xlpm._k&amp;"="&amp;_xlpm._v,"")))))</f>
        <v/>
      </c>
    </row>
    <row r="32" spans="1:46">
      <c r="A32" s="24">
        <v>201414</v>
      </c>
      <c r="B32" s="24" t="str">
        <f t="shared" si="10"/>
        <v>enemy_201414</v>
      </c>
      <c r="C32" s="25" t="s">
        <v>111</v>
      </c>
      <c r="D32" s="25" t="s">
        <v>139</v>
      </c>
      <c r="E32" s="66"/>
      <c r="F32" s="66"/>
      <c r="G32" s="79" t="s">
        <v>77</v>
      </c>
      <c r="H32" s="24">
        <v>19</v>
      </c>
      <c r="I32" s="24">
        <v>0</v>
      </c>
      <c r="J32" s="24">
        <v>4</v>
      </c>
      <c r="M32" s="24" t="str" cm="1">
        <f ca="1" t="array" ref="M32">_xlfn.TEXTJOIN(";",1,_xlfn.LAMBDA(_xlpm.x,IF(_xlpm.x&lt;&gt;"",OFFSET(_xlpm.x,3-ROW(),0)&amp;"="&amp;_xlpm.x,""))(N32:S32))</f>
        <v>sharp=5</v>
      </c>
      <c r="N32" s="47">
        <v>5</v>
      </c>
      <c r="O32" s="68"/>
      <c r="P32" s="68"/>
      <c r="Q32" s="68"/>
      <c r="R32" s="68"/>
      <c r="S32" s="68"/>
      <c r="V32" s="24">
        <v>10</v>
      </c>
      <c r="W32" s="48">
        <v>25</v>
      </c>
      <c r="X32" s="49">
        <f t="shared" si="11"/>
        <v>100</v>
      </c>
      <c r="Y32" s="80"/>
      <c r="Z32" s="80"/>
      <c r="AA32" s="69" t="str">
        <f t="shared" si="12"/>
        <v>monster_201414_Treetop_Red_Sparrow</v>
      </c>
      <c r="AB32" s="50" t="s">
        <v>140</v>
      </c>
      <c r="AC32" s="69" t="str">
        <f t="shared" si="13"/>
        <v>BT_Treetop_Red_Sparrow</v>
      </c>
      <c r="AD32" s="67"/>
      <c r="AE32" s="24">
        <v>0.15</v>
      </c>
      <c r="AF32" s="67" t="str">
        <f>_xlfn.XLOOKUP(A32,'-loot_list辅助配置表'!A:A,'-loot_list辅助配置表'!V:V)</f>
        <v>10000=0.0048;600404=0.0001</v>
      </c>
      <c r="AG32" s="69" t="str">
        <f t="shared" si="15"/>
        <v>vfx_monster_die_1;vfx_monster_die_2;vfx_monster_die_3;vfx_monster_die_4</v>
      </c>
      <c r="AH32" s="51" t="s">
        <v>79</v>
      </c>
      <c r="AI32" s="51" t="s">
        <v>80</v>
      </c>
      <c r="AJ32" s="51" t="s">
        <v>81</v>
      </c>
      <c r="AK32" s="51" t="s">
        <v>82</v>
      </c>
      <c r="AN32" s="68">
        <v>0</v>
      </c>
      <c r="AO32" s="67" t="str" cm="1">
        <f t="array" ref="AO32">_xlfn.TEXTJOIN(";",1,IF(AP32:AQ32&lt;&gt;"",AP32:AQ32&amp;"="&amp;AR32:AS32,""))</f>
        <v/>
      </c>
      <c r="AT32" s="81" t="str" cm="1">
        <f ca="1" t="array" ref="AT32">_xlfn.LET(_xlpm._tb,"tb_diy_0"&amp;MID(A32,4,1),_xlfn.TEXTJOIN(";",1,_xlfn.MAP(INDIRECT(_xlpm._tb&amp;"[id]"),INDIRECT(_xlpm._tb&amp;"[parm_key]"),INDIRECT(_xlpm._tb&amp;"[parm_value]"),_xlfn.LAMBDA(_xlpm._id,_xlpm._k,_xlpm._v,IF(_xlpm._id=A32,_xlpm._k&amp;"="&amp;_xlpm._v,"")))))</f>
        <v/>
      </c>
    </row>
    <row r="33" spans="1:46">
      <c r="A33" s="24">
        <v>201415</v>
      </c>
      <c r="B33" s="24" t="str">
        <f t="shared" si="10"/>
        <v>enemy_201415</v>
      </c>
      <c r="C33" s="25" t="s">
        <v>111</v>
      </c>
      <c r="D33" s="25" t="s">
        <v>141</v>
      </c>
      <c r="E33" s="66"/>
      <c r="F33" s="66"/>
      <c r="G33" s="79" t="s">
        <v>77</v>
      </c>
      <c r="H33" s="24">
        <v>19</v>
      </c>
      <c r="I33" s="24">
        <v>0</v>
      </c>
      <c r="J33" s="24">
        <v>4</v>
      </c>
      <c r="M33" s="24" t="str" cm="1">
        <f ca="1" t="array" ref="M33">_xlfn.TEXTJOIN(";",1,_xlfn.LAMBDA(_xlpm.x,IF(_xlpm.x&lt;&gt;"",OFFSET(_xlpm.x,3-ROW(),0)&amp;"="&amp;_xlpm.x,""))(N33:S33))</f>
        <v>sharp=5</v>
      </c>
      <c r="N33" s="47">
        <v>5</v>
      </c>
      <c r="O33" s="68"/>
      <c r="P33" s="68"/>
      <c r="Q33" s="68"/>
      <c r="R33" s="68"/>
      <c r="S33" s="68"/>
      <c r="V33" s="24">
        <v>10</v>
      </c>
      <c r="W33" s="48">
        <v>25</v>
      </c>
      <c r="X33" s="49">
        <f t="shared" si="11"/>
        <v>100</v>
      </c>
      <c r="Y33" s="80"/>
      <c r="Z33" s="80"/>
      <c r="AA33" s="69" t="str">
        <f t="shared" si="12"/>
        <v>monster_201415_Treetop_Yellow_Sparrow</v>
      </c>
      <c r="AB33" s="50" t="s">
        <v>142</v>
      </c>
      <c r="AC33" s="69" t="str">
        <f t="shared" si="13"/>
        <v>BT_Treetop_Yellow_Sparrow</v>
      </c>
      <c r="AD33" s="67"/>
      <c r="AE33" s="24">
        <v>0.15</v>
      </c>
      <c r="AF33" s="67" t="str">
        <f>_xlfn.XLOOKUP(A33,'-loot_list辅助配置表'!A:A,'-loot_list辅助配置表'!V:V)</f>
        <v>10000=0.0048;600404=0.0001</v>
      </c>
      <c r="AG33" s="69" t="str">
        <f t="shared" si="15"/>
        <v>vfx_monster_die_1;vfx_monster_die_2;vfx_monster_die_3;vfx_monster_die_4</v>
      </c>
      <c r="AH33" s="51" t="s">
        <v>79</v>
      </c>
      <c r="AI33" s="51" t="s">
        <v>80</v>
      </c>
      <c r="AJ33" s="51" t="s">
        <v>81</v>
      </c>
      <c r="AK33" s="51" t="s">
        <v>82</v>
      </c>
      <c r="AN33" s="68">
        <v>0</v>
      </c>
      <c r="AO33" s="67" t="str" cm="1">
        <f t="array" ref="AO33">_xlfn.TEXTJOIN(";",1,IF(AP33:AQ33&lt;&gt;"",AP33:AQ33&amp;"="&amp;AR33:AS33,""))</f>
        <v/>
      </c>
      <c r="AT33" s="81" t="str" cm="1">
        <f ca="1" t="array" ref="AT33">_xlfn.LET(_xlpm._tb,"tb_diy_0"&amp;MID(A33,4,1),_xlfn.TEXTJOIN(";",1,_xlfn.MAP(INDIRECT(_xlpm._tb&amp;"[id]"),INDIRECT(_xlpm._tb&amp;"[parm_key]"),INDIRECT(_xlpm._tb&amp;"[parm_value]"),_xlfn.LAMBDA(_xlpm._id,_xlpm._k,_xlpm._v,IF(_xlpm._id=A33,_xlpm._k&amp;"="&amp;_xlpm._v,"")))))</f>
        <v/>
      </c>
    </row>
    <row r="34" spans="1:46">
      <c r="A34" s="24">
        <v>201416</v>
      </c>
      <c r="B34" s="24" t="str">
        <f t="shared" si="10"/>
        <v>enemy_201416</v>
      </c>
      <c r="C34" s="25" t="s">
        <v>111</v>
      </c>
      <c r="D34" s="25" t="s">
        <v>143</v>
      </c>
      <c r="E34" s="66"/>
      <c r="F34" s="66"/>
      <c r="G34" s="79" t="s">
        <v>77</v>
      </c>
      <c r="H34" s="24">
        <v>19</v>
      </c>
      <c r="I34" s="24">
        <v>0</v>
      </c>
      <c r="J34" s="24">
        <v>4</v>
      </c>
      <c r="M34" s="24" t="str" cm="1">
        <f ca="1" t="array" ref="M34">_xlfn.TEXTJOIN(";",1,_xlfn.LAMBDA(_xlpm.x,IF(_xlpm.x&lt;&gt;"",OFFSET(_xlpm.x,3-ROW(),0)&amp;"="&amp;_xlpm.x,""))(N34:S34))</f>
        <v>sharp=5</v>
      </c>
      <c r="N34" s="47">
        <v>5</v>
      </c>
      <c r="O34" s="68"/>
      <c r="P34" s="68"/>
      <c r="Q34" s="68"/>
      <c r="R34" s="68"/>
      <c r="S34" s="68"/>
      <c r="V34" s="24">
        <v>10</v>
      </c>
      <c r="W34" s="48">
        <v>25</v>
      </c>
      <c r="X34" s="49">
        <f t="shared" si="11"/>
        <v>100</v>
      </c>
      <c r="Y34" s="80"/>
      <c r="Z34" s="80"/>
      <c r="AA34" s="69" t="str">
        <f t="shared" si="12"/>
        <v>monster_201416_Treetop_Branch_SuSu</v>
      </c>
      <c r="AB34" s="50" t="s">
        <v>144</v>
      </c>
      <c r="AC34" s="69" t="str">
        <f t="shared" si="13"/>
        <v>BT_Treetop_Branch_SuSu</v>
      </c>
      <c r="AD34" s="67"/>
      <c r="AE34" s="24">
        <v>0.15</v>
      </c>
      <c r="AF34" s="67" t="str">
        <f>_xlfn.XLOOKUP(A34,'-loot_list辅助配置表'!A:A,'-loot_list辅助配置表'!V:V)</f>
        <v>10000=0.0048;600404=0.0001</v>
      </c>
      <c r="AG34" s="69" t="str">
        <f t="shared" si="15"/>
        <v>vfx_monster_die_1;vfx_monster_die_2;vfx_monster_die_3;vfx_monster_die_4</v>
      </c>
      <c r="AH34" s="51" t="s">
        <v>79</v>
      </c>
      <c r="AI34" s="51" t="s">
        <v>80</v>
      </c>
      <c r="AJ34" s="51" t="s">
        <v>81</v>
      </c>
      <c r="AK34" s="51" t="s">
        <v>82</v>
      </c>
      <c r="AN34" s="68">
        <v>0</v>
      </c>
      <c r="AO34" s="67" t="str" cm="1">
        <f t="array" ref="AO34">_xlfn.TEXTJOIN(";",1,IF(AP34:AQ34&lt;&gt;"",AP34:AQ34&amp;"="&amp;AR34:AS34,""))</f>
        <v/>
      </c>
      <c r="AT34" s="81" t="str" cm="1">
        <f ca="1" t="array" ref="AT34">_xlfn.LET(_xlpm._tb,"tb_diy_0"&amp;MID(A34,4,1),_xlfn.TEXTJOIN(";",1,_xlfn.MAP(INDIRECT(_xlpm._tb&amp;"[id]"),INDIRECT(_xlpm._tb&amp;"[parm_key]"),INDIRECT(_xlpm._tb&amp;"[parm_value]"),_xlfn.LAMBDA(_xlpm._id,_xlpm._k,_xlpm._v,IF(_xlpm._id=A34,_xlpm._k&amp;"="&amp;_xlpm._v,"")))))</f>
        <v/>
      </c>
    </row>
    <row r="35" spans="1:46">
      <c r="A35" s="24">
        <v>201417</v>
      </c>
      <c r="B35" s="24" t="str">
        <f t="shared" si="10"/>
        <v>enemy_201417</v>
      </c>
      <c r="C35" s="25" t="s">
        <v>111</v>
      </c>
      <c r="D35" s="25" t="s">
        <v>145</v>
      </c>
      <c r="E35" s="66"/>
      <c r="F35" s="66"/>
      <c r="G35" s="79" t="s">
        <v>77</v>
      </c>
      <c r="H35" s="24">
        <v>19</v>
      </c>
      <c r="I35" s="24">
        <v>0</v>
      </c>
      <c r="J35" s="24">
        <v>4</v>
      </c>
      <c r="M35" s="24" t="str" cm="1">
        <f ca="1" t="array" ref="M35">_xlfn.TEXTJOIN(";",1,_xlfn.LAMBDA(_xlpm.x,IF(_xlpm.x&lt;&gt;"",OFFSET(_xlpm.x,3-ROW(),0)&amp;"="&amp;_xlpm.x,""))(N35:S35))</f>
        <v>sharp=5</v>
      </c>
      <c r="N35" s="47">
        <v>5</v>
      </c>
      <c r="O35" s="68"/>
      <c r="P35" s="68"/>
      <c r="Q35" s="68"/>
      <c r="R35" s="68"/>
      <c r="S35" s="68"/>
      <c r="V35" s="24">
        <v>10</v>
      </c>
      <c r="W35" s="48">
        <v>25</v>
      </c>
      <c r="X35" s="49">
        <f t="shared" si="11"/>
        <v>100</v>
      </c>
      <c r="Y35" s="80"/>
      <c r="Z35" s="80"/>
      <c r="AA35" s="69" t="str">
        <f t="shared" si="12"/>
        <v>monster_201417_Treetop_Bell_SuSu</v>
      </c>
      <c r="AB35" s="50" t="s">
        <v>146</v>
      </c>
      <c r="AC35" s="69" t="str">
        <f t="shared" si="13"/>
        <v>BT_Treetop_Bell_SuSu</v>
      </c>
      <c r="AD35" s="67"/>
      <c r="AE35" s="24">
        <v>0.15</v>
      </c>
      <c r="AF35" s="67" t="str">
        <f>_xlfn.XLOOKUP(A35,'-loot_list辅助配置表'!A:A,'-loot_list辅助配置表'!V:V)</f>
        <v>10000=0.0048;600404=0.0001</v>
      </c>
      <c r="AG35" s="69" t="str">
        <f t="shared" si="15"/>
        <v>vfx_monster_die_1;vfx_monster_die_2;vfx_monster_die_3;vfx_monster_die_4</v>
      </c>
      <c r="AH35" s="51" t="s">
        <v>79</v>
      </c>
      <c r="AI35" s="51" t="s">
        <v>80</v>
      </c>
      <c r="AJ35" s="51" t="s">
        <v>81</v>
      </c>
      <c r="AK35" s="51" t="s">
        <v>82</v>
      </c>
      <c r="AN35" s="68">
        <v>0</v>
      </c>
      <c r="AO35" s="67" t="str" cm="1">
        <f t="array" ref="AO35">_xlfn.TEXTJOIN(";",1,IF(AP35:AQ35&lt;&gt;"",AP35:AQ35&amp;"="&amp;AR35:AS35,""))</f>
        <v/>
      </c>
      <c r="AT35" s="81" t="str" cm="1">
        <f ca="1" t="array" ref="AT35">_xlfn.LET(_xlpm._tb,"tb_diy_0"&amp;MID(A35,4,1),_xlfn.TEXTJOIN(";",1,_xlfn.MAP(INDIRECT(_xlpm._tb&amp;"[id]"),INDIRECT(_xlpm._tb&amp;"[parm_key]"),INDIRECT(_xlpm._tb&amp;"[parm_value]"),_xlfn.LAMBDA(_xlpm._id,_xlpm._k,_xlpm._v,IF(_xlpm._id=A35,_xlpm._k&amp;"="&amp;_xlpm._v,"")))))</f>
        <v/>
      </c>
    </row>
    <row r="36" spans="1:46">
      <c r="A36" s="24">
        <v>201418</v>
      </c>
      <c r="B36" s="24" t="str">
        <f t="shared" si="10"/>
        <v>enemy_201418</v>
      </c>
      <c r="C36" s="25" t="s">
        <v>111</v>
      </c>
      <c r="D36" s="25" t="s">
        <v>147</v>
      </c>
      <c r="E36" s="66"/>
      <c r="F36" s="66"/>
      <c r="G36" s="79" t="s">
        <v>77</v>
      </c>
      <c r="H36" s="24">
        <v>19</v>
      </c>
      <c r="I36" s="24">
        <v>0</v>
      </c>
      <c r="J36" s="24">
        <v>4</v>
      </c>
      <c r="M36" s="24" t="str" cm="1">
        <f ca="1" t="array" ref="M36">_xlfn.TEXTJOIN(";",1,_xlfn.LAMBDA(_xlpm.x,IF(_xlpm.x&lt;&gt;"",OFFSET(_xlpm.x,3-ROW(),0)&amp;"="&amp;_xlpm.x,""))(N36:S36))</f>
        <v>sharp=5</v>
      </c>
      <c r="N36" s="47">
        <v>5</v>
      </c>
      <c r="O36" s="68"/>
      <c r="P36" s="68"/>
      <c r="Q36" s="68"/>
      <c r="R36" s="68"/>
      <c r="S36" s="68"/>
      <c r="V36" s="24">
        <v>10</v>
      </c>
      <c r="W36" s="48">
        <v>25</v>
      </c>
      <c r="X36" s="49">
        <f t="shared" si="11"/>
        <v>100</v>
      </c>
      <c r="Y36" s="80"/>
      <c r="Z36" s="80"/>
      <c r="AA36" s="69" t="str">
        <f t="shared" si="12"/>
        <v>monster_201418_Treetop_Slow_Magic_Missile</v>
      </c>
      <c r="AB36" s="50" t="s">
        <v>148</v>
      </c>
      <c r="AC36" s="69" t="str">
        <f t="shared" si="13"/>
        <v>BT_Treetop_Slow_Magic_Missile</v>
      </c>
      <c r="AD36" s="67"/>
      <c r="AE36" s="24">
        <v>0.15</v>
      </c>
      <c r="AF36" s="67" t="str">
        <f>_xlfn.XLOOKUP(A36,'-loot_list辅助配置表'!A:A,'-loot_list辅助配置表'!V:V)</f>
        <v/>
      </c>
      <c r="AG36" s="69" t="str">
        <f t="shared" si="15"/>
        <v>vfx_monster_die_1;vfx_monster_die_2;vfx_monster_die_3;vfx_monster_die_4</v>
      </c>
      <c r="AH36" s="51" t="s">
        <v>79</v>
      </c>
      <c r="AI36" s="51" t="s">
        <v>80</v>
      </c>
      <c r="AJ36" s="51" t="s">
        <v>81</v>
      </c>
      <c r="AK36" s="51" t="s">
        <v>82</v>
      </c>
      <c r="AN36" s="68">
        <v>0</v>
      </c>
      <c r="AO36" s="67" t="str" cm="1">
        <f t="array" ref="AO36">_xlfn.TEXTJOIN(";",1,IF(AP36:AQ36&lt;&gt;"",AP36:AQ36&amp;"="&amp;AR36:AS36,""))</f>
        <v/>
      </c>
      <c r="AT36" s="81" t="str" cm="1">
        <f ca="1" t="array" ref="AT36">_xlfn.LET(_xlpm._tb,"tb_diy_0"&amp;MID(A36,4,1),_xlfn.TEXTJOIN(";",1,_xlfn.MAP(INDIRECT(_xlpm._tb&amp;"[id]"),INDIRECT(_xlpm._tb&amp;"[parm_key]"),INDIRECT(_xlpm._tb&amp;"[parm_value]"),_xlfn.LAMBDA(_xlpm._id,_xlpm._k,_xlpm._v,IF(_xlpm._id=A36,_xlpm._k&amp;"="&amp;_xlpm._v,"")))))</f>
        <v/>
      </c>
    </row>
    <row r="37" spans="1:46">
      <c r="A37" s="24">
        <v>201419</v>
      </c>
      <c r="B37" s="24" t="str">
        <f t="shared" si="10"/>
        <v>enemy_201419</v>
      </c>
      <c r="C37" s="25" t="s">
        <v>111</v>
      </c>
      <c r="D37" s="25" t="s">
        <v>149</v>
      </c>
      <c r="E37" s="66"/>
      <c r="F37" s="66"/>
      <c r="G37" s="79" t="s">
        <v>77</v>
      </c>
      <c r="H37" s="24">
        <v>19</v>
      </c>
      <c r="I37" s="24">
        <v>0</v>
      </c>
      <c r="J37" s="24">
        <v>4</v>
      </c>
      <c r="M37" s="24" t="str" cm="1">
        <f ca="1" t="array" ref="M37">_xlfn.TEXTJOIN(";",1,_xlfn.LAMBDA(_xlpm.x,IF(_xlpm.x&lt;&gt;"",OFFSET(_xlpm.x,3-ROW(),0)&amp;"="&amp;_xlpm.x,""))(N37:S37))</f>
        <v>sharp=5</v>
      </c>
      <c r="N37" s="47">
        <v>5</v>
      </c>
      <c r="O37" s="68"/>
      <c r="P37" s="68"/>
      <c r="Q37" s="68"/>
      <c r="R37" s="68"/>
      <c r="S37" s="68"/>
      <c r="V37" s="24">
        <v>10</v>
      </c>
      <c r="W37" s="48">
        <v>25</v>
      </c>
      <c r="X37" s="49">
        <f t="shared" si="11"/>
        <v>100</v>
      </c>
      <c r="Y37" s="80"/>
      <c r="Z37" s="80"/>
      <c r="AA37" s="69" t="str">
        <f t="shared" si="12"/>
        <v>monster_201419_Treetop_Wood_SuSu</v>
      </c>
      <c r="AB37" s="50" t="s">
        <v>150</v>
      </c>
      <c r="AC37" s="69" t="str">
        <f t="shared" si="13"/>
        <v>BT_Treetop_Wood_SuSu</v>
      </c>
      <c r="AD37" s="67"/>
      <c r="AE37" s="24">
        <v>0.15</v>
      </c>
      <c r="AF37" s="67" t="str">
        <f>_xlfn.XLOOKUP(A37,'-loot_list辅助配置表'!A:A,'-loot_list辅助配置表'!V:V)</f>
        <v>10000=0.0048;600404=0.0001</v>
      </c>
      <c r="AG37" s="69" t="str">
        <f t="shared" si="15"/>
        <v>vfx_monster_die_1;vfx_monster_die_2;vfx_monster_die_3;vfx_monster_die_4</v>
      </c>
      <c r="AH37" s="51" t="s">
        <v>79</v>
      </c>
      <c r="AI37" s="51" t="s">
        <v>80</v>
      </c>
      <c r="AJ37" s="51" t="s">
        <v>81</v>
      </c>
      <c r="AK37" s="51" t="s">
        <v>82</v>
      </c>
      <c r="AN37" s="68">
        <v>0</v>
      </c>
      <c r="AO37" s="67" t="str" cm="1">
        <f t="array" ref="AO37">_xlfn.TEXTJOIN(";",1,IF(AP37:AQ37&lt;&gt;"",AP37:AQ37&amp;"="&amp;AR37:AS37,""))</f>
        <v/>
      </c>
      <c r="AT37" s="81" t="str" cm="1">
        <f ca="1" t="array" ref="AT37">_xlfn.LET(_xlpm._tb,"tb_diy_0"&amp;MID(A37,4,1),_xlfn.TEXTJOIN(";",1,_xlfn.MAP(INDIRECT(_xlpm._tb&amp;"[id]"),INDIRECT(_xlpm._tb&amp;"[parm_key]"),INDIRECT(_xlpm._tb&amp;"[parm_value]"),_xlfn.LAMBDA(_xlpm._id,_xlpm._k,_xlpm._v,IF(_xlpm._id=A37,_xlpm._k&amp;"="&amp;_xlpm._v,"")))))</f>
        <v/>
      </c>
    </row>
    <row r="38" s="45" customFormat="1" spans="1:46">
      <c r="A38" s="71"/>
      <c r="B38" s="71"/>
      <c r="C38" s="72"/>
      <c r="D38" s="72"/>
      <c r="E38" s="75"/>
      <c r="F38" s="75"/>
      <c r="G38" s="75"/>
      <c r="H38" s="71"/>
      <c r="I38" s="71"/>
      <c r="J38" s="71"/>
      <c r="K38" s="71"/>
      <c r="L38" s="71"/>
      <c r="M38" s="71"/>
      <c r="N38" s="56"/>
      <c r="O38" s="56"/>
      <c r="P38" s="56"/>
      <c r="Q38" s="56"/>
      <c r="R38" s="56"/>
      <c r="S38" s="56"/>
      <c r="T38" s="71"/>
      <c r="U38" s="71"/>
      <c r="V38" s="71"/>
      <c r="W38" s="57"/>
      <c r="X38" s="73"/>
      <c r="Y38" s="71"/>
      <c r="Z38" s="71"/>
      <c r="AB38" s="74"/>
      <c r="AD38" s="71"/>
      <c r="AE38" s="71"/>
      <c r="AF38" s="75"/>
      <c r="AG38" s="78"/>
      <c r="AH38" s="76"/>
      <c r="AI38" s="76"/>
      <c r="AJ38" s="76"/>
      <c r="AK38" s="76"/>
      <c r="AL38" s="76"/>
      <c r="AM38" s="76"/>
      <c r="AN38" s="71"/>
      <c r="AO38" s="71"/>
      <c r="AP38" s="76"/>
      <c r="AQ38" s="76"/>
      <c r="AR38" s="76"/>
      <c r="AS38" s="76"/>
    </row>
    <row r="39" spans="1:46">
      <c r="A39" s="24">
        <v>201701</v>
      </c>
      <c r="B39" s="24" t="str">
        <f t="shared" si="10"/>
        <v>enemy_201701</v>
      </c>
      <c r="C39" s="25" t="s">
        <v>151</v>
      </c>
      <c r="D39" s="25" t="s">
        <v>152</v>
      </c>
      <c r="E39" s="66"/>
      <c r="F39" s="66"/>
      <c r="G39" s="79" t="s">
        <v>77</v>
      </c>
      <c r="H39" s="24">
        <v>18</v>
      </c>
      <c r="I39" s="24">
        <v>0</v>
      </c>
      <c r="J39" s="24">
        <v>1.8</v>
      </c>
      <c r="M39" s="24" t="str" cm="1">
        <f ca="1" t="array" ref="M39">_xlfn.TEXTJOIN(";",1,_xlfn.LAMBDA(_xlpm.x,IF(_xlpm.x&lt;&gt;"",OFFSET(_xlpm.x,3-ROW(),0)&amp;"="&amp;_xlpm.x,""))(N39:S39))</f>
        <v>sharp=4</v>
      </c>
      <c r="N39" s="47">
        <v>4</v>
      </c>
      <c r="O39" s="68"/>
      <c r="P39" s="68"/>
      <c r="Q39" s="68"/>
      <c r="R39" s="68"/>
      <c r="S39" s="68"/>
      <c r="V39" s="24">
        <v>5</v>
      </c>
      <c r="W39" s="48">
        <v>20</v>
      </c>
      <c r="X39" s="49">
        <f>$W39*$J39</f>
        <v>36</v>
      </c>
      <c r="Y39" s="80"/>
      <c r="Z39" s="80"/>
      <c r="AA39" s="69" t="str">
        <f t="shared" ref="AA39:AA50" si="16">_xlfn.TEXTJOIN("_",1,"monster",$A39,$AB39)</f>
        <v>monster_201701_Desert_Bird</v>
      </c>
      <c r="AB39" s="50" t="s">
        <v>153</v>
      </c>
      <c r="AC39" s="69" t="str">
        <f t="shared" si="13"/>
        <v>BT_Desert_Bird</v>
      </c>
      <c r="AD39" s="67"/>
      <c r="AE39" s="24">
        <v>0.2</v>
      </c>
      <c r="AF39" s="67" t="str">
        <f>_xlfn.XLOOKUP(A39,'-loot_list辅助配置表'!A:A,'-loot_list辅助配置表'!V:V)</f>
        <v>10000=0.09;600701=0.0018</v>
      </c>
      <c r="AG39" s="69" t="str">
        <f t="shared" ref="AG39:AG50" si="17">_xlfn.TEXTJOIN(";",1,AH39:AL39)</f>
        <v>vfx_monster_die_1;vfx_monster_die_2;vfx_monster_die_3;vfx_monster_die_4</v>
      </c>
      <c r="AH39" s="51" t="s">
        <v>79</v>
      </c>
      <c r="AI39" s="51" t="s">
        <v>80</v>
      </c>
      <c r="AJ39" s="51" t="s">
        <v>81</v>
      </c>
      <c r="AK39" s="51" t="s">
        <v>82</v>
      </c>
      <c r="AN39" s="68">
        <v>0</v>
      </c>
      <c r="AO39" s="67" t="str" cm="1">
        <f t="array" ref="AO39">_xlfn.TEXTJOIN(";",1,IF(AP39:AQ39&lt;&gt;"",AP39:AQ39&amp;"="&amp;AR39:AS39,""))</f>
        <v/>
      </c>
      <c r="AT39" s="81" t="str" cm="1">
        <f ca="1" t="array" ref="AT39">_xlfn.LET(_xlpm._tb,"tb_diy_0"&amp;MID(A39,4,1),_xlfn.TEXTJOIN(";",1,_xlfn.MAP(INDIRECT(_xlpm._tb&amp;"[id]"),INDIRECT(_xlpm._tb&amp;"[parm_key]"),INDIRECT(_xlpm._tb&amp;"[parm_value]"),_xlfn.LAMBDA(_xlpm._id,_xlpm._k,_xlpm._v,IF(_xlpm._id=A39,_xlpm._k&amp;"="&amp;_xlpm._v,"")))))</f>
        <v>CHARGE_SPEED=30;MAX_CHARGE_SEC=4;FLYAROUND_DEG=80,160;FLYAROUND_RADIUS=8,16;FLYAROUND_COUNT_MAX=6;FLYAROUND_COUNT_MIN=4</v>
      </c>
    </row>
    <row r="40" spans="1:46">
      <c r="A40" s="24">
        <v>201702</v>
      </c>
      <c r="B40" s="24" t="str">
        <f t="shared" si="10"/>
        <v>enemy_201702</v>
      </c>
      <c r="C40" s="25" t="s">
        <v>151</v>
      </c>
      <c r="D40" s="25" t="s">
        <v>154</v>
      </c>
      <c r="E40" s="66"/>
      <c r="F40" s="66"/>
      <c r="G40" s="79" t="s">
        <v>77</v>
      </c>
      <c r="H40" s="24">
        <v>32</v>
      </c>
      <c r="I40" s="24">
        <v>0</v>
      </c>
      <c r="J40" s="24">
        <v>6.5</v>
      </c>
      <c r="K40" s="24" t="b">
        <v>1</v>
      </c>
      <c r="M40" s="24" t="str" cm="1">
        <f ca="1" t="array" ref="M40">_xlfn.TEXTJOIN(";",1,_xlfn.LAMBDA(_xlpm.x,IF(_xlpm.x&lt;&gt;"",OFFSET(_xlpm.x,3-ROW(),0)&amp;"="&amp;_xlpm.x,""))(N40:S40))</f>
        <v>sharp=5</v>
      </c>
      <c r="N40" s="47">
        <v>5</v>
      </c>
      <c r="O40" s="68"/>
      <c r="P40" s="68"/>
      <c r="Q40" s="68"/>
      <c r="R40" s="68"/>
      <c r="S40" s="68"/>
      <c r="V40" s="66"/>
      <c r="W40" s="82"/>
      <c r="X40" s="83"/>
      <c r="Y40" s="80"/>
      <c r="Z40" s="80"/>
      <c r="AA40" s="69" t="str">
        <f t="shared" si="16"/>
        <v>monster_201702_Desert_Snake</v>
      </c>
      <c r="AB40" s="50" t="s">
        <v>155</v>
      </c>
      <c r="AC40" s="69" t="str">
        <f t="shared" si="13"/>
        <v>BT_Desert_Snake</v>
      </c>
      <c r="AD40" s="67"/>
      <c r="AE40" s="24">
        <v>0.25</v>
      </c>
      <c r="AF40" s="67" t="str">
        <f>_xlfn.XLOOKUP(A40,'-loot_list辅助配置表'!A:A,'-loot_list辅助配置表'!V:V)</f>
        <v>10000=0.16;600701=0.0032</v>
      </c>
      <c r="AG40" s="69" t="str">
        <f t="shared" si="17"/>
        <v>vfx_monster_die_1;vfx_monster_die_2;vfx_monster_die_3;vfx_monster_die_4</v>
      </c>
      <c r="AH40" s="51" t="s">
        <v>79</v>
      </c>
      <c r="AI40" s="51" t="s">
        <v>80</v>
      </c>
      <c r="AJ40" s="51" t="s">
        <v>81</v>
      </c>
      <c r="AK40" s="51" t="s">
        <v>82</v>
      </c>
      <c r="AN40" s="68">
        <v>0</v>
      </c>
      <c r="AO40" s="67" t="str" cm="1">
        <f t="array" ref="AO40">_xlfn.TEXTJOIN(";",1,IF(AP40:AQ40&lt;&gt;"",AP40:AQ40&amp;"="&amp;AR40:AS40,""))</f>
        <v/>
      </c>
      <c r="AT40" s="81" t="str" cm="1">
        <f ca="1" t="array" ref="AT40">_xlfn.LET(_xlpm._tb,"tb_diy_0"&amp;MID(A40,4,1),_xlfn.TEXTJOIN(";",1,_xlfn.MAP(INDIRECT(_xlpm._tb&amp;"[id]"),INDIRECT(_xlpm._tb&amp;"[parm_key]"),INDIRECT(_xlpm._tb&amp;"[parm_value]"),_xlfn.LAMBDA(_xlpm._id,_xlpm._k,_xlpm._v,IF(_xlpm._id=A40,_xlpm._k&amp;"="&amp;_xlpm._v,"")))))</f>
        <v>WALK_SPEED=4;BURROW_SEC=3;BURROW_VALID_DIS=6;BEFORE_ATTACK_SEC=0.2;AFTER_ATTACK_SEC=0.3;BEGIN_ATK_DIS=1;ATK_DIS=1.5;ATK_CD=2</v>
      </c>
    </row>
    <row r="41" spans="1:46">
      <c r="A41" s="24">
        <v>201703</v>
      </c>
      <c r="B41" s="24" t="str">
        <f t="shared" si="10"/>
        <v>enemy_201703</v>
      </c>
      <c r="C41" s="25" t="s">
        <v>151</v>
      </c>
      <c r="D41" s="25" t="s">
        <v>156</v>
      </c>
      <c r="E41" s="66"/>
      <c r="F41" s="66"/>
      <c r="G41" s="79" t="s">
        <v>77</v>
      </c>
      <c r="H41" s="24">
        <v>22</v>
      </c>
      <c r="I41" s="24">
        <v>0</v>
      </c>
      <c r="J41" s="24">
        <v>0.5</v>
      </c>
      <c r="K41" s="24" t="b">
        <v>1</v>
      </c>
      <c r="M41" s="24" t="str" cm="1">
        <f ca="1" t="array" ref="M41">_xlfn.TEXTJOIN(";",1,_xlfn.LAMBDA(_xlpm.x,IF(_xlpm.x&lt;&gt;"",OFFSET(_xlpm.x,3-ROW(),0)&amp;"="&amp;_xlpm.x,""))(N41:S41))</f>
        <v>sharp=5</v>
      </c>
      <c r="N41" s="47">
        <v>5</v>
      </c>
      <c r="O41" s="68"/>
      <c r="P41" s="68"/>
      <c r="Q41" s="68"/>
      <c r="R41" s="68"/>
      <c r="S41" s="68"/>
      <c r="V41" s="66"/>
      <c r="W41" s="82"/>
      <c r="X41" s="83"/>
      <c r="Y41" s="80"/>
      <c r="Z41" s="80"/>
      <c r="AA41" s="69" t="str">
        <f t="shared" si="16"/>
        <v>monster_201703_Desert_Scorpion</v>
      </c>
      <c r="AB41" s="50" t="s">
        <v>157</v>
      </c>
      <c r="AC41" s="69" t="str">
        <f t="shared" si="13"/>
        <v>BT_Desert_Scorpion</v>
      </c>
      <c r="AD41" s="67"/>
      <c r="AE41" s="24">
        <v>0.25</v>
      </c>
      <c r="AF41" s="67" t="str">
        <f>_xlfn.XLOOKUP(A41,'-loot_list辅助配置表'!A:A,'-loot_list辅助配置表'!V:V)</f>
        <v>10000=0.11;600701=0.0022</v>
      </c>
      <c r="AG41" s="69" t="str">
        <f t="shared" si="17"/>
        <v>vfx_monster_die_1;vfx_monster_die_2;vfx_monster_die_3;vfx_monster_die_4</v>
      </c>
      <c r="AH41" s="51" t="s">
        <v>79</v>
      </c>
      <c r="AI41" s="51" t="s">
        <v>80</v>
      </c>
      <c r="AJ41" s="51" t="s">
        <v>81</v>
      </c>
      <c r="AK41" s="51" t="s">
        <v>82</v>
      </c>
      <c r="AN41" s="68">
        <v>0</v>
      </c>
      <c r="AO41" s="67" t="str" cm="1">
        <f t="array" ref="AO41">_xlfn.TEXTJOIN(";",1,IF(AP41:AQ41&lt;&gt;"",AP41:AQ41&amp;"="&amp;AR41:AS41,""))</f>
        <v/>
      </c>
      <c r="AT41" s="81" t="str" cm="1">
        <f ca="1" t="array" ref="AT41">_xlfn.LET(_xlpm._tb,"tb_diy_0"&amp;MID(A41,4,1),_xlfn.TEXTJOIN(";",1,_xlfn.MAP(INDIRECT(_xlpm._tb&amp;"[id]"),INDIRECT(_xlpm._tb&amp;"[parm_key]"),INDIRECT(_xlpm._tb&amp;"[parm_value]"),_xlfn.LAMBDA(_xlpm._id,_xlpm._k,_xlpm._v,IF(_xlpm._id=A41,_xlpm._k&amp;"="&amp;_xlpm._v,"")))))</f>
        <v>WALK_SPEED=6;BEFORE_ATTACK_SEC=0.2;AFTER_ATTACK_SEC=0.3;BEGIN_ATK_DIS=4;ATK_DIS=1.5;ATK_CD=2;STAND_SEC=2</v>
      </c>
    </row>
    <row r="42" spans="1:46">
      <c r="A42" s="24">
        <v>201704</v>
      </c>
      <c r="B42" s="24" t="str">
        <f t="shared" si="10"/>
        <v>enemy_201704</v>
      </c>
      <c r="C42" s="25" t="s">
        <v>151</v>
      </c>
      <c r="D42" s="25" t="s">
        <v>158</v>
      </c>
      <c r="E42" s="66"/>
      <c r="F42" s="66"/>
      <c r="G42" s="79" t="s">
        <v>77</v>
      </c>
      <c r="H42" s="24">
        <v>175</v>
      </c>
      <c r="I42" s="24">
        <v>0</v>
      </c>
      <c r="J42" s="24">
        <v>850</v>
      </c>
      <c r="M42" s="24" t="str" cm="1">
        <f ca="1" t="array" ref="M42">_xlfn.TEXTJOIN(";",1,_xlfn.LAMBDA(_xlpm.x,IF(_xlpm.x&lt;&gt;"",OFFSET(_xlpm.x,3-ROW(),0)&amp;"="&amp;_xlpm.x,""))(N42:S42))</f>
        <v>sharp=13</v>
      </c>
      <c r="N42" s="47">
        <v>13</v>
      </c>
      <c r="O42" s="68"/>
      <c r="P42" s="68"/>
      <c r="Q42" s="68"/>
      <c r="R42" s="68"/>
      <c r="S42" s="68"/>
      <c r="V42" s="66"/>
      <c r="W42" s="82"/>
      <c r="X42" s="83"/>
      <c r="Y42" s="80"/>
      <c r="Z42" s="80"/>
      <c r="AA42" s="69" t="str">
        <f t="shared" si="16"/>
        <v>monster_201704_Desert_Giant_Rock</v>
      </c>
      <c r="AB42" s="50" t="s">
        <v>159</v>
      </c>
      <c r="AC42" s="69" t="str">
        <f t="shared" si="13"/>
        <v>BT_Desert_Giant_Rock</v>
      </c>
      <c r="AD42" s="67"/>
      <c r="AE42" s="24">
        <v>0.7</v>
      </c>
      <c r="AF42" s="67" t="str">
        <f>_xlfn.XLOOKUP(A42,'-loot_list辅助配置表'!A:A,'-loot_list辅助配置表'!V:V)</f>
        <v>10000=0.875;600701=0.0175</v>
      </c>
      <c r="AG42" s="69" t="str">
        <f t="shared" si="17"/>
        <v>vfx_monster_die_1;vfx_monster_die_2;vfx_monster_die_3;vfx_monster_die_4</v>
      </c>
      <c r="AH42" s="51" t="s">
        <v>79</v>
      </c>
      <c r="AI42" s="51" t="s">
        <v>80</v>
      </c>
      <c r="AJ42" s="51" t="s">
        <v>81</v>
      </c>
      <c r="AK42" s="51" t="s">
        <v>82</v>
      </c>
      <c r="AN42" s="68">
        <v>0</v>
      </c>
      <c r="AO42" s="67" t="str" cm="1">
        <f t="array" ref="AO42">_xlfn.TEXTJOIN(";",1,IF(AP42:AQ42&lt;&gt;"",AP42:AQ42&amp;"="&amp;AR42:AS42,""))</f>
        <v/>
      </c>
      <c r="AT42" s="81" t="str" cm="1">
        <f ca="1" t="array" ref="AT42">_xlfn.LET(_xlpm._tb,"tb_diy_0"&amp;MID(A42,4,1),_xlfn.TEXTJOIN(";",1,_xlfn.MAP(INDIRECT(_xlpm._tb&amp;"[id]"),INDIRECT(_xlpm._tb&amp;"[parm_key]"),INDIRECT(_xlpm._tb&amp;"[parm_value]"),_xlfn.LAMBDA(_xlpm._id,_xlpm._k,_xlpm._v,IF(_xlpm._id=A42,_xlpm._k&amp;"="&amp;_xlpm._v,"")))))</f>
        <v>JUMP_CD=1;ATK_DIS=2;LAND_SEC=2;JUMP_VELOCITY_X_MAX=50;JUMP_HEIGHT_AREA=1,2</v>
      </c>
    </row>
    <row r="43" spans="1:46">
      <c r="A43" s="24">
        <v>201705</v>
      </c>
      <c r="B43" s="24" t="str">
        <f t="shared" si="10"/>
        <v>enemy_201705</v>
      </c>
      <c r="C43" s="25" t="s">
        <v>151</v>
      </c>
      <c r="D43" s="25" t="s">
        <v>160</v>
      </c>
      <c r="E43" s="66"/>
      <c r="F43" s="66"/>
      <c r="G43" s="79" t="s">
        <v>77</v>
      </c>
      <c r="H43" s="24">
        <v>55</v>
      </c>
      <c r="I43" s="24">
        <v>0</v>
      </c>
      <c r="J43" s="24">
        <v>95</v>
      </c>
      <c r="M43" s="24" t="str" cm="1">
        <f ca="1" t="array" ref="M43">_xlfn.TEXTJOIN(";",1,_xlfn.LAMBDA(_xlpm.x,IF(_xlpm.x&lt;&gt;"",OFFSET(_xlpm.x,3-ROW(),0)&amp;"="&amp;_xlpm.x,""))(N43:S43))</f>
        <v>sharp=5</v>
      </c>
      <c r="N43" s="47">
        <v>5</v>
      </c>
      <c r="O43" s="68"/>
      <c r="P43" s="68"/>
      <c r="Q43" s="68"/>
      <c r="R43" s="68"/>
      <c r="S43" s="68"/>
      <c r="V43" s="66"/>
      <c r="W43" s="82"/>
      <c r="X43" s="83"/>
      <c r="Y43" s="80"/>
      <c r="Z43" s="80"/>
      <c r="AA43" s="69" t="str">
        <f t="shared" si="16"/>
        <v>monster_201705_Desert_Small_Rock</v>
      </c>
      <c r="AB43" s="50" t="s">
        <v>161</v>
      </c>
      <c r="AC43" s="69" t="s">
        <v>162</v>
      </c>
      <c r="AD43" s="67"/>
      <c r="AE43" s="24">
        <v>0.4</v>
      </c>
      <c r="AF43" s="67" t="str">
        <f>_xlfn.XLOOKUP(A43,'-loot_list辅助配置表'!A:A,'-loot_list辅助配置表'!V:V)</f>
        <v>10000=0.275;600701=0.0055</v>
      </c>
      <c r="AG43" s="69" t="str">
        <f t="shared" si="17"/>
        <v>vfx_monster_die_1;vfx_monster_die_2;vfx_monster_die_3;vfx_monster_die_4</v>
      </c>
      <c r="AH43" s="51" t="s">
        <v>79</v>
      </c>
      <c r="AI43" s="51" t="s">
        <v>80</v>
      </c>
      <c r="AJ43" s="51" t="s">
        <v>81</v>
      </c>
      <c r="AK43" s="51" t="s">
        <v>82</v>
      </c>
      <c r="AN43" s="68">
        <v>0</v>
      </c>
      <c r="AO43" s="67" t="str" cm="1">
        <f t="array" ref="AO43">_xlfn.TEXTJOIN(";",1,IF(AP43:AQ43&lt;&gt;"",AP43:AQ43&amp;"="&amp;AR43:AS43,""))</f>
        <v/>
      </c>
      <c r="AT43" s="81" t="str" cm="1">
        <f ca="1" t="array" ref="AT43">_xlfn.LET(_xlpm._tb,"tb_diy_0"&amp;MID(A43,4,1),_xlfn.TEXTJOIN(";",1,_xlfn.MAP(INDIRECT(_xlpm._tb&amp;"[id]"),INDIRECT(_xlpm._tb&amp;"[parm_key]"),INDIRECT(_xlpm._tb&amp;"[parm_value]"),_xlfn.LAMBDA(_xlpm._id,_xlpm._k,_xlpm._v,IF(_xlpm._id=A43,_xlpm._k&amp;"="&amp;_xlpm._v,"")))))</f>
        <v>WALK_SPEED=4;BEFORE_ATTACK_SEC=0.2;AFTER_ATTACK_SEC=0.3;BEGIN_ATK_DIS=1;ATK_DIS=1.5;ATK_CD=2;STAND_SEC=2</v>
      </c>
    </row>
    <row r="44" spans="1:46">
      <c r="A44" s="24">
        <v>201706</v>
      </c>
      <c r="B44" s="24" t="str">
        <f t="shared" si="10"/>
        <v>enemy_201706</v>
      </c>
      <c r="C44" s="25" t="s">
        <v>151</v>
      </c>
      <c r="D44" s="25" t="s">
        <v>163</v>
      </c>
      <c r="E44" s="66"/>
      <c r="F44" s="66"/>
      <c r="G44" s="79" t="s">
        <v>77</v>
      </c>
      <c r="H44" s="24">
        <v>110</v>
      </c>
      <c r="I44" s="24">
        <v>0</v>
      </c>
      <c r="J44" s="24">
        <v>500</v>
      </c>
      <c r="M44" s="24" t="str" cm="1">
        <f ca="1" t="array" ref="M44">_xlfn.TEXTJOIN(";",1,_xlfn.LAMBDA(_xlpm.x,IF(_xlpm.x&lt;&gt;"",OFFSET(_xlpm.x,3-ROW(),0)&amp;"="&amp;_xlpm.x,""))(N44:S44))</f>
        <v>sharp=3</v>
      </c>
      <c r="N44" s="47">
        <v>3</v>
      </c>
      <c r="O44" s="68"/>
      <c r="P44" s="68"/>
      <c r="Q44" s="68"/>
      <c r="R44" s="68"/>
      <c r="S44" s="68"/>
      <c r="V44" s="24">
        <v>4</v>
      </c>
      <c r="W44" s="48">
        <v>8</v>
      </c>
      <c r="X44" s="49">
        <f>$W44*$J44</f>
        <v>4000</v>
      </c>
      <c r="Y44" s="80"/>
      <c r="Z44" s="80"/>
      <c r="AA44" s="69" t="str">
        <f t="shared" si="16"/>
        <v>monster_201706_Desert_Shield_Guard</v>
      </c>
      <c r="AB44" s="50" t="s">
        <v>164</v>
      </c>
      <c r="AC44" s="69" t="str">
        <f t="shared" si="13"/>
        <v>BT_Desert_Shield_Guard</v>
      </c>
      <c r="AD44" s="67"/>
      <c r="AE44" s="24">
        <v>0.5</v>
      </c>
      <c r="AF44" s="67" t="str">
        <f>_xlfn.XLOOKUP(A44,'-loot_list辅助配置表'!A:A,'-loot_list辅助配置表'!V:V)</f>
        <v>10000=0.55;600701=0.011</v>
      </c>
      <c r="AG44" s="69" t="str">
        <f t="shared" si="17"/>
        <v>vfx_monster_die_1;vfx_monster_die_2;vfx_monster_die_3;vfx_monster_die_4</v>
      </c>
      <c r="AH44" s="51" t="s">
        <v>79</v>
      </c>
      <c r="AI44" s="51" t="s">
        <v>80</v>
      </c>
      <c r="AJ44" s="51" t="s">
        <v>81</v>
      </c>
      <c r="AK44" s="51" t="s">
        <v>82</v>
      </c>
      <c r="AN44" s="68">
        <v>0</v>
      </c>
      <c r="AO44" s="67" t="str" cm="1">
        <f t="array" ref="AO44">_xlfn.TEXTJOIN(";",1,IF(AP44:AQ44&lt;&gt;"",AP44:AQ44&amp;"="&amp;AR44:AS44,""))</f>
        <v/>
      </c>
      <c r="AT44" s="81" t="str" cm="1">
        <f ca="1" t="array" ref="AT44">_xlfn.LET(_xlpm._tb,"tb_diy_0"&amp;MID(A44,4,1),_xlfn.TEXTJOIN(";",1,_xlfn.MAP(INDIRECT(_xlpm._tb&amp;"[id]"),INDIRECT(_xlpm._tb&amp;"[parm_key]"),INDIRECT(_xlpm._tb&amp;"[parm_value]"),_xlfn.LAMBDA(_xlpm._id,_xlpm._k,_xlpm._v,IF(_xlpm._id=A44,_xlpm._k&amp;"="&amp;_xlpm._v,"")))))</f>
        <v>FLYAROUND_DEG_1=60,120;FLYAROUND_RADIUS_1=5,6;FLYAROUND_COUNT_MAX_1=1;FLYAROUND_COUNT_MIN_1=1;FLYAROUND_DEG_2=0,180;FLYAROUND_RADIUS_2=1,2;FLYAROUND_COUNT_MAX_2=1;FLYAROUND_COUNT_MIN_2=1;BEFORE_ATTACK_SEC=0.2;AFTER_ATTACK_SEC=0.3;BEGIN_ATK_DIS=1;ATK_DIS=1.5;ATK_CD=8</v>
      </c>
    </row>
    <row r="45" spans="1:46">
      <c r="A45" s="24">
        <v>201707</v>
      </c>
      <c r="B45" s="24" t="str">
        <f t="shared" si="10"/>
        <v>enemy_201707</v>
      </c>
      <c r="C45" s="25" t="s">
        <v>151</v>
      </c>
      <c r="D45" s="25" t="s">
        <v>165</v>
      </c>
      <c r="E45" s="66"/>
      <c r="F45" s="66"/>
      <c r="G45" s="79" t="s">
        <v>77</v>
      </c>
      <c r="H45" s="24">
        <v>55</v>
      </c>
      <c r="I45" s="24">
        <v>0</v>
      </c>
      <c r="J45" s="24">
        <v>500</v>
      </c>
      <c r="M45" s="24" t="str" cm="1">
        <f ca="1" t="array" ref="M45">_xlfn.TEXTJOIN(";",1,_xlfn.LAMBDA(_xlpm.x,IF(_xlpm.x&lt;&gt;"",OFFSET(_xlpm.x,3-ROW(),0)&amp;"="&amp;_xlpm.x,""))(N45:S45))</f>
        <v>sharp=4</v>
      </c>
      <c r="N45" s="47">
        <v>4</v>
      </c>
      <c r="O45" s="68"/>
      <c r="P45" s="68"/>
      <c r="Q45" s="68"/>
      <c r="R45" s="68"/>
      <c r="S45" s="68"/>
      <c r="V45" s="24">
        <v>5</v>
      </c>
      <c r="W45" s="48">
        <v>10</v>
      </c>
      <c r="X45" s="49">
        <f>$W45*$J45</f>
        <v>5000</v>
      </c>
      <c r="Y45" s="80"/>
      <c r="Z45" s="80"/>
      <c r="AA45" s="69" t="str">
        <f t="shared" si="16"/>
        <v>monster_201707_Desert_Balance_Guard</v>
      </c>
      <c r="AB45" s="50" t="s">
        <v>166</v>
      </c>
      <c r="AC45" s="69" t="s">
        <v>167</v>
      </c>
      <c r="AD45" s="67"/>
      <c r="AE45" s="24">
        <v>0.5</v>
      </c>
      <c r="AF45" s="67" t="str">
        <f>_xlfn.XLOOKUP(A45,'-loot_list辅助配置表'!A:A,'-loot_list辅助配置表'!V:V)</f>
        <v>10000=0.275;600701=0.0055</v>
      </c>
      <c r="AG45" s="69" t="str">
        <f t="shared" si="17"/>
        <v>vfx_monster_die_1;vfx_monster_die_2;vfx_monster_die_3;vfx_monster_die_4</v>
      </c>
      <c r="AH45" s="51" t="s">
        <v>79</v>
      </c>
      <c r="AI45" s="51" t="s">
        <v>80</v>
      </c>
      <c r="AJ45" s="51" t="s">
        <v>81</v>
      </c>
      <c r="AK45" s="51" t="s">
        <v>82</v>
      </c>
      <c r="AN45" s="68">
        <v>0</v>
      </c>
      <c r="AO45" s="67" t="str" cm="1">
        <f t="array" ref="AO45">_xlfn.TEXTJOIN(";",1,IF(AP45:AQ45&lt;&gt;"",AP45:AQ45&amp;"="&amp;AR45:AS45,""))</f>
        <v/>
      </c>
      <c r="AT45" s="81" t="str" cm="1">
        <f ca="1" t="array" ref="AT45">_xlfn.LET(_xlpm._tb,"tb_diy_0"&amp;MID(A45,4,1),_xlfn.TEXTJOIN(";",1,_xlfn.MAP(INDIRECT(_xlpm._tb&amp;"[id]"),INDIRECT(_xlpm._tb&amp;"[parm_key]"),INDIRECT(_xlpm._tb&amp;"[parm_value]"),_xlfn.LAMBDA(_xlpm._id,_xlpm._k,_xlpm._v,IF(_xlpm._id=A45,_xlpm._k&amp;"="&amp;_xlpm._v,"")))))</f>
        <v>FLYAROUND_DEG_1=60,120;FLYAROUND_RADIUS_1=5,8;FLYAROUND_COUNT_MAX_1=1;FLYAROUND_COUNT_MIN_1=1;FLYAROUND_DEG_2=0,180;FLYAROUND_RADIUS_2=1,2;FLYAROUND_COUNT_MAX_2=1;FLYAROUND_COUNT_MIN_2=1;BEFORE_ATTACK_SEC=0.2;AFTER_ATTACK_SEC=0.3;BEGIN_ATK_DIS=1;ATK_DIS=1.5;ATK_CD=5</v>
      </c>
    </row>
    <row r="46" spans="1:46">
      <c r="A46" s="24">
        <v>201708</v>
      </c>
      <c r="B46" s="24" t="str">
        <f t="shared" si="10"/>
        <v>enemy_201708</v>
      </c>
      <c r="C46" s="25" t="s">
        <v>151</v>
      </c>
      <c r="D46" s="25" t="s">
        <v>168</v>
      </c>
      <c r="E46" s="66"/>
      <c r="F46" s="66"/>
      <c r="G46" s="79" t="s">
        <v>77</v>
      </c>
      <c r="H46" s="24">
        <v>44</v>
      </c>
      <c r="I46" s="24">
        <v>0</v>
      </c>
      <c r="J46" s="24">
        <v>500</v>
      </c>
      <c r="M46" s="24" t="str" cm="1">
        <f ca="1" t="array" ref="M46">_xlfn.TEXTJOIN(";",1,_xlfn.LAMBDA(_xlpm.x,IF(_xlpm.x&lt;&gt;"",OFFSET(_xlpm.x,3-ROW(),0)&amp;"="&amp;_xlpm.x,""))(N46:S46))</f>
        <v>sharp=8</v>
      </c>
      <c r="N46" s="47">
        <v>8</v>
      </c>
      <c r="O46" s="68"/>
      <c r="P46" s="68"/>
      <c r="Q46" s="68"/>
      <c r="R46" s="68"/>
      <c r="S46" s="68"/>
      <c r="V46" s="24">
        <v>6</v>
      </c>
      <c r="W46" s="48">
        <v>12</v>
      </c>
      <c r="X46" s="49">
        <f>$W46*$J46</f>
        <v>6000</v>
      </c>
      <c r="Y46" s="80"/>
      <c r="Z46" s="80"/>
      <c r="AA46" s="69" t="str">
        <f t="shared" si="16"/>
        <v>monster_201708_Desert_Akimbo_Guard</v>
      </c>
      <c r="AB46" s="50" t="s">
        <v>169</v>
      </c>
      <c r="AC46" s="69" t="s">
        <v>167</v>
      </c>
      <c r="AD46" s="67"/>
      <c r="AE46" s="24">
        <v>0.5</v>
      </c>
      <c r="AF46" s="67" t="str">
        <f>_xlfn.XLOOKUP(A46,'-loot_list辅助配置表'!A:A,'-loot_list辅助配置表'!V:V)</f>
        <v>10000=0.22;600701=0.0044</v>
      </c>
      <c r="AG46" s="69" t="str">
        <f t="shared" si="17"/>
        <v>vfx_monster_die_1;vfx_monster_die_2;vfx_monster_die_3;vfx_monster_die_4</v>
      </c>
      <c r="AH46" s="51" t="s">
        <v>79</v>
      </c>
      <c r="AI46" s="51" t="s">
        <v>80</v>
      </c>
      <c r="AJ46" s="51" t="s">
        <v>81</v>
      </c>
      <c r="AK46" s="51" t="s">
        <v>82</v>
      </c>
      <c r="AN46" s="68">
        <v>0</v>
      </c>
      <c r="AO46" s="67" t="str" cm="1">
        <f t="array" ref="AO46">_xlfn.TEXTJOIN(";",1,IF(AP46:AQ46&lt;&gt;"",AP46:AQ46&amp;"="&amp;AR46:AS46,""))</f>
        <v/>
      </c>
      <c r="AT46" s="81" t="str" cm="1">
        <f ca="1" t="array" ref="AT46">_xlfn.LET(_xlpm._tb,"tb_diy_0"&amp;MID(A46,4,1),_xlfn.TEXTJOIN(";",1,_xlfn.MAP(INDIRECT(_xlpm._tb&amp;"[id]"),INDIRECT(_xlpm._tb&amp;"[parm_key]"),INDIRECT(_xlpm._tb&amp;"[parm_value]"),_xlfn.LAMBDA(_xlpm._id,_xlpm._k,_xlpm._v,IF(_xlpm._id=A46,_xlpm._k&amp;"="&amp;_xlpm._v,"")))))</f>
        <v>FLYAROUND_DEG_1=60,120;FLYAROUND_RADIUS_1=4,7;FLYAROUND_COUNT_MAX_1=1;FLYAROUND_COUNT_MIN_1=1;FLYAROUND_DEG_2=0,180;FLYAROUND_RADIUS_2=1,2;FLYAROUND_COUNT_MAX_2=1;FLYAROUND_COUNT_MIN_2=1;BEFORE_ATTACK_SEC=0.2;AFTER_ATTACK_SEC=0.3;BEGIN_ATK_DIS=1;ATK_DIS=1.5;ATK_CD=2</v>
      </c>
    </row>
    <row r="47" spans="1:46">
      <c r="A47" s="24">
        <v>201709</v>
      </c>
      <c r="B47" s="24" t="str">
        <f t="shared" si="10"/>
        <v>enemy_201709</v>
      </c>
      <c r="C47" s="25" t="s">
        <v>151</v>
      </c>
      <c r="D47" s="25" t="s">
        <v>170</v>
      </c>
      <c r="E47" s="66"/>
      <c r="F47" s="66"/>
      <c r="G47" s="79" t="s">
        <v>77</v>
      </c>
      <c r="H47" s="24">
        <v>43</v>
      </c>
      <c r="I47" s="24">
        <v>0</v>
      </c>
      <c r="J47" s="24">
        <v>580</v>
      </c>
      <c r="K47" s="24" t="b">
        <v>1</v>
      </c>
      <c r="M47" s="24" t="str" cm="1">
        <f ca="1" t="array" ref="M47">_xlfn.TEXTJOIN(";",1,_xlfn.LAMBDA(_xlpm.x,IF(_xlpm.x&lt;&gt;"",OFFSET(_xlpm.x,3-ROW(),0)&amp;"="&amp;_xlpm.x,""))(N47:S47))</f>
        <v/>
      </c>
      <c r="N47" s="68"/>
      <c r="O47" s="68"/>
      <c r="P47" s="68"/>
      <c r="Q47" s="68"/>
      <c r="R47" s="68"/>
      <c r="S47" s="68"/>
      <c r="V47" s="66"/>
      <c r="W47" s="82"/>
      <c r="X47" s="83"/>
      <c r="Y47" s="80"/>
      <c r="Z47" s="80"/>
      <c r="AA47" s="69" t="str">
        <f t="shared" si="16"/>
        <v>monster_201709_Desert_Giant_Cactus</v>
      </c>
      <c r="AB47" s="50" t="s">
        <v>171</v>
      </c>
      <c r="AC47" s="69" t="str">
        <f t="shared" si="13"/>
        <v>BT_Desert_Giant_Cactus</v>
      </c>
      <c r="AD47" s="67">
        <f>A47</f>
        <v>201709</v>
      </c>
      <c r="AE47" s="24">
        <v>0</v>
      </c>
      <c r="AF47" s="67" t="str">
        <f>_xlfn.XLOOKUP(A47,'-loot_list辅助配置表'!A:A,'-loot_list辅助配置表'!V:V)</f>
        <v>10000=0.215;600701=0.0043</v>
      </c>
      <c r="AG47" s="69" t="str">
        <f t="shared" si="17"/>
        <v>vfx_monster_die_1;vfx_monster_die_2;vfx_monster_die_3;vfx_monster_die_4</v>
      </c>
      <c r="AH47" s="51" t="s">
        <v>79</v>
      </c>
      <c r="AI47" s="51" t="s">
        <v>80</v>
      </c>
      <c r="AJ47" s="51" t="s">
        <v>81</v>
      </c>
      <c r="AK47" s="51" t="s">
        <v>82</v>
      </c>
      <c r="AN47" s="68">
        <v>0</v>
      </c>
      <c r="AO47" s="67" t="str" cm="1">
        <f t="array" ref="AO47">_xlfn.TEXTJOIN(";",1,IF(AP47:AQ47&lt;&gt;"",AP47:AQ47&amp;"="&amp;AR47:AS47,""))</f>
        <v/>
      </c>
      <c r="AT47" s="81" t="str" cm="1">
        <f ca="1" t="array" ref="AT47">_xlfn.LET(_xlpm._tb,"tb_diy_0"&amp;MID(A47,4,1),_xlfn.TEXTJOIN(";",1,_xlfn.MAP(INDIRECT(_xlpm._tb&amp;"[id]"),INDIRECT(_xlpm._tb&amp;"[parm_key]"),INDIRECT(_xlpm._tb&amp;"[parm_value]"),_xlfn.LAMBDA(_xlpm._id,_xlpm._k,_xlpm._v,IF(_xlpm._id=A47,_xlpm._k&amp;"="&amp;_xlpm._v,"")))))</f>
        <v>BEFORE_ATTACK_SEC=0.2;AFTER_ATTACK_SEC=0.3;ATK_CD=0.1;RUNNING_FIRE_COUNT=11</v>
      </c>
    </row>
    <row r="48" spans="1:46">
      <c r="A48" s="24">
        <v>201710</v>
      </c>
      <c r="B48" s="24" t="str">
        <f t="shared" si="10"/>
        <v>enemy_201710</v>
      </c>
      <c r="C48" s="25" t="s">
        <v>151</v>
      </c>
      <c r="D48" s="25" t="s">
        <v>172</v>
      </c>
      <c r="E48" s="66"/>
      <c r="F48" s="66"/>
      <c r="G48" s="79" t="s">
        <v>77</v>
      </c>
      <c r="H48" s="24">
        <v>18</v>
      </c>
      <c r="I48" s="24">
        <v>0</v>
      </c>
      <c r="J48" s="24">
        <v>95</v>
      </c>
      <c r="K48" s="24" t="b">
        <v>1</v>
      </c>
      <c r="M48" s="24" t="str" cm="1">
        <f ca="1" t="array" ref="M48">_xlfn.TEXTJOIN(";",1,_xlfn.LAMBDA(_xlpm.x,IF(_xlpm.x&lt;&gt;"",OFFSET(_xlpm.x,3-ROW(),0)&amp;"="&amp;_xlpm.x,""))(N48:S48))</f>
        <v/>
      </c>
      <c r="N48" s="68"/>
      <c r="O48" s="68"/>
      <c r="P48" s="68"/>
      <c r="Q48" s="68"/>
      <c r="R48" s="68"/>
      <c r="S48" s="68"/>
      <c r="V48" s="66"/>
      <c r="W48" s="82"/>
      <c r="X48" s="83"/>
      <c r="Y48" s="80"/>
      <c r="Z48" s="80"/>
      <c r="AA48" s="69" t="str">
        <f t="shared" si="16"/>
        <v>monster_201710_Desert_Small_Cactus</v>
      </c>
      <c r="AB48" s="50" t="s">
        <v>173</v>
      </c>
      <c r="AC48" s="69" t="s">
        <v>174</v>
      </c>
      <c r="AD48" s="67">
        <f>A48</f>
        <v>201710</v>
      </c>
      <c r="AE48" s="24">
        <v>0</v>
      </c>
      <c r="AF48" s="67" t="str">
        <f>_xlfn.XLOOKUP(A48,'-loot_list辅助配置表'!A:A,'-loot_list辅助配置表'!V:V)</f>
        <v>10000=0.09;600701=0.0018</v>
      </c>
      <c r="AG48" s="69" t="str">
        <f t="shared" si="17"/>
        <v>vfx_monster_die_1;vfx_monster_die_2;vfx_monster_die_3;vfx_monster_die_4</v>
      </c>
      <c r="AH48" s="51" t="s">
        <v>79</v>
      </c>
      <c r="AI48" s="51" t="s">
        <v>80</v>
      </c>
      <c r="AJ48" s="51" t="s">
        <v>81</v>
      </c>
      <c r="AK48" s="51" t="s">
        <v>82</v>
      </c>
      <c r="AN48" s="68">
        <v>0</v>
      </c>
      <c r="AO48" s="67" t="str" cm="1">
        <f t="array" ref="AO48">_xlfn.TEXTJOIN(";",1,IF(AP48:AQ48&lt;&gt;"",AP48:AQ48&amp;"="&amp;AR48:AS48,""))</f>
        <v/>
      </c>
      <c r="AT48" s="81" t="str" cm="1">
        <f ca="1" t="array" ref="AT48">_xlfn.LET(_xlpm._tb,"tb_diy_0"&amp;MID(A48,4,1),_xlfn.TEXTJOIN(";",1,_xlfn.MAP(INDIRECT(_xlpm._tb&amp;"[id]"),INDIRECT(_xlpm._tb&amp;"[parm_key]"),INDIRECT(_xlpm._tb&amp;"[parm_value]"),_xlfn.LAMBDA(_xlpm._id,_xlpm._k,_xlpm._v,IF(_xlpm._id=A48,_xlpm._k&amp;"="&amp;_xlpm._v,"")))))</f>
        <v>BEFORE_ATTACK_SEC=0.2;AFTER_ATTACK_SEC=0.3;ATK_CD=2.5;RUNNING_FIRE_COUNT=6</v>
      </c>
    </row>
    <row r="49" spans="1:46">
      <c r="A49" s="24">
        <v>201711</v>
      </c>
      <c r="B49" s="24" t="str">
        <f t="shared" si="10"/>
        <v>enemy_201711</v>
      </c>
      <c r="C49" s="25" t="s">
        <v>151</v>
      </c>
      <c r="D49" s="25" t="s">
        <v>175</v>
      </c>
      <c r="E49" s="66"/>
      <c r="F49" s="66"/>
      <c r="G49" s="79" t="s">
        <v>77</v>
      </c>
      <c r="H49" s="24">
        <v>17</v>
      </c>
      <c r="I49" s="24">
        <v>0</v>
      </c>
      <c r="J49" s="24">
        <v>2.5</v>
      </c>
      <c r="M49" s="24" t="str" cm="1">
        <f ca="1" t="array" ref="M49">_xlfn.TEXTJOIN(";",1,_xlfn.LAMBDA(_xlpm.x,IF(_xlpm.x&lt;&gt;"",OFFSET(_xlpm.x,3-ROW(),0)&amp;"="&amp;_xlpm.x,""))(N49:S49))</f>
        <v>sharp=5</v>
      </c>
      <c r="N49" s="47">
        <v>5</v>
      </c>
      <c r="O49" s="68"/>
      <c r="P49" s="68"/>
      <c r="Q49" s="68"/>
      <c r="R49" s="68"/>
      <c r="S49" s="68"/>
      <c r="V49" s="66"/>
      <c r="W49" s="82"/>
      <c r="X49" s="83"/>
      <c r="Y49" s="80"/>
      <c r="Z49" s="80"/>
      <c r="AA49" s="69" t="str">
        <f t="shared" si="16"/>
        <v>monster_201711_Desert_Giant_Weed</v>
      </c>
      <c r="AB49" s="50" t="s">
        <v>176</v>
      </c>
      <c r="AC49" s="69" t="str">
        <f t="shared" si="13"/>
        <v>BT_Desert_Giant_Weed</v>
      </c>
      <c r="AD49" s="67"/>
      <c r="AE49" s="24">
        <v>0</v>
      </c>
      <c r="AF49" s="67" t="str">
        <f>_xlfn.XLOOKUP(A49,'-loot_list辅助配置表'!A:A,'-loot_list辅助配置表'!V:V)</f>
        <v>10000=0.085;600701=0.0017</v>
      </c>
      <c r="AG49" s="69" t="str">
        <f t="shared" si="17"/>
        <v>vfx_monster_die_1;vfx_monster_die_2;vfx_monster_die_3;vfx_monster_die_4</v>
      </c>
      <c r="AH49" s="51" t="s">
        <v>79</v>
      </c>
      <c r="AI49" s="51" t="s">
        <v>80</v>
      </c>
      <c r="AJ49" s="51" t="s">
        <v>81</v>
      </c>
      <c r="AK49" s="51" t="s">
        <v>82</v>
      </c>
      <c r="AN49" s="68">
        <v>0</v>
      </c>
      <c r="AO49" s="67" t="str" cm="1">
        <f t="array" ref="AO49">_xlfn.TEXTJOIN(";",1,IF(AP49:AQ49&lt;&gt;"",AP49:AQ49&amp;"="&amp;AR49:AS49,""))</f>
        <v/>
      </c>
      <c r="AT49" s="81" t="str" cm="1">
        <f ca="1" t="array" ref="AT49">_xlfn.LET(_xlpm._tb,"tb_diy_0"&amp;MID(A49,4,1),_xlfn.TEXTJOIN(";",1,_xlfn.MAP(INDIRECT(_xlpm._tb&amp;"[id]"),INDIRECT(_xlpm._tb&amp;"[parm_key]"),INDIRECT(_xlpm._tb&amp;"[parm_value]"),_xlfn.LAMBDA(_xlpm._id,_xlpm._k,_xlpm._v,IF(_xlpm._id=A49,_xlpm._k&amp;"="&amp;_xlpm._v,"")))))</f>
        <v>SLOW_RATE=0.1;JUMP_DEG_AREA=120,170;JUMP_SPEED_AREA=7,7;ROTATE_SPEED_AREA=360,720;STICK_RATE=50</v>
      </c>
    </row>
    <row r="50" spans="1:46">
      <c r="A50" s="24">
        <v>201712</v>
      </c>
      <c r="B50" s="24" t="str">
        <f t="shared" si="10"/>
        <v>enemy_201712</v>
      </c>
      <c r="C50" s="25" t="s">
        <v>151</v>
      </c>
      <c r="D50" s="25" t="s">
        <v>177</v>
      </c>
      <c r="E50" s="66"/>
      <c r="F50" s="66"/>
      <c r="G50" s="79" t="s">
        <v>77</v>
      </c>
      <c r="H50" s="24">
        <v>7</v>
      </c>
      <c r="I50" s="24">
        <v>0</v>
      </c>
      <c r="J50" s="24">
        <v>0.85</v>
      </c>
      <c r="M50" s="24" t="str" cm="1">
        <f ca="1" t="array" ref="M50">_xlfn.TEXTJOIN(";",1,_xlfn.LAMBDA(_xlpm.x,IF(_xlpm.x&lt;&gt;"",OFFSET(_xlpm.x,3-ROW(),0)&amp;"="&amp;_xlpm.x,""))(N50:S50))</f>
        <v>sharp=5</v>
      </c>
      <c r="N50" s="47">
        <v>5</v>
      </c>
      <c r="O50" s="68"/>
      <c r="P50" s="68"/>
      <c r="Q50" s="68"/>
      <c r="R50" s="68"/>
      <c r="S50" s="68"/>
      <c r="V50" s="66"/>
      <c r="W50" s="82"/>
      <c r="X50" s="83"/>
      <c r="Y50" s="80"/>
      <c r="Z50" s="80"/>
      <c r="AA50" s="69" t="str">
        <f t="shared" si="16"/>
        <v>monster_201712_Desert_Small_Weed</v>
      </c>
      <c r="AB50" s="50" t="s">
        <v>178</v>
      </c>
      <c r="AC50" s="69" t="s">
        <v>179</v>
      </c>
      <c r="AD50" s="67"/>
      <c r="AE50" s="24">
        <v>0</v>
      </c>
      <c r="AF50" s="67" t="str">
        <f>_xlfn.XLOOKUP(A50,'-loot_list辅助配置表'!A:A,'-loot_list辅助配置表'!V:V)</f>
        <v>10000=0.035;600701=0.0007</v>
      </c>
      <c r="AG50" s="69" t="str">
        <f t="shared" si="17"/>
        <v>vfx_monster_die_1;vfx_monster_die_2;vfx_monster_die_3;vfx_monster_die_4</v>
      </c>
      <c r="AH50" s="51" t="s">
        <v>79</v>
      </c>
      <c r="AI50" s="51" t="s">
        <v>80</v>
      </c>
      <c r="AJ50" s="51" t="s">
        <v>81</v>
      </c>
      <c r="AK50" s="51" t="s">
        <v>82</v>
      </c>
      <c r="AN50" s="68">
        <v>0</v>
      </c>
      <c r="AO50" s="67" t="str" cm="1">
        <f t="array" ref="AO50">_xlfn.TEXTJOIN(";",1,IF(AP50:AQ50&lt;&gt;"",AP50:AQ50&amp;"="&amp;AR50:AS50,""))</f>
        <v/>
      </c>
      <c r="AT50" s="81" t="str" cm="1">
        <f ca="1" t="array" ref="AT50">_xlfn.LET(_xlpm._tb,"tb_diy_0"&amp;MID(A50,4,1),_xlfn.TEXTJOIN(";",1,_xlfn.MAP(INDIRECT(_xlpm._tb&amp;"[id]"),INDIRECT(_xlpm._tb&amp;"[parm_key]"),INDIRECT(_xlpm._tb&amp;"[parm_value]"),_xlfn.LAMBDA(_xlpm._id,_xlpm._k,_xlpm._v,IF(_xlpm._id=A50,_xlpm._k&amp;"="&amp;_xlpm._v,"")))))</f>
        <v>SLOW_RATE=0.1;JUMP_DEG_AREA=100,170;JUMP_SPEED_AREA=7,7;ROTATE_SPEED_AREA=360,720;STICK_RATE=50</v>
      </c>
    </row>
    <row r="51" s="45" customFormat="1" spans="1:46">
      <c r="A51" s="71"/>
      <c r="B51" s="71"/>
      <c r="C51" s="72"/>
      <c r="D51" s="72"/>
      <c r="E51" s="71"/>
      <c r="F51" s="71"/>
      <c r="G51" s="75"/>
      <c r="H51" s="71"/>
      <c r="I51" s="71"/>
      <c r="J51" s="71"/>
      <c r="K51" s="71"/>
      <c r="L51" s="71"/>
      <c r="M51" s="71"/>
      <c r="N51" s="56"/>
      <c r="O51" s="56"/>
      <c r="P51" s="56"/>
      <c r="Q51" s="56"/>
      <c r="R51" s="56"/>
      <c r="S51" s="56"/>
      <c r="T51" s="71"/>
      <c r="U51" s="71"/>
      <c r="V51" s="71"/>
      <c r="W51" s="57"/>
      <c r="X51" s="73"/>
      <c r="Y51" s="71"/>
      <c r="Z51" s="71"/>
      <c r="AA51" s="78"/>
      <c r="AB51" s="74"/>
      <c r="AC51" s="78"/>
      <c r="AD51" s="75"/>
      <c r="AE51" s="71"/>
      <c r="AF51" s="75"/>
      <c r="AG51" s="78"/>
      <c r="AH51" s="76"/>
      <c r="AI51" s="76"/>
      <c r="AJ51" s="76"/>
      <c r="AK51" s="76"/>
      <c r="AL51" s="76"/>
      <c r="AM51" s="76"/>
      <c r="AN51" s="71"/>
      <c r="AO51" s="75"/>
      <c r="AP51" s="76"/>
      <c r="AQ51" s="76"/>
      <c r="AR51" s="76"/>
      <c r="AS51" s="76"/>
    </row>
    <row r="52" spans="1:46">
      <c r="A52" s="24">
        <v>201801</v>
      </c>
      <c r="B52" s="24" t="str">
        <f t="shared" ref="B52:B72" si="18">_xlfn.TEXTJOIN("_",1,"enemy",$A52)</f>
        <v>enemy_201801</v>
      </c>
      <c r="C52" s="25" t="s">
        <v>180</v>
      </c>
      <c r="D52" s="25" t="s">
        <v>181</v>
      </c>
      <c r="E52" s="66"/>
      <c r="F52" s="66"/>
      <c r="G52" s="79" t="s">
        <v>77</v>
      </c>
      <c r="H52" s="24">
        <v>19</v>
      </c>
      <c r="I52" s="24">
        <v>0</v>
      </c>
      <c r="J52" s="24">
        <v>2.12</v>
      </c>
      <c r="M52" s="24" t="str" cm="1">
        <f ca="1" t="array" ref="M52">_xlfn.TEXTJOIN(";",1,_xlfn.LAMBDA(_xlpm.x,IF(_xlpm.x&lt;&gt;"",OFFSET(_xlpm.x,3-ROW(),0)&amp;"="&amp;_xlpm.x,""))(N52:S52))</f>
        <v/>
      </c>
      <c r="N52" s="68"/>
      <c r="O52" s="68"/>
      <c r="P52" s="68"/>
      <c r="Q52" s="68"/>
      <c r="R52" s="68"/>
      <c r="S52" s="68"/>
      <c r="V52" s="24">
        <v>7</v>
      </c>
      <c r="W52" s="48">
        <v>15</v>
      </c>
      <c r="X52" s="49">
        <f>$W52*$J52</f>
        <v>31.8</v>
      </c>
      <c r="Y52" s="80"/>
      <c r="Z52" s="80"/>
      <c r="AA52" s="69" t="str">
        <f t="shared" ref="AA52:AA72" si="19">_xlfn.TEXTJOIN("_",1,"monster",$A52,$AB52)</f>
        <v>monster_201801_Lake_GoldFish</v>
      </c>
      <c r="AB52" s="50" t="s">
        <v>182</v>
      </c>
      <c r="AC52" s="69" t="str">
        <f t="shared" ref="AC52:AC72" si="20">_xlfn.TEXTJOIN("_",1,"BT",$AB52)</f>
        <v>BT_Lake_GoldFish</v>
      </c>
      <c r="AD52" s="67"/>
      <c r="AE52" s="24">
        <v>0.15</v>
      </c>
      <c r="AF52" s="67" t="str">
        <f>_xlfn.XLOOKUP(A52,'-loot_list辅助配置表'!A:A,'-loot_list辅助配置表'!V:V)</f>
        <v>10000=0.095;600802=0.0011;600803=0.0002</v>
      </c>
      <c r="AG52" s="69" t="str">
        <f>_xlfn.TEXTJOIN(";",1,AH52:AL52)</f>
        <v>vfx_monster_die_1;vfx_monster_die_2;vfx_monster_die_3;vfx_monster_die_4</v>
      </c>
      <c r="AH52" s="51" t="s">
        <v>79</v>
      </c>
      <c r="AI52" s="51" t="s">
        <v>80</v>
      </c>
      <c r="AJ52" s="51" t="s">
        <v>81</v>
      </c>
      <c r="AK52" s="51" t="s">
        <v>82</v>
      </c>
      <c r="AM52" s="51" t="s">
        <v>183</v>
      </c>
      <c r="AN52" s="68">
        <v>0</v>
      </c>
      <c r="AO52" s="67" t="str" cm="1">
        <f t="array" ref="AO52">_xlfn.TEXTJOIN(";",1,IF(AP52:AQ52&lt;&gt;"",AP52:AQ52&amp;"="&amp;AR52:AS52,""))</f>
        <v/>
      </c>
      <c r="AT52" s="81" t="str" cm="1">
        <f ca="1" t="array" ref="AT52">_xlfn.LET(_xlpm._tb,"tb_diy_0"&amp;MID(A52,4,1),_xlfn.TEXTJOIN(";",1,_xlfn.MAP(INDIRECT(_xlpm._tb&amp;"[id]"),INDIRECT(_xlpm._tb&amp;"[parm_key]"),INDIRECT(_xlpm._tb&amp;"[parm_value]"),_xlfn.LAMBDA(_xlpm._id,_xlpm._k,_xlpm._v,IF(_xlpm._id=A52,_xlpm._k&amp;"="&amp;_xlpm._v,"")))))</f>
        <v>FLYAROUND_DEG=20,170;FLYAROUND_RADIUS=7.5,11.5;FLYAROUND_COUNT_MAX=6;FLYAROUND_COUNT_MIN=4;FLYFOLLOW_DIS=6,10;BEFORE_ATTACK_SEC=0.2;AFTER_ATTACK_SEC=0.5;BUBBLE_COUNT=1;BUBBLE_INTERVAL_SEC=0.3</v>
      </c>
    </row>
    <row r="53" spans="1:46">
      <c r="A53" s="24">
        <v>201802</v>
      </c>
      <c r="B53" s="24" t="str">
        <f t="shared" si="18"/>
        <v>enemy_201802</v>
      </c>
      <c r="C53" s="25" t="s">
        <v>180</v>
      </c>
      <c r="D53" s="25" t="s">
        <v>184</v>
      </c>
      <c r="E53" s="66"/>
      <c r="F53" s="66"/>
      <c r="G53" s="79" t="s">
        <v>77</v>
      </c>
      <c r="H53" s="24">
        <v>2</v>
      </c>
      <c r="I53" s="24">
        <v>0</v>
      </c>
      <c r="J53" s="24">
        <v>0.2</v>
      </c>
      <c r="M53" s="24" t="str" cm="1">
        <f ca="1" t="array" ref="M53">_xlfn.TEXTJOIN(";",1,_xlfn.LAMBDA(_xlpm.x,IF(_xlpm.x&lt;&gt;"",OFFSET(_xlpm.x,3-ROW(),0)&amp;"="&amp;_xlpm.x,""))(N53:S53))</f>
        <v>sharp=2</v>
      </c>
      <c r="N53" s="47">
        <v>2</v>
      </c>
      <c r="O53" s="68"/>
      <c r="P53" s="68"/>
      <c r="Q53" s="68"/>
      <c r="R53" s="68"/>
      <c r="S53" s="68"/>
      <c r="V53" s="24">
        <v>5</v>
      </c>
      <c r="W53" s="48">
        <v>2</v>
      </c>
      <c r="X53" s="49">
        <v>10</v>
      </c>
      <c r="Y53" s="80"/>
      <c r="Z53" s="80"/>
      <c r="AA53" s="69" t="str">
        <f t="shared" si="19"/>
        <v>monster_201802_Lake_GoldFish_Bubble</v>
      </c>
      <c r="AB53" s="50" t="s">
        <v>185</v>
      </c>
      <c r="AC53" s="69" t="str">
        <f t="shared" si="20"/>
        <v>BT_Lake_GoldFish_Bubble</v>
      </c>
      <c r="AD53" s="67"/>
      <c r="AE53" s="24">
        <v>0.15</v>
      </c>
      <c r="AF53" s="67" t="str">
        <f>_xlfn.XLOOKUP(A53,'-loot_list辅助配置表'!A:A,'-loot_list辅助配置表'!V:V)</f>
        <v/>
      </c>
      <c r="AG53" s="69" t="str">
        <f>_xlfn.TEXTJOIN(";",1,AH53:AL53)</f>
        <v>vfx_monster_die_1;vfx_monster_die_2;vfx_monster_die_3;vfx_monster_die_4;vfx_monster_die_explode1</v>
      </c>
      <c r="AH53" s="51" t="s">
        <v>79</v>
      </c>
      <c r="AI53" s="51" t="s">
        <v>80</v>
      </c>
      <c r="AJ53" s="51" t="s">
        <v>81</v>
      </c>
      <c r="AK53" s="51" t="s">
        <v>82</v>
      </c>
      <c r="AL53" s="51" t="s">
        <v>118</v>
      </c>
      <c r="AN53" s="68">
        <v>0</v>
      </c>
      <c r="AO53" s="67" t="str" cm="1">
        <f t="array" ref="AO53">_xlfn.TEXTJOIN(";",1,IF(AP53:AQ53&lt;&gt;"",AP53:AQ53&amp;"="&amp;AR53:AS53,""))</f>
        <v/>
      </c>
      <c r="AT53" s="81" t="str" cm="1">
        <f ca="1" t="array" ref="AT53">_xlfn.LET(_xlpm._tb,"tb_diy_0"&amp;MID(A53,4,1),_xlfn.TEXTJOIN(";",1,_xlfn.MAP(INDIRECT(_xlpm._tb&amp;"[id]"),INDIRECT(_xlpm._tb&amp;"[parm_key]"),INDIRECT(_xlpm._tb&amp;"[parm_value]"),_xlfn.LAMBDA(_xlpm._id,_xlpm._k,_xlpm._v,IF(_xlpm._id=A53,_xlpm._k&amp;"="&amp;_xlpm._v,"")))))</f>
        <v>EXPLOSION_RADIUS=1.2;BEHIT_RADIUS=1</v>
      </c>
    </row>
    <row r="54" spans="1:46">
      <c r="A54" s="24">
        <v>201803</v>
      </c>
      <c r="B54" s="24" t="str">
        <f t="shared" si="18"/>
        <v>enemy_201803</v>
      </c>
      <c r="C54" s="25" t="s">
        <v>180</v>
      </c>
      <c r="D54" s="25" t="s">
        <v>186</v>
      </c>
      <c r="E54" s="66"/>
      <c r="F54" s="66"/>
      <c r="G54" s="79" t="s">
        <v>77</v>
      </c>
      <c r="H54" s="24">
        <v>24</v>
      </c>
      <c r="I54" s="24">
        <v>0</v>
      </c>
      <c r="J54" s="24">
        <v>2.4</v>
      </c>
      <c r="M54" s="24" t="str" cm="1">
        <f ca="1" t="array" ref="M54">_xlfn.TEXTJOIN(";",1,_xlfn.LAMBDA(_xlpm.x,IF(_xlpm.x&lt;&gt;"",OFFSET(_xlpm.x,3-ROW(),0)&amp;"="&amp;_xlpm.x,""))(N54:S54))</f>
        <v>sharp=2</v>
      </c>
      <c r="N54" s="47">
        <v>2</v>
      </c>
      <c r="O54" s="68"/>
      <c r="P54" s="68"/>
      <c r="Q54" s="68"/>
      <c r="R54" s="68"/>
      <c r="S54" s="68"/>
      <c r="V54" s="24">
        <v>5</v>
      </c>
      <c r="W54" s="48">
        <v>8</v>
      </c>
      <c r="X54" s="49">
        <f>$W54*$J54</f>
        <v>19.2</v>
      </c>
      <c r="Y54" s="80"/>
      <c r="Z54" s="80"/>
      <c r="AA54" s="69" t="str">
        <f t="shared" si="19"/>
        <v>monster_201803_Lake_XiaoYao</v>
      </c>
      <c r="AB54" s="50" t="s">
        <v>187</v>
      </c>
      <c r="AC54" s="69" t="str">
        <f t="shared" si="20"/>
        <v>BT_Lake_XiaoYao</v>
      </c>
      <c r="AD54" s="67"/>
      <c r="AE54" s="24">
        <v>0.15</v>
      </c>
      <c r="AF54" s="67" t="str">
        <f>_xlfn.XLOOKUP(A54,'-loot_list辅助配置表'!A:A,'-loot_list辅助配置表'!V:V)</f>
        <v>10000=0.12;600801=0.0125;600811=0.0006;600813=0.0006</v>
      </c>
      <c r="AG54" s="69" t="str">
        <f>_xlfn.TEXTJOIN(";",1,AH54:AL54)</f>
        <v>vfx_monster_die_1;vfx_monster_die_2;vfx_monster_die_3;vfx_monster_die_4</v>
      </c>
      <c r="AH54" s="51" t="s">
        <v>79</v>
      </c>
      <c r="AI54" s="51" t="s">
        <v>80</v>
      </c>
      <c r="AJ54" s="51" t="s">
        <v>81</v>
      </c>
      <c r="AK54" s="51" t="s">
        <v>82</v>
      </c>
      <c r="AM54" s="51" t="s">
        <v>183</v>
      </c>
      <c r="AN54" s="68">
        <v>0</v>
      </c>
      <c r="AO54" s="67" t="str" cm="1">
        <f t="array" ref="AO54">_xlfn.TEXTJOIN(";",1,IF(AP54:AQ54&lt;&gt;"",AP54:AQ54&amp;"="&amp;AR54:AS54,""))</f>
        <v/>
      </c>
      <c r="AT54" s="81" t="str" cm="1">
        <f ca="1" t="array" ref="AT54">_xlfn.LET(_xlpm._tb,"tb_diy_0"&amp;MID(A54,4,1),_xlfn.TEXTJOIN(";",1,_xlfn.MAP(INDIRECT(_xlpm._tb&amp;"[id]"),INDIRECT(_xlpm._tb&amp;"[parm_key]"),INDIRECT(_xlpm._tb&amp;"[parm_value]"),_xlfn.LAMBDA(_xlpm._id,_xlpm._k,_xlpm._v,IF(_xlpm._id=A54,_xlpm._k&amp;"="&amp;_xlpm._v,"")))))</f>
        <v>FLYAROUND_DEG=35,145;FLYAROUND_RADIUS=6,9;FLYAROUND_COUNT_MAX=3;FLYAROUND_COUNT_MIN=1;FLYFOLLOW_DIS=1,2;BEFORE_ATTACK_SEC=0.2;AFTER_ATTACK_SEC=0.5</v>
      </c>
    </row>
    <row r="55" spans="1:46">
      <c r="A55" s="24">
        <v>201804</v>
      </c>
      <c r="B55" s="24" t="str">
        <f t="shared" si="18"/>
        <v>enemy_201804</v>
      </c>
      <c r="C55" s="25" t="s">
        <v>180</v>
      </c>
      <c r="D55" s="25" t="s">
        <v>188</v>
      </c>
      <c r="E55" s="66"/>
      <c r="F55" s="66"/>
      <c r="G55" s="79" t="s">
        <v>77</v>
      </c>
      <c r="H55" s="24">
        <v>48</v>
      </c>
      <c r="I55" s="24">
        <v>0</v>
      </c>
      <c r="J55" s="24">
        <v>5</v>
      </c>
      <c r="M55" s="24" t="str" cm="1">
        <f ca="1" t="array" ref="M55">_xlfn.TEXTJOIN(";",1,_xlfn.LAMBDA(_xlpm.x,IF(_xlpm.x&lt;&gt;"",OFFSET(_xlpm.x,3-ROW(),0)&amp;"="&amp;_xlpm.x,""))(N55:S55))</f>
        <v/>
      </c>
      <c r="N55" s="68"/>
      <c r="O55" s="68"/>
      <c r="P55" s="68"/>
      <c r="Q55" s="68"/>
      <c r="R55" s="68"/>
      <c r="S55" s="68"/>
      <c r="V55" s="24">
        <v>7</v>
      </c>
      <c r="W55" s="48">
        <v>3</v>
      </c>
      <c r="X55" s="49">
        <f>$W55*$J55</f>
        <v>15</v>
      </c>
      <c r="Y55" s="80"/>
      <c r="Z55" s="80"/>
      <c r="AA55" s="69" t="str">
        <f t="shared" si="19"/>
        <v>monster_201804_Lake_CatFish</v>
      </c>
      <c r="AB55" s="50" t="s">
        <v>189</v>
      </c>
      <c r="AC55" s="69" t="str">
        <f t="shared" si="20"/>
        <v>BT_Lake_CatFish</v>
      </c>
      <c r="AD55" s="67">
        <f>A55</f>
        <v>201804</v>
      </c>
      <c r="AE55" s="24">
        <v>0.15</v>
      </c>
      <c r="AF55" s="67" t="str">
        <f>_xlfn.XLOOKUP(A55,'-loot_list辅助配置表'!A:A,'-loot_list辅助配置表'!V:V)</f>
        <v>10000=0.24;600801=0.0048</v>
      </c>
      <c r="AG55" s="69" t="str">
        <f t="shared" ref="AG55:AG64" si="21">_xlfn.TEXTJOIN(";",1,AH55:AL55)</f>
        <v>vfx_monster_die_1;vfx_monster_die_2;vfx_monster_die_3;vfx_monster_die_4</v>
      </c>
      <c r="AH55" s="51" t="s">
        <v>79</v>
      </c>
      <c r="AI55" s="51" t="s">
        <v>80</v>
      </c>
      <c r="AJ55" s="51" t="s">
        <v>81</v>
      </c>
      <c r="AK55" s="51" t="s">
        <v>82</v>
      </c>
      <c r="AM55" s="51" t="s">
        <v>183</v>
      </c>
      <c r="AN55" s="68">
        <v>0</v>
      </c>
      <c r="AO55" s="67" t="str" cm="1">
        <f t="array" ref="AO55">_xlfn.TEXTJOIN(";",1,IF(AP55:AQ55&lt;&gt;"",AP55:AQ55&amp;"="&amp;AR55:AS55,""))</f>
        <v/>
      </c>
      <c r="AT55" s="81" t="str" cm="1">
        <f ca="1" t="array" ref="AT55">_xlfn.LET(_xlpm._tb,"tb_diy_0"&amp;MID(A55,4,1),_xlfn.TEXTJOIN(";",1,_xlfn.MAP(INDIRECT(_xlpm._tb&amp;"[id]"),INDIRECT(_xlpm._tb&amp;"[parm_key]"),INDIRECT(_xlpm._tb&amp;"[parm_value]"),_xlfn.LAMBDA(_xlpm._id,_xlpm._k,_xlpm._v,IF(_xlpm._id=A55,_xlpm._k&amp;"="&amp;_xlpm._v,"")))))</f>
        <v>FLYAROUND_DEG=20,160;FLYAROUND_RADIUS=8,12;FLYAROUND_COUNT_MAX=3;FLYAROUND_COUNT_MIN=1;FLYFOLLOW_DIS=0.5,1;BEFORE_ATTACK_SEC=0.2;AFTER_ATTACK_SEC=0.5;ATTACK_LASTING_SEC=2;ATTACK_COUNT=30</v>
      </c>
    </row>
    <row r="56" spans="1:46">
      <c r="A56" s="24">
        <v>201805</v>
      </c>
      <c r="B56" s="24" t="str">
        <f t="shared" si="18"/>
        <v>enemy_201805</v>
      </c>
      <c r="C56" s="25" t="s">
        <v>180</v>
      </c>
      <c r="D56" s="25" t="s">
        <v>190</v>
      </c>
      <c r="E56" s="66"/>
      <c r="F56" s="66"/>
      <c r="G56" s="79" t="s">
        <v>77</v>
      </c>
      <c r="H56" s="24">
        <v>12</v>
      </c>
      <c r="I56" s="24">
        <v>0</v>
      </c>
      <c r="J56" s="24">
        <v>1.2</v>
      </c>
      <c r="M56" s="24" t="str" cm="1">
        <f ca="1" t="array" ref="M56">_xlfn.TEXTJOIN(";",1,_xlfn.LAMBDA(_xlpm.x,IF(_xlpm.x&lt;&gt;"",OFFSET(_xlpm.x,3-ROW(),0)&amp;"="&amp;_xlpm.x,""))(N56:S56))</f>
        <v>sharp=2</v>
      </c>
      <c r="N56" s="47">
        <v>2</v>
      </c>
      <c r="O56" s="68"/>
      <c r="P56" s="68"/>
      <c r="Q56" s="68"/>
      <c r="R56" s="68"/>
      <c r="S56" s="68"/>
      <c r="V56" s="66"/>
      <c r="W56" s="82"/>
      <c r="X56" s="83"/>
      <c r="Y56" s="80"/>
      <c r="Z56" s="80"/>
      <c r="AA56" s="69" t="str">
        <f t="shared" si="19"/>
        <v>monster_201805_Lake_Flower</v>
      </c>
      <c r="AB56" s="50" t="s">
        <v>191</v>
      </c>
      <c r="AC56" s="69" t="str">
        <f t="shared" si="20"/>
        <v>BT_Lake_Flower</v>
      </c>
      <c r="AD56" s="67"/>
      <c r="AE56" s="24">
        <v>0.15</v>
      </c>
      <c r="AF56" s="67" t="str">
        <f>_xlfn.XLOOKUP(A56,'-loot_list辅助配置表'!A:A,'-loot_list辅助配置表'!V:V)</f>
        <v>10000=0.06;600801=0.008</v>
      </c>
      <c r="AG56" s="69" t="str">
        <f t="shared" si="21"/>
        <v>vfx_monster_die_1;vfx_monster_die_2;vfx_monster_die_3;vfx_monster_die_4</v>
      </c>
      <c r="AH56" s="51" t="s">
        <v>79</v>
      </c>
      <c r="AI56" s="51" t="s">
        <v>80</v>
      </c>
      <c r="AJ56" s="51" t="s">
        <v>81</v>
      </c>
      <c r="AK56" s="51" t="s">
        <v>82</v>
      </c>
      <c r="AM56" s="51" t="s">
        <v>183</v>
      </c>
      <c r="AN56" s="68">
        <v>0</v>
      </c>
      <c r="AO56" s="67" t="str" cm="1">
        <f t="array" ref="AO56">_xlfn.TEXTJOIN(";",1,IF(AP56:AQ56&lt;&gt;"",AP56:AQ56&amp;"="&amp;AR56:AS56,""))</f>
        <v/>
      </c>
      <c r="AT56" s="81" t="str" cm="1">
        <f ca="1" t="array" ref="AT56">_xlfn.LET(_xlpm._tb,"tb_diy_0"&amp;MID(A56,4,1),_xlfn.TEXTJOIN(";",1,_xlfn.MAP(INDIRECT(_xlpm._tb&amp;"[id]"),INDIRECT(_xlpm._tb&amp;"[parm_key]"),INDIRECT(_xlpm._tb&amp;"[parm_value]"),_xlfn.LAMBDA(_xlpm._id,_xlpm._k,_xlpm._v,IF(_xlpm._id=A56,_xlpm._k&amp;"="&amp;_xlpm._v,"")))))</f>
        <v>ATK_DIS=2;ATK_INTERVAL_SEC=0.4;TO_ATK_DELAY_SEC=0.2</v>
      </c>
    </row>
    <row r="57" spans="1:46">
      <c r="A57" s="24">
        <v>201806</v>
      </c>
      <c r="B57" s="24" t="str">
        <f t="shared" si="18"/>
        <v>enemy_201806</v>
      </c>
      <c r="C57" s="25" t="s">
        <v>180</v>
      </c>
      <c r="D57" s="25" t="s">
        <v>192</v>
      </c>
      <c r="E57" s="66"/>
      <c r="F57" s="66"/>
      <c r="G57" s="79" t="s">
        <v>77</v>
      </c>
      <c r="H57" s="24">
        <v>192</v>
      </c>
      <c r="I57" s="24">
        <v>0</v>
      </c>
      <c r="J57" s="24">
        <v>33.6</v>
      </c>
      <c r="M57" s="24" t="str" cm="1">
        <f ca="1" t="array" ref="M57">_xlfn.TEXTJOIN(";",1,_xlfn.LAMBDA(_xlpm.x,IF(_xlpm.x&lt;&gt;"",OFFSET(_xlpm.x,3-ROW(),0)&amp;"="&amp;_xlpm.x,""))(N57:S57))</f>
        <v/>
      </c>
      <c r="N57" s="68"/>
      <c r="O57" s="68"/>
      <c r="P57" s="68"/>
      <c r="Q57" s="68"/>
      <c r="R57" s="68"/>
      <c r="S57" s="68"/>
      <c r="V57" s="24">
        <v>2</v>
      </c>
      <c r="W57" s="48">
        <v>2</v>
      </c>
      <c r="X57" s="49">
        <f>$W57*$J57</f>
        <v>67.2</v>
      </c>
      <c r="Y57" s="80" t="b">
        <v>1</v>
      </c>
      <c r="Z57" s="80"/>
      <c r="AA57" s="69" t="str">
        <f t="shared" si="19"/>
        <v>monster_201806_Lake_GiantJelly</v>
      </c>
      <c r="AB57" s="50" t="s">
        <v>193</v>
      </c>
      <c r="AC57" s="69" t="str">
        <f t="shared" si="20"/>
        <v>BT_Lake_GiantJelly</v>
      </c>
      <c r="AD57" s="67"/>
      <c r="AE57" s="24">
        <v>0.15</v>
      </c>
      <c r="AF57" s="67" t="str">
        <f>_xlfn.XLOOKUP(A57,'-loot_list辅助配置表'!A:A,'-loot_list辅助配置表'!V:V)</f>
        <v>10000=0.96;600804=0.0143</v>
      </c>
      <c r="AG57" s="69" t="str">
        <f t="shared" si="21"/>
        <v>vfx_monster_die_1;vfx_monster_die_2;vfx_monster_die_3;vfx_monster_die_4</v>
      </c>
      <c r="AH57" s="51" t="s">
        <v>79</v>
      </c>
      <c r="AI57" s="51" t="s">
        <v>80</v>
      </c>
      <c r="AJ57" s="51" t="s">
        <v>81</v>
      </c>
      <c r="AK57" s="51" t="s">
        <v>82</v>
      </c>
      <c r="AM57" s="51" t="s">
        <v>183</v>
      </c>
      <c r="AN57" s="68">
        <v>0</v>
      </c>
      <c r="AO57" s="67" t="str" cm="1">
        <f t="array" ref="AO57">_xlfn.TEXTJOIN(";",1,IF(AP57:AQ57&lt;&gt;"",AP57:AQ57&amp;"="&amp;AR57:AS57,""))</f>
        <v/>
      </c>
      <c r="AT57" s="81" t="str" cm="1">
        <f ca="1" t="array" ref="AT57">_xlfn.LET(_xlpm._tb,"tb_diy_0"&amp;MID(A57,4,1),_xlfn.TEXTJOIN(";",1,_xlfn.MAP(INDIRECT(_xlpm._tb&amp;"[id]"),INDIRECT(_xlpm._tb&amp;"[parm_key]"),INDIRECT(_xlpm._tb&amp;"[parm_value]"),_xlfn.LAMBDA(_xlpm._id,_xlpm._k,_xlpm._v,IF(_xlpm._id=A57,_xlpm._k&amp;"="&amp;_xlpm._v,"")))))</f>
        <v>FLYAROUND_DEG=20,160;FLYAROUND_RADIUS=9.5,12;FLYAROUND_COUNT_MAX=6;FLYAROUND_COUNT_MIN=3;SUB_CELL_COUNT_MAX=7;CREATE_INTERVAL_SEC=3;CREATE_RADIUS=2</v>
      </c>
    </row>
    <row r="58" spans="1:46">
      <c r="A58" s="24">
        <v>201807</v>
      </c>
      <c r="B58" s="24" t="str">
        <f t="shared" si="18"/>
        <v>enemy_201807</v>
      </c>
      <c r="C58" s="25" t="s">
        <v>180</v>
      </c>
      <c r="D58" s="25" t="s">
        <v>194</v>
      </c>
      <c r="E58" s="66"/>
      <c r="F58" s="66"/>
      <c r="G58" s="79" t="s">
        <v>77</v>
      </c>
      <c r="H58" s="24">
        <v>2</v>
      </c>
      <c r="I58" s="24">
        <v>0</v>
      </c>
      <c r="J58" s="24">
        <v>0.5</v>
      </c>
      <c r="M58" s="24" t="str" cm="1">
        <f ca="1" t="array" ref="M58">_xlfn.TEXTJOIN(";",1,_xlfn.LAMBDA(_xlpm.x,IF(_xlpm.x&lt;&gt;"",OFFSET(_xlpm.x,3-ROW(),0)&amp;"="&amp;_xlpm.x,""))(N58:S58))</f>
        <v>sharp=4</v>
      </c>
      <c r="N58" s="47">
        <v>4</v>
      </c>
      <c r="O58" s="68"/>
      <c r="P58" s="68"/>
      <c r="Q58" s="68"/>
      <c r="R58" s="68"/>
      <c r="S58" s="68"/>
      <c r="V58" s="24">
        <v>10</v>
      </c>
      <c r="W58" s="48">
        <v>45</v>
      </c>
      <c r="X58" s="49">
        <f>$W58*$J58</f>
        <v>22.5</v>
      </c>
      <c r="Y58" s="80"/>
      <c r="Z58" s="80"/>
      <c r="AA58" s="69" t="str">
        <f t="shared" si="19"/>
        <v>monster_201807_Lake_SmallJelly</v>
      </c>
      <c r="AB58" s="50" t="s">
        <v>195</v>
      </c>
      <c r="AC58" s="69" t="str">
        <f t="shared" si="20"/>
        <v>BT_Lake_SmallJelly</v>
      </c>
      <c r="AD58" s="67"/>
      <c r="AE58" s="24">
        <v>0.15</v>
      </c>
      <c r="AF58" s="67" t="str">
        <f>_xlfn.XLOOKUP(A58,'-loot_list辅助配置表'!A:A,'-loot_list辅助配置表'!V:V)</f>
        <v/>
      </c>
      <c r="AG58" s="69" t="str">
        <f t="shared" si="21"/>
        <v>vfx_monster_die_1;vfx_monster_die_2;vfx_monster_die_3;vfx_monster_die_4</v>
      </c>
      <c r="AH58" s="51" t="s">
        <v>79</v>
      </c>
      <c r="AI58" s="51" t="s">
        <v>80</v>
      </c>
      <c r="AJ58" s="51" t="s">
        <v>81</v>
      </c>
      <c r="AK58" s="51" t="s">
        <v>82</v>
      </c>
      <c r="AM58" s="51" t="s">
        <v>183</v>
      </c>
      <c r="AN58" s="68">
        <v>0</v>
      </c>
      <c r="AO58" s="67" t="str" cm="1">
        <f t="array" ref="AO58">_xlfn.TEXTJOIN(";",1,IF(AP58:AQ58&lt;&gt;"",AP58:AQ58&amp;"="&amp;AR58:AS58,""))</f>
        <v/>
      </c>
      <c r="AT58" s="81" t="str" cm="1">
        <f ca="1" t="array" ref="AT58">_xlfn.LET(_xlpm._tb,"tb_diy_0"&amp;MID(A58,4,1),_xlfn.TEXTJOIN(";",1,_xlfn.MAP(INDIRECT(_xlpm._tb&amp;"[id]"),INDIRECT(_xlpm._tb&amp;"[parm_key]"),INDIRECT(_xlpm._tb&amp;"[parm_value]"),_xlfn.LAMBDA(_xlpm._id,_xlpm._k,_xlpm._v,IF(_xlpm._id=A58,_xlpm._k&amp;"="&amp;_xlpm._v,"")))))</f>
        <v>FLYAROUND_DEG=10,170;FLYAROUND_RADIUS=2,4;FLYAROUND_COUNT_MAX=6;FLYAROUND_COUNT_MIN=3;IDLE_SPEED=4;CHARGE_SPEED=16</v>
      </c>
    </row>
    <row r="59" spans="1:46">
      <c r="A59" s="24">
        <v>201809</v>
      </c>
      <c r="B59" s="24" t="str">
        <f t="shared" si="18"/>
        <v>enemy_201809</v>
      </c>
      <c r="C59" s="25" t="s">
        <v>180</v>
      </c>
      <c r="D59" s="25" t="s">
        <v>196</v>
      </c>
      <c r="E59" s="66"/>
      <c r="F59" s="66"/>
      <c r="G59" s="79" t="s">
        <v>77</v>
      </c>
      <c r="H59" s="24">
        <v>43</v>
      </c>
      <c r="I59" s="24">
        <v>0</v>
      </c>
      <c r="J59" s="24">
        <v>4.3</v>
      </c>
      <c r="M59" s="24" t="str" cm="1">
        <f ca="1" t="array" ref="M59">_xlfn.TEXTJOIN(";",1,_xlfn.LAMBDA(_xlpm.x,IF(_xlpm.x&lt;&gt;"",OFFSET(_xlpm.x,3-ROW(),0)&amp;"="&amp;_xlpm.x,""))(N59:S59))</f>
        <v>sharp=5;blunt=5;acid=5</v>
      </c>
      <c r="N59" s="47">
        <v>5</v>
      </c>
      <c r="O59" s="47">
        <v>5</v>
      </c>
      <c r="P59" s="68"/>
      <c r="Q59" s="47">
        <v>5</v>
      </c>
      <c r="R59" s="68"/>
      <c r="S59" s="68"/>
      <c r="V59" s="84">
        <v>12</v>
      </c>
      <c r="W59" s="48">
        <v>6</v>
      </c>
      <c r="X59" s="49">
        <f>$W59*$J59</f>
        <v>25.8</v>
      </c>
      <c r="Y59" s="80"/>
      <c r="Z59" s="80"/>
      <c r="AA59" s="69" t="str">
        <f t="shared" si="19"/>
        <v>monster_201809_Lake_ExplodeJelly</v>
      </c>
      <c r="AB59" s="50" t="s">
        <v>197</v>
      </c>
      <c r="AC59" s="69" t="str">
        <f t="shared" si="20"/>
        <v>BT_Lake_ExplodeJelly</v>
      </c>
      <c r="AD59" s="67"/>
      <c r="AE59" s="24">
        <v>0.15</v>
      </c>
      <c r="AF59" s="67" t="str">
        <f>_xlfn.XLOOKUP(A59,'-loot_list辅助配置表'!A:A,'-loot_list辅助配置表'!V:V)</f>
        <v>10000=0.215;600804=0.0032</v>
      </c>
      <c r="AG59" s="69" t="str">
        <f t="shared" si="21"/>
        <v>vfx_monster_die_1;vfx_monster_die_2;vfx_monster_die_3;vfx_monster_die_4;vfx_monster_die_explode1</v>
      </c>
      <c r="AH59" s="51" t="s">
        <v>79</v>
      </c>
      <c r="AI59" s="51" t="s">
        <v>80</v>
      </c>
      <c r="AJ59" s="51" t="s">
        <v>81</v>
      </c>
      <c r="AK59" s="51" t="s">
        <v>82</v>
      </c>
      <c r="AL59" s="51" t="s">
        <v>118</v>
      </c>
      <c r="AM59" s="51" t="s">
        <v>183</v>
      </c>
      <c r="AN59" s="68">
        <v>0</v>
      </c>
      <c r="AO59" s="67" t="str" cm="1">
        <f t="array" ref="AO59">_xlfn.TEXTJOIN(";",1,IF(AP59:AQ59&lt;&gt;"",AP59:AQ59&amp;"="&amp;AR59:AS59,""))</f>
        <v/>
      </c>
      <c r="AT59" s="81" t="str" cm="1">
        <f ca="1" t="array" ref="AT59">_xlfn.LET(_xlpm._tb,"tb_diy_0"&amp;MID(A59,4,1),_xlfn.TEXTJOIN(";",1,_xlfn.MAP(INDIRECT(_xlpm._tb&amp;"[id]"),INDIRECT(_xlpm._tb&amp;"[parm_key]"),INDIRECT(_xlpm._tb&amp;"[parm_value]"),_xlfn.LAMBDA(_xlpm._id,_xlpm._k,_xlpm._v,IF(_xlpm._id=A59,_xlpm._k&amp;"="&amp;_xlpm._v,"")))))</f>
        <v>FLYAROUND_DEG=10,170;FLYAROUND_RADIUS=8,12;IDLE_SPEED=1;CHARGE_SPEED=11;EXPLODE_DIS=2.8;BEFORE_ATTACK_SEC=0.6</v>
      </c>
    </row>
    <row r="60" spans="1:46">
      <c r="A60" s="24">
        <v>201810</v>
      </c>
      <c r="B60" s="24" t="str">
        <f t="shared" si="18"/>
        <v>enemy_201810</v>
      </c>
      <c r="C60" s="25" t="s">
        <v>180</v>
      </c>
      <c r="D60" s="25" t="s">
        <v>198</v>
      </c>
      <c r="E60" s="66"/>
      <c r="F60" s="66"/>
      <c r="G60" s="79" t="s">
        <v>77</v>
      </c>
      <c r="H60" s="24">
        <v>60</v>
      </c>
      <c r="I60" s="24">
        <v>0</v>
      </c>
      <c r="J60" s="24">
        <v>20</v>
      </c>
      <c r="K60" s="24" t="b">
        <v>1</v>
      </c>
      <c r="M60" s="24" t="str" cm="1">
        <f ca="1" t="array" ref="M60">_xlfn.TEXTJOIN(";",1,_xlfn.LAMBDA(_xlpm.x,IF(_xlpm.x&lt;&gt;"",OFFSET(_xlpm.x,3-ROW(),0)&amp;"="&amp;_xlpm.x,""))(N60:S60))</f>
        <v/>
      </c>
      <c r="N60" s="68"/>
      <c r="O60" s="68"/>
      <c r="P60" s="68"/>
      <c r="Q60" s="68"/>
      <c r="R60" s="68"/>
      <c r="S60" s="68"/>
      <c r="V60" s="66"/>
      <c r="W60" s="82"/>
      <c r="X60" s="83"/>
      <c r="Y60" s="80"/>
      <c r="Z60" s="80"/>
      <c r="AA60" s="69" t="str">
        <f t="shared" si="19"/>
        <v>monster_201810_Lake_Swamp</v>
      </c>
      <c r="AB60" s="50" t="s">
        <v>199</v>
      </c>
      <c r="AC60" s="69" t="str">
        <f t="shared" si="20"/>
        <v>BT_Lake_Swamp</v>
      </c>
      <c r="AD60" s="67">
        <f>A60</f>
        <v>201810</v>
      </c>
      <c r="AE60" s="24">
        <v>0.15</v>
      </c>
      <c r="AF60" s="67" t="str">
        <f>_xlfn.XLOOKUP(A60,'-loot_list辅助配置表'!A:A,'-loot_list辅助配置表'!V:V)</f>
        <v>10000=0.3;600801=0.006</v>
      </c>
      <c r="AG60" s="69" t="str">
        <f t="shared" si="21"/>
        <v>vfx_monster_die_1;vfx_monster_die_2;vfx_monster_die_3;vfx_monster_die_4</v>
      </c>
      <c r="AH60" s="51" t="s">
        <v>79</v>
      </c>
      <c r="AI60" s="51" t="s">
        <v>80</v>
      </c>
      <c r="AJ60" s="51" t="s">
        <v>81</v>
      </c>
      <c r="AK60" s="51" t="s">
        <v>82</v>
      </c>
      <c r="AM60" s="51" t="s">
        <v>183</v>
      </c>
      <c r="AN60" s="68">
        <v>0</v>
      </c>
      <c r="AO60" s="67" t="str" cm="1">
        <f t="array" ref="AO60">_xlfn.TEXTJOIN(";",1,IF(AP60:AQ60&lt;&gt;"",AP60:AQ60&amp;"="&amp;AR60:AS60,""))</f>
        <v/>
      </c>
      <c r="AT60" s="81" t="str" cm="1">
        <f ca="1" t="array" ref="AT60">_xlfn.LET(_xlpm._tb,"tb_diy_0"&amp;MID(A60,4,1),_xlfn.TEXTJOIN(";",1,_xlfn.MAP(INDIRECT(_xlpm._tb&amp;"[id]"),INDIRECT(_xlpm._tb&amp;"[parm_key]"),INDIRECT(_xlpm._tb&amp;"[parm_value]"),_xlfn.LAMBDA(_xlpm._id,_xlpm._k,_xlpm._v,IF(_xlpm._id=A60,_xlpm._k&amp;"="&amp;_xlpm._v,"")))))</f>
        <v>WALK_SPEED=2;ATK_DIS=4;SHOOT_CD=2,3;RUNNING_FIRE_COUNT=4;BEFORE_ATTACK_SEC=0.1;AFTER_ATTACK_SEC=0.5</v>
      </c>
    </row>
    <row r="61" spans="1:46">
      <c r="A61" s="24">
        <v>201811</v>
      </c>
      <c r="B61" s="24" t="str">
        <f t="shared" si="18"/>
        <v>enemy_201811</v>
      </c>
      <c r="C61" s="25" t="s">
        <v>180</v>
      </c>
      <c r="D61" s="25" t="s">
        <v>200</v>
      </c>
      <c r="E61" s="66"/>
      <c r="F61" s="66"/>
      <c r="G61" s="79" t="s">
        <v>77</v>
      </c>
      <c r="H61" s="24">
        <v>35</v>
      </c>
      <c r="I61" s="24">
        <v>0</v>
      </c>
      <c r="J61" s="24">
        <v>10</v>
      </c>
      <c r="K61" s="24" t="b">
        <v>1</v>
      </c>
      <c r="M61" s="24" t="str" cm="1">
        <f ca="1" t="array" ref="M61">_xlfn.TEXTJOIN(";",1,_xlfn.LAMBDA(_xlpm.x,IF(_xlpm.x&lt;&gt;"",OFFSET(_xlpm.x,3-ROW(),0)&amp;"="&amp;_xlpm.x,""))(N61:S61))</f>
        <v>sharp=6</v>
      </c>
      <c r="N61" s="47">
        <v>6</v>
      </c>
      <c r="O61" s="68"/>
      <c r="P61" s="68"/>
      <c r="Q61" s="68"/>
      <c r="R61" s="68"/>
      <c r="S61" s="68"/>
      <c r="V61" s="66"/>
      <c r="W61" s="82"/>
      <c r="X61" s="83"/>
      <c r="Y61" s="80"/>
      <c r="Z61" s="80"/>
      <c r="AA61" s="69" t="str">
        <f t="shared" si="19"/>
        <v>monster_201811_Lake_Frog</v>
      </c>
      <c r="AB61" s="50" t="s">
        <v>201</v>
      </c>
      <c r="AC61" s="69" t="str">
        <f t="shared" si="20"/>
        <v>BT_Lake_Frog</v>
      </c>
      <c r="AD61" s="67"/>
      <c r="AE61" s="24">
        <v>0.15</v>
      </c>
      <c r="AF61" s="67" t="str">
        <f>_xlfn.XLOOKUP(A61,'-loot_list辅助配置表'!A:A,'-loot_list辅助配置表'!V:V)</f>
        <v>10000=0.175;600813=0.0194</v>
      </c>
      <c r="AG61" s="69" t="str">
        <f t="shared" si="21"/>
        <v>vfx_monster_die_1;vfx_monster_die_2;vfx_monster_die_3;vfx_monster_die_4</v>
      </c>
      <c r="AH61" s="51" t="s">
        <v>79</v>
      </c>
      <c r="AI61" s="51" t="s">
        <v>80</v>
      </c>
      <c r="AJ61" s="51" t="s">
        <v>81</v>
      </c>
      <c r="AK61" s="51" t="s">
        <v>82</v>
      </c>
      <c r="AM61" s="51" t="s">
        <v>183</v>
      </c>
      <c r="AN61" s="68">
        <v>0</v>
      </c>
      <c r="AO61" s="67" t="str" cm="1">
        <f t="array" ref="AO61">_xlfn.TEXTJOIN(";",1,IF(AP61:AQ61&lt;&gt;"",AP61:AQ61&amp;"="&amp;AR61:AS61,""))</f>
        <v/>
      </c>
      <c r="AT61" s="81" t="str" cm="1">
        <f ca="1" t="array" ref="AT61">_xlfn.LET(_xlpm._tb,"tb_diy_0"&amp;MID(A61,4,1),_xlfn.TEXTJOIN(";",1,_xlfn.MAP(INDIRECT(_xlpm._tb&amp;"[id]"),INDIRECT(_xlpm._tb&amp;"[parm_key]"),INDIRECT(_xlpm._tb&amp;"[parm_value]"),_xlfn.LAMBDA(_xlpm._id,_xlpm._k,_xlpm._v,IF(_xlpm._id=A61,_xlpm._k&amp;"="&amp;_xlpm._v,"")))))</f>
        <v>BEFORE_ATTACK_SEC=0.2;AFTER_ATTACK_SEC=0.5;ATK_DIS=6;TONGUE_LENGTH=8;ATK_SEC=0.2;JUMP_VELOCITY_X_MAX=3;JUMP_HEIGHT_AREA=1,1;JUMP_CD=0.5</v>
      </c>
    </row>
    <row r="62" spans="1:46">
      <c r="A62" s="24">
        <v>201813</v>
      </c>
      <c r="B62" s="24" t="str">
        <f t="shared" si="18"/>
        <v>enemy_201813</v>
      </c>
      <c r="C62" s="25" t="s">
        <v>180</v>
      </c>
      <c r="D62" s="25" t="s">
        <v>202</v>
      </c>
      <c r="E62" s="66"/>
      <c r="F62" s="66"/>
      <c r="G62" s="79" t="s">
        <v>77</v>
      </c>
      <c r="H62" s="24">
        <v>72</v>
      </c>
      <c r="I62" s="24">
        <v>0</v>
      </c>
      <c r="J62" s="24">
        <v>21.7</v>
      </c>
      <c r="K62" s="24" t="b">
        <v>1</v>
      </c>
      <c r="M62" s="24" t="str" cm="1">
        <f ca="1" t="array" ref="M62">_xlfn.TEXTJOIN(";",1,_xlfn.LAMBDA(_xlpm.x,IF(_xlpm.x&lt;&gt;"",OFFSET(_xlpm.x,3-ROW(),0)&amp;"="&amp;_xlpm.x,""))(N62:S62))</f>
        <v/>
      </c>
      <c r="N62" s="68"/>
      <c r="O62" s="68"/>
      <c r="P62" s="68"/>
      <c r="Q62" s="68"/>
      <c r="R62" s="68"/>
      <c r="S62" s="68"/>
      <c r="V62" s="24">
        <v>15</v>
      </c>
      <c r="W62" s="48">
        <v>1.5</v>
      </c>
      <c r="X62" s="49">
        <f>$W62*$J62</f>
        <v>32.55</v>
      </c>
      <c r="Y62" s="80"/>
      <c r="Z62" s="80"/>
      <c r="AA62" s="69" t="str">
        <f t="shared" si="19"/>
        <v>monster_201813_Lake_Squid</v>
      </c>
      <c r="AB62" s="50" t="s">
        <v>203</v>
      </c>
      <c r="AC62" s="69" t="str">
        <f t="shared" si="20"/>
        <v>BT_Lake_Squid</v>
      </c>
      <c r="AD62" s="67">
        <f>A62</f>
        <v>201813</v>
      </c>
      <c r="AE62" s="24">
        <v>0.15</v>
      </c>
      <c r="AF62" s="67" t="str">
        <f>_xlfn.XLOOKUP(A62,'-loot_list辅助配置表'!A:A,'-loot_list辅助配置表'!V:V)</f>
        <v>10000=0.36;600801=0.0072</v>
      </c>
      <c r="AG62" s="69" t="str">
        <f t="shared" si="21"/>
        <v>vfx_monster_die_1;vfx_monster_die_2;vfx_monster_die_3;vfx_monster_die_4</v>
      </c>
      <c r="AH62" s="51" t="s">
        <v>79</v>
      </c>
      <c r="AI62" s="51" t="s">
        <v>80</v>
      </c>
      <c r="AJ62" s="51" t="s">
        <v>81</v>
      </c>
      <c r="AK62" s="51" t="s">
        <v>82</v>
      </c>
      <c r="AM62" s="51" t="s">
        <v>183</v>
      </c>
      <c r="AN62" s="68">
        <v>0</v>
      </c>
      <c r="AO62" s="67" t="str" cm="1">
        <f t="array" ref="AO62">_xlfn.TEXTJOIN(";",1,IF(AP62:AQ62&lt;&gt;"",AP62:AQ62&amp;"="&amp;AR62:AS62,""))</f>
        <v/>
      </c>
      <c r="AT62" s="81" t="str" cm="1">
        <f ca="1" t="array" ref="AT62">_xlfn.LET(_xlpm._tb,"tb_diy_0"&amp;MID(A62,4,1),_xlfn.TEXTJOIN(";",1,_xlfn.MAP(INDIRECT(_xlpm._tb&amp;"[id]"),INDIRECT(_xlpm._tb&amp;"[parm_key]"),INDIRECT(_xlpm._tb&amp;"[parm_value]"),_xlfn.LAMBDA(_xlpm._id,_xlpm._k,_xlpm._v,IF(_xlpm._id=A62,_xlpm._k&amp;"="&amp;_xlpm._v,"")))))</f>
        <v>WALK_SPEED=3.4;ATK_DIS=8;SHOOT_CD=2,3;RUNNING_FIRE_COUNT=1;BEFORE_ATTACK_SEC=0.1;AFTER_ATTACK_SEC=0.5</v>
      </c>
    </row>
    <row r="63" spans="1:46">
      <c r="A63" s="24">
        <v>201814</v>
      </c>
      <c r="B63" s="24" t="str">
        <f t="shared" si="18"/>
        <v>enemy_201814</v>
      </c>
      <c r="C63" s="25" t="s">
        <v>180</v>
      </c>
      <c r="D63" s="25" t="s">
        <v>204</v>
      </c>
      <c r="E63" s="66"/>
      <c r="F63" s="66"/>
      <c r="G63" s="79" t="s">
        <v>77</v>
      </c>
      <c r="H63" s="24">
        <v>27</v>
      </c>
      <c r="I63" s="24">
        <v>0</v>
      </c>
      <c r="J63" s="24">
        <v>3.19</v>
      </c>
      <c r="K63" s="24" t="b">
        <v>1</v>
      </c>
      <c r="M63" s="24" t="str" cm="1">
        <f ca="1" t="array" ref="M63">_xlfn.TEXTJOIN(";",1,_xlfn.LAMBDA(_xlpm.x,IF(_xlpm.x&lt;&gt;"",OFFSET(_xlpm.x,3-ROW(),0)&amp;"="&amp;_xlpm.x,""))(N63:S63))</f>
        <v>sharp=2;blunt=2</v>
      </c>
      <c r="N63" s="47">
        <v>2</v>
      </c>
      <c r="O63" s="47">
        <v>2</v>
      </c>
      <c r="P63" s="68"/>
      <c r="Q63" s="68"/>
      <c r="R63" s="68"/>
      <c r="S63" s="68"/>
      <c r="V63" s="66"/>
      <c r="W63" s="82"/>
      <c r="X63" s="83"/>
      <c r="Y63" s="80"/>
      <c r="Z63" s="80"/>
      <c r="AA63" s="69" t="str">
        <f t="shared" si="19"/>
        <v>monster_201814_Lake_Crab</v>
      </c>
      <c r="AB63" s="50" t="s">
        <v>205</v>
      </c>
      <c r="AC63" s="69" t="str">
        <f t="shared" si="20"/>
        <v>BT_Lake_Crab</v>
      </c>
      <c r="AD63" s="67"/>
      <c r="AE63" s="24">
        <v>0.15</v>
      </c>
      <c r="AF63" s="67" t="str">
        <f>_xlfn.XLOOKUP(A63,'-loot_list辅助配置表'!A:A,'-loot_list辅助配置表'!V:V)</f>
        <v>10000=0.135;600805=0.0028;600806=0.0025</v>
      </c>
      <c r="AG63" s="69" t="str">
        <f t="shared" si="21"/>
        <v>vfx_monster_die_1;vfx_monster_die_2;vfx_monster_die_3;vfx_monster_die_4</v>
      </c>
      <c r="AH63" s="51" t="s">
        <v>79</v>
      </c>
      <c r="AI63" s="51" t="s">
        <v>80</v>
      </c>
      <c r="AJ63" s="51" t="s">
        <v>81</v>
      </c>
      <c r="AK63" s="51" t="s">
        <v>82</v>
      </c>
      <c r="AM63" s="51" t="s">
        <v>183</v>
      </c>
      <c r="AN63" s="68">
        <v>0</v>
      </c>
      <c r="AO63" s="67" t="str" cm="1">
        <f t="array" ref="AO63">_xlfn.TEXTJOIN(";",1,IF(AP63:AQ63&lt;&gt;"",AP63:AQ63&amp;"="&amp;AR63:AS63,""))</f>
        <v/>
      </c>
      <c r="AT63" s="81" t="str" cm="1">
        <f ca="1" t="array" ref="AT63">_xlfn.LET(_xlpm._tb,"tb_diy_0"&amp;MID(A63,4,1),_xlfn.TEXTJOIN(";",1,_xlfn.MAP(INDIRECT(_xlpm._tb&amp;"[id]"),INDIRECT(_xlpm._tb&amp;"[parm_key]"),INDIRECT(_xlpm._tb&amp;"[parm_value]"),_xlfn.LAMBDA(_xlpm._id,_xlpm._k,_xlpm._v,IF(_xlpm._id=A63,_xlpm._k&amp;"="&amp;_xlpm._v,"")))))</f>
        <v>WALK_SPEED=2.9;ATK_DIS=0.3;BEFORE_ATTACK_SEC=0.27;AFTER_ATTACK_SEC=0.31</v>
      </c>
    </row>
    <row r="64" spans="1:46">
      <c r="A64" s="24">
        <v>201815</v>
      </c>
      <c r="B64" s="24" t="str">
        <f t="shared" si="18"/>
        <v>enemy_201815</v>
      </c>
      <c r="C64" s="25" t="s">
        <v>180</v>
      </c>
      <c r="D64" s="25" t="s">
        <v>206</v>
      </c>
      <c r="E64" s="66"/>
      <c r="F64" s="66"/>
      <c r="G64" s="79" t="s">
        <v>77</v>
      </c>
      <c r="H64" s="24">
        <v>49</v>
      </c>
      <c r="I64" s="24">
        <v>0</v>
      </c>
      <c r="J64" s="24">
        <v>7.25</v>
      </c>
      <c r="K64" s="24" t="b">
        <v>1</v>
      </c>
      <c r="M64" s="24" t="str" cm="1">
        <f ca="1" t="array" ref="M64">_xlfn.TEXTJOIN(";",1,_xlfn.LAMBDA(_xlpm.x,IF(_xlpm.x&lt;&gt;"",OFFSET(_xlpm.x,3-ROW(),0)&amp;"="&amp;_xlpm.x,""))(N64:S64))</f>
        <v>sharp=4;blunt=4</v>
      </c>
      <c r="N64" s="47">
        <v>4</v>
      </c>
      <c r="O64" s="47">
        <v>4</v>
      </c>
      <c r="P64" s="68"/>
      <c r="Q64" s="68"/>
      <c r="R64" s="68"/>
      <c r="S64" s="68"/>
      <c r="V64" s="66"/>
      <c r="W64" s="82"/>
      <c r="X64" s="83"/>
      <c r="Y64" s="80"/>
      <c r="Z64" s="80"/>
      <c r="AA64" s="69" t="str">
        <f t="shared" si="19"/>
        <v>monster_201815_Lake_Crab</v>
      </c>
      <c r="AB64" s="50" t="s">
        <v>205</v>
      </c>
      <c r="AC64" s="69" t="str">
        <f t="shared" si="20"/>
        <v>BT_Lake_Crab</v>
      </c>
      <c r="AD64" s="67"/>
      <c r="AE64" s="24">
        <v>0.15</v>
      </c>
      <c r="AF64" s="67" t="str">
        <f>_xlfn.XLOOKUP(A64,'-loot_list辅助配置表'!A:A,'-loot_list辅助配置表'!V:V)</f>
        <v>10000=0.245;600805=0.0052;600806=0.0026</v>
      </c>
      <c r="AG64" s="69" t="str">
        <f t="shared" si="21"/>
        <v>vfx_monster_die_1;vfx_monster_die_2;vfx_monster_die_3;vfx_monster_die_4</v>
      </c>
      <c r="AH64" s="51" t="s">
        <v>79</v>
      </c>
      <c r="AI64" s="51" t="s">
        <v>80</v>
      </c>
      <c r="AJ64" s="51" t="s">
        <v>81</v>
      </c>
      <c r="AK64" s="51" t="s">
        <v>82</v>
      </c>
      <c r="AM64" s="51" t="s">
        <v>183</v>
      </c>
      <c r="AN64" s="68">
        <v>0</v>
      </c>
      <c r="AO64" s="67" t="str" cm="1">
        <f t="array" ref="AO64">_xlfn.TEXTJOIN(";",1,IF(AP64:AQ64&lt;&gt;"",AP64:AQ64&amp;"="&amp;AR64:AS64,""))</f>
        <v/>
      </c>
      <c r="AT64" s="81" t="str" cm="1">
        <f ca="1" t="array" ref="AT64">_xlfn.LET(_xlpm._tb,"tb_diy_0"&amp;MID(A64,4,1),_xlfn.TEXTJOIN(";",1,_xlfn.MAP(INDIRECT(_xlpm._tb&amp;"[id]"),INDIRECT(_xlpm._tb&amp;"[parm_key]"),INDIRECT(_xlpm._tb&amp;"[parm_value]"),_xlfn.LAMBDA(_xlpm._id,_xlpm._k,_xlpm._v,IF(_xlpm._id=A64,_xlpm._k&amp;"="&amp;_xlpm._v,"")))))</f>
        <v>WALK_SPEED=4;ATK_DIS=0.5;BEFORE_ATTACK_SEC=0.27;AFTER_ATTACK_SEC=0.31</v>
      </c>
    </row>
    <row r="65" spans="1:46">
      <c r="A65" s="24">
        <v>201818</v>
      </c>
      <c r="B65" s="24" t="str">
        <f t="shared" si="18"/>
        <v>enemy_201818</v>
      </c>
      <c r="C65" s="25" t="s">
        <v>180</v>
      </c>
      <c r="D65" s="25" t="s">
        <v>207</v>
      </c>
      <c r="E65" s="66"/>
      <c r="F65" s="66"/>
      <c r="G65" s="79" t="s">
        <v>77</v>
      </c>
      <c r="H65" s="24">
        <v>31</v>
      </c>
      <c r="I65" s="24">
        <v>0</v>
      </c>
      <c r="J65" s="24">
        <v>7.12</v>
      </c>
      <c r="K65" s="24" t="b">
        <v>1</v>
      </c>
      <c r="M65" s="24" t="str" cm="1">
        <f ca="1" t="array" ref="M65">_xlfn.TEXTJOIN(";",1,_xlfn.LAMBDA(_xlpm.x,IF(_xlpm.x&lt;&gt;"",OFFSET(_xlpm.x,3-ROW(),0)&amp;"="&amp;_xlpm.x,""))(N65:S65))</f>
        <v>sharp=3</v>
      </c>
      <c r="N65" s="47">
        <v>3</v>
      </c>
      <c r="O65" s="68"/>
      <c r="P65" s="68"/>
      <c r="Q65" s="68"/>
      <c r="R65" s="68"/>
      <c r="S65" s="68"/>
      <c r="V65" s="66"/>
      <c r="W65" s="82"/>
      <c r="X65" s="83"/>
      <c r="Y65" s="80"/>
      <c r="Z65" s="80"/>
      <c r="AA65" s="69" t="str">
        <f t="shared" si="19"/>
        <v>monster_201818_Lake_Shell</v>
      </c>
      <c r="AB65" s="50" t="s">
        <v>208</v>
      </c>
      <c r="AC65" s="69" t="str">
        <f t="shared" si="20"/>
        <v>BT_Lake_Shell</v>
      </c>
      <c r="AD65" s="67"/>
      <c r="AE65" s="24">
        <v>0.05</v>
      </c>
      <c r="AF65" s="67" t="str">
        <f>_xlfn.XLOOKUP(A65,'-loot_list辅助配置表'!A:A,'-loot_list辅助配置表'!V:V)</f>
        <v>10000=0.155;600807=0.0043;600808=0.0061;600809=0.0015;600810=0.0001</v>
      </c>
      <c r="AG65" s="69" t="str">
        <f t="shared" ref="AG65" si="22">_xlfn.TEXTJOIN(";",1,AH65:AL65)</f>
        <v>vfx_monster_die_1;vfx_monster_die_2;vfx_monster_die_3;vfx_monster_die_4</v>
      </c>
      <c r="AH65" s="51" t="s">
        <v>79</v>
      </c>
      <c r="AI65" s="51" t="s">
        <v>80</v>
      </c>
      <c r="AJ65" s="51" t="s">
        <v>81</v>
      </c>
      <c r="AK65" s="51" t="s">
        <v>82</v>
      </c>
      <c r="AM65" s="51" t="s">
        <v>183</v>
      </c>
      <c r="AN65" s="68">
        <v>0</v>
      </c>
      <c r="AO65" s="67" t="str" cm="1">
        <f t="array" ref="AO65">_xlfn.TEXTJOIN(";",1,IF(AP65:AQ65&lt;&gt;"",AP65:AQ65&amp;"="&amp;AR65:AS65,""))</f>
        <v/>
      </c>
      <c r="AT65" s="81" t="str" cm="1">
        <f ca="1" t="array" ref="AT65">_xlfn.LET(_xlpm._tb,"tb_diy_0"&amp;MID(A65,4,1),_xlfn.TEXTJOIN(";",1,_xlfn.MAP(INDIRECT(_xlpm._tb&amp;"[id]"),INDIRECT(_xlpm._tb&amp;"[parm_key]"),INDIRECT(_xlpm._tb&amp;"[parm_value]"),_xlfn.LAMBDA(_xlpm._id,_xlpm._k,_xlpm._v,IF(_xlpm._id=A65,_xlpm._k&amp;"="&amp;_xlpm._v,"")))))</f>
        <v>JUMP_CD=0.58;ATK_AREA=1,2;JUMP_VELOCITY_X_MAX=10;JUMP_HEIGHT_AREA=0.8,1.7</v>
      </c>
    </row>
    <row r="66" spans="1:46">
      <c r="A66" s="24">
        <v>201819</v>
      </c>
      <c r="B66" s="24" t="str">
        <f t="shared" si="18"/>
        <v>enemy_201819</v>
      </c>
      <c r="C66" s="25" t="s">
        <v>180</v>
      </c>
      <c r="D66" s="25" t="s">
        <v>209</v>
      </c>
      <c r="E66" s="66"/>
      <c r="F66" s="66"/>
      <c r="G66" s="79" t="s">
        <v>77</v>
      </c>
      <c r="H66" s="24">
        <v>53</v>
      </c>
      <c r="I66" s="24">
        <v>0</v>
      </c>
      <c r="J66" s="24">
        <v>13.42</v>
      </c>
      <c r="K66" s="24" t="b">
        <v>1</v>
      </c>
      <c r="M66" s="24" t="str" cm="1">
        <f ca="1" t="array" ref="M66">_xlfn.TEXTJOIN(";",1,_xlfn.LAMBDA(_xlpm.x,IF(_xlpm.x&lt;&gt;"",OFFSET(_xlpm.x,3-ROW(),0)&amp;"="&amp;_xlpm.x,""))(N66:S66))</f>
        <v>sharp=5;blunt=1</v>
      </c>
      <c r="N66" s="47">
        <v>5</v>
      </c>
      <c r="O66" s="47">
        <v>1</v>
      </c>
      <c r="P66" s="68"/>
      <c r="Q66" s="68"/>
      <c r="R66" s="68"/>
      <c r="S66" s="68"/>
      <c r="V66" s="66"/>
      <c r="W66" s="82"/>
      <c r="X66" s="83"/>
      <c r="Y66" s="80"/>
      <c r="Z66" s="80"/>
      <c r="AA66" s="69" t="str">
        <f t="shared" si="19"/>
        <v>monster_201819_Lake_Shell</v>
      </c>
      <c r="AB66" s="50" t="s">
        <v>208</v>
      </c>
      <c r="AC66" s="69" t="str">
        <f t="shared" si="20"/>
        <v>BT_Lake_Shell</v>
      </c>
      <c r="AD66" s="67"/>
      <c r="AE66" s="24">
        <v>0.05</v>
      </c>
      <c r="AF66" s="67" t="str">
        <f>_xlfn.XLOOKUP(A66,'-loot_list辅助配置表'!A:A,'-loot_list辅助配置表'!V:V)</f>
        <v>10000=0.265;600807=0.0074;600808=0.006;600809=0.0028;600810=0.0003</v>
      </c>
      <c r="AG66" s="69" t="str">
        <f t="shared" ref="AG66:AG67" si="23">_xlfn.TEXTJOIN(";",1,AH66:AL66)</f>
        <v>vfx_monster_die_1;vfx_monster_die_2;vfx_monster_die_3;vfx_monster_die_4</v>
      </c>
      <c r="AH66" s="51" t="s">
        <v>79</v>
      </c>
      <c r="AI66" s="51" t="s">
        <v>80</v>
      </c>
      <c r="AJ66" s="51" t="s">
        <v>81</v>
      </c>
      <c r="AK66" s="51" t="s">
        <v>82</v>
      </c>
      <c r="AM66" s="51" t="s">
        <v>183</v>
      </c>
      <c r="AN66" s="68">
        <v>0</v>
      </c>
      <c r="AO66" s="67" t="str" cm="1">
        <f t="array" ref="AO66">_xlfn.TEXTJOIN(";",1,IF(AP66:AQ66&lt;&gt;"",AP66:AQ66&amp;"="&amp;AR66:AS66,""))</f>
        <v/>
      </c>
      <c r="AT66" s="81" t="str" cm="1">
        <f ca="1" t="array" ref="AT66">_xlfn.LET(_xlpm._tb,"tb_diy_0"&amp;MID(A66,4,1),_xlfn.TEXTJOIN(";",1,_xlfn.MAP(INDIRECT(_xlpm._tb&amp;"[id]"),INDIRECT(_xlpm._tb&amp;"[parm_key]"),INDIRECT(_xlpm._tb&amp;"[parm_value]"),_xlfn.LAMBDA(_xlpm._id,_xlpm._k,_xlpm._v,IF(_xlpm._id=A66,_xlpm._k&amp;"="&amp;_xlpm._v,"")))))</f>
        <v>JUMP_CD=0.31;ATK_AREA=1,2;JUMP_VELOCITY_X_MAX=22;JUMP_HEIGHT_AREA=1,2</v>
      </c>
    </row>
    <row r="67" spans="1:46">
      <c r="A67" s="24">
        <v>201820</v>
      </c>
      <c r="B67" s="24" t="str">
        <f t="shared" si="18"/>
        <v>enemy_201820</v>
      </c>
      <c r="C67" s="25" t="s">
        <v>180</v>
      </c>
      <c r="D67" s="25" t="s">
        <v>210</v>
      </c>
      <c r="E67" s="66"/>
      <c r="F67" s="66"/>
      <c r="G67" s="79" t="s">
        <v>77</v>
      </c>
      <c r="H67" s="24">
        <v>43</v>
      </c>
      <c r="I67" s="24">
        <v>0</v>
      </c>
      <c r="J67" s="24">
        <v>4.3</v>
      </c>
      <c r="M67" s="24" t="str" cm="1">
        <f ca="1" t="array" ref="M67">_xlfn.TEXTJOIN(";",1,_xlfn.LAMBDA(_xlpm.x,IF(_xlpm.x&lt;&gt;"",OFFSET(_xlpm.x,3-ROW(),0)&amp;"="&amp;_xlpm.x,""))(N67:S67))</f>
        <v>sharp=5;blunt=5;acid=5</v>
      </c>
      <c r="N67" s="47">
        <v>5</v>
      </c>
      <c r="O67" s="47">
        <v>5</v>
      </c>
      <c r="P67" s="68"/>
      <c r="Q67" s="47">
        <v>5</v>
      </c>
      <c r="R67" s="68"/>
      <c r="S67" s="68"/>
      <c r="V67" s="84">
        <v>12</v>
      </c>
      <c r="W67" s="48">
        <v>6</v>
      </c>
      <c r="X67" s="49">
        <f>$W67*$J67</f>
        <v>25.8</v>
      </c>
      <c r="Y67" s="80"/>
      <c r="Z67" s="80"/>
      <c r="AA67" s="69" t="str">
        <f t="shared" si="19"/>
        <v>monster_201820_Lake_Lit_ExplodeJelly</v>
      </c>
      <c r="AB67" s="50" t="s">
        <v>211</v>
      </c>
      <c r="AC67" s="85" t="s">
        <v>212</v>
      </c>
      <c r="AD67" s="67"/>
      <c r="AE67" s="24">
        <v>0.15</v>
      </c>
      <c r="AF67" s="67" t="str">
        <f>_xlfn.XLOOKUP(A67,'-loot_list辅助配置表'!A:A,'-loot_list辅助配置表'!V:V)</f>
        <v>10000=0.215;600804=0.0032</v>
      </c>
      <c r="AG67" s="69" t="str">
        <f t="shared" si="23"/>
        <v>vfx_monster_die_1;vfx_monster_die_2;vfx_monster_die_3;vfx_monster_die_4;vfx_monster_die_explode1</v>
      </c>
      <c r="AH67" s="51" t="s">
        <v>79</v>
      </c>
      <c r="AI67" s="51" t="s">
        <v>80</v>
      </c>
      <c r="AJ67" s="51" t="s">
        <v>81</v>
      </c>
      <c r="AK67" s="51" t="s">
        <v>82</v>
      </c>
      <c r="AL67" s="51" t="s">
        <v>118</v>
      </c>
      <c r="AM67" s="51" t="s">
        <v>183</v>
      </c>
      <c r="AN67" s="68">
        <v>0</v>
      </c>
      <c r="AO67" s="67" t="str" cm="1">
        <f t="array" ref="AO67">_xlfn.TEXTJOIN(";",1,IF(AP67:AQ67&lt;&gt;"",AP67:AQ67&amp;"="&amp;AR67:AS67,""))</f>
        <v/>
      </c>
      <c r="AT67" s="81" t="str" cm="1">
        <f ca="1" t="array" ref="AT67">_xlfn.LET(_xlpm._tb,"tb_diy_0"&amp;MID(A67,4,1),_xlfn.TEXTJOIN(";",1,_xlfn.MAP(INDIRECT(_xlpm._tb&amp;"[id]"),INDIRECT(_xlpm._tb&amp;"[parm_key]"),INDIRECT(_xlpm._tb&amp;"[parm_value]"),_xlfn.LAMBDA(_xlpm._id,_xlpm._k,_xlpm._v,IF(_xlpm._id=A67,_xlpm._k&amp;"="&amp;_xlpm._v,"")))))</f>
        <v>FLYAROUND_DEG=10,170;FLYAROUND_RADIUS=8,12;IDLE_SPEED=1;CHARGE_SPEED=11;EXPLODE_DIS=2.8;BEFORE_ATTACK_SEC=0.6</v>
      </c>
    </row>
    <row r="68" spans="1:46">
      <c r="A68" s="24">
        <v>201821</v>
      </c>
      <c r="B68" s="24" t="str">
        <f t="shared" si="18"/>
        <v>enemy_201821</v>
      </c>
      <c r="C68" s="25" t="s">
        <v>180</v>
      </c>
      <c r="D68" s="25" t="s">
        <v>213</v>
      </c>
      <c r="E68" s="66"/>
      <c r="F68" s="66"/>
      <c r="G68" s="79" t="s">
        <v>77</v>
      </c>
      <c r="H68" s="24">
        <v>31</v>
      </c>
      <c r="I68" s="24">
        <v>0</v>
      </c>
      <c r="J68" s="24">
        <v>7.12</v>
      </c>
      <c r="K68" s="24" t="b">
        <v>1</v>
      </c>
      <c r="M68" s="24" t="str" cm="1">
        <f ca="1" t="array" ref="M68">_xlfn.TEXTJOIN(";",1,_xlfn.LAMBDA(_xlpm.x,IF(_xlpm.x&lt;&gt;"",OFFSET(_xlpm.x,3-ROW(),0)&amp;"="&amp;_xlpm.x,""))(N68:S68))</f>
        <v>sharp=3</v>
      </c>
      <c r="N68" s="47">
        <v>3</v>
      </c>
      <c r="O68" s="68"/>
      <c r="P68" s="68"/>
      <c r="Q68" s="68"/>
      <c r="R68" s="68"/>
      <c r="S68" s="68"/>
      <c r="V68" s="66"/>
      <c r="W68" s="82"/>
      <c r="X68" s="83"/>
      <c r="Y68" s="80"/>
      <c r="Z68" s="80"/>
      <c r="AA68" s="69" t="str">
        <f t="shared" si="19"/>
        <v>monster_201821_Lake_Lit_Shell</v>
      </c>
      <c r="AB68" s="50" t="s">
        <v>214</v>
      </c>
      <c r="AC68" s="85" t="s">
        <v>215</v>
      </c>
      <c r="AD68" s="67"/>
      <c r="AE68" s="24">
        <v>0.05</v>
      </c>
      <c r="AF68" s="67" t="str">
        <f>_xlfn.XLOOKUP(A68,'-loot_list辅助配置表'!A:A,'-loot_list辅助配置表'!V:V)</f>
        <v>10000=0.155;600807=0.0043;600808=0.0061;600809=0.0015;600810=0.0001</v>
      </c>
      <c r="AG68" s="69" t="str">
        <f t="shared" ref="AG68:AG69" si="24">_xlfn.TEXTJOIN(";",1,AH68:AL68)</f>
        <v>vfx_monster_die_1;vfx_monster_die_2;vfx_monster_die_3;vfx_monster_die_4</v>
      </c>
      <c r="AH68" s="51" t="s">
        <v>79</v>
      </c>
      <c r="AI68" s="51" t="s">
        <v>80</v>
      </c>
      <c r="AJ68" s="51" t="s">
        <v>81</v>
      </c>
      <c r="AK68" s="51" t="s">
        <v>82</v>
      </c>
      <c r="AM68" s="51" t="s">
        <v>183</v>
      </c>
      <c r="AN68" s="68">
        <v>0</v>
      </c>
      <c r="AO68" s="67" t="str" cm="1">
        <f t="array" ref="AO68">_xlfn.TEXTJOIN(";",1,IF(AP68:AQ68&lt;&gt;"",AP68:AQ68&amp;"="&amp;AR68:AS68,""))</f>
        <v/>
      </c>
      <c r="AT68" s="81" t="str" cm="1">
        <f ca="1" t="array" ref="AT68">_xlfn.LET(_xlpm._tb,"tb_diy_0"&amp;MID(A68,4,1),_xlfn.TEXTJOIN(";",1,_xlfn.MAP(INDIRECT(_xlpm._tb&amp;"[id]"),INDIRECT(_xlpm._tb&amp;"[parm_key]"),INDIRECT(_xlpm._tb&amp;"[parm_value]"),_xlfn.LAMBDA(_xlpm._id,_xlpm._k,_xlpm._v,IF(_xlpm._id=A68,_xlpm._k&amp;"="&amp;_xlpm._v,"")))))</f>
        <v>JUMP_CD=0.58;ATK_AREA=1,2;JUMP_VELOCITY_X_MAX=10;JUMP_HEIGHT_AREA=0.8,1.7</v>
      </c>
    </row>
    <row r="69" spans="1:46">
      <c r="A69" s="24">
        <v>201822</v>
      </c>
      <c r="B69" s="24" t="str">
        <f t="shared" si="18"/>
        <v>enemy_201822</v>
      </c>
      <c r="C69" s="25" t="s">
        <v>180</v>
      </c>
      <c r="D69" s="25" t="s">
        <v>216</v>
      </c>
      <c r="E69" s="66"/>
      <c r="F69" s="66"/>
      <c r="G69" s="79" t="s">
        <v>77</v>
      </c>
      <c r="H69" s="24">
        <v>24</v>
      </c>
      <c r="I69" s="24">
        <v>0</v>
      </c>
      <c r="J69" s="24">
        <v>2.4</v>
      </c>
      <c r="M69" s="24" t="str" cm="1">
        <f ca="1" t="array" ref="M69">_xlfn.TEXTJOIN(";",1,_xlfn.LAMBDA(_xlpm.x,IF(_xlpm.x&lt;&gt;"",OFFSET(_xlpm.x,3-ROW(),0)&amp;"="&amp;_xlpm.x,""))(N69:S69))</f>
        <v>sharp=2</v>
      </c>
      <c r="N69" s="47">
        <v>2</v>
      </c>
      <c r="O69" s="68"/>
      <c r="P69" s="68"/>
      <c r="Q69" s="68"/>
      <c r="R69" s="68"/>
      <c r="S69" s="68"/>
      <c r="V69" s="24">
        <v>5</v>
      </c>
      <c r="W69" s="48">
        <v>8</v>
      </c>
      <c r="X69" s="49">
        <f>$W69*$J69</f>
        <v>19.2</v>
      </c>
      <c r="Y69" s="80"/>
      <c r="Z69" s="80"/>
      <c r="AA69" s="69" t="str">
        <f t="shared" si="19"/>
        <v>monster_201822_Lake_Lit_XiaoYao</v>
      </c>
      <c r="AB69" s="50" t="s">
        <v>217</v>
      </c>
      <c r="AC69" s="85" t="s">
        <v>218</v>
      </c>
      <c r="AD69" s="67"/>
      <c r="AE69" s="24">
        <v>0.15</v>
      </c>
      <c r="AF69" s="67" t="str">
        <f>_xlfn.XLOOKUP(A69,'-loot_list辅助配置表'!A:A,'-loot_list辅助配置表'!V:V)</f>
        <v>10000=0.12;600801=0.0125;600811=0.0006;600813=0.0006</v>
      </c>
      <c r="AG69" s="69" t="str">
        <f t="shared" si="24"/>
        <v>vfx_monster_die_1;vfx_monster_die_2;vfx_monster_die_3;vfx_monster_die_4</v>
      </c>
      <c r="AH69" s="51" t="s">
        <v>79</v>
      </c>
      <c r="AI69" s="51" t="s">
        <v>80</v>
      </c>
      <c r="AJ69" s="51" t="s">
        <v>81</v>
      </c>
      <c r="AK69" s="51" t="s">
        <v>82</v>
      </c>
      <c r="AM69" s="51" t="s">
        <v>183</v>
      </c>
      <c r="AN69" s="68">
        <v>0</v>
      </c>
      <c r="AO69" s="67" t="str" cm="1">
        <f t="array" ref="AO69">_xlfn.TEXTJOIN(";",1,IF(AP69:AQ69&lt;&gt;"",AP69:AQ69&amp;"="&amp;AR69:AS69,""))</f>
        <v/>
      </c>
      <c r="AT69" s="81" t="str" cm="1">
        <f ca="1" t="array" ref="AT69">_xlfn.LET(_xlpm._tb,"tb_diy_0"&amp;MID(A69,4,1),_xlfn.TEXTJOIN(";",1,_xlfn.MAP(INDIRECT(_xlpm._tb&amp;"[id]"),INDIRECT(_xlpm._tb&amp;"[parm_key]"),INDIRECT(_xlpm._tb&amp;"[parm_value]"),_xlfn.LAMBDA(_xlpm._id,_xlpm._k,_xlpm._v,IF(_xlpm._id=A69,_xlpm._k&amp;"="&amp;_xlpm._v,"")))))</f>
        <v>FLYAROUND_DEG=35,145;FLYAROUND_RADIUS=6,9;FLYAROUND_COUNT_MAX=3;FLYAROUND_COUNT_MIN=1;FLYFOLLOW_DIS=1,2;BEFORE_ATTACK_SEC=0.2;AFTER_ATTACK_SEC=0.5</v>
      </c>
    </row>
    <row r="70" spans="1:46">
      <c r="A70" s="24">
        <v>201850</v>
      </c>
      <c r="B70" s="24" t="str">
        <f t="shared" si="18"/>
        <v>enemy_201850</v>
      </c>
      <c r="C70" s="25" t="s">
        <v>180</v>
      </c>
      <c r="D70" s="25" t="s">
        <v>219</v>
      </c>
      <c r="E70" s="66"/>
      <c r="F70" s="66"/>
      <c r="G70" s="79" t="s">
        <v>77</v>
      </c>
      <c r="H70" s="24">
        <v>3500</v>
      </c>
      <c r="I70" s="24">
        <v>0</v>
      </c>
      <c r="J70" s="24">
        <v>1000</v>
      </c>
      <c r="L70" s="24" t="b">
        <v>1</v>
      </c>
      <c r="M70" s="24" t="str" cm="1">
        <f ca="1" t="array" ref="M70">_xlfn.TEXTJOIN(";",1,_xlfn.LAMBDA(_xlpm.x,IF(_xlpm.x&lt;&gt;"",OFFSET(_xlpm.x,3-ROW(),0)&amp;"="&amp;_xlpm.x,""))(N70:S70))</f>
        <v>sharp=15</v>
      </c>
      <c r="N70" s="47">
        <v>15</v>
      </c>
      <c r="O70" s="68"/>
      <c r="P70" s="68"/>
      <c r="Q70" s="68"/>
      <c r="R70" s="68"/>
      <c r="S70" s="68"/>
      <c r="V70" s="24">
        <v>7</v>
      </c>
      <c r="W70" s="48">
        <v>15</v>
      </c>
      <c r="X70" s="49">
        <f>$W70*$J70</f>
        <v>15000</v>
      </c>
      <c r="Y70" s="80"/>
      <c r="Z70" s="80"/>
      <c r="AA70" s="69" t="str">
        <f t="shared" si="19"/>
        <v>monster_201850_Lake_GoldFish_King</v>
      </c>
      <c r="AB70" s="50" t="s">
        <v>220</v>
      </c>
      <c r="AC70" s="69" t="str">
        <f>_xlfn.TEXTJOIN("_",1,"BT",$AB70)</f>
        <v>BT_Lake_GoldFish_King</v>
      </c>
      <c r="AD70" s="67"/>
      <c r="AE70" s="24">
        <v>0.15</v>
      </c>
      <c r="AF70" s="67" t="str">
        <f>_xlfn.XLOOKUP(A70,'-loot_list辅助配置表'!A:A,'-loot_list辅助配置表'!V:V)</f>
        <v/>
      </c>
      <c r="AG70" s="69" t="str">
        <f t="shared" ref="AG70" si="25">_xlfn.TEXTJOIN(";",1,AH70:AL70)</f>
        <v>vfx_monster_die_1;vfx_monster_die_2;vfx_monster_die_3;vfx_monster_die_4</v>
      </c>
      <c r="AH70" s="51" t="s">
        <v>79</v>
      </c>
      <c r="AI70" s="51" t="s">
        <v>80</v>
      </c>
      <c r="AJ70" s="51" t="s">
        <v>81</v>
      </c>
      <c r="AK70" s="51" t="s">
        <v>82</v>
      </c>
      <c r="AM70" s="51" t="s">
        <v>183</v>
      </c>
      <c r="AN70" s="68">
        <v>0</v>
      </c>
      <c r="AO70" s="67" t="str" cm="1">
        <f t="array" ref="AO70">_xlfn.TEXTJOIN(";",1,IF(AP70:AQ70&lt;&gt;"",AP70:AQ70&amp;"="&amp;AR70:AS70,""))</f>
        <v/>
      </c>
      <c r="AT70" s="81" t="str" cm="1">
        <f ca="1" t="array" ref="AT70">_xlfn.LET(_xlpm._tb,"tb_diy_0"&amp;MID(A70,4,1),_xlfn.TEXTJOIN(";",1,_xlfn.MAP(INDIRECT(_xlpm._tb&amp;"[id]"),INDIRECT(_xlpm._tb&amp;"[parm_key]"),INDIRECT(_xlpm._tb&amp;"[parm_value]"),_xlfn.LAMBDA(_xlpm._id,_xlpm._k,_xlpm._v,IF(_xlpm._id=A70,_xlpm._k&amp;"="&amp;_xlpm._v,"")))))</f>
        <v>FLYAROUND_DEG=30,150;FLYAROUND_RADIUS=8,12;FLYAROUND_COUNT_MAX=1;FLYAROUND_COUNT_MIN=1;CD=5;HP_CLIP_COUNT=3;BUBBLE_COUNT=10;BUBBLE_INTERVAL_SEC=0.15</v>
      </c>
    </row>
    <row r="71" spans="1:46">
      <c r="A71" s="24">
        <v>201860</v>
      </c>
      <c r="B71" s="24" t="str">
        <f t="shared" si="18"/>
        <v>enemy_201860</v>
      </c>
      <c r="C71" s="25" t="s">
        <v>180</v>
      </c>
      <c r="D71" s="25" t="s">
        <v>221</v>
      </c>
      <c r="E71" s="66"/>
      <c r="F71" s="66"/>
      <c r="G71" s="79" t="s">
        <v>77</v>
      </c>
      <c r="H71" s="24">
        <v>4000</v>
      </c>
      <c r="I71" s="24">
        <v>0</v>
      </c>
      <c r="J71" s="24">
        <v>1000</v>
      </c>
      <c r="L71" s="24" t="b">
        <v>1</v>
      </c>
      <c r="M71" s="24" t="str" cm="1">
        <f ca="1" t="array" ref="M71">_xlfn.TEXTJOIN(";",1,_xlfn.LAMBDA(_xlpm.x,IF(_xlpm.x&lt;&gt;"",OFFSET(_xlpm.x,3-ROW(),0)&amp;"="&amp;_xlpm.x,""))(N71:S71))</f>
        <v>sharp=30;blunt=10;acid=10</v>
      </c>
      <c r="N71" s="47">
        <v>30</v>
      </c>
      <c r="O71" s="47">
        <v>10</v>
      </c>
      <c r="P71" s="68"/>
      <c r="Q71" s="47">
        <v>10</v>
      </c>
      <c r="R71" s="68"/>
      <c r="S71" s="68"/>
      <c r="V71" s="24">
        <v>7</v>
      </c>
      <c r="W71" s="48">
        <v>15</v>
      </c>
      <c r="X71" s="49">
        <f>$W71*$J71</f>
        <v>15000</v>
      </c>
      <c r="Y71" s="80" t="b">
        <v>1</v>
      </c>
      <c r="Z71" s="80"/>
      <c r="AA71" s="69" t="str">
        <f t="shared" si="19"/>
        <v>monster_201860_Lake_BigTeeth</v>
      </c>
      <c r="AB71" s="50" t="s">
        <v>222</v>
      </c>
      <c r="AC71" s="69" t="str">
        <f t="shared" si="20"/>
        <v>BT_Lake_BigTeeth</v>
      </c>
      <c r="AD71" s="67"/>
      <c r="AE71" s="24">
        <v>0.15</v>
      </c>
      <c r="AF71" s="67" t="str">
        <f>_xlfn.XLOOKUP(A71,'-loot_list辅助配置表'!A:A,'-loot_list辅助配置表'!V:V)</f>
        <v/>
      </c>
      <c r="AG71" s="69" t="str">
        <f t="shared" ref="AG71" si="26">_xlfn.TEXTJOIN(";",1,AH71:AL71)</f>
        <v>vfx_monster_die_1;vfx_monster_die_2;vfx_monster_die_3;vfx_monster_die_4</v>
      </c>
      <c r="AH71" s="51" t="s">
        <v>79</v>
      </c>
      <c r="AI71" s="51" t="s">
        <v>80</v>
      </c>
      <c r="AJ71" s="51" t="s">
        <v>81</v>
      </c>
      <c r="AK71" s="51" t="s">
        <v>82</v>
      </c>
      <c r="AM71" s="51" t="s">
        <v>183</v>
      </c>
      <c r="AN71" s="68">
        <v>0</v>
      </c>
      <c r="AO71" s="67" t="str" cm="1">
        <f t="array" ref="AO71">_xlfn.TEXTJOIN(";",1,IF(AP71:AQ71&lt;&gt;"",AP71:AQ71&amp;"="&amp;AR71:AS71,""))</f>
        <v/>
      </c>
      <c r="AT71" s="81" t="str" cm="1">
        <f ca="1" t="array" ref="AT71">_xlfn.LET(_xlpm._tb,"tb_diy_0"&amp;MID(A71,4,1),_xlfn.TEXTJOIN(";",1,_xlfn.MAP(INDIRECT(_xlpm._tb&amp;"[id]"),INDIRECT(_xlpm._tb&amp;"[parm_key]"),INDIRECT(_xlpm._tb&amp;"[parm_value]"),_xlfn.LAMBDA(_xlpm._id,_xlpm._k,_xlpm._v,IF(_xlpm._id=A71,_xlpm._k&amp;"="&amp;_xlpm._v,"")))))</f>
        <v>FLYAROUND_DEG=30,150;FLYAROUND_RADIUS=4.5,8;FLYAROUND_COUNT_MAX=2;FLYAROUND_COUNT_MIN=1;CD=3;AFTER_ATTACK_SEC=4;IDLE_SPEED=8;CHARGE_SPEED=16;HP_CLIP_COUNT=3</v>
      </c>
    </row>
    <row r="72" spans="1:46">
      <c r="A72" s="24">
        <v>201870</v>
      </c>
      <c r="B72" s="24" t="str">
        <f t="shared" si="18"/>
        <v>enemy_201870</v>
      </c>
      <c r="C72" s="25" t="s">
        <v>180</v>
      </c>
      <c r="D72" s="25" t="s">
        <v>223</v>
      </c>
      <c r="E72" s="66"/>
      <c r="F72" s="66"/>
      <c r="G72" s="79" t="s">
        <v>77</v>
      </c>
      <c r="H72" s="24">
        <v>3000</v>
      </c>
      <c r="I72" s="24">
        <v>0</v>
      </c>
      <c r="J72" s="24">
        <v>1000</v>
      </c>
      <c r="L72" s="24" t="b">
        <v>1</v>
      </c>
      <c r="M72" s="24" t="str" cm="1">
        <f ca="1" t="array" ref="M72">_xlfn.TEXTJOIN(";",1,_xlfn.LAMBDA(_xlpm.x,IF(_xlpm.x&lt;&gt;"",OFFSET(_xlpm.x,3-ROW(),0)&amp;"="&amp;_xlpm.x,""))(N72:S72))</f>
        <v/>
      </c>
      <c r="N72" s="68"/>
      <c r="O72" s="68"/>
      <c r="P72" s="68"/>
      <c r="Q72" s="68"/>
      <c r="R72" s="68"/>
      <c r="S72" s="68"/>
      <c r="V72" s="24">
        <v>7</v>
      </c>
      <c r="W72" s="48">
        <v>15</v>
      </c>
      <c r="X72" s="49">
        <f>$W72*$J72</f>
        <v>15000</v>
      </c>
      <c r="Y72" s="80"/>
      <c r="Z72" s="80"/>
      <c r="AA72" s="69" t="str">
        <f t="shared" si="19"/>
        <v>monster_201870_Lake_Tangler</v>
      </c>
      <c r="AB72" s="50" t="s">
        <v>224</v>
      </c>
      <c r="AC72" s="69" t="str">
        <f t="shared" si="20"/>
        <v>BT_Lake_Tangler</v>
      </c>
      <c r="AD72" s="67">
        <f>A72</f>
        <v>201870</v>
      </c>
      <c r="AE72" s="24">
        <v>0.15</v>
      </c>
      <c r="AF72" s="67" t="str">
        <f>_xlfn.XLOOKUP(A72,'-loot_list辅助配置表'!A:A,'-loot_list辅助配置表'!V:V)</f>
        <v/>
      </c>
      <c r="AG72" s="69" t="str">
        <f t="shared" ref="AG72" si="27">_xlfn.TEXTJOIN(";",1,AH72:AL72)</f>
        <v>vfx_monster_die_1;vfx_monster_die_2;vfx_monster_die_3;vfx_monster_die_4</v>
      </c>
      <c r="AH72" s="51" t="s">
        <v>79</v>
      </c>
      <c r="AI72" s="51" t="s">
        <v>80</v>
      </c>
      <c r="AJ72" s="51" t="s">
        <v>81</v>
      </c>
      <c r="AK72" s="51" t="s">
        <v>82</v>
      </c>
      <c r="AM72" s="51" t="s">
        <v>183</v>
      </c>
      <c r="AN72" s="68">
        <v>0</v>
      </c>
      <c r="AO72" s="67" t="str" cm="1">
        <f t="array" ref="AO72">_xlfn.TEXTJOIN(";",1,IF(AP72:AQ72&lt;&gt;"",AP72:AQ72&amp;"="&amp;AR72:AS72,""))</f>
        <v/>
      </c>
      <c r="AT72" s="81" t="str" cm="1">
        <f ca="1" t="array" ref="AT72">_xlfn.LET(_xlpm._tb,"tb_diy_0"&amp;MID(A72,4,1),_xlfn.TEXTJOIN(";",1,_xlfn.MAP(INDIRECT(_xlpm._tb&amp;"[id]"),INDIRECT(_xlpm._tb&amp;"[parm_key]"),INDIRECT(_xlpm._tb&amp;"[parm_value]"),_xlfn.LAMBDA(_xlpm._id,_xlpm._k,_xlpm._v,IF(_xlpm._id=A72,_xlpm._k&amp;"="&amp;_xlpm._v,"")))))</f>
        <v>FLYAROUND_DEG=30,150;FLYAROUND_RADIUS=8,12;FLYAROUND_COUNT_MAX=1;FLYAROUND_COUNT_MIN=1;CD=2;BEFORE_ATTACK_SEC=0.6;AFTER_ATTACK_SEC=0.4;HP_CLIP_COUNT=3;RUNNING_FIRE_COUNT=3</v>
      </c>
    </row>
    <row r="73" s="45" customFormat="1" spans="1:46">
      <c r="A73" s="71"/>
      <c r="B73" s="71"/>
      <c r="C73" s="72"/>
      <c r="D73" s="72"/>
      <c r="E73" s="75"/>
      <c r="F73" s="75"/>
      <c r="G73" s="75"/>
      <c r="H73" s="71"/>
      <c r="I73" s="71"/>
      <c r="J73" s="71"/>
      <c r="K73" s="71"/>
      <c r="L73" s="71"/>
      <c r="M73" s="71"/>
      <c r="N73" s="56"/>
      <c r="O73" s="56"/>
      <c r="P73" s="56"/>
      <c r="Q73" s="56"/>
      <c r="R73" s="56"/>
      <c r="S73" s="56"/>
      <c r="T73" s="71"/>
      <c r="U73" s="71"/>
      <c r="V73" s="71"/>
      <c r="W73" s="57"/>
      <c r="X73" s="73"/>
      <c r="Y73" s="71"/>
      <c r="Z73" s="71"/>
      <c r="AB73" s="74"/>
      <c r="AD73" s="71"/>
      <c r="AE73" s="71"/>
      <c r="AF73" s="75"/>
      <c r="AG73" s="78"/>
      <c r="AH73" s="76"/>
      <c r="AI73" s="76"/>
      <c r="AJ73" s="76"/>
      <c r="AK73" s="76"/>
      <c r="AL73" s="76"/>
      <c r="AM73" s="76"/>
      <c r="AN73" s="71"/>
      <c r="AO73" s="71"/>
      <c r="AP73" s="76"/>
      <c r="AQ73" s="76"/>
      <c r="AR73" s="76"/>
      <c r="AS73" s="76"/>
    </row>
    <row r="74" spans="1:46">
      <c r="A74" s="24">
        <v>211801</v>
      </c>
      <c r="B74" s="24" t="str">
        <f>_xlfn.TEXTJOIN("_",1,"enemy",$A74)</f>
        <v>enemy_211801</v>
      </c>
      <c r="C74" s="25" t="s">
        <v>180</v>
      </c>
      <c r="D74" s="25" t="s">
        <v>225</v>
      </c>
      <c r="E74" s="67" t="s">
        <v>107</v>
      </c>
      <c r="F74" s="67">
        <f>A74</f>
        <v>211801</v>
      </c>
      <c r="G74" s="67"/>
      <c r="H74" s="66"/>
      <c r="I74" s="66"/>
      <c r="J74" s="24">
        <v>5000</v>
      </c>
      <c r="K74" s="66"/>
      <c r="L74" s="66"/>
      <c r="M74" s="24" t="str" cm="1">
        <f ca="1" t="array" ref="M74">_xlfn.TEXTJOIN(";",1,_xlfn.LAMBDA(_xlpm.x,IF(_xlpm.x&lt;&gt;"",OFFSET(_xlpm.x,3-ROW(),0)&amp;"="&amp;_xlpm.x,""))(N74:S74))</f>
        <v>sharp=20</v>
      </c>
      <c r="N74" s="47">
        <v>20</v>
      </c>
      <c r="O74" s="68"/>
      <c r="P74" s="68"/>
      <c r="Q74" s="68"/>
      <c r="R74" s="68"/>
      <c r="S74" s="68"/>
      <c r="AA74" s="66"/>
      <c r="AB74" s="66"/>
      <c r="AC74" s="66"/>
      <c r="AD74" s="66"/>
      <c r="AE74" s="66"/>
      <c r="AF74" s="67" t="str">
        <f>_xlfn.XLOOKUP(A74,'-loot_list辅助配置表'!A:A,'-loot_list辅助配置表'!V:V)</f>
        <v>10000=0.1</v>
      </c>
      <c r="AG74" s="69" t="str">
        <f t="shared" ref="AG74:AG75" si="28">_xlfn.TEXTJOIN(";",1,AH74:AL74)</f>
        <v>vfx_monster_die_1;vfx_monster_die_2;vfx_monster_die_3;vfx_monster_die_4</v>
      </c>
      <c r="AH74" s="51" t="s">
        <v>79</v>
      </c>
      <c r="AI74" s="51" t="s">
        <v>80</v>
      </c>
      <c r="AJ74" s="51" t="s">
        <v>81</v>
      </c>
      <c r="AK74" s="51" t="s">
        <v>82</v>
      </c>
    </row>
    <row r="75" spans="1:46">
      <c r="A75" s="24">
        <v>211802</v>
      </c>
      <c r="B75" s="24" t="str">
        <f>_xlfn.TEXTJOIN("_",1,"enemy",$A75)</f>
        <v>enemy_211802</v>
      </c>
      <c r="C75" s="25" t="s">
        <v>180</v>
      </c>
      <c r="D75" s="25" t="s">
        <v>226</v>
      </c>
      <c r="E75" s="67" t="s">
        <v>107</v>
      </c>
      <c r="F75" s="67">
        <f>A75</f>
        <v>211802</v>
      </c>
      <c r="G75" s="67"/>
      <c r="H75" s="66"/>
      <c r="I75" s="66"/>
      <c r="J75" s="24">
        <v>5000</v>
      </c>
      <c r="K75" s="66"/>
      <c r="L75" s="66"/>
      <c r="M75" s="24" t="str" cm="1">
        <f ca="1" t="array" ref="M75">_xlfn.TEXTJOIN(";",1,_xlfn.LAMBDA(_xlpm.x,IF(_xlpm.x&lt;&gt;"",OFFSET(_xlpm.x,3-ROW(),0)&amp;"="&amp;_xlpm.x,""))(N75:S75))</f>
        <v>sharp=20</v>
      </c>
      <c r="N75" s="47">
        <v>20</v>
      </c>
      <c r="O75" s="68"/>
      <c r="P75" s="68"/>
      <c r="Q75" s="68"/>
      <c r="R75" s="68"/>
      <c r="S75" s="68"/>
      <c r="AA75" s="66"/>
      <c r="AB75" s="66"/>
      <c r="AC75" s="66"/>
      <c r="AD75" s="66"/>
      <c r="AE75" s="66"/>
      <c r="AF75" s="67" t="str">
        <f>_xlfn.XLOOKUP(A75,'-loot_list辅助配置表'!A:A,'-loot_list辅助配置表'!V:V)</f>
        <v>10000=0.1</v>
      </c>
      <c r="AG75" s="69" t="str">
        <f t="shared" si="28"/>
        <v>vfx_monster_die_1;vfx_monster_die_2;vfx_monster_die_3;vfx_monster_die_4</v>
      </c>
      <c r="AH75" s="51" t="s">
        <v>79</v>
      </c>
      <c r="AI75" s="51" t="s">
        <v>80</v>
      </c>
      <c r="AJ75" s="51" t="s">
        <v>81</v>
      </c>
      <c r="AK75" s="51" t="s">
        <v>82</v>
      </c>
    </row>
    <row r="76" s="45" customFormat="1" spans="1:46">
      <c r="A76" s="71"/>
      <c r="B76" s="71"/>
      <c r="C76" s="72"/>
      <c r="D76" s="72"/>
      <c r="E76" s="71"/>
      <c r="F76" s="71"/>
      <c r="G76" s="71"/>
      <c r="H76" s="71"/>
      <c r="I76" s="71"/>
      <c r="J76" s="71"/>
      <c r="K76" s="71"/>
      <c r="L76" s="71"/>
      <c r="M76" s="71"/>
      <c r="N76" s="56"/>
      <c r="O76" s="56"/>
      <c r="P76" s="56"/>
      <c r="Q76" s="56"/>
      <c r="R76" s="56"/>
      <c r="S76" s="56"/>
      <c r="T76" s="71"/>
      <c r="U76" s="71"/>
      <c r="V76" s="71"/>
      <c r="W76" s="57"/>
      <c r="X76" s="73"/>
      <c r="Y76" s="71"/>
      <c r="Z76" s="71"/>
      <c r="AB76" s="74"/>
      <c r="AD76" s="71"/>
      <c r="AE76" s="71"/>
      <c r="AF76" s="71"/>
      <c r="AH76" s="76"/>
      <c r="AI76" s="76"/>
      <c r="AJ76" s="76"/>
      <c r="AK76" s="76"/>
      <c r="AL76" s="76"/>
      <c r="AM76" s="76"/>
      <c r="AN76" s="71"/>
      <c r="AO76" s="71"/>
      <c r="AP76" s="76"/>
      <c r="AQ76" s="76"/>
      <c r="AR76" s="76"/>
      <c r="AS76" s="76"/>
    </row>
    <row r="77" spans="1:46">
      <c r="A77" s="24">
        <v>219999</v>
      </c>
      <c r="B77" s="24" t="str">
        <f t="shared" si="2"/>
        <v>enemy_219999</v>
      </c>
      <c r="C77" s="25" t="s">
        <v>75</v>
      </c>
      <c r="D77" s="25" t="s">
        <v>227</v>
      </c>
      <c r="E77" s="24" t="s">
        <v>107</v>
      </c>
      <c r="F77" s="24">
        <v>219999</v>
      </c>
      <c r="H77" s="66"/>
      <c r="I77" s="66"/>
      <c r="J77" s="24">
        <v>1200</v>
      </c>
      <c r="M77" s="24" t="str" cm="1">
        <f ca="1" t="array" ref="M77">_xlfn.TEXTJOIN(";",1,_xlfn.LAMBDA(_xlpm.x,IF(_xlpm.x&lt;&gt;"",OFFSET(_xlpm.x,3-ROW(),0)&amp;"="&amp;_xlpm.x,""))(N77:S77))</f>
        <v>sharp=20</v>
      </c>
      <c r="N77" s="47">
        <v>20</v>
      </c>
      <c r="O77" s="68"/>
      <c r="P77" s="68"/>
      <c r="Q77" s="68"/>
      <c r="R77" s="68"/>
      <c r="S77" s="68"/>
      <c r="AE77" s="24">
        <v>0.15</v>
      </c>
      <c r="AG77" t="s">
        <v>228</v>
      </c>
      <c r="AH77" s="51" t="s">
        <v>79</v>
      </c>
      <c r="AI77" s="51" t="s">
        <v>80</v>
      </c>
      <c r="AJ77" s="51" t="s">
        <v>81</v>
      </c>
      <c r="AK77" s="51" t="s">
        <v>82</v>
      </c>
    </row>
    <row r="78" s="45" customFormat="1" spans="1:46">
      <c r="A78" s="71"/>
      <c r="B78" s="71"/>
      <c r="C78" s="72"/>
      <c r="D78" s="72"/>
      <c r="E78" s="71"/>
      <c r="F78" s="71"/>
      <c r="G78" s="71"/>
      <c r="H78" s="71"/>
      <c r="I78" s="71"/>
      <c r="J78" s="71"/>
      <c r="K78" s="71"/>
      <c r="L78" s="71"/>
      <c r="M78" s="71"/>
      <c r="N78" s="56"/>
      <c r="O78" s="56"/>
      <c r="P78" s="56"/>
      <c r="Q78" s="56"/>
      <c r="R78" s="56"/>
      <c r="S78" s="56"/>
      <c r="T78" s="71"/>
      <c r="U78" s="71"/>
      <c r="V78" s="71"/>
      <c r="W78" s="57"/>
      <c r="X78" s="73"/>
      <c r="Y78" s="71"/>
      <c r="Z78" s="71"/>
      <c r="AB78" s="74"/>
      <c r="AD78" s="71"/>
      <c r="AE78" s="71"/>
      <c r="AF78" s="71"/>
      <c r="AH78" s="76"/>
      <c r="AI78" s="76"/>
      <c r="AJ78" s="76"/>
      <c r="AK78" s="76"/>
      <c r="AL78" s="76"/>
      <c r="AM78" s="76"/>
      <c r="AN78" s="71"/>
      <c r="AO78" s="71"/>
      <c r="AP78" s="76"/>
      <c r="AQ78" s="76"/>
      <c r="AR78" s="76"/>
      <c r="AS78" s="76"/>
    </row>
    <row r="79" spans="1:46">
      <c r="A79" s="24">
        <v>209000</v>
      </c>
      <c r="B79" s="24" t="str">
        <f t="shared" ref="B79:B81" si="29">_xlfn.TEXTJOIN("_",1,"enemy",$A79)</f>
        <v>enemy_209000</v>
      </c>
      <c r="D79" s="25" t="s">
        <v>229</v>
      </c>
      <c r="E79" s="66"/>
      <c r="F79" s="66"/>
      <c r="G79" s="67" t="s">
        <v>77</v>
      </c>
      <c r="H79" s="24">
        <v>12</v>
      </c>
      <c r="I79" s="24">
        <v>0</v>
      </c>
      <c r="J79" s="24">
        <v>2.4</v>
      </c>
      <c r="M79" s="24" t="str" cm="1">
        <f ca="1" t="array" ref="M79">_xlfn.TEXTJOIN(";",1,_xlfn.LAMBDA(_xlpm.x,IF(_xlpm.x&lt;&gt;"",OFFSET(_xlpm.x,3-ROW(),0)&amp;"="&amp;_xlpm.x,""))(N79:S79))</f>
        <v>blunt=1;fire=1;acid=1;wrap=1;flash=1</v>
      </c>
      <c r="N79" s="68"/>
      <c r="O79" s="47">
        <v>1</v>
      </c>
      <c r="P79" s="47">
        <v>1</v>
      </c>
      <c r="Q79" s="47">
        <v>1</v>
      </c>
      <c r="R79" s="47">
        <v>1</v>
      </c>
      <c r="S79" s="47">
        <v>1</v>
      </c>
      <c r="AA79" s="69" t="s">
        <v>230</v>
      </c>
      <c r="AC79" s="69" t="s">
        <v>231</v>
      </c>
      <c r="AD79" s="68"/>
      <c r="AE79" s="24">
        <v>0.15</v>
      </c>
      <c r="AF79" s="67"/>
      <c r="AG79" s="69" t="str">
        <f t="shared" ref="AG79:AG81" si="30">_xlfn.TEXTJOIN(";",1,AH79:AL79)</f>
        <v>vfx_monster_die_1;vfx_monster_die_2;vfx_monster_die_3;vfx_monster_die_4</v>
      </c>
      <c r="AH79" s="51" t="s">
        <v>79</v>
      </c>
      <c r="AI79" s="51" t="s">
        <v>80</v>
      </c>
      <c r="AJ79" s="51" t="s">
        <v>81</v>
      </c>
      <c r="AK79" s="51" t="s">
        <v>82</v>
      </c>
      <c r="AN79" s="68">
        <v>0</v>
      </c>
      <c r="AO79" s="67" t="str" cm="1">
        <f t="array" ref="AO79">_xlfn.TEXTJOIN(";",1,IF(AP79:AQ79&lt;&gt;"",AP79:AQ79&amp;"="&amp;AR79:AS79,""))</f>
        <v/>
      </c>
    </row>
    <row r="80" s="46" customFormat="1" spans="1:46">
      <c r="A80" s="80">
        <v>209001</v>
      </c>
      <c r="B80" s="80" t="str">
        <f t="shared" si="29"/>
        <v>enemy_209001</v>
      </c>
      <c r="C80" s="86"/>
      <c r="D80" s="86" t="s">
        <v>232</v>
      </c>
      <c r="E80" s="80"/>
      <c r="F80" s="80"/>
      <c r="G80" s="87" t="s">
        <v>77</v>
      </c>
      <c r="H80" s="80">
        <v>12</v>
      </c>
      <c r="I80" s="80">
        <v>0</v>
      </c>
      <c r="J80" s="80">
        <v>2.4</v>
      </c>
      <c r="K80" s="87"/>
      <c r="L80" s="87"/>
      <c r="M80" s="24" t="str" cm="1">
        <f ca="1" t="array" ref="M80">_xlfn.TEXTJOIN(";",1,_xlfn.LAMBDA(_xlpm.x,IF(_xlpm.x&lt;&gt;"",OFFSET(_xlpm.x,3-ROW(),0)&amp;"="&amp;_xlpm.x,""))(N80:S80))</f>
        <v>blunt=1;fire=1;acid=1;wrap=1;flash=1</v>
      </c>
      <c r="N80" s="68"/>
      <c r="O80" s="88">
        <v>1</v>
      </c>
      <c r="P80" s="88">
        <v>1</v>
      </c>
      <c r="Q80" s="88">
        <v>1</v>
      </c>
      <c r="R80" s="88">
        <v>1</v>
      </c>
      <c r="S80" s="88">
        <v>1</v>
      </c>
      <c r="T80" s="80"/>
      <c r="U80" s="80"/>
      <c r="V80" s="24">
        <v>15</v>
      </c>
      <c r="W80" s="48">
        <v>15</v>
      </c>
      <c r="X80" s="49">
        <v>30</v>
      </c>
      <c r="Y80" s="80">
        <v>30</v>
      </c>
      <c r="Z80" s="80"/>
      <c r="AA80" s="89" t="s">
        <v>230</v>
      </c>
      <c r="AB80" s="90"/>
      <c r="AC80" s="89" t="s">
        <v>233</v>
      </c>
      <c r="AD80" s="80"/>
      <c r="AE80" s="80">
        <v>0.15</v>
      </c>
      <c r="AF80" s="87"/>
      <c r="AG80" s="89" t="str">
        <f t="shared" si="30"/>
        <v>vfx_monster_die_1;vfx_monster_die_2;vfx_monster_die_3;vfx_monster_die_4</v>
      </c>
      <c r="AH80" s="91" t="s">
        <v>79</v>
      </c>
      <c r="AI80" s="91" t="s">
        <v>80</v>
      </c>
      <c r="AJ80" s="91" t="s">
        <v>81</v>
      </c>
      <c r="AK80" s="91" t="s">
        <v>82</v>
      </c>
      <c r="AL80" s="91"/>
      <c r="AM80" s="91"/>
      <c r="AN80" s="80">
        <v>0</v>
      </c>
      <c r="AO80" s="87" t="str" cm="1">
        <f t="array" ref="AO80">_xlfn.TEXTJOIN(";",1,IF(AP80:AQ80&lt;&gt;"",AP80:AQ80&amp;"="&amp;AR80:AS80,""))</f>
        <v/>
      </c>
      <c r="AP80" s="91"/>
      <c r="AQ80" s="91"/>
      <c r="AR80" s="91"/>
      <c r="AS80" s="91"/>
      <c r="AT80" s="89" t="s">
        <v>234</v>
      </c>
    </row>
    <row r="81" spans="1:46">
      <c r="E81" s="66"/>
      <c r="F81" s="66"/>
      <c r="G81" s="79"/>
      <c r="N81" s="68"/>
      <c r="O81" s="68"/>
      <c r="P81" s="68"/>
      <c r="Q81" s="68"/>
      <c r="R81" s="68"/>
      <c r="S81" s="68"/>
      <c r="Y81" s="80"/>
      <c r="Z81" s="80"/>
      <c r="AA81" s="69"/>
      <c r="AC81" s="69"/>
      <c r="AD81" s="67"/>
      <c r="AF81" s="67"/>
      <c r="AG81" s="69"/>
      <c r="AN81" s="68"/>
      <c r="AO81" s="67"/>
      <c r="AT81" s="81"/>
    </row>
    <row r="82" spans="1:46">
      <c r="A82" s="24">
        <v>209100</v>
      </c>
      <c r="B82" s="24" t="s">
        <v>235</v>
      </c>
      <c r="C82" s="25"/>
      <c r="D82" s="25" t="s">
        <v>236</v>
      </c>
      <c r="E82" s="66"/>
      <c r="F82" s="66"/>
      <c r="G82" s="79" t="s">
        <v>77</v>
      </c>
      <c r="H82" s="24">
        <v>3000</v>
      </c>
      <c r="I82" s="24">
        <v>0</v>
      </c>
      <c r="J82" s="24">
        <v>1000</v>
      </c>
      <c r="M82" s="24" t="s">
        <v>237</v>
      </c>
      <c r="N82" s="68"/>
      <c r="O82" s="68"/>
      <c r="P82" s="68"/>
      <c r="Q82" s="68"/>
      <c r="R82" s="68"/>
      <c r="S82" s="68"/>
      <c r="V82" s="24">
        <v>7</v>
      </c>
      <c r="W82" s="48">
        <v>15</v>
      </c>
      <c r="X82" s="49">
        <v>15000</v>
      </c>
      <c r="Y82" s="80"/>
      <c r="Z82" s="80"/>
      <c r="AA82" s="69" t="s">
        <v>238</v>
      </c>
      <c r="AB82" s="50" t="s">
        <v>224</v>
      </c>
      <c r="AC82" s="69" t="s">
        <v>239</v>
      </c>
      <c r="AD82" s="67">
        <v>201870</v>
      </c>
      <c r="AE82" s="24">
        <v>0.15</v>
      </c>
      <c r="AF82" s="67" t="s">
        <v>237</v>
      </c>
      <c r="AG82" s="69" t="s">
        <v>228</v>
      </c>
      <c r="AH82" s="51" t="s">
        <v>79</v>
      </c>
      <c r="AI82" s="51" t="s">
        <v>80</v>
      </c>
      <c r="AJ82" s="51" t="s">
        <v>81</v>
      </c>
      <c r="AK82" s="51" t="s">
        <v>82</v>
      </c>
      <c r="AM82" s="51" t="s">
        <v>183</v>
      </c>
      <c r="AN82" s="68">
        <v>0</v>
      </c>
      <c r="AO82" s="67" t="s">
        <v>237</v>
      </c>
      <c r="AT82" s="81" t="s">
        <v>240</v>
      </c>
    </row>
    <row r="83" customFormat="1" spans="1:46">
      <c r="A83" s="24">
        <v>209101</v>
      </c>
      <c r="B83" s="24" t="s">
        <v>241</v>
      </c>
      <c r="C83" s="25"/>
      <c r="D83" s="25" t="s">
        <v>242</v>
      </c>
      <c r="E83" s="66"/>
      <c r="F83" s="66"/>
      <c r="G83" s="79" t="s">
        <v>77</v>
      </c>
      <c r="H83" s="24">
        <v>3000</v>
      </c>
      <c r="I83" s="24">
        <v>0</v>
      </c>
      <c r="J83" s="24">
        <v>1.8</v>
      </c>
      <c r="K83" s="24"/>
      <c r="L83" s="24"/>
      <c r="M83" s="24" t="s">
        <v>243</v>
      </c>
      <c r="N83" s="68">
        <v>4</v>
      </c>
      <c r="O83" s="68"/>
      <c r="P83" s="68"/>
      <c r="Q83" s="68"/>
      <c r="R83" s="68"/>
      <c r="S83" s="68"/>
      <c r="T83" s="24"/>
      <c r="U83" s="24"/>
      <c r="V83" s="24">
        <v>5</v>
      </c>
      <c r="W83" s="48">
        <v>20</v>
      </c>
      <c r="X83" s="49">
        <v>36</v>
      </c>
      <c r="Y83" s="80"/>
      <c r="Z83" s="80"/>
      <c r="AA83" s="69" t="s">
        <v>238</v>
      </c>
      <c r="AB83" s="50" t="s">
        <v>224</v>
      </c>
      <c r="AC83" s="69" t="s">
        <v>244</v>
      </c>
      <c r="AD83" s="67"/>
      <c r="AE83" s="24">
        <v>0.2</v>
      </c>
      <c r="AF83" s="67"/>
      <c r="AG83" s="69" t="s">
        <v>228</v>
      </c>
      <c r="AH83" s="51" t="s">
        <v>79</v>
      </c>
      <c r="AI83" s="51" t="s">
        <v>80</v>
      </c>
      <c r="AJ83" s="51" t="s">
        <v>81</v>
      </c>
      <c r="AK83" s="51" t="s">
        <v>82</v>
      </c>
      <c r="AL83" s="51"/>
      <c r="AM83" s="51"/>
      <c r="AN83" s="68">
        <v>0</v>
      </c>
      <c r="AO83" s="67" t="s">
        <v>237</v>
      </c>
      <c r="AP83" s="51"/>
      <c r="AQ83" s="51"/>
      <c r="AR83" s="51"/>
      <c r="AS83" s="51"/>
      <c r="AT83" s="81" t="s">
        <v>245</v>
      </c>
    </row>
    <row r="84" spans="1:46">
      <c r="A84" s="24">
        <v>209102</v>
      </c>
      <c r="B84" s="24" t="s">
        <v>246</v>
      </c>
      <c r="C84" s="25"/>
      <c r="D84" s="25" t="s">
        <v>247</v>
      </c>
      <c r="G84" s="24" t="s">
        <v>77</v>
      </c>
      <c r="H84" s="24">
        <v>3000</v>
      </c>
      <c r="I84" s="24">
        <v>0</v>
      </c>
      <c r="J84" s="24">
        <v>500</v>
      </c>
      <c r="M84" s="24" t="s">
        <v>248</v>
      </c>
      <c r="N84" s="47">
        <v>3</v>
      </c>
      <c r="V84" s="24">
        <v>4</v>
      </c>
      <c r="W84" s="48">
        <v>8</v>
      </c>
      <c r="X84" s="49">
        <v>4000</v>
      </c>
      <c r="AA84" s="69" t="s">
        <v>238</v>
      </c>
      <c r="AB84" s="50" t="s">
        <v>224</v>
      </c>
      <c r="AC84" s="69" t="s">
        <v>249</v>
      </c>
      <c r="AE84" s="24">
        <v>0.5</v>
      </c>
      <c r="AF84" s="24"/>
      <c r="AG84" t="s">
        <v>228</v>
      </c>
      <c r="AH84" s="51" t="s">
        <v>79</v>
      </c>
      <c r="AI84" s="51" t="s">
        <v>80</v>
      </c>
      <c r="AJ84" s="51" t="s">
        <v>81</v>
      </c>
      <c r="AK84" s="51" t="s">
        <v>82</v>
      </c>
      <c r="AN84" s="24">
        <v>0</v>
      </c>
      <c r="AO84" s="24" t="s">
        <v>237</v>
      </c>
      <c r="AT84" t="s">
        <v>250</v>
      </c>
    </row>
    <row r="86" spans="1:46">
      <c r="H86" s="67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P135"/>
  <sheetViews>
    <sheetView topLeftCell="Q28" workbookViewId="0">
      <selection activeCell="Z53" sqref="Z53"/>
    </sheetView>
  </sheetViews>
  <sheetFormatPr defaultColWidth="22.5" defaultRowHeight="14.25"/>
  <cols>
    <col min="1" max="2" width="10" style="3" customWidth="1"/>
    <col min="3" max="3" width="25" style="3" customWidth="1"/>
    <col min="4" max="5" width="12.5" style="3" customWidth="1"/>
    <col min="6" max="7" width="6.25" style="3" customWidth="1"/>
    <col min="8" max="10" width="10" style="3" customWidth="1"/>
    <col min="11" max="11" width="25" style="3" customWidth="1"/>
    <col min="12" max="13" width="12.5" style="3" customWidth="1"/>
    <col min="14" max="15" width="6.25" style="3" customWidth="1"/>
    <col min="16" max="18" width="10" style="3" customWidth="1"/>
    <col min="19" max="19" width="25" style="3" customWidth="1"/>
    <col min="20" max="21" width="12.5" style="3" customWidth="1"/>
    <col min="22" max="23" width="6.25" style="3" customWidth="1"/>
    <col min="24" max="26" width="10" style="3" customWidth="1"/>
    <col min="27" max="27" width="25" style="3" customWidth="1"/>
    <col min="28" max="29" width="12.5" style="3" customWidth="1"/>
    <col min="30" max="31" width="6.25" style="3" customWidth="1"/>
    <col min="32" max="16384" width="22.5" style="3"/>
  </cols>
  <sheetData>
    <row r="1" spans="1:42">
      <c r="A1" s="29" t="s">
        <v>75</v>
      </c>
      <c r="I1" s="29" t="s">
        <v>111</v>
      </c>
      <c r="Q1" s="29" t="s">
        <v>151</v>
      </c>
      <c r="Y1" s="29" t="s">
        <v>180</v>
      </c>
    </row>
    <row r="3" spans="1:42">
      <c r="A3" s="5" t="s">
        <v>0</v>
      </c>
      <c r="B3" s="5" t="s">
        <v>1</v>
      </c>
      <c r="C3" s="5" t="s">
        <v>251</v>
      </c>
      <c r="D3" s="5" t="s">
        <v>252</v>
      </c>
      <c r="E3" s="5" t="s">
        <v>253</v>
      </c>
      <c r="F3" s="5" t="s">
        <v>254</v>
      </c>
      <c r="G3" s="5" t="s">
        <v>255</v>
      </c>
      <c r="I3" s="5" t="s">
        <v>0</v>
      </c>
      <c r="J3" s="5" t="s">
        <v>1</v>
      </c>
      <c r="K3" s="5" t="s">
        <v>251</v>
      </c>
      <c r="L3" s="5" t="s">
        <v>252</v>
      </c>
      <c r="M3" s="5" t="s">
        <v>253</v>
      </c>
      <c r="N3" s="5" t="s">
        <v>254</v>
      </c>
      <c r="O3" s="5" t="s">
        <v>255</v>
      </c>
      <c r="Q3" s="5" t="s">
        <v>0</v>
      </c>
      <c r="R3" s="5" t="s">
        <v>1</v>
      </c>
      <c r="S3" s="5" t="s">
        <v>251</v>
      </c>
      <c r="T3" s="5" t="s">
        <v>252</v>
      </c>
      <c r="U3" s="5" t="s">
        <v>253</v>
      </c>
      <c r="V3" s="5" t="s">
        <v>254</v>
      </c>
      <c r="W3" s="5" t="s">
        <v>255</v>
      </c>
      <c r="Y3" s="5" t="s">
        <v>0</v>
      </c>
      <c r="Z3" s="5" t="s">
        <v>1</v>
      </c>
      <c r="AA3" s="5" t="s">
        <v>251</v>
      </c>
      <c r="AB3" s="5" t="s">
        <v>252</v>
      </c>
      <c r="AC3" s="5" t="s">
        <v>253</v>
      </c>
      <c r="AD3" s="5" t="s">
        <v>254</v>
      </c>
      <c r="AE3" s="5" t="s">
        <v>255</v>
      </c>
    </row>
    <row r="4" spans="1:42">
      <c r="A4" s="3">
        <v>201101</v>
      </c>
      <c r="B4" s="10" t="str">
        <f>_xlfn.XLOOKUP(tb_diy_01[[#This Row],[id]],monster!A:A,monster!D:D,"",0)</f>
        <v>地宫蝙蝠</v>
      </c>
      <c r="I4" s="3">
        <v>201402</v>
      </c>
      <c r="J4" s="10" t="str">
        <f>_xlfn.XLOOKUP(tb_diy_04[[#This Row],[id]],monster!A:A,monster!D:D,"",0)</f>
        <v>毒刺果实丛</v>
      </c>
      <c r="K4" s="3" t="s">
        <v>256</v>
      </c>
      <c r="L4" s="5" t="s">
        <v>257</v>
      </c>
      <c r="M4" s="3" t="str">
        <f>_xlfn.TEXTJOIN(",",1,tb_diy_04[[#This Row],[v1]],tb_diy_04[[#This Row],[v2]])</f>
        <v>4</v>
      </c>
      <c r="N4" s="29">
        <v>4</v>
      </c>
      <c r="O4" s="29" t="s">
        <v>237</v>
      </c>
      <c r="Q4" s="3">
        <v>201701</v>
      </c>
      <c r="R4" s="10" t="str">
        <f>_xlfn.XLOOKUP(tb_diy_07[[#This Row],[id]],monster!A:A,monster!D:D,"",0)</f>
        <v>涂涂鸟</v>
      </c>
      <c r="S4" s="3" t="s">
        <v>258</v>
      </c>
      <c r="U4" s="3" t="str">
        <f>_xlfn.TEXTJOIN(",",1,tb_diy_07[[#This Row],[v1]],tb_diy_07[[#This Row],[v2]])</f>
        <v>30</v>
      </c>
      <c r="V4" s="29">
        <v>30</v>
      </c>
      <c r="W4" s="29" t="s">
        <v>237</v>
      </c>
      <c r="Y4" s="3">
        <v>201801</v>
      </c>
      <c r="Z4" s="10" t="str">
        <f>_xlfn.XLOOKUP(tb_diy_08[[#This Row],[id]],monster!A:A,monster!D:D,"",0)</f>
        <v>金鱼</v>
      </c>
      <c r="AA4" s="3" t="s">
        <v>259</v>
      </c>
      <c r="AC4" s="3" t="str">
        <f>_xlfn.TEXTJOIN(",",1,tb_diy_08[[#This Row],[v1]],tb_diy_08[[#This Row],[v2]])</f>
        <v>20,170</v>
      </c>
      <c r="AD4" s="29">
        <v>20</v>
      </c>
      <c r="AE4" s="29">
        <v>170</v>
      </c>
    </row>
    <row r="5" spans="1:42">
      <c r="A5" s="3">
        <v>201102</v>
      </c>
      <c r="B5" s="10" t="str">
        <f>_xlfn.XLOOKUP(tb_diy_01[[#This Row],[id]],monster!A:A,monster!D:D,"",0)</f>
        <v>自爆甲虫</v>
      </c>
      <c r="I5" s="3">
        <v>201402</v>
      </c>
      <c r="J5" s="10" t="str">
        <f>_xlfn.XLOOKUP(tb_diy_04[[#This Row],[id]],monster!A:A,monster!D:D,"",0)</f>
        <v>毒刺果实丛</v>
      </c>
      <c r="K5" s="3" t="s">
        <v>260</v>
      </c>
      <c r="M5" s="3" t="str">
        <f>_xlfn.TEXTJOIN(",",1,tb_diy_04[[#This Row],[v1]],tb_diy_04[[#This Row],[v2]])</f>
        <v>-0.5,0.5</v>
      </c>
      <c r="N5" s="29">
        <v>-0.5</v>
      </c>
      <c r="O5" s="29">
        <v>0.5</v>
      </c>
      <c r="Q5" s="3">
        <v>201701</v>
      </c>
      <c r="R5" s="10" t="str">
        <f>_xlfn.XLOOKUP(tb_diy_07[[#This Row],[id]],monster!A:A,monster!D:D,"",0)</f>
        <v>涂涂鸟</v>
      </c>
      <c r="S5" s="3" t="s">
        <v>261</v>
      </c>
      <c r="U5" s="3" t="str">
        <f>_xlfn.TEXTJOIN(",",1,tb_diy_07[[#This Row],[v1]],tb_diy_07[[#This Row],[v2]])</f>
        <v>4</v>
      </c>
      <c r="V5" s="29">
        <v>4</v>
      </c>
      <c r="W5" s="29" t="s">
        <v>237</v>
      </c>
      <c r="Y5" s="3">
        <v>201801</v>
      </c>
      <c r="Z5" s="10" t="str">
        <f>_xlfn.XLOOKUP(tb_diy_08[[#This Row],[id]],monster!A:A,monster!D:D,"",0)</f>
        <v>金鱼</v>
      </c>
      <c r="AA5" s="3" t="s">
        <v>262</v>
      </c>
      <c r="AB5" s="5" t="s">
        <v>263</v>
      </c>
      <c r="AC5" s="3" t="str">
        <f>_xlfn.TEXTJOIN(",",1,tb_diy_08[[#This Row],[v1]],tb_diy_08[[#This Row],[v2]])</f>
        <v>7.5,11.5</v>
      </c>
      <c r="AD5" s="29">
        <v>7.5</v>
      </c>
      <c r="AE5" s="29">
        <v>11.5</v>
      </c>
    </row>
    <row r="6" spans="1:42">
      <c r="A6" s="3">
        <v>201103</v>
      </c>
      <c r="B6" s="10" t="str">
        <f>_xlfn.XLOOKUP(tb_diy_01[[#This Row],[id]],monster!A:A,monster!D:D,"",0)</f>
        <v>跳虫</v>
      </c>
      <c r="I6" s="3">
        <v>201402</v>
      </c>
      <c r="J6" s="10" t="str">
        <f>_xlfn.XLOOKUP(tb_diy_04[[#This Row],[id]],monster!A:A,monster!D:D,"",0)</f>
        <v>毒刺果实丛</v>
      </c>
      <c r="K6" s="3" t="s">
        <v>264</v>
      </c>
      <c r="M6" s="3" t="str">
        <f>_xlfn.TEXTJOIN(",",1,tb_diy_04[[#This Row],[v1]],tb_diy_04[[#This Row],[v2]])</f>
        <v>-1.5,0</v>
      </c>
      <c r="N6" s="29">
        <v>-1.5</v>
      </c>
      <c r="O6" s="29">
        <v>0</v>
      </c>
      <c r="Q6" s="3">
        <v>201701</v>
      </c>
      <c r="R6" s="10" t="str">
        <f>_xlfn.XLOOKUP(tb_diy_07[[#This Row],[id]],monster!A:A,monster!D:D,"",0)</f>
        <v>涂涂鸟</v>
      </c>
      <c r="S6" s="3" t="s">
        <v>259</v>
      </c>
      <c r="U6" s="92" t="str">
        <f>_xlfn.TEXTJOIN(",",1,tb_diy_07[[#This Row],[v1]],tb_diy_07[[#This Row],[v2]])</f>
        <v>80,160</v>
      </c>
      <c r="V6" s="29">
        <v>80</v>
      </c>
      <c r="W6" s="29">
        <v>160</v>
      </c>
      <c r="Y6" s="3">
        <v>201801</v>
      </c>
      <c r="Z6" s="10" t="str">
        <f>_xlfn.XLOOKUP(tb_diy_08[[#This Row],[id]],monster!A:A,monster!D:D,"",0)</f>
        <v>金鱼</v>
      </c>
      <c r="AA6" s="3" t="s">
        <v>265</v>
      </c>
      <c r="AC6" s="3" t="str">
        <f>_xlfn.TEXTJOIN(",",1,tb_diy_08[[#This Row],[v1]],tb_diy_08[[#This Row],[v2]])</f>
        <v>6</v>
      </c>
      <c r="AD6" s="29">
        <v>6</v>
      </c>
      <c r="AE6" s="29" t="s">
        <v>237</v>
      </c>
      <c r="AF6" s="29" t="s">
        <v>266</v>
      </c>
      <c r="AG6" s="29" t="s">
        <v>267</v>
      </c>
      <c r="AH6" s="29" t="s">
        <v>268</v>
      </c>
      <c r="AI6" s="29" t="s">
        <v>269</v>
      </c>
    </row>
    <row r="7" spans="1:42">
      <c r="A7" s="3">
        <v>201104</v>
      </c>
      <c r="B7" s="10" t="str">
        <f>_xlfn.XLOOKUP(tb_diy_01[[#This Row],[id]],monster!A:A,monster!D:D,"",0)</f>
        <v>地宫洞穴人</v>
      </c>
      <c r="I7" s="3">
        <v>201404</v>
      </c>
      <c r="J7" s="10" t="str">
        <f>_xlfn.XLOOKUP(tb_diy_04[[#This Row],[id]],monster!A:A,monster!D:D,"",0)</f>
        <v>画中仙</v>
      </c>
      <c r="K7" s="3" t="s">
        <v>259</v>
      </c>
      <c r="M7" s="3" t="str">
        <f>_xlfn.TEXTJOIN(",",1,tb_diy_04[[#This Row],[v1]],tb_diy_04[[#This Row],[v2]])</f>
        <v>20,170</v>
      </c>
      <c r="N7" s="29">
        <v>20</v>
      </c>
      <c r="O7" s="29">
        <v>170</v>
      </c>
      <c r="Q7" s="3">
        <v>201701</v>
      </c>
      <c r="R7" s="10" t="str">
        <f>_xlfn.XLOOKUP(tb_diy_07[[#This Row],[id]],monster!A:A,monster!D:D,"",0)</f>
        <v>涂涂鸟</v>
      </c>
      <c r="S7" s="3" t="s">
        <v>262</v>
      </c>
      <c r="U7" s="5" t="str">
        <f>_xlfn.TEXTJOIN(",",1,tb_diy_07[[#This Row],[v1]],tb_diy_07[[#This Row],[v2]])</f>
        <v>8,16</v>
      </c>
      <c r="V7" s="29">
        <v>8</v>
      </c>
      <c r="W7" s="29">
        <v>16</v>
      </c>
      <c r="Y7" s="3">
        <v>201801</v>
      </c>
      <c r="Z7" s="10" t="str">
        <f>_xlfn.XLOOKUP(tb_diy_08[[#This Row],[id]],monster!A:A,monster!D:D,"",0)</f>
        <v>金鱼</v>
      </c>
      <c r="AA7" s="3" t="s">
        <v>270</v>
      </c>
      <c r="AC7" s="3" t="str">
        <f>_xlfn.TEXTJOIN(",",1,tb_diy_08[[#This Row],[v1]],tb_diy_08[[#This Row],[v2]])</f>
        <v>4</v>
      </c>
      <c r="AD7" s="29">
        <v>4</v>
      </c>
      <c r="AE7" s="29" t="s">
        <v>237</v>
      </c>
      <c r="AF7" s="3">
        <v>201401</v>
      </c>
      <c r="AG7" s="40"/>
      <c r="AH7" s="3">
        <f>IFERROR(COLUMNS(_xlfn.TEXTSPLIT(AG7,";")),0)</f>
        <v>0</v>
      </c>
      <c r="AI7" s="3" t="str" cm="1">
        <f t="array" ref="AI7:AP25">_xlfn.MAKEARRAY(19,MAX(AH7:AH25),_xlfn.LAMBDA(_xlpm.x,_xlpm.y,IF(_xlpm.y&lt;=INDEX(AH7:AH25,_xlpm.x),INDEX(AF7:AF25,_xlpm.x),"")))</f>
        <v/>
      </c>
      <c r="AJ7" s="3" t="str">
        <v/>
      </c>
      <c r="AK7" s="3" t="str">
        <v/>
      </c>
      <c r="AL7" s="3" t="str">
        <v/>
      </c>
      <c r="AM7" s="3" t="str">
        <v/>
      </c>
      <c r="AN7" s="3" t="str">
        <v/>
      </c>
      <c r="AO7" s="3" t="str">
        <v/>
      </c>
      <c r="AP7" s="3" t="str">
        <v/>
      </c>
    </row>
    <row r="8" spans="1:42">
      <c r="A8" s="3">
        <v>201105</v>
      </c>
      <c r="B8" s="10" t="str">
        <f>_xlfn.XLOOKUP(tb_diy_01[[#This Row],[id]],monster!A:A,monster!D:D,"",0)</f>
        <v>跳虫骑手</v>
      </c>
      <c r="I8" s="3">
        <v>201404</v>
      </c>
      <c r="J8" s="10" t="str">
        <f>_xlfn.XLOOKUP(tb_diy_04[[#This Row],[id]],monster!A:A,monster!D:D,"",0)</f>
        <v>画中仙</v>
      </c>
      <c r="K8" s="3" t="s">
        <v>262</v>
      </c>
      <c r="M8" s="3" t="str">
        <f>_xlfn.TEXTJOIN(",",1,tb_diy_04[[#This Row],[v1]],tb_diy_04[[#This Row],[v2]])</f>
        <v>7,10</v>
      </c>
      <c r="N8" s="29">
        <v>7</v>
      </c>
      <c r="O8" s="29">
        <v>10</v>
      </c>
      <c r="Q8" s="3">
        <v>201701</v>
      </c>
      <c r="R8" s="10" t="str">
        <f>_xlfn.XLOOKUP(tb_diy_07[[#This Row],[id]],monster!A:A,monster!D:D,"",0)</f>
        <v>涂涂鸟</v>
      </c>
      <c r="S8" s="3" t="s">
        <v>265</v>
      </c>
      <c r="U8" s="3" t="str">
        <f>_xlfn.TEXTJOIN(",",1,tb_diy_07[[#This Row],[v1]],tb_diy_07[[#This Row],[v2]])</f>
        <v>6</v>
      </c>
      <c r="V8" s="29">
        <v>6</v>
      </c>
      <c r="W8" s="29" t="s">
        <v>237</v>
      </c>
      <c r="Y8" s="3">
        <v>201801</v>
      </c>
      <c r="Z8" s="10" t="str">
        <f>_xlfn.XLOOKUP(tb_diy_08[[#This Row],[id]],monster!A:A,monster!D:D,"",0)</f>
        <v>金鱼</v>
      </c>
      <c r="AA8" s="3" t="s">
        <v>271</v>
      </c>
      <c r="AB8" s="5" t="s">
        <v>272</v>
      </c>
      <c r="AC8" s="3" t="str">
        <f>_xlfn.TEXTJOIN(",",1,tb_diy_08[[#This Row],[v1]],tb_diy_08[[#This Row],[v2]])</f>
        <v>6,10</v>
      </c>
      <c r="AD8" s="29">
        <v>6</v>
      </c>
      <c r="AE8" s="29">
        <v>10</v>
      </c>
      <c r="AF8" s="3">
        <v>201402</v>
      </c>
      <c r="AG8" s="40" t="s">
        <v>273</v>
      </c>
      <c r="AH8" s="3">
        <f t="shared" ref="AH8:AH25" si="0">IFERROR(COLUMNS(_xlfn.TEXTSPLIT(AG8,";")),0)</f>
        <v>3</v>
      </c>
      <c r="AI8" s="3">
        <v>201402</v>
      </c>
      <c r="AJ8" s="3">
        <v>201402</v>
      </c>
      <c r="AK8" s="3">
        <v>201402</v>
      </c>
      <c r="AL8" s="3" t="str">
        <v/>
      </c>
      <c r="AM8" s="3" t="str">
        <v/>
      </c>
      <c r="AN8" s="3" t="str">
        <v/>
      </c>
      <c r="AO8" s="3" t="str">
        <v/>
      </c>
      <c r="AP8" s="3" t="str">
        <v/>
      </c>
    </row>
    <row r="9" spans="1:42">
      <c r="A9" s="3">
        <v>201106</v>
      </c>
      <c r="B9" s="10" t="str">
        <f>_xlfn.XLOOKUP(tb_diy_01[[#This Row],[id]],monster!A:A,monster!D:D,"",0)</f>
        <v>蝙蝠骑手</v>
      </c>
      <c r="I9" s="3">
        <v>201404</v>
      </c>
      <c r="J9" s="10" t="str">
        <f>_xlfn.XLOOKUP(tb_diy_04[[#This Row],[id]],monster!A:A,monster!D:D,"",0)</f>
        <v>画中仙</v>
      </c>
      <c r="K9" s="3" t="s">
        <v>265</v>
      </c>
      <c r="M9" s="3" t="str">
        <f>_xlfn.TEXTJOIN(",",1,tb_diy_04[[#This Row],[v1]],tb_diy_04[[#This Row],[v2]])</f>
        <v>6</v>
      </c>
      <c r="N9" s="29">
        <v>6</v>
      </c>
      <c r="O9" s="29" t="s">
        <v>237</v>
      </c>
      <c r="Q9" s="3">
        <v>201701</v>
      </c>
      <c r="R9" s="10" t="str">
        <f>_xlfn.XLOOKUP(tb_diy_07[[#This Row],[id]],monster!A:A,monster!D:D,"",0)</f>
        <v>涂涂鸟</v>
      </c>
      <c r="S9" s="3" t="s">
        <v>270</v>
      </c>
      <c r="U9" s="3" t="str">
        <f>_xlfn.TEXTJOIN(",",1,tb_diy_07[[#This Row],[v1]],tb_diy_07[[#This Row],[v2]])</f>
        <v>4</v>
      </c>
      <c r="V9" s="29">
        <v>4</v>
      </c>
      <c r="W9" s="29" t="s">
        <v>237</v>
      </c>
      <c r="Y9" s="3">
        <v>201801</v>
      </c>
      <c r="Z9" s="10" t="str">
        <f>_xlfn.XLOOKUP(tb_diy_08[[#This Row],[id]],monster!A:A,monster!D:D,"",0)</f>
        <v>金鱼</v>
      </c>
      <c r="AA9" s="3" t="s">
        <v>274</v>
      </c>
      <c r="AC9" s="3" t="str">
        <f>_xlfn.TEXTJOIN(",",1,tb_diy_08[[#This Row],[v1]],tb_diy_08[[#This Row],[v2]])</f>
        <v>0.2</v>
      </c>
      <c r="AD9" s="29">
        <v>0.2</v>
      </c>
      <c r="AE9" s="29" t="s">
        <v>237</v>
      </c>
      <c r="AF9" s="3">
        <v>201403</v>
      </c>
      <c r="AG9" s="40"/>
      <c r="AH9" s="3">
        <f t="shared" si="0"/>
        <v>0</v>
      </c>
      <c r="AI9" s="3" t="str">
        <v/>
      </c>
      <c r="AJ9" s="3" t="str">
        <v/>
      </c>
      <c r="AK9" s="3" t="str">
        <v/>
      </c>
      <c r="AL9" s="3" t="str">
        <v/>
      </c>
      <c r="AM9" s="3" t="str">
        <v/>
      </c>
      <c r="AN9" s="3" t="str">
        <v/>
      </c>
      <c r="AO9" s="3" t="str">
        <v/>
      </c>
      <c r="AP9" s="3" t="str">
        <v/>
      </c>
    </row>
    <row r="10" spans="1:42">
      <c r="A10" s="3">
        <v>201107</v>
      </c>
      <c r="B10" s="10" t="str">
        <f>_xlfn.XLOOKUP(tb_diy_01[[#This Row],[id]],monster!A:A,monster!D:D,"",0)</f>
        <v>流浪洞穴人</v>
      </c>
      <c r="I10" s="3">
        <v>201404</v>
      </c>
      <c r="J10" s="10" t="str">
        <f>_xlfn.XLOOKUP(tb_diy_04[[#This Row],[id]],monster!A:A,monster!D:D,"",0)</f>
        <v>画中仙</v>
      </c>
      <c r="K10" s="3" t="s">
        <v>270</v>
      </c>
      <c r="M10" s="3" t="str">
        <f>_xlfn.TEXTJOIN(",",1,tb_diy_04[[#This Row],[v1]],tb_diy_04[[#This Row],[v2]])</f>
        <v>4</v>
      </c>
      <c r="N10" s="29">
        <v>4</v>
      </c>
      <c r="O10" s="29" t="s">
        <v>237</v>
      </c>
      <c r="Q10" s="3">
        <v>201702</v>
      </c>
      <c r="R10" s="10" t="str">
        <f>_xlfn.XLOOKUP(tb_diy_07[[#This Row],[id]],monster!A:A,monster!D:D,"",0)</f>
        <v>沙漠蛇</v>
      </c>
      <c r="S10" s="3" t="s">
        <v>275</v>
      </c>
      <c r="U10" s="3" t="str">
        <f>_xlfn.TEXTJOIN(",",1,tb_diy_07[[#This Row],[v1]],tb_diy_07[[#This Row],[v2]])</f>
        <v>4</v>
      </c>
      <c r="V10" s="29">
        <v>4</v>
      </c>
      <c r="W10" s="29" t="s">
        <v>237</v>
      </c>
      <c r="Y10" s="3">
        <v>201801</v>
      </c>
      <c r="Z10" s="10" t="str">
        <f>_xlfn.XLOOKUP(tb_diy_08[[#This Row],[id]],monster!A:A,monster!D:D,"",0)</f>
        <v>金鱼</v>
      </c>
      <c r="AA10" s="3" t="s">
        <v>276</v>
      </c>
      <c r="AC10" s="3" t="str">
        <f>_xlfn.TEXTJOIN(",",1,tb_diy_08[[#This Row],[v1]],tb_diy_08[[#This Row],[v2]])</f>
        <v>0.5</v>
      </c>
      <c r="AD10" s="29">
        <v>0.5</v>
      </c>
      <c r="AE10" s="29" t="s">
        <v>237</v>
      </c>
      <c r="AF10" s="3">
        <v>201404</v>
      </c>
      <c r="AG10" s="40" t="s">
        <v>277</v>
      </c>
      <c r="AH10" s="3">
        <f t="shared" si="0"/>
        <v>8</v>
      </c>
      <c r="AI10" s="3">
        <v>201404</v>
      </c>
      <c r="AJ10" s="3">
        <v>201404</v>
      </c>
      <c r="AK10" s="3">
        <v>201404</v>
      </c>
      <c r="AL10" s="3">
        <v>201404</v>
      </c>
      <c r="AM10" s="3">
        <v>201404</v>
      </c>
      <c r="AN10" s="3">
        <v>201404</v>
      </c>
      <c r="AO10" s="3">
        <v>201404</v>
      </c>
      <c r="AP10" s="3">
        <v>201404</v>
      </c>
    </row>
    <row r="11" spans="1:42">
      <c r="A11" s="3">
        <v>201108</v>
      </c>
      <c r="B11" s="10" t="str">
        <f>_xlfn.XLOOKUP(tb_diy_01[[#This Row],[id]],monster!A:A,monster!D:D,"",0)</f>
        <v>纵火洞穴人</v>
      </c>
      <c r="I11" s="3">
        <v>201404</v>
      </c>
      <c r="J11" s="10" t="str">
        <f>_xlfn.XLOOKUP(tb_diy_04[[#This Row],[id]],monster!A:A,monster!D:D,"",0)</f>
        <v>画中仙</v>
      </c>
      <c r="K11" s="3" t="s">
        <v>278</v>
      </c>
      <c r="M11" s="3" t="str">
        <f>_xlfn.TEXTJOIN(",",1,tb_diy_04[[#This Row],[v1]],tb_diy_04[[#This Row],[v2]])</f>
        <v>4,6</v>
      </c>
      <c r="N11" s="29">
        <v>4</v>
      </c>
      <c r="O11" s="29">
        <v>6</v>
      </c>
      <c r="Q11" s="3">
        <v>201702</v>
      </c>
      <c r="R11" s="10" t="str">
        <f>_xlfn.XLOOKUP(tb_diy_07[[#This Row],[id]],monster!A:A,monster!D:D,"",0)</f>
        <v>沙漠蛇</v>
      </c>
      <c r="S11" s="3" t="s">
        <v>279</v>
      </c>
      <c r="U11" s="3" t="str">
        <f>_xlfn.TEXTJOIN(",",1,tb_diy_07[[#This Row],[v1]],tb_diy_07[[#This Row],[v2]])</f>
        <v>3</v>
      </c>
      <c r="V11" s="29">
        <v>3</v>
      </c>
      <c r="W11" s="29" t="s">
        <v>237</v>
      </c>
      <c r="Y11" s="3">
        <v>201801</v>
      </c>
      <c r="Z11" s="10" t="str">
        <f>_xlfn.XLOOKUP(tb_diy_08[[#This Row],[id]],monster!A:A,monster!D:D,"",0)</f>
        <v>金鱼</v>
      </c>
      <c r="AA11" s="3" t="s">
        <v>280</v>
      </c>
      <c r="AB11" s="5" t="s">
        <v>281</v>
      </c>
      <c r="AC11" s="3" t="str">
        <f>_xlfn.TEXTJOIN(",",1,tb_diy_08[[#This Row],[v1]],tb_diy_08[[#This Row],[v2]])</f>
        <v>1</v>
      </c>
      <c r="AD11" s="29">
        <v>1</v>
      </c>
      <c r="AE11" s="29" t="s">
        <v>237</v>
      </c>
      <c r="AF11" s="3">
        <v>201405</v>
      </c>
      <c r="AG11" s="40" t="s">
        <v>282</v>
      </c>
      <c r="AH11" s="3">
        <f t="shared" si="0"/>
        <v>2</v>
      </c>
      <c r="AI11" s="3">
        <v>201405</v>
      </c>
      <c r="AJ11" s="3">
        <v>201405</v>
      </c>
      <c r="AK11" s="3" t="str">
        <v/>
      </c>
      <c r="AL11" s="3" t="str">
        <v/>
      </c>
      <c r="AM11" s="3" t="str">
        <v/>
      </c>
      <c r="AN11" s="3" t="str">
        <v/>
      </c>
      <c r="AO11" s="3" t="str">
        <v/>
      </c>
      <c r="AP11" s="3" t="str">
        <v/>
      </c>
    </row>
    <row r="12" spans="1:42">
      <c r="A12" s="3">
        <v>201109</v>
      </c>
      <c r="B12" s="10" t="str">
        <f>_xlfn.XLOOKUP(tb_diy_01[[#This Row],[id]],monster!A:A,monster!D:D,"",0)</f>
        <v>暴徒洞穴人</v>
      </c>
      <c r="I12" s="3">
        <v>201404</v>
      </c>
      <c r="J12" s="10" t="str">
        <f>_xlfn.XLOOKUP(tb_diy_04[[#This Row],[id]],monster!A:A,monster!D:D,"",0)</f>
        <v>画中仙</v>
      </c>
      <c r="K12" s="3" t="s">
        <v>283</v>
      </c>
      <c r="M12" s="3" t="str">
        <f>_xlfn.TEXTJOIN(",",1,tb_diy_04[[#This Row],[v1]],tb_diy_04[[#This Row],[v2]])</f>
        <v>0.2</v>
      </c>
      <c r="N12" s="29">
        <v>0.2</v>
      </c>
      <c r="O12" s="29" t="s">
        <v>237</v>
      </c>
      <c r="Q12" s="3">
        <v>201702</v>
      </c>
      <c r="R12" s="10" t="str">
        <f>_xlfn.XLOOKUP(tb_diy_07[[#This Row],[id]],monster!A:A,monster!D:D,"",0)</f>
        <v>沙漠蛇</v>
      </c>
      <c r="S12" s="3" t="s">
        <v>284</v>
      </c>
      <c r="U12" s="3" t="str">
        <f>_xlfn.TEXTJOIN(",",1,tb_diy_07[[#This Row],[v1]],tb_diy_07[[#This Row],[v2]])</f>
        <v>6</v>
      </c>
      <c r="V12" s="29">
        <v>6</v>
      </c>
      <c r="W12" s="29" t="s">
        <v>237</v>
      </c>
      <c r="Y12" s="3">
        <v>201801</v>
      </c>
      <c r="Z12" s="10" t="str">
        <f>_xlfn.XLOOKUP(tb_diy_08[[#This Row],[id]],monster!A:A,monster!D:D,"",0)</f>
        <v>金鱼</v>
      </c>
      <c r="AA12" s="3" t="s">
        <v>285</v>
      </c>
      <c r="AB12" s="5" t="s">
        <v>286</v>
      </c>
      <c r="AC12" s="3" t="str">
        <f>_xlfn.TEXTJOIN(",",1,tb_diy_08[[#This Row],[v1]],tb_diy_08[[#This Row],[v2]])</f>
        <v>0.3</v>
      </c>
      <c r="AD12" s="29">
        <v>0.3</v>
      </c>
      <c r="AE12" s="29" t="s">
        <v>237</v>
      </c>
      <c r="AF12" s="3">
        <v>201406</v>
      </c>
      <c r="AG12" s="40" t="s">
        <v>287</v>
      </c>
      <c r="AH12" s="3">
        <f t="shared" si="0"/>
        <v>1</v>
      </c>
      <c r="AI12" s="3">
        <v>201406</v>
      </c>
      <c r="AJ12" s="3" t="str">
        <v/>
      </c>
      <c r="AK12" s="3" t="str">
        <v/>
      </c>
      <c r="AL12" s="3" t="str">
        <v/>
      </c>
      <c r="AM12" s="3" t="str">
        <v/>
      </c>
      <c r="AN12" s="3" t="str">
        <v/>
      </c>
      <c r="AO12" s="3" t="str">
        <v/>
      </c>
      <c r="AP12" s="3" t="str">
        <v/>
      </c>
    </row>
    <row r="13" spans="1:42">
      <c r="I13" s="3">
        <v>201404</v>
      </c>
      <c r="J13" s="10" t="str">
        <f>_xlfn.XLOOKUP(tb_diy_04[[#This Row],[id]],monster!A:A,monster!D:D,"",0)</f>
        <v>画中仙</v>
      </c>
      <c r="K13" s="3" t="s">
        <v>288</v>
      </c>
      <c r="M13" s="3" t="str">
        <f>_xlfn.TEXTJOIN(",",1,tb_diy_04[[#This Row],[v1]],tb_diy_04[[#This Row],[v2]])</f>
        <v>3</v>
      </c>
      <c r="N13" s="29">
        <v>3</v>
      </c>
      <c r="O13" s="29" t="s">
        <v>237</v>
      </c>
      <c r="Q13" s="3">
        <v>201702</v>
      </c>
      <c r="R13" s="10" t="str">
        <f>_xlfn.XLOOKUP(tb_diy_07[[#This Row],[id]],monster!A:A,monster!D:D,"",0)</f>
        <v>沙漠蛇</v>
      </c>
      <c r="S13" s="3" t="s">
        <v>274</v>
      </c>
      <c r="U13" s="3" t="str">
        <f>_xlfn.TEXTJOIN(",",1,tb_diy_07[[#This Row],[v1]],tb_diy_07[[#This Row],[v2]])</f>
        <v>0.2</v>
      </c>
      <c r="V13" s="29">
        <v>0.2</v>
      </c>
      <c r="W13" s="29" t="s">
        <v>237</v>
      </c>
      <c r="Y13" s="3">
        <v>201802</v>
      </c>
      <c r="Z13" s="10" t="str">
        <f>_xlfn.XLOOKUP(tb_diy_08[[#This Row],[id]],monster!A:A,monster!D:D,"",0)</f>
        <v>金鱼泡泡</v>
      </c>
      <c r="AA13" s="3" t="s">
        <v>289</v>
      </c>
      <c r="AC13" s="3" t="str">
        <f>_xlfn.TEXTJOIN(",",1,tb_diy_08[[#This Row],[v1]],tb_diy_08[[#This Row],[v2]])</f>
        <v>1.2</v>
      </c>
      <c r="AD13" s="29">
        <v>1.2</v>
      </c>
      <c r="AE13" s="29" t="s">
        <v>237</v>
      </c>
      <c r="AF13" s="3">
        <v>201407</v>
      </c>
      <c r="AG13" s="40" t="s">
        <v>290</v>
      </c>
      <c r="AH13" s="3">
        <f t="shared" si="0"/>
        <v>3</v>
      </c>
      <c r="AI13" s="3">
        <v>201407</v>
      </c>
      <c r="AJ13" s="3">
        <v>201407</v>
      </c>
      <c r="AK13" s="3">
        <v>201407</v>
      </c>
      <c r="AL13" s="3" t="str">
        <v/>
      </c>
      <c r="AM13" s="3" t="str">
        <v/>
      </c>
      <c r="AN13" s="3" t="str">
        <v/>
      </c>
      <c r="AO13" s="3" t="str">
        <v/>
      </c>
      <c r="AP13" s="3" t="str">
        <v/>
      </c>
    </row>
    <row r="14" spans="1:42">
      <c r="I14" s="3">
        <v>201404</v>
      </c>
      <c r="J14" s="10" t="str">
        <f>_xlfn.XLOOKUP(tb_diy_04[[#This Row],[id]],monster!A:A,monster!D:D,"",0)</f>
        <v>画中仙</v>
      </c>
      <c r="K14" s="3" t="s">
        <v>291</v>
      </c>
      <c r="M14" s="3" t="str">
        <f>_xlfn.TEXTJOIN(",",1,tb_diy_04[[#This Row],[v1]],tb_diy_04[[#This Row],[v2]])</f>
        <v>1,2</v>
      </c>
      <c r="N14" s="29">
        <v>1</v>
      </c>
      <c r="O14" s="29">
        <v>2</v>
      </c>
      <c r="Q14" s="3">
        <v>201702</v>
      </c>
      <c r="R14" s="10" t="str">
        <f>_xlfn.XLOOKUP(tb_diy_07[[#This Row],[id]],monster!A:A,monster!D:D,"",0)</f>
        <v>沙漠蛇</v>
      </c>
      <c r="S14" s="3" t="s">
        <v>276</v>
      </c>
      <c r="U14" s="3" t="str">
        <f>_xlfn.TEXTJOIN(",",1,tb_diy_07[[#This Row],[v1]],tb_diy_07[[#This Row],[v2]])</f>
        <v>0.3</v>
      </c>
      <c r="V14" s="29">
        <v>0.3</v>
      </c>
      <c r="W14" s="29" t="s">
        <v>237</v>
      </c>
      <c r="Y14" s="3">
        <v>201802</v>
      </c>
      <c r="Z14" s="10" t="str">
        <f>_xlfn.XLOOKUP(tb_diy_08[[#This Row],[id]],monster!A:A,monster!D:D,"",0)</f>
        <v>金鱼泡泡</v>
      </c>
      <c r="AA14" s="3" t="s">
        <v>292</v>
      </c>
      <c r="AC14" s="3" t="str">
        <f>_xlfn.TEXTJOIN(",",1,tb_diy_08[[#This Row],[v1]],tb_diy_08[[#This Row],[v2]])</f>
        <v>1</v>
      </c>
      <c r="AD14" s="29">
        <v>1</v>
      </c>
      <c r="AE14" s="29" t="s">
        <v>237</v>
      </c>
      <c r="AF14" s="3">
        <v>201408</v>
      </c>
      <c r="AG14" s="40"/>
      <c r="AH14" s="3">
        <f t="shared" si="0"/>
        <v>0</v>
      </c>
      <c r="AI14" s="3" t="str">
        <v/>
      </c>
      <c r="AJ14" s="3" t="str">
        <v/>
      </c>
      <c r="AK14" s="3" t="str">
        <v/>
      </c>
      <c r="AL14" s="3" t="str">
        <v/>
      </c>
      <c r="AM14" s="3" t="str">
        <v/>
      </c>
      <c r="AN14" s="3" t="str">
        <v/>
      </c>
      <c r="AO14" s="3" t="str">
        <v/>
      </c>
      <c r="AP14" s="3" t="str">
        <v/>
      </c>
    </row>
    <row r="15" spans="1:42">
      <c r="I15" s="3">
        <v>201405</v>
      </c>
      <c r="J15" s="10" t="str">
        <f>_xlfn.XLOOKUP(tb_diy_04[[#This Row],[id]],monster!A:A,monster!D:D,"",0)</f>
        <v>鱼妖</v>
      </c>
      <c r="K15" s="3" t="s">
        <v>289</v>
      </c>
      <c r="M15" s="3" t="str">
        <f>_xlfn.TEXTJOIN(",",1,tb_diy_04[[#This Row],[v1]],tb_diy_04[[#This Row],[v2]])</f>
        <v>1.2</v>
      </c>
      <c r="N15" s="29">
        <v>1.2</v>
      </c>
      <c r="O15" s="29" t="s">
        <v>237</v>
      </c>
      <c r="Q15" s="3">
        <v>201702</v>
      </c>
      <c r="R15" s="10" t="str">
        <f>_xlfn.XLOOKUP(tb_diy_07[[#This Row],[id]],monster!A:A,monster!D:D,"",0)</f>
        <v>沙漠蛇</v>
      </c>
      <c r="S15" s="3" t="s">
        <v>293</v>
      </c>
      <c r="U15" s="3" t="str">
        <f>_xlfn.TEXTJOIN(",",1,tb_diy_07[[#This Row],[v1]],tb_diy_07[[#This Row],[v2]])</f>
        <v>1</v>
      </c>
      <c r="V15" s="29">
        <v>1</v>
      </c>
      <c r="W15" s="29" t="s">
        <v>237</v>
      </c>
      <c r="Y15" s="3">
        <v>201803</v>
      </c>
      <c r="Z15" s="10" t="str">
        <f>_xlfn.XLOOKUP(tb_diy_08[[#This Row],[id]],monster!A:A,monster!D:D,"",0)</f>
        <v>海藻小妖</v>
      </c>
      <c r="AA15" s="3" t="s">
        <v>259</v>
      </c>
      <c r="AC15" s="3" t="str">
        <f>_xlfn.TEXTJOIN(",",1,tb_diy_08[[#This Row],[v1]],tb_diy_08[[#This Row],[v2]])</f>
        <v>35,145</v>
      </c>
      <c r="AD15" s="29">
        <v>35</v>
      </c>
      <c r="AE15" s="29">
        <v>145</v>
      </c>
      <c r="AF15" s="3">
        <v>201409</v>
      </c>
      <c r="AG15" s="40"/>
      <c r="AH15" s="3">
        <f t="shared" si="0"/>
        <v>0</v>
      </c>
      <c r="AI15" s="3" t="str">
        <v/>
      </c>
      <c r="AJ15" s="3" t="str">
        <v/>
      </c>
      <c r="AK15" s="3" t="str">
        <v/>
      </c>
      <c r="AL15" s="3" t="str">
        <v/>
      </c>
      <c r="AM15" s="3" t="str">
        <v/>
      </c>
      <c r="AN15" s="3" t="str">
        <v/>
      </c>
      <c r="AO15" s="3" t="str">
        <v/>
      </c>
      <c r="AP15" s="3" t="str">
        <v/>
      </c>
    </row>
    <row r="16" spans="1:42">
      <c r="I16" s="3">
        <v>201405</v>
      </c>
      <c r="J16" s="10" t="str">
        <f>_xlfn.XLOOKUP(tb_diy_04[[#This Row],[id]],monster!A:A,monster!D:D,"",0)</f>
        <v>鱼妖</v>
      </c>
      <c r="K16" s="3" t="s">
        <v>292</v>
      </c>
      <c r="M16" s="3" t="str">
        <f>_xlfn.TEXTJOIN(",",1,tb_diy_04[[#This Row],[v1]],tb_diy_04[[#This Row],[v2]])</f>
        <v>1</v>
      </c>
      <c r="N16" s="29">
        <v>1</v>
      </c>
      <c r="O16" s="29" t="s">
        <v>237</v>
      </c>
      <c r="Q16" s="3">
        <v>201702</v>
      </c>
      <c r="R16" s="10" t="str">
        <f>_xlfn.XLOOKUP(tb_diy_07[[#This Row],[id]],monster!A:A,monster!D:D,"",0)</f>
        <v>沙漠蛇</v>
      </c>
      <c r="S16" s="3" t="s">
        <v>294</v>
      </c>
      <c r="U16" s="3" t="str">
        <f>_xlfn.TEXTJOIN(",",1,tb_diy_07[[#This Row],[v1]],tb_diy_07[[#This Row],[v2]])</f>
        <v>1.5</v>
      </c>
      <c r="V16" s="29">
        <v>1.5</v>
      </c>
      <c r="W16" s="29" t="s">
        <v>237</v>
      </c>
      <c r="Y16" s="3">
        <v>201803</v>
      </c>
      <c r="Z16" s="10" t="str">
        <f>_xlfn.XLOOKUP(tb_diy_08[[#This Row],[id]],monster!A:A,monster!D:D,"",0)</f>
        <v>海藻小妖</v>
      </c>
      <c r="AA16" s="3" t="s">
        <v>262</v>
      </c>
      <c r="AB16" s="5" t="s">
        <v>263</v>
      </c>
      <c r="AC16" s="3" t="str">
        <f>_xlfn.TEXTJOIN(",",1,tb_diy_08[[#This Row],[v1]],tb_diy_08[[#This Row],[v2]])</f>
        <v>6,9</v>
      </c>
      <c r="AD16" s="29">
        <v>6</v>
      </c>
      <c r="AE16" s="29">
        <v>9</v>
      </c>
      <c r="AF16" s="3">
        <v>201410</v>
      </c>
      <c r="AG16" s="40"/>
      <c r="AH16" s="3">
        <f t="shared" si="0"/>
        <v>0</v>
      </c>
      <c r="AI16" s="3" t="str">
        <v/>
      </c>
      <c r="AJ16" s="3" t="str">
        <v/>
      </c>
      <c r="AK16" s="3" t="str">
        <v/>
      </c>
      <c r="AL16" s="3" t="str">
        <v/>
      </c>
      <c r="AM16" s="3" t="str">
        <v/>
      </c>
      <c r="AN16" s="3" t="str">
        <v/>
      </c>
      <c r="AO16" s="3" t="str">
        <v/>
      </c>
      <c r="AP16" s="3" t="str">
        <v/>
      </c>
    </row>
    <row r="17" spans="9:42">
      <c r="I17" s="3">
        <v>201406</v>
      </c>
      <c r="J17" s="10" t="str">
        <f>_xlfn.XLOOKUP(tb_diy_04[[#This Row],[id]],monster!A:A,monster!D:D,"",0)</f>
        <v>鬼瓮</v>
      </c>
      <c r="K17" s="3" t="s">
        <v>295</v>
      </c>
      <c r="L17" s="5" t="s">
        <v>296</v>
      </c>
      <c r="M17" s="5" t="str">
        <f>_xlfn.TEXTJOIN(",",1,tb_diy_04[[#This Row],[v1]],tb_diy_04[[#This Row],[v2]])</f>
        <v>0,3</v>
      </c>
      <c r="N17" s="29">
        <v>0</v>
      </c>
      <c r="O17" s="29">
        <v>3</v>
      </c>
      <c r="Q17" s="3">
        <v>201702</v>
      </c>
      <c r="R17" s="10" t="str">
        <f>_xlfn.XLOOKUP(tb_diy_07[[#This Row],[id]],monster!A:A,monster!D:D,"",0)</f>
        <v>沙漠蛇</v>
      </c>
      <c r="S17" s="3" t="s">
        <v>297</v>
      </c>
      <c r="U17" s="3" t="str">
        <f>_xlfn.TEXTJOIN(",",1,tb_diy_07[[#This Row],[v1]],tb_diy_07[[#This Row],[v2]])</f>
        <v>2</v>
      </c>
      <c r="V17" s="29">
        <v>2</v>
      </c>
      <c r="W17" s="29" t="s">
        <v>237</v>
      </c>
      <c r="Y17" s="3">
        <v>201803</v>
      </c>
      <c r="Z17" s="10" t="str">
        <f>_xlfn.XLOOKUP(tb_diy_08[[#This Row],[id]],monster!A:A,monster!D:D,"",0)</f>
        <v>海藻小妖</v>
      </c>
      <c r="AA17" s="3" t="s">
        <v>265</v>
      </c>
      <c r="AC17" s="3" t="str">
        <f>_xlfn.TEXTJOIN(",",1,tb_diy_08[[#This Row],[v1]],tb_diy_08[[#This Row],[v2]])</f>
        <v>3</v>
      </c>
      <c r="AD17" s="29">
        <v>3</v>
      </c>
      <c r="AE17" s="29" t="s">
        <v>237</v>
      </c>
      <c r="AF17" s="3">
        <v>201411</v>
      </c>
      <c r="AG17" s="40"/>
      <c r="AH17" s="3">
        <f t="shared" si="0"/>
        <v>0</v>
      </c>
      <c r="AI17" s="3" t="str">
        <v/>
      </c>
      <c r="AJ17" s="3" t="str">
        <v/>
      </c>
      <c r="AK17" s="3" t="str">
        <v/>
      </c>
      <c r="AL17" s="3" t="str">
        <v/>
      </c>
      <c r="AM17" s="3" t="str">
        <v/>
      </c>
      <c r="AN17" s="3" t="str">
        <v/>
      </c>
      <c r="AO17" s="3" t="str">
        <v/>
      </c>
      <c r="AP17" s="3" t="str">
        <v/>
      </c>
    </row>
    <row r="18" spans="9:42">
      <c r="I18" s="3">
        <v>201407</v>
      </c>
      <c r="J18" s="10" t="str">
        <f>_xlfn.XLOOKUP(tb_diy_04[[#This Row],[id]],monster!A:A,monster!D:D,"",0)</f>
        <v>鬼狰</v>
      </c>
      <c r="K18" s="3" t="s">
        <v>259</v>
      </c>
      <c r="M18" s="3" t="str">
        <f>_xlfn.TEXTJOIN(",",1,tb_diy_04[[#This Row],[v1]],tb_diy_04[[#This Row],[v2]])</f>
        <v>20,170</v>
      </c>
      <c r="N18" s="29">
        <v>20</v>
      </c>
      <c r="O18" s="29">
        <v>170</v>
      </c>
      <c r="Q18" s="3">
        <v>201703</v>
      </c>
      <c r="R18" s="10" t="str">
        <f>_xlfn.XLOOKUP(tb_diy_07[[#This Row],[id]],monster!A:A,monster!D:D,"",0)</f>
        <v>巨牙蝎</v>
      </c>
      <c r="S18" s="3" t="s">
        <v>275</v>
      </c>
      <c r="U18" s="3" t="str">
        <f>_xlfn.TEXTJOIN(",",1,tb_diy_07[[#This Row],[v1]],tb_diy_07[[#This Row],[v2]])</f>
        <v>6</v>
      </c>
      <c r="V18" s="29">
        <v>6</v>
      </c>
      <c r="W18" s="29" t="s">
        <v>237</v>
      </c>
      <c r="Y18" s="3">
        <v>201803</v>
      </c>
      <c r="Z18" s="10" t="str">
        <f>_xlfn.XLOOKUP(tb_diy_08[[#This Row],[id]],monster!A:A,monster!D:D,"",0)</f>
        <v>海藻小妖</v>
      </c>
      <c r="AA18" s="3" t="s">
        <v>270</v>
      </c>
      <c r="AC18" s="3" t="str">
        <f>_xlfn.TEXTJOIN(",",1,tb_diy_08[[#This Row],[v1]],tb_diy_08[[#This Row],[v2]])</f>
        <v>1</v>
      </c>
      <c r="AD18" s="29">
        <v>1</v>
      </c>
      <c r="AE18" s="29" t="s">
        <v>237</v>
      </c>
      <c r="AF18" s="3">
        <v>201412</v>
      </c>
      <c r="AG18" s="40"/>
      <c r="AH18" s="3">
        <f t="shared" si="0"/>
        <v>0</v>
      </c>
      <c r="AI18" s="3" t="str">
        <v/>
      </c>
      <c r="AJ18" s="3" t="str">
        <v/>
      </c>
      <c r="AK18" s="3" t="str">
        <v/>
      </c>
      <c r="AL18" s="3" t="str">
        <v/>
      </c>
      <c r="AM18" s="3" t="str">
        <v/>
      </c>
      <c r="AN18" s="3" t="str">
        <v/>
      </c>
      <c r="AO18" s="3" t="str">
        <v/>
      </c>
      <c r="AP18" s="3" t="str">
        <v/>
      </c>
    </row>
    <row r="19" spans="9:42">
      <c r="I19" s="3">
        <v>201407</v>
      </c>
      <c r="J19" s="10" t="str">
        <f>_xlfn.XLOOKUP(tb_diy_04[[#This Row],[id]],monster!A:A,monster!D:D,"",0)</f>
        <v>鬼狰</v>
      </c>
      <c r="K19" s="3" t="s">
        <v>262</v>
      </c>
      <c r="M19" s="5" t="str">
        <f>_xlfn.TEXTJOIN(",",1,tb_diy_04[[#This Row],[v1]],tb_diy_04[[#This Row],[v2]])</f>
        <v>1,5</v>
      </c>
      <c r="N19" s="29">
        <v>1</v>
      </c>
      <c r="O19" s="29">
        <v>5</v>
      </c>
      <c r="Q19" s="3">
        <v>201703</v>
      </c>
      <c r="R19" s="10" t="str">
        <f>_xlfn.XLOOKUP(tb_diy_07[[#This Row],[id]],monster!A:A,monster!D:D,"",0)</f>
        <v>巨牙蝎</v>
      </c>
      <c r="S19" s="3" t="s">
        <v>274</v>
      </c>
      <c r="U19" s="3" t="str">
        <f>_xlfn.TEXTJOIN(",",1,tb_diy_07[[#This Row],[v1]],tb_diy_07[[#This Row],[v2]])</f>
        <v>0.2</v>
      </c>
      <c r="V19" s="29">
        <v>0.2</v>
      </c>
      <c r="W19" s="29" t="s">
        <v>237</v>
      </c>
      <c r="Y19" s="3">
        <v>201803</v>
      </c>
      <c r="Z19" s="10" t="str">
        <f>_xlfn.XLOOKUP(tb_diy_08[[#This Row],[id]],monster!A:A,monster!D:D,"",0)</f>
        <v>海藻小妖</v>
      </c>
      <c r="AA19" s="3" t="s">
        <v>271</v>
      </c>
      <c r="AB19" s="5" t="s">
        <v>272</v>
      </c>
      <c r="AC19" s="3" t="str">
        <f>_xlfn.TEXTJOIN(",",1,tb_diy_08[[#This Row],[v1]],tb_diy_08[[#This Row],[v2]])</f>
        <v>1,2</v>
      </c>
      <c r="AD19" s="29">
        <v>1</v>
      </c>
      <c r="AE19" s="29">
        <v>2</v>
      </c>
      <c r="AF19" s="3">
        <v>201413</v>
      </c>
      <c r="AG19" s="40"/>
      <c r="AH19" s="3">
        <f t="shared" si="0"/>
        <v>0</v>
      </c>
      <c r="AI19" s="3" t="str">
        <v/>
      </c>
      <c r="AJ19" s="3" t="str">
        <v/>
      </c>
      <c r="AK19" s="3" t="str">
        <v/>
      </c>
      <c r="AL19" s="3" t="str">
        <v/>
      </c>
      <c r="AM19" s="3" t="str">
        <v/>
      </c>
      <c r="AN19" s="3" t="str">
        <v/>
      </c>
      <c r="AO19" s="3" t="str">
        <v/>
      </c>
      <c r="AP19" s="3" t="str">
        <v/>
      </c>
    </row>
    <row r="20" spans="9:42">
      <c r="I20" s="3">
        <v>201407</v>
      </c>
      <c r="J20" s="10" t="str">
        <f>_xlfn.XLOOKUP(tb_diy_04[[#This Row],[id]],monster!A:A,monster!D:D,"",0)</f>
        <v>鬼狰</v>
      </c>
      <c r="K20" s="3" t="s">
        <v>298</v>
      </c>
      <c r="M20" s="3" t="str">
        <f>_xlfn.TEXTJOIN(",",1,tb_diy_04[[#This Row],[v1]],tb_diy_04[[#This Row],[v2]])</f>
        <v>3.5</v>
      </c>
      <c r="N20" s="29">
        <v>3.5</v>
      </c>
      <c r="O20" s="29" t="s">
        <v>237</v>
      </c>
      <c r="Q20" s="3">
        <v>201703</v>
      </c>
      <c r="R20" s="10" t="str">
        <f>_xlfn.XLOOKUP(tb_diy_07[[#This Row],[id]],monster!A:A,monster!D:D,"",0)</f>
        <v>巨牙蝎</v>
      </c>
      <c r="S20" s="3" t="s">
        <v>276</v>
      </c>
      <c r="U20" s="3" t="str">
        <f>_xlfn.TEXTJOIN(",",1,tb_diy_07[[#This Row],[v1]],tb_diy_07[[#This Row],[v2]])</f>
        <v>0.3</v>
      </c>
      <c r="V20" s="29">
        <v>0.3</v>
      </c>
      <c r="W20" s="29" t="s">
        <v>237</v>
      </c>
      <c r="Y20" s="3">
        <v>201803</v>
      </c>
      <c r="Z20" s="10" t="str">
        <f>_xlfn.XLOOKUP(tb_diy_08[[#This Row],[id]],monster!A:A,monster!D:D,"",0)</f>
        <v>海藻小妖</v>
      </c>
      <c r="AA20" s="3" t="s">
        <v>274</v>
      </c>
      <c r="AC20" s="3" t="str">
        <f>_xlfn.TEXTJOIN(",",1,tb_diy_08[[#This Row],[v1]],tb_diy_08[[#This Row],[v2]])</f>
        <v>0.2</v>
      </c>
      <c r="AD20" s="29">
        <v>0.2</v>
      </c>
      <c r="AE20" s="29" t="s">
        <v>237</v>
      </c>
      <c r="AF20" s="3">
        <v>201414</v>
      </c>
      <c r="AG20" s="40"/>
      <c r="AH20" s="3">
        <f t="shared" si="0"/>
        <v>0</v>
      </c>
      <c r="AI20" s="3" t="str">
        <v/>
      </c>
      <c r="AJ20" s="3" t="str">
        <v/>
      </c>
      <c r="AK20" s="3" t="str">
        <v/>
      </c>
      <c r="AL20" s="3" t="str">
        <v/>
      </c>
      <c r="AM20" s="3" t="str">
        <v/>
      </c>
      <c r="AN20" s="3" t="str">
        <v/>
      </c>
      <c r="AO20" s="3" t="str">
        <v/>
      </c>
      <c r="AP20" s="3" t="str">
        <v/>
      </c>
    </row>
    <row r="21" spans="9:42">
      <c r="J21" s="10"/>
      <c r="Q21" s="3">
        <v>201703</v>
      </c>
      <c r="R21" s="10" t="str">
        <f>_xlfn.XLOOKUP(tb_diy_07[[#This Row],[id]],monster!A:A,monster!D:D,"",0)</f>
        <v>巨牙蝎</v>
      </c>
      <c r="S21" s="3" t="s">
        <v>293</v>
      </c>
      <c r="T21" s="5" t="s">
        <v>299</v>
      </c>
      <c r="U21" s="3" t="str">
        <f>_xlfn.TEXTJOIN(",",1,tb_diy_07[[#This Row],[v1]],tb_diy_07[[#This Row],[v2]])</f>
        <v>4</v>
      </c>
      <c r="V21" s="29">
        <v>4</v>
      </c>
      <c r="W21" s="29" t="s">
        <v>237</v>
      </c>
      <c r="Y21" s="3">
        <v>201803</v>
      </c>
      <c r="Z21" s="10" t="str">
        <f>_xlfn.XLOOKUP(tb_diy_08[[#This Row],[id]],monster!A:A,monster!D:D,"",0)</f>
        <v>海藻小妖</v>
      </c>
      <c r="AA21" s="3" t="s">
        <v>276</v>
      </c>
      <c r="AC21" s="3" t="str">
        <f>_xlfn.TEXTJOIN(",",1,tb_diy_08[[#This Row],[v1]],tb_diy_08[[#This Row],[v2]])</f>
        <v>0.5</v>
      </c>
      <c r="AD21" s="29">
        <v>0.5</v>
      </c>
      <c r="AE21" s="29" t="s">
        <v>237</v>
      </c>
      <c r="AF21" s="3">
        <v>201415</v>
      </c>
      <c r="AG21" s="40"/>
      <c r="AH21" s="3">
        <f t="shared" si="0"/>
        <v>0</v>
      </c>
      <c r="AI21" s="3" t="str">
        <v/>
      </c>
      <c r="AJ21" s="3" t="str">
        <v/>
      </c>
      <c r="AK21" s="3" t="str">
        <v/>
      </c>
      <c r="AL21" s="3" t="str">
        <v/>
      </c>
      <c r="AM21" s="3" t="str">
        <v/>
      </c>
      <c r="AN21" s="3" t="str">
        <v/>
      </c>
      <c r="AO21" s="3" t="str">
        <v/>
      </c>
      <c r="AP21" s="3" t="str">
        <v/>
      </c>
    </row>
    <row r="22" spans="9:42">
      <c r="J22" s="10"/>
      <c r="Q22" s="3">
        <v>201703</v>
      </c>
      <c r="R22" s="10" t="str">
        <f>_xlfn.XLOOKUP(tb_diy_07[[#This Row],[id]],monster!A:A,monster!D:D,"",0)</f>
        <v>巨牙蝎</v>
      </c>
      <c r="S22" s="3" t="s">
        <v>294</v>
      </c>
      <c r="U22" s="3" t="str">
        <f>_xlfn.TEXTJOIN(",",1,tb_diy_07[[#This Row],[v1]],tb_diy_07[[#This Row],[v2]])</f>
        <v>1.5</v>
      </c>
      <c r="V22" s="29">
        <v>1.5</v>
      </c>
      <c r="W22" s="29" t="s">
        <v>237</v>
      </c>
      <c r="Y22" s="3">
        <v>201804</v>
      </c>
      <c r="Z22" s="10" t="str">
        <f>_xlfn.XLOOKUP(tb_diy_08[[#This Row],[id]],monster!A:A,monster!D:D,"",0)</f>
        <v>鲶鱼</v>
      </c>
      <c r="AA22" s="3" t="s">
        <v>259</v>
      </c>
      <c r="AC22" s="3" t="str">
        <f>_xlfn.TEXTJOIN(",",1,tb_diy_08[[#This Row],[v1]],tb_diy_08[[#This Row],[v2]])</f>
        <v>20,160</v>
      </c>
      <c r="AD22" s="29">
        <v>20</v>
      </c>
      <c r="AE22" s="29">
        <v>160</v>
      </c>
      <c r="AF22" s="3">
        <v>201416</v>
      </c>
      <c r="AG22" s="40"/>
      <c r="AH22" s="3">
        <f t="shared" si="0"/>
        <v>0</v>
      </c>
      <c r="AI22" s="3" t="str">
        <v/>
      </c>
      <c r="AJ22" s="3" t="str">
        <v/>
      </c>
      <c r="AK22" s="3" t="str">
        <v/>
      </c>
      <c r="AL22" s="3" t="str">
        <v/>
      </c>
      <c r="AM22" s="3" t="str">
        <v/>
      </c>
      <c r="AN22" s="3" t="str">
        <v/>
      </c>
      <c r="AO22" s="3" t="str">
        <v/>
      </c>
      <c r="AP22" s="3" t="str">
        <v/>
      </c>
    </row>
    <row r="23" spans="9:42">
      <c r="J23" s="10"/>
      <c r="Q23" s="3">
        <v>201703</v>
      </c>
      <c r="R23" s="10" t="str">
        <f>_xlfn.XLOOKUP(tb_diy_07[[#This Row],[id]],monster!A:A,monster!D:D,"",0)</f>
        <v>巨牙蝎</v>
      </c>
      <c r="S23" s="3" t="s">
        <v>297</v>
      </c>
      <c r="U23" s="3" t="str">
        <f>_xlfn.TEXTJOIN(",",1,tb_diy_07[[#This Row],[v1]],tb_diy_07[[#This Row],[v2]])</f>
        <v>2</v>
      </c>
      <c r="V23" s="29">
        <v>2</v>
      </c>
      <c r="W23" s="29" t="s">
        <v>237</v>
      </c>
      <c r="Y23" s="3">
        <v>201804</v>
      </c>
      <c r="Z23" s="10" t="str">
        <f>_xlfn.XLOOKUP(tb_diy_08[[#This Row],[id]],monster!A:A,monster!D:D,"",0)</f>
        <v>鲶鱼</v>
      </c>
      <c r="AA23" s="3" t="s">
        <v>262</v>
      </c>
      <c r="AC23" s="3" t="str">
        <f>_xlfn.TEXTJOIN(",",1,tb_diy_08[[#This Row],[v1]],tb_diy_08[[#This Row],[v2]])</f>
        <v>8,12</v>
      </c>
      <c r="AD23" s="29">
        <v>8</v>
      </c>
      <c r="AE23" s="29">
        <v>12</v>
      </c>
      <c r="AF23" s="3">
        <v>201417</v>
      </c>
      <c r="AG23" s="40"/>
      <c r="AH23" s="3">
        <f t="shared" si="0"/>
        <v>0</v>
      </c>
      <c r="AI23" s="3" t="str">
        <v/>
      </c>
      <c r="AJ23" s="3" t="str">
        <v/>
      </c>
      <c r="AK23" s="3" t="str">
        <v/>
      </c>
      <c r="AL23" s="3" t="str">
        <v/>
      </c>
      <c r="AM23" s="3" t="str">
        <v/>
      </c>
      <c r="AN23" s="3" t="str">
        <v/>
      </c>
      <c r="AO23" s="3" t="str">
        <v/>
      </c>
      <c r="AP23" s="3" t="str">
        <v/>
      </c>
    </row>
    <row r="24" spans="9:42">
      <c r="J24" s="10"/>
      <c r="Q24" s="3">
        <v>201703</v>
      </c>
      <c r="R24" s="10" t="str">
        <f>_xlfn.XLOOKUP(tb_diy_07[[#This Row],[id]],monster!A:A,monster!D:D,"",0)</f>
        <v>巨牙蝎</v>
      </c>
      <c r="S24" s="3" t="s">
        <v>300</v>
      </c>
      <c r="U24" s="3" t="str">
        <f>_xlfn.TEXTJOIN(",",1,tb_diy_07[[#This Row],[v1]],tb_diy_07[[#This Row],[v2]])</f>
        <v>2</v>
      </c>
      <c r="V24" s="29">
        <v>2</v>
      </c>
      <c r="W24" s="29" t="s">
        <v>237</v>
      </c>
      <c r="Y24" s="3">
        <v>201804</v>
      </c>
      <c r="Z24" s="10" t="str">
        <f>_xlfn.XLOOKUP(tb_diy_08[[#This Row],[id]],monster!A:A,monster!D:D,"",0)</f>
        <v>鲶鱼</v>
      </c>
      <c r="AA24" s="3" t="s">
        <v>265</v>
      </c>
      <c r="AC24" s="3" t="str">
        <f>_xlfn.TEXTJOIN(",",1,tb_diy_08[[#This Row],[v1]],tb_diy_08[[#This Row],[v2]])</f>
        <v>3</v>
      </c>
      <c r="AD24" s="29">
        <v>3</v>
      </c>
      <c r="AE24" s="29" t="s">
        <v>237</v>
      </c>
      <c r="AF24" s="3">
        <v>201418</v>
      </c>
      <c r="AG24" s="40"/>
      <c r="AH24" s="3">
        <f t="shared" si="0"/>
        <v>0</v>
      </c>
      <c r="AI24" s="3" t="str">
        <v/>
      </c>
      <c r="AJ24" s="3" t="str">
        <v/>
      </c>
      <c r="AK24" s="3" t="str">
        <v/>
      </c>
      <c r="AL24" s="3" t="str">
        <v/>
      </c>
      <c r="AM24" s="3" t="str">
        <v/>
      </c>
      <c r="AN24" s="3" t="str">
        <v/>
      </c>
      <c r="AO24" s="3" t="str">
        <v/>
      </c>
      <c r="AP24" s="3" t="str">
        <v/>
      </c>
    </row>
    <row r="25" spans="9:42">
      <c r="J25" s="10"/>
      <c r="Q25" s="3">
        <v>201704</v>
      </c>
      <c r="R25" s="10" t="str">
        <f>_xlfn.XLOOKUP(tb_diy_07[[#This Row],[id]],monster!A:A,monster!D:D,"",0)</f>
        <v>巨型石头人</v>
      </c>
      <c r="S25" s="3" t="s">
        <v>301</v>
      </c>
      <c r="U25" s="3" t="str">
        <f>_xlfn.TEXTJOIN(",",1,tb_diy_07[[#This Row],[v1]],tb_diy_07[[#This Row],[v2]])</f>
        <v>1</v>
      </c>
      <c r="V25" s="29">
        <v>1</v>
      </c>
      <c r="W25" s="29" t="s">
        <v>237</v>
      </c>
      <c r="Y25" s="3">
        <v>201804</v>
      </c>
      <c r="Z25" s="10" t="str">
        <f>_xlfn.XLOOKUP(tb_diy_08[[#This Row],[id]],monster!A:A,monster!D:D,"",0)</f>
        <v>鲶鱼</v>
      </c>
      <c r="AA25" s="3" t="s">
        <v>270</v>
      </c>
      <c r="AC25" s="3" t="str">
        <f>_xlfn.TEXTJOIN(",",1,tb_diy_08[[#This Row],[v1]],tb_diy_08[[#This Row],[v2]])</f>
        <v>1</v>
      </c>
      <c r="AD25" s="29">
        <v>1</v>
      </c>
      <c r="AE25" s="29" t="s">
        <v>237</v>
      </c>
      <c r="AF25" s="3">
        <v>201419</v>
      </c>
      <c r="AG25" s="40"/>
      <c r="AH25" s="3">
        <f t="shared" si="0"/>
        <v>0</v>
      </c>
      <c r="AI25" s="3" t="str">
        <v/>
      </c>
      <c r="AJ25" s="3" t="str">
        <v/>
      </c>
      <c r="AK25" s="3" t="str">
        <v/>
      </c>
      <c r="AL25" s="3" t="str">
        <v/>
      </c>
      <c r="AM25" s="3" t="str">
        <v/>
      </c>
      <c r="AN25" s="3" t="str">
        <v/>
      </c>
      <c r="AO25" s="3" t="str">
        <v/>
      </c>
      <c r="AP25" s="3" t="str">
        <v/>
      </c>
    </row>
    <row r="26" spans="9:42">
      <c r="J26" s="10"/>
      <c r="Q26" s="3">
        <v>201704</v>
      </c>
      <c r="R26" s="10" t="str">
        <f>_xlfn.XLOOKUP(tb_diy_07[[#This Row],[id]],monster!A:A,monster!D:D,"",0)</f>
        <v>巨型石头人</v>
      </c>
      <c r="S26" s="3" t="s">
        <v>294</v>
      </c>
      <c r="U26" s="3" t="str">
        <f>_xlfn.TEXTJOIN(",",1,tb_diy_07[[#This Row],[v1]],tb_diy_07[[#This Row],[v2]])</f>
        <v>2</v>
      </c>
      <c r="V26" s="29">
        <v>2</v>
      </c>
      <c r="W26" s="29" t="s">
        <v>237</v>
      </c>
      <c r="Y26" s="3">
        <v>201804</v>
      </c>
      <c r="Z26" s="10" t="str">
        <f>_xlfn.XLOOKUP(tb_diy_08[[#This Row],[id]],monster!A:A,monster!D:D,"",0)</f>
        <v>鲶鱼</v>
      </c>
      <c r="AA26" s="3" t="s">
        <v>271</v>
      </c>
      <c r="AC26" s="3" t="str">
        <f>_xlfn.TEXTJOIN(",",1,tb_diy_08[[#This Row],[v1]],tb_diy_08[[#This Row],[v2]])</f>
        <v>0.5,1</v>
      </c>
      <c r="AD26" s="29">
        <v>0.5</v>
      </c>
      <c r="AE26" s="29">
        <v>1</v>
      </c>
    </row>
    <row r="27" spans="9:42">
      <c r="J27" s="10"/>
      <c r="Q27" s="3">
        <v>201704</v>
      </c>
      <c r="R27" s="10" t="str">
        <f>_xlfn.XLOOKUP(tb_diy_07[[#This Row],[id]],monster!A:A,monster!D:D,"",0)</f>
        <v>巨型石头人</v>
      </c>
      <c r="S27" s="3" t="s">
        <v>302</v>
      </c>
      <c r="U27" s="3" t="str">
        <f>_xlfn.TEXTJOIN(",",1,tb_diy_07[[#This Row],[v1]],tb_diy_07[[#This Row],[v2]])</f>
        <v>2</v>
      </c>
      <c r="V27" s="29">
        <v>2</v>
      </c>
      <c r="W27" s="29" t="s">
        <v>237</v>
      </c>
      <c r="Y27" s="3">
        <v>201804</v>
      </c>
      <c r="Z27" s="10" t="str">
        <f>_xlfn.XLOOKUP(tb_diy_08[[#This Row],[id]],monster!A:A,monster!D:D,"",0)</f>
        <v>鲶鱼</v>
      </c>
      <c r="AA27" s="3" t="s">
        <v>274</v>
      </c>
      <c r="AC27" s="3" t="str">
        <f>_xlfn.TEXTJOIN(",",1,tb_diy_08[[#This Row],[v1]],tb_diy_08[[#This Row],[v2]])</f>
        <v>0.2</v>
      </c>
      <c r="AD27" s="29">
        <v>0.2</v>
      </c>
      <c r="AE27" s="29" t="s">
        <v>237</v>
      </c>
    </row>
    <row r="28" spans="9:42">
      <c r="J28" s="10"/>
      <c r="Q28" s="3">
        <v>201704</v>
      </c>
      <c r="R28" s="10" t="str">
        <f>_xlfn.XLOOKUP(tb_diy_07[[#This Row],[id]],monster!A:A,monster!D:D,"",0)</f>
        <v>巨型石头人</v>
      </c>
      <c r="S28" s="3" t="s">
        <v>303</v>
      </c>
      <c r="U28" s="3" t="str">
        <f>_xlfn.TEXTJOIN(",",1,tb_diy_07[[#This Row],[v1]],tb_diy_07[[#This Row],[v2]])</f>
        <v>50</v>
      </c>
      <c r="V28" s="29">
        <v>50</v>
      </c>
      <c r="W28" s="29" t="s">
        <v>237</v>
      </c>
      <c r="Y28" s="3">
        <v>201804</v>
      </c>
      <c r="Z28" s="10" t="str">
        <f>_xlfn.XLOOKUP(tb_diy_08[[#This Row],[id]],monster!A:A,monster!D:D,"",0)</f>
        <v>鲶鱼</v>
      </c>
      <c r="AA28" s="3" t="s">
        <v>276</v>
      </c>
      <c r="AC28" s="3" t="str">
        <f>_xlfn.TEXTJOIN(",",1,tb_diy_08[[#This Row],[v1]],tb_diy_08[[#This Row],[v2]])</f>
        <v>0.5</v>
      </c>
      <c r="AD28" s="29">
        <v>0.5</v>
      </c>
      <c r="AE28" s="29" t="s">
        <v>237</v>
      </c>
    </row>
    <row r="29" spans="9:42">
      <c r="J29" s="10"/>
      <c r="Q29" s="3">
        <v>201704</v>
      </c>
      <c r="R29" s="10" t="str">
        <f>_xlfn.XLOOKUP(tb_diy_07[[#This Row],[id]],monster!A:A,monster!D:D,"",0)</f>
        <v>巨型石头人</v>
      </c>
      <c r="S29" s="3" t="s">
        <v>304</v>
      </c>
      <c r="U29" s="3" t="str">
        <f>_xlfn.TEXTJOIN(",",1,tb_diy_07[[#This Row],[v1]],tb_diy_07[[#This Row],[v2]])</f>
        <v>1,2</v>
      </c>
      <c r="V29" s="29">
        <v>1</v>
      </c>
      <c r="W29" s="29">
        <v>2</v>
      </c>
      <c r="Y29" s="3">
        <v>201804</v>
      </c>
      <c r="Z29" s="10" t="str">
        <f>_xlfn.XLOOKUP(tb_diy_08[[#This Row],[id]],monster!A:A,monster!D:D,"",0)</f>
        <v>鲶鱼</v>
      </c>
      <c r="AA29" s="3" t="s">
        <v>305</v>
      </c>
      <c r="AC29" s="3" t="str">
        <f>_xlfn.TEXTJOIN(",",1,tb_diy_08[[#This Row],[v1]],tb_diy_08[[#This Row],[v2]])</f>
        <v>2</v>
      </c>
      <c r="AD29" s="29">
        <v>2</v>
      </c>
      <c r="AE29" s="29" t="s">
        <v>237</v>
      </c>
    </row>
    <row r="30" spans="9:42">
      <c r="J30" s="10"/>
      <c r="Q30" s="3">
        <v>201705</v>
      </c>
      <c r="R30" s="10" t="str">
        <f>_xlfn.XLOOKUP(tb_diy_07[[#This Row],[id]],monster!A:A,monster!D:D,"",0)</f>
        <v>小石头人</v>
      </c>
      <c r="S30" s="3" t="s">
        <v>275</v>
      </c>
      <c r="U30" s="3" t="str">
        <f>_xlfn.TEXTJOIN(",",1,tb_diy_07[[#This Row],[v1]],tb_diy_07[[#This Row],[v2]])</f>
        <v>4</v>
      </c>
      <c r="V30" s="29">
        <v>4</v>
      </c>
      <c r="W30" s="29" t="s">
        <v>237</v>
      </c>
      <c r="Y30" s="3">
        <v>201804</v>
      </c>
      <c r="Z30" s="10" t="str">
        <f>_xlfn.XLOOKUP(tb_diy_08[[#This Row],[id]],monster!A:A,monster!D:D,"",0)</f>
        <v>鲶鱼</v>
      </c>
      <c r="AA30" s="3" t="s">
        <v>306</v>
      </c>
      <c r="AC30" s="3" t="str">
        <f>_xlfn.TEXTJOIN(",",1,tb_diy_08[[#This Row],[v1]],tb_diy_08[[#This Row],[v2]])</f>
        <v>30</v>
      </c>
      <c r="AD30" s="29">
        <v>30</v>
      </c>
      <c r="AE30" s="29" t="s">
        <v>237</v>
      </c>
    </row>
    <row r="31" spans="9:42">
      <c r="J31" s="10"/>
      <c r="Q31" s="3">
        <v>201705</v>
      </c>
      <c r="R31" s="10" t="str">
        <f>_xlfn.XLOOKUP(tb_diy_07[[#This Row],[id]],monster!A:A,monster!D:D,"",0)</f>
        <v>小石头人</v>
      </c>
      <c r="S31" s="3" t="s">
        <v>274</v>
      </c>
      <c r="U31" s="3" t="str">
        <f>_xlfn.TEXTJOIN(",",1,tb_diy_07[[#This Row],[v1]],tb_diy_07[[#This Row],[v2]])</f>
        <v>0.2</v>
      </c>
      <c r="V31" s="29">
        <v>0.2</v>
      </c>
      <c r="W31" s="29" t="s">
        <v>237</v>
      </c>
      <c r="Y31" s="3">
        <v>201805</v>
      </c>
      <c r="Z31" s="10" t="str">
        <f>_xlfn.XLOOKUP(tb_diy_08[[#This Row],[id]],monster!A:A,monster!D:D,"",0)</f>
        <v>似目草</v>
      </c>
      <c r="AA31" s="3" t="s">
        <v>294</v>
      </c>
      <c r="AC31" s="3" t="str">
        <f>_xlfn.TEXTJOIN(",",1,tb_diy_08[[#This Row],[v1]],tb_diy_08[[#This Row],[v2]])</f>
        <v>2</v>
      </c>
      <c r="AD31" s="29">
        <v>2</v>
      </c>
      <c r="AE31" s="29" t="s">
        <v>237</v>
      </c>
    </row>
    <row r="32" spans="9:42">
      <c r="J32" s="10"/>
      <c r="Q32" s="3">
        <v>201705</v>
      </c>
      <c r="R32" s="10" t="str">
        <f>_xlfn.XLOOKUP(tb_diy_07[[#This Row],[id]],monster!A:A,monster!D:D,"",0)</f>
        <v>小石头人</v>
      </c>
      <c r="S32" s="3" t="s">
        <v>276</v>
      </c>
      <c r="U32" s="3" t="str">
        <f>_xlfn.TEXTJOIN(",",1,tb_diy_07[[#This Row],[v1]],tb_diy_07[[#This Row],[v2]])</f>
        <v>0.3</v>
      </c>
      <c r="V32" s="29">
        <v>0.3</v>
      </c>
      <c r="W32" s="29" t="s">
        <v>237</v>
      </c>
      <c r="Y32" s="3">
        <v>201805</v>
      </c>
      <c r="Z32" s="10" t="str">
        <f>_xlfn.XLOOKUP(tb_diy_08[[#This Row],[id]],monster!A:A,monster!D:D,"",0)</f>
        <v>似目草</v>
      </c>
      <c r="AA32" s="3" t="s">
        <v>307</v>
      </c>
      <c r="AC32" s="3" t="str">
        <f>_xlfn.TEXTJOIN(",",1,tb_diy_08[[#This Row],[v1]],tb_diy_08[[#This Row],[v2]])</f>
        <v>0.4</v>
      </c>
      <c r="AD32" s="29">
        <v>0.4</v>
      </c>
      <c r="AE32" s="29" t="s">
        <v>237</v>
      </c>
    </row>
    <row r="33" spans="10:35">
      <c r="J33" s="10"/>
      <c r="Q33" s="3">
        <v>201705</v>
      </c>
      <c r="R33" s="10" t="str">
        <f>_xlfn.XLOOKUP(tb_diy_07[[#This Row],[id]],monster!A:A,monster!D:D,"",0)</f>
        <v>小石头人</v>
      </c>
      <c r="S33" s="3" t="s">
        <v>293</v>
      </c>
      <c r="U33" s="3" t="str">
        <f>_xlfn.TEXTJOIN(",",1,tb_diy_07[[#This Row],[v1]],tb_diy_07[[#This Row],[v2]])</f>
        <v>1</v>
      </c>
      <c r="V33" s="29">
        <v>1</v>
      </c>
      <c r="W33" s="29" t="s">
        <v>237</v>
      </c>
      <c r="Y33" s="3">
        <v>201805</v>
      </c>
      <c r="Z33" s="10" t="str">
        <f>_xlfn.XLOOKUP(tb_diy_08[[#This Row],[id]],monster!A:A,monster!D:D,"",0)</f>
        <v>似目草</v>
      </c>
      <c r="AA33" s="5" t="s">
        <v>308</v>
      </c>
      <c r="AC33" s="3" t="str">
        <f>_xlfn.TEXTJOIN(",",1,tb_diy_08[[#This Row],[v1]],tb_diy_08[[#This Row],[v2]])</f>
        <v>0.2</v>
      </c>
      <c r="AD33" s="29">
        <v>0.2</v>
      </c>
      <c r="AE33" s="29" t="s">
        <v>237</v>
      </c>
      <c r="AF33" s="29" t="s">
        <v>237</v>
      </c>
    </row>
    <row r="34" spans="10:35">
      <c r="J34" s="10"/>
      <c r="Q34" s="3">
        <v>201705</v>
      </c>
      <c r="R34" s="10" t="str">
        <f>_xlfn.XLOOKUP(tb_diy_07[[#This Row],[id]],monster!A:A,monster!D:D,"",0)</f>
        <v>小石头人</v>
      </c>
      <c r="S34" s="3" t="s">
        <v>294</v>
      </c>
      <c r="U34" s="3" t="str">
        <f>_xlfn.TEXTJOIN(",",1,tb_diy_07[[#This Row],[v1]],tb_diy_07[[#This Row],[v2]])</f>
        <v>1.5</v>
      </c>
      <c r="V34" s="29">
        <v>1.5</v>
      </c>
      <c r="W34" s="29" t="s">
        <v>237</v>
      </c>
      <c r="Y34" s="3">
        <v>201806</v>
      </c>
      <c r="Z34" s="10" t="str">
        <f>_xlfn.XLOOKUP(tb_diy_08[[#This Row],[id]],monster!A:A,monster!D:D,"",0)</f>
        <v>脑型大水母</v>
      </c>
      <c r="AA34" s="3" t="s">
        <v>259</v>
      </c>
      <c r="AC34" s="3" t="str">
        <f>_xlfn.TEXTJOIN(",",1,tb_diy_08[[#This Row],[v1]],tb_diy_08[[#This Row],[v2]])</f>
        <v>20,160</v>
      </c>
      <c r="AD34" s="29">
        <v>20</v>
      </c>
      <c r="AE34" s="29">
        <v>160</v>
      </c>
    </row>
    <row r="35" spans="10:35">
      <c r="Q35" s="3">
        <v>201705</v>
      </c>
      <c r="R35" s="10" t="str">
        <f>_xlfn.XLOOKUP(tb_diy_07[[#This Row],[id]],monster!A:A,monster!D:D,"",0)</f>
        <v>小石头人</v>
      </c>
      <c r="S35" s="3" t="s">
        <v>297</v>
      </c>
      <c r="T35" s="5"/>
      <c r="U35" s="3" t="str">
        <f>_xlfn.TEXTJOIN(",",1,tb_diy_07[[#This Row],[v1]],tb_diy_07[[#This Row],[v2]])</f>
        <v>2</v>
      </c>
      <c r="V35" s="29">
        <v>2</v>
      </c>
      <c r="W35" s="29" t="s">
        <v>237</v>
      </c>
      <c r="Y35" s="3">
        <v>201806</v>
      </c>
      <c r="Z35" s="10" t="str">
        <f>_xlfn.XLOOKUP(tb_diy_08[[#This Row],[id]],monster!A:A,monster!D:D,"",0)</f>
        <v>脑型大水母</v>
      </c>
      <c r="AA35" s="3" t="s">
        <v>262</v>
      </c>
      <c r="AC35" s="3" t="str">
        <f>_xlfn.TEXTJOIN(",",1,tb_diy_08[[#This Row],[v1]],tb_diy_08[[#This Row],[v2]])</f>
        <v>9.5,12</v>
      </c>
      <c r="AD35" s="29">
        <v>9.5</v>
      </c>
      <c r="AE35" s="29">
        <v>12</v>
      </c>
    </row>
    <row r="36" spans="10:35">
      <c r="Q36" s="3">
        <v>201705</v>
      </c>
      <c r="R36" s="10" t="str">
        <f>_xlfn.XLOOKUP(tb_diy_07[[#This Row],[id]],monster!A:A,monster!D:D,"",0)</f>
        <v>小石头人</v>
      </c>
      <c r="S36" s="3" t="s">
        <v>300</v>
      </c>
      <c r="U36" s="3" t="str">
        <f>_xlfn.TEXTJOIN(",",1,tb_diy_07[[#This Row],[v1]],tb_diy_07[[#This Row],[v2]])</f>
        <v>2</v>
      </c>
      <c r="V36" s="29">
        <v>2</v>
      </c>
      <c r="W36" s="29" t="s">
        <v>237</v>
      </c>
      <c r="Y36" s="3">
        <v>201806</v>
      </c>
      <c r="Z36" s="10" t="str">
        <f>_xlfn.XLOOKUP(tb_diy_08[[#This Row],[id]],monster!A:A,monster!D:D,"",0)</f>
        <v>脑型大水母</v>
      </c>
      <c r="AA36" s="3" t="s">
        <v>265</v>
      </c>
      <c r="AC36" s="3" t="str">
        <f>_xlfn.TEXTJOIN(",",1,tb_diy_08[[#This Row],[v1]],tb_diy_08[[#This Row],[v2]])</f>
        <v>6</v>
      </c>
      <c r="AD36" s="29">
        <v>6</v>
      </c>
      <c r="AE36" s="29" t="s">
        <v>237</v>
      </c>
    </row>
    <row r="37" spans="10:35">
      <c r="Q37" s="3">
        <v>201706</v>
      </c>
      <c r="R37" s="10" t="str">
        <f>_xlfn.XLOOKUP(tb_diy_07[[#This Row],[id]],monster!A:A,monster!D:D,"",0)</f>
        <v>大盾守卫</v>
      </c>
      <c r="S37" s="3" t="s">
        <v>309</v>
      </c>
      <c r="T37" s="5" t="s">
        <v>310</v>
      </c>
      <c r="U37" s="3" t="str">
        <f>_xlfn.TEXTJOIN(",",1,tb_diy_07[[#This Row],[v1]],tb_diy_07[[#This Row],[v2]])</f>
        <v>60,120</v>
      </c>
      <c r="V37" s="29">
        <v>60</v>
      </c>
      <c r="W37" s="29">
        <v>120</v>
      </c>
      <c r="Y37" s="3">
        <v>201806</v>
      </c>
      <c r="Z37" s="10" t="str">
        <f>_xlfn.XLOOKUP(tb_diy_08[[#This Row],[id]],monster!A:A,monster!D:D,"",0)</f>
        <v>脑型大水母</v>
      </c>
      <c r="AA37" s="3" t="s">
        <v>270</v>
      </c>
      <c r="AC37" s="3" t="str">
        <f>_xlfn.TEXTJOIN(",",1,tb_diy_08[[#This Row],[v1]],tb_diy_08[[#This Row],[v2]])</f>
        <v>3</v>
      </c>
      <c r="AD37" s="29">
        <v>3</v>
      </c>
      <c r="AE37" s="29" t="s">
        <v>237</v>
      </c>
      <c r="AF37" s="29" t="s">
        <v>311</v>
      </c>
      <c r="AG37" s="29" t="s">
        <v>312</v>
      </c>
      <c r="AH37" s="29" t="s">
        <v>313</v>
      </c>
    </row>
    <row r="38" spans="10:35">
      <c r="Q38" s="3">
        <v>201706</v>
      </c>
      <c r="R38" s="10" t="str">
        <f>_xlfn.XLOOKUP(tb_diy_07[[#This Row],[id]],monster!A:A,monster!D:D,"",0)</f>
        <v>大盾守卫</v>
      </c>
      <c r="S38" s="3" t="s">
        <v>314</v>
      </c>
      <c r="T38" s="5" t="s">
        <v>315</v>
      </c>
      <c r="U38" s="5" t="str">
        <f>_xlfn.TEXTJOIN(",",1,tb_diy_07[[#This Row],[v1]],tb_diy_07[[#This Row],[v2]])</f>
        <v>5,6</v>
      </c>
      <c r="V38" s="29">
        <v>5</v>
      </c>
      <c r="W38" s="29">
        <v>6</v>
      </c>
      <c r="Y38" s="3">
        <v>201806</v>
      </c>
      <c r="Z38" s="10" t="str">
        <f>_xlfn.XLOOKUP(tb_diy_08[[#This Row],[id]],monster!A:A,monster!D:D,"",0)</f>
        <v>脑型大水母</v>
      </c>
      <c r="AA38" s="3" t="s">
        <v>316</v>
      </c>
      <c r="AC38" s="3" t="str">
        <f>_xlfn.TEXTJOIN(",",1,tb_diy_08[[#This Row],[v1]],tb_diy_08[[#This Row],[v2]])</f>
        <v>7</v>
      </c>
      <c r="AD38" s="29">
        <v>7</v>
      </c>
      <c r="AE38" s="29" t="s">
        <v>237</v>
      </c>
      <c r="AF38" s="3" cm="1">
        <f t="array" ref="AF38:AF54">VALUE(TRANSPOSE(_xlfn.TEXTSPLIT(_xlfn.TEXTJOIN(",",1,_xlfn.ANCHORARRAY(AI7)),",")))</f>
        <v>201402</v>
      </c>
      <c r="AG38" s="3" t="str" cm="1">
        <f t="array" ref="AG38">INDEX(TRANSPOSE(_xlfn.TEXTSPLIT(_xlfn.XLOOKUP(AF38,$AF$7:$AF$18,$AG$7:$AG$18),";")),COUNTIF($AF$38:$AF38,$AF38))</f>
        <v>SUB_CELL_COUNT=10</v>
      </c>
      <c r="AH38" s="3" t="str" cm="1">
        <f t="array" ref="AH38:AI38">_xlfn.TEXTSPLIT(AG38,"=")</f>
        <v>SUB_CELL_COUNT</v>
      </c>
      <c r="AI38" s="3" t="str">
        <v>10</v>
      </c>
    </row>
    <row r="39" spans="10:35">
      <c r="Q39" s="3">
        <v>201706</v>
      </c>
      <c r="R39" s="10" t="str">
        <f>_xlfn.XLOOKUP(tb_diy_07[[#This Row],[id]],monster!A:A,monster!D:D,"",0)</f>
        <v>大盾守卫</v>
      </c>
      <c r="S39" s="3" t="s">
        <v>317</v>
      </c>
      <c r="U39" s="3" t="str">
        <f>_xlfn.TEXTJOIN(",",1,tb_diy_07[[#This Row],[v1]],tb_diy_07[[#This Row],[v2]])</f>
        <v>1</v>
      </c>
      <c r="V39" s="29">
        <v>1</v>
      </c>
      <c r="W39" s="29" t="s">
        <v>237</v>
      </c>
      <c r="Y39" s="3">
        <v>201806</v>
      </c>
      <c r="Z39" s="10" t="str">
        <f>_xlfn.XLOOKUP(tb_diy_08[[#This Row],[id]],monster!A:A,monster!D:D,"",0)</f>
        <v>脑型大水母</v>
      </c>
      <c r="AA39" s="3" t="s">
        <v>283</v>
      </c>
      <c r="AB39" s="5" t="s">
        <v>318</v>
      </c>
      <c r="AC39" s="3" t="str">
        <f>_xlfn.TEXTJOIN(",",1,tb_diy_08[[#This Row],[v1]],tb_diy_08[[#This Row],[v2]])</f>
        <v>3</v>
      </c>
      <c r="AD39" s="29">
        <v>3</v>
      </c>
      <c r="AE39" s="29" t="s">
        <v>237</v>
      </c>
      <c r="AF39" s="3">
        <v>201402</v>
      </c>
      <c r="AG39" s="3" t="str" cm="1">
        <f t="array" ref="AG39">INDEX(TRANSPOSE(_xlfn.TEXTSPLIT(_xlfn.XLOOKUP(AF39,$AF$7:$AF$18,$AG$7:$AG$18),";")),COUNTIF($AF$38:$AF39,$AF39))</f>
        <v>SUB_CELL_POS_X_AREA=-0.5,0.5</v>
      </c>
      <c r="AH39" s="3" t="str" cm="1">
        <f t="array" ref="AH39:AI39">_xlfn.TEXTSPLIT(AG39,"=")</f>
        <v>SUB_CELL_POS_X_AREA</v>
      </c>
      <c r="AI39" s="3" t="str">
        <v>-0.5,0.5</v>
      </c>
    </row>
    <row r="40" spans="10:35">
      <c r="Q40" s="3">
        <v>201706</v>
      </c>
      <c r="R40" s="10" t="str">
        <f>_xlfn.XLOOKUP(tb_diy_07[[#This Row],[id]],monster!A:A,monster!D:D,"",0)</f>
        <v>大盾守卫</v>
      </c>
      <c r="S40" s="3" t="s">
        <v>319</v>
      </c>
      <c r="U40" s="3" t="str">
        <f>_xlfn.TEXTJOIN(",",1,tb_diy_07[[#This Row],[v1]],tb_diy_07[[#This Row],[v2]])</f>
        <v>1</v>
      </c>
      <c r="V40" s="29">
        <v>1</v>
      </c>
      <c r="W40" s="29" t="s">
        <v>237</v>
      </c>
      <c r="Y40" s="3">
        <v>201806</v>
      </c>
      <c r="Z40" s="10" t="str">
        <f>_xlfn.XLOOKUP(tb_diy_08[[#This Row],[id]],monster!A:A,monster!D:D,"",0)</f>
        <v>脑型大水母</v>
      </c>
      <c r="AA40" s="3" t="s">
        <v>320</v>
      </c>
      <c r="AC40" s="3" t="str">
        <f>_xlfn.TEXTJOIN(",",1,tb_diy_08[[#This Row],[v1]],tb_diy_08[[#This Row],[v2]])</f>
        <v>2</v>
      </c>
      <c r="AD40" s="29">
        <v>2</v>
      </c>
      <c r="AE40" s="29" t="s">
        <v>237</v>
      </c>
      <c r="AF40" s="3">
        <v>201402</v>
      </c>
      <c r="AG40" s="3" t="str" cm="1">
        <f t="array" ref="AG40">INDEX(TRANSPOSE(_xlfn.TEXTSPLIT(_xlfn.XLOOKUP(AF40,$AF$7:$AF$18,$AG$7:$AG$18),";")),COUNTIF($AF$38:$AF40,$AF40))</f>
        <v>SUB_CELL_POS_Y_AREA=-1.5,0</v>
      </c>
      <c r="AH40" s="3" t="str" cm="1">
        <f t="array" ref="AH40:AI40">_xlfn.TEXTSPLIT(AG40,"=")</f>
        <v>SUB_CELL_POS_Y_AREA</v>
      </c>
      <c r="AI40" s="3" t="str">
        <v>-1.5,0</v>
      </c>
    </row>
    <row r="41" spans="10:35">
      <c r="Q41" s="3">
        <v>201706</v>
      </c>
      <c r="R41" s="10" t="str">
        <f>_xlfn.XLOOKUP(tb_diy_07[[#This Row],[id]],monster!A:A,monster!D:D,"",0)</f>
        <v>大盾守卫</v>
      </c>
      <c r="S41" s="3" t="s">
        <v>321</v>
      </c>
      <c r="U41" s="3" t="str">
        <f>_xlfn.TEXTJOIN(",",1,tb_diy_07[[#This Row],[v1]],tb_diy_07[[#This Row],[v2]])</f>
        <v>0,180</v>
      </c>
      <c r="V41" s="29">
        <v>0</v>
      </c>
      <c r="W41" s="29">
        <v>180</v>
      </c>
      <c r="Y41" s="3">
        <v>201807</v>
      </c>
      <c r="Z41" s="10" t="str">
        <f>_xlfn.XLOOKUP(tb_diy_08[[#This Row],[id]],monster!A:A,monster!D:D,"",0)</f>
        <v>针刺小水母</v>
      </c>
      <c r="AA41" s="3" t="s">
        <v>259</v>
      </c>
      <c r="AC41" s="3" t="str">
        <f>_xlfn.TEXTJOIN(",",1,tb_diy_08[[#This Row],[v1]],tb_diy_08[[#This Row],[v2]])</f>
        <v>10,170</v>
      </c>
      <c r="AD41" s="29">
        <v>10</v>
      </c>
      <c r="AE41" s="29">
        <v>170</v>
      </c>
      <c r="AF41" s="3">
        <v>201404</v>
      </c>
      <c r="AG41" s="3" t="str" cm="1">
        <f t="array" ref="AG41">INDEX(TRANSPOSE(_xlfn.TEXTSPLIT(_xlfn.XLOOKUP(AF41,$AF$7:$AF$18,$AG$7:$AG$18),";")),COUNTIF($AF$38:$AF41,$AF41))</f>
        <v>FLYAROUND_DEG=20,170</v>
      </c>
      <c r="AH41" s="3" t="str" cm="1">
        <f t="array" ref="AH41:AI41">_xlfn.TEXTSPLIT(AG41,"=")</f>
        <v>FLYAROUND_DEG</v>
      </c>
      <c r="AI41" s="3" t="str">
        <v>20,170</v>
      </c>
    </row>
    <row r="42" spans="10:35">
      <c r="Q42" s="3">
        <v>201706</v>
      </c>
      <c r="R42" s="10" t="str">
        <f>_xlfn.XLOOKUP(tb_diy_07[[#This Row],[id]],monster!A:A,monster!D:D,"",0)</f>
        <v>大盾守卫</v>
      </c>
      <c r="S42" s="3" t="s">
        <v>322</v>
      </c>
      <c r="U42" s="3" t="str">
        <f>_xlfn.TEXTJOIN(",",1,tb_diy_07[[#This Row],[v1]],tb_diy_07[[#This Row],[v2]])</f>
        <v>1,2</v>
      </c>
      <c r="V42" s="29">
        <v>1</v>
      </c>
      <c r="W42" s="29">
        <v>2</v>
      </c>
      <c r="Y42" s="3">
        <v>201807</v>
      </c>
      <c r="Z42" s="10" t="str">
        <f>_xlfn.XLOOKUP(tb_diy_08[[#This Row],[id]],monster!A:A,monster!D:D,"",0)</f>
        <v>针刺小水母</v>
      </c>
      <c r="AA42" s="3" t="s">
        <v>262</v>
      </c>
      <c r="AC42" s="3" t="str">
        <f>_xlfn.TEXTJOIN(",",1,tb_diy_08[[#This Row],[v1]],tb_diy_08[[#This Row],[v2]])</f>
        <v>2,4</v>
      </c>
      <c r="AD42" s="29">
        <v>2</v>
      </c>
      <c r="AE42" s="29">
        <v>4</v>
      </c>
      <c r="AF42" s="3">
        <v>201404</v>
      </c>
      <c r="AG42" s="3" t="str" cm="1">
        <f t="array" ref="AG42">INDEX(TRANSPOSE(_xlfn.TEXTSPLIT(_xlfn.XLOOKUP(AF42,$AF$7:$AF$18,$AG$7:$AG$18),";")),COUNTIF($AF$38:$AF42,$AF42))</f>
        <v>FLYAROUND_RADIUS=7,10</v>
      </c>
      <c r="AH42" s="3" t="str" cm="1">
        <f t="array" ref="AH42:AI42">_xlfn.TEXTSPLIT(AG42,"=")</f>
        <v>FLYAROUND_RADIUS</v>
      </c>
      <c r="AI42" s="3" t="str">
        <v>7,10</v>
      </c>
    </row>
    <row r="43" spans="10:35">
      <c r="Q43" s="3">
        <v>201706</v>
      </c>
      <c r="R43" s="10" t="str">
        <f>_xlfn.XLOOKUP(tb_diy_07[[#This Row],[id]],monster!A:A,monster!D:D,"",0)</f>
        <v>大盾守卫</v>
      </c>
      <c r="S43" s="3" t="s">
        <v>323</v>
      </c>
      <c r="U43" s="3" t="str">
        <f>_xlfn.TEXTJOIN(",",1,tb_diy_07[[#This Row],[v1]],tb_diy_07[[#This Row],[v2]])</f>
        <v>1</v>
      </c>
      <c r="V43" s="29">
        <v>1</v>
      </c>
      <c r="W43" s="29" t="s">
        <v>237</v>
      </c>
      <c r="Y43" s="3">
        <v>201807</v>
      </c>
      <c r="Z43" s="10" t="str">
        <f>_xlfn.XLOOKUP(tb_diy_08[[#This Row],[id]],monster!A:A,monster!D:D,"",0)</f>
        <v>针刺小水母</v>
      </c>
      <c r="AA43" s="3" t="s">
        <v>265</v>
      </c>
      <c r="AC43" s="3" t="str">
        <f>_xlfn.TEXTJOIN(",",1,tb_diy_08[[#This Row],[v1]],tb_diy_08[[#This Row],[v2]])</f>
        <v>6</v>
      </c>
      <c r="AD43" s="29">
        <v>6</v>
      </c>
      <c r="AE43" s="29" t="s">
        <v>237</v>
      </c>
      <c r="AF43" s="3">
        <v>201404</v>
      </c>
      <c r="AG43" s="3" t="str" cm="1">
        <f t="array" ref="AG43">INDEX(TRANSPOSE(_xlfn.TEXTSPLIT(_xlfn.XLOOKUP(AF43,$AF$7:$AF$18,$AG$7:$AG$18),";")),COUNTIF($AF$38:$AF43,$AF43))</f>
        <v>FLYAROUND_COUNT_MAX=6</v>
      </c>
      <c r="AH43" s="3" t="str" cm="1">
        <f t="array" ref="AH43:AI43">_xlfn.TEXTSPLIT(AG43,"=")</f>
        <v>FLYAROUND_COUNT_MAX</v>
      </c>
      <c r="AI43" s="3" t="str">
        <v>6</v>
      </c>
    </row>
    <row r="44" spans="10:35">
      <c r="Q44" s="3">
        <v>201706</v>
      </c>
      <c r="R44" s="10" t="str">
        <f>_xlfn.XLOOKUP(tb_diy_07[[#This Row],[id]],monster!A:A,monster!D:D,"",0)</f>
        <v>大盾守卫</v>
      </c>
      <c r="S44" s="3" t="s">
        <v>324</v>
      </c>
      <c r="U44" s="3" t="str">
        <f>_xlfn.TEXTJOIN(",",1,tb_diy_07[[#This Row],[v1]],tb_diy_07[[#This Row],[v2]])</f>
        <v>1</v>
      </c>
      <c r="V44" s="29">
        <v>1</v>
      </c>
      <c r="W44" s="29" t="s">
        <v>237</v>
      </c>
      <c r="Y44" s="3">
        <v>201807</v>
      </c>
      <c r="Z44" s="10" t="str">
        <f>_xlfn.XLOOKUP(tb_diy_08[[#This Row],[id]],monster!A:A,monster!D:D,"",0)</f>
        <v>针刺小水母</v>
      </c>
      <c r="AA44" s="3" t="s">
        <v>270</v>
      </c>
      <c r="AC44" s="3" t="str">
        <f>_xlfn.TEXTJOIN(",",1,tb_diy_08[[#This Row],[v1]],tb_diy_08[[#This Row],[v2]])</f>
        <v>3</v>
      </c>
      <c r="AD44" s="29">
        <v>3</v>
      </c>
      <c r="AE44" s="29" t="s">
        <v>237</v>
      </c>
      <c r="AF44" s="3">
        <v>201404</v>
      </c>
      <c r="AG44" s="3" t="str" cm="1">
        <f t="array" ref="AG44">INDEX(TRANSPOSE(_xlfn.TEXTSPLIT(_xlfn.XLOOKUP(AF44,$AF$7:$AF$18,$AG$7:$AG$18),";")),COUNTIF($AF$38:$AF44,$AF44))</f>
        <v>FLYAROUND_COUNT_MIN=4</v>
      </c>
      <c r="AH44" s="3" t="str" cm="1">
        <f t="array" ref="AH44:AI44">_xlfn.TEXTSPLIT(AG44,"=")</f>
        <v>FLYAROUND_COUNT_MIN</v>
      </c>
      <c r="AI44" s="3" t="str">
        <v>4</v>
      </c>
    </row>
    <row r="45" spans="10:35">
      <c r="Q45" s="3">
        <v>201706</v>
      </c>
      <c r="R45" s="10" t="str">
        <f>_xlfn.XLOOKUP(tb_diy_07[[#This Row],[id]],monster!A:A,monster!D:D,"",0)</f>
        <v>大盾守卫</v>
      </c>
      <c r="S45" s="3" t="s">
        <v>274</v>
      </c>
      <c r="U45" s="3" t="str">
        <f>_xlfn.TEXTJOIN(",",1,tb_diy_07[[#This Row],[v1]],tb_diy_07[[#This Row],[v2]])</f>
        <v>0.2</v>
      </c>
      <c r="V45" s="29">
        <v>0.2</v>
      </c>
      <c r="W45" s="29" t="s">
        <v>237</v>
      </c>
      <c r="Y45" s="3">
        <v>201807</v>
      </c>
      <c r="Z45" s="10" t="str">
        <f>_xlfn.XLOOKUP(tb_diy_08[[#This Row],[id]],monster!A:A,monster!D:D,"",0)</f>
        <v>针刺小水母</v>
      </c>
      <c r="AA45" s="3" t="s">
        <v>325</v>
      </c>
      <c r="AC45" s="3" t="str">
        <f>_xlfn.TEXTJOIN(",",1,tb_diy_08[[#This Row],[v1]],tb_diy_08[[#This Row],[v2]])</f>
        <v>4</v>
      </c>
      <c r="AD45" s="29">
        <v>4</v>
      </c>
      <c r="AE45" s="29" t="s">
        <v>237</v>
      </c>
      <c r="AF45" s="3">
        <v>201404</v>
      </c>
      <c r="AG45" s="3" t="str" cm="1">
        <f t="array" ref="AG45">INDEX(TRANSPOSE(_xlfn.TEXTSPLIT(_xlfn.XLOOKUP(AF45,$AF$7:$AF$18,$AG$7:$AG$18),";")),COUNTIF($AF$38:$AF45,$AF45))</f>
        <v>CREATE_CD_AREA=4,6</v>
      </c>
      <c r="AH45" s="3" t="str" cm="1">
        <f t="array" ref="AH45:AI45">_xlfn.TEXTSPLIT(AG45,"=")</f>
        <v>CREATE_CD_AREA</v>
      </c>
      <c r="AI45" s="3" t="str">
        <v>4,6</v>
      </c>
    </row>
    <row r="46" spans="10:35">
      <c r="Q46" s="3">
        <v>201706</v>
      </c>
      <c r="R46" s="10" t="str">
        <f>_xlfn.XLOOKUP(tb_diy_07[[#This Row],[id]],monster!A:A,monster!D:D,"",0)</f>
        <v>大盾守卫</v>
      </c>
      <c r="S46" s="3" t="s">
        <v>276</v>
      </c>
      <c r="U46" s="3" t="str">
        <f>_xlfn.TEXTJOIN(",",1,tb_diy_07[[#This Row],[v1]],tb_diy_07[[#This Row],[v2]])</f>
        <v>0.3</v>
      </c>
      <c r="V46" s="29">
        <v>0.3</v>
      </c>
      <c r="W46" s="29" t="s">
        <v>237</v>
      </c>
      <c r="Y46" s="3">
        <v>201807</v>
      </c>
      <c r="Z46" s="10" t="str">
        <f>_xlfn.XLOOKUP(tb_diy_08[[#This Row],[id]],monster!A:A,monster!D:D,"",0)</f>
        <v>针刺小水母</v>
      </c>
      <c r="AA46" s="3" t="s">
        <v>258</v>
      </c>
      <c r="AC46" s="3" t="str">
        <f>_xlfn.TEXTJOIN(",",1,tb_diy_08[[#This Row],[v1]],tb_diy_08[[#This Row],[v2]])</f>
        <v>16</v>
      </c>
      <c r="AD46" s="29">
        <v>16</v>
      </c>
      <c r="AE46" s="29" t="s">
        <v>237</v>
      </c>
      <c r="AF46" s="3">
        <v>201404</v>
      </c>
      <c r="AG46" s="3" t="str" cm="1">
        <f t="array" ref="AG46">INDEX(TRANSPOSE(_xlfn.TEXTSPLIT(_xlfn.XLOOKUP(AF46,$AF$7:$AF$18,$AG$7:$AG$18),";")),COUNTIF($AF$38:$AF46,$AF46))</f>
        <v>CREATE_INTERVAL_SEC=0.2</v>
      </c>
      <c r="AH46" s="3" t="str" cm="1">
        <f t="array" ref="AH46:AI46">_xlfn.TEXTSPLIT(AG46,"=")</f>
        <v>CREATE_INTERVAL_SEC</v>
      </c>
      <c r="AI46" s="3" t="str">
        <v>0.2</v>
      </c>
    </row>
    <row r="47" spans="10:35">
      <c r="Q47" s="3">
        <v>201706</v>
      </c>
      <c r="R47" s="10" t="str">
        <f>_xlfn.XLOOKUP(tb_diy_07[[#This Row],[id]],monster!A:A,monster!D:D,"",0)</f>
        <v>大盾守卫</v>
      </c>
      <c r="S47" s="3" t="s">
        <v>293</v>
      </c>
      <c r="U47" s="3" t="str">
        <f>_xlfn.TEXTJOIN(",",1,tb_diy_07[[#This Row],[v1]],tb_diy_07[[#This Row],[v2]])</f>
        <v>1</v>
      </c>
      <c r="V47" s="29">
        <v>1</v>
      </c>
      <c r="W47" s="29" t="s">
        <v>237</v>
      </c>
      <c r="Y47" s="3">
        <v>201809</v>
      </c>
      <c r="Z47" s="10" t="str">
        <f>_xlfn.XLOOKUP(tb_diy_08[[#This Row],[id]],monster!A:A,monster!D:D,"",0)</f>
        <v>印花水母</v>
      </c>
      <c r="AA47" s="3" t="s">
        <v>259</v>
      </c>
      <c r="AC47" s="3" t="str">
        <f>_xlfn.TEXTJOIN(",",1,tb_diy_08[[#This Row],[v1]],tb_diy_08[[#This Row],[v2]])</f>
        <v>10,170</v>
      </c>
      <c r="AD47" s="29">
        <v>10</v>
      </c>
      <c r="AE47" s="29">
        <v>170</v>
      </c>
      <c r="AF47" s="3">
        <v>201404</v>
      </c>
      <c r="AG47" s="3" t="str" cm="1">
        <f t="array" ref="AG47">INDEX(TRANSPOSE(_xlfn.TEXTSPLIT(_xlfn.XLOOKUP(AF47,$AF$7:$AF$18,$AG$7:$AG$18),";")),COUNTIF($AF$38:$AF47,$AF47))</f>
        <v>SUB_CELL_COUNT_SINGLE=3</v>
      </c>
      <c r="AH47" s="3" t="str" cm="1">
        <f t="array" ref="AH47:AI47">_xlfn.TEXTSPLIT(AG47,"=")</f>
        <v>SUB_CELL_COUNT_SINGLE</v>
      </c>
      <c r="AI47" s="3" t="str">
        <v>3</v>
      </c>
    </row>
    <row r="48" spans="10:35">
      <c r="Q48" s="3">
        <v>201706</v>
      </c>
      <c r="R48" s="10" t="str">
        <f>_xlfn.XLOOKUP(tb_diy_07[[#This Row],[id]],monster!A:A,monster!D:D,"",0)</f>
        <v>大盾守卫</v>
      </c>
      <c r="S48" s="3" t="s">
        <v>294</v>
      </c>
      <c r="U48" s="3" t="str">
        <f>_xlfn.TEXTJOIN(",",1,tb_diy_07[[#This Row],[v1]],tb_diy_07[[#This Row],[v2]])</f>
        <v>1.5</v>
      </c>
      <c r="V48" s="29">
        <v>1.5</v>
      </c>
      <c r="W48" s="29" t="s">
        <v>237</v>
      </c>
      <c r="Y48" s="3">
        <v>201809</v>
      </c>
      <c r="Z48" s="10" t="str">
        <f>_xlfn.XLOOKUP(tb_diy_08[[#This Row],[id]],monster!A:A,monster!D:D,"",0)</f>
        <v>印花水母</v>
      </c>
      <c r="AA48" s="3" t="s">
        <v>262</v>
      </c>
      <c r="AC48" s="3" t="str">
        <f>_xlfn.TEXTJOIN(",",1,tb_diy_08[[#This Row],[v1]],tb_diy_08[[#This Row],[v2]])</f>
        <v>8,12</v>
      </c>
      <c r="AD48" s="29">
        <v>8</v>
      </c>
      <c r="AE48" s="29">
        <v>12</v>
      </c>
      <c r="AF48" s="3">
        <v>201404</v>
      </c>
      <c r="AG48" s="3" t="str" cm="1">
        <f t="array" ref="AG48">INDEX(TRANSPOSE(_xlfn.TEXTSPLIT(_xlfn.XLOOKUP(AF48,$AF$7:$AF$18,$AG$7:$AG$18),";")),COUNTIF($AF$38:$AF48,$AF48))</f>
        <v>SUB_CELL_SPEED_AREA=1,2</v>
      </c>
      <c r="AH48" s="3" t="str" cm="1">
        <f t="array" ref="AH48:AI48">_xlfn.TEXTSPLIT(AG48,"=")</f>
        <v>SUB_CELL_SPEED_AREA</v>
      </c>
      <c r="AI48" s="3" t="str">
        <v>1,2</v>
      </c>
    </row>
    <row r="49" spans="17:35">
      <c r="Q49" s="3">
        <v>201706</v>
      </c>
      <c r="R49" s="10" t="str">
        <f>_xlfn.XLOOKUP(tb_diy_07[[#This Row],[id]],monster!A:A,monster!D:D,"",0)</f>
        <v>大盾守卫</v>
      </c>
      <c r="S49" s="3" t="s">
        <v>297</v>
      </c>
      <c r="T49" s="5" t="s">
        <v>326</v>
      </c>
      <c r="U49" s="3" t="str">
        <f>_xlfn.TEXTJOIN(",",1,tb_diy_07[[#This Row],[v1]],tb_diy_07[[#This Row],[v2]])</f>
        <v>8</v>
      </c>
      <c r="V49" s="29">
        <v>8</v>
      </c>
      <c r="W49" s="29" t="s">
        <v>237</v>
      </c>
      <c r="Y49" s="3">
        <v>201809</v>
      </c>
      <c r="Z49" s="10" t="str">
        <f>_xlfn.XLOOKUP(tb_diy_08[[#This Row],[id]],monster!A:A,monster!D:D,"",0)</f>
        <v>印花水母</v>
      </c>
      <c r="AA49" s="3" t="s">
        <v>325</v>
      </c>
      <c r="AC49" s="3" t="str">
        <f>_xlfn.TEXTJOIN(",",1,tb_diy_08[[#This Row],[v1]],tb_diy_08[[#This Row],[v2]])</f>
        <v>1</v>
      </c>
      <c r="AD49" s="29">
        <v>1</v>
      </c>
      <c r="AE49" s="29" t="s">
        <v>237</v>
      </c>
      <c r="AF49" s="3">
        <v>201405</v>
      </c>
      <c r="AG49" s="3" t="str" cm="1">
        <f t="array" ref="AG49">INDEX(TRANSPOSE(_xlfn.TEXTSPLIT(_xlfn.XLOOKUP(AF49,$AF$7:$AF$18,$AG$7:$AG$18),";")),COUNTIF($AF$38:$AF49,$AF49))</f>
        <v>EXPLOSION_RADIUS=1.2</v>
      </c>
      <c r="AH49" s="3" t="str" cm="1">
        <f t="array" ref="AH49:AI49">_xlfn.TEXTSPLIT(AG49,"=")</f>
        <v>EXPLOSION_RADIUS</v>
      </c>
      <c r="AI49" s="3" t="str">
        <v>1.2</v>
      </c>
    </row>
    <row r="50" spans="17:35">
      <c r="Q50" s="3">
        <v>201707</v>
      </c>
      <c r="R50" s="10" t="str">
        <f>_xlfn.XLOOKUP(tb_diy_07[[#This Row],[id]],monster!A:A,monster!D:D,"",0)</f>
        <v>基础守卫</v>
      </c>
      <c r="S50" s="3" t="s">
        <v>309</v>
      </c>
      <c r="T50" s="5" t="s">
        <v>310</v>
      </c>
      <c r="U50" s="3" t="str">
        <f>_xlfn.TEXTJOIN(",",1,tb_diy_07[[#This Row],[v1]],tb_diy_07[[#This Row],[v2]])</f>
        <v>60,120</v>
      </c>
      <c r="V50" s="29">
        <v>60</v>
      </c>
      <c r="W50" s="29">
        <v>120</v>
      </c>
      <c r="Y50" s="3">
        <v>201809</v>
      </c>
      <c r="Z50" s="10" t="str">
        <f>_xlfn.XLOOKUP(tb_diy_08[[#This Row],[id]],monster!A:A,monster!D:D,"",0)</f>
        <v>印花水母</v>
      </c>
      <c r="AA50" s="3" t="s">
        <v>258</v>
      </c>
      <c r="AC50" s="3" t="str">
        <f>_xlfn.TEXTJOIN(",",1,tb_diy_08[[#This Row],[v1]],tb_diy_08[[#This Row],[v2]])</f>
        <v>11</v>
      </c>
      <c r="AD50" s="29">
        <v>11</v>
      </c>
      <c r="AE50" s="29" t="s">
        <v>237</v>
      </c>
      <c r="AF50" s="3">
        <v>201405</v>
      </c>
      <c r="AG50" s="3" t="str" cm="1">
        <f t="array" ref="AG50">INDEX(TRANSPOSE(_xlfn.TEXTSPLIT(_xlfn.XLOOKUP(AF50,$AF$7:$AF$18,$AG$7:$AG$18),";")),COUNTIF($AF$38:$AF50,$AF50))</f>
        <v>BEHIT_RADIUS=1</v>
      </c>
      <c r="AH50" s="3" t="str" cm="1">
        <f t="array" ref="AH50:AI50">_xlfn.TEXTSPLIT(AG50,"=")</f>
        <v>BEHIT_RADIUS</v>
      </c>
      <c r="AI50" s="3" t="str">
        <v>1</v>
      </c>
    </row>
    <row r="51" spans="17:35">
      <c r="Q51" s="3">
        <v>201707</v>
      </c>
      <c r="R51" s="10" t="str">
        <f>_xlfn.XLOOKUP(tb_diy_07[[#This Row],[id]],monster!A:A,monster!D:D,"",0)</f>
        <v>基础守卫</v>
      </c>
      <c r="S51" s="3" t="s">
        <v>314</v>
      </c>
      <c r="T51" s="5" t="s">
        <v>315</v>
      </c>
      <c r="U51" s="5" t="str">
        <f>_xlfn.TEXTJOIN(",",1,tb_diy_07[[#This Row],[v1]],tb_diy_07[[#This Row],[v2]])</f>
        <v>5,8</v>
      </c>
      <c r="V51" s="29">
        <v>5</v>
      </c>
      <c r="W51" s="29">
        <v>8</v>
      </c>
      <c r="Y51" s="3">
        <v>201809</v>
      </c>
      <c r="Z51" s="10" t="str">
        <f>_xlfn.XLOOKUP(tb_diy_08[[#This Row],[id]],monster!A:A,monster!D:D,"",0)</f>
        <v>印花水母</v>
      </c>
      <c r="AA51" s="3" t="s">
        <v>327</v>
      </c>
      <c r="AC51" s="3" t="str">
        <f>_xlfn.TEXTJOIN(",",1,tb_diy_08[[#This Row],[v1]],tb_diy_08[[#This Row],[v2]])</f>
        <v>2.8</v>
      </c>
      <c r="AD51" s="29">
        <v>2.8</v>
      </c>
      <c r="AE51" s="29" t="s">
        <v>237</v>
      </c>
      <c r="AF51" s="3">
        <v>201406</v>
      </c>
      <c r="AG51" s="3" t="str" cm="1">
        <f t="array" ref="AG51">INDEX(TRANSPOSE(_xlfn.TEXTSPLIT(_xlfn.XLOOKUP(AF51,$AF$7:$AF$18,$AG$7:$AG$18),";")),COUNTIF($AF$38:$AF51,$AF51))</f>
        <v>CREATE_COUNT_AREA=1,3</v>
      </c>
      <c r="AH51" s="3" t="str" cm="1">
        <f t="array" ref="AH51:AI51">_xlfn.TEXTSPLIT(AG51,"=")</f>
        <v>CREATE_COUNT_AREA</v>
      </c>
      <c r="AI51" s="3" t="str">
        <v>1,3</v>
      </c>
    </row>
    <row r="52" spans="17:35">
      <c r="Q52" s="3">
        <v>201707</v>
      </c>
      <c r="R52" s="10" t="str">
        <f>_xlfn.XLOOKUP(tb_diy_07[[#This Row],[id]],monster!A:A,monster!D:D,"",0)</f>
        <v>基础守卫</v>
      </c>
      <c r="S52" s="3" t="s">
        <v>317</v>
      </c>
      <c r="U52" s="3" t="str">
        <f>_xlfn.TEXTJOIN(",",1,tb_diy_07[[#This Row],[v1]],tb_diy_07[[#This Row],[v2]])</f>
        <v>1</v>
      </c>
      <c r="V52" s="29">
        <v>1</v>
      </c>
      <c r="W52" s="29" t="s">
        <v>237</v>
      </c>
      <c r="Y52" s="3">
        <v>201809</v>
      </c>
      <c r="Z52" s="10" t="str">
        <f>_xlfn.XLOOKUP(tb_diy_08[[#This Row],[id]],monster!A:A,monster!D:D,"",0)</f>
        <v>印花水母</v>
      </c>
      <c r="AA52" s="3" t="s">
        <v>274</v>
      </c>
      <c r="AC52" s="3" t="str">
        <f>_xlfn.TEXTJOIN(",",1,tb_diy_08[[#This Row],[v1]],tb_diy_08[[#This Row],[v2]])</f>
        <v>0.6</v>
      </c>
      <c r="AD52" s="29">
        <v>0.6</v>
      </c>
      <c r="AE52" s="29" t="s">
        <v>237</v>
      </c>
      <c r="AF52" s="3">
        <v>201407</v>
      </c>
      <c r="AG52" s="3" t="str" cm="1">
        <f t="array" ref="AG52">INDEX(TRANSPOSE(_xlfn.TEXTSPLIT(_xlfn.XLOOKUP(AF52,$AF$7:$AF$18,$AG$7:$AG$18),";")),COUNTIF($AF$38:$AF52,$AF52))</f>
        <v>FLYAROUND_DEG=20,170</v>
      </c>
      <c r="AH52" s="3" t="str" cm="1">
        <f t="array" ref="AH52:AI52">_xlfn.TEXTSPLIT(AG52,"=")</f>
        <v>FLYAROUND_DEG</v>
      </c>
      <c r="AI52" s="3" t="str">
        <v>20,170</v>
      </c>
    </row>
    <row r="53" spans="17:35">
      <c r="Q53" s="3">
        <v>201707</v>
      </c>
      <c r="R53" s="10" t="str">
        <f>_xlfn.XLOOKUP(tb_diy_07[[#This Row],[id]],monster!A:A,monster!D:D,"",0)</f>
        <v>基础守卫</v>
      </c>
      <c r="S53" s="3" t="s">
        <v>319</v>
      </c>
      <c r="U53" s="3" t="str">
        <f>_xlfn.TEXTJOIN(",",1,tb_diy_07[[#This Row],[v1]],tb_diy_07[[#This Row],[v2]])</f>
        <v>1</v>
      </c>
      <c r="V53" s="29">
        <v>1</v>
      </c>
      <c r="W53" s="29" t="s">
        <v>237</v>
      </c>
      <c r="Y53" s="3">
        <v>201810</v>
      </c>
      <c r="Z53" s="10" t="str">
        <f>_xlfn.XLOOKUP(tb_diy_08[[#This Row],[id]],monster!A:A,monster!D:D,"",0)</f>
        <v>混沌沼泽怪</v>
      </c>
      <c r="AA53" s="3" t="s">
        <v>275</v>
      </c>
      <c r="AC53" s="3" t="str">
        <f>_xlfn.TEXTJOIN(",",1,tb_diy_08[[#This Row],[v1]],tb_diy_08[[#This Row],[v2]])</f>
        <v>2</v>
      </c>
      <c r="AD53" s="29">
        <v>2</v>
      </c>
      <c r="AE53" s="29" t="s">
        <v>237</v>
      </c>
      <c r="AF53" s="3">
        <v>201407</v>
      </c>
      <c r="AG53" s="3" t="str" cm="1">
        <f t="array" ref="AG53">INDEX(TRANSPOSE(_xlfn.TEXTSPLIT(_xlfn.XLOOKUP(AF53,$AF$7:$AF$18,$AG$7:$AG$18),";")),COUNTIF($AF$38:$AF53,$AF53))</f>
        <v>FLYAROUND_RADIUS=1,5</v>
      </c>
      <c r="AH53" s="3" t="str" cm="1">
        <f t="array" ref="AH53:AI53">_xlfn.TEXTSPLIT(AG53,"=")</f>
        <v>FLYAROUND_RADIUS</v>
      </c>
      <c r="AI53" s="3" t="str">
        <v>1,5</v>
      </c>
    </row>
    <row r="54" spans="17:35">
      <c r="Q54" s="3">
        <v>201707</v>
      </c>
      <c r="R54" s="10" t="str">
        <f>_xlfn.XLOOKUP(tb_diy_07[[#This Row],[id]],monster!A:A,monster!D:D,"",0)</f>
        <v>基础守卫</v>
      </c>
      <c r="S54" s="3" t="s">
        <v>321</v>
      </c>
      <c r="T54" s="5" t="s">
        <v>328</v>
      </c>
      <c r="U54" s="3" t="str">
        <f>_xlfn.TEXTJOIN(",",1,tb_diy_07[[#This Row],[v1]],tb_diy_07[[#This Row],[v2]])</f>
        <v>0,180</v>
      </c>
      <c r="V54" s="29">
        <v>0</v>
      </c>
      <c r="W54" s="29">
        <v>180</v>
      </c>
      <c r="Y54" s="3">
        <v>201810</v>
      </c>
      <c r="Z54" s="10" t="str">
        <f>_xlfn.XLOOKUP(tb_diy_08[[#This Row],[id]],monster!A:A,monster!D:D,"",0)</f>
        <v>混沌沼泽怪</v>
      </c>
      <c r="AA54" s="3" t="s">
        <v>294</v>
      </c>
      <c r="AC54" s="3" t="str">
        <f>_xlfn.TEXTJOIN(",",1,tb_diy_08[[#This Row],[v1]],tb_diy_08[[#This Row],[v2]])</f>
        <v>4</v>
      </c>
      <c r="AD54" s="29">
        <v>4</v>
      </c>
      <c r="AE54" s="29" t="s">
        <v>237</v>
      </c>
      <c r="AF54" s="3">
        <v>201407</v>
      </c>
      <c r="AG54" s="3" t="str" cm="1">
        <f t="array" ref="AG54">INDEX(TRANSPOSE(_xlfn.TEXTSPLIT(_xlfn.XLOOKUP(AF54,$AF$7:$AF$18,$AG$7:$AG$18),";")),COUNTIF($AF$38:$AF54,$AF54))</f>
        <v>ATTACK_CD_SEC=2</v>
      </c>
      <c r="AH54" s="3" t="str" cm="1">
        <f t="array" ref="AH54:AI54">_xlfn.TEXTSPLIT(AG54,"=")</f>
        <v>ATTACK_CD_SEC</v>
      </c>
      <c r="AI54" s="3" t="str">
        <v>2</v>
      </c>
    </row>
    <row r="55" spans="17:35">
      <c r="Q55" s="3">
        <v>201707</v>
      </c>
      <c r="R55" s="10" t="str">
        <f>_xlfn.XLOOKUP(tb_diy_07[[#This Row],[id]],monster!A:A,monster!D:D,"",0)</f>
        <v>基础守卫</v>
      </c>
      <c r="S55" s="3" t="s">
        <v>322</v>
      </c>
      <c r="T55" s="5" t="s">
        <v>329</v>
      </c>
      <c r="U55" s="3" t="str">
        <f>_xlfn.TEXTJOIN(",",1,tb_diy_07[[#This Row],[v1]],tb_diy_07[[#This Row],[v2]])</f>
        <v>1,2</v>
      </c>
      <c r="V55" s="29">
        <v>1</v>
      </c>
      <c r="W55" s="29">
        <v>2</v>
      </c>
      <c r="Y55" s="3">
        <v>201810</v>
      </c>
      <c r="Z55" s="10" t="str">
        <f>_xlfn.XLOOKUP(tb_diy_08[[#This Row],[id]],monster!A:A,monster!D:D,"",0)</f>
        <v>混沌沼泽怪</v>
      </c>
      <c r="AA55" s="3" t="s">
        <v>330</v>
      </c>
      <c r="AC55" s="3" t="str">
        <f>_xlfn.TEXTJOIN(",",1,tb_diy_08[[#This Row],[v1]],tb_diy_08[[#This Row],[v2]])</f>
        <v>2,3</v>
      </c>
      <c r="AD55" s="29">
        <v>2</v>
      </c>
      <c r="AE55" s="29">
        <v>3</v>
      </c>
      <c r="AG55" s="3" t="e" cm="1">
        <f t="array" ref="AG55">INDEX(TRANSPOSE(_xlfn.TEXTSPLIT(_xlfn.XLOOKUP(AF55,$AF$7:$AF$18,$AG$7:$AG$18),";")),COUNTIF($AF$38:$AF55,$AF55))</f>
        <v>#N/A</v>
      </c>
      <c r="AH55" s="3" t="e" cm="1">
        <f t="array" ref="AH55">_xlfn.TEXTSPLIT(AG55,"=")</f>
        <v>#N/A</v>
      </c>
    </row>
    <row r="56" spans="17:35">
      <c r="Q56" s="3">
        <v>201707</v>
      </c>
      <c r="R56" s="10" t="str">
        <f>_xlfn.XLOOKUP(tb_diy_07[[#This Row],[id]],monster!A:A,monster!D:D,"",0)</f>
        <v>基础守卫</v>
      </c>
      <c r="S56" s="3" t="s">
        <v>323</v>
      </c>
      <c r="U56" s="3" t="str">
        <f>_xlfn.TEXTJOIN(",",1,tb_diy_07[[#This Row],[v1]],tb_diy_07[[#This Row],[v2]])</f>
        <v>1</v>
      </c>
      <c r="V56" s="29">
        <v>1</v>
      </c>
      <c r="W56" s="29" t="s">
        <v>237</v>
      </c>
      <c r="Y56" s="3">
        <v>201810</v>
      </c>
      <c r="Z56" s="10" t="str">
        <f>_xlfn.XLOOKUP(tb_diy_08[[#This Row],[id]],monster!A:A,monster!D:D,"",0)</f>
        <v>混沌沼泽怪</v>
      </c>
      <c r="AA56" s="3" t="s">
        <v>331</v>
      </c>
      <c r="AC56" s="3" t="str">
        <f>_xlfn.TEXTJOIN(",",1,tb_diy_08[[#This Row],[v1]],tb_diy_08[[#This Row],[v2]])</f>
        <v>4</v>
      </c>
      <c r="AD56" s="29">
        <v>4</v>
      </c>
      <c r="AE56" s="29" t="s">
        <v>237</v>
      </c>
      <c r="AG56" s="3" t="e" cm="1">
        <f t="array" ref="AG56">INDEX(TRANSPOSE(_xlfn.TEXTSPLIT(_xlfn.XLOOKUP(AF56,$AF$7:$AF$18,$AG$7:$AG$18),";")),COUNTIF($AF$38:$AF56,$AF56))</f>
        <v>#N/A</v>
      </c>
      <c r="AH56" s="3" t="e" cm="1">
        <f t="array" ref="AH56">_xlfn.TEXTSPLIT(AG56,"=")</f>
        <v>#N/A</v>
      </c>
    </row>
    <row r="57" spans="17:35">
      <c r="Q57" s="3">
        <v>201707</v>
      </c>
      <c r="R57" s="10" t="str">
        <f>_xlfn.XLOOKUP(tb_diy_07[[#This Row],[id]],monster!A:A,monster!D:D,"",0)</f>
        <v>基础守卫</v>
      </c>
      <c r="S57" s="3" t="s">
        <v>324</v>
      </c>
      <c r="U57" s="3" t="str">
        <f>_xlfn.TEXTJOIN(",",1,tb_diy_07[[#This Row],[v1]],tb_diy_07[[#This Row],[v2]])</f>
        <v>1</v>
      </c>
      <c r="V57" s="29">
        <v>1</v>
      </c>
      <c r="W57" s="29" t="s">
        <v>237</v>
      </c>
      <c r="Y57" s="3">
        <v>201810</v>
      </c>
      <c r="Z57" s="10" t="str">
        <f>_xlfn.XLOOKUP(tb_diy_08[[#This Row],[id]],monster!A:A,monster!D:D,"",0)</f>
        <v>混沌沼泽怪</v>
      </c>
      <c r="AA57" s="3" t="s">
        <v>274</v>
      </c>
      <c r="AC57" s="3" t="str">
        <f>_xlfn.TEXTJOIN(",",1,tb_diy_08[[#This Row],[v1]],tb_diy_08[[#This Row],[v2]])</f>
        <v>0.1</v>
      </c>
      <c r="AD57" s="29">
        <v>0.1</v>
      </c>
      <c r="AE57" s="29" t="s">
        <v>237</v>
      </c>
      <c r="AG57" s="3" t="e" cm="1">
        <f t="array" ref="AG57">INDEX(TRANSPOSE(_xlfn.TEXTSPLIT(_xlfn.XLOOKUP(AF57,$AF$7:$AF$18,$AG$7:$AG$18),";")),COUNTIF($AF$38:$AF57,$AF57))</f>
        <v>#N/A</v>
      </c>
      <c r="AH57" s="3" t="e" cm="1">
        <f t="array" ref="AH57">_xlfn.TEXTSPLIT(AG57,"=")</f>
        <v>#N/A</v>
      </c>
    </row>
    <row r="58" spans="17:35">
      <c r="Q58" s="3">
        <v>201707</v>
      </c>
      <c r="R58" s="10" t="str">
        <f>_xlfn.XLOOKUP(tb_diy_07[[#This Row],[id]],monster!A:A,monster!D:D,"",0)</f>
        <v>基础守卫</v>
      </c>
      <c r="S58" s="3" t="s">
        <v>274</v>
      </c>
      <c r="U58" s="3" t="str">
        <f>_xlfn.TEXTJOIN(",",1,tb_diy_07[[#This Row],[v1]],tb_diy_07[[#This Row],[v2]])</f>
        <v>0.2</v>
      </c>
      <c r="V58" s="29">
        <v>0.2</v>
      </c>
      <c r="W58" s="29" t="s">
        <v>237</v>
      </c>
      <c r="Y58" s="3">
        <v>201810</v>
      </c>
      <c r="Z58" s="10" t="str">
        <f>_xlfn.XLOOKUP(tb_diy_08[[#This Row],[id]],monster!A:A,monster!D:D,"",0)</f>
        <v>混沌沼泽怪</v>
      </c>
      <c r="AA58" s="3" t="s">
        <v>276</v>
      </c>
      <c r="AC58" s="3" t="str">
        <f>_xlfn.TEXTJOIN(",",1,tb_diy_08[[#This Row],[v1]],tb_diy_08[[#This Row],[v2]])</f>
        <v>0.5</v>
      </c>
      <c r="AD58" s="29">
        <v>0.5</v>
      </c>
      <c r="AE58" s="29" t="s">
        <v>237</v>
      </c>
      <c r="AG58" s="3" t="e" cm="1">
        <f t="array" ref="AG58">INDEX(TRANSPOSE(_xlfn.TEXTSPLIT(_xlfn.XLOOKUP(AF58,$AF$7:$AF$18,$AG$7:$AG$18),";")),COUNTIF($AF$38:$AF58,$AF58))</f>
        <v>#N/A</v>
      </c>
      <c r="AH58" s="3" t="e" cm="1">
        <f t="array" ref="AH58">_xlfn.TEXTSPLIT(AG58,"=")</f>
        <v>#N/A</v>
      </c>
    </row>
    <row r="59" spans="17:35">
      <c r="Q59" s="3">
        <v>201707</v>
      </c>
      <c r="R59" s="10" t="str">
        <f>_xlfn.XLOOKUP(tb_diy_07[[#This Row],[id]],monster!A:A,monster!D:D,"",0)</f>
        <v>基础守卫</v>
      </c>
      <c r="S59" s="3" t="s">
        <v>276</v>
      </c>
      <c r="U59" s="3" t="str">
        <f>_xlfn.TEXTJOIN(",",1,tb_diy_07[[#This Row],[v1]],tb_diy_07[[#This Row],[v2]])</f>
        <v>0.3</v>
      </c>
      <c r="V59" s="29">
        <v>0.3</v>
      </c>
      <c r="W59" s="29" t="s">
        <v>237</v>
      </c>
      <c r="Y59" s="3">
        <v>201811</v>
      </c>
      <c r="Z59" s="10" t="str">
        <f>_xlfn.XLOOKUP(tb_diy_08[[#This Row],[id]],monster!A:A,monster!D:D,"",0)</f>
        <v>青蛙</v>
      </c>
      <c r="AA59" s="3" t="s">
        <v>274</v>
      </c>
      <c r="AC59" s="3" t="str">
        <f>_xlfn.TEXTJOIN(",",1,tb_diy_08[[#This Row],[v1]],tb_diy_08[[#This Row],[v2]])</f>
        <v>0.2</v>
      </c>
      <c r="AD59" s="29">
        <v>0.2</v>
      </c>
      <c r="AE59" s="29" t="s">
        <v>237</v>
      </c>
      <c r="AG59" s="3" t="e" cm="1">
        <f t="array" ref="AG59">INDEX(TRANSPOSE(_xlfn.TEXTSPLIT(_xlfn.XLOOKUP(AF59,$AF$7:$AF$18,$AG$7:$AG$18),";")),COUNTIF($AF$38:$AF59,$AF59))</f>
        <v>#N/A</v>
      </c>
      <c r="AH59" s="3" t="e" cm="1">
        <f t="array" ref="AH59">_xlfn.TEXTSPLIT(AG59,"=")</f>
        <v>#N/A</v>
      </c>
    </row>
    <row r="60" spans="17:35">
      <c r="Q60" s="3">
        <v>201707</v>
      </c>
      <c r="R60" s="10" t="str">
        <f>_xlfn.XLOOKUP(tb_diy_07[[#This Row],[id]],monster!A:A,monster!D:D,"",0)</f>
        <v>基础守卫</v>
      </c>
      <c r="S60" s="3" t="s">
        <v>293</v>
      </c>
      <c r="U60" s="3" t="str">
        <f>_xlfn.TEXTJOIN(",",1,tb_diy_07[[#This Row],[v1]],tb_diy_07[[#This Row],[v2]])</f>
        <v>1</v>
      </c>
      <c r="V60" s="29">
        <v>1</v>
      </c>
      <c r="W60" s="29" t="s">
        <v>237</v>
      </c>
      <c r="Y60" s="3">
        <v>201811</v>
      </c>
      <c r="Z60" s="10" t="str">
        <f>_xlfn.XLOOKUP(tb_diy_08[[#This Row],[id]],monster!A:A,monster!D:D,"",0)</f>
        <v>青蛙</v>
      </c>
      <c r="AA60" s="3" t="s">
        <v>276</v>
      </c>
      <c r="AC60" s="3" t="str">
        <f>_xlfn.TEXTJOIN(",",1,tb_diy_08[[#This Row],[v1]],tb_diy_08[[#This Row],[v2]])</f>
        <v>0.5</v>
      </c>
      <c r="AD60" s="29">
        <v>0.5</v>
      </c>
      <c r="AE60" s="29" t="s">
        <v>237</v>
      </c>
      <c r="AG60" s="3" t="e" cm="1">
        <f t="array" ref="AG60">INDEX(TRANSPOSE(_xlfn.TEXTSPLIT(_xlfn.XLOOKUP(AF60,$AF$7:$AF$18,$AG$7:$AG$18),";")),COUNTIF($AF$38:$AF60,$AF60))</f>
        <v>#N/A</v>
      </c>
      <c r="AH60" s="3" t="e" cm="1">
        <f t="array" ref="AH60">_xlfn.TEXTSPLIT(AG60,"=")</f>
        <v>#N/A</v>
      </c>
    </row>
    <row r="61" spans="17:35">
      <c r="Q61" s="3">
        <v>201707</v>
      </c>
      <c r="R61" s="10" t="str">
        <f>_xlfn.XLOOKUP(tb_diy_07[[#This Row],[id]],monster!A:A,monster!D:D,"",0)</f>
        <v>基础守卫</v>
      </c>
      <c r="S61" s="3" t="s">
        <v>294</v>
      </c>
      <c r="U61" s="3" t="str">
        <f>_xlfn.TEXTJOIN(",",1,tb_diy_07[[#This Row],[v1]],tb_diy_07[[#This Row],[v2]])</f>
        <v>1.5</v>
      </c>
      <c r="V61" s="29">
        <v>1.5</v>
      </c>
      <c r="W61" s="29" t="s">
        <v>237</v>
      </c>
      <c r="Y61" s="3">
        <v>201811</v>
      </c>
      <c r="Z61" s="10" t="str">
        <f>_xlfn.XLOOKUP(tb_diy_08[[#This Row],[id]],monster!A:A,monster!D:D,"",0)</f>
        <v>青蛙</v>
      </c>
      <c r="AA61" s="3" t="s">
        <v>294</v>
      </c>
      <c r="AC61" s="3" t="str">
        <f>_xlfn.TEXTJOIN(",",1,tb_diy_08[[#This Row],[v1]],tb_diy_08[[#This Row],[v2]])</f>
        <v>6</v>
      </c>
      <c r="AD61" s="29">
        <v>6</v>
      </c>
      <c r="AE61" s="29" t="s">
        <v>237</v>
      </c>
      <c r="AG61" s="3" t="e" cm="1">
        <f t="array" ref="AG61">INDEX(TRANSPOSE(_xlfn.TEXTSPLIT(_xlfn.XLOOKUP(AF61,$AF$7:$AF$18,$AG$7:$AG$18),";")),COUNTIF($AF$38:$AF61,$AF61))</f>
        <v>#N/A</v>
      </c>
      <c r="AH61" s="3" t="e" cm="1">
        <f t="array" ref="AH61">_xlfn.TEXTSPLIT(AG61,"=")</f>
        <v>#N/A</v>
      </c>
    </row>
    <row r="62" spans="17:35">
      <c r="Q62" s="3">
        <v>201707</v>
      </c>
      <c r="R62" s="10" t="str">
        <f>_xlfn.XLOOKUP(tb_diy_07[[#This Row],[id]],monster!A:A,monster!D:D,"",0)</f>
        <v>基础守卫</v>
      </c>
      <c r="S62" s="3" t="s">
        <v>297</v>
      </c>
      <c r="T62" s="5" t="s">
        <v>326</v>
      </c>
      <c r="U62" s="3" t="str">
        <f>_xlfn.TEXTJOIN(",",1,tb_diy_07[[#This Row],[v1]],tb_diy_07[[#This Row],[v2]])</f>
        <v>5</v>
      </c>
      <c r="V62" s="29">
        <v>5</v>
      </c>
      <c r="W62" s="29" t="s">
        <v>237</v>
      </c>
      <c r="Y62" s="3">
        <v>201811</v>
      </c>
      <c r="Z62" s="10" t="str">
        <f>_xlfn.XLOOKUP(tb_diy_08[[#This Row],[id]],monster!A:A,monster!D:D,"",0)</f>
        <v>青蛙</v>
      </c>
      <c r="AA62" s="3" t="s">
        <v>332</v>
      </c>
      <c r="AC62" s="3" t="str">
        <f>_xlfn.TEXTJOIN(",",1,tb_diy_08[[#This Row],[v1]],tb_diy_08[[#This Row],[v2]])</f>
        <v>8</v>
      </c>
      <c r="AD62" s="29">
        <v>8</v>
      </c>
      <c r="AE62" s="29" t="s">
        <v>237</v>
      </c>
      <c r="AG62" s="3" t="e" cm="1">
        <f t="array" ref="AG62">INDEX(TRANSPOSE(_xlfn.TEXTSPLIT(_xlfn.XLOOKUP(AF62,$AF$7:$AF$18,$AG$7:$AG$18),";")),COUNTIF($AF$38:$AF62,$AF62))</f>
        <v>#N/A</v>
      </c>
      <c r="AH62" s="3" t="e" cm="1">
        <f t="array" ref="AH62">_xlfn.TEXTSPLIT(AG62,"=")</f>
        <v>#N/A</v>
      </c>
    </row>
    <row r="63" spans="17:35">
      <c r="Q63" s="3">
        <v>201708</v>
      </c>
      <c r="R63" s="10" t="str">
        <f>_xlfn.XLOOKUP(tb_diy_07[[#This Row],[id]],monster!A:A,monster!D:D,"",0)</f>
        <v>双刀守卫</v>
      </c>
      <c r="S63" s="3" t="s">
        <v>309</v>
      </c>
      <c r="U63" s="3" t="str">
        <f>_xlfn.TEXTJOIN(",",1,tb_diy_07[[#This Row],[v1]],tb_diy_07[[#This Row],[v2]])</f>
        <v>60,120</v>
      </c>
      <c r="V63" s="29">
        <v>60</v>
      </c>
      <c r="W63" s="29">
        <v>120</v>
      </c>
      <c r="Y63" s="3">
        <v>201811</v>
      </c>
      <c r="Z63" s="10" t="str">
        <f>_xlfn.XLOOKUP(tb_diy_08[[#This Row],[id]],monster!A:A,monster!D:D,"",0)</f>
        <v>青蛙</v>
      </c>
      <c r="AA63" s="3" t="s">
        <v>333</v>
      </c>
      <c r="AC63" s="3" t="str">
        <f>_xlfn.TEXTJOIN(",",1,tb_diy_08[[#This Row],[v1]],tb_diy_08[[#This Row],[v2]])</f>
        <v>0.2</v>
      </c>
      <c r="AD63" s="29">
        <v>0.2</v>
      </c>
      <c r="AE63" s="29" t="s">
        <v>237</v>
      </c>
      <c r="AG63" s="3" t="e" cm="1">
        <f t="array" ref="AG63">INDEX(TRANSPOSE(_xlfn.TEXTSPLIT(_xlfn.XLOOKUP(AF63,$AF$7:$AF$18,$AG$7:$AG$18),";")),COUNTIF($AF$38:$AF63,$AF63))</f>
        <v>#N/A</v>
      </c>
      <c r="AH63" s="3" t="e" cm="1">
        <f t="array" ref="AH63">_xlfn.TEXTSPLIT(AG63,"=")</f>
        <v>#N/A</v>
      </c>
    </row>
    <row r="64" spans="17:35">
      <c r="Q64" s="3">
        <v>201708</v>
      </c>
      <c r="R64" s="10" t="str">
        <f>_xlfn.XLOOKUP(tb_diy_07[[#This Row],[id]],monster!A:A,monster!D:D,"",0)</f>
        <v>双刀守卫</v>
      </c>
      <c r="S64" s="3" t="s">
        <v>314</v>
      </c>
      <c r="U64" s="5" t="str">
        <f>_xlfn.TEXTJOIN(",",1,tb_diy_07[[#This Row],[v1]],tb_diy_07[[#This Row],[v2]])</f>
        <v>4,7</v>
      </c>
      <c r="V64" s="29">
        <v>4</v>
      </c>
      <c r="W64" s="29">
        <v>7</v>
      </c>
      <c r="Y64" s="3">
        <v>201811</v>
      </c>
      <c r="Z64" s="10" t="str">
        <f>_xlfn.XLOOKUP(tb_diy_08[[#This Row],[id]],monster!A:A,monster!D:D,"",0)</f>
        <v>青蛙</v>
      </c>
      <c r="AA64" s="3" t="s">
        <v>303</v>
      </c>
      <c r="AC64" s="3" t="str">
        <f>_xlfn.TEXTJOIN(",",1,tb_diy_08[[#This Row],[v1]],tb_diy_08[[#This Row],[v2]])</f>
        <v>3</v>
      </c>
      <c r="AD64" s="29">
        <v>3</v>
      </c>
      <c r="AE64" s="29" t="s">
        <v>237</v>
      </c>
      <c r="AG64" s="3" t="e" cm="1">
        <f t="array" ref="AG64">INDEX(TRANSPOSE(_xlfn.TEXTSPLIT(_xlfn.XLOOKUP(AF64,$AF$7:$AF$18,$AG$7:$AG$18),";")),COUNTIF($AF$38:$AF64,$AF64))</f>
        <v>#N/A</v>
      </c>
      <c r="AH64" s="3" t="e" cm="1">
        <f t="array" ref="AH64">_xlfn.TEXTSPLIT(AG64,"=")</f>
        <v>#N/A</v>
      </c>
    </row>
    <row r="65" spans="17:34">
      <c r="Q65" s="3">
        <v>201708</v>
      </c>
      <c r="R65" s="10" t="str">
        <f>_xlfn.XLOOKUP(tb_diy_07[[#This Row],[id]],monster!A:A,monster!D:D,"",0)</f>
        <v>双刀守卫</v>
      </c>
      <c r="S65" s="3" t="s">
        <v>317</v>
      </c>
      <c r="U65" s="3" t="str">
        <f>_xlfn.TEXTJOIN(",",1,tb_diy_07[[#This Row],[v1]],tb_diy_07[[#This Row],[v2]])</f>
        <v>1</v>
      </c>
      <c r="V65" s="29">
        <v>1</v>
      </c>
      <c r="W65" s="29" t="s">
        <v>237</v>
      </c>
      <c r="Y65" s="3">
        <v>201811</v>
      </c>
      <c r="Z65" s="10" t="str">
        <f>_xlfn.XLOOKUP(tb_diy_08[[#This Row],[id]],monster!A:A,monster!D:D,"",0)</f>
        <v>青蛙</v>
      </c>
      <c r="AA65" s="3" t="s">
        <v>304</v>
      </c>
      <c r="AC65" s="3" t="str">
        <f>_xlfn.TEXTJOIN(",",1,tb_diy_08[[#This Row],[v1]],tb_diy_08[[#This Row],[v2]])</f>
        <v>1,1</v>
      </c>
      <c r="AD65" s="29">
        <v>1</v>
      </c>
      <c r="AE65" s="29">
        <v>1</v>
      </c>
      <c r="AG65" s="3" t="e" cm="1">
        <f t="array" ref="AG65">INDEX(TRANSPOSE(_xlfn.TEXTSPLIT(_xlfn.XLOOKUP(AF65,$AF$7:$AF$18,$AG$7:$AG$18),";")),COUNTIF($AF$38:$AF65,$AF65))</f>
        <v>#N/A</v>
      </c>
      <c r="AH65" s="3" t="e" cm="1">
        <f t="array" ref="AH65">_xlfn.TEXTSPLIT(AG65,"=")</f>
        <v>#N/A</v>
      </c>
    </row>
    <row r="66" spans="17:34">
      <c r="Q66" s="3">
        <v>201708</v>
      </c>
      <c r="R66" s="10" t="str">
        <f>_xlfn.XLOOKUP(tb_diy_07[[#This Row],[id]],monster!A:A,monster!D:D,"",0)</f>
        <v>双刀守卫</v>
      </c>
      <c r="S66" s="3" t="s">
        <v>319</v>
      </c>
      <c r="U66" s="3" t="str">
        <f>_xlfn.TEXTJOIN(",",1,tb_diy_07[[#This Row],[v1]],tb_diy_07[[#This Row],[v2]])</f>
        <v>1</v>
      </c>
      <c r="V66" s="29">
        <v>1</v>
      </c>
      <c r="W66" s="29" t="s">
        <v>237</v>
      </c>
      <c r="Y66" s="3">
        <v>201811</v>
      </c>
      <c r="Z66" s="10" t="str">
        <f>_xlfn.XLOOKUP(tb_diy_08[[#This Row],[id]],monster!A:A,monster!D:D,"",0)</f>
        <v>青蛙</v>
      </c>
      <c r="AA66" s="3" t="s">
        <v>301</v>
      </c>
      <c r="AC66" s="3" t="str">
        <f>_xlfn.TEXTJOIN(",",1,tb_diy_08[[#This Row],[v1]],tb_diy_08[[#This Row],[v2]])</f>
        <v>0.5</v>
      </c>
      <c r="AD66" s="29">
        <v>0.5</v>
      </c>
      <c r="AE66" s="29" t="s">
        <v>237</v>
      </c>
      <c r="AG66" s="3" t="e" cm="1">
        <f t="array" ref="AG66">INDEX(TRANSPOSE(_xlfn.TEXTSPLIT(_xlfn.XLOOKUP(AF66,$AF$7:$AF$18,$AG$7:$AG$18),";")),COUNTIF($AF$38:$AF66,$AF66))</f>
        <v>#N/A</v>
      </c>
      <c r="AH66" s="3" t="e" cm="1">
        <f t="array" ref="AH66">_xlfn.TEXTSPLIT(AG66,"=")</f>
        <v>#N/A</v>
      </c>
    </row>
    <row r="67" spans="17:34">
      <c r="Q67" s="3">
        <v>201708</v>
      </c>
      <c r="R67" s="10" t="str">
        <f>_xlfn.XLOOKUP(tb_diy_07[[#This Row],[id]],monster!A:A,monster!D:D,"",0)</f>
        <v>双刀守卫</v>
      </c>
      <c r="S67" s="3" t="s">
        <v>321</v>
      </c>
      <c r="U67" s="3" t="str">
        <f>_xlfn.TEXTJOIN(",",1,tb_diy_07[[#This Row],[v1]],tb_diy_07[[#This Row],[v2]])</f>
        <v>0,180</v>
      </c>
      <c r="V67" s="29">
        <v>0</v>
      </c>
      <c r="W67" s="29">
        <v>180</v>
      </c>
      <c r="Y67" s="3">
        <v>201812</v>
      </c>
      <c r="Z67" s="10" t="str">
        <f>_xlfn.XLOOKUP(tb_diy_08[[#This Row],[id]],monster!A:A,monster!D:D,"",0)</f>
        <v/>
      </c>
      <c r="AA67" s="3" t="s">
        <v>301</v>
      </c>
      <c r="AC67" s="3" t="str">
        <f>_xlfn.TEXTJOIN(",",1,tb_diy_08[[#This Row],[v1]],tb_diy_08[[#This Row],[v2]])</f>
        <v>0.5</v>
      </c>
      <c r="AD67" s="29">
        <v>0.5</v>
      </c>
      <c r="AE67" s="29" t="s">
        <v>237</v>
      </c>
      <c r="AG67" s="3" t="e" cm="1">
        <f t="array" ref="AG67">INDEX(TRANSPOSE(_xlfn.TEXTSPLIT(_xlfn.XLOOKUP(AF67,$AF$7:$AF$18,$AG$7:$AG$18),";")),COUNTIF($AF$38:$AF67,$AF67))</f>
        <v>#N/A</v>
      </c>
      <c r="AH67" s="3" t="e" cm="1">
        <f t="array" ref="AH67">_xlfn.TEXTSPLIT(AG67,"=")</f>
        <v>#N/A</v>
      </c>
    </row>
    <row r="68" spans="17:34">
      <c r="Q68" s="3">
        <v>201708</v>
      </c>
      <c r="R68" s="10" t="str">
        <f>_xlfn.XLOOKUP(tb_diy_07[[#This Row],[id]],monster!A:A,monster!D:D,"",0)</f>
        <v>双刀守卫</v>
      </c>
      <c r="S68" s="3" t="s">
        <v>322</v>
      </c>
      <c r="U68" s="3" t="str">
        <f>_xlfn.TEXTJOIN(",",1,tb_diy_07[[#This Row],[v1]],tb_diy_07[[#This Row],[v2]])</f>
        <v>1,2</v>
      </c>
      <c r="V68" s="29">
        <v>1</v>
      </c>
      <c r="W68" s="29">
        <v>2</v>
      </c>
      <c r="Y68" s="3">
        <v>201812</v>
      </c>
      <c r="Z68" s="10" t="str">
        <f>_xlfn.XLOOKUP(tb_diy_08[[#This Row],[id]],monster!A:A,monster!D:D,"",0)</f>
        <v/>
      </c>
      <c r="AA68" s="3" t="s">
        <v>334</v>
      </c>
      <c r="AB68" s="5" t="s">
        <v>335</v>
      </c>
      <c r="AC68" s="3" t="str">
        <f>_xlfn.TEXTJOIN(",",1,tb_diy_08[[#This Row],[v1]],tb_diy_08[[#This Row],[v2]])</f>
        <v>1,2</v>
      </c>
      <c r="AD68" s="29">
        <v>1</v>
      </c>
      <c r="AE68" s="29">
        <v>2</v>
      </c>
      <c r="AG68" s="3" t="e" cm="1">
        <f t="array" ref="AG68">INDEX(TRANSPOSE(_xlfn.TEXTSPLIT(_xlfn.XLOOKUP(AF68,$AF$7:$AF$18,$AG$7:$AG$18),";")),COUNTIF($AF$38:$AF68,$AF68))</f>
        <v>#N/A</v>
      </c>
      <c r="AH68" s="3" t="e" cm="1">
        <f t="array" ref="AH68">_xlfn.TEXTSPLIT(AG68,"=")</f>
        <v>#N/A</v>
      </c>
    </row>
    <row r="69" spans="17:34">
      <c r="Q69" s="3">
        <v>201708</v>
      </c>
      <c r="R69" s="10" t="str">
        <f>_xlfn.XLOOKUP(tb_diy_07[[#This Row],[id]],monster!A:A,monster!D:D,"",0)</f>
        <v>双刀守卫</v>
      </c>
      <c r="S69" s="3" t="s">
        <v>323</v>
      </c>
      <c r="U69" s="3" t="str">
        <f>_xlfn.TEXTJOIN(",",1,tb_diy_07[[#This Row],[v1]],tb_diy_07[[#This Row],[v2]])</f>
        <v>1</v>
      </c>
      <c r="V69" s="29">
        <v>1</v>
      </c>
      <c r="W69" s="29" t="s">
        <v>237</v>
      </c>
      <c r="Y69" s="3">
        <v>201812</v>
      </c>
      <c r="Z69" s="10" t="str">
        <f>_xlfn.XLOOKUP(tb_diy_08[[#This Row],[id]],monster!A:A,monster!D:D,"",0)</f>
        <v/>
      </c>
      <c r="AA69" s="3" t="s">
        <v>303</v>
      </c>
      <c r="AB69" s="5" t="s">
        <v>336</v>
      </c>
      <c r="AC69" s="3" t="str">
        <f>_xlfn.TEXTJOIN(",",1,tb_diy_08[[#This Row],[v1]],tb_diy_08[[#This Row],[v2]])</f>
        <v>22</v>
      </c>
      <c r="AD69" s="29">
        <v>22</v>
      </c>
      <c r="AE69" s="29" t="s">
        <v>237</v>
      </c>
      <c r="AG69" s="3" t="e" cm="1">
        <f t="array" ref="AG69">INDEX(TRANSPOSE(_xlfn.TEXTSPLIT(_xlfn.XLOOKUP(AF69,$AF$7:$AF$18,$AG$7:$AG$18),";")),COUNTIF($AF$38:$AF69,$AF69))</f>
        <v>#N/A</v>
      </c>
      <c r="AH69" s="3" t="e" cm="1">
        <f t="array" ref="AH69">_xlfn.TEXTSPLIT(AG69,"=")</f>
        <v>#N/A</v>
      </c>
    </row>
    <row r="70" spans="17:34">
      <c r="Q70" s="3">
        <v>201708</v>
      </c>
      <c r="R70" s="10" t="str">
        <f>_xlfn.XLOOKUP(tb_diy_07[[#This Row],[id]],monster!A:A,monster!D:D,"",0)</f>
        <v>双刀守卫</v>
      </c>
      <c r="S70" s="3" t="s">
        <v>324</v>
      </c>
      <c r="U70" s="3" t="str">
        <f>_xlfn.TEXTJOIN(",",1,tb_diy_07[[#This Row],[v1]],tb_diy_07[[#This Row],[v2]])</f>
        <v>1</v>
      </c>
      <c r="V70" s="29">
        <v>1</v>
      </c>
      <c r="W70" s="29" t="s">
        <v>237</v>
      </c>
      <c r="Y70" s="3">
        <v>201812</v>
      </c>
      <c r="Z70" s="10" t="str">
        <f>_xlfn.XLOOKUP(tb_diy_08[[#This Row],[id]],monster!A:A,monster!D:D,"",0)</f>
        <v/>
      </c>
      <c r="AA70" s="3" t="s">
        <v>304</v>
      </c>
      <c r="AC70" s="3" t="str">
        <f>_xlfn.TEXTJOIN(",",1,tb_diy_08[[#This Row],[v1]],tb_diy_08[[#This Row],[v2]])</f>
        <v>1,2</v>
      </c>
      <c r="AD70" s="29">
        <v>1</v>
      </c>
      <c r="AE70" s="29">
        <v>2</v>
      </c>
      <c r="AG70" s="3" t="e" cm="1">
        <f t="array" ref="AG70">INDEX(TRANSPOSE(_xlfn.TEXTSPLIT(_xlfn.XLOOKUP(AF70,$AF$7:$AF$18,$AG$7:$AG$18),";")),COUNTIF($AF$38:$AF70,$AF70))</f>
        <v>#N/A</v>
      </c>
      <c r="AH70" s="3" t="e" cm="1">
        <f t="array" ref="AH70">_xlfn.TEXTSPLIT(AG70,"=")</f>
        <v>#N/A</v>
      </c>
    </row>
    <row r="71" spans="17:34">
      <c r="Q71" s="3">
        <v>201708</v>
      </c>
      <c r="R71" s="10" t="str">
        <f>_xlfn.XLOOKUP(tb_diy_07[[#This Row],[id]],monster!A:A,monster!D:D,"",0)</f>
        <v>双刀守卫</v>
      </c>
      <c r="S71" s="3" t="s">
        <v>274</v>
      </c>
      <c r="U71" s="3" t="str">
        <f>_xlfn.TEXTJOIN(",",1,tb_diy_07[[#This Row],[v1]],tb_diy_07[[#This Row],[v2]])</f>
        <v>0.2</v>
      </c>
      <c r="V71" s="29">
        <v>0.2</v>
      </c>
      <c r="W71" s="29" t="s">
        <v>237</v>
      </c>
      <c r="Y71" s="3">
        <v>201813</v>
      </c>
      <c r="Z71" s="10" t="str">
        <f>_xlfn.XLOOKUP(tb_diy_08[[#This Row],[id]],monster!A:A,monster!D:D,"",0)</f>
        <v>贝壳乌贼</v>
      </c>
      <c r="AA71" s="3" t="s">
        <v>275</v>
      </c>
      <c r="AC71" s="3" t="str">
        <f>_xlfn.TEXTJOIN(",",1,tb_diy_08[[#This Row],[v1]],tb_diy_08[[#This Row],[v2]])</f>
        <v>3.4</v>
      </c>
      <c r="AD71" s="29">
        <v>3.4</v>
      </c>
      <c r="AE71" s="29" t="s">
        <v>237</v>
      </c>
      <c r="AG71" s="3" t="e" cm="1">
        <f t="array" ref="AG71">INDEX(TRANSPOSE(_xlfn.TEXTSPLIT(_xlfn.XLOOKUP(AF71,$AF$7:$AF$18,$AG$7:$AG$18),";")),COUNTIF($AF$38:$AF71,$AF71))</f>
        <v>#N/A</v>
      </c>
      <c r="AH71" s="3" t="e" cm="1">
        <f t="array" ref="AH71">_xlfn.TEXTSPLIT(AG71,"=")</f>
        <v>#N/A</v>
      </c>
    </row>
    <row r="72" spans="17:34">
      <c r="Q72" s="3">
        <v>201708</v>
      </c>
      <c r="R72" s="10" t="str">
        <f>_xlfn.XLOOKUP(tb_diy_07[[#This Row],[id]],monster!A:A,monster!D:D,"",0)</f>
        <v>双刀守卫</v>
      </c>
      <c r="S72" s="3" t="s">
        <v>276</v>
      </c>
      <c r="U72" s="3" t="str">
        <f>_xlfn.TEXTJOIN(",",1,tb_diy_07[[#This Row],[v1]],tb_diy_07[[#This Row],[v2]])</f>
        <v>0.3</v>
      </c>
      <c r="V72" s="29">
        <v>0.3</v>
      </c>
      <c r="W72" s="29" t="s">
        <v>237</v>
      </c>
      <c r="Y72" s="3">
        <v>201813</v>
      </c>
      <c r="Z72" s="10" t="str">
        <f>_xlfn.XLOOKUP(tb_diy_08[[#This Row],[id]],monster!A:A,monster!D:D,"",0)</f>
        <v>贝壳乌贼</v>
      </c>
      <c r="AA72" s="3" t="s">
        <v>294</v>
      </c>
      <c r="AC72" s="3" t="str">
        <f>_xlfn.TEXTJOIN(",",1,tb_diy_08[[#This Row],[v1]],tb_diy_08[[#This Row],[v2]])</f>
        <v>8</v>
      </c>
      <c r="AD72" s="29">
        <v>8</v>
      </c>
      <c r="AE72" s="29" t="s">
        <v>237</v>
      </c>
      <c r="AG72" s="3" t="e" cm="1">
        <f t="array" ref="AG72">INDEX(TRANSPOSE(_xlfn.TEXTSPLIT(_xlfn.XLOOKUP(AF72,$AF$7:$AF$18,$AG$7:$AG$18),";")),COUNTIF($AF$38:$AF72,$AF72))</f>
        <v>#N/A</v>
      </c>
      <c r="AH72" s="3" t="e" cm="1">
        <f t="array" ref="AH72">_xlfn.TEXTSPLIT(AG72,"=")</f>
        <v>#N/A</v>
      </c>
    </row>
    <row r="73" spans="17:34">
      <c r="Q73" s="3">
        <v>201708</v>
      </c>
      <c r="R73" s="10" t="str">
        <f>_xlfn.XLOOKUP(tb_diy_07[[#This Row],[id]],monster!A:A,monster!D:D,"",0)</f>
        <v>双刀守卫</v>
      </c>
      <c r="S73" s="3" t="s">
        <v>293</v>
      </c>
      <c r="U73" s="3" t="str">
        <f>_xlfn.TEXTJOIN(",",1,tb_diy_07[[#This Row],[v1]],tb_diy_07[[#This Row],[v2]])</f>
        <v>1</v>
      </c>
      <c r="V73" s="29">
        <v>1</v>
      </c>
      <c r="W73" s="29" t="s">
        <v>237</v>
      </c>
      <c r="Y73" s="3">
        <v>201813</v>
      </c>
      <c r="Z73" s="10" t="str">
        <f>_xlfn.XLOOKUP(tb_diy_08[[#This Row],[id]],monster!A:A,monster!D:D,"",0)</f>
        <v>贝壳乌贼</v>
      </c>
      <c r="AA73" s="3" t="s">
        <v>330</v>
      </c>
      <c r="AC73" s="3" t="str">
        <f>_xlfn.TEXTJOIN(",",1,tb_diy_08[[#This Row],[v1]],tb_diy_08[[#This Row],[v2]])</f>
        <v>2,3</v>
      </c>
      <c r="AD73" s="29">
        <v>2</v>
      </c>
      <c r="AE73" s="29">
        <v>3</v>
      </c>
      <c r="AG73" s="3" t="e" cm="1">
        <f t="array" ref="AG73">INDEX(TRANSPOSE(_xlfn.TEXTSPLIT(_xlfn.XLOOKUP(AF73,$AF$7:$AF$18,$AG$7:$AG$18),";")),COUNTIF($AF$38:$AF73,$AF73))</f>
        <v>#N/A</v>
      </c>
      <c r="AH73" s="3" t="e" cm="1">
        <f t="array" ref="AH73">_xlfn.TEXTSPLIT(AG73,"=")</f>
        <v>#N/A</v>
      </c>
    </row>
    <row r="74" spans="17:34">
      <c r="Q74" s="3">
        <v>201708</v>
      </c>
      <c r="R74" s="10" t="str">
        <f>_xlfn.XLOOKUP(tb_diy_07[[#This Row],[id]],monster!A:A,monster!D:D,"",0)</f>
        <v>双刀守卫</v>
      </c>
      <c r="S74" s="3" t="s">
        <v>294</v>
      </c>
      <c r="U74" s="3" t="str">
        <f>_xlfn.TEXTJOIN(",",1,tb_diy_07[[#This Row],[v1]],tb_diy_07[[#This Row],[v2]])</f>
        <v>1.5</v>
      </c>
      <c r="V74" s="29">
        <v>1.5</v>
      </c>
      <c r="W74" s="29" t="s">
        <v>237</v>
      </c>
      <c r="Y74" s="3">
        <v>201813</v>
      </c>
      <c r="Z74" s="10" t="str">
        <f>_xlfn.XLOOKUP(tb_diy_08[[#This Row],[id]],monster!A:A,monster!D:D,"",0)</f>
        <v>贝壳乌贼</v>
      </c>
      <c r="AA74" s="3" t="s">
        <v>331</v>
      </c>
      <c r="AC74" s="3" t="str">
        <f>_xlfn.TEXTJOIN(",",1,tb_diy_08[[#This Row],[v1]],tb_diy_08[[#This Row],[v2]])</f>
        <v>1</v>
      </c>
      <c r="AD74" s="29">
        <v>1</v>
      </c>
      <c r="AE74" s="29" t="s">
        <v>237</v>
      </c>
      <c r="AG74" s="3" t="e" cm="1">
        <f t="array" ref="AG74">INDEX(TRANSPOSE(_xlfn.TEXTSPLIT(_xlfn.XLOOKUP(AF74,$AF$7:$AF$18,$AG$7:$AG$18),";")),COUNTIF($AF$38:$AF74,$AF74))</f>
        <v>#N/A</v>
      </c>
      <c r="AH74" s="3" t="e" cm="1">
        <f t="array" ref="AH74">_xlfn.TEXTSPLIT(AG74,"=")</f>
        <v>#N/A</v>
      </c>
    </row>
    <row r="75" spans="17:34">
      <c r="Q75" s="3">
        <v>201708</v>
      </c>
      <c r="R75" s="10" t="str">
        <f>_xlfn.XLOOKUP(tb_diy_07[[#This Row],[id]],monster!A:A,monster!D:D,"",0)</f>
        <v>双刀守卫</v>
      </c>
      <c r="S75" s="3" t="s">
        <v>297</v>
      </c>
      <c r="T75" s="5" t="s">
        <v>326</v>
      </c>
      <c r="U75" s="3" t="str">
        <f>_xlfn.TEXTJOIN(",",1,tb_diy_07[[#This Row],[v1]],tb_diy_07[[#This Row],[v2]])</f>
        <v>2</v>
      </c>
      <c r="V75" s="29">
        <v>2</v>
      </c>
      <c r="W75" s="29" t="s">
        <v>237</v>
      </c>
      <c r="Y75" s="3">
        <v>201813</v>
      </c>
      <c r="Z75" s="10" t="str">
        <f>_xlfn.XLOOKUP(tb_diy_08[[#This Row],[id]],monster!A:A,monster!D:D,"",0)</f>
        <v>贝壳乌贼</v>
      </c>
      <c r="AA75" s="3" t="s">
        <v>274</v>
      </c>
      <c r="AC75" s="3" t="str">
        <f>_xlfn.TEXTJOIN(",",1,tb_diy_08[[#This Row],[v1]],tb_diy_08[[#This Row],[v2]])</f>
        <v>0.1</v>
      </c>
      <c r="AD75" s="29">
        <v>0.1</v>
      </c>
      <c r="AE75" s="29" t="s">
        <v>237</v>
      </c>
      <c r="AG75" s="3" t="e" cm="1">
        <f t="array" ref="AG75">INDEX(TRANSPOSE(_xlfn.TEXTSPLIT(_xlfn.XLOOKUP(AF75,$AF$7:$AF$18,$AG$7:$AG$18),";")),COUNTIF($AF$38:$AF75,$AF75))</f>
        <v>#N/A</v>
      </c>
      <c r="AH75" s="3" t="e" cm="1">
        <f t="array" ref="AH75">_xlfn.TEXTSPLIT(AG75,"=")</f>
        <v>#N/A</v>
      </c>
    </row>
    <row r="76" spans="17:34">
      <c r="Q76" s="3">
        <v>201709</v>
      </c>
      <c r="R76" s="10" t="str">
        <f>_xlfn.XLOOKUP(tb_diy_07[[#This Row],[id]],monster!A:A,monster!D:D,"",0)</f>
        <v>大仙人掌</v>
      </c>
      <c r="S76" s="3" t="s">
        <v>274</v>
      </c>
      <c r="U76" s="3" t="str">
        <f>_xlfn.TEXTJOIN(",",1,tb_diy_07[[#This Row],[v1]],tb_diy_07[[#This Row],[v2]])</f>
        <v>0.2</v>
      </c>
      <c r="V76" s="29">
        <v>0.2</v>
      </c>
      <c r="W76" s="29" t="s">
        <v>237</v>
      </c>
      <c r="Y76" s="3">
        <v>201813</v>
      </c>
      <c r="Z76" s="10" t="str">
        <f>_xlfn.XLOOKUP(tb_diy_08[[#This Row],[id]],monster!A:A,monster!D:D,"",0)</f>
        <v>贝壳乌贼</v>
      </c>
      <c r="AA76" s="3" t="s">
        <v>276</v>
      </c>
      <c r="AC76" s="3" t="str">
        <f>_xlfn.TEXTJOIN(",",1,tb_diy_08[[#This Row],[v1]],tb_diy_08[[#This Row],[v2]])</f>
        <v>0.5</v>
      </c>
      <c r="AD76" s="29">
        <v>0.5</v>
      </c>
      <c r="AE76" s="29" t="s">
        <v>237</v>
      </c>
      <c r="AG76" s="3" t="e" cm="1">
        <f t="array" ref="AG76">INDEX(TRANSPOSE(_xlfn.TEXTSPLIT(_xlfn.XLOOKUP(AF76,$AF$7:$AF$18,$AG$7:$AG$18),";")),COUNTIF($AF$38:$AF76,$AF76))</f>
        <v>#N/A</v>
      </c>
      <c r="AH76" s="3" t="e" cm="1">
        <f t="array" ref="AH76">_xlfn.TEXTSPLIT(AG76,"=")</f>
        <v>#N/A</v>
      </c>
    </row>
    <row r="77" spans="17:34">
      <c r="Q77" s="3">
        <v>201709</v>
      </c>
      <c r="R77" s="10" t="str">
        <f>_xlfn.XLOOKUP(tb_diy_07[[#This Row],[id]],monster!A:A,monster!D:D,"",0)</f>
        <v>大仙人掌</v>
      </c>
      <c r="S77" s="3" t="s">
        <v>276</v>
      </c>
      <c r="U77" s="3" t="str">
        <f>_xlfn.TEXTJOIN(",",1,tb_diy_07[[#This Row],[v1]],tb_diy_07[[#This Row],[v2]])</f>
        <v>0.3</v>
      </c>
      <c r="V77" s="29">
        <v>0.3</v>
      </c>
      <c r="W77" s="29" t="s">
        <v>237</v>
      </c>
      <c r="Y77" s="3">
        <v>201814</v>
      </c>
      <c r="Z77" s="10" t="str">
        <f>_xlfn.XLOOKUP(tb_diy_08[[#This Row],[id]],monster!A:A,monster!D:D,"",0)</f>
        <v>弱小螃蟹</v>
      </c>
      <c r="AA77" s="3" t="s">
        <v>275</v>
      </c>
      <c r="AC77" s="3" t="str">
        <f>_xlfn.TEXTJOIN(",",1,tb_diy_08[[#This Row],[v1]],tb_diy_08[[#This Row],[v2]])</f>
        <v>2.9</v>
      </c>
      <c r="AD77" s="29">
        <v>2.9</v>
      </c>
      <c r="AE77" s="29" t="s">
        <v>237</v>
      </c>
      <c r="AG77" s="3" t="e" cm="1">
        <f t="array" ref="AG77">INDEX(TRANSPOSE(_xlfn.TEXTSPLIT(_xlfn.XLOOKUP(AF77,$AF$7:$AF$18,$AG$7:$AG$18),";")),COUNTIF($AF$38:$AF77,$AF77))</f>
        <v>#N/A</v>
      </c>
      <c r="AH77" s="3" t="e" cm="1">
        <f t="array" ref="AH77">_xlfn.TEXTSPLIT(AG77,"=")</f>
        <v>#N/A</v>
      </c>
    </row>
    <row r="78" spans="17:34">
      <c r="Q78" s="3">
        <v>201709</v>
      </c>
      <c r="R78" s="10" t="str">
        <f>_xlfn.XLOOKUP(tb_diy_07[[#This Row],[id]],monster!A:A,monster!D:D,"",0)</f>
        <v>大仙人掌</v>
      </c>
      <c r="S78" s="3" t="s">
        <v>297</v>
      </c>
      <c r="T78" s="5" t="s">
        <v>326</v>
      </c>
      <c r="U78" s="3" t="str">
        <f>_xlfn.TEXTJOIN(",",1,tb_diy_07[[#This Row],[v1]],tb_diy_07[[#This Row],[v2]])</f>
        <v>0.1</v>
      </c>
      <c r="V78" s="29">
        <v>0.1</v>
      </c>
      <c r="W78" s="29" t="s">
        <v>237</v>
      </c>
      <c r="Y78" s="3">
        <v>201814</v>
      </c>
      <c r="Z78" s="10" t="str">
        <f>_xlfn.XLOOKUP(tb_diy_08[[#This Row],[id]],monster!A:A,monster!D:D,"",0)</f>
        <v>弱小螃蟹</v>
      </c>
      <c r="AA78" s="3" t="s">
        <v>294</v>
      </c>
      <c r="AC78" s="3" t="str">
        <f>_xlfn.TEXTJOIN(",",1,tb_diy_08[[#This Row],[v1]],tb_diy_08[[#This Row],[v2]])</f>
        <v>0.3</v>
      </c>
      <c r="AD78" s="29">
        <v>0.3</v>
      </c>
      <c r="AE78" s="29" t="s">
        <v>237</v>
      </c>
      <c r="AG78" s="3" t="e" cm="1">
        <f t="array" ref="AG78">INDEX(TRANSPOSE(_xlfn.TEXTSPLIT(_xlfn.XLOOKUP(AF78,$AF$7:$AF$18,$AG$7:$AG$18),";")),COUNTIF($AF$38:$AF78,$AF78))</f>
        <v>#N/A</v>
      </c>
      <c r="AH78" s="3" t="e" cm="1">
        <f t="array" ref="AH78">_xlfn.TEXTSPLIT(AG78,"=")</f>
        <v>#N/A</v>
      </c>
    </row>
    <row r="79" spans="17:34">
      <c r="Q79" s="3">
        <v>201709</v>
      </c>
      <c r="R79" s="10" t="str">
        <f>_xlfn.XLOOKUP(tb_diy_07[[#This Row],[id]],monster!A:A,monster!D:D,"",0)</f>
        <v>大仙人掌</v>
      </c>
      <c r="S79" s="3" t="s">
        <v>331</v>
      </c>
      <c r="T79" s="5" t="s">
        <v>337</v>
      </c>
      <c r="U79" s="3" t="str">
        <f>_xlfn.TEXTJOIN(",",1,tb_diy_07[[#This Row],[v1]],tb_diy_07[[#This Row],[v2]])</f>
        <v>11</v>
      </c>
      <c r="V79" s="29">
        <v>11</v>
      </c>
      <c r="W79" s="29" t="s">
        <v>237</v>
      </c>
      <c r="Y79" s="3">
        <v>201814</v>
      </c>
      <c r="Z79" s="10" t="str">
        <f>_xlfn.XLOOKUP(tb_diy_08[[#This Row],[id]],monster!A:A,monster!D:D,"",0)</f>
        <v>弱小螃蟹</v>
      </c>
      <c r="AA79" s="3" t="s">
        <v>274</v>
      </c>
      <c r="AC79" s="3" t="str">
        <f>_xlfn.TEXTJOIN(",",1,tb_diy_08[[#This Row],[v1]],tb_diy_08[[#This Row],[v2]])</f>
        <v>0.27</v>
      </c>
      <c r="AD79" s="29">
        <v>0.27</v>
      </c>
      <c r="AE79" s="29" t="s">
        <v>237</v>
      </c>
      <c r="AG79" s="3" t="e" cm="1">
        <f t="array" ref="AG79">INDEX(TRANSPOSE(_xlfn.TEXTSPLIT(_xlfn.XLOOKUP(AF79,$AF$7:$AF$18,$AG$7:$AG$18),";")),COUNTIF($AF$38:$AF79,$AF79))</f>
        <v>#N/A</v>
      </c>
      <c r="AH79" s="3" t="e" cm="1">
        <f t="array" ref="AH79">_xlfn.TEXTSPLIT(AG79,"=")</f>
        <v>#N/A</v>
      </c>
    </row>
    <row r="80" spans="17:34">
      <c r="Q80" s="3">
        <v>201710</v>
      </c>
      <c r="R80" s="10" t="str">
        <f>_xlfn.XLOOKUP(tb_diy_07[[#This Row],[id]],monster!A:A,monster!D:D,"",0)</f>
        <v>小仙人掌</v>
      </c>
      <c r="S80" s="3" t="s">
        <v>274</v>
      </c>
      <c r="U80" s="3" t="str">
        <f>_xlfn.TEXTJOIN(",",1,tb_diy_07[[#This Row],[v1]],tb_diy_07[[#This Row],[v2]])</f>
        <v>0.2</v>
      </c>
      <c r="V80" s="29">
        <v>0.2</v>
      </c>
      <c r="W80" s="29" t="s">
        <v>237</v>
      </c>
      <c r="Y80" s="3">
        <v>201814</v>
      </c>
      <c r="Z80" s="10" t="str">
        <f>_xlfn.XLOOKUP(tb_diy_08[[#This Row],[id]],monster!A:A,monster!D:D,"",0)</f>
        <v>弱小螃蟹</v>
      </c>
      <c r="AA80" s="3" t="s">
        <v>276</v>
      </c>
      <c r="AC80" s="3" t="str">
        <f>_xlfn.TEXTJOIN(",",1,tb_diy_08[[#This Row],[v1]],tb_diy_08[[#This Row],[v2]])</f>
        <v>0.31</v>
      </c>
      <c r="AD80" s="29">
        <v>0.31</v>
      </c>
      <c r="AE80" s="29" t="s">
        <v>237</v>
      </c>
      <c r="AG80" s="3" t="e" cm="1">
        <f t="array" ref="AG80">INDEX(TRANSPOSE(_xlfn.TEXTSPLIT(_xlfn.XLOOKUP(AF80,$AF$7:$AF$18,$AG$7:$AG$18),";")),COUNTIF($AF$38:$AF80,$AF80))</f>
        <v>#N/A</v>
      </c>
      <c r="AH80" s="3" t="e" cm="1">
        <f t="array" ref="AH80">_xlfn.TEXTSPLIT(AG80,"=")</f>
        <v>#N/A</v>
      </c>
    </row>
    <row r="81" spans="17:34">
      <c r="Q81" s="3">
        <v>201710</v>
      </c>
      <c r="R81" s="10" t="str">
        <f>_xlfn.XLOOKUP(tb_diy_07[[#This Row],[id]],monster!A:A,monster!D:D,"",0)</f>
        <v>小仙人掌</v>
      </c>
      <c r="S81" s="3" t="s">
        <v>276</v>
      </c>
      <c r="U81" s="3" t="str">
        <f>_xlfn.TEXTJOIN(",",1,tb_diy_07[[#This Row],[v1]],tb_diy_07[[#This Row],[v2]])</f>
        <v>0.3</v>
      </c>
      <c r="V81" s="29">
        <v>0.3</v>
      </c>
      <c r="W81" s="29" t="s">
        <v>237</v>
      </c>
      <c r="Y81" s="3">
        <v>201815</v>
      </c>
      <c r="Z81" s="10" t="str">
        <f>_xlfn.XLOOKUP(tb_diy_08[[#This Row],[id]],monster!A:A,monster!D:D,"",0)</f>
        <v>大钳螃蟹</v>
      </c>
      <c r="AA81" s="3" t="s">
        <v>275</v>
      </c>
      <c r="AC81" s="3" t="str">
        <f>_xlfn.TEXTJOIN(",",1,tb_diy_08[[#This Row],[v1]],tb_diy_08[[#This Row],[v2]])</f>
        <v>4</v>
      </c>
      <c r="AD81" s="29">
        <v>4</v>
      </c>
      <c r="AE81" s="29" t="s">
        <v>237</v>
      </c>
      <c r="AG81" s="3" t="e" cm="1">
        <f t="array" ref="AG81">INDEX(TRANSPOSE(_xlfn.TEXTSPLIT(_xlfn.XLOOKUP(AF81,$AF$7:$AF$18,$AG$7:$AG$18),";")),COUNTIF($AF$38:$AF81,$AF81))</f>
        <v>#N/A</v>
      </c>
      <c r="AH81" s="3" t="e" cm="1">
        <f t="array" ref="AH81">_xlfn.TEXTSPLIT(AG81,"=")</f>
        <v>#N/A</v>
      </c>
    </row>
    <row r="82" spans="17:34">
      <c r="Q82" s="3">
        <v>201710</v>
      </c>
      <c r="R82" s="10" t="str">
        <f>_xlfn.XLOOKUP(tb_diy_07[[#This Row],[id]],monster!A:A,monster!D:D,"",0)</f>
        <v>小仙人掌</v>
      </c>
      <c r="S82" s="3" t="s">
        <v>297</v>
      </c>
      <c r="T82" s="5" t="s">
        <v>326</v>
      </c>
      <c r="U82" s="3" t="str">
        <f>_xlfn.TEXTJOIN(",",1,tb_diy_07[[#This Row],[v1]],tb_diy_07[[#This Row],[v2]])</f>
        <v>2.5</v>
      </c>
      <c r="V82" s="29">
        <v>2.5</v>
      </c>
      <c r="W82" s="29" t="s">
        <v>237</v>
      </c>
      <c r="Y82" s="3">
        <v>201815</v>
      </c>
      <c r="Z82" s="10" t="str">
        <f>_xlfn.XLOOKUP(tb_diy_08[[#This Row],[id]],monster!A:A,monster!D:D,"",0)</f>
        <v>大钳螃蟹</v>
      </c>
      <c r="AA82" s="3" t="s">
        <v>294</v>
      </c>
      <c r="AC82" s="3" t="str">
        <f>_xlfn.TEXTJOIN(",",1,tb_diy_08[[#This Row],[v1]],tb_diy_08[[#This Row],[v2]])</f>
        <v>0.5</v>
      </c>
      <c r="AD82" s="29">
        <v>0.5</v>
      </c>
      <c r="AE82" s="29" t="s">
        <v>237</v>
      </c>
      <c r="AG82" s="3" t="e" cm="1">
        <f t="array" ref="AG82">INDEX(TRANSPOSE(_xlfn.TEXTSPLIT(_xlfn.XLOOKUP(AF82,$AF$7:$AF$18,$AG$7:$AG$18),";")),COUNTIF($AF$38:$AF82,$AF82))</f>
        <v>#N/A</v>
      </c>
      <c r="AH82" s="3" t="e" cm="1">
        <f t="array" ref="AH82">_xlfn.TEXTSPLIT(AG82,"=")</f>
        <v>#N/A</v>
      </c>
    </row>
    <row r="83" spans="17:34">
      <c r="Q83" s="3">
        <v>201710</v>
      </c>
      <c r="R83" s="10" t="str">
        <f>_xlfn.XLOOKUP(tb_diy_07[[#This Row],[id]],monster!A:A,monster!D:D,"",0)</f>
        <v>小仙人掌</v>
      </c>
      <c r="S83" s="3" t="s">
        <v>331</v>
      </c>
      <c r="T83" s="5" t="s">
        <v>337</v>
      </c>
      <c r="U83" s="3" t="str">
        <f>_xlfn.TEXTJOIN(",",1,tb_diy_07[[#This Row],[v1]],tb_diy_07[[#This Row],[v2]])</f>
        <v>6</v>
      </c>
      <c r="V83" s="29">
        <v>6</v>
      </c>
      <c r="W83" s="29" t="s">
        <v>237</v>
      </c>
      <c r="Y83" s="3">
        <v>201815</v>
      </c>
      <c r="Z83" s="10" t="str">
        <f>_xlfn.XLOOKUP(tb_diy_08[[#This Row],[id]],monster!A:A,monster!D:D,"",0)</f>
        <v>大钳螃蟹</v>
      </c>
      <c r="AA83" s="3" t="s">
        <v>274</v>
      </c>
      <c r="AC83" s="3" t="str">
        <f>_xlfn.TEXTJOIN(",",1,tb_diy_08[[#This Row],[v1]],tb_diy_08[[#This Row],[v2]])</f>
        <v>0.27</v>
      </c>
      <c r="AD83" s="29">
        <v>0.27</v>
      </c>
      <c r="AE83" s="29" t="s">
        <v>237</v>
      </c>
      <c r="AG83" s="3" t="e" cm="1">
        <f t="array" ref="AG83">INDEX(TRANSPOSE(_xlfn.TEXTSPLIT(_xlfn.XLOOKUP(AF83,$AF$7:$AF$18,$AG$7:$AG$18),";")),COUNTIF($AF$38:$AF83,$AF83))</f>
        <v>#N/A</v>
      </c>
      <c r="AH83" s="3" t="e" cm="1">
        <f t="array" ref="AH83">_xlfn.TEXTSPLIT(AG83,"=")</f>
        <v>#N/A</v>
      </c>
    </row>
    <row r="84" spans="17:34">
      <c r="Q84" s="3">
        <v>201711</v>
      </c>
      <c r="R84" s="10" t="str">
        <f>_xlfn.XLOOKUP(tb_diy_07[[#This Row],[id]],monster!A:A,monster!D:D,"",0)</f>
        <v>大风滚草</v>
      </c>
      <c r="S84" s="3" t="s">
        <v>338</v>
      </c>
      <c r="U84" s="3" t="str">
        <f>_xlfn.TEXTJOIN(",",1,tb_diy_07[[#This Row],[v1]],tb_diy_07[[#This Row],[v2]])</f>
        <v>0.1</v>
      </c>
      <c r="V84" s="29">
        <v>0.1</v>
      </c>
      <c r="W84" s="29" t="s">
        <v>237</v>
      </c>
      <c r="Y84" s="3">
        <v>201815</v>
      </c>
      <c r="Z84" s="10" t="str">
        <f>_xlfn.XLOOKUP(tb_diy_08[[#This Row],[id]],monster!A:A,monster!D:D,"",0)</f>
        <v>大钳螃蟹</v>
      </c>
      <c r="AA84" s="3" t="s">
        <v>276</v>
      </c>
      <c r="AC84" s="3" t="str">
        <f>_xlfn.TEXTJOIN(",",1,tb_diy_08[[#This Row],[v1]],tb_diy_08[[#This Row],[v2]])</f>
        <v>0.31</v>
      </c>
      <c r="AD84" s="29">
        <v>0.31</v>
      </c>
      <c r="AE84" s="29" t="s">
        <v>237</v>
      </c>
      <c r="AG84" s="3" t="e" cm="1">
        <f t="array" ref="AG84">INDEX(TRANSPOSE(_xlfn.TEXTSPLIT(_xlfn.XLOOKUP(AF84,$AF$7:$AF$18,$AG$7:$AG$18),";")),COUNTIF($AF$38:$AF84,$AF84))</f>
        <v>#N/A</v>
      </c>
      <c r="AH84" s="3" t="e" cm="1">
        <f t="array" ref="AH84">_xlfn.TEXTSPLIT(AG84,"=")</f>
        <v>#N/A</v>
      </c>
    </row>
    <row r="85" spans="17:34">
      <c r="Q85" s="3">
        <v>201711</v>
      </c>
      <c r="R85" s="10" t="str">
        <f>_xlfn.XLOOKUP(tb_diy_07[[#This Row],[id]],monster!A:A,monster!D:D,"",0)</f>
        <v>大风滚草</v>
      </c>
      <c r="S85" s="3" t="s">
        <v>339</v>
      </c>
      <c r="U85" s="3" t="str">
        <f>_xlfn.TEXTJOIN(",",1,tb_diy_07[[#This Row],[v1]],tb_diy_07[[#This Row],[v2]])</f>
        <v>120,170</v>
      </c>
      <c r="V85" s="29">
        <v>120</v>
      </c>
      <c r="W85" s="29">
        <v>170</v>
      </c>
      <c r="Y85" s="3">
        <v>201850</v>
      </c>
      <c r="Z85" s="10" t="str">
        <f>_xlfn.XLOOKUP(tb_diy_08[[#This Row],[id]],monster!A:A,monster!D:D,"",0)</f>
        <v>金鱼王</v>
      </c>
      <c r="AA85" s="3" t="s">
        <v>259</v>
      </c>
      <c r="AC85" s="3" t="str">
        <f>_xlfn.TEXTJOIN(",",1,tb_diy_08[[#This Row],[v1]],tb_diy_08[[#This Row],[v2]])</f>
        <v>30,150</v>
      </c>
      <c r="AD85" s="29">
        <v>30</v>
      </c>
      <c r="AE85" s="29">
        <v>150</v>
      </c>
      <c r="AG85" s="3" t="e" cm="1">
        <f t="array" ref="AG85">INDEX(TRANSPOSE(_xlfn.TEXTSPLIT(_xlfn.XLOOKUP(AF85,$AF$7:$AF$18,$AG$7:$AG$18),";")),COUNTIF($AF$38:$AF85,$AF85))</f>
        <v>#N/A</v>
      </c>
      <c r="AH85" s="3" t="e" cm="1">
        <f t="array" ref="AH85">_xlfn.TEXTSPLIT(AG85,"=")</f>
        <v>#N/A</v>
      </c>
    </row>
    <row r="86" spans="17:34">
      <c r="Q86" s="3">
        <v>201711</v>
      </c>
      <c r="R86" s="10" t="str">
        <f>_xlfn.XLOOKUP(tb_diy_07[[#This Row],[id]],monster!A:A,monster!D:D,"",0)</f>
        <v>大风滚草</v>
      </c>
      <c r="S86" s="3" t="s">
        <v>340</v>
      </c>
      <c r="U86" s="3" t="str">
        <f>_xlfn.TEXTJOIN(",",1,tb_diy_07[[#This Row],[v1]],tb_diy_07[[#This Row],[v2]])</f>
        <v>7,7</v>
      </c>
      <c r="V86" s="29">
        <v>7</v>
      </c>
      <c r="W86" s="29">
        <v>7</v>
      </c>
      <c r="Y86" s="3">
        <v>201850</v>
      </c>
      <c r="Z86" s="10" t="str">
        <f>_xlfn.XLOOKUP(tb_diy_08[[#This Row],[id]],monster!A:A,monster!D:D,"",0)</f>
        <v>金鱼王</v>
      </c>
      <c r="AA86" s="3" t="s">
        <v>262</v>
      </c>
      <c r="AC86" s="3" t="str">
        <f>_xlfn.TEXTJOIN(",",1,tb_diy_08[[#This Row],[v1]],tb_diy_08[[#This Row],[v2]])</f>
        <v>8,12</v>
      </c>
      <c r="AD86" s="29">
        <v>8</v>
      </c>
      <c r="AE86" s="29">
        <v>12</v>
      </c>
      <c r="AG86" s="3" t="e" cm="1">
        <f t="array" ref="AG86">INDEX(TRANSPOSE(_xlfn.TEXTSPLIT(_xlfn.XLOOKUP(AF86,$AF$7:$AF$18,$AG$7:$AG$18),";")),COUNTIF($AF$38:$AF86,$AF86))</f>
        <v>#N/A</v>
      </c>
      <c r="AH86" s="3" t="e" cm="1">
        <f t="array" ref="AH86">_xlfn.TEXTSPLIT(AG86,"=")</f>
        <v>#N/A</v>
      </c>
    </row>
    <row r="87" spans="17:34">
      <c r="Q87" s="3">
        <v>201711</v>
      </c>
      <c r="R87" s="10" t="str">
        <f>_xlfn.XLOOKUP(tb_diy_07[[#This Row],[id]],monster!A:A,monster!D:D,"",0)</f>
        <v>大风滚草</v>
      </c>
      <c r="S87" s="3" t="s">
        <v>341</v>
      </c>
      <c r="U87" s="3" t="str">
        <f>_xlfn.TEXTJOIN(",",1,tb_diy_07[[#This Row],[v1]],tb_diy_07[[#This Row],[v2]])</f>
        <v>360,720</v>
      </c>
      <c r="V87" s="29">
        <v>360</v>
      </c>
      <c r="W87" s="29">
        <v>720</v>
      </c>
      <c r="Y87" s="3">
        <v>201850</v>
      </c>
      <c r="Z87" s="10" t="str">
        <f>_xlfn.XLOOKUP(tb_diy_08[[#This Row],[id]],monster!A:A,monster!D:D,"",0)</f>
        <v>金鱼王</v>
      </c>
      <c r="AA87" s="3" t="s">
        <v>265</v>
      </c>
      <c r="AC87" s="3" t="str">
        <f>_xlfn.TEXTJOIN(",",1,tb_diy_08[[#This Row],[v1]],tb_diy_08[[#This Row],[v2]])</f>
        <v>1</v>
      </c>
      <c r="AD87" s="29">
        <v>1</v>
      </c>
      <c r="AE87" s="29" t="s">
        <v>237</v>
      </c>
      <c r="AG87" s="3" t="e" cm="1">
        <f t="array" ref="AG87">INDEX(TRANSPOSE(_xlfn.TEXTSPLIT(_xlfn.XLOOKUP(AF87,$AF$7:$AF$18,$AG$7:$AG$18),";")),COUNTIF($AF$38:$AF87,$AF87))</f>
        <v>#N/A</v>
      </c>
      <c r="AH87" s="3" t="e" cm="1">
        <f t="array" ref="AH87">_xlfn.TEXTSPLIT(AG87,"=")</f>
        <v>#N/A</v>
      </c>
    </row>
    <row r="88" spans="17:34">
      <c r="Q88" s="3">
        <v>201711</v>
      </c>
      <c r="R88" s="10" t="str">
        <f>_xlfn.XLOOKUP(tb_diy_07[[#This Row],[id]],monster!A:A,monster!D:D,"",0)</f>
        <v>大风滚草</v>
      </c>
      <c r="S88" s="3" t="s">
        <v>342</v>
      </c>
      <c r="U88" s="3" t="str">
        <f>_xlfn.TEXTJOIN(",",1,tb_diy_07[[#This Row],[v1]],tb_diy_07[[#This Row],[v2]])</f>
        <v>50</v>
      </c>
      <c r="V88" s="29">
        <v>50</v>
      </c>
      <c r="W88" s="29" t="s">
        <v>237</v>
      </c>
      <c r="Y88" s="3">
        <v>201850</v>
      </c>
      <c r="Z88" s="10" t="str">
        <f>_xlfn.XLOOKUP(tb_diy_08[[#This Row],[id]],monster!A:A,monster!D:D,"",0)</f>
        <v>金鱼王</v>
      </c>
      <c r="AA88" s="3" t="s">
        <v>270</v>
      </c>
      <c r="AC88" s="3" t="str">
        <f>_xlfn.TEXTJOIN(",",1,tb_diy_08[[#This Row],[v1]],tb_diy_08[[#This Row],[v2]])</f>
        <v>1</v>
      </c>
      <c r="AD88" s="29">
        <v>1</v>
      </c>
      <c r="AE88" s="29" t="s">
        <v>237</v>
      </c>
      <c r="AG88" s="3" t="e" cm="1">
        <f t="array" ref="AG88">INDEX(TRANSPOSE(_xlfn.TEXTSPLIT(_xlfn.XLOOKUP(AF88,$AF$7:$AF$18,$AG$7:$AG$18),";")),COUNTIF($AF$38:$AF88,$AF88))</f>
        <v>#N/A</v>
      </c>
      <c r="AH88" s="3" t="e" cm="1">
        <f t="array" ref="AH88">_xlfn.TEXTSPLIT(AG88,"=")</f>
        <v>#N/A</v>
      </c>
    </row>
    <row r="89" spans="17:34">
      <c r="Q89" s="3">
        <v>201712</v>
      </c>
      <c r="R89" s="10" t="str">
        <f>_xlfn.XLOOKUP(tb_diy_07[[#This Row],[id]],monster!A:A,monster!D:D,"",0)</f>
        <v>小风滚草</v>
      </c>
      <c r="S89" s="3" t="s">
        <v>338</v>
      </c>
      <c r="U89" s="3" t="str">
        <f>_xlfn.TEXTJOIN(",",1,tb_diy_07[[#This Row],[v1]],tb_diy_07[[#This Row],[v2]])</f>
        <v>0.1</v>
      </c>
      <c r="V89" s="29">
        <v>0.1</v>
      </c>
      <c r="W89" s="29" t="s">
        <v>237</v>
      </c>
      <c r="Y89" s="3">
        <v>201850</v>
      </c>
      <c r="Z89" s="10" t="str">
        <f>_xlfn.XLOOKUP(tb_diy_08[[#This Row],[id]],monster!A:A,monster!D:D,"",0)</f>
        <v>金鱼王</v>
      </c>
      <c r="AA89" s="3" t="s">
        <v>343</v>
      </c>
      <c r="AC89" s="3" t="str">
        <f>_xlfn.TEXTJOIN(",",1,tb_diy_08[[#This Row],[v1]],tb_diy_08[[#This Row],[v2]])</f>
        <v>5</v>
      </c>
      <c r="AD89" s="29">
        <v>5</v>
      </c>
      <c r="AE89" s="29" t="s">
        <v>237</v>
      </c>
      <c r="AG89" s="3" t="e" cm="1">
        <f t="array" ref="AG89">INDEX(TRANSPOSE(_xlfn.TEXTSPLIT(_xlfn.XLOOKUP(AF89,$AF$7:$AF$18,$AG$7:$AG$18),";")),COUNTIF($AF$38:$AF89,$AF89))</f>
        <v>#N/A</v>
      </c>
      <c r="AH89" s="3" t="e" cm="1">
        <f t="array" ref="AH89">_xlfn.TEXTSPLIT(AG89,"=")</f>
        <v>#N/A</v>
      </c>
    </row>
    <row r="90" spans="17:34">
      <c r="Q90" s="3">
        <v>201712</v>
      </c>
      <c r="R90" s="10" t="str">
        <f>_xlfn.XLOOKUP(tb_diy_07[[#This Row],[id]],monster!A:A,monster!D:D,"",0)</f>
        <v>小风滚草</v>
      </c>
      <c r="S90" s="3" t="s">
        <v>339</v>
      </c>
      <c r="U90" s="3" t="str">
        <f>_xlfn.TEXTJOIN(",",1,tb_diy_07[[#This Row],[v1]],tb_diy_07[[#This Row],[v2]])</f>
        <v>100,170</v>
      </c>
      <c r="V90" s="29">
        <v>100</v>
      </c>
      <c r="W90" s="29">
        <v>170</v>
      </c>
      <c r="Y90" s="3">
        <v>201850</v>
      </c>
      <c r="Z90" s="10" t="str">
        <f>_xlfn.XLOOKUP(tb_diy_08[[#This Row],[id]],monster!A:A,monster!D:D,"",0)</f>
        <v>金鱼王</v>
      </c>
      <c r="AA90" s="3" t="s">
        <v>344</v>
      </c>
      <c r="AC90" s="3" t="str">
        <f>_xlfn.TEXTJOIN(",",1,tb_diy_08[[#This Row],[v1]],tb_diy_08[[#This Row],[v2]])</f>
        <v>3</v>
      </c>
      <c r="AD90" s="29">
        <v>3</v>
      </c>
      <c r="AE90" s="29" t="s">
        <v>237</v>
      </c>
      <c r="AG90" s="3" t="e" cm="1">
        <f t="array" ref="AG90">INDEX(TRANSPOSE(_xlfn.TEXTSPLIT(_xlfn.XLOOKUP(AF90,$AF$7:$AF$18,$AG$7:$AG$18),";")),COUNTIF($AF$38:$AF90,$AF90))</f>
        <v>#N/A</v>
      </c>
      <c r="AH90" s="3" t="e" cm="1">
        <f t="array" ref="AH90">_xlfn.TEXTSPLIT(AG90,"=")</f>
        <v>#N/A</v>
      </c>
    </row>
    <row r="91" spans="17:34">
      <c r="Q91" s="3">
        <v>201712</v>
      </c>
      <c r="R91" s="10" t="str">
        <f>_xlfn.XLOOKUP(tb_diy_07[[#This Row],[id]],monster!A:A,monster!D:D,"",0)</f>
        <v>小风滚草</v>
      </c>
      <c r="S91" s="3" t="s">
        <v>340</v>
      </c>
      <c r="U91" s="3" t="str">
        <f>_xlfn.TEXTJOIN(",",1,tb_diy_07[[#This Row],[v1]],tb_diy_07[[#This Row],[v2]])</f>
        <v>7,7</v>
      </c>
      <c r="V91" s="29">
        <v>7</v>
      </c>
      <c r="W91" s="29">
        <v>7</v>
      </c>
      <c r="Y91" s="3">
        <v>201850</v>
      </c>
      <c r="Z91" s="10" t="str">
        <f>_xlfn.XLOOKUP(tb_diy_08[[#This Row],[id]],monster!A:A,monster!D:D,"",0)</f>
        <v>金鱼王</v>
      </c>
      <c r="AA91" s="3" t="s">
        <v>280</v>
      </c>
      <c r="AC91" s="3" t="str">
        <f>_xlfn.TEXTJOIN(",",1,tb_diy_08[[#This Row],[v1]],tb_diy_08[[#This Row],[v2]])</f>
        <v>10</v>
      </c>
      <c r="AD91" s="29">
        <v>10</v>
      </c>
      <c r="AE91" s="29" t="s">
        <v>237</v>
      </c>
      <c r="AG91" s="3" t="e" cm="1">
        <f t="array" ref="AG91">INDEX(TRANSPOSE(_xlfn.TEXTSPLIT(_xlfn.XLOOKUP(AF91,$AF$7:$AF$18,$AG$7:$AG$18),";")),COUNTIF($AF$38:$AF91,$AF91))</f>
        <v>#N/A</v>
      </c>
      <c r="AH91" s="3" t="e" cm="1">
        <f t="array" ref="AH91">_xlfn.TEXTSPLIT(AG91,"=")</f>
        <v>#N/A</v>
      </c>
    </row>
    <row r="92" spans="17:34">
      <c r="Q92" s="3">
        <v>201712</v>
      </c>
      <c r="R92" s="10" t="str">
        <f>_xlfn.XLOOKUP(tb_diy_07[[#This Row],[id]],monster!A:A,monster!D:D,"",0)</f>
        <v>小风滚草</v>
      </c>
      <c r="S92" s="3" t="s">
        <v>341</v>
      </c>
      <c r="U92" s="3" t="str">
        <f>_xlfn.TEXTJOIN(",",1,tb_diy_07[[#This Row],[v1]],tb_diy_07[[#This Row],[v2]])</f>
        <v>360,720</v>
      </c>
      <c r="V92" s="29">
        <v>360</v>
      </c>
      <c r="W92" s="29">
        <v>720</v>
      </c>
      <c r="Y92" s="3">
        <v>201850</v>
      </c>
      <c r="Z92" s="10" t="str">
        <f>_xlfn.XLOOKUP(tb_diy_08[[#This Row],[id]],monster!A:A,monster!D:D,"",0)</f>
        <v>金鱼王</v>
      </c>
      <c r="AA92" s="3" t="s">
        <v>285</v>
      </c>
      <c r="AC92" s="3" t="str">
        <f>_xlfn.TEXTJOIN(",",1,tb_diy_08[[#This Row],[v1]],tb_diy_08[[#This Row],[v2]])</f>
        <v>0.15</v>
      </c>
      <c r="AD92" s="29">
        <v>0.15</v>
      </c>
      <c r="AE92" s="29" t="s">
        <v>237</v>
      </c>
      <c r="AG92" s="3" t="e" cm="1">
        <f t="array" ref="AG92">INDEX(TRANSPOSE(_xlfn.TEXTSPLIT(_xlfn.XLOOKUP(AF92,$AF$7:$AF$18,$AG$7:$AG$18),";")),COUNTIF($AF$38:$AF92,$AF92))</f>
        <v>#N/A</v>
      </c>
      <c r="AH92" s="3" t="e" cm="1">
        <f t="array" ref="AH92">_xlfn.TEXTSPLIT(AG92,"=")</f>
        <v>#N/A</v>
      </c>
    </row>
    <row r="93" spans="17:34">
      <c r="Q93" s="3">
        <v>201712</v>
      </c>
      <c r="R93" s="10" t="str">
        <f>_xlfn.XLOOKUP(tb_diy_07[[#This Row],[id]],monster!A:A,monster!D:D,"",0)</f>
        <v>小风滚草</v>
      </c>
      <c r="S93" s="3" t="s">
        <v>342</v>
      </c>
      <c r="U93" s="3" t="str">
        <f>_xlfn.TEXTJOIN(",",1,tb_diy_07[[#This Row],[v1]],tb_diy_07[[#This Row],[v2]])</f>
        <v>50</v>
      </c>
      <c r="V93" s="29">
        <v>50</v>
      </c>
      <c r="W93" s="29" t="s">
        <v>237</v>
      </c>
      <c r="Y93" s="3">
        <v>201860</v>
      </c>
      <c r="Z93" s="10" t="str">
        <f>_xlfn.XLOOKUP(tb_diy_08[[#This Row],[id]],monster!A:A,monster!D:D,"",0)</f>
        <v>渊齿</v>
      </c>
      <c r="AA93" s="3" t="s">
        <v>259</v>
      </c>
      <c r="AC93" s="3" t="str">
        <f>_xlfn.TEXTJOIN(",",1,tb_diy_08[[#This Row],[v1]],tb_diy_08[[#This Row],[v2]])</f>
        <v>30,150</v>
      </c>
      <c r="AD93" s="29">
        <v>30</v>
      </c>
      <c r="AE93" s="29">
        <v>150</v>
      </c>
      <c r="AG93" s="3" t="e" cm="1">
        <f t="array" ref="AG93">INDEX(TRANSPOSE(_xlfn.TEXTSPLIT(_xlfn.XLOOKUP(AF93,$AF$7:$AF$18,$AG$7:$AG$18),";")),COUNTIF($AF$38:$AF93,$AF93))</f>
        <v>#N/A</v>
      </c>
      <c r="AH93" s="3" t="e" cm="1">
        <f t="array" ref="AH93">_xlfn.TEXTSPLIT(AG93,"=")</f>
        <v>#N/A</v>
      </c>
    </row>
    <row r="94" spans="17:34">
      <c r="Y94" s="3">
        <v>201860</v>
      </c>
      <c r="Z94" s="10" t="str">
        <f>_xlfn.XLOOKUP(tb_diy_08[[#This Row],[id]],monster!A:A,monster!D:D,"",0)</f>
        <v>渊齿</v>
      </c>
      <c r="AA94" s="3" t="s">
        <v>262</v>
      </c>
      <c r="AC94" s="3" t="str">
        <f>_xlfn.TEXTJOIN(",",1,tb_diy_08[[#This Row],[v1]],tb_diy_08[[#This Row],[v2]])</f>
        <v>4.5,8</v>
      </c>
      <c r="AD94" s="29">
        <v>4.5</v>
      </c>
      <c r="AE94" s="29">
        <v>8</v>
      </c>
      <c r="AG94" s="3" t="e" cm="1">
        <f t="array" ref="AG94">INDEX(TRANSPOSE(_xlfn.TEXTSPLIT(_xlfn.XLOOKUP(AF94,$AF$7:$AF$18,$AG$7:$AG$18),";")),COUNTIF($AF$38:$AF94,$AF94))</f>
        <v>#N/A</v>
      </c>
      <c r="AH94" s="3" t="e" cm="1">
        <f t="array" ref="AH94">_xlfn.TEXTSPLIT(AG94,"=")</f>
        <v>#N/A</v>
      </c>
    </row>
    <row r="95" spans="17:34">
      <c r="Y95" s="3">
        <v>201860</v>
      </c>
      <c r="Z95" s="10" t="str">
        <f>_xlfn.XLOOKUP(tb_diy_08[[#This Row],[id]],monster!A:A,monster!D:D,"",0)</f>
        <v>渊齿</v>
      </c>
      <c r="AA95" s="3" t="s">
        <v>265</v>
      </c>
      <c r="AC95" s="3" t="str">
        <f>_xlfn.TEXTJOIN(",",1,tb_diy_08[[#This Row],[v1]],tb_diy_08[[#This Row],[v2]])</f>
        <v>2</v>
      </c>
      <c r="AD95" s="29">
        <v>2</v>
      </c>
      <c r="AE95" s="29" t="s">
        <v>237</v>
      </c>
      <c r="AG95" s="3" t="e" cm="1">
        <f t="array" ref="AG95">INDEX(TRANSPOSE(_xlfn.TEXTSPLIT(_xlfn.XLOOKUP(AF95,$AF$7:$AF$18,$AG$7:$AG$18),";")),COUNTIF($AF$38:$AF95,$AF95))</f>
        <v>#N/A</v>
      </c>
      <c r="AH95" s="3" t="e" cm="1">
        <f t="array" ref="AH95">_xlfn.TEXTSPLIT(AG95,"=")</f>
        <v>#N/A</v>
      </c>
    </row>
    <row r="96" spans="17:34">
      <c r="Y96" s="3">
        <v>201860</v>
      </c>
      <c r="Z96" s="10" t="str">
        <f>_xlfn.XLOOKUP(tb_diy_08[[#This Row],[id]],monster!A:A,monster!D:D,"",0)</f>
        <v>渊齿</v>
      </c>
      <c r="AA96" s="3" t="s">
        <v>270</v>
      </c>
      <c r="AC96" s="3" t="str">
        <f>_xlfn.TEXTJOIN(",",1,tb_diy_08[[#This Row],[v1]],tb_diy_08[[#This Row],[v2]])</f>
        <v>1</v>
      </c>
      <c r="AD96" s="29">
        <v>1</v>
      </c>
      <c r="AE96" s="29" t="s">
        <v>237</v>
      </c>
      <c r="AG96" s="3" t="e" cm="1">
        <f t="array" ref="AG96">INDEX(TRANSPOSE(_xlfn.TEXTSPLIT(_xlfn.XLOOKUP(AF96,$AF$7:$AF$18,$AG$7:$AG$18),";")),COUNTIF($AF$38:$AF96,$AF96))</f>
        <v>#N/A</v>
      </c>
      <c r="AH96" s="3" t="e" cm="1">
        <f t="array" ref="AH96">_xlfn.TEXTSPLIT(AG96,"=")</f>
        <v>#N/A</v>
      </c>
    </row>
    <row r="97" spans="25:34">
      <c r="Y97" s="3">
        <v>201860</v>
      </c>
      <c r="Z97" s="10" t="str">
        <f>_xlfn.XLOOKUP(tb_diy_08[[#This Row],[id]],monster!A:A,monster!D:D,"",0)</f>
        <v>渊齿</v>
      </c>
      <c r="AA97" s="3" t="s">
        <v>343</v>
      </c>
      <c r="AC97" s="3" t="str">
        <f>_xlfn.TEXTJOIN(",",1,tb_diy_08[[#This Row],[v1]],tb_diy_08[[#This Row],[v2]])</f>
        <v>3</v>
      </c>
      <c r="AD97" s="29">
        <v>3</v>
      </c>
      <c r="AE97" s="29" t="s">
        <v>237</v>
      </c>
      <c r="AG97" s="3" t="e" cm="1">
        <f t="array" ref="AG97">INDEX(TRANSPOSE(_xlfn.TEXTSPLIT(_xlfn.XLOOKUP(AF97,$AF$7:$AF$18,$AG$7:$AG$18),";")),COUNTIF($AF$38:$AF97,$AF97))</f>
        <v>#N/A</v>
      </c>
      <c r="AH97" s="3" t="e" cm="1">
        <f t="array" ref="AH97">_xlfn.TEXTSPLIT(AG97,"=")</f>
        <v>#N/A</v>
      </c>
    </row>
    <row r="98" spans="25:34">
      <c r="Y98" s="3">
        <v>201860</v>
      </c>
      <c r="Z98" s="10" t="str">
        <f>_xlfn.XLOOKUP(tb_diy_08[[#This Row],[id]],monster!A:A,monster!D:D,"",0)</f>
        <v>渊齿</v>
      </c>
      <c r="AA98" s="3" t="s">
        <v>276</v>
      </c>
      <c r="AC98" s="3" t="str">
        <f>_xlfn.TEXTJOIN(",",1,tb_diy_08[[#This Row],[v1]],tb_diy_08[[#This Row],[v2]])</f>
        <v>4</v>
      </c>
      <c r="AD98" s="29">
        <v>4</v>
      </c>
      <c r="AE98" s="29" t="s">
        <v>237</v>
      </c>
      <c r="AG98" s="3" t="e" cm="1">
        <f t="array" ref="AG98">INDEX(TRANSPOSE(_xlfn.TEXTSPLIT(_xlfn.XLOOKUP(AF98,$AF$7:$AF$18,$AG$7:$AG$18),";")),COUNTIF($AF$38:$AF98,$AF98))</f>
        <v>#N/A</v>
      </c>
      <c r="AH98" s="3" t="e" cm="1">
        <f t="array" ref="AH98">_xlfn.TEXTSPLIT(AG98,"=")</f>
        <v>#N/A</v>
      </c>
    </row>
    <row r="99" spans="25:34">
      <c r="Y99" s="3">
        <v>201860</v>
      </c>
      <c r="Z99" s="10" t="str">
        <f>_xlfn.XLOOKUP(tb_diy_08[[#This Row],[id]],monster!A:A,monster!D:D,"",0)</f>
        <v>渊齿</v>
      </c>
      <c r="AA99" s="3" t="s">
        <v>325</v>
      </c>
      <c r="AC99" s="3" t="str">
        <f>_xlfn.TEXTJOIN(",",1,tb_diy_08[[#This Row],[v1]],tb_diy_08[[#This Row],[v2]])</f>
        <v>8</v>
      </c>
      <c r="AD99" s="29">
        <v>8</v>
      </c>
      <c r="AE99" s="29" t="s">
        <v>237</v>
      </c>
      <c r="AG99" s="3" t="e" cm="1">
        <f t="array" ref="AG99">INDEX(TRANSPOSE(_xlfn.TEXTSPLIT(_xlfn.XLOOKUP(AF99,$AF$7:$AF$18,$AG$7:$AG$18),";")),COUNTIF($AF$38:$AF99,$AF99))</f>
        <v>#N/A</v>
      </c>
      <c r="AH99" s="3" t="e" cm="1">
        <f t="array" ref="AH99">_xlfn.TEXTSPLIT(AG99,"=")</f>
        <v>#N/A</v>
      </c>
    </row>
    <row r="100" spans="25:34">
      <c r="Y100" s="3">
        <v>201860</v>
      </c>
      <c r="Z100" s="10" t="str">
        <f>_xlfn.XLOOKUP(tb_diy_08[[#This Row],[id]],monster!A:A,monster!D:D,"",0)</f>
        <v>渊齿</v>
      </c>
      <c r="AA100" s="3" t="s">
        <v>258</v>
      </c>
      <c r="AC100" s="3" t="str">
        <f>_xlfn.TEXTJOIN(",",1,tb_diy_08[[#This Row],[v1]],tb_diy_08[[#This Row],[v2]])</f>
        <v>16</v>
      </c>
      <c r="AD100" s="29">
        <v>16</v>
      </c>
      <c r="AE100" s="29" t="s">
        <v>237</v>
      </c>
      <c r="AG100" s="3" t="e" cm="1">
        <f t="array" ref="AG100">INDEX(TRANSPOSE(_xlfn.TEXTSPLIT(_xlfn.XLOOKUP(AF100,$AF$7:$AF$18,$AG$7:$AG$18),";")),COUNTIF($AF$38:$AF100,$AF100))</f>
        <v>#N/A</v>
      </c>
      <c r="AH100" s="3" t="e" cm="1">
        <f t="array" ref="AH100">_xlfn.TEXTSPLIT(AG100,"=")</f>
        <v>#N/A</v>
      </c>
    </row>
    <row r="101" spans="25:34">
      <c r="Y101" s="3">
        <v>201860</v>
      </c>
      <c r="Z101" s="10" t="str">
        <f>_xlfn.XLOOKUP(tb_diy_08[[#This Row],[id]],monster!A:A,monster!D:D,"",0)</f>
        <v>渊齿</v>
      </c>
      <c r="AA101" s="3" t="s">
        <v>344</v>
      </c>
      <c r="AC101" s="3" t="str">
        <f>_xlfn.TEXTJOIN(",",1,tb_diy_08[[#This Row],[v1]],tb_diy_08[[#This Row],[v2]])</f>
        <v>3</v>
      </c>
      <c r="AD101" s="29">
        <v>3</v>
      </c>
      <c r="AE101" s="29" t="s">
        <v>237</v>
      </c>
      <c r="AG101" s="3" t="e" cm="1">
        <f t="array" ref="AG101">INDEX(TRANSPOSE(_xlfn.TEXTSPLIT(_xlfn.XLOOKUP(AF101,$AF$7:$AF$18,$AG$7:$AG$18),";")),COUNTIF($AF$38:$AF101,$AF101))</f>
        <v>#N/A</v>
      </c>
      <c r="AH101" s="3" t="e" cm="1">
        <f t="array" ref="AH101">_xlfn.TEXTSPLIT(AG101,"=")</f>
        <v>#N/A</v>
      </c>
    </row>
    <row r="102" spans="25:34">
      <c r="Y102" s="3">
        <v>201870</v>
      </c>
      <c r="Z102" s="10" t="str">
        <f>_xlfn.XLOOKUP(tb_diy_08[[#This Row],[id]],monster!A:A,monster!D:D,"",0)</f>
        <v>缠绕水藻</v>
      </c>
      <c r="AA102" s="3" t="s">
        <v>259</v>
      </c>
      <c r="AC102" s="3" t="str">
        <f>_xlfn.TEXTJOIN(",",1,tb_diy_08[[#This Row],[v1]],tb_diy_08[[#This Row],[v2]])</f>
        <v>30,150</v>
      </c>
      <c r="AD102" s="29">
        <v>30</v>
      </c>
      <c r="AE102" s="29">
        <v>150</v>
      </c>
      <c r="AG102" s="3" t="e" cm="1">
        <f t="array" ref="AG102">INDEX(TRANSPOSE(_xlfn.TEXTSPLIT(_xlfn.XLOOKUP(AF102,$AF$7:$AF$18,$AG$7:$AG$18),";")),COUNTIF($AF$38:$AF102,$AF102))</f>
        <v>#N/A</v>
      </c>
      <c r="AH102" s="3" t="e" cm="1">
        <f t="array" ref="AH102">_xlfn.TEXTSPLIT(AG102,"=")</f>
        <v>#N/A</v>
      </c>
    </row>
    <row r="103" spans="25:34">
      <c r="Y103" s="3">
        <v>201870</v>
      </c>
      <c r="Z103" s="10" t="str">
        <f>_xlfn.XLOOKUP(tb_diy_08[[#This Row],[id]],monster!A:A,monster!D:D,"",0)</f>
        <v>缠绕水藻</v>
      </c>
      <c r="AA103" s="3" t="s">
        <v>262</v>
      </c>
      <c r="AC103" s="3" t="str">
        <f>_xlfn.TEXTJOIN(",",1,tb_diy_08[[#This Row],[v1]],tb_diy_08[[#This Row],[v2]])</f>
        <v>8,12</v>
      </c>
      <c r="AD103" s="29">
        <v>8</v>
      </c>
      <c r="AE103" s="29">
        <v>12</v>
      </c>
      <c r="AG103" s="3" t="e" cm="1">
        <f t="array" ref="AG103">INDEX(TRANSPOSE(_xlfn.TEXTSPLIT(_xlfn.XLOOKUP(AF103,$AF$7:$AF$18,$AG$7:$AG$18),";")),COUNTIF($AF$38:$AF103,$AF103))</f>
        <v>#N/A</v>
      </c>
      <c r="AH103" s="3" t="e" cm="1">
        <f t="array" ref="AH103">_xlfn.TEXTSPLIT(AG103,"=")</f>
        <v>#N/A</v>
      </c>
    </row>
    <row r="104" spans="25:34">
      <c r="Y104" s="3">
        <v>201870</v>
      </c>
      <c r="Z104" s="10" t="str">
        <f>_xlfn.XLOOKUP(tb_diy_08[[#This Row],[id]],monster!A:A,monster!D:D,"",0)</f>
        <v>缠绕水藻</v>
      </c>
      <c r="AA104" s="3" t="s">
        <v>265</v>
      </c>
      <c r="AC104" s="3" t="str">
        <f>_xlfn.TEXTJOIN(",",1,tb_diy_08[[#This Row],[v1]],tb_diy_08[[#This Row],[v2]])</f>
        <v>1</v>
      </c>
      <c r="AD104" s="29">
        <v>1</v>
      </c>
      <c r="AE104" s="29" t="s">
        <v>237</v>
      </c>
      <c r="AG104" s="3" t="e" cm="1">
        <f t="array" ref="AG104">INDEX(TRANSPOSE(_xlfn.TEXTSPLIT(_xlfn.XLOOKUP(AF104,$AF$7:$AF$18,$AG$7:$AG$18),";")),COUNTIF($AF$38:$AF104,$AF104))</f>
        <v>#N/A</v>
      </c>
      <c r="AH104" s="3" t="e" cm="1">
        <f t="array" ref="AH104">_xlfn.TEXTSPLIT(AG104,"=")</f>
        <v>#N/A</v>
      </c>
    </row>
    <row r="105" spans="25:34">
      <c r="Y105" s="3">
        <v>201870</v>
      </c>
      <c r="Z105" s="10" t="str">
        <f>_xlfn.XLOOKUP(tb_diy_08[[#This Row],[id]],monster!A:A,monster!D:D,"",0)</f>
        <v>缠绕水藻</v>
      </c>
      <c r="AA105" s="3" t="s">
        <v>270</v>
      </c>
      <c r="AC105" s="3" t="str">
        <f>_xlfn.TEXTJOIN(",",1,tb_diy_08[[#This Row],[v1]],tb_diy_08[[#This Row],[v2]])</f>
        <v>1</v>
      </c>
      <c r="AD105" s="29">
        <v>1</v>
      </c>
      <c r="AE105" s="29" t="s">
        <v>237</v>
      </c>
      <c r="AG105" s="3" t="e" cm="1">
        <f t="array" ref="AG105">INDEX(TRANSPOSE(_xlfn.TEXTSPLIT(_xlfn.XLOOKUP(AF105,$AF$7:$AF$18,$AG$7:$AG$18),";")),COUNTIF($AF$38:$AF105,$AF105))</f>
        <v>#N/A</v>
      </c>
      <c r="AH105" s="3" t="e" cm="1">
        <f t="array" ref="AH105">_xlfn.TEXTSPLIT(AG105,"=")</f>
        <v>#N/A</v>
      </c>
    </row>
    <row r="106" spans="25:34">
      <c r="Y106" s="3">
        <v>201870</v>
      </c>
      <c r="Z106" s="10" t="str">
        <f>_xlfn.XLOOKUP(tb_diy_08[[#This Row],[id]],monster!A:A,monster!D:D,"",0)</f>
        <v>缠绕水藻</v>
      </c>
      <c r="AA106" s="3" t="s">
        <v>343</v>
      </c>
      <c r="AC106" s="3" t="str">
        <f>_xlfn.TEXTJOIN(",",1,tb_diy_08[[#This Row],[v1]],tb_diy_08[[#This Row],[v2]])</f>
        <v>2</v>
      </c>
      <c r="AD106" s="29">
        <v>2</v>
      </c>
      <c r="AE106" s="29" t="s">
        <v>237</v>
      </c>
      <c r="AG106" s="3" t="e" cm="1">
        <f t="array" ref="AG106">INDEX(TRANSPOSE(_xlfn.TEXTSPLIT(_xlfn.XLOOKUP(AF106,$AF$7:$AF$18,$AG$7:$AG$18),";")),COUNTIF($AF$38:$AF106,$AF106))</f>
        <v>#N/A</v>
      </c>
      <c r="AH106" s="3" t="e" cm="1">
        <f t="array" ref="AH106">_xlfn.TEXTSPLIT(AG106,"=")</f>
        <v>#N/A</v>
      </c>
    </row>
    <row r="107" spans="25:34">
      <c r="Y107" s="3">
        <v>201870</v>
      </c>
      <c r="Z107" s="10" t="str">
        <f>_xlfn.XLOOKUP(tb_diy_08[[#This Row],[id]],monster!A:A,monster!D:D,"",0)</f>
        <v>缠绕水藻</v>
      </c>
      <c r="AA107" s="3" t="s">
        <v>274</v>
      </c>
      <c r="AC107" s="3" t="str">
        <f>_xlfn.TEXTJOIN(",",1,tb_diy_08[[#This Row],[v1]],tb_diy_08[[#This Row],[v2]])</f>
        <v>0.6</v>
      </c>
      <c r="AD107" s="29">
        <v>0.6</v>
      </c>
      <c r="AE107" s="29" t="s">
        <v>237</v>
      </c>
      <c r="AG107" s="3" t="e" cm="1">
        <f t="array" ref="AG107">INDEX(TRANSPOSE(_xlfn.TEXTSPLIT(_xlfn.XLOOKUP(AF107,$AF$7:$AF$18,$AG$7:$AG$18),";")),COUNTIF($AF$38:$AF107,$AF107))</f>
        <v>#N/A</v>
      </c>
      <c r="AH107" s="3" t="e" cm="1">
        <f t="array" ref="AH107">_xlfn.TEXTSPLIT(AG107,"=")</f>
        <v>#N/A</v>
      </c>
    </row>
    <row r="108" spans="25:34">
      <c r="Y108" s="3">
        <v>201870</v>
      </c>
      <c r="Z108" s="10" t="str">
        <f>_xlfn.XLOOKUP(tb_diy_08[[#This Row],[id]],monster!A:A,monster!D:D,"",0)</f>
        <v>缠绕水藻</v>
      </c>
      <c r="AA108" s="3" t="s">
        <v>276</v>
      </c>
      <c r="AC108" s="3" t="str">
        <f>_xlfn.TEXTJOIN(",",1,tb_diy_08[[#This Row],[v1]],tb_diy_08[[#This Row],[v2]])</f>
        <v>0.4</v>
      </c>
      <c r="AD108" s="29">
        <v>0.4</v>
      </c>
      <c r="AE108" s="29" t="s">
        <v>237</v>
      </c>
      <c r="AG108" s="3" t="e" cm="1">
        <f t="array" ref="AG108">INDEX(TRANSPOSE(_xlfn.TEXTSPLIT(_xlfn.XLOOKUP(AF108,$AF$7:$AF$18,$AG$7:$AG$18),";")),COUNTIF($AF$38:$AF108,$AF108))</f>
        <v>#N/A</v>
      </c>
      <c r="AH108" s="3" t="e" cm="1">
        <f t="array" ref="AH108">_xlfn.TEXTSPLIT(AG108,"=")</f>
        <v>#N/A</v>
      </c>
    </row>
    <row r="109" spans="25:34">
      <c r="Y109" s="3">
        <v>201870</v>
      </c>
      <c r="Z109" s="10" t="str">
        <f>_xlfn.XLOOKUP(tb_diy_08[[#This Row],[id]],monster!A:A,monster!D:D,"",0)</f>
        <v>缠绕水藻</v>
      </c>
      <c r="AA109" s="3" t="s">
        <v>344</v>
      </c>
      <c r="AC109" s="3" t="str">
        <f>_xlfn.TEXTJOIN(",",1,tb_diy_08[[#This Row],[v1]],tb_diy_08[[#This Row],[v2]])</f>
        <v>3</v>
      </c>
      <c r="AD109" s="29">
        <v>3</v>
      </c>
      <c r="AE109" s="29" t="s">
        <v>237</v>
      </c>
      <c r="AG109" s="3" t="e" cm="1">
        <f t="array" ref="AG109">INDEX(TRANSPOSE(_xlfn.TEXTSPLIT(_xlfn.XLOOKUP(AF109,$AF$7:$AF$18,$AG$7:$AG$18),";")),COUNTIF($AF$38:$AF109,$AF109))</f>
        <v>#N/A</v>
      </c>
      <c r="AH109" s="3" t="e" cm="1">
        <f t="array" ref="AH109">_xlfn.TEXTSPLIT(AG109,"=")</f>
        <v>#N/A</v>
      </c>
    </row>
    <row r="110" spans="25:34">
      <c r="Y110" s="3">
        <v>201870</v>
      </c>
      <c r="Z110" s="10" t="str">
        <f>_xlfn.XLOOKUP(tb_diy_08[[#This Row],[id]],monster!A:A,monster!D:D,"",0)</f>
        <v>缠绕水藻</v>
      </c>
      <c r="AA110" s="3" t="s">
        <v>331</v>
      </c>
      <c r="AC110" s="3" t="str">
        <f>_xlfn.TEXTJOIN(",",1,tb_diy_08[[#This Row],[v1]],tb_diy_08[[#This Row],[v2]])</f>
        <v>3</v>
      </c>
      <c r="AD110" s="29">
        <v>3</v>
      </c>
      <c r="AE110" s="29" t="s">
        <v>237</v>
      </c>
      <c r="AG110" s="3" t="e" cm="1">
        <f t="array" ref="AG110">INDEX(TRANSPOSE(_xlfn.TEXTSPLIT(_xlfn.XLOOKUP(AF110,$AF$7:$AF$18,$AG$7:$AG$18),";")),COUNTIF($AF$38:$AF110,$AF110))</f>
        <v>#N/A</v>
      </c>
      <c r="AH110" s="3" t="e" cm="1">
        <f t="array" ref="AH110">_xlfn.TEXTSPLIT(AG110,"=")</f>
        <v>#N/A</v>
      </c>
    </row>
    <row r="111" spans="25:34">
      <c r="Y111" s="3">
        <v>201818</v>
      </c>
      <c r="Z111" s="10" t="str">
        <f>_xlfn.XLOOKUP(tb_diy_08[[#This Row],[id]],monster!A:A,monster!D:D,"",0)</f>
        <v>聒噪海贝</v>
      </c>
      <c r="AA111" s="3" t="s">
        <v>301</v>
      </c>
      <c r="AC111" s="3" t="str">
        <f>_xlfn.TEXTJOIN(",",1,tb_diy_08[[#This Row],[v1]],tb_diy_08[[#This Row],[v2]])</f>
        <v>0.58</v>
      </c>
      <c r="AD111" s="29">
        <v>0.58</v>
      </c>
      <c r="AE111" s="29" t="s">
        <v>237</v>
      </c>
      <c r="AG111" s="3" t="e" cm="1">
        <f t="array" ref="AG111">INDEX(TRANSPOSE(_xlfn.TEXTSPLIT(_xlfn.XLOOKUP(AF111,$AF$7:$AF$18,$AG$7:$AG$18),";")),COUNTIF($AF$38:$AF111,$AF111))</f>
        <v>#N/A</v>
      </c>
      <c r="AH111" s="3" t="e" cm="1">
        <f t="array" ref="AH111">_xlfn.TEXTSPLIT(AG111,"=")</f>
        <v>#N/A</v>
      </c>
    </row>
    <row r="112" spans="25:34">
      <c r="Y112" s="3">
        <v>201818</v>
      </c>
      <c r="Z112" s="10" t="str">
        <f>_xlfn.XLOOKUP(tb_diy_08[[#This Row],[id]],monster!A:A,monster!D:D,"",0)</f>
        <v>聒噪海贝</v>
      </c>
      <c r="AA112" s="3" t="s">
        <v>334</v>
      </c>
      <c r="AB112" s="5" t="s">
        <v>335</v>
      </c>
      <c r="AC112" s="3" t="str">
        <f>_xlfn.TEXTJOIN(",",1,tb_diy_08[[#This Row],[v1]],tb_diy_08[[#This Row],[v2]])</f>
        <v>1,2</v>
      </c>
      <c r="AD112" s="29">
        <v>1</v>
      </c>
      <c r="AE112" s="29">
        <v>2</v>
      </c>
      <c r="AG112" s="3" t="e" cm="1">
        <f t="array" ref="AG112">INDEX(TRANSPOSE(_xlfn.TEXTSPLIT(_xlfn.XLOOKUP(AF112,$AF$7:$AF$18,$AG$7:$AG$18),";")),COUNTIF($AF$38:$AF112,$AF112))</f>
        <v>#N/A</v>
      </c>
      <c r="AH112" s="3" t="e" cm="1">
        <f t="array" ref="AH112">_xlfn.TEXTSPLIT(AG112,"=")</f>
        <v>#N/A</v>
      </c>
    </row>
    <row r="113" spans="25:34">
      <c r="Y113" s="3">
        <v>201818</v>
      </c>
      <c r="Z113" s="10" t="str">
        <f>_xlfn.XLOOKUP(tb_diy_08[[#This Row],[id]],monster!A:A,monster!D:D,"",0)</f>
        <v>聒噪海贝</v>
      </c>
      <c r="AA113" s="3" t="s">
        <v>303</v>
      </c>
      <c r="AB113" s="5" t="s">
        <v>336</v>
      </c>
      <c r="AC113" s="3" t="str">
        <f>_xlfn.TEXTJOIN(",",1,tb_diy_08[[#This Row],[v1]],tb_diy_08[[#This Row],[v2]])</f>
        <v>10</v>
      </c>
      <c r="AD113" s="29">
        <v>10</v>
      </c>
      <c r="AE113" s="29" t="s">
        <v>237</v>
      </c>
      <c r="AG113" s="3" t="e" cm="1">
        <f t="array" ref="AG113">INDEX(TRANSPOSE(_xlfn.TEXTSPLIT(_xlfn.XLOOKUP(AF113,$AF$7:$AF$18,$AG$7:$AG$18),";")),COUNTIF($AF$38:$AF113,$AF113))</f>
        <v>#N/A</v>
      </c>
      <c r="AH113" s="3" t="e" cm="1">
        <f t="array" ref="AH113">_xlfn.TEXTSPLIT(AG113,"=")</f>
        <v>#N/A</v>
      </c>
    </row>
    <row r="114" spans="25:34">
      <c r="Y114" s="3">
        <v>201818</v>
      </c>
      <c r="Z114" s="10" t="str">
        <f>_xlfn.XLOOKUP(tb_diy_08[[#This Row],[id]],monster!A:A,monster!D:D,"",0)</f>
        <v>聒噪海贝</v>
      </c>
      <c r="AA114" s="3" t="s">
        <v>304</v>
      </c>
      <c r="AC114" s="3" t="str">
        <f>_xlfn.TEXTJOIN(",",1,tb_diy_08[[#This Row],[v1]],tb_diy_08[[#This Row],[v2]])</f>
        <v>0.8,1.7</v>
      </c>
      <c r="AD114" s="29">
        <v>0.8</v>
      </c>
      <c r="AE114" s="29">
        <v>1.7</v>
      </c>
      <c r="AG114" s="3" t="e" cm="1">
        <f t="array" ref="AG114">INDEX(TRANSPOSE(_xlfn.TEXTSPLIT(_xlfn.XLOOKUP(AF114,$AF$7:$AF$18,$AG$7:$AG$18),";")),COUNTIF($AF$38:$AF114,$AF114))</f>
        <v>#N/A</v>
      </c>
      <c r="AH114" s="3" t="e" cm="1">
        <f t="array" ref="AH114">_xlfn.TEXTSPLIT(AG114,"=")</f>
        <v>#N/A</v>
      </c>
    </row>
    <row r="115" spans="25:34">
      <c r="Y115" s="3">
        <v>201819</v>
      </c>
      <c r="Z115" s="10" t="str">
        <f>_xlfn.XLOOKUP(tb_diy_08[[#This Row],[id]],monster!A:A,monster!D:D,"",0)</f>
        <v>凶猛海贝</v>
      </c>
      <c r="AA115" s="3" t="s">
        <v>301</v>
      </c>
      <c r="AC115" s="3" t="str">
        <f>_xlfn.TEXTJOIN(",",1,tb_diy_08[[#This Row],[v1]],tb_diy_08[[#This Row],[v2]])</f>
        <v>0.31</v>
      </c>
      <c r="AD115" s="29">
        <v>0.31</v>
      </c>
      <c r="AE115" s="29" t="s">
        <v>237</v>
      </c>
      <c r="AG115" s="3" t="e" cm="1">
        <f t="array" ref="AG115">INDEX(TRANSPOSE(_xlfn.TEXTSPLIT(_xlfn.XLOOKUP(AF115,$AF$7:$AF$18,$AG$7:$AG$18),";")),COUNTIF($AF$38:$AF115,$AF115))</f>
        <v>#N/A</v>
      </c>
      <c r="AH115" s="3" t="e" cm="1">
        <f t="array" ref="AH115">_xlfn.TEXTSPLIT(AG115,"=")</f>
        <v>#N/A</v>
      </c>
    </row>
    <row r="116" spans="25:34">
      <c r="Y116" s="3">
        <v>201819</v>
      </c>
      <c r="Z116" s="10" t="str">
        <f>_xlfn.XLOOKUP(tb_diy_08[[#This Row],[id]],monster!A:A,monster!D:D,"",0)</f>
        <v>凶猛海贝</v>
      </c>
      <c r="AA116" s="3" t="s">
        <v>334</v>
      </c>
      <c r="AB116" s="5" t="s">
        <v>335</v>
      </c>
      <c r="AC116" s="3" t="str">
        <f>_xlfn.TEXTJOIN(",",1,tb_diy_08[[#This Row],[v1]],tb_diy_08[[#This Row],[v2]])</f>
        <v>1,2</v>
      </c>
      <c r="AD116" s="29">
        <v>1</v>
      </c>
      <c r="AE116" s="29">
        <v>2</v>
      </c>
      <c r="AG116" s="3" t="e" cm="1">
        <f t="array" ref="AG116">INDEX(TRANSPOSE(_xlfn.TEXTSPLIT(_xlfn.XLOOKUP(AF116,$AF$7:$AF$18,$AG$7:$AG$18),";")),COUNTIF($AF$38:$AF116,$AF116))</f>
        <v>#N/A</v>
      </c>
      <c r="AH116" s="3" t="e" cm="1">
        <f t="array" ref="AH116">_xlfn.TEXTSPLIT(AG116,"=")</f>
        <v>#N/A</v>
      </c>
    </row>
    <row r="117" spans="25:34">
      <c r="Y117" s="3">
        <v>201819</v>
      </c>
      <c r="Z117" s="10" t="str">
        <f>_xlfn.XLOOKUP(tb_diy_08[[#This Row],[id]],monster!A:A,monster!D:D,"",0)</f>
        <v>凶猛海贝</v>
      </c>
      <c r="AA117" s="3" t="s">
        <v>303</v>
      </c>
      <c r="AB117" s="5" t="s">
        <v>336</v>
      </c>
      <c r="AC117" s="3" t="str">
        <f>_xlfn.TEXTJOIN(",",1,tb_diy_08[[#This Row],[v1]],tb_diy_08[[#This Row],[v2]])</f>
        <v>22</v>
      </c>
      <c r="AD117" s="29">
        <v>22</v>
      </c>
      <c r="AE117" s="29" t="s">
        <v>237</v>
      </c>
      <c r="AG117" s="3" t="e" cm="1">
        <f t="array" ref="AG117">INDEX(TRANSPOSE(_xlfn.TEXTSPLIT(_xlfn.XLOOKUP(AF117,$AF$7:$AF$18,$AG$7:$AG$18),";")),COUNTIF($AF$38:$AF117,$AF117))</f>
        <v>#N/A</v>
      </c>
      <c r="AH117" s="3" t="e" cm="1">
        <f t="array" ref="AH117">_xlfn.TEXTSPLIT(AG117,"=")</f>
        <v>#N/A</v>
      </c>
    </row>
    <row r="118" spans="25:34">
      <c r="Y118" s="3">
        <v>201819</v>
      </c>
      <c r="Z118" s="10" t="str">
        <f>_xlfn.XLOOKUP(tb_diy_08[[#This Row],[id]],monster!A:A,monster!D:D,"",0)</f>
        <v>凶猛海贝</v>
      </c>
      <c r="AA118" s="3" t="s">
        <v>304</v>
      </c>
      <c r="AC118" s="3" t="str">
        <f>_xlfn.TEXTJOIN(",",1,tb_diy_08[[#This Row],[v1]],tb_diy_08[[#This Row],[v2]])</f>
        <v>1,2</v>
      </c>
      <c r="AD118" s="29">
        <v>1</v>
      </c>
      <c r="AE118" s="29">
        <v>2</v>
      </c>
      <c r="AG118" s="3" t="e" cm="1">
        <f t="array" ref="AG118">INDEX(TRANSPOSE(_xlfn.TEXTSPLIT(_xlfn.XLOOKUP(AF118,$AF$7:$AF$18,$AG$7:$AG$18),";")),COUNTIF($AF$38:$AF118,$AF118))</f>
        <v>#N/A</v>
      </c>
      <c r="AH118" s="3" t="e" cm="1">
        <f t="array" ref="AH118">_xlfn.TEXTSPLIT(AG118,"=")</f>
        <v>#N/A</v>
      </c>
    </row>
    <row r="119" spans="25:34">
      <c r="Y119" s="41">
        <v>201820</v>
      </c>
      <c r="Z119" s="42" t="str">
        <f>_xlfn.XLOOKUP(tb_diy_08[[#This Row],[id]],monster!A:A,monster!D:D,"",0)</f>
        <v>小·印花水母</v>
      </c>
      <c r="AA119" s="41" t="s">
        <v>259</v>
      </c>
      <c r="AC119" s="41" t="str">
        <f>_xlfn.TEXTJOIN(",",1,tb_diy_08[[#This Row],[v1]],tb_diy_08[[#This Row],[v2]])</f>
        <v>10,170</v>
      </c>
      <c r="AD119" s="43">
        <v>10</v>
      </c>
      <c r="AE119" s="43">
        <v>170</v>
      </c>
      <c r="AG119" s="3" t="e" cm="1">
        <f t="array" ref="AG119">INDEX(TRANSPOSE(_xlfn.TEXTSPLIT(_xlfn.XLOOKUP(AF119,$AF$7:$AF$18,$AG$7:$AG$18),";")),COUNTIF($AF$38:$AF119,$AF119))</f>
        <v>#N/A</v>
      </c>
      <c r="AH119" s="3" t="e" cm="1">
        <f t="array" ref="AH119">_xlfn.TEXTSPLIT(AG119,"=")</f>
        <v>#N/A</v>
      </c>
    </row>
    <row r="120" spans="25:34">
      <c r="Y120" s="41">
        <v>201820</v>
      </c>
      <c r="Z120" s="42" t="str">
        <f>_xlfn.XLOOKUP(tb_diy_08[[#This Row],[id]],monster!A:A,monster!D:D,"",0)</f>
        <v>小·印花水母</v>
      </c>
      <c r="AA120" s="41" t="s">
        <v>262</v>
      </c>
      <c r="AC120" s="41" t="str">
        <f>_xlfn.TEXTJOIN(",",1,tb_diy_08[[#This Row],[v1]],tb_diy_08[[#This Row],[v2]])</f>
        <v>8,12</v>
      </c>
      <c r="AD120" s="43">
        <v>8</v>
      </c>
      <c r="AE120" s="43">
        <v>12</v>
      </c>
      <c r="AG120" s="3" t="e" cm="1">
        <f t="array" ref="AG120">INDEX(TRANSPOSE(_xlfn.TEXTSPLIT(_xlfn.XLOOKUP(AF120,$AF$7:$AF$18,$AG$7:$AG$18),";")),COUNTIF($AF$38:$AF120,$AF120))</f>
        <v>#N/A</v>
      </c>
      <c r="AH120" s="3" t="e" cm="1">
        <f t="array" ref="AH120">_xlfn.TEXTSPLIT(AG120,"=")</f>
        <v>#N/A</v>
      </c>
    </row>
    <row r="121" spans="25:34">
      <c r="Y121" s="41">
        <v>201820</v>
      </c>
      <c r="Z121" s="42" t="str">
        <f>_xlfn.XLOOKUP(tb_diy_08[[#This Row],[id]],monster!A:A,monster!D:D,"",0)</f>
        <v>小·印花水母</v>
      </c>
      <c r="AA121" s="41" t="s">
        <v>325</v>
      </c>
      <c r="AC121" s="41" t="str">
        <f>_xlfn.TEXTJOIN(",",1,tb_diy_08[[#This Row],[v1]],tb_diy_08[[#This Row],[v2]])</f>
        <v>1</v>
      </c>
      <c r="AD121" s="43">
        <v>1</v>
      </c>
      <c r="AE121" s="43" t="s">
        <v>237</v>
      </c>
      <c r="AG121" s="3" t="e" cm="1">
        <f t="array" ref="AG121">INDEX(TRANSPOSE(_xlfn.TEXTSPLIT(_xlfn.XLOOKUP(AF121,$AF$7:$AF$18,$AG$7:$AG$18),";")),COUNTIF($AF$38:$AF121,$AF121))</f>
        <v>#N/A</v>
      </c>
      <c r="AH121" s="3" t="e" cm="1">
        <f t="array" ref="AH121">_xlfn.TEXTSPLIT(AG121,"=")</f>
        <v>#N/A</v>
      </c>
    </row>
    <row r="122" spans="25:34">
      <c r="Y122" s="41">
        <v>201820</v>
      </c>
      <c r="Z122" s="42" t="str">
        <f>_xlfn.XLOOKUP(tb_diy_08[[#This Row],[id]],monster!A:A,monster!D:D,"",0)</f>
        <v>小·印花水母</v>
      </c>
      <c r="AA122" s="41" t="s">
        <v>258</v>
      </c>
      <c r="AC122" s="41" t="str">
        <f>_xlfn.TEXTJOIN(",",1,tb_diy_08[[#This Row],[v1]],tb_diy_08[[#This Row],[v2]])</f>
        <v>11</v>
      </c>
      <c r="AD122" s="43">
        <v>11</v>
      </c>
      <c r="AE122" s="43" t="s">
        <v>237</v>
      </c>
      <c r="AG122" s="3" t="e" cm="1">
        <f t="array" ref="AG122">INDEX(TRANSPOSE(_xlfn.TEXTSPLIT(_xlfn.XLOOKUP(AF122,$AF$7:$AF$18,$AG$7:$AG$18),";")),COUNTIF($AF$38:$AF122,$AF122))</f>
        <v>#N/A</v>
      </c>
      <c r="AH122" s="3" t="e" cm="1">
        <f t="array" ref="AH122">_xlfn.TEXTSPLIT(AG122,"=")</f>
        <v>#N/A</v>
      </c>
    </row>
    <row r="123" spans="25:34">
      <c r="Y123" s="41">
        <v>201820</v>
      </c>
      <c r="Z123" s="42" t="str">
        <f>_xlfn.XLOOKUP(tb_diy_08[[#This Row],[id]],monster!A:A,monster!D:D,"",0)</f>
        <v>小·印花水母</v>
      </c>
      <c r="AA123" s="41" t="s">
        <v>327</v>
      </c>
      <c r="AC123" s="41" t="str">
        <f>_xlfn.TEXTJOIN(",",1,tb_diy_08[[#This Row],[v1]],tb_diy_08[[#This Row],[v2]])</f>
        <v>2.8</v>
      </c>
      <c r="AD123" s="43">
        <v>2.8</v>
      </c>
      <c r="AE123" s="43" t="s">
        <v>237</v>
      </c>
      <c r="AG123" s="3" t="e" cm="1">
        <f t="array" ref="AG123">INDEX(TRANSPOSE(_xlfn.TEXTSPLIT(_xlfn.XLOOKUP(AF123,$AF$7:$AF$18,$AG$7:$AG$18),";")),COUNTIF($AF$38:$AF123,$AF123))</f>
        <v>#N/A</v>
      </c>
      <c r="AH123" s="3" t="e" cm="1">
        <f t="array" ref="AH123">_xlfn.TEXTSPLIT(AG123,"=")</f>
        <v>#N/A</v>
      </c>
    </row>
    <row r="124" spans="25:34">
      <c r="Y124" s="41">
        <v>201820</v>
      </c>
      <c r="Z124" s="42" t="str">
        <f>_xlfn.XLOOKUP(tb_diy_08[[#This Row],[id]],monster!A:A,monster!D:D,"",0)</f>
        <v>小·印花水母</v>
      </c>
      <c r="AA124" s="41" t="s">
        <v>274</v>
      </c>
      <c r="AC124" s="41" t="str">
        <f>_xlfn.TEXTJOIN(",",1,tb_diy_08[[#This Row],[v1]],tb_diy_08[[#This Row],[v2]])</f>
        <v>0.6</v>
      </c>
      <c r="AD124" s="43">
        <v>0.6</v>
      </c>
      <c r="AE124" s="43" t="s">
        <v>237</v>
      </c>
      <c r="AG124" s="3" t="e" cm="1">
        <f t="array" ref="AG124">INDEX(TRANSPOSE(_xlfn.TEXTSPLIT(_xlfn.XLOOKUP(AF124,$AF$7:$AF$18,$AG$7:$AG$18),";")),COUNTIF($AF$38:$AF124,$AF124))</f>
        <v>#N/A</v>
      </c>
      <c r="AH124" s="3" t="e" cm="1">
        <f t="array" ref="AH124">_xlfn.TEXTSPLIT(AG124,"=")</f>
        <v>#N/A</v>
      </c>
    </row>
    <row r="125" spans="25:34">
      <c r="Y125" s="41">
        <v>201821</v>
      </c>
      <c r="Z125" s="42" t="str">
        <f>_xlfn.XLOOKUP(tb_diy_08[[#This Row],[id]],monster!A:A,monster!D:D,"",0)</f>
        <v>小·聒噪海贝</v>
      </c>
      <c r="AA125" s="41" t="s">
        <v>301</v>
      </c>
      <c r="AC125" s="41" t="str">
        <f>_xlfn.TEXTJOIN(",",1,tb_diy_08[[#This Row],[v1]],tb_diy_08[[#This Row],[v2]])</f>
        <v>0.58</v>
      </c>
      <c r="AD125" s="43">
        <v>0.58</v>
      </c>
      <c r="AE125" s="43" t="s">
        <v>237</v>
      </c>
      <c r="AG125" s="3" t="e" cm="1">
        <f t="array" ref="AG125">INDEX(TRANSPOSE(_xlfn.TEXTSPLIT(_xlfn.XLOOKUP(AF125,$AF$7:$AF$18,$AG$7:$AG$18),";")),COUNTIF($AF$38:$AF125,$AF125))</f>
        <v>#N/A</v>
      </c>
      <c r="AH125" s="3" t="e" cm="1">
        <f t="array" ref="AH125">_xlfn.TEXTSPLIT(AG125,"=")</f>
        <v>#N/A</v>
      </c>
    </row>
    <row r="126" spans="25:34">
      <c r="Y126" s="41">
        <v>201821</v>
      </c>
      <c r="Z126" s="42" t="str">
        <f>_xlfn.XLOOKUP(tb_diy_08[[#This Row],[id]],monster!A:A,monster!D:D,"",0)</f>
        <v>小·聒噪海贝</v>
      </c>
      <c r="AA126" s="41" t="s">
        <v>334</v>
      </c>
      <c r="AB126" s="5" t="s">
        <v>335</v>
      </c>
      <c r="AC126" s="41" t="str">
        <f>_xlfn.TEXTJOIN(",",1,tb_diy_08[[#This Row],[v1]],tb_diy_08[[#This Row],[v2]])</f>
        <v>1,2</v>
      </c>
      <c r="AD126" s="43">
        <v>1</v>
      </c>
      <c r="AE126" s="43">
        <v>2</v>
      </c>
      <c r="AG126" s="3" t="e" cm="1">
        <f t="array" ref="AG126">INDEX(TRANSPOSE(_xlfn.TEXTSPLIT(_xlfn.XLOOKUP(AF126,$AF$7:$AF$18,$AG$7:$AG$18),";")),COUNTIF($AF$38:$AF126,$AF126))</f>
        <v>#N/A</v>
      </c>
      <c r="AH126" s="3" t="e" cm="1">
        <f t="array" ref="AH126">_xlfn.TEXTSPLIT(AG126,"=")</f>
        <v>#N/A</v>
      </c>
    </row>
    <row r="127" spans="25:34">
      <c r="Y127" s="41">
        <v>201821</v>
      </c>
      <c r="Z127" s="42" t="str">
        <f>_xlfn.XLOOKUP(tb_diy_08[[#This Row],[id]],monster!A:A,monster!D:D,"",0)</f>
        <v>小·聒噪海贝</v>
      </c>
      <c r="AA127" s="41" t="s">
        <v>303</v>
      </c>
      <c r="AB127" s="5" t="s">
        <v>336</v>
      </c>
      <c r="AC127" s="41" t="str">
        <f>_xlfn.TEXTJOIN(",",1,tb_diy_08[[#This Row],[v1]],tb_diy_08[[#This Row],[v2]])</f>
        <v>10</v>
      </c>
      <c r="AD127" s="43">
        <v>10</v>
      </c>
      <c r="AE127" s="43" t="s">
        <v>237</v>
      </c>
      <c r="AG127" s="3" t="e" cm="1">
        <f t="array" ref="AG127">INDEX(TRANSPOSE(_xlfn.TEXTSPLIT(_xlfn.XLOOKUP(AF127,$AF$7:$AF$18,$AG$7:$AG$18),";")),COUNTIF($AF$38:$AF127,$AF127))</f>
        <v>#N/A</v>
      </c>
      <c r="AH127" s="3" t="e" cm="1">
        <f t="array" ref="AH127">_xlfn.TEXTSPLIT(AG127,"=")</f>
        <v>#N/A</v>
      </c>
    </row>
    <row r="128" spans="25:34">
      <c r="Y128" s="41">
        <v>201821</v>
      </c>
      <c r="Z128" s="42" t="str">
        <f>_xlfn.XLOOKUP(tb_diy_08[[#This Row],[id]],monster!A:A,monster!D:D,"",0)</f>
        <v>小·聒噪海贝</v>
      </c>
      <c r="AA128" s="41" t="s">
        <v>304</v>
      </c>
      <c r="AC128" s="41" t="str">
        <f>_xlfn.TEXTJOIN(",",1,tb_diy_08[[#This Row],[v1]],tb_diy_08[[#This Row],[v2]])</f>
        <v>0.8,1.7</v>
      </c>
      <c r="AD128" s="43">
        <v>0.8</v>
      </c>
      <c r="AE128" s="43">
        <v>1.7</v>
      </c>
    </row>
    <row r="129" spans="25:31">
      <c r="Y129" s="41">
        <v>201822</v>
      </c>
      <c r="Z129" s="42" t="str">
        <f>_xlfn.XLOOKUP(tb_diy_08[[#This Row],[id]],monster!A:A,monster!D:D,"",0)</f>
        <v>小·海藻小妖</v>
      </c>
      <c r="AA129" s="41" t="s">
        <v>259</v>
      </c>
      <c r="AC129" s="41" t="str">
        <f>_xlfn.TEXTJOIN(",",1,tb_diy_08[[#This Row],[v1]],tb_diy_08[[#This Row],[v2]])</f>
        <v>35,145</v>
      </c>
      <c r="AD129" s="43">
        <v>35</v>
      </c>
      <c r="AE129" s="43">
        <v>145</v>
      </c>
    </row>
    <row r="130" spans="25:31">
      <c r="Y130" s="41">
        <v>201822</v>
      </c>
      <c r="Z130" s="42" t="str">
        <f>_xlfn.XLOOKUP(tb_diy_08[[#This Row],[id]],monster!A:A,monster!D:D,"",0)</f>
        <v>小·海藻小妖</v>
      </c>
      <c r="AA130" s="41" t="s">
        <v>262</v>
      </c>
      <c r="AB130" s="5" t="s">
        <v>263</v>
      </c>
      <c r="AC130" s="41" t="str">
        <f>_xlfn.TEXTJOIN(",",1,tb_diy_08[[#This Row],[v1]],tb_diy_08[[#This Row],[v2]])</f>
        <v>6,9</v>
      </c>
      <c r="AD130" s="43">
        <v>6</v>
      </c>
      <c r="AE130" s="43">
        <v>9</v>
      </c>
    </row>
    <row r="131" spans="25:31">
      <c r="Y131" s="41">
        <v>201822</v>
      </c>
      <c r="Z131" s="42" t="str">
        <f>_xlfn.XLOOKUP(tb_diy_08[[#This Row],[id]],monster!A:A,monster!D:D,"",0)</f>
        <v>小·海藻小妖</v>
      </c>
      <c r="AA131" s="41" t="s">
        <v>265</v>
      </c>
      <c r="AC131" s="41" t="str">
        <f>_xlfn.TEXTJOIN(",",1,tb_diy_08[[#This Row],[v1]],tb_diy_08[[#This Row],[v2]])</f>
        <v>3</v>
      </c>
      <c r="AD131" s="43">
        <v>3</v>
      </c>
      <c r="AE131" s="43" t="s">
        <v>237</v>
      </c>
    </row>
    <row r="132" spans="25:31">
      <c r="Y132" s="41">
        <v>201822</v>
      </c>
      <c r="Z132" s="42" t="str">
        <f>_xlfn.XLOOKUP(tb_diy_08[[#This Row],[id]],monster!A:A,monster!D:D,"",0)</f>
        <v>小·海藻小妖</v>
      </c>
      <c r="AA132" s="41" t="s">
        <v>270</v>
      </c>
      <c r="AC132" s="41" t="str">
        <f>_xlfn.TEXTJOIN(",",1,tb_diy_08[[#This Row],[v1]],tb_diy_08[[#This Row],[v2]])</f>
        <v>1</v>
      </c>
      <c r="AD132" s="43">
        <v>1</v>
      </c>
      <c r="AE132" s="43" t="s">
        <v>237</v>
      </c>
    </row>
    <row r="133" spans="25:31">
      <c r="Y133" s="41">
        <v>201822</v>
      </c>
      <c r="Z133" s="42" t="str">
        <f>_xlfn.XLOOKUP(tb_diy_08[[#This Row],[id]],monster!A:A,monster!D:D,"",0)</f>
        <v>小·海藻小妖</v>
      </c>
      <c r="AA133" s="41" t="s">
        <v>271</v>
      </c>
      <c r="AB133" s="5" t="s">
        <v>272</v>
      </c>
      <c r="AC133" s="41" t="str">
        <f>_xlfn.TEXTJOIN(",",1,tb_diy_08[[#This Row],[v1]],tb_diy_08[[#This Row],[v2]])</f>
        <v>1,2</v>
      </c>
      <c r="AD133" s="43">
        <v>1</v>
      </c>
      <c r="AE133" s="43">
        <v>2</v>
      </c>
    </row>
    <row r="134" spans="25:31">
      <c r="Y134" s="41">
        <v>201822</v>
      </c>
      <c r="Z134" s="42" t="str">
        <f>_xlfn.XLOOKUP(tb_diy_08[[#This Row],[id]],monster!A:A,monster!D:D,"",0)</f>
        <v>小·海藻小妖</v>
      </c>
      <c r="AA134" s="41" t="s">
        <v>274</v>
      </c>
      <c r="AC134" s="41" t="str">
        <f>_xlfn.TEXTJOIN(",",1,tb_diy_08[[#This Row],[v1]],tb_diy_08[[#This Row],[v2]])</f>
        <v>0.2</v>
      </c>
      <c r="AD134" s="43">
        <v>0.2</v>
      </c>
      <c r="AE134" s="43" t="s">
        <v>237</v>
      </c>
    </row>
    <row r="135" spans="25:31">
      <c r="Y135" s="41">
        <v>201822</v>
      </c>
      <c r="Z135" s="42" t="str">
        <f>_xlfn.XLOOKUP(tb_diy_08[[#This Row],[id]],monster!A:A,monster!D:D,"",0)</f>
        <v>小·海藻小妖</v>
      </c>
      <c r="AA135" s="41" t="s">
        <v>276</v>
      </c>
      <c r="AC135" s="41" t="str">
        <f>_xlfn.TEXTJOIN(",",1,tb_diy_08[[#This Row],[v1]],tb_diy_08[[#This Row],[v2]])</f>
        <v>0.5</v>
      </c>
      <c r="AD135" s="43">
        <v>0.5</v>
      </c>
      <c r="AE135" s="43" t="s">
        <v>237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D78"/>
  <sheetViews>
    <sheetView workbookViewId="0">
      <pane xSplit="6" ySplit="1" topLeftCell="G38" activePane="bottomRight" state="frozen"/>
      <selection/>
      <selection pane="topRight"/>
      <selection pane="bottomLeft"/>
      <selection pane="bottomRight" activeCell="J63" sqref="J63"/>
    </sheetView>
  </sheetViews>
  <sheetFormatPr defaultColWidth="9" defaultRowHeight="14.25"/>
  <cols>
    <col min="1" max="1" width="9" style="3"/>
    <col min="2" max="2" width="13.625" style="26" customWidth="1"/>
    <col min="3" max="3" width="5.5" style="27" customWidth="1"/>
    <col min="4" max="5" width="6.875" style="27" customWidth="1"/>
    <col min="6" max="6" width="1.875" style="28" customWidth="1"/>
    <col min="7" max="15" width="9" style="3"/>
    <col min="16" max="16" width="9" style="3" customWidth="1"/>
    <col min="17" max="17" width="9" style="3"/>
    <col min="18" max="18" width="9" style="3" customWidth="1"/>
    <col min="19" max="19" width="1.875" style="28" customWidth="1"/>
    <col min="20" max="20" width="53" style="10" customWidth="1"/>
    <col min="21" max="21" width="1.875" style="28" customWidth="1"/>
    <col min="22" max="22" width="14.875" style="10" customWidth="1"/>
    <col min="23" max="23" width="1.875" style="28" customWidth="1"/>
    <col min="24" max="16384" width="9" style="3"/>
  </cols>
  <sheetData>
    <row r="1" ht="28.5" spans="1:30">
      <c r="A1" s="29" t="s">
        <v>345</v>
      </c>
      <c r="C1" s="30" t="s">
        <v>346</v>
      </c>
      <c r="D1" s="31" t="s">
        <v>347</v>
      </c>
      <c r="E1" s="31" t="s">
        <v>348</v>
      </c>
      <c r="G1" s="29" t="s">
        <v>349</v>
      </c>
      <c r="H1" s="29" t="s">
        <v>350</v>
      </c>
      <c r="I1" s="29" t="s">
        <v>351</v>
      </c>
      <c r="J1" s="29" t="s">
        <v>352</v>
      </c>
      <c r="K1" s="29" t="s">
        <v>353</v>
      </c>
      <c r="L1" s="29" t="s">
        <v>354</v>
      </c>
      <c r="M1" s="32" t="s">
        <v>355</v>
      </c>
      <c r="N1" s="32" t="s">
        <v>356</v>
      </c>
      <c r="O1" s="32" t="s">
        <v>357</v>
      </c>
      <c r="P1" s="32" t="s">
        <v>358</v>
      </c>
      <c r="Q1" s="32" t="s">
        <v>359</v>
      </c>
      <c r="R1" s="32" t="s">
        <v>360</v>
      </c>
      <c r="T1" s="33" t="s">
        <v>361</v>
      </c>
      <c r="V1" s="33" t="s">
        <v>362</v>
      </c>
    </row>
    <row r="2" spans="1:30">
      <c r="A2" s="3">
        <v>201101</v>
      </c>
      <c r="B2" s="26" t="str">
        <f>VLOOKUP(A2,monster!A:D,4,0)</f>
        <v>地宫蝙蝠</v>
      </c>
      <c r="C2" s="27">
        <f>_xlfn.XLOOKUP(A2,monster!A:A,monster!H:H)</f>
        <v>26</v>
      </c>
      <c r="D2" s="27" cm="1">
        <f t="array" ref="D2">_xlfn.LET(_xlpm.arr_loot,G2:L2,_xlpm.arr_odds,M2:R2*$AB$8,SUM(IF(_xlpm.arr_loot&lt;&gt;"",VLOOKUP(_xlpm.arr_loot,table_loot[#All],3,0)*_xlpm.arr_odds,0)))</f>
        <v>0</v>
      </c>
      <c r="E2" s="27">
        <f t="shared" ref="E2:E33" si="0">IF(AND(A2&lt;&gt;"",G2&lt;&gt;""),D2*$AB$9-C2,"——")</f>
        <v>-26</v>
      </c>
      <c r="G2" s="3">
        <v>10000</v>
      </c>
      <c r="H2" s="3">
        <v>600109</v>
      </c>
      <c r="M2" s="3">
        <v>48</v>
      </c>
      <c r="N2" s="3">
        <v>1</v>
      </c>
      <c r="T2" s="34" t="str" cm="1">
        <f t="array" ref="T2">_xlfn.LET(_xlpm.arr_loot,G2:L2,_xlpm.arr_odds,M2:R2*$AB$8,_xlfn.TEXTJOIN("; ",1,IF(_xlpm.arr_loot&lt;&gt;"",VLOOKUP(_xlpm.arr_loot,table_loot[#All],2,0)&amp;":"&amp;TEXT(_xlpm.arr_odds,"0.00%"),"")))</f>
        <v>通用钱币:0.48%; 地宫怪物肉:0.01%</v>
      </c>
      <c r="V2" s="10" t="str" cm="1">
        <f t="array" ref="V2">_xlfn.LET(_xlpm.arr_loot,G2:L2,_xlpm.arr_odds,M2:R2*$AB$8,_xlfn.TEXTJOIN(";",1,IF(_xlpm.arr_loot&lt;&gt;"",_xlpm.arr_loot&amp;"="&amp;_xlpm.arr_odds,"")))</f>
        <v>10000=0.0048;600109=0.0001</v>
      </c>
    </row>
    <row r="3" spans="1:30">
      <c r="A3" s="3">
        <v>201102</v>
      </c>
      <c r="B3" s="26" t="str">
        <f>VLOOKUP(A3,monster!A:D,4,0)</f>
        <v>自爆甲虫</v>
      </c>
      <c r="C3" s="27">
        <f>_xlfn.XLOOKUP(A3,monster!A:A,monster!H:H)</f>
        <v>2</v>
      </c>
      <c r="D3" s="27" cm="1">
        <f t="array" ref="D3">_xlfn.LET(_xlpm.arr_loot,G3:L3,_xlpm.arr_odds,M3:R3*$AB$8,SUM(IF(_xlpm.arr_loot&lt;&gt;"",VLOOKUP(_xlpm.arr_loot,table_loot[#All],3,0)*_xlpm.arr_odds,0)))</f>
        <v>0</v>
      </c>
      <c r="E3" s="27" t="str">
        <f t="shared" si="0"/>
        <v>——</v>
      </c>
      <c r="T3" s="34" t="str" cm="1">
        <f t="array" ref="T3">_xlfn.LET(_xlpm.arr_loot,G3:L3,_xlpm.arr_odds,M3:R3*$AB$8,_xlfn.TEXTJOIN("; ",1,IF(_xlpm.arr_loot&lt;&gt;"",VLOOKUP(_xlpm.arr_loot,table_loot[#All],2,0)&amp;":"&amp;TEXT(_xlpm.arr_odds,"0.00%"),"")))</f>
        <v/>
      </c>
      <c r="V3" s="10" t="str" cm="1">
        <f t="array" ref="V3">_xlfn.LET(_xlpm.arr_loot,G3:L3,_xlpm.arr_odds,M3:R3*$AB$8,_xlfn.TEXTJOIN(";",1,IF(_xlpm.arr_loot&lt;&gt;"",_xlpm.arr_loot&amp;"="&amp;_xlpm.arr_odds,"")))</f>
        <v/>
      </c>
    </row>
    <row r="4" spans="1:30">
      <c r="A4" s="3">
        <v>201103</v>
      </c>
      <c r="B4" s="26" t="str">
        <f>VLOOKUP(A4,monster!A:D,4,0)</f>
        <v>跳虫</v>
      </c>
      <c r="C4" s="27">
        <f>_xlfn.XLOOKUP(A4,monster!A:A,monster!H:H)</f>
        <v>44</v>
      </c>
      <c r="D4" s="27" cm="1">
        <f t="array" ref="D4">_xlfn.LET(_xlpm.arr_loot,G4:L4,_xlpm.arr_odds,M4:R4*$AB$8,SUM(IF(_xlpm.arr_loot&lt;&gt;"",VLOOKUP(_xlpm.arr_loot,table_loot[#All],3,0)*_xlpm.arr_odds,0)))</f>
        <v>0</v>
      </c>
      <c r="E4" s="27">
        <f t="shared" si="0"/>
        <v>-44</v>
      </c>
      <c r="G4" s="3">
        <v>10000</v>
      </c>
      <c r="H4" s="3">
        <v>600109</v>
      </c>
      <c r="M4" s="3">
        <v>48</v>
      </c>
      <c r="N4" s="3">
        <v>1</v>
      </c>
      <c r="T4" s="34" t="str" cm="1">
        <f t="array" ref="T4">_xlfn.LET(_xlpm.arr_loot,G4:L4,_xlpm.arr_odds,M4:R4*$AB$8,_xlfn.TEXTJOIN("; ",1,IF(_xlpm.arr_loot&lt;&gt;"",VLOOKUP(_xlpm.arr_loot,table_loot[#All],2,0)&amp;":"&amp;TEXT(_xlpm.arr_odds,"0.00%"),"")))</f>
        <v>通用钱币:0.48%; 地宫怪物肉:0.01%</v>
      </c>
      <c r="V4" s="10" t="str" cm="1">
        <f t="array" ref="V4">_xlfn.LET(_xlpm.arr_loot,G4:L4,_xlpm.arr_odds,M4:R4*$AB$8,_xlfn.TEXTJOIN(";",1,IF(_xlpm.arr_loot&lt;&gt;"",_xlpm.arr_loot&amp;"="&amp;_xlpm.arr_odds,"")))</f>
        <v>10000=0.0048;600109=0.0001</v>
      </c>
    </row>
    <row r="5" spans="1:30">
      <c r="A5" s="3">
        <v>201104</v>
      </c>
      <c r="B5" s="26" t="str">
        <f>VLOOKUP(A5,monster!A:D,4,0)</f>
        <v>地宫洞穴人</v>
      </c>
      <c r="C5" s="27">
        <f>_xlfn.XLOOKUP(A5,monster!A:A,monster!H:H)</f>
        <v>66</v>
      </c>
      <c r="D5" s="27" cm="1">
        <f t="array" ref="D5">_xlfn.LET(_xlpm.arr_loot,G5:L5,_xlpm.arr_odds,M5:R5*$AB$8,SUM(IF(_xlpm.arr_loot&lt;&gt;"",VLOOKUP(_xlpm.arr_loot,table_loot[#All],3,0)*_xlpm.arr_odds,0)))</f>
        <v>0</v>
      </c>
      <c r="E5" s="27">
        <f t="shared" si="0"/>
        <v>-66</v>
      </c>
      <c r="G5" s="3">
        <v>10000</v>
      </c>
      <c r="H5" s="3">
        <v>600109</v>
      </c>
      <c r="M5" s="3">
        <v>48</v>
      </c>
      <c r="N5" s="3">
        <v>1</v>
      </c>
      <c r="T5" s="34" t="str" cm="1">
        <f t="array" ref="T5">_xlfn.LET(_xlpm.arr_loot,G5:L5,_xlpm.arr_odds,M5:R5*$AB$8,_xlfn.TEXTJOIN("; ",1,IF(_xlpm.arr_loot&lt;&gt;"",VLOOKUP(_xlpm.arr_loot,table_loot[#All],2,0)&amp;":"&amp;TEXT(_xlpm.arr_odds,"0.00%"),"")))</f>
        <v>通用钱币:0.48%; 地宫怪物肉:0.01%</v>
      </c>
      <c r="V5" s="10" t="str" cm="1">
        <f t="array" ref="V5">_xlfn.LET(_xlpm.arr_loot,G5:L5,_xlpm.arr_odds,M5:R5*$AB$8,_xlfn.TEXTJOIN(";",1,IF(_xlpm.arr_loot&lt;&gt;"",_xlpm.arr_loot&amp;"="&amp;_xlpm.arr_odds,"")))</f>
        <v>10000=0.0048;600109=0.0001</v>
      </c>
    </row>
    <row r="6" spans="1:30">
      <c r="A6" s="3">
        <v>201105</v>
      </c>
      <c r="B6" s="26" t="str">
        <f>VLOOKUP(A6,monster!A:D,4,0)</f>
        <v>跳虫骑手</v>
      </c>
      <c r="C6" s="27">
        <f>_xlfn.XLOOKUP(A6,monster!A:A,monster!H:H)</f>
        <v>55</v>
      </c>
      <c r="D6" s="27" cm="1">
        <f t="array" ref="D6">_xlfn.LET(_xlpm.arr_loot,G6:L6,_xlpm.arr_odds,M6:R6*$AB$8,SUM(IF(_xlpm.arr_loot&lt;&gt;"",VLOOKUP(_xlpm.arr_loot,table_loot[#All],3,0)*_xlpm.arr_odds,0)))</f>
        <v>0</v>
      </c>
      <c r="E6" s="27" t="str">
        <f t="shared" si="0"/>
        <v>——</v>
      </c>
      <c r="T6" s="34" t="str" cm="1">
        <f t="array" ref="T6">_xlfn.LET(_xlpm.arr_loot,G6:L6,_xlpm.arr_odds,M6:R6*$AB$8,_xlfn.TEXTJOIN("; ",1,IF(_xlpm.arr_loot&lt;&gt;"",VLOOKUP(_xlpm.arr_loot,table_loot[#All],2,0)&amp;":"&amp;TEXT(_xlpm.arr_odds,"0.00%"),"")))</f>
        <v/>
      </c>
      <c r="V6" s="10" t="str" cm="1">
        <f t="array" ref="V6">_xlfn.LET(_xlpm.arr_loot,G6:L6,_xlpm.arr_odds,M6:R6*$AB$8,_xlfn.TEXTJOIN(";",1,IF(_xlpm.arr_loot&lt;&gt;"",_xlpm.arr_loot&amp;"="&amp;_xlpm.arr_odds,"")))</f>
        <v/>
      </c>
    </row>
    <row r="7" spans="1:30">
      <c r="A7" s="3">
        <v>201106</v>
      </c>
      <c r="B7" s="26" t="str">
        <f>VLOOKUP(A7,monster!A:D,4,0)</f>
        <v>蝙蝠骑手</v>
      </c>
      <c r="C7" s="27">
        <f>_xlfn.XLOOKUP(A7,monster!A:A,monster!H:H)</f>
        <v>33</v>
      </c>
      <c r="D7" s="27" cm="1">
        <f t="array" ref="D7">_xlfn.LET(_xlpm.arr_loot,G7:L7,_xlpm.arr_odds,M7:R7*$AB$8,SUM(IF(_xlpm.arr_loot&lt;&gt;"",VLOOKUP(_xlpm.arr_loot,table_loot[#All],3,0)*_xlpm.arr_odds,0)))</f>
        <v>0</v>
      </c>
      <c r="E7" s="27" t="str">
        <f t="shared" si="0"/>
        <v>——</v>
      </c>
      <c r="T7" s="34" t="str" cm="1">
        <f t="array" ref="T7">_xlfn.LET(_xlpm.arr_loot,G7:L7,_xlpm.arr_odds,M7:R7*$AB$8,_xlfn.TEXTJOIN("; ",1,IF(_xlpm.arr_loot&lt;&gt;"",VLOOKUP(_xlpm.arr_loot,table_loot[#All],2,0)&amp;":"&amp;TEXT(_xlpm.arr_odds,"0.00%"),"")))</f>
        <v/>
      </c>
      <c r="V7" s="10" t="str" cm="1">
        <f t="array" ref="V7">_xlfn.LET(_xlpm.arr_loot,G7:L7,_xlpm.arr_odds,M7:R7*$AB$8,_xlfn.TEXTJOIN(";",1,IF(_xlpm.arr_loot&lt;&gt;"",_xlpm.arr_loot&amp;"="&amp;_xlpm.arr_odds,"")))</f>
        <v/>
      </c>
      <c r="Z7" s="35" t="s">
        <v>363</v>
      </c>
      <c r="AA7" s="35"/>
      <c r="AB7" s="36">
        <v>10000</v>
      </c>
      <c r="AC7" s="37" t="s">
        <v>364</v>
      </c>
      <c r="AD7" s="37"/>
    </row>
    <row r="8" spans="1:30">
      <c r="A8" s="3">
        <v>201107</v>
      </c>
      <c r="B8" s="26" t="str">
        <f>VLOOKUP(A8,monster!A:D,4,0)</f>
        <v>流浪洞穴人</v>
      </c>
      <c r="C8" s="27">
        <f>_xlfn.XLOOKUP(A8,monster!A:A,monster!H:H)</f>
        <v>44</v>
      </c>
      <c r="D8" s="27" cm="1">
        <f t="array" ref="D8">_xlfn.LET(_xlpm.arr_loot,G8:L8,_xlpm.arr_odds,M8:R8*$AB$8,SUM(IF(_xlpm.arr_loot&lt;&gt;"",VLOOKUP(_xlpm.arr_loot,table_loot[#All],3,0)*_xlpm.arr_odds,0)))</f>
        <v>0</v>
      </c>
      <c r="E8" s="27">
        <f t="shared" si="0"/>
        <v>-44</v>
      </c>
      <c r="G8" s="3">
        <v>10000</v>
      </c>
      <c r="H8" s="3">
        <v>600109</v>
      </c>
      <c r="M8" s="3">
        <v>48</v>
      </c>
      <c r="N8" s="3">
        <v>1</v>
      </c>
      <c r="T8" s="34" t="str" cm="1">
        <f t="array" ref="T8">_xlfn.LET(_xlpm.arr_loot,G8:L8,_xlpm.arr_odds,M8:R8*$AB$8,_xlfn.TEXTJOIN("; ",1,IF(_xlpm.arr_loot&lt;&gt;"",VLOOKUP(_xlpm.arr_loot,table_loot[#All],2,0)&amp;":"&amp;TEXT(_xlpm.arr_odds,"0.00%"),"")))</f>
        <v>通用钱币:0.48%; 地宫怪物肉:0.01%</v>
      </c>
      <c r="V8" s="10" t="str" cm="1">
        <f t="array" ref="V8">_xlfn.LET(_xlpm.arr_loot,G8:L8,_xlpm.arr_odds,M8:R8*$AB$8,_xlfn.TEXTJOIN(";",1,IF(_xlpm.arr_loot&lt;&gt;"",_xlpm.arr_loot&amp;"="&amp;_xlpm.arr_odds,"")))</f>
        <v>10000=0.0048;600109=0.0001</v>
      </c>
      <c r="Z8" s="35" t="s">
        <v>363</v>
      </c>
      <c r="AA8" s="35"/>
      <c r="AB8" s="38">
        <f>1/AB7</f>
        <v>0.0001</v>
      </c>
      <c r="AC8" s="37" t="s">
        <v>365</v>
      </c>
      <c r="AD8" s="37"/>
    </row>
    <row r="9" spans="1:30">
      <c r="A9" s="3">
        <v>201108</v>
      </c>
      <c r="B9" s="26" t="str">
        <f>VLOOKUP(A9,monster!A:D,4,0)</f>
        <v>纵火洞穴人</v>
      </c>
      <c r="C9" s="27">
        <f>_xlfn.XLOOKUP(A9,monster!A:A,monster!H:H)</f>
        <v>52</v>
      </c>
      <c r="D9" s="27" cm="1">
        <f t="array" ref="D9">_xlfn.LET(_xlpm.arr_loot,G9:L9,_xlpm.arr_odds,M9:R9*$AB$8,SUM(IF(_xlpm.arr_loot&lt;&gt;"",VLOOKUP(_xlpm.arr_loot,table_loot[#All],3,0)*_xlpm.arr_odds,0)))</f>
        <v>0</v>
      </c>
      <c r="E9" s="27">
        <f t="shared" si="0"/>
        <v>-52</v>
      </c>
      <c r="G9" s="3">
        <v>10000</v>
      </c>
      <c r="H9" s="3">
        <v>600109</v>
      </c>
      <c r="M9" s="3">
        <v>48</v>
      </c>
      <c r="N9" s="3">
        <v>1</v>
      </c>
      <c r="T9" s="34" t="str" cm="1">
        <f t="array" ref="T9">_xlfn.LET(_xlpm.arr_loot,G9:L9,_xlpm.arr_odds,M9:R9*$AB$8,_xlfn.TEXTJOIN("; ",1,IF(_xlpm.arr_loot&lt;&gt;"",VLOOKUP(_xlpm.arr_loot,table_loot[#All],2,0)&amp;":"&amp;TEXT(_xlpm.arr_odds,"0.00%"),"")))</f>
        <v>通用钱币:0.48%; 地宫怪物肉:0.01%</v>
      </c>
      <c r="V9" s="10" t="str" cm="1">
        <f t="array" ref="V9">_xlfn.LET(_xlpm.arr_loot,G9:L9,_xlpm.arr_odds,M9:R9*$AB$8,_xlfn.TEXTJOIN(";",1,IF(_xlpm.arr_loot&lt;&gt;"",_xlpm.arr_loot&amp;"="&amp;_xlpm.arr_odds,"")))</f>
        <v>10000=0.0048;600109=0.0001</v>
      </c>
      <c r="Z9" s="35" t="s">
        <v>366</v>
      </c>
      <c r="AA9" s="35"/>
      <c r="AB9" s="36">
        <v>300</v>
      </c>
      <c r="AC9" s="37" t="s">
        <v>367</v>
      </c>
      <c r="AD9" s="37"/>
    </row>
    <row r="10" spans="1:30">
      <c r="A10" s="3">
        <v>201109</v>
      </c>
      <c r="B10" s="26" t="str">
        <f>VLOOKUP(A10,monster!A:D,4,0)</f>
        <v>暴徒洞穴人</v>
      </c>
      <c r="C10" s="27">
        <f>_xlfn.XLOOKUP(A10,monster!A:A,monster!H:H)</f>
        <v>59</v>
      </c>
      <c r="D10" s="27" cm="1">
        <f t="array" ref="D10">_xlfn.LET(_xlpm.arr_loot,G10:L10,_xlpm.arr_odds,M10:R10*$AB$8,SUM(IF(_xlpm.arr_loot&lt;&gt;"",VLOOKUP(_xlpm.arr_loot,table_loot[#All],3,0)*_xlpm.arr_odds,0)))</f>
        <v>0</v>
      </c>
      <c r="E10" s="27">
        <f t="shared" si="0"/>
        <v>-59</v>
      </c>
      <c r="G10" s="3">
        <v>10000</v>
      </c>
      <c r="H10" s="3">
        <v>600109</v>
      </c>
      <c r="M10" s="3">
        <v>48</v>
      </c>
      <c r="N10" s="3">
        <v>1</v>
      </c>
      <c r="T10" s="34" t="str" cm="1">
        <f t="array" ref="T10">_xlfn.LET(_xlpm.arr_loot,G10:L10,_xlpm.arr_odds,M10:R10*$AB$8,_xlfn.TEXTJOIN("; ",1,IF(_xlpm.arr_loot&lt;&gt;"",VLOOKUP(_xlpm.arr_loot,table_loot[#All],2,0)&amp;":"&amp;TEXT(_xlpm.arr_odds,"0.00%"),"")))</f>
        <v>通用钱币:0.48%; 地宫怪物肉:0.01%</v>
      </c>
      <c r="V10" s="10" t="str" cm="1">
        <f t="array" ref="V10">_xlfn.LET(_xlpm.arr_loot,G10:L10,_xlpm.arr_odds,M10:R10*$AB$8,_xlfn.TEXTJOIN(";",1,IF(_xlpm.arr_loot&lt;&gt;"",_xlpm.arr_loot&amp;"="&amp;_xlpm.arr_odds,"")))</f>
        <v>10000=0.0048;600109=0.0001</v>
      </c>
    </row>
    <row r="11" spans="1:30">
      <c r="C11" s="27">
        <f>_xlfn.XLOOKUP(A11,monster!A:A,monster!H:H)</f>
        <v>0</v>
      </c>
      <c r="D11" s="27" cm="1">
        <f t="array" ref="D11">_xlfn.LET(_xlpm.arr_loot,G11:L11,_xlpm.arr_odds,M11:R11*$AB$8,SUM(IF(_xlpm.arr_loot&lt;&gt;"",VLOOKUP(_xlpm.arr_loot,table_loot[#All],3,0)*_xlpm.arr_odds,0)))</f>
        <v>0</v>
      </c>
      <c r="E11" s="27" t="str">
        <f t="shared" si="0"/>
        <v>——</v>
      </c>
      <c r="T11" s="34" t="str" cm="1">
        <f t="array" ref="T11">_xlfn.LET(_xlpm.arr_loot,G11:L11,_xlpm.arr_odds,M11:R11*$AB$8,_xlfn.TEXTJOIN("; ",1,IF(_xlpm.arr_loot&lt;&gt;"",VLOOKUP(_xlpm.arr_loot,table_loot[#All],2,0)&amp;":"&amp;TEXT(_xlpm.arr_odds,"0.00%"),"")))</f>
        <v/>
      </c>
      <c r="V11" s="10" t="str" cm="1">
        <f t="array" ref="V11">_xlfn.LET(_xlpm.arr_loot,G11:L11,_xlpm.arr_odds,M11:R11*$AB$8,_xlfn.TEXTJOIN(";",1,IF(_xlpm.arr_loot&lt;&gt;"",_xlpm.arr_loot&amp;"="&amp;_xlpm.arr_odds,"")))</f>
        <v/>
      </c>
    </row>
    <row r="12" spans="1:30">
      <c r="A12" s="3">
        <v>201401</v>
      </c>
      <c r="B12" s="26" t="str">
        <f>VLOOKUP(A12,monster!A:D,4,0)</f>
        <v>古灯</v>
      </c>
      <c r="C12" s="27">
        <f>_xlfn.XLOOKUP(A12,monster!A:A,monster!H:H)</f>
        <v>19</v>
      </c>
      <c r="D12" s="27" cm="1">
        <f t="array" ref="D12">_xlfn.LET(_xlpm.arr_loot,G12:L12,_xlpm.arr_odds,M12:R12*$AB$8,SUM(IF(_xlpm.arr_loot&lt;&gt;"",VLOOKUP(_xlpm.arr_loot,table_loot[#All],3,0)*_xlpm.arr_odds,0)))</f>
        <v>0</v>
      </c>
      <c r="E12" s="27">
        <f t="shared" si="0"/>
        <v>-19</v>
      </c>
      <c r="G12" s="3">
        <v>10000</v>
      </c>
      <c r="H12" s="3">
        <v>600404</v>
      </c>
      <c r="M12" s="3">
        <v>48</v>
      </c>
      <c r="N12" s="3">
        <v>1</v>
      </c>
      <c r="T12" s="34" t="str" cm="1">
        <f t="array" ref="T12">_xlfn.LET(_xlpm.arr_loot,G12:L12,_xlpm.arr_odds,M12:R12*$AB$8,_xlfn.TEXTJOIN("; ",1,IF(_xlpm.arr_loot&lt;&gt;"",VLOOKUP(_xlpm.arr_loot,table_loot[#All],2,0)&amp;":"&amp;TEXT(_xlpm.arr_odds,"0.00%"),"")))</f>
        <v>通用钱币:0.48%; 腐化粘液:0.01%</v>
      </c>
      <c r="V12" s="10" t="str" cm="1">
        <f t="array" ref="V12">_xlfn.LET(_xlpm.arr_loot,G12:L12,_xlpm.arr_odds,M12:R12*$AB$8,_xlfn.TEXTJOIN(";",1,IF(_xlpm.arr_loot&lt;&gt;"",_xlpm.arr_loot&amp;"="&amp;_xlpm.arr_odds,"")))</f>
        <v>10000=0.0048;600404=0.0001</v>
      </c>
    </row>
    <row r="13" spans="1:30">
      <c r="A13" s="3">
        <v>201402</v>
      </c>
      <c r="B13" s="26" t="str">
        <f>VLOOKUP(A13,monster!A:D,4,0)</f>
        <v>毒刺果实丛</v>
      </c>
      <c r="C13" s="27">
        <f>_xlfn.XLOOKUP(A13,monster!A:A,monster!H:H)</f>
        <v>33</v>
      </c>
      <c r="D13" s="27" cm="1">
        <f t="array" ref="D13">_xlfn.LET(_xlpm.arr_loot,G13:L13,_xlpm.arr_odds,M13:R13*$AB$8,SUM(IF(_xlpm.arr_loot&lt;&gt;"",VLOOKUP(_xlpm.arr_loot,table_loot[#All],3,0)*_xlpm.arr_odds,0)))</f>
        <v>0</v>
      </c>
      <c r="E13" s="27">
        <f t="shared" si="0"/>
        <v>-33</v>
      </c>
      <c r="G13" s="3">
        <v>10000</v>
      </c>
      <c r="H13" s="3">
        <v>600404</v>
      </c>
      <c r="M13" s="3">
        <v>48</v>
      </c>
      <c r="N13" s="3">
        <v>1</v>
      </c>
      <c r="T13" s="34" t="str" cm="1">
        <f t="array" ref="T13">_xlfn.LET(_xlpm.arr_loot,G13:L13,_xlpm.arr_odds,M13:R13*$AB$8,_xlfn.TEXTJOIN("; ",1,IF(_xlpm.arr_loot&lt;&gt;"",VLOOKUP(_xlpm.arr_loot,table_loot[#All],2,0)&amp;":"&amp;TEXT(_xlpm.arr_odds,"0.00%"),"")))</f>
        <v>通用钱币:0.48%; 腐化粘液:0.01%</v>
      </c>
      <c r="V13" s="10" t="str" cm="1">
        <f t="array" ref="V13">_xlfn.LET(_xlpm.arr_loot,G13:L13,_xlpm.arr_odds,M13:R13*$AB$8,_xlfn.TEXTJOIN(";",1,IF(_xlpm.arr_loot&lt;&gt;"",_xlpm.arr_loot&amp;"="&amp;_xlpm.arr_odds,"")))</f>
        <v>10000=0.0048;600404=0.0001</v>
      </c>
    </row>
    <row r="14" spans="1:30">
      <c r="A14" s="3">
        <v>201403</v>
      </c>
      <c r="B14" s="26" t="str">
        <f>VLOOKUP(A14,monster!A:D,4,0)</f>
        <v>毒刺果实</v>
      </c>
      <c r="C14" s="27">
        <f>_xlfn.XLOOKUP(A14,monster!A:A,monster!H:H)</f>
        <v>18</v>
      </c>
      <c r="D14" s="27" cm="1">
        <f t="array" ref="D14">_xlfn.LET(_xlpm.arr_loot,G14:L14,_xlpm.arr_odds,M14:R14*$AB$8,SUM(IF(_xlpm.arr_loot&lt;&gt;"",VLOOKUP(_xlpm.arr_loot,table_loot[#All],3,0)*_xlpm.arr_odds,0)))</f>
        <v>0</v>
      </c>
      <c r="E14" s="27" t="str">
        <f t="shared" si="0"/>
        <v>——</v>
      </c>
      <c r="T14" s="34" t="str" cm="1">
        <f t="array" ref="T14">_xlfn.LET(_xlpm.arr_loot,G14:L14,_xlpm.arr_odds,M14:R14*$AB$8,_xlfn.TEXTJOIN("; ",1,IF(_xlpm.arr_loot&lt;&gt;"",VLOOKUP(_xlpm.arr_loot,table_loot[#All],2,0)&amp;":"&amp;TEXT(_xlpm.arr_odds,"0.00%"),"")))</f>
        <v/>
      </c>
      <c r="V14" s="10" t="str" cm="1">
        <f t="array" ref="V14">_xlfn.LET(_xlpm.arr_loot,G14:L14,_xlpm.arr_odds,M14:R14*$AB$8,_xlfn.TEXTJOIN(";",1,IF(_xlpm.arr_loot&lt;&gt;"",_xlpm.arr_loot&amp;"="&amp;_xlpm.arr_odds,"")))</f>
        <v/>
      </c>
    </row>
    <row r="15" spans="1:30">
      <c r="A15" s="3">
        <v>201404</v>
      </c>
      <c r="B15" s="26" t="str">
        <f>VLOOKUP(A15,monster!A:D,4,0)</f>
        <v>画中仙</v>
      </c>
      <c r="C15" s="27">
        <f>_xlfn.XLOOKUP(A15,monster!A:A,monster!H:H)</f>
        <v>19</v>
      </c>
      <c r="D15" s="27" cm="1">
        <f t="array" ref="D15">_xlfn.LET(_xlpm.arr_loot,G15:L15,_xlpm.arr_odds,M15:R15*$AB$8,SUM(IF(_xlpm.arr_loot&lt;&gt;"",VLOOKUP(_xlpm.arr_loot,table_loot[#All],3,0)*_xlpm.arr_odds,0)))</f>
        <v>0</v>
      </c>
      <c r="E15" s="27">
        <f t="shared" si="0"/>
        <v>-19</v>
      </c>
      <c r="G15" s="3">
        <v>10000</v>
      </c>
      <c r="H15" s="3">
        <v>600404</v>
      </c>
      <c r="M15" s="3">
        <v>48</v>
      </c>
      <c r="N15" s="3">
        <v>1</v>
      </c>
      <c r="T15" s="34" t="str" cm="1">
        <f t="array" ref="T15">_xlfn.LET(_xlpm.arr_loot,G15:L15,_xlpm.arr_odds,M15:R15*$AB$8,_xlfn.TEXTJOIN("; ",1,IF(_xlpm.arr_loot&lt;&gt;"",VLOOKUP(_xlpm.arr_loot,table_loot[#All],2,0)&amp;":"&amp;TEXT(_xlpm.arr_odds,"0.00%"),"")))</f>
        <v>通用钱币:0.48%; 腐化粘液:0.01%</v>
      </c>
      <c r="V15" s="10" t="str" cm="1">
        <f t="array" ref="V15">_xlfn.LET(_xlpm.arr_loot,G15:L15,_xlpm.arr_odds,M15:R15*$AB$8,_xlfn.TEXTJOIN(";",1,IF(_xlpm.arr_loot&lt;&gt;"",_xlpm.arr_loot&amp;"="&amp;_xlpm.arr_odds,"")))</f>
        <v>10000=0.0048;600404=0.0001</v>
      </c>
    </row>
    <row r="16" spans="1:30">
      <c r="A16" s="3">
        <v>201405</v>
      </c>
      <c r="B16" s="26" t="str">
        <f>VLOOKUP(A16,monster!A:D,4,0)</f>
        <v>鱼妖</v>
      </c>
      <c r="C16" s="27">
        <f>_xlfn.XLOOKUP(A16,monster!A:A,monster!H:H)</f>
        <v>10</v>
      </c>
      <c r="D16" s="27" cm="1">
        <f t="array" ref="D16">_xlfn.LET(_xlpm.arr_loot,G16:L16,_xlpm.arr_odds,M16:R16*$AB$8,SUM(IF(_xlpm.arr_loot&lt;&gt;"",VLOOKUP(_xlpm.arr_loot,table_loot[#All],3,0)*_xlpm.arr_odds,0)))</f>
        <v>0</v>
      </c>
      <c r="E16" s="27" t="str">
        <f t="shared" si="0"/>
        <v>——</v>
      </c>
      <c r="T16" s="34" t="str" cm="1">
        <f t="array" ref="T16">_xlfn.LET(_xlpm.arr_loot,G16:L16,_xlpm.arr_odds,M16:R16*$AB$8,_xlfn.TEXTJOIN("; ",1,IF(_xlpm.arr_loot&lt;&gt;"",VLOOKUP(_xlpm.arr_loot,table_loot[#All],2,0)&amp;":"&amp;TEXT(_xlpm.arr_odds,"0.00%"),"")))</f>
        <v/>
      </c>
      <c r="V16" s="10" t="str" cm="1">
        <f t="array" ref="V16">_xlfn.LET(_xlpm.arr_loot,G16:L16,_xlpm.arr_odds,M16:R16*$AB$8,_xlfn.TEXTJOIN(";",1,IF(_xlpm.arr_loot&lt;&gt;"",_xlpm.arr_loot&amp;"="&amp;_xlpm.arr_odds,"")))</f>
        <v/>
      </c>
    </row>
    <row r="17" spans="1:22">
      <c r="A17" s="3">
        <v>201406</v>
      </c>
      <c r="B17" s="26" t="str">
        <f>VLOOKUP(A17,monster!A:D,4,0)</f>
        <v>鬼瓮</v>
      </c>
      <c r="C17" s="27">
        <f>_xlfn.XLOOKUP(A17,monster!A:A,monster!H:H)</f>
        <v>1</v>
      </c>
      <c r="D17" s="27" cm="1">
        <f t="array" ref="D17">_xlfn.LET(_xlpm.arr_loot,G17:L17,_xlpm.arr_odds,M17:R17*$AB$8,SUM(IF(_xlpm.arr_loot&lt;&gt;"",VLOOKUP(_xlpm.arr_loot,table_loot[#All],3,0)*_xlpm.arr_odds,0)))</f>
        <v>0</v>
      </c>
      <c r="E17" s="27">
        <f t="shared" si="0"/>
        <v>-1</v>
      </c>
      <c r="G17" s="3">
        <v>10000</v>
      </c>
      <c r="H17" s="3">
        <v>600404</v>
      </c>
      <c r="M17" s="3">
        <v>48</v>
      </c>
      <c r="N17" s="3">
        <v>1</v>
      </c>
      <c r="T17" s="34" t="str" cm="1">
        <f t="array" ref="T17">_xlfn.LET(_xlpm.arr_loot,G17:L17,_xlpm.arr_odds,M17:R17*$AB$8,_xlfn.TEXTJOIN("; ",1,IF(_xlpm.arr_loot&lt;&gt;"",VLOOKUP(_xlpm.arr_loot,table_loot[#All],2,0)&amp;":"&amp;TEXT(_xlpm.arr_odds,"0.00%"),"")))</f>
        <v>通用钱币:0.48%; 腐化粘液:0.01%</v>
      </c>
      <c r="V17" s="10" t="str" cm="1">
        <f t="array" ref="V17">_xlfn.LET(_xlpm.arr_loot,G17:L17,_xlpm.arr_odds,M17:R17*$AB$8,_xlfn.TEXTJOIN(";",1,IF(_xlpm.arr_loot&lt;&gt;"",_xlpm.arr_loot&amp;"="&amp;_xlpm.arr_odds,"")))</f>
        <v>10000=0.0048;600404=0.0001</v>
      </c>
    </row>
    <row r="18" spans="1:22">
      <c r="A18" s="3">
        <v>201407</v>
      </c>
      <c r="B18" s="26" t="str">
        <f>VLOOKUP(A18,monster!A:D,4,0)</f>
        <v>鬼狰</v>
      </c>
      <c r="C18" s="27">
        <f>_xlfn.XLOOKUP(A18,monster!A:A,monster!H:H)</f>
        <v>6</v>
      </c>
      <c r="D18" s="27" cm="1">
        <f t="array" ref="D18">_xlfn.LET(_xlpm.arr_loot,G18:L18,_xlpm.arr_odds,M18:R18*$AB$8,SUM(IF(_xlpm.arr_loot&lt;&gt;"",VLOOKUP(_xlpm.arr_loot,table_loot[#All],3,0)*_xlpm.arr_odds,0)))</f>
        <v>0</v>
      </c>
      <c r="E18" s="27" t="str">
        <f t="shared" si="0"/>
        <v>——</v>
      </c>
      <c r="T18" s="34" t="str" cm="1">
        <f t="array" ref="T18">_xlfn.LET(_xlpm.arr_loot,G18:L18,_xlpm.arr_odds,M18:R18*$AB$8,_xlfn.TEXTJOIN("; ",1,IF(_xlpm.arr_loot&lt;&gt;"",VLOOKUP(_xlpm.arr_loot,table_loot[#All],2,0)&amp;":"&amp;TEXT(_xlpm.arr_odds,"0.00%"),"")))</f>
        <v/>
      </c>
      <c r="V18" s="10" t="str" cm="1">
        <f t="array" ref="V18">_xlfn.LET(_xlpm.arr_loot,G18:L18,_xlpm.arr_odds,M18:R18*$AB$8,_xlfn.TEXTJOIN(";",1,IF(_xlpm.arr_loot&lt;&gt;"",_xlpm.arr_loot&amp;"="&amp;_xlpm.arr_odds,"")))</f>
        <v/>
      </c>
    </row>
    <row r="19" spans="1:22">
      <c r="A19" s="3">
        <v>201408</v>
      </c>
      <c r="B19" s="26" t="str">
        <f>VLOOKUP(A19,monster!A:D,4,0)</f>
        <v>铁针鸟</v>
      </c>
      <c r="C19" s="27">
        <f>_xlfn.XLOOKUP(A19,monster!A:A,monster!H:H)</f>
        <v>19</v>
      </c>
      <c r="D19" s="27" cm="1">
        <f t="array" ref="D19">_xlfn.LET(_xlpm.arr_loot,G19:L19,_xlpm.arr_odds,M19:R19*$AB$8,SUM(IF(_xlpm.arr_loot&lt;&gt;"",VLOOKUP(_xlpm.arr_loot,table_loot[#All],3,0)*_xlpm.arr_odds,0)))</f>
        <v>0</v>
      </c>
      <c r="E19" s="27">
        <f t="shared" si="0"/>
        <v>-19</v>
      </c>
      <c r="G19" s="3">
        <v>10000</v>
      </c>
      <c r="H19" s="3">
        <v>600404</v>
      </c>
      <c r="M19" s="3">
        <v>48</v>
      </c>
      <c r="N19" s="3">
        <v>1</v>
      </c>
      <c r="T19" s="34" t="str" cm="1">
        <f t="array" ref="T19">_xlfn.LET(_xlpm.arr_loot,G19:L19,_xlpm.arr_odds,M19:R19*$AB$8,_xlfn.TEXTJOIN("; ",1,IF(_xlpm.arr_loot&lt;&gt;"",VLOOKUP(_xlpm.arr_loot,table_loot[#All],2,0)&amp;":"&amp;TEXT(_xlpm.arr_odds,"0.00%"),"")))</f>
        <v>通用钱币:0.48%; 腐化粘液:0.01%</v>
      </c>
      <c r="V19" s="10" t="str" cm="1">
        <f t="array" ref="V19">_xlfn.LET(_xlpm.arr_loot,G19:L19,_xlpm.arr_odds,M19:R19*$AB$8,_xlfn.TEXTJOIN(";",1,IF(_xlpm.arr_loot&lt;&gt;"",_xlpm.arr_loot&amp;"="&amp;_xlpm.arr_odds,"")))</f>
        <v>10000=0.0048;600404=0.0001</v>
      </c>
    </row>
    <row r="20" spans="1:22">
      <c r="A20" s="3">
        <v>201409</v>
      </c>
      <c r="B20" s="26" t="str">
        <f>VLOOKUP(A20,monster!A:D,4,0)</f>
        <v>密林松鼠</v>
      </c>
      <c r="C20" s="27">
        <f>_xlfn.XLOOKUP(A20,monster!A:A,monster!H:H)</f>
        <v>19</v>
      </c>
      <c r="D20" s="27" cm="1">
        <f t="array" ref="D20">_xlfn.LET(_xlpm.arr_loot,G20:L20,_xlpm.arr_odds,M20:R20*$AB$8,SUM(IF(_xlpm.arr_loot&lt;&gt;"",VLOOKUP(_xlpm.arr_loot,table_loot[#All],3,0)*_xlpm.arr_odds,0)))</f>
        <v>0</v>
      </c>
      <c r="E20" s="27">
        <f t="shared" si="0"/>
        <v>-19</v>
      </c>
      <c r="G20" s="3">
        <v>10000</v>
      </c>
      <c r="H20" s="3">
        <v>600404</v>
      </c>
      <c r="M20" s="3">
        <v>48</v>
      </c>
      <c r="N20" s="3">
        <v>1</v>
      </c>
      <c r="T20" s="34" t="str" cm="1">
        <f t="array" ref="T20">_xlfn.LET(_xlpm.arr_loot,G20:L20,_xlpm.arr_odds,M20:R20*$AB$8,_xlfn.TEXTJOIN("; ",1,IF(_xlpm.arr_loot&lt;&gt;"",VLOOKUP(_xlpm.arr_loot,table_loot[#All],2,0)&amp;":"&amp;TEXT(_xlpm.arr_odds,"0.00%"),"")))</f>
        <v>通用钱币:0.48%; 腐化粘液:0.01%</v>
      </c>
      <c r="V20" s="10" t="str" cm="1">
        <f t="array" ref="V20">_xlfn.LET(_xlpm.arr_loot,G20:L20,_xlpm.arr_odds,M20:R20*$AB$8,_xlfn.TEXTJOIN(";",1,IF(_xlpm.arr_loot&lt;&gt;"",_xlpm.arr_loot&amp;"="&amp;_xlpm.arr_odds,"")))</f>
        <v>10000=0.0048;600404=0.0001</v>
      </c>
    </row>
    <row r="21" spans="1:22">
      <c r="A21" s="3">
        <v>201410</v>
      </c>
      <c r="B21" s="26" t="str">
        <f>VLOOKUP(A21,monster!A:D,4,0)</f>
        <v>暴躁金尾猴</v>
      </c>
      <c r="C21" s="27">
        <f>_xlfn.XLOOKUP(A21,monster!A:A,monster!H:H)</f>
        <v>19</v>
      </c>
      <c r="D21" s="27" cm="1">
        <f t="array" ref="D21">_xlfn.LET(_xlpm.arr_loot,G21:L21,_xlpm.arr_odds,M21:R21*$AB$8,SUM(IF(_xlpm.arr_loot&lt;&gt;"",VLOOKUP(_xlpm.arr_loot,table_loot[#All],3,0)*_xlpm.arr_odds,0)))</f>
        <v>0</v>
      </c>
      <c r="E21" s="27">
        <f t="shared" si="0"/>
        <v>-19</v>
      </c>
      <c r="G21" s="3">
        <v>10000</v>
      </c>
      <c r="H21" s="3">
        <v>600404</v>
      </c>
      <c r="M21" s="3">
        <v>48</v>
      </c>
      <c r="N21" s="3">
        <v>1</v>
      </c>
      <c r="T21" s="34" t="str" cm="1">
        <f t="array" ref="T21">_xlfn.LET(_xlpm.arr_loot,G21:L21,_xlpm.arr_odds,M21:R21*$AB$8,_xlfn.TEXTJOIN("; ",1,IF(_xlpm.arr_loot&lt;&gt;"",VLOOKUP(_xlpm.arr_loot,table_loot[#All],2,0)&amp;":"&amp;TEXT(_xlpm.arr_odds,"0.00%"),"")))</f>
        <v>通用钱币:0.48%; 腐化粘液:0.01%</v>
      </c>
      <c r="V21" s="10" t="str" cm="1">
        <f t="array" ref="V21">_xlfn.LET(_xlpm.arr_loot,G21:L21,_xlpm.arr_odds,M21:R21*$AB$8,_xlfn.TEXTJOIN(";",1,IF(_xlpm.arr_loot&lt;&gt;"",_xlpm.arr_loot&amp;"="&amp;_xlpm.arr_odds,"")))</f>
        <v>10000=0.0048;600404=0.0001</v>
      </c>
    </row>
    <row r="22" spans="1:22">
      <c r="A22" s="3">
        <v>201411</v>
      </c>
      <c r="B22" s="26" t="str">
        <f>VLOOKUP(A22,monster!A:D,4,0)</f>
        <v>祖蜂</v>
      </c>
      <c r="C22" s="27">
        <f>_xlfn.XLOOKUP(A22,monster!A:A,monster!H:H)</f>
        <v>19</v>
      </c>
      <c r="D22" s="27" cm="1">
        <f t="array" ref="D22">_xlfn.LET(_xlpm.arr_loot,G22:L22,_xlpm.arr_odds,M22:R22*$AB$8,SUM(IF(_xlpm.arr_loot&lt;&gt;"",VLOOKUP(_xlpm.arr_loot,table_loot[#All],3,0)*_xlpm.arr_odds,0)))</f>
        <v>0</v>
      </c>
      <c r="E22" s="27">
        <f t="shared" si="0"/>
        <v>-19</v>
      </c>
      <c r="G22" s="3">
        <v>10000</v>
      </c>
      <c r="H22" s="3">
        <v>600404</v>
      </c>
      <c r="M22" s="3">
        <v>48</v>
      </c>
      <c r="N22" s="3">
        <v>1</v>
      </c>
      <c r="T22" s="34" t="str" cm="1">
        <f t="array" ref="T22">_xlfn.LET(_xlpm.arr_loot,G22:L22,_xlpm.arr_odds,M22:R22*$AB$8,_xlfn.TEXTJOIN("; ",1,IF(_xlpm.arr_loot&lt;&gt;"",VLOOKUP(_xlpm.arr_loot,table_loot[#All],2,0)&amp;":"&amp;TEXT(_xlpm.arr_odds,"0.00%"),"")))</f>
        <v>通用钱币:0.48%; 腐化粘液:0.01%</v>
      </c>
      <c r="V22" s="10" t="str" cm="1">
        <f t="array" ref="V22">_xlfn.LET(_xlpm.arr_loot,G22:L22,_xlpm.arr_odds,M22:R22*$AB$8,_xlfn.TEXTJOIN(";",1,IF(_xlpm.arr_loot&lt;&gt;"",_xlpm.arr_loot&amp;"="&amp;_xlpm.arr_odds,"")))</f>
        <v>10000=0.0048;600404=0.0001</v>
      </c>
    </row>
    <row r="23" spans="1:22">
      <c r="A23" s="3">
        <v>201412</v>
      </c>
      <c r="B23" s="26" t="str">
        <f>VLOOKUP(A23,monster!A:D,4,0)</f>
        <v>幼祖蜂</v>
      </c>
      <c r="C23" s="27">
        <f>_xlfn.XLOOKUP(A23,monster!A:A,monster!H:H)</f>
        <v>19</v>
      </c>
      <c r="D23" s="27" cm="1">
        <f t="array" ref="D23">_xlfn.LET(_xlpm.arr_loot,G23:L23,_xlpm.arr_odds,M23:R23*$AB$8,SUM(IF(_xlpm.arr_loot&lt;&gt;"",VLOOKUP(_xlpm.arr_loot,table_loot[#All],3,0)*_xlpm.arr_odds,0)))</f>
        <v>0</v>
      </c>
      <c r="E23" s="27" t="str">
        <f t="shared" si="0"/>
        <v>——</v>
      </c>
      <c r="T23" s="34" t="str" cm="1">
        <f t="array" ref="T23">_xlfn.LET(_xlpm.arr_loot,G23:L23,_xlpm.arr_odds,M23:R23*$AB$8,_xlfn.TEXTJOIN("; ",1,IF(_xlpm.arr_loot&lt;&gt;"",VLOOKUP(_xlpm.arr_loot,table_loot[#All],2,0)&amp;":"&amp;TEXT(_xlpm.arr_odds,"0.00%"),"")))</f>
        <v/>
      </c>
      <c r="V23" s="10" t="str" cm="1">
        <f t="array" ref="V23">_xlfn.LET(_xlpm.arr_loot,G23:L23,_xlpm.arr_odds,M23:R23*$AB$8,_xlfn.TEXTJOIN(";",1,IF(_xlpm.arr_loot&lt;&gt;"",_xlpm.arr_loot&amp;"="&amp;_xlpm.arr_odds,"")))</f>
        <v/>
      </c>
    </row>
    <row r="24" spans="1:22">
      <c r="A24" s="3">
        <v>201413</v>
      </c>
      <c r="B24" s="26" t="str">
        <f>VLOOKUP(A24,monster!A:D,4,0)</f>
        <v>春花雀（蓝）</v>
      </c>
      <c r="C24" s="27">
        <f>_xlfn.XLOOKUP(A24,monster!A:A,monster!H:H)</f>
        <v>19</v>
      </c>
      <c r="D24" s="27" cm="1">
        <f t="array" ref="D24">_xlfn.LET(_xlpm.arr_loot,G24:L24,_xlpm.arr_odds,M24:R24*$AB$8,SUM(IF(_xlpm.arr_loot&lt;&gt;"",VLOOKUP(_xlpm.arr_loot,table_loot[#All],3,0)*_xlpm.arr_odds,0)))</f>
        <v>0</v>
      </c>
      <c r="E24" s="27">
        <f t="shared" si="0"/>
        <v>-19</v>
      </c>
      <c r="G24" s="3">
        <v>10000</v>
      </c>
      <c r="H24" s="3">
        <v>600404</v>
      </c>
      <c r="M24" s="3">
        <v>48</v>
      </c>
      <c r="N24" s="3">
        <v>1</v>
      </c>
      <c r="T24" s="34" t="str" cm="1">
        <f t="array" ref="T24">_xlfn.LET(_xlpm.arr_loot,G24:L24,_xlpm.arr_odds,M24:R24*$AB$8,_xlfn.TEXTJOIN("; ",1,IF(_xlpm.arr_loot&lt;&gt;"",VLOOKUP(_xlpm.arr_loot,table_loot[#All],2,0)&amp;":"&amp;TEXT(_xlpm.arr_odds,"0.00%"),"")))</f>
        <v>通用钱币:0.48%; 腐化粘液:0.01%</v>
      </c>
      <c r="V24" s="10" t="str" cm="1">
        <f t="array" ref="V24">_xlfn.LET(_xlpm.arr_loot,G24:L24,_xlpm.arr_odds,M24:R24*$AB$8,_xlfn.TEXTJOIN(";",1,IF(_xlpm.arr_loot&lt;&gt;"",_xlpm.arr_loot&amp;"="&amp;_xlpm.arr_odds,"")))</f>
        <v>10000=0.0048;600404=0.0001</v>
      </c>
    </row>
    <row r="25" spans="1:22">
      <c r="A25" s="3">
        <v>201414</v>
      </c>
      <c r="B25" s="26" t="str">
        <f>VLOOKUP(A25,monster!A:D,4,0)</f>
        <v>春花雀（红）</v>
      </c>
      <c r="C25" s="27">
        <f>_xlfn.XLOOKUP(A25,monster!A:A,monster!H:H)</f>
        <v>19</v>
      </c>
      <c r="D25" s="27" cm="1">
        <f t="array" ref="D25">_xlfn.LET(_xlpm.arr_loot,G25:L25,_xlpm.arr_odds,M25:R25*$AB$8,SUM(IF(_xlpm.arr_loot&lt;&gt;"",VLOOKUP(_xlpm.arr_loot,table_loot[#All],3,0)*_xlpm.arr_odds,0)))</f>
        <v>0</v>
      </c>
      <c r="E25" s="27">
        <f t="shared" si="0"/>
        <v>-19</v>
      </c>
      <c r="G25" s="3">
        <v>10000</v>
      </c>
      <c r="H25" s="3">
        <v>600404</v>
      </c>
      <c r="M25" s="3">
        <v>48</v>
      </c>
      <c r="N25" s="3">
        <v>1</v>
      </c>
      <c r="T25" s="34" t="str" cm="1">
        <f t="array" ref="T25">_xlfn.LET(_xlpm.arr_loot,G25:L25,_xlpm.arr_odds,M25:R25*$AB$8,_xlfn.TEXTJOIN("; ",1,IF(_xlpm.arr_loot&lt;&gt;"",VLOOKUP(_xlpm.arr_loot,table_loot[#All],2,0)&amp;":"&amp;TEXT(_xlpm.arr_odds,"0.00%"),"")))</f>
        <v>通用钱币:0.48%; 腐化粘液:0.01%</v>
      </c>
      <c r="V25" s="10" t="str" cm="1">
        <f t="array" ref="V25">_xlfn.LET(_xlpm.arr_loot,G25:L25,_xlpm.arr_odds,M25:R25*$AB$8,_xlfn.TEXTJOIN(";",1,IF(_xlpm.arr_loot&lt;&gt;"",_xlpm.arr_loot&amp;"="&amp;_xlpm.arr_odds,"")))</f>
        <v>10000=0.0048;600404=0.0001</v>
      </c>
    </row>
    <row r="26" spans="1:22">
      <c r="A26" s="3">
        <v>201415</v>
      </c>
      <c r="B26" s="26" t="str">
        <f>VLOOKUP(A26,monster!A:D,4,0)</f>
        <v>春花雀（黄）</v>
      </c>
      <c r="C26" s="27">
        <f>_xlfn.XLOOKUP(A26,monster!A:A,monster!H:H)</f>
        <v>19</v>
      </c>
      <c r="D26" s="27" cm="1">
        <f t="array" ref="D26">_xlfn.LET(_xlpm.arr_loot,G26:L26,_xlpm.arr_odds,M26:R26*$AB$8,SUM(IF(_xlpm.arr_loot&lt;&gt;"",VLOOKUP(_xlpm.arr_loot,table_loot[#All],3,0)*_xlpm.arr_odds,0)))</f>
        <v>0</v>
      </c>
      <c r="E26" s="27">
        <f t="shared" si="0"/>
        <v>-19</v>
      </c>
      <c r="G26" s="3">
        <v>10000</v>
      </c>
      <c r="H26" s="3">
        <v>600404</v>
      </c>
      <c r="M26" s="3">
        <v>48</v>
      </c>
      <c r="N26" s="3">
        <v>1</v>
      </c>
      <c r="T26" s="34" t="str" cm="1">
        <f t="array" ref="T26">_xlfn.LET(_xlpm.arr_loot,G26:L26,_xlpm.arr_odds,M26:R26*$AB$8,_xlfn.TEXTJOIN("; ",1,IF(_xlpm.arr_loot&lt;&gt;"",VLOOKUP(_xlpm.arr_loot,table_loot[#All],2,0)&amp;":"&amp;TEXT(_xlpm.arr_odds,"0.00%"),"")))</f>
        <v>通用钱币:0.48%; 腐化粘液:0.01%</v>
      </c>
      <c r="V26" s="10" t="str" cm="1">
        <f t="array" ref="V26">_xlfn.LET(_xlpm.arr_loot,G26:L26,_xlpm.arr_odds,M26:R26*$AB$8,_xlfn.TEXTJOIN(";",1,IF(_xlpm.arr_loot&lt;&gt;"",_xlpm.arr_loot&amp;"="&amp;_xlpm.arr_odds,"")))</f>
        <v>10000=0.0048;600404=0.0001</v>
      </c>
    </row>
    <row r="27" spans="1:22">
      <c r="A27" s="3">
        <v>201416</v>
      </c>
      <c r="B27" s="26" t="str">
        <f>VLOOKUP(A27,monster!A:D,4,0)</f>
        <v>绿枝粟粟民</v>
      </c>
      <c r="C27" s="27">
        <f>_xlfn.XLOOKUP(A27,monster!A:A,monster!H:H)</f>
        <v>19</v>
      </c>
      <c r="D27" s="27" cm="1">
        <f t="array" ref="D27">_xlfn.LET(_xlpm.arr_loot,G27:L27,_xlpm.arr_odds,M27:R27*$AB$8,SUM(IF(_xlpm.arr_loot&lt;&gt;"",VLOOKUP(_xlpm.arr_loot,table_loot[#All],3,0)*_xlpm.arr_odds,0)))</f>
        <v>0</v>
      </c>
      <c r="E27" s="27">
        <f t="shared" si="0"/>
        <v>-19</v>
      </c>
      <c r="G27" s="3">
        <v>10000</v>
      </c>
      <c r="H27" s="3">
        <v>600404</v>
      </c>
      <c r="M27" s="3">
        <v>48</v>
      </c>
      <c r="N27" s="3">
        <v>1</v>
      </c>
      <c r="T27" s="34" t="str" cm="1">
        <f t="array" ref="T27">_xlfn.LET(_xlpm.arr_loot,G27:L27,_xlpm.arr_odds,M27:R27*$AB$8,_xlfn.TEXTJOIN("; ",1,IF(_xlpm.arr_loot&lt;&gt;"",VLOOKUP(_xlpm.arr_loot,table_loot[#All],2,0)&amp;":"&amp;TEXT(_xlpm.arr_odds,"0.00%"),"")))</f>
        <v>通用钱币:0.48%; 腐化粘液:0.01%</v>
      </c>
      <c r="V27" s="10" t="str" cm="1">
        <f t="array" ref="V27">_xlfn.LET(_xlpm.arr_loot,G27:L27,_xlpm.arr_odds,M27:R27*$AB$8,_xlfn.TEXTJOIN(";",1,IF(_xlpm.arr_loot&lt;&gt;"",_xlpm.arr_loot&amp;"="&amp;_xlpm.arr_odds,"")))</f>
        <v>10000=0.0048;600404=0.0001</v>
      </c>
    </row>
    <row r="28" spans="1:22">
      <c r="A28" s="3">
        <v>201417</v>
      </c>
      <c r="B28" s="26" t="str">
        <f>VLOOKUP(A28,monster!A:D,4,0)</f>
        <v>悬铃粟粟民</v>
      </c>
      <c r="C28" s="27">
        <f>_xlfn.XLOOKUP(A28,monster!A:A,monster!H:H)</f>
        <v>19</v>
      </c>
      <c r="D28" s="27" cm="1">
        <f t="array" ref="D28">_xlfn.LET(_xlpm.arr_loot,G28:L28,_xlpm.arr_odds,M28:R28*$AB$8,SUM(IF(_xlpm.arr_loot&lt;&gt;"",VLOOKUP(_xlpm.arr_loot,table_loot[#All],3,0)*_xlpm.arr_odds,0)))</f>
        <v>0</v>
      </c>
      <c r="E28" s="27">
        <f t="shared" si="0"/>
        <v>-19</v>
      </c>
      <c r="G28" s="3">
        <v>10000</v>
      </c>
      <c r="H28" s="3">
        <v>600404</v>
      </c>
      <c r="M28" s="3">
        <v>48</v>
      </c>
      <c r="N28" s="3">
        <v>1</v>
      </c>
      <c r="T28" s="34" t="str" cm="1">
        <f t="array" ref="T28">_xlfn.LET(_xlpm.arr_loot,G28:L28,_xlpm.arr_odds,M28:R28*$AB$8,_xlfn.TEXTJOIN("; ",1,IF(_xlpm.arr_loot&lt;&gt;"",VLOOKUP(_xlpm.arr_loot,table_loot[#All],2,0)&amp;":"&amp;TEXT(_xlpm.arr_odds,"0.00%"),"")))</f>
        <v>通用钱币:0.48%; 腐化粘液:0.01%</v>
      </c>
      <c r="V28" s="10" t="str" cm="1">
        <f t="array" ref="V28">_xlfn.LET(_xlpm.arr_loot,G28:L28,_xlpm.arr_odds,M28:R28*$AB$8,_xlfn.TEXTJOIN(";",1,IF(_xlpm.arr_loot&lt;&gt;"",_xlpm.arr_loot&amp;"="&amp;_xlpm.arr_odds,"")))</f>
        <v>10000=0.0048;600404=0.0001</v>
      </c>
    </row>
    <row r="29" spans="1:22">
      <c r="A29" s="3">
        <v>201418</v>
      </c>
      <c r="B29" s="26" t="str">
        <f>VLOOKUP(A29,monster!A:D,4,0)</f>
        <v>缓慢魔法飞弹</v>
      </c>
      <c r="C29" s="27">
        <f>_xlfn.XLOOKUP(A29,monster!A:A,monster!H:H)</f>
        <v>19</v>
      </c>
      <c r="D29" s="27" cm="1">
        <f t="array" ref="D29">_xlfn.LET(_xlpm.arr_loot,G29:L29,_xlpm.arr_odds,M29:R29*$AB$8,SUM(IF(_xlpm.arr_loot&lt;&gt;"",VLOOKUP(_xlpm.arr_loot,table_loot[#All],3,0)*_xlpm.arr_odds,0)))</f>
        <v>0</v>
      </c>
      <c r="E29" s="27" t="str">
        <f t="shared" si="0"/>
        <v>——</v>
      </c>
      <c r="T29" s="34" t="str" cm="1">
        <f t="array" ref="T29">_xlfn.LET(_xlpm.arr_loot,G29:L29,_xlpm.arr_odds,M29:R29*$AB$8,_xlfn.TEXTJOIN("; ",1,IF(_xlpm.arr_loot&lt;&gt;"",VLOOKUP(_xlpm.arr_loot,table_loot[#All],2,0)&amp;":"&amp;TEXT(_xlpm.arr_odds,"0.00%"),"")))</f>
        <v/>
      </c>
      <c r="V29" s="10" t="str" cm="1">
        <f t="array" ref="V29">_xlfn.LET(_xlpm.arr_loot,G29:L29,_xlpm.arr_odds,M29:R29*$AB$8,_xlfn.TEXTJOIN(";",1,IF(_xlpm.arr_loot&lt;&gt;"",_xlpm.arr_loot&amp;"="&amp;_xlpm.arr_odds,"")))</f>
        <v/>
      </c>
    </row>
    <row r="30" spans="1:22">
      <c r="A30" s="3">
        <v>201419</v>
      </c>
      <c r="B30" s="26" t="str">
        <f>VLOOKUP(A30,monster!A:D,4,0)</f>
        <v>空木粟粟民</v>
      </c>
      <c r="C30" s="27">
        <f>_xlfn.XLOOKUP(A30,monster!A:A,monster!H:H)</f>
        <v>19</v>
      </c>
      <c r="D30" s="27" cm="1">
        <f t="array" ref="D30">_xlfn.LET(_xlpm.arr_loot,G30:L30,_xlpm.arr_odds,M30:R30*$AB$8,SUM(IF(_xlpm.arr_loot&lt;&gt;"",VLOOKUP(_xlpm.arr_loot,table_loot[#All],3,0)*_xlpm.arr_odds,0)))</f>
        <v>0</v>
      </c>
      <c r="E30" s="27">
        <f t="shared" si="0"/>
        <v>-19</v>
      </c>
      <c r="G30" s="3">
        <v>10000</v>
      </c>
      <c r="H30" s="3">
        <v>600404</v>
      </c>
      <c r="M30" s="3">
        <v>48</v>
      </c>
      <c r="N30" s="3">
        <v>1</v>
      </c>
      <c r="T30" s="34" t="str" cm="1">
        <f t="array" ref="T30">_xlfn.LET(_xlpm.arr_loot,G30:L30,_xlpm.arr_odds,M30:R30*$AB$8,_xlfn.TEXTJOIN("; ",1,IF(_xlpm.arr_loot&lt;&gt;"",VLOOKUP(_xlpm.arr_loot,table_loot[#All],2,0)&amp;":"&amp;TEXT(_xlpm.arr_odds,"0.00%"),"")))</f>
        <v>通用钱币:0.48%; 腐化粘液:0.01%</v>
      </c>
      <c r="V30" s="10" t="str" cm="1">
        <f t="array" ref="V30">_xlfn.LET(_xlpm.arr_loot,G30:L30,_xlpm.arr_odds,M30:R30*$AB$8,_xlfn.TEXTJOIN(";",1,IF(_xlpm.arr_loot&lt;&gt;"",_xlpm.arr_loot&amp;"="&amp;_xlpm.arr_odds,"")))</f>
        <v>10000=0.0048;600404=0.0001</v>
      </c>
    </row>
    <row r="31" spans="1:22">
      <c r="C31" s="27">
        <f>_xlfn.XLOOKUP(A31,monster!A:A,monster!H:H)</f>
        <v>0</v>
      </c>
      <c r="D31" s="27" cm="1">
        <f t="array" ref="D31">_xlfn.LET(_xlpm.arr_loot,G31:L31,_xlpm.arr_odds,M31:R31*$AB$8,SUM(IF(_xlpm.arr_loot&lt;&gt;"",VLOOKUP(_xlpm.arr_loot,table_loot[#All],3,0)*_xlpm.arr_odds,0)))</f>
        <v>0</v>
      </c>
      <c r="E31" s="27" t="str">
        <f t="shared" si="0"/>
        <v>——</v>
      </c>
      <c r="T31" s="34" t="str" cm="1">
        <f t="array" ref="T31">_xlfn.LET(_xlpm.arr_loot,G31:L31,_xlpm.arr_odds,M31:R31*$AB$8,_xlfn.TEXTJOIN("; ",1,IF(_xlpm.arr_loot&lt;&gt;"",VLOOKUP(_xlpm.arr_loot,table_loot[#All],2,0)&amp;":"&amp;TEXT(_xlpm.arr_odds,"0.00%"),"")))</f>
        <v/>
      </c>
      <c r="V31" s="10" t="str" cm="1">
        <f t="array" ref="V31">_xlfn.LET(_xlpm.arr_loot,G31:L31,_xlpm.arr_odds,M31:R31*$AB$8,_xlfn.TEXTJOIN(";",1,IF(_xlpm.arr_loot&lt;&gt;"",_xlpm.arr_loot&amp;"="&amp;_xlpm.arr_odds,"")))</f>
        <v/>
      </c>
    </row>
    <row r="32" spans="1:22">
      <c r="A32" s="3">
        <v>201701</v>
      </c>
      <c r="B32" s="26" t="str">
        <f>VLOOKUP(A32,monster!A:D,4,0)</f>
        <v>涂涂鸟</v>
      </c>
      <c r="C32" s="27">
        <f>_xlfn.XLOOKUP(A32,monster!A:A,monster!H:H)</f>
        <v>18</v>
      </c>
      <c r="D32" s="27" cm="1">
        <f t="array" ref="D32">_xlfn.LET(_xlpm.arr_loot,G32:L32,_xlpm.arr_odds,M32:R32*$AB$8,SUM(IF(_xlpm.arr_loot&lt;&gt;"",VLOOKUP(_xlpm.arr_loot,table_loot[#All],3,0)*_xlpm.arr_odds,0)))</f>
        <v>0</v>
      </c>
      <c r="E32" s="27">
        <f t="shared" si="0"/>
        <v>-18</v>
      </c>
      <c r="G32" s="3">
        <v>10000</v>
      </c>
      <c r="H32" s="3">
        <v>600701</v>
      </c>
      <c r="M32" s="39">
        <f>C32*5/1000*10000</f>
        <v>900</v>
      </c>
      <c r="N32" s="3">
        <v>18</v>
      </c>
      <c r="T32" s="34" t="str" cm="1">
        <f t="array" ref="T32">_xlfn.LET(_xlpm.arr_loot,G32:L32,_xlpm.arr_odds,M32:R32*$AB$8,_xlfn.TEXTJOIN("; ",1,IF(_xlpm.arr_loot&lt;&gt;"",VLOOKUP(_xlpm.arr_loot,table_loot[#All],2,0)&amp;":"&amp;TEXT(_xlpm.arr_odds,"0.00%"),"")))</f>
        <v>通用钱币:9.00%; 战箭残骸:0.18%</v>
      </c>
      <c r="V32" s="10" t="str" cm="1">
        <f t="array" ref="V32">_xlfn.LET(_xlpm.arr_loot,G32:L32,_xlpm.arr_odds,M32:R32*$AB$8,_xlfn.TEXTJOIN(";",1,IF(_xlpm.arr_loot&lt;&gt;"",_xlpm.arr_loot&amp;"="&amp;_xlpm.arr_odds,"")))</f>
        <v>10000=0.09;600701=0.0018</v>
      </c>
    </row>
    <row r="33" spans="1:22">
      <c r="A33" s="3">
        <v>201702</v>
      </c>
      <c r="B33" s="26" t="str">
        <f>VLOOKUP(A33,monster!A:D,4,0)</f>
        <v>沙漠蛇</v>
      </c>
      <c r="C33" s="27">
        <f>_xlfn.XLOOKUP(A33,monster!A:A,monster!H:H)</f>
        <v>32</v>
      </c>
      <c r="D33" s="27" cm="1">
        <f t="array" ref="D33">_xlfn.LET(_xlpm.arr_loot,G33:L33,_xlpm.arr_odds,M33:R33*$AB$8,SUM(IF(_xlpm.arr_loot&lt;&gt;"",VLOOKUP(_xlpm.arr_loot,table_loot[#All],3,0)*_xlpm.arr_odds,0)))</f>
        <v>0</v>
      </c>
      <c r="E33" s="27">
        <f t="shared" si="0"/>
        <v>-32</v>
      </c>
      <c r="G33" s="3">
        <v>10000</v>
      </c>
      <c r="H33" s="3">
        <v>600701</v>
      </c>
      <c r="M33" s="39">
        <f t="shared" ref="M33:M43" si="1">C33*5/1000*10000</f>
        <v>1600</v>
      </c>
      <c r="N33" s="3">
        <v>32</v>
      </c>
      <c r="T33" s="34" t="str" cm="1">
        <f t="array" ref="T33">_xlfn.LET(_xlpm.arr_loot,G33:L33,_xlpm.arr_odds,M33:R33*$AB$8,_xlfn.TEXTJOIN("; ",1,IF(_xlpm.arr_loot&lt;&gt;"",VLOOKUP(_xlpm.arr_loot,table_loot[#All],2,0)&amp;":"&amp;TEXT(_xlpm.arr_odds,"0.00%"),"")))</f>
        <v>通用钱币:16.00%; 战箭残骸:0.32%</v>
      </c>
      <c r="V33" s="10" t="str" cm="1">
        <f t="array" ref="V33">_xlfn.LET(_xlpm.arr_loot,G33:L33,_xlpm.arr_odds,M33:R33*$AB$8,_xlfn.TEXTJOIN(";",1,IF(_xlpm.arr_loot&lt;&gt;"",_xlpm.arr_loot&amp;"="&amp;_xlpm.arr_odds,"")))</f>
        <v>10000=0.16;600701=0.0032</v>
      </c>
    </row>
    <row r="34" spans="1:22">
      <c r="A34" s="3">
        <v>201703</v>
      </c>
      <c r="B34" s="26" t="str">
        <f>VLOOKUP(A34,monster!A:D,4,0)</f>
        <v>巨牙蝎</v>
      </c>
      <c r="C34" s="27">
        <f>_xlfn.XLOOKUP(A34,monster!A:A,monster!H:H)</f>
        <v>22</v>
      </c>
      <c r="D34" s="27" cm="1">
        <f t="array" ref="D34">_xlfn.LET(_xlpm.arr_loot,G34:L34,_xlpm.arr_odds,M34:R34*$AB$8,SUM(IF(_xlpm.arr_loot&lt;&gt;"",VLOOKUP(_xlpm.arr_loot,table_loot[#All],3,0)*_xlpm.arr_odds,0)))</f>
        <v>0</v>
      </c>
      <c r="E34" s="27">
        <f t="shared" ref="E34:E68" si="2">IF(AND(A34&lt;&gt;"",G34&lt;&gt;""),D34*$AB$9-C34,"——")</f>
        <v>-22</v>
      </c>
      <c r="G34" s="3">
        <v>10000</v>
      </c>
      <c r="H34" s="3">
        <v>600701</v>
      </c>
      <c r="M34" s="39">
        <f t="shared" si="1"/>
        <v>1100</v>
      </c>
      <c r="N34" s="3">
        <v>22</v>
      </c>
      <c r="T34" s="34" t="str" cm="1">
        <f t="array" ref="T34">_xlfn.LET(_xlpm.arr_loot,G34:L34,_xlpm.arr_odds,M34:R34*$AB$8,_xlfn.TEXTJOIN("; ",1,IF(_xlpm.arr_loot&lt;&gt;"",VLOOKUP(_xlpm.arr_loot,table_loot[#All],2,0)&amp;":"&amp;TEXT(_xlpm.arr_odds,"0.00%"),"")))</f>
        <v>通用钱币:11.00%; 战箭残骸:0.22%</v>
      </c>
      <c r="V34" s="10" t="str" cm="1">
        <f t="array" ref="V34">_xlfn.LET(_xlpm.arr_loot,G34:L34,_xlpm.arr_odds,M34:R34*$AB$8,_xlfn.TEXTJOIN(";",1,IF(_xlpm.arr_loot&lt;&gt;"",_xlpm.arr_loot&amp;"="&amp;_xlpm.arr_odds,"")))</f>
        <v>10000=0.11;600701=0.0022</v>
      </c>
    </row>
    <row r="35" spans="1:22">
      <c r="A35" s="3">
        <v>201704</v>
      </c>
      <c r="B35" s="26" t="str">
        <f>VLOOKUP(A35,monster!A:D,4,0)</f>
        <v>巨型石头人</v>
      </c>
      <c r="C35" s="27">
        <f>_xlfn.XLOOKUP(A35,monster!A:A,monster!H:H)</f>
        <v>175</v>
      </c>
      <c r="D35" s="27" cm="1">
        <f t="array" ref="D35">_xlfn.LET(_xlpm.arr_loot,G35:L35,_xlpm.arr_odds,M35:R35*$AB$8,SUM(IF(_xlpm.arr_loot&lt;&gt;"",VLOOKUP(_xlpm.arr_loot,table_loot[#All],3,0)*_xlpm.arr_odds,0)))</f>
        <v>0</v>
      </c>
      <c r="E35" s="27">
        <f t="shared" si="2"/>
        <v>-175</v>
      </c>
      <c r="G35" s="3">
        <v>10000</v>
      </c>
      <c r="H35" s="3">
        <v>600701</v>
      </c>
      <c r="M35" s="39">
        <f t="shared" si="1"/>
        <v>8750</v>
      </c>
      <c r="N35" s="3">
        <v>175</v>
      </c>
      <c r="T35" s="34" t="str" cm="1">
        <f t="array" ref="T35">_xlfn.LET(_xlpm.arr_loot,G35:L35,_xlpm.arr_odds,M35:R35*$AB$8,_xlfn.TEXTJOIN("; ",1,IF(_xlpm.arr_loot&lt;&gt;"",VLOOKUP(_xlpm.arr_loot,table_loot[#All],2,0)&amp;":"&amp;TEXT(_xlpm.arr_odds,"0.00%"),"")))</f>
        <v>通用钱币:87.50%; 战箭残骸:1.75%</v>
      </c>
      <c r="V35" s="10" t="str" cm="1">
        <f t="array" ref="V35">_xlfn.LET(_xlpm.arr_loot,G35:L35,_xlpm.arr_odds,M35:R35*$AB$8,_xlfn.TEXTJOIN(";",1,IF(_xlpm.arr_loot&lt;&gt;"",_xlpm.arr_loot&amp;"="&amp;_xlpm.arr_odds,"")))</f>
        <v>10000=0.875;600701=0.0175</v>
      </c>
    </row>
    <row r="36" spans="1:22">
      <c r="A36" s="3">
        <v>201705</v>
      </c>
      <c r="B36" s="26" t="str">
        <f>VLOOKUP(A36,monster!A:D,4,0)</f>
        <v>小石头人</v>
      </c>
      <c r="C36" s="27">
        <f>_xlfn.XLOOKUP(A36,monster!A:A,monster!H:H)</f>
        <v>55</v>
      </c>
      <c r="D36" s="27" cm="1">
        <f t="array" ref="D36">_xlfn.LET(_xlpm.arr_loot,G36:L36,_xlpm.arr_odds,M36:R36*$AB$8,SUM(IF(_xlpm.arr_loot&lt;&gt;"",VLOOKUP(_xlpm.arr_loot,table_loot[#All],3,0)*_xlpm.arr_odds,0)))</f>
        <v>0</v>
      </c>
      <c r="E36" s="27">
        <f t="shared" si="2"/>
        <v>-55</v>
      </c>
      <c r="G36" s="3">
        <v>10000</v>
      </c>
      <c r="H36" s="3">
        <v>600701</v>
      </c>
      <c r="M36" s="39">
        <f t="shared" si="1"/>
        <v>2750</v>
      </c>
      <c r="N36" s="3">
        <v>55</v>
      </c>
      <c r="T36" s="34" t="str" cm="1">
        <f t="array" ref="T36">_xlfn.LET(_xlpm.arr_loot,G36:L36,_xlpm.arr_odds,M36:R36*$AB$8,_xlfn.TEXTJOIN("; ",1,IF(_xlpm.arr_loot&lt;&gt;"",VLOOKUP(_xlpm.arr_loot,table_loot[#All],2,0)&amp;":"&amp;TEXT(_xlpm.arr_odds,"0.00%"),"")))</f>
        <v>通用钱币:27.50%; 战箭残骸:0.55%</v>
      </c>
      <c r="V36" s="10" t="str" cm="1">
        <f t="array" ref="V36">_xlfn.LET(_xlpm.arr_loot,G36:L36,_xlpm.arr_odds,M36:R36*$AB$8,_xlfn.TEXTJOIN(";",1,IF(_xlpm.arr_loot&lt;&gt;"",_xlpm.arr_loot&amp;"="&amp;_xlpm.arr_odds,"")))</f>
        <v>10000=0.275;600701=0.0055</v>
      </c>
    </row>
    <row r="37" spans="1:22">
      <c r="A37" s="3">
        <v>201706</v>
      </c>
      <c r="B37" s="26" t="str">
        <f>VLOOKUP(A37,monster!A:D,4,0)</f>
        <v>大盾守卫</v>
      </c>
      <c r="C37" s="27">
        <f>_xlfn.XLOOKUP(A37,monster!A:A,monster!H:H)</f>
        <v>110</v>
      </c>
      <c r="D37" s="27" cm="1">
        <f t="array" ref="D37">_xlfn.LET(_xlpm.arr_loot,G37:L37,_xlpm.arr_odds,M37:R37*$AB$8,SUM(IF(_xlpm.arr_loot&lt;&gt;"",VLOOKUP(_xlpm.arr_loot,table_loot[#All],3,0)*_xlpm.arr_odds,0)))</f>
        <v>0</v>
      </c>
      <c r="E37" s="27">
        <f t="shared" si="2"/>
        <v>-110</v>
      </c>
      <c r="G37" s="3">
        <v>10000</v>
      </c>
      <c r="H37" s="3">
        <v>600701</v>
      </c>
      <c r="M37" s="39">
        <f t="shared" si="1"/>
        <v>5500</v>
      </c>
      <c r="N37" s="3">
        <v>110</v>
      </c>
      <c r="T37" s="34" t="str" cm="1">
        <f t="array" ref="T37">_xlfn.LET(_xlpm.arr_loot,G37:L37,_xlpm.arr_odds,M37:R37*$AB$8,_xlfn.TEXTJOIN("; ",1,IF(_xlpm.arr_loot&lt;&gt;"",VLOOKUP(_xlpm.arr_loot,table_loot[#All],2,0)&amp;":"&amp;TEXT(_xlpm.arr_odds,"0.00%"),"")))</f>
        <v>通用钱币:55.00%; 战箭残骸:1.10%</v>
      </c>
      <c r="V37" s="10" t="str" cm="1">
        <f t="array" ref="V37">_xlfn.LET(_xlpm.arr_loot,G37:L37,_xlpm.arr_odds,M37:R37*$AB$8,_xlfn.TEXTJOIN(";",1,IF(_xlpm.arr_loot&lt;&gt;"",_xlpm.arr_loot&amp;"="&amp;_xlpm.arr_odds,"")))</f>
        <v>10000=0.55;600701=0.011</v>
      </c>
    </row>
    <row r="38" spans="1:22">
      <c r="A38" s="3">
        <v>201707</v>
      </c>
      <c r="B38" s="26" t="str">
        <f>VLOOKUP(A38,monster!A:D,4,0)</f>
        <v>基础守卫</v>
      </c>
      <c r="C38" s="27">
        <f>_xlfn.XLOOKUP(A38,monster!A:A,monster!H:H)</f>
        <v>55</v>
      </c>
      <c r="D38" s="27" cm="1">
        <f t="array" ref="D38">_xlfn.LET(_xlpm.arr_loot,G38:L38,_xlpm.arr_odds,M38:R38*$AB$8,SUM(IF(_xlpm.arr_loot&lt;&gt;"",VLOOKUP(_xlpm.arr_loot,table_loot[#All],3,0)*_xlpm.arr_odds,0)))</f>
        <v>0</v>
      </c>
      <c r="E38" s="27">
        <f t="shared" si="2"/>
        <v>-55</v>
      </c>
      <c r="G38" s="3">
        <v>10000</v>
      </c>
      <c r="H38" s="3">
        <v>600701</v>
      </c>
      <c r="M38" s="39">
        <f t="shared" si="1"/>
        <v>2750</v>
      </c>
      <c r="N38" s="3">
        <v>55</v>
      </c>
      <c r="T38" s="34" t="str" cm="1">
        <f t="array" ref="T38">_xlfn.LET(_xlpm.arr_loot,G38:L38,_xlpm.arr_odds,M38:R38*$AB$8,_xlfn.TEXTJOIN("; ",1,IF(_xlpm.arr_loot&lt;&gt;"",VLOOKUP(_xlpm.arr_loot,table_loot[#All],2,0)&amp;":"&amp;TEXT(_xlpm.arr_odds,"0.00%"),"")))</f>
        <v>通用钱币:27.50%; 战箭残骸:0.55%</v>
      </c>
      <c r="V38" s="10" t="str" cm="1">
        <f t="array" ref="V38">_xlfn.LET(_xlpm.arr_loot,G38:L38,_xlpm.arr_odds,M38:R38*$AB$8,_xlfn.TEXTJOIN(";",1,IF(_xlpm.arr_loot&lt;&gt;"",_xlpm.arr_loot&amp;"="&amp;_xlpm.arr_odds,"")))</f>
        <v>10000=0.275;600701=0.0055</v>
      </c>
    </row>
    <row r="39" spans="1:22">
      <c r="A39" s="3">
        <v>201708</v>
      </c>
      <c r="B39" s="26" t="str">
        <f>VLOOKUP(A39,monster!A:D,4,0)</f>
        <v>双刀守卫</v>
      </c>
      <c r="C39" s="27">
        <f>_xlfn.XLOOKUP(A39,monster!A:A,monster!H:H)</f>
        <v>44</v>
      </c>
      <c r="D39" s="27" cm="1">
        <f t="array" ref="D39">_xlfn.LET(_xlpm.arr_loot,G39:L39,_xlpm.arr_odds,M39:R39*$AB$8,SUM(IF(_xlpm.arr_loot&lt;&gt;"",VLOOKUP(_xlpm.arr_loot,table_loot[#All],3,0)*_xlpm.arr_odds,0)))</f>
        <v>0</v>
      </c>
      <c r="E39" s="27">
        <f t="shared" si="2"/>
        <v>-44</v>
      </c>
      <c r="G39" s="3">
        <v>10000</v>
      </c>
      <c r="H39" s="3">
        <v>600701</v>
      </c>
      <c r="M39" s="39">
        <f t="shared" si="1"/>
        <v>2200</v>
      </c>
      <c r="N39" s="3">
        <v>44</v>
      </c>
      <c r="T39" s="34" t="str" cm="1">
        <f t="array" ref="T39">_xlfn.LET(_xlpm.arr_loot,G39:L39,_xlpm.arr_odds,M39:R39*$AB$8,_xlfn.TEXTJOIN("; ",1,IF(_xlpm.arr_loot&lt;&gt;"",VLOOKUP(_xlpm.arr_loot,table_loot[#All],2,0)&amp;":"&amp;TEXT(_xlpm.arr_odds,"0.00%"),"")))</f>
        <v>通用钱币:22.00%; 战箭残骸:0.44%</v>
      </c>
      <c r="V39" s="10" t="str" cm="1">
        <f t="array" ref="V39">_xlfn.LET(_xlpm.arr_loot,G39:L39,_xlpm.arr_odds,M39:R39*$AB$8,_xlfn.TEXTJOIN(";",1,IF(_xlpm.arr_loot&lt;&gt;"",_xlpm.arr_loot&amp;"="&amp;_xlpm.arr_odds,"")))</f>
        <v>10000=0.22;600701=0.0044</v>
      </c>
    </row>
    <row r="40" spans="1:22">
      <c r="A40" s="3">
        <v>201709</v>
      </c>
      <c r="B40" s="26" t="str">
        <f>VLOOKUP(A40,monster!A:D,4,0)</f>
        <v>大仙人掌</v>
      </c>
      <c r="C40" s="27">
        <f>_xlfn.XLOOKUP(A40,monster!A:A,monster!H:H)</f>
        <v>43</v>
      </c>
      <c r="D40" s="27" cm="1">
        <f t="array" ref="D40">_xlfn.LET(_xlpm.arr_loot,G40:L40,_xlpm.arr_odds,M40:R40*$AB$8,SUM(IF(_xlpm.arr_loot&lt;&gt;"",VLOOKUP(_xlpm.arr_loot,table_loot[#All],3,0)*_xlpm.arr_odds,0)))</f>
        <v>0</v>
      </c>
      <c r="E40" s="27">
        <f t="shared" si="2"/>
        <v>-43</v>
      </c>
      <c r="G40" s="3">
        <v>10000</v>
      </c>
      <c r="H40" s="3">
        <v>600701</v>
      </c>
      <c r="M40" s="39">
        <f t="shared" si="1"/>
        <v>2150</v>
      </c>
      <c r="N40" s="3">
        <v>43</v>
      </c>
      <c r="T40" s="34" t="str" cm="1">
        <f t="array" ref="T40">_xlfn.LET(_xlpm.arr_loot,G40:L40,_xlpm.arr_odds,M40:R40*$AB$8,_xlfn.TEXTJOIN("; ",1,IF(_xlpm.arr_loot&lt;&gt;"",VLOOKUP(_xlpm.arr_loot,table_loot[#All],2,0)&amp;":"&amp;TEXT(_xlpm.arr_odds,"0.00%"),"")))</f>
        <v>通用钱币:21.50%; 战箭残骸:0.43%</v>
      </c>
      <c r="V40" s="10" t="str" cm="1">
        <f t="array" ref="V40">_xlfn.LET(_xlpm.arr_loot,G40:L40,_xlpm.arr_odds,M40:R40*$AB$8,_xlfn.TEXTJOIN(";",1,IF(_xlpm.arr_loot&lt;&gt;"",_xlpm.arr_loot&amp;"="&amp;_xlpm.arr_odds,"")))</f>
        <v>10000=0.215;600701=0.0043</v>
      </c>
    </row>
    <row r="41" spans="1:22">
      <c r="A41" s="3">
        <v>201710</v>
      </c>
      <c r="B41" s="26" t="str">
        <f>VLOOKUP(A41,monster!A:D,4,0)</f>
        <v>小仙人掌</v>
      </c>
      <c r="C41" s="27">
        <f>_xlfn.XLOOKUP(A41,monster!A:A,monster!H:H)</f>
        <v>18</v>
      </c>
      <c r="D41" s="27" cm="1">
        <f t="array" ref="D41">_xlfn.LET(_xlpm.arr_loot,G41:L41,_xlpm.arr_odds,M41:R41*$AB$8,SUM(IF(_xlpm.arr_loot&lt;&gt;"",VLOOKUP(_xlpm.arr_loot,table_loot[#All],3,0)*_xlpm.arr_odds,0)))</f>
        <v>0</v>
      </c>
      <c r="E41" s="27">
        <f t="shared" si="2"/>
        <v>-18</v>
      </c>
      <c r="G41" s="3">
        <v>10000</v>
      </c>
      <c r="H41" s="3">
        <v>600701</v>
      </c>
      <c r="M41" s="39">
        <f t="shared" si="1"/>
        <v>900</v>
      </c>
      <c r="N41" s="3">
        <v>18</v>
      </c>
      <c r="T41" s="34" t="str" cm="1">
        <f t="array" ref="T41">_xlfn.LET(_xlpm.arr_loot,G41:L41,_xlpm.arr_odds,M41:R41*$AB$8,_xlfn.TEXTJOIN("; ",1,IF(_xlpm.arr_loot&lt;&gt;"",VLOOKUP(_xlpm.arr_loot,table_loot[#All],2,0)&amp;":"&amp;TEXT(_xlpm.arr_odds,"0.00%"),"")))</f>
        <v>通用钱币:9.00%; 战箭残骸:0.18%</v>
      </c>
      <c r="V41" s="10" t="str" cm="1">
        <f t="array" ref="V41">_xlfn.LET(_xlpm.arr_loot,G41:L41,_xlpm.arr_odds,M41:R41*$AB$8,_xlfn.TEXTJOIN(";",1,IF(_xlpm.arr_loot&lt;&gt;"",_xlpm.arr_loot&amp;"="&amp;_xlpm.arr_odds,"")))</f>
        <v>10000=0.09;600701=0.0018</v>
      </c>
    </row>
    <row r="42" spans="1:22">
      <c r="A42" s="3">
        <v>201711</v>
      </c>
      <c r="B42" s="26" t="str">
        <f>VLOOKUP(A42,monster!A:D,4,0)</f>
        <v>大风滚草</v>
      </c>
      <c r="C42" s="27">
        <f>_xlfn.XLOOKUP(A42,monster!A:A,monster!H:H)</f>
        <v>17</v>
      </c>
      <c r="D42" s="27" cm="1">
        <f t="array" ref="D42">_xlfn.LET(_xlpm.arr_loot,G42:L42,_xlpm.arr_odds,M42:R42*$AB$8,SUM(IF(_xlpm.arr_loot&lt;&gt;"",VLOOKUP(_xlpm.arr_loot,table_loot[#All],3,0)*_xlpm.arr_odds,0)))</f>
        <v>0</v>
      </c>
      <c r="E42" s="27">
        <f t="shared" si="2"/>
        <v>-17</v>
      </c>
      <c r="G42" s="3">
        <v>10000</v>
      </c>
      <c r="H42" s="3">
        <v>600701</v>
      </c>
      <c r="M42" s="39">
        <f t="shared" si="1"/>
        <v>850</v>
      </c>
      <c r="N42" s="3">
        <v>17</v>
      </c>
      <c r="T42" s="34" t="str" cm="1">
        <f t="array" ref="T42">_xlfn.LET(_xlpm.arr_loot,G42:L42,_xlpm.arr_odds,M42:R42*$AB$8,_xlfn.TEXTJOIN("; ",1,IF(_xlpm.arr_loot&lt;&gt;"",VLOOKUP(_xlpm.arr_loot,table_loot[#All],2,0)&amp;":"&amp;TEXT(_xlpm.arr_odds,"0.00%"),"")))</f>
        <v>通用钱币:8.50%; 战箭残骸:0.17%</v>
      </c>
      <c r="V42" s="10" t="str" cm="1">
        <f t="array" ref="V42">_xlfn.LET(_xlpm.arr_loot,G42:L42,_xlpm.arr_odds,M42:R42*$AB$8,_xlfn.TEXTJOIN(";",1,IF(_xlpm.arr_loot&lt;&gt;"",_xlpm.arr_loot&amp;"="&amp;_xlpm.arr_odds,"")))</f>
        <v>10000=0.085;600701=0.0017</v>
      </c>
    </row>
    <row r="43" spans="1:22">
      <c r="A43" s="3">
        <v>201712</v>
      </c>
      <c r="B43" s="26" t="str">
        <f>VLOOKUP(A43,monster!A:D,4,0)</f>
        <v>小风滚草</v>
      </c>
      <c r="C43" s="27">
        <f>_xlfn.XLOOKUP(A43,monster!A:A,monster!H:H)</f>
        <v>7</v>
      </c>
      <c r="D43" s="27" cm="1">
        <f t="array" ref="D43">_xlfn.LET(_xlpm.arr_loot,G43:L43,_xlpm.arr_odds,M43:R43*$AB$8,SUM(IF(_xlpm.arr_loot&lt;&gt;"",VLOOKUP(_xlpm.arr_loot,table_loot[#All],3,0)*_xlpm.arr_odds,0)))</f>
        <v>0</v>
      </c>
      <c r="E43" s="27">
        <f t="shared" si="2"/>
        <v>-7</v>
      </c>
      <c r="G43" s="3">
        <v>10000</v>
      </c>
      <c r="H43" s="3">
        <v>600701</v>
      </c>
      <c r="M43" s="39">
        <f t="shared" si="1"/>
        <v>350</v>
      </c>
      <c r="N43" s="3">
        <v>7</v>
      </c>
      <c r="T43" s="34" t="str" cm="1">
        <f t="array" ref="T43">_xlfn.LET(_xlpm.arr_loot,G43:L43,_xlpm.arr_odds,M43:R43*$AB$8,_xlfn.TEXTJOIN("; ",1,IF(_xlpm.arr_loot&lt;&gt;"",VLOOKUP(_xlpm.arr_loot,table_loot[#All],2,0)&amp;":"&amp;TEXT(_xlpm.arr_odds,"0.00%"),"")))</f>
        <v>通用钱币:3.50%; 战箭残骸:0.07%</v>
      </c>
      <c r="V43" s="10" t="str" cm="1">
        <f t="array" ref="V43">_xlfn.LET(_xlpm.arr_loot,G43:L43,_xlpm.arr_odds,M43:R43*$AB$8,_xlfn.TEXTJOIN(";",1,IF(_xlpm.arr_loot&lt;&gt;"",_xlpm.arr_loot&amp;"="&amp;_xlpm.arr_odds,"")))</f>
        <v>10000=0.035;600701=0.0007</v>
      </c>
    </row>
    <row r="44" spans="1:22">
      <c r="C44" s="27">
        <f>_xlfn.XLOOKUP(A44,monster!A:A,monster!H:H)</f>
        <v>0</v>
      </c>
      <c r="D44" s="27" cm="1">
        <f t="array" ref="D44">_xlfn.LET(_xlpm.arr_loot,G44:L44,_xlpm.arr_odds,M44:R44*$AB$8,SUM(IF(_xlpm.arr_loot&lt;&gt;"",VLOOKUP(_xlpm.arr_loot,table_loot[#All],3,0)*_xlpm.arr_odds,0)))</f>
        <v>0</v>
      </c>
      <c r="E44" s="27" t="str">
        <f t="shared" si="2"/>
        <v>——</v>
      </c>
      <c r="T44" s="34" t="str" cm="1">
        <f t="array" ref="T44">_xlfn.LET(_xlpm.arr_loot,G44:L44,_xlpm.arr_odds,M44:R44*$AB$8,_xlfn.TEXTJOIN("; ",1,IF(_xlpm.arr_loot&lt;&gt;"",VLOOKUP(_xlpm.arr_loot,table_loot[#All],2,0)&amp;":"&amp;TEXT(_xlpm.arr_odds,"0.00%"),"")))</f>
        <v/>
      </c>
      <c r="V44" s="10" t="str" cm="1">
        <f t="array" ref="V44">_xlfn.LET(_xlpm.arr_loot,G44:L44,_xlpm.arr_odds,M44:R44*$AB$8,_xlfn.TEXTJOIN(";",1,IF(_xlpm.arr_loot&lt;&gt;"",_xlpm.arr_loot&amp;"="&amp;_xlpm.arr_odds,"")))</f>
        <v/>
      </c>
    </row>
    <row r="45" spans="1:22">
      <c r="A45" s="3">
        <v>201801</v>
      </c>
      <c r="B45" s="26" t="str">
        <f>VLOOKUP(A45,monster!A:D,4,0)</f>
        <v>金鱼</v>
      </c>
      <c r="C45" s="27">
        <f>_xlfn.XLOOKUP(A45,monster!A:A,monster!H:H)</f>
        <v>19</v>
      </c>
      <c r="D45" s="27" cm="1">
        <f t="array" ref="D45">_xlfn.LET(_xlpm.arr_loot,G45:L45,_xlpm.arr_odds,M45:R45*$AB$8,SUM(IF(_xlpm.arr_loot&lt;&gt;"",VLOOKUP(_xlpm.arr_loot,table_loot[#All],3,0)*_xlpm.arr_odds,0)))</f>
        <v>0.0645</v>
      </c>
      <c r="E45" s="27">
        <f t="shared" si="2"/>
        <v>0.350000000000001</v>
      </c>
      <c r="G45" s="3">
        <v>10000</v>
      </c>
      <c r="H45" s="3">
        <v>600802</v>
      </c>
      <c r="I45" s="3">
        <v>600803</v>
      </c>
      <c r="M45" s="39">
        <f>C45*5/1000*10000</f>
        <v>950</v>
      </c>
      <c r="N45" s="39">
        <v>11</v>
      </c>
      <c r="O45" s="39">
        <v>2</v>
      </c>
      <c r="T45" s="34" t="str" cm="1">
        <f t="array" ref="T45">_xlfn.LET(_xlpm.arr_loot,G45:L45,_xlpm.arr_odds,M45:R45*$AB$8,_xlfn.TEXTJOIN("; ",1,IF(_xlpm.arr_loot&lt;&gt;"",VLOOKUP(_xlpm.arr_loot,table_loot[#All],2,0)&amp;":"&amp;TEXT(_xlpm.arr_odds,"0.00%"),"")))</f>
        <v>通用钱币:9.50%; 鱼肉:0.11%; 鱼油:0.02%</v>
      </c>
      <c r="V45" s="10" t="str" cm="1">
        <f t="array" ref="V45">_xlfn.LET(_xlpm.arr_loot,G45:L45,_xlpm.arr_odds,M45:R45*$AB$8,_xlfn.TEXTJOIN(";",1,IF(_xlpm.arr_loot&lt;&gt;"",_xlpm.arr_loot&amp;"="&amp;_xlpm.arr_odds,"")))</f>
        <v>10000=0.095;600802=0.0011;600803=0.0002</v>
      </c>
    </row>
    <row r="46" spans="1:22">
      <c r="A46" s="3">
        <v>201802</v>
      </c>
      <c r="B46" s="26" t="str">
        <f>VLOOKUP(A46,monster!A:D,4,0)</f>
        <v>金鱼泡泡</v>
      </c>
      <c r="C46" s="27">
        <f>_xlfn.XLOOKUP(A46,monster!A:A,monster!H:H)</f>
        <v>2</v>
      </c>
      <c r="D46" s="27" cm="1">
        <f t="array" ref="D46">_xlfn.LET(_xlpm.arr_loot,G46:L46,_xlpm.arr_odds,M46:R46*$AB$8,SUM(IF(_xlpm.arr_loot&lt;&gt;"",VLOOKUP(_xlpm.arr_loot,table_loot[#All],3,0)*_xlpm.arr_odds,0)))</f>
        <v>0</v>
      </c>
      <c r="E46" s="27" t="str">
        <f t="shared" si="2"/>
        <v>——</v>
      </c>
      <c r="T46" s="34" t="str" cm="1">
        <f t="array" ref="T46">_xlfn.LET(_xlpm.arr_loot,G46:L46,_xlpm.arr_odds,M46:R46*$AB$8,_xlfn.TEXTJOIN("; ",1,IF(_xlpm.arr_loot&lt;&gt;"",VLOOKUP(_xlpm.arr_loot,table_loot[#All],2,0)&amp;":"&amp;TEXT(_xlpm.arr_odds,"0.00%"),"")))</f>
        <v/>
      </c>
      <c r="V46" s="10" t="str" cm="1">
        <f t="array" ref="V46">_xlfn.LET(_xlpm.arr_loot,G46:L46,_xlpm.arr_odds,M46:R46*$AB$8,_xlfn.TEXTJOIN(";",1,IF(_xlpm.arr_loot&lt;&gt;"",_xlpm.arr_loot&amp;"="&amp;_xlpm.arr_odds,"")))</f>
        <v/>
      </c>
    </row>
    <row r="47" spans="1:22">
      <c r="A47" s="3">
        <v>201803</v>
      </c>
      <c r="B47" s="26" t="str">
        <f>VLOOKUP(A47,monster!A:D,4,0)</f>
        <v>海藻小妖</v>
      </c>
      <c r="C47" s="27">
        <f>_xlfn.XLOOKUP(A47,monster!A:A,monster!H:H)</f>
        <v>24</v>
      </c>
      <c r="D47" s="27" cm="1">
        <f t="array" ref="D47">_xlfn.LET(_xlpm.arr_loot,G47:L47,_xlpm.arr_odds,M47:R47*$AB$8,SUM(IF(_xlpm.arr_loot&lt;&gt;"",VLOOKUP(_xlpm.arr_loot,table_loot[#All],3,0)*_xlpm.arr_odds,0)))</f>
        <v>0.0781</v>
      </c>
      <c r="E47" s="27">
        <f t="shared" si="2"/>
        <v>-0.57</v>
      </c>
      <c r="G47" s="3">
        <v>10000</v>
      </c>
      <c r="H47" s="3">
        <v>600801</v>
      </c>
      <c r="I47" s="3">
        <v>600811</v>
      </c>
      <c r="J47" s="3">
        <v>600813</v>
      </c>
      <c r="M47" s="39">
        <f>C47*5/1000*10000</f>
        <v>1200</v>
      </c>
      <c r="N47" s="39">
        <v>125</v>
      </c>
      <c r="O47" s="39">
        <v>6</v>
      </c>
      <c r="P47" s="39">
        <v>6</v>
      </c>
      <c r="T47" s="34" t="str" cm="1">
        <f t="array" ref="T47">_xlfn.LET(_xlpm.arr_loot,G47:L47,_xlpm.arr_odds,M47:R47*$AB$8,_xlfn.TEXTJOIN("; ",1,IF(_xlpm.arr_loot&lt;&gt;"",VLOOKUP(_xlpm.arr_loot,table_loot[#All],2,0)&amp;":"&amp;TEXT(_xlpm.arr_odds,"0.00%"),"")))</f>
        <v>通用钱币:12.00%; 海草:1.25%; 朽木:0.06%; 湖盐:0.06%</v>
      </c>
      <c r="V47" s="10" t="str" cm="1">
        <f t="array" ref="V47">_xlfn.LET(_xlpm.arr_loot,G47:L47,_xlpm.arr_odds,M47:R47*$AB$8,_xlfn.TEXTJOIN(";",1,IF(_xlpm.arr_loot&lt;&gt;"",_xlpm.arr_loot&amp;"="&amp;_xlpm.arr_odds,"")))</f>
        <v>10000=0.12;600801=0.0125;600811=0.0006;600813=0.0006</v>
      </c>
    </row>
    <row r="48" spans="1:22">
      <c r="A48" s="3">
        <v>201804</v>
      </c>
      <c r="B48" s="26" t="str">
        <f>VLOOKUP(A48,monster!A:D,4,0)</f>
        <v>鲶鱼</v>
      </c>
      <c r="C48" s="27">
        <f>_xlfn.XLOOKUP(A48,monster!A:A,monster!H:H)</f>
        <v>48</v>
      </c>
      <c r="D48" s="27" cm="1">
        <f t="array" ref="D48">_xlfn.LET(_xlpm.arr_loot,G48:L48,_xlpm.arr_odds,M48:R48*$AB$8,SUM(IF(_xlpm.arr_loot&lt;&gt;"",VLOOKUP(_xlpm.arr_loot,table_loot[#All],3,0)*_xlpm.arr_odds,0)))</f>
        <v>0.024</v>
      </c>
      <c r="E48" s="27">
        <f t="shared" si="2"/>
        <v>-40.8</v>
      </c>
      <c r="G48" s="3">
        <v>10000</v>
      </c>
      <c r="H48" s="3">
        <v>600801</v>
      </c>
      <c r="M48" s="39">
        <f>C48*5/1000*10000</f>
        <v>2400</v>
      </c>
      <c r="N48" s="3">
        <v>48</v>
      </c>
      <c r="T48" s="34" t="str" cm="1">
        <f t="array" ref="T48">_xlfn.LET(_xlpm.arr_loot,G48:L48,_xlpm.arr_odds,M48:R48*$AB$8,_xlfn.TEXTJOIN("; ",1,IF(_xlpm.arr_loot&lt;&gt;"",VLOOKUP(_xlpm.arr_loot,table_loot[#All],2,0)&amp;":"&amp;TEXT(_xlpm.arr_odds,"0.00%"),"")))</f>
        <v>通用钱币:24.00%; 海草:0.48%</v>
      </c>
      <c r="V48" s="10" t="str" cm="1">
        <f t="array" ref="V48">_xlfn.LET(_xlpm.arr_loot,G48:L48,_xlpm.arr_odds,M48:R48*$AB$8,_xlfn.TEXTJOIN(";",1,IF(_xlpm.arr_loot&lt;&gt;"",_xlpm.arr_loot&amp;"="&amp;_xlpm.arr_odds,"")))</f>
        <v>10000=0.24;600801=0.0048</v>
      </c>
    </row>
    <row r="49" spans="1:22">
      <c r="A49" s="3">
        <v>201805</v>
      </c>
      <c r="B49" s="26" t="str">
        <f>VLOOKUP(A49,monster!A:D,4,0)</f>
        <v>似目草</v>
      </c>
      <c r="C49" s="27">
        <f>_xlfn.XLOOKUP(A49,monster!A:A,monster!H:H)</f>
        <v>12</v>
      </c>
      <c r="D49" s="27" cm="1">
        <f t="array" ref="D49">_xlfn.LET(_xlpm.arr_loot,G49:L49,_xlpm.arr_odds,M49:R49*$AB$8,SUM(IF(_xlpm.arr_loot&lt;&gt;"",VLOOKUP(_xlpm.arr_loot,table_loot[#All],3,0)*_xlpm.arr_odds,0)))</f>
        <v>0.04</v>
      </c>
      <c r="E49" s="27">
        <f t="shared" si="2"/>
        <v>0</v>
      </c>
      <c r="G49" s="3">
        <v>10000</v>
      </c>
      <c r="H49" s="3">
        <v>600801</v>
      </c>
      <c r="M49" s="39">
        <f>C49*5/1000*10000</f>
        <v>600</v>
      </c>
      <c r="N49" s="39">
        <v>80</v>
      </c>
      <c r="T49" s="34" t="str" cm="1">
        <f t="array" ref="T49">_xlfn.LET(_xlpm.arr_loot,G49:L49,_xlpm.arr_odds,M49:R49*$AB$8,_xlfn.TEXTJOIN("; ",1,IF(_xlpm.arr_loot&lt;&gt;"",VLOOKUP(_xlpm.arr_loot,table_loot[#All],2,0)&amp;":"&amp;TEXT(_xlpm.arr_odds,"0.00%"),"")))</f>
        <v>通用钱币:6.00%; 海草:0.80%</v>
      </c>
      <c r="V49" s="10" t="str" cm="1">
        <f t="array" ref="V49">_xlfn.LET(_xlpm.arr_loot,G49:L49,_xlpm.arr_odds,M49:R49*$AB$8,_xlfn.TEXTJOIN(";",1,IF(_xlpm.arr_loot&lt;&gt;"",_xlpm.arr_loot&amp;"="&amp;_xlpm.arr_odds,"")))</f>
        <v>10000=0.06;600801=0.008</v>
      </c>
    </row>
    <row r="50" spans="1:22">
      <c r="A50" s="3">
        <v>201806</v>
      </c>
      <c r="B50" s="26" t="str">
        <f>VLOOKUP(A50,monster!A:D,4,0)</f>
        <v>脑型大水母</v>
      </c>
      <c r="C50" s="27">
        <f>_xlfn.XLOOKUP(A50,monster!A:A,monster!H:H)</f>
        <v>192</v>
      </c>
      <c r="D50" s="27" cm="1">
        <f t="array" ref="D50">_xlfn.LET(_xlpm.arr_loot,G50:L50,_xlpm.arr_odds,M50:R50*$AB$8,SUM(IF(_xlpm.arr_loot&lt;&gt;"",VLOOKUP(_xlpm.arr_loot,table_loot[#All],3,0)*_xlpm.arr_odds,0)))</f>
        <v>0.6435</v>
      </c>
      <c r="E50" s="27">
        <f t="shared" si="2"/>
        <v>1.04999999999998</v>
      </c>
      <c r="G50" s="3">
        <v>10000</v>
      </c>
      <c r="H50" s="3">
        <v>600804</v>
      </c>
      <c r="M50" s="39">
        <f>C50*5/1000*10000</f>
        <v>9600</v>
      </c>
      <c r="N50" s="39">
        <v>143</v>
      </c>
      <c r="T50" s="34" t="str" cm="1">
        <f t="array" ref="T50">_xlfn.LET(_xlpm.arr_loot,G50:L50,_xlpm.arr_odds,M50:R50*$AB$8,_xlfn.TEXTJOIN("; ",1,IF(_xlpm.arr_loot&lt;&gt;"",VLOOKUP(_xlpm.arr_loot,table_loot[#All],2,0)&amp;":"&amp;TEXT(_xlpm.arr_odds,"0.00%"),"")))</f>
        <v>通用钱币:96.00%; 海蜇肉:1.43%</v>
      </c>
      <c r="V50" s="10" t="str" cm="1">
        <f t="array" ref="V50">_xlfn.LET(_xlpm.arr_loot,G50:L50,_xlpm.arr_odds,M50:R50*$AB$8,_xlfn.TEXTJOIN(";",1,IF(_xlpm.arr_loot&lt;&gt;"",_xlpm.arr_loot&amp;"="&amp;_xlpm.arr_odds,"")))</f>
        <v>10000=0.96;600804=0.0143</v>
      </c>
    </row>
    <row r="51" spans="1:22">
      <c r="A51" s="3">
        <v>201807</v>
      </c>
      <c r="B51" s="26" t="str">
        <f>VLOOKUP(A51,monster!A:D,4,0)</f>
        <v>针刺小水母</v>
      </c>
      <c r="C51" s="27">
        <f>_xlfn.XLOOKUP(A51,monster!A:A,monster!H:H)</f>
        <v>2</v>
      </c>
      <c r="D51" s="27" cm="1">
        <f t="array" ref="D51">_xlfn.LET(_xlpm.arr_loot,G51:L51,_xlpm.arr_odds,M51:R51*$AB$8,SUM(IF(_xlpm.arr_loot&lt;&gt;"",VLOOKUP(_xlpm.arr_loot,table_loot[#All],3,0)*_xlpm.arr_odds,0)))</f>
        <v>0</v>
      </c>
      <c r="E51" s="27" t="str">
        <f t="shared" si="2"/>
        <v>——</v>
      </c>
      <c r="T51" s="34" t="str" cm="1">
        <f t="array" ref="T51">_xlfn.LET(_xlpm.arr_loot,G51:L51,_xlpm.arr_odds,M51:R51*$AB$8,_xlfn.TEXTJOIN("; ",1,IF(_xlpm.arr_loot&lt;&gt;"",VLOOKUP(_xlpm.arr_loot,table_loot[#All],2,0)&amp;":"&amp;TEXT(_xlpm.arr_odds,"0.00%"),"")))</f>
        <v/>
      </c>
      <c r="V51" s="10" t="str" cm="1">
        <f t="array" ref="V51">_xlfn.LET(_xlpm.arr_loot,G51:L51,_xlpm.arr_odds,M51:R51*$AB$8,_xlfn.TEXTJOIN(";",1,IF(_xlpm.arr_loot&lt;&gt;"",_xlpm.arr_loot&amp;"="&amp;_xlpm.arr_odds,"")))</f>
        <v/>
      </c>
    </row>
    <row r="52" spans="1:22">
      <c r="A52" s="3">
        <v>201809</v>
      </c>
      <c r="B52" s="26" t="str">
        <f>VLOOKUP(A52,monster!A:D,4,0)</f>
        <v>印花水母</v>
      </c>
      <c r="C52" s="27">
        <f>_xlfn.XLOOKUP(A52,monster!A:A,monster!H:H)</f>
        <v>43</v>
      </c>
      <c r="D52" s="27" cm="1">
        <f t="array" ref="D52">_xlfn.LET(_xlpm.arr_loot,G52:L52,_xlpm.arr_odds,M52:R52*$AB$8,SUM(IF(_xlpm.arr_loot&lt;&gt;"",VLOOKUP(_xlpm.arr_loot,table_loot[#All],3,0)*_xlpm.arr_odds,0)))</f>
        <v>0.144</v>
      </c>
      <c r="E52" s="27">
        <f t="shared" si="2"/>
        <v>0.200000000000003</v>
      </c>
      <c r="G52" s="3">
        <v>10000</v>
      </c>
      <c r="H52" s="3">
        <v>600804</v>
      </c>
      <c r="M52" s="39">
        <f t="shared" ref="M52:M57" si="3">C52*5/1000*10000</f>
        <v>2150</v>
      </c>
      <c r="N52" s="39">
        <v>32</v>
      </c>
      <c r="T52" s="34" t="str" cm="1">
        <f t="array" ref="T52">_xlfn.LET(_xlpm.arr_loot,G52:L52,_xlpm.arr_odds,M52:R52*$AB$8,_xlfn.TEXTJOIN("; ",1,IF(_xlpm.arr_loot&lt;&gt;"",VLOOKUP(_xlpm.arr_loot,table_loot[#All],2,0)&amp;":"&amp;TEXT(_xlpm.arr_odds,"0.00%"),"")))</f>
        <v>通用钱币:21.50%; 海蜇肉:0.32%</v>
      </c>
      <c r="V52" s="10" t="str" cm="1">
        <f t="array" ref="V52">_xlfn.LET(_xlpm.arr_loot,G52:L52,_xlpm.arr_odds,M52:R52*$AB$8,_xlfn.TEXTJOIN(";",1,IF(_xlpm.arr_loot&lt;&gt;"",_xlpm.arr_loot&amp;"="&amp;_xlpm.arr_odds,"")))</f>
        <v>10000=0.215;600804=0.0032</v>
      </c>
    </row>
    <row r="53" spans="1:22">
      <c r="A53" s="3">
        <v>201810</v>
      </c>
      <c r="B53" s="26" t="str">
        <f>VLOOKUP(A53,monster!A:D,4,0)</f>
        <v>混沌沼泽怪</v>
      </c>
      <c r="C53" s="27">
        <f>_xlfn.XLOOKUP(A53,monster!A:A,monster!H:H)</f>
        <v>60</v>
      </c>
      <c r="D53" s="27" cm="1">
        <f t="array" ref="D53">_xlfn.LET(_xlpm.arr_loot,G53:L53,_xlpm.arr_odds,M53:R53*$AB$8,SUM(IF(_xlpm.arr_loot&lt;&gt;"",VLOOKUP(_xlpm.arr_loot,table_loot[#All],3,0)*_xlpm.arr_odds,0)))</f>
        <v>0.03</v>
      </c>
      <c r="E53" s="27">
        <f t="shared" si="2"/>
        <v>-51</v>
      </c>
      <c r="G53" s="3">
        <v>10000</v>
      </c>
      <c r="H53" s="3">
        <v>600801</v>
      </c>
      <c r="M53" s="39">
        <f t="shared" si="3"/>
        <v>3000</v>
      </c>
      <c r="N53" s="3">
        <v>60</v>
      </c>
      <c r="T53" s="34" t="str" cm="1">
        <f t="array" ref="T53">_xlfn.LET(_xlpm.arr_loot,G53:L53,_xlpm.arr_odds,M53:R53*$AB$8,_xlfn.TEXTJOIN("; ",1,IF(_xlpm.arr_loot&lt;&gt;"",VLOOKUP(_xlpm.arr_loot,table_loot[#All],2,0)&amp;":"&amp;TEXT(_xlpm.arr_odds,"0.00%"),"")))</f>
        <v>通用钱币:30.00%; 海草:0.60%</v>
      </c>
      <c r="V53" s="10" t="str" cm="1">
        <f t="array" ref="V53">_xlfn.LET(_xlpm.arr_loot,G53:L53,_xlpm.arr_odds,M53:R53*$AB$8,_xlfn.TEXTJOIN(";",1,IF(_xlpm.arr_loot&lt;&gt;"",_xlpm.arr_loot&amp;"="&amp;_xlpm.arr_odds,"")))</f>
        <v>10000=0.3;600801=0.006</v>
      </c>
    </row>
    <row r="54" spans="1:22">
      <c r="A54" s="3">
        <v>201811</v>
      </c>
      <c r="B54" s="26" t="str">
        <f>VLOOKUP(A54,monster!A:D,4,0)</f>
        <v>青蛙</v>
      </c>
      <c r="C54" s="27">
        <f>_xlfn.XLOOKUP(A54,monster!A:A,monster!H:H)</f>
        <v>35</v>
      </c>
      <c r="D54" s="27" cm="1">
        <f t="array" ref="D54">_xlfn.LET(_xlpm.arr_loot,G54:L54,_xlpm.arr_odds,M54:R54*$AB$8,SUM(IF(_xlpm.arr_loot&lt;&gt;"",VLOOKUP(_xlpm.arr_loot,table_loot[#All],3,0)*_xlpm.arr_odds,0)))</f>
        <v>0.1164</v>
      </c>
      <c r="E54" s="27">
        <f t="shared" si="2"/>
        <v>-0.0799999999999983</v>
      </c>
      <c r="G54" s="3">
        <v>10000</v>
      </c>
      <c r="H54" s="3">
        <v>600813</v>
      </c>
      <c r="M54" s="39">
        <f t="shared" si="3"/>
        <v>1750</v>
      </c>
      <c r="N54" s="39">
        <v>194</v>
      </c>
      <c r="T54" s="34" t="str" cm="1">
        <f t="array" ref="T54">_xlfn.LET(_xlpm.arr_loot,G54:L54,_xlpm.arr_odds,M54:R54*$AB$8,_xlfn.TEXTJOIN("; ",1,IF(_xlpm.arr_loot&lt;&gt;"",VLOOKUP(_xlpm.arr_loot,table_loot[#All],2,0)&amp;":"&amp;TEXT(_xlpm.arr_odds,"0.00%"),"")))</f>
        <v>通用钱币:17.50%; 湖盐:1.94%</v>
      </c>
      <c r="V54" s="10" t="str" cm="1">
        <f t="array" ref="V54">_xlfn.LET(_xlpm.arr_loot,G54:L54,_xlpm.arr_odds,M54:R54*$AB$8,_xlfn.TEXTJOIN(";",1,IF(_xlpm.arr_loot&lt;&gt;"",_xlpm.arr_loot&amp;"="&amp;_xlpm.arr_odds,"")))</f>
        <v>10000=0.175;600813=0.0194</v>
      </c>
    </row>
    <row r="55" spans="1:22">
      <c r="A55" s="3">
        <v>201813</v>
      </c>
      <c r="B55" s="26" t="str">
        <f>VLOOKUP(A55,monster!A:D,4,0)</f>
        <v>贝壳乌贼</v>
      </c>
      <c r="C55" s="27">
        <f>_xlfn.XLOOKUP(A55,monster!A:A,monster!H:H)</f>
        <v>72</v>
      </c>
      <c r="D55" s="27" cm="1">
        <f t="array" ref="D55">_xlfn.LET(_xlpm.arr_loot,G55:L55,_xlpm.arr_odds,M55:R55*$AB$8,SUM(IF(_xlpm.arr_loot&lt;&gt;"",VLOOKUP(_xlpm.arr_loot,table_loot[#All],3,0)*_xlpm.arr_odds,0)))</f>
        <v>0.036</v>
      </c>
      <c r="E55" s="27">
        <f t="shared" si="2"/>
        <v>-61.2</v>
      </c>
      <c r="G55" s="3">
        <v>10000</v>
      </c>
      <c r="H55" s="3">
        <v>600801</v>
      </c>
      <c r="M55" s="39">
        <f t="shared" si="3"/>
        <v>3600</v>
      </c>
      <c r="N55" s="3">
        <v>72</v>
      </c>
      <c r="T55" s="34" t="str" cm="1">
        <f t="array" ref="T55">_xlfn.LET(_xlpm.arr_loot,G55:L55,_xlpm.arr_odds,M55:R55*$AB$8,_xlfn.TEXTJOIN("; ",1,IF(_xlpm.arr_loot&lt;&gt;"",VLOOKUP(_xlpm.arr_loot,table_loot[#All],2,0)&amp;":"&amp;TEXT(_xlpm.arr_odds,"0.00%"),"")))</f>
        <v>通用钱币:36.00%; 海草:0.72%</v>
      </c>
      <c r="V55" s="10" t="str" cm="1">
        <f t="array" ref="V55">_xlfn.LET(_xlpm.arr_loot,G55:L55,_xlpm.arr_odds,M55:R55*$AB$8,_xlfn.TEXTJOIN(";",1,IF(_xlpm.arr_loot&lt;&gt;"",_xlpm.arr_loot&amp;"="&amp;_xlpm.arr_odds,"")))</f>
        <v>10000=0.36;600801=0.0072</v>
      </c>
    </row>
    <row r="56" spans="1:22">
      <c r="A56" s="3">
        <v>201814</v>
      </c>
      <c r="B56" s="26" t="str">
        <f>VLOOKUP(A56,monster!A:D,4,0)</f>
        <v>弱小螃蟹</v>
      </c>
      <c r="C56" s="27">
        <f>_xlfn.XLOOKUP(A56,monster!A:A,monster!H:H)</f>
        <v>27</v>
      </c>
      <c r="D56" s="27" cm="1">
        <f t="array" ref="D56">_xlfn.LET(_xlpm.arr_loot,G56:L56,_xlpm.arr_odds,M56:R56*$AB$8,SUM(IF(_xlpm.arr_loot&lt;&gt;"",VLOOKUP(_xlpm.arr_loot,table_loot[#All],3,0)*_xlpm.arr_odds,0)))</f>
        <v>0.0915</v>
      </c>
      <c r="E56" s="27">
        <f t="shared" si="2"/>
        <v>0.449999999999999</v>
      </c>
      <c r="G56" s="3">
        <v>10000</v>
      </c>
      <c r="H56" s="3">
        <v>600805</v>
      </c>
      <c r="I56" s="3">
        <v>600806</v>
      </c>
      <c r="M56" s="39">
        <f t="shared" si="3"/>
        <v>1350</v>
      </c>
      <c r="N56" s="39">
        <v>28</v>
      </c>
      <c r="O56" s="39">
        <v>25</v>
      </c>
      <c r="T56" s="34" t="str" cm="1">
        <f t="array" ref="T56">_xlfn.LET(_xlpm.arr_loot,G56:L56,_xlpm.arr_odds,M56:R56*$AB$8,_xlfn.TEXTJOIN("; ",1,IF(_xlpm.arr_loot&lt;&gt;"",VLOOKUP(_xlpm.arr_loot,table_loot[#All],2,0)&amp;":"&amp;TEXT(_xlpm.arr_odds,"0.00%"),"")))</f>
        <v>通用钱币:13.50%; 蟹肉:0.28%; 蟹钳:0.25%</v>
      </c>
      <c r="V56" s="10" t="str" cm="1">
        <f t="array" ref="V56">_xlfn.LET(_xlpm.arr_loot,G56:L56,_xlpm.arr_odds,M56:R56*$AB$8,_xlfn.TEXTJOIN(";",1,IF(_xlpm.arr_loot&lt;&gt;"",_xlpm.arr_loot&amp;"="&amp;_xlpm.arr_odds,"")))</f>
        <v>10000=0.135;600805=0.0028;600806=0.0025</v>
      </c>
    </row>
    <row r="57" spans="1:22">
      <c r="A57" s="3">
        <v>201815</v>
      </c>
      <c r="B57" s="26" t="str">
        <f>VLOOKUP(A57,monster!A:D,4,0)</f>
        <v>大钳螃蟹</v>
      </c>
      <c r="C57" s="27">
        <f>_xlfn.XLOOKUP(A57,monster!A:A,monster!H:H)</f>
        <v>49</v>
      </c>
      <c r="D57" s="27" cm="1">
        <f t="array" ref="D57">_xlfn.LET(_xlpm.arr_loot,G57:L57,_xlpm.arr_odds,M57:R57*$AB$8,SUM(IF(_xlpm.arr_loot&lt;&gt;"",VLOOKUP(_xlpm.arr_loot,table_loot[#All],3,0)*_xlpm.arr_odds,0)))</f>
        <v>0.1638</v>
      </c>
      <c r="E57" s="27">
        <f t="shared" si="2"/>
        <v>0.140000000000008</v>
      </c>
      <c r="G57" s="3">
        <v>10000</v>
      </c>
      <c r="H57" s="3">
        <v>600805</v>
      </c>
      <c r="I57" s="3">
        <v>600806</v>
      </c>
      <c r="M57" s="39">
        <f t="shared" si="3"/>
        <v>2450</v>
      </c>
      <c r="N57" s="39">
        <v>52</v>
      </c>
      <c r="O57" s="39">
        <v>26</v>
      </c>
      <c r="T57" s="34" t="str" cm="1">
        <f t="array" ref="T57">_xlfn.LET(_xlpm.arr_loot,G57:L57,_xlpm.arr_odds,M57:R57*$AB$8,_xlfn.TEXTJOIN("; ",1,IF(_xlpm.arr_loot&lt;&gt;"",VLOOKUP(_xlpm.arr_loot,table_loot[#All],2,0)&amp;":"&amp;TEXT(_xlpm.arr_odds,"0.00%"),"")))</f>
        <v>通用钱币:24.50%; 蟹肉:0.52%; 蟹钳:0.26%</v>
      </c>
      <c r="V57" s="10" t="str" cm="1">
        <f t="array" ref="V57">_xlfn.LET(_xlpm.arr_loot,G57:L57,_xlpm.arr_odds,M57:R57*$AB$8,_xlfn.TEXTJOIN(";",1,IF(_xlpm.arr_loot&lt;&gt;"",_xlpm.arr_loot&amp;"="&amp;_xlpm.arr_odds,"")))</f>
        <v>10000=0.245;600805=0.0052;600806=0.0026</v>
      </c>
    </row>
    <row r="58" spans="1:22">
      <c r="A58" s="3">
        <v>201818</v>
      </c>
      <c r="B58" s="26" t="str">
        <f>VLOOKUP(A58,monster!A:D,4,0)</f>
        <v>聒噪海贝</v>
      </c>
      <c r="C58" s="27">
        <f>_xlfn.XLOOKUP(A58,monster!A:A,monster!H:H)</f>
        <v>31</v>
      </c>
      <c r="D58" s="27" cm="1">
        <f t="array" ref="D58">_xlfn.LET(_xlpm.arr_loot,G58:L58,_xlpm.arr_odds,M58:R58*$AB$8,SUM(IF(_xlpm.arr_loot&lt;&gt;"",VLOOKUP(_xlpm.arr_loot,table_loot[#All],3,0)*_xlpm.arr_odds,0)))</f>
        <v>0.1027</v>
      </c>
      <c r="E58" s="27">
        <f t="shared" si="2"/>
        <v>-0.189999999999998</v>
      </c>
      <c r="G58" s="3">
        <v>10000</v>
      </c>
      <c r="H58" s="3">
        <v>600807</v>
      </c>
      <c r="I58" s="3">
        <v>600808</v>
      </c>
      <c r="J58" s="3">
        <v>600809</v>
      </c>
      <c r="K58" s="3">
        <v>600810</v>
      </c>
      <c r="M58" s="39">
        <f t="shared" ref="M58" si="4">C58*5/1000*10000</f>
        <v>1550</v>
      </c>
      <c r="N58" s="39">
        <v>43</v>
      </c>
      <c r="O58" s="39">
        <v>61</v>
      </c>
      <c r="P58" s="39">
        <v>15</v>
      </c>
      <c r="Q58" s="39">
        <v>1</v>
      </c>
      <c r="T58" s="34" t="str" cm="1">
        <f t="array" ref="T58">_xlfn.LET(_xlpm.arr_loot,G58:L58,_xlpm.arr_odds,M58:R58*$AB$8,_xlfn.TEXTJOIN("; ",1,IF(_xlpm.arr_loot&lt;&gt;"",VLOOKUP(_xlpm.arr_loot,table_loot[#All],2,0)&amp;":"&amp;TEXT(_xlpm.arr_odds,"0.00%"),"")))</f>
        <v>通用钱币:15.50%; 贝肉:0.43%; 蚌壳:0.61%; 珍珠:0.15%; 黑珍珠:0.01%</v>
      </c>
      <c r="V58" s="10" t="str" cm="1">
        <f t="array" ref="V58">_xlfn.LET(_xlpm.arr_loot,G58:L58,_xlpm.arr_odds,M58:R58*$AB$8,_xlfn.TEXTJOIN(";",1,IF(_xlpm.arr_loot&lt;&gt;"",_xlpm.arr_loot&amp;"="&amp;_xlpm.arr_odds,"")))</f>
        <v>10000=0.155;600807=0.0043;600808=0.0061;600809=0.0015;600810=0.0001</v>
      </c>
    </row>
    <row r="59" spans="1:22">
      <c r="A59" s="3">
        <v>201819</v>
      </c>
      <c r="B59" s="26" t="str">
        <f>VLOOKUP(A59,monster!A:D,4,0)</f>
        <v>凶猛海贝</v>
      </c>
      <c r="C59" s="27">
        <f>_xlfn.XLOOKUP(A59,monster!A:A,monster!H:H)</f>
        <v>53</v>
      </c>
      <c r="D59" s="27" cm="1">
        <f t="array" ref="D59">_xlfn.LET(_xlpm.arr_loot,G59:L59,_xlpm.arr_odds,M59:R59*$AB$8,SUM(IF(_xlpm.arr_loot&lt;&gt;"",VLOOKUP(_xlpm.arr_loot,table_loot[#All],3,0)*_xlpm.arr_odds,0)))</f>
        <v>0.1755</v>
      </c>
      <c r="E59" s="27">
        <f t="shared" si="2"/>
        <v>-0.349999999999994</v>
      </c>
      <c r="G59" s="3">
        <v>10000</v>
      </c>
      <c r="H59" s="3">
        <v>600807</v>
      </c>
      <c r="I59" s="3">
        <v>600808</v>
      </c>
      <c r="J59" s="3">
        <v>600809</v>
      </c>
      <c r="K59" s="3">
        <v>600810</v>
      </c>
      <c r="M59" s="39">
        <f t="shared" ref="M59:M62" si="5">C59*5/1000*10000</f>
        <v>2650</v>
      </c>
      <c r="N59" s="39">
        <v>74</v>
      </c>
      <c r="O59" s="39">
        <v>60</v>
      </c>
      <c r="P59" s="39">
        <v>28</v>
      </c>
      <c r="Q59" s="39">
        <v>3</v>
      </c>
      <c r="T59" s="34" t="str" cm="1">
        <f t="array" ref="T59">_xlfn.LET(_xlpm.arr_loot,G59:L59,_xlpm.arr_odds,M59:R59*$AB$8,_xlfn.TEXTJOIN("; ",1,IF(_xlpm.arr_loot&lt;&gt;"",VLOOKUP(_xlpm.arr_loot,table_loot[#All],2,0)&amp;":"&amp;TEXT(_xlpm.arr_odds,"0.00%"),"")))</f>
        <v>通用钱币:26.50%; 贝肉:0.74%; 蚌壳:0.60%; 珍珠:0.28%; 黑珍珠:0.03%</v>
      </c>
      <c r="V59" s="10" t="str" cm="1">
        <f t="array" ref="V59">_xlfn.LET(_xlpm.arr_loot,G59:L59,_xlpm.arr_odds,M59:R59*$AB$8,_xlfn.TEXTJOIN(";",1,IF(_xlpm.arr_loot&lt;&gt;"",_xlpm.arr_loot&amp;"="&amp;_xlpm.arr_odds,"")))</f>
        <v>10000=0.265;600807=0.0074;600808=0.006;600809=0.0028;600810=0.0003</v>
      </c>
    </row>
    <row r="60" spans="1:22">
      <c r="A60" s="3">
        <v>201820</v>
      </c>
      <c r="B60" s="26" t="str">
        <f>VLOOKUP(A60,monster!A:D,4,0)</f>
        <v>小·印花水母</v>
      </c>
      <c r="C60" s="27">
        <f>_xlfn.XLOOKUP(A60,monster!A:A,monster!H:H)</f>
        <v>43</v>
      </c>
      <c r="D60" s="27" cm="1">
        <f t="array" ref="D60">_xlfn.LET(_xlpm.arr_loot,G60:L60,_xlpm.arr_odds,M60:R60*$AB$8,SUM(IF(_xlpm.arr_loot&lt;&gt;"",VLOOKUP(_xlpm.arr_loot,table_loot[#All],3,0)*_xlpm.arr_odds,0)))</f>
        <v>0.144</v>
      </c>
      <c r="E60" s="27">
        <f t="shared" ref="E60" si="6">IF(AND(A60&lt;&gt;"",G60&lt;&gt;""),D60*$AB$9-C60,"——")</f>
        <v>0.200000000000003</v>
      </c>
      <c r="G60" s="3">
        <v>10000</v>
      </c>
      <c r="H60" s="3">
        <v>600804</v>
      </c>
      <c r="M60" s="39">
        <f t="shared" si="5"/>
        <v>2150</v>
      </c>
      <c r="N60" s="39">
        <v>32</v>
      </c>
      <c r="T60" s="34" t="str" cm="1">
        <f t="array" ref="T60">_xlfn.LET(_xlpm.arr_loot,G60:L60,_xlpm.arr_odds,M60:R60*$AB$8,_xlfn.TEXTJOIN("; ",1,IF(_xlpm.arr_loot&lt;&gt;"",VLOOKUP(_xlpm.arr_loot,table_loot[#All],2,0)&amp;":"&amp;TEXT(_xlpm.arr_odds,"0.00%"),"")))</f>
        <v>通用钱币:21.50%; 海蜇肉:0.32%</v>
      </c>
      <c r="V60" s="10" t="str" cm="1">
        <f t="array" ref="V60">_xlfn.LET(_xlpm.arr_loot,G60:L60,_xlpm.arr_odds,M60:R60*$AB$8,_xlfn.TEXTJOIN(";",1,IF(_xlpm.arr_loot&lt;&gt;"",_xlpm.arr_loot&amp;"="&amp;_xlpm.arr_odds,"")))</f>
        <v>10000=0.215;600804=0.0032</v>
      </c>
    </row>
    <row r="61" spans="1:22">
      <c r="A61" s="3">
        <v>201821</v>
      </c>
      <c r="B61" s="26" t="str">
        <f>VLOOKUP(A61,monster!A:D,4,0)</f>
        <v>小·聒噪海贝</v>
      </c>
      <c r="C61" s="27">
        <f>_xlfn.XLOOKUP(A61,monster!A:A,monster!H:H)</f>
        <v>31</v>
      </c>
      <c r="D61" s="27" cm="1">
        <f t="array" ref="D61">_xlfn.LET(_xlpm.arr_loot,G61:L61,_xlpm.arr_odds,M61:R61*$AB$8,SUM(IF(_xlpm.arr_loot&lt;&gt;"",VLOOKUP(_xlpm.arr_loot,table_loot[#All],3,0)*_xlpm.arr_odds,0)))</f>
        <v>0.1027</v>
      </c>
      <c r="E61" s="27">
        <f t="shared" ref="E61:E62" si="7">IF(AND(A61&lt;&gt;"",G61&lt;&gt;""),D61*$AB$9-C61,"——")</f>
        <v>-0.189999999999998</v>
      </c>
      <c r="G61" s="3">
        <v>10000</v>
      </c>
      <c r="H61" s="3">
        <v>600807</v>
      </c>
      <c r="I61" s="3">
        <v>600808</v>
      </c>
      <c r="J61" s="3">
        <v>600809</v>
      </c>
      <c r="K61" s="3">
        <v>600810</v>
      </c>
      <c r="M61" s="39">
        <f t="shared" si="5"/>
        <v>1550</v>
      </c>
      <c r="N61" s="39">
        <v>43</v>
      </c>
      <c r="O61" s="39">
        <v>61</v>
      </c>
      <c r="P61" s="39">
        <v>15</v>
      </c>
      <c r="Q61" s="39">
        <v>1</v>
      </c>
      <c r="T61" s="34" t="str" cm="1">
        <f t="array" ref="T61">_xlfn.LET(_xlpm.arr_loot,G61:L61,_xlpm.arr_odds,M61:R61*$AB$8,_xlfn.TEXTJOIN("; ",1,IF(_xlpm.arr_loot&lt;&gt;"",VLOOKUP(_xlpm.arr_loot,table_loot[#All],2,0)&amp;":"&amp;TEXT(_xlpm.arr_odds,"0.00%"),"")))</f>
        <v>通用钱币:15.50%; 贝肉:0.43%; 蚌壳:0.61%; 珍珠:0.15%; 黑珍珠:0.01%</v>
      </c>
      <c r="V61" s="10" t="str" cm="1">
        <f t="array" ref="V61">_xlfn.LET(_xlpm.arr_loot,G61:L61,_xlpm.arr_odds,M61:R61*$AB$8,_xlfn.TEXTJOIN(";",1,IF(_xlpm.arr_loot&lt;&gt;"",_xlpm.arr_loot&amp;"="&amp;_xlpm.arr_odds,"")))</f>
        <v>10000=0.155;600807=0.0043;600808=0.0061;600809=0.0015;600810=0.0001</v>
      </c>
    </row>
    <row r="62" spans="1:22">
      <c r="A62" s="3">
        <v>201822</v>
      </c>
      <c r="B62" s="26" t="str">
        <f>VLOOKUP(A62,monster!A:D,4,0)</f>
        <v>小·海藻小妖</v>
      </c>
      <c r="C62" s="27">
        <f>_xlfn.XLOOKUP(A62,monster!A:A,monster!H:H)</f>
        <v>24</v>
      </c>
      <c r="D62" s="27" cm="1">
        <f t="array" ref="D62">_xlfn.LET(_xlpm.arr_loot,G62:L62,_xlpm.arr_odds,M62:R62*$AB$8,SUM(IF(_xlpm.arr_loot&lt;&gt;"",VLOOKUP(_xlpm.arr_loot,table_loot[#All],3,0)*_xlpm.arr_odds,0)))</f>
        <v>0.0781</v>
      </c>
      <c r="E62" s="27">
        <f t="shared" si="7"/>
        <v>-0.57</v>
      </c>
      <c r="G62" s="3">
        <v>10000</v>
      </c>
      <c r="H62" s="3">
        <v>600801</v>
      </c>
      <c r="I62" s="3">
        <v>600811</v>
      </c>
      <c r="J62" s="3">
        <v>600813</v>
      </c>
      <c r="M62" s="39">
        <f t="shared" si="5"/>
        <v>1200</v>
      </c>
      <c r="N62" s="39">
        <v>125</v>
      </c>
      <c r="O62" s="39">
        <v>6</v>
      </c>
      <c r="P62" s="39">
        <v>6</v>
      </c>
      <c r="T62" s="34" t="str" cm="1">
        <f t="array" ref="T62">_xlfn.LET(_xlpm.arr_loot,G62:L62,_xlpm.arr_odds,M62:R62*$AB$8,_xlfn.TEXTJOIN("; ",1,IF(_xlpm.arr_loot&lt;&gt;"",VLOOKUP(_xlpm.arr_loot,table_loot[#All],2,0)&amp;":"&amp;TEXT(_xlpm.arr_odds,"0.00%"),"")))</f>
        <v>通用钱币:12.00%; 海草:1.25%; 朽木:0.06%; 湖盐:0.06%</v>
      </c>
      <c r="V62" s="10" t="str" cm="1">
        <f t="array" ref="V62">_xlfn.LET(_xlpm.arr_loot,G62:L62,_xlpm.arr_odds,M62:R62*$AB$8,_xlfn.TEXTJOIN(";",1,IF(_xlpm.arr_loot&lt;&gt;"",_xlpm.arr_loot&amp;"="&amp;_xlpm.arr_odds,"")))</f>
        <v>10000=0.12;600801=0.0125;600811=0.0006;600813=0.0006</v>
      </c>
    </row>
    <row r="63" spans="1:22">
      <c r="A63" s="3">
        <v>201850</v>
      </c>
      <c r="B63" s="26" t="str">
        <f>VLOOKUP(A63,monster!A:D,4,0)</f>
        <v>金鱼王</v>
      </c>
      <c r="C63" s="27">
        <f>_xlfn.XLOOKUP(A63,monster!A:A,monster!H:H)</f>
        <v>3500</v>
      </c>
      <c r="D63" s="27" cm="1">
        <f t="array" ref="D63">_xlfn.LET(_xlpm.arr_loot,G63:L63,_xlpm.arr_odds,M63:R63*$AB$8,SUM(IF(_xlpm.arr_loot&lt;&gt;"",VLOOKUP(_xlpm.arr_loot,table_loot[#All],3,0)*_xlpm.arr_odds,0)))</f>
        <v>0</v>
      </c>
      <c r="E63" s="27" t="str">
        <f t="shared" si="2"/>
        <v>——</v>
      </c>
      <c r="T63" s="34" t="str" cm="1">
        <f t="array" ref="T63">_xlfn.LET(_xlpm.arr_loot,G63:L63,_xlpm.arr_odds,M63:R63*$AB$8,_xlfn.TEXTJOIN("; ",1,IF(_xlpm.arr_loot&lt;&gt;"",VLOOKUP(_xlpm.arr_loot,table_loot[#All],2,0)&amp;":"&amp;TEXT(_xlpm.arr_odds,"0.00%"),"")))</f>
        <v/>
      </c>
      <c r="V63" s="10" t="str" cm="1">
        <f t="array" ref="V63">_xlfn.LET(_xlpm.arr_loot,G63:L63,_xlpm.arr_odds,M63:R63*$AB$8,_xlfn.TEXTJOIN(";",1,IF(_xlpm.arr_loot&lt;&gt;"",_xlpm.arr_loot&amp;"="&amp;_xlpm.arr_odds,"")))</f>
        <v/>
      </c>
    </row>
    <row r="64" spans="1:22">
      <c r="A64" s="3">
        <v>201860</v>
      </c>
      <c r="B64" s="26" t="str">
        <f>VLOOKUP(A64,monster!A:D,4,0)</f>
        <v>渊齿</v>
      </c>
      <c r="C64" s="27">
        <f>_xlfn.XLOOKUP(A64,monster!A:A,monster!H:H)</f>
        <v>4000</v>
      </c>
      <c r="D64" s="27" cm="1">
        <f t="array" ref="D64">_xlfn.LET(_xlpm.arr_loot,G64:L64,_xlpm.arr_odds,M64:R64*$AB$8,SUM(IF(_xlpm.arr_loot&lt;&gt;"",VLOOKUP(_xlpm.arr_loot,table_loot[#All],3,0)*_xlpm.arr_odds,0)))</f>
        <v>0</v>
      </c>
      <c r="E64" s="27" t="str">
        <f t="shared" si="2"/>
        <v>——</v>
      </c>
      <c r="T64" s="34" t="str" cm="1">
        <f t="array" ref="T64">_xlfn.LET(_xlpm.arr_loot,G64:L64,_xlpm.arr_odds,M64:R64*$AB$8,_xlfn.TEXTJOIN("; ",1,IF(_xlpm.arr_loot&lt;&gt;"",VLOOKUP(_xlpm.arr_loot,table_loot[#All],2,0)&amp;":"&amp;TEXT(_xlpm.arr_odds,"0.00%"),"")))</f>
        <v/>
      </c>
      <c r="V64" s="10" t="str" cm="1">
        <f t="array" ref="V64">_xlfn.LET(_xlpm.arr_loot,G64:L64,_xlpm.arr_odds,M64:R64*$AB$8,_xlfn.TEXTJOIN(";",1,IF(_xlpm.arr_loot&lt;&gt;"",_xlpm.arr_loot&amp;"="&amp;_xlpm.arr_odds,"")))</f>
        <v/>
      </c>
    </row>
    <row r="65" spans="1:22">
      <c r="A65" s="3">
        <v>201870</v>
      </c>
      <c r="B65" s="26" t="str">
        <f>VLOOKUP(A65,monster!A:D,4,0)</f>
        <v>缠绕水藻</v>
      </c>
      <c r="C65" s="27">
        <f>_xlfn.XLOOKUP(A65,monster!A:A,monster!H:H)</f>
        <v>3000</v>
      </c>
      <c r="D65" s="27" cm="1">
        <f t="array" ref="D65">_xlfn.LET(_xlpm.arr_loot,G65:L65,_xlpm.arr_odds,M65:R65*$AB$8,SUM(IF(_xlpm.arr_loot&lt;&gt;"",VLOOKUP(_xlpm.arr_loot,table_loot[#All],3,0)*_xlpm.arr_odds,0)))</f>
        <v>0</v>
      </c>
      <c r="E65" s="27" t="str">
        <f t="shared" si="2"/>
        <v>——</v>
      </c>
      <c r="T65" s="34" t="str" cm="1">
        <f t="array" ref="T65">_xlfn.LET(_xlpm.arr_loot,G65:L65,_xlpm.arr_odds,M65:R65*$AB$8,_xlfn.TEXTJOIN("; ",1,IF(_xlpm.arr_loot&lt;&gt;"",VLOOKUP(_xlpm.arr_loot,table_loot[#All],2,0)&amp;":"&amp;TEXT(_xlpm.arr_odds,"0.00%"),"")))</f>
        <v/>
      </c>
      <c r="V65" s="10" t="str" cm="1">
        <f t="array" ref="V65">_xlfn.LET(_xlpm.arr_loot,G65:L65,_xlpm.arr_odds,M65:R65*$AB$8,_xlfn.TEXTJOIN(";",1,IF(_xlpm.arr_loot&lt;&gt;"",_xlpm.arr_loot&amp;"="&amp;_xlpm.arr_odds,"")))</f>
        <v/>
      </c>
    </row>
    <row r="66" spans="1:22">
      <c r="C66" s="27">
        <f>_xlfn.XLOOKUP(A66,monster!A:A,monster!H:H)</f>
        <v>0</v>
      </c>
      <c r="D66" s="27" cm="1">
        <f t="array" ref="D66">_xlfn.LET(_xlpm.arr_loot,G66:L66,_xlpm.arr_odds,M66:R66*$AB$8,SUM(IF(_xlpm.arr_loot&lt;&gt;"",VLOOKUP(_xlpm.arr_loot,table_loot[#All],3,0)*_xlpm.arr_odds,0)))</f>
        <v>0</v>
      </c>
      <c r="E66" s="27" t="str">
        <f t="shared" si="2"/>
        <v>——</v>
      </c>
      <c r="T66" s="34" t="str" cm="1">
        <f t="array" ref="T66">_xlfn.LET(_xlpm.arr_loot,G66:L66,_xlpm.arr_odds,M66:R66*$AB$8,_xlfn.TEXTJOIN("; ",1,IF(_xlpm.arr_loot&lt;&gt;"",VLOOKUP(_xlpm.arr_loot,table_loot[#All],2,0)&amp;":"&amp;TEXT(_xlpm.arr_odds,"0.00%"),"")))</f>
        <v/>
      </c>
      <c r="V66" s="10" t="str" cm="1">
        <f t="array" ref="V66">_xlfn.LET(_xlpm.arr_loot,G66:L66,_xlpm.arr_odds,M66:R66*$AB$8,_xlfn.TEXTJOIN(";",1,IF(_xlpm.arr_loot&lt;&gt;"",_xlpm.arr_loot&amp;"="&amp;_xlpm.arr_odds,"")))</f>
        <v/>
      </c>
    </row>
    <row r="67" spans="1:22">
      <c r="A67" s="3">
        <v>211101</v>
      </c>
      <c r="B67" s="26" t="str">
        <f>VLOOKUP(A67,monster!A:D,4,0)</f>
        <v>地宫捕奴车-近战</v>
      </c>
      <c r="C67" s="27">
        <f>_xlfn.XLOOKUP(A67,monster!A:A,monster!H:H)</f>
        <v>0</v>
      </c>
      <c r="D67" s="27" cm="1">
        <f t="array" ref="D67">_xlfn.LET(_xlpm.arr_loot,G67:L67,_xlpm.arr_odds,M67:R67*$AB$8,SUM(IF(_xlpm.arr_loot&lt;&gt;"",VLOOKUP(_xlpm.arr_loot,table_loot[#All],3,0)*_xlpm.arr_odds,0)))</f>
        <v>0</v>
      </c>
      <c r="E67" s="27">
        <f t="shared" si="2"/>
        <v>0</v>
      </c>
      <c r="G67" s="3">
        <v>10000</v>
      </c>
      <c r="M67" s="3">
        <v>1000</v>
      </c>
      <c r="T67" s="34" t="str" cm="1">
        <f t="array" ref="T67">_xlfn.LET(_xlpm.arr_loot,G67:L67,_xlpm.arr_odds,M67:R67*$AB$8,_xlfn.TEXTJOIN("; ",1,IF(_xlpm.arr_loot&lt;&gt;"",VLOOKUP(_xlpm.arr_loot,table_loot[#All],2,0)&amp;":"&amp;TEXT(_xlpm.arr_odds,"0.00%"),"")))</f>
        <v>通用钱币:10.00%</v>
      </c>
      <c r="V67" s="10" t="str" cm="1">
        <f t="array" ref="V67">_xlfn.LET(_xlpm.arr_loot,G67:L67,_xlpm.arr_odds,M67:R67*$AB$8,_xlfn.TEXTJOIN(";",1,IF(_xlpm.arr_loot&lt;&gt;"",_xlpm.arr_loot&amp;"="&amp;_xlpm.arr_odds,"")))</f>
        <v>10000=0.1</v>
      </c>
    </row>
    <row r="68" spans="1:22">
      <c r="A68" s="3">
        <v>211102</v>
      </c>
      <c r="B68" s="26" t="str">
        <f>VLOOKUP(A68,monster!A:D,4,0)</f>
        <v>地宫捕奴车-远程</v>
      </c>
      <c r="C68" s="27">
        <f>_xlfn.XLOOKUP(A68,monster!A:A,monster!H:H)</f>
        <v>0</v>
      </c>
      <c r="D68" s="27" cm="1">
        <f t="array" ref="D68">_xlfn.LET(_xlpm.arr_loot,G68:L68,_xlpm.arr_odds,M68:R68*$AB$8,SUM(IF(_xlpm.arr_loot&lt;&gt;"",VLOOKUP(_xlpm.arr_loot,table_loot[#All],3,0)*_xlpm.arr_odds,0)))</f>
        <v>0</v>
      </c>
      <c r="E68" s="27">
        <f t="shared" si="2"/>
        <v>0</v>
      </c>
      <c r="G68" s="3">
        <v>10000</v>
      </c>
      <c r="M68" s="3">
        <v>1000</v>
      </c>
      <c r="T68" s="34" t="str" cm="1">
        <f t="array" ref="T68">_xlfn.LET(_xlpm.arr_loot,G68:L68,_xlpm.arr_odds,M68:R68*$AB$8,_xlfn.TEXTJOIN("; ",1,IF(_xlpm.arr_loot&lt;&gt;"",VLOOKUP(_xlpm.arr_loot,table_loot[#All],2,0)&amp;":"&amp;TEXT(_xlpm.arr_odds,"0.00%"),"")))</f>
        <v>通用钱币:10.00%</v>
      </c>
      <c r="V68" s="10" t="str" cm="1">
        <f t="array" ref="V68">_xlfn.LET(_xlpm.arr_loot,G68:L68,_xlpm.arr_odds,M68:R68*$AB$8,_xlfn.TEXTJOIN(";",1,IF(_xlpm.arr_loot&lt;&gt;"",_xlpm.arr_loot&amp;"="&amp;_xlpm.arr_odds,"")))</f>
        <v>10000=0.1</v>
      </c>
    </row>
    <row r="69" spans="1:22">
      <c r="A69" s="3">
        <v>211111</v>
      </c>
      <c r="B69" s="26" t="str">
        <f>VLOOKUP(A69,monster!A:D,4,0)</f>
        <v>地宫装甲车-近战</v>
      </c>
      <c r="C69" s="27">
        <f>_xlfn.XLOOKUP(A69,monster!A:A,monster!H:H)</f>
        <v>0</v>
      </c>
      <c r="D69" s="27" cm="1">
        <f t="array" ref="D69">_xlfn.LET(_xlpm.arr_loot,G69:L69,_xlpm.arr_odds,M69:R69*$AB$8,SUM(IF(_xlpm.arr_loot&lt;&gt;"",VLOOKUP(_xlpm.arr_loot,table_loot[#All],3,0)*_xlpm.arr_odds,0)))</f>
        <v>0</v>
      </c>
      <c r="E69" s="27">
        <f t="shared" ref="E69:E73" si="8">IF(AND(A69&lt;&gt;"",G69&lt;&gt;""),D69*$AB$9-C69,"——")</f>
        <v>0</v>
      </c>
      <c r="G69" s="3">
        <v>10000</v>
      </c>
      <c r="M69" s="3">
        <v>1000</v>
      </c>
      <c r="T69" s="34" t="str" cm="1">
        <f t="array" ref="T69">_xlfn.LET(_xlpm.arr_loot,G69:L69,_xlpm.arr_odds,M69:R69*$AB$8,_xlfn.TEXTJOIN("; ",1,IF(_xlpm.arr_loot&lt;&gt;"",VLOOKUP(_xlpm.arr_loot,table_loot[#All],2,0)&amp;":"&amp;TEXT(_xlpm.arr_odds,"0.00%"),"")))</f>
        <v>通用钱币:10.00%</v>
      </c>
      <c r="V69" s="10" t="str" cm="1">
        <f t="array" ref="V69">_xlfn.LET(_xlpm.arr_loot,G69:L69,_xlpm.arr_odds,M69:R69*$AB$8,_xlfn.TEXTJOIN(";",1,IF(_xlpm.arr_loot&lt;&gt;"",_xlpm.arr_loot&amp;"="&amp;_xlpm.arr_odds,"")))</f>
        <v>10000=0.1</v>
      </c>
    </row>
    <row r="70" spans="1:22">
      <c r="A70" s="3">
        <v>211112</v>
      </c>
      <c r="B70" s="26" t="str">
        <f>VLOOKUP(A70,monster!A:D,4,0)</f>
        <v>地宫装甲车-远程</v>
      </c>
      <c r="C70" s="27">
        <f>_xlfn.XLOOKUP(A70,monster!A:A,monster!H:H)</f>
        <v>0</v>
      </c>
      <c r="D70" s="27" cm="1">
        <f t="array" ref="D70">_xlfn.LET(_xlpm.arr_loot,G70:L70,_xlpm.arr_odds,M70:R70*$AB$8,SUM(IF(_xlpm.arr_loot&lt;&gt;"",VLOOKUP(_xlpm.arr_loot,table_loot[#All],3,0)*_xlpm.arr_odds,0)))</f>
        <v>0</v>
      </c>
      <c r="E70" s="27">
        <f t="shared" si="8"/>
        <v>0</v>
      </c>
      <c r="G70" s="3">
        <v>10000</v>
      </c>
      <c r="M70" s="3">
        <v>1000</v>
      </c>
      <c r="T70" s="34" t="str" cm="1">
        <f t="array" ref="T70">_xlfn.LET(_xlpm.arr_loot,G70:L70,_xlpm.arr_odds,M70:R70*$AB$8,_xlfn.TEXTJOIN("; ",1,IF(_xlpm.arr_loot&lt;&gt;"",VLOOKUP(_xlpm.arr_loot,table_loot[#All],2,0)&amp;":"&amp;TEXT(_xlpm.arr_odds,"0.00%"),"")))</f>
        <v>通用钱币:10.00%</v>
      </c>
      <c r="V70" s="10" t="str" cm="1">
        <f t="array" ref="V70">_xlfn.LET(_xlpm.arr_loot,G70:L70,_xlpm.arr_odds,M70:R70*$AB$8,_xlfn.TEXTJOIN(";",1,IF(_xlpm.arr_loot&lt;&gt;"",_xlpm.arr_loot&amp;"="&amp;_xlpm.arr_odds,"")))</f>
        <v>10000=0.1</v>
      </c>
    </row>
    <row r="71" spans="1:22">
      <c r="C71" s="27">
        <f>_xlfn.XLOOKUP(A71,monster!A:A,monster!H:H)</f>
        <v>0</v>
      </c>
      <c r="D71" s="27" cm="1">
        <f t="array" ref="D71">_xlfn.LET(_xlpm.arr_loot,G71:L71,_xlpm.arr_odds,M71:R71*$AB$8,SUM(IF(_xlpm.arr_loot&lt;&gt;"",VLOOKUP(_xlpm.arr_loot,table_loot[#All],3,0)*_xlpm.arr_odds,0)))</f>
        <v>0</v>
      </c>
      <c r="E71" s="27" t="str">
        <f t="shared" si="8"/>
        <v>——</v>
      </c>
      <c r="T71" s="34" t="str" cm="1">
        <f t="array" ref="T71">_xlfn.LET(_xlpm.arr_loot,G71:L71,_xlpm.arr_odds,M71:R71*$AB$8,_xlfn.TEXTJOIN("; ",1,IF(_xlpm.arr_loot&lt;&gt;"",VLOOKUP(_xlpm.arr_loot,table_loot[#All],2,0)&amp;":"&amp;TEXT(_xlpm.arr_odds,"0.00%"),"")))</f>
        <v/>
      </c>
      <c r="V71" s="10" t="str" cm="1">
        <f t="array" ref="V71">_xlfn.LET(_xlpm.arr_loot,G71:L71,_xlpm.arr_odds,M71:R71*$AB$8,_xlfn.TEXTJOIN(";",1,IF(_xlpm.arr_loot&lt;&gt;"",_xlpm.arr_loot&amp;"="&amp;_xlpm.arr_odds,"")))</f>
        <v/>
      </c>
    </row>
    <row r="72" spans="1:22">
      <c r="A72" s="24">
        <v>211801</v>
      </c>
      <c r="B72" s="26" t="str">
        <f>VLOOKUP(A72,monster!A:D,4,0)</f>
        <v>渔获捕捞船</v>
      </c>
      <c r="C72" s="27">
        <f>_xlfn.XLOOKUP(A72,monster!A:A,monster!H:H)</f>
        <v>0</v>
      </c>
      <c r="D72" s="27" cm="1">
        <f t="array" ref="D72">_xlfn.LET(_xlpm.arr_loot,G72:L72,_xlpm.arr_odds,M72:R72*$AB$8,SUM(IF(_xlpm.arr_loot&lt;&gt;"",VLOOKUP(_xlpm.arr_loot,table_loot[#All],3,0)*_xlpm.arr_odds,0)))</f>
        <v>0</v>
      </c>
      <c r="E72" s="27">
        <f t="shared" si="8"/>
        <v>0</v>
      </c>
      <c r="G72" s="3">
        <v>10000</v>
      </c>
      <c r="M72" s="3">
        <v>1000</v>
      </c>
      <c r="T72" s="34" t="str" cm="1">
        <f t="array" ref="T72">_xlfn.LET(_xlpm.arr_loot,G72:L72,_xlpm.arr_odds,M72:R72*$AB$8,_xlfn.TEXTJOIN("; ",1,IF(_xlpm.arr_loot&lt;&gt;"",VLOOKUP(_xlpm.arr_loot,table_loot[#All],2,0)&amp;":"&amp;TEXT(_xlpm.arr_odds,"0.00%"),"")))</f>
        <v>通用钱币:10.00%</v>
      </c>
      <c r="V72" s="10" t="str" cm="1">
        <f t="array" ref="V72">_xlfn.LET(_xlpm.arr_loot,G72:L72,_xlpm.arr_odds,M72:R72*$AB$8,_xlfn.TEXTJOIN(";",1,IF(_xlpm.arr_loot&lt;&gt;"",_xlpm.arr_loot&amp;"="&amp;_xlpm.arr_odds,"")))</f>
        <v>10000=0.1</v>
      </c>
    </row>
    <row r="73" spans="1:22">
      <c r="A73" s="24">
        <v>211802</v>
      </c>
      <c r="B73" s="26" t="str">
        <f>VLOOKUP(A73,monster!A:D,4,0)</f>
        <v>渔人小艇</v>
      </c>
      <c r="C73" s="27">
        <f>_xlfn.XLOOKUP(A73,monster!A:A,monster!H:H)</f>
        <v>0</v>
      </c>
      <c r="D73" s="27" cm="1">
        <f t="array" ref="D73">_xlfn.LET(_xlpm.arr_loot,G73:L73,_xlpm.arr_odds,M73:R73*$AB$8,SUM(IF(_xlpm.arr_loot&lt;&gt;"",VLOOKUP(_xlpm.arr_loot,table_loot[#All],3,0)*_xlpm.arr_odds,0)))</f>
        <v>0</v>
      </c>
      <c r="E73" s="27">
        <f t="shared" si="8"/>
        <v>0</v>
      </c>
      <c r="G73" s="3">
        <v>10000</v>
      </c>
      <c r="M73" s="3">
        <v>1000</v>
      </c>
      <c r="T73" s="34" t="str" cm="1">
        <f t="array" ref="T73">_xlfn.LET(_xlpm.arr_loot,G73:L73,_xlpm.arr_odds,M73:R73*$AB$8,_xlfn.TEXTJOIN("; ",1,IF(_xlpm.arr_loot&lt;&gt;"",VLOOKUP(_xlpm.arr_loot,table_loot[#All],2,0)&amp;":"&amp;TEXT(_xlpm.arr_odds,"0.00%"),"")))</f>
        <v>通用钱币:10.00%</v>
      </c>
      <c r="V73" s="10" t="str" cm="1">
        <f t="array" ref="V73">_xlfn.LET(_xlpm.arr_loot,G73:L73,_xlpm.arr_odds,M73:R73*$AB$8,_xlfn.TEXTJOIN(";",1,IF(_xlpm.arr_loot&lt;&gt;"",_xlpm.arr_loot&amp;"="&amp;_xlpm.arr_odds,"")))</f>
        <v>10000=0.1</v>
      </c>
    </row>
    <row r="74" spans="1:22">
      <c r="T74" s="34" t="str" cm="1">
        <f t="array" ref="T74">_xlfn.LET(_xlpm.arr_loot,G74:L74,_xlpm.arr_odds,M74:R74*$AB$8,_xlfn.TEXTJOIN("; ",1,IF(_xlpm.arr_loot&lt;&gt;"",VLOOKUP(_xlpm.arr_loot,table_loot[#All],2,0)&amp;":"&amp;TEXT(_xlpm.arr_odds,"0.00%"),"")))</f>
        <v/>
      </c>
      <c r="V74" s="10" t="str" cm="1">
        <f t="array" ref="V74">_xlfn.LET(_xlpm.arr_loot,G74:L74,_xlpm.arr_odds,M74:R74*$AB$8,_xlfn.TEXTJOIN(";",1,IF(_xlpm.arr_loot&lt;&gt;"",_xlpm.arr_loot&amp;"="&amp;_xlpm.arr_odds,"")))</f>
        <v/>
      </c>
    </row>
    <row r="75" spans="1:22">
      <c r="T75" s="34" t="str" cm="1">
        <f t="array" ref="T75">_xlfn.LET(_xlpm.arr_loot,G75:L75,_xlpm.arr_odds,M75:R75*$AB$8,_xlfn.TEXTJOIN("; ",1,IF(_xlpm.arr_loot&lt;&gt;"",VLOOKUP(_xlpm.arr_loot,table_loot[#All],2,0)&amp;":"&amp;TEXT(_xlpm.arr_odds,"0.00%"),"")))</f>
        <v/>
      </c>
    </row>
    <row r="76" spans="1:22">
      <c r="T76" s="34" t="str" cm="1">
        <f t="array" ref="T76">_xlfn.LET(_xlpm.arr_loot,G76:L76,_xlpm.arr_odds,M76:R76*$AB$8,_xlfn.TEXTJOIN("; ",1,IF(_xlpm.arr_loot&lt;&gt;"",VLOOKUP(_xlpm.arr_loot,table_loot[#All],2,0)&amp;":"&amp;TEXT(_xlpm.arr_odds,"0.00%"),"")))</f>
        <v/>
      </c>
    </row>
    <row r="77" spans="1:22">
      <c r="T77" s="34" t="str" cm="1">
        <f t="array" ref="T77">_xlfn.LET(_xlpm.arr_loot,G77:L77,_xlpm.arr_odds,M77:R77*$AB$8,_xlfn.TEXTJOIN("; ",1,IF(_xlpm.arr_loot&lt;&gt;"",VLOOKUP(_xlpm.arr_loot,table_loot[#All],2,0)&amp;":"&amp;TEXT(_xlpm.arr_odds,"0.00%"),"")))</f>
        <v/>
      </c>
    </row>
    <row r="78" spans="1:22">
      <c r="T78" s="34" t="str" cm="1">
        <f t="array" ref="T78">_xlfn.LET(_xlpm.arr_loot,G78:L78,_xlpm.arr_odds,M78:R78*$AB$8,_xlfn.TEXTJOIN("; ",1,IF(_xlpm.arr_loot&lt;&gt;"",VLOOKUP(_xlpm.arr_loot,table_loot[#All],2,0)&amp;":"&amp;TEXT(_xlpm.arr_odds,"0.00%"),"")))</f>
        <v/>
      </c>
    </row>
  </sheetData>
  <mergeCells count="6">
    <mergeCell ref="Z7:AA7"/>
    <mergeCell ref="AC7:AD7"/>
    <mergeCell ref="Z8:AA8"/>
    <mergeCell ref="AC8:AD8"/>
    <mergeCell ref="Z9:AA9"/>
    <mergeCell ref="AC9:AD9"/>
  </mergeCells>
  <conditionalFormatting sqref="E$1:E$1048576">
    <cfRule type="dataBar" priority="1">
      <dataBar>
        <cfvo type="num" val="-10"/>
        <cfvo type="num" val="10"/>
        <color rgb="FFFFB628"/>
      </dataBar>
      <extLst>
        <ext xmlns:x14="http://schemas.microsoft.com/office/spreadsheetml/2009/9/main" uri="{B025F937-C7B1-47D3-B67F-A62EFF666E3E}">
          <x14:id>{a53faaef-6bee-441c-a0d3-4a3c263dbab7}</x14:id>
        </ext>
      </extLst>
    </cfRule>
  </conditionalFormatting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3faaef-6bee-441c-a0d3-4a3c263dbab7}">
            <x14:dataBar minLength="0" maxLength="100" gradient="0">
              <x14:cfvo type="num">
                <xm:f>-10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E$1:E$1048576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zoomScale="99" zoomScaleNormal="99" workbookViewId="0">
      <pane xSplit="4" ySplit="3" topLeftCell="E4" activePane="bottomRight" state="frozen"/>
      <selection/>
      <selection pane="topRight"/>
      <selection pane="bottomLeft"/>
      <selection pane="bottomRight" activeCell="I23" sqref="I23"/>
    </sheetView>
  </sheetViews>
  <sheetFormatPr defaultColWidth="9.125" defaultRowHeight="14.25"/>
  <cols>
    <col min="1" max="2" width="7.75" style="3" customWidth="1"/>
    <col min="3" max="3" width="9.125" style="3" customWidth="1"/>
    <col min="4" max="4" width="16.875" style="9" customWidth="1"/>
    <col min="5" max="5" width="8.75" style="3" customWidth="1"/>
    <col min="6" max="6" width="72.875" style="3" customWidth="1"/>
    <col min="7" max="12" width="17.5" style="10" customWidth="1"/>
    <col min="13" max="13" width="15.5" style="11" customWidth="1"/>
    <col min="14" max="14" width="27.5" style="12" customWidth="1"/>
    <col min="15" max="15" width="19.125" style="3" customWidth="1"/>
    <col min="16" max="17" width="9.625" style="13" customWidth="1"/>
    <col min="18" max="18" width="13.5" style="3" customWidth="1"/>
    <col min="19" max="16384" width="9.125" style="12"/>
  </cols>
  <sheetData>
    <row r="1" s="6" customFormat="1" spans="1:18">
      <c r="A1" s="6" t="s">
        <v>0</v>
      </c>
      <c r="B1" s="6" t="s">
        <v>368</v>
      </c>
      <c r="C1" s="6" t="s">
        <v>369</v>
      </c>
      <c r="D1" s="14"/>
      <c r="E1" s="6" t="s">
        <v>370</v>
      </c>
      <c r="F1" s="6" t="s">
        <v>371</v>
      </c>
      <c r="G1" s="15"/>
      <c r="H1" s="15"/>
      <c r="I1" s="15"/>
      <c r="J1" s="15"/>
      <c r="K1" s="15"/>
      <c r="L1" s="15"/>
      <c r="M1" s="16"/>
      <c r="N1" s="6" t="s">
        <v>372</v>
      </c>
      <c r="O1" s="6" t="s">
        <v>373</v>
      </c>
      <c r="P1" s="16"/>
      <c r="Q1" s="16"/>
      <c r="R1" s="6" t="s">
        <v>374</v>
      </c>
    </row>
    <row r="2" s="7" customFormat="1" spans="1:18">
      <c r="A2" s="7" t="s">
        <v>27</v>
      </c>
      <c r="B2" s="7" t="s">
        <v>27</v>
      </c>
      <c r="C2" s="7" t="s">
        <v>29</v>
      </c>
      <c r="D2" s="14"/>
      <c r="E2" s="7" t="s">
        <v>375</v>
      </c>
      <c r="F2" s="7" t="s">
        <v>32</v>
      </c>
      <c r="G2" s="17"/>
      <c r="H2" s="17"/>
      <c r="I2" s="17"/>
      <c r="J2" s="17"/>
      <c r="K2" s="17"/>
      <c r="L2" s="17"/>
      <c r="M2" s="16"/>
      <c r="N2" s="7" t="s">
        <v>28</v>
      </c>
      <c r="O2" s="7" t="s">
        <v>376</v>
      </c>
      <c r="P2" s="16"/>
      <c r="Q2" s="16"/>
      <c r="R2" s="7" t="s">
        <v>29</v>
      </c>
    </row>
    <row r="3" s="8" customFormat="1" ht="52.5" spans="1:18">
      <c r="A3" s="18" t="s">
        <v>377</v>
      </c>
      <c r="B3" s="18" t="s">
        <v>378</v>
      </c>
      <c r="C3" s="18" t="s">
        <v>379</v>
      </c>
      <c r="D3" s="19" t="s">
        <v>380</v>
      </c>
      <c r="E3" s="20" t="s">
        <v>381</v>
      </c>
      <c r="F3" s="20" t="s">
        <v>382</v>
      </c>
      <c r="G3" s="21" t="s">
        <v>383</v>
      </c>
      <c r="H3" s="21" t="s">
        <v>384</v>
      </c>
      <c r="I3" s="21" t="s">
        <v>385</v>
      </c>
      <c r="J3" s="21" t="s">
        <v>386</v>
      </c>
      <c r="K3" s="21" t="s">
        <v>387</v>
      </c>
      <c r="L3" s="21" t="s">
        <v>388</v>
      </c>
      <c r="M3" s="22" t="s">
        <v>61</v>
      </c>
      <c r="N3" s="20" t="s">
        <v>389</v>
      </c>
      <c r="O3" s="20" t="s">
        <v>390</v>
      </c>
      <c r="P3" s="22" t="s">
        <v>391</v>
      </c>
      <c r="Q3" s="22" t="s">
        <v>392</v>
      </c>
      <c r="R3" s="20" t="s">
        <v>393</v>
      </c>
    </row>
    <row r="4" spans="1:18">
      <c r="A4" s="3">
        <v>211101</v>
      </c>
      <c r="B4" s="3">
        <v>1</v>
      </c>
      <c r="C4" s="3">
        <v>1</v>
      </c>
      <c r="D4" s="9" t="s">
        <v>106</v>
      </c>
      <c r="E4" s="3">
        <v>101101</v>
      </c>
      <c r="F4" s="3" t="str" cm="1">
        <f t="array" ref="F4">_xlfn.TEXTJOIN(";",1,_xlfn.MAP($G$3:$L$3,G4:L4,_xlfn.LAMBDA(_xlpm.slot,_xlpm.device,IF(_xlpm.device&lt;&gt;"",_xlpm.slot&amp;"="&amp;_xlpm.device,""))))</f>
        <v>device_slot_wheel=1210101;slot_front=1311101</v>
      </c>
      <c r="G4" s="10">
        <v>1210101</v>
      </c>
      <c r="I4" s="10">
        <v>1311101</v>
      </c>
      <c r="M4" s="11" t="s">
        <v>394</v>
      </c>
      <c r="N4" s="23" t="str">
        <f>_xlfn.TEXTJOIN("_",1,"Car_AI",$M4)</f>
        <v>Car_AI_Basic</v>
      </c>
      <c r="O4" s="3" t="str">
        <f>_xlfn.CONCAT($P4,"~",$Q4)</f>
        <v>100~200</v>
      </c>
      <c r="P4" s="13">
        <v>100</v>
      </c>
      <c r="Q4" s="13">
        <v>200</v>
      </c>
      <c r="R4" s="3">
        <v>5</v>
      </c>
    </row>
    <row r="5" spans="1:18">
      <c r="A5" s="3">
        <v>211101</v>
      </c>
      <c r="B5" s="3">
        <v>2</v>
      </c>
      <c r="C5" s="3">
        <v>1</v>
      </c>
      <c r="D5" s="9" t="s">
        <v>106</v>
      </c>
      <c r="E5" s="3">
        <v>101101</v>
      </c>
      <c r="F5" s="3" t="str" cm="1">
        <f t="array" ref="F5">_xlfn.TEXTJOIN(";",1,_xlfn.MAP($G$3:$L$3,G5:L5,_xlfn.LAMBDA(_xlpm.slot,_xlpm.device,IF(_xlpm.device&lt;&gt;"",_xlpm.slot&amp;"="&amp;_xlpm.device,""))))</f>
        <v>device_slot_wheel=1210101;slot_front_top=1311101</v>
      </c>
      <c r="G5" s="10">
        <v>1210101</v>
      </c>
      <c r="J5" s="10">
        <v>1311101</v>
      </c>
      <c r="M5" s="11" t="s">
        <v>394</v>
      </c>
      <c r="N5" s="23" t="str">
        <f t="shared" ref="N5:N13" si="0">_xlfn.TEXTJOIN("_",1,"Car_AI",$M5)</f>
        <v>Car_AI_Basic</v>
      </c>
      <c r="O5" s="3" t="str">
        <f t="shared" ref="O5:O29" si="1">_xlfn.CONCAT($P5,"~",$Q5)</f>
        <v>100~200</v>
      </c>
      <c r="P5" s="13">
        <v>100</v>
      </c>
      <c r="Q5" s="13">
        <v>200</v>
      </c>
      <c r="R5" s="3">
        <v>5</v>
      </c>
    </row>
    <row r="6" spans="1:18">
      <c r="A6" s="3">
        <v>211101</v>
      </c>
      <c r="B6" s="3">
        <v>3</v>
      </c>
      <c r="C6" s="3">
        <v>1</v>
      </c>
      <c r="D6" s="9" t="s">
        <v>106</v>
      </c>
      <c r="E6" s="3">
        <v>101101</v>
      </c>
      <c r="F6" s="3" t="str" cm="1">
        <f t="array" ref="F6">_xlfn.TEXTJOIN(";",1,_xlfn.MAP($G$3:$L$3,G6:L6,_xlfn.LAMBDA(_xlpm.slot,_xlpm.device,IF(_xlpm.device&lt;&gt;"",_xlpm.slot&amp;"="&amp;_xlpm.device,""))))</f>
        <v>device_slot_wheel=1210101;slot_back=1311101</v>
      </c>
      <c r="G6" s="10">
        <v>1210101</v>
      </c>
      <c r="K6" s="10">
        <v>1311101</v>
      </c>
      <c r="M6" s="11" t="s">
        <v>394</v>
      </c>
      <c r="N6" s="23" t="str">
        <f t="shared" si="0"/>
        <v>Car_AI_Basic</v>
      </c>
      <c r="O6" s="3" t="str">
        <f t="shared" si="1"/>
        <v>100~200</v>
      </c>
      <c r="P6" s="13">
        <v>100</v>
      </c>
      <c r="Q6" s="13">
        <v>200</v>
      </c>
      <c r="R6" s="3">
        <v>5</v>
      </c>
    </row>
    <row r="7" spans="1:18">
      <c r="A7" s="3">
        <v>211101</v>
      </c>
      <c r="B7" s="3">
        <v>4</v>
      </c>
      <c r="C7" s="3">
        <v>1</v>
      </c>
      <c r="D7" s="9" t="s">
        <v>106</v>
      </c>
      <c r="E7" s="3">
        <v>101101</v>
      </c>
      <c r="F7" s="3" t="str" cm="1">
        <f t="array" ref="F7">_xlfn.TEXTJOIN(";",1,_xlfn.MAP($G$3:$L$3,G7:L7,_xlfn.LAMBDA(_xlpm.slot,_xlpm.device,IF(_xlpm.device&lt;&gt;"",_xlpm.slot&amp;"="&amp;_xlpm.device,""))))</f>
        <v>device_slot_wheel=1210101;slot_back_top=1311101</v>
      </c>
      <c r="G7" s="10">
        <v>1210101</v>
      </c>
      <c r="L7" s="10">
        <v>1311101</v>
      </c>
      <c r="M7" s="11" t="s">
        <v>394</v>
      </c>
      <c r="N7" s="23" t="str">
        <f t="shared" si="0"/>
        <v>Car_AI_Basic</v>
      </c>
      <c r="O7" s="3" t="str">
        <f t="shared" si="1"/>
        <v>100~200</v>
      </c>
      <c r="P7" s="13">
        <v>100</v>
      </c>
      <c r="Q7" s="13">
        <v>200</v>
      </c>
      <c r="R7" s="3">
        <v>5</v>
      </c>
    </row>
    <row r="8" spans="1:18">
      <c r="A8" s="3">
        <v>211101</v>
      </c>
      <c r="B8" s="3">
        <v>5</v>
      </c>
      <c r="C8" s="3">
        <v>1</v>
      </c>
      <c r="D8" s="9" t="s">
        <v>106</v>
      </c>
      <c r="E8" s="3">
        <v>101101</v>
      </c>
      <c r="F8" s="3" t="str" cm="1">
        <f t="array" ref="F8">_xlfn.TEXTJOIN(";",1,_xlfn.MAP($G$3:$L$3,G8:L8,_xlfn.LAMBDA(_xlpm.slot,_xlpm.device,IF(_xlpm.device&lt;&gt;"",_xlpm.slot&amp;"="&amp;_xlpm.device,""))))</f>
        <v>device_slot_wheel=1210101;slot_front=1311101;slot_back=1311101</v>
      </c>
      <c r="G8" s="10">
        <v>1210101</v>
      </c>
      <c r="I8" s="10">
        <v>1311101</v>
      </c>
      <c r="K8" s="10">
        <v>1311101</v>
      </c>
      <c r="M8" s="11" t="s">
        <v>394</v>
      </c>
      <c r="N8" s="23" t="str">
        <f t="shared" si="0"/>
        <v>Car_AI_Basic</v>
      </c>
      <c r="O8" s="3" t="str">
        <f t="shared" si="1"/>
        <v>100~200</v>
      </c>
      <c r="P8" s="13">
        <v>100</v>
      </c>
      <c r="Q8" s="13">
        <v>200</v>
      </c>
      <c r="R8" s="3">
        <v>5</v>
      </c>
    </row>
    <row r="9" spans="1:18">
      <c r="A9" s="3">
        <v>211101</v>
      </c>
      <c r="B9" s="3">
        <v>6</v>
      </c>
      <c r="C9" s="3">
        <v>1</v>
      </c>
      <c r="D9" s="9" t="s">
        <v>106</v>
      </c>
      <c r="E9" s="3">
        <v>101101</v>
      </c>
      <c r="F9" s="3" t="str" cm="1">
        <f t="array" ref="F9">_xlfn.TEXTJOIN(";",1,_xlfn.MAP($G$3:$L$3,G9:L9,_xlfn.LAMBDA(_xlpm.slot,_xlpm.device,IF(_xlpm.device&lt;&gt;"",_xlpm.slot&amp;"="&amp;_xlpm.device,""))))</f>
        <v>device_slot_wheel=1210101;slot_front_top=1311101;slot_back_top=1311101</v>
      </c>
      <c r="G9" s="10">
        <v>1210101</v>
      </c>
      <c r="J9" s="10">
        <v>1311101</v>
      </c>
      <c r="L9" s="10">
        <v>1311101</v>
      </c>
      <c r="M9" s="11" t="s">
        <v>394</v>
      </c>
      <c r="N9" s="23" t="str">
        <f t="shared" si="0"/>
        <v>Car_AI_Basic</v>
      </c>
      <c r="O9" s="3" t="str">
        <f t="shared" si="1"/>
        <v>100~200</v>
      </c>
      <c r="P9" s="13">
        <v>100</v>
      </c>
      <c r="Q9" s="13">
        <v>200</v>
      </c>
      <c r="R9" s="3">
        <v>5</v>
      </c>
    </row>
    <row r="11" spans="1:18">
      <c r="A11" s="3">
        <v>211102</v>
      </c>
      <c r="B11" s="3">
        <v>101</v>
      </c>
      <c r="C11" s="3">
        <v>1</v>
      </c>
      <c r="D11" s="9" t="s">
        <v>108</v>
      </c>
      <c r="E11" s="3">
        <v>101101</v>
      </c>
      <c r="F11" s="3" t="str" cm="1">
        <f t="array" ref="F11">_xlfn.TEXTJOIN(";",1,_xlfn.MAP($G$3:$L$3,G11:L11,_xlfn.LAMBDA(_xlpm.slot,_xlpm.device,IF(_xlpm.device&lt;&gt;"",_xlpm.slot&amp;"="&amp;_xlpm.device,""))))</f>
        <v>device_slot_wheel=1210101;slot_top=1321101</v>
      </c>
      <c r="G11" s="10">
        <v>1210101</v>
      </c>
      <c r="H11" s="10">
        <v>1321101</v>
      </c>
      <c r="M11" s="11" t="s">
        <v>395</v>
      </c>
      <c r="N11" s="23" t="str">
        <f t="shared" si="0"/>
        <v>Car_AI_Missile</v>
      </c>
      <c r="O11" s="3" t="str">
        <f t="shared" si="1"/>
        <v>100~200</v>
      </c>
      <c r="P11" s="13">
        <v>100</v>
      </c>
      <c r="Q11" s="13">
        <v>200</v>
      </c>
      <c r="R11" s="3">
        <v>2</v>
      </c>
    </row>
    <row r="12" spans="1:18">
      <c r="A12" s="3">
        <v>211102</v>
      </c>
      <c r="B12" s="3">
        <v>102</v>
      </c>
      <c r="C12" s="3">
        <v>1</v>
      </c>
      <c r="D12" s="9" t="s">
        <v>108</v>
      </c>
      <c r="E12" s="3">
        <v>101101</v>
      </c>
      <c r="F12" s="3" t="str" cm="1">
        <f t="array" ref="F12">_xlfn.TEXTJOIN(";",1,_xlfn.MAP($G$3:$L$3,G12:L12,_xlfn.LAMBDA(_xlpm.slot,_xlpm.device,IF(_xlpm.device&lt;&gt;"",_xlpm.slot&amp;"="&amp;_xlpm.device,""))))</f>
        <v>device_slot_wheel=1210101;slot_front=1321101</v>
      </c>
      <c r="G12" s="10">
        <v>1210101</v>
      </c>
      <c r="I12" s="10">
        <v>1321101</v>
      </c>
      <c r="M12" s="11" t="s">
        <v>395</v>
      </c>
      <c r="N12" s="23" t="str">
        <f t="shared" si="0"/>
        <v>Car_AI_Missile</v>
      </c>
      <c r="O12" s="3" t="str">
        <f t="shared" si="1"/>
        <v>100~200</v>
      </c>
      <c r="P12" s="13">
        <v>100</v>
      </c>
      <c r="Q12" s="13">
        <v>200</v>
      </c>
      <c r="R12" s="3">
        <v>2</v>
      </c>
    </row>
    <row r="13" spans="1:18">
      <c r="A13" s="3">
        <v>211102</v>
      </c>
      <c r="B13" s="3">
        <v>103</v>
      </c>
      <c r="C13" s="3">
        <v>1</v>
      </c>
      <c r="D13" s="9" t="s">
        <v>108</v>
      </c>
      <c r="E13" s="3">
        <v>101101</v>
      </c>
      <c r="F13" s="3" t="str" cm="1">
        <f t="array" ref="F13">_xlfn.TEXTJOIN(";",1,_xlfn.MAP($G$3:$L$3,G13:L13,_xlfn.LAMBDA(_xlpm.slot,_xlpm.device,IF(_xlpm.device&lt;&gt;"",_xlpm.slot&amp;"="&amp;_xlpm.device,""))))</f>
        <v>device_slot_wheel=1210101;slot_front_top=1321101</v>
      </c>
      <c r="G13" s="10">
        <v>1210101</v>
      </c>
      <c r="J13" s="10">
        <v>1321101</v>
      </c>
      <c r="M13" s="11" t="s">
        <v>395</v>
      </c>
      <c r="N13" s="23" t="str">
        <f t="shared" si="0"/>
        <v>Car_AI_Missile</v>
      </c>
      <c r="O13" s="3" t="str">
        <f t="shared" si="1"/>
        <v>100~200</v>
      </c>
      <c r="P13" s="13">
        <v>100</v>
      </c>
      <c r="Q13" s="13">
        <v>200</v>
      </c>
      <c r="R13" s="3">
        <v>2</v>
      </c>
    </row>
    <row r="14" spans="1:18">
      <c r="N14" s="23"/>
    </row>
    <row r="15" spans="1:18">
      <c r="A15" s="3">
        <v>211111</v>
      </c>
      <c r="B15" s="3">
        <v>3</v>
      </c>
      <c r="C15" s="3">
        <v>50</v>
      </c>
      <c r="D15" s="9" t="s">
        <v>109</v>
      </c>
      <c r="E15" s="3">
        <v>101102</v>
      </c>
      <c r="F15" s="3" t="str" cm="1">
        <f t="array" ref="F15">_xlfn.TEXTJOIN(";",1,_xlfn.MAP($G$3:$L$3,G15:L15,_xlfn.LAMBDA(_xlpm.slot,_xlpm.device,IF(_xlpm.device&lt;&gt;"",_xlpm.slot&amp;"="&amp;_xlpm.device,""))))</f>
        <v>device_slot_wheel=1210101;slot_front=1311102;slot_back=1311101</v>
      </c>
      <c r="G15" s="10">
        <v>1210101</v>
      </c>
      <c r="I15" s="10">
        <v>1311102</v>
      </c>
      <c r="K15" s="10">
        <v>1311101</v>
      </c>
      <c r="M15" s="11" t="s">
        <v>394</v>
      </c>
      <c r="N15" s="23" t="str">
        <f t="shared" ref="N15:N21" si="2">_xlfn.TEXTJOIN("_",1,"Car_AI",$M15)</f>
        <v>Car_AI_Basic</v>
      </c>
      <c r="O15" s="3" t="str">
        <f t="shared" si="1"/>
        <v>100~200</v>
      </c>
      <c r="P15" s="13">
        <v>100</v>
      </c>
      <c r="Q15" s="13">
        <v>200</v>
      </c>
      <c r="R15" s="3">
        <v>5</v>
      </c>
    </row>
    <row r="16" spans="1:18">
      <c r="A16" s="3">
        <v>211111</v>
      </c>
      <c r="B16" s="3">
        <v>4</v>
      </c>
      <c r="C16" s="3">
        <v>50</v>
      </c>
      <c r="D16" s="9" t="s">
        <v>109</v>
      </c>
      <c r="E16" s="3">
        <v>101102</v>
      </c>
      <c r="F16" s="3" t="str" cm="1">
        <f t="array" ref="F16">_xlfn.TEXTJOIN(";",1,_xlfn.MAP($G$3:$L$3,G16:L16,_xlfn.LAMBDA(_xlpm.slot,_xlpm.device,IF(_xlpm.device&lt;&gt;"",_xlpm.slot&amp;"="&amp;_xlpm.device,""))))</f>
        <v>device_slot_wheel=1210101;slot_front=1311101;slot_back=1311102</v>
      </c>
      <c r="G16" s="10">
        <v>1210101</v>
      </c>
      <c r="I16" s="10">
        <v>1311101</v>
      </c>
      <c r="K16" s="10">
        <v>1311102</v>
      </c>
      <c r="M16" s="11" t="s">
        <v>394</v>
      </c>
      <c r="N16" s="23" t="str">
        <f t="shared" si="2"/>
        <v>Car_AI_Basic</v>
      </c>
      <c r="O16" s="3" t="str">
        <f t="shared" si="1"/>
        <v>100~200</v>
      </c>
      <c r="P16" s="13">
        <v>100</v>
      </c>
      <c r="Q16" s="13">
        <v>200</v>
      </c>
      <c r="R16" s="3">
        <v>5</v>
      </c>
    </row>
    <row r="18" spans="1:18">
      <c r="A18" s="3">
        <v>211112</v>
      </c>
      <c r="B18" s="3">
        <v>11</v>
      </c>
      <c r="C18" s="3">
        <v>10</v>
      </c>
      <c r="D18" s="9" t="s">
        <v>110</v>
      </c>
      <c r="E18" s="3">
        <v>101102</v>
      </c>
      <c r="F18" s="3" t="str" cm="1">
        <f t="array" ref="F18">_xlfn.TEXTJOIN(";",1,_xlfn.MAP($G$3:$L$3,G18:L18,_xlfn.LAMBDA(_xlpm.slot,_xlpm.device,IF(_xlpm.device&lt;&gt;"",_xlpm.slot&amp;"="&amp;_xlpm.device,""))))</f>
        <v>device_slot_wheel=1210101;slot_top=1321101;slot_front=1311102;slot_back=1311101</v>
      </c>
      <c r="G18" s="10">
        <v>1210101</v>
      </c>
      <c r="H18" s="10">
        <v>1321101</v>
      </c>
      <c r="I18" s="10">
        <v>1311102</v>
      </c>
      <c r="K18" s="10">
        <v>1311101</v>
      </c>
      <c r="M18" s="11" t="s">
        <v>394</v>
      </c>
      <c r="N18" s="23" t="str">
        <f t="shared" si="2"/>
        <v>Car_AI_Basic</v>
      </c>
      <c r="O18" s="3" t="str">
        <f t="shared" si="1"/>
        <v>100~200</v>
      </c>
      <c r="P18" s="13">
        <v>100</v>
      </c>
      <c r="Q18" s="13">
        <v>200</v>
      </c>
      <c r="R18" s="3">
        <v>5</v>
      </c>
    </row>
    <row r="19" spans="1:18">
      <c r="A19" s="3">
        <v>211112</v>
      </c>
      <c r="B19" s="3">
        <v>12</v>
      </c>
      <c r="C19" s="3">
        <v>10</v>
      </c>
      <c r="D19" s="9" t="s">
        <v>110</v>
      </c>
      <c r="E19" s="3">
        <v>101102</v>
      </c>
      <c r="F19" s="3" t="str" cm="1">
        <f t="array" ref="F19">_xlfn.TEXTJOIN(";",1,_xlfn.MAP($G$3:$L$3,G19:L19,_xlfn.LAMBDA(_xlpm.slot,_xlpm.device,IF(_xlpm.device&lt;&gt;"",_xlpm.slot&amp;"="&amp;_xlpm.device,""))))</f>
        <v>device_slot_wheel=1210101;slot_top=1321101;slot_front=1311101;slot_back=1311102</v>
      </c>
      <c r="G19" s="10">
        <v>1210101</v>
      </c>
      <c r="H19" s="10">
        <v>1321101</v>
      </c>
      <c r="I19" s="10">
        <v>1311101</v>
      </c>
      <c r="K19" s="10">
        <v>1311102</v>
      </c>
      <c r="M19" s="11" t="s">
        <v>394</v>
      </c>
      <c r="N19" s="23" t="str">
        <f t="shared" si="2"/>
        <v>Car_AI_Basic</v>
      </c>
      <c r="O19" s="3" t="str">
        <f t="shared" si="1"/>
        <v>100~200</v>
      </c>
      <c r="P19" s="13">
        <v>100</v>
      </c>
      <c r="Q19" s="13">
        <v>200</v>
      </c>
      <c r="R19" s="3">
        <v>5</v>
      </c>
    </row>
    <row r="20" spans="1:18">
      <c r="A20" s="3">
        <v>211112</v>
      </c>
      <c r="B20" s="3">
        <v>21</v>
      </c>
      <c r="C20" s="3">
        <v>10</v>
      </c>
      <c r="D20" s="9" t="s">
        <v>110</v>
      </c>
      <c r="E20" s="3">
        <v>101102</v>
      </c>
      <c r="F20" s="3" t="str" cm="1">
        <f t="array" ref="F20">_xlfn.TEXTJOIN(";",1,_xlfn.MAP($G$3:$L$3,G20:L20,_xlfn.LAMBDA(_xlpm.slot,_xlpm.device,IF(_xlpm.device&lt;&gt;"",_xlpm.slot&amp;"="&amp;_xlpm.device,""))))</f>
        <v>device_slot_wheel=1210101;slot_top=1321102;slot_front=1311102;slot_back=1311101</v>
      </c>
      <c r="G20" s="10">
        <v>1210101</v>
      </c>
      <c r="H20" s="10">
        <v>1321102</v>
      </c>
      <c r="I20" s="10">
        <v>1311102</v>
      </c>
      <c r="K20" s="10">
        <v>1311101</v>
      </c>
      <c r="M20" s="11" t="s">
        <v>394</v>
      </c>
      <c r="N20" s="23" t="str">
        <f t="shared" si="2"/>
        <v>Car_AI_Basic</v>
      </c>
      <c r="O20" s="3" t="str">
        <f t="shared" si="1"/>
        <v>100~200</v>
      </c>
      <c r="P20" s="13">
        <v>100</v>
      </c>
      <c r="Q20" s="13">
        <v>200</v>
      </c>
      <c r="R20" s="3">
        <v>5</v>
      </c>
    </row>
    <row r="21" spans="1:18">
      <c r="A21" s="3">
        <v>211112</v>
      </c>
      <c r="B21" s="3">
        <v>22</v>
      </c>
      <c r="C21" s="3">
        <v>10</v>
      </c>
      <c r="D21" s="9" t="s">
        <v>110</v>
      </c>
      <c r="E21" s="3">
        <v>101102</v>
      </c>
      <c r="F21" s="3" t="str" cm="1">
        <f t="array" ref="F21">_xlfn.TEXTJOIN(";",1,_xlfn.MAP($G$3:$L$3,G21:L21,_xlfn.LAMBDA(_xlpm.slot,_xlpm.device,IF(_xlpm.device&lt;&gt;"",_xlpm.slot&amp;"="&amp;_xlpm.device,""))))</f>
        <v>device_slot_wheel=1210101;slot_top=1321102;slot_front=1311101;slot_back=1311102</v>
      </c>
      <c r="G21" s="10">
        <v>1210101</v>
      </c>
      <c r="H21" s="10">
        <v>1321102</v>
      </c>
      <c r="I21" s="10">
        <v>1311101</v>
      </c>
      <c r="K21" s="10">
        <v>1311102</v>
      </c>
      <c r="M21" s="11" t="s">
        <v>394</v>
      </c>
      <c r="N21" s="23" t="str">
        <f t="shared" si="2"/>
        <v>Car_AI_Basic</v>
      </c>
      <c r="O21" s="3" t="str">
        <f t="shared" si="1"/>
        <v>100~200</v>
      </c>
      <c r="P21" s="13">
        <v>100</v>
      </c>
      <c r="Q21" s="13">
        <v>200</v>
      </c>
      <c r="R21" s="3">
        <v>5</v>
      </c>
    </row>
    <row r="23" spans="1:18">
      <c r="A23" s="3">
        <v>211100</v>
      </c>
      <c r="B23" s="3">
        <v>1</v>
      </c>
      <c r="C23" s="3">
        <v>1</v>
      </c>
      <c r="D23" s="9" t="s">
        <v>396</v>
      </c>
      <c r="E23" s="3">
        <v>101101</v>
      </c>
      <c r="F23" s="3" t="str" cm="1">
        <f t="array" ref="F23">_xlfn.TEXTJOIN(";",1,_xlfn.MAP($G$3:$L$3,G23:L23,_xlfn.LAMBDA(_xlpm.slot,_xlpm.device,IF(_xlpm.device&lt;&gt;"",_xlpm.slot&amp;"="&amp;_xlpm.device,""))))</f>
        <v>device_slot_wheel=1210101;slot_front_top=1321101</v>
      </c>
      <c r="G23" s="10">
        <v>1210101</v>
      </c>
      <c r="J23" s="10">
        <v>1321101</v>
      </c>
      <c r="M23" s="11" t="s">
        <v>394</v>
      </c>
      <c r="N23" s="23" t="s">
        <v>397</v>
      </c>
      <c r="O23" s="3" t="str">
        <f t="shared" si="1"/>
        <v>100~200</v>
      </c>
      <c r="P23" s="13">
        <v>100</v>
      </c>
      <c r="Q23" s="13">
        <v>200</v>
      </c>
      <c r="R23" s="3">
        <v>5</v>
      </c>
    </row>
    <row r="25" spans="1:18">
      <c r="A25" s="3">
        <v>1</v>
      </c>
      <c r="B25" s="3">
        <v>1</v>
      </c>
      <c r="C25" s="3">
        <v>1</v>
      </c>
      <c r="D25" s="9" t="s">
        <v>108</v>
      </c>
      <c r="E25" s="3">
        <v>101101</v>
      </c>
      <c r="F25" s="3" t="str" cm="1">
        <f t="array" ref="F25">_xlfn.TEXTJOIN(";",1,_xlfn.MAP($G$3:$L$3,G25:L25,_xlfn.LAMBDA(_xlpm.slot,_xlpm.device,IF(_xlpm.device&lt;&gt;"",_xlpm.slot&amp;"="&amp;_xlpm.device,""))))</f>
        <v>device_slot_wheel=1210101;slot_top=1321101</v>
      </c>
      <c r="G25" s="10">
        <v>1210101</v>
      </c>
      <c r="H25" s="10">
        <v>1321101</v>
      </c>
      <c r="M25" s="11" t="s">
        <v>395</v>
      </c>
      <c r="N25" s="23" t="str">
        <f t="shared" ref="N25:N29" si="3">_xlfn.TEXTJOIN("_",1,"Car_AI",$M25)</f>
        <v>Car_AI_Missile</v>
      </c>
      <c r="O25" s="3" t="str">
        <f t="shared" si="1"/>
        <v>110~200</v>
      </c>
      <c r="P25" s="13">
        <v>110</v>
      </c>
      <c r="Q25" s="13">
        <v>200</v>
      </c>
      <c r="R25" s="3">
        <v>2</v>
      </c>
    </row>
    <row r="26" spans="1:18">
      <c r="A26" s="3">
        <v>2</v>
      </c>
      <c r="B26" s="3">
        <v>1</v>
      </c>
      <c r="C26" s="3">
        <v>1</v>
      </c>
      <c r="D26" s="9" t="s">
        <v>108</v>
      </c>
      <c r="E26" s="3">
        <v>101101</v>
      </c>
      <c r="F26" s="3" t="str" cm="1">
        <f t="array" ref="F26">_xlfn.TEXTJOIN(";",1,_xlfn.MAP($G$3:$L$3,G26:L26,_xlfn.LAMBDA(_xlpm.slot,_xlpm.device,IF(_xlpm.device&lt;&gt;"",_xlpm.slot&amp;"="&amp;_xlpm.device,""))))</f>
        <v>device_slot_wheel=1210101;slot_top=1321102;slot_front_top=1321101</v>
      </c>
      <c r="G26" s="10">
        <v>1210101</v>
      </c>
      <c r="H26" s="10">
        <v>1321102</v>
      </c>
      <c r="J26" s="10">
        <v>1321101</v>
      </c>
      <c r="M26" s="11" t="s">
        <v>395</v>
      </c>
      <c r="N26" s="23" t="str">
        <f t="shared" si="3"/>
        <v>Car_AI_Missile</v>
      </c>
      <c r="O26" s="3" t="str">
        <f t="shared" si="1"/>
        <v>150~200</v>
      </c>
      <c r="P26" s="13">
        <v>150</v>
      </c>
      <c r="Q26" s="13">
        <v>200</v>
      </c>
      <c r="R26" s="3">
        <v>3</v>
      </c>
    </row>
    <row r="28" spans="1:18">
      <c r="A28" s="24">
        <v>211801</v>
      </c>
      <c r="B28" s="3">
        <v>1</v>
      </c>
      <c r="C28" s="3">
        <v>1</v>
      </c>
      <c r="D28" s="25" t="s">
        <v>225</v>
      </c>
      <c r="E28" s="3">
        <v>101201</v>
      </c>
      <c r="F28" s="3" t="str" cm="1">
        <f t="array" ref="F28">_xlfn.TEXTJOIN(";",1,_xlfn.MAP($G$3:$L$3,G28:L28,_xlfn.LAMBDA(_xlpm.slot,_xlpm.device,IF(_xlpm.device&lt;&gt;"",_xlpm.slot&amp;"="&amp;_xlpm.device,""))))</f>
        <v>device_slot_wheel=1210101;slot_top=1321101</v>
      </c>
      <c r="G28" s="10">
        <v>1210101</v>
      </c>
      <c r="H28" s="10">
        <v>1321101</v>
      </c>
      <c r="M28" s="11" t="s">
        <v>395</v>
      </c>
      <c r="N28" s="23" t="str">
        <f t="shared" si="3"/>
        <v>Car_AI_Missile</v>
      </c>
      <c r="O28" s="3" t="str">
        <f t="shared" si="1"/>
        <v>110~200</v>
      </c>
      <c r="P28" s="13">
        <v>110</v>
      </c>
      <c r="Q28" s="13">
        <v>200</v>
      </c>
      <c r="R28" s="3">
        <v>2</v>
      </c>
    </row>
    <row r="29" spans="1:18">
      <c r="A29" s="24">
        <v>211802</v>
      </c>
      <c r="B29" s="3">
        <v>1</v>
      </c>
      <c r="C29" s="3">
        <v>1</v>
      </c>
      <c r="D29" s="25" t="s">
        <v>226</v>
      </c>
      <c r="E29" s="3">
        <v>101202</v>
      </c>
      <c r="F29" s="3" t="str" cm="1">
        <f t="array" ref="F29">_xlfn.TEXTJOIN(";",1,_xlfn.MAP($G$3:$L$3,G29:L29,_xlfn.LAMBDA(_xlpm.slot,_xlpm.device,IF(_xlpm.device&lt;&gt;"",_xlpm.slot&amp;"="&amp;_xlpm.device,""))))</f>
        <v>device_slot_wheel=1210101;slot_top=1321102;slot_front_top=1321101</v>
      </c>
      <c r="G29" s="10">
        <v>1210101</v>
      </c>
      <c r="H29" s="10">
        <v>1321102</v>
      </c>
      <c r="J29" s="10">
        <v>1321101</v>
      </c>
      <c r="M29" s="11" t="s">
        <v>395</v>
      </c>
      <c r="N29" s="23" t="str">
        <f t="shared" si="3"/>
        <v>Car_AI_Missile</v>
      </c>
      <c r="O29" s="3" t="str">
        <f t="shared" si="1"/>
        <v>150~200</v>
      </c>
      <c r="P29" s="13">
        <v>150</v>
      </c>
      <c r="Q29" s="13">
        <v>200</v>
      </c>
      <c r="R29" s="3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499984740745262"/>
  </sheetPr>
  <dimension ref="B2:D54"/>
  <sheetViews>
    <sheetView workbookViewId="0">
      <selection activeCell="I53" sqref="I53"/>
    </sheetView>
  </sheetViews>
  <sheetFormatPr defaultColWidth="9" defaultRowHeight="14.25" outlineLevelCol="3"/>
  <cols>
    <col min="2" max="2" width="12.375" customWidth="1"/>
    <col min="3" max="3" width="14.125" customWidth="1"/>
  </cols>
  <sheetData>
    <row r="2" spans="2:4">
      <c r="B2" s="4" t="s">
        <v>398</v>
      </c>
      <c r="C2" s="2"/>
    </row>
    <row r="3" spans="2:4">
      <c r="B3" s="3" t="s">
        <v>0</v>
      </c>
      <c r="C3" s="5" t="s">
        <v>1</v>
      </c>
      <c r="D3" s="5" t="s">
        <v>399</v>
      </c>
    </row>
    <row r="4" spans="2:4">
      <c r="B4" s="2">
        <v>10000</v>
      </c>
      <c r="C4" s="2" t="s">
        <v>400</v>
      </c>
      <c r="D4" s="3"/>
    </row>
    <row r="5" spans="2:4">
      <c r="B5" s="2"/>
      <c r="C5" s="2"/>
      <c r="D5" s="3"/>
    </row>
    <row r="6" spans="2:4">
      <c r="B6" s="2">
        <v>600101</v>
      </c>
      <c r="C6" s="2" t="s">
        <v>401</v>
      </c>
      <c r="D6" s="3"/>
    </row>
    <row r="7" spans="2:4">
      <c r="B7" s="2">
        <v>600102</v>
      </c>
      <c r="C7" s="2" t="s">
        <v>402</v>
      </c>
      <c r="D7" s="3"/>
    </row>
    <row r="8" spans="2:4">
      <c r="B8" s="2">
        <v>600103</v>
      </c>
      <c r="C8" s="2" t="s">
        <v>403</v>
      </c>
      <c r="D8" s="3"/>
    </row>
    <row r="9" spans="2:4">
      <c r="B9" s="2">
        <v>600104</v>
      </c>
      <c r="C9" s="2" t="s">
        <v>404</v>
      </c>
      <c r="D9" s="3"/>
    </row>
    <row r="10" spans="2:4">
      <c r="B10" s="2">
        <v>600105</v>
      </c>
      <c r="C10" s="2" t="s">
        <v>405</v>
      </c>
      <c r="D10" s="3"/>
    </row>
    <row r="11" spans="2:4">
      <c r="B11" s="2">
        <v>600106</v>
      </c>
      <c r="C11" s="2" t="s">
        <v>406</v>
      </c>
      <c r="D11" s="3"/>
    </row>
    <row r="12" spans="2:4">
      <c r="B12" s="2">
        <v>600107</v>
      </c>
      <c r="C12" s="2" t="s">
        <v>407</v>
      </c>
      <c r="D12" s="3"/>
    </row>
    <row r="13" spans="2:4">
      <c r="B13" s="2">
        <v>600108</v>
      </c>
      <c r="C13" s="2" t="s">
        <v>408</v>
      </c>
      <c r="D13" s="3"/>
    </row>
    <row r="14" spans="2:4">
      <c r="B14" s="2">
        <v>600109</v>
      </c>
      <c r="C14" s="2" t="s">
        <v>409</v>
      </c>
      <c r="D14" s="3"/>
    </row>
    <row r="15" spans="2:4">
      <c r="B15" s="2">
        <v>600110</v>
      </c>
      <c r="C15" s="2" t="s">
        <v>410</v>
      </c>
      <c r="D15" s="3"/>
    </row>
    <row r="16" spans="2:4">
      <c r="B16" s="2"/>
      <c r="C16" s="2"/>
      <c r="D16" s="3"/>
    </row>
    <row r="17" spans="2:4">
      <c r="B17" s="2">
        <v>600401</v>
      </c>
      <c r="C17" s="2" t="s">
        <v>411</v>
      </c>
      <c r="D17" s="3"/>
    </row>
    <row r="18" spans="2:4">
      <c r="B18" s="2">
        <v>600402</v>
      </c>
      <c r="C18" s="2" t="s">
        <v>412</v>
      </c>
      <c r="D18" s="3"/>
    </row>
    <row r="19" spans="2:4">
      <c r="B19" s="2">
        <v>600403</v>
      </c>
      <c r="C19" s="2" t="s">
        <v>413</v>
      </c>
      <c r="D19" s="3"/>
    </row>
    <row r="20" spans="2:4">
      <c r="B20" s="2">
        <v>600404</v>
      </c>
      <c r="C20" s="2" t="s">
        <v>414</v>
      </c>
      <c r="D20" s="3"/>
    </row>
    <row r="21" spans="2:4">
      <c r="B21" s="2">
        <v>600405</v>
      </c>
      <c r="C21" s="2" t="s">
        <v>415</v>
      </c>
      <c r="D21" s="3"/>
    </row>
    <row r="22" spans="2:4">
      <c r="B22" s="2">
        <v>600406</v>
      </c>
      <c r="C22" s="2" t="s">
        <v>416</v>
      </c>
      <c r="D22" s="3"/>
    </row>
    <row r="23" spans="2:4">
      <c r="B23" s="2">
        <v>600407</v>
      </c>
      <c r="C23" s="2" t="s">
        <v>417</v>
      </c>
      <c r="D23" s="3"/>
    </row>
    <row r="24" spans="2:4">
      <c r="B24" s="2">
        <v>600408</v>
      </c>
      <c r="C24" s="2" t="s">
        <v>418</v>
      </c>
      <c r="D24" s="3"/>
    </row>
    <row r="25" spans="2:4">
      <c r="B25" s="2">
        <v>600409</v>
      </c>
      <c r="C25" s="2" t="s">
        <v>419</v>
      </c>
      <c r="D25" s="3"/>
    </row>
    <row r="26" spans="2:4">
      <c r="B26" s="2">
        <v>600410</v>
      </c>
      <c r="C26" s="2" t="s">
        <v>420</v>
      </c>
      <c r="D26" s="3"/>
    </row>
    <row r="27" spans="2:4">
      <c r="B27" s="2"/>
      <c r="C27" s="2"/>
      <c r="D27" s="3"/>
    </row>
    <row r="28" spans="2:4">
      <c r="B28" s="2">
        <v>600701</v>
      </c>
      <c r="C28" s="2" t="s">
        <v>421</v>
      </c>
      <c r="D28" s="3"/>
    </row>
    <row r="29" spans="2:4">
      <c r="B29" s="2">
        <v>600702</v>
      </c>
      <c r="C29" s="2" t="s">
        <v>422</v>
      </c>
      <c r="D29" s="3"/>
    </row>
    <row r="30" spans="2:4">
      <c r="B30" s="2">
        <v>600703</v>
      </c>
      <c r="C30" s="2" t="s">
        <v>423</v>
      </c>
      <c r="D30" s="3"/>
    </row>
    <row r="31" spans="2:4">
      <c r="B31" s="2">
        <v>600704</v>
      </c>
      <c r="C31" s="2" t="s">
        <v>424</v>
      </c>
      <c r="D31" s="3"/>
    </row>
    <row r="32" spans="2:4">
      <c r="B32" s="2">
        <v>600705</v>
      </c>
      <c r="C32" s="2" t="s">
        <v>425</v>
      </c>
      <c r="D32" s="3"/>
    </row>
    <row r="33" spans="2:4">
      <c r="B33" s="2">
        <v>600706</v>
      </c>
      <c r="C33" s="2" t="s">
        <v>426</v>
      </c>
      <c r="D33" s="3"/>
    </row>
    <row r="34" spans="2:4">
      <c r="B34" s="2">
        <v>600707</v>
      </c>
      <c r="C34" s="2" t="s">
        <v>427</v>
      </c>
      <c r="D34" s="3"/>
    </row>
    <row r="35" spans="2:4">
      <c r="B35" s="2">
        <v>600708</v>
      </c>
      <c r="C35" s="2" t="s">
        <v>428</v>
      </c>
      <c r="D35" s="3"/>
    </row>
    <row r="36" spans="2:4">
      <c r="B36" s="2">
        <v>600709</v>
      </c>
      <c r="C36" s="2" t="s">
        <v>429</v>
      </c>
      <c r="D36" s="3"/>
    </row>
    <row r="37" spans="2:4">
      <c r="B37" s="2">
        <v>600710</v>
      </c>
      <c r="C37" s="2" t="s">
        <v>430</v>
      </c>
      <c r="D37" s="3"/>
    </row>
    <row r="38" spans="2:4">
      <c r="B38" s="2"/>
      <c r="C38" s="2"/>
      <c r="D38" s="3"/>
    </row>
    <row r="39" spans="2:4">
      <c r="B39" s="2">
        <v>600801</v>
      </c>
      <c r="C39" s="2" t="s">
        <v>431</v>
      </c>
      <c r="D39" s="3">
        <v>5</v>
      </c>
    </row>
    <row r="40" spans="2:4">
      <c r="B40" s="2">
        <v>600802</v>
      </c>
      <c r="C40" s="2" t="s">
        <v>432</v>
      </c>
      <c r="D40" s="3">
        <v>55</v>
      </c>
    </row>
    <row r="41" spans="2:4">
      <c r="B41" s="2">
        <v>600803</v>
      </c>
      <c r="C41" s="2" t="s">
        <v>433</v>
      </c>
      <c r="D41" s="3">
        <v>20</v>
      </c>
    </row>
    <row r="42" spans="2:4">
      <c r="B42" s="2">
        <v>600804</v>
      </c>
      <c r="C42" s="2" t="s">
        <v>434</v>
      </c>
      <c r="D42" s="3">
        <v>45</v>
      </c>
    </row>
    <row r="43" spans="2:4">
      <c r="B43" s="2">
        <v>600805</v>
      </c>
      <c r="C43" s="2" t="s">
        <v>435</v>
      </c>
      <c r="D43" s="3">
        <v>30</v>
      </c>
    </row>
    <row r="44" spans="2:4">
      <c r="B44" s="2">
        <v>600806</v>
      </c>
      <c r="C44" s="2" t="s">
        <v>436</v>
      </c>
      <c r="D44" s="3">
        <v>3</v>
      </c>
    </row>
    <row r="45" spans="2:4">
      <c r="B45" s="2">
        <v>600807</v>
      </c>
      <c r="C45" s="2" t="s">
        <v>437</v>
      </c>
      <c r="D45" s="3">
        <v>15</v>
      </c>
    </row>
    <row r="46" spans="2:4">
      <c r="B46" s="2">
        <v>600808</v>
      </c>
      <c r="C46" s="2" t="s">
        <v>438</v>
      </c>
      <c r="D46" s="3">
        <v>2</v>
      </c>
    </row>
    <row r="47" spans="2:4">
      <c r="B47" s="2">
        <v>600809</v>
      </c>
      <c r="C47" s="2" t="s">
        <v>439</v>
      </c>
      <c r="D47" s="3">
        <v>15</v>
      </c>
    </row>
    <row r="48" spans="2:4">
      <c r="B48" s="2">
        <v>600810</v>
      </c>
      <c r="C48" s="2" t="s">
        <v>440</v>
      </c>
      <c r="D48" s="3">
        <v>35</v>
      </c>
    </row>
    <row r="49" spans="2:4">
      <c r="B49" s="2">
        <v>600811</v>
      </c>
      <c r="C49" s="2" t="s">
        <v>441</v>
      </c>
      <c r="D49" s="3">
        <v>20</v>
      </c>
    </row>
    <row r="50" spans="2:4">
      <c r="B50" s="2">
        <v>600812</v>
      </c>
      <c r="C50" s="2" t="s">
        <v>442</v>
      </c>
      <c r="D50" s="3">
        <v>20</v>
      </c>
    </row>
    <row r="51" spans="2:4">
      <c r="B51" s="2">
        <v>600813</v>
      </c>
      <c r="C51" s="2" t="s">
        <v>443</v>
      </c>
      <c r="D51" s="3">
        <v>6</v>
      </c>
    </row>
    <row r="52" spans="2:4">
      <c r="B52" s="2"/>
      <c r="C52" s="2"/>
    </row>
    <row r="53" spans="2:4">
      <c r="B53" s="2"/>
      <c r="C53" s="2"/>
    </row>
    <row r="54" spans="2:4">
      <c r="B54" s="2"/>
      <c r="C54" s="2"/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N90"/>
  <sheetViews>
    <sheetView workbookViewId="0">
      <selection activeCell="K27" sqref="K27"/>
    </sheetView>
  </sheetViews>
  <sheetFormatPr defaultColWidth="12.5" defaultRowHeight="14.25"/>
  <cols>
    <col min="1" max="16384" width="12.5" style="2"/>
  </cols>
  <sheetData>
    <row r="1" s="1" customFormat="1" spans="1:13">
      <c r="A1" s="1" t="s">
        <v>444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2"/>
      <c r="H1" s="2"/>
    </row>
    <row r="2" spans="1:13">
      <c r="A2" s="2" t="s">
        <v>450</v>
      </c>
      <c r="C2" s="2" t="s">
        <v>451</v>
      </c>
      <c r="E2" s="2" t="s">
        <v>452</v>
      </c>
    </row>
    <row r="3" spans="1:13">
      <c r="A3" s="2" t="s">
        <v>453</v>
      </c>
      <c r="C3" s="2" t="s">
        <v>454</v>
      </c>
    </row>
    <row r="4" spans="1:13">
      <c r="C4" s="2" t="s">
        <v>455</v>
      </c>
    </row>
    <row r="5" spans="1:13">
      <c r="C5" s="2" t="s">
        <v>456</v>
      </c>
    </row>
    <row r="6" spans="1:13">
      <c r="C6" s="2" t="s">
        <v>457</v>
      </c>
    </row>
    <row r="7" spans="1:13">
      <c r="C7" s="2" t="s">
        <v>458</v>
      </c>
    </row>
    <row r="8" spans="1:13">
      <c r="C8" s="2" t="s">
        <v>459</v>
      </c>
    </row>
    <row r="9" spans="1:13">
      <c r="C9" s="2" t="s">
        <v>460</v>
      </c>
    </row>
    <row r="11" spans="1:13">
      <c r="L11" s="3"/>
      <c r="M11" s="3"/>
    </row>
    <row r="12" spans="1:13">
      <c r="L12" s="3"/>
      <c r="M12" s="3"/>
    </row>
    <row r="13" spans="1:13">
      <c r="L13" s="3"/>
      <c r="M13" s="3"/>
    </row>
    <row r="14" spans="1:13">
      <c r="L14" s="3"/>
      <c r="M14" s="3"/>
    </row>
    <row r="15" spans="1:13">
      <c r="L15" s="3"/>
      <c r="M15" s="3"/>
    </row>
    <row r="16" spans="1:13">
      <c r="L16" s="3"/>
      <c r="M16" s="3"/>
    </row>
    <row r="17" spans="12:14">
      <c r="L17" s="3"/>
      <c r="M17" s="3"/>
    </row>
    <row r="18" spans="12:14">
      <c r="L18" s="3"/>
      <c r="M18" s="3"/>
    </row>
    <row r="19" spans="12:14">
      <c r="L19" s="3"/>
      <c r="M19" s="3"/>
    </row>
    <row r="20" spans="12:14">
      <c r="L20" s="3"/>
      <c r="M20" s="3"/>
    </row>
    <row r="21" spans="12:14">
      <c r="L21" s="3"/>
      <c r="M21" s="3"/>
    </row>
    <row r="22" spans="12:14">
      <c r="L22" s="3"/>
      <c r="M22" s="3"/>
    </row>
    <row r="23" spans="12:14">
      <c r="L23" s="3"/>
      <c r="M23" s="3"/>
    </row>
    <row r="24" spans="12:14">
      <c r="L24" s="3"/>
      <c r="M24" s="3"/>
    </row>
    <row r="25" spans="12:14">
      <c r="L25" s="3"/>
      <c r="M25" s="3"/>
    </row>
    <row r="30" spans="12:14">
      <c r="M30" s="3"/>
      <c r="N30" s="3"/>
    </row>
    <row r="31" spans="12:14">
      <c r="M31" s="3"/>
      <c r="N31" s="3"/>
    </row>
    <row r="32" spans="12:14">
      <c r="M32" s="3"/>
      <c r="N32" s="3"/>
    </row>
    <row r="33" spans="13:14">
      <c r="M33" s="3"/>
      <c r="N33" s="3"/>
    </row>
    <row r="34" spans="13:14">
      <c r="M34" s="3"/>
      <c r="N34" s="3"/>
    </row>
    <row r="35" spans="13:14">
      <c r="M35" s="3"/>
      <c r="N35" s="3"/>
    </row>
    <row r="36" spans="13:14">
      <c r="M36" s="3"/>
      <c r="N36" s="3"/>
    </row>
    <row r="37" spans="13:14">
      <c r="M37" s="3"/>
      <c r="N37" s="3"/>
    </row>
    <row r="38" spans="13:14">
      <c r="M38" s="3"/>
      <c r="N38" s="3"/>
    </row>
    <row r="39" spans="13:14">
      <c r="M39" s="3"/>
      <c r="N39" s="3"/>
    </row>
    <row r="58" spans="8:9">
      <c r="H58" s="3"/>
      <c r="I58" s="3"/>
    </row>
    <row r="59" spans="8:9">
      <c r="H59" s="3"/>
      <c r="I59" s="3"/>
    </row>
    <row r="60" spans="8:9">
      <c r="H60" s="3"/>
      <c r="I60" s="3"/>
    </row>
    <row r="64" spans="8:9">
      <c r="H64" s="3"/>
      <c r="I64" s="3"/>
    </row>
    <row r="65" spans="8:9">
      <c r="H65" s="3"/>
      <c r="I65" s="3"/>
    </row>
    <row r="66" spans="8:9">
      <c r="H66" s="3"/>
      <c r="I66" s="3"/>
    </row>
    <row r="67" spans="8:9">
      <c r="H67" s="3"/>
      <c r="I67" s="3"/>
    </row>
    <row r="68" spans="8:9">
      <c r="H68" s="3"/>
      <c r="I68" s="3"/>
    </row>
    <row r="69" spans="8:9">
      <c r="H69" s="3"/>
      <c r="I69" s="3"/>
    </row>
    <row r="70" spans="8:9">
      <c r="H70" s="3"/>
      <c r="I70" s="3"/>
    </row>
    <row r="71" spans="8:9">
      <c r="H71" s="3"/>
      <c r="I71" s="3"/>
    </row>
    <row r="72" spans="8:9">
      <c r="H72" s="3"/>
      <c r="I72" s="3"/>
    </row>
    <row r="73" spans="8:9">
      <c r="H73" s="3"/>
      <c r="I73" s="3"/>
    </row>
    <row r="74" spans="8:9">
      <c r="H74" s="3"/>
      <c r="I74" s="3"/>
    </row>
    <row r="75" spans="8:9">
      <c r="H75" s="3"/>
      <c r="I75" s="3"/>
    </row>
    <row r="76" spans="8:9">
      <c r="H76" s="3"/>
      <c r="I76" s="3"/>
    </row>
    <row r="77" spans="8:9">
      <c r="H77" s="3"/>
      <c r="I77" s="3"/>
    </row>
    <row r="78" spans="8:9">
      <c r="H78" s="3"/>
      <c r="I78" s="3"/>
    </row>
    <row r="79" spans="8:9">
      <c r="H79" s="3"/>
      <c r="I79" s="3"/>
    </row>
    <row r="80" spans="8:9">
      <c r="H80" s="3"/>
      <c r="I80" s="3"/>
    </row>
    <row r="81" spans="8:9">
      <c r="H81" s="3"/>
      <c r="I81" s="3"/>
    </row>
    <row r="82" spans="8:9">
      <c r="H82" s="3"/>
      <c r="I82" s="3"/>
    </row>
    <row r="83" spans="8:9">
      <c r="H83" s="3"/>
      <c r="I83" s="3"/>
    </row>
    <row r="84" spans="8:9">
      <c r="H84" s="3"/>
      <c r="I84" s="3"/>
    </row>
    <row r="85" spans="8:9">
      <c r="H85" s="3"/>
      <c r="I85" s="3"/>
    </row>
    <row r="86" spans="8:9">
      <c r="H86" s="3"/>
      <c r="I86" s="3"/>
    </row>
    <row r="87" spans="8:9">
      <c r="H87" s="3"/>
      <c r="I87" s="3"/>
    </row>
    <row r="88" spans="8:9">
      <c r="H88" s="3"/>
      <c r="I88" s="3"/>
    </row>
    <row r="89" spans="8:9">
      <c r="H89" s="3"/>
      <c r="I89" s="3"/>
    </row>
    <row r="90" spans="8:9">
      <c r="H90" s="3"/>
      <c r="I90" s="3"/>
    </row>
  </sheetData>
  <mergeCells count="12">
    <mergeCell ref="A2:B2"/>
    <mergeCell ref="C2:D2"/>
    <mergeCell ref="E2:F2"/>
    <mergeCell ref="A3:B3"/>
    <mergeCell ref="C3:D3"/>
    <mergeCell ref="E3:F3"/>
    <mergeCell ref="C4:D4"/>
    <mergeCell ref="C5:D5"/>
    <mergeCell ref="C6:D6"/>
    <mergeCell ref="C7:D7"/>
    <mergeCell ref="C8:D8"/>
    <mergeCell ref="C9:D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monster</vt:lpstr>
      <vt:lpstr>-diy_parm配置</vt:lpstr>
      <vt:lpstr>-loot_list辅助配置表</vt:lpstr>
      <vt:lpstr>sub_monster_car</vt:lpstr>
      <vt:lpstr>-配置辅助</vt:lpstr>
      <vt:lpstr>-id 配置说明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Apollyon</cp:lastModifiedBy>
  <dcterms:created xsi:type="dcterms:W3CDTF">2015-06-05T18:19:00Z</dcterms:created>
  <dcterms:modified xsi:type="dcterms:W3CDTF">2026-01-15T06:24:43Z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