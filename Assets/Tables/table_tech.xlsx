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C8F11AFC-3E4E-4262-AEDD-699621C59AAA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tech" sheetId="6" r:id="rId1"/>
    <sheet name="-辅助配置" sheetId="8" r:id="rId2"/>
    <sheet name="-id 配置说明" sheetId="7" r:id="rId3"/>
  </sheets>
  <definedNames>
    <definedName name="locate">_xlfn.LAMBDA(_xlpm.col_relative,_xlpm.rows,"RC["&amp;_xlpm.col_relative&amp;"]:R["&amp;_xlpm.rows-1&amp;"]C["&amp;_xlpm.col_relative&amp;"]")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D10" i="6"/>
  <c r="D9" i="6"/>
  <c r="D8" i="6"/>
  <c r="D7" i="6"/>
  <c r="D6" i="6"/>
  <c r="D5" i="6"/>
  <c r="D4" i="6"/>
  <c r="H23" i="6" l="1"/>
  <c r="H22" i="6"/>
  <c r="H21" i="6"/>
  <c r="H20" i="6"/>
  <c r="N20" i="6" s="1" a="1"/>
  <c r="N20" i="6" s="1"/>
  <c r="H19" i="6"/>
  <c r="N19" i="6" s="1" a="1"/>
  <c r="N19" i="6" s="1"/>
  <c r="N22" i="6" a="1"/>
  <c r="N22" i="6" s="1"/>
  <c r="M14" i="6"/>
  <c r="M15" i="6"/>
  <c r="M16" i="6"/>
  <c r="M17" i="6"/>
  <c r="M20" i="6"/>
  <c r="M21" i="6"/>
  <c r="M22" i="6"/>
  <c r="M23" i="6"/>
  <c r="N5" i="6" a="1"/>
  <c r="N5" i="6" s="1"/>
  <c r="N6" i="6" a="1"/>
  <c r="N6" i="6" s="1"/>
  <c r="N7" i="6" a="1"/>
  <c r="N7" i="6" s="1"/>
  <c r="N8" i="6" a="1"/>
  <c r="N8" i="6" s="1"/>
  <c r="N9" i="6" a="1"/>
  <c r="N9" i="6" s="1"/>
  <c r="N10" i="6" a="1"/>
  <c r="N10" i="6" s="1"/>
  <c r="N11" i="6" a="1"/>
  <c r="N11" i="6" s="1"/>
  <c r="N13" i="6" a="1"/>
  <c r="N13" i="6" s="1"/>
  <c r="N14" i="6" a="1"/>
  <c r="N14" i="6" s="1"/>
  <c r="N15" i="6" a="1"/>
  <c r="N15" i="6" s="1"/>
  <c r="N16" i="6" a="1"/>
  <c r="N16" i="6" s="1"/>
  <c r="N17" i="6" a="1"/>
  <c r="N17" i="6" s="1"/>
  <c r="N21" i="6" a="1"/>
  <c r="N21" i="6" s="1"/>
  <c r="N23" i="6" a="1"/>
  <c r="N23" i="6" s="1"/>
  <c r="N4" i="6" a="1"/>
  <c r="N4" i="6" s="1"/>
  <c r="D19" i="6"/>
  <c r="D20" i="6" s="1"/>
  <c r="D21" i="6" s="1"/>
  <c r="D22" i="6" s="1"/>
  <c r="D23" i="6" s="1"/>
  <c r="D13" i="6"/>
  <c r="D14" i="6" s="1"/>
  <c r="D15" i="6" s="1"/>
  <c r="D16" i="6" s="1"/>
  <c r="D17" i="6" s="1"/>
  <c r="B5" i="6"/>
  <c r="B6" i="6"/>
  <c r="B7" i="6"/>
  <c r="B8" i="6"/>
  <c r="B9" i="6"/>
  <c r="B10" i="6"/>
  <c r="B11" i="6"/>
  <c r="B13" i="6"/>
  <c r="B14" i="6"/>
  <c r="B15" i="6"/>
  <c r="B16" i="6"/>
  <c r="B17" i="6"/>
  <c r="B19" i="6"/>
  <c r="B20" i="6"/>
  <c r="B21" i="6"/>
  <c r="B22" i="6"/>
  <c r="B23" i="6"/>
  <c r="B4" i="6"/>
  <c r="M5" i="6"/>
  <c r="M6" i="6"/>
  <c r="M7" i="6"/>
  <c r="M8" i="6"/>
  <c r="M9" i="6"/>
  <c r="M10" i="6"/>
  <c r="M11" i="6"/>
  <c r="M4" i="6"/>
  <c r="M13" i="6" l="1"/>
  <c r="M19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<sst xmlns="http://schemas.openxmlformats.org/spreadsheetml/2006/main" count="189" uniqueCount="132">
  <si>
    <t>ui_visible</t>
  </si>
  <si>
    <t>uint key</t>
  </si>
  <si>
    <t>bool</t>
  </si>
  <si>
    <t>id</t>
  </si>
  <si>
    <t>uint</t>
  </si>
  <si>
    <t>string</t>
  </si>
  <si>
    <t>dict&lt;uint,int&gt;</t>
  </si>
  <si>
    <t>食物</t>
  </si>
  <si>
    <t>木材</t>
  </si>
  <si>
    <t>第1位</t>
  </si>
  <si>
    <t>第2位</t>
  </si>
  <si>
    <t>第3位</t>
  </si>
  <si>
    <t>第4位</t>
  </si>
  <si>
    <t>第5位</t>
  </si>
  <si>
    <t>第6位</t>
  </si>
  <si>
    <t>44 = plot</t>
  </si>
  <si>
    <t>45 = event_site</t>
  </si>
  <si>
    <t>0 = 对话事件</t>
  </si>
  <si>
    <t xml:space="preserve">0~8 = 普通 </t>
  </si>
  <si>
    <t>00~99 编号</t>
  </si>
  <si>
    <t>9 = Relic信标</t>
  </si>
  <si>
    <t>01 = 地宫</t>
    <phoneticPr fontId="8" type="noConversion"/>
  </si>
  <si>
    <t>02 = 云间</t>
    <phoneticPr fontId="8" type="noConversion"/>
  </si>
  <si>
    <t>08 = 大湖</t>
    <phoneticPr fontId="8" type="noConversion"/>
  </si>
  <si>
    <t>1 = 旅途货币</t>
    <phoneticPr fontId="8" type="noConversion"/>
  </si>
  <si>
    <t>0 = 暂未使用</t>
    <phoneticPr fontId="8" type="noConversion"/>
  </si>
  <si>
    <t>3 = 生成精英</t>
    <phoneticPr fontId="8" type="noConversion"/>
  </si>
  <si>
    <t>2 = 战利品堆</t>
    <phoneticPr fontId="8" type="noConversion"/>
  </si>
  <si>
    <t>id</t>
    <phoneticPr fontId="8" type="noConversion"/>
  </si>
  <si>
    <t>ui_name</t>
  </si>
  <si>
    <t>编号</t>
  </si>
  <si>
    <t>科技 名称</t>
  </si>
  <si>
    <t>ui_desc</t>
  </si>
  <si>
    <t>描述</t>
  </si>
  <si>
    <t>unlocked</t>
  </si>
  <si>
    <t>默认可见</t>
  </si>
  <si>
    <t>默认已解锁</t>
  </si>
  <si>
    <t>开放地宫世界的探索权限</t>
  </si>
  <si>
    <t>开放云间世界的探索权限</t>
  </si>
  <si>
    <t>开放密林世界的探索权限</t>
  </si>
  <si>
    <t>开放树梢世界的探索权限</t>
  </si>
  <si>
    <t>开放田间世界的探索权限</t>
  </si>
  <si>
    <t>开放永夜世界的探索权限</t>
  </si>
  <si>
    <t>开放荒漠世界的探索权限</t>
  </si>
  <si>
    <t>开放大湖世界的探索权限</t>
  </si>
  <si>
    <t>启动资金 1</t>
  </si>
  <si>
    <t>启动资金 2</t>
  </si>
  <si>
    <t>启动资金 3</t>
  </si>
  <si>
    <t>启动资金 4</t>
  </si>
  <si>
    <t>启动资金 5</t>
  </si>
  <si>
    <t>货舱扩容 1</t>
  </si>
  <si>
    <t>货舱扩容 2</t>
  </si>
  <si>
    <t>货舱扩容 3</t>
  </si>
  <si>
    <t>货舱扩容 4</t>
  </si>
  <si>
    <t>货舱扩容 5</t>
  </si>
  <si>
    <t>set_tech_visible</t>
  </si>
  <si>
    <r>
      <t xml:space="preserve">使指定科技可见
</t>
    </r>
    <r>
      <rPr>
        <i/>
        <sz val="10"/>
        <color theme="1"/>
        <rFont val="等线"/>
        <family val="3"/>
        <charset val="134"/>
        <scheme val="minor"/>
      </rPr>
      <t>配置 tech id</t>
    </r>
    <phoneticPr fontId="8" type="noConversion"/>
  </si>
  <si>
    <t>cost</t>
  </si>
  <si>
    <t>script</t>
  </si>
  <si>
    <t>Tech_UnlockWorld</t>
  </si>
  <si>
    <t>Tech_InitLoot</t>
  </si>
  <si>
    <t>Tech_Cargo</t>
  </si>
  <si>
    <t>int_parms</t>
  </si>
  <si>
    <t>int[]</t>
  </si>
  <si>
    <t>int参数列表</t>
  </si>
  <si>
    <t>10000;5</t>
  </si>
  <si>
    <t>效果脚本</t>
    <phoneticPr fontId="8" type="noConversion"/>
  </si>
  <si>
    <t>备注</t>
    <phoneticPr fontId="8" type="noConversion"/>
  </si>
  <si>
    <t>黄金</t>
  </si>
  <si>
    <t>金属</t>
  </si>
  <si>
    <t>火硫磺</t>
  </si>
  <si>
    <t>天空石</t>
  </si>
  <si>
    <t>建木根须</t>
  </si>
  <si>
    <t>建木果实</t>
  </si>
  <si>
    <t>矮人矿石</t>
  </si>
  <si>
    <t>沙漠水晶</t>
  </si>
  <si>
    <t>珍珠</t>
  </si>
  <si>
    <t>name</t>
    <phoneticPr fontId="8" type="noConversion"/>
  </si>
  <si>
    <t>6128=1</t>
    <phoneticPr fontId="8" type="noConversion"/>
  </si>
  <si>
    <t>6111=5</t>
    <phoneticPr fontId="8" type="noConversion"/>
  </si>
  <si>
    <t>区域：地宫</t>
  </si>
  <si>
    <t>区域：云间</t>
  </si>
  <si>
    <t>区域：密林</t>
  </si>
  <si>
    <t>区域：树梢</t>
  </si>
  <si>
    <t>区域：田间</t>
  </si>
  <si>
    <t>区域：永夜</t>
  </si>
  <si>
    <t>区域：荒漠</t>
  </si>
  <si>
    <t>区域：大湖</t>
  </si>
  <si>
    <t>6111=15</t>
    <phoneticPr fontId="8" type="noConversion"/>
  </si>
  <si>
    <t>6111=200</t>
    <phoneticPr fontId="8" type="noConversion"/>
  </si>
  <si>
    <t>6112=5;6114=5</t>
    <phoneticPr fontId="8" type="noConversion"/>
  </si>
  <si>
    <t>6111=40</t>
    <phoneticPr fontId="8" type="noConversion"/>
  </si>
  <si>
    <t>6111=90</t>
    <phoneticPr fontId="8" type="noConversion"/>
  </si>
  <si>
    <t>6112=15;6114=25</t>
    <phoneticPr fontId="8" type="noConversion"/>
  </si>
  <si>
    <t>6112=65;6114=35</t>
    <phoneticPr fontId="8" type="noConversion"/>
  </si>
  <si>
    <t>6112=50;6114=150</t>
    <phoneticPr fontId="8" type="noConversion"/>
  </si>
  <si>
    <t>6112=200;6114=200</t>
    <phoneticPr fontId="8" type="noConversion"/>
  </si>
  <si>
    <t>旅程开始时，可以额外携带5枚铜币</t>
    <phoneticPr fontId="8" type="noConversion"/>
  </si>
  <si>
    <t>关键字</t>
    <phoneticPr fontId="8" type="noConversion"/>
  </si>
  <si>
    <t>处理模式</t>
    <phoneticPr fontId="8" type="noConversion"/>
  </si>
  <si>
    <t>参数</t>
    <phoneticPr fontId="8" type="noConversion"/>
  </si>
  <si>
    <t>铜币</t>
    <phoneticPr fontId="8" type="noConversion"/>
  </si>
  <si>
    <t>color</t>
    <phoneticPr fontId="8" type="noConversion"/>
  </si>
  <si>
    <t>#CE8F22</t>
    <phoneticPr fontId="8" type="noConversion"/>
  </si>
  <si>
    <t>本地关键字</t>
    <phoneticPr fontId="8" type="noConversion"/>
  </si>
  <si>
    <t>强调</t>
    <phoneticPr fontId="8" type="noConversion"/>
  </si>
  <si>
    <t>#C57C4C</t>
    <phoneticPr fontId="8" type="noConversion"/>
  </si>
  <si>
    <t>负面</t>
    <phoneticPr fontId="8" type="noConversion"/>
  </si>
  <si>
    <t>#821C00</t>
    <phoneticPr fontId="8" type="noConversion"/>
  </si>
  <si>
    <t>金币</t>
    <phoneticPr fontId="8" type="noConversion"/>
  </si>
  <si>
    <t>物品</t>
    <phoneticPr fontId="8" type="noConversion"/>
  </si>
  <si>
    <t>#5FAACF</t>
    <phoneticPr fontId="8" type="noConversion"/>
  </si>
  <si>
    <t>本地关键字
强调</t>
    <phoneticPr fontId="8" type="noConversion"/>
  </si>
  <si>
    <t>本地关键字
负面</t>
    <phoneticPr fontId="8" type="noConversion"/>
  </si>
  <si>
    <t>本地关键字
金币</t>
    <phoneticPr fontId="8" type="noConversion"/>
  </si>
  <si>
    <t>本地关键字
物品</t>
    <phoneticPr fontId="8" type="noConversion"/>
  </si>
  <si>
    <t>备注
复用描述？</t>
    <phoneticPr fontId="8" type="noConversion"/>
  </si>
  <si>
    <t>备注
Raw</t>
    <phoneticPr fontId="8" type="noConversion"/>
  </si>
  <si>
    <t>L10N
desc配置辅助
key</t>
    <phoneticPr fontId="8" type="noConversion"/>
  </si>
  <si>
    <t>L10N
desc配置辅助
value</t>
    <phoneticPr fontId="8" type="noConversion"/>
  </si>
  <si>
    <t>战利品货舱</t>
    <phoneticPr fontId="8" type="noConversion"/>
  </si>
  <si>
    <t>战利品货舱的容量上限+2，可以携带更多战利品</t>
    <phoneticPr fontId="8" type="noConversion"/>
  </si>
  <si>
    <t>地宫</t>
    <phoneticPr fontId="8" type="noConversion"/>
  </si>
  <si>
    <t>云间</t>
    <phoneticPr fontId="8" type="noConversion"/>
  </si>
  <si>
    <t>密林</t>
    <phoneticPr fontId="8" type="noConversion"/>
  </si>
  <si>
    <t>树梢</t>
    <phoneticPr fontId="8" type="noConversion"/>
  </si>
  <si>
    <t>田间</t>
    <phoneticPr fontId="8" type="noConversion"/>
  </si>
  <si>
    <t>永夜</t>
    <phoneticPr fontId="8" type="noConversion"/>
  </si>
  <si>
    <t>荒漠</t>
    <phoneticPr fontId="8" type="noConversion"/>
  </si>
  <si>
    <t>大湖</t>
    <phoneticPr fontId="8" type="noConversion"/>
  </si>
  <si>
    <r>
      <t xml:space="preserve">解锁成本
</t>
    </r>
    <r>
      <rPr>
        <i/>
        <sz val="10"/>
        <color theme="1"/>
        <rFont val="等线"/>
        <family val="3"/>
        <charset val="134"/>
        <scheme val="minor"/>
      </rPr>
      <t>key: camp_coin id
value: camp_coin num</t>
    </r>
    <phoneticPr fontId="8" type="noConversion"/>
  </si>
  <si>
    <t>6128=9999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</si>
</sst>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</font>
    <font>
      <sz val="11"/>
      <color theme="0"/>
      <name val="等线"/>
      <family val="3"/>
      <charset val="134"/>
    </font>
    <font>
      <b/>
      <i/>
      <sz val="11"/>
      <color theme="1" tint="0.499984740745262"/>
      <name val="等线"/>
      <family val="3"/>
      <charset val="134"/>
      <scheme val="minor"/>
    </font>
    <font>
      <i/>
      <sz val="11"/>
      <color theme="0"/>
      <name val="等线"/>
      <family val="3"/>
      <charset val="134"/>
      <scheme val="minor"/>
    </font>
    <font>
      <i/>
      <sz val="11"/>
      <color theme="5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" fillId="0" borderId="1" xfId="3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00000000-0005-0000-0000-000033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7D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0778FF-D95E-4AF7-9AE4-2E4C8B8930A5}" name="表2" displayName="表2" ref="B5:C18" totalsRowShown="0" headerRowDxfId="4" dataDxfId="3">
  <autoFilter ref="B5:C18" xr:uid="{6A0778FF-D95E-4AF7-9AE4-2E4C8B8930A5}"/>
  <tableColumns count="2">
    <tableColumn id="1" xr3:uid="{34D5C03B-DC1D-4609-9ACC-DE771A478E12}" name="id" dataDxfId="2"/>
    <tableColumn id="2" xr3:uid="{7EFB2DBE-21E1-4A8A-A99B-5241E435D52A}" name="name" dataDxfId="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F8C3E9-4B02-438D-AE52-A78167226679}" name="tb_local_keyword" displayName="tb_local_keyword" ref="F5:H9" totalsRowShown="0" headerRowDxfId="0">
  <autoFilter ref="F5:H9" xr:uid="{9FF8C3E9-4B02-438D-AE52-A78167226679}"/>
  <tableColumns count="3">
    <tableColumn id="1" xr3:uid="{41EFE114-A3B7-471C-94A2-7CD873A795E5}" name="关键字"/>
    <tableColumn id="2" xr3:uid="{364FBB52-6296-4077-81ED-DF18ED2B24AC}" name="处理模式"/>
    <tableColumn id="3" xr3:uid="{6BC22CC2-B4C4-4973-A1A6-2A0B697FF822}" name="参数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topLeftCell="C1" workbookViewId="0">
      <pane ySplit="3" topLeftCell="A4" activePane="bottomLeft" state="frozen"/>
      <selection pane="bottomLeft" activeCell="S23" sqref="S23"/>
    </sheetView>
  </sheetViews>
  <sheetFormatPr defaultColWidth="9.125" defaultRowHeight="14.25" x14ac:dyDescent="0.2"/>
  <cols>
    <col min="1" max="1" width="10.5" style="4" customWidth="1"/>
    <col min="2" max="2" width="17.25" style="4" bestFit="1" customWidth="1"/>
    <col min="3" max="3" width="11.5" style="12" bestFit="1" customWidth="1"/>
    <col min="4" max="4" width="16.875" style="4" bestFit="1" customWidth="1"/>
    <col min="5" max="5" width="11.25" style="4" customWidth="1"/>
    <col min="6" max="6" width="45.25" style="12" bestFit="1" customWidth="1"/>
    <col min="7" max="9" width="11" style="19" bestFit="1" customWidth="1"/>
    <col min="10" max="11" width="11.25" style="19" bestFit="1" customWidth="1"/>
    <col min="12" max="12" width="11" style="19" bestFit="1" customWidth="1"/>
    <col min="13" max="13" width="15.875" style="4" customWidth="1"/>
    <col min="14" max="14" width="33.375" style="12" bestFit="1" customWidth="1"/>
    <col min="15" max="15" width="9" style="4" bestFit="1" customWidth="1"/>
    <col min="16" max="16" width="11" style="4" bestFit="1" customWidth="1"/>
    <col min="17" max="17" width="14.125" style="4" bestFit="1" customWidth="1"/>
    <col min="18" max="18" width="24.625" style="4" customWidth="1"/>
    <col min="19" max="19" width="17.375" style="4" bestFit="1" customWidth="1"/>
    <col min="20" max="20" width="11.125" style="4" bestFit="1" customWidth="1"/>
    <col min="21" max="16384" width="9.125" style="4"/>
  </cols>
  <sheetData>
    <row r="1" spans="1:20" s="1" customFormat="1" x14ac:dyDescent="0.2">
      <c r="A1" s="1" t="s">
        <v>3</v>
      </c>
      <c r="B1" s="1" t="s">
        <v>29</v>
      </c>
      <c r="C1" s="11"/>
      <c r="D1" s="1" t="s">
        <v>32</v>
      </c>
      <c r="F1" s="11"/>
      <c r="G1" s="16"/>
      <c r="H1" s="16"/>
      <c r="I1" s="16"/>
      <c r="J1" s="16"/>
      <c r="K1" s="16"/>
      <c r="L1" s="16"/>
      <c r="N1" s="11"/>
      <c r="O1" s="1" t="s">
        <v>0</v>
      </c>
      <c r="P1" s="1" t="s">
        <v>34</v>
      </c>
      <c r="Q1" s="1" t="s">
        <v>55</v>
      </c>
      <c r="R1" s="1" t="s">
        <v>57</v>
      </c>
      <c r="S1" s="1" t="s">
        <v>58</v>
      </c>
      <c r="T1" s="1" t="s">
        <v>62</v>
      </c>
    </row>
    <row r="2" spans="1:20" s="2" customFormat="1" x14ac:dyDescent="0.2">
      <c r="A2" s="2" t="s">
        <v>1</v>
      </c>
      <c r="B2" s="2" t="s">
        <v>5</v>
      </c>
      <c r="C2" s="11"/>
      <c r="D2" s="2" t="s">
        <v>5</v>
      </c>
      <c r="F2" s="11"/>
      <c r="G2" s="17"/>
      <c r="H2" s="17"/>
      <c r="I2" s="17"/>
      <c r="J2" s="17"/>
      <c r="K2" s="17"/>
      <c r="L2" s="17"/>
      <c r="N2" s="11"/>
      <c r="O2" s="2" t="s">
        <v>2</v>
      </c>
      <c r="P2" s="2" t="s">
        <v>2</v>
      </c>
      <c r="Q2" s="2" t="s">
        <v>4</v>
      </c>
      <c r="R2" s="2" t="s">
        <v>6</v>
      </c>
      <c r="S2" s="2" t="s">
        <v>5</v>
      </c>
      <c r="T2" s="2" t="s">
        <v>63</v>
      </c>
    </row>
    <row r="3" spans="1:20" s="3" customFormat="1" ht="42.75" x14ac:dyDescent="0.2">
      <c r="A3" s="5" t="s">
        <v>30</v>
      </c>
      <c r="B3" s="5" t="s">
        <v>31</v>
      </c>
      <c r="C3" s="13" t="s">
        <v>67</v>
      </c>
      <c r="D3" s="6" t="s">
        <v>33</v>
      </c>
      <c r="E3" s="13" t="s">
        <v>116</v>
      </c>
      <c r="F3" s="13" t="s">
        <v>117</v>
      </c>
      <c r="G3" s="18" t="s">
        <v>112</v>
      </c>
      <c r="H3" s="18" t="s">
        <v>112</v>
      </c>
      <c r="I3" s="18" t="s">
        <v>113</v>
      </c>
      <c r="J3" s="18" t="s">
        <v>114</v>
      </c>
      <c r="K3" s="18" t="s">
        <v>114</v>
      </c>
      <c r="L3" s="18" t="s">
        <v>115</v>
      </c>
      <c r="M3" s="13" t="s">
        <v>118</v>
      </c>
      <c r="N3" s="13" t="s">
        <v>119</v>
      </c>
      <c r="O3" s="6" t="s">
        <v>35</v>
      </c>
      <c r="P3" s="5" t="s">
        <v>36</v>
      </c>
      <c r="Q3" s="6" t="s">
        <v>56</v>
      </c>
      <c r="R3" s="6" t="s">
        <v>130</v>
      </c>
      <c r="S3" s="5" t="s">
        <v>66</v>
      </c>
      <c r="T3" s="5" t="s">
        <v>64</v>
      </c>
    </row>
    <row r="4" spans="1:20" x14ac:dyDescent="0.2">
      <c r="A4" s="4">
        <v>651001</v>
      </c>
      <c r="B4" s="10" t="str">
        <f>_xlfn.TEXTJOIN("_",1,"tech","name",$A4)</f>
        <v>tech_name_651001</v>
      </c>
      <c r="C4" s="12" t="s">
        <v>80</v>
      </c>
      <c r="D4" s="20" t="str">
        <f>IF(E4,D2,_xlfn.TEXTJOIN("_",1,"tech","desc",$A4))</f>
        <v>tech_desc_651001</v>
      </c>
      <c r="E4" s="4" t="b">
        <v>0</v>
      </c>
      <c r="F4" s="12" t="s">
        <v>37</v>
      </c>
      <c r="G4" s="19" t="s">
        <v>122</v>
      </c>
      <c r="M4" s="20" t="str">
        <f t="shared" ref="M4:M11" si="0">IF(E4,"",D4)</f>
        <v>tech_desc_651001</v>
      </c>
      <c r="N4" s="21" t="str" cm="1">
        <f t="array" aca="1" ref="N4" ca="1">_xlfn.REDUCE(F4,
G4:L4,_xlfn.LAMBDA(_xlpm._raw,_xlpm._local_keyword,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开放&lt;color=#C57C4C&gt;地宫&lt;/color&gt;世界的探索权限</v>
      </c>
      <c r="O4" s="4" t="b">
        <v>1</v>
      </c>
      <c r="R4" s="10" t="s">
        <v>131</v>
      </c>
      <c r="S4" s="4" t="s">
        <v>59</v>
      </c>
      <c r="T4" s="4">
        <v>4001</v>
      </c>
    </row>
    <row r="5" spans="1:20" x14ac:dyDescent="0.2">
      <c r="A5" s="4">
        <v>651002</v>
      </c>
      <c r="B5" s="10" t="str">
        <f t="shared" ref="B5:B23" si="1">_xlfn.TEXTJOIN("_",1,"tech","name",$A5)</f>
        <v>tech_name_651002</v>
      </c>
      <c r="C5" s="12" t="s">
        <v>81</v>
      </c>
      <c r="D5" s="20" t="str">
        <f t="shared" ref="D5:D11" si="2">IF(E5,D4,_xlfn.TEXTJOIN("_",1,"tech","desc",$A5))</f>
        <v>tech_desc_651002</v>
      </c>
      <c r="E5" s="4" t="b">
        <v>0</v>
      </c>
      <c r="F5" s="12" t="s">
        <v>38</v>
      </c>
      <c r="G5" s="19" t="s">
        <v>123</v>
      </c>
      <c r="M5" s="20" t="str">
        <f t="shared" si="0"/>
        <v>tech_desc_651002</v>
      </c>
      <c r="N5" s="21" t="str" cm="1">
        <f t="array" aca="1" ref="N5" ca="1">_xlfn.REDUCE(F5,
G5:L5,_xlfn.LAMBDA(_xlpm._raw,_xlpm._local_keyword,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开放&lt;color=#C57C4C&gt;云间&lt;/color&gt;世界的探索权限</v>
      </c>
      <c r="R5" s="10" t="s">
        <v>78</v>
      </c>
      <c r="S5" s="4" t="s">
        <v>59</v>
      </c>
      <c r="T5" s="4">
        <v>4002</v>
      </c>
    </row>
    <row r="6" spans="1:20" x14ac:dyDescent="0.2">
      <c r="A6" s="4">
        <v>651003</v>
      </c>
      <c r="B6" s="10" t="str">
        <f t="shared" si="1"/>
        <v>tech_name_651003</v>
      </c>
      <c r="C6" s="12" t="s">
        <v>82</v>
      </c>
      <c r="D6" s="20" t="str">
        <f t="shared" si="2"/>
        <v>tech_desc_651003</v>
      </c>
      <c r="E6" s="4" t="b">
        <v>0</v>
      </c>
      <c r="F6" s="12" t="s">
        <v>39</v>
      </c>
      <c r="G6" s="19" t="s">
        <v>124</v>
      </c>
      <c r="M6" s="20" t="str">
        <f t="shared" si="0"/>
        <v>tech_desc_651003</v>
      </c>
      <c r="N6" s="21" t="str" cm="1">
        <f t="array" aca="1" ref="N6" ca="1">_xlfn.REDUCE(F6,
G6:L6,_xlfn.LAMBDA(_xlpm._raw,_xlpm._local_keyword,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开放&lt;color=#C57C4C&gt;密林&lt;/color&gt;世界的探索权限</v>
      </c>
      <c r="R6" s="10" t="s">
        <v>78</v>
      </c>
      <c r="S6" s="4" t="s">
        <v>59</v>
      </c>
      <c r="T6" s="4">
        <v>4003</v>
      </c>
    </row>
    <row r="7" spans="1:20" x14ac:dyDescent="0.2">
      <c r="A7" s="4">
        <v>651004</v>
      </c>
      <c r="B7" s="10" t="str">
        <f t="shared" si="1"/>
        <v>tech_name_651004</v>
      </c>
      <c r="C7" s="12" t="s">
        <v>83</v>
      </c>
      <c r="D7" s="20" t="str">
        <f t="shared" si="2"/>
        <v>tech_desc_651004</v>
      </c>
      <c r="E7" s="4" t="b">
        <v>0</v>
      </c>
      <c r="F7" s="12" t="s">
        <v>40</v>
      </c>
      <c r="G7" s="19" t="s">
        <v>125</v>
      </c>
      <c r="M7" s="20" t="str">
        <f t="shared" si="0"/>
        <v>tech_desc_651004</v>
      </c>
      <c r="N7" s="21" t="str" cm="1">
        <f t="array" aca="1" ref="N7" ca="1">_xlfn.REDUCE(F7,
G7:L7,_xlfn.LAMBDA(_xlpm._raw,_xlpm._local_keyword,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开放&lt;color=#C57C4C&gt;树梢&lt;/color&gt;世界的探索权限</v>
      </c>
      <c r="O7" s="4" t="b">
        <v>1</v>
      </c>
      <c r="R7" s="10" t="s">
        <v>131</v>
      </c>
      <c r="S7" s="4" t="s">
        <v>59</v>
      </c>
      <c r="T7" s="4">
        <v>4004</v>
      </c>
    </row>
    <row r="8" spans="1:20" x14ac:dyDescent="0.2">
      <c r="A8" s="4">
        <v>651005</v>
      </c>
      <c r="B8" s="10" t="str">
        <f t="shared" si="1"/>
        <v>tech_name_651005</v>
      </c>
      <c r="C8" s="12" t="s">
        <v>84</v>
      </c>
      <c r="D8" s="20" t="str">
        <f t="shared" si="2"/>
        <v>tech_desc_651005</v>
      </c>
      <c r="E8" s="4" t="b">
        <v>0</v>
      </c>
      <c r="F8" s="12" t="s">
        <v>41</v>
      </c>
      <c r="G8" s="19" t="s">
        <v>126</v>
      </c>
      <c r="M8" s="20" t="str">
        <f t="shared" si="0"/>
        <v>tech_desc_651005</v>
      </c>
      <c r="N8" s="21" t="str" cm="1">
        <f t="array" aca="1" ref="N8" ca="1">_xlfn.REDUCE(F8,
G8:L8,_xlfn.LAMBDA(_xlpm._raw,_xlpm._local_keyword,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开放&lt;color=#C57C4C&gt;田间&lt;/color&gt;世界的探索权限</v>
      </c>
      <c r="R8" s="10" t="s">
        <v>78</v>
      </c>
      <c r="S8" s="4" t="s">
        <v>59</v>
      </c>
      <c r="T8" s="4">
        <v>4005</v>
      </c>
    </row>
    <row r="9" spans="1:20" x14ac:dyDescent="0.2">
      <c r="A9" s="4">
        <v>651006</v>
      </c>
      <c r="B9" s="10" t="str">
        <f t="shared" si="1"/>
        <v>tech_name_651006</v>
      </c>
      <c r="C9" s="12" t="s">
        <v>85</v>
      </c>
      <c r="D9" s="20" t="str">
        <f t="shared" si="2"/>
        <v>tech_desc_651006</v>
      </c>
      <c r="E9" s="4" t="b">
        <v>0</v>
      </c>
      <c r="F9" s="12" t="s">
        <v>42</v>
      </c>
      <c r="G9" s="19" t="s">
        <v>127</v>
      </c>
      <c r="M9" s="20" t="str">
        <f t="shared" si="0"/>
        <v>tech_desc_651006</v>
      </c>
      <c r="N9" s="21" t="str" cm="1">
        <f t="array" aca="1" ref="N9" ca="1">_xlfn.REDUCE(F9,
G9:L9,_xlfn.LAMBDA(_xlpm._raw,_xlpm._local_keyword,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开放&lt;color=#C57C4C&gt;永夜&lt;/color&gt;世界的探索权限</v>
      </c>
      <c r="R9" s="10" t="s">
        <v>78</v>
      </c>
      <c r="S9" s="4" t="s">
        <v>59</v>
      </c>
      <c r="T9" s="4">
        <v>4006</v>
      </c>
    </row>
    <row r="10" spans="1:20" x14ac:dyDescent="0.2">
      <c r="A10" s="4">
        <v>651007</v>
      </c>
      <c r="B10" s="10" t="str">
        <f t="shared" si="1"/>
        <v>tech_name_651007</v>
      </c>
      <c r="C10" s="12" t="s">
        <v>86</v>
      </c>
      <c r="D10" s="20" t="str">
        <f t="shared" si="2"/>
        <v>tech_desc_651007</v>
      </c>
      <c r="E10" s="4" t="b">
        <v>0</v>
      </c>
      <c r="F10" s="12" t="s">
        <v>43</v>
      </c>
      <c r="G10" s="19" t="s">
        <v>128</v>
      </c>
      <c r="M10" s="20" t="str">
        <f t="shared" si="0"/>
        <v>tech_desc_651007</v>
      </c>
      <c r="N10" s="21" t="str" cm="1">
        <f t="array" aca="1" ref="N10" ca="1">_xlfn.REDUCE(F10,
G10:L10,_xlfn.LAMBDA(_xlpm._raw,_xlpm._local_keyword,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开放&lt;color=#C57C4C&gt;荒漠&lt;/color&gt;世界的探索权限</v>
      </c>
      <c r="O10" s="4" t="b">
        <v>1</v>
      </c>
      <c r="R10" s="10" t="s">
        <v>131</v>
      </c>
      <c r="S10" s="4" t="s">
        <v>59</v>
      </c>
      <c r="T10" s="4">
        <v>4007</v>
      </c>
    </row>
    <row r="11" spans="1:20" x14ac:dyDescent="0.2">
      <c r="A11" s="4">
        <v>651008</v>
      </c>
      <c r="B11" s="10" t="str">
        <f t="shared" si="1"/>
        <v>tech_name_651008</v>
      </c>
      <c r="C11" s="12" t="s">
        <v>87</v>
      </c>
      <c r="D11" s="20" t="str">
        <f t="shared" si="2"/>
        <v>tech_desc_651008</v>
      </c>
      <c r="E11" s="4" t="b">
        <v>0</v>
      </c>
      <c r="F11" s="12" t="s">
        <v>44</v>
      </c>
      <c r="G11" s="19" t="s">
        <v>129</v>
      </c>
      <c r="M11" s="20" t="str">
        <f t="shared" si="0"/>
        <v>tech_desc_651008</v>
      </c>
      <c r="N11" s="21" t="str" cm="1">
        <f t="array" aca="1" ref="N11" ca="1">_xlfn.REDUCE(F11,
G11:L11,_xlfn.LAMBDA(_xlpm._raw,_xlpm._local_keyword,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开放&lt;color=#C57C4C&gt;大湖&lt;/color&gt;世界的探索权限</v>
      </c>
      <c r="O11" s="4" t="b">
        <v>1</v>
      </c>
      <c r="R11" s="10" t="s">
        <v>131</v>
      </c>
      <c r="S11" s="4" t="s">
        <v>59</v>
      </c>
      <c r="T11" s="4">
        <v>4008</v>
      </c>
    </row>
    <row r="13" spans="1:20" x14ac:dyDescent="0.2">
      <c r="A13" s="4">
        <v>656001</v>
      </c>
      <c r="B13" s="10" t="str">
        <f t="shared" si="1"/>
        <v>tech_name_656001</v>
      </c>
      <c r="C13" s="12" t="s">
        <v>45</v>
      </c>
      <c r="D13" s="20" t="str">
        <f>IF(E13,D11,_xlfn.TEXTJOIN("_",1,"tech","desc",$A13))</f>
        <v>tech_desc_656001</v>
      </c>
      <c r="E13" s="4" t="b">
        <v>0</v>
      </c>
      <c r="F13" s="12" t="s">
        <v>97</v>
      </c>
      <c r="J13" s="19">
        <v>5</v>
      </c>
      <c r="K13" s="19" t="s">
        <v>101</v>
      </c>
      <c r="M13" s="20" t="str">
        <f>IF(E13,"",D13)</f>
        <v>tech_desc_656001</v>
      </c>
      <c r="N13" s="21" t="str" cm="1">
        <f t="array" aca="1" ref="N13" ca="1">_xlfn.REDUCE(F13,
G13:L13,_xlfn.LAMBDA(_xlpm._raw,_xlpm._local_keyword,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旅程开始时，可以额外携带&lt;color=#CE8F22&gt;5&lt;/color&gt;枚&lt;color=#CE8F22&gt;铜币&lt;/color&gt;</v>
      </c>
      <c r="O13" s="4" t="b">
        <v>1</v>
      </c>
      <c r="Q13" s="4">
        <v>656002</v>
      </c>
      <c r="R13" s="10" t="s">
        <v>79</v>
      </c>
      <c r="S13" s="4" t="s">
        <v>60</v>
      </c>
      <c r="T13" s="4" t="s">
        <v>65</v>
      </c>
    </row>
    <row r="14" spans="1:20" x14ac:dyDescent="0.2">
      <c r="A14" s="4">
        <v>656002</v>
      </c>
      <c r="B14" s="10" t="str">
        <f t="shared" si="1"/>
        <v>tech_name_656002</v>
      </c>
      <c r="C14" s="12" t="s">
        <v>46</v>
      </c>
      <c r="D14" s="20" t="str">
        <f t="shared" ref="D14:D23" si="3">IF(E14,D13,_xlfn.TEXTJOIN("_",1,"tech","desc",$A14))</f>
        <v>tech_desc_656001</v>
      </c>
      <c r="E14" s="4" t="b">
        <v>1</v>
      </c>
      <c r="F14" s="12" t="s">
        <v>97</v>
      </c>
      <c r="J14" s="19">
        <v>5</v>
      </c>
      <c r="K14" s="19" t="s">
        <v>101</v>
      </c>
      <c r="M14" s="20" t="str">
        <f t="shared" ref="M14:M23" si="4">IF(E14,"",D14)</f>
        <v/>
      </c>
      <c r="N14" s="21" t="str" cm="1">
        <f t="array" aca="1" ref="N14" ca="1">_xlfn.REDUCE(F14,
G14:L14,_xlfn.LAMBDA(_xlpm._raw,_xlpm._local_keyword,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旅程开始时，可以额外携带&lt;color=#CE8F22&gt;5&lt;/color&gt;枚&lt;color=#CE8F22&gt;铜币&lt;/color&gt;</v>
      </c>
      <c r="Q14" s="4">
        <v>656003</v>
      </c>
      <c r="R14" s="10" t="s">
        <v>88</v>
      </c>
      <c r="S14" s="4" t="s">
        <v>60</v>
      </c>
      <c r="T14" s="4" t="s">
        <v>65</v>
      </c>
    </row>
    <row r="15" spans="1:20" x14ac:dyDescent="0.2">
      <c r="A15" s="4">
        <v>656003</v>
      </c>
      <c r="B15" s="10" t="str">
        <f t="shared" si="1"/>
        <v>tech_name_656003</v>
      </c>
      <c r="C15" s="12" t="s">
        <v>47</v>
      </c>
      <c r="D15" s="20" t="str">
        <f t="shared" si="3"/>
        <v>tech_desc_656001</v>
      </c>
      <c r="E15" s="4" t="b">
        <v>1</v>
      </c>
      <c r="F15" s="12" t="s">
        <v>97</v>
      </c>
      <c r="J15" s="19">
        <v>5</v>
      </c>
      <c r="K15" s="19" t="s">
        <v>101</v>
      </c>
      <c r="M15" s="20" t="str">
        <f t="shared" si="4"/>
        <v/>
      </c>
      <c r="N15" s="21" t="str" cm="1">
        <f t="array" aca="1" ref="N15" ca="1">_xlfn.REDUCE(F15,
G15:L15,_xlfn.LAMBDA(_xlpm._raw,_xlpm._local_keyword,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旅程开始时，可以额外携带&lt;color=#CE8F22&gt;5&lt;/color&gt;枚&lt;color=#CE8F22&gt;铜币&lt;/color&gt;</v>
      </c>
      <c r="Q15" s="4">
        <v>656004</v>
      </c>
      <c r="R15" s="10" t="s">
        <v>91</v>
      </c>
      <c r="S15" s="4" t="s">
        <v>60</v>
      </c>
      <c r="T15" s="4" t="s">
        <v>65</v>
      </c>
    </row>
    <row r="16" spans="1:20" x14ac:dyDescent="0.2">
      <c r="A16" s="4">
        <v>656004</v>
      </c>
      <c r="B16" s="10" t="str">
        <f t="shared" si="1"/>
        <v>tech_name_656004</v>
      </c>
      <c r="C16" s="12" t="s">
        <v>48</v>
      </c>
      <c r="D16" s="20" t="str">
        <f t="shared" si="3"/>
        <v>tech_desc_656001</v>
      </c>
      <c r="E16" s="4" t="b">
        <v>1</v>
      </c>
      <c r="F16" s="12" t="s">
        <v>97</v>
      </c>
      <c r="J16" s="19">
        <v>5</v>
      </c>
      <c r="K16" s="19" t="s">
        <v>101</v>
      </c>
      <c r="M16" s="20" t="str">
        <f t="shared" si="4"/>
        <v/>
      </c>
      <c r="N16" s="21" t="str" cm="1">
        <f t="array" aca="1" ref="N16" ca="1">_xlfn.REDUCE(F16,
G16:L16,_xlfn.LAMBDA(_xlpm._raw,_xlpm._local_keyword,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旅程开始时，可以额外携带&lt;color=#CE8F22&gt;5&lt;/color&gt;枚&lt;color=#CE8F22&gt;铜币&lt;/color&gt;</v>
      </c>
      <c r="Q16" s="4">
        <v>656005</v>
      </c>
      <c r="R16" s="10" t="s">
        <v>92</v>
      </c>
      <c r="S16" s="4" t="s">
        <v>60</v>
      </c>
      <c r="T16" s="4" t="s">
        <v>65</v>
      </c>
    </row>
    <row r="17" spans="1:20" x14ac:dyDescent="0.2">
      <c r="A17" s="4">
        <v>656005</v>
      </c>
      <c r="B17" s="10" t="str">
        <f t="shared" si="1"/>
        <v>tech_name_656005</v>
      </c>
      <c r="C17" s="12" t="s">
        <v>49</v>
      </c>
      <c r="D17" s="20" t="str">
        <f t="shared" si="3"/>
        <v>tech_desc_656001</v>
      </c>
      <c r="E17" s="4" t="b">
        <v>1</v>
      </c>
      <c r="F17" s="12" t="s">
        <v>97</v>
      </c>
      <c r="J17" s="19">
        <v>5</v>
      </c>
      <c r="K17" s="19" t="s">
        <v>101</v>
      </c>
      <c r="M17" s="20" t="str">
        <f t="shared" si="4"/>
        <v/>
      </c>
      <c r="N17" s="21" t="str" cm="1">
        <f t="array" aca="1" ref="N17" ca="1">_xlfn.REDUCE(F17,
G17:L17,_xlfn.LAMBDA(_xlpm._raw,_xlpm._local_keyword,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旅程开始时，可以额外携带&lt;color=#CE8F22&gt;5&lt;/color&gt;枚&lt;color=#CE8F22&gt;铜币&lt;/color&gt;</v>
      </c>
      <c r="R17" s="10" t="s">
        <v>89</v>
      </c>
      <c r="S17" s="4" t="s">
        <v>60</v>
      </c>
      <c r="T17" s="4" t="s">
        <v>65</v>
      </c>
    </row>
    <row r="19" spans="1:20" x14ac:dyDescent="0.2">
      <c r="A19" s="4">
        <v>656011</v>
      </c>
      <c r="B19" s="10" t="str">
        <f t="shared" si="1"/>
        <v>tech_name_656011</v>
      </c>
      <c r="C19" s="12" t="s">
        <v>50</v>
      </c>
      <c r="D19" s="20" t="str">
        <f>IF(E19,D17,_xlfn.TEXTJOIN("_",1,"tech","desc",$A19))</f>
        <v>tech_desc_656011</v>
      </c>
      <c r="E19" s="4" t="b">
        <v>0</v>
      </c>
      <c r="F19" s="12" t="s">
        <v>121</v>
      </c>
      <c r="G19" s="19" t="s">
        <v>120</v>
      </c>
      <c r="H19" s="19" t="str">
        <f>"+2"</f>
        <v>+2</v>
      </c>
      <c r="M19" s="20" t="str">
        <f t="shared" si="4"/>
        <v>tech_desc_656011</v>
      </c>
      <c r="N19" s="21" t="str" cm="1">
        <f t="array" aca="1" ref="N19" ca="1">_xlfn.REDUCE(F19,
G19:L19,_xlfn.LAMBDA(_xlpm._raw,_xlpm._local_keyword,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&lt;color=#C57C4C&gt;战利品货舱&lt;/color&gt;的容量上限&lt;color=#C57C4C&gt;+2&lt;/color&gt;，可以携带更多战利品</v>
      </c>
      <c r="O19" s="4" t="b">
        <v>1</v>
      </c>
      <c r="Q19" s="4">
        <v>656012</v>
      </c>
      <c r="R19" s="10" t="s">
        <v>90</v>
      </c>
      <c r="S19" s="4" t="s">
        <v>61</v>
      </c>
      <c r="T19" s="4">
        <v>2</v>
      </c>
    </row>
    <row r="20" spans="1:20" x14ac:dyDescent="0.2">
      <c r="A20" s="4">
        <v>656012</v>
      </c>
      <c r="B20" s="10" t="str">
        <f t="shared" si="1"/>
        <v>tech_name_656012</v>
      </c>
      <c r="C20" s="12" t="s">
        <v>51</v>
      </c>
      <c r="D20" s="20" t="str">
        <f t="shared" si="3"/>
        <v>tech_desc_656011</v>
      </c>
      <c r="E20" s="4" t="b">
        <v>1</v>
      </c>
      <c r="F20" s="12" t="s">
        <v>121</v>
      </c>
      <c r="G20" s="19" t="s">
        <v>120</v>
      </c>
      <c r="H20" s="19" t="str">
        <f>"+2"</f>
        <v>+2</v>
      </c>
      <c r="M20" s="20" t="str">
        <f t="shared" si="4"/>
        <v/>
      </c>
      <c r="N20" s="21" t="str" cm="1">
        <f t="array" aca="1" ref="N20" ca="1">_xlfn.REDUCE(F20,
G20:L20,_xlfn.LAMBDA(_xlpm._raw,_xlpm._local_keyword,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&lt;color=#C57C4C&gt;战利品货舱&lt;/color&gt;的容量上限&lt;color=#C57C4C&gt;+2&lt;/color&gt;，可以携带更多战利品</v>
      </c>
      <c r="Q20" s="4">
        <v>656013</v>
      </c>
      <c r="R20" s="10" t="s">
        <v>93</v>
      </c>
      <c r="S20" s="4" t="s">
        <v>61</v>
      </c>
      <c r="T20" s="4">
        <v>2</v>
      </c>
    </row>
    <row r="21" spans="1:20" x14ac:dyDescent="0.2">
      <c r="A21" s="4">
        <v>656013</v>
      </c>
      <c r="B21" s="10" t="str">
        <f t="shared" si="1"/>
        <v>tech_name_656013</v>
      </c>
      <c r="C21" s="12" t="s">
        <v>52</v>
      </c>
      <c r="D21" s="20" t="str">
        <f t="shared" si="3"/>
        <v>tech_desc_656011</v>
      </c>
      <c r="E21" s="4" t="b">
        <v>1</v>
      </c>
      <c r="F21" s="12" t="s">
        <v>121</v>
      </c>
      <c r="G21" s="19" t="s">
        <v>120</v>
      </c>
      <c r="H21" s="19" t="str">
        <f>"+2"</f>
        <v>+2</v>
      </c>
      <c r="M21" s="20" t="str">
        <f t="shared" si="4"/>
        <v/>
      </c>
      <c r="N21" s="21" t="str" cm="1">
        <f t="array" aca="1" ref="N21" ca="1">_xlfn.REDUCE(F21,
G21:L21,_xlfn.LAMBDA(_xlpm._raw,_xlpm._local_keyword,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&lt;color=#C57C4C&gt;战利品货舱&lt;/color&gt;的容量上限&lt;color=#C57C4C&gt;+2&lt;/color&gt;，可以携带更多战利品</v>
      </c>
      <c r="Q21" s="4">
        <v>656014</v>
      </c>
      <c r="R21" s="10" t="s">
        <v>94</v>
      </c>
      <c r="S21" s="4" t="s">
        <v>61</v>
      </c>
      <c r="T21" s="4">
        <v>2</v>
      </c>
    </row>
    <row r="22" spans="1:20" x14ac:dyDescent="0.2">
      <c r="A22" s="4">
        <v>656014</v>
      </c>
      <c r="B22" s="10" t="str">
        <f t="shared" si="1"/>
        <v>tech_name_656014</v>
      </c>
      <c r="C22" s="12" t="s">
        <v>53</v>
      </c>
      <c r="D22" s="20" t="str">
        <f t="shared" si="3"/>
        <v>tech_desc_656011</v>
      </c>
      <c r="E22" s="4" t="b">
        <v>1</v>
      </c>
      <c r="F22" s="12" t="s">
        <v>121</v>
      </c>
      <c r="G22" s="19" t="s">
        <v>120</v>
      </c>
      <c r="H22" s="19" t="str">
        <f>"+2"</f>
        <v>+2</v>
      </c>
      <c r="M22" s="20" t="str">
        <f t="shared" si="4"/>
        <v/>
      </c>
      <c r="N22" s="21" t="str" cm="1">
        <f t="array" aca="1" ref="N22" ca="1">_xlfn.REDUCE(F22,
G22:L22,_xlfn.LAMBDA(_xlpm._raw,_xlpm._local_keyword,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&lt;color=#C57C4C&gt;战利品货舱&lt;/color&gt;的容量上限&lt;color=#C57C4C&gt;+2&lt;/color&gt;，可以携带更多战利品</v>
      </c>
      <c r="Q22" s="4">
        <v>656015</v>
      </c>
      <c r="R22" s="10" t="s">
        <v>95</v>
      </c>
      <c r="S22" s="4" t="s">
        <v>61</v>
      </c>
      <c r="T22" s="4">
        <v>2</v>
      </c>
    </row>
    <row r="23" spans="1:20" x14ac:dyDescent="0.2">
      <c r="A23" s="4">
        <v>656015</v>
      </c>
      <c r="B23" s="10" t="str">
        <f t="shared" si="1"/>
        <v>tech_name_656015</v>
      </c>
      <c r="C23" s="12" t="s">
        <v>54</v>
      </c>
      <c r="D23" s="20" t="str">
        <f t="shared" si="3"/>
        <v>tech_desc_656011</v>
      </c>
      <c r="E23" s="4" t="b">
        <v>1</v>
      </c>
      <c r="F23" s="12" t="s">
        <v>121</v>
      </c>
      <c r="G23" s="19" t="s">
        <v>120</v>
      </c>
      <c r="H23" s="19" t="str">
        <f>"+2"</f>
        <v>+2</v>
      </c>
      <c r="M23" s="20" t="str">
        <f t="shared" si="4"/>
        <v/>
      </c>
      <c r="N23" s="21" t="str" cm="1">
        <f t="array" aca="1" ref="N23" ca="1">_xlfn.REDUCE(F23,
G23:L23,_xlfn.LAMBDA(_xlpm._raw,_xlpm._local_keyword,
    IF(_xlpm._local_keyword="",_xlpm._raw,
        SUBSTITUTE(_xlpm._raw,_xlpm._local_keyword,_xlfn.CONCAT("&lt;color=",_xlfn.XLOOKUP(REPLACE(OFFSET(_xlpm._local_keyword,ROW(G$3:L$3)-ROW(),0),1,6,""),tb_local_keyword[关键字],tb_local_keyword[参数]),"&gt;",_xlpm._local_keyword,"&lt;/color&gt;"))
    ))
)</f>
        <v>&lt;color=#C57C4C&gt;战利品货舱&lt;/color&gt;的容量上限&lt;color=#C57C4C&gt;+2&lt;/color&gt;，可以携带更多战利品</v>
      </c>
      <c r="R23" s="10" t="s">
        <v>96</v>
      </c>
      <c r="S23" s="4" t="s">
        <v>61</v>
      </c>
      <c r="T23" s="4">
        <v>2</v>
      </c>
    </row>
  </sheetData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BEDE-5AF1-4566-988F-F4401A129A23}">
  <sheetPr>
    <tabColor rgb="FF7030A0"/>
  </sheetPr>
  <dimension ref="B4:H18"/>
  <sheetViews>
    <sheetView workbookViewId="0">
      <selection activeCell="M25" sqref="M25"/>
    </sheetView>
  </sheetViews>
  <sheetFormatPr defaultRowHeight="14.25" x14ac:dyDescent="0.2"/>
  <cols>
    <col min="1" max="16384" width="9" style="4"/>
  </cols>
  <sheetData>
    <row r="4" spans="2:8" x14ac:dyDescent="0.2">
      <c r="F4" s="15" t="s">
        <v>104</v>
      </c>
      <c r="G4"/>
      <c r="H4"/>
    </row>
    <row r="5" spans="2:8" x14ac:dyDescent="0.2">
      <c r="B5" s="10" t="s">
        <v>28</v>
      </c>
      <c r="C5" s="10" t="s">
        <v>77</v>
      </c>
      <c r="F5" s="14" t="s">
        <v>98</v>
      </c>
      <c r="G5" s="14" t="s">
        <v>99</v>
      </c>
      <c r="H5" s="14" t="s">
        <v>100</v>
      </c>
    </row>
    <row r="6" spans="2:8" x14ac:dyDescent="0.2">
      <c r="B6" s="4">
        <v>6111</v>
      </c>
      <c r="C6" s="4" t="s">
        <v>68</v>
      </c>
      <c r="F6" s="14" t="s">
        <v>105</v>
      </c>
      <c r="G6" s="14" t="s">
        <v>102</v>
      </c>
      <c r="H6" s="14" t="s">
        <v>106</v>
      </c>
    </row>
    <row r="7" spans="2:8" x14ac:dyDescent="0.2">
      <c r="B7" s="4">
        <v>6112</v>
      </c>
      <c r="C7" s="4" t="s">
        <v>8</v>
      </c>
      <c r="F7" s="14" t="s">
        <v>107</v>
      </c>
      <c r="G7" s="14" t="s">
        <v>102</v>
      </c>
      <c r="H7" s="14" t="s">
        <v>108</v>
      </c>
    </row>
    <row r="8" spans="2:8" x14ac:dyDescent="0.2">
      <c r="B8" s="4">
        <v>6113</v>
      </c>
      <c r="C8" s="4" t="s">
        <v>7</v>
      </c>
      <c r="F8" s="14" t="s">
        <v>109</v>
      </c>
      <c r="G8" s="14" t="s">
        <v>102</v>
      </c>
      <c r="H8" s="14" t="s">
        <v>103</v>
      </c>
    </row>
    <row r="9" spans="2:8" x14ac:dyDescent="0.2">
      <c r="B9" s="4">
        <v>6114</v>
      </c>
      <c r="C9" s="4" t="s">
        <v>69</v>
      </c>
      <c r="F9" s="14" t="s">
        <v>110</v>
      </c>
      <c r="G9" s="14" t="s">
        <v>102</v>
      </c>
      <c r="H9" s="14" t="s">
        <v>111</v>
      </c>
    </row>
    <row r="11" spans="2:8" x14ac:dyDescent="0.2">
      <c r="B11" s="4">
        <v>6121</v>
      </c>
      <c r="C11" s="4" t="s">
        <v>70</v>
      </c>
    </row>
    <row r="12" spans="2:8" x14ac:dyDescent="0.2">
      <c r="B12" s="4">
        <v>6122</v>
      </c>
      <c r="C12" s="4" t="s">
        <v>71</v>
      </c>
    </row>
    <row r="13" spans="2:8" x14ac:dyDescent="0.2">
      <c r="B13" s="4">
        <v>6123</v>
      </c>
      <c r="C13" s="4" t="s">
        <v>72</v>
      </c>
    </row>
    <row r="14" spans="2:8" x14ac:dyDescent="0.2">
      <c r="B14" s="4">
        <v>6124</v>
      </c>
      <c r="C14" s="4" t="s">
        <v>73</v>
      </c>
    </row>
    <row r="16" spans="2:8" x14ac:dyDescent="0.2">
      <c r="B16" s="4">
        <v>6126</v>
      </c>
      <c r="C16" s="4" t="s">
        <v>74</v>
      </c>
    </row>
    <row r="17" spans="2:3" x14ac:dyDescent="0.2">
      <c r="B17" s="4">
        <v>6127</v>
      </c>
      <c r="C17" s="4" t="s">
        <v>75</v>
      </c>
    </row>
    <row r="18" spans="2:3" x14ac:dyDescent="0.2">
      <c r="B18" s="4">
        <v>6128</v>
      </c>
      <c r="C18" s="4" t="s">
        <v>76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H24" sqref="H24"/>
    </sheetView>
  </sheetViews>
  <sheetFormatPr defaultColWidth="12.5" defaultRowHeight="14.25" x14ac:dyDescent="0.2"/>
  <cols>
    <col min="1" max="16384" width="12.5" style="9"/>
  </cols>
  <sheetData>
    <row r="1" spans="1:8" s="7" customFormat="1" x14ac:dyDescent="0.2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8"/>
      <c r="H1" s="8"/>
    </row>
    <row r="2" spans="1:8" x14ac:dyDescent="0.2">
      <c r="A2" s="22" t="s">
        <v>15</v>
      </c>
      <c r="B2" s="22"/>
      <c r="C2" s="22" t="s">
        <v>21</v>
      </c>
      <c r="D2" s="22"/>
      <c r="E2" s="22" t="s">
        <v>19</v>
      </c>
      <c r="F2" s="22"/>
    </row>
    <row r="3" spans="1:8" x14ac:dyDescent="0.2">
      <c r="C3" s="22" t="s">
        <v>22</v>
      </c>
      <c r="D3" s="22"/>
    </row>
    <row r="4" spans="1:8" x14ac:dyDescent="0.2">
      <c r="C4" s="22" t="s">
        <v>23</v>
      </c>
      <c r="D4" s="22"/>
    </row>
    <row r="11" spans="1:8" s="7" customFormat="1" x14ac:dyDescent="0.2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  <c r="G11" s="8"/>
      <c r="H11" s="8"/>
    </row>
    <row r="12" spans="1:8" x14ac:dyDescent="0.2">
      <c r="A12" s="22" t="s">
        <v>16</v>
      </c>
      <c r="B12" s="22"/>
      <c r="C12" s="9" t="s">
        <v>17</v>
      </c>
      <c r="D12" s="9" t="s">
        <v>18</v>
      </c>
      <c r="E12" s="22" t="s">
        <v>19</v>
      </c>
      <c r="F12" s="22"/>
    </row>
    <row r="13" spans="1:8" x14ac:dyDescent="0.2">
      <c r="D13" s="9" t="s">
        <v>20</v>
      </c>
    </row>
    <row r="15" spans="1:8" x14ac:dyDescent="0.2">
      <c r="C15" s="9" t="s">
        <v>24</v>
      </c>
      <c r="D15" s="9" t="s">
        <v>25</v>
      </c>
      <c r="E15" s="22" t="s">
        <v>19</v>
      </c>
      <c r="F15" s="22"/>
    </row>
    <row r="16" spans="1:8" x14ac:dyDescent="0.2">
      <c r="C16" s="9" t="s">
        <v>27</v>
      </c>
    </row>
    <row r="17" spans="3:3" x14ac:dyDescent="0.2">
      <c r="C17" s="9" t="s">
        <v>26</v>
      </c>
    </row>
  </sheetData>
  <mergeCells count="8">
    <mergeCell ref="E15:F15"/>
    <mergeCell ref="A12:B12"/>
    <mergeCell ref="E12:F12"/>
    <mergeCell ref="A2:B2"/>
    <mergeCell ref="C2:D2"/>
    <mergeCell ref="E2:F2"/>
    <mergeCell ref="C3:D3"/>
    <mergeCell ref="C4:D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tech</vt:lpstr>
      <vt:lpstr>-辅助配置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2025-12-30T09:02:38Z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2052-12.1.0.21171</vt:lpwstr>
  </property>
</Properties>
</file>