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5ADCE426-5549-43B2-9BA7-060FBA998FC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game_world" sheetId="3" r:id="rId1"/>
    <sheet name="level" sheetId="5" r:id="rId2"/>
    <sheet name="-编号辅助" sheetId="4" r:id="rId3"/>
  </sheets>
  <definedNames>
    <definedName name="world">table_world[#All]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5" i="3"/>
  <c r="F14" i="3"/>
  <c r="F13" i="3"/>
  <c r="F11" i="3"/>
  <c r="F9" i="3"/>
  <c r="F5" i="3"/>
  <c r="F6" i="3"/>
  <c r="F7" i="3"/>
  <c r="F4" i="3"/>
  <c r="G16" i="3"/>
  <c r="G15" i="3"/>
  <c r="G14" i="3"/>
  <c r="G13" i="3"/>
  <c r="G11" i="3"/>
  <c r="G9" i="3"/>
  <c r="G7" i="3"/>
  <c r="G6" i="3"/>
  <c r="G5" i="3"/>
  <c r="G4" i="3"/>
  <c r="O9" i="3" a="1"/>
  <c r="O9" i="3" s="1"/>
  <c r="N9" i="3" a="1"/>
  <c r="N9" i="3" s="1"/>
  <c r="M9" i="3" a="1"/>
  <c r="M9" i="3" s="1"/>
  <c r="L9" i="3" a="1"/>
  <c r="L9" i="3" s="1"/>
  <c r="H9" i="5" a="1"/>
  <c r="H9" i="5" s="1"/>
  <c r="G9" i="5" a="1"/>
  <c r="G9" i="5" s="1"/>
  <c r="E9" i="3"/>
  <c r="L4" i="3" a="1"/>
  <c r="L4" i="3" s="1"/>
  <c r="O11" i="3" a="1"/>
  <c r="O11" i="3" s="1"/>
  <c r="N11" i="3" a="1"/>
  <c r="N11" i="3" s="1"/>
  <c r="M11" i="3" a="1"/>
  <c r="M11" i="3" s="1"/>
  <c r="O7" i="3" a="1"/>
  <c r="O7" i="3" s="1"/>
  <c r="N7" i="3" a="1"/>
  <c r="N7" i="3" s="1"/>
  <c r="O6" i="3" a="1"/>
  <c r="O6" i="3" s="1"/>
  <c r="N6" i="3" a="1"/>
  <c r="N6" i="3" s="1"/>
  <c r="O5" i="3" a="1"/>
  <c r="O5" i="3" s="1"/>
  <c r="N5" i="3" a="1"/>
  <c r="N5" i="3" s="1"/>
  <c r="O4" i="3" a="1"/>
  <c r="O4" i="3" s="1"/>
  <c r="N4" i="3" a="1"/>
  <c r="N4" i="3" s="1"/>
  <c r="L11" i="3" a="1"/>
  <c r="L11" i="3" s="1"/>
  <c r="M7" i="3" a="1"/>
  <c r="M7" i="3" s="1"/>
  <c r="M6" i="3" a="1"/>
  <c r="M6" i="3" s="1"/>
  <c r="M5" i="3" a="1"/>
  <c r="M5" i="3" s="1"/>
  <c r="M4" i="3" a="1"/>
  <c r="M4" i="3" s="1"/>
  <c r="L7" i="3" a="1"/>
  <c r="L7" i="3" s="1"/>
  <c r="L6" i="3" a="1"/>
  <c r="L6" i="3" s="1"/>
  <c r="L5" i="3" a="1"/>
  <c r="L5" i="3" s="1"/>
  <c r="F16" i="5" l="1"/>
  <c r="F15" i="5"/>
  <c r="F14" i="5"/>
  <c r="F13" i="5"/>
  <c r="F11" i="5" l="1"/>
  <c r="I11" i="5" l="1"/>
  <c r="E11" i="3"/>
  <c r="B14" i="3"/>
  <c r="B15" i="3"/>
  <c r="B16" i="3"/>
  <c r="B13" i="3"/>
  <c r="C14" i="3"/>
  <c r="C15" i="3"/>
  <c r="C16" i="3"/>
  <c r="C13" i="3"/>
  <c r="E16" i="3"/>
  <c r="E15" i="3"/>
  <c r="E14" i="3"/>
  <c r="G5" i="5" l="1" a="1"/>
  <c r="G5" i="5" s="1"/>
  <c r="H5" i="5" a="1"/>
  <c r="H5" i="5" s="1"/>
  <c r="G6" i="5" a="1"/>
  <c r="G6" i="5" s="1"/>
  <c r="H6" i="5" a="1"/>
  <c r="H6" i="5" s="1"/>
  <c r="G7" i="5" a="1"/>
  <c r="G7" i="5" s="1"/>
  <c r="H7" i="5" a="1"/>
  <c r="H7" i="5" s="1"/>
  <c r="H4" i="5" a="1"/>
  <c r="H4" i="5" s="1"/>
  <c r="G4" i="5" a="1"/>
  <c r="G4" i="5" s="1"/>
  <c r="I4" i="5"/>
  <c r="I5" i="5"/>
  <c r="I6" i="5"/>
  <c r="I7" i="5"/>
  <c r="F5" i="5"/>
  <c r="F6" i="5"/>
  <c r="F7" i="5"/>
  <c r="F4" i="5"/>
  <c r="C5" i="5"/>
  <c r="C14" i="5" s="1"/>
  <c r="C6" i="5"/>
  <c r="C15" i="5" s="1"/>
  <c r="C7" i="5"/>
  <c r="C16" i="5" s="1"/>
  <c r="C4" i="5"/>
  <c r="C13" i="5" s="1"/>
  <c r="E6" i="3"/>
  <c r="B6" i="3"/>
  <c r="E5" i="3"/>
  <c r="B5" i="3"/>
  <c r="E13" i="3" l="1"/>
  <c r="E7" i="3" l="1"/>
  <c r="E4" i="3"/>
  <c r="D10" i="4" l="1"/>
  <c r="D9" i="4"/>
  <c r="D8" i="4"/>
  <c r="D7" i="4"/>
  <c r="D6" i="4"/>
  <c r="D5" i="4"/>
  <c r="D4" i="4"/>
  <c r="D3" i="4"/>
  <c r="B4" i="3" l="1"/>
  <c r="B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<sst xmlns="http://schemas.openxmlformats.org/spreadsheetml/2006/main" count="111" uniqueCount="90">
  <si>
    <t>uint key</t>
  </si>
  <si>
    <t>string</t>
    <phoneticPr fontId="4" type="noConversion"/>
  </si>
  <si>
    <t>世界id</t>
    <phoneticPr fontId="4" type="noConversion"/>
  </si>
  <si>
    <r>
      <rPr>
        <b/>
        <sz val="11"/>
        <color theme="1"/>
        <rFont val="等线"/>
        <family val="3"/>
        <charset val="134"/>
        <scheme val="minor"/>
      </rPr>
      <t>世界名称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查localization表id</t>
    </r>
    <phoneticPr fontId="4" type="noConversion"/>
  </si>
  <si>
    <t>地宫</t>
    <phoneticPr fontId="5" type="noConversion"/>
  </si>
  <si>
    <t>world_id</t>
    <phoneticPr fontId="5" type="noConversion"/>
  </si>
  <si>
    <t>world_name</t>
    <phoneticPr fontId="5" type="noConversion"/>
  </si>
  <si>
    <t>田间</t>
  </si>
  <si>
    <t>永夜</t>
  </si>
  <si>
    <t>荒漠</t>
  </si>
  <si>
    <t>大湖</t>
  </si>
  <si>
    <t>level</t>
    <phoneticPr fontId="5" type="noConversion"/>
  </si>
  <si>
    <t>备注1
名称</t>
    <phoneticPr fontId="4" type="noConversion"/>
  </si>
  <si>
    <t>id</t>
    <phoneticPr fontId="4" type="noConversion"/>
  </si>
  <si>
    <t>name</t>
    <phoneticPr fontId="4" type="noConversion"/>
  </si>
  <si>
    <t>编号</t>
    <phoneticPr fontId="4" type="noConversion"/>
  </si>
  <si>
    <t>地宫</t>
  </si>
  <si>
    <t>云间</t>
  </si>
  <si>
    <t>密林</t>
  </si>
  <si>
    <t>树梢</t>
  </si>
  <si>
    <t>sub_id</t>
    <phoneticPr fontId="4" type="noConversion"/>
  </si>
  <si>
    <t>uint key</t>
    <phoneticPr fontId="4" type="noConversion"/>
  </si>
  <si>
    <t>组编号</t>
    <phoneticPr fontId="4" type="noConversion"/>
  </si>
  <si>
    <t>子编号</t>
    <phoneticPr fontId="4" type="noConversion"/>
  </si>
  <si>
    <t>备注1
世界</t>
    <phoneticPr fontId="4" type="noConversion"/>
  </si>
  <si>
    <t>float[]</t>
    <phoneticPr fontId="5" type="noConversion"/>
  </si>
  <si>
    <t>pressure_threshold</t>
    <phoneticPr fontId="5" type="noConversion"/>
  </si>
  <si>
    <t>pressure_growth_coef</t>
    <phoneticPr fontId="5" type="noConversion"/>
  </si>
  <si>
    <t>uint</t>
    <phoneticPr fontId="5" type="noConversion"/>
  </si>
  <si>
    <r>
      <rPr>
        <b/>
        <sz val="11"/>
        <color theme="1"/>
        <rFont val="等线"/>
        <family val="2"/>
        <scheme val="minor"/>
      </rPr>
      <t>关卡 group_id</t>
    </r>
    <r>
      <rPr>
        <i/>
        <sz val="11"/>
        <color theme="1"/>
        <rFont val="等线"/>
        <family val="2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level 表 id</t>
    </r>
    <phoneticPr fontId="4" type="noConversion"/>
  </si>
  <si>
    <t>树梢</t>
    <phoneticPr fontId="5" type="noConversion"/>
  </si>
  <si>
    <t>荒漠</t>
    <phoneticPr fontId="5" type="noConversion"/>
  </si>
  <si>
    <r>
      <t xml:space="preserve">兽潮压力自然增量
</t>
    </r>
    <r>
      <rPr>
        <i/>
        <sz val="10"/>
        <color theme="1"/>
        <rFont val="等线"/>
        <family val="3"/>
        <charset val="134"/>
        <scheme val="minor"/>
      </rPr>
      <t>压力随时间缓慢增加</t>
    </r>
    <r>
      <rPr>
        <b/>
        <sz val="10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不再需要是列表了</t>
    </r>
    <phoneticPr fontId="4" type="noConversion"/>
  </si>
  <si>
    <r>
      <rPr>
        <b/>
        <sz val="11"/>
        <color theme="1"/>
        <rFont val="等线"/>
        <family val="2"/>
        <scheme val="minor"/>
      </rPr>
      <t>兽潮压力阈值</t>
    </r>
    <r>
      <rPr>
        <i/>
        <sz val="11"/>
        <color theme="1"/>
        <rFont val="等线"/>
        <family val="2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压力到达阈值后
触发兽潮
不再需要是列表了</t>
    </r>
    <phoneticPr fontId="4" type="noConversion"/>
  </si>
  <si>
    <t>安全区商店列表
角色商店
index=[20]</t>
    <phoneticPr fontId="4" type="noConversion"/>
  </si>
  <si>
    <t>uint[]</t>
    <phoneticPr fontId="5" type="noConversion"/>
  </si>
  <si>
    <t>shop_list_role</t>
    <phoneticPr fontId="5" type="noConversion"/>
  </si>
  <si>
    <t>shop_list_relic</t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</si>
  <si>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普通场景列表</t>
    </r>
    <r>
      <rPr>
        <i/>
        <sz val="11"/>
        <color theme="1"/>
        <rFont val="等线"/>
        <family val="3"/>
        <charset val="134"/>
        <scheme val="minor"/>
      </rPr>
      <t xml:space="preserve">
scene 表 id, 01~50</t>
    </r>
    <r>
      <rPr>
        <sz val="11"/>
        <color theme="1"/>
        <rFont val="等线"/>
        <family val="3"/>
        <charset val="134"/>
        <scheme val="minor"/>
      </rPr>
      <t xml:space="preserve">
scene_normal
uint[]</t>
    </r>
    <phoneticPr fontId="4" type="noConversion"/>
  </si>
  <si>
    <r>
      <rPr>
        <b/>
        <sz val="11"/>
        <color theme="1"/>
        <rFont val="等线"/>
        <family val="3"/>
        <charset val="134"/>
        <scheme val="minor"/>
      </rPr>
      <t>精英场景列表</t>
    </r>
    <r>
      <rPr>
        <i/>
        <sz val="11"/>
        <color theme="1"/>
        <rFont val="等线"/>
        <family val="3"/>
        <charset val="134"/>
        <scheme val="minor"/>
      </rPr>
      <t xml:space="preserve">
scene 表 id 51~90</t>
    </r>
    <r>
      <rPr>
        <sz val="11"/>
        <color theme="1"/>
        <rFont val="等线"/>
        <family val="3"/>
        <charset val="134"/>
        <scheme val="minor"/>
      </rPr>
      <t xml:space="preserve">
scene_elite
uint[]</t>
    </r>
    <phoneticPr fontId="4" type="noConversion"/>
  </si>
  <si>
    <r>
      <t xml:space="preserve">场景数量
</t>
    </r>
    <r>
      <rPr>
        <sz val="11"/>
        <color theme="1"/>
        <rFont val="等线"/>
        <family val="3"/>
        <charset val="134"/>
        <scheme val="minor"/>
      </rPr>
      <t>scene_count
int</t>
    </r>
    <phoneticPr fontId="4" type="noConversion"/>
  </si>
  <si>
    <r>
      <rPr>
        <b/>
        <sz val="11"/>
        <color theme="1"/>
        <rFont val="等线"/>
        <family val="3"/>
        <charset val="134"/>
        <scheme val="minor"/>
      </rPr>
      <t>初始场景</t>
    </r>
    <r>
      <rPr>
        <i/>
        <sz val="11"/>
        <color theme="1"/>
        <rFont val="等线"/>
        <family val="3"/>
        <charset val="134"/>
        <scheme val="minor"/>
      </rPr>
      <t xml:space="preserve">
scene 表 id
</t>
    </r>
    <r>
      <rPr>
        <sz val="11"/>
        <color theme="1"/>
        <rFont val="等线"/>
        <family val="3"/>
        <charset val="134"/>
        <scheme val="minor"/>
      </rPr>
      <t>scene_init
uint</t>
    </r>
    <phoneticPr fontId="4" type="noConversion"/>
  </si>
  <si>
    <r>
      <rPr>
        <b/>
        <sz val="11"/>
        <color theme="1"/>
        <rFont val="等线"/>
        <family val="3"/>
        <charset val="134"/>
        <scheme val="minor"/>
      </rPr>
      <t>最终场景</t>
    </r>
    <r>
      <rPr>
        <i/>
        <sz val="11"/>
        <color theme="1"/>
        <rFont val="等线"/>
        <family val="3"/>
        <charset val="134"/>
        <scheme val="minor"/>
      </rPr>
      <t xml:space="preserve">
scene 表 id
</t>
    </r>
    <r>
      <rPr>
        <sz val="11"/>
        <color theme="1"/>
        <rFont val="等线"/>
        <family val="3"/>
        <charset val="134"/>
        <scheme val="minor"/>
      </rPr>
      <t>scene_end
uint</t>
    </r>
    <phoneticPr fontId="4" type="noConversion"/>
  </si>
  <si>
    <t>安全区商店列表
遗物商店
index=[40]</t>
    <phoneticPr fontId="4" type="noConversion"/>
  </si>
  <si>
    <t>shop_list_device</t>
    <phoneticPr fontId="5" type="noConversion"/>
  </si>
  <si>
    <t>安全区商店列表
设备商店
index=[10]</t>
    <phoneticPr fontId="4" type="noConversion"/>
  </si>
  <si>
    <t>shop_list_elite_relic</t>
    <phoneticPr fontId="5" type="noConversion"/>
  </si>
  <si>
    <t>安全区商店列表
精英遗物掉落
index=[30]</t>
    <phoneticPr fontId="4" type="noConversion"/>
  </si>
  <si>
    <t>scene_init</t>
    <phoneticPr fontId="4" type="noConversion"/>
  </si>
  <si>
    <t>uint</t>
    <phoneticPr fontId="4" type="noConversion"/>
  </si>
  <si>
    <t>scene_normal</t>
    <phoneticPr fontId="4" type="noConversion"/>
  </si>
  <si>
    <t>uint[]</t>
    <phoneticPr fontId="4" type="noConversion"/>
  </si>
  <si>
    <t>scene_elite</t>
    <phoneticPr fontId="4" type="noConversion"/>
  </si>
  <si>
    <t>scene_boss</t>
    <phoneticPr fontId="4" type="noConversion"/>
  </si>
  <si>
    <t>scene_count</t>
    <phoneticPr fontId="4" type="noConversion"/>
  </si>
  <si>
    <t>int</t>
    <phoneticPr fontId="4" type="noConversion"/>
  </si>
  <si>
    <t>Demo-大湖</t>
  </si>
  <si>
    <t>Demo-大湖</t>
    <phoneticPr fontId="4" type="noConversion"/>
  </si>
  <si>
    <t>Demo-大湖</t>
    <phoneticPr fontId="5" type="noConversion"/>
  </si>
  <si>
    <t>0;425802;425803;425804;425805</t>
    <phoneticPr fontId="4" type="noConversion"/>
  </si>
  <si>
    <t>elite_odds</t>
    <phoneticPr fontId="4" type="noConversion"/>
  </si>
  <si>
    <r>
      <t xml:space="preserve">精英场景概率
</t>
    </r>
    <r>
      <rPr>
        <i/>
        <sz val="10"/>
        <color theme="1"/>
        <rFont val="等线"/>
        <family val="3"/>
        <charset val="134"/>
        <scheme val="minor"/>
      </rPr>
      <t>连续n次不为精英场景后，进入精英场景的概率为第n个元素的配置值。
概率值配置为百分比</t>
    </r>
    <phoneticPr fontId="4" type="noConversion"/>
  </si>
  <si>
    <t>int[]</t>
    <phoneticPr fontId="4" type="noConversion"/>
  </si>
  <si>
    <t>0;0;0;0;0</t>
    <phoneticPr fontId="4" type="noConversion"/>
  </si>
  <si>
    <t>辅助列
关卡/商店
层数</t>
    <phoneticPr fontId="5" type="noConversion"/>
  </si>
  <si>
    <t>0;0;0;25;85;100</t>
    <phoneticPr fontId="4" type="noConversion"/>
  </si>
  <si>
    <t>can_load</t>
    <phoneticPr fontId="5" type="noConversion"/>
  </si>
  <si>
    <t>bool</t>
    <phoneticPr fontId="5" type="noConversion"/>
  </si>
  <si>
    <r>
      <rPr>
        <b/>
        <sz val="11"/>
        <color theme="1"/>
        <rFont val="等线"/>
        <family val="2"/>
        <scheme val="minor"/>
      </rPr>
      <t>是否可加载</t>
    </r>
    <r>
      <rPr>
        <i/>
        <sz val="11"/>
        <color theme="1"/>
        <rFont val="等线"/>
        <family val="2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是否显示在选关ui中</t>
    </r>
    <phoneticPr fontId="4" type="noConversion"/>
  </si>
  <si>
    <t>420801</t>
  </si>
  <si>
    <t>420899</t>
  </si>
  <si>
    <t>大湖(短)</t>
    <phoneticPr fontId="4" type="noConversion"/>
  </si>
  <si>
    <t>短关卡id划定</t>
    <phoneticPr fontId="14" type="noConversion"/>
  </si>
  <si>
    <t>序号</t>
    <phoneticPr fontId="14" type="noConversion"/>
  </si>
  <si>
    <t>普通</t>
    <phoneticPr fontId="14" type="noConversion"/>
  </si>
  <si>
    <t>精英</t>
    <phoneticPr fontId="14" type="noConversion"/>
  </si>
  <si>
    <t>商店</t>
    <phoneticPr fontId="14" type="noConversion"/>
  </si>
  <si>
    <t>大湖 (12)</t>
    <phoneticPr fontId="5" type="noConversion"/>
  </si>
  <si>
    <t>大湖(12)</t>
    <phoneticPr fontId="5" type="noConversion"/>
  </si>
  <si>
    <t>——</t>
    <phoneticPr fontId="14" type="noConversion"/>
  </si>
  <si>
    <t>UI_RS_title_bg</t>
    <phoneticPr fontId="5" type="noConversion"/>
  </si>
  <si>
    <t>string</t>
    <phoneticPr fontId="5" type="noConversion"/>
  </si>
  <si>
    <t>选路界面
场景名称
背景ui</t>
    <phoneticPr fontId="4" type="noConversion"/>
  </si>
  <si>
    <t>命名辅助</t>
    <phoneticPr fontId="5" type="noConversion"/>
  </si>
  <si>
    <t>dungeon</t>
    <phoneticPr fontId="5" type="noConversion"/>
  </si>
  <si>
    <t>treetop</t>
    <phoneticPr fontId="5" type="noConversion"/>
  </si>
  <si>
    <t>lake</t>
    <phoneticPr fontId="5" type="noConversion"/>
  </si>
  <si>
    <t>desert</t>
    <phoneticPr fontId="5" type="noConversion"/>
  </si>
  <si>
    <t>主界面
场景信息
背景ui</t>
    <phoneticPr fontId="4" type="noConversion"/>
  </si>
  <si>
    <t>UI_level_index_bg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</si>
</sst>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charset val="134"/>
      <scheme val="minor"/>
    </font>
    <font>
      <sz val="11"/>
      <color theme="0"/>
      <name val="等线"/>
      <family val="2"/>
      <scheme val="minor"/>
    </font>
    <font>
      <sz val="11"/>
      <color theme="5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1"/>
      <color theme="1" tint="0.499984740745262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color theme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b/>
      <i/>
      <sz val="11"/>
      <color theme="9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B6F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6" fillId="2" borderId="0" xfId="1" applyFont="1" applyFill="1" applyAlignment="1">
      <alignment horizontal="center" vertical="center"/>
    </xf>
    <xf numFmtId="0" fontId="17" fillId="2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16" fillId="3" borderId="0" xfId="1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/>
    </xf>
    <xf numFmtId="0" fontId="3" fillId="0" borderId="0" xfId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9" fillId="4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center" vertical="center" wrapText="1"/>
    </xf>
    <xf numFmtId="0" fontId="9" fillId="6" borderId="0" xfId="1" applyFont="1" applyFill="1" applyAlignment="1">
      <alignment horizontal="center" vertical="center" wrapText="1"/>
    </xf>
    <xf numFmtId="0" fontId="10" fillId="6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3" fillId="3" borderId="0" xfId="1" applyFill="1" applyAlignment="1">
      <alignment horizontal="center" vertical="center" wrapText="1"/>
    </xf>
    <xf numFmtId="0" fontId="21" fillId="2" borderId="0" xfId="1" applyFont="1" applyFill="1" applyAlignment="1">
      <alignment horizontal="center" vertical="center"/>
    </xf>
    <xf numFmtId="0" fontId="22" fillId="3" borderId="0" xfId="1" applyFont="1" applyFill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1" quotePrefix="1" applyAlignment="1">
      <alignment horizontal="center" vertical="center"/>
    </xf>
    <xf numFmtId="0" fontId="19" fillId="6" borderId="0" xfId="1" applyFont="1" applyFill="1" applyAlignment="1">
      <alignment horizontal="center" vertical="center"/>
    </xf>
    <xf numFmtId="0" fontId="3" fillId="6" borderId="0" xfId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6" borderId="0" xfId="1" applyFont="1" applyFill="1" applyAlignment="1">
      <alignment horizontal="center" vertical="center"/>
    </xf>
    <xf numFmtId="0" fontId="21" fillId="6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 wrapText="1"/>
    </xf>
    <xf numFmtId="0" fontId="23" fillId="2" borderId="0" xfId="1" applyFont="1" applyFill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 wrapText="1"/>
    </xf>
  </cellXfs>
  <cellStyles count="3">
    <cellStyle name="常规" xfId="0" builtinId="0"/>
    <cellStyle name="常规 2" xfId="1" xr:uid="{00000000-0005-0000-0000-000031000000}"/>
    <cellStyle name="常规 2 2" xfId="2" xr:uid="{D2489BA3-7AF3-4E35-8F0A-46AEE03BE09D}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7B6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DE273-226A-4089-A028-36DB9146688B}" name="table_world" displayName="table_world" ref="B2:D10" totalsRowShown="0" headerRowDxfId="10" dataDxfId="9">
  <autoFilter ref="B2:D10" xr:uid="{E62B1CDE-CD08-4EDD-AA3E-7EF3332FEE92}"/>
  <tableColumns count="3">
    <tableColumn id="1" xr3:uid="{44D0C762-46A3-4F43-87A5-873F03DDEB6F}" name="id" dataDxfId="8"/>
    <tableColumn id="2" xr3:uid="{EA67A5D6-7D30-45A5-9573-DAD97E3E8F79}" name="name" dataDxfId="7"/>
    <tableColumn id="3" xr3:uid="{1A137370-39BA-4BF1-B57E-AFD582E92D1B}" name="编号" dataDxfId="6">
      <calculatedColumnFormula>table_world[[#This Row],[id]]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3E9C3D-7A6C-43EE-A3FD-6B6B3ADCF305}" name="表2" displayName="表2" ref="F4:I16" totalsRowShown="0" headerRowDxfId="5" dataDxfId="4">
  <autoFilter ref="F4:I16" xr:uid="{AE3E9C3D-7A6C-43EE-A3FD-6B6B3ADCF305}"/>
  <tableColumns count="4">
    <tableColumn id="1" xr3:uid="{38707E17-6517-4A7C-B678-17B16CFEF6F3}" name="序号" dataDxfId="3"/>
    <tableColumn id="4" xr3:uid="{54C7495B-182C-4864-82F3-67A7613D92FC}" name="商店" dataDxfId="2"/>
    <tableColumn id="2" xr3:uid="{F9D00A5E-F1B5-416E-A589-6C0537D09E7A}" name="普通" dataDxfId="1"/>
    <tableColumn id="3" xr3:uid="{676DECC1-8069-4F88-BDA1-F92268282B79}" name="精英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2D4E-177C-4FB4-ACF4-6C3B8984BA30}">
  <dimension ref="A1:O16"/>
  <sheetViews>
    <sheetView tabSelected="1" zoomScaleNormal="100" workbookViewId="0">
      <pane ySplit="3" topLeftCell="A4" activePane="bottomLeft" state="frozen"/>
      <selection pane="bottomLeft" activeCell="L26" sqref="L26"/>
    </sheetView>
  </sheetViews>
  <sheetFormatPr defaultColWidth="9.125" defaultRowHeight="14.25" x14ac:dyDescent="0.2"/>
  <cols>
    <col min="1" max="1" width="8.375" style="8" bestFit="1" customWidth="1"/>
    <col min="2" max="2" width="14.625" style="8" bestFit="1" customWidth="1"/>
    <col min="3" max="3" width="11.5" style="14" bestFit="1" customWidth="1"/>
    <col min="4" max="5" width="11" style="13" bestFit="1" customWidth="1"/>
    <col min="6" max="6" width="16.375" style="13" bestFit="1" customWidth="1"/>
    <col min="7" max="7" width="20.375" style="13" bestFit="1" customWidth="1"/>
    <col min="8" max="8" width="13.125" style="45" customWidth="1"/>
    <col min="9" max="9" width="17.5" style="13" bestFit="1" customWidth="1"/>
    <col min="10" max="10" width="20.25" style="13" bestFit="1" customWidth="1"/>
    <col min="11" max="11" width="10.25" style="35" bestFit="1" customWidth="1"/>
    <col min="12" max="13" width="107.5" bestFit="1" customWidth="1"/>
    <col min="14" max="15" width="107.5" style="13" bestFit="1" customWidth="1"/>
  </cols>
  <sheetData>
    <row r="1" spans="1:15" s="1" customFormat="1" x14ac:dyDescent="0.2">
      <c r="A1" s="1" t="s">
        <v>5</v>
      </c>
      <c r="B1" s="1" t="s">
        <v>6</v>
      </c>
      <c r="C1" s="3"/>
      <c r="D1" s="10" t="s">
        <v>66</v>
      </c>
      <c r="E1" s="10" t="s">
        <v>11</v>
      </c>
      <c r="F1" s="10" t="s">
        <v>89</v>
      </c>
      <c r="G1" s="10" t="s">
        <v>80</v>
      </c>
      <c r="H1" s="44"/>
      <c r="I1" s="10" t="s">
        <v>26</v>
      </c>
      <c r="J1" s="10" t="s">
        <v>27</v>
      </c>
      <c r="K1" s="33"/>
      <c r="L1" s="1" t="s">
        <v>44</v>
      </c>
      <c r="M1" s="1" t="s">
        <v>36</v>
      </c>
      <c r="N1" s="1" t="s">
        <v>46</v>
      </c>
      <c r="O1" s="1" t="s">
        <v>37</v>
      </c>
    </row>
    <row r="2" spans="1:15" s="4" customFormat="1" x14ac:dyDescent="0.2">
      <c r="A2" s="4" t="s">
        <v>0</v>
      </c>
      <c r="B2" s="4" t="s">
        <v>1</v>
      </c>
      <c r="C2" s="5"/>
      <c r="D2" s="11" t="s">
        <v>67</v>
      </c>
      <c r="E2" s="11" t="s">
        <v>28</v>
      </c>
      <c r="F2" s="11" t="s">
        <v>81</v>
      </c>
      <c r="G2" s="11" t="s">
        <v>81</v>
      </c>
      <c r="H2" s="44"/>
      <c r="I2" s="11" t="s">
        <v>25</v>
      </c>
      <c r="J2" s="11" t="s">
        <v>25</v>
      </c>
      <c r="K2" s="33"/>
      <c r="L2" s="4" t="s">
        <v>35</v>
      </c>
      <c r="M2" s="4" t="s">
        <v>35</v>
      </c>
      <c r="N2" s="4" t="s">
        <v>35</v>
      </c>
      <c r="O2" s="4" t="s">
        <v>35</v>
      </c>
    </row>
    <row r="3" spans="1:15" s="2" customFormat="1" ht="52.5" x14ac:dyDescent="0.2">
      <c r="A3" s="7" t="s">
        <v>2</v>
      </c>
      <c r="B3" s="6" t="s">
        <v>3</v>
      </c>
      <c r="C3" s="9" t="s">
        <v>12</v>
      </c>
      <c r="D3" s="26" t="s">
        <v>68</v>
      </c>
      <c r="E3" s="26" t="s">
        <v>29</v>
      </c>
      <c r="F3" s="47" t="s">
        <v>88</v>
      </c>
      <c r="G3" s="43" t="s">
        <v>82</v>
      </c>
      <c r="H3" s="34" t="s">
        <v>83</v>
      </c>
      <c r="I3" s="27" t="s">
        <v>33</v>
      </c>
      <c r="J3" s="28" t="s">
        <v>32</v>
      </c>
      <c r="K3" s="34" t="s">
        <v>64</v>
      </c>
      <c r="L3" s="30" t="s">
        <v>45</v>
      </c>
      <c r="M3" s="30" t="s">
        <v>34</v>
      </c>
      <c r="N3" s="30" t="s">
        <v>47</v>
      </c>
      <c r="O3" s="30" t="s">
        <v>43</v>
      </c>
    </row>
    <row r="4" spans="1:15" x14ac:dyDescent="0.2">
      <c r="A4" s="8">
        <v>4001</v>
      </c>
      <c r="B4" s="8" t="str">
        <f t="shared" ref="B4:B7" si="0">_xlfn.TEXTJOIN("_",1,"world",$A4)</f>
        <v>world_4001</v>
      </c>
      <c r="C4" s="14" t="s">
        <v>4</v>
      </c>
      <c r="D4" s="12"/>
      <c r="E4" s="12">
        <f>A4</f>
        <v>4001</v>
      </c>
      <c r="F4" s="46" t="str">
        <f>_xlfn.CONCAT("ui_level_info_",MOD(A4,10))</f>
        <v>ui_level_info_1</v>
      </c>
      <c r="G4" s="46" t="str">
        <f>_xlfn.CONCAT("ui_level_bg_",MOD(A4,10),H4)</f>
        <v>ui_level_bg_1dungeon</v>
      </c>
      <c r="H4" s="45" t="s">
        <v>84</v>
      </c>
      <c r="I4" s="12">
        <v>4800</v>
      </c>
      <c r="J4" s="12">
        <v>0.22</v>
      </c>
      <c r="K4" s="35">
        <v>20</v>
      </c>
      <c r="L4" s="13" t="str" cm="1">
        <f t="array" ref="L4">_xlfn.LET(_xlpm._index_cell,L$3,
_xlpm._start,FIND("[",_xlpm._index_cell)+1,
_xlpm._end,FIND("]",_xlpm._index_cell),
_xlpm._index,MID(_xlpm._index_cell,_xlpm._start,_xlpm._end-_xlpm._start),
_xlfn.TEXTJOIN(";",1,_xlpm._index&amp;_xlfn.SEQUENCE($K4,1,RIGHT($A4,2)*100+1)))</f>
        <v>10101;10102;10103;10104;10105;10106;10107;10108;10109;10110;10111;10112;10113;10114;10115;10116;10117;10118;10119;10120</v>
      </c>
      <c r="M4" s="13" t="str" cm="1">
        <f t="array" ref="M4">_xlfn.LET(_xlpm._index_cell,M$3,
_xlpm._start,FIND("[",_xlpm._index_cell)+1,
_xlpm._end,FIND("]",_xlpm._index_cell),
_xlpm._index,MID(_xlpm._index_cell,_xlpm._start,_xlpm._end-_xlpm._start),
_xlfn.TEXTJOIN(";",1,_xlpm._index&amp;_xlfn.SEQUENCE($K4,1,RIGHT($A4,2)*100+1)))</f>
        <v>20101;20102;20103;20104;20105;20106;20107;20108;20109;20110;20111;20112;20113;20114;20115;20116;20117;20118;20119;20120</v>
      </c>
      <c r="N4" s="13" t="str" cm="1">
        <f t="array" ref="N4">_xlfn.LET(_xlpm._index_cell,N$3,
_xlpm._start,FIND("[",_xlpm._index_cell)+1,
_xlpm._end,FIND("]",_xlpm._index_cell),
_xlpm._index,MID(_xlpm._index_cell,_xlpm._start,_xlpm._end-_xlpm._start),
_xlfn.TEXTJOIN(";",1,_xlpm._index&amp;_xlfn.SEQUENCE($K4,1,RIGHT($A4,2)*100+1)))</f>
        <v>30101;30102;30103;30104;30105;30106;30107;30108;30109;30110;30111;30112;30113;30114;30115;30116;30117;30118;30119;30120</v>
      </c>
      <c r="O4" s="13" t="str" cm="1">
        <f t="array" ref="O4">_xlfn.LET(_xlpm._index_cell,O$3,
_xlpm._start,FIND("[",_xlpm._index_cell)+1,
_xlpm._end,FIND("]",_xlpm._index_cell),
_xlpm._index,MID(_xlpm._index_cell,_xlpm._start,_xlpm._end-_xlpm._start),
_xlfn.TEXTJOIN(";",1,_xlpm._index&amp;_xlfn.SEQUENCE($K4,1,RIGHT($A4,2)*100+1)))</f>
        <v>40101;40102;40103;40104;40105;40106;40107;40108;40109;40110;40111;40112;40113;40114;40115;40116;40117;40118;40119;40120</v>
      </c>
    </row>
    <row r="5" spans="1:15" x14ac:dyDescent="0.2">
      <c r="A5" s="8">
        <v>4004</v>
      </c>
      <c r="B5" s="8" t="str">
        <f t="shared" si="0"/>
        <v>world_4004</v>
      </c>
      <c r="C5" s="14" t="s">
        <v>30</v>
      </c>
      <c r="D5" s="12"/>
      <c r="E5" s="12">
        <f>A5</f>
        <v>4004</v>
      </c>
      <c r="F5" s="46" t="str">
        <f t="shared" ref="F5:F16" si="1">_xlfn.CONCAT("ui_level_info_",MOD(A5,10))</f>
        <v>ui_level_info_4</v>
      </c>
      <c r="G5" s="46" t="str">
        <f>_xlfn.CONCAT("ui_level_bg_",MOD(A5,10),H5)</f>
        <v>ui_level_bg_4treetop</v>
      </c>
      <c r="H5" s="45" t="s">
        <v>85</v>
      </c>
      <c r="I5" s="12">
        <v>4800</v>
      </c>
      <c r="J5" s="12">
        <v>0.22</v>
      </c>
      <c r="K5" s="35">
        <v>20</v>
      </c>
      <c r="L5" s="13" t="str" cm="1">
        <f t="array" ref="L5">_xlfn.LET(_xlpm._index_cell,L$3,
_xlpm._start,FIND("[",_xlpm._index_cell)+1,
_xlpm._end,FIND("]",_xlpm._index_cell),
_xlpm._index,MID(_xlpm._index_cell,_xlpm._start,_xlpm._end-_xlpm._start),
_xlfn.TEXTJOIN(";",1,_xlpm._index&amp;_xlfn.SEQUENCE($K5,1,RIGHT($A5,2)*100+1)))</f>
        <v>10401;10402;10403;10404;10405;10406;10407;10408;10409;10410;10411;10412;10413;10414;10415;10416;10417;10418;10419;10420</v>
      </c>
      <c r="M5" s="13" t="str" cm="1">
        <f t="array" ref="M5">_xlfn.LET(_xlpm._index_cell,M$3,
_xlpm._start,FIND("[",_xlpm._index_cell)+1,
_xlpm._end,FIND("]",_xlpm._index_cell),
_xlpm._index,MID(_xlpm._index_cell,_xlpm._start,_xlpm._end-_xlpm._start),
_xlfn.TEXTJOIN(";",1,_xlpm._index&amp;_xlfn.SEQUENCE($K5,1,RIGHT($A5,2)*100+1)))</f>
        <v>20401;20402;20403;20404;20405;20406;20407;20408;20409;20410;20411;20412;20413;20414;20415;20416;20417;20418;20419;20420</v>
      </c>
      <c r="N5" s="13" t="str" cm="1">
        <f t="array" ref="N5">_xlfn.LET(_xlpm._index_cell,N$3,
_xlpm._start,FIND("[",_xlpm._index_cell)+1,
_xlpm._end,FIND("]",_xlpm._index_cell),
_xlpm._index,MID(_xlpm._index_cell,_xlpm._start,_xlpm._end-_xlpm._start),
_xlfn.TEXTJOIN(";",1,_xlpm._index&amp;_xlfn.SEQUENCE($K5,1,RIGHT($A5,2)*100+1)))</f>
        <v>30401;30402;30403;30404;30405;30406;30407;30408;30409;30410;30411;30412;30413;30414;30415;30416;30417;30418;30419;30420</v>
      </c>
      <c r="O5" s="13" t="str" cm="1">
        <f t="array" ref="O5">_xlfn.LET(_xlpm._index_cell,O$3,
_xlpm._start,FIND("[",_xlpm._index_cell)+1,
_xlpm._end,FIND("]",_xlpm._index_cell),
_xlpm._index,MID(_xlpm._index_cell,_xlpm._start,_xlpm._end-_xlpm._start),
_xlfn.TEXTJOIN(";",1,_xlpm._index&amp;_xlfn.SEQUENCE($K5,1,RIGHT($A5,2)*100+1)))</f>
        <v>40401;40402;40403;40404;40405;40406;40407;40408;40409;40410;40411;40412;40413;40414;40415;40416;40417;40418;40419;40420</v>
      </c>
    </row>
    <row r="6" spans="1:15" x14ac:dyDescent="0.2">
      <c r="A6" s="8">
        <v>4007</v>
      </c>
      <c r="B6" s="8" t="str">
        <f t="shared" si="0"/>
        <v>world_4007</v>
      </c>
      <c r="C6" s="14" t="s">
        <v>31</v>
      </c>
      <c r="D6" s="12"/>
      <c r="E6" s="12">
        <f>A6</f>
        <v>4007</v>
      </c>
      <c r="F6" s="46" t="str">
        <f t="shared" si="1"/>
        <v>ui_level_info_7</v>
      </c>
      <c r="G6" s="46" t="str">
        <f>_xlfn.CONCAT("ui_level_bg_",MOD(A6,10),H6)</f>
        <v>ui_level_bg_7desert</v>
      </c>
      <c r="H6" s="45" t="s">
        <v>87</v>
      </c>
      <c r="I6" s="12">
        <v>4800</v>
      </c>
      <c r="J6" s="12">
        <v>0.22</v>
      </c>
      <c r="K6" s="35">
        <v>20</v>
      </c>
      <c r="L6" s="13" t="str" cm="1">
        <f t="array" ref="L6">_xlfn.LET(_xlpm._index_cell,L$3,
_xlpm._start,FIND("[",_xlpm._index_cell)+1,
_xlpm._end,FIND("]",_xlpm._index_cell),
_xlpm._index,MID(_xlpm._index_cell,_xlpm._start,_xlpm._end-_xlpm._start),
_xlfn.TEXTJOIN(";",1,_xlpm._index&amp;_xlfn.SEQUENCE($K6,1,RIGHT($A6,2)*100+1)))</f>
        <v>10701;10702;10703;10704;10705;10706;10707;10708;10709;10710;10711;10712;10713;10714;10715;10716;10717;10718;10719;10720</v>
      </c>
      <c r="M6" s="13" t="str" cm="1">
        <f t="array" ref="M6">_xlfn.LET(_xlpm._index_cell,M$3,
_xlpm._start,FIND("[",_xlpm._index_cell)+1,
_xlpm._end,FIND("]",_xlpm._index_cell),
_xlpm._index,MID(_xlpm._index_cell,_xlpm._start,_xlpm._end-_xlpm._start),
_xlfn.TEXTJOIN(";",1,_xlpm._index&amp;_xlfn.SEQUENCE($K6,1,RIGHT($A6,2)*100+1)))</f>
        <v>20701;20702;20703;20704;20705;20706;20707;20708;20709;20710;20711;20712;20713;20714;20715;20716;20717;20718;20719;20720</v>
      </c>
      <c r="N6" s="13" t="str" cm="1">
        <f t="array" ref="N6">_xlfn.LET(_xlpm._index_cell,N$3,
_xlpm._start,FIND("[",_xlpm._index_cell)+1,
_xlpm._end,FIND("]",_xlpm._index_cell),
_xlpm._index,MID(_xlpm._index_cell,_xlpm._start,_xlpm._end-_xlpm._start),
_xlfn.TEXTJOIN(";",1,_xlpm._index&amp;_xlfn.SEQUENCE($K6,1,RIGHT($A6,2)*100+1)))</f>
        <v>30701;30702;30703;30704;30705;30706;30707;30708;30709;30710;30711;30712;30713;30714;30715;30716;30717;30718;30719;30720</v>
      </c>
      <c r="O6" s="13" t="str" cm="1">
        <f t="array" ref="O6">_xlfn.LET(_xlpm._index_cell,O$3,
_xlpm._start,FIND("[",_xlpm._index_cell)+1,
_xlpm._end,FIND("]",_xlpm._index_cell),
_xlpm._index,MID(_xlpm._index_cell,_xlpm._start,_xlpm._end-_xlpm._start),
_xlfn.TEXTJOIN(";",1,_xlpm._index&amp;_xlfn.SEQUENCE($K6,1,RIGHT($A6,2)*100+1)))</f>
        <v>40701;40702;40703;40704;40705;40706;40707;40708;40709;40710;40711;40712;40713;40714;40715;40716;40717;40718;40719;40720</v>
      </c>
    </row>
    <row r="7" spans="1:15" x14ac:dyDescent="0.2">
      <c r="A7" s="8">
        <v>4008</v>
      </c>
      <c r="B7" s="8" t="str">
        <f t="shared" si="0"/>
        <v>world_4008</v>
      </c>
      <c r="C7" s="14" t="s">
        <v>10</v>
      </c>
      <c r="D7" s="12" t="b">
        <v>1</v>
      </c>
      <c r="E7" s="12">
        <f>A7</f>
        <v>4008</v>
      </c>
      <c r="F7" s="46" t="str">
        <f t="shared" si="1"/>
        <v>ui_level_info_8</v>
      </c>
      <c r="G7" s="46" t="str">
        <f>_xlfn.CONCAT("ui_level_bg_",MOD(A7,10),H7)</f>
        <v>ui_level_bg_8lake</v>
      </c>
      <c r="H7" s="45" t="s">
        <v>86</v>
      </c>
      <c r="I7" s="12">
        <v>4800</v>
      </c>
      <c r="J7" s="12">
        <v>0.22</v>
      </c>
      <c r="K7" s="35">
        <v>20</v>
      </c>
      <c r="L7" s="13" t="str" cm="1">
        <f t="array" ref="L7">_xlfn.LET(_xlpm._index_cell,L$3,
_xlpm._start,FIND("[",_xlpm._index_cell)+1,
_xlpm._end,FIND("]",_xlpm._index_cell),
_xlpm._index,MID(_xlpm._index_cell,_xlpm._start,_xlpm._end-_xlpm._start),
_xlfn.TEXTJOIN(";",1,_xlpm._index&amp;_xlfn.SEQUENCE($K7,1,RIGHT($A7,2)*100+1)))</f>
        <v>10801;10802;10803;10804;10805;10806;10807;10808;10809;10810;10811;10812;10813;10814;10815;10816;10817;10818;10819;10820</v>
      </c>
      <c r="M7" s="13" t="str" cm="1">
        <f t="array" ref="M7">_xlfn.LET(_xlpm._index_cell,M$3,
_xlpm._start,FIND("[",_xlpm._index_cell)+1,
_xlpm._end,FIND("]",_xlpm._index_cell),
_xlpm._index,MID(_xlpm._index_cell,_xlpm._start,_xlpm._end-_xlpm._start),
_xlfn.TEXTJOIN(";",1,_xlpm._index&amp;_xlfn.SEQUENCE($K7,1,RIGHT($A7,2)*100+1)))</f>
        <v>20801;20802;20803;20804;20805;20806;20807;20808;20809;20810;20811;20812;20813;20814;20815;20816;20817;20818;20819;20820</v>
      </c>
      <c r="N7" s="13" t="str" cm="1">
        <f t="array" ref="N7">_xlfn.LET(_xlpm._index_cell,N$3,
_xlpm._start,FIND("[",_xlpm._index_cell)+1,
_xlpm._end,FIND("]",_xlpm._index_cell),
_xlpm._index,MID(_xlpm._index_cell,_xlpm._start,_xlpm._end-_xlpm._start),
_xlfn.TEXTJOIN(";",1,_xlpm._index&amp;_xlfn.SEQUENCE($K7,1,RIGHT($A7,2)*100+1)))</f>
        <v>30801;30802;30803;30804;30805;30806;30807;30808;30809;30810;30811;30812;30813;30814;30815;30816;30817;30818;30819;30820</v>
      </c>
      <c r="O7" s="13" t="str" cm="1">
        <f t="array" ref="O7">_xlfn.LET(_xlpm._index_cell,O$3,
_xlpm._start,FIND("[",_xlpm._index_cell)+1,
_xlpm._end,FIND("]",_xlpm._index_cell),
_xlpm._index,MID(_xlpm._index_cell,_xlpm._start,_xlpm._end-_xlpm._start),
_xlfn.TEXTJOIN(";",1,_xlpm._index&amp;_xlfn.SEQUENCE($K7,1,RIGHT($A7,2)*100+1)))</f>
        <v>40801;40802;40803;40804;40805;40806;40807;40808;40809;40810;40811;40812;40813;40814;40815;40816;40817;40818;40819;40820</v>
      </c>
    </row>
    <row r="8" spans="1:15" x14ac:dyDescent="0.2">
      <c r="L8" s="12"/>
      <c r="M8" s="12"/>
      <c r="N8" s="12"/>
      <c r="O8" s="12"/>
    </row>
    <row r="9" spans="1:15" x14ac:dyDescent="0.2">
      <c r="A9" s="8">
        <v>4038</v>
      </c>
      <c r="B9" s="36" t="s">
        <v>77</v>
      </c>
      <c r="C9" s="14" t="s">
        <v>78</v>
      </c>
      <c r="D9" s="12" t="b">
        <v>1</v>
      </c>
      <c r="E9" s="12">
        <f>A9</f>
        <v>4038</v>
      </c>
      <c r="F9" s="46" t="str">
        <f t="shared" si="1"/>
        <v>ui_level_info_8</v>
      </c>
      <c r="G9" s="46" t="str">
        <f>_xlfn.CONCAT("ui_level_bg_",MOD(A9,10),H9)</f>
        <v>ui_level_bg_8lake</v>
      </c>
      <c r="H9" s="45" t="s">
        <v>86</v>
      </c>
      <c r="I9" s="12">
        <v>4800</v>
      </c>
      <c r="J9" s="12">
        <v>0.22</v>
      </c>
      <c r="K9" s="42">
        <v>12</v>
      </c>
      <c r="L9" s="41" t="str" cm="1">
        <f t="array" ref="L9">_xlfn.LET(_xlpm._index_cell,L$3,
_xlpm._start,FIND("[",_xlpm._index_cell)+1,
_xlpm._end,FIND("]",_xlpm._index_cell),
_xlpm._index,MID(_xlpm._index_cell,_xlpm._start,_xlpm._end-_xlpm._start),
_xlfn.TEXTJOIN(";",1,_xlpm._index&amp;8&amp;TEXT(表2[商店],"00")))</f>
        <v>10801;10802;10803;10804;10806;10808;10810;10812;10814;10816;10818;10820</v>
      </c>
      <c r="M9" s="41" t="str" cm="1">
        <f t="array" ref="M9">_xlfn.LET(_xlpm._index_cell,M$3,
_xlpm._start,FIND("[",_xlpm._index_cell)+1,
_xlpm._end,FIND("]",_xlpm._index_cell),
_xlpm._index,MID(_xlpm._index_cell,_xlpm._start,_xlpm._end-_xlpm._start),
_xlfn.TEXTJOIN(";",1,_xlpm._index&amp;8&amp;TEXT(表2[商店],"00")))</f>
        <v>20801;20802;20803;20804;20806;20808;20810;20812;20814;20816;20818;20820</v>
      </c>
      <c r="N9" s="41" t="str" cm="1">
        <f t="array" ref="N9">_xlfn.LET(_xlpm._index_cell,N$3,
_xlpm._start,FIND("[",_xlpm._index_cell)+1,
_xlpm._end,FIND("]",_xlpm._index_cell),
_xlpm._index,MID(_xlpm._index_cell,_xlpm._start,_xlpm._end-_xlpm._start),
_xlfn.TEXTJOIN(";",1,_xlpm._index&amp;8&amp;TEXT(表2[商店],"00")))</f>
        <v>30801;30802;30803;30804;30806;30808;30810;30812;30814;30816;30818;30820</v>
      </c>
      <c r="O9" s="41" t="str" cm="1">
        <f t="array" ref="O9">_xlfn.LET(_xlpm._index_cell,O$3,
_xlpm._start,FIND("[",_xlpm._index_cell)+1,
_xlpm._end,FIND("]",_xlpm._index_cell),
_xlpm._index,MID(_xlpm._index_cell,_xlpm._start,_xlpm._end-_xlpm._start),
_xlfn.TEXTJOIN(";",1,_xlpm._index&amp;8&amp;TEXT(表2[商店],"00")))</f>
        <v>40801;40802;40803;40804;40806;40808;40810;40812;40814;40816;40818;40820</v>
      </c>
    </row>
    <row r="11" spans="1:15" x14ac:dyDescent="0.2">
      <c r="A11" s="8">
        <v>4058</v>
      </c>
      <c r="B11" s="31" t="s">
        <v>58</v>
      </c>
      <c r="C11" s="14" t="s">
        <v>56</v>
      </c>
      <c r="D11" s="12"/>
      <c r="E11" s="12">
        <f>A11</f>
        <v>4058</v>
      </c>
      <c r="F11" s="46" t="str">
        <f t="shared" si="1"/>
        <v>ui_level_info_8</v>
      </c>
      <c r="G11" s="46" t="str">
        <f>_xlfn.CONCAT("ui_level_bg_",MOD(A11,10),H11)</f>
        <v>ui_level_bg_8lake</v>
      </c>
      <c r="H11" s="45" t="s">
        <v>86</v>
      </c>
      <c r="I11" s="12">
        <v>4800</v>
      </c>
      <c r="J11" s="12">
        <v>0.22</v>
      </c>
      <c r="K11" s="35">
        <v>6</v>
      </c>
      <c r="L11" s="13" t="str" cm="1">
        <f t="array" ref="L11">_xlfn.LET(_xlpm._index_cell,L$3,
_xlpm._start,FIND("[",_xlpm._index_cell)+1,
_xlpm._end,FIND("]",_xlpm._index_cell),
_xlpm._index,MID(_xlpm._index_cell,_xlpm._start,_xlpm._end-_xlpm._start),
_xlfn.TEXTJOIN(";",1,_xlpm._index&amp;_xlfn.SEQUENCE($K11,1,RIGHT($A11,2)*100+1)))</f>
        <v>105801;105802;105803;105804;105805;105806</v>
      </c>
      <c r="M11" s="13" t="str" cm="1">
        <f t="array" ref="M11">_xlfn.LET(_xlpm._index_cell,M$3,
_xlpm._start,FIND("[",_xlpm._index_cell)+1,
_xlpm._end,FIND("]",_xlpm._index_cell),
_xlpm._index,MID(_xlpm._index_cell,_xlpm._start,_xlpm._end-_xlpm._start),
_xlfn.TEXTJOIN(";",1,_xlpm._index&amp;_xlfn.SEQUENCE($K11,1,RIGHT($A11,2)*100+1)))</f>
        <v>205801;205802;205803;205804;205805;205806</v>
      </c>
      <c r="N11" s="13" t="str" cm="1">
        <f t="array" ref="N11">_xlfn.LET(_xlpm._index_cell,N$3,
_xlpm._start,FIND("[",_xlpm._index_cell)+1,
_xlpm._end,FIND("]",_xlpm._index_cell),
_xlpm._index,MID(_xlpm._index_cell,_xlpm._start,_xlpm._end-_xlpm._start),
_xlfn.TEXTJOIN(";",1,_xlpm._index&amp;_xlfn.SEQUENCE($K11,1,RIGHT($A11,2)*100+1)))</f>
        <v>305801;305802;305803;305804;305805;305806</v>
      </c>
      <c r="O11" s="13" t="str" cm="1">
        <f t="array" ref="O11">_xlfn.LET(_xlpm._index_cell,O$3,
_xlpm._start,FIND("[",_xlpm._index_cell)+1,
_xlpm._end,FIND("]",_xlpm._index_cell),
_xlpm._index,MID(_xlpm._index_cell,_xlpm._start,_xlpm._end-_xlpm._start),
_xlfn.TEXTJOIN(";",1,_xlpm._index&amp;_xlfn.SEQUENCE($K11,1,RIGHT($A11,2)*100+1)))</f>
        <v>405801;405802;405803;405804;405805;405806</v>
      </c>
    </row>
    <row r="13" spans="1:15" x14ac:dyDescent="0.2">
      <c r="A13" s="8">
        <v>4091</v>
      </c>
      <c r="B13" s="31" t="str">
        <f>C4&amp;" (测试用)"</f>
        <v>地宫 (测试用)</v>
      </c>
      <c r="C13" s="14" t="str">
        <f>"测试用"&amp;C4</f>
        <v>测试用地宫</v>
      </c>
      <c r="D13" s="12"/>
      <c r="E13" s="12">
        <f>A13</f>
        <v>4091</v>
      </c>
      <c r="F13" s="46" t="str">
        <f t="shared" si="1"/>
        <v>ui_level_info_1</v>
      </c>
      <c r="G13" s="46" t="str">
        <f>_xlfn.CONCAT("ui_level_bg_",MOD(A13,10),H13)</f>
        <v>ui_level_bg_1dungeon</v>
      </c>
      <c r="H13" s="45" t="s">
        <v>84</v>
      </c>
      <c r="I13" s="12">
        <v>4800</v>
      </c>
      <c r="J13" s="12">
        <v>0.22</v>
      </c>
      <c r="K13" s="35">
        <v>0</v>
      </c>
      <c r="L13" s="12"/>
      <c r="M13" s="12"/>
      <c r="N13" s="12"/>
      <c r="O13" s="12"/>
    </row>
    <row r="14" spans="1:15" x14ac:dyDescent="0.2">
      <c r="A14" s="8">
        <v>4094</v>
      </c>
      <c r="B14" s="31" t="str">
        <f>C5&amp;" (测试用)"</f>
        <v>树梢 (测试用)</v>
      </c>
      <c r="C14" s="14" t="str">
        <f>"测试用"&amp;C5</f>
        <v>测试用树梢</v>
      </c>
      <c r="D14" s="12"/>
      <c r="E14" s="12">
        <f>A14</f>
        <v>4094</v>
      </c>
      <c r="F14" s="46" t="str">
        <f t="shared" si="1"/>
        <v>ui_level_info_4</v>
      </c>
      <c r="G14" s="46" t="str">
        <f>_xlfn.CONCAT("ui_level_bg_",MOD(A14,10),H14)</f>
        <v>ui_level_bg_4treetop</v>
      </c>
      <c r="H14" s="45" t="s">
        <v>85</v>
      </c>
      <c r="I14" s="12">
        <v>4800</v>
      </c>
      <c r="J14" s="12">
        <v>0.22</v>
      </c>
      <c r="K14" s="35">
        <v>0</v>
      </c>
    </row>
    <row r="15" spans="1:15" x14ac:dyDescent="0.2">
      <c r="A15" s="8">
        <v>4097</v>
      </c>
      <c r="B15" s="31" t="str">
        <f>C6&amp;" (测试用)"</f>
        <v>荒漠 (测试用)</v>
      </c>
      <c r="C15" s="14" t="str">
        <f>"测试用"&amp;C6</f>
        <v>测试用荒漠</v>
      </c>
      <c r="D15" s="12"/>
      <c r="E15" s="12">
        <f>A15</f>
        <v>4097</v>
      </c>
      <c r="F15" s="46" t="str">
        <f t="shared" si="1"/>
        <v>ui_level_info_7</v>
      </c>
      <c r="G15" s="46" t="str">
        <f>_xlfn.CONCAT("ui_level_bg_",MOD(A15,10),H15)</f>
        <v>ui_level_bg_7desert</v>
      </c>
      <c r="H15" s="45" t="s">
        <v>87</v>
      </c>
      <c r="I15" s="12">
        <v>4800</v>
      </c>
      <c r="J15" s="12">
        <v>0.22</v>
      </c>
      <c r="K15" s="35">
        <v>0</v>
      </c>
    </row>
    <row r="16" spans="1:15" x14ac:dyDescent="0.2">
      <c r="A16" s="8">
        <v>4098</v>
      </c>
      <c r="B16" s="31" t="str">
        <f>C7&amp;" (测试用)"</f>
        <v>大湖 (测试用)</v>
      </c>
      <c r="C16" s="14" t="str">
        <f>"测试用"&amp;C7</f>
        <v>测试用大湖</v>
      </c>
      <c r="D16" s="12"/>
      <c r="E16" s="12">
        <f>A16</f>
        <v>4098</v>
      </c>
      <c r="F16" s="46" t="str">
        <f t="shared" si="1"/>
        <v>ui_level_info_8</v>
      </c>
      <c r="G16" s="46" t="str">
        <f>_xlfn.CONCAT("ui_level_bg_",MOD(A16,10),H16)</f>
        <v>ui_level_bg_8lake</v>
      </c>
      <c r="H16" s="45" t="s">
        <v>86</v>
      </c>
      <c r="I16" s="12">
        <v>4800</v>
      </c>
      <c r="J16" s="12">
        <v>0.22</v>
      </c>
      <c r="K16" s="35">
        <v>0</v>
      </c>
    </row>
  </sheetData>
  <sortState xmlns:xlrd2="http://schemas.microsoft.com/office/spreadsheetml/2017/richdata2" ref="A4:B4">
    <sortCondition ref="A4"/>
  </sortState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3370-A10D-4967-B868-02FB424C2CAF}">
  <dimension ref="A1:I31"/>
  <sheetViews>
    <sheetView topLeftCell="D1" workbookViewId="0">
      <pane ySplit="3" topLeftCell="A4" activePane="bottomLeft" state="frozen"/>
      <selection pane="bottomLeft" activeCell="F12" sqref="F12"/>
    </sheetView>
  </sheetViews>
  <sheetFormatPr defaultColWidth="9.125" defaultRowHeight="14.25" x14ac:dyDescent="0.2"/>
  <cols>
    <col min="1" max="2" width="7.75" style="23" bestFit="1" customWidth="1"/>
    <col min="3" max="3" width="14" style="24" bestFit="1" customWidth="1"/>
    <col min="4" max="4" width="11.75" style="23" customWidth="1"/>
    <col min="5" max="5" width="27.375" style="23" customWidth="1"/>
    <col min="6" max="6" width="10.875" style="23" bestFit="1" customWidth="1"/>
    <col min="7" max="7" width="129" style="23" bestFit="1" customWidth="1"/>
    <col min="8" max="8" width="117.875" style="23" bestFit="1" customWidth="1"/>
    <col min="9" max="9" width="10.875" style="23" bestFit="1" customWidth="1"/>
    <col min="10" max="16384" width="9.125" style="23"/>
  </cols>
  <sheetData>
    <row r="1" spans="1:9" s="17" customFormat="1" x14ac:dyDescent="0.2">
      <c r="A1" s="17" t="s">
        <v>13</v>
      </c>
      <c r="B1" s="17" t="s">
        <v>20</v>
      </c>
      <c r="C1" s="18"/>
      <c r="D1" s="17" t="s">
        <v>54</v>
      </c>
      <c r="E1" s="17" t="s">
        <v>60</v>
      </c>
      <c r="F1" s="17" t="s">
        <v>48</v>
      </c>
      <c r="G1" s="17" t="s">
        <v>50</v>
      </c>
      <c r="H1" s="17" t="s">
        <v>52</v>
      </c>
      <c r="I1" s="17" t="s">
        <v>53</v>
      </c>
    </row>
    <row r="2" spans="1:9" s="19" customFormat="1" x14ac:dyDescent="0.2">
      <c r="A2" s="19" t="s">
        <v>0</v>
      </c>
      <c r="B2" s="19" t="s">
        <v>21</v>
      </c>
      <c r="C2" s="18"/>
      <c r="D2" s="19" t="s">
        <v>55</v>
      </c>
      <c r="E2" s="19" t="s">
        <v>62</v>
      </c>
      <c r="F2" s="19" t="s">
        <v>49</v>
      </c>
      <c r="G2" s="19" t="s">
        <v>51</v>
      </c>
      <c r="H2" s="19" t="s">
        <v>51</v>
      </c>
      <c r="I2" s="19" t="s">
        <v>49</v>
      </c>
    </row>
    <row r="3" spans="1:9" s="22" customFormat="1" ht="57" x14ac:dyDescent="0.2">
      <c r="A3" s="20" t="s">
        <v>22</v>
      </c>
      <c r="B3" s="29" t="s">
        <v>23</v>
      </c>
      <c r="C3" s="21" t="s">
        <v>24</v>
      </c>
      <c r="D3" s="30" t="s">
        <v>40</v>
      </c>
      <c r="E3" s="30" t="s">
        <v>61</v>
      </c>
      <c r="F3" s="32" t="s">
        <v>41</v>
      </c>
      <c r="G3" s="32" t="s">
        <v>38</v>
      </c>
      <c r="H3" s="32" t="s">
        <v>39</v>
      </c>
      <c r="I3" s="32" t="s">
        <v>42</v>
      </c>
    </row>
    <row r="4" spans="1:9" x14ac:dyDescent="0.2">
      <c r="A4" s="23">
        <v>4001</v>
      </c>
      <c r="B4" s="23">
        <v>0</v>
      </c>
      <c r="C4" s="24" t="str">
        <f>VLOOKUP(VALUE(RIGHT(A4,1)),table_world[[id]:[name]],2,0)</f>
        <v>地宫</v>
      </c>
      <c r="D4" s="23">
        <v>20</v>
      </c>
      <c r="E4" s="23" t="s">
        <v>65</v>
      </c>
      <c r="F4" s="25" t="str">
        <f>"42"&amp;RIGHT($A4,2)&amp;"01"</f>
        <v>420101</v>
      </c>
      <c r="G4" s="25" t="str" cm="1">
        <f t="array" ref="G4">IF($D4&lt;&gt;"",
_xlfn.LET(_xlpm._is_elite,LEFT(G$3,2)="精英",
_xlpm._jump_num,N(_xlpm._is_elite)*2+1,
_xlfn.TEXTJOIN(";",1,_xlfn.SEQUENCE(_xlpm._jump_num,1,0,0),"42"&amp;RIGHT($A4,2)&amp;TEXT(_xlfn.SEQUENCE($D4-_xlpm._jump_num-1,1,N(_xlpm._is_elite)*50+_xlpm._jump_num+1),"00"))),"")</f>
        <v>0;420102;420103;420104;420105;420106;420107;420108;420109;420110;420111;420112;420113;420114;420115;420116;420117;420118;420119</v>
      </c>
      <c r="H4" s="25" t="str" cm="1">
        <f t="array" ref="H4">IF($D4&lt;&gt;"",
_xlfn.LET(_xlpm._is_elite,LEFT(H$3,2)="精英",
_xlpm._jump_num,N(_xlpm._is_elite)*2+1,
_xlfn.TEXTJOIN(";",1,_xlfn.SEQUENCE(_xlpm._jump_num,1,0,0),"42"&amp;RIGHT($A4,2)&amp;TEXT(_xlfn.SEQUENCE($D4-_xlpm._jump_num-1,1,N(_xlpm._is_elite)*50+_xlpm._jump_num+1),"00"))),"")</f>
        <v>0;0;0;420154;420155;420156;420157;420158;420159;420160;420161;420162;420163;420164;420165;420166;420167;420168;420169</v>
      </c>
      <c r="I4" s="25" t="str">
        <f>"42"&amp;RIGHT($A4,2)&amp;"99"</f>
        <v>420199</v>
      </c>
    </row>
    <row r="5" spans="1:9" x14ac:dyDescent="0.2">
      <c r="A5" s="23">
        <v>4004</v>
      </c>
      <c r="B5" s="23">
        <v>0</v>
      </c>
      <c r="C5" s="24" t="str">
        <f>VLOOKUP(VALUE(RIGHT(A5,1)),table_world[[id]:[name]],2,0)</f>
        <v>树梢</v>
      </c>
      <c r="D5" s="23">
        <v>20</v>
      </c>
      <c r="E5" s="23" t="s">
        <v>65</v>
      </c>
      <c r="F5" s="25" t="str">
        <f t="shared" ref="F5:F16" si="0">"42"&amp;RIGHT($A5,2)&amp;"01"</f>
        <v>420401</v>
      </c>
      <c r="G5" s="25" t="str" cm="1">
        <f t="array" ref="G5">IF($D5&lt;&gt;"",
_xlfn.LET(_xlpm._is_elite,LEFT(G$3,2)="精英",
_xlpm._jump_num,N(_xlpm._is_elite)*2+1,
_xlfn.TEXTJOIN(";",1,_xlfn.SEQUENCE(_xlpm._jump_num,1,0,0),"42"&amp;RIGHT($A5,2)&amp;TEXT(_xlfn.SEQUENCE($D5-_xlpm._jump_num-1,1,N(_xlpm._is_elite)*50+_xlpm._jump_num+1),"00"))),"")</f>
        <v>0;420402;420403;420404;420405;420406;420407;420408;420409;420410;420411;420412;420413;420414;420415;420416;420417;420418;420419</v>
      </c>
      <c r="H5" s="25" t="str" cm="1">
        <f t="array" ref="H5">IF($D5&lt;&gt;"",
_xlfn.LET(_xlpm._is_elite,LEFT(H$3,2)="精英",
_xlpm._jump_num,N(_xlpm._is_elite)*2+1,
_xlfn.TEXTJOIN(";",1,_xlfn.SEQUENCE(_xlpm._jump_num,1,0,0),"42"&amp;RIGHT($A5,2)&amp;TEXT(_xlfn.SEQUENCE($D5-_xlpm._jump_num-1,1,N(_xlpm._is_elite)*50+_xlpm._jump_num+1),"00"))),"")</f>
        <v>0;0;0;420454;420455;420456;420457;420458;420459;420460;420461;420462;420463;420464;420465;420466;420467;420468;420469</v>
      </c>
      <c r="I5" s="25" t="str">
        <f t="shared" ref="I5:I7" si="1">"42"&amp;RIGHT($A5,2)&amp;"99"</f>
        <v>420499</v>
      </c>
    </row>
    <row r="6" spans="1:9" x14ac:dyDescent="0.2">
      <c r="A6" s="23">
        <v>4007</v>
      </c>
      <c r="B6" s="37">
        <v>0</v>
      </c>
      <c r="C6" s="24" t="str">
        <f>VLOOKUP(VALUE(RIGHT(A6,1)),table_world[[id]:[name]],2,0)</f>
        <v>荒漠</v>
      </c>
      <c r="D6" s="23">
        <v>20</v>
      </c>
      <c r="E6" s="23" t="s">
        <v>65</v>
      </c>
      <c r="F6" s="25" t="str">
        <f t="shared" si="0"/>
        <v>420701</v>
      </c>
      <c r="G6" s="25" t="str" cm="1">
        <f t="array" ref="G6">IF($D6&lt;&gt;"",
_xlfn.LET(_xlpm._is_elite,LEFT(G$3,2)="精英",
_xlpm._jump_num,N(_xlpm._is_elite)*2+1,
_xlfn.TEXTJOIN(";",1,_xlfn.SEQUENCE(_xlpm._jump_num,1,0,0),"42"&amp;RIGHT($A6,2)&amp;TEXT(_xlfn.SEQUENCE($D6-_xlpm._jump_num-1,1,N(_xlpm._is_elite)*50+_xlpm._jump_num+1),"00"))),"")</f>
        <v>0;420702;420703;420704;420705;420706;420707;420708;420709;420710;420711;420712;420713;420714;420715;420716;420717;420718;420719</v>
      </c>
      <c r="H6" s="25" t="str" cm="1">
        <f t="array" ref="H6">IF($D6&lt;&gt;"",
_xlfn.LET(_xlpm._is_elite,LEFT(H$3,2)="精英",
_xlpm._jump_num,N(_xlpm._is_elite)*2+1,
_xlfn.TEXTJOIN(";",1,_xlfn.SEQUENCE(_xlpm._jump_num,1,0,0),"42"&amp;RIGHT($A6,2)&amp;TEXT(_xlfn.SEQUENCE($D6-_xlpm._jump_num-1,1,N(_xlpm._is_elite)*50+_xlpm._jump_num+1),"00"))),"")</f>
        <v>0;0;0;420754;420755;420756;420757;420758;420759;420760;420761;420762;420763;420764;420765;420766;420767;420768;420769</v>
      </c>
      <c r="I6" s="25" t="str">
        <f t="shared" si="1"/>
        <v>420799</v>
      </c>
    </row>
    <row r="7" spans="1:9" x14ac:dyDescent="0.2">
      <c r="A7" s="23">
        <v>4008</v>
      </c>
      <c r="B7" s="23">
        <v>0</v>
      </c>
      <c r="C7" s="24" t="str">
        <f>VLOOKUP(VALUE(RIGHT(A7,1)),table_world[[id]:[name]],2,0)</f>
        <v>大湖</v>
      </c>
      <c r="D7" s="23">
        <v>20</v>
      </c>
      <c r="E7" s="23" t="s">
        <v>65</v>
      </c>
      <c r="F7" s="25" t="str">
        <f t="shared" si="0"/>
        <v>420801</v>
      </c>
      <c r="G7" s="25" t="str" cm="1">
        <f t="array" ref="G7">IF($D7&lt;&gt;"",
_xlfn.LET(_xlpm._is_elite,LEFT(G$3,2)="精英",
_xlpm._jump_num,N(_xlpm._is_elite)*2+1,
_xlfn.TEXTJOIN(";",1,_xlfn.SEQUENCE(_xlpm._jump_num,1,0,0),"42"&amp;RIGHT($A7,2)&amp;TEXT(_xlfn.SEQUENCE($D7-_xlpm._jump_num-1,1,N(_xlpm._is_elite)*50+_xlpm._jump_num+1),"00"))),"")</f>
        <v>0;420802;420803;420804;420805;420806;420807;420808;420809;420810;420811;420812;420813;420814;420815;420816;420817;420818;420819</v>
      </c>
      <c r="H7" s="25" t="str" cm="1">
        <f t="array" ref="H7">IF($D7&lt;&gt;"",
_xlfn.LET(_xlpm._is_elite,LEFT(H$3,2)="精英",
_xlpm._jump_num,N(_xlpm._is_elite)*2+1,
_xlfn.TEXTJOIN(";",1,_xlfn.SEQUENCE(_xlpm._jump_num,1,0,0),"42"&amp;RIGHT($A7,2)&amp;TEXT(_xlfn.SEQUENCE($D7-_xlpm._jump_num-1,1,N(_xlpm._is_elite)*50+_xlpm._jump_num+1),"00"))),"")</f>
        <v>0;0;0;420854;420855;420856;420857;420858;420859;420860;420861;420862;420863;420864;420865;420866;420867;420868;420869</v>
      </c>
      <c r="I7" s="25" t="str">
        <f t="shared" si="1"/>
        <v>420899</v>
      </c>
    </row>
    <row r="9" spans="1:9" x14ac:dyDescent="0.2">
      <c r="A9" s="39">
        <v>4038</v>
      </c>
      <c r="B9" s="23">
        <v>0</v>
      </c>
      <c r="C9" s="14" t="s">
        <v>71</v>
      </c>
      <c r="D9" s="39">
        <v>12</v>
      </c>
      <c r="E9" s="39" t="s">
        <v>65</v>
      </c>
      <c r="F9" s="38" t="s">
        <v>69</v>
      </c>
      <c r="G9" s="38" t="str" cm="1">
        <f t="array" ref="G9">_xlfn.LET(_xlpm._lvls,_xlfn.CHOOSEROWS(表2[普通],_xlfn.SEQUENCE($D9-1,,1,1)),
_xlfn.TEXTJOIN(";",1,IF(_xlpm._lvls,4208&amp;TEXT(_xlpm._lvls,"00"),0)))</f>
        <v>0;420802;420803;420804;420806;420808;420810;420812;420814;420816;420818</v>
      </c>
      <c r="H9" s="38" t="str" cm="1">
        <f t="array" ref="H9">_xlfn.LET(_xlpm._lvls,_xlfn.CHOOSEROWS(表2[精英],_xlfn.SEQUENCE($D9-1,,1,1)),
_xlfn.TEXTJOIN(";",1,IF(_xlpm._lvls,4208&amp;TEXT(_xlpm._lvls,"00"),0)))</f>
        <v>0;0;0;420854;420856;420858;420860;420862;420864;420866;420868</v>
      </c>
      <c r="I9" s="38" t="s">
        <v>70</v>
      </c>
    </row>
    <row r="11" spans="1:9" x14ac:dyDescent="0.2">
      <c r="A11" s="23">
        <v>4058</v>
      </c>
      <c r="B11" s="23">
        <v>0</v>
      </c>
      <c r="C11" s="14" t="s">
        <v>57</v>
      </c>
      <c r="D11" s="23">
        <v>6</v>
      </c>
      <c r="E11" s="23" t="s">
        <v>63</v>
      </c>
      <c r="F11" s="25" t="str">
        <f>"42"&amp;RIGHT($A11,2)&amp;"01"</f>
        <v>425801</v>
      </c>
      <c r="G11" s="23" t="s">
        <v>59</v>
      </c>
      <c r="I11" s="25" t="str">
        <f>"42"&amp;RIGHT($A11,2)&amp;"99"</f>
        <v>425899</v>
      </c>
    </row>
    <row r="13" spans="1:9" x14ac:dyDescent="0.2">
      <c r="A13" s="23">
        <v>4091</v>
      </c>
      <c r="B13" s="23">
        <v>0</v>
      </c>
      <c r="C13" s="14" t="str">
        <f>"测试用"&amp;C4</f>
        <v>测试用地宫</v>
      </c>
      <c r="D13" s="23">
        <v>1</v>
      </c>
      <c r="F13" s="25" t="str">
        <f t="shared" si="0"/>
        <v>429101</v>
      </c>
    </row>
    <row r="14" spans="1:9" x14ac:dyDescent="0.2">
      <c r="A14" s="23">
        <v>4094</v>
      </c>
      <c r="B14" s="23">
        <v>0</v>
      </c>
      <c r="C14" s="14" t="str">
        <f>"测试用"&amp;C5</f>
        <v>测试用树梢</v>
      </c>
      <c r="D14" s="23">
        <v>1</v>
      </c>
      <c r="F14" s="25" t="str">
        <f t="shared" si="0"/>
        <v>429401</v>
      </c>
    </row>
    <row r="15" spans="1:9" x14ac:dyDescent="0.2">
      <c r="A15" s="23">
        <v>4097</v>
      </c>
      <c r="B15" s="23">
        <v>0</v>
      </c>
      <c r="C15" s="14" t="str">
        <f>"测试用"&amp;C6</f>
        <v>测试用荒漠</v>
      </c>
      <c r="D15" s="23">
        <v>1</v>
      </c>
      <c r="F15" s="25" t="str">
        <f t="shared" si="0"/>
        <v>429701</v>
      </c>
    </row>
    <row r="16" spans="1:9" x14ac:dyDescent="0.2">
      <c r="A16" s="23">
        <v>4098</v>
      </c>
      <c r="B16" s="23">
        <v>0</v>
      </c>
      <c r="C16" s="14" t="str">
        <f>"测试用"&amp;C7</f>
        <v>测试用大湖</v>
      </c>
      <c r="D16" s="23">
        <v>1</v>
      </c>
      <c r="F16" s="25" t="str">
        <f t="shared" si="0"/>
        <v>429801</v>
      </c>
    </row>
    <row r="21" spans="9:9" x14ac:dyDescent="0.2">
      <c r="I21" s="23">
        <v>1</v>
      </c>
    </row>
    <row r="22" spans="9:9" x14ac:dyDescent="0.2">
      <c r="I22" s="23">
        <v>2</v>
      </c>
    </row>
    <row r="23" spans="9:9" x14ac:dyDescent="0.2">
      <c r="I23" s="23">
        <v>3</v>
      </c>
    </row>
    <row r="24" spans="9:9" x14ac:dyDescent="0.2">
      <c r="I24" s="23">
        <v>4</v>
      </c>
    </row>
    <row r="25" spans="9:9" x14ac:dyDescent="0.2">
      <c r="I25" s="23">
        <v>5</v>
      </c>
    </row>
    <row r="26" spans="9:9" x14ac:dyDescent="0.2">
      <c r="I26" s="23">
        <v>6</v>
      </c>
    </row>
    <row r="27" spans="9:9" x14ac:dyDescent="0.2">
      <c r="I27" s="23">
        <v>7</v>
      </c>
    </row>
    <row r="28" spans="9:9" x14ac:dyDescent="0.2">
      <c r="I28" s="23">
        <v>8</v>
      </c>
    </row>
    <row r="29" spans="9:9" x14ac:dyDescent="0.2">
      <c r="I29" s="23">
        <v>9</v>
      </c>
    </row>
    <row r="30" spans="9:9" x14ac:dyDescent="0.2">
      <c r="I30" s="23">
        <v>10</v>
      </c>
    </row>
    <row r="31" spans="9:9" x14ac:dyDescent="0.2">
      <c r="I31" s="23">
        <v>11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E826-BA08-4989-9C02-575F434F707E}">
  <sheetPr>
    <tabColor theme="1"/>
  </sheetPr>
  <dimension ref="B2:I16"/>
  <sheetViews>
    <sheetView workbookViewId="0">
      <selection activeCell="I18" sqref="I18"/>
    </sheetView>
  </sheetViews>
  <sheetFormatPr defaultColWidth="12.5" defaultRowHeight="14.25" x14ac:dyDescent="0.2"/>
  <cols>
    <col min="1" max="16384" width="12.5" style="16"/>
  </cols>
  <sheetData>
    <row r="2" spans="2:9" x14ac:dyDescent="0.2">
      <c r="B2" s="15" t="s">
        <v>13</v>
      </c>
      <c r="C2" s="15" t="s">
        <v>14</v>
      </c>
      <c r="D2" s="15" t="s">
        <v>15</v>
      </c>
    </row>
    <row r="3" spans="2:9" x14ac:dyDescent="0.2">
      <c r="B3" s="16">
        <v>1</v>
      </c>
      <c r="C3" s="16" t="s">
        <v>16</v>
      </c>
      <c r="D3" s="16">
        <f>table_world[[#This Row],[id]]</f>
        <v>1</v>
      </c>
      <c r="F3" s="40" t="s">
        <v>72</v>
      </c>
    </row>
    <row r="4" spans="2:9" x14ac:dyDescent="0.2">
      <c r="B4" s="16">
        <v>2</v>
      </c>
      <c r="C4" s="16" t="s">
        <v>17</v>
      </c>
      <c r="D4" s="16">
        <f>table_world[[#This Row],[id]]</f>
        <v>2</v>
      </c>
      <c r="F4" s="15" t="s">
        <v>73</v>
      </c>
      <c r="G4" s="15" t="s">
        <v>76</v>
      </c>
      <c r="H4" s="15" t="s">
        <v>74</v>
      </c>
      <c r="I4" s="15" t="s">
        <v>75</v>
      </c>
    </row>
    <row r="5" spans="2:9" x14ac:dyDescent="0.2">
      <c r="B5" s="16">
        <v>3</v>
      </c>
      <c r="C5" s="16" t="s">
        <v>18</v>
      </c>
      <c r="D5" s="16">
        <f>table_world[[#This Row],[id]]</f>
        <v>3</v>
      </c>
      <c r="F5" s="16">
        <v>1</v>
      </c>
      <c r="G5" s="16">
        <v>1</v>
      </c>
      <c r="H5" s="16">
        <v>0</v>
      </c>
      <c r="I5" s="16">
        <v>0</v>
      </c>
    </row>
    <row r="6" spans="2:9" x14ac:dyDescent="0.2">
      <c r="B6" s="16">
        <v>4</v>
      </c>
      <c r="C6" s="16" t="s">
        <v>19</v>
      </c>
      <c r="D6" s="16">
        <f>table_world[[#This Row],[id]]</f>
        <v>4</v>
      </c>
      <c r="F6" s="16">
        <v>2</v>
      </c>
      <c r="G6" s="16">
        <v>2</v>
      </c>
      <c r="H6" s="16">
        <v>2</v>
      </c>
      <c r="I6" s="16">
        <v>0</v>
      </c>
    </row>
    <row r="7" spans="2:9" x14ac:dyDescent="0.2">
      <c r="B7" s="16">
        <v>5</v>
      </c>
      <c r="C7" s="16" t="s">
        <v>7</v>
      </c>
      <c r="D7" s="16">
        <f>table_world[[#This Row],[id]]</f>
        <v>5</v>
      </c>
      <c r="F7" s="16">
        <v>3</v>
      </c>
      <c r="G7" s="16">
        <v>3</v>
      </c>
      <c r="H7" s="16">
        <v>3</v>
      </c>
      <c r="I7" s="16">
        <v>0</v>
      </c>
    </row>
    <row r="8" spans="2:9" x14ac:dyDescent="0.2">
      <c r="B8" s="16">
        <v>6</v>
      </c>
      <c r="C8" s="16" t="s">
        <v>8</v>
      </c>
      <c r="D8" s="16">
        <f>table_world[[#This Row],[id]]</f>
        <v>6</v>
      </c>
      <c r="F8" s="16">
        <v>4</v>
      </c>
      <c r="G8" s="16">
        <v>4</v>
      </c>
      <c r="H8" s="16">
        <v>4</v>
      </c>
      <c r="I8" s="16">
        <v>54</v>
      </c>
    </row>
    <row r="9" spans="2:9" x14ac:dyDescent="0.2">
      <c r="B9" s="16">
        <v>7</v>
      </c>
      <c r="C9" s="16" t="s">
        <v>9</v>
      </c>
      <c r="D9" s="16">
        <f>table_world[[#This Row],[id]]</f>
        <v>7</v>
      </c>
      <c r="F9" s="16">
        <v>5</v>
      </c>
      <c r="G9" s="16">
        <v>6</v>
      </c>
      <c r="H9" s="16">
        <v>6</v>
      </c>
      <c r="I9" s="16">
        <v>56</v>
      </c>
    </row>
    <row r="10" spans="2:9" x14ac:dyDescent="0.2">
      <c r="B10" s="16">
        <v>8</v>
      </c>
      <c r="C10" s="16" t="s">
        <v>10</v>
      </c>
      <c r="D10" s="16">
        <f>table_world[[#This Row],[id]]</f>
        <v>8</v>
      </c>
      <c r="F10" s="16">
        <v>6</v>
      </c>
      <c r="G10" s="16">
        <v>8</v>
      </c>
      <c r="H10" s="16">
        <v>8</v>
      </c>
      <c r="I10" s="16">
        <v>58</v>
      </c>
    </row>
    <row r="11" spans="2:9" x14ac:dyDescent="0.2">
      <c r="F11" s="16">
        <v>7</v>
      </c>
      <c r="G11" s="16">
        <v>10</v>
      </c>
      <c r="H11" s="16">
        <v>10</v>
      </c>
      <c r="I11" s="16">
        <v>60</v>
      </c>
    </row>
    <row r="12" spans="2:9" x14ac:dyDescent="0.2">
      <c r="F12" s="16">
        <v>8</v>
      </c>
      <c r="G12" s="16">
        <v>12</v>
      </c>
      <c r="H12" s="16">
        <v>12</v>
      </c>
      <c r="I12" s="16">
        <v>62</v>
      </c>
    </row>
    <row r="13" spans="2:9" x14ac:dyDescent="0.2">
      <c r="F13" s="16">
        <v>9</v>
      </c>
      <c r="G13" s="16">
        <v>14</v>
      </c>
      <c r="H13" s="16">
        <v>14</v>
      </c>
      <c r="I13" s="16">
        <v>64</v>
      </c>
    </row>
    <row r="14" spans="2:9" x14ac:dyDescent="0.2">
      <c r="F14" s="16">
        <v>10</v>
      </c>
      <c r="G14" s="16">
        <v>16</v>
      </c>
      <c r="H14" s="16">
        <v>16</v>
      </c>
      <c r="I14" s="16">
        <v>66</v>
      </c>
    </row>
    <row r="15" spans="2:9" x14ac:dyDescent="0.2">
      <c r="F15" s="16">
        <v>11</v>
      </c>
      <c r="G15" s="16">
        <v>18</v>
      </c>
      <c r="H15" s="16">
        <v>18</v>
      </c>
      <c r="I15" s="16">
        <v>68</v>
      </c>
    </row>
    <row r="16" spans="2:9" x14ac:dyDescent="0.2">
      <c r="F16" s="16">
        <v>12</v>
      </c>
      <c r="G16" s="16">
        <v>20</v>
      </c>
      <c r="H16" s="15" t="s">
        <v>79</v>
      </c>
      <c r="I16" s="15" t="s">
        <v>79</v>
      </c>
    </row>
  </sheetData>
  <phoneticPr fontId="14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game_world</vt:lpstr>
      <vt:lpstr>level</vt:lpstr>
      <vt:lpstr>-编号辅助</vt:lpstr>
      <vt:lpstr>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2025-12-25T06:08:20Z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1033-12.2.0.16909</vt:lpwstr>
  </property>
</Properties>
</file>